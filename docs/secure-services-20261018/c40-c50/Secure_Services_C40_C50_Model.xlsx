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経営比較" sheetId="1" state="visible" r:id="rId1"/>
    <sheet xmlns:r="http://schemas.openxmlformats.org/officeDocument/2006/relationships" name="前提と出典" sheetId="2" state="visible" r:id="rId2"/>
    <sheet xmlns:r="http://schemas.openxmlformats.org/officeDocument/2006/relationships" name="同一企業モデル" sheetId="3" state="visible" r:id="rId3"/>
    <sheet xmlns:r="http://schemas.openxmlformats.org/officeDocument/2006/relationships" name="契約別単価" sheetId="4" state="visible" r:id="rId4"/>
    <sheet xmlns:r="http://schemas.openxmlformats.org/officeDocument/2006/relationships" name="利益曲線" sheetId="5" state="visible" r:id="rId5"/>
    <sheet xmlns:r="http://schemas.openxmlformats.org/officeDocument/2006/relationships" name="累積回収" sheetId="6" state="visible" r:id="rId6"/>
    <sheet xmlns:r="http://schemas.openxmlformats.org/officeDocument/2006/relationships" name="固定条件比較" sheetId="7" state="visible" r:id="rId7"/>
    <sheet xmlns:r="http://schemas.openxmlformats.org/officeDocument/2006/relationships" name="価格と高利用感度" sheetId="8" state="visible" r:id="rId8"/>
    <sheet xmlns:r="http://schemas.openxmlformats.org/officeDocument/2006/relationships" name="獲得速度比較" sheetId="9" state="visible" r:id="rId9"/>
  </sheets>
  <definedNames>
    <definedName name="_xlnm._FilterDatabase" localSheetId="7" hidden="1">'価格と高利用感度'!$A$4:$S$388</definedName>
    <definedName name="_xlnm._FilterDatabase" localSheetId="8" hidden="1">'獲得速度比較'!$A$4:$G$40</definedName>
  </definedNames>
  <calcPr calcId="19102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#,##0;(#,##0);&quot;-&quot;"/>
    <numFmt numFmtId="165" formatCode="0.0%"/>
  </numFmts>
  <fonts count="8">
    <font>
      <name val="Calibri"/>
      <family val="2"/>
      <color theme="1"/>
      <sz val="11"/>
      <scheme val="minor"/>
    </font>
    <font>
      <name val="Arial"/>
      <color rgb="00203047"/>
      <sz val="10"/>
    </font>
    <font>
      <name val="Arial"/>
      <b val="1"/>
      <color rgb="00FFFFFF"/>
      <sz val="10"/>
    </font>
    <font>
      <name val="Arial"/>
      <b val="1"/>
      <color rgb="001F3556"/>
      <sz val="15"/>
    </font>
    <font>
      <name val="Arial"/>
      <color rgb="000000FF"/>
      <sz val="10"/>
    </font>
    <font>
      <name val="Arial"/>
      <color rgb="00008000"/>
      <sz val="10"/>
    </font>
    <font>
      <name val="Yu Gothic"/>
      <color rgb="00203047"/>
      <sz val="10"/>
    </font>
    <font>
      <name val="Yu Gothic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F3556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right" vertical="center"/>
    </xf>
    <xf numFmtId="0" fontId="2" fillId="2" borderId="0" applyAlignment="1" pivotButton="0" quotePrefix="0" xfId="0">
      <alignment vertical="center" wrapText="1"/>
    </xf>
    <xf numFmtId="9" fontId="1" fillId="0" borderId="0" applyAlignment="1" pivotButton="0" quotePrefix="0" xfId="0">
      <alignment horizontal="right" vertical="center"/>
    </xf>
    <xf numFmtId="164" fontId="1" fillId="0" borderId="0" applyAlignment="1" pivotButton="0" quotePrefix="0" xfId="0">
      <alignment horizontal="right" vertical="center"/>
    </xf>
    <xf numFmtId="0" fontId="4" fillId="3" borderId="0" applyAlignment="1" pivotButton="0" quotePrefix="0" xfId="0">
      <alignment horizontal="right" vertical="center"/>
    </xf>
    <xf numFmtId="9" fontId="4" fillId="3" borderId="0" applyAlignment="1" pivotButton="0" quotePrefix="0" xfId="0">
      <alignment horizontal="right" vertical="center"/>
    </xf>
    <xf numFmtId="165" fontId="4" fillId="3" borderId="0" applyAlignment="1" pivotButton="0" quotePrefix="0" xfId="0">
      <alignment horizontal="right" vertical="center"/>
    </xf>
    <xf numFmtId="165" fontId="1" fillId="0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right" vertical="center"/>
    </xf>
    <xf numFmtId="165" fontId="5" fillId="0" borderId="0" applyAlignment="1" pivotButton="0" quotePrefix="0" xfId="0">
      <alignment horizontal="right" vertical="center"/>
    </xf>
    <xf numFmtId="2" fontId="5" fillId="0" borderId="0" applyAlignment="1" pivotButton="0" quotePrefix="0" xfId="0">
      <alignment horizontal="right" vertical="center"/>
    </xf>
    <xf numFmtId="2" fontId="1" fillId="0" borderId="0" applyAlignment="1" pivotButton="0" quotePrefix="0" xfId="0">
      <alignment horizontal="right" vertical="center"/>
    </xf>
    <xf numFmtId="164" fontId="5" fillId="0" borderId="0" applyAlignment="1" pivotButton="0" quotePrefix="0" xfId="0">
      <alignment horizontal="right" vertical="center"/>
    </xf>
    <xf numFmtId="164" fontId="0" fillId="0" borderId="0" pivotButton="0" quotePrefix="0" xfId="0"/>
    <xf numFmtId="164" fontId="1" fillId="0" borderId="0" applyAlignment="1" pivotButton="0" quotePrefix="0" xfId="0">
      <alignment horizontal="left" vertical="center"/>
    </xf>
    <xf numFmtId="9" fontId="0" fillId="0" borderId="0" pivotButton="0" quotePrefix="0" xfId="0"/>
    <xf numFmtId="164" fontId="6" fillId="0" borderId="0" applyAlignment="1" pivotButton="0" quotePrefix="0" xfId="0">
      <alignment vertical="center" wrapText="1"/>
    </xf>
    <xf numFmtId="164" fontId="7" fillId="2" borderId="0" applyAlignment="1" pivotButton="0" quotePrefix="0" xfId="0">
      <alignment vertical="center" wrapText="1"/>
    </xf>
    <xf numFmtId="9" fontId="6" fillId="0" borderId="0" applyAlignment="1" pivotButton="0" quotePrefix="0" xfId="0">
      <alignment vertical="center" wrapText="1"/>
    </xf>
  </cellXfs>
  <cellStyles count="1">
    <cellStyle name="Normal" xfId="0" builtinId="0" hidden="0"/>
  </cellStyles>
  <dxfs count="1">
    <dxf>
      <font>
        <color rgb="00B71C1C"/>
      </font>
      <fill>
        <patternFill patternType="solid">
          <fgColor rgb="00FDE9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1:I42"/>
  <ns0:sheetViews>
    <ns0:sheetView showGridLines="0" workbookViewId="0">
      <ns0:selection activeCell="A1" sqref="A1"/>
    </ns0:sheetView>
  </ns0:sheetViews>
  <ns0:sheetFormatPr baseColWidth="8" defaultRowHeight="15"/>
  <ns0:cols>
    <ns0:col width="30" customWidth="1" min="1" max="1"/>
    <ns0:col width="25" customWidth="1" min="2" max="2"/>
    <ns0:col width="25" customWidth="1" min="3" max="3"/>
    <ns0:col width="25" customWidth="1" min="4" max="4"/>
    <ns0:col width="19" customWidth="1" min="5" max="5"/>
    <ns0:col width="19" customWidth="1" min="6" max="6"/>
    <ns0:col width="19" customWidth="1" min="7" max="7"/>
    <ns0:col width="19" customWidth="1" min="8" max="8"/>
    <ns0:col width="19" customWidth="1" min="9" max="9"/>
  </ns0:cols>
  <ns0:sheetData>
    <ns0:row r="1" ht="32" customHeight="1">
      <ns0:c r="A1" s="1" t="inlineStr">
        <ns0:is>
          <ns0:t>Guard・Send・セット 経営比較</ns0:t>
        </ns0:is>
      </ns0:c>
    </ns0:row>
    <ns0:row r="2" ht="48" customHeight="1">
      <ns0:c r="A2" s="2" t="inlineStr">
        <ns0:is>
          <ns0:t>選択条件は4行に表示。共通率は前提と出典E4〜E6。価格・配分は正式決定ではない。</ns0:t>
        </ns0:is>
      </ns0:c>
    </ns0:row>
    <ns0:row r="3" ht="24" customHeight="1"/>
    <ns0:row r="4" ht="24" customHeight="1">
      <ns0:c r="A4" s="3" t="inlineStr">
        <ns0:is>
          <ns0:t>選択Guard案</ns0:t>
        </ns0:is>
      </ns0:c>
      <ns0:c r="B4" s="4" t="str">
        <ns0:f>INDEX('前提と出典'!A41:A43,'前提と出典'!$B$15+1)</ns0:f>
        <ns0:v>C Guard</ns0:v>
      </ns0:c>
      <ns0:c r="D4" s="3" t="inlineStr">
        <ns0:is>
          <ns0:t>選択Send案</ns0:t>
        </ns0:is>
      </ns0:c>
      <ns0:c r="E4" s="4" t="str">
        <ns0:f>INDEX('前提と出典'!A46:A48,'前提と出典'!$B$16+1)</ns0:f>
        <ns0:v>D</ns0:v>
      </ns0:c>
      <ns0:c r="G4" s="3" t="inlineStr">
        <ns0:is>
          <ns0:t>割引</ns0:t>
        </ns0:is>
      </ns0:c>
      <ns0:c r="H4" s="4">
        <ns0:f>'前提と出典'!$B$17</ns0:f>
        <ns0:v>1000</ns0:v>
      </ns0:c>
    </ns0:row>
    <ns0:row r="5" ht="24" customHeight="1"/>
    <ns0:row r="6" ht="42" customHeight="1">
      <ns0:c r="A6" s="5" t="inlineStr">
        <ns0:is>
          <ns0:t>共通配分率</ns0:t>
        </ns0:is>
      </ns0:c>
      <ns0:c r="B6" s="5" t="inlineStr">
        <ns0:is>
          <ns0:t>初回黒字企業数</ns0:t>
        </ns0:is>
      </ns0:c>
      <ns0:c r="C6" s="5" t="inlineStr">
        <ns0:is>
          <ns0:t>継続黒字企業数</ns0:t>
        </ns0:is>
      </ns0:c>
      <ns0:c r="D6" s="5" t="inlineStr">
        <ns0:is>
          <ns0:t>両サービス継続黒字</ns0:t>
        </ns0:is>
      </ns0:c>
      <ns0:c r="E6" s="5" t="inlineStr">
        <ns0:is>
          <ns0:t>100社差引</ns0:t>
        </ns0:is>
      </ns0:c>
      <ns0:c r="F6" s="5" t="inlineStr">
        <ns0:is>
          <ns0:t>100社Guard差引</ns0:t>
        </ns0:is>
      </ns0:c>
      <ns0:c r="G6" s="5" t="inlineStr">
        <ns0:is>
          <ns0:t>100社Send差引</ns0:t>
        </ns0:is>
      </ns0:c>
      <ns0:c r="H6" s="5" t="n"/>
      <ns0:c r="I6" s="5" t="n"/>
    </ns0:row>
    <ns0:row r="7" ht="24" customHeight="1">
      <ns0:c r="A7" s="6">
        <ns0:f>'前提と出典'!E4</ns0:f>
        <ns0:v>0.3</ns0:v>
      </ns0:c>
      <ns0:c r="B7" s="4">
        <ns0:f>IF(MIN('利益曲線'!AA5:AA1004)&gt;1000,"範囲内なし",MIN('利益曲線'!AA5:AA1004))</ns0:f>
        <ns0:v>21</ns0:v>
      </ns0:c>
      <ns0:c r="C7" s="4">
        <ns0:f>IF(MAX('利益曲線'!AB5:AB1004)&gt;=1000,"範囲内なし",MAX(1,MAX('利益曲線'!AB5:AB1004)+1))</ns0:f>
        <ns0:v>21</ns0:v>
      </ns0:c>
      <ns0:c r="D7" s="4">
        <ns0:f>IF(MAX('利益曲線'!AC5:AC1004)&gt;=1000,"範囲内なし",MAX(1,MAX('利益曲線'!AC5:AC1004)+1))</ns0:f>
        <ns0:v>49</ns0:v>
      </ns0:c>
      <ns0:c r="E7" s="7">
        <ns0:f>INDEX('利益曲線'!T5:T1004,100)</ns0:f>
        <ns0:v>229611.38802090014</ns0:v>
      </ns0:c>
      <ns0:c r="F7" s="7">
        <ns0:f>INDEX('利益曲線'!R5:R1004,100)</ns0:f>
        <ns0:v>193157.40046446287</ns0:v>
      </ns0:c>
      <ns0:c r="G7" s="7">
        <ns0:f>INDEX('利益曲線'!S5:S1004,100)</ns0:f>
        <ns0:v>36453.98755643727</ns0:v>
      </ns0:c>
    </ns0:row>
    <ns0:row r="8" ht="24" customHeight="1">
      <ns0:c r="A8" s="6">
        <ns0:f>'前提と出典'!E5</ns0:f>
        <ns0:v>0.4</ns0:v>
      </ns0:c>
      <ns0:c r="B8" s="4">
        <ns0:f>IF(MIN('利益曲線'!AD5:AD1004)&gt;1000,"範囲内なし",MIN('利益曲線'!AD5:AD1004))</ns0:f>
        <ns0:v>22</ns0:v>
      </ns0:c>
      <ns0:c r="C8" s="4">
        <ns0:f>IF(MAX('利益曲線'!AE5:AE1004)&gt;=1000,"範囲内なし",MAX(1,MAX('利益曲線'!AE5:AE1004)+1))</ns0:f>
        <ns0:v>22</ns0:v>
      </ns0:c>
      <ns0:c r="D8" s="4">
        <ns0:f>IF(MAX('利益曲線'!AF5:AF1004)&gt;=1000,"範囲内なし",MAX(1,MAX('利益曲線'!AF5:AF1004)+1))</ns0:f>
        <ns0:v>55</ns0:v>
      </ns0:c>
      <ns0:c r="E8" s="7">
        <ns0:f>INDEX('利益曲線'!W5:W1004,100)</ns0:f>
        <ns0:v>197167.98665653646</ns0:v>
      </ns0:c>
      <ns0:c r="F8" s="7">
        <ns0:f>INDEX('利益曲線'!U5:U1004,100)</ns0:f>
        <ns0:v>168018.67123205378</ns0:v>
      </ns0:c>
      <ns0:c r="G8" s="7">
        <ns0:f>INDEX('利益曲線'!V5:V1004,100)</ns0:f>
        <ns0:v>29149.315424482673</ns0:v>
      </ns0:c>
    </ns0:row>
    <ns0:row r="9" ht="24" customHeight="1">
      <ns0:c r="A9" s="6">
        <ns0:f>'前提と出典'!E6</ns0:f>
        <ns0:v>0.5</ns0:v>
      </ns0:c>
      <ns0:c r="B9" s="4">
        <ns0:f>IF(MIN('利益曲線'!AG5:AG1004)&gt;1000,"範囲内なし",MIN('利益曲線'!AG5:AG1004))</ns0:f>
        <ns0:v>25</ns0:v>
      </ns0:c>
      <ns0:c r="C9" s="4">
        <ns0:f>IF(MAX('利益曲線'!AH5:AH1004)&gt;=1000,"範囲内なし",MAX(1,MAX('利益曲線'!AH5:AH1004)+1))</ns0:f>
        <ns0:v>25</ns0:v>
      </ns0:c>
      <ns0:c r="D9" s="4">
        <ns0:f>IF(MAX('利益曲線'!AI5:AI1004)&gt;=1000,"範囲内なし",MAX(1,MAX('利益曲線'!AI5:AI1004)+1))</ns0:f>
        <ns0:v>62</ns0:v>
      </ns0:c>
      <ns0:c r="E9" s="7">
        <ns0:f>INDEX('利益曲線'!Z5:Z1004,100)</ns0:f>
        <ns0:v>164724.58529217273</ns0:v>
      </ns0:c>
      <ns0:c r="F9" s="7">
        <ns0:f>INDEX('利益曲線'!X5:X1004,100)</ns0:f>
        <ns0:v>142879.94199964462</ns0:v>
      </ns0:c>
      <ns0:c r="G9" s="7">
        <ns0:f>INDEX('利益曲線'!Y5:Y1004,100)</ns0:f>
        <ns0:v>21844.643292528097</ns0:v>
      </ns0:c>
    </ns0:row>
    <ns0:row r="10" ht="24" customHeight="1"/>
    <ns0:row r="11" ht="24" customHeight="1"/>
    <ns0:row r="12" ht="42" customHeight="1">
      <ns0:c r="A12" s="5" t="inlineStr">
        <ns0:is>
          <ns0:t>企業数</ns0:t>
        </ns0:is>
      </ns0:c>
      <ns0:c r="B12" s="5" t="inlineStr">
        <ns0:is>
          <ns0:t>総売上</ns0:t>
        </ns0:is>
      </ns0:c>
      <ns0:c r="C12" s="5" t="inlineStr">
        <ns0:is>
          <ns0:t>基本料金net</ns0:t>
        </ns0:is>
      </ns0:c>
      <ns0:c r="D12" s="5" t="inlineStr">
        <ns0:is>
          <ns0:t>従量売上</ns0:t>
        </ns0:is>
      </ns0:c>
      <ns0:c r="E12" s="5" t="inlineStr">
        <ns0:is>
          <ns0:t>率2配分</ns0:t>
        </ns0:is>
      </ns0:c>
      <ns0:c r="F12" s="5" t="inlineStr">
        <ns0:is>
          <ns0:t>DNS仕入</ns0:t>
        </ns0:is>
      </ns0:c>
      <ns0:c r="G12" s="5" t="inlineStr">
        <ns0:is>
          <ns0:t>G+S infra運用</ns0:t>
        </ns0:is>
      </ns0:c>
      <ns0:c r="H12" s="5" t="inlineStr">
        <ns0:is>
          <ns0:t>決済手数料</ns0:t>
        </ns0:is>
      </ns0:c>
      <ns0:c r="I12" s="5" t="inlineStr">
        <ns0:is>
          <ns0:t>率2後差引</ns0:t>
        </ns0:is>
      </ns0:c>
    </ns0:row>
    <ns0:row r="13" ht="24" customHeight="1">
      <ns0:c r="A13" s="4" t="n">
        <ns0:v>10</ns0:v>
      </ns0:c>
      <ns0:c r="B13" s="7">
        <ns0:f>INDEX('利益曲線'!E5:E1004,A13)+INDEX('利益曲線'!F5:F1004,A13)+INDEX('利益曲線'!G5:G1004,A13)+INDEX('利益曲線'!H5:H1004,A13)</ns0:f>
        <ns0:v>59256.47230566239</ns0:v>
      </ns0:c>
      <ns0:c r="C13" s="7">
        <ns0:f>INDEX('利益曲線'!E5:E1004,A13)+INDEX('利益曲線'!F5:F1004,A13)</ns0:f>
        <ns0:v>32443.401364363715</ns0:v>
      </ns0:c>
      <ns0:c r="D13" s="7">
        <ns0:f>INDEX('利益曲線'!G5:G1004,A13)+INDEX('利益曲線'!H5:H1004,A13)</ns0:f>
        <ns0:v>26813.07094129867</ns0:v>
      </ns0:c>
      <ns0:c r="E13" s="7">
        <ns0:f>C13*'前提と出典'!E5</ns0:f>
        <ns0:v>12977.360545745485</ns0:v>
      </ns0:c>
      <ns0:c r="F13" s="7">
        <ns0:f>INDEX('利益曲線'!O5:O1004,A13)</ns0:f>
        <ns0:v>22500</ns0:v>
      </ns0:c>
      <ns0:c r="G13" s="7">
        <ns0:f>INDEX('利益曲線'!I5:I1004,A13)+INDEX('利益曲線'!J5:J1004,A13)+INDEX('利益曲線'!K5:K1004,A13)+INDEX('利益曲線'!L5:L1004,A13)+INDEX('利益曲線'!M5:M1004,A13)+INDEX('利益曲線'!N5:N1004,A13)</ns0:f>
        <ns0:v>49059.08885270178</ns0:v>
      </ns0:c>
      <ns0:c r="H13" s="7">
        <ns0:f>B13*'前提と出典'!$B$7</ns0:f>
        <ns0:v>2133.2330030038456</ns0:v>
      </ns0:c>
      <ns0:c r="I13" s="7">
        <ns0:f>INDEX('利益曲線'!W5:W1004,A13)</ns0:f>
        <ns0:v>-27413.21009578873</ns0:v>
      </ns0:c>
    </ns0:row>
    <ns0:row r="14" ht="24" customHeight="1">
      <ns0:c r="A14" s="4" t="n">
        <ns0:v>30</ns0:v>
      </ns0:c>
      <ns0:c r="B14" s="7">
        <ns0:f>INDEX('利益曲線'!E5:E1004,A14)+INDEX('利益曲線'!F5:F1004,A14)+INDEX('利益曲線'!G5:G1004,A14)+INDEX('利益曲線'!H5:H1004,A14)</ns0:f>
        <ns0:v>177769.41691698716</ns0:v>
      </ns0:c>
      <ns0:c r="C14" s="7">
        <ns0:f>INDEX('利益曲線'!E5:E1004,A14)+INDEX('利益曲線'!F5:F1004,A14)</ns0:f>
        <ns0:v>97330.20409309115</ns0:v>
      </ns0:c>
      <ns0:c r="D14" s="7">
        <ns0:f>INDEX('利益曲線'!G5:G1004,A14)+INDEX('利益曲線'!H5:H1004,A14)</ns0:f>
        <ns0:v>80439.21282389601</ns0:v>
      </ns0:c>
      <ns0:c r="E14" s="7">
        <ns0:f>C14*'前提と出典'!E5</ns0:f>
        <ns0:v>38932.081637236464</ns0:v>
      </ns0:c>
      <ns0:c r="F14" s="7">
        <ns0:f>INDEX('利益曲線'!O5:O1004,A14)</ns0:f>
        <ns0:v>29789.497206703913</ns0:v>
      </ns0:c>
      <ns0:c r="G14" s="7">
        <ns0:f>INDEX('利益曲線'!I5:I1004,A14)+INDEX('利益曲線'!J5:J1004,A14)+INDEX('利益曲線'!K5:K1004,A14)+INDEX('利益曲線'!L5:L1004,A14)+INDEX('利益曲線'!M5:M1004,A14)+INDEX('利益曲線'!N5:N1004,A14)</ns0:f>
        <ns0:v>81655.39730548975</ns0:v>
      </ns0:c>
      <ns0:c r="H14" s="7">
        <ns0:f>B14*'前提と出典'!$B$7</ns0:f>
        <ns0:v>6399.699009011536</ns0:v>
      </ns0:c>
      <ns0:c r="I14" s="7">
        <ns0:f>INDEX('利益曲線'!W5:W1004,A14)</ns0:f>
        <ns0:v>20992.741758545482</ns0:v>
      </ns0:c>
    </ns0:row>
    <ns0:row r="15" ht="24" customHeight="1">
      <ns0:c r="A15" s="4" t="n">
        <ns0:v>50</ns0:v>
      </ns0:c>
      <ns0:c r="B15" s="7">
        <ns0:f>INDEX('利益曲線'!E5:E1004,A15)+INDEX('利益曲線'!F5:F1004,A15)+INDEX('利益曲線'!G5:G1004,A15)+INDEX('利益曲線'!H5:H1004,A15)</ns0:f>
        <ns0:v>296282.36152831186</ns0:v>
      </ns0:c>
      <ns0:c r="C15" s="7">
        <ns0:f>INDEX('利益曲線'!E5:E1004,A15)+INDEX('利益曲線'!F5:F1004,A15)</ns0:f>
        <ns0:v>162217.00682181856</ns0:v>
      </ns0:c>
      <ns0:c r="D15" s="7">
        <ns0:f>INDEX('利益曲線'!G5:G1004,A15)+INDEX('利益曲線'!H5:H1004,A15)</ns0:f>
        <ns0:v>134065.35470649335</ns0:v>
      </ns0:c>
      <ns0:c r="E15" s="7">
        <ns0:f>C15*'前提と出典'!E5</ns0:f>
        <ns0:v>64886.80272872743</ns0:v>
      </ns0:c>
      <ns0:c r="F15" s="7">
        <ns0:f>INDEX('利益曲線'!O5:O1004,A15)</ns0:f>
        <ns0:v>49649.16201117318</ns0:v>
      </ns0:c>
      <ns0:c r="G15" s="7">
        <ns0:f>INDEX('利益曲線'!I5:I1004,A15)+INDEX('利益曲線'!J5:J1004,A15)+INDEX('利益曲線'!K5:K1004,A15)+INDEX('利益曲線'!L5:L1004,A15)+INDEX('利益曲線'!M5:M1004,A15)+INDEX('利益曲線'!N5:N1004,A15)</ns0:f>
        <ns0:v>99751.70575827773</ns0:v>
      </ns0:c>
      <ns0:c r="H15" s="7">
        <ns0:f>B15*'前提と出典'!$B$7</ns0:f>
        <ns0:v>10666.165015019227</ns0:v>
      </ns0:c>
      <ns0:c r="I15" s="7">
        <ns0:f>INDEX('利益曲線'!W5:W1004,A15)</ns0:f>
        <ns0:v>71328.52601511433</ns0:v>
      </ns0:c>
    </ns0:row>
    <ns0:row r="16" ht="24" customHeight="1">
      <ns0:c r="A16" s="4" t="n">
        <ns0:v>100</ns0:v>
      </ns0:c>
      <ns0:c r="B16" s="7">
        <ns0:f>INDEX('利益曲線'!E5:E1004,A16)+INDEX('利益曲線'!F5:F1004,A16)+INDEX('利益曲線'!G5:G1004,A16)+INDEX('利益曲線'!H5:H1004,A16)</ns0:f>
        <ns0:v>592564.7230566237</ns0:v>
      </ns0:c>
      <ns0:c r="C16" s="7">
        <ns0:f>INDEX('利益曲線'!E5:E1004,A16)+INDEX('利益曲線'!F5:F1004,A16)</ns0:f>
        <ns0:v>324434.0136436371</ns0:v>
      </ns0:c>
      <ns0:c r="D16" s="7">
        <ns0:f>INDEX('利益曲線'!G5:G1004,A16)+INDEX('利益曲線'!H5:H1004,A16)</ns0:f>
        <ns0:v>268130.7094129867</ns0:v>
      </ns0:c>
      <ns0:c r="E16" s="7">
        <ns0:f>C16*'前提と出典'!E5</ns0:f>
        <ns0:v>129773.60545745486</ns0:v>
      </ns0:c>
      <ns0:c r="F16" s="7">
        <ns0:f>INDEX('利益曲線'!O5:O1004,A16)</ns0:f>
        <ns0:v>99298.32402234637</ns0:v>
      </ns0:c>
      <ns0:c r="G16" s="7">
        <ns0:f>INDEX('利益曲線'!I5:I1004,A16)+INDEX('利益曲線'!J5:J1004,A16)+INDEX('利益曲線'!K5:K1004,A16)+INDEX('利益曲線'!L5:L1004,A16)+INDEX('利益曲線'!M5:M1004,A16)+INDEX('利益曲線'!N5:N1004,A16)</ns0:f>
        <ns0:v>144992.47689024766</ns0:v>
      </ns0:c>
      <ns0:c r="H16" s="7">
        <ns0:f>B16*'前提と出典'!$B$7</ns0:f>
        <ns0:v>21332.330030038454</ns0:v>
      </ns0:c>
      <ns0:c r="I16" s="7">
        <ns0:f>INDEX('利益曲線'!W5:W1004,A16)</ns0:f>
        <ns0:v>197167.98665653646</ns0:v>
      </ns0:c>
    </ns0:row>
    <ns0:row r="17" ht="24" customHeight="1">
      <ns0:c r="A17" s="4" t="n">
        <ns0:v>300</ns0:v>
      </ns0:c>
      <ns0:c r="B17" s="7">
        <ns0:f>INDEX('利益曲線'!E5:E1004,A17)+INDEX('利益曲線'!F5:F1004,A17)+INDEX('利益曲線'!G5:G1004,A17)+INDEX('利益曲線'!H5:H1004,A17)</ns0:f>
        <ns0:v>1777694.1691698716</ns0:v>
      </ns0:c>
      <ns0:c r="C17" s="7">
        <ns0:f>INDEX('利益曲線'!E5:E1004,A17)+INDEX('利益曲線'!F5:F1004,A17)</ns0:f>
        <ns0:v>973302.0409309114</ns0:v>
      </ns0:c>
      <ns0:c r="D17" s="7">
        <ns0:f>INDEX('利益曲線'!G5:G1004,A17)+INDEX('利益曲線'!H5:H1004,A17)</ns0:f>
        <ns0:v>804392.1282389602</ns0:v>
      </ns0:c>
      <ns0:c r="E17" s="7">
        <ns0:f>C17*'前提と出典'!E5</ns0:f>
        <ns0:v>389320.8163723645</ns0:v>
      </ns0:c>
      <ns0:c r="F17" s="7">
        <ns0:f>INDEX('利益曲線'!O5:O1004,A17)</ns0:f>
        <ns0:v>297894.9720670391</ns0:v>
      </ns0:c>
      <ns0:c r="G17" s="7">
        <ns0:f>INDEX('利益曲線'!I5:I1004,A17)+INDEX('利益曲線'!J5:J1004,A17)+INDEX('利益曲線'!K5:K1004,A17)+INDEX('利益曲線'!L5:L1004,A17)+INDEX('利益曲線'!M5:M1004,A17)+INDEX('利益曲線'!N5:N1004,A17)</ns0:f>
        <ns0:v>367955.5614181274</ns0:v>
      </ns0:c>
      <ns0:c r="H17" s="7">
        <ns0:f>B17*'前提と出典'!$B$7</ns0:f>
        <ns0:v>63996.990090115374</ns0:v>
      </ns0:c>
      <ns0:c r="I17" s="7">
        <ns0:f>INDEX('利益曲線'!W5:W1004,A17)</ns0:f>
        <ns0:v>658525.8292222251</ns0:v>
      </ns0:c>
    </ns0:row>
    <ns0:row r="18" ht="24" customHeight="1">
      <ns0:c r="A18" s="4" t="n">
        <ns0:v>1000</ns0:v>
      </ns0:c>
      <ns0:c r="B18" s="7">
        <ns0:f>INDEX('利益曲線'!E5:E1004,A18)+INDEX('利益曲線'!F5:F1004,A18)+INDEX('利益曲線'!G5:G1004,A18)+INDEX('利益曲線'!H5:H1004,A18)</ns0:f>
        <ns0:v>5925647.230566238</ns0:v>
      </ns0:c>
      <ns0:c r="C18" s="7">
        <ns0:f>INDEX('利益曲線'!E5:E1004,A18)+INDEX('利益曲線'!F5:F1004,A18)</ns0:f>
        <ns0:v>3244340.136436371</ns0:v>
      </ns0:c>
      <ns0:c r="D18" s="7">
        <ns0:f>INDEX('利益曲線'!G5:G1004,A18)+INDEX('利益曲線'!H5:H1004,A18)</ns0:f>
        <ns0:v>2681307.094129867</ns0:v>
      </ns0:c>
      <ns0:c r="E18" s="7">
        <ns0:f>C18*'前提と出典'!E5</ns0:f>
        <ns0:v>1297736.0545745485</ns0:v>
      </ns0:c>
      <ns0:c r="F18" s="7">
        <ns0:f>INDEX('利益曲線'!O5:O1004,A18)</ns0:f>
        <ns0:v>992983.2402234637</ns0:v>
      </ns0:c>
      <ns0:c r="G18" s="7">
        <ns0:f>INDEX('利益曲線'!I5:I1004,A18)+INDEX('利益曲線'!J5:J1004,A18)+INDEX('利益曲線'!K5:K1004,A18)+INDEX('利益曲線'!L5:L1004,A18)+INDEX('利益曲線'!M5:M1004,A18)+INDEX('利益曲線'!N5:N1004,A18)</ns0:f>
        <ns0:v>1071326.3572657064</ns0:v>
      </ns0:c>
      <ns0:c r="H18" s="7">
        <ns0:f>B18*'前提と出典'!$B$7</ns0:f>
        <ns0:v>213323.30030038455</ns0:v>
      </ns0:c>
      <ns0:c r="I18" s="7">
        <ns0:f>INDEX('利益曲線'!W5:W1004,A18)</ns0:f>
        <ns0:v>2350278.278202135</ns0:v>
      </ns0:c>
    </ns0:row>
    <ns0:row r="19" ht="24" customHeight="1"/>
    <ns0:row r="20" ht="24" customHeight="1"/>
    <ns0:row r="21" ht="42" customHeight="1">
      <ns0:c r="A21" s="5" t="inlineStr">
        <ns0:is>
          <ns0:t>共通率</ns0:t>
        </ns0:is>
      </ns0:c>
      <ns0:c r="B21" s="5" t="inlineStr">
        <ns0:is>
          <ns0:t>単月黒字月</ns0:t>
        </ns0:is>
      </ns0:c>
      <ns0:c r="C21" s="5" t="inlineStr">
        <ns0:is>
          <ns0:t>累積回収月</ns0:t>
        </ns0:is>
      </ns0:c>
      <ns0:c r="D21" s="5" t="inlineStr">
        <ns0:is>
          <ns0:t>最大累積赤字</ns0:t>
        </ns0:is>
      </ns0:c>
      <ns0:c r="E21" s="5" t="inlineStr">
        <ns0:is>
          <ns0:t>36月累積差引</ns0:t>
        </ns0:is>
      </ns0:c>
      <ns0:c r="F21" s="5" t="n"/>
      <ns0:c r="G21" s="5" t="n"/>
      <ns0:c r="H21" s="5" t="n"/>
      <ns0:c r="I21" s="5" t="n"/>
    </ns0:row>
    <ns0:row r="22" ht="24" customHeight="1">
      <ns0:c r="A22" s="6">
        <ns0:f>'前提と出典'!E4</ns0:f>
        <ns0:v>0.3</ns0:v>
      </ns0:c>
      <ns0:c r="B22" s="4">
        <ns0:f>IF(MIN('累積回収'!AH5:AH40)&gt;36,"36月内なし",MIN('累積回収'!AH5:AH40))</ns0:f>
        <ns0:v>7</ns0:v>
      </ns0:c>
      <ns0:c r="C22" s="4">
        <ns0:f>IF(MIN('累積回収'!AI5:AI40)&gt;36,"36月内なし",MIN('累積回収'!AI5:AI40))</ns0:f>
        <ns0:v>13</ns0:v>
      </ns0:c>
      <ns0:c r="D22" s="7">
        <ns0:f>MAX('累積回収'!AE5:AE40)</ns0:f>
        <ns0:v>158010.6003560275</ns0:v>
      </ns0:c>
      <ns0:c r="E22" s="7">
        <ns0:f>'累積回収'!AB40</ns0:f>
        <ns0:v>3702780.952122906</ns0:v>
      </ns0:c>
    </ns0:row>
    <ns0:row r="23" ht="24" customHeight="1">
      <ns0:c r="A23" s="6">
        <ns0:f>'前提と出典'!E5</ns0:f>
        <ns0:v>0.4</ns0:v>
      </ns0:c>
      <ns0:c r="B23" s="4">
        <ns0:f>IF(MIN('累積回収'!AJ5:AJ40)&gt;36,"36月内なし",MIN('累積回収'!AJ5:AJ40))</ns0:f>
        <ns0:v>8</ns0:v>
      </ns0:c>
      <ns0:c r="C23" s="4">
        <ns0:f>IF(MIN('累積回収'!AK5:AK40)&gt;36,"36月内なし",MIN('累積回収'!AK5:AK40))</ns0:f>
        <ns0:v>14</ns0:v>
      </ns0:c>
      <ns0:c r="D23" s="7">
        <ns0:f>MAX('累積回収'!AF5:AF40)</ns0:f>
        <ns0:v>181755.65632779445</ns0:v>
      </ns0:c>
      <ns0:c r="E23" s="7">
        <ns0:f>'累積回収'!AC40</ns0:f>
        <ns0:v>3054561.792862919</ns0:v>
      </ns0:c>
    </ns0:row>
    <ns0:row r="24" ht="24" customHeight="1">
      <ns0:c r="A24" s="6">
        <ns0:f>'前提と出典'!E6</ns0:f>
        <ns0:v>0.5</ns0:v>
      </ns0:c>
      <ns0:c r="B24" s="4">
        <ns0:f>IF(MIN('累積回収'!AL5:AL40)&gt;36,"36月内なし",MIN('累積回収'!AL5:AL40))</ns0:f>
        <ns0:v>9</ns0:v>
      </ns0:c>
      <ns0:c r="C24" s="4">
        <ns0:f>IF(MIN('累積回収'!AM5:AM40)&gt;36,"36月内なし",MIN('累積回収'!AM5:AM40))</ns0:f>
        <ns0:v>16</ns0:v>
      </ns0:c>
      <ns0:c r="D24" s="7">
        <ns0:f>MAX('累積回収'!AG5:AG40)</ns0:f>
        <ns0:v>210902.5233197324</ns0:v>
      </ns0:c>
      <ns0:c r="E24" s="7">
        <ns0:f>'累積回収'!AD40</ns0:f>
        <ns0:v>2406342.633602932</ns0:v>
      </ns0:c>
    </ns0:row>
    <ns0:row r="25" ht="24" customHeight="1"/>
    <ns0:row r="26" ht="24" customHeight="1"/>
    <ns0:row r="27" ht="24" customHeight="1">
      <ns0:c r="A27" s="3" t="inlineStr">
        <ns0:is>
          <ns0:t>初期費用</ns0:t>
        </ns0:is>
      </ns0:c>
      <ns0:c r="B27" s="4" t="str">
        <ns0:f>IF('前提と出典'!$B$32="","未入力・未算入",'前提と出典'!$B$32)</ns0:f>
        <ns0:v>未入力・未算入</ns0:v>
      </ns0:c>
    </ns0:row>
    <ns0:row r="28" ht="24" customHeight="1">
      <ns0:c r="A28" s="3" t="inlineStr">
        <ns0:is>
          <ns0:t>導入率からの対象企業数</ns0:t>
        </ns0:is>
      </ns0:c>
      <ns0:c r="B28" s="4">
        <ns0:f>'前提と出典'!$B$28*'前提と出典'!$B$29</ns0:f>
        <ns0:v>100</ns0:v>
      </ns0:c>
    </ns0:row>
    <ns0:row r="29" ht="24" customHeight="1">
      <ns0:c r="A29" s="3" t="inlineStr">
        <ns0:is>
          <ns0:t>参照Guard/Send/Set対象率</ns0:t>
        </ns0:is>
      </ns0:c>
      <ns0:c r="B29" s="4">
        <ns0:f>'契約別単価'!B5</ns0:f>
        <ns0:v>0.8950000000000001</ns0:v>
      </ns0:c>
      <ns0:c r="C29" s="4">
        <ns0:f>'契約別単価'!B6</ns0:f>
        <ns0:v>0.995</ns0:v>
      </ns0:c>
      <ns0:c r="D29" s="4">
        <ns0:f>'契約別単価'!B7</ns0:f>
        <ns0:v>0.8950000000000001</ns0:v>
      </ns0:c>
    </ns0:row>
    <ns0:row r="30" ht="24" customHeight="1"/>
    <ns0:row r="31" ht="38" customHeight="1">
      <ns0:c r="A31" s="2" t="inlineStr">
        <ns0:is>
          <ns0:t>各価格・比率・為替・利用・割引は前提と出典で変更。契約形態だけの評価はB34で1/2/3を選択。</ns0:t>
        </ns0:is>
      </ns0:c>
    </ns0:row>
    <ns0:row r="32" ht="38" customHeight="1">
      <ns0:c r="A32" s="2" t="inlineStr">
        <ns0:is>
          <ns0:t>セット合計黒字とGuard/Send独立黒字を分ける。51送信者以上・101PC以上は要見積。</ns0:t>
        </ns0:is>
      </ns0:c>
    </ns0:row>
    <ns0:row r="33" ht="38" customHeight="1">
      <ns0:c r="A33" s="2" t="inlineStr">
        <ns0:is>
          <ns0:t>同一企業の規模仮説はPR14のPC帯を再利用。前回の全国従業者ベンチマークによるSend分布と別の感度。</ns0:t>
        </ns0:is>
      </ns0:c>
    </ns0:row>
    <ns0:row r="34" ht="24" customHeight="1"/>
    <ns0:row r="35" ht="42" customHeight="1">
      <ns0:c r="A35" s="5" t="inlineStr">
        <ns0:is>
          <ns0:t>共通率</ns0:t>
        </ns0:is>
      </ns0:c>
      <ns0:c r="B35" s="5" t="inlineStr">
        <ns0:is>
          <ns0:t>導入目標社数時の差引</ns0:t>
        </ns0:is>
      </ns0:c>
      <ns0:c r="C35" s="5" t="inlineStr">
        <ns0:is>
          <ns0:t>導入目標時DNS原価</ns0:t>
        </ns0:is>
      </ns0:c>
      <ns0:c r="D35" s="5" t="n"/>
      <ns0:c r="E35" s="5" t="n"/>
      <ns0:c r="F35" s="5" t="n"/>
      <ns0:c r="G35" s="5" t="n"/>
      <ns0:c r="H35" s="5" t="n"/>
      <ns0:c r="I35" s="5" t="n"/>
    </ns0:row>
    <ns0:row r="36" ht="24" customHeight="1">
      <ns0:c r="A36" s="6">
        <ns0:f>'前提と出典'!E4</ns0:f>
        <ns0:v>0.3</ns0:v>
      </ns0:c>
      <ns0:c r="B36" s="7">
        <ns0:f>IF(OR(B28&lt;1,B28&gt;1000),"評価範囲外",INDEX('利益曲線'!T5:T1004,ROUNDUP(B28,0)))</ns0:f>
        <ns0:v>229611.38802090014</ns0:v>
      </ns0:c>
      <ns0:c r="C36" s="7">
        <ns0:f>IF(OR(B28&lt;1,B28&gt;1000),"評価範囲外",INDEX('利益曲線'!O5:O1004,ROUNDUP(B28,0)))</ns0:f>
        <ns0:v>99298.32402234637</ns0:v>
      </ns0:c>
    </ns0:row>
    <ns0:row r="37" ht="24" customHeight="1">
      <ns0:c r="A37" s="6">
        <ns0:f>'前提と出典'!E5</ns0:f>
        <ns0:v>0.4</ns0:v>
      </ns0:c>
      <ns0:c r="B37" s="7">
        <ns0:f>IF(OR(B28&lt;1,B28&gt;1000),"評価範囲外",INDEX('利益曲線'!W5:W1004,ROUNDUP(B28,0)))</ns0:f>
        <ns0:v>197167.98665653646</ns0:v>
      </ns0:c>
      <ns0:c r="C37" s="7">
        <ns0:f>IF(OR(B28&lt;1,B28&gt;1000),"評価範囲外",INDEX('利益曲線'!O5:O1004,ROUNDUP(B28,0)))</ns0:f>
        <ns0:v>99298.32402234637</ns0:v>
      </ns0:c>
    </ns0:row>
    <ns0:row r="38" ht="24" customHeight="1">
      <ns0:c r="A38" s="6">
        <ns0:f>'前提と出典'!E6</ns0:f>
        <ns0:v>0.5</ns0:v>
      </ns0:c>
      <ns0:c r="B38" s="7">
        <ns0:f>IF(OR(B28&lt;1,B28&gt;1000),"評価範囲外",INDEX('利益曲線'!Z5:Z1004,ROUNDUP(B28,0)))</ns0:f>
        <ns0:v>164724.58529217273</ns0:v>
      </ns0:c>
      <ns0:c r="C38" s="7">
        <ns0:f>IF(OR(B28&lt;1,B28&gt;1000),"評価範囲外",INDEX('利益曲線'!O5:O1004,ROUNDUP(B28,0)))</ns0:f>
        <ns0:v>99298.32402234637</ns0:v>
      </ns0:c>
    </ns0:row>
    <ns0:row r="39" ht="24" customHeight="1"/>
    <ns0:row r="40" ht="24" customHeight="1">
      <ns0:c r="A40" s="3" t="inlineStr">
        <ns0:is>
          <ns0:t>導入目標と対象社数の整合</ns0:t>
        </ns0:is>
      </ns0:c>
      <ns0:c r="B40" s="4" t="str">
        <ns0:f>IF(AND(B28*('前提と出典'!C36+'前提と出典'!C38)&lt;='前提と出典'!B28*'契約別単価'!B5,B28*('前提と出典'!C37+'前提と出典'!C38)&lt;='前提と出典'!B28*'契約別単価'!B6,B28*'前提と出典'!C38&lt;='前提と出典'!B28*'契約別単価'!B7),"仮定内","構成比を再設定")</ns0:f>
        <ns0:v>仮定内</ns0:v>
      </ns0:c>
    </ns0:row>
    <ns0:row r="41" ht="24" customHeight="1"/>
    <ns0:row r="42" ht="24" customHeight="1">
      <ns0:c r="A42" s="3" t="inlineStr">
        <ns0:is>
          <ns0:t>C案：今回指定料金を優先。固定条件比較は今回144ケース。30%は参考、40%と50%を比較。</ns0:t>
        </ns0:is>
      </ns0:c>
    </ns0:row>
  </ns0:sheetData>
  <ns0:mergeCells count="5">
    <ns0:mergeCell ref="A2:I2"/>
    <ns0:mergeCell ref="A33:I33"/>
    <ns0:mergeCell ref="A32:I32"/>
    <ns0:mergeCell ref="A1:I1"/>
    <ns0:mergeCell ref="A31:I31"/>
  </ns0:mergeCells>
  <ns0:conditionalFormatting sqref="E7:G9">
    <ns0:cfRule type="cellIs" priority="1" operator="lessThan" dxfId="0">
      <ns0:formula>0</ns0:formula>
    </ns0:cfRule>
  </ns0:conditionalFormatting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A1:I95"/>
  <ns0:sheetViews>
    <ns0:sheetView showGridLines="0" workbookViewId="0">
      <ns0:selection activeCell="A1" sqref="A1"/>
    </ns0:sheetView>
  </ns0:sheetViews>
  <ns0:sheetFormatPr baseColWidth="8" defaultRowHeight="15"/>
  <ns0:cols>
    <ns0:col width="44" customWidth="1" min="1" max="1"/>
    <ns0:col width="25" customWidth="1" min="2" max="2"/>
    <ns0:col width="19" customWidth="1" min="3" max="3"/>
    <ns0:col width="19" customWidth="1" min="4" max="4"/>
    <ns0:col width="19" customWidth="1" min="5" max="5"/>
    <ns0:col width="19" customWidth="1" min="6" max="6"/>
    <ns0:col width="19" customWidth="1" min="7" max="7"/>
    <ns0:col width="19" customWidth="1" min="8" max="8"/>
    <ns0:col width="19" customWidth="1" min="9" max="9"/>
  </ns0:cols>
  <ns0:sheetData>
    <ns0:row r="1" ht="32" customHeight="1">
      <ns0:c r="A1" s="1" t="inlineStr">
        <ns0:is>
          <ns0:t>Secure Services 共通料金・原価の設定</ns0:t>
        </ns0:is>
      </ns0:c>
    </ns0:row>
    <ns0:row r="2" ht="48" customHeight="1">
      <ns0:c r="A2" s="2" t="inlineStr">
        <ns0:is>
          <ns0:t>青字は仮定・選択。実請求・公表・仮定を区分。料金・配分は正式決定ではない。</ns0:t>
        </ns0:is>
      </ns0:c>
    </ns0:row>
    <ns0:row r="3" ht="24" customHeight="1"/>
    <ns0:row r="4" ht="24" customHeight="1">
      <ns0:c r="A4" s="3" t="inlineStr">
        <ns0:is>
          <ns0:t>為替 JPY/USD</ns0:t>
        </ns0:is>
      </ns0:c>
      <ns0:c r="B4" s="8" t="n">
        <ns0:v>150</ns0:v>
      </ns0:c>
      <ns0:c r="D4" s="3" t="inlineStr">
        <ns0:is>
          <ns0:t>シェア率比較</ns0:t>
        </ns0:is>
      </ns0:c>
      <ns0:c r="E4" s="9" t="n">
        <ns0:v>0.3</ns0:v>
      </ns0:c>
    </ns0:row>
    <ns0:row r="5" ht="24" customHeight="1">
      <ns0:c r="A5" s="3" t="inlineStr">
        <ns0:is>
          <ns0:t>DNS単価 USD/台</ns0:t>
        </ns0:is>
      </ns0:c>
      <ns0:c r="B5" s="8" t="n">
        <ns0:v>0.92</ns0:v>
      </ns0:c>
      <ns0:c r="D5" s="3" t="inlineStr">
        <ns0:is>
          <ns0:t>シェア率比較</ns0:t>
        </ns0:is>
      </ns0:c>
      <ns0:c r="E5" s="9" t="n">
        <ns0:v>0.4</ns0:v>
      </ns0:c>
    </ns0:row>
    <ns0:row r="6" ht="24" customHeight="1">
      <ns0:c r="A6" s="3" t="inlineStr">
        <ns0:is>
          <ns0:t>MSP最低 USD/月</ns0:t>
        </ns0:is>
      </ns0:c>
      <ns0:c r="B6" s="8" t="n">
        <ns0:v>150</ns0:v>
      </ns0:c>
      <ns0:c r="D6" s="3" t="inlineStr">
        <ns0:is>
          <ns0:t>シェア率比較</ns0:t>
        </ns0:is>
      </ns0:c>
      <ns0:c r="E6" s="9" t="n">
        <ns0:v>0.5</ns0:v>
      </ns0:c>
    </ns0:row>
    <ns0:row r="7" ht="24" customHeight="1">
      <ns0:c r="A7" s="3" t="inlineStr">
        <ns0:is>
          <ns0:t>決済手数料率</ns0:t>
        </ns0:is>
      </ns0:c>
      <ns0:c r="B7" s="10" t="n">
        <ns0:v>0.036</ns0:v>
      </ns0:c>
    </ns0:row>
    <ns0:row r="8" ht="24" customHeight="1">
      <ns0:c r="A8" s="3" t="inlineStr">
        <ns0:is>
          <ns0:t>運用時給</ns0:t>
        </ns0:is>
      </ns0:c>
      <ns0:c r="B8" s="8" t="n">
        <ns0:v>4000</ns0:v>
      </ns0:c>
    </ns0:row>
    <ns0:row r="9" ht="24" customHeight="1">
      <ns0:c r="A9" s="3" t="inlineStr">
        <ns0:is>
          <ns0:t>Guard support分/社</ns0:t>
        </ns0:is>
      </ns0:c>
      <ns0:c r="B9" s="8" t="n">
        <ns0:v>8</ns0:v>
      </ns0:c>
    </ns0:row>
    <ns0:row r="10" ht="24" customHeight="1">
      <ns0:c r="A10" s="3" t="inlineStr">
        <ns0:is>
          <ns0:t>Guard support分/PC</ns0:t>
        </ns0:is>
      </ns0:c>
      <ns0:c r="B10" s="8" t="n">
        <ns0:v>0.1</ns0:v>
      </ns0:c>
      <ns0:c r="D10" s="3" t="inlineStr">
        <ns0:is>
          <ns0:t>低位送信職務倍率</ns0:t>
        </ns0:is>
      </ns0:c>
      <ns0:c r="E10" s="8" t="n">
        <ns0:v>0.5</ns0:v>
      </ns0:c>
    </ns0:row>
    <ns0:row r="11" ht="24" customHeight="1">
      <ns0:c r="A11" s="3" t="inlineStr">
        <ns0:is>
          <ns0:t>Guard変動JPY/社</ns0:t>
        </ns0:is>
      </ns0:c>
      <ns0:c r="B11" s="8" t="n">
        <ns0:v>50</ns0:v>
      </ns0:c>
      <ns0:c r="D11" s="3" t="inlineStr">
        <ns0:is>
          <ns0:t>基準送信職務倍率</ns0:t>
        </ns0:is>
      </ns0:c>
      <ns0:c r="E11" s="8" t="n">
        <ns0:v>1</ns0:v>
      </ns0:c>
    </ns0:row>
    <ns0:row r="12" ht="24" customHeight="1">
      <ns0:c r="A12" s="3" t="inlineStr">
        <ns0:is>
          <ns0:t>Guard変動JPY/PC</ns0:t>
        </ns0:is>
      </ns0:c>
      <ns0:c r="B12" s="8" t="n">
        <ns0:v>1</ns0:v>
      </ns0:c>
      <ns0:c r="D12" s="3" t="inlineStr">
        <ns0:is>
          <ns0:t>高位送信職務倍率</ns0:t>
        </ns0:is>
      </ns0:c>
      <ns0:c r="E12" s="8" t="n">
        <ns0:v>1.5</ns0:v>
      </ns0:c>
    </ns0:row>
    <ns0:row r="13" ht="24" customHeight="1">
      <ns0:c r="A13" s="3" t="inlineStr">
        <ns0:is>
          <ns0:t>Send送信者JPY/名</ns0:t>
        </ns0:is>
      </ns0:c>
      <ns0:c r="B13" s="8" t="n">
        <ns0:v>200</ns0:v>
      </ns0:c>
    </ns0:row>
    <ns0:row r="14" ht="24" customHeight="1">
      <ns0:c r="A14" s="3" t="inlineStr">
        <ns0:is>
          <ns0:t>同一企業シナリオ0低1基2高</ns0:t>
        </ns0:is>
      </ns0:c>
      <ns0:c r="B14" s="8" t="n">
        <ns0:v>1</ns0:v>
      </ns0:c>
    </ns0:row>
    <ns0:row r="15" ht="24" customHeight="1">
      <ns0:c r="A15" s="3" t="inlineStr">
        <ns0:is>
          <ns0:t>Guard案0現行1二段2三段</ns0:t>
        </ns0:is>
      </ns0:c>
      <ns0:c r="B15" s="8" t="n">
        <ns0:v>1</ns0:v>
      </ns0:c>
    </ns0:row>
    <ns0:row r="16" ht="24" customHeight="1">
      <ns0:c r="A16" s="3" t="inlineStr">
        <ns0:is>
          <ns0:t>Send案0A1C2D</ns0:t>
        </ns0:is>
      </ns0:c>
      <ns0:c r="B16" s="8" t="n">
        <ns0:v>2</ns0:v>
      </ns0:c>
    </ns0:row>
    <ns0:row r="17" ht="24" customHeight="1">
      <ns0:c r="A17" s="3" t="inlineStr">
        <ns0:is>
          <ns0:t>セット基本割引</ns0:t>
        </ns0:is>
      </ns0:c>
      <ns0:c r="B17" s="8" t="n">
        <ns0:v>1000</ns0:v>
      </ns0:c>
    </ns0:row>
    <ns0:row r="18" ht="24" customHeight="1">
      <ns0:c r="A18" s="3" t="inlineStr">
        <ns0:is>
          <ns0:t>Send利用0低1標2高3上限</ns0:t>
        </ns0:is>
      </ns0:c>
      <ns0:c r="B18" s="8" t="n">
        <ns0:v>1</ns0:v>
      </ns0:c>
    </ns0:row>
    <ns0:row r="19" ht="24" customHeight="1">
      <ns0:c r="A19" s="3" t="inlineStr">
        <ns0:is>
          <ns0:t>割引按分0比例1Guard負担</ns0:t>
        </ns0:is>
      </ns0:c>
      <ns0:c r="B19" s="8" t="n">
        <ns0:v>0</ns0:v>
      </ns0:c>
    </ns0:row>
    <ns0:row r="20" ht="24" customHeight="1">
      <ns0:c r="A20" s="3" t="inlineStr">
        <ns0:is>
          <ns0:t>MSP原価0最低内包1加算</ns0:t>
        </ns0:is>
      </ns0:c>
      <ns0:c r="B20" s="8" t="n">
        <ns0:v>0</ns0:v>
      </ns0:c>
    </ns0:row>
    <ns0:row r="21" ht="24" customHeight="1">
      <ns0:c r="A21" s="3" t="inlineStr">
        <ns0:is>
          <ns0:t>現場中心企業の仮比率</ns0:t>
        </ns0:is>
      </ns0:c>
      <ns0:c r="B21" s="10" t="n">
        <ns0:v>0.7</ns0:v>
      </ns0:c>
    </ns0:row>
    <ns0:row r="22" ht="24" customHeight="1">
      <ns0:c r="A22" s="3" t="inlineStr">
        <ns0:is>
          <ns0:t>現場型の従業者倍率</ns0:t>
        </ns0:is>
      </ns0:c>
      <ns0:c r="B22" s="8" t="n">
        <ns0:v>1.5</ns0:v>
      </ns0:c>
    </ns0:row>
    <ns0:row r="23" ht="24" customHeight="1">
      <ns0:c r="A23" s="3" t="inlineStr">
        <ns0:is>
          <ns0:t>事務型の従業者倍率</ns0:t>
        </ns0:is>
      </ns0:c>
      <ns0:c r="B23" s="8" t="n">
        <ns0:v>0.75</ns0:v>
      </ns0:c>
    </ns0:row>
    <ns0:row r="24" ht="24" customHeight="1">
      <ns0:c r="A24" s="3" t="inlineStr">
        <ns0:is>
          <ns0:t>現場型の送信者職務率</ns0:t>
        </ns0:is>
      </ns0:c>
      <ns0:c r="B24" s="8" t="n">
        <ns0:v>0.1</ns0:v>
      </ns0:c>
    </ns0:row>
    <ns0:row r="25" ht="24" customHeight="1">
      <ns0:c r="A25" s="3" t="inlineStr">
        <ns0:is>
          <ns0:t>事務型の送信者職務率</ns0:t>
        </ns0:is>
      </ns0:c>
      <ns0:c r="B25" s="8" t="n">
        <ns0:v>0.3</ns0:v>
      </ns0:c>
    </ns0:row>
    <ns0:row r="26" ht="24" customHeight="1">
      <ns0:c r="A26" s="3" t="inlineStr">
        <ns0:is>
          <ns0:t>UL上限GiB/送信者月</ns0:t>
        </ns0:is>
      </ns0:c>
      <ns0:c r="B26" s="8" t="n">
        <ns0:v>1</ns0:v>
      </ns0:c>
    </ns0:row>
    <ns0:row r="27" ht="24" customHeight="1">
      <ns0:c r="A27" s="3" t="inlineStr">
        <ns0:is>
          <ns0:t>DL予算GiB/送信者月</ns0:t>
        </ns0:is>
      </ns0:c>
      <ns0:c r="B27" s="8" t="n">
        <ns0:v>2</ns0:v>
      </ns0:c>
    </ns0:row>
    <ns0:row r="28" ht="24" customHeight="1">
      <ns0:c r="A28" s="3" t="inlineStr">
        <ns0:is>
          <ns0:t>仮市場企業数</ns0:t>
        </ns0:is>
      </ns0:c>
      <ns0:c r="B28" s="8" t="n">
        <ns0:v>10000</ns0:v>
      </ns0:c>
    </ns0:row>
    <ns0:row r="29" ht="24" customHeight="1">
      <ns0:c r="A29" s="3" t="inlineStr">
        <ns0:is>
          <ns0:t>導入率・予測ではない</ns0:t>
        </ns0:is>
      </ns0:c>
      <ns0:c r="B29" s="10" t="n">
        <ns0:v>0.01</ns0:v>
      </ns0:c>
    </ns0:row>
    <ns0:row r="30" ht="24" customHeight="1">
      <ns0:c r="A30" s="3" t="inlineStr">
        <ns0:is>
          <ns0:t>月間新規企業数</ns0:t>
        </ns0:is>
      </ns0:c>
      <ns0:c r="B30" s="8" t="n">
        <ns0:v>3</ns0:v>
      </ns0:c>
    </ns0:row>
    <ns0:row r="31" ht="24" customHeight="1">
      <ns0:c r="A31" s="3" t="inlineStr">
        <ns0:is>
          <ns0:t>月間解約率</ns0:t>
        </ns0:is>
      </ns0:c>
      <ns0:c r="B31" s="10" t="n">
        <ns0:v>0</ns0:v>
      </ns0:c>
    </ns0:row>
    <ns0:row r="32" ht="24" customHeight="1">
      <ns0:c r="A32" s="3" t="inlineStr">
        <ns0:is>
          <ns0:t>初期投資JPY・未入力除外</ns0:t>
        </ns0:is>
      </ns0:c>
      <ns0:c r="B32" s="3" t="n"/>
    </ns0:row>
    <ns0:row r="33" ht="24" customHeight="1">
      <ns0:c r="A33" s="3" t="inlineStr">
        <ns0:is>
          <ns0:t>Guard従量0一律1累進</ns0:t>
        </ns0:is>
      </ns0:c>
      <ns0:c r="B33" s="8" t="n">
        <ns0:v>1</ns0:v>
      </ns0:c>
    </ns0:row>
    <ns0:row r="34" ht="24" customHeight="1">
      <ns0:c r="A34" s="3" t="inlineStr">
        <ns0:is>
          <ns0:t>契約構成0下記1G2S3セット</ns0:t>
        </ns0:is>
      </ns0:c>
      <ns0:c r="B34" s="8" t="n">
        <ns0:v>0</ns0:v>
      </ns0:c>
    </ns0:row>
    <ns0:row r="35" ht="42" customHeight="1">
      <ns0:c r="A35" s="5" t="inlineStr">
        <ns0:is>
          <ns0:t>契約構成</ns0:t>
        </ns0:is>
      </ns0:c>
      <ns0:c r="B35" s="5" t="inlineStr">
        <ns0:is>
          <ns0:t>入力比率</ns0:t>
        </ns0:is>
      </ns0:c>
      <ns0:c r="C35" s="5" t="inlineStr">
        <ns0:is>
          <ns0:t>正規化・有効比率</ns0:t>
        </ns0:is>
      </ns0:c>
      <ns0:c r="D35" s="5" t="n"/>
      <ns0:c r="E35" s="5" t="n"/>
      <ns0:c r="F35" s="5" t="n"/>
      <ns0:c r="G35" s="5" t="n"/>
      <ns0:c r="H35" s="5" t="n"/>
      <ns0:c r="I35" s="5" t="n"/>
    </ns0:row>
    <ns0:row r="36" ht="24" customHeight="1">
      <ns0:c r="A36" s="3" t="inlineStr">
        <ns0:is>
          <ns0:t>Guardのみ</ns0:t>
        </ns0:is>
      </ns0:c>
      <ns0:c r="B36" s="10" t="n">
        <ns0:v>0.4</ns0:v>
      </ns0:c>
      <ns0:c r="C36" s="11">
        <ns0:f>IF($B$34=0,B36/SUM($B$36:$B$38),IF($B$34=1,1,0))</ns0:f>
        <ns0:v>0.4</ns0:v>
      </ns0:c>
    </ns0:row>
    <ns0:row r="37" ht="24" customHeight="1">
      <ns0:c r="A37" s="3" t="inlineStr">
        <ns0:is>
          <ns0:t>Sendのみ</ns0:t>
        </ns0:is>
      </ns0:c>
      <ns0:c r="B37" s="10" t="n">
        <ns0:v>0.3</ns0:v>
      </ns0:c>
      <ns0:c r="C37" s="11">
        <ns0:f>IF($B$34=0,B37/SUM($B$36:$B$38),IF($B$34=2,1,0))</ns0:f>
        <ns0:v>0.3</ns0:v>
      </ns0:c>
    </ns0:row>
    <ns0:row r="38" ht="24" customHeight="1">
      <ns0:c r="A38" s="3" t="inlineStr">
        <ns0:is>
          <ns0:t>セット</ns0:t>
        </ns0:is>
      </ns0:c>
      <ns0:c r="B38" s="10" t="n">
        <ns0:v>0.3</ns0:v>
      </ns0:c>
      <ns0:c r="C38" s="11">
        <ns0:f>IF($B$34=0,B38/SUM($B$36:$B$38),IF($B$34=3,1,0))</ns0:f>
        <ns0:v>0.3</ns0:v>
      </ns0:c>
    </ns0:row>
    <ns0:row r="39" ht="24" customHeight="1"/>
    <ns0:row r="40" ht="42" customHeight="1">
      <ns0:c r="A40" s="5" t="inlineStr">
        <ns0:is>
          <ns0:t>Guard基本案</ns0:t>
        </ns0:is>
      </ns0:c>
      <ns0:c r="B40" s="5" t="inlineStr">
        <ns0:is>
          <ns0:t>上限1</ns0:t>
        </ns0:is>
      </ns0:c>
      <ns0:c r="C40" s="5" t="inlineStr">
        <ns0:is>
          <ns0:t>料金1</ns0:t>
        </ns0:is>
      </ns0:c>
      <ns0:c r="D40" s="5" t="inlineStr">
        <ns0:is>
          <ns0:t>上限2</ns0:t>
        </ns0:is>
      </ns0:c>
      <ns0:c r="E40" s="5" t="inlineStr">
        <ns0:is>
          <ns0:t>料金2</ns0:t>
        </ns0:is>
      </ns0:c>
      <ns0:c r="F40" s="5" t="inlineStr">
        <ns0:is>
          <ns0:t>上限3</ns0:t>
        </ns0:is>
      </ns0:c>
      <ns0:c r="G40" s="5" t="inlineStr">
        <ns0:is>
          <ns0:t>料金3</ns0:t>
        </ns0:is>
      </ns0:c>
      <ns0:c r="H40" s="5" t="n"/>
      <ns0:c r="I40" s="5" t="n"/>
    </ns0:row>
    <ns0:row r="41" ht="24" customHeight="1">
      <ns0:c r="A41" s="3" t="inlineStr">
        <ns0:is>
          <ns0:t>G0基本5000比較</ns0:t>
        </ns0:is>
      </ns0:c>
      <ns0:c r="B41" s="8" t="n">
        <ns0:v>100</ns0:v>
      </ns0:c>
      <ns0:c r="C41" s="8" t="n">
        <ns0:v>5000</ns0:v>
      </ns0:c>
      <ns0:c r="D41" s="8" t="n">
        <ns0:v>100</ns0:v>
      </ns0:c>
      <ns0:c r="E41" s="8" t="n">
        <ns0:v>5000</ns0:v>
      </ns0:c>
      <ns0:c r="F41" s="8" t="n">
        <ns0:v>100</ns0:v>
      </ns0:c>
      <ns0:c r="G41" s="8" t="n">
        <ns0:v>5000</ns0:v>
      </ns0:c>
    </ns0:row>
    <ns0:row r="42" ht="24" customHeight="1">
      <ns0:c r="A42" s="3" t="inlineStr">
        <ns0:is>
          <ns0:t>C Guard</ns0:t>
        </ns0:is>
      </ns0:c>
      <ns0:c r="B42" s="8" t="n">
        <ns0:v>10</ns0:v>
      </ns0:c>
      <ns0:c r="C42" s="8" t="n">
        <ns0:v>3500</ns0:v>
      </ns0:c>
      <ns0:c r="D42" s="8" t="n">
        <ns0:v>100</ns0:v>
      </ns0:c>
      <ns0:c r="E42" s="8" t="n">
        <ns0:v>5000</ns0:v>
      </ns0:c>
      <ns0:c r="F42" s="8" t="n">
        <ns0:v>100</ns0:v>
      </ns0:c>
      <ns0:c r="G42" s="8" t="n">
        <ns0:v>5000</ns0:v>
      </ns0:c>
    </ns0:row>
    <ns0:row r="43" ht="24" customHeight="1">
      <ns0:c r="A43" s="3" t="inlineStr">
        <ns0:is>
          <ns0:t>G3三段階</ns0:t>
        </ns0:is>
      </ns0:c>
      <ns0:c r="B43" s="8" t="n">
        <ns0:v>5</ns0:v>
      </ns0:c>
      <ns0:c r="C43" s="8" t="n">
        <ns0:v>2000</ns0:v>
      </ns0:c>
      <ns0:c r="D43" s="8" t="n">
        <ns0:v>20</ns0:v>
      </ns0:c>
      <ns0:c r="E43" s="8" t="n">
        <ns0:v>3000</ns0:v>
      </ns0:c>
      <ns0:c r="F43" s="8" t="n">
        <ns0:v>100</ns0:v>
      </ns0:c>
      <ns0:c r="G43" s="8" t="n">
        <ns0:v>4500</ns0:v>
      </ns0:c>
    </ns0:row>
    <ns0:row r="44" ht="24" customHeight="1"/>
    <ns0:row r="45" ht="42" customHeight="1">
      <ns0:c r="A45" s="5" t="inlineStr">
        <ns0:is>
          <ns0:t>Send基本案</ns0:t>
        </ns0:is>
      </ns0:c>
      <ns0:c r="B45" s="5" t="inlineStr">
        <ns0:is>
          <ns0:t>上限1</ns0:t>
        </ns0:is>
      </ns0:c>
      <ns0:c r="C45" s="5" t="inlineStr">
        <ns0:is>
          <ns0:t>料金1</ns0:t>
        </ns0:is>
      </ns0:c>
      <ns0:c r="D45" s="5" t="inlineStr">
        <ns0:is>
          <ns0:t>上限2</ns0:t>
        </ns0:is>
      </ns0:c>
      <ns0:c r="E45" s="5" t="inlineStr">
        <ns0:is>
          <ns0:t>料金2</ns0:t>
        </ns0:is>
      </ns0:c>
      <ns0:c r="F45" s="5" t="inlineStr">
        <ns0:is>
          <ns0:t>上限3</ns0:t>
        </ns0:is>
      </ns0:c>
      <ns0:c r="G45" s="5" t="inlineStr">
        <ns0:is>
          <ns0:t>料金3</ns0:t>
        </ns0:is>
      </ns0:c>
      <ns0:c r="H45" s="5" t="inlineStr">
        <ns0:is>
          <ns0:t>上限4</ns0:t>
        </ns0:is>
      </ns0:c>
      <ns0:c r="I45" s="5" t="inlineStr">
        <ns0:is>
          <ns0:t>料金4</ns0:t>
        </ns0:is>
      </ns0:c>
    </ns0:row>
    <ns0:row r="46" ht="24" customHeight="1">
      <ns0:c r="A46" s="3" t="inlineStr">
        <ns0:is>
          <ns0:t>A</ns0:t>
        </ns0:is>
      </ns0:c>
      <ns0:c r="B46" s="8" t="n">
        <ns0:v>10</ns0:v>
      </ns0:c>
      <ns0:c r="C46" s="8" t="n">
        <ns0:v>1500</ns0:v>
      </ns0:c>
      <ns0:c r="D46" s="8" t="n">
        <ns0:v>50</ns0:v>
      </ns0:c>
      <ns0:c r="E46" s="8" t="n">
        <ns0:v>3000</ns0:v>
      </ns0:c>
      <ns0:c r="F46" s="8" t="n">
        <ns0:v>50</ns0:v>
      </ns0:c>
      <ns0:c r="G46" s="8" t="n">
        <ns0:v>3000</ns0:v>
      </ns0:c>
      <ns0:c r="H46" s="8" t="n">
        <ns0:v>50</ns0:v>
      </ns0:c>
      <ns0:c r="I46" s="8" t="n">
        <ns0:v>3000</ns0:v>
      </ns0:c>
    </ns0:row>
    <ns0:row r="47" ht="24" customHeight="1">
      <ns0:c r="A47" s="3" t="inlineStr">
        <ns0:is>
          <ns0:t>C</ns0:t>
        </ns0:is>
      </ns0:c>
      <ns0:c r="B47" s="8" t="n">
        <ns0:v>5</ns0:v>
      </ns0:c>
      <ns0:c r="C47" s="8" t="n">
        <ns0:v>1000</ns0:v>
      </ns0:c>
      <ns0:c r="D47" s="8" t="n">
        <ns0:v>10</ns0:v>
      </ns0:c>
      <ns0:c r="E47" s="8" t="n">
        <ns0:v>1500</ns0:v>
      </ns0:c>
      <ns0:c r="F47" s="8" t="n">
        <ns0:v>30</ns0:v>
      </ns0:c>
      <ns0:c r="G47" s="8" t="n">
        <ns0:v>2500</ns0:v>
      </ns0:c>
      <ns0:c r="H47" s="8" t="n">
        <ns0:v>50</ns0:v>
      </ns0:c>
      <ns0:c r="I47" s="8" t="n">
        <ns0:v>4000</ns0:v>
      </ns0:c>
    </ns0:row>
    <ns0:row r="48" ht="24" customHeight="1">
      <ns0:c r="A48" s="3" t="inlineStr">
        <ns0:is>
          <ns0:t>D</ns0:t>
        </ns0:is>
      </ns0:c>
      <ns0:c r="B48" s="8" t="n">
        <ns0:v>10</ns0:v>
      </ns0:c>
      <ns0:c r="C48" s="8" t="n">
        <ns0:v>1200</ns0:v>
      </ns0:c>
      <ns0:c r="D48" s="8" t="n">
        <ns0:v>50</ns0:v>
      </ns0:c>
      <ns0:c r="E48" s="8" t="n">
        <ns0:v>2500</ns0:v>
      </ns0:c>
      <ns0:c r="F48" s="8" t="n">
        <ns0:v>50</ns0:v>
      </ns0:c>
      <ns0:c r="G48" s="8" t="n">
        <ns0:v>2500</ns0:v>
      </ns0:c>
      <ns0:c r="H48" s="8" t="n">
        <ns0:v>50</ns0:v>
      </ns0:c>
      <ns0:c r="I48" s="8" t="n">
        <ns0:v>2500</ns0:v>
      </ns0:c>
    </ns0:row>
    <ns0:row r="49" ht="24" customHeight="1"/>
    <ns0:row r="50" ht="24" customHeight="1"/>
    <ns0:row r="51" ht="42" customHeight="1">
      <ns0:c r="A51" s="5" t="inlineStr">
        <ns0:is>
          <ns0:t>Windows PC代表</ns0:t>
        </ns0:is>
      </ns0:c>
      <ns0:c r="B51" s="5" t="inlineStr">
        <ns0:is>
          <ns0:t>従業者規模アンカー</ns0:t>
        </ns0:is>
      </ns0:c>
      <ns0:c r="C51" s="5" t="inlineStr">
        <ns0:is>
          <ns0:t>低位重み</ns0:t>
        </ns0:is>
      </ns0:c>
      <ns0:c r="D51" s="5" t="inlineStr">
        <ns0:is>
          <ns0:t>基準重み</ns0:t>
        </ns0:is>
      </ns0:c>
      <ns0:c r="E51" s="5" t="inlineStr">
        <ns0:is>
          <ns0:t>高位重み</ns0:t>
        </ns0:is>
      </ns0:c>
      <ns0:c r="F51" s="5" t="n"/>
      <ns0:c r="G51" s="5" t="n"/>
      <ns0:c r="H51" s="5" t="n"/>
      <ns0:c r="I51" s="5" t="n"/>
    </ns0:row>
    <ns0:row r="52" ht="24" customHeight="1">
      <ns0:c r="A52" s="4" t="n">
        <ns0:v>0</ns0:v>
      </ns0:c>
      <ns0:c r="B52" s="8" t="n">
        <ns0:v>4</ns0:v>
      </ns0:c>
      <ns0:c r="C52" s="10" t="n">
        <ns0:v>0.2</ns0:v>
      </ns0:c>
      <ns0:c r="D52" s="10" t="n">
        <ns0:v>0.1</ns0:v>
      </ns0:c>
      <ns0:c r="E52" s="10" t="n">
        <ns0:v>0.05</ns0:v>
      </ns0:c>
    </ns0:row>
    <ns0:row r="53" ht="24" customHeight="1">
      <ns0:c r="A53" s="4" t="n">
        <ns0:v>3</ns0:v>
      </ns0:c>
      <ns0:c r="B53" s="8" t="n">
        <ns0:v>10</ns0:v>
      </ns0:c>
      <ns0:c r="C53" s="10" t="n">
        <ns0:v>0.45</ns0:v>
      </ns0:c>
      <ns0:c r="D53" s="10" t="n">
        <ns0:v>0.37</ns0:v>
      </ns0:c>
      <ns0:c r="E53" s="10" t="n">
        <ns0:v>0.25</ns0:v>
      </ns0:c>
    </ns0:row>
    <ns0:row r="54" ht="24" customHeight="1">
      <ns0:c r="A54" s="4" t="n">
        <ns0:v>8</ns0:v>
      </ns0:c>
      <ns0:c r="B54" s="8" t="n">
        <ns0:v>25</ns0:v>
      </ns0:c>
      <ns0:c r="C54" s="10" t="n">
        <ns0:v>0.24</ns0:v>
      </ns0:c>
      <ns0:c r="D54" s="10" t="n">
        <ns0:v>0.28</ns0:v>
      </ns0:c>
      <ns0:c r="E54" s="10" t="n">
        <ns0:v>0.25</ns0:v>
      </ns0:c>
    </ns0:row>
    <ns0:row r="55" ht="24" customHeight="1">
      <ns0:c r="A55" s="4" t="n">
        <ns0:v>18</ns0:v>
      </ns0:c>
      <ns0:c r="B55" s="8" t="n">
        <ns0:v>60</ns0:v>
      </ns0:c>
      <ns0:c r="C55" s="10" t="n">
        <ns0:v>0.09</ns0:v>
      </ns0:c>
      <ns0:c r="D55" s="10" t="n">
        <ns0:v>0.2</ns0:v>
      </ns0:c>
      <ns0:c r="E55" s="10" t="n">
        <ns0:v>0.3</ns0:v>
      </ns0:c>
    </ns0:row>
    <ns0:row r="56" ht="24" customHeight="1">
      <ns0:c r="A56" s="4" t="n">
        <ns0:v>40</ns0:v>
      </ns0:c>
      <ns0:c r="B56" s="8" t="n">
        <ns0:v>120</ns0:v>
      </ns0:c>
      <ns0:c r="C56" s="10" t="n">
        <ns0:v>0.015</ns0:v>
      </ns0:c>
      <ns0:c r="D56" s="10" t="n">
        <ns0:v>0.03</ns0:v>
      </ns0:c>
      <ns0:c r="E56" s="10" t="n">
        <ns0:v>0.09</ns0:v>
      </ns0:c>
    </ns0:row>
    <ns0:row r="57" ht="24" customHeight="1">
      <ns0:c r="A57" s="4" t="n">
        <ns0:v>70</ns0:v>
      </ns0:c>
      <ns0:c r="B57" s="8" t="n">
        <ns0:v>200</ns0:v>
      </ns0:c>
      <ns0:c r="C57" s="10" t="n">
        <ns0:v>0.004</ns0:v>
      </ns0:c>
      <ns0:c r="D57" s="10" t="n">
        <ns0:v>0.015</ns0:v>
      </ns0:c>
      <ns0:c r="E57" s="10" t="n">
        <ns0:v>0.04</ns0:v>
      </ns0:c>
    </ns0:row>
    <ns0:row r="58" ht="24" customHeight="1">
      <ns0:c r="A58" s="4" t="n">
        <ns0:v>130</ns0:v>
      </ns0:c>
      <ns0:c r="B58" s="8" t="n">
        <ns0:v>400</ns0:v>
      </ns0:c>
      <ns0:c r="C58" s="10" t="n">
        <ns0:v>0.001</ns0:v>
      </ns0:c>
      <ns0:c r="D58" s="10" t="n">
        <ns0:v>0.005</ns0:v>
      </ns0:c>
      <ns0:c r="E58" s="10" t="n">
        <ns0:v>0.02</ns0:v>
      </ns0:c>
    </ns0:row>
    <ns0:row r="59" ht="24" customHeight="1"/>
    <ns0:row r="60" ht="38" customHeight="1">
      <ns0:c r="A60" s="2" t="inlineStr">
        <ns0:is>
          <ns0:t>PC重みはPR14の仮定。従業者アンカー・業種型比率・職務率は今回の共同分布仮定。実測ではない。</ns0:t>
        </ns0:is>
      </ns0:c>
    </ns0:row>
    <ns0:row r="61" ht="24" customHeight="1"/>
    <ns0:row r="62" ht="24" customHeight="1">
      <ns0:c r="A62" s="3" t="inlineStr">
        <ns0:is>
          <ns0:t>Run CPU 円/秒</ns0:t>
        </ns0:is>
      </ns0:c>
      <ns0:c r="B62" s="4" t="n">
        <ns0:v>0.003886238616115752</ns0:v>
      </ns0:c>
    </ns0:row>
    <ns0:row r="63" ht="24" customHeight="1">
      <ns0:c r="A63" s="3" t="inlineStr">
        <ns0:is>
          <ns0:t>Run memory 円/GiB秒</ns0:t>
        </ns0:is>
      </ns0:c>
      <ns0:c r="B63" s="4" t="n">
        <ns0:v>0.0003952686344456851</ns0:v>
      </ns0:c>
    </ns0:row>
    <ns0:row r="64" ht="24" customHeight="1"/>
    <ns0:row r="65" ht="24" customHeight="1"/>
    <ns0:row r="66" ht="42" customHeight="1">
      <ns0:c r="A66" s="5" t="inlineStr">
        <ns0:is>
          <ns0:t>Send利用</ns0:t>
        </ns0:is>
      </ns0:c>
      <ns0:c r="B66" s="5" t="inlineStr">
        <ns0:is>
          <ns0:t>送信/名</ns0:t>
        </ns0:is>
      </ns0:c>
      <ns0:c r="C66" s="5" t="inlineStr">
        <ns0:is>
          <ns0:t>file/送信</ns0:t>
        </ns0:is>
      </ns0:c>
      <ns0:c r="D66" s="5" t="inlineStr">
        <ns0:is>
          <ns0:t>MiB/file</ns0:t>
        </ns0:is>
      </ns0:c>
      <ns0:c r="E66" s="5" t="inlineStr">
        <ns0:is>
          <ns0:t>DL倍率</ns0:t>
        </ns0:is>
      </ns0:c>
      <ns0:c r="F66" s="5" t="inlineStr">
        <ns0:is>
          <ns0:t>OTP/送信</ns0:t>
        </ns0:is>
      </ns0:c>
      <ns0:c r="G66" s="5" t="inlineStr">
        <ns0:is>
          <ns0:t>scan秒/file</ns0:t>
        </ns0:is>
      </ns0:c>
      <ns0:c r="H66" s="5" t="inlineStr">
        <ns0:is>
          <ns0:t>support分/社</ns0:t>
        </ns0:is>
      </ns0:c>
      <ns0:c r="I66" s="5" t="n"/>
    </ns0:row>
    <ns0:row r="67" ht="24" customHeight="1">
      <ns0:c r="A67" s="3" t="inlineStr">
        <ns0:is>
          <ns0:t>低位</ns0:t>
        </ns0:is>
      </ns0:c>
      <ns0:c r="B67" s="4" t="n">
        <ns0:v>5</ns0:v>
      </ns0:c>
      <ns0:c r="C67" s="4" t="n">
        <ns0:v>1</ns0:v>
      </ns0:c>
      <ns0:c r="D67" s="4" t="n">
        <ns0:v>2</ns0:v>
      </ns0:c>
      <ns0:c r="E67" s="4" t="n">
        <ns0:v>1</ns0:v>
      </ns0:c>
      <ns0:c r="F67" s="4" t="n">
        <ns0:v>1.1</ns0:v>
      </ns0:c>
      <ns0:c r="G67" s="4" t="n">
        <ns0:v>1</ns0:v>
      </ns0:c>
      <ns0:c r="H67" s="4" t="n">
        <ns0:v>3</ns0:v>
      </ns0:c>
    </ns0:row>
    <ns0:row r="68" ht="24" customHeight="1">
      <ns0:c r="A68" s="3" t="inlineStr">
        <ns0:is>
          <ns0:t>標準</ns0:t>
        </ns0:is>
      </ns0:c>
      <ns0:c r="B68" s="4" t="n">
        <ns0:v>20</ns0:v>
      </ns0:c>
      <ns0:c r="C68" s="4" t="n">
        <ns0:v>2</ns0:v>
      </ns0:c>
      <ns0:c r="D68" s="4" t="n">
        <ns0:v>10</ns0:v>
      </ns0:c>
      <ns0:c r="E68" s="4" t="n">
        <ns0:v>1.5</ns0:v>
      </ns0:c>
      <ns0:c r="F68" s="4" t="n">
        <ns0:v>1.8</ns0:v>
      </ns0:c>
      <ns0:c r="G68" s="4" t="n">
        <ns0:v>2</ns0:v>
      </ns0:c>
      <ns0:c r="H68" s="4" t="n">
        <ns0:v>8</ns0:v>
      </ns0:c>
    </ns0:row>
    <ns0:row r="69" ht="24" customHeight="1">
      <ns0:c r="A69" s="3" t="inlineStr">
        <ns0:is>
          <ns0:t>高位</ns0:t>
        </ns0:is>
      </ns0:c>
      <ns0:c r="B69" s="4" t="n">
        <ns0:v>80</ns0:v>
      </ns0:c>
      <ns0:c r="C69" s="4" t="n">
        <ns0:v>3</ns0:v>
      </ns0:c>
      <ns0:c r="D69" s="4" t="n">
        <ns0:v>50</ns0:v>
      </ns0:c>
      <ns0:c r="E69" s="4" t="n">
        <ns0:v>2</ns0:v>
      </ns0:c>
      <ns0:c r="F69" s="4" t="n">
        <ns0:v>2.5</ns0:v>
      </ns0:c>
      <ns0:c r="G69" s="4" t="n">
        <ns0:v>5</ns0:v>
      </ns0:c>
      <ns0:c r="H69" s="4" t="n">
        <ns0:v>20</ns0:v>
      </ns0:c>
    </ns0:row>
    <ns0:row r="70" ht="24" customHeight="1"/>
    <ns0:row r="71" ht="24" customHeight="1"/>
    <ns0:row r="72" ht="42" customHeight="1">
      <ns0:c r="A72" s="5" t="inlineStr">
        <ns0:is>
          <ns0:t>企業数上限</ns0:t>
        </ns0:is>
      </ns0:c>
      <ns0:c r="B72" s="5" t="inlineStr">
        <ns0:is>
          <ns0:t>Guard固定infra</ns0:t>
        </ns0:is>
      </ns0:c>
      <ns0:c r="C72" s="5" t="inlineStr">
        <ns0:is>
          <ns0:t>Guard固定運用</ns0:t>
        </ns0:is>
      </ns0:c>
      <ns0:c r="D72" s="5" t="inlineStr">
        <ns0:is>
          <ns0:t>Send固定infra</ns0:t>
        </ns0:is>
      </ns0:c>
      <ns0:c r="E72" s="5" t="inlineStr">
        <ns0:is>
          <ns0:t>Send固定運用</ns0:t>
        </ns0:is>
      </ns0:c>
      <ns0:c r="F72" s="5" t="n"/>
      <ns0:c r="G72" s="5" t="n"/>
      <ns0:c r="H72" s="5" t="n"/>
      <ns0:c r="I72" s="5" t="n"/>
    </ns0:row>
    <ns0:row r="73" ht="24" customHeight="1">
      <ns0:c r="A73" s="4" t="n">
        <ns0:v>10</ns0:v>
      </ns0:c>
      <ns0:c r="B73" s="4" t="n">
        <ns0:v>2000</ns0:v>
      </ns0:c>
      <ns0:c r="C73" s="4" t="n">
        <ns0:v>8000</ns0:v>
      </ns0:c>
      <ns0:c r="D73" s="4" t="n">
        <ns0:v>22010.9346263078</ns0:v>
      </ns0:c>
      <ns0:c r="E73" s="4" t="n">
        <ns0:v>8000</ns0:v>
      </ns0:c>
    </ns0:row>
    <ns0:row r="74" ht="24" customHeight="1">
      <ns0:c r="A74" s="4" t="n">
        <ns0:v>100</ns0:v>
      </ns0:c>
      <ns0:c r="B74" s="4" t="n">
        <ns0:v>4000</ns0:v>
      </ns0:c>
      <ns0:c r="C74" s="4" t="n">
        <ns0:v>16000</ns0:v>
      </ns0:c>
      <ns0:c r="D74" s="4" t="n">
        <ns0:v>26510.9346263078</ns0:v>
      </ns0:c>
      <ns0:c r="E74" s="4" t="n">
        <ns0:v>8000</ns0:v>
      </ns0:c>
    </ns0:row>
    <ns0:row r="75" ht="24" customHeight="1">
      <ns0:c r="A75" s="4" t="n">
        <ns0:v>500</ns0:v>
      </ns0:c>
      <ns0:c r="B75" s="4" t="n">
        <ns0:v>8000</ns0:v>
      </ns0:c>
      <ns0:c r="C75" s="4" t="n">
        <ns0:v>32000</ns0:v>
      </ns0:c>
      <ns0:c r="D75" s="4" t="n">
        <ns0:v>48510.9346263078</ns0:v>
      </ns0:c>
      <ns0:c r="E75" s="4" t="n">
        <ns0:v>8000</ns0:v>
      </ns0:c>
    </ns0:row>
    <ns0:row r="76" ht="24" customHeight="1">
      <ns0:c r="A76" s="4" t="n">
        <ns0:v>1000</ns0:v>
      </ns0:c>
      <ns0:c r="B76" s="4" t="n">
        <ns0:v>16000</ns0:v>
      </ns0:c>
      <ns0:c r="C76" s="4" t="n">
        <ns0:v>64000</ns0:v>
      </ns0:c>
      <ns0:c r="D76" s="4" t="n">
        <ns0:v>78510.9346263078</ns0:v>
      </ns0:c>
      <ns0:c r="E76" s="4" t="n">
        <ns0:v>8000</ns0:v>
      </ns0:c>
    </ns0:row>
    <ns0:row r="77" ht="24" customHeight="1"/>
    <ns0:row r="78" ht="24" customHeight="1"/>
    <ns0:row r="79" ht="42" customHeight="1">
      <ns0:c r="A79" s="5" t="inlineStr">
        <ns0:is>
          <ns0:t>Send費用ドライバー</ns0:t>
        </ns0:is>
      </ns0:c>
      <ns0:c r="B79" s="5" t="inlineStr">
        <ns0:is>
          <ns0:t>固定変動JPY/社</ns0:t>
        </ns0:is>
      </ns0:c>
      <ns0:c r="C79" s="5" t="inlineStr">
        <ns0:is>
          <ns0:t>変動JPY/送信者</ns0:t>
        </ns0:is>
      </ns0:c>
      <ns0:c r="D79" s="5" t="inlineStr">
        <ns0:is>
          <ns0:t>supportJPY/社</ns0:t>
        </ns0:is>
      </ns0:c>
      <ns0:c r="E79" s="5" t="inlineStr">
        <ns0:is>
          <ns0:t>supportJPY/送信者</ns0:t>
        </ns0:is>
      </ns0:c>
      <ns0:c r="F79" s="5" t="inlineStr">
        <ns0:is>
          <ns0:t>容量取扱比率</ns0:t>
        </ns0:is>
      </ns0:c>
      <ns0:c r="G79" s="5" t="n"/>
      <ns0:c r="H79" s="5" t="n"/>
      <ns0:c r="I79" s="5" t="n"/>
    </ns0:row>
    <ns0:row r="80" ht="24" customHeight="1">
      <ns0:c r="A80" s="3" t="inlineStr">
        <ns0:is>
          <ns0:t>低位</ns0:t>
        </ns0:is>
      </ns0:c>
      <ns0:c r="B80" s="4" t="n">
        <ns0:v>50</ns0:v>
      </ns0:c>
      <ns0:c r="C80" s="4">
        <ns0:f>2+F80*((B67*.3+B67*E67*.2)*($B$62+.5*$B$63)+(B67*C67*G67*.3+B67*C67/1000*20)*($B$62+4*$B$63)+B67*(1+F67)*.1+(B67*C67*(.005+(2+E67)*.0004)/1000+B67*(12/1048576*.5+8/1e6*.4)+(B67*C67*D67/1024)*(28/30*.025+E67*.12)+B67*C67*3*.4/1e6)*$B$4)</ns0:f>
        <ns0:v>3.2911598553034125</ns0:v>
      </ns0:c>
      <ns0:c r="D80" s="4">
        <ns0:f>H67/60*$B$8</ns0:f>
        <ns0:v>200</ns0:v>
      </ns0:c>
      <ns0:c r="E80" s="4">
        <ns0:f>.1/60*$B$8</ns0:f>
        <ns0:v>6.666666666666657</ns0:v>
      </ns0:c>
      <ns0:c r="F80" s="4" t="n">
        <ns0:v>1</ns0:v>
      </ns0:c>
    </ns0:row>
    <ns0:row r="81" ht="24" customHeight="1">
      <ns0:c r="A81" s="3" t="inlineStr">
        <ns0:is>
          <ns0:t>標準</ns0:t>
        </ns0:is>
      </ns0:c>
      <ns0:c r="B81" s="4" t="n">
        <ns0:v>50</ns0:v>
      </ns0:c>
      <ns0:c r="C81" s="4">
        <ns0:f>2+F81*((B68*.3+B68*E68*.2)*($B$62+.5*$B$63)+(B68*C68*G68*.3+B68*C68/1000*20)*($B$62+4*$B$63)+B68*(1+F68)*.1+(B68*C68*(.005+(2+E68)*.0004)/1000+B68*(12/1048576*.5+8/1e6*.4)+(B68*C68*D68/1024)*(28/30*.025+E68*.12)+B68*C68*3*.4/1e6)*$B$4)</ns0:f>
        <ns0:v>19.771024479112057</ns0:v>
      </ns0:c>
      <ns0:c r="D81" s="4">
        <ns0:f>H68/60*$B$8</ns0:f>
        <ns0:v>533.3333333333334</ns0:v>
      </ns0:c>
      <ns0:c r="E81" s="4">
        <ns0:f>.1/60*$B$8</ns0:f>
        <ns0:v>6.666666666666515</ns0:v>
      </ns0:c>
      <ns0:c r="F81" s="4" t="n">
        <ns0:v>1</ns0:v>
      </ns0:c>
    </ns0:row>
    <ns0:row r="82" ht="24" customHeight="1">
      <ns0:c r="A82" s="3" t="inlineStr">
        <ns0:is>
          <ns0:t>高位</ns0:t>
        </ns0:is>
      </ns0:c>
      <ns0:c r="B82" s="4" t="n">
        <ns0:v>50</ns0:v>
      </ns0:c>
      <ns0:c r="C82" s="4">
        <ns0:f>2+F82*((B69*.3+B69*E69*.2)*($B$62+.5*$B$63)+(B69*C69*G69*.3+B69*C69/1000*20)*($B$62+4*$B$63)+B69*(1+F69)*.1+(B69*C69*(.005+(2+E69)*.0004)/1000+B69*(12/1048576*.5+8/1e6*.4)+(B69*C69*D69/1024)*(28/30*.025+E69*.12)+B69*C69*3*.4/1e6)*$B$4)</ns0:f>
        <ns0:v>495.50166227359034</ns0:v>
      </ns0:c>
      <ns0:c r="D82" s="4">
        <ns0:f>H69/60*$B$8</ns0:f>
        <ns0:v>1333.3333333333333</ns0:v>
      </ns0:c>
      <ns0:c r="E82" s="4">
        <ns0:f>.1/60*$B$8</ns0:f>
        <ns0:v>6.6666666666667425</ns0:v>
      </ns0:c>
      <ns0:c r="F82" s="4" t="n">
        <ns0:v>1</ns0:v>
      </ns0:c>
    </ns0:row>
    <ns0:row r="83" ht="24" customHeight="1">
      <ns0:c r="A83" s="3" t="inlineStr">
        <ns0:is>
          <ns0:t>高位上限</ns0:t>
        </ns0:is>
      </ns0:c>
      <ns0:c r="B83" s="4" t="n">
        <ns0:v>50</ns0:v>
      </ns0:c>
      <ns0:c r="C83" s="4">
        <ns0:f>2+F83*((B69*.3+B69*E69*.2)*($B$62+.5*$B$63)+(B69*C69*G69*.3+B69*C69/1000*20)*($B$62+4*$B$63)+B69*(1+F69)*.1+(B69*C69*(.005+(2+E69)*.0004)/1000+B69*(12/1048576*.5+8/1e6*.4)+(B69*C69*D69/1024)*(28/30*.025+E69*.12)+B69*C69*3*.4/1e6)*$B$4)</ns0:f>
        <ns0:v>44.11214184734638</ns0:v>
      </ns0:c>
      <ns0:c r="D83" s="4">
        <ns0:f>H69/60*$B$8</ns0:f>
        <ns0:v>1333.3333333333333</ns0:v>
      </ns0:c>
      <ns0:c r="E83" s="4">
        <ns0:f>.1/60*$B$8</ns0:f>
        <ns0:v>6.6666666666667425</ns0:v>
      </ns0:c>
      <ns0:c r="F83" s="4">
        <ns0:f>MIN(1,$B$26/(B69*C69*D69/1024),$B$27/(B69*C69*D69/1024*E69))</ns0:f>
        <ns0:v>0.08533333333333333</ns0:v>
      </ns0:c>
    </ns0:row>
    <ns0:row r="84" ht="24" customHeight="1"/>
    <ns0:row r="85" ht="38" customHeight="1">
      <ns0:c r="A85" s="2" t="inlineStr">
        <ns0:is>
          <ns0:t>出典: Corporate PR14 40b7610 / Issue16・17 / PR7 23b887d / PR9 932bf38、Send PR3 74facb2。</ns0:t>
        </ns0:is>
      </ns0:c>
    </ns0:row>
    <ns0:row r="86" ht="38" customHeight="1">
      <ns0:c r="A86" s="2" t="inlineStr">
        <ns0:is>
          <ns0:t>DNS .92は表示値・実契約未確認。公式MSP starts150、標準Core月額1.15。最低額との関係は未確認。</ns0:t>
        </ns0:is>
      </ns0:c>
    </ns0:row>
    <ns0:row r="87" ht="38" customHeight="1">
      <ns0:c r="A87" s="2" t="inlineStr">
        <ns0:is>
          <ns0:t>Guard固定費/サポートは新規予算仮定。Sendは専用SQL/非同期min0の既存予算。Production構成とは別。</ns0:t>
        </ns0:is>
      </ns0:c>
    </ns0:row>
    <ns0:row r="88" ht="38" customHeight="1">
      <ns0:c r="A88" s="2" t="inlineStr">
        <ns0:is>
          <ns0:t>初期投資が空欄なら未算入。営業・導入・事故・税・入金時差を含まない。赤字許容額は未設定。</ns0:t>
        </ns0:is>
      </ns0:c>
    </ns0:row>
    <ns0:row r="89" ht="38" customHeight="1">
      <ns0:c r="A89" s="2" t="inlineStr">
        <ns0:is>
          <ns0:t>固定条件比較は作成時のC案144ケース。編集後は経営比較・利益曲線・累積回収が再計算。固定表は更新しない。</ns0:t>
        </ns0:is>
      </ns0:c>
    </ns0:row>
    <ns0:row r="90" ht="38" customHeight="1">
      <ns0:c r="A90" s="2" t="inlineStr">
        <ns0:is>
          <ns0:t>https://www.dnsfilter.com/pricing 2026-10-18閲覧。詳細根拠は統合レポートとcanonical-sources.json。</ns0:t>
        </ns0:is>
      </ns0:c>
    </ns0:row>
    <ns0:row r="91" ht="24" customHeight="1"/>
    <ns0:row r="92" ht="38" customHeight="1">
      <ns0:c r="A92" s="2" t="inlineStr">
        <ns0:is>
          <ns0:t>C案指定：Guard 3500/5000、Send 1200/2500、パック基本1000引。率2=40%、率3=50%。</ns0:t>
        </ns0:is>
      </ns0:c>
    </ns0:row>
    <ns0:row r="93" ht="38" customHeight="1">
      <ns0:c r="A93" s="2" t="inlineStr">
        <ns0:is>
          <ns0:t>50%パック時 B36=2/7,B37=1.5/7,B38=.5。70%時1.2/7,.9/7,.7。入力は仮定。</ns0:t>
        </ns0:is>
      </ns0:c>
    </ns0:row>
    <ns0:row r="94" ht="38" customHeight="1">
      <ns0:c r="A94" s="2" t="inlineStr">
        <ns0:is>
          <ns0:t>各サービス基本20円減はC42/E42/G42とC48/E48/G48/I48を各20減。パック最終20円減はさらにB17=980。</ns0:t>
        </ns0:is>
      </ns0:c>
    </ns0:row>
    <ns0:row r="95" ht="38" customHeight="1">
      <ns0:c r="A95" s="2" t="inlineStr">
        <ns0:is>
          <ns0:t>高利用混在の作成時比較はc-sensitivity.csv。動的モデルのB18=2は全Send高利用、3は容量上限。</ns0:t>
        </ns0:is>
      </ns0:c>
    </ns0:row>
  </ns0:sheetData>
  <ns0:mergeCells count="13">
    <ns0:mergeCell ref="A95:I95"/>
    <ns0:mergeCell ref="A90:I90"/>
    <ns0:mergeCell ref="A2:I2"/>
    <ns0:mergeCell ref="A85:I85"/>
    <ns0:mergeCell ref="A60:I60"/>
    <ns0:mergeCell ref="A93:I93"/>
    <ns0:mergeCell ref="A89:I89"/>
    <ns0:mergeCell ref="A1:I1"/>
    <ns0:mergeCell ref="A88:I88"/>
    <ns0:mergeCell ref="A94:I94"/>
    <ns0:mergeCell ref="A87:I87"/>
    <ns0:mergeCell ref="A92:I92"/>
    <ns0:mergeCell ref="A86:I86"/>
  </ns0:mergeCells>
  <ns0:dataValidations count="8">
    <ns0:dataValidation sqref="B14" showDropDown="0" showInputMessage="0" showErrorMessage="1" allowBlank="0" errorTitle="入力範囲" error="指定された番号を入力してください" type="whole" operator="between">
      <ns0:formula1>0</ns0:formula1>
      <ns0:formula2>2</ns0:formula2>
    </ns0:dataValidation>
    <ns0:dataValidation sqref="B15" showDropDown="0" showInputMessage="0" showErrorMessage="1" allowBlank="0" errorTitle="入力範囲" error="指定された番号を入力してください" type="whole" operator="between">
      <ns0:formula1>0</ns0:formula1>
      <ns0:formula2>2</ns0:formula2>
    </ns0:dataValidation>
    <ns0:dataValidation sqref="B16" showDropDown="0" showInputMessage="0" showErrorMessage="1" allowBlank="0" errorTitle="入力範囲" error="指定された番号を入力してください" type="whole" operator="between">
      <ns0:formula1>0</ns0:formula1>
      <ns0:formula2>2</ns0:formula2>
    </ns0:dataValidation>
    <ns0:dataValidation sqref="B18" showDropDown="0" showInputMessage="0" showErrorMessage="1" allowBlank="0" errorTitle="入力範囲" error="指定された番号を入力してください" type="whole" operator="between">
      <ns0:formula1>0</ns0:formula1>
      <ns0:formula2>3</ns0:formula2>
    </ns0:dataValidation>
    <ns0:dataValidation sqref="B19" showDropDown="0" showInputMessage="0" showErrorMessage="1" allowBlank="0" errorTitle="入力範囲" error="指定された番号を入力してください" type="whole" operator="between">
      <ns0:formula1>0</ns0:formula1>
      <ns0:formula2>1</ns0:formula2>
    </ns0:dataValidation>
    <ns0:dataValidation sqref="B20" showDropDown="0" showInputMessage="0" showErrorMessage="1" allowBlank="0" errorTitle="入力範囲" error="指定された番号を入力してください" type="whole" operator="between">
      <ns0:formula1>0</ns0:formula1>
      <ns0:formula2>1</ns0:formula2>
    </ns0:dataValidation>
    <ns0:dataValidation sqref="B33" showDropDown="0" showInputMessage="0" showErrorMessage="1" allowBlank="0" errorTitle="入力範囲" error="指定された番号を入力してください" type="whole" operator="between">
      <ns0:formula1>0</ns0:formula1>
      <ns0:formula2>1</ns0:formula2>
    </ns0:dataValidation>
    <ns0:dataValidation sqref="B34" showDropDown="0" showInputMessage="0" showErrorMessage="1" allowBlank="0" errorTitle="入力範囲" error="指定された番号を入力してください" type="whole" operator="between">
      <ns0:formula1>0</ns0:formula1>
      <ns0:formula2>3</ns0:formula2>
    </ns0:dataValidation>
  </ns0:dataValidations>
  <ns0:pageMargins left="0.75" right="0.75" top="1" bottom="1" header="0.5" footer="0.5"/>
</ns0:worksheet>
</file>

<file path=xl/worksheets/sheet3.xml><?xml version="1.0" encoding="utf-8"?>
<ns0:worksheet xmlns:ns0="http://schemas.openxmlformats.org/spreadsheetml/2006/main">
  <ns0:sheetPr>
    <ns0:outlinePr summaryBelow="1" summaryRight="1"/>
    <ns0:pageSetUpPr/>
  </ns0:sheetPr>
  <ns0:dimension ref="A1:X46"/>
  <ns0:sheetViews>
    <ns0:sheetView showGridLines="0" workbookViewId="0">
      <ns0:selection activeCell="A1" sqref="A1"/>
    </ns0:sheetView>
  </ns0:sheetViews>
  <ns0:sheetFormatPr baseColWidth="8" defaultRowHeight="15"/>
  <ns0:cols>
    <ns0:col width="19" customWidth="1" min="1" max="1"/>
    <ns0:col width="19" customWidth="1" min="2" max="2"/>
    <ns0:col width="19" customWidth="1" min="3" max="3"/>
    <ns0:col width="19" customWidth="1" min="4" max="4"/>
    <ns0:col width="19" customWidth="1" min="5" max="5"/>
    <ns0:col width="19" customWidth="1" min="6" max="6"/>
    <ns0:col width="19" customWidth="1" min="7" max="7"/>
    <ns0:col width="19" customWidth="1" min="8" max="8"/>
    <ns0:col width="19" customWidth="1" min="9" max="9"/>
    <ns0:col width="19" customWidth="1" min="10" max="10"/>
    <ns0:col width="19" customWidth="1" min="11" max="11"/>
    <ns0:col width="19" customWidth="1" min="12" max="12"/>
    <ns0:col width="19" customWidth="1" min="13" max="13"/>
    <ns0:col width="19" customWidth="1" min="14" max="14"/>
    <ns0:col width="19" customWidth="1" min="15" max="15"/>
    <ns0:col width="19" customWidth="1" min="16" max="16"/>
    <ns0:col width="19" customWidth="1" min="17" max="17"/>
    <ns0:col width="19" customWidth="1" min="18" max="18"/>
    <ns0:col width="19" customWidth="1" min="19" max="19"/>
    <ns0:col width="19" customWidth="1" min="20" max="20"/>
    <ns0:col width="19" customWidth="1" min="21" max="21"/>
    <ns0:col width="19" customWidth="1" min="22" max="22"/>
    <ns0:col width="19" customWidth="1" min="23" max="23"/>
    <ns0:col width="19" customWidth="1" min="24" max="24"/>
  </ns0:cols>
  <ns0:sheetData>
    <ns0:row r="1" ht="32" customHeight="1">
      <ns0:c r="A1" s="1" t="inlineStr">
        <ns0:is>
          <ns0:t>同一企業の従業者・PC・送信者（相関仮定）</ns0:t>
        </ns0:is>
      </ns0:c>
    </ns0:row>
    <ns0:row r="2" ht="48" customHeight="1">
      <ns0:c r="A2" s="2" t="inlineStr">
        <ns0:is>
          <ns0:t>同じPC帯・企業規模・職務型から送信者を作る。独立平均の掛算はしない。0PCでもSendは利用可能。</ns0:t>
        </ns0:is>
      </ns0:c>
    </ns0:row>
    <ns0:row r="3" ht="24" customHeight="1"/>
    <ns0:row r="4" ht="42" customHeight="1">
      <ns0:c r="A4" s="5" t="inlineStr">
        <ns0:is>
          <ns0:t>シナリオ</ns0:t>
        </ns0:is>
      </ns0:c>
      <ns0:c r="B4" s="5" t="inlineStr">
        <ns0:is>
          <ns0:t>PC帯番号</ns0:t>
        </ns0:is>
      </ns0:c>
      <ns0:c r="C4" s="5" t="inlineStr">
        <ns0:is>
          <ns0:t>企業型</ns0:t>
        </ns0:is>
      </ns0:c>
      <ns0:c r="D4" s="5" t="inlineStr">
        <ns0:is>
          <ns0:t>重み</ns0:t>
        </ns0:is>
      </ns0:c>
      <ns0:c r="E4" s="5" t="inlineStr">
        <ns0:is>
          <ns0:t>従業者</ns0:t>
        </ns0:is>
      </ns0:c>
      <ns0:c r="F4" s="5" t="inlineStr">
        <ns0:is>
          <ns0:t>Windows PC</ns0:t>
        </ns0:is>
      </ns0:c>
      <ns0:c r="G4" s="5" t="inlineStr">
        <ns0:is>
          <ns0:t>有料送信者</ns0:t>
        </ns0:is>
      </ns0:c>
      <ns0:c r="H4" s="5" t="inlineStr">
        <ns0:is>
          <ns0:t>G料金対象</ns0:t>
        </ns0:is>
      </ns0:c>
      <ns0:c r="I4" s="5" t="inlineStr">
        <ns0:is>
          <ns0:t>S料金対象</ns0:t>
        </ns0:is>
      </ns0:c>
      <ns0:c r="J4" s="5" t="inlineStr">
        <ns0:is>
          <ns0:t>セット対象</ns0:t>
        </ns0:is>
      </ns0:c>
      <ns0:c r="K4" s="5" t="inlineStr">
        <ns0:is>
          <ns0:t>選択重み</ns0:t>
        </ns0:is>
      </ns0:c>
      <ns0:c r="L4" s="5" t="inlineStr">
        <ns0:is>
          <ns0:t>G基本</ns0:t>
        </ns0:is>
      </ns0:c>
      <ns0:c r="M4" s="5" t="inlineStr">
        <ns0:is>
          <ns0:t>G従量</ns0:t>
        </ns0:is>
      </ns0:c>
      <ns0:c r="N4" s="5" t="inlineStr">
        <ns0:is>
          <ns0:t>S基本</ns0:t>
        </ns0:is>
      </ns0:c>
      <ns0:c r="O4" s="5" t="inlineStr">
        <ns0:is>
          <ns0:t>S従量</ns0:t>
        </ns0:is>
      </ns0:c>
      <ns0:c r="P4" s="5" t="inlineStr">
        <ns0:is>
          <ns0:t>セット割引</ns0:t>
        </ns0:is>
      </ns0:c>
      <ns0:c r="Q4" s="5" t="inlineStr">
        <ns0:is>
          <ns0:t>G割引按分</ns0:t>
        </ns0:is>
      </ns0:c>
      <ns0:c r="R4" s="5" t="inlineStr">
        <ns0:is>
          <ns0:t>S割引按分</ns0:t>
        </ns0:is>
      </ns0:c>
      <ns0:c r="S4" s="5" t="inlineStr">
        <ns0:is>
          <ns0:t>G変動infra</ns0:t>
        </ns0:is>
      </ns0:c>
      <ns0:c r="T4" s="5" t="inlineStr">
        <ns0:is>
          <ns0:t>Gsupport</ns0:t>
        </ns0:is>
      </ns0:c>
      <ns0:c r="U4" s="5" t="inlineStr">
        <ns0:is>
          <ns0:t>S変動infra</ns0:t>
        </ns0:is>
      </ns0:c>
      <ns0:c r="V4" s="5" t="inlineStr">
        <ns0:is>
          <ns0:t>Ssupport</ns0:t>
        </ns0:is>
      </ns0:c>
      <ns0:c r="W4" s="5" t="inlineStr">
        <ns0:is>
          <ns0:t>セットG基本</ns0:t>
        </ns0:is>
      </ns0:c>
      <ns0:c r="X4" s="5" t="inlineStr">
        <ns0:is>
          <ns0:t>セットS基本</ns0:t>
        </ns0:is>
      </ns0:c>
    </ns0:row>
    <ns0:row r="5" ht="24" customHeight="1">
      <ns0:c r="A5" s="4" t="n">
        <ns0:v>0</ns0:v>
      </ns0:c>
      <ns0:c r="B5" s="4" t="n">
        <ns0:v>0</ns0:v>
      </ns0:c>
      <ns0:c r="C5" s="4" t="n">
        <ns0:v>0</ns0:v>
      </ns0:c>
      <ns0:c r="D5" s="12">
        <ns0:f>'前提と出典'!C52*'前提と出典'!$B$21</ns0:f>
        <ns0:v>0.13999999999999999</ns0:v>
      </ns0:c>
      <ns0:c r="E5" s="12">
        <ns0:f>ROUNDUP('前提と出典'!B52*'前提と出典'!$B$22,0)</ns0:f>
        <ns0:v>6</ns0:v>
      </ns0:c>
      <ns0:c r="F5" s="12">
        <ns0:f>'前提と出典'!A52</ns0:f>
        <ns0:v>0</ns0:v>
      </ns0:c>
      <ns0:c r="G5" s="12">
        <ns0:f>MAX(1,ROUNDUP(E5*'前提と出典'!$B$24*'前提と出典'!E10,0))</ns0:f>
        <ns0:v>1</ns0:v>
      </ns0:c>
      <ns0:c r="H5" s="4">
        <ns0:f>IF(AND(F5&gt;=1,F5&lt;=100),1,0)</ns0:f>
        <ns0:v>0</ns0:v>
      </ns0:c>
      <ns0:c r="I5" s="4">
        <ns0:f>IF(G5&lt;=50,1,0)</ns0:f>
        <ns0:v>1</ns0:v>
      </ns0:c>
      <ns0:c r="J5" s="4">
        <ns0:f>H5*I5</ns0:f>
        <ns0:v>0</ns0:v>
      </ns0:c>
      <ns0:c r="K5" s="12">
        <ns0:f>IF(A5='前提と出典'!$B$14,D5,0)</ns0:f>
        <ns0:v>0</ns0:v>
      </ns0:c>
      <ns0:c r="L5" s="12">
        <ns0:f>IF(H5=0,0,IF(F5&lt;=INDEX('前提と出典'!B41:B43,'前提と出典'!$B$15+1),INDEX('前提と出典'!C41:C43,'前提と出典'!$B$15+1),IF(F5&lt;=INDEX('前提と出典'!D41:D43,'前提と出典'!$B$15+1),INDEX('前提と出典'!E41:E43,'前提と出典'!$B$15+1),INDEX('前提と出典'!G41:G43,'前提と出典'!$B$15+1))))</ns0:f>
        <ns0:v>0</ns0:v>
      </ns0:c>
      <ns0:c r="M5" s="12">
        <ns0:f>IF(H5=0,0,IF('前提と出典'!$B$33=1,MIN(F5,10)*300+MIN(MAX(0,F5-10),20)*250+MAX(0,F5-30)*200,F5*300))</ns0:f>
        <ns0:v>0</ns0:v>
      </ns0:c>
      <ns0:c r="N5" s="12">
        <ns0:f>IF(I5=0,0,IF(G5&lt;=INDEX('前提と出典'!B46:B48,'前提と出典'!$B$16+1),INDEX('前提と出典'!C46:C48,'前提と出典'!$B$16+1),IF(G5&lt;=INDEX('前提と出典'!D46:D48,'前提と出典'!$B$16+1),INDEX('前提と出典'!E46:E48,'前提と出典'!$B$16+1),IF(G5&lt;=INDEX('前提と出典'!F46:F48,'前提と出典'!$B$16+1),INDEX('前提と出典'!G46:G48,'前提と出典'!$B$16+1),INDEX('前提と出典'!I46:I48,'前提と出典'!$B$16+1)))))</ns0:f>
        <ns0:v>1200</ns0:v>
      </ns0:c>
      <ns0:c r="O5" s="12">
        <ns0:f>IF(I5=1,G5*'前提と出典'!$B$13,0)</ns0:f>
        <ns0:v>200</ns0:v>
      </ns0:c>
      <ns0:c r="P5" s="12">
        <ns0:f>IF(J5=1,MIN('前提と出典'!$B$17,L5+N5),0)</ns0:f>
        <ns0:v>0</ns0:v>
      </ns0:c>
      <ns0:c r="Q5" s="12">
        <ns0:f>IF(J5=0,0,IF('前提と出典'!$B$19=0,P5*L5/(L5+N5),MIN(P5,L5)))</ns0:f>
        <ns0:v>0</ns0:v>
      </ns0:c>
      <ns0:c r="R5" s="4">
        <ns0:f>P5-Q5</ns0:f>
        <ns0:v>0</ns0:v>
      </ns0:c>
      <ns0:c r="S5" s="12">
        <ns0:f>IF(H5=1,'前提と出典'!$B$11+F5*'前提と出典'!$B$12,0)</ns0:f>
        <ns0:v>0</ns0:v>
      </ns0:c>
      <ns0:c r="T5" s="12">
        <ns0:f>IF(H5=1,('前提と出典'!$B$9+F5*'前提と出典'!$B$10)/60*'前提と出典'!$B$8,0)</ns0:f>
        <ns0:v>0</ns0:v>
      </ns0:c>
      <ns0:c r="U5" s="12">
        <ns0:f>IF(I5=1,INDEX('前提と出典'!B80:B83,'前提と出典'!$B$18+1)+G5*INDEX('前提と出典'!C80:C83,'前提と出典'!$B$18+1),0)</ns0:f>
        <ns0:v>69.77102447911206</ns0:v>
      </ns0:c>
      <ns0:c r="V5" s="12">
        <ns0:f>IF(I5=1,INDEX('前提と出典'!D80:D83,'前提と出典'!$B$18+1)+G5*INDEX('前提と出典'!E80:E83,'前提と出典'!$B$18+1),0)</ns0:f>
        <ns0:v>539.9999999999999</ns0:v>
      </ns0:c>
      <ns0:c r="W5" s="4">
        <ns0:f>L5-Q5</ns0:f>
        <ns0:v>0</ns0:v>
      </ns0:c>
      <ns0:c r="X5" s="4">
        <ns0:f>N5-R5</ns0:f>
        <ns0:v>1200</ns0:v>
      </ns0:c>
    </ns0:row>
    <ns0:row r="6" ht="24" customHeight="1">
      <ns0:c r="A6" s="4" t="n">
        <ns0:v>0</ns0:v>
      </ns0:c>
      <ns0:c r="B6" s="4" t="n">
        <ns0:v>0</ns0:v>
      </ns0:c>
      <ns0:c r="C6" s="4" t="n">
        <ns0:v>1</ns0:v>
      </ns0:c>
      <ns0:c r="D6" s="12">
        <ns0:f>'前提と出典'!C52*(1-'前提と出典'!$B$21)</ns0:f>
        <ns0:v>0.06000000000000001</ns0:v>
      </ns0:c>
      <ns0:c r="E6" s="12">
        <ns0:f>ROUNDUP('前提と出典'!B52*'前提と出典'!$B$23,0)</ns0:f>
        <ns0:v>3</ns0:v>
      </ns0:c>
      <ns0:c r="F6" s="12">
        <ns0:f>'前提と出典'!A52</ns0:f>
        <ns0:v>0</ns0:v>
      </ns0:c>
      <ns0:c r="G6" s="12">
        <ns0:f>MAX(1,ROUNDUP(E6*'前提と出典'!$B$25*'前提と出典'!E10,0))</ns0:f>
        <ns0:v>1</ns0:v>
      </ns0:c>
      <ns0:c r="H6" s="4">
        <ns0:f>IF(AND(F6&gt;=1,F6&lt;=100),1,0)</ns0:f>
        <ns0:v>0</ns0:v>
      </ns0:c>
      <ns0:c r="I6" s="4">
        <ns0:f>IF(G6&lt;=50,1,0)</ns0:f>
        <ns0:v>1</ns0:v>
      </ns0:c>
      <ns0:c r="J6" s="4">
        <ns0:f>H6*I6</ns0:f>
        <ns0:v>0</ns0:v>
      </ns0:c>
      <ns0:c r="K6" s="12">
        <ns0:f>IF(A6='前提と出典'!$B$14,D6,0)</ns0:f>
        <ns0:v>0</ns0:v>
      </ns0:c>
      <ns0:c r="L6" s="12">
        <ns0:f>IF(H6=0,0,IF(F6&lt;=INDEX('前提と出典'!B41:B43,'前提と出典'!$B$15+1),INDEX('前提と出典'!C41:C43,'前提と出典'!$B$15+1),IF(F6&lt;=INDEX('前提と出典'!D41:D43,'前提と出典'!$B$15+1),INDEX('前提と出典'!E41:E43,'前提と出典'!$B$15+1),INDEX('前提と出典'!G41:G43,'前提と出典'!$B$15+1))))</ns0:f>
        <ns0:v>0</ns0:v>
      </ns0:c>
      <ns0:c r="M6" s="12">
        <ns0:f>IF(H6=0,0,IF('前提と出典'!$B$33=1,MIN(F6,10)*300+MIN(MAX(0,F6-10),20)*250+MAX(0,F6-30)*200,F6*300))</ns0:f>
        <ns0:v>0</ns0:v>
      </ns0:c>
      <ns0:c r="N6" s="12">
        <ns0:f>IF(I6=0,0,IF(G6&lt;=INDEX('前提と出典'!B46:B48,'前提と出典'!$B$16+1),INDEX('前提と出典'!C46:C48,'前提と出典'!$B$16+1),IF(G6&lt;=INDEX('前提と出典'!D46:D48,'前提と出典'!$B$16+1),INDEX('前提と出典'!E46:E48,'前提と出典'!$B$16+1),IF(G6&lt;=INDEX('前提と出典'!F46:F48,'前提と出典'!$B$16+1),INDEX('前提と出典'!G46:G48,'前提と出典'!$B$16+1),INDEX('前提と出典'!I46:I48,'前提と出典'!$B$16+1)))))</ns0:f>
        <ns0:v>1200</ns0:v>
      </ns0:c>
      <ns0:c r="O6" s="12">
        <ns0:f>IF(I6=1,G6*'前提と出典'!$B$13,0)</ns0:f>
        <ns0:v>200</ns0:v>
      </ns0:c>
      <ns0:c r="P6" s="12">
        <ns0:f>IF(J6=1,MIN('前提と出典'!$B$17,L6+N6),0)</ns0:f>
        <ns0:v>0</ns0:v>
      </ns0:c>
      <ns0:c r="Q6" s="12">
        <ns0:f>IF(J6=0,0,IF('前提と出典'!$B$19=0,P6*L6/(L6+N6),MIN(P6,L6)))</ns0:f>
        <ns0:v>0</ns0:v>
      </ns0:c>
      <ns0:c r="R6" s="4">
        <ns0:f>P6-Q6</ns0:f>
        <ns0:v>0</ns0:v>
      </ns0:c>
      <ns0:c r="S6" s="12">
        <ns0:f>IF(H6=1,'前提と出典'!$B$11+F6*'前提と出典'!$B$12,0)</ns0:f>
        <ns0:v>0</ns0:v>
      </ns0:c>
      <ns0:c r="T6" s="12">
        <ns0:f>IF(H6=1,('前提と出典'!$B$9+F6*'前提と出典'!$B$10)/60*'前提と出典'!$B$8,0)</ns0:f>
        <ns0:v>0</ns0:v>
      </ns0:c>
      <ns0:c r="U6" s="12">
        <ns0:f>IF(I6=1,INDEX('前提と出典'!B80:B83,'前提と出典'!$B$18+1)+G6*INDEX('前提と出典'!C80:C83,'前提と出典'!$B$18+1),0)</ns0:f>
        <ns0:v>69.77102447911206</ns0:v>
      </ns0:c>
      <ns0:c r="V6" s="12">
        <ns0:f>IF(I6=1,INDEX('前提と出典'!D80:D83,'前提と出典'!$B$18+1)+G6*INDEX('前提と出典'!E80:E83,'前提と出典'!$B$18+1),0)</ns0:f>
        <ns0:v>539.9999999999999</ns0:v>
      </ns0:c>
      <ns0:c r="W6" s="4">
        <ns0:f>L6-Q6</ns0:f>
        <ns0:v>0</ns0:v>
      </ns0:c>
      <ns0:c r="X6" s="4">
        <ns0:f>N6-R6</ns0:f>
        <ns0:v>1200</ns0:v>
      </ns0:c>
    </ns0:row>
    <ns0:row r="7" ht="24" customHeight="1">
      <ns0:c r="A7" s="4" t="n">
        <ns0:v>0</ns0:v>
      </ns0:c>
      <ns0:c r="B7" s="4" t="n">
        <ns0:v>1</ns0:v>
      </ns0:c>
      <ns0:c r="C7" s="4" t="n">
        <ns0:v>0</ns0:v>
      </ns0:c>
      <ns0:c r="D7" s="12">
        <ns0:f>'前提と出典'!C53*'前提と出典'!$B$21</ns0:f>
        <ns0:v>0.315</ns0:v>
      </ns0:c>
      <ns0:c r="E7" s="12">
        <ns0:f>ROUNDUP('前提と出典'!B53*'前提と出典'!$B$22,0)</ns0:f>
        <ns0:v>15</ns0:v>
      </ns0:c>
      <ns0:c r="F7" s="12">
        <ns0:f>'前提と出典'!A53</ns0:f>
        <ns0:v>3</ns0:v>
      </ns0:c>
      <ns0:c r="G7" s="12">
        <ns0:f>MAX(1,ROUNDUP(E7*'前提と出典'!$B$24*'前提と出典'!E10,0))</ns0:f>
        <ns0:v>1</ns0:v>
      </ns0:c>
      <ns0:c r="H7" s="4">
        <ns0:f>IF(AND(F7&gt;=1,F7&lt;=100),1,0)</ns0:f>
        <ns0:v>1</ns0:v>
      </ns0:c>
      <ns0:c r="I7" s="4">
        <ns0:f>IF(G7&lt;=50,1,0)</ns0:f>
        <ns0:v>1</ns0:v>
      </ns0:c>
      <ns0:c r="J7" s="4">
        <ns0:f>H7*I7</ns0:f>
        <ns0:v>1</ns0:v>
      </ns0:c>
      <ns0:c r="K7" s="12">
        <ns0:f>IF(A7='前提と出典'!$B$14,D7,0)</ns0:f>
        <ns0:v>0</ns0:v>
      </ns0:c>
      <ns0:c r="L7" s="12">
        <ns0:f>IF(H7=0,0,IF(F7&lt;=INDEX('前提と出典'!B41:B43,'前提と出典'!$B$15+1),INDEX('前提と出典'!C41:C43,'前提と出典'!$B$15+1),IF(F7&lt;=INDEX('前提と出典'!D41:D43,'前提と出典'!$B$15+1),INDEX('前提と出典'!E41:E43,'前提と出典'!$B$15+1),INDEX('前提と出典'!G41:G43,'前提と出典'!$B$15+1))))</ns0:f>
        <ns0:v>3500</ns0:v>
      </ns0:c>
      <ns0:c r="M7" s="12">
        <ns0:f>IF(H7=0,0,IF('前提と出典'!$B$33=1,MIN(F7,10)*300+MIN(MAX(0,F7-10),20)*250+MAX(0,F7-30)*200,F7*300))</ns0:f>
        <ns0:v>900</ns0:v>
      </ns0:c>
      <ns0:c r="N7" s="12">
        <ns0:f>IF(I7=0,0,IF(G7&lt;=INDEX('前提と出典'!B46:B48,'前提と出典'!$B$16+1),INDEX('前提と出典'!C46:C48,'前提と出典'!$B$16+1),IF(G7&lt;=INDEX('前提と出典'!D46:D48,'前提と出典'!$B$16+1),INDEX('前提と出典'!E46:E48,'前提と出典'!$B$16+1),IF(G7&lt;=INDEX('前提と出典'!F46:F48,'前提と出典'!$B$16+1),INDEX('前提と出典'!G46:G48,'前提と出典'!$B$16+1),INDEX('前提と出典'!I46:I48,'前提と出典'!$B$16+1)))))</ns0:f>
        <ns0:v>1200</ns0:v>
      </ns0:c>
      <ns0:c r="O7" s="12">
        <ns0:f>IF(I7=1,G7*'前提と出典'!$B$13,0)</ns0:f>
        <ns0:v>200</ns0:v>
      </ns0:c>
      <ns0:c r="P7" s="12">
        <ns0:f>IF(J7=1,MIN('前提と出典'!$B$17,L7+N7),0)</ns0:f>
        <ns0:v>1000</ns0:v>
      </ns0:c>
      <ns0:c r="Q7" s="12">
        <ns0:f>IF(J7=0,0,IF('前提と出典'!$B$19=0,P7*L7/(L7+N7),MIN(P7,L7)))</ns0:f>
        <ns0:v>744.6808510638298</ns0:v>
      </ns0:c>
      <ns0:c r="R7" s="4">
        <ns0:f>P7-Q7</ns0:f>
        <ns0:v>255.31914893617022</ns0:v>
      </ns0:c>
      <ns0:c r="S7" s="12">
        <ns0:f>IF(H7=1,'前提と出典'!$B$11+F7*'前提と出典'!$B$12,0)</ns0:f>
        <ns0:v>53</ns0:v>
      </ns0:c>
      <ns0:c r="T7" s="12">
        <ns0:f>IF(H7=1,('前提と出典'!$B$9+F7*'前提と出典'!$B$10)/60*'前提と出典'!$B$8,0)</ns0:f>
        <ns0:v>553.3333333333334</ns0:v>
      </ns0:c>
      <ns0:c r="U7" s="12">
        <ns0:f>IF(I7=1,INDEX('前提と出典'!B80:B83,'前提と出典'!$B$18+1)+G7*INDEX('前提と出典'!C80:C83,'前提と出典'!$B$18+1),0)</ns0:f>
        <ns0:v>69.77102447911206</ns0:v>
      </ns0:c>
      <ns0:c r="V7" s="12">
        <ns0:f>IF(I7=1,INDEX('前提と出典'!D80:D83,'前提と出典'!$B$18+1)+G7*INDEX('前提と出典'!E80:E83,'前提と出典'!$B$18+1),0)</ns0:f>
        <ns0:v>539.9999999999999</ns0:v>
      </ns0:c>
      <ns0:c r="W7" s="4">
        <ns0:f>L7-Q7</ns0:f>
        <ns0:v>2755.31914893617</ns0:v>
      </ns0:c>
      <ns0:c r="X7" s="4">
        <ns0:f>N7-R7</ns0:f>
        <ns0:v>944.6808510638298</ns0:v>
      </ns0:c>
    </ns0:row>
    <ns0:row r="8" ht="24" customHeight="1">
      <ns0:c r="A8" s="4" t="n">
        <ns0:v>0</ns0:v>
      </ns0:c>
      <ns0:c r="B8" s="4" t="n">
        <ns0:v>1</ns0:v>
      </ns0:c>
      <ns0:c r="C8" s="4" t="n">
        <ns0:v>1</ns0:v>
      </ns0:c>
      <ns0:c r="D8" s="12">
        <ns0:f>'前提と出典'!C53*(1-'前提と出典'!$B$21)</ns0:f>
        <ns0:v>0.13500000000000004</ns0:v>
      </ns0:c>
      <ns0:c r="E8" s="12">
        <ns0:f>ROUNDUP('前提と出典'!B53*'前提と出典'!$B$23,0)</ns0:f>
        <ns0:v>8</ns0:v>
      </ns0:c>
      <ns0:c r="F8" s="12">
        <ns0:f>'前提と出典'!A53</ns0:f>
        <ns0:v>3</ns0:v>
      </ns0:c>
      <ns0:c r="G8" s="12">
        <ns0:f>MAX(1,ROUNDUP(E8*'前提と出典'!$B$25*'前提と出典'!E10,0))</ns0:f>
        <ns0:v>2</ns0:v>
      </ns0:c>
      <ns0:c r="H8" s="4">
        <ns0:f>IF(AND(F8&gt;=1,F8&lt;=100),1,0)</ns0:f>
        <ns0:v>1</ns0:v>
      </ns0:c>
      <ns0:c r="I8" s="4">
        <ns0:f>IF(G8&lt;=50,1,0)</ns0:f>
        <ns0:v>1</ns0:v>
      </ns0:c>
      <ns0:c r="J8" s="4">
        <ns0:f>H8*I8</ns0:f>
        <ns0:v>1</ns0:v>
      </ns0:c>
      <ns0:c r="K8" s="12">
        <ns0:f>IF(A8='前提と出典'!$B$14,D8,0)</ns0:f>
        <ns0:v>0</ns0:v>
      </ns0:c>
      <ns0:c r="L8" s="12">
        <ns0:f>IF(H8=0,0,IF(F8&lt;=INDEX('前提と出典'!B41:B43,'前提と出典'!$B$15+1),INDEX('前提と出典'!C41:C43,'前提と出典'!$B$15+1),IF(F8&lt;=INDEX('前提と出典'!D41:D43,'前提と出典'!$B$15+1),INDEX('前提と出典'!E41:E43,'前提と出典'!$B$15+1),INDEX('前提と出典'!G41:G43,'前提と出典'!$B$15+1))))</ns0:f>
        <ns0:v>3500</ns0:v>
      </ns0:c>
      <ns0:c r="M8" s="12">
        <ns0:f>IF(H8=0,0,IF('前提と出典'!$B$33=1,MIN(F8,10)*300+MIN(MAX(0,F8-10),20)*250+MAX(0,F8-30)*200,F8*300))</ns0:f>
        <ns0:v>900</ns0:v>
      </ns0:c>
      <ns0:c r="N8" s="12">
        <ns0:f>IF(I8=0,0,IF(G8&lt;=INDEX('前提と出典'!B46:B48,'前提と出典'!$B$16+1),INDEX('前提と出典'!C46:C48,'前提と出典'!$B$16+1),IF(G8&lt;=INDEX('前提と出典'!D46:D48,'前提と出典'!$B$16+1),INDEX('前提と出典'!E46:E48,'前提と出典'!$B$16+1),IF(G8&lt;=INDEX('前提と出典'!F46:F48,'前提と出典'!$B$16+1),INDEX('前提と出典'!G46:G48,'前提と出典'!$B$16+1),INDEX('前提と出典'!I46:I48,'前提と出典'!$B$16+1)))))</ns0:f>
        <ns0:v>1200</ns0:v>
      </ns0:c>
      <ns0:c r="O8" s="12">
        <ns0:f>IF(I8=1,G8*'前提と出典'!$B$13,0)</ns0:f>
        <ns0:v>400</ns0:v>
      </ns0:c>
      <ns0:c r="P8" s="12">
        <ns0:f>IF(J8=1,MIN('前提と出典'!$B$17,L8+N8),0)</ns0:f>
        <ns0:v>1000</ns0:v>
      </ns0:c>
      <ns0:c r="Q8" s="12">
        <ns0:f>IF(J8=0,0,IF('前提と出典'!$B$19=0,P8*L8/(L8+N8),MIN(P8,L8)))</ns0:f>
        <ns0:v>744.6808510638298</ns0:v>
      </ns0:c>
      <ns0:c r="R8" s="4">
        <ns0:f>P8-Q8</ns0:f>
        <ns0:v>255.31914893617022</ns0:v>
      </ns0:c>
      <ns0:c r="S8" s="12">
        <ns0:f>IF(H8=1,'前提と出典'!$B$11+F8*'前提と出典'!$B$12,0)</ns0:f>
        <ns0:v>53</ns0:v>
      </ns0:c>
      <ns0:c r="T8" s="12">
        <ns0:f>IF(H8=1,('前提と出典'!$B$9+F8*'前提と出典'!$B$10)/60*'前提と出典'!$B$8,0)</ns0:f>
        <ns0:v>553.3333333333334</ns0:v>
      </ns0:c>
      <ns0:c r="U8" s="12">
        <ns0:f>IF(I8=1,INDEX('前提と出典'!B80:B83,'前提と出典'!$B$18+1)+G8*INDEX('前提と出典'!C80:C83,'前提と出典'!$B$18+1),0)</ns0:f>
        <ns0:v>89.54204895822411</ns0:v>
      </ns0:c>
      <ns0:c r="V8" s="12">
        <ns0:f>IF(I8=1,INDEX('前提と出典'!D80:D83,'前提と出典'!$B$18+1)+G8*INDEX('前提と出典'!E80:E83,'前提と出典'!$B$18+1),0)</ns0:f>
        <ns0:v>546.6666666666666</ns0:v>
      </ns0:c>
      <ns0:c r="W8" s="4">
        <ns0:f>L8-Q8</ns0:f>
        <ns0:v>2755.31914893617</ns0:v>
      </ns0:c>
      <ns0:c r="X8" s="4">
        <ns0:f>N8-R8</ns0:f>
        <ns0:v>944.6808510638298</ns0:v>
      </ns0:c>
    </ns0:row>
    <ns0:row r="9" ht="24" customHeight="1">
      <ns0:c r="A9" s="4" t="n">
        <ns0:v>0</ns0:v>
      </ns0:c>
      <ns0:c r="B9" s="4" t="n">
        <ns0:v>2</ns0:v>
      </ns0:c>
      <ns0:c r="C9" s="4" t="n">
        <ns0:v>0</ns0:v>
      </ns0:c>
      <ns0:c r="D9" s="12">
        <ns0:f>'前提と出典'!C54*'前提と出典'!$B$21</ns0:f>
        <ns0:v>0.16799999999999998</ns0:v>
      </ns0:c>
      <ns0:c r="E9" s="12">
        <ns0:f>ROUNDUP('前提と出典'!B54*'前提と出典'!$B$22,0)</ns0:f>
        <ns0:v>38</ns0:v>
      </ns0:c>
      <ns0:c r="F9" s="12">
        <ns0:f>'前提と出典'!A54</ns0:f>
        <ns0:v>8</ns0:v>
      </ns0:c>
      <ns0:c r="G9" s="12">
        <ns0:f>MAX(1,ROUNDUP(E9*'前提と出典'!$B$24*'前提と出典'!E10,0))</ns0:f>
        <ns0:v>2</ns0:v>
      </ns0:c>
      <ns0:c r="H9" s="4">
        <ns0:f>IF(AND(F9&gt;=1,F9&lt;=100),1,0)</ns0:f>
        <ns0:v>1</ns0:v>
      </ns0:c>
      <ns0:c r="I9" s="4">
        <ns0:f>IF(G9&lt;=50,1,0)</ns0:f>
        <ns0:v>1</ns0:v>
      </ns0:c>
      <ns0:c r="J9" s="4">
        <ns0:f>H9*I9</ns0:f>
        <ns0:v>1</ns0:v>
      </ns0:c>
      <ns0:c r="K9" s="12">
        <ns0:f>IF(A9='前提と出典'!$B$14,D9,0)</ns0:f>
        <ns0:v>0</ns0:v>
      </ns0:c>
      <ns0:c r="L9" s="12">
        <ns0:f>IF(H9=0,0,IF(F9&lt;=INDEX('前提と出典'!B41:B43,'前提と出典'!$B$15+1),INDEX('前提と出典'!C41:C43,'前提と出典'!$B$15+1),IF(F9&lt;=INDEX('前提と出典'!D41:D43,'前提と出典'!$B$15+1),INDEX('前提と出典'!E41:E43,'前提と出典'!$B$15+1),INDEX('前提と出典'!G41:G43,'前提と出典'!$B$15+1))))</ns0:f>
        <ns0:v>3500</ns0:v>
      </ns0:c>
      <ns0:c r="M9" s="12">
        <ns0:f>IF(H9=0,0,IF('前提と出典'!$B$33=1,MIN(F9,10)*300+MIN(MAX(0,F9-10),20)*250+MAX(0,F9-30)*200,F9*300))</ns0:f>
        <ns0:v>2400</ns0:v>
      </ns0:c>
      <ns0:c r="N9" s="12">
        <ns0:f>IF(I9=0,0,IF(G9&lt;=INDEX('前提と出典'!B46:B48,'前提と出典'!$B$16+1),INDEX('前提と出典'!C46:C48,'前提と出典'!$B$16+1),IF(G9&lt;=INDEX('前提と出典'!D46:D48,'前提と出典'!$B$16+1),INDEX('前提と出典'!E46:E48,'前提と出典'!$B$16+1),IF(G9&lt;=INDEX('前提と出典'!F46:F48,'前提と出典'!$B$16+1),INDEX('前提と出典'!G46:G48,'前提と出典'!$B$16+1),INDEX('前提と出典'!I46:I48,'前提と出典'!$B$16+1)))))</ns0:f>
        <ns0:v>1200</ns0:v>
      </ns0:c>
      <ns0:c r="O9" s="12">
        <ns0:f>IF(I9=1,G9*'前提と出典'!$B$13,0)</ns0:f>
        <ns0:v>400</ns0:v>
      </ns0:c>
      <ns0:c r="P9" s="12">
        <ns0:f>IF(J9=1,MIN('前提と出典'!$B$17,L9+N9),0)</ns0:f>
        <ns0:v>1000</ns0:v>
      </ns0:c>
      <ns0:c r="Q9" s="12">
        <ns0:f>IF(J9=0,0,IF('前提と出典'!$B$19=0,P9*L9/(L9+N9),MIN(P9,L9)))</ns0:f>
        <ns0:v>744.6808510638298</ns0:v>
      </ns0:c>
      <ns0:c r="R9" s="4">
        <ns0:f>P9-Q9</ns0:f>
        <ns0:v>255.31914893617022</ns0:v>
      </ns0:c>
      <ns0:c r="S9" s="12">
        <ns0:f>IF(H9=1,'前提と出典'!$B$11+F9*'前提と出典'!$B$12,0)</ns0:f>
        <ns0:v>58</ns0:v>
      </ns0:c>
      <ns0:c r="T9" s="12">
        <ns0:f>IF(H9=1,('前提と出典'!$B$9+F9*'前提と出典'!$B$10)/60*'前提と出典'!$B$8,0)</ns0:f>
        <ns0:v>586.6666666666666</ns0:v>
      </ns0:c>
      <ns0:c r="U9" s="12">
        <ns0:f>IF(I9=1,INDEX('前提と出典'!B80:B83,'前提と出典'!$B$18+1)+G9*INDEX('前提と出典'!C80:C83,'前提と出典'!$B$18+1),0)</ns0:f>
        <ns0:v>89.54204895822411</ns0:v>
      </ns0:c>
      <ns0:c r="V9" s="12">
        <ns0:f>IF(I9=1,INDEX('前提と出典'!D80:D83,'前提と出典'!$B$18+1)+G9*INDEX('前提と出典'!E80:E83,'前提と出典'!$B$18+1),0)</ns0:f>
        <ns0:v>546.6666666666666</ns0:v>
      </ns0:c>
      <ns0:c r="W9" s="4">
        <ns0:f>L9-Q9</ns0:f>
        <ns0:v>2755.31914893617</ns0:v>
      </ns0:c>
      <ns0:c r="X9" s="4">
        <ns0:f>N9-R9</ns0:f>
        <ns0:v>944.6808510638298</ns0:v>
      </ns0:c>
    </ns0:row>
    <ns0:row r="10" ht="24" customHeight="1">
      <ns0:c r="A10" s="4" t="n">
        <ns0:v>0</ns0:v>
      </ns0:c>
      <ns0:c r="B10" s="4" t="n">
        <ns0:v>2</ns0:v>
      </ns0:c>
      <ns0:c r="C10" s="4" t="n">
        <ns0:v>1</ns0:v>
      </ns0:c>
      <ns0:c r="D10" s="12">
        <ns0:f>'前提と出典'!C54*(1-'前提と出典'!$B$21)</ns0:f>
        <ns0:v>0.07200000000000001</ns0:v>
      </ns0:c>
      <ns0:c r="E10" s="12">
        <ns0:f>ROUNDUP('前提と出典'!B54*'前提と出典'!$B$23,0)</ns0:f>
        <ns0:v>19</ns0:v>
      </ns0:c>
      <ns0:c r="F10" s="12">
        <ns0:f>'前提と出典'!A54</ns0:f>
        <ns0:v>8</ns0:v>
      </ns0:c>
      <ns0:c r="G10" s="12">
        <ns0:f>MAX(1,ROUNDUP(E10*'前提と出典'!$B$25*'前提と出典'!E10,0))</ns0:f>
        <ns0:v>3</ns0:v>
      </ns0:c>
      <ns0:c r="H10" s="4">
        <ns0:f>IF(AND(F10&gt;=1,F10&lt;=100),1,0)</ns0:f>
        <ns0:v>1</ns0:v>
      </ns0:c>
      <ns0:c r="I10" s="4">
        <ns0:f>IF(G10&lt;=50,1,0)</ns0:f>
        <ns0:v>1</ns0:v>
      </ns0:c>
      <ns0:c r="J10" s="4">
        <ns0:f>H10*I10</ns0:f>
        <ns0:v>1</ns0:v>
      </ns0:c>
      <ns0:c r="K10" s="12">
        <ns0:f>IF(A10='前提と出典'!$B$14,D10,0)</ns0:f>
        <ns0:v>0</ns0:v>
      </ns0:c>
      <ns0:c r="L10" s="12">
        <ns0:f>IF(H10=0,0,IF(F10&lt;=INDEX('前提と出典'!B41:B43,'前提と出典'!$B$15+1),INDEX('前提と出典'!C41:C43,'前提と出典'!$B$15+1),IF(F10&lt;=INDEX('前提と出典'!D41:D43,'前提と出典'!$B$15+1),INDEX('前提と出典'!E41:E43,'前提と出典'!$B$15+1),INDEX('前提と出典'!G41:G43,'前提と出典'!$B$15+1))))</ns0:f>
        <ns0:v>3500</ns0:v>
      </ns0:c>
      <ns0:c r="M10" s="12">
        <ns0:f>IF(H10=0,0,IF('前提と出典'!$B$33=1,MIN(F10,10)*300+MIN(MAX(0,F10-10),20)*250+MAX(0,F10-30)*200,F10*300))</ns0:f>
        <ns0:v>2400</ns0:v>
      </ns0:c>
      <ns0:c r="N10" s="12">
        <ns0:f>IF(I10=0,0,IF(G10&lt;=INDEX('前提と出典'!B46:B48,'前提と出典'!$B$16+1),INDEX('前提と出典'!C46:C48,'前提と出典'!$B$16+1),IF(G10&lt;=INDEX('前提と出典'!D46:D48,'前提と出典'!$B$16+1),INDEX('前提と出典'!E46:E48,'前提と出典'!$B$16+1),IF(G10&lt;=INDEX('前提と出典'!F46:F48,'前提と出典'!$B$16+1),INDEX('前提と出典'!G46:G48,'前提と出典'!$B$16+1),INDEX('前提と出典'!I46:I48,'前提と出典'!$B$16+1)))))</ns0:f>
        <ns0:v>1200</ns0:v>
      </ns0:c>
      <ns0:c r="O10" s="12">
        <ns0:f>IF(I10=1,G10*'前提と出典'!$B$13,0)</ns0:f>
        <ns0:v>600</ns0:v>
      </ns0:c>
      <ns0:c r="P10" s="12">
        <ns0:f>IF(J10=1,MIN('前提と出典'!$B$17,L10+N10),0)</ns0:f>
        <ns0:v>1000</ns0:v>
      </ns0:c>
      <ns0:c r="Q10" s="12">
        <ns0:f>IF(J10=0,0,IF('前提と出典'!$B$19=0,P10*L10/(L10+N10),MIN(P10,L10)))</ns0:f>
        <ns0:v>744.6808510638298</ns0:v>
      </ns0:c>
      <ns0:c r="R10" s="4">
        <ns0:f>P10-Q10</ns0:f>
        <ns0:v>255.31914893617022</ns0:v>
      </ns0:c>
      <ns0:c r="S10" s="12">
        <ns0:f>IF(H10=1,'前提と出典'!$B$11+F10*'前提と出典'!$B$12,0)</ns0:f>
        <ns0:v>58</ns0:v>
      </ns0:c>
      <ns0:c r="T10" s="12">
        <ns0:f>IF(H10=1,('前提と出典'!$B$9+F10*'前提と出典'!$B$10)/60*'前提と出典'!$B$8,0)</ns0:f>
        <ns0:v>586.6666666666666</ns0:v>
      </ns0:c>
      <ns0:c r="U10" s="12">
        <ns0:f>IF(I10=1,INDEX('前提と出典'!B80:B83,'前提と出典'!$B$18+1)+G10*INDEX('前提と出典'!C80:C83,'前提と出典'!$B$18+1),0)</ns0:f>
        <ns0:v>109.31307343733619</ns0:v>
      </ns0:c>
      <ns0:c r="V10" s="12">
        <ns0:f>IF(I10=1,INDEX('前提と出典'!D80:D83,'前提と出典'!$B$18+1)+G10*INDEX('前提と出典'!E80:E83,'前提と出典'!$B$18+1),0)</ns0:f>
        <ns0:v>553.3333333333334</ns0:v>
      </ns0:c>
      <ns0:c r="W10" s="4">
        <ns0:f>L10-Q10</ns0:f>
        <ns0:v>2755.31914893617</ns0:v>
      </ns0:c>
      <ns0:c r="X10" s="4">
        <ns0:f>N10-R10</ns0:f>
        <ns0:v>944.6808510638298</ns0:v>
      </ns0:c>
    </ns0:row>
    <ns0:row r="11" ht="24" customHeight="1">
      <ns0:c r="A11" s="4" t="n">
        <ns0:v>0</ns0:v>
      </ns0:c>
      <ns0:c r="B11" s="4" t="n">
        <ns0:v>3</ns0:v>
      </ns0:c>
      <ns0:c r="C11" s="4" t="n">
        <ns0:v>0</ns0:v>
      </ns0:c>
      <ns0:c r="D11" s="12">
        <ns0:f>'前提と出典'!C55*'前提と出典'!$B$21</ns0:f>
        <ns0:v>0.063</ns0:v>
      </ns0:c>
      <ns0:c r="E11" s="12">
        <ns0:f>ROUNDUP('前提と出典'!B55*'前提と出典'!$B$22,0)</ns0:f>
        <ns0:v>90</ns0:v>
      </ns0:c>
      <ns0:c r="F11" s="12">
        <ns0:f>'前提と出典'!A55</ns0:f>
        <ns0:v>18</ns0:v>
      </ns0:c>
      <ns0:c r="G11" s="12">
        <ns0:f>MAX(1,ROUNDUP(E11*'前提と出典'!$B$24*'前提と出典'!E10,0))</ns0:f>
        <ns0:v>5</ns0:v>
      </ns0:c>
      <ns0:c r="H11" s="4">
        <ns0:f>IF(AND(F11&gt;=1,F11&lt;=100),1,0)</ns0:f>
        <ns0:v>1</ns0:v>
      </ns0:c>
      <ns0:c r="I11" s="4">
        <ns0:f>IF(G11&lt;=50,1,0)</ns0:f>
        <ns0:v>1</ns0:v>
      </ns0:c>
      <ns0:c r="J11" s="4">
        <ns0:f>H11*I11</ns0:f>
        <ns0:v>1</ns0:v>
      </ns0:c>
      <ns0:c r="K11" s="12">
        <ns0:f>IF(A11='前提と出典'!$B$14,D11,0)</ns0:f>
        <ns0:v>0</ns0:v>
      </ns0:c>
      <ns0:c r="L11" s="12">
        <ns0:f>IF(H11=0,0,IF(F11&lt;=INDEX('前提と出典'!B41:B43,'前提と出典'!$B$15+1),INDEX('前提と出典'!C41:C43,'前提と出典'!$B$15+1),IF(F11&lt;=INDEX('前提と出典'!D41:D43,'前提と出典'!$B$15+1),INDEX('前提と出典'!E41:E43,'前提と出典'!$B$15+1),INDEX('前提と出典'!G41:G43,'前提と出典'!$B$15+1))))</ns0:f>
        <ns0:v>5000</ns0:v>
      </ns0:c>
      <ns0:c r="M11" s="12">
        <ns0:f>IF(H11=0,0,IF('前提と出典'!$B$33=1,MIN(F11,10)*300+MIN(MAX(0,F11-10),20)*250+MAX(0,F11-30)*200,F11*300))</ns0:f>
        <ns0:v>5000</ns0:v>
      </ns0:c>
      <ns0:c r="N11" s="12">
        <ns0:f>IF(I11=0,0,IF(G11&lt;=INDEX('前提と出典'!B46:B48,'前提と出典'!$B$16+1),INDEX('前提と出典'!C46:C48,'前提と出典'!$B$16+1),IF(G11&lt;=INDEX('前提と出典'!D46:D48,'前提と出典'!$B$16+1),INDEX('前提と出典'!E46:E48,'前提と出典'!$B$16+1),IF(G11&lt;=INDEX('前提と出典'!F46:F48,'前提と出典'!$B$16+1),INDEX('前提と出典'!G46:G48,'前提と出典'!$B$16+1),INDEX('前提と出典'!I46:I48,'前提と出典'!$B$16+1)))))</ns0:f>
        <ns0:v>1200</ns0:v>
      </ns0:c>
      <ns0:c r="O11" s="12">
        <ns0:f>IF(I11=1,G11*'前提と出典'!$B$13,0)</ns0:f>
        <ns0:v>1000</ns0:v>
      </ns0:c>
      <ns0:c r="P11" s="12">
        <ns0:f>IF(J11=1,MIN('前提と出典'!$B$17,L11+N11),0)</ns0:f>
        <ns0:v>1000</ns0:v>
      </ns0:c>
      <ns0:c r="Q11" s="12">
        <ns0:f>IF(J11=0,0,IF('前提と出典'!$B$19=0,P11*L11/(L11+N11),MIN(P11,L11)))</ns0:f>
        <ns0:v>806.4516129032259</ns0:v>
      </ns0:c>
      <ns0:c r="R11" s="4">
        <ns0:f>P11-Q11</ns0:f>
        <ns0:v>193.54838709677415</ns0:v>
      </ns0:c>
      <ns0:c r="S11" s="12">
        <ns0:f>IF(H11=1,'前提と出典'!$B$11+F11*'前提と出典'!$B$12,0)</ns0:f>
        <ns0:v>68</ns0:v>
      </ns0:c>
      <ns0:c r="T11" s="12">
        <ns0:f>IF(H11=1,('前提と出典'!$B$9+F11*'前提と出典'!$B$10)/60*'前提と出典'!$B$8,0)</ns0:f>
        <ns0:v>653.3333333333335</ns0:v>
      </ns0:c>
      <ns0:c r="U11" s="12">
        <ns0:f>IF(I11=1,INDEX('前提と出典'!B80:B83,'前提と出典'!$B$18+1)+G11*INDEX('前提と出典'!C80:C83,'前提と出典'!$B$18+1),0)</ns0:f>
        <ns0:v>148.8551223955603</ns0:v>
      </ns0:c>
      <ns0:c r="V11" s="12">
        <ns0:f>IF(I11=1,INDEX('前提と出典'!D80:D83,'前提と出典'!$B$18+1)+G11*INDEX('前提と出典'!E80:E83,'前提と出典'!$B$18+1),0)</ns0:f>
        <ns0:v>566.6666666666666</ns0:v>
      </ns0:c>
      <ns0:c r="W11" s="4">
        <ns0:f>L11-Q11</ns0:f>
        <ns0:v>4193.548387096775</ns0:v>
      </ns0:c>
      <ns0:c r="X11" s="4">
        <ns0:f>N11-R11</ns0:f>
        <ns0:v>1006.4516129032259</ns0:v>
      </ns0:c>
    </ns0:row>
    <ns0:row r="12" ht="24" customHeight="1">
      <ns0:c r="A12" s="4" t="n">
        <ns0:v>0</ns0:v>
      </ns0:c>
      <ns0:c r="B12" s="4" t="n">
        <ns0:v>3</ns0:v>
      </ns0:c>
      <ns0:c r="C12" s="4" t="n">
        <ns0:v>1</ns0:v>
      </ns0:c>
      <ns0:c r="D12" s="12">
        <ns0:f>'前提と出典'!C55*(1-'前提と出典'!$B$21)</ns0:f>
        <ns0:v>0.027000000000000003</ns0:v>
      </ns0:c>
      <ns0:c r="E12" s="12">
        <ns0:f>ROUNDUP('前提と出典'!B55*'前提と出典'!$B$23,0)</ns0:f>
        <ns0:v>45</ns0:v>
      </ns0:c>
      <ns0:c r="F12" s="12">
        <ns0:f>'前提と出典'!A55</ns0:f>
        <ns0:v>18</ns0:v>
      </ns0:c>
      <ns0:c r="G12" s="12">
        <ns0:f>MAX(1,ROUNDUP(E12*'前提と出典'!$B$25*'前提と出典'!E10,0))</ns0:f>
        <ns0:v>7</ns0:v>
      </ns0:c>
      <ns0:c r="H12" s="4">
        <ns0:f>IF(AND(F12&gt;=1,F12&lt;=100),1,0)</ns0:f>
        <ns0:v>1</ns0:v>
      </ns0:c>
      <ns0:c r="I12" s="4">
        <ns0:f>IF(G12&lt;=50,1,0)</ns0:f>
        <ns0:v>1</ns0:v>
      </ns0:c>
      <ns0:c r="J12" s="4">
        <ns0:f>H12*I12</ns0:f>
        <ns0:v>1</ns0:v>
      </ns0:c>
      <ns0:c r="K12" s="12">
        <ns0:f>IF(A12='前提と出典'!$B$14,D12,0)</ns0:f>
        <ns0:v>0</ns0:v>
      </ns0:c>
      <ns0:c r="L12" s="12">
        <ns0:f>IF(H12=0,0,IF(F12&lt;=INDEX('前提と出典'!B41:B43,'前提と出典'!$B$15+1),INDEX('前提と出典'!C41:C43,'前提と出典'!$B$15+1),IF(F12&lt;=INDEX('前提と出典'!D41:D43,'前提と出典'!$B$15+1),INDEX('前提と出典'!E41:E43,'前提と出典'!$B$15+1),INDEX('前提と出典'!G41:G43,'前提と出典'!$B$15+1))))</ns0:f>
        <ns0:v>5000</ns0:v>
      </ns0:c>
      <ns0:c r="M12" s="12">
        <ns0:f>IF(H12=0,0,IF('前提と出典'!$B$33=1,MIN(F12,10)*300+MIN(MAX(0,F12-10),20)*250+MAX(0,F12-30)*200,F12*300))</ns0:f>
        <ns0:v>5000</ns0:v>
      </ns0:c>
      <ns0:c r="N12" s="12">
        <ns0:f>IF(I12=0,0,IF(G12&lt;=INDEX('前提と出典'!B46:B48,'前提と出典'!$B$16+1),INDEX('前提と出典'!C46:C48,'前提と出典'!$B$16+1),IF(G12&lt;=INDEX('前提と出典'!D46:D48,'前提と出典'!$B$16+1),INDEX('前提と出典'!E46:E48,'前提と出典'!$B$16+1),IF(G12&lt;=INDEX('前提と出典'!F46:F48,'前提と出典'!$B$16+1),INDEX('前提と出典'!G46:G48,'前提と出典'!$B$16+1),INDEX('前提と出典'!I46:I48,'前提と出典'!$B$16+1)))))</ns0:f>
        <ns0:v>1200</ns0:v>
      </ns0:c>
      <ns0:c r="O12" s="12">
        <ns0:f>IF(I12=1,G12*'前提と出典'!$B$13,0)</ns0:f>
        <ns0:v>1400</ns0:v>
      </ns0:c>
      <ns0:c r="P12" s="12">
        <ns0:f>IF(J12=1,MIN('前提と出典'!$B$17,L12+N12),0)</ns0:f>
        <ns0:v>1000</ns0:v>
      </ns0:c>
      <ns0:c r="Q12" s="12">
        <ns0:f>IF(J12=0,0,IF('前提と出典'!$B$19=0,P12*L12/(L12+N12),MIN(P12,L12)))</ns0:f>
        <ns0:v>806.4516129032259</ns0:v>
      </ns0:c>
      <ns0:c r="R12" s="4">
        <ns0:f>P12-Q12</ns0:f>
        <ns0:v>193.54838709677415</ns0:v>
      </ns0:c>
      <ns0:c r="S12" s="12">
        <ns0:f>IF(H12=1,'前提と出典'!$B$11+F12*'前提と出典'!$B$12,0)</ns0:f>
        <ns0:v>68</ns0:v>
      </ns0:c>
      <ns0:c r="T12" s="12">
        <ns0:f>IF(H12=1,('前提と出典'!$B$9+F12*'前提と出典'!$B$10)/60*'前提と出典'!$B$8,0)</ns0:f>
        <ns0:v>653.3333333333335</ns0:v>
      </ns0:c>
      <ns0:c r="U12" s="12">
        <ns0:f>IF(I12=1,INDEX('前提と出典'!B80:B83,'前提と出典'!$B$18+1)+G12*INDEX('前提と出典'!C80:C83,'前提と出典'!$B$18+1),0)</ns0:f>
        <ns0:v>188.39717135378442</ns0:v>
      </ns0:c>
      <ns0:c r="V12" s="12">
        <ns0:f>IF(I12=1,INDEX('前提と出典'!D80:D83,'前提と出典'!$B$18+1)+G12*INDEX('前提と出典'!E80:E83,'前提と出典'!$B$18+1),0)</ns0:f>
        <ns0:v>580</ns0:v>
      </ns0:c>
      <ns0:c r="W12" s="4">
        <ns0:f>L12-Q12</ns0:f>
        <ns0:v>4193.548387096775</ns0:v>
      </ns0:c>
      <ns0:c r="X12" s="4">
        <ns0:f>N12-R12</ns0:f>
        <ns0:v>1006.4516129032259</ns0:v>
      </ns0:c>
    </ns0:row>
    <ns0:row r="13" ht="24" customHeight="1">
      <ns0:c r="A13" s="4" t="n">
        <ns0:v>0</ns0:v>
      </ns0:c>
      <ns0:c r="B13" s="4" t="n">
        <ns0:v>4</ns0:v>
      </ns0:c>
      <ns0:c r="C13" s="4" t="n">
        <ns0:v>0</ns0:v>
      </ns0:c>
      <ns0:c r="D13" s="12">
        <ns0:f>'前提と出典'!C56*'前提と出典'!$B$21</ns0:f>
        <ns0:v>0.010499999999999999</ns0:v>
      </ns0:c>
      <ns0:c r="E13" s="12">
        <ns0:f>ROUNDUP('前提と出典'!B56*'前提と出典'!$B$22,0)</ns0:f>
        <ns0:v>180</ns0:v>
      </ns0:c>
      <ns0:c r="F13" s="12">
        <ns0:f>'前提と出典'!A56</ns0:f>
        <ns0:v>40</ns0:v>
      </ns0:c>
      <ns0:c r="G13" s="12">
        <ns0:f>MAX(1,ROUNDUP(E13*'前提と出典'!$B$24*'前提と出典'!E10,0))</ns0:f>
        <ns0:v>9</ns0:v>
      </ns0:c>
      <ns0:c r="H13" s="4">
        <ns0:f>IF(AND(F13&gt;=1,F13&lt;=100),1,0)</ns0:f>
        <ns0:v>1</ns0:v>
      </ns0:c>
      <ns0:c r="I13" s="4">
        <ns0:f>IF(G13&lt;=50,1,0)</ns0:f>
        <ns0:v>1</ns0:v>
      </ns0:c>
      <ns0:c r="J13" s="4">
        <ns0:f>H13*I13</ns0:f>
        <ns0:v>1</ns0:v>
      </ns0:c>
      <ns0:c r="K13" s="12">
        <ns0:f>IF(A13='前提と出典'!$B$14,D13,0)</ns0:f>
        <ns0:v>0</ns0:v>
      </ns0:c>
      <ns0:c r="L13" s="12">
        <ns0:f>IF(H13=0,0,IF(F13&lt;=INDEX('前提と出典'!B41:B43,'前提と出典'!$B$15+1),INDEX('前提と出典'!C41:C43,'前提と出典'!$B$15+1),IF(F13&lt;=INDEX('前提と出典'!D41:D43,'前提と出典'!$B$15+1),INDEX('前提と出典'!E41:E43,'前提と出典'!$B$15+1),INDEX('前提と出典'!G41:G43,'前提と出典'!$B$15+1))))</ns0:f>
        <ns0:v>5000</ns0:v>
      </ns0:c>
      <ns0:c r="M13" s="12">
        <ns0:f>IF(H13=0,0,IF('前提と出典'!$B$33=1,MIN(F13,10)*300+MIN(MAX(0,F13-10),20)*250+MAX(0,F13-30)*200,F13*300))</ns0:f>
        <ns0:v>10000</ns0:v>
      </ns0:c>
      <ns0:c r="N13" s="12">
        <ns0:f>IF(I13=0,0,IF(G13&lt;=INDEX('前提と出典'!B46:B48,'前提と出典'!$B$16+1),INDEX('前提と出典'!C46:C48,'前提と出典'!$B$16+1),IF(G13&lt;=INDEX('前提と出典'!D46:D48,'前提と出典'!$B$16+1),INDEX('前提と出典'!E46:E48,'前提と出典'!$B$16+1),IF(G13&lt;=INDEX('前提と出典'!F46:F48,'前提と出典'!$B$16+1),INDEX('前提と出典'!G46:G48,'前提と出典'!$B$16+1),INDEX('前提と出典'!I46:I48,'前提と出典'!$B$16+1)))))</ns0:f>
        <ns0:v>1200</ns0:v>
      </ns0:c>
      <ns0:c r="O13" s="12">
        <ns0:f>IF(I13=1,G13*'前提と出典'!$B$13,0)</ns0:f>
        <ns0:v>1800</ns0:v>
      </ns0:c>
      <ns0:c r="P13" s="12">
        <ns0:f>IF(J13=1,MIN('前提と出典'!$B$17,L13+N13),0)</ns0:f>
        <ns0:v>1000</ns0:v>
      </ns0:c>
      <ns0:c r="Q13" s="12">
        <ns0:f>IF(J13=0,0,IF('前提と出典'!$B$19=0,P13*L13/(L13+N13),MIN(P13,L13)))</ns0:f>
        <ns0:v>806.4516129032259</ns0:v>
      </ns0:c>
      <ns0:c r="R13" s="4">
        <ns0:f>P13-Q13</ns0:f>
        <ns0:v>193.54838709677415</ns0:v>
      </ns0:c>
      <ns0:c r="S13" s="12">
        <ns0:f>IF(H13=1,'前提と出典'!$B$11+F13*'前提と出典'!$B$12,0)</ns0:f>
        <ns0:v>90</ns0:v>
      </ns0:c>
      <ns0:c r="T13" s="12">
        <ns0:f>IF(H13=1,('前提と出典'!$B$9+F13*'前提と出典'!$B$10)/60*'前提と出典'!$B$8,0)</ns0:f>
        <ns0:v>800</ns0:v>
      </ns0:c>
      <ns0:c r="U13" s="12">
        <ns0:f>IF(I13=1,INDEX('前提と出典'!B80:B83,'前提と出典'!$B$18+1)+G13*INDEX('前提と出典'!C80:C83,'前提と出典'!$B$18+1),0)</ns0:f>
        <ns0:v>227.93922031200856</ns0:v>
      </ns0:c>
      <ns0:c r="V13" s="12">
        <ns0:f>IF(I13=1,INDEX('前提と出典'!D80:D83,'前提と出典'!$B$18+1)+G13*INDEX('前提と出典'!E80:E83,'前提と出典'!$B$18+1),0)</ns0:f>
        <ns0:v>593.3333333333334</ns0:v>
      </ns0:c>
      <ns0:c r="W13" s="4">
        <ns0:f>L13-Q13</ns0:f>
        <ns0:v>4193.548387096775</ns0:v>
      </ns0:c>
      <ns0:c r="X13" s="4">
        <ns0:f>N13-R13</ns0:f>
        <ns0:v>1006.4516129032259</ns0:v>
      </ns0:c>
    </ns0:row>
    <ns0:row r="14" ht="24" customHeight="1">
      <ns0:c r="A14" s="4" t="n">
        <ns0:v>0</ns0:v>
      </ns0:c>
      <ns0:c r="B14" s="4" t="n">
        <ns0:v>4</ns0:v>
      </ns0:c>
      <ns0:c r="C14" s="4" t="n">
        <ns0:v>1</ns0:v>
      </ns0:c>
      <ns0:c r="D14" s="12">
        <ns0:f>'前提と出典'!C56*(1-'前提と出典'!$B$21)</ns0:f>
        <ns0:v>0.0045000000000000005</ns0:v>
      </ns0:c>
      <ns0:c r="E14" s="12">
        <ns0:f>ROUNDUP('前提と出典'!B56*'前提と出典'!$B$23,0)</ns0:f>
        <ns0:v>90</ns0:v>
      </ns0:c>
      <ns0:c r="F14" s="12">
        <ns0:f>'前提と出典'!A56</ns0:f>
        <ns0:v>40</ns0:v>
      </ns0:c>
      <ns0:c r="G14" s="12">
        <ns0:f>MAX(1,ROUNDUP(E14*'前提と出典'!$B$25*'前提と出典'!E10,0))</ns0:f>
        <ns0:v>14</ns0:v>
      </ns0:c>
      <ns0:c r="H14" s="4">
        <ns0:f>IF(AND(F14&gt;=1,F14&lt;=100),1,0)</ns0:f>
        <ns0:v>1</ns0:v>
      </ns0:c>
      <ns0:c r="I14" s="4">
        <ns0:f>IF(G14&lt;=50,1,0)</ns0:f>
        <ns0:v>1</ns0:v>
      </ns0:c>
      <ns0:c r="J14" s="4">
        <ns0:f>H14*I14</ns0:f>
        <ns0:v>1</ns0:v>
      </ns0:c>
      <ns0:c r="K14" s="12">
        <ns0:f>IF(A14='前提と出典'!$B$14,D14,0)</ns0:f>
        <ns0:v>0</ns0:v>
      </ns0:c>
      <ns0:c r="L14" s="12">
        <ns0:f>IF(H14=0,0,IF(F14&lt;=INDEX('前提と出典'!B41:B43,'前提と出典'!$B$15+1),INDEX('前提と出典'!C41:C43,'前提と出典'!$B$15+1),IF(F14&lt;=INDEX('前提と出典'!D41:D43,'前提と出典'!$B$15+1),INDEX('前提と出典'!E41:E43,'前提と出典'!$B$15+1),INDEX('前提と出典'!G41:G43,'前提と出典'!$B$15+1))))</ns0:f>
        <ns0:v>5000</ns0:v>
      </ns0:c>
      <ns0:c r="M14" s="12">
        <ns0:f>IF(H14=0,0,IF('前提と出典'!$B$33=1,MIN(F14,10)*300+MIN(MAX(0,F14-10),20)*250+MAX(0,F14-30)*200,F14*300))</ns0:f>
        <ns0:v>10000</ns0:v>
      </ns0:c>
      <ns0:c r="N14" s="12">
        <ns0:f>IF(I14=0,0,IF(G14&lt;=INDEX('前提と出典'!B46:B48,'前提と出典'!$B$16+1),INDEX('前提と出典'!C46:C48,'前提と出典'!$B$16+1),IF(G14&lt;=INDEX('前提と出典'!D46:D48,'前提と出典'!$B$16+1),INDEX('前提と出典'!E46:E48,'前提と出典'!$B$16+1),IF(G14&lt;=INDEX('前提と出典'!F46:F48,'前提と出典'!$B$16+1),INDEX('前提と出典'!G46:G48,'前提と出典'!$B$16+1),INDEX('前提と出典'!I46:I48,'前提と出典'!$B$16+1)))))</ns0:f>
        <ns0:v>2500</ns0:v>
      </ns0:c>
      <ns0:c r="O14" s="12">
        <ns0:f>IF(I14=1,G14*'前提と出典'!$B$13,0)</ns0:f>
        <ns0:v>2800</ns0:v>
      </ns0:c>
      <ns0:c r="P14" s="12">
        <ns0:f>IF(J14=1,MIN('前提と出典'!$B$17,L14+N14),0)</ns0:f>
        <ns0:v>1000</ns0:v>
      </ns0:c>
      <ns0:c r="Q14" s="12">
        <ns0:f>IF(J14=0,0,IF('前提と出典'!$B$19=0,P14*L14/(L14+N14),MIN(P14,L14)))</ns0:f>
        <ns0:v>666.6666666666666</ns0:v>
      </ns0:c>
      <ns0:c r="R14" s="4">
        <ns0:f>P14-Q14</ns0:f>
        <ns0:v>333.33333333333337</ns0:v>
      </ns0:c>
      <ns0:c r="S14" s="12">
        <ns0:f>IF(H14=1,'前提と出典'!$B$11+F14*'前提と出典'!$B$12,0)</ns0:f>
        <ns0:v>90</ns0:v>
      </ns0:c>
      <ns0:c r="T14" s="12">
        <ns0:f>IF(H14=1,('前提と出典'!$B$9+F14*'前提と出典'!$B$10)/60*'前提と出典'!$B$8,0)</ns0:f>
        <ns0:v>800</ns0:v>
      </ns0:c>
      <ns0:c r="U14" s="12">
        <ns0:f>IF(I14=1,INDEX('前提と出典'!B80:B83,'前提と出典'!$B$18+1)+G14*INDEX('前提と出典'!C80:C83,'前提と出典'!$B$18+1),0)</ns0:f>
        <ns0:v>326.79434270756883</ns0:v>
      </ns0:c>
      <ns0:c r="V14" s="12">
        <ns0:f>IF(I14=1,INDEX('前提と出典'!D80:D83,'前提と出典'!$B$18+1)+G14*INDEX('前提と出典'!E80:E83,'前提と出典'!$B$18+1),0)</ns0:f>
        <ns0:v>626.6666666666667</ns0:v>
      </ns0:c>
      <ns0:c r="W14" s="4">
        <ns0:f>L14-Q14</ns0:f>
        <ns0:v>4333.333333333333</ns0:v>
      </ns0:c>
      <ns0:c r="X14" s="4">
        <ns0:f>N14-R14</ns0:f>
        <ns0:v>2166.6666666666665</ns0:v>
      </ns0:c>
    </ns0:row>
    <ns0:row r="15" ht="24" customHeight="1">
      <ns0:c r="A15" s="4" t="n">
        <ns0:v>0</ns0:v>
      </ns0:c>
      <ns0:c r="B15" s="4" t="n">
        <ns0:v>5</ns0:v>
      </ns0:c>
      <ns0:c r="C15" s="4" t="n">
        <ns0:v>0</ns0:v>
      </ns0:c>
      <ns0:c r="D15" s="12">
        <ns0:f>'前提と出典'!C57*'前提と出典'!$B$21</ns0:f>
        <ns0:v>0.0028</ns0:v>
      </ns0:c>
      <ns0:c r="E15" s="12">
        <ns0:f>ROUNDUP('前提と出典'!B57*'前提と出典'!$B$22,0)</ns0:f>
        <ns0:v>300</ns0:v>
      </ns0:c>
      <ns0:c r="F15" s="12">
        <ns0:f>'前提と出典'!A57</ns0:f>
        <ns0:v>70</ns0:v>
      </ns0:c>
      <ns0:c r="G15" s="12">
        <ns0:f>MAX(1,ROUNDUP(E15*'前提と出典'!$B$24*'前提と出典'!E10,0))</ns0:f>
        <ns0:v>15</ns0:v>
      </ns0:c>
      <ns0:c r="H15" s="4">
        <ns0:f>IF(AND(F15&gt;=1,F15&lt;=100),1,0)</ns0:f>
        <ns0:v>1</ns0:v>
      </ns0:c>
      <ns0:c r="I15" s="4">
        <ns0:f>IF(G15&lt;=50,1,0)</ns0:f>
        <ns0:v>1</ns0:v>
      </ns0:c>
      <ns0:c r="J15" s="4">
        <ns0:f>H15*I15</ns0:f>
        <ns0:v>1</ns0:v>
      </ns0:c>
      <ns0:c r="K15" s="12">
        <ns0:f>IF(A15='前提と出典'!$B$14,D15,0)</ns0:f>
        <ns0:v>0</ns0:v>
      </ns0:c>
      <ns0:c r="L15" s="12">
        <ns0:f>IF(H15=0,0,IF(F15&lt;=INDEX('前提と出典'!B41:B43,'前提と出典'!$B$15+1),INDEX('前提と出典'!C41:C43,'前提と出典'!$B$15+1),IF(F15&lt;=INDEX('前提と出典'!D41:D43,'前提と出典'!$B$15+1),INDEX('前提と出典'!E41:E43,'前提と出典'!$B$15+1),INDEX('前提と出典'!G41:G43,'前提と出典'!$B$15+1))))</ns0:f>
        <ns0:v>5000</ns0:v>
      </ns0:c>
      <ns0:c r="M15" s="12">
        <ns0:f>IF(H15=0,0,IF('前提と出典'!$B$33=1,MIN(F15,10)*300+MIN(MAX(0,F15-10),20)*250+MAX(0,F15-30)*200,F15*300))</ns0:f>
        <ns0:v>16000</ns0:v>
      </ns0:c>
      <ns0:c r="N15" s="12">
        <ns0:f>IF(I15=0,0,IF(G15&lt;=INDEX('前提と出典'!B46:B48,'前提と出典'!$B$16+1),INDEX('前提と出典'!C46:C48,'前提と出典'!$B$16+1),IF(G15&lt;=INDEX('前提と出典'!D46:D48,'前提と出典'!$B$16+1),INDEX('前提と出典'!E46:E48,'前提と出典'!$B$16+1),IF(G15&lt;=INDEX('前提と出典'!F46:F48,'前提と出典'!$B$16+1),INDEX('前提と出典'!G46:G48,'前提と出典'!$B$16+1),INDEX('前提と出典'!I46:I48,'前提と出典'!$B$16+1)))))</ns0:f>
        <ns0:v>2500</ns0:v>
      </ns0:c>
      <ns0:c r="O15" s="12">
        <ns0:f>IF(I15=1,G15*'前提と出典'!$B$13,0)</ns0:f>
        <ns0:v>3000</ns0:v>
      </ns0:c>
      <ns0:c r="P15" s="12">
        <ns0:f>IF(J15=1,MIN('前提と出典'!$B$17,L15+N15),0)</ns0:f>
        <ns0:v>1000</ns0:v>
      </ns0:c>
      <ns0:c r="Q15" s="12">
        <ns0:f>IF(J15=0,0,IF('前提と出典'!$B$19=0,P15*L15/(L15+N15),MIN(P15,L15)))</ns0:f>
        <ns0:v>666.6666666666666</ns0:v>
      </ns0:c>
      <ns0:c r="R15" s="4">
        <ns0:f>P15-Q15</ns0:f>
        <ns0:v>333.33333333333337</ns0:v>
      </ns0:c>
      <ns0:c r="S15" s="12">
        <ns0:f>IF(H15=1,'前提と出典'!$B$11+F15*'前提と出典'!$B$12,0)</ns0:f>
        <ns0:v>120</ns0:v>
      </ns0:c>
      <ns0:c r="T15" s="12">
        <ns0:f>IF(H15=1,('前提と出典'!$B$9+F15*'前提と出典'!$B$10)/60*'前提と出典'!$B$8,0)</ns0:f>
        <ns0:v>1000</ns0:v>
      </ns0:c>
      <ns0:c r="U15" s="12">
        <ns0:f>IF(I15=1,INDEX('前提と出典'!B80:B83,'前提と出典'!$B$18+1)+G15*INDEX('前提と出典'!C80:C83,'前提と出典'!$B$18+1),0)</ns0:f>
        <ns0:v>346.56536718668093</ns0:v>
      </ns0:c>
      <ns0:c r="V15" s="12">
        <ns0:f>IF(I15=1,INDEX('前提と出典'!D80:D83,'前提と出典'!$B$18+1)+G15*INDEX('前提と出典'!E80:E83,'前提と出典'!$B$18+1),0)</ns0:f>
        <ns0:v>633.3333333333333</ns0:v>
      </ns0:c>
      <ns0:c r="W15" s="4">
        <ns0:f>L15-Q15</ns0:f>
        <ns0:v>4333.333333333333</ns0:v>
      </ns0:c>
      <ns0:c r="X15" s="4">
        <ns0:f>N15-R15</ns0:f>
        <ns0:v>2166.6666666666665</ns0:v>
      </ns0:c>
    </ns0:row>
    <ns0:row r="16" ht="24" customHeight="1">
      <ns0:c r="A16" s="4" t="n">
        <ns0:v>0</ns0:v>
      </ns0:c>
      <ns0:c r="B16" s="4" t="n">
        <ns0:v>5</ns0:v>
      </ns0:c>
      <ns0:c r="C16" s="4" t="n">
        <ns0:v>1</ns0:v>
      </ns0:c>
      <ns0:c r="D16" s="12">
        <ns0:f>'前提と出典'!C57*(1-'前提と出典'!$B$21)</ns0:f>
        <ns0:v>0.0012000000000000001</ns0:v>
      </ns0:c>
      <ns0:c r="E16" s="12">
        <ns0:f>ROUNDUP('前提と出典'!B57*'前提と出典'!$B$23,0)</ns0:f>
        <ns0:v>150</ns0:v>
      </ns0:c>
      <ns0:c r="F16" s="12">
        <ns0:f>'前提と出典'!A57</ns0:f>
        <ns0:v>70</ns0:v>
      </ns0:c>
      <ns0:c r="G16" s="12">
        <ns0:f>MAX(1,ROUNDUP(E16*'前提と出典'!$B$25*'前提と出典'!E10,0))</ns0:f>
        <ns0:v>23</ns0:v>
      </ns0:c>
      <ns0:c r="H16" s="4">
        <ns0:f>IF(AND(F16&gt;=1,F16&lt;=100),1,0)</ns0:f>
        <ns0:v>1</ns0:v>
      </ns0:c>
      <ns0:c r="I16" s="4">
        <ns0:f>IF(G16&lt;=50,1,0)</ns0:f>
        <ns0:v>1</ns0:v>
      </ns0:c>
      <ns0:c r="J16" s="4">
        <ns0:f>H16*I16</ns0:f>
        <ns0:v>1</ns0:v>
      </ns0:c>
      <ns0:c r="K16" s="12">
        <ns0:f>IF(A16='前提と出典'!$B$14,D16,0)</ns0:f>
        <ns0:v>0</ns0:v>
      </ns0:c>
      <ns0:c r="L16" s="12">
        <ns0:f>IF(H16=0,0,IF(F16&lt;=INDEX('前提と出典'!B41:B43,'前提と出典'!$B$15+1),INDEX('前提と出典'!C41:C43,'前提と出典'!$B$15+1),IF(F16&lt;=INDEX('前提と出典'!D41:D43,'前提と出典'!$B$15+1),INDEX('前提と出典'!E41:E43,'前提と出典'!$B$15+1),INDEX('前提と出典'!G41:G43,'前提と出典'!$B$15+1))))</ns0:f>
        <ns0:v>5000</ns0:v>
      </ns0:c>
      <ns0:c r="M16" s="12">
        <ns0:f>IF(H16=0,0,IF('前提と出典'!$B$33=1,MIN(F16,10)*300+MIN(MAX(0,F16-10),20)*250+MAX(0,F16-30)*200,F16*300))</ns0:f>
        <ns0:v>16000</ns0:v>
      </ns0:c>
      <ns0:c r="N16" s="12">
        <ns0:f>IF(I16=0,0,IF(G16&lt;=INDEX('前提と出典'!B46:B48,'前提と出典'!$B$16+1),INDEX('前提と出典'!C46:C48,'前提と出典'!$B$16+1),IF(G16&lt;=INDEX('前提と出典'!D46:D48,'前提と出典'!$B$16+1),INDEX('前提と出典'!E46:E48,'前提と出典'!$B$16+1),IF(G16&lt;=INDEX('前提と出典'!F46:F48,'前提と出典'!$B$16+1),INDEX('前提と出典'!G46:G48,'前提と出典'!$B$16+1),INDEX('前提と出典'!I46:I48,'前提と出典'!$B$16+1)))))</ns0:f>
        <ns0:v>2500</ns0:v>
      </ns0:c>
      <ns0:c r="O16" s="12">
        <ns0:f>IF(I16=1,G16*'前提と出典'!$B$13,0)</ns0:f>
        <ns0:v>4600</ns0:v>
      </ns0:c>
      <ns0:c r="P16" s="12">
        <ns0:f>IF(J16=1,MIN('前提と出典'!$B$17,L16+N16),0)</ns0:f>
        <ns0:v>1000</ns0:v>
      </ns0:c>
      <ns0:c r="Q16" s="12">
        <ns0:f>IF(J16=0,0,IF('前提と出典'!$B$19=0,P16*L16/(L16+N16),MIN(P16,L16)))</ns0:f>
        <ns0:v>666.6666666666666</ns0:v>
      </ns0:c>
      <ns0:c r="R16" s="4">
        <ns0:f>P16-Q16</ns0:f>
        <ns0:v>333.33333333333337</ns0:v>
      </ns0:c>
      <ns0:c r="S16" s="12">
        <ns0:f>IF(H16=1,'前提と出典'!$B$11+F16*'前提と出典'!$B$12,0)</ns0:f>
        <ns0:v>120</ns0:v>
      </ns0:c>
      <ns0:c r="T16" s="12">
        <ns0:f>IF(H16=1,('前提と出典'!$B$9+F16*'前提と出典'!$B$10)/60*'前提と出典'!$B$8,0)</ns0:f>
        <ns0:v>1000</ns0:v>
      </ns0:c>
      <ns0:c r="U16" s="12">
        <ns0:f>IF(I16=1,INDEX('前提と出典'!B80:B83,'前提と出典'!$B$18+1)+G16*INDEX('前提と出典'!C80:C83,'前提と出典'!$B$18+1),0)</ns0:f>
        <ns0:v>504.7335630195774</ns0:v>
      </ns0:c>
      <ns0:c r="V16" s="12">
        <ns0:f>IF(I16=1,INDEX('前提と出典'!D80:D83,'前提と出典'!$B$18+1)+G16*INDEX('前提と出典'!E80:E83,'前提と出典'!$B$18+1),0)</ns0:f>
        <ns0:v>686.6666666666667</ns0:v>
      </ns0:c>
      <ns0:c r="W16" s="4">
        <ns0:f>L16-Q16</ns0:f>
        <ns0:v>4333.333333333333</ns0:v>
      </ns0:c>
      <ns0:c r="X16" s="4">
        <ns0:f>N16-R16</ns0:f>
        <ns0:v>2166.6666666666665</ns0:v>
      </ns0:c>
    </ns0:row>
    <ns0:row r="17" ht="24" customHeight="1">
      <ns0:c r="A17" s="4" t="n">
        <ns0:v>0</ns0:v>
      </ns0:c>
      <ns0:c r="B17" s="4" t="n">
        <ns0:v>6</ns0:v>
      </ns0:c>
      <ns0:c r="C17" s="4" t="n">
        <ns0:v>0</ns0:v>
      </ns0:c>
      <ns0:c r="D17" s="12">
        <ns0:f>'前提と出典'!C58*'前提と出典'!$B$21</ns0:f>
        <ns0:v>0.0007</ns0:v>
      </ns0:c>
      <ns0:c r="E17" s="12">
        <ns0:f>ROUNDUP('前提と出典'!B58*'前提と出典'!$B$22,0)</ns0:f>
        <ns0:v>600</ns0:v>
      </ns0:c>
      <ns0:c r="F17" s="12">
        <ns0:f>'前提と出典'!A58</ns0:f>
        <ns0:v>130</ns0:v>
      </ns0:c>
      <ns0:c r="G17" s="12">
        <ns0:f>MAX(1,ROUNDUP(E17*'前提と出典'!$B$24*'前提と出典'!E10,0))</ns0:f>
        <ns0:v>30</ns0:v>
      </ns0:c>
      <ns0:c r="H17" s="4">
        <ns0:f>IF(AND(F17&gt;=1,F17&lt;=100),1,0)</ns0:f>
        <ns0:v>0</ns0:v>
      </ns0:c>
      <ns0:c r="I17" s="4">
        <ns0:f>IF(G17&lt;=50,1,0)</ns0:f>
        <ns0:v>1</ns0:v>
      </ns0:c>
      <ns0:c r="J17" s="4">
        <ns0:f>H17*I17</ns0:f>
        <ns0:v>0</ns0:v>
      </ns0:c>
      <ns0:c r="K17" s="12">
        <ns0:f>IF(A17='前提と出典'!$B$14,D17,0)</ns0:f>
        <ns0:v>0</ns0:v>
      </ns0:c>
      <ns0:c r="L17" s="12">
        <ns0:f>IF(H17=0,0,IF(F17&lt;=INDEX('前提と出典'!B41:B43,'前提と出典'!$B$15+1),INDEX('前提と出典'!C41:C43,'前提と出典'!$B$15+1),IF(F17&lt;=INDEX('前提と出典'!D41:D43,'前提と出典'!$B$15+1),INDEX('前提と出典'!E41:E43,'前提と出典'!$B$15+1),INDEX('前提と出典'!G41:G43,'前提と出典'!$B$15+1))))</ns0:f>
        <ns0:v>0</ns0:v>
      </ns0:c>
      <ns0:c r="M17" s="12">
        <ns0:f>IF(H17=0,0,IF('前提と出典'!$B$33=1,MIN(F17,10)*300+MIN(MAX(0,F17-10),20)*250+MAX(0,F17-30)*200,F17*300))</ns0:f>
        <ns0:v>0</ns0:v>
      </ns0:c>
      <ns0:c r="N17" s="12">
        <ns0:f>IF(I17=0,0,IF(G17&lt;=INDEX('前提と出典'!B46:B48,'前提と出典'!$B$16+1),INDEX('前提と出典'!C46:C48,'前提と出典'!$B$16+1),IF(G17&lt;=INDEX('前提と出典'!D46:D48,'前提と出典'!$B$16+1),INDEX('前提と出典'!E46:E48,'前提と出典'!$B$16+1),IF(G17&lt;=INDEX('前提と出典'!F46:F48,'前提と出典'!$B$16+1),INDEX('前提と出典'!G46:G48,'前提と出典'!$B$16+1),INDEX('前提と出典'!I46:I48,'前提と出典'!$B$16+1)))))</ns0:f>
        <ns0:v>2500</ns0:v>
      </ns0:c>
      <ns0:c r="O17" s="12">
        <ns0:f>IF(I17=1,G17*'前提と出典'!$B$13,0)</ns0:f>
        <ns0:v>6000</ns0:v>
      </ns0:c>
      <ns0:c r="P17" s="12">
        <ns0:f>IF(J17=1,MIN('前提と出典'!$B$17,L17+N17),0)</ns0:f>
        <ns0:v>0</ns0:v>
      </ns0:c>
      <ns0:c r="Q17" s="12">
        <ns0:f>IF(J17=0,0,IF('前提と出典'!$B$19=0,P17*L17/(L17+N17),MIN(P17,L17)))</ns0:f>
        <ns0:v>0</ns0:v>
      </ns0:c>
      <ns0:c r="R17" s="4">
        <ns0:f>P17-Q17</ns0:f>
        <ns0:v>0</ns0:v>
      </ns0:c>
      <ns0:c r="S17" s="12">
        <ns0:f>IF(H17=1,'前提と出典'!$B$11+F17*'前提と出典'!$B$12,0)</ns0:f>
        <ns0:v>0</ns0:v>
      </ns0:c>
      <ns0:c r="T17" s="12">
        <ns0:f>IF(H17=1,('前提と出典'!$B$9+F17*'前提と出典'!$B$10)/60*'前提と出典'!$B$8,0)</ns0:f>
        <ns0:v>0</ns0:v>
      </ns0:c>
      <ns0:c r="U17" s="12">
        <ns0:f>IF(I17=1,INDEX('前提と出典'!B80:B83,'前提と出典'!$B$18+1)+G17*INDEX('前提と出典'!C80:C83,'前提と出典'!$B$18+1),0)</ns0:f>
        <ns0:v>643.1307343733619</ns0:v>
      </ns0:c>
      <ns0:c r="V17" s="12">
        <ns0:f>IF(I17=1,INDEX('前提と出典'!D80:D83,'前提と出典'!$B$18+1)+G17*INDEX('前提と出典'!E80:E83,'前提と出典'!$B$18+1),0)</ns0:f>
        <ns0:v>733.3333333333333</ns0:v>
      </ns0:c>
      <ns0:c r="W17" s="4">
        <ns0:f>L17-Q17</ns0:f>
        <ns0:v>0</ns0:v>
      </ns0:c>
      <ns0:c r="X17" s="4">
        <ns0:f>N17-R17</ns0:f>
        <ns0:v>2500</ns0:v>
      </ns0:c>
    </ns0:row>
    <ns0:row r="18" ht="24" customHeight="1">
      <ns0:c r="A18" s="4" t="n">
        <ns0:v>0</ns0:v>
      </ns0:c>
      <ns0:c r="B18" s="4" t="n">
        <ns0:v>6</ns0:v>
      </ns0:c>
      <ns0:c r="C18" s="4" t="n">
        <ns0:v>1</ns0:v>
      </ns0:c>
      <ns0:c r="D18" s="12">
        <ns0:f>'前提と出典'!C58*(1-'前提と出典'!$B$21)</ns0:f>
        <ns0:v>0.00030000000000000003</ns0:v>
      </ns0:c>
      <ns0:c r="E18" s="12">
        <ns0:f>ROUNDUP('前提と出典'!B58*'前提と出典'!$B$23,0)</ns0:f>
        <ns0:v>300</ns0:v>
      </ns0:c>
      <ns0:c r="F18" s="12">
        <ns0:f>'前提と出典'!A58</ns0:f>
        <ns0:v>130</ns0:v>
      </ns0:c>
      <ns0:c r="G18" s="12">
        <ns0:f>MAX(1,ROUNDUP(E18*'前提と出典'!$B$25*'前提と出典'!E10,0))</ns0:f>
        <ns0:v>45</ns0:v>
      </ns0:c>
      <ns0:c r="H18" s="4">
        <ns0:f>IF(AND(F18&gt;=1,F18&lt;=100),1,0)</ns0:f>
        <ns0:v>0</ns0:v>
      </ns0:c>
      <ns0:c r="I18" s="4">
        <ns0:f>IF(G18&lt;=50,1,0)</ns0:f>
        <ns0:v>1</ns0:v>
      </ns0:c>
      <ns0:c r="J18" s="4">
        <ns0:f>H18*I18</ns0:f>
        <ns0:v>0</ns0:v>
      </ns0:c>
      <ns0:c r="K18" s="12">
        <ns0:f>IF(A18='前提と出典'!$B$14,D18,0)</ns0:f>
        <ns0:v>0</ns0:v>
      </ns0:c>
      <ns0:c r="L18" s="12">
        <ns0:f>IF(H18=0,0,IF(F18&lt;=INDEX('前提と出典'!B41:B43,'前提と出典'!$B$15+1),INDEX('前提と出典'!C41:C43,'前提と出典'!$B$15+1),IF(F18&lt;=INDEX('前提と出典'!D41:D43,'前提と出典'!$B$15+1),INDEX('前提と出典'!E41:E43,'前提と出典'!$B$15+1),INDEX('前提と出典'!G41:G43,'前提と出典'!$B$15+1))))</ns0:f>
        <ns0:v>0</ns0:v>
      </ns0:c>
      <ns0:c r="M18" s="12">
        <ns0:f>IF(H18=0,0,IF('前提と出典'!$B$33=1,MIN(F18,10)*300+MIN(MAX(0,F18-10),20)*250+MAX(0,F18-30)*200,F18*300))</ns0:f>
        <ns0:v>0</ns0:v>
      </ns0:c>
      <ns0:c r="N18" s="12">
        <ns0:f>IF(I18=0,0,IF(G18&lt;=INDEX('前提と出典'!B46:B48,'前提と出典'!$B$16+1),INDEX('前提と出典'!C46:C48,'前提と出典'!$B$16+1),IF(G18&lt;=INDEX('前提と出典'!D46:D48,'前提と出典'!$B$16+1),INDEX('前提と出典'!E46:E48,'前提と出典'!$B$16+1),IF(G18&lt;=INDEX('前提と出典'!F46:F48,'前提と出典'!$B$16+1),INDEX('前提と出典'!G46:G48,'前提と出典'!$B$16+1),INDEX('前提と出典'!I46:I48,'前提と出典'!$B$16+1)))))</ns0:f>
        <ns0:v>2500</ns0:v>
      </ns0:c>
      <ns0:c r="O18" s="12">
        <ns0:f>IF(I18=1,G18*'前提と出典'!$B$13,0)</ns0:f>
        <ns0:v>9000</ns0:v>
      </ns0:c>
      <ns0:c r="P18" s="12">
        <ns0:f>IF(J18=1,MIN('前提と出典'!$B$17,L18+N18),0)</ns0:f>
        <ns0:v>0</ns0:v>
      </ns0:c>
      <ns0:c r="Q18" s="12">
        <ns0:f>IF(J18=0,0,IF('前提と出典'!$B$19=0,P18*L18/(L18+N18),MIN(P18,L18)))</ns0:f>
        <ns0:v>0</ns0:v>
      </ns0:c>
      <ns0:c r="R18" s="4">
        <ns0:f>P18-Q18</ns0:f>
        <ns0:v>0</ns0:v>
      </ns0:c>
      <ns0:c r="S18" s="12">
        <ns0:f>IF(H18=1,'前提と出典'!$B$11+F18*'前提と出典'!$B$12,0)</ns0:f>
        <ns0:v>0</ns0:v>
      </ns0:c>
      <ns0:c r="T18" s="12">
        <ns0:f>IF(H18=1,('前提と出典'!$B$9+F18*'前提と出典'!$B$10)/60*'前提と出典'!$B$8,0)</ns0:f>
        <ns0:v>0</ns0:v>
      </ns0:c>
      <ns0:c r="U18" s="12">
        <ns0:f>IF(I18=1,INDEX('前提と出典'!B80:B83,'前提と出典'!$B$18+1)+G18*INDEX('前提と出典'!C80:C83,'前提と出典'!$B$18+1),0)</ns0:f>
        <ns0:v>939.6961015600427</ns0:v>
      </ns0:c>
      <ns0:c r="V18" s="12">
        <ns0:f>IF(I18=1,INDEX('前提と出典'!D80:D83,'前提と出典'!$B$18+1)+G18*INDEX('前提と出典'!E80:E83,'前提と出典'!$B$18+1),0)</ns0:f>
        <ns0:v>833.3333333333334</ns0:v>
      </ns0:c>
      <ns0:c r="W18" s="4">
        <ns0:f>L18-Q18</ns0:f>
        <ns0:v>0</ns0:v>
      </ns0:c>
      <ns0:c r="X18" s="4">
        <ns0:f>N18-R18</ns0:f>
        <ns0:v>2500</ns0:v>
      </ns0:c>
    </ns0:row>
    <ns0:row r="19" ht="24" customHeight="1">
      <ns0:c r="A19" s="4" t="n">
        <ns0:v>1</ns0:v>
      </ns0:c>
      <ns0:c r="B19" s="4" t="n">
        <ns0:v>0</ns0:v>
      </ns0:c>
      <ns0:c r="C19" s="4" t="n">
        <ns0:v>0</ns0:v>
      </ns0:c>
      <ns0:c r="D19" s="12">
        <ns0:f>'前提と出典'!D52*'前提と出典'!$B$21</ns0:f>
        <ns0:v>0.06999999999999999</ns0:v>
      </ns0:c>
      <ns0:c r="E19" s="12">
        <ns0:f>ROUNDUP('前提と出典'!B52*'前提と出典'!$B$22,0)</ns0:f>
        <ns0:v>6</ns0:v>
      </ns0:c>
      <ns0:c r="F19" s="12">
        <ns0:f>'前提と出典'!A52</ns0:f>
        <ns0:v>0</ns0:v>
      </ns0:c>
      <ns0:c r="G19" s="12">
        <ns0:f>MAX(1,ROUNDUP(E19*'前提と出典'!$B$24*'前提と出典'!E11,0))</ns0:f>
        <ns0:v>1</ns0:v>
      </ns0:c>
      <ns0:c r="H19" s="4">
        <ns0:f>IF(AND(F19&gt;=1,F19&lt;=100),1,0)</ns0:f>
        <ns0:v>0</ns0:v>
      </ns0:c>
      <ns0:c r="I19" s="4">
        <ns0:f>IF(G19&lt;=50,1,0)</ns0:f>
        <ns0:v>1</ns0:v>
      </ns0:c>
      <ns0:c r="J19" s="4">
        <ns0:f>H19*I19</ns0:f>
        <ns0:v>0</ns0:v>
      </ns0:c>
      <ns0:c r="K19" s="12">
        <ns0:f>IF(A19='前提と出典'!$B$14,D19,0)</ns0:f>
        <ns0:v>0.06999999999999999</ns0:v>
      </ns0:c>
      <ns0:c r="L19" s="12">
        <ns0:f>IF(H19=0,0,IF(F19&lt;=INDEX('前提と出典'!B41:B43,'前提と出典'!$B$15+1),INDEX('前提と出典'!C41:C43,'前提と出典'!$B$15+1),IF(F19&lt;=INDEX('前提と出典'!D41:D43,'前提と出典'!$B$15+1),INDEX('前提と出典'!E41:E43,'前提と出典'!$B$15+1),INDEX('前提と出典'!G41:G43,'前提と出典'!$B$15+1))))</ns0:f>
        <ns0:v>0</ns0:v>
      </ns0:c>
      <ns0:c r="M19" s="12">
        <ns0:f>IF(H19=0,0,IF('前提と出典'!$B$33=1,MIN(F19,10)*300+MIN(MAX(0,F19-10),20)*250+MAX(0,F19-30)*200,F19*300))</ns0:f>
        <ns0:v>0</ns0:v>
      </ns0:c>
      <ns0:c r="N19" s="12">
        <ns0:f>IF(I19=0,0,IF(G19&lt;=INDEX('前提と出典'!B46:B48,'前提と出典'!$B$16+1),INDEX('前提と出典'!C46:C48,'前提と出典'!$B$16+1),IF(G19&lt;=INDEX('前提と出典'!D46:D48,'前提と出典'!$B$16+1),INDEX('前提と出典'!E46:E48,'前提と出典'!$B$16+1),IF(G19&lt;=INDEX('前提と出典'!F46:F48,'前提と出典'!$B$16+1),INDEX('前提と出典'!G46:G48,'前提と出典'!$B$16+1),INDEX('前提と出典'!I46:I48,'前提と出典'!$B$16+1)))))</ns0:f>
        <ns0:v>1200</ns0:v>
      </ns0:c>
      <ns0:c r="O19" s="12">
        <ns0:f>IF(I19=1,G19*'前提と出典'!$B$13,0)</ns0:f>
        <ns0:v>200</ns0:v>
      </ns0:c>
      <ns0:c r="P19" s="12">
        <ns0:f>IF(J19=1,MIN('前提と出典'!$B$17,L19+N19),0)</ns0:f>
        <ns0:v>0</ns0:v>
      </ns0:c>
      <ns0:c r="Q19" s="12">
        <ns0:f>IF(J19=0,0,IF('前提と出典'!$B$19=0,P19*L19/(L19+N19),MIN(P19,L19)))</ns0:f>
        <ns0:v>0</ns0:v>
      </ns0:c>
      <ns0:c r="R19" s="4">
        <ns0:f>P19-Q19</ns0:f>
        <ns0:v>0</ns0:v>
      </ns0:c>
      <ns0:c r="S19" s="12">
        <ns0:f>IF(H19=1,'前提と出典'!$B$11+F19*'前提と出典'!$B$12,0)</ns0:f>
        <ns0:v>0</ns0:v>
      </ns0:c>
      <ns0:c r="T19" s="12">
        <ns0:f>IF(H19=1,('前提と出典'!$B$9+F19*'前提と出典'!$B$10)/60*'前提と出典'!$B$8,0)</ns0:f>
        <ns0:v>0</ns0:v>
      </ns0:c>
      <ns0:c r="U19" s="12">
        <ns0:f>IF(I19=1,INDEX('前提と出典'!B80:B83,'前提と出典'!$B$18+1)+G19*INDEX('前提と出典'!C80:C83,'前提と出典'!$B$18+1),0)</ns0:f>
        <ns0:v>69.77102447911206</ns0:v>
      </ns0:c>
      <ns0:c r="V19" s="12">
        <ns0:f>IF(I19=1,INDEX('前提と出典'!D80:D83,'前提と出典'!$B$18+1)+G19*INDEX('前提と出典'!E80:E83,'前提と出典'!$B$18+1),0)</ns0:f>
        <ns0:v>539.9999999999999</ns0:v>
      </ns0:c>
      <ns0:c r="W19" s="4">
        <ns0:f>L19-Q19</ns0:f>
        <ns0:v>0</ns0:v>
      </ns0:c>
      <ns0:c r="X19" s="4">
        <ns0:f>N19-R19</ns0:f>
        <ns0:v>1200</ns0:v>
      </ns0:c>
    </ns0:row>
    <ns0:row r="20" ht="24" customHeight="1">
      <ns0:c r="A20" s="4" t="n">
        <ns0:v>1</ns0:v>
      </ns0:c>
      <ns0:c r="B20" s="4" t="n">
        <ns0:v>0</ns0:v>
      </ns0:c>
      <ns0:c r="C20" s="4" t="n">
        <ns0:v>1</ns0:v>
      </ns0:c>
      <ns0:c r="D20" s="12">
        <ns0:f>'前提と出典'!D52*(1-'前提と出典'!$B$21)</ns0:f>
        <ns0:v>0.030000000000000006</ns0:v>
      </ns0:c>
      <ns0:c r="E20" s="12">
        <ns0:f>ROUNDUP('前提と出典'!B52*'前提と出典'!$B$23,0)</ns0:f>
        <ns0:v>3</ns0:v>
      </ns0:c>
      <ns0:c r="F20" s="12">
        <ns0:f>'前提と出典'!A52</ns0:f>
        <ns0:v>0</ns0:v>
      </ns0:c>
      <ns0:c r="G20" s="12">
        <ns0:f>MAX(1,ROUNDUP(E20*'前提と出典'!$B$25*'前提と出典'!E11,0))</ns0:f>
        <ns0:v>1</ns0:v>
      </ns0:c>
      <ns0:c r="H20" s="4">
        <ns0:f>IF(AND(F20&gt;=1,F20&lt;=100),1,0)</ns0:f>
        <ns0:v>0</ns0:v>
      </ns0:c>
      <ns0:c r="I20" s="4">
        <ns0:f>IF(G20&lt;=50,1,0)</ns0:f>
        <ns0:v>1</ns0:v>
      </ns0:c>
      <ns0:c r="J20" s="4">
        <ns0:f>H20*I20</ns0:f>
        <ns0:v>0</ns0:v>
      </ns0:c>
      <ns0:c r="K20" s="12">
        <ns0:f>IF(A20='前提と出典'!$B$14,D20,0)</ns0:f>
        <ns0:v>0.030000000000000006</ns0:v>
      </ns0:c>
      <ns0:c r="L20" s="12">
        <ns0:f>IF(H20=0,0,IF(F20&lt;=INDEX('前提と出典'!B41:B43,'前提と出典'!$B$15+1),INDEX('前提と出典'!C41:C43,'前提と出典'!$B$15+1),IF(F20&lt;=INDEX('前提と出典'!D41:D43,'前提と出典'!$B$15+1),INDEX('前提と出典'!E41:E43,'前提と出典'!$B$15+1),INDEX('前提と出典'!G41:G43,'前提と出典'!$B$15+1))))</ns0:f>
        <ns0:v>0</ns0:v>
      </ns0:c>
      <ns0:c r="M20" s="12">
        <ns0:f>IF(H20=0,0,IF('前提と出典'!$B$33=1,MIN(F20,10)*300+MIN(MAX(0,F20-10),20)*250+MAX(0,F20-30)*200,F20*300))</ns0:f>
        <ns0:v>0</ns0:v>
      </ns0:c>
      <ns0:c r="N20" s="12">
        <ns0:f>IF(I20=0,0,IF(G20&lt;=INDEX('前提と出典'!B46:B48,'前提と出典'!$B$16+1),INDEX('前提と出典'!C46:C48,'前提と出典'!$B$16+1),IF(G20&lt;=INDEX('前提と出典'!D46:D48,'前提と出典'!$B$16+1),INDEX('前提と出典'!E46:E48,'前提と出典'!$B$16+1),IF(G20&lt;=INDEX('前提と出典'!F46:F48,'前提と出典'!$B$16+1),INDEX('前提と出典'!G46:G48,'前提と出典'!$B$16+1),INDEX('前提と出典'!I46:I48,'前提と出典'!$B$16+1)))))</ns0:f>
        <ns0:v>1200</ns0:v>
      </ns0:c>
      <ns0:c r="O20" s="12">
        <ns0:f>IF(I20=1,G20*'前提と出典'!$B$13,0)</ns0:f>
        <ns0:v>200</ns0:v>
      </ns0:c>
      <ns0:c r="P20" s="12">
        <ns0:f>IF(J20=1,MIN('前提と出典'!$B$17,L20+N20),0)</ns0:f>
        <ns0:v>0</ns0:v>
      </ns0:c>
      <ns0:c r="Q20" s="12">
        <ns0:f>IF(J20=0,0,IF('前提と出典'!$B$19=0,P20*L20/(L20+N20),MIN(P20,L20)))</ns0:f>
        <ns0:v>0</ns0:v>
      </ns0:c>
      <ns0:c r="R20" s="4">
        <ns0:f>P20-Q20</ns0:f>
        <ns0:v>0</ns0:v>
      </ns0:c>
      <ns0:c r="S20" s="12">
        <ns0:f>IF(H20=1,'前提と出典'!$B$11+F20*'前提と出典'!$B$12,0)</ns0:f>
        <ns0:v>0</ns0:v>
      </ns0:c>
      <ns0:c r="T20" s="12">
        <ns0:f>IF(H20=1,('前提と出典'!$B$9+F20*'前提と出典'!$B$10)/60*'前提と出典'!$B$8,0)</ns0:f>
        <ns0:v>0</ns0:v>
      </ns0:c>
      <ns0:c r="U20" s="12">
        <ns0:f>IF(I20=1,INDEX('前提と出典'!B80:B83,'前提と出典'!$B$18+1)+G20*INDEX('前提と出典'!C80:C83,'前提と出典'!$B$18+1),0)</ns0:f>
        <ns0:v>69.77102447911206</ns0:v>
      </ns0:c>
      <ns0:c r="V20" s="12">
        <ns0:f>IF(I20=1,INDEX('前提と出典'!D80:D83,'前提と出典'!$B$18+1)+G20*INDEX('前提と出典'!E80:E83,'前提と出典'!$B$18+1),0)</ns0:f>
        <ns0:v>539.9999999999999</ns0:v>
      </ns0:c>
      <ns0:c r="W20" s="4">
        <ns0:f>L20-Q20</ns0:f>
        <ns0:v>0</ns0:v>
      </ns0:c>
      <ns0:c r="X20" s="4">
        <ns0:f>N20-R20</ns0:f>
        <ns0:v>1200</ns0:v>
      </ns0:c>
    </ns0:row>
    <ns0:row r="21" ht="24" customHeight="1">
      <ns0:c r="A21" s="4" t="n">
        <ns0:v>1</ns0:v>
      </ns0:c>
      <ns0:c r="B21" s="4" t="n">
        <ns0:v>1</ns0:v>
      </ns0:c>
      <ns0:c r="C21" s="4" t="n">
        <ns0:v>0</ns0:v>
      </ns0:c>
      <ns0:c r="D21" s="12">
        <ns0:f>'前提と出典'!D53*'前提と出典'!$B$21</ns0:f>
        <ns0:v>0.259</ns0:v>
      </ns0:c>
      <ns0:c r="E21" s="12">
        <ns0:f>ROUNDUP('前提と出典'!B53*'前提と出典'!$B$22,0)</ns0:f>
        <ns0:v>15</ns0:v>
      </ns0:c>
      <ns0:c r="F21" s="12">
        <ns0:f>'前提と出典'!A53</ns0:f>
        <ns0:v>3</ns0:v>
      </ns0:c>
      <ns0:c r="G21" s="12">
        <ns0:f>MAX(1,ROUNDUP(E21*'前提と出典'!$B$24*'前提と出典'!E11,0))</ns0:f>
        <ns0:v>2</ns0:v>
      </ns0:c>
      <ns0:c r="H21" s="4">
        <ns0:f>IF(AND(F21&gt;=1,F21&lt;=100),1,0)</ns0:f>
        <ns0:v>1</ns0:v>
      </ns0:c>
      <ns0:c r="I21" s="4">
        <ns0:f>IF(G21&lt;=50,1,0)</ns0:f>
        <ns0:v>1</ns0:v>
      </ns0:c>
      <ns0:c r="J21" s="4">
        <ns0:f>H21*I21</ns0:f>
        <ns0:v>1</ns0:v>
      </ns0:c>
      <ns0:c r="K21" s="12">
        <ns0:f>IF(A21='前提と出典'!$B$14,D21,0)</ns0:f>
        <ns0:v>0.259</ns0:v>
      </ns0:c>
      <ns0:c r="L21" s="12">
        <ns0:f>IF(H21=0,0,IF(F21&lt;=INDEX('前提と出典'!B41:B43,'前提と出典'!$B$15+1),INDEX('前提と出典'!C41:C43,'前提と出典'!$B$15+1),IF(F21&lt;=INDEX('前提と出典'!D41:D43,'前提と出典'!$B$15+1),INDEX('前提と出典'!E41:E43,'前提と出典'!$B$15+1),INDEX('前提と出典'!G41:G43,'前提と出典'!$B$15+1))))</ns0:f>
        <ns0:v>3500</ns0:v>
      </ns0:c>
      <ns0:c r="M21" s="12">
        <ns0:f>IF(H21=0,0,IF('前提と出典'!$B$33=1,MIN(F21,10)*300+MIN(MAX(0,F21-10),20)*250+MAX(0,F21-30)*200,F21*300))</ns0:f>
        <ns0:v>900</ns0:v>
      </ns0:c>
      <ns0:c r="N21" s="12">
        <ns0:f>IF(I21=0,0,IF(G21&lt;=INDEX('前提と出典'!B46:B48,'前提と出典'!$B$16+1),INDEX('前提と出典'!C46:C48,'前提と出典'!$B$16+1),IF(G21&lt;=INDEX('前提と出典'!D46:D48,'前提と出典'!$B$16+1),INDEX('前提と出典'!E46:E48,'前提と出典'!$B$16+1),IF(G21&lt;=INDEX('前提と出典'!F46:F48,'前提と出典'!$B$16+1),INDEX('前提と出典'!G46:G48,'前提と出典'!$B$16+1),INDEX('前提と出典'!I46:I48,'前提と出典'!$B$16+1)))))</ns0:f>
        <ns0:v>1200</ns0:v>
      </ns0:c>
      <ns0:c r="O21" s="12">
        <ns0:f>IF(I21=1,G21*'前提と出典'!$B$13,0)</ns0:f>
        <ns0:v>400</ns0:v>
      </ns0:c>
      <ns0:c r="P21" s="12">
        <ns0:f>IF(J21=1,MIN('前提と出典'!$B$17,L21+N21),0)</ns0:f>
        <ns0:v>1000</ns0:v>
      </ns0:c>
      <ns0:c r="Q21" s="12">
        <ns0:f>IF(J21=0,0,IF('前提と出典'!$B$19=0,P21*L21/(L21+N21),MIN(P21,L21)))</ns0:f>
        <ns0:v>744.6808510638298</ns0:v>
      </ns0:c>
      <ns0:c r="R21" s="4">
        <ns0:f>P21-Q21</ns0:f>
        <ns0:v>255.31914893617022</ns0:v>
      </ns0:c>
      <ns0:c r="S21" s="12">
        <ns0:f>IF(H21=1,'前提と出典'!$B$11+F21*'前提と出典'!$B$12,0)</ns0:f>
        <ns0:v>53</ns0:v>
      </ns0:c>
      <ns0:c r="T21" s="12">
        <ns0:f>IF(H21=1,('前提と出典'!$B$9+F21*'前提と出典'!$B$10)/60*'前提と出典'!$B$8,0)</ns0:f>
        <ns0:v>553.3333333333334</ns0:v>
      </ns0:c>
      <ns0:c r="U21" s="12">
        <ns0:f>IF(I21=1,INDEX('前提と出典'!B80:B83,'前提と出典'!$B$18+1)+G21*INDEX('前提と出典'!C80:C83,'前提と出典'!$B$18+1),0)</ns0:f>
        <ns0:v>89.54204895822411</ns0:v>
      </ns0:c>
      <ns0:c r="V21" s="12">
        <ns0:f>IF(I21=1,INDEX('前提と出典'!D80:D83,'前提と出典'!$B$18+1)+G21*INDEX('前提と出典'!E80:E83,'前提と出典'!$B$18+1),0)</ns0:f>
        <ns0:v>546.6666666666666</ns0:v>
      </ns0:c>
      <ns0:c r="W21" s="4">
        <ns0:f>L21-Q21</ns0:f>
        <ns0:v>2755.31914893617</ns0:v>
      </ns0:c>
      <ns0:c r="X21" s="4">
        <ns0:f>N21-R21</ns0:f>
        <ns0:v>944.6808510638298</ns0:v>
      </ns0:c>
    </ns0:row>
    <ns0:row r="22" ht="24" customHeight="1">
      <ns0:c r="A22" s="4" t="n">
        <ns0:v>1</ns0:v>
      </ns0:c>
      <ns0:c r="B22" s="4" t="n">
        <ns0:v>1</ns0:v>
      </ns0:c>
      <ns0:c r="C22" s="4" t="n">
        <ns0:v>1</ns0:v>
      </ns0:c>
      <ns0:c r="D22" s="12">
        <ns0:f>'前提と出典'!D53*(1-'前提と出典'!$B$21)</ns0:f>
        <ns0:v>0.11100000000000002</ns0:v>
      </ns0:c>
      <ns0:c r="E22" s="12">
        <ns0:f>ROUNDUP('前提と出典'!B53*'前提と出典'!$B$23,0)</ns0:f>
        <ns0:v>8</ns0:v>
      </ns0:c>
      <ns0:c r="F22" s="12">
        <ns0:f>'前提と出典'!A53</ns0:f>
        <ns0:v>3</ns0:v>
      </ns0:c>
      <ns0:c r="G22" s="12">
        <ns0:f>MAX(1,ROUNDUP(E22*'前提と出典'!$B$25*'前提と出典'!E11,0))</ns0:f>
        <ns0:v>3</ns0:v>
      </ns0:c>
      <ns0:c r="H22" s="4">
        <ns0:f>IF(AND(F22&gt;=1,F22&lt;=100),1,0)</ns0:f>
        <ns0:v>1</ns0:v>
      </ns0:c>
      <ns0:c r="I22" s="4">
        <ns0:f>IF(G22&lt;=50,1,0)</ns0:f>
        <ns0:v>1</ns0:v>
      </ns0:c>
      <ns0:c r="J22" s="4">
        <ns0:f>H22*I22</ns0:f>
        <ns0:v>1</ns0:v>
      </ns0:c>
      <ns0:c r="K22" s="12">
        <ns0:f>IF(A22='前提と出典'!$B$14,D22,0)</ns0:f>
        <ns0:v>0.11100000000000002</ns0:v>
      </ns0:c>
      <ns0:c r="L22" s="12">
        <ns0:f>IF(H22=0,0,IF(F22&lt;=INDEX('前提と出典'!B41:B43,'前提と出典'!$B$15+1),INDEX('前提と出典'!C41:C43,'前提と出典'!$B$15+1),IF(F22&lt;=INDEX('前提と出典'!D41:D43,'前提と出典'!$B$15+1),INDEX('前提と出典'!E41:E43,'前提と出典'!$B$15+1),INDEX('前提と出典'!G41:G43,'前提と出典'!$B$15+1))))</ns0:f>
        <ns0:v>3500</ns0:v>
      </ns0:c>
      <ns0:c r="M22" s="12">
        <ns0:f>IF(H22=0,0,IF('前提と出典'!$B$33=1,MIN(F22,10)*300+MIN(MAX(0,F22-10),20)*250+MAX(0,F22-30)*200,F22*300))</ns0:f>
        <ns0:v>900</ns0:v>
      </ns0:c>
      <ns0:c r="N22" s="12">
        <ns0:f>IF(I22=0,0,IF(G22&lt;=INDEX('前提と出典'!B46:B48,'前提と出典'!$B$16+1),INDEX('前提と出典'!C46:C48,'前提と出典'!$B$16+1),IF(G22&lt;=INDEX('前提と出典'!D46:D48,'前提と出典'!$B$16+1),INDEX('前提と出典'!E46:E48,'前提と出典'!$B$16+1),IF(G22&lt;=INDEX('前提と出典'!F46:F48,'前提と出典'!$B$16+1),INDEX('前提と出典'!G46:G48,'前提と出典'!$B$16+1),INDEX('前提と出典'!I46:I48,'前提と出典'!$B$16+1)))))</ns0:f>
        <ns0:v>1200</ns0:v>
      </ns0:c>
      <ns0:c r="O22" s="12">
        <ns0:f>IF(I22=1,G22*'前提と出典'!$B$13,0)</ns0:f>
        <ns0:v>600</ns0:v>
      </ns0:c>
      <ns0:c r="P22" s="12">
        <ns0:f>IF(J22=1,MIN('前提と出典'!$B$17,L22+N22),0)</ns0:f>
        <ns0:v>1000</ns0:v>
      </ns0:c>
      <ns0:c r="Q22" s="12">
        <ns0:f>IF(J22=0,0,IF('前提と出典'!$B$19=0,P22*L22/(L22+N22),MIN(P22,L22)))</ns0:f>
        <ns0:v>744.6808510638298</ns0:v>
      </ns0:c>
      <ns0:c r="R22" s="4">
        <ns0:f>P22-Q22</ns0:f>
        <ns0:v>255.31914893617022</ns0:v>
      </ns0:c>
      <ns0:c r="S22" s="12">
        <ns0:f>IF(H22=1,'前提と出典'!$B$11+F22*'前提と出典'!$B$12,0)</ns0:f>
        <ns0:v>53</ns0:v>
      </ns0:c>
      <ns0:c r="T22" s="12">
        <ns0:f>IF(H22=1,('前提と出典'!$B$9+F22*'前提と出典'!$B$10)/60*'前提と出典'!$B$8,0)</ns0:f>
        <ns0:v>553.3333333333334</ns0:v>
      </ns0:c>
      <ns0:c r="U22" s="12">
        <ns0:f>IF(I22=1,INDEX('前提と出典'!B80:B83,'前提と出典'!$B$18+1)+G22*INDEX('前提と出典'!C80:C83,'前提と出典'!$B$18+1),0)</ns0:f>
        <ns0:v>109.31307343733619</ns0:v>
      </ns0:c>
      <ns0:c r="V22" s="12">
        <ns0:f>IF(I22=1,INDEX('前提と出典'!D80:D83,'前提と出典'!$B$18+1)+G22*INDEX('前提と出典'!E80:E83,'前提と出典'!$B$18+1),0)</ns0:f>
        <ns0:v>553.3333333333334</ns0:v>
      </ns0:c>
      <ns0:c r="W22" s="4">
        <ns0:f>L22-Q22</ns0:f>
        <ns0:v>2755.31914893617</ns0:v>
      </ns0:c>
      <ns0:c r="X22" s="4">
        <ns0:f>N22-R22</ns0:f>
        <ns0:v>944.6808510638298</ns0:v>
      </ns0:c>
    </ns0:row>
    <ns0:row r="23" ht="24" customHeight="1">
      <ns0:c r="A23" s="4" t="n">
        <ns0:v>1</ns0:v>
      </ns0:c>
      <ns0:c r="B23" s="4" t="n">
        <ns0:v>2</ns0:v>
      </ns0:c>
      <ns0:c r="C23" s="4" t="n">
        <ns0:v>0</ns0:v>
      </ns0:c>
      <ns0:c r="D23" s="12">
        <ns0:f>'前提と出典'!D54*'前提と出典'!$B$21</ns0:f>
        <ns0:v>0.196</ns0:v>
      </ns0:c>
      <ns0:c r="E23" s="12">
        <ns0:f>ROUNDUP('前提と出典'!B54*'前提と出典'!$B$22,0)</ns0:f>
        <ns0:v>38</ns0:v>
      </ns0:c>
      <ns0:c r="F23" s="12">
        <ns0:f>'前提と出典'!A54</ns0:f>
        <ns0:v>8</ns0:v>
      </ns0:c>
      <ns0:c r="G23" s="12">
        <ns0:f>MAX(1,ROUNDUP(E23*'前提と出典'!$B$24*'前提と出典'!E11,0))</ns0:f>
        <ns0:v>4</ns0:v>
      </ns0:c>
      <ns0:c r="H23" s="4">
        <ns0:f>IF(AND(F23&gt;=1,F23&lt;=100),1,0)</ns0:f>
        <ns0:v>1</ns0:v>
      </ns0:c>
      <ns0:c r="I23" s="4">
        <ns0:f>IF(G23&lt;=50,1,0)</ns0:f>
        <ns0:v>1</ns0:v>
      </ns0:c>
      <ns0:c r="J23" s="4">
        <ns0:f>H23*I23</ns0:f>
        <ns0:v>1</ns0:v>
      </ns0:c>
      <ns0:c r="K23" s="12">
        <ns0:f>IF(A23='前提と出典'!$B$14,D23,0)</ns0:f>
        <ns0:v>0.196</ns0:v>
      </ns0:c>
      <ns0:c r="L23" s="12">
        <ns0:f>IF(H23=0,0,IF(F23&lt;=INDEX('前提と出典'!B41:B43,'前提と出典'!$B$15+1),INDEX('前提と出典'!C41:C43,'前提と出典'!$B$15+1),IF(F23&lt;=INDEX('前提と出典'!D41:D43,'前提と出典'!$B$15+1),INDEX('前提と出典'!E41:E43,'前提と出典'!$B$15+1),INDEX('前提と出典'!G41:G43,'前提と出典'!$B$15+1))))</ns0:f>
        <ns0:v>3500</ns0:v>
      </ns0:c>
      <ns0:c r="M23" s="12">
        <ns0:f>IF(H23=0,0,IF('前提と出典'!$B$33=1,MIN(F23,10)*300+MIN(MAX(0,F23-10),20)*250+MAX(0,F23-30)*200,F23*300))</ns0:f>
        <ns0:v>2400</ns0:v>
      </ns0:c>
      <ns0:c r="N23" s="12">
        <ns0:f>IF(I23=0,0,IF(G23&lt;=INDEX('前提と出典'!B46:B48,'前提と出典'!$B$16+1),INDEX('前提と出典'!C46:C48,'前提と出典'!$B$16+1),IF(G23&lt;=INDEX('前提と出典'!D46:D48,'前提と出典'!$B$16+1),INDEX('前提と出典'!E46:E48,'前提と出典'!$B$16+1),IF(G23&lt;=INDEX('前提と出典'!F46:F48,'前提と出典'!$B$16+1),INDEX('前提と出典'!G46:G48,'前提と出典'!$B$16+1),INDEX('前提と出典'!I46:I48,'前提と出典'!$B$16+1)))))</ns0:f>
        <ns0:v>1200</ns0:v>
      </ns0:c>
      <ns0:c r="O23" s="12">
        <ns0:f>IF(I23=1,G23*'前提と出典'!$B$13,0)</ns0:f>
        <ns0:v>800</ns0:v>
      </ns0:c>
      <ns0:c r="P23" s="12">
        <ns0:f>IF(J23=1,MIN('前提と出典'!$B$17,L23+N23),0)</ns0:f>
        <ns0:v>1000</ns0:v>
      </ns0:c>
      <ns0:c r="Q23" s="12">
        <ns0:f>IF(J23=0,0,IF('前提と出典'!$B$19=0,P23*L23/(L23+N23),MIN(P23,L23)))</ns0:f>
        <ns0:v>744.6808510638298</ns0:v>
      </ns0:c>
      <ns0:c r="R23" s="4">
        <ns0:f>P23-Q23</ns0:f>
        <ns0:v>255.31914893617022</ns0:v>
      </ns0:c>
      <ns0:c r="S23" s="12">
        <ns0:f>IF(H23=1,'前提と出典'!$B$11+F23*'前提と出典'!$B$12,0)</ns0:f>
        <ns0:v>58</ns0:v>
      </ns0:c>
      <ns0:c r="T23" s="12">
        <ns0:f>IF(H23=1,('前提と出典'!$B$9+F23*'前提と出典'!$B$10)/60*'前提と出典'!$B$8,0)</ns0:f>
        <ns0:v>586.6666666666666</ns0:v>
      </ns0:c>
      <ns0:c r="U23" s="12">
        <ns0:f>IF(I23=1,INDEX('前提と出典'!B80:B83,'前提と出典'!$B$18+1)+G23*INDEX('前提と出典'!C80:C83,'前提と出典'!$B$18+1),0)</ns0:f>
        <ns0:v>129.08409791644823</ns0:v>
      </ns0:c>
      <ns0:c r="V23" s="12">
        <ns0:f>IF(I23=1,INDEX('前提と出典'!D80:D83,'前提と出典'!$B$18+1)+G23*INDEX('前提と出典'!E80:E83,'前提と出典'!$B$18+1),0)</ns0:f>
        <ns0:v>560</ns0:v>
      </ns0:c>
      <ns0:c r="W23" s="4">
        <ns0:f>L23-Q23</ns0:f>
        <ns0:v>2755.31914893617</ns0:v>
      </ns0:c>
      <ns0:c r="X23" s="4">
        <ns0:f>N23-R23</ns0:f>
        <ns0:v>944.6808510638298</ns0:v>
      </ns0:c>
    </ns0:row>
    <ns0:row r="24" ht="24" customHeight="1">
      <ns0:c r="A24" s="4" t="n">
        <ns0:v>1</ns0:v>
      </ns0:c>
      <ns0:c r="B24" s="4" t="n">
        <ns0:v>2</ns0:v>
      </ns0:c>
      <ns0:c r="C24" s="4" t="n">
        <ns0:v>1</ns0:v>
      </ns0:c>
      <ns0:c r="D24" s="12">
        <ns0:f>'前提と出典'!D54*(1-'前提と出典'!$B$21)</ns0:f>
        <ns0:v>0.08400000000000002</ns0:v>
      </ns0:c>
      <ns0:c r="E24" s="12">
        <ns0:f>ROUNDUP('前提と出典'!B54*'前提と出典'!$B$23,0)</ns0:f>
        <ns0:v>19</ns0:v>
      </ns0:c>
      <ns0:c r="F24" s="12">
        <ns0:f>'前提と出典'!A54</ns0:f>
        <ns0:v>8</ns0:v>
      </ns0:c>
      <ns0:c r="G24" s="12">
        <ns0:f>MAX(1,ROUNDUP(E24*'前提と出典'!$B$25*'前提と出典'!E11,0))</ns0:f>
        <ns0:v>6</ns0:v>
      </ns0:c>
      <ns0:c r="H24" s="4">
        <ns0:f>IF(AND(F24&gt;=1,F24&lt;=100),1,0)</ns0:f>
        <ns0:v>1</ns0:v>
      </ns0:c>
      <ns0:c r="I24" s="4">
        <ns0:f>IF(G24&lt;=50,1,0)</ns0:f>
        <ns0:v>1</ns0:v>
      </ns0:c>
      <ns0:c r="J24" s="4">
        <ns0:f>H24*I24</ns0:f>
        <ns0:v>1</ns0:v>
      </ns0:c>
      <ns0:c r="K24" s="12">
        <ns0:f>IF(A24='前提と出典'!$B$14,D24,0)</ns0:f>
        <ns0:v>0.08400000000000002</ns0:v>
      </ns0:c>
      <ns0:c r="L24" s="12">
        <ns0:f>IF(H24=0,0,IF(F24&lt;=INDEX('前提と出典'!B41:B43,'前提と出典'!$B$15+1),INDEX('前提と出典'!C41:C43,'前提と出典'!$B$15+1),IF(F24&lt;=INDEX('前提と出典'!D41:D43,'前提と出典'!$B$15+1),INDEX('前提と出典'!E41:E43,'前提と出典'!$B$15+1),INDEX('前提と出典'!G41:G43,'前提と出典'!$B$15+1))))</ns0:f>
        <ns0:v>3500</ns0:v>
      </ns0:c>
      <ns0:c r="M24" s="12">
        <ns0:f>IF(H24=0,0,IF('前提と出典'!$B$33=1,MIN(F24,10)*300+MIN(MAX(0,F24-10),20)*250+MAX(0,F24-30)*200,F24*300))</ns0:f>
        <ns0:v>2400</ns0:v>
      </ns0:c>
      <ns0:c r="N24" s="12">
        <ns0:f>IF(I24=0,0,IF(G24&lt;=INDEX('前提と出典'!B46:B48,'前提と出典'!$B$16+1),INDEX('前提と出典'!C46:C48,'前提と出典'!$B$16+1),IF(G24&lt;=INDEX('前提と出典'!D46:D48,'前提と出典'!$B$16+1),INDEX('前提と出典'!E46:E48,'前提と出典'!$B$16+1),IF(G24&lt;=INDEX('前提と出典'!F46:F48,'前提と出典'!$B$16+1),INDEX('前提と出典'!G46:G48,'前提と出典'!$B$16+1),INDEX('前提と出典'!I46:I48,'前提と出典'!$B$16+1)))))</ns0:f>
        <ns0:v>1200</ns0:v>
      </ns0:c>
      <ns0:c r="O24" s="12">
        <ns0:f>IF(I24=1,G24*'前提と出典'!$B$13,0)</ns0:f>
        <ns0:v>1200</ns0:v>
      </ns0:c>
      <ns0:c r="P24" s="12">
        <ns0:f>IF(J24=1,MIN('前提と出典'!$B$17,L24+N24),0)</ns0:f>
        <ns0:v>1000</ns0:v>
      </ns0:c>
      <ns0:c r="Q24" s="12">
        <ns0:f>IF(J24=0,0,IF('前提と出典'!$B$19=0,P24*L24/(L24+N24),MIN(P24,L24)))</ns0:f>
        <ns0:v>744.6808510638298</ns0:v>
      </ns0:c>
      <ns0:c r="R24" s="4">
        <ns0:f>P24-Q24</ns0:f>
        <ns0:v>255.31914893617022</ns0:v>
      </ns0:c>
      <ns0:c r="S24" s="12">
        <ns0:f>IF(H24=1,'前提と出典'!$B$11+F24*'前提と出典'!$B$12,0)</ns0:f>
        <ns0:v>58</ns0:v>
      </ns0:c>
      <ns0:c r="T24" s="12">
        <ns0:f>IF(H24=1,('前提と出典'!$B$9+F24*'前提と出典'!$B$10)/60*'前提と出典'!$B$8,0)</ns0:f>
        <ns0:v>586.6666666666666</ns0:v>
      </ns0:c>
      <ns0:c r="U24" s="12">
        <ns0:f>IF(I24=1,INDEX('前提と出典'!B80:B83,'前提と出典'!$B$18+1)+G24*INDEX('前提と出典'!C80:C83,'前提と出典'!$B$18+1),0)</ns0:f>
        <ns0:v>168.62614687467237</ns0:v>
      </ns0:c>
      <ns0:c r="V24" s="12">
        <ns0:f>IF(I24=1,INDEX('前提と出典'!D80:D83,'前提と出典'!$B$18+1)+G24*INDEX('前提と出典'!E80:E83,'前提と出典'!$B$18+1),0)</ns0:f>
        <ns0:v>573.3333333333334</ns0:v>
      </ns0:c>
      <ns0:c r="W24" s="4">
        <ns0:f>L24-Q24</ns0:f>
        <ns0:v>2755.31914893617</ns0:v>
      </ns0:c>
      <ns0:c r="X24" s="4">
        <ns0:f>N24-R24</ns0:f>
        <ns0:v>944.6808510638298</ns0:v>
      </ns0:c>
    </ns0:row>
    <ns0:row r="25" ht="24" customHeight="1">
      <ns0:c r="A25" s="4" t="n">
        <ns0:v>1</ns0:v>
      </ns0:c>
      <ns0:c r="B25" s="4" t="n">
        <ns0:v>3</ns0:v>
      </ns0:c>
      <ns0:c r="C25" s="4" t="n">
        <ns0:v>0</ns0:v>
      </ns0:c>
      <ns0:c r="D25" s="12">
        <ns0:f>'前提と出典'!D55*'前提と出典'!$B$21</ns0:f>
        <ns0:v>0.13999999999999999</ns0:v>
      </ns0:c>
      <ns0:c r="E25" s="12">
        <ns0:f>ROUNDUP('前提と出典'!B55*'前提と出典'!$B$22,0)</ns0:f>
        <ns0:v>90</ns0:v>
      </ns0:c>
      <ns0:c r="F25" s="12">
        <ns0:f>'前提と出典'!A55</ns0:f>
        <ns0:v>18</ns0:v>
      </ns0:c>
      <ns0:c r="G25" s="12">
        <ns0:f>MAX(1,ROUNDUP(E25*'前提と出典'!$B$24*'前提と出典'!E11,0))</ns0:f>
        <ns0:v>9</ns0:v>
      </ns0:c>
      <ns0:c r="H25" s="4">
        <ns0:f>IF(AND(F25&gt;=1,F25&lt;=100),1,0)</ns0:f>
        <ns0:v>1</ns0:v>
      </ns0:c>
      <ns0:c r="I25" s="4">
        <ns0:f>IF(G25&lt;=50,1,0)</ns0:f>
        <ns0:v>1</ns0:v>
      </ns0:c>
      <ns0:c r="J25" s="4">
        <ns0:f>H25*I25</ns0:f>
        <ns0:v>1</ns0:v>
      </ns0:c>
      <ns0:c r="K25" s="12">
        <ns0:f>IF(A25='前提と出典'!$B$14,D25,0)</ns0:f>
        <ns0:v>0.13999999999999999</ns0:v>
      </ns0:c>
      <ns0:c r="L25" s="12">
        <ns0:f>IF(H25=0,0,IF(F25&lt;=INDEX('前提と出典'!B41:B43,'前提と出典'!$B$15+1),INDEX('前提と出典'!C41:C43,'前提と出典'!$B$15+1),IF(F25&lt;=INDEX('前提と出典'!D41:D43,'前提と出典'!$B$15+1),INDEX('前提と出典'!E41:E43,'前提と出典'!$B$15+1),INDEX('前提と出典'!G41:G43,'前提と出典'!$B$15+1))))</ns0:f>
        <ns0:v>5000</ns0:v>
      </ns0:c>
      <ns0:c r="M25" s="12">
        <ns0:f>IF(H25=0,0,IF('前提と出典'!$B$33=1,MIN(F25,10)*300+MIN(MAX(0,F25-10),20)*250+MAX(0,F25-30)*200,F25*300))</ns0:f>
        <ns0:v>5000</ns0:v>
      </ns0:c>
      <ns0:c r="N25" s="12">
        <ns0:f>IF(I25=0,0,IF(G25&lt;=INDEX('前提と出典'!B46:B48,'前提と出典'!$B$16+1),INDEX('前提と出典'!C46:C48,'前提と出典'!$B$16+1),IF(G25&lt;=INDEX('前提と出典'!D46:D48,'前提と出典'!$B$16+1),INDEX('前提と出典'!E46:E48,'前提と出典'!$B$16+1),IF(G25&lt;=INDEX('前提と出典'!F46:F48,'前提と出典'!$B$16+1),INDEX('前提と出典'!G46:G48,'前提と出典'!$B$16+1),INDEX('前提と出典'!I46:I48,'前提と出典'!$B$16+1)))))</ns0:f>
        <ns0:v>1200</ns0:v>
      </ns0:c>
      <ns0:c r="O25" s="12">
        <ns0:f>IF(I25=1,G25*'前提と出典'!$B$13,0)</ns0:f>
        <ns0:v>1800</ns0:v>
      </ns0:c>
      <ns0:c r="P25" s="12">
        <ns0:f>IF(J25=1,MIN('前提と出典'!$B$17,L25+N25),0)</ns0:f>
        <ns0:v>1000</ns0:v>
      </ns0:c>
      <ns0:c r="Q25" s="12">
        <ns0:f>IF(J25=0,0,IF('前提と出典'!$B$19=0,P25*L25/(L25+N25),MIN(P25,L25)))</ns0:f>
        <ns0:v>806.4516129032259</ns0:v>
      </ns0:c>
      <ns0:c r="R25" s="4">
        <ns0:f>P25-Q25</ns0:f>
        <ns0:v>193.54838709677415</ns0:v>
      </ns0:c>
      <ns0:c r="S25" s="12">
        <ns0:f>IF(H25=1,'前提と出典'!$B$11+F25*'前提と出典'!$B$12,0)</ns0:f>
        <ns0:v>68</ns0:v>
      </ns0:c>
      <ns0:c r="T25" s="12">
        <ns0:f>IF(H25=1,('前提と出典'!$B$9+F25*'前提と出典'!$B$10)/60*'前提と出典'!$B$8,0)</ns0:f>
        <ns0:v>653.3333333333335</ns0:v>
      </ns0:c>
      <ns0:c r="U25" s="12">
        <ns0:f>IF(I25=1,INDEX('前提と出典'!B80:B83,'前提と出典'!$B$18+1)+G25*INDEX('前提と出典'!C80:C83,'前提と出典'!$B$18+1),0)</ns0:f>
        <ns0:v>227.93922031200856</ns0:v>
      </ns0:c>
      <ns0:c r="V25" s="12">
        <ns0:f>IF(I25=1,INDEX('前提と出典'!D80:D83,'前提と出典'!$B$18+1)+G25*INDEX('前提と出典'!E80:E83,'前提と出典'!$B$18+1),0)</ns0:f>
        <ns0:v>593.3333333333334</ns0:v>
      </ns0:c>
      <ns0:c r="W25" s="4">
        <ns0:f>L25-Q25</ns0:f>
        <ns0:v>4193.548387096775</ns0:v>
      </ns0:c>
      <ns0:c r="X25" s="4">
        <ns0:f>N25-R25</ns0:f>
        <ns0:v>1006.4516129032259</ns0:v>
      </ns0:c>
    </ns0:row>
    <ns0:row r="26" ht="24" customHeight="1">
      <ns0:c r="A26" s="4" t="n">
        <ns0:v>1</ns0:v>
      </ns0:c>
      <ns0:c r="B26" s="4" t="n">
        <ns0:v>3</ns0:v>
      </ns0:c>
      <ns0:c r="C26" s="4" t="n">
        <ns0:v>1</ns0:v>
      </ns0:c>
      <ns0:c r="D26" s="12">
        <ns0:f>'前提と出典'!D55*(1-'前提と出典'!$B$21)</ns0:f>
        <ns0:v>0.06000000000000001</ns0:v>
      </ns0:c>
      <ns0:c r="E26" s="12">
        <ns0:f>ROUNDUP('前提と出典'!B55*'前提と出典'!$B$23,0)</ns0:f>
        <ns0:v>45</ns0:v>
      </ns0:c>
      <ns0:c r="F26" s="12">
        <ns0:f>'前提と出典'!A55</ns0:f>
        <ns0:v>18</ns0:v>
      </ns0:c>
      <ns0:c r="G26" s="12">
        <ns0:f>MAX(1,ROUNDUP(E26*'前提と出典'!$B$25*'前提と出典'!E11,0))</ns0:f>
        <ns0:v>14</ns0:v>
      </ns0:c>
      <ns0:c r="H26" s="4">
        <ns0:f>IF(AND(F26&gt;=1,F26&lt;=100),1,0)</ns0:f>
        <ns0:v>1</ns0:v>
      </ns0:c>
      <ns0:c r="I26" s="4">
        <ns0:f>IF(G26&lt;=50,1,0)</ns0:f>
        <ns0:v>1</ns0:v>
      </ns0:c>
      <ns0:c r="J26" s="4">
        <ns0:f>H26*I26</ns0:f>
        <ns0:v>1</ns0:v>
      </ns0:c>
      <ns0:c r="K26" s="12">
        <ns0:f>IF(A26='前提と出典'!$B$14,D26,0)</ns0:f>
        <ns0:v>0.06000000000000001</ns0:v>
      </ns0:c>
      <ns0:c r="L26" s="12">
        <ns0:f>IF(H26=0,0,IF(F26&lt;=INDEX('前提と出典'!B41:B43,'前提と出典'!$B$15+1),INDEX('前提と出典'!C41:C43,'前提と出典'!$B$15+1),IF(F26&lt;=INDEX('前提と出典'!D41:D43,'前提と出典'!$B$15+1),INDEX('前提と出典'!E41:E43,'前提と出典'!$B$15+1),INDEX('前提と出典'!G41:G43,'前提と出典'!$B$15+1))))</ns0:f>
        <ns0:v>5000</ns0:v>
      </ns0:c>
      <ns0:c r="M26" s="12">
        <ns0:f>IF(H26=0,0,IF('前提と出典'!$B$33=1,MIN(F26,10)*300+MIN(MAX(0,F26-10),20)*250+MAX(0,F26-30)*200,F26*300))</ns0:f>
        <ns0:v>5000</ns0:v>
      </ns0:c>
      <ns0:c r="N26" s="12">
        <ns0:f>IF(I26=0,0,IF(G26&lt;=INDEX('前提と出典'!B46:B48,'前提と出典'!$B$16+1),INDEX('前提と出典'!C46:C48,'前提と出典'!$B$16+1),IF(G26&lt;=INDEX('前提と出典'!D46:D48,'前提と出典'!$B$16+1),INDEX('前提と出典'!E46:E48,'前提と出典'!$B$16+1),IF(G26&lt;=INDEX('前提と出典'!F46:F48,'前提と出典'!$B$16+1),INDEX('前提と出典'!G46:G48,'前提と出典'!$B$16+1),INDEX('前提と出典'!I46:I48,'前提と出典'!$B$16+1)))))</ns0:f>
        <ns0:v>2500</ns0:v>
      </ns0:c>
      <ns0:c r="O26" s="12">
        <ns0:f>IF(I26=1,G26*'前提と出典'!$B$13,0)</ns0:f>
        <ns0:v>2800</ns0:v>
      </ns0:c>
      <ns0:c r="P26" s="12">
        <ns0:f>IF(J26=1,MIN('前提と出典'!$B$17,L26+N26),0)</ns0:f>
        <ns0:v>1000</ns0:v>
      </ns0:c>
      <ns0:c r="Q26" s="12">
        <ns0:f>IF(J26=0,0,IF('前提と出典'!$B$19=0,P26*L26/(L26+N26),MIN(P26,L26)))</ns0:f>
        <ns0:v>666.6666666666666</ns0:v>
      </ns0:c>
      <ns0:c r="R26" s="4">
        <ns0:f>P26-Q26</ns0:f>
        <ns0:v>333.33333333333337</ns0:v>
      </ns0:c>
      <ns0:c r="S26" s="12">
        <ns0:f>IF(H26=1,'前提と出典'!$B$11+F26*'前提と出典'!$B$12,0)</ns0:f>
        <ns0:v>68</ns0:v>
      </ns0:c>
      <ns0:c r="T26" s="12">
        <ns0:f>IF(H26=1,('前提と出典'!$B$9+F26*'前提と出典'!$B$10)/60*'前提と出典'!$B$8,0)</ns0:f>
        <ns0:v>653.3333333333335</ns0:v>
      </ns0:c>
      <ns0:c r="U26" s="12">
        <ns0:f>IF(I26=1,INDEX('前提と出典'!B80:B83,'前提と出典'!$B$18+1)+G26*INDEX('前提と出典'!C80:C83,'前提と出典'!$B$18+1),0)</ns0:f>
        <ns0:v>326.79434270756883</ns0:v>
      </ns0:c>
      <ns0:c r="V26" s="12">
        <ns0:f>IF(I26=1,INDEX('前提と出典'!D80:D83,'前提と出典'!$B$18+1)+G26*INDEX('前提と出典'!E80:E83,'前提と出典'!$B$18+1),0)</ns0:f>
        <ns0:v>626.6666666666667</ns0:v>
      </ns0:c>
      <ns0:c r="W26" s="4">
        <ns0:f>L26-Q26</ns0:f>
        <ns0:v>4333.333333333333</ns0:v>
      </ns0:c>
      <ns0:c r="X26" s="4">
        <ns0:f>N26-R26</ns0:f>
        <ns0:v>2166.6666666666665</ns0:v>
      </ns0:c>
    </ns0:row>
    <ns0:row r="27" ht="24" customHeight="1">
      <ns0:c r="A27" s="4" t="n">
        <ns0:v>1</ns0:v>
      </ns0:c>
      <ns0:c r="B27" s="4" t="n">
        <ns0:v>4</ns0:v>
      </ns0:c>
      <ns0:c r="C27" s="4" t="n">
        <ns0:v>0</ns0:v>
      </ns0:c>
      <ns0:c r="D27" s="12">
        <ns0:f>'前提と出典'!D56*'前提と出典'!$B$21</ns0:f>
        <ns0:v>0.020999999999999998</ns0:v>
      </ns0:c>
      <ns0:c r="E27" s="12">
        <ns0:f>ROUNDUP('前提と出典'!B56*'前提と出典'!$B$22,0)</ns0:f>
        <ns0:v>180</ns0:v>
      </ns0:c>
      <ns0:c r="F27" s="12">
        <ns0:f>'前提と出典'!A56</ns0:f>
        <ns0:v>40</ns0:v>
      </ns0:c>
      <ns0:c r="G27" s="12">
        <ns0:f>MAX(1,ROUNDUP(E27*'前提と出典'!$B$24*'前提と出典'!E11,0))</ns0:f>
        <ns0:v>18</ns0:v>
      </ns0:c>
      <ns0:c r="H27" s="4">
        <ns0:f>IF(AND(F27&gt;=1,F27&lt;=100),1,0)</ns0:f>
        <ns0:v>1</ns0:v>
      </ns0:c>
      <ns0:c r="I27" s="4">
        <ns0:f>IF(G27&lt;=50,1,0)</ns0:f>
        <ns0:v>1</ns0:v>
      </ns0:c>
      <ns0:c r="J27" s="4">
        <ns0:f>H27*I27</ns0:f>
        <ns0:v>1</ns0:v>
      </ns0:c>
      <ns0:c r="K27" s="12">
        <ns0:f>IF(A27='前提と出典'!$B$14,D27,0)</ns0:f>
        <ns0:v>0.020999999999999998</ns0:v>
      </ns0:c>
      <ns0:c r="L27" s="12">
        <ns0:f>IF(H27=0,0,IF(F27&lt;=INDEX('前提と出典'!B41:B43,'前提と出典'!$B$15+1),INDEX('前提と出典'!C41:C43,'前提と出典'!$B$15+1),IF(F27&lt;=INDEX('前提と出典'!D41:D43,'前提と出典'!$B$15+1),INDEX('前提と出典'!E41:E43,'前提と出典'!$B$15+1),INDEX('前提と出典'!G41:G43,'前提と出典'!$B$15+1))))</ns0:f>
        <ns0:v>5000</ns0:v>
      </ns0:c>
      <ns0:c r="M27" s="12">
        <ns0:f>IF(H27=0,0,IF('前提と出典'!$B$33=1,MIN(F27,10)*300+MIN(MAX(0,F27-10),20)*250+MAX(0,F27-30)*200,F27*300))</ns0:f>
        <ns0:v>10000</ns0:v>
      </ns0:c>
      <ns0:c r="N27" s="12">
        <ns0:f>IF(I27=0,0,IF(G27&lt;=INDEX('前提と出典'!B46:B48,'前提と出典'!$B$16+1),INDEX('前提と出典'!C46:C48,'前提と出典'!$B$16+1),IF(G27&lt;=INDEX('前提と出典'!D46:D48,'前提と出典'!$B$16+1),INDEX('前提と出典'!E46:E48,'前提と出典'!$B$16+1),IF(G27&lt;=INDEX('前提と出典'!F46:F48,'前提と出典'!$B$16+1),INDEX('前提と出典'!G46:G48,'前提と出典'!$B$16+1),INDEX('前提と出典'!I46:I48,'前提と出典'!$B$16+1)))))</ns0:f>
        <ns0:v>2500</ns0:v>
      </ns0:c>
      <ns0:c r="O27" s="12">
        <ns0:f>IF(I27=1,G27*'前提と出典'!$B$13,0)</ns0:f>
        <ns0:v>3600</ns0:v>
      </ns0:c>
      <ns0:c r="P27" s="12">
        <ns0:f>IF(J27=1,MIN('前提と出典'!$B$17,L27+N27),0)</ns0:f>
        <ns0:v>1000</ns0:v>
      </ns0:c>
      <ns0:c r="Q27" s="12">
        <ns0:f>IF(J27=0,0,IF('前提と出典'!$B$19=0,P27*L27/(L27+N27),MIN(P27,L27)))</ns0:f>
        <ns0:v>666.6666666666666</ns0:v>
      </ns0:c>
      <ns0:c r="R27" s="4">
        <ns0:f>P27-Q27</ns0:f>
        <ns0:v>333.33333333333337</ns0:v>
      </ns0:c>
      <ns0:c r="S27" s="12">
        <ns0:f>IF(H27=1,'前提と出典'!$B$11+F27*'前提と出典'!$B$12,0)</ns0:f>
        <ns0:v>90</ns0:v>
      </ns0:c>
      <ns0:c r="T27" s="12">
        <ns0:f>IF(H27=1,('前提と出典'!$B$9+F27*'前提と出典'!$B$10)/60*'前提と出典'!$B$8,0)</ns0:f>
        <ns0:v>800</ns0:v>
      </ns0:c>
      <ns0:c r="U27" s="12">
        <ns0:f>IF(I27=1,INDEX('前提と出典'!B80:B83,'前提と出典'!$B$18+1)+G27*INDEX('前提と出典'!C80:C83,'前提と出典'!$B$18+1),0)</ns0:f>
        <ns0:v>405.8784406240171</ns0:v>
      </ns0:c>
      <ns0:c r="V27" s="12">
        <ns0:f>IF(I27=1,INDEX('前提と出典'!D80:D83,'前提と出典'!$B$18+1)+G27*INDEX('前提と出典'!E80:E83,'前提と出典'!$B$18+1),0)</ns0:f>
        <ns0:v>653.3333333333335</ns0:v>
      </ns0:c>
      <ns0:c r="W27" s="4">
        <ns0:f>L27-Q27</ns0:f>
        <ns0:v>4333.333333333333</ns0:v>
      </ns0:c>
      <ns0:c r="X27" s="4">
        <ns0:f>N27-R27</ns0:f>
        <ns0:v>2166.6666666666665</ns0:v>
      </ns0:c>
    </ns0:row>
    <ns0:row r="28" ht="24" customHeight="1">
      <ns0:c r="A28" s="4" t="n">
        <ns0:v>1</ns0:v>
      </ns0:c>
      <ns0:c r="B28" s="4" t="n">
        <ns0:v>4</ns0:v>
      </ns0:c>
      <ns0:c r="C28" s="4" t="n">
        <ns0:v>1</ns0:v>
      </ns0:c>
      <ns0:c r="D28" s="12">
        <ns0:f>'前提と出典'!D56*(1-'前提と出典'!$B$21)</ns0:f>
        <ns0:v>0.009000000000000001</ns0:v>
      </ns0:c>
      <ns0:c r="E28" s="12">
        <ns0:f>ROUNDUP('前提と出典'!B56*'前提と出典'!$B$23,0)</ns0:f>
        <ns0:v>90</ns0:v>
      </ns0:c>
      <ns0:c r="F28" s="12">
        <ns0:f>'前提と出典'!A56</ns0:f>
        <ns0:v>40</ns0:v>
      </ns0:c>
      <ns0:c r="G28" s="12">
        <ns0:f>MAX(1,ROUNDUP(E28*'前提と出典'!$B$25*'前提と出典'!E11,0))</ns0:f>
        <ns0:v>27</ns0:v>
      </ns0:c>
      <ns0:c r="H28" s="4">
        <ns0:f>IF(AND(F28&gt;=1,F28&lt;=100),1,0)</ns0:f>
        <ns0:v>1</ns0:v>
      </ns0:c>
      <ns0:c r="I28" s="4">
        <ns0:f>IF(G28&lt;=50,1,0)</ns0:f>
        <ns0:v>1</ns0:v>
      </ns0:c>
      <ns0:c r="J28" s="4">
        <ns0:f>H28*I28</ns0:f>
        <ns0:v>1</ns0:v>
      </ns0:c>
      <ns0:c r="K28" s="12">
        <ns0:f>IF(A28='前提と出典'!$B$14,D28,0)</ns0:f>
        <ns0:v>0.009000000000000001</ns0:v>
      </ns0:c>
      <ns0:c r="L28" s="12">
        <ns0:f>IF(H28=0,0,IF(F28&lt;=INDEX('前提と出典'!B41:B43,'前提と出典'!$B$15+1),INDEX('前提と出典'!C41:C43,'前提と出典'!$B$15+1),IF(F28&lt;=INDEX('前提と出典'!D41:D43,'前提と出典'!$B$15+1),INDEX('前提と出典'!E41:E43,'前提と出典'!$B$15+1),INDEX('前提と出典'!G41:G43,'前提と出典'!$B$15+1))))</ns0:f>
        <ns0:v>5000</ns0:v>
      </ns0:c>
      <ns0:c r="M28" s="12">
        <ns0:f>IF(H28=0,0,IF('前提と出典'!$B$33=1,MIN(F28,10)*300+MIN(MAX(0,F28-10),20)*250+MAX(0,F28-30)*200,F28*300))</ns0:f>
        <ns0:v>10000</ns0:v>
      </ns0:c>
      <ns0:c r="N28" s="12">
        <ns0:f>IF(I28=0,0,IF(G28&lt;=INDEX('前提と出典'!B46:B48,'前提と出典'!$B$16+1),INDEX('前提と出典'!C46:C48,'前提と出典'!$B$16+1),IF(G28&lt;=INDEX('前提と出典'!D46:D48,'前提と出典'!$B$16+1),INDEX('前提と出典'!E46:E48,'前提と出典'!$B$16+1),IF(G28&lt;=INDEX('前提と出典'!F46:F48,'前提と出典'!$B$16+1),INDEX('前提と出典'!G46:G48,'前提と出典'!$B$16+1),INDEX('前提と出典'!I46:I48,'前提と出典'!$B$16+1)))))</ns0:f>
        <ns0:v>2500</ns0:v>
      </ns0:c>
      <ns0:c r="O28" s="12">
        <ns0:f>IF(I28=1,G28*'前提と出典'!$B$13,0)</ns0:f>
        <ns0:v>5400</ns0:v>
      </ns0:c>
      <ns0:c r="P28" s="12">
        <ns0:f>IF(J28=1,MIN('前提と出典'!$B$17,L28+N28),0)</ns0:f>
        <ns0:v>1000</ns0:v>
      </ns0:c>
      <ns0:c r="Q28" s="12">
        <ns0:f>IF(J28=0,0,IF('前提と出典'!$B$19=0,P28*L28/(L28+N28),MIN(P28,L28)))</ns0:f>
        <ns0:v>666.6666666666666</ns0:v>
      </ns0:c>
      <ns0:c r="R28" s="4">
        <ns0:f>P28-Q28</ns0:f>
        <ns0:v>333.33333333333337</ns0:v>
      </ns0:c>
      <ns0:c r="S28" s="12">
        <ns0:f>IF(H28=1,'前提と出典'!$B$11+F28*'前提と出典'!$B$12,0)</ns0:f>
        <ns0:v>90</ns0:v>
      </ns0:c>
      <ns0:c r="T28" s="12">
        <ns0:f>IF(H28=1,('前提と出典'!$B$9+F28*'前提と出典'!$B$10)/60*'前提と出典'!$B$8,0)</ns0:f>
        <ns0:v>800</ns0:v>
      </ns0:c>
      <ns0:c r="U28" s="12">
        <ns0:f>IF(I28=1,INDEX('前提と出典'!B80:B83,'前提と出典'!$B$18+1)+G28*INDEX('前提と出典'!C80:C83,'前提と出典'!$B$18+1),0)</ns0:f>
        <ns0:v>583.8176609360256</ns0:v>
      </ns0:c>
      <ns0:c r="V28" s="12">
        <ns0:f>IF(I28=1,INDEX('前提と出典'!D80:D83,'前提と出典'!$B$18+1)+G28*INDEX('前提と出典'!E80:E83,'前提と出典'!$B$18+1),0)</ns0:f>
        <ns0:v>713.3333333333333</ns0:v>
      </ns0:c>
      <ns0:c r="W28" s="4">
        <ns0:f>L28-Q28</ns0:f>
        <ns0:v>4333.333333333333</ns0:v>
      </ns0:c>
      <ns0:c r="X28" s="4">
        <ns0:f>N28-R28</ns0:f>
        <ns0:v>2166.6666666666665</ns0:v>
      </ns0:c>
    </ns0:row>
    <ns0:row r="29" ht="24" customHeight="1">
      <ns0:c r="A29" s="4" t="n">
        <ns0:v>1</ns0:v>
      </ns0:c>
      <ns0:c r="B29" s="4" t="n">
        <ns0:v>5</ns0:v>
      </ns0:c>
      <ns0:c r="C29" s="4" t="n">
        <ns0:v>0</ns0:v>
      </ns0:c>
      <ns0:c r="D29" s="12">
        <ns0:f>'前提と出典'!D57*'前提と出典'!$B$21</ns0:f>
        <ns0:v>0.010499999999999999</ns0:v>
      </ns0:c>
      <ns0:c r="E29" s="12">
        <ns0:f>ROUNDUP('前提と出典'!B57*'前提と出典'!$B$22,0)</ns0:f>
        <ns0:v>300</ns0:v>
      </ns0:c>
      <ns0:c r="F29" s="12">
        <ns0:f>'前提と出典'!A57</ns0:f>
        <ns0:v>70</ns0:v>
      </ns0:c>
      <ns0:c r="G29" s="12">
        <ns0:f>MAX(1,ROUNDUP(E29*'前提と出典'!$B$24*'前提と出典'!E11,0))</ns0:f>
        <ns0:v>30</ns0:v>
      </ns0:c>
      <ns0:c r="H29" s="4">
        <ns0:f>IF(AND(F29&gt;=1,F29&lt;=100),1,0)</ns0:f>
        <ns0:v>1</ns0:v>
      </ns0:c>
      <ns0:c r="I29" s="4">
        <ns0:f>IF(G29&lt;=50,1,0)</ns0:f>
        <ns0:v>1</ns0:v>
      </ns0:c>
      <ns0:c r="J29" s="4">
        <ns0:f>H29*I29</ns0:f>
        <ns0:v>1</ns0:v>
      </ns0:c>
      <ns0:c r="K29" s="12">
        <ns0:f>IF(A29='前提と出典'!$B$14,D29,0)</ns0:f>
        <ns0:v>0.010499999999999999</ns0:v>
      </ns0:c>
      <ns0:c r="L29" s="12">
        <ns0:f>IF(H29=0,0,IF(F29&lt;=INDEX('前提と出典'!B41:B43,'前提と出典'!$B$15+1),INDEX('前提と出典'!C41:C43,'前提と出典'!$B$15+1),IF(F29&lt;=INDEX('前提と出典'!D41:D43,'前提と出典'!$B$15+1),INDEX('前提と出典'!E41:E43,'前提と出典'!$B$15+1),INDEX('前提と出典'!G41:G43,'前提と出典'!$B$15+1))))</ns0:f>
        <ns0:v>5000</ns0:v>
      </ns0:c>
      <ns0:c r="M29" s="12">
        <ns0:f>IF(H29=0,0,IF('前提と出典'!$B$33=1,MIN(F29,10)*300+MIN(MAX(0,F29-10),20)*250+MAX(0,F29-30)*200,F29*300))</ns0:f>
        <ns0:v>16000</ns0:v>
      </ns0:c>
      <ns0:c r="N29" s="12">
        <ns0:f>IF(I29=0,0,IF(G29&lt;=INDEX('前提と出典'!B46:B48,'前提と出典'!$B$16+1),INDEX('前提と出典'!C46:C48,'前提と出典'!$B$16+1),IF(G29&lt;=INDEX('前提と出典'!D46:D48,'前提と出典'!$B$16+1),INDEX('前提と出典'!E46:E48,'前提と出典'!$B$16+1),IF(G29&lt;=INDEX('前提と出典'!F46:F48,'前提と出典'!$B$16+1),INDEX('前提と出典'!G46:G48,'前提と出典'!$B$16+1),INDEX('前提と出典'!I46:I48,'前提と出典'!$B$16+1)))))</ns0:f>
        <ns0:v>2500</ns0:v>
      </ns0:c>
      <ns0:c r="O29" s="12">
        <ns0:f>IF(I29=1,G29*'前提と出典'!$B$13,0)</ns0:f>
        <ns0:v>6000</ns0:v>
      </ns0:c>
      <ns0:c r="P29" s="12">
        <ns0:f>IF(J29=1,MIN('前提と出典'!$B$17,L29+N29),0)</ns0:f>
        <ns0:v>1000</ns0:v>
      </ns0:c>
      <ns0:c r="Q29" s="12">
        <ns0:f>IF(J29=0,0,IF('前提と出典'!$B$19=0,P29*L29/(L29+N29),MIN(P29,L29)))</ns0:f>
        <ns0:v>666.6666666666666</ns0:v>
      </ns0:c>
      <ns0:c r="R29" s="4">
        <ns0:f>P29-Q29</ns0:f>
        <ns0:v>333.33333333333337</ns0:v>
      </ns0:c>
      <ns0:c r="S29" s="12">
        <ns0:f>IF(H29=1,'前提と出典'!$B$11+F29*'前提と出典'!$B$12,0)</ns0:f>
        <ns0:v>120</ns0:v>
      </ns0:c>
      <ns0:c r="T29" s="12">
        <ns0:f>IF(H29=1,('前提と出典'!$B$9+F29*'前提と出典'!$B$10)/60*'前提と出典'!$B$8,0)</ns0:f>
        <ns0:v>1000</ns0:v>
      </ns0:c>
      <ns0:c r="U29" s="12">
        <ns0:f>IF(I29=1,INDEX('前提と出典'!B80:B83,'前提と出典'!$B$18+1)+G29*INDEX('前提と出典'!C80:C83,'前提と出典'!$B$18+1),0)</ns0:f>
        <ns0:v>643.1307343733619</ns0:v>
      </ns0:c>
      <ns0:c r="V29" s="12">
        <ns0:f>IF(I29=1,INDEX('前提と出典'!D80:D83,'前提と出典'!$B$18+1)+G29*INDEX('前提と出典'!E80:E83,'前提と出典'!$B$18+1),0)</ns0:f>
        <ns0:v>733.3333333333333</ns0:v>
      </ns0:c>
      <ns0:c r="W29" s="4">
        <ns0:f>L29-Q29</ns0:f>
        <ns0:v>4333.333333333333</ns0:v>
      </ns0:c>
      <ns0:c r="X29" s="4">
        <ns0:f>N29-R29</ns0:f>
        <ns0:v>2166.6666666666665</ns0:v>
      </ns0:c>
    </ns0:row>
    <ns0:row r="30" ht="24" customHeight="1">
      <ns0:c r="A30" s="4" t="n">
        <ns0:v>1</ns0:v>
      </ns0:c>
      <ns0:c r="B30" s="4" t="n">
        <ns0:v>5</ns0:v>
      </ns0:c>
      <ns0:c r="C30" s="4" t="n">
        <ns0:v>1</ns0:v>
      </ns0:c>
      <ns0:c r="D30" s="12">
        <ns0:f>'前提と出典'!D57*(1-'前提と出典'!$B$21)</ns0:f>
        <ns0:v>0.0045000000000000005</ns0:v>
      </ns0:c>
      <ns0:c r="E30" s="12">
        <ns0:f>ROUNDUP('前提と出典'!B57*'前提と出典'!$B$23,0)</ns0:f>
        <ns0:v>150</ns0:v>
      </ns0:c>
      <ns0:c r="F30" s="12">
        <ns0:f>'前提と出典'!A57</ns0:f>
        <ns0:v>70</ns0:v>
      </ns0:c>
      <ns0:c r="G30" s="12">
        <ns0:f>MAX(1,ROUNDUP(E30*'前提と出典'!$B$25*'前提と出典'!E11,0))</ns0:f>
        <ns0:v>45</ns0:v>
      </ns0:c>
      <ns0:c r="H30" s="4">
        <ns0:f>IF(AND(F30&gt;=1,F30&lt;=100),1,0)</ns0:f>
        <ns0:v>1</ns0:v>
      </ns0:c>
      <ns0:c r="I30" s="4">
        <ns0:f>IF(G30&lt;=50,1,0)</ns0:f>
        <ns0:v>1</ns0:v>
      </ns0:c>
      <ns0:c r="J30" s="4">
        <ns0:f>H30*I30</ns0:f>
        <ns0:v>1</ns0:v>
      </ns0:c>
      <ns0:c r="K30" s="12">
        <ns0:f>IF(A30='前提と出典'!$B$14,D30,0)</ns0:f>
        <ns0:v>0.0045000000000000005</ns0:v>
      </ns0:c>
      <ns0:c r="L30" s="12">
        <ns0:f>IF(H30=0,0,IF(F30&lt;=INDEX('前提と出典'!B41:B43,'前提と出典'!$B$15+1),INDEX('前提と出典'!C41:C43,'前提と出典'!$B$15+1),IF(F30&lt;=INDEX('前提と出典'!D41:D43,'前提と出典'!$B$15+1),INDEX('前提と出典'!E41:E43,'前提と出典'!$B$15+1),INDEX('前提と出典'!G41:G43,'前提と出典'!$B$15+1))))</ns0:f>
        <ns0:v>5000</ns0:v>
      </ns0:c>
      <ns0:c r="M30" s="12">
        <ns0:f>IF(H30=0,0,IF('前提と出典'!$B$33=1,MIN(F30,10)*300+MIN(MAX(0,F30-10),20)*250+MAX(0,F30-30)*200,F30*300))</ns0:f>
        <ns0:v>16000</ns0:v>
      </ns0:c>
      <ns0:c r="N30" s="12">
        <ns0:f>IF(I30=0,0,IF(G30&lt;=INDEX('前提と出典'!B46:B48,'前提と出典'!$B$16+1),INDEX('前提と出典'!C46:C48,'前提と出典'!$B$16+1),IF(G30&lt;=INDEX('前提と出典'!D46:D48,'前提と出典'!$B$16+1),INDEX('前提と出典'!E46:E48,'前提と出典'!$B$16+1),IF(G30&lt;=INDEX('前提と出典'!F46:F48,'前提と出典'!$B$16+1),INDEX('前提と出典'!G46:G48,'前提と出典'!$B$16+1),INDEX('前提と出典'!I46:I48,'前提と出典'!$B$16+1)))))</ns0:f>
        <ns0:v>2500</ns0:v>
      </ns0:c>
      <ns0:c r="O30" s="12">
        <ns0:f>IF(I30=1,G30*'前提と出典'!$B$13,0)</ns0:f>
        <ns0:v>9000</ns0:v>
      </ns0:c>
      <ns0:c r="P30" s="12">
        <ns0:f>IF(J30=1,MIN('前提と出典'!$B$17,L30+N30),0)</ns0:f>
        <ns0:v>1000</ns0:v>
      </ns0:c>
      <ns0:c r="Q30" s="12">
        <ns0:f>IF(J30=0,0,IF('前提と出典'!$B$19=0,P30*L30/(L30+N30),MIN(P30,L30)))</ns0:f>
        <ns0:v>666.6666666666666</ns0:v>
      </ns0:c>
      <ns0:c r="R30" s="4">
        <ns0:f>P30-Q30</ns0:f>
        <ns0:v>333.33333333333337</ns0:v>
      </ns0:c>
      <ns0:c r="S30" s="12">
        <ns0:f>IF(H30=1,'前提と出典'!$B$11+F30*'前提と出典'!$B$12,0)</ns0:f>
        <ns0:v>120</ns0:v>
      </ns0:c>
      <ns0:c r="T30" s="12">
        <ns0:f>IF(H30=1,('前提と出典'!$B$9+F30*'前提と出典'!$B$10)/60*'前提と出典'!$B$8,0)</ns0:f>
        <ns0:v>1000</ns0:v>
      </ns0:c>
      <ns0:c r="U30" s="12">
        <ns0:f>IF(I30=1,INDEX('前提と出典'!B80:B83,'前提と出典'!$B$18+1)+G30*INDEX('前提と出典'!C80:C83,'前提と出典'!$B$18+1),0)</ns0:f>
        <ns0:v>939.6961015600427</ns0:v>
      </ns0:c>
      <ns0:c r="V30" s="12">
        <ns0:f>IF(I30=1,INDEX('前提と出典'!D80:D83,'前提と出典'!$B$18+1)+G30*INDEX('前提と出典'!E80:E83,'前提と出典'!$B$18+1),0)</ns0:f>
        <ns0:v>833.3333333333334</ns0:v>
      </ns0:c>
      <ns0:c r="W30" s="4">
        <ns0:f>L30-Q30</ns0:f>
        <ns0:v>4333.333333333333</ns0:v>
      </ns0:c>
      <ns0:c r="X30" s="4">
        <ns0:f>N30-R30</ns0:f>
        <ns0:v>2166.6666666666665</ns0:v>
      </ns0:c>
    </ns0:row>
    <ns0:row r="31" ht="24" customHeight="1">
      <ns0:c r="A31" s="4" t="n">
        <ns0:v>1</ns0:v>
      </ns0:c>
      <ns0:c r="B31" s="4" t="n">
        <ns0:v>6</ns0:v>
      </ns0:c>
      <ns0:c r="C31" s="4" t="n">
        <ns0:v>0</ns0:v>
      </ns0:c>
      <ns0:c r="D31" s="12">
        <ns0:f>'前提と出典'!D58*'前提と出典'!$B$21</ns0:f>
        <ns0:v>0.0034999999999999996</ns0:v>
      </ns0:c>
      <ns0:c r="E31" s="12">
        <ns0:f>ROUNDUP('前提と出典'!B58*'前提と出典'!$B$22,0)</ns0:f>
        <ns0:v>600</ns0:v>
      </ns0:c>
      <ns0:c r="F31" s="12">
        <ns0:f>'前提と出典'!A58</ns0:f>
        <ns0:v>130</ns0:v>
      </ns0:c>
      <ns0:c r="G31" s="12">
        <ns0:f>MAX(1,ROUNDUP(E31*'前提と出典'!$B$24*'前提と出典'!E11,0))</ns0:f>
        <ns0:v>60</ns0:v>
      </ns0:c>
      <ns0:c r="H31" s="4">
        <ns0:f>IF(AND(F31&gt;=1,F31&lt;=100),1,0)</ns0:f>
        <ns0:v>0</ns0:v>
      </ns0:c>
      <ns0:c r="I31" s="4">
        <ns0:f>IF(G31&lt;=50,1,0)</ns0:f>
        <ns0:v>0</ns0:v>
      </ns0:c>
      <ns0:c r="J31" s="4">
        <ns0:f>H31*I31</ns0:f>
        <ns0:v>0</ns0:v>
      </ns0:c>
      <ns0:c r="K31" s="12">
        <ns0:f>IF(A31='前提と出典'!$B$14,D31,0)</ns0:f>
        <ns0:v>0.0034999999999999996</ns0:v>
      </ns0:c>
      <ns0:c r="L31" s="12">
        <ns0:f>IF(H31=0,0,IF(F31&lt;=INDEX('前提と出典'!B41:B43,'前提と出典'!$B$15+1),INDEX('前提と出典'!C41:C43,'前提と出典'!$B$15+1),IF(F31&lt;=INDEX('前提と出典'!D41:D43,'前提と出典'!$B$15+1),INDEX('前提と出典'!E41:E43,'前提と出典'!$B$15+1),INDEX('前提と出典'!G41:G43,'前提と出典'!$B$15+1))))</ns0:f>
        <ns0:v>0</ns0:v>
      </ns0:c>
      <ns0:c r="M31" s="12">
        <ns0:f>IF(H31=0,0,IF('前提と出典'!$B$33=1,MIN(F31,10)*300+MIN(MAX(0,F31-10),20)*250+MAX(0,F31-30)*200,F31*300))</ns0:f>
        <ns0:v>0</ns0:v>
      </ns0:c>
      <ns0:c r="N31" s="12">
        <ns0:f>IF(I31=0,0,IF(G31&lt;=INDEX('前提と出典'!B46:B48,'前提と出典'!$B$16+1),INDEX('前提と出典'!C46:C48,'前提と出典'!$B$16+1),IF(G31&lt;=INDEX('前提と出典'!D46:D48,'前提と出典'!$B$16+1),INDEX('前提と出典'!E46:E48,'前提と出典'!$B$16+1),IF(G31&lt;=INDEX('前提と出典'!F46:F48,'前提と出典'!$B$16+1),INDEX('前提と出典'!G46:G48,'前提と出典'!$B$16+1),INDEX('前提と出典'!I46:I48,'前提と出典'!$B$16+1)))))</ns0:f>
        <ns0:v>0</ns0:v>
      </ns0:c>
      <ns0:c r="O31" s="12">
        <ns0:f>IF(I31=1,G31*'前提と出典'!$B$13,0)</ns0:f>
        <ns0:v>0</ns0:v>
      </ns0:c>
      <ns0:c r="P31" s="12">
        <ns0:f>IF(J31=1,MIN('前提と出典'!$B$17,L31+N31),0)</ns0:f>
        <ns0:v>0</ns0:v>
      </ns0:c>
      <ns0:c r="Q31" s="12">
        <ns0:f>IF(J31=0,0,IF('前提と出典'!$B$19=0,P31*L31/(L31+N31),MIN(P31,L31)))</ns0:f>
        <ns0:v>0</ns0:v>
      </ns0:c>
      <ns0:c r="R31" s="4">
        <ns0:f>P31-Q31</ns0:f>
        <ns0:v>0</ns0:v>
      </ns0:c>
      <ns0:c r="S31" s="12">
        <ns0:f>IF(H31=1,'前提と出典'!$B$11+F31*'前提と出典'!$B$12,0)</ns0:f>
        <ns0:v>0</ns0:v>
      </ns0:c>
      <ns0:c r="T31" s="12">
        <ns0:f>IF(H31=1,('前提と出典'!$B$9+F31*'前提と出典'!$B$10)/60*'前提と出典'!$B$8,0)</ns0:f>
        <ns0:v>0</ns0:v>
      </ns0:c>
      <ns0:c r="U31" s="12">
        <ns0:f>IF(I31=1,INDEX('前提と出典'!B80:B83,'前提と出典'!$B$18+1)+G31*INDEX('前提と出典'!C80:C83,'前提と出典'!$B$18+1),0)</ns0:f>
        <ns0:v>0</ns0:v>
      </ns0:c>
      <ns0:c r="V31" s="12">
        <ns0:f>IF(I31=1,INDEX('前提と出典'!D80:D83,'前提と出典'!$B$18+1)+G31*INDEX('前提と出典'!E80:E83,'前提と出典'!$B$18+1),0)</ns0:f>
        <ns0:v>0</ns0:v>
      </ns0:c>
      <ns0:c r="W31" s="4">
        <ns0:f>L31-Q31</ns0:f>
        <ns0:v>0</ns0:v>
      </ns0:c>
      <ns0:c r="X31" s="4">
        <ns0:f>N31-R31</ns0:f>
        <ns0:v>0</ns0:v>
      </ns0:c>
    </ns0:row>
    <ns0:row r="32" ht="24" customHeight="1">
      <ns0:c r="A32" s="4" t="n">
        <ns0:v>1</ns0:v>
      </ns0:c>
      <ns0:c r="B32" s="4" t="n">
        <ns0:v>6</ns0:v>
      </ns0:c>
      <ns0:c r="C32" s="4" t="n">
        <ns0:v>1</ns0:v>
      </ns0:c>
      <ns0:c r="D32" s="12">
        <ns0:f>'前提と出典'!D58*(1-'前提と出典'!$B$21)</ns0:f>
        <ns0:v>0.0015000000000000002</ns0:v>
      </ns0:c>
      <ns0:c r="E32" s="12">
        <ns0:f>ROUNDUP('前提と出典'!B58*'前提と出典'!$B$23,0)</ns0:f>
        <ns0:v>300</ns0:v>
      </ns0:c>
      <ns0:c r="F32" s="12">
        <ns0:f>'前提と出典'!A58</ns0:f>
        <ns0:v>130</ns0:v>
      </ns0:c>
      <ns0:c r="G32" s="12">
        <ns0:f>MAX(1,ROUNDUP(E32*'前提と出典'!$B$25*'前提と出典'!E11,0))</ns0:f>
        <ns0:v>90</ns0:v>
      </ns0:c>
      <ns0:c r="H32" s="4">
        <ns0:f>IF(AND(F32&gt;=1,F32&lt;=100),1,0)</ns0:f>
        <ns0:v>0</ns0:v>
      </ns0:c>
      <ns0:c r="I32" s="4">
        <ns0:f>IF(G32&lt;=50,1,0)</ns0:f>
        <ns0:v>0</ns0:v>
      </ns0:c>
      <ns0:c r="J32" s="4">
        <ns0:f>H32*I32</ns0:f>
        <ns0:v>0</ns0:v>
      </ns0:c>
      <ns0:c r="K32" s="12">
        <ns0:f>IF(A32='前提と出典'!$B$14,D32,0)</ns0:f>
        <ns0:v>0.0015000000000000002</ns0:v>
      </ns0:c>
      <ns0:c r="L32" s="12">
        <ns0:f>IF(H32=0,0,IF(F32&lt;=INDEX('前提と出典'!B41:B43,'前提と出典'!$B$15+1),INDEX('前提と出典'!C41:C43,'前提と出典'!$B$15+1),IF(F32&lt;=INDEX('前提と出典'!D41:D43,'前提と出典'!$B$15+1),INDEX('前提と出典'!E41:E43,'前提と出典'!$B$15+1),INDEX('前提と出典'!G41:G43,'前提と出典'!$B$15+1))))</ns0:f>
        <ns0:v>0</ns0:v>
      </ns0:c>
      <ns0:c r="M32" s="12">
        <ns0:f>IF(H32=0,0,IF('前提と出典'!$B$33=1,MIN(F32,10)*300+MIN(MAX(0,F32-10),20)*250+MAX(0,F32-30)*200,F32*300))</ns0:f>
        <ns0:v>0</ns0:v>
      </ns0:c>
      <ns0:c r="N32" s="12">
        <ns0:f>IF(I32=0,0,IF(G32&lt;=INDEX('前提と出典'!B46:B48,'前提と出典'!$B$16+1),INDEX('前提と出典'!C46:C48,'前提と出典'!$B$16+1),IF(G32&lt;=INDEX('前提と出典'!D46:D48,'前提と出典'!$B$16+1),INDEX('前提と出典'!E46:E48,'前提と出典'!$B$16+1),IF(G32&lt;=INDEX('前提と出典'!F46:F48,'前提と出典'!$B$16+1),INDEX('前提と出典'!G46:G48,'前提と出典'!$B$16+1),INDEX('前提と出典'!I46:I48,'前提と出典'!$B$16+1)))))</ns0:f>
        <ns0:v>0</ns0:v>
      </ns0:c>
      <ns0:c r="O32" s="12">
        <ns0:f>IF(I32=1,G32*'前提と出典'!$B$13,0)</ns0:f>
        <ns0:v>0</ns0:v>
      </ns0:c>
      <ns0:c r="P32" s="12">
        <ns0:f>IF(J32=1,MIN('前提と出典'!$B$17,L32+N32),0)</ns0:f>
        <ns0:v>0</ns0:v>
      </ns0:c>
      <ns0:c r="Q32" s="12">
        <ns0:f>IF(J32=0,0,IF('前提と出典'!$B$19=0,P32*L32/(L32+N32),MIN(P32,L32)))</ns0:f>
        <ns0:v>0</ns0:v>
      </ns0:c>
      <ns0:c r="R32" s="4">
        <ns0:f>P32-Q32</ns0:f>
        <ns0:v>0</ns0:v>
      </ns0:c>
      <ns0:c r="S32" s="12">
        <ns0:f>IF(H32=1,'前提と出典'!$B$11+F32*'前提と出典'!$B$12,0)</ns0:f>
        <ns0:v>0</ns0:v>
      </ns0:c>
      <ns0:c r="T32" s="12">
        <ns0:f>IF(H32=1,('前提と出典'!$B$9+F32*'前提と出典'!$B$10)/60*'前提と出典'!$B$8,0)</ns0:f>
        <ns0:v>0</ns0:v>
      </ns0:c>
      <ns0:c r="U32" s="12">
        <ns0:f>IF(I32=1,INDEX('前提と出典'!B80:B83,'前提と出典'!$B$18+1)+G32*INDEX('前提と出典'!C80:C83,'前提と出典'!$B$18+1),0)</ns0:f>
        <ns0:v>0</ns0:v>
      </ns0:c>
      <ns0:c r="V32" s="12">
        <ns0:f>IF(I32=1,INDEX('前提と出典'!D80:D83,'前提と出典'!$B$18+1)+G32*INDEX('前提と出典'!E80:E83,'前提と出典'!$B$18+1),0)</ns0:f>
        <ns0:v>0</ns0:v>
      </ns0:c>
      <ns0:c r="W32" s="4">
        <ns0:f>L32-Q32</ns0:f>
        <ns0:v>0</ns0:v>
      </ns0:c>
      <ns0:c r="X32" s="4">
        <ns0:f>N32-R32</ns0:f>
        <ns0:v>0</ns0:v>
      </ns0:c>
    </ns0:row>
    <ns0:row r="33" ht="24" customHeight="1">
      <ns0:c r="A33" s="4" t="n">
        <ns0:v>2</ns0:v>
      </ns0:c>
      <ns0:c r="B33" s="4" t="n">
        <ns0:v>0</ns0:v>
      </ns0:c>
      <ns0:c r="C33" s="4" t="n">
        <ns0:v>0</ns0:v>
      </ns0:c>
      <ns0:c r="D33" s="12">
        <ns0:f>'前提と出典'!E52*'前提と出典'!$B$21</ns0:f>
        <ns0:v>0.034999999999999996</ns0:v>
      </ns0:c>
      <ns0:c r="E33" s="12">
        <ns0:f>ROUNDUP('前提と出典'!B52*'前提と出典'!$B$22,0)</ns0:f>
        <ns0:v>6</ns0:v>
      </ns0:c>
      <ns0:c r="F33" s="12">
        <ns0:f>'前提と出典'!A52</ns0:f>
        <ns0:v>0</ns0:v>
      </ns0:c>
      <ns0:c r="G33" s="12">
        <ns0:f>MAX(1,ROUNDUP(E33*'前提と出典'!$B$24*'前提と出典'!E12,0))</ns0:f>
        <ns0:v>1</ns0:v>
      </ns0:c>
      <ns0:c r="H33" s="4">
        <ns0:f>IF(AND(F33&gt;=1,F33&lt;=100),1,0)</ns0:f>
        <ns0:v>0</ns0:v>
      </ns0:c>
      <ns0:c r="I33" s="4">
        <ns0:f>IF(G33&lt;=50,1,0)</ns0:f>
        <ns0:v>1</ns0:v>
      </ns0:c>
      <ns0:c r="J33" s="4">
        <ns0:f>H33*I33</ns0:f>
        <ns0:v>0</ns0:v>
      </ns0:c>
      <ns0:c r="K33" s="12">
        <ns0:f>IF(A33='前提と出典'!$B$14,D33,0)</ns0:f>
        <ns0:v>0</ns0:v>
      </ns0:c>
      <ns0:c r="L33" s="12">
        <ns0:f>IF(H33=0,0,IF(F33&lt;=INDEX('前提と出典'!B41:B43,'前提と出典'!$B$15+1),INDEX('前提と出典'!C41:C43,'前提と出典'!$B$15+1),IF(F33&lt;=INDEX('前提と出典'!D41:D43,'前提と出典'!$B$15+1),INDEX('前提と出典'!E41:E43,'前提と出典'!$B$15+1),INDEX('前提と出典'!G41:G43,'前提と出典'!$B$15+1))))</ns0:f>
        <ns0:v>0</ns0:v>
      </ns0:c>
      <ns0:c r="M33" s="12">
        <ns0:f>IF(H33=0,0,IF('前提と出典'!$B$33=1,MIN(F33,10)*300+MIN(MAX(0,F33-10),20)*250+MAX(0,F33-30)*200,F33*300))</ns0:f>
        <ns0:v>0</ns0:v>
      </ns0:c>
      <ns0:c r="N33" s="12">
        <ns0:f>IF(I33=0,0,IF(G33&lt;=INDEX('前提と出典'!B46:B48,'前提と出典'!$B$16+1),INDEX('前提と出典'!C46:C48,'前提と出典'!$B$16+1),IF(G33&lt;=INDEX('前提と出典'!D46:D48,'前提と出典'!$B$16+1),INDEX('前提と出典'!E46:E48,'前提と出典'!$B$16+1),IF(G33&lt;=INDEX('前提と出典'!F46:F48,'前提と出典'!$B$16+1),INDEX('前提と出典'!G46:G48,'前提と出典'!$B$16+1),INDEX('前提と出典'!I46:I48,'前提と出典'!$B$16+1)))))</ns0:f>
        <ns0:v>1200</ns0:v>
      </ns0:c>
      <ns0:c r="O33" s="12">
        <ns0:f>IF(I33=1,G33*'前提と出典'!$B$13,0)</ns0:f>
        <ns0:v>200</ns0:v>
      </ns0:c>
      <ns0:c r="P33" s="12">
        <ns0:f>IF(J33=1,MIN('前提と出典'!$B$17,L33+N33),0)</ns0:f>
        <ns0:v>0</ns0:v>
      </ns0:c>
      <ns0:c r="Q33" s="12">
        <ns0:f>IF(J33=0,0,IF('前提と出典'!$B$19=0,P33*L33/(L33+N33),MIN(P33,L33)))</ns0:f>
        <ns0:v>0</ns0:v>
      </ns0:c>
      <ns0:c r="R33" s="4">
        <ns0:f>P33-Q33</ns0:f>
        <ns0:v>0</ns0:v>
      </ns0:c>
      <ns0:c r="S33" s="12">
        <ns0:f>IF(H33=1,'前提と出典'!$B$11+F33*'前提と出典'!$B$12,0)</ns0:f>
        <ns0:v>0</ns0:v>
      </ns0:c>
      <ns0:c r="T33" s="12">
        <ns0:f>IF(H33=1,('前提と出典'!$B$9+F33*'前提と出典'!$B$10)/60*'前提と出典'!$B$8,0)</ns0:f>
        <ns0:v>0</ns0:v>
      </ns0:c>
      <ns0:c r="U33" s="12">
        <ns0:f>IF(I33=1,INDEX('前提と出典'!B80:B83,'前提と出典'!$B$18+1)+G33*INDEX('前提と出典'!C80:C83,'前提と出典'!$B$18+1),0)</ns0:f>
        <ns0:v>69.77102447911206</ns0:v>
      </ns0:c>
      <ns0:c r="V33" s="12">
        <ns0:f>IF(I33=1,INDEX('前提と出典'!D80:D83,'前提と出典'!$B$18+1)+G33*INDEX('前提と出典'!E80:E83,'前提と出典'!$B$18+1),0)</ns0:f>
        <ns0:v>539.9999999999999</ns0:v>
      </ns0:c>
      <ns0:c r="W33" s="4">
        <ns0:f>L33-Q33</ns0:f>
        <ns0:v>0</ns0:v>
      </ns0:c>
      <ns0:c r="X33" s="4">
        <ns0:f>N33-R33</ns0:f>
        <ns0:v>1200</ns0:v>
      </ns0:c>
    </ns0:row>
    <ns0:row r="34" ht="24" customHeight="1">
      <ns0:c r="A34" s="4" t="n">
        <ns0:v>2</ns0:v>
      </ns0:c>
      <ns0:c r="B34" s="4" t="n">
        <ns0:v>0</ns0:v>
      </ns0:c>
      <ns0:c r="C34" s="4" t="n">
        <ns0:v>1</ns0:v>
      </ns0:c>
      <ns0:c r="D34" s="12">
        <ns0:f>'前提と出典'!E52*(1-'前提と出典'!$B$21)</ns0:f>
        <ns0:v>0.015000000000000003</ns0:v>
      </ns0:c>
      <ns0:c r="E34" s="12">
        <ns0:f>ROUNDUP('前提と出典'!B52*'前提と出典'!$B$23,0)</ns0:f>
        <ns0:v>3</ns0:v>
      </ns0:c>
      <ns0:c r="F34" s="12">
        <ns0:f>'前提と出典'!A52</ns0:f>
        <ns0:v>0</ns0:v>
      </ns0:c>
      <ns0:c r="G34" s="12">
        <ns0:f>MAX(1,ROUNDUP(E34*'前提と出典'!$B$25*'前提と出典'!E12,0))</ns0:f>
        <ns0:v>2</ns0:v>
      </ns0:c>
      <ns0:c r="H34" s="4">
        <ns0:f>IF(AND(F34&gt;=1,F34&lt;=100),1,0)</ns0:f>
        <ns0:v>0</ns0:v>
      </ns0:c>
      <ns0:c r="I34" s="4">
        <ns0:f>IF(G34&lt;=50,1,0)</ns0:f>
        <ns0:v>1</ns0:v>
      </ns0:c>
      <ns0:c r="J34" s="4">
        <ns0:f>H34*I34</ns0:f>
        <ns0:v>0</ns0:v>
      </ns0:c>
      <ns0:c r="K34" s="12">
        <ns0:f>IF(A34='前提と出典'!$B$14,D34,0)</ns0:f>
        <ns0:v>0</ns0:v>
      </ns0:c>
      <ns0:c r="L34" s="12">
        <ns0:f>IF(H34=0,0,IF(F34&lt;=INDEX('前提と出典'!B41:B43,'前提と出典'!$B$15+1),INDEX('前提と出典'!C41:C43,'前提と出典'!$B$15+1),IF(F34&lt;=INDEX('前提と出典'!D41:D43,'前提と出典'!$B$15+1),INDEX('前提と出典'!E41:E43,'前提と出典'!$B$15+1),INDEX('前提と出典'!G41:G43,'前提と出典'!$B$15+1))))</ns0:f>
        <ns0:v>0</ns0:v>
      </ns0:c>
      <ns0:c r="M34" s="12">
        <ns0:f>IF(H34=0,0,IF('前提と出典'!$B$33=1,MIN(F34,10)*300+MIN(MAX(0,F34-10),20)*250+MAX(0,F34-30)*200,F34*300))</ns0:f>
        <ns0:v>0</ns0:v>
      </ns0:c>
      <ns0:c r="N34" s="12">
        <ns0:f>IF(I34=0,0,IF(G34&lt;=INDEX('前提と出典'!B46:B48,'前提と出典'!$B$16+1),INDEX('前提と出典'!C46:C48,'前提と出典'!$B$16+1),IF(G34&lt;=INDEX('前提と出典'!D46:D48,'前提と出典'!$B$16+1),INDEX('前提と出典'!E46:E48,'前提と出典'!$B$16+1),IF(G34&lt;=INDEX('前提と出典'!F46:F48,'前提と出典'!$B$16+1),INDEX('前提と出典'!G46:G48,'前提と出典'!$B$16+1),INDEX('前提と出典'!I46:I48,'前提と出典'!$B$16+1)))))</ns0:f>
        <ns0:v>1200</ns0:v>
      </ns0:c>
      <ns0:c r="O34" s="12">
        <ns0:f>IF(I34=1,G34*'前提と出典'!$B$13,0)</ns0:f>
        <ns0:v>400</ns0:v>
      </ns0:c>
      <ns0:c r="P34" s="12">
        <ns0:f>IF(J34=1,MIN('前提と出典'!$B$17,L34+N34),0)</ns0:f>
        <ns0:v>0</ns0:v>
      </ns0:c>
      <ns0:c r="Q34" s="12">
        <ns0:f>IF(J34=0,0,IF('前提と出典'!$B$19=0,P34*L34/(L34+N34),MIN(P34,L34)))</ns0:f>
        <ns0:v>0</ns0:v>
      </ns0:c>
      <ns0:c r="R34" s="4">
        <ns0:f>P34-Q34</ns0:f>
        <ns0:v>0</ns0:v>
      </ns0:c>
      <ns0:c r="S34" s="12">
        <ns0:f>IF(H34=1,'前提と出典'!$B$11+F34*'前提と出典'!$B$12,0)</ns0:f>
        <ns0:v>0</ns0:v>
      </ns0:c>
      <ns0:c r="T34" s="12">
        <ns0:f>IF(H34=1,('前提と出典'!$B$9+F34*'前提と出典'!$B$10)/60*'前提と出典'!$B$8,0)</ns0:f>
        <ns0:v>0</ns0:v>
      </ns0:c>
      <ns0:c r="U34" s="12">
        <ns0:f>IF(I34=1,INDEX('前提と出典'!B80:B83,'前提と出典'!$B$18+1)+G34*INDEX('前提と出典'!C80:C83,'前提と出典'!$B$18+1),0)</ns0:f>
        <ns0:v>89.54204895822411</ns0:v>
      </ns0:c>
      <ns0:c r="V34" s="12">
        <ns0:f>IF(I34=1,INDEX('前提と出典'!D80:D83,'前提と出典'!$B$18+1)+G34*INDEX('前提と出典'!E80:E83,'前提と出典'!$B$18+1),0)</ns0:f>
        <ns0:v>546.6666666666666</ns0:v>
      </ns0:c>
      <ns0:c r="W34" s="4">
        <ns0:f>L34-Q34</ns0:f>
        <ns0:v>0</ns0:v>
      </ns0:c>
      <ns0:c r="X34" s="4">
        <ns0:f>N34-R34</ns0:f>
        <ns0:v>1200</ns0:v>
      </ns0:c>
    </ns0:row>
    <ns0:row r="35" ht="24" customHeight="1">
      <ns0:c r="A35" s="4" t="n">
        <ns0:v>2</ns0:v>
      </ns0:c>
      <ns0:c r="B35" s="4" t="n">
        <ns0:v>1</ns0:v>
      </ns0:c>
      <ns0:c r="C35" s="4" t="n">
        <ns0:v>0</ns0:v>
      </ns0:c>
      <ns0:c r="D35" s="12">
        <ns0:f>'前提と出典'!E53*'前提と出典'!$B$21</ns0:f>
        <ns0:v>0.175</ns0:v>
      </ns0:c>
      <ns0:c r="E35" s="12">
        <ns0:f>ROUNDUP('前提と出典'!B53*'前提と出典'!$B$22,0)</ns0:f>
        <ns0:v>15</ns0:v>
      </ns0:c>
      <ns0:c r="F35" s="12">
        <ns0:f>'前提と出典'!A53</ns0:f>
        <ns0:v>3</ns0:v>
      </ns0:c>
      <ns0:c r="G35" s="12">
        <ns0:f>MAX(1,ROUNDUP(E35*'前提と出典'!$B$24*'前提と出典'!E12,0))</ns0:f>
        <ns0:v>3</ns0:v>
      </ns0:c>
      <ns0:c r="H35" s="4">
        <ns0:f>IF(AND(F35&gt;=1,F35&lt;=100),1,0)</ns0:f>
        <ns0:v>1</ns0:v>
      </ns0:c>
      <ns0:c r="I35" s="4">
        <ns0:f>IF(G35&lt;=50,1,0)</ns0:f>
        <ns0:v>1</ns0:v>
      </ns0:c>
      <ns0:c r="J35" s="4">
        <ns0:f>H35*I35</ns0:f>
        <ns0:v>1</ns0:v>
      </ns0:c>
      <ns0:c r="K35" s="12">
        <ns0:f>IF(A35='前提と出典'!$B$14,D35,0)</ns0:f>
        <ns0:v>0</ns0:v>
      </ns0:c>
      <ns0:c r="L35" s="12">
        <ns0:f>IF(H35=0,0,IF(F35&lt;=INDEX('前提と出典'!B41:B43,'前提と出典'!$B$15+1),INDEX('前提と出典'!C41:C43,'前提と出典'!$B$15+1),IF(F35&lt;=INDEX('前提と出典'!D41:D43,'前提と出典'!$B$15+1),INDEX('前提と出典'!E41:E43,'前提と出典'!$B$15+1),INDEX('前提と出典'!G41:G43,'前提と出典'!$B$15+1))))</ns0:f>
        <ns0:v>3500</ns0:v>
      </ns0:c>
      <ns0:c r="M35" s="12">
        <ns0:f>IF(H35=0,0,IF('前提と出典'!$B$33=1,MIN(F35,10)*300+MIN(MAX(0,F35-10),20)*250+MAX(0,F35-30)*200,F35*300))</ns0:f>
        <ns0:v>900</ns0:v>
      </ns0:c>
      <ns0:c r="N35" s="12">
        <ns0:f>IF(I35=0,0,IF(G35&lt;=INDEX('前提と出典'!B46:B48,'前提と出典'!$B$16+1),INDEX('前提と出典'!C46:C48,'前提と出典'!$B$16+1),IF(G35&lt;=INDEX('前提と出典'!D46:D48,'前提と出典'!$B$16+1),INDEX('前提と出典'!E46:E48,'前提と出典'!$B$16+1),IF(G35&lt;=INDEX('前提と出典'!F46:F48,'前提と出典'!$B$16+1),INDEX('前提と出典'!G46:G48,'前提と出典'!$B$16+1),INDEX('前提と出典'!I46:I48,'前提と出典'!$B$16+1)))))</ns0:f>
        <ns0:v>1200</ns0:v>
      </ns0:c>
      <ns0:c r="O35" s="12">
        <ns0:f>IF(I35=1,G35*'前提と出典'!$B$13,0)</ns0:f>
        <ns0:v>600</ns0:v>
      </ns0:c>
      <ns0:c r="P35" s="12">
        <ns0:f>IF(J35=1,MIN('前提と出典'!$B$17,L35+N35),0)</ns0:f>
        <ns0:v>1000</ns0:v>
      </ns0:c>
      <ns0:c r="Q35" s="12">
        <ns0:f>IF(J35=0,0,IF('前提と出典'!$B$19=0,P35*L35/(L35+N35),MIN(P35,L35)))</ns0:f>
        <ns0:v>744.6808510638298</ns0:v>
      </ns0:c>
      <ns0:c r="R35" s="4">
        <ns0:f>P35-Q35</ns0:f>
        <ns0:v>255.31914893617022</ns0:v>
      </ns0:c>
      <ns0:c r="S35" s="12">
        <ns0:f>IF(H35=1,'前提と出典'!$B$11+F35*'前提と出典'!$B$12,0)</ns0:f>
        <ns0:v>53</ns0:v>
      </ns0:c>
      <ns0:c r="T35" s="12">
        <ns0:f>IF(H35=1,('前提と出典'!$B$9+F35*'前提と出典'!$B$10)/60*'前提と出典'!$B$8,0)</ns0:f>
        <ns0:v>553.3333333333334</ns0:v>
      </ns0:c>
      <ns0:c r="U35" s="12">
        <ns0:f>IF(I35=1,INDEX('前提と出典'!B80:B83,'前提と出典'!$B$18+1)+G35*INDEX('前提と出典'!C80:C83,'前提と出典'!$B$18+1),0)</ns0:f>
        <ns0:v>109.31307343733619</ns0:v>
      </ns0:c>
      <ns0:c r="V35" s="12">
        <ns0:f>IF(I35=1,INDEX('前提と出典'!D80:D83,'前提と出典'!$B$18+1)+G35*INDEX('前提と出典'!E80:E83,'前提と出典'!$B$18+1),0)</ns0:f>
        <ns0:v>553.3333333333334</ns0:v>
      </ns0:c>
      <ns0:c r="W35" s="4">
        <ns0:f>L35-Q35</ns0:f>
        <ns0:v>2755.31914893617</ns0:v>
      </ns0:c>
      <ns0:c r="X35" s="4">
        <ns0:f>N35-R35</ns0:f>
        <ns0:v>944.6808510638298</ns0:v>
      </ns0:c>
    </ns0:row>
    <ns0:row r="36" ht="24" customHeight="1">
      <ns0:c r="A36" s="4" t="n">
        <ns0:v>2</ns0:v>
      </ns0:c>
      <ns0:c r="B36" s="4" t="n">
        <ns0:v>1</ns0:v>
      </ns0:c>
      <ns0:c r="C36" s="4" t="n">
        <ns0:v>1</ns0:v>
      </ns0:c>
      <ns0:c r="D36" s="12">
        <ns0:f>'前提と出典'!E53*(1-'前提と出典'!$B$21)</ns0:f>
        <ns0:v>0.07500000000000001</ns0:v>
      </ns0:c>
      <ns0:c r="E36" s="12">
        <ns0:f>ROUNDUP('前提と出典'!B53*'前提と出典'!$B$23,0)</ns0:f>
        <ns0:v>8</ns0:v>
      </ns0:c>
      <ns0:c r="F36" s="12">
        <ns0:f>'前提と出典'!A53</ns0:f>
        <ns0:v>3</ns0:v>
      </ns0:c>
      <ns0:c r="G36" s="12">
        <ns0:f>MAX(1,ROUNDUP(E36*'前提と出典'!$B$25*'前提と出典'!E12,0))</ns0:f>
        <ns0:v>4</ns0:v>
      </ns0:c>
      <ns0:c r="H36" s="4">
        <ns0:f>IF(AND(F36&gt;=1,F36&lt;=100),1,0)</ns0:f>
        <ns0:v>1</ns0:v>
      </ns0:c>
      <ns0:c r="I36" s="4">
        <ns0:f>IF(G36&lt;=50,1,0)</ns0:f>
        <ns0:v>1</ns0:v>
      </ns0:c>
      <ns0:c r="J36" s="4">
        <ns0:f>H36*I36</ns0:f>
        <ns0:v>1</ns0:v>
      </ns0:c>
      <ns0:c r="K36" s="12">
        <ns0:f>IF(A36='前提と出典'!$B$14,D36,0)</ns0:f>
        <ns0:v>0</ns0:v>
      </ns0:c>
      <ns0:c r="L36" s="12">
        <ns0:f>IF(H36=0,0,IF(F36&lt;=INDEX('前提と出典'!B41:B43,'前提と出典'!$B$15+1),INDEX('前提と出典'!C41:C43,'前提と出典'!$B$15+1),IF(F36&lt;=INDEX('前提と出典'!D41:D43,'前提と出典'!$B$15+1),INDEX('前提と出典'!E41:E43,'前提と出典'!$B$15+1),INDEX('前提と出典'!G41:G43,'前提と出典'!$B$15+1))))</ns0:f>
        <ns0:v>3500</ns0:v>
      </ns0:c>
      <ns0:c r="M36" s="12">
        <ns0:f>IF(H36=0,0,IF('前提と出典'!$B$33=1,MIN(F36,10)*300+MIN(MAX(0,F36-10),20)*250+MAX(0,F36-30)*200,F36*300))</ns0:f>
        <ns0:v>900</ns0:v>
      </ns0:c>
      <ns0:c r="N36" s="12">
        <ns0:f>IF(I36=0,0,IF(G36&lt;=INDEX('前提と出典'!B46:B48,'前提と出典'!$B$16+1),INDEX('前提と出典'!C46:C48,'前提と出典'!$B$16+1),IF(G36&lt;=INDEX('前提と出典'!D46:D48,'前提と出典'!$B$16+1),INDEX('前提と出典'!E46:E48,'前提と出典'!$B$16+1),IF(G36&lt;=INDEX('前提と出典'!F46:F48,'前提と出典'!$B$16+1),INDEX('前提と出典'!G46:G48,'前提と出典'!$B$16+1),INDEX('前提と出典'!I46:I48,'前提と出典'!$B$16+1)))))</ns0:f>
        <ns0:v>1200</ns0:v>
      </ns0:c>
      <ns0:c r="O36" s="12">
        <ns0:f>IF(I36=1,G36*'前提と出典'!$B$13,0)</ns0:f>
        <ns0:v>800</ns0:v>
      </ns0:c>
      <ns0:c r="P36" s="12">
        <ns0:f>IF(J36=1,MIN('前提と出典'!$B$17,L36+N36),0)</ns0:f>
        <ns0:v>1000</ns0:v>
      </ns0:c>
      <ns0:c r="Q36" s="12">
        <ns0:f>IF(J36=0,0,IF('前提と出典'!$B$19=0,P36*L36/(L36+N36),MIN(P36,L36)))</ns0:f>
        <ns0:v>744.6808510638298</ns0:v>
      </ns0:c>
      <ns0:c r="R36" s="4">
        <ns0:f>P36-Q36</ns0:f>
        <ns0:v>255.31914893617022</ns0:v>
      </ns0:c>
      <ns0:c r="S36" s="12">
        <ns0:f>IF(H36=1,'前提と出典'!$B$11+F36*'前提と出典'!$B$12,0)</ns0:f>
        <ns0:v>53</ns0:v>
      </ns0:c>
      <ns0:c r="T36" s="12">
        <ns0:f>IF(H36=1,('前提と出典'!$B$9+F36*'前提と出典'!$B$10)/60*'前提と出典'!$B$8,0)</ns0:f>
        <ns0:v>553.3333333333334</ns0:v>
      </ns0:c>
      <ns0:c r="U36" s="12">
        <ns0:f>IF(I36=1,INDEX('前提と出典'!B80:B83,'前提と出典'!$B$18+1)+G36*INDEX('前提と出典'!C80:C83,'前提と出典'!$B$18+1),0)</ns0:f>
        <ns0:v>129.08409791644823</ns0:v>
      </ns0:c>
      <ns0:c r="V36" s="12">
        <ns0:f>IF(I36=1,INDEX('前提と出典'!D80:D83,'前提と出典'!$B$18+1)+G36*INDEX('前提と出典'!E80:E83,'前提と出典'!$B$18+1),0)</ns0:f>
        <ns0:v>560</ns0:v>
      </ns0:c>
      <ns0:c r="W36" s="4">
        <ns0:f>L36-Q36</ns0:f>
        <ns0:v>2755.31914893617</ns0:v>
      </ns0:c>
      <ns0:c r="X36" s="4">
        <ns0:f>N36-R36</ns0:f>
        <ns0:v>944.6808510638298</ns0:v>
      </ns0:c>
    </ns0:row>
    <ns0:row r="37" ht="24" customHeight="1">
      <ns0:c r="A37" s="4" t="n">
        <ns0:v>2</ns0:v>
      </ns0:c>
      <ns0:c r="B37" s="4" t="n">
        <ns0:v>2</ns0:v>
      </ns0:c>
      <ns0:c r="C37" s="4" t="n">
        <ns0:v>0</ns0:v>
      </ns0:c>
      <ns0:c r="D37" s="12">
        <ns0:f>'前提と出典'!E54*'前提と出典'!$B$21</ns0:f>
        <ns0:v>0.175</ns0:v>
      </ns0:c>
      <ns0:c r="E37" s="12">
        <ns0:f>ROUNDUP('前提と出典'!B54*'前提と出典'!$B$22,0)</ns0:f>
        <ns0:v>38</ns0:v>
      </ns0:c>
      <ns0:c r="F37" s="12">
        <ns0:f>'前提と出典'!A54</ns0:f>
        <ns0:v>8</ns0:v>
      </ns0:c>
      <ns0:c r="G37" s="12">
        <ns0:f>MAX(1,ROUNDUP(E37*'前提と出典'!$B$24*'前提と出典'!E12,0))</ns0:f>
        <ns0:v>6</ns0:v>
      </ns0:c>
      <ns0:c r="H37" s="4">
        <ns0:f>IF(AND(F37&gt;=1,F37&lt;=100),1,0)</ns0:f>
        <ns0:v>1</ns0:v>
      </ns0:c>
      <ns0:c r="I37" s="4">
        <ns0:f>IF(G37&lt;=50,1,0)</ns0:f>
        <ns0:v>1</ns0:v>
      </ns0:c>
      <ns0:c r="J37" s="4">
        <ns0:f>H37*I37</ns0:f>
        <ns0:v>1</ns0:v>
      </ns0:c>
      <ns0:c r="K37" s="12">
        <ns0:f>IF(A37='前提と出典'!$B$14,D37,0)</ns0:f>
        <ns0:v>0</ns0:v>
      </ns0:c>
      <ns0:c r="L37" s="12">
        <ns0:f>IF(H37=0,0,IF(F37&lt;=INDEX('前提と出典'!B41:B43,'前提と出典'!$B$15+1),INDEX('前提と出典'!C41:C43,'前提と出典'!$B$15+1),IF(F37&lt;=INDEX('前提と出典'!D41:D43,'前提と出典'!$B$15+1),INDEX('前提と出典'!E41:E43,'前提と出典'!$B$15+1),INDEX('前提と出典'!G41:G43,'前提と出典'!$B$15+1))))</ns0:f>
        <ns0:v>3500</ns0:v>
      </ns0:c>
      <ns0:c r="M37" s="12">
        <ns0:f>IF(H37=0,0,IF('前提と出典'!$B$33=1,MIN(F37,10)*300+MIN(MAX(0,F37-10),20)*250+MAX(0,F37-30)*200,F37*300))</ns0:f>
        <ns0:v>2400</ns0:v>
      </ns0:c>
      <ns0:c r="N37" s="12">
        <ns0:f>IF(I37=0,0,IF(G37&lt;=INDEX('前提と出典'!B46:B48,'前提と出典'!$B$16+1),INDEX('前提と出典'!C46:C48,'前提と出典'!$B$16+1),IF(G37&lt;=INDEX('前提と出典'!D46:D48,'前提と出典'!$B$16+1),INDEX('前提と出典'!E46:E48,'前提と出典'!$B$16+1),IF(G37&lt;=INDEX('前提と出典'!F46:F48,'前提と出典'!$B$16+1),INDEX('前提と出典'!G46:G48,'前提と出典'!$B$16+1),INDEX('前提と出典'!I46:I48,'前提と出典'!$B$16+1)))))</ns0:f>
        <ns0:v>1200</ns0:v>
      </ns0:c>
      <ns0:c r="O37" s="12">
        <ns0:f>IF(I37=1,G37*'前提と出典'!$B$13,0)</ns0:f>
        <ns0:v>1200</ns0:v>
      </ns0:c>
      <ns0:c r="P37" s="12">
        <ns0:f>IF(J37=1,MIN('前提と出典'!$B$17,L37+N37),0)</ns0:f>
        <ns0:v>1000</ns0:v>
      </ns0:c>
      <ns0:c r="Q37" s="12">
        <ns0:f>IF(J37=0,0,IF('前提と出典'!$B$19=0,P37*L37/(L37+N37),MIN(P37,L37)))</ns0:f>
        <ns0:v>744.6808510638298</ns0:v>
      </ns0:c>
      <ns0:c r="R37" s="4">
        <ns0:f>P37-Q37</ns0:f>
        <ns0:v>255.31914893617022</ns0:v>
      </ns0:c>
      <ns0:c r="S37" s="12">
        <ns0:f>IF(H37=1,'前提と出典'!$B$11+F37*'前提と出典'!$B$12,0)</ns0:f>
        <ns0:v>58</ns0:v>
      </ns0:c>
      <ns0:c r="T37" s="12">
        <ns0:f>IF(H37=1,('前提と出典'!$B$9+F37*'前提と出典'!$B$10)/60*'前提と出典'!$B$8,0)</ns0:f>
        <ns0:v>586.6666666666666</ns0:v>
      </ns0:c>
      <ns0:c r="U37" s="12">
        <ns0:f>IF(I37=1,INDEX('前提と出典'!B80:B83,'前提と出典'!$B$18+1)+G37*INDEX('前提と出典'!C80:C83,'前提と出典'!$B$18+1),0)</ns0:f>
        <ns0:v>168.62614687467237</ns0:v>
      </ns0:c>
      <ns0:c r="V37" s="12">
        <ns0:f>IF(I37=1,INDEX('前提と出典'!D80:D83,'前提と出典'!$B$18+1)+G37*INDEX('前提と出典'!E80:E83,'前提と出典'!$B$18+1),0)</ns0:f>
        <ns0:v>573.3333333333334</ns0:v>
      </ns0:c>
      <ns0:c r="W37" s="4">
        <ns0:f>L37-Q37</ns0:f>
        <ns0:v>2755.31914893617</ns0:v>
      </ns0:c>
      <ns0:c r="X37" s="4">
        <ns0:f>N37-R37</ns0:f>
        <ns0:v>944.6808510638298</ns0:v>
      </ns0:c>
    </ns0:row>
    <ns0:row r="38" ht="24" customHeight="1">
      <ns0:c r="A38" s="4" t="n">
        <ns0:v>2</ns0:v>
      </ns0:c>
      <ns0:c r="B38" s="4" t="n">
        <ns0:v>2</ns0:v>
      </ns0:c>
      <ns0:c r="C38" s="4" t="n">
        <ns0:v>1</ns0:v>
      </ns0:c>
      <ns0:c r="D38" s="12">
        <ns0:f>'前提と出典'!E54*(1-'前提と出典'!$B$21)</ns0:f>
        <ns0:v>0.07500000000000001</ns0:v>
      </ns0:c>
      <ns0:c r="E38" s="12">
        <ns0:f>ROUNDUP('前提と出典'!B54*'前提と出典'!$B$23,0)</ns0:f>
        <ns0:v>19</ns0:v>
      </ns0:c>
      <ns0:c r="F38" s="12">
        <ns0:f>'前提と出典'!A54</ns0:f>
        <ns0:v>8</ns0:v>
      </ns0:c>
      <ns0:c r="G38" s="12">
        <ns0:f>MAX(1,ROUNDUP(E38*'前提と出典'!$B$25*'前提と出典'!E12,0))</ns0:f>
        <ns0:v>9</ns0:v>
      </ns0:c>
      <ns0:c r="H38" s="4">
        <ns0:f>IF(AND(F38&gt;=1,F38&lt;=100),1,0)</ns0:f>
        <ns0:v>1</ns0:v>
      </ns0:c>
      <ns0:c r="I38" s="4">
        <ns0:f>IF(G38&lt;=50,1,0)</ns0:f>
        <ns0:v>1</ns0:v>
      </ns0:c>
      <ns0:c r="J38" s="4">
        <ns0:f>H38*I38</ns0:f>
        <ns0:v>1</ns0:v>
      </ns0:c>
      <ns0:c r="K38" s="12">
        <ns0:f>IF(A38='前提と出典'!$B$14,D38,0)</ns0:f>
        <ns0:v>0</ns0:v>
      </ns0:c>
      <ns0:c r="L38" s="12">
        <ns0:f>IF(H38=0,0,IF(F38&lt;=INDEX('前提と出典'!B41:B43,'前提と出典'!$B$15+1),INDEX('前提と出典'!C41:C43,'前提と出典'!$B$15+1),IF(F38&lt;=INDEX('前提と出典'!D41:D43,'前提と出典'!$B$15+1),INDEX('前提と出典'!E41:E43,'前提と出典'!$B$15+1),INDEX('前提と出典'!G41:G43,'前提と出典'!$B$15+1))))</ns0:f>
        <ns0:v>3500</ns0:v>
      </ns0:c>
      <ns0:c r="M38" s="12">
        <ns0:f>IF(H38=0,0,IF('前提と出典'!$B$33=1,MIN(F38,10)*300+MIN(MAX(0,F38-10),20)*250+MAX(0,F38-30)*200,F38*300))</ns0:f>
        <ns0:v>2400</ns0:v>
      </ns0:c>
      <ns0:c r="N38" s="12">
        <ns0:f>IF(I38=0,0,IF(G38&lt;=INDEX('前提と出典'!B46:B48,'前提と出典'!$B$16+1),INDEX('前提と出典'!C46:C48,'前提と出典'!$B$16+1),IF(G38&lt;=INDEX('前提と出典'!D46:D48,'前提と出典'!$B$16+1),INDEX('前提と出典'!E46:E48,'前提と出典'!$B$16+1),IF(G38&lt;=INDEX('前提と出典'!F46:F48,'前提と出典'!$B$16+1),INDEX('前提と出典'!G46:G48,'前提と出典'!$B$16+1),INDEX('前提と出典'!I46:I48,'前提と出典'!$B$16+1)))))</ns0:f>
        <ns0:v>1200</ns0:v>
      </ns0:c>
      <ns0:c r="O38" s="12">
        <ns0:f>IF(I38=1,G38*'前提と出典'!$B$13,0)</ns0:f>
        <ns0:v>1800</ns0:v>
      </ns0:c>
      <ns0:c r="P38" s="12">
        <ns0:f>IF(J38=1,MIN('前提と出典'!$B$17,L38+N38),0)</ns0:f>
        <ns0:v>1000</ns0:v>
      </ns0:c>
      <ns0:c r="Q38" s="12">
        <ns0:f>IF(J38=0,0,IF('前提と出典'!$B$19=0,P38*L38/(L38+N38),MIN(P38,L38)))</ns0:f>
        <ns0:v>744.6808510638298</ns0:v>
      </ns0:c>
      <ns0:c r="R38" s="4">
        <ns0:f>P38-Q38</ns0:f>
        <ns0:v>255.31914893617022</ns0:v>
      </ns0:c>
      <ns0:c r="S38" s="12">
        <ns0:f>IF(H38=1,'前提と出典'!$B$11+F38*'前提と出典'!$B$12,0)</ns0:f>
        <ns0:v>58</ns0:v>
      </ns0:c>
      <ns0:c r="T38" s="12">
        <ns0:f>IF(H38=1,('前提と出典'!$B$9+F38*'前提と出典'!$B$10)/60*'前提と出典'!$B$8,0)</ns0:f>
        <ns0:v>586.6666666666666</ns0:v>
      </ns0:c>
      <ns0:c r="U38" s="12">
        <ns0:f>IF(I38=1,INDEX('前提と出典'!B80:B83,'前提と出典'!$B$18+1)+G38*INDEX('前提と出典'!C80:C83,'前提と出典'!$B$18+1),0)</ns0:f>
        <ns0:v>227.93922031200856</ns0:v>
      </ns0:c>
      <ns0:c r="V38" s="12">
        <ns0:f>IF(I38=1,INDEX('前提と出典'!D80:D83,'前提と出典'!$B$18+1)+G38*INDEX('前提と出典'!E80:E83,'前提と出典'!$B$18+1),0)</ns0:f>
        <ns0:v>593.3333333333334</ns0:v>
      </ns0:c>
      <ns0:c r="W38" s="4">
        <ns0:f>L38-Q38</ns0:f>
        <ns0:v>2755.31914893617</ns0:v>
      </ns0:c>
      <ns0:c r="X38" s="4">
        <ns0:f>N38-R38</ns0:f>
        <ns0:v>944.6808510638298</ns0:v>
      </ns0:c>
    </ns0:row>
    <ns0:row r="39" ht="24" customHeight="1">
      <ns0:c r="A39" s="4" t="n">
        <ns0:v>2</ns0:v>
      </ns0:c>
      <ns0:c r="B39" s="4" t="n">
        <ns0:v>3</ns0:v>
      </ns0:c>
      <ns0:c r="C39" s="4" t="n">
        <ns0:v>0</ns0:v>
      </ns0:c>
      <ns0:c r="D39" s="12">
        <ns0:f>'前提と出典'!E55*'前提と出典'!$B$21</ns0:f>
        <ns0:v>0.21</ns0:v>
      </ns0:c>
      <ns0:c r="E39" s="12">
        <ns0:f>ROUNDUP('前提と出典'!B55*'前提と出典'!$B$22,0)</ns0:f>
        <ns0:v>90</ns0:v>
      </ns0:c>
      <ns0:c r="F39" s="12">
        <ns0:f>'前提と出典'!A55</ns0:f>
        <ns0:v>18</ns0:v>
      </ns0:c>
      <ns0:c r="G39" s="12">
        <ns0:f>MAX(1,ROUNDUP(E39*'前提と出典'!$B$24*'前提と出典'!E12,0))</ns0:f>
        <ns0:v>14</ns0:v>
      </ns0:c>
      <ns0:c r="H39" s="4">
        <ns0:f>IF(AND(F39&gt;=1,F39&lt;=100),1,0)</ns0:f>
        <ns0:v>1</ns0:v>
      </ns0:c>
      <ns0:c r="I39" s="4">
        <ns0:f>IF(G39&lt;=50,1,0)</ns0:f>
        <ns0:v>1</ns0:v>
      </ns0:c>
      <ns0:c r="J39" s="4">
        <ns0:f>H39*I39</ns0:f>
        <ns0:v>1</ns0:v>
      </ns0:c>
      <ns0:c r="K39" s="12">
        <ns0:f>IF(A39='前提と出典'!$B$14,D39,0)</ns0:f>
        <ns0:v>0</ns0:v>
      </ns0:c>
      <ns0:c r="L39" s="12">
        <ns0:f>IF(H39=0,0,IF(F39&lt;=INDEX('前提と出典'!B41:B43,'前提と出典'!$B$15+1),INDEX('前提と出典'!C41:C43,'前提と出典'!$B$15+1),IF(F39&lt;=INDEX('前提と出典'!D41:D43,'前提と出典'!$B$15+1),INDEX('前提と出典'!E41:E43,'前提と出典'!$B$15+1),INDEX('前提と出典'!G41:G43,'前提と出典'!$B$15+1))))</ns0:f>
        <ns0:v>5000</ns0:v>
      </ns0:c>
      <ns0:c r="M39" s="12">
        <ns0:f>IF(H39=0,0,IF('前提と出典'!$B$33=1,MIN(F39,10)*300+MIN(MAX(0,F39-10),20)*250+MAX(0,F39-30)*200,F39*300))</ns0:f>
        <ns0:v>5000</ns0:v>
      </ns0:c>
      <ns0:c r="N39" s="12">
        <ns0:f>IF(I39=0,0,IF(G39&lt;=INDEX('前提と出典'!B46:B48,'前提と出典'!$B$16+1),INDEX('前提と出典'!C46:C48,'前提と出典'!$B$16+1),IF(G39&lt;=INDEX('前提と出典'!D46:D48,'前提と出典'!$B$16+1),INDEX('前提と出典'!E46:E48,'前提と出典'!$B$16+1),IF(G39&lt;=INDEX('前提と出典'!F46:F48,'前提と出典'!$B$16+1),INDEX('前提と出典'!G46:G48,'前提と出典'!$B$16+1),INDEX('前提と出典'!I46:I48,'前提と出典'!$B$16+1)))))</ns0:f>
        <ns0:v>2500</ns0:v>
      </ns0:c>
      <ns0:c r="O39" s="12">
        <ns0:f>IF(I39=1,G39*'前提と出典'!$B$13,0)</ns0:f>
        <ns0:v>2800</ns0:v>
      </ns0:c>
      <ns0:c r="P39" s="12">
        <ns0:f>IF(J39=1,MIN('前提と出典'!$B$17,L39+N39),0)</ns0:f>
        <ns0:v>1000</ns0:v>
      </ns0:c>
      <ns0:c r="Q39" s="12">
        <ns0:f>IF(J39=0,0,IF('前提と出典'!$B$19=0,P39*L39/(L39+N39),MIN(P39,L39)))</ns0:f>
        <ns0:v>666.6666666666666</ns0:v>
      </ns0:c>
      <ns0:c r="R39" s="4">
        <ns0:f>P39-Q39</ns0:f>
        <ns0:v>333.33333333333337</ns0:v>
      </ns0:c>
      <ns0:c r="S39" s="12">
        <ns0:f>IF(H39=1,'前提と出典'!$B$11+F39*'前提と出典'!$B$12,0)</ns0:f>
        <ns0:v>68</ns0:v>
      </ns0:c>
      <ns0:c r="T39" s="12">
        <ns0:f>IF(H39=1,('前提と出典'!$B$9+F39*'前提と出典'!$B$10)/60*'前提と出典'!$B$8,0)</ns0:f>
        <ns0:v>653.3333333333335</ns0:v>
      </ns0:c>
      <ns0:c r="U39" s="12">
        <ns0:f>IF(I39=1,INDEX('前提と出典'!B80:B83,'前提と出典'!$B$18+1)+G39*INDEX('前提と出典'!C80:C83,'前提と出典'!$B$18+1),0)</ns0:f>
        <ns0:v>326.79434270756883</ns0:v>
      </ns0:c>
      <ns0:c r="V39" s="12">
        <ns0:f>IF(I39=1,INDEX('前提と出典'!D80:D83,'前提と出典'!$B$18+1)+G39*INDEX('前提と出典'!E80:E83,'前提と出典'!$B$18+1),0)</ns0:f>
        <ns0:v>626.6666666666667</ns0:v>
      </ns0:c>
      <ns0:c r="W39" s="4">
        <ns0:f>L39-Q39</ns0:f>
        <ns0:v>4333.333333333333</ns0:v>
      </ns0:c>
      <ns0:c r="X39" s="4">
        <ns0:f>N39-R39</ns0:f>
        <ns0:v>2166.6666666666665</ns0:v>
      </ns0:c>
    </ns0:row>
    <ns0:row r="40" ht="24" customHeight="1">
      <ns0:c r="A40" s="4" t="n">
        <ns0:v>2</ns0:v>
      </ns0:c>
      <ns0:c r="B40" s="4" t="n">
        <ns0:v>3</ns0:v>
      </ns0:c>
      <ns0:c r="C40" s="4" t="n">
        <ns0:v>1</ns0:v>
      </ns0:c>
      <ns0:c r="D40" s="12">
        <ns0:f>'前提と出典'!E55*(1-'前提と出典'!$B$21)</ns0:f>
        <ns0:v>0.09000000000000001</ns0:v>
      </ns0:c>
      <ns0:c r="E40" s="12">
        <ns0:f>ROUNDUP('前提と出典'!B55*'前提と出典'!$B$23,0)</ns0:f>
        <ns0:v>45</ns0:v>
      </ns0:c>
      <ns0:c r="F40" s="12">
        <ns0:f>'前提と出典'!A55</ns0:f>
        <ns0:v>18</ns0:v>
      </ns0:c>
      <ns0:c r="G40" s="12">
        <ns0:f>MAX(1,ROUNDUP(E40*'前提と出典'!$B$25*'前提と出典'!E12,0))</ns0:f>
        <ns0:v>21</ns0:v>
      </ns0:c>
      <ns0:c r="H40" s="4">
        <ns0:f>IF(AND(F40&gt;=1,F40&lt;=100),1,0)</ns0:f>
        <ns0:v>1</ns0:v>
      </ns0:c>
      <ns0:c r="I40" s="4">
        <ns0:f>IF(G40&lt;=50,1,0)</ns0:f>
        <ns0:v>1</ns0:v>
      </ns0:c>
      <ns0:c r="J40" s="4">
        <ns0:f>H40*I40</ns0:f>
        <ns0:v>1</ns0:v>
      </ns0:c>
      <ns0:c r="K40" s="12">
        <ns0:f>IF(A40='前提と出典'!$B$14,D40,0)</ns0:f>
        <ns0:v>0</ns0:v>
      </ns0:c>
      <ns0:c r="L40" s="12">
        <ns0:f>IF(H40=0,0,IF(F40&lt;=INDEX('前提と出典'!B41:B43,'前提と出典'!$B$15+1),INDEX('前提と出典'!C41:C43,'前提と出典'!$B$15+1),IF(F40&lt;=INDEX('前提と出典'!D41:D43,'前提と出典'!$B$15+1),INDEX('前提と出典'!E41:E43,'前提と出典'!$B$15+1),INDEX('前提と出典'!G41:G43,'前提と出典'!$B$15+1))))</ns0:f>
        <ns0:v>5000</ns0:v>
      </ns0:c>
      <ns0:c r="M40" s="12">
        <ns0:f>IF(H40=0,0,IF('前提と出典'!$B$33=1,MIN(F40,10)*300+MIN(MAX(0,F40-10),20)*250+MAX(0,F40-30)*200,F40*300))</ns0:f>
        <ns0:v>5000</ns0:v>
      </ns0:c>
      <ns0:c r="N40" s="12">
        <ns0:f>IF(I40=0,0,IF(G40&lt;=INDEX('前提と出典'!B46:B48,'前提と出典'!$B$16+1),INDEX('前提と出典'!C46:C48,'前提と出典'!$B$16+1),IF(G40&lt;=INDEX('前提と出典'!D46:D48,'前提と出典'!$B$16+1),INDEX('前提と出典'!E46:E48,'前提と出典'!$B$16+1),IF(G40&lt;=INDEX('前提と出典'!F46:F48,'前提と出典'!$B$16+1),INDEX('前提と出典'!G46:G48,'前提と出典'!$B$16+1),INDEX('前提と出典'!I46:I48,'前提と出典'!$B$16+1)))))</ns0:f>
        <ns0:v>2500</ns0:v>
      </ns0:c>
      <ns0:c r="O40" s="12">
        <ns0:f>IF(I40=1,G40*'前提と出典'!$B$13,0)</ns0:f>
        <ns0:v>4200</ns0:v>
      </ns0:c>
      <ns0:c r="P40" s="12">
        <ns0:f>IF(J40=1,MIN('前提と出典'!$B$17,L40+N40),0)</ns0:f>
        <ns0:v>1000</ns0:v>
      </ns0:c>
      <ns0:c r="Q40" s="12">
        <ns0:f>IF(J40=0,0,IF('前提と出典'!$B$19=0,P40*L40/(L40+N40),MIN(P40,L40)))</ns0:f>
        <ns0:v>666.6666666666666</ns0:v>
      </ns0:c>
      <ns0:c r="R40" s="4">
        <ns0:f>P40-Q40</ns0:f>
        <ns0:v>333.33333333333337</ns0:v>
      </ns0:c>
      <ns0:c r="S40" s="12">
        <ns0:f>IF(H40=1,'前提と出典'!$B$11+F40*'前提と出典'!$B$12,0)</ns0:f>
        <ns0:v>68</ns0:v>
      </ns0:c>
      <ns0:c r="T40" s="12">
        <ns0:f>IF(H40=1,('前提と出典'!$B$9+F40*'前提と出典'!$B$10)/60*'前提と出典'!$B$8,0)</ns0:f>
        <ns0:v>653.3333333333335</ns0:v>
      </ns0:c>
      <ns0:c r="U40" s="12">
        <ns0:f>IF(I40=1,INDEX('前提と出典'!B80:B83,'前提と出典'!$B$18+1)+G40*INDEX('前提と出典'!C80:C83,'前提と出典'!$B$18+1),0)</ns0:f>
        <ns0:v>465.1915140613533</ns0:v>
      </ns0:c>
      <ns0:c r="V40" s="12">
        <ns0:f>IF(I40=1,INDEX('前提と出典'!D80:D83,'前提と出典'!$B$18+1)+G40*INDEX('前提と出典'!E80:E83,'前提と出典'!$B$18+1),0)</ns0:f>
        <ns0:v>673.3333333333334</ns0:v>
      </ns0:c>
      <ns0:c r="W40" s="4">
        <ns0:f>L40-Q40</ns0:f>
        <ns0:v>4333.333333333333</ns0:v>
      </ns0:c>
      <ns0:c r="X40" s="4">
        <ns0:f>N40-R40</ns0:f>
        <ns0:v>2166.6666666666665</ns0:v>
      </ns0:c>
    </ns0:row>
    <ns0:row r="41" ht="24" customHeight="1">
      <ns0:c r="A41" s="4" t="n">
        <ns0:v>2</ns0:v>
      </ns0:c>
      <ns0:c r="B41" s="4" t="n">
        <ns0:v>4</ns0:v>
      </ns0:c>
      <ns0:c r="C41" s="4" t="n">
        <ns0:v>0</ns0:v>
      </ns0:c>
      <ns0:c r="D41" s="12">
        <ns0:f>'前提と出典'!E56*'前提と出典'!$B$21</ns0:f>
        <ns0:v>0.063</ns0:v>
      </ns0:c>
      <ns0:c r="E41" s="12">
        <ns0:f>ROUNDUP('前提と出典'!B56*'前提と出典'!$B$22,0)</ns0:f>
        <ns0:v>180</ns0:v>
      </ns0:c>
      <ns0:c r="F41" s="12">
        <ns0:f>'前提と出典'!A56</ns0:f>
        <ns0:v>40</ns0:v>
      </ns0:c>
      <ns0:c r="G41" s="12">
        <ns0:f>MAX(1,ROUNDUP(E41*'前提と出典'!$B$24*'前提と出典'!E12,0))</ns0:f>
        <ns0:v>27</ns0:v>
      </ns0:c>
      <ns0:c r="H41" s="4">
        <ns0:f>IF(AND(F41&gt;=1,F41&lt;=100),1,0)</ns0:f>
        <ns0:v>1</ns0:v>
      </ns0:c>
      <ns0:c r="I41" s="4">
        <ns0:f>IF(G41&lt;=50,1,0)</ns0:f>
        <ns0:v>1</ns0:v>
      </ns0:c>
      <ns0:c r="J41" s="4">
        <ns0:f>H41*I41</ns0:f>
        <ns0:v>1</ns0:v>
      </ns0:c>
      <ns0:c r="K41" s="12">
        <ns0:f>IF(A41='前提と出典'!$B$14,D41,0)</ns0:f>
        <ns0:v>0</ns0:v>
      </ns0:c>
      <ns0:c r="L41" s="12">
        <ns0:f>IF(H41=0,0,IF(F41&lt;=INDEX('前提と出典'!B41:B43,'前提と出典'!$B$15+1),INDEX('前提と出典'!C41:C43,'前提と出典'!$B$15+1),IF(F41&lt;=INDEX('前提と出典'!D41:D43,'前提と出典'!$B$15+1),INDEX('前提と出典'!E41:E43,'前提と出典'!$B$15+1),INDEX('前提と出典'!G41:G43,'前提と出典'!$B$15+1))))</ns0:f>
        <ns0:v>5000</ns0:v>
      </ns0:c>
      <ns0:c r="M41" s="12">
        <ns0:f>IF(H41=0,0,IF('前提と出典'!$B$33=1,MIN(F41,10)*300+MIN(MAX(0,F41-10),20)*250+MAX(0,F41-30)*200,F41*300))</ns0:f>
        <ns0:v>10000</ns0:v>
      </ns0:c>
      <ns0:c r="N41" s="12">
        <ns0:f>IF(I41=0,0,IF(G41&lt;=INDEX('前提と出典'!B46:B48,'前提と出典'!$B$16+1),INDEX('前提と出典'!C46:C48,'前提と出典'!$B$16+1),IF(G41&lt;=INDEX('前提と出典'!D46:D48,'前提と出典'!$B$16+1),INDEX('前提と出典'!E46:E48,'前提と出典'!$B$16+1),IF(G41&lt;=INDEX('前提と出典'!F46:F48,'前提と出典'!$B$16+1),INDEX('前提と出典'!G46:G48,'前提と出典'!$B$16+1),INDEX('前提と出典'!I46:I48,'前提と出典'!$B$16+1)))))</ns0:f>
        <ns0:v>2500</ns0:v>
      </ns0:c>
      <ns0:c r="O41" s="12">
        <ns0:f>IF(I41=1,G41*'前提と出典'!$B$13,0)</ns0:f>
        <ns0:v>5400</ns0:v>
      </ns0:c>
      <ns0:c r="P41" s="12">
        <ns0:f>IF(J41=1,MIN('前提と出典'!$B$17,L41+N41),0)</ns0:f>
        <ns0:v>1000</ns0:v>
      </ns0:c>
      <ns0:c r="Q41" s="12">
        <ns0:f>IF(J41=0,0,IF('前提と出典'!$B$19=0,P41*L41/(L41+N41),MIN(P41,L41)))</ns0:f>
        <ns0:v>666.6666666666666</ns0:v>
      </ns0:c>
      <ns0:c r="R41" s="4">
        <ns0:f>P41-Q41</ns0:f>
        <ns0:v>333.33333333333337</ns0:v>
      </ns0:c>
      <ns0:c r="S41" s="12">
        <ns0:f>IF(H41=1,'前提と出典'!$B$11+F41*'前提と出典'!$B$12,0)</ns0:f>
        <ns0:v>90</ns0:v>
      </ns0:c>
      <ns0:c r="T41" s="12">
        <ns0:f>IF(H41=1,('前提と出典'!$B$9+F41*'前提と出典'!$B$10)/60*'前提と出典'!$B$8,0)</ns0:f>
        <ns0:v>800</ns0:v>
      </ns0:c>
      <ns0:c r="U41" s="12">
        <ns0:f>IF(I41=1,INDEX('前提と出典'!B80:B83,'前提と出典'!$B$18+1)+G41*INDEX('前提と出典'!C80:C83,'前提と出典'!$B$18+1),0)</ns0:f>
        <ns0:v>583.8176609360256</ns0:v>
      </ns0:c>
      <ns0:c r="V41" s="12">
        <ns0:f>IF(I41=1,INDEX('前提と出典'!D80:D83,'前提と出典'!$B$18+1)+G41*INDEX('前提と出典'!E80:E83,'前提と出典'!$B$18+1),0)</ns0:f>
        <ns0:v>713.3333333333333</ns0:v>
      </ns0:c>
      <ns0:c r="W41" s="4">
        <ns0:f>L41-Q41</ns0:f>
        <ns0:v>4333.333333333333</ns0:v>
      </ns0:c>
      <ns0:c r="X41" s="4">
        <ns0:f>N41-R41</ns0:f>
        <ns0:v>2166.6666666666665</ns0:v>
      </ns0:c>
    </ns0:row>
    <ns0:row r="42" ht="24" customHeight="1">
      <ns0:c r="A42" s="4" t="n">
        <ns0:v>2</ns0:v>
      </ns0:c>
      <ns0:c r="B42" s="4" t="n">
        <ns0:v>4</ns0:v>
      </ns0:c>
      <ns0:c r="C42" s="4" t="n">
        <ns0:v>1</ns0:v>
      </ns0:c>
      <ns0:c r="D42" s="12">
        <ns0:f>'前提と出典'!E56*(1-'前提と出典'!$B$21)</ns0:f>
        <ns0:v>0.027000000000000003</ns0:v>
      </ns0:c>
      <ns0:c r="E42" s="12">
        <ns0:f>ROUNDUP('前提と出典'!B56*'前提と出典'!$B$23,0)</ns0:f>
        <ns0:v>90</ns0:v>
      </ns0:c>
      <ns0:c r="F42" s="12">
        <ns0:f>'前提と出典'!A56</ns0:f>
        <ns0:v>40</ns0:v>
      </ns0:c>
      <ns0:c r="G42" s="12">
        <ns0:f>MAX(1,ROUNDUP(E42*'前提と出典'!$B$25*'前提と出典'!E12,0))</ns0:f>
        <ns0:v>41</ns0:v>
      </ns0:c>
      <ns0:c r="H42" s="4">
        <ns0:f>IF(AND(F42&gt;=1,F42&lt;=100),1,0)</ns0:f>
        <ns0:v>1</ns0:v>
      </ns0:c>
      <ns0:c r="I42" s="4">
        <ns0:f>IF(G42&lt;=50,1,0)</ns0:f>
        <ns0:v>1</ns0:v>
      </ns0:c>
      <ns0:c r="J42" s="4">
        <ns0:f>H42*I42</ns0:f>
        <ns0:v>1</ns0:v>
      </ns0:c>
      <ns0:c r="K42" s="12">
        <ns0:f>IF(A42='前提と出典'!$B$14,D42,0)</ns0:f>
        <ns0:v>0</ns0:v>
      </ns0:c>
      <ns0:c r="L42" s="12">
        <ns0:f>IF(H42=0,0,IF(F42&lt;=INDEX('前提と出典'!B41:B43,'前提と出典'!$B$15+1),INDEX('前提と出典'!C41:C43,'前提と出典'!$B$15+1),IF(F42&lt;=INDEX('前提と出典'!D41:D43,'前提と出典'!$B$15+1),INDEX('前提と出典'!E41:E43,'前提と出典'!$B$15+1),INDEX('前提と出典'!G41:G43,'前提と出典'!$B$15+1))))</ns0:f>
        <ns0:v>5000</ns0:v>
      </ns0:c>
      <ns0:c r="M42" s="12">
        <ns0:f>IF(H42=0,0,IF('前提と出典'!$B$33=1,MIN(F42,10)*300+MIN(MAX(0,F42-10),20)*250+MAX(0,F42-30)*200,F42*300))</ns0:f>
        <ns0:v>10000</ns0:v>
      </ns0:c>
      <ns0:c r="N42" s="12">
        <ns0:f>IF(I42=0,0,IF(G42&lt;=INDEX('前提と出典'!B46:B48,'前提と出典'!$B$16+1),INDEX('前提と出典'!C46:C48,'前提と出典'!$B$16+1),IF(G42&lt;=INDEX('前提と出典'!D46:D48,'前提と出典'!$B$16+1),INDEX('前提と出典'!E46:E48,'前提と出典'!$B$16+1),IF(G42&lt;=INDEX('前提と出典'!F46:F48,'前提と出典'!$B$16+1),INDEX('前提と出典'!G46:G48,'前提と出典'!$B$16+1),INDEX('前提と出典'!I46:I48,'前提と出典'!$B$16+1)))))</ns0:f>
        <ns0:v>2500</ns0:v>
      </ns0:c>
      <ns0:c r="O42" s="12">
        <ns0:f>IF(I42=1,G42*'前提と出典'!$B$13,0)</ns0:f>
        <ns0:v>8200</ns0:v>
      </ns0:c>
      <ns0:c r="P42" s="12">
        <ns0:f>IF(J42=1,MIN('前提と出典'!$B$17,L42+N42),0)</ns0:f>
        <ns0:v>1000</ns0:v>
      </ns0:c>
      <ns0:c r="Q42" s="12">
        <ns0:f>IF(J42=0,0,IF('前提と出典'!$B$19=0,P42*L42/(L42+N42),MIN(P42,L42)))</ns0:f>
        <ns0:v>666.6666666666666</ns0:v>
      </ns0:c>
      <ns0:c r="R42" s="4">
        <ns0:f>P42-Q42</ns0:f>
        <ns0:v>333.33333333333337</ns0:v>
      </ns0:c>
      <ns0:c r="S42" s="12">
        <ns0:f>IF(H42=1,'前提と出典'!$B$11+F42*'前提と出典'!$B$12,0)</ns0:f>
        <ns0:v>90</ns0:v>
      </ns0:c>
      <ns0:c r="T42" s="12">
        <ns0:f>IF(H42=1,('前提と出典'!$B$9+F42*'前提と出典'!$B$10)/60*'前提と出典'!$B$8,0)</ns0:f>
        <ns0:v>800</ns0:v>
      </ns0:c>
      <ns0:c r="U42" s="12">
        <ns0:f>IF(I42=1,INDEX('前提と出典'!B80:B83,'前提と出典'!$B$18+1)+G42*INDEX('前提と出典'!C80:C83,'前提と出典'!$B$18+1),0)</ns0:f>
        <ns0:v>860.6120036435944</ns0:v>
      </ns0:c>
      <ns0:c r="V42" s="12">
        <ns0:f>IF(I42=1,INDEX('前提と出典'!D80:D83,'前提と出典'!$B$18+1)+G42*INDEX('前提と出典'!E80:E83,'前提と出典'!$B$18+1),0)</ns0:f>
        <ns0:v>806.6666666666667</ns0:v>
      </ns0:c>
      <ns0:c r="W42" s="4">
        <ns0:f>L42-Q42</ns0:f>
        <ns0:v>4333.333333333333</ns0:v>
      </ns0:c>
      <ns0:c r="X42" s="4">
        <ns0:f>N42-R42</ns0:f>
        <ns0:v>2166.6666666666665</ns0:v>
      </ns0:c>
    </ns0:row>
    <ns0:row r="43" ht="24" customHeight="1">
      <ns0:c r="A43" s="4" t="n">
        <ns0:v>2</ns0:v>
      </ns0:c>
      <ns0:c r="B43" s="4" t="n">
        <ns0:v>5</ns0:v>
      </ns0:c>
      <ns0:c r="C43" s="4" t="n">
        <ns0:v>0</ns0:v>
      </ns0:c>
      <ns0:c r="D43" s="12">
        <ns0:f>'前提と出典'!E57*'前提と出典'!$B$21</ns0:f>
        <ns0:v>0.027999999999999997</ns0:v>
      </ns0:c>
      <ns0:c r="E43" s="12">
        <ns0:f>ROUNDUP('前提と出典'!B57*'前提と出典'!$B$22,0)</ns0:f>
        <ns0:v>300</ns0:v>
      </ns0:c>
      <ns0:c r="F43" s="12">
        <ns0:f>'前提と出典'!A57</ns0:f>
        <ns0:v>70</ns0:v>
      </ns0:c>
      <ns0:c r="G43" s="12">
        <ns0:f>MAX(1,ROUNDUP(E43*'前提と出典'!$B$24*'前提と出典'!E12,0))</ns0:f>
        <ns0:v>45</ns0:v>
      </ns0:c>
      <ns0:c r="H43" s="4">
        <ns0:f>IF(AND(F43&gt;=1,F43&lt;=100),1,0)</ns0:f>
        <ns0:v>1</ns0:v>
      </ns0:c>
      <ns0:c r="I43" s="4">
        <ns0:f>IF(G43&lt;=50,1,0)</ns0:f>
        <ns0:v>1</ns0:v>
      </ns0:c>
      <ns0:c r="J43" s="4">
        <ns0:f>H43*I43</ns0:f>
        <ns0:v>1</ns0:v>
      </ns0:c>
      <ns0:c r="K43" s="12">
        <ns0:f>IF(A43='前提と出典'!$B$14,D43,0)</ns0:f>
        <ns0:v>0</ns0:v>
      </ns0:c>
      <ns0:c r="L43" s="12">
        <ns0:f>IF(H43=0,0,IF(F43&lt;=INDEX('前提と出典'!B41:B43,'前提と出典'!$B$15+1),INDEX('前提と出典'!C41:C43,'前提と出典'!$B$15+1),IF(F43&lt;=INDEX('前提と出典'!D41:D43,'前提と出典'!$B$15+1),INDEX('前提と出典'!E41:E43,'前提と出典'!$B$15+1),INDEX('前提と出典'!G41:G43,'前提と出典'!$B$15+1))))</ns0:f>
        <ns0:v>5000</ns0:v>
      </ns0:c>
      <ns0:c r="M43" s="12">
        <ns0:f>IF(H43=0,0,IF('前提と出典'!$B$33=1,MIN(F43,10)*300+MIN(MAX(0,F43-10),20)*250+MAX(0,F43-30)*200,F43*300))</ns0:f>
        <ns0:v>16000</ns0:v>
      </ns0:c>
      <ns0:c r="N43" s="12">
        <ns0:f>IF(I43=0,0,IF(G43&lt;=INDEX('前提と出典'!B46:B48,'前提と出典'!$B$16+1),INDEX('前提と出典'!C46:C48,'前提と出典'!$B$16+1),IF(G43&lt;=INDEX('前提と出典'!D46:D48,'前提と出典'!$B$16+1),INDEX('前提と出典'!E46:E48,'前提と出典'!$B$16+1),IF(G43&lt;=INDEX('前提と出典'!F46:F48,'前提と出典'!$B$16+1),INDEX('前提と出典'!G46:G48,'前提と出典'!$B$16+1),INDEX('前提と出典'!I46:I48,'前提と出典'!$B$16+1)))))</ns0:f>
        <ns0:v>2500</ns0:v>
      </ns0:c>
      <ns0:c r="O43" s="12">
        <ns0:f>IF(I43=1,G43*'前提と出典'!$B$13,0)</ns0:f>
        <ns0:v>9000</ns0:v>
      </ns0:c>
      <ns0:c r="P43" s="12">
        <ns0:f>IF(J43=1,MIN('前提と出典'!$B$17,L43+N43),0)</ns0:f>
        <ns0:v>1000</ns0:v>
      </ns0:c>
      <ns0:c r="Q43" s="12">
        <ns0:f>IF(J43=0,0,IF('前提と出典'!$B$19=0,P43*L43/(L43+N43),MIN(P43,L43)))</ns0:f>
        <ns0:v>666.6666666666666</ns0:v>
      </ns0:c>
      <ns0:c r="R43" s="4">
        <ns0:f>P43-Q43</ns0:f>
        <ns0:v>333.33333333333337</ns0:v>
      </ns0:c>
      <ns0:c r="S43" s="12">
        <ns0:f>IF(H43=1,'前提と出典'!$B$11+F43*'前提と出典'!$B$12,0)</ns0:f>
        <ns0:v>120</ns0:v>
      </ns0:c>
      <ns0:c r="T43" s="12">
        <ns0:f>IF(H43=1,('前提と出典'!$B$9+F43*'前提と出典'!$B$10)/60*'前提と出典'!$B$8,0)</ns0:f>
        <ns0:v>1000</ns0:v>
      </ns0:c>
      <ns0:c r="U43" s="12">
        <ns0:f>IF(I43=1,INDEX('前提と出典'!B80:B83,'前提と出典'!$B$18+1)+G43*INDEX('前提と出典'!C80:C83,'前提と出典'!$B$18+1),0)</ns0:f>
        <ns0:v>939.6961015600427</ns0:v>
      </ns0:c>
      <ns0:c r="V43" s="12">
        <ns0:f>IF(I43=1,INDEX('前提と出典'!D80:D83,'前提と出典'!$B$18+1)+G43*INDEX('前提と出典'!E80:E83,'前提と出典'!$B$18+1),0)</ns0:f>
        <ns0:v>833.3333333333334</ns0:v>
      </ns0:c>
      <ns0:c r="W43" s="4">
        <ns0:f>L43-Q43</ns0:f>
        <ns0:v>4333.333333333333</ns0:v>
      </ns0:c>
      <ns0:c r="X43" s="4">
        <ns0:f>N43-R43</ns0:f>
        <ns0:v>2166.6666666666665</ns0:v>
      </ns0:c>
    </ns0:row>
    <ns0:row r="44" ht="24" customHeight="1">
      <ns0:c r="A44" s="4" t="n">
        <ns0:v>2</ns0:v>
      </ns0:c>
      <ns0:c r="B44" s="4" t="n">
        <ns0:v>5</ns0:v>
      </ns0:c>
      <ns0:c r="C44" s="4" t="n">
        <ns0:v>1</ns0:v>
      </ns0:c>
      <ns0:c r="D44" s="12">
        <ns0:f>'前提と出典'!E57*(1-'前提と出典'!$B$21)</ns0:f>
        <ns0:v>0.012000000000000002</ns0:v>
      </ns0:c>
      <ns0:c r="E44" s="12">
        <ns0:f>ROUNDUP('前提と出典'!B57*'前提と出典'!$B$23,0)</ns0:f>
        <ns0:v>150</ns0:v>
      </ns0:c>
      <ns0:c r="F44" s="12">
        <ns0:f>'前提と出典'!A57</ns0:f>
        <ns0:v>70</ns0:v>
      </ns0:c>
      <ns0:c r="G44" s="12">
        <ns0:f>MAX(1,ROUNDUP(E44*'前提と出典'!$B$25*'前提と出典'!E12,0))</ns0:f>
        <ns0:v>68</ns0:v>
      </ns0:c>
      <ns0:c r="H44" s="4">
        <ns0:f>IF(AND(F44&gt;=1,F44&lt;=100),1,0)</ns0:f>
        <ns0:v>1</ns0:v>
      </ns0:c>
      <ns0:c r="I44" s="4">
        <ns0:f>IF(G44&lt;=50,1,0)</ns0:f>
        <ns0:v>0</ns0:v>
      </ns0:c>
      <ns0:c r="J44" s="4">
        <ns0:f>H44*I44</ns0:f>
        <ns0:v>0</ns0:v>
      </ns0:c>
      <ns0:c r="K44" s="12">
        <ns0:f>IF(A44='前提と出典'!$B$14,D44,0)</ns0:f>
        <ns0:v>0</ns0:v>
      </ns0:c>
      <ns0:c r="L44" s="12">
        <ns0:f>IF(H44=0,0,IF(F44&lt;=INDEX('前提と出典'!B41:B43,'前提と出典'!$B$15+1),INDEX('前提と出典'!C41:C43,'前提と出典'!$B$15+1),IF(F44&lt;=INDEX('前提と出典'!D41:D43,'前提と出典'!$B$15+1),INDEX('前提と出典'!E41:E43,'前提と出典'!$B$15+1),INDEX('前提と出典'!G41:G43,'前提と出典'!$B$15+1))))</ns0:f>
        <ns0:v>5000</ns0:v>
      </ns0:c>
      <ns0:c r="M44" s="12">
        <ns0:f>IF(H44=0,0,IF('前提と出典'!$B$33=1,MIN(F44,10)*300+MIN(MAX(0,F44-10),20)*250+MAX(0,F44-30)*200,F44*300))</ns0:f>
        <ns0:v>16000</ns0:v>
      </ns0:c>
      <ns0:c r="N44" s="12">
        <ns0:f>IF(I44=0,0,IF(G44&lt;=INDEX('前提と出典'!B46:B48,'前提と出典'!$B$16+1),INDEX('前提と出典'!C46:C48,'前提と出典'!$B$16+1),IF(G44&lt;=INDEX('前提と出典'!D46:D48,'前提と出典'!$B$16+1),INDEX('前提と出典'!E46:E48,'前提と出典'!$B$16+1),IF(G44&lt;=INDEX('前提と出典'!F46:F48,'前提と出典'!$B$16+1),INDEX('前提と出典'!G46:G48,'前提と出典'!$B$16+1),INDEX('前提と出典'!I46:I48,'前提と出典'!$B$16+1)))))</ns0:f>
        <ns0:v>0</ns0:v>
      </ns0:c>
      <ns0:c r="O44" s="12">
        <ns0:f>IF(I44=1,G44*'前提と出典'!$B$13,0)</ns0:f>
        <ns0:v>0</ns0:v>
      </ns0:c>
      <ns0:c r="P44" s="12">
        <ns0:f>IF(J44=1,MIN('前提と出典'!$B$17,L44+N44),0)</ns0:f>
        <ns0:v>0</ns0:v>
      </ns0:c>
      <ns0:c r="Q44" s="12">
        <ns0:f>IF(J44=0,0,IF('前提と出典'!$B$19=0,P44*L44/(L44+N44),MIN(P44,L44)))</ns0:f>
        <ns0:v>0</ns0:v>
      </ns0:c>
      <ns0:c r="R44" s="4">
        <ns0:f>P44-Q44</ns0:f>
        <ns0:v>0</ns0:v>
      </ns0:c>
      <ns0:c r="S44" s="12">
        <ns0:f>IF(H44=1,'前提と出典'!$B$11+F44*'前提と出典'!$B$12,0)</ns0:f>
        <ns0:v>120</ns0:v>
      </ns0:c>
      <ns0:c r="T44" s="12">
        <ns0:f>IF(H44=1,('前提と出典'!$B$9+F44*'前提と出典'!$B$10)/60*'前提と出典'!$B$8,0)</ns0:f>
        <ns0:v>1000</ns0:v>
      </ns0:c>
      <ns0:c r="U44" s="12">
        <ns0:f>IF(I44=1,INDEX('前提と出典'!B80:B83,'前提と出典'!$B$18+1)+G44*INDEX('前提と出典'!C80:C83,'前提と出典'!$B$18+1),0)</ns0:f>
        <ns0:v>0</ns0:v>
      </ns0:c>
      <ns0:c r="V44" s="12">
        <ns0:f>IF(I44=1,INDEX('前提と出典'!D80:D83,'前提と出典'!$B$18+1)+G44*INDEX('前提と出典'!E80:E83,'前提と出典'!$B$18+1),0)</ns0:f>
        <ns0:v>0</ns0:v>
      </ns0:c>
      <ns0:c r="W44" s="4">
        <ns0:f>L44-Q44</ns0:f>
        <ns0:v>5000</ns0:v>
      </ns0:c>
      <ns0:c r="X44" s="4">
        <ns0:f>N44-R44</ns0:f>
        <ns0:v>0</ns0:v>
      </ns0:c>
    </ns0:row>
    <ns0:row r="45" ht="24" customHeight="1">
      <ns0:c r="A45" s="4" t="n">
        <ns0:v>2</ns0:v>
      </ns0:c>
      <ns0:c r="B45" s="4" t="n">
        <ns0:v>6</ns0:v>
      </ns0:c>
      <ns0:c r="C45" s="4" t="n">
        <ns0:v>0</ns0:v>
      </ns0:c>
      <ns0:c r="D45" s="12">
        <ns0:f>'前提と出典'!E58*'前提と出典'!$B$21</ns0:f>
        <ns0:v>0.013999999999999999</ns0:v>
      </ns0:c>
      <ns0:c r="E45" s="12">
        <ns0:f>ROUNDUP('前提と出典'!B58*'前提と出典'!$B$22,0)</ns0:f>
        <ns0:v>600</ns0:v>
      </ns0:c>
      <ns0:c r="F45" s="12">
        <ns0:f>'前提と出典'!A58</ns0:f>
        <ns0:v>130</ns0:v>
      </ns0:c>
      <ns0:c r="G45" s="12">
        <ns0:f>MAX(1,ROUNDUP(E45*'前提と出典'!$B$24*'前提と出典'!E12,0))</ns0:f>
        <ns0:v>90</ns0:v>
      </ns0:c>
      <ns0:c r="H45" s="4">
        <ns0:f>IF(AND(F45&gt;=1,F45&lt;=100),1,0)</ns0:f>
        <ns0:v>0</ns0:v>
      </ns0:c>
      <ns0:c r="I45" s="4">
        <ns0:f>IF(G45&lt;=50,1,0)</ns0:f>
        <ns0:v>0</ns0:v>
      </ns0:c>
      <ns0:c r="J45" s="4">
        <ns0:f>H45*I45</ns0:f>
        <ns0:v>0</ns0:v>
      </ns0:c>
      <ns0:c r="K45" s="12">
        <ns0:f>IF(A45='前提と出典'!$B$14,D45,0)</ns0:f>
        <ns0:v>0</ns0:v>
      </ns0:c>
      <ns0:c r="L45" s="12">
        <ns0:f>IF(H45=0,0,IF(F45&lt;=INDEX('前提と出典'!B41:B43,'前提と出典'!$B$15+1),INDEX('前提と出典'!C41:C43,'前提と出典'!$B$15+1),IF(F45&lt;=INDEX('前提と出典'!D41:D43,'前提と出典'!$B$15+1),INDEX('前提と出典'!E41:E43,'前提と出典'!$B$15+1),INDEX('前提と出典'!G41:G43,'前提と出典'!$B$15+1))))</ns0:f>
        <ns0:v>0</ns0:v>
      </ns0:c>
      <ns0:c r="M45" s="12">
        <ns0:f>IF(H45=0,0,IF('前提と出典'!$B$33=1,MIN(F45,10)*300+MIN(MAX(0,F45-10),20)*250+MAX(0,F45-30)*200,F45*300))</ns0:f>
        <ns0:v>0</ns0:v>
      </ns0:c>
      <ns0:c r="N45" s="12">
        <ns0:f>IF(I45=0,0,IF(G45&lt;=INDEX('前提と出典'!B46:B48,'前提と出典'!$B$16+1),INDEX('前提と出典'!C46:C48,'前提と出典'!$B$16+1),IF(G45&lt;=INDEX('前提と出典'!D46:D48,'前提と出典'!$B$16+1),INDEX('前提と出典'!E46:E48,'前提と出典'!$B$16+1),IF(G45&lt;=INDEX('前提と出典'!F46:F48,'前提と出典'!$B$16+1),INDEX('前提と出典'!G46:G48,'前提と出典'!$B$16+1),INDEX('前提と出典'!I46:I48,'前提と出典'!$B$16+1)))))</ns0:f>
        <ns0:v>0</ns0:v>
      </ns0:c>
      <ns0:c r="O45" s="12">
        <ns0:f>IF(I45=1,G45*'前提と出典'!$B$13,0)</ns0:f>
        <ns0:v>0</ns0:v>
      </ns0:c>
      <ns0:c r="P45" s="12">
        <ns0:f>IF(J45=1,MIN('前提と出典'!$B$17,L45+N45),0)</ns0:f>
        <ns0:v>0</ns0:v>
      </ns0:c>
      <ns0:c r="Q45" s="12">
        <ns0:f>IF(J45=0,0,IF('前提と出典'!$B$19=0,P45*L45/(L45+N45),MIN(P45,L45)))</ns0:f>
        <ns0:v>0</ns0:v>
      </ns0:c>
      <ns0:c r="R45" s="4">
        <ns0:f>P45-Q45</ns0:f>
        <ns0:v>0</ns0:v>
      </ns0:c>
      <ns0:c r="S45" s="12">
        <ns0:f>IF(H45=1,'前提と出典'!$B$11+F45*'前提と出典'!$B$12,0)</ns0:f>
        <ns0:v>0</ns0:v>
      </ns0:c>
      <ns0:c r="T45" s="12">
        <ns0:f>IF(H45=1,('前提と出典'!$B$9+F45*'前提と出典'!$B$10)/60*'前提と出典'!$B$8,0)</ns0:f>
        <ns0:v>0</ns0:v>
      </ns0:c>
      <ns0:c r="U45" s="12">
        <ns0:f>IF(I45=1,INDEX('前提と出典'!B80:B83,'前提と出典'!$B$18+1)+G45*INDEX('前提と出典'!C80:C83,'前提と出典'!$B$18+1),0)</ns0:f>
        <ns0:v>0</ns0:v>
      </ns0:c>
      <ns0:c r="V45" s="12">
        <ns0:f>IF(I45=1,INDEX('前提と出典'!D80:D83,'前提と出典'!$B$18+1)+G45*INDEX('前提と出典'!E80:E83,'前提と出典'!$B$18+1),0)</ns0:f>
        <ns0:v>0</ns0:v>
      </ns0:c>
      <ns0:c r="W45" s="4">
        <ns0:f>L45-Q45</ns0:f>
        <ns0:v>0</ns0:v>
      </ns0:c>
      <ns0:c r="X45" s="4">
        <ns0:f>N45-R45</ns0:f>
        <ns0:v>0</ns0:v>
      </ns0:c>
    </ns0:row>
    <ns0:row r="46" ht="24" customHeight="1">
      <ns0:c r="A46" s="4" t="n">
        <ns0:v>2</ns0:v>
      </ns0:c>
      <ns0:c r="B46" s="4" t="n">
        <ns0:v>6</ns0:v>
      </ns0:c>
      <ns0:c r="C46" s="4" t="n">
        <ns0:v>1</ns0:v>
      </ns0:c>
      <ns0:c r="D46" s="12">
        <ns0:f>'前提と出典'!E58*(1-'前提と出典'!$B$21)</ns0:f>
        <ns0:v>0.006000000000000001</ns0:v>
      </ns0:c>
      <ns0:c r="E46" s="12">
        <ns0:f>ROUNDUP('前提と出典'!B58*'前提と出典'!$B$23,0)</ns0:f>
        <ns0:v>300</ns0:v>
      </ns0:c>
      <ns0:c r="F46" s="12">
        <ns0:f>'前提と出典'!A58</ns0:f>
        <ns0:v>130</ns0:v>
      </ns0:c>
      <ns0:c r="G46" s="12">
        <ns0:f>MAX(1,ROUNDUP(E46*'前提と出典'!$B$25*'前提と出典'!E12,0))</ns0:f>
        <ns0:v>135</ns0:v>
      </ns0:c>
      <ns0:c r="H46" s="4">
        <ns0:f>IF(AND(F46&gt;=1,F46&lt;=100),1,0)</ns0:f>
        <ns0:v>0</ns0:v>
      </ns0:c>
      <ns0:c r="I46" s="4">
        <ns0:f>IF(G46&lt;=50,1,0)</ns0:f>
        <ns0:v>0</ns0:v>
      </ns0:c>
      <ns0:c r="J46" s="4">
        <ns0:f>H46*I46</ns0:f>
        <ns0:v>0</ns0:v>
      </ns0:c>
      <ns0:c r="K46" s="12">
        <ns0:f>IF(A46='前提と出典'!$B$14,D46,0)</ns0:f>
        <ns0:v>0</ns0:v>
      </ns0:c>
      <ns0:c r="L46" s="12">
        <ns0:f>IF(H46=0,0,IF(F46&lt;=INDEX('前提と出典'!B41:B43,'前提と出典'!$B$15+1),INDEX('前提と出典'!C41:C43,'前提と出典'!$B$15+1),IF(F46&lt;=INDEX('前提と出典'!D41:D43,'前提と出典'!$B$15+1),INDEX('前提と出典'!E41:E43,'前提と出典'!$B$15+1),INDEX('前提と出典'!G41:G43,'前提と出典'!$B$15+1))))</ns0:f>
        <ns0:v>0</ns0:v>
      </ns0:c>
      <ns0:c r="M46" s="12">
        <ns0:f>IF(H46=0,0,IF('前提と出典'!$B$33=1,MIN(F46,10)*300+MIN(MAX(0,F46-10),20)*250+MAX(0,F46-30)*200,F46*300))</ns0:f>
        <ns0:v>0</ns0:v>
      </ns0:c>
      <ns0:c r="N46" s="12">
        <ns0:f>IF(I46=0,0,IF(G46&lt;=INDEX('前提と出典'!B46:B48,'前提と出典'!$B$16+1),INDEX('前提と出典'!C46:C48,'前提と出典'!$B$16+1),IF(G46&lt;=INDEX('前提と出典'!D46:D48,'前提と出典'!$B$16+1),INDEX('前提と出典'!E46:E48,'前提と出典'!$B$16+1),IF(G46&lt;=INDEX('前提と出典'!F46:F48,'前提と出典'!$B$16+1),INDEX('前提と出典'!G46:G48,'前提と出典'!$B$16+1),INDEX('前提と出典'!I46:I48,'前提と出典'!$B$16+1)))))</ns0:f>
        <ns0:v>0</ns0:v>
      </ns0:c>
      <ns0:c r="O46" s="12">
        <ns0:f>IF(I46=1,G46*'前提と出典'!$B$13,0)</ns0:f>
        <ns0:v>0</ns0:v>
      </ns0:c>
      <ns0:c r="P46" s="12">
        <ns0:f>IF(J46=1,MIN('前提と出典'!$B$17,L46+N46),0)</ns0:f>
        <ns0:v>0</ns0:v>
      </ns0:c>
      <ns0:c r="Q46" s="12">
        <ns0:f>IF(J46=0,0,IF('前提と出典'!$B$19=0,P46*L46/(L46+N46),MIN(P46,L46)))</ns0:f>
        <ns0:v>0</ns0:v>
      </ns0:c>
      <ns0:c r="R46" s="4">
        <ns0:f>P46-Q46</ns0:f>
        <ns0:v>0</ns0:v>
      </ns0:c>
      <ns0:c r="S46" s="12">
        <ns0:f>IF(H46=1,'前提と出典'!$B$11+F46*'前提と出典'!$B$12,0)</ns0:f>
        <ns0:v>0</ns0:v>
      </ns0:c>
      <ns0:c r="T46" s="12">
        <ns0:f>IF(H46=1,('前提と出典'!$B$9+F46*'前提と出典'!$B$10)/60*'前提と出典'!$B$8,0)</ns0:f>
        <ns0:v>0</ns0:v>
      </ns0:c>
      <ns0:c r="U46" s="12">
        <ns0:f>IF(I46=1,INDEX('前提と出典'!B80:B83,'前提と出典'!$B$18+1)+G46*INDEX('前提と出典'!C80:C83,'前提と出典'!$B$18+1),0)</ns0:f>
        <ns0:v>0</ns0:v>
      </ns0:c>
      <ns0:c r="V46" s="12">
        <ns0:f>IF(I46=1,INDEX('前提と出典'!D80:D83,'前提と出典'!$B$18+1)+G46*INDEX('前提と出典'!E80:E83,'前提と出典'!$B$18+1),0)</ns0:f>
        <ns0:v>0</ns0:v>
      </ns0:c>
      <ns0:c r="W46" s="4">
        <ns0:f>L46-Q46</ns0:f>
        <ns0:v>0</ns0:v>
      </ns0:c>
      <ns0:c r="X46" s="4">
        <ns0:f>N46-R46</ns0:f>
        <ns0:v>0</ns0:v>
      </ns0:c>
    </ns0:row>
  </ns0:sheetData>
  <ns0:mergeCells count="2">
    <ns0:mergeCell ref="A1:I1"/>
    <ns0:mergeCell ref="A2:I2"/>
  </ns0:mergeCells>
  <ns0:pageMargins left="0.75" right="0.75" top="1" bottom="1" header="0.5" footer="0.5"/>
</ns0:worksheet>
</file>

<file path=xl/worksheets/sheet4.xml><?xml version="1.0" encoding="utf-8"?>
<ns0:worksheet xmlns:ns0="http://schemas.openxmlformats.org/spreadsheetml/2006/main">
  <ns0:sheetPr>
    <ns0:outlinePr summaryBelow="1" summaryRight="1"/>
    <ns0:pageSetUpPr/>
  </ns0:sheetPr>
  <ns0:dimension ref="A1:Q7"/>
  <ns0:sheetViews>
    <ns0:sheetView showGridLines="0" workbookViewId="0">
      <ns0:selection activeCell="A1" sqref="A1"/>
    </ns0:sheetView>
  </ns0:sheetViews>
  <ns0:sheetFormatPr baseColWidth="8" defaultRowHeight="15"/>
  <ns0:cols>
    <ns0:col width="19" customWidth="1" min="1" max="1"/>
    <ns0:col width="19" customWidth="1" min="2" max="2"/>
    <ns0:col width="19" customWidth="1" min="3" max="3"/>
    <ns0:col width="19" customWidth="1" min="4" max="4"/>
    <ns0:col width="19" customWidth="1" min="5" max="5"/>
    <ns0:col width="19" customWidth="1" min="6" max="6"/>
    <ns0:col width="19" customWidth="1" min="7" max="7"/>
    <ns0:col width="19" customWidth="1" min="8" max="8"/>
    <ns0:col width="19" customWidth="1" min="9" max="9"/>
    <ns0:col width="19" customWidth="1" min="10" max="10"/>
    <ns0:col width="19" customWidth="1" min="11" max="11"/>
    <ns0:col width="19" customWidth="1" min="12" max="12"/>
    <ns0:col width="19" customWidth="1" min="13" max="13"/>
    <ns0:col width="19" customWidth="1" min="14" max="14"/>
    <ns0:col width="19" customWidth="1" min="15" max="15"/>
    <ns0:col width="19" customWidth="1" min="16" max="16"/>
    <ns0:col width="19" customWidth="1" min="17" max="17"/>
  </ns0:cols>
  <ns0:sheetData>
    <ns0:row r="1" ht="32" customHeight="1">
      <ns0:c r="A1" s="1" t="inlineStr">
        <ns0:is>
          <ns0:t>契約形態別の加重平均（円/社月）</ns0:t>
        </ns0:is>
      </ns0:c>
    </ns0:row>
    <ns0:row r="2" ht="48" customHeight="1">
      <ns0:c r="A2" s="2" t="inlineStr">
        <ns0:is>
          <ns0:t>Guard101台以上・Send51名以上は要見積で除外。価格対象率を分離し、0円契約にしない。</ns0:t>
        </ns0:is>
      </ns0:c>
    </ns0:row>
    <ns0:row r="3" ht="24" customHeight="1"/>
    <ns0:row r="4" ht="42" customHeight="1">
      <ns0:c r="A4" s="5" t="inlineStr">
        <ns0:is>
          <ns0:t>契約</ns0:t>
        </ns0:is>
      </ns0:c>
      <ns0:c r="B4" s="5" t="inlineStr">
        <ns0:is>
          <ns0:t>価格対象率</ns0:t>
        </ns0:is>
      </ns0:c>
      <ns0:c r="C4" s="5" t="inlineStr">
        <ns0:is>
          <ns0:t>平均PC</ns0:t>
        </ns0:is>
      </ns0:c>
      <ns0:c r="D4" s="5" t="inlineStr">
        <ns0:is>
          <ns0:t>平均送信者</ns0:t>
        </ns0:is>
      </ns0:c>
      <ns0:c r="E4" s="5" t="inlineStr">
        <ns0:is>
          <ns0:t>G基本net</ns0:t>
        </ns0:is>
      </ns0:c>
      <ns0:c r="F4" s="5" t="inlineStr">
        <ns0:is>
          <ns0:t>S基本net</ns0:t>
        </ns0:is>
      </ns0:c>
      <ns0:c r="G4" s="5" t="inlineStr">
        <ns0:is>
          <ns0:t>G従量</ns0:t>
        </ns0:is>
      </ns0:c>
      <ns0:c r="H4" s="5" t="inlineStr">
        <ns0:is>
          <ns0:t>S従量</ns0:t>
        </ns0:is>
      </ns0:c>
      <ns0:c r="I4" s="5" t="inlineStr">
        <ns0:is>
          <ns0:t>G変動infra</ns0:t>
        </ns0:is>
      </ns0:c>
      <ns0:c r="J4" s="5" t="inlineStr">
        <ns0:is>
          <ns0:t>S変動infra</ns0:t>
        </ns0:is>
      </ns0:c>
      <ns0:c r="K4" s="5" t="inlineStr">
        <ns0:is>
          <ns0:t>Gsupport</ns0:t>
        </ns0:is>
      </ns0:c>
      <ns0:c r="L4" s="5" t="inlineStr">
        <ns0:is>
          <ns0:t>Ssupport</ns0:t>
        </ns0:is>
      </ns0:c>
      <ns0:c r="M4" s="5" t="inlineStr">
        <ns0:is>
          <ns0:t>G割引</ns0:t>
        </ns0:is>
      </ns0:c>
      <ns0:c r="N4" s="5" t="inlineStr">
        <ns0:is>
          <ns0:t>S割引</ns0:t>
        </ns0:is>
      </ns0:c>
      <ns0:c r="O4" s="5" t="inlineStr">
        <ns0:is>
          <ns0:t>G売上</ns0:t>
        </ns0:is>
      </ns0:c>
      <ns0:c r="P4" s="5" t="inlineStr">
        <ns0:is>
          <ns0:t>S売上</ns0:t>
        </ns0:is>
      </ns0:c>
      <ns0:c r="Q4" s="5" t="inlineStr">
        <ns0:is>
          <ns0:t>総売上</ns0:t>
        </ns0:is>
      </ns0:c>
    </ns0:row>
    <ns0:row r="5" ht="24" customHeight="1">
      <ns0:c r="A5" s="3" t="inlineStr">
        <ns0:is>
          <ns0:t>Guardのみ</ns0:t>
        </ns0:is>
      </ns0:c>
      <ns0:c r="B5" s="13">
        <ns0:f>SUMPRODUCT('同一企業モデル'!K5:K46,'同一企業モデル'!H5:H46)</ns0:f>
        <ns0:v>0.8950000000000001</ns0:v>
      </ns0:c>
      <ns0:c r="C5" s="14">
        <ns0:f>SUMPRODUCT('同一企業モデル'!K5:K46,'同一企業モデル'!H5:H46,'同一企業モデル'!F5:F46)/B5</ns0:f>
        <ns0:v>10.279329608938546</ns0:v>
      </ns0:c>
      <ns0:c r="D5" s="15" t="n">
        <ns0:v>0</ns0:v>
      </ns0:c>
      <ns0:c r="E5" s="16">
        <ns0:f>SUMPRODUCT('同一企業モデル'!K5:K46,'同一企業モデル'!H5:H46,'同一企業モデル'!L5:L46)/B5</ns0:f>
        <ns0:v>3910.614525139664</ns0:v>
      </ns0:c>
      <ns0:c r="F5" s="7" t="n">
        <ns0:v>0</ns0:v>
      </ns0:c>
      <ns0:c r="G5" s="16">
        <ns0:f>SUMPRODUCT('同一企業モデル'!K5:K46,'同一企業モデル'!H5:H46,'同一企業モデル'!M5:M46)/B5</ns0:f>
        <ns0:v>2843.575418994413</ns0:v>
      </ns0:c>
      <ns0:c r="H5" s="7" t="n">
        <ns0:v>0</ns0:v>
      </ns0:c>
      <ns0:c r="I5" s="16">
        <ns0:f>SUMPRODUCT('同一企業モデル'!K5:K46,'同一企業モデル'!H5:H46,'同一企業モデル'!S5:S46)/B5</ns0:f>
        <ns0:v>60.27932960893854</ns0:v>
      </ns0:c>
      <ns0:c r="J5" s="7" t="n">
        <ns0:v>0</ns0:v>
      </ns0:c>
      <ns0:c r="K5" s="16">
        <ns0:f>SUMPRODUCT('同一企業モデル'!K5:K46,'同一企業モデル'!H5:H46,'同一企業モデル'!T5:T46)/B5</ns0:f>
        <ns0:v>601.8621973929236</ns0:v>
      </ns0:c>
      <ns0:c r="L5" s="7" t="n">
        <ns0:v>0</ns0:v>
      </ns0:c>
      <ns0:c r="M5" s="7" t="n">
        <ns0:v>0</ns0:v>
      </ns0:c>
      <ns0:c r="N5" s="7" t="n">
        <ns0:v>0</ns0:v>
      </ns0:c>
      <ns0:c r="O5" s="7">
        <ns0:f>E5+G5</ns0:f>
        <ns0:v>6754.189944134077</ns0:v>
      </ns0:c>
      <ns0:c r="P5" s="7">
        <ns0:f>F5+H5</ns0:f>
        <ns0:v>0</ns0:v>
      </ns0:c>
      <ns0:c r="Q5" s="7">
        <ns0:f>O5+P5</ns0:f>
        <ns0:v>6754.189944134077</ns0:v>
      </ns0:c>
    </ns0:row>
    <ns0:row r="6" ht="24" customHeight="1">
      <ns0:c r="A6" s="3" t="inlineStr">
        <ns0:is>
          <ns0:t>Sendのみ</ns0:t>
        </ns0:is>
      </ns0:c>
      <ns0:c r="B6" s="13">
        <ns0:f>SUMPRODUCT('同一企業モデル'!K5:K46,'同一企業モデル'!I5:I46)</ns0:f>
        <ns0:v>0.995</ns0:v>
      </ns0:c>
      <ns0:c r="C6" s="15" t="n">
        <ns0:v>0</ns0:v>
      </ns0:c>
      <ns0:c r="D6" s="14">
        <ns0:f>SUMPRODUCT('同一企業モデル'!K5:K46,'同一企業モデル'!I5:I46,'同一企業モデル'!G5:G46)/B6</ns0:f>
        <ns0:v>5.505025125628141</ns0:v>
      </ns0:c>
      <ns0:c r="E6" s="7" t="n">
        <ns0:v>0</ns0:v>
      </ns0:c>
      <ns0:c r="F6" s="16">
        <ns0:f>SUMPRODUCT('同一企業モデル'!K5:K46,'同一企業モデル'!I5:I46,'同一企業モデル'!N5:N46)/B6</ns0:f>
        <ns0:v>1337.1859296482414</ns0:v>
      </ns0:c>
      <ns0:c r="G6" s="7" t="n">
        <ns0:v>0</ns0:v>
      </ns0:c>
      <ns0:c r="H6" s="16">
        <ns0:f>SUMPRODUCT('同一企業モデル'!K5:K46,'同一企業モデル'!I5:I46,'同一企業モデル'!O5:O46)/B6</ns0:f>
        <ns0:v>1101.0050251256282</ns0:v>
      </ns0:c>
      <ns0:c r="I6" s="7" t="n">
        <ns0:v>0</ns0:v>
      </ns0:c>
      <ns0:c r="J6" s="16">
        <ns0:f>SUMPRODUCT('同一企業モデル'!K5:K46,'同一企業モデル'!I5:I46,'同一企業モデル'!U5:U46)/B6</ns0:f>
        <ns0:v>158.83998651692093</ns0:v>
      </ns0:c>
      <ns0:c r="K6" s="7" t="n">
        <ns0:v>0</ns0:v>
      </ns0:c>
      <ns0:c r="L6" s="16">
        <ns0:f>SUMPRODUCT('同一企業モデル'!K5:K46,'同一企業モデル'!I5:I46,'同一企業モデル'!V5:V46)/B6</ns0:f>
        <ns0:v>570.0335008375209</ns0:v>
      </ns0:c>
      <ns0:c r="M6" s="7" t="n">
        <ns0:v>0</ns0:v>
      </ns0:c>
      <ns0:c r="N6" s="7" t="n">
        <ns0:v>0</ns0:v>
      </ns0:c>
      <ns0:c r="O6" s="7">
        <ns0:f>E6+G6</ns0:f>
        <ns0:v>0</ns0:v>
      </ns0:c>
      <ns0:c r="P6" s="7">
        <ns0:f>F6+H6</ns0:f>
        <ns0:v>2438.1909547738696</ns0:v>
      </ns0:c>
      <ns0:c r="Q6" s="7">
        <ns0:f>O6+P6</ns0:f>
        <ns0:v>2438.1909547738696</ns0:v>
      </ns0:c>
    </ns0:row>
    <ns0:row r="7" ht="24" customHeight="1">
      <ns0:c r="A7" s="3" t="inlineStr">
        <ns0:is>
          <ns0:t>セット</ns0:t>
        </ns0:is>
      </ns0:c>
      <ns0:c r="B7" s="13">
        <ns0:f>SUMPRODUCT('同一企業モデル'!K5:K46,'同一企業モデル'!J5:J46)</ns0:f>
        <ns0:v>0.8950000000000001</ns0:v>
      </ns0:c>
      <ns0:c r="C7" s="14">
        <ns0:f>SUMPRODUCT('同一企業モデル'!K5:K46,'同一企業モデル'!J5:J46,'同一企業モデル'!F5:F46)/B7</ns0:f>
        <ns0:v>10.279329608938546</ns0:v>
      </ns0:c>
      <ns0:c r="D7" s="14">
        <ns0:f>SUMPRODUCT('同一企業モデル'!K5:K46,'同一企業モデル'!J5:J46,'同一企業モデル'!G5:G46)/B7</ns0:f>
        <ns0:v>6.0083798882681565</ns0:v>
      </ns0:c>
      <ns0:c r="E7" s="16">
        <ns0:f>SUMPRODUCT('同一企業モデル'!K5:K46,'同一企業モデル'!J5:J46,'同一企業モデル'!W5:W46)/B7</ns0:f>
        <ns0:v>3165.4237106168252</ns0:v>
      </ns0:c>
      <ns0:c r="F7" s="16">
        <ns0:f>SUMPRODUCT('同一企業モデル'!K5:K46,'同一企業モデル'!J5:J46,'同一企業モデル'!X5:X46)/B7</ns0:f>
        <ns0:v>1097.704781003286</ns0:v>
      </ns0:c>
      <ns0:c r="G7" s="16">
        <ns0:f>SUMPRODUCT('同一企業モデル'!K5:K46,'同一企業モデル'!J5:J46,'同一企業モデル'!M5:M46)/B7</ns0:f>
        <ns0:v>2843.575418994413</ns0:v>
      </ns0:c>
      <ns0:c r="H7" s="16">
        <ns0:f>SUMPRODUCT('同一企業モデル'!K5:K46,'同一企業モデル'!J5:J46,'同一企業モデル'!O5:O46)/B7</ns0:f>
        <ns0:v>1201.6759776536308</ns0:v>
      </ns0:c>
      <ns0:c r="I7" s="16">
        <ns0:f>SUMPRODUCT('同一企業モデル'!K5:K46,'同一企業モデル'!J5:J46,'同一企業モデル'!S5:S46)/B7</ns0:f>
        <ns0:v>60.27932960893854</ns0:v>
      </ns0:c>
      <ns0:c r="J7" s="16">
        <ns0:f>SUMPRODUCT('同一企業モデル'!K5:K46,'同一企業モデル'!J5:J46,'同一企業モデル'!U5:U46)/B7</ns0:f>
        <ns0:v>168.7918258507543</ns0:v>
      </ns0:c>
      <ns0:c r="K7" s="16">
        <ns0:f>SUMPRODUCT('同一企業モデル'!K5:K46,'同一企業モデル'!J5:J46,'同一企業モデル'!T5:T46)/B7</ns0:f>
        <ns0:v>601.8621973929236</ns0:v>
      </ns0:c>
      <ns0:c r="L7" s="16">
        <ns0:f>SUMPRODUCT('同一企業モデル'!K5:K46,'同一企業モデル'!J5:J46,'同一企業モデル'!V5:V46)/B7</ns0:f>
        <ns0:v>573.3891992551211</ns0:v>
      </ns0:c>
      <ns0:c r="M7" s="16">
        <ns0:f>SUMPRODUCT('同一企業モデル'!K5:K46,'同一企業モデル'!J5:J46,'同一企業モデル'!Q5:Q46)/B7</ns0:f>
        <ns0:v>745.1908145228389</ns0:v>
      </ns0:c>
      <ns0:c r="N7" s="16">
        <ns0:f>SUMPRODUCT('同一企業モデル'!K5:K46,'同一企業モデル'!J5:J46,'同一企業モデル'!R5:R46)/B7</ns0:f>
        <ns0:v>254.80918547716087</ns0:v>
      </ns0:c>
      <ns0:c r="O7" s="7">
        <ns0:f>E7+G7</ns0:f>
        <ns0:v>6008.9991296112385</ns0:v>
      </ns0:c>
      <ns0:c r="P7" s="7">
        <ns0:f>F7+H7</ns0:f>
        <ns0:v>2299.3807586569164</ns0:v>
      </ns0:c>
      <ns0:c r="Q7" s="7">
        <ns0:f>O7+P7</ns0:f>
        <ns0:v>8308.379888268155</ns0:v>
      </ns0:c>
    </ns0:row>
  </ns0:sheetData>
  <ns0:mergeCells count="2">
    <ns0:mergeCell ref="A1:I1"/>
    <ns0:mergeCell ref="A2:I2"/>
  </ns0:mergeCells>
  <ns0:pageMargins left="0.75" right="0.75" top="1" bottom="1" header="0.5" footer="0.5"/>
</ns0:worksheet>
</file>

<file path=xl/worksheets/sheet5.xml><?xml version="1.0" encoding="utf-8"?>
<ns0:worksheet xmlns:ns0="http://schemas.openxmlformats.org/spreadsheetml/2006/main">
  <ns0:sheetPr>
    <ns0:outlinePr summaryBelow="1" summaryRight="1"/>
    <ns0:pageSetUpPr/>
  </ns0:sheetPr>
  <ns0:dimension ref="A1:AI1100"/>
  <ns0:sheetViews>
    <ns0:sheetView showGridLines="0" workbookViewId="0">
      <ns0:pane xSplit="1" ySplit="4" topLeftCell="B5" activePane="bottomRight" state="frozen"/>
      <ns0:selection pane="topRight"/>
      <ns0:selection pane="bottomLeft"/>
      <ns0:selection pane="bottomRight" activeCell="A1" sqref="A1"/>
    </ns0:sheetView>
  </ns0:sheetViews>
  <ns0:sheetFormatPr baseColWidth="8" defaultRowHeight="15"/>
  <ns0:cols>
    <ns0:col width="19" customWidth="1" min="1" max="1"/>
    <ns0:col width="19" customWidth="1" min="2" max="2"/>
    <ns0:col width="19" customWidth="1" min="3" max="3"/>
    <ns0:col width="19" customWidth="1" min="4" max="4"/>
    <ns0:col width="19" customWidth="1" min="5" max="5"/>
    <ns0:col width="19" customWidth="1" min="6" max="6"/>
    <ns0:col width="19" customWidth="1" min="7" max="7"/>
    <ns0:col width="19" customWidth="1" min="8" max="8"/>
    <ns0:col width="19" customWidth="1" min="9" max="9"/>
    <ns0:col width="19" customWidth="1" min="10" max="10"/>
    <ns0:col width="19" customWidth="1" min="11" max="11"/>
    <ns0:col width="19" customWidth="1" min="12" max="12"/>
    <ns0:col width="19" customWidth="1" min="13" max="13"/>
    <ns0:col width="19" customWidth="1" min="14" max="14"/>
    <ns0:col width="19" customWidth="1" min="15" max="15"/>
    <ns0:col width="19" customWidth="1" min="16" max="16"/>
    <ns0:col width="19" customWidth="1" min="17" max="17"/>
    <ns0:col width="19" customWidth="1" min="18" max="18"/>
    <ns0:col width="19" customWidth="1" min="19" max="19"/>
    <ns0:col width="19" customWidth="1" min="20" max="20"/>
    <ns0:col width="19" customWidth="1" min="21" max="21"/>
    <ns0:col width="19" customWidth="1" min="22" max="22"/>
    <ns0:col width="19" customWidth="1" min="23" max="23"/>
    <ns0:col width="19" customWidth="1" min="24" max="24"/>
    <ns0:col width="19" customWidth="1" min="25" max="25"/>
    <ns0:col width="19" customWidth="1" min="26" max="26"/>
    <ns0:col width="19" customWidth="1" min="27" max="27"/>
    <ns0:col width="19" customWidth="1" min="28" max="28"/>
    <ns0:col width="19" customWidth="1" min="29" max="29"/>
    <ns0:col width="19" customWidth="1" min="30" max="30"/>
    <ns0:col width="19" customWidth="1" min="31" max="31"/>
    <ns0:col width="19" customWidth="1" min="32" max="32"/>
    <ns0:col width="19" customWidth="1" min="33" max="33"/>
    <ns0:col width="19" customWidth="1" min="34" max="34"/>
    <ns0:col width="19" customWidth="1" min="35" max="35"/>
  </ns0:cols>
  <ns0:sheetData>
    <ns0:row r="1" ht="32" customHeight="1">
      <ns0:c r="A1" s="1" t="inlineStr">
        <ns0:is>
          <ns0:t>契約企業数別・サービス別収支</ns0:t>
        </ns0:is>
      </ns0:c>
    </ns0:row>
    <ns0:row r="2" ht="48" customHeight="1">
      <ns0:c r="A2" s="2" t="inlineStr">
        <ns0:is>
          <ns0:t>混在比率は期待値。NG/NSはサービス別契約数、DNS最低額はGuard全体に一回。</ns0:t>
        </ns0:is>
      </ns0:c>
    </ns0:row>
    <ns0:row r="3" ht="24" customHeight="1"/>
    <ns0:row r="4" ht="42" customHeight="1">
      <ns0:c r="A4" s="5" t="inlineStr">
        <ns0:is>
          <ns0:t>企業数</ns0:t>
        </ns0:is>
      </ns0:c>
      <ns0:c r="B4" s="5" t="inlineStr">
        <ns0:is>
          <ns0:t>Guard社数</ns0:t>
        </ns0:is>
      </ns0:c>
      <ns0:c r="C4" s="5" t="inlineStr">
        <ns0:is>
          <ns0:t>Send社数</ns0:t>
        </ns0:is>
      </ns0:c>
      <ns0:c r="D4" s="5" t="inlineStr">
        <ns0:is>
          <ns0:t>総PC</ns0:t>
        </ns0:is>
      </ns0:c>
      <ns0:c r="E4" s="5" t="inlineStr">
        <ns0:is>
          <ns0:t>G基本net</ns0:t>
        </ns0:is>
      </ns0:c>
      <ns0:c r="F4" s="5" t="inlineStr">
        <ns0:is>
          <ns0:t>S基本net</ns0:t>
        </ns0:is>
      </ns0:c>
      <ns0:c r="G4" s="5" t="inlineStr">
        <ns0:is>
          <ns0:t>G従量</ns0:t>
        </ns0:is>
      </ns0:c>
      <ns0:c r="H4" s="5" t="inlineStr">
        <ns0:is>
          <ns0:t>S従量</ns0:t>
        </ns0:is>
      </ns0:c>
      <ns0:c r="I4" s="5" t="inlineStr">
        <ns0:is>
          <ns0:t>G変動infra</ns0:t>
        </ns0:is>
      </ns0:c>
      <ns0:c r="J4" s="5" t="inlineStr">
        <ns0:is>
          <ns0:t>S変動infra</ns0:t>
        </ns0:is>
      </ns0:c>
      <ns0:c r="K4" s="5" t="inlineStr">
        <ns0:is>
          <ns0:t>Gsupport</ns0:t>
        </ns0:is>
      </ns0:c>
      <ns0:c r="L4" s="5" t="inlineStr">
        <ns0:is>
          <ns0:t>Ssupport</ns0:t>
        </ns0:is>
      </ns0:c>
      <ns0:c r="M4" s="5" t="inlineStr">
        <ns0:is>
          <ns0:t>G固定</ns0:t>
        </ns0:is>
      </ns0:c>
      <ns0:c r="N4" s="5" t="inlineStr">
        <ns0:is>
          <ns0:t>S固定</ns0:t>
        </ns0:is>
      </ns0:c>
      <ns0:c r="O4" s="5" t="inlineStr">
        <ns0:is>
          <ns0:t>DNS原価</ns0:t>
        </ns0:is>
      </ns0:c>
      <ns0:c r="P4" s="5" t="inlineStr">
        <ns0:is>
          <ns0:t>G配分前</ns0:t>
        </ns0:is>
      </ns0:c>
      <ns0:c r="Q4" s="5" t="inlineStr">
        <ns0:is>
          <ns0:t>S配分前</ns0:t>
        </ns0:is>
      </ns0:c>
      <ns0:c r="R4" s="5" t="inlineStr">
        <ns0:is>
          <ns0:t>G・率1後</ns0:t>
        </ns0:is>
      </ns0:c>
      <ns0:c r="S4" s="5" t="inlineStr">
        <ns0:is>
          <ns0:t>S・率1後</ns0:t>
        </ns0:is>
      </ns0:c>
      <ns0:c r="T4" s="5" t="inlineStr">
        <ns0:is>
          <ns0:t>合計・率1後</ns0:t>
        </ns0:is>
      </ns0:c>
      <ns0:c r="U4" s="5" t="inlineStr">
        <ns0:is>
          <ns0:t>G・率2後</ns0:t>
        </ns0:is>
      </ns0:c>
      <ns0:c r="V4" s="5" t="inlineStr">
        <ns0:is>
          <ns0:t>S・率2後</ns0:t>
        </ns0:is>
      </ns0:c>
      <ns0:c r="W4" s="5" t="inlineStr">
        <ns0:is>
          <ns0:t>合計・率2後</ns0:t>
        </ns0:is>
      </ns0:c>
      <ns0:c r="X4" s="5" t="inlineStr">
        <ns0:is>
          <ns0:t>G・率3後</ns0:t>
        </ns0:is>
      </ns0:c>
      <ns0:c r="Y4" s="5" t="inlineStr">
        <ns0:is>
          <ns0:t>S・率3後</ns0:t>
        </ns0:is>
      </ns0:c>
      <ns0:c r="Z4" s="5" t="inlineStr">
        <ns0:is>
          <ns0:t>合計・率3後</ns0:t>
        </ns0:is>
      </ns0:c>
      <ns0:c r="AA4" s="5" t="inlineStr">
        <ns0:is>
          <ns0:t>初黒・率1</ns0:t>
        </ns0:is>
      </ns0:c>
      <ns0:c r="AB4" s="5" t="inlineStr">
        <ns0:is>
          <ns0:t>最終赤・率1</ns0:t>
        </ns0:is>
      </ns0:c>
      <ns0:c r="AC4" s="5" t="inlineStr">
        <ns0:is>
          <ns0:t>両黒・率1</ns0:t>
        </ns0:is>
      </ns0:c>
      <ns0:c r="AD4" s="5" t="inlineStr">
        <ns0:is>
          <ns0:t>初黒・率2</ns0:t>
        </ns0:is>
      </ns0:c>
      <ns0:c r="AE4" s="5" t="inlineStr">
        <ns0:is>
          <ns0:t>最終赤・率2</ns0:t>
        </ns0:is>
      </ns0:c>
      <ns0:c r="AF4" s="5" t="inlineStr">
        <ns0:is>
          <ns0:t>両黒・率2</ns0:t>
        </ns0:is>
      </ns0:c>
      <ns0:c r="AG4" s="5" t="inlineStr">
        <ns0:is>
          <ns0:t>初黒・率3</ns0:t>
        </ns0:is>
      </ns0:c>
      <ns0:c r="AH4" s="5" t="inlineStr">
        <ns0:is>
          <ns0:t>最終赤・率3</ns0:t>
        </ns0:is>
      </ns0:c>
      <ns0:c r="AI4" s="5" t="inlineStr">
        <ns0:is>
          <ns0:t>両黒・率3</ns0:t>
        </ns0:is>
      </ns0:c>
    </ns0:row>
    <ns0:row r="5" ht="24" customHeight="1">
      <ns0:c r="A5" s="4" t="n">
        <ns0:v>1</ns0:v>
      </ns0:c>
      <ns0:c r="B5" s="12">
        <ns0:f>A5*('前提と出典'!$C$36+'前提と出典'!$C$38)</ns0:f>
        <ns0:v>0.7</ns0:v>
      </ns0:c>
      <ns0:c r="C5" s="12">
        <ns0:f>A5*('前提と出典'!$C$37+'前提と出典'!$C$38)</ns0:f>
        <ns0:v>0.6</ns0:v>
      </ns0:c>
      <ns0:c r="D5" s="16">
        <ns0:f>A5*('前提と出典'!$C$36*'契約別単価'!C5+'前提と出典'!$C$37*'契約別単価'!C6+'前提と出典'!$C$38*'契約別単価'!C7)</ns0:f>
        <ns0:v>7.195530726256983</ns0:v>
      </ns0:c>
      <ns0:c r="E5" s="16">
        <ns0:f>A5*('前提と出典'!$C$36*'契約別単価'!E5+'前提と出典'!$C$37*'契約別単価'!E6+'前提と出典'!$C$38*'契約別単価'!E7)</ns0:f>
        <ns0:v>2513.872923240913</ns0:v>
      </ns0:c>
      <ns0:c r="F5" s="16">
        <ns0:f>A5*('前提と出典'!$C$36*'契約別単価'!F5+'前提と出典'!$C$37*'契約別単価'!F6+'前提と出典'!$C$38*'契約別単価'!F7)</ns0:f>
        <ns0:v>730.4672131954582</ns0:v>
      </ns0:c>
      <ns0:c r="G5" s="16">
        <ns0:f>A5*('前提と出典'!$C$36*'契約別単価'!G5+'前提と出典'!$C$37*'契約別単価'!G6+'前提と出典'!$C$38*'契約別単価'!G7)</ns0:f>
        <ns0:v>1990.5027932960893</ns0:v>
      </ns0:c>
      <ns0:c r="H5" s="16">
        <ns0:f>A5*('前提と出典'!$C$36*'契約別単価'!H5+'前提と出典'!$C$37*'契約別単価'!H6+'前提と出典'!$C$38*'契約別単価'!H7)</ns0:f>
        <ns0:v>690.8043008337777</ns0:v>
      </ns0:c>
      <ns0:c r="I5" s="16">
        <ns0:f>A5*('前提と出典'!$C$36*'契約別単価'!I5+'前提と出典'!$C$37*'契約別単価'!I6+'前提と出典'!$C$38*'契約別単価'!I7)</ns0:f>
        <ns0:v>42.195530726256976</ns0:v>
      </ns0:c>
      <ns0:c r="J5" s="16">
        <ns0:f>A5*('前提と出典'!$C$36*'契約別単価'!J5+'前提と出典'!$C$37*'契約別単価'!J6+'前提と出典'!$C$38*'契約別単価'!J7)</ns0:f>
        <ns0:v>98.28954371030257</ns0:v>
      </ns0:c>
      <ns0:c r="K5" s="16">
        <ns0:f>A5*('前提と出典'!$C$36*'契約別単価'!K5+'前提と出典'!$C$37*'契約別単価'!K6+'前提と出典'!$C$38*'契約別単価'!K7)</ns0:f>
        <ns0:v>421.3035381750465</ns0:v>
      </ns0:c>
      <ns0:c r="L5" s="16">
        <ns0:f>A5*('前提と出典'!$C$36*'契約別単価'!L5+'前提と出典'!$C$37*'契約別単価'!L6+'前提と出典'!$C$38*'契約別単価'!L7)</ns0:f>
        <ns0:v>343.0268100277926</ns0:v>
      </ns0:c>
      <ns0:c r="M5" s="16">
        <ns0:f>IF(('前提と出典'!$C$36+'前提と出典'!$C$38)=0,0,IF(B5&lt;=10,'前提と出典'!B73+'前提と出典'!C73,IF(B5&lt;=100,'前提と出典'!B74+'前提と出典'!C74,IF(B5&lt;=500,'前提と出典'!B75+'前提と出典'!C75,'前提と出典'!B76+'前提と出典'!C76))))</ns0:f>
        <ns0:v>10000</ns0:v>
      </ns0:c>
      <ns0:c r="N5" s="16">
        <ns0:f>IF(('前提と出典'!$C$37+'前提と出典'!$C$38)=0,0,IF(C5&lt;=10,'前提と出典'!D73+'前提と出典'!E73,IF(C5&lt;=100,'前提と出典'!D74+'前提と出典'!E74,IF(C5&lt;=500,'前提と出典'!D75+'前提と出典'!E75,'前提と出典'!D76+'前提と出典'!E76))))</ns0:f>
        <ns0:v>30010.934626307797</ns0:v>
      </ns0:c>
      <ns0:c r="O5" s="16">
        <ns0:f>IF('前提と出典'!$C$36+'前提と出典'!$C$38=0,0,'前提と出典'!$B$4*IF('前提と出典'!$B$20=0,MAX('前提と出典'!$B$6,D5*'前提と出典'!$B$5),'前提と出典'!$B$6+D5*'前提と出典'!$B$5))</ns0:f>
        <ns0:v>22500</ns0:v>
      </ns0:c>
      <ns0:c r="P5" s="16">
        <ns0:f>(E5+G5)*(1-'前提と出典'!$B$7)-I5-K5-M5-O5</ns0:f>
        <ns0:v>-28621.280878159632</ns0:v>
      </ns0:c>
      <ns0:c r="Q5" s="16">
        <ns0:f>(F5+H5)*(1-'前提と出典'!$B$7)-J5-L5-N5</ns0:f>
        <ns0:v>-29082.145240521706</ns0:v>
      </ns0:c>
      <ns0:c r="R5" s="16">
        <ns0:f>P5-E5*'前提と出典'!$E$4</ns0:f>
        <ns0:v>-29375.44275513191</ns0:v>
      </ns0:c>
      <ns0:c r="S5" s="16">
        <ns0:f>Q5-F5*'前提と出典'!$E$4</ns0:f>
        <ns0:v>-29301.285404480346</ns0:v>
      </ns0:c>
      <ns0:c r="T5" s="7">
        <ns0:f>R5+S5</ns0:f>
        <ns0:v>-58676.728159612256</ns0:v>
      </ns0:c>
      <ns0:c r="U5" s="16">
        <ns0:f>P5-E5*'前提と出典'!$E$5</ns0:f>
        <ns0:v>-29626.830047456</ns0:v>
      </ns0:c>
      <ns0:c r="V5" s="16">
        <ns0:f>Q5-F5*'前提と出典'!$E$5</ns0:f>
        <ns0:v>-29374.33212579989</ns0:v>
      </ns0:c>
      <ns0:c r="W5" s="7">
        <ns0:f>U5+V5</ns0:f>
        <ns0:v>-59001.162173255885</ns0:v>
      </ns0:c>
      <ns0:c r="X5" s="16">
        <ns0:f>P5-E5*'前提と出典'!$E$6</ns0:f>
        <ns0:v>-29878.21733978009</ns0:v>
      </ns0:c>
      <ns0:c r="Y5" s="16">
        <ns0:f>Q5-F5*'前提と出典'!$E$6</ns0:f>
        <ns0:v>-29447.37884711944</ns0:v>
      </ns0:c>
      <ns0:c r="Z5" s="7">
        <ns0:f>X5+Y5</ns0:f>
        <ns0:v>-59325.59618689953</ns0:v>
      </ns0:c>
      <ns0:c r="AA5" s="7">
        <ns0:f>IF(T5&gt;=0,A5,1001)</ns0:f>
        <ns0:v>1001</ns0:v>
      </ns0:c>
      <ns0:c r="AB5" s="7">
        <ns0:f>IF(T5&lt;0,A5,0)</ns0:f>
        <ns0:v>1</ns0:v>
      </ns0:c>
      <ns0:c r="AC5" s="16">
        <ns0:f>IF(AND(OR('前提と出典'!$C$36+'前提と出典'!$C$38=0,R5&gt;=0),OR('前提と出典'!$C$37+'前提と出典'!$C$38=0,S5&gt;=0)),0,A5)</ns0:f>
        <ns0:v>1</ns0:v>
      </ns0:c>
      <ns0:c r="AD5" s="7">
        <ns0:f>IF(W5&gt;=0,A5,1001)</ns0:f>
        <ns0:v>1001</ns0:v>
      </ns0:c>
      <ns0:c r="AE5" s="7">
        <ns0:f>IF(W5&lt;0,A5,0)</ns0:f>
        <ns0:v>1</ns0:v>
      </ns0:c>
      <ns0:c r="AF5" s="16">
        <ns0:f>IF(AND(OR('前提と出典'!$C$36+'前提と出典'!$C$38=0,U5&gt;=0),OR('前提と出典'!$C$37+'前提と出典'!$C$38=0,V5&gt;=0)),0,A5)</ns0:f>
        <ns0:v>1</ns0:v>
      </ns0:c>
      <ns0:c r="AG5" s="7">
        <ns0:f>IF(Z5&gt;=0,A5,1001)</ns0:f>
        <ns0:v>1001</ns0:v>
      </ns0:c>
      <ns0:c r="AH5" s="4">
        <ns0:f>IF(Z5&lt;0,A5,0)</ns0:f>
        <ns0:v>1</ns0:v>
      </ns0:c>
      <ns0:c r="AI5" s="12">
        <ns0:f>IF(AND(OR('前提と出典'!$C$36+'前提と出典'!$C$38=0,X5&gt;=0),OR('前提と出典'!$C$37+'前提と出典'!$C$38=0,Y5&gt;=0)),0,A5)</ns0:f>
        <ns0:v>1</ns0:v>
      </ns0:c>
    </ns0:row>
    <ns0:row r="6" ht="24" customHeight="1">
      <ns0:c r="A6" s="4" t="n">
        <ns0:v>2</ns0:v>
      </ns0:c>
      <ns0:c r="B6" s="12">
        <ns0:f>A6*('前提と出典'!$C$36+'前提と出典'!$C$38)</ns0:f>
        <ns0:v>1.4</ns0:v>
      </ns0:c>
      <ns0:c r="C6" s="12">
        <ns0:f>A6*('前提と出典'!$C$37+'前提と出典'!$C$38)</ns0:f>
        <ns0:v>1.2</ns0:v>
      </ns0:c>
      <ns0:c r="D6" s="16">
        <ns0:f>A6*('前提と出典'!$C$36*'契約別単価'!C5+'前提と出典'!$C$37*'契約別単価'!C6+'前提と出典'!$C$38*'契約別単価'!C7)</ns0:f>
        <ns0:v>14.391061452513966</ns0:v>
      </ns0:c>
      <ns0:c r="E6" s="16">
        <ns0:f>A6*('前提と出典'!$C$36*'契約別単価'!E5+'前提と出典'!$C$37*'契約別単価'!E6+'前提と出典'!$C$38*'契約別単価'!E7)</ns0:f>
        <ns0:v>5027.745846481826</ns0:v>
      </ns0:c>
      <ns0:c r="F6" s="16">
        <ns0:f>A6*('前提と出典'!$C$36*'契約別単価'!F5+'前提と出典'!$C$37*'契約別単価'!F6+'前提と出典'!$C$38*'契約別単価'!F7)</ns0:f>
        <ns0:v>1460.9344263909163</ns0:v>
      </ns0:c>
      <ns0:c r="G6" s="16">
        <ns0:f>A6*('前提と出典'!$C$36*'契約別単価'!G5+'前提と出典'!$C$37*'契約別単価'!G6+'前提と出典'!$C$38*'契約別単価'!G7)</ns0:f>
        <ns0:v>3981.0055865921786</ns0:v>
      </ns0:c>
      <ns0:c r="H6" s="16">
        <ns0:f>A6*('前提と出典'!$C$36*'契約別単価'!H5+'前提と出典'!$C$37*'契約別単価'!H6+'前提と出典'!$C$38*'契約別単価'!H7)</ns0:f>
        <ns0:v>1381.6086016675554</ns0:v>
      </ns0:c>
      <ns0:c r="I6" s="16">
        <ns0:f>A6*('前提と出典'!$C$36*'契約別単価'!I5+'前提と出典'!$C$37*'契約別単価'!I6+'前提と出典'!$C$38*'契約別単価'!I7)</ns0:f>
        <ns0:v>84.39106145251395</ns0:v>
      </ns0:c>
      <ns0:c r="J6" s="16">
        <ns0:f>A6*('前提と出典'!$C$36*'契約別単価'!J5+'前提と出典'!$C$37*'契約別単価'!J6+'前提と出典'!$C$38*'契約別単価'!J7)</ns0:f>
        <ns0:v>196.57908742060513</ns0:v>
      </ns0:c>
      <ns0:c r="K6" s="16">
        <ns0:f>A6*('前提と出典'!$C$36*'契約別単価'!K5+'前提と出典'!$C$37*'契約別単価'!K6+'前提と出典'!$C$38*'契約別単価'!K7)</ns0:f>
        <ns0:v>842.607076350093</ns0:v>
      </ns0:c>
      <ns0:c r="L6" s="16">
        <ns0:f>A6*('前提と出典'!$C$36*'契約別単価'!L5+'前提と出典'!$C$37*'契約別単価'!L6+'前提と出典'!$C$38*'契約別単価'!L7)</ns0:f>
        <ns0:v>686.0536200555852</ns0:v>
      </ns0:c>
      <ns0:c r="M6" s="16">
        <ns0:f>IF(('前提と出典'!$C$36+'前提と出典'!$C$38)=0,0,IF(B6&lt;=10,'前提と出典'!B73+'前提と出典'!C73,IF(B6&lt;=100,'前提と出典'!B74+'前提と出典'!C74,IF(B6&lt;=500,'前提と出典'!B75+'前提と出典'!C75,'前提と出典'!B76+'前提と出典'!C76))))</ns0:f>
        <ns0:v>10000</ns0:v>
      </ns0:c>
      <ns0:c r="N6" s="16">
        <ns0:f>IF(('前提と出典'!$C$37+'前提と出典'!$C$38)=0,0,IF(C6&lt;=10,'前提と出典'!D73+'前提と出典'!E73,IF(C6&lt;=100,'前提と出典'!D74+'前提と出典'!E74,IF(C6&lt;=500,'前提と出典'!D75+'前提と出典'!E75,'前提と出典'!D76+'前提と出典'!E76))))</ns0:f>
        <ns0:v>30010.934626307797</ns0:v>
      </ns0:c>
      <ns0:c r="O6" s="16">
        <ns0:f>IF('前提と出典'!$C$36+'前提と出典'!$C$38=0,0,'前提と出典'!$B$4*IF('前提と出典'!$B$20=0,MAX('前提と出典'!$B$6,D6*'前提と出典'!$B$5),'前提と出典'!$B$6+D6*'前提と出典'!$B$5))</ns0:f>
        <ns0:v>22500</ns0:v>
      </ns0:c>
      <ns0:c r="P6" s="16">
        <ns0:f>(E6+G6)*(1-'前提と出典'!$B$7)-I6-K6-M6-O6</ns0:f>
        <ns0:v>-24742.561756319265</ns0:v>
      </ns0:c>
      <ns0:c r="Q6" s="16">
        <ns0:f>(F6+H6)*(1-'前提と出典'!$B$7)-J6-L6-N6</ns0:f>
        <ns0:v>-28153.355854735622</ns0:v>
      </ns0:c>
      <ns0:c r="R6" s="16">
        <ns0:f>P6-E6*'前提と出典'!$E$4</ns0:f>
        <ns0:v>-26250.885510263815</ns0:v>
      </ns0:c>
      <ns0:c r="S6" s="16">
        <ns0:f>Q6-F6*'前提と出典'!$E$4</ns0:f>
        <ns0:v>-28591.636182652896</ns0:v>
      </ns0:c>
      <ns0:c r="T6" s="7">
        <ns0:f>R6+S6</ns0:f>
        <ns0:v>-54842.52169291671</ns0:v>
      </ns0:c>
      <ns0:c r="U6" s="16">
        <ns0:f>P6-E6*'前提と出典'!$E$5</ns0:f>
        <ns0:v>-26753.660094911997</ns0:v>
      </ns0:c>
      <ns0:c r="V6" s="16">
        <ns0:f>Q6-F6*'前提と出典'!$E$5</ns0:f>
        <ns0:v>-28737.729625291988</ns0:v>
      </ns0:c>
      <ns0:c r="W6" s="7">
        <ns0:f>U6+V6</ns0:f>
        <ns0:v>-55491.38972020398</ns0:v>
      </ns0:c>
      <ns0:c r="X6" s="16">
        <ns0:f>P6-E6*'前提と出典'!$E$6</ns0:f>
        <ns0:v>-27256.43467956018</ns0:v>
      </ns0:c>
      <ns0:c r="Y6" s="16">
        <ns0:f>Q6-F6*'前提と出典'!$E$6</ns0:f>
        <ns0:v>-28883.82306793108</ns0:v>
      </ns0:c>
      <ns0:c r="Z6" s="7">
        <ns0:f>X6+Y6</ns0:f>
        <ns0:v>-56140.25774749126</ns0:v>
      </ns0:c>
      <ns0:c r="AA6" s="7">
        <ns0:f>IF(T6&gt;=0,A6,1001)</ns0:f>
        <ns0:v>1001</ns0:v>
      </ns0:c>
      <ns0:c r="AB6" s="7">
        <ns0:f>IF(T6&lt;0,A6,0)</ns0:f>
        <ns0:v>2</ns0:v>
      </ns0:c>
      <ns0:c r="AC6" s="16">
        <ns0:f>IF(AND(OR('前提と出典'!$C$36+'前提と出典'!$C$38=0,R6&gt;=0),OR('前提と出典'!$C$37+'前提と出典'!$C$38=0,S6&gt;=0)),0,A6)</ns0:f>
        <ns0:v>2</ns0:v>
      </ns0:c>
      <ns0:c r="AD6" s="7">
        <ns0:f>IF(W6&gt;=0,A6,1001)</ns0:f>
        <ns0:v>1001</ns0:v>
      </ns0:c>
      <ns0:c r="AE6" s="7">
        <ns0:f>IF(W6&lt;0,A6,0)</ns0:f>
        <ns0:v>2</ns0:v>
      </ns0:c>
      <ns0:c r="AF6" s="16">
        <ns0:f>IF(AND(OR('前提と出典'!$C$36+'前提と出典'!$C$38=0,U6&gt;=0),OR('前提と出典'!$C$37+'前提と出典'!$C$38=0,V6&gt;=0)),0,A6)</ns0:f>
        <ns0:v>2</ns0:v>
      </ns0:c>
      <ns0:c r="AG6" s="7">
        <ns0:f>IF(Z6&gt;=0,A6,1001)</ns0:f>
        <ns0:v>1001</ns0:v>
      </ns0:c>
      <ns0:c r="AH6" s="4">
        <ns0:f>IF(Z6&lt;0,A6,0)</ns0:f>
        <ns0:v>2</ns0:v>
      </ns0:c>
      <ns0:c r="AI6" s="12">
        <ns0:f>IF(AND(OR('前提と出典'!$C$36+'前提と出典'!$C$38=0,X6&gt;=0),OR('前提と出典'!$C$37+'前提と出典'!$C$38=0,Y6&gt;=0)),0,A6)</ns0:f>
        <ns0:v>2</ns0:v>
      </ns0:c>
    </ns0:row>
    <ns0:row r="7" ht="24" customHeight="1">
      <ns0:c r="A7" s="4" t="n">
        <ns0:v>3</ns0:v>
      </ns0:c>
      <ns0:c r="B7" s="12">
        <ns0:f>A7*('前提と出典'!$C$36+'前提と出典'!$C$38)</ns0:f>
        <ns0:v>2.0999999999999996</ns0:v>
      </ns0:c>
      <ns0:c r="C7" s="12">
        <ns0:f>A7*('前提と出典'!$C$37+'前提と出典'!$C$38)</ns0:f>
        <ns0:v>1.7999999999999998</ns0:v>
      </ns0:c>
      <ns0:c r="D7" s="16">
        <ns0:f>A7*('前提と出典'!$C$36*'契約別単価'!C5+'前提と出典'!$C$37*'契約別単価'!C6+'前提と出典'!$C$38*'契約別単価'!C7)</ns0:f>
        <ns0:v>21.58659217877095</ns0:v>
      </ns0:c>
      <ns0:c r="E7" s="16">
        <ns0:f>A7*('前提と出典'!$C$36*'契約別単価'!E5+'前提と出典'!$C$37*'契約別単価'!E6+'前提と出典'!$C$38*'契約別単価'!E7)</ns0:f>
        <ns0:v>7541.61876972274</ns0:v>
      </ns0:c>
      <ns0:c r="F7" s="16">
        <ns0:f>A7*('前提と出典'!$C$36*'契約別単価'!F5+'前提と出典'!$C$37*'契約別単価'!F6+'前提と出典'!$C$38*'契約別単価'!F7)</ns0:f>
        <ns0:v>2191.4016395863746</ns0:v>
      </ns0:c>
      <ns0:c r="G7" s="16">
        <ns0:f>A7*('前提と出典'!$C$36*'契約別単価'!G5+'前提と出典'!$C$37*'契約別単価'!G6+'前提と出典'!$C$38*'契約別単価'!G7)</ns0:f>
        <ns0:v>5971.508379888268</ns0:v>
      </ns0:c>
      <ns0:c r="H7" s="16">
        <ns0:f>A7*('前提と出典'!$C$36*'契約別単価'!H5+'前提と出典'!$C$37*'契約別単価'!H6+'前提と出典'!$C$38*'契約別単価'!H7)</ns0:f>
        <ns0:v>2072.412902501333</ns0:v>
      </ns0:c>
      <ns0:c r="I7" s="16">
        <ns0:f>A7*('前提と出典'!$C$36*'契約別単価'!I5+'前提と出典'!$C$37*'契約別単価'!I6+'前提と出典'!$C$38*'契約別単価'!I7)</ns0:f>
        <ns0:v>126.58659217877093</ns0:v>
      </ns0:c>
      <ns0:c r="J7" s="16">
        <ns0:f>A7*('前提と出典'!$C$36*'契約別単価'!J5+'前提と出典'!$C$37*'契約別単価'!J6+'前提と出典'!$C$38*'契約別単価'!J7)</ns0:f>
        <ns0:v>294.8686311309077</ns0:v>
      </ns0:c>
      <ns0:c r="K7" s="16">
        <ns0:f>A7*('前提と出典'!$C$36*'契約別単価'!K5+'前提と出典'!$C$37*'契約別単価'!K6+'前提と出典'!$C$38*'契約別単価'!K7)</ns0:f>
        <ns0:v>1263.9106145251396</ns0:v>
      </ns0:c>
      <ns0:c r="L7" s="16">
        <ns0:f>A7*('前提と出典'!$C$36*'契約別単価'!L5+'前提と出典'!$C$37*'契約別単価'!L6+'前提と出典'!$C$38*'契約別単価'!L7)</ns0:f>
        <ns0:v>1029.0804300833777</ns0:v>
      </ns0:c>
      <ns0:c r="M7" s="16">
        <ns0:f>IF(('前提と出典'!$C$36+'前提と出典'!$C$38)=0,0,IF(B7&lt;=10,'前提と出典'!B73+'前提と出典'!C73,IF(B7&lt;=100,'前提と出典'!B74+'前提と出典'!C74,IF(B7&lt;=500,'前提と出典'!B75+'前提と出典'!C75,'前提と出典'!B76+'前提と出典'!C76))))</ns0:f>
        <ns0:v>10000</ns0:v>
      </ns0:c>
      <ns0:c r="N7" s="16">
        <ns0:f>IF(('前提と出典'!$C$37+'前提と出典'!$C$38)=0,0,IF(C7&lt;=10,'前提と出典'!D73+'前提と出典'!E73,IF(C7&lt;=100,'前提と出典'!D74+'前提と出典'!E74,IF(C7&lt;=500,'前提と出典'!D75+'前提と出典'!E75,'前提と出典'!D76+'前提と出典'!E76))))</ns0:f>
        <ns0:v>30010.934626307797</ns0:v>
      </ns0:c>
      <ns0:c r="O7" s="16">
        <ns0:f>IF('前提と出典'!$C$36+'前提と出典'!$C$38=0,0,'前提と出典'!$B$4*IF('前提と出典'!$B$20=0,MAX('前提と出典'!$B$6,D7*'前提と出典'!$B$5),'前提と出典'!$B$6+D7*'前提と出典'!$B$5))</ns0:f>
        <ns0:v>22500</ns0:v>
      </ns0:c>
      <ns0:c r="P7" s="16">
        <ns0:f>(E7+G7)*(1-'前提と出典'!$B$7)-I7-K7-M7-O7</ns0:f>
        <ns0:v>-20863.842634478897</ns0:v>
      </ns0:c>
      <ns0:c r="Q7" s="16">
        <ns0:f>(F7+H7)*(1-'前提と出典'!$B$7)-J7-L7-N7</ns0:f>
        <ns0:v>-27224.56646894953</ns0:v>
      </ns0:c>
      <ns0:c r="R7" s="16">
        <ns0:f>P7-E7*'前提と出典'!$E$4</ns0:f>
        <ns0:v>-23126.32826539572</ns0:v>
      </ns0:c>
      <ns0:c r="S7" s="16">
        <ns0:f>Q7-F7*'前提と出典'!$E$4</ns0:f>
        <ns0:v>-27881.986960825445</ns0:v>
      </ns0:c>
      <ns0:c r="T7" s="7">
        <ns0:f>R7+S7</ns0:f>
        <ns0:v>-51008.315226221166</ns0:v>
      </ns0:c>
      <ns0:c r="U7" s="16">
        <ns0:f>P7-E7*'前提と出典'!$E$5</ns0:f>
        <ns0:v>-23880.490142367995</ns0:v>
      </ns0:c>
      <ns0:c r="V7" s="16">
        <ns0:f>Q7-F7*'前提と出典'!$E$5</ns0:f>
        <ns0:v>-28101.12712478408</ns0:v>
      </ns0:c>
      <ns0:c r="W7" s="7">
        <ns0:f>U7+V7</ns0:f>
        <ns0:v>-51981.617267152076</ns0:v>
      </ns0:c>
      <ns0:c r="X7" s="16">
        <ns0:f>P7-E7*'前提と出典'!$E$6</ns0:f>
        <ns0:v>-24634.65201934027</ns0:v>
      </ns0:c>
      <ns0:c r="Y7" s="16">
        <ns0:f>Q7-F7*'前提と出典'!$E$6</ns0:f>
        <ns0:v>-28320.267288742718</ns0:v>
      </ns0:c>
      <ns0:c r="Z7" s="7">
        <ns0:f>X7+Y7</ns0:f>
        <ns0:v>-52954.91930808299</ns0:v>
      </ns0:c>
      <ns0:c r="AA7" s="7">
        <ns0:f>IF(T7&gt;=0,A7,1001)</ns0:f>
        <ns0:v>1001</ns0:v>
      </ns0:c>
      <ns0:c r="AB7" s="7">
        <ns0:f>IF(T7&lt;0,A7,0)</ns0:f>
        <ns0:v>3</ns0:v>
      </ns0:c>
      <ns0:c r="AC7" s="16">
        <ns0:f>IF(AND(OR('前提と出典'!$C$36+'前提と出典'!$C$38=0,R7&gt;=0),OR('前提と出典'!$C$37+'前提と出典'!$C$38=0,S7&gt;=0)),0,A7)</ns0:f>
        <ns0:v>3</ns0:v>
      </ns0:c>
      <ns0:c r="AD7" s="7">
        <ns0:f>IF(W7&gt;=0,A7,1001)</ns0:f>
        <ns0:v>1001</ns0:v>
      </ns0:c>
      <ns0:c r="AE7" s="7">
        <ns0:f>IF(W7&lt;0,A7,0)</ns0:f>
        <ns0:v>3</ns0:v>
      </ns0:c>
      <ns0:c r="AF7" s="16">
        <ns0:f>IF(AND(OR('前提と出典'!$C$36+'前提と出典'!$C$38=0,U7&gt;=0),OR('前提と出典'!$C$37+'前提と出典'!$C$38=0,V7&gt;=0)),0,A7)</ns0:f>
        <ns0:v>3</ns0:v>
      </ns0:c>
      <ns0:c r="AG7" s="7">
        <ns0:f>IF(Z7&gt;=0,A7,1001)</ns0:f>
        <ns0:v>1001</ns0:v>
      </ns0:c>
      <ns0:c r="AH7" s="4">
        <ns0:f>IF(Z7&lt;0,A7,0)</ns0:f>
        <ns0:v>3</ns0:v>
      </ns0:c>
      <ns0:c r="AI7" s="12">
        <ns0:f>IF(AND(OR('前提と出典'!$C$36+'前提と出典'!$C$38=0,X7&gt;=0),OR('前提と出典'!$C$37+'前提と出典'!$C$38=0,Y7&gt;=0)),0,A7)</ns0:f>
        <ns0:v>3</ns0:v>
      </ns0:c>
    </ns0:row>
    <ns0:row r="8" ht="24" customHeight="1">
      <ns0:c r="A8" s="4" t="n">
        <ns0:v>4</ns0:v>
      </ns0:c>
      <ns0:c r="B8" s="12">
        <ns0:f>A8*('前提と出典'!$C$36+'前提と出典'!$C$38)</ns0:f>
        <ns0:v>2.8</ns0:v>
      </ns0:c>
      <ns0:c r="C8" s="12">
        <ns0:f>A8*('前提と出典'!$C$37+'前提と出典'!$C$38)</ns0:f>
        <ns0:v>2.4</ns0:v>
      </ns0:c>
      <ns0:c r="D8" s="16">
        <ns0:f>A8*('前提と出典'!$C$36*'契約別単価'!C5+'前提と出典'!$C$37*'契約別単価'!C6+'前提と出典'!$C$38*'契約別単価'!C7)</ns0:f>
        <ns0:v>28.782122905027933</ns0:v>
      </ns0:c>
      <ns0:c r="E8" s="16">
        <ns0:f>A8*('前提と出典'!$C$36*'契約別単価'!E5+'前提と出典'!$C$37*'契約別単価'!E6+'前提と出典'!$C$38*'契約別単価'!E7)</ns0:f>
        <ns0:v>10055.491692963653</ns0:v>
      </ns0:c>
      <ns0:c r="F8" s="16">
        <ns0:f>A8*('前提と出典'!$C$36*'契約別単価'!F5+'前提と出典'!$C$37*'契約別単価'!F6+'前提と出典'!$C$38*'契約別単価'!F7)</ns0:f>
        <ns0:v>2921.8688527818326</ns0:v>
      </ns0:c>
      <ns0:c r="G8" s="16">
        <ns0:f>A8*('前提と出典'!$C$36*'契約別単価'!G5+'前提と出典'!$C$37*'契約別単価'!G6+'前提と出典'!$C$38*'契約別単価'!G7)</ns0:f>
        <ns0:v>7962.011173184357</ns0:v>
      </ns0:c>
      <ns0:c r="H8" s="16">
        <ns0:f>A8*('前提と出典'!$C$36*'契約別単価'!H5+'前提と出典'!$C$37*'契約別単価'!H6+'前提と出典'!$C$38*'契約別単価'!H7)</ns0:f>
        <ns0:v>2763.2172033351108</ns0:v>
      </ns0:c>
      <ns0:c r="I8" s="16">
        <ns0:f>A8*('前提と出典'!$C$36*'契約別単価'!I5+'前提と出典'!$C$37*'契約別単価'!I6+'前提と出典'!$C$38*'契約別単価'!I7)</ns0:f>
        <ns0:v>168.7821229050279</ns0:v>
      </ns0:c>
      <ns0:c r="J8" s="16">
        <ns0:f>A8*('前提と出典'!$C$36*'契約別単価'!J5+'前提と出典'!$C$37*'契約別単価'!J6+'前提と出典'!$C$38*'契約別単価'!J7)</ns0:f>
        <ns0:v>393.15817484121027</ns0:v>
      </ns0:c>
      <ns0:c r="K8" s="16">
        <ns0:f>A8*('前提と出典'!$C$36*'契約別単価'!K5+'前提と出典'!$C$37*'契約別単価'!K6+'前提と出典'!$C$38*'契約別単価'!K7)</ns0:f>
        <ns0:v>1685.214152700186</ns0:v>
      </ns0:c>
      <ns0:c r="L8" s="16">
        <ns0:f>A8*('前提と出典'!$C$36*'契約別単価'!L5+'前提と出典'!$C$37*'契約別単価'!L6+'前提と出典'!$C$38*'契約別単価'!L7)</ns0:f>
        <ns0:v>1372.1072401111703</ns0:v>
      </ns0:c>
      <ns0:c r="M8" s="16">
        <ns0:f>IF(('前提と出典'!$C$36+'前提と出典'!$C$38)=0,0,IF(B8&lt;=10,'前提と出典'!B73+'前提と出典'!C73,IF(B8&lt;=100,'前提と出典'!B74+'前提と出典'!C74,IF(B8&lt;=500,'前提と出典'!B75+'前提と出典'!C75,'前提と出典'!B76+'前提と出典'!C76))))</ns0:f>
        <ns0:v>10000</ns0:v>
      </ns0:c>
      <ns0:c r="N8" s="16">
        <ns0:f>IF(('前提と出典'!$C$37+'前提と出典'!$C$38)=0,0,IF(C8&lt;=10,'前提と出典'!D73+'前提と出典'!E73,IF(C8&lt;=100,'前提と出典'!D74+'前提と出典'!E74,IF(C8&lt;=500,'前提と出典'!D75+'前提と出典'!E75,'前提と出典'!D76+'前提と出典'!E76))))</ns0:f>
        <ns0:v>30010.934626307797</ns0:v>
      </ns0:c>
      <ns0:c r="O8" s="16">
        <ns0:f>IF('前提と出典'!$C$36+'前提と出典'!$C$38=0,0,'前提と出典'!$B$4*IF('前提と出典'!$B$20=0,MAX('前提と出典'!$B$6,D8*'前提と出典'!$B$5),'前提と出典'!$B$6+D8*'前提と出典'!$B$5))</ns0:f>
        <ns0:v>22500</ns0:v>
      </ns0:c>
      <ns0:c r="P8" s="16">
        <ns0:f>(E8+G8)*(1-'前提と出典'!$B$7)-I8-K8-M8-O8</ns0:f>
        <ns0:v>-16985.123512638533</ns0:v>
      </ns0:c>
      <ns0:c r="Q8" s="16">
        <ns0:f>(F8+H8)*(1-'前提と出典'!$B$7)-J8-L8-N8</ns0:f>
        <ns0:v>-26295.777083163444</ns0:v>
      </ns0:c>
      <ns0:c r="R8" s="16">
        <ns0:f>P8-E8*'前提と出典'!$E$4</ns0:f>
        <ns0:v>-20001.77102052763</ns0:v>
      </ns0:c>
      <ns0:c r="S8" s="16">
        <ns0:f>Q8-F8*'前提と出典'!$E$4</ns0:f>
        <ns0:v>-27172.337738997994</ns0:v>
      </ns0:c>
      <ns0:c r="T8" s="7">
        <ns0:f>R8+S8</ns0:f>
        <ns0:v>-47174.108759525625</ns0:v>
      </ns0:c>
      <ns0:c r="U8" s="16">
        <ns0:f>P8-E8*'前提と出典'!$E$5</ns0:f>
        <ns0:v>-21007.320189823993</ns0:v>
      </ns0:c>
      <ns0:c r="V8" s="16">
        <ns0:f>Q8-F8*'前提と出典'!$E$5</ns0:f>
        <ns0:v>-27464.52462427618</ns0:v>
      </ns0:c>
      <ns0:c r="W8" s="7">
        <ns0:f>U8+V8</ns0:f>
        <ns0:v>-48471.84481410017</ns0:v>
      </ns0:c>
      <ns0:c r="X8" s="16">
        <ns0:f>P8-E8*'前提と出典'!$E$6</ns0:f>
        <ns0:v>-22012.86935912036</ns0:v>
      </ns0:c>
      <ns0:c r="Y8" s="16">
        <ns0:f>Q8-F8*'前提と出典'!$E$6</ns0:f>
        <ns0:v>-27756.71150955436</ns0:v>
      </ns0:c>
      <ns0:c r="Z8" s="7">
        <ns0:f>X8+Y8</ns0:f>
        <ns0:v>-49769.58086867472</ns0:v>
      </ns0:c>
      <ns0:c r="AA8" s="7">
        <ns0:f>IF(T8&gt;=0,A8,1001)</ns0:f>
        <ns0:v>1001</ns0:v>
      </ns0:c>
      <ns0:c r="AB8" s="7">
        <ns0:f>IF(T8&lt;0,A8,0)</ns0:f>
        <ns0:v>4</ns0:v>
      </ns0:c>
      <ns0:c r="AC8" s="16">
        <ns0:f>IF(AND(OR('前提と出典'!$C$36+'前提と出典'!$C$38=0,R8&gt;=0),OR('前提と出典'!$C$37+'前提と出典'!$C$38=0,S8&gt;=0)),0,A8)</ns0:f>
        <ns0:v>4</ns0:v>
      </ns0:c>
      <ns0:c r="AD8" s="7">
        <ns0:f>IF(W8&gt;=0,A8,1001)</ns0:f>
        <ns0:v>1001</ns0:v>
      </ns0:c>
      <ns0:c r="AE8" s="7">
        <ns0:f>IF(W8&lt;0,A8,0)</ns0:f>
        <ns0:v>4</ns0:v>
      </ns0:c>
      <ns0:c r="AF8" s="16">
        <ns0:f>IF(AND(OR('前提と出典'!$C$36+'前提と出典'!$C$38=0,U8&gt;=0),OR('前提と出典'!$C$37+'前提と出典'!$C$38=0,V8&gt;=0)),0,A8)</ns0:f>
        <ns0:v>4</ns0:v>
      </ns0:c>
      <ns0:c r="AG8" s="7">
        <ns0:f>IF(Z8&gt;=0,A8,1001)</ns0:f>
        <ns0:v>1001</ns0:v>
      </ns0:c>
      <ns0:c r="AH8" s="4">
        <ns0:f>IF(Z8&lt;0,A8,0)</ns0:f>
        <ns0:v>4</ns0:v>
      </ns0:c>
      <ns0:c r="AI8" s="12">
        <ns0:f>IF(AND(OR('前提と出典'!$C$36+'前提と出典'!$C$38=0,X8&gt;=0),OR('前提と出典'!$C$37+'前提と出典'!$C$38=0,Y8&gt;=0)),0,A8)</ns0:f>
        <ns0:v>4</ns0:v>
      </ns0:c>
    </ns0:row>
    <ns0:row r="9" ht="24" customHeight="1">
      <ns0:c r="A9" s="4" t="n">
        <ns0:v>5</ns0:v>
      </ns0:c>
      <ns0:c r="B9" s="12">
        <ns0:f>A9*('前提と出典'!$C$36+'前提と出典'!$C$38)</ns0:f>
        <ns0:v>3.5</ns0:v>
      </ns0:c>
      <ns0:c r="C9" s="12">
        <ns0:f>A9*('前提と出典'!$C$37+'前提と出典'!$C$38)</ns0:f>
        <ns0:v>3</ns0:v>
      </ns0:c>
      <ns0:c r="D9" s="16">
        <ns0:f>A9*('前提と出典'!$C$36*'契約別単価'!C5+'前提と出典'!$C$37*'契約別単価'!C6+'前提と出典'!$C$38*'契約別単価'!C7)</ns0:f>
        <ns0:v>35.977653631284916</ns0:v>
      </ns0:c>
      <ns0:c r="E9" s="16">
        <ns0:f>A9*('前提と出典'!$C$36*'契約別単価'!E5+'前提と出典'!$C$37*'契約別単価'!E6+'前提と出典'!$C$38*'契約別単価'!E7)</ns0:f>
        <ns0:v>12569.364616204566</ns0:v>
      </ns0:c>
      <ns0:c r="F9" s="16">
        <ns0:f>A9*('前提と出典'!$C$36*'契約別単価'!F5+'前提と出典'!$C$37*'契約別単価'!F6+'前提と出典'!$C$38*'契約別単価'!F7)</ns0:f>
        <ns0:v>3652.3360659772907</ns0:v>
      </ns0:c>
      <ns0:c r="G9" s="16">
        <ns0:f>A9*('前提と出典'!$C$36*'契約別単価'!G5+'前提と出典'!$C$37*'契約別単価'!G6+'前提と出典'!$C$38*'契約別単価'!G7)</ns0:f>
        <ns0:v>9952.513966480446</ns0:v>
      </ns0:c>
      <ns0:c r="H9" s="16">
        <ns0:f>A9*('前提と出典'!$C$36*'契約別単価'!H5+'前提と出典'!$C$37*'契約別単価'!H6+'前提と出典'!$C$38*'契約別単価'!H7)</ns0:f>
        <ns0:v>3454.0215041688884</ns0:v>
      </ns0:c>
      <ns0:c r="I9" s="16">
        <ns0:f>A9*('前提と出典'!$C$36*'契約別単価'!I5+'前提と出典'!$C$37*'契約別単価'!I6+'前提と出典'!$C$38*'契約別単価'!I7)</ns0:f>
        <ns0:v>210.97765363128488</ns0:v>
      </ns0:c>
      <ns0:c r="J9" s="16">
        <ns0:f>A9*('前提と出典'!$C$36*'契約別単価'!J5+'前提と出典'!$C$37*'契約別単価'!J6+'前提と出典'!$C$38*'契約別単価'!J7)</ns0:f>
        <ns0:v>491.4477185515128</ns0:v>
      </ns0:c>
      <ns0:c r="K9" s="16">
        <ns0:f>A9*('前提と出典'!$C$36*'契約別単価'!K5+'前提と出典'!$C$37*'契約別単価'!K6+'前提と出典'!$C$38*'契約別単価'!K7)</ns0:f>
        <ns0:v>2106.517690875233</ns0:v>
      </ns0:c>
      <ns0:c r="L9" s="16">
        <ns0:f>A9*('前提と出典'!$C$36*'契約別単価'!L5+'前提と出典'!$C$37*'契約別単価'!L6+'前提と出典'!$C$38*'契約別単価'!L7)</ns0:f>
        <ns0:v>1715.134050138963</ns0:v>
      </ns0:c>
      <ns0:c r="M9" s="16">
        <ns0:f>IF(('前提と出典'!$C$36+'前提と出典'!$C$38)=0,0,IF(B9&lt;=10,'前提と出典'!B73+'前提と出典'!C73,IF(B9&lt;=100,'前提と出典'!B74+'前提と出典'!C74,IF(B9&lt;=500,'前提と出典'!B75+'前提と出典'!C75,'前提と出典'!B76+'前提と出典'!C76))))</ns0:f>
        <ns0:v>10000</ns0:v>
      </ns0:c>
      <ns0:c r="N9" s="16">
        <ns0:f>IF(('前提と出典'!$C$37+'前提と出典'!$C$38)=0,0,IF(C9&lt;=10,'前提と出典'!D73+'前提と出典'!E73,IF(C9&lt;=100,'前提と出典'!D74+'前提と出典'!E74,IF(C9&lt;=500,'前提と出典'!D75+'前提と出典'!E75,'前提と出典'!D76+'前提と出典'!E76))))</ns0:f>
        <ns0:v>30010.934626307797</ns0:v>
      </ns0:c>
      <ns0:c r="O9" s="16">
        <ns0:f>IF('前提と出典'!$C$36+'前提と出典'!$C$38=0,0,'前提と出典'!$B$4*IF('前提と出典'!$B$20=0,MAX('前提と出典'!$B$6,D9*'前提と出典'!$B$5),'前提と出典'!$B$6+D9*'前提と出典'!$B$5))</ns0:f>
        <ns0:v>22500</ns0:v>
      </ns0:c>
      <ns0:c r="P9" s="16">
        <ns0:f>(E9+G9)*(1-'前提と出典'!$B$7)-I9-K9-M9-O9</ns0:f>
        <ns0:v>-13106.404390798165</ns0:v>
      </ns0:c>
      <ns0:c r="Q9" s="16">
        <ns0:f>(F9+H9)*(1-'前提と出典'!$B$7)-J9-L9-N9</ns0:f>
        <ns0:v>-25366.987697377357</ns0:v>
      </ns0:c>
      <ns0:c r="R9" s="16">
        <ns0:f>P9-E9*'前提と出典'!$E$4</ns0:f>
        <ns0:v>-16877.213775659537</ns0:v>
      </ns0:c>
      <ns0:c r="S9" s="16">
        <ns0:f>Q9-F9*'前提と出典'!$E$4</ns0:f>
        <ns0:v>-26462.688517170543</ns0:v>
      </ns0:c>
      <ns0:c r="T9" s="7">
        <ns0:f>R9+S9</ns0:f>
        <ns0:v>-43339.902292830084</ns0:v>
      </ns0:c>
      <ns0:c r="U9" s="16">
        <ns0:f>P9-E9*'前提と出典'!$E$5</ns0:f>
        <ns0:v>-18134.15023727999</ns0:v>
      </ns0:c>
      <ns0:c r="V9" s="16">
        <ns0:f>Q9-F9*'前提と出典'!$E$5</ns0:f>
        <ns0:v>-26827.922123768272</ns0:v>
      </ns0:c>
      <ns0:c r="W9" s="7">
        <ns0:f>U9+V9</ns0:f>
        <ns0:v>-44962.07236104827</ns0:v>
      </ns0:c>
      <ns0:c r="X9" s="16">
        <ns0:f>P9-E9*'前提と出典'!$E$6</ns0:f>
        <ns0:v>-19391.08669890045</ns0:v>
      </ns0:c>
      <ns0:c r="Y9" s="16">
        <ns0:f>Q9-F9*'前提と出典'!$E$6</ns0:f>
        <ns0:v>-27193.155730366</ns0:v>
      </ns0:c>
      <ns0:c r="Z9" s="7">
        <ns0:f>X9+Y9</ns0:f>
        <ns0:v>-46584.24242926645</ns0:v>
      </ns0:c>
      <ns0:c r="AA9" s="7">
        <ns0:f>IF(T9&gt;=0,A9,1001)</ns0:f>
        <ns0:v>1001</ns0:v>
      </ns0:c>
      <ns0:c r="AB9" s="7">
        <ns0:f>IF(T9&lt;0,A9,0)</ns0:f>
        <ns0:v>5</ns0:v>
      </ns0:c>
      <ns0:c r="AC9" s="16">
        <ns0:f>IF(AND(OR('前提と出典'!$C$36+'前提と出典'!$C$38=0,R9&gt;=0),OR('前提と出典'!$C$37+'前提と出典'!$C$38=0,S9&gt;=0)),0,A9)</ns0:f>
        <ns0:v>5</ns0:v>
      </ns0:c>
      <ns0:c r="AD9" s="7">
        <ns0:f>IF(W9&gt;=0,A9,1001)</ns0:f>
        <ns0:v>1001</ns0:v>
      </ns0:c>
      <ns0:c r="AE9" s="7">
        <ns0:f>IF(W9&lt;0,A9,0)</ns0:f>
        <ns0:v>5</ns0:v>
      </ns0:c>
      <ns0:c r="AF9" s="16">
        <ns0:f>IF(AND(OR('前提と出典'!$C$36+'前提と出典'!$C$38=0,U9&gt;=0),OR('前提と出典'!$C$37+'前提と出典'!$C$38=0,V9&gt;=0)),0,A9)</ns0:f>
        <ns0:v>5</ns0:v>
      </ns0:c>
      <ns0:c r="AG9" s="7">
        <ns0:f>IF(Z9&gt;=0,A9,1001)</ns0:f>
        <ns0:v>1001</ns0:v>
      </ns0:c>
      <ns0:c r="AH9" s="4">
        <ns0:f>IF(Z9&lt;0,A9,0)</ns0:f>
        <ns0:v>5</ns0:v>
      </ns0:c>
      <ns0:c r="AI9" s="12">
        <ns0:f>IF(AND(OR('前提と出典'!$C$36+'前提と出典'!$C$38=0,X9&gt;=0),OR('前提と出典'!$C$37+'前提と出典'!$C$38=0,Y9&gt;=0)),0,A9)</ns0:f>
        <ns0:v>5</ns0:v>
      </ns0:c>
    </ns0:row>
    <ns0:row r="10" ht="24" customHeight="1">
      <ns0:c r="A10" s="4" t="n">
        <ns0:v>6</ns0:v>
      </ns0:c>
      <ns0:c r="B10" s="12">
        <ns0:f>A10*('前提と出典'!$C$36+'前提と出典'!$C$38)</ns0:f>
        <ns0:v>4.199999999999999</ns0:v>
      </ns0:c>
      <ns0:c r="C10" s="12">
        <ns0:f>A10*('前提と出典'!$C$37+'前提と出典'!$C$38)</ns0:f>
        <ns0:v>3.5999999999999996</ns0:v>
      </ns0:c>
      <ns0:c r="D10" s="16">
        <ns0:f>A10*('前提と出典'!$C$36*'契約別単価'!C5+'前提と出典'!$C$37*'契約別単価'!C6+'前提と出典'!$C$38*'契約別単価'!C7)</ns0:f>
        <ns0:v>43.1731843575419</ns0:v>
      </ns0:c>
      <ns0:c r="E10" s="16">
        <ns0:f>A10*('前提と出典'!$C$36*'契約別単価'!E5+'前提と出典'!$C$37*'契約別単価'!E6+'前提と出典'!$C$38*'契約別単価'!E7)</ns0:f>
        <ns0:v>15083.23753944548</ns0:v>
      </ns0:c>
      <ns0:c r="F10" s="16">
        <ns0:f>A10*('前提と出典'!$C$36*'契約別単価'!F5+'前提と出典'!$C$37*'契約別単価'!F6+'前提と出典'!$C$38*'契約別単価'!F7)</ns0:f>
        <ns0:v>4382.803279172749</ns0:v>
      </ns0:c>
      <ns0:c r="G10" s="16">
        <ns0:f>A10*('前提と出典'!$C$36*'契約別単価'!G5+'前提と出典'!$C$37*'契約別単価'!G6+'前提と出典'!$C$38*'契約別単価'!G7)</ns0:f>
        <ns0:v>11943.016759776536</ns0:v>
      </ns0:c>
      <ns0:c r="H10" s="16">
        <ns0:f>A10*('前提と出典'!$C$36*'契約別単価'!H5+'前提と出典'!$C$37*'契約別単価'!H6+'前提と出典'!$C$38*'契約別単価'!H7)</ns0:f>
        <ns0:v>4144.825805002666</ns0:v>
      </ns0:c>
      <ns0:c r="I10" s="16">
        <ns0:f>A10*('前提と出典'!$C$36*'契約別単価'!I5+'前提と出典'!$C$37*'契約別単価'!I6+'前提と出典'!$C$38*'契約別単価'!I7)</ns0:f>
        <ns0:v>253.17318435754186</ns0:v>
      </ns0:c>
      <ns0:c r="J10" s="16">
        <ns0:f>A10*('前提と出典'!$C$36*'契約別単価'!J5+'前提と出典'!$C$37*'契約別単価'!J6+'前提と出典'!$C$38*'契約別単価'!J7)</ns0:f>
        <ns0:v>589.7372622618154</ns0:v>
      </ns0:c>
      <ns0:c r="K10" s="16">
        <ns0:f>A10*('前提と出典'!$C$36*'契約別単価'!K5+'前提と出典'!$C$37*'契約別単価'!K6+'前提と出典'!$C$38*'契約別単価'!K7)</ns0:f>
        <ns0:v>2527.8212290502793</ns0:v>
      </ns0:c>
      <ns0:c r="L10" s="16">
        <ns0:f>A10*('前提と出典'!$C$36*'契約別単価'!L5+'前提と出典'!$C$37*'契約別単価'!L6+'前提と出典'!$C$38*'契約別単価'!L7)</ns0:f>
        <ns0:v>2058.1608601667554</ns0:v>
      </ns0:c>
      <ns0:c r="M10" s="16">
        <ns0:f>IF(('前提と出典'!$C$36+'前提と出典'!$C$38)=0,0,IF(B10&lt;=10,'前提と出典'!B73+'前提と出典'!C73,IF(B10&lt;=100,'前提と出典'!B74+'前提と出典'!C74,IF(B10&lt;=500,'前提と出典'!B75+'前提と出典'!C75,'前提と出典'!B76+'前提と出典'!C76))))</ns0:f>
        <ns0:v>10000</ns0:v>
      </ns0:c>
      <ns0:c r="N10" s="16">
        <ns0:f>IF(('前提と出典'!$C$37+'前提と出典'!$C$38)=0,0,IF(C10&lt;=10,'前提と出典'!D73+'前提と出典'!E73,IF(C10&lt;=100,'前提と出典'!D74+'前提と出典'!E74,IF(C10&lt;=500,'前提と出典'!D75+'前提と出典'!E75,'前提と出典'!D76+'前提と出典'!E76))))</ns0:f>
        <ns0:v>30010.934626307797</ns0:v>
      </ns0:c>
      <ns0:c r="O10" s="16">
        <ns0:f>IF('前提と出典'!$C$36+'前提と出典'!$C$38=0,0,'前提と出典'!$B$4*IF('前提と出典'!$B$20=0,MAX('前提と出典'!$B$6,D10*'前提と出典'!$B$5),'前提と出典'!$B$6+D10*'前提と出典'!$B$5))</ns0:f>
        <ns0:v>22500</ns0:v>
      </ns0:c>
      <ns0:c r="P10" s="16">
        <ns0:f>(E10+G10)*(1-'前提と出典'!$B$7)-I10-K10-M10-O10</ns0:f>
        <ns0:v>-9227.685268957797</ns0:v>
      </ns0:c>
      <ns0:c r="Q10" s="16">
        <ns0:f>(F10+H10)*(1-'前提と出典'!$B$7)-J10-L10-N10</ns0:f>
        <ns0:v>-24438.198311591266</ns0:v>
      </ns0:c>
      <ns0:c r="R10" s="16">
        <ns0:f>P10-E10*'前提と出典'!$E$4</ns0:f>
        <ns0:v>-13752.656530791442</ns0:v>
      </ns0:c>
      <ns0:c r="S10" s="16">
        <ns0:f>Q10-F10*'前提と出典'!$E$4</ns0:f>
        <ns0:v>-25753.039295343093</ns0:v>
      </ns0:c>
      <ns0:c r="T10" s="7">
        <ns0:f>R10+S10</ns0:f>
        <ns0:v>-39505.695826134535</ns0:v>
      </ns0:c>
      <ns0:c r="U10" s="16">
        <ns0:f>P10-E10*'前提と出典'!$E$5</ns0:f>
        <ns0:v>-15260.98028473599</ns0:v>
      </ns0:c>
      <ns0:c r="V10" s="16">
        <ns0:f>Q10-F10*'前提と出典'!$E$5</ns0:f>
        <ns0:v>-26191.319623260366</ns0:v>
      </ns0:c>
      <ns0:c r="W10" s="7">
        <ns0:f>U10+V10</ns0:f>
        <ns0:v>-41452.299907996356</ns0:v>
      </ns0:c>
      <ns0:c r="X10" s="16">
        <ns0:f>P10-E10*'前提と出典'!$E$6</ns0:f>
        <ns0:v>-16769.304038680537</ns0:v>
      </ns0:c>
      <ns0:c r="Y10" s="16">
        <ns0:f>Q10-F10*'前提と出典'!$E$6</ns0:f>
        <ns0:v>-26629.59995117764</ns0:v>
      </ns0:c>
      <ns0:c r="Z10" s="7">
        <ns0:f>X10+Y10</ns0:f>
        <ns0:v>-43398.903989858176</ns0:v>
      </ns0:c>
      <ns0:c r="AA10" s="7">
        <ns0:f>IF(T10&gt;=0,A10,1001)</ns0:f>
        <ns0:v>1001</ns0:v>
      </ns0:c>
      <ns0:c r="AB10" s="7">
        <ns0:f>IF(T10&lt;0,A10,0)</ns0:f>
        <ns0:v>6</ns0:v>
      </ns0:c>
      <ns0:c r="AC10" s="16">
        <ns0:f>IF(AND(OR('前提と出典'!$C$36+'前提と出典'!$C$38=0,R10&gt;=0),OR('前提と出典'!$C$37+'前提と出典'!$C$38=0,S10&gt;=0)),0,A10)</ns0:f>
        <ns0:v>6</ns0:v>
      </ns0:c>
      <ns0:c r="AD10" s="7">
        <ns0:f>IF(W10&gt;=0,A10,1001)</ns0:f>
        <ns0:v>1001</ns0:v>
      </ns0:c>
      <ns0:c r="AE10" s="7">
        <ns0:f>IF(W10&lt;0,A10,0)</ns0:f>
        <ns0:v>6</ns0:v>
      </ns0:c>
      <ns0:c r="AF10" s="16">
        <ns0:f>IF(AND(OR('前提と出典'!$C$36+'前提と出典'!$C$38=0,U10&gt;=0),OR('前提と出典'!$C$37+'前提と出典'!$C$38=0,V10&gt;=0)),0,A10)</ns0:f>
        <ns0:v>6</ns0:v>
      </ns0:c>
      <ns0:c r="AG10" s="7">
        <ns0:f>IF(Z10&gt;=0,A10,1001)</ns0:f>
        <ns0:v>1001</ns0:v>
      </ns0:c>
      <ns0:c r="AH10" s="4">
        <ns0:f>IF(Z10&lt;0,A10,0)</ns0:f>
        <ns0:v>6</ns0:v>
      </ns0:c>
      <ns0:c r="AI10" s="12">
        <ns0:f>IF(AND(OR('前提と出典'!$C$36+'前提と出典'!$C$38=0,X10&gt;=0),OR('前提と出典'!$C$37+'前提と出典'!$C$38=0,Y10&gt;=0)),0,A10)</ns0:f>
        <ns0:v>6</ns0:v>
      </ns0:c>
    </ns0:row>
    <ns0:row r="11" ht="24" customHeight="1">
      <ns0:c r="A11" s="4" t="n">
        <ns0:v>7</ns0:v>
      </ns0:c>
      <ns0:c r="B11" s="12">
        <ns0:f>A11*('前提と出典'!$C$36+'前提と出典'!$C$38)</ns0:f>
        <ns0:v>4.8999999999999995</ns0:v>
      </ns0:c>
      <ns0:c r="C11" s="12">
        <ns0:f>A11*('前提と出典'!$C$37+'前提と出典'!$C$38)</ns0:f>
        <ns0:v>4.2</ns0:v>
      </ns0:c>
      <ns0:c r="D11" s="16">
        <ns0:f>A11*('前提と出典'!$C$36*'契約別単価'!C5+'前提と出典'!$C$37*'契約別単価'!C6+'前提と出典'!$C$38*'契約別単価'!C7)</ns0:f>
        <ns0:v>50.36871508379888</ns0:v>
      </ns0:c>
      <ns0:c r="E11" s="16">
        <ns0:f>A11*('前提と出典'!$C$36*'契約別単価'!E5+'前提と出典'!$C$37*'契約別単価'!E6+'前提と出典'!$C$38*'契約別単価'!E7)</ns0:f>
        <ns0:v>17597.110462686393</ns0:v>
      </ns0:c>
      <ns0:c r="F11" s="16">
        <ns0:f>A11*('前提と出典'!$C$36*'契約別単価'!F5+'前提と出典'!$C$37*'契約別単価'!F6+'前提と出典'!$C$38*'契約別単価'!F7)</ns0:f>
        <ns0:v>5113.270492368207</ns0:v>
      </ns0:c>
      <ns0:c r="G11" s="16">
        <ns0:f>A11*('前提と出典'!$C$36*'契約別単価'!G5+'前提と出典'!$C$37*'契約別単価'!G6+'前提と出典'!$C$38*'契約別単価'!G7)</ns0:f>
        <ns0:v>13933.519553072625</ns0:v>
      </ns0:c>
      <ns0:c r="H11" s="16">
        <ns0:f>A11*('前提と出典'!$C$36*'契約別単価'!H5+'前提と出典'!$C$37*'契約別単価'!H6+'前提と出典'!$C$38*'契約別単価'!H7)</ns0:f>
        <ns0:v>4835.630105836444</ns0:v>
      </ns0:c>
      <ns0:c r="I11" s="16">
        <ns0:f>A11*('前提と出典'!$C$36*'契約別単価'!I5+'前提と出典'!$C$37*'契約別単価'!I6+'前提と出典'!$C$38*'契約別単価'!I7)</ns0:f>
        <ns0:v>295.36871508379886</ns0:v>
      </ns0:c>
      <ns0:c r="J11" s="16">
        <ns0:f>A11*('前提と出典'!$C$36*'契約別単価'!J5+'前提と出典'!$C$37*'契約別単価'!J6+'前提と出典'!$C$38*'契約別単価'!J7)</ns0:f>
        <ns0:v>688.0268059721179</ns0:v>
      </ns0:c>
      <ns0:c r="K11" s="16">
        <ns0:f>A11*('前提と出典'!$C$36*'契約別単価'!K5+'前提と出典'!$C$37*'契約別単価'!K6+'前提と出典'!$C$38*'契約別単価'!K7)</ns0:f>
        <ns0:v>2949.1247672253257</ns0:v>
      </ns0:c>
      <ns0:c r="L11" s="16">
        <ns0:f>A11*('前提と出典'!$C$36*'契約別単価'!L5+'前提と出典'!$C$37*'契約別単価'!L6+'前提と出典'!$C$38*'契約別単価'!L7)</ns0:f>
        <ns0:v>2401.187670194548</ns0:v>
      </ns0:c>
      <ns0:c r="M11" s="16">
        <ns0:f>IF(('前提と出典'!$C$36+'前提と出典'!$C$38)=0,0,IF(B11&lt;=10,'前提と出典'!B73+'前提と出典'!C73,IF(B11&lt;=100,'前提と出典'!B74+'前提と出典'!C74,IF(B11&lt;=500,'前提と出典'!B75+'前提と出典'!C75,'前提と出典'!B76+'前提と出典'!C76))))</ns0:f>
        <ns0:v>10000</ns0:v>
      </ns0:c>
      <ns0:c r="N11" s="16">
        <ns0:f>IF(('前提と出典'!$C$37+'前提と出典'!$C$38)=0,0,IF(C11&lt;=10,'前提と出典'!D73+'前提と出典'!E73,IF(C11&lt;=100,'前提と出典'!D74+'前提と出典'!E74,IF(C11&lt;=500,'前提と出典'!D75+'前提と出典'!E75,'前提と出典'!D76+'前提と出典'!E76))))</ns0:f>
        <ns0:v>30010.934626307797</ns0:v>
      </ns0:c>
      <ns0:c r="O11" s="16">
        <ns0:f>IF('前提と出典'!$C$36+'前提と出典'!$C$38=0,0,'前提と出典'!$B$4*IF('前提と出典'!$B$20=0,MAX('前提と出典'!$B$6,D11*'前提と出典'!$B$5),'前提と出典'!$B$6+D11*'前提と出典'!$B$5))</ns0:f>
        <ns0:v>22500</ns0:v>
      </ns0:c>
      <ns0:c r="P11" s="16">
        <ns0:f>(E11+G11)*(1-'前提と出典'!$B$7)-I11-K11-M11-O11</ns0:f>
        <ns0:v>-5348.966147117434</ns0:v>
      </ns0:c>
      <ns0:c r="Q11" s="16">
        <ns0:f>(F11+H11)*(1-'前提と出典'!$B$7)-J11-L11-N11</ns0:f>
        <ns0:v>-23509.408925805175</ns0:v>
      </ns0:c>
      <ns0:c r="R11" s="16">
        <ns0:f>P11-E11*'前提と出典'!$E$4</ns0:f>
        <ns0:v>-10628.099285923352</ns0:v>
      </ns0:c>
      <ns0:c r="S11" s="16">
        <ns0:f>Q11-F11*'前提と出典'!$E$4</ns0:f>
        <ns0:v>-25043.390073515642</ns0:v>
      </ns0:c>
      <ns0:c r="T11" s="7">
        <ns0:f>R11+S11</ns0:f>
        <ns0:v>-35671.489359438994</ns0:v>
      </ns0:c>
      <ns0:c r="U11" s="16">
        <ns0:f>P11-E11*'前提と出典'!$E$5</ns0:f>
        <ns0:v>-12387.810332191992</ns0:v>
      </ns0:c>
      <ns0:c r="V11" s="16">
        <ns0:f>Q11-F11*'前提と出典'!$E$5</ns0:f>
        <ns0:v>-25554.71712275246</ns0:v>
      </ns0:c>
      <ns0:c r="W11" s="7">
        <ns0:f>U11+V11</ns0:f>
        <ns0:v>-37942.52745494445</ns0:v>
      </ns0:c>
      <ns0:c r="X11" s="16">
        <ns0:f>P11-E11*'前提と出典'!$E$6</ns0:f>
        <ns0:v>-14147.521378460631</ns0:v>
      </ns0:c>
      <ns0:c r="Y11" s="16">
        <ns0:f>Q11-F11*'前提と出典'!$E$6</ns0:f>
        <ns0:v>-26066.044171989284</ns0:v>
      </ns0:c>
      <ns0:c r="Z11" s="7">
        <ns0:f>X11+Y11</ns0:f>
        <ns0:v>-40213.565550449915</ns0:v>
      </ns0:c>
      <ns0:c r="AA11" s="7">
        <ns0:f>IF(T11&gt;=0,A11,1001)</ns0:f>
        <ns0:v>1001</ns0:v>
      </ns0:c>
      <ns0:c r="AB11" s="7">
        <ns0:f>IF(T11&lt;0,A11,0)</ns0:f>
        <ns0:v>7</ns0:v>
      </ns0:c>
      <ns0:c r="AC11" s="16">
        <ns0:f>IF(AND(OR('前提と出典'!$C$36+'前提と出典'!$C$38=0,R11&gt;=0),OR('前提と出典'!$C$37+'前提と出典'!$C$38=0,S11&gt;=0)),0,A11)</ns0:f>
        <ns0:v>7</ns0:v>
      </ns0:c>
      <ns0:c r="AD11" s="7">
        <ns0:f>IF(W11&gt;=0,A11,1001)</ns0:f>
        <ns0:v>1001</ns0:v>
      </ns0:c>
      <ns0:c r="AE11" s="7">
        <ns0:f>IF(W11&lt;0,A11,0)</ns0:f>
        <ns0:v>7</ns0:v>
      </ns0:c>
      <ns0:c r="AF11" s="16">
        <ns0:f>IF(AND(OR('前提と出典'!$C$36+'前提と出典'!$C$38=0,U11&gt;=0),OR('前提と出典'!$C$37+'前提と出典'!$C$38=0,V11&gt;=0)),0,A11)</ns0:f>
        <ns0:v>7</ns0:v>
      </ns0:c>
      <ns0:c r="AG11" s="7">
        <ns0:f>IF(Z11&gt;=0,A11,1001)</ns0:f>
        <ns0:v>1001</ns0:v>
      </ns0:c>
      <ns0:c r="AH11" s="4">
        <ns0:f>IF(Z11&lt;0,A11,0)</ns0:f>
        <ns0:v>7</ns0:v>
      </ns0:c>
      <ns0:c r="AI11" s="12">
        <ns0:f>IF(AND(OR('前提と出典'!$C$36+'前提と出典'!$C$38=0,X11&gt;=0),OR('前提と出典'!$C$37+'前提と出典'!$C$38=0,Y11&gt;=0)),0,A11)</ns0:f>
        <ns0:v>7</ns0:v>
      </ns0:c>
    </ns0:row>
    <ns0:row r="12" ht="24" customHeight="1">
      <ns0:c r="A12" s="4" t="n">
        <ns0:v>8</ns0:v>
      </ns0:c>
      <ns0:c r="B12" s="12">
        <ns0:f>A12*('前提と出典'!$C$36+'前提と出典'!$C$38)</ns0:f>
        <ns0:v>5.6</ns0:v>
      </ns0:c>
      <ns0:c r="C12" s="12">
        <ns0:f>A12*('前提と出典'!$C$37+'前提と出典'!$C$38)</ns0:f>
        <ns0:v>4.8</ns0:v>
      </ns0:c>
      <ns0:c r="D12" s="16">
        <ns0:f>A12*('前提と出典'!$C$36*'契約別単価'!C5+'前提と出典'!$C$37*'契約別単価'!C6+'前提と出典'!$C$38*'契約別単価'!C7)</ns0:f>
        <ns0:v>57.564245810055866</ns0:v>
      </ns0:c>
      <ns0:c r="E12" s="16">
        <ns0:f>A12*('前提と出典'!$C$36*'契約別単価'!E5+'前提と出典'!$C$37*'契約別単価'!E6+'前提と出典'!$C$38*'契約別単価'!E7)</ns0:f>
        <ns0:v>20110.983385927306</ns0:v>
      </ns0:c>
      <ns0:c r="F12" s="16">
        <ns0:f>A12*('前提と出典'!$C$36*'契約別単価'!F5+'前提と出典'!$C$37*'契約別単価'!F6+'前提と出典'!$C$38*'契約別単価'!F7)</ns0:f>
        <ns0:v>5843.737705563665</ns0:v>
      </ns0:c>
      <ns0:c r="G12" s="16">
        <ns0:f>A12*('前提と出典'!$C$36*'契約別単価'!G5+'前提と出典'!$C$37*'契約別単価'!G6+'前提と出典'!$C$38*'契約別単価'!G7)</ns0:f>
        <ns0:v>15924.022346368714</ns0:v>
      </ns0:c>
      <ns0:c r="H12" s="16">
        <ns0:f>A12*('前提と出典'!$C$36*'契約別単価'!H5+'前提と出典'!$C$37*'契約別単価'!H6+'前提と出典'!$C$38*'契約別単価'!H7)</ns0:f>
        <ns0:v>5526.4344066702215</ns0:v>
      </ns0:c>
      <ns0:c r="I12" s="16">
        <ns0:f>A12*('前提と出典'!$C$36*'契約別単価'!I5+'前提と出典'!$C$37*'契約別単価'!I6+'前提と出典'!$C$38*'契約別単価'!I7)</ns0:f>
        <ns0:v>337.5642458100558</ns0:v>
      </ns0:c>
      <ns0:c r="J12" s="16">
        <ns0:f>A12*('前提と出典'!$C$36*'契約別単価'!J5+'前提と出典'!$C$37*'契約別単価'!J6+'前提と出典'!$C$38*'契約別単価'!J7)</ns0:f>
        <ns0:v>786.3163496824205</ns0:v>
      </ns0:c>
      <ns0:c r="K12" s="16">
        <ns0:f>A12*('前提と出典'!$C$36*'契約別単価'!K5+'前提と出典'!$C$37*'契約別単価'!K6+'前提と出典'!$C$38*'契約別単価'!K7)</ns0:f>
        <ns0:v>3370.428305400372</ns0:v>
      </ns0:c>
      <ns0:c r="L12" s="16">
        <ns0:f>A12*('前提と出典'!$C$36*'契約別単価'!L5+'前提と出典'!$C$37*'契約別単価'!L6+'前提と出典'!$C$38*'契約別単価'!L7)</ns0:f>
        <ns0:v>2744.2144802223406</ns0:v>
      </ns0:c>
      <ns0:c r="M12" s="16">
        <ns0:f>IF(('前提と出典'!$C$36+'前提と出典'!$C$38)=0,0,IF(B12&lt;=10,'前提と出典'!B73+'前提と出典'!C73,IF(B12&lt;=100,'前提と出典'!B74+'前提と出典'!C74,IF(B12&lt;=500,'前提と出典'!B75+'前提と出典'!C75,'前提と出典'!B76+'前提と出典'!C76))))</ns0:f>
        <ns0:v>10000</ns0:v>
      </ns0:c>
      <ns0:c r="N12" s="16">
        <ns0:f>IF(('前提と出典'!$C$37+'前提と出典'!$C$38)=0,0,IF(C12&lt;=10,'前提と出典'!D73+'前提と出典'!E73,IF(C12&lt;=100,'前提と出典'!D74+'前提と出典'!E74,IF(C12&lt;=500,'前提と出典'!D75+'前提と出典'!E75,'前提と出典'!D76+'前提と出典'!E76))))</ns0:f>
        <ns0:v>30010.934626307797</ns0:v>
      </ns0:c>
      <ns0:c r="O12" s="16">
        <ns0:f>IF('前提と出典'!$C$36+'前提と出典'!$C$38=0,0,'前提と出典'!$B$4*IF('前提と出典'!$B$20=0,MAX('前提と出典'!$B$6,D12*'前提と出典'!$B$5),'前提と出典'!$B$6+D12*'前提と出典'!$B$5))</ns0:f>
        <ns0:v>22500</ns0:v>
      </ns0:c>
      <ns0:c r="P12" s="16">
        <ns0:f>(E12+G12)*(1-'前提と出典'!$B$7)-I12-K12-M12-O12</ns0:f>
        <ns0:v>-1470.2470252770636</ns0:v>
      </ns0:c>
      <ns0:c r="Q12" s="16">
        <ns0:f>(F12+H12)*(1-'前提と出典'!$B$7)-J12-L12-N12</ns0:f>
        <ns0:v>-22580.619540019095</ns0:v>
      </ns0:c>
      <ns0:c r="R12" s="16">
        <ns0:f>P12-E12*'前提と出典'!$E$4</ns0:f>
        <ns0:v>-7503.542041055258</ns0:v>
      </ns0:c>
      <ns0:c r="S12" s="16">
        <ns0:f>Q12-F12*'前提と出典'!$E$4</ns0:f>
        <ns0:v>-24333.74085168819</ns0:v>
      </ns0:c>
      <ns0:c r="T12" s="7">
        <ns0:f>R12+S12</ns0:f>
        <ns0:v>-31837.28289274345</ns0:v>
      </ns0:c>
      <ns0:c r="U12" s="16">
        <ns0:f>P12-E12*'前提と出典'!$E$5</ns0:f>
        <ns0:v>-9514.640379647986</ns0:v>
      </ns0:c>
      <ns0:c r="V12" s="16">
        <ns0:f>Q12-F12*'前提と出典'!$E$5</ns0:f>
        <ns0:v>-24918.11462224456</ns0:v>
      </ns0:c>
      <ns0:c r="W12" s="7">
        <ns0:f>U12+V12</ns0:f>
        <ns0:v>-34432.75500189255</ns0:v>
      </ns0:c>
      <ns0:c r="X12" s="16">
        <ns0:f>P12-E12*'前提と出典'!$E$6</ns0:f>
        <ns0:v>-11525.738718240718</ns0:v>
      </ns0:c>
      <ns0:c r="Y12" s="16">
        <ns0:f>Q12-F12*'前提と出典'!$E$6</ns0:f>
        <ns0:v>-25502.488392800922</ns0:v>
      </ns0:c>
      <ns0:c r="Z12" s="7">
        <ns0:f>X12+Y12</ns0:f>
        <ns0:v>-37028.22711104164</ns0:v>
      </ns0:c>
      <ns0:c r="AA12" s="7">
        <ns0:f>IF(T12&gt;=0,A12,1001)</ns0:f>
        <ns0:v>1001</ns0:v>
      </ns0:c>
      <ns0:c r="AB12" s="7">
        <ns0:f>IF(T12&lt;0,A12,0)</ns0:f>
        <ns0:v>8</ns0:v>
      </ns0:c>
      <ns0:c r="AC12" s="16">
        <ns0:f>IF(AND(OR('前提と出典'!$C$36+'前提と出典'!$C$38=0,R12&gt;=0),OR('前提と出典'!$C$37+'前提と出典'!$C$38=0,S12&gt;=0)),0,A12)</ns0:f>
        <ns0:v>8</ns0:v>
      </ns0:c>
      <ns0:c r="AD12" s="7">
        <ns0:f>IF(W12&gt;=0,A12,1001)</ns0:f>
        <ns0:v>1001</ns0:v>
      </ns0:c>
      <ns0:c r="AE12" s="7">
        <ns0:f>IF(W12&lt;0,A12,0)</ns0:f>
        <ns0:v>8</ns0:v>
      </ns0:c>
      <ns0:c r="AF12" s="16">
        <ns0:f>IF(AND(OR('前提と出典'!$C$36+'前提と出典'!$C$38=0,U12&gt;=0),OR('前提と出典'!$C$37+'前提と出典'!$C$38=0,V12&gt;=0)),0,A12)</ns0:f>
        <ns0:v>8</ns0:v>
      </ns0:c>
      <ns0:c r="AG12" s="7">
        <ns0:f>IF(Z12&gt;=0,A12,1001)</ns0:f>
        <ns0:v>1001</ns0:v>
      </ns0:c>
      <ns0:c r="AH12" s="4">
        <ns0:f>IF(Z12&lt;0,A12,0)</ns0:f>
        <ns0:v>8</ns0:v>
      </ns0:c>
      <ns0:c r="AI12" s="12">
        <ns0:f>IF(AND(OR('前提と出典'!$C$36+'前提と出典'!$C$38=0,X12&gt;=0),OR('前提と出典'!$C$37+'前提と出典'!$C$38=0,Y12&gt;=0)),0,A12)</ns0:f>
        <ns0:v>8</ns0:v>
      </ns0:c>
    </ns0:row>
    <ns0:row r="13" ht="24" customHeight="1">
      <ns0:c r="A13" s="4" t="n">
        <ns0:v>9</ns0:v>
      </ns0:c>
      <ns0:c r="B13" s="12">
        <ns0:f>A13*('前提と出典'!$C$36+'前提と出典'!$C$38)</ns0:f>
        <ns0:v>6.3</ns0:v>
      </ns0:c>
      <ns0:c r="C13" s="12">
        <ns0:f>A13*('前提と出典'!$C$37+'前提と出典'!$C$38)</ns0:f>
        <ns0:v>5.3999999999999995</ns0:v>
      </ns0:c>
      <ns0:c r="D13" s="16">
        <ns0:f>A13*('前提と出典'!$C$36*'契約別単価'!C5+'前提と出典'!$C$37*'契約別単価'!C6+'前提と出典'!$C$38*'契約別単価'!C7)</ns0:f>
        <ns0:v>64.75977653631284</ns0:v>
      </ns0:c>
      <ns0:c r="E13" s="16">
        <ns0:f>A13*('前提と出典'!$C$36*'契約別単価'!E5+'前提と出典'!$C$37*'契約別単価'!E6+'前提と出典'!$C$38*'契約別単価'!E7)</ns0:f>
        <ns0:v>22624.85630916822</ns0:v>
      </ns0:c>
      <ns0:c r="F13" s="16">
        <ns0:f>A13*('前提と出典'!$C$36*'契約別単価'!F5+'前提と出典'!$C$37*'契約別単価'!F6+'前提と出典'!$C$38*'契約別単価'!F7)</ns0:f>
        <ns0:v>6574.204918759124</ns0:v>
      </ns0:c>
      <ns0:c r="G13" s="16">
        <ns0:f>A13*('前提と出典'!$C$36*'契約別単価'!G5+'前提と出典'!$C$37*'契約別単価'!G6+'前提と出典'!$C$38*'契約別単価'!G7)</ns0:f>
        <ns0:v>17914.525139664802</ns0:v>
      </ns0:c>
      <ns0:c r="H13" s="16">
        <ns0:f>A13*('前提と出典'!$C$36*'契約別単価'!H5+'前提と出典'!$C$37*'契約別単価'!H6+'前提と出典'!$C$38*'契約別単価'!H7)</ns0:f>
        <ns0:v>6217.238707503999</ns0:v>
      </ns0:c>
      <ns0:c r="I13" s="16">
        <ns0:f>A13*('前提と出典'!$C$36*'契約別単価'!I5+'前提と出典'!$C$37*'契約別単価'!I6+'前提と出典'!$C$38*'契約別単価'!I7)</ns0:f>
        <ns0:v>379.75977653631276</ns0:v>
      </ns0:c>
      <ns0:c r="J13" s="16">
        <ns0:f>A13*('前提と出典'!$C$36*'契約別単価'!J5+'前提と出典'!$C$37*'契約別単価'!J6+'前提と出典'!$C$38*'契約別単価'!J7)</ns0:f>
        <ns0:v>884.6058933927231</ns0:v>
      </ns0:c>
      <ns0:c r="K13" s="16">
        <ns0:f>A13*('前提と出典'!$C$36*'契約別単価'!K5+'前提と出典'!$C$37*'契約別単価'!K6+'前提と出典'!$C$38*'契約別単価'!K7)</ns0:f>
        <ns0:v>3791.7318435754187</ns0:v>
      </ns0:c>
      <ns0:c r="L13" s="16">
        <ns0:f>A13*('前提と出典'!$C$36*'契約別単価'!L5+'前提と出典'!$C$37*'契約別単価'!L6+'前提と出典'!$C$38*'契約別単価'!L7)</ns0:f>
        <ns0:v>3087.2412902501333</ns0:v>
      </ns0:c>
      <ns0:c r="M13" s="16">
        <ns0:f>IF(('前提と出典'!$C$36+'前提と出典'!$C$38)=0,0,IF(B13&lt;=10,'前提と出典'!B73+'前提と出典'!C73,IF(B13&lt;=100,'前提と出典'!B74+'前提と出典'!C74,IF(B13&lt;=500,'前提と出典'!B75+'前提と出典'!C75,'前提と出典'!B76+'前提と出典'!C76))))</ns0:f>
        <ns0:v>10000</ns0:v>
      </ns0:c>
      <ns0:c r="N13" s="16">
        <ns0:f>IF(('前提と出典'!$C$37+'前提と出典'!$C$38)=0,0,IF(C13&lt;=10,'前提と出典'!D73+'前提と出典'!E73,IF(C13&lt;=100,'前提と出典'!D74+'前提と出典'!E74,IF(C13&lt;=500,'前提と出典'!D75+'前提と出典'!E75,'前提と出典'!D76+'前提と出典'!E76))))</ns0:f>
        <ns0:v>30010.934626307797</ns0:v>
      </ns0:c>
      <ns0:c r="O13" s="16">
        <ns0:f>IF('前提と出典'!$C$36+'前提と出典'!$C$38=0,0,'前提と出典'!$B$4*IF('前提と出典'!$B$20=0,MAX('前提と出典'!$B$6,D13*'前提と出典'!$B$5),'前提と出典'!$B$6+D13*'前提と出典'!$B$5))</ns0:f>
        <ns0:v>22500</ns0:v>
      </ns0:c>
      <ns0:c r="P13" s="16">
        <ns0:f>(E13+G13)*(1-'前提と出典'!$B$7)-I13-K13-M13-O13</ns0:f>
        <ns0:v>2408.4720965633005</ns0:v>
      </ns0:c>
      <ns0:c r="Q13" s="16">
        <ns0:f>(F13+H13)*(1-'前提と出典'!$B$7)-J13-L13-N13</ns0:f>
        <ns0:v>-21651.830154233005</ns0:v>
      </ns0:c>
      <ns0:c r="R13" s="16">
        <ns0:f>P13-E13*'前提と出典'!$E$4</ns0:f>
        <ns0:v>-4378.984796187164</ns0:v>
      </ns0:c>
      <ns0:c r="S13" s="16">
        <ns0:f>Q13-F13*'前提と出典'!$E$4</ns0:f>
        <ns0:v>-23624.09162986074</ns0:v>
      </ns0:c>
      <ns0:c r="T13" s="7">
        <ns0:f>R13+S13</ns0:f>
        <ns0:v>-28003.076426047905</ns0:v>
      </ns0:c>
      <ns0:c r="U13" s="16">
        <ns0:f>P13-E13*'前提と出典'!$E$5</ns0:f>
        <ns0:v>-6641.470427103988</ns0:v>
      </ns0:c>
      <ns0:c r="V13" s="16">
        <ns0:f>Q13-F13*'前提と出典'!$E$5</ns0:f>
        <ns0:v>-24281.512121736654</ns0:v>
      </ns0:c>
      <ns0:c r="W13" s="7">
        <ns0:f>U13+V13</ns0:f>
        <ns0:v>-30922.982548840642</ns0:v>
      </ns0:c>
      <ns0:c r="X13" s="16">
        <ns0:f>P13-E13*'前提と出典'!$E$6</ns0:f>
        <ns0:v>-8903.956058020805</ns0:v>
      </ns0:c>
      <ns0:c r="Y13" s="16">
        <ns0:f>Q13-F13*'前提と出典'!$E$6</ns0:f>
        <ns0:v>-24938.932613612564</ns0:v>
      </ns0:c>
      <ns0:c r="Z13" s="7">
        <ns0:f>X13+Y13</ns0:f>
        <ns0:v>-33842.888671633365</ns0:v>
      </ns0:c>
      <ns0:c r="AA13" s="7">
        <ns0:f>IF(T13&gt;=0,A13,1001)</ns0:f>
        <ns0:v>1001</ns0:v>
      </ns0:c>
      <ns0:c r="AB13" s="7">
        <ns0:f>IF(T13&lt;0,A13,0)</ns0:f>
        <ns0:v>9</ns0:v>
      </ns0:c>
      <ns0:c r="AC13" s="16">
        <ns0:f>IF(AND(OR('前提と出典'!$C$36+'前提と出典'!$C$38=0,R13&gt;=0),OR('前提と出典'!$C$37+'前提と出典'!$C$38=0,S13&gt;=0)),0,A13)</ns0:f>
        <ns0:v>9</ns0:v>
      </ns0:c>
      <ns0:c r="AD13" s="7">
        <ns0:f>IF(W13&gt;=0,A13,1001)</ns0:f>
        <ns0:v>1001</ns0:v>
      </ns0:c>
      <ns0:c r="AE13" s="7">
        <ns0:f>IF(W13&lt;0,A13,0)</ns0:f>
        <ns0:v>9</ns0:v>
      </ns0:c>
      <ns0:c r="AF13" s="16">
        <ns0:f>IF(AND(OR('前提と出典'!$C$36+'前提と出典'!$C$38=0,U13&gt;=0),OR('前提と出典'!$C$37+'前提と出典'!$C$38=0,V13&gt;=0)),0,A13)</ns0:f>
        <ns0:v>9</ns0:v>
      </ns0:c>
      <ns0:c r="AG13" s="7">
        <ns0:f>IF(Z13&gt;=0,A13,1001)</ns0:f>
        <ns0:v>1001</ns0:v>
      </ns0:c>
      <ns0:c r="AH13" s="4">
        <ns0:f>IF(Z13&lt;0,A13,0)</ns0:f>
        <ns0:v>9</ns0:v>
      </ns0:c>
      <ns0:c r="AI13" s="12">
        <ns0:f>IF(AND(OR('前提と出典'!$C$36+'前提と出典'!$C$38=0,X13&gt;=0),OR('前提と出典'!$C$37+'前提と出典'!$C$38=0,Y13&gt;=0)),0,A13)</ns0:f>
        <ns0:v>9</ns0:v>
      </ns0:c>
    </ns0:row>
    <ns0:row r="14" ht="24" customHeight="1">
      <ns0:c r="A14" s="4" t="n">
        <ns0:v>10</ns0:v>
      </ns0:c>
      <ns0:c r="B14" s="12">
        <ns0:f>A14*('前提と出典'!$C$36+'前提と出典'!$C$38)</ns0:f>
        <ns0:v>7</ns0:v>
      </ns0:c>
      <ns0:c r="C14" s="12">
        <ns0:f>A14*('前提と出典'!$C$37+'前提と出典'!$C$38)</ns0:f>
        <ns0:v>6</ns0:v>
      </ns0:c>
      <ns0:c r="D14" s="16">
        <ns0:f>A14*('前提と出典'!$C$36*'契約別単価'!C5+'前提と出典'!$C$37*'契約別単価'!C6+'前提と出典'!$C$38*'契約別単価'!C7)</ns0:f>
        <ns0:v>71.95530726256983</ns0:v>
      </ns0:c>
      <ns0:c r="E14" s="16">
        <ns0:f>A14*('前提と出典'!$C$36*'契約別単価'!E5+'前提と出典'!$C$37*'契約別単価'!E6+'前提と出典'!$C$38*'契約別単価'!E7)</ns0:f>
        <ns0:v>25138.729232409132</ns0:v>
      </ns0:c>
      <ns0:c r="F14" s="16">
        <ns0:f>A14*('前提と出典'!$C$36*'契約別単価'!F5+'前提と出典'!$C$37*'契約別単価'!F6+'前提と出典'!$C$38*'契約別単価'!F7)</ns0:f>
        <ns0:v>7304.672131954581</ns0:v>
      </ns0:c>
      <ns0:c r="G14" s="16">
        <ns0:f>A14*('前提と出典'!$C$36*'契約別単価'!G5+'前提と出典'!$C$37*'契約別単価'!G6+'前提と出典'!$C$38*'契約別単価'!G7)</ns0:f>
        <ns0:v>19905.027932960893</ns0:v>
      </ns0:c>
      <ns0:c r="H14" s="16">
        <ns0:f>A14*('前提と出典'!$C$36*'契約別単価'!H5+'前提と出典'!$C$37*'契約別単価'!H6+'前提と出典'!$C$38*'契約別単価'!H7)</ns0:f>
        <ns0:v>6908.043008337777</ns0:v>
      </ns0:c>
      <ns0:c r="I14" s="16">
        <ns0:f>A14*('前提と出典'!$C$36*'契約別単価'!I5+'前提と出典'!$C$37*'契約別単価'!I6+'前提と出典'!$C$38*'契約別単価'!I7)</ns0:f>
        <ns0:v>421.95530726256976</ns0:v>
      </ns0:c>
      <ns0:c r="J14" s="16">
        <ns0:f>A14*('前提と出典'!$C$36*'契約別単価'!J5+'前提と出典'!$C$37*'契約別単価'!J6+'前提と出典'!$C$38*'契約別単価'!J7)</ns0:f>
        <ns0:v>982.8954371030256</ns0:v>
      </ns0:c>
      <ns0:c r="K14" s="16">
        <ns0:f>A14*('前提と出典'!$C$36*'契約別単価'!K5+'前提と出典'!$C$37*'契約別単価'!K6+'前提と出典'!$C$38*'契約別単価'!K7)</ns0:f>
        <ns0:v>4213.035381750466</ns0:v>
      </ns0:c>
      <ns0:c r="L14" s="16">
        <ns0:f>A14*('前提と出典'!$C$36*'契約別単価'!L5+'前提と出典'!$C$37*'契約別単価'!L6+'前提と出典'!$C$38*'契約別単価'!L7)</ns0:f>
        <ns0:v>3430.268100277926</ns0:v>
      </ns0:c>
      <ns0:c r="M14" s="16">
        <ns0:f>IF(('前提と出典'!$C$36+'前提と出典'!$C$38)=0,0,IF(B14&lt;=10,'前提と出典'!B73+'前提と出典'!C73,IF(B14&lt;=100,'前提と出典'!B74+'前提と出典'!C74,IF(B14&lt;=500,'前提と出典'!B75+'前提と出典'!C75,'前提と出典'!B76+'前提と出典'!C76))))</ns0:f>
        <ns0:v>10000</ns0:v>
      </ns0:c>
      <ns0:c r="N14" s="16">
        <ns0:f>IF(('前提と出典'!$C$37+'前提と出典'!$C$38)=0,0,IF(C14&lt;=10,'前提と出典'!D73+'前提と出典'!E73,IF(C14&lt;=100,'前提と出典'!D74+'前提と出典'!E74,IF(C14&lt;=500,'前提と出典'!D75+'前提と出典'!E75,'前提と出典'!D76+'前提と出典'!E76))))</ns0:f>
        <ns0:v>30010.934626307797</ns0:v>
      </ns0:c>
      <ns0:c r="O14" s="16">
        <ns0:f>IF('前提と出典'!$C$36+'前提と出典'!$C$38=0,0,'前提と出典'!$B$4*IF('前提と出典'!$B$20=0,MAX('前提と出典'!$B$6,D14*'前提と出典'!$B$5),'前提と出典'!$B$6+D14*'前提と出典'!$B$5))</ns0:f>
        <ns0:v>22500</ns0:v>
      </ns0:c>
      <ns0:c r="P14" s="16">
        <ns0:f>(E14+G14)*(1-'前提と出典'!$B$7)-I14-K14-M14-O14</ns0:f>
        <ns0:v>6287.19121840367</ns0:v>
      </ns0:c>
      <ns0:c r="Q14" s="16">
        <ns0:f>(F14+H14)*(1-'前提と出典'!$B$7)-J14-L14-N14</ns0:f>
        <ns0:v>-20723.040768446914</ns0:v>
      </ns0:c>
      <ns0:c r="R14" s="16">
        <ns0:f>P14-E14*'前提と出典'!$E$4</ns0:f>
        <ns0:v>-1254.4275513190732</ns0:v>
      </ns0:c>
      <ns0:c r="S14" s="16">
        <ns0:f>Q14-F14*'前提と出典'!$E$4</ns0:f>
        <ns0:v>-22914.44240803329</ns0:v>
      </ns0:c>
      <ns0:c r="T14" s="7">
        <ns0:f>R14+S14</ns0:f>
        <ns0:v>-24168.869959352363</ns0:v>
      </ns0:c>
      <ns0:c r="U14" s="16">
        <ns0:f>P14-E14*'前提と出典'!$E$5</ns0:f>
        <ns0:v>-3768.300474559983</ns0:v>
      </ns0:c>
      <ns0:c r="V14" s="16">
        <ns0:f>Q14-F14*'前提と出典'!$E$5</ns0:f>
        <ns0:v>-23644.909621228748</ns0:v>
      </ns0:c>
      <ns0:c r="W14" s="7">
        <ns0:f>U14+V14</ns0:f>
        <ns0:v>-27413.21009578873</ns0:v>
      </ns0:c>
      <ns0:c r="X14" s="16">
        <ns0:f>P14-E14*'前提と出典'!$E$6</ns0:f>
        <ns0:v>-6282.173397800896</ns0:v>
      </ns0:c>
      <ns0:c r="Y14" s="16">
        <ns0:f>Q14-F14*'前提と出典'!$E$6</ns0:f>
        <ns0:v>-24375.376834424205</ns0:v>
      </ns0:c>
      <ns0:c r="Z14" s="7">
        <ns0:f>X14+Y14</ns0:f>
        <ns0:v>-30657.5502322251</ns0:v>
      </ns0:c>
      <ns0:c r="AA14" s="7">
        <ns0:f>IF(T14&gt;=0,A14,1001)</ns0:f>
        <ns0:v>1001</ns0:v>
      </ns0:c>
      <ns0:c r="AB14" s="7">
        <ns0:f>IF(T14&lt;0,A14,0)</ns0:f>
        <ns0:v>10</ns0:v>
      </ns0:c>
      <ns0:c r="AC14" s="16">
        <ns0:f>IF(AND(OR('前提と出典'!$C$36+'前提と出典'!$C$38=0,R14&gt;=0),OR('前提と出典'!$C$37+'前提と出典'!$C$38=0,S14&gt;=0)),0,A14)</ns0:f>
        <ns0:v>10</ns0:v>
      </ns0:c>
      <ns0:c r="AD14" s="7">
        <ns0:f>IF(W14&gt;=0,A14,1001)</ns0:f>
        <ns0:v>1001</ns0:v>
      </ns0:c>
      <ns0:c r="AE14" s="7">
        <ns0:f>IF(W14&lt;0,A14,0)</ns0:f>
        <ns0:v>10</ns0:v>
      </ns0:c>
      <ns0:c r="AF14" s="16">
        <ns0:f>IF(AND(OR('前提と出典'!$C$36+'前提と出典'!$C$38=0,U14&gt;=0),OR('前提と出典'!$C$37+'前提と出典'!$C$38=0,V14&gt;=0)),0,A14)</ns0:f>
        <ns0:v>10</ns0:v>
      </ns0:c>
      <ns0:c r="AG14" s="7">
        <ns0:f>IF(Z14&gt;=0,A14,1001)</ns0:f>
        <ns0:v>1001</ns0:v>
      </ns0:c>
      <ns0:c r="AH14" s="4">
        <ns0:f>IF(Z14&lt;0,A14,0)</ns0:f>
        <ns0:v>10</ns0:v>
      </ns0:c>
      <ns0:c r="AI14" s="12">
        <ns0:f>IF(AND(OR('前提と出典'!$C$36+'前提と出典'!$C$38=0,X14&gt;=0),OR('前提と出典'!$C$37+'前提と出典'!$C$38=0,Y14&gt;=0)),0,A14)</ns0:f>
        <ns0:v>10</ns0:v>
      </ns0:c>
    </ns0:row>
    <ns0:row r="15" ht="24" customHeight="1">
      <ns0:c r="A15" s="4" t="n">
        <ns0:v>11</ns0:v>
      </ns0:c>
      <ns0:c r="B15" s="12">
        <ns0:f>A15*('前提と出典'!$C$36+'前提と出典'!$C$38)</ns0:f>
        <ns0:v>7.699999999999999</ns0:v>
      </ns0:c>
      <ns0:c r="C15" s="12">
        <ns0:f>A15*('前提と出典'!$C$37+'前提と出典'!$C$38)</ns0:f>
        <ns0:v>6.6</ns0:v>
      </ns0:c>
      <ns0:c r="D15" s="16">
        <ns0:f>A15*('前提と出典'!$C$36*'契約別単価'!C5+'前提と出典'!$C$37*'契約別単価'!C6+'前提と出典'!$C$38*'契約別単価'!C7)</ns0:f>
        <ns0:v>79.15083798882682</ns0:v>
      </ns0:c>
      <ns0:c r="E15" s="16">
        <ns0:f>A15*('前提と出典'!$C$36*'契約別単価'!E5+'前提と出典'!$C$37*'契約別単価'!E6+'前提と出典'!$C$38*'契約別単価'!E7)</ns0:f>
        <ns0:v>27652.602155650045</ns0:v>
      </ns0:c>
      <ns0:c r="F15" s="16">
        <ns0:f>A15*('前提と出典'!$C$36*'契約別単価'!F5+'前提と出典'!$C$37*'契約別単価'!F6+'前提と出典'!$C$38*'契約別単価'!F7)</ns0:f>
        <ns0:v>8035.13934515004</ns0:v>
      </ns0:c>
      <ns0:c r="G15" s="16">
        <ns0:f>A15*('前提と出典'!$C$36*'契約別単価'!G5+'前提と出典'!$C$37*'契約別単価'!G6+'前提と出典'!$C$38*'契約別単価'!G7)</ns0:f>
        <ns0:v>21895.530726256984</ns0:v>
      </ns0:c>
      <ns0:c r="H15" s="16">
        <ns0:f>A15*('前提と出典'!$C$36*'契約別単価'!H5+'前提と出典'!$C$37*'契約別単価'!H6+'前提と出典'!$C$38*'契約別単価'!H7)</ns0:f>
        <ns0:v>7598.847309171555</ns0:v>
      </ns0:c>
      <ns0:c r="I15" s="16">
        <ns0:f>A15*('前提と出典'!$C$36*'契約別単価'!I5+'前提と出典'!$C$37*'契約別単価'!I6+'前提と出典'!$C$38*'契約別単価'!I7)</ns0:f>
        <ns0:v>464.15083798882677</ns0:v>
      </ns0:c>
      <ns0:c r="J15" s="16">
        <ns0:f>A15*('前提と出典'!$C$36*'契約別単価'!J5+'前提と出典'!$C$37*'契約別単価'!J6+'前提と出典'!$C$38*'契約別単価'!J7)</ns0:f>
        <ns0:v>1081.1849808133281</ns0:v>
      </ns0:c>
      <ns0:c r="K15" s="16">
        <ns0:f>A15*('前提と出典'!$C$36*'契約別単価'!K5+'前提と出典'!$C$37*'契約別単価'!K6+'前提と出典'!$C$38*'契約別単価'!K7)</ns0:f>
        <ns0:v>4634.338919925512</ns0:v>
      </ns0:c>
      <ns0:c r="L15" s="16">
        <ns0:f>A15*('前提と出典'!$C$36*'契約別単価'!L5+'前提と出典'!$C$37*'契約別単価'!L6+'前提と出典'!$C$38*'契約別単価'!L7)</ns0:f>
        <ns0:v>3773.2949103057185</ns0:v>
      </ns0:c>
      <ns0:c r="M15" s="16">
        <ns0:f>IF(('前提と出典'!$C$36+'前提と出典'!$C$38)=0,0,IF(B15&lt;=10,'前提と出典'!B73+'前提と出典'!C73,IF(B15&lt;=100,'前提と出典'!B74+'前提と出典'!C74,IF(B15&lt;=500,'前提と出典'!B75+'前提と出典'!C75,'前提と出典'!B76+'前提と出典'!C76))))</ns0:f>
        <ns0:v>10000</ns0:v>
      </ns0:c>
      <ns0:c r="N15" s="16">
        <ns0:f>IF(('前提と出典'!$C$37+'前提と出典'!$C$38)=0,0,IF(C15&lt;=10,'前提と出典'!D73+'前提と出典'!E73,IF(C15&lt;=100,'前提と出典'!D74+'前提と出典'!E74,IF(C15&lt;=500,'前提と出典'!D75+'前提と出典'!E75,'前提と出典'!D76+'前提と出典'!E76))))</ns0:f>
        <ns0:v>30010.934626307797</ns0:v>
      </ns0:c>
      <ns0:c r="O15" s="16">
        <ns0:f>IF('前提と出典'!$C$36+'前提と出典'!$C$38=0,0,'前提と出典'!$B$4*IF('前提と出典'!$B$20=0,MAX('前提と出典'!$B$6,D15*'前提と出典'!$B$5),'前提と出典'!$B$6+D15*'前提と出典'!$B$5))</ns0:f>
        <ns0:v>22500</ns0:v>
      </ns0:c>
      <ns0:c r="P15" s="16">
        <ns0:f>(E15+G15)*(1-'前提と出典'!$B$7)-I15-K15-M15-O15</ns0:f>
        <ns0:v>10165.910340244041</ns0:v>
      </ns0:c>
      <ns0:c r="Q15" s="16">
        <ns0:f>(F15+H15)*(1-'前提と出典'!$B$7)-J15-L15-N15</ns0:f>
        <ns0:v>-19794.251382660826</ns0:v>
      </ns0:c>
      <ns0:c r="R15" s="16">
        <ns0:f>P15-E15*'前提と出典'!$E$4</ns0:f>
        <ns0:v>1870.1296935490318</ns0:v>
      </ns0:c>
      <ns0:c r="S15" s="16">
        <ns0:f>Q15-F15*'前提と出典'!$E$4</ns0:f>
        <ns0:v>-22204.79318620584</ns0:v>
      </ns0:c>
      <ns0:c r="T15" s="7">
        <ns0:f>R15+S15</ns0:f>
        <ns0:v>-20334.663492656808</ns0:v>
      </ns0:c>
      <ns0:c r="U15" s="16">
        <ns0:f>P15-E15*'前提と出典'!$E$5</ns0:f>
        <ns0:v>-895.1305220159775</ns0:v>
      </ns0:c>
      <ns0:c r="V15" s="16">
        <ns0:f>Q15-F15*'前提と出典'!$E$5</ns0:f>
        <ns0:v>-23008.30712072084</ns0:v>
      </ns0:c>
      <ns0:c r="W15" s="7">
        <ns0:f>U15+V15</ns0:f>
        <ns0:v>-23903.43764273682</ns0:v>
      </ns0:c>
      <ns0:c r="X15" s="16">
        <ns0:f>P15-E15*'前提と出典'!$E$6</ns0:f>
        <ns0:v>-3660.3907375809795</ns0:v>
      </ns0:c>
      <ns0:c r="Y15" s="16">
        <ns0:f>Q15-F15*'前提と出典'!$E$6</ns0:f>
        <ns0:v>-23811.821055235847</ns0:v>
      </ns0:c>
      <ns0:c r="Z15" s="7">
        <ns0:f>X15+Y15</ns0:f>
        <ns0:v>-27472.211792816826</ns0:v>
      </ns0:c>
      <ns0:c r="AA15" s="7">
        <ns0:f>IF(T15&gt;=0,A15,1001)</ns0:f>
        <ns0:v>1001</ns0:v>
      </ns0:c>
      <ns0:c r="AB15" s="7">
        <ns0:f>IF(T15&lt;0,A15,0)</ns0:f>
        <ns0:v>11</ns0:v>
      </ns0:c>
      <ns0:c r="AC15" s="16">
        <ns0:f>IF(AND(OR('前提と出典'!$C$36+'前提と出典'!$C$38=0,R15&gt;=0),OR('前提と出典'!$C$37+'前提と出典'!$C$38=0,S15&gt;=0)),0,A15)</ns0:f>
        <ns0:v>11</ns0:v>
      </ns0:c>
      <ns0:c r="AD15" s="7">
        <ns0:f>IF(W15&gt;=0,A15,1001)</ns0:f>
        <ns0:v>1001</ns0:v>
      </ns0:c>
      <ns0:c r="AE15" s="7">
        <ns0:f>IF(W15&lt;0,A15,0)</ns0:f>
        <ns0:v>11</ns0:v>
      </ns0:c>
      <ns0:c r="AF15" s="16">
        <ns0:f>IF(AND(OR('前提と出典'!$C$36+'前提と出典'!$C$38=0,U15&gt;=0),OR('前提と出典'!$C$37+'前提と出典'!$C$38=0,V15&gt;=0)),0,A15)</ns0:f>
        <ns0:v>11</ns0:v>
      </ns0:c>
      <ns0:c r="AG15" s="7">
        <ns0:f>IF(Z15&gt;=0,A15,1001)</ns0:f>
        <ns0:v>1001</ns0:v>
      </ns0:c>
      <ns0:c r="AH15" s="4">
        <ns0:f>IF(Z15&lt;0,A15,0)</ns0:f>
        <ns0:v>11</ns0:v>
      </ns0:c>
      <ns0:c r="AI15" s="12">
        <ns0:f>IF(AND(OR('前提と出典'!$C$36+'前提と出典'!$C$38=0,X15&gt;=0),OR('前提と出典'!$C$37+'前提と出典'!$C$38=0,Y15&gt;=0)),0,A15)</ns0:f>
        <ns0:v>11</ns0:v>
      </ns0:c>
    </ns0:row>
    <ns0:row r="16" ht="24" customHeight="1">
      <ns0:c r="A16" s="4" t="n">
        <ns0:v>12</ns0:v>
      </ns0:c>
      <ns0:c r="B16" s="12">
        <ns0:f>A16*('前提と出典'!$C$36+'前提と出典'!$C$38)</ns0:f>
        <ns0:v>8.399999999999999</ns0:v>
      </ns0:c>
      <ns0:c r="C16" s="12">
        <ns0:f>A16*('前提と出典'!$C$37+'前提と出典'!$C$38)</ns0:f>
        <ns0:v>7.199999999999999</ns0:v>
      </ns0:c>
      <ns0:c r="D16" s="16">
        <ns0:f>A16*('前提と出典'!$C$36*'契約別単価'!C5+'前提と出典'!$C$37*'契約別単価'!C6+'前提と出典'!$C$38*'契約別単価'!C7)</ns0:f>
        <ns0:v>86.3463687150838</ns0:v>
      </ns0:c>
      <ns0:c r="E16" s="16">
        <ns0:f>A16*('前提と出典'!$C$36*'契約別単価'!E5+'前提と出典'!$C$37*'契約別単価'!E6+'前提と出典'!$C$38*'契約別単価'!E7)</ns0:f>
        <ns0:v>30166.47507889096</ns0:v>
      </ns0:c>
      <ns0:c r="F16" s="16">
        <ns0:f>A16*('前提と出典'!$C$36*'契約別単価'!F5+'前提と出典'!$C$37*'契約別単価'!F6+'前提と出典'!$C$38*'契約別単価'!F7)</ns0:f>
        <ns0:v>8765.606558345498</ns0:v>
      </ns0:c>
      <ns0:c r="G16" s="16">
        <ns0:f>A16*('前提と出典'!$C$36*'契約別単価'!G5+'前提と出典'!$C$37*'契約別単価'!G6+'前提と出典'!$C$38*'契約別単価'!G7)</ns0:f>
        <ns0:v>23886.03351955307</ns0:v>
      </ns0:c>
      <ns0:c r="H16" s="16">
        <ns0:f>A16*('前提と出典'!$C$36*'契約別単価'!H5+'前提と出典'!$C$37*'契約別単価'!H6+'前提と出典'!$C$38*'契約別単価'!H7)</ns0:f>
        <ns0:v>8289.651610005332</ns0:v>
      </ns0:c>
      <ns0:c r="I16" s="16">
        <ns0:f>A16*('前提と出典'!$C$36*'契約別単価'!I5+'前提と出典'!$C$37*'契約別単価'!I6+'前提と出典'!$C$38*'契約別単価'!I7)</ns0:f>
        <ns0:v>506.3463687150837</ns0:v>
      </ns0:c>
      <ns0:c r="J16" s="16">
        <ns0:f>A16*('前提と出典'!$C$36*'契約別単価'!J5+'前提と出典'!$C$37*'契約別単価'!J6+'前提と出典'!$C$38*'契約別単価'!J7)</ns0:f>
        <ns0:v>1179.4745245236309</ns0:v>
      </ns0:c>
      <ns0:c r="K16" s="16">
        <ns0:f>A16*('前提と出典'!$C$36*'契約別単価'!K5+'前提と出典'!$C$37*'契約別単価'!K6+'前提と出典'!$C$38*'契約別単価'!K7)</ns0:f>
        <ns0:v>5055.6424581005585</ns0:v>
      </ns0:c>
      <ns0:c r="L16" s="16">
        <ns0:f>A16*('前提と出典'!$C$36*'契約別単価'!L5+'前提と出典'!$C$37*'契約別単価'!L6+'前提と出典'!$C$38*'契約別単価'!L7)</ns0:f>
        <ns0:v>4116.321720333511</ns0:v>
      </ns0:c>
      <ns0:c r="M16" s="16">
        <ns0:f>IF(('前提と出典'!$C$36+'前提と出典'!$C$38)=0,0,IF(B16&lt;=10,'前提と出典'!B73+'前提と出典'!C73,IF(B16&lt;=100,'前提と出典'!B74+'前提と出典'!C74,IF(B16&lt;=500,'前提と出典'!B75+'前提と出典'!C75,'前提と出典'!B76+'前提と出典'!C76))))</ns0:f>
        <ns0:v>10000</ns0:v>
      </ns0:c>
      <ns0:c r="N16" s="16">
        <ns0:f>IF(('前提と出典'!$C$37+'前提と出典'!$C$38)=0,0,IF(C16&lt;=10,'前提と出典'!D73+'前提と出典'!E73,IF(C16&lt;=100,'前提と出典'!D74+'前提と出典'!E74,IF(C16&lt;=500,'前提と出典'!D75+'前提と出典'!E75,'前提と出典'!D76+'前提と出典'!E76))))</ns0:f>
        <ns0:v>30010.934626307797</ns0:v>
      </ns0:c>
      <ns0:c r="O16" s="16">
        <ns0:f>IF('前提と出典'!$C$36+'前提と出典'!$C$38=0,0,'前提と出典'!$B$4*IF('前提と出典'!$B$20=0,MAX('前提と出典'!$B$6,D16*'前提と出典'!$B$5),'前提と出典'!$B$6+D16*'前提と出典'!$B$5))</ns0:f>
        <ns0:v>22500</ns0:v>
      </ns0:c>
      <ns0:c r="P16" s="16">
        <ns0:f>(E16+G16)*(1-'前提と出典'!$B$7)-I16-K16-M16-O16</ns0:f>
        <ns0:v>14044.629462084406</ns0:v>
      </ns0:c>
      <ns0:c r="Q16" s="16">
        <ns0:f>(F16+H16)*(1-'前提と出典'!$B$7)-J16-L16-N16</ns0:f>
        <ns0:v>-18865.461996874736</ns0:v>
      </ns0:c>
      <ns0:c r="R16" s="16">
        <ns0:f>P16-E16*'前提と出典'!$E$4</ns0:f>
        <ns0:v>4994.686938417115</ns0:v>
      </ns0:c>
      <ns0:c r="S16" s="16">
        <ns0:f>Q16-F16*'前提と出典'!$E$4</ns0:f>
        <ns0:v>-21495.143964378385</ns0:v>
      </ns0:c>
      <ns0:c r="T16" s="7">
        <ns0:f>R16+S16</ns0:f>
        <ns0:v>-16500.45702596127</ns0:v>
      </ns0:c>
      <ns0:c r="U16" s="16">
        <ns0:f>P16-E16*'前提と出典'!$E$5</ns0:f>
        <ns0:v>1978.0394305280206</ns0:v>
      </ns0:c>
      <ns0:c r="V16" s="16">
        <ns0:f>Q16-F16*'前提と出典'!$E$5</ns0:f>
        <ns0:v>-22371.704620212935</ns0:v>
      </ns0:c>
      <ns0:c r="W16" s="7">
        <ns0:f>U16+V16</ns0:f>
        <ns0:v>-20393.665189684914</ns0:v>
      </ns0:c>
      <ns0:c r="X16" s="16">
        <ns0:f>P16-E16*'前提と出典'!$E$6</ns0:f>
        <ns0:v>-1038.6080773610774</ns0:v>
      </ns0:c>
      <ns0:c r="Y16" s="16">
        <ns0:f>Q16-F16*'前提と出典'!$E$6</ns0:f>
        <ns0:v>-23248.265276047485</ns0:v>
      </ns0:c>
      <ns0:c r="Z16" s="7">
        <ns0:f>X16+Y16</ns0:f>
        <ns0:v>-24286.873353408562</ns0:v>
      </ns0:c>
      <ns0:c r="AA16" s="7">
        <ns0:f>IF(T16&gt;=0,A16,1001)</ns0:f>
        <ns0:v>1001</ns0:v>
      </ns0:c>
      <ns0:c r="AB16" s="7">
        <ns0:f>IF(T16&lt;0,A16,0)</ns0:f>
        <ns0:v>12</ns0:v>
      </ns0:c>
      <ns0:c r="AC16" s="16">
        <ns0:f>IF(AND(OR('前提と出典'!$C$36+'前提と出典'!$C$38=0,R16&gt;=0),OR('前提と出典'!$C$37+'前提と出典'!$C$38=0,S16&gt;=0)),0,A16)</ns0:f>
        <ns0:v>12</ns0:v>
      </ns0:c>
      <ns0:c r="AD16" s="7">
        <ns0:f>IF(W16&gt;=0,A16,1001)</ns0:f>
        <ns0:v>1001</ns0:v>
      </ns0:c>
      <ns0:c r="AE16" s="7">
        <ns0:f>IF(W16&lt;0,A16,0)</ns0:f>
        <ns0:v>12</ns0:v>
      </ns0:c>
      <ns0:c r="AF16" s="16">
        <ns0:f>IF(AND(OR('前提と出典'!$C$36+'前提と出典'!$C$38=0,U16&gt;=0),OR('前提と出典'!$C$37+'前提と出典'!$C$38=0,V16&gt;=0)),0,A16)</ns0:f>
        <ns0:v>12</ns0:v>
      </ns0:c>
      <ns0:c r="AG16" s="7">
        <ns0:f>IF(Z16&gt;=0,A16,1001)</ns0:f>
        <ns0:v>1001</ns0:v>
      </ns0:c>
      <ns0:c r="AH16" s="4">
        <ns0:f>IF(Z16&lt;0,A16,0)</ns0:f>
        <ns0:v>12</ns0:v>
      </ns0:c>
      <ns0:c r="AI16" s="12">
        <ns0:f>IF(AND(OR('前提と出典'!$C$36+'前提と出典'!$C$38=0,X16&gt;=0),OR('前提と出典'!$C$37+'前提と出典'!$C$38=0,Y16&gt;=0)),0,A16)</ns0:f>
        <ns0:v>12</ns0:v>
      </ns0:c>
    </ns0:row>
    <ns0:row r="17" ht="24" customHeight="1">
      <ns0:c r="A17" s="4" t="n">
        <ns0:v>13</ns0:v>
      </ns0:c>
      <ns0:c r="B17" s="12">
        <ns0:f>A17*('前提と出典'!$C$36+'前提と出典'!$C$38)</ns0:f>
        <ns0:v>9.1</ns0:v>
      </ns0:c>
      <ns0:c r="C17" s="12">
        <ns0:f>A17*('前提と出典'!$C$37+'前提と出典'!$C$38)</ns0:f>
        <ns0:v>7.8</ns0:v>
      </ns0:c>
      <ns0:c r="D17" s="16">
        <ns0:f>A17*('前提と出典'!$C$36*'契約別単価'!C5+'前提と出典'!$C$37*'契約別単価'!C6+'前提と出典'!$C$38*'契約別単価'!C7)</ns0:f>
        <ns0:v>93.54189944134077</ns0:v>
      </ns0:c>
      <ns0:c r="E17" s="16">
        <ns0:f>A17*('前提と出典'!$C$36*'契約別単価'!E5+'前提と出典'!$C$37*'契約別単価'!E6+'前提と出典'!$C$38*'契約別単価'!E7)</ns0:f>
        <ns0:v>32680.348002131872</ns0:v>
      </ns0:c>
      <ns0:c r="F17" s="16">
        <ns0:f>A17*('前提と出典'!$C$36*'契約別単価'!F5+'前提と出典'!$C$37*'契約別単価'!F6+'前提と出典'!$C$38*'契約別単価'!F7)</ns0:f>
        <ns0:v>9496.073771540956</ns0:v>
      </ns0:c>
      <ns0:c r="G17" s="16">
        <ns0:f>A17*('前提と出典'!$C$36*'契約別単価'!G5+'前提と出典'!$C$37*'契約別単価'!G6+'前提と出典'!$C$38*'契約別単価'!G7)</ns0:f>
        <ns0:v>25876.53631284916</ns0:v>
      </ns0:c>
      <ns0:c r="H17" s="16">
        <ns0:f>A17*('前提と出典'!$C$36*'契約別単価'!H5+'前提と出典'!$C$37*'契約別単価'!H6+'前提と出典'!$C$38*'契約別単価'!H7)</ns0:f>
        <ns0:v>8980.45591083911</ns0:v>
      </ns0:c>
      <ns0:c r="I17" s="16">
        <ns0:f>A17*('前提と出典'!$C$36*'契約別単価'!I5+'前提と出典'!$C$37*'契約別単価'!I6+'前提と出典'!$C$38*'契約別単価'!I7)</ns0:f>
        <ns0:v>548.5418994413407</ns0:v>
      </ns0:c>
      <ns0:c r="J17" s="16">
        <ns0:f>A17*('前提と出典'!$C$36*'契約別単価'!J5+'前提と出典'!$C$37*'契約別単価'!J6+'前提と出典'!$C$38*'契約別単価'!J7)</ns0:f>
        <ns0:v>1277.7640682339334</ns0:v>
      </ns0:c>
      <ns0:c r="K17" s="16">
        <ns0:f>A17*('前提と出典'!$C$36*'契約別単価'!K5+'前提と出典'!$C$37*'契約別単価'!K6+'前提と出典'!$C$38*'契約別単価'!K7)</ns0:f>
        <ns0:v>5476.945996275605</ns0:v>
      </ns0:c>
      <ns0:c r="L17" s="16">
        <ns0:f>A17*('前提と出典'!$C$36*'契約別単価'!L5+'前提と出典'!$C$37*'契約別単価'!L6+'前提と出典'!$C$38*'契約別単価'!L7)</ns0:f>
        <ns0:v>4459.348530361303</ns0:v>
      </ns0:c>
      <ns0:c r="M17" s="16">
        <ns0:f>IF(('前提と出典'!$C$36+'前提と出典'!$C$38)=0,0,IF(B17&lt;=10,'前提と出典'!B73+'前提と出典'!C73,IF(B17&lt;=100,'前提と出典'!B74+'前提と出典'!C74,IF(B17&lt;=500,'前提と出典'!B75+'前提と出典'!C75,'前提と出典'!B76+'前提と出典'!C76))))</ns0:f>
        <ns0:v>10000</ns0:v>
      </ns0:c>
      <ns0:c r="N17" s="16">
        <ns0:f>IF(('前提と出典'!$C$37+'前提と出典'!$C$38)=0,0,IF(C17&lt;=10,'前提と出典'!D73+'前提と出典'!E73,IF(C17&lt;=100,'前提と出典'!D74+'前提と出典'!E74,IF(C17&lt;=500,'前提と出典'!D75+'前提と出典'!E75,'前提と出典'!D76+'前提と出典'!E76))))</ns0:f>
        <ns0:v>30010.934626307797</ns0:v>
      </ns0:c>
      <ns0:c r="O17" s="16">
        <ns0:f>IF('前提と出典'!$C$36+'前提と出典'!$C$38=0,0,'前提と出典'!$B$4*IF('前提と出典'!$B$20=0,MAX('前提と出典'!$B$6,D17*'前提と出典'!$B$5),'前提と出典'!$B$6+D17*'前提と出典'!$B$5))</ns0:f>
        <ns0:v>22500</ns0:v>
      </ns0:c>
      <ns0:c r="P17" s="16">
        <ns0:f>(E17+G17)*(1-'前提と出典'!$B$7)-I17-K17-M17-O17</ns0:f>
        <ns0:v>17923.34858392476</ns0:v>
      </ns0:c>
      <ns0:c r="Q17" s="16">
        <ns0:f>(F17+H17)*(1-'前提と出典'!$B$7)-J17-L17-N17</ns0:f>
        <ns0:v>-17936.672611088645</ns0:v>
      </ns0:c>
      <ns0:c r="R17" s="16">
        <ns0:f>P17-E17*'前提と出典'!$E$4</ns0:f>
        <ns0:v>8119.2441832852055</ns0:v>
      </ns0:c>
      <ns0:c r="S17" s="16">
        <ns0:f>Q17-F17*'前提と出典'!$E$4</ns0:f>
        <ns0:v>-20785.494742550934</ns0:v>
      </ns0:c>
      <ns0:c r="T17" s="7">
        <ns0:f>R17+S17</ns0:f>
        <ns0:v>-12666.250559265729</ns0:v>
      </ns0:c>
      <ns0:c r="U17" s="16">
        <ns0:f>P17-E17*'前提と出典'!$E$5</ns0:f>
        <ns0:v>4851.209383072011</ns0:v>
      </ns0:c>
      <ns0:c r="V17" s="16">
        <ns0:f>Q17-F17*'前提と出典'!$E$5</ns0:f>
        <ns0:v>-21735.10211970503</ns0:v>
      </ns0:c>
      <ns0:c r="W17" s="7">
        <ns0:f>U17+V17</ns0:f>
        <ns0:v>-16883.892736633017</ns0:v>
      </ns0:c>
      <ns0:c r="X17" s="16">
        <ns0:f>P17-E17*'前提と出典'!$E$6</ns0:f>
        <ns0:v>1583.1745828588319</ns0:v>
      </ns0:c>
      <ns0:c r="Y17" s="16">
        <ns0:f>Q17-F17*'前提と出典'!$E$6</ns0:f>
        <ns0:v>-22684.709496859126</ns0:v>
      </ns0:c>
      <ns0:c r="Z17" s="7">
        <ns0:f>X17+Y17</ns0:f>
        <ns0:v>-21101.534914000295</ns0:v>
      </ns0:c>
      <ns0:c r="AA17" s="7">
        <ns0:f>IF(T17&gt;=0,A17,1001)</ns0:f>
        <ns0:v>1001</ns0:v>
      </ns0:c>
      <ns0:c r="AB17" s="7">
        <ns0:f>IF(T17&lt;0,A17,0)</ns0:f>
        <ns0:v>13</ns0:v>
      </ns0:c>
      <ns0:c r="AC17" s="16">
        <ns0:f>IF(AND(OR('前提と出典'!$C$36+'前提と出典'!$C$38=0,R17&gt;=0),OR('前提と出典'!$C$37+'前提と出典'!$C$38=0,S17&gt;=0)),0,A17)</ns0:f>
        <ns0:v>13</ns0:v>
      </ns0:c>
      <ns0:c r="AD17" s="7">
        <ns0:f>IF(W17&gt;=0,A17,1001)</ns0:f>
        <ns0:v>1001</ns0:v>
      </ns0:c>
      <ns0:c r="AE17" s="7">
        <ns0:f>IF(W17&lt;0,A17,0)</ns0:f>
        <ns0:v>13</ns0:v>
      </ns0:c>
      <ns0:c r="AF17" s="16">
        <ns0:f>IF(AND(OR('前提と出典'!$C$36+'前提と出典'!$C$38=0,U17&gt;=0),OR('前提と出典'!$C$37+'前提と出典'!$C$38=0,V17&gt;=0)),0,A17)</ns0:f>
        <ns0:v>13</ns0:v>
      </ns0:c>
      <ns0:c r="AG17" s="7">
        <ns0:f>IF(Z17&gt;=0,A17,1001)</ns0:f>
        <ns0:v>1001</ns0:v>
      </ns0:c>
      <ns0:c r="AH17" s="4">
        <ns0:f>IF(Z17&lt;0,A17,0)</ns0:f>
        <ns0:v>13</ns0:v>
      </ns0:c>
      <ns0:c r="AI17" s="12">
        <ns0:f>IF(AND(OR('前提と出典'!$C$36+'前提と出典'!$C$38=0,X17&gt;=0),OR('前提と出典'!$C$37+'前提と出典'!$C$38=0,Y17&gt;=0)),0,A17)</ns0:f>
        <ns0:v>13</ns0:v>
      </ns0:c>
    </ns0:row>
    <ns0:row r="18" ht="24" customHeight="1">
      <ns0:c r="A18" s="4" t="n">
        <ns0:v>14</ns0:v>
      </ns0:c>
      <ns0:c r="B18" s="12">
        <ns0:f>A18*('前提と出典'!$C$36+'前提と出典'!$C$38)</ns0:f>
        <ns0:v>9.799999999999999</ns0:v>
      </ns0:c>
      <ns0:c r="C18" s="12">
        <ns0:f>A18*('前提と出典'!$C$37+'前提と出典'!$C$38)</ns0:f>
        <ns0:v>8.4</ns0:v>
      </ns0:c>
      <ns0:c r="D18" s="16">
        <ns0:f>A18*('前提と出典'!$C$36*'契約別単価'!C5+'前提と出典'!$C$37*'契約別単価'!C6+'前提と出典'!$C$38*'契約別単価'!C7)</ns0:f>
        <ns0:v>100.73743016759776</ns0:v>
      </ns0:c>
      <ns0:c r="E18" s="16">
        <ns0:f>A18*('前提と出典'!$C$36*'契約別単価'!E5+'前提と出典'!$C$37*'契約別単価'!E6+'前提と出典'!$C$38*'契約別単価'!E7)</ns0:f>
        <ns0:v>35194.220925372785</ns0:v>
      </ns0:c>
      <ns0:c r="F18" s="16">
        <ns0:f>A18*('前提と出典'!$C$36*'契約別単価'!F5+'前提と出典'!$C$37*'契約別単価'!F6+'前提と出典'!$C$38*'契約別単価'!F7)</ns0:f>
        <ns0:v>10226.540984736414</ns0:v>
      </ns0:c>
      <ns0:c r="G18" s="16">
        <ns0:f>A18*('前提と出典'!$C$36*'契約別単価'!G5+'前提と出典'!$C$37*'契約別単価'!G6+'前提と出典'!$C$38*'契約別単価'!G7)</ns0:f>
        <ns0:v>27867.03910614525</ns0:v>
      </ns0:c>
      <ns0:c r="H18" s="16">
        <ns0:f>A18*('前提と出典'!$C$36*'契約別単価'!H5+'前提と出典'!$C$37*'契約別単価'!H6+'前提と出典'!$C$38*'契約別単価'!H7)</ns0:f>
        <ns0:v>9671.260211672889</ns0:v>
      </ns0:c>
      <ns0:c r="I18" s="16">
        <ns0:f>A18*('前提と出典'!$C$36*'契約別単価'!I5+'前提と出典'!$C$37*'契約別単価'!I6+'前提と出典'!$C$38*'契約別単価'!I7)</ns0:f>
        <ns0:v>590.7374301675977</ns0:v>
      </ns0:c>
      <ns0:c r="J18" s="16">
        <ns0:f>A18*('前提と出典'!$C$36*'契約別単価'!J5+'前提と出典'!$C$37*'契約別単価'!J6+'前提と出典'!$C$38*'契約別単価'!J7)</ns0:f>
        <ns0:v>1376.0536119442359</ns0:v>
      </ns0:c>
      <ns0:c r="K18" s="16">
        <ns0:f>A18*('前提と出典'!$C$36*'契約別単価'!K5+'前提と出典'!$C$37*'契約別単価'!K6+'前提と出典'!$C$38*'契約別単価'!K7)</ns0:f>
        <ns0:v>5898.2495344506515</ns0:v>
      </ns0:c>
      <ns0:c r="L18" s="16">
        <ns0:f>A18*('前提と出典'!$C$36*'契約別単価'!L5+'前提と出典'!$C$37*'契約別単価'!L6+'前提と出典'!$C$38*'契約別単価'!L7)</ns0:f>
        <ns0:v>4802.375340389096</ns0:v>
      </ns0:c>
      <ns0:c r="M18" s="16">
        <ns0:f>IF(('前提と出典'!$C$36+'前提と出典'!$C$38)=0,0,IF(B18&lt;=10,'前提と出典'!B73+'前提と出典'!C73,IF(B18&lt;=100,'前提と出典'!B74+'前提と出典'!C74,IF(B18&lt;=500,'前提と出典'!B75+'前提と出典'!C75,'前提と出典'!B76+'前提と出典'!C76))))</ns0:f>
        <ns0:v>10000</ns0:v>
      </ns0:c>
      <ns0:c r="N18" s="16">
        <ns0:f>IF(('前提と出典'!$C$37+'前提と出典'!$C$38)=0,0,IF(C18&lt;=10,'前提と出典'!D73+'前提と出典'!E73,IF(C18&lt;=100,'前提と出典'!D74+'前提と出典'!E74,IF(C18&lt;=500,'前提と出典'!D75+'前提と出典'!E75,'前提と出典'!D76+'前提と出典'!E76))))</ns0:f>
        <ns0:v>30010.934626307797</ns0:v>
      </ns0:c>
      <ns0:c r="O18" s="16">
        <ns0:f>IF('前提と出典'!$C$36+'前提と出典'!$C$38=0,0,'前提と出典'!$B$4*IF('前提と出典'!$B$20=0,MAX('前提と出典'!$B$6,D18*'前提と出典'!$B$5),'前提と出典'!$B$6+D18*'前提と出典'!$B$5))</ns0:f>
        <ns0:v>22500</ns0:v>
      </ns0:c>
      <ns0:c r="P18" s="16">
        <ns0:f>(E18+G18)*(1-'前提と出典'!$B$7)-I18-K18-M18-O18</ns0:f>
        <ns0:v>21802.067705765134</ns0:v>
      </ns0:c>
      <ns0:c r="Q18" s="16">
        <ns0:f>(F18+H18)*(1-'前提と出典'!$B$7)-J18-L18-N18</ns0:f>
        <ns0:v>-17007.88322530256</ns0:v>
      </ns0:c>
      <ns0:c r="R18" s="16">
        <ns0:f>P18-E18*'前提と出典'!$E$4</ns0:f>
        <ns0:v>11243.801428153296</ns0:v>
      </ns0:c>
      <ns0:c r="S18" s="16">
        <ns0:f>Q18-F18*'前提と出典'!$E$4</ns0:f>
        <ns0:v>-20075.845520723484</ns0:v>
      </ns0:c>
      <ns0:c r="T18" s="7">
        <ns0:f>R18+S18</ns0:f>
        <ns0:v>-8832.044092570188</ns0:v>
      </ns0:c>
      <ns0:c r="U18" s="16">
        <ns0:f>P18-E18*'前提と出典'!$E$5</ns0:f>
        <ns0:v>7724.379335616017</ns0:v>
      </ns0:c>
      <ns0:c r="V18" s="16">
        <ns0:f>Q18-F18*'前提と出典'!$E$5</ns0:f>
        <ns0:v>-21098.499619197126</ns0:v>
      </ns0:c>
      <ns0:c r="W18" s="7">
        <ns0:f>U18+V18</ns0:f>
        <ns0:v>-13374.12028358111</ns0:v>
      </ns0:c>
      <ns0:c r="X18" s="16">
        <ns0:f>P18-E18*'前提と出典'!$E$6</ns0:f>
        <ns0:v>4204.9572430787375</ns0:v>
      </ns0:c>
      <ns0:c r="Y18" s="16">
        <ns0:f>Q18-F18*'前提と出典'!$E$6</ns0:f>
        <ns0:v>-22121.153717670768</ns0:v>
      </ns0:c>
      <ns0:c r="Z18" s="7">
        <ns0:f>X18+Y18</ns0:f>
        <ns0:v>-17916.19647459203</ns0:v>
      </ns0:c>
      <ns0:c r="AA18" s="7">
        <ns0:f>IF(T18&gt;=0,A18,1001)</ns0:f>
        <ns0:v>1001</ns0:v>
      </ns0:c>
      <ns0:c r="AB18" s="7">
        <ns0:f>IF(T18&lt;0,A18,0)</ns0:f>
        <ns0:v>14</ns0:v>
      </ns0:c>
      <ns0:c r="AC18" s="16">
        <ns0:f>IF(AND(OR('前提と出典'!$C$36+'前提と出典'!$C$38=0,R18&gt;=0),OR('前提と出典'!$C$37+'前提と出典'!$C$38=0,S18&gt;=0)),0,A18)</ns0:f>
        <ns0:v>14</ns0:v>
      </ns0:c>
      <ns0:c r="AD18" s="7">
        <ns0:f>IF(W18&gt;=0,A18,1001)</ns0:f>
        <ns0:v>1001</ns0:v>
      </ns0:c>
      <ns0:c r="AE18" s="7">
        <ns0:f>IF(W18&lt;0,A18,0)</ns0:f>
        <ns0:v>14</ns0:v>
      </ns0:c>
      <ns0:c r="AF18" s="16">
        <ns0:f>IF(AND(OR('前提と出典'!$C$36+'前提と出典'!$C$38=0,U18&gt;=0),OR('前提と出典'!$C$37+'前提と出典'!$C$38=0,V18&gt;=0)),0,A18)</ns0:f>
        <ns0:v>14</ns0:v>
      </ns0:c>
      <ns0:c r="AG18" s="7">
        <ns0:f>IF(Z18&gt;=0,A18,1001)</ns0:f>
        <ns0:v>1001</ns0:v>
      </ns0:c>
      <ns0:c r="AH18" s="4">
        <ns0:f>IF(Z18&lt;0,A18,0)</ns0:f>
        <ns0:v>14</ns0:v>
      </ns0:c>
      <ns0:c r="AI18" s="12">
        <ns0:f>IF(AND(OR('前提と出典'!$C$36+'前提と出典'!$C$38=0,X18&gt;=0),OR('前提と出典'!$C$37+'前提と出典'!$C$38=0,Y18&gt;=0)),0,A18)</ns0:f>
        <ns0:v>14</ns0:v>
      </ns0:c>
    </ns0:row>
    <ns0:row r="19" ht="24" customHeight="1">
      <ns0:c r="A19" s="4" t="n">
        <ns0:v>15</ns0:v>
      </ns0:c>
      <ns0:c r="B19" s="12">
        <ns0:f>A19*('前提と出典'!$C$36+'前提と出典'!$C$38)</ns0:f>
        <ns0:v>10.5</ns0:v>
      </ns0:c>
      <ns0:c r="C19" s="12">
        <ns0:f>A19*('前提と出典'!$C$37+'前提と出典'!$C$38)</ns0:f>
        <ns0:v>9</ns0:v>
      </ns0:c>
      <ns0:c r="D19" s="16">
        <ns0:f>A19*('前提と出典'!$C$36*'契約別単価'!C5+'前提と出典'!$C$37*'契約別単価'!C6+'前提と出典'!$C$38*'契約別単価'!C7)</ns0:f>
        <ns0:v>107.93296089385476</ns0:v>
      </ns0:c>
      <ns0:c r="E19" s="16">
        <ns0:f>A19*('前提と出典'!$C$36*'契約別単価'!E5+'前提と出典'!$C$37*'契約別単価'!E6+'前提と出典'!$C$38*'契約別単価'!E7)</ns0:f>
        <ns0:v>37708.0938486137</ns0:v>
      </ns0:c>
      <ns0:c r="F19" s="16">
        <ns0:f>A19*('前提と出典'!$C$36*'契約別単価'!F5+'前提と出典'!$C$37*'契約別単価'!F6+'前提と出典'!$C$38*'契約別単価'!F7)</ns0:f>
        <ns0:v>10957.008197931873</ns0:v>
      </ns0:c>
      <ns0:c r="G19" s="16">
        <ns0:f>A19*('前提と出典'!$C$36*'契約別単価'!G5+'前提と出典'!$C$37*'契約別単価'!G6+'前提と出典'!$C$38*'契約別単価'!G7)</ns0:f>
        <ns0:v>29857.54189944134</ns0:v>
      </ns0:c>
      <ns0:c r="H19" s="16">
        <ns0:f>A19*('前提と出典'!$C$36*'契約別単価'!H5+'前提と出典'!$C$37*'契約別単価'!H6+'前提と出典'!$C$38*'契約別単価'!H7)</ns0:f>
        <ns0:v>10362.064512506666</ns0:v>
      </ns0:c>
      <ns0:c r="I19" s="16">
        <ns0:f>A19*('前提と出典'!$C$36*'契約別単価'!I5+'前提と出典'!$C$37*'契約別単価'!I6+'前提と出典'!$C$38*'契約別単価'!I7)</ns0:f>
        <ns0:v>632.9329608938547</ns0:v>
      </ns0:c>
      <ns0:c r="J19" s="16">
        <ns0:f>A19*('前提と出典'!$C$36*'契約別単価'!J5+'前提と出典'!$C$37*'契約別単価'!J6+'前提と出典'!$C$38*'契約別単価'!J7)</ns0:f>
        <ns0:v>1474.3431556545386</ns0:v>
      </ns0:c>
      <ns0:c r="K19" s="16">
        <ns0:f>A19*('前提と出典'!$C$36*'契約別単価'!K5+'前提と出典'!$C$37*'契約別単価'!K6+'前提と出典'!$C$38*'契約別単価'!K7)</ns0:f>
        <ns0:v>6319.5530726256975</ns0:v>
      </ns0:c>
      <ns0:c r="L19" s="16">
        <ns0:f>A19*('前提と出典'!$C$36*'契約別単価'!L5+'前提と出典'!$C$37*'契約別単価'!L6+'前提と出典'!$C$38*'契約別単価'!L7)</ns0:f>
        <ns0:v>5145.402150416889</ns0:v>
      </ns0:c>
      <ns0:c r="M19" s="16">
        <ns0:f>IF(('前提と出典'!$C$36+'前提と出典'!$C$38)=0,0,IF(B19&lt;=10,'前提と出典'!B73+'前提と出典'!C73,IF(B19&lt;=100,'前提と出典'!B74+'前提と出典'!C74,IF(B19&lt;=500,'前提と出典'!B75+'前提と出典'!C75,'前提と出典'!B76+'前提と出典'!C76))))</ns0:f>
        <ns0:v>20000</ns0:v>
      </ns0:c>
      <ns0:c r="N19" s="16">
        <ns0:f>IF(('前提と出典'!$C$37+'前提と出典'!$C$38)=0,0,IF(C19&lt;=10,'前提と出典'!D73+'前提と出典'!E73,IF(C19&lt;=100,'前提と出典'!D74+'前提と出典'!E74,IF(C19&lt;=500,'前提と出典'!D75+'前提と出典'!E75,'前提と出典'!D76+'前提と出典'!E76))))</ns0:f>
        <ns0:v>30010.934626307797</ns0:v>
      </ns0:c>
      <ns0:c r="O19" s="16">
        <ns0:f>IF('前提と出典'!$C$36+'前提と出典'!$C$38=0,0,'前提と出典'!$B$4*IF('前提と出典'!$B$20=0,MAX('前提と出典'!$B$6,D19*'前提と出典'!$B$5),'前提と出典'!$B$6+D19*'前提と出典'!$B$5))</ns0:f>
        <ns0:v>22500</ns0:v>
      </ns0:c>
      <ns0:c r="P19" s="16">
        <ns0:f>(E19+G19)*(1-'前提と出典'!$B$7)-I19-K19-M19-O19</ns0:f>
        <ns0:v>15680.786827605503</ns0:v>
      </ns0:c>
      <ns0:c r="Q19" s="16">
        <ns0:f>(F19+H19)*(1-'前提と出典'!$B$7)-J19-L19-N19</ns0:f>
        <ns0:v>-16079.093839516474</ns0:v>
      </ns0:c>
      <ns0:c r="R19" s="16">
        <ns0:f>P19-E19*'前提と出典'!$E$4</ns0:f>
        <ns0:v>4368.358673021394</ns0:v>
      </ns0:c>
      <ns0:c r="S19" s="16">
        <ns0:f>Q19-F19*'前提と出典'!$E$4</ns0:f>
        <ns0:v>-19366.196298896037</ns0:v>
      </ns0:c>
      <ns0:c r="T19" s="7">
        <ns0:f>R19+S19</ns0:f>
        <ns0:v>-14997.837625874643</ns0:v>
      </ns0:c>
      <ns0:c r="U19" s="16">
        <ns0:f>P19-E19*'前提と出典'!$E$5</ns0:f>
        <ns0:v>597.5492881600221</ns0:v>
      </ns0:c>
      <ns0:c r="V19" s="16">
        <ns0:f>Q19-F19*'前提と出典'!$E$5</ns0:f>
        <ns0:v>-20461.897118689223</ns0:v>
      </ns0:c>
      <ns0:c r="W19" s="7">
        <ns0:f>U19+V19</ns0:f>
        <ns0:v>-19864.3478305292</ns0:v>
      </ns0:c>
      <ns0:c r="X19" s="16">
        <ns0:f>P19-E19*'前提と出典'!$E$6</ns0:f>
        <ns0:v>-3173.2600967013495</ns0:v>
      </ns0:c>
      <ns0:c r="Y19" s="16">
        <ns0:f>Q19-F19*'前提と出典'!$E$6</ns0:f>
        <ns0:v>-21557.59793848241</ns0:v>
      </ns0:c>
      <ns0:c r="Z19" s="7">
        <ns0:f>X19+Y19</ns0:f>
        <ns0:v>-24730.85803518376</ns0:v>
      </ns0:c>
      <ns0:c r="AA19" s="7">
        <ns0:f>IF(T19&gt;=0,A19,1001)</ns0:f>
        <ns0:v>1001</ns0:v>
      </ns0:c>
      <ns0:c r="AB19" s="7">
        <ns0:f>IF(T19&lt;0,A19,0)</ns0:f>
        <ns0:v>15</ns0:v>
      </ns0:c>
      <ns0:c r="AC19" s="16">
        <ns0:f>IF(AND(OR('前提と出典'!$C$36+'前提と出典'!$C$38=0,R19&gt;=0),OR('前提と出典'!$C$37+'前提と出典'!$C$38=0,S19&gt;=0)),0,A19)</ns0:f>
        <ns0:v>15</ns0:v>
      </ns0:c>
      <ns0:c r="AD19" s="7">
        <ns0:f>IF(W19&gt;=0,A19,1001)</ns0:f>
        <ns0:v>1001</ns0:v>
      </ns0:c>
      <ns0:c r="AE19" s="7">
        <ns0:f>IF(W19&lt;0,A19,0)</ns0:f>
        <ns0:v>15</ns0:v>
      </ns0:c>
      <ns0:c r="AF19" s="16">
        <ns0:f>IF(AND(OR('前提と出典'!$C$36+'前提と出典'!$C$38=0,U19&gt;=0),OR('前提と出典'!$C$37+'前提と出典'!$C$38=0,V19&gt;=0)),0,A19)</ns0:f>
        <ns0:v>15</ns0:v>
      </ns0:c>
      <ns0:c r="AG19" s="7">
        <ns0:f>IF(Z19&gt;=0,A19,1001)</ns0:f>
        <ns0:v>1001</ns0:v>
      </ns0:c>
      <ns0:c r="AH19" s="4">
        <ns0:f>IF(Z19&lt;0,A19,0)</ns0:f>
        <ns0:v>15</ns0:v>
      </ns0:c>
      <ns0:c r="AI19" s="12">
        <ns0:f>IF(AND(OR('前提と出典'!$C$36+'前提と出典'!$C$38=0,X19&gt;=0),OR('前提と出典'!$C$37+'前提と出典'!$C$38=0,Y19&gt;=0)),0,A19)</ns0:f>
        <ns0:v>15</ns0:v>
      </ns0:c>
    </ns0:row>
    <ns0:row r="20" ht="24" customHeight="1">
      <ns0:c r="A20" s="4" t="n">
        <ns0:v>16</ns0:v>
      </ns0:c>
      <ns0:c r="B20" s="12">
        <ns0:f>A20*('前提と出典'!$C$36+'前提と出典'!$C$38)</ns0:f>
        <ns0:v>11.2</ns0:v>
      </ns0:c>
      <ns0:c r="C20" s="12">
        <ns0:f>A20*('前提と出典'!$C$37+'前提と出典'!$C$38)</ns0:f>
        <ns0:v>9.6</ns0:v>
      </ns0:c>
      <ns0:c r="D20" s="16">
        <ns0:f>A20*('前提と出典'!$C$36*'契約別単価'!C5+'前提と出典'!$C$37*'契約別単価'!C6+'前提と出典'!$C$38*'契約別単価'!C7)</ns0:f>
        <ns0:v>115.12849162011173</ns0:v>
      </ns0:c>
      <ns0:c r="E20" s="16">
        <ns0:f>A20*('前提と出典'!$C$36*'契約別単価'!E5+'前提と出典'!$C$37*'契約別単価'!E6+'前提と出典'!$C$38*'契約別単価'!E7)</ns0:f>
        <ns0:v>40221.96677185461</ns0:v>
      </ns0:c>
      <ns0:c r="F20" s="16">
        <ns0:f>A20*('前提と出典'!$C$36*'契約別単価'!F5+'前提と出典'!$C$37*'契約別単価'!F6+'前提と出典'!$C$38*'契約別単価'!F7)</ns0:f>
        <ns0:v>11687.47541112733</ns0:v>
      </ns0:c>
      <ns0:c r="G20" s="16">
        <ns0:f>A20*('前提と出典'!$C$36*'契約別単価'!G5+'前提と出典'!$C$37*'契約別単価'!G6+'前提と出典'!$C$38*'契約別単価'!G7)</ns0:f>
        <ns0:v>31848.04469273743</ns0:v>
      </ns0:c>
      <ns0:c r="H20" s="16">
        <ns0:f>A20*('前提と出典'!$C$36*'契約別単価'!H5+'前提と出典'!$C$37*'契約別単価'!H6+'前提と出典'!$C$38*'契約別単価'!H7)</ns0:f>
        <ns0:v>11052.868813340443</ns0:v>
      </ns0:c>
      <ns0:c r="I20" s="16">
        <ns0:f>A20*('前提と出典'!$C$36*'契約別単価'!I5+'前提と出典'!$C$37*'契約別単価'!I6+'前提と出典'!$C$38*'契約別単価'!I7)</ns0:f>
        <ns0:v>675.1284916201116</ns0:v>
      </ns0:c>
      <ns0:c r="J20" s="16">
        <ns0:f>A20*('前提と出典'!$C$36*'契約別単価'!J5+'前提と出典'!$C$37*'契約別単価'!J6+'前提と出典'!$C$38*'契約別単価'!J7)</ns0:f>
        <ns0:v>1572.632699364841</ns0:v>
      </ns0:c>
      <ns0:c r="K20" s="16">
        <ns0:f>A20*('前提と出典'!$C$36*'契約別単価'!K5+'前提と出典'!$C$37*'契約別単価'!K6+'前提と出典'!$C$38*'契約別単価'!K7)</ns0:f>
        <ns0:v>6740.856610800744</ns0:v>
      </ns0:c>
      <ns0:c r="L20" s="16">
        <ns0:f>A20*('前提と出典'!$C$36*'契約別単価'!L5+'前提と出典'!$C$37*'契約別単価'!L6+'前提と出典'!$C$38*'契約別単価'!L7)</ns0:f>
        <ns0:v>5488.428960444681</ns0:v>
      </ns0:c>
      <ns0:c r="M20" s="16">
        <ns0:f>IF(('前提と出典'!$C$36+'前提と出典'!$C$38)=0,0,IF(B20&lt;=10,'前提と出典'!B73+'前提と出典'!C73,IF(B20&lt;=100,'前提と出典'!B74+'前提と出典'!C74,IF(B20&lt;=500,'前提と出典'!B75+'前提と出典'!C75,'前提と出典'!B76+'前提と出典'!C76))))</ns0:f>
        <ns0:v>20000</ns0:v>
      </ns0:c>
      <ns0:c r="N20" s="16">
        <ns0:f>IF(('前提と出典'!$C$37+'前提と出典'!$C$38)=0,0,IF(C20&lt;=10,'前提と出典'!D73+'前提と出典'!E73,IF(C20&lt;=100,'前提と出典'!D74+'前提と出典'!E74,IF(C20&lt;=500,'前提と出典'!D75+'前提と出典'!E75,'前提と出典'!D76+'前提と出典'!E76))))</ns0:f>
        <ns0:v>30010.934626307797</ns0:v>
      </ns0:c>
      <ns0:c r="O20" s="16">
        <ns0:f>IF('前提と出典'!$C$36+'前提と出典'!$C$38=0,0,'前提と出典'!$B$4*IF('前提と出典'!$B$20=0,MAX('前提と出典'!$B$6,D20*'前提と出典'!$B$5),'前提と出典'!$B$6+D20*'前提と出典'!$B$5))</ns0:f>
        <ns0:v>22500</ns0:v>
      </ns0:c>
      <ns0:c r="P20" s="16">
        <ns0:f>(E20+G20)*(1-'前提と出典'!$B$7)-I20-K20-M20-O20</ns0:f>
        <ns0:v>19559.505949445873</ns0:v>
      </ns0:c>
      <ns0:c r="Q20" s="16">
        <ns0:f>(F20+H20)*(1-'前提と出典'!$B$7)-J20-L20-N20</ns0:f>
        <ns0:v>-15150.304453730387</ns0:v>
      </ns0:c>
      <ns0:c r="R20" s="16">
        <ns0:f>P20-E20*'前提と出典'!$E$4</ns0:f>
        <ns0:v>7492.915917889484</ns0:v>
      </ns0:c>
      <ns0:c r="S20" s="16">
        <ns0:f>Q20-F20*'前提と出典'!$E$4</ns0:f>
        <ns0:v>-18656.547077068586</ns0:v>
      </ns0:c>
      <ns0:c r="T20" s="7">
        <ns0:f>R20+S20</ns0:f>
        <ns0:v>-11163.631159179102</ns0:v>
      </ns0:c>
      <ns0:c r="U20" s="16">
        <ns0:f>P20-E20*'前提と出典'!$E$5</ns0:f>
        <ns0:v>3470.7192407040275</ns0:v>
      </ns0:c>
      <ns0:c r="V20" s="16">
        <ns0:f>Q20-F20*'前提と出典'!$E$5</ns0:f>
        <ns0:v>-19825.29461818132</ns0:v>
      </ns0:c>
      <ns0:c r="W20" s="7">
        <ns0:f>U20+V20</ns0:f>
        <ns0:v>-16354.575377477293</ns0:v>
      </ns0:c>
      <ns0:c r="X20" s="16">
        <ns0:f>P20-E20*'前提と出典'!$E$6</ns0:f>
        <ns0:v>-551.4774364814366</ns0:v>
      </ns0:c>
      <ns0:c r="Y20" s="16">
        <ns0:f>Q20-F20*'前提と出典'!$E$6</ns0:f>
        <ns0:v>-20994.04215929405</ns0:v>
      </ns0:c>
      <ns0:c r="Z20" s="7">
        <ns0:f>X20+Y20</ns0:f>
        <ns0:v>-21545.519595775488</ns0:v>
      </ns0:c>
      <ns0:c r="AA20" s="7">
        <ns0:f>IF(T20&gt;=0,A20,1001)</ns0:f>
        <ns0:v>1001</ns0:v>
      </ns0:c>
      <ns0:c r="AB20" s="7">
        <ns0:f>IF(T20&lt;0,A20,0)</ns0:f>
        <ns0:v>16</ns0:v>
      </ns0:c>
      <ns0:c r="AC20" s="16">
        <ns0:f>IF(AND(OR('前提と出典'!$C$36+'前提と出典'!$C$38=0,R20&gt;=0),OR('前提と出典'!$C$37+'前提と出典'!$C$38=0,S20&gt;=0)),0,A20)</ns0:f>
        <ns0:v>16</ns0:v>
      </ns0:c>
      <ns0:c r="AD20" s="7">
        <ns0:f>IF(W20&gt;=0,A20,1001)</ns0:f>
        <ns0:v>1001</ns0:v>
      </ns0:c>
      <ns0:c r="AE20" s="7">
        <ns0:f>IF(W20&lt;0,A20,0)</ns0:f>
        <ns0:v>16</ns0:v>
      </ns0:c>
      <ns0:c r="AF20" s="16">
        <ns0:f>IF(AND(OR('前提と出典'!$C$36+'前提と出典'!$C$38=0,U20&gt;=0),OR('前提と出典'!$C$37+'前提と出典'!$C$38=0,V20&gt;=0)),0,A20)</ns0:f>
        <ns0:v>16</ns0:v>
      </ns0:c>
      <ns0:c r="AG20" s="7">
        <ns0:f>IF(Z20&gt;=0,A20,1001)</ns0:f>
        <ns0:v>1001</ns0:v>
      </ns0:c>
      <ns0:c r="AH20" s="4">
        <ns0:f>IF(Z20&lt;0,A20,0)</ns0:f>
        <ns0:v>16</ns0:v>
      </ns0:c>
      <ns0:c r="AI20" s="12">
        <ns0:f>IF(AND(OR('前提と出典'!$C$36+'前提と出典'!$C$38=0,X20&gt;=0),OR('前提と出典'!$C$37+'前提と出典'!$C$38=0,Y20&gt;=0)),0,A20)</ns0:f>
        <ns0:v>16</ns0:v>
      </ns0:c>
    </ns0:row>
    <ns0:row r="21" ht="24" customHeight="1">
      <ns0:c r="A21" s="4" t="n">
        <ns0:v>17</ns0:v>
      </ns0:c>
      <ns0:c r="B21" s="12">
        <ns0:f>A21*('前提と出典'!$C$36+'前提と出典'!$C$38)</ns0:f>
        <ns0:v>11.899999999999999</ns0:v>
      </ns0:c>
      <ns0:c r="C21" s="12">
        <ns0:f>A21*('前提と出典'!$C$37+'前提と出典'!$C$38)</ns0:f>
        <ns0:v>10.2</ns0:v>
      </ns0:c>
      <ns0:c r="D21" s="16">
        <ns0:f>A21*('前提と出典'!$C$36*'契約別単価'!C5+'前提と出典'!$C$37*'契約別単価'!C6+'前提と出典'!$C$38*'契約別単価'!C7)</ns0:f>
        <ns0:v>122.32402234636871</ns0:v>
      </ns0:c>
      <ns0:c r="E21" s="16">
        <ns0:f>A21*('前提と出典'!$C$36*'契約別単価'!E5+'前提と出典'!$C$37*'契約別単価'!E6+'前提と出典'!$C$38*'契約別単価'!E7)</ns0:f>
        <ns0:v>42735.83969509552</ns0:v>
      </ns0:c>
      <ns0:c r="F21" s="16">
        <ns0:f>A21*('前提と出典'!$C$36*'契約別単価'!F5+'前提と出典'!$C$37*'契約別単価'!F6+'前提と出典'!$C$38*'契約別単価'!F7)</ns0:f>
        <ns0:v>12417.942624322788</ns0:v>
      </ns0:c>
      <ns0:c r="G21" s="16">
        <ns0:f>A21*('前提と出典'!$C$36*'契約別単価'!G5+'前提と出典'!$C$37*'契約別単価'!G6+'前提と出典'!$C$38*'契約別単価'!G7)</ns0:f>
        <ns0:v>33838.547486033516</ns0:v>
      </ns0:c>
      <ns0:c r="H21" s="16">
        <ns0:f>A21*('前提と出典'!$C$36*'契約別単価'!H5+'前提と出典'!$C$37*'契約別単価'!H6+'前提と出典'!$C$38*'契約別単価'!H7)</ns0:f>
        <ns0:v>11743.67311417422</ns0:v>
      </ns0:c>
      <ns0:c r="I21" s="16">
        <ns0:f>A21*('前提と出典'!$C$36*'契約別単価'!I5+'前提と出典'!$C$37*'契約別単価'!I6+'前提と出典'!$C$38*'契約別単価'!I7)</ns0:f>
        <ns0:v>717.3240223463686</ns0:v>
      </ns0:c>
      <ns0:c r="J21" s="16">
        <ns0:f>A21*('前提と出典'!$C$36*'契約別単価'!J5+'前提と出典'!$C$37*'契約別単価'!J6+'前提と出典'!$C$38*'契約別単価'!J7)</ns0:f>
        <ns0:v>1670.9222430751436</ns0:v>
      </ns0:c>
      <ns0:c r="K21" s="16">
        <ns0:f>A21*('前提と出典'!$C$36*'契約別単価'!K5+'前提と出典'!$C$37*'契約別単価'!K6+'前提と出典'!$C$38*'契約別単価'!K7)</ns0:f>
        <ns0:v>7162.160148975791</ns0:v>
      </ns0:c>
      <ns0:c r="L21" s="16">
        <ns0:f>A21*('前提と出典'!$C$36*'契約別単価'!L5+'前提と出典'!$C$37*'契約別単価'!L6+'前提と出典'!$C$38*'契約別単価'!L7)</ns0:f>
        <ns0:v>5831.455770472474</ns0:v>
      </ns0:c>
      <ns0:c r="M21" s="16">
        <ns0:f>IF(('前提と出典'!$C$36+'前提と出典'!$C$38)=0,0,IF(B21&lt;=10,'前提と出典'!B73+'前提と出典'!C73,IF(B21&lt;=100,'前提と出典'!B74+'前提と出典'!C74,IF(B21&lt;=500,'前提と出典'!B75+'前提と出典'!C75,'前提と出典'!B76+'前提と出典'!C76))))</ns0:f>
        <ns0:v>20000</ns0:v>
      </ns0:c>
      <ns0:c r="N21" s="16">
        <ns0:f>IF(('前提と出典'!$C$37+'前提と出典'!$C$38)=0,0,IF(C21&lt;=10,'前提と出典'!D73+'前提と出典'!E73,IF(C21&lt;=100,'前提と出典'!D74+'前提と出典'!E74,IF(C21&lt;=500,'前提と出典'!D75+'前提と出典'!E75,'前提と出典'!D76+'前提と出典'!E76))))</ns0:f>
        <ns0:v>34510.9346263078</ns0:v>
      </ns0:c>
      <ns0:c r="O21" s="16">
        <ns0:f>IF('前提と出典'!$C$36+'前提と出典'!$C$38=0,0,'前提と出典'!$B$4*IF('前提と出典'!$B$20=0,MAX('前提と出典'!$B$6,D21*'前提と出典'!$B$5),'前提と出典'!$B$6+D21*'前提と出典'!$B$5))</ns0:f>
        <ns0:v>22500</ns0:v>
      </ns0:c>
      <ns0:c r="P21" s="16">
        <ns0:f>(E21+G21)*(1-'前提と出典'!$B$7)-I21-K21-M21-O21</ns0:f>
        <ns0:v>23438.22507128624</ns0:v>
      </ns0:c>
      <ns0:c r="Q21" s="16">
        <ns0:f>(F21+H21)*(1-'前提と出典'!$B$7)-J21-L21-N21</ns0:f>
        <ns0:v>-18721.515067944303</ns0:v>
      </ns0:c>
      <ns0:c r="R21" s="16">
        <ns0:f>P21-E21*'前提と出典'!$E$4</ns0:f>
        <ns0:v>10617.47316275759</ns0:v>
      </ns0:c>
      <ns0:c r="S21" s="16">
        <ns0:f>Q21-F21*'前提と出典'!$E$4</ns0:f>
        <ns0:v>-22446.897855241135</ns0:v>
      </ns0:c>
      <ns0:c r="T21" s="7">
        <ns0:f>R21+S21</ns0:f>
        <ns0:v>-11829.424692483546</ns0:v>
      </ns0:c>
      <ns0:c r="U21" s="16">
        <ns0:f>P21-E21*'前提と出典'!$E$5</ns0:f>
        <ns0:v>6343.889193248033</ns0:v>
      </ns0:c>
      <ns0:c r="V21" s="16">
        <ns0:f>Q21-F21*'前提と出典'!$E$5</ns0:f>
        <ns0:v>-23688.692117673418</ns0:v>
      </ns0:c>
      <ns0:c r="W21" s="7">
        <ns0:f>U21+V21</ns0:f>
        <ns0:v>-17344.802924425385</ns0:v>
      </ns0:c>
      <ns0:c r="X21" s="16">
        <ns0:f>P21-E21*'前提と出典'!$E$6</ns0:f>
        <ns0:v>2070.3052237384836</ns0:v>
      </ns0:c>
      <ns0:c r="Y21" s="16">
        <ns0:f>Q21-F21*'前提と出典'!$E$6</ns0:f>
        <ns0:v>-24930.486380105693</ns0:v>
      </ns0:c>
      <ns0:c r="Z21" s="7">
        <ns0:f>X21+Y21</ns0:f>
        <ns0:v>-22860.18115636721</ns0:v>
      </ns0:c>
      <ns0:c r="AA21" s="7">
        <ns0:f>IF(T21&gt;=0,A21,1001)</ns0:f>
        <ns0:v>1001</ns0:v>
      </ns0:c>
      <ns0:c r="AB21" s="7">
        <ns0:f>IF(T21&lt;0,A21,0)</ns0:f>
        <ns0:v>17</ns0:v>
      </ns0:c>
      <ns0:c r="AC21" s="16">
        <ns0:f>IF(AND(OR('前提と出典'!$C$36+'前提と出典'!$C$38=0,R21&gt;=0),OR('前提と出典'!$C$37+'前提と出典'!$C$38=0,S21&gt;=0)),0,A21)</ns0:f>
        <ns0:v>17</ns0:v>
      </ns0:c>
      <ns0:c r="AD21" s="7">
        <ns0:f>IF(W21&gt;=0,A21,1001)</ns0:f>
        <ns0:v>1001</ns0:v>
      </ns0:c>
      <ns0:c r="AE21" s="7">
        <ns0:f>IF(W21&lt;0,A21,0)</ns0:f>
        <ns0:v>17</ns0:v>
      </ns0:c>
      <ns0:c r="AF21" s="16">
        <ns0:f>IF(AND(OR('前提と出典'!$C$36+'前提と出典'!$C$38=0,U21&gt;=0),OR('前提と出典'!$C$37+'前提と出典'!$C$38=0,V21&gt;=0)),0,A21)</ns0:f>
        <ns0:v>17</ns0:v>
      </ns0:c>
      <ns0:c r="AG21" s="7">
        <ns0:f>IF(Z21&gt;=0,A21,1001)</ns0:f>
        <ns0:v>1001</ns0:v>
      </ns0:c>
      <ns0:c r="AH21" s="4">
        <ns0:f>IF(Z21&lt;0,A21,0)</ns0:f>
        <ns0:v>17</ns0:v>
      </ns0:c>
      <ns0:c r="AI21" s="12">
        <ns0:f>IF(AND(OR('前提と出典'!$C$36+'前提と出典'!$C$38=0,X21&gt;=0),OR('前提と出典'!$C$37+'前提と出典'!$C$38=0,Y21&gt;=0)),0,A21)</ns0:f>
        <ns0:v>17</ns0:v>
      </ns0:c>
    </ns0:row>
    <ns0:row r="22" ht="24" customHeight="1">
      <ns0:c r="A22" s="4" t="n">
        <ns0:v>18</ns0:v>
      </ns0:c>
      <ns0:c r="B22" s="12">
        <ns0:f>A22*('前提と出典'!$C$36+'前提と出典'!$C$38)</ns0:f>
        <ns0:v>12.6</ns0:v>
      </ns0:c>
      <ns0:c r="C22" s="12">
        <ns0:f>A22*('前提と出典'!$C$37+'前提と出典'!$C$38)</ns0:f>
        <ns0:v>10.799999999999999</ns0:v>
      </ns0:c>
      <ns0:c r="D22" s="16">
        <ns0:f>A22*('前提と出典'!$C$36*'契約別単価'!C5+'前提と出典'!$C$37*'契約別単価'!C6+'前提と出典'!$C$38*'契約別単価'!C7)</ns0:f>
        <ns0:v>129.51955307262568</ns0:v>
      </ns0:c>
      <ns0:c r="E22" s="16">
        <ns0:f>A22*('前提と出典'!$C$36*'契約別単価'!E5+'前提と出典'!$C$37*'契約別単価'!E6+'前提と出典'!$C$38*'契約別単価'!E7)</ns0:f>
        <ns0:v>45249.71261833644</ns0:v>
      </ns0:c>
      <ns0:c r="F22" s="16">
        <ns0:f>A22*('前提と出典'!$C$36*'契約別単価'!F5+'前提と出典'!$C$37*'契約別単価'!F6+'前提と出典'!$C$38*'契約別単価'!F7)</ns0:f>
        <ns0:v>13148.409837518248</ns0:v>
      </ns0:c>
      <ns0:c r="G22" s="16">
        <ns0:f>A22*('前提と出典'!$C$36*'契約別単価'!G5+'前提と出典'!$C$37*'契約別単価'!G6+'前提と出典'!$C$38*'契約別単価'!G7)</ns0:f>
        <ns0:v>35829.050279329604</ns0:v>
      </ns0:c>
      <ns0:c r="H22" s="16">
        <ns0:f>A22*('前提と出典'!$C$36*'契約別単価'!H5+'前提と出典'!$C$37*'契約別単価'!H6+'前提と出典'!$C$38*'契約別単価'!H7)</ns0:f>
        <ns0:v>12434.477415007997</ns0:v>
      </ns0:c>
      <ns0:c r="I22" s="16">
        <ns0:f>A22*('前提と出典'!$C$36*'契約別単価'!I5+'前提と出典'!$C$37*'契約別単価'!I6+'前提と出典'!$C$38*'契約別単価'!I7)</ns0:f>
        <ns0:v>759.5195530726255</ns0:v>
      </ns0:c>
      <ns0:c r="J22" s="16">
        <ns0:f>A22*('前提と出典'!$C$36*'契約別単価'!J5+'前提と出典'!$C$37*'契約別単価'!J6+'前提と出典'!$C$38*'契約別単価'!J7)</ns0:f>
        <ns0:v>1769.2117867854463</ns0:v>
      </ns0:c>
      <ns0:c r="K22" s="16">
        <ns0:f>A22*('前提と出典'!$C$36*'契約別単価'!K5+'前提と出典'!$C$37*'契約別単価'!K6+'前提と出典'!$C$38*'契約別単価'!K7)</ns0:f>
        <ns0:v>7583.463687150837</ns0:v>
      </ns0:c>
      <ns0:c r="L22" s="16">
        <ns0:f>A22*('前提と出典'!$C$36*'契約別単価'!L5+'前提と出典'!$C$37*'契約別単価'!L6+'前提と出典'!$C$38*'契約別単価'!L7)</ns0:f>
        <ns0:v>6174.4825805002665</ns0:v>
      </ns0:c>
      <ns0:c r="M22" s="16">
        <ns0:f>IF(('前提と出典'!$C$36+'前提と出典'!$C$38)=0,0,IF(B22&lt;=10,'前提と出典'!B73+'前提と出典'!C73,IF(B22&lt;=100,'前提と出典'!B74+'前提と出典'!C74,IF(B22&lt;=500,'前提と出典'!B75+'前提と出典'!C75,'前提と出典'!B76+'前提と出典'!C76))))</ns0:f>
        <ns0:v>20000</ns0:v>
      </ns0:c>
      <ns0:c r="N22" s="16">
        <ns0:f>IF(('前提と出典'!$C$37+'前提と出典'!$C$38)=0,0,IF(C22&lt;=10,'前提と出典'!D73+'前提と出典'!E73,IF(C22&lt;=100,'前提と出典'!D74+'前提と出典'!E74,IF(C22&lt;=500,'前提と出典'!D75+'前提と出典'!E75,'前提と出典'!D76+'前提と出典'!E76))))</ns0:f>
        <ns0:v>34510.9346263078</ns0:v>
      </ns0:c>
      <ns0:c r="O22" s="16">
        <ns0:f>IF('前提と出典'!$C$36+'前提と出典'!$C$38=0,0,'前提と出典'!$B$4*IF('前提と出典'!$B$20=0,MAX('前提と出典'!$B$6,D22*'前提と出典'!$B$5),'前提と出典'!$B$6+D22*'前提と出典'!$B$5))</ns0:f>
        <ns0:v>22500</ns0:v>
      </ns0:c>
      <ns0:c r="P22" s="16">
        <ns0:f>(E22+G22)*(1-'前提と出典'!$B$7)-I22-K22-M22-O22</ns0:f>
        <ns0:v>27316.9441931266</ns0:v>
      </ns0:c>
      <ns0:c r="Q22" s="16">
        <ns0:f>(F22+H22)*(1-'前提と出典'!$B$7)-J22-L22-N22</ns0:f>
        <ns0:v>-17792.72568215821</ns0:v>
      </ns0:c>
      <ns0:c r="R22" s="16">
        <ns0:f>P22-E22*'前提と出典'!$E$4</ns0:f>
        <ns0:v>13742.030407625673</ns0:v>
      </ns0:c>
      <ns0:c r="S22" s="16">
        <ns0:f>Q22-F22*'前提と出典'!$E$4</ns0:f>
        <ns0:v>-21737.248633413685</ns0:v>
      </ns0:c>
      <ns0:c r="T22" s="7">
        <ns0:f>R22+S22</ns0:f>
        <ns0:v>-7995.218225788012</ns0:v>
      </ns0:c>
      <ns0:c r="U22" s="16">
        <ns0:f>P22-E22*'前提と出典'!$E$5</ns0:f>
        <ns0:v>9217.059145792024</ns0:v>
      </ns0:c>
      <ns0:c r="V22" s="16">
        <ns0:f>Q22-F22*'前提と出典'!$E$5</ns0:f>
        <ns0:v>-23052.089617165508</ns0:v>
      </ns0:c>
      <ns0:c r="W22" s="7">
        <ns0:f>U22+V22</ns0:f>
        <ns0:v>-13835.030471373484</ns0:v>
      </ns0:c>
      <ns0:c r="X22" s="16">
        <ns0:f>P22-E22*'前提と出典'!$E$6</ns0:f>
        <ns0:v>4692.087883958389</ns0:v>
      </ns0:c>
      <ns0:c r="Y22" s="16">
        <ns0:f>Q22-F22*'前提と出典'!$E$6</ns0:f>
        <ns0:v>-24366.93060091733</ns0:v>
      </ns0:c>
      <ns0:c r="Z22" s="7">
        <ns0:f>X22+Y22</ns0:f>
        <ns0:v>-19674.84271695894</ns0:v>
      </ns0:c>
      <ns0:c r="AA22" s="7">
        <ns0:f>IF(T22&gt;=0,A22,1001)</ns0:f>
        <ns0:v>1001</ns0:v>
      </ns0:c>
      <ns0:c r="AB22" s="7">
        <ns0:f>IF(T22&lt;0,A22,0)</ns0:f>
        <ns0:v>18</ns0:v>
      </ns0:c>
      <ns0:c r="AC22" s="16">
        <ns0:f>IF(AND(OR('前提と出典'!$C$36+'前提と出典'!$C$38=0,R22&gt;=0),OR('前提と出典'!$C$37+'前提と出典'!$C$38=0,S22&gt;=0)),0,A22)</ns0:f>
        <ns0:v>18</ns0:v>
      </ns0:c>
      <ns0:c r="AD22" s="7">
        <ns0:f>IF(W22&gt;=0,A22,1001)</ns0:f>
        <ns0:v>1001</ns0:v>
      </ns0:c>
      <ns0:c r="AE22" s="7">
        <ns0:f>IF(W22&lt;0,A22,0)</ns0:f>
        <ns0:v>18</ns0:v>
      </ns0:c>
      <ns0:c r="AF22" s="16">
        <ns0:f>IF(AND(OR('前提と出典'!$C$36+'前提と出典'!$C$38=0,U22&gt;=0),OR('前提と出典'!$C$37+'前提と出典'!$C$38=0,V22&gt;=0)),0,A22)</ns0:f>
        <ns0:v>18</ns0:v>
      </ns0:c>
      <ns0:c r="AG22" s="7">
        <ns0:f>IF(Z22&gt;=0,A22,1001)</ns0:f>
        <ns0:v>1001</ns0:v>
      </ns0:c>
      <ns0:c r="AH22" s="4">
        <ns0:f>IF(Z22&lt;0,A22,0)</ns0:f>
        <ns0:v>18</ns0:v>
      </ns0:c>
      <ns0:c r="AI22" s="12">
        <ns0:f>IF(AND(OR('前提と出典'!$C$36+'前提と出典'!$C$38=0,X22&gt;=0),OR('前提と出典'!$C$37+'前提と出典'!$C$38=0,Y22&gt;=0)),0,A22)</ns0:f>
        <ns0:v>18</ns0:v>
      </ns0:c>
    </ns0:row>
    <ns0:row r="23" ht="24" customHeight="1">
      <ns0:c r="A23" s="4" t="n">
        <ns0:v>19</ns0:v>
      </ns0:c>
      <ns0:c r="B23" s="12">
        <ns0:f>A23*('前提と出典'!$C$36+'前提と出典'!$C$38)</ns0:f>
        <ns0:v>13.299999999999999</ns0:v>
      </ns0:c>
      <ns0:c r="C23" s="12">
        <ns0:f>A23*('前提と出典'!$C$37+'前提と出典'!$C$38)</ns0:f>
        <ns0:v>11.4</ns0:v>
      </ns0:c>
      <ns0:c r="D23" s="16">
        <ns0:f>A23*('前提と出典'!$C$36*'契約別単価'!C5+'前提と出典'!$C$37*'契約別単価'!C6+'前提と出典'!$C$38*'契約別単価'!C7)</ns0:f>
        <ns0:v>136.7150837988827</ns0:v>
      </ns0:c>
      <ns0:c r="E23" s="16">
        <ns0:f>A23*('前提と出典'!$C$36*'契約別単価'!E5+'前提と出典'!$C$37*'契約別単価'!E6+'前提と出典'!$C$38*'契約別単価'!E7)</ns0:f>
        <ns0:v>47763.585541577355</ns0:v>
      </ns0:c>
      <ns0:c r="F23" s="16">
        <ns0:f>A23*('前提と出典'!$C$36*'契約別単価'!F5+'前提と出典'!$C$37*'契約別単価'!F6+'前提と出典'!$C$38*'契約別単価'!F7)</ns0:f>
        <ns0:v>13878.877050713705</ns0:v>
      </ns0:c>
      <ns0:c r="G23" s="16">
        <ns0:f>A23*('前提と出典'!$C$36*'契約別単価'!G5+'前提と出典'!$C$37*'契約別単価'!G6+'前提と出典'!$C$38*'契約別単価'!G7)</ns0:f>
        <ns0:v>37819.5530726257</ns0:v>
      </ns0:c>
      <ns0:c r="H23" s="16">
        <ns0:f>A23*('前提と出典'!$C$36*'契約別単価'!H5+'前提と出典'!$C$37*'契約別単価'!H6+'前提と出典'!$C$38*'契約別単価'!H7)</ns0:f>
        <ns0:v>13125.281715841777</ns0:v>
      </ns0:c>
      <ns0:c r="I23" s="16">
        <ns0:f>A23*('前提と出典'!$C$36*'契約別単価'!I5+'前提と出典'!$C$37*'契約別単価'!I6+'前提と出典'!$C$38*'契約別単価'!I7)</ns0:f>
        <ns0:v>801.7150837988826</ns0:v>
      </ns0:c>
      <ns0:c r="J23" s="16">
        <ns0:f>A23*('前提と出典'!$C$36*'契約別単価'!J5+'前提と出典'!$C$37*'契約別単価'!J6+'前提と出典'!$C$38*'契約別単価'!J7)</ns0:f>
        <ns0:v>1867.5013304957488</ns0:v>
      </ns0:c>
      <ns0:c r="K23" s="16">
        <ns0:f>A23*('前提と出典'!$C$36*'契約別単価'!K5+'前提と出典'!$C$37*'契約別単価'!K6+'前提と出典'!$C$38*'契約別単価'!K7)</ns0:f>
        <ns0:v>8004.767225325884</ns0:v>
      </ns0:c>
      <ns0:c r="L23" s="16">
        <ns0:f>A23*('前提と出典'!$C$36*'契約別単価'!L5+'前提と出典'!$C$37*'契約別単価'!L6+'前提と出典'!$C$38*'契約別単価'!L7)</ns0:f>
        <ns0:v>6517.509390528059</ns0:v>
      </ns0:c>
      <ns0:c r="M23" s="16">
        <ns0:f>IF(('前提と出典'!$C$36+'前提と出典'!$C$38)=0,0,IF(B23&lt;=10,'前提と出典'!B73+'前提と出典'!C73,IF(B23&lt;=100,'前提と出典'!B74+'前提と出典'!C74,IF(B23&lt;=500,'前提と出典'!B75+'前提と出典'!C75,'前提と出典'!B76+'前提と出典'!C76))))</ns0:f>
        <ns0:v>20000</ns0:v>
      </ns0:c>
      <ns0:c r="N23" s="16">
        <ns0:f>IF(('前提と出典'!$C$37+'前提と出典'!$C$38)=0,0,IF(C23&lt;=10,'前提と出典'!D73+'前提と出典'!E73,IF(C23&lt;=100,'前提と出典'!D74+'前提と出典'!E74,IF(C23&lt;=500,'前提と出典'!D75+'前提と出典'!E75,'前提と出典'!D76+'前提と出典'!E76))))</ns0:f>
        <ns0:v>34510.9346263078</ns0:v>
      </ns0:c>
      <ns0:c r="O23" s="16">
        <ns0:f>IF('前提と出典'!$C$36+'前提と出典'!$C$38=0,0,'前提と出典'!$B$4*IF('前提と出典'!$B$20=0,MAX('前提と出典'!$B$6,D23*'前提と出典'!$B$5),'前提と出典'!$B$6+D23*'前提と出典'!$B$5))</ns0:f>
        <ns0:v>22500</ns0:v>
      </ns0:c>
      <ns0:c r="P23" s="16">
        <ns0:f>(E23+G23)*(1-'前提と出典'!$B$7)-I23-K23-M23-O23</ns0:f>
        <ns0:v>31195.663314966987</ns0:v>
      </ns0:c>
      <ns0:c r="Q23" s="16">
        <ns0:f>(F23+H23)*(1-'前提と出典'!$B$7)-J23-L23-N23</ns0:f>
        <ns0:v>-16863.93629637212</ns0:v>
      </ns0:c>
      <ns0:c r="R23" s="16">
        <ns0:f>P23-E23*'前提と出典'!$E$4</ns0:f>
        <ns0:v>16866.58765249377</ns0:v>
      </ns0:c>
      <ns0:c r="S23" s="16">
        <ns0:f>Q23-F23*'前提と出典'!$E$4</ns0:f>
        <ns0:v>-21027.599411586234</ns0:v>
      </ns0:c>
      <ns0:c r="T23" s="7">
        <ns0:f>R23+S23</ns0:f>
        <ns0:v>-4161.011759092464</ns0:v>
      </ns0:c>
      <ns0:c r="U23" s="16">
        <ns0:f>P23-E23*'前提と出典'!$E$5</ns0:f>
        <ns0:v>12090.229098336044</ns0:v>
      </ns0:c>
      <ns0:c r="V23" s="16">
        <ns0:f>Q23-F23*'前提と出典'!$E$5</ns0:f>
        <ns0:v>-22415.487116657605</ns0:v>
      </ns0:c>
      <ns0:c r="W23" s="7">
        <ns0:f>U23+V23</ns0:f>
        <ns0:v>-10325.258018321561</ns0:v>
      </ns0:c>
      <ns0:c r="X23" s="16">
        <ns0:f>P23-E23*'前提と出典'!$E$6</ns0:f>
        <ns0:v>7313.870544178302</ns0:v>
      </ns0:c>
      <ns0:c r="Y23" s="16">
        <ns0:f>Q23-F23*'前提と出典'!$E$6</ns0:f>
        <ns0:v>-23803.374821728976</ns0:v>
      </ns0:c>
      <ns0:c r="Z23" s="7">
        <ns0:f>X23+Y23</ns0:f>
        <ns0:v>-16489.504277550674</ns0:v>
      </ns0:c>
      <ns0:c r="AA23" s="7">
        <ns0:f>IF(T23&gt;=0,A23,1001)</ns0:f>
        <ns0:v>1001</ns0:v>
      </ns0:c>
      <ns0:c r="AB23" s="7">
        <ns0:f>IF(T23&lt;0,A23,0)</ns0:f>
        <ns0:v>19</ns0:v>
      </ns0:c>
      <ns0:c r="AC23" s="16">
        <ns0:f>IF(AND(OR('前提と出典'!$C$36+'前提と出典'!$C$38=0,R23&gt;=0),OR('前提と出典'!$C$37+'前提と出典'!$C$38=0,S23&gt;=0)),0,A23)</ns0:f>
        <ns0:v>19</ns0:v>
      </ns0:c>
      <ns0:c r="AD23" s="7">
        <ns0:f>IF(W23&gt;=0,A23,1001)</ns0:f>
        <ns0:v>1001</ns0:v>
      </ns0:c>
      <ns0:c r="AE23" s="7">
        <ns0:f>IF(W23&lt;0,A23,0)</ns0:f>
        <ns0:v>19</ns0:v>
      </ns0:c>
      <ns0:c r="AF23" s="16">
        <ns0:f>IF(AND(OR('前提と出典'!$C$36+'前提と出典'!$C$38=0,U23&gt;=0),OR('前提と出典'!$C$37+'前提と出典'!$C$38=0,V23&gt;=0)),0,A23)</ns0:f>
        <ns0:v>19</ns0:v>
      </ns0:c>
      <ns0:c r="AG23" s="7">
        <ns0:f>IF(Z23&gt;=0,A23,1001)</ns0:f>
        <ns0:v>1001</ns0:v>
      </ns0:c>
      <ns0:c r="AH23" s="4">
        <ns0:f>IF(Z23&lt;0,A23,0)</ns0:f>
        <ns0:v>19</ns0:v>
      </ns0:c>
      <ns0:c r="AI23" s="12">
        <ns0:f>IF(AND(OR('前提と出典'!$C$36+'前提と出典'!$C$38=0,X23&gt;=0),OR('前提と出典'!$C$37+'前提と出典'!$C$38=0,Y23&gt;=0)),0,A23)</ns0:f>
        <ns0:v>19</ns0:v>
      </ns0:c>
    </ns0:row>
    <ns0:row r="24" ht="24" customHeight="1">
      <ns0:c r="A24" s="4" t="n">
        <ns0:v>20</ns0:v>
      </ns0:c>
      <ns0:c r="B24" s="12">
        <ns0:f>A24*('前提と出典'!$C$36+'前提と出典'!$C$38)</ns0:f>
        <ns0:v>14</ns0:v>
      </ns0:c>
      <ns0:c r="C24" s="12">
        <ns0:f>A24*('前提と出典'!$C$37+'前提と出典'!$C$38)</ns0:f>
        <ns0:v>12</ns0:v>
      </ns0:c>
      <ns0:c r="D24" s="16">
        <ns0:f>A24*('前提と出典'!$C$36*'契約別単価'!C5+'前提と出典'!$C$37*'契約別単価'!C6+'前提と出典'!$C$38*'契約別単価'!C7)</ns0:f>
        <ns0:v>143.91061452513966</ns0:v>
      </ns0:c>
      <ns0:c r="E24" s="16">
        <ns0:f>A24*('前提と出典'!$C$36*'契約別単価'!E5+'前提と出典'!$C$37*'契約別単価'!E6+'前提と出典'!$C$38*'契約別単価'!E7)</ns0:f>
        <ns0:v>50277.458464818264</ns0:v>
      </ns0:c>
      <ns0:c r="F24" s="16">
        <ns0:f>A24*('前提と出典'!$C$36*'契約別単価'!F5+'前提と出典'!$C$37*'契約別単価'!F6+'前提と出典'!$C$38*'契約別単価'!F7)</ns0:f>
        <ns0:v>14609.344263909163</ns0:v>
      </ns0:c>
      <ns0:c r="G24" s="16">
        <ns0:f>A24*('前提と出典'!$C$36*'契約別単価'!G5+'前提と出典'!$C$37*'契約別単価'!G6+'前提と出典'!$C$38*'契約別単価'!G7)</ns0:f>
        <ns0:v>39810.055865921786</ns0:v>
      </ns0:c>
      <ns0:c r="H24" s="16">
        <ns0:f>A24*('前提と出典'!$C$36*'契約別単価'!H5+'前提と出典'!$C$37*'契約別単価'!H6+'前提と出典'!$C$38*'契約別単価'!H7)</ns0:f>
        <ns0:v>13816.086016675554</ns0:v>
      </ns0:c>
      <ns0:c r="I24" s="16">
        <ns0:f>A24*('前提と出典'!$C$36*'契約別単価'!I5+'前提と出典'!$C$37*'契約別単価'!I6+'前提と出典'!$C$38*'契約別単価'!I7)</ns0:f>
        <ns0:v>843.9106145251395</ns0:v>
      </ns0:c>
      <ns0:c r="J24" s="16">
        <ns0:f>A24*('前提と出典'!$C$36*'契約別単価'!J5+'前提と出典'!$C$37*'契約別単価'!J6+'前提と出典'!$C$38*'契約別単価'!J7)</ns0:f>
        <ns0:v>1965.7908742060513</ns0:v>
      </ns0:c>
      <ns0:c r="K24" s="16">
        <ns0:f>A24*('前提と出典'!$C$36*'契約別単価'!K5+'前提と出典'!$C$37*'契約別単価'!K6+'前提と出典'!$C$38*'契約別単価'!K7)</ns0:f>
        <ns0:v>8426.070763500931</ns0:v>
      </ns0:c>
      <ns0:c r="L24" s="16">
        <ns0:f>A24*('前提と出典'!$C$36*'契約別単価'!L5+'前提と出典'!$C$37*'契約別単価'!L6+'前提と出典'!$C$38*'契約別単価'!L7)</ns0:f>
        <ns0:v>6860.536200555852</ns0:v>
      </ns0:c>
      <ns0:c r="M24" s="16">
        <ns0:f>IF(('前提と出典'!$C$36+'前提と出典'!$C$38)=0,0,IF(B24&lt;=10,'前提と出典'!B73+'前提と出典'!C73,IF(B24&lt;=100,'前提と出典'!B74+'前提と出典'!C74,IF(B24&lt;=500,'前提と出典'!B75+'前提と出典'!C75,'前提と出典'!B76+'前提と出典'!C76))))</ns0:f>
        <ns0:v>20000</ns0:v>
      </ns0:c>
      <ns0:c r="N24" s="16">
        <ns0:f>IF(('前提と出典'!$C$37+'前提と出典'!$C$38)=0,0,IF(C24&lt;=10,'前提と出典'!D73+'前提と出典'!E73,IF(C24&lt;=100,'前提と出典'!D74+'前提と出典'!E74,IF(C24&lt;=500,'前提と出典'!D75+'前提と出典'!E75,'前提と出典'!D76+'前提と出典'!E76))))</ns0:f>
        <ns0:v>34510.9346263078</ns0:v>
      </ns0:c>
      <ns0:c r="O24" s="16">
        <ns0:f>IF('前提と出典'!$C$36+'前提と出典'!$C$38=0,0,'前提と出典'!$B$4*IF('前提と出典'!$B$20=0,MAX('前提と出典'!$B$6,D24*'前提と出典'!$B$5),'前提と出典'!$B$6+D24*'前提と出典'!$B$5))</ns0:f>
        <ns0:v>22500</ns0:v>
      </ns0:c>
      <ns0:c r="P24" s="16">
        <ns0:f>(E24+G24)*(1-'前提と出典'!$B$7)-I24-K24-M24-O24</ns0:f>
        <ns0:v>35074.38243680734</ns0:v>
      </ns0:c>
      <ns0:c r="Q24" s="16">
        <ns0:f>(F24+H24)*(1-'前提と出典'!$B$7)-J24-L24-N24</ns0:f>
        <ns0:v>-15935.14691058603</ns0:v>
      </ns0:c>
      <ns0:c r="R24" s="16">
        <ns0:f>P24-E24*'前提と出典'!$E$4</ns0:f>
        <ns0:v>19991.144897361854</ns0:v>
      </ns0:c>
      <ns0:c r="S24" s="16">
        <ns0:f>Q24-F24*'前提と出典'!$E$4</ns0:f>
        <ns0:v>-20317.95018975878</ns0:v>
      </ns0:c>
      <ns0:c r="T24" s="7">
        <ns0:f>R24+S24</ns0:f>
        <ns0:v>-326.80529239692623</ns0:v>
      </ns0:c>
      <ns0:c r="U24" s="16">
        <ns0:f>P24-E24*'前提と出典'!$E$5</ns0:f>
        <ns0:v>14963.399050880034</ns0:v>
      </ns0:c>
      <ns0:c r="V24" s="16">
        <ns0:f>Q24-F24*'前提と出典'!$E$5</ns0:f>
        <ns0:v>-21778.884616149695</ns0:v>
      </ns0:c>
      <ns0:c r="W24" s="7">
        <ns0:f>U24+V24</ns0:f>
        <ns0:v>-6815.485565269661</ns0:v>
      </ns0:c>
      <ns0:c r="X24" s="16">
        <ns0:f>P24-E24*'前提と出典'!$E$6</ns0:f>
        <ns0:v>9935.653204398208</ns0:v>
      </ns0:c>
      <ns0:c r="Y24" s="16">
        <ns0:f>Q24-F24*'前提と出典'!$E$6</ns0:f>
        <ns0:v>-23239.819042540614</ns0:v>
      </ns0:c>
      <ns0:c r="Z24" s="7">
        <ns0:f>X24+Y24</ns0:f>
        <ns0:v>-13304.165838142406</ns0:v>
      </ns0:c>
      <ns0:c r="AA24" s="7">
        <ns0:f>IF(T24&gt;=0,A24,1001)</ns0:f>
        <ns0:v>1001</ns0:v>
      </ns0:c>
      <ns0:c r="AB24" s="7">
        <ns0:f>IF(T24&lt;0,A24,0)</ns0:f>
        <ns0:v>20</ns0:v>
      </ns0:c>
      <ns0:c r="AC24" s="16">
        <ns0:f>IF(AND(OR('前提と出典'!$C$36+'前提と出典'!$C$38=0,R24&gt;=0),OR('前提と出典'!$C$37+'前提と出典'!$C$38=0,S24&gt;=0)),0,A24)</ns0:f>
        <ns0:v>20</ns0:v>
      </ns0:c>
      <ns0:c r="AD24" s="7">
        <ns0:f>IF(W24&gt;=0,A24,1001)</ns0:f>
        <ns0:v>1001</ns0:v>
      </ns0:c>
      <ns0:c r="AE24" s="7">
        <ns0:f>IF(W24&lt;0,A24,0)</ns0:f>
        <ns0:v>20</ns0:v>
      </ns0:c>
      <ns0:c r="AF24" s="16">
        <ns0:f>IF(AND(OR('前提と出典'!$C$36+'前提と出典'!$C$38=0,U24&gt;=0),OR('前提と出典'!$C$37+'前提と出典'!$C$38=0,V24&gt;=0)),0,A24)</ns0:f>
        <ns0:v>20</ns0:v>
      </ns0:c>
      <ns0:c r="AG24" s="7">
        <ns0:f>IF(Z24&gt;=0,A24,1001)</ns0:f>
        <ns0:v>1001</ns0:v>
      </ns0:c>
      <ns0:c r="AH24" s="4">
        <ns0:f>IF(Z24&lt;0,A24,0)</ns0:f>
        <ns0:v>20</ns0:v>
      </ns0:c>
      <ns0:c r="AI24" s="12">
        <ns0:f>IF(AND(OR('前提と出典'!$C$36+'前提と出典'!$C$38=0,X24&gt;=0),OR('前提と出典'!$C$37+'前提と出典'!$C$38=0,Y24&gt;=0)),0,A24)</ns0:f>
        <ns0:v>20</ns0:v>
      </ns0:c>
    </ns0:row>
    <ns0:row r="25" ht="24" customHeight="1">
      <ns0:c r="A25" s="4" t="n">
        <ns0:v>21</ns0:v>
      </ns0:c>
      <ns0:c r="B25" s="12">
        <ns0:f>A25*('前提と出典'!$C$36+'前提と出典'!$C$38)</ns0:f>
        <ns0:v>14.7</ns0:v>
      </ns0:c>
      <ns0:c r="C25" s="12">
        <ns0:f>A25*('前提と出典'!$C$37+'前提と出典'!$C$38)</ns0:f>
        <ns0:v>12.6</ns0:v>
      </ns0:c>
      <ns0:c r="D25" s="16">
        <ns0:f>A25*('前提と出典'!$C$36*'契約別単価'!C5+'前提と出典'!$C$37*'契約別単価'!C6+'前提と出典'!$C$38*'契約別単価'!C7)</ns0:f>
        <ns0:v>151.10614525139664</ns0:v>
      </ns0:c>
      <ns0:c r="E25" s="16">
        <ns0:f>A25*('前提と出典'!$C$36*'契約別単価'!E5+'前提と出典'!$C$37*'契約別単価'!E6+'前提と出典'!$C$38*'契約別単価'!E7)</ns0:f>
        <ns0:v>52791.331388059174</ns0:v>
      </ns0:c>
      <ns0:c r="F25" s="16">
        <ns0:f>A25*('前提と出典'!$C$36*'契約別単価'!F5+'前提と出典'!$C$37*'契約別単価'!F6+'前提と出典'!$C$38*'契約別単価'!F7)</ns0:f>
        <ns0:v>15339.811477104622</ns0:v>
      </ns0:c>
      <ns0:c r="G25" s="16">
        <ns0:f>A25*('前提と出典'!$C$36*'契約別単価'!G5+'前提と出典'!$C$37*'契約別単価'!G6+'前提と出典'!$C$38*'契約別単価'!G7)</ns0:f>
        <ns0:v>41800.55865921787</ns0:v>
      </ns0:c>
      <ns0:c r="H25" s="16">
        <ns0:f>A25*('前提と出典'!$C$36*'契約別単価'!H5+'前提と出典'!$C$37*'契約別単価'!H6+'前提と出典'!$C$38*'契約別単価'!H7)</ns0:f>
        <ns0:v>14506.890317509331</ns0:v>
      </ns0:c>
      <ns0:c r="I25" s="16">
        <ns0:f>A25*('前提と出典'!$C$36*'契約別単価'!I5+'前提と出典'!$C$37*'契約別単価'!I6+'前提と出典'!$C$38*'契約別単価'!I7)</ns0:f>
        <ns0:v>886.1061452513965</ns0:v>
      </ns0:c>
      <ns0:c r="J25" s="16">
        <ns0:f>A25*('前提と出典'!$C$36*'契約別単価'!J5+'前提と出典'!$C$37*'契約別単価'!J6+'前提と出典'!$C$38*'契約別単価'!J7)</ns0:f>
        <ns0:v>2064.080417916354</ns0:v>
      </ns0:c>
      <ns0:c r="K25" s="16">
        <ns0:f>A25*('前提と出典'!$C$36*'契約別単価'!K5+'前提と出典'!$C$37*'契約別単価'!K6+'前提と出典'!$C$38*'契約別単価'!K7)</ns0:f>
        <ns0:v>8847.374301675976</ns0:v>
      </ns0:c>
      <ns0:c r="L25" s="16">
        <ns0:f>A25*('前提と出典'!$C$36*'契約別単価'!L5+'前提と出典'!$C$37*'契約別単価'!L6+'前提と出典'!$C$38*'契約別単価'!L7)</ns0:f>
        <ns0:v>7203.563010583644</ns0:v>
      </ns0:c>
      <ns0:c r="M25" s="16">
        <ns0:f>IF(('前提と出典'!$C$36+'前提と出典'!$C$38)=0,0,IF(B25&lt;=10,'前提と出典'!B73+'前提と出典'!C73,IF(B25&lt;=100,'前提と出典'!B74+'前提と出典'!C74,IF(B25&lt;=500,'前提と出典'!B75+'前提と出典'!C75,'前提と出典'!B76+'前提と出典'!C76))))</ns0:f>
        <ns0:v>20000</ns0:v>
      </ns0:c>
      <ns0:c r="N25" s="16">
        <ns0:f>IF(('前提と出典'!$C$37+'前提と出典'!$C$38)=0,0,IF(C25&lt;=10,'前提と出典'!D73+'前提と出典'!E73,IF(C25&lt;=100,'前提と出典'!D74+'前提と出典'!E74,IF(C25&lt;=500,'前提と出典'!D75+'前提と出典'!E75,'前提と出典'!D76+'前提と出典'!E76))))</ns0:f>
        <ns0:v>34510.9346263078</ns0:v>
      </ns0:c>
      <ns0:c r="O25" s="16">
        <ns0:f>IF('前提と出典'!$C$36+'前提と出典'!$C$38=0,0,'前提と出典'!$B$4*IF('前提と出典'!$B$20=0,MAX('前提と出典'!$B$6,D25*'前提と出典'!$B$5),'前提と出典'!$B$6+D25*'前提と出典'!$B$5))</ns0:f>
        <ns0:v>22500</ns0:v>
      </ns0:c>
      <ns0:c r="P25" s="16">
        <ns0:f>(E25+G25)*(1-'前提と出典'!$B$7)-I25-K25-M25-O25</ns0:f>
        <ns0:v>38953.1015586477</ns0:v>
      </ns0:c>
      <ns0:c r="Q25" s="16">
        <ns0:f>(F25+H25)*(1-'前提と出典'!$B$7)-J25-L25-N25</ns0:f>
        <ns0:v>-15006.357524799943</ns0:v>
      </ns0:c>
      <ns0:c r="R25" s="16">
        <ns0:f>P25-E25*'前提と出典'!$E$4</ns0:f>
        <ns0:v>23115.702142229944</ns0:v>
      </ns0:c>
      <ns0:c r="S25" s="16">
        <ns0:f>Q25-F25*'前提と出典'!$E$4</ns0:f>
        <ns0:v>-19608.300967931333</ns0:v>
      </ns0:c>
      <ns0:c r="T25" s="7">
        <ns0:f>R25+S25</ns0:f>
        <ns0:v>3507.4011742986113</ns0:v>
      </ns0:c>
      <ns0:c r="U25" s="16">
        <ns0:f>P25-E25*'前提と出典'!$E$5</ns0:f>
        <ns0:v>17836.569003424032</ns0:v>
      </ns0:c>
      <ns0:c r="V25" s="16">
        <ns0:f>Q25-F25*'前提と出典'!$E$5</ns0:f>
        <ns0:v>-21142.282115641792</ns0:v>
      </ns0:c>
      <ns0:c r="W25" s="7">
        <ns0:f>U25+V25</ns0:f>
        <ns0:v>-3305.7131122177598</ns0:v>
      </ns0:c>
      <ns0:c r="X25" s="16">
        <ns0:f>P25-E25*'前提と出典'!$E$6</ns0:f>
        <ns0:v>12557.43586461812</ns0:v>
      </ns0:c>
      <ns0:c r="Y25" s="16">
        <ns0:f>Q25-F25*'前提と出典'!$E$6</ns0:f>
        <ns0:v>-22676.26326335226</ns0:v>
      </ns0:c>
      <ns0:c r="Z25" s="7">
        <ns0:f>X25+Y25</ns0:f>
        <ns0:v>-10118.827398734138</ns0:v>
      </ns0:c>
      <ns0:c r="AA25" s="7">
        <ns0:f>IF(T25&gt;=0,A25,1001)</ns0:f>
        <ns0:v>21</ns0:v>
      </ns0:c>
      <ns0:c r="AB25" s="7">
        <ns0:f>IF(T25&lt;0,A25,0)</ns0:f>
        <ns0:v>0</ns0:v>
      </ns0:c>
      <ns0:c r="AC25" s="16">
        <ns0:f>IF(AND(OR('前提と出典'!$C$36+'前提と出典'!$C$38=0,R25&gt;=0),OR('前提と出典'!$C$37+'前提と出典'!$C$38=0,S25&gt;=0)),0,A25)</ns0:f>
        <ns0:v>21</ns0:v>
      </ns0:c>
      <ns0:c r="AD25" s="7">
        <ns0:f>IF(W25&gt;=0,A25,1001)</ns0:f>
        <ns0:v>1001</ns0:v>
      </ns0:c>
      <ns0:c r="AE25" s="7">
        <ns0:f>IF(W25&lt;0,A25,0)</ns0:f>
        <ns0:v>21</ns0:v>
      </ns0:c>
      <ns0:c r="AF25" s="16">
        <ns0:f>IF(AND(OR('前提と出典'!$C$36+'前提と出典'!$C$38=0,U25&gt;=0),OR('前提と出典'!$C$37+'前提と出典'!$C$38=0,V25&gt;=0)),0,A25)</ns0:f>
        <ns0:v>21</ns0:v>
      </ns0:c>
      <ns0:c r="AG25" s="7">
        <ns0:f>IF(Z25&gt;=0,A25,1001)</ns0:f>
        <ns0:v>1001</ns0:v>
      </ns0:c>
      <ns0:c r="AH25" s="4">
        <ns0:f>IF(Z25&lt;0,A25,0)</ns0:f>
        <ns0:v>21</ns0:v>
      </ns0:c>
      <ns0:c r="AI25" s="12">
        <ns0:f>IF(AND(OR('前提と出典'!$C$36+'前提と出典'!$C$38=0,X25&gt;=0),OR('前提と出典'!$C$37+'前提と出典'!$C$38=0,Y25&gt;=0)),0,A25)</ns0:f>
        <ns0:v>21</ns0:v>
      </ns0:c>
    </ns0:row>
    <ns0:row r="26" ht="24" customHeight="1">
      <ns0:c r="A26" s="4" t="n">
        <ns0:v>22</ns0:v>
      </ns0:c>
      <ns0:c r="B26" s="12">
        <ns0:f>A26*('前提と出典'!$C$36+'前提と出典'!$C$38)</ns0:f>
        <ns0:v>15.399999999999999</ns0:v>
      </ns0:c>
      <ns0:c r="C26" s="12">
        <ns0:f>A26*('前提と出典'!$C$37+'前提と出典'!$C$38)</ns0:f>
        <ns0:v>13.2</ns0:v>
      </ns0:c>
      <ns0:c r="D26" s="16">
        <ns0:f>A26*('前提と出典'!$C$36*'契約別単価'!C5+'前提と出典'!$C$37*'契約別単価'!C6+'前提と出典'!$C$38*'契約別単価'!C7)</ns0:f>
        <ns0:v>158.30167597765364</ns0:v>
      </ns0:c>
      <ns0:c r="E26" s="16">
        <ns0:f>A26*('前提と出典'!$C$36*'契約別単価'!E5+'前提と出典'!$C$37*'契約別単価'!E6+'前提と出典'!$C$38*'契約別単価'!E7)</ns0:f>
        <ns0:v>55305.20431130009</ns0:v>
      </ns0:c>
      <ns0:c r="F26" s="16">
        <ns0:f>A26*('前提と出典'!$C$36*'契約別単価'!F5+'前提と出典'!$C$37*'契約別単価'!F6+'前提と出典'!$C$38*'契約別単価'!F7)</ns0:f>
        <ns0:v>16070.27869030008</ns0:v>
      </ns0:c>
      <ns0:c r="G26" s="16">
        <ns0:f>A26*('前提と出典'!$C$36*'契約別単価'!G5+'前提と出典'!$C$37*'契約別単価'!G6+'前提と出典'!$C$38*'契約別単価'!G7)</ns0:f>
        <ns0:v>43791.06145251397</ns0:v>
      </ns0:c>
      <ns0:c r="H26" s="16">
        <ns0:f>A26*('前提と出典'!$C$36*'契約別単価'!H5+'前提と出典'!$C$37*'契約別単価'!H6+'前提と出典'!$C$38*'契約別単価'!H7)</ns0:f>
        <ns0:v>15197.69461834311</ns0:v>
      </ns0:c>
      <ns0:c r="I26" s="16">
        <ns0:f>A26*('前提と出典'!$C$36*'契約別単価'!I5+'前提と出典'!$C$37*'契約別単価'!I6+'前提と出典'!$C$38*'契約別単価'!I7)</ns0:f>
        <ns0:v>928.3016759776535</ns0:v>
      </ns0:c>
      <ns0:c r="J26" s="16">
        <ns0:f>A26*('前提と出典'!$C$36*'契約別単価'!J5+'前提と出典'!$C$37*'契約別単価'!J6+'前提と出典'!$C$38*'契約別単価'!J7)</ns0:f>
        <ns0:v>2162.3699616266563</ns0:v>
      </ns0:c>
      <ns0:c r="K26" s="16">
        <ns0:f>A26*('前提と出典'!$C$36*'契約別単価'!K5+'前提と出典'!$C$37*'契約別単価'!K6+'前提と出典'!$C$38*'契約別単価'!K7)</ns0:f>
        <ns0:v>9268.677839851023</ns0:v>
      </ns0:c>
      <ns0:c r="L26" s="16">
        <ns0:f>A26*('前提と出典'!$C$36*'契約別単価'!L5+'前提と出典'!$C$37*'契約別単価'!L6+'前提と出典'!$C$38*'契約別単価'!L7)</ns0:f>
        <ns0:v>7546.589820611437</ns0:v>
      </ns0:c>
      <ns0:c r="M26" s="16">
        <ns0:f>IF(('前提と出典'!$C$36+'前提と出典'!$C$38)=0,0,IF(B26&lt;=10,'前提と出典'!B73+'前提と出典'!C73,IF(B26&lt;=100,'前提と出典'!B74+'前提と出典'!C74,IF(B26&lt;=500,'前提と出典'!B75+'前提と出典'!C75,'前提と出典'!B76+'前提と出典'!C76))))</ns0:f>
        <ns0:v>20000</ns0:v>
      </ns0:c>
      <ns0:c r="N26" s="16">
        <ns0:f>IF(('前提と出典'!$C$37+'前提と出典'!$C$38)=0,0,IF(C26&lt;=10,'前提と出典'!D73+'前提と出典'!E73,IF(C26&lt;=100,'前提と出典'!D74+'前提と出典'!E74,IF(C26&lt;=500,'前提と出典'!D75+'前提と出典'!E75,'前提と出典'!D76+'前提と出典'!E76))))</ns0:f>
        <ns0:v>34510.9346263078</ns0:v>
      </ns0:c>
      <ns0:c r="O26" s="16">
        <ns0:f>IF('前提と出典'!$C$36+'前提と出典'!$C$38=0,0,'前提と出典'!$B$4*IF('前提と出典'!$B$20=0,MAX('前提と出典'!$B$6,D26*'前提と出典'!$B$5),'前提と出典'!$B$6+D26*'前提と出典'!$B$5))</ns0:f>
        <ns0:v>22500</ns0:v>
      </ns0:c>
      <ns0:c r="P26" s="16">
        <ns0:f>(E26+G26)*(1-'前提と出典'!$B$7)-I26-K26-M26-O26</ns0:f>
        <ns0:v>42831.82068048808</ns0:v>
      </ns0:c>
      <ns0:c r="Q26" s="16">
        <ns0:f>(F26+H26)*(1-'前提と出典'!$B$7)-J26-L26-N26</ns0:f>
        <ns0:v>-14077.568139013856</ns0:v>
      </ns0:c>
      <ns0:c r="R26" s="16">
        <ns0:f>P26-E26*'前提と出典'!$E$4</ns0:f>
        <ns0:v>26240.259387098064</ns0:v>
      </ns0:c>
      <ns0:c r="S26" s="16">
        <ns0:f>Q26-F26*'前提と出典'!$E$4</ns0:f>
        <ns0:v>-18898.651746103882</ns0:v>
      </ns0:c>
      <ns0:c r="T26" s="7">
        <ns0:f>R26+S26</ns0:f>
        <ns0:v>7341.607640994182</ns0:v>
      </ns0:c>
      <ns0:c r="U26" s="16">
        <ns0:f>P26-E26*'前提と出典'!$E$5</ns0:f>
        <ns0:v>20709.738955968045</ns0:v>
      </ns0:c>
      <ns0:c r="V26" s="16">
        <ns0:f>Q26-F26*'前提と出典'!$E$5</ns0:f>
        <ns0:v>-20505.67961513389</ns0:v>
      </ns0:c>
      <ns0:c r="W26" s="7">
        <ns0:f>U26+V26</ns0:f>
        <ns0:v>204.0593408341556</ns0:v>
      </ns0:c>
      <ns0:c r="X26" s="16">
        <ns0:f>P26-E26*'前提と出典'!$E$6</ns0:f>
        <ns0:v>15179.218524838041</ns0:v>
      </ns0:c>
      <ns0:c r="Y26" s="16">
        <ns0:f>Q26-F26*'前提と出典'!$E$6</ns0:f>
        <ns0:v>-22112.707484163897</ns0:v>
      </ns0:c>
      <ns0:c r="Z26" s="7">
        <ns0:f>X26+Y26</ns0:f>
        <ns0:v>-6933.488959325856</ns0:v>
      </ns0:c>
      <ns0:c r="AA26" s="7">
        <ns0:f>IF(T26&gt;=0,A26,1001)</ns0:f>
        <ns0:v>22</ns0:v>
      </ns0:c>
      <ns0:c r="AB26" s="7">
        <ns0:f>IF(T26&lt;0,A26,0)</ns0:f>
        <ns0:v>0</ns0:v>
      </ns0:c>
      <ns0:c r="AC26" s="16">
        <ns0:f>IF(AND(OR('前提と出典'!$C$36+'前提と出典'!$C$38=0,R26&gt;=0),OR('前提と出典'!$C$37+'前提と出典'!$C$38=0,S26&gt;=0)),0,A26)</ns0:f>
        <ns0:v>22</ns0:v>
      </ns0:c>
      <ns0:c r="AD26" s="7">
        <ns0:f>IF(W26&gt;=0,A26,1001)</ns0:f>
        <ns0:v>22</ns0:v>
      </ns0:c>
      <ns0:c r="AE26" s="7">
        <ns0:f>IF(W26&lt;0,A26,0)</ns0:f>
        <ns0:v>0</ns0:v>
      </ns0:c>
      <ns0:c r="AF26" s="16">
        <ns0:f>IF(AND(OR('前提と出典'!$C$36+'前提と出典'!$C$38=0,U26&gt;=0),OR('前提と出典'!$C$37+'前提と出典'!$C$38=0,V26&gt;=0)),0,A26)</ns0:f>
        <ns0:v>22</ns0:v>
      </ns0:c>
      <ns0:c r="AG26" s="7">
        <ns0:f>IF(Z26&gt;=0,A26,1001)</ns0:f>
        <ns0:v>1001</ns0:v>
      </ns0:c>
      <ns0:c r="AH26" s="4">
        <ns0:f>IF(Z26&lt;0,A26,0)</ns0:f>
        <ns0:v>22</ns0:v>
      </ns0:c>
      <ns0:c r="AI26" s="12">
        <ns0:f>IF(AND(OR('前提と出典'!$C$36+'前提と出典'!$C$38=0,X26&gt;=0),OR('前提と出典'!$C$37+'前提と出典'!$C$38=0,Y26&gt;=0)),0,A26)</ns0:f>
        <ns0:v>22</ns0:v>
      </ns0:c>
    </ns0:row>
    <ns0:row r="27" ht="24" customHeight="1">
      <ns0:c r="A27" s="4" t="n">
        <ns0:v>23</ns0:v>
      </ns0:c>
      <ns0:c r="B27" s="12">
        <ns0:f>A27*('前提と出典'!$C$36+'前提と出典'!$C$38)</ns0:f>
        <ns0:v>16.099999999999998</ns0:v>
      </ns0:c>
      <ns0:c r="C27" s="12">
        <ns0:f>A27*('前提と出典'!$C$37+'前提と出典'!$C$38)</ns0:f>
        <ns0:v>13.799999999999999</ns0:v>
      </ns0:c>
      <ns0:c r="D27" s="16">
        <ns0:f>A27*('前提と出典'!$C$36*'契約別単価'!C5+'前提と出典'!$C$37*'契約別単価'!C6+'前提と出典'!$C$38*'契約別単価'!C7)</ns0:f>
        <ns0:v>165.49720670391062</ns0:v>
      </ns0:c>
      <ns0:c r="E27" s="16">
        <ns0:f>A27*('前提と出典'!$C$36*'契約別単価'!E5+'前提と出典'!$C$37*'契約別単価'!E6+'前提と出典'!$C$38*'契約別単価'!E7)</ns0:f>
        <ns0:v>57819.07723454101</ns0:v>
      </ns0:c>
      <ns0:c r="F27" s="16">
        <ns0:f>A27*('前提と出典'!$C$36*'契約別単価'!F5+'前提と出典'!$C$37*'契約別単価'!F6+'前提と出典'!$C$38*'契約別単価'!F7)</ns0:f>
        <ns0:v>16800.74590349554</ns0:v>
      </ns0:c>
      <ns0:c r="G27" s="16">
        <ns0:f>A27*('前提と出典'!$C$36*'契約別単価'!G5+'前提と出典'!$C$37*'契約別単価'!G6+'前提と出典'!$C$38*'契約別単価'!G7)</ns0:f>
        <ns0:v>45781.564245810056</ns0:v>
      </ns0:c>
      <ns0:c r="H27" s="16">
        <ns0:f>A27*('前提と出典'!$C$36*'契約別単価'!H5+'前提と出典'!$C$37*'契約別単価'!H6+'前提と出典'!$C$38*'契約別単価'!H7)</ns0:f>
        <ns0:v>15888.498919176887</ns0:v>
      </ns0:c>
      <ns0:c r="I27" s="16">
        <ns0:f>A27*('前提と出典'!$C$36*'契約別単価'!I5+'前提と出典'!$C$37*'契約別単価'!I6+'前提と出典'!$C$38*'契約別単価'!I7)</ns0:f>
        <ns0:v>970.4972067039105</ns0:v>
      </ns0:c>
      <ns0:c r="J27" s="16">
        <ns0:f>A27*('前提と出典'!$C$36*'契約別単価'!J5+'前提と出典'!$C$37*'契約別単価'!J6+'前提と出典'!$C$38*'契約別単価'!J7)</ns0:f>
        <ns0:v>2260.6595053369592</ns0:v>
      </ns0:c>
      <ns0:c r="K27" s="16">
        <ns0:f>A27*('前提と出典'!$C$36*'契約別単価'!K5+'前提と出典'!$C$37*'契約別単価'!K6+'前提と出典'!$C$38*'契約別単価'!K7)</ns0:f>
        <ns0:v>9689.98137802607</ns0:v>
      </ns0:c>
      <ns0:c r="L27" s="16">
        <ns0:f>A27*('前提と出典'!$C$36*'契約別単価'!L5+'前提と出典'!$C$37*'契約別単価'!L6+'前提と出典'!$C$38*'契約別単価'!L7)</ns0:f>
        <ns0:v>7889.61663063923</ns0:v>
      </ns0:c>
      <ns0:c r="M27" s="16">
        <ns0:f>IF(('前提と出典'!$C$36+'前提と出典'!$C$38)=0,0,IF(B27&lt;=10,'前提と出典'!B73+'前提と出典'!C73,IF(B27&lt;=100,'前提と出典'!B74+'前提と出典'!C74,IF(B27&lt;=500,'前提と出典'!B75+'前提と出典'!C75,'前提と出典'!B76+'前提と出典'!C76))))</ns0:f>
        <ns0:v>20000</ns0:v>
      </ns0:c>
      <ns0:c r="N27" s="16">
        <ns0:f>IF(('前提と出典'!$C$37+'前提と出典'!$C$38)=0,0,IF(C27&lt;=10,'前提と出典'!D73+'前提と出典'!E73,IF(C27&lt;=100,'前提と出典'!D74+'前提と出典'!E74,IF(C27&lt;=500,'前提と出典'!D75+'前提と出典'!E75,'前提と出典'!D76+'前提と出典'!E76))))</ns0:f>
        <ns0:v>34510.9346263078</ns0:v>
      </ns0:c>
      <ns0:c r="O27" s="16">
        <ns0:f>IF('前提と出典'!$C$36+'前提と出典'!$C$38=0,0,'前提と出典'!$B$4*IF('前提と出典'!$B$20=0,MAX('前提と出典'!$B$6,D27*'前提と出典'!$B$5),'前提と出典'!$B$6+D27*'前提と出典'!$B$5))</ns0:f>
        <ns0:v>22838.61452513967</ns0:v>
      </ns0:c>
      <ns0:c r="P27" s="16">
        <ns0:f>(E27+G27)*(1-'前提と出典'!$B$7)-I27-K27-M27-O27</ns0:f>
        <ns0:v>46371.925277188784</ns0:v>
      </ns0:c>
      <ns0:c r="Q27" s="16">
        <ns0:f>(F27+H27)*(1-'前提と出典'!$B$7)-J27-L27-N27</ns0:f>
        <ns0:v>-13148.77875322777</ns0:v>
      </ns0:c>
      <ns0:c r="R27" s="16">
        <ns0:f>P27-E27*'前提と出典'!$E$4</ns0:f>
        <ns0:v>29026.202106826484</ns0:v>
      </ns0:c>
      <ns0:c r="S27" s="16">
        <ns0:f>Q27-F27*'前提と出典'!$E$4</ns0:f>
        <ns0:v>-18189.00252427643</ns0:v>
      </ns0:c>
      <ns0:c r="T27" s="7">
        <ns0:f>R27+S27</ns0:f>
        <ns0:v>10837.199582550053</ns0:v>
      </ns0:c>
      <ns0:c r="U27" s="16">
        <ns0:f>P27-E27*'前提と出典'!$E$5</ns0:f>
        <ns0:v>23244.29438337238</ns0:v>
      </ns0:c>
      <ns0:c r="V27" s="16">
        <ns0:f>Q27-F27*'前提と出典'!$E$5</ns0:f>
        <ns0:v>-19869.077114625987</ns0:v>
      </ns0:c>
      <ns0:c r="W27" s="7">
        <ns0:f>U27+V27</ns0:f>
        <ns0:v>3375.2172687463935</ns0:v>
      </ns0:c>
      <ns0:c r="X27" s="16">
        <ns0:f>P27-E27*'前提と出典'!$E$6</ns0:f>
        <ns0:v>17462.386659918277</ns0:v>
      </ns0:c>
      <ns0:c r="Y27" s="16">
        <ns0:f>Q27-F27*'前提と出典'!$E$6</ns0:f>
        <ns0:v>-21549.15170497554</ns0:v>
      </ns0:c>
      <ns0:c r="Z27" s="7">
        <ns0:f>X27+Y27</ns0:f>
        <ns0:v>-4086.765045057262</ns0:v>
      </ns0:c>
      <ns0:c r="AA27" s="7">
        <ns0:f>IF(T27&gt;=0,A27,1001)</ns0:f>
        <ns0:v>23</ns0:v>
      </ns0:c>
      <ns0:c r="AB27" s="7">
        <ns0:f>IF(T27&lt;0,A27,0)</ns0:f>
        <ns0:v>0</ns0:v>
      </ns0:c>
      <ns0:c r="AC27" s="16">
        <ns0:f>IF(AND(OR('前提と出典'!$C$36+'前提と出典'!$C$38=0,R27&gt;=0),OR('前提と出典'!$C$37+'前提と出典'!$C$38=0,S27&gt;=0)),0,A27)</ns0:f>
        <ns0:v>23</ns0:v>
      </ns0:c>
      <ns0:c r="AD27" s="7">
        <ns0:f>IF(W27&gt;=0,A27,1001)</ns0:f>
        <ns0:v>23</ns0:v>
      </ns0:c>
      <ns0:c r="AE27" s="7">
        <ns0:f>IF(W27&lt;0,A27,0)</ns0:f>
        <ns0:v>0</ns0:v>
      </ns0:c>
      <ns0:c r="AF27" s="16">
        <ns0:f>IF(AND(OR('前提と出典'!$C$36+'前提と出典'!$C$38=0,U27&gt;=0),OR('前提と出典'!$C$37+'前提と出典'!$C$38=0,V27&gt;=0)),0,A27)</ns0:f>
        <ns0:v>23</ns0:v>
      </ns0:c>
      <ns0:c r="AG27" s="7">
        <ns0:f>IF(Z27&gt;=0,A27,1001)</ns0:f>
        <ns0:v>1001</ns0:v>
      </ns0:c>
      <ns0:c r="AH27" s="4">
        <ns0:f>IF(Z27&lt;0,A27,0)</ns0:f>
        <ns0:v>23</ns0:v>
      </ns0:c>
      <ns0:c r="AI27" s="12">
        <ns0:f>IF(AND(OR('前提と出典'!$C$36+'前提と出典'!$C$38=0,X27&gt;=0),OR('前提と出典'!$C$37+'前提と出典'!$C$38=0,Y27&gt;=0)),0,A27)</ns0:f>
        <ns0:v>23</ns0:v>
      </ns0:c>
    </ns0:row>
    <ns0:row r="28" ht="24" customHeight="1">
      <ns0:c r="A28" s="4" t="n">
        <ns0:v>24</ns0:v>
      </ns0:c>
      <ns0:c r="B28" s="12">
        <ns0:f>A28*('前提と出典'!$C$36+'前提と出典'!$C$38)</ns0:f>
        <ns0:v>16.799999999999997</ns0:v>
      </ns0:c>
      <ns0:c r="C28" s="12">
        <ns0:f>A28*('前提と出典'!$C$37+'前提と出典'!$C$38)</ns0:f>
        <ns0:v>14.399999999999999</ns0:v>
      </ns0:c>
      <ns0:c r="D28" s="16">
        <ns0:f>A28*('前提と出典'!$C$36*'契約別単価'!C5+'前提と出典'!$C$37*'契約別単価'!C6+'前提と出典'!$C$38*'契約別単価'!C7)</ns0:f>
        <ns0:v>172.6927374301676</ns0:v>
      </ns0:c>
      <ns0:c r="E28" s="16">
        <ns0:f>A28*('前提と出典'!$C$36*'契約別単価'!E5+'前提と出典'!$C$37*'契約別単価'!E6+'前提と出典'!$C$38*'契約別単価'!E7)</ns0:f>
        <ns0:v>60332.95015778192</ns0:v>
      </ns0:c>
      <ns0:c r="F28" s="16">
        <ns0:f>A28*('前提と出典'!$C$36*'契約別単価'!F5+'前提と出典'!$C$37*'契約別単価'!F6+'前提と出典'!$C$38*'契約別単価'!F7)</ns0:f>
        <ns0:v>17531.213116690997</ns0:v>
      </ns0:c>
      <ns0:c r="G28" s="16">
        <ns0:f>A28*('前提と出典'!$C$36*'契約別単価'!G5+'前提と出典'!$C$37*'契約別単価'!G6+'前提と出典'!$C$38*'契約別単価'!G7)</ns0:f>
        <ns0:v>47772.06703910614</ns0:v>
      </ns0:c>
      <ns0:c r="H28" s="16">
        <ns0:f>A28*('前提と出典'!$C$36*'契約別単価'!H5+'前提と出典'!$C$37*'契約別単価'!H6+'前提と出典'!$C$38*'契約別単価'!H7)</ns0:f>
        <ns0:v>16579.303220010665</ns0:v>
      </ns0:c>
      <ns0:c r="I28" s="16">
        <ns0:f>A28*('前提と出典'!$C$36*'契約別単価'!I5+'前提と出典'!$C$37*'契約別単価'!I6+'前提と出典'!$C$38*'契約別単価'!I7)</ns0:f>
        <ns0:v>1012.6927374301674</ns0:v>
      </ns0:c>
      <ns0:c r="J28" s="16">
        <ns0:f>A28*('前提と出典'!$C$36*'契約別単価'!J5+'前提と出典'!$C$37*'契約別単価'!J6+'前提と出典'!$C$38*'契約別単価'!J7)</ns0:f>
        <ns0:v>2358.9490490472617</ns0:v>
      </ns0:c>
      <ns0:c r="K28" s="16">
        <ns0:f>A28*('前提と出典'!$C$36*'契約別単価'!K5+'前提と出典'!$C$37*'契約別単価'!K6+'前提と出典'!$C$38*'契約別単価'!K7)</ns0:f>
        <ns0:v>10111.284916201117</ns0:v>
      </ns0:c>
      <ns0:c r="L28" s="16">
        <ns0:f>A28*('前提と出典'!$C$36*'契約別単価'!L5+'前提と出典'!$C$37*'契約別単価'!L6+'前提と出典'!$C$38*'契約別単価'!L7)</ns0:f>
        <ns0:v>8232.643440667021</ns0:v>
      </ns0:c>
      <ns0:c r="M28" s="16">
        <ns0:f>IF(('前提と出典'!$C$36+'前提と出典'!$C$38)=0,0,IF(B28&lt;=10,'前提と出典'!B73+'前提と出典'!C73,IF(B28&lt;=100,'前提と出典'!B74+'前提と出典'!C74,IF(B28&lt;=500,'前提と出典'!B75+'前提と出典'!C75,'前提と出典'!B76+'前提と出典'!C76))))</ns0:f>
        <ns0:v>20000</ns0:v>
      </ns0:c>
      <ns0:c r="N28" s="16">
        <ns0:f>IF(('前提と出典'!$C$37+'前提と出典'!$C$38)=0,0,IF(C28&lt;=10,'前提と出典'!D73+'前提と出典'!E73,IF(C28&lt;=100,'前提と出典'!D74+'前提と出典'!E74,IF(C28&lt;=500,'前提と出典'!D75+'前提と出典'!E75,'前提と出典'!D76+'前提と出典'!E76))))</ns0:f>
        <ns0:v>34510.9346263078</ns0:v>
      </ns0:c>
      <ns0:c r="O28" s="16">
        <ns0:f>IF('前提と出典'!$C$36+'前提と出典'!$C$38=0,0,'前提と出典'!$B$4*IF('前提と出典'!$B$20=0,MAX('前提と出典'!$B$6,D28*'前提と出典'!$B$5),'前提と出典'!$B$6+D28*'前提と出典'!$B$5))</ns0:f>
        <ns0:v>23831.59776536313</ns0:v>
      </ns0:c>
      <ns0:c r="P28" s="16">
        <ns0:f>(E28+G28)*(1-'前提と出典'!$B$7)-I28-K28-M28-O28</ns0:f>
        <ns0:v>49257.661158805684</ns0:v>
      </ns0:c>
      <ns0:c r="Q28" s="16">
        <ns0:f>(F28+H28)*(1-'前提と出典'!$B$7)-J28-L28-N28</ns0:f>
        <ns0:v>-12219.989367441674</ns0:v>
      </ns0:c>
      <ns0:c r="R28" s="16">
        <ns0:f>P28-E28*'前提と出典'!$E$4</ns0:f>
        <ns0:v>31157.7761114711</ns0:v>
      </ns0:c>
      <ns0:c r="S28" s="16">
        <ns0:f>Q28-F28*'前提と出典'!$E$4</ns0:f>
        <ns0:v>-17479.353302448973</ns0:v>
      </ns0:c>
      <ns0:c r="T28" s="7">
        <ns0:f>R28+S28</ns0:f>
        <ns0:v>13678.422809022126</ns0:v>
      </ns0:c>
      <ns0:c r="U28" s="16">
        <ns0:f>P28-E28*'前提と出典'!$E$5</ns0:f>
        <ns0:v>25124.48109569291</ns0:v>
      </ns0:c>
      <ns0:c r="V28" s="16">
        <ns0:f>Q28-F28*'前提と出典'!$E$5</ns0:f>
        <ns0:v>-19232.474614118073</ns0:v>
      </ns0:c>
      <ns0:c r="W28" s="7">
        <ns0:f>U28+V28</ns0:f>
        <ns0:v>5892.006481574837</ns0:v>
      </ns0:c>
      <ns0:c r="X28" s="16">
        <ns0:f>P28-E28*'前提と出典'!$E$6</ns0:f>
        <ns0:v>19091.186079914714</ns0:v>
      </ns0:c>
      <ns0:c r="Y28" s="16">
        <ns0:f>Q28-F28*'前提と出典'!$E$6</ns0:f>
        <ns0:v>-20985.595925787173</ns0:v>
      </ns0:c>
      <ns0:c r="Z28" s="7">
        <ns0:f>X28+Y28</ns0:f>
        <ns0:v>-1894.4098458724584</ns0:v>
      </ns0:c>
      <ns0:c r="AA28" s="7">
        <ns0:f>IF(T28&gt;=0,A28,1001)</ns0:f>
        <ns0:v>24</ns0:v>
      </ns0:c>
      <ns0:c r="AB28" s="7">
        <ns0:f>IF(T28&lt;0,A28,0)</ns0:f>
        <ns0:v>0</ns0:v>
      </ns0:c>
      <ns0:c r="AC28" s="16">
        <ns0:f>IF(AND(OR('前提と出典'!$C$36+'前提と出典'!$C$38=0,R28&gt;=0),OR('前提と出典'!$C$37+'前提と出典'!$C$38=0,S28&gt;=0)),0,A28)</ns0:f>
        <ns0:v>24</ns0:v>
      </ns0:c>
      <ns0:c r="AD28" s="7">
        <ns0:f>IF(W28&gt;=0,A28,1001)</ns0:f>
        <ns0:v>24</ns0:v>
      </ns0:c>
      <ns0:c r="AE28" s="7">
        <ns0:f>IF(W28&lt;0,A28,0)</ns0:f>
        <ns0:v>0</ns0:v>
      </ns0:c>
      <ns0:c r="AF28" s="16">
        <ns0:f>IF(AND(OR('前提と出典'!$C$36+'前提と出典'!$C$38=0,U28&gt;=0),OR('前提と出典'!$C$37+'前提と出典'!$C$38=0,V28&gt;=0)),0,A28)</ns0:f>
        <ns0:v>24</ns0:v>
      </ns0:c>
      <ns0:c r="AG28" s="7">
        <ns0:f>IF(Z28&gt;=0,A28,1001)</ns0:f>
        <ns0:v>1001</ns0:v>
      </ns0:c>
      <ns0:c r="AH28" s="4">
        <ns0:f>IF(Z28&lt;0,A28,0)</ns0:f>
        <ns0:v>24</ns0:v>
      </ns0:c>
      <ns0:c r="AI28" s="12">
        <ns0:f>IF(AND(OR('前提と出典'!$C$36+'前提と出典'!$C$38=0,X28&gt;=0),OR('前提と出典'!$C$37+'前提と出典'!$C$38=0,Y28&gt;=0)),0,A28)</ns0:f>
        <ns0:v>24</ns0:v>
      </ns0:c>
    </ns0:row>
    <ns0:row r="29" ht="24" customHeight="1">
      <ns0:c r="A29" s="4" t="n">
        <ns0:v>25</ns0:v>
      </ns0:c>
      <ns0:c r="B29" s="12">
        <ns0:f>A29*('前提と出典'!$C$36+'前提と出典'!$C$38)</ns0:f>
        <ns0:v>17.5</ns0:v>
      </ns0:c>
      <ns0:c r="C29" s="12">
        <ns0:f>A29*('前提と出典'!$C$37+'前提と出典'!$C$38)</ns0:f>
        <ns0:v>15</ns0:v>
      </ns0:c>
      <ns0:c r="D29" s="16">
        <ns0:f>A29*('前提と出典'!$C$36*'契約別単価'!C5+'前提と出典'!$C$37*'契約別単価'!C6+'前提と出典'!$C$38*'契約別単価'!C7)</ns0:f>
        <ns0:v>179.88826815642457</ns0:v>
      </ns0:c>
      <ns0:c r="E29" s="16">
        <ns0:f>A29*('前提と出典'!$C$36*'契約別単価'!E5+'前提と出典'!$C$37*'契約別単価'!E6+'前提と出典'!$C$38*'契約別単価'!E7)</ns0:f>
        <ns0:v>62846.82308102283</ns0:v>
      </ns0:c>
      <ns0:c r="F29" s="16">
        <ns0:f>A29*('前提と出典'!$C$36*'契約別単価'!F5+'前提と出典'!$C$37*'契約別単価'!F6+'前提と出典'!$C$38*'契約別単価'!F7)</ns0:f>
        <ns0:v>18261.680329886454</ns0:v>
      </ns0:c>
      <ns0:c r="G29" s="16">
        <ns0:f>A29*('前提と出典'!$C$36*'契約別単価'!G5+'前提と出典'!$C$37*'契約別単価'!G6+'前提と出典'!$C$38*'契約別単価'!G7)</ns0:f>
        <ns0:v>49762.56983240223</ns0:v>
      </ns0:c>
      <ns0:c r="H29" s="16">
        <ns0:f>A29*('前提と出典'!$C$36*'契約別単価'!H5+'前提と出典'!$C$37*'契約別単価'!H6+'前提と出典'!$C$38*'契約別単価'!H7)</ns0:f>
        <ns0:v>17270.10752084444</ns0:v>
      </ns0:c>
      <ns0:c r="I29" s="16">
        <ns0:f>A29*('前提と出典'!$C$36*'契約別単価'!I5+'前提と出典'!$C$37*'契約別単価'!I6+'前提と出典'!$C$38*'契約別単価'!I7)</ns0:f>
        <ns0:v>1054.8882681564244</ns0:v>
      </ns0:c>
      <ns0:c r="J29" s="16">
        <ns0:f>A29*('前提と出典'!$C$36*'契約別単価'!J5+'前提と出典'!$C$37*'契約別単価'!J6+'前提と出典'!$C$38*'契約別単価'!J7)</ns0:f>
        <ns0:v>2457.238592757564</ns0:v>
      </ns0:c>
      <ns0:c r="K29" s="16">
        <ns0:f>A29*('前提と出典'!$C$36*'契約別単価'!K5+'前提と出典'!$C$37*'契約別単価'!K6+'前提と出典'!$C$38*'契約別単価'!K7)</ns0:f>
        <ns0:v>10532.588454376164</ns0:v>
      </ns0:c>
      <ns0:c r="L29" s="16">
        <ns0:f>A29*('前提と出典'!$C$36*'契約別単価'!L5+'前提と出典'!$C$37*'契約別単価'!L6+'前提と出典'!$C$38*'契約別単価'!L7)</ns0:f>
        <ns0:v>8575.670250694815</ns0:v>
      </ns0:c>
      <ns0:c r="M29" s="16">
        <ns0:f>IF(('前提と出典'!$C$36+'前提と出典'!$C$38)=0,0,IF(B29&lt;=10,'前提と出典'!B73+'前提と出典'!C73,IF(B29&lt;=100,'前提と出典'!B74+'前提と出典'!C74,IF(B29&lt;=500,'前提と出典'!B75+'前提と出典'!C75,'前提と出典'!B76+'前提と出典'!C76))))</ns0:f>
        <ns0:v>20000</ns0:v>
      </ns0:c>
      <ns0:c r="N29" s="16">
        <ns0:f>IF(('前提と出典'!$C$37+'前提と出典'!$C$38)=0,0,IF(C29&lt;=10,'前提と出典'!D73+'前提と出典'!E73,IF(C29&lt;=100,'前提と出典'!D74+'前提と出典'!E74,IF(C29&lt;=500,'前提と出典'!D75+'前提と出典'!E75,'前提と出典'!D76+'前提と出典'!E76))))</ns0:f>
        <ns0:v>34510.9346263078</ns0:v>
      </ns0:c>
      <ns0:c r="O29" s="16">
        <ns0:f>IF('前提と出典'!$C$36+'前提と出典'!$C$38=0,0,'前提と出典'!$B$4*IF('前提と出典'!$B$20=0,MAX('前提と出典'!$B$6,D29*'前提と出典'!$B$5),'前提と出典'!$B$6+D29*'前提と出典'!$B$5))</ns0:f>
        <ns0:v>24824.58100558659</ns0:v>
      </ns0:c>
      <ns0:c r="P29" s="16">
        <ns0:f>(E29+G29)*(1-'前提と出典'!$B$7)-I29-K29-M29-O29</ns0:f>
        <ns0:v>52143.39704042257</ns0:v>
      </ns0:c>
      <ns0:c r="Q29" s="16">
        <ns0:f>(F29+H29)*(1-'前提と出典'!$B$7)-J29-L29-N29</ns0:f>
        <ns0:v>-11291.199981655598</ns0:v>
      </ns0:c>
      <ns0:c r="R29" s="16">
        <ns0:f>P29-E29*'前提と出典'!$E$4</ns0:f>
        <ns0:v>33289.35011611572</ns0:v>
      </ns0:c>
      <ns0:c r="S29" s="16">
        <ns0:f>Q29-F29*'前提と出典'!$E$4</ns0:f>
        <ns0:v>-16769.70408062153</ns0:v>
      </ns0:c>
      <ns0:c r="T29" s="7">
        <ns0:f>R29+S29</ns0:f>
        <ns0:v>16519.64603549419</ns0:v>
      </ns0:c>
      <ns0:c r="U29" s="16">
        <ns0:f>P29-E29*'前提と出典'!$E$5</ns0:f>
        <ns0:v>27004.66780801344</ns0:v>
      </ns0:c>
      <ns0:c r="V29" s="16">
        <ns0:f>Q29-F29*'前提と出典'!$E$5</ns0:f>
        <ns0:v>-18595.87211361018</ns0:v>
      </ns0:c>
      <ns0:c r="W29" s="7">
        <ns0:f>U29+V29</ns0:f>
        <ns0:v>8408.79569440326</ns0:v>
      </ns0:c>
      <ns0:c r="X29" s="16">
        <ns0:f>P29-E29*'前提と出典'!$E$6</ns0:f>
        <ns0:v>20719.985499911152</ns0:v>
      </ns0:c>
      <ns0:c r="Y29" s="16">
        <ns0:f>Q29-F29*'前提と出典'!$E$6</ns0:f>
        <ns0:v>-20422.040146598825</ns0:v>
      </ns0:c>
      <ns0:c r="Z29" s="7">
        <ns0:f>X29+Y29</ns0:f>
        <ns0:v>297.9453533123269</ns0:v>
      </ns0:c>
      <ns0:c r="AA29" s="7">
        <ns0:f>IF(T29&gt;=0,A29,1001)</ns0:f>
        <ns0:v>25</ns0:v>
      </ns0:c>
      <ns0:c r="AB29" s="7">
        <ns0:f>IF(T29&lt;0,A29,0)</ns0:f>
        <ns0:v>0</ns0:v>
      </ns0:c>
      <ns0:c r="AC29" s="16">
        <ns0:f>IF(AND(OR('前提と出典'!$C$36+'前提と出典'!$C$38=0,R29&gt;=0),OR('前提と出典'!$C$37+'前提と出典'!$C$38=0,S29&gt;=0)),0,A29)</ns0:f>
        <ns0:v>25</ns0:v>
      </ns0:c>
      <ns0:c r="AD29" s="7">
        <ns0:f>IF(W29&gt;=0,A29,1001)</ns0:f>
        <ns0:v>25</ns0:v>
      </ns0:c>
      <ns0:c r="AE29" s="7">
        <ns0:f>IF(W29&lt;0,A29,0)</ns0:f>
        <ns0:v>0</ns0:v>
      </ns0:c>
      <ns0:c r="AF29" s="16">
        <ns0:f>IF(AND(OR('前提と出典'!$C$36+'前提と出典'!$C$38=0,U29&gt;=0),OR('前提と出典'!$C$37+'前提と出典'!$C$38=0,V29&gt;=0)),0,A29)</ns0:f>
        <ns0:v>25</ns0:v>
      </ns0:c>
      <ns0:c r="AG29" s="7">
        <ns0:f>IF(Z29&gt;=0,A29,1001)</ns0:f>
        <ns0:v>25</ns0:v>
      </ns0:c>
      <ns0:c r="AH29" s="4">
        <ns0:f>IF(Z29&lt;0,A29,0)</ns0:f>
        <ns0:v>0</ns0:v>
      </ns0:c>
      <ns0:c r="AI29" s="12">
        <ns0:f>IF(AND(OR('前提と出典'!$C$36+'前提と出典'!$C$38=0,X29&gt;=0),OR('前提と出典'!$C$37+'前提と出典'!$C$38=0,Y29&gt;=0)),0,A29)</ns0:f>
        <ns0:v>25</ns0:v>
      </ns0:c>
    </ns0:row>
    <ns0:row r="30" ht="24" customHeight="1">
      <ns0:c r="A30" s="4" t="n">
        <ns0:v>26</ns0:v>
      </ns0:c>
      <ns0:c r="B30" s="12">
        <ns0:f>A30*('前提と出典'!$C$36+'前提と出典'!$C$38)</ns0:f>
        <ns0:v>18.2</ns0:v>
      </ns0:c>
      <ns0:c r="C30" s="12">
        <ns0:f>A30*('前提と出典'!$C$37+'前提と出典'!$C$38)</ns0:f>
        <ns0:v>15.6</ns0:v>
      </ns0:c>
      <ns0:c r="D30" s="16">
        <ns0:f>A30*('前提と出典'!$C$36*'契約別単価'!C5+'前提と出典'!$C$37*'契約別単価'!C6+'前提と出典'!$C$38*'契約別単価'!C7)</ns0:f>
        <ns0:v>187.08379888268155</ns0:v>
      </ns0:c>
      <ns0:c r="E30" s="16">
        <ns0:f>A30*('前提と出典'!$C$36*'契約別単価'!E5+'前提と出典'!$C$37*'契約別単価'!E6+'前提と出典'!$C$38*'契約別単価'!E7)</ns0:f>
        <ns0:v>65360.696004263744</ns0:v>
      </ns0:c>
      <ns0:c r="F30" s="16">
        <ns0:f>A30*('前提と出典'!$C$36*'契約別単価'!F5+'前提と出典'!$C$37*'契約別単価'!F6+'前提と出典'!$C$38*'契約別単価'!F7)</ns0:f>
        <ns0:v>18992.147543081912</ns0:v>
      </ns0:c>
      <ns0:c r="G30" s="16">
        <ns0:f>A30*('前提と出典'!$C$36*'契約別単価'!G5+'前提と出典'!$C$37*'契約別単価'!G6+'前提と出典'!$C$38*'契約別単価'!G7)</ns0:f>
        <ns0:v>51753.07262569832</ns0:v>
      </ns0:c>
      <ns0:c r="H30" s="16">
        <ns0:f>A30*('前提と出典'!$C$36*'契約別単価'!H5+'前提と出典'!$C$37*'契約別単価'!H6+'前提と出典'!$C$38*'契約別単価'!H7)</ns0:f>
        <ns0:v>17960.91182167822</ns0:v>
      </ns0:c>
      <ns0:c r="I30" s="16">
        <ns0:f>A30*('前提と出典'!$C$36*'契約別単価'!I5+'前提と出典'!$C$37*'契約別単価'!I6+'前提と出典'!$C$38*'契約別単価'!I7)</ns0:f>
        <ns0:v>1097.0837988826813</ns0:v>
      </ns0:c>
      <ns0:c r="J30" s="16">
        <ns0:f>A30*('前提と出典'!$C$36*'契約別単価'!J5+'前提と出典'!$C$37*'契約別単価'!J6+'前提と出典'!$C$38*'契約別単価'!J7)</ns0:f>
        <ns0:v>2555.5281364678667</ns0:v>
      </ns0:c>
      <ns0:c r="K30" s="16">
        <ns0:f>A30*('前提と出典'!$C$36*'契約別単価'!K5+'前提と出典'!$C$37*'契約別単価'!K6+'前提と出典'!$C$38*'契約別単価'!K7)</ns0:f>
        <ns0:v>10953.89199255121</ns0:v>
      </ns0:c>
      <ns0:c r="L30" s="16">
        <ns0:f>A30*('前提と出典'!$C$36*'契約別単価'!L5+'前提と出典'!$C$37*'契約別単価'!L6+'前提と出典'!$C$38*'契約別単価'!L7)</ns0:f>
        <ns0:v>8918.697060722607</ns0:v>
      </ns0:c>
      <ns0:c r="M30" s="16">
        <ns0:f>IF(('前提と出典'!$C$36+'前提と出典'!$C$38)=0,0,IF(B30&lt;=10,'前提と出典'!B73+'前提と出典'!C73,IF(B30&lt;=100,'前提と出典'!B74+'前提と出典'!C74,IF(B30&lt;=500,'前提と出典'!B75+'前提と出典'!C75,'前提と出典'!B76+'前提と出典'!C76))))</ns0:f>
        <ns0:v>20000</ns0:v>
      </ns0:c>
      <ns0:c r="N30" s="16">
        <ns0:f>IF(('前提と出典'!$C$37+'前提と出典'!$C$38)=0,0,IF(C30&lt;=10,'前提と出典'!D73+'前提と出典'!E73,IF(C30&lt;=100,'前提と出典'!D74+'前提と出典'!E74,IF(C30&lt;=500,'前提と出典'!D75+'前提と出典'!E75,'前提と出典'!D76+'前提と出典'!E76))))</ns0:f>
        <ns0:v>34510.9346263078</ns0:v>
      </ns0:c>
      <ns0:c r="O30" s="16">
        <ns0:f>IF('前提と出典'!$C$36+'前提と出典'!$C$38=0,0,'前提と出典'!$B$4*IF('前提と出典'!$B$20=0,MAX('前提と出典'!$B$6,D30*'前提と出典'!$B$5),'前提と出典'!$B$6+D30*'前提と出典'!$B$5))</ns0:f>
        <ns0:v>25817.564245810056</ns0:v>
      </ns0:c>
      <ns0:c r="P30" s="16">
        <ns0:f>(E30+G30)*(1-'前提と出典'!$B$7)-I30-K30-M30-O30</ns0:f>
        <ns0:v>55029.13292203947</ns0:v>
      </ns0:c>
      <ns0:c r="Q30" s="16">
        <ns0:f>(F30+H30)*(1-'前提と出典'!$B$7)-J30-L30-N30</ns0:f>
        <ns0:v>-10362.4105958695</ns0:v>
      </ns0:c>
      <ns0:c r="R30" s="16">
        <ns0:f>P30-E30*'前提と出典'!$E$4</ns0:f>
        <ns0:v>35420.924120760355</ns0:v>
      </ns0:c>
      <ns0:c r="S30" s="16">
        <ns0:f>Q30-F30*'前提と出典'!$E$4</ns0:f>
        <ns0:v>-16060.054858794072</ns0:v>
      </ns0:c>
      <ns0:c r="T30" s="7">
        <ns0:f>R30+S30</ns0:f>
        <ns0:v>19360.869261966283</ns0:v>
      </ns0:c>
      <ns0:c r="U30" s="16">
        <ns0:f>P30-E30*'前提と出典'!$E$5</ns0:f>
        <ns0:v>28884.854520333967</ns0:v>
      </ns0:c>
      <ns0:c r="V30" s="16">
        <ns0:f>Q30-F30*'前提と出典'!$E$5</ns0:f>
        <ns0:v>-17959.269613102264</ns0:v>
      </ns0:c>
      <ns0:c r="W30" s="7">
        <ns0:f>U30+V30</ns0:f>
        <ns0:v>10925.584907231703</ns0:v>
      </ns0:c>
      <ns0:c r="X30" s="16">
        <ns0:f>P30-E30*'前提と出典'!$E$6</ns0:f>
        <ns0:v>22348.784919907608</ns0:v>
      </ns0:c>
      <ns0:c r="Y30" s="16">
        <ns0:f>Q30-F30*'前提と出典'!$E$6</ns0:f>
        <ns0:v>-19858.484367410456</ns0:v>
      </ns0:c>
      <ns0:c r="Z30" s="7">
        <ns0:f>X30+Y30</ns0:f>
        <ns0:v>2490.3005524971522</ns0:v>
      </ns0:c>
      <ns0:c r="AA30" s="7">
        <ns0:f>IF(T30&gt;=0,A30,1001)</ns0:f>
        <ns0:v>26</ns0:v>
      </ns0:c>
      <ns0:c r="AB30" s="7">
        <ns0:f>IF(T30&lt;0,A30,0)</ns0:f>
        <ns0:v>0</ns0:v>
      </ns0:c>
      <ns0:c r="AC30" s="16">
        <ns0:f>IF(AND(OR('前提と出典'!$C$36+'前提と出典'!$C$38=0,R30&gt;=0),OR('前提と出典'!$C$37+'前提と出典'!$C$38=0,S30&gt;=0)),0,A30)</ns0:f>
        <ns0:v>26</ns0:v>
      </ns0:c>
      <ns0:c r="AD30" s="7">
        <ns0:f>IF(W30&gt;=0,A30,1001)</ns0:f>
        <ns0:v>26</ns0:v>
      </ns0:c>
      <ns0:c r="AE30" s="7">
        <ns0:f>IF(W30&lt;0,A30,0)</ns0:f>
        <ns0:v>0</ns0:v>
      </ns0:c>
      <ns0:c r="AF30" s="16">
        <ns0:f>IF(AND(OR('前提と出典'!$C$36+'前提と出典'!$C$38=0,U30&gt;=0),OR('前提と出典'!$C$37+'前提と出典'!$C$38=0,V30&gt;=0)),0,A30)</ns0:f>
        <ns0:v>26</ns0:v>
      </ns0:c>
      <ns0:c r="AG30" s="7">
        <ns0:f>IF(Z30&gt;=0,A30,1001)</ns0:f>
        <ns0:v>26</ns0:v>
      </ns0:c>
      <ns0:c r="AH30" s="4">
        <ns0:f>IF(Z30&lt;0,A30,0)</ns0:f>
        <ns0:v>0</ns0:v>
      </ns0:c>
      <ns0:c r="AI30" s="12">
        <ns0:f>IF(AND(OR('前提と出典'!$C$36+'前提と出典'!$C$38=0,X30&gt;=0),OR('前提と出典'!$C$37+'前提と出典'!$C$38=0,Y30&gt;=0)),0,A30)</ns0:f>
        <ns0:v>26</ns0:v>
      </ns0:c>
    </ns0:row>
    <ns0:row r="31" ht="24" customHeight="1">
      <ns0:c r="A31" s="4" t="n">
        <ns0:v>27</ns0:v>
      </ns0:c>
      <ns0:c r="B31" s="12">
        <ns0:f>A31*('前提と出典'!$C$36+'前提と出典'!$C$38)</ns0:f>
        <ns0:v>18.9</ns0:v>
      </ns0:c>
      <ns0:c r="C31" s="12">
        <ns0:f>A31*('前提と出典'!$C$37+'前提と出典'!$C$38)</ns0:f>
        <ns0:v>16.2</ns0:v>
      </ns0:c>
      <ns0:c r="D31" s="16">
        <ns0:f>A31*('前提と出典'!$C$36*'契約別単価'!C5+'前提と出典'!$C$37*'契約別単価'!C6+'前提と出典'!$C$38*'契約別単価'!C7)</ns0:f>
        <ns0:v>194.27932960893855</ns0:v>
      </ns0:c>
      <ns0:c r="E31" s="16">
        <ns0:f>A31*('前提と出典'!$C$36*'契約別単価'!E5+'前提と出典'!$C$37*'契約別単価'!E6+'前提と出典'!$C$38*'契約別単価'!E7)</ns0:f>
        <ns0:v>67874.56892750466</ns0:v>
      </ns0:c>
      <ns0:c r="F31" s="16">
        <ns0:f>A31*('前提と出典'!$C$36*'契約別単価'!F5+'前提と出典'!$C$37*'契約別単価'!F6+'前提と出典'!$C$38*'契約別単価'!F7)</ns0:f>
        <ns0:v>19722.61475627737</ns0:v>
      </ns0:c>
      <ns0:c r="G31" s="16">
        <ns0:f>A31*('前提と出典'!$C$36*'契約別単価'!G5+'前提と出典'!$C$37*'契約別単価'!G6+'前提と出典'!$C$38*'契約別単価'!G7)</ns0:f>
        <ns0:v>53743.57541899441</ns0:v>
      </ns0:c>
      <ns0:c r="H31" s="16">
        <ns0:f>A31*('前提と出典'!$C$36*'契約別単価'!H5+'前提と出典'!$C$37*'契約別単価'!H6+'前提と出典'!$C$38*'契約別単価'!H7)</ns0:f>
        <ns0:v>18651.716122511996</ns0:v>
      </ns0:c>
      <ns0:c r="I31" s="16">
        <ns0:f>A31*('前提と出典'!$C$36*'契約別単価'!I5+'前提と出典'!$C$37*'契約別単価'!I6+'前提と出典'!$C$38*'契約別単価'!I7)</ns0:f>
        <ns0:v>1139.2793296089383</ns0:v>
      </ns0:c>
      <ns0:c r="J31" s="16">
        <ns0:f>A31*('前提と出典'!$C$36*'契約別単価'!J5+'前提と出典'!$C$37*'契約別単価'!J6+'前提と出典'!$C$38*'契約別単価'!J7)</ns0:f>
        <ns0:v>2653.817680178169</ns0:v>
      </ns0:c>
      <ns0:c r="K31" s="16">
        <ns0:f>A31*('前提と出典'!$C$36*'契約別単価'!K5+'前提と出典'!$C$37*'契約別単価'!K6+'前提と出典'!$C$38*'契約別単価'!K7)</ns0:f>
        <ns0:v>11375.195530726256</ns0:v>
      </ns0:c>
      <ns0:c r="L31" s="16">
        <ns0:f>A31*('前提と出典'!$C$36*'契約別単価'!L5+'前提と出典'!$C$37*'契約別単価'!L6+'前提と出典'!$C$38*'契約別単価'!L7)</ns0:f>
        <ns0:v>9261.7238707504</ns0:v>
      </ns0:c>
      <ns0:c r="M31" s="16">
        <ns0:f>IF(('前提と出典'!$C$36+'前提と出典'!$C$38)=0,0,IF(B31&lt;=10,'前提と出典'!B73+'前提と出典'!C73,IF(B31&lt;=100,'前提と出典'!B74+'前提と出典'!C74,IF(B31&lt;=500,'前提と出典'!B75+'前提と出典'!C75,'前提と出典'!B76+'前提と出典'!C76))))</ns0:f>
        <ns0:v>20000</ns0:v>
      </ns0:c>
      <ns0:c r="N31" s="16">
        <ns0:f>IF(('前提と出典'!$C$37+'前提と出典'!$C$38)=0,0,IF(C31&lt;=10,'前提と出典'!D73+'前提と出典'!E73,IF(C31&lt;=100,'前提と出典'!D74+'前提と出典'!E74,IF(C31&lt;=500,'前提と出典'!D75+'前提と出典'!E75,'前提と出典'!D76+'前提と出典'!E76))))</ns0:f>
        <ns0:v>34510.9346263078</ns0:v>
      </ns0:c>
      <ns0:c r="O31" s="16">
        <ns0:f>IF('前提と出典'!$C$36+'前提と出典'!$C$38=0,0,'前提と出典'!$B$4*IF('前提と出典'!$B$20=0,MAX('前提と出典'!$B$6,D31*'前提と出典'!$B$5),'前提と出典'!$B$6+D31*'前提と出典'!$B$5))</ns0:f>
        <ns0:v>26810.547486033523</ns0:v>
      </ns0:c>
      <ns0:c r="P31" s="16">
        <ns0:f>(E31+G31)*(1-'前提と出典'!$B$7)-I31-K31-M31-O31</ns0:f>
        <ns0:v>57914.8688036564</ns0:v>
      </ns0:c>
      <ns0:c r="Q31" s="16">
        <ns0:f>(F31+H31)*(1-'前提と出典'!$B$7)-J31-L31-N31</ns0:f>
        <ns0:v>-9433.621210083424</ns0:v>
      </ns0:c>
      <ns0:c r="R31" s="16">
        <ns0:f>P31-E31*'前提と出典'!$E$4</ns0:f>
        <ns0:v>37552.49812540501</ns0:v>
      </ns0:c>
      <ns0:c r="S31" s="16">
        <ns0:f>Q31-F31*'前提と出典'!$E$4</ns0:f>
        <ns0:v>-15350.405636966636</ns0:v>
      </ns0:c>
      <ns0:c r="T31" s="7">
        <ns0:f>R31+S31</ns0:f>
        <ns0:v>22202.09248843837</ns0:v>
      </ns0:c>
      <ns0:c r="U31" s="16">
        <ns0:f>P31-E31*'前提と出典'!$E$5</ns0:f>
        <ns0:v>30765.041232654534</ns0:v>
      </ns0:c>
      <ns0:c r="V31" s="16">
        <ns0:f>Q31-F31*'前提と出典'!$E$5</ns0:f>
        <ns0:v>-17322.667112594372</ns0:v>
      </ns0:c>
      <ns0:c r="W31" s="7">
        <ns0:f>U31+V31</ns0:f>
        <ns0:v>13442.374120060162</ns0:v>
      </ns0:c>
      <ns0:c r="X31" s="16">
        <ns0:f>P31-E31*'前提と出典'!$E$6</ns0:f>
        <ns0:v>23977.58433990406</ns0:v>
      </ns0:c>
      <ns0:c r="Y31" s="16">
        <ns0:f>Q31-F31*'前提と出典'!$E$6</ns0:f>
        <ns0:v>-19294.92858822211</ns0:v>
      </ns0:c>
      <ns0:c r="Z31" s="7">
        <ns0:f>X31+Y31</ns0:f>
        <ns0:v>4682.655751681952</ns0:v>
      </ns0:c>
      <ns0:c r="AA31" s="7">
        <ns0:f>IF(T31&gt;=0,A31,1001)</ns0:f>
        <ns0:v>27</ns0:v>
      </ns0:c>
      <ns0:c r="AB31" s="7">
        <ns0:f>IF(T31&lt;0,A31,0)</ns0:f>
        <ns0:v>0</ns0:v>
      </ns0:c>
      <ns0:c r="AC31" s="16">
        <ns0:f>IF(AND(OR('前提と出典'!$C$36+'前提と出典'!$C$38=0,R31&gt;=0),OR('前提と出典'!$C$37+'前提と出典'!$C$38=0,S31&gt;=0)),0,A31)</ns0:f>
        <ns0:v>27</ns0:v>
      </ns0:c>
      <ns0:c r="AD31" s="7">
        <ns0:f>IF(W31&gt;=0,A31,1001)</ns0:f>
        <ns0:v>27</ns0:v>
      </ns0:c>
      <ns0:c r="AE31" s="7">
        <ns0:f>IF(W31&lt;0,A31,0)</ns0:f>
        <ns0:v>0</ns0:v>
      </ns0:c>
      <ns0:c r="AF31" s="16">
        <ns0:f>IF(AND(OR('前提と出典'!$C$36+'前提と出典'!$C$38=0,U31&gt;=0),OR('前提と出典'!$C$37+'前提と出典'!$C$38=0,V31&gt;=0)),0,A31)</ns0:f>
        <ns0:v>27</ns0:v>
      </ns0:c>
      <ns0:c r="AG31" s="7">
        <ns0:f>IF(Z31&gt;=0,A31,1001)</ns0:f>
        <ns0:v>27</ns0:v>
      </ns0:c>
      <ns0:c r="AH31" s="4">
        <ns0:f>IF(Z31&lt;0,A31,0)</ns0:f>
        <ns0:v>0</ns0:v>
      </ns0:c>
      <ns0:c r="AI31" s="12">
        <ns0:f>IF(AND(OR('前提と出典'!$C$36+'前提と出典'!$C$38=0,X31&gt;=0),OR('前提と出典'!$C$37+'前提と出典'!$C$38=0,Y31&gt;=0)),0,A31)</ns0:f>
        <ns0:v>27</ns0:v>
      </ns0:c>
    </ns0:row>
    <ns0:row r="32" ht="24" customHeight="1">
      <ns0:c r="A32" s="4" t="n">
        <ns0:v>28</ns0:v>
      </ns0:c>
      <ns0:c r="B32" s="12">
        <ns0:f>A32*('前提と出典'!$C$36+'前提と出典'!$C$38)</ns0:f>
        <ns0:v>19.599999999999998</ns0:v>
      </ns0:c>
      <ns0:c r="C32" s="12">
        <ns0:f>A32*('前提と出典'!$C$37+'前提と出典'!$C$38)</ns0:f>
        <ns0:v>16.8</ns0:v>
      </ns0:c>
      <ns0:c r="D32" s="16">
        <ns0:f>A32*('前提と出典'!$C$36*'契約別単価'!C5+'前提と出典'!$C$37*'契約別単価'!C6+'前提と出典'!$C$38*'契約別単価'!C7)</ns0:f>
        <ns0:v>201.47486033519553</ns0:v>
      </ns0:c>
      <ns0:c r="E32" s="16">
        <ns0:f>A32*('前提と出典'!$C$36*'契約別単価'!E5+'前提と出典'!$C$37*'契約別単価'!E6+'前提と出典'!$C$38*'契約別単価'!E7)</ns0:f>
        <ns0:v>70388.44185074557</ns0:v>
      </ns0:c>
      <ns0:c r="F32" s="16">
        <ns0:f>A32*('前提と出典'!$C$36*'契約別単価'!F5+'前提と出典'!$C$37*'契約別単価'!F6+'前提と出典'!$C$38*'契約別単価'!F7)</ns0:f>
        <ns0:v>20453.081969472827</ns0:v>
      </ns0:c>
      <ns0:c r="G32" s="16">
        <ns0:f>A32*('前提と出典'!$C$36*'契約別単価'!G5+'前提と出典'!$C$37*'契約別単価'!G6+'前提と出典'!$C$38*'契約別単価'!G7)</ns0:f>
        <ns0:v>55734.0782122905</ns0:v>
      </ns0:c>
      <ns0:c r="H32" s="16">
        <ns0:f>A32*('前提と出典'!$C$36*'契約別単価'!H5+'前提と出典'!$C$37*'契約別単価'!H6+'前提と出典'!$C$38*'契約別単価'!H7)</ns0:f>
        <ns0:v>19342.520423345777</ns0:v>
      </ns0:c>
      <ns0:c r="I32" s="16">
        <ns0:f>A32*('前提と出典'!$C$36*'契約別単価'!I5+'前提と出典'!$C$37*'契約別単価'!I6+'前提と出典'!$C$38*'契約別単価'!I7)</ns0:f>
        <ns0:v>1181.4748603351954</ns0:v>
      </ns0:c>
      <ns0:c r="J32" s="16">
        <ns0:f>A32*('前提と出典'!$C$36*'契約別単価'!J5+'前提と出典'!$C$37*'契約別単価'!J6+'前提と出典'!$C$38*'契約別単価'!J7)</ns0:f>
        <ns0:v>2752.1072238884717</ns0:v>
      </ns0:c>
      <ns0:c r="K32" s="16">
        <ns0:f>A32*('前提と出典'!$C$36*'契約別単価'!K5+'前提と出典'!$C$37*'契約別単価'!K6+'前提と出典'!$C$38*'契約別単価'!K7)</ns0:f>
        <ns0:v>11796.499068901303</ns0:v>
      </ns0:c>
      <ns0:c r="L32" s="16">
        <ns0:f>A32*('前提と出典'!$C$36*'契約別単価'!L5+'前提と出典'!$C$37*'契約別単価'!L6+'前提と出典'!$C$38*'契約別単価'!L7)</ns0:f>
        <ns0:v>9604.750680778192</ns0:v>
      </ns0:c>
      <ns0:c r="M32" s="16">
        <ns0:f>IF(('前提と出典'!$C$36+'前提と出典'!$C$38)=0,0,IF(B32&lt;=10,'前提と出典'!B73+'前提と出典'!C73,IF(B32&lt;=100,'前提と出典'!B74+'前提と出典'!C74,IF(B32&lt;=500,'前提と出典'!B75+'前提と出典'!C75,'前提と出典'!B76+'前提と出典'!C76))))</ns0:f>
        <ns0:v>20000</ns0:v>
      </ns0:c>
      <ns0:c r="N32" s="16">
        <ns0:f>IF(('前提と出典'!$C$37+'前提と出典'!$C$38)=0,0,IF(C32&lt;=10,'前提と出典'!D73+'前提と出典'!E73,IF(C32&lt;=100,'前提と出典'!D74+'前提と出典'!E74,IF(C32&lt;=500,'前提と出典'!D75+'前提と出典'!E75,'前提と出典'!D76+'前提と出典'!E76))))</ns0:f>
        <ns0:v>34510.9346263078</ns0:v>
      </ns0:c>
      <ns0:c r="O32" s="16">
        <ns0:f>IF('前提と出典'!$C$36+'前提と出典'!$C$38=0,0,'前提と出典'!$B$4*IF('前提と出典'!$B$20=0,MAX('前提と出典'!$B$6,D32*'前提と出典'!$B$5),'前提と出典'!$B$6+D32*'前提と出典'!$B$5))</ns0:f>
        <ns0:v>27803.530726256984</ns0:v>
      </ns0:c>
      <ns0:c r="P32" s="16">
        <ns0:f>(E32+G32)*(1-'前提と出典'!$B$7)-I32-K32-M32-O32</ns0:f>
        <ns0:v>60800.60468527328</ns0:v>
      </ns0:c>
      <ns0:c r="Q32" s="16">
        <ns0:f>(F32+H32)*(1-'前提と出典'!$B$7)-J32-L32-N32</ns0:f>
        <ns0:v>-8504.831824297324</ns0:v>
      </ns0:c>
      <ns0:c r="R32" s="16">
        <ns0:f>P32-E32*'前提と出典'!$E$4</ns0:f>
        <ns0:v>39684.07213004961</ns0:v>
      </ns0:c>
      <ns0:c r="S32" s="16">
        <ns0:f>Q32-F32*'前提と出典'!$E$4</ns0:f>
        <ns0:v>-14640.75641513917</ns0:v>
      </ns0:c>
      <ns0:c r="T32" s="7">
        <ns0:f>R32+S32</ns0:f>
        <ns0:v>25043.315714910437</ns0:v>
      </ns0:c>
      <ns0:c r="U32" s="16">
        <ns0:f>P32-E32*'前提と出典'!$E$5</ns0:f>
        <ns0:v>32645.22794497505</ns0:v>
      </ns0:c>
      <ns0:c r="V32" s="16">
        <ns0:f>Q32-F32*'前提と出典'!$E$5</ns0:f>
        <ns0:v>-16686.064612086455</ns0:v>
      </ns0:c>
      <ns0:c r="W32" s="7">
        <ns0:f>U32+V32</ns0:f>
        <ns0:v>15959.163332888595</ns0:v>
      </ns0:c>
      <ns0:c r="X32" s="16">
        <ns0:f>P32-E32*'前提と出典'!$E$6</ns0:f>
        <ns0:v>25606.38375990049</ns0:v>
      </ns0:c>
      <ns0:c r="Y32" s="16">
        <ns0:f>Q32-F32*'前提と出典'!$E$6</ns0:f>
        <ns0:v>-18731.37280903374</ns0:v>
      </ns0:c>
      <ns0:c r="Z32" s="7">
        <ns0:f>X32+Y32</ns0:f>
        <ns0:v>6875.010950866752</ns0:v>
      </ns0:c>
      <ns0:c r="AA32" s="7">
        <ns0:f>IF(T32&gt;=0,A32,1001)</ns0:f>
        <ns0:v>28</ns0:v>
      </ns0:c>
      <ns0:c r="AB32" s="7">
        <ns0:f>IF(T32&lt;0,A32,0)</ns0:f>
        <ns0:v>0</ns0:v>
      </ns0:c>
      <ns0:c r="AC32" s="16">
        <ns0:f>IF(AND(OR('前提と出典'!$C$36+'前提と出典'!$C$38=0,R32&gt;=0),OR('前提と出典'!$C$37+'前提と出典'!$C$38=0,S32&gt;=0)),0,A32)</ns0:f>
        <ns0:v>28</ns0:v>
      </ns0:c>
      <ns0:c r="AD32" s="7">
        <ns0:f>IF(W32&gt;=0,A32,1001)</ns0:f>
        <ns0:v>28</ns0:v>
      </ns0:c>
      <ns0:c r="AE32" s="7">
        <ns0:f>IF(W32&lt;0,A32,0)</ns0:f>
        <ns0:v>0</ns0:v>
      </ns0:c>
      <ns0:c r="AF32" s="16">
        <ns0:f>IF(AND(OR('前提と出典'!$C$36+'前提と出典'!$C$38=0,U32&gt;=0),OR('前提と出典'!$C$37+'前提と出典'!$C$38=0,V32&gt;=0)),0,A32)</ns0:f>
        <ns0:v>28</ns0:v>
      </ns0:c>
      <ns0:c r="AG32" s="7">
        <ns0:f>IF(Z32&gt;=0,A32,1001)</ns0:f>
        <ns0:v>28</ns0:v>
      </ns0:c>
      <ns0:c r="AH32" s="4">
        <ns0:f>IF(Z32&lt;0,A32,0)</ns0:f>
        <ns0:v>0</ns0:v>
      </ns0:c>
      <ns0:c r="AI32" s="12">
        <ns0:f>IF(AND(OR('前提と出典'!$C$36+'前提と出典'!$C$38=0,X32&gt;=0),OR('前提と出典'!$C$37+'前提と出典'!$C$38=0,Y32&gt;=0)),0,A32)</ns0:f>
        <ns0:v>28</ns0:v>
      </ns0:c>
    </ns0:row>
    <ns0:row r="33" ht="24" customHeight="1">
      <ns0:c r="A33" s="4" t="n">
        <ns0:v>29</ns0:v>
      </ns0:c>
      <ns0:c r="B33" s="12">
        <ns0:f>A33*('前提と出典'!$C$36+'前提と出典'!$C$38)</ns0:f>
        <ns0:v>20.299999999999997</ns0:v>
      </ns0:c>
      <ns0:c r="C33" s="12">
        <ns0:f>A33*('前提と出典'!$C$37+'前提と出典'!$C$38)</ns0:f>
        <ns0:v>17.4</ns0:v>
      </ns0:c>
      <ns0:c r="D33" s="16">
        <ns0:f>A33*('前提と出典'!$C$36*'契約別単価'!C5+'前提と出典'!$C$37*'契約別単価'!C6+'前提と出典'!$C$38*'契約別単価'!C7)</ns0:f>
        <ns0:v>208.6703910614525</ns0:v>
      </ns0:c>
      <ns0:c r="E33" s="16">
        <ns0:f>A33*('前提と出典'!$C$36*'契約別単価'!E5+'前提と出典'!$C$37*'契約別単価'!E6+'前提と出典'!$C$38*'契約別単価'!E7)</ns0:f>
        <ns0:v>72902.31477398648</ns0:v>
      </ns0:c>
      <ns0:c r="F33" s="16">
        <ns0:f>A33*('前提と出典'!$C$36*'契約別単価'!F5+'前提と出典'!$C$37*'契約別単価'!F6+'前提と出典'!$C$38*'契約別単価'!F7)</ns0:f>
        <ns0:v>21183.54918266829</ns0:v>
      </ns0:c>
      <ns0:c r="G33" s="16">
        <ns0:f>A33*('前提と出典'!$C$36*'契約別単価'!G5+'前提と出典'!$C$37*'契約別単価'!G6+'前提と出典'!$C$38*'契約別単価'!G7)</ns0:f>
        <ns0:v>57724.58100558659</ns0:v>
      </ns0:c>
      <ns0:c r="H33" s="16">
        <ns0:f>A33*('前提と出典'!$C$36*'契約別単価'!H5+'前提と出典'!$C$37*'契約別単価'!H6+'前提と出典'!$C$38*'契約別単価'!H7)</ns0:f>
        <ns0:v>20033.324724179554</ns0:v>
      </ns0:c>
      <ns0:c r="I33" s="16">
        <ns0:f>A33*('前提と出典'!$C$36*'契約別単価'!I5+'前提と出典'!$C$37*'契約別単価'!I6+'前提と出典'!$C$38*'契約別単価'!I7)</ns0:f>
        <ns0:v>1223.6703910614524</ns0:v>
      </ns0:c>
      <ns0:c r="J33" s="16">
        <ns0:f>A33*('前提と出典'!$C$36*'契約別単価'!J5+'前提と出典'!$C$37*'契約別単価'!J6+'前提と出典'!$C$38*'契約別単価'!J7)</ns0:f>
        <ns0:v>2850.3967675987747</ns0:v>
      </ns0:c>
      <ns0:c r="K33" s="16">
        <ns0:f>A33*('前提と出典'!$C$36*'契約別単価'!K5+'前提と出典'!$C$37*'契約別単価'!K6+'前提と出典'!$C$38*'契約別単価'!K7)</ns0:f>
        <ns0:v>12217.80260707635</ns0:v>
      </ns0:c>
      <ns0:c r="L33" s="16">
        <ns0:f>A33*('前提と出典'!$C$36*'契約別単価'!L5+'前提と出典'!$C$37*'契約別単価'!L6+'前提と出典'!$C$38*'契約別単価'!L7)</ns0:f>
        <ns0:v>9947.777490805986</ns0:v>
      </ns0:c>
      <ns0:c r="M33" s="16">
        <ns0:f>IF(('前提と出典'!$C$36+'前提と出典'!$C$38)=0,0,IF(B33&lt;=10,'前提と出典'!B73+'前提と出典'!C73,IF(B33&lt;=100,'前提と出典'!B74+'前提と出典'!C74,IF(B33&lt;=500,'前提と出典'!B75+'前提と出典'!C75,'前提と出典'!B76+'前提と出典'!C76))))</ns0:f>
        <ns0:v>20000</ns0:v>
      </ns0:c>
      <ns0:c r="N33" s="16">
        <ns0:f>IF(('前提と出典'!$C$37+'前提と出典'!$C$38)=0,0,IF(C33&lt;=10,'前提と出典'!D73+'前提と出典'!E73,IF(C33&lt;=100,'前提と出典'!D74+'前提と出典'!E74,IF(C33&lt;=500,'前提と出典'!D75+'前提と出典'!E75,'前提と出典'!D76+'前提と出典'!E76))))</ns0:f>
        <ns0:v>34510.9346263078</ns0:v>
      </ns0:c>
      <ns0:c r="O33" s="16">
        <ns0:f>IF('前提と出典'!$C$36+'前提と出典'!$C$38=0,0,'前提と出典'!$B$4*IF('前提と出典'!$B$20=0,MAX('前提と出典'!$B$6,D33*'前提と出典'!$B$5),'前提と出典'!$B$6+D33*'前提と出典'!$B$5))</ns0:f>
        <ns0:v>28796.51396648045</ns0:v>
      </ns0:c>
      <ns0:c r="P33" s="16">
        <ns0:f>(E33+G33)*(1-'前提と出典'!$B$7)-I33-K33-M33-O33</ns0:f>
        <ns0:v>63686.3405668902</ns0:v>
      </ns0:c>
      <ns0:c r="Q33" s="16">
        <ns0:f>(F33+H33)*(1-'前提と出典'!$B$7)-J33-L33-N33</ns0:f>
        <ns0:v>-7576.042438511233</ns0:v>
      </ns0:c>
      <ns0:c r="R33" s="16">
        <ns0:f>P33-E33*'前提と出典'!$E$4</ns0:f>
        <ns0:v>41815.64613469424</ns0:v>
      </ns0:c>
      <ns0:c r="S33" s="16">
        <ns0:f>Q33-F33*'前提と出典'!$E$4</ns0:f>
        <ns0:v>-13931.10719331172</ns0:v>
      </ns0:c>
      <ns0:c r="T33" s="7">
        <ns0:f>R33+S33</ns0:f>
        <ns0:v>27884.538941382518</ns0:v>
      </ns0:c>
      <ns0:c r="U33" s="16">
        <ns0:f>P33-E33*'前提と出典'!$E$5</ns0:f>
        <ns0:v>34525.41465729561</ns0:v>
      </ns0:c>
      <ns0:c r="V33" s="16">
        <ns0:f>Q33-F33*'前提と出典'!$E$5</ns0:f>
        <ns0:v>-16049.462111578549</ns0:v>
      </ns0:c>
      <ns0:c r="W33" s="7">
        <ns0:f>U33+V33</ns0:f>
        <ns0:v>18475.95254571706</ns0:v>
      </ns0:c>
      <ns0:c r="X33" s="16">
        <ns0:f>P33-E33*'前提と出典'!$E$6</ns0:f>
        <ns0:v>27235.183179896947</ns0:v>
      </ns0:c>
      <ns0:c r="Y33" s="16">
        <ns0:f>Q33-F33*'前提と出典'!$E$6</ns0:f>
        <ns0:v>-18167.817029845377</ns0:v>
      </ns0:c>
      <ns0:c r="Z33" s="7">
        <ns0:f>X33+Y33</ns0:f>
        <ns0:v>9067.36615005157</ns0:v>
      </ns0:c>
      <ns0:c r="AA33" s="7">
        <ns0:f>IF(T33&gt;=0,A33,1001)</ns0:f>
        <ns0:v>29</ns0:v>
      </ns0:c>
      <ns0:c r="AB33" s="7">
        <ns0:f>IF(T33&lt;0,A33,0)</ns0:f>
        <ns0:v>0</ns0:v>
      </ns0:c>
      <ns0:c r="AC33" s="16">
        <ns0:f>IF(AND(OR('前提と出典'!$C$36+'前提と出典'!$C$38=0,R33&gt;=0),OR('前提と出典'!$C$37+'前提と出典'!$C$38=0,S33&gt;=0)),0,A33)</ns0:f>
        <ns0:v>29</ns0:v>
      </ns0:c>
      <ns0:c r="AD33" s="7">
        <ns0:f>IF(W33&gt;=0,A33,1001)</ns0:f>
        <ns0:v>29</ns0:v>
      </ns0:c>
      <ns0:c r="AE33" s="7">
        <ns0:f>IF(W33&lt;0,A33,0)</ns0:f>
        <ns0:v>0</ns0:v>
      </ns0:c>
      <ns0:c r="AF33" s="16">
        <ns0:f>IF(AND(OR('前提と出典'!$C$36+'前提と出典'!$C$38=0,U33&gt;=0),OR('前提と出典'!$C$37+'前提と出典'!$C$38=0,V33&gt;=0)),0,A33)</ns0:f>
        <ns0:v>29</ns0:v>
      </ns0:c>
      <ns0:c r="AG33" s="7">
        <ns0:f>IF(Z33&gt;=0,A33,1001)</ns0:f>
        <ns0:v>29</ns0:v>
      </ns0:c>
      <ns0:c r="AH33" s="4">
        <ns0:f>IF(Z33&lt;0,A33,0)</ns0:f>
        <ns0:v>0</ns0:v>
      </ns0:c>
      <ns0:c r="AI33" s="12">
        <ns0:f>IF(AND(OR('前提と出典'!$C$36+'前提と出典'!$C$38=0,X33&gt;=0),OR('前提と出典'!$C$37+'前提と出典'!$C$38=0,Y33&gt;=0)),0,A33)</ns0:f>
        <ns0:v>29</ns0:v>
      </ns0:c>
    </ns0:row>
    <ns0:row r="34" ht="24" customHeight="1">
      <ns0:c r="A34" s="4" t="n">
        <ns0:v>30</ns0:v>
      </ns0:c>
      <ns0:c r="B34" s="12">
        <ns0:f>A34*('前提と出典'!$C$36+'前提と出典'!$C$38)</ns0:f>
        <ns0:v>21</ns0:v>
      </ns0:c>
      <ns0:c r="C34" s="12">
        <ns0:f>A34*('前提と出典'!$C$37+'前提と出典'!$C$38)</ns0:f>
        <ns0:v>18</ns0:v>
      </ns0:c>
      <ns0:c r="D34" s="16">
        <ns0:f>A34*('前提と出典'!$C$36*'契約別単価'!C5+'前提と出典'!$C$37*'契約別単価'!C6+'前提と出典'!$C$38*'契約別単価'!C7)</ns0:f>
        <ns0:v>215.8659217877095</ns0:v>
      </ns0:c>
      <ns0:c r="E34" s="16">
        <ns0:f>A34*('前提と出典'!$C$36*'契約別単価'!E5+'前提と出典'!$C$37*'契約別単価'!E6+'前提と出典'!$C$38*'契約別単価'!E7)</ns0:f>
        <ns0:v>75416.1876972274</ns0:v>
      </ns0:c>
      <ns0:c r="F34" s="16">
        <ns0:f>A34*('前提と出典'!$C$36*'契約別単価'!F5+'前提と出典'!$C$37*'契約別単価'!F6+'前提と出典'!$C$38*'契約別単価'!F7)</ns0:f>
        <ns0:v>21914.016395863746</ns0:v>
      </ns0:c>
      <ns0:c r="G34" s="16">
        <ns0:f>A34*('前提と出典'!$C$36*'契約別単価'!G5+'前提と出典'!$C$37*'契約別単価'!G6+'前提と出典'!$C$38*'契約別単価'!G7)</ns0:f>
        <ns0:v>59715.08379888268</ns0:v>
      </ns0:c>
      <ns0:c r="H34" s="16">
        <ns0:f>A34*('前提と出典'!$C$36*'契約別単価'!H5+'前提と出典'!$C$37*'契約別単価'!H6+'前提と出典'!$C$38*'契約別単価'!H7)</ns0:f>
        <ns0:v>20724.12902501333</ns0:v>
      </ns0:c>
      <ns0:c r="I34" s="16">
        <ns0:f>A34*('前提と出典'!$C$36*'契約別単価'!I5+'前提と出典'!$C$37*'契約別単価'!I6+'前提と出典'!$C$38*'契約別単価'!I7)</ns0:f>
        <ns0:v>1265.8659217877093</ns0:v>
      </ns0:c>
      <ns0:c r="J34" s="16">
        <ns0:f>A34*('前提と出典'!$C$36*'契約別単価'!J5+'前提と出典'!$C$37*'契約別単価'!J6+'前提と出典'!$C$38*'契約別単価'!J7)</ns0:f>
        <ns0:v>2948.686311309077</ns0:v>
      </ns0:c>
      <ns0:c r="K34" s="16">
        <ns0:f>A34*('前提と出典'!$C$36*'契約別単価'!K5+'前提と出典'!$C$37*'契約別単価'!K6+'前提と出典'!$C$38*'契約別単価'!K7)</ns0:f>
        <ns0:v>12639.106145251395</ns0:v>
      </ns0:c>
      <ns0:c r="L34" s="16">
        <ns0:f>A34*('前提と出典'!$C$36*'契約別単価'!L5+'前提と出典'!$C$37*'契約別単価'!L6+'前提と出典'!$C$38*'契約別単価'!L7)</ns0:f>
        <ns0:v>10290.804300833777</ns0:v>
      </ns0:c>
      <ns0:c r="M34" s="16">
        <ns0:f>IF(('前提と出典'!$C$36+'前提と出典'!$C$38)=0,0,IF(B34&lt;=10,'前提と出典'!B73+'前提と出典'!C73,IF(B34&lt;=100,'前提と出典'!B74+'前提と出典'!C74,IF(B34&lt;=500,'前提と出典'!B75+'前提と出典'!C75,'前提と出典'!B76+'前提と出典'!C76))))</ns0:f>
        <ns0:v>20000</ns0:v>
      </ns0:c>
      <ns0:c r="N34" s="16">
        <ns0:f>IF(('前提と出典'!$C$37+'前提と出典'!$C$38)=0,0,IF(C34&lt;=10,'前提と出典'!D73+'前提と出典'!E73,IF(C34&lt;=100,'前提と出典'!D74+'前提と出典'!E74,IF(C34&lt;=500,'前提と出典'!D75+'前提と出典'!E75,'前提と出典'!D76+'前提と出典'!E76))))</ns0:f>
        <ns0:v>34510.9346263078</ns0:v>
      </ns0:c>
      <ns0:c r="O34" s="16">
        <ns0:f>IF('前提と出典'!$C$36+'前提と出典'!$C$38=0,0,'前提と出典'!$B$4*IF('前提と出典'!$B$20=0,MAX('前提と出典'!$B$6,D34*'前提と出典'!$B$5),'前提と出典'!$B$6+D34*'前提と出典'!$B$5))</ns0:f>
        <ns0:v>29789.497206703913</ns0:v>
      </ns0:c>
      <ns0:c r="P34" s="16">
        <ns0:f>(E34+G34)*(1-'前提と出典'!$B$7)-I34-K34-M34-O34</ns0:f>
        <ns0:v>66572.0764485071</ns0:v>
      </ns0:c>
      <ns0:c r="Q34" s="16">
        <ns0:f>(F34+H34)*(1-'前提と出典'!$B$7)-J34-L34-N34</ns0:f>
        <ns0:v>-6647.253052725151</ns0:v>
      </ns0:c>
      <ns0:c r="R34" s="16">
        <ns0:f>P34-E34*'前提と出典'!$E$4</ns0:f>
        <ns0:v>43947.220139338875</ns0:v>
      </ns0:c>
      <ns0:c r="S34" s="16">
        <ns0:f>Q34-F34*'前提と出典'!$E$4</ns0:f>
        <ns0:v>-13221.45797148428</ns0:v>
      </ns0:c>
      <ns0:c r="T34" s="7">
        <ns0:f>R34+S34</ns0:f>
        <ns0:v>30725.762167854595</ns0:v>
      </ns0:c>
      <ns0:c r="U34" s="16">
        <ns0:f>P34-E34*'前提と出典'!$E$5</ns0:f>
        <ns0:v>36405.60136961613</ns0:v>
      </ns0:c>
      <ns0:c r="V34" s="16">
        <ns0:f>Q34-F34*'前提と出典'!$E$5</ns0:f>
        <ns0:v>-15412.85961107065</ns0:v>
      </ns0:c>
      <ns0:c r="W34" s="7">
        <ns0:f>U34+V34</ns0:f>
        <ns0:v>20992.741758545482</ns0:v>
      </ns0:c>
      <ns0:c r="X34" s="16">
        <ns0:f>P34-E34*'前提と出典'!$E$6</ns0:f>
        <ns0:v>28863.98259989339</ns0:v>
      </ns0:c>
      <ns0:c r="Y34" s="16">
        <ns0:f>Q34-F34*'前提と出典'!$E$6</ns0:f>
        <ns0:v>-17604.261250657022</ns0:v>
      </ns0:c>
      <ns0:c r="Z34" s="7">
        <ns0:f>X34+Y34</ns0:f>
        <ns0:v>11259.721349236366</ns0:v>
      </ns0:c>
      <ns0:c r="AA34" s="7">
        <ns0:f>IF(T34&gt;=0,A34,1001)</ns0:f>
        <ns0:v>30</ns0:v>
      </ns0:c>
      <ns0:c r="AB34" s="7">
        <ns0:f>IF(T34&lt;0,A34,0)</ns0:f>
        <ns0:v>0</ns0:v>
      </ns0:c>
      <ns0:c r="AC34" s="16">
        <ns0:f>IF(AND(OR('前提と出典'!$C$36+'前提と出典'!$C$38=0,R34&gt;=0),OR('前提と出典'!$C$37+'前提と出典'!$C$38=0,S34&gt;=0)),0,A34)</ns0:f>
        <ns0:v>30</ns0:v>
      </ns0:c>
      <ns0:c r="AD34" s="7">
        <ns0:f>IF(W34&gt;=0,A34,1001)</ns0:f>
        <ns0:v>30</ns0:v>
      </ns0:c>
      <ns0:c r="AE34" s="7">
        <ns0:f>IF(W34&lt;0,A34,0)</ns0:f>
        <ns0:v>0</ns0:v>
      </ns0:c>
      <ns0:c r="AF34" s="16">
        <ns0:f>IF(AND(OR('前提と出典'!$C$36+'前提と出典'!$C$38=0,U34&gt;=0),OR('前提と出典'!$C$37+'前提と出典'!$C$38=0,V34&gt;=0)),0,A34)</ns0:f>
        <ns0:v>30</ns0:v>
      </ns0:c>
      <ns0:c r="AG34" s="7">
        <ns0:f>IF(Z34&gt;=0,A34,1001)</ns0:f>
        <ns0:v>30</ns0:v>
      </ns0:c>
      <ns0:c r="AH34" s="4">
        <ns0:f>IF(Z34&lt;0,A34,0)</ns0:f>
        <ns0:v>0</ns0:v>
      </ns0:c>
      <ns0:c r="AI34" s="12">
        <ns0:f>IF(AND(OR('前提と出典'!$C$36+'前提と出典'!$C$38=0,X34&gt;=0),OR('前提と出典'!$C$37+'前提と出典'!$C$38=0,Y34&gt;=0)),0,A34)</ns0:f>
        <ns0:v>30</ns0:v>
      </ns0:c>
    </ns0:row>
    <ns0:row r="35" ht="24" customHeight="1">
      <ns0:c r="A35" s="4" t="n">
        <ns0:v>31</ns0:v>
      </ns0:c>
      <ns0:c r="B35" s="12">
        <ns0:f>A35*('前提と出典'!$C$36+'前提と出典'!$C$38)</ns0:f>
        <ns0:v>21.7</ns0:v>
      </ns0:c>
      <ns0:c r="C35" s="12">
        <ns0:f>A35*('前提と出典'!$C$37+'前提と出典'!$C$38)</ns0:f>
        <ns0:v>18.599999999999998</ns0:v>
      </ns0:c>
      <ns0:c r="D35" s="16">
        <ns0:f>A35*('前提と出典'!$C$36*'契約別単価'!C5+'前提と出典'!$C$37*'契約別単価'!C6+'前提と出典'!$C$38*'契約別単価'!C7)</ns0:f>
        <ns0:v>223.0614525139665</ns0:v>
      </ns0:c>
      <ns0:c r="E35" s="16">
        <ns0:f>A35*('前提と出典'!$C$36*'契約別単価'!E5+'前提と出典'!$C$37*'契約別単価'!E6+'前提と出典'!$C$38*'契約別単価'!E7)</ns0:f>
        <ns0:v>77930.06062046831</ns0:v>
      </ns0:c>
      <ns0:c r="F35" s="16">
        <ns0:f>A35*('前提と出典'!$C$36*'契約別単価'!F5+'前提と出典'!$C$37*'契約別単価'!F6+'前提と出典'!$C$38*'契約別単価'!F7)</ns0:f>
        <ns0:v>22644.483609059203</ns0:v>
      </ns0:c>
      <ns0:c r="G35" s="16">
        <ns0:f>A35*('前提と出典'!$C$36*'契約別単価'!G5+'前提と出典'!$C$37*'契約別単価'!G6+'前提と出典'!$C$38*'契約別単価'!G7)</ns0:f>
        <ns0:v>61705.58659217877</ns0:v>
      </ns0:c>
      <ns0:c r="H35" s="16">
        <ns0:f>A35*('前提と出典'!$C$36*'契約別単価'!H5+'前提と出典'!$C$37*'契約別単価'!H6+'前提と出典'!$C$38*'契約別単価'!H7)</ns0:f>
        <ns0:v>21414.93332584711</ns0:v>
      </ns0:c>
      <ns0:c r="I35" s="16">
        <ns0:f>A35*('前提と出典'!$C$36*'契約別単価'!I5+'前提と出典'!$C$37*'契約別単価'!I6+'前提と出典'!$C$38*'契約別単価'!I7)</ns0:f>
        <ns0:v>1308.0614525139663</ns0:v>
      </ns0:c>
      <ns0:c r="J35" s="16">
        <ns0:f>A35*('前提と出典'!$C$36*'契約別単価'!J5+'前提と出典'!$C$37*'契約別単価'!J6+'前提と出典'!$C$38*'契約別単価'!J7)</ns0:f>
        <ns0:v>3046.9758550193797</ns0:v>
      </ns0:c>
      <ns0:c r="K35" s="16">
        <ns0:f>A35*('前提と出典'!$C$36*'契約別単価'!K5+'前提と出典'!$C$37*'契約別単価'!K6+'前提と出典'!$C$38*'契約別単価'!K7)</ns0:f>
        <ns0:v>13060.409683426442</ns0:v>
      </ns0:c>
      <ns0:c r="L35" s="16">
        <ns0:f>A35*('前提と出典'!$C$36*'契約別単価'!L5+'前提と出典'!$C$37*'契約別単価'!L6+'前提と出典'!$C$38*'契約別単価'!L7)</ns0:f>
        <ns0:v>10633.83111086157</ns0:v>
      </ns0:c>
      <ns0:c r="M35" s="16">
        <ns0:f>IF(('前提と出典'!$C$36+'前提と出典'!$C$38)=0,0,IF(B35&lt;=10,'前提と出典'!B73+'前提と出典'!C73,IF(B35&lt;=100,'前提と出典'!B74+'前提と出典'!C74,IF(B35&lt;=500,'前提と出典'!B75+'前提と出典'!C75,'前提と出典'!B76+'前提と出典'!C76))))</ns0:f>
        <ns0:v>20000</ns0:v>
      </ns0:c>
      <ns0:c r="N35" s="16">
        <ns0:f>IF(('前提と出典'!$C$37+'前提と出典'!$C$38)=0,0,IF(C35&lt;=10,'前提と出典'!D73+'前提と出典'!E73,IF(C35&lt;=100,'前提と出典'!D74+'前提と出典'!E74,IF(C35&lt;=500,'前提と出典'!D75+'前提と出典'!E75,'前提と出典'!D76+'前提と出典'!E76))))</ns0:f>
        <ns0:v>34510.9346263078</ns0:v>
      </ns0:c>
      <ns0:c r="O35" s="16">
        <ns0:f>IF('前提と出典'!$C$36+'前提と出典'!$C$38=0,0,'前提と出典'!$B$4*IF('前提と出典'!$B$20=0,MAX('前提と出典'!$B$6,D35*'前提と出典'!$B$5),'前提と出典'!$B$6+D35*'前提と出典'!$B$5))</ns0:f>
        <ns0:v>30782.480446927377</ns0:v>
      </ns0:c>
      <ns0:c r="P35" s="16">
        <ns0:f>(E35+G35)*(1-'前提と出典'!$B$7)-I35-K35-M35-O35</ns0:f>
        <ns0:v>69457.812330124</ns0:v>
      </ns0:c>
      <ns0:c r="Q35" s="16">
        <ns0:f>(F35+H35)*(1-'前提と出典'!$B$7)-J35-L35-N35</ns0:f>
        <ns0:v>-5718.463666939058</ns0:v>
      </ns0:c>
      <ns0:c r="R35" s="16">
        <ns0:f>P35-E35*'前提と出典'!$E$4</ns0:f>
        <ns0:v>46078.7941439835</ns0:v>
      </ns0:c>
      <ns0:c r="S35" s="16">
        <ns0:f>Q35-F35*'前提と出典'!$E$4</ns0:f>
        <ns0:v>-12511.808749656815</ns0:v>
      </ns0:c>
      <ns0:c r="T35" s="7">
        <ns0:f>R35+S35</ns0:f>
        <ns0:v>33566.98539432668</ns0:v>
      </ns0:c>
      <ns0:c r="U35" s="16">
        <ns0:f>P35-E35*'前提と出典'!$E$5</ns0:f>
        <ns0:v>38285.78808193667</ns0:v>
      </ns0:c>
      <ns0:c r="V35" s="16">
        <ns0:f>Q35-F35*'前提と出典'!$E$5</ns0:f>
        <ns0:v>-14776.25711056274</ns0:v>
      </ns0:c>
      <ns0:c r="W35" s="7">
        <ns0:f>U35+V35</ns0:f>
        <ns0:v>23509.53097137393</ns0:v>
      </ns0:c>
      <ns0:c r="X35" s="16">
        <ns0:f>P35-E35*'前提と出典'!$E$6</ns0:f>
        <ns0:v>30492.782019889844</ns0:v>
      </ns0:c>
      <ns0:c r="Y35" s="16">
        <ns0:f>Q35-F35*'前提と出典'!$E$6</ns0:f>
        <ns0:v>-17040.70547146866</ns0:v>
      </ns0:c>
      <ns0:c r="Z35" s="7">
        <ns0:f>X35+Y35</ns0:f>
        <ns0:v>13452.076548421184</ns0:v>
      </ns0:c>
      <ns0:c r="AA35" s="7">
        <ns0:f>IF(T35&gt;=0,A35,1001)</ns0:f>
        <ns0:v>31</ns0:v>
      </ns0:c>
      <ns0:c r="AB35" s="7">
        <ns0:f>IF(T35&lt;0,A35,0)</ns0:f>
        <ns0:v>0</ns0:v>
      </ns0:c>
      <ns0:c r="AC35" s="16">
        <ns0:f>IF(AND(OR('前提と出典'!$C$36+'前提と出典'!$C$38=0,R35&gt;=0),OR('前提と出典'!$C$37+'前提と出典'!$C$38=0,S35&gt;=0)),0,A35)</ns0:f>
        <ns0:v>31</ns0:v>
      </ns0:c>
      <ns0:c r="AD35" s="7">
        <ns0:f>IF(W35&gt;=0,A35,1001)</ns0:f>
        <ns0:v>31</ns0:v>
      </ns0:c>
      <ns0:c r="AE35" s="7">
        <ns0:f>IF(W35&lt;0,A35,0)</ns0:f>
        <ns0:v>0</ns0:v>
      </ns0:c>
      <ns0:c r="AF35" s="16">
        <ns0:f>IF(AND(OR('前提と出典'!$C$36+'前提と出典'!$C$38=0,U35&gt;=0),OR('前提と出典'!$C$37+'前提と出典'!$C$38=0,V35&gt;=0)),0,A35)</ns0:f>
        <ns0:v>31</ns0:v>
      </ns0:c>
      <ns0:c r="AG35" s="7">
        <ns0:f>IF(Z35&gt;=0,A35,1001)</ns0:f>
        <ns0:v>31</ns0:v>
      </ns0:c>
      <ns0:c r="AH35" s="4">
        <ns0:f>IF(Z35&lt;0,A35,0)</ns0:f>
        <ns0:v>0</ns0:v>
      </ns0:c>
      <ns0:c r="AI35" s="12">
        <ns0:f>IF(AND(OR('前提と出典'!$C$36+'前提と出典'!$C$38=0,X35&gt;=0),OR('前提と出典'!$C$37+'前提と出典'!$C$38=0,Y35&gt;=0)),0,A35)</ns0:f>
        <ns0:v>31</ns0:v>
      </ns0:c>
    </ns0:row>
    <ns0:row r="36" ht="24" customHeight="1">
      <ns0:c r="A36" s="4" t="n">
        <ns0:v>32</ns0:v>
      </ns0:c>
      <ns0:c r="B36" s="12">
        <ns0:f>A36*('前提と出典'!$C$36+'前提と出典'!$C$38)</ns0:f>
        <ns0:v>22.4</ns0:v>
      </ns0:c>
      <ns0:c r="C36" s="12">
        <ns0:f>A36*('前提と出典'!$C$37+'前提と出典'!$C$38)</ns0:f>
        <ns0:v>19.2</ns0:v>
      </ns0:c>
      <ns0:c r="D36" s="16">
        <ns0:f>A36*('前提と出典'!$C$36*'契約別単価'!C5+'前提と出典'!$C$37*'契約別単価'!C6+'前提と出典'!$C$38*'契約別単価'!C7)</ns0:f>
        <ns0:v>230.25698324022346</ns0:v>
      </ns0:c>
      <ns0:c r="E36" s="16">
        <ns0:f>A36*('前提と出典'!$C$36*'契約別単価'!E5+'前提と出典'!$C$37*'契約別単価'!E6+'前提と出典'!$C$38*'契約別単価'!E7)</ns0:f>
        <ns0:v>80443.93354370922</ns0:v>
      </ns0:c>
      <ns0:c r="F36" s="16">
        <ns0:f>A36*('前提と出典'!$C$36*'契約別単価'!F5+'前提と出典'!$C$37*'契約別単価'!F6+'前提と出典'!$C$38*'契約別単価'!F7)</ns0:f>
        <ns0:v>23374.95082225466</ns0:v>
      </ns0:c>
      <ns0:c r="G36" s="16">
        <ns0:f>A36*('前提と出典'!$C$36*'契約別単価'!G5+'前提と出典'!$C$37*'契約別単価'!G6+'前提と出典'!$C$38*'契約別単価'!G7)</ns0:f>
        <ns0:v>63696.08938547486</ns0:v>
      </ns0:c>
      <ns0:c r="H36" s="16">
        <ns0:f>A36*('前提と出典'!$C$36*'契約別単価'!H5+'前提と出典'!$C$37*'契約別単価'!H6+'前提と出典'!$C$38*'契約別単価'!H7)</ns0:f>
        <ns0:v>22105.737626680886</ns0:v>
      </ns0:c>
      <ns0:c r="I36" s="16">
        <ns0:f>A36*('前提と出典'!$C$36*'契約別単価'!I5+'前提と出典'!$C$37*'契約別単価'!I6+'前提と出典'!$C$38*'契約別単価'!I7)</ns0:f>
        <ns0:v>1350.2569832402232</ns0:v>
      </ns0:c>
      <ns0:c r="J36" s="16">
        <ns0:f>A36*('前提と出典'!$C$36*'契約別単価'!J5+'前提と出典'!$C$37*'契約別単価'!J6+'前提と出典'!$C$38*'契約別単価'!J7)</ns0:f>
        <ns0:v>3145.265398729682</ns0:v>
      </ns0:c>
      <ns0:c r="K36" s="16">
        <ns0:f>A36*('前提と出典'!$C$36*'契約別単価'!K5+'前提と出典'!$C$37*'契約別単価'!K6+'前提と出典'!$C$38*'契約別単価'!K7)</ns0:f>
        <ns0:v>13481.713221601489</ns0:v>
      </ns0:c>
      <ns0:c r="L36" s="16">
        <ns0:f>A36*('前提と出典'!$C$36*'契約別単価'!L5+'前提と出典'!$C$37*'契約別単価'!L6+'前提と出典'!$C$38*'契約別単価'!L7)</ns0:f>
        <ns0:v>10976.857920889363</ns0:v>
      </ns0:c>
      <ns0:c r="M36" s="16">
        <ns0:f>IF(('前提と出典'!$C$36+'前提と出典'!$C$38)=0,0,IF(B36&lt;=10,'前提と出典'!B73+'前提と出典'!C73,IF(B36&lt;=100,'前提と出典'!B74+'前提と出典'!C74,IF(B36&lt;=500,'前提と出典'!B75+'前提と出典'!C75,'前提と出典'!B76+'前提と出典'!C76))))</ns0:f>
        <ns0:v>20000</ns0:v>
      </ns0:c>
      <ns0:c r="N36" s="16">
        <ns0:f>IF(('前提と出典'!$C$37+'前提と出典'!$C$38)=0,0,IF(C36&lt;=10,'前提と出典'!D73+'前提と出典'!E73,IF(C36&lt;=100,'前提と出典'!D74+'前提と出典'!E74,IF(C36&lt;=500,'前提と出典'!D75+'前提と出典'!E75,'前提と出典'!D76+'前提と出典'!E76))))</ns0:f>
        <ns0:v>34510.9346263078</ns0:v>
      </ns0:c>
      <ns0:c r="O36" s="16">
        <ns0:f>IF('前提と出典'!$C$36+'前提と出典'!$C$38=0,0,'前提と出典'!$B$4*IF('前提と出典'!$B$20=0,MAX('前提と出典'!$B$6,D36*'前提と出典'!$B$5),'前提と出典'!$B$6+D36*'前提と出典'!$B$5))</ns0:f>
        <ns0:v>31775.463687150837</ns0:v>
      </ns0:c>
      <ns0:c r="P36" s="16">
        <ns0:f>(E36+G36)*(1-'前提と出典'!$B$7)-I36-K36-M36-O36</ns0:f>
        <ns0:v>72343.54821174091</ns0:v>
      </ns0:c>
      <ns0:c r="Q36" s="16">
        <ns0:f>(F36+H36)*(1-'前提と出典'!$B$7)-J36-L36-N36</ns0:f>
        <ns0:v>-4789.674281152978</ns0:v>
      </ns0:c>
      <ns0:c r="R36" s="16">
        <ns0:f>P36-E36*'前提と出典'!$E$4</ns0:f>
        <ns0:v>48210.36814862813</ns0:v>
      </ns0:c>
      <ns0:c r="S36" s="16">
        <ns0:f>Q36-F36*'前提と出典'!$E$4</ns0:f>
        <ns0:v>-11802.159527829375</ns0:v>
      </ns0:c>
      <ns0:c r="T36" s="7">
        <ns0:f>R36+S36</ns0:f>
        <ns0:v>36408.20862079875</ns0:v>
      </ns0:c>
      <ns0:c r="U36" s="16">
        <ns0:f>P36-E36*'前提と出典'!$E$5</ns0:f>
        <ns0:v>40165.974794257214</ns0:v>
      </ns0:c>
      <ns0:c r="V36" s="16">
        <ns0:f>Q36-F36*'前提と出典'!$E$5</ns0:f>
        <ns0:v>-14139.654610054844</ns0:v>
      </ns0:c>
      <ns0:c r="W36" s="7">
        <ns0:f>U36+V36</ns0:f>
        <ns0:v>26026.32018420237</ns0:v>
      </ns0:c>
      <ns0:c r="X36" s="16">
        <ns0:f>P36-E36*'前提と出典'!$E$6</ns0:f>
        <ns0:v>32121.58143988629</ns0:v>
      </ns0:c>
      <ns0:c r="Y36" s="16">
        <ns0:f>Q36-F36*'前提と出典'!$E$6</ns0:f>
        <ns0:v>-16477.149692280305</ns0:v>
      </ns0:c>
      <ns0:c r="Z36" s="7">
        <ns0:f>X36+Y36</ns0:f>
        <ns0:v>15644.431747605984</ns0:v>
      </ns0:c>
      <ns0:c r="AA36" s="7">
        <ns0:f>IF(T36&gt;=0,A36,1001)</ns0:f>
        <ns0:v>32</ns0:v>
      </ns0:c>
      <ns0:c r="AB36" s="7">
        <ns0:f>IF(T36&lt;0,A36,0)</ns0:f>
        <ns0:v>0</ns0:v>
      </ns0:c>
      <ns0:c r="AC36" s="16">
        <ns0:f>IF(AND(OR('前提と出典'!$C$36+'前提と出典'!$C$38=0,R36&gt;=0),OR('前提と出典'!$C$37+'前提と出典'!$C$38=0,S36&gt;=0)),0,A36)</ns0:f>
        <ns0:v>32</ns0:v>
      </ns0:c>
      <ns0:c r="AD36" s="7">
        <ns0:f>IF(W36&gt;=0,A36,1001)</ns0:f>
        <ns0:v>32</ns0:v>
      </ns0:c>
      <ns0:c r="AE36" s="7">
        <ns0:f>IF(W36&lt;0,A36,0)</ns0:f>
        <ns0:v>0</ns0:v>
      </ns0:c>
      <ns0:c r="AF36" s="16">
        <ns0:f>IF(AND(OR('前提と出典'!$C$36+'前提と出典'!$C$38=0,U36&gt;=0),OR('前提と出典'!$C$37+'前提と出典'!$C$38=0,V36&gt;=0)),0,A36)</ns0:f>
        <ns0:v>32</ns0:v>
      </ns0:c>
      <ns0:c r="AG36" s="7">
        <ns0:f>IF(Z36&gt;=0,A36,1001)</ns0:f>
        <ns0:v>32</ns0:v>
      </ns0:c>
      <ns0:c r="AH36" s="4">
        <ns0:f>IF(Z36&lt;0,A36,0)</ns0:f>
        <ns0:v>0</ns0:v>
      </ns0:c>
      <ns0:c r="AI36" s="12">
        <ns0:f>IF(AND(OR('前提と出典'!$C$36+'前提と出典'!$C$38=0,X36&gt;=0),OR('前提と出典'!$C$37+'前提と出典'!$C$38=0,Y36&gt;=0)),0,A36)</ns0:f>
        <ns0:v>32</ns0:v>
      </ns0:c>
    </ns0:row>
    <ns0:row r="37" ht="24" customHeight="1">
      <ns0:c r="A37" s="4" t="n">
        <ns0:v>33</ns0:v>
      </ns0:c>
      <ns0:c r="B37" s="12">
        <ns0:f>A37*('前提と出典'!$C$36+'前提と出典'!$C$38)</ns0:f>
        <ns0:v>23.099999999999998</ns0:v>
      </ns0:c>
      <ns0:c r="C37" s="12">
        <ns0:f>A37*('前提と出典'!$C$37+'前提と出典'!$C$38)</ns0:f>
        <ns0:v>19.8</ns0:v>
      </ns0:c>
      <ns0:c r="D37" s="16">
        <ns0:f>A37*('前提と出典'!$C$36*'契約別単価'!C5+'前提と出典'!$C$37*'契約別単価'!C6+'前提と出典'!$C$38*'契約別単価'!C7)</ns0:f>
        <ns0:v>237.45251396648044</ns0:v>
      </ns0:c>
      <ns0:c r="E37" s="16">
        <ns0:f>A37*('前提と出典'!$C$36*'契約別単価'!E5+'前提と出典'!$C$37*'契約別単価'!E6+'前提と出典'!$C$38*'契約別単価'!E7)</ns0:f>
        <ns0:v>82957.80646695013</ns0:v>
      </ns0:c>
      <ns0:c r="F37" s="16">
        <ns0:f>A37*('前提と出典'!$C$36*'契約別単価'!F5+'前提と出典'!$C$37*'契約別単価'!F6+'前提と出典'!$C$38*'契約別単価'!F7)</ns0:f>
        <ns0:v>24105.41803545012</ns0:v>
      </ns0:c>
      <ns0:c r="G37" s="16">
        <ns0:f>A37*('前提と出典'!$C$36*'契約別単価'!G5+'前提と出典'!$C$37*'契約別単価'!G6+'前提と出典'!$C$38*'契約別単価'!G7)</ns0:f>
        <ns0:v>65686.59217877095</ns0:v>
      </ns0:c>
      <ns0:c r="H37" s="16">
        <ns0:f>A37*('前提と出典'!$C$36*'契約別単価'!H5+'前提と出典'!$C$37*'契約別単価'!H6+'前提と出典'!$C$38*'契約別単価'!H7)</ns0:f>
        <ns0:v>22796.541927514663</ns0:v>
      </ns0:c>
      <ns0:c r="I37" s="16">
        <ns0:f>A37*('前提と出典'!$C$36*'契約別単価'!I5+'前提と出典'!$C$37*'契約別単価'!I6+'前提と出典'!$C$38*'契約別単価'!I7)</ns0:f>
        <ns0:v>1392.4525139664802</ns0:v>
      </ns0:c>
      <ns0:c r="J37" s="16">
        <ns0:f>A37*('前提と出典'!$C$36*'契約別単価'!J5+'前提と出典'!$C$37*'契約別単価'!J6+'前提と出典'!$C$38*'契約別単価'!J7)</ns0:f>
        <ns0:v>3243.5549424399846</ns0:v>
      </ns0:c>
      <ns0:c r="K37" s="16">
        <ns0:f>A37*('前提と出典'!$C$36*'契約別単価'!K5+'前提と出典'!$C$37*'契約別単価'!K6+'前提と出典'!$C$38*'契約別単価'!K7)</ns0:f>
        <ns0:v>13903.016759776536</ns0:v>
      </ns0:c>
      <ns0:c r="L37" s="16">
        <ns0:f>A37*('前提と出典'!$C$36*'契約別単価'!L5+'前提と出典'!$C$37*'契約別単価'!L6+'前提と出典'!$C$38*'契約別単価'!L7)</ns0:f>
        <ns0:v>11319.884730917154</ns0:v>
      </ns0:c>
      <ns0:c r="M37" s="16">
        <ns0:f>IF(('前提と出典'!$C$36+'前提と出典'!$C$38)=0,0,IF(B37&lt;=10,'前提と出典'!B73+'前提と出典'!C73,IF(B37&lt;=100,'前提と出典'!B74+'前提と出典'!C74,IF(B37&lt;=500,'前提と出典'!B75+'前提と出典'!C75,'前提と出典'!B76+'前提と出典'!C76))))</ns0:f>
        <ns0:v>20000</ns0:v>
      </ns0:c>
      <ns0:c r="N37" s="16">
        <ns0:f>IF(('前提と出典'!$C$37+'前提と出典'!$C$38)=0,0,IF(C37&lt;=10,'前提と出典'!D73+'前提と出典'!E73,IF(C37&lt;=100,'前提と出典'!D74+'前提と出典'!E74,IF(C37&lt;=500,'前提と出典'!D75+'前提と出典'!E75,'前提と出典'!D76+'前提と出典'!E76))))</ns0:f>
        <ns0:v>34510.9346263078</ns0:v>
      </ns0:c>
      <ns0:c r="O37" s="16">
        <ns0:f>IF('前提と出典'!$C$36+'前提と出典'!$C$38=0,0,'前提と出典'!$B$4*IF('前提と出典'!$B$20=0,MAX('前提と出典'!$B$6,D37*'前提と出典'!$B$5),'前提と出典'!$B$6+D37*'前提と出典'!$B$5))</ns0:f>
        <ns0:v>32768.4469273743</ns0:v>
      </ns0:c>
      <ns0:c r="P37" s="16">
        <ns0:f>(E37+G37)*(1-'前提と出典'!$B$7)-I37-K37-M37-O37</ns0:f>
        <ns0:v>75229.28409335781</ns0:v>
      </ns0:c>
      <ns0:c r="Q37" s="16">
        <ns0:f>(F37+H37)*(1-'前提と出典'!$B$7)-J37-L37-N37</ns0:f>
        <ns0:v>-3860.8848953668858</ns0:v>
      </ns0:c>
      <ns0:c r="R37" s="16">
        <ns0:f>P37-E37*'前提と出典'!$E$4</ns0:f>
        <ns0:v>50341.94215327277</ns0:v>
      </ns0:c>
      <ns0:c r="S37" s="16">
        <ns0:f>Q37-F37*'前提と出典'!$E$4</ns0:f>
        <ns0:v>-11092.510306001925</ns0:v>
      </ns0:c>
      <ns0:c r="T37" s="7">
        <ns0:f>R37+S37</ns0:f>
        <ns0:v>39249.43184727085</ns0:v>
      </ns0:c>
      <ns0:c r="U37" s="16">
        <ns0:f>P37-E37*'前提と出典'!$E$5</ns0:f>
        <ns0:v>42046.16150657776</ns0:v>
      </ns0:c>
      <ns0:c r="V37" s="16">
        <ns0:f>Q37-F37*'前提と出典'!$E$5</ns0:f>
        <ns0:v>-13503.052109546934</ns0:v>
      </ns0:c>
      <ns0:c r="W37" s="7">
        <ns0:f>U37+V37</ns0:f>
        <ns0:v>28543.109397030825</ns0:v>
      </ns0:c>
      <ns0:c r="X37" s="16">
        <ns0:f>P37-E37*'前提と出典'!$E$6</ns0:f>
        <ns0:v>33750.380859882745</ns0:v>
      </ns0:c>
      <ns0:c r="Y37" s="16">
        <ns0:f>Q37-F37*'前提と出典'!$E$6</ns0:f>
        <ns0:v>-15913.59391309194</ns0:v>
      </ns0:c>
      <ns0:c r="Z37" s="7">
        <ns0:f>X37+Y37</ns0:f>
        <ns0:v>17836.786946790806</ns0:v>
      </ns0:c>
      <ns0:c r="AA37" s="7">
        <ns0:f>IF(T37&gt;=0,A37,1001)</ns0:f>
        <ns0:v>33</ns0:v>
      </ns0:c>
      <ns0:c r="AB37" s="7">
        <ns0:f>IF(T37&lt;0,A37,0)</ns0:f>
        <ns0:v>0</ns0:v>
      </ns0:c>
      <ns0:c r="AC37" s="16">
        <ns0:f>IF(AND(OR('前提と出典'!$C$36+'前提と出典'!$C$38=0,R37&gt;=0),OR('前提と出典'!$C$37+'前提と出典'!$C$38=0,S37&gt;=0)),0,A37)</ns0:f>
        <ns0:v>33</ns0:v>
      </ns0:c>
      <ns0:c r="AD37" s="7">
        <ns0:f>IF(W37&gt;=0,A37,1001)</ns0:f>
        <ns0:v>33</ns0:v>
      </ns0:c>
      <ns0:c r="AE37" s="7">
        <ns0:f>IF(W37&lt;0,A37,0)</ns0:f>
        <ns0:v>0</ns0:v>
      </ns0:c>
      <ns0:c r="AF37" s="16">
        <ns0:f>IF(AND(OR('前提と出典'!$C$36+'前提と出典'!$C$38=0,U37&gt;=0),OR('前提と出典'!$C$37+'前提と出典'!$C$38=0,V37&gt;=0)),0,A37)</ns0:f>
        <ns0:v>33</ns0:v>
      </ns0:c>
      <ns0:c r="AG37" s="7">
        <ns0:f>IF(Z37&gt;=0,A37,1001)</ns0:f>
        <ns0:v>33</ns0:v>
      </ns0:c>
      <ns0:c r="AH37" s="4">
        <ns0:f>IF(Z37&lt;0,A37,0)</ns0:f>
        <ns0:v>0</ns0:v>
      </ns0:c>
      <ns0:c r="AI37" s="12">
        <ns0:f>IF(AND(OR('前提と出典'!$C$36+'前提と出典'!$C$38=0,X37&gt;=0),OR('前提と出典'!$C$37+'前提と出典'!$C$38=0,Y37&gt;=0)),0,A37)</ns0:f>
        <ns0:v>33</ns0:v>
      </ns0:c>
    </ns0:row>
    <ns0:row r="38" ht="24" customHeight="1">
      <ns0:c r="A38" s="4" t="n">
        <ns0:v>34</ns0:v>
      </ns0:c>
      <ns0:c r="B38" s="12">
        <ns0:f>A38*('前提と出典'!$C$36+'前提と出典'!$C$38)</ns0:f>
        <ns0:v>23.799999999999997</ns0:v>
      </ns0:c>
      <ns0:c r="C38" s="12">
        <ns0:f>A38*('前提と出典'!$C$37+'前提と出典'!$C$38)</ns0:f>
        <ns0:v>20.4</ns0:v>
      </ns0:c>
      <ns0:c r="D38" s="16">
        <ns0:f>A38*('前提と出典'!$C$36*'契約別単価'!C5+'前提と出典'!$C$37*'契約別単価'!C6+'前提と出典'!$C$38*'契約別単価'!C7)</ns0:f>
        <ns0:v>244.64804469273741</ns0:v>
      </ns0:c>
      <ns0:c r="E38" s="16">
        <ns0:f>A38*('前提と出典'!$C$36*'契約別単価'!E5+'前提と出典'!$C$37*'契約別単価'!E6+'前提と出典'!$C$38*'契約別単価'!E7)</ns0:f>
        <ns0:v>85471.67939019104</ns0:v>
      </ns0:c>
      <ns0:c r="F38" s="16">
        <ns0:f>A38*('前提と出典'!$C$36*'契約別単価'!F5+'前提と出典'!$C$37*'契約別単価'!F6+'前提と出典'!$C$38*'契約別単価'!F7)</ns0:f>
        <ns0:v>24835.885248645576</ns0:v>
      </ns0:c>
      <ns0:c r="G38" s="16">
        <ns0:f>A38*('前提と出典'!$C$36*'契約別単価'!G5+'前提と出典'!$C$37*'契約別単価'!G6+'前提と出典'!$C$38*'契約別単価'!G7)</ns0:f>
        <ns0:v>67677.09497206703</ns0:v>
      </ns0:c>
      <ns0:c r="H38" s="16">
        <ns0:f>A38*('前提と出典'!$C$36*'契約別単価'!H5+'前提と出典'!$C$37*'契約別単価'!H6+'前提と出典'!$C$38*'契約別単価'!H7)</ns0:f>
        <ns0:v>23487.34622834844</ns0:v>
      </ns0:c>
      <ns0:c r="I38" s="16">
        <ns0:f>A38*('前提と出典'!$C$36*'契約別単価'!I5+'前提と出典'!$C$37*'契約別単価'!I6+'前提と出典'!$C$38*'契約別単価'!I7)</ns0:f>
        <ns0:v>1434.6480446927371</ns0:v>
      </ns0:c>
      <ns0:c r="J38" s="16">
        <ns0:f>A38*('前提と出典'!$C$36*'契約別単価'!J5+'前提と出典'!$C$37*'契約別単価'!J6+'前提と出典'!$C$38*'契約別単価'!J7)</ns0:f>
        <ns0:v>3341.844486150287</ns0:v>
      </ns0:c>
      <ns0:c r="K38" s="16">
        <ns0:f>A38*('前提と出典'!$C$36*'契約別単価'!K5+'前提と出典'!$C$37*'契約別単価'!K6+'前提と出典'!$C$38*'契約別単価'!K7)</ns0:f>
        <ns0:v>14324.320297951583</ns0:v>
      </ns0:c>
      <ns0:c r="L38" s="16">
        <ns0:f>A38*('前提と出典'!$C$36*'契約別単価'!L5+'前提と出典'!$C$37*'契約別単価'!L6+'前提と出典'!$C$38*'契約別単価'!L7)</ns0:f>
        <ns0:v>11662.911540944948</ns0:v>
      </ns0:c>
      <ns0:c r="M38" s="16">
        <ns0:f>IF(('前提と出典'!$C$36+'前提と出典'!$C$38)=0,0,IF(B38&lt;=10,'前提と出典'!B73+'前提と出典'!C73,IF(B38&lt;=100,'前提と出典'!B74+'前提と出典'!C74,IF(B38&lt;=500,'前提と出典'!B75+'前提と出典'!C75,'前提と出典'!B76+'前提と出典'!C76))))</ns0:f>
        <ns0:v>20000</ns0:v>
      </ns0:c>
      <ns0:c r="N38" s="16">
        <ns0:f>IF(('前提と出典'!$C$37+'前提と出典'!$C$38)=0,0,IF(C38&lt;=10,'前提と出典'!D73+'前提と出典'!E73,IF(C38&lt;=100,'前提と出典'!D74+'前提と出典'!E74,IF(C38&lt;=500,'前提と出典'!D75+'前提と出典'!E75,'前提と出典'!D76+'前提と出典'!E76))))</ns0:f>
        <ns0:v>34510.9346263078</ns0:v>
      </ns0:c>
      <ns0:c r="O38" s="16">
        <ns0:f>IF('前提と出典'!$C$36+'前提と出典'!$C$38=0,0,'前提と出典'!$B$4*IF('前提と出典'!$B$20=0,MAX('前提と出典'!$B$6,D38*'前提と出典'!$B$5),'前提と出典'!$B$6+D38*'前提と出典'!$B$5))</ns0:f>
        <ns0:v>33761.43016759776</ns0:v>
      </ns0:c>
      <ns0:c r="P38" s="16">
        <ns0:f>(E38+G38)*(1-'前提と出典'!$B$7)-I38-K38-M38-O38</ns0:f>
        <ns0:v>78115.01997497471</ns0:v>
      </ns0:c>
      <ns0:c r="Q38" s="16">
        <ns0:f>(F38+H38)*(1-'前提と出典'!$B$7)-J38-L38-N38</ns0:f>
        <ns0:v>-2932.095509580804</ns0:v>
      </ns0:c>
      <ns0:c r="R38" s="16">
        <ns0:f>P38-E38*'前提と出典'!$E$4</ns0:f>
        <ns0:v>52473.51615791742</ns0:v>
      </ns0:c>
      <ns0:c r="S38" s="16">
        <ns0:f>Q38-F38*'前提と出典'!$E$4</ns0:f>
        <ns0:v>-10382.861084174478</ns0:v>
      </ns0:c>
      <ns0:c r="T38" s="7">
        <ns0:f>R38+S38</ns0:f>
        <ns0:v>42090.655073742935</ns0:v>
      </ns0:c>
      <ns0:c r="U38" s="16">
        <ns0:f>P38-E38*'前提と出典'!$E$5</ns0:f>
        <ns0:v>43926.3482188983</ns0:v>
      </ns0:c>
      <ns0:c r="V38" s="16">
        <ns0:f>Q38-F38*'前提と出典'!$E$5</ns0:f>
        <ns0:v>-12866.449609039035</ns0:v>
      </ns0:c>
      <ns0:c r="W38" s="7">
        <ns0:f>U38+V38</ns0:f>
        <ns0:v>31059.89860985927</ns0:v>
      </ns0:c>
      <ns0:c r="X38" s="16">
        <ns0:f>P38-E38*'前提と出典'!$E$6</ns0:f>
        <ns0:v>35379.180279879205</ns0:v>
      </ns0:c>
      <ns0:c r="Y38" s="16">
        <ns0:f>Q38-F38*'前提と出典'!$E$6</ns0:f>
        <ns0:v>-15350.038133903592</ns0:v>
      </ns0:c>
      <ns0:c r="Z38" s="7">
        <ns0:f>X38+Y38</ns0:f>
        <ns0:v>20029.142145975613</ns0:v>
      </ns0:c>
      <ns0:c r="AA38" s="7">
        <ns0:f>IF(T38&gt;=0,A38,1001)</ns0:f>
        <ns0:v>34</ns0:v>
      </ns0:c>
      <ns0:c r="AB38" s="7">
        <ns0:f>IF(T38&lt;0,A38,0)</ns0:f>
        <ns0:v>0</ns0:v>
      </ns0:c>
      <ns0:c r="AC38" s="16">
        <ns0:f>IF(AND(OR('前提と出典'!$C$36+'前提と出典'!$C$38=0,R38&gt;=0),OR('前提と出典'!$C$37+'前提と出典'!$C$38=0,S38&gt;=0)),0,A38)</ns0:f>
        <ns0:v>34</ns0:v>
      </ns0:c>
      <ns0:c r="AD38" s="7">
        <ns0:f>IF(W38&gt;=0,A38,1001)</ns0:f>
        <ns0:v>34</ns0:v>
      </ns0:c>
      <ns0:c r="AE38" s="7">
        <ns0:f>IF(W38&lt;0,A38,0)</ns0:f>
        <ns0:v>0</ns0:v>
      </ns0:c>
      <ns0:c r="AF38" s="16">
        <ns0:f>IF(AND(OR('前提と出典'!$C$36+'前提と出典'!$C$38=0,U38&gt;=0),OR('前提と出典'!$C$37+'前提と出典'!$C$38=0,V38&gt;=0)),0,A38)</ns0:f>
        <ns0:v>34</ns0:v>
      </ns0:c>
      <ns0:c r="AG38" s="7">
        <ns0:f>IF(Z38&gt;=0,A38,1001)</ns0:f>
        <ns0:v>34</ns0:v>
      </ns0:c>
      <ns0:c r="AH38" s="4">
        <ns0:f>IF(Z38&lt;0,A38,0)</ns0:f>
        <ns0:v>0</ns0:v>
      </ns0:c>
      <ns0:c r="AI38" s="12">
        <ns0:f>IF(AND(OR('前提と出典'!$C$36+'前提と出典'!$C$38=0,X38&gt;=0),OR('前提と出典'!$C$37+'前提と出典'!$C$38=0,Y38&gt;=0)),0,A38)</ns0:f>
        <ns0:v>34</ns0:v>
      </ns0:c>
    </ns0:row>
    <ns0:row r="39" ht="24" customHeight="1">
      <ns0:c r="A39" s="4" t="n">
        <ns0:v>35</ns0:v>
      </ns0:c>
      <ns0:c r="B39" s="12">
        <ns0:f>A39*('前提と出典'!$C$36+'前提と出典'!$C$38)</ns0:f>
        <ns0:v>24.5</ns0:v>
      </ns0:c>
      <ns0:c r="C39" s="12">
        <ns0:f>A39*('前提と出典'!$C$37+'前提と出典'!$C$38)</ns0:f>
        <ns0:v>21</ns0:v>
      </ns0:c>
      <ns0:c r="D39" s="16">
        <ns0:f>A39*('前提と出典'!$C$36*'契約別単価'!C5+'前提と出典'!$C$37*'契約別単価'!C6+'前提と出典'!$C$38*'契約別単価'!C7)</ns0:f>
        <ns0:v>251.84357541899442</ns0:v>
      </ns0:c>
      <ns0:c r="E39" s="16">
        <ns0:f>A39*('前提と出典'!$C$36*'契約別単価'!E5+'前提と出典'!$C$37*'契約別単価'!E6+'前提と出典'!$C$38*'契約別単価'!E7)</ns0:f>
        <ns0:v>87985.55231343197</ns0:v>
      </ns0:c>
      <ns0:c r="F39" s="16">
        <ns0:f>A39*('前提と出典'!$C$36*'契約別単価'!F5+'前提と出典'!$C$37*'契約別単価'!F6+'前提と出典'!$C$38*'契約別単価'!F7)</ns0:f>
        <ns0:v>25566.352461841034</ns0:v>
      </ns0:c>
      <ns0:c r="G39" s="16">
        <ns0:f>A39*('前提と出典'!$C$36*'契約別単価'!G5+'前提と出典'!$C$37*'契約別単価'!G6+'前提と出典'!$C$38*'契約別単価'!G7)</ns0:f>
        <ns0:v>69667.59776536313</ns0:v>
      </ns0:c>
      <ns0:c r="H39" s="16">
        <ns0:f>A39*('前提と出典'!$C$36*'契約別単価'!H5+'前提と出典'!$C$37*'契約別単価'!H6+'前提と出典'!$C$38*'契約別単価'!H7)</ns0:f>
        <ns0:v>24178.150529182218</ns0:v>
      </ns0:c>
      <ns0:c r="I39" s="16">
        <ns0:f>A39*('前提と出典'!$C$36*'契約別単価'!I5+'前提と出典'!$C$37*'契約別単価'!I6+'前提と出典'!$C$38*'契約別単価'!I7)</ns0:f>
        <ns0:v>1476.843575418994</ns0:v>
      </ns0:c>
      <ns0:c r="J39" s="16">
        <ns0:f>A39*('前提と出典'!$C$36*'契約別単価'!J5+'前提と出典'!$C$37*'契約別単価'!J6+'前提と出典'!$C$38*'契約別単価'!J7)</ns0:f>
        <ns0:v>3440.1340298605896</ns0:v>
      </ns0:c>
      <ns0:c r="K39" s="16">
        <ns0:f>A39*('前提と出典'!$C$36*'契約別単価'!K5+'前提と出典'!$C$37*'契約別単価'!K6+'前提と出典'!$C$38*'契約別単価'!K7)</ns0:f>
        <ns0:v>14745.623836126628</ns0:v>
      </ns0:c>
      <ns0:c r="L39" s="16">
        <ns0:f>A39*('前提と出典'!$C$36*'契約別単価'!L5+'前提と出典'!$C$37*'契約別単価'!L6+'前提と出典'!$C$38*'契約別単価'!L7)</ns0:f>
        <ns0:v>12005.93835097274</ns0:v>
      </ns0:c>
      <ns0:c r="M39" s="16">
        <ns0:f>IF(('前提と出典'!$C$36+'前提と出典'!$C$38)=0,0,IF(B39&lt;=10,'前提と出典'!B73+'前提と出典'!C73,IF(B39&lt;=100,'前提と出典'!B74+'前提と出典'!C74,IF(B39&lt;=500,'前提と出典'!B75+'前提と出典'!C75,'前提と出典'!B76+'前提と出典'!C76))))</ns0:f>
        <ns0:v>20000</ns0:v>
      </ns0:c>
      <ns0:c r="N39" s="16">
        <ns0:f>IF(('前提と出典'!$C$37+'前提と出典'!$C$38)=0,0,IF(C39&lt;=10,'前提と出典'!D73+'前提と出典'!E73,IF(C39&lt;=100,'前提と出典'!D74+'前提と出典'!E74,IF(C39&lt;=500,'前提と出典'!D75+'前提と出典'!E75,'前提と出典'!D76+'前提と出典'!E76))))</ns0:f>
        <ns0:v>34510.9346263078</ns0:v>
      </ns0:c>
      <ns0:c r="O39" s="16">
        <ns0:f>IF('前提と出典'!$C$36+'前提と出典'!$C$38=0,0,'前提と出典'!$B$4*IF('前提と出典'!$B$20=0,MAX('前提と出典'!$B$6,D39*'前提と出典'!$B$5),'前提と出典'!$B$6+D39*'前提と出典'!$B$5))</ns0:f>
        <ns0:v>34754.41340782123</ns0:v>
      </ns0:c>
      <ns0:c r="P39" s="16">
        <ns0:f>(E39+G39)*(1-'前提と出典'!$B$7)-I39-K39-M39-O39</ns0:f>
        <ns0:v>81000.7558565916</ns0:v>
      </ns0:c>
      <ns0:c r="Q39" s="16">
        <ns0:f>(F39+H39)*(1-'前提と出典'!$B$7)-J39-L39-N39</ns0:f>
        <ns0:v>-2003.306123794704</ns0:v>
      </ns0:c>
      <ns0:c r="R39" s="16">
        <ns0:f>P39-E39*'前提と出典'!$E$4</ns0:f>
        <ns0:v>54605.09016256201</ns0:v>
      </ns0:c>
      <ns0:c r="S39" s="16">
        <ns0:f>Q39-F39*'前提と出典'!$E$4</ns0:f>
        <ns0:v>-9673.211862347016</ns0:v>
      </ns0:c>
      <ns0:c r="T39" s="7">
        <ns0:f>R39+S39</ns0:f>
        <ns0:v>44931.878300214994</ns0:v>
      </ns0:c>
      <ns0:c r="U39" s="16">
        <ns0:f>P39-E39*'前提と出典'!$E$5</ns0:f>
        <ns0:v>45806.53493121881</ns0:v>
      </ns0:c>
      <ns0:c r="V39" s="16">
        <ns0:f>Q39-F39*'前提と出典'!$E$5</ns0:f>
        <ns0:v>-12229.847108531118</ns0:v>
      </ns0:c>
      <ns0:c r="W39" s="7">
        <ns0:f>U39+V39</ns0:f>
        <ns0:v>33576.687822687694</ns0:v>
      </ns0:c>
      <ns0:c r="X39" s="16">
        <ns0:f>P39-E39*'前提と出典'!$E$6</ns0:f>
        <ns0:v>37007.979699875614</ns0:v>
      </ns0:c>
      <ns0:c r="Y39" s="16">
        <ns0:f>Q39-F39*'前提と出典'!$E$6</ns0:f>
        <ns0:v>-14786.48235471522</ns0:v>
      </ns0:c>
      <ns0:c r="Z39" s="7">
        <ns0:f>X39+Y39</ns0:f>
        <ns0:v>22221.497345160395</ns0:v>
      </ns0:c>
      <ns0:c r="AA39" s="7">
        <ns0:f>IF(T39&gt;=0,A39,1001)</ns0:f>
        <ns0:v>35</ns0:v>
      </ns0:c>
      <ns0:c r="AB39" s="7">
        <ns0:f>IF(T39&lt;0,A39,0)</ns0:f>
        <ns0:v>0</ns0:v>
      </ns0:c>
      <ns0:c r="AC39" s="16">
        <ns0:f>IF(AND(OR('前提と出典'!$C$36+'前提と出典'!$C$38=0,R39&gt;=0),OR('前提と出典'!$C$37+'前提と出典'!$C$38=0,S39&gt;=0)),0,A39)</ns0:f>
        <ns0:v>35</ns0:v>
      </ns0:c>
      <ns0:c r="AD39" s="7">
        <ns0:f>IF(W39&gt;=0,A39,1001)</ns0:f>
        <ns0:v>35</ns0:v>
      </ns0:c>
      <ns0:c r="AE39" s="7">
        <ns0:f>IF(W39&lt;0,A39,0)</ns0:f>
        <ns0:v>0</ns0:v>
      </ns0:c>
      <ns0:c r="AF39" s="16">
        <ns0:f>IF(AND(OR('前提と出典'!$C$36+'前提と出典'!$C$38=0,U39&gt;=0),OR('前提と出典'!$C$37+'前提と出典'!$C$38=0,V39&gt;=0)),0,A39)</ns0:f>
        <ns0:v>35</ns0:v>
      </ns0:c>
      <ns0:c r="AG39" s="7">
        <ns0:f>IF(Z39&gt;=0,A39,1001)</ns0:f>
        <ns0:v>35</ns0:v>
      </ns0:c>
      <ns0:c r="AH39" s="4">
        <ns0:f>IF(Z39&lt;0,A39,0)</ns0:f>
        <ns0:v>0</ns0:v>
      </ns0:c>
      <ns0:c r="AI39" s="12">
        <ns0:f>IF(AND(OR('前提と出典'!$C$36+'前提と出典'!$C$38=0,X39&gt;=0),OR('前提と出典'!$C$37+'前提と出典'!$C$38=0,Y39&gt;=0)),0,A39)</ns0:f>
        <ns0:v>35</ns0:v>
      </ns0:c>
    </ns0:row>
    <ns0:row r="40" ht="24" customHeight="1">
      <ns0:c r="A40" s="4" t="n">
        <ns0:v>36</ns0:v>
      </ns0:c>
      <ns0:c r="B40" s="12">
        <ns0:f>A40*('前提と出典'!$C$36+'前提と出典'!$C$38)</ns0:f>
        <ns0:v>25.2</ns0:v>
      </ns0:c>
      <ns0:c r="C40" s="12">
        <ns0:f>A40*('前提と出典'!$C$37+'前提と出典'!$C$38)</ns0:f>
        <ns0:v>21.599999999999998</ns0:v>
      </ns0:c>
      <ns0:c r="D40" s="16">
        <ns0:f>A40*('前提と出典'!$C$36*'契約別単価'!C5+'前提と出典'!$C$37*'契約別単価'!C6+'前提と出典'!$C$38*'契約別単価'!C7)</ns0:f>
        <ns0:v>259.03910614525137</ns0:v>
      </ns0:c>
      <ns0:c r="E40" s="16">
        <ns0:f>A40*('前提と出典'!$C$36*'契約別単価'!E5+'前提と出典'!$C$37*'契約別単価'!E6+'前提と出典'!$C$38*'契約別単価'!E7)</ns0:f>
        <ns0:v>90499.42523667288</ns0:v>
      </ns0:c>
      <ns0:c r="F40" s="16">
        <ns0:f>A40*('前提と出典'!$C$36*'契約別単価'!F5+'前提と出典'!$C$37*'契約別単価'!F6+'前提と出典'!$C$38*'契約別単価'!F7)</ns0:f>
        <ns0:v>26296.819675036495</ns0:v>
      </ns0:c>
      <ns0:c r="G40" s="16">
        <ns0:f>A40*('前提と出典'!$C$36*'契約別単価'!G5+'前提と出典'!$C$37*'契約別単価'!G6+'前提と出典'!$C$38*'契約別単価'!G7)</ns0:f>
        <ns0:v>71658.10055865921</ns0:v>
      </ns0:c>
      <ns0:c r="H40" s="16">
        <ns0:f>A40*('前提と出典'!$C$36*'契約別単価'!H5+'前提と出典'!$C$37*'契約別単価'!H6+'前提と出典'!$C$38*'契約別単価'!H7)</ns0:f>
        <ns0:v>24868.954830015995</ns0:v>
      </ns0:c>
      <ns0:c r="I40" s="16">
        <ns0:f>A40*('前提と出典'!$C$36*'契約別単価'!I5+'前提と出典'!$C$37*'契約別単価'!I6+'前提と出典'!$C$38*'契約別単価'!I7)</ns0:f>
        <ns0:v>1519.039106145251</ns0:v>
      </ns0:c>
      <ns0:c r="J40" s="16">
        <ns0:f>A40*('前提と出典'!$C$36*'契約別単価'!J5+'前提と出典'!$C$37*'契約別単価'!J6+'前提と出典'!$C$38*'契約別単価'!J7)</ns0:f>
        <ns0:v>3538.4235735708926</ns0:v>
      </ns0:c>
      <ns0:c r="K40" s="16">
        <ns0:f>A40*('前提と出典'!$C$36*'契約別単価'!K5+'前提と出典'!$C$37*'契約別単価'!K6+'前提と出典'!$C$38*'契約別単価'!K7)</ns0:f>
        <ns0:v>15166.927374301675</ns0:v>
      </ns0:c>
      <ns0:c r="L40" s="16">
        <ns0:f>A40*('前提と出典'!$C$36*'契約別単価'!L5+'前提と出典'!$C$37*'契約別単価'!L6+'前提と出典'!$C$38*'契約別単価'!L7)</ns0:f>
        <ns0:v>12348.965161000533</ns0:v>
      </ns0:c>
      <ns0:c r="M40" s="16">
        <ns0:f>IF(('前提と出典'!$C$36+'前提と出典'!$C$38)=0,0,IF(B40&lt;=10,'前提と出典'!B73+'前提と出典'!C73,IF(B40&lt;=100,'前提と出典'!B74+'前提と出典'!C74,IF(B40&lt;=500,'前提と出典'!B75+'前提と出典'!C75,'前提と出典'!B76+'前提と出典'!C76))))</ns0:f>
        <ns0:v>20000</ns0:v>
      </ns0:c>
      <ns0:c r="N40" s="16">
        <ns0:f>IF(('前提と出典'!$C$37+'前提と出典'!$C$38)=0,0,IF(C40&lt;=10,'前提と出典'!D73+'前提と出典'!E73,IF(C40&lt;=100,'前提と出典'!D74+'前提と出典'!E74,IF(C40&lt;=500,'前提と出典'!D75+'前提と出典'!E75,'前提と出典'!D76+'前提と出典'!E76))))</ns0:f>
        <ns0:v>34510.9346263078</ns0:v>
      </ns0:c>
      <ns0:c r="O40" s="16">
        <ns0:f>IF('前提と出典'!$C$36+'前提と出典'!$C$38=0,0,'前提と出典'!$B$4*IF('前提と出典'!$B$20=0,MAX('前提と出典'!$B$6,D40*'前提と出典'!$B$5),'前提と出典'!$B$6+D40*'前提と出典'!$B$5))</ns0:f>
        <ns0:v>35747.39664804469</ns0:v>
      </ns0:c>
      <ns0:c r="P40" s="16">
        <ns0:f>(E40+G40)*(1-'前提と出典'!$B$7)-I40-K40-M40-O40</ns0:f>
        <ns0:v>83886.49173820851</ns0:v>
      </ns0:c>
      <ns0:c r="Q40" s="16">
        <ns0:f>(F40+H40)*(1-'前提と出典'!$B$7)-J40-L40-N40</ns0:f>
        <ns0:v>-1074.5167380086205</ns0:v>
      </ns0:c>
      <ns0:c r="R40" s="16">
        <ns0:f>P40-E40*'前提と出典'!$E$4</ns0:f>
        <ns0:v>56736.664167206654</ns0:v>
      </ns0:c>
      <ns0:c r="S40" s="16">
        <ns0:f>Q40-F40*'前提と出典'!$E$4</ns0:f>
        <ns0:v>-8963.562640519573</ns0:v>
      </ns0:c>
      <ns0:c r="T40" s="7">
        <ns0:f>R40+S40</ns0:f>
        <ns0:v>47773.10152668708</ns0:v>
      </ns0:c>
      <ns0:c r="U40" s="16">
        <ns0:f>P40-E40*'前提と出典'!$E$5</ns0:f>
        <ns0:v>47686.72164353936</ns0:v>
      </ns0:c>
      <ns0:c r="V40" s="16">
        <ns0:f>Q40-F40*'前提と出典'!$E$5</ns0:f>
        <ns0:v>-11593.244608023218</ns0:v>
      </ns0:c>
      <ns0:c r="W40" s="7">
        <ns0:f>U40+V40</ns0:f>
        <ns0:v>36093.47703551614</ns0:v>
      </ns0:c>
      <ns0:c r="X40" s="16">
        <ns0:f>P40-E40*'前提と出典'!$E$6</ns0:f>
        <ns0:v>38636.77911987209</ns0:v>
      </ns0:c>
      <ns0:c r="Y40" s="16">
        <ns0:f>Q40-F40*'前提と出典'!$E$6</ns0:f>
        <ns0:v>-14222.926575526864</ns0:v>
      </ns0:c>
      <ns0:c r="Z40" s="7">
        <ns0:f>X40+Y40</ns0:f>
        <ns0:v>24413.852544345224</ns0:v>
      </ns0:c>
      <ns0:c r="AA40" s="7">
        <ns0:f>IF(T40&gt;=0,A40,1001)</ns0:f>
        <ns0:v>36</ns0:v>
      </ns0:c>
      <ns0:c r="AB40" s="7">
        <ns0:f>IF(T40&lt;0,A40,0)</ns0:f>
        <ns0:v>0</ns0:v>
      </ns0:c>
      <ns0:c r="AC40" s="16">
        <ns0:f>IF(AND(OR('前提と出典'!$C$36+'前提と出典'!$C$38=0,R40&gt;=0),OR('前提と出典'!$C$37+'前提と出典'!$C$38=0,S40&gt;=0)),0,A40)</ns0:f>
        <ns0:v>36</ns0:v>
      </ns0:c>
      <ns0:c r="AD40" s="7">
        <ns0:f>IF(W40&gt;=0,A40,1001)</ns0:f>
        <ns0:v>36</ns0:v>
      </ns0:c>
      <ns0:c r="AE40" s="7">
        <ns0:f>IF(W40&lt;0,A40,0)</ns0:f>
        <ns0:v>0</ns0:v>
      </ns0:c>
      <ns0:c r="AF40" s="16">
        <ns0:f>IF(AND(OR('前提と出典'!$C$36+'前提と出典'!$C$38=0,U40&gt;=0),OR('前提と出典'!$C$37+'前提と出典'!$C$38=0,V40&gt;=0)),0,A40)</ns0:f>
        <ns0:v>36</ns0:v>
      </ns0:c>
      <ns0:c r="AG40" s="7">
        <ns0:f>IF(Z40&gt;=0,A40,1001)</ns0:f>
        <ns0:v>36</ns0:v>
      </ns0:c>
      <ns0:c r="AH40" s="4">
        <ns0:f>IF(Z40&lt;0,A40,0)</ns0:f>
        <ns0:v>0</ns0:v>
      </ns0:c>
      <ns0:c r="AI40" s="12">
        <ns0:f>IF(AND(OR('前提と出典'!$C$36+'前提と出典'!$C$38=0,X40&gt;=0),OR('前提と出典'!$C$37+'前提と出典'!$C$38=0,Y40&gt;=0)),0,A40)</ns0:f>
        <ns0:v>36</ns0:v>
      </ns0:c>
    </ns0:row>
    <ns0:row r="41" ht="24" customHeight="1">
      <ns0:c r="A41" s="4" t="n">
        <ns0:v>37</ns0:v>
      </ns0:c>
      <ns0:c r="B41" s="12">
        <ns0:f>A41*('前提と出典'!$C$36+'前提と出典'!$C$38)</ns0:f>
        <ns0:v>25.9</ns0:v>
      </ns0:c>
      <ns0:c r="C41" s="12">
        <ns0:f>A41*('前提と出典'!$C$37+'前提と出典'!$C$38)</ns0:f>
        <ns0:v>22.2</ns0:v>
      </ns0:c>
      <ns0:c r="D41" s="16">
        <ns0:f>A41*('前提と出典'!$C$36*'契約別単価'!C5+'前提と出典'!$C$37*'契約別単価'!C6+'前提と出典'!$C$38*'契約別単価'!C7)</ns0:f>
        <ns0:v>266.23463687150837</ns0:v>
      </ns0:c>
      <ns0:c r="E41" s="16">
        <ns0:f>A41*('前提と出典'!$C$36*'契約別単価'!E5+'前提と出典'!$C$37*'契約別単価'!E6+'前提と出典'!$C$38*'契約別単価'!E7)</ns0:f>
        <ns0:v>93013.29815991379</ns0:v>
      </ns0:c>
      <ns0:c r="F41" s="16">
        <ns0:f>A41*('前提と出典'!$C$36*'契約別単価'!F5+'前提と出典'!$C$37*'契約別単価'!F6+'前提と出典'!$C$38*'契約別単価'!F7)</ns0:f>
        <ns0:v>27027.286888231953</ns0:v>
      </ns0:c>
      <ns0:c r="G41" s="16">
        <ns0:f>A41*('前提と出典'!$C$36*'契約別単価'!G5+'前提と出典'!$C$37*'契約別単価'!G6+'前提と出典'!$C$38*'契約別単価'!G7)</ns0:f>
        <ns0:v>73648.6033519553</ns0:v>
      </ns0:c>
      <ns0:c r="H41" s="16">
        <ns0:f>A41*('前提と出典'!$C$36*'契約別単価'!H5+'前提と出典'!$C$37*'契約別単価'!H6+'前提と出典'!$C$38*'契約別単価'!H7)</ns0:f>
        <ns0:v>25559.759130849776</ns0:v>
      </ns0:c>
      <ns0:c r="I41" s="16">
        <ns0:f>A41*('前提と出典'!$C$36*'契約別単価'!I5+'前提と出典'!$C$37*'契約別単価'!I6+'前提と出典'!$C$38*'契約別単価'!I7)</ns0:f>
        <ns0:v>1561.2346368715082</ns0:v>
      </ns0:c>
      <ns0:c r="J41" s="16">
        <ns0:f>A41*('前提と出典'!$C$36*'契約別単価'!J5+'前提と出典'!$C$37*'契約別単価'!J6+'前提と出典'!$C$38*'契約別単価'!J7)</ns0:f>
        <ns0:v>3636.713117281195</ns0:v>
      </ns0:c>
      <ns0:c r="K41" s="16">
        <ns0:f>A41*('前提と出典'!$C$36*'契約別単価'!K5+'前提と出典'!$C$37*'契約別単価'!K6+'前提と出典'!$C$38*'契約別単価'!K7)</ns0:f>
        <ns0:v>15588.230912476722</ns0:v>
      </ns0:c>
      <ns0:c r="L41" s="16">
        <ns0:f>A41*('前提と出典'!$C$36*'契約別単価'!L5+'前提と出典'!$C$37*'契約別単価'!L6+'前提と出典'!$C$38*'契約別単価'!L7)</ns0:f>
        <ns0:v>12691.991971028325</ns0:v>
      </ns0:c>
      <ns0:c r="M41" s="16">
        <ns0:f>IF(('前提と出典'!$C$36+'前提と出典'!$C$38)=0,0,IF(B41&lt;=10,'前提と出典'!B73+'前提と出典'!C73,IF(B41&lt;=100,'前提と出典'!B74+'前提と出典'!C74,IF(B41&lt;=500,'前提と出典'!B75+'前提と出典'!C75,'前提と出典'!B76+'前提と出典'!C76))))</ns0:f>
        <ns0:v>20000</ns0:v>
      </ns0:c>
      <ns0:c r="N41" s="16">
        <ns0:f>IF(('前提と出典'!$C$37+'前提と出典'!$C$38)=0,0,IF(C41&lt;=10,'前提と出典'!D73+'前提と出典'!E73,IF(C41&lt;=100,'前提と出典'!D74+'前提と出典'!E74,IF(C41&lt;=500,'前提と出典'!D75+'前提と出典'!E75,'前提と出典'!D76+'前提と出典'!E76))))</ns0:f>
        <ns0:v>34510.9346263078</ns0:v>
      </ns0:c>
      <ns0:c r="O41" s="16">
        <ns0:f>IF('前提と出典'!$C$36+'前提と出典'!$C$38=0,0,'前提と出典'!$B$4*IF('前提と出典'!$B$20=0,MAX('前提と出典'!$B$6,D41*'前提と出典'!$B$5),'前提と出典'!$B$6+D41*'前提と出典'!$B$5))</ns0:f>
        <ns0:v>36740.37988826816</ns0:v>
      </ns0:c>
      <ns0:c r="P41" s="16">
        <ns0:f>(E41+G41)*(1-'前提と出典'!$B$7)-I41-K41-M41-O41</ns0:f>
        <ns0:v>86772.22761982543</ns0:v>
      </ns0:c>
      <ns0:c r="Q41" s="16">
        <ns0:f>(F41+H41)*(1-'前提と出典'!$B$7)-J41-L41-N41</ns0:f>
        <ns0:v>-145.72735222253323</ns0:v>
      </ns0:c>
      <ns0:c r="R41" s="16">
        <ns0:f>P41-E41*'前提と出典'!$E$4</ns0:f>
        <ns0:v>58868.23817185129</ns0:v>
      </ns0:c>
      <ns0:c r="S41" s="16">
        <ns0:f>Q41-F41*'前提と出典'!$E$4</ns0:f>
        <ns0:v>-8253.913418692118</ns0:v>
      </ns0:c>
      <ns0:c r="T41" s="7">
        <ns0:f>R41+S41</ns0:f>
        <ns0:v>50614.32475315918</ns0:v>
      </ns0:c>
      <ns0:c r="U41" s="16">
        <ns0:f>P41-E41*'前提と出典'!$E$5</ns0:f>
        <ns0:v>49566.90835585991</ns0:v>
      </ns0:c>
      <ns0:c r="V41" s="16">
        <ns0:f>Q41-F41*'前提と出典'!$E$5</ns0:f>
        <ns0:v>-10956.642107515316</ns0:v>
      </ns0:c>
      <ns0:c r="W41" s="7">
        <ns0:f>U41+V41</ns0:f>
        <ns0:v>38610.26624834459</ns0:v>
      </ns0:c>
      <ns0:c r="X41" s="16">
        <ns0:f>P41-E41*'前提と出典'!$E$6</ns0:f>
        <ns0:v>40265.578539868526</ns0:v>
      </ns0:c>
      <ns0:c r="Y41" s="16">
        <ns0:f>Q41-F41*'前提と出典'!$E$6</ns0:f>
        <ns0:v>-13659.370796338513</ns0:v>
      </ns0:c>
      <ns0:c r="Z41" s="7">
        <ns0:f>X41+Y41</ns0:f>
        <ns0:v>26606.207743530013</ns0:v>
      </ns0:c>
      <ns0:c r="AA41" s="7">
        <ns0:f>IF(T41&gt;=0,A41,1001)</ns0:f>
        <ns0:v>37</ns0:v>
      </ns0:c>
      <ns0:c r="AB41" s="7">
        <ns0:f>IF(T41&lt;0,A41,0)</ns0:f>
        <ns0:v>0</ns0:v>
      </ns0:c>
      <ns0:c r="AC41" s="16">
        <ns0:f>IF(AND(OR('前提と出典'!$C$36+'前提と出典'!$C$38=0,R41&gt;=0),OR('前提と出典'!$C$37+'前提と出典'!$C$38=0,S41&gt;=0)),0,A41)</ns0:f>
        <ns0:v>37</ns0:v>
      </ns0:c>
      <ns0:c r="AD41" s="7">
        <ns0:f>IF(W41&gt;=0,A41,1001)</ns0:f>
        <ns0:v>37</ns0:v>
      </ns0:c>
      <ns0:c r="AE41" s="7">
        <ns0:f>IF(W41&lt;0,A41,0)</ns0:f>
        <ns0:v>0</ns0:v>
      </ns0:c>
      <ns0:c r="AF41" s="16">
        <ns0:f>IF(AND(OR('前提と出典'!$C$36+'前提と出典'!$C$38=0,U41&gt;=0),OR('前提と出典'!$C$37+'前提と出典'!$C$38=0,V41&gt;=0)),0,A41)</ns0:f>
        <ns0:v>37</ns0:v>
      </ns0:c>
      <ns0:c r="AG41" s="7">
        <ns0:f>IF(Z41&gt;=0,A41,1001)</ns0:f>
        <ns0:v>37</ns0:v>
      </ns0:c>
      <ns0:c r="AH41" s="4">
        <ns0:f>IF(Z41&lt;0,A41,0)</ns0:f>
        <ns0:v>0</ns0:v>
      </ns0:c>
      <ns0:c r="AI41" s="12">
        <ns0:f>IF(AND(OR('前提と出典'!$C$36+'前提と出典'!$C$38=0,X41&gt;=0),OR('前提と出典'!$C$37+'前提と出典'!$C$38=0,Y41&gt;=0)),0,A41)</ns0:f>
        <ns0:v>37</ns0:v>
      </ns0:c>
    </ns0:row>
    <ns0:row r="42" ht="24" customHeight="1">
      <ns0:c r="A42" s="4" t="n">
        <ns0:v>38</ns0:v>
      </ns0:c>
      <ns0:c r="B42" s="12">
        <ns0:f>A42*('前提と出典'!$C$36+'前提と出典'!$C$38)</ns0:f>
        <ns0:v>26.599999999999998</ns0:v>
      </ns0:c>
      <ns0:c r="C42" s="12">
        <ns0:f>A42*('前提と出典'!$C$37+'前提と出典'!$C$38)</ns0:f>
        <ns0:v>22.8</ns0:v>
      </ns0:c>
      <ns0:c r="D42" s="16">
        <ns0:f>A42*('前提と出典'!$C$36*'契約別単価'!C5+'前提と出典'!$C$37*'契約別単価'!C6+'前提と出典'!$C$38*'契約別単価'!C7)</ns0:f>
        <ns0:v>273.4301675977654</ns0:v>
      </ns0:c>
      <ns0:c r="E42" s="16">
        <ns0:f>A42*('前提と出典'!$C$36*'契約別単価'!E5+'前提と出典'!$C$37*'契約別単価'!E6+'前提と出典'!$C$38*'契約別単価'!E7)</ns0:f>
        <ns0:v>95527.17108315471</ns0:v>
      </ns0:c>
      <ns0:c r="F42" s="16">
        <ns0:f>A42*('前提と出典'!$C$36*'契約別単価'!F5+'前提と出典'!$C$37*'契約別単価'!F6+'前提と出典'!$C$38*'契約別単価'!F7)</ns0:f>
        <ns0:v>27757.75410142741</ns0:v>
      </ns0:c>
      <ns0:c r="G42" s="16">
        <ns0:f>A42*('前提と出典'!$C$36*'契約別単価'!G5+'前提と出典'!$C$37*'契約別単価'!G6+'前提と出典'!$C$38*'契約別単価'!G7)</ns0:f>
        <ns0:v>75639.1061452514</ns0:v>
      </ns0:c>
      <ns0:c r="H42" s="16">
        <ns0:f>A42*('前提と出典'!$C$36*'契約別単価'!H5+'前提と出典'!$C$37*'契約別単価'!H6+'前提と出典'!$C$38*'契約別単価'!H7)</ns0:f>
        <ns0:v>26250.563431683553</ns0:v>
      </ns0:c>
      <ns0:c r="I42" s="16">
        <ns0:f>A42*('前提と出典'!$C$36*'契約別単価'!I5+'前提と出典'!$C$37*'契約別単価'!I6+'前提と出典'!$C$38*'契約別単価'!I7)</ns0:f>
        <ns0:v>1603.4301675977651</ns0:v>
      </ns0:c>
      <ns0:c r="J42" s="16">
        <ns0:f>A42*('前提と出典'!$C$36*'契約別単価'!J5+'前提と出典'!$C$37*'契約別単価'!J6+'前提と出典'!$C$38*'契約別単価'!J7)</ns0:f>
        <ns0:v>3735.0026609914976</ns0:v>
      </ns0:c>
      <ns0:c r="K42" s="16">
        <ns0:f>A42*('前提と出典'!$C$36*'契約別単価'!K5+'前提と出典'!$C$37*'契約別単価'!K6+'前提と出典'!$C$38*'契約別単価'!K7)</ns0:f>
        <ns0:v>16009.534450651769</ns0:v>
      </ns0:c>
      <ns0:c r="L42" s="16">
        <ns0:f>A42*('前提と出典'!$C$36*'契約別単価'!L5+'前提と出典'!$C$37*'契約別単価'!L6+'前提と出典'!$C$38*'契約別単価'!L7)</ns0:f>
        <ns0:v>13035.018781056118</ns0:v>
      </ns0:c>
      <ns0:c r="M42" s="16">
        <ns0:f>IF(('前提と出典'!$C$36+'前提と出典'!$C$38)=0,0,IF(B42&lt;=10,'前提と出典'!B73+'前提と出典'!C73,IF(B42&lt;=100,'前提と出典'!B74+'前提と出典'!C74,IF(B42&lt;=500,'前提と出典'!B75+'前提と出典'!C75,'前提と出典'!B76+'前提と出典'!C76))))</ns0:f>
        <ns0:v>20000</ns0:v>
      </ns0:c>
      <ns0:c r="N42" s="16">
        <ns0:f>IF(('前提と出典'!$C$37+'前提と出典'!$C$38)=0,0,IF(C42&lt;=10,'前提と出典'!D73+'前提と出典'!E73,IF(C42&lt;=100,'前提と出典'!D74+'前提と出典'!E74,IF(C42&lt;=500,'前提と出典'!D75+'前提と出典'!E75,'前提と出典'!D76+'前提と出典'!E76))))</ns0:f>
        <ns0:v>34510.9346263078</ns0:v>
      </ns0:c>
      <ns0:c r="O42" s="16">
        <ns0:f>IF('前提と出典'!$C$36+'前提と出典'!$C$38=0,0,'前提と出典'!$B$4*IF('前提と出典'!$B$20=0,MAX('前提と出典'!$B$6,D42*'前提と出典'!$B$5),'前提と出典'!$B$6+D42*'前提と出典'!$B$5))</ns0:f>
        <ns0:v>37733.36312849163</ns0:v>
      </ns0:c>
      <ns0:c r="P42" s="16">
        <ns0:f>(E42+G42)*(1-'前提と出典'!$B$7)-I42-K42-M42-O42</ns0:f>
        <ns0:v>89657.96350144234</ns0:v>
      </ns0:c>
      <ns0:c r="Q42" s="16">
        <ns0:f>(F42+H42)*(1-'前提と出典'!$B$7)-J42-L42-N42</ns0:f>
        <ns0:v>783.0620335635522</ns0:v>
      </ns0:c>
      <ns0:c r="R42" s="16">
        <ns0:f>P42-E42*'前提と出典'!$E$4</ns0:f>
        <ns0:v>60999.812176495914</ns0:v>
      </ns0:c>
      <ns0:c r="S42" s="16">
        <ns0:f>Q42-F42*'前提と出典'!$E$4</ns0:f>
        <ns0:v>-7544.264196864671</ns0:v>
      </ns0:c>
      <ns0:c r="T42" s="7">
        <ns0:f>R42+S42</ns0:f>
        <ns0:v>53455.54797963124</ns0:v>
      </ns0:c>
      <ns0:c r="U42" s="16">
        <ns0:f>P42-E42*'前提と出典'!$E$5</ns0:f>
        <ns0:v>51447.09506818046</ns0:v>
      </ns0:c>
      <ns0:c r="V42" s="16">
        <ns0:f>Q42-F42*'前提と出典'!$E$5</ns0:f>
        <ns0:v>-10320.039607007413</ns0:v>
      </ns0:c>
      <ns0:c r="W42" s="7">
        <ns0:f>U42+V42</ns0:f>
        <ns0:v>41127.05546117305</ns0:v>
      </ns0:c>
      <ns0:c r="X42" s="16">
        <ns0:f>P42-E42*'前提と出典'!$E$6</ns0:f>
        <ns0:v>41894.37795986498</ns0:v>
      </ns0:c>
      <ns0:c r="Y42" s="16">
        <ns0:f>Q42-F42*'前提と出典'!$E$6</ns0:f>
        <ns0:v>-13095.815017150155</ns0:v>
      </ns0:c>
      <ns0:c r="Z42" s="7">
        <ns0:f>X42+Y42</ns0:f>
        <ns0:v>28798.562942714823</ns0:v>
      </ns0:c>
      <ns0:c r="AA42" s="7">
        <ns0:f>IF(T42&gt;=0,A42,1001)</ns0:f>
        <ns0:v>38</ns0:v>
      </ns0:c>
      <ns0:c r="AB42" s="7">
        <ns0:f>IF(T42&lt;0,A42,0)</ns0:f>
        <ns0:v>0</ns0:v>
      </ns0:c>
      <ns0:c r="AC42" s="16">
        <ns0:f>IF(AND(OR('前提と出典'!$C$36+'前提と出典'!$C$38=0,R42&gt;=0),OR('前提と出典'!$C$37+'前提と出典'!$C$38=0,S42&gt;=0)),0,A42)</ns0:f>
        <ns0:v>38</ns0:v>
      </ns0:c>
      <ns0:c r="AD42" s="7">
        <ns0:f>IF(W42&gt;=0,A42,1001)</ns0:f>
        <ns0:v>38</ns0:v>
      </ns0:c>
      <ns0:c r="AE42" s="7">
        <ns0:f>IF(W42&lt;0,A42,0)</ns0:f>
        <ns0:v>0</ns0:v>
      </ns0:c>
      <ns0:c r="AF42" s="16">
        <ns0:f>IF(AND(OR('前提と出典'!$C$36+'前提と出典'!$C$38=0,U42&gt;=0),OR('前提と出典'!$C$37+'前提と出典'!$C$38=0,V42&gt;=0)),0,A42)</ns0:f>
        <ns0:v>38</ns0:v>
      </ns0:c>
      <ns0:c r="AG42" s="7">
        <ns0:f>IF(Z42&gt;=0,A42,1001)</ns0:f>
        <ns0:v>38</ns0:v>
      </ns0:c>
      <ns0:c r="AH42" s="4">
        <ns0:f>IF(Z42&lt;0,A42,0)</ns0:f>
        <ns0:v>0</ns0:v>
      </ns0:c>
      <ns0:c r="AI42" s="12">
        <ns0:f>IF(AND(OR('前提と出典'!$C$36+'前提と出典'!$C$38=0,X42&gt;=0),OR('前提と出典'!$C$37+'前提と出典'!$C$38=0,Y42&gt;=0)),0,A42)</ns0:f>
        <ns0:v>38</ns0:v>
      </ns0:c>
    </ns0:row>
    <ns0:row r="43" ht="24" customHeight="1">
      <ns0:c r="A43" s="4" t="n">
        <ns0:v>39</ns0:v>
      </ns0:c>
      <ns0:c r="B43" s="12">
        <ns0:f>A43*('前提と出典'!$C$36+'前提と出典'!$C$38)</ns0:f>
        <ns0:v>27.299999999999997</ns0:v>
      </ns0:c>
      <ns0:c r="C43" s="12">
        <ns0:f>A43*('前提と出典'!$C$37+'前提と出典'!$C$38)</ns0:f>
        <ns0:v>23.4</ns0:v>
      </ns0:c>
      <ns0:c r="D43" s="16">
        <ns0:f>A43*('前提と出典'!$C$36*'契約別単価'!C5+'前提と出典'!$C$37*'契約別単価'!C6+'前提と出典'!$C$38*'契約別単価'!C7)</ns0:f>
        <ns0:v>280.6256983240223</ns0:v>
      </ns0:c>
      <ns0:c r="E43" s="16">
        <ns0:f>A43*('前提と出典'!$C$36*'契約別単価'!E5+'前提と出典'!$C$37*'契約別単価'!E6+'前提と出典'!$C$38*'契約別単価'!E7)</ns0:f>
        <ns0:v>98041.04400639562</ns0:v>
      </ns0:c>
      <ns0:c r="F43" s="16">
        <ns0:f>A43*('前提と出典'!$C$36*'契約別単価'!F5+'前提と出典'!$C$37*'契約別単価'!F6+'前提と出典'!$C$38*'契約別単価'!F7)</ns0:f>
        <ns0:v>28488.221314622868</ns0:v>
      </ns0:c>
      <ns0:c r="G43" s="16">
        <ns0:f>A43*('前提と出典'!$C$36*'契約別単価'!G5+'前提と出典'!$C$37*'契約別単価'!G6+'前提と出典'!$C$38*'契約別単価'!G7)</ns0:f>
        <ns0:v>77629.60893854748</ns0:v>
      </ns0:c>
      <ns0:c r="H43" s="16">
        <ns0:f>A43*('前提と出典'!$C$36*'契約別単価'!H5+'前提と出典'!$C$37*'契約別単価'!H6+'前提と出典'!$C$38*'契約別単価'!H7)</ns0:f>
        <ns0:v>26941.36773251733</ns0:v>
      </ns0:c>
      <ns0:c r="I43" s="16">
        <ns0:f>A43*('前提と出典'!$C$36*'契約別単価'!I5+'前提と出典'!$C$37*'契約別単価'!I6+'前提と出典'!$C$38*'契約別単価'!I7)</ns0:f>
        <ns0:v>1645.625698324022</ns0:v>
      </ns0:c>
      <ns0:c r="J43" s="16">
        <ns0:f>A43*('前提と出典'!$C$36*'契約別単価'!J5+'前提と出典'!$C$37*'契約別単価'!J6+'前提と出典'!$C$38*'契約別単価'!J7)</ns0:f>
        <ns0:v>3833.2922047018</ns0:v>
      </ns0:c>
      <ns0:c r="K43" s="16">
        <ns0:f>A43*('前提と出典'!$C$36*'契約別単価'!K5+'前提と出典'!$C$37*'契約別単価'!K6+'前提と出典'!$C$38*'契約別単価'!K7)</ns0:f>
        <ns0:v>16430.837988826814</ns0:v>
      </ns0:c>
      <ns0:c r="L43" s="16">
        <ns0:f>A43*('前提と出典'!$C$36*'契約別単価'!L5+'前提と出典'!$C$37*'契約別単価'!L6+'前提と出典'!$C$38*'契約別単価'!L7)</ns0:f>
        <ns0:v>13378.04559108391</ns0:v>
      </ns0:c>
      <ns0:c r="M43" s="16">
        <ns0:f>IF(('前提と出典'!$C$36+'前提と出典'!$C$38)=0,0,IF(B43&lt;=10,'前提と出典'!B73+'前提と出典'!C73,IF(B43&lt;=100,'前提と出典'!B74+'前提と出典'!C74,IF(B43&lt;=500,'前提と出典'!B75+'前提と出典'!C75,'前提と出典'!B76+'前提と出典'!C76))))</ns0:f>
        <ns0:v>20000</ns0:v>
      </ns0:c>
      <ns0:c r="N43" s="16">
        <ns0:f>IF(('前提と出典'!$C$37+'前提と出典'!$C$38)=0,0,IF(C43&lt;=10,'前提と出典'!D73+'前提と出典'!E73,IF(C43&lt;=100,'前提と出典'!D74+'前提と出典'!E74,IF(C43&lt;=500,'前提と出典'!D75+'前提と出典'!E75,'前提と出典'!D76+'前提と出典'!E76))))</ns0:f>
        <ns0:v>34510.9346263078</ns0:v>
      </ns0:c>
      <ns0:c r="O43" s="16">
        <ns0:f>IF('前提と出典'!$C$36+'前提と出典'!$C$38=0,0,'前提と出典'!$B$4*IF('前提と出典'!$B$20=0,MAX('前提と出典'!$B$6,D43*'前提と出典'!$B$5),'前提と出典'!$B$6+D43*'前提と出典'!$B$5))</ns0:f>
        <ns0:v>38726.34636871508</ns0:v>
      </ns0:c>
      <ns0:c r="P43" s="16">
        <ns0:f>(E43+G43)*(1-'前提と出典'!$B$7)-I43-K43-M43-O43</ns0:f>
        <ns0:v>92543.69938305925</ns0:v>
      </ns0:c>
      <ns0:c r="Q43" s="16">
        <ns0:f>(F43+H43)*(1-'前提と出典'!$B$7)-J43-L43-N43</ns0:f>
        <ns0:v>1711.8514193496485</ns0:v>
      </ns0:c>
      <ns0:c r="R43" s="16">
        <ns0:f>P43-E43*'前提と出典'!$E$4</ns0:f>
        <ns0:v>63131.386181140566</ns0:v>
      </ns0:c>
      <ns0:c r="S43" s="16">
        <ns0:f>Q43-F43*'前提と出典'!$E$4</ns0:f>
        <ns0:v>-6834.614975037213</ns0:v>
      </ns0:c>
      <ns0:c r="T43" s="7">
        <ns0:f>R43+S43</ns0:f>
        <ns0:v>56296.77120610335</ns0:v>
      </ns0:c>
      <ns0:c r="U43" s="16">
        <ns0:f>P43-E43*'前提と出典'!$E$5</ns0:f>
        <ns0:v>53327.28178050101</ns0:v>
      </ns0:c>
      <ns0:c r="V43" s="16">
        <ns0:f>Q43-F43*'前提と出典'!$E$5</ns0:f>
        <ns0:v>-9683.4371064995</ns0:v>
      </ns0:c>
      <ns0:c r="W43" s="7">
        <ns0:f>U43+V43</ns0:f>
        <ns0:v>43643.84467400151</ns0:v>
      </ns0:c>
      <ns0:c r="X43" s="16">
        <ns0:f>P43-E43*'前提と出典'!$E$6</ns0:f>
        <ns0:v>43523.177379861445</ns0:v>
      </ns0:c>
      <ns0:c r="Y43" s="16">
        <ns0:f>Q43-F43*'前提と出典'!$E$6</ns0:f>
        <ns0:v>-12532.259237961793</ns0:v>
      </ns0:c>
      <ns0:c r="Z43" s="7">
        <ns0:f>X43+Y43</ns0:f>
        <ns0:v>30990.918141899652</ns0:v>
      </ns0:c>
      <ns0:c r="AA43" s="7">
        <ns0:f>IF(T43&gt;=0,A43,1001)</ns0:f>
        <ns0:v>39</ns0:v>
      </ns0:c>
      <ns0:c r="AB43" s="7">
        <ns0:f>IF(T43&lt;0,A43,0)</ns0:f>
        <ns0:v>0</ns0:v>
      </ns0:c>
      <ns0:c r="AC43" s="16">
        <ns0:f>IF(AND(OR('前提と出典'!$C$36+'前提と出典'!$C$38=0,R43&gt;=0),OR('前提と出典'!$C$37+'前提と出典'!$C$38=0,S43&gt;=0)),0,A43)</ns0:f>
        <ns0:v>39</ns0:v>
      </ns0:c>
      <ns0:c r="AD43" s="7">
        <ns0:f>IF(W43&gt;=0,A43,1001)</ns0:f>
        <ns0:v>39</ns0:v>
      </ns0:c>
      <ns0:c r="AE43" s="7">
        <ns0:f>IF(W43&lt;0,A43,0)</ns0:f>
        <ns0:v>0</ns0:v>
      </ns0:c>
      <ns0:c r="AF43" s="16">
        <ns0:f>IF(AND(OR('前提と出典'!$C$36+'前提と出典'!$C$38=0,U43&gt;=0),OR('前提と出典'!$C$37+'前提と出典'!$C$38=0,V43&gt;=0)),0,A43)</ns0:f>
        <ns0:v>39</ns0:v>
      </ns0:c>
      <ns0:c r="AG43" s="7">
        <ns0:f>IF(Z43&gt;=0,A43,1001)</ns0:f>
        <ns0:v>39</ns0:v>
      </ns0:c>
      <ns0:c r="AH43" s="4">
        <ns0:f>IF(Z43&lt;0,A43,0)</ns0:f>
        <ns0:v>0</ns0:v>
      </ns0:c>
      <ns0:c r="AI43" s="12">
        <ns0:f>IF(AND(OR('前提と出典'!$C$36+'前提と出典'!$C$38=0,X43&gt;=0),OR('前提と出典'!$C$37+'前提と出典'!$C$38=0,Y43&gt;=0)),0,A43)</ns0:f>
        <ns0:v>39</ns0:v>
      </ns0:c>
    </ns0:row>
    <ns0:row r="44" ht="24" customHeight="1">
      <ns0:c r="A44" s="4" t="n">
        <ns0:v>40</ns0:v>
      </ns0:c>
      <ns0:c r="B44" s="12">
        <ns0:f>A44*('前提と出典'!$C$36+'前提と出典'!$C$38)</ns0:f>
        <ns0:v>28</ns0:v>
      </ns0:c>
      <ns0:c r="C44" s="12">
        <ns0:f>A44*('前提と出典'!$C$37+'前提と出典'!$C$38)</ns0:f>
        <ns0:v>24</ns0:v>
      </ns0:c>
      <ns0:c r="D44" s="16">
        <ns0:f>A44*('前提と出典'!$C$36*'契約別単価'!C5+'前提と出典'!$C$37*'契約別単価'!C6+'前提と出典'!$C$38*'契約別単価'!C7)</ns0:f>
        <ns0:v>287.8212290502793</ns0:v>
      </ns0:c>
      <ns0:c r="E44" s="16">
        <ns0:f>A44*('前提と出典'!$C$36*'契約別単価'!E5+'前提と出典'!$C$37*'契約別単価'!E6+'前提と出典'!$C$38*'契約別単価'!E7)</ns0:f>
        <ns0:v>100554.91692963653</ns0:v>
      </ns0:c>
      <ns0:c r="F44" s="16">
        <ns0:f>A44*('前提と出典'!$C$36*'契約別単価'!F5+'前提と出典'!$C$37*'契約別単価'!F6+'前提と出典'!$C$38*'契約別単価'!F7)</ns0:f>
        <ns0:v>29218.688527818325</ns0:v>
      </ns0:c>
      <ns0:c r="G44" s="16">
        <ns0:f>A44*('前提と出典'!$C$36*'契約別単価'!G5+'前提と出典'!$C$37*'契約別単価'!G6+'前提と出典'!$C$38*'契約別単価'!G7)</ns0:f>
        <ns0:v>79620.11173184357</ns0:v>
      </ns0:c>
      <ns0:c r="H44" s="16">
        <ns0:f>A44*('前提と出典'!$C$36*'契約別単価'!H5+'前提と出典'!$C$37*'契約別単価'!H6+'前提と出典'!$C$38*'契約別単価'!H7)</ns0:f>
        <ns0:v>27632.172033351108</ns0:v>
      </ns0:c>
      <ns0:c r="I44" s="16">
        <ns0:f>A44*('前提と出典'!$C$36*'契約別単価'!I5+'前提と出典'!$C$37*'契約別単価'!I6+'前提と出典'!$C$38*'契約別単価'!I7)</ns0:f>
        <ns0:v>1687.821229050279</ns0:v>
      </ns0:c>
      <ns0:c r="J44" s="16">
        <ns0:f>A44*('前提と出典'!$C$36*'契約別単価'!J5+'前提と出典'!$C$37*'契約別単価'!J6+'前提と出典'!$C$38*'契約別単価'!J7)</ns0:f>
        <ns0:v>3931.5817484121026</ns0:v>
      </ns0:c>
      <ns0:c r="K44" s="16">
        <ns0:f>A44*('前提と出典'!$C$36*'契約別単価'!K5+'前提と出典'!$C$37*'契約別単価'!K6+'前提と出典'!$C$38*'契約別単価'!K7)</ns0:f>
        <ns0:v>16852.141527001862</ns0:v>
      </ns0:c>
      <ns0:c r="L44" s="16">
        <ns0:f>A44*('前提と出典'!$C$36*'契約別単価'!L5+'前提と出典'!$C$37*'契約別単価'!L6+'前提と出典'!$C$38*'契約別単価'!L7)</ns0:f>
        <ns0:v>13721.072401111704</ns0:v>
      </ns0:c>
      <ns0:c r="M44" s="16">
        <ns0:f>IF(('前提と出典'!$C$36+'前提と出典'!$C$38)=0,0,IF(B44&lt;=10,'前提と出典'!B73+'前提と出典'!C73,IF(B44&lt;=100,'前提と出典'!B74+'前提と出典'!C74,IF(B44&lt;=500,'前提と出典'!B75+'前提と出典'!C75,'前提と出典'!B76+'前提と出典'!C76))))</ns0:f>
        <ns0:v>20000</ns0:v>
      </ns0:c>
      <ns0:c r="N44" s="16">
        <ns0:f>IF(('前提と出典'!$C$37+'前提と出典'!$C$38)=0,0,IF(C44&lt;=10,'前提と出典'!D73+'前提と出典'!E73,IF(C44&lt;=100,'前提と出典'!D74+'前提と出典'!E74,IF(C44&lt;=500,'前提と出典'!D75+'前提と出典'!E75,'前提と出典'!D76+'前提と出典'!E76))))</ns0:f>
        <ns0:v>34510.9346263078</ns0:v>
      </ns0:c>
      <ns0:c r="O44" s="16">
        <ns0:f>IF('前提と出典'!$C$36+'前提と出典'!$C$38=0,0,'前提と出典'!$B$4*IF('前提と出典'!$B$20=0,MAX('前提と出典'!$B$6,D44*'前提と出典'!$B$5),'前提と出典'!$B$6+D44*'前提と出典'!$B$5))</ns0:f>
        <ns0:v>39719.32960893855</ns0:v>
      </ns0:c>
      <ns0:c r="P44" s="16">
        <ns0:f>(E44+G44)*(1-'前提と出典'!$B$7)-I44-K44-M44-O44</ns0:f>
        <ns0:v>95429.43526467614</ns0:v>
      </ns0:c>
      <ns0:c r="Q44" s="16">
        <ns0:f>(F44+H44)*(1-'前提と出典'!$B$7)-J44-L44-N44</ns0:f>
        <ns0:v>2640.6408051357375</ns0:v>
      </ns0:c>
      <ns0:c r="R44" s="16">
        <ns0:f>P44-E44*'前提と出典'!$E$4</ns0:f>
        <ns0:v>65262.96018578516</ns0:v>
      </ns0:c>
      <ns0:c r="S44" s="16">
        <ns0:f>Q44-F44*'前提と出典'!$E$4</ns0:f>
        <ns0:v>-6124.965753209763</ns0:v>
      </ns0:c>
      <ns0:c r="T44" s="7">
        <ns0:f>R44+S44</ns0:f>
        <ns0:v>59137.9944325754</ns0:v>
      </ns0:c>
      <ns0:c r="U44" s="16">
        <ns0:f>P44-E44*'前提と出典'!$E$5</ns0:f>
        <ns0:v>55207.46849282152</ns0:v>
      </ns0:c>
      <ns0:c r="V44" s="16">
        <ns0:f>Q44-F44*'前提と出典'!$E$5</ns0:f>
        <ns0:v>-9046.834605991593</ns0:v>
      </ns0:c>
      <ns0:c r="W44" s="7">
        <ns0:f>U44+V44</ns0:f>
        <ns0:v>46160.63388682993</ns0:v>
      </ns0:c>
      <ns0:c r="X44" s="16">
        <ns0:f>P44-E44*'前提と出典'!$E$6</ns0:f>
        <ns0:v>45151.97679985787</ns0:v>
      </ns0:c>
      <ns0:c r="Y44" s="16">
        <ns0:f>Q44-F44*'前提と出典'!$E$6</ns0:f>
        <ns0:v>-11968.70345877343</ns0:v>
      </ns0:c>
      <ns0:c r="Z44" s="7">
        <ns0:f>X44+Y44</ns0:f>
        <ns0:v>33183.27334108444</ns0:v>
      </ns0:c>
      <ns0:c r="AA44" s="7">
        <ns0:f>IF(T44&gt;=0,A44,1001)</ns0:f>
        <ns0:v>40</ns0:v>
      </ns0:c>
      <ns0:c r="AB44" s="7">
        <ns0:f>IF(T44&lt;0,A44,0)</ns0:f>
        <ns0:v>0</ns0:v>
      </ns0:c>
      <ns0:c r="AC44" s="16">
        <ns0:f>IF(AND(OR('前提と出典'!$C$36+'前提と出典'!$C$38=0,R44&gt;=0),OR('前提と出典'!$C$37+'前提と出典'!$C$38=0,S44&gt;=0)),0,A44)</ns0:f>
        <ns0:v>40</ns0:v>
      </ns0:c>
      <ns0:c r="AD44" s="7">
        <ns0:f>IF(W44&gt;=0,A44,1001)</ns0:f>
        <ns0:v>40</ns0:v>
      </ns0:c>
      <ns0:c r="AE44" s="7">
        <ns0:f>IF(W44&lt;0,A44,0)</ns0:f>
        <ns0:v>0</ns0:v>
      </ns0:c>
      <ns0:c r="AF44" s="16">
        <ns0:f>IF(AND(OR('前提と出典'!$C$36+'前提と出典'!$C$38=0,U44&gt;=0),OR('前提と出典'!$C$37+'前提と出典'!$C$38=0,V44&gt;=0)),0,A44)</ns0:f>
        <ns0:v>40</ns0:v>
      </ns0:c>
      <ns0:c r="AG44" s="7">
        <ns0:f>IF(Z44&gt;=0,A44,1001)</ns0:f>
        <ns0:v>40</ns0:v>
      </ns0:c>
      <ns0:c r="AH44" s="4">
        <ns0:f>IF(Z44&lt;0,A44,0)</ns0:f>
        <ns0:v>0</ns0:v>
      </ns0:c>
      <ns0:c r="AI44" s="12">
        <ns0:f>IF(AND(OR('前提と出典'!$C$36+'前提と出典'!$C$38=0,X44&gt;=0),OR('前提と出典'!$C$37+'前提と出典'!$C$38=0,Y44&gt;=0)),0,A44)</ns0:f>
        <ns0:v>40</ns0:v>
      </ns0:c>
    </ns0:row>
    <ns0:row r="45" ht="24" customHeight="1">
      <ns0:c r="A45" s="4" t="n">
        <ns0:v>41</ns0:v>
      </ns0:c>
      <ns0:c r="B45" s="12">
        <ns0:f>A45*('前提と出典'!$C$36+'前提と出典'!$C$38)</ns0:f>
        <ns0:v>28.7</ns0:v>
      </ns0:c>
      <ns0:c r="C45" s="12">
        <ns0:f>A45*('前提と出典'!$C$37+'前提と出典'!$C$38)</ns0:f>
        <ns0:v>24.599999999999998</ns0:v>
      </ns0:c>
      <ns0:c r="D45" s="16">
        <ns0:f>A45*('前提と出典'!$C$36*'契約別単価'!C5+'前提と出典'!$C$37*'契約別単価'!C6+'前提と出典'!$C$38*'契約別単価'!C7)</ns0:f>
        <ns0:v>295.01675977653633</ns0:v>
      </ns0:c>
      <ns0:c r="E45" s="16">
        <ns0:f>A45*('前提と出典'!$C$36*'契約別単価'!E5+'前提と出典'!$C$37*'契約別単価'!E6+'前提と出典'!$C$38*'契約別単価'!E7)</ns0:f>
        <ns0:v>103068.78985287744</ns0:v>
      </ns0:c>
      <ns0:c r="F45" s="16">
        <ns0:f>A45*('前提と出典'!$C$36*'契約別単価'!F5+'前提と出典'!$C$37*'契約別単価'!F6+'前提と出典'!$C$38*'契約別単価'!F7)</ns0:f>
        <ns0:v>29949.155741013783</ns0:v>
      </ns0:c>
      <ns0:c r="G45" s="16">
        <ns0:f>A45*('前提と出典'!$C$36*'契約別単価'!G5+'前提と出典'!$C$37*'契約別単価'!G6+'前提と出典'!$C$38*'契約別単価'!G7)</ns0:f>
        <ns0:v>81610.61452513967</ns0:v>
      </ns0:c>
      <ns0:c r="H45" s="16">
        <ns0:f>A45*('前提と出典'!$C$36*'契約別単価'!H5+'前提と出典'!$C$37*'契約別単価'!H6+'前提と出典'!$C$38*'契約別単価'!H7)</ns0:f>
        <ns0:v>28322.976334184885</ns0:v>
      </ns0:c>
      <ns0:c r="I45" s="16">
        <ns0:f>A45*('前提と出典'!$C$36*'契約別単価'!I5+'前提と出典'!$C$37*'契約別単価'!I6+'前提と出典'!$C$38*'契約別単価'!I7)</ns0:f>
        <ns0:v>1730.016759776536</ns0:v>
      </ns0:c>
      <ns0:c r="J45" s="16">
        <ns0:f>A45*('前提と出典'!$C$36*'契約別単価'!J5+'前提と出典'!$C$37*'契約別単価'!J6+'前提と出典'!$C$38*'契約別単価'!J7)</ns0:f>
        <ns0:v>4029.871292122405</ns0:v>
      </ns0:c>
      <ns0:c r="K45" s="16">
        <ns0:f>A45*('前提と出典'!$C$36*'契約別単価'!K5+'前提と出典'!$C$37*'契約別単価'!K6+'前提と出典'!$C$38*'契約別単価'!K7)</ns0:f>
        <ns0:v>17273.445065176908</ns0:v>
      </ns0:c>
      <ns0:c r="L45" s="16">
        <ns0:f>A45*('前提と出典'!$C$36*'契約別単価'!L5+'前提と出典'!$C$37*'契約別単価'!L6+'前提と出典'!$C$38*'契約別単価'!L7)</ns0:f>
        <ns0:v>14064.099211139495</ns0:v>
      </ns0:c>
      <ns0:c r="M45" s="16">
        <ns0:f>IF(('前提と出典'!$C$36+'前提と出典'!$C$38)=0,0,IF(B45&lt;=10,'前提と出典'!B73+'前提と出典'!C73,IF(B45&lt;=100,'前提と出典'!B74+'前提と出典'!C74,IF(B45&lt;=500,'前提と出典'!B75+'前提と出典'!C75,'前提と出典'!B76+'前提と出典'!C76))))</ns0:f>
        <ns0:v>20000</ns0:v>
      </ns0:c>
      <ns0:c r="N45" s="16">
        <ns0:f>IF(('前提と出典'!$C$37+'前提と出典'!$C$38)=0,0,IF(C45&lt;=10,'前提と出典'!D73+'前提と出典'!E73,IF(C45&lt;=100,'前提と出典'!D74+'前提と出典'!E74,IF(C45&lt;=500,'前提と出典'!D75+'前提と出典'!E75,'前提と出典'!D76+'前提と出典'!E76))))</ns0:f>
        <ns0:v>34510.9346263078</ns0:v>
      </ns0:c>
      <ns0:c r="O45" s="16">
        <ns0:f>IF('前提と出典'!$C$36+'前提と出典'!$C$38=0,0,'前提と出典'!$B$4*IF('前提と出典'!$B$20=0,MAX('前提と出典'!$B$6,D45*'前提と出典'!$B$5),'前提と出典'!$B$6+D45*'前提と出典'!$B$5))</ns0:f>
        <ns0:v>40712.312849162015</ns0:v>
      </ns0:c>
      <ns0:c r="P45" s="16">
        <ns0:f>(E45+G45)*(1-'前提と出典'!$B$7)-I45-K45-M45-O45</ns0:f>
        <ns0:v>98315.17114629304</ns0:v>
      </ns0:c>
      <ns0:c r="Q45" s="16">
        <ns0:f>(F45+H45)*(1-'前提と出典'!$B$7)-J45-L45-N45</ns0:f>
        <ns0:v>3569.430190921812</ns0:v>
      </ns0:c>
      <ns0:c r="R45" s="16">
        <ns0:f>P45-E45*'前提と出典'!$E$4</ns0:f>
        <ns0:v>67394.53419042983</ns0:v>
      </ns0:c>
      <ns0:c r="S45" s="16">
        <ns0:f>Q45-F45*'前提と出典'!$E$4</ns0:f>
        <ns0:v>-5415.316531382319</ns0:v>
      </ns0:c>
      <ns0:c r="T45" s="7">
        <ns0:f>R45+S45</ns0:f>
        <ns0:v>61979.21765904751</ns0:v>
      </ns0:c>
      <ns0:c r="U45" s="16">
        <ns0:f>P45-E45*'前提と出典'!$E$5</ns0:f>
        <ns0:v>57087.65520514206</ns0:v>
      </ns0:c>
      <ns0:c r="V45" s="16">
        <ns0:f>Q45-F45*'前提と出典'!$E$5</ns0:f>
        <ns0:v>-8410.232105483701</ns0:v>
      </ns0:c>
      <ns0:c r="W45" s="7">
        <ns0:f>U45+V45</ns0:f>
        <ns0:v>48677.42309965836</ns0:v>
      </ns0:c>
      <ns0:c r="X45" s="16">
        <ns0:f>P45-E45*'前提と出典'!$E$6</ns0:f>
        <ns0:v>46780.77621985432</ns0:v>
      </ns0:c>
      <ns0:c r="Y45" s="16">
        <ns0:f>Q45-F45*'前提と出典'!$E$6</ns0:f>
        <ns0:v>-11405.147679585083</ns0:v>
      </ns0:c>
      <ns0:c r="Z45" s="7">
        <ns0:f>X45+Y45</ns0:f>
        <ns0:v>35375.62854026924</ns0:v>
      </ns0:c>
      <ns0:c r="AA45" s="7">
        <ns0:f>IF(T45&gt;=0,A45,1001)</ns0:f>
        <ns0:v>41</ns0:v>
      </ns0:c>
      <ns0:c r="AB45" s="7">
        <ns0:f>IF(T45&lt;0,A45,0)</ns0:f>
        <ns0:v>0</ns0:v>
      </ns0:c>
      <ns0:c r="AC45" s="16">
        <ns0:f>IF(AND(OR('前提と出典'!$C$36+'前提と出典'!$C$38=0,R45&gt;=0),OR('前提と出典'!$C$37+'前提と出典'!$C$38=0,S45&gt;=0)),0,A45)</ns0:f>
        <ns0:v>41</ns0:v>
      </ns0:c>
      <ns0:c r="AD45" s="7">
        <ns0:f>IF(W45&gt;=0,A45,1001)</ns0:f>
        <ns0:v>41</ns0:v>
      </ns0:c>
      <ns0:c r="AE45" s="7">
        <ns0:f>IF(W45&lt;0,A45,0)</ns0:f>
        <ns0:v>0</ns0:v>
      </ns0:c>
      <ns0:c r="AF45" s="16">
        <ns0:f>IF(AND(OR('前提と出典'!$C$36+'前提と出典'!$C$38=0,U45&gt;=0),OR('前提と出典'!$C$37+'前提と出典'!$C$38=0,V45&gt;=0)),0,A45)</ns0:f>
        <ns0:v>41</ns0:v>
      </ns0:c>
      <ns0:c r="AG45" s="7">
        <ns0:f>IF(Z45&gt;=0,A45,1001)</ns0:f>
        <ns0:v>41</ns0:v>
      </ns0:c>
      <ns0:c r="AH45" s="4">
        <ns0:f>IF(Z45&lt;0,A45,0)</ns0:f>
        <ns0:v>0</ns0:v>
      </ns0:c>
      <ns0:c r="AI45" s="12">
        <ns0:f>IF(AND(OR('前提と出典'!$C$36+'前提と出典'!$C$38=0,X45&gt;=0),OR('前提と出典'!$C$37+'前提と出典'!$C$38=0,Y45&gt;=0)),0,A45)</ns0:f>
        <ns0:v>41</ns0:v>
      </ns0:c>
    </ns0:row>
    <ns0:row r="46" ht="24" customHeight="1">
      <ns0:c r="A46" s="4" t="n">
        <ns0:v>42</ns0:v>
      </ns0:c>
      <ns0:c r="B46" s="12">
        <ns0:f>A46*('前提と出典'!$C$36+'前提と出典'!$C$38)</ns0:f>
        <ns0:v>29.4</ns0:v>
      </ns0:c>
      <ns0:c r="C46" s="12">
        <ns0:f>A46*('前提と出典'!$C$37+'前提と出典'!$C$38)</ns0:f>
        <ns0:v>25.2</ns0:v>
      </ns0:c>
      <ns0:c r="D46" s="16">
        <ns0:f>A46*('前提と出典'!$C$36*'契約別単価'!C5+'前提と出典'!$C$37*'契約別単価'!C6+'前提と出典'!$C$38*'契約別単価'!C7)</ns0:f>
        <ns0:v>302.2122905027933</ns0:v>
      </ns0:c>
      <ns0:c r="E46" s="16">
        <ns0:f>A46*('前提と出典'!$C$36*'契約別単価'!E5+'前提と出典'!$C$37*'契約別単価'!E6+'前提と出典'!$C$38*'契約別単価'!E7)</ns0:f>
        <ns0:v>105582.66277611835</ns0:v>
      </ns0:c>
      <ns0:c r="F46" s="16">
        <ns0:f>A46*('前提と出典'!$C$36*'契約別単価'!F5+'前提と出典'!$C$37*'契約別単価'!F6+'前提と出典'!$C$38*'契約別単価'!F7)</ns0:f>
        <ns0:v>30679.622954209244</ns0:v>
      </ns0:c>
      <ns0:c r="G46" s="16">
        <ns0:f>A46*('前提と出典'!$C$36*'契約別単価'!G5+'前提と出典'!$C$37*'契約別単価'!G6+'前提と出典'!$C$38*'契約別単価'!G7)</ns0:f>
        <ns0:v>83601.11731843575</ns0:v>
      </ns0:c>
      <ns0:c r="H46" s="16">
        <ns0:f>A46*('前提と出典'!$C$36*'契約別単価'!H5+'前提と出典'!$C$37*'契約別単価'!H6+'前提と出典'!$C$38*'契約別単価'!H7)</ns0:f>
        <ns0:v>29013.780635018662</ns0:v>
      </ns0:c>
      <ns0:c r="I46" s="16">
        <ns0:f>A46*('前提と出典'!$C$36*'契約別単価'!I5+'前提と出典'!$C$37*'契約別単価'!I6+'前提と出典'!$C$38*'契約別単価'!I7)</ns0:f>
        <ns0:v>1772.212290502793</ns0:v>
      </ns0:c>
      <ns0:c r="J46" s="16">
        <ns0:f>A46*('前提と出典'!$C$36*'契約別単価'!J5+'前提と出典'!$C$37*'契約別単価'!J6+'前提と出典'!$C$38*'契約別単価'!J7)</ns0:f>
        <ns0:v>4128.160835832708</ns0:v>
      </ns0:c>
      <ns0:c r="K46" s="16">
        <ns0:f>A46*('前提と出典'!$C$36*'契約別単価'!K5+'前提と出典'!$C$37*'契約別単価'!K6+'前提と出典'!$C$38*'契約別単価'!K7)</ns0:f>
        <ns0:v>17694.748603351953</ns0:v>
      </ns0:c>
      <ns0:c r="L46" s="16">
        <ns0:f>A46*('前提と出典'!$C$36*'契約別単価'!L5+'前提と出典'!$C$37*'契約別単価'!L6+'前提と出典'!$C$38*'契約別単価'!L7)</ns0:f>
        <ns0:v>14407.126021167289</ns0:v>
      </ns0:c>
      <ns0:c r="M46" s="16">
        <ns0:f>IF(('前提と出典'!$C$36+'前提と出典'!$C$38)=0,0,IF(B46&lt;=10,'前提と出典'!B73+'前提と出典'!C73,IF(B46&lt;=100,'前提と出典'!B74+'前提と出典'!C74,IF(B46&lt;=500,'前提と出典'!B75+'前提と出典'!C75,'前提と出典'!B76+'前提と出典'!C76))))</ns0:f>
        <ns0:v>20000</ns0:v>
      </ns0:c>
      <ns0:c r="N46" s="16">
        <ns0:f>IF(('前提と出典'!$C$37+'前提と出典'!$C$38)=0,0,IF(C46&lt;=10,'前提と出典'!D73+'前提と出典'!E73,IF(C46&lt;=100,'前提と出典'!D74+'前提と出典'!E74,IF(C46&lt;=500,'前提と出典'!D75+'前提と出典'!E75,'前提と出典'!D76+'前提と出典'!E76))))</ns0:f>
        <ns0:v>34510.9346263078</ns0:v>
      </ns0:c>
      <ns0:c r="O46" s="16">
        <ns0:f>IF('前提と出典'!$C$36+'前提と出典'!$C$38=0,0,'前提と出典'!$B$4*IF('前提と出典'!$B$20=0,MAX('前提と出典'!$B$6,D46*'前提と出典'!$B$5),'前提と出典'!$B$6+D46*'前提と出典'!$B$5))</ns0:f>
        <ns0:v>41705.29608938547</ns0:v>
      </ns0:c>
      <ns0:c r="P46" s="16">
        <ns0:f>(E46+G46)*(1-'前提と出典'!$B$7)-I46-K46-M46-O46</ns0:f>
        <ns0:v>101200.90702790994</ns0:v>
      </ns0:c>
      <ns0:c r="Q46" s="16">
        <ns0:f>(F46+H46)*(1-'前提と出典'!$B$7)-J46-L46-N46</ns0:f>
        <ns0:v>4498.2195767079065</ns0:v>
      </ns0:c>
      <ns0:c r="R46" s="16">
        <ns0:f>P46-E46*'前提と出典'!$E$4</ns0:f>
        <ns0:v>69526.10819507443</ns0:v>
      </ns0:c>
      <ns0:c r="S46" s="16">
        <ns0:f>Q46-F46*'前提と出典'!$E$4</ns0:f>
        <ns0:v>-4705.667309554865</ns0:v>
      </ns0:c>
      <ns0:c r="T46" s="7">
        <ns0:f>R46+S46</ns0:f>
        <ns0:v>64820.440885519565</ns0:v>
      </ns0:c>
      <ns0:c r="U46" s="16">
        <ns0:f>P46-E46*'前提と出典'!$E$5</ns0:f>
        <ns0:v>58967.841917462596</ns0:v>
      </ns0:c>
      <ns0:c r="V46" s="16">
        <ns0:f>Q46-F46*'前提と出典'!$E$5</ns0:f>
        <ns0:v>-7773.629604975791</ns0:v>
      </ns0:c>
      <ns0:c r="W46" s="7">
        <ns0:f>U46+V46</ns0:f>
        <ns0:v>51194.21231248681</ns0:v>
      </ns0:c>
      <ns0:c r="X46" s="16">
        <ns0:f>P46-E46*'前提と出典'!$E$6</ns0:f>
        <ns0:v>48409.57563985077</ns0:v>
      </ns0:c>
      <ns0:c r="Y46" s="16">
        <ns0:f>Q46-F46*'前提と出典'!$E$6</ns0:f>
        <ns0:v>-10841.591900396717</ns0:v>
      </ns0:c>
      <ns0:c r="Z46" s="7">
        <ns0:f>X46+Y46</ns0:f>
        <ns0:v>37567.98373945405</ns0:v>
      </ns0:c>
      <ns0:c r="AA46" s="7">
        <ns0:f>IF(T46&gt;=0,A46,1001)</ns0:f>
        <ns0:v>42</ns0:v>
      </ns0:c>
      <ns0:c r="AB46" s="7">
        <ns0:f>IF(T46&lt;0,A46,0)</ns0:f>
        <ns0:v>0</ns0:v>
      </ns0:c>
      <ns0:c r="AC46" s="16">
        <ns0:f>IF(AND(OR('前提と出典'!$C$36+'前提と出典'!$C$38=0,R46&gt;=0),OR('前提と出典'!$C$37+'前提と出典'!$C$38=0,S46&gt;=0)),0,A46)</ns0:f>
        <ns0:v>42</ns0:v>
      </ns0:c>
      <ns0:c r="AD46" s="7">
        <ns0:f>IF(W46&gt;=0,A46,1001)</ns0:f>
        <ns0:v>42</ns0:v>
      </ns0:c>
      <ns0:c r="AE46" s="7">
        <ns0:f>IF(W46&lt;0,A46,0)</ns0:f>
        <ns0:v>0</ns0:v>
      </ns0:c>
      <ns0:c r="AF46" s="16">
        <ns0:f>IF(AND(OR('前提と出典'!$C$36+'前提と出典'!$C$38=0,U46&gt;=0),OR('前提と出典'!$C$37+'前提と出典'!$C$38=0,V46&gt;=0)),0,A46)</ns0:f>
        <ns0:v>42</ns0:v>
      </ns0:c>
      <ns0:c r="AG46" s="7">
        <ns0:f>IF(Z46&gt;=0,A46,1001)</ns0:f>
        <ns0:v>42</ns0:v>
      </ns0:c>
      <ns0:c r="AH46" s="4">
        <ns0:f>IF(Z46&lt;0,A46,0)</ns0:f>
        <ns0:v>0</ns0:v>
      </ns0:c>
      <ns0:c r="AI46" s="12">
        <ns0:f>IF(AND(OR('前提と出典'!$C$36+'前提と出典'!$C$38=0,X46&gt;=0),OR('前提と出典'!$C$37+'前提と出典'!$C$38=0,Y46&gt;=0)),0,A46)</ns0:f>
        <ns0:v>42</ns0:v>
      </ns0:c>
    </ns0:row>
    <ns0:row r="47" ht="24" customHeight="1">
      <ns0:c r="A47" s="4" t="n">
        <ns0:v>43</ns0:v>
      </ns0:c>
      <ns0:c r="B47" s="12">
        <ns0:f>A47*('前提と出典'!$C$36+'前提と出典'!$C$38)</ns0:f>
        <ns0:v>30.099999999999998</ns0:v>
      </ns0:c>
      <ns0:c r="C47" s="12">
        <ns0:f>A47*('前提と出典'!$C$37+'前提と出典'!$C$38)</ns0:f>
        <ns0:v>25.8</ns0:v>
      </ns0:c>
      <ns0:c r="D47" s="16">
        <ns0:f>A47*('前提と出典'!$C$36*'契約別単価'!C5+'前提と出典'!$C$37*'契約別単価'!C6+'前提と出典'!$C$38*'契約別単価'!C7)</ns0:f>
        <ns0:v>309.4078212290503</ns0:v>
      </ns0:c>
      <ns0:c r="E47" s="16">
        <ns0:f>A47*('前提と出典'!$C$36*'契約別単価'!E5+'前提と出典'!$C$37*'契約別単価'!E6+'前提と出典'!$C$38*'契約別単価'!E7)</ns0:f>
        <ns0:v>108096.53569935927</ns0:v>
      </ns0:c>
      <ns0:c r="F47" s="16">
        <ns0:f>A47*('前提と出典'!$C$36*'契約別単価'!F5+'前提と出典'!$C$37*'契約別単価'!F6+'前提と出典'!$C$38*'契約別単価'!F7)</ns0:f>
        <ns0:v>31410.0901674047</ns0:v>
      </ns0:c>
      <ns0:c r="G47" s="16">
        <ns0:f>A47*('前提と出典'!$C$36*'契約別単価'!G5+'前提と出典'!$C$37*'契約別単価'!G6+'前提と出典'!$C$38*'契約別単価'!G7)</ns0:f>
        <ns0:v>85591.62011173184</ns0:v>
      </ns0:c>
      <ns0:c r="H47" s="16">
        <ns0:f>A47*('前提と出典'!$C$36*'契約別単価'!H5+'前提と出典'!$C$37*'契約別単価'!H6+'前提と出典'!$C$38*'契約別単価'!H7)</ns0:f>
        <ns0:v>29704.58493585244</ns0:v>
      </ns0:c>
      <ns0:c r="I47" s="16">
        <ns0:f>A47*('前提と出典'!$C$36*'契約別単価'!I5+'前提と出典'!$C$37*'契約別単価'!I6+'前提と出典'!$C$38*'契約別単価'!I7)</ns0:f>
        <ns0:v>1814.40782122905</ns0:v>
      </ns0:c>
      <ns0:c r="J47" s="16">
        <ns0:f>A47*('前提と出典'!$C$36*'契約別単価'!J5+'前提と出典'!$C$37*'契約別単価'!J6+'前提と出典'!$C$38*'契約別単価'!J7)</ns0:f>
        <ns0:v>4226.45037954301</ns0:v>
      </ns0:c>
      <ns0:c r="K47" s="16">
        <ns0:f>A47*('前提と出典'!$C$36*'契約別単価'!K5+'前提と出典'!$C$37*'契約別単価'!K6+'前提と出典'!$C$38*'契約別単価'!K7)</ns0:f>
        <ns0:v>18116.052141527</ns0:v>
      </ns0:c>
      <ns0:c r="L47" s="16">
        <ns0:f>A47*('前提と出典'!$C$36*'契約別単価'!L5+'前提と出典'!$C$37*'契約別単価'!L6+'前提と出典'!$C$38*'契約別単価'!L7)</ns0:f>
        <ns0:v>14750.15283119508</ns0:v>
      </ns0:c>
      <ns0:c r="M47" s="16">
        <ns0:f>IF(('前提と出典'!$C$36+'前提と出典'!$C$38)=0,0,IF(B47&lt;=10,'前提と出典'!B73+'前提と出典'!C73,IF(B47&lt;=100,'前提と出典'!B74+'前提と出典'!C74,IF(B47&lt;=500,'前提と出典'!B75+'前提と出典'!C75,'前提と出典'!B76+'前提と出典'!C76))))</ns0:f>
        <ns0:v>20000</ns0:v>
      </ns0:c>
      <ns0:c r="N47" s="16">
        <ns0:f>IF(('前提と出典'!$C$37+'前提と出典'!$C$38)=0,0,IF(C47&lt;=10,'前提と出典'!D73+'前提と出典'!E73,IF(C47&lt;=100,'前提と出典'!D74+'前提と出典'!E74,IF(C47&lt;=500,'前提と出典'!D75+'前提と出典'!E75,'前提と出典'!D76+'前提と出典'!E76))))</ns0:f>
        <ns0:v>34510.9346263078</ns0:v>
      </ns0:c>
      <ns0:c r="O47" s="16">
        <ns0:f>IF('前提と出典'!$C$36+'前提と出典'!$C$38=0,0,'前提と出典'!$B$4*IF('前提と出典'!$B$20=0,MAX('前提と出典'!$B$6,D47*'前提と出典'!$B$5),'前提と出典'!$B$6+D47*'前提と出典'!$B$5))</ns0:f>
        <ns0:v>42698.27932960894</ns0:v>
      </ns0:c>
      <ns0:c r="P47" s="16">
        <ns0:f>(E47+G47)*(1-'前提と出典'!$B$7)-I47-K47-M47-O47</ns0:f>
        <ns0:v>104086.64290952685</ns0:v>
      </ns0:c>
      <ns0:c r="Q47" s="16">
        <ns0:f>(F47+H47)*(1-'前提と出典'!$B$7)-J47-L47-N47</ns0:f>
        <ns0:v>5427.008962493994</ns0:v>
      </ns0:c>
      <ns0:c r="R47" s="16">
        <ns0:f>P47-E47*'前提と出典'!$E$4</ns0:f>
        <ns0:v>71657.68219971909</ns0:v>
      </ns0:c>
      <ns0:c r="S47" s="16">
        <ns0:f>Q47-F47*'前提と出典'!$E$4</ns0:f>
        <ns0:v>-3996.018087727418</ns0:v>
      </ns0:c>
      <ns0:c r="T47" s="7">
        <ns0:f>R47+S47</ns0:f>
        <ns0:v>67661.66411199167</ns0:v>
      </ns0:c>
      <ns0:c r="U47" s="16">
        <ns0:f>P47-E47*'前提と出典'!$E$5</ns0:f>
        <ns0:v>60848.02862978315</ns0:v>
      </ns0:c>
      <ns0:c r="V47" s="16">
        <ns0:f>Q47-F47*'前提と出典'!$E$5</ns0:f>
        <ns0:v>-7137.027104467888</ns0:v>
      </ns0:c>
      <ns0:c r="W47" s="7">
        <ns0:f>U47+V47</ns0:f>
        <ns0:v>53711.00152531526</ns0:v>
      </ns0:c>
      <ns0:c r="X47" s="16">
        <ns0:f>P47-E47*'前提と出典'!$E$6</ns0:f>
        <ns0:v>50038.37505984724</ns0:v>
      </ns0:c>
      <ns0:c r="Y47" s="16">
        <ns0:f>Q47-F47*'前提と出典'!$E$6</ns0:f>
        <ns0:v>-10278.036121208359</ns0:v>
      </ns0:c>
      <ns0:c r="Z47" s="7">
        <ns0:f>X47+Y47</ns0:f>
        <ns0:v>39760.33893863888</ns0:v>
      </ns0:c>
      <ns0:c r="AA47" s="7">
        <ns0:f>IF(T47&gt;=0,A47,1001)</ns0:f>
        <ns0:v>43</ns0:v>
      </ns0:c>
      <ns0:c r="AB47" s="7">
        <ns0:f>IF(T47&lt;0,A47,0)</ns0:f>
        <ns0:v>0</ns0:v>
      </ns0:c>
      <ns0:c r="AC47" s="16">
        <ns0:f>IF(AND(OR('前提と出典'!$C$36+'前提と出典'!$C$38=0,R47&gt;=0),OR('前提と出典'!$C$37+'前提と出典'!$C$38=0,S47&gt;=0)),0,A47)</ns0:f>
        <ns0:v>43</ns0:v>
      </ns0:c>
      <ns0:c r="AD47" s="7">
        <ns0:f>IF(W47&gt;=0,A47,1001)</ns0:f>
        <ns0:v>43</ns0:v>
      </ns0:c>
      <ns0:c r="AE47" s="7">
        <ns0:f>IF(W47&lt;0,A47,0)</ns0:f>
        <ns0:v>0</ns0:v>
      </ns0:c>
      <ns0:c r="AF47" s="16">
        <ns0:f>IF(AND(OR('前提と出典'!$C$36+'前提と出典'!$C$38=0,U47&gt;=0),OR('前提と出典'!$C$37+'前提と出典'!$C$38=0,V47&gt;=0)),0,A47)</ns0:f>
        <ns0:v>43</ns0:v>
      </ns0:c>
      <ns0:c r="AG47" s="7">
        <ns0:f>IF(Z47&gt;=0,A47,1001)</ns0:f>
        <ns0:v>43</ns0:v>
      </ns0:c>
      <ns0:c r="AH47" s="4">
        <ns0:f>IF(Z47&lt;0,A47,0)</ns0:f>
        <ns0:v>0</ns0:v>
      </ns0:c>
      <ns0:c r="AI47" s="12">
        <ns0:f>IF(AND(OR('前提と出典'!$C$36+'前提と出典'!$C$38=0,X47&gt;=0),OR('前提と出典'!$C$37+'前提と出典'!$C$38=0,Y47&gt;=0)),0,A47)</ns0:f>
        <ns0:v>43</ns0:v>
      </ns0:c>
    </ns0:row>
    <ns0:row r="48" ht="24" customHeight="1">
      <ns0:c r="A48" s="4" t="n">
        <ns0:v>44</ns0:v>
      </ns0:c>
      <ns0:c r="B48" s="12">
        <ns0:f>A48*('前提と出典'!$C$36+'前提と出典'!$C$38)</ns0:f>
        <ns0:v>30.799999999999997</ns0:v>
      </ns0:c>
      <ns0:c r="C48" s="12">
        <ns0:f>A48*('前提と出典'!$C$37+'前提と出典'!$C$38)</ns0:f>
        <ns0:v>26.4</ns0:v>
      </ns0:c>
      <ns0:c r="D48" s="16">
        <ns0:f>A48*('前提と出典'!$C$36*'契約別単価'!C5+'前提と出典'!$C$37*'契約別単価'!C6+'前提と出典'!$C$38*'契約別単価'!C7)</ns0:f>
        <ns0:v>316.6033519553073</ns0:v>
      </ns0:c>
      <ns0:c r="E48" s="16">
        <ns0:f>A48*('前提と出典'!$C$36*'契約別単価'!E5+'前提と出典'!$C$37*'契約別単価'!E6+'前提と出典'!$C$38*'契約別単価'!E7)</ns0:f>
        <ns0:v>110610.40862260018</ns0:v>
      </ns0:c>
      <ns0:c r="F48" s="16">
        <ns0:f>A48*('前提と出典'!$C$36*'契約別単価'!F5+'前提と出典'!$C$37*'契約別単価'!F6+'前提と出典'!$C$38*'契約別単価'!F7)</ns0:f>
        <ns0:v>32140.55738060016</ns0:v>
      </ns0:c>
      <ns0:c r="G48" s="16">
        <ns0:f>A48*('前提と出典'!$C$36*'契約別単価'!G5+'前提と出典'!$C$37*'契約別単価'!G6+'前提と出典'!$C$38*'契約別単価'!G7)</ns0:f>
        <ns0:v>87582.12290502794</ns0:v>
      </ns0:c>
      <ns0:c r="H48" s="16">
        <ns0:f>A48*('前提と出典'!$C$36*'契約別単価'!H5+'前提と出典'!$C$37*'契約別単価'!H6+'前提と出典'!$C$38*'契約別単価'!H7)</ns0:f>
        <ns0:v>30395.38923668622</ns0:v>
      </ns0:c>
      <ns0:c r="I48" s="16">
        <ns0:f>A48*('前提と出典'!$C$36*'契約別単価'!I5+'前提と出典'!$C$37*'契約別単価'!I6+'前提と出典'!$C$38*'契約別単価'!I7)</ns0:f>
        <ns0:v>1856.603351955307</ns0:v>
      </ns0:c>
      <ns0:c r="J48" s="16">
        <ns0:f>A48*('前提と出典'!$C$36*'契約別単価'!J5+'前提と出典'!$C$37*'契約別単価'!J6+'前提と出典'!$C$38*'契約別単価'!J7)</ns0:f>
        <ns0:v>4324.739923253313</ns0:v>
      </ns0:c>
      <ns0:c r="K48" s="16">
        <ns0:f>A48*('前提と出典'!$C$36*'契約別単価'!K5+'前提と出典'!$C$37*'契約別単価'!K6+'前提と出典'!$C$38*'契約別単価'!K7)</ns0:f>
        <ns0:v>18537.355679702046</ns0:v>
      </ns0:c>
      <ns0:c r="L48" s="16">
        <ns0:f>A48*('前提と出典'!$C$36*'契約別単価'!L5+'前提と出典'!$C$37*'契約別単価'!L6+'前提と出典'!$C$38*'契約別単価'!L7)</ns0:f>
        <ns0:v>15093.179641222874</ns0:v>
      </ns0:c>
      <ns0:c r="M48" s="16">
        <ns0:f>IF(('前提と出典'!$C$36+'前提と出典'!$C$38)=0,0,IF(B48&lt;=10,'前提と出典'!B73+'前提と出典'!C73,IF(B48&lt;=100,'前提と出典'!B74+'前提と出典'!C74,IF(B48&lt;=500,'前提と出典'!B75+'前提と出典'!C75,'前提と出典'!B76+'前提と出典'!C76))))</ns0:f>
        <ns0:v>20000</ns0:v>
      </ns0:c>
      <ns0:c r="N48" s="16">
        <ns0:f>IF(('前提と出典'!$C$37+'前提と出典'!$C$38)=0,0,IF(C48&lt;=10,'前提と出典'!D73+'前提と出典'!E73,IF(C48&lt;=100,'前提と出典'!D74+'前提と出典'!E74,IF(C48&lt;=500,'前提と出典'!D75+'前提と出典'!E75,'前提と出典'!D76+'前提と出典'!E76))))</ns0:f>
        <ns0:v>34510.9346263078</ns0:v>
      </ns0:c>
      <ns0:c r="O48" s="16">
        <ns0:f>IF('前提と出典'!$C$36+'前提と出典'!$C$38=0,0,'前提と出典'!$B$4*IF('前提と出典'!$B$20=0,MAX('前提と出典'!$B$6,D48*'前提と出典'!$B$5),'前提と出典'!$B$6+D48*'前提と出典'!$B$5))</ns0:f>
        <ns0:v>43691.26256983241</ns0:v>
      </ns0:c>
      <ns0:c r="P48" s="16">
        <ns0:f>(E48+G48)*(1-'前提と出典'!$B$7)-I48-K48-M48-O48</ns0:f>
        <ns0:v>106972.37879114375</ns0:v>
      </ns0:c>
      <ns0:c r="Q48" s="16">
        <ns0:f>(F48+H48)*(1-'前提と出典'!$B$7)-J48-L48-N48</ns0:f>
        <ns0:v>6355.798348280083</ns0:v>
      </ns0:c>
      <ns0:c r="R48" s="16">
        <ns0:f>P48-E48*'前提と出典'!$E$4</ns0:f>
        <ns0:v>73789.25620436372</ns0:v>
      </ns0:c>
      <ns0:c r="S48" s="16">
        <ns0:f>Q48-F48*'前提と出典'!$E$4</ns0:f>
        <ns0:v>-3286.368865899967</ns0:v>
      </ns0:c>
      <ns0:c r="T48" s="7">
        <ns0:f>R48+S48</ns0:f>
        <ns0:v>70502.88733846374</ns0:v>
      </ns0:c>
      <ns0:c r="U48" s="16">
        <ns0:f>P48-E48*'前提と出典'!$E$5</ns0:f>
        <ns0:v>62728.21534210368</ns0:v>
      </ns0:c>
      <ns0:c r="V48" s="16">
        <ns0:f>Q48-F48*'前提と出典'!$E$5</ns0:f>
        <ns0:v>-6500.424603959982</ns0:v>
      </ns0:c>
      <ns0:c r="W48" s="7">
        <ns0:f>U48+V48</ns0:f>
        <ns0:v>56227.790738143696</ns0:v>
      </ns0:c>
      <ns0:c r="X48" s="16">
        <ns0:f>P48-E48*'前提と出典'!$E$6</ns0:f>
        <ns0:v>51667.17447984367</ns0:v>
      </ns0:c>
      <ns0:c r="Y48" s="16">
        <ns0:f>Q48-F48*'前提と出典'!$E$6</ns0:f>
        <ns0:v>-9714.480342019997</ns0:v>
      </ns0:c>
      <ns0:c r="Z48" s="7">
        <ns0:f>X48+Y48</ns0:f>
        <ns0:v>41952.69413782367</ns0:v>
      </ns0:c>
      <ns0:c r="AA48" s="7">
        <ns0:f>IF(T48&gt;=0,A48,1001)</ns0:f>
        <ns0:v>44</ns0:v>
      </ns0:c>
      <ns0:c r="AB48" s="7">
        <ns0:f>IF(T48&lt;0,A48,0)</ns0:f>
        <ns0:v>0</ns0:v>
      </ns0:c>
      <ns0:c r="AC48" s="16">
        <ns0:f>IF(AND(OR('前提と出典'!$C$36+'前提と出典'!$C$38=0,R48&gt;=0),OR('前提と出典'!$C$37+'前提と出典'!$C$38=0,S48&gt;=0)),0,A48)</ns0:f>
        <ns0:v>44</ns0:v>
      </ns0:c>
      <ns0:c r="AD48" s="7">
        <ns0:f>IF(W48&gt;=0,A48,1001)</ns0:f>
        <ns0:v>44</ns0:v>
      </ns0:c>
      <ns0:c r="AE48" s="7">
        <ns0:f>IF(W48&lt;0,A48,0)</ns0:f>
        <ns0:v>0</ns0:v>
      </ns0:c>
      <ns0:c r="AF48" s="16">
        <ns0:f>IF(AND(OR('前提と出典'!$C$36+'前提と出典'!$C$38=0,U48&gt;=0),OR('前提と出典'!$C$37+'前提と出典'!$C$38=0,V48&gt;=0)),0,A48)</ns0:f>
        <ns0:v>44</ns0:v>
      </ns0:c>
      <ns0:c r="AG48" s="7">
        <ns0:f>IF(Z48&gt;=0,A48,1001)</ns0:f>
        <ns0:v>44</ns0:v>
      </ns0:c>
      <ns0:c r="AH48" s="4">
        <ns0:f>IF(Z48&lt;0,A48,0)</ns0:f>
        <ns0:v>0</ns0:v>
      </ns0:c>
      <ns0:c r="AI48" s="12">
        <ns0:f>IF(AND(OR('前提と出典'!$C$36+'前提と出典'!$C$38=0,X48&gt;=0),OR('前提と出典'!$C$37+'前提と出典'!$C$38=0,Y48&gt;=0)),0,A48)</ns0:f>
        <ns0:v>44</ns0:v>
      </ns0:c>
    </ns0:row>
    <ns0:row r="49" ht="24" customHeight="1">
      <ns0:c r="A49" s="4" t="n">
        <ns0:v>45</ns0:v>
      </ns0:c>
      <ns0:c r="B49" s="12">
        <ns0:f>A49*('前提と出典'!$C$36+'前提と出典'!$C$38)</ns0:f>
        <ns0:v>31.499999999999996</ns0:v>
      </ns0:c>
      <ns0:c r="C49" s="12">
        <ns0:f>A49*('前提と出典'!$C$37+'前提と出典'!$C$38)</ns0:f>
        <ns0:v>27</ns0:v>
      </ns0:c>
      <ns0:c r="D49" s="16">
        <ns0:f>A49*('前提と出典'!$C$36*'契約別単価'!C5+'前提と出典'!$C$37*'契約別単価'!C6+'前提と出典'!$C$38*'契約別単価'!C7)</ns0:f>
        <ns0:v>323.79888268156424</ns0:v>
      </ns0:c>
      <ns0:c r="E49" s="16">
        <ns0:f>A49*('前提と出典'!$C$36*'契約別単価'!E5+'前提と出典'!$C$37*'契約別単価'!E6+'前提と出典'!$C$38*'契約別単価'!E7)</ns0:f>
        <ns0:v>113124.28154584109</ns0:v>
      </ns0:c>
      <ns0:c r="F49" s="16">
        <ns0:f>A49*('前提と出典'!$C$36*'契約別単価'!F5+'前提と出典'!$C$37*'契約別単価'!F6+'前提と出典'!$C$38*'契約別単価'!F7)</ns0:f>
        <ns0:v>32871.02459379562</ns0:v>
      </ns0:c>
      <ns0:c r="G49" s="16">
        <ns0:f>A49*('前提と出典'!$C$36*'契約別単価'!G5+'前提と出典'!$C$37*'契約別単価'!G6+'前提と出典'!$C$38*'契約別単価'!G7)</ns0:f>
        <ns0:v>89572.62569832402</ns0:v>
      </ns0:c>
      <ns0:c r="H49" s="16">
        <ns0:f>A49*('前提と出典'!$C$36*'契約別単価'!H5+'前提と出典'!$C$37*'契約別単価'!H6+'前提と出典'!$C$38*'契約別単価'!H7)</ns0:f>
        <ns0:v>31086.193537519997</ns0:v>
      </ns0:c>
      <ns0:c r="I49" s="16">
        <ns0:f>A49*('前提と出典'!$C$36*'契約別単価'!I5+'前提と出典'!$C$37*'契約別単価'!I6+'前提と出典'!$C$38*'契約別単価'!I7)</ns0:f>
        <ns0:v>1898.798882681564</ns0:v>
      </ns0:c>
      <ns0:c r="J49" s="16">
        <ns0:f>A49*('前提と出典'!$C$36*'契約別単価'!J5+'前提と出典'!$C$37*'契約別単価'!J6+'前提と出典'!$C$38*'契約別単価'!J7)</ns0:f>
        <ns0:v>4423.029466963616</ns0:v>
      </ns0:c>
      <ns0:c r="K49" s="16">
        <ns0:f>A49*('前提と出典'!$C$36*'契約別単価'!K5+'前提と出典'!$C$37*'契約別単価'!K6+'前提と出典'!$C$38*'契約別単価'!K7)</ns0:f>
        <ns0:v>18958.659217877095</ns0:v>
      </ns0:c>
      <ns0:c r="L49" s="16">
        <ns0:f>A49*('前提と出典'!$C$36*'契約別単価'!L5+'前提と出典'!$C$37*'契約別単価'!L6+'前提と出典'!$C$38*'契約別単価'!L7)</ns0:f>
        <ns0:v>15436.206451250666</ns0:v>
      </ns0:c>
      <ns0:c r="M49" s="16">
        <ns0:f>IF(('前提と出典'!$C$36+'前提と出典'!$C$38)=0,0,IF(B49&lt;=10,'前提と出典'!B73+'前提と出典'!C73,IF(B49&lt;=100,'前提と出典'!B74+'前提と出典'!C74,IF(B49&lt;=500,'前提と出典'!B75+'前提と出典'!C75,'前提と出典'!B76+'前提と出典'!C76))))</ns0:f>
        <ns0:v>20000</ns0:v>
      </ns0:c>
      <ns0:c r="N49" s="16">
        <ns0:f>IF(('前提と出典'!$C$37+'前提と出典'!$C$38)=0,0,IF(C49&lt;=10,'前提と出典'!D73+'前提と出典'!E73,IF(C49&lt;=100,'前提と出典'!D74+'前提と出典'!E74,IF(C49&lt;=500,'前提と出典'!D75+'前提と出典'!E75,'前提と出典'!D76+'前提と出典'!E76))))</ns0:f>
        <ns0:v>34510.9346263078</ns0:v>
      </ns0:c>
      <ns0:c r="O49" s="16">
        <ns0:f>IF('前提と出典'!$C$36+'前提と出典'!$C$38=0,0,'前提と出典'!$B$4*IF('前提と出典'!$B$20=0,MAX('前提と出典'!$B$6,D49*'前提と出典'!$B$5),'前提と出典'!$B$6+D49*'前提と出典'!$B$5))</ns0:f>
        <ns0:v>44684.24581005587</ns0:v>
      </ns0:c>
      <ns0:c r="P49" s="16">
        <ns0:f>(E49+G49)*(1-'前提と出典'!$B$7)-I49-K49-M49-O49</ns0:f>
        <ns0:v>109858.11467276065</ns0:v>
      </ns0:c>
      <ns0:c r="Q49" s="16">
        <ns0:f>(F49+H49)*(1-'前提と出典'!$B$7)-J49-L49-N49</ns0:f>
        <ns0:v>7284.587734066177</ns0:v>
      </ns0:c>
      <ns0:c r="R49" s="16">
        <ns0:f>P49-E49*'前提と出典'!$E$4</ns0:f>
        <ns0:v>75920.8302090083</ns0:v>
      </ns0:c>
      <ns0:c r="S49" s="16">
        <ns0:f>Q49-F49*'前提と出典'!$E$4</ns0:f>
        <ns0:v>-2576.7196440725056</ns0:v>
      </ns0:c>
      <ns0:c r="T49" s="7">
        <ns0:f>R49+S49</ns0:f>
        <ns0:v>73344.11056493579</ns0:v>
      </ns0:c>
      <ns0:c r="U49" s="16">
        <ns0:f>P49-E49*'前提と出典'!$E$5</ns0:f>
        <ns0:v>64608.40205442421</ns0:v>
      </ns0:c>
      <ns0:c r="V49" s="16">
        <ns0:f>Q49-F49*'前提と出典'!$E$5</ns0:f>
        <ns0:v>-5863.822103452072</ns0:v>
      </ns0:c>
      <ns0:c r="W49" s="7">
        <ns0:f>U49+V49</ns0:f>
        <ns0:v>58744.57995097214</ns0:v>
      </ns0:c>
      <ns0:c r="X49" s="16">
        <ns0:f>P49-E49*'前提と出典'!$E$6</ns0:f>
        <ns0:v>53295.9738998401</ns0:v>
      </ns0:c>
      <ns0:c r="Y49" s="16">
        <ns0:f>Q49-F49*'前提と出典'!$E$6</ns0:f>
        <ns0:v>-9150.924562831631</ns0:v>
      </ns0:c>
      <ns0:c r="Z49" s="7">
        <ns0:f>X49+Y49</ns0:f>
        <ns0:v>44145.04933700847</ns0:v>
      </ns0:c>
      <ns0:c r="AA49" s="7">
        <ns0:f>IF(T49&gt;=0,A49,1001)</ns0:f>
        <ns0:v>45</ns0:v>
      </ns0:c>
      <ns0:c r="AB49" s="7">
        <ns0:f>IF(T49&lt;0,A49,0)</ns0:f>
        <ns0:v>0</ns0:v>
      </ns0:c>
      <ns0:c r="AC49" s="16">
        <ns0:f>IF(AND(OR('前提と出典'!$C$36+'前提と出典'!$C$38=0,R49&gt;=0),OR('前提と出典'!$C$37+'前提と出典'!$C$38=0,S49&gt;=0)),0,A49)</ns0:f>
        <ns0:v>45</ns0:v>
      </ns0:c>
      <ns0:c r="AD49" s="7">
        <ns0:f>IF(W49&gt;=0,A49,1001)</ns0:f>
        <ns0:v>45</ns0:v>
      </ns0:c>
      <ns0:c r="AE49" s="7">
        <ns0:f>IF(W49&lt;0,A49,0)</ns0:f>
        <ns0:v>0</ns0:v>
      </ns0:c>
      <ns0:c r="AF49" s="16">
        <ns0:f>IF(AND(OR('前提と出典'!$C$36+'前提と出典'!$C$38=0,U49&gt;=0),OR('前提と出典'!$C$37+'前提と出典'!$C$38=0,V49&gt;=0)),0,A49)</ns0:f>
        <ns0:v>45</ns0:v>
      </ns0:c>
      <ns0:c r="AG49" s="7">
        <ns0:f>IF(Z49&gt;=0,A49,1001)</ns0:f>
        <ns0:v>45</ns0:v>
      </ns0:c>
      <ns0:c r="AH49" s="4">
        <ns0:f>IF(Z49&lt;0,A49,0)</ns0:f>
        <ns0:v>0</ns0:v>
      </ns0:c>
      <ns0:c r="AI49" s="12">
        <ns0:f>IF(AND(OR('前提と出典'!$C$36+'前提と出典'!$C$38=0,X49&gt;=0),OR('前提と出典'!$C$37+'前提と出典'!$C$38=0,Y49&gt;=0)),0,A49)</ns0:f>
        <ns0:v>45</ns0:v>
      </ns0:c>
    </ns0:row>
    <ns0:row r="50" ht="24" customHeight="1">
      <ns0:c r="A50" s="4" t="n">
        <ns0:v>46</ns0:v>
      </ns0:c>
      <ns0:c r="B50" s="12">
        <ns0:f>A50*('前提と出典'!$C$36+'前提と出典'!$C$38)</ns0:f>
        <ns0:v>32.199999999999996</ns0:v>
      </ns0:c>
      <ns0:c r="C50" s="12">
        <ns0:f>A50*('前提と出典'!$C$37+'前提と出典'!$C$38)</ns0:f>
        <ns0:v>27.599999999999998</ns0:v>
      </ns0:c>
      <ns0:c r="D50" s="16">
        <ns0:f>A50*('前提と出典'!$C$36*'契約別単価'!C5+'前提と出典'!$C$37*'契約別単価'!C6+'前提と出典'!$C$38*'契約別単価'!C7)</ns0:f>
        <ns0:v>330.99441340782124</ns0:v>
      </ns0:c>
      <ns0:c r="E50" s="16">
        <ns0:f>A50*('前提と出典'!$C$36*'契約別単価'!E5+'前提と出典'!$C$37*'契約別単価'!E6+'前提と出典'!$C$38*'契約別単価'!E7)</ns0:f>
        <ns0:v>115638.15446908202</ns0:v>
      </ns0:c>
      <ns0:c r="F50" s="16">
        <ns0:f>A50*('前提と出典'!$C$36*'契約別単価'!F5+'前提と出典'!$C$37*'契約別単価'!F6+'前提と出典'!$C$38*'契約別単価'!F7)</ns0:f>
        <ns0:v>33601.49180699108</ns0:v>
      </ns0:c>
      <ns0:c r="G50" s="16">
        <ns0:f>A50*('前提と出典'!$C$36*'契約別単価'!G5+'前提と出典'!$C$37*'契約別単価'!G6+'前提と出典'!$C$38*'契約別単価'!G7)</ns0:f>
        <ns0:v>91563.12849162011</ns0:v>
      </ns0:c>
      <ns0:c r="H50" s="16">
        <ns0:f>A50*('前提と出典'!$C$36*'契約別単価'!H5+'前提と出典'!$C$37*'契約別単価'!H6+'前提と出典'!$C$38*'契約別単価'!H7)</ns0:f>
        <ns0:v>31776.997838353775</ns0:v>
      </ns0:c>
      <ns0:c r="I50" s="16">
        <ns0:f>A50*('前提と出典'!$C$36*'契約別単価'!I5+'前提と出典'!$C$37*'契約別単価'!I6+'前提と出典'!$C$38*'契約別単価'!I7)</ns0:f>
        <ns0:v>1940.994413407821</ns0:v>
      </ns0:c>
      <ns0:c r="J50" s="16">
        <ns0:f>A50*('前提と出典'!$C$36*'契約別単価'!J5+'前提と出典'!$C$37*'契約別単価'!J6+'前提と出典'!$C$38*'契約別単価'!J7)</ns0:f>
        <ns0:v>4521.3190106739185</ns0:v>
      </ns0:c>
      <ns0:c r="K50" s="16">
        <ns0:f>A50*('前提と出典'!$C$36*'契約別単価'!K5+'前提と出典'!$C$37*'契約別単価'!K6+'前提と出典'!$C$38*'契約別単価'!K7)</ns0:f>
        <ns0:v>19379.96275605214</ns0:v>
      </ns0:c>
      <ns0:c r="L50" s="16">
        <ns0:f>A50*('前提と出典'!$C$36*'契約別単価'!L5+'前提と出典'!$C$37*'契約別単価'!L6+'前提と出典'!$C$38*'契約別単価'!L7)</ns0:f>
        <ns0:v>15779.23326127846</ns0:v>
      </ns0:c>
      <ns0:c r="M50" s="16">
        <ns0:f>IF(('前提と出典'!$C$36+'前提と出典'!$C$38)=0,0,IF(B50&lt;=10,'前提と出典'!B73+'前提と出典'!C73,IF(B50&lt;=100,'前提と出典'!B74+'前提と出典'!C74,IF(B50&lt;=500,'前提と出典'!B75+'前提と出典'!C75,'前提と出典'!B76+'前提と出典'!C76))))</ns0:f>
        <ns0:v>20000</ns0:v>
      </ns0:c>
      <ns0:c r="N50" s="16">
        <ns0:f>IF(('前提と出典'!$C$37+'前提と出典'!$C$38)=0,0,IF(C50&lt;=10,'前提と出典'!D73+'前提と出典'!E73,IF(C50&lt;=100,'前提と出典'!D74+'前提と出典'!E74,IF(C50&lt;=500,'前提と出典'!D75+'前提と出典'!E75,'前提と出典'!D76+'前提と出典'!E76))))</ns0:f>
        <ns0:v>34510.9346263078</ns0:v>
      </ns0:c>
      <ns0:c r="O50" s="16">
        <ns0:f>IF('前提と出典'!$C$36+'前提と出典'!$C$38=0,0,'前提と出典'!$B$4*IF('前提と出典'!$B$20=0,MAX('前提と出典'!$B$6,D50*'前提と出典'!$B$5),'前提と出典'!$B$6+D50*'前提と出典'!$B$5))</ns0:f>
        <ns0:v>45677.22905027934</ns0:v>
      </ns0:c>
      <ns0:c r="P50" s="16">
        <ns0:f>(E50+G50)*(1-'前提と出典'!$B$7)-I50-K50-M50-O50</ns0:f>
        <ns0:v>112743.85055437757</ns0:v>
      </ns0:c>
      <ns0:c r="Q50" s="16">
        <ns0:f>(F50+H50)*(1-'前提と出典'!$B$7)-J50-L50-N50</ns0:f>
        <ns0:v>8213.377119852255</ns0:v>
      </ns0:c>
      <ns0:c r="R50" s="16">
        <ns0:f>P50-E50*'前提と出典'!$E$4</ns0:f>
        <ns0:v>78052.40421365298</ns0:v>
      </ns0:c>
      <ns0:c r="S50" s="16">
        <ns0:f>Q50-F50*'前提と出典'!$E$4</ns0:f>
        <ns0:v>-1867.0704222450659</ns0:v>
      </ns0:c>
      <ns0:c r="T50" s="7">
        <ns0:f>R50+S50</ns0:f>
        <ns0:v>76185.3337914079</ns0:v>
      </ns0:c>
      <ns0:c r="U50" s="16">
        <ns0:f>P50-E50*'前提と出典'!$E$5</ns0:f>
        <ns0:v>66488.58876674477</ns0:v>
      </ns0:c>
      <ns0:c r="V50" s="16">
        <ns0:f>Q50-F50*'前提と出典'!$E$5</ns0:f>
        <ns0:v>-5227.219602944177</ns0:v>
      </ns0:c>
      <ns0:c r="W50" s="7">
        <ns0:f>U50+V50</ns0:f>
        <ns0:v>61261.36916380059</ns0:v>
      </ns0:c>
      <ns0:c r="X50" s="16">
        <ns0:f>P50-E50*'前提と出典'!$E$6</ns0:f>
        <ns0:v>54924.77331983655</ns0:v>
      </ns0:c>
      <ns0:c r="Y50" s="16">
        <ns0:f>Q50-F50*'前提と出典'!$E$6</ns0:f>
        <ns0:v>-8587.36878364328</ns0:v>
      </ns0:c>
      <ns0:c r="Z50" s="7">
        <ns0:f>X50+Y50</ns0:f>
        <ns0:v>46337.40453619327</ns0:v>
      </ns0:c>
      <ns0:c r="AA50" s="7">
        <ns0:f>IF(T50&gt;=0,A50,1001)</ns0:f>
        <ns0:v>46</ns0:v>
      </ns0:c>
      <ns0:c r="AB50" s="7">
        <ns0:f>IF(T50&lt;0,A50,0)</ns0:f>
        <ns0:v>0</ns0:v>
      </ns0:c>
      <ns0:c r="AC50" s="16">
        <ns0:f>IF(AND(OR('前提と出典'!$C$36+'前提と出典'!$C$38=0,R50&gt;=0),OR('前提と出典'!$C$37+'前提と出典'!$C$38=0,S50&gt;=0)),0,A50)</ns0:f>
        <ns0:v>46</ns0:v>
      </ns0:c>
      <ns0:c r="AD50" s="7">
        <ns0:f>IF(W50&gt;=0,A50,1001)</ns0:f>
        <ns0:v>46</ns0:v>
      </ns0:c>
      <ns0:c r="AE50" s="7">
        <ns0:f>IF(W50&lt;0,A50,0)</ns0:f>
        <ns0:v>0</ns0:v>
      </ns0:c>
      <ns0:c r="AF50" s="16">
        <ns0:f>IF(AND(OR('前提と出典'!$C$36+'前提と出典'!$C$38=0,U50&gt;=0),OR('前提と出典'!$C$37+'前提と出典'!$C$38=0,V50&gt;=0)),0,A50)</ns0:f>
        <ns0:v>46</ns0:v>
      </ns0:c>
      <ns0:c r="AG50" s="7">
        <ns0:f>IF(Z50&gt;=0,A50,1001)</ns0:f>
        <ns0:v>46</ns0:v>
      </ns0:c>
      <ns0:c r="AH50" s="4">
        <ns0:f>IF(Z50&lt;0,A50,0)</ns0:f>
        <ns0:v>0</ns0:v>
      </ns0:c>
      <ns0:c r="AI50" s="12">
        <ns0:f>IF(AND(OR('前提と出典'!$C$36+'前提と出典'!$C$38=0,X50&gt;=0),OR('前提と出典'!$C$37+'前提と出典'!$C$38=0,Y50&gt;=0)),0,A50)</ns0:f>
        <ns0:v>46</ns0:v>
      </ns0:c>
    </ns0:row>
    <ns0:row r="51" ht="24" customHeight="1">
      <ns0:c r="A51" s="4" t="n">
        <ns0:v>47</ns0:v>
      </ns0:c>
      <ns0:c r="B51" s="12">
        <ns0:f>A51*('前提と出典'!$C$36+'前提と出典'!$C$38)</ns0:f>
        <ns0:v>32.9</ns0:v>
      </ns0:c>
      <ns0:c r="C51" s="12">
        <ns0:f>A51*('前提と出典'!$C$37+'前提と出典'!$C$38)</ns0:f>
        <ns0:v>28.2</ns0:v>
      </ns0:c>
      <ns0:c r="D51" s="16">
        <ns0:f>A51*('前提と出典'!$C$36*'契約別単価'!C5+'前提と出典'!$C$37*'契約別単価'!C6+'前提と出典'!$C$38*'契約別単価'!C7)</ns0:f>
        <ns0:v>338.1899441340782</ns0:v>
      </ns0:c>
      <ns0:c r="E51" s="16">
        <ns0:f>A51*('前提と出典'!$C$36*'契約別単価'!E5+'前提と出典'!$C$37*'契約別単価'!E6+'前提と出典'!$C$38*'契約別単価'!E7)</ns0:f>
        <ns0:v>118152.02739232293</ns0:v>
      </ns0:c>
      <ns0:c r="F51" s="16">
        <ns0:f>A51*('前提と出典'!$C$36*'契約別単価'!F5+'前提と出典'!$C$37*'契約別単価'!F6+'前提と出典'!$C$38*'契約別単価'!F7)</ns0:f>
        <ns0:v>34331.959020186536</ns0:v>
      </ns0:c>
      <ns0:c r="G51" s="16">
        <ns0:f>A51*('前提と出典'!$C$36*'契約別単価'!G5+'前提と出典'!$C$37*'契約別単価'!G6+'前提と出典'!$C$38*'契約別単価'!G7)</ns0:f>
        <ns0:v>93553.63128491619</ns0:v>
      </ns0:c>
      <ns0:c r="H51" s="16">
        <ns0:f>A51*('前提と出典'!$C$36*'契約別単価'!H5+'前提と出典'!$C$37*'契約別単価'!H6+'前提と出典'!$C$38*'契約別単価'!H7)</ns0:f>
        <ns0:v>32467.80213918755</ns0:v>
      </ns0:c>
      <ns0:c r="I51" s="16">
        <ns0:f>A51*('前提と出典'!$C$36*'契約別単価'!I5+'前提と出典'!$C$37*'契約別単価'!I6+'前提と出典'!$C$38*'契約別単価'!I7)</ns0:f>
        <ns0:v>1983.189944134078</ns0:v>
      </ns0:c>
      <ns0:c r="J51" s="16">
        <ns0:f>A51*('前提と出典'!$C$36*'契約別単価'!J5+'前提と出典'!$C$37*'契約別単価'!J6+'前提と出典'!$C$38*'契約別単価'!J7)</ns0:f>
        <ns0:v>4619.608554384221</ns0:v>
      </ns0:c>
      <ns0:c r="K51" s="16">
        <ns0:f>A51*('前提と出典'!$C$36*'契約別単価'!K5+'前提と出典'!$C$37*'契約別単価'!K6+'前提と出典'!$C$38*'契約別単価'!K7)</ns0:f>
        <ns0:v>19801.266294227185</ns0:v>
      </ns0:c>
      <ns0:c r="L51" s="16">
        <ns0:f>A51*('前提と出典'!$C$36*'契約別単価'!L5+'前提と出典'!$C$37*'契約別単価'!L6+'前提と出典'!$C$38*'契約別単価'!L7)</ns0:f>
        <ns0:v>16122.260071306251</ns0:v>
      </ns0:c>
      <ns0:c r="M51" s="16">
        <ns0:f>IF(('前提と出典'!$C$36+'前提と出典'!$C$38)=0,0,IF(B51&lt;=10,'前提と出典'!B73+'前提と出典'!C73,IF(B51&lt;=100,'前提と出典'!B74+'前提と出典'!C74,IF(B51&lt;=500,'前提と出典'!B75+'前提と出典'!C75,'前提と出典'!B76+'前提と出典'!C76))))</ns0:f>
        <ns0:v>20000</ns0:v>
      </ns0:c>
      <ns0:c r="N51" s="16">
        <ns0:f>IF(('前提と出典'!$C$37+'前提と出典'!$C$38)=0,0,IF(C51&lt;=10,'前提と出典'!D73+'前提と出典'!E73,IF(C51&lt;=100,'前提と出典'!D74+'前提と出典'!E74,IF(C51&lt;=500,'前提と出典'!D75+'前提と出典'!E75,'前提と出典'!D76+'前提と出典'!E76))))</ns0:f>
        <ns0:v>34510.9346263078</ns0:v>
      </ns0:c>
      <ns0:c r="O51" s="16">
        <ns0:f>IF('前提と出典'!$C$36+'前提と出典'!$C$38=0,0,'前提と出典'!$B$4*IF('前提と出典'!$B$20=0,MAX('前提と出典'!$B$6,D51*'前提と出典'!$B$5),'前提と出典'!$B$6+D51*'前提と出典'!$B$5))</ns0:f>
        <ns0:v>46670.21229050279</ns0:v>
      </ns0:c>
      <ns0:c r="P51" s="16">
        <ns0:f>(E51+G51)*(1-'前提と出典'!$B$7)-I51-K51-M51-O51</ns0:f>
        <ns0:v>115629.58643599445</ns0:v>
      </ns0:c>
      <ns0:c r="Q51" s="16">
        <ns0:f>(F51+H51)*(1-'前提と出典'!$B$7)-J51-L51-N51</ns0:f>
        <ns0:v>9142.166505638359</ns0:v>
      </ns0:c>
      <ns0:c r="R51" s="16">
        <ns0:f>P51-E51*'前提と出典'!$E$4</ns0:f>
        <ns0:v>80183.97821829759</ns0:v>
      </ns0:c>
      <ns0:c r="S51" s="16">
        <ns0:f>Q51-F51*'前提と出典'!$E$4</ns0:f>
        <ns0:v>-1157.4212004176006</ns0:v>
      </ns0:c>
      <ns0:c r="T51" s="7">
        <ns0:f>R51+S51</ns0:f>
        <ns0:v>79026.55701788</ns0:v>
      </ns0:c>
      <ns0:c r="U51" s="16">
        <ns0:f>P51-E51*'前提と出典'!$E$5</ns0:f>
        <ns0:v>68368.77547906528</ns0:v>
      </ns0:c>
      <ns0:c r="V51" s="16">
        <ns0:f>Q51-F51*'前提と出典'!$E$5</ns0:f>
        <ns0:v>-4590.617102436256</ns0:v>
      </ns0:c>
      <ns0:c r="W51" s="7">
        <ns0:f>U51+V51</ns0:f>
        <ns0:v>63778.15837662903</ns0:v>
      </ns0:c>
      <ns0:c r="X51" s="16">
        <ns0:f>P51-E51*'前提と出典'!$E$6</ns0:f>
        <ns0:v>56553.57273983298</ns0:v>
      </ns0:c>
      <ns0:c r="Y51" s="16">
        <ns0:f>Q51-F51*'前提と出典'!$E$6</ns0:f>
        <ns0:v>-8023.813004454911</ns0:v>
      </ns0:c>
      <ns0:c r="Z51" s="7">
        <ns0:f>X51+Y51</ns0:f>
        <ns0:v>48529.759735378066</ns0:v>
      </ns0:c>
      <ns0:c r="AA51" s="7">
        <ns0:f>IF(T51&gt;=0,A51,1001)</ns0:f>
        <ns0:v>47</ns0:v>
      </ns0:c>
      <ns0:c r="AB51" s="7">
        <ns0:f>IF(T51&lt;0,A51,0)</ns0:f>
        <ns0:v>0</ns0:v>
      </ns0:c>
      <ns0:c r="AC51" s="16">
        <ns0:f>IF(AND(OR('前提と出典'!$C$36+'前提と出典'!$C$38=0,R51&gt;=0),OR('前提と出典'!$C$37+'前提と出典'!$C$38=0,S51&gt;=0)),0,A51)</ns0:f>
        <ns0:v>47</ns0:v>
      </ns0:c>
      <ns0:c r="AD51" s="7">
        <ns0:f>IF(W51&gt;=0,A51,1001)</ns0:f>
        <ns0:v>47</ns0:v>
      </ns0:c>
      <ns0:c r="AE51" s="7">
        <ns0:f>IF(W51&lt;0,A51,0)</ns0:f>
        <ns0:v>0</ns0:v>
      </ns0:c>
      <ns0:c r="AF51" s="16">
        <ns0:f>IF(AND(OR('前提と出典'!$C$36+'前提と出典'!$C$38=0,U51&gt;=0),OR('前提と出典'!$C$37+'前提と出典'!$C$38=0,V51&gt;=0)),0,A51)</ns0:f>
        <ns0:v>47</ns0:v>
      </ns0:c>
      <ns0:c r="AG51" s="7">
        <ns0:f>IF(Z51&gt;=0,A51,1001)</ns0:f>
        <ns0:v>47</ns0:v>
      </ns0:c>
      <ns0:c r="AH51" s="4">
        <ns0:f>IF(Z51&lt;0,A51,0)</ns0:f>
        <ns0:v>0</ns0:v>
      </ns0:c>
      <ns0:c r="AI51" s="12">
        <ns0:f>IF(AND(OR('前提と出典'!$C$36+'前提と出典'!$C$38=0,X51&gt;=0),OR('前提と出典'!$C$37+'前提と出典'!$C$38=0,Y51&gt;=0)),0,A51)</ns0:f>
        <ns0:v>47</ns0:v>
      </ns0:c>
    </ns0:row>
    <ns0:row r="52" ht="24" customHeight="1">
      <ns0:c r="A52" s="4" t="n">
        <ns0:v>48</ns0:v>
      </ns0:c>
      <ns0:c r="B52" s="12">
        <ns0:f>A52*('前提と出典'!$C$36+'前提と出典'!$C$38)</ns0:f>
        <ns0:v>33.599999999999994</ns0:v>
      </ns0:c>
      <ns0:c r="C52" s="12">
        <ns0:f>A52*('前提と出典'!$C$37+'前提と出典'!$C$38)</ns0:f>
        <ns0:v>28.799999999999997</ns0:v>
      </ns0:c>
      <ns0:c r="D52" s="16">
        <ns0:f>A52*('前提と出典'!$C$36*'契約別単価'!C5+'前提と出典'!$C$37*'契約別単価'!C6+'前提と出典'!$C$38*'契約別単価'!C7)</ns0:f>
        <ns0:v>345.3854748603352</ns0:v>
      </ns0:c>
      <ns0:c r="E52" s="16">
        <ns0:f>A52*('前提と出典'!$C$36*'契約別単価'!E5+'前提と出典'!$C$37*'契約別単価'!E6+'前提と出典'!$C$38*'契約別単価'!E7)</ns0:f>
        <ns0:v>120665.90031556383</ns0:v>
      </ns0:c>
      <ns0:c r="F52" s="16">
        <ns0:f>A52*('前提と出典'!$C$36*'契約別単価'!F5+'前提と出典'!$C$37*'契約別単価'!F6+'前提と出典'!$C$38*'契約別単価'!F7)</ns0:f>
        <ns0:v>35062.42623338199</ns0:v>
      </ns0:c>
      <ns0:c r="G52" s="16">
        <ns0:f>A52*('前提と出典'!$C$36*'契約別単価'!G5+'前提と出典'!$C$37*'契約別単価'!G6+'前提と出典'!$C$38*'契約別単価'!G7)</ns0:f>
        <ns0:v>95544.13407821229</ns0:v>
      </ns0:c>
      <ns0:c r="H52" s="16">
        <ns0:f>A52*('前提と出典'!$C$36*'契約別単価'!H5+'前提と出典'!$C$37*'契約別単価'!H6+'前提と出典'!$C$38*'契約別単価'!H7)</ns0:f>
        <ns0:v>33158.60644002133</ns0:v>
      </ns0:c>
      <ns0:c r="I52" s="16">
        <ns0:f>A52*('前提と出典'!$C$36*'契約別単価'!I5+'前提と出典'!$C$37*'契約別単価'!I6+'前提と出典'!$C$38*'契約別単価'!I7)</ns0:f>
        <ns0:v>2025.3854748603349</ns0:v>
      </ns0:c>
      <ns0:c r="J52" s="16">
        <ns0:f>A52*('前提と出典'!$C$36*'契約別単価'!J5+'前提と出典'!$C$37*'契約別単価'!J6+'前提と出典'!$C$38*'契約別単価'!J7)</ns0:f>
        <ns0:v>4717.898098094523</ns0:v>
      </ns0:c>
      <ns0:c r="K52" s="16">
        <ns0:f>A52*('前提と出典'!$C$36*'契約別単価'!K5+'前提と出典'!$C$37*'契約別単価'!K6+'前提と出典'!$C$38*'契約別単価'!K7)</ns0:f>
        <ns0:v>20222.569832402234</ns0:v>
      </ns0:c>
      <ns0:c r="L52" s="16">
        <ns0:f>A52*('前提と出典'!$C$36*'契約別単価'!L5+'前提と出典'!$C$37*'契約別単価'!L6+'前提と出典'!$C$38*'契約別単価'!L7)</ns0:f>
        <ns0:v>16465.286881334043</ns0:v>
      </ns0:c>
      <ns0:c r="M52" s="16">
        <ns0:f>IF(('前提と出典'!$C$36+'前提と出典'!$C$38)=0,0,IF(B52&lt;=10,'前提と出典'!B73+'前提と出典'!C73,IF(B52&lt;=100,'前提と出典'!B74+'前提と出典'!C74,IF(B52&lt;=500,'前提と出典'!B75+'前提と出典'!C75,'前提と出典'!B76+'前提と出典'!C76))))</ns0:f>
        <ns0:v>20000</ns0:v>
      </ns0:c>
      <ns0:c r="N52" s="16">
        <ns0:f>IF(('前提と出典'!$C$37+'前提と出典'!$C$38)=0,0,IF(C52&lt;=10,'前提と出典'!D73+'前提と出典'!E73,IF(C52&lt;=100,'前提と出典'!D74+'前提と出典'!E74,IF(C52&lt;=500,'前提と出典'!D75+'前提と出典'!E75,'前提と出典'!D76+'前提と出典'!E76))))</ns0:f>
        <ns0:v>34510.9346263078</ns0:v>
      </ns0:c>
      <ns0:c r="O52" s="16">
        <ns0:f>IF('前提と出典'!$C$36+'前提と出典'!$C$38=0,0,'前提と出典'!$B$4*IF('前提と出典'!$B$20=0,MAX('前提と出典'!$B$6,D52*'前提と出典'!$B$5),'前提と出典'!$B$6+D52*'前提と出典'!$B$5))</ns0:f>
        <ns0:v>47663.19553072626</ns0:v>
      </ns0:c>
      <ns0:c r="P52" s="16">
        <ns0:f>(E52+G52)*(1-'前提と出典'!$B$7)-I52-K52-M52-O52</ns0:f>
        <ns0:v>118515.32231761137</ns0:v>
      </ns0:c>
      <ns0:c r="Q52" s="16">
        <ns0:f>(F52+H52)*(1-'前提と出典'!$B$7)-J52-L52-N52</ns0:f>
        <ns0:v>10070.955891424452</ns0:v>
      </ns0:c>
      <ns0:c r="R52" s="16">
        <ns0:f>P52-E52*'前提と出典'!$E$4</ns0:f>
        <ns0:v>82315.5522229422</ns0:v>
      </ns0:c>
      <ns0:c r="S52" s="16">
        <ns0:f>Q52-F52*'前提と出典'!$E$4</ns0:f>
        <ns0:v>-447.77197859014996</ns0:v>
      </ns0:c>
      <ns0:c r="T52" s="7">
        <ns0:f>R52+S52</ns0:f>
        <ns0:v>81867.78024435206</ns0:v>
      </ns0:c>
      <ns0:c r="U52" s="16">
        <ns0:f>P52-E52*'前提と出典'!$E$5</ns0:f>
        <ns0:v>70248.96219138583</ns0:v>
      </ns0:c>
      <ns0:c r="V52" s="16">
        <ns0:f>Q52-F52*'前提と出典'!$E$5</ns0:f>
        <ns0:v>-3954.0146019283457</ns0:v>
      </ns0:c>
      <ns0:c r="W52" s="7">
        <ns0:f>U52+V52</ns0:f>
        <ns0:v>66294.94758945749</ns0:v>
      </ns0:c>
      <ns0:c r="X52" s="16">
        <ns0:f>P52-E52*'前提と出典'!$E$6</ns0:f>
        <ns0:v>58182.37215982943</ns0:v>
      </ns0:c>
      <ns0:c r="Y52" s="16">
        <ns0:f>Q52-F52*'前提と出典'!$E$6</ns0:f>
        <ns0:v>-7460.257225266545</ns0:v>
      </ns0:c>
      <ns0:c r="Z52" s="7">
        <ns0:f>X52+Y52</ns0:f>
        <ns0:v>50722.11493456288</ns0:v>
      </ns0:c>
      <ns0:c r="AA52" s="7">
        <ns0:f>IF(T52&gt;=0,A52,1001)</ns0:f>
        <ns0:v>48</ns0:v>
      </ns0:c>
      <ns0:c r="AB52" s="7">
        <ns0:f>IF(T52&lt;0,A52,0)</ns0:f>
        <ns0:v>0</ns0:v>
      </ns0:c>
      <ns0:c r="AC52" s="16">
        <ns0:f>IF(AND(OR('前提と出典'!$C$36+'前提と出典'!$C$38=0,R52&gt;=0),OR('前提と出典'!$C$37+'前提と出典'!$C$38=0,S52&gt;=0)),0,A52)</ns0:f>
        <ns0:v>48</ns0:v>
      </ns0:c>
      <ns0:c r="AD52" s="7">
        <ns0:f>IF(W52&gt;=0,A52,1001)</ns0:f>
        <ns0:v>48</ns0:v>
      </ns0:c>
      <ns0:c r="AE52" s="7">
        <ns0:f>IF(W52&lt;0,A52,0)</ns0:f>
        <ns0:v>0</ns0:v>
      </ns0:c>
      <ns0:c r="AF52" s="16">
        <ns0:f>IF(AND(OR('前提と出典'!$C$36+'前提と出典'!$C$38=0,U52&gt;=0),OR('前提と出典'!$C$37+'前提と出典'!$C$38=0,V52&gt;=0)),0,A52)</ns0:f>
        <ns0:v>48</ns0:v>
      </ns0:c>
      <ns0:c r="AG52" s="7">
        <ns0:f>IF(Z52&gt;=0,A52,1001)</ns0:f>
        <ns0:v>48</ns0:v>
      </ns0:c>
      <ns0:c r="AH52" s="4">
        <ns0:f>IF(Z52&lt;0,A52,0)</ns0:f>
        <ns0:v>0</ns0:v>
      </ns0:c>
      <ns0:c r="AI52" s="12">
        <ns0:f>IF(AND(OR('前提と出典'!$C$36+'前提と出典'!$C$38=0,X52&gt;=0),OR('前提と出典'!$C$37+'前提と出典'!$C$38=0,Y52&gt;=0)),0,A52)</ns0:f>
        <ns0:v>48</ns0:v>
      </ns0:c>
    </ns0:row>
    <ns0:row r="53" ht="24" customHeight="1">
      <ns0:c r="A53" s="4" t="n">
        <ns0:v>49</ns0:v>
      </ns0:c>
      <ns0:c r="B53" s="12">
        <ns0:f>A53*('前提と出典'!$C$36+'前提と出典'!$C$38)</ns0:f>
        <ns0:v>34.3</ns0:v>
      </ns0:c>
      <ns0:c r="C53" s="12">
        <ns0:f>A53*('前提と出典'!$C$37+'前提と出典'!$C$38)</ns0:f>
        <ns0:v>29.4</ns0:v>
      </ns0:c>
      <ns0:c r="D53" s="16">
        <ns0:f>A53*('前提と出典'!$C$36*'契約別単価'!C5+'前提と出典'!$C$37*'契約別単価'!C6+'前提と出典'!$C$38*'契約別単価'!C7)</ns0:f>
        <ns0:v>352.5810055865922</ns0:v>
      </ns0:c>
      <ns0:c r="E53" s="16">
        <ns0:f>A53*('前提と出典'!$C$36*'契約別単価'!E5+'前提と出典'!$C$37*'契約別単価'!E6+'前提と出典'!$C$38*'契約別単価'!E7)</ns0:f>
        <ns0:v>123179.77323880474</ns0:v>
      </ns0:c>
      <ns0:c r="F53" s="16">
        <ns0:f>A53*('前提と出典'!$C$36*'契約別単価'!F5+'前提と出典'!$C$37*'契約別単価'!F6+'前提と出典'!$C$38*'契約別単価'!F7)</ns0:f>
        <ns0:v>35792.89344657745</ns0:v>
      </ns0:c>
      <ns0:c r="G53" s="16">
        <ns0:f>A53*('前提と出典'!$C$36*'契約別単価'!G5+'前提と出典'!$C$37*'契約別単価'!G6+'前提と出典'!$C$38*'契約別単価'!G7)</ns0:f>
        <ns0:v>97534.63687150838</ns0:v>
      </ns0:c>
      <ns0:c r="H53" s="16">
        <ns0:f>A53*('前提と出典'!$C$36*'契約別単価'!H5+'前提と出典'!$C$37*'契約別単価'!H6+'前提と出典'!$C$38*'契約別単価'!H7)</ns0:f>
        <ns0:v>33849.410740855106</ns0:v>
      </ns0:c>
      <ns0:c r="I53" s="16">
        <ns0:f>A53*('前提と出典'!$C$36*'契約別単価'!I5+'前提と出典'!$C$37*'契約別単価'!I6+'前提と出典'!$C$38*'契約別単価'!I7)</ns0:f>
        <ns0:v>2067.581005586592</ns0:v>
      </ns0:c>
      <ns0:c r="J53" s="16">
        <ns0:f>A53*('前提と出典'!$C$36*'契約別単価'!J5+'前提と出典'!$C$37*'契約別単価'!J6+'前提と出典'!$C$38*'契約別単価'!J7)</ns0:f>
        <ns0:v>4816.187641804826</ns0:v>
      </ns0:c>
      <ns0:c r="K53" s="16">
        <ns0:f>A53*('前提と出典'!$C$36*'契約別単価'!K5+'前提と出典'!$C$37*'契約別単価'!K6+'前提と出典'!$C$38*'契約別単価'!K7)</ns0:f>
        <ns0:v>20643.87337057728</ns0:v>
      </ns0:c>
      <ns0:c r="L53" s="16">
        <ns0:f>A53*('前提と出典'!$C$36*'契約別単価'!L5+'前提と出典'!$C$37*'契約別単価'!L6+'前提と出典'!$C$38*'契約別単価'!L7)</ns0:f>
        <ns0:v>16808.313691361836</ns0:v>
      </ns0:c>
      <ns0:c r="M53" s="16">
        <ns0:f>IF(('前提と出典'!$C$36+'前提と出典'!$C$38)=0,0,IF(B53&lt;=10,'前提と出典'!B73+'前提と出典'!C73,IF(B53&lt;=100,'前提と出典'!B74+'前提と出典'!C74,IF(B53&lt;=500,'前提と出典'!B75+'前提と出典'!C75,'前提と出典'!B76+'前提と出典'!C76))))</ns0:f>
        <ns0:v>20000</ns0:v>
      </ns0:c>
      <ns0:c r="N53" s="16">
        <ns0:f>IF(('前提と出典'!$C$37+'前提と出典'!$C$38)=0,0,IF(C53&lt;=10,'前提と出典'!D73+'前提と出典'!E73,IF(C53&lt;=100,'前提と出典'!D74+'前提と出典'!E74,IF(C53&lt;=500,'前提と出典'!D75+'前提と出典'!E75,'前提と出典'!D76+'前提と出典'!E76))))</ns0:f>
        <ns0:v>34510.9346263078</ns0:v>
      </ns0:c>
      <ns0:c r="O53" s="16">
        <ns0:f>IF('前提と出典'!$C$36+'前提と出典'!$C$38=0,0,'前提と出典'!$B$4*IF('前提と出典'!$B$20=0,MAX('前提と出典'!$B$6,D53*'前提と出典'!$B$5),'前提と出典'!$B$6+D53*'前提と出典'!$B$5))</ns0:f>
        <ns0:v>48656.17877094973</ns0:v>
      </ns0:c>
      <ns0:c r="P53" s="16">
        <ns0:f>(E53+G53)*(1-'前提と出典'!$B$7)-I53-K53-M53-O53</ns0:f>
        <ns0:v>121401.05819922822</ns0:v>
      </ns0:c>
      <ns0:c r="Q53" s="16">
        <ns0:f>(F53+H53)*(1-'前提と出典'!$B$7)-J53-L53-N53</ns0:f>
        <ns0:v>10999.745277210524</ns0:v>
      </ns0:c>
      <ns0:c r="R53" s="16">
        <ns0:f>P53-E53*'前提と出典'!$E$4</ns0:f>
        <ns0:v>84447.1262275868</ns0:v>
      </ns0:c>
      <ns0:c r="S53" s="16">
        <ns0:f>Q53-F53*'前提と出典'!$E$4</ns0:f>
        <ns0:v>261.87724323728617</ns0:v>
      </ns0:c>
      <ns0:c r="T53" s="7">
        <ns0:f>R53+S53</ns0:f>
        <ns0:v>84709.0034708241</ns0:v>
      </ns0:c>
      <ns0:c r="U53" s="16">
        <ns0:f>P53-E53*'前提と出典'!$E$5</ns0:f>
        <ns0:v>72129.14890370633</ns0:v>
      </ns0:c>
      <ns0:c r="V53" s="16">
        <ns0:f>Q53-F53*'前提と出典'!$E$5</ns0:f>
        <ns0:v>-3317.4121014204575</ns0:v>
      </ns0:c>
      <ns0:c r="W53" s="7">
        <ns0:f>U53+V53</ns0:f>
        <ns0:v>68811.73680228587</ns0:v>
      </ns0:c>
      <ns0:c r="X53" s="16">
        <ns0:f>P53-E53*'前提と出典'!$E$6</ns0:f>
        <ns0:v>59811.171579825896</ns0:v>
      </ns0:c>
      <ns0:c r="Y53" s="16">
        <ns0:f>Q53-F53*'前提と出典'!$E$6</ns0:f>
        <ns0:v>-6896.701446078201</ns0:v>
      </ns0:c>
      <ns0:c r="Z53" s="7">
        <ns0:f>X53+Y53</ns0:f>
        <ns0:v>52914.470133747694</ns0:v>
      </ns0:c>
      <ns0:c r="AA53" s="7">
        <ns0:f>IF(T53&gt;=0,A53,1001)</ns0:f>
        <ns0:v>49</ns0:v>
      </ns0:c>
      <ns0:c r="AB53" s="7">
        <ns0:f>IF(T53&lt;0,A53,0)</ns0:f>
        <ns0:v>0</ns0:v>
      </ns0:c>
      <ns0:c r="AC53" s="16">
        <ns0:f>IF(AND(OR('前提と出典'!$C$36+'前提と出典'!$C$38=0,R53&gt;=0),OR('前提と出典'!$C$37+'前提と出典'!$C$38=0,S53&gt;=0)),0,A53)</ns0:f>
        <ns0:v>0</ns0:v>
      </ns0:c>
      <ns0:c r="AD53" s="7">
        <ns0:f>IF(W53&gt;=0,A53,1001)</ns0:f>
        <ns0:v>49</ns0:v>
      </ns0:c>
      <ns0:c r="AE53" s="7">
        <ns0:f>IF(W53&lt;0,A53,0)</ns0:f>
        <ns0:v>0</ns0:v>
      </ns0:c>
      <ns0:c r="AF53" s="16">
        <ns0:f>IF(AND(OR('前提と出典'!$C$36+'前提と出典'!$C$38=0,U53&gt;=0),OR('前提と出典'!$C$37+'前提と出典'!$C$38=0,V53&gt;=0)),0,A53)</ns0:f>
        <ns0:v>49</ns0:v>
      </ns0:c>
      <ns0:c r="AG53" s="7">
        <ns0:f>IF(Z53&gt;=0,A53,1001)</ns0:f>
        <ns0:v>49</ns0:v>
      </ns0:c>
      <ns0:c r="AH53" s="4">
        <ns0:f>IF(Z53&lt;0,A53,0)</ns0:f>
        <ns0:v>0</ns0:v>
      </ns0:c>
      <ns0:c r="AI53" s="12">
        <ns0:f>IF(AND(OR('前提と出典'!$C$36+'前提と出典'!$C$38=0,X53&gt;=0),OR('前提と出典'!$C$37+'前提と出典'!$C$38=0,Y53&gt;=0)),0,A53)</ns0:f>
        <ns0:v>49</ns0:v>
      </ns0:c>
    </ns0:row>
    <ns0:row r="54" ht="24" customHeight="1">
      <ns0:c r="A54" s="4" t="n">
        <ns0:v>50</ns0:v>
      </ns0:c>
      <ns0:c r="B54" s="12">
        <ns0:f>A54*('前提と出典'!$C$36+'前提と出典'!$C$38)</ns0:f>
        <ns0:v>35</ns0:v>
      </ns0:c>
      <ns0:c r="C54" s="12">
        <ns0:f>A54*('前提と出典'!$C$37+'前提と出典'!$C$38)</ns0:f>
        <ns0:v>30</ns0:v>
      </ns0:c>
      <ns0:c r="D54" s="16">
        <ns0:f>A54*('前提と出典'!$C$36*'契約別単価'!C5+'前提と出典'!$C$37*'契約別単価'!C6+'前提と出典'!$C$38*'契約別単価'!C7)</ns0:f>
        <ns0:v>359.77653631284915</ns0:v>
      </ns0:c>
      <ns0:c r="E54" s="16">
        <ns0:f>A54*('前提と出典'!$C$36*'契約別単価'!E5+'前提と出典'!$C$37*'契約別単価'!E6+'前提と出典'!$C$38*'契約別単価'!E7)</ns0:f>
        <ns0:v>125693.64616204565</ns0:v>
      </ns0:c>
      <ns0:c r="F54" s="16">
        <ns0:f>A54*('前提と出典'!$C$36*'契約別単価'!F5+'前提と出典'!$C$37*'契約別単価'!F6+'前提と出典'!$C$38*'契約別単価'!F7)</ns0:f>
        <ns0:v>36523.36065977291</ns0:v>
      </ns0:c>
      <ns0:c r="G54" s="16">
        <ns0:f>A54*('前提と出典'!$C$36*'契約別単価'!G5+'前提と出典'!$C$37*'契約別単価'!G6+'前提と出典'!$C$38*'契約別単価'!G7)</ns0:f>
        <ns0:v>99525.13966480446</ns0:v>
      </ns0:c>
      <ns0:c r="H54" s="16">
        <ns0:f>A54*('前提と出典'!$C$36*'契約別単価'!H5+'前提と出典'!$C$37*'契約別単価'!H6+'前提と出典'!$C$38*'契約別単価'!H7)</ns0:f>
        <ns0:v>34540.21504168888</ns0:v>
      </ns0:c>
      <ns0:c r="I54" s="16">
        <ns0:f>A54*('前提と出典'!$C$36*'契約別単価'!I5+'前提と出典'!$C$37*'契約別単価'!I6+'前提と出典'!$C$38*'契約別単価'!I7)</ns0:f>
        <ns0:v>2109.7765363128487</ns0:v>
      </ns0:c>
      <ns0:c r="J54" s="16">
        <ns0:f>A54*('前提と出典'!$C$36*'契約別単価'!J5+'前提と出典'!$C$37*'契約別単価'!J6+'前提と出典'!$C$38*'契約別単価'!J7)</ns0:f>
        <ns0:v>4914.477185515128</ns0:v>
      </ns0:c>
      <ns0:c r="K54" s="16">
        <ns0:f>A54*('前提と出典'!$C$36*'契約別単価'!K5+'前提と出典'!$C$37*'契約別単価'!K6+'前提と出典'!$C$38*'契約別単価'!K7)</ns0:f>
        <ns0:v>21065.176908752328</ns0:v>
      </ns0:c>
      <ns0:c r="L54" s="16">
        <ns0:f>A54*('前提と出典'!$C$36*'契約別単価'!L5+'前提と出典'!$C$37*'契約別単価'!L6+'前提と出典'!$C$38*'契約別単価'!L7)</ns0:f>
        <ns0:v>17151.34050138963</ns0:v>
      </ns0:c>
      <ns0:c r="M54" s="16">
        <ns0:f>IF(('前提と出典'!$C$36+'前提と出典'!$C$38)=0,0,IF(B54&lt;=10,'前提と出典'!B73+'前提と出典'!C73,IF(B54&lt;=100,'前提と出典'!B74+'前提と出典'!C74,IF(B54&lt;=500,'前提と出典'!B75+'前提と出典'!C75,'前提と出典'!B76+'前提と出典'!C76))))</ns0:f>
        <ns0:v>20000</ns0:v>
      </ns0:c>
      <ns0:c r="N54" s="16">
        <ns0:f>IF(('前提と出典'!$C$37+'前提と出典'!$C$38)=0,0,IF(C54&lt;=10,'前提と出典'!D73+'前提と出典'!E73,IF(C54&lt;=100,'前提と出典'!D74+'前提と出典'!E74,IF(C54&lt;=500,'前提と出典'!D75+'前提と出典'!E75,'前提と出典'!D76+'前提と出典'!E76))))</ns0:f>
        <ns0:v>34510.9346263078</ns0:v>
      </ns0:c>
      <ns0:c r="O54" s="16">
        <ns0:f>IF('前提と出典'!$C$36+'前提と出典'!$C$38=0,0,'前提と出典'!$B$4*IF('前提と出典'!$B$20=0,MAX('前提と出典'!$B$6,D54*'前提と出典'!$B$5),'前提と出典'!$B$6+D54*'前提と出典'!$B$5))</ns0:f>
        <ns0:v>49649.16201117318</ns0:v>
      </ns0:c>
      <ns0:c r="P54" s="16">
        <ns0:f>(E54+G54)*(1-'前提と出典'!$B$7)-I54-K54-M54-O54</ns0:f>
        <ns0:v>124286.79408084515</ns0:v>
      </ns0:c>
      <ns0:c r="Q54" s="16">
        <ns0:f>(F54+H54)*(1-'前提と出典'!$B$7)-J54-L54-N54</ns0:f>
        <ns0:v>11928.534662996602</ns0:v>
      </ns0:c>
      <ns0:c r="R54" s="16">
        <ns0:f>P54-E54*'前提と出典'!$E$4</ns0:f>
        <ns0:v>86578.70023223144</ns0:v>
      </ns0:c>
      <ns0:c r="S54" s="16">
        <ns0:f>Q54-F54*'前提と出典'!$E$4</ns0:f>
        <ns0:v>971.5264650647368</ns0:v>
      </ns0:c>
      <ns0:c r="T54" s="7">
        <ns0:f>R54+S54</ns0:f>
        <ns0:v>87550.22669729617</ns0:v>
      </ns0:c>
      <ns0:c r="U54" s="16">
        <ns0:f>P54-E54*'前提と出典'!$E$5</ns0:f>
        <ns0:v>74009.33561602689</ns0:v>
      </ns0:c>
      <ns0:c r="V54" s="16">
        <ns0:f>Q54-F54*'前提と出典'!$E$5</ns0:f>
        <ns0:v>-2680.809600912562</ns0:v>
      </ns0:c>
      <ns0:c r="W54" s="7">
        <ns0:f>U54+V54</ns0:f>
        <ns0:v>71328.52601511433</ns0:v>
      </ns0:c>
      <ns0:c r="X54" s="16">
        <ns0:f>P54-E54*'前提と出典'!$E$6</ns0:f>
        <ns0:v>61439.970999822304</ns0:v>
      </ns0:c>
      <ns0:c r="Y54" s="16">
        <ns0:f>Q54-F54*'前提と出典'!$E$6</ns0:f>
        <ns0:v>-6333.14566688985</ns0:v>
      </ns0:c>
      <ns0:c r="Z54" s="7">
        <ns0:f>X54+Y54</ns0:f>
        <ns0:v>55106.82533293245</ns0:v>
      </ns0:c>
      <ns0:c r="AA54" s="7">
        <ns0:f>IF(T54&gt;=0,A54,1001)</ns0:f>
        <ns0:v>50</ns0:v>
      </ns0:c>
      <ns0:c r="AB54" s="7">
        <ns0:f>IF(T54&lt;0,A54,0)</ns0:f>
        <ns0:v>0</ns0:v>
      </ns0:c>
      <ns0:c r="AC54" s="16">
        <ns0:f>IF(AND(OR('前提と出典'!$C$36+'前提と出典'!$C$38=0,R54&gt;=0),OR('前提と出典'!$C$37+'前提と出典'!$C$38=0,S54&gt;=0)),0,A54)</ns0:f>
        <ns0:v>0</ns0:v>
      </ns0:c>
      <ns0:c r="AD54" s="7">
        <ns0:f>IF(W54&gt;=0,A54,1001)</ns0:f>
        <ns0:v>50</ns0:v>
      </ns0:c>
      <ns0:c r="AE54" s="7">
        <ns0:f>IF(W54&lt;0,A54,0)</ns0:f>
        <ns0:v>0</ns0:v>
      </ns0:c>
      <ns0:c r="AF54" s="16">
        <ns0:f>IF(AND(OR('前提と出典'!$C$36+'前提と出典'!$C$38=0,U54&gt;=0),OR('前提と出典'!$C$37+'前提と出典'!$C$38=0,V54&gt;=0)),0,A54)</ns0:f>
        <ns0:v>50</ns0:v>
      </ns0:c>
      <ns0:c r="AG54" s="7">
        <ns0:f>IF(Z54&gt;=0,A54,1001)</ns0:f>
        <ns0:v>50</ns0:v>
      </ns0:c>
      <ns0:c r="AH54" s="4">
        <ns0:f>IF(Z54&lt;0,A54,0)</ns0:f>
        <ns0:v>0</ns0:v>
      </ns0:c>
      <ns0:c r="AI54" s="12">
        <ns0:f>IF(AND(OR('前提と出典'!$C$36+'前提と出典'!$C$38=0,X54&gt;=0),OR('前提と出典'!$C$37+'前提と出典'!$C$38=0,Y54&gt;=0)),0,A54)</ns0:f>
        <ns0:v>50</ns0:v>
      </ns0:c>
    </ns0:row>
    <ns0:row r="55" ht="24" customHeight="1">
      <ns0:c r="A55" s="4" t="n">
        <ns0:v>51</ns0:v>
      </ns0:c>
      <ns0:c r="B55" s="12">
        <ns0:f>A55*('前提と出典'!$C$36+'前提と出典'!$C$38)</ns0:f>
        <ns0:v>35.699999999999996</ns0:v>
      </ns0:c>
      <ns0:c r="C55" s="12">
        <ns0:f>A55*('前提と出典'!$C$37+'前提と出典'!$C$38)</ns0:f>
        <ns0:v>30.599999999999998</ns0:v>
      </ns0:c>
      <ns0:c r="D55" s="16">
        <ns0:f>A55*('前提と出典'!$C$36*'契約別単価'!C5+'前提と出典'!$C$37*'契約別単価'!C6+'前提と出典'!$C$38*'契約別単価'!C7)</ns0:f>
        <ns0:v>366.97206703910615</ns0:v>
      </ns0:c>
      <ns0:c r="E55" s="16">
        <ns0:f>A55*('前提と出典'!$C$36*'契約別単価'!E5+'前提と出典'!$C$37*'契約別単価'!E6+'前提と出典'!$C$38*'契約別単価'!E7)</ns0:f>
        <ns0:v>128207.51908528658</ns0:v>
      </ns0:c>
      <ns0:c r="F55" s="16">
        <ns0:f>A55*('前提と出典'!$C$36*'契約別単価'!F5+'前提と出典'!$C$37*'契約別単価'!F6+'前提と出典'!$C$38*'契約別単価'!F7)</ns0:f>
        <ns0:v>37253.827872968366</ns0:v>
      </ns0:c>
      <ns0:c r="G55" s="16">
        <ns0:f>A55*('前提と出典'!$C$36*'契約別単価'!G5+'前提と出典'!$C$37*'契約別単価'!G6+'前提と出典'!$C$38*'契約別単価'!G7)</ns0:f>
        <ns0:v>101515.64245810056</ns0:v>
      </ns0:c>
      <ns0:c r="H55" s="16">
        <ns0:f>A55*('前提と出典'!$C$36*'契約別単価'!H5+'前提と出典'!$C$37*'契約別単価'!H6+'前提と出典'!$C$38*'契約別単価'!H7)</ns0:f>
        <ns0:v>35231.01934252266</ns0:v>
      </ns0:c>
      <ns0:c r="I55" s="16">
        <ns0:f>A55*('前提と出典'!$C$36*'契約別単価'!I5+'前提と出典'!$C$37*'契約別単価'!I6+'前提と出典'!$C$38*'契約別単価'!I7)</ns0:f>
        <ns0:v>2151.9720670391057</ns0:v>
      </ns0:c>
      <ns0:c r="J55" s="16">
        <ns0:f>A55*('前提と出典'!$C$36*'契約別単価'!J5+'前提と出典'!$C$37*'契約別単価'!J6+'前提と出典'!$C$38*'契約別単価'!J7)</ns0:f>
        <ns0:v>5012.766729225431</ns0:v>
      </ns0:c>
      <ns0:c r="K55" s="16">
        <ns0:f>A55*('前提と出典'!$C$36*'契約別単価'!K5+'前提と出典'!$C$37*'契約別単価'!K6+'前提と出典'!$C$38*'契約別単価'!K7)</ns0:f>
        <ns0:v>21486.480446927373</ns0:v>
      </ns0:c>
      <ns0:c r="L55" s="16">
        <ns0:f>A55*('前提と出典'!$C$36*'契約別単価'!L5+'前提と出典'!$C$37*'契約別単価'!L6+'前提と出典'!$C$38*'契約別単価'!L7)</ns0:f>
        <ns0:v>17494.36731141742</ns0:v>
      </ns0:c>
      <ns0:c r="M55" s="16">
        <ns0:f>IF(('前提と出典'!$C$36+'前提と出典'!$C$38)=0,0,IF(B55&lt;=10,'前提と出典'!B73+'前提と出典'!C73,IF(B55&lt;=100,'前提と出典'!B74+'前提と出典'!C74,IF(B55&lt;=500,'前提と出典'!B75+'前提と出典'!C75,'前提と出典'!B76+'前提と出典'!C76))))</ns0:f>
        <ns0:v>20000</ns0:v>
      </ns0:c>
      <ns0:c r="N55" s="16">
        <ns0:f>IF(('前提と出典'!$C$37+'前提と出典'!$C$38)=0,0,IF(C55&lt;=10,'前提と出典'!D73+'前提と出典'!E73,IF(C55&lt;=100,'前提と出典'!D74+'前提と出典'!E74,IF(C55&lt;=500,'前提と出典'!D75+'前提と出典'!E75,'前提と出典'!D76+'前提と出典'!E76))))</ns0:f>
        <ns0:v>34510.9346263078</ns0:v>
      </ns0:c>
      <ns0:c r="O55" s="16">
        <ns0:f>IF('前提と出典'!$C$36+'前提と出典'!$C$38=0,0,'前提と出典'!$B$4*IF('前提と出典'!$B$20=0,MAX('前提と出典'!$B$6,D55*'前提と出典'!$B$5),'前提と出典'!$B$6+D55*'前提と出典'!$B$5))</ns0:f>
        <ns0:v>50642.14525139665</ns0:v>
      </ns0:c>
      <ns0:c r="P55" s="16">
        <ns0:f>(E55+G55)*(1-'前提と出典'!$B$7)-I55-K55-M55-O55</ns0:f>
        <ns0:v>127172.52996246208</ns0:v>
      </ns0:c>
      <ns0:c r="Q55" s="16">
        <ns0:f>(F55+H55)*(1-'前提と出典'!$B$7)-J55-L55-N55</ns0:f>
        <ns0:v>12857.324048782706</ns0:v>
      </ns0:c>
      <ns0:c r="R55" s="16">
        <ns0:f>P55-E55*'前提と出典'!$E$4</ns0:f>
        <ns0:v>88710.2742368761</ns0:v>
      </ns0:c>
      <ns0:c r="S55" s="16">
        <ns0:f>Q55-F55*'前提と出典'!$E$4</ns0:f>
        <ns0:v>1681.1756868921875</ns0:v>
      </ns0:c>
      <ns0:c r="T55" s="7">
        <ns0:f>R55+S55</ns0:f>
        <ns0:v>90391.44992376829</ns0:v>
      </ns0:c>
      <ns0:c r="U55" s="16">
        <ns0:f>P55-E55*'前提と出典'!$E$5</ns0:f>
        <ns0:v>75889.52232834745</ns0:v>
      </ns0:c>
      <ns0:c r="V55" s="16">
        <ns0:f>Q55-F55*'前提と出典'!$E$5</ns0:f>
        <ns0:v>-2044.207100404641</ns0:v>
      </ns0:c>
      <ns0:c r="W55" s="7">
        <ns0:f>U55+V55</ns0:f>
        <ns0:v>73845.3152279428</ns0:v>
      </ns0:c>
      <ns0:c r="X55" s="16">
        <ns0:f>P55-E55*'前提と出典'!$E$6</ns0:f>
        <ns0:v>63068.77041981877</ns0:v>
      </ns0:c>
      <ns0:c r="Y55" s="16">
        <ns0:f>Q55-F55*'前提と出典'!$E$6</ns0:f>
        <ns0:v>-5769.589887701481</ns0:v>
      </ns0:c>
      <ns0:c r="Z55" s="7">
        <ns0:f>X55+Y55</ns0:f>
        <ns0:v>57299.18053211729</ns0:v>
      </ns0:c>
      <ns0:c r="AA55" s="7">
        <ns0:f>IF(T55&gt;=0,A55,1001)</ns0:f>
        <ns0:v>51</ns0:v>
      </ns0:c>
      <ns0:c r="AB55" s="7">
        <ns0:f>IF(T55&lt;0,A55,0)</ns0:f>
        <ns0:v>0</ns0:v>
      </ns0:c>
      <ns0:c r="AC55" s="16">
        <ns0:f>IF(AND(OR('前提と出典'!$C$36+'前提と出典'!$C$38=0,R55&gt;=0),OR('前提と出典'!$C$37+'前提と出典'!$C$38=0,S55&gt;=0)),0,A55)</ns0:f>
        <ns0:v>0</ns0:v>
      </ns0:c>
      <ns0:c r="AD55" s="7">
        <ns0:f>IF(W55&gt;=0,A55,1001)</ns0:f>
        <ns0:v>51</ns0:v>
      </ns0:c>
      <ns0:c r="AE55" s="7">
        <ns0:f>IF(W55&lt;0,A55,0)</ns0:f>
        <ns0:v>0</ns0:v>
      </ns0:c>
      <ns0:c r="AF55" s="16">
        <ns0:f>IF(AND(OR('前提と出典'!$C$36+'前提と出典'!$C$38=0,U55&gt;=0),OR('前提と出典'!$C$37+'前提と出典'!$C$38=0,V55&gt;=0)),0,A55)</ns0:f>
        <ns0:v>51</ns0:v>
      </ns0:c>
      <ns0:c r="AG55" s="7">
        <ns0:f>IF(Z55&gt;=0,A55,1001)</ns0:f>
        <ns0:v>51</ns0:v>
      </ns0:c>
      <ns0:c r="AH55" s="4">
        <ns0:f>IF(Z55&lt;0,A55,0)</ns0:f>
        <ns0:v>0</ns0:v>
      </ns0:c>
      <ns0:c r="AI55" s="12">
        <ns0:f>IF(AND(OR('前提と出典'!$C$36+'前提と出典'!$C$38=0,X55&gt;=0),OR('前提と出典'!$C$37+'前提と出典'!$C$38=0,Y55&gt;=0)),0,A55)</ns0:f>
        <ns0:v>51</ns0:v>
      </ns0:c>
    </ns0:row>
    <ns0:row r="56" ht="24" customHeight="1">
      <ns0:c r="A56" s="4" t="n">
        <ns0:v>52</ns0:v>
      </ns0:c>
      <ns0:c r="B56" s="12">
        <ns0:f>A56*('前提と出典'!$C$36+'前提と出典'!$C$38)</ns0:f>
        <ns0:v>36.4</ns0:v>
      </ns0:c>
      <ns0:c r="C56" s="12">
        <ns0:f>A56*('前提と出典'!$C$37+'前提と出典'!$C$38)</ns0:f>
        <ns0:v>31.2</ns0:v>
      </ns0:c>
      <ns0:c r="D56" s="16">
        <ns0:f>A56*('前提と出典'!$C$36*'契約別単価'!C5+'前提と出典'!$C$37*'契約別単価'!C6+'前提と出典'!$C$38*'契約別単価'!C7)</ns0:f>
        <ns0:v>374.1675977653631</ns0:v>
      </ns0:c>
      <ns0:c r="E56" s="16">
        <ns0:f>A56*('前提と出典'!$C$36*'契約別単価'!E5+'前提と出典'!$C$37*'契約別単価'!E6+'前提と出典'!$C$38*'契約別単価'!E7)</ns0:f>
        <ns0:v>130721.39200852749</ns0:v>
      </ns0:c>
      <ns0:c r="F56" s="16">
        <ns0:f>A56*('前提と出典'!$C$36*'契約別単価'!F5+'前提と出典'!$C$37*'契約別単価'!F6+'前提と出典'!$C$38*'契約別単価'!F7)</ns0:f>
        <ns0:v>37984.295086163824</ns0:v>
      </ns0:c>
      <ns0:c r="G56" s="16">
        <ns0:f>A56*('前提と出典'!$C$36*'契約別単価'!G5+'前提と出典'!$C$37*'契約別単価'!G6+'前提と出典'!$C$38*'契約別単価'!G7)</ns0:f>
        <ns0:v>103506.14525139664</ns0:v>
      </ns0:c>
      <ns0:c r="H56" s="16">
        <ns0:f>A56*('前提と出典'!$C$36*'契約別単価'!H5+'前提と出典'!$C$37*'契約別単価'!H6+'前提と出典'!$C$38*'契約別単価'!H7)</ns0:f>
        <ns0:v>35921.82364335644</ns0:v>
      </ns0:c>
      <ns0:c r="I56" s="16">
        <ns0:f>A56*('前提と出典'!$C$36*'契約別単価'!I5+'前提と出典'!$C$37*'契約別単価'!I6+'前提と出典'!$C$38*'契約別単価'!I7)</ns0:f>
        <ns0:v>2194.1675977653626</ns0:v>
      </ns0:c>
      <ns0:c r="J56" s="16">
        <ns0:f>A56*('前提と出典'!$C$36*'契約別単価'!J5+'前提と出典'!$C$37*'契約別単価'!J6+'前提と出典'!$C$38*'契約別単価'!J7)</ns0:f>
        <ns0:v>5111.056272935733</ns0:v>
      </ns0:c>
      <ns0:c r="K56" s="16">
        <ns0:f>A56*('前提と出典'!$C$36*'契約別単価'!K5+'前提と出典'!$C$37*'契約別単価'!K6+'前提と出典'!$C$38*'契約別単価'!K7)</ns0:f>
        <ns0:v>21907.78398510242</ns0:v>
      </ns0:c>
      <ns0:c r="L56" s="16">
        <ns0:f>A56*('前提と出典'!$C$36*'契約別単価'!L5+'前提と出典'!$C$37*'契約別単価'!L6+'前提と出典'!$C$38*'契約別単価'!L7)</ns0:f>
        <ns0:v>17837.394121445213</ns0:v>
      </ns0:c>
      <ns0:c r="M56" s="16">
        <ns0:f>IF(('前提と出典'!$C$36+'前提と出典'!$C$38)=0,0,IF(B56&lt;=10,'前提と出典'!B73+'前提と出典'!C73,IF(B56&lt;=100,'前提と出典'!B74+'前提と出典'!C74,IF(B56&lt;=500,'前提と出典'!B75+'前提と出典'!C75,'前提と出典'!B76+'前提と出典'!C76))))</ns0:f>
        <ns0:v>20000</ns0:v>
      </ns0:c>
      <ns0:c r="N56" s="16">
        <ns0:f>IF(('前提と出典'!$C$37+'前提と出典'!$C$38)=0,0,IF(C56&lt;=10,'前提と出典'!D73+'前提と出典'!E73,IF(C56&lt;=100,'前提と出典'!D74+'前提と出典'!E74,IF(C56&lt;=500,'前提と出典'!D75+'前提と出典'!E75,'前提と出典'!D76+'前提と出典'!E76))))</ns0:f>
        <ns0:v>34510.9346263078</ns0:v>
      </ns0:c>
      <ns0:c r="O56" s="16">
        <ns0:f>IF('前提と出典'!$C$36+'前提と出典'!$C$38=0,0,'前提と出典'!$B$4*IF('前提と出典'!$B$20=0,MAX('前提と出典'!$B$6,D56*'前提と出典'!$B$5),'前提と出典'!$B$6+D56*'前提と出典'!$B$5))</ns0:f>
        <ns0:v>51635.12849162011</ns0:v>
      </ns0:c>
      <ns0:c r="P56" s="16">
        <ns0:f>(E56+G56)*(1-'前提と出典'!$B$7)-I56-K56-M56-O56</ns0:f>
        <ns0:v>130058.26584407894</ns0:v>
      </ns0:c>
      <ns0:c r="Q56" s="16">
        <ns0:f>(F56+H56)*(1-'前提と出典'!$B$7)-J56-L56-N56</ns0:f>
        <ns0:v>13786.113434568799</ns0:v>
      </ns0:c>
      <ns0:c r="R56" s="16">
        <ns0:f>P56-E56*'前提と出典'!$E$4</ns0:f>
        <ns0:v>90841.84824152071</ns0:v>
      </ns0:c>
      <ns0:c r="S56" s="16">
        <ns0:f>Q56-F56*'前提と出典'!$E$4</ns0:f>
        <ns0:v>2390.8249087196527</ns0:v>
      </ns0:c>
      <ns0:c r="T56" s="7">
        <ns0:f>R56+S56</ns0:f>
        <ns0:v>93232.67315024036</ns0:v>
      </ns0:c>
      <ns0:c r="U56" s="16">
        <ns0:f>P56-E56*'前提と出典'!$E$5</ns0:f>
        <ns0:v>77769.70904066793</ns0:v>
      </ns0:c>
      <ns0:c r="V56" s="16">
        <ns0:f>Q56-F56*'前提と出典'!$E$5</ns0:f>
        <ns0:v>-1407.604599896731</ns0:v>
      </ns0:c>
      <ns0:c r="W56" s="7">
        <ns0:f>U56+V56</ns0:f>
        <ns0:v>76362.1044407712</ns0:v>
      </ns0:c>
      <ns0:c r="X56" s="16">
        <ns0:f>P56-E56*'前提と出典'!$E$6</ns0:f>
        <ns0:v>64697.569839815216</ns0:v>
      </ns0:c>
      <ns0:c r="Y56" s="16">
        <ns0:f>Q56-F56*'前提と出典'!$E$6</ns0:f>
        <ns0:v>-5206.034108513115</ns0:v>
      </ns0:c>
      <ns0:c r="Z56" s="7">
        <ns0:f>X56+Y56</ns0:f>
        <ns0:v>59491.5357313021</ns0:v>
      </ns0:c>
      <ns0:c r="AA56" s="7">
        <ns0:f>IF(T56&gt;=0,A56,1001)</ns0:f>
        <ns0:v>52</ns0:v>
      </ns0:c>
      <ns0:c r="AB56" s="7">
        <ns0:f>IF(T56&lt;0,A56,0)</ns0:f>
        <ns0:v>0</ns0:v>
      </ns0:c>
      <ns0:c r="AC56" s="16">
        <ns0:f>IF(AND(OR('前提と出典'!$C$36+'前提と出典'!$C$38=0,R56&gt;=0),OR('前提と出典'!$C$37+'前提と出典'!$C$38=0,S56&gt;=0)),0,A56)</ns0:f>
        <ns0:v>0</ns0:v>
      </ns0:c>
      <ns0:c r="AD56" s="7">
        <ns0:f>IF(W56&gt;=0,A56,1001)</ns0:f>
        <ns0:v>52</ns0:v>
      </ns0:c>
      <ns0:c r="AE56" s="7">
        <ns0:f>IF(W56&lt;0,A56,0)</ns0:f>
        <ns0:v>0</ns0:v>
      </ns0:c>
      <ns0:c r="AF56" s="16">
        <ns0:f>IF(AND(OR('前提と出典'!$C$36+'前提と出典'!$C$38=0,U56&gt;=0),OR('前提と出典'!$C$37+'前提と出典'!$C$38=0,V56&gt;=0)),0,A56)</ns0:f>
        <ns0:v>52</ns0:v>
      </ns0:c>
      <ns0:c r="AG56" s="7">
        <ns0:f>IF(Z56&gt;=0,A56,1001)</ns0:f>
        <ns0:v>52</ns0:v>
      </ns0:c>
      <ns0:c r="AH56" s="4">
        <ns0:f>IF(Z56&lt;0,A56,0)</ns0:f>
        <ns0:v>0</ns0:v>
      </ns0:c>
      <ns0:c r="AI56" s="12">
        <ns0:f>IF(AND(OR('前提と出典'!$C$36+'前提と出典'!$C$38=0,X56&gt;=0),OR('前提と出典'!$C$37+'前提と出典'!$C$38=0,Y56&gt;=0)),0,A56)</ns0:f>
        <ns0:v>52</ns0:v>
      </ns0:c>
    </ns0:row>
    <ns0:row r="57" ht="24" customHeight="1">
      <ns0:c r="A57" s="4" t="n">
        <ns0:v>53</ns0:v>
      </ns0:c>
      <ns0:c r="B57" s="12">
        <ns0:f>A57*('前提と出典'!$C$36+'前提と出典'!$C$38)</ns0:f>
        <ns0:v>37.099999999999994</ns0:v>
      </ns0:c>
      <ns0:c r="C57" s="12">
        <ns0:f>A57*('前提と出典'!$C$37+'前提と出典'!$C$38)</ns0:f>
        <ns0:v>31.799999999999997</ns0:v>
      </ns0:c>
      <ns0:c r="D57" s="16">
        <ns0:f>A57*('前提と出典'!$C$36*'契約別単価'!C5+'前提と出典'!$C$37*'契約別単価'!C6+'前提と出典'!$C$38*'契約別単価'!C7)</ns0:f>
        <ns0:v>381.3631284916201</ns0:v>
      </ns0:c>
      <ns0:c r="E57" s="16">
        <ns0:f>A57*('前提と出典'!$C$36*'契約別単価'!E5+'前提と出典'!$C$37*'契約別単価'!E6+'前提と出典'!$C$38*'契約別単価'!E7)</ns0:f>
        <ns0:v>133235.2649317684</ns0:v>
      </ns0:c>
      <ns0:c r="F57" s="16">
        <ns0:f>A57*('前提と出典'!$C$36*'契約別単価'!F5+'前提と出典'!$C$37*'契約別単価'!F6+'前提と出典'!$C$38*'契約別単価'!F7)</ns0:f>
        <ns0:v>38714.76229935928</ns0:v>
      </ns0:c>
      <ns0:c r="G57" s="16">
        <ns0:f>A57*('前提と出典'!$C$36*'契約別単価'!G5+'前提と出典'!$C$37*'契約別単価'!G6+'前提と出典'!$C$38*'契約別単価'!G7)</ns0:f>
        <ns0:v>105496.64804469273</ns0:v>
      </ns0:c>
      <ns0:c r="H57" s="16">
        <ns0:f>A57*('前提と出典'!$C$36*'契約別単価'!H5+'前提と出典'!$C$37*'契約別単価'!H6+'前提と出典'!$C$38*'契約別単価'!H7)</ns0:f>
        <ns0:v>36612.627944190215</ns0:v>
      </ns0:c>
      <ns0:c r="I57" s="16">
        <ns0:f>A57*('前提と出典'!$C$36*'契約別単価'!I5+'前提と出典'!$C$37*'契約別単価'!I6+'前提と出典'!$C$38*'契約別単価'!I7)</ns0:f>
        <ns0:v>2236.3631284916196</ns0:v>
      </ns0:c>
      <ns0:c r="J57" s="16">
        <ns0:f>A57*('前提と出典'!$C$36*'契約別単価'!J5+'前提と出典'!$C$37*'契約別単価'!J6+'前提と出典'!$C$38*'契約別単価'!J7)</ns0:f>
        <ns0:v>5209.345816646036</ns0:v>
      </ns0:c>
      <ns0:c r="K57" s="16">
        <ns0:f>A57*('前提と出典'!$C$36*'契約別単価'!K5+'前提と出典'!$C$37*'契約別単価'!K6+'前提と出典'!$C$38*'契約別単価'!K7)</ns0:f>
        <ns0:v>22329.087523277467</ns0:v>
      </ns0:c>
      <ns0:c r="L57" s="16">
        <ns0:f>A57*('前提と出典'!$C$36*'契約別単価'!L5+'前提と出典'!$C$37*'契約別単価'!L6+'前提と出典'!$C$38*'契約別単価'!L7)</ns0:f>
        <ns0:v>18180.420931473007</ns0:v>
      </ns0:c>
      <ns0:c r="M57" s="16">
        <ns0:f>IF(('前提と出典'!$C$36+'前提と出典'!$C$38)=0,0,IF(B57&lt;=10,'前提と出典'!B73+'前提と出典'!C73,IF(B57&lt;=100,'前提と出典'!B74+'前提と出典'!C74,IF(B57&lt;=500,'前提と出典'!B75+'前提と出典'!C75,'前提と出典'!B76+'前提と出典'!C76))))</ns0:f>
        <ns0:v>20000</ns0:v>
      </ns0:c>
      <ns0:c r="N57" s="16">
        <ns0:f>IF(('前提と出典'!$C$37+'前提と出典'!$C$38)=0,0,IF(C57&lt;=10,'前提と出典'!D73+'前提と出典'!E73,IF(C57&lt;=100,'前提と出典'!D74+'前提と出典'!E74,IF(C57&lt;=500,'前提と出典'!D75+'前提と出典'!E75,'前提と出典'!D76+'前提と出典'!E76))))</ns0:f>
        <ns0:v>34510.9346263078</ns0:v>
      </ns0:c>
      <ns0:c r="O57" s="16">
        <ns0:f>IF('前提と出典'!$C$36+'前提と出典'!$C$38=0,0,'前提と出典'!$B$4*IF('前提と出典'!$B$20=0,MAX('前提と出典'!$B$6,D57*'前提と出典'!$B$5),'前提と出典'!$B$6+D57*'前提と出典'!$B$5))</ns0:f>
        <ns0:v>52628.11173184358</ns0:v>
      </ns0:c>
      <ns0:c r="P57" s="16">
        <ns0:f>(E57+G57)*(1-'前提と出典'!$B$7)-I57-K57-M57-O57</ns0:f>
        <ns0:v>132944.00172569585</ns0:v>
      </ns0:c>
      <ns0:c r="Q57" s="16">
        <ns0:f>(F57+H57)*(1-'前提と出典'!$B$7)-J57-L57-N57</ns0:f>
        <ns0:v>14714.902820354873</ns0:v>
      </ns0:c>
      <ns0:c r="R57" s="16">
        <ns0:f>P57-E57*'前提と出典'!$E$4</ns0:f>
        <ns0:v>92973.42224616534</ns0:v>
      </ns0:c>
      <ns0:c r="S57" s="16">
        <ns0:f>Q57-F57*'前提と出典'!$E$4</ns0:f>
        <ns0:v>3100.474130547089</ns0:v>
      </ns0:c>
      <ns0:c r="T57" s="7">
        <ns0:f>R57+S57</ns0:f>
        <ns0:v>96073.89637671242</ns0:v>
      </ns0:c>
      <ns0:c r="U57" s="16">
        <ns0:f>P57-E57*'前提と出典'!$E$5</ns0:f>
        <ns0:v>79649.8957529885</ns0:v>
      </ns0:c>
      <ns0:c r="V57" s="16">
        <ns0:f>Q57-F57*'前提と出典'!$E$5</ns0:f>
        <ns0:v>-771.0020993888393</ns0:v>
      </ns0:c>
      <ns0:c r="W57" s="7">
        <ns0:f>U57+V57</ns0:f>
        <ns0:v>78878.89365359966</ns0:v>
      </ns0:c>
      <ns0:c r="X57" s="16">
        <ns0:f>P57-E57*'前提と出典'!$E$6</ns0:f>
        <ns0:v>66326.36925981165</ns0:v>
      </ns0:c>
      <ns0:c r="Y57" s="16">
        <ns0:f>Q57-F57*'前提と出典'!$E$6</ns0:f>
        <ns0:v>-4642.478329324764</ns0:v>
      </ns0:c>
      <ns0:c r="Z57" s="7">
        <ns0:f>X57+Y57</ns0:f>
        <ns0:v>61683.89093048689</ns0:v>
      </ns0:c>
      <ns0:c r="AA57" s="7">
        <ns0:f>IF(T57&gt;=0,A57,1001)</ns0:f>
        <ns0:v>53</ns0:v>
      </ns0:c>
      <ns0:c r="AB57" s="7">
        <ns0:f>IF(T57&lt;0,A57,0)</ns0:f>
        <ns0:v>0</ns0:v>
      </ns0:c>
      <ns0:c r="AC57" s="16">
        <ns0:f>IF(AND(OR('前提と出典'!$C$36+'前提と出典'!$C$38=0,R57&gt;=0),OR('前提と出典'!$C$37+'前提と出典'!$C$38=0,S57&gt;=0)),0,A57)</ns0:f>
        <ns0:v>0</ns0:v>
      </ns0:c>
      <ns0:c r="AD57" s="7">
        <ns0:f>IF(W57&gt;=0,A57,1001)</ns0:f>
        <ns0:v>53</ns0:v>
      </ns0:c>
      <ns0:c r="AE57" s="7">
        <ns0:f>IF(W57&lt;0,A57,0)</ns0:f>
        <ns0:v>0</ns0:v>
      </ns0:c>
      <ns0:c r="AF57" s="16">
        <ns0:f>IF(AND(OR('前提と出典'!$C$36+'前提と出典'!$C$38=0,U57&gt;=0),OR('前提と出典'!$C$37+'前提と出典'!$C$38=0,V57&gt;=0)),0,A57)</ns0:f>
        <ns0:v>53</ns0:v>
      </ns0:c>
      <ns0:c r="AG57" s="7">
        <ns0:f>IF(Z57&gt;=0,A57,1001)</ns0:f>
        <ns0:v>53</ns0:v>
      </ns0:c>
      <ns0:c r="AH57" s="4">
        <ns0:f>IF(Z57&lt;0,A57,0)</ns0:f>
        <ns0:v>0</ns0:v>
      </ns0:c>
      <ns0:c r="AI57" s="12">
        <ns0:f>IF(AND(OR('前提と出典'!$C$36+'前提と出典'!$C$38=0,X57&gt;=0),OR('前提と出典'!$C$37+'前提と出典'!$C$38=0,Y57&gt;=0)),0,A57)</ns0:f>
        <ns0:v>53</ns0:v>
      </ns0:c>
    </ns0:row>
    <ns0:row r="58" ht="24" customHeight="1">
      <ns0:c r="A58" s="4" t="n">
        <ns0:v>54</ns0:v>
      </ns0:c>
      <ns0:c r="B58" s="12">
        <ns0:f>A58*('前提と出典'!$C$36+'前提と出典'!$C$38)</ns0:f>
        <ns0:v>37.8</ns0:v>
      </ns0:c>
      <ns0:c r="C58" s="12">
        <ns0:f>A58*('前提と出典'!$C$37+'前提と出典'!$C$38)</ns0:f>
        <ns0:v>32.4</ns0:v>
      </ns0:c>
      <ns0:c r="D58" s="16">
        <ns0:f>A58*('前提と出典'!$C$36*'契約別単価'!C5+'前提と出典'!$C$37*'契約別単価'!C6+'前提と出典'!$C$38*'契約別単価'!C7)</ns0:f>
        <ns0:v>388.5586592178771</ns0:v>
      </ns0:c>
      <ns0:c r="E58" s="16">
        <ns0:f>A58*('前提と出典'!$C$36*'契約別単価'!E5+'前提と出典'!$C$37*'契約別単価'!E6+'前提と出典'!$C$38*'契約別単価'!E7)</ns0:f>
        <ns0:v>135749.13785500932</ns0:v>
      </ns0:c>
      <ns0:c r="F58" s="16">
        <ns0:f>A58*('前提と出典'!$C$36*'契約別単価'!F5+'前提と出典'!$C$37*'契約別単価'!F6+'前提と出典'!$C$38*'契約別単価'!F7)</ns0:f>
        <ns0:v>39445.22951255474</ns0:v>
      </ns0:c>
      <ns0:c r="G58" s="16">
        <ns0:f>A58*('前提と出典'!$C$36*'契約別単価'!G5+'前提と出典'!$C$37*'契約別単価'!G6+'前提と出典'!$C$38*'契約別単価'!G7)</ns0:f>
        <ns0:v>107487.15083798883</ns0:v>
      </ns0:c>
      <ns0:c r="H58" s="16">
        <ns0:f>A58*('前提と出典'!$C$36*'契約別単価'!H5+'前提と出典'!$C$37*'契約別単価'!H6+'前提と出典'!$C$38*'契約別単価'!H7)</ns0:f>
        <ns0:v>37303.43224502399</ns0:v>
      </ns0:c>
      <ns0:c r="I58" s="16">
        <ns0:f>A58*('前提と出典'!$C$36*'契約別単価'!I5+'前提と出典'!$C$37*'契約別単価'!I6+'前提と出典'!$C$38*'契約別単価'!I7)</ns0:f>
        <ns0:v>2278.5586592178765</ns0:v>
      </ns0:c>
      <ns0:c r="J58" s="16">
        <ns0:f>A58*('前提と出典'!$C$36*'契約別単価'!J5+'前提と出典'!$C$37*'契約別単価'!J6+'前提と出典'!$C$38*'契約別単価'!J7)</ns0:f>
        <ns0:v>5307.635360356338</ns0:v>
      </ns0:c>
      <ns0:c r="K58" s="16">
        <ns0:f>A58*('前提と出典'!$C$36*'契約別単価'!K5+'前提と出典'!$C$37*'契約別単価'!K6+'前提と出典'!$C$38*'契約別単価'!K7)</ns0:f>
        <ns0:v>22750.391061452512</ns0:v>
      </ns0:c>
      <ns0:c r="L58" s="16">
        <ns0:f>A58*('前提と出典'!$C$36*'契約別単価'!L5+'前提と出典'!$C$37*'契約別単価'!L6+'前提と出典'!$C$38*'契約別単価'!L7)</ns0:f>
        <ns0:v>18523.4477415008</ns0:v>
      </ns0:c>
      <ns0:c r="M58" s="16">
        <ns0:f>IF(('前提と出典'!$C$36+'前提と出典'!$C$38)=0,0,IF(B58&lt;=10,'前提と出典'!B73+'前提と出典'!C73,IF(B58&lt;=100,'前提と出典'!B74+'前提と出典'!C74,IF(B58&lt;=500,'前提と出典'!B75+'前提と出典'!C75,'前提と出典'!B76+'前提と出典'!C76))))</ns0:f>
        <ns0:v>20000</ns0:v>
      </ns0:c>
      <ns0:c r="N58" s="16">
        <ns0:f>IF(('前提と出典'!$C$37+'前提と出典'!$C$38)=0,0,IF(C58&lt;=10,'前提と出典'!D73+'前提と出典'!E73,IF(C58&lt;=100,'前提と出典'!D74+'前提と出典'!E74,IF(C58&lt;=500,'前提と出典'!D75+'前提と出典'!E75,'前提と出典'!D76+'前提と出典'!E76))))</ns0:f>
        <ns0:v>34510.9346263078</ns0:v>
      </ns0:c>
      <ns0:c r="O58" s="16">
        <ns0:f>IF('前提と出典'!$C$36+'前提と出典'!$C$38=0,0,'前提と出典'!$B$4*IF('前提と出典'!$B$20=0,MAX('前提と出典'!$B$6,D58*'前提と出典'!$B$5),'前提と出典'!$B$6+D58*'前提と出典'!$B$5))</ns0:f>
        <ns0:v>53621.09497206705</ns0:v>
      </ns0:c>
      <ns0:c r="P58" s="16">
        <ns0:f>(E58+G58)*(1-'前提と出典'!$B$7)-I58-K58-M58-O58</ns0:f>
        <ns0:v>135829.7376073128</ns0:v>
      </ns0:c>
      <ns0:c r="Q58" s="16">
        <ns0:f>(F58+H58)*(1-'前提と出典'!$B$7)-J58-L58-N58</ns0:f>
        <ns0:v>15643.69220614095</ns0:v>
      </ns0:c>
      <ns0:c r="R58" s="16">
        <ns0:f>P58-E58*'前提と出典'!$E$4</ns0:f>
        <ns0:v>95104.99625081001</ns0:v>
      </ns0:c>
      <ns0:c r="S58" s="16">
        <ns0:f>Q58-F58*'前提と出典'!$E$4</ns0:f>
        <ns0:v>3810.123352374525</ns0:v>
      </ns0:c>
      <ns0:c r="T58" s="7">
        <ns0:f>R58+S58</ns0:f>
        <ns0:v>98915.11960318455</ns0:v>
      </ns0:c>
      <ns0:c r="U58" s="16">
        <ns0:f>P58-E58*'前提と出典'!$E$5</ns0:f>
        <ns0:v>81530.08246530907</ns0:v>
      </ns0:c>
      <ns0:c r="V58" s="16">
        <ns0:f>Q58-F58*'前提と出典'!$E$5</ns0:f>
        <ns0:v>-134.39959888094745</ns0:v>
      </ns0:c>
      <ns0:c r="W58" s="7">
        <ns0:f>U58+V58</ns0:f>
        <ns0:v>81395.68286642812</ns0:v>
      </ns0:c>
      <ns0:c r="X58" s="16">
        <ns0:f>P58-E58*'前提と出典'!$E$6</ns0:f>
        <ns0:v>67955.16867980812</ns0:v>
      </ns0:c>
      <ns0:c r="Y58" s="16">
        <ns0:f>Q58-F58*'前提と出典'!$E$6</ns0:f>
        <ns0:v>-4078.92255013642</ns0:v>
      </ns0:c>
      <ns0:c r="Z58" s="7">
        <ns0:f>X58+Y58</ns0:f>
        <ns0:v>63876.2461296717</ns0:v>
      </ns0:c>
      <ns0:c r="AA58" s="7">
        <ns0:f>IF(T58&gt;=0,A58,1001)</ns0:f>
        <ns0:v>54</ns0:v>
      </ns0:c>
      <ns0:c r="AB58" s="7">
        <ns0:f>IF(T58&lt;0,A58,0)</ns0:f>
        <ns0:v>0</ns0:v>
      </ns0:c>
      <ns0:c r="AC58" s="16">
        <ns0:f>IF(AND(OR('前提と出典'!$C$36+'前提と出典'!$C$38=0,R58&gt;=0),OR('前提と出典'!$C$37+'前提と出典'!$C$38=0,S58&gt;=0)),0,A58)</ns0:f>
        <ns0:v>0</ns0:v>
      </ns0:c>
      <ns0:c r="AD58" s="7">
        <ns0:f>IF(W58&gt;=0,A58,1001)</ns0:f>
        <ns0:v>54</ns0:v>
      </ns0:c>
      <ns0:c r="AE58" s="7">
        <ns0:f>IF(W58&lt;0,A58,0)</ns0:f>
        <ns0:v>0</ns0:v>
      </ns0:c>
      <ns0:c r="AF58" s="16">
        <ns0:f>IF(AND(OR('前提と出典'!$C$36+'前提と出典'!$C$38=0,U58&gt;=0),OR('前提と出典'!$C$37+'前提と出典'!$C$38=0,V58&gt;=0)),0,A58)</ns0:f>
        <ns0:v>54</ns0:v>
      </ns0:c>
      <ns0:c r="AG58" s="7">
        <ns0:f>IF(Z58&gt;=0,A58,1001)</ns0:f>
        <ns0:v>54</ns0:v>
      </ns0:c>
      <ns0:c r="AH58" s="4">
        <ns0:f>IF(Z58&lt;0,A58,0)</ns0:f>
        <ns0:v>0</ns0:v>
      </ns0:c>
      <ns0:c r="AI58" s="12">
        <ns0:f>IF(AND(OR('前提と出典'!$C$36+'前提と出典'!$C$38=0,X58&gt;=0),OR('前提と出典'!$C$37+'前提と出典'!$C$38=0,Y58&gt;=0)),0,A58)</ns0:f>
        <ns0:v>54</ns0:v>
      </ns0:c>
    </ns0:row>
    <ns0:row r="59" ht="24" customHeight="1">
      <ns0:c r="A59" s="4" t="n">
        <ns0:v>55</ns0:v>
      </ns0:c>
      <ns0:c r="B59" s="12">
        <ns0:f>A59*('前提と出典'!$C$36+'前提と出典'!$C$38)</ns0:f>
        <ns0:v>38.5</ns0:v>
      </ns0:c>
      <ns0:c r="C59" s="12">
        <ns0:f>A59*('前提と出典'!$C$37+'前提と出典'!$C$38)</ns0:f>
        <ns0:v>33</ns0:v>
      </ns0:c>
      <ns0:c r="D59" s="16">
        <ns0:f>A59*('前提と出典'!$C$36*'契約別単価'!C5+'前提と出典'!$C$37*'契約別単価'!C6+'前提と出典'!$C$38*'契約別単価'!C7)</ns0:f>
        <ns0:v>395.75418994413405</ns0:v>
      </ns0:c>
      <ns0:c r="E59" s="16">
        <ns0:f>A59*('前提と出典'!$C$36*'契約別単価'!E5+'前提と出典'!$C$37*'契約別単価'!E6+'前提と出典'!$C$38*'契約別単価'!E7)</ns0:f>
        <ns0:v>138263.01077825023</ns0:v>
      </ns0:c>
      <ns0:c r="F59" s="16">
        <ns0:f>A59*('前提と出典'!$C$36*'契約別単価'!F5+'前提と出典'!$C$37*'契約別単価'!F6+'前提と出典'!$C$38*'契約別単価'!F7)</ns0:f>
        <ns0:v>40175.6967257502</ns0:v>
      </ns0:c>
      <ns0:c r="G59" s="16">
        <ns0:f>A59*('前提と出典'!$C$36*'契約別単価'!G5+'前提と出典'!$C$37*'契約別単価'!G6+'前提と出典'!$C$38*'契約別単価'!G7)</ns0:f>
        <ns0:v>109477.6536312849</ns0:v>
      </ns0:c>
      <ns0:c r="H59" s="16">
        <ns0:f>A59*('前提と出典'!$C$36*'契約別単価'!H5+'前提と出典'!$C$37*'契約別単価'!H6+'前提と出典'!$C$38*'契約別単価'!H7)</ns0:f>
        <ns0:v>37994.23654585777</ns0:v>
      </ns0:c>
      <ns0:c r="I59" s="16">
        <ns0:f>A59*('前提と出典'!$C$36*'契約別単価'!I5+'前提と出典'!$C$37*'契約別単価'!I6+'前提と出典'!$C$38*'契約別単価'!I7)</ns0:f>
        <ns0:v>2320.7541899441335</ns0:v>
      </ns0:c>
      <ns0:c r="J59" s="16">
        <ns0:f>A59*('前提と出典'!$C$36*'契約別単価'!J5+'前提と出典'!$C$37*'契約別単価'!J6+'前提と出典'!$C$38*'契約別単価'!J7)</ns0:f>
        <ns0:v>5405.924904066641</ns0:v>
      </ns0:c>
      <ns0:c r="K59" s="16">
        <ns0:f>A59*('前提と出典'!$C$36*'契約別単価'!K5+'前提と出典'!$C$37*'契約別単価'!K6+'前提と出典'!$C$38*'契約別単価'!K7)</ns0:f>
        <ns0:v>23171.694599627557</ns0:v>
      </ns0:c>
      <ns0:c r="L59" s="16">
        <ns0:f>A59*('前提と出典'!$C$36*'契約別単価'!L5+'前提と出典'!$C$37*'契約別単価'!L6+'前提と出典'!$C$38*'契約別単価'!L7)</ns0:f>
        <ns0:v>18866.47455152859</ns0:v>
      </ns0:c>
      <ns0:c r="M59" s="16">
        <ns0:f>IF(('前提と出典'!$C$36+'前提と出典'!$C$38)=0,0,IF(B59&lt;=10,'前提と出典'!B73+'前提と出典'!C73,IF(B59&lt;=100,'前提と出典'!B74+'前提と出典'!C74,IF(B59&lt;=500,'前提と出典'!B75+'前提と出典'!C75,'前提と出典'!B76+'前提と出典'!C76))))</ns0:f>
        <ns0:v>20000</ns0:v>
      </ns0:c>
      <ns0:c r="N59" s="16">
        <ns0:f>IF(('前提と出典'!$C$37+'前提と出典'!$C$38)=0,0,IF(C59&lt;=10,'前提と出典'!D73+'前提と出典'!E73,IF(C59&lt;=100,'前提と出典'!D74+'前提と出典'!E74,IF(C59&lt;=500,'前提と出典'!D75+'前提と出典'!E75,'前提と出典'!D76+'前提と出典'!E76))))</ns0:f>
        <ns0:v>34510.9346263078</ns0:v>
      </ns0:c>
      <ns0:c r="O59" s="16">
        <ns0:f>IF('前提と出典'!$C$36+'前提と出典'!$C$38=0,0,'前提と出典'!$B$4*IF('前提と出典'!$B$20=0,MAX('前提と出典'!$B$6,D59*'前提と出典'!$B$5),'前提と出典'!$B$6+D59*'前提と出典'!$B$5))</ns0:f>
        <ns0:v>54614.0782122905</ns0:v>
      </ns0:c>
      <ns0:c r="P59" s="16">
        <ns0:f>(E59+G59)*(1-'前提と出典'!$B$7)-I59-K59-M59-O59</ns0:f>
        <ns0:v>138715.47348892968</ns0:v>
      </ns0:c>
      <ns0:c r="Q59" s="16">
        <ns0:f>(F59+H59)*(1-'前提と出典'!$B$7)-J59-L59-N59</ns0:f>
        <ns0:v>16572.481591927055</ns0:v>
      </ns0:c>
      <ns0:c r="R59" s="16">
        <ns0:f>P59-E59*'前提と出典'!$E$4</ns0:f>
        <ns0:v>97236.57025545463</ns0:v>
      </ns0:c>
      <ns0:c r="S59" s="16">
        <ns0:f>Q59-F59*'前提と出典'!$E$4</ns0:f>
        <ns0:v>4519.77257420199</ns0:v>
      </ns0:c>
      <ns0:c r="T59" s="7">
        <ns0:f>R59+S59</ns0:f>
        <ns0:v>101756.34282965661</ns0:v>
      </ns0:c>
      <ns0:c r="U59" s="16">
        <ns0:f>P59-E59*'前提と出典'!$E$5</ns0:f>
        <ns0:v>83410.26917762958</ns0:v>
      </ns0:c>
      <ns0:c r="V59" s="16">
        <ns0:f>Q59-F59*'前提と出典'!$E$5</ns0:f>
        <ns0:v>502.20290162697347</ns0:v>
      </ns0:c>
      <ns0:c r="W59" s="7">
        <ns0:f>U59+V59</ns0:f>
        <ns0:v>83912.47207925655</ns0:v>
      </ns0:c>
      <ns0:c r="X59" s="16">
        <ns0:f>P59-E59*'前提と出典'!$E$6</ns0:f>
        <ns0:v>69583.96809980457</ns0:v>
      </ns0:c>
      <ns0:c r="Y59" s="16">
        <ns0:f>Q59-F59*'前提と出典'!$E$6</ns0:f>
        <ns0:v>-3515.3667709480433</ns0:v>
      </ns0:c>
      <ns0:c r="Z59" s="7">
        <ns0:f>X59+Y59</ns0:f>
        <ns0:v>66068.60132885652</ns0:v>
      </ns0:c>
      <ns0:c r="AA59" s="7">
        <ns0:f>IF(T59&gt;=0,A59,1001)</ns0:f>
        <ns0:v>55</ns0:v>
      </ns0:c>
      <ns0:c r="AB59" s="7">
        <ns0:f>IF(T59&lt;0,A59,0)</ns0:f>
        <ns0:v>0</ns0:v>
      </ns0:c>
      <ns0:c r="AC59" s="16">
        <ns0:f>IF(AND(OR('前提と出典'!$C$36+'前提と出典'!$C$38=0,R59&gt;=0),OR('前提と出典'!$C$37+'前提と出典'!$C$38=0,S59&gt;=0)),0,A59)</ns0:f>
        <ns0:v>0</ns0:v>
      </ns0:c>
      <ns0:c r="AD59" s="7">
        <ns0:f>IF(W59&gt;=0,A59,1001)</ns0:f>
        <ns0:v>55</ns0:v>
      </ns0:c>
      <ns0:c r="AE59" s="7">
        <ns0:f>IF(W59&lt;0,A59,0)</ns0:f>
        <ns0:v>0</ns0:v>
      </ns0:c>
      <ns0:c r="AF59" s="16">
        <ns0:f>IF(AND(OR('前提と出典'!$C$36+'前提と出典'!$C$38=0,U59&gt;=0),OR('前提と出典'!$C$37+'前提と出典'!$C$38=0,V59&gt;=0)),0,A59)</ns0:f>
        <ns0:v>0</ns0:v>
      </ns0:c>
      <ns0:c r="AG59" s="7">
        <ns0:f>IF(Z59&gt;=0,A59,1001)</ns0:f>
        <ns0:v>55</ns0:v>
      </ns0:c>
      <ns0:c r="AH59" s="4">
        <ns0:f>IF(Z59&lt;0,A59,0)</ns0:f>
        <ns0:v>0</ns0:v>
      </ns0:c>
      <ns0:c r="AI59" s="12">
        <ns0:f>IF(AND(OR('前提と出典'!$C$36+'前提と出典'!$C$38=0,X59&gt;=0),OR('前提と出典'!$C$37+'前提と出典'!$C$38=0,Y59&gt;=0)),0,A59)</ns0:f>
        <ns0:v>55</ns0:v>
      </ns0:c>
    </ns0:row>
    <ns0:row r="60" ht="24" customHeight="1">
      <ns0:c r="A60" s="4" t="n">
        <ns0:v>56</ns0:v>
      </ns0:c>
      <ns0:c r="B60" s="12">
        <ns0:f>A60*('前提と出典'!$C$36+'前提と出典'!$C$38)</ns0:f>
        <ns0:v>39.199999999999996</ns0:v>
      </ns0:c>
      <ns0:c r="C60" s="12">
        <ns0:f>A60*('前提と出典'!$C$37+'前提と出典'!$C$38)</ns0:f>
        <ns0:v>33.6</ns0:v>
      </ns0:c>
      <ns0:c r="D60" s="16">
        <ns0:f>A60*('前提と出典'!$C$36*'契約別単価'!C5+'前提と出典'!$C$37*'契約別単価'!C6+'前提と出典'!$C$38*'契約別単価'!C7)</ns0:f>
        <ns0:v>402.94972067039106</ns0:v>
      </ns0:c>
      <ns0:c r="E60" s="16">
        <ns0:f>A60*('前提と出典'!$C$36*'契約別単価'!E5+'前提と出典'!$C$37*'契約別単価'!E6+'前提と出典'!$C$38*'契約別単価'!E7)</ns0:f>
        <ns0:v>140776.88370149114</ns0:v>
      </ns0:c>
      <ns0:c r="F60" s="16">
        <ns0:f>A60*('前提と出典'!$C$36*'契約別単価'!F5+'前提と出典'!$C$37*'契約別単価'!F6+'前提と出典'!$C$38*'契約別単価'!F7)</ns0:f>
        <ns0:v>40906.163938945654</ns0:v>
      </ns0:c>
      <ns0:c r="G60" s="16">
        <ns0:f>A60*('前提と出典'!$C$36*'契約別単価'!G5+'前提と出典'!$C$37*'契約別単価'!G6+'前提と出典'!$C$38*'契約別単価'!G7)</ns0:f>
        <ns0:v>111468.156424581</ns0:v>
      </ns0:c>
      <ns0:c r="H60" s="16">
        <ns0:f>A60*('前提と出典'!$C$36*'契約別単価'!H5+'前提と出典'!$C$37*'契約別単価'!H6+'前提と出典'!$C$38*'契約別単価'!H7)</ns0:f>
        <ns0:v>38685.040846691554</ns0:v>
      </ns0:c>
      <ns0:c r="I60" s="16">
        <ns0:f>A60*('前提と出典'!$C$36*'契約別単価'!I5+'前提と出典'!$C$37*'契約別単価'!I6+'前提と出典'!$C$38*'契約別単価'!I7)</ns0:f>
        <ns0:v>2362.949720670391</ns0:v>
      </ns0:c>
      <ns0:c r="J60" s="16">
        <ns0:f>A60*('前提と出典'!$C$36*'契約別単価'!J5+'前提と出典'!$C$37*'契約別単価'!J6+'前提と出典'!$C$38*'契約別単価'!J7)</ns0:f>
        <ns0:v>5504.214447776943</ns0:v>
      </ns0:c>
      <ns0:c r="K60" s="16">
        <ns0:f>A60*('前提と出典'!$C$36*'契約別単価'!K5+'前提と出典'!$C$37*'契約別単価'!K6+'前提と出典'!$C$38*'契約別単価'!K7)</ns0:f>
        <ns0:v>23592.998137802606</ns0:v>
      </ns0:c>
      <ns0:c r="L60" s="16">
        <ns0:f>A60*('前提と出典'!$C$36*'契約別単価'!L5+'前提と出典'!$C$37*'契約別単価'!L6+'前提と出典'!$C$38*'契約別単価'!L7)</ns0:f>
        <ns0:v>19209.501361556384</ns0:v>
      </ns0:c>
      <ns0:c r="M60" s="16">
        <ns0:f>IF(('前提と出典'!$C$36+'前提と出典'!$C$38)=0,0,IF(B60&lt;=10,'前提と出典'!B73+'前提と出典'!C73,IF(B60&lt;=100,'前提と出典'!B74+'前提と出典'!C74,IF(B60&lt;=500,'前提と出典'!B75+'前提と出典'!C75,'前提と出典'!B76+'前提と出典'!C76))))</ns0:f>
        <ns0:v>20000</ns0:v>
      </ns0:c>
      <ns0:c r="N60" s="16">
        <ns0:f>IF(('前提と出典'!$C$37+'前提と出典'!$C$38)=0,0,IF(C60&lt;=10,'前提と出典'!D73+'前提と出典'!E73,IF(C60&lt;=100,'前提と出典'!D74+'前提と出典'!E74,IF(C60&lt;=500,'前提と出典'!D75+'前提と出典'!E75,'前提と出典'!D76+'前提と出典'!E76))))</ns0:f>
        <ns0:v>34510.9346263078</ns0:v>
      </ns0:c>
      <ns0:c r="O60" s="16">
        <ns0:f>IF('前提と出典'!$C$36+'前提と出典'!$C$38=0,0,'前提と出典'!$B$4*IF('前提と出典'!$B$20=0,MAX('前提と出典'!$B$6,D60*'前提と出典'!$B$5),'前提と出典'!$B$6+D60*'前提と出典'!$B$5))</ns0:f>
        <ns0:v>55607.06145251397</ns0:v>
      </ns0:c>
      <ns0:c r="P60" s="16">
        <ns0:f>(E60+G60)*(1-'前提と出典'!$B$7)-I60-K60-M60-O60</ns0:f>
        <ns0:v>141601.20937054657</ns0:v>
      </ns0:c>
      <ns0:c r="Q60" s="16">
        <ns0:f>(F60+H60)*(1-'前提と出典'!$B$7)-J60-L60-N60</ns0:f>
        <ns0:v>17501.27097771315</ns0:v>
      </ns0:c>
      <ns0:c r="R60" s="16">
        <ns0:f>P60-E60*'前提と出典'!$E$4</ns0:f>
        <ns0:v>99368.14426009922</ns0:v>
      </ns0:c>
      <ns0:c r="S60" s="16">
        <ns0:f>Q60-F60*'前提と出典'!$E$4</ns0:f>
        <ns0:v>5229.421796029455</ns0:v>
      </ns0:c>
      <ns0:c r="T60" s="7">
        <ns0:f>R60+S60</ns0:f>
        <ns0:v>104597.56605612868</ns0:v>
      </ns0:c>
      <ns0:c r="U60" s="16">
        <ns0:f>P60-E60*'前提と出典'!$E$5</ns0:f>
        <ns0:v>85290.4558899501</ns0:v>
      </ns0:c>
      <ns0:c r="V60" s="16">
        <ns0:f>Q60-F60*'前提と出典'!$E$5</ns0:f>
        <ns0:v>1138.8054021348871</ns0:v>
      </ns0:c>
      <ns0:c r="W60" s="7">
        <ns0:f>U60+V60</ns0:f>
        <ns0:v>86429.261292085</ns0:v>
      </ns0:c>
      <ns0:c r="X60" s="16">
        <ns0:f>P60-E60*'前提と出典'!$E$6</ns0:f>
        <ns0:v>71212.76751980098</ns0:v>
      </ns0:c>
      <ns0:c r="Y60" s="16">
        <ns0:f>Q60-F60*'前提と出典'!$E$6</ns0:f>
        <ns0:v>-2951.810991759685</ns0:v>
      </ns0:c>
      <ns0:c r="Z60" s="7">
        <ns0:f>X60+Y60</ns0:f>
        <ns0:v>68260.9565280413</ns0:v>
      </ns0:c>
      <ns0:c r="AA60" s="7">
        <ns0:f>IF(T60&gt;=0,A60,1001)</ns0:f>
        <ns0:v>56</ns0:v>
      </ns0:c>
      <ns0:c r="AB60" s="7">
        <ns0:f>IF(T60&lt;0,A60,0)</ns0:f>
        <ns0:v>0</ns0:v>
      </ns0:c>
      <ns0:c r="AC60" s="16">
        <ns0:f>IF(AND(OR('前提と出典'!$C$36+'前提と出典'!$C$38=0,R60&gt;=0),OR('前提と出典'!$C$37+'前提と出典'!$C$38=0,S60&gt;=0)),0,A60)</ns0:f>
        <ns0:v>0</ns0:v>
      </ns0:c>
      <ns0:c r="AD60" s="7">
        <ns0:f>IF(W60&gt;=0,A60,1001)</ns0:f>
        <ns0:v>56</ns0:v>
      </ns0:c>
      <ns0:c r="AE60" s="7">
        <ns0:f>IF(W60&lt;0,A60,0)</ns0:f>
        <ns0:v>0</ns0:v>
      </ns0:c>
      <ns0:c r="AF60" s="16">
        <ns0:f>IF(AND(OR('前提と出典'!$C$36+'前提と出典'!$C$38=0,U60&gt;=0),OR('前提と出典'!$C$37+'前提と出典'!$C$38=0,V60&gt;=0)),0,A60)</ns0:f>
        <ns0:v>0</ns0:v>
      </ns0:c>
      <ns0:c r="AG60" s="7">
        <ns0:f>IF(Z60&gt;=0,A60,1001)</ns0:f>
        <ns0:v>56</ns0:v>
      </ns0:c>
      <ns0:c r="AH60" s="4">
        <ns0:f>IF(Z60&lt;0,A60,0)</ns0:f>
        <ns0:v>0</ns0:v>
      </ns0:c>
      <ns0:c r="AI60" s="12">
        <ns0:f>IF(AND(OR('前提と出典'!$C$36+'前提と出典'!$C$38=0,X60&gt;=0),OR('前提と出典'!$C$37+'前提と出典'!$C$38=0,Y60&gt;=0)),0,A60)</ns0:f>
        <ns0:v>56</ns0:v>
      </ns0:c>
    </ns0:row>
    <ns0:row r="61" ht="24" customHeight="1">
      <ns0:c r="A61" s="4" t="n">
        <ns0:v>57</ns0:v>
      </ns0:c>
      <ns0:c r="B61" s="12">
        <ns0:f>A61*('前提と出典'!$C$36+'前提と出典'!$C$38)</ns0:f>
        <ns0:v>39.9</ns0:v>
      </ns0:c>
      <ns0:c r="C61" s="12">
        <ns0:f>A61*('前提と出典'!$C$37+'前提と出典'!$C$38)</ns0:f>
        <ns0:v>34.199999999999996</ns0:v>
      </ns0:c>
      <ns0:c r="D61" s="16">
        <ns0:f>A61*('前提と出典'!$C$36*'契約別単価'!C5+'前提と出典'!$C$37*'契約別単価'!C6+'前提と出典'!$C$38*'契約別単価'!C7)</ns0:f>
        <ns0:v>410.14525139664806</ns0:v>
      </ns0:c>
      <ns0:c r="E61" s="16">
        <ns0:f>A61*('前提と出典'!$C$36*'契約別単価'!E5+'前提と出典'!$C$37*'契約別単価'!E6+'前提と出典'!$C$38*'契約別単価'!E7)</ns0:f>
        <ns0:v>143290.75662473205</ns0:v>
      </ns0:c>
      <ns0:c r="F61" s="16">
        <ns0:f>A61*('前提と出典'!$C$36*'契約別単価'!F5+'前提と出典'!$C$37*'契約別単価'!F6+'前提と出典'!$C$38*'契約別単価'!F7)</ns0:f>
        <ns0:v>41636.63115214111</ns0:v>
      </ns0:c>
      <ns0:c r="G61" s="16">
        <ns0:f>A61*('前提と出典'!$C$36*'契約別単価'!G5+'前提と出典'!$C$37*'契約別単価'!G6+'前提と出典'!$C$38*'契約別単価'!G7)</ns0:f>
        <ns0:v>113458.6592178771</ns0:v>
      </ns0:c>
      <ns0:c r="H61" s="16">
        <ns0:f>A61*('前提と出典'!$C$36*'契約別単価'!H5+'前提と出典'!$C$37*'契約別単価'!H6+'前提と出典'!$C$38*'契約別単価'!H7)</ns0:f>
        <ns0:v>39375.84514752533</ns0:v>
      </ns0:c>
      <ns0:c r="I61" s="16">
        <ns0:f>A61*('前提と出典'!$C$36*'契約別単価'!I5+'前提と出典'!$C$37*'契約別単価'!I6+'前提と出典'!$C$38*'契約別単価'!I7)</ns0:f>
        <ns0:v>2405.145251396648</ns0:v>
      </ns0:c>
      <ns0:c r="J61" s="16">
        <ns0:f>A61*('前提と出典'!$C$36*'契約別単価'!J5+'前提と出典'!$C$37*'契約別単価'!J6+'前提と出典'!$C$38*'契約別単価'!J7)</ns0:f>
        <ns0:v>5602.503991487246</ns0:v>
      </ns0:c>
      <ns0:c r="K61" s="16">
        <ns0:f>A61*('前提と出典'!$C$36*'契約別単価'!K5+'前提と出典'!$C$37*'契約別単価'!K6+'前提と出典'!$C$38*'契約別単価'!K7)</ns0:f>
        <ns0:v>24014.30167597765</ns0:v>
      </ns0:c>
      <ns0:c r="L61" s="16">
        <ns0:f>A61*('前提と出典'!$C$36*'契約別単価'!L5+'前提と出典'!$C$37*'契約別単価'!L6+'前提と出典'!$C$38*'契約別単価'!L7)</ns0:f>
        <ns0:v>19552.528171584177</ns0:v>
      </ns0:c>
      <ns0:c r="M61" s="16">
        <ns0:f>IF(('前提と出典'!$C$36+'前提と出典'!$C$38)=0,0,IF(B61&lt;=10,'前提と出典'!B73+'前提と出典'!C73,IF(B61&lt;=100,'前提と出典'!B74+'前提と出典'!C74,IF(B61&lt;=500,'前提と出典'!B75+'前提と出典'!C75,'前提と出典'!B76+'前提と出典'!C76))))</ns0:f>
        <ns0:v>20000</ns0:v>
      </ns0:c>
      <ns0:c r="N61" s="16">
        <ns0:f>IF(('前提と出典'!$C$37+'前提と出典'!$C$38)=0,0,IF(C61&lt;=10,'前提と出典'!D73+'前提と出典'!E73,IF(C61&lt;=100,'前提と出典'!D74+'前提と出典'!E74,IF(C61&lt;=500,'前提と出典'!D75+'前提と出典'!E75,'前提と出典'!D76+'前提と出典'!E76))))</ns0:f>
        <ns0:v>34510.9346263078</ns0:v>
      </ns0:c>
      <ns0:c r="O61" s="16">
        <ns0:f>IF('前提と出典'!$C$36+'前提と出典'!$C$38=0,0,'前提と出典'!$B$4*IF('前提と出典'!$B$20=0,MAX('前提と出典'!$B$6,D61*'前提と出典'!$B$5),'前提と出典'!$B$6+D61*'前提と出典'!$B$5))</ns0:f>
        <ns0:v>56600.044692737436</ns0:v>
      </ns0:c>
      <ns0:c r="P61" s="16">
        <ns0:f>(E61+G61)*(1-'前提と出典'!$B$7)-I61-K61-M61-O61</ns0:f>
        <ns0:v>144486.9452521635</ns0:v>
      </ns0:c>
      <ns0:c r="Q61" s="16">
        <ns0:f>(F61+H61)*(1-'前提と出典'!$B$7)-J61-L61-N61</ns0:f>
        <ns0:v>18430.060363499233</ns0:v>
      </ns0:c>
      <ns0:c r="R61" s="16">
        <ns0:f>P61-E61*'前提と出典'!$E$4</ns0:f>
        <ns0:v>101499.71826474386</ns0:v>
      </ns0:c>
      <ns0:c r="S61" s="16">
        <ns0:f>Q61-F61*'前提と出典'!$E$4</ns0:f>
        <ns0:v>5939.071017856913</ns0:v>
      </ns0:c>
      <ns0:c r="T61" s="7">
        <ns0:f>R61+S61</ns0:f>
        <ns0:v>107438.78928260077</ns0:v>
      </ns0:c>
      <ns0:c r="U61" s="16">
        <ns0:f>P61-E61*'前提と出典'!$E$5</ns0:f>
        <ns0:v>87170.64260227067</ns0:v>
      </ns0:c>
      <ns0:c r="V61" s="16">
        <ns0:f>Q61-F61*'前提と出典'!$E$5</ns0:f>
        <ns0:v>1775.4079026427862</ns0:v>
      </ns0:c>
      <ns0:c r="W61" s="7">
        <ns0:f>U61+V61</ns0:f>
        <ns0:v>88946.05050491347</ns0:v>
      </ns0:c>
      <ns0:c r="X61" s="16">
        <ns0:f>P61-E61*'前提と出典'!$E$6</ns0:f>
        <ns0:v>72841.56693979746</ns0:v>
      </ns0:c>
      <ns0:c r="Y61" s="16">
        <ns0:f>Q61-F61*'前提と出典'!$E$6</ns0:f>
        <ns0:v>-2388.255212571319</ns0:v>
      </ns0:c>
      <ns0:c r="Z61" s="7">
        <ns0:f>X61+Y61</ns0:f>
        <ns0:v>70453.31172722613</ns0:v>
      </ns0:c>
      <ns0:c r="AA61" s="7">
        <ns0:f>IF(T61&gt;=0,A61,1001)</ns0:f>
        <ns0:v>57</ns0:v>
      </ns0:c>
      <ns0:c r="AB61" s="7">
        <ns0:f>IF(T61&lt;0,A61,0)</ns0:f>
        <ns0:v>0</ns0:v>
      </ns0:c>
      <ns0:c r="AC61" s="16">
        <ns0:f>IF(AND(OR('前提と出典'!$C$36+'前提と出典'!$C$38=0,R61&gt;=0),OR('前提と出典'!$C$37+'前提と出典'!$C$38=0,S61&gt;=0)),0,A61)</ns0:f>
        <ns0:v>0</ns0:v>
      </ns0:c>
      <ns0:c r="AD61" s="7">
        <ns0:f>IF(W61&gt;=0,A61,1001)</ns0:f>
        <ns0:v>57</ns0:v>
      </ns0:c>
      <ns0:c r="AE61" s="7">
        <ns0:f>IF(W61&lt;0,A61,0)</ns0:f>
        <ns0:v>0</ns0:v>
      </ns0:c>
      <ns0:c r="AF61" s="16">
        <ns0:f>IF(AND(OR('前提と出典'!$C$36+'前提と出典'!$C$38=0,U61&gt;=0),OR('前提と出典'!$C$37+'前提と出典'!$C$38=0,V61&gt;=0)),0,A61)</ns0:f>
        <ns0:v>0</ns0:v>
      </ns0:c>
      <ns0:c r="AG61" s="7">
        <ns0:f>IF(Z61&gt;=0,A61,1001)</ns0:f>
        <ns0:v>57</ns0:v>
      </ns0:c>
      <ns0:c r="AH61" s="4">
        <ns0:f>IF(Z61&lt;0,A61,0)</ns0:f>
        <ns0:v>0</ns0:v>
      </ns0:c>
      <ns0:c r="AI61" s="12">
        <ns0:f>IF(AND(OR('前提と出典'!$C$36+'前提と出典'!$C$38=0,X61&gt;=0),OR('前提と出典'!$C$37+'前提と出典'!$C$38=0,Y61&gt;=0)),0,A61)</ns0:f>
        <ns0:v>57</ns0:v>
      </ns0:c>
    </ns0:row>
    <ns0:row r="62" ht="24" customHeight="1">
      <ns0:c r="A62" s="4" t="n">
        <ns0:v>58</ns0:v>
      </ns0:c>
      <ns0:c r="B62" s="12">
        <ns0:f>A62*('前提と出典'!$C$36+'前提と出典'!$C$38)</ns0:f>
        <ns0:v>40.599999999999994</ns0:v>
      </ns0:c>
      <ns0:c r="C62" s="12">
        <ns0:f>A62*('前提と出典'!$C$37+'前提と出典'!$C$38)</ns0:f>
        <ns0:v>34.8</ns0:v>
      </ns0:c>
      <ns0:c r="D62" s="16">
        <ns0:f>A62*('前提と出典'!$C$36*'契約別単価'!C5+'前提と出典'!$C$37*'契約別単価'!C6+'前提と出典'!$C$38*'契約別単価'!C7)</ns0:f>
        <ns0:v>417.340782122905</ns0:v>
      </ns0:c>
      <ns0:c r="E62" s="16">
        <ns0:f>A62*('前提と出典'!$C$36*'契約別単価'!E5+'前提と出典'!$C$37*'契約別単価'!E6+'前提と出典'!$C$38*'契約別単価'!E7)</ns0:f>
        <ns0:v>145804.62954797296</ns0:v>
      </ns0:c>
      <ns0:c r="F62" s="16">
        <ns0:f>A62*('前提と出典'!$C$36*'契約別単価'!F5+'前提と出典'!$C$37*'契約別単価'!F6+'前提と出典'!$C$38*'契約別単価'!F7)</ns0:f>
        <ns0:v>42367.09836533658</ns0:v>
      </ns0:c>
      <ns0:c r="G62" s="16">
        <ns0:f>A62*('前提と出典'!$C$36*'契約別単価'!G5+'前提と出典'!$C$37*'契約別単価'!G6+'前提と出典'!$C$38*'契約別単価'!G7)</ns0:f>
        <ns0:v>115449.16201117318</ns0:v>
      </ns0:c>
      <ns0:c r="H62" s="16">
        <ns0:f>A62*('前提と出典'!$C$36*'契約別単価'!H5+'前提と出典'!$C$37*'契約別単価'!H6+'前提と出典'!$C$38*'契約別単価'!H7)</ns0:f>
        <ns0:v>40066.64944835911</ns0:v>
      </ns0:c>
      <ns0:c r="I62" s="16">
        <ns0:f>A62*('前提と出典'!$C$36*'契約別単価'!I5+'前提と出典'!$C$37*'契約別単価'!I6+'前提と出典'!$C$38*'契約別単価'!I7)</ns0:f>
        <ns0:v>2447.340782122905</ns0:v>
      </ns0:c>
      <ns0:c r="J62" s="16">
        <ns0:f>A62*('前提と出典'!$C$36*'契約別単価'!J5+'前提と出典'!$C$37*'契約別単価'!J6+'前提と出典'!$C$38*'契約別単価'!J7)</ns0:f>
        <ns0:v>5700.793535197549</ns0:v>
      </ns0:c>
      <ns0:c r="K62" s="16">
        <ns0:f>A62*('前提と出典'!$C$36*'契約別単価'!K5+'前提と出典'!$C$37*'契約別単価'!K6+'前提と出典'!$C$38*'契約別単価'!K7)</ns0:f>
        <ns0:v>24435.6052141527</ns0:v>
      </ns0:c>
      <ns0:c r="L62" s="16">
        <ns0:f>A62*('前提と出典'!$C$36*'契約別単価'!L5+'前提と出典'!$C$37*'契約別単価'!L6+'前提と出典'!$C$38*'契約別単価'!L7)</ns0:f>
        <ns0:v>19895.55498161197</ns0:v>
      </ns0:c>
      <ns0:c r="M62" s="16">
        <ns0:f>IF(('前提と出典'!$C$36+'前提と出典'!$C$38)=0,0,IF(B62&lt;=10,'前提と出典'!B73+'前提と出典'!C73,IF(B62&lt;=100,'前提と出典'!B74+'前提と出典'!C74,IF(B62&lt;=500,'前提と出典'!B75+'前提と出典'!C75,'前提と出典'!B76+'前提と出典'!C76))))</ns0:f>
        <ns0:v>20000</ns0:v>
      </ns0:c>
      <ns0:c r="N62" s="16">
        <ns0:f>IF(('前提と出典'!$C$37+'前提と出典'!$C$38)=0,0,IF(C62&lt;=10,'前提と出典'!D73+'前提と出典'!E73,IF(C62&lt;=100,'前提と出典'!D74+'前提と出典'!E74,IF(C62&lt;=500,'前提と出典'!D75+'前提と出典'!E75,'前提と出典'!D76+'前提と出典'!E76))))</ns0:f>
        <ns0:v>34510.9346263078</ns0:v>
      </ns0:c>
      <ns0:c r="O62" s="16">
        <ns0:f>IF('前提と出典'!$C$36+'前提と出典'!$C$38=0,0,'前提と出典'!$B$4*IF('前提と出典'!$B$20=0,MAX('前提と出典'!$B$6,D62*'前提と出典'!$B$5),'前提と出典'!$B$6+D62*'前提と出典'!$B$5))</ns0:f>
        <ns0:v>57593.0279329609</ns0:v>
      </ns0:c>
      <ns0:c r="P62" s="16">
        <ns0:f>(E62+G62)*(1-'前提と出典'!$B$7)-I62-K62-M62-O62</ns0:f>
        <ns0:v>147372.6811337804</ns0:v>
      </ns0:c>
      <ns0:c r="Q62" s="16">
        <ns0:f>(F62+H62)*(1-'前提と出典'!$B$7)-J62-L62-N62</ns0:f>
        <ns0:v>19358.84974928533</ns0:v>
      </ns0:c>
      <ns0:c r="R62" s="16">
        <ns0:f>P62-E62*'前提と出典'!$E$4</ns0:f>
        <ns0:v>103631.29226938848</ns0:v>
      </ns0:c>
      <ns0:c r="S62" s="16">
        <ns0:f>Q62-F62*'前提と出典'!$E$4</ns0:f>
        <ns0:v>6648.720239684357</ns0:v>
      </ns0:c>
      <ns0:c r="T62" s="7">
        <ns0:f>R62+S62</ns0:f>
        <ns0:v>110280.01250907284</ns0:v>
      </ns0:c>
      <ns0:c r="U62" s="16">
        <ns0:f>P62-E62*'前提と出典'!$E$5</ns0:f>
        <ns0:v>89050.82931459122</ns0:v>
      </ns0:c>
      <ns0:c r="V62" s="16">
        <ns0:f>Q62-F62*'前提と出典'!$E$5</ns0:f>
        <ns0:v>2412.0104031507</ns0:v>
      </ns0:c>
      <ns0:c r="W62" s="7">
        <ns0:f>U62+V62</ns0:f>
        <ns0:v>91462.83971774191</ns0:v>
      </ns0:c>
      <ns0:c r="X62" s="16">
        <ns0:f>P62-E62*'前提と出典'!$E$6</ns0:f>
        <ns0:v>74470.3663597939</ns0:v>
      </ns0:c>
      <ns0:c r="Y62" s="16">
        <ns0:f>Q62-F62*'前提と出典'!$E$6</ns0:f>
        <ns0:v>-1824.6994333829534</ns0:v>
      </ns0:c>
      <ns0:c r="Z62" s="7">
        <ns0:f>X62+Y62</ns0:f>
        <ns0:v>72645.66692641095</ns0:v>
      </ns0:c>
      <ns0:c r="AA62" s="7">
        <ns0:f>IF(T62&gt;=0,A62,1001)</ns0:f>
        <ns0:v>58</ns0:v>
      </ns0:c>
      <ns0:c r="AB62" s="7">
        <ns0:f>IF(T62&lt;0,A62,0)</ns0:f>
        <ns0:v>0</ns0:v>
      </ns0:c>
      <ns0:c r="AC62" s="16">
        <ns0:f>IF(AND(OR('前提と出典'!$C$36+'前提と出典'!$C$38=0,R62&gt;=0),OR('前提と出典'!$C$37+'前提と出典'!$C$38=0,S62&gt;=0)),0,A62)</ns0:f>
        <ns0:v>0</ns0:v>
      </ns0:c>
      <ns0:c r="AD62" s="7">
        <ns0:f>IF(W62&gt;=0,A62,1001)</ns0:f>
        <ns0:v>58</ns0:v>
      </ns0:c>
      <ns0:c r="AE62" s="7">
        <ns0:f>IF(W62&lt;0,A62,0)</ns0:f>
        <ns0:v>0</ns0:v>
      </ns0:c>
      <ns0:c r="AF62" s="16">
        <ns0:f>IF(AND(OR('前提と出典'!$C$36+'前提と出典'!$C$38=0,U62&gt;=0),OR('前提と出典'!$C$37+'前提と出典'!$C$38=0,V62&gt;=0)),0,A62)</ns0:f>
        <ns0:v>0</ns0:v>
      </ns0:c>
      <ns0:c r="AG62" s="7">
        <ns0:f>IF(Z62&gt;=0,A62,1001)</ns0:f>
        <ns0:v>58</ns0:v>
      </ns0:c>
      <ns0:c r="AH62" s="4">
        <ns0:f>IF(Z62&lt;0,A62,0)</ns0:f>
        <ns0:v>0</ns0:v>
      </ns0:c>
      <ns0:c r="AI62" s="12">
        <ns0:f>IF(AND(OR('前提と出典'!$C$36+'前提と出典'!$C$38=0,X62&gt;=0),OR('前提と出典'!$C$37+'前提と出典'!$C$38=0,Y62&gt;=0)),0,A62)</ns0:f>
        <ns0:v>58</ns0:v>
      </ns0:c>
    </ns0:row>
    <ns0:row r="63" ht="24" customHeight="1">
      <ns0:c r="A63" s="4" t="n">
        <ns0:v>59</ns0:v>
      </ns0:c>
      <ns0:c r="B63" s="12">
        <ns0:f>A63*('前提と出典'!$C$36+'前提と出典'!$C$38)</ns0:f>
        <ns0:v>41.3</ns0:v>
      </ns0:c>
      <ns0:c r="C63" s="12">
        <ns0:f>A63*('前提と出典'!$C$37+'前提と出典'!$C$38)</ns0:f>
        <ns0:v>35.4</ns0:v>
      </ns0:c>
      <ns0:c r="D63" s="16">
        <ns0:f>A63*('前提と出典'!$C$36*'契約別単価'!C5+'前提と出典'!$C$37*'契約別単価'!C6+'前提と出典'!$C$38*'契約別単価'!C7)</ns0:f>
        <ns0:v>424.536312849162</ns0:v>
      </ns0:c>
      <ns0:c r="E63" s="16">
        <ns0:f>A63*('前提と出典'!$C$36*'契約別単価'!E5+'前提と出典'!$C$37*'契約別単価'!E6+'前提と出典'!$C$38*'契約別単価'!E7)</ns0:f>
        <ns0:v>148318.50247121387</ns0:v>
      </ns0:c>
      <ns0:c r="F63" s="16">
        <ns0:f>A63*('前提と出典'!$C$36*'契約別単価'!F5+'前提と出典'!$C$37*'契約別単価'!F6+'前提と出典'!$C$38*'契約別単価'!F7)</ns0:f>
        <ns0:v>43097.565578532034</ns0:v>
      </ns0:c>
      <ns0:c r="G63" s="16">
        <ns0:f>A63*('前提と出典'!$C$36*'契約別単価'!G5+'前提と出典'!$C$37*'契約別単価'!G6+'前提と出典'!$C$38*'契約別単価'!G7)</ns0:f>
        <ns0:v>117439.66480446927</ns0:v>
      </ns0:c>
      <ns0:c r="H63" s="16">
        <ns0:f>A63*('前提と出典'!$C$36*'契約別単価'!H5+'前提と出典'!$C$37*'契約別単価'!H6+'前提と出典'!$C$38*'契約別単価'!H7)</ns0:f>
        <ns0:v>40757.453749192886</ns0:v>
      </ns0:c>
      <ns0:c r="I63" s="16">
        <ns0:f>A63*('前提と出典'!$C$36*'契約別単価'!I5+'前提と出典'!$C$37*'契約別単価'!I6+'前提と出典'!$C$38*'契約別単価'!I7)</ns0:f>
        <ns0:v>2489.5363128491617</ns0:v>
      </ns0:c>
      <ns0:c r="J63" s="16">
        <ns0:f>A63*('前提と出典'!$C$36*'契約別単価'!J5+'前提と出典'!$C$37*'契約別単価'!J6+'前提と出典'!$C$38*'契約別単価'!J7)</ns0:f>
        <ns0:v>5799.083078907852</ns0:v>
      </ns0:c>
      <ns0:c r="K63" s="16">
        <ns0:f>A63*('前提と出典'!$C$36*'契約別単価'!K5+'前提と出典'!$C$37*'契約別単価'!K6+'前提と出典'!$C$38*'契約別単価'!K7)</ns0:f>
        <ns0:v>24856.908752327745</ns0:v>
      </ns0:c>
      <ns0:c r="L63" s="16">
        <ns0:f>A63*('前提と出典'!$C$36*'契約別単価'!L5+'前提と出典'!$C$37*'契約別単価'!L6+'前提と出典'!$C$38*'契約別単価'!L7)</ns0:f>
        <ns0:v>20238.58179163976</ns0:v>
      </ns0:c>
      <ns0:c r="M63" s="16">
        <ns0:f>IF(('前提と出典'!$C$36+'前提と出典'!$C$38)=0,0,IF(B63&lt;=10,'前提と出典'!B73+'前提と出典'!C73,IF(B63&lt;=100,'前提と出典'!B74+'前提と出典'!C74,IF(B63&lt;=500,'前提と出典'!B75+'前提と出典'!C75,'前提と出典'!B76+'前提と出典'!C76))))</ns0:f>
        <ns0:v>20000</ns0:v>
      </ns0:c>
      <ns0:c r="N63" s="16">
        <ns0:f>IF(('前提と出典'!$C$37+'前提と出典'!$C$38)=0,0,IF(C63&lt;=10,'前提と出典'!D73+'前提と出典'!E73,IF(C63&lt;=100,'前提と出典'!D74+'前提と出典'!E74,IF(C63&lt;=500,'前提と出典'!D75+'前提と出典'!E75,'前提と出典'!D76+'前提と出典'!E76))))</ns0:f>
        <ns0:v>34510.9346263078</ns0:v>
      </ns0:c>
      <ns0:c r="O63" s="16">
        <ns0:f>IF('前提と出典'!$C$36+'前提と出典'!$C$38=0,0,'前提と出典'!$B$4*IF('前提と出典'!$B$20=0,MAX('前提と出典'!$B$6,D63*'前提と出典'!$B$5),'前提と出典'!$B$6+D63*'前提と出典'!$B$5))</ns0:f>
        <ns0:v>58586.01117318436</ns0:v>
      </ns0:c>
      <ns0:c r="P63" s="16">
        <ns0:f>(E63+G63)*(1-'前提と出典'!$B$7)-I63-K63-M63-O63</ns0:f>
        <ns0:v>150258.41701539728</ns0:v>
      </ns0:c>
      <ns0:c r="Q63" s="16">
        <ns0:f>(F63+H63)*(1-'前提と出典'!$B$7)-J63-L63-N63</ns0:f>
        <ns0:v>20287.639135071415</ns0:v>
      </ns0:c>
      <ns0:c r="R63" s="16">
        <ns0:f>P63-E63*'前提と出典'!$E$4</ns0:f>
        <ns0:v>105762.86627403312</ns0:v>
      </ns0:c>
      <ns0:c r="S63" s="16">
        <ns0:f>Q63-F63*'前提と出典'!$E$4</ns0:f>
        <ns0:v>7358.3694615118075</ns0:v>
      </ns0:c>
      <ns0:c r="T63" s="7">
        <ns0:f>R63+S63</ns0:f>
        <ns0:v>113121.23573554493</ns0:v>
      </ns0:c>
      <ns0:c r="U63" s="16">
        <ns0:f>P63-E63*'前提と出典'!$E$5</ns0:f>
        <ns0:v>90931.01602691173</ns0:v>
      </ns0:c>
      <ns0:c r="V63" s="16">
        <ns0:f>Q63-F63*'前提と出典'!$E$5</ns0:f>
        <ns0:v>3048.612903658599</ns0:v>
      </ns0:c>
      <ns0:c r="W63" s="7">
        <ns0:f>U63+V63</ns0:f>
        <ns0:v>93979.62893057032</ns0:v>
      </ns0:c>
      <ns0:c r="X63" s="16">
        <ns0:f>P63-E63*'前提と出典'!$E$6</ns0:f>
        <ns0:v>76099.16577979035</ns0:v>
      </ns0:c>
      <ns0:c r="Y63" s="16">
        <ns0:f>Q63-F63*'前提と出典'!$E$6</ns0:f>
        <ns0:v>-1261.143654194595</ns0:v>
      </ns0:c>
      <ns0:c r="Z63" s="7">
        <ns0:f>X63+Y63</ns0:f>
        <ns0:v>74838.02212559574</ns0:v>
      </ns0:c>
      <ns0:c r="AA63" s="7">
        <ns0:f>IF(T63&gt;=0,A63,1001)</ns0:f>
        <ns0:v>59</ns0:v>
      </ns0:c>
      <ns0:c r="AB63" s="7">
        <ns0:f>IF(T63&lt;0,A63,0)</ns0:f>
        <ns0:v>0</ns0:v>
      </ns0:c>
      <ns0:c r="AC63" s="16">
        <ns0:f>IF(AND(OR('前提と出典'!$C$36+'前提と出典'!$C$38=0,R63&gt;=0),OR('前提と出典'!$C$37+'前提と出典'!$C$38=0,S63&gt;=0)),0,A63)</ns0:f>
        <ns0:v>0</ns0:v>
      </ns0:c>
      <ns0:c r="AD63" s="7">
        <ns0:f>IF(W63&gt;=0,A63,1001)</ns0:f>
        <ns0:v>59</ns0:v>
      </ns0:c>
      <ns0:c r="AE63" s="7">
        <ns0:f>IF(W63&lt;0,A63,0)</ns0:f>
        <ns0:v>0</ns0:v>
      </ns0:c>
      <ns0:c r="AF63" s="16">
        <ns0:f>IF(AND(OR('前提と出典'!$C$36+'前提と出典'!$C$38=0,U63&gt;=0),OR('前提と出典'!$C$37+'前提と出典'!$C$38=0,V63&gt;=0)),0,A63)</ns0:f>
        <ns0:v>0</ns0:v>
      </ns0:c>
      <ns0:c r="AG63" s="7">
        <ns0:f>IF(Z63&gt;=0,A63,1001)</ns0:f>
        <ns0:v>59</ns0:v>
      </ns0:c>
      <ns0:c r="AH63" s="4">
        <ns0:f>IF(Z63&lt;0,A63,0)</ns0:f>
        <ns0:v>0</ns0:v>
      </ns0:c>
      <ns0:c r="AI63" s="12">
        <ns0:f>IF(AND(OR('前提と出典'!$C$36+'前提と出典'!$C$38=0,X63&gt;=0),OR('前提と出典'!$C$37+'前提と出典'!$C$38=0,Y63&gt;=0)),0,A63)</ns0:f>
        <ns0:v>59</ns0:v>
      </ns0:c>
    </ns0:row>
    <ns0:row r="64" ht="24" customHeight="1">
      <ns0:c r="A64" s="4" t="n">
        <ns0:v>60</ns0:v>
      </ns0:c>
      <ns0:c r="B64" s="12">
        <ns0:f>A64*('前提と出典'!$C$36+'前提と出典'!$C$38)</ns0:f>
        <ns0:v>42</ns0:v>
      </ns0:c>
      <ns0:c r="C64" s="12">
        <ns0:f>A64*('前提と出典'!$C$37+'前提と出典'!$C$38)</ns0:f>
        <ns0:v>36</ns0:v>
      </ns0:c>
      <ns0:c r="D64" s="16">
        <ns0:f>A64*('前提と出典'!$C$36*'契約別単価'!C5+'前提と出典'!$C$37*'契約別単価'!C6+'前提と出典'!$C$38*'契約別単価'!C7)</ns0:f>
        <ns0:v>431.731843575419</ns0:v>
      </ns0:c>
      <ns0:c r="E64" s="16">
        <ns0:f>A64*('前提と出典'!$C$36*'契約別単価'!E5+'前提と出典'!$C$37*'契約別単価'!E6+'前提と出典'!$C$38*'契約別単価'!E7)</ns0:f>
        <ns0:v>150832.3753944548</ns0:v>
      </ns0:c>
      <ns0:c r="F64" s="16">
        <ns0:f>A64*('前提と出典'!$C$36*'契約別単価'!F5+'前提と出典'!$C$37*'契約別単価'!F6+'前提と出典'!$C$38*'契約別単価'!F7)</ns0:f>
        <ns0:v>43828.03279172749</ns0:v>
      </ns0:c>
      <ns0:c r="G64" s="16">
        <ns0:f>A64*('前提と出典'!$C$36*'契約別単価'!G5+'前提と出典'!$C$37*'契約別単価'!G6+'前提と出典'!$C$38*'契約別単価'!G7)</ns0:f>
        <ns0:v>119430.16759776536</ns0:v>
      </ns0:c>
      <ns0:c r="H64" s="16">
        <ns0:f>A64*('前提と出典'!$C$36*'契約別単価'!H5+'前提と出典'!$C$37*'契約別単価'!H6+'前提と出典'!$C$38*'契約別単価'!H7)</ns0:f>
        <ns0:v>41448.25805002666</ns0:v>
      </ns0:c>
      <ns0:c r="I64" s="16">
        <ns0:f>A64*('前提と出典'!$C$36*'契約別単価'!I5+'前提と出典'!$C$37*'契約別単価'!I6+'前提と出典'!$C$38*'契約別単価'!I7)</ns0:f>
        <ns0:v>2531.7318435754187</ns0:v>
      </ns0:c>
      <ns0:c r="J64" s="16">
        <ns0:f>A64*('前提と出典'!$C$36*'契約別単価'!J5+'前提と出典'!$C$37*'契約別単価'!J6+'前提と出典'!$C$38*'契約別単価'!J7)</ns0:f>
        <ns0:v>5897.372622618154</ns0:v>
      </ns0:c>
      <ns0:c r="K64" s="16">
        <ns0:f>A64*('前提と出典'!$C$36*'契約別単価'!K5+'前提と出典'!$C$37*'契約別単価'!K6+'前提と出典'!$C$38*'契約別単価'!K7)</ns0:f>
        <ns0:v>25278.21229050279</ns0:v>
      </ns0:c>
      <ns0:c r="L64" s="16">
        <ns0:f>A64*('前提と出典'!$C$36*'契約別単価'!L5+'前提と出典'!$C$37*'契約別単価'!L6+'前提と出典'!$C$38*'契約別単価'!L7)</ns0:f>
        <ns0:v>20581.608601667554</ns0:v>
      </ns0:c>
      <ns0:c r="M64" s="16">
        <ns0:f>IF(('前提と出典'!$C$36+'前提と出典'!$C$38)=0,0,IF(B64&lt;=10,'前提と出典'!B73+'前提と出典'!C73,IF(B64&lt;=100,'前提と出典'!B74+'前提と出典'!C74,IF(B64&lt;=500,'前提と出典'!B75+'前提と出典'!C75,'前提と出典'!B76+'前提と出典'!C76))))</ns0:f>
        <ns0:v>20000</ns0:v>
      </ns0:c>
      <ns0:c r="N64" s="16">
        <ns0:f>IF(('前提と出典'!$C$37+'前提と出典'!$C$38)=0,0,IF(C64&lt;=10,'前提と出典'!D73+'前提と出典'!E73,IF(C64&lt;=100,'前提と出典'!D74+'前提と出典'!E74,IF(C64&lt;=500,'前提と出典'!D75+'前提と出典'!E75,'前提と出典'!D76+'前提と出典'!E76))))</ns0:f>
        <ns0:v>34510.9346263078</ns0:v>
      </ns0:c>
      <ns0:c r="O64" s="16">
        <ns0:f>IF('前提と出典'!$C$36+'前提と出典'!$C$38=0,0,'前提と出典'!$B$4*IF('前提と出典'!$B$20=0,MAX('前提と出典'!$B$6,D64*'前提と出典'!$B$5),'前提と出典'!$B$6+D64*'前提と出典'!$B$5))</ns0:f>
        <ns0:v>59578.994413407825</ns0:v>
      </ns0:c>
      <ns0:c r="P64" s="16">
        <ns0:f>(E64+G64)*(1-'前提と出典'!$B$7)-I64-K64-M64-O64</ns0:f>
        <ns0:v>153144.1528970142</ns0:v>
      </ns0:c>
      <ns0:c r="Q64" s="16">
        <ns0:f>(F64+H64)*(1-'前提と出典'!$B$7)-J64-L64-N64</ns0:f>
        <ns0:v>21216.428520857495</ns0:v>
      </ns0:c>
      <ns0:c r="R64" s="16">
        <ns0:f>P64-E64*'前提と出典'!$E$4</ns0:f>
        <ns0:v>107894.44027867775</ns0:v>
      </ns0:c>
      <ns0:c r="S64" s="16">
        <ns0:f>Q64-F64*'前提と出典'!$E$4</ns0:f>
        <ns0:v>8068.018683339236</ns0:v>
      </ns0:c>
      <ns0:c r="T64" s="7">
        <ns0:f>R64+S64</ns0:f>
        <ns0:v>115962.45896201699</ns0:v>
      </ns0:c>
      <ns0:c r="U64" s="16">
        <ns0:f>P64-E64*'前提と出典'!$E$5</ns0:f>
        <ns0:v>92811.20273923226</ns0:v>
      </ns0:c>
      <ns0:c r="V64" s="16">
        <ns0:f>Q64-F64*'前提と出典'!$E$5</ns0:f>
        <ns0:v>3685.215404166498</ns0:v>
      </ns0:c>
      <ns0:c r="W64" s="7">
        <ns0:f>U64+V64</ns0:f>
        <ns0:v>96496.41814339877</ns0:v>
      </ns0:c>
      <ns0:c r="X64" s="16">
        <ns0:f>P64-E64*'前提と出典'!$E$6</ns0:f>
        <ns0:v>77727.96519978678</ns0:v>
      </ns0:c>
      <ns0:c r="Y64" s="16">
        <ns0:f>Q64-F64*'前提と出典'!$E$6</ns0:f>
        <ns0:v>-697.5878750062475</ns0:v>
      </ns0:c>
      <ns0:c r="Z64" s="7">
        <ns0:f>X64+Y64</ns0:f>
        <ns0:v>77030.37732478054</ns0:v>
      </ns0:c>
      <ns0:c r="AA64" s="7">
        <ns0:f>IF(T64&gt;=0,A64,1001)</ns0:f>
        <ns0:v>60</ns0:v>
      </ns0:c>
      <ns0:c r="AB64" s="7">
        <ns0:f>IF(T64&lt;0,A64,0)</ns0:f>
        <ns0:v>0</ns0:v>
      </ns0:c>
      <ns0:c r="AC64" s="16">
        <ns0:f>IF(AND(OR('前提と出典'!$C$36+'前提と出典'!$C$38=0,R64&gt;=0),OR('前提と出典'!$C$37+'前提と出典'!$C$38=0,S64&gt;=0)),0,A64)</ns0:f>
        <ns0:v>0</ns0:v>
      </ns0:c>
      <ns0:c r="AD64" s="7">
        <ns0:f>IF(W64&gt;=0,A64,1001)</ns0:f>
        <ns0:v>60</ns0:v>
      </ns0:c>
      <ns0:c r="AE64" s="7">
        <ns0:f>IF(W64&lt;0,A64,0)</ns0:f>
        <ns0:v>0</ns0:v>
      </ns0:c>
      <ns0:c r="AF64" s="16">
        <ns0:f>IF(AND(OR('前提と出典'!$C$36+'前提と出典'!$C$38=0,U64&gt;=0),OR('前提と出典'!$C$37+'前提と出典'!$C$38=0,V64&gt;=0)),0,A64)</ns0:f>
        <ns0:v>0</ns0:v>
      </ns0:c>
      <ns0:c r="AG64" s="7">
        <ns0:f>IF(Z64&gt;=0,A64,1001)</ns0:f>
        <ns0:v>60</ns0:v>
      </ns0:c>
      <ns0:c r="AH64" s="4">
        <ns0:f>IF(Z64&lt;0,A64,0)</ns0:f>
        <ns0:v>0</ns0:v>
      </ns0:c>
      <ns0:c r="AI64" s="12">
        <ns0:f>IF(AND(OR('前提と出典'!$C$36+'前提と出典'!$C$38=0,X64&gt;=0),OR('前提と出典'!$C$37+'前提と出典'!$C$38=0,Y64&gt;=0)),0,A64)</ns0:f>
        <ns0:v>60</ns0:v>
      </ns0:c>
    </ns0:row>
    <ns0:row r="65" ht="24" customHeight="1">
      <ns0:c r="A65" s="4" t="n">
        <ns0:v>61</ns0:v>
      </ns0:c>
      <ns0:c r="B65" s="12">
        <ns0:f>A65*('前提と出典'!$C$36+'前提と出典'!$C$38)</ns0:f>
        <ns0:v>42.699999999999996</ns0:v>
      </ns0:c>
      <ns0:c r="C65" s="12">
        <ns0:f>A65*('前提と出典'!$C$37+'前提と出典'!$C$38)</ns0:f>
        <ns0:v>36.6</ns0:v>
      </ns0:c>
      <ns0:c r="D65" s="16">
        <ns0:f>A65*('前提と出典'!$C$36*'契約別単価'!C5+'前提と出典'!$C$37*'契約別単価'!C6+'前提と出典'!$C$38*'契約別単価'!C7)</ns0:f>
        <ns0:v>438.92737430167597</ns0:v>
      </ns0:c>
      <ns0:c r="E65" s="16">
        <ns0:f>A65*('前提と出典'!$C$36*'契約別単価'!E5+'前提と出典'!$C$37*'契約別単価'!E6+'前提と出典'!$C$38*'契約別単価'!E7)</ns0:f>
        <ns0:v>153346.24831769572</ns0:v>
      </ns0:c>
      <ns0:c r="F65" s="16">
        <ns0:f>A65*('前提と出典'!$C$36*'契約別単価'!F5+'前提と出典'!$C$37*'契約別単価'!F6+'前提と出典'!$C$38*'契約別単価'!F7)</ns0:f>
        <ns0:v>44558.50000492295</ns0:v>
      </ns0:c>
      <ns0:c r="G65" s="16">
        <ns0:f>A65*('前提と出典'!$C$36*'契約別単価'!G5+'前提と出典'!$C$37*'契約別単価'!G6+'前提と出典'!$C$38*'契約別単価'!G7)</ns0:f>
        <ns0:v>121420.67039106145</ns0:v>
      </ns0:c>
      <ns0:c r="H65" s="16">
        <ns0:f>A65*('前提と出典'!$C$36*'契約別単価'!H5+'前提と出典'!$C$37*'契約別単価'!H6+'前提と出典'!$C$38*'契約別単価'!H7)</ns0:f>
        <ns0:v>42139.06235086044</ns0:v>
      </ns0:c>
      <ns0:c r="I65" s="16">
        <ns0:f>A65*('前提と出典'!$C$36*'契約別単価'!I5+'前提と出典'!$C$37*'契約別単価'!I6+'前提と出典'!$C$38*'契約別単価'!I7)</ns0:f>
        <ns0:v>2573.9273743016756</ns0:v>
      </ns0:c>
      <ns0:c r="J65" s="16">
        <ns0:f>A65*('前提と出典'!$C$36*'契約別単価'!J5+'前提と出典'!$C$37*'契約別単価'!J6+'前提と出典'!$C$38*'契約別単価'!J7)</ns0:f>
        <ns0:v>5995.662166328457</ns0:v>
      </ns0:c>
      <ns0:c r="K65" s="16">
        <ns0:f>A65*('前提と出典'!$C$36*'契約別単価'!K5+'前提と出典'!$C$37*'契約別単価'!K6+'前提と出典'!$C$38*'契約別単価'!K7)</ns0:f>
        <ns0:v>25699.51582867784</ns0:v>
      </ns0:c>
      <ns0:c r="L65" s="16">
        <ns0:f>A65*('前提と出典'!$C$36*'契約別単価'!L5+'前提と出典'!$C$37*'契約別単価'!L6+'前提と出典'!$C$38*'契約別単価'!L7)</ns0:f>
        <ns0:v>20924.635411695348</ns0:v>
      </ns0:c>
      <ns0:c r="M65" s="16">
        <ns0:f>IF(('前提と出典'!$C$36+'前提と出典'!$C$38)=0,0,IF(B65&lt;=10,'前提と出典'!B73+'前提と出典'!C73,IF(B65&lt;=100,'前提と出典'!B74+'前提と出典'!C74,IF(B65&lt;=500,'前提と出典'!B75+'前提と出典'!C75,'前提と出典'!B76+'前提と出典'!C76))))</ns0:f>
        <ns0:v>20000</ns0:v>
      </ns0:c>
      <ns0:c r="N65" s="16">
        <ns0:f>IF(('前提と出典'!$C$37+'前提と出典'!$C$38)=0,0,IF(C65&lt;=10,'前提と出典'!D73+'前提と出典'!E73,IF(C65&lt;=100,'前提と出典'!D74+'前提と出典'!E74,IF(C65&lt;=500,'前提と出典'!D75+'前提と出典'!E75,'前提と出典'!D76+'前提と出典'!E76))))</ns0:f>
        <ns0:v>34510.9346263078</ns0:v>
      </ns0:c>
      <ns0:c r="O65" s="16">
        <ns0:f>IF('前提と出典'!$C$36+'前提と出典'!$C$38=0,0,'前提と出典'!$B$4*IF('前提と出典'!$B$20=0,MAX('前提と出典'!$B$6,D65*'前提と出典'!$B$5),'前提と出典'!$B$6+D65*'前提と出典'!$B$5))</ns0:f>
        <ns0:v>60571.977653631286</ns0:v>
      </ns0:c>
      <ns0:c r="P65" s="16">
        <ns0:f>(E65+G65)*(1-'前提と出典'!$B$7)-I65-K65-M65-O65</ns0:f>
        <ns0:v>156029.8887786311</ns0:v>
      </ns0:c>
      <ns0:c r="Q65" s="16">
        <ns0:f>(F65+H65)*(1-'前提と出典'!$B$7)-J65-L65-N65</ns0:f>
        <ns0:v>22145.21790664358</ns0:v>
      </ns0:c>
      <ns0:c r="R65" s="16">
        <ns0:f>P65-E65*'前提と出典'!$E$4</ns0:f>
        <ns0:v>110026.01428332237</ns0:v>
      </ns0:c>
      <ns0:c r="S65" s="16">
        <ns0:f>Q65-F65*'前提と出典'!$E$4</ns0:f>
        <ns0:v>8777.667905166694</ns0:v>
      </ns0:c>
      <ns0:c r="T65" s="7">
        <ns0:f>R65+S65</ns0:f>
        <ns0:v>118803.68218848907</ns0:v>
      </ns0:c>
      <ns0:c r="U65" s="16">
        <ns0:f>P65-E65*'前提と出典'!$E$5</ns0:f>
        <ns0:v>94691.38945155281</ns0:v>
      </ns0:c>
      <ns0:c r="V65" s="16">
        <ns0:f>Q65-F65*'前提と出典'!$E$5</ns0:f>
        <ns0:v>4321.817904674397</ns0:v>
      </ns0:c>
      <ns0:c r="W65" s="7">
        <ns0:f>U65+V65</ns0:f>
        <ns0:v>99013.20735622721</ns0:v>
      </ns0:c>
      <ns0:c r="X65" s="16">
        <ns0:f>P65-E65*'前提と出典'!$E$6</ns0:f>
        <ns0:v>79356.76461978325</ns0:v>
      </ns0:c>
      <ns0:c r="Y65" s="16">
        <ns0:f>Q65-F65*'前提と出典'!$E$6</ns0:f>
        <ns0:v>-134.03209581788542</ns0:v>
      </ns0:c>
      <ns0:c r="Z65" s="7">
        <ns0:f>X65+Y65</ns0:f>
        <ns0:v>79222.73252396536</ns0:v>
      </ns0:c>
      <ns0:c r="AA65" s="7">
        <ns0:f>IF(T65&gt;=0,A65,1001)</ns0:f>
        <ns0:v>61</ns0:v>
      </ns0:c>
      <ns0:c r="AB65" s="7">
        <ns0:f>IF(T65&lt;0,A65,0)</ns0:f>
        <ns0:v>0</ns0:v>
      </ns0:c>
      <ns0:c r="AC65" s="16">
        <ns0:f>IF(AND(OR('前提と出典'!$C$36+'前提と出典'!$C$38=0,R65&gt;=0),OR('前提と出典'!$C$37+'前提と出典'!$C$38=0,S65&gt;=0)),0,A65)</ns0:f>
        <ns0:v>0</ns0:v>
      </ns0:c>
      <ns0:c r="AD65" s="7">
        <ns0:f>IF(W65&gt;=0,A65,1001)</ns0:f>
        <ns0:v>61</ns0:v>
      </ns0:c>
      <ns0:c r="AE65" s="7">
        <ns0:f>IF(W65&lt;0,A65,0)</ns0:f>
        <ns0:v>0</ns0:v>
      </ns0:c>
      <ns0:c r="AF65" s="16">
        <ns0:f>IF(AND(OR('前提と出典'!$C$36+'前提と出典'!$C$38=0,U65&gt;=0),OR('前提と出典'!$C$37+'前提と出典'!$C$38=0,V65&gt;=0)),0,A65)</ns0:f>
        <ns0:v>0</ns0:v>
      </ns0:c>
      <ns0:c r="AG65" s="7">
        <ns0:f>IF(Z65&gt;=0,A65,1001)</ns0:f>
        <ns0:v>61</ns0:v>
      </ns0:c>
      <ns0:c r="AH65" s="4">
        <ns0:f>IF(Z65&lt;0,A65,0)</ns0:f>
        <ns0:v>0</ns0:v>
      </ns0:c>
      <ns0:c r="AI65" s="12">
        <ns0:f>IF(AND(OR('前提と出典'!$C$36+'前提と出典'!$C$38=0,X65&gt;=0),OR('前提と出典'!$C$37+'前提と出典'!$C$38=0,Y65&gt;=0)),0,A65)</ns0:f>
        <ns0:v>61</ns0:v>
      </ns0:c>
    </ns0:row>
    <ns0:row r="66" ht="24" customHeight="1">
      <ns0:c r="A66" s="4" t="n">
        <ns0:v>62</ns0:v>
      </ns0:c>
      <ns0:c r="B66" s="12">
        <ns0:f>A66*('前提と出典'!$C$36+'前提と出典'!$C$38)</ns0:f>
        <ns0:v>43.4</ns0:v>
      </ns0:c>
      <ns0:c r="C66" s="12">
        <ns0:f>A66*('前提と出典'!$C$37+'前提と出典'!$C$38)</ns0:f>
        <ns0:v>37.199999999999996</ns0:v>
      </ns0:c>
      <ns0:c r="D66" s="16">
        <ns0:f>A66*('前提と出典'!$C$36*'契約別単価'!C5+'前提と出典'!$C$37*'契約別単価'!C6+'前提と出典'!$C$38*'契約別単価'!C7)</ns0:f>
        <ns0:v>446.122905027933</ns0:v>
      </ns0:c>
      <ns0:c r="E66" s="16">
        <ns0:f>A66*('前提と出典'!$C$36*'契約別単価'!E5+'前提と出典'!$C$37*'契約別単価'!E6+'前提と出典'!$C$38*'契約別単価'!E7)</ns0:f>
        <ns0:v>155860.12124093663</ns0:v>
      </ns0:c>
      <ns0:c r="F66" s="16">
        <ns0:f>A66*('前提と出典'!$C$36*'契約別単価'!F5+'前提と出典'!$C$37*'契約別単価'!F6+'前提と出典'!$C$38*'契約別単価'!F7)</ns0:f>
        <ns0:v>45288.96721811841</ns0:v>
      </ns0:c>
      <ns0:c r="G66" s="16">
        <ns0:f>A66*('前提と出典'!$C$36*'契約別単価'!G5+'前提と出典'!$C$37*'契約別単価'!G6+'前提と出典'!$C$38*'契約別単価'!G7)</ns0:f>
        <ns0:v>123411.17318435754</ns0:v>
      </ns0:c>
      <ns0:c r="H66" s="16">
        <ns0:f>A66*('前提と出典'!$C$36*'契約別単価'!H5+'前提と出典'!$C$37*'契約別単価'!H6+'前提と出典'!$C$38*'契約別単価'!H7)</ns0:f>
        <ns0:v>42829.86665169422</ns0:v>
      </ns0:c>
      <ns0:c r="I66" s="16">
        <ns0:f>A66*('前提と出典'!$C$36*'契約別単価'!I5+'前提と出典'!$C$37*'契約別単価'!I6+'前提と出典'!$C$38*'契約別単価'!I7)</ns0:f>
        <ns0:v>2616.1229050279326</ns0:v>
      </ns0:c>
      <ns0:c r="J66" s="16">
        <ns0:f>A66*('前提と出典'!$C$36*'契約別単価'!J5+'前提と出典'!$C$37*'契約別単価'!J6+'前提と出典'!$C$38*'契約別単価'!J7)</ns0:f>
        <ns0:v>6093.951710038759</ns0:v>
      </ns0:c>
      <ns0:c r="K66" s="16">
        <ns0:f>A66*('前提と出典'!$C$36*'契約別単価'!K5+'前提と出典'!$C$37*'契約別単価'!K6+'前提と出典'!$C$38*'契約別単価'!K7)</ns0:f>
        <ns0:v>26120.819366852884</ns0:v>
      </ns0:c>
      <ns0:c r="L66" s="16">
        <ns0:f>A66*('前提と出典'!$C$36*'契約別単価'!L5+'前提と出典'!$C$37*'契約別単価'!L6+'前提と出典'!$C$38*'契約別単価'!L7)</ns0:f>
        <ns0:v>21267.66222172314</ns0:v>
      </ns0:c>
      <ns0:c r="M66" s="16">
        <ns0:f>IF(('前提と出典'!$C$36+'前提と出典'!$C$38)=0,0,IF(B66&lt;=10,'前提と出典'!B73+'前提と出典'!C73,IF(B66&lt;=100,'前提と出典'!B74+'前提と出典'!C74,IF(B66&lt;=500,'前提と出典'!B75+'前提と出典'!C75,'前提と出典'!B76+'前提と出典'!C76))))</ns0:f>
        <ns0:v>20000</ns0:v>
      </ns0:c>
      <ns0:c r="N66" s="16">
        <ns0:f>IF(('前提と出典'!$C$37+'前提と出典'!$C$38)=0,0,IF(C66&lt;=10,'前提と出典'!D73+'前提と出典'!E73,IF(C66&lt;=100,'前提と出典'!D74+'前提と出典'!E74,IF(C66&lt;=500,'前提と出典'!D75+'前提と出典'!E75,'前提と出典'!D76+'前提と出典'!E76))))</ns0:f>
        <ns0:v>34510.9346263078</ns0:v>
      </ns0:c>
      <ns0:c r="O66" s="16">
        <ns0:f>IF('前提と出典'!$C$36+'前提と出典'!$C$38=0,0,'前提と出典'!$B$4*IF('前提と出典'!$B$20=0,MAX('前提と出典'!$B$6,D66*'前提と出典'!$B$5),'前提と出典'!$B$6+D66*'前提と出典'!$B$5))</ns0:f>
        <ns0:v>61564.96089385475</ns0:v>
      </ns0:c>
      <ns0:c r="P66" s="16">
        <ns0:f>(E66+G66)*(1-'前提と出典'!$B$7)-I66-K66-M66-O66</ns0:f>
        <ns0:v>158915.624660248</ns0:v>
      </ns0:c>
      <ns0:c r="Q66" s="16">
        <ns0:f>(F66+H66)*(1-'前提と出典'!$B$7)-J66-L66-N66</ns0:f>
        <ns0:v>23074.00729242968</ns0:v>
      </ns0:c>
      <ns0:c r="R66" s="16">
        <ns0:f>P66-E66*'前提と出典'!$E$4</ns0:f>
        <ns0:v>112157.588287967</ns0:v>
      </ns0:c>
      <ns0:c r="S66" s="16">
        <ns0:f>Q66-F66*'前提と出典'!$E$4</ns0:f>
        <ns0:v>9487.317126994167</ns0:v>
      </ns0:c>
      <ns0:c r="T66" s="7">
        <ns0:f>R66+S66</ns0:f>
        <ns0:v>121644.90541496116</ns0:v>
      </ns0:c>
      <ns0:c r="U66" s="16">
        <ns0:f>P66-E66*'前提と出典'!$E$5</ns0:f>
        <ns0:v>96571.57616387334</ns0:v>
      </ns0:c>
      <ns0:c r="V66" s="16">
        <ns0:f>Q66-F66*'前提と出典'!$E$5</ns0:f>
        <ns0:v>4958.420405182318</ns0:v>
      </ns0:c>
      <ns0:c r="W66" s="7">
        <ns0:f>U66+V66</ns0:f>
        <ns0:v>101529.99656905566</ns0:v>
      </ns0:c>
      <ns0:c r="X66" s="16">
        <ns0:f>P66-E66*'前提と出典'!$E$6</ns0:f>
        <ns0:v>80985.56403977968</ns0:v>
      </ns0:c>
      <ns0:c r="Y66" s="16">
        <ns0:f>Q66-F66*'前提と出典'!$E$6</ns0:f>
        <ns0:v>429.52368337047665</ns0:v>
      </ns0:c>
      <ns0:c r="Z66" s="7">
        <ns0:f>X66+Y66</ns0:f>
        <ns0:v>81415.08772315015</ns0:v>
      </ns0:c>
      <ns0:c r="AA66" s="7">
        <ns0:f>IF(T66&gt;=0,A66,1001)</ns0:f>
        <ns0:v>62</ns0:v>
      </ns0:c>
      <ns0:c r="AB66" s="7">
        <ns0:f>IF(T66&lt;0,A66,0)</ns0:f>
        <ns0:v>0</ns0:v>
      </ns0:c>
      <ns0:c r="AC66" s="16">
        <ns0:f>IF(AND(OR('前提と出典'!$C$36+'前提と出典'!$C$38=0,R66&gt;=0),OR('前提と出典'!$C$37+'前提と出典'!$C$38=0,S66&gt;=0)),0,A66)</ns0:f>
        <ns0:v>0</ns0:v>
      </ns0:c>
      <ns0:c r="AD66" s="7">
        <ns0:f>IF(W66&gt;=0,A66,1001)</ns0:f>
        <ns0:v>62</ns0:v>
      </ns0:c>
      <ns0:c r="AE66" s="7">
        <ns0:f>IF(W66&lt;0,A66,0)</ns0:f>
        <ns0:v>0</ns0:v>
      </ns0:c>
      <ns0:c r="AF66" s="16">
        <ns0:f>IF(AND(OR('前提と出典'!$C$36+'前提と出典'!$C$38=0,U66&gt;=0),OR('前提と出典'!$C$37+'前提と出典'!$C$38=0,V66&gt;=0)),0,A66)</ns0:f>
        <ns0:v>0</ns0:v>
      </ns0:c>
      <ns0:c r="AG66" s="7">
        <ns0:f>IF(Z66&gt;=0,A66,1001)</ns0:f>
        <ns0:v>62</ns0:v>
      </ns0:c>
      <ns0:c r="AH66" s="4">
        <ns0:f>IF(Z66&lt;0,A66,0)</ns0:f>
        <ns0:v>0</ns0:v>
      </ns0:c>
      <ns0:c r="AI66" s="12">
        <ns0:f>IF(AND(OR('前提と出典'!$C$36+'前提と出典'!$C$38=0,X66&gt;=0),OR('前提と出典'!$C$37+'前提と出典'!$C$38=0,Y66&gt;=0)),0,A66)</ns0:f>
        <ns0:v>0</ns0:v>
      </ns0:c>
    </ns0:row>
    <ns0:row r="67" ht="24" customHeight="1">
      <ns0:c r="A67" s="4" t="n">
        <ns0:v>63</ns0:v>
      </ns0:c>
      <ns0:c r="B67" s="12">
        <ns0:f>A67*('前提と出典'!$C$36+'前提と出典'!$C$38)</ns0:f>
        <ns0:v>44.099999999999994</ns0:v>
      </ns0:c>
      <ns0:c r="C67" s="12">
        <ns0:f>A67*('前提と出典'!$C$37+'前提と出典'!$C$38)</ns0:f>
        <ns0:v>37.8</ns0:v>
      </ns0:c>
      <ns0:c r="D67" s="16">
        <ns0:f>A67*('前提と出典'!$C$36*'契約別単価'!C5+'前提と出典'!$C$37*'契約別単価'!C6+'前提と出典'!$C$38*'契約別単価'!C7)</ns0:f>
        <ns0:v>453.3184357541899</ns0:v>
      </ns0:c>
      <ns0:c r="E67" s="16">
        <ns0:f>A67*('前提と出典'!$C$36*'契約別単価'!E5+'前提と出典'!$C$37*'契約別単価'!E6+'前提と出典'!$C$38*'契約別単価'!E7)</ns0:f>
        <ns0:v>158373.99416417754</ns0:v>
      </ns0:c>
      <ns0:c r="F67" s="16">
        <ns0:f>A67*('前提と出典'!$C$36*'契約別単価'!F5+'前提と出典'!$C$37*'契約別単価'!F6+'前提と出典'!$C$38*'契約別単価'!F7)</ns0:f>
        <ns0:v>46019.434431313864</ns0:v>
      </ns0:c>
      <ns0:c r="G67" s="16">
        <ns0:f>A67*('前提と出典'!$C$36*'契約別単価'!G5+'前提と出典'!$C$37*'契約別単価'!G6+'前提と出典'!$C$38*'契約別単価'!G7)</ns0:f>
        <ns0:v>125401.67597765362</ns0:v>
      </ns0:c>
      <ns0:c r="H67" s="16">
        <ns0:f>A67*('前提と出典'!$C$36*'契約別単価'!H5+'前提と出典'!$C$37*'契約別単価'!H6+'前提と出典'!$C$38*'契約別単価'!H7)</ns0:f>
        <ns0:v>43520.670952527995</ns0:v>
      </ns0:c>
      <ns0:c r="I67" s="16">
        <ns0:f>A67*('前提と出典'!$C$36*'契約別単価'!I5+'前提と出典'!$C$37*'契約別単価'!I6+'前提と出典'!$C$38*'契約別単価'!I7)</ns0:f>
        <ns0:v>2658.3184357541895</ns0:v>
      </ns0:c>
      <ns0:c r="J67" s="16">
        <ns0:f>A67*('前提と出典'!$C$36*'契約別単価'!J5+'前提と出典'!$C$37*'契約別単価'!J6+'前提と出典'!$C$38*'契約別単価'!J7)</ns0:f>
        <ns0:v>6192.241253749062</ns0:v>
      </ns0:c>
      <ns0:c r="K67" s="16">
        <ns0:f>A67*('前提と出典'!$C$36*'契約別単価'!K5+'前提と出典'!$C$37*'契約別単価'!K6+'前提と出典'!$C$38*'契約別単価'!K7)</ns0:f>
        <ns0:v>26542.122905027933</ns0:v>
      </ns0:c>
      <ns0:c r="L67" s="16">
        <ns0:f>A67*('前提と出典'!$C$36*'契約別単価'!L5+'前提と出典'!$C$37*'契約別単価'!L6+'前提と出典'!$C$38*'契約別単価'!L7)</ns0:f>
        <ns0:v>21610.68903175093</ns0:v>
      </ns0:c>
      <ns0:c r="M67" s="16">
        <ns0:f>IF(('前提と出典'!$C$36+'前提と出典'!$C$38)=0,0,IF(B67&lt;=10,'前提と出典'!B73+'前提と出典'!C73,IF(B67&lt;=100,'前提と出典'!B74+'前提と出典'!C74,IF(B67&lt;=500,'前提と出典'!B75+'前提と出典'!C75,'前提と出典'!B76+'前提と出典'!C76))))</ns0:f>
        <ns0:v>20000</ns0:v>
      </ns0:c>
      <ns0:c r="N67" s="16">
        <ns0:f>IF(('前提と出典'!$C$37+'前提と出典'!$C$38)=0,0,IF(C67&lt;=10,'前提と出典'!D73+'前提と出典'!E73,IF(C67&lt;=100,'前提と出典'!D74+'前提と出典'!E74,IF(C67&lt;=500,'前提と出典'!D75+'前提と出典'!E75,'前提と出典'!D76+'前提と出典'!E76))))</ns0:f>
        <ns0:v>34510.9346263078</ns0:v>
      </ns0:c>
      <ns0:c r="O67" s="16">
        <ns0:f>IF('前提と出典'!$C$36+'前提と出典'!$C$38=0,0,'前提と出典'!$B$4*IF('前提と出典'!$B$20=0,MAX('前提と出典'!$B$6,D67*'前提と出典'!$B$5),'前提と出典'!$B$6+D67*'前提と出典'!$B$5))</ns0:f>
        <ns0:v>62557.94413407821</ns0:v>
      </ns0:c>
      <ns0:c r="P67" s="16">
        <ns0:f>(E67+G67)*(1-'前提と出典'!$B$7)-I67-K67-M67-O67</ns0:f>
        <ns0:v>161801.36054186488</ns0:v>
      </ns0:c>
      <ns0:c r="Q67" s="16">
        <ns0:f>(F67+H67)*(1-'前提と出典'!$B$7)-J67-L67-N67</ns0:f>
        <ns0:v>24002.796678215764</ns0:v>
      </ns0:c>
      <ns0:c r="R67" s="16">
        <ns0:f>P67-E67*'前提と出典'!$E$4</ns0:f>
        <ns0:v>114289.16229261163</ns0:v>
      </ns0:c>
      <ns0:c r="S67" s="16">
        <ns0:f>Q67-F67*'前提と出典'!$E$4</ns0:f>
        <ns0:v>10196.966348821603</ns0:v>
      </ns0:c>
      <ns0:c r="T67" s="7">
        <ns0:f>R67+S67</ns0:f>
        <ns0:v>124486.12864143323</ns0:v>
      </ns0:c>
      <ns0:c r="U67" s="16">
        <ns0:f>P67-E67*'前提と出典'!$E$5</ns0:f>
        <ns0:v>98451.76287619387</ns0:v>
      </ns0:c>
      <ns0:c r="V67" s="16">
        <ns0:f>Q67-F67*'前提と出典'!$E$5</ns0:f>
        <ns0:v>5595.022905690217</ns0:v>
      </ns0:c>
      <ns0:c r="W67" s="7">
        <ns0:f>U67+V67</ns0:f>
        <ns0:v>104046.78578188409</ns0:v>
      </ns0:c>
      <ns0:c r="X67" s="16">
        <ns0:f>P67-E67*'前提と出典'!$E$6</ns0:f>
        <ns0:v>82614.36345977611</ns0:v>
      </ns0:c>
      <ns0:c r="Y67" s="16">
        <ns0:f>Q67-F67*'前提と出典'!$E$6</ns0:f>
        <ns0:v>993.0794625588387</ns0:v>
      </ns0:c>
      <ns0:c r="Z67" s="7">
        <ns0:f>X67+Y67</ns0:f>
        <ns0:v>83607.44292233494</ns0:v>
      </ns0:c>
      <ns0:c r="AA67" s="7">
        <ns0:f>IF(T67&gt;=0,A67,1001)</ns0:f>
        <ns0:v>63</ns0:v>
      </ns0:c>
      <ns0:c r="AB67" s="7">
        <ns0:f>IF(T67&lt;0,A67,0)</ns0:f>
        <ns0:v>0</ns0:v>
      </ns0:c>
      <ns0:c r="AC67" s="16">
        <ns0:f>IF(AND(OR('前提と出典'!$C$36+'前提と出典'!$C$38=0,R67&gt;=0),OR('前提と出典'!$C$37+'前提と出典'!$C$38=0,S67&gt;=0)),0,A67)</ns0:f>
        <ns0:v>0</ns0:v>
      </ns0:c>
      <ns0:c r="AD67" s="7">
        <ns0:f>IF(W67&gt;=0,A67,1001)</ns0:f>
        <ns0:v>63</ns0:v>
      </ns0:c>
      <ns0:c r="AE67" s="7">
        <ns0:f>IF(W67&lt;0,A67,0)</ns0:f>
        <ns0:v>0</ns0:v>
      </ns0:c>
      <ns0:c r="AF67" s="16">
        <ns0:f>IF(AND(OR('前提と出典'!$C$36+'前提と出典'!$C$38=0,U67&gt;=0),OR('前提と出典'!$C$37+'前提と出典'!$C$38=0,V67&gt;=0)),0,A67)</ns0:f>
        <ns0:v>0</ns0:v>
      </ns0:c>
      <ns0:c r="AG67" s="7">
        <ns0:f>IF(Z67&gt;=0,A67,1001)</ns0:f>
        <ns0:v>63</ns0:v>
      </ns0:c>
      <ns0:c r="AH67" s="4">
        <ns0:f>IF(Z67&lt;0,A67,0)</ns0:f>
        <ns0:v>0</ns0:v>
      </ns0:c>
      <ns0:c r="AI67" s="12">
        <ns0:f>IF(AND(OR('前提と出典'!$C$36+'前提と出典'!$C$38=0,X67&gt;=0),OR('前提と出典'!$C$37+'前提と出典'!$C$38=0,Y67&gt;=0)),0,A67)</ns0:f>
        <ns0:v>0</ns0:v>
      </ns0:c>
    </ns0:row>
    <ns0:row r="68" ht="24" customHeight="1">
      <ns0:c r="A68" s="4" t="n">
        <ns0:v>64</ns0:v>
      </ns0:c>
      <ns0:c r="B68" s="12">
        <ns0:f>A68*('前提と出典'!$C$36+'前提と出典'!$C$38)</ns0:f>
        <ns0:v>44.8</ns0:v>
      </ns0:c>
      <ns0:c r="C68" s="12">
        <ns0:f>A68*('前提と出典'!$C$37+'前提と出典'!$C$38)</ns0:f>
        <ns0:v>38.4</ns0:v>
      </ns0:c>
      <ns0:c r="D68" s="16">
        <ns0:f>A68*('前提と出典'!$C$36*'契約別単価'!C5+'前提と出典'!$C$37*'契約別単価'!C6+'前提と出典'!$C$38*'契約別単価'!C7)</ns0:f>
        <ns0:v>460.5139664804469</ns0:v>
      </ns0:c>
      <ns0:c r="E68" s="16">
        <ns0:f>A68*('前提と出典'!$C$36*'契約別単価'!E5+'前提と出典'!$C$37*'契約別単価'!E6+'前提と出典'!$C$38*'契約別単価'!E7)</ns0:f>
        <ns0:v>160887.86708741845</ns0:v>
      </ns0:c>
      <ns0:c r="F68" s="16">
        <ns0:f>A68*('前提と出典'!$C$36*'契約別単価'!F5+'前提と出典'!$C$37*'契約別単価'!F6+'前提と出典'!$C$38*'契約別単価'!F7)</ns0:f>
        <ns0:v>46749.90164450932</ns0:v>
      </ns0:c>
      <ns0:c r="G68" s="16">
        <ns0:f>A68*('前提と出典'!$C$36*'契約別単価'!G5+'前提と出典'!$C$37*'契約別単価'!G6+'前提と出典'!$C$38*'契約別単価'!G7)</ns0:f>
        <ns0:v>127392.17877094971</ns0:v>
      </ns0:c>
      <ns0:c r="H68" s="16">
        <ns0:f>A68*('前提と出典'!$C$36*'契約別単価'!H5+'前提と出典'!$C$37*'契約別単価'!H6+'前提と出典'!$C$38*'契約別単価'!H7)</ns0:f>
        <ns0:v>44211.47525336177</ns0:v>
      </ns0:c>
      <ns0:c r="I68" s="16">
        <ns0:f>A68*('前提と出典'!$C$36*'契約別単価'!I5+'前提と出典'!$C$37*'契約別単価'!I6+'前提と出典'!$C$38*'契約別単価'!I7)</ns0:f>
        <ns0:v>2700.5139664804465</ns0:v>
      </ns0:c>
      <ns0:c r="J68" s="16">
        <ns0:f>A68*('前提と出典'!$C$36*'契約別単価'!J5+'前提と出典'!$C$37*'契約別単価'!J6+'前提と出典'!$C$38*'契約別単価'!J7)</ns0:f>
        <ns0:v>6290.530797459364</ns0:v>
      </ns0:c>
      <ns0:c r="K68" s="16">
        <ns0:f>A68*('前提と出典'!$C$36*'契約別単価'!K5+'前提と出典'!$C$37*'契約別単価'!K6+'前提と出典'!$C$38*'契約別単価'!K7)</ns0:f>
        <ns0:v>26963.426443202978</ns0:v>
      </ns0:c>
      <ns0:c r="L68" s="16">
        <ns0:f>A68*('前提と出典'!$C$36*'契約別単価'!L5+'前提と出典'!$C$37*'契約別単価'!L6+'前提と出典'!$C$38*'契約別単価'!L7)</ns0:f>
        <ns0:v>21953.715841778725</ns0:v>
      </ns0:c>
      <ns0:c r="M68" s="16">
        <ns0:f>IF(('前提と出典'!$C$36+'前提と出典'!$C$38)=0,0,IF(B68&lt;=10,'前提と出典'!B73+'前提と出典'!C73,IF(B68&lt;=100,'前提と出典'!B74+'前提と出典'!C74,IF(B68&lt;=500,'前提と出典'!B75+'前提と出典'!C75,'前提と出典'!B76+'前提と出典'!C76))))</ns0:f>
        <ns0:v>20000</ns0:v>
      </ns0:c>
      <ns0:c r="N68" s="16">
        <ns0:f>IF(('前提と出典'!$C$37+'前提と出典'!$C$38)=0,0,IF(C68&lt;=10,'前提と出典'!D73+'前提と出典'!E73,IF(C68&lt;=100,'前提と出典'!D74+'前提と出典'!E74,IF(C68&lt;=500,'前提と出典'!D75+'前提と出典'!E75,'前提と出典'!D76+'前提と出典'!E76))))</ns0:f>
        <ns0:v>34510.9346263078</ns0:v>
      </ns0:c>
      <ns0:c r="O68" s="16">
        <ns0:f>IF('前提と出典'!$C$36+'前提と出典'!$C$38=0,0,'前提と出典'!$B$4*IF('前提と出典'!$B$20=0,MAX('前提と出典'!$B$6,D68*'前提と出典'!$B$5),'前提と出典'!$B$6+D68*'前提と出典'!$B$5))</ns0:f>
        <ns0:v>63550.927374301675</ns0:v>
      </ns0:c>
      <ns0:c r="P68" s="16">
        <ns0:f>(E68+G68)*(1-'前提と出典'!$B$7)-I68-K68-M68-O68</ns0:f>
        <ns0:v>164687.09642348182</ns0:v>
      </ns0:c>
      <ns0:c r="Q68" s="16">
        <ns0:f>(F68+H68)*(1-'前提と出典'!$B$7)-J68-L68-N68</ns0:f>
        <ns0:v>24931.58606400184</ns0:v>
      </ns0:c>
      <ns0:c r="R68" s="16">
        <ns0:f>P68-E68*'前提と出典'!$E$4</ns0:f>
        <ns0:v>116420.73629725626</ns0:v>
      </ns0:c>
      <ns0:c r="S68" s="16">
        <ns0:f>Q68-F68*'前提と出典'!$E$4</ns0:f>
        <ns0:v>10906.615570649046</ns0:v>
      </ns0:c>
      <ns0:c r="T68" s="7">
        <ns0:f>R68+S68</ns0:f>
        <ns0:v>127327.3518679053</ns0:v>
      </ns0:c>
      <ns0:c r="U68" s="16">
        <ns0:f>P68-E68*'前提と出典'!$E$5</ns0:f>
        <ns0:v>100331.94958851443</ns0:v>
      </ns0:c>
      <ns0:c r="V68" s="16">
        <ns0:f>Q68-F68*'前提と出典'!$E$5</ns0:f>
        <ns0:v>6231.625406198109</ns0:v>
      </ns0:c>
      <ns0:c r="W68" s="7">
        <ns0:f>U68+V68</ns0:f>
        <ns0:v>106563.57499471254</ns0:v>
      </ns0:c>
      <ns0:c r="X68" s="16">
        <ns0:f>P68-E68*'前提と出典'!$E$6</ns0:f>
        <ns0:v>84243.16287977257</ns0:v>
      </ns0:c>
      <ns0:c r="Y68" s="16">
        <ns0:f>Q68-F68*'前提と出典'!$E$6</ns0:f>
        <ns0:v>1556.6352417471862</ns0:v>
      </ns0:c>
      <ns0:c r="Z68" s="7">
        <ns0:f>X68+Y68</ns0:f>
        <ns0:v>85799.79812151977</ns0:v>
      </ns0:c>
      <ns0:c r="AA68" s="7">
        <ns0:f>IF(T68&gt;=0,A68,1001)</ns0:f>
        <ns0:v>64</ns0:v>
      </ns0:c>
      <ns0:c r="AB68" s="7">
        <ns0:f>IF(T68&lt;0,A68,0)</ns0:f>
        <ns0:v>0</ns0:v>
      </ns0:c>
      <ns0:c r="AC68" s="16">
        <ns0:f>IF(AND(OR('前提と出典'!$C$36+'前提と出典'!$C$38=0,R68&gt;=0),OR('前提と出典'!$C$37+'前提と出典'!$C$38=0,S68&gt;=0)),0,A68)</ns0:f>
        <ns0:v>0</ns0:v>
      </ns0:c>
      <ns0:c r="AD68" s="7">
        <ns0:f>IF(W68&gt;=0,A68,1001)</ns0:f>
        <ns0:v>64</ns0:v>
      </ns0:c>
      <ns0:c r="AE68" s="7">
        <ns0:f>IF(W68&lt;0,A68,0)</ns0:f>
        <ns0:v>0</ns0:v>
      </ns0:c>
      <ns0:c r="AF68" s="16">
        <ns0:f>IF(AND(OR('前提と出典'!$C$36+'前提と出典'!$C$38=0,U68&gt;=0),OR('前提と出典'!$C$37+'前提と出典'!$C$38=0,V68&gt;=0)),0,A68)</ns0:f>
        <ns0:v>0</ns0:v>
      </ns0:c>
      <ns0:c r="AG68" s="7">
        <ns0:f>IF(Z68&gt;=0,A68,1001)</ns0:f>
        <ns0:v>64</ns0:v>
      </ns0:c>
      <ns0:c r="AH68" s="4">
        <ns0:f>IF(Z68&lt;0,A68,0)</ns0:f>
        <ns0:v>0</ns0:v>
      </ns0:c>
      <ns0:c r="AI68" s="12">
        <ns0:f>IF(AND(OR('前提と出典'!$C$36+'前提と出典'!$C$38=0,X68&gt;=0),OR('前提と出典'!$C$37+'前提と出典'!$C$38=0,Y68&gt;=0)),0,A68)</ns0:f>
        <ns0:v>0</ns0:v>
      </ns0:c>
    </ns0:row>
    <ns0:row r="69" ht="24" customHeight="1">
      <ns0:c r="A69" s="4" t="n">
        <ns0:v>65</ns0:v>
      </ns0:c>
      <ns0:c r="B69" s="12">
        <ns0:f>A69*('前提と出典'!$C$36+'前提と出典'!$C$38)</ns0:f>
        <ns0:v>45.5</ns0:v>
      </ns0:c>
      <ns0:c r="C69" s="12">
        <ns0:f>A69*('前提と出典'!$C$37+'前提と出典'!$C$38)</ns0:f>
        <ns0:v>39</ns0:v>
      </ns0:c>
      <ns0:c r="D69" s="16">
        <ns0:f>A69*('前提と出典'!$C$36*'契約別単価'!C5+'前提と出典'!$C$37*'契約別単価'!C6+'前提と出典'!$C$38*'契約別単価'!C7)</ns0:f>
        <ns0:v>467.70949720670393</ns0:v>
      </ns0:c>
      <ns0:c r="E69" s="16">
        <ns0:f>A69*('前提と出典'!$C$36*'契約別単価'!E5+'前提と出典'!$C$37*'契約別単価'!E6+'前提と出典'!$C$38*'契約別単価'!E7)</ns0:f>
        <ns0:v>163401.74001065936</ns0:v>
      </ns0:c>
      <ns0:c r="F69" s="16">
        <ns0:f>A69*('前提と出典'!$C$36*'契約別単価'!F5+'前提と出典'!$C$37*'契約別単価'!F6+'前提と出典'!$C$38*'契約別単価'!F7)</ns0:f>
        <ns0:v>47480.36885770478</ns0:v>
      </ns0:c>
      <ns0:c r="G69" s="16">
        <ns0:f>A69*('前提と出典'!$C$36*'契約別単価'!G5+'前提と出典'!$C$37*'契約別単価'!G6+'前提と出典'!$C$38*'契約別単価'!G7)</ns0:f>
        <ns0:v>129382.68156424581</ns0:v>
      </ns0:c>
      <ns0:c r="H69" s="16">
        <ns0:f>A69*('前提と出典'!$C$36*'契約別単価'!H5+'前提と出典'!$C$37*'契約別単価'!H6+'前提と出典'!$C$38*'契約別単価'!H7)</ns0:f>
        <ns0:v>44902.27955419555</ns0:v>
      </ns0:c>
      <ns0:c r="I69" s="16">
        <ns0:f>A69*('前提と出典'!$C$36*'契約別単価'!I5+'前提と出典'!$C$37*'契約別単価'!I6+'前提と出典'!$C$38*'契約別単価'!I7)</ns0:f>
        <ns0:v>2742.7094972067034</ns0:v>
      </ns0:c>
      <ns0:c r="J69" s="16">
        <ns0:f>A69*('前提と出典'!$C$36*'契約別単価'!J5+'前提と出典'!$C$37*'契約別単価'!J6+'前提と出典'!$C$38*'契約別単価'!J7)</ns0:f>
        <ns0:v>6388.820341169667</ns0:v>
      </ns0:c>
      <ns0:c r="K69" s="16">
        <ns0:f>A69*('前提と出典'!$C$36*'契約別単価'!K5+'前提と出典'!$C$37*'契約別単価'!K6+'前提と出典'!$C$38*'契約別単価'!K7)</ns0:f>
        <ns0:v>27384.729981378023</ns0:v>
      </ns0:c>
      <ns0:c r="L69" s="16">
        <ns0:f>A69*('前提と出典'!$C$36*'契約別単価'!L5+'前提と出典'!$C$37*'契約別単価'!L6+'前提と出典'!$C$38*'契約別単価'!L7)</ns0:f>
        <ns0:v>22296.74265180652</ns0:v>
      </ns0:c>
      <ns0:c r="M69" s="16">
        <ns0:f>IF(('前提と出典'!$C$36+'前提と出典'!$C$38)=0,0,IF(B69&lt;=10,'前提と出典'!B73+'前提と出典'!C73,IF(B69&lt;=100,'前提と出典'!B74+'前提と出典'!C74,IF(B69&lt;=500,'前提と出典'!B75+'前提と出典'!C75,'前提と出典'!B76+'前提と出典'!C76))))</ns0:f>
        <ns0:v>20000</ns0:v>
      </ns0:c>
      <ns0:c r="N69" s="16">
        <ns0:f>IF(('前提と出典'!$C$37+'前提と出典'!$C$38)=0,0,IF(C69&lt;=10,'前提と出典'!D73+'前提と出典'!E73,IF(C69&lt;=100,'前提と出典'!D74+'前提と出典'!E74,IF(C69&lt;=500,'前提と出典'!D75+'前提と出典'!E75,'前提と出典'!D76+'前提と出典'!E76))))</ns0:f>
        <ns0:v>34510.9346263078</ns0:v>
      </ns0:c>
      <ns0:c r="O69" s="16">
        <ns0:f>IF('前提と出典'!$C$36+'前提と出典'!$C$38=0,0,'前提と出典'!$B$4*IF('前提と出典'!$B$20=0,MAX('前提と出典'!$B$6,D69*'前提と出典'!$B$5),'前提と出典'!$B$6+D69*'前提と出典'!$B$5))</ns0:f>
        <ns0:v>64543.91061452514</ns0:v>
      </ns0:c>
      <ns0:c r="P69" s="16">
        <ns0:f>(E69+G69)*(1-'前提と出典'!$B$7)-I69-K69-M69-O69</ns0:f>
        <ns0:v>167572.83230509874</ns0:v>
      </ns0:c>
      <ns0:c r="Q69" s="16">
        <ns0:f>(F69+H69)*(1-'前提と出典'!$B$7)-J69-L69-N69</ns0:f>
        <ns0:v>25860.37544978794</ns0:v>
      </ns0:c>
      <ns0:c r="R69" s="16">
        <ns0:f>P69-E69*'前提と出典'!$E$4</ns0:f>
        <ns0:v>118552.31030190093</ns0:v>
      </ns0:c>
      <ns0:c r="S69" s="16">
        <ns0:f>Q69-F69*'前提と出典'!$E$4</ns0:f>
        <ns0:v>11616.264792476512</ns0:v>
      </ns0:c>
      <ns0:c r="T69" s="7">
        <ns0:f>R69+S69</ns0:f>
        <ns0:v>130168.57509437745</ns0:v>
      </ns0:c>
      <ns0:c r="U69" s="16">
        <ns0:f>P69-E69*'前提と出典'!$E$5</ns0:f>
        <ns0:v>102212.136300835</ns0:v>
      </ns0:c>
      <ns0:c r="V69" s="16">
        <ns0:f>Q69-F69*'前提と出典'!$E$5</ns0:f>
        <ns0:v>6868.22790670603</ns0:v>
      </ns0:c>
      <ns0:c r="W69" s="7">
        <ns0:f>U69+V69</ns0:f>
        <ns0:v>109080.36420754103</ns0:v>
      </ns0:c>
      <ns0:c r="X69" s="16">
        <ns0:f>P69-E69*'前提と出典'!$E$6</ns0:f>
        <ns0:v>85871.96229976907</ns0:v>
      </ns0:c>
      <ns0:c r="Y69" s="16">
        <ns0:f>Q69-F69*'前提と出典'!$E$6</ns0:f>
        <ns0:v>2120.1910209355483</ns0:v>
      </ns0:c>
      <ns0:c r="Z69" s="7">
        <ns0:f>X69+Y69</ns0:f>
        <ns0:v>87992.15332070462</ns0:v>
      </ns0:c>
      <ns0:c r="AA69" s="7">
        <ns0:f>IF(T69&gt;=0,A69,1001)</ns0:f>
        <ns0:v>65</ns0:v>
      </ns0:c>
      <ns0:c r="AB69" s="7">
        <ns0:f>IF(T69&lt;0,A69,0)</ns0:f>
        <ns0:v>0</ns0:v>
      </ns0:c>
      <ns0:c r="AC69" s="16">
        <ns0:f>IF(AND(OR('前提と出典'!$C$36+'前提と出典'!$C$38=0,R69&gt;=0),OR('前提と出典'!$C$37+'前提と出典'!$C$38=0,S69&gt;=0)),0,A69)</ns0:f>
        <ns0:v>0</ns0:v>
      </ns0:c>
      <ns0:c r="AD69" s="7">
        <ns0:f>IF(W69&gt;=0,A69,1001)</ns0:f>
        <ns0:v>65</ns0:v>
      </ns0:c>
      <ns0:c r="AE69" s="7">
        <ns0:f>IF(W69&lt;0,A69,0)</ns0:f>
        <ns0:v>0</ns0:v>
      </ns0:c>
      <ns0:c r="AF69" s="16">
        <ns0:f>IF(AND(OR('前提と出典'!$C$36+'前提と出典'!$C$38=0,U69&gt;=0),OR('前提と出典'!$C$37+'前提と出典'!$C$38=0,V69&gt;=0)),0,A69)</ns0:f>
        <ns0:v>0</ns0:v>
      </ns0:c>
      <ns0:c r="AG69" s="7">
        <ns0:f>IF(Z69&gt;=0,A69,1001)</ns0:f>
        <ns0:v>65</ns0:v>
      </ns0:c>
      <ns0:c r="AH69" s="4">
        <ns0:f>IF(Z69&lt;0,A69,0)</ns0:f>
        <ns0:v>0</ns0:v>
      </ns0:c>
      <ns0:c r="AI69" s="12">
        <ns0:f>IF(AND(OR('前提と出典'!$C$36+'前提と出典'!$C$38=0,X69&gt;=0),OR('前提と出典'!$C$37+'前提と出典'!$C$38=0,Y69&gt;=0)),0,A69)</ns0:f>
        <ns0:v>0</ns0:v>
      </ns0:c>
    </ns0:row>
    <ns0:row r="70" ht="24" customHeight="1">
      <ns0:c r="A70" s="4" t="n">
        <ns0:v>66</ns0:v>
      </ns0:c>
      <ns0:c r="B70" s="12">
        <ns0:f>A70*('前提と出典'!$C$36+'前提と出典'!$C$38)</ns0:f>
        <ns0:v>46.199999999999996</ns0:v>
      </ns0:c>
      <ns0:c r="C70" s="12">
        <ns0:f>A70*('前提と出典'!$C$37+'前提と出典'!$C$38)</ns0:f>
        <ns0:v>39.6</ns0:v>
      </ns0:c>
      <ns0:c r="D70" s="16">
        <ns0:f>A70*('前提と出典'!$C$36*'契約別単価'!C5+'前提と出典'!$C$37*'契約別単価'!C6+'前提と出典'!$C$38*'契約別単価'!C7)</ns0:f>
        <ns0:v>474.9050279329609</ns0:v>
      </ns0:c>
      <ns0:c r="E70" s="16">
        <ns0:f>A70*('前提と出典'!$C$36*'契約別単価'!E5+'前提と出典'!$C$37*'契約別単価'!E6+'前提と出典'!$C$38*'契約別単価'!E7)</ns0:f>
        <ns0:v>165915.61293390027</ns0:v>
      </ns0:c>
      <ns0:c r="F70" s="16">
        <ns0:f>A70*('前提と出典'!$C$36*'契約別単価'!F5+'前提と出典'!$C$37*'契約別単価'!F6+'前提と出典'!$C$38*'契約別単価'!F7)</ns0:f>
        <ns0:v>48210.83607090024</ns0:v>
      </ns0:c>
      <ns0:c r="G70" s="16">
        <ns0:f>A70*('前提と出典'!$C$36*'契約別単価'!G5+'前提と出典'!$C$37*'契約別単価'!G6+'前提と出典'!$C$38*'契約別単価'!G7)</ns0:f>
        <ns0:v>131373.1843575419</ns0:v>
      </ns0:c>
      <ns0:c r="H70" s="16">
        <ns0:f>A70*('前提と出典'!$C$36*'契約別単価'!H5+'前提と出典'!$C$37*'契約別単価'!H6+'前提と出典'!$C$38*'契約別単価'!H7)</ns0:f>
        <ns0:v>45593.08385502933</ns0:v>
      </ns0:c>
      <ns0:c r="I70" s="16">
        <ns0:f>A70*('前提と出典'!$C$36*'契約別単価'!I5+'前提と出典'!$C$37*'契約別単価'!I6+'前提と出典'!$C$38*'契約別単価'!I7)</ns0:f>
        <ns0:v>2784.9050279329604</ns0:v>
      </ns0:c>
      <ns0:c r="J70" s="16">
        <ns0:f>A70*('前提と出典'!$C$36*'契約別単価'!J5+'前提と出典'!$C$37*'契約別単価'!J6+'前提と出典'!$C$38*'契約別単価'!J7)</ns0:f>
        <ns0:v>6487.109884879969</ns0:v>
      </ns0:c>
      <ns0:c r="K70" s="16">
        <ns0:f>A70*('前提と出典'!$C$36*'契約別単価'!K5+'前提と出典'!$C$37*'契約別単価'!K6+'前提と出典'!$C$38*'契約別単価'!K7)</ns0:f>
        <ns0:v>27806.03351955307</ns0:v>
      </ns0:c>
      <ns0:c r="L70" s="16">
        <ns0:f>A70*('前提と出典'!$C$36*'契約別単価'!L5+'前提と出典'!$C$37*'契約別単価'!L6+'前提と出典'!$C$38*'契約別単価'!L7)</ns0:f>
        <ns0:v>22639.76946183431</ns0:v>
      </ns0:c>
      <ns0:c r="M70" s="16">
        <ns0:f>IF(('前提と出典'!$C$36+'前提と出典'!$C$38)=0,0,IF(B70&lt;=10,'前提と出典'!B73+'前提と出典'!C73,IF(B70&lt;=100,'前提と出典'!B74+'前提と出典'!C74,IF(B70&lt;=500,'前提と出典'!B75+'前提と出典'!C75,'前提と出典'!B76+'前提と出典'!C76))))</ns0:f>
        <ns0:v>20000</ns0:v>
      </ns0:c>
      <ns0:c r="N70" s="16">
        <ns0:f>IF(('前提と出典'!$C$37+'前提と出典'!$C$38)=0,0,IF(C70&lt;=10,'前提と出典'!D73+'前提と出典'!E73,IF(C70&lt;=100,'前提と出典'!D74+'前提と出典'!E74,IF(C70&lt;=500,'前提と出典'!D75+'前提と出典'!E75,'前提と出典'!D76+'前提と出典'!E76))))</ns0:f>
        <ns0:v>34510.9346263078</ns0:v>
      </ns0:c>
      <ns0:c r="O70" s="16">
        <ns0:f>IF('前提と出典'!$C$36+'前提と出典'!$C$38=0,0,'前提と出典'!$B$4*IF('前提と出典'!$B$20=0,MAX('前提と出典'!$B$6,D70*'前提と出典'!$B$5),'前提と出典'!$B$6+D70*'前提と出典'!$B$5))</ns0:f>
        <ns0:v>65536.8938547486</ns0:v>
      </ns0:c>
      <ns0:c r="P70" s="16">
        <ns0:f>(E70+G70)*(1-'前提と出典'!$B$7)-I70-K70-M70-O70</ns0:f>
        <ns0:v>170458.56818671562</ns0:v>
      </ns0:c>
      <ns0:c r="Q70" s="16">
        <ns0:f>(F70+H70)*(1-'前提と出典'!$B$7)-J70-L70-N70</ns0:f>
        <ns0:v>26789.164835574025</ns0:v>
      </ns0:c>
      <ns0:c r="R70" s="16">
        <ns0:f>P70-E70*'前提と出典'!$E$4</ns0:f>
        <ns0:v>120683.88430654554</ns0:v>
      </ns0:c>
      <ns0:c r="S70" s="16">
        <ns0:f>Q70-F70*'前提と出典'!$E$4</ns0:f>
        <ns0:v>12325.914014303948</ns0:v>
      </ns0:c>
      <ns0:c r="T70" s="7">
        <ns0:f>R70+S70</ns0:f>
        <ns0:v>133009.79832084948</ns0:v>
      </ns0:c>
      <ns0:c r="U70" s="16">
        <ns0:f>P70-E70*'前提と出典'!$E$5</ns0:f>
        <ns0:v>104092.32301315552</ns0:v>
      </ns0:c>
      <ns0:c r="V70" s="16">
        <ns0:f>Q70-F70*'前提と出典'!$E$5</ns0:f>
        <ns0:v>7504.830407213929</ns0:v>
      </ns0:c>
      <ns0:c r="W70" s="7">
        <ns0:f>U70+V70</ns0:f>
        <ns0:v>111597.15342036945</ns0:v>
      </ns0:c>
      <ns0:c r="X70" s="16">
        <ns0:f>P70-E70*'前提と出典'!$E$6</ns0:f>
        <ns0:v>87500.76171976549</ns0:v>
      </ns0:c>
      <ns0:c r="Y70" s="16">
        <ns0:f>Q70-F70*'前提と出典'!$E$6</ns0:f>
        <ns0:v>2683.7468001239176</ns0:v>
      </ns0:c>
      <ns0:c r="Z70" s="7">
        <ns0:f>X70+Y70</ns0:f>
        <ns0:v>90184.50851988941</ns0:v>
      </ns0:c>
      <ns0:c r="AA70" s="7">
        <ns0:f>IF(T70&gt;=0,A70,1001)</ns0:f>
        <ns0:v>66</ns0:v>
      </ns0:c>
      <ns0:c r="AB70" s="7">
        <ns0:f>IF(T70&lt;0,A70,0)</ns0:f>
        <ns0:v>0</ns0:v>
      </ns0:c>
      <ns0:c r="AC70" s="16">
        <ns0:f>IF(AND(OR('前提と出典'!$C$36+'前提と出典'!$C$38=0,R70&gt;=0),OR('前提と出典'!$C$37+'前提と出典'!$C$38=0,S70&gt;=0)),0,A70)</ns0:f>
        <ns0:v>0</ns0:v>
      </ns0:c>
      <ns0:c r="AD70" s="7">
        <ns0:f>IF(W70&gt;=0,A70,1001)</ns0:f>
        <ns0:v>66</ns0:v>
      </ns0:c>
      <ns0:c r="AE70" s="7">
        <ns0:f>IF(W70&lt;0,A70,0)</ns0:f>
        <ns0:v>0</ns0:v>
      </ns0:c>
      <ns0:c r="AF70" s="16">
        <ns0:f>IF(AND(OR('前提と出典'!$C$36+'前提と出典'!$C$38=0,U70&gt;=0),OR('前提と出典'!$C$37+'前提と出典'!$C$38=0,V70&gt;=0)),0,A70)</ns0:f>
        <ns0:v>0</ns0:v>
      </ns0:c>
      <ns0:c r="AG70" s="7">
        <ns0:f>IF(Z70&gt;=0,A70,1001)</ns0:f>
        <ns0:v>66</ns0:v>
      </ns0:c>
      <ns0:c r="AH70" s="4">
        <ns0:f>IF(Z70&lt;0,A70,0)</ns0:f>
        <ns0:v>0</ns0:v>
      </ns0:c>
      <ns0:c r="AI70" s="12">
        <ns0:f>IF(AND(OR('前提と出典'!$C$36+'前提と出典'!$C$38=0,X70&gt;=0),OR('前提と出典'!$C$37+'前提と出典'!$C$38=0,Y70&gt;=0)),0,A70)</ns0:f>
        <ns0:v>0</ns0:v>
      </ns0:c>
    </ns0:row>
    <ns0:row r="71" ht="24" customHeight="1">
      <ns0:c r="A71" s="4" t="n">
        <ns0:v>67</ns0:v>
      </ns0:c>
      <ns0:c r="B71" s="12">
        <ns0:f>A71*('前提と出典'!$C$36+'前提と出典'!$C$38)</ns0:f>
        <ns0:v>46.9</ns0:v>
      </ns0:c>
      <ns0:c r="C71" s="12">
        <ns0:f>A71*('前提と出典'!$C$37+'前提と出典'!$C$38)</ns0:f>
        <ns0:v>40.199999999999996</ns0:v>
      </ns0:c>
      <ns0:c r="D71" s="16">
        <ns0:f>A71*('前提と出典'!$C$36*'契約別単価'!C5+'前提と出典'!$C$37*'契約別単価'!C6+'前提と出典'!$C$38*'契約別単価'!C7)</ns0:f>
        <ns0:v>482.1005586592179</ns0:v>
      </ns0:c>
      <ns0:c r="E71" s="16">
        <ns0:f>A71*('前提と出典'!$C$36*'契約別単価'!E5+'前提と出典'!$C$37*'契約別単価'!E6+'前提と出典'!$C$38*'契約別単価'!E7)</ns0:f>
        <ns0:v>168429.48585714118</ns0:v>
      </ns0:c>
      <ns0:c r="F71" s="16">
        <ns0:f>A71*('前提と出典'!$C$36*'契約別単価'!F5+'前提と出典'!$C$37*'契約別単価'!F6+'前提と出典'!$C$38*'契約別単価'!F7)</ns0:f>
        <ns0:v>48941.303284095695</ns0:v>
      </ns0:c>
      <ns0:c r="G71" s="16">
        <ns0:f>A71*('前提と出典'!$C$36*'契約別単価'!G5+'前提と出典'!$C$37*'契約別単価'!G6+'前提と出典'!$C$38*'契約別単価'!G7)</ns0:f>
        <ns0:v>133363.68715083797</ns0:v>
      </ns0:c>
      <ns0:c r="H71" s="16">
        <ns0:f>A71*('前提と出典'!$C$36*'契約別単価'!H5+'前提と出典'!$C$37*'契約別単価'!H6+'前提と出典'!$C$38*'契約別単価'!H7)</ns0:f>
        <ns0:v>46283.888155863104</ns0:v>
      </ns0:c>
      <ns0:c r="I71" s="16">
        <ns0:f>A71*('前提と出典'!$C$36*'契約別単価'!I5+'前提と出典'!$C$37*'契約別単価'!I6+'前提と出典'!$C$38*'契約別単価'!I7)</ns0:f>
        <ns0:v>2827.1005586592173</ns0:v>
      </ns0:c>
      <ns0:c r="J71" s="16">
        <ns0:f>A71*('前提と出典'!$C$36*'契約別単価'!J5+'前提と出典'!$C$37*'契約別単価'!J6+'前提と出典'!$C$38*'契約別単価'!J7)</ns0:f>
        <ns0:v>6585.399428590272</ns0:v>
      </ns0:c>
      <ns0:c r="K71" s="16">
        <ns0:f>A71*('前提と出典'!$C$36*'契約別単価'!K5+'前提と出典'!$C$37*'契約別単価'!K6+'前提と出典'!$C$38*'契約別単価'!K7)</ns0:f>
        <ns0:v>28227.337057728117</ns0:v>
      </ns0:c>
      <ns0:c r="L71" s="16">
        <ns0:f>A71*('前提と出典'!$C$36*'契約別単価'!L5+'前提と出典'!$C$37*'契約別単価'!L6+'前提と出典'!$C$38*'契約別単価'!L7)</ns0:f>
        <ns0:v>22982.796271862102</ns0:v>
      </ns0:c>
      <ns0:c r="M71" s="16">
        <ns0:f>IF(('前提と出典'!$C$36+'前提と出典'!$C$38)=0,0,IF(B71&lt;=10,'前提と出典'!B73+'前提と出典'!C73,IF(B71&lt;=100,'前提と出典'!B74+'前提と出典'!C74,IF(B71&lt;=500,'前提と出典'!B75+'前提と出典'!C75,'前提と出典'!B76+'前提と出典'!C76))))</ns0:f>
        <ns0:v>20000</ns0:v>
      </ns0:c>
      <ns0:c r="N71" s="16">
        <ns0:f>IF(('前提と出典'!$C$37+'前提と出典'!$C$38)=0,0,IF(C71&lt;=10,'前提と出典'!D73+'前提と出典'!E73,IF(C71&lt;=100,'前提と出典'!D74+'前提と出典'!E74,IF(C71&lt;=500,'前提と出典'!D75+'前提と出典'!E75,'前提と出典'!D76+'前提と出典'!E76))))</ns0:f>
        <ns0:v>34510.9346263078</ns0:v>
      </ns0:c>
      <ns0:c r="O71" s="16">
        <ns0:f>IF('前提と出典'!$C$36+'前提と出典'!$C$38=0,0,'前提と出典'!$B$4*IF('前提と出典'!$B$20=0,MAX('前提と出典'!$B$6,D71*'前提と出典'!$B$5),'前提と出典'!$B$6+D71*'前提と出典'!$B$5))</ns0:f>
        <ns0:v>66529.87709497206</ns0:v>
      </ns0:c>
      <ns0:c r="P71" s="16">
        <ns0:f>(E71+G71)*(1-'前提と出典'!$B$7)-I71-K71-M71-O71</ns0:f>
        <ns0:v>173344.30406833254</ns0:v>
      </ns0:c>
      <ns0:c r="Q71" s="16">
        <ns0:f>(F71+H71)*(1-'前提と出典'!$B$7)-J71-L71-N71</ns0:f>
        <ns0:v>27717.954221360113</ns0:v>
      </ns0:c>
      <ns0:c r="R71" s="16">
        <ns0:f>P71-E71*'前提と出典'!$E$4</ns0:f>
        <ns0:v>122815.45831119019</ns0:v>
      </ns0:c>
      <ns0:c r="S71" s="16">
        <ns0:f>Q71-F71*'前提と出典'!$E$4</ns0:f>
        <ns0:v>13035.563236131413</ns0:v>
      </ns0:c>
      <ns0:c r="T71" s="7">
        <ns0:f>R71+S71</ns0:f>
        <ns0:v>135851.0215473216</ns0:v>
      </ns0:c>
      <ns0:c r="U71" s="16">
        <ns0:f>P71-E71*'前提と出典'!$E$5</ns0:f>
        <ns0:v>105972.50972547606</ns0:v>
      </ns0:c>
      <ns0:c r="V71" s="16">
        <ns0:f>Q71-F71*'前提と出典'!$E$5</ns0:f>
        <ns0:v>8141.432907721835</ns0:v>
      </ns0:c>
      <ns0:c r="W71" s="7">
        <ns0:f>U71+V71</ns0:f>
        <ns0:v>114113.9426331979</ns0:v>
      </ns0:c>
      <ns0:c r="X71" s="16">
        <ns0:f>P71-E71*'前提と出典'!$E$6</ns0:f>
        <ns0:v>89129.56113976194</ns0:v>
      </ns0:c>
      <ns0:c r="Y71" s="16">
        <ns0:f>Q71-F71*'前提と出典'!$E$6</ns0:f>
        <ns0:v>3247.3025793122724</ns0:v>
      </ns0:c>
      <ns0:c r="Z71" s="7">
        <ns0:f>X71+Y71</ns0:f>
        <ns0:v>92376.8637190742</ns0:v>
      </ns0:c>
      <ns0:c r="AA71" s="7">
        <ns0:f>IF(T71&gt;=0,A71,1001)</ns0:f>
        <ns0:v>67</ns0:v>
      </ns0:c>
      <ns0:c r="AB71" s="7">
        <ns0:f>IF(T71&lt;0,A71,0)</ns0:f>
        <ns0:v>0</ns0:v>
      </ns0:c>
      <ns0:c r="AC71" s="16">
        <ns0:f>IF(AND(OR('前提と出典'!$C$36+'前提と出典'!$C$38=0,R71&gt;=0),OR('前提と出典'!$C$37+'前提と出典'!$C$38=0,S71&gt;=0)),0,A71)</ns0:f>
        <ns0:v>0</ns0:v>
      </ns0:c>
      <ns0:c r="AD71" s="7">
        <ns0:f>IF(W71&gt;=0,A71,1001)</ns0:f>
        <ns0:v>67</ns0:v>
      </ns0:c>
      <ns0:c r="AE71" s="7">
        <ns0:f>IF(W71&lt;0,A71,0)</ns0:f>
        <ns0:v>0</ns0:v>
      </ns0:c>
      <ns0:c r="AF71" s="16">
        <ns0:f>IF(AND(OR('前提と出典'!$C$36+'前提と出典'!$C$38=0,U71&gt;=0),OR('前提と出典'!$C$37+'前提と出典'!$C$38=0,V71&gt;=0)),0,A71)</ns0:f>
        <ns0:v>0</ns0:v>
      </ns0:c>
      <ns0:c r="AG71" s="7">
        <ns0:f>IF(Z71&gt;=0,A71,1001)</ns0:f>
        <ns0:v>67</ns0:v>
      </ns0:c>
      <ns0:c r="AH71" s="4">
        <ns0:f>IF(Z71&lt;0,A71,0)</ns0:f>
        <ns0:v>0</ns0:v>
      </ns0:c>
      <ns0:c r="AI71" s="12">
        <ns0:f>IF(AND(OR('前提と出典'!$C$36+'前提と出典'!$C$38=0,X71&gt;=0),OR('前提と出典'!$C$37+'前提と出典'!$C$38=0,Y71&gt;=0)),0,A71)</ns0:f>
        <ns0:v>0</ns0:v>
      </ns0:c>
    </ns0:row>
    <ns0:row r="72" ht="24" customHeight="1">
      <ns0:c r="A72" s="4" t="n">
        <ns0:v>68</ns0:v>
      </ns0:c>
      <ns0:c r="B72" s="12">
        <ns0:f>A72*('前提と出典'!$C$36+'前提と出典'!$C$38)</ns0:f>
        <ns0:v>47.599999999999994</ns0:v>
      </ns0:c>
      <ns0:c r="C72" s="12">
        <ns0:f>A72*('前提と出典'!$C$37+'前提と出典'!$C$38)</ns0:f>
        <ns0:v>40.8</ns0:v>
      </ns0:c>
      <ns0:c r="D72" s="16">
        <ns0:f>A72*('前提と出典'!$C$36*'契約別単価'!C5+'前提と出典'!$C$37*'契約別単価'!C6+'前提と出典'!$C$38*'契約別単価'!C7)</ns0:f>
        <ns0:v>489.29608938547483</ns0:v>
      </ns0:c>
      <ns0:c r="E72" s="16">
        <ns0:f>A72*('前提と出典'!$C$36*'契約別単価'!E5+'前提と出典'!$C$37*'契約別単価'!E6+'前提と出典'!$C$38*'契約別単価'!E7)</ns0:f>
        <ns0:v>170943.35878038208</ns0:v>
      </ns0:c>
      <ns0:c r="F72" s="16">
        <ns0:f>A72*('前提と出典'!$C$36*'契約別単価'!F5+'前提と出典'!$C$37*'契約別単価'!F6+'前提と出典'!$C$38*'契約別単価'!F7)</ns0:f>
        <ns0:v>49671.77049729115</ns0:v>
      </ns0:c>
      <ns0:c r="G72" s="16">
        <ns0:f>A72*('前提と出典'!$C$36*'契約別単価'!G5+'前提と出典'!$C$37*'契約別単価'!G6+'前提と出典'!$C$38*'契約別単価'!G7)</ns0:f>
        <ns0:v>135354.18994413406</ns0:v>
      </ns0:c>
      <ns0:c r="H72" s="16">
        <ns0:f>A72*('前提と出典'!$C$36*'契約別単価'!H5+'前提と出典'!$C$37*'契約別単価'!H6+'前提と出典'!$C$38*'契約別単価'!H7)</ns0:f>
        <ns0:v>46974.69245669688</ns0:v>
      </ns0:c>
      <ns0:c r="I72" s="16">
        <ns0:f>A72*('前提と出典'!$C$36*'契約別単価'!I5+'前提と出典'!$C$37*'契約別単価'!I6+'前提と出典'!$C$38*'契約別単価'!I7)</ns0:f>
        <ns0:v>2869.2960893854743</ns0:v>
      </ns0:c>
      <ns0:c r="J72" s="16">
        <ns0:f>A72*('前提と出典'!$C$36*'契約別単価'!J5+'前提と出典'!$C$37*'契約別単価'!J6+'前提と出典'!$C$38*'契約別単価'!J7)</ns0:f>
        <ns0:v>6683.688972300574</ns0:v>
      </ns0:c>
      <ns0:c r="K72" s="16">
        <ns0:f>A72*('前提と出典'!$C$36*'契約別単価'!K5+'前提と出典'!$C$37*'契約別単価'!K6+'前提と出典'!$C$38*'契約別単価'!K7)</ns0:f>
        <ns0:v>28648.640595903165</ns0:v>
      </ns0:c>
      <ns0:c r="L72" s="16">
        <ns0:f>A72*('前提と出典'!$C$36*'契約別単価'!L5+'前提と出典'!$C$37*'契約別単価'!L6+'前提と出典'!$C$38*'契約別単価'!L7)</ns0:f>
        <ns0:v>23325.823081889896</ns0:v>
      </ns0:c>
      <ns0:c r="M72" s="16">
        <ns0:f>IF(('前提と出典'!$C$36+'前提と出典'!$C$38)=0,0,IF(B72&lt;=10,'前提と出典'!B73+'前提と出典'!C73,IF(B72&lt;=100,'前提と出典'!B74+'前提と出典'!C74,IF(B72&lt;=500,'前提と出典'!B75+'前提と出典'!C75,'前提と出典'!B76+'前提と出典'!C76))))</ns0:f>
        <ns0:v>20000</ns0:v>
      </ns0:c>
      <ns0:c r="N72" s="16">
        <ns0:f>IF(('前提と出典'!$C$37+'前提と出典'!$C$38)=0,0,IF(C72&lt;=10,'前提と出典'!D73+'前提と出典'!E73,IF(C72&lt;=100,'前提と出典'!D74+'前提と出典'!E74,IF(C72&lt;=500,'前提と出典'!D75+'前提と出典'!E75,'前提と出典'!D76+'前提と出典'!E76))))</ns0:f>
        <ns0:v>34510.9346263078</ns0:v>
      </ns0:c>
      <ns0:c r="O72" s="16">
        <ns0:f>IF('前提と出典'!$C$36+'前提と出典'!$C$38=0,0,'前提と出典'!$B$4*IF('前提と出典'!$B$20=0,MAX('前提と出典'!$B$6,D72*'前提と出典'!$B$5),'前提と出典'!$B$6+D72*'前提と出典'!$B$5))</ns0:f>
        <ns0:v>67522.86033519552</ns0:v>
      </ns0:c>
      <ns0:c r="P72" s="16">
        <ns0:f>(E72+G72)*(1-'前提と出典'!$B$7)-I72-K72-M72-O72</ns0:f>
        <ns0:v>176230.03994994942</ns0:v>
      </ns0:c>
      <ns0:c r="Q72" s="16">
        <ns0:f>(F72+H72)*(1-'前提と出典'!$B$7)-J72-L72-N72</ns0:f>
        <ns0:v>28646.74360714619</ns0:v>
      </ns0:c>
      <ns0:c r="R72" s="16">
        <ns0:f>P72-E72*'前提と出典'!$E$4</ns0:f>
        <ns0:v>124947.03231583483</ns0:v>
      </ns0:c>
      <ns0:c r="S72" s="16">
        <ns0:f>Q72-F72*'前提と出典'!$E$4</ns0:f>
        <ns0:v>13745.212457958842</ns0:v>
      </ns0:c>
      <ns0:c r="T72" s="7">
        <ns0:f>R72+S72</ns0:f>
        <ns0:v>138692.24477379367</ns0:v>
      </ns0:c>
      <ns0:c r="U72" s="16">
        <ns0:f>P72-E72*'前提と出典'!$E$5</ns0:f>
        <ns0:v>107852.6964377966</ns0:v>
      </ns0:c>
      <ns0:c r="V72" s="16">
        <ns0:f>Q72-F72*'前提と出典'!$E$5</ns0:f>
        <ns0:v>8778.035408229727</ns0:v>
      </ns0:c>
      <ns0:c r="W72" s="7">
        <ns0:f>U72+V72</ns0:f>
        <ns0:v>116630.73184602633</ns0:v>
      </ns0:c>
      <ns0:c r="X72" s="16">
        <ns0:f>P72-E72*'前提と出典'!$E$6</ns0:f>
        <ns0:v>90758.36055975841</ns0:v>
      </ns0:c>
      <ns0:c r="Y72" s="16">
        <ns0:f>Q72-F72*'前提と出典'!$E$6</ns0:f>
        <ns0:v>3810.8583585006127</ns0:v>
      </ns0:c>
      <ns0:c r="Z72" s="7">
        <ns0:f>X72+Y72</ns0:f>
        <ns0:v>94569.21891825902</ns0:v>
      </ns0:c>
      <ns0:c r="AA72" s="7">
        <ns0:f>IF(T72&gt;=0,A72,1001)</ns0:f>
        <ns0:v>68</ns0:v>
      </ns0:c>
      <ns0:c r="AB72" s="7">
        <ns0:f>IF(T72&lt;0,A72,0)</ns0:f>
        <ns0:v>0</ns0:v>
      </ns0:c>
      <ns0:c r="AC72" s="16">
        <ns0:f>IF(AND(OR('前提と出典'!$C$36+'前提と出典'!$C$38=0,R72&gt;=0),OR('前提と出典'!$C$37+'前提と出典'!$C$38=0,S72&gt;=0)),0,A72)</ns0:f>
        <ns0:v>0</ns0:v>
      </ns0:c>
      <ns0:c r="AD72" s="7">
        <ns0:f>IF(W72&gt;=0,A72,1001)</ns0:f>
        <ns0:v>68</ns0:v>
      </ns0:c>
      <ns0:c r="AE72" s="7">
        <ns0:f>IF(W72&lt;0,A72,0)</ns0:f>
        <ns0:v>0</ns0:v>
      </ns0:c>
      <ns0:c r="AF72" s="16">
        <ns0:f>IF(AND(OR('前提と出典'!$C$36+'前提と出典'!$C$38=0,U72&gt;=0),OR('前提と出典'!$C$37+'前提と出典'!$C$38=0,V72&gt;=0)),0,A72)</ns0:f>
        <ns0:v>0</ns0:v>
      </ns0:c>
      <ns0:c r="AG72" s="7">
        <ns0:f>IF(Z72&gt;=0,A72,1001)</ns0:f>
        <ns0:v>68</ns0:v>
      </ns0:c>
      <ns0:c r="AH72" s="4">
        <ns0:f>IF(Z72&lt;0,A72,0)</ns0:f>
        <ns0:v>0</ns0:v>
      </ns0:c>
      <ns0:c r="AI72" s="12">
        <ns0:f>IF(AND(OR('前提と出典'!$C$36+'前提と出典'!$C$38=0,X72&gt;=0),OR('前提と出典'!$C$37+'前提と出典'!$C$38=0,Y72&gt;=0)),0,A72)</ns0:f>
        <ns0:v>0</ns0:v>
      </ns0:c>
    </ns0:row>
    <ns0:row r="73" ht="24" customHeight="1">
      <ns0:c r="A73" s="4" t="n">
        <ns0:v>69</ns0:v>
      </ns0:c>
      <ns0:c r="B73" s="12">
        <ns0:f>A73*('前提と出典'!$C$36+'前提と出典'!$C$38)</ns0:f>
        <ns0:v>48.3</ns0:v>
      </ns0:c>
      <ns0:c r="C73" s="12">
        <ns0:f>A73*('前提と出典'!$C$37+'前提と出典'!$C$38)</ns0:f>
        <ns0:v>41.4</ns0:v>
      </ns0:c>
      <ns0:c r="D73" s="16">
        <ns0:f>A73*('前提と出典'!$C$36*'契約別単価'!C5+'前提と出典'!$C$37*'契約別単価'!C6+'前提と出典'!$C$38*'契約別単価'!C7)</ns0:f>
        <ns0:v>496.49162011173183</ns0:v>
      </ns0:c>
      <ns0:c r="E73" s="16">
        <ns0:f>A73*('前提と出典'!$C$36*'契約別単価'!E5+'前提と出典'!$C$37*'契約別単価'!E6+'前提と出典'!$C$38*'契約別単価'!E7)</ns0:f>
        <ns0:v>173457.23170362302</ns0:v>
      </ns0:c>
      <ns0:c r="F73" s="16">
        <ns0:f>A73*('前提と出典'!$C$36*'契約別単価'!F5+'前提と出典'!$C$37*'契約別単価'!F6+'前提と出典'!$C$38*'契約別単価'!F7)</ns0:f>
        <ns0:v>50402.23771048661</ns0:v>
      </ns0:c>
      <ns0:c r="G73" s="16">
        <ns0:f>A73*('前提と出典'!$C$36*'契約別単価'!G5+'前提と出典'!$C$37*'契約別単価'!G6+'前提と出典'!$C$38*'契約別単価'!G7)</ns0:f>
        <ns0:v>137344.69273743016</ns0:v>
      </ns0:c>
      <ns0:c r="H73" s="16">
        <ns0:f>A73*('前提と出典'!$C$36*'契約別単価'!H5+'前提と出典'!$C$37*'契約別単価'!H6+'前提と出典'!$C$38*'契約別単価'!H7)</ns0:f>
        <ns0:v>47665.49675753066</ns0:v>
      </ns0:c>
      <ns0:c r="I73" s="16">
        <ns0:f>A73*('前提と出典'!$C$36*'契約別単価'!I5+'前提と出典'!$C$37*'契約別単価'!I6+'前提と出典'!$C$38*'契約別単価'!I7)</ns0:f>
        <ns0:v>2911.491620111731</ns0:v>
      </ns0:c>
      <ns0:c r="J73" s="16">
        <ns0:f>A73*('前提と出典'!$C$36*'契約別単価'!J5+'前提と出典'!$C$37*'契約別単価'!J6+'前提と出典'!$C$38*'契約別単価'!J7)</ns0:f>
        <ns0:v>6781.978516010877</ns0:v>
      </ns0:c>
      <ns0:c r="K73" s="16">
        <ns0:f>A73*('前提と出典'!$C$36*'契約別単価'!K5+'前提と出典'!$C$37*'契約別単価'!K6+'前提と出典'!$C$38*'契約別単価'!K7)</ns0:f>
        <ns0:v>29069.94413407821</ns0:v>
      </ns0:c>
      <ns0:c r="L73" s="16">
        <ns0:f>A73*('前提と出典'!$C$36*'契約別単価'!L5+'前提と出典'!$C$37*'契約別単価'!L6+'前提と出典'!$C$38*'契約別単価'!L7)</ns0:f>
        <ns0:v>23668.84989191769</ns0:v>
      </ns0:c>
      <ns0:c r="M73" s="16">
        <ns0:f>IF(('前提と出典'!$C$36+'前提と出典'!$C$38)=0,0,IF(B73&lt;=10,'前提と出典'!B73+'前提と出典'!C73,IF(B73&lt;=100,'前提と出典'!B74+'前提と出典'!C74,IF(B73&lt;=500,'前提と出典'!B75+'前提と出典'!C75,'前提と出典'!B76+'前提と出典'!C76))))</ns0:f>
        <ns0:v>20000</ns0:v>
      </ns0:c>
      <ns0:c r="N73" s="16">
        <ns0:f>IF(('前提と出典'!$C$37+'前提と出典'!$C$38)=0,0,IF(C73&lt;=10,'前提と出典'!D73+'前提と出典'!E73,IF(C73&lt;=100,'前提と出典'!D74+'前提と出典'!E74,IF(C73&lt;=500,'前提と出典'!D75+'前提と出典'!E75,'前提と出典'!D76+'前提と出典'!E76))))</ns0:f>
        <ns0:v>34510.9346263078</ns0:v>
      </ns0:c>
      <ns0:c r="O73" s="16">
        <ns0:f>IF('前提と出典'!$C$36+'前提と出典'!$C$38=0,0,'前提と出典'!$B$4*IF('前提と出典'!$B$20=0,MAX('前提と出典'!$B$6,D73*'前提と出典'!$B$5),'前提と出典'!$B$6+D73*'前提と出典'!$B$5))</ns0:f>
        <ns0:v>68515.843575419</ns0:v>
      </ns0:c>
      <ns0:c r="P73" s="16">
        <ns0:f>(E73+G73)*(1-'前提と出典'!$B$7)-I73-K73-M73-O73</ns0:f>
        <ns0:v>179115.7758315663</ns0:v>
      </ns0:c>
      <ns0:c r="Q73" s="16">
        <ns0:f>(F73+H73)*(1-'前提と出典'!$B$7)-J73-L73-N73</ns0:f>
        <ns0:v>29575.53299293228</ns0:v>
      </ns0:c>
      <ns0:c r="R73" s="16">
        <ns0:f>P73-E73*'前提と出典'!$E$4</ns0:f>
        <ns0:v>127078.6063204794</ns0:v>
      </ns0:c>
      <ns0:c r="S73" s="16">
        <ns0:f>Q73-F73*'前提と出典'!$E$4</ns0:f>
        <ns0:v>14454.8616797863</ns0:v>
      </ns0:c>
      <ns0:c r="T73" s="7">
        <ns0:f>R73+S73</ns0:f>
        <ns0:v>141533.4680002657</ns0:v>
      </ns0:c>
      <ns0:c r="U73" s="16">
        <ns0:f>P73-E73*'前提と出典'!$E$5</ns0:f>
        <ns0:v>109732.88315011708</ns0:v>
      </ns0:c>
      <ns0:c r="V73" s="16">
        <ns0:f>Q73-F73*'前提と出典'!$E$5</ns0:f>
        <ns0:v>9414.637908737634</ns0:v>
      </ns0:c>
      <ns0:c r="W73" s="7">
        <ns0:f>U73+V73</ns0:f>
        <ns0:v>119147.5210588547</ns0:v>
      </ns0:c>
      <ns0:c r="X73" s="16">
        <ns0:f>P73-E73*'前提と出典'!$E$6</ns0:f>
        <ns0:v>92387.15997975478</ns0:v>
      </ns0:c>
      <ns0:c r="Y73" s="16">
        <ns0:f>Q73-F73*'前提と出典'!$E$6</ns0:f>
        <ns0:v>4374.414137688982</ns0:v>
      </ns0:c>
      <ns0:c r="Z73" s="7">
        <ns0:f>X73+Y73</ns0:f>
        <ns0:v>96761.57411744376</ns0:v>
      </ns0:c>
      <ns0:c r="AA73" s="7">
        <ns0:f>IF(T73&gt;=0,A73,1001)</ns0:f>
        <ns0:v>69</ns0:v>
      </ns0:c>
      <ns0:c r="AB73" s="7">
        <ns0:f>IF(T73&lt;0,A73,0)</ns0:f>
        <ns0:v>0</ns0:v>
      </ns0:c>
      <ns0:c r="AC73" s="16">
        <ns0:f>IF(AND(OR('前提と出典'!$C$36+'前提と出典'!$C$38=0,R73&gt;=0),OR('前提と出典'!$C$37+'前提と出典'!$C$38=0,S73&gt;=0)),0,A73)</ns0:f>
        <ns0:v>0</ns0:v>
      </ns0:c>
      <ns0:c r="AD73" s="7">
        <ns0:f>IF(W73&gt;=0,A73,1001)</ns0:f>
        <ns0:v>69</ns0:v>
      </ns0:c>
      <ns0:c r="AE73" s="7">
        <ns0:f>IF(W73&lt;0,A73,0)</ns0:f>
        <ns0:v>0</ns0:v>
      </ns0:c>
      <ns0:c r="AF73" s="16">
        <ns0:f>IF(AND(OR('前提と出典'!$C$36+'前提と出典'!$C$38=0,U73&gt;=0),OR('前提と出典'!$C$37+'前提と出典'!$C$38=0,V73&gt;=0)),0,A73)</ns0:f>
        <ns0:v>0</ns0:v>
      </ns0:c>
      <ns0:c r="AG73" s="7">
        <ns0:f>IF(Z73&gt;=0,A73,1001)</ns0:f>
        <ns0:v>69</ns0:v>
      </ns0:c>
      <ns0:c r="AH73" s="4">
        <ns0:f>IF(Z73&lt;0,A73,0)</ns0:f>
        <ns0:v>0</ns0:v>
      </ns0:c>
      <ns0:c r="AI73" s="12">
        <ns0:f>IF(AND(OR('前提と出典'!$C$36+'前提と出典'!$C$38=0,X73&gt;=0),OR('前提と出典'!$C$37+'前提と出典'!$C$38=0,Y73&gt;=0)),0,A73)</ns0:f>
        <ns0:v>0</ns0:v>
      </ns0:c>
    </ns0:row>
    <ns0:row r="74" ht="24" customHeight="1">
      <ns0:c r="A74" s="4" t="n">
        <ns0:v>70</ns0:v>
      </ns0:c>
      <ns0:c r="B74" s="12">
        <ns0:f>A74*('前提と出典'!$C$36+'前提と出典'!$C$38)</ns0:f>
        <ns0:v>49</ns0:v>
      </ns0:c>
      <ns0:c r="C74" s="12">
        <ns0:f>A74*('前提と出典'!$C$37+'前提と出典'!$C$38)</ns0:f>
        <ns0:v>42</ns0:v>
      </ns0:c>
      <ns0:c r="D74" s="16">
        <ns0:f>A74*('前提と出典'!$C$36*'契約別単価'!C5+'前提と出典'!$C$37*'契約別単価'!C6+'前提と出典'!$C$38*'契約別単価'!C7)</ns0:f>
        <ns0:v>503.68715083798884</ns0:v>
      </ns0:c>
      <ns0:c r="E74" s="16">
        <ns0:f>A74*('前提と出典'!$C$36*'契約別単価'!E5+'前提と出典'!$C$37*'契約別単価'!E6+'前提と出典'!$C$38*'契約別単価'!E7)</ns0:f>
        <ns0:v>175971.10462686393</ns0:v>
      </ns0:c>
      <ns0:c r="F74" s="16">
        <ns0:f>A74*('前提と出典'!$C$36*'契約別単価'!F5+'前提と出典'!$C$37*'契約別単価'!F6+'前提と出典'!$C$38*'契約別単価'!F7)</ns0:f>
        <ns0:v>51132.70492368207</ns0:v>
      </ns0:c>
      <ns0:c r="G74" s="16">
        <ns0:f>A74*('前提と出典'!$C$36*'契約別単価'!G5+'前提と出典'!$C$37*'契約別単価'!G6+'前提と出典'!$C$38*'契約別単価'!G7)</ns0:f>
        <ns0:v>139335.19553072625</ns0:v>
      </ns0:c>
      <ns0:c r="H74" s="16">
        <ns0:f>A74*('前提と出典'!$C$36*'契約別単価'!H5+'前提と出典'!$C$37*'契約別単価'!H6+'前提と出典'!$C$38*'契約別単価'!H7)</ns0:f>
        <ns0:v>48356.301058364435</ns0:v>
      </ns0:c>
      <ns0:c r="I74" s="16">
        <ns0:f>A74*('前提と出典'!$C$36*'契約別単価'!I5+'前提と出典'!$C$37*'契約別単価'!I6+'前提と出典'!$C$38*'契約別単価'!I7)</ns0:f>
        <ns0:v>2953.687150837988</ns0:v>
      </ns0:c>
      <ns0:c r="J74" s="16">
        <ns0:f>A74*('前提と出典'!$C$36*'契約別単価'!J5+'前提と出典'!$C$37*'契約別単価'!J6+'前提と出典'!$C$38*'契約別単価'!J7)</ns0:f>
        <ns0:v>6880.268059721179</ns0:v>
      </ns0:c>
      <ns0:c r="K74" s="16">
        <ns0:f>A74*('前提と出典'!$C$36*'契約別単価'!K5+'前提と出典'!$C$37*'契約別単価'!K6+'前提と出典'!$C$38*'契約別単価'!K7)</ns0:f>
        <ns0:v>29491.247672253256</ns0:v>
      </ns0:c>
      <ns0:c r="L74" s="16">
        <ns0:f>A74*('前提と出典'!$C$36*'契約別単価'!L5+'前提と出典'!$C$37*'契約別単価'!L6+'前提と出典'!$C$38*'契約別単価'!L7)</ns0:f>
        <ns0:v>24011.87670194548</ns0:v>
      </ns0:c>
      <ns0:c r="M74" s="16">
        <ns0:f>IF(('前提と出典'!$C$36+'前提と出典'!$C$38)=0,0,IF(B74&lt;=10,'前提と出典'!B73+'前提と出典'!C73,IF(B74&lt;=100,'前提と出典'!B74+'前提と出典'!C74,IF(B74&lt;=500,'前提と出典'!B75+'前提と出典'!C75,'前提と出典'!B76+'前提と出典'!C76))))</ns0:f>
        <ns0:v>20000</ns0:v>
      </ns0:c>
      <ns0:c r="N74" s="16">
        <ns0:f>IF(('前提と出典'!$C$37+'前提と出典'!$C$38)=0,0,IF(C74&lt;=10,'前提と出典'!D73+'前提と出典'!E73,IF(C74&lt;=100,'前提と出典'!D74+'前提と出典'!E74,IF(C74&lt;=500,'前提と出典'!D75+'前提と出典'!E75,'前提と出典'!D76+'前提と出典'!E76))))</ns0:f>
        <ns0:v>34510.9346263078</ns0:v>
      </ns0:c>
      <ns0:c r="O74" s="16">
        <ns0:f>IF('前提と出典'!$C$36+'前提と出典'!$C$38=0,0,'前提と出典'!$B$4*IF('前提と出典'!$B$20=0,MAX('前提と出典'!$B$6,D74*'前提と出典'!$B$5),'前提と出典'!$B$6+D74*'前提と出典'!$B$5))</ns0:f>
        <ns0:v>69508.82681564246</ns0:v>
      </ns0:c>
      <ns0:c r="P74" s="16">
        <ns0:f>(E74+G74)*(1-'前提と出典'!$B$7)-I74-K74-M74-O74</ns0:f>
        <ns0:v>182001.5117131832</ns0:v>
      </ns0:c>
      <ns0:c r="Q74" s="16">
        <ns0:f>(F74+H74)*(1-'前提と出典'!$B$7)-J74-L74-N74</ns0:f>
        <ns0:v>30504.32237871839</ns0:v>
      </ns0:c>
      <ns0:c r="R74" s="16">
        <ns0:f>P74-E74*'前提と出典'!$E$4</ns0:f>
        <ns0:v>129210.18032512402</ns0:v>
      </ns0:c>
      <ns0:c r="S74" s="16">
        <ns0:f>Q74-F74*'前提と出典'!$E$4</ns0:f>
        <ns0:v>15164.510901613765</ns0:v>
      </ns0:c>
      <ns0:c r="T74" s="7">
        <ns0:f>R74+S74</ns0:f>
        <ns0:v>144374.69122673778</ns0:v>
      </ns0:c>
      <ns0:c r="U74" s="16">
        <ns0:f>P74-E74*'前提と出典'!$E$5</ns0:f>
        <ns0:v>111613.06986243762</ns0:v>
      </ns0:c>
      <ns0:c r="V74" s="16">
        <ns0:f>Q74-F74*'前提と出典'!$E$5</ns0:f>
        <ns0:v>10051.240409245562</ns0:v>
      </ns0:c>
      <ns0:c r="W74" s="7">
        <ns0:f>U74+V74</ns0:f>
        <ns0:v>121664.31027168318</ns0:v>
      </ns0:c>
      <ns0:c r="X74" s="16">
        <ns0:f>P74-E74*'前提と出典'!$E$6</ns0:f>
        <ns0:v>94015.95939975123</ns0:v>
      </ns0:c>
      <ns0:c r="Y74" s="16">
        <ns0:f>Q74-F74*'前提と出典'!$E$6</ns0:f>
        <ns0:v>4937.969916877359</ns0:v>
      </ns0:c>
      <ns0:c r="Z74" s="7">
        <ns0:f>X74+Y74</ns0:f>
        <ns0:v>98953.92931662858</ns0:v>
      </ns0:c>
      <ns0:c r="AA74" s="7">
        <ns0:f>IF(T74&gt;=0,A74,1001)</ns0:f>
        <ns0:v>70</ns0:v>
      </ns0:c>
      <ns0:c r="AB74" s="7">
        <ns0:f>IF(T74&lt;0,A74,0)</ns0:f>
        <ns0:v>0</ns0:v>
      </ns0:c>
      <ns0:c r="AC74" s="16">
        <ns0:f>IF(AND(OR('前提と出典'!$C$36+'前提と出典'!$C$38=0,R74&gt;=0),OR('前提と出典'!$C$37+'前提と出典'!$C$38=0,S74&gt;=0)),0,A74)</ns0:f>
        <ns0:v>0</ns0:v>
      </ns0:c>
      <ns0:c r="AD74" s="7">
        <ns0:f>IF(W74&gt;=0,A74,1001)</ns0:f>
        <ns0:v>70</ns0:v>
      </ns0:c>
      <ns0:c r="AE74" s="7">
        <ns0:f>IF(W74&lt;0,A74,0)</ns0:f>
        <ns0:v>0</ns0:v>
      </ns0:c>
      <ns0:c r="AF74" s="16">
        <ns0:f>IF(AND(OR('前提と出典'!$C$36+'前提と出典'!$C$38=0,U74&gt;=0),OR('前提と出典'!$C$37+'前提と出典'!$C$38=0,V74&gt;=0)),0,A74)</ns0:f>
        <ns0:v>0</ns0:v>
      </ns0:c>
      <ns0:c r="AG74" s="7">
        <ns0:f>IF(Z74&gt;=0,A74,1001)</ns0:f>
        <ns0:v>70</ns0:v>
      </ns0:c>
      <ns0:c r="AH74" s="4">
        <ns0:f>IF(Z74&lt;0,A74,0)</ns0:f>
        <ns0:v>0</ns0:v>
      </ns0:c>
      <ns0:c r="AI74" s="12">
        <ns0:f>IF(AND(OR('前提と出典'!$C$36+'前提と出典'!$C$38=0,X74&gt;=0),OR('前提と出典'!$C$37+'前提と出典'!$C$38=0,Y74&gt;=0)),0,A74)</ns0:f>
        <ns0:v>0</ns0:v>
      </ns0:c>
    </ns0:row>
    <ns0:row r="75" ht="24" customHeight="1">
      <ns0:c r="A75" s="4" t="n">
        <ns0:v>71</ns0:v>
      </ns0:c>
      <ns0:c r="B75" s="12">
        <ns0:f>A75*('前提と出典'!$C$36+'前提と出典'!$C$38)</ns0:f>
        <ns0:v>49.699999999999996</ns0:v>
      </ns0:c>
      <ns0:c r="C75" s="12">
        <ns0:f>A75*('前提と出典'!$C$37+'前提と出典'!$C$38)</ns0:f>
        <ns0:v>42.6</ns0:v>
      </ns0:c>
      <ns0:c r="D75" s="16">
        <ns0:f>A75*('前提と出典'!$C$36*'契約別単価'!C5+'前提と出典'!$C$37*'契約別単価'!C6+'前提と出典'!$C$38*'契約別単価'!C7)</ns0:f>
        <ns0:v>510.8826815642458</ns0:v>
      </ns0:c>
      <ns0:c r="E75" s="16">
        <ns0:f>A75*('前提と出典'!$C$36*'契約別単価'!E5+'前提と出典'!$C$37*'契約別単価'!E6+'前提と出典'!$C$38*'契約別単価'!E7)</ns0:f>
        <ns0:v>178484.97755010484</ns0:v>
      </ns0:c>
      <ns0:c r="F75" s="16">
        <ns0:f>A75*('前提と出典'!$C$36*'契約別単価'!F5+'前提と出典'!$C$37*'契約別単価'!F6+'前提と出典'!$C$38*'契約別単価'!F7)</ns0:f>
        <ns0:v>51863.17213687753</ns0:v>
      </ns0:c>
      <ns0:c r="G75" s="16">
        <ns0:f>A75*('前提と出典'!$C$36*'契約別単価'!G5+'前提と出典'!$C$37*'契約別単価'!G6+'前提と出典'!$C$38*'契約別単価'!G7)</ns0:f>
        <ns0:v>141325.69832402235</ns0:v>
      </ns0:c>
      <ns0:c r="H75" s="16">
        <ns0:f>A75*('前提と出典'!$C$36*'契約別単価'!H5+'前提と出典'!$C$37*'契約別単価'!H6+'前提と出典'!$C$38*'契約別単価'!H7)</ns0:f>
        <ns0:v>49047.10535919821</ns0:v>
      </ns0:c>
      <ns0:c r="I75" s="16">
        <ns0:f>A75*('前提と出典'!$C$36*'契約別単価'!I5+'前提と出典'!$C$37*'契約別単価'!I6+'前提と出典'!$C$38*'契約別単価'!I7)</ns0:f>
        <ns0:v>2995.882681564245</ns0:v>
      </ns0:c>
      <ns0:c r="J75" s="16">
        <ns0:f>A75*('前提と出典'!$C$36*'契約別単価'!J5+'前提と出典'!$C$37*'契約別単価'!J6+'前提と出典'!$C$38*'契約別単価'!J7)</ns0:f>
        <ns0:v>6978.557603431483</ns0:v>
      </ns0:c>
      <ns0:c r="K75" s="16">
        <ns0:f>A75*('前提と出典'!$C$36*'契約別単価'!K5+'前提と出典'!$C$37*'契約別単価'!K6+'前提と出典'!$C$38*'契約別単価'!K7)</ns0:f>
        <ns0:v>29912.551210428304</ns0:v>
      </ns0:c>
      <ns0:c r="L75" s="16">
        <ns0:f>A75*('前提と出典'!$C$36*'契約別単価'!L5+'前提と出典'!$C$37*'契約別単価'!L6+'前提と出典'!$C$38*'契約別単価'!L7)</ns0:f>
        <ns0:v>24354.903511973273</ns0:v>
      </ns0:c>
      <ns0:c r="M75" s="16">
        <ns0:f>IF(('前提と出典'!$C$36+'前提と出典'!$C$38)=0,0,IF(B75&lt;=10,'前提と出典'!B73+'前提と出典'!C73,IF(B75&lt;=100,'前提と出典'!B74+'前提と出典'!C74,IF(B75&lt;=500,'前提と出典'!B75+'前提と出典'!C75,'前提と出典'!B76+'前提と出典'!C76))))</ns0:f>
        <ns0:v>20000</ns0:v>
      </ns0:c>
      <ns0:c r="N75" s="16">
        <ns0:f>IF(('前提と出典'!$C$37+'前提と出典'!$C$38)=0,0,IF(C75&lt;=10,'前提と出典'!D73+'前提と出典'!E73,IF(C75&lt;=100,'前提と出典'!D74+'前提と出典'!E74,IF(C75&lt;=500,'前提と出典'!D75+'前提と出典'!E75,'前提と出典'!D76+'前提と出典'!E76))))</ns0:f>
        <ns0:v>34510.9346263078</ns0:v>
      </ns0:c>
      <ns0:c r="O75" s="16">
        <ns0:f>IF('前提と出典'!$C$36+'前提と出典'!$C$38=0,0,'前提と出典'!$B$4*IF('前提と出典'!$B$20=0,MAX('前提と出典'!$B$6,D75*'前提と出典'!$B$5),'前提と出典'!$B$6+D75*'前提と出典'!$B$5))</ns0:f>
        <ns0:v>70501.81005586592</ns0:v>
      </ns0:c>
      <ns0:c r="P75" s="16">
        <ns0:f>(E75+G75)*(1-'前提と出典'!$B$7)-I75-K75-M75-O75</ns0:f>
        <ns0:v>184887.24759480017</ns0:v>
      </ns0:c>
      <ns0:c r="Q75" s="16">
        <ns0:f>(F75+H75)*(1-'前提と出典'!$B$7)-J75-L75-N75</ns0:f>
        <ns0:v>31433.11176450446</ns0:v>
      </ns0:c>
      <ns0:c r="R75" s="16">
        <ns0:f>P75-E75*'前提と出典'!$E$4</ns0:f>
        <ns0:v>131341.7543297687</ns0:v>
      </ns0:c>
      <ns0:c r="S75" s="16">
        <ns0:f>Q75-F75*'前提と出典'!$E$4</ns0:f>
        <ns0:v>15874.160123441201</ns0:v>
      </ns0:c>
      <ns0:c r="T75" s="7">
        <ns0:f>R75+S75</ns0:f>
        <ns0:v>147215.9144532099</ns0:v>
      </ns0:c>
      <ns0:c r="U75" s="16">
        <ns0:f>P75-E75*'前提と出典'!$E$5</ns0:f>
        <ns0:v>113493.25657475823</ns0:v>
      </ns0:c>
      <ns0:c r="V75" s="16">
        <ns0:f>Q75-F75*'前提と出典'!$E$5</ns0:f>
        <ns0:v>10687.842909753446</ns0:v>
      </ns0:c>
      <ns0:c r="W75" s="7">
        <ns0:f>U75+V75</ns0:f>
        <ns0:v>124181.09948451168</ns0:v>
      </ns0:c>
      <ns0:c r="X75" s="16">
        <ns0:f>P75-E75*'前提と出典'!$E$6</ns0:f>
        <ns0:v>95644.75881974773</ns0:v>
      </ns0:c>
      <ns0:c r="Y75" s="16">
        <ns0:f>Q75-F75*'前提と出典'!$E$6</ns0:f>
        <ns0:v>5501.525696065699</ns0:v>
      </ns0:c>
      <ns0:c r="Z75" s="7">
        <ns0:f>X75+Y75</ns0:f>
        <ns0:v>101146.28451581343</ns0:v>
      </ns0:c>
      <ns0:c r="AA75" s="7">
        <ns0:f>IF(T75&gt;=0,A75,1001)</ns0:f>
        <ns0:v>71</ns0:v>
      </ns0:c>
      <ns0:c r="AB75" s="7">
        <ns0:f>IF(T75&lt;0,A75,0)</ns0:f>
        <ns0:v>0</ns0:v>
      </ns0:c>
      <ns0:c r="AC75" s="16">
        <ns0:f>IF(AND(OR('前提と出典'!$C$36+'前提と出典'!$C$38=0,R75&gt;=0),OR('前提と出典'!$C$37+'前提と出典'!$C$38=0,S75&gt;=0)),0,A75)</ns0:f>
        <ns0:v>0</ns0:v>
      </ns0:c>
      <ns0:c r="AD75" s="7">
        <ns0:f>IF(W75&gt;=0,A75,1001)</ns0:f>
        <ns0:v>71</ns0:v>
      </ns0:c>
      <ns0:c r="AE75" s="7">
        <ns0:f>IF(W75&lt;0,A75,0)</ns0:f>
        <ns0:v>0</ns0:v>
      </ns0:c>
      <ns0:c r="AF75" s="16">
        <ns0:f>IF(AND(OR('前提と出典'!$C$36+'前提と出典'!$C$38=0,U75&gt;=0),OR('前提と出典'!$C$37+'前提と出典'!$C$38=0,V75&gt;=0)),0,A75)</ns0:f>
        <ns0:v>0</ns0:v>
      </ns0:c>
      <ns0:c r="AG75" s="7">
        <ns0:f>IF(Z75&gt;=0,A75,1001)</ns0:f>
        <ns0:v>71</ns0:v>
      </ns0:c>
      <ns0:c r="AH75" s="4">
        <ns0:f>IF(Z75&lt;0,A75,0)</ns0:f>
        <ns0:v>0</ns0:v>
      </ns0:c>
      <ns0:c r="AI75" s="12">
        <ns0:f>IF(AND(OR('前提と出典'!$C$36+'前提と出典'!$C$38=0,X75&gt;=0),OR('前提と出典'!$C$37+'前提と出典'!$C$38=0,Y75&gt;=0)),0,A75)</ns0:f>
        <ns0:v>0</ns0:v>
      </ns0:c>
    </ns0:row>
    <ns0:row r="76" ht="24" customHeight="1">
      <ns0:c r="A76" s="4" t="n">
        <ns0:v>72</ns0:v>
      </ns0:c>
      <ns0:c r="B76" s="12">
        <ns0:f>A76*('前提と出典'!$C$36+'前提と出典'!$C$38)</ns0:f>
        <ns0:v>50.4</ns0:v>
      </ns0:c>
      <ns0:c r="C76" s="12">
        <ns0:f>A76*('前提と出典'!$C$37+'前提と出典'!$C$38)</ns0:f>
        <ns0:v>43.199999999999996</ns0:v>
      </ns0:c>
      <ns0:c r="D76" s="16">
        <ns0:f>A76*('前提と出典'!$C$36*'契約別単価'!C5+'前提と出典'!$C$37*'契約別単価'!C6+'前提と出典'!$C$38*'契約別単価'!C7)</ns0:f>
        <ns0:v>518.0782122905027</ns0:v>
      </ns0:c>
      <ns0:c r="E76" s="16">
        <ns0:f>A76*('前提と出典'!$C$36*'契約別単価'!E5+'前提と出典'!$C$37*'契約別単価'!E6+'前提と出典'!$C$38*'契約別単価'!E7)</ns0:f>
        <ns0:v>180998.85047334575</ns0:v>
      </ns0:c>
      <ns0:c r="F76" s="16">
        <ns0:f>A76*('前提と出典'!$C$36*'契約別単価'!F5+'前提と出典'!$C$37*'契約別単価'!F6+'前提と出典'!$C$38*'契約別単価'!F7)</ns0:f>
        <ns0:v>52593.63935007299</ns0:v>
      </ns0:c>
      <ns0:c r="G76" s="16">
        <ns0:f>A76*('前提と出典'!$C$36*'契約別単価'!G5+'前提と出典'!$C$37*'契約別単価'!G6+'前提と出典'!$C$38*'契約別単価'!G7)</ns0:f>
        <ns0:v>143316.20111731841</ns0:v>
      </ns0:c>
      <ns0:c r="H76" s="16">
        <ns0:f>A76*('前提と出典'!$C$36*'契約別単価'!H5+'前提と出典'!$C$37*'契約別単価'!H6+'前提と出典'!$C$38*'契約別単価'!H7)</ns0:f>
        <ns0:v>49737.90966003199</ns0:v>
      </ns0:c>
      <ns0:c r="I76" s="16">
        <ns0:f>A76*('前提と出典'!$C$36*'契約別単価'!I5+'前提と出典'!$C$37*'契約別単価'!I6+'前提と出典'!$C$38*'契約別単価'!I7)</ns0:f>
        <ns0:v>3038.078212290502</ns0:v>
      </ns0:c>
      <ns0:c r="J76" s="16">
        <ns0:f>A76*('前提と出典'!$C$36*'契約別単価'!J5+'前提と出典'!$C$37*'契約別単価'!J6+'前提と出典'!$C$38*'契約別単価'!J7)</ns0:f>
        <ns0:v>7076.847147141785</ns0:v>
      </ns0:c>
      <ns0:c r="K76" s="16">
        <ns0:f>A76*('前提と出典'!$C$36*'契約別単価'!K5+'前提と出典'!$C$37*'契約別単価'!K6+'前提と出典'!$C$38*'契約別単価'!K7)</ns0:f>
        <ns0:v>30333.85474860335</ns0:v>
      </ns0:c>
      <ns0:c r="L76" s="16">
        <ns0:f>A76*('前提と出典'!$C$36*'契約別単価'!L5+'前提と出典'!$C$37*'契約別単価'!L6+'前提と出典'!$C$38*'契約別単価'!L7)</ns0:f>
        <ns0:v>24697.930322001066</ns0:v>
      </ns0:c>
      <ns0:c r="M76" s="16">
        <ns0:f>IF(('前提と出典'!$C$36+'前提と出典'!$C$38)=0,0,IF(B76&lt;=10,'前提と出典'!B73+'前提と出典'!C73,IF(B76&lt;=100,'前提と出典'!B74+'前提と出典'!C74,IF(B76&lt;=500,'前提と出典'!B75+'前提と出典'!C75,'前提と出典'!B76+'前提と出典'!C76))))</ns0:f>
        <ns0:v>20000</ns0:v>
      </ns0:c>
      <ns0:c r="N76" s="16">
        <ns0:f>IF(('前提と出典'!$C$37+'前提と出典'!$C$38)=0,0,IF(C76&lt;=10,'前提と出典'!D73+'前提と出典'!E73,IF(C76&lt;=100,'前提と出典'!D74+'前提と出典'!E74,IF(C76&lt;=500,'前提と出典'!D75+'前提と出典'!E75,'前提と出典'!D76+'前提と出典'!E76))))</ns0:f>
        <ns0:v>34510.9346263078</ns0:v>
      </ns0:c>
      <ns0:c r="O76" s="16">
        <ns0:f>IF('前提と出典'!$C$36+'前提と出典'!$C$38=0,0,'前提と出典'!$B$4*IF('前提と出典'!$B$20=0,MAX('前提と出典'!$B$6,D76*'前提と出典'!$B$5),'前提と出典'!$B$6+D76*'前提と出典'!$B$5))</ns0:f>
        <ns0:v>71494.79329608938</ns0:v>
      </ns0:c>
      <ns0:c r="P76" s="16">
        <ns0:f>(E76+G76)*(1-'前提と出典'!$B$7)-I76-K76-M76-O76</ns0:f>
        <ns0:v>187772.98347641702</ns0:v>
      </ns0:c>
      <ns0:c r="Q76" s="16">
        <ns0:f>(F76+H76)*(1-'前提と出典'!$B$7)-J76-L76-N76</ns0:f>
        <ns0:v>32361.901150290556</ns0:v>
      </ns0:c>
      <ns0:c r="R76" s="16">
        <ns0:f>P76-E76*'前提と出典'!$E$4</ns0:f>
        <ns0:v>133473.3283344133</ns0:v>
      </ns0:c>
      <ns0:c r="S76" s="16">
        <ns0:f>Q76-F76*'前提と出典'!$E$4</ns0:f>
        <ns0:v>16583.80934526865</ns0:v>
      </ns0:c>
      <ns0:c r="T76" s="7">
        <ns0:f>R76+S76</ns0:f>
        <ns0:v>150057.13767968194</ns0:v>
      </ns0:c>
      <ns0:c r="U76" s="16">
        <ns0:f>P76-E76*'前提と出典'!$E$5</ns0:f>
        <ns0:v>115373.44328707871</ns0:v>
      </ns0:c>
      <ns0:c r="V76" s="16">
        <ns0:f>Q76-F76*'前提と出典'!$E$5</ns0:f>
        <ns0:v>11324.44541026136</ns0:v>
      </ns0:c>
      <ns0:c r="W76" s="7">
        <ns0:f>U76+V76</ns0:f>
        <ns0:v>126697.88869734007</ns0:v>
      </ns0:c>
      <ns0:c r="X76" s="16">
        <ns0:f>P76-E76*'前提と出典'!$E$6</ns0:f>
        <ns0:v>97273.55823974418</ns0:v>
      </ns0:c>
      <ns0:c r="Y76" s="16">
        <ns0:f>Q76-F76*'前提と出典'!$E$6</ns0:f>
        <ns0:v>6065.081475254068</ns0:v>
      </ns0:c>
      <ns0:c r="Z76" s="7">
        <ns0:f>X76+Y76</ns0:f>
        <ns0:v>103338.63971499825</ns0:v>
      </ns0:c>
      <ns0:c r="AA76" s="7">
        <ns0:f>IF(T76&gt;=0,A76,1001)</ns0:f>
        <ns0:v>72</ns0:v>
      </ns0:c>
      <ns0:c r="AB76" s="7">
        <ns0:f>IF(T76&lt;0,A76,0)</ns0:f>
        <ns0:v>0</ns0:v>
      </ns0:c>
      <ns0:c r="AC76" s="16">
        <ns0:f>IF(AND(OR('前提と出典'!$C$36+'前提と出典'!$C$38=0,R76&gt;=0),OR('前提と出典'!$C$37+'前提と出典'!$C$38=0,S76&gt;=0)),0,A76)</ns0:f>
        <ns0:v>0</ns0:v>
      </ns0:c>
      <ns0:c r="AD76" s="7">
        <ns0:f>IF(W76&gt;=0,A76,1001)</ns0:f>
        <ns0:v>72</ns0:v>
      </ns0:c>
      <ns0:c r="AE76" s="7">
        <ns0:f>IF(W76&lt;0,A76,0)</ns0:f>
        <ns0:v>0</ns0:v>
      </ns0:c>
      <ns0:c r="AF76" s="16">
        <ns0:f>IF(AND(OR('前提と出典'!$C$36+'前提と出典'!$C$38=0,U76&gt;=0),OR('前提と出典'!$C$37+'前提と出典'!$C$38=0,V76&gt;=0)),0,A76)</ns0:f>
        <ns0:v>0</ns0:v>
      </ns0:c>
      <ns0:c r="AG76" s="7">
        <ns0:f>IF(Z76&gt;=0,A76,1001)</ns0:f>
        <ns0:v>72</ns0:v>
      </ns0:c>
      <ns0:c r="AH76" s="4">
        <ns0:f>IF(Z76&lt;0,A76,0)</ns0:f>
        <ns0:v>0</ns0:v>
      </ns0:c>
      <ns0:c r="AI76" s="12">
        <ns0:f>IF(AND(OR('前提と出典'!$C$36+'前提と出典'!$C$38=0,X76&gt;=0),OR('前提と出典'!$C$37+'前提と出典'!$C$38=0,Y76&gt;=0)),0,A76)</ns0:f>
        <ns0:v>0</ns0:v>
      </ns0:c>
    </ns0:row>
    <ns0:row r="77" ht="24" customHeight="1">
      <ns0:c r="A77" s="4" t="n">
        <ns0:v>73</ns0:v>
      </ns0:c>
      <ns0:c r="B77" s="12">
        <ns0:f>A77*('前提と出典'!$C$36+'前提と出典'!$C$38)</ns0:f>
        <ns0:v>51.099999999999994</ns0:v>
      </ns0:c>
      <ns0:c r="C77" s="12">
        <ns0:f>A77*('前提と出典'!$C$37+'前提と出典'!$C$38)</ns0:f>
        <ns0:v>43.8</ns0:v>
      </ns0:c>
      <ns0:c r="D77" s="16">
        <ns0:f>A77*('前提と出典'!$C$36*'契約別単価'!C5+'前提と出典'!$C$37*'契約別単価'!C6+'前提と出典'!$C$38*'契約別単価'!C7)</ns0:f>
        <ns0:v>525.2737430167598</ns0:v>
      </ns0:c>
      <ns0:c r="E77" s="16">
        <ns0:f>A77*('前提と出典'!$C$36*'契約別単価'!E5+'前提と出典'!$C$37*'契約別単価'!E6+'前提と出典'!$C$38*'契約別単価'!E7)</ns0:f>
        <ns0:v>183512.72339658666</ns0:v>
      </ns0:c>
      <ns0:c r="F77" s="16">
        <ns0:f>A77*('前提と出典'!$C$36*'契約別単価'!F5+'前提と出典'!$C$37*'契約別単価'!F6+'前提と出典'!$C$38*'契約別単価'!F7)</ns0:f>
        <ns0:v>53324.10656326845</ns0:v>
      </ns0:c>
      <ns0:c r="G77" s="16">
        <ns0:f>A77*('前提と出典'!$C$36*'契約別単価'!G5+'前提と出典'!$C$37*'契約別単価'!G6+'前提と出典'!$C$38*'契約別単価'!G7)</ns0:f>
        <ns0:v>145306.7039106145</ns0:v>
      </ns0:c>
      <ns0:c r="H77" s="16">
        <ns0:f>A77*('前提と出典'!$C$36*'契約別単価'!H5+'前提と出典'!$C$37*'契約別単価'!H6+'前提と出典'!$C$38*'契約別単価'!H7)</ns0:f>
        <ns0:v>50428.713960865774</ns0:v>
      </ns0:c>
      <ns0:c r="I77" s="16">
        <ns0:f>A77*('前提と出典'!$C$36*'契約別単価'!I5+'前提と出典'!$C$37*'契約別単価'!I6+'前提と出典'!$C$38*'契約別単価'!I7)</ns0:f>
        <ns0:v>3080.2737430167595</ns0:v>
      </ns0:c>
      <ns0:c r="J77" s="16">
        <ns0:f>A77*('前提と出典'!$C$36*'契約別単価'!J5+'前提と出典'!$C$37*'契約別単価'!J6+'前提と出典'!$C$38*'契約別単価'!J7)</ns0:f>
        <ns0:v>7175.136690852088</ns0:v>
      </ns0:c>
      <ns0:c r="K77" s="16">
        <ns0:f>A77*('前提と出典'!$C$36*'契約別単価'!K5+'前提と出典'!$C$37*'契約別単価'!K6+'前提と出典'!$C$38*'契約別単価'!K7)</ns0:f>
        <ns0:v>30755.158286778398</ns0:v>
      </ns0:c>
      <ns0:c r="L77" s="16">
        <ns0:f>A77*('前提と出典'!$C$36*'契約別単価'!L5+'前提と出典'!$C$37*'契約別単価'!L6+'前提と出典'!$C$38*'契約別単価'!L7)</ns0:f>
        <ns0:v>25040.95713202886</ns0:v>
      </ns0:c>
      <ns0:c r="M77" s="16">
        <ns0:f>IF(('前提と出典'!$C$36+'前提と出典'!$C$38)=0,0,IF(B77&lt;=10,'前提と出典'!B73+'前提と出典'!C73,IF(B77&lt;=100,'前提と出典'!B74+'前提と出典'!C74,IF(B77&lt;=500,'前提と出典'!B75+'前提と出典'!C75,'前提と出典'!B76+'前提と出典'!C76))))</ns0:f>
        <ns0:v>20000</ns0:v>
      </ns0:c>
      <ns0:c r="N77" s="16">
        <ns0:f>IF(('前提と出典'!$C$37+'前提と出典'!$C$38)=0,0,IF(C77&lt;=10,'前提と出典'!D73+'前提と出典'!E73,IF(C77&lt;=100,'前提と出典'!D74+'前提と出典'!E74,IF(C77&lt;=500,'前提と出典'!D75+'前提と出典'!E75,'前提と出典'!D76+'前提と出典'!E76))))</ns0:f>
        <ns0:v>34510.9346263078</ns0:v>
      </ns0:c>
      <ns0:c r="O77" s="16">
        <ns0:f>IF('前提と出典'!$C$36+'前提と出典'!$C$38=0,0,'前提と出典'!$B$4*IF('前提と出典'!$B$20=0,MAX('前提と出典'!$B$6,D77*'前提と出典'!$B$5),'前提と出典'!$B$6+D77*'前提と出典'!$B$5))</ns0:f>
        <ns0:v>72487.77653631286</ns0:v>
      </ns0:c>
      <ns0:c r="P77" s="16">
        <ns0:f>(E77+G77)*(1-'前提と出典'!$B$7)-I77-K77-M77-O77</ns0:f>
        <ns0:v>190658.71935803394</ns0:v>
      </ns0:c>
      <ns0:c r="Q77" s="16">
        <ns0:f>(F77+H77)*(1-'前提と出典'!$B$7)-J77-L77-N77</ns0:f>
        <ns0:v>33290.69053607665</ns0:v>
      </ns0:c>
      <ns0:c r="R77" s="16">
        <ns0:f>P77-E77*'前提と出典'!$E$4</ns0:f>
        <ns0:v>135604.90233905797</ns0:v>
      </ns0:c>
      <ns0:c r="S77" s="16">
        <ns0:f>Q77-F77*'前提と出典'!$E$4</ns0:f>
        <ns0:v>17293.458567096124</ns0:v>
      </ns0:c>
      <ns0:c r="T77" s="7">
        <ns0:f>R77+S77</ns0:f>
        <ns0:v>152898.3609061541</ns0:v>
      </ns0:c>
      <ns0:c r="U77" s="16">
        <ns0:f>P77-E77*'前提と出典'!$E$5</ns0:f>
        <ns0:v>117253.62999939927</ns0:v>
      </ns0:c>
      <ns0:c r="V77" s="16">
        <ns0:f>Q77-F77*'前提と出典'!$E$5</ns0:f>
        <ns0:v>11961.047910769266</ns0:v>
      </ns0:c>
      <ns0:c r="W77" s="7">
        <ns0:f>U77+V77</ns0:f>
        <ns0:v>129214.67791016854</ns0:v>
      </ns0:c>
      <ns0:c r="X77" s="16">
        <ns0:f>P77-E77*'前提と出典'!$E$6</ns0:f>
        <ns0:v>98902.3576597406</ns0:v>
      </ns0:c>
      <ns0:c r="Y77" s="16">
        <ns0:f>Q77-F77*'前提と出典'!$E$6</ns0:f>
        <ns0:v>6628.637254442438</ns0:v>
      </ns0:c>
      <ns0:c r="Z77" s="7">
        <ns0:f>X77+Y77</ns0:f>
        <ns0:v>105530.99491418304</ns0:v>
      </ns0:c>
      <ns0:c r="AA77" s="7">
        <ns0:f>IF(T77&gt;=0,A77,1001)</ns0:f>
        <ns0:v>73</ns0:v>
      </ns0:c>
      <ns0:c r="AB77" s="7">
        <ns0:f>IF(T77&lt;0,A77,0)</ns0:f>
        <ns0:v>0</ns0:v>
      </ns0:c>
      <ns0:c r="AC77" s="16">
        <ns0:f>IF(AND(OR('前提と出典'!$C$36+'前提と出典'!$C$38=0,R77&gt;=0),OR('前提と出典'!$C$37+'前提と出典'!$C$38=0,S77&gt;=0)),0,A77)</ns0:f>
        <ns0:v>0</ns0:v>
      </ns0:c>
      <ns0:c r="AD77" s="7">
        <ns0:f>IF(W77&gt;=0,A77,1001)</ns0:f>
        <ns0:v>73</ns0:v>
      </ns0:c>
      <ns0:c r="AE77" s="7">
        <ns0:f>IF(W77&lt;0,A77,0)</ns0:f>
        <ns0:v>0</ns0:v>
      </ns0:c>
      <ns0:c r="AF77" s="16">
        <ns0:f>IF(AND(OR('前提と出典'!$C$36+'前提と出典'!$C$38=0,U77&gt;=0),OR('前提と出典'!$C$37+'前提と出典'!$C$38=0,V77&gt;=0)),0,A77)</ns0:f>
        <ns0:v>0</ns0:v>
      </ns0:c>
      <ns0:c r="AG77" s="7">
        <ns0:f>IF(Z77&gt;=0,A77,1001)</ns0:f>
        <ns0:v>73</ns0:v>
      </ns0:c>
      <ns0:c r="AH77" s="4">
        <ns0:f>IF(Z77&lt;0,A77,0)</ns0:f>
        <ns0:v>0</ns0:v>
      </ns0:c>
      <ns0:c r="AI77" s="12">
        <ns0:f>IF(AND(OR('前提と出典'!$C$36+'前提と出典'!$C$38=0,X77&gt;=0),OR('前提と出典'!$C$37+'前提と出典'!$C$38=0,Y77&gt;=0)),0,A77)</ns0:f>
        <ns0:v>0</ns0:v>
      </ns0:c>
    </ns0:row>
    <ns0:row r="78" ht="24" customHeight="1">
      <ns0:c r="A78" s="4" t="n">
        <ns0:v>74</ns0:v>
      </ns0:c>
      <ns0:c r="B78" s="12">
        <ns0:f>A78*('前提と出典'!$C$36+'前提と出典'!$C$38)</ns0:f>
        <ns0:v>51.8</ns0:v>
      </ns0:c>
      <ns0:c r="C78" s="12">
        <ns0:f>A78*('前提と出典'!$C$37+'前提と出典'!$C$38)</ns0:f>
        <ns0:v>44.4</ns0:v>
      </ns0:c>
      <ns0:c r="D78" s="16">
        <ns0:f>A78*('前提と出典'!$C$36*'契約別単価'!C5+'前提と出典'!$C$37*'契約別単価'!C6+'前提と出典'!$C$38*'契約別単価'!C7)</ns0:f>
        <ns0:v>532.4692737430167</ns0:v>
      </ns0:c>
      <ns0:c r="E78" s="16">
        <ns0:f>A78*('前提と出典'!$C$36*'契約別単価'!E5+'前提と出典'!$C$37*'契約別単価'!E6+'前提と出典'!$C$38*'契約別単価'!E7)</ns0:f>
        <ns0:v>186026.59631982757</ns0:v>
      </ns0:c>
      <ns0:c r="F78" s="16">
        <ns0:f>A78*('前提と出典'!$C$36*'契約別単価'!F5+'前提と出典'!$C$37*'契約別単価'!F6+'前提と出典'!$C$38*'契約別単価'!F7)</ns0:f>
        <ns0:v>54054.573776463905</ns0:v>
      </ns0:c>
      <ns0:c r="G78" s="16">
        <ns0:f>A78*('前提と出典'!$C$36*'契約別単価'!G5+'前提と出典'!$C$37*'契約別単価'!G6+'前提と出典'!$C$38*'契約別単価'!G7)</ns0:f>
        <ns0:v>147297.2067039106</ns0:v>
      </ns0:c>
      <ns0:c r="H78" s="16">
        <ns0:f>A78*('前提と出典'!$C$36*'契約別単価'!H5+'前提と出典'!$C$37*'契約別単価'!H6+'前提と出典'!$C$38*'契約別単価'!H7)</ns0:f>
        <ns0:v>51119.51826169955</ns0:v>
      </ns0:c>
      <ns0:c r="I78" s="16">
        <ns0:f>A78*('前提と出典'!$C$36*'契約別単価'!I5+'前提と出典'!$C$37*'契約別単価'!I6+'前提と出典'!$C$38*'契約別単価'!I7)</ns0:f>
        <ns0:v>3122.4692737430164</ns0:v>
      </ns0:c>
      <ns0:c r="J78" s="16">
        <ns0:f>A78*('前提と出典'!$C$36*'契約別単価'!J5+'前提と出典'!$C$37*'契約別単価'!J6+'前提と出典'!$C$38*'契約別単価'!J7)</ns0:f>
        <ns0:v>7273.42623456239</ns0:v>
      </ns0:c>
      <ns0:c r="K78" s="16">
        <ns0:f>A78*('前提と出典'!$C$36*'契約別単価'!K5+'前提と出典'!$C$37*'契約別単価'!K6+'前提と出典'!$C$38*'契約別単価'!K7)</ns0:f>
        <ns0:v>31176.461824953443</ns0:v>
      </ns0:c>
      <ns0:c r="L78" s="16">
        <ns0:f>A78*('前提と出典'!$C$36*'契約別単価'!L5+'前提と出典'!$C$37*'契約別単価'!L6+'前提と出典'!$C$38*'契約別単価'!L7)</ns0:f>
        <ns0:v>25383.98394205665</ns0:v>
      </ns0:c>
      <ns0:c r="M78" s="16">
        <ns0:f>IF(('前提と出典'!$C$36+'前提と出典'!$C$38)=0,0,IF(B78&lt;=10,'前提と出典'!B73+'前提と出典'!C73,IF(B78&lt;=100,'前提と出典'!B74+'前提と出典'!C74,IF(B78&lt;=500,'前提と出典'!B75+'前提と出典'!C75,'前提と出典'!B76+'前提と出典'!C76))))</ns0:f>
        <ns0:v>20000</ns0:v>
      </ns0:c>
      <ns0:c r="N78" s="16">
        <ns0:f>IF(('前提と出典'!$C$37+'前提と出典'!$C$38)=0,0,IF(C78&lt;=10,'前提と出典'!D73+'前提と出典'!E73,IF(C78&lt;=100,'前提と出典'!D74+'前提と出典'!E74,IF(C78&lt;=500,'前提と出典'!D75+'前提と出典'!E75,'前提と出典'!D76+'前提と出典'!E76))))</ns0:f>
        <ns0:v>34510.9346263078</ns0:v>
      </ns0:c>
      <ns0:c r="O78" s="16">
        <ns0:f>IF('前提と出典'!$C$36+'前提と出典'!$C$38=0,0,'前提と出典'!$B$4*IF('前提と出典'!$B$20=0,MAX('前提と出典'!$B$6,D78*'前提と出典'!$B$5),'前提と出典'!$B$6+D78*'前提と出典'!$B$5))</ns0:f>
        <ns0:v>73480.75977653632</ns0:v>
      </ns0:c>
      <ns0:c r="P78" s="16">
        <ns0:f>(E78+G78)*(1-'前提と出典'!$B$7)-I78-K78-M78-O78</ns0:f>
        <ns0:v>193544.45523965085</ns0:v>
      </ns0:c>
      <ns0:c r="Q78" s="16">
        <ns0:f>(F78+H78)*(1-'前提と出典'!$B$7)-J78-L78-N78</ns0:f>
        <ns0:v>34219.47992186273</ns0:v>
      </ns0:c>
      <ns0:c r="R78" s="16">
        <ns0:f>P78-E78*'前提と出典'!$E$4</ns0:f>
        <ns0:v>137736.47634370258</ns0:v>
      </ns0:c>
      <ns0:c r="S78" s="16">
        <ns0:f>Q78-F78*'前提と出典'!$E$4</ns0:f>
        <ns0:v>18003.10778892356</ns0:v>
      </ns0:c>
      <ns0:c r="T78" s="7">
        <ns0:f>R78+S78</ns0:f>
        <ns0:v>155739.58413262613</ns0:v>
      </ns0:c>
      <ns0:c r="U78" s="16">
        <ns0:f>P78-E78*'前提と出典'!$E$5</ns0:f>
        <ns0:v>119133.81671171982</ns0:v>
      </ns0:c>
      <ns0:c r="V78" s="16">
        <ns0:f>Q78-F78*'前提と出典'!$E$5</ns0:f>
        <ns0:v>12597.650411277165</ns0:v>
      </ns0:c>
      <ns0:c r="W78" s="7">
        <ns0:f>U78+V78</ns0:f>
        <ns0:v>131731.46712299698</ns0:v>
      </ns0:c>
      <ns0:c r="X78" s="16">
        <ns0:f>P78-E78*'前提と出典'!$E$6</ns0:f>
        <ns0:v>100531.15707973705</ns0:v>
      </ns0:c>
      <ns0:c r="Y78" s="16">
        <ns0:f>Q78-F78*'前提と出典'!$E$6</ns0:f>
        <ns0:v>7192.1930336307705</ns0:v>
      </ns0:c>
      <ns0:c r="Z78" s="7">
        <ns0:f>X78+Y78</ns0:f>
        <ns0:v>107723.35011336782</ns0:v>
      </ns0:c>
      <ns0:c r="AA78" s="7">
        <ns0:f>IF(T78&gt;=0,A78,1001)</ns0:f>
        <ns0:v>74</ns0:v>
      </ns0:c>
      <ns0:c r="AB78" s="7">
        <ns0:f>IF(T78&lt;0,A78,0)</ns0:f>
        <ns0:v>0</ns0:v>
      </ns0:c>
      <ns0:c r="AC78" s="16">
        <ns0:f>IF(AND(OR('前提と出典'!$C$36+'前提と出典'!$C$38=0,R78&gt;=0),OR('前提と出典'!$C$37+'前提と出典'!$C$38=0,S78&gt;=0)),0,A78)</ns0:f>
        <ns0:v>0</ns0:v>
      </ns0:c>
      <ns0:c r="AD78" s="7">
        <ns0:f>IF(W78&gt;=0,A78,1001)</ns0:f>
        <ns0:v>74</ns0:v>
      </ns0:c>
      <ns0:c r="AE78" s="7">
        <ns0:f>IF(W78&lt;0,A78,0)</ns0:f>
        <ns0:v>0</ns0:v>
      </ns0:c>
      <ns0:c r="AF78" s="16">
        <ns0:f>IF(AND(OR('前提と出典'!$C$36+'前提と出典'!$C$38=0,U78&gt;=0),OR('前提と出典'!$C$37+'前提と出典'!$C$38=0,V78&gt;=0)),0,A78)</ns0:f>
        <ns0:v>0</ns0:v>
      </ns0:c>
      <ns0:c r="AG78" s="7">
        <ns0:f>IF(Z78&gt;=0,A78,1001)</ns0:f>
        <ns0:v>74</ns0:v>
      </ns0:c>
      <ns0:c r="AH78" s="4">
        <ns0:f>IF(Z78&lt;0,A78,0)</ns0:f>
        <ns0:v>0</ns0:v>
      </ns0:c>
      <ns0:c r="AI78" s="12">
        <ns0:f>IF(AND(OR('前提と出典'!$C$36+'前提と出典'!$C$38=0,X78&gt;=0),OR('前提と出典'!$C$37+'前提と出典'!$C$38=0,Y78&gt;=0)),0,A78)</ns0:f>
        <ns0:v>0</ns0:v>
      </ns0:c>
    </ns0:row>
    <ns0:row r="79" ht="24" customHeight="1">
      <ns0:c r="A79" s="4" t="n">
        <ns0:v>75</ns0:v>
      </ns0:c>
      <ns0:c r="B79" s="12">
        <ns0:f>A79*('前提と出典'!$C$36+'前提と出典'!$C$38)</ns0:f>
        <ns0:v>52.5</ns0:v>
      </ns0:c>
      <ns0:c r="C79" s="12">
        <ns0:f>A79*('前提と出典'!$C$37+'前提と出典'!$C$38)</ns0:f>
        <ns0:v>45</ns0:v>
      </ns0:c>
      <ns0:c r="D79" s="16">
        <ns0:f>A79*('前提と出典'!$C$36*'契約別単価'!C5+'前提と出典'!$C$37*'契約別単価'!C6+'前提と出典'!$C$38*'契約別単価'!C7)</ns0:f>
        <ns0:v>539.6648044692737</ns0:v>
      </ns0:c>
      <ns0:c r="E79" s="16">
        <ns0:f>A79*('前提と出典'!$C$36*'契約別単価'!E5+'前提と出典'!$C$37*'契約別単価'!E6+'前提と出典'!$C$38*'契約別単価'!E7)</ns0:f>
        <ns0:v>188540.46924306848</ns0:v>
      </ns0:c>
      <ns0:c r="F79" s="16">
        <ns0:f>A79*('前提と出典'!$C$36*'契約別単価'!F5+'前提と出典'!$C$37*'契約別単価'!F6+'前提と出典'!$C$38*'契約別単価'!F7)</ns0:f>
        <ns0:v>54785.04098965936</ns0:v>
      </ns0:c>
      <ns0:c r="G79" s="16">
        <ns0:f>A79*('前提と出典'!$C$36*'契約別単価'!G5+'前提と出典'!$C$37*'契約別単価'!G6+'前提と出典'!$C$38*'契約別単価'!G7)</ns0:f>
        <ns0:v>149287.7094972067</ns0:v>
      </ns0:c>
      <ns0:c r="H79" s="16">
        <ns0:f>A79*('前提と出典'!$C$36*'契約別単価'!H5+'前提と出典'!$C$37*'契約別単価'!H6+'前提と出典'!$C$38*'契約別単価'!H7)</ns0:f>
        <ns0:v>51810.32256253333</ns0:v>
      </ns0:c>
      <ns0:c r="I79" s="16">
        <ns0:f>A79*('前提と出典'!$C$36*'契約別単価'!I5+'前提と出典'!$C$37*'契約別単価'!I6+'前提と出典'!$C$38*'契約別単価'!I7)</ns0:f>
        <ns0:v>3164.6648044692733</ns0:v>
      </ns0:c>
      <ns0:c r="J79" s="16">
        <ns0:f>A79*('前提と出典'!$C$36*'契約別単価'!J5+'前提と出典'!$C$37*'契約別単価'!J6+'前提と出典'!$C$38*'契約別単価'!J7)</ns0:f>
        <ns0:v>7371.715778272693</ns0:v>
      </ns0:c>
      <ns0:c r="K79" s="16">
        <ns0:f>A79*('前提と出典'!$C$36*'契約別単価'!K5+'前提と出典'!$C$37*'契約別単価'!K6+'前提と出典'!$C$38*'契約別単価'!K7)</ns0:f>
        <ns0:v>31597.76536312849</ns0:v>
      </ns0:c>
      <ns0:c r="L79" s="16">
        <ns0:f>A79*('前提と出典'!$C$36*'契約別単価'!L5+'前提と出典'!$C$37*'契約別単価'!L6+'前提と出典'!$C$38*'契約別単価'!L7)</ns0:f>
        <ns0:v>25727.010752084443</ns0:v>
      </ns0:c>
      <ns0:c r="M79" s="16">
        <ns0:f>IF(('前提と出典'!$C$36+'前提と出典'!$C$38)=0,0,IF(B79&lt;=10,'前提と出典'!B73+'前提と出典'!C73,IF(B79&lt;=100,'前提と出典'!B74+'前提と出典'!C74,IF(B79&lt;=500,'前提と出典'!B75+'前提と出典'!C75,'前提と出典'!B76+'前提と出典'!C76))))</ns0:f>
        <ns0:v>20000</ns0:v>
      </ns0:c>
      <ns0:c r="N79" s="16">
        <ns0:f>IF(('前提と出典'!$C$37+'前提と出典'!$C$38)=0,0,IF(C79&lt;=10,'前提と出典'!D73+'前提と出典'!E73,IF(C79&lt;=100,'前提と出典'!D74+'前提と出典'!E74,IF(C79&lt;=500,'前提と出典'!D75+'前提と出典'!E75,'前提と出典'!D76+'前提と出典'!E76))))</ns0:f>
        <ns0:v>34510.9346263078</ns0:v>
      </ns0:c>
      <ns0:c r="O79" s="16">
        <ns0:f>IF('前提と出典'!$C$36+'前提と出典'!$C$38=0,0,'前提と出典'!$B$4*IF('前提と出典'!$B$20=0,MAX('前提と出典'!$B$6,D79*'前提と出典'!$B$5),'前提と出典'!$B$6+D79*'前提と出典'!$B$5))</ns0:f>
        <ns0:v>74473.74301675978</ns0:v>
      </ns0:c>
      <ns0:c r="P79" s="16">
        <ns0:f>(E79+G79)*(1-'前提と出典'!$B$7)-I79-K79-M79-O79</ns0:f>
        <ns0:v>196430.19112126774</ns0:v>
      </ns0:c>
      <ns0:c r="Q79" s="16">
        <ns0:f>(F79+H79)*(1-'前提と出典'!$B$7)-J79-L79-N79</ns0:f>
        <ns0:v>35148.269307648836</ns0:v>
      </ns0:c>
      <ns0:c r="R79" s="16">
        <ns0:f>P79-E79*'前提と出典'!$E$4</ns0:f>
        <ns0:v>139868.05034834723</ns0:v>
      </ns0:c>
      <ns0:c r="S79" s="16">
        <ns0:f>Q79-F79*'前提と出典'!$E$4</ns0:f>
        <ns0:v>18712.75701075102</ns0:v>
      </ns0:c>
      <ns0:c r="T79" s="7">
        <ns0:f>R79+S79</ns0:f>
        <ns0:v>158580.80735909825</ns0:v>
      </ns0:c>
      <ns0:c r="U79" s="16">
        <ns0:f>P79-E79*'前提と出典'!$E$5</ns0:f>
        <ns0:v>121014.00342404036</ns0:v>
      </ns0:c>
      <ns0:c r="V79" s="16">
        <ns0:f>Q79-F79*'前提と出典'!$E$5</ns0:f>
        <ns0:v>13234.252911785086</ns0:v>
      </ns0:c>
      <ns0:c r="W79" s="7">
        <ns0:f>U79+V79</ns0:f>
        <ns0:v>134248.25633582546</ns0:v>
      </ns0:c>
      <ns0:c r="X79" s="16">
        <ns0:f>P79-E79*'前提と出典'!$E$6</ns0:f>
        <ns0:v>102159.95649973353</ns0:v>
      </ns0:c>
      <ns0:c r="Y79" s="16">
        <ns0:f>Q79-F79*'前提と出典'!$E$6</ns0:f>
        <ns0:v>7755.74881281914</ns0:v>
      </ns0:c>
      <ns0:c r="Z79" s="7">
        <ns0:f>X79+Y79</ns0:f>
        <ns0:v>109915.70531255266</ns0:v>
      </ns0:c>
      <ns0:c r="AA79" s="7">
        <ns0:f>IF(T79&gt;=0,A79,1001)</ns0:f>
        <ns0:v>75</ns0:v>
      </ns0:c>
      <ns0:c r="AB79" s="7">
        <ns0:f>IF(T79&lt;0,A79,0)</ns0:f>
        <ns0:v>0</ns0:v>
      </ns0:c>
      <ns0:c r="AC79" s="16">
        <ns0:f>IF(AND(OR('前提と出典'!$C$36+'前提と出典'!$C$38=0,R79&gt;=0),OR('前提と出典'!$C$37+'前提と出典'!$C$38=0,S79&gt;=0)),0,A79)</ns0:f>
        <ns0:v>0</ns0:v>
      </ns0:c>
      <ns0:c r="AD79" s="7">
        <ns0:f>IF(W79&gt;=0,A79,1001)</ns0:f>
        <ns0:v>75</ns0:v>
      </ns0:c>
      <ns0:c r="AE79" s="7">
        <ns0:f>IF(W79&lt;0,A79,0)</ns0:f>
        <ns0:v>0</ns0:v>
      </ns0:c>
      <ns0:c r="AF79" s="16">
        <ns0:f>IF(AND(OR('前提と出典'!$C$36+'前提と出典'!$C$38=0,U79&gt;=0),OR('前提と出典'!$C$37+'前提と出典'!$C$38=0,V79&gt;=0)),0,A79)</ns0:f>
        <ns0:v>0</ns0:v>
      </ns0:c>
      <ns0:c r="AG79" s="7">
        <ns0:f>IF(Z79&gt;=0,A79,1001)</ns0:f>
        <ns0:v>75</ns0:v>
      </ns0:c>
      <ns0:c r="AH79" s="4">
        <ns0:f>IF(Z79&lt;0,A79,0)</ns0:f>
        <ns0:v>0</ns0:v>
      </ns0:c>
      <ns0:c r="AI79" s="12">
        <ns0:f>IF(AND(OR('前提と出典'!$C$36+'前提と出典'!$C$38=0,X79&gt;=0),OR('前提と出典'!$C$37+'前提と出典'!$C$38=0,Y79&gt;=0)),0,A79)</ns0:f>
        <ns0:v>0</ns0:v>
      </ns0:c>
    </ns0:row>
    <ns0:row r="80" ht="24" customHeight="1">
      <ns0:c r="A80" s="4" t="n">
        <ns0:v>76</ns0:v>
      </ns0:c>
      <ns0:c r="B80" s="12">
        <ns0:f>A80*('前提と出典'!$C$36+'前提と出典'!$C$38)</ns0:f>
        <ns0:v>53.199999999999996</ns0:v>
      </ns0:c>
      <ns0:c r="C80" s="12">
        <ns0:f>A80*('前提と出典'!$C$37+'前提と出典'!$C$38)</ns0:f>
        <ns0:v>45.6</ns0:v>
      </ns0:c>
      <ns0:c r="D80" s="16">
        <ns0:f>A80*('前提と出典'!$C$36*'契約別単価'!C5+'前提と出典'!$C$37*'契約別単価'!C6+'前提と出典'!$C$38*'契約別単価'!C7)</ns0:f>
        <ns0:v>546.8603351955308</ns0:v>
      </ns0:c>
      <ns0:c r="E80" s="16">
        <ns0:f>A80*('前提と出典'!$C$36*'契約別単価'!E5+'前提と出典'!$C$37*'契約別単価'!E6+'前提と出典'!$C$38*'契約別単価'!E7)</ns0:f>
        <ns0:v>191054.34216630942</ns0:v>
      </ns0:c>
      <ns0:c r="F80" s="16">
        <ns0:f>A80*('前提と出典'!$C$36*'契約別単価'!F5+'前提と出典'!$C$37*'契約別単価'!F6+'前提と出典'!$C$38*'契約別単価'!F7)</ns0:f>
        <ns0:v>55515.50820285482</ns0:v>
      </ns0:c>
      <ns0:c r="G80" s="16">
        <ns0:f>A80*('前提と出典'!$C$36*'契約別単価'!G5+'前提と出典'!$C$37*'契約別単価'!G6+'前提と出典'!$C$38*'契約別単価'!G7)</ns0:f>
        <ns0:v>151278.2122905028</ns0:v>
      </ns0:c>
      <ns0:c r="H80" s="16">
        <ns0:f>A80*('前提と出典'!$C$36*'契約別単価'!H5+'前提と出典'!$C$37*'契約別単価'!H6+'前提と出典'!$C$38*'契約別単価'!H7)</ns0:f>
        <ns0:v>52501.126863367106</ns0:v>
      </ns0:c>
      <ns0:c r="I80" s="16">
        <ns0:f>A80*('前提と出典'!$C$36*'契約別単価'!I5+'前提と出典'!$C$37*'契約別単価'!I6+'前提と出典'!$C$38*'契約別単価'!I7)</ns0:f>
        <ns0:v>3206.8603351955303</ns0:v>
      </ns0:c>
      <ns0:c r="J80" s="16">
        <ns0:f>A80*('前提と出典'!$C$36*'契約別単価'!J5+'前提と出典'!$C$37*'契約別単価'!J6+'前提と出典'!$C$38*'契約別単価'!J7)</ns0:f>
        <ns0:v>7470.005321982995</ns0:v>
      </ns0:c>
      <ns0:c r="K80" s="16">
        <ns0:f>A80*('前提と出典'!$C$36*'契約別単価'!K5+'前提と出典'!$C$37*'契約別単価'!K6+'前提と出典'!$C$38*'契約別単価'!K7)</ns0:f>
        <ns0:v>32019.068901303537</ns0:v>
      </ns0:c>
      <ns0:c r="L80" s="16">
        <ns0:f>A80*('前提と出典'!$C$36*'契約別単価'!L5+'前提と出典'!$C$37*'契約別単価'!L6+'前提と出典'!$C$38*'契約別単価'!L7)</ns0:f>
        <ns0:v>26070.037562112237</ns0:v>
      </ns0:c>
      <ns0:c r="M80" s="16">
        <ns0:f>IF(('前提と出典'!$C$36+'前提と出典'!$C$38)=0,0,IF(B80&lt;=10,'前提と出典'!B73+'前提と出典'!C73,IF(B80&lt;=100,'前提と出典'!B74+'前提と出典'!C74,IF(B80&lt;=500,'前提と出典'!B75+'前提と出典'!C75,'前提と出典'!B76+'前提と出典'!C76))))</ns0:f>
        <ns0:v>20000</ns0:v>
      </ns0:c>
      <ns0:c r="N80" s="16">
        <ns0:f>IF(('前提と出典'!$C$37+'前提と出典'!$C$38)=0,0,IF(C80&lt;=10,'前提と出典'!D73+'前提と出典'!E73,IF(C80&lt;=100,'前提と出典'!D74+'前提と出典'!E74,IF(C80&lt;=500,'前提と出典'!D75+'前提と出典'!E75,'前提と出典'!D76+'前提と出典'!E76))))</ns0:f>
        <ns0:v>34510.9346263078</ns0:v>
      </ns0:c>
      <ns0:c r="O80" s="16">
        <ns0:f>IF('前提と出典'!$C$36+'前提と出典'!$C$38=0,0,'前提と出典'!$B$4*IF('前提と出典'!$B$20=0,MAX('前提と出典'!$B$6,D80*'前提と出典'!$B$5),'前提と出典'!$B$6+D80*'前提と出典'!$B$5))</ns0:f>
        <ns0:v>75466.72625698325</ns0:v>
      </ns0:c>
      <ns0:c r="P80" s="16">
        <ns0:f>(E80+G80)*(1-'前提と出典'!$B$7)-I80-K80-M80-O80</ns0:f>
        <ns0:v>199315.92700288468</ns0:v>
      </ns0:c>
      <ns0:c r="Q80" s="16">
        <ns0:f>(F80+H80)*(1-'前提と出典'!$B$7)-J80-L80-N80</ns0:f>
        <ns0:v>36077.0586934349</ns0:v>
      </ns0:c>
      <ns0:c r="R80" s="16">
        <ns0:f>P80-E80*'前提と出典'!$E$4</ns0:f>
        <ns0:v>141999.6243529918</ns0:v>
      </ns0:c>
      <ns0:c r="S80" s="16">
        <ns0:f>Q80-F80*'前提と出典'!$E$4</ns0:f>
        <ns0:v>19422.406232578454</ns0:v>
      </ns0:c>
      <ns0:c r="T80" s="7">
        <ns0:f>R80+S80</ns0:f>
        <ns0:v>161422.03058557026</ns0:v>
      </ns0:c>
      <ns0:c r="U80" s="16">
        <ns0:f>P80-E80*'前提と出典'!$E$5</ns0:f>
        <ns0:v>122894.19013636092</ns0:v>
      </ns0:c>
      <ns0:c r="V80" s="16">
        <ns0:f>Q80-F80*'前提と出典'!$E$5</ns0:f>
        <ns0:v>13870.85541229297</ns0:v>
      </ns0:c>
      <ns0:c r="W80" s="7">
        <ns0:f>U80+V80</ns0:f>
        <ns0:v>136765.0455486539</ns0:v>
      </ns0:c>
      <ns0:c r="X80" s="16">
        <ns0:f>P80-E80*'前提と出典'!$E$6</ns0:f>
        <ns0:v>103788.75591972996</ns0:v>
      </ns0:c>
      <ns0:c r="Y80" s="16">
        <ns0:f>Q80-F80*'前提と出典'!$E$6</ns0:f>
        <ns0:v>8319.304592007487</ns0:v>
      </ns0:c>
      <ns0:c r="Z80" s="7">
        <ns0:f>X80+Y80</ns0:f>
        <ns0:v>112108.06051173745</ns0:v>
      </ns0:c>
      <ns0:c r="AA80" s="7">
        <ns0:f>IF(T80&gt;=0,A80,1001)</ns0:f>
        <ns0:v>76</ns0:v>
      </ns0:c>
      <ns0:c r="AB80" s="7">
        <ns0:f>IF(T80&lt;0,A80,0)</ns0:f>
        <ns0:v>0</ns0:v>
      </ns0:c>
      <ns0:c r="AC80" s="16">
        <ns0:f>IF(AND(OR('前提と出典'!$C$36+'前提と出典'!$C$38=0,R80&gt;=0),OR('前提と出典'!$C$37+'前提と出典'!$C$38=0,S80&gt;=0)),0,A80)</ns0:f>
        <ns0:v>0</ns0:v>
      </ns0:c>
      <ns0:c r="AD80" s="7">
        <ns0:f>IF(W80&gt;=0,A80,1001)</ns0:f>
        <ns0:v>76</ns0:v>
      </ns0:c>
      <ns0:c r="AE80" s="7">
        <ns0:f>IF(W80&lt;0,A80,0)</ns0:f>
        <ns0:v>0</ns0:v>
      </ns0:c>
      <ns0:c r="AF80" s="16">
        <ns0:f>IF(AND(OR('前提と出典'!$C$36+'前提と出典'!$C$38=0,U80&gt;=0),OR('前提と出典'!$C$37+'前提と出典'!$C$38=0,V80&gt;=0)),0,A80)</ns0:f>
        <ns0:v>0</ns0:v>
      </ns0:c>
      <ns0:c r="AG80" s="7">
        <ns0:f>IF(Z80&gt;=0,A80,1001)</ns0:f>
        <ns0:v>76</ns0:v>
      </ns0:c>
      <ns0:c r="AH80" s="4">
        <ns0:f>IF(Z80&lt;0,A80,0)</ns0:f>
        <ns0:v>0</ns0:v>
      </ns0:c>
      <ns0:c r="AI80" s="12">
        <ns0:f>IF(AND(OR('前提と出典'!$C$36+'前提と出典'!$C$38=0,X80&gt;=0),OR('前提と出典'!$C$37+'前提と出典'!$C$38=0,Y80&gt;=0)),0,A80)</ns0:f>
        <ns0:v>0</ns0:v>
      </ns0:c>
    </ns0:row>
    <ns0:row r="81" ht="24" customHeight="1">
      <ns0:c r="A81" s="4" t="n">
        <ns0:v>77</ns0:v>
      </ns0:c>
      <ns0:c r="B81" s="12">
        <ns0:f>A81*('前提と出典'!$C$36+'前提と出典'!$C$38)</ns0:f>
        <ns0:v>53.9</ns0:v>
      </ns0:c>
      <ns0:c r="C81" s="12">
        <ns0:f>A81*('前提と出典'!$C$37+'前提と出典'!$C$38)</ns0:f>
        <ns0:v>46.199999999999996</ns0:v>
      </ns0:c>
      <ns0:c r="D81" s="16">
        <ns0:f>A81*('前提と出典'!$C$36*'契約別単価'!C5+'前提と出典'!$C$37*'契約別単価'!C6+'前提と出典'!$C$38*'契約別単価'!C7)</ns0:f>
        <ns0:v>554.0558659217877</ns0:v>
      </ns0:c>
      <ns0:c r="E81" s="16">
        <ns0:f>A81*('前提と出典'!$C$36*'契約別単価'!E5+'前提と出典'!$C$37*'契約別単価'!E6+'前提と出典'!$C$38*'契約別単価'!E7)</ns0:f>
        <ns0:v>193568.21508955033</ns0:v>
      </ns0:c>
      <ns0:c r="F81" s="16">
        <ns0:f>A81*('前提と出典'!$C$36*'契約別単価'!F5+'前提と出典'!$C$37*'契約別単価'!F6+'前提と出典'!$C$38*'契約別単価'!F7)</ns0:f>
        <ns0:v>56245.97541605028</ns0:v>
      </ns0:c>
      <ns0:c r="G81" s="16">
        <ns0:f>A81*('前提と出典'!$C$36*'契約別単価'!G5+'前提と出典'!$C$37*'契約別単価'!G6+'前提と出典'!$C$38*'契約別単価'!G7)</ns0:f>
        <ns0:v>153268.7150837989</ns0:v>
      </ns0:c>
      <ns0:c r="H81" s="16">
        <ns0:f>A81*('前提と出典'!$C$36*'契約別単価'!H5+'前提と出典'!$C$37*'契約別単価'!H6+'前提と出典'!$C$38*'契約別単価'!H7)</ns0:f>
        <ns0:v>53191.93116420088</ns0:v>
      </ns0:c>
      <ns0:c r="I81" s="16">
        <ns0:f>A81*('前提と出典'!$C$36*'契約別単価'!I5+'前提と出典'!$C$37*'契約別単価'!I6+'前提と出典'!$C$38*'契約別単価'!I7)</ns0:f>
        <ns0:v>3249.0558659217872</ns0:v>
      </ns0:c>
      <ns0:c r="J81" s="16">
        <ns0:f>A81*('前提と出典'!$C$36*'契約別単価'!J5+'前提と出典'!$C$37*'契約別単価'!J6+'前提と出典'!$C$38*'契約別単価'!J7)</ns0:f>
        <ns0:v>7568.294865693298</ns0:v>
      </ns0:c>
      <ns0:c r="K81" s="16">
        <ns0:f>A81*('前提と出典'!$C$36*'契約別単価'!K5+'前提と出典'!$C$37*'契約別単価'!K6+'前提と出典'!$C$38*'契約別単価'!K7)</ns0:f>
        <ns0:v>32440.372439478582</ns0:v>
      </ns0:c>
      <ns0:c r="L81" s="16">
        <ns0:f>A81*('前提と出典'!$C$36*'契約別単価'!L5+'前提と出典'!$C$37*'契約別単価'!L6+'前提と出典'!$C$38*'契約別単価'!L7)</ns0:f>
        <ns0:v>26413.06437214003</ns0:v>
      </ns0:c>
      <ns0:c r="M81" s="16">
        <ns0:f>IF(('前提と出典'!$C$36+'前提と出典'!$C$38)=0,0,IF(B81&lt;=10,'前提と出典'!B73+'前提と出典'!C73,IF(B81&lt;=100,'前提と出典'!B74+'前提と出典'!C74,IF(B81&lt;=500,'前提と出典'!B75+'前提と出典'!C75,'前提と出典'!B76+'前提と出典'!C76))))</ns0:f>
        <ns0:v>20000</ns0:v>
      </ns0:c>
      <ns0:c r="N81" s="16">
        <ns0:f>IF(('前提と出典'!$C$37+'前提と出典'!$C$38)=0,0,IF(C81&lt;=10,'前提と出典'!D73+'前提と出典'!E73,IF(C81&lt;=100,'前提と出典'!D74+'前提と出典'!E74,IF(C81&lt;=500,'前提と出典'!D75+'前提と出典'!E75,'前提と出典'!D76+'前提と出典'!E76))))</ns0:f>
        <ns0:v>34510.9346263078</ns0:v>
      </ns0:c>
      <ns0:c r="O81" s="16">
        <ns0:f>IF('前提と出典'!$C$36+'前提と出典'!$C$38=0,0,'前提と出典'!$B$4*IF('前提と出典'!$B$20=0,MAX('前提と出典'!$B$6,D81*'前提と出典'!$B$5),'前提と出典'!$B$6+D81*'前提と出典'!$B$5))</ns0:f>
        <ns0:v>76459.70949720671</ns0:v>
      </ns0:c>
      <ns0:c r="P81" s="16">
        <ns0:f>(E81+G81)*(1-'前提と出典'!$B$7)-I81-K81-M81-O81</ns0:f>
        <ns0:v>202201.66288450157</ns0:v>
      </ns0:c>
      <ns0:c r="Q81" s="16">
        <ns0:f>(F81+H81)*(1-'前提と出典'!$B$7)-J81-L81-N81</ns0:f>
        <ns0:v>37005.848079220996</ns0:v>
      </ns0:c>
      <ns0:c r="R81" s="16">
        <ns0:f>P81-E81*'前提と出典'!$E$4</ns0:f>
        <ns0:v>144131.19835763646</ns0:v>
      </ns0:c>
      <ns0:c r="S81" s="16">
        <ns0:f>Q81-F81*'前提と出典'!$E$4</ns0:f>
        <ns0:v>20132.055454405905</ns0:v>
      </ns0:c>
      <ns0:c r="T81" s="7">
        <ns0:f>R81+S81</ns0:f>
        <ns0:v>164263.25381204236</ns0:v>
      </ns0:c>
      <ns0:c r="U81" s="16">
        <ns0:f>P81-E81*'前提と出典'!$E$5</ns0:f>
        <ns0:v>124774.37684868144</ns0:v>
      </ns0:c>
      <ns0:c r="V81" s="16">
        <ns0:f>Q81-F81*'前提と出典'!$E$5</ns0:f>
        <ns0:v>14507.457912800885</ns0:v>
      </ns0:c>
      <ns0:c r="W81" s="7">
        <ns0:f>U81+V81</ns0:f>
        <ns0:v>139281.8347614823</ns0:v>
      </ns0:c>
      <ns0:c r="X81" s="16">
        <ns0:f>P81-E81*'前提と出典'!$E$6</ns0:f>
        <ns0:v>105417.5553397264</ns0:v>
      </ns0:c>
      <ns0:c r="Y81" s="16">
        <ns0:f>Q81-F81*'前提と出典'!$E$6</ns0:f>
        <ns0:v>8882.860371195864</ns0:v>
      </ns0:c>
      <ns0:c r="Z81" s="7">
        <ns0:f>X81+Y81</ns0:f>
        <ns0:v>114300.41571092227</ns0:v>
      </ns0:c>
      <ns0:c r="AA81" s="7">
        <ns0:f>IF(T81&gt;=0,A81,1001)</ns0:f>
        <ns0:v>77</ns0:v>
      </ns0:c>
      <ns0:c r="AB81" s="7">
        <ns0:f>IF(T81&lt;0,A81,0)</ns0:f>
        <ns0:v>0</ns0:v>
      </ns0:c>
      <ns0:c r="AC81" s="16">
        <ns0:f>IF(AND(OR('前提と出典'!$C$36+'前提と出典'!$C$38=0,R81&gt;=0),OR('前提と出典'!$C$37+'前提と出典'!$C$38=0,S81&gt;=0)),0,A81)</ns0:f>
        <ns0:v>0</ns0:v>
      </ns0:c>
      <ns0:c r="AD81" s="7">
        <ns0:f>IF(W81&gt;=0,A81,1001)</ns0:f>
        <ns0:v>77</ns0:v>
      </ns0:c>
      <ns0:c r="AE81" s="7">
        <ns0:f>IF(W81&lt;0,A81,0)</ns0:f>
        <ns0:v>0</ns0:v>
      </ns0:c>
      <ns0:c r="AF81" s="16">
        <ns0:f>IF(AND(OR('前提と出典'!$C$36+'前提と出典'!$C$38=0,U81&gt;=0),OR('前提と出典'!$C$37+'前提と出典'!$C$38=0,V81&gt;=0)),0,A81)</ns0:f>
        <ns0:v>0</ns0:v>
      </ns0:c>
      <ns0:c r="AG81" s="7">
        <ns0:f>IF(Z81&gt;=0,A81,1001)</ns0:f>
        <ns0:v>77</ns0:v>
      </ns0:c>
      <ns0:c r="AH81" s="4">
        <ns0:f>IF(Z81&lt;0,A81,0)</ns0:f>
        <ns0:v>0</ns0:v>
      </ns0:c>
      <ns0:c r="AI81" s="12">
        <ns0:f>IF(AND(OR('前提と出典'!$C$36+'前提と出典'!$C$38=0,X81&gt;=0),OR('前提と出典'!$C$37+'前提と出典'!$C$38=0,Y81&gt;=0)),0,A81)</ns0:f>
        <ns0:v>0</ns0:v>
      </ns0:c>
    </ns0:row>
    <ns0:row r="82" ht="24" customHeight="1">
      <ns0:c r="A82" s="4" t="n">
        <ns0:v>78</ns0:v>
      </ns0:c>
      <ns0:c r="B82" s="12">
        <ns0:f>A82*('前提と出典'!$C$36+'前提と出典'!$C$38)</ns0:f>
        <ns0:v>54.599999999999994</ns0:v>
      </ns0:c>
      <ns0:c r="C82" s="12">
        <ns0:f>A82*('前提と出典'!$C$37+'前提と出典'!$C$38)</ns0:f>
        <ns0:v>46.8</ns0:v>
      </ns0:c>
      <ns0:c r="D82" s="16">
        <ns0:f>A82*('前提と出典'!$C$36*'契約別単価'!C5+'前提と出典'!$C$37*'契約別単価'!C6+'前提と出典'!$C$38*'契約別単価'!C7)</ns0:f>
        <ns0:v>561.2513966480446</ns0:v>
      </ns0:c>
      <ns0:c r="E82" s="16">
        <ns0:f>A82*('前提と出典'!$C$36*'契約別単価'!E5+'前提と出典'!$C$37*'契約別単価'!E6+'前提と出典'!$C$38*'契約別単価'!E7)</ns0:f>
        <ns0:v>196082.08801279124</ns0:v>
      </ns0:c>
      <ns0:c r="F82" s="16">
        <ns0:f>A82*('前提と出典'!$C$36*'契約別単価'!F5+'前提と出典'!$C$37*'契約別単価'!F6+'前提と出典'!$C$38*'契約別単価'!F7)</ns0:f>
        <ns0:v>56976.442629245736</ns0:v>
      </ns0:c>
      <ns0:c r="G82" s="16">
        <ns0:f>A82*('前提と出典'!$C$36*'契約別単価'!G5+'前提と出典'!$C$37*'契約別単価'!G6+'前提と出典'!$C$38*'契約別単価'!G7)</ns0:f>
        <ns0:v>155259.21787709495</ns0:v>
      </ns0:c>
      <ns0:c r="H82" s="16">
        <ns0:f>A82*('前提と出典'!$C$36*'契約別単価'!H5+'前提と出典'!$C$37*'契約別単価'!H6+'前提と出典'!$C$38*'契約別単価'!H7)</ns0:f>
        <ns0:v>53882.73546503466</ns0:v>
      </ns0:c>
      <ns0:c r="I82" s="16">
        <ns0:f>A82*('前提と出典'!$C$36*'契約別単価'!I5+'前提と出典'!$C$37*'契約別単価'!I6+'前提と出典'!$C$38*'契約別単価'!I7)</ns0:f>
        <ns0:v>3291.251396648044</ns0:v>
      </ns0:c>
      <ns0:c r="J82" s="16">
        <ns0:f>A82*('前提と出典'!$C$36*'契約別単価'!J5+'前提と出典'!$C$37*'契約別単価'!J6+'前提と出典'!$C$38*'契約別単価'!J7)</ns0:f>
        <ns0:v>7666.5844094036</ns0:v>
      </ns0:c>
      <ns0:c r="K82" s="16">
        <ns0:f>A82*('前提と出典'!$C$36*'契約別単価'!K5+'前提と出典'!$C$37*'契約別単価'!K6+'前提と出典'!$C$38*'契約別単価'!K7)</ns0:f>
        <ns0:v>32861.67597765363</ns0:v>
      </ns0:c>
      <ns0:c r="L82" s="16">
        <ns0:f>A82*('前提と出典'!$C$36*'契約別単価'!L5+'前提と出典'!$C$37*'契約別単価'!L6+'前提と出典'!$C$38*'契約別単価'!L7)</ns0:f>
        <ns0:v>26756.09118216782</ns0:v>
      </ns0:c>
      <ns0:c r="M82" s="16">
        <ns0:f>IF(('前提と出典'!$C$36+'前提と出典'!$C$38)=0,0,IF(B82&lt;=10,'前提と出典'!B73+'前提と出典'!C73,IF(B82&lt;=100,'前提と出典'!B74+'前提と出典'!C74,IF(B82&lt;=500,'前提と出典'!B75+'前提と出典'!C75,'前提と出典'!B76+'前提と出典'!C76))))</ns0:f>
        <ns0:v>20000</ns0:v>
      </ns0:c>
      <ns0:c r="N82" s="16">
        <ns0:f>IF(('前提と出典'!$C$37+'前提と出典'!$C$38)=0,0,IF(C82&lt;=10,'前提と出典'!D73+'前提と出典'!E73,IF(C82&lt;=100,'前提と出典'!D74+'前提と出典'!E74,IF(C82&lt;=500,'前提と出典'!D75+'前提と出典'!E75,'前提と出典'!D76+'前提と出典'!E76))))</ns0:f>
        <ns0:v>34510.9346263078</ns0:v>
      </ns0:c>
      <ns0:c r="O82" s="16">
        <ns0:f>IF('前提と出典'!$C$36+'前提と出典'!$C$38=0,0,'前提と出典'!$B$4*IF('前提と出典'!$B$20=0,MAX('前提と出典'!$B$6,D82*'前提と出典'!$B$5),'前提と出典'!$B$6+D82*'前提と出典'!$B$5))</ns0:f>
        <ns0:v>77452.69273743016</ns0:v>
      </ns0:c>
      <ns0:c r="P82" s="16">
        <ns0:f>(E82+G82)*(1-'前提と出典'!$B$7)-I82-K82-M82-O82</ns0:f>
        <ns0:v>205087.3987661185</ns0:v>
      </ns0:c>
      <ns0:c r="Q82" s="16">
        <ns0:f>(F82+H82)*(1-'前提と出典'!$B$7)-J82-L82-N82</ns0:f>
        <ns0:v>37934.637465007094</ns0:v>
      </ns0:c>
      <ns0:c r="R82" s="16">
        <ns0:f>P82-E82*'前提と出典'!$E$4</ns0:f>
        <ns0:v>146262.77236228113</ns0:v>
      </ns0:c>
      <ns0:c r="S82" s="16">
        <ns0:f>Q82-F82*'前提と出典'!$E$4</ns0:f>
        <ns0:v>20841.70467623337</ns0:v>
      </ns0:c>
      <ns0:c r="T82" s="7">
        <ns0:f>R82+S82</ns0:f>
        <ns0:v>167104.4770385145</ns0:v>
      </ns0:c>
      <ns0:c r="U82" s="16">
        <ns0:f>P82-E82*'前提と出典'!$E$5</ns0:f>
        <ns0:v>126654.56356100203</ns0:v>
      </ns0:c>
      <ns0:c r="V82" s="16">
        <ns0:f>Q82-F82*'前提と出典'!$E$5</ns0:f>
        <ns0:v>15144.060413308798</ns0:v>
      </ns0:c>
      <ns0:c r="W82" s="7">
        <ns0:f>U82+V82</ns0:f>
        <ns0:v>141798.62397431082</ns0:v>
      </ns0:c>
      <ns0:c r="X82" s="16">
        <ns0:f>P82-E82*'前提と出典'!$E$6</ns0:f>
        <ns0:v>107046.35475972289</ns0:v>
      </ns0:c>
      <ns0:c r="Y82" s="16">
        <ns0:f>Q82-F82*'前提と出典'!$E$6</ns0:f>
        <ns0:v>9446.416150384212</ns0:v>
      </ns0:c>
      <ns0:c r="Z82" s="7">
        <ns0:f>X82+Y82</ns0:f>
        <ns0:v>116492.7709101071</ns0:v>
      </ns0:c>
      <ns0:c r="AA82" s="7">
        <ns0:f>IF(T82&gt;=0,A82,1001)</ns0:f>
        <ns0:v>78</ns0:v>
      </ns0:c>
      <ns0:c r="AB82" s="7">
        <ns0:f>IF(T82&lt;0,A82,0)</ns0:f>
        <ns0:v>0</ns0:v>
      </ns0:c>
      <ns0:c r="AC82" s="16">
        <ns0:f>IF(AND(OR('前提と出典'!$C$36+'前提と出典'!$C$38=0,R82&gt;=0),OR('前提と出典'!$C$37+'前提と出典'!$C$38=0,S82&gt;=0)),0,A82)</ns0:f>
        <ns0:v>0</ns0:v>
      </ns0:c>
      <ns0:c r="AD82" s="7">
        <ns0:f>IF(W82&gt;=0,A82,1001)</ns0:f>
        <ns0:v>78</ns0:v>
      </ns0:c>
      <ns0:c r="AE82" s="7">
        <ns0:f>IF(W82&lt;0,A82,0)</ns0:f>
        <ns0:v>0</ns0:v>
      </ns0:c>
      <ns0:c r="AF82" s="16">
        <ns0:f>IF(AND(OR('前提と出典'!$C$36+'前提と出典'!$C$38=0,U82&gt;=0),OR('前提と出典'!$C$37+'前提と出典'!$C$38=0,V82&gt;=0)),0,A82)</ns0:f>
        <ns0:v>0</ns0:v>
      </ns0:c>
      <ns0:c r="AG82" s="7">
        <ns0:f>IF(Z82&gt;=0,A82,1001)</ns0:f>
        <ns0:v>78</ns0:v>
      </ns0:c>
      <ns0:c r="AH82" s="4">
        <ns0:f>IF(Z82&lt;0,A82,0)</ns0:f>
        <ns0:v>0</ns0:v>
      </ns0:c>
      <ns0:c r="AI82" s="12">
        <ns0:f>IF(AND(OR('前提と出典'!$C$36+'前提と出典'!$C$38=0,X82&gt;=0),OR('前提と出典'!$C$37+'前提と出典'!$C$38=0,Y82&gt;=0)),0,A82)</ns0:f>
        <ns0:v>0</ns0:v>
      </ns0:c>
    </ns0:row>
    <ns0:row r="83" ht="24" customHeight="1">
      <ns0:c r="A83" s="4" t="n">
        <ns0:v>79</ns0:v>
      </ns0:c>
      <ns0:c r="B83" s="12">
        <ns0:f>A83*('前提と出典'!$C$36+'前提と出典'!$C$38)</ns0:f>
        <ns0:v>55.3</ns0:v>
      </ns0:c>
      <ns0:c r="C83" s="12">
        <ns0:f>A83*('前提と出典'!$C$37+'前提と出典'!$C$38)</ns0:f>
        <ns0:v>47.4</ns0:v>
      </ns0:c>
      <ns0:c r="D83" s="16">
        <ns0:f>A83*('前提と出典'!$C$36*'契約別単価'!C5+'前提と出典'!$C$37*'契約別単価'!C6+'前提と出典'!$C$38*'契約別単価'!C7)</ns0:f>
        <ns0:v>568.4469273743017</ns0:v>
      </ns0:c>
      <ns0:c r="E83" s="16">
        <ns0:f>A83*('前提と出典'!$C$36*'契約別単価'!E5+'前提と出典'!$C$37*'契約別単価'!E6+'前提と出典'!$C$38*'契約別単価'!E7)</ns0:f>
        <ns0:v>198595.96093603215</ns0:v>
      </ns0:c>
      <ns0:c r="F83" s="16">
        <ns0:f>A83*('前提と出典'!$C$36*'契約別単価'!F5+'前提と出典'!$C$37*'契約別単価'!F6+'前提と出典'!$C$38*'契約別単価'!F7)</ns0:f>
        <ns0:v>57706.90984244119</ns0:v>
      </ns0:c>
      <ns0:c r="G83" s="16">
        <ns0:f>A83*('前提と出典'!$C$36*'契約別単価'!G5+'前提と出典'!$C$37*'契約別単価'!G6+'前提と出典'!$C$38*'契約別単価'!G7)</ns0:f>
        <ns0:v>157249.72067039105</ns0:v>
      </ns0:c>
      <ns0:c r="H83" s="16">
        <ns0:f>A83*('前提と出典'!$C$36*'契約別単価'!H5+'前提と出典'!$C$37*'契約別単価'!H6+'前提と出典'!$C$38*'契約別単価'!H7)</ns0:f>
        <ns0:v>54573.53976586844</ns0:v>
      </ns0:c>
      <ns0:c r="I83" s="16">
        <ns0:f>A83*('前提と出典'!$C$36*'契約別単価'!I5+'前提と出典'!$C$37*'契約別単価'!I6+'前提と出典'!$C$38*'契約別単価'!I7)</ns0:f>
        <ns0:v>3333.446927374301</ns0:v>
      </ns0:c>
      <ns0:c r="J83" s="16">
        <ns0:f>A83*('前提と出典'!$C$36*'契約別単価'!J5+'前提と出典'!$C$37*'契約別単価'!J6+'前提と出典'!$C$38*'契約別単価'!J7)</ns0:f>
        <ns0:v>7764.873953113903</ns0:v>
      </ns0:c>
      <ns0:c r="K83" s="16">
        <ns0:f>A83*('前提と出典'!$C$36*'契約別単価'!K5+'前提と出典'!$C$37*'契約別単価'!K6+'前提と出典'!$C$38*'契約別単価'!K7)</ns0:f>
        <ns0:v>33282.97951582867</ns0:v>
      </ns0:c>
      <ns0:c r="L83" s="16">
        <ns0:f>A83*('前提と出典'!$C$36*'契約別単価'!L5+'前提と出典'!$C$37*'契約別単価'!L6+'前提と出典'!$C$38*'契約別単価'!L7)</ns0:f>
        <ns0:v>27099.117992195614</ns0:v>
      </ns0:c>
      <ns0:c r="M83" s="16">
        <ns0:f>IF(('前提と出典'!$C$36+'前提と出典'!$C$38)=0,0,IF(B83&lt;=10,'前提と出典'!B73+'前提と出典'!C73,IF(B83&lt;=100,'前提と出典'!B74+'前提と出典'!C74,IF(B83&lt;=500,'前提と出典'!B75+'前提と出典'!C75,'前提と出典'!B76+'前提と出典'!C76))))</ns0:f>
        <ns0:v>20000</ns0:v>
      </ns0:c>
      <ns0:c r="N83" s="16">
        <ns0:f>IF(('前提と出典'!$C$37+'前提と出典'!$C$38)=0,0,IF(C83&lt;=10,'前提と出典'!D73+'前提と出典'!E73,IF(C83&lt;=100,'前提と出典'!D74+'前提と出典'!E74,IF(C83&lt;=500,'前提と出典'!D75+'前提と出典'!E75,'前提と出典'!D76+'前提と出典'!E76))))</ns0:f>
        <ns0:v>34510.9346263078</ns0:v>
      </ns0:c>
      <ns0:c r="O83" s="16">
        <ns0:f>IF('前提と出典'!$C$36+'前提と出典'!$C$38=0,0,'前提と出典'!$B$4*IF('前提と出典'!$B$20=0,MAX('前提と出典'!$B$6,D83*'前提と出典'!$B$5),'前提と出典'!$B$6+D83*'前提と出典'!$B$5))</ns0:f>
        <ns0:v>78445.67597765363</ns0:v>
      </ns0:c>
      <ns0:c r="P83" s="16">
        <ns0:f>(E83+G83)*(1-'前提と出典'!$B$7)-I83-K83-M83-O83</ns0:f>
        <ns0:v>207973.1346477354</ns0:v>
      </ns0:c>
      <ns0:c r="Q83" s="16">
        <ns0:f>(F83+H83)*(1-'前提と出典'!$B$7)-J83-L83-N83</ns0:f>
        <ns0:v>38863.42685079317</ns0:v>
      </ns0:c>
      <ns0:c r="R83" s="16">
        <ns0:f>P83-E83*'前提と出典'!$E$4</ns0:f>
        <ns0:v>148394.34636692575</ns0:v>
      </ns0:c>
      <ns0:c r="S83" s="16">
        <ns0:f>Q83-F83*'前提と出典'!$E$4</ns0:f>
        <ns0:v>21551.353898060814</ns0:v>
      </ns0:c>
      <ns0:c r="T83" s="7">
        <ns0:f>R83+S83</ns0:f>
        <ns0:v>169945.70026498655</ns0:v>
      </ns0:c>
      <ns0:c r="U83" s="16">
        <ns0:f>P83-E83*'前提と出典'!$E$5</ns0:f>
        <ns0:v>128534.75027332253</ns0:v>
      </ns0:c>
      <ns0:c r="V83" s="16">
        <ns0:f>Q83-F83*'前提と出典'!$E$5</ns0:f>
        <ns0:v>15780.66291381669</ns0:v>
      </ns0:c>
      <ns0:c r="W83" s="7">
        <ns0:f>U83+V83</ns0:f>
        <ns0:v>144315.4131871392</ns0:v>
      </ns0:c>
      <ns0:c r="X83" s="16">
        <ns0:f>P83-E83*'前提と出典'!$E$6</ns0:f>
        <ns0:v>108675.15417971935</ns0:v>
      </ns0:c>
      <ns0:c r="Y83" s="16">
        <ns0:f>Q83-F83*'前提と出典'!$E$6</ns0:f>
        <ns0:v>10009.971929572566</ns0:v>
      </ns0:c>
      <ns0:c r="Z83" s="7">
        <ns0:f>X83+Y83</ns0:f>
        <ns0:v>118685.12610929192</ns0:v>
      </ns0:c>
      <ns0:c r="AA83" s="7">
        <ns0:f>IF(T83&gt;=0,A83,1001)</ns0:f>
        <ns0:v>79</ns0:v>
      </ns0:c>
      <ns0:c r="AB83" s="7">
        <ns0:f>IF(T83&lt;0,A83,0)</ns0:f>
        <ns0:v>0</ns0:v>
      </ns0:c>
      <ns0:c r="AC83" s="16">
        <ns0:f>IF(AND(OR('前提と出典'!$C$36+'前提と出典'!$C$38=0,R83&gt;=0),OR('前提と出典'!$C$37+'前提と出典'!$C$38=0,S83&gt;=0)),0,A83)</ns0:f>
        <ns0:v>0</ns0:v>
      </ns0:c>
      <ns0:c r="AD83" s="7">
        <ns0:f>IF(W83&gt;=0,A83,1001)</ns0:f>
        <ns0:v>79</ns0:v>
      </ns0:c>
      <ns0:c r="AE83" s="7">
        <ns0:f>IF(W83&lt;0,A83,0)</ns0:f>
        <ns0:v>0</ns0:v>
      </ns0:c>
      <ns0:c r="AF83" s="16">
        <ns0:f>IF(AND(OR('前提と出典'!$C$36+'前提と出典'!$C$38=0,U83&gt;=0),OR('前提と出典'!$C$37+'前提と出典'!$C$38=0,V83&gt;=0)),0,A83)</ns0:f>
        <ns0:v>0</ns0:v>
      </ns0:c>
      <ns0:c r="AG83" s="7">
        <ns0:f>IF(Z83&gt;=0,A83,1001)</ns0:f>
        <ns0:v>79</ns0:v>
      </ns0:c>
      <ns0:c r="AH83" s="4">
        <ns0:f>IF(Z83&lt;0,A83,0)</ns0:f>
        <ns0:v>0</ns0:v>
      </ns0:c>
      <ns0:c r="AI83" s="12">
        <ns0:f>IF(AND(OR('前提と出典'!$C$36+'前提と出典'!$C$38=0,X83&gt;=0),OR('前提と出典'!$C$37+'前提と出典'!$C$38=0,Y83&gt;=0)),0,A83)</ns0:f>
        <ns0:v>0</ns0:v>
      </ns0:c>
    </ns0:row>
    <ns0:row r="84" ht="24" customHeight="1">
      <ns0:c r="A84" s="4" t="n">
        <ns0:v>80</ns0:v>
      </ns0:c>
      <ns0:c r="B84" s="12">
        <ns0:f>A84*('前提と出典'!$C$36+'前提と出典'!$C$38)</ns0:f>
        <ns0:v>56</ns0:v>
      </ns0:c>
      <ns0:c r="C84" s="12">
        <ns0:f>A84*('前提と出典'!$C$37+'前提と出典'!$C$38)</ns0:f>
        <ns0:v>48</ns0:v>
      </ns0:c>
      <ns0:c r="D84" s="16">
        <ns0:f>A84*('前提と出典'!$C$36*'契約別単価'!C5+'前提と出典'!$C$37*'契約別単価'!C6+'前提と出典'!$C$38*'契約別単価'!C7)</ns0:f>
        <ns0:v>575.6424581005587</ns0:v>
      </ns0:c>
      <ns0:c r="E84" s="16">
        <ns0:f>A84*('前提と出典'!$C$36*'契約別単価'!E5+'前提と出典'!$C$37*'契約別単価'!E6+'前提と出典'!$C$38*'契約別単価'!E7)</ns0:f>
        <ns0:v>201109.83385927306</ns0:v>
      </ns0:c>
      <ns0:c r="F84" s="16">
        <ns0:f>A84*('前提と出典'!$C$36*'契約別単価'!F5+'前提と出典'!$C$37*'契約別単価'!F6+'前提と出典'!$C$38*'契約別単価'!F7)</ns0:f>
        <ns0:v>58437.37705563665</ns0:v>
      </ns0:c>
      <ns0:c r="G84" s="16">
        <ns0:f>A84*('前提と出典'!$C$36*'契約別単価'!G5+'前提と出典'!$C$37*'契約別単価'!G6+'前提と出典'!$C$38*'契約別単価'!G7)</ns0:f>
        <ns0:v>159240.22346368714</ns0:v>
      </ns0:c>
      <ns0:c r="H84" s="16">
        <ns0:f>A84*('前提と出典'!$C$36*'契約別単価'!H5+'前提と出典'!$C$37*'契約別単価'!H6+'前提と出典'!$C$38*'契約別単価'!H7)</ns0:f>
        <ns0:v>55264.344066702215</ns0:v>
      </ns0:c>
      <ns0:c r="I84" s="16">
        <ns0:f>A84*('前提と出典'!$C$36*'契約別単価'!I5+'前提と出典'!$C$37*'契約別単価'!I6+'前提と出典'!$C$38*'契約別単価'!I7)</ns0:f>
        <ns0:v>3375.642458100558</ns0:v>
      </ns0:c>
      <ns0:c r="J84" s="16">
        <ns0:f>A84*('前提と出典'!$C$36*'契約別単価'!J5+'前提と出典'!$C$37*'契約別単価'!J6+'前提と出典'!$C$38*'契約別単価'!J7)</ns0:f>
        <ns0:v>7863.163496824205</ns0:v>
      </ns0:c>
      <ns0:c r="K84" s="16">
        <ns0:f>A84*('前提と出典'!$C$36*'契約別単価'!K5+'前提と出典'!$C$37*'契約別単価'!K6+'前提と出典'!$C$38*'契約別単価'!K7)</ns0:f>
        <ns0:v>33704.283054003725</ns0:v>
      </ns0:c>
      <ns0:c r="L84" s="16">
        <ns0:f>A84*('前提と出典'!$C$36*'契約別単価'!L5+'前提と出典'!$C$37*'契約別単価'!L6+'前提と出典'!$C$38*'契約別単価'!L7)</ns0:f>
        <ns0:v>27442.144802223407</ns0:v>
      </ns0:c>
      <ns0:c r="M84" s="16">
        <ns0:f>IF(('前提と出典'!$C$36+'前提と出典'!$C$38)=0,0,IF(B84&lt;=10,'前提と出典'!B73+'前提と出典'!C73,IF(B84&lt;=100,'前提と出典'!B74+'前提と出典'!C74,IF(B84&lt;=500,'前提と出典'!B75+'前提と出典'!C75,'前提と出典'!B76+'前提と出典'!C76))))</ns0:f>
        <ns0:v>20000</ns0:v>
      </ns0:c>
      <ns0:c r="N84" s="16">
        <ns0:f>IF(('前提と出典'!$C$37+'前提と出典'!$C$38)=0,0,IF(C84&lt;=10,'前提と出典'!D73+'前提と出典'!E73,IF(C84&lt;=100,'前提と出典'!D74+'前提と出典'!E74,IF(C84&lt;=500,'前提と出典'!D75+'前提と出典'!E75,'前提と出典'!D76+'前提と出典'!E76))))</ns0:f>
        <ns0:v>34510.9346263078</ns0:v>
      </ns0:c>
      <ns0:c r="O84" s="16">
        <ns0:f>IF('前提と出典'!$C$36+'前提と出典'!$C$38=0,0,'前提と出典'!$B$4*IF('前提と出典'!$B$20=0,MAX('前提と出典'!$B$6,D84*'前提と出典'!$B$5),'前提と出典'!$B$6+D84*'前提と出典'!$B$5))</ns0:f>
        <ns0:v>79438.6592178771</ns0:v>
      </ns0:c>
      <ns0:c r="P84" s="16">
        <ns0:f>(E84+G84)*(1-'前提と出典'!$B$7)-I84-K84-M84-O84</ns0:f>
        <ns0:v>210858.87052935228</ns0:v>
      </ns0:c>
      <ns0:c r="Q84" s="16">
        <ns0:f>(F84+H84)*(1-'前提と出典'!$B$7)-J84-L84-N84</ns0:f>
        <ns0:v>39792.216236579276</ns0:v>
      </ns0:c>
      <ns0:c r="R84" s="16">
        <ns0:f>P84-E84*'前提と出典'!$E$4</ns0:f>
        <ns0:v>150525.92037157033</ns0:v>
      </ns0:c>
      <ns0:c r="S84" s="16">
        <ns0:f>Q84-F84*'前提と出典'!$E$4</ns0:f>
        <ns0:v>22261.00311988827</ns0:v>
      </ns0:c>
      <ns0:c r="T84" s="7">
        <ns0:f>R84+S84</ns0:f>
        <ns0:v>172786.9234914586</ns0:v>
      </ns0:c>
      <ns0:c r="U84" s="16">
        <ns0:f>P84-E84*'前提と出典'!$E$5</ns0:f>
        <ns0:v>130414.93698564304</ns0:v>
      </ns0:c>
      <ns0:c r="V84" s="16">
        <ns0:f>Q84-F84*'前提と出典'!$E$5</ns0:f>
        <ns0:v>16417.26541432461</ns0:v>
      </ns0:c>
      <ns0:c r="W84" s="7">
        <ns0:f>U84+V84</ns0:f>
        <ns0:v>146832.20239996765</ns0:v>
      </ns0:c>
      <ns0:c r="X84" s="16">
        <ns0:f>P84-E84*'前提と出典'!$E$6</ns0:f>
        <ns0:v>110303.95359971574</ns0:v>
      </ns0:c>
      <ns0:c r="Y84" s="16">
        <ns0:f>Q84-F84*'前提と出典'!$E$6</ns0:f>
        <ns0:v>10573.527708760936</ns0:v>
      </ns0:c>
      <ns0:c r="Z84" s="7">
        <ns0:f>X84+Y84</ns0:f>
        <ns0:v>120877.48130847668</ns0:v>
      </ns0:c>
      <ns0:c r="AA84" s="7">
        <ns0:f>IF(T84&gt;=0,A84,1001)</ns0:f>
        <ns0:v>80</ns0:v>
      </ns0:c>
      <ns0:c r="AB84" s="7">
        <ns0:f>IF(T84&lt;0,A84,0)</ns0:f>
        <ns0:v>0</ns0:v>
      </ns0:c>
      <ns0:c r="AC84" s="16">
        <ns0:f>IF(AND(OR('前提と出典'!$C$36+'前提と出典'!$C$38=0,R84&gt;=0),OR('前提と出典'!$C$37+'前提と出典'!$C$38=0,S84&gt;=0)),0,A84)</ns0:f>
        <ns0:v>0</ns0:v>
      </ns0:c>
      <ns0:c r="AD84" s="7">
        <ns0:f>IF(W84&gt;=0,A84,1001)</ns0:f>
        <ns0:v>80</ns0:v>
      </ns0:c>
      <ns0:c r="AE84" s="7">
        <ns0:f>IF(W84&lt;0,A84,0)</ns0:f>
        <ns0:v>0</ns0:v>
      </ns0:c>
      <ns0:c r="AF84" s="16">
        <ns0:f>IF(AND(OR('前提と出典'!$C$36+'前提と出典'!$C$38=0,U84&gt;=0),OR('前提と出典'!$C$37+'前提と出典'!$C$38=0,V84&gt;=0)),0,A84)</ns0:f>
        <ns0:v>0</ns0:v>
      </ns0:c>
      <ns0:c r="AG84" s="7">
        <ns0:f>IF(Z84&gt;=0,A84,1001)</ns0:f>
        <ns0:v>80</ns0:v>
      </ns0:c>
      <ns0:c r="AH84" s="4">
        <ns0:f>IF(Z84&lt;0,A84,0)</ns0:f>
        <ns0:v>0</ns0:v>
      </ns0:c>
      <ns0:c r="AI84" s="12">
        <ns0:f>IF(AND(OR('前提と出典'!$C$36+'前提と出典'!$C$38=0,X84&gt;=0),OR('前提と出典'!$C$37+'前提と出典'!$C$38=0,Y84&gt;=0)),0,A84)</ns0:f>
        <ns0:v>0</ns0:v>
      </ns0:c>
    </ns0:row>
    <ns0:row r="85" ht="24" customHeight="1">
      <ns0:c r="A85" s="4" t="n">
        <ns0:v>81</ns0:v>
      </ns0:c>
      <ns0:c r="B85" s="12">
        <ns0:f>A85*('前提と出典'!$C$36+'前提と出典'!$C$38)</ns0:f>
        <ns0:v>56.699999999999996</ns0:v>
      </ns0:c>
      <ns0:c r="C85" s="12">
        <ns0:f>A85*('前提と出典'!$C$37+'前提と出典'!$C$38)</ns0:f>
        <ns0:v>48.6</ns0:v>
      </ns0:c>
      <ns0:c r="D85" s="16">
        <ns0:f>A85*('前提と出典'!$C$36*'契約別単価'!C5+'前提と出典'!$C$37*'契約別単価'!C6+'前提と出典'!$C$38*'契約別単価'!C7)</ns0:f>
        <ns0:v>582.8379888268156</ns0:v>
      </ns0:c>
      <ns0:c r="E85" s="16">
        <ns0:f>A85*('前提と出典'!$C$36*'契約別単価'!E5+'前提と出典'!$C$37*'契約別単価'!E6+'前提と出典'!$C$38*'契約別単価'!E7)</ns0:f>
        <ns0:v>203623.70678251397</ns0:v>
      </ns0:c>
      <ns0:c r="F85" s="16">
        <ns0:f>A85*('前提と出典'!$C$36*'契約別単価'!F5+'前提と出典'!$C$37*'契約別単価'!F6+'前提と出典'!$C$38*'契約別単価'!F7)</ns0:f>
        <ns0:v>59167.84426883211</ns0:v>
      </ns0:c>
      <ns0:c r="G85" s="16">
        <ns0:f>A85*('前提と出典'!$C$36*'契約別単価'!G5+'前提と出典'!$C$37*'契約別単価'!G6+'前提と出典'!$C$38*'契約別単価'!G7)</ns0:f>
        <ns0:v>161230.72625698324</ns0:v>
      </ns0:c>
      <ns0:c r="H85" s="16">
        <ns0:f>A85*('前提と出典'!$C$36*'契約別単価'!H5+'前提と出典'!$C$37*'契約別単価'!H6+'前提と出典'!$C$38*'契約別単価'!H7)</ns0:f>
        <ns0:v>55955.14836753599</ns0:v>
      </ns0:c>
      <ns0:c r="I85" s="16">
        <ns0:f>A85*('前提と出典'!$C$36*'契約別単価'!I5+'前提と出典'!$C$37*'契約別単価'!I6+'前提と出典'!$C$38*'契約別単価'!I7)</ns0:f>
        <ns0:v>3417.837988826815</ns0:v>
      </ns0:c>
      <ns0:c r="J85" s="16">
        <ns0:f>A85*('前提と出典'!$C$36*'契約別単価'!J5+'前提と出典'!$C$37*'契約別単価'!J6+'前提と出典'!$C$38*'契約別単価'!J7)</ns0:f>
        <ns0:v>7961.453040534508</ns0:v>
      </ns0:c>
      <ns0:c r="K85" s="16">
        <ns0:f>A85*('前提と出典'!$C$36*'契約別単価'!K5+'前提と出典'!$C$37*'契約別単価'!K6+'前提と出典'!$C$38*'契約別単価'!K7)</ns0:f>
        <ns0:v>34125.58659217877</ns0:v>
      </ns0:c>
      <ns0:c r="L85" s="16">
        <ns0:f>A85*('前提と出典'!$C$36*'契約別単価'!L5+'前提と出典'!$C$37*'契約別単価'!L6+'前提と出典'!$C$38*'契約別単価'!L7)</ns0:f>
        <ns0:v>27785.171612251197</ns0:v>
      </ns0:c>
      <ns0:c r="M85" s="16">
        <ns0:f>IF(('前提と出典'!$C$36+'前提と出典'!$C$38)=0,0,IF(B85&lt;=10,'前提と出典'!B73+'前提と出典'!C73,IF(B85&lt;=100,'前提と出典'!B74+'前提と出典'!C74,IF(B85&lt;=500,'前提と出典'!B75+'前提と出典'!C75,'前提と出典'!B76+'前提と出典'!C76))))</ns0:f>
        <ns0:v>20000</ns0:v>
      </ns0:c>
      <ns0:c r="N85" s="16">
        <ns0:f>IF(('前提と出典'!$C$37+'前提と出典'!$C$38)=0,0,IF(C85&lt;=10,'前提と出典'!D73+'前提と出典'!E73,IF(C85&lt;=100,'前提と出典'!D74+'前提と出典'!E74,IF(C85&lt;=500,'前提と出典'!D75+'前提と出典'!E75,'前提と出典'!D76+'前提と出典'!E76))))</ns0:f>
        <ns0:v>34510.9346263078</ns0:v>
      </ns0:c>
      <ns0:c r="O85" s="16">
        <ns0:f>IF('前提と出典'!$C$36+'前提と出典'!$C$38=0,0,'前提と出典'!$B$4*IF('前提と出典'!$B$20=0,MAX('前提と出典'!$B$6,D85*'前提と出典'!$B$5),'前提と出典'!$B$6+D85*'前提と出典'!$B$5))</ns0:f>
        <ns0:v>80431.64245810056</ns0:v>
      </ns0:c>
      <ns0:c r="P85" s="16">
        <ns0:f>(E85+G85)*(1-'前提と出典'!$B$7)-I85-K85-M85-O85</ns0:f>
        <ns0:v>213744.6064109692</ns0:v>
      </ns0:c>
      <ns0:c r="Q85" s="16">
        <ns0:f>(F85+H85)*(1-'前提と出典'!$B$7)-J85-L85-N85</ns0:f>
        <ns0:v>40721.00562236534</ns0:v>
      </ns0:c>
      <ns0:c r="R85" s="16">
        <ns0:f>P85-E85*'前提と出典'!$E$4</ns0:f>
        <ns0:v>152657.49437621504</ns0:v>
      </ns0:c>
      <ns0:c r="S85" s="16">
        <ns0:f>Q85-F85*'前提と出典'!$E$4</ns0:f>
        <ns0:v>22970.652341715708</ns0:v>
      </ns0:c>
      <ns0:c r="T85" s="7">
        <ns0:f>R85+S85</ns0:f>
        <ns0:v>175628.14671793074</ns0:v>
      </ns0:c>
      <ns0:c r="U85" s="16">
        <ns0:f>P85-E85*'前提と出典'!$E$5</ns0:f>
        <ns0:v>132295.1236979636</ns0:v>
      </ns0:c>
      <ns0:c r="V85" s="16">
        <ns0:f>Q85-F85*'前提と出典'!$E$5</ns0:f>
        <ns0:v>17053.867914832495</ns0:v>
      </ns0:c>
      <ns0:c r="W85" s="7">
        <ns0:f>U85+V85</ns0:f>
        <ns0:v>149348.9916127961</ns0:v>
      </ns0:c>
      <ns0:c r="X85" s="16">
        <ns0:f>P85-E85*'前提と出典'!$E$6</ns0:f>
        <ns0:v>111932.75301971218</ns0:v>
      </ns0:c>
      <ns0:c r="Y85" s="16">
        <ns0:f>Q85-F85*'前提と出典'!$E$6</ns0:f>
        <ns0:v>11137.083487949283</ns0:v>
      </ns0:c>
      <ns0:c r="Z85" s="7">
        <ns0:f>X85+Y85</ns0:f>
        <ns0:v>123069.83650766147</ns0:v>
      </ns0:c>
      <ns0:c r="AA85" s="7">
        <ns0:f>IF(T85&gt;=0,A85,1001)</ns0:f>
        <ns0:v>81</ns0:v>
      </ns0:c>
      <ns0:c r="AB85" s="7">
        <ns0:f>IF(T85&lt;0,A85,0)</ns0:f>
        <ns0:v>0</ns0:v>
      </ns0:c>
      <ns0:c r="AC85" s="16">
        <ns0:f>IF(AND(OR('前提と出典'!$C$36+'前提と出典'!$C$38=0,R85&gt;=0),OR('前提と出典'!$C$37+'前提と出典'!$C$38=0,S85&gt;=0)),0,A85)</ns0:f>
        <ns0:v>0</ns0:v>
      </ns0:c>
      <ns0:c r="AD85" s="7">
        <ns0:f>IF(W85&gt;=0,A85,1001)</ns0:f>
        <ns0:v>81</ns0:v>
      </ns0:c>
      <ns0:c r="AE85" s="7">
        <ns0:f>IF(W85&lt;0,A85,0)</ns0:f>
        <ns0:v>0</ns0:v>
      </ns0:c>
      <ns0:c r="AF85" s="16">
        <ns0:f>IF(AND(OR('前提と出典'!$C$36+'前提と出典'!$C$38=0,U85&gt;=0),OR('前提と出典'!$C$37+'前提と出典'!$C$38=0,V85&gt;=0)),0,A85)</ns0:f>
        <ns0:v>0</ns0:v>
      </ns0:c>
      <ns0:c r="AG85" s="7">
        <ns0:f>IF(Z85&gt;=0,A85,1001)</ns0:f>
        <ns0:v>81</ns0:v>
      </ns0:c>
      <ns0:c r="AH85" s="4">
        <ns0:f>IF(Z85&lt;0,A85,0)</ns0:f>
        <ns0:v>0</ns0:v>
      </ns0:c>
      <ns0:c r="AI85" s="12">
        <ns0:f>IF(AND(OR('前提と出典'!$C$36+'前提と出典'!$C$38=0,X85&gt;=0),OR('前提と出典'!$C$37+'前提と出典'!$C$38=0,Y85&gt;=0)),0,A85)</ns0:f>
        <ns0:v>0</ns0:v>
      </ns0:c>
    </ns0:row>
    <ns0:row r="86" ht="24" customHeight="1">
      <ns0:c r="A86" s="4" t="n">
        <ns0:v>82</ns0:v>
      </ns0:c>
      <ns0:c r="B86" s="12">
        <ns0:f>A86*('前提と出典'!$C$36+'前提と出典'!$C$38)</ns0:f>
        <ns0:v>57.4</ns0:v>
      </ns0:c>
      <ns0:c r="C86" s="12">
        <ns0:f>A86*('前提と出典'!$C$37+'前提と出典'!$C$38)</ns0:f>
        <ns0:v>49.199999999999996</ns0:v>
      </ns0:c>
      <ns0:c r="D86" s="16">
        <ns0:f>A86*('前提と出典'!$C$36*'契約別単価'!C5+'前提と出典'!$C$37*'契約別単価'!C6+'前提と出典'!$C$38*'契約別単価'!C7)</ns0:f>
        <ns0:v>590.0335195530727</ns0:v>
      </ns0:c>
      <ns0:c r="E86" s="16">
        <ns0:f>A86*('前提と出典'!$C$36*'契約別単価'!E5+'前提と出典'!$C$37*'契約別単価'!E6+'前提と出典'!$C$38*'契約別単価'!E7)</ns0:f>
        <ns0:v>206137.57970575488</ns0:v>
      </ns0:c>
      <ns0:c r="F86" s="16">
        <ns0:f>A86*('前提と出典'!$C$36*'契約別単価'!F5+'前提と出典'!$C$37*'契約別単価'!F6+'前提と出典'!$C$38*'契約別単価'!F7)</ns0:f>
        <ns0:v>59898.311482027566</ns0:v>
      </ns0:c>
      <ns0:c r="G86" s="16">
        <ns0:f>A86*('前提と出典'!$C$36*'契約別単価'!G5+'前提と出典'!$C$37*'契約別単価'!G6+'前提と出典'!$C$38*'契約別単価'!G7)</ns0:f>
        <ns0:v>163221.22905027933</ns0:v>
      </ns0:c>
      <ns0:c r="H86" s="16">
        <ns0:f>A86*('前提と出典'!$C$36*'契約別単価'!H5+'前提と出典'!$C$37*'契約別単価'!H6+'前提と出典'!$C$38*'契約別単価'!H7)</ns0:f>
        <ns0:v>56645.95266836977</ns0:v>
      </ns0:c>
      <ns0:c r="I86" s="16">
        <ns0:f>A86*('前提と出典'!$C$36*'契約別単価'!I5+'前提と出典'!$C$37*'契約別単価'!I6+'前提と出典'!$C$38*'契約別単価'!I7)</ns0:f>
        <ns0:v>3460.033519553072</ns0:v>
      </ns0:c>
      <ns0:c r="J86" s="16">
        <ns0:f>A86*('前提と出典'!$C$36*'契約別単価'!J5+'前提と出典'!$C$37*'契約別単価'!J6+'前提と出典'!$C$38*'契約別単価'!J7)</ns0:f>
        <ns0:v>8059.74258424481</ns0:v>
      </ns0:c>
      <ns0:c r="K86" s="16">
        <ns0:f>A86*('前提と出典'!$C$36*'契約別単価'!K5+'前提と出典'!$C$37*'契約別単価'!K6+'前提と出典'!$C$38*'契約別単価'!K7)</ns0:f>
        <ns0:v>34546.890130353815</ns0:v>
      </ns0:c>
      <ns0:c r="L86" s="16">
        <ns0:f>A86*('前提と出典'!$C$36*'契約別単価'!L5+'前提と出典'!$C$37*'契約別単価'!L6+'前提と出典'!$C$38*'契約別単価'!L7)</ns0:f>
        <ns0:v>28128.19842227899</ns0:v>
      </ns0:c>
      <ns0:c r="M86" s="16">
        <ns0:f>IF(('前提と出典'!$C$36+'前提と出典'!$C$38)=0,0,IF(B86&lt;=10,'前提と出典'!B73+'前提と出典'!C73,IF(B86&lt;=100,'前提と出典'!B74+'前提と出典'!C74,IF(B86&lt;=500,'前提と出典'!B75+'前提と出典'!C75,'前提と出典'!B76+'前提と出典'!C76))))</ns0:f>
        <ns0:v>20000</ns0:v>
      </ns0:c>
      <ns0:c r="N86" s="16">
        <ns0:f>IF(('前提と出典'!$C$37+'前提と出典'!$C$38)=0,0,IF(C86&lt;=10,'前提と出典'!D73+'前提と出典'!E73,IF(C86&lt;=100,'前提と出典'!D74+'前提と出典'!E74,IF(C86&lt;=500,'前提と出典'!D75+'前提と出典'!E75,'前提と出典'!D76+'前提と出典'!E76))))</ns0:f>
        <ns0:v>34510.9346263078</ns0:v>
      </ns0:c>
      <ns0:c r="O86" s="16">
        <ns0:f>IF('前提と出典'!$C$36+'前提と出典'!$C$38=0,0,'前提と出典'!$B$4*IF('前提と出典'!$B$20=0,MAX('前提と出典'!$B$6,D86*'前提と出典'!$B$5),'前提と出典'!$B$6+D86*'前提と出典'!$B$5))</ns0:f>
        <ns0:v>81424.62569832403</ns0:v>
      </ns0:c>
      <ns0:c r="P86" s="16">
        <ns0:f>(E86+G86)*(1-'前提と出典'!$B$7)-I86-K86-M86-O86</ns0:f>
        <ns0:v>216630.34229258608</ns0:v>
      </ns0:c>
      <ns0:c r="Q86" s="16">
        <ns0:f>(F86+H86)*(1-'前提と出典'!$B$7)-J86-L86-N86</ns0:f>
        <ns0:v>41649.79500815142</ns0:v>
      </ns0:c>
      <ns0:c r="R86" s="16">
        <ns0:f>P86-E86*'前提と出典'!$E$4</ns0:f>
        <ns0:v>154789.06838085965</ns0:v>
      </ns0:c>
      <ns0:c r="S86" s="16">
        <ns0:f>Q86-F86*'前提と出典'!$E$4</ns0:f>
        <ns0:v>23680.30156354316</ns0:v>
      </ns0:c>
      <ns0:c r="T86" s="7">
        <ns0:f>R86+S86</ns0:f>
        <ns0:v>178469.3699444028</ns0:v>
      </ns0:c>
      <ns0:c r="U86" s="16">
        <ns0:f>P86-E86*'前提と出典'!$E$5</ns0:f>
        <ns0:v>134175.31041028412</ns0:v>
      </ns0:c>
      <ns0:c r="V86" s="16">
        <ns0:f>Q86-F86*'前提と出典'!$E$5</ns0:f>
        <ns0:v>17690.470415340395</ns0:v>
      </ns0:c>
      <ns0:c r="W86" s="7">
        <ns0:f>U86+V86</ns0:f>
        <ns0:v>151865.7808256245</ns0:v>
      </ns0:c>
      <ns0:c r="X86" s="16">
        <ns0:f>P86-E86*'前提と出典'!$E$6</ns0:f>
        <ns0:v>113561.55243970864</ns0:v>
      </ns0:c>
      <ns0:c r="Y86" s="16">
        <ns0:f>Q86-F86*'前提と出典'!$E$6</ns0:f>
        <ns0:v>11700.63926713763</ns0:v>
      </ns0:c>
      <ns0:c r="Z86" s="7">
        <ns0:f>X86+Y86</ns0:f>
        <ns0:v>125262.19170684626</ns0:v>
      </ns0:c>
      <ns0:c r="AA86" s="7">
        <ns0:f>IF(T86&gt;=0,A86,1001)</ns0:f>
        <ns0:v>82</ns0:v>
      </ns0:c>
      <ns0:c r="AB86" s="7">
        <ns0:f>IF(T86&lt;0,A86,0)</ns0:f>
        <ns0:v>0</ns0:v>
      </ns0:c>
      <ns0:c r="AC86" s="16">
        <ns0:f>IF(AND(OR('前提と出典'!$C$36+'前提と出典'!$C$38=0,R86&gt;=0),OR('前提と出典'!$C$37+'前提と出典'!$C$38=0,S86&gt;=0)),0,A86)</ns0:f>
        <ns0:v>0</ns0:v>
      </ns0:c>
      <ns0:c r="AD86" s="7">
        <ns0:f>IF(W86&gt;=0,A86,1001)</ns0:f>
        <ns0:v>82</ns0:v>
      </ns0:c>
      <ns0:c r="AE86" s="7">
        <ns0:f>IF(W86&lt;0,A86,0)</ns0:f>
        <ns0:v>0</ns0:v>
      </ns0:c>
      <ns0:c r="AF86" s="16">
        <ns0:f>IF(AND(OR('前提と出典'!$C$36+'前提と出典'!$C$38=0,U86&gt;=0),OR('前提と出典'!$C$37+'前提と出典'!$C$38=0,V86&gt;=0)),0,A86)</ns0:f>
        <ns0:v>0</ns0:v>
      </ns0:c>
      <ns0:c r="AG86" s="7">
        <ns0:f>IF(Z86&gt;=0,A86,1001)</ns0:f>
        <ns0:v>82</ns0:v>
      </ns0:c>
      <ns0:c r="AH86" s="4">
        <ns0:f>IF(Z86&lt;0,A86,0)</ns0:f>
        <ns0:v>0</ns0:v>
      </ns0:c>
      <ns0:c r="AI86" s="12">
        <ns0:f>IF(AND(OR('前提と出典'!$C$36+'前提と出典'!$C$38=0,X86&gt;=0),OR('前提と出典'!$C$37+'前提と出典'!$C$38=0,Y86&gt;=0)),0,A86)</ns0:f>
        <ns0:v>0</ns0:v>
      </ns0:c>
    </ns0:row>
    <ns0:row r="87" ht="24" customHeight="1">
      <ns0:c r="A87" s="4" t="n">
        <ns0:v>83</ns0:v>
      </ns0:c>
      <ns0:c r="B87" s="12">
        <ns0:f>A87*('前提と出典'!$C$36+'前提と出典'!$C$38)</ns0:f>
        <ns0:v>58.099999999999994</ns0:v>
      </ns0:c>
      <ns0:c r="C87" s="12">
        <ns0:f>A87*('前提と出典'!$C$37+'前提と出典'!$C$38)</ns0:f>
        <ns0:v>49.8</ns0:v>
      </ns0:c>
      <ns0:c r="D87" s="16">
        <ns0:f>A87*('前提と出典'!$C$36*'契約別単価'!C5+'前提と出典'!$C$37*'契約別単価'!C6+'前提と出典'!$C$38*'契約別単価'!C7)</ns0:f>
        <ns0:v>597.2290502793296</ns0:v>
      </ns0:c>
      <ns0:c r="E87" s="16">
        <ns0:f>A87*('前提と出典'!$C$36*'契約別単価'!E5+'前提と出典'!$C$37*'契約別単価'!E6+'前提と出典'!$C$38*'契約別単価'!E7)</ns0:f>
        <ns0:v>208651.4526289958</ns0:v>
      </ns0:c>
      <ns0:c r="F87" s="16">
        <ns0:f>A87*('前提と出典'!$C$36*'契約別単価'!F5+'前提と出典'!$C$37*'契約別単価'!F6+'前提と出典'!$C$38*'契約別単価'!F7)</ns0:f>
        <ns0:v>60628.77869522302</ns0:v>
      </ns0:c>
      <ns0:c r="G87" s="16">
        <ns0:f>A87*('前提と出典'!$C$36*'契約別単価'!G5+'前提と出典'!$C$37*'契約別単価'!G6+'前提と出典'!$C$38*'契約別単価'!G7)</ns0:f>
        <ns0:v>165211.7318435754</ns0:v>
      </ns0:c>
      <ns0:c r="H87" s="16">
        <ns0:f>A87*('前提と出典'!$C$36*'契約別単価'!H5+'前提と出典'!$C$37*'契約別単価'!H6+'前提と出典'!$C$38*'契約別単価'!H7)</ns0:f>
        <ns0:v>57336.75696920355</ns0:v>
      </ns0:c>
      <ns0:c r="I87" s="16">
        <ns0:f>A87*('前提と出典'!$C$36*'契約別単価'!I5+'前提と出典'!$C$37*'契約別単価'!I6+'前提と出典'!$C$38*'契約別単価'!I7)</ns0:f>
        <ns0:v>3502.229050279329</ns0:v>
      </ns0:c>
      <ns0:c r="J87" s="16">
        <ns0:f>A87*('前提と出典'!$C$36*'契約別単価'!J5+'前提と出典'!$C$37*'契約別単価'!J6+'前提と出典'!$C$38*'契約別単価'!J7)</ns0:f>
        <ns0:v>8158.032127955113</ns0:v>
      </ns0:c>
      <ns0:c r="K87" s="16">
        <ns0:f>A87*('前提と出典'!$C$36*'契約別単価'!K5+'前提と出典'!$C$37*'契約別単価'!K6+'前提と出典'!$C$38*'契約別単価'!K7)</ns0:f>
        <ns0:v>34968.19366852886</ns0:v>
      </ns0:c>
      <ns0:c r="L87" s="16">
        <ns0:f>A87*('前提と出典'!$C$36*'契約別単価'!L5+'前提と出典'!$C$37*'契約別単価'!L6+'前提と出典'!$C$38*'契約別単価'!L7)</ns0:f>
        <ns0:v>28471.225232306784</ns0:v>
      </ns0:c>
      <ns0:c r="M87" s="16">
        <ns0:f>IF(('前提と出典'!$C$36+'前提と出典'!$C$38)=0,0,IF(B87&lt;=10,'前提と出典'!B73+'前提と出典'!C73,IF(B87&lt;=100,'前提と出典'!B74+'前提と出典'!C74,IF(B87&lt;=500,'前提と出典'!B75+'前提と出典'!C75,'前提と出典'!B76+'前提と出典'!C76))))</ns0:f>
        <ns0:v>20000</ns0:v>
      </ns0:c>
      <ns0:c r="N87" s="16">
        <ns0:f>IF(('前提と出典'!$C$37+'前提と出典'!$C$38)=0,0,IF(C87&lt;=10,'前提と出典'!D73+'前提と出典'!E73,IF(C87&lt;=100,'前提と出典'!D74+'前提と出典'!E74,IF(C87&lt;=500,'前提と出典'!D75+'前提と出典'!E75,'前提と出典'!D76+'前提と出典'!E76))))</ns0:f>
        <ns0:v>34510.9346263078</ns0:v>
      </ns0:c>
      <ns0:c r="O87" s="16">
        <ns0:f>IF('前提と出典'!$C$36+'前提と出典'!$C$38=0,0,'前提と出典'!$B$4*IF('前提と出典'!$B$20=0,MAX('前提と出典'!$B$6,D87*'前提と出典'!$B$5),'前提と出典'!$B$6+D87*'前提と出典'!$B$5))</ns0:f>
        <ns0:v>82417.60893854748</ns0:v>
      </ns0:c>
      <ns0:c r="P87" s="16">
        <ns0:f>(E87+G87)*(1-'前提と出典'!$B$7)-I87-K87-M87-O87</ns0:f>
        <ns0:v>219516.07817420294</ns0:v>
      </ns0:c>
      <ns0:c r="Q87" s="16">
        <ns0:f>(F87+H87)*(1-'前提と出典'!$B$7)-J87-L87-N87</ns0:f>
        <ns0:v>42578.58439393753</ns0:v>
      </ns0:c>
      <ns0:c r="R87" s="16">
        <ns0:f>P87-E87*'前提と出典'!$E$4</ns0:f>
        <ns0:v>156920.6423855042</ns0:v>
      </ns0:c>
      <ns0:c r="S87" s="16">
        <ns0:f>Q87-F87*'前提と出典'!$E$4</ns0:f>
        <ns0:v>24389.950785370624</ns0:v>
      </ns0:c>
      <ns0:c r="T87" s="7">
        <ns0:f>R87+S87</ns0:f>
        <ns0:v>181310.59317087484</ns0:v>
      </ns0:c>
      <ns0:c r="U87" s="16">
        <ns0:f>P87-E87*'前提と出典'!$E$5</ns0:f>
        <ns0:v>136055.49712260463</ns0:v>
      </ns0:c>
      <ns0:c r="V87" s="16">
        <ns0:f>Q87-F87*'前提と出典'!$E$5</ns0:f>
        <ns0:v>18327.072915848323</ns0:v>
      </ns0:c>
      <ns0:c r="W87" s="7">
        <ns0:f>U87+V87</ns0:f>
        <ns0:v>154382.57003845295</ns0:v>
      </ns0:c>
      <ns0:c r="X87" s="16">
        <ns0:f>P87-E87*'前提と出典'!$E$6</ns0:f>
        <ns0:v>115190.35185970507</ns0:v>
      </ns0:c>
      <ns0:c r="Y87" s="16">
        <ns0:f>Q87-F87*'前提と出典'!$E$6</ns0:f>
        <ns0:v>12264.195046326007</ns0:v>
      </ns0:c>
      <ns0:c r="Z87" s="7">
        <ns0:f>X87+Y87</ns0:f>
        <ns0:v>127454.54690603109</ns0:v>
      </ns0:c>
      <ns0:c r="AA87" s="7">
        <ns0:f>IF(T87&gt;=0,A87,1001)</ns0:f>
        <ns0:v>83</ns0:v>
      </ns0:c>
      <ns0:c r="AB87" s="7">
        <ns0:f>IF(T87&lt;0,A87,0)</ns0:f>
        <ns0:v>0</ns0:v>
      </ns0:c>
      <ns0:c r="AC87" s="16">
        <ns0:f>IF(AND(OR('前提と出典'!$C$36+'前提と出典'!$C$38=0,R87&gt;=0),OR('前提と出典'!$C$37+'前提と出典'!$C$38=0,S87&gt;=0)),0,A87)</ns0:f>
        <ns0:v>0</ns0:v>
      </ns0:c>
      <ns0:c r="AD87" s="7">
        <ns0:f>IF(W87&gt;=0,A87,1001)</ns0:f>
        <ns0:v>83</ns0:v>
      </ns0:c>
      <ns0:c r="AE87" s="7">
        <ns0:f>IF(W87&lt;0,A87,0)</ns0:f>
        <ns0:v>0</ns0:v>
      </ns0:c>
      <ns0:c r="AF87" s="16">
        <ns0:f>IF(AND(OR('前提と出典'!$C$36+'前提と出典'!$C$38=0,U87&gt;=0),OR('前提と出典'!$C$37+'前提と出典'!$C$38=0,V87&gt;=0)),0,A87)</ns0:f>
        <ns0:v>0</ns0:v>
      </ns0:c>
      <ns0:c r="AG87" s="7">
        <ns0:f>IF(Z87&gt;=0,A87,1001)</ns0:f>
        <ns0:v>83</ns0:v>
      </ns0:c>
      <ns0:c r="AH87" s="4">
        <ns0:f>IF(Z87&lt;0,A87,0)</ns0:f>
        <ns0:v>0</ns0:v>
      </ns0:c>
      <ns0:c r="AI87" s="12">
        <ns0:f>IF(AND(OR('前提と出典'!$C$36+'前提と出典'!$C$38=0,X87&gt;=0),OR('前提と出典'!$C$37+'前提と出典'!$C$38=0,Y87&gt;=0)),0,A87)</ns0:f>
        <ns0:v>0</ns0:v>
      </ns0:c>
    </ns0:row>
    <ns0:row r="88" ht="24" customHeight="1">
      <ns0:c r="A88" s="4" t="n">
        <ns0:v>84</ns0:v>
      </ns0:c>
      <ns0:c r="B88" s="12">
        <ns0:f>A88*('前提と出典'!$C$36+'前提と出典'!$C$38)</ns0:f>
        <ns0:v>58.8</ns0:v>
      </ns0:c>
      <ns0:c r="C88" s="12">
        <ns0:f>A88*('前提と出典'!$C$37+'前提と出典'!$C$38)</ns0:f>
        <ns0:v>50.4</ns0:v>
      </ns0:c>
      <ns0:c r="D88" s="16">
        <ns0:f>A88*('前提と出典'!$C$36*'契約別単価'!C5+'前提と出典'!$C$37*'契約別単価'!C6+'前提と出典'!$C$38*'契約別単価'!C7)</ns0:f>
        <ns0:v>604.4245810055866</ns0:v>
      </ns0:c>
      <ns0:c r="E88" s="16">
        <ns0:f>A88*('前提と出典'!$C$36*'契約別単価'!E5+'前提と出典'!$C$37*'契約別単価'!E6+'前提と出典'!$C$38*'契約別単価'!E7)</ns0:f>
        <ns0:v>211165.3255522367</ns0:v>
      </ns0:c>
      <ns0:c r="F88" s="16">
        <ns0:f>A88*('前提と出典'!$C$36*'契約別単価'!F5+'前提と出典'!$C$37*'契約別単価'!F6+'前提と出典'!$C$38*'契約別単価'!F7)</ns0:f>
        <ns0:v>61359.24590841849</ns0:v>
      </ns0:c>
      <ns0:c r="G88" s="16">
        <ns0:f>A88*('前提と出典'!$C$36*'契約別単価'!G5+'前提と出典'!$C$37*'契約別単価'!G6+'前提と出典'!$C$38*'契約別単価'!G7)</ns0:f>
        <ns0:v>167202.2346368715</ns0:v>
      </ns0:c>
      <ns0:c r="H88" s="16">
        <ns0:f>A88*('前提と出典'!$C$36*'契約別単価'!H5+'前提と出典'!$C$37*'契約別単価'!H6+'前提と出典'!$C$38*'契約別単価'!H7)</ns0:f>
        <ns0:v>58027.561270037324</ns0:v>
      </ns0:c>
      <ns0:c r="I88" s="16">
        <ns0:f>A88*('前提と出典'!$C$36*'契約別単価'!I5+'前提と出典'!$C$37*'契約別単価'!I6+'前提と出典'!$C$38*'契約別単価'!I7)</ns0:f>
        <ns0:v>3544.424581005586</ns0:v>
      </ns0:c>
      <ns0:c r="J88" s="16">
        <ns0:f>A88*('前提と出典'!$C$36*'契約別単価'!J5+'前提と出典'!$C$37*'契約別単価'!J6+'前提と出典'!$C$38*'契約別単価'!J7)</ns0:f>
        <ns0:v>8256.321671665415</ns0:v>
      </ns0:c>
      <ns0:c r="K88" s="16">
        <ns0:f>A88*('前提と出典'!$C$36*'契約別単価'!K5+'前提と出典'!$C$37*'契約別単価'!K6+'前提と出典'!$C$38*'契約別単価'!K7)</ns0:f>
        <ns0:v>35389.497206703905</ns0:v>
      </ns0:c>
      <ns0:c r="L88" s="16">
        <ns0:f>A88*('前提と出典'!$C$36*'契約別単価'!L5+'前提と出典'!$C$37*'契約別単価'!L6+'前提と出典'!$C$38*'契約別単価'!L7)</ns0:f>
        <ns0:v>28814.252042334578</ns0:v>
      </ns0:c>
      <ns0:c r="M88" s="16">
        <ns0:f>IF(('前提と出典'!$C$36+'前提と出典'!$C$38)=0,0,IF(B88&lt;=10,'前提と出典'!B73+'前提と出典'!C73,IF(B88&lt;=100,'前提と出典'!B74+'前提と出典'!C74,IF(B88&lt;=500,'前提と出典'!B75+'前提と出典'!C75,'前提と出典'!B76+'前提と出典'!C76))))</ns0:f>
        <ns0:v>20000</ns0:v>
      </ns0:c>
      <ns0:c r="N88" s="16">
        <ns0:f>IF(('前提と出典'!$C$37+'前提と出典'!$C$38)=0,0,IF(C88&lt;=10,'前提と出典'!D73+'前提と出典'!E73,IF(C88&lt;=100,'前提と出典'!D74+'前提と出典'!E74,IF(C88&lt;=500,'前提と出典'!D75+'前提と出典'!E75,'前提と出典'!D76+'前提と出典'!E76))))</ns0:f>
        <ns0:v>34510.9346263078</ns0:v>
      </ns0:c>
      <ns0:c r="O88" s="16">
        <ns0:f>IF('前提と出典'!$C$36+'前提と出典'!$C$38=0,0,'前提と出典'!$B$4*IF('前提と出典'!$B$20=0,MAX('前提と出典'!$B$6,D88*'前提と出典'!$B$5),'前提と出典'!$B$6+D88*'前提と出典'!$B$5))</ns0:f>
        <ns0:v>83410.59217877094</ns0:v>
      </ns0:c>
      <ns0:c r="P88" s="16">
        <ns0:f>(E88+G88)*(1-'前提と出典'!$B$7)-I88-K88-M88-O88</ns0:f>
        <ns0:v>222401.81405581988</ns0:v>
      </ns0:c>
      <ns0:c r="Q88" s="16">
        <ns0:f>(F88+H88)*(1-'前提と出典'!$B$7)-J88-L88-N88</ns0:f>
        <ns0:v>43507.37377972361</ns0:v>
      </ns0:c>
      <ns0:c r="R88" s="16">
        <ns0:f>P88-E88*'前提と出典'!$E$4</ns0:f>
        <ns0:v>159052.21639014885</ns0:v>
      </ns0:c>
      <ns0:c r="S88" s="16">
        <ns0:f>Q88-F88*'前提と出典'!$E$4</ns0:f>
        <ns0:v>25099.600007198067</ns0:v>
      </ns0:c>
      <ns0:c r="T88" s="7">
        <ns0:f>R88+S88</ns0:f>
        <ns0:v>184151.8163973469</ns0:v>
      </ns0:c>
      <ns0:c r="U88" s="16">
        <ns0:f>P88-E88*'前提と出典'!$E$5</ns0:f>
        <ns0:v>137935.68383492518</ns0:v>
      </ns0:c>
      <ns0:c r="V88" s="16">
        <ns0:f>Q88-F88*'前提と出典'!$E$5</ns0:f>
        <ns0:v>18963.675416356215</ns0:v>
      </ns0:c>
      <ns0:c r="W88" s="7">
        <ns0:f>U88+V88</ns0:f>
        <ns0:v>156899.3592512814</ns0:v>
      </ns0:c>
      <ns0:c r="X88" s="16">
        <ns0:f>P88-E88*'前提と出典'!$E$6</ns0:f>
        <ns0:v>116819.15127970155</ns0:v>
      </ns0:c>
      <ns0:c r="Y88" s="16">
        <ns0:f>Q88-F88*'前提と出典'!$E$6</ns0:f>
        <ns0:v>12827.750825514362</ns0:v>
      </ns0:c>
      <ns0:c r="Z88" s="7">
        <ns0:f>X88+Y88</ns0:f>
        <ns0:v>129646.90210521591</ns0:v>
      </ns0:c>
      <ns0:c r="AA88" s="7">
        <ns0:f>IF(T88&gt;=0,A88,1001)</ns0:f>
        <ns0:v>84</ns0:v>
      </ns0:c>
      <ns0:c r="AB88" s="7">
        <ns0:f>IF(T88&lt;0,A88,0)</ns0:f>
        <ns0:v>0</ns0:v>
      </ns0:c>
      <ns0:c r="AC88" s="16">
        <ns0:f>IF(AND(OR('前提と出典'!$C$36+'前提と出典'!$C$38=0,R88&gt;=0),OR('前提と出典'!$C$37+'前提と出典'!$C$38=0,S88&gt;=0)),0,A88)</ns0:f>
        <ns0:v>0</ns0:v>
      </ns0:c>
      <ns0:c r="AD88" s="7">
        <ns0:f>IF(W88&gt;=0,A88,1001)</ns0:f>
        <ns0:v>84</ns0:v>
      </ns0:c>
      <ns0:c r="AE88" s="7">
        <ns0:f>IF(W88&lt;0,A88,0)</ns0:f>
        <ns0:v>0</ns0:v>
      </ns0:c>
      <ns0:c r="AF88" s="16">
        <ns0:f>IF(AND(OR('前提と出典'!$C$36+'前提と出典'!$C$38=0,U88&gt;=0),OR('前提と出典'!$C$37+'前提と出典'!$C$38=0,V88&gt;=0)),0,A88)</ns0:f>
        <ns0:v>0</ns0:v>
      </ns0:c>
      <ns0:c r="AG88" s="7">
        <ns0:f>IF(Z88&gt;=0,A88,1001)</ns0:f>
        <ns0:v>84</ns0:v>
      </ns0:c>
      <ns0:c r="AH88" s="4">
        <ns0:f>IF(Z88&lt;0,A88,0)</ns0:f>
        <ns0:v>0</ns0:v>
      </ns0:c>
      <ns0:c r="AI88" s="12">
        <ns0:f>IF(AND(OR('前提と出典'!$C$36+'前提と出典'!$C$38=0,X88&gt;=0),OR('前提と出典'!$C$37+'前提と出典'!$C$38=0,Y88&gt;=0)),0,A88)</ns0:f>
        <ns0:v>0</ns0:v>
      </ns0:c>
    </ns0:row>
    <ns0:row r="89" ht="24" customHeight="1">
      <ns0:c r="A89" s="4" t="n">
        <ns0:v>85</ns0:v>
      </ns0:c>
      <ns0:c r="B89" s="12">
        <ns0:f>A89*('前提と出典'!$C$36+'前提と出典'!$C$38)</ns0:f>
        <ns0:v>59.49999999999999</ns0:v>
      </ns0:c>
      <ns0:c r="C89" s="12">
        <ns0:f>A89*('前提と出典'!$C$37+'前提と出典'!$C$38)</ns0:f>
        <ns0:v>51</ns0:v>
      </ns0:c>
      <ns0:c r="D89" s="16">
        <ns0:f>A89*('前提と出典'!$C$36*'契約別単価'!C5+'前提と出典'!$C$37*'契約別単価'!C6+'前提と出典'!$C$38*'契約別単価'!C7)</ns0:f>
        <ns0:v>611.6201117318436</ns0:v>
      </ns0:c>
      <ns0:c r="E89" s="16">
        <ns0:f>A89*('前提と出典'!$C$36*'契約別単価'!E5+'前提と出典'!$C$37*'契約別単価'!E6+'前提と出典'!$C$38*'契約別単価'!E7)</ns0:f>
        <ns0:v>213679.19847547763</ns0:v>
      </ns0:c>
      <ns0:c r="F89" s="16">
        <ns0:f>A89*('前提と出典'!$C$36*'契約別単価'!F5+'前提と出典'!$C$37*'契約別単価'!F6+'前提と出典'!$C$38*'契約別単価'!F7)</ns0:f>
        <ns0:v>62089.713121613946</ns0:v>
      </ns0:c>
      <ns0:c r="G89" s="16">
        <ns0:f>A89*('前提と出典'!$C$36*'契約別単価'!G5+'前提と出典'!$C$37*'契約別単価'!G6+'前提と出典'!$C$38*'契約別単価'!G7)</ns0:f>
        <ns0:v>169192.7374301676</ns0:v>
      </ns0:c>
      <ns0:c r="H89" s="16">
        <ns0:f>A89*('前提と出典'!$C$36*'契約別単価'!H5+'前提と出典'!$C$37*'契約別単価'!H6+'前提と出典'!$C$38*'契約別単価'!H7)</ns0:f>
        <ns0:v>58718.3655708711</ns0:v>
      </ns0:c>
      <ns0:c r="I89" s="16">
        <ns0:f>A89*('前提と出典'!$C$36*'契約別単価'!I5+'前提と出典'!$C$37*'契約別単価'!I6+'前提と出典'!$C$38*'契約別単価'!I7)</ns0:f>
        <ns0:v>3586.620111731843</ns0:v>
      </ns0:c>
      <ns0:c r="J89" s="16">
        <ns0:f>A89*('前提と出典'!$C$36*'契約別単価'!J5+'前提と出典'!$C$37*'契約別単価'!J6+'前提と出典'!$C$38*'契約別単価'!J7)</ns0:f>
        <ns0:v>8354.611215375719</ns0:v>
      </ns0:c>
      <ns0:c r="K89" s="16">
        <ns0:f>A89*('前提と出典'!$C$36*'契約別単価'!K5+'前提と出典'!$C$37*'契約別単価'!K6+'前提と出典'!$C$38*'契約別単価'!K7)</ns0:f>
        <ns0:v>35810.80074487896</ns0:v>
      </ns0:c>
      <ns0:c r="L89" s="16">
        <ns0:f>A89*('前提と出典'!$C$36*'契約別単価'!L5+'前提と出典'!$C$37*'契約別単価'!L6+'前提と出典'!$C$38*'契約別単価'!L7)</ns0:f>
        <ns0:v>29157.278852362368</ns0:v>
      </ns0:c>
      <ns0:c r="M89" s="16">
        <ns0:f>IF(('前提と出典'!$C$36+'前提と出典'!$C$38)=0,0,IF(B89&lt;=10,'前提と出典'!B73+'前提と出典'!C73,IF(B89&lt;=100,'前提と出典'!B74+'前提と出典'!C74,IF(B89&lt;=500,'前提と出典'!B75+'前提と出典'!C75,'前提と出典'!B76+'前提と出典'!C76))))</ns0:f>
        <ns0:v>20000</ns0:v>
      </ns0:c>
      <ns0:c r="N89" s="16">
        <ns0:f>IF(('前提と出典'!$C$37+'前提と出典'!$C$38)=0,0,IF(C89&lt;=10,'前提と出典'!D73+'前提と出典'!E73,IF(C89&lt;=100,'前提と出典'!D74+'前提と出典'!E74,IF(C89&lt;=500,'前提と出典'!D75+'前提と出典'!E75,'前提と出典'!D76+'前提と出典'!E76))))</ns0:f>
        <ns0:v>34510.9346263078</ns0:v>
      </ns0:c>
      <ns0:c r="O89" s="16">
        <ns0:f>IF('前提と出典'!$C$36+'前提と出典'!$C$38=0,0,'前提と出典'!$B$4*IF('前提と出典'!$B$20=0,MAX('前提と出典'!$B$6,D89*'前提と出典'!$B$5),'前提と出典'!$B$6+D89*'前提と出典'!$B$5))</ns0:f>
        <ns0:v>84403.57541899441</ns0:v>
      </ns0:c>
      <ns0:c r="P89" s="16">
        <ns0:f>(E89+G89)*(1-'前提と出典'!$B$7)-I89-K89-M89-O89</ns0:f>
        <ns0:v>225287.54993743682</ns0:v>
      </ns0:c>
      <ns0:c r="Q89" s="16">
        <ns0:f>(F89+H89)*(1-'前提と出典'!$B$7)-J89-L89-N89</ns0:f>
        <ns0:v>44436.16316550971</ns0:v>
      </ns0:c>
      <ns0:c r="R89" s="16">
        <ns0:f>P89-E89*'前提と出典'!$E$4</ns0:f>
        <ns0:v>161183.79039479356</ns0:v>
      </ns0:c>
      <ns0:c r="S89" s="16">
        <ns0:f>Q89-F89*'前提と出典'!$E$4</ns0:f>
        <ns0:v>25809.249229025532</ns0:v>
      </ns0:c>
      <ns0:c r="T89" s="7">
        <ns0:f>R89+S89</ns0:f>
        <ns0:v>186993.0396238191</ns0:v>
      </ns0:c>
      <ns0:c r="U89" s="16">
        <ns0:f>P89-E89*'前提と出典'!$E$5</ns0:f>
        <ns0:v>139815.87054724578</ns0:v>
      </ns0:c>
      <ns0:c r="V89" s="16">
        <ns0:f>Q89-F89*'前提と出典'!$E$5</ns0:f>
        <ns0:v>19600.27791686413</ns0:v>
      </ns0:c>
      <ns0:c r="W89" s="7">
        <ns0:f>U89+V89</ns0:f>
        <ns0:v>159416.14846410992</ns0:v>
      </ns0:c>
      <ns0:c r="X89" s="16">
        <ns0:f>P89-E89*'前提と出典'!$E$6</ns0:f>
        <ns0:v>118447.950699698</ns0:v>
      </ns0:c>
      <ns0:c r="Y89" s="16">
        <ns0:f>Q89-F89*'前提と出典'!$E$6</ns0:f>
        <ns0:v>13391.306604702739</ns0:v>
      </ns0:c>
      <ns0:c r="Z89" s="7">
        <ns0:f>X89+Y89</ns0:f>
        <ns0:v>131839.25730440073</ns0:v>
      </ns0:c>
      <ns0:c r="AA89" s="7">
        <ns0:f>IF(T89&gt;=0,A89,1001)</ns0:f>
        <ns0:v>85</ns0:v>
      </ns0:c>
      <ns0:c r="AB89" s="7">
        <ns0:f>IF(T89&lt;0,A89,0)</ns0:f>
        <ns0:v>0</ns0:v>
      </ns0:c>
      <ns0:c r="AC89" s="16">
        <ns0:f>IF(AND(OR('前提と出典'!$C$36+'前提と出典'!$C$38=0,R89&gt;=0),OR('前提と出典'!$C$37+'前提と出典'!$C$38=0,S89&gt;=0)),0,A89)</ns0:f>
        <ns0:v>0</ns0:v>
      </ns0:c>
      <ns0:c r="AD89" s="7">
        <ns0:f>IF(W89&gt;=0,A89,1001)</ns0:f>
        <ns0:v>85</ns0:v>
      </ns0:c>
      <ns0:c r="AE89" s="7">
        <ns0:f>IF(W89&lt;0,A89,0)</ns0:f>
        <ns0:v>0</ns0:v>
      </ns0:c>
      <ns0:c r="AF89" s="16">
        <ns0:f>IF(AND(OR('前提と出典'!$C$36+'前提と出典'!$C$38=0,U89&gt;=0),OR('前提と出典'!$C$37+'前提と出典'!$C$38=0,V89&gt;=0)),0,A89)</ns0:f>
        <ns0:v>0</ns0:v>
      </ns0:c>
      <ns0:c r="AG89" s="7">
        <ns0:f>IF(Z89&gt;=0,A89,1001)</ns0:f>
        <ns0:v>85</ns0:v>
      </ns0:c>
      <ns0:c r="AH89" s="4">
        <ns0:f>IF(Z89&lt;0,A89,0)</ns0:f>
        <ns0:v>0</ns0:v>
      </ns0:c>
      <ns0:c r="AI89" s="12">
        <ns0:f>IF(AND(OR('前提と出典'!$C$36+'前提と出典'!$C$38=0,X89&gt;=0),OR('前提と出典'!$C$37+'前提と出典'!$C$38=0,Y89&gt;=0)),0,A89)</ns0:f>
        <ns0:v>0</ns0:v>
      </ns0:c>
    </ns0:row>
    <ns0:row r="90" ht="24" customHeight="1">
      <ns0:c r="A90" s="4" t="n">
        <ns0:v>86</ns0:v>
      </ns0:c>
      <ns0:c r="B90" s="12">
        <ns0:f>A90*('前提と出典'!$C$36+'前提と出典'!$C$38)</ns0:f>
        <ns0:v>60.199999999999996</ns0:v>
      </ns0:c>
      <ns0:c r="C90" s="12">
        <ns0:f>A90*('前提と出典'!$C$37+'前提と出典'!$C$38)</ns0:f>
        <ns0:v>51.6</ns0:v>
      </ns0:c>
      <ns0:c r="D90" s="16">
        <ns0:f>A90*('前提と出典'!$C$36*'契約別単価'!C5+'前提と出典'!$C$37*'契約別単価'!C6+'前提と出典'!$C$38*'契約別単価'!C7)</ns0:f>
        <ns0:v>618.8156424581006</ns0:v>
      </ns0:c>
      <ns0:c r="E90" s="16">
        <ns0:f>A90*('前提と出典'!$C$36*'契約別単価'!E5+'前提と出典'!$C$37*'契約別単価'!E6+'前提と出典'!$C$38*'契約別単価'!E7)</ns0:f>
        <ns0:v>216193.07139871854</ns0:v>
      </ns0:c>
      <ns0:c r="F90" s="16">
        <ns0:f>A90*('前提と出典'!$C$36*'契約別単価'!F5+'前提と出典'!$C$37*'契約別単価'!F6+'前提と出典'!$C$38*'契約別単価'!F7)</ns0:f>
        <ns0:v>62820.1803348094</ns0:v>
      </ns0:c>
      <ns0:c r="G90" s="16">
        <ns0:f>A90*('前提と出典'!$C$36*'契約別単価'!G5+'前提と出典'!$C$37*'契約別単価'!G6+'前提と出典'!$C$38*'契約別単価'!G7)</ns0:f>
        <ns0:v>171183.24022346368</ns0:v>
      </ns0:c>
      <ns0:c r="H90" s="16">
        <ns0:f>A90*('前提と出典'!$C$36*'契約別単価'!H5+'前提と出典'!$C$37*'契約別単価'!H6+'前提と出典'!$C$38*'契約別単価'!H7)</ns0:f>
        <ns0:v>59409.16987170488</ns0:v>
      </ns0:c>
      <ns0:c r="I90" s="16">
        <ns0:f>A90*('前提と出典'!$C$36*'契約別単価'!I5+'前提と出典'!$C$37*'契約別単価'!I6+'前提と出典'!$C$38*'契約別単価'!I7)</ns0:f>
        <ns0:v>3628.8156424581</ns0:v>
      </ns0:c>
      <ns0:c r="J90" s="16">
        <ns0:f>A90*('前提と出典'!$C$36*'契約別単価'!J5+'前提と出典'!$C$37*'契約別単価'!J6+'前提と出典'!$C$38*'契約別単価'!J7)</ns0:f>
        <ns0:v>8452.90075908602</ns0:v>
      </ns0:c>
      <ns0:c r="K90" s="16">
        <ns0:f>A90*('前提と出典'!$C$36*'契約別単価'!K5+'前提と出典'!$C$37*'契約別単価'!K6+'前提と出典'!$C$38*'契約別単価'!K7)</ns0:f>
        <ns0:v>36232.104283054</ns0:v>
      </ns0:c>
      <ns0:c r="L90" s="16">
        <ns0:f>A90*('前提と出典'!$C$36*'契約別単価'!L5+'前提と出典'!$C$37*'契約別単価'!L6+'前提と出典'!$C$38*'契約別単価'!L7)</ns0:f>
        <ns0:v>29500.30566239016</ns0:v>
      </ns0:c>
      <ns0:c r="M90" s="16">
        <ns0:f>IF(('前提と出典'!$C$36+'前提と出典'!$C$38)=0,0,IF(B90&lt;=10,'前提と出典'!B73+'前提と出典'!C73,IF(B90&lt;=100,'前提と出典'!B74+'前提と出典'!C74,IF(B90&lt;=500,'前提と出典'!B75+'前提と出典'!C75,'前提と出典'!B76+'前提と出典'!C76))))</ns0:f>
        <ns0:v>20000</ns0:v>
      </ns0:c>
      <ns0:c r="N90" s="16">
        <ns0:f>IF(('前提と出典'!$C$37+'前提と出典'!$C$38)=0,0,IF(C90&lt;=10,'前提と出典'!D73+'前提と出典'!E73,IF(C90&lt;=100,'前提と出典'!D74+'前提と出典'!E74,IF(C90&lt;=500,'前提と出典'!D75+'前提と出典'!E75,'前提と出典'!D76+'前提と出典'!E76))))</ns0:f>
        <ns0:v>34510.9346263078</ns0:v>
      </ns0:c>
      <ns0:c r="O90" s="16">
        <ns0:f>IF('前提と出典'!$C$36+'前提と出典'!$C$38=0,0,'前提と出典'!$B$4*IF('前提と出典'!$B$20=0,MAX('前提と出典'!$B$6,D90*'前提と出典'!$B$5),'前提と出典'!$B$6+D90*'前提と出典'!$B$5))</ns0:f>
        <ns0:v>85396.55865921787</ns0:v>
      </ns0:c>
      <ns0:c r="P90" s="16">
        <ns0:f>(E90+G90)*(1-'前提と出典'!$B$7)-I90-K90-M90-O90</ns0:f>
        <ns0:v>228173.2858190537</ns0:v>
      </ns0:c>
      <ns0:c r="Q90" s="16">
        <ns0:f>(F90+H90)*(1-'前提と出典'!$B$7)-J90-L90-N90</ns0:f>
        <ns0:v>45364.952551295784</ns0:v>
      </ns0:c>
      <ns0:c r="R90" s="16">
        <ns0:f>P90-E90*'前提と出典'!$E$4</ns0:f>
        <ns0:v>163315.36439943817</ns0:v>
      </ns0:c>
      <ns0:c r="S90" s="16">
        <ns0:f>Q90-F90*'前提と出典'!$E$4</ns0:f>
        <ns0:v>26518.89845085296</ns0:v>
      </ns0:c>
      <ns0:c r="T90" s="7">
        <ns0:f>R90+S90</ns0:f>
        <ns0:v>189834.26285029112</ns0:v>
      </ns0:c>
      <ns0:c r="U90" s="16">
        <ns0:f>P90-E90*'前提と出典'!$E$5</ns0:f>
        <ns0:v>141696.0572595663</ns0:v>
      </ns0:c>
      <ns0:c r="V90" s="16">
        <ns0:f>Q90-F90*'前提と出典'!$E$5</ns0:f>
        <ns0:v>20236.88041737202</ns0:v>
      </ns0:c>
      <ns0:c r="W90" s="7">
        <ns0:f>U90+V90</ns0:f>
        <ns0:v>161932.9376769383</ns0:v>
      </ns0:c>
      <ns0:c r="X90" s="16">
        <ns0:f>P90-E90*'前提と出典'!$E$6</ns0:f>
        <ns0:v>120076.75011969448</ns0:v>
      </ns0:c>
      <ns0:c r="Y90" s="16">
        <ns0:f>Q90-F90*'前提と出典'!$E$6</ns0:f>
        <ns0:v>13954.862383891079</ns0:v>
      </ns0:c>
      <ns0:c r="Z90" s="7">
        <ns0:f>X90+Y90</ns0:f>
        <ns0:v>134031.61250358555</ns0:v>
      </ns0:c>
      <ns0:c r="AA90" s="7">
        <ns0:f>IF(T90&gt;=0,A90,1001)</ns0:f>
        <ns0:v>86</ns0:v>
      </ns0:c>
      <ns0:c r="AB90" s="7">
        <ns0:f>IF(T90&lt;0,A90,0)</ns0:f>
        <ns0:v>0</ns0:v>
      </ns0:c>
      <ns0:c r="AC90" s="16">
        <ns0:f>IF(AND(OR('前提と出典'!$C$36+'前提と出典'!$C$38=0,R90&gt;=0),OR('前提と出典'!$C$37+'前提と出典'!$C$38=0,S90&gt;=0)),0,A90)</ns0:f>
        <ns0:v>0</ns0:v>
      </ns0:c>
      <ns0:c r="AD90" s="7">
        <ns0:f>IF(W90&gt;=0,A90,1001)</ns0:f>
        <ns0:v>86</ns0:v>
      </ns0:c>
      <ns0:c r="AE90" s="7">
        <ns0:f>IF(W90&lt;0,A90,0)</ns0:f>
        <ns0:v>0</ns0:v>
      </ns0:c>
      <ns0:c r="AF90" s="16">
        <ns0:f>IF(AND(OR('前提と出典'!$C$36+'前提と出典'!$C$38=0,U90&gt;=0),OR('前提と出典'!$C$37+'前提と出典'!$C$38=0,V90&gt;=0)),0,A90)</ns0:f>
        <ns0:v>0</ns0:v>
      </ns0:c>
      <ns0:c r="AG90" s="7">
        <ns0:f>IF(Z90&gt;=0,A90,1001)</ns0:f>
        <ns0:v>86</ns0:v>
      </ns0:c>
      <ns0:c r="AH90" s="4">
        <ns0:f>IF(Z90&lt;0,A90,0)</ns0:f>
        <ns0:v>0</ns0:v>
      </ns0:c>
      <ns0:c r="AI90" s="12">
        <ns0:f>IF(AND(OR('前提と出典'!$C$36+'前提と出典'!$C$38=0,X90&gt;=0),OR('前提と出典'!$C$37+'前提と出典'!$C$38=0,Y90&gt;=0)),0,A90)</ns0:f>
        <ns0:v>0</ns0:v>
      </ns0:c>
    </ns0:row>
    <ns0:row r="91" ht="24" customHeight="1">
      <ns0:c r="A91" s="4" t="n">
        <ns0:v>87</ns0:v>
      </ns0:c>
      <ns0:c r="B91" s="12">
        <ns0:f>A91*('前提と出典'!$C$36+'前提と出典'!$C$38)</ns0:f>
        <ns0:v>60.9</ns0:v>
      </ns0:c>
      <ns0:c r="C91" s="12">
        <ns0:f>A91*('前提と出典'!$C$37+'前提と出典'!$C$38)</ns0:f>
        <ns0:v>52.199999999999996</ns0:v>
      </ns0:c>
      <ns0:c r="D91" s="16">
        <ns0:f>A91*('前提と出典'!$C$36*'契約別単価'!C5+'前提と出典'!$C$37*'契約別単価'!C6+'前提と出典'!$C$38*'契約別単価'!C7)</ns0:f>
        <ns0:v>626.0111731843575</ns0:v>
      </ns0:c>
      <ns0:c r="E91" s="16">
        <ns0:f>A91*('前提と出典'!$C$36*'契約別単価'!E5+'前提と出典'!$C$37*'契約別単価'!E6+'前提と出典'!$C$38*'契約別単価'!E7)</ns0:f>
        <ns0:v>218706.94432195945</ns0:v>
      </ns0:c>
      <ns0:c r="F91" s="16">
        <ns0:f>A91*('前提と出典'!$C$36*'契約別単価'!F5+'前提と出典'!$C$37*'契約別単価'!F6+'前提と出典'!$C$38*'契約別単価'!F7)</ns0:f>
        <ns0:v>63550.64754800486</ns0:v>
      </ns0:c>
      <ns0:c r="G91" s="16">
        <ns0:f>A91*('前提と出典'!$C$36*'契約別単価'!G5+'前提と出典'!$C$37*'契約別単価'!G6+'前提と出典'!$C$38*'契約別単価'!G7)</ns0:f>
        <ns0:v>173173.74301675978</ns0:v>
      </ns0:c>
      <ns0:c r="H91" s="16">
        <ns0:f>A91*('前提と出典'!$C$36*'契約別単価'!H5+'前提と出典'!$C$37*'契約別単価'!H6+'前提と出典'!$C$38*'契約別単価'!H7)</ns0:f>
        <ns0:v>60099.974172538656</ns0:v>
      </ns0:c>
      <ns0:c r="I91" s="16">
        <ns0:f>A91*('前提と出典'!$C$36*'契約別単価'!I5+'前提と出典'!$C$37*'契約別単価'!I6+'前提と出典'!$C$38*'契約別単価'!I7)</ns0:f>
        <ns0:v>3671.0111731843567</ns0:v>
      </ns0:c>
      <ns0:c r="J91" s="16">
        <ns0:f>A91*('前提と出典'!$C$36*'契約別単価'!J5+'前提と出典'!$C$37*'契約別単価'!J6+'前提と出典'!$C$38*'契約別単価'!J7)</ns0:f>
        <ns0:v>8551.190302796324</ns0:v>
      </ns0:c>
      <ns0:c r="K91" s="16">
        <ns0:f>A91*('前提と出典'!$C$36*'契約別単価'!K5+'前提と出典'!$C$37*'契約別単価'!K6+'前提と出典'!$C$38*'契約別単価'!K7)</ns0:f>
        <ns0:v>36653.40782122905</ns0:v>
      </ns0:c>
      <ns0:c r="L91" s="16">
        <ns0:f>A91*('前提と出典'!$C$36*'契約別単価'!L5+'前提と出典'!$C$37*'契約別単価'!L6+'前提と出典'!$C$38*'契約別単価'!L7)</ns0:f>
        <ns0:v>29843.332472417955</ns0:v>
      </ns0:c>
      <ns0:c r="M91" s="16">
        <ns0:f>IF(('前提と出典'!$C$36+'前提と出典'!$C$38)=0,0,IF(B91&lt;=10,'前提と出典'!B73+'前提と出典'!C73,IF(B91&lt;=100,'前提と出典'!B74+'前提と出典'!C74,IF(B91&lt;=500,'前提と出典'!B75+'前提と出典'!C75,'前提と出典'!B76+'前提と出典'!C76))))</ns0:f>
        <ns0:v>20000</ns0:v>
      </ns0:c>
      <ns0:c r="N91" s="16">
        <ns0:f>IF(('前提と出典'!$C$37+'前提と出典'!$C$38)=0,0,IF(C91&lt;=10,'前提と出典'!D73+'前提と出典'!E73,IF(C91&lt;=100,'前提と出典'!D74+'前提と出典'!E74,IF(C91&lt;=500,'前提と出典'!D75+'前提と出典'!E75,'前提と出典'!D76+'前提と出典'!E76))))</ns0:f>
        <ns0:v>34510.9346263078</ns0:v>
      </ns0:c>
      <ns0:c r="O91" s="16">
        <ns0:f>IF('前提と出典'!$C$36+'前提と出典'!$C$38=0,0,'前提と出典'!$B$4*IF('前提と出典'!$B$20=0,MAX('前提と出典'!$B$6,D91*'前提と出典'!$B$5),'前提と出典'!$B$6+D91*'前提と出典'!$B$5))</ns0:f>
        <ns0:v>86389.54189944135</ns0:v>
      </ns0:c>
      <ns0:c r="P91" s="16">
        <ns0:f>(E91+G91)*(1-'前提と出典'!$B$7)-I91-K91-M91-O91</ns0:f>
        <ns0:v>231059.0217006706</ns0:v>
      </ns0:c>
      <ns0:c r="Q91" s="16">
        <ns0:f>(F91+H91)*(1-'前提と出典'!$B$7)-J91-L91-N91</ns0:f>
        <ns0:v>46293.74193708187</ns0:v>
      </ns0:c>
      <ns0:c r="R91" s="16">
        <ns0:f>P91-E91*'前提と出典'!$E$4</ns0:f>
        <ns0:v>165446.93840408284</ns0:v>
      </ns0:c>
      <ns0:c r="S91" s="16">
        <ns0:f>Q91-F91*'前提と出典'!$E$4</ns0:f>
        <ns0:v>27228.54767268041</ns0:v>
      </ns0:c>
      <ns0:c r="T91" s="7">
        <ns0:f>R91+S91</ns0:f>
        <ns0:v>192675.48607676325</ns0:v>
      </ns0:c>
      <ns0:c r="U91" s="16">
        <ns0:f>P91-E91*'前提と出典'!$E$5</ns0:f>
        <ns0:v>143576.2439718868</ns0:v>
      </ns0:c>
      <ns0:c r="V91" s="16">
        <ns0:f>Q91-F91*'前提と出典'!$E$5</ns0:f>
        <ns0:v>20873.48291787992</ns0:v>
      </ns0:c>
      <ns0:c r="W91" s="7">
        <ns0:f>U91+V91</ns0:f>
        <ns0:v>164449.72688976672</ns0:v>
      </ns0:c>
      <ns0:c r="X91" s="16">
        <ns0:f>P91-E91*'前提と出典'!$E$6</ns0:f>
        <ns0:v>121705.54953969085</ns0:v>
      </ns0:c>
      <ns0:c r="Y91" s="16">
        <ns0:f>Q91-F91*'前提と出典'!$E$6</ns0:f>
        <ns0:v>14518.418163079426</ns0:v>
      </ns0:c>
      <ns0:c r="Z91" s="7">
        <ns0:f>X91+Y91</ns0:f>
        <ns0:v>136223.9677027703</ns0:v>
      </ns0:c>
      <ns0:c r="AA91" s="7">
        <ns0:f>IF(T91&gt;=0,A91,1001)</ns0:f>
        <ns0:v>87</ns0:v>
      </ns0:c>
      <ns0:c r="AB91" s="7">
        <ns0:f>IF(T91&lt;0,A91,0)</ns0:f>
        <ns0:v>0</ns0:v>
      </ns0:c>
      <ns0:c r="AC91" s="16">
        <ns0:f>IF(AND(OR('前提と出典'!$C$36+'前提と出典'!$C$38=0,R91&gt;=0),OR('前提と出典'!$C$37+'前提と出典'!$C$38=0,S91&gt;=0)),0,A91)</ns0:f>
        <ns0:v>0</ns0:v>
      </ns0:c>
      <ns0:c r="AD91" s="7">
        <ns0:f>IF(W91&gt;=0,A91,1001)</ns0:f>
        <ns0:v>87</ns0:v>
      </ns0:c>
      <ns0:c r="AE91" s="7">
        <ns0:f>IF(W91&lt;0,A91,0)</ns0:f>
        <ns0:v>0</ns0:v>
      </ns0:c>
      <ns0:c r="AF91" s="16">
        <ns0:f>IF(AND(OR('前提と出典'!$C$36+'前提と出典'!$C$38=0,U91&gt;=0),OR('前提と出典'!$C$37+'前提と出典'!$C$38=0,V91&gt;=0)),0,A91)</ns0:f>
        <ns0:v>0</ns0:v>
      </ns0:c>
      <ns0:c r="AG91" s="7">
        <ns0:f>IF(Z91&gt;=0,A91,1001)</ns0:f>
        <ns0:v>87</ns0:v>
      </ns0:c>
      <ns0:c r="AH91" s="4">
        <ns0:f>IF(Z91&lt;0,A91,0)</ns0:f>
        <ns0:v>0</ns0:v>
      </ns0:c>
      <ns0:c r="AI91" s="12">
        <ns0:f>IF(AND(OR('前提と出典'!$C$36+'前提と出典'!$C$38=0,X91&gt;=0),OR('前提と出典'!$C$37+'前提と出典'!$C$38=0,Y91&gt;=0)),0,A91)</ns0:f>
        <ns0:v>0</ns0:v>
      </ns0:c>
    </ns0:row>
    <ns0:row r="92" ht="24" customHeight="1">
      <ns0:c r="A92" s="4" t="n">
        <ns0:v>88</ns0:v>
      </ns0:c>
      <ns0:c r="B92" s="12">
        <ns0:f>A92*('前提と出典'!$C$36+'前提と出典'!$C$38)</ns0:f>
        <ns0:v>61.599999999999994</ns0:v>
      </ns0:c>
      <ns0:c r="C92" s="12">
        <ns0:f>A92*('前提と出典'!$C$37+'前提と出典'!$C$38)</ns0:f>
        <ns0:v>52.8</ns0:v>
      </ns0:c>
      <ns0:c r="D92" s="16">
        <ns0:f>A92*('前提と出典'!$C$36*'契約別単価'!C5+'前提と出典'!$C$37*'契約別単価'!C6+'前提と出典'!$C$38*'契約別単価'!C7)</ns0:f>
        <ns0:v>633.2067039106146</ns0:v>
      </ns0:c>
      <ns0:c r="E92" s="16">
        <ns0:f>A92*('前提と出典'!$C$36*'契約別単価'!E5+'前提と出典'!$C$37*'契約別単価'!E6+'前提と出典'!$C$38*'契約別単価'!E7)</ns0:f>
        <ns0:v>221220.81724520036</ns0:v>
      </ns0:c>
      <ns0:c r="F92" s="16">
        <ns0:f>A92*('前提と出典'!$C$36*'契約別単価'!F5+'前提と出典'!$C$37*'契約別単価'!F6+'前提と出典'!$C$38*'契約別単価'!F7)</ns0:f>
        <ns0:v>64281.11476120032</ns0:v>
      </ns0:c>
      <ns0:c r="G92" s="16">
        <ns0:f>A92*('前提と出典'!$C$36*'契約別単価'!G5+'前提と出典'!$C$37*'契約別単価'!G6+'前提と出典'!$C$38*'契約別単価'!G7)</ns0:f>
        <ns0:v>175164.24581005587</ns0:v>
      </ns0:c>
      <ns0:c r="H92" s="16">
        <ns0:f>A92*('前提と出典'!$C$36*'契約別単価'!H5+'前提と出典'!$C$37*'契約別単価'!H6+'前提と出典'!$C$38*'契約別単価'!H7)</ns0:f>
        <ns0:v>60790.77847337244</ns0:v>
      </ns0:c>
      <ns0:c r="I92" s="16">
        <ns0:f>A92*('前提と出典'!$C$36*'契約別単価'!I5+'前提と出典'!$C$37*'契約別単価'!I6+'前提と出典'!$C$38*'契約別単価'!I7)</ns0:f>
        <ns0:v>3713.206703910614</ns0:v>
      </ns0:c>
      <ns0:c r="J92" s="16">
        <ns0:f>A92*('前提と出典'!$C$36*'契約別単価'!J5+'前提と出典'!$C$37*'契約別単価'!J6+'前提と出典'!$C$38*'契約別単価'!J7)</ns0:f>
        <ns0:v>8649.479846506625</ns0:v>
      </ns0:c>
      <ns0:c r="K92" s="16">
        <ns0:f>A92*('前提と出典'!$C$36*'契約別単価'!K5+'前提と出典'!$C$37*'契約別単価'!K6+'前提と出典'!$C$38*'契約別単価'!K7)</ns0:f>
        <ns0:v>37074.71135940409</ns0:v>
      </ns0:c>
      <ns0:c r="L92" s="16">
        <ns0:f>A92*('前提と出典'!$C$36*'契約別単価'!L5+'前提と出典'!$C$37*'契約別単価'!L6+'前提と出典'!$C$38*'契約別単価'!L7)</ns0:f>
        <ns0:v>30186.35928244575</ns0:v>
      </ns0:c>
      <ns0:c r="M92" s="16">
        <ns0:f>IF(('前提と出典'!$C$36+'前提と出典'!$C$38)=0,0,IF(B92&lt;=10,'前提と出典'!B73+'前提と出典'!C73,IF(B92&lt;=100,'前提と出典'!B74+'前提と出典'!C74,IF(B92&lt;=500,'前提と出典'!B75+'前提と出典'!C75,'前提と出典'!B76+'前提と出典'!C76))))</ns0:f>
        <ns0:v>20000</ns0:v>
      </ns0:c>
      <ns0:c r="N92" s="16">
        <ns0:f>IF(('前提と出典'!$C$37+'前提と出典'!$C$38)=0,0,IF(C92&lt;=10,'前提と出典'!D73+'前提と出典'!E73,IF(C92&lt;=100,'前提と出典'!D74+'前提と出典'!E74,IF(C92&lt;=500,'前提と出典'!D75+'前提と出典'!E75,'前提と出典'!D76+'前提と出典'!E76))))</ns0:f>
        <ns0:v>34510.9346263078</ns0:v>
      </ns0:c>
      <ns0:c r="O92" s="16">
        <ns0:f>IF('前提と出典'!$C$36+'前提と出典'!$C$38=0,0,'前提と出典'!$B$4*IF('前提と出典'!$B$20=0,MAX('前提と出典'!$B$6,D92*'前提と出典'!$B$5),'前提と出典'!$B$6+D92*'前提と出典'!$B$5))</ns0:f>
        <ns0:v>87382.52513966482</ns0:v>
      </ns0:c>
      <ns0:c r="P92" s="16">
        <ns0:f>(E92+G92)*(1-'前提と出典'!$B$7)-I92-K92-M92-O92</ns0:f>
        <ns0:v>233944.7575822875</ns0:v>
      </ns0:c>
      <ns0:c r="Q92" s="16">
        <ns0:f>(F92+H92)*(1-'前提と出典'!$B$7)-J92-L92-N92</ns0:f>
        <ns0:v>47222.53132286796</ns0:v>
      </ns0:c>
      <ns0:c r="R92" s="16">
        <ns0:f>P92-E92*'前提と出典'!$E$4</ns0:f>
        <ns0:v>167578.51240872743</ns0:v>
      </ns0:c>
      <ns0:c r="S92" s="16">
        <ns0:f>Q92-F92*'前提と出典'!$E$4</ns0:f>
        <ns0:v>27938.196894507862</ns0:v>
      </ns0:c>
      <ns0:c r="T92" s="7">
        <ns0:f>R92+S92</ns0:f>
        <ns0:v>195516.7093032353</ns0:v>
      </ns0:c>
      <ns0:c r="U92" s="16">
        <ns0:f>P92-E92*'前提と出典'!$E$5</ns0:f>
        <ns0:v>145456.43068420736</ns0:v>
      </ns0:c>
      <ns0:c r="V92" s="16">
        <ns0:f>Q92-F92*'前提と出典'!$E$5</ns0:f>
        <ns0:v>21510.085418387833</ns0:v>
      </ns0:c>
      <ns0:c r="W92" s="7">
        <ns0:f>U92+V92</ns0:f>
        <ns0:v>166966.5161025952</ns0:v>
      </ns0:c>
      <ns0:c r="X92" s="16">
        <ns0:f>P92-E92*'前提と出典'!$E$6</ns0:f>
        <ns0:v>123334.34895968734</ns0:v>
      </ns0:c>
      <ns0:c r="Y92" s="16">
        <ns0:f>Q92-F92*'前提と出典'!$E$6</ns0:f>
        <ns0:v>15081.973942267803</ns0:v>
      </ns0:c>
      <ns0:c r="Z92" s="7">
        <ns0:f>X92+Y92</ns0:f>
        <ns0:v>138416.32290195514</ns0:v>
      </ns0:c>
      <ns0:c r="AA92" s="7">
        <ns0:f>IF(T92&gt;=0,A92,1001)</ns0:f>
        <ns0:v>88</ns0:v>
      </ns0:c>
      <ns0:c r="AB92" s="7">
        <ns0:f>IF(T92&lt;0,A92,0)</ns0:f>
        <ns0:v>0</ns0:v>
      </ns0:c>
      <ns0:c r="AC92" s="16">
        <ns0:f>IF(AND(OR('前提と出典'!$C$36+'前提と出典'!$C$38=0,R92&gt;=0),OR('前提と出典'!$C$37+'前提と出典'!$C$38=0,S92&gt;=0)),0,A92)</ns0:f>
        <ns0:v>0</ns0:v>
      </ns0:c>
      <ns0:c r="AD92" s="7">
        <ns0:f>IF(W92&gt;=0,A92,1001)</ns0:f>
        <ns0:v>88</ns0:v>
      </ns0:c>
      <ns0:c r="AE92" s="7">
        <ns0:f>IF(W92&lt;0,A92,0)</ns0:f>
        <ns0:v>0</ns0:v>
      </ns0:c>
      <ns0:c r="AF92" s="16">
        <ns0:f>IF(AND(OR('前提と出典'!$C$36+'前提と出典'!$C$38=0,U92&gt;=0),OR('前提と出典'!$C$37+'前提と出典'!$C$38=0,V92&gt;=0)),0,A92)</ns0:f>
        <ns0:v>0</ns0:v>
      </ns0:c>
      <ns0:c r="AG92" s="7">
        <ns0:f>IF(Z92&gt;=0,A92,1001)</ns0:f>
        <ns0:v>88</ns0:v>
      </ns0:c>
      <ns0:c r="AH92" s="4">
        <ns0:f>IF(Z92&lt;0,A92,0)</ns0:f>
        <ns0:v>0</ns0:v>
      </ns0:c>
      <ns0:c r="AI92" s="12">
        <ns0:f>IF(AND(OR('前提と出典'!$C$36+'前提と出典'!$C$38=0,X92&gt;=0),OR('前提と出典'!$C$37+'前提と出典'!$C$38=0,Y92&gt;=0)),0,A92)</ns0:f>
        <ns0:v>0</ns0:v>
      </ns0:c>
    </ns0:row>
    <ns0:row r="93" ht="24" customHeight="1">
      <ns0:c r="A93" s="4" t="n">
        <ns0:v>89</ns0:v>
      </ns0:c>
      <ns0:c r="B93" s="12">
        <ns0:f>A93*('前提と出典'!$C$36+'前提と出典'!$C$38)</ns0:f>
        <ns0:v>62.3</ns0:v>
      </ns0:c>
      <ns0:c r="C93" s="12">
        <ns0:f>A93*('前提と出典'!$C$37+'前提と出典'!$C$38)</ns0:f>
        <ns0:v>53.4</ns0:v>
      </ns0:c>
      <ns0:c r="D93" s="16">
        <ns0:f>A93*('前提と出典'!$C$36*'契約別単価'!C5+'前提と出典'!$C$37*'契約別単価'!C6+'前提と出典'!$C$38*'契約別単価'!C7)</ns0:f>
        <ns0:v>640.4022346368715</ns0:v>
      </ns0:c>
      <ns0:c r="E93" s="16">
        <ns0:f>A93*('前提と出典'!$C$36*'契約別単価'!E5+'前提と出典'!$C$37*'契約別単価'!E6+'前提と出典'!$C$38*'契約別単価'!E7)</ns0:f>
        <ns0:v>223734.69016844127</ns0:v>
      </ns0:c>
      <ns0:c r="F93" s="16">
        <ns0:f>A93*('前提と出典'!$C$36*'契約別単価'!F5+'前提と出典'!$C$37*'契約別単価'!F6+'前提と出典'!$C$38*'契約別単価'!F7)</ns0:f>
        <ns0:v>65011.581974395776</ns0:v>
      </ns0:c>
      <ns0:c r="G93" s="16">
        <ns0:f>A93*('前提と出典'!$C$36*'契約別単価'!G5+'前提と出典'!$C$37*'契約別単価'!G6+'前提と出典'!$C$38*'契約別単価'!G7)</ns0:f>
        <ns0:v>177154.74860335194</ns0:v>
      </ns0:c>
      <ns0:c r="H93" s="16">
        <ns0:f>A93*('前提と出典'!$C$36*'契約別単価'!H5+'前提と出典'!$C$37*'契約別単価'!H6+'前提と出典'!$C$38*'契約別単価'!H7)</ns0:f>
        <ns0:v>61481.58277420622</ns0:v>
      </ns0:c>
      <ns0:c r="I93" s="16">
        <ns0:f>A93*('前提と出典'!$C$36*'契約別単価'!I5+'前提と出典'!$C$37*'契約別単価'!I6+'前提と出典'!$C$38*'契約別単価'!I7)</ns0:f>
        <ns0:v>3755.402234636871</ns0:v>
      </ns0:c>
      <ns0:c r="J93" s="16">
        <ns0:f>A93*('前提と出典'!$C$36*'契約別単価'!J5+'前提と出典'!$C$37*'契約別単価'!J6+'前提と出典'!$C$38*'契約別単価'!J7)</ns0:f>
        <ns0:v>8747.769390216929</ns0:v>
      </ns0:c>
      <ns0:c r="K93" s="16">
        <ns0:f>A93*('前提と出典'!$C$36*'契約別単価'!K5+'前提と出典'!$C$37*'契約別単価'!K6+'前提と出典'!$C$38*'契約別単価'!K7)</ns0:f>
        <ns0:v>37496.01489757914</ns0:v>
      </ns0:c>
      <ns0:c r="L93" s="16">
        <ns0:f>A93*('前提と出典'!$C$36*'契約別単価'!L5+'前提と出典'!$C$37*'契約別単価'!L6+'前提と出典'!$C$38*'契約別単価'!L7)</ns0:f>
        <ns0:v>30529.386092473538</ns0:v>
      </ns0:c>
      <ns0:c r="M93" s="16">
        <ns0:f>IF(('前提と出典'!$C$36+'前提と出典'!$C$38)=0,0,IF(B93&lt;=10,'前提と出典'!B73+'前提と出典'!C73,IF(B93&lt;=100,'前提と出典'!B74+'前提と出典'!C74,IF(B93&lt;=500,'前提と出典'!B75+'前提と出典'!C75,'前提と出典'!B76+'前提と出典'!C76))))</ns0:f>
        <ns0:v>20000</ns0:v>
      </ns0:c>
      <ns0:c r="N93" s="16">
        <ns0:f>IF(('前提と出典'!$C$37+'前提と出典'!$C$38)=0,0,IF(C93&lt;=10,'前提と出典'!D73+'前提と出典'!E73,IF(C93&lt;=100,'前提と出典'!D74+'前提と出典'!E74,IF(C93&lt;=500,'前提と出典'!D75+'前提と出典'!E75,'前提と出典'!D76+'前提と出典'!E76))))</ns0:f>
        <ns0:v>34510.9346263078</ns0:v>
      </ns0:c>
      <ns0:c r="O93" s="16">
        <ns0:f>IF('前提と出典'!$C$36+'前提と出典'!$C$38=0,0,'前提と出典'!$B$4*IF('前提と出典'!$B$20=0,MAX('前提と出典'!$B$6,D93*'前提と出典'!$B$5),'前提と出典'!$B$6+D93*'前提と出典'!$B$5))</ns0:f>
        <ns0:v>88375.50837988828</ns0:v>
      </ns0:c>
      <ns0:c r="P93" s="16">
        <ns0:f>(E93+G93)*(1-'前提と出典'!$B$7)-I93-K93-M93-O93</ns0:f>
        <ns0:v>236830.49346390433</ns0:v>
      </ns0:c>
      <ns0:c r="Q93" s="16">
        <ns0:f>(F93+H93)*(1-'前提と出典'!$B$7)-J93-L93-N93</ns0:f>
        <ns0:v>48151.32070865406</ns0:v>
      </ns0:c>
      <ns0:c r="R93" s="16">
        <ns0:f>P93-E93*'前提と出典'!$E$4</ns0:f>
        <ns0:v>169710.086413372</ns0:v>
      </ns0:c>
      <ns0:c r="S93" s="16">
        <ns0:f>Q93-F93*'前提と出典'!$E$4</ns0:f>
        <ns0:v>28647.846116335342</ns0:v>
      </ns0:c>
      <ns0:c r="T93" s="7">
        <ns0:f>R93+S93</ns0:f>
        <ns0:v>198357.93252970732</ns0:v>
      </ns0:c>
      <ns0:c r="U93" s="16">
        <ns0:f>P93-E93*'前提と出典'!$E$5</ns0:f>
        <ns0:v>147336.6173965278</ns0:v>
      </ns0:c>
      <ns0:c r="V93" s="16">
        <ns0:f>Q93-F93*'前提と出典'!$E$5</ns0:f>
        <ns0:v>22146.687918895746</ns0:v>
      </ns0:c>
      <ns0:c r="W93" s="7">
        <ns0:f>U93+V93</ns0:f>
        <ns0:v>169483.30531542355</ns0:v>
      </ns0:c>
      <ns0:c r="X93" s="16">
        <ns0:f>P93-E93*'前提と出典'!$E$6</ns0:f>
        <ns0:v>124963.1483796837</ns0:v>
      </ns0:c>
      <ns0:c r="Y93" s="16">
        <ns0:f>Q93-F93*'前提と出典'!$E$6</ns0:f>
        <ns0:v>15645.52972145618</ns0:v>
      </ns0:c>
      <ns0:c r="Z93" s="7">
        <ns0:f>X93+Y93</ns0:f>
        <ns0:v>140608.67810113987</ns0:v>
      </ns0:c>
      <ns0:c r="AA93" s="7">
        <ns0:f>IF(T93&gt;=0,A93,1001)</ns0:f>
        <ns0:v>89</ns0:v>
      </ns0:c>
      <ns0:c r="AB93" s="7">
        <ns0:f>IF(T93&lt;0,A93,0)</ns0:f>
        <ns0:v>0</ns0:v>
      </ns0:c>
      <ns0:c r="AC93" s="16">
        <ns0:f>IF(AND(OR('前提と出典'!$C$36+'前提と出典'!$C$38=0,R93&gt;=0),OR('前提と出典'!$C$37+'前提と出典'!$C$38=0,S93&gt;=0)),0,A93)</ns0:f>
        <ns0:v>0</ns0:v>
      </ns0:c>
      <ns0:c r="AD93" s="7">
        <ns0:f>IF(W93&gt;=0,A93,1001)</ns0:f>
        <ns0:v>89</ns0:v>
      </ns0:c>
      <ns0:c r="AE93" s="7">
        <ns0:f>IF(W93&lt;0,A93,0)</ns0:f>
        <ns0:v>0</ns0:v>
      </ns0:c>
      <ns0:c r="AF93" s="16">
        <ns0:f>IF(AND(OR('前提と出典'!$C$36+'前提と出典'!$C$38=0,U93&gt;=0),OR('前提と出典'!$C$37+'前提と出典'!$C$38=0,V93&gt;=0)),0,A93)</ns0:f>
        <ns0:v>0</ns0:v>
      </ns0:c>
      <ns0:c r="AG93" s="7">
        <ns0:f>IF(Z93&gt;=0,A93,1001)</ns0:f>
        <ns0:v>89</ns0:v>
      </ns0:c>
      <ns0:c r="AH93" s="4">
        <ns0:f>IF(Z93&lt;0,A93,0)</ns0:f>
        <ns0:v>0</ns0:v>
      </ns0:c>
      <ns0:c r="AI93" s="12">
        <ns0:f>IF(AND(OR('前提と出典'!$C$36+'前提と出典'!$C$38=0,X93&gt;=0),OR('前提と出典'!$C$37+'前提と出典'!$C$38=0,Y93&gt;=0)),0,A93)</ns0:f>
        <ns0:v>0</ns0:v>
      </ns0:c>
    </ns0:row>
    <ns0:row r="94" ht="24" customHeight="1">
      <ns0:c r="A94" s="4" t="n">
        <ns0:v>90</ns0:v>
      </ns0:c>
      <ns0:c r="B94" s="12">
        <ns0:f>A94*('前提と出典'!$C$36+'前提と出典'!$C$38)</ns0:f>
        <ns0:v>62.99999999999999</ns0:v>
      </ns0:c>
      <ns0:c r="C94" s="12">
        <ns0:f>A94*('前提と出典'!$C$37+'前提と出典'!$C$38)</ns0:f>
        <ns0:v>54</ns0:v>
      </ns0:c>
      <ns0:c r="D94" s="16">
        <ns0:f>A94*('前提と出典'!$C$36*'契約別単価'!C5+'前提と出典'!$C$37*'契約別単価'!C6+'前提と出典'!$C$38*'契約別単価'!C7)</ns0:f>
        <ns0:v>647.5977653631285</ns0:v>
      </ns0:c>
      <ns0:c r="E94" s="16">
        <ns0:f>A94*('前提と出典'!$C$36*'契約別単価'!E5+'前提と出典'!$C$37*'契約別単価'!E6+'前提と出典'!$C$38*'契約別単価'!E7)</ns0:f>
        <ns0:v>226248.56309168218</ns0:v>
      </ns0:c>
      <ns0:c r="F94" s="16">
        <ns0:f>A94*('前提と出典'!$C$36*'契約別単価'!F5+'前提と出典'!$C$37*'契約別単価'!F6+'前提と出典'!$C$38*'契約別単価'!F7)</ns0:f>
        <ns0:v>65742.04918759124</ns0:v>
      </ns0:c>
      <ns0:c r="G94" s="16">
        <ns0:f>A94*('前提と出典'!$C$36*'契約別単価'!G5+'前提と出典'!$C$37*'契約別単価'!G6+'前提と出典'!$C$38*'契約別単価'!G7)</ns0:f>
        <ns0:v>179145.25139664803</ns0:v>
      </ns0:c>
      <ns0:c r="H94" s="16">
        <ns0:f>A94*('前提と出典'!$C$36*'契約別単価'!H5+'前提と出典'!$C$37*'契約別単価'!H6+'前提と出典'!$C$38*'契約別単価'!H7)</ns0:f>
        <ns0:v>62172.387075039995</ns0:v>
      </ns0:c>
      <ns0:c r="I94" s="16">
        <ns0:f>A94*('前提と出典'!$C$36*'契約別単価'!I5+'前提と出典'!$C$37*'契約別単価'!I6+'前提と出典'!$C$38*'契約別単価'!I7)</ns0:f>
        <ns0:v>3797.597765363128</ns0:v>
      </ns0:c>
      <ns0:c r="J94" s="16">
        <ns0:f>A94*('前提と出典'!$C$36*'契約別単価'!J5+'前提と出典'!$C$37*'契約別単価'!J6+'前提と出典'!$C$38*'契約別単価'!J7)</ns0:f>
        <ns0:v>8846.058933927232</ns0:v>
      </ns0:c>
      <ns0:c r="K94" s="16">
        <ns0:f>A94*('前提と出典'!$C$36*'契約別単価'!K5+'前提と出典'!$C$37*'契約別単価'!K6+'前提と出典'!$C$38*'契約別単価'!K7)</ns0:f>
        <ns0:v>37917.31843575419</ns0:v>
      </ns0:c>
      <ns0:c r="L94" s="16">
        <ns0:f>A94*('前提と出典'!$C$36*'契約別単価'!L5+'前提と出典'!$C$37*'契約別単価'!L6+'前提と出典'!$C$38*'契約別単価'!L7)</ns0:f>
        <ns0:v>30872.41290250133</ns0:v>
      </ns0:c>
      <ns0:c r="M94" s="16">
        <ns0:f>IF(('前提と出典'!$C$36+'前提と出典'!$C$38)=0,0,IF(B94&lt;=10,'前提と出典'!B73+'前提と出典'!C73,IF(B94&lt;=100,'前提と出典'!B74+'前提と出典'!C74,IF(B94&lt;=500,'前提と出典'!B75+'前提と出典'!C75,'前提と出典'!B76+'前提と出典'!C76))))</ns0:f>
        <ns0:v>20000</ns0:v>
      </ns0:c>
      <ns0:c r="N94" s="16">
        <ns0:f>IF(('前提と出典'!$C$37+'前提と出典'!$C$38)=0,0,IF(C94&lt;=10,'前提と出典'!D73+'前提と出典'!E73,IF(C94&lt;=100,'前提と出典'!D74+'前提と出典'!E74,IF(C94&lt;=500,'前提と出典'!D75+'前提と出典'!E75,'前提と出典'!D76+'前提と出典'!E76))))</ns0:f>
        <ns0:v>34510.9346263078</ns0:v>
      </ns0:c>
      <ns0:c r="O94" s="16">
        <ns0:f>IF('前提と出典'!$C$36+'前提と出典'!$C$38=0,0,'前提と出典'!$B$4*IF('前提と出典'!$B$20=0,MAX('前提と出典'!$B$6,D94*'前提と出典'!$B$5),'前提と出典'!$B$6+D94*'前提と出典'!$B$5))</ns0:f>
        <ns0:v>89368.49162011174</ns0:v>
      </ns0:c>
      <ns0:c r="P94" s="16">
        <ns0:f>(E94+G94)*(1-'前提と出典'!$B$7)-I94-K94-M94-O94</ns0:f>
        <ns0:v>239716.2293455213</ns0:v>
      </ns0:c>
      <ns0:c r="Q94" s="16">
        <ns0:f>(F94+H94)*(1-'前提と出典'!$B$7)-J94-L94-N94</ns0:f>
        <ns0:v>49080.110094440155</ns0:v>
      </ns0:c>
      <ns0:c r="R94" s="16">
        <ns0:f>P94-E94*'前提と出典'!$E$4</ns0:f>
        <ns0:v>171841.6604180166</ns0:v>
      </ns0:c>
      <ns0:c r="S94" s="16">
        <ns0:f>Q94-F94*'前提と出典'!$E$4</ns0:f>
        <ns0:v>29357.495338162786</ns0:v>
      </ns0:c>
      <ns0:c r="T94" s="7">
        <ns0:f>R94+S94</ns0:f>
        <ns0:v>201199.1557561794</ns0:v>
      </ns0:c>
      <ns0:c r="U94" s="16">
        <ns0:f>P94-E94*'前提と出典'!$E$5</ns0:f>
        <ns0:v>149216.80410884842</ns0:v>
      </ns0:c>
      <ns0:c r="V94" s="16">
        <ns0:f>Q94-F94*'前提と出典'!$E$5</ns0:f>
        <ns0:v>22783.290419403653</ns0:v>
      </ns0:c>
      <ns0:c r="W94" s="7">
        <ns0:f>U94+V94</ns0:f>
        <ns0:v>172000.09452825208</ns0:v>
      </ns0:c>
      <ns0:c r="X94" s="16">
        <ns0:f>P94-E94*'前提と出典'!$E$6</ns0:f>
        <ns0:v>126591.9477996802</ns0:v>
      </ns0:c>
      <ns0:c r="Y94" s="16">
        <ns0:f>Q94-F94*'前提と出典'!$E$6</ns0:f>
        <ns0:v>16209.085500644534</ns0:v>
      </ns0:c>
      <ns0:c r="Z94" s="7">
        <ns0:f>X94+Y94</ns0:f>
        <ns0:v>142801.03330032475</ns0:v>
      </ns0:c>
      <ns0:c r="AA94" s="7">
        <ns0:f>IF(T94&gt;=0,A94,1001)</ns0:f>
        <ns0:v>90</ns0:v>
      </ns0:c>
      <ns0:c r="AB94" s="7">
        <ns0:f>IF(T94&lt;0,A94,0)</ns0:f>
        <ns0:v>0</ns0:v>
      </ns0:c>
      <ns0:c r="AC94" s="16">
        <ns0:f>IF(AND(OR('前提と出典'!$C$36+'前提と出典'!$C$38=0,R94&gt;=0),OR('前提と出典'!$C$37+'前提と出典'!$C$38=0,S94&gt;=0)),0,A94)</ns0:f>
        <ns0:v>0</ns0:v>
      </ns0:c>
      <ns0:c r="AD94" s="7">
        <ns0:f>IF(W94&gt;=0,A94,1001)</ns0:f>
        <ns0:v>90</ns0:v>
      </ns0:c>
      <ns0:c r="AE94" s="7">
        <ns0:f>IF(W94&lt;0,A94,0)</ns0:f>
        <ns0:v>0</ns0:v>
      </ns0:c>
      <ns0:c r="AF94" s="16">
        <ns0:f>IF(AND(OR('前提と出典'!$C$36+'前提と出典'!$C$38=0,U94&gt;=0),OR('前提と出典'!$C$37+'前提と出典'!$C$38=0,V94&gt;=0)),0,A94)</ns0:f>
        <ns0:v>0</ns0:v>
      </ns0:c>
      <ns0:c r="AG94" s="7">
        <ns0:f>IF(Z94&gt;=0,A94,1001)</ns0:f>
        <ns0:v>90</ns0:v>
      </ns0:c>
      <ns0:c r="AH94" s="4">
        <ns0:f>IF(Z94&lt;0,A94,0)</ns0:f>
        <ns0:v>0</ns0:v>
      </ns0:c>
      <ns0:c r="AI94" s="12">
        <ns0:f>IF(AND(OR('前提と出典'!$C$36+'前提と出典'!$C$38=0,X94&gt;=0),OR('前提と出典'!$C$37+'前提と出典'!$C$38=0,Y94&gt;=0)),0,A94)</ns0:f>
        <ns0:v>0</ns0:v>
      </ns0:c>
    </ns0:row>
    <ns0:row r="95" ht="24" customHeight="1">
      <ns0:c r="A95" s="4" t="n">
        <ns0:v>91</ns0:v>
      </ns0:c>
      <ns0:c r="B95" s="12">
        <ns0:f>A95*('前提と出典'!$C$36+'前提と出典'!$C$38)</ns0:f>
        <ns0:v>63.699999999999996</ns0:v>
      </ns0:c>
      <ns0:c r="C95" s="12">
        <ns0:f>A95*('前提と出典'!$C$37+'前提と出典'!$C$38)</ns0:f>
        <ns0:v>54.6</ns0:v>
      </ns0:c>
      <ns0:c r="D95" s="16">
        <ns0:f>A95*('前提と出典'!$C$36*'契約別単価'!C5+'前提と出典'!$C$37*'契約別単価'!C6+'前提と出典'!$C$38*'契約別単価'!C7)</ns0:f>
        <ns0:v>654.7932960893854</ns0:v>
      </ns0:c>
      <ns0:c r="E95" s="16">
        <ns0:f>A95*('前提と出典'!$C$36*'契約別単価'!E5+'前提と出典'!$C$37*'契約別単価'!E6+'前提と出典'!$C$38*'契約別単価'!E7)</ns0:f>
        <ns0:v>228762.4360149231</ns0:v>
      </ns0:c>
      <ns0:c r="F95" s="16">
        <ns0:f>A95*('前提と出典'!$C$36*'契約別単価'!F5+'前提と出典'!$C$37*'契約別単価'!F6+'前提と出典'!$C$38*'契約別単価'!F7)</ns0:f>
        <ns0:v>66472.5164007867</ns0:v>
      </ns0:c>
      <ns0:c r="G95" s="16">
        <ns0:f>A95*('前提と出典'!$C$36*'契約別単価'!G5+'前提と出典'!$C$37*'契約別単価'!G6+'前提と出典'!$C$38*'契約別単価'!G7)</ns0:f>
        <ns0:v>181135.75418994413</ns0:v>
      </ns0:c>
      <ns0:c r="H95" s="16">
        <ns0:f>A95*('前提と出典'!$C$36*'契約別単価'!H5+'前提と出典'!$C$37*'契約別単価'!H6+'前提と出典'!$C$38*'契約別単価'!H7)</ns0:f>
        <ns0:v>62863.19137587377</ns0:v>
      </ns0:c>
      <ns0:c r="I95" s="16">
        <ns0:f>A95*('前提と出典'!$C$36*'契約別単価'!I5+'前提と出典'!$C$37*'契約別単価'!I6+'前提と出典'!$C$38*'契約別単価'!I7)</ns0:f>
        <ns0:v>3839.793296089385</ns0:v>
      </ns0:c>
      <ns0:c r="J95" s="16">
        <ns0:f>A95*('前提と出典'!$C$36*'契約別単価'!J5+'前提と出典'!$C$37*'契約別単価'!J6+'前提と出典'!$C$38*'契約別単価'!J7)</ns0:f>
        <ns0:v>8944.348477637534</ns0:v>
      </ns0:c>
      <ns0:c r="K95" s="16">
        <ns0:f>A95*('前提と出典'!$C$36*'契約別単価'!K5+'前提と出典'!$C$37*'契約別単価'!K6+'前提と出典'!$C$38*'契約別単価'!K7)</ns0:f>
        <ns0:v>38338.621973929236</ns0:v>
      </ns0:c>
      <ns0:c r="L95" s="16">
        <ns0:f>A95*('前提と出典'!$C$36*'契約別単価'!L5+'前提と出典'!$C$37*'契約別単価'!L6+'前提と出典'!$C$38*'契約別単価'!L7)</ns0:f>
        <ns0:v>31215.439712529125</ns0:v>
      </ns0:c>
      <ns0:c r="M95" s="16">
        <ns0:f>IF(('前提と出典'!$C$36+'前提と出典'!$C$38)=0,0,IF(B95&lt;=10,'前提と出典'!B73+'前提と出典'!C73,IF(B95&lt;=100,'前提と出典'!B74+'前提と出典'!C74,IF(B95&lt;=500,'前提と出典'!B75+'前提と出典'!C75,'前提と出典'!B76+'前提と出典'!C76))))</ns0:f>
        <ns0:v>20000</ns0:v>
      </ns0:c>
      <ns0:c r="N95" s="16">
        <ns0:f>IF(('前提と出典'!$C$37+'前提と出典'!$C$38)=0,0,IF(C95&lt;=10,'前提と出典'!D73+'前提と出典'!E73,IF(C95&lt;=100,'前提と出典'!D74+'前提と出典'!E74,IF(C95&lt;=500,'前提と出典'!D75+'前提と出典'!E75,'前提と出典'!D76+'前提と出典'!E76))))</ns0:f>
        <ns0:v>34510.9346263078</ns0:v>
      </ns0:c>
      <ns0:c r="O95" s="16">
        <ns0:f>IF('前提と出典'!$C$36+'前提と出典'!$C$38=0,0,'前提と出典'!$B$4*IF('前提と出典'!$B$20=0,MAX('前提と出典'!$B$6,D95*'前提と出典'!$B$5),'前提と出典'!$B$6+D95*'前提と出典'!$B$5))</ns0:f>
        <ns0:v>90361.4748603352</ns0:v>
      </ns0:c>
      <ns0:c r="P95" s="16">
        <ns0:f>(E95+G95)*(1-'前提と出典'!$B$7)-I95-K95-M95-O95</ns0:f>
        <ns0:v>242601.96522713813</ns0:v>
      </ns0:c>
      <ns0:c r="Q95" s="16">
        <ns0:f>(F95+H95)*(1-'前提と出典'!$B$7)-J95-L95-N95</ns0:f>
        <ns0:v>50008.89948022625</ns0:v>
      </ns0:c>
      <ns0:c r="R95" s="16">
        <ns0:f>P95-E95*'前提と出典'!$E$4</ns0:f>
        <ns0:v>173973.23442266122</ns0:v>
      </ns0:c>
      <ns0:c r="S95" s="16">
        <ns0:f>Q95-F95*'前提と出典'!$E$4</ns0:f>
        <ns0:v>30067.144559990244</ns0:v>
      </ns0:c>
      <ns0:c r="T95" s="7">
        <ns0:f>R95+S95</ns0:f>
        <ns0:v>204040.37898265145</ns0:v>
      </ns0:c>
      <ns0:c r="U95" s="16">
        <ns0:f>P95-E95*'前提と出典'!$E$5</ns0:f>
        <ns0:v>151096.9908211689</ns0:v>
      </ns0:c>
      <ns0:c r="V95" s="16">
        <ns0:f>Q95-F95*'前提と出典'!$E$5</ns0:f>
        <ns0:v>23419.892919911574</ns0:v>
      </ns0:c>
      <ns0:c r="W95" s="7">
        <ns0:f>U95+V95</ns0:f>
        <ns0:v>174516.88374108047</ns0:v>
      </ns0:c>
      <ns0:c r="X95" s="16">
        <ns0:f>P95-E95*'前提と出典'!$E$6</ns0:f>
        <ns0:v>128220.74721967659</ns0:v>
      </ns0:c>
      <ns0:c r="Y95" s="16">
        <ns0:f>Q95-F95*'前提と出典'!$E$6</ns0:f>
        <ns0:v>16772.641279832904</ns0:v>
      </ns0:c>
      <ns0:c r="Z95" s="7">
        <ns0:f>X95+Y95</ns0:f>
        <ns0:v>144993.38849950948</ns0:v>
      </ns0:c>
      <ns0:c r="AA95" s="7">
        <ns0:f>IF(T95&gt;=0,A95,1001)</ns0:f>
        <ns0:v>91</ns0:v>
      </ns0:c>
      <ns0:c r="AB95" s="7">
        <ns0:f>IF(T95&lt;0,A95,0)</ns0:f>
        <ns0:v>0</ns0:v>
      </ns0:c>
      <ns0:c r="AC95" s="16">
        <ns0:f>IF(AND(OR('前提と出典'!$C$36+'前提と出典'!$C$38=0,R95&gt;=0),OR('前提と出典'!$C$37+'前提と出典'!$C$38=0,S95&gt;=0)),0,A95)</ns0:f>
        <ns0:v>0</ns0:v>
      </ns0:c>
      <ns0:c r="AD95" s="7">
        <ns0:f>IF(W95&gt;=0,A95,1001)</ns0:f>
        <ns0:v>91</ns0:v>
      </ns0:c>
      <ns0:c r="AE95" s="7">
        <ns0:f>IF(W95&lt;0,A95,0)</ns0:f>
        <ns0:v>0</ns0:v>
      </ns0:c>
      <ns0:c r="AF95" s="16">
        <ns0:f>IF(AND(OR('前提と出典'!$C$36+'前提と出典'!$C$38=0,U95&gt;=0),OR('前提と出典'!$C$37+'前提と出典'!$C$38=0,V95&gt;=0)),0,A95)</ns0:f>
        <ns0:v>0</ns0:v>
      </ns0:c>
      <ns0:c r="AG95" s="7">
        <ns0:f>IF(Z95&gt;=0,A95,1001)</ns0:f>
        <ns0:v>91</ns0:v>
      </ns0:c>
      <ns0:c r="AH95" s="4">
        <ns0:f>IF(Z95&lt;0,A95,0)</ns0:f>
        <ns0:v>0</ns0:v>
      </ns0:c>
      <ns0:c r="AI95" s="12">
        <ns0:f>IF(AND(OR('前提と出典'!$C$36+'前提と出典'!$C$38=0,X95&gt;=0),OR('前提と出典'!$C$37+'前提と出典'!$C$38=0,Y95&gt;=0)),0,A95)</ns0:f>
        <ns0:v>0</ns0:v>
      </ns0:c>
    </ns0:row>
    <ns0:row r="96" ht="24" customHeight="1">
      <ns0:c r="A96" s="4" t="n">
        <ns0:v>92</ns0:v>
      </ns0:c>
      <ns0:c r="B96" s="12">
        <ns0:f>A96*('前提と出典'!$C$36+'前提と出典'!$C$38)</ns0:f>
        <ns0:v>64.39999999999999</ns0:v>
      </ns0:c>
      <ns0:c r="C96" s="12">
        <ns0:f>A96*('前提と出典'!$C$37+'前提と出典'!$C$38)</ns0:f>
        <ns0:v>55.199999999999996</ns0:v>
      </ns0:c>
      <ns0:c r="D96" s="16">
        <ns0:f>A96*('前提と出典'!$C$36*'契約別単価'!C5+'前提と出典'!$C$37*'契約別単価'!C6+'前提と出典'!$C$38*'契約別単価'!C7)</ns0:f>
        <ns0:v>661.9888268156425</ns0:v>
      </ns0:c>
      <ns0:c r="E96" s="16">
        <ns0:f>A96*('前提と出典'!$C$36*'契約別単価'!E5+'前提と出典'!$C$37*'契約別単価'!E6+'前提と出典'!$C$38*'契約別単価'!E7)</ns0:f>
        <ns0:v>231276.30893816403</ns0:v>
      </ns0:c>
      <ns0:c r="F96" s="16">
        <ns0:f>A96*('前提と出典'!$C$36*'契約別単価'!F5+'前提と出典'!$C$37*'契約別単価'!F6+'前提と出典'!$C$38*'契約別単価'!F7)</ns0:f>
        <ns0:v>67202.98361398216</ns0:v>
      </ns0:c>
      <ns0:c r="G96" s="16">
        <ns0:f>A96*('前提と出典'!$C$36*'契約別単価'!G5+'前提と出典'!$C$37*'契約別単価'!G6+'前提と出典'!$C$38*'契約別単価'!G7)</ns0:f>
        <ns0:v>183126.25698324022</ns0:v>
      </ns0:c>
      <ns0:c r="H96" s="16">
        <ns0:f>A96*('前提と出典'!$C$36*'契約別単価'!H5+'前提と出典'!$C$37*'契約別単価'!H6+'前提と出典'!$C$38*'契約別単価'!H7)</ns0:f>
        <ns0:v>63553.99567670755</ns0:v>
      </ns0:c>
      <ns0:c r="I96" s="16">
        <ns0:f>A96*('前提と出典'!$C$36*'契約別単価'!I5+'前提と出典'!$C$37*'契約別単価'!I6+'前提と出典'!$C$38*'契約別単価'!I7)</ns0:f>
        <ns0:v>3881.988826815642</ns0:v>
      </ns0:c>
      <ns0:c r="J96" s="16">
        <ns0:f>A96*('前提と出典'!$C$36*'契約別単価'!J5+'前提と出典'!$C$37*'契約別単価'!J6+'前提と出典'!$C$38*'契約別単価'!J7)</ns0:f>
        <ns0:v>9042.638021347837</ns0:v>
      </ns0:c>
      <ns0:c r="K96" s="16">
        <ns0:f>A96*('前提と出典'!$C$36*'契約別単価'!K5+'前提と出典'!$C$37*'契約別単価'!K6+'前提と出典'!$C$38*'契約別単価'!K7)</ns0:f>
        <ns0:v>38759.92551210428</ns0:v>
      </ns0:c>
      <ns0:c r="L96" s="16">
        <ns0:f>A96*('前提と出典'!$C$36*'契約別単価'!L5+'前提と出典'!$C$37*'契約別単価'!L6+'前提と出典'!$C$38*'契約別単価'!L7)</ns0:f>
        <ns0:v>31558.46652255692</ns0:v>
      </ns0:c>
      <ns0:c r="M96" s="16">
        <ns0:f>IF(('前提と出典'!$C$36+'前提と出典'!$C$38)=0,0,IF(B96&lt;=10,'前提と出典'!B73+'前提と出典'!C73,IF(B96&lt;=100,'前提と出典'!B74+'前提と出典'!C74,IF(B96&lt;=500,'前提と出典'!B75+'前提と出典'!C75,'前提と出典'!B76+'前提と出典'!C76))))</ns0:f>
        <ns0:v>20000</ns0:v>
      </ns0:c>
      <ns0:c r="N96" s="16">
        <ns0:f>IF(('前提と出典'!$C$37+'前提と出典'!$C$38)=0,0,IF(C96&lt;=10,'前提と出典'!D73+'前提と出典'!E73,IF(C96&lt;=100,'前提と出典'!D74+'前提と出典'!E74,IF(C96&lt;=500,'前提と出典'!D75+'前提と出典'!E75,'前提と出典'!D76+'前提と出典'!E76))))</ns0:f>
        <ns0:v>34510.9346263078</ns0:v>
      </ns0:c>
      <ns0:c r="O96" s="16">
        <ns0:f>IF('前提と出典'!$C$36+'前提と出典'!$C$38=0,0,'前提と出典'!$B$4*IF('前提と出典'!$B$20=0,MAX('前提と出典'!$B$6,D96*'前提と出典'!$B$5),'前提と出典'!$B$6+D96*'前提と出典'!$B$5))</ns0:f>
        <ns0:v>91354.45810055868</ns0:v>
      </ns0:c>
      <ns0:c r="P96" s="16">
        <ns0:f>(E96+G96)*(1-'前提と出典'!$B$7)-I96-K96-M96-O96</ns0:f>
        <ns0:v>245487.70110875514</ns0:v>
      </ns0:c>
      <ns0:c r="Q96" s="16">
        <ns0:f>(F96+H96)*(1-'前提と出典'!$B$7)-J96-L96-N96</ns0:f>
        <ns0:v>50937.68886601231</ns0:v>
      </ns0:c>
      <ns0:c r="R96" s="16">
        <ns0:f>P96-E96*'前提と出典'!$E$4</ns0:f>
        <ns0:v>176104.80842730595</ns0:v>
      </ns0:c>
      <ns0:c r="S96" s="16">
        <ns0:f>Q96-F96*'前提と出典'!$E$4</ns0:f>
        <ns0:v>30776.793781817665</ns0:v>
      </ns0:c>
      <ns0:c r="T96" s="7">
        <ns0:f>R96+S96</ns0:f>
        <ns0:v>206881.6022091236</ns0:v>
      </ns0:c>
      <ns0:c r="U96" s="16">
        <ns0:f>P96-E96*'前提と出典'!$E$5</ns0:f>
        <ns0:v>152977.17753348954</ns0:v>
      </ns0:c>
      <ns0:c r="V96" s="16">
        <ns0:f>Q96-F96*'前提と出典'!$E$5</ns0:f>
        <ns0:v>24056.495420419444</ns0:v>
      </ns0:c>
      <ns0:c r="W96" s="7">
        <ns0:f>U96+V96</ns0:f>
        <ns0:v>177033.67295390897</ns0:v>
      </ns0:c>
      <ns0:c r="X96" s="16">
        <ns0:f>P96-E96*'前提と出典'!$E$6</ns0:f>
        <ns0:v>129849.5466396731</ns0:v>
      </ns0:c>
      <ns0:c r="Y96" s="16">
        <ns0:f>Q96-F96*'前提と出典'!$E$6</ns0:f>
        <ns0:v>17336.197059021237</ns0:v>
      </ns0:c>
      <ns0:c r="Z96" s="7">
        <ns0:f>X96+Y96</ns0:f>
        <ns0:v>147185.74369869434</ns0:v>
      </ns0:c>
      <ns0:c r="AA96" s="7">
        <ns0:f>IF(T96&gt;=0,A96,1001)</ns0:f>
        <ns0:v>92</ns0:v>
      </ns0:c>
      <ns0:c r="AB96" s="7">
        <ns0:f>IF(T96&lt;0,A96,0)</ns0:f>
        <ns0:v>0</ns0:v>
      </ns0:c>
      <ns0:c r="AC96" s="16">
        <ns0:f>IF(AND(OR('前提と出典'!$C$36+'前提と出典'!$C$38=0,R96&gt;=0),OR('前提と出典'!$C$37+'前提と出典'!$C$38=0,S96&gt;=0)),0,A96)</ns0:f>
        <ns0:v>0</ns0:v>
      </ns0:c>
      <ns0:c r="AD96" s="7">
        <ns0:f>IF(W96&gt;=0,A96,1001)</ns0:f>
        <ns0:v>92</ns0:v>
      </ns0:c>
      <ns0:c r="AE96" s="7">
        <ns0:f>IF(W96&lt;0,A96,0)</ns0:f>
        <ns0:v>0</ns0:v>
      </ns0:c>
      <ns0:c r="AF96" s="16">
        <ns0:f>IF(AND(OR('前提と出典'!$C$36+'前提と出典'!$C$38=0,U96&gt;=0),OR('前提と出典'!$C$37+'前提と出典'!$C$38=0,V96&gt;=0)),0,A96)</ns0:f>
        <ns0:v>0</ns0:v>
      </ns0:c>
      <ns0:c r="AG96" s="7">
        <ns0:f>IF(Z96&gt;=0,A96,1001)</ns0:f>
        <ns0:v>92</ns0:v>
      </ns0:c>
      <ns0:c r="AH96" s="4">
        <ns0:f>IF(Z96&lt;0,A96,0)</ns0:f>
        <ns0:v>0</ns0:v>
      </ns0:c>
      <ns0:c r="AI96" s="12">
        <ns0:f>IF(AND(OR('前提と出典'!$C$36+'前提と出典'!$C$38=0,X96&gt;=0),OR('前提と出典'!$C$37+'前提と出典'!$C$38=0,Y96&gt;=0)),0,A96)</ns0:f>
        <ns0:v>0</ns0:v>
      </ns0:c>
    </ns0:row>
    <ns0:row r="97" ht="24" customHeight="1">
      <ns0:c r="A97" s="4" t="n">
        <ns0:v>93</ns0:v>
      </ns0:c>
      <ns0:c r="B97" s="12">
        <ns0:f>A97*('前提と出典'!$C$36+'前提と出典'!$C$38)</ns0:f>
        <ns0:v>65.1</ns0:v>
      </ns0:c>
      <ns0:c r="C97" s="12">
        <ns0:f>A97*('前提と出典'!$C$37+'前提と出典'!$C$38)</ns0:f>
        <ns0:v>55.8</ns0:v>
      </ns0:c>
      <ns0:c r="D97" s="16">
        <ns0:f>A97*('前提と出典'!$C$36*'契約別単価'!C5+'前提と出典'!$C$37*'契約別単価'!C6+'前提と出典'!$C$38*'契約別単価'!C7)</ns0:f>
        <ns0:v>669.1843575418994</ns0:v>
      </ns0:c>
      <ns0:c r="E97" s="16">
        <ns0:f>A97*('前提と出典'!$C$36*'契約別単価'!E5+'前提と出典'!$C$37*'契約別単価'!E6+'前提と出典'!$C$38*'契約別単価'!E7)</ns0:f>
        <ns0:v>233790.18186140494</ns0:v>
      </ns0:c>
      <ns0:c r="F97" s="16">
        <ns0:f>A97*('前提と出典'!$C$36*'契約別単価'!F5+'前提と出典'!$C$37*'契約別単価'!F6+'前提と出典'!$C$38*'契約別単価'!F7)</ns0:f>
        <ns0:v>67933.45082717761</ns0:v>
      </ns0:c>
      <ns0:c r="G97" s="16">
        <ns0:f>A97*('前提と出典'!$C$36*'契約別単価'!G5+'前提と出典'!$C$37*'契約別単価'!G6+'前提と出典'!$C$38*'契約別単価'!G7)</ns0:f>
        <ns0:v>185116.75977653632</ns0:v>
      </ns0:c>
      <ns0:c r="H97" s="16">
        <ns0:f>A97*('前提と出典'!$C$36*'契約別単価'!H5+'前提と出典'!$C$37*'契約別単価'!H6+'前提と出典'!$C$38*'契約別単価'!H7)</ns0:f>
        <ns0:v>64244.79997754133</ns0:v>
      </ns0:c>
      <ns0:c r="I97" s="16">
        <ns0:f>A97*('前提と出典'!$C$36*'契約別単価'!I5+'前提と出典'!$C$37*'契約別単価'!I6+'前提と出典'!$C$38*'契約別単価'!I7)</ns0:f>
        <ns0:v>3924.184357541899</ns0:v>
      </ns0:c>
      <ns0:c r="J97" s="16">
        <ns0:f>A97*('前提と出典'!$C$36*'契約別単価'!J5+'前提と出典'!$C$37*'契約別単価'!J6+'前提と出典'!$C$38*'契約別単価'!J7)</ns0:f>
        <ns0:v>9140.927565058138</ns0:v>
      </ns0:c>
      <ns0:c r="K97" s="16">
        <ns0:f>A97*('前提と出典'!$C$36*'契約別単価'!K5+'前提と出典'!$C$37*'契約別単価'!K6+'前提と出典'!$C$38*'契約別単価'!K7)</ns0:f>
        <ns0:v>39181.229050279326</ns0:v>
      </ns0:c>
      <ns0:c r="L97" s="16">
        <ns0:f>A97*('前提と出典'!$C$36*'契約別単価'!L5+'前提と出典'!$C$37*'契約別単価'!L6+'前提と出典'!$C$38*'契約別単価'!L7)</ns0:f>
        <ns0:v>31901.49333258471</ns0:v>
      </ns0:c>
      <ns0:c r="M97" s="16">
        <ns0:f>IF(('前提と出典'!$C$36+'前提と出典'!$C$38)=0,0,IF(B97&lt;=10,'前提と出典'!B73+'前提と出典'!C73,IF(B97&lt;=100,'前提と出典'!B74+'前提と出典'!C74,IF(B97&lt;=500,'前提と出典'!B75+'前提と出典'!C75,'前提と出典'!B76+'前提と出典'!C76))))</ns0:f>
        <ns0:v>20000</ns0:v>
      </ns0:c>
      <ns0:c r="N97" s="16">
        <ns0:f>IF(('前提と出典'!$C$37+'前提と出典'!$C$38)=0,0,IF(C97&lt;=10,'前提と出典'!D73+'前提と出典'!E73,IF(C97&lt;=100,'前提と出典'!D74+'前提と出典'!E74,IF(C97&lt;=500,'前提と出典'!D75+'前提と出典'!E75,'前提と出典'!D76+'前提と出典'!E76))))</ns0:f>
        <ns0:v>34510.9346263078</ns0:v>
      </ns0:c>
      <ns0:c r="O97" s="16">
        <ns0:f>IF('前提と出典'!$C$36+'前提と出典'!$C$38=0,0,'前提と出典'!$B$4*IF('前提と出典'!$B$20=0,MAX('前提と出典'!$B$6,D97*'前提と出典'!$B$5),'前提と出典'!$B$6+D97*'前提と出典'!$B$5))</ns0:f>
        <ns0:v>92347.44134078213</ns0:v>
      </ns0:c>
      <ns0:c r="P97" s="16">
        <ns0:f>(E97+G97)*(1-'前提と出典'!$B$7)-I97-K97-M97-O97</ns0:f>
        <ns0:v>248373.43699037202</ns0:v>
      </ns0:c>
      <ns0:c r="Q97" s="16">
        <ns0:f>(F97+H97)*(1-'前提と出典'!$B$7)-J97-L97-N97</ns0:f>
        <ns0:v>51866.478251798406</ns0:v>
      </ns0:c>
      <ns0:c r="R97" s="16">
        <ns0:f>P97-E97*'前提と出典'!$E$4</ns0:f>
        <ns0:v>178236.38243195057</ns0:v>
      </ns0:c>
      <ns0:c r="S97" s="16">
        <ns0:f>Q97-F97*'前提と出典'!$E$4</ns0:f>
        <ns0:v>31486.443003645116</ns0:v>
      </ns0:c>
      <ns0:c r="T97" s="7">
        <ns0:f>R97+S97</ns0:f>
        <ns0:v>209722.82543559567</ns0:v>
      </ns0:c>
      <ns0:c r="U97" s="16">
        <ns0:f>P97-E97*'前提と出典'!$E$5</ns0:f>
        <ns0:v>154857.36424581005</ns0:v>
      </ns0:c>
      <ns0:c r="V97" s="16">
        <ns0:f>Q97-F97*'前提と出典'!$E$5</ns0:f>
        <ns0:v>24693.097920927357</ns0:v>
      </ns0:c>
      <ns0:c r="W97" s="7">
        <ns0:f>U97+V97</ns0:f>
        <ns0:v>179550.46216673742</ns0:v>
      </ns0:c>
      <ns0:c r="X97" s="16">
        <ns0:f>P97-E97*'前提と出典'!$E$6</ns0:f>
        <ns0:v>131478.34605966957</ns0:v>
      </ns0:c>
      <ns0:c r="Y97" s="16">
        <ns0:f>Q97-F97*'前提と出典'!$E$6</ns0:f>
        <ns0:v>17899.7528382096</ns0:v>
      </ns0:c>
      <ns0:c r="Z97" s="7">
        <ns0:f>X97+Y97</ns0:f>
        <ns0:v>149378.09889787916</ns0:v>
      </ns0:c>
      <ns0:c r="AA97" s="7">
        <ns0:f>IF(T97&gt;=0,A97,1001)</ns0:f>
        <ns0:v>93</ns0:v>
      </ns0:c>
      <ns0:c r="AB97" s="7">
        <ns0:f>IF(T97&lt;0,A97,0)</ns0:f>
        <ns0:v>0</ns0:v>
      </ns0:c>
      <ns0:c r="AC97" s="16">
        <ns0:f>IF(AND(OR('前提と出典'!$C$36+'前提と出典'!$C$38=0,R97&gt;=0),OR('前提と出典'!$C$37+'前提と出典'!$C$38=0,S97&gt;=0)),0,A97)</ns0:f>
        <ns0:v>0</ns0:v>
      </ns0:c>
      <ns0:c r="AD97" s="7">
        <ns0:f>IF(W97&gt;=0,A97,1001)</ns0:f>
        <ns0:v>93</ns0:v>
      </ns0:c>
      <ns0:c r="AE97" s="7">
        <ns0:f>IF(W97&lt;0,A97,0)</ns0:f>
        <ns0:v>0</ns0:v>
      </ns0:c>
      <ns0:c r="AF97" s="16">
        <ns0:f>IF(AND(OR('前提と出典'!$C$36+'前提と出典'!$C$38=0,U97&gt;=0),OR('前提と出典'!$C$37+'前提と出典'!$C$38=0,V97&gt;=0)),0,A97)</ns0:f>
        <ns0:v>0</ns0:v>
      </ns0:c>
      <ns0:c r="AG97" s="7">
        <ns0:f>IF(Z97&gt;=0,A97,1001)</ns0:f>
        <ns0:v>93</ns0:v>
      </ns0:c>
      <ns0:c r="AH97" s="4">
        <ns0:f>IF(Z97&lt;0,A97,0)</ns0:f>
        <ns0:v>0</ns0:v>
      </ns0:c>
      <ns0:c r="AI97" s="12">
        <ns0:f>IF(AND(OR('前提と出典'!$C$36+'前提と出典'!$C$38=0,X97&gt;=0),OR('前提と出典'!$C$37+'前提と出典'!$C$38=0,Y97&gt;=0)),0,A97)</ns0:f>
        <ns0:v>0</ns0:v>
      </ns0:c>
    </ns0:row>
    <ns0:row r="98" ht="24" customHeight="1">
      <ns0:c r="A98" s="4" t="n">
        <ns0:v>94</ns0:v>
      </ns0:c>
      <ns0:c r="B98" s="12">
        <ns0:f>A98*('前提と出典'!$C$36+'前提と出典'!$C$38)</ns0:f>
        <ns0:v>65.8</ns0:v>
      </ns0:c>
      <ns0:c r="C98" s="12">
        <ns0:f>A98*('前提と出典'!$C$37+'前提と出典'!$C$38)</ns0:f>
        <ns0:v>56.4</ns0:v>
      </ns0:c>
      <ns0:c r="D98" s="16">
        <ns0:f>A98*('前提と出典'!$C$36*'契約別単価'!C5+'前提と出典'!$C$37*'契約別単価'!C6+'前提と出典'!$C$38*'契約別単価'!C7)</ns0:f>
        <ns0:v>676.3798882681564</ns0:v>
      </ns0:c>
      <ns0:c r="E98" s="16">
        <ns0:f>A98*('前提と出典'!$C$36*'契約別単価'!E5+'前提と出典'!$C$37*'契約別単価'!E6+'前提と出典'!$C$38*'契約別単価'!E7)</ns0:f>
        <ns0:v>236304.05478464585</ns0:v>
      </ns0:c>
      <ns0:c r="F98" s="16">
        <ns0:f>A98*('前提と出典'!$C$36*'契約別単価'!F5+'前提と出典'!$C$37*'契約別単価'!F6+'前提と出典'!$C$38*'契約別単価'!F7)</ns0:f>
        <ns0:v>68663.91804037307</ns0:v>
      </ns0:c>
      <ns0:c r="G98" s="16">
        <ns0:f>A98*('前提と出典'!$C$36*'契約別単価'!G5+'前提と出典'!$C$37*'契約別単価'!G6+'前提と出典'!$C$38*'契約別単価'!G7)</ns0:f>
        <ns0:v>187107.26256983238</ns0:v>
      </ns0:c>
      <ns0:c r="H98" s="16">
        <ns0:f>A98*('前提と出典'!$C$36*'契約別単価'!H5+'前提と出典'!$C$37*'契約別単価'!H6+'前提と出典'!$C$38*'契約別単価'!H7)</ns0:f>
        <ns0:v>64935.6042783751</ns0:v>
      </ns0:c>
      <ns0:c r="I98" s="16">
        <ns0:f>A98*('前提と出典'!$C$36*'契約別単価'!I5+'前提と出典'!$C$37*'契約別単価'!I6+'前提と出典'!$C$38*'契約別単価'!I7)</ns0:f>
        <ns0:v>3966.379888268156</ns0:v>
      </ns0:c>
      <ns0:c r="J98" s="16">
        <ns0:f>A98*('前提と出典'!$C$36*'契約別単価'!J5+'前提と出典'!$C$37*'契約別単価'!J6+'前提と出典'!$C$38*'契約別単価'!J7)</ns0:f>
        <ns0:v>9239.217108768442</ns0:v>
      </ns0:c>
      <ns0:c r="K98" s="16">
        <ns0:f>A98*('前提と出典'!$C$36*'契約別単価'!K5+'前提と出典'!$C$37*'契約別単価'!K6+'前提と出典'!$C$38*'契約別単価'!K7)</ns0:f>
        <ns0:v>39602.53258845437</ns0:v>
      </ns0:c>
      <ns0:c r="L98" s="16">
        <ns0:f>A98*('前提と出典'!$C$36*'契約別単価'!L5+'前提と出典'!$C$37*'契約別単価'!L6+'前提と出典'!$C$38*'契約別単価'!L7)</ns0:f>
        <ns0:v>32244.520142612502</ns0:v>
      </ns0:c>
      <ns0:c r="M98" s="16">
        <ns0:f>IF(('前提と出典'!$C$36+'前提と出典'!$C$38)=0,0,IF(B98&lt;=10,'前提と出典'!B73+'前提と出典'!C73,IF(B98&lt;=100,'前提と出典'!B74+'前提と出典'!C74,IF(B98&lt;=500,'前提と出典'!B75+'前提と出典'!C75,'前提と出典'!B76+'前提と出典'!C76))))</ns0:f>
        <ns0:v>20000</ns0:v>
      </ns0:c>
      <ns0:c r="N98" s="16">
        <ns0:f>IF(('前提と出典'!$C$37+'前提と出典'!$C$38)=0,0,IF(C98&lt;=10,'前提と出典'!D73+'前提と出典'!E73,IF(C98&lt;=100,'前提と出典'!D74+'前提と出典'!E74,IF(C98&lt;=500,'前提と出典'!D75+'前提と出典'!E75,'前提と出典'!D76+'前提と出典'!E76))))</ns0:f>
        <ns0:v>34510.9346263078</ns0:v>
      </ns0:c>
      <ns0:c r="O98" s="16">
        <ns0:f>IF('前提と出典'!$C$36+'前提と出典'!$C$38=0,0,'前提と出典'!$B$4*IF('前提と出典'!$B$20=0,MAX('前提と出典'!$B$6,D98*'前提と出典'!$B$5),'前提と出典'!$B$6+D98*'前提と出典'!$B$5))</ns0:f>
        <ns0:v>93340.42458100559</ns0:v>
      </ns0:c>
      <ns0:c r="P98" s="16">
        <ns0:f>(E98+G98)*(1-'前提と出典'!$B$7)-I98-K98-M98-O98</ns0:f>
        <ns0:v>251259.1728719889</ns0:v>
      </ns0:c>
      <ns0:c r="Q98" s="16">
        <ns0:f>(F98+H98)*(1-'前提と出典'!$B$7)-J98-L98-N98</ns0:f>
        <ns0:v>52795.26763758452</ns0:v>
      </ns0:c>
      <ns0:c r="R98" s="16">
        <ns0:f>P98-E98*'前提と出典'!$E$4</ns0:f>
        <ns0:v>180367.95643659518</ns0:v>
      </ns0:c>
      <ns0:c r="S98" s="16">
        <ns0:f>Q98-F98*'前提と出典'!$E$4</ns0:f>
        <ns0:v>32196.092225472596</ns0:v>
      </ns0:c>
      <ns0:c r="T98" s="7">
        <ns0:f>R98+S98</ns0:f>
        <ns0:v>212564.04866206777</ns0:v>
      </ns0:c>
      <ns0:c r="U98" s="16">
        <ns0:f>P98-E98*'前提と出典'!$E$5</ns0:f>
        <ns0:v>156737.55095813057</ns0:v>
      </ns0:c>
      <ns0:c r="V98" s="16">
        <ns0:f>Q98-F98*'前提と出典'!$E$5</ns0:f>
        <ns0:v>25329.700421435286</ns0:v>
      </ns0:c>
      <ns0:c r="W98" s="7">
        <ns0:f>U98+V98</ns0:f>
        <ns0:v>182067.25137956586</ns0:v>
      </ns0:c>
      <ns0:c r="X98" s="16">
        <ns0:f>P98-E98*'前提と出典'!$E$6</ns0:f>
        <ns0:v>133107.14547966595</ns0:v>
      </ns0:c>
      <ns0:c r="Y98" s="16">
        <ns0:f>Q98-F98*'前提と出典'!$E$6</ns0:f>
        <ns0:v>18463.308617397975</ns0:v>
      </ns0:c>
      <ns0:c r="Z98" s="7">
        <ns0:f>X98+Y98</ns0:f>
        <ns0:v>151570.45409706392</ns0:v>
      </ns0:c>
      <ns0:c r="AA98" s="7">
        <ns0:f>IF(T98&gt;=0,A98,1001)</ns0:f>
        <ns0:v>94</ns0:v>
      </ns0:c>
      <ns0:c r="AB98" s="7">
        <ns0:f>IF(T98&lt;0,A98,0)</ns0:f>
        <ns0:v>0</ns0:v>
      </ns0:c>
      <ns0:c r="AC98" s="16">
        <ns0:f>IF(AND(OR('前提と出典'!$C$36+'前提と出典'!$C$38=0,R98&gt;=0),OR('前提と出典'!$C$37+'前提と出典'!$C$38=0,S98&gt;=0)),0,A98)</ns0:f>
        <ns0:v>0</ns0:v>
      </ns0:c>
      <ns0:c r="AD98" s="7">
        <ns0:f>IF(W98&gt;=0,A98,1001)</ns0:f>
        <ns0:v>94</ns0:v>
      </ns0:c>
      <ns0:c r="AE98" s="7">
        <ns0:f>IF(W98&lt;0,A98,0)</ns0:f>
        <ns0:v>0</ns0:v>
      </ns0:c>
      <ns0:c r="AF98" s="16">
        <ns0:f>IF(AND(OR('前提と出典'!$C$36+'前提と出典'!$C$38=0,U98&gt;=0),OR('前提と出典'!$C$37+'前提と出典'!$C$38=0,V98&gt;=0)),0,A98)</ns0:f>
        <ns0:v>0</ns0:v>
      </ns0:c>
      <ns0:c r="AG98" s="7">
        <ns0:f>IF(Z98&gt;=0,A98,1001)</ns0:f>
        <ns0:v>94</ns0:v>
      </ns0:c>
      <ns0:c r="AH98" s="4">
        <ns0:f>IF(Z98&lt;0,A98,0)</ns0:f>
        <ns0:v>0</ns0:v>
      </ns0:c>
      <ns0:c r="AI98" s="12">
        <ns0:f>IF(AND(OR('前提と出典'!$C$36+'前提と出典'!$C$38=0,X98&gt;=0),OR('前提と出典'!$C$37+'前提と出典'!$C$38=0,Y98&gt;=0)),0,A98)</ns0:f>
        <ns0:v>0</ns0:v>
      </ns0:c>
    </ns0:row>
    <ns0:row r="99" ht="24" customHeight="1">
      <ns0:c r="A99" s="4" t="n">
        <ns0:v>95</ns0:v>
      </ns0:c>
      <ns0:c r="B99" s="12">
        <ns0:f>A99*('前提と出典'!$C$36+'前提と出典'!$C$38)</ns0:f>
        <ns0:v>66.5</ns0:v>
      </ns0:c>
      <ns0:c r="C99" s="12">
        <ns0:f>A99*('前提と出典'!$C$37+'前提と出典'!$C$38)</ns0:f>
        <ns0:v>57</ns0:v>
      </ns0:c>
      <ns0:c r="D99" s="16">
        <ns0:f>A99*('前提と出典'!$C$36*'契約別単価'!C5+'前提と出典'!$C$37*'契約別単価'!C6+'前提と出典'!$C$38*'契約別単価'!C7)</ns0:f>
        <ns0:v>683.5754189944134</ns0:v>
      </ns0:c>
      <ns0:c r="E99" s="16">
        <ns0:f>A99*('前提と出典'!$C$36*'契約別単価'!E5+'前提と出典'!$C$37*'契約別単価'!E6+'前提と出典'!$C$38*'契約別単価'!E7)</ns0:f>
        <ns0:v>238817.92770788676</ns0:v>
      </ns0:c>
      <ns0:c r="F99" s="16">
        <ns0:f>A99*('前提と出典'!$C$36*'契約別単価'!F5+'前提と出典'!$C$37*'契約別単価'!F6+'前提と出典'!$C$38*'契約別単価'!F7)</ns0:f>
        <ns0:v>69394.38525356853</ns0:v>
      </ns0:c>
      <ns0:c r="G99" s="16">
        <ns0:f>A99*('前提と出典'!$C$36*'契約別単価'!G5+'前提と出典'!$C$37*'契約別単価'!G6+'前提と出典'!$C$38*'契約別単価'!G7)</ns0:f>
        <ns0:v>189097.76536312848</ns0:v>
      </ns0:c>
      <ns0:c r="H99" s="16">
        <ns0:f>A99*('前提と出典'!$C$36*'契約別単価'!H5+'前提と出典'!$C$37*'契約別単価'!H6+'前提と出典'!$C$38*'契約別単価'!H7)</ns0:f>
        <ns0:v>65626.40857920887</ns0:v>
      </ns0:c>
      <ns0:c r="I99" s="16">
        <ns0:f>A99*('前提と出典'!$C$36*'契約別単価'!I5+'前提と出典'!$C$37*'契約別単価'!I6+'前提と出典'!$C$38*'契約別単価'!I7)</ns0:f>
        <ns0:v>4008.5754189944128</ns0:v>
      </ns0:c>
      <ns0:c r="J99" s="16">
        <ns0:f>A99*('前提と出典'!$C$36*'契約別単価'!J5+'前提と出典'!$C$37*'契約別単価'!J6+'前提と出典'!$C$38*'契約別単価'!J7)</ns0:f>
        <ns0:v>9337.506652478743</ns0:v>
      </ns0:c>
      <ns0:c r="K99" s="16">
        <ns0:f>A99*('前提と出典'!$C$36*'契約別単価'!K5+'前提と出典'!$C$37*'契約別単価'!K6+'前提と出典'!$C$38*'契約別単価'!K7)</ns0:f>
        <ns0:v>40023.83612662942</ns0:v>
      </ns0:c>
      <ns0:c r="L99" s="16">
        <ns0:f>A99*('前提と出典'!$C$36*'契約別単価'!L5+'前提と出典'!$C$37*'契約別単価'!L6+'前提と出典'!$C$38*'契約別単価'!L7)</ns0:f>
        <ns0:v>32587.546952640296</ns0:v>
      </ns0:c>
      <ns0:c r="M99" s="16">
        <ns0:f>IF(('前提と出典'!$C$36+'前提と出典'!$C$38)=0,0,IF(B99&lt;=10,'前提と出典'!B73+'前提と出典'!C73,IF(B99&lt;=100,'前提と出典'!B74+'前提と出典'!C74,IF(B99&lt;=500,'前提と出典'!B75+'前提と出典'!C75,'前提と出典'!B76+'前提と出典'!C76))))</ns0:f>
        <ns0:v>20000</ns0:v>
      </ns0:c>
      <ns0:c r="N99" s="16">
        <ns0:f>IF(('前提と出典'!$C$37+'前提と出典'!$C$38)=0,0,IF(C99&lt;=10,'前提と出典'!D73+'前提と出典'!E73,IF(C99&lt;=100,'前提と出典'!D74+'前提と出典'!E74,IF(C99&lt;=500,'前提と出典'!D75+'前提と出典'!E75,'前提と出典'!D76+'前提と出典'!E76))))</ns0:f>
        <ns0:v>34510.9346263078</ns0:v>
      </ns0:c>
      <ns0:c r="O99" s="16">
        <ns0:f>IF('前提と出典'!$C$36+'前提と出典'!$C$38=0,0,'前提と出典'!$B$4*IF('前提と出典'!$B$20=0,MAX('前提と出典'!$B$6,D99*'前提と出典'!$B$5),'前提と出典'!$B$6+D99*'前提と出典'!$B$5))</ns0:f>
        <ns0:v>94333.40782122906</ns0:v>
      </ns0:c>
      <ns0:c r="P99" s="16">
        <ns0:f>(E99+G99)*(1-'前提と出典'!$B$7)-I99-K99-M99-O99</ns0:f>
        <ns0:v>254144.90875360582</ns0:v>
      </ns0:c>
      <ns0:c r="Q99" s="16">
        <ns0:f>(F99+H99)*(1-'前提と出典'!$B$7)-J99-L99-N99</ns0:f>
        <ns0:v>53724.057023370595</ns0:v>
      </ns0:c>
      <ns0:c r="R99" s="16">
        <ns0:f>P99-E99*'前提と出典'!$E$4</ns0:f>
        <ns0:v>182499.53044123977</ns0:v>
      </ns0:c>
      <ns0:c r="S99" s="16">
        <ns0:f>Q99-F99*'前提と出典'!$E$4</ns0:f>
        <ns0:v>32905.741447300046</ns0:v>
      </ns0:c>
      <ns0:c r="T99" s="7">
        <ns0:f>R99+S99</ns0:f>
        <ns0:v>215405.2718885398</ns0:v>
      </ns0:c>
      <ns0:c r="U99" s="16">
        <ns0:f>P99-E99*'前提と出典'!$E$5</ns0:f>
        <ns0:v>158617.7376704511</ns0:v>
      </ns0:c>
      <ns0:c r="V99" s="16">
        <ns0:f>Q99-F99*'前提と出典'!$E$5</ns0:f>
        <ns0:v>25966.302921943177</ns0:v>
      </ns0:c>
      <ns0:c r="W99" s="7">
        <ns0:f>U99+V99</ns0:f>
        <ns0:v>184584.0405923943</ns0:v>
      </ns0:c>
      <ns0:c r="X99" s="16">
        <ns0:f>P99-E99*'前提と出典'!$E$6</ns0:f>
        <ns0:v>134735.94489966234</ns0:v>
      </ns0:c>
      <ns0:c r="Y99" s="16">
        <ns0:f>Q99-F99*'前提と出典'!$E$6</ns0:f>
        <ns0:v>19026.86439658633</ns0:v>
      </ns0:c>
      <ns0:c r="Z99" s="7">
        <ns0:f>X99+Y99</ns0:f>
        <ns0:v>153762.80929624866</ns0:v>
      </ns0:c>
      <ns0:c r="AA99" s="7">
        <ns0:f>IF(T99&gt;=0,A99,1001)</ns0:f>
        <ns0:v>95</ns0:v>
      </ns0:c>
      <ns0:c r="AB99" s="7">
        <ns0:f>IF(T99&lt;0,A99,0)</ns0:f>
        <ns0:v>0</ns0:v>
      </ns0:c>
      <ns0:c r="AC99" s="16">
        <ns0:f>IF(AND(OR('前提と出典'!$C$36+'前提と出典'!$C$38=0,R99&gt;=0),OR('前提と出典'!$C$37+'前提と出典'!$C$38=0,S99&gt;=0)),0,A99)</ns0:f>
        <ns0:v>0</ns0:v>
      </ns0:c>
      <ns0:c r="AD99" s="7">
        <ns0:f>IF(W99&gt;=0,A99,1001)</ns0:f>
        <ns0:v>95</ns0:v>
      </ns0:c>
      <ns0:c r="AE99" s="7">
        <ns0:f>IF(W99&lt;0,A99,0)</ns0:f>
        <ns0:v>0</ns0:v>
      </ns0:c>
      <ns0:c r="AF99" s="16">
        <ns0:f>IF(AND(OR('前提と出典'!$C$36+'前提と出典'!$C$38=0,U99&gt;=0),OR('前提と出典'!$C$37+'前提と出典'!$C$38=0,V99&gt;=0)),0,A99)</ns0:f>
        <ns0:v>0</ns0:v>
      </ns0:c>
      <ns0:c r="AG99" s="7">
        <ns0:f>IF(Z99&gt;=0,A99,1001)</ns0:f>
        <ns0:v>95</ns0:v>
      </ns0:c>
      <ns0:c r="AH99" s="4">
        <ns0:f>IF(Z99&lt;0,A99,0)</ns0:f>
        <ns0:v>0</ns0:v>
      </ns0:c>
      <ns0:c r="AI99" s="12">
        <ns0:f>IF(AND(OR('前提と出典'!$C$36+'前提と出典'!$C$38=0,X99&gt;=0),OR('前提と出典'!$C$37+'前提と出典'!$C$38=0,Y99&gt;=0)),0,A99)</ns0:f>
        <ns0:v>0</ns0:v>
      </ns0:c>
    </ns0:row>
    <ns0:row r="100" ht="24" customHeight="1">
      <ns0:c r="A100" s="4" t="n">
        <ns0:v>96</ns0:v>
      </ns0:c>
      <ns0:c r="B100" s="12">
        <ns0:f>A100*('前提と出典'!$C$36+'前提と出典'!$C$38)</ns0:f>
        <ns0:v>67.19999999999999</ns0:v>
      </ns0:c>
      <ns0:c r="C100" s="12">
        <ns0:f>A100*('前提と出典'!$C$37+'前提と出典'!$C$38)</ns0:f>
        <ns0:v>57.599999999999994</ns0:v>
      </ns0:c>
      <ns0:c r="D100" s="16">
        <ns0:f>A100*('前提と出典'!$C$36*'契約別単価'!C5+'前提と出典'!$C$37*'契約別単価'!C6+'前提と出典'!$C$38*'契約別単価'!C7)</ns0:f>
        <ns0:v>690.7709497206704</ns0:v>
      </ns0:c>
      <ns0:c r="E100" s="16">
        <ns0:f>A100*('前提と出典'!$C$36*'契約別単価'!E5+'前提と出典'!$C$37*'契約別単価'!E6+'前提と出典'!$C$38*'契約別単価'!E7)</ns0:f>
        <ns0:v>241331.80063112767</ns0:v>
      </ns0:c>
      <ns0:c r="F100" s="16">
        <ns0:f>A100*('前提と出典'!$C$36*'契約別単価'!F5+'前提と出典'!$C$37*'契約別単価'!F6+'前提と出典'!$C$38*'契約別単価'!F7)</ns0:f>
        <ns0:v>70124.85246676399</ns0:v>
      </ns0:c>
      <ns0:c r="G100" s="16">
        <ns0:f>A100*('前提と出典'!$C$36*'契約別単価'!G5+'前提と出典'!$C$37*'契約別単価'!G6+'前提と出典'!$C$38*'契約別単価'!G7)</ns0:f>
        <ns0:v>191088.26815642457</ns0:v>
      </ns0:c>
      <ns0:c r="H100" s="16">
        <ns0:f>A100*('前提と出典'!$C$36*'契約別単価'!H5+'前提と出典'!$C$37*'契約別単価'!H6+'前提と出典'!$C$38*'契約別単価'!H7)</ns0:f>
        <ns0:v>66317.21288004266</ns0:v>
      </ns0:c>
      <ns0:c r="I100" s="16">
        <ns0:f>A100*('前提と出典'!$C$36*'契約別単価'!I5+'前提と出典'!$C$37*'契約別単価'!I6+'前提と出典'!$C$38*'契約別単価'!I7)</ns0:f>
        <ns0:v>4050.7709497206697</ns0:v>
      </ns0:c>
      <ns0:c r="J100" s="16">
        <ns0:f>A100*('前提と出典'!$C$36*'契約別単価'!J5+'前提と出典'!$C$37*'契約別単価'!J6+'前提と出典'!$C$38*'契約別単価'!J7)</ns0:f>
        <ns0:v>9435.796196189047</ns0:v>
      </ns0:c>
      <ns0:c r="K100" s="16">
        <ns0:f>A100*('前提と出典'!$C$36*'契約別単価'!K5+'前提と出典'!$C$37*'契約別単価'!K6+'前提と出典'!$C$38*'契約別単価'!K7)</ns0:f>
        <ns0:v>40445.13966480447</ns0:v>
      </ns0:c>
      <ns0:c r="L100" s="16">
        <ns0:f>A100*('前提と出典'!$C$36*'契約別単価'!L5+'前提と出典'!$C$37*'契約別単価'!L6+'前提と出典'!$C$38*'契約別単価'!L7)</ns0:f>
        <ns0:v>32930.573762668086</ns0:v>
      </ns0:c>
      <ns0:c r="M100" s="16">
        <ns0:f>IF(('前提と出典'!$C$36+'前提と出典'!$C$38)=0,0,IF(B100&lt;=10,'前提と出典'!B73+'前提と出典'!C73,IF(B100&lt;=100,'前提と出典'!B74+'前提と出典'!C74,IF(B100&lt;=500,'前提と出典'!B75+'前提と出典'!C75,'前提と出典'!B76+'前提と出典'!C76))))</ns0:f>
        <ns0:v>20000</ns0:v>
      </ns0:c>
      <ns0:c r="N100" s="16">
        <ns0:f>IF(('前提と出典'!$C$37+'前提と出典'!$C$38)=0,0,IF(C100&lt;=10,'前提と出典'!D73+'前提と出典'!E73,IF(C100&lt;=100,'前提と出典'!D74+'前提と出典'!E74,IF(C100&lt;=500,'前提と出典'!D75+'前提と出典'!E75,'前提と出典'!D76+'前提と出典'!E76))))</ns0:f>
        <ns0:v>34510.9346263078</ns0:v>
      </ns0:c>
      <ns0:c r="O100" s="16">
        <ns0:f>IF('前提と出典'!$C$36+'前提と出典'!$C$38=0,0,'前提と出典'!$B$4*IF('前提と出典'!$B$20=0,MAX('前提と出典'!$B$6,D100*'前提と出典'!$B$5),'前提と出典'!$B$6+D100*'前提と出典'!$B$5))</ns0:f>
        <ns0:v>95326.39106145252</ns0:v>
      </ns0:c>
      <ns0:c r="P100" s="16">
        <ns0:f>(E100+G100)*(1-'前提と出典'!$B$7)-I100-K100-M100-O100</ns0:f>
        <ns0:v>257030.64463522274</ns0:v>
      </ns0:c>
      <ns0:c r="Q100" s="16">
        <ns0:f>(F100+H100)*(1-'前提と出典'!$B$7)-J100-L100-N100</ns0:f>
        <ns0:v>54652.8464091567</ns0:v>
      </ns0:c>
      <ns0:c r="R100" s="16">
        <ns0:f>P100-E100*'前提と出典'!$E$4</ns0:f>
        <ns0:v>184631.1044458844</ns0:v>
      </ns0:c>
      <ns0:c r="S100" s="16">
        <ns0:f>Q100-F100*'前提と出典'!$E$4</ns0:f>
        <ns0:v>33615.3906691275</ns0:v>
      </ns0:c>
      <ns0:c r="T100" s="7">
        <ns0:f>R100+S100</ns0:f>
        <ns0:v>218246.4951150119</ns0:v>
      </ns0:c>
      <ns0:c r="U100" s="16">
        <ns0:f>P100-E100*'前提と出典'!$E$5</ns0:f>
        <ns0:v>160497.92438277166</ns0:v>
      </ns0:c>
      <ns0:c r="V100" s="16">
        <ns0:f>Q100-F100*'前提と出典'!$E$5</ns0:f>
        <ns0:v>26602.905422451106</ns0:v>
      </ns0:c>
      <ns0:c r="W100" s="7">
        <ns0:f>U100+V100</ns0:f>
        <ns0:v>187100.82980522275</ns0:v>
      </ns0:c>
      <ns0:c r="X100" s="16">
        <ns0:f>P100-E100*'前提と出典'!$E$6</ns0:f>
        <ns0:v>136364.74431965884</ns0:v>
      </ns0:c>
      <ns0:c r="Y100" s="16">
        <ns0:f>Q100-F100*'前提と出典'!$E$6</ns0:f>
        <ns0:v>19590.420175774707</ns0:v>
      </ns0:c>
      <ns0:c r="Z100" s="7">
        <ns0:f>X100+Y100</ns0:f>
        <ns0:v>155955.16449543356</ns0:v>
      </ns0:c>
      <ns0:c r="AA100" s="7">
        <ns0:f>IF(T100&gt;=0,A100,1001)</ns0:f>
        <ns0:v>96</ns0:v>
      </ns0:c>
      <ns0:c r="AB100" s="7">
        <ns0:f>IF(T100&lt;0,A100,0)</ns0:f>
        <ns0:v>0</ns0:v>
      </ns0:c>
      <ns0:c r="AC100" s="16">
        <ns0:f>IF(AND(OR('前提と出典'!$C$36+'前提と出典'!$C$38=0,R100&gt;=0),OR('前提と出典'!$C$37+'前提と出典'!$C$38=0,S100&gt;=0)),0,A100)</ns0:f>
        <ns0:v>0</ns0:v>
      </ns0:c>
      <ns0:c r="AD100" s="7">
        <ns0:f>IF(W100&gt;=0,A100,1001)</ns0:f>
        <ns0:v>96</ns0:v>
      </ns0:c>
      <ns0:c r="AE100" s="7">
        <ns0:f>IF(W100&lt;0,A100,0)</ns0:f>
        <ns0:v>0</ns0:v>
      </ns0:c>
      <ns0:c r="AF100" s="16">
        <ns0:f>IF(AND(OR('前提と出典'!$C$36+'前提と出典'!$C$38=0,U100&gt;=0),OR('前提と出典'!$C$37+'前提と出典'!$C$38=0,V100&gt;=0)),0,A100)</ns0:f>
        <ns0:v>0</ns0:v>
      </ns0:c>
      <ns0:c r="AG100" s="7">
        <ns0:f>IF(Z100&gt;=0,A100,1001)</ns0:f>
        <ns0:v>96</ns0:v>
      </ns0:c>
      <ns0:c r="AH100" s="4">
        <ns0:f>IF(Z100&lt;0,A100,0)</ns0:f>
        <ns0:v>0</ns0:v>
      </ns0:c>
      <ns0:c r="AI100" s="12">
        <ns0:f>IF(AND(OR('前提と出典'!$C$36+'前提と出典'!$C$38=0,X100&gt;=0),OR('前提と出典'!$C$37+'前提と出典'!$C$38=0,Y100&gt;=0)),0,A100)</ns0:f>
        <ns0:v>0</ns0:v>
      </ns0:c>
    </ns0:row>
    <ns0:row r="101" ht="24" customHeight="1">
      <ns0:c r="A101" s="4" t="n">
        <ns0:v>97</ns0:v>
      </ns0:c>
      <ns0:c r="B101" s="12">
        <ns0:f>A101*('前提と出典'!$C$36+'前提と出典'!$C$38)</ns0:f>
        <ns0:v>67.89999999999999</ns0:v>
      </ns0:c>
      <ns0:c r="C101" s="12">
        <ns0:f>A101*('前提と出典'!$C$37+'前提と出典'!$C$38)</ns0:f>
        <ns0:v>58.199999999999996</ns0:v>
      </ns0:c>
      <ns0:c r="D101" s="16">
        <ns0:f>A101*('前提と出典'!$C$36*'契約別単価'!C5+'前提と出典'!$C$37*'契約別単価'!C6+'前提と出典'!$C$38*'契約別単価'!C7)</ns0:f>
        <ns0:v>697.9664804469273</ns0:v>
      </ns0:c>
      <ns0:c r="E101" s="16">
        <ns0:f>A101*('前提と出典'!$C$36*'契約別単価'!E5+'前提と出典'!$C$37*'契約別単価'!E6+'前提と出典'!$C$38*'契約別単価'!E7)</ns0:f>
        <ns0:v>243845.67355436858</ns0:v>
      </ns0:c>
      <ns0:c r="F101" s="16">
        <ns0:f>A101*('前提と出典'!$C$36*'契約別単価'!F5+'前提と出典'!$C$37*'契約別単価'!F6+'前提と出典'!$C$38*'契約別単価'!F7)</ns0:f>
        <ns0:v>70855.31967995944</ns0:v>
      </ns0:c>
      <ns0:c r="G101" s="16">
        <ns0:f>A101*('前提と出典'!$C$36*'契約別単価'!G5+'前提と出典'!$C$37*'契約別単価'!G6+'前提と出典'!$C$38*'契約別単価'!G7)</ns0:f>
        <ns0:v>193078.77094972067</ns0:v>
      </ns0:c>
      <ns0:c r="H101" s="16">
        <ns0:f>A101*('前提と出典'!$C$36*'契約別単価'!H5+'前提と出典'!$C$37*'契約別単価'!H6+'前提と出典'!$C$38*'契約別単価'!H7)</ns0:f>
        <ns0:v>67008.01718087644</ns0:v>
      </ns0:c>
      <ns0:c r="I101" s="16">
        <ns0:f>A101*('前提と出典'!$C$36*'契約別単価'!I5+'前提と出典'!$C$37*'契約別単価'!I6+'前提と出典'!$C$38*'契約別単価'!I7)</ns0:f>
        <ns0:v>4092.9664804469267</ns0:v>
      </ns0:c>
      <ns0:c r="J101" s="16">
        <ns0:f>A101*('前提と出典'!$C$36*'契約別単価'!J5+'前提と出典'!$C$37*'契約別単価'!J6+'前提と出典'!$C$38*'契約別単価'!J7)</ns0:f>
        <ns0:v>9534.085739899348</ns0:v>
      </ns0:c>
      <ns0:c r="K101" s="16">
        <ns0:f>A101*('前提と出典'!$C$36*'契約別単価'!K5+'前提と出典'!$C$37*'契約別単価'!K6+'前提と出典'!$C$38*'契約別単価'!K7)</ns0:f>
        <ns0:v>40866.44320297951</ns0:v>
      </ns0:c>
      <ns0:c r="L101" s="16">
        <ns0:f>A101*('前提と出典'!$C$36*'契約別単価'!L5+'前提と出典'!$C$37*'契約別単価'!L6+'前提と出典'!$C$38*'契約別単価'!L7)</ns0:f>
        <ns0:v>33273.60057269588</ns0:v>
      </ns0:c>
      <ns0:c r="M101" s="16">
        <ns0:f>IF(('前提と出典'!$C$36+'前提と出典'!$C$38)=0,0,IF(B101&lt;=10,'前提と出典'!B73+'前提と出典'!C73,IF(B101&lt;=100,'前提と出典'!B74+'前提と出典'!C74,IF(B101&lt;=500,'前提と出典'!B75+'前提と出典'!C75,'前提と出典'!B76+'前提と出典'!C76))))</ns0:f>
        <ns0:v>20000</ns0:v>
      </ns0:c>
      <ns0:c r="N101" s="16">
        <ns0:f>IF(('前提と出典'!$C$37+'前提と出典'!$C$38)=0,0,IF(C101&lt;=10,'前提と出典'!D73+'前提と出典'!E73,IF(C101&lt;=100,'前提と出典'!D74+'前提と出典'!E74,IF(C101&lt;=500,'前提と出典'!D75+'前提と出典'!E75,'前提と出典'!D76+'前提と出典'!E76))))</ns0:f>
        <ns0:v>34510.9346263078</ns0:v>
      </ns0:c>
      <ns0:c r="O101" s="16">
        <ns0:f>IF('前提と出典'!$C$36+'前提と出典'!$C$38=0,0,'前提と出典'!$B$4*IF('前提と出典'!$B$20=0,MAX('前提と出典'!$B$6,D101*'前提と出典'!$B$5),'前提と出典'!$B$6+D101*'前提と出典'!$B$5))</ns0:f>
        <ns0:v>96319.37430167598</ns0:v>
      </ns0:c>
      <ns0:c r="P101" s="16">
        <ns0:f>(E101+G101)*(1-'前提と出典'!$B$7)-I101-K101-M101-O101</ns0:f>
        <ns0:v>259916.38051683962</ns0:v>
      </ns0:c>
      <ns0:c r="Q101" s="16">
        <ns0:f>(F101+H101)*(1-'前提と出典'!$B$7)-J101-L101-N101</ns0:f>
        <ns0:v>55581.63579494278</ns0:v>
      </ns0:c>
      <ns0:c r="R101" s="16">
        <ns0:f>P101-E101*'前提と出典'!$E$4</ns0:f>
        <ns0:v>186762.67845052906</ns0:v>
      </ns0:c>
      <ns0:c r="S101" s="16">
        <ns0:f>Q101-F101*'前提と出典'!$E$4</ns0:f>
        <ns0:v>34325.03989095493</ns0:v>
      </ns0:c>
      <ns0:c r="T101" s="7">
        <ns0:f>R101+S101</ns0:f>
        <ns0:v>221087.718341484</ns0:v>
      </ns0:c>
      <ns0:c r="U101" s="16">
        <ns0:f>P101-E101*'前提と出典'!$E$5</ns0:f>
        <ns0:v>162378.1110950922</ns0:v>
      </ns0:c>
      <ns0:c r="V101" s="16">
        <ns0:f>Q101-F101*'前提と出典'!$E$5</ns0:f>
        <ns0:v>27239.507922958997</ns0:v>
      </ns0:c>
      <ns0:c r="W101" s="7">
        <ns0:f>U101+V101</ns0:f>
        <ns0:v>189617.6190180512</ns0:v>
      </ns0:c>
      <ns0:c r="X101" s="16">
        <ns0:f>P101-E101*'前提と出典'!$E$6</ns0:f>
        <ns0:v>137993.54373965535</ns0:v>
      </ns0:c>
      <ns0:c r="Y101" s="16">
        <ns0:f>Q101-F101*'前提と出典'!$E$6</ns0:f>
        <ns0:v>20153.975954963047</ns0:v>
      </ns0:c>
      <ns0:c r="Z101" s="7">
        <ns0:f>X101+Y101</ns0:f>
        <ns0:v>158147.5196946184</ns0:v>
      </ns0:c>
      <ns0:c r="AA101" s="7">
        <ns0:f>IF(T101&gt;=0,A101,1001)</ns0:f>
        <ns0:v>97</ns0:v>
      </ns0:c>
      <ns0:c r="AB101" s="7">
        <ns0:f>IF(T101&lt;0,A101,0)</ns0:f>
        <ns0:v>0</ns0:v>
      </ns0:c>
      <ns0:c r="AC101" s="16">
        <ns0:f>IF(AND(OR('前提と出典'!$C$36+'前提と出典'!$C$38=0,R101&gt;=0),OR('前提と出典'!$C$37+'前提と出典'!$C$38=0,S101&gt;=0)),0,A101)</ns0:f>
        <ns0:v>0</ns0:v>
      </ns0:c>
      <ns0:c r="AD101" s="7">
        <ns0:f>IF(W101&gt;=0,A101,1001)</ns0:f>
        <ns0:v>97</ns0:v>
      </ns0:c>
      <ns0:c r="AE101" s="7">
        <ns0:f>IF(W101&lt;0,A101,0)</ns0:f>
        <ns0:v>0</ns0:v>
      </ns0:c>
      <ns0:c r="AF101" s="16">
        <ns0:f>IF(AND(OR('前提と出典'!$C$36+'前提と出典'!$C$38=0,U101&gt;=0),OR('前提と出典'!$C$37+'前提と出典'!$C$38=0,V101&gt;=0)),0,A101)</ns0:f>
        <ns0:v>0</ns0:v>
      </ns0:c>
      <ns0:c r="AG101" s="7">
        <ns0:f>IF(Z101&gt;=0,A101,1001)</ns0:f>
        <ns0:v>97</ns0:v>
      </ns0:c>
      <ns0:c r="AH101" s="4">
        <ns0:f>IF(Z101&lt;0,A101,0)</ns0:f>
        <ns0:v>0</ns0:v>
      </ns0:c>
      <ns0:c r="AI101" s="12">
        <ns0:f>IF(AND(OR('前提と出典'!$C$36+'前提と出典'!$C$38=0,X101&gt;=0),OR('前提と出典'!$C$37+'前提と出典'!$C$38=0,Y101&gt;=0)),0,A101)</ns0:f>
        <ns0:v>0</ns0:v>
      </ns0:c>
    </ns0:row>
    <ns0:row r="102" ht="24" customHeight="1">
      <ns0:c r="A102" s="4" t="n">
        <ns0:v>98</ns0:v>
      </ns0:c>
      <ns0:c r="B102" s="12">
        <ns0:f>A102*('前提と出典'!$C$36+'前提と出典'!$C$38)</ns0:f>
        <ns0:v>68.6</ns0:v>
      </ns0:c>
      <ns0:c r="C102" s="12">
        <ns0:f>A102*('前提と出典'!$C$37+'前提と出典'!$C$38)</ns0:f>
        <ns0:v>58.8</ns0:v>
      </ns0:c>
      <ns0:c r="D102" s="16">
        <ns0:f>A102*('前提と出典'!$C$36*'契約別単価'!C5+'前提と出典'!$C$37*'契約別単価'!C6+'前提と出典'!$C$38*'契約別単価'!C7)</ns0:f>
        <ns0:v>705.1620111731844</ns0:v>
      </ns0:c>
      <ns0:c r="E102" s="16">
        <ns0:f>A102*('前提と出典'!$C$36*'契約別単価'!E5+'前提と出典'!$C$37*'契約別単価'!E6+'前提と出典'!$C$38*'契約別単価'!E7)</ns0:f>
        <ns0:v>246359.5464776095</ns0:v>
      </ns0:c>
      <ns0:c r="F102" s="16">
        <ns0:f>A102*('前提と出典'!$C$36*'契約別単価'!F5+'前提と出典'!$C$37*'契約別単価'!F6+'前提と出典'!$C$38*'契約別単価'!F7)</ns0:f>
        <ns0:v>71585.7868931549</ns0:v>
      </ns0:c>
      <ns0:c r="G102" s="16">
        <ns0:f>A102*('前提と出典'!$C$36*'契約別単価'!G5+'前提と出典'!$C$37*'契約別単価'!G6+'前提と出典'!$C$38*'契約別単価'!G7)</ns0:f>
        <ns0:v>195069.27374301676</ns0:v>
      </ns0:c>
      <ns0:c r="H102" s="16">
        <ns0:f>A102*('前提と出典'!$C$36*'契約別単価'!H5+'前提と出典'!$C$37*'契約別単価'!H6+'前提と出典'!$C$38*'契約別単価'!H7)</ns0:f>
        <ns0:v>67698.82148171021</ns0:v>
      </ns0:c>
      <ns0:c r="I102" s="16">
        <ns0:f>A102*('前提と出典'!$C$36*'契約別単価'!I5+'前提と出典'!$C$37*'契約別単価'!I6+'前提と出典'!$C$38*'契約別単価'!I7)</ns0:f>
        <ns0:v>4135.162011173184</ns0:v>
      </ns0:c>
      <ns0:c r="J102" s="16">
        <ns0:f>A102*('前提と出典'!$C$36*'契約別単価'!J5+'前提と出典'!$C$37*'契約別単価'!J6+'前提と出典'!$C$38*'契約別単価'!J7)</ns0:f>
        <ns0:v>9632.375283609652</ns0:v>
      </ns0:c>
      <ns0:c r="K102" s="16">
        <ns0:f>A102*('前提と出典'!$C$36*'契約別単価'!K5+'前提と出典'!$C$37*'契約別単価'!K6+'前提と出典'!$C$38*'契約別単価'!K7)</ns0:f>
        <ns0:v>41287.74674115456</ns0:v>
      </ns0:c>
      <ns0:c r="L102" s="16">
        <ns0:f>A102*('前提と出典'!$C$36*'契約別単価'!L5+'前提と出典'!$C$37*'契約別単価'!L6+'前提と出典'!$C$38*'契約別単価'!L7)</ns0:f>
        <ns0:v>33616.62738272367</ns0:v>
      </ns0:c>
      <ns0:c r="M102" s="16">
        <ns0:f>IF(('前提と出典'!$C$36+'前提と出典'!$C$38)=0,0,IF(B102&lt;=10,'前提と出典'!B73+'前提と出典'!C73,IF(B102&lt;=100,'前提と出典'!B74+'前提と出典'!C74,IF(B102&lt;=500,'前提と出典'!B75+'前提と出典'!C75,'前提と出典'!B76+'前提と出典'!C76))))</ns0:f>
        <ns0:v>20000</ns0:v>
      </ns0:c>
      <ns0:c r="N102" s="16">
        <ns0:f>IF(('前提と出典'!$C$37+'前提と出典'!$C$38)=0,0,IF(C102&lt;=10,'前提と出典'!D73+'前提と出典'!E73,IF(C102&lt;=100,'前提と出典'!D74+'前提と出典'!E74,IF(C102&lt;=500,'前提と出典'!D75+'前提と出典'!E75,'前提と出典'!D76+'前提と出典'!E76))))</ns0:f>
        <ns0:v>34510.9346263078</ns0:v>
      </ns0:c>
      <ns0:c r="O102" s="16">
        <ns0:f>IF('前提と出典'!$C$36+'前提と出典'!$C$38=0,0,'前提と出典'!$B$4*IF('前提と出典'!$B$20=0,MAX('前提と出典'!$B$6,D102*'前提と出典'!$B$5),'前提と出典'!$B$6+D102*'前提と出典'!$B$5))</ns0:f>
        <ns0:v>97312.35754189946</ns0:v>
      </ns0:c>
      <ns0:c r="P102" s="16">
        <ns0:f>(E102+G102)*(1-'前提と出典'!$B$7)-I102-K102-M102-O102</ns0:f>
        <ns0:v>262802.11639845645</ns0:v>
      </ns0:c>
      <ns0:c r="Q102" s="16">
        <ns0:f>(F102+H102)*(1-'前提と出典'!$B$7)-J102-L102-N102</ns0:f>
        <ns0:v>56510.425180728846</ns0:v>
      </ns0:c>
      <ns0:c r="R102" s="16">
        <ns0:f>P102-E102*'前提と出典'!$E$4</ns0:f>
        <ns0:v>188894.2524551736</ns0:v>
      </ns0:c>
      <ns0:c r="S102" s="16">
        <ns0:f>Q102-F102*'前提と出典'!$E$4</ns0:f>
        <ns0:v>35034.68911278237</ns0:v>
      </ns0:c>
      <ns0:c r="T102" s="7">
        <ns0:f>R102+S102</ns0:f>
        <ns0:v>223928.94156795598</ns0:v>
      </ns0:c>
      <ns0:c r="U102" s="16">
        <ns0:f>P102-E102*'前提と出典'!$E$5</ns0:f>
        <ns0:v>164258.29780741266</ns0:v>
      </ns0:c>
      <ns0:c r="V102" s="16">
        <ns0:f>Q102-F102*'前提と出典'!$E$5</ns0:f>
        <ns0:v>27876.110423466882</ns0:v>
      </ns0:c>
      <ns0:c r="W102" s="7">
        <ns0:f>U102+V102</ns0:f>
        <ns0:v>192134.40823087955</ns0:v>
      </ns0:c>
      <ns0:c r="X102" s="16">
        <ns0:f>P102-E102*'前提と出典'!$E$6</ns0:f>
        <ns0:v>139622.3431596518</ns0:v>
      </ns0:c>
      <ns0:c r="Y102" s="16">
        <ns0:f>Q102-F102*'前提と出典'!$E$6</ns0:f>
        <ns0:v>20717.531734151395</ns0:v>
      </ns0:c>
      <ns0:c r="Z102" s="7">
        <ns0:f>X102+Y102</ns0:f>
        <ns0:v>160339.87489380318</ns0:v>
      </ns0:c>
      <ns0:c r="AA102" s="7">
        <ns0:f>IF(T102&gt;=0,A102,1001)</ns0:f>
        <ns0:v>98</ns0:v>
      </ns0:c>
      <ns0:c r="AB102" s="7">
        <ns0:f>IF(T102&lt;0,A102,0)</ns0:f>
        <ns0:v>0</ns0:v>
      </ns0:c>
      <ns0:c r="AC102" s="16">
        <ns0:f>IF(AND(OR('前提と出典'!$C$36+'前提と出典'!$C$38=0,R102&gt;=0),OR('前提と出典'!$C$37+'前提と出典'!$C$38=0,S102&gt;=0)),0,A102)</ns0:f>
        <ns0:v>0</ns0:v>
      </ns0:c>
      <ns0:c r="AD102" s="7">
        <ns0:f>IF(W102&gt;=0,A102,1001)</ns0:f>
        <ns0:v>98</ns0:v>
      </ns0:c>
      <ns0:c r="AE102" s="7">
        <ns0:f>IF(W102&lt;0,A102,0)</ns0:f>
        <ns0:v>0</ns0:v>
      </ns0:c>
      <ns0:c r="AF102" s="16">
        <ns0:f>IF(AND(OR('前提と出典'!$C$36+'前提と出典'!$C$38=0,U102&gt;=0),OR('前提と出典'!$C$37+'前提と出典'!$C$38=0,V102&gt;=0)),0,A102)</ns0:f>
        <ns0:v>0</ns0:v>
      </ns0:c>
      <ns0:c r="AG102" s="7">
        <ns0:f>IF(Z102&gt;=0,A102,1001)</ns0:f>
        <ns0:v>98</ns0:v>
      </ns0:c>
      <ns0:c r="AH102" s="4">
        <ns0:f>IF(Z102&lt;0,A102,0)</ns0:f>
        <ns0:v>0</ns0:v>
      </ns0:c>
      <ns0:c r="AI102" s="12">
        <ns0:f>IF(AND(OR('前提と出典'!$C$36+'前提と出典'!$C$38=0,X102&gt;=0),OR('前提と出典'!$C$37+'前提と出典'!$C$38=0,Y102&gt;=0)),0,A102)</ns0:f>
        <ns0:v>0</ns0:v>
      </ns0:c>
    </ns0:row>
    <ns0:row r="103" ht="24" customHeight="1">
      <ns0:c r="A103" s="4" t="n">
        <ns0:v>99</ns0:v>
      </ns0:c>
      <ns0:c r="B103" s="12">
        <ns0:f>A103*('前提と出典'!$C$36+'前提と出典'!$C$38)</ns0:f>
        <ns0:v>69.3</ns0:v>
      </ns0:c>
      <ns0:c r="C103" s="12">
        <ns0:f>A103*('前提と出典'!$C$37+'前提と出典'!$C$38)</ns0:f>
        <ns0:v>59.4</ns0:v>
      </ns0:c>
      <ns0:c r="D103" s="16">
        <ns0:f>A103*('前提と出典'!$C$36*'契約別単価'!C5+'前提と出典'!$C$37*'契約別単価'!C6+'前提と出典'!$C$38*'契約別単価'!C7)</ns0:f>
        <ns0:v>712.3575418994413</ns0:v>
      </ns0:c>
      <ns0:c r="E103" s="16">
        <ns0:f>A103*('前提と出典'!$C$36*'契約別単価'!E5+'前提と出典'!$C$37*'契約別単価'!E6+'前提と出典'!$C$38*'契約別単価'!E7)</ns0:f>
        <ns0:v>248873.4194008504</ns0:v>
      </ns0:c>
      <ns0:c r="F103" s="16">
        <ns0:f>A103*('前提と出典'!$C$36*'契約別単価'!F5+'前提と出典'!$C$37*'契約別単価'!F6+'前提と出典'!$C$38*'契約別単価'!F7)</ns0:f>
        <ns0:v>72316.25410635036</ns0:v>
      </ns0:c>
      <ns0:c r="G103" s="16">
        <ns0:f>A103*('前提と出典'!$C$36*'契約別単価'!G5+'前提と出典'!$C$37*'契約別単価'!G6+'前提と出典'!$C$38*'契約別単価'!G7)</ns0:f>
        <ns0:v>197059.77653631283</ns0:v>
      </ns0:c>
      <ns0:c r="H103" s="16">
        <ns0:f>A103*('前提と出典'!$C$36*'契約別単価'!H5+'前提と出典'!$C$37*'契約別単価'!H6+'前提と出典'!$C$38*'契約別単価'!H7)</ns0:f>
        <ns0:v>68389.625782544</ns0:v>
      </ns0:c>
      <ns0:c r="I103" s="16">
        <ns0:f>A103*('前提と出典'!$C$36*'契約別単価'!I5+'前提と出典'!$C$37*'契約別単価'!I6+'前提と出典'!$C$38*'契約別単価'!I7)</ns0:f>
        <ns0:v>4177.357541899441</ns0:v>
      </ns0:c>
      <ns0:c r="J103" s="16">
        <ns0:f>A103*('前提と出典'!$C$36*'契約別単価'!J5+'前提と出典'!$C$37*'契約別単価'!J6+'前提と出典'!$C$38*'契約別単価'!J7)</ns0:f>
        <ns0:v>9730.664827319953</ns0:v>
      </ns0:c>
      <ns0:c r="K103" s="16">
        <ns0:f>A103*('前提と出典'!$C$36*'契約別単価'!K5+'前提と出典'!$C$37*'契約別単価'!K6+'前提と出典'!$C$38*'契約別単価'!K7)</ns0:f>
        <ns0:v>41709.050279329604</ns0:v>
      </ns0:c>
      <ns0:c r="L103" s="16">
        <ns0:f>A103*('前提と出典'!$C$36*'契約別単価'!L5+'前提と出典'!$C$37*'契約別単価'!L6+'前提と出典'!$C$38*'契約別単価'!L7)</ns0:f>
        <ns0:v>33959.65419275146</ns0:v>
      </ns0:c>
      <ns0:c r="M103" s="16">
        <ns0:f>IF(('前提と出典'!$C$36+'前提と出典'!$C$38)=0,0,IF(B103&lt;=10,'前提と出典'!B73+'前提と出典'!C73,IF(B103&lt;=100,'前提と出典'!B74+'前提と出典'!C74,IF(B103&lt;=500,'前提と出典'!B75+'前提と出典'!C75,'前提と出典'!B76+'前提と出典'!C76))))</ns0:f>
        <ns0:v>20000</ns0:v>
      </ns0:c>
      <ns0:c r="N103" s="16">
        <ns0:f>IF(('前提と出典'!$C$37+'前提と出典'!$C$38)=0,0,IF(C103&lt;=10,'前提と出典'!D73+'前提と出典'!E73,IF(C103&lt;=100,'前提と出典'!D74+'前提と出典'!E74,IF(C103&lt;=500,'前提と出典'!D75+'前提と出典'!E75,'前提と出典'!D76+'前提と出典'!E76))))</ns0:f>
        <ns0:v>34510.9346263078</ns0:v>
      </ns0:c>
      <ns0:c r="O103" s="16">
        <ns0:f>IF('前提と出典'!$C$36+'前提と出典'!$C$38=0,0,'前提と出典'!$B$4*IF('前提と出典'!$B$20=0,MAX('前提と出典'!$B$6,D103*'前提と出典'!$B$5),'前提と出典'!$B$6+D103*'前提と出典'!$B$5))</ns0:f>
        <ns0:v>98305.34078212292</ns0:v>
      </ns0:c>
      <ns0:c r="P103" s="16">
        <ns0:f>(E103+G103)*(1-'前提と出典'!$B$7)-I103-K103-M103-O103</ns0:f>
        <ns0:v>265687.8522800734</ns0:v>
      </ns0:c>
      <ns0:c r="Q103" s="16">
        <ns0:f>(F103+H103)*(1-'前提と出典'!$B$7)-J103-L103-N103</ns0:f>
        <ns0:v>57439.21456651496</ns0:v>
      </ns0:c>
      <ns0:c r="R103" s="16">
        <ns0:f>P103-E103*'前提と出典'!$E$4</ns0:f>
        <ns0:v>191025.8264598183</ns0:v>
      </ns0:c>
      <ns0:c r="S103" s="16">
        <ns0:f>Q103-F103*'前提と出典'!$E$4</ns0:f>
        <ns0:v>35744.33833460985</ns0:v>
      </ns0:c>
      <ns0:c r="T103" s="7">
        <ns0:f>R103+S103</ns0:f>
        <ns0:v>226770.16479442813</ns0:v>
      </ns0:c>
      <ns0:c r="U103" s="16">
        <ns0:f>P103-E103*'前提と出典'!$E$5</ns0:f>
        <ns0:v>166138.48451973323</ns0:v>
      </ns0:c>
      <ns0:c r="V103" s="16">
        <ns0:f>Q103-F103*'前提と出典'!$E$5</ns0:f>
        <ns0:v>28512.71292397481</ns0:v>
      </ns0:c>
      <ns0:c r="W103" s="7">
        <ns0:f>U103+V103</ns0:f>
        <ns0:v>194651.19744370805</ns0:v>
      </ns0:c>
      <ns0:c r="X103" s="16">
        <ns0:f>P103-E103*'前提と出典'!$E$6</ns0:f>
        <ns0:v>141251.14257964818</ns0:v>
      </ns0:c>
      <ns0:c r="Y103" s="16">
        <ns0:f>Q103-F103*'前提と出典'!$E$6</ns0:f>
        <ns0:v>21281.08751333977</ns0:v>
      </ns0:c>
      <ns0:c r="Z103" s="7">
        <ns0:f>X103+Y103</ns0:f>
        <ns0:v>162532.23009298794</ns0:v>
      </ns0:c>
      <ns0:c r="AA103" s="7">
        <ns0:f>IF(T103&gt;=0,A103,1001)</ns0:f>
        <ns0:v>99</ns0:v>
      </ns0:c>
      <ns0:c r="AB103" s="7">
        <ns0:f>IF(T103&lt;0,A103,0)</ns0:f>
        <ns0:v>0</ns0:v>
      </ns0:c>
      <ns0:c r="AC103" s="16">
        <ns0:f>IF(AND(OR('前提と出典'!$C$36+'前提と出典'!$C$38=0,R103&gt;=0),OR('前提と出典'!$C$37+'前提と出典'!$C$38=0,S103&gt;=0)),0,A103)</ns0:f>
        <ns0:v>0</ns0:v>
      </ns0:c>
      <ns0:c r="AD103" s="7">
        <ns0:f>IF(W103&gt;=0,A103,1001)</ns0:f>
        <ns0:v>99</ns0:v>
      </ns0:c>
      <ns0:c r="AE103" s="7">
        <ns0:f>IF(W103&lt;0,A103,0)</ns0:f>
        <ns0:v>0</ns0:v>
      </ns0:c>
      <ns0:c r="AF103" s="16">
        <ns0:f>IF(AND(OR('前提と出典'!$C$36+'前提と出典'!$C$38=0,U103&gt;=0),OR('前提と出典'!$C$37+'前提と出典'!$C$38=0,V103&gt;=0)),0,A103)</ns0:f>
        <ns0:v>0</ns0:v>
      </ns0:c>
      <ns0:c r="AG103" s="7">
        <ns0:f>IF(Z103&gt;=0,A103,1001)</ns0:f>
        <ns0:v>99</ns0:v>
      </ns0:c>
      <ns0:c r="AH103" s="4">
        <ns0:f>IF(Z103&lt;0,A103,0)</ns0:f>
        <ns0:v>0</ns0:v>
      </ns0:c>
      <ns0:c r="AI103" s="12">
        <ns0:f>IF(AND(OR('前提と出典'!$C$36+'前提と出典'!$C$38=0,X103&gt;=0),OR('前提と出典'!$C$37+'前提と出典'!$C$38=0,Y103&gt;=0)),0,A103)</ns0:f>
        <ns0:v>0</ns0:v>
      </ns0:c>
    </ns0:row>
    <ns0:row r="104" ht="24" customHeight="1">
      <ns0:c r="A104" s="4" t="n">
        <ns0:v>100</ns0:v>
      </ns0:c>
      <ns0:c r="B104" s="12">
        <ns0:f>A104*('前提と出典'!$C$36+'前提と出典'!$C$38)</ns0:f>
        <ns0:v>70</ns0:v>
      </ns0:c>
      <ns0:c r="C104" s="12">
        <ns0:f>A104*('前提と出典'!$C$37+'前提と出典'!$C$38)</ns0:f>
        <ns0:v>60</ns0:v>
      </ns0:c>
      <ns0:c r="D104" s="16">
        <ns0:f>A104*('前提と出典'!$C$36*'契約別単価'!C5+'前提と出典'!$C$37*'契約別単価'!C6+'前提と出典'!$C$38*'契約別単価'!C7)</ns0:f>
        <ns0:v>719.5530726256983</ns0:v>
      </ns0:c>
      <ns0:c r="E104" s="16">
        <ns0:f>A104*('前提と出典'!$C$36*'契約別単価'!E5+'前提と出典'!$C$37*'契約別単価'!E6+'前提と出典'!$C$38*'契約別単価'!E7)</ns0:f>
        <ns0:v>251387.2923240913</ns0:v>
      </ns0:c>
      <ns0:c r="F104" s="16">
        <ns0:f>A104*('前提と出典'!$C$36*'契約別単価'!F5+'前提と出典'!$C$37*'契約別単価'!F6+'前提と出典'!$C$38*'契約別単価'!F7)</ns0:f>
        <ns0:v>73046.72131954582</ns0:v>
      </ns0:c>
      <ns0:c r="G104" s="16">
        <ns0:f>A104*('前提と出典'!$C$36*'契約別単価'!G5+'前提と出典'!$C$37*'契約別単価'!G6+'前提と出典'!$C$38*'契約別単価'!G7)</ns0:f>
        <ns0:v>199050.27932960892</ns0:v>
      </ns0:c>
      <ns0:c r="H104" s="16">
        <ns0:f>A104*('前提と出典'!$C$36*'契約別単価'!H5+'前提と出典'!$C$37*'契約別単価'!H6+'前提と出典'!$C$38*'契約別単価'!H7)</ns0:f>
        <ns0:v>69080.43008337777</ns0:v>
      </ns0:c>
      <ns0:c r="I104" s="16">
        <ns0:f>A104*('前提と出典'!$C$36*'契約別単価'!I5+'前提と出典'!$C$37*'契約別単価'!I6+'前提と出典'!$C$38*'契約別単価'!I7)</ns0:f>
        <ns0:v>4219.5530726256975</ns0:v>
      </ns0:c>
      <ns0:c r="J104" s="16">
        <ns0:f>A104*('前提と出典'!$C$36*'契約別単価'!J5+'前提と出典'!$C$37*'契約別単価'!J6+'前提と出典'!$C$38*'契約別単価'!J7)</ns0:f>
        <ns0:v>9828.954371030257</ns0:v>
      </ns0:c>
      <ns0:c r="K104" s="16">
        <ns0:f>A104*('前提と出典'!$C$36*'契約別単価'!K5+'前提と出典'!$C$37*'契約別単価'!K6+'前提と出典'!$C$38*'契約別単価'!K7)</ns0:f>
        <ns0:v>42130.353817504656</ns0:v>
      </ns0:c>
      <ns0:c r="L104" s="16">
        <ns0:f>A104*('前提と出典'!$C$36*'契約別単価'!L5+'前提と出典'!$C$37*'契約別単価'!L6+'前提と出典'!$C$38*'契約別単価'!L7)</ns0:f>
        <ns0:v>34302.68100277926</ns0:v>
      </ns0:c>
      <ns0:c r="M104" s="16">
        <ns0:f>IF(('前提と出典'!$C$36+'前提と出典'!$C$38)=0,0,IF(B104&lt;=10,'前提と出典'!B73+'前提と出典'!C73,IF(B104&lt;=100,'前提と出典'!B74+'前提と出典'!C74,IF(B104&lt;=500,'前提と出典'!B75+'前提と出典'!C75,'前提と出典'!B76+'前提と出典'!C76))))</ns0:f>
        <ns0:v>20000</ns0:v>
      </ns0:c>
      <ns0:c r="N104" s="16">
        <ns0:f>IF(('前提と出典'!$C$37+'前提と出典'!$C$38)=0,0,IF(C104&lt;=10,'前提と出典'!D73+'前提と出典'!E73,IF(C104&lt;=100,'前提と出典'!D74+'前提と出典'!E74,IF(C104&lt;=500,'前提と出典'!D75+'前提と出典'!E75,'前提と出典'!D76+'前提と出典'!E76))))</ns0:f>
        <ns0:v>34510.9346263078</ns0:v>
      </ns0:c>
      <ns0:c r="O104" s="16">
        <ns0:f>IF('前提と出典'!$C$36+'前提と出典'!$C$38=0,0,'前提と出典'!$B$4*IF('前提と出典'!$B$20=0,MAX('前提と出典'!$B$6,D104*'前提と出典'!$B$5),'前提と出典'!$B$6+D104*'前提と出典'!$B$5))</ns0:f>
        <ns0:v>99298.32402234637</ns0:v>
      </ns0:c>
      <ns0:c r="P104" s="16">
        <ns0:f>(E104+G104)*(1-'前提と出典'!$B$7)-I104-K104-M104-O104</ns0:f>
        <ns0:v>268573.5881616903</ns0:v>
      </ns0:c>
      <ns0:c r="Q104" s="16">
        <ns0:f>(F104+H104)*(1-'前提と出典'!$B$7)-J104-L104-N104</ns0:f>
        <ns0:v>58368.003952301005</ns0:v>
      </ns0:c>
      <ns0:c r="R104" s="16">
        <ns0:f>P104-E104*'前提と出典'!$E$4</ns0:f>
        <ns0:v>193157.40046446287</ns0:v>
      </ns0:c>
      <ns0:c r="S104" s="16">
        <ns0:f>Q104-F104*'前提と出典'!$E$4</ns0:f>
        <ns0:v>36453.98755643727</ns0:v>
      </ns0:c>
      <ns0:c r="T104" s="7">
        <ns0:f>R104+S104</ns0:f>
        <ns0:v>229611.38802090014</ns0:v>
      </ns0:c>
      <ns0:c r="U104" s="16">
        <ns0:f>P104-E104*'前提と出典'!$E$5</ns0:f>
        <ns0:v>168018.67123205378</ns0:v>
      </ns0:c>
      <ns0:c r="V104" s="16">
        <ns0:f>Q104-F104*'前提と出典'!$E$5</ns0:f>
        <ns0:v>29149.315424482673</ns0:v>
      </ns0:c>
      <ns0:c r="W104" s="7">
        <ns0:f>U104+V104</ns0:f>
        <ns0:v>197167.98665653646</ns0:v>
      </ns0:c>
      <ns0:c r="X104" s="16">
        <ns0:f>P104-E104*'前提と出典'!$E$6</ns0:f>
        <ns0:v>142879.94199964462</ns0:v>
      </ns0:c>
      <ns0:c r="Y104" s="16">
        <ns0:f>Q104-F104*'前提と出典'!$E$6</ns0:f>
        <ns0:v>21844.643292528097</ns0:v>
      </ns0:c>
      <ns0:c r="Z104" s="7">
        <ns0:f>X104+Y104</ns0:f>
        <ns0:v>164724.58529217273</ns0:v>
      </ns0:c>
      <ns0:c r="AA104" s="7">
        <ns0:f>IF(T104&gt;=0,A104,1001)</ns0:f>
        <ns0:v>100</ns0:v>
      </ns0:c>
      <ns0:c r="AB104" s="7">
        <ns0:f>IF(T104&lt;0,A104,0)</ns0:f>
        <ns0:v>0</ns0:v>
      </ns0:c>
      <ns0:c r="AC104" s="16">
        <ns0:f>IF(AND(OR('前提と出典'!$C$36+'前提と出典'!$C$38=0,R104&gt;=0),OR('前提と出典'!$C$37+'前提と出典'!$C$38=0,S104&gt;=0)),0,A104)</ns0:f>
        <ns0:v>0</ns0:v>
      </ns0:c>
      <ns0:c r="AD104" s="7">
        <ns0:f>IF(W104&gt;=0,A104,1001)</ns0:f>
        <ns0:v>100</ns0:v>
      </ns0:c>
      <ns0:c r="AE104" s="7">
        <ns0:f>IF(W104&lt;0,A104,0)</ns0:f>
        <ns0:v>0</ns0:v>
      </ns0:c>
      <ns0:c r="AF104" s="16">
        <ns0:f>IF(AND(OR('前提と出典'!$C$36+'前提と出典'!$C$38=0,U104&gt;=0),OR('前提と出典'!$C$37+'前提と出典'!$C$38=0,V104&gt;=0)),0,A104)</ns0:f>
        <ns0:v>0</ns0:v>
      </ns0:c>
      <ns0:c r="AG104" s="7">
        <ns0:f>IF(Z104&gt;=0,A104,1001)</ns0:f>
        <ns0:v>100</ns0:v>
      </ns0:c>
      <ns0:c r="AH104" s="4">
        <ns0:f>IF(Z104&lt;0,A104,0)</ns0:f>
        <ns0:v>0</ns0:v>
      </ns0:c>
      <ns0:c r="AI104" s="12">
        <ns0:f>IF(AND(OR('前提と出典'!$C$36+'前提と出典'!$C$38=0,X104&gt;=0),OR('前提と出典'!$C$37+'前提と出典'!$C$38=0,Y104&gt;=0)),0,A104)</ns0:f>
        <ns0:v>0</ns0:v>
      </ns0:c>
    </ns0:row>
    <ns0:row r="105" ht="24" customHeight="1">
      <ns0:c r="A105" s="4" t="n">
        <ns0:v>101</ns0:v>
      </ns0:c>
      <ns0:c r="B105" s="12">
        <ns0:f>A105*('前提と出典'!$C$36+'前提と出典'!$C$38)</ns0:f>
        <ns0:v>70.69999999999999</ns0:v>
      </ns0:c>
      <ns0:c r="C105" s="12">
        <ns0:f>A105*('前提と出典'!$C$37+'前提と出典'!$C$38)</ns0:f>
        <ns0:v>60.599999999999994</ns0:v>
      </ns0:c>
      <ns0:c r="D105" s="16">
        <ns0:f>A105*('前提と出典'!$C$36*'契約別単価'!C5+'前提と出典'!$C$37*'契約別単価'!C6+'前提と出典'!$C$38*'契約別単価'!C7)</ns0:f>
        <ns0:v>726.7486033519554</ns0:v>
      </ns0:c>
      <ns0:c r="E105" s="16">
        <ns0:f>A105*('前提と出典'!$C$36*'契約別単価'!E5+'前提と出典'!$C$37*'契約別単価'!E6+'前提と出典'!$C$38*'契約別単価'!E7)</ns0:f>
        <ns0:v>253901.16524733225</ns0:v>
      </ns0:c>
      <ns0:c r="F105" s="16">
        <ns0:f>A105*('前提と出典'!$C$36*'契約別単価'!F5+'前提と出典'!$C$37*'契約別単価'!F6+'前提と出典'!$C$38*'契約別単価'!F7)</ns0:f>
        <ns0:v>73777.18853274127</ns0:v>
      </ns0:c>
      <ns0:c r="G105" s="16">
        <ns0:f>A105*('前提と出典'!$C$36*'契約別単価'!G5+'前提と出典'!$C$37*'契約別単価'!G6+'前提と出典'!$C$38*'契約別単価'!G7)</ns0:f>
        <ns0:v>201040.78212290502</ns0:v>
      </ns0:c>
      <ns0:c r="H105" s="16">
        <ns0:f>A105*('前提と出典'!$C$36*'契約別単価'!H5+'前提と出典'!$C$37*'契約別単価'!H6+'前提と出典'!$C$38*'契約別単価'!H7)</ns0:f>
        <ns0:v>69771.23438421155</ns0:v>
      </ns0:c>
      <ns0:c r="I105" s="16">
        <ns0:f>A105*('前提と出典'!$C$36*'契約別単価'!I5+'前提と出典'!$C$37*'契約別単価'!I6+'前提と出典'!$C$38*'契約別単価'!I7)</ns0:f>
        <ns0:v>4261.748603351954</ns0:v>
      </ns0:c>
      <ns0:c r="J105" s="16">
        <ns0:f>A105*('前提と出典'!$C$36*'契約別単価'!J5+'前提と出典'!$C$37*'契約別単価'!J6+'前提と出典'!$C$38*'契約別単価'!J7)</ns0:f>
        <ns0:v>9927.243914740558</ns0:v>
      </ns0:c>
      <ns0:c r="K105" s="16">
        <ns0:f>A105*('前提と出典'!$C$36*'契約別単価'!K5+'前提と出典'!$C$37*'契約別単価'!K6+'前提と出典'!$C$38*'契約別単価'!K7)</ns0:f>
        <ns0:v>42551.6573556797</ns0:v>
      </ns0:c>
      <ns0:c r="L105" s="16">
        <ns0:f>A105*('前提と出典'!$C$36*'契約別単価'!L5+'前提と出典'!$C$37*'契約別単価'!L6+'前提と出典'!$C$38*'契約別単価'!L7)</ns0:f>
        <ns0:v>34645.70781280705</ns0:v>
      </ns0:c>
      <ns0:c r="M105" s="16">
        <ns0:f>IF(('前提と出典'!$C$36+'前提と出典'!$C$38)=0,0,IF(B105&lt;=10,'前提と出典'!B73+'前提と出典'!C73,IF(B105&lt;=100,'前提と出典'!B74+'前提と出典'!C74,IF(B105&lt;=500,'前提と出典'!B75+'前提と出典'!C75,'前提と出典'!B76+'前提と出典'!C76))))</ns0:f>
        <ns0:v>20000</ns0:v>
      </ns0:c>
      <ns0:c r="N105" s="16">
        <ns0:f>IF(('前提と出典'!$C$37+'前提と出典'!$C$38)=0,0,IF(C105&lt;=10,'前提と出典'!D73+'前提と出典'!E73,IF(C105&lt;=100,'前提と出典'!D74+'前提と出典'!E74,IF(C105&lt;=500,'前提と出典'!D75+'前提と出典'!E75,'前提と出典'!D76+'前提と出典'!E76))))</ns0:f>
        <ns0:v>34510.9346263078</ns0:v>
      </ns0:c>
      <ns0:c r="O105" s="16">
        <ns0:f>IF('前提と出典'!$C$36+'前提と出典'!$C$38=0,0,'前提と出典'!$B$4*IF('前提と出典'!$B$20=0,MAX('前提と出典'!$B$6,D105*'前提と出典'!$B$5),'前提と出典'!$B$6+D105*'前提と出典'!$B$5))</ns0:f>
        <ns0:v>100291.30726256984</ns0:v>
      </ns0:c>
      <ns0:c r="P105" s="16">
        <ns0:f>(E105+G105)*(1-'前提と出典'!$B$7)-I105-K105-M105-O105</ns0:f>
        <ns0:v>271459.3240433072</ns0:v>
      </ns0:c>
      <ns0:c r="Q105" s="16">
        <ns0:f>(F105+H105)*(1-'前提と出典'!$B$7)-J105-L105-N105</ns0:f>
        <ns0:v>59296.79333808711</ns0:v>
      </ns0:c>
      <ns0:c r="R105" s="16">
        <ns0:f>P105-E105*'前提と出典'!$E$4</ns0:f>
        <ns0:v>195288.97446910752</ns0:v>
      </ns0:c>
      <ns0:c r="S105" s="16">
        <ns0:f>Q105-F105*'前提と出典'!$E$4</ns0:f>
        <ns0:v>37163.63677826472</ns0:v>
      </ns0:c>
      <ns0:c r="T105" s="7">
        <ns0:f>R105+S105</ns0:f>
        <ns0:v>232452.61124737223</ns0:v>
      </ns0:c>
      <ns0:c r="U105" s="16">
        <ns0:f>P105-E105*'前提と出典'!$E$5</ns0:f>
        <ns0:v>169898.85794437432</ns0:v>
      </ns0:c>
      <ns0:c r="V105" s="16">
        <ns0:f>Q105-F105*'前提と出典'!$E$5</ns0:f>
        <ns0:v>29785.9179249906</ns0:v>
      </ns0:c>
      <ns0:c r="W105" s="7">
        <ns0:f>U105+V105</ns0:f>
        <ns0:v>199684.7758693649</ns0:v>
      </ns0:c>
      <ns0:c r="X105" s="16">
        <ns0:f>P105-E105*'前提と出典'!$E$6</ns0:f>
        <ns0:v>144508.74141964113</ns0:v>
      </ns0:c>
      <ns0:c r="Y105" s="16">
        <ns0:f>Q105-F105*'前提と出典'!$E$6</ns0:f>
        <ns0:v>22408.199071716474</ns0:v>
      </ns0:c>
      <ns0:c r="Z105" s="7">
        <ns0:f>X105+Y105</ns0:f>
        <ns0:v>166916.94049135759</ns0:v>
      </ns0:c>
      <ns0:c r="AA105" s="7">
        <ns0:f>IF(T105&gt;=0,A105,1001)</ns0:f>
        <ns0:v>101</ns0:v>
      </ns0:c>
      <ns0:c r="AB105" s="7">
        <ns0:f>IF(T105&lt;0,A105,0)</ns0:f>
        <ns0:v>0</ns0:v>
      </ns0:c>
      <ns0:c r="AC105" s="16">
        <ns0:f>IF(AND(OR('前提と出典'!$C$36+'前提と出典'!$C$38=0,R105&gt;=0),OR('前提と出典'!$C$37+'前提と出典'!$C$38=0,S105&gt;=0)),0,A105)</ns0:f>
        <ns0:v>0</ns0:v>
      </ns0:c>
      <ns0:c r="AD105" s="7">
        <ns0:f>IF(W105&gt;=0,A105,1001)</ns0:f>
        <ns0:v>101</ns0:v>
      </ns0:c>
      <ns0:c r="AE105" s="7">
        <ns0:f>IF(W105&lt;0,A105,0)</ns0:f>
        <ns0:v>0</ns0:v>
      </ns0:c>
      <ns0:c r="AF105" s="16">
        <ns0:f>IF(AND(OR('前提と出典'!$C$36+'前提と出典'!$C$38=0,U105&gt;=0),OR('前提と出典'!$C$37+'前提と出典'!$C$38=0,V105&gt;=0)),0,A105)</ns0:f>
        <ns0:v>0</ns0:v>
      </ns0:c>
      <ns0:c r="AG105" s="7">
        <ns0:f>IF(Z105&gt;=0,A105,1001)</ns0:f>
        <ns0:v>101</ns0:v>
      </ns0:c>
      <ns0:c r="AH105" s="4">
        <ns0:f>IF(Z105&lt;0,A105,0)</ns0:f>
        <ns0:v>0</ns0:v>
      </ns0:c>
      <ns0:c r="AI105" s="12">
        <ns0:f>IF(AND(OR('前提と出典'!$C$36+'前提と出典'!$C$38=0,X105&gt;=0),OR('前提と出典'!$C$37+'前提と出典'!$C$38=0,Y105&gt;=0)),0,A105)</ns0:f>
        <ns0:v>0</ns0:v>
      </ns0:c>
    </ns0:row>
    <ns0:row r="106" ht="24" customHeight="1">
      <ns0:c r="A106" s="4" t="n">
        <ns0:v>102</ns0:v>
      </ns0:c>
      <ns0:c r="B106" s="12">
        <ns0:f>A106*('前提と出典'!$C$36+'前提と出典'!$C$38)</ns0:f>
        <ns0:v>71.39999999999999</ns0:v>
      </ns0:c>
      <ns0:c r="C106" s="12">
        <ns0:f>A106*('前提と出典'!$C$37+'前提と出典'!$C$38)</ns0:f>
        <ns0:v>61.199999999999996</ns0:v>
      </ns0:c>
      <ns0:c r="D106" s="16">
        <ns0:f>A106*('前提と出典'!$C$36*'契約別単価'!C5+'前提と出典'!$C$37*'契約別単価'!C6+'前提と出典'!$C$38*'契約別単価'!C7)</ns0:f>
        <ns0:v>733.9441340782123</ns0:v>
      </ns0:c>
      <ns0:c r="E106" s="16">
        <ns0:f>A106*('前提と出典'!$C$36*'契約別単価'!E5+'前提と出典'!$C$37*'契約別単価'!E6+'前提と出典'!$C$38*'契約別単価'!E7)</ns0:f>
        <ns0:v>256415.03817057316</ns0:v>
      </ns0:c>
      <ns0:c r="F106" s="16">
        <ns0:f>A106*('前提と出典'!$C$36*'契約別単価'!F5+'前提と出典'!$C$37*'契約別単価'!F6+'前提と出典'!$C$38*'契約別単価'!F7)</ns0:f>
        <ns0:v>74507.65574593673</ns0:v>
      </ns0:c>
      <ns0:c r="G106" s="16">
        <ns0:f>A106*('前提と出典'!$C$36*'契約別単価'!G5+'前提と出典'!$C$37*'契約別単価'!G6+'前提と出典'!$C$38*'契約別単価'!G7)</ns0:f>
        <ns0:v>203031.2849162011</ns0:v>
      </ns0:c>
      <ns0:c r="H106" s="16">
        <ns0:f>A106*('前提と出典'!$C$36*'契約別単価'!H5+'前提と出典'!$C$37*'契約別単価'!H6+'前提と出典'!$C$38*'契約別単価'!H7)</ns0:f>
        <ns0:v>70462.03868504532</ns0:v>
      </ns0:c>
      <ns0:c r="I106" s="16">
        <ns0:f>A106*('前提と出典'!$C$36*'契約別単価'!I5+'前提と出典'!$C$37*'契約別単価'!I6+'前提と出典'!$C$38*'契約別単価'!I7)</ns0:f>
        <ns0:v>4303.944134078211</ns0:v>
      </ns0:c>
      <ns0:c r="J106" s="16">
        <ns0:f>A106*('前提と出典'!$C$36*'契約別単価'!J5+'前提と出典'!$C$37*'契約別単価'!J6+'前提と出典'!$C$38*'契約別単価'!J7)</ns0:f>
        <ns0:v>10025.533458450862</ns0:v>
      </ns0:c>
      <ns0:c r="K106" s="16">
        <ns0:f>A106*('前提と出典'!$C$36*'契約別単価'!K5+'前提と出典'!$C$37*'契約別単価'!K6+'前提と出典'!$C$38*'契約別単価'!K7)</ns0:f>
        <ns0:v>42972.960893854746</ns0:v>
      </ns0:c>
      <ns0:c r="L106" s="16">
        <ns0:f>A106*('前提と出典'!$C$36*'契約別単価'!L5+'前提と出典'!$C$37*'契約別単価'!L6+'前提と出典'!$C$38*'契約別単価'!L7)</ns0:f>
        <ns0:v>34988.73462283484</ns0:v>
      </ns0:c>
      <ns0:c r="M106" s="16">
        <ns0:f>IF(('前提と出典'!$C$36+'前提と出典'!$C$38)=0,0,IF(B106&lt;=10,'前提と出典'!B73+'前提と出典'!C73,IF(B106&lt;=100,'前提と出典'!B74+'前提と出典'!C74,IF(B106&lt;=500,'前提と出典'!B75+'前提と出典'!C75,'前提と出典'!B76+'前提と出典'!C76))))</ns0:f>
        <ns0:v>20000</ns0:v>
      </ns0:c>
      <ns0:c r="N106" s="16">
        <ns0:f>IF(('前提と出典'!$C$37+'前提と出典'!$C$38)=0,0,IF(C106&lt;=10,'前提と出典'!D73+'前提と出典'!E73,IF(C106&lt;=100,'前提と出典'!D74+'前提と出典'!E74,IF(C106&lt;=500,'前提と出典'!D75+'前提と出典'!E75,'前提と出典'!D76+'前提と出典'!E76))))</ns0:f>
        <ns0:v>34510.9346263078</ns0:v>
      </ns0:c>
      <ns0:c r="O106" s="16">
        <ns0:f>IF('前提と出典'!$C$36+'前提と出典'!$C$38=0,0,'前提と出典'!$B$4*IF('前提と出典'!$B$20=0,MAX('前提と出典'!$B$6,D106*'前提と出典'!$B$5),'前提と出典'!$B$6+D106*'前提と出典'!$B$5))</ns0:f>
        <ns0:v>101284.2905027933</ns0:v>
      </ns0:c>
      <ns0:c r="P106" s="16">
        <ns0:f>(E106+G106)*(1-'前提と出典'!$B$7)-I106-K106-M106-O106</ns0:f>
        <ns0:v>274345.05992492416</ns0:v>
      </ns0:c>
      <ns0:c r="Q106" s="16">
        <ns0:f>(F106+H106)*(1-'前提と出典'!$B$7)-J106-L106-N106</ns0:f>
        <ns0:v>60225.58272387321</ns0:v>
      </ns0:c>
      <ns0:c r="R106" s="16">
        <ns0:f>P106-E106*'前提と出典'!$E$4</ns0:f>
        <ns0:v>197420.5484737522</ns0:v>
      </ns0:c>
      <ns0:c r="S106" s="16">
        <ns0:f>Q106-F106*'前提と出典'!$E$4</ns0:f>
        <ns0:v>37873.28600009217</ns0:v>
      </ns0:c>
      <ns0:c r="T106" s="7">
        <ns0:f>R106+S106</ns0:f>
        <ns0:v>235293.83447384436</ns0:v>
      </ns0:c>
      <ns0:c r="U106" s="16">
        <ns0:f>P106-E106*'前提と出典'!$E$5</ns0:f>
        <ns0:v>171779.0446566949</ns0:v>
      </ns0:c>
      <ns0:c r="V106" s="16">
        <ns0:f>Q106-F106*'前提と出典'!$E$5</ns0:f>
        <ns0:v>30422.520425498515</ns0:v>
      </ns0:c>
      <ns0:c r="W106" s="7">
        <ns0:f>U106+V106</ns0:f>
        <ns0:v>202201.5650821934</ns0:v>
      </ns0:c>
      <ns0:c r="X106" s="16">
        <ns0:f>P106-E106*'前提と出典'!$E$6</ns0:f>
        <ns0:v>146137.54083963754</ns0:v>
      </ns0:c>
      <ns0:c r="Y106" s="16">
        <ns0:f>Q106-F106*'前提と出典'!$E$6</ns0:f>
        <ns0:v>22971.754850904836</ns0:v>
      </ns0:c>
      <ns0:c r="Z106" s="7">
        <ns0:f>X106+Y106</ns0:f>
        <ns0:v>169109.29569054238</ns0:v>
      </ns0:c>
      <ns0:c r="AA106" s="7">
        <ns0:f>IF(T106&gt;=0,A106,1001)</ns0:f>
        <ns0:v>102</ns0:v>
      </ns0:c>
      <ns0:c r="AB106" s="7">
        <ns0:f>IF(T106&lt;0,A106,0)</ns0:f>
        <ns0:v>0</ns0:v>
      </ns0:c>
      <ns0:c r="AC106" s="16">
        <ns0:f>IF(AND(OR('前提と出典'!$C$36+'前提と出典'!$C$38=0,R106&gt;=0),OR('前提と出典'!$C$37+'前提と出典'!$C$38=0,S106&gt;=0)),0,A106)</ns0:f>
        <ns0:v>0</ns0:v>
      </ns0:c>
      <ns0:c r="AD106" s="7">
        <ns0:f>IF(W106&gt;=0,A106,1001)</ns0:f>
        <ns0:v>102</ns0:v>
      </ns0:c>
      <ns0:c r="AE106" s="7">
        <ns0:f>IF(W106&lt;0,A106,0)</ns0:f>
        <ns0:v>0</ns0:v>
      </ns0:c>
      <ns0:c r="AF106" s="16">
        <ns0:f>IF(AND(OR('前提と出典'!$C$36+'前提と出典'!$C$38=0,U106&gt;=0),OR('前提と出典'!$C$37+'前提と出典'!$C$38=0,V106&gt;=0)),0,A106)</ns0:f>
        <ns0:v>0</ns0:v>
      </ns0:c>
      <ns0:c r="AG106" s="7">
        <ns0:f>IF(Z106&gt;=0,A106,1001)</ns0:f>
        <ns0:v>102</ns0:v>
      </ns0:c>
      <ns0:c r="AH106" s="4">
        <ns0:f>IF(Z106&lt;0,A106,0)</ns0:f>
        <ns0:v>0</ns0:v>
      </ns0:c>
      <ns0:c r="AI106" s="12">
        <ns0:f>IF(AND(OR('前提と出典'!$C$36+'前提と出典'!$C$38=0,X106&gt;=0),OR('前提と出典'!$C$37+'前提と出典'!$C$38=0,Y106&gt;=0)),0,A106)</ns0:f>
        <ns0:v>0</ns0:v>
      </ns0:c>
    </ns0:row>
    <ns0:row r="107" ht="24" customHeight="1">
      <ns0:c r="A107" s="4" t="n">
        <ns0:v>103</ns0:v>
      </ns0:c>
      <ns0:c r="B107" s="12">
        <ns0:f>A107*('前提と出典'!$C$36+'前提と出典'!$C$38)</ns0:f>
        <ns0:v>72.1</ns0:v>
      </ns0:c>
      <ns0:c r="C107" s="12">
        <ns0:f>A107*('前提と出典'!$C$37+'前提と出典'!$C$38)</ns0:f>
        <ns0:v>61.8</ns0:v>
      </ns0:c>
      <ns0:c r="D107" s="16">
        <ns0:f>A107*('前提と出典'!$C$36*'契約別単価'!C5+'前提と出典'!$C$37*'契約別単価'!C6+'前提と出典'!$C$38*'契約別単価'!C7)</ns0:f>
        <ns0:v>741.1396648044692</ns0:v>
      </ns0:c>
      <ns0:c r="E107" s="16">
        <ns0:f>A107*('前提と出典'!$C$36*'契約別単価'!E5+'前提と出典'!$C$37*'契約別単価'!E6+'前提と出典'!$C$38*'契約別単価'!E7)</ns0:f>
        <ns0:v>258928.91109381407</ns0:v>
      </ns0:c>
      <ns0:c r="F107" s="16">
        <ns0:f>A107*('前提と出典'!$C$36*'契約別単価'!F5+'前提と出典'!$C$37*'契約別単価'!F6+'前提と出典'!$C$38*'契約別単価'!F7)</ns0:f>
        <ns0:v>75238.12295913219</ns0:v>
      </ns0:c>
      <ns0:c r="G107" s="16">
        <ns0:f>A107*('前提と出典'!$C$36*'契約別単価'!G5+'前提と出典'!$C$37*'契約別単価'!G6+'前提と出典'!$C$38*'契約別単価'!G7)</ns0:f>
        <ns0:v>205021.7877094972</ns0:v>
      </ns0:c>
      <ns0:c r="H107" s="16">
        <ns0:f>A107*('前提と出典'!$C$36*'契約別単価'!H5+'前提と出典'!$C$37*'契約別単価'!H6+'前提と出典'!$C$38*'契約別単価'!H7)</ns0:f>
        <ns0:v>71152.8429858791</ns0:v>
      </ns0:c>
      <ns0:c r="I107" s="16">
        <ns0:f>A107*('前提と出典'!$C$36*'契約別単価'!I5+'前提と出典'!$C$37*'契約別単価'!I6+'前提と出典'!$C$38*'契約別単価'!I7)</ns0:f>
        <ns0:v>4346.139664804468</ns0:v>
      </ns0:c>
      <ns0:c r="J107" s="16">
        <ns0:f>A107*('前提と出典'!$C$36*'契約別単価'!J5+'前提と出典'!$C$37*'契約別単価'!J6+'前提と出典'!$C$38*'契約別単価'!J7)</ns0:f>
        <ns0:v>10123.823002161165</ns0:v>
      </ns0:c>
      <ns0:c r="K107" s="16">
        <ns0:f>A107*('前提と出典'!$C$36*'契約別単価'!K5+'前提と出典'!$C$37*'契約別単価'!K6+'前提と出典'!$C$38*'契約別単価'!K7)</ns0:f>
        <ns0:v>43394.26443202979</ns0:v>
      </ns0:c>
      <ns0:c r="L107" s="16">
        <ns0:f>A107*('前提と出典'!$C$36*'契約別単価'!L5+'前提と出典'!$C$37*'契約別単価'!L6+'前提と出典'!$C$38*'契約別単価'!L7)</ns0:f>
        <ns0:v>35331.76143286264</ns0:v>
      </ns0:c>
      <ns0:c r="M107" s="16">
        <ns0:f>IF(('前提と出典'!$C$36+'前提と出典'!$C$38)=0,0,IF(B107&lt;=10,'前提と出典'!B73+'前提と出典'!C73,IF(B107&lt;=100,'前提と出典'!B74+'前提と出典'!C74,IF(B107&lt;=500,'前提と出典'!B75+'前提と出典'!C75,'前提と出典'!B76+'前提と出典'!C76))))</ns0:f>
        <ns0:v>20000</ns0:v>
      </ns0:c>
      <ns0:c r="N107" s="16">
        <ns0:f>IF(('前提と出典'!$C$37+'前提と出典'!$C$38)=0,0,IF(C107&lt;=10,'前提と出典'!D73+'前提と出典'!E73,IF(C107&lt;=100,'前提と出典'!D74+'前提と出典'!E74,IF(C107&lt;=500,'前提と出典'!D75+'前提と出典'!E75,'前提と出典'!D76+'前提と出典'!E76))))</ns0:f>
        <ns0:v>34510.9346263078</ns0:v>
      </ns0:c>
      <ns0:c r="O107" s="16">
        <ns0:f>IF('前提と出典'!$C$36+'前提と出典'!$C$38=0,0,'前提と出典'!$B$4*IF('前提と出典'!$B$20=0,MAX('前提と出典'!$B$6,D107*'前提と出典'!$B$5),'前提と出典'!$B$6+D107*'前提と出典'!$B$5))</ns0:f>
        <ns0:v>102277.27374301676</ns0:v>
      </ns0:c>
      <ns0:c r="P107" s="16">
        <ns0:f>(E107+G107)*(1-'前提と出典'!$B$7)-I107-K107-M107-O107</ns0:f>
        <ns0:v>277230.79580654105</ns0:v>
      </ns0:c>
      <ns0:c r="Q107" s="16">
        <ns0:f>(F107+H107)*(1-'前提と出典'!$B$7)-J107-L107-N107</ns0:f>
        <ns0:v>61154.372109659285</ns0:v>
      </ns0:c>
      <ns0:c r="R107" s="16">
        <ns0:f>P107-E107*'前提と出典'!$E$4</ns0:f>
        <ns0:v>199552.12247839686</ns0:v>
      </ns0:c>
      <ns0:c r="S107" s="16">
        <ns0:f>Q107-F107*'前提と出典'!$E$4</ns0:f>
        <ns0:v>38582.93522191962</ns0:v>
      </ns0:c>
      <ns0:c r="T107" s="7">
        <ns0:f>R107+S107</ns0:f>
        <ns0:v>238135.05770031648</ns0:v>
      </ns0:c>
      <ns0:c r="U107" s="16">
        <ns0:f>P107-E107*'前提と出典'!$E$5</ns0:f>
        <ns0:v>173659.2313690154</ns0:v>
      </ns0:c>
      <ns0:c r="V107" s="16">
        <ns0:f>Q107-F107*'前提と出典'!$E$5</ns0:f>
        <ns0:v>31059.122926006406</ns0:v>
      </ns0:c>
      <ns0:c r="W107" s="7">
        <ns0:f>U107+V107</ns0:f>
        <ns0:v>204718.35429502183</ns0:v>
      </ns0:c>
      <ns0:c r="X107" s="16">
        <ns0:f>P107-E107*'前提と出典'!$E$6</ns0:f>
        <ns0:v>147766.34025963402</ns0:v>
      </ns0:c>
      <ns0:c r="Y107" s="16">
        <ns0:f>Q107-F107*'前提と出典'!$E$6</ns0:f>
        <ns0:v>23535.31063009319</ns0:v>
      </ns0:c>
      <ns0:c r="Z107" s="7">
        <ns0:f>X107+Y107</ns0:f>
        <ns0:v>171301.6508897272</ns0:v>
      </ns0:c>
      <ns0:c r="AA107" s="7">
        <ns0:f>IF(T107&gt;=0,A107,1001)</ns0:f>
        <ns0:v>103</ns0:v>
      </ns0:c>
      <ns0:c r="AB107" s="7">
        <ns0:f>IF(T107&lt;0,A107,0)</ns0:f>
        <ns0:v>0</ns0:v>
      </ns0:c>
      <ns0:c r="AC107" s="16">
        <ns0:f>IF(AND(OR('前提と出典'!$C$36+'前提と出典'!$C$38=0,R107&gt;=0),OR('前提と出典'!$C$37+'前提と出典'!$C$38=0,S107&gt;=0)),0,A107)</ns0:f>
        <ns0:v>0</ns0:v>
      </ns0:c>
      <ns0:c r="AD107" s="7">
        <ns0:f>IF(W107&gt;=0,A107,1001)</ns0:f>
        <ns0:v>103</ns0:v>
      </ns0:c>
      <ns0:c r="AE107" s="7">
        <ns0:f>IF(W107&lt;0,A107,0)</ns0:f>
        <ns0:v>0</ns0:v>
      </ns0:c>
      <ns0:c r="AF107" s="16">
        <ns0:f>IF(AND(OR('前提と出典'!$C$36+'前提と出典'!$C$38=0,U107&gt;=0),OR('前提と出典'!$C$37+'前提と出典'!$C$38=0,V107&gt;=0)),0,A107)</ns0:f>
        <ns0:v>0</ns0:v>
      </ns0:c>
      <ns0:c r="AG107" s="7">
        <ns0:f>IF(Z107&gt;=0,A107,1001)</ns0:f>
        <ns0:v>103</ns0:v>
      </ns0:c>
      <ns0:c r="AH107" s="4">
        <ns0:f>IF(Z107&lt;0,A107,0)</ns0:f>
        <ns0:v>0</ns0:v>
      </ns0:c>
      <ns0:c r="AI107" s="12">
        <ns0:f>IF(AND(OR('前提と出典'!$C$36+'前提と出典'!$C$38=0,X107&gt;=0),OR('前提と出典'!$C$37+'前提と出典'!$C$38=0,Y107&gt;=0)),0,A107)</ns0:f>
        <ns0:v>0</ns0:v>
      </ns0:c>
    </ns0:row>
    <ns0:row r="108" ht="24" customHeight="1">
      <ns0:c r="A108" s="4" t="n">
        <ns0:v>104</ns0:v>
      </ns0:c>
      <ns0:c r="B108" s="12">
        <ns0:f>A108*('前提と出典'!$C$36+'前提と出典'!$C$38)</ns0:f>
        <ns0:v>72.8</ns0:v>
      </ns0:c>
      <ns0:c r="C108" s="12">
        <ns0:f>A108*('前提と出典'!$C$37+'前提と出典'!$C$38)</ns0:f>
        <ns0:v>62.4</ns0:v>
      </ns0:c>
      <ns0:c r="D108" s="16">
        <ns0:f>A108*('前提と出典'!$C$36*'契約別単価'!C5+'前提と出典'!$C$37*'契約別単価'!C6+'前提と出典'!$C$38*'契約別単価'!C7)</ns0:f>
        <ns0:v>748.3351955307262</ns0:v>
      </ns0:c>
      <ns0:c r="E108" s="16">
        <ns0:f>A108*('前提と出典'!$C$36*'契約別単価'!E5+'前提と出典'!$C$37*'契約別単価'!E6+'前提と出典'!$C$38*'契約別単価'!E7)</ns0:f>
        <ns0:v>261442.78401705498</ns0:v>
      </ns0:c>
      <ns0:c r="F108" s="16">
        <ns0:f>A108*('前提と出典'!$C$36*'契約別単価'!F5+'前提と出典'!$C$37*'契約別単価'!F6+'前提と出典'!$C$38*'契約別単価'!F7)</ns0:f>
        <ns0:v>75968.59017232765</ns0:v>
      </ns0:c>
      <ns0:c r="G108" s="16">
        <ns0:f>A108*('前提と出典'!$C$36*'契約別単価'!G5+'前提と出典'!$C$37*'契約別単価'!G6+'前提と出典'!$C$38*'契約別単価'!G7)</ns0:f>
        <ns0:v>207012.29050279327</ns0:v>
      </ns0:c>
      <ns0:c r="H108" s="16">
        <ns0:f>A108*('前提と出典'!$C$36*'契約別単価'!H5+'前提と出典'!$C$37*'契約別単価'!H6+'前提と出典'!$C$38*'契約別単価'!H7)</ns0:f>
        <ns0:v>71843.64728671288</ns0:v>
      </ns0:c>
      <ns0:c r="I108" s="16">
        <ns0:f>A108*('前提と出典'!$C$36*'契約別単価'!I5+'前提と出典'!$C$37*'契約別単価'!I6+'前提と出典'!$C$38*'契約別単価'!I7)</ns0:f>
        <ns0:v>4388.335195530725</ns0:v>
      </ns0:c>
      <ns0:c r="J108" s="16">
        <ns0:f>A108*('前提と出典'!$C$36*'契約別単価'!J5+'前提と出典'!$C$37*'契約別単価'!J6+'前提と出典'!$C$38*'契約別単価'!J7)</ns0:f>
        <ns0:v>10222.112545871467</ns0:v>
      </ns0:c>
      <ns0:c r="K108" s="16">
        <ns0:f>A108*('前提と出典'!$C$36*'契約別単価'!K5+'前提と出典'!$C$37*'契約別単価'!K6+'前提と出典'!$C$38*'契約別単価'!K7)</ns0:f>
        <ns0:v>43815.56797020484</ns0:v>
      </ns0:c>
      <ns0:c r="L108" s="16">
        <ns0:f>A108*('前提と出典'!$C$36*'契約別単価'!L5+'前提と出典'!$C$37*'契約別単価'!L6+'前提と出典'!$C$38*'契約別単価'!L7)</ns0:f>
        <ns0:v>35674.78824289043</ns0:v>
      </ns0:c>
      <ns0:c r="M108" s="16">
        <ns0:f>IF(('前提と出典'!$C$36+'前提と出典'!$C$38)=0,0,IF(B108&lt;=10,'前提と出典'!B73+'前提と出典'!C73,IF(B108&lt;=100,'前提と出典'!B74+'前提と出典'!C74,IF(B108&lt;=500,'前提と出典'!B75+'前提と出典'!C75,'前提と出典'!B76+'前提と出典'!C76))))</ns0:f>
        <ns0:v>20000</ns0:v>
      </ns0:c>
      <ns0:c r="N108" s="16">
        <ns0:f>IF(('前提と出典'!$C$37+'前提と出典'!$C$38)=0,0,IF(C108&lt;=10,'前提と出典'!D73+'前提と出典'!E73,IF(C108&lt;=100,'前提と出典'!D74+'前提と出典'!E74,IF(C108&lt;=500,'前提と出典'!D75+'前提と出典'!E75,'前提と出典'!D76+'前提と出典'!E76))))</ns0:f>
        <ns0:v>34510.9346263078</ns0:v>
      </ns0:c>
      <ns0:c r="O108" s="16">
        <ns0:f>IF('前提と出典'!$C$36+'前提と出典'!$C$38=0,0,'前提と出典'!$B$4*IF('前提と出典'!$B$20=0,MAX('前提と出典'!$B$6,D108*'前提と出典'!$B$5),'前提と出典'!$B$6+D108*'前提と出典'!$B$5))</ns0:f>
        <ns0:v>103270.25698324022</ns0:v>
      </ns0:c>
      <ns0:c r="P108" s="16">
        <ns0:f>(E108+G108)*(1-'前提と出典'!$B$7)-I108-K108-M108-O108</ns0:f>
        <ns0:v>280116.5316881579</ns0:v>
      </ns0:c>
      <ns0:c r="Q108" s="16">
        <ns0:f>(F108+H108)*(1-'前提と出典'!$B$7)-J108-L108-N108</ns0:f>
        <ns0:v>62083.1614954454</ns0:v>
      </ns0:c>
      <ns0:c r="R108" s="16">
        <ns0:f>P108-E108*'前提と出典'!$E$4</ns0:f>
        <ns0:v>201683.69648304142</ns0:v>
      </ns0:c>
      <ns0:c r="S108" s="16">
        <ns0:f>Q108-F108*'前提と出典'!$E$4</ns0:f>
        <ns0:v>39292.5844437471</ns0:v>
      </ns0:c>
      <ns0:c r="T108" s="7">
        <ns0:f>R108+S108</ns0:f>
        <ns0:v>240976.28092678852</ns0:v>
      </ns0:c>
      <ns0:c r="U108" s="16">
        <ns0:f>P108-E108*'前提と出典'!$E$5</ns0:f>
        <ns0:v>175539.41808133587</ns0:v>
      </ns0:c>
      <ns0:c r="V108" s="16">
        <ns0:f>Q108-F108*'前提と出典'!$E$5</ns0:f>
        <ns0:v>31695.725426514335</ns0:v>
      </ns0:c>
      <ns0:c r="W108" s="7">
        <ns0:f>U108+V108</ns0:f>
        <ns0:v>207235.1435078502</ns0:v>
      </ns0:c>
      <ns0:c r="X108" s="16">
        <ns0:f>P108-E108*'前提と出典'!$E$6</ns0:f>
        <ns0:v>149395.13967963043</ns0:v>
      </ns0:c>
      <ns0:c r="Y108" s="16">
        <ns0:f>Q108-F108*'前提と出典'!$E$6</ns0:f>
        <ns0:v>24098.866409281567</ns0:v>
      </ns0:c>
      <ns0:c r="Z108" s="7">
        <ns0:f>X108+Y108</ns0:f>
        <ns0:v>173494.006088912</ns0:v>
      </ns0:c>
      <ns0:c r="AA108" s="7">
        <ns0:f>IF(T108&gt;=0,A108,1001)</ns0:f>
        <ns0:v>104</ns0:v>
      </ns0:c>
      <ns0:c r="AB108" s="7">
        <ns0:f>IF(T108&lt;0,A108,0)</ns0:f>
        <ns0:v>0</ns0:v>
      </ns0:c>
      <ns0:c r="AC108" s="16">
        <ns0:f>IF(AND(OR('前提と出典'!$C$36+'前提と出典'!$C$38=0,R108&gt;=0),OR('前提と出典'!$C$37+'前提と出典'!$C$38=0,S108&gt;=0)),0,A108)</ns0:f>
        <ns0:v>0</ns0:v>
      </ns0:c>
      <ns0:c r="AD108" s="7">
        <ns0:f>IF(W108&gt;=0,A108,1001)</ns0:f>
        <ns0:v>104</ns0:v>
      </ns0:c>
      <ns0:c r="AE108" s="7">
        <ns0:f>IF(W108&lt;0,A108,0)</ns0:f>
        <ns0:v>0</ns0:v>
      </ns0:c>
      <ns0:c r="AF108" s="16">
        <ns0:f>IF(AND(OR('前提と出典'!$C$36+'前提と出典'!$C$38=0,U108&gt;=0),OR('前提と出典'!$C$37+'前提と出典'!$C$38=0,V108&gt;=0)),0,A108)</ns0:f>
        <ns0:v>0</ns0:v>
      </ns0:c>
      <ns0:c r="AG108" s="7">
        <ns0:f>IF(Z108&gt;=0,A108,1001)</ns0:f>
        <ns0:v>104</ns0:v>
      </ns0:c>
      <ns0:c r="AH108" s="4">
        <ns0:f>IF(Z108&lt;0,A108,0)</ns0:f>
        <ns0:v>0</ns0:v>
      </ns0:c>
      <ns0:c r="AI108" s="12">
        <ns0:f>IF(AND(OR('前提と出典'!$C$36+'前提と出典'!$C$38=0,X108&gt;=0),OR('前提と出典'!$C$37+'前提と出典'!$C$38=0,Y108&gt;=0)),0,A108)</ns0:f>
        <ns0:v>0</ns0:v>
      </ns0:c>
    </ns0:row>
    <ns0:row r="109" ht="24" customHeight="1">
      <ns0:c r="A109" s="4" t="n">
        <ns0:v>105</ns0:v>
      </ns0:c>
      <ns0:c r="B109" s="12">
        <ns0:f>A109*('前提と出典'!$C$36+'前提と出典'!$C$38)</ns0:f>
        <ns0:v>73.5</ns0:v>
      </ns0:c>
      <ns0:c r="C109" s="12">
        <ns0:f>A109*('前提と出典'!$C$37+'前提と出典'!$C$38)</ns0:f>
        <ns0:v>63</ns0:v>
      </ns0:c>
      <ns0:c r="D109" s="16">
        <ns0:f>A109*('前提と出典'!$C$36*'契約別単価'!C5+'前提と出典'!$C$37*'契約別単価'!C6+'前提と出典'!$C$38*'契約別単価'!C7)</ns0:f>
        <ns0:v>755.5307262569833</ns0:v>
      </ns0:c>
      <ns0:c r="E109" s="16">
        <ns0:f>A109*('前提と出典'!$C$36*'契約別単価'!E5+'前提と出典'!$C$37*'契約別単価'!E6+'前提と出典'!$C$38*'契約別単価'!E7)</ns0:f>
        <ns0:v>263956.6569402959</ns0:v>
      </ns0:c>
      <ns0:c r="F109" s="16">
        <ns0:f>A109*('前提と出典'!$C$36*'契約別単価'!F5+'前提と出典'!$C$37*'契約別単価'!F6+'前提と出典'!$C$38*'契約別単価'!F7)</ns0:f>
        <ns0:v>76699.0573855231</ns0:v>
      </ns0:c>
      <ns0:c r="G109" s="16">
        <ns0:f>A109*('前提と出典'!$C$36*'契約別単価'!G5+'前提と出典'!$C$37*'契約別単価'!G6+'前提と出典'!$C$38*'契約別単価'!G7)</ns0:f>
        <ns0:v>209002.79329608937</ns0:v>
      </ns0:c>
      <ns0:c r="H109" s="16">
        <ns0:f>A109*('前提と出典'!$C$36*'契約別単価'!H5+'前提と出典'!$C$37*'契約別単価'!H6+'前提と出典'!$C$38*'契約別単価'!H7)</ns0:f>
        <ns0:v>72534.45158754666</ns0:v>
      </ns0:c>
      <ns0:c r="I109" s="16">
        <ns0:f>A109*('前提と出典'!$C$36*'契約別単価'!I5+'前提と出典'!$C$37*'契約別単価'!I6+'前提と出典'!$C$38*'契約別単価'!I7)</ns0:f>
        <ns0:v>4430.530726256982</ns0:v>
      </ns0:c>
      <ns0:c r="J109" s="16">
        <ns0:f>A109*('前提と出典'!$C$36*'契約別単価'!J5+'前提と出典'!$C$37*'契約別単価'!J6+'前提と出典'!$C$38*'契約別単価'!J7)</ns0:f>
        <ns0:v>10320.40208958177</ns0:v>
      </ns0:c>
      <ns0:c r="K109" s="16">
        <ns0:f>A109*('前提と出典'!$C$36*'契約別単価'!K5+'前提と出典'!$C$37*'契約別単価'!K6+'前提と出典'!$C$38*'契約別単価'!K7)</ns0:f>
        <ns0:v>44236.87150837989</ns0:v>
      </ns0:c>
      <ns0:c r="L109" s="16">
        <ns0:f>A109*('前提と出典'!$C$36*'契約別単価'!L5+'前提と出典'!$C$37*'契約別単価'!L6+'前提と出典'!$C$38*'契約別単価'!L7)</ns0:f>
        <ns0:v>36017.815052918224</ns0:v>
      </ns0:c>
      <ns0:c r="M109" s="16">
        <ns0:f>IF(('前提と出典'!$C$36+'前提と出典'!$C$38)=0,0,IF(B109&lt;=10,'前提と出典'!B73+'前提と出典'!C73,IF(B109&lt;=100,'前提と出典'!B74+'前提と出典'!C74,IF(B109&lt;=500,'前提と出典'!B75+'前提と出典'!C75,'前提と出典'!B76+'前提と出典'!C76))))</ns0:f>
        <ns0:v>20000</ns0:v>
      </ns0:c>
      <ns0:c r="N109" s="16">
        <ns0:f>IF(('前提と出典'!$C$37+'前提と出典'!$C$38)=0,0,IF(C109&lt;=10,'前提と出典'!D73+'前提と出典'!E73,IF(C109&lt;=100,'前提と出典'!D74+'前提と出典'!E74,IF(C109&lt;=500,'前提と出典'!D75+'前提と出典'!E75,'前提と出典'!D76+'前提と出典'!E76))))</ns0:f>
        <ns0:v>34510.9346263078</ns0:v>
      </ns0:c>
      <ns0:c r="O109" s="16">
        <ns0:f>IF('前提と出典'!$C$36+'前提と出典'!$C$38=0,0,'前提と出典'!$B$4*IF('前提と出典'!$B$20=0,MAX('前提と出典'!$B$6,D109*'前提と出典'!$B$5),'前提と出典'!$B$6+D109*'前提と出典'!$B$5))</ns0:f>
        <ns0:v>104263.2402234637</ns0:v>
      </ns0:c>
      <ns0:c r="P109" s="16">
        <ns0:f>(E109+G109)*(1-'前提と出典'!$B$7)-I109-K109-M109-O109</ns0:f>
        <ns0:v>283002.2675697748</ns0:v>
      </ns0:c>
      <ns0:c r="Q109" s="16">
        <ns0:f>(F109+H109)*(1-'前提と出典'!$B$7)-J109-L109-N109</ns0:f>
        <ns0:v>63011.95088123146</ns0:v>
      </ns0:c>
      <ns0:c r="R109" s="16">
        <ns0:f>P109-E109*'前提と出典'!$E$4</ns0:f>
        <ns0:v>203815.27048768604</ns0:v>
      </ns0:c>
      <ns0:c r="S109" s="16">
        <ns0:f>Q109-F109*'前提と出典'!$E$4</ns0:f>
        <ns0:v>40002.23366557455</ns0:v>
      </ns0:c>
      <ns0:c r="T109" s="7">
        <ns0:f>R109+S109</ns0:f>
        <ns0:v>243817.50415326058</ns0:v>
      </ns0:c>
      <ns0:c r="U109" s="16">
        <ns0:f>P109-E109*'前提と出典'!$E$5</ns0:f>
        <ns0:v>177419.60479365644</ns0:v>
      </ns0:c>
      <ns0:c r="V109" s="16">
        <ns0:f>Q109-F109*'前提と出典'!$E$5</ns0:f>
        <ns0:v>32332.32792702222</ns0:v>
      </ns0:c>
      <ns0:c r="W109" s="7">
        <ns0:f>U109+V109</ns0:f>
        <ns0:v>209751.93272067865</ns0:v>
      </ns0:c>
      <ns0:c r="X109" s="16">
        <ns0:f>P109-E109*'前提と出典'!$E$6</ns0:f>
        <ns0:v>151023.9390996269</ns0:v>
      </ns0:c>
      <ns0:c r="Y109" s="16">
        <ns0:f>Q109-F109*'前提と出典'!$E$6</ns0:f>
        <ns0:v>24662.422188469922</ns0:v>
      </ns0:c>
      <ns0:c r="Z109" s="7">
        <ns0:f>X109+Y109</ns0:f>
        <ns0:v>175686.3612880968</ns0:v>
      </ns0:c>
      <ns0:c r="AA109" s="7">
        <ns0:f>IF(T109&gt;=0,A109,1001)</ns0:f>
        <ns0:v>105</ns0:v>
      </ns0:c>
      <ns0:c r="AB109" s="7">
        <ns0:f>IF(T109&lt;0,A109,0)</ns0:f>
        <ns0:v>0</ns0:v>
      </ns0:c>
      <ns0:c r="AC109" s="16">
        <ns0:f>IF(AND(OR('前提と出典'!$C$36+'前提と出典'!$C$38=0,R109&gt;=0),OR('前提と出典'!$C$37+'前提と出典'!$C$38=0,S109&gt;=0)),0,A109)</ns0:f>
        <ns0:v>0</ns0:v>
      </ns0:c>
      <ns0:c r="AD109" s="7">
        <ns0:f>IF(W109&gt;=0,A109,1001)</ns0:f>
        <ns0:v>105</ns0:v>
      </ns0:c>
      <ns0:c r="AE109" s="7">
        <ns0:f>IF(W109&lt;0,A109,0)</ns0:f>
        <ns0:v>0</ns0:v>
      </ns0:c>
      <ns0:c r="AF109" s="16">
        <ns0:f>IF(AND(OR('前提と出典'!$C$36+'前提と出典'!$C$38=0,U109&gt;=0),OR('前提と出典'!$C$37+'前提と出典'!$C$38=0,V109&gt;=0)),0,A109)</ns0:f>
        <ns0:v>0</ns0:v>
      </ns0:c>
      <ns0:c r="AG109" s="7">
        <ns0:f>IF(Z109&gt;=0,A109,1001)</ns0:f>
        <ns0:v>105</ns0:v>
      </ns0:c>
      <ns0:c r="AH109" s="4">
        <ns0:f>IF(Z109&lt;0,A109,0)</ns0:f>
        <ns0:v>0</ns0:v>
      </ns0:c>
      <ns0:c r="AI109" s="12">
        <ns0:f>IF(AND(OR('前提と出典'!$C$36+'前提と出典'!$C$38=0,X109&gt;=0),OR('前提と出典'!$C$37+'前提と出典'!$C$38=0,Y109&gt;=0)),0,A109)</ns0:f>
        <ns0:v>0</ns0:v>
      </ns0:c>
    </ns0:row>
    <ns0:row r="110" ht="24" customHeight="1">
      <ns0:c r="A110" s="4" t="n">
        <ns0:v>106</ns0:v>
      </ns0:c>
      <ns0:c r="B110" s="12">
        <ns0:f>A110*('前提と出典'!$C$36+'前提と出典'!$C$38)</ns0:f>
        <ns0:v>74.19999999999999</ns0:v>
      </ns0:c>
      <ns0:c r="C110" s="12">
        <ns0:f>A110*('前提と出典'!$C$37+'前提と出典'!$C$38)</ns0:f>
        <ns0:v>63.599999999999994</ns0:v>
      </ns0:c>
      <ns0:c r="D110" s="16">
        <ns0:f>A110*('前提と出典'!$C$36*'契約別単価'!C5+'前提と出典'!$C$37*'契約別単価'!C6+'前提と出典'!$C$38*'契約別単価'!C7)</ns0:f>
        <ns0:v>762.7262569832402</ns0:v>
      </ns0:c>
      <ns0:c r="E110" s="16">
        <ns0:f>A110*('前提と出典'!$C$36*'契約別単価'!E5+'前提と出典'!$C$37*'契約別単価'!E6+'前提と出典'!$C$38*'契約別単価'!E7)</ns0:f>
        <ns0:v>266470.5298635368</ns0:v>
      </ns0:c>
      <ns0:c r="F110" s="16">
        <ns0:f>A110*('前提と出典'!$C$36*'契約別単価'!F5+'前提と出典'!$C$37*'契約別単価'!F6+'前提と出典'!$C$38*'契約別単価'!F7)</ns0:f>
        <ns0:v>77429.52459871856</ns0:v>
      </ns0:c>
      <ns0:c r="G110" s="16">
        <ns0:f>A110*('前提と出典'!$C$36*'契約別単価'!G5+'前提と出典'!$C$37*'契約別単価'!G6+'前提と出典'!$C$38*'契約別単価'!G7)</ns0:f>
        <ns0:v>210993.29608938546</ns0:v>
      </ns0:c>
      <ns0:c r="H110" s="16">
        <ns0:f>A110*('前提と出典'!$C$36*'契約別単価'!H5+'前提と出典'!$C$37*'契約別単価'!H6+'前提と出典'!$C$38*'契約別単価'!H7)</ns0:f>
        <ns0:v>73225.25588838043</ns0:v>
      </ns0:c>
      <ns0:c r="I110" s="16">
        <ns0:f>A110*('前提と出典'!$C$36*'契約別単価'!I5+'前提と出典'!$C$37*'契約別単価'!I6+'前提と出典'!$C$38*'契約別単価'!I7)</ns0:f>
        <ns0:v>4472.726256983239</ns0:v>
      </ns0:c>
      <ns0:c r="J110" s="16">
        <ns0:f>A110*('前提と出典'!$C$36*'契約別単価'!J5+'前提と出典'!$C$37*'契約別単価'!J6+'前提と出典'!$C$38*'契約別単価'!J7)</ns0:f>
        <ns0:v>10418.691633292072</ns0:v>
      </ns0:c>
      <ns0:c r="K110" s="16">
        <ns0:f>A110*('前提と出典'!$C$36*'契約別単価'!K5+'前提と出典'!$C$37*'契約別単価'!K6+'前提と出典'!$C$38*'契約別単価'!K7)</ns0:f>
        <ns0:v>44658.175046554934</ns0:v>
      </ns0:c>
      <ns0:c r="L110" s="16">
        <ns0:f>A110*('前提と出典'!$C$36*'契約別単価'!L5+'前提と出典'!$C$37*'契約別単価'!L6+'前提と出典'!$C$38*'契約別単価'!L7)</ns0:f>
        <ns0:v>36360.841862946014</ns0:v>
      </ns0:c>
      <ns0:c r="M110" s="16">
        <ns0:f>IF(('前提と出典'!$C$36+'前提と出典'!$C$38)=0,0,IF(B110&lt;=10,'前提と出典'!B73+'前提と出典'!C73,IF(B110&lt;=100,'前提と出典'!B74+'前提と出典'!C74,IF(B110&lt;=500,'前提と出典'!B75+'前提と出典'!C75,'前提と出典'!B76+'前提と出典'!C76))))</ns0:f>
        <ns0:v>20000</ns0:v>
      </ns0:c>
      <ns0:c r="N110" s="16">
        <ns0:f>IF(('前提と出典'!$C$37+'前提と出典'!$C$38)=0,0,IF(C110&lt;=10,'前提と出典'!D73+'前提と出典'!E73,IF(C110&lt;=100,'前提と出典'!D74+'前提と出典'!E74,IF(C110&lt;=500,'前提と出典'!D75+'前提と出典'!E75,'前提と出典'!D76+'前提と出典'!E76))))</ns0:f>
        <ns0:v>34510.9346263078</ns0:v>
      </ns0:c>
      <ns0:c r="O110" s="16">
        <ns0:f>IF('前提と出典'!$C$36+'前提と出典'!$C$38=0,0,'前提と出典'!$B$4*IF('前提と出典'!$B$20=0,MAX('前提と出典'!$B$6,D110*'前提と出典'!$B$5),'前提と出典'!$B$6+D110*'前提と出典'!$B$5))</ns0:f>
        <ns0:v>105256.22346368716</ns0:v>
      </ns0:c>
      <ns0:c r="P110" s="16">
        <ns0:f>(E110+G110)*(1-'前提と出典'!$B$7)-I110-K110-M110-O110</ns0:f>
        <ns0:v>285888.0034513917</ns0:v>
      </ns0:c>
      <ns0:c r="Q110" s="16">
        <ns0:f>(F110+H110)*(1-'前提と出典'!$B$7)-J110-L110-N110</ns0:f>
        <ns0:v>63940.74026701754</ns0:v>
      </ns0:c>
      <ns0:c r="R110" s="16">
        <ns0:f>P110-E110*'前提と出典'!$E$4</ns0:f>
        <ns0:v>205946.84449233068</ns0:v>
      </ns0:c>
      <ns0:c r="S110" s="16">
        <ns0:f>Q110-F110*'前提と出典'!$E$4</ns0:f>
        <ns0:v>40711.882887401975</ns0:v>
      </ns0:c>
      <ns0:c r="T110" s="7">
        <ns0:f>R110+S110</ns0:f>
        <ns0:v>246658.72737973265</ns0:v>
      </ns0:c>
      <ns0:c r="U110" s="16">
        <ns0:f>P110-E110*'前提と出典'!$E$5</ns0:f>
        <ns0:v>179299.791505977</ns0:v>
      </ns0:c>
      <ns0:c r="V110" s="16">
        <ns0:f>Q110-F110*'前提と出典'!$E$5</ns0:f>
        <ns0:v>32968.93042753012</ns0:v>
      </ns0:c>
      <ns0:c r="W110" s="7">
        <ns0:f>U110+V110</ns0:f>
        <ns0:v>212268.7219335071</ns0:v>
      </ns0:c>
      <ns0:c r="X110" s="16">
        <ns0:f>P110-E110*'前提と出典'!$E$6</ns0:f>
        <ns0:v>152652.7385196233</ns0:v>
      </ns0:c>
      <ns0:c r="Y110" s="16">
        <ns0:f>Q110-F110*'前提と出典'!$E$6</ns0:f>
        <ns0:v>25225.97796765827</ns0:v>
      </ns0:c>
      <ns0:c r="Z110" s="7">
        <ns0:f>X110+Y110</ns0:f>
        <ns0:v>177878.71648728155</ns0:v>
      </ns0:c>
      <ns0:c r="AA110" s="7">
        <ns0:f>IF(T110&gt;=0,A110,1001)</ns0:f>
        <ns0:v>106</ns0:v>
      </ns0:c>
      <ns0:c r="AB110" s="7">
        <ns0:f>IF(T110&lt;0,A110,0)</ns0:f>
        <ns0:v>0</ns0:v>
      </ns0:c>
      <ns0:c r="AC110" s="16">
        <ns0:f>IF(AND(OR('前提と出典'!$C$36+'前提と出典'!$C$38=0,R110&gt;=0),OR('前提と出典'!$C$37+'前提と出典'!$C$38=0,S110&gt;=0)),0,A110)</ns0:f>
        <ns0:v>0</ns0:v>
      </ns0:c>
      <ns0:c r="AD110" s="7">
        <ns0:f>IF(W110&gt;=0,A110,1001)</ns0:f>
        <ns0:v>106</ns0:v>
      </ns0:c>
      <ns0:c r="AE110" s="7">
        <ns0:f>IF(W110&lt;0,A110,0)</ns0:f>
        <ns0:v>0</ns0:v>
      </ns0:c>
      <ns0:c r="AF110" s="16">
        <ns0:f>IF(AND(OR('前提と出典'!$C$36+'前提と出典'!$C$38=0,U110&gt;=0),OR('前提と出典'!$C$37+'前提と出典'!$C$38=0,V110&gt;=0)),0,A110)</ns0:f>
        <ns0:v>0</ns0:v>
      </ns0:c>
      <ns0:c r="AG110" s="7">
        <ns0:f>IF(Z110&gt;=0,A110,1001)</ns0:f>
        <ns0:v>106</ns0:v>
      </ns0:c>
      <ns0:c r="AH110" s="4">
        <ns0:f>IF(Z110&lt;0,A110,0)</ns0:f>
        <ns0:v>0</ns0:v>
      </ns0:c>
      <ns0:c r="AI110" s="12">
        <ns0:f>IF(AND(OR('前提と出典'!$C$36+'前提と出典'!$C$38=0,X110&gt;=0),OR('前提と出典'!$C$37+'前提と出典'!$C$38=0,Y110&gt;=0)),0,A110)</ns0:f>
        <ns0:v>0</ns0:v>
      </ns0:c>
    </ns0:row>
    <ns0:row r="111" ht="24" customHeight="1">
      <ns0:c r="A111" s="4" t="n">
        <ns0:v>107</ns0:v>
      </ns0:c>
      <ns0:c r="B111" s="12">
        <ns0:f>A111*('前提と出典'!$C$36+'前提と出典'!$C$38)</ns0:f>
        <ns0:v>74.89999999999999</ns0:v>
      </ns0:c>
      <ns0:c r="C111" s="12">
        <ns0:f>A111*('前提と出典'!$C$37+'前提と出典'!$C$38)</ns0:f>
        <ns0:v>64.2</ns0:v>
      </ns0:c>
      <ns0:c r="D111" s="16">
        <ns0:f>A111*('前提と出典'!$C$36*'契約別単価'!C5+'前提と出典'!$C$37*'契約別単価'!C6+'前提と出典'!$C$38*'契約別単価'!C7)</ns0:f>
        <ns0:v>769.9217877094972</ns0:v>
      </ns0:c>
      <ns0:c r="E111" s="16">
        <ns0:f>A111*('前提と出典'!$C$36*'契約別単価'!E5+'前提と出典'!$C$37*'契約別単価'!E6+'前提と出典'!$C$38*'契約別単価'!E7)</ns0:f>
        <ns0:v>268984.4027867777</ns0:v>
      </ns0:c>
      <ns0:c r="F111" s="16">
        <ns0:f>A111*('前提と出典'!$C$36*'契約別単価'!F5+'前提と出典'!$C$37*'契約別単価'!F6+'前提と出典'!$C$38*'契約別単価'!F7)</ns0:f>
        <ns0:v>78159.99181191402</ns0:v>
      </ns0:c>
      <ns0:c r="G111" s="16">
        <ns0:f>A111*('前提と出典'!$C$36*'契約別単価'!G5+'前提と出典'!$C$37*'契約別単価'!G6+'前提と出典'!$C$38*'契約別単価'!G7)</ns0:f>
        <ns0:v>212983.79888268156</ns0:v>
      </ns0:c>
      <ns0:c r="H111" s="16">
        <ns0:f>A111*('前提と出典'!$C$36*'契約別単価'!H5+'前提と出典'!$C$37*'契約別単価'!H6+'前提と出典'!$C$38*'契約別単価'!H7)</ns0:f>
        <ns0:v>73916.06018921421</ns0:v>
      </ns0:c>
      <ns0:c r="I111" s="16">
        <ns0:f>A111*('前提と出典'!$C$36*'契約別単価'!I5+'前提と出典'!$C$37*'契約別単価'!I6+'前提と出典'!$C$38*'契約別単価'!I7)</ns0:f>
        <ns0:v>4514.921787709496</ns0:v>
      </ns0:c>
      <ns0:c r="J111" s="16">
        <ns0:f>A111*('前提と出典'!$C$36*'契約別単価'!J5+'前提と出典'!$C$37*'契約別単価'!J6+'前提と出典'!$C$38*'契約別単価'!J7)</ns0:f>
        <ns0:v>10516.981177002375</ns0:v>
      </ns0:c>
      <ns0:c r="K111" s="16">
        <ns0:f>A111*('前提と出典'!$C$36*'契約別単価'!K5+'前提と出典'!$C$37*'契約別単価'!K6+'前提と出典'!$C$38*'契約別単価'!K7)</ns0:f>
        <ns0:v>45079.47858472998</ns0:v>
      </ns0:c>
      <ns0:c r="L111" s="16">
        <ns0:f>A111*('前提と出典'!$C$36*'契約別単価'!L5+'前提と出典'!$C$37*'契約別単価'!L6+'前提と出典'!$C$38*'契約別単価'!L7)</ns0:f>
        <ns0:v>36703.868672973804</ns0:v>
      </ns0:c>
      <ns0:c r="M111" s="16">
        <ns0:f>IF(('前提と出典'!$C$36+'前提と出典'!$C$38)=0,0,IF(B111&lt;=10,'前提と出典'!B73+'前提と出典'!C73,IF(B111&lt;=100,'前提と出典'!B74+'前提と出典'!C74,IF(B111&lt;=500,'前提と出典'!B75+'前提と出典'!C75,'前提と出典'!B76+'前提と出典'!C76))))</ns0:f>
        <ns0:v>20000</ns0:v>
      </ns0:c>
      <ns0:c r="N111" s="16">
        <ns0:f>IF(('前提と出典'!$C$37+'前提と出典'!$C$38)=0,0,IF(C111&lt;=10,'前提と出典'!D73+'前提と出典'!E73,IF(C111&lt;=100,'前提と出典'!D74+'前提と出典'!E74,IF(C111&lt;=500,'前提と出典'!D75+'前提と出典'!E75,'前提と出典'!D76+'前提と出典'!E76))))</ns0:f>
        <ns0:v>34510.9346263078</ns0:v>
      </ns0:c>
      <ns0:c r="O111" s="16">
        <ns0:f>IF('前提と出典'!$C$36+'前提と出典'!$C$38=0,0,'前提と出典'!$B$4*IF('前提と出典'!$B$20=0,MAX('前提と出典'!$B$6,D111*'前提と出典'!$B$5),'前提と出典'!$B$6+D111*'前提と出典'!$B$5))</ns0:f>
        <ns0:v>106249.20670391062</ns0:v>
      </ns0:c>
      <ns0:c r="P111" s="16">
        <ns0:f>(E111+G111)*(1-'前提と出典'!$B$7)-I111-K111-M111-O111</ns0:f>
        <ns0:v>288773.73933300865</ns0:v>
      </ns0:c>
      <ns0:c r="Q111" s="16">
        <ns0:f>(F111+H111)*(1-'前提と出典'!$B$7)-J111-L111-N111</ns0:f>
        <ns0:v>64869.529652803656</ns0:v>
      </ns0:c>
      <ns0:c r="R111" s="16">
        <ns0:f>P111-E111*'前提と出典'!$E$4</ns0:f>
        <ns0:v>208078.41849697533</ns0:v>
      </ns0:c>
      <ns0:c r="S111" s="16">
        <ns0:f>Q111-F111*'前提と出典'!$E$4</ns0:f>
        <ns0:v>41421.532109229425</ns0:v>
      </ns0:c>
      <ns0:c r="T111" s="7">
        <ns0:f>R111+S111</ns0:f>
        <ns0:v>249499.95060620474</ns0:v>
      </ns0:c>
      <ns0:c r="U111" s="16">
        <ns0:f>P111-E111*'前提と出典'!$E$5</ns0:f>
        <ns0:v>181179.9782182976</ns0:v>
      </ns0:c>
      <ns0:c r="V111" s="16">
        <ns0:f>Q111-F111*'前提と出典'!$E$5</ns0:f>
        <ns0:v>33605.53292803805</ns0:v>
      </ns0:c>
      <ns0:c r="W111" s="7">
        <ns0:f>U111+V111</ns0:f>
        <ns0:v>214785.51114633563</ns0:v>
      </ns0:c>
      <ns0:c r="X111" s="16">
        <ns0:f>P111-E111*'前提と出典'!$E$6</ns0:f>
        <ns0:v>154281.53793961974</ns0:v>
      </ns0:c>
      <ns0:c r="Y111" s="16">
        <ns0:f>Q111-F111*'前提と出典'!$E$6</ns0:f>
        <ns0:v>25789.53374684663</ns0:v>
      </ns0:c>
      <ns0:c r="Z111" s="7">
        <ns0:f>X111+Y111</ns0:f>
        <ns0:v>180071.07168646637</ns0:v>
      </ns0:c>
      <ns0:c r="AA111" s="7">
        <ns0:f>IF(T111&gt;=0,A111,1001)</ns0:f>
        <ns0:v>107</ns0:v>
      </ns0:c>
      <ns0:c r="AB111" s="7">
        <ns0:f>IF(T111&lt;0,A111,0)</ns0:f>
        <ns0:v>0</ns0:v>
      </ns0:c>
      <ns0:c r="AC111" s="16">
        <ns0:f>IF(AND(OR('前提と出典'!$C$36+'前提と出典'!$C$38=0,R111&gt;=0),OR('前提と出典'!$C$37+'前提と出典'!$C$38=0,S111&gt;=0)),0,A111)</ns0:f>
        <ns0:v>0</ns0:v>
      </ns0:c>
      <ns0:c r="AD111" s="7">
        <ns0:f>IF(W111&gt;=0,A111,1001)</ns0:f>
        <ns0:v>107</ns0:v>
      </ns0:c>
      <ns0:c r="AE111" s="7">
        <ns0:f>IF(W111&lt;0,A111,0)</ns0:f>
        <ns0:v>0</ns0:v>
      </ns0:c>
      <ns0:c r="AF111" s="16">
        <ns0:f>IF(AND(OR('前提と出典'!$C$36+'前提と出典'!$C$38=0,U111&gt;=0),OR('前提と出典'!$C$37+'前提と出典'!$C$38=0,V111&gt;=0)),0,A111)</ns0:f>
        <ns0:v>0</ns0:v>
      </ns0:c>
      <ns0:c r="AG111" s="7">
        <ns0:f>IF(Z111&gt;=0,A111,1001)</ns0:f>
        <ns0:v>107</ns0:v>
      </ns0:c>
      <ns0:c r="AH111" s="4">
        <ns0:f>IF(Z111&lt;0,A111,0)</ns0:f>
        <ns0:v>0</ns0:v>
      </ns0:c>
      <ns0:c r="AI111" s="12">
        <ns0:f>IF(AND(OR('前提と出典'!$C$36+'前提と出典'!$C$38=0,X111&gt;=0),OR('前提と出典'!$C$37+'前提と出典'!$C$38=0,Y111&gt;=0)),0,A111)</ns0:f>
        <ns0:v>0</ns0:v>
      </ns0:c>
    </ns0:row>
    <ns0:row r="112" ht="24" customHeight="1">
      <ns0:c r="A112" s="4" t="n">
        <ns0:v>108</ns0:v>
      </ns0:c>
      <ns0:c r="B112" s="12">
        <ns0:f>A112*('前提と出典'!$C$36+'前提と出典'!$C$38)</ns0:f>
        <ns0:v>75.6</ns0:v>
      </ns0:c>
      <ns0:c r="C112" s="12">
        <ns0:f>A112*('前提と出典'!$C$37+'前提と出典'!$C$38)</ns0:f>
        <ns0:v>64.8</ns0:v>
      </ns0:c>
      <ns0:c r="D112" s="16">
        <ns0:f>A112*('前提と出典'!$C$36*'契約別単価'!C5+'前提と出典'!$C$37*'契約別単価'!C6+'前提と出典'!$C$38*'契約別単価'!C7)</ns0:f>
        <ns0:v>777.1173184357542</ns0:v>
      </ns0:c>
      <ns0:c r="E112" s="16">
        <ns0:f>A112*('前提と出典'!$C$36*'契約別単価'!E5+'前提と出典'!$C$37*'契約別単価'!E6+'前提と出典'!$C$38*'契約別単価'!E7)</ns0:f>
        <ns0:v>271498.27571001864</ns0:v>
      </ns0:c>
      <ns0:c r="F112" s="16">
        <ns0:f>A112*('前提と出典'!$C$36*'契約別単価'!F5+'前提と出典'!$C$37*'契約別単価'!F6+'前提と出典'!$C$38*'契約別単価'!F7)</ns0:f>
        <ns0:v>78890.45902510948</ns0:v>
      </ns0:c>
      <ns0:c r="G112" s="16">
        <ns0:f>A112*('前提と出典'!$C$36*'契約別単価'!G5+'前提と出典'!$C$37*'契約別単価'!G6+'前提と出典'!$C$38*'契約別単価'!G7)</ns0:f>
        <ns0:v>214974.30167597765</ns0:v>
      </ns0:c>
      <ns0:c r="H112" s="16">
        <ns0:f>A112*('前提と出典'!$C$36*'契約別単価'!H5+'前提と出典'!$C$37*'契約別単価'!H6+'前提と出典'!$C$38*'契約別単価'!H7)</ns0:f>
        <ns0:v>74606.86449004798</ns0:v>
      </ns0:c>
      <ns0:c r="I112" s="16">
        <ns0:f>A112*('前提と出典'!$C$36*'契約別単価'!I5+'前提と出典'!$C$37*'契約別単価'!I6+'前提と出典'!$C$38*'契約別単価'!I7)</ns0:f>
        <ns0:v>4557.117318435753</ns0:v>
      </ns0:c>
      <ns0:c r="J112" s="16">
        <ns0:f>A112*('前提と出典'!$C$36*'契約別単価'!J5+'前提と出典'!$C$37*'契約別単価'!J6+'前提と出典'!$C$38*'契約別単価'!J7)</ns0:f>
        <ns0:v>10615.270720712677</ns0:v>
      </ns0:c>
      <ns0:c r="K112" s="16">
        <ns0:f>A112*('前提と出典'!$C$36*'契約別単価'!K5+'前提と出典'!$C$37*'契約別単価'!K6+'前提と出典'!$C$38*'契約別単価'!K7)</ns0:f>
        <ns0:v>45500.782122905024</ns0:v>
      </ns0:c>
      <ns0:c r="L112" s="16">
        <ns0:f>A112*('前提と出典'!$C$36*'契約別単価'!L5+'前提と出典'!$C$37*'契約別単価'!L6+'前提と出典'!$C$38*'契約別単価'!L7)</ns0:f>
        <ns0:v>37046.8954830016</ns0:v>
      </ns0:c>
      <ns0:c r="M112" s="16">
        <ns0:f>IF(('前提と出典'!$C$36+'前提と出典'!$C$38)=0,0,IF(B112&lt;=10,'前提と出典'!B73+'前提と出典'!C73,IF(B112&lt;=100,'前提と出典'!B74+'前提と出典'!C74,IF(B112&lt;=500,'前提と出典'!B75+'前提と出典'!C75,'前提と出典'!B76+'前提と出典'!C76))))</ns0:f>
        <ns0:v>20000</ns0:v>
      </ns0:c>
      <ns0:c r="N112" s="16">
        <ns0:f>IF(('前提と出典'!$C$37+'前提と出典'!$C$38)=0,0,IF(C112&lt;=10,'前提と出典'!D73+'前提と出典'!E73,IF(C112&lt;=100,'前提と出典'!D74+'前提と出典'!E74,IF(C112&lt;=500,'前提と出典'!D75+'前提と出典'!E75,'前提と出典'!D76+'前提と出典'!E76))))</ns0:f>
        <ns0:v>34510.9346263078</ns0:v>
      </ns0:c>
      <ns0:c r="O112" s="16">
        <ns0:f>IF('前提と出典'!$C$36+'前提と出典'!$C$38=0,0,'前提と出典'!$B$4*IF('前提と出典'!$B$20=0,MAX('前提と出典'!$B$6,D112*'前提と出典'!$B$5),'前提と出典'!$B$6+D112*'前提と出典'!$B$5))</ns0:f>
        <ns0:v>107242.1899441341</ns0:v>
      </ns0:c>
      <ns0:c r="P112" s="16">
        <ns0:f>(E112+G112)*(1-'前提と出典'!$B$7)-I112-K112-M112-O112</ns0:f>
        <ns0:v>291659.4752146256</ns0:v>
      </ns0:c>
      <ns0:c r="Q112" s="16">
        <ns0:f>(F112+H112)*(1-'前提と出典'!$B$7)-J112-L112-N112</ns0:f>
        <ns0:v>65798.31903858969</ns0:v>
      </ns0:c>
      <ns0:c r="R112" s="16">
        <ns0:f>P112-E112*'前提と出典'!$E$4</ns0:f>
        <ns0:v>210209.99250162003</ns0:v>
      </ns0:c>
      <ns0:c r="S112" s="16">
        <ns0:f>Q112-F112*'前提と出典'!$E$4</ns0:f>
        <ns0:v>42131.18133105685</ns0:v>
      </ns0:c>
      <ns0:c r="T112" s="7">
        <ns0:f>R112+S112</ns0:f>
        <ns0:v>252341.17383267687</ns0:v>
      </ns0:c>
      <ns0:c r="U112" s="16">
        <ns0:f>P112-E112*'前提と出典'!$E$5</ns0:f>
        <ns0:v>183060.16493061814</ns0:v>
      </ns0:c>
      <ns0:c r="V112" s="16">
        <ns0:f>Q112-F112*'前提と出典'!$E$5</ns0:f>
        <ns0:v>34242.1354285459</ns0:v>
      </ns0:c>
      <ns0:c r="W112" s="7">
        <ns0:f>U112+V112</ns0:f>
        <ns0:v>217302.30035916404</ns0:v>
      </ns0:c>
      <ns0:c r="X112" s="16">
        <ns0:f>P112-E112*'前提と出典'!$E$6</ns0:f>
        <ns0:v>155910.33735961624</ns0:v>
      </ns0:c>
      <ns0:c r="Y112" s="16">
        <ns0:f>Q112-F112*'前提と出典'!$E$6</ns0:f>
        <ns0:v>26353.089526034957</ns0:v>
      </ns0:c>
      <ns0:c r="Z112" s="7">
        <ns0:f>X112+Y112</ns0:f>
        <ns0:v>182263.4268856512</ns0:v>
      </ns0:c>
      <ns0:c r="AA112" s="7">
        <ns0:f>IF(T112&gt;=0,A112,1001)</ns0:f>
        <ns0:v>108</ns0:v>
      </ns0:c>
      <ns0:c r="AB112" s="7">
        <ns0:f>IF(T112&lt;0,A112,0)</ns0:f>
        <ns0:v>0</ns0:v>
      </ns0:c>
      <ns0:c r="AC112" s="16">
        <ns0:f>IF(AND(OR('前提と出典'!$C$36+'前提と出典'!$C$38=0,R112&gt;=0),OR('前提と出典'!$C$37+'前提と出典'!$C$38=0,S112&gt;=0)),0,A112)</ns0:f>
        <ns0:v>0</ns0:v>
      </ns0:c>
      <ns0:c r="AD112" s="7">
        <ns0:f>IF(W112&gt;=0,A112,1001)</ns0:f>
        <ns0:v>108</ns0:v>
      </ns0:c>
      <ns0:c r="AE112" s="7">
        <ns0:f>IF(W112&lt;0,A112,0)</ns0:f>
        <ns0:v>0</ns0:v>
      </ns0:c>
      <ns0:c r="AF112" s="16">
        <ns0:f>IF(AND(OR('前提と出典'!$C$36+'前提と出典'!$C$38=0,U112&gt;=0),OR('前提と出典'!$C$37+'前提と出典'!$C$38=0,V112&gt;=0)),0,A112)</ns0:f>
        <ns0:v>0</ns0:v>
      </ns0:c>
      <ns0:c r="AG112" s="7">
        <ns0:f>IF(Z112&gt;=0,A112,1001)</ns0:f>
        <ns0:v>108</ns0:v>
      </ns0:c>
      <ns0:c r="AH112" s="4">
        <ns0:f>IF(Z112&lt;0,A112,0)</ns0:f>
        <ns0:v>0</ns0:v>
      </ns0:c>
      <ns0:c r="AI112" s="12">
        <ns0:f>IF(AND(OR('前提と出典'!$C$36+'前提と出典'!$C$38=0,X112&gt;=0),OR('前提と出典'!$C$37+'前提と出典'!$C$38=0,Y112&gt;=0)),0,A112)</ns0:f>
        <ns0:v>0</ns0:v>
      </ns0:c>
    </ns0:row>
    <ns0:row r="113" ht="24" customHeight="1">
      <ns0:c r="A113" s="4" t="n">
        <ns0:v>109</ns0:v>
      </ns0:c>
      <ns0:c r="B113" s="12">
        <ns0:f>A113*('前提と出典'!$C$36+'前提と出典'!$C$38)</ns0:f>
        <ns0:v>76.3</ns0:v>
      </ns0:c>
      <ns0:c r="C113" s="12">
        <ns0:f>A113*('前提と出典'!$C$37+'前提と出典'!$C$38)</ns0:f>
        <ns0:v>65.39999999999999</ns0:v>
      </ns0:c>
      <ns0:c r="D113" s="16">
        <ns0:f>A113*('前提と出典'!$C$36*'契約別単価'!C5+'前提と出典'!$C$37*'契約別単価'!C6+'前提と出典'!$C$38*'契約別単価'!C7)</ns0:f>
        <ns0:v>784.3128491620112</ns0:v>
      </ns0:c>
      <ns0:c r="E113" s="16">
        <ns0:f>A113*('前提と出典'!$C$36*'契約別単価'!E5+'前提と出典'!$C$37*'契約別単価'!E6+'前提と出典'!$C$38*'契約別単価'!E7)</ns0:f>
        <ns0:v>274012.1486332595</ns0:v>
      </ns0:c>
      <ns0:c r="F113" s="16">
        <ns0:f>A113*('前提と出典'!$C$36*'契約別単価'!F5+'前提と出典'!$C$37*'契約別単価'!F6+'前提と出典'!$C$38*'契約別単価'!F7)</ns0:f>
        <ns0:v>79620.92623830494</ns0:v>
      </ns0:c>
      <ns0:c r="G113" s="16">
        <ns0:f>A113*('前提と出典'!$C$36*'契約別単価'!G5+'前提と出典'!$C$37*'契約別単価'!G6+'前提と出典'!$C$38*'契約別単価'!G7)</ns0:f>
        <ns0:v>216964.80446927375</ns0:v>
      </ns0:c>
      <ns0:c r="H113" s="16">
        <ns0:f>A113*('前提と出典'!$C$36*'契約別単価'!H5+'前提と出典'!$C$37*'契約別単価'!H6+'前提と出典'!$C$38*'契約別単価'!H7)</ns0:f>
        <ns0:v>75297.66879088177</ns0:v>
      </ns0:c>
      <ns0:c r="I113" s="16">
        <ns0:f>A113*('前提と出典'!$C$36*'契約別単価'!I5+'前提と出典'!$C$37*'契約別単価'!I6+'前提と出典'!$C$38*'契約別単価'!I7)</ns0:f>
        <ns0:v>4599.31284916201</ns0:v>
      </ns0:c>
      <ns0:c r="J113" s="16">
        <ns0:f>A113*('前提と出典'!$C$36*'契約別単価'!J5+'前提と出典'!$C$37*'契約別単価'!J6+'前提と出典'!$C$38*'契約別単価'!J7)</ns0:f>
        <ns0:v>10713.56026442298</ns0:v>
      </ns0:c>
      <ns0:c r="K113" s="16">
        <ns0:f>A113*('前提と出典'!$C$36*'契約別単価'!K5+'前提と出典'!$C$37*'契約別単価'!K6+'前提と出典'!$C$38*'契約別単価'!K7)</ns0:f>
        <ns0:v>45922.08566108007</ns0:v>
      </ns0:c>
      <ns0:c r="L113" s="16">
        <ns0:f>A113*('前提と出典'!$C$36*'契約別単価'!L5+'前提と出典'!$C$37*'契約別単価'!L6+'前提と出典'!$C$38*'契約別単価'!L7)</ns0:f>
        <ns0:v>37389.92229302939</ns0:v>
      </ns0:c>
      <ns0:c r="M113" s="16">
        <ns0:f>IF(('前提と出典'!$C$36+'前提と出典'!$C$38)=0,0,IF(B113&lt;=10,'前提と出典'!B73+'前提と出典'!C73,IF(B113&lt;=100,'前提と出典'!B74+'前提と出典'!C74,IF(B113&lt;=500,'前提と出典'!B75+'前提と出典'!C75,'前提と出典'!B76+'前提と出典'!C76))))</ns0:f>
        <ns0:v>20000</ns0:v>
      </ns0:c>
      <ns0:c r="N113" s="16">
        <ns0:f>IF(('前提と出典'!$C$37+'前提と出典'!$C$38)=0,0,IF(C113&lt;=10,'前提と出典'!D73+'前提と出典'!E73,IF(C113&lt;=100,'前提と出典'!D74+'前提と出典'!E74,IF(C113&lt;=500,'前提と出典'!D75+'前提と出典'!E75,'前提と出典'!D76+'前提と出典'!E76))))</ns0:f>
        <ns0:v>34510.9346263078</ns0:v>
      </ns0:c>
      <ns0:c r="O113" s="16">
        <ns0:f>IF('前提と出典'!$C$36+'前提と出典'!$C$38=0,0,'前提と出典'!$B$4*IF('前提と出典'!$B$20=0,MAX('前提と出典'!$B$6,D113*'前提と出典'!$B$5),'前提と出典'!$B$6+D113*'前提と出典'!$B$5))</ns0:f>
        <ns0:v>108235.17318435754</ns0:v>
      </ns0:c>
      <ns0:c r="P113" s="16">
        <ns0:f>(E113+G113)*(1-'前提と出典'!$B$7)-I113-K113-M113-O113</ns0:f>
        <ns0:v>294545.2110962424</ns0:v>
      </ns0:c>
      <ns0:c r="Q113" s="16">
        <ns0:f>(F113+H113)*(1-'前提と出典'!$B$7)-J113-L113-N113</ns0:f>
        <ns0:v>66727.10842437581</ns0:v>
      </ns0:c>
      <ns0:c r="R113" s="16">
        <ns0:f>P113-E113*'前提と出典'!$E$4</ns0:f>
        <ns0:v>212341.56650626456</ns0:v>
      </ns0:c>
      <ns0:c r="S113" s="16">
        <ns0:f>Q113-F113*'前提と出典'!$E$4</ns0:f>
        <ns0:v>42840.83055288433</ns0:v>
      </ns0:c>
      <ns0:c r="T113" s="7">
        <ns0:f>R113+S113</ns0:f>
        <ns0:v>255182.39705914888</ns0:v>
      </ns0:c>
      <ns0:c r="U113" s="16">
        <ns0:f>P113-E113*'前提と出典'!$E$5</ns0:f>
        <ns0:v>184940.35164293862</ns0:v>
      </ns0:c>
      <ns0:c r="V113" s="16">
        <ns0:f>Q113-F113*'前提と出典'!$E$5</ns0:f>
        <ns0:v>34878.73792905383</ns0:v>
      </ns0:c>
      <ns0:c r="W113" s="7">
        <ns0:f>U113+V113</ns0:f>
        <ns0:v>219819.08957199246</ns0:v>
      </ns0:c>
      <ns0:c r="X113" s="16">
        <ns0:f>P113-E113*'前提と出典'!$E$6</ns0:f>
        <ns0:v>157539.13677961263</ns0:v>
      </ns0:c>
      <ns0:c r="Y113" s="16">
        <ns0:f>Q113-F113*'前提と出典'!$E$6</ns0:f>
        <ns0:v>26916.645305223334</ns0:v>
      </ns0:c>
      <ns0:c r="Z113" s="7">
        <ns0:f>X113+Y113</ns0:f>
        <ns0:v>184455.78208483596</ns0:v>
      </ns0:c>
      <ns0:c r="AA113" s="7">
        <ns0:f>IF(T113&gt;=0,A113,1001)</ns0:f>
        <ns0:v>109</ns0:v>
      </ns0:c>
      <ns0:c r="AB113" s="7">
        <ns0:f>IF(T113&lt;0,A113,0)</ns0:f>
        <ns0:v>0</ns0:v>
      </ns0:c>
      <ns0:c r="AC113" s="16">
        <ns0:f>IF(AND(OR('前提と出典'!$C$36+'前提と出典'!$C$38=0,R113&gt;=0),OR('前提と出典'!$C$37+'前提と出典'!$C$38=0,S113&gt;=0)),0,A113)</ns0:f>
        <ns0:v>0</ns0:v>
      </ns0:c>
      <ns0:c r="AD113" s="7">
        <ns0:f>IF(W113&gt;=0,A113,1001)</ns0:f>
        <ns0:v>109</ns0:v>
      </ns0:c>
      <ns0:c r="AE113" s="7">
        <ns0:f>IF(W113&lt;0,A113,0)</ns0:f>
        <ns0:v>0</ns0:v>
      </ns0:c>
      <ns0:c r="AF113" s="16">
        <ns0:f>IF(AND(OR('前提と出典'!$C$36+'前提と出典'!$C$38=0,U113&gt;=0),OR('前提と出典'!$C$37+'前提と出典'!$C$38=0,V113&gt;=0)),0,A113)</ns0:f>
        <ns0:v>0</ns0:v>
      </ns0:c>
      <ns0:c r="AG113" s="7">
        <ns0:f>IF(Z113&gt;=0,A113,1001)</ns0:f>
        <ns0:v>109</ns0:v>
      </ns0:c>
      <ns0:c r="AH113" s="4">
        <ns0:f>IF(Z113&lt;0,A113,0)</ns0:f>
        <ns0:v>0</ns0:v>
      </ns0:c>
      <ns0:c r="AI113" s="12">
        <ns0:f>IF(AND(OR('前提と出典'!$C$36+'前提と出典'!$C$38=0,X113&gt;=0),OR('前提と出典'!$C$37+'前提と出典'!$C$38=0,Y113&gt;=0)),0,A113)</ns0:f>
        <ns0:v>0</ns0:v>
      </ns0:c>
    </ns0:row>
    <ns0:row r="114" ht="24" customHeight="1">
      <ns0:c r="A114" s="4" t="n">
        <ns0:v>110</ns0:v>
      </ns0:c>
      <ns0:c r="B114" s="12">
        <ns0:f>A114*('前提と出典'!$C$36+'前提と出典'!$C$38)</ns0:f>
        <ns0:v>77</ns0:v>
      </ns0:c>
      <ns0:c r="C114" s="12">
        <ns0:f>A114*('前提と出典'!$C$37+'前提と出典'!$C$38)</ns0:f>
        <ns0:v>66</ns0:v>
      </ns0:c>
      <ns0:c r="D114" s="16">
        <ns0:f>A114*('前提と出典'!$C$36*'契約別単価'!C5+'前提と出典'!$C$37*'契約別単価'!C6+'前提と出典'!$C$38*'契約別単価'!C7)</ns0:f>
        <ns0:v>791.5083798882681</ns0:v>
      </ns0:c>
      <ns0:c r="E114" s="16">
        <ns0:f>A114*('前提と出典'!$C$36*'契約別単価'!E5+'前提と出典'!$C$37*'契約別単価'!E6+'前提と出典'!$C$38*'契約別単価'!E7)</ns0:f>
        <ns0:v>276526.02155650046</ns0:v>
      </ns0:c>
      <ns0:c r="F114" s="16">
        <ns0:f>A114*('前提と出典'!$C$36*'契約別単価'!F5+'前提と出典'!$C$37*'契約別単価'!F6+'前提と出典'!$C$38*'契約別単価'!F7)</ns0:f>
        <ns0:v>80351.3934515004</ns0:v>
      </ns0:c>
      <ns0:c r="G114" s="16">
        <ns0:f>A114*('前提と出典'!$C$36*'契約別単価'!G5+'前提と出典'!$C$37*'契約別単価'!G6+'前提と出典'!$C$38*'契約別単価'!G7)</ns0:f>
        <ns0:v>218955.3072625698</ns0:v>
      </ns0:c>
      <ns0:c r="H114" s="16">
        <ns0:f>A114*('前提と出典'!$C$36*'契約別単価'!H5+'前提と出典'!$C$37*'契約別単価'!H6+'前提と出典'!$C$38*'契約別単価'!H7)</ns0:f>
        <ns0:v>75988.47309171554</ns0:v>
      </ns0:c>
      <ns0:c r="I114" s="16">
        <ns0:f>A114*('前提と出典'!$C$36*'契約別単価'!I5+'前提と出典'!$C$37*'契約別単価'!I6+'前提と出典'!$C$38*'契約別単価'!I7)</ns0:f>
        <ns0:v>4641.508379888267</ns0:v>
      </ns0:c>
      <ns0:c r="J114" s="16">
        <ns0:f>A114*('前提と出典'!$C$36*'契約別単価'!J5+'前提と出典'!$C$37*'契約別単価'!J6+'前提と出典'!$C$38*'契約別単価'!J7)</ns0:f>
        <ns0:v>10811.849808133282</ns0:v>
      </ns0:c>
      <ns0:c r="K114" s="16">
        <ns0:f>A114*('前提と出典'!$C$36*'契約別単価'!K5+'前提と出典'!$C$37*'契約別単価'!K6+'前提と出典'!$C$38*'契約別単価'!K7)</ns0:f>
        <ns0:v>46343.389199255114</ns0:v>
      </ns0:c>
      <ns0:c r="L114" s="16">
        <ns0:f>A114*('前提と出典'!$C$36*'契約別単価'!L5+'前提と出典'!$C$37*'契約別単価'!L6+'前提と出典'!$C$38*'契約別単価'!L7)</ns0:f>
        <ns0:v>37732.94910305718</ns0:v>
      </ns0:c>
      <ns0:c r="M114" s="16">
        <ns0:f>IF(('前提と出典'!$C$36+'前提と出典'!$C$38)=0,0,IF(B114&lt;=10,'前提と出典'!B73+'前提と出典'!C73,IF(B114&lt;=100,'前提と出典'!B74+'前提と出典'!C74,IF(B114&lt;=500,'前提と出典'!B75+'前提と出典'!C75,'前提と出典'!B76+'前提と出典'!C76))))</ns0:f>
        <ns0:v>20000</ns0:v>
      </ns0:c>
      <ns0:c r="N114" s="16">
        <ns0:f>IF(('前提と出典'!$C$37+'前提と出典'!$C$38)=0,0,IF(C114&lt;=10,'前提と出典'!D73+'前提と出典'!E73,IF(C114&lt;=100,'前提と出典'!D74+'前提と出典'!E74,IF(C114&lt;=500,'前提と出典'!D75+'前提と出典'!E75,'前提と出典'!D76+'前提と出典'!E76))))</ns0:f>
        <ns0:v>34510.9346263078</ns0:v>
      </ns0:c>
      <ns0:c r="O114" s="16">
        <ns0:f>IF('前提と出典'!$C$36+'前提と出典'!$C$38=0,0,'前提と出典'!$B$4*IF('前提と出典'!$B$20=0,MAX('前提と出典'!$B$6,D114*'前提と出典'!$B$5),'前提と出典'!$B$6+D114*'前提と出典'!$B$5))</ns0:f>
        <ns0:v>109228.156424581</ns0:v>
      </ns0:c>
      <ns0:c r="P114" s="16">
        <ns0:f>(E114+G114)*(1-'前提と出典'!$B$7)-I114-K114-M114-O114</ns0:f>
        <ns0:v>297430.94697785936</ns0:v>
      </ns0:c>
      <ns0:c r="Q114" s="16">
        <ns0:f>(F114+H114)*(1-'前提と出典'!$B$7)-J114-L114-N114</ns0:f>
        <ns0:v>67655.8978101619</ns0:v>
      </ns0:c>
      <ns0:c r="R114" s="16">
        <ns0:f>P114-E114*'前提と出典'!$E$4</ns0:f>
        <ns0:v>214473.14051090926</ns0:v>
      </ns0:c>
      <ns0:c r="S114" s="16">
        <ns0:f>Q114-F114*'前提と出典'!$E$4</ns0:f>
        <ns0:v>43550.47977471178</ns0:v>
      </ns0:c>
      <ns0:c r="T114" s="7">
        <ns0:f>R114+S114</ns0:f>
        <ns0:v>258023.62028562103</ns0:v>
      </ns0:c>
      <ns0:c r="U114" s="16">
        <ns0:f>P114-E114*'前提と出典'!$E$5</ns0:f>
        <ns0:v>186820.53835525917</ns0:v>
      </ns0:c>
      <ns0:c r="V114" s="16">
        <ns0:f>Q114-F114*'前提と出典'!$E$5</ns0:f>
        <ns0:v>35515.340429561744</ns0:v>
      </ns0:c>
      <ns0:c r="W114" s="7">
        <ns0:f>U114+V114</ns0:f>
        <ns0:v>222335.8787848209</ns0:v>
      </ns0:c>
      <ns0:c r="X114" s="16">
        <ns0:f>P114-E114*'前提と出典'!$E$6</ns0:f>
        <ns0:v>159167.93619960913</ns0:v>
      </ns0:c>
      <ns0:c r="Y114" s="16">
        <ns0:f>Q114-F114*'前提と出典'!$E$6</ns0:f>
        <ns0:v>27480.20108441171</ns0:v>
      </ns0:c>
      <ns0:c r="Z114" s="7">
        <ns0:f>X114+Y114</ns0:f>
        <ns0:v>186648.13728402084</ns0:v>
      </ns0:c>
      <ns0:c r="AA114" s="7">
        <ns0:f>IF(T114&gt;=0,A114,1001)</ns0:f>
        <ns0:v>110</ns0:v>
      </ns0:c>
      <ns0:c r="AB114" s="7">
        <ns0:f>IF(T114&lt;0,A114,0)</ns0:f>
        <ns0:v>0</ns0:v>
      </ns0:c>
      <ns0:c r="AC114" s="16">
        <ns0:f>IF(AND(OR('前提と出典'!$C$36+'前提と出典'!$C$38=0,R114&gt;=0),OR('前提と出典'!$C$37+'前提と出典'!$C$38=0,S114&gt;=0)),0,A114)</ns0:f>
        <ns0:v>0</ns0:v>
      </ns0:c>
      <ns0:c r="AD114" s="7">
        <ns0:f>IF(W114&gt;=0,A114,1001)</ns0:f>
        <ns0:v>110</ns0:v>
      </ns0:c>
      <ns0:c r="AE114" s="7">
        <ns0:f>IF(W114&lt;0,A114,0)</ns0:f>
        <ns0:v>0</ns0:v>
      </ns0:c>
      <ns0:c r="AF114" s="16">
        <ns0:f>IF(AND(OR('前提と出典'!$C$36+'前提と出典'!$C$38=0,U114&gt;=0),OR('前提と出典'!$C$37+'前提と出典'!$C$38=0,V114&gt;=0)),0,A114)</ns0:f>
        <ns0:v>0</ns0:v>
      </ns0:c>
      <ns0:c r="AG114" s="7">
        <ns0:f>IF(Z114&gt;=0,A114,1001)</ns0:f>
        <ns0:v>110</ns0:v>
      </ns0:c>
      <ns0:c r="AH114" s="4">
        <ns0:f>IF(Z114&lt;0,A114,0)</ns0:f>
        <ns0:v>0</ns0:v>
      </ns0:c>
      <ns0:c r="AI114" s="12">
        <ns0:f>IF(AND(OR('前提と出典'!$C$36+'前提と出典'!$C$38=0,X114&gt;=0),OR('前提と出典'!$C$37+'前提と出典'!$C$38=0,Y114&gt;=0)),0,A114)</ns0:f>
        <ns0:v>0</ns0:v>
      </ns0:c>
    </ns0:row>
    <ns0:row r="115" ht="24" customHeight="1">
      <ns0:c r="A115" s="4" t="n">
        <ns0:v>111</ns0:v>
      </ns0:c>
      <ns0:c r="B115" s="12">
        <ns0:f>A115*('前提と出典'!$C$36+'前提と出典'!$C$38)</ns0:f>
        <ns0:v>77.69999999999999</ns0:v>
      </ns0:c>
      <ns0:c r="C115" s="12">
        <ns0:f>A115*('前提と出典'!$C$37+'前提と出典'!$C$38)</ns0:f>
        <ns0:v>66.6</ns0:v>
      </ns0:c>
      <ns0:c r="D115" s="16">
        <ns0:f>A115*('前提と出典'!$C$36*'契約別単価'!C5+'前提と出典'!$C$37*'契約別単価'!C6+'前提と出典'!$C$38*'契約別単価'!C7)</ns0:f>
        <ns0:v>798.7039106145252</ns0:v>
      </ns0:c>
      <ns0:c r="E115" s="16">
        <ns0:f>A115*('前提と出典'!$C$36*'契約別単価'!E5+'前提と出典'!$C$37*'契約別単価'!E6+'前提と出典'!$C$38*'契約別単価'!E7)</ns0:f>
        <ns0:v>279039.89447974134</ns0:v>
      </ns0:c>
      <ns0:c r="F115" s="16">
        <ns0:f>A115*('前提と出典'!$C$36*'契約別単価'!F5+'前提と出典'!$C$37*'契約別単価'!F6+'前提と出典'!$C$38*'契約別単価'!F7)</ns0:f>
        <ns0:v>81081.86066469585</ns0:v>
      </ns0:c>
      <ns0:c r="G115" s="16">
        <ns0:f>A115*('前提と出典'!$C$36*'契約別単価'!G5+'前提と出典'!$C$37*'契約別単価'!G6+'前提と出典'!$C$38*'契約別単価'!G7)</ns0:f>
        <ns0:v>220945.8100558659</ns0:v>
      </ns0:c>
      <ns0:c r="H115" s="16">
        <ns0:f>A115*('前提と出典'!$C$36*'契約別単価'!H5+'前提と出典'!$C$37*'契約別単価'!H6+'前提と出典'!$C$38*'契約別単価'!H7)</ns0:f>
        <ns0:v>76679.27739254932</ns0:v>
      </ns0:c>
      <ns0:c r="I115" s="16">
        <ns0:f>A115*('前提と出典'!$C$36*'契約別単価'!I5+'前提と出典'!$C$37*'契約別単価'!I6+'前提と出典'!$C$38*'契約別単価'!I7)</ns0:f>
        <ns0:v>4683.703910614524</ns0:v>
      </ns0:c>
      <ns0:c r="J115" s="16">
        <ns0:f>A115*('前提と出典'!$C$36*'契約別単価'!J5+'前提と出典'!$C$37*'契約別単価'!J6+'前提と出典'!$C$38*'契約別単価'!J7)</ns0:f>
        <ns0:v>10910.139351843585</ns0:v>
      </ns0:c>
      <ns0:c r="K115" s="16">
        <ns0:f>A115*('前提と出典'!$C$36*'契約別単価'!K5+'前提と出典'!$C$37*'契約別単価'!K6+'前提と出典'!$C$38*'契約別単価'!K7)</ns0:f>
        <ns0:v>46764.69273743017</ns0:v>
      </ns0:c>
      <ns0:c r="L115" s="16">
        <ns0:f>A115*('前提と出典'!$C$36*'契約別単価'!L5+'前提と出典'!$C$37*'契約別単価'!L6+'前提と出典'!$C$38*'契約別単価'!L7)</ns0:f>
        <ns0:v>38075.97591308498</ns0:v>
      </ns0:c>
      <ns0:c r="M115" s="16">
        <ns0:f>IF(('前提と出典'!$C$36+'前提と出典'!$C$38)=0,0,IF(B115&lt;=10,'前提と出典'!B73+'前提と出典'!C73,IF(B115&lt;=100,'前提と出典'!B74+'前提と出典'!C74,IF(B115&lt;=500,'前提と出典'!B75+'前提と出典'!C75,'前提と出典'!B76+'前提と出典'!C76))))</ns0:f>
        <ns0:v>20000</ns0:v>
      </ns0:c>
      <ns0:c r="N115" s="16">
        <ns0:f>IF(('前提と出典'!$C$37+'前提と出典'!$C$38)=0,0,IF(C115&lt;=10,'前提と出典'!D73+'前提と出典'!E73,IF(C115&lt;=100,'前提と出典'!D74+'前提と出典'!E74,IF(C115&lt;=500,'前提と出典'!D75+'前提と出典'!E75,'前提と出典'!D76+'前提と出典'!E76))))</ns0:f>
        <ns0:v>34510.9346263078</ns0:v>
      </ns0:c>
      <ns0:c r="O115" s="16">
        <ns0:f>IF('前提と出典'!$C$36+'前提と出典'!$C$38=0,0,'前提と出典'!$B$4*IF('前提と出典'!$B$20=0,MAX('前提と出典'!$B$6,D115*'前提と出典'!$B$5),'前提と出典'!$B$6+D115*'前提と出典'!$B$5))</ns0:f>
        <ns0:v>110221.13966480448</ns0:v>
      </ns0:c>
      <ns0:c r="P115" s="16">
        <ns0:f>(E115+G115)*(1-'前提と出典'!$B$7)-I115-K115-M115-O115</ns0:f>
        <ns0:v>300316.6828594762</ns0:v>
      </ns0:c>
      <ns0:c r="Q115" s="16">
        <ns0:f>(F115+H115)*(1-'前提と出典'!$B$7)-J115-L115-N115</ns0:f>
        <ns0:v>68584.68719594798</ns0:v>
      </ns0:c>
      <ns0:c r="R115" s="16">
        <ns0:f>P115-E115*'前提と出典'!$E$4</ns0:f>
        <ns0:v>216604.71451555382</ns0:v>
      </ns0:c>
      <ns0:c r="S115" s="16">
        <ns0:f>Q115-F115*'前提と出典'!$E$4</ns0:f>
        <ns0:v>44260.12899653923</ns0:v>
      </ns0:c>
      <ns0:c r="T115" s="7">
        <ns0:f>R115+S115</ns0:f>
        <ns0:v>260864.84351209304</ns0:v>
      </ns0:c>
      <ns0:c r="U115" s="16">
        <ns0:f>P115-E115*'前提と出典'!$E$5</ns0:f>
        <ns0:v>188700.72506757968</ns0:v>
      </ns0:c>
      <ns0:c r="V115" s="16">
        <ns0:f>Q115-F115*'前提と出典'!$E$5</ns0:f>
        <ns0:v>36151.94293006964</ns0:v>
      </ns0:c>
      <ns0:c r="W115" s="7">
        <ns0:f>U115+V115</ns0:f>
        <ns0:v>224852.66799764932</ns0:v>
      </ns0:c>
      <ns0:c r="X115" s="16">
        <ns0:f>P115-E115*'前提と出典'!$E$6</ns0:f>
        <ns0:v>160796.73561960555</ns0:v>
      </ns0:c>
      <ns0:c r="Y115" s="16">
        <ns0:f>Q115-F115*'前提と出典'!$E$6</ns0:f>
        <ns0:v>28043.756863600065</ns0:v>
      </ns0:c>
      <ns0:c r="Z115" s="7">
        <ns0:f>X115+Y115</ns0:f>
        <ns0:v>188840.49248320563</ns0:v>
      </ns0:c>
      <ns0:c r="AA115" s="7">
        <ns0:f>IF(T115&gt;=0,A115,1001)</ns0:f>
        <ns0:v>111</ns0:v>
      </ns0:c>
      <ns0:c r="AB115" s="7">
        <ns0:f>IF(T115&lt;0,A115,0)</ns0:f>
        <ns0:v>0</ns0:v>
      </ns0:c>
      <ns0:c r="AC115" s="16">
        <ns0:f>IF(AND(OR('前提と出典'!$C$36+'前提と出典'!$C$38=0,R115&gt;=0),OR('前提と出典'!$C$37+'前提と出典'!$C$38=0,S115&gt;=0)),0,A115)</ns0:f>
        <ns0:v>0</ns0:v>
      </ns0:c>
      <ns0:c r="AD115" s="7">
        <ns0:f>IF(W115&gt;=0,A115,1001)</ns0:f>
        <ns0:v>111</ns0:v>
      </ns0:c>
      <ns0:c r="AE115" s="7">
        <ns0:f>IF(W115&lt;0,A115,0)</ns0:f>
        <ns0:v>0</ns0:v>
      </ns0:c>
      <ns0:c r="AF115" s="16">
        <ns0:f>IF(AND(OR('前提と出典'!$C$36+'前提と出典'!$C$38=0,U115&gt;=0),OR('前提と出典'!$C$37+'前提と出典'!$C$38=0,V115&gt;=0)),0,A115)</ns0:f>
        <ns0:v>0</ns0:v>
      </ns0:c>
      <ns0:c r="AG115" s="7">
        <ns0:f>IF(Z115&gt;=0,A115,1001)</ns0:f>
        <ns0:v>111</ns0:v>
      </ns0:c>
      <ns0:c r="AH115" s="4">
        <ns0:f>IF(Z115&lt;0,A115,0)</ns0:f>
        <ns0:v>0</ns0:v>
      </ns0:c>
      <ns0:c r="AI115" s="12">
        <ns0:f>IF(AND(OR('前提と出典'!$C$36+'前提と出典'!$C$38=0,X115&gt;=0),OR('前提と出典'!$C$37+'前提と出典'!$C$38=0,Y115&gt;=0)),0,A115)</ns0:f>
        <ns0:v>0</ns0:v>
      </ns0:c>
    </ns0:row>
    <ns0:row r="116" ht="24" customHeight="1">
      <ns0:c r="A116" s="4" t="n">
        <ns0:v>112</ns0:v>
      </ns0:c>
      <ns0:c r="B116" s="12">
        <ns0:f>A116*('前提と出典'!$C$36+'前提と出典'!$C$38)</ns0:f>
        <ns0:v>78.39999999999999</ns0:v>
      </ns0:c>
      <ns0:c r="C116" s="12">
        <ns0:f>A116*('前提と出典'!$C$37+'前提と出典'!$C$38)</ns0:f>
        <ns0:v>67.2</ns0:v>
      </ns0:c>
      <ns0:c r="D116" s="16">
        <ns0:f>A116*('前提と出典'!$C$36*'契約別単価'!C5+'前提と出典'!$C$37*'契約別単価'!C6+'前提と出典'!$C$38*'契約別単価'!C7)</ns0:f>
        <ns0:v>805.8994413407821</ns0:v>
      </ns0:c>
      <ns0:c r="E116" s="16">
        <ns0:f>A116*('前提と出典'!$C$36*'契約別単価'!E5+'前提と出典'!$C$37*'契約別単価'!E6+'前提と出典'!$C$38*'契約別単価'!E7)</ns0:f>
        <ns0:v>281553.7674029823</ns0:v>
      </ns0:c>
      <ns0:c r="F116" s="16">
        <ns0:f>A116*('前提と出典'!$C$36*'契約別単価'!F5+'前提と出典'!$C$37*'契約別単価'!F6+'前提と出典'!$C$38*'契約別単価'!F7)</ns0:f>
        <ns0:v>81812.32787789131</ns0:v>
      </ns0:c>
      <ns0:c r="G116" s="16">
        <ns0:f>A116*('前提と出典'!$C$36*'契約別単価'!G5+'前提と出典'!$C$37*'契約別単価'!G6+'前提と出典'!$C$38*'契約別単価'!G7)</ns0:f>
        <ns0:v>222936.312849162</ns0:v>
      </ns0:c>
      <ns0:c r="H116" s="16">
        <ns0:f>A116*('前提と出典'!$C$36*'契約別単価'!H5+'前提と出典'!$C$37*'契約別単価'!H6+'前提と出典'!$C$38*'契約別単価'!H7)</ns0:f>
        <ns0:v>77370.08169338311</ns0:v>
      </ns0:c>
      <ns0:c r="I116" s="16">
        <ns0:f>A116*('前提と出典'!$C$36*'契約別単価'!I5+'前提と出典'!$C$37*'契約別単価'!I6+'前提と出典'!$C$38*'契約別単価'!I7)</ns0:f>
        <ns0:v>4725.899441340782</ns0:v>
      </ns0:c>
      <ns0:c r="J116" s="16">
        <ns0:f>A116*('前提と出典'!$C$36*'契約別単価'!J5+'前提と出典'!$C$37*'契約別単価'!J6+'前提と出典'!$C$38*'契約別単価'!J7)</ns0:f>
        <ns0:v>11008.428895553887</ns0:v>
      </ns0:c>
      <ns0:c r="K116" s="16">
        <ns0:f>A116*('前提と出典'!$C$36*'契約別単価'!K5+'前提と出典'!$C$37*'契約別単価'!K6+'前提と出典'!$C$38*'契約別単価'!K7)</ns0:f>
        <ns0:v>47185.99627560521</ns0:v>
      </ns0:c>
      <ns0:c r="L116" s="16">
        <ns0:f>A116*('前提と出典'!$C$36*'契約別単価'!L5+'前提と出典'!$C$37*'契約別単価'!L6+'前提と出典'!$C$38*'契約別単価'!L7)</ns0:f>
        <ns0:v>38419.00272311277</ns0:v>
      </ns0:c>
      <ns0:c r="M116" s="16">
        <ns0:f>IF(('前提と出典'!$C$36+'前提と出典'!$C$38)=0,0,IF(B116&lt;=10,'前提と出典'!B73+'前提と出典'!C73,IF(B116&lt;=100,'前提と出典'!B74+'前提と出典'!C74,IF(B116&lt;=500,'前提と出典'!B75+'前提と出典'!C75,'前提と出典'!B76+'前提と出典'!C76))))</ns0:f>
        <ns0:v>20000</ns0:v>
      </ns0:c>
      <ns0:c r="N116" s="16">
        <ns0:f>IF(('前提と出典'!$C$37+'前提と出典'!$C$38)=0,0,IF(C116&lt;=10,'前提と出典'!D73+'前提と出典'!E73,IF(C116&lt;=100,'前提と出典'!D74+'前提と出典'!E74,IF(C116&lt;=500,'前提と出典'!D75+'前提と出典'!E75,'前提と出典'!D76+'前提と出典'!E76))))</ns0:f>
        <ns0:v>34510.9346263078</ns0:v>
      </ns0:c>
      <ns0:c r="O116" s="16">
        <ns0:f>IF('前提と出典'!$C$36+'前提と出典'!$C$38=0,0,'前提と出典'!$B$4*IF('前提と出典'!$B$20=0,MAX('前提と出典'!$B$6,D116*'前提と出典'!$B$5),'前提と出典'!$B$6+D116*'前提と出典'!$B$5))</ns0:f>
        <ns0:v>111214.12290502794</ns0:v>
      </ns0:c>
      <ns0:c r="P116" s="16">
        <ns0:f>(E116+G116)*(1-'前提と出典'!$B$7)-I116-K116-M116-O116</ns0:f>
        <ns0:v>303202.41874109313</ns0:v>
      </ns0:c>
      <ns0:c r="Q116" s="16">
        <ns0:f>(F116+H116)*(1-'前提と出典'!$B$7)-J116-L116-N116</ns0:f>
        <ns0:v>69513.4765817341</ns0:v>
      </ns0:c>
      <ns0:c r="R116" s="16">
        <ns0:f>P116-E116*'前提と出典'!$E$4</ns0:f>
        <ns0:v>218736.28852019843</ns0:v>
      </ns0:c>
      <ns0:c r="S116" s="16">
        <ns0:f>Q116-F116*'前提と出典'!$E$4</ns0:f>
        <ns0:v>44969.77821836671</ns0:v>
      </ns0:c>
      <ns0:c r="T116" s="7">
        <ns0:f>R116+S116</ns0:f>
        <ns0:v>263706.06673856516</ns0:v>
      </ns0:c>
      <ns0:c r="U116" s="16">
        <ns0:f>P116-E116*'前提と出典'!$E$5</ns0:f>
        <ns0:v>190580.9117799002</ns0:v>
      </ns0:c>
      <ns0:c r="V116" s="16">
        <ns0:f>Q116-F116*'前提と出典'!$E$5</ns0:f>
        <ns0:v>36788.54543057757</ns0:v>
      </ns0:c>
      <ns0:c r="W116" s="7">
        <ns0:f>U116+V116</ns0:f>
        <ns0:v>227369.45721047776</ns0:v>
      </ns0:c>
      <ns0:c r="X116" s="16">
        <ns0:f>P116-E116*'前提と出典'!$E$6</ns0:f>
        <ns0:v>162425.53503960196</ns0:v>
      </ns0:c>
      <ns0:c r="Y116" s="16">
        <ns0:f>Q116-F116*'前提と出典'!$E$6</ns0:f>
        <ns0:v>28607.312642788427</ns0:v>
      </ns0:c>
      <ns0:c r="Z116" s="7">
        <ns0:f>X116+Y116</ns0:f>
        <ns0:v>191032.8476823904</ns0:v>
      </ns0:c>
      <ns0:c r="AA116" s="7">
        <ns0:f>IF(T116&gt;=0,A116,1001)</ns0:f>
        <ns0:v>112</ns0:v>
      </ns0:c>
      <ns0:c r="AB116" s="7">
        <ns0:f>IF(T116&lt;0,A116,0)</ns0:f>
        <ns0:v>0</ns0:v>
      </ns0:c>
      <ns0:c r="AC116" s="16">
        <ns0:f>IF(AND(OR('前提と出典'!$C$36+'前提と出典'!$C$38=0,R116&gt;=0),OR('前提と出典'!$C$37+'前提と出典'!$C$38=0,S116&gt;=0)),0,A116)</ns0:f>
        <ns0:v>0</ns0:v>
      </ns0:c>
      <ns0:c r="AD116" s="7">
        <ns0:f>IF(W116&gt;=0,A116,1001)</ns0:f>
        <ns0:v>112</ns0:v>
      </ns0:c>
      <ns0:c r="AE116" s="7">
        <ns0:f>IF(W116&lt;0,A116,0)</ns0:f>
        <ns0:v>0</ns0:v>
      </ns0:c>
      <ns0:c r="AF116" s="16">
        <ns0:f>IF(AND(OR('前提と出典'!$C$36+'前提と出典'!$C$38=0,U116&gt;=0),OR('前提と出典'!$C$37+'前提と出典'!$C$38=0,V116&gt;=0)),0,A116)</ns0:f>
        <ns0:v>0</ns0:v>
      </ns0:c>
      <ns0:c r="AG116" s="7">
        <ns0:f>IF(Z116&gt;=0,A116,1001)</ns0:f>
        <ns0:v>112</ns0:v>
      </ns0:c>
      <ns0:c r="AH116" s="4">
        <ns0:f>IF(Z116&lt;0,A116,0)</ns0:f>
        <ns0:v>0</ns0:v>
      </ns0:c>
      <ns0:c r="AI116" s="12">
        <ns0:f>IF(AND(OR('前提と出典'!$C$36+'前提と出典'!$C$38=0,X116&gt;=0),OR('前提と出典'!$C$37+'前提と出典'!$C$38=0,Y116&gt;=0)),0,A116)</ns0:f>
        <ns0:v>0</ns0:v>
      </ns0:c>
    </ns0:row>
    <ns0:row r="117" ht="24" customHeight="1">
      <ns0:c r="A117" s="4" t="n">
        <ns0:v>113</ns0:v>
      </ns0:c>
      <ns0:c r="B117" s="12">
        <ns0:f>A117*('前提と出典'!$C$36+'前提と出典'!$C$38)</ns0:f>
        <ns0:v>79.1</ns0:v>
      </ns0:c>
      <ns0:c r="C117" s="12">
        <ns0:f>A117*('前提と出典'!$C$37+'前提と出典'!$C$38)</ns0:f>
        <ns0:v>67.8</ns0:v>
      </ns0:c>
      <ns0:c r="D117" s="16">
        <ns0:f>A117*('前提と出典'!$C$36*'契約別単価'!C5+'前提と出典'!$C$37*'契約別単価'!C6+'前提と出典'!$C$38*'契約別単価'!C7)</ns0:f>
        <ns0:v>813.0949720670391</ns0:v>
      </ns0:c>
      <ns0:c r="E117" s="16">
        <ns0:f>A117*('前提と出典'!$C$36*'契約別単価'!E5+'前提と出典'!$C$37*'契約別単価'!E6+'前提と出典'!$C$38*'契約別単価'!E7)</ns0:f>
        <ns0:v>284067.6403262232</ns0:v>
      </ns0:c>
      <ns0:c r="F117" s="16">
        <ns0:f>A117*('前提と出典'!$C$36*'契約別単価'!F5+'前提と出典'!$C$37*'契約別単価'!F6+'前提と出典'!$C$38*'契約別単価'!F7)</ns0:f>
        <ns0:v>82542.79509108677</ns0:v>
      </ns0:c>
      <ns0:c r="G117" s="16">
        <ns0:f>A117*('前提と出典'!$C$36*'契約別単価'!G5+'前提と出典'!$C$37*'契約別単価'!G6+'前提と出典'!$C$38*'契約別単価'!G7)</ns0:f>
        <ns0:v>224926.8156424581</ns0:v>
      </ns0:c>
      <ns0:c r="H117" s="16">
        <ns0:f>A117*('前提と出典'!$C$36*'契約別単価'!H5+'前提と出典'!$C$37*'契約別単価'!H6+'前提と出典'!$C$38*'契約別単価'!H7)</ns0:f>
        <ns0:v>78060.88599421688</ns0:v>
      </ns0:c>
      <ns0:c r="I117" s="16">
        <ns0:f>A117*('前提と出典'!$C$36*'契約別単価'!I5+'前提と出典'!$C$37*'契約別単価'!I6+'前提と出典'!$C$38*'契約別単価'!I7)</ns0:f>
        <ns0:v>4768.094972067039</ns0:v>
      </ns0:c>
      <ns0:c r="J117" s="16">
        <ns0:f>A117*('前提と出典'!$C$36*'契約別単価'!J5+'前提と出典'!$C$37*'契約別単価'!J6+'前提と出典'!$C$38*'契約別単価'!J7)</ns0:f>
        <ns0:v>11106.71843926419</ns0:v>
      </ns0:c>
      <ns0:c r="K117" s="16">
        <ns0:f>A117*('前提と出典'!$C$36*'契約別単価'!K5+'前提と出典'!$C$37*'契約別単価'!K6+'前提と出典'!$C$38*'契約別単価'!K7)</ns0:f>
        <ns0:v>47607.29981378026</ns0:v>
      </ns0:c>
      <ns0:c r="L117" s="16">
        <ns0:f>A117*('前提と出典'!$C$36*'契約別単価'!L5+'前提と出典'!$C$37*'契約別単価'!L6+'前提と出典'!$C$38*'契約別単価'!L7)</ns0:f>
        <ns0:v>38762.02953314056</ns0:v>
      </ns0:c>
      <ns0:c r="M117" s="16">
        <ns0:f>IF(('前提と出典'!$C$36+'前提と出典'!$C$38)=0,0,IF(B117&lt;=10,'前提と出典'!B73+'前提と出典'!C73,IF(B117&lt;=100,'前提と出典'!B74+'前提と出典'!C74,IF(B117&lt;=500,'前提と出典'!B75+'前提と出典'!C75,'前提と出典'!B76+'前提と出典'!C76))))</ns0:f>
        <ns0:v>20000</ns0:v>
      </ns0:c>
      <ns0:c r="N117" s="16">
        <ns0:f>IF(('前提と出典'!$C$37+'前提と出典'!$C$38)=0,0,IF(C117&lt;=10,'前提と出典'!D73+'前提と出典'!E73,IF(C117&lt;=100,'前提と出典'!D74+'前提と出典'!E74,IF(C117&lt;=500,'前提と出典'!D75+'前提と出典'!E75,'前提と出典'!D76+'前提と出典'!E76))))</ns0:f>
        <ns0:v>34510.9346263078</ns0:v>
      </ns0:c>
      <ns0:c r="O117" s="16">
        <ns0:f>IF('前提と出典'!$C$36+'前提と出典'!$C$38=0,0,'前提と出典'!$B$4*IF('前提と出典'!$B$20=0,MAX('前提と出典'!$B$6,D117*'前提と出典'!$B$5),'前提と出典'!$B$6+D117*'前提と出典'!$B$5))</ns0:f>
        <ns0:v>112207.1061452514</ns0:v>
      </ns0:c>
      <ns0:c r="P117" s="16">
        <ns0:f>(E117+G117)*(1-'前提と出典'!$B$7)-I117-K117-M117-O117</ns0:f>
        <ns0:v>306088.15462271014</ns0:v>
      </ns0:c>
      <ns0:c r="Q117" s="16">
        <ns0:f>(F117+H117)*(1-'前提と出典'!$B$7)-J117-L117-N117</ns0:f>
        <ns0:v>70442.26596752019</ns0:v>
      </ns0:c>
      <ns0:c r="R117" s="16">
        <ns0:f>P117-E117*'前提と出典'!$E$4</ns0:f>
        <ns0:v>220867.86252484316</ns0:v>
      </ns0:c>
      <ns0:c r="S117" s="16">
        <ns0:f>Q117-F117*'前提と出典'!$E$4</ns0:f>
        <ns0:v>45679.42744019413</ns0:v>
      </ns0:c>
      <ns0:c r="T117" s="7">
        <ns0:f>R117+S117</ns0:f>
        <ns0:v>266547.2899650373</ns0:v>
      </ns0:c>
      <ns0:c r="U117" s="16">
        <ns0:f>P117-E117*'前提と出典'!$E$5</ns0:f>
        <ns0:v>192461.09849222083</ns0:v>
      </ns0:c>
      <ns0:c r="V117" s="16">
        <ns0:f>Q117-F117*'前提と出典'!$E$5</ns0:f>
        <ns0:v>37425.14793108547</ns0:v>
      </ns0:c>
      <ns0:c r="W117" s="7">
        <ns0:f>U117+V117</ns0:f>
        <ns0:v>229886.2464233063</ns0:v>
      </ns0:c>
      <ns0:c r="X117" s="16">
        <ns0:f>P117-E117*'前提と出典'!$E$6</ns0:f>
        <ns0:v>164054.3344595985</ns0:v>
      </ns0:c>
      <ns0:c r="Y117" s="16">
        <ns0:f>Q117-F117*'前提と出典'!$E$6</ns0:f>
        <ns0:v>29170.86842197679</ns0:v>
      </ns0:c>
      <ns0:c r="Z117" s="7">
        <ns0:f>X117+Y117</ns0:f>
        <ns0:v>193225.20288157527</ns0:v>
      </ns0:c>
      <ns0:c r="AA117" s="7">
        <ns0:f>IF(T117&gt;=0,A117,1001)</ns0:f>
        <ns0:v>113</ns0:v>
      </ns0:c>
      <ns0:c r="AB117" s="7">
        <ns0:f>IF(T117&lt;0,A117,0)</ns0:f>
        <ns0:v>0</ns0:v>
      </ns0:c>
      <ns0:c r="AC117" s="16">
        <ns0:f>IF(AND(OR('前提と出典'!$C$36+'前提と出典'!$C$38=0,R117&gt;=0),OR('前提と出典'!$C$37+'前提と出典'!$C$38=0,S117&gt;=0)),0,A117)</ns0:f>
        <ns0:v>0</ns0:v>
      </ns0:c>
      <ns0:c r="AD117" s="7">
        <ns0:f>IF(W117&gt;=0,A117,1001)</ns0:f>
        <ns0:v>113</ns0:v>
      </ns0:c>
      <ns0:c r="AE117" s="7">
        <ns0:f>IF(W117&lt;0,A117,0)</ns0:f>
        <ns0:v>0</ns0:v>
      </ns0:c>
      <ns0:c r="AF117" s="16">
        <ns0:f>IF(AND(OR('前提と出典'!$C$36+'前提と出典'!$C$38=0,U117&gt;=0),OR('前提と出典'!$C$37+'前提と出典'!$C$38=0,V117&gt;=0)),0,A117)</ns0:f>
        <ns0:v>0</ns0:v>
      </ns0:c>
      <ns0:c r="AG117" s="7">
        <ns0:f>IF(Z117&gt;=0,A117,1001)</ns0:f>
        <ns0:v>113</ns0:v>
      </ns0:c>
      <ns0:c r="AH117" s="4">
        <ns0:f>IF(Z117&lt;0,A117,0)</ns0:f>
        <ns0:v>0</ns0:v>
      </ns0:c>
      <ns0:c r="AI117" s="12">
        <ns0:f>IF(AND(OR('前提と出典'!$C$36+'前提と出典'!$C$38=0,X117&gt;=0),OR('前提と出典'!$C$37+'前提と出典'!$C$38=0,Y117&gt;=0)),0,A117)</ns0:f>
        <ns0:v>0</ns0:v>
      </ns0:c>
    </ns0:row>
    <ns0:row r="118" ht="24" customHeight="1">
      <ns0:c r="A118" s="4" t="n">
        <ns0:v>114</ns0:v>
      </ns0:c>
      <ns0:c r="B118" s="12">
        <ns0:f>A118*('前提と出典'!$C$36+'前提と出典'!$C$38)</ns0:f>
        <ns0:v>79.8</ns0:v>
      </ns0:c>
      <ns0:c r="C118" s="12">
        <ns0:f>A118*('前提と出典'!$C$37+'前提と出典'!$C$38)</ns0:f>
        <ns0:v>68.39999999999999</ns0:v>
      </ns0:c>
      <ns0:c r="D118" s="16">
        <ns0:f>A118*('前提と出典'!$C$36*'契約別単価'!C5+'前提と出典'!$C$37*'契約別単価'!C6+'前提と出典'!$C$38*'契約別単価'!C7)</ns0:f>
        <ns0:v>820.2905027932961</ns0:v>
      </ns0:c>
      <ns0:c r="E118" s="16">
        <ns0:f>A118*('前提と出典'!$C$36*'契約別単価'!E5+'前提と出典'!$C$37*'契約別単価'!E6+'前提と出典'!$C$38*'契約別単価'!E7)</ns0:f>
        <ns0:v>286581.5132494641</ns0:v>
      </ns0:c>
      <ns0:c r="F118" s="16">
        <ns0:f>A118*('前提と出典'!$C$36*'契約別単価'!F5+'前提と出典'!$C$37*'契約別単価'!F6+'前提と出典'!$C$38*'契約別単価'!F7)</ns0:f>
        <ns0:v>83273.26230428222</ns0:v>
      </ns0:c>
      <ns0:c r="G118" s="16">
        <ns0:f>A118*('前提と出典'!$C$36*'契約別単価'!G5+'前提と出典'!$C$37*'契約別単価'!G6+'前提と出典'!$C$38*'契約別単価'!G7)</ns0:f>
        <ns0:v>226917.3184357542</ns0:v>
      </ns0:c>
      <ns0:c r="H118" s="16">
        <ns0:f>A118*('前提と出典'!$C$36*'契約別単価'!H5+'前提と出典'!$C$37*'契約別単価'!H6+'前提と出典'!$C$38*'契約別単価'!H7)</ns0:f>
        <ns0:v>78751.69029505066</ns0:v>
      </ns0:c>
      <ns0:c r="I118" s="16">
        <ns0:f>A118*('前提と出典'!$C$36*'契約別単価'!I5+'前提と出典'!$C$37*'契約別単価'!I6+'前提と出典'!$C$38*'契約別単価'!I7)</ns0:f>
        <ns0:v>4810.290502793296</ns0:v>
      </ns0:c>
      <ns0:c r="J118" s="16">
        <ns0:f>A118*('前提と出典'!$C$36*'契約別単価'!J5+'前提と出典'!$C$37*'契約別単価'!J6+'前提と出典'!$C$38*'契約別単価'!J7)</ns0:f>
        <ns0:v>11205.007982974492</ns0:v>
      </ns0:c>
      <ns0:c r="K118" s="16">
        <ns0:f>A118*('前提と出典'!$C$36*'契約別単価'!K5+'前提と出典'!$C$37*'契約別単価'!K6+'前提と出典'!$C$38*'契約別単価'!K7)</ns0:f>
        <ns0:v>48028.6033519553</ns0:v>
      </ns0:c>
      <ns0:c r="L118" s="16">
        <ns0:f>A118*('前提と出典'!$C$36*'契約別単価'!L5+'前提と出典'!$C$37*'契約別単価'!L6+'前提と出典'!$C$38*'契約別単価'!L7)</ns0:f>
        <ns0:v>39105.056343168355</ns0:v>
      </ns0:c>
      <ns0:c r="M118" s="16">
        <ns0:f>IF(('前提と出典'!$C$36+'前提と出典'!$C$38)=0,0,IF(B118&lt;=10,'前提と出典'!B73+'前提と出典'!C73,IF(B118&lt;=100,'前提と出典'!B74+'前提と出典'!C74,IF(B118&lt;=500,'前提と出典'!B75+'前提と出典'!C75,'前提と出典'!B76+'前提と出典'!C76))))</ns0:f>
        <ns0:v>20000</ns0:v>
      </ns0:c>
      <ns0:c r="N118" s="16">
        <ns0:f>IF(('前提と出典'!$C$37+'前提と出典'!$C$38)=0,0,IF(C118&lt;=10,'前提と出典'!D73+'前提と出典'!E73,IF(C118&lt;=100,'前提と出典'!D74+'前提と出典'!E74,IF(C118&lt;=500,'前提と出典'!D75+'前提と出典'!E75,'前提と出典'!D76+'前提と出典'!E76))))</ns0:f>
        <ns0:v>34510.9346263078</ns0:v>
      </ns0:c>
      <ns0:c r="O118" s="16">
        <ns0:f>IF('前提と出典'!$C$36+'前提と出典'!$C$38=0,0,'前提と出典'!$B$4*IF('前提と出典'!$B$20=0,MAX('前提と出典'!$B$6,D118*'前提と出典'!$B$5),'前提と出典'!$B$6+D118*'前提と出典'!$B$5))</ns0:f>
        <ns0:v>113200.08938547487</ns0:v>
      </ns0:c>
      <ns0:c r="P118" s="16">
        <ns0:f>(E118+G118)*(1-'前提と出典'!$B$7)-I118-K118-M118-O118</ns0:f>
        <ns0:v>308973.890504327</ns0:v>
      </ns0:c>
      <ns0:c r="Q118" s="16">
        <ns0:f>(F118+H118)*(1-'前提と出典'!$B$7)-J118-L118-N118</ns0:f>
        <ns0:v>71371.05535330626</ns0:v>
      </ns0:c>
      <ns0:c r="R118" s="16">
        <ns0:f>P118-E118*'前提と出典'!$E$4</ns0:f>
        <ns0:v>222999.43652948772</ns0:v>
      </ns0:c>
      <ns0:c r="S118" s="16">
        <ns0:f>Q118-F118*'前提と出典'!$E$4</ns0:f>
        <ns0:v>46389.07666202162</ns0:v>
      </ns0:c>
      <ns0:c r="T118" s="7">
        <ns0:f>R118+S118</ns0:f>
        <ns0:v>269388.51319150935</ns0:v>
      </ns0:c>
      <ns0:c r="U118" s="16">
        <ns0:f>P118-E118*'前提と出典'!$E$5</ns0:f>
        <ns0:v>194341.28520454135</ns0:v>
      </ns0:c>
      <ns0:c r="V118" s="16">
        <ns0:f>Q118-F118*'前提と出典'!$E$5</ns0:f>
        <ns0:v>38061.75043159337</ns0:v>
      </ns0:c>
      <ns0:c r="W118" s="7">
        <ns0:f>U118+V118</ns0:f>
        <ns0:v>232403.0356361347</ns0:v>
      </ns0:c>
      <ns0:c r="X118" s="16">
        <ns0:f>P118-E118*'前提と出典'!$E$6</ns0:f>
        <ns0:v>165683.1338795949</ns0:v>
      </ns0:c>
      <ns0:c r="Y118" s="16">
        <ns0:f>Q118-F118*'前提と出典'!$E$6</ns0:f>
        <ns0:v>29734.42420116516</ns0:v>
      </ns0:c>
      <ns0:c r="Z118" s="7">
        <ns0:f>X118+Y118</ns0:f>
        <ns0:v>195417.55808076006</ns0:v>
      </ns0:c>
      <ns0:c r="AA118" s="7">
        <ns0:f>IF(T118&gt;=0,A118,1001)</ns0:f>
        <ns0:v>114</ns0:v>
      </ns0:c>
      <ns0:c r="AB118" s="7">
        <ns0:f>IF(T118&lt;0,A118,0)</ns0:f>
        <ns0:v>0</ns0:v>
      </ns0:c>
      <ns0:c r="AC118" s="16">
        <ns0:f>IF(AND(OR('前提と出典'!$C$36+'前提と出典'!$C$38=0,R118&gt;=0),OR('前提と出典'!$C$37+'前提と出典'!$C$38=0,S118&gt;=0)),0,A118)</ns0:f>
        <ns0:v>0</ns0:v>
      </ns0:c>
      <ns0:c r="AD118" s="7">
        <ns0:f>IF(W118&gt;=0,A118,1001)</ns0:f>
        <ns0:v>114</ns0:v>
      </ns0:c>
      <ns0:c r="AE118" s="7">
        <ns0:f>IF(W118&lt;0,A118,0)</ns0:f>
        <ns0:v>0</ns0:v>
      </ns0:c>
      <ns0:c r="AF118" s="16">
        <ns0:f>IF(AND(OR('前提と出典'!$C$36+'前提と出典'!$C$38=0,U118&gt;=0),OR('前提と出典'!$C$37+'前提と出典'!$C$38=0,V118&gt;=0)),0,A118)</ns0:f>
        <ns0:v>0</ns0:v>
      </ns0:c>
      <ns0:c r="AG118" s="7">
        <ns0:f>IF(Z118&gt;=0,A118,1001)</ns0:f>
        <ns0:v>114</ns0:v>
      </ns0:c>
      <ns0:c r="AH118" s="4">
        <ns0:f>IF(Z118&lt;0,A118,0)</ns0:f>
        <ns0:v>0</ns0:v>
      </ns0:c>
      <ns0:c r="AI118" s="12">
        <ns0:f>IF(AND(OR('前提と出典'!$C$36+'前提と出典'!$C$38=0,X118&gt;=0),OR('前提と出典'!$C$37+'前提と出典'!$C$38=0,Y118&gt;=0)),0,A118)</ns0:f>
        <ns0:v>0</ns0:v>
      </ns0:c>
    </ns0:row>
    <ns0:row r="119" ht="24" customHeight="1">
      <ns0:c r="A119" s="4" t="n">
        <ns0:v>115</ns0:v>
      </ns0:c>
      <ns0:c r="B119" s="12">
        <ns0:f>A119*('前提と出典'!$C$36+'前提と出典'!$C$38)</ns0:f>
        <ns0:v>80.5</ns0:v>
      </ns0:c>
      <ns0:c r="C119" s="12">
        <ns0:f>A119*('前提と出典'!$C$37+'前提と出典'!$C$38)</ns0:f>
        <ns0:v>69</ns0:v>
      </ns0:c>
      <ns0:c r="D119" s="16">
        <ns0:f>A119*('前提と出典'!$C$36*'契約別単価'!C5+'前提と出典'!$C$37*'契約別単価'!C6+'前提と出典'!$C$38*'契約別単価'!C7)</ns0:f>
        <ns0:v>827.4860335195531</ns0:v>
      </ns0:c>
      <ns0:c r="E119" s="16">
        <ns0:f>A119*('前提と出典'!$C$36*'契約別単価'!E5+'前提と出典'!$C$37*'契約別単価'!E6+'前提と出典'!$C$38*'契約別単価'!E7)</ns0:f>
        <ns0:v>289095.38617270504</ns0:v>
      </ns0:c>
      <ns0:c r="F119" s="16">
        <ns0:f>A119*('前提と出典'!$C$36*'契約別単価'!F5+'前提と出典'!$C$37*'契約別単価'!F6+'前提と出典'!$C$38*'契約別単価'!F7)</ns0:f>
        <ns0:v>84003.72951747768</ns0:v>
      </ns0:c>
      <ns0:c r="G119" s="16">
        <ns0:f>A119*('前提と出典'!$C$36*'契約別単価'!G5+'前提と出典'!$C$37*'契約別単価'!G6+'前提と出典'!$C$38*'契約別単価'!G7)</ns0:f>
        <ns0:v>228907.82122905026</ns0:v>
      </ns0:c>
      <ns0:c r="H119" s="16">
        <ns0:f>A119*('前提と出典'!$C$36*'契約別単価'!H5+'前提と出典'!$C$37*'契約別単価'!H6+'前提と出典'!$C$38*'契約別単価'!H7)</ns0:f>
        <ns0:v>79442.49459588443</ns0:v>
      </ns0:c>
      <ns0:c r="I119" s="16">
        <ns0:f>A119*('前提と出典'!$C$36*'契約別単価'!I5+'前提と出典'!$C$37*'契約別単価'!I6+'前提と出典'!$C$38*'契約別単価'!I7)</ns0:f>
        <ns0:v>4852.486033519553</ns0:v>
      </ns0:c>
      <ns0:c r="J119" s="16">
        <ns0:f>A119*('前提と出典'!$C$36*'契約別単価'!J5+'前提と出典'!$C$37*'契約別単価'!J6+'前提と出典'!$C$38*'契約別単価'!J7)</ns0:f>
        <ns0:v>11303.297526684795</ns0:v>
      </ns0:c>
      <ns0:c r="K119" s="16">
        <ns0:f>A119*('前提と出典'!$C$36*'契約別単価'!K5+'前提と出典'!$C$37*'契約別単価'!K6+'前提と出典'!$C$38*'契約別単価'!K7)</ns0:f>
        <ns0:v>48449.90689013035</ns0:v>
      </ns0:c>
      <ns0:c r="L119" s="16">
        <ns0:f>A119*('前提と出典'!$C$36*'契約別単価'!L5+'前提と出典'!$C$37*'契約別単価'!L6+'前提と出典'!$C$38*'契約別単価'!L7)</ns0:f>
        <ns0:v>39448.083153196145</ns0:v>
      </ns0:c>
      <ns0:c r="M119" s="16">
        <ns0:f>IF(('前提と出典'!$C$36+'前提と出典'!$C$38)=0,0,IF(B119&lt;=10,'前提と出典'!B73+'前提と出典'!C73,IF(B119&lt;=100,'前提と出典'!B74+'前提と出典'!C74,IF(B119&lt;=500,'前提と出典'!B75+'前提と出典'!C75,'前提と出典'!B76+'前提と出典'!C76))))</ns0:f>
        <ns0:v>20000</ns0:v>
      </ns0:c>
      <ns0:c r="N119" s="16">
        <ns0:f>IF(('前提と出典'!$C$37+'前提と出典'!$C$38)=0,0,IF(C119&lt;=10,'前提と出典'!D73+'前提と出典'!E73,IF(C119&lt;=100,'前提と出典'!D74+'前提と出典'!E74,IF(C119&lt;=500,'前提と出典'!D75+'前提と出典'!E75,'前提と出典'!D76+'前提と出典'!E76))))</ns0:f>
        <ns0:v>34510.9346263078</ns0:v>
      </ns0:c>
      <ns0:c r="O119" s="16">
        <ns0:f>IF('前提と出典'!$C$36+'前提と出典'!$C$38=0,0,'前提と出典'!$B$4*IF('前提と出典'!$B$20=0,MAX('前提と出典'!$B$6,D119*'前提と出典'!$B$5),'前提と出典'!$B$6+D119*'前提と出典'!$B$5))</ns0:f>
        <ns0:v>114193.07262569833</ns0:v>
      </ns0:c>
      <ns0:c r="P119" s="16">
        <ns0:f>(E119+G119)*(1-'前提と出典'!$B$7)-I119-K119-M119-O119</ns0:f>
        <ns0:v>311859.6263859438</ns0:v>
      </ns0:c>
      <ns0:c r="Q119" s="16">
        <ns0:f>(F119+H119)*(1-'前提と出典'!$B$7)-J119-L119-N119</ns0:f>
        <ns0:v>72299.84473909234</ns0:v>
      </ns0:c>
      <ns0:c r="R119" s="16">
        <ns0:f>P119-E119*'前提と出典'!$E$4</ns0:f>
        <ns0:v>225131.0105341323</ns0:v>
      </ns0:c>
      <ns0:c r="S119" s="16">
        <ns0:f>Q119-F119*'前提と出典'!$E$4</ns0:f>
        <ns0:v>47098.72588384903</ns0:v>
      </ns0:c>
      <ns0:c r="T119" s="7">
        <ns0:f>R119+S119</ns0:f>
        <ns0:v>272229.73641798133</ns0:v>
      </ns0:c>
      <ns0:c r="U119" s="16">
        <ns0:f>P119-E119*'前提と出典'!$E$5</ns0:f>
        <ns0:v>196221.47191686177</ns0:v>
      </ns0:c>
      <ns0:c r="V119" s="16">
        <ns0:f>Q119-F119*'前提と出典'!$E$5</ns0:f>
        <ns0:v>38698.35293210127</ns0:v>
      </ns0:c>
      <ns0:c r="W119" s="7">
        <ns0:f>U119+V119</ns0:f>
        <ns0:v>234919.82484896304</ns0:v>
      </ns0:c>
      <ns0:c r="X119" s="16">
        <ns0:f>P119-E119*'前提と出典'!$E$6</ns0:f>
        <ns0:v>167311.93329959124</ns0:v>
      </ns0:c>
      <ns0:c r="Y119" s="16">
        <ns0:f>Q119-F119*'前提と出典'!$E$6</ns0:f>
        <ns0:v>30297.979980353506</ns0:v>
      </ns0:c>
      <ns0:c r="Z119" s="7">
        <ns0:f>X119+Y119</ns0:f>
        <ns0:v>197609.91327994474</ns0:v>
      </ns0:c>
      <ns0:c r="AA119" s="7">
        <ns0:f>IF(T119&gt;=0,A119,1001)</ns0:f>
        <ns0:v>115</ns0:v>
      </ns0:c>
      <ns0:c r="AB119" s="7">
        <ns0:f>IF(T119&lt;0,A119,0)</ns0:f>
        <ns0:v>0</ns0:v>
      </ns0:c>
      <ns0:c r="AC119" s="16">
        <ns0:f>IF(AND(OR('前提と出典'!$C$36+'前提と出典'!$C$38=0,R119&gt;=0),OR('前提と出典'!$C$37+'前提と出典'!$C$38=0,S119&gt;=0)),0,A119)</ns0:f>
        <ns0:v>0</ns0:v>
      </ns0:c>
      <ns0:c r="AD119" s="7">
        <ns0:f>IF(W119&gt;=0,A119,1001)</ns0:f>
        <ns0:v>115</ns0:v>
      </ns0:c>
      <ns0:c r="AE119" s="7">
        <ns0:f>IF(W119&lt;0,A119,0)</ns0:f>
        <ns0:v>0</ns0:v>
      </ns0:c>
      <ns0:c r="AF119" s="16">
        <ns0:f>IF(AND(OR('前提と出典'!$C$36+'前提と出典'!$C$38=0,U119&gt;=0),OR('前提と出典'!$C$37+'前提と出典'!$C$38=0,V119&gt;=0)),0,A119)</ns0:f>
        <ns0:v>0</ns0:v>
      </ns0:c>
      <ns0:c r="AG119" s="7">
        <ns0:f>IF(Z119&gt;=0,A119,1001)</ns0:f>
        <ns0:v>115</ns0:v>
      </ns0:c>
      <ns0:c r="AH119" s="4">
        <ns0:f>IF(Z119&lt;0,A119,0)</ns0:f>
        <ns0:v>0</ns0:v>
      </ns0:c>
      <ns0:c r="AI119" s="12">
        <ns0:f>IF(AND(OR('前提と出典'!$C$36+'前提と出典'!$C$38=0,X119&gt;=0),OR('前提と出典'!$C$37+'前提と出典'!$C$38=0,Y119&gt;=0)),0,A119)</ns0:f>
        <ns0:v>0</ns0:v>
      </ns0:c>
    </ns0:row>
    <ns0:row r="120" ht="24" customHeight="1">
      <ns0:c r="A120" s="4" t="n">
        <ns0:v>116</ns0:v>
      </ns0:c>
      <ns0:c r="B120" s="12">
        <ns0:f>A120*('前提と出典'!$C$36+'前提と出典'!$C$38)</ns0:f>
        <ns0:v>81.19999999999999</ns0:v>
      </ns0:c>
      <ns0:c r="C120" s="12">
        <ns0:f>A120*('前提と出典'!$C$37+'前提と出典'!$C$38)</ns0:f>
        <ns0:v>69.6</ns0:v>
      </ns0:c>
      <ns0:c r="D120" s="16">
        <ns0:f>A120*('前提と出典'!$C$36*'契約別単価'!C5+'前提と出典'!$C$37*'契約別単価'!C6+'前提と出典'!$C$38*'契約別単価'!C7)</ns0:f>
        <ns0:v>834.68156424581</ns0:v>
      </ns0:c>
      <ns0:c r="E120" s="16">
        <ns0:f>A120*('前提と出典'!$C$36*'契約別単価'!E5+'前提と出典'!$C$37*'契約別単価'!E6+'前提と出典'!$C$38*'契約別単価'!E7)</ns0:f>
        <ns0:v>291609.2590959459</ns0:v>
      </ns0:c>
      <ns0:c r="F120" s="16">
        <ns0:f>A120*('前提と出典'!$C$36*'契約別単価'!F5+'前提と出典'!$C$37*'契約別単価'!F6+'前提と出典'!$C$38*'契約別単価'!F7)</ns0:f>
        <ns0:v>84734.19673067315</ns0:v>
      </ns0:c>
      <ns0:c r="G120" s="16">
        <ns0:f>A120*('前提と出典'!$C$36*'契約別単価'!G5+'前提と出典'!$C$37*'契約別単価'!G6+'前提と出典'!$C$38*'契約別単価'!G7)</ns0:f>
        <ns0:v>230898.32402234635</ns0:v>
      </ns0:c>
      <ns0:c r="H120" s="16">
        <ns0:f>A120*('前提と出典'!$C$36*'契約別単価'!H5+'前提と出典'!$C$37*'契約別単価'!H6+'前提と出典'!$C$38*'契約別単価'!H7)</ns0:f>
        <ns0:v>80133.29889671822</ns0:v>
      </ns0:c>
      <ns0:c r="I120" s="16">
        <ns0:f>A120*('前提と出典'!$C$36*'契約別単価'!I5+'前提と出典'!$C$37*'契約別単価'!I6+'前提と出典'!$C$38*'契約別単価'!I7)</ns0:f>
        <ns0:v>4894.68156424581</ns0:v>
      </ns0:c>
      <ns0:c r="J120" s="16">
        <ns0:f>A120*('前提と出典'!$C$36*'契約別単価'!J5+'前提と出典'!$C$37*'契約別単価'!J6+'前提と出典'!$C$38*'契約別単価'!J7)</ns0:f>
        <ns0:v>11401.587070395099</ns0:v>
      </ns0:c>
      <ns0:c r="K120" s="16">
        <ns0:f>A120*('前提と出典'!$C$36*'契約別単価'!K5+'前提と出典'!$C$37*'契約別単価'!K6+'前提と出典'!$C$38*'契約別単価'!K7)</ns0:f>
        <ns0:v>48871.2104283054</ns0:v>
      </ns0:c>
      <ns0:c r="L120" s="16">
        <ns0:f>A120*('前提と出典'!$C$36*'契約別単価'!L5+'前提と出典'!$C$37*'契約別単価'!L6+'前提と出典'!$C$38*'契約別単価'!L7)</ns0:f>
        <ns0:v>39791.10996322394</ns0:v>
      </ns0:c>
      <ns0:c r="M120" s="16">
        <ns0:f>IF(('前提と出典'!$C$36+'前提と出典'!$C$38)=0,0,IF(B120&lt;=10,'前提と出典'!B73+'前提と出典'!C73,IF(B120&lt;=100,'前提と出典'!B74+'前提と出典'!C74,IF(B120&lt;=500,'前提と出典'!B75+'前提と出典'!C75,'前提と出典'!B76+'前提と出典'!C76))))</ns0:f>
        <ns0:v>20000</ns0:v>
      </ns0:c>
      <ns0:c r="N120" s="16">
        <ns0:f>IF(('前提と出典'!$C$37+'前提と出典'!$C$38)=0,0,IF(C120&lt;=10,'前提と出典'!D73+'前提と出典'!E73,IF(C120&lt;=100,'前提と出典'!D74+'前提と出典'!E74,IF(C120&lt;=500,'前提と出典'!D75+'前提と出典'!E75,'前提と出典'!D76+'前提と出典'!E76))))</ns0:f>
        <ns0:v>34510.9346263078</ns0:v>
      </ns0:c>
      <ns0:c r="O120" s="16">
        <ns0:f>IF('前提と出典'!$C$36+'前提と出典'!$C$38=0,0,'前提と出典'!$B$4*IF('前提と出典'!$B$20=0,MAX('前提と出典'!$B$6,D120*'前提と出典'!$B$5),'前提と出典'!$B$6+D120*'前提と出典'!$B$5))</ns0:f>
        <ns0:v>115186.0558659218</ns0:v>
      </ns0:c>
      <ns0:c r="P120" s="16">
        <ns0:f>(E120+G120)*(1-'前提と出典'!$B$7)-I120-K120-M120-O120</ns0:f>
        <ns0:v>314745.3622675608</ns0:v>
      </ns0:c>
      <ns0:c r="Q120" s="16">
        <ns0:f>(F120+H120)*(1-'前提と出典'!$B$7)-J120-L120-N120</ns0:f>
        <ns0:v>73228.63412487846</ns0:v>
      </ns0:c>
      <ns0:c r="R120" s="16">
        <ns0:f>P120-E120*'前提と出典'!$E$4</ns0:f>
        <ns0:v>227262.58453877695</ns0:v>
      </ns0:c>
      <ns0:c r="S120" s="16">
        <ns0:f>Q120-F120*'前提と出典'!$E$4</ns0:f>
        <ns0:v>47808.37510567651</ns0:v>
      </ns0:c>
      <ns0:c r="T120" s="7">
        <ns0:f>R120+S120</ns0:f>
        <ns0:v>275070.9596444535</ns0:v>
      </ns0:c>
      <ns0:c r="U120" s="16">
        <ns0:f>P120-E120*'前提と出典'!$E$5</ns0:f>
        <ns0:v>198101.65862918244</ns0:v>
      </ns0:c>
      <ns0:c r="V120" s="16">
        <ns0:f>Q120-F120*'前提と出典'!$E$5</ns0:f>
        <ns0:v>39334.9554326092</ns0:v>
      </ns0:c>
      <ns0:c r="W120" s="7">
        <ns0:f>U120+V120</ns0:f>
        <ns0:v>237436.61406179162</ns0:v>
      </ns0:c>
      <ns0:c r="X120" s="16">
        <ns0:f>P120-E120*'前提と出典'!$E$6</ns0:f>
        <ns0:v>168940.7327195878</ns0:v>
      </ns0:c>
      <ns0:c r="Y120" s="16">
        <ns0:f>Q120-F120*'前提と出典'!$E$6</ns0:f>
        <ns0:v>30861.53575954189</ns0:v>
      </ns0:c>
      <ns0:c r="Z120" s="7">
        <ns0:f>X120+Y120</ns0:f>
        <ns0:v>199802.2684791297</ns0:v>
      </ns0:c>
      <ns0:c r="AA120" s="7">
        <ns0:f>IF(T120&gt;=0,A120,1001)</ns0:f>
        <ns0:v>116</ns0:v>
      </ns0:c>
      <ns0:c r="AB120" s="7">
        <ns0:f>IF(T120&lt;0,A120,0)</ns0:f>
        <ns0:v>0</ns0:v>
      </ns0:c>
      <ns0:c r="AC120" s="16">
        <ns0:f>IF(AND(OR('前提と出典'!$C$36+'前提と出典'!$C$38=0,R120&gt;=0),OR('前提と出典'!$C$37+'前提と出典'!$C$38=0,S120&gt;=0)),0,A120)</ns0:f>
        <ns0:v>0</ns0:v>
      </ns0:c>
      <ns0:c r="AD120" s="7">
        <ns0:f>IF(W120&gt;=0,A120,1001)</ns0:f>
        <ns0:v>116</ns0:v>
      </ns0:c>
      <ns0:c r="AE120" s="7">
        <ns0:f>IF(W120&lt;0,A120,0)</ns0:f>
        <ns0:v>0</ns0:v>
      </ns0:c>
      <ns0:c r="AF120" s="16">
        <ns0:f>IF(AND(OR('前提と出典'!$C$36+'前提と出典'!$C$38=0,U120&gt;=0),OR('前提と出典'!$C$37+'前提と出典'!$C$38=0,V120&gt;=0)),0,A120)</ns0:f>
        <ns0:v>0</ns0:v>
      </ns0:c>
      <ns0:c r="AG120" s="7">
        <ns0:f>IF(Z120&gt;=0,A120,1001)</ns0:f>
        <ns0:v>116</ns0:v>
      </ns0:c>
      <ns0:c r="AH120" s="4">
        <ns0:f>IF(Z120&lt;0,A120,0)</ns0:f>
        <ns0:v>0</ns0:v>
      </ns0:c>
      <ns0:c r="AI120" s="12">
        <ns0:f>IF(AND(OR('前提と出典'!$C$36+'前提と出典'!$C$38=0,X120&gt;=0),OR('前提と出典'!$C$37+'前提と出典'!$C$38=0,Y120&gt;=0)),0,A120)</ns0:f>
        <ns0:v>0</ns0:v>
      </ns0:c>
    </ns0:row>
    <ns0:row r="121" ht="24" customHeight="1">
      <ns0:c r="A121" s="4" t="n">
        <ns0:v>117</ns0:v>
      </ns0:c>
      <ns0:c r="B121" s="12">
        <ns0:f>A121*('前提と出典'!$C$36+'前提と出典'!$C$38)</ns0:f>
        <ns0:v>81.89999999999999</ns0:v>
      </ns0:c>
      <ns0:c r="C121" s="12">
        <ns0:f>A121*('前提と出典'!$C$37+'前提と出典'!$C$38)</ns0:f>
        <ns0:v>70.2</ns0:v>
      </ns0:c>
      <ns0:c r="D121" s="16">
        <ns0:f>A121*('前提と出典'!$C$36*'契約別単価'!C5+'前提と出典'!$C$37*'契約別単価'!C6+'前提と出典'!$C$38*'契約別単価'!C7)</ns0:f>
        <ns0:v>841.8770949720671</ns0:v>
      </ns0:c>
      <ns0:c r="E121" s="16">
        <ns0:f>A121*('前提と出典'!$C$36*'契約別単価'!E5+'前提と出典'!$C$37*'契約別単価'!E6+'前提と出典'!$C$38*'契約別単価'!E7)</ns0:f>
        <ns0:v>294123.13201918686</ns0:v>
      </ns0:c>
      <ns0:c r="F121" s="16">
        <ns0:f>A121*('前提と出典'!$C$36*'契約別単価'!F5+'前提と出典'!$C$37*'契約別単価'!F6+'前提と出典'!$C$38*'契約別単価'!F7)</ns0:f>
        <ns0:v>85464.66394386861</ns0:v>
      </ns0:c>
      <ns0:c r="G121" s="16">
        <ns0:f>A121*('前提と出典'!$C$36*'契約別単価'!G5+'前提と出典'!$C$37*'契約別単価'!G6+'前提と出典'!$C$38*'契約別単価'!G7)</ns0:f>
        <ns0:v>232888.82681564245</ns0:v>
      </ns0:c>
      <ns0:c r="H121" s="16">
        <ns0:f>A121*('前提と出典'!$C$36*'契約別単価'!H5+'前提と出典'!$C$37*'契約別単価'!H6+'前提と出典'!$C$38*'契約別単価'!H7)</ns0:f>
        <ns0:v>80824.10319755199</ns0:v>
      </ns0:c>
      <ns0:c r="I121" s="16">
        <ns0:f>A121*('前提と出典'!$C$36*'契約別単価'!I5+'前提と出典'!$C$37*'契約別単価'!I6+'前提と出典'!$C$38*'契約別単価'!I7)</ns0:f>
        <ns0:v>4936.8770949720665</ns0:v>
      </ns0:c>
      <ns0:c r="J121" s="16">
        <ns0:f>A121*('前提と出典'!$C$36*'契約別単価'!J5+'前提と出典'!$C$37*'契約別単価'!J6+'前提と出典'!$C$38*'契約別単価'!J7)</ns0:f>
        <ns0:v>11499.8766141054</ns0:v>
      </ns0:c>
      <ns0:c r="K121" s="16">
        <ns0:f>A121*('前提と出典'!$C$36*'契約別単価'!K5+'前提と出典'!$C$37*'契約別単価'!K6+'前提と出典'!$C$38*'契約別単価'!K7)</ns0:f>
        <ns0:v>49292.513966480445</ns0:v>
      </ns0:c>
      <ns0:c r="L121" s="16">
        <ns0:f>A121*('前提と出典'!$C$36*'契約別単価'!L5+'前提と出典'!$C$37*'契約別単価'!L6+'前提と出典'!$C$38*'契約別単価'!L7)</ns0:f>
        <ns0:v>40134.13677325173</ns0:v>
      </ns0:c>
      <ns0:c r="M121" s="16">
        <ns0:f>IF(('前提と出典'!$C$36+'前提と出典'!$C$38)=0,0,IF(B121&lt;=10,'前提と出典'!B73+'前提と出典'!C73,IF(B121&lt;=100,'前提と出典'!B74+'前提と出典'!C74,IF(B121&lt;=500,'前提と出典'!B75+'前提と出典'!C75,'前提と出典'!B76+'前提と出典'!C76))))</ns0:f>
        <ns0:v>20000</ns0:v>
      </ns0:c>
      <ns0:c r="N121" s="16">
        <ns0:f>IF(('前提と出典'!$C$37+'前提と出典'!$C$38)=0,0,IF(C121&lt;=10,'前提と出典'!D73+'前提と出典'!E73,IF(C121&lt;=100,'前提と出典'!D74+'前提と出典'!E74,IF(C121&lt;=500,'前提と出典'!D75+'前提と出典'!E75,'前提と出典'!D76+'前提と出典'!E76))))</ns0:f>
        <ns0:v>34510.9346263078</ns0:v>
      </ns0:c>
      <ns0:c r="O121" s="16">
        <ns0:f>IF('前提と出典'!$C$36+'前提と出典'!$C$38=0,0,'前提と出典'!$B$4*IF('前提と出典'!$B$20=0,MAX('前提と出典'!$B$6,D121*'前提と出典'!$B$5),'前提と出典'!$B$6+D121*'前提と出典'!$B$5))</ns0:f>
        <ns0:v>116179.03910614527</ns0:v>
      </ns0:c>
      <ns0:c r="P121" s="16">
        <ns0:f>(E121+G121)*(1-'前提と出典'!$B$7)-I121-K121-M121-O121</ns0:f>
        <ns0:v>317631.0981491776</ns0:v>
      </ns0:c>
      <ns0:c r="Q121" s="16">
        <ns0:f>(F121+H121)*(1-'前提と出典'!$B$7)-J121-L121-N121</ns0:f>
        <ns0:v>74157.42351066455</ns0:v>
      </ns0:c>
      <ns0:c r="R121" s="16">
        <ns0:f>P121-E121*'前提と出典'!$E$4</ns0:f>
        <ns0:v>229394.15854342154</ns0:v>
      </ns0:c>
      <ns0:c r="S121" s="16">
        <ns0:f>Q121-F121*'前提と出典'!$E$4</ns0:f>
        <ns0:v>48518.02432750393</ns0:v>
      </ns0:c>
      <ns0:c r="T121" s="7">
        <ns0:f>R121+S121</ns0:f>
        <ns0:v>277912.18287092546</ns0:v>
      </ns0:c>
      <ns0:c r="U121" s="16">
        <ns0:f>P121-E121*'前提と出典'!$E$5</ns0:f>
        <ns0:v>199981.84534150286</ns0:v>
      </ns0:c>
      <ns0:c r="V121" s="16">
        <ns0:f>Q121-F121*'前提と出典'!$E$5</ns0:f>
        <ns0:v>39971.557933117096</ns0:v>
      </ns0:c>
      <ns0:c r="W121" s="7">
        <ns0:f>U121+V121</ns0:f>
        <ns0:v>239953.40327461995</ns0:v>
      </ns0:c>
      <ns0:c r="X121" s="16">
        <ns0:f>P121-E121*'前提と出典'!$E$6</ns0:f>
        <ns0:v>170569.5321395842</ns0:v>
      </ns0:c>
      <ns0:c r="Y121" s="16">
        <ns0:f>Q121-F121*'前提と出典'!$E$6</ns0:f>
        <ns0:v>31425.09153873023</ns0:v>
      </ns0:c>
      <ns0:c r="Z121" s="7">
        <ns0:f>X121+Y121</ns0:f>
        <ns0:v>201994.6236783144</ns0:v>
      </ns0:c>
      <ns0:c r="AA121" s="7">
        <ns0:f>IF(T121&gt;=0,A121,1001)</ns0:f>
        <ns0:v>117</ns0:v>
      </ns0:c>
      <ns0:c r="AB121" s="7">
        <ns0:f>IF(T121&lt;0,A121,0)</ns0:f>
        <ns0:v>0</ns0:v>
      </ns0:c>
      <ns0:c r="AC121" s="16">
        <ns0:f>IF(AND(OR('前提と出典'!$C$36+'前提と出典'!$C$38=0,R121&gt;=0),OR('前提と出典'!$C$37+'前提と出典'!$C$38=0,S121&gt;=0)),0,A121)</ns0:f>
        <ns0:v>0</ns0:v>
      </ns0:c>
      <ns0:c r="AD121" s="7">
        <ns0:f>IF(W121&gt;=0,A121,1001)</ns0:f>
        <ns0:v>117</ns0:v>
      </ns0:c>
      <ns0:c r="AE121" s="7">
        <ns0:f>IF(W121&lt;0,A121,0)</ns0:f>
        <ns0:v>0</ns0:v>
      </ns0:c>
      <ns0:c r="AF121" s="16">
        <ns0:f>IF(AND(OR('前提と出典'!$C$36+'前提と出典'!$C$38=0,U121&gt;=0),OR('前提と出典'!$C$37+'前提と出典'!$C$38=0,V121&gt;=0)),0,A121)</ns0:f>
        <ns0:v>0</ns0:v>
      </ns0:c>
      <ns0:c r="AG121" s="7">
        <ns0:f>IF(Z121&gt;=0,A121,1001)</ns0:f>
        <ns0:v>117</ns0:v>
      </ns0:c>
      <ns0:c r="AH121" s="4">
        <ns0:f>IF(Z121&lt;0,A121,0)</ns0:f>
        <ns0:v>0</ns0:v>
      </ns0:c>
      <ns0:c r="AI121" s="12">
        <ns0:f>IF(AND(OR('前提と出典'!$C$36+'前提と出典'!$C$38=0,X121&gt;=0),OR('前提と出典'!$C$37+'前提と出典'!$C$38=0,Y121&gt;=0)),0,A121)</ns0:f>
        <ns0:v>0</ns0:v>
      </ns0:c>
    </ns0:row>
    <ns0:row r="122" ht="24" customHeight="1">
      <ns0:c r="A122" s="4" t="n">
        <ns0:v>118</ns0:v>
      </ns0:c>
      <ns0:c r="B122" s="12">
        <ns0:f>A122*('前提と出典'!$C$36+'前提と出典'!$C$38)</ns0:f>
        <ns0:v>82.6</ns0:v>
      </ns0:c>
      <ns0:c r="C122" s="12">
        <ns0:f>A122*('前提と出典'!$C$37+'前提と出典'!$C$38)</ns0:f>
        <ns0:v>70.8</ns0:v>
      </ns0:c>
      <ns0:c r="D122" s="16">
        <ns0:f>A122*('前提と出典'!$C$36*'契約別単価'!C5+'前提と出典'!$C$37*'契約別単価'!C6+'前提と出典'!$C$38*'契約別単価'!C7)</ns0:f>
        <ns0:v>849.072625698324</ns0:v>
      </ns0:c>
      <ns0:c r="E122" s="16">
        <ns0:f>A122*('前提と出典'!$C$36*'契約別単価'!E5+'前提と出典'!$C$37*'契約別単価'!E6+'前提と出典'!$C$38*'契約別単価'!E7)</ns0:f>
        <ns0:v>296637.00494242774</ns0:v>
      </ns0:c>
      <ns0:c r="F122" s="16">
        <ns0:f>A122*('前提と出典'!$C$36*'契約別単価'!F5+'前提と出典'!$C$37*'契約別単価'!F6+'前提と出典'!$C$38*'契約別単価'!F7)</ns0:f>
        <ns0:v>86195.13115706407</ns0:v>
      </ns0:c>
      <ns0:c r="G122" s="16">
        <ns0:f>A122*('前提と出典'!$C$36*'契約別単価'!G5+'前提と出典'!$C$37*'契約別単価'!G6+'前提と出典'!$C$38*'契約別単価'!G7)</ns0:f>
        <ns0:v>234879.32960893854</ns0:v>
      </ns0:c>
      <ns0:c r="H122" s="16">
        <ns0:f>A122*('前提と出典'!$C$36*'契約別単価'!H5+'前提と出典'!$C$37*'契約別単価'!H6+'前提と出典'!$C$38*'契約別単価'!H7)</ns0:f>
        <ns0:v>81514.90749838577</ns0:v>
      </ns0:c>
      <ns0:c r="I122" s="16">
        <ns0:f>A122*('前提と出典'!$C$36*'契約別単価'!I5+'前提と出典'!$C$37*'契約別単価'!I6+'前提と出典'!$C$38*'契約別単価'!I7)</ns0:f>
        <ns0:v>4979.0726256983235</ns0:v>
      </ns0:c>
      <ns0:c r="J122" s="16">
        <ns0:f>A122*('前提と出典'!$C$36*'契約別単価'!J5+'前提と出典'!$C$37*'契約別単価'!J6+'前提と出典'!$C$38*'契約別単価'!J7)</ns0:f>
        <ns0:v>11598.166157815704</ns0:v>
      </ns0:c>
      <ns0:c r="K122" s="16">
        <ns0:f>A122*('前提と出典'!$C$36*'契約別単価'!K5+'前提と出典'!$C$37*'契約別単価'!K6+'前提と出典'!$C$38*'契約別単価'!K7)</ns0:f>
        <ns0:v>49713.81750465549</ns0:v>
      </ns0:c>
      <ns0:c r="L122" s="16">
        <ns0:f>A122*('前提と出典'!$C$36*'契約別単価'!L5+'前提と出典'!$C$37*'契約別単価'!L6+'前提と出典'!$C$38*'契約別単価'!L7)</ns0:f>
        <ns0:v>40477.16358327952</ns0:v>
      </ns0:c>
      <ns0:c r="M122" s="16">
        <ns0:f>IF(('前提と出典'!$C$36+'前提と出典'!$C$38)=0,0,IF(B122&lt;=10,'前提と出典'!B73+'前提と出典'!C73,IF(B122&lt;=100,'前提と出典'!B74+'前提と出典'!C74,IF(B122&lt;=500,'前提と出典'!B75+'前提と出典'!C75,'前提と出典'!B76+'前提と出典'!C76))))</ns0:f>
        <ns0:v>20000</ns0:v>
      </ns0:c>
      <ns0:c r="N122" s="16">
        <ns0:f>IF(('前提と出典'!$C$37+'前提と出典'!$C$38)=0,0,IF(C122&lt;=10,'前提と出典'!D73+'前提と出典'!E73,IF(C122&lt;=100,'前提と出典'!D74+'前提と出典'!E74,IF(C122&lt;=500,'前提と出典'!D75+'前提と出典'!E75,'前提と出典'!D76+'前提と出典'!E76))))</ns0:f>
        <ns0:v>34510.9346263078</ns0:v>
      </ns0:c>
      <ns0:c r="O122" s="16">
        <ns0:f>IF('前提と出典'!$C$36+'前提と出典'!$C$38=0,0,'前提と出典'!$B$4*IF('前提と出典'!$B$20=0,MAX('前提と出典'!$B$6,D122*'前提と出典'!$B$5),'前提と出典'!$B$6+D122*'前提と出典'!$B$5))</ns0:f>
        <ns0:v>117172.02234636871</ns0:v>
      </ns0:c>
      <ns0:c r="P122" s="16">
        <ns0:f>(E122+G122)*(1-'前提と出典'!$B$7)-I122-K122-M122-O122</ns0:f>
        <ns0:v>320516.83403079456</ns0:v>
      </ns0:c>
      <ns0:c r="Q122" s="16">
        <ns0:f>(F122+H122)*(1-'前提と出典'!$B$7)-J122-L122-N122</ns0:f>
        <ns0:v>75086.21289645063</ns0:v>
      </ns0:c>
      <ns0:c r="R122" s="16">
        <ns0:f>P122-E122*'前提と出典'!$E$4</ns0:f>
        <ns0:v>231525.73254806624</ns0:v>
      </ns0:c>
      <ns0:c r="S122" s="16">
        <ns0:f>Q122-F122*'前提と出典'!$E$4</ns0:f>
        <ns0:v>49227.67354933141</ns0:v>
      </ns0:c>
      <ns0:c r="T122" s="7">
        <ns0:f>R122+S122</ns0:f>
        <ns0:v>280753.4060973977</ns0:v>
      </ns0:c>
      <ns0:c r="U122" s="16">
        <ns0:f>P122-E122*'前提と出典'!$E$5</ns0:f>
        <ns0:v>201862.03205382347</ns0:v>
      </ns0:c>
      <ns0:c r="V122" s="16">
        <ns0:f>Q122-F122*'前提と出典'!$E$5</ns0:f>
        <ns0:v>40608.160433624995</ns0:v>
      </ns0:c>
      <ns0:c r="W122" s="7">
        <ns0:f>U122+V122</ns0:f>
        <ns0:v>242470.19248744845</ns0:v>
      </ns0:c>
      <ns0:c r="X122" s="16">
        <ns0:f>P122-E122*'前提と出典'!$E$6</ns0:f>
        <ns0:v>172198.3315595807</ns0:v>
      </ns0:c>
      <ns0:c r="Y122" s="16">
        <ns0:f>Q122-F122*'前提と出典'!$E$6</ns0:f>
        <ns0:v>31988.647317918607</ns0:v>
      </ns0:c>
      <ns0:c r="Z122" s="7">
        <ns0:f>X122+Y122</ns0:f>
        <ns0:v>204186.9788774993</ns0:v>
      </ns0:c>
      <ns0:c r="AA122" s="7">
        <ns0:f>IF(T122&gt;=0,A122,1001)</ns0:f>
        <ns0:v>118</ns0:v>
      </ns0:c>
      <ns0:c r="AB122" s="7">
        <ns0:f>IF(T122&lt;0,A122,0)</ns0:f>
        <ns0:v>0</ns0:v>
      </ns0:c>
      <ns0:c r="AC122" s="16">
        <ns0:f>IF(AND(OR('前提と出典'!$C$36+'前提と出典'!$C$38=0,R122&gt;=0),OR('前提と出典'!$C$37+'前提と出典'!$C$38=0,S122&gt;=0)),0,A122)</ns0:f>
        <ns0:v>0</ns0:v>
      </ns0:c>
      <ns0:c r="AD122" s="7">
        <ns0:f>IF(W122&gt;=0,A122,1001)</ns0:f>
        <ns0:v>118</ns0:v>
      </ns0:c>
      <ns0:c r="AE122" s="7">
        <ns0:f>IF(W122&lt;0,A122,0)</ns0:f>
        <ns0:v>0</ns0:v>
      </ns0:c>
      <ns0:c r="AF122" s="16">
        <ns0:f>IF(AND(OR('前提と出典'!$C$36+'前提と出典'!$C$38=0,U122&gt;=0),OR('前提と出典'!$C$37+'前提と出典'!$C$38=0,V122&gt;=0)),0,A122)</ns0:f>
        <ns0:v>0</ns0:v>
      </ns0:c>
      <ns0:c r="AG122" s="7">
        <ns0:f>IF(Z122&gt;=0,A122,1001)</ns0:f>
        <ns0:v>118</ns0:v>
      </ns0:c>
      <ns0:c r="AH122" s="4">
        <ns0:f>IF(Z122&lt;0,A122,0)</ns0:f>
        <ns0:v>0</ns0:v>
      </ns0:c>
      <ns0:c r="AI122" s="12">
        <ns0:f>IF(AND(OR('前提と出典'!$C$36+'前提と出典'!$C$38=0,X122&gt;=0),OR('前提と出典'!$C$37+'前提と出典'!$C$38=0,Y122&gt;=0)),0,A122)</ns0:f>
        <ns0:v>0</ns0:v>
      </ns0:c>
    </ns0:row>
    <ns0:row r="123" ht="24" customHeight="1">
      <ns0:c r="A123" s="4" t="n">
        <ns0:v>119</ns0:v>
      </ns0:c>
      <ns0:c r="B123" s="12">
        <ns0:f>A123*('前提と出典'!$C$36+'前提と出典'!$C$38)</ns0:f>
        <ns0:v>83.3</ns0:v>
      </ns0:c>
      <ns0:c r="C123" s="12">
        <ns0:f>A123*('前提と出典'!$C$37+'前提と出典'!$C$38)</ns0:f>
        <ns0:v>71.39999999999999</ns0:v>
      </ns0:c>
      <ns0:c r="D123" s="16">
        <ns0:f>A123*('前提と出典'!$C$36*'契約別単価'!C5+'前提と出典'!$C$37*'契約別単価'!C6+'前提と出典'!$C$38*'契約別単価'!C7)</ns0:f>
        <ns0:v>856.268156424581</ns0:v>
      </ns0:c>
      <ns0:c r="E123" s="16">
        <ns0:f>A123*('前提と出典'!$C$36*'契約別単価'!E5+'前提と出典'!$C$37*'契約別単価'!E6+'前提と出典'!$C$38*'契約別単価'!E7)</ns0:f>
        <ns0:v>299150.8778656687</ns0:v>
      </ns0:c>
      <ns0:c r="F123" s="16">
        <ns0:f>A123*('前提と出典'!$C$36*'契約別単価'!F5+'前提と出典'!$C$37*'契約別単価'!F6+'前提と出典'!$C$38*'契約別単価'!F7)</ns0:f>
        <ns0:v>86925.59837025953</ns0:v>
      </ns0:c>
      <ns0:c r="G123" s="16">
        <ns0:f>A123*('前提と出典'!$C$36*'契約別単価'!G5+'前提と出典'!$C$37*'契約別単価'!G6+'前提と出典'!$C$38*'契約別単価'!G7)</ns0:f>
        <ns0:v>236869.83240223464</ns0:v>
      </ns0:c>
      <ns0:c r="H123" s="16">
        <ns0:f>A123*('前提と出典'!$C$36*'契約別単価'!H5+'前提と出典'!$C$37*'契約別単価'!H6+'前提と出典'!$C$38*'契約別単価'!H7)</ns0:f>
        <ns0:v>82205.71179921954</ns0:v>
      </ns0:c>
      <ns0:c r="I123" s="16">
        <ns0:f>A123*('前提と出典'!$C$36*'契約別単価'!I5+'前提と出典'!$C$37*'契約別単価'!I6+'前提と出典'!$C$38*'契約別単価'!I7)</ns0:f>
        <ns0:v>5021.26815642458</ns0:v>
      </ns0:c>
      <ns0:c r="J123" s="16">
        <ns0:f>A123*('前提と出典'!$C$36*'契約別単価'!J5+'前提と出典'!$C$37*'契約別単価'!J6+'前提と出典'!$C$38*'契約別単価'!J7)</ns0:f>
        <ns0:v>11696.455701526005</ns0:v>
      </ns0:c>
      <ns0:c r="K123" s="16">
        <ns0:f>A123*('前提と出典'!$C$36*'契約別単価'!K5+'前提と出典'!$C$37*'契約別単価'!K6+'前提と出典'!$C$38*'契約別単価'!K7)</ns0:f>
        <ns0:v>50135.121042830535</ns0:v>
      </ns0:c>
      <ns0:c r="L123" s="16">
        <ns0:f>A123*('前提と出典'!$C$36*'契約別単価'!L5+'前提と出典'!$C$37*'契約別単価'!L6+'前提と出典'!$C$38*'契約別単価'!L7)</ns0:f>
        <ns0:v>40820.19039330732</ns0:v>
      </ns0:c>
      <ns0:c r="M123" s="16">
        <ns0:f>IF(('前提と出典'!$C$36+'前提と出典'!$C$38)=0,0,IF(B123&lt;=10,'前提と出典'!B73+'前提と出典'!C73,IF(B123&lt;=100,'前提と出典'!B74+'前提と出典'!C74,IF(B123&lt;=500,'前提と出典'!B75+'前提と出典'!C75,'前提と出典'!B76+'前提と出典'!C76))))</ns0:f>
        <ns0:v>20000</ns0:v>
      </ns0:c>
      <ns0:c r="N123" s="16">
        <ns0:f>IF(('前提と出典'!$C$37+'前提と出典'!$C$38)=0,0,IF(C123&lt;=10,'前提と出典'!D73+'前提と出典'!E73,IF(C123&lt;=100,'前提と出典'!D74+'前提と出典'!E74,IF(C123&lt;=500,'前提と出典'!D75+'前提と出典'!E75,'前提と出典'!D76+'前提と出典'!E76))))</ns0:f>
        <ns0:v>34510.9346263078</ns0:v>
      </ns0:c>
      <ns0:c r="O123" s="16">
        <ns0:f>IF('前提と出典'!$C$36+'前提と出典'!$C$38=0,0,'前提と出典'!$B$4*IF('前提と出典'!$B$20=0,MAX('前提と出典'!$B$6,D123*'前提と出典'!$B$5),'前提と出典'!$B$6+D123*'前提と出典'!$B$5))</ns0:f>
        <ns0:v>118165.00558659217</ns0:v>
      </ns0:c>
      <ns0:c r="P123" s="16">
        <ns0:f>(E123+G123)*(1-'前提と出典'!$B$7)-I123-K123-M123-O123</ns0:f>
        <ns0:v>323402.5699124115</ns0:v>
      </ns0:c>
      <ns0:c r="Q123" s="16">
        <ns0:f>(F123+H123)*(1-'前提と出典'!$B$7)-J123-L123-N123</ns0:f>
        <ns0:v>76015.00228223667</ns0:v>
      </ns0:c>
      <ns0:c r="R123" s="16">
        <ns0:f>P123-E123*'前提と出典'!$E$4</ns0:f>
        <ns0:v>233657.30655271088</ns0:v>
      </ns0:c>
      <ns0:c r="S123" s="16">
        <ns0:f>Q123-F123*'前提と出典'!$E$4</ns0:f>
        <ns0:v>49937.32277115883</ns0:v>
      </ns0:c>
      <ns0:c r="T123" s="7">
        <ns0:f>R123+S123</ns0:f>
        <ns0:v>283594.6293238697</ns0:v>
      </ns0:c>
      <ns0:c r="U123" s="16">
        <ns0:f>P123-E123*'前提と出典'!$E$5</ns0:f>
        <ns0:v>203742.218766144</ns0:v>
      </ns0:c>
      <ns0:c r="V123" s="16">
        <ns0:f>Q123-F123*'前提と出典'!$E$5</ns0:f>
        <ns0:v>41244.762934132865</ns0:v>
      </ns0:c>
      <ns0:c r="W123" s="7">
        <ns0:f>U123+V123</ns0:f>
        <ns0:v>244986.98170027687</ns0:v>
      </ns0:c>
      <ns0:c r="X123" s="16">
        <ns0:f>P123-E123*'前提と出典'!$E$6</ns0:f>
        <ns0:v>173827.1309795772</ns0:v>
      </ns0:c>
      <ns0:c r="Y123" s="16">
        <ns0:f>Q123-F123*'前提と出典'!$E$6</ns0:f>
        <ns0:v>32552.203097106925</ns0:v>
      </ns0:c>
      <ns0:c r="Z123" s="7">
        <ns0:f>X123+Y123</ns0:f>
        <ns0:v>206379.3340766841</ns0:v>
      </ns0:c>
      <ns0:c r="AA123" s="7">
        <ns0:f>IF(T123&gt;=0,A123,1001)</ns0:f>
        <ns0:v>119</ns0:v>
      </ns0:c>
      <ns0:c r="AB123" s="7">
        <ns0:f>IF(T123&lt;0,A123,0)</ns0:f>
        <ns0:v>0</ns0:v>
      </ns0:c>
      <ns0:c r="AC123" s="16">
        <ns0:f>IF(AND(OR('前提と出典'!$C$36+'前提と出典'!$C$38=0,R123&gt;=0),OR('前提と出典'!$C$37+'前提と出典'!$C$38=0,S123&gt;=0)),0,A123)</ns0:f>
        <ns0:v>0</ns0:v>
      </ns0:c>
      <ns0:c r="AD123" s="7">
        <ns0:f>IF(W123&gt;=0,A123,1001)</ns0:f>
        <ns0:v>119</ns0:v>
      </ns0:c>
      <ns0:c r="AE123" s="7">
        <ns0:f>IF(W123&lt;0,A123,0)</ns0:f>
        <ns0:v>0</ns0:v>
      </ns0:c>
      <ns0:c r="AF123" s="16">
        <ns0:f>IF(AND(OR('前提と出典'!$C$36+'前提と出典'!$C$38=0,U123&gt;=0),OR('前提と出典'!$C$37+'前提と出典'!$C$38=0,V123&gt;=0)),0,A123)</ns0:f>
        <ns0:v>0</ns0:v>
      </ns0:c>
      <ns0:c r="AG123" s="7">
        <ns0:f>IF(Z123&gt;=0,A123,1001)</ns0:f>
        <ns0:v>119</ns0:v>
      </ns0:c>
      <ns0:c r="AH123" s="4">
        <ns0:f>IF(Z123&lt;0,A123,0)</ns0:f>
        <ns0:v>0</ns0:v>
      </ns0:c>
      <ns0:c r="AI123" s="12">
        <ns0:f>IF(AND(OR('前提と出典'!$C$36+'前提と出典'!$C$38=0,X123&gt;=0),OR('前提と出典'!$C$37+'前提と出典'!$C$38=0,Y123&gt;=0)),0,A123)</ns0:f>
        <ns0:v>0</ns0:v>
      </ns0:c>
    </ns0:row>
    <ns0:row r="124" ht="24" customHeight="1">
      <ns0:c r="A124" s="4" t="n">
        <ns0:v>120</ns0:v>
      </ns0:c>
      <ns0:c r="B124" s="12">
        <ns0:f>A124*('前提と出典'!$C$36+'前提と出典'!$C$38)</ns0:f>
        <ns0:v>84</ns0:v>
      </ns0:c>
      <ns0:c r="C124" s="12">
        <ns0:f>A124*('前提と出典'!$C$37+'前提と出典'!$C$38)</ns0:f>
        <ns0:v>72</ns0:v>
      </ns0:c>
      <ns0:c r="D124" s="16">
        <ns0:f>A124*('前提と出典'!$C$36*'契約別単価'!C5+'前提と出典'!$C$37*'契約別単価'!C6+'前提と出典'!$C$38*'契約別単価'!C7)</ns0:f>
        <ns0:v>863.463687150838</ns0:v>
      </ns0:c>
      <ns0:c r="E124" s="16">
        <ns0:f>A124*('前提と出典'!$C$36*'契約別単価'!E5+'前提と出典'!$C$37*'契約別単価'!E6+'前提と出典'!$C$38*'契約別単価'!E7)</ns0:f>
        <ns0:v>301664.7507889096</ns0:v>
      </ns0:c>
      <ns0:c r="F124" s="16">
        <ns0:f>A124*('前提と出典'!$C$36*'契約別単価'!F5+'前提と出典'!$C$37*'契約別単価'!F6+'前提と出典'!$C$38*'契約別単価'!F7)</ns0:f>
        <ns0:v>87656.06558345498</ns0:v>
      </ns0:c>
      <ns0:c r="G124" s="16">
        <ns0:f>A124*('前提と出典'!$C$36*'契約別単価'!G5+'前提と出典'!$C$37*'契約別単価'!G6+'前提と出典'!$C$38*'契約別単価'!G7)</ns0:f>
        <ns0:v>238860.33519553073</ns0:v>
      </ns0:c>
      <ns0:c r="H124" s="16">
        <ns0:f>A124*('前提と出典'!$C$36*'契約別単価'!H5+'前提と出典'!$C$37*'契約別単価'!H6+'前提と出典'!$C$38*'契約別単価'!H7)</ns0:f>
        <ns0:v>82896.51610005333</ns0:v>
      </ns0:c>
      <ns0:c r="I124" s="16">
        <ns0:f>A124*('前提と出典'!$C$36*'契約別単価'!I5+'前提と出典'!$C$37*'契約別単価'!I6+'前提と出典'!$C$38*'契約別単価'!I7)</ns0:f>
        <ns0:v>5063.463687150837</ns0:v>
      </ns0:c>
      <ns0:c r="J124" s="16">
        <ns0:f>A124*('前提と出典'!$C$36*'契約別単価'!J5+'前提と出典'!$C$37*'契約別単価'!J6+'前提と出典'!$C$38*'契約別単価'!J7)</ns0:f>
        <ns0:v>11794.745245236309</ns0:v>
      </ns0:c>
      <ns0:c r="K124" s="16">
        <ns0:f>A124*('前提と出典'!$C$36*'契約別単価'!K5+'前提と出典'!$C$37*'契約別単価'!K6+'前提と出典'!$C$38*'契約別単価'!K7)</ns0:f>
        <ns0:v>50556.42458100558</ns0:v>
      </ns0:c>
      <ns0:c r="L124" s="16">
        <ns0:f>A124*('前提と出典'!$C$36*'契約別単価'!L5+'前提と出典'!$C$37*'契約別単価'!L6+'前提と出典'!$C$38*'契約別単価'!L7)</ns0:f>
        <ns0:v>41163.21720333511</ns0:v>
      </ns0:c>
      <ns0:c r="M124" s="16">
        <ns0:f>IF(('前提と出典'!$C$36+'前提と出典'!$C$38)=0,0,IF(B124&lt;=10,'前提と出典'!B73+'前提と出典'!C73,IF(B124&lt;=100,'前提と出典'!B74+'前提と出典'!C74,IF(B124&lt;=500,'前提と出典'!B75+'前提と出典'!C75,'前提と出典'!B76+'前提と出典'!C76))))</ns0:f>
        <ns0:v>20000</ns0:v>
      </ns0:c>
      <ns0:c r="N124" s="16">
        <ns0:f>IF(('前提と出典'!$C$37+'前提と出典'!$C$38)=0,0,IF(C124&lt;=10,'前提と出典'!D73+'前提と出典'!E73,IF(C124&lt;=100,'前提と出典'!D74+'前提と出典'!E74,IF(C124&lt;=500,'前提と出典'!D75+'前提と出典'!E75,'前提と出典'!D76+'前提と出典'!E76))))</ns0:f>
        <ns0:v>34510.9346263078</ns0:v>
      </ns0:c>
      <ns0:c r="O124" s="16">
        <ns0:f>IF('前提と出典'!$C$36+'前提と出典'!$C$38=0,0,'前提と出典'!$B$4*IF('前提と出典'!$B$20=0,MAX('前提と出典'!$B$6,D124*'前提と出典'!$B$5),'前提と出典'!$B$6+D124*'前提と出典'!$B$5))</ns0:f>
        <ns0:v>119157.98882681565</ns0:v>
      </ns0:c>
      <ns0:c r="P124" s="16">
        <ns0:f>(E124+G124)*(1-'前提と出典'!$B$7)-I124-K124-M124-O124</ns0:f>
        <ns0:v>326288.3057940284</ns0:v>
      </ns0:c>
      <ns0:c r="Q124" s="16">
        <ns0:f>(F124+H124)*(1-'前提と出典'!$B$7)-J124-L124-N124</ns0:f>
        <ns0:v>76943.79166802278</ns0:v>
      </ns0:c>
      <ns0:c r="R124" s="16">
        <ns0:f>P124-E124*'前提と出典'!$E$4</ns0:f>
        <ns0:v>235788.8805573555</ns0:v>
      </ns0:c>
      <ns0:c r="S124" s="16">
        <ns0:f>Q124-F124*'前提と出典'!$E$4</ns0:f>
        <ns0:v>50646.97199298627</ns0:v>
      </ns0:c>
      <ns0:c r="T124" s="7">
        <ns0:f>R124+S124</ns0:f>
        <ns0:v>286435.85255034175</ns0:v>
      </ns0:c>
      <ns0:c r="U124" s="16">
        <ns0:f>P124-E124*'前提と出典'!$E$5</ns0:f>
        <ns0:v>205622.40547846453</ns0:v>
      </ns0:c>
      <ns0:c r="V124" s="16">
        <ns0:f>Q124-F124*'前提と出典'!$E$5</ns0:f>
        <ns0:v>41881.36543464079</ns0:v>
      </ns0:c>
      <ns0:c r="W124" s="7">
        <ns0:f>U124+V124</ns0:f>
        <ns0:v>247503.7709131053</ns0:v>
      </ns0:c>
      <ns0:c r="X124" s="16">
        <ns0:f>P124-E124*'前提と出典'!$E$6</ns0:f>
        <ns0:v>175455.93039957355</ns0:v>
      </ns0:c>
      <ns0:c r="Y124" s="16">
        <ns0:f>Q124-F124*'前提と出典'!$E$6</ns0:f>
        <ns0:v>33115.7588762953</ns0:v>
      </ns0:c>
      <ns0:c r="Z124" s="7">
        <ns0:f>X124+Y124</ns0:f>
        <ns0:v>208571.68927586885</ns0:v>
      </ns0:c>
      <ns0:c r="AA124" s="7">
        <ns0:f>IF(T124&gt;=0,A124,1001)</ns0:f>
        <ns0:v>120</ns0:v>
      </ns0:c>
      <ns0:c r="AB124" s="7">
        <ns0:f>IF(T124&lt;0,A124,0)</ns0:f>
        <ns0:v>0</ns0:v>
      </ns0:c>
      <ns0:c r="AC124" s="16">
        <ns0:f>IF(AND(OR('前提と出典'!$C$36+'前提と出典'!$C$38=0,R124&gt;=0),OR('前提と出典'!$C$37+'前提と出典'!$C$38=0,S124&gt;=0)),0,A124)</ns0:f>
        <ns0:v>0</ns0:v>
      </ns0:c>
      <ns0:c r="AD124" s="7">
        <ns0:f>IF(W124&gt;=0,A124,1001)</ns0:f>
        <ns0:v>120</ns0:v>
      </ns0:c>
      <ns0:c r="AE124" s="7">
        <ns0:f>IF(W124&lt;0,A124,0)</ns0:f>
        <ns0:v>0</ns0:v>
      </ns0:c>
      <ns0:c r="AF124" s="16">
        <ns0:f>IF(AND(OR('前提と出典'!$C$36+'前提と出典'!$C$38=0,U124&gt;=0),OR('前提と出典'!$C$37+'前提と出典'!$C$38=0,V124&gt;=0)),0,A124)</ns0:f>
        <ns0:v>0</ns0:v>
      </ns0:c>
      <ns0:c r="AG124" s="7">
        <ns0:f>IF(Z124&gt;=0,A124,1001)</ns0:f>
        <ns0:v>120</ns0:v>
      </ns0:c>
      <ns0:c r="AH124" s="4">
        <ns0:f>IF(Z124&lt;0,A124,0)</ns0:f>
        <ns0:v>0</ns0:v>
      </ns0:c>
      <ns0:c r="AI124" s="12">
        <ns0:f>IF(AND(OR('前提と出典'!$C$36+'前提と出典'!$C$38=0,X124&gt;=0),OR('前提と出典'!$C$37+'前提と出典'!$C$38=0,Y124&gt;=0)),0,A124)</ns0:f>
        <ns0:v>0</ns0:v>
      </ns0:c>
    </ns0:row>
    <ns0:row r="125" ht="24" customHeight="1">
      <ns0:c r="A125" s="4" t="n">
        <ns0:v>121</ns0:v>
      </ns0:c>
      <ns0:c r="B125" s="12">
        <ns0:f>A125*('前提と出典'!$C$36+'前提と出典'!$C$38)</ns0:f>
        <ns0:v>84.69999999999999</ns0:v>
      </ns0:c>
      <ns0:c r="C125" s="12">
        <ns0:f>A125*('前提と出典'!$C$37+'前提と出典'!$C$38)</ns0:f>
        <ns0:v>72.6</ns0:v>
      </ns0:c>
      <ns0:c r="D125" s="16">
        <ns0:f>A125*('前提と出典'!$C$36*'契約別単価'!C5+'前提と出典'!$C$37*'契約別単価'!C6+'前提と出典'!$C$38*'契約別単価'!C7)</ns0:f>
        <ns0:v>870.659217877095</ns0:v>
      </ns0:c>
      <ns0:c r="E125" s="16">
        <ns0:f>A125*('前提と出典'!$C$36*'契約別単価'!E5+'前提と出典'!$C$37*'契約別単価'!E6+'前提と出典'!$C$38*'契約別単価'!E7)</ns0:f>
        <ns0:v>304178.6237121505</ns0:v>
      </ns0:c>
      <ns0:c r="F125" s="16">
        <ns0:f>A125*('前提と出典'!$C$36*'契約別単価'!F5+'前提と出典'!$C$37*'契約別単価'!F6+'前提と出典'!$C$38*'契約別単価'!F7)</ns0:f>
        <ns0:v>88386.53279665044</ns0:v>
      </ns0:c>
      <ns0:c r="G125" s="16">
        <ns0:f>A125*('前提と出典'!$C$36*'契約別単価'!G5+'前提と出典'!$C$37*'契約別単価'!G6+'前提と出典'!$C$38*'契約別単価'!G7)</ns0:f>
        <ns0:v>240850.8379888268</ns0:v>
      </ns0:c>
      <ns0:c r="H125" s="16">
        <ns0:f>A125*('前提と出典'!$C$36*'契約別単価'!H5+'前提と出典'!$C$37*'契約別単価'!H6+'前提と出典'!$C$38*'契約別単価'!H7)</ns0:f>
        <ns0:v>83587.3204008871</ns0:v>
      </ns0:c>
      <ns0:c r="I125" s="16">
        <ns0:f>A125*('前提と出典'!$C$36*'契約別単価'!I5+'前提と出典'!$C$37*'契約別単価'!I6+'前提と出典'!$C$38*'契約別単価'!I7)</ns0:f>
        <ns0:v>5105.659217877094</ns0:v>
      </ns0:c>
      <ns0:c r="J125" s="16">
        <ns0:f>A125*('前提と出典'!$C$36*'契約別単価'!J5+'前提と出典'!$C$37*'契約別単価'!J6+'前提と出典'!$C$38*'契約別単価'!J7)</ns0:f>
        <ns0:v>11893.03478894661</ns0:v>
      </ns0:c>
      <ns0:c r="K125" s="16">
        <ns0:f>A125*('前提と出典'!$C$36*'契約別単価'!K5+'前提と出典'!$C$37*'契約別単価'!K6+'前提と出典'!$C$38*'契約別単価'!K7)</ns0:f>
        <ns0:v>50977.72811918063</ns0:v>
      </ns0:c>
      <ns0:c r="L125" s="16">
        <ns0:f>A125*('前提と出典'!$C$36*'契約別単価'!L5+'前提と出典'!$C$37*'契約別単価'!L6+'前提と出典'!$C$38*'契約別単価'!L7)</ns0:f>
        <ns0:v>41506.2440133629</ns0:v>
      </ns0:c>
      <ns0:c r="M125" s="16">
        <ns0:f>IF(('前提と出典'!$C$36+'前提と出典'!$C$38)=0,0,IF(B125&lt;=10,'前提と出典'!B73+'前提と出典'!C73,IF(B125&lt;=100,'前提と出典'!B74+'前提と出典'!C74,IF(B125&lt;=500,'前提と出典'!B75+'前提と出典'!C75,'前提と出典'!B76+'前提と出典'!C76))))</ns0:f>
        <ns0:v>20000</ns0:v>
      </ns0:c>
      <ns0:c r="N125" s="16">
        <ns0:f>IF(('前提と出典'!$C$37+'前提と出典'!$C$38)=0,0,IF(C125&lt;=10,'前提と出典'!D73+'前提と出典'!E73,IF(C125&lt;=100,'前提と出典'!D74+'前提と出典'!E74,IF(C125&lt;=500,'前提と出典'!D75+'前提と出典'!E75,'前提と出典'!D76+'前提と出典'!E76))))</ns0:f>
        <ns0:v>34510.9346263078</ns0:v>
      </ns0:c>
      <ns0:c r="O125" s="16">
        <ns0:f>IF('前提と出典'!$C$36+'前提と出典'!$C$38=0,0,'前提と出典'!$B$4*IF('前提と出典'!$B$20=0,MAX('前提と出典'!$B$6,D125*'前提と出典'!$B$5),'前提と出典'!$B$6+D125*'前提と出典'!$B$5))</ns0:f>
        <ns0:v>120150.97206703911</ns0:v>
      </ns0:c>
      <ns0:c r="P125" s="16">
        <ns0:f>(E125+G125)*(1-'前提と出典'!$B$7)-I125-K125-M125-O125</ns0:f>
        <ns0:v>329174.0416756453</ns0:v>
      </ns0:c>
      <ns0:c r="Q125" s="16">
        <ns0:f>(F125+H125)*(1-'前提と出典'!$B$7)-J125-L125-N125</ns0:f>
        <ns0:v>77872.5810538089</ns0:v>
      </ns0:c>
      <ns0:c r="R125" s="16">
        <ns0:f>P125-E125*'前提と出典'!$E$4</ns0:f>
        <ns0:v>237920.45456200012</ns0:v>
      </ns0:c>
      <ns0:c r="S125" s="16">
        <ns0:f>Q125-F125*'前提と出典'!$E$4</ns0:f>
        <ns0:v>51356.621214813764</ns0:v>
      </ns0:c>
      <ns0:c r="T125" s="7">
        <ns0:f>R125+S125</ns0:f>
        <ns0:v>289277.0757768139</ns0:v>
      </ns0:c>
      <ns0:c r="U125" s="16">
        <ns0:f>P125-E125*'前提と出典'!$E$5</ns0:f>
        <ns0:v>207502.5921907851</ns0:v>
      </ns0:c>
      <ns0:c r="V125" s="16">
        <ns0:f>Q125-F125*'前提と出典'!$E$5</ns0:f>
        <ns0:v>42517.96793514872</ns0:v>
      </ns0:c>
      <ns0:c r="W125" s="7">
        <ns0:f>U125+V125</ns0:f>
        <ns0:v>250020.56012593381</ns0:v>
      </ns0:c>
      <ns0:c r="X125" s="16">
        <ns0:f>P125-E125*'前提と出典'!$E$6</ns0:f>
        <ns0:v>177084.72981957003</ns0:v>
      </ns0:c>
      <ns0:c r="Y125" s="16">
        <ns0:f>Q125-F125*'前提と出典'!$E$6</ns0:f>
        <ns0:v>33679.31465548368</ns0:v>
      </ns0:c>
      <ns0:c r="Z125" s="7">
        <ns0:f>X125+Y125</ns0:f>
        <ns0:v>210764.0444750537</ns0:v>
      </ns0:c>
      <ns0:c r="AA125" s="7">
        <ns0:f>IF(T125&gt;=0,A125,1001)</ns0:f>
        <ns0:v>121</ns0:v>
      </ns0:c>
      <ns0:c r="AB125" s="7">
        <ns0:f>IF(T125&lt;0,A125,0)</ns0:f>
        <ns0:v>0</ns0:v>
      </ns0:c>
      <ns0:c r="AC125" s="16">
        <ns0:f>IF(AND(OR('前提と出典'!$C$36+'前提と出典'!$C$38=0,R125&gt;=0),OR('前提と出典'!$C$37+'前提と出典'!$C$38=0,S125&gt;=0)),0,A125)</ns0:f>
        <ns0:v>0</ns0:v>
      </ns0:c>
      <ns0:c r="AD125" s="7">
        <ns0:f>IF(W125&gt;=0,A125,1001)</ns0:f>
        <ns0:v>121</ns0:v>
      </ns0:c>
      <ns0:c r="AE125" s="7">
        <ns0:f>IF(W125&lt;0,A125,0)</ns0:f>
        <ns0:v>0</ns0:v>
      </ns0:c>
      <ns0:c r="AF125" s="16">
        <ns0:f>IF(AND(OR('前提と出典'!$C$36+'前提と出典'!$C$38=0,U125&gt;=0),OR('前提と出典'!$C$37+'前提と出典'!$C$38=0,V125&gt;=0)),0,A125)</ns0:f>
        <ns0:v>0</ns0:v>
      </ns0:c>
      <ns0:c r="AG125" s="7">
        <ns0:f>IF(Z125&gt;=0,A125,1001)</ns0:f>
        <ns0:v>121</ns0:v>
      </ns0:c>
      <ns0:c r="AH125" s="4">
        <ns0:f>IF(Z125&lt;0,A125,0)</ns0:f>
        <ns0:v>0</ns0:v>
      </ns0:c>
      <ns0:c r="AI125" s="12">
        <ns0:f>IF(AND(OR('前提と出典'!$C$36+'前提と出典'!$C$38=0,X125&gt;=0),OR('前提と出典'!$C$37+'前提と出典'!$C$38=0,Y125&gt;=0)),0,A125)</ns0:f>
        <ns0:v>0</ns0:v>
      </ns0:c>
    </ns0:row>
    <ns0:row r="126" ht="24" customHeight="1">
      <ns0:c r="A126" s="4" t="n">
        <ns0:v>122</ns0:v>
      </ns0:c>
      <ns0:c r="B126" s="12">
        <ns0:f>A126*('前提と出典'!$C$36+'前提と出典'!$C$38)</ns0:f>
        <ns0:v>85.39999999999999</ns0:v>
      </ns0:c>
      <ns0:c r="C126" s="12">
        <ns0:f>A126*('前提と出典'!$C$37+'前提と出典'!$C$38)</ns0:f>
        <ns0:v>73.2</ns0:v>
      </ns0:c>
      <ns0:c r="D126" s="16">
        <ns0:f>A126*('前提と出典'!$C$36*'契約別単価'!C5+'前提と出典'!$C$37*'契約別単価'!C6+'前提と出典'!$C$38*'契約別単価'!C7)</ns0:f>
        <ns0:v>877.8547486033519</ns0:v>
      </ns0:c>
      <ns0:c r="E126" s="16">
        <ns0:f>A126*('前提と出典'!$C$36*'契約別単価'!E5+'前提と出典'!$C$37*'契約別単価'!E6+'前提と出典'!$C$38*'契約別単価'!E7)</ns0:f>
        <ns0:v>306692.49663539144</ns0:v>
      </ns0:c>
      <ns0:c r="F126" s="16">
        <ns0:f>A126*('前提と出典'!$C$36*'契約別単価'!F5+'前提と出典'!$C$37*'契約別単価'!F6+'前提と出典'!$C$38*'契約別単価'!F7)</ns0:f>
        <ns0:v>89117.0000098459</ns0:v>
      </ns0:c>
      <ns0:c r="G126" s="16">
        <ns0:f>A126*('前提と出典'!$C$36*'契約別単価'!G5+'前提と出典'!$C$37*'契約別単価'!G6+'前提と出典'!$C$38*'契約別単価'!G7)</ns0:f>
        <ns0:v>242841.3407821229</ns0:v>
      </ns0:c>
      <ns0:c r="H126" s="16">
        <ns0:f>A126*('前提と出典'!$C$36*'契約別単価'!H5+'前提と出典'!$C$37*'契約別単価'!H6+'前提と出典'!$C$38*'契約別単価'!H7)</ns0:f>
        <ns0:v>84278.12470172088</ns0:v>
      </ns0:c>
      <ns0:c r="I126" s="16">
        <ns0:f>A126*('前提と出典'!$C$36*'契約別単価'!I5+'前提と出典'!$C$37*'契約別単価'!I6+'前提と出典'!$C$38*'契約別単価'!I7)</ns0:f>
        <ns0:v>5147.854748603351</ns0:v>
      </ns0:c>
      <ns0:c r="J126" s="16">
        <ns0:f>A126*('前提と出典'!$C$36*'契約別単価'!J5+'前提と出典'!$C$37*'契約別単価'!J6+'前提と出典'!$C$38*'契約別単価'!J7)</ns0:f>
        <ns0:v>11991.324332656914</ns0:v>
      </ns0:c>
      <ns0:c r="K126" s="16">
        <ns0:f>A126*('前提と出典'!$C$36*'契約別単価'!K5+'前提と出典'!$C$37*'契約別単価'!K6+'前提と出典'!$C$38*'契約別単価'!K7)</ns0:f>
        <ns0:v>51399.03165735568</ns0:v>
      </ns0:c>
      <ns0:c r="L126" s="16">
        <ns0:f>A126*('前提と出典'!$C$36*'契約別単価'!L5+'前提と出典'!$C$37*'契約別単価'!L6+'前提と出典'!$C$38*'契約別単価'!L7)</ns0:f>
        <ns0:v>41849.270823390696</ns0:v>
      </ns0:c>
      <ns0:c r="M126" s="16">
        <ns0:f>IF(('前提と出典'!$C$36+'前提と出典'!$C$38)=0,0,IF(B126&lt;=10,'前提と出典'!B73+'前提と出典'!C73,IF(B126&lt;=100,'前提と出典'!B74+'前提と出典'!C74,IF(B126&lt;=500,'前提と出典'!B75+'前提と出典'!C75,'前提と出典'!B76+'前提と出典'!C76))))</ns0:f>
        <ns0:v>20000</ns0:v>
      </ns0:c>
      <ns0:c r="N126" s="16">
        <ns0:f>IF(('前提と出典'!$C$37+'前提と出典'!$C$38)=0,0,IF(C126&lt;=10,'前提と出典'!D73+'前提と出典'!E73,IF(C126&lt;=100,'前提と出典'!D74+'前提と出典'!E74,IF(C126&lt;=500,'前提と出典'!D75+'前提と出典'!E75,'前提と出典'!D76+'前提と出典'!E76))))</ns0:f>
        <ns0:v>34510.9346263078</ns0:v>
      </ns0:c>
      <ns0:c r="O126" s="16">
        <ns0:f>IF('前提と出典'!$C$36+'前提と出典'!$C$38=0,0,'前提と出典'!$B$4*IF('前提と出典'!$B$20=0,MAX('前提と出典'!$B$6,D126*'前提と出典'!$B$5),'前提と出典'!$B$6+D126*'前提と出典'!$B$5))</ns0:f>
        <ns0:v>121143.95530726257</ns0:v>
      </ns0:c>
      <ns0:c r="P126" s="16">
        <ns0:f>(E126+G126)*(1-'前提と出典'!$B$7)-I126-K126-M126-O126</ns0:f>
        <ns0:v>332059.7775572622</ns0:v>
      </ns0:c>
      <ns0:c r="Q126" s="16">
        <ns0:f>(F126+H126)*(1-'前提と出典'!$B$7)-J126-L126-N126</ns0:f>
        <ns0:v>78801.37043959496</ns0:v>
      </ns0:c>
      <ns0:c r="R126" s="16">
        <ns0:f>P126-E126*'前提と出典'!$E$4</ns0:f>
        <ns0:v>240052.02856664473</ns0:v>
      </ns0:c>
      <ns0:c r="S126" s="16">
        <ns0:f>Q126-F126*'前提と出典'!$E$4</ns0:f>
        <ns0:v>52066.270436641185</ns0:v>
      </ns0:c>
      <ns0:c r="T126" s="7">
        <ns0:f>R126+S126</ns0:f>
        <ns0:v>292118.29900328594</ns0:v>
      </ns0:c>
      <ns0:c r="U126" s="16">
        <ns0:f>P126-E126*'前提と出典'!$E$5</ns0:f>
        <ns0:v>209382.77890310562</ns0:v>
      </ns0:c>
      <ns0:c r="V126" s="16">
        <ns0:f>Q126-F126*'前提と出典'!$E$5</ns0:f>
        <ns0:v>43154.57043565659</ns0:v>
      </ns0:c>
      <ns0:c r="W126" s="7">
        <ns0:f>U126+V126</ns0:f>
        <ns0:v>252537.3493387622</ns0:v>
      </ns0:c>
      <ns0:c r="X126" s="16">
        <ns0:f>P126-E126*'前提と出典'!$E$6</ns0:f>
        <ns0:v>178713.5292395665</ns0:v>
      </ns0:c>
      <ns0:c r="Y126" s="16">
        <ns0:f>Q126-F126*'前提と出典'!$E$6</ns0:f>
        <ns0:v>34242.870434672026</ns0:v>
      </ns0:c>
      <ns0:c r="Z126" s="7">
        <ns0:f>X126+Y126</ns0:f>
        <ns0:v>212956.39967423852</ns0:v>
      </ns0:c>
      <ns0:c r="AA126" s="7">
        <ns0:f>IF(T126&gt;=0,A126,1001)</ns0:f>
        <ns0:v>122</ns0:v>
      </ns0:c>
      <ns0:c r="AB126" s="7">
        <ns0:f>IF(T126&lt;0,A126,0)</ns0:f>
        <ns0:v>0</ns0:v>
      </ns0:c>
      <ns0:c r="AC126" s="16">
        <ns0:f>IF(AND(OR('前提と出典'!$C$36+'前提と出典'!$C$38=0,R126&gt;=0),OR('前提と出典'!$C$37+'前提と出典'!$C$38=0,S126&gt;=0)),0,A126)</ns0:f>
        <ns0:v>0</ns0:v>
      </ns0:c>
      <ns0:c r="AD126" s="7">
        <ns0:f>IF(W126&gt;=0,A126,1001)</ns0:f>
        <ns0:v>122</ns0:v>
      </ns0:c>
      <ns0:c r="AE126" s="7">
        <ns0:f>IF(W126&lt;0,A126,0)</ns0:f>
        <ns0:v>0</ns0:v>
      </ns0:c>
      <ns0:c r="AF126" s="16">
        <ns0:f>IF(AND(OR('前提と出典'!$C$36+'前提と出典'!$C$38=0,U126&gt;=0),OR('前提と出典'!$C$37+'前提と出典'!$C$38=0,V126&gt;=0)),0,A126)</ns0:f>
        <ns0:v>0</ns0:v>
      </ns0:c>
      <ns0:c r="AG126" s="7">
        <ns0:f>IF(Z126&gt;=0,A126,1001)</ns0:f>
        <ns0:v>122</ns0:v>
      </ns0:c>
      <ns0:c r="AH126" s="4">
        <ns0:f>IF(Z126&lt;0,A126,0)</ns0:f>
        <ns0:v>0</ns0:v>
      </ns0:c>
      <ns0:c r="AI126" s="12">
        <ns0:f>IF(AND(OR('前提と出典'!$C$36+'前提と出典'!$C$38=0,X126&gt;=0),OR('前提と出典'!$C$37+'前提と出典'!$C$38=0,Y126&gt;=0)),0,A126)</ns0:f>
        <ns0:v>0</ns0:v>
      </ns0:c>
    </ns0:row>
    <ns0:row r="127" ht="24" customHeight="1">
      <ns0:c r="A127" s="4" t="n">
        <ns0:v>123</ns0:v>
      </ns0:c>
      <ns0:c r="B127" s="12">
        <ns0:f>A127*('前提と出典'!$C$36+'前提と出典'!$C$38)</ns0:f>
        <ns0:v>86.1</ns0:v>
      </ns0:c>
      <ns0:c r="C127" s="12">
        <ns0:f>A127*('前提と出典'!$C$37+'前提と出典'!$C$38)</ns0:f>
        <ns0:v>73.8</ns0:v>
      </ns0:c>
      <ns0:c r="D127" s="16">
        <ns0:f>A127*('前提と出典'!$C$36*'契約別単価'!C5+'前提と出典'!$C$37*'契約別単価'!C6+'前提と出典'!$C$38*'契約別単価'!C7)</ns0:f>
        <ns0:v>885.0502793296089</ns0:v>
      </ns0:c>
      <ns0:c r="E127" s="16">
        <ns0:f>A127*('前提と出典'!$C$36*'契約別単価'!E5+'前提と出典'!$C$37*'契約別単価'!E6+'前提と出典'!$C$38*'契約別単価'!E7)</ns0:f>
        <ns0:v>309206.3695586323</ns0:v>
      </ns0:c>
      <ns0:c r="F127" s="16">
        <ns0:f>A127*('前提と出典'!$C$36*'契約別単価'!F5+'前提と出典'!$C$37*'契約別単価'!F6+'前提と出典'!$C$38*'契約別単価'!F7)</ns0:f>
        <ns0:v>89847.46722304136</ns0:v>
      </ns0:c>
      <ns0:c r="G127" s="16">
        <ns0:f>A127*('前提と出典'!$C$36*'契約別単価'!G5+'前提と出典'!$C$37*'契約別単価'!G6+'前提と出典'!$C$38*'契約別単価'!G7)</ns0:f>
        <ns0:v>244831.84357541898</ns0:v>
      </ns0:c>
      <ns0:c r="H127" s="16">
        <ns0:f>A127*('前提と出典'!$C$36*'契約別単価'!H5+'前提と出典'!$C$37*'契約別単価'!H6+'前提と出典'!$C$38*'契約別単価'!H7)</ns0:f>
        <ns0:v>84968.92900255465</ns0:v>
      </ns0:c>
      <ns0:c r="I127" s="16">
        <ns0:f>A127*('前提と出典'!$C$36*'契約別単価'!I5+'前提と出典'!$C$37*'契約別単価'!I6+'前提と出典'!$C$38*'契約別単価'!I7)</ns0:f>
        <ns0:v>5190.050279329608</ns0:v>
      </ns0:c>
      <ns0:c r="J127" s="16">
        <ns0:f>A127*('前提と出典'!$C$36*'契約別単価'!J5+'前提と出典'!$C$37*'契約別単価'!J6+'前提と出典'!$C$38*'契約別単価'!J7)</ns0:f>
        <ns0:v>12089.613876367215</ns0:v>
      </ns0:c>
      <ns0:c r="K127" s="16">
        <ns0:f>A127*('前提と出典'!$C$36*'契約別単価'!K5+'前提と出典'!$C$37*'契約別単価'!K6+'前提と出典'!$C$38*'契約別単価'!K7)</ns0:f>
        <ns0:v>51820.33519553072</ns0:v>
      </ns0:c>
      <ns0:c r="L127" s="16">
        <ns0:f>A127*('前提と出典'!$C$36*'契約別単価'!L5+'前提と出典'!$C$37*'契約別単価'!L6+'前提と出典'!$C$38*'契約別単価'!L7)</ns0:f>
        <ns0:v>42192.297633418486</ns0:v>
      </ns0:c>
      <ns0:c r="M127" s="16">
        <ns0:f>IF(('前提と出典'!$C$36+'前提と出典'!$C$38)=0,0,IF(B127&lt;=10,'前提と出典'!B73+'前提と出典'!C73,IF(B127&lt;=100,'前提と出典'!B74+'前提と出典'!C74,IF(B127&lt;=500,'前提と出典'!B75+'前提と出典'!C75,'前提と出典'!B76+'前提と出典'!C76))))</ns0:f>
        <ns0:v>20000</ns0:v>
      </ns0:c>
      <ns0:c r="N127" s="16">
        <ns0:f>IF(('前提と出典'!$C$37+'前提と出典'!$C$38)=0,0,IF(C127&lt;=10,'前提と出典'!D73+'前提と出典'!E73,IF(C127&lt;=100,'前提と出典'!D74+'前提と出典'!E74,IF(C127&lt;=500,'前提と出典'!D75+'前提と出典'!E75,'前提と出典'!D76+'前提と出典'!E76))))</ns0:f>
        <ns0:v>34510.9346263078</ns0:v>
      </ns0:c>
      <ns0:c r="O127" s="16">
        <ns0:f>IF('前提と出典'!$C$36+'前提と出典'!$C$38=0,0,'前提と出典'!$B$4*IF('前提と出典'!$B$20=0,MAX('前提と出典'!$B$6,D127*'前提と出典'!$B$5),'前提と出典'!$B$6+D127*'前提と出典'!$B$5))</ns0:f>
        <ns0:v>122136.93854748603</ns0:v>
      </ns0:c>
      <ns0:c r="P127" s="16">
        <ns0:f>(E127+G127)*(1-'前提と出典'!$B$7)-I127-K127-M127-O127</ns0:f>
        <ns0:v>334945.5134388791</ns0:v>
      </ns0:c>
      <ns0:c r="Q127" s="16">
        <ns0:f>(F127+H127)*(1-'前提と出典'!$B$7)-J127-L127-N127</ns0:f>
        <ns0:v>79730.15982538104</ns0:v>
      </ns0:c>
      <ns0:c r="R127" s="16">
        <ns0:f>P127-E127*'前提と出典'!$E$4</ns0:f>
        <ns0:v>242183.6025712894</ns0:v>
      </ns0:c>
      <ns0:c r="S127" s="16">
        <ns0:f>Q127-F127*'前提と出典'!$E$4</ns0:f>
        <ns0:v>52775.919658468636</ns0:v>
      </ns0:c>
      <ns0:c r="T127" s="7">
        <ns0:f>R127+S127</ns0:f>
        <ns0:v>294959.52222975803</ns0:v>
      </ns0:c>
      <ns0:c r="U127" s="16">
        <ns0:f>P127-E127*'前提と出典'!$E$5</ns0:f>
        <ns0:v>211262.9656154262</ns0:v>
      </ns0:c>
      <ns0:c r="V127" s="16">
        <ns0:f>Q127-F127*'前提と出典'!$E$5</ns0:f>
        <ns0:v>43791.17293616449</ns0:v>
      </ns0:c>
      <ns0:c r="W127" s="7">
        <ns0:f>U127+V127</ns0:f>
        <ns0:v>255054.13855159067</ns0:v>
      </ns0:c>
      <ns0:c r="X127" s="16">
        <ns0:f>P127-E127*'前提と出典'!$E$6</ns0:f>
        <ns0:v>180342.32865956292</ns0:v>
      </ns0:c>
      <ns0:c r="Y127" s="16">
        <ns0:f>Q127-F127*'前提と出典'!$E$6</ns0:f>
        <ns0:v>34806.4262138604</ns0:v>
      </ns0:c>
      <ns0:c r="Z127" s="7">
        <ns0:f>X127+Y127</ns0:f>
        <ns0:v>215148.7548734233</ns0:v>
      </ns0:c>
      <ns0:c r="AA127" s="7">
        <ns0:f>IF(T127&gt;=0,A127,1001)</ns0:f>
        <ns0:v>123</ns0:v>
      </ns0:c>
      <ns0:c r="AB127" s="7">
        <ns0:f>IF(T127&lt;0,A127,0)</ns0:f>
        <ns0:v>0</ns0:v>
      </ns0:c>
      <ns0:c r="AC127" s="16">
        <ns0:f>IF(AND(OR('前提と出典'!$C$36+'前提と出典'!$C$38=0,R127&gt;=0),OR('前提と出典'!$C$37+'前提と出典'!$C$38=0,S127&gt;=0)),0,A127)</ns0:f>
        <ns0:v>0</ns0:v>
      </ns0:c>
      <ns0:c r="AD127" s="7">
        <ns0:f>IF(W127&gt;=0,A127,1001)</ns0:f>
        <ns0:v>123</ns0:v>
      </ns0:c>
      <ns0:c r="AE127" s="7">
        <ns0:f>IF(W127&lt;0,A127,0)</ns0:f>
        <ns0:v>0</ns0:v>
      </ns0:c>
      <ns0:c r="AF127" s="16">
        <ns0:f>IF(AND(OR('前提と出典'!$C$36+'前提と出典'!$C$38=0,U127&gt;=0),OR('前提と出典'!$C$37+'前提と出典'!$C$38=0,V127&gt;=0)),0,A127)</ns0:f>
        <ns0:v>0</ns0:v>
      </ns0:c>
      <ns0:c r="AG127" s="7">
        <ns0:f>IF(Z127&gt;=0,A127,1001)</ns0:f>
        <ns0:v>123</ns0:v>
      </ns0:c>
      <ns0:c r="AH127" s="4">
        <ns0:f>IF(Z127&lt;0,A127,0)</ns0:f>
        <ns0:v>0</ns0:v>
      </ns0:c>
      <ns0:c r="AI127" s="12">
        <ns0:f>IF(AND(OR('前提と出典'!$C$36+'前提と出典'!$C$38=0,X127&gt;=0),OR('前提と出典'!$C$37+'前提と出典'!$C$38=0,Y127&gt;=0)),0,A127)</ns0:f>
        <ns0:v>0</ns0:v>
      </ns0:c>
    </ns0:row>
    <ns0:row r="128" ht="24" customHeight="1">
      <ns0:c r="A128" s="4" t="n">
        <ns0:v>124</ns0:v>
      </ns0:c>
      <ns0:c r="B128" s="12">
        <ns0:f>A128*('前提と出典'!$C$36+'前提と出典'!$C$38)</ns0:f>
        <ns0:v>86.8</ns0:v>
      </ns0:c>
      <ns0:c r="C128" s="12">
        <ns0:f>A128*('前提と出典'!$C$37+'前提と出典'!$C$38)</ns0:f>
        <ns0:v>74.39999999999999</ns0:v>
      </ns0:c>
      <ns0:c r="D128" s="16">
        <ns0:f>A128*('前提と出典'!$C$36*'契約別単価'!C5+'前提と出典'!$C$37*'契約別単価'!C6+'前提と出典'!$C$38*'契約別単価'!C7)</ns0:f>
        <ns0:v>892.245810055866</ns0:v>
      </ns0:c>
      <ns0:c r="E128" s="16">
        <ns0:f>A128*('前提と出典'!$C$36*'契約別単価'!E5+'前提と出典'!$C$37*'契約別単価'!E6+'前提と出典'!$C$38*'契約別単価'!E7)</ns0:f>
        <ns0:v>311720.24248187325</ns0:v>
      </ns0:c>
      <ns0:c r="F128" s="16">
        <ns0:f>A128*('前提と出典'!$C$36*'契約別単価'!F5+'前提と出典'!$C$37*'契約別単価'!F6+'前提と出典'!$C$38*'契約別単価'!F7)</ns0:f>
        <ns0:v>90577.93443623681</ns0:v>
      </ns0:c>
      <ns0:c r="G128" s="16">
        <ns0:f>A128*('前提と出典'!$C$36*'契約別単価'!G5+'前提と出典'!$C$37*'契約別単価'!G6+'前提と出典'!$C$38*'契約別単価'!G7)</ns0:f>
        <ns0:v>246822.34636871508</ns0:v>
      </ns0:c>
      <ns0:c r="H128" s="16">
        <ns0:f>A128*('前提と出典'!$C$36*'契約別単価'!H5+'前提と出典'!$C$37*'契約別単価'!H6+'前提と出典'!$C$38*'契約別単価'!H7)</ns0:f>
        <ns0:v>85659.73330338844</ns0:v>
      </ns0:c>
      <ns0:c r="I128" s="16">
        <ns0:f>A128*('前提と出典'!$C$36*'契約別単価'!I5+'前提と出典'!$C$37*'契約別単価'!I6+'前提と出典'!$C$38*'契約別単価'!I7)</ns0:f>
        <ns0:v>5232.245810055865</ns0:v>
      </ns0:c>
      <ns0:c r="J128" s="16">
        <ns0:f>A128*('前提と出典'!$C$36*'契約別単価'!J5+'前提と出典'!$C$37*'契約別単価'!J6+'前提と出典'!$C$38*'契約別単価'!J7)</ns0:f>
        <ns0:v>12187.903420077519</ns0:v>
      </ns0:c>
      <ns0:c r="K128" s="16">
        <ns0:f>A128*('前提と出典'!$C$36*'契約別単価'!K5+'前提と出典'!$C$37*'契約別単価'!K6+'前提と出典'!$C$38*'契約別単価'!K7)</ns0:f>
        <ns0:v>52241.63873370577</ns0:v>
      </ns0:c>
      <ns0:c r="L128" s="16">
        <ns0:f>A128*('前提と出典'!$C$36*'契約別単価'!L5+'前提と出典'!$C$37*'契約別単価'!L6+'前提と出典'!$C$38*'契約別単価'!L7)</ns0:f>
        <ns0:v>42535.32444344628</ns0:v>
      </ns0:c>
      <ns0:c r="M128" s="16">
        <ns0:f>IF(('前提と出典'!$C$36+'前提と出典'!$C$38)=0,0,IF(B128&lt;=10,'前提と出典'!B73+'前提と出典'!C73,IF(B128&lt;=100,'前提と出典'!B74+'前提と出典'!C74,IF(B128&lt;=500,'前提と出典'!B75+'前提と出典'!C75,'前提と出典'!B76+'前提と出典'!C76))))</ns0:f>
        <ns0:v>20000</ns0:v>
      </ns0:c>
      <ns0:c r="N128" s="16">
        <ns0:f>IF(('前提と出典'!$C$37+'前提と出典'!$C$38)=0,0,IF(C128&lt;=10,'前提と出典'!D73+'前提と出典'!E73,IF(C128&lt;=100,'前提と出典'!D74+'前提と出典'!E74,IF(C128&lt;=500,'前提と出典'!D75+'前提と出典'!E75,'前提と出典'!D76+'前提と出典'!E76))))</ns0:f>
        <ns0:v>34510.9346263078</ns0:v>
      </ns0:c>
      <ns0:c r="O128" s="16">
        <ns0:f>IF('前提と出典'!$C$36+'前提と出典'!$C$38=0,0,'前提と出典'!$B$4*IF('前提と出典'!$B$20=0,MAX('前提と出典'!$B$6,D128*'前提と出典'!$B$5),'前提と出典'!$B$6+D128*'前提と出典'!$B$5))</ns0:f>
        <ns0:v>123129.9217877095</ns0:v>
      </ns0:c>
      <ns0:c r="P128" s="16">
        <ns0:f>(E128+G128)*(1-'前提と出典'!$B$7)-I128-K128-M128-O128</ns0:f>
        <ns0:v>337831.249320496</ns0:v>
      </ns0:c>
      <ns0:c r="Q128" s="16">
        <ns0:f>(F128+H128)*(1-'前提と出典'!$B$7)-J128-L128-N128</ns0:f>
        <ns0:v>80658.94921116716</ns0:v>
      </ns0:c>
      <ns0:c r="R128" s="16">
        <ns0:f>P128-E128*'前提と出典'!$E$4</ns0:f>
        <ns0:v>244315.176575934</ns0:v>
      </ns0:c>
      <ns0:c r="S128" s="16">
        <ns0:f>Q128-F128*'前提と出典'!$E$4</ns0:f>
        <ns0:v>53485.56888029613</ns0:v>
      </ns0:c>
      <ns0:c r="T128" s="7">
        <ns0:f>R128+S128</ns0:f>
        <ns0:v>297800.7454562301</ns0:v>
      </ns0:c>
      <ns0:c r="U128" s="16">
        <ns0:f>P128-E128*'前提と出典'!$E$5</ns0:f>
        <ns0:v>213143.15232774668</ns0:v>
      </ns0:c>
      <ns0:c r="V128" s="16">
        <ns0:f>Q128-F128*'前提と出典'!$E$5</ns0:f>
        <ns0:v>44427.77543667243</ns0:v>
      </ns0:c>
      <ns0:c r="W128" s="7">
        <ns0:f>U128+V128</ns0:f>
        <ns0:v>257570.92776441912</ns0:v>
      </ns0:c>
      <ns0:c r="X128" s="16">
        <ns0:f>P128-E128*'前提と出典'!$E$6</ns0:f>
        <ns0:v>181971.12807955936</ns0:v>
      </ns0:c>
      <ns0:c r="Y128" s="16">
        <ns0:f>Q128-F128*'前提と出典'!$E$6</ns0:f>
        <ns0:v>35369.98199304875</ns0:v>
      </ns0:c>
      <ns0:c r="Z128" s="7">
        <ns0:f>X128+Y128</ns0:f>
        <ns0:v>217341.1100726081</ns0:v>
      </ns0:c>
      <ns0:c r="AA128" s="7">
        <ns0:f>IF(T128&gt;=0,A128,1001)</ns0:f>
        <ns0:v>124</ns0:v>
      </ns0:c>
      <ns0:c r="AB128" s="7">
        <ns0:f>IF(T128&lt;0,A128,0)</ns0:f>
        <ns0:v>0</ns0:v>
      </ns0:c>
      <ns0:c r="AC128" s="16">
        <ns0:f>IF(AND(OR('前提と出典'!$C$36+'前提と出典'!$C$38=0,R128&gt;=0),OR('前提と出典'!$C$37+'前提と出典'!$C$38=0,S128&gt;=0)),0,A128)</ns0:f>
        <ns0:v>0</ns0:v>
      </ns0:c>
      <ns0:c r="AD128" s="7">
        <ns0:f>IF(W128&gt;=0,A128,1001)</ns0:f>
        <ns0:v>124</ns0:v>
      </ns0:c>
      <ns0:c r="AE128" s="7">
        <ns0:f>IF(W128&lt;0,A128,0)</ns0:f>
        <ns0:v>0</ns0:v>
      </ns0:c>
      <ns0:c r="AF128" s="16">
        <ns0:f>IF(AND(OR('前提と出典'!$C$36+'前提と出典'!$C$38=0,U128&gt;=0),OR('前提と出典'!$C$37+'前提と出典'!$C$38=0,V128&gt;=0)),0,A128)</ns0:f>
        <ns0:v>0</ns0:v>
      </ns0:c>
      <ns0:c r="AG128" s="7">
        <ns0:f>IF(Z128&gt;=0,A128,1001)</ns0:f>
        <ns0:v>124</ns0:v>
      </ns0:c>
      <ns0:c r="AH128" s="4">
        <ns0:f>IF(Z128&lt;0,A128,0)</ns0:f>
        <ns0:v>0</ns0:v>
      </ns0:c>
      <ns0:c r="AI128" s="12">
        <ns0:f>IF(AND(OR('前提と出典'!$C$36+'前提と出典'!$C$38=0,X128&gt;=0),OR('前提と出典'!$C$37+'前提と出典'!$C$38=0,Y128&gt;=0)),0,A128)</ns0:f>
        <ns0:v>0</ns0:v>
      </ns0:c>
    </ns0:row>
    <ns0:row r="129" ht="24" customHeight="1">
      <ns0:c r="A129" s="4" t="n">
        <ns0:v>125</ns0:v>
      </ns0:c>
      <ns0:c r="B129" s="12">
        <ns0:f>A129*('前提と出典'!$C$36+'前提と出典'!$C$38)</ns0:f>
        <ns0:v>87.5</ns0:v>
      </ns0:c>
      <ns0:c r="C129" s="12">
        <ns0:f>A129*('前提と出典'!$C$37+'前提と出典'!$C$38)</ns0:f>
        <ns0:v>75</ns0:v>
      </ns0:c>
      <ns0:c r="D129" s="16">
        <ns0:f>A129*('前提と出典'!$C$36*'契約別単価'!C5+'前提と出典'!$C$37*'契約別単価'!C6+'前提と出典'!$C$38*'契約別単価'!C7)</ns0:f>
        <ns0:v>899.4413407821229</ns0:v>
      </ns0:c>
      <ns0:c r="E129" s="16">
        <ns0:f>A129*('前提と出典'!$C$36*'契約別単価'!E5+'前提と出典'!$C$37*'契約別単価'!E6+'前提と出典'!$C$38*'契約別単価'!E7)</ns0:f>
        <ns0:v>314234.11540511413</ns0:v>
      </ns0:c>
      <ns0:c r="F129" s="16">
        <ns0:f>A129*('前提と出典'!$C$36*'契約別単価'!F5+'前提と出典'!$C$37*'契約別単価'!F6+'前提と出典'!$C$38*'契約別単価'!F7)</ns0:f>
        <ns0:v>91308.40164943227</ns0:v>
      </ns0:c>
      <ns0:c r="G129" s="16">
        <ns0:f>A129*('前提と出典'!$C$36*'契約別単価'!G5+'前提と出典'!$C$37*'契約別単価'!G6+'前提と出典'!$C$38*'契約別単価'!G7)</ns0:f>
        <ns0:v>248812.84916201117</ns0:v>
      </ns0:c>
      <ns0:c r="H129" s="16">
        <ns0:f>A129*('前提と出典'!$C$36*'契約別単価'!H5+'前提と出典'!$C$37*'契約別単価'!H6+'前提と出典'!$C$38*'契約別単価'!H7)</ns0:f>
        <ns0:v>86350.5376042222</ns0:v>
      </ns0:c>
      <ns0:c r="I129" s="16">
        <ns0:f>A129*('前提と出典'!$C$36*'契約別単価'!I5+'前提と出典'!$C$37*'契約別単価'!I6+'前提と出典'!$C$38*'契約別単価'!I7)</ns0:f>
        <ns0:v>5274.441340782122</ns0:v>
      </ns0:c>
      <ns0:c r="J129" s="16">
        <ns0:f>A129*('前提と出典'!$C$36*'契約別単価'!J5+'前提と出典'!$C$37*'契約別単価'!J6+'前提と出典'!$C$38*'契約別単価'!J7)</ns0:f>
        <ns0:v>12286.19296378782</ns0:v>
      </ns0:c>
      <ns0:c r="K129" s="16">
        <ns0:f>A129*('前提と出典'!$C$36*'契約別単価'!K5+'前提と出典'!$C$37*'契約別単価'!K6+'前提と出典'!$C$38*'契約別単価'!K7)</ns0:f>
        <ns0:v>52662.94227188081</ns0:v>
      </ns0:c>
      <ns0:c r="L129" s="16">
        <ns0:f>A129*('前提と出典'!$C$36*'契約別単価'!L5+'前提と出典'!$C$37*'契約別単価'!L6+'前提と出典'!$C$38*'契約別単価'!L7)</ns0:f>
        <ns0:v>42878.35125347407</ns0:v>
      </ns0:c>
      <ns0:c r="M129" s="16">
        <ns0:f>IF(('前提と出典'!$C$36+'前提と出典'!$C$38)=0,0,IF(B129&lt;=10,'前提と出典'!B73+'前提と出典'!C73,IF(B129&lt;=100,'前提と出典'!B74+'前提と出典'!C74,IF(B129&lt;=500,'前提と出典'!B75+'前提と出典'!C75,'前提と出典'!B76+'前提と出典'!C76))))</ns0:f>
        <ns0:v>20000</ns0:v>
      </ns0:c>
      <ns0:c r="N129" s="16">
        <ns0:f>IF(('前提と出典'!$C$37+'前提と出典'!$C$38)=0,0,IF(C129&lt;=10,'前提と出典'!D73+'前提と出典'!E73,IF(C129&lt;=100,'前提と出典'!D74+'前提と出典'!E74,IF(C129&lt;=500,'前提と出典'!D75+'前提と出典'!E75,'前提と出典'!D76+'前提と出典'!E76))))</ns0:f>
        <ns0:v>34510.9346263078</ns0:v>
      </ns0:c>
      <ns0:c r="O129" s="16">
        <ns0:f>IF('前提と出典'!$C$36+'前提と出典'!$C$38=0,0,'前提と出典'!$B$4*IF('前提と出典'!$B$20=0,MAX('前提と出典'!$B$6,D129*'前提と出典'!$B$5),'前提と出典'!$B$6+D129*'前提と出典'!$B$5))</ns0:f>
        <ns0:v>124122.90502793297</ns0:v>
      </ns0:c>
      <ns0:c r="P129" s="16">
        <ns0:f>(E129+G129)*(1-'前提と出典'!$B$7)-I129-K129-M129-O129</ns0:f>
        <ns0:v>340716.98520211293</ns0:v>
      </ns0:c>
      <ns0:c r="Q129" s="16">
        <ns0:f>(F129+H129)*(1-'前提と出典'!$B$7)-J129-L129-N129</ns0:f>
        <ns0:v>81587.73859695322</ns0:v>
      </ns0:c>
      <ns0:c r="R129" s="16">
        <ns0:f>P129-E129*'前提と出典'!$E$4</ns0:f>
        <ns0:v>246446.7505805787</ns0:v>
      </ns0:c>
      <ns0:c r="S129" s="16">
        <ns0:f>Q129-F129*'前提と出典'!$E$4</ns0:f>
        <ns0:v>54195.21810212354</ns0:v>
      </ns0:c>
      <ns0:c r="T129" s="7">
        <ns0:f>R129+S129</ns0:f>
        <ns0:v>300641.9686827022</ns0:v>
      </ns0:c>
      <ns0:c r="U129" s="16">
        <ns0:f>P129-E129*'前提と出典'!$E$5</ns0:f>
        <ns0:v>215023.33904006728</ns0:v>
      </ns0:c>
      <ns0:c r="V129" s="16">
        <ns0:f>Q129-F129*'前提と出典'!$E$5</ns0:f>
        <ns0:v>45064.37793718032</ns0:v>
      </ns0:c>
      <ns0:c r="W129" s="7">
        <ns0:f>U129+V129</ns0:f>
        <ns0:v>260087.7169772476</ns0:v>
      </ns0:c>
      <ns0:c r="X129" s="16">
        <ns0:f>P129-E129*'前提と出典'!$E$6</ns0:f>
        <ns0:v>183599.92749955587</ns0:v>
      </ns0:c>
      <ns0:c r="Y129" s="16">
        <ns0:f>Q129-F129*'前提と出典'!$E$6</ns0:f>
        <ns0:v>35933.5377722371</ns0:v>
      </ns0:c>
      <ns0:c r="Z129" s="7">
        <ns0:f>X129+Y129</ns0:f>
        <ns0:v>219533.46527179296</ns0:v>
      </ns0:c>
      <ns0:c r="AA129" s="7">
        <ns0:f>IF(T129&gt;=0,A129,1001)</ns0:f>
        <ns0:v>125</ns0:v>
      </ns0:c>
      <ns0:c r="AB129" s="7">
        <ns0:f>IF(T129&lt;0,A129,0)</ns0:f>
        <ns0:v>0</ns0:v>
      </ns0:c>
      <ns0:c r="AC129" s="16">
        <ns0:f>IF(AND(OR('前提と出典'!$C$36+'前提と出典'!$C$38=0,R129&gt;=0),OR('前提と出典'!$C$37+'前提と出典'!$C$38=0,S129&gt;=0)),0,A129)</ns0:f>
        <ns0:v>0</ns0:v>
      </ns0:c>
      <ns0:c r="AD129" s="7">
        <ns0:f>IF(W129&gt;=0,A129,1001)</ns0:f>
        <ns0:v>125</ns0:v>
      </ns0:c>
      <ns0:c r="AE129" s="7">
        <ns0:f>IF(W129&lt;0,A129,0)</ns0:f>
        <ns0:v>0</ns0:v>
      </ns0:c>
      <ns0:c r="AF129" s="16">
        <ns0:f>IF(AND(OR('前提と出典'!$C$36+'前提と出典'!$C$38=0,U129&gt;=0),OR('前提と出典'!$C$37+'前提と出典'!$C$38=0,V129&gt;=0)),0,A129)</ns0:f>
        <ns0:v>0</ns0:v>
      </ns0:c>
      <ns0:c r="AG129" s="7">
        <ns0:f>IF(Z129&gt;=0,A129,1001)</ns0:f>
        <ns0:v>125</ns0:v>
      </ns0:c>
      <ns0:c r="AH129" s="4">
        <ns0:f>IF(Z129&lt;0,A129,0)</ns0:f>
        <ns0:v>0</ns0:v>
      </ns0:c>
      <ns0:c r="AI129" s="12">
        <ns0:f>IF(AND(OR('前提と出典'!$C$36+'前提と出典'!$C$38=0,X129&gt;=0),OR('前提と出典'!$C$37+'前提と出典'!$C$38=0,Y129&gt;=0)),0,A129)</ns0:f>
        <ns0:v>0</ns0:v>
      </ns0:c>
    </ns0:row>
    <ns0:row r="130" ht="24" customHeight="1">
      <ns0:c r="A130" s="4" t="n">
        <ns0:v>126</ns0:v>
      </ns0:c>
      <ns0:c r="B130" s="12">
        <ns0:f>A130*('前提と出典'!$C$36+'前提と出典'!$C$38)</ns0:f>
        <ns0:v>88.19999999999999</ns0:v>
      </ns0:c>
      <ns0:c r="C130" s="12">
        <ns0:f>A130*('前提と出典'!$C$37+'前提と出典'!$C$38)</ns0:f>
        <ns0:v>75.6</ns0:v>
      </ns0:c>
      <ns0:c r="D130" s="16">
        <ns0:f>A130*('前提と出典'!$C$36*'契約別単価'!C5+'前提と出典'!$C$37*'契約別単価'!C6+'前提と出典'!$C$38*'契約別単価'!C7)</ns0:f>
        <ns0:v>906.6368715083798</ns0:v>
      </ns0:c>
      <ns0:c r="E130" s="16">
        <ns0:f>A130*('前提と出典'!$C$36*'契約別単価'!E5+'前提と出典'!$C$37*'契約別単価'!E6+'前提と出典'!$C$38*'契約別単価'!E7)</ns0:f>
        <ns0:v>316747.9883283551</ns0:v>
      </ns0:c>
      <ns0:c r="F130" s="16">
        <ns0:f>A130*('前提と出典'!$C$36*'契約別単価'!F5+'前提と出典'!$C$37*'契約別単価'!F6+'前提と出典'!$C$38*'契約別単価'!F7)</ns0:f>
        <ns0:v>92038.86886262773</ns0:v>
      </ns0:c>
      <ns0:c r="G130" s="16">
        <ns0:f>A130*('前提と出典'!$C$36*'契約別単価'!G5+'前提と出典'!$C$37*'契約別単価'!G6+'前提と出典'!$C$38*'契約別単価'!G7)</ns0:f>
        <ns0:v>250803.35195530724</ns0:v>
      </ns0:c>
      <ns0:c r="H130" s="16">
        <ns0:f>A130*('前提と出典'!$C$36*'契約別単価'!H5+'前提と出典'!$C$37*'契約別単価'!H6+'前提と出典'!$C$38*'契約別単価'!H7)</ns0:f>
        <ns0:v>87041.34190505599</ns0:v>
      </ns0:c>
      <ns0:c r="I130" s="16">
        <ns0:f>A130*('前提と出典'!$C$36*'契約別単価'!I5+'前提と出典'!$C$37*'契約別単価'!I6+'前提と出典'!$C$38*'契約別単価'!I7)</ns0:f>
        <ns0:v>5316.636871508379</ns0:v>
      </ns0:c>
      <ns0:c r="J130" s="16">
        <ns0:f>A130*('前提と出典'!$C$36*'契約別単価'!J5+'前提と出典'!$C$37*'契約別単価'!J6+'前提と出典'!$C$38*'契約別単価'!J7)</ns0:f>
        <ns0:v>12384.482507498124</ns0:v>
      </ns0:c>
      <ns0:c r="K130" s="16">
        <ns0:f>A130*('前提と出典'!$C$36*'契約別単価'!K5+'前提と出典'!$C$37*'契約別単価'!K6+'前提と出典'!$C$38*'契約別単価'!K7)</ns0:f>
        <ns0:v>53084.245810055865</ns0:v>
      </ns0:c>
      <ns0:c r="L130" s="16">
        <ns0:f>A130*('前提と出典'!$C$36*'契約別単価'!L5+'前提と出典'!$C$37*'契約別単価'!L6+'前提と出典'!$C$38*'契約別単価'!L7)</ns0:f>
        <ns0:v>43221.37806350186</ns0:v>
      </ns0:c>
      <ns0:c r="M130" s="16">
        <ns0:f>IF(('前提と出典'!$C$36+'前提と出典'!$C$38)=0,0,IF(B130&lt;=10,'前提と出典'!B73+'前提と出典'!C73,IF(B130&lt;=100,'前提と出典'!B74+'前提と出典'!C74,IF(B130&lt;=500,'前提と出典'!B75+'前提と出典'!C75,'前提と出典'!B76+'前提と出典'!C76))))</ns0:f>
        <ns0:v>20000</ns0:v>
      </ns0:c>
      <ns0:c r="N130" s="16">
        <ns0:f>IF(('前提と出典'!$C$37+'前提と出典'!$C$38)=0,0,IF(C130&lt;=10,'前提と出典'!D73+'前提と出典'!E73,IF(C130&lt;=100,'前提と出典'!D74+'前提と出典'!E74,IF(C130&lt;=500,'前提と出典'!D75+'前提と出典'!E75,'前提と出典'!D76+'前提と出典'!E76))))</ns0:f>
        <ns0:v>34510.9346263078</ns0:v>
      </ns0:c>
      <ns0:c r="O130" s="16">
        <ns0:f>IF('前提と出典'!$C$36+'前提と出典'!$C$38=0,0,'前提と出典'!$B$4*IF('前提と出典'!$B$20=0,MAX('前提と出典'!$B$6,D130*'前提と出典'!$B$5),'前提と出典'!$B$6+D130*'前提と出典'!$B$5))</ns0:f>
        <ns0:v>125115.88826815641</ns0:v>
      </ns0:c>
      <ns0:c r="P130" s="16">
        <ns0:f>(E130+G130)*(1-'前提と出典'!$B$7)-I130-K130-M130-O130</ns0:f>
        <ns0:v>343602.72108372976</ns0:v>
      </ns0:c>
      <ns0:c r="Q130" s="16">
        <ns0:f>(F130+H130)*(1-'前提と出典'!$B$7)-J130-L130-N130</ns0:f>
        <ns0:v>82516.52798273932</ns0:v>
      </ns0:c>
      <ns0:c r="R130" s="16">
        <ns0:f>P130-E130*'前提と出典'!$E$4</ns0:f>
        <ns0:v>248578.32458522325</ns0:v>
      </ns0:c>
      <ns0:c r="S130" s="16">
        <ns0:f>Q130-F130*'前提と出典'!$E$4</ns0:f>
        <ns0:v>54904.867323951</ns0:v>
      </ns0:c>
      <ns0:c r="T130" s="7">
        <ns0:f>R130+S130</ns0:f>
        <ns0:v>303483.19190917426</ns0:v>
      </ns0:c>
      <ns0:c r="U130" s="16">
        <ns0:f>P130-E130*'前提と出典'!$E$5</ns0:f>
        <ns0:v>216903.52575238774</ns0:v>
      </ns0:c>
      <ns0:c r="V130" s="16">
        <ns0:f>Q130-F130*'前提と出典'!$E$5</ns0:f>
        <ns0:v>45700.98043768823</ns0:v>
      </ns0:c>
      <ns0:c r="W130" s="7">
        <ns0:f>U130+V130</ns0:f>
        <ns0:v>262604.50619007595</ns0:v>
      </ns0:c>
      <ns0:c r="X130" s="16">
        <ns0:f>P130-E130*'前提と出典'!$E$6</ns0:f>
        <ns0:v>185228.72691955222</ns0:v>
      </ns0:c>
      <ns0:c r="Y130" s="16">
        <ns0:f>Q130-F130*'前提と出典'!$E$6</ns0:f>
        <ns0:v>36497.093551425474</ns0:v>
      </ns0:c>
      <ns0:c r="Z130" s="7">
        <ns0:f>X130+Y130</ns0:f>
        <ns0:v>221725.8204709777</ns0:v>
      </ns0:c>
      <ns0:c r="AA130" s="7">
        <ns0:f>IF(T130&gt;=0,A130,1001)</ns0:f>
        <ns0:v>126</ns0:v>
      </ns0:c>
      <ns0:c r="AB130" s="7">
        <ns0:f>IF(T130&lt;0,A130,0)</ns0:f>
        <ns0:v>0</ns0:v>
      </ns0:c>
      <ns0:c r="AC130" s="16">
        <ns0:f>IF(AND(OR('前提と出典'!$C$36+'前提と出典'!$C$38=0,R130&gt;=0),OR('前提と出典'!$C$37+'前提と出典'!$C$38=0,S130&gt;=0)),0,A130)</ns0:f>
        <ns0:v>0</ns0:v>
      </ns0:c>
      <ns0:c r="AD130" s="7">
        <ns0:f>IF(W130&gt;=0,A130,1001)</ns0:f>
        <ns0:v>126</ns0:v>
      </ns0:c>
      <ns0:c r="AE130" s="7">
        <ns0:f>IF(W130&lt;0,A130,0)</ns0:f>
        <ns0:v>0</ns0:v>
      </ns0:c>
      <ns0:c r="AF130" s="16">
        <ns0:f>IF(AND(OR('前提と出典'!$C$36+'前提と出典'!$C$38=0,U130&gt;=0),OR('前提と出典'!$C$37+'前提と出典'!$C$38=0,V130&gt;=0)),0,A130)</ns0:f>
        <ns0:v>0</ns0:v>
      </ns0:c>
      <ns0:c r="AG130" s="7">
        <ns0:f>IF(Z130&gt;=0,A130,1001)</ns0:f>
        <ns0:v>126</ns0:v>
      </ns0:c>
      <ns0:c r="AH130" s="4">
        <ns0:f>IF(Z130&lt;0,A130,0)</ns0:f>
        <ns0:v>0</ns0:v>
      </ns0:c>
      <ns0:c r="AI130" s="12">
        <ns0:f>IF(AND(OR('前提と出典'!$C$36+'前提と出典'!$C$38=0,X130&gt;=0),OR('前提と出典'!$C$37+'前提と出典'!$C$38=0,Y130&gt;=0)),0,A130)</ns0:f>
        <ns0:v>0</ns0:v>
      </ns0:c>
    </ns0:row>
    <ns0:row r="131" ht="24" customHeight="1">
      <ns0:c r="A131" s="4" t="n">
        <ns0:v>127</ns0:v>
      </ns0:c>
      <ns0:c r="B131" s="12">
        <ns0:f>A131*('前提と出典'!$C$36+'前提と出典'!$C$38)</ns0:f>
        <ns0:v>88.89999999999999</ns0:v>
      </ns0:c>
      <ns0:c r="C131" s="12">
        <ns0:f>A131*('前提と出典'!$C$37+'前提と出典'!$C$38)</ns0:f>
        <ns0:v>76.2</ns0:v>
      </ns0:c>
      <ns0:c r="D131" s="16">
        <ns0:f>A131*('前提と出典'!$C$36*'契約別単価'!C5+'前提と出典'!$C$37*'契約別単価'!C6+'前提と出典'!$C$38*'契約別単価'!C7)</ns0:f>
        <ns0:v>913.8324022346369</ns0:v>
      </ns0:c>
      <ns0:c r="E131" s="16">
        <ns0:f>A131*('前提と出典'!$C$36*'契約別単価'!E5+'前提と出典'!$C$37*'契約別単価'!E6+'前提と出典'!$C$38*'契約別単価'!E7)</ns0:f>
        <ns0:v>319261.86125159595</ns0:v>
      </ns0:c>
      <ns0:c r="F131" s="16">
        <ns0:f>A131*('前提と出典'!$C$36*'契約別単価'!F5+'前提と出典'!$C$37*'契約別単価'!F6+'前提と出典'!$C$38*'契約別単価'!F7)</ns0:f>
        <ns0:v>92769.33607582319</ns0:v>
      </ns0:c>
      <ns0:c r="G131" s="16">
        <ns0:f>A131*('前提と出典'!$C$36*'契約別単価'!G5+'前提と出典'!$C$37*'契約別単価'!G6+'前提と出典'!$C$38*'契約別単価'!G7)</ns0:f>
        <ns0:v>252793.85474860333</ns0:v>
      </ns0:c>
      <ns0:c r="H131" s="16">
        <ns0:f>A131*('前提と出典'!$C$36*'契約別単価'!H5+'前提と出典'!$C$37*'契約別単価'!H6+'前提と出典'!$C$38*'契約別単価'!H7)</ns0:f>
        <ns0:v>87732.14620588976</ns0:v>
      </ns0:c>
      <ns0:c r="I131" s="16">
        <ns0:f>A131*('前提と出典'!$C$36*'契約別単価'!I5+'前提と出典'!$C$37*'契約別単価'!I6+'前提と出典'!$C$38*'契約別単価'!I7)</ns0:f>
        <ns0:v>5358.832402234636</ns0:v>
      </ns0:c>
      <ns0:c r="J131" s="16">
        <ns0:f>A131*('前提と出典'!$C$36*'契約別単価'!J5+'前提と出典'!$C$37*'契約別単価'!J6+'前提と出典'!$C$38*'契約別単価'!J7)</ns0:f>
        <ns0:v>12482.772051208425</ns0:v>
      </ns0:c>
      <ns0:c r="K131" s="16">
        <ns0:f>A131*('前提と出典'!$C$36*'契約別単価'!K5+'前提と出典'!$C$37*'契約別単価'!K6+'前提と出典'!$C$38*'契約別単価'!K7)</ns0:f>
        <ns0:v>53505.54934823091</ns0:v>
      </ns0:c>
      <ns0:c r="L131" s="16">
        <ns0:f>A131*('前提と出典'!$C$36*'契約別単価'!L5+'前提と出典'!$C$37*'契約別単価'!L6+'前提と出典'!$C$38*'契約別単価'!L7)</ns0:f>
        <ns0:v>43564.40487352966</ns0:v>
      </ns0:c>
      <ns0:c r="M131" s="16">
        <ns0:f>IF(('前提と出典'!$C$36+'前提と出典'!$C$38)=0,0,IF(B131&lt;=10,'前提と出典'!B73+'前提と出典'!C73,IF(B131&lt;=100,'前提と出典'!B74+'前提と出典'!C74,IF(B131&lt;=500,'前提と出典'!B75+'前提と出典'!C75,'前提と出典'!B76+'前提と出典'!C76))))</ns0:f>
        <ns0:v>20000</ns0:v>
      </ns0:c>
      <ns0:c r="N131" s="16">
        <ns0:f>IF(('前提と出典'!$C$37+'前提と出典'!$C$38)=0,0,IF(C131&lt;=10,'前提と出典'!D73+'前提と出典'!E73,IF(C131&lt;=100,'前提と出典'!D74+'前提と出典'!E74,IF(C131&lt;=500,'前提と出典'!D75+'前提と出典'!E75,'前提と出典'!D76+'前提と出典'!E76))))</ns0:f>
        <ns0:v>34510.9346263078</ns0:v>
      </ns0:c>
      <ns0:c r="O131" s="16">
        <ns0:f>IF('前提と出典'!$C$36+'前提と出典'!$C$38=0,0,'前提と出典'!$B$4*IF('前提と出典'!$B$20=0,MAX('前提と出典'!$B$6,D131*'前提と出典'!$B$5),'前提と出典'!$B$6+D131*'前提と出典'!$B$5))</ns0:f>
        <ns0:v>126108.87150837989</ns0:v>
      </ns0:c>
      <ns0:c r="P131" s="16">
        <ns0:f>(E131+G131)*(1-'前提と出典'!$B$7)-I131-K131-M131-O131</ns0:f>
        <ns0:v>346488.4569653467</ns0:v>
      </ns0:c>
      <ns0:c r="Q131" s="16">
        <ns0:f>(F131+H131)*(1-'前提と出典'!$B$7)-J131-L131-N131</ns0:f>
        <ns0:v>83445.3173685254</ns0:v>
      </ns0:c>
      <ns0:c r="R131" s="16">
        <ns0:f>P131-E131*'前提と出典'!$E$4</ns0:f>
        <ns0:v>250709.89858986792</ns0:v>
      </ns0:c>
      <ns0:c r="S131" s="16">
        <ns0:f>Q131-F131*'前提と出典'!$E$4</ns0:f>
        <ns0:v>55614.51654577847</ns0:v>
      </ns0:c>
      <ns0:c r="T131" s="7">
        <ns0:f>R131+S131</ns0:f>
        <ns0:v>306324.4151356464</ns0:v>
      </ns0:c>
      <ns0:c r="U131" s="16">
        <ns0:f>P131-E131*'前提と出典'!$E$5</ns0:f>
        <ns0:v>218783.7124647083</ns0:v>
      </ns0:c>
      <ns0:c r="V131" s="16">
        <ns0:f>Q131-F131*'前提と出典'!$E$5</ns0:f>
        <ns0:v>46337.582938196116</ns0:v>
      </ns0:c>
      <ns0:c r="W131" s="7">
        <ns0:f>U131+V131</ns0:f>
        <ns0:v>265121.29540290445</ns0:v>
      </ns0:c>
      <ns0:c r="X131" s="16">
        <ns0:f>P131-E131*'前提と出典'!$E$6</ns0:f>
        <ns0:v>186857.5263395487</ns0:v>
      </ns0:c>
      <ns0:c r="Y131" s="16">
        <ns0:f>Q131-F131*'前提と出典'!$E$6</ns0:f>
        <ns0:v>37060.64933061379</ns0:v>
      </ns0:c>
      <ns0:c r="Z131" s="7">
        <ns0:f>X131+Y131</ns0:f>
        <ns0:v>223918.17567016248</ns0:v>
      </ns0:c>
      <ns0:c r="AA131" s="7">
        <ns0:f>IF(T131&gt;=0,A131,1001)</ns0:f>
        <ns0:v>127</ns0:v>
      </ns0:c>
      <ns0:c r="AB131" s="7">
        <ns0:f>IF(T131&lt;0,A131,0)</ns0:f>
        <ns0:v>0</ns0:v>
      </ns0:c>
      <ns0:c r="AC131" s="16">
        <ns0:f>IF(AND(OR('前提と出典'!$C$36+'前提と出典'!$C$38=0,R131&gt;=0),OR('前提と出典'!$C$37+'前提と出典'!$C$38=0,S131&gt;=0)),0,A131)</ns0:f>
        <ns0:v>0</ns0:v>
      </ns0:c>
      <ns0:c r="AD131" s="7">
        <ns0:f>IF(W131&gt;=0,A131,1001)</ns0:f>
        <ns0:v>127</ns0:v>
      </ns0:c>
      <ns0:c r="AE131" s="7">
        <ns0:f>IF(W131&lt;0,A131,0)</ns0:f>
        <ns0:v>0</ns0:v>
      </ns0:c>
      <ns0:c r="AF131" s="16">
        <ns0:f>IF(AND(OR('前提と出典'!$C$36+'前提と出典'!$C$38=0,U131&gt;=0),OR('前提と出典'!$C$37+'前提と出典'!$C$38=0,V131&gt;=0)),0,A131)</ns0:f>
        <ns0:v>0</ns0:v>
      </ns0:c>
      <ns0:c r="AG131" s="7">
        <ns0:f>IF(Z131&gt;=0,A131,1001)</ns0:f>
        <ns0:v>127</ns0:v>
      </ns0:c>
      <ns0:c r="AH131" s="4">
        <ns0:f>IF(Z131&lt;0,A131,0)</ns0:f>
        <ns0:v>0</ns0:v>
      </ns0:c>
      <ns0:c r="AI131" s="12">
        <ns0:f>IF(AND(OR('前提と出典'!$C$36+'前提と出典'!$C$38=0,X131&gt;=0),OR('前提と出典'!$C$37+'前提と出典'!$C$38=0,Y131&gt;=0)),0,A131)</ns0:f>
        <ns0:v>0</ns0:v>
      </ns0:c>
    </ns0:row>
    <ns0:row r="132" ht="24" customHeight="1">
      <ns0:c r="A132" s="4" t="n">
        <ns0:v>128</ns0:v>
      </ns0:c>
      <ns0:c r="B132" s="12">
        <ns0:f>A132*('前提と出典'!$C$36+'前提と出典'!$C$38)</ns0:f>
        <ns0:v>89.6</ns0:v>
      </ns0:c>
      <ns0:c r="C132" s="12">
        <ns0:f>A132*('前提と出典'!$C$37+'前提と出典'!$C$38)</ns0:f>
        <ns0:v>76.8</ns0:v>
      </ns0:c>
      <ns0:c r="D132" s="16">
        <ns0:f>A132*('前提と出典'!$C$36*'契約別単価'!C5+'前提と出典'!$C$37*'契約別単価'!C6+'前提と出典'!$C$38*'契約別単価'!C7)</ns0:f>
        <ns0:v>921.0279329608938</ns0:v>
      </ns0:c>
      <ns0:c r="E132" s="16">
        <ns0:f>A132*('前提と出典'!$C$36*'契約別単価'!E5+'前提と出典'!$C$37*'契約別単価'!E6+'前提と出典'!$C$38*'契約別単価'!E7)</ns0:f>
        <ns0:v>321775.7341748369</ns0:v>
      </ns0:c>
      <ns0:c r="F132" s="16">
        <ns0:f>A132*('前提と出典'!$C$36*'契約別単価'!F5+'前提と出典'!$C$37*'契約別単価'!F6+'前提と出典'!$C$38*'契約別単価'!F7)</ns0:f>
        <ns0:v>93499.80328901864</ns0:v>
      </ns0:c>
      <ns0:c r="G132" s="16">
        <ns0:f>A132*('前提と出典'!$C$36*'契約別単価'!G5+'前提と出典'!$C$37*'契約別単価'!G6+'前提と出典'!$C$38*'契約別単価'!G7)</ns0:f>
        <ns0:v>254784.35754189943</ns0:v>
      </ns0:c>
      <ns0:c r="H132" s="16">
        <ns0:f>A132*('前提と出典'!$C$36*'契約別単価'!H5+'前提と出典'!$C$37*'契約別単価'!H6+'前提と出典'!$C$38*'契約別単価'!H7)</ns0:f>
        <ns0:v>88422.95050672354</ns0:v>
      </ns0:c>
      <ns0:c r="I132" s="16">
        <ns0:f>A132*('前提と出典'!$C$36*'契約別単価'!I5+'前提と出典'!$C$37*'契約別単価'!I6+'前提と出典'!$C$38*'契約別単価'!I7)</ns0:f>
        <ns0:v>5401.027932960893</ns0:v>
      </ns0:c>
      <ns0:c r="J132" s="16">
        <ns0:f>A132*('前提と出典'!$C$36*'契約別単価'!J5+'前提と出典'!$C$37*'契約別単価'!J6+'前提と出典'!$C$38*'契約別単価'!J7)</ns0:f>
        <ns0:v>12581.061594918729</ns0:v>
      </ns0:c>
      <ns0:c r="K132" s="16">
        <ns0:f>A132*('前提と出典'!$C$36*'契約別単価'!K5+'前提と出典'!$C$37*'契約別単価'!K6+'前提と出典'!$C$38*'契約別単価'!K7)</ns0:f>
        <ns0:v>53926.852886405955</ns0:v>
      </ns0:c>
      <ns0:c r="L132" s="16">
        <ns0:f>A132*('前提と出典'!$C$36*'契約別単価'!L5+'前提と出典'!$C$37*'契約別単価'!L6+'前提と出典'!$C$38*'契約別単価'!L7)</ns0:f>
        <ns0:v>43907.43168355745</ns0:v>
      </ns0:c>
      <ns0:c r="M132" s="16">
        <ns0:f>IF(('前提と出典'!$C$36+'前提と出典'!$C$38)=0,0,IF(B132&lt;=10,'前提と出典'!B73+'前提と出典'!C73,IF(B132&lt;=100,'前提と出典'!B74+'前提と出典'!C74,IF(B132&lt;=500,'前提と出典'!B75+'前提と出典'!C75,'前提と出典'!B76+'前提と出典'!C76))))</ns0:f>
        <ns0:v>20000</ns0:v>
      </ns0:c>
      <ns0:c r="N132" s="16">
        <ns0:f>IF(('前提と出典'!$C$37+'前提と出典'!$C$38)=0,0,IF(C132&lt;=10,'前提と出典'!D73+'前提と出典'!E73,IF(C132&lt;=100,'前提と出典'!D74+'前提と出典'!E74,IF(C132&lt;=500,'前提と出典'!D75+'前提と出典'!E75,'前提と出典'!D76+'前提と出典'!E76))))</ns0:f>
        <ns0:v>34510.9346263078</ns0:v>
      </ns0:c>
      <ns0:c r="O132" s="16">
        <ns0:f>IF('前提と出典'!$C$36+'前提と出典'!$C$38=0,0,'前提と出典'!$B$4*IF('前提と出典'!$B$20=0,MAX('前提と出典'!$B$6,D132*'前提と出典'!$B$5),'前提と出典'!$B$6+D132*'前提と出典'!$B$5))</ns0:f>
        <ns0:v>127101.85474860335</ns0:v>
      </ns0:c>
      <ns0:c r="P132" s="16">
        <ns0:f>(E132+G132)*(1-'前提と出典'!$B$7)-I132-K132-M132-O132</ns0:f>
        <ns0:v>349374.19284696365</ns0:v>
      </ns0:c>
      <ns0:c r="Q132" s="16">
        <ns0:f>(F132+H132)*(1-'前提と出典'!$B$7)-J132-L132-N132</ns0:f>
        <ns0:v>84374.10675431148</ns0:v>
      </ns0:c>
      <ns0:c r="R132" s="16">
        <ns0:f>P132-E132*'前提と出典'!$E$4</ns0:f>
        <ns0:v>252841.4725945125</ns0:v>
      </ns0:c>
      <ns0:c r="S132" s="16">
        <ns0:f>Q132-F132*'前提と出典'!$E$4</ns0:f>
        <ns0:v>56324.16576760589</ns0:v>
      </ns0:c>
      <ns0:c r="T132" s="7">
        <ns0:f>R132+S132</ns0:f>
        <ns0:v>309165.6383621184</ns0:v>
      </ns0:c>
      <ns0:c r="U132" s="16">
        <ns0:f>P132-E132*'前提と出典'!$E$5</ns0:f>
        <ns0:v>220663.89917702886</ns0:v>
      </ns0:c>
      <ns0:c r="V132" s="16">
        <ns0:f>Q132-F132*'前提と出典'!$E$5</ns0:f>
        <ns0:v>46974.185438704015</ns0:v>
      </ns0:c>
      <ns0:c r="W132" s="7">
        <ns0:f>U132+V132</ns0:f>
        <ns0:v>267638.0846157329</ns0:v>
      </ns0:c>
      <ns0:c r="X132" s="16">
        <ns0:f>P132-E132*'前提と出典'!$E$6</ns0:f>
        <ns0:v>188486.32575954514</ns0:v>
      </ns0:c>
      <ns0:c r="Y132" s="16">
        <ns0:f>Q132-F132*'前提と出典'!$E$6</ns0:f>
        <ns0:v>37624.20510980217</ns0:v>
      </ns0:c>
      <ns0:c r="Z132" s="7">
        <ns0:f>X132+Y132</ns0:f>
        <ns0:v>226110.5308693473</ns0:v>
      </ns0:c>
      <ns0:c r="AA132" s="7">
        <ns0:f>IF(T132&gt;=0,A132,1001)</ns0:f>
        <ns0:v>128</ns0:v>
      </ns0:c>
      <ns0:c r="AB132" s="7">
        <ns0:f>IF(T132&lt;0,A132,0)</ns0:f>
        <ns0:v>0</ns0:v>
      </ns0:c>
      <ns0:c r="AC132" s="16">
        <ns0:f>IF(AND(OR('前提と出典'!$C$36+'前提と出典'!$C$38=0,R132&gt;=0),OR('前提と出典'!$C$37+'前提と出典'!$C$38=0,S132&gt;=0)),0,A132)</ns0:f>
        <ns0:v>0</ns0:v>
      </ns0:c>
      <ns0:c r="AD132" s="7">
        <ns0:f>IF(W132&gt;=0,A132,1001)</ns0:f>
        <ns0:v>128</ns0:v>
      </ns0:c>
      <ns0:c r="AE132" s="7">
        <ns0:f>IF(W132&lt;0,A132,0)</ns0:f>
        <ns0:v>0</ns0:v>
      </ns0:c>
      <ns0:c r="AF132" s="16">
        <ns0:f>IF(AND(OR('前提と出典'!$C$36+'前提と出典'!$C$38=0,U132&gt;=0),OR('前提と出典'!$C$37+'前提と出典'!$C$38=0,V132&gt;=0)),0,A132)</ns0:f>
        <ns0:v>0</ns0:v>
      </ns0:c>
      <ns0:c r="AG132" s="7">
        <ns0:f>IF(Z132&gt;=0,A132,1001)</ns0:f>
        <ns0:v>128</ns0:v>
      </ns0:c>
      <ns0:c r="AH132" s="4">
        <ns0:f>IF(Z132&lt;0,A132,0)</ns0:f>
        <ns0:v>0</ns0:v>
      </ns0:c>
      <ns0:c r="AI132" s="12">
        <ns0:f>IF(AND(OR('前提と出典'!$C$36+'前提と出典'!$C$38=0,X132&gt;=0),OR('前提と出典'!$C$37+'前提と出典'!$C$38=0,Y132&gt;=0)),0,A132)</ns0:f>
        <ns0:v>0</ns0:v>
      </ns0:c>
    </ns0:row>
    <ns0:row r="133" ht="24" customHeight="1">
      <ns0:c r="A133" s="4" t="n">
        <ns0:v>129</ns0:v>
      </ns0:c>
      <ns0:c r="B133" s="12">
        <ns0:f>A133*('前提と出典'!$C$36+'前提と出典'!$C$38)</ns0:f>
        <ns0:v>90.3</ns0:v>
      </ns0:c>
      <ns0:c r="C133" s="12">
        <ns0:f>A133*('前提と出典'!$C$37+'前提と出典'!$C$38)</ns0:f>
        <ns0:v>77.39999999999999</ns0:v>
      </ns0:c>
      <ns0:c r="D133" s="16">
        <ns0:f>A133*('前提と出典'!$C$36*'契約別単価'!C5+'前提と出典'!$C$37*'契約別単価'!C6+'前提と出典'!$C$38*'契約別単価'!C7)</ns0:f>
        <ns0:v>928.2234636871508</ns0:v>
      </ns0:c>
      <ns0:c r="E133" s="16">
        <ns0:f>A133*('前提と出典'!$C$36*'契約別単価'!E5+'前提と出典'!$C$37*'契約別単価'!E6+'前提と出典'!$C$38*'契約別単価'!E7)</ns0:f>
        <ns0:v>324289.60709807783</ns0:v>
      </ns0:c>
      <ns0:c r="F133" s="16">
        <ns0:f>A133*('前提と出典'!$C$36*'契約別単価'!F5+'前提と出典'!$C$37*'契約別単価'!F6+'前提と出典'!$C$38*'契約別単価'!F7)</ns0:f>
        <ns0:v>94230.2705022141</ns0:v>
      </ns0:c>
      <ns0:c r="G133" s="16">
        <ns0:f>A133*('前提と出典'!$C$36*'契約別単価'!G5+'前提と出典'!$C$37*'契約別単価'!G6+'前提と出典'!$C$38*'契約別単価'!G7)</ns0:f>
        <ns0:v>256774.86033519552</ns0:v>
      </ns0:c>
      <ns0:c r="H133" s="16">
        <ns0:f>A133*('前提と出典'!$C$36*'契約別単価'!H5+'前提と出典'!$C$37*'契約別単価'!H6+'前提と出典'!$C$38*'契約別単価'!H7)</ns0:f>
        <ns0:v>89113.75480755733</ns0:v>
      </ns0:c>
      <ns0:c r="I133" s="16">
        <ns0:f>A133*('前提と出典'!$C$36*'契約別単価'!I5+'前提と出典'!$C$37*'契約別単価'!I6+'前提と出典'!$C$38*'契約別単価'!I7)</ns0:f>
        <ns0:v>5443.22346368715</ns0:v>
      </ns0:c>
      <ns0:c r="J133" s="16">
        <ns0:f>A133*('前提と出典'!$C$36*'契約別単価'!J5+'前提と出典'!$C$37*'契約別単価'!J6+'前提と出典'!$C$38*'契約別単価'!J7)</ns0:f>
        <ns0:v>12679.351138629032</ns0:v>
      </ns0:c>
      <ns0:c r="K133" s="16">
        <ns0:f>A133*('前提と出典'!$C$36*'契約別単価'!K5+'前提と出典'!$C$37*'契約別単価'!K6+'前提と出典'!$C$38*'契約別単価'!K7)</ns0:f>
        <ns0:v>54348.156424581</ns0:v>
      </ns0:c>
      <ns0:c r="L133" s="16">
        <ns0:f>A133*('前提と出典'!$C$36*'契約別単価'!L5+'前提と出典'!$C$37*'契約別単価'!L6+'前提と出典'!$C$38*'契約別単価'!L7)</ns0:f>
        <ns0:v>44250.45849358524</ns0:v>
      </ns0:c>
      <ns0:c r="M133" s="16">
        <ns0:f>IF(('前提と出典'!$C$36+'前提と出典'!$C$38)=0,0,IF(B133&lt;=10,'前提と出典'!B73+'前提と出典'!C73,IF(B133&lt;=100,'前提と出典'!B74+'前提と出典'!C74,IF(B133&lt;=500,'前提と出典'!B75+'前提と出典'!C75,'前提と出典'!B76+'前提と出典'!C76))))</ns0:f>
        <ns0:v>20000</ns0:v>
      </ns0:c>
      <ns0:c r="N133" s="16">
        <ns0:f>IF(('前提と出典'!$C$37+'前提と出典'!$C$38)=0,0,IF(C133&lt;=10,'前提と出典'!D73+'前提と出典'!E73,IF(C133&lt;=100,'前提と出典'!D74+'前提と出典'!E74,IF(C133&lt;=500,'前提と出典'!D75+'前提と出典'!E75,'前提と出典'!D76+'前提と出典'!E76))))</ns0:f>
        <ns0:v>34510.9346263078</ns0:v>
      </ns0:c>
      <ns0:c r="O133" s="16">
        <ns0:f>IF('前提と出典'!$C$36+'前提と出典'!$C$38=0,0,'前提と出典'!$B$4*IF('前提と出典'!$B$20=0,MAX('前提と出典'!$B$6,D133*'前提と出典'!$B$5),'前提と出典'!$B$6+D133*'前提と出典'!$B$5))</ns0:f>
        <ns0:v>128094.83798882681</ns0:v>
      </ns0:c>
      <ns0:c r="P133" s="16">
        <ns0:f>(E133+G133)*(1-'前提と出典'!$B$7)-I133-K133-M133-O133</ns0:f>
        <ns0:v>352259.9287285805</ns0:v>
      </ns0:c>
      <ns0:c r="Q133" s="16">
        <ns0:f>(F133+H133)*(1-'前提と出典'!$B$7)-J133-L133-N133</ns0:f>
        <ns0:v>85302.89614009755</ns0:v>
      </ns0:c>
      <ns0:c r="R133" s="16">
        <ns0:f>P133-E133*'前提と出典'!$E$4</ns0:f>
        <ns0:v>254973.04659915715</ns0:v>
      </ns0:c>
      <ns0:c r="S133" s="16">
        <ns0:f>Q133-F133*'前提と出典'!$E$4</ns0:f>
        <ns0:v>57033.81498943337</ns0:v>
      </ns0:c>
      <ns0:c r="T133" s="7">
        <ns0:f>R133+S133</ns0:f>
        <ns0:v>312006.86158859055</ns0:v>
      </ns0:c>
      <ns0:c r="U133" s="16">
        <ns0:f>P133-E133*'前提と出典'!$E$5</ns0:f>
        <ns0:v>222544.08588934934</ns0:v>
      </ns0:c>
      <ns0:c r="V133" s="16">
        <ns0:f>Q133-F133*'前提と出典'!$E$5</ns0:f>
        <ns0:v>47610.787939211914</ns0:v>
      </ns0:c>
      <ns0:c r="W133" s="7">
        <ns0:f>U133+V133</ns0:f>
        <ns0:v>270154.8738285613</ns0:v>
      </ns0:c>
      <ns0:c r="X133" s="16">
        <ns0:f>P133-E133*'前提と出典'!$E$6</ns0:f>
        <ns0:v>190115.12517954153</ns0:v>
      </ns0:c>
      <ns0:c r="Y133" s="16">
        <ns0:f>Q133-F133*'前提と出典'!$E$6</ns0:f>
        <ns0:v>38187.76088899052</ns0:v>
      </ns0:c>
      <ns0:c r="Z133" s="7">
        <ns0:f>X133+Y133</ns0:f>
        <ns0:v>228302.88606853204</ns0:v>
      </ns0:c>
      <ns0:c r="AA133" s="7">
        <ns0:f>IF(T133&gt;=0,A133,1001)</ns0:f>
        <ns0:v>129</ns0:v>
      </ns0:c>
      <ns0:c r="AB133" s="7">
        <ns0:f>IF(T133&lt;0,A133,0)</ns0:f>
        <ns0:v>0</ns0:v>
      </ns0:c>
      <ns0:c r="AC133" s="16">
        <ns0:f>IF(AND(OR('前提と出典'!$C$36+'前提と出典'!$C$38=0,R133&gt;=0),OR('前提と出典'!$C$37+'前提と出典'!$C$38=0,S133&gt;=0)),0,A133)</ns0:f>
        <ns0:v>0</ns0:v>
      </ns0:c>
      <ns0:c r="AD133" s="7">
        <ns0:f>IF(W133&gt;=0,A133,1001)</ns0:f>
        <ns0:v>129</ns0:v>
      </ns0:c>
      <ns0:c r="AE133" s="7">
        <ns0:f>IF(W133&lt;0,A133,0)</ns0:f>
        <ns0:v>0</ns0:v>
      </ns0:c>
      <ns0:c r="AF133" s="16">
        <ns0:f>IF(AND(OR('前提と出典'!$C$36+'前提と出典'!$C$38=0,U133&gt;=0),OR('前提と出典'!$C$37+'前提と出典'!$C$38=0,V133&gt;=0)),0,A133)</ns0:f>
        <ns0:v>0</ns0:v>
      </ns0:c>
      <ns0:c r="AG133" s="7">
        <ns0:f>IF(Z133&gt;=0,A133,1001)</ns0:f>
        <ns0:v>129</ns0:v>
      </ns0:c>
      <ns0:c r="AH133" s="4">
        <ns0:f>IF(Z133&lt;0,A133,0)</ns0:f>
        <ns0:v>0</ns0:v>
      </ns0:c>
      <ns0:c r="AI133" s="12">
        <ns0:f>IF(AND(OR('前提と出典'!$C$36+'前提と出典'!$C$38=0,X133&gt;=0),OR('前提と出典'!$C$37+'前提と出典'!$C$38=0,Y133&gt;=0)),0,A133)</ns0:f>
        <ns0:v>0</ns0:v>
      </ns0:c>
    </ns0:row>
    <ns0:row r="134" ht="24" customHeight="1">
      <ns0:c r="A134" s="4" t="n">
        <ns0:v>130</ns0:v>
      </ns0:c>
      <ns0:c r="B134" s="12">
        <ns0:f>A134*('前提と出典'!$C$36+'前提と出典'!$C$38)</ns0:f>
        <ns0:v>91</ns0:v>
      </ns0:c>
      <ns0:c r="C134" s="12">
        <ns0:f>A134*('前提と出典'!$C$37+'前提と出典'!$C$38)</ns0:f>
        <ns0:v>78</ns0:v>
      </ns0:c>
      <ns0:c r="D134" s="16">
        <ns0:f>A134*('前提と出典'!$C$36*'契約別単価'!C5+'前提と出典'!$C$37*'契約別単価'!C6+'前提と出典'!$C$38*'契約別単価'!C7)</ns0:f>
        <ns0:v>935.4189944134079</ns0:v>
      </ns0:c>
      <ns0:c r="E134" s="16">
        <ns0:f>A134*('前提と出典'!$C$36*'契約別単価'!E5+'前提と出典'!$C$37*'契約別単価'!E6+'前提と出典'!$C$38*'契約別単価'!E7)</ns0:f>
        <ns0:v>326803.4800213187</ns0:v>
      </ns0:c>
      <ns0:c r="F134" s="16">
        <ns0:f>A134*('前提と出典'!$C$36*'契約別単価'!F5+'前提と出典'!$C$37*'契約別単価'!F6+'前提と出典'!$C$38*'契約別単価'!F7)</ns0:f>
        <ns0:v>94960.73771540956</ns0:v>
      </ns0:c>
      <ns0:c r="G134" s="16">
        <ns0:f>A134*('前提と出典'!$C$36*'契約別単価'!G5+'前提と出典'!$C$37*'契約別単価'!G6+'前提と出典'!$C$38*'契約別単価'!G7)</ns0:f>
        <ns0:v>258765.36312849162</ns0:v>
      </ns0:c>
      <ns0:c r="H134" s="16">
        <ns0:f>A134*('前提と出典'!$C$36*'契約別単価'!H5+'前提と出典'!$C$37*'契約別単価'!H6+'前提と出典'!$C$38*'契約別単価'!H7)</ns0:f>
        <ns0:v>89804.5591083911</ns0:v>
      </ns0:c>
      <ns0:c r="I134" s="16">
        <ns0:f>A134*('前提と出典'!$C$36*'契約別単価'!I5+'前提と出典'!$C$37*'契約別単価'!I6+'前提と出典'!$C$38*'契約別単価'!I7)</ns0:f>
        <ns0:v>5485.418994413407</ns0:v>
      </ns0:c>
      <ns0:c r="J134" s="16">
        <ns0:f>A134*('前提と出典'!$C$36*'契約別単価'!J5+'前提と出典'!$C$37*'契約別単価'!J6+'前提と出典'!$C$38*'契約別単価'!J7)</ns0:f>
        <ns0:v>12777.640682339334</ns0:v>
      </ns0:c>
      <ns0:c r="K134" s="16">
        <ns0:f>A134*('前提と出典'!$C$36*'契約別単価'!K5+'前提と出典'!$C$37*'契約別単価'!K6+'前提と出典'!$C$38*'契約別単価'!K7)</ns0:f>
        <ns0:v>54769.459962756046</ns0:v>
      </ns0:c>
      <ns0:c r="L134" s="16">
        <ns0:f>A134*('前提と出典'!$C$36*'契約別単価'!L5+'前提と出典'!$C$37*'契約別単価'!L6+'前提と出典'!$C$38*'契約別単価'!L7)</ns0:f>
        <ns0:v>44593.48530361304</ns0:v>
      </ns0:c>
      <ns0:c r="M134" s="16">
        <ns0:f>IF(('前提と出典'!$C$36+'前提と出典'!$C$38)=0,0,IF(B134&lt;=10,'前提と出典'!B73+'前提と出典'!C73,IF(B134&lt;=100,'前提と出典'!B74+'前提と出典'!C74,IF(B134&lt;=500,'前提と出典'!B75+'前提と出典'!C75,'前提と出典'!B76+'前提と出典'!C76))))</ns0:f>
        <ns0:v>20000</ns0:v>
      </ns0:c>
      <ns0:c r="N134" s="16">
        <ns0:f>IF(('前提と出典'!$C$37+'前提と出典'!$C$38)=0,0,IF(C134&lt;=10,'前提と出典'!D73+'前提と出典'!E73,IF(C134&lt;=100,'前提と出典'!D74+'前提と出典'!E74,IF(C134&lt;=500,'前提と出典'!D75+'前提と出典'!E75,'前提と出典'!D76+'前提と出典'!E76))))</ns0:f>
        <ns0:v>34510.9346263078</ns0:v>
      </ns0:c>
      <ns0:c r="O134" s="16">
        <ns0:f>IF('前提と出典'!$C$36+'前提と出典'!$C$38=0,0,'前提と出典'!$B$4*IF('前提と出典'!$B$20=0,MAX('前提と出典'!$B$6,D134*'前提と出典'!$B$5),'前提と出典'!$B$6+D134*'前提と出典'!$B$5))</ns0:f>
        <ns0:v>129087.82122905029</ns0:v>
      </ns0:c>
      <ns0:c r="P134" s="16">
        <ns0:f>(E134+G134)*(1-'前提と出典'!$B$7)-I134-K134-M134-O134</ns0:f>
        <ns0:v>355145.6646101975</ns0:v>
      </ns0:c>
      <ns0:c r="Q134" s="16">
        <ns0:f>(F134+H134)*(1-'前提と出典'!$B$7)-J134-L134-N134</ns0:f>
        <ns0:v>86231.68552588369</ns0:v>
      </ns0:c>
      <ns0:c r="R134" s="16">
        <ns0:f>P134-E134*'前提と出典'!$E$4</ns0:f>
        <ns0:v>257104.62060380186</ns0:v>
      </ns0:c>
      <ns0:c r="S134" s="16">
        <ns0:f>Q134-F134*'前提と出典'!$E$4</ns0:f>
        <ns0:v>57743.46421126082</ns0:v>
      </ns0:c>
      <ns0:c r="T134" s="7">
        <ns0:f>R134+S134</ns0:f>
        <ns0:v>314848.0848150627</ns0:v>
      </ns0:c>
      <ns0:c r="U134" s="16">
        <ns0:f>P134-E134*'前提と出典'!$E$5</ns0:f>
        <ns0:v>224424.27260167</ns0:v>
      </ns0:c>
      <ns0:c r="V134" s="16">
        <ns0:f>Q134-F134*'前提と出典'!$E$5</ns0:f>
        <ns0:v>48247.39043971986</ns0:v>
      </ns0:c>
      <ns0:c r="W134" s="7">
        <ns0:f>U134+V134</ns0:f>
        <ns0:v>272671.66304138984</ns0:v>
      </ns0:c>
      <ns0:c r="X134" s="16">
        <ns0:f>P134-E134*'前提と出典'!$E$6</ns0:f>
        <ns0:v>191743.92459953815</ns0:v>
      </ns0:c>
      <ns0:c r="Y134" s="16">
        <ns0:f>Q134-F134*'前提と出典'!$E$6</ns0:f>
        <ns0:v>38751.31666817889</ns0:v>
      </ns0:c>
      <ns0:c r="Z134" s="7">
        <ns0:f>X134+Y134</ns0:f>
        <ns0:v>230495.24126771704</ns0:v>
      </ns0:c>
      <ns0:c r="AA134" s="7">
        <ns0:f>IF(T134&gt;=0,A134,1001)</ns0:f>
        <ns0:v>130</ns0:v>
      </ns0:c>
      <ns0:c r="AB134" s="7">
        <ns0:f>IF(T134&lt;0,A134,0)</ns0:f>
        <ns0:v>0</ns0:v>
      </ns0:c>
      <ns0:c r="AC134" s="16">
        <ns0:f>IF(AND(OR('前提と出典'!$C$36+'前提と出典'!$C$38=0,R134&gt;=0),OR('前提と出典'!$C$37+'前提と出典'!$C$38=0,S134&gt;=0)),0,A134)</ns0:f>
        <ns0:v>0</ns0:v>
      </ns0:c>
      <ns0:c r="AD134" s="7">
        <ns0:f>IF(W134&gt;=0,A134,1001)</ns0:f>
        <ns0:v>130</ns0:v>
      </ns0:c>
      <ns0:c r="AE134" s="7">
        <ns0:f>IF(W134&lt;0,A134,0)</ns0:f>
        <ns0:v>0</ns0:v>
      </ns0:c>
      <ns0:c r="AF134" s="16">
        <ns0:f>IF(AND(OR('前提と出典'!$C$36+'前提と出典'!$C$38=0,U134&gt;=0),OR('前提と出典'!$C$37+'前提と出典'!$C$38=0,V134&gt;=0)),0,A134)</ns0:f>
        <ns0:v>0</ns0:v>
      </ns0:c>
      <ns0:c r="AG134" s="7">
        <ns0:f>IF(Z134&gt;=0,A134,1001)</ns0:f>
        <ns0:v>130</ns0:v>
      </ns0:c>
      <ns0:c r="AH134" s="4">
        <ns0:f>IF(Z134&lt;0,A134,0)</ns0:f>
        <ns0:v>0</ns0:v>
      </ns0:c>
      <ns0:c r="AI134" s="12">
        <ns0:f>IF(AND(OR('前提と出典'!$C$36+'前提と出典'!$C$38=0,X134&gt;=0),OR('前提と出典'!$C$37+'前提と出典'!$C$38=0,Y134&gt;=0)),0,A134)</ns0:f>
        <ns0:v>0</ns0:v>
      </ns0:c>
    </ns0:row>
    <ns0:row r="135" ht="24" customHeight="1">
      <ns0:c r="A135" s="4" t="n">
        <ns0:v>131</ns0:v>
      </ns0:c>
      <ns0:c r="B135" s="12">
        <ns0:f>A135*('前提と出典'!$C$36+'前提と出典'!$C$38)</ns0:f>
        <ns0:v>91.69999999999999</ns0:v>
      </ns0:c>
      <ns0:c r="C135" s="12">
        <ns0:f>A135*('前提と出典'!$C$37+'前提と出典'!$C$38)</ns0:f>
        <ns0:v>78.6</ns0:v>
      </ns0:c>
      <ns0:c r="D135" s="16">
        <ns0:f>A135*('前提と出典'!$C$36*'契約別単価'!C5+'前提と出典'!$C$37*'契約別単価'!C6+'前提と出典'!$C$38*'契約別単価'!C7)</ns0:f>
        <ns0:v>942.6145251396648</ns0:v>
      </ns0:c>
      <ns0:c r="E135" s="16">
        <ns0:f>A135*('前提と出典'!$C$36*'契約別単価'!E5+'前提と出典'!$C$37*'契約別単価'!E6+'前提と出典'!$C$38*'契約別単価'!E7)</ns0:f>
        <ns0:v>329317.35294455965</ns0:v>
      </ns0:c>
      <ns0:c r="F135" s="16">
        <ns0:f>A135*('前提と出典'!$C$36*'契約別単価'!F5+'前提と出典'!$C$37*'契約別単価'!F6+'前提と出典'!$C$38*'契約別単価'!F7)</ns0:f>
        <ns0:v>95691.20492860502</ns0:v>
      </ns0:c>
      <ns0:c r="G135" s="16">
        <ns0:f>A135*('前提と出典'!$C$36*'契約別単価'!G5+'前提と出典'!$C$37*'契約別単価'!G6+'前提と出典'!$C$38*'契約別単価'!G7)</ns0:f>
        <ns0:v>260755.86592178768</ns0:v>
      </ns0:c>
      <ns0:c r="H135" s="16">
        <ns0:f>A135*('前提と出典'!$C$36*'契約別単価'!H5+'前提と出典'!$C$37*'契約別単価'!H6+'前提と出典'!$C$38*'契約別単価'!H7)</ns0:f>
        <ns0:v>90495.36340922488</ns0:v>
      </ns0:c>
      <ns0:c r="I135" s="16">
        <ns0:f>A135*('前提と出典'!$C$36*'契約別単価'!I5+'前提と出典'!$C$37*'契約別単価'!I6+'前提と出典'!$C$38*'契約別単価'!I7)</ns0:f>
        <ns0:v>5527.614525139664</ns0:v>
      </ns0:c>
      <ns0:c r="J135" s="16">
        <ns0:f>A135*('前提と出典'!$C$36*'契約別単価'!J5+'前提と出典'!$C$37*'契約別単価'!J6+'前提と出典'!$C$38*'契約別単価'!J7)</ns0:f>
        <ns0:v>12875.930226049637</ns0:v>
      </ns0:c>
      <ns0:c r="K135" s="16">
        <ns0:f>A135*('前提と出典'!$C$36*'契約別単価'!K5+'前提と出典'!$C$37*'契約別単価'!K6+'前提と出典'!$C$38*'契約別単価'!K7)</ns0:f>
        <ns0:v>55190.7635009311</ns0:v>
      </ns0:c>
      <ns0:c r="L135" s="16">
        <ns0:f>A135*('前提と出典'!$C$36*'契約別単価'!L5+'前提と出典'!$C$37*'契約別単価'!L6+'前提と出典'!$C$38*'契約別単価'!L7)</ns0:f>
        <ns0:v>44936.51211364083</ns0:v>
      </ns0:c>
      <ns0:c r="M135" s="16">
        <ns0:f>IF(('前提と出典'!$C$36+'前提と出典'!$C$38)=0,0,IF(B135&lt;=10,'前提と出典'!B73+'前提と出典'!C73,IF(B135&lt;=100,'前提と出典'!B74+'前提と出典'!C74,IF(B135&lt;=500,'前提と出典'!B75+'前提と出典'!C75,'前提と出典'!B76+'前提と出典'!C76))))</ns0:f>
        <ns0:v>20000</ns0:v>
      </ns0:c>
      <ns0:c r="N135" s="16">
        <ns0:f>IF(('前提と出典'!$C$37+'前提と出典'!$C$38)=0,0,IF(C135&lt;=10,'前提と出典'!D73+'前提と出典'!E73,IF(C135&lt;=100,'前提と出典'!D74+'前提と出典'!E74,IF(C135&lt;=500,'前提と出典'!D75+'前提と出典'!E75,'前提と出典'!D76+'前提と出典'!E76))))</ns0:f>
        <ns0:v>34510.9346263078</ns0:v>
      </ns0:c>
      <ns0:c r="O135" s="16">
        <ns0:f>IF('前提と出典'!$C$36+'前提と出典'!$C$38=0,0,'前提と出典'!$B$4*IF('前提と出典'!$B$20=0,MAX('前提と出典'!$B$6,D135*'前提と出典'!$B$5),'前提と出典'!$B$6+D135*'前提と出典'!$B$5))</ns0:f>
        <ns0:v>130080.80446927375</ns0:v>
      </ns0:c>
      <ns0:c r="P135" s="16">
        <ns0:f>(E135+G135)*(1-'前提と出典'!$B$7)-I135-K135-M135-O135</ns0:f>
        <ns0:v>358031.40049181436</ns0:v>
      </ns0:c>
      <ns0:c r="Q135" s="16">
        <ns0:f>(F135+H135)*(1-'前提と出典'!$B$7)-J135-L135-N135</ns0:f>
        <ns0:v>87160.47491166978</ns0:v>
      </ns0:c>
      <ns0:c r="R135" s="16">
        <ns0:f>P135-E135*'前提と出典'!$E$4</ns0:f>
        <ns0:v>259236.1946084464</ns0:v>
      </ns0:c>
      <ns0:c r="S135" s="16">
        <ns0:f>Q135-F135*'前提と出典'!$E$4</ns0:f>
        <ns0:v>58453.113433088256</ns0:v>
      </ns0:c>
      <ns0:c r="T135" s="7">
        <ns0:f>R135+S135</ns0:f>
        <ns0:v>317689.3080415347</ns0:v>
      </ns0:c>
      <ns0:c r="U135" s="16">
        <ns0:f>P135-E135*'前提と出典'!$E$5</ns0:f>
        <ns0:v>226304.45931399046</ns0:v>
      </ns0:c>
      <ns0:c r="V135" s="16">
        <ns0:f>Q135-F135*'前提と出典'!$E$5</ns0:f>
        <ns0:v>48883.99294022777</ns0:v>
      </ns0:c>
      <ns0:c r="W135" s="7">
        <ns0:f>U135+V135</ns0:f>
        <ns0:v>275188.4522542182</ns0:v>
      </ns0:c>
      <ns0:c r="X135" s="16">
        <ns0:f>P135-E135*'前提と出典'!$E$6</ns0:f>
        <ns0:v>193372.7240195345</ns0:v>
      </ns0:c>
      <ns0:c r="Y135" s="16">
        <ns0:f>Q135-F135*'前提と出典'!$E$6</ns0:f>
        <ns0:v>39314.87244736727</ns0:v>
      </ns0:c>
      <ns0:c r="Z135" s="7">
        <ns0:f>X135+Y135</ns0:f>
        <ns0:v>232687.59646690177</ns0:v>
      </ns0:c>
      <ns0:c r="AA135" s="7">
        <ns0:f>IF(T135&gt;=0,A135,1001)</ns0:f>
        <ns0:v>131</ns0:v>
      </ns0:c>
      <ns0:c r="AB135" s="7">
        <ns0:f>IF(T135&lt;0,A135,0)</ns0:f>
        <ns0:v>0</ns0:v>
      </ns0:c>
      <ns0:c r="AC135" s="16">
        <ns0:f>IF(AND(OR('前提と出典'!$C$36+'前提と出典'!$C$38=0,R135&gt;=0),OR('前提と出典'!$C$37+'前提と出典'!$C$38=0,S135&gt;=0)),0,A135)</ns0:f>
        <ns0:v>0</ns0:v>
      </ns0:c>
      <ns0:c r="AD135" s="7">
        <ns0:f>IF(W135&gt;=0,A135,1001)</ns0:f>
        <ns0:v>131</ns0:v>
      </ns0:c>
      <ns0:c r="AE135" s="7">
        <ns0:f>IF(W135&lt;0,A135,0)</ns0:f>
        <ns0:v>0</ns0:v>
      </ns0:c>
      <ns0:c r="AF135" s="16">
        <ns0:f>IF(AND(OR('前提と出典'!$C$36+'前提と出典'!$C$38=0,U135&gt;=0),OR('前提と出典'!$C$37+'前提と出典'!$C$38=0,V135&gt;=0)),0,A135)</ns0:f>
        <ns0:v>0</ns0:v>
      </ns0:c>
      <ns0:c r="AG135" s="7">
        <ns0:f>IF(Z135&gt;=0,A135,1001)</ns0:f>
        <ns0:v>131</ns0:v>
      </ns0:c>
      <ns0:c r="AH135" s="4">
        <ns0:f>IF(Z135&lt;0,A135,0)</ns0:f>
        <ns0:v>0</ns0:v>
      </ns0:c>
      <ns0:c r="AI135" s="12">
        <ns0:f>IF(AND(OR('前提と出典'!$C$36+'前提と出典'!$C$38=0,X135&gt;=0),OR('前提と出典'!$C$37+'前提と出典'!$C$38=0,Y135&gt;=0)),0,A135)</ns0:f>
        <ns0:v>0</ns0:v>
      </ns0:c>
    </ns0:row>
    <ns0:row r="136" ht="24" customHeight="1">
      <ns0:c r="A136" s="4" t="n">
        <ns0:v>132</ns0:v>
      </ns0:c>
      <ns0:c r="B136" s="12">
        <ns0:f>A136*('前提と出典'!$C$36+'前提と出典'!$C$38)</ns0:f>
        <ns0:v>92.39999999999999</ns0:v>
      </ns0:c>
      <ns0:c r="C136" s="12">
        <ns0:f>A136*('前提と出典'!$C$37+'前提と出典'!$C$38)</ns0:f>
        <ns0:v>79.2</ns0:v>
      </ns0:c>
      <ns0:c r="D136" s="16">
        <ns0:f>A136*('前提と出典'!$C$36*'契約別単価'!C5+'前提と出典'!$C$37*'契約別単価'!C6+'前提と出典'!$C$38*'契約別単価'!C7)</ns0:f>
        <ns0:v>949.8100558659218</ns0:v>
      </ns0:c>
      <ns0:c r="E136" s="16">
        <ns0:f>A136*('前提と出典'!$C$36*'契約別単価'!E5+'前提と出典'!$C$37*'契約別単価'!E6+'前提と出典'!$C$38*'契約別単価'!E7)</ns0:f>
        <ns0:v>331831.22586780053</ns0:v>
      </ns0:c>
      <ns0:c r="F136" s="16">
        <ns0:f>A136*('前提と出典'!$C$36*'契約別単価'!F5+'前提と出典'!$C$37*'契約別単価'!F6+'前提と出典'!$C$38*'契約別単価'!F7)</ns0:f>
        <ns0:v>96421.67214180047</ns0:v>
      </ns0:c>
      <ns0:c r="G136" s="16">
        <ns0:f>A136*('前提と出典'!$C$36*'契約別単価'!G5+'前提と出典'!$C$37*'契約別単価'!G6+'前提と出典'!$C$38*'契約別単価'!G7)</ns0:f>
        <ns0:v>262746.3687150838</ns0:v>
      </ns0:c>
      <ns0:c r="H136" s="16">
        <ns0:f>A136*('前提と出典'!$C$36*'契約別単価'!H5+'前提と出典'!$C$37*'契約別単価'!H6+'前提と出典'!$C$38*'契約別単価'!H7)</ns0:f>
        <ns0:v>91186.16771005865</ns0:v>
      </ns0:c>
      <ns0:c r="I136" s="16">
        <ns0:f>A136*('前提と出典'!$C$36*'契約別単価'!I5+'前提と出典'!$C$37*'契約別単価'!I6+'前提と出典'!$C$38*'契約別単価'!I7)</ns0:f>
        <ns0:v>5569.810055865921</ns0:v>
      </ns0:c>
      <ns0:c r="J136" s="16">
        <ns0:f>A136*('前提と出典'!$C$36*'契約別単価'!J5+'前提と出典'!$C$37*'契約別単価'!J6+'前提と出典'!$C$38*'契約別単価'!J7)</ns0:f>
        <ns0:v>12974.219769759939</ns0:v>
      </ns0:c>
      <ns0:c r="K136" s="16">
        <ns0:f>A136*('前提と出典'!$C$36*'契約別単価'!K5+'前提と出典'!$C$37*'契約別単価'!K6+'前提と出典'!$C$38*'契約別単価'!K7)</ns0:f>
        <ns0:v>55612.06703910614</ns0:v>
      </ns0:c>
      <ns0:c r="L136" s="16">
        <ns0:f>A136*('前提と出典'!$C$36*'契約別単価'!L5+'前提と出典'!$C$37*'契約別単価'!L6+'前提と出典'!$C$38*'契約別単価'!L7)</ns0:f>
        <ns0:v>45279.53892366862</ns0:v>
      </ns0:c>
      <ns0:c r="M136" s="16">
        <ns0:f>IF(('前提と出典'!$C$36+'前提と出典'!$C$38)=0,0,IF(B136&lt;=10,'前提と出典'!B73+'前提と出典'!C73,IF(B136&lt;=100,'前提と出典'!B74+'前提と出典'!C74,IF(B136&lt;=500,'前提と出典'!B75+'前提と出典'!C75,'前提と出典'!B76+'前提と出典'!C76))))</ns0:f>
        <ns0:v>20000</ns0:v>
      </ns0:c>
      <ns0:c r="N136" s="16">
        <ns0:f>IF(('前提と出典'!$C$37+'前提と出典'!$C$38)=0,0,IF(C136&lt;=10,'前提と出典'!D73+'前提と出典'!E73,IF(C136&lt;=100,'前提と出典'!D74+'前提と出典'!E74,IF(C136&lt;=500,'前提と出典'!D75+'前提と出典'!E75,'前提と出典'!D76+'前提と出典'!E76))))</ns0:f>
        <ns0:v>34510.9346263078</ns0:v>
      </ns0:c>
      <ns0:c r="O136" s="16">
        <ns0:f>IF('前提と出典'!$C$36+'前提と出典'!$C$38=0,0,'前提と出典'!$B$4*IF('前提と出典'!$B$20=0,MAX('前提と出典'!$B$6,D136*'前提と出典'!$B$5),'前提と出典'!$B$6+D136*'前提と出典'!$B$5))</ns0:f>
        <ns0:v>131073.7877094972</ns0:v>
      </ns0:c>
      <ns0:c r="P136" s="16">
        <ns0:f>(E136+G136)*(1-'前提と出典'!$B$7)-I136-K136-M136-O136</ns0:f>
        <ns0:v>360917.13637343125</ns0:v>
      </ns0:c>
      <ns0:c r="Q136" s="16">
        <ns0:f>(F136+H136)*(1-'前提と出典'!$B$7)-J136-L136-N136</ns0:f>
        <ns0:v>88089.26429745584</ns0:v>
      </ns0:c>
      <ns0:c r="R136" s="16">
        <ns0:f>P136-E136*'前提と出典'!$E$4</ns0:f>
        <ns0:v>261367.7686130911</ns0:v>
      </ns0:c>
      <ns0:c r="S136" s="16">
        <ns0:f>Q136-F136*'前提と出典'!$E$4</ns0:f>
        <ns0:v>59162.76265491569</ns0:v>
      </ns0:c>
      <ns0:c r="T136" s="7">
        <ns0:f>R136+S136</ns0:f>
        <ns0:v>320530.5312680068</ns0:v>
      </ns0:c>
      <ns0:c r="U136" s="16">
        <ns0:f>P136-E136*'前提と出典'!$E$5</ns0:f>
        <ns0:v>228184.64602631103</ns0:v>
      </ns0:c>
      <ns0:c r="V136" s="16">
        <ns0:f>Q136-F136*'前提と出典'!$E$5</ns0:f>
        <ns0:v>49520.595440735655</ns0:v>
      </ns0:c>
      <ns0:c r="W136" s="7">
        <ns0:f>U136+V136</ns0:f>
        <ns0:v>277705.24146704667</ns0:v>
      </ns0:c>
      <ns0:c r="X136" s="16">
        <ns0:f>P136-E136*'前提と出典'!$E$6</ns0:f>
        <ns0:v>195001.52343953098</ns0:v>
      </ns0:c>
      <ns0:c r="Y136" s="16">
        <ns0:f>Q136-F136*'前提と出典'!$E$6</ns0:f>
        <ns0:v>39878.42822655563</ns0:v>
      </ns0:c>
      <ns0:c r="Z136" s="7">
        <ns0:f>X136+Y136</ns0:f>
        <ns0:v>234879.95166608662</ns0:v>
      </ns0:c>
      <ns0:c r="AA136" s="7">
        <ns0:f>IF(T136&gt;=0,A136,1001)</ns0:f>
        <ns0:v>132</ns0:v>
      </ns0:c>
      <ns0:c r="AB136" s="7">
        <ns0:f>IF(T136&lt;0,A136,0)</ns0:f>
        <ns0:v>0</ns0:v>
      </ns0:c>
      <ns0:c r="AC136" s="16">
        <ns0:f>IF(AND(OR('前提と出典'!$C$36+'前提と出典'!$C$38=0,R136&gt;=0),OR('前提と出典'!$C$37+'前提と出典'!$C$38=0,S136&gt;=0)),0,A136)</ns0:f>
        <ns0:v>0</ns0:v>
      </ns0:c>
      <ns0:c r="AD136" s="7">
        <ns0:f>IF(W136&gt;=0,A136,1001)</ns0:f>
        <ns0:v>132</ns0:v>
      </ns0:c>
      <ns0:c r="AE136" s="7">
        <ns0:f>IF(W136&lt;0,A136,0)</ns0:f>
        <ns0:v>0</ns0:v>
      </ns0:c>
      <ns0:c r="AF136" s="16">
        <ns0:f>IF(AND(OR('前提と出典'!$C$36+'前提と出典'!$C$38=0,U136&gt;=0),OR('前提と出典'!$C$37+'前提と出典'!$C$38=0,V136&gt;=0)),0,A136)</ns0:f>
        <ns0:v>0</ns0:v>
      </ns0:c>
      <ns0:c r="AG136" s="7">
        <ns0:f>IF(Z136&gt;=0,A136,1001)</ns0:f>
        <ns0:v>132</ns0:v>
      </ns0:c>
      <ns0:c r="AH136" s="4">
        <ns0:f>IF(Z136&lt;0,A136,0)</ns0:f>
        <ns0:v>0</ns0:v>
      </ns0:c>
      <ns0:c r="AI136" s="12">
        <ns0:f>IF(AND(OR('前提と出典'!$C$36+'前提と出典'!$C$38=0,X136&gt;=0),OR('前提と出典'!$C$37+'前提と出典'!$C$38=0,Y136&gt;=0)),0,A136)</ns0:f>
        <ns0:v>0</ns0:v>
      </ns0:c>
    </ns0:row>
    <ns0:row r="137" ht="24" customHeight="1">
      <ns0:c r="A137" s="4" t="n">
        <ns0:v>133</ns0:v>
      </ns0:c>
      <ns0:c r="B137" s="12">
        <ns0:f>A137*('前提と出典'!$C$36+'前提と出典'!$C$38)</ns0:f>
        <ns0:v>93.1</ns0:v>
      </ns0:c>
      <ns0:c r="C137" s="12">
        <ns0:f>A137*('前提と出典'!$C$37+'前提と出典'!$C$38)</ns0:f>
        <ns0:v>79.8</ns0:v>
      </ns0:c>
      <ns0:c r="D137" s="16">
        <ns0:f>A137*('前提と出典'!$C$36*'契約別単価'!C5+'前提と出典'!$C$37*'契約別単価'!C6+'前提と出典'!$C$38*'契約別単価'!C7)</ns0:f>
        <ns0:v>957.0055865921788</ns0:v>
      </ns0:c>
      <ns0:c r="E137" s="16">
        <ns0:f>A137*('前提と出典'!$C$36*'契約別単価'!E5+'前提と出典'!$C$37*'契約別単価'!E6+'前提と出典'!$C$38*'契約別単価'!E7)</ns0:f>
        <ns0:v>334345.09879104147</ns0:v>
      </ns0:c>
      <ns0:c r="F137" s="16">
        <ns0:f>A137*('前提と出典'!$C$36*'契約別単価'!F5+'前提と出典'!$C$37*'契約別単価'!F6+'前提と出典'!$C$38*'契約別単価'!F7)</ns0:f>
        <ns0:v>97152.13935499593</ns0:v>
      </ns0:c>
      <ns0:c r="G137" s="16">
        <ns0:f>A137*('前提と出典'!$C$36*'契約別単価'!G5+'前提と出典'!$C$37*'契約別単価'!G6+'前提と出典'!$C$38*'契約別単価'!G7)</ns0:f>
        <ns0:v>264736.8715083799</ns0:v>
      </ns0:c>
      <ns0:c r="H137" s="16">
        <ns0:f>A137*('前提と出典'!$C$36*'契約別単価'!H5+'前提と出典'!$C$37*'契約別単価'!H6+'前提と出典'!$C$38*'契約別単価'!H7)</ns0:f>
        <ns0:v>91876.97201089244</ns0:v>
      </ns0:c>
      <ns0:c r="I137" s="16">
        <ns0:f>A137*('前提と出典'!$C$36*'契約別単価'!I5+'前提と出典'!$C$37*'契約別単価'!I6+'前提と出典'!$C$38*'契約別単価'!I7)</ns0:f>
        <ns0:v>5612.005586592178</ns0:v>
      </ns0:c>
      <ns0:c r="J137" s="16">
        <ns0:f>A137*('前提と出典'!$C$36*'契約別単価'!J5+'前提と出典'!$C$37*'契約別単価'!J6+'前提と出典'!$C$38*'契約別単価'!J7)</ns0:f>
        <ns0:v>13072.509313470242</ns0:v>
      </ns0:c>
      <ns0:c r="K137" s="16">
        <ns0:f>A137*('前提と出典'!$C$36*'契約別単価'!K5+'前提と出典'!$C$37*'契約別単価'!K6+'前提と出典'!$C$38*'契約別単価'!K7)</ns0:f>
        <ns0:v>56033.37057728119</ns0:v>
      </ns0:c>
      <ns0:c r="L137" s="16">
        <ns0:f>A137*('前提と出典'!$C$36*'契約別単価'!L5+'前提と出典'!$C$37*'契約別単価'!L6+'前提と出典'!$C$38*'契約別単価'!L7)</ns0:f>
        <ns0:v>45622.565733696414</ns0:v>
      </ns0:c>
      <ns0:c r="M137" s="16">
        <ns0:f>IF(('前提と出典'!$C$36+'前提と出典'!$C$38)=0,0,IF(B137&lt;=10,'前提と出典'!B73+'前提と出典'!C73,IF(B137&lt;=100,'前提と出典'!B74+'前提と出典'!C74,IF(B137&lt;=500,'前提と出典'!B75+'前提と出典'!C75,'前提と出典'!B76+'前提と出典'!C76))))</ns0:f>
        <ns0:v>20000</ns0:v>
      </ns0:c>
      <ns0:c r="N137" s="16">
        <ns0:f>IF(('前提と出典'!$C$37+'前提と出典'!$C$38)=0,0,IF(C137&lt;=10,'前提と出典'!D73+'前提と出典'!E73,IF(C137&lt;=100,'前提と出典'!D74+'前提と出典'!E74,IF(C137&lt;=500,'前提と出典'!D75+'前提と出典'!E75,'前提と出典'!D76+'前提と出典'!E76))))</ns0:f>
        <ns0:v>34510.9346263078</ns0:v>
      </ns0:c>
      <ns0:c r="O137" s="16">
        <ns0:f>IF('前提と出典'!$C$36+'前提と出典'!$C$38=0,0,'前提と出典'!$B$4*IF('前提と出典'!$B$20=0,MAX('前提と出典'!$B$6,D137*'前提と出典'!$B$5),'前提と出典'!$B$6+D137*'前提と出典'!$B$5))</ns0:f>
        <ns0:v>132066.77094972067</ns0:v>
      </ns0:c>
      <ns0:c r="P137" s="16">
        <ns0:f>(E137+G137)*(1-'前提と出典'!$B$7)-I137-K137-M137-O137</ns0:f>
        <ns0:v>363802.87225504813</ns0:v>
      </ns0:c>
      <ns0:c r="Q137" s="16">
        <ns0:f>(F137+H137)*(1-'前提と出典'!$B$7)-J137-L137-N137</ns0:f>
        <ns0:v>89018.05368324192</ns0:v>
      </ns0:c>
      <ns0:c r="R137" s="16">
        <ns0:f>P137-E137*'前提と出典'!$E$4</ns0:f>
        <ns0:v>263499.34261773573</ns0:v>
      </ns0:c>
      <ns0:c r="S137" s="16">
        <ns0:f>Q137-F137*'前提と出典'!$E$4</ns0:f>
        <ns0:v>59872.41187674314</ns0:v>
      </ns0:c>
      <ns0:c r="T137" s="7">
        <ns0:f>R137+S137</ns0:f>
        <ns0:v>323371.75449447887</ns0:v>
      </ns0:c>
      <ns0:c r="U137" s="16">
        <ns0:f>P137-E137*'前提と出典'!$E$5</ns0:f>
        <ns0:v>230064.83273863155</ns0:v>
      </ns0:c>
      <ns0:c r="V137" s="16">
        <ns0:f>Q137-F137*'前提と出典'!$E$5</ns0:f>
        <ns0:v>50157.19794124354</ns0:v>
      </ns0:c>
      <ns0:c r="W137" s="7">
        <ns0:f>U137+V137</ns0:f>
        <ns0:v>280222.0306798751</ns0:v>
      </ns0:c>
      <ns0:c r="X137" s="16">
        <ns0:f>P137-E137*'前提と出典'!$E$6</ns0:f>
        <ns0:v>196630.32285952746</ns0:v>
      </ns0:c>
      <ns0:c r="Y137" s="16">
        <ns0:f>Q137-F137*'前提と出典'!$E$6</ns0:f>
        <ns0:v>40441.984005743965</ns0:v>
      </ns0:c>
      <ns0:c r="Z137" s="7">
        <ns0:f>X137+Y137</ns0:f>
        <ns0:v>237072.3068652714</ns0:v>
      </ns0:c>
      <ns0:c r="AA137" s="7">
        <ns0:f>IF(T137&gt;=0,A137,1001)</ns0:f>
        <ns0:v>133</ns0:v>
      </ns0:c>
      <ns0:c r="AB137" s="7">
        <ns0:f>IF(T137&lt;0,A137,0)</ns0:f>
        <ns0:v>0</ns0:v>
      </ns0:c>
      <ns0:c r="AC137" s="16">
        <ns0:f>IF(AND(OR('前提と出典'!$C$36+'前提と出典'!$C$38=0,R137&gt;=0),OR('前提と出典'!$C$37+'前提と出典'!$C$38=0,S137&gt;=0)),0,A137)</ns0:f>
        <ns0:v>0</ns0:v>
      </ns0:c>
      <ns0:c r="AD137" s="7">
        <ns0:f>IF(W137&gt;=0,A137,1001)</ns0:f>
        <ns0:v>133</ns0:v>
      </ns0:c>
      <ns0:c r="AE137" s="7">
        <ns0:f>IF(W137&lt;0,A137,0)</ns0:f>
        <ns0:v>0</ns0:v>
      </ns0:c>
      <ns0:c r="AF137" s="16">
        <ns0:f>IF(AND(OR('前提と出典'!$C$36+'前提と出典'!$C$38=0,U137&gt;=0),OR('前提と出典'!$C$37+'前提と出典'!$C$38=0,V137&gt;=0)),0,A137)</ns0:f>
        <ns0:v>0</ns0:v>
      </ns0:c>
      <ns0:c r="AG137" s="7">
        <ns0:f>IF(Z137&gt;=0,A137,1001)</ns0:f>
        <ns0:v>133</ns0:v>
      </ns0:c>
      <ns0:c r="AH137" s="4">
        <ns0:f>IF(Z137&lt;0,A137,0)</ns0:f>
        <ns0:v>0</ns0:v>
      </ns0:c>
      <ns0:c r="AI137" s="12">
        <ns0:f>IF(AND(OR('前提と出典'!$C$36+'前提と出典'!$C$38=0,X137&gt;=0),OR('前提と出典'!$C$37+'前提と出典'!$C$38=0,Y137&gt;=0)),0,A137)</ns0:f>
        <ns0:v>0</ns0:v>
      </ns0:c>
    </ns0:row>
    <ns0:row r="138" ht="24" customHeight="1">
      <ns0:c r="A138" s="4" t="n">
        <ns0:v>134</ns0:v>
      </ns0:c>
      <ns0:c r="B138" s="12">
        <ns0:f>A138*('前提と出典'!$C$36+'前提と出典'!$C$38)</ns0:f>
        <ns0:v>93.8</ns0:v>
      </ns0:c>
      <ns0:c r="C138" s="12">
        <ns0:f>A138*('前提と出典'!$C$37+'前提と出典'!$C$38)</ns0:f>
        <ns0:v>80.39999999999999</ns0:v>
      </ns0:c>
      <ns0:c r="D138" s="16">
        <ns0:f>A138*('前提と出典'!$C$36*'契約別単価'!C5+'前提と出典'!$C$37*'契約別単価'!C6+'前提と出典'!$C$38*'契約別単価'!C7)</ns0:f>
        <ns0:v>964.2011173184358</ns0:v>
      </ns0:c>
      <ns0:c r="E138" s="16">
        <ns0:f>A138*('前提と出典'!$C$36*'契約別単価'!E5+'前提と出典'!$C$37*'契約別単価'!E6+'前提と出典'!$C$38*'契約別単価'!E7)</ns0:f>
        <ns0:v>336858.97171428235</ns0:v>
      </ns0:c>
      <ns0:c r="F138" s="16">
        <ns0:f>A138*('前提と出典'!$C$36*'契約別単価'!F5+'前提と出典'!$C$37*'契約別単価'!F6+'前提と出典'!$C$38*'契約別単価'!F7)</ns0:f>
        <ns0:v>97882.60656819139</ns0:v>
      </ns0:c>
      <ns0:c r="G138" s="16">
        <ns0:f>A138*('前提と出典'!$C$36*'契約別単価'!G5+'前提と出典'!$C$37*'契約別単価'!G6+'前提と出典'!$C$38*'契約別単価'!G7)</ns0:f>
        <ns0:v>266727.37430167594</ns0:v>
      </ns0:c>
      <ns0:c r="H138" s="16">
        <ns0:f>A138*('前提と出典'!$C$36*'契約別単価'!H5+'前提と出典'!$C$37*'契約別単価'!H6+'前提と出典'!$C$38*'契約別単価'!H7)</ns0:f>
        <ns0:v>92567.77631172621</ns0:v>
      </ns0:c>
      <ns0:c r="I138" s="16">
        <ns0:f>A138*('前提と出典'!$C$36*'契約別単価'!I5+'前提と出典'!$C$37*'契約別単価'!I6+'前提と出典'!$C$38*'契約別単価'!I7)</ns0:f>
        <ns0:v>5654.201117318435</ns0:v>
      </ns0:c>
      <ns0:c r="J138" s="16">
        <ns0:f>A138*('前提と出典'!$C$36*'契約別単価'!J5+'前提と出典'!$C$37*'契約別単価'!J6+'前提と出典'!$C$38*'契約別単価'!J7)</ns0:f>
        <ns0:v>13170.798857180544</ns0:v>
      </ns0:c>
      <ns0:c r="K138" s="16">
        <ns0:f>A138*('前提と出典'!$C$36*'契約別単価'!K5+'前提と出典'!$C$37*'契約別単価'!K6+'前提と出典'!$C$38*'契約別単価'!K7)</ns0:f>
        <ns0:v>56454.67411545623</ns0:v>
      </ns0:c>
      <ns0:c r="L138" s="16">
        <ns0:f>A138*('前提と出典'!$C$36*'契約別単価'!L5+'前提と出典'!$C$37*'契約別単価'!L6+'前提と出典'!$C$38*'契約別単価'!L7)</ns0:f>
        <ns0:v>45965.592543724204</ns0:v>
      </ns0:c>
      <ns0:c r="M138" s="16">
        <ns0:f>IF(('前提と出典'!$C$36+'前提と出典'!$C$38)=0,0,IF(B138&lt;=10,'前提と出典'!B73+'前提と出典'!C73,IF(B138&lt;=100,'前提と出典'!B74+'前提と出典'!C74,IF(B138&lt;=500,'前提と出典'!B75+'前提と出典'!C75,'前提と出典'!B76+'前提と出典'!C76))))</ns0:f>
        <ns0:v>20000</ns0:v>
      </ns0:c>
      <ns0:c r="N138" s="16">
        <ns0:f>IF(('前提と出典'!$C$37+'前提と出典'!$C$38)=0,0,IF(C138&lt;=10,'前提と出典'!D73+'前提と出典'!E73,IF(C138&lt;=100,'前提と出典'!D74+'前提と出典'!E74,IF(C138&lt;=500,'前提と出典'!D75+'前提と出典'!E75,'前提と出典'!D76+'前提と出典'!E76))))</ns0:f>
        <ns0:v>34510.9346263078</ns0:v>
      </ns0:c>
      <ns0:c r="O138" s="16">
        <ns0:f>IF('前提と出典'!$C$36+'前提と出典'!$C$38=0,0,'前提と出典'!$B$4*IF('前提と出典'!$B$20=0,MAX('前提と出典'!$B$6,D138*'前提と出典'!$B$5),'前提と出典'!$B$6+D138*'前提と出典'!$B$5))</ns0:f>
        <ns0:v>133059.75418994413</ns0:v>
      </ns0:c>
      <ns0:c r="P138" s="16">
        <ns0:f>(E138+G138)*(1-'前提と出典'!$B$7)-I138-K138-M138-O138</ns0:f>
        <ns0:v>366688.6081366651</ns0:v>
      </ns0:c>
      <ns0:c r="Q138" s="16">
        <ns0:f>(F138+H138)*(1-'前提と出典'!$B$7)-J138-L138-N138</ns0:f>
        <ns0:v>89946.84306902802</ns0:v>
      </ns0:c>
      <ns0:c r="R138" s="16">
        <ns0:f>P138-E138*'前提と出典'!$E$4</ns0:f>
        <ns0:v>265630.9166223804</ns0:v>
      </ns0:c>
      <ns0:c r="S138" s="16">
        <ns0:f>Q138-F138*'前提と出典'!$E$4</ns0:f>
        <ns0:v>60582.06109857062</ns0:v>
      </ns0:c>
      <ns0:c r="T138" s="7">
        <ns0:f>R138+S138</ns0:f>
        <ns0:v>326212.977720951</ns0:v>
      </ns0:c>
      <ns0:c r="U138" s="16">
        <ns0:f>P138-E138*'前提と出典'!$E$5</ns0:f>
        <ns0:v>231945.01945095212</ns0:v>
      </ns0:c>
      <ns0:c r="V138" s="16">
        <ns0:f>Q138-F138*'前提と出典'!$E$5</ns0:f>
        <ns0:v>50793.80044175147</ns0:v>
      </ns0:c>
      <ns0:c r="W138" s="7">
        <ns0:f>U138+V138</ns0:f>
        <ns0:v>282738.8198927036</ns0:v>
      </ns0:c>
      <ns0:c r="X138" s="16">
        <ns0:f>P138-E138*'前提と出典'!$E$6</ns0:f>
        <ns0:v>198259.12227952387</ns0:v>
      </ns0:c>
      <ns0:c r="Y138" s="16">
        <ns0:f>Q138-F138*'前提と出典'!$E$6</ns0:f>
        <ns0:v>41005.53978493234</ns0:v>
      </ns0:c>
      <ns0:c r="Z138" s="7">
        <ns0:f>X138+Y138</ns0:f>
        <ns0:v>239264.6620644562</ns0:v>
      </ns0:c>
      <ns0:c r="AA138" s="7">
        <ns0:f>IF(T138&gt;=0,A138,1001)</ns0:f>
        <ns0:v>134</ns0:v>
      </ns0:c>
      <ns0:c r="AB138" s="7">
        <ns0:f>IF(T138&lt;0,A138,0)</ns0:f>
        <ns0:v>0</ns0:v>
      </ns0:c>
      <ns0:c r="AC138" s="16">
        <ns0:f>IF(AND(OR('前提と出典'!$C$36+'前提と出典'!$C$38=0,R138&gt;=0),OR('前提と出典'!$C$37+'前提と出典'!$C$38=0,S138&gt;=0)),0,A138)</ns0:f>
        <ns0:v>0</ns0:v>
      </ns0:c>
      <ns0:c r="AD138" s="7">
        <ns0:f>IF(W138&gt;=0,A138,1001)</ns0:f>
        <ns0:v>134</ns0:v>
      </ns0:c>
      <ns0:c r="AE138" s="7">
        <ns0:f>IF(W138&lt;0,A138,0)</ns0:f>
        <ns0:v>0</ns0:v>
      </ns0:c>
      <ns0:c r="AF138" s="16">
        <ns0:f>IF(AND(OR('前提と出典'!$C$36+'前提と出典'!$C$38=0,U138&gt;=0),OR('前提と出典'!$C$37+'前提と出典'!$C$38=0,V138&gt;=0)),0,A138)</ns0:f>
        <ns0:v>0</ns0:v>
      </ns0:c>
      <ns0:c r="AG138" s="7">
        <ns0:f>IF(Z138&gt;=0,A138,1001)</ns0:f>
        <ns0:v>134</ns0:v>
      </ns0:c>
      <ns0:c r="AH138" s="4">
        <ns0:f>IF(Z138&lt;0,A138,0)</ns0:f>
        <ns0:v>0</ns0:v>
      </ns0:c>
      <ns0:c r="AI138" s="12">
        <ns0:f>IF(AND(OR('前提と出典'!$C$36+'前提と出典'!$C$38=0,X138&gt;=0),OR('前提と出典'!$C$37+'前提と出典'!$C$38=0,Y138&gt;=0)),0,A138)</ns0:f>
        <ns0:v>0</ns0:v>
      </ns0:c>
    </ns0:row>
    <ns0:row r="139" ht="24" customHeight="1">
      <ns0:c r="A139" s="4" t="n">
        <ns0:v>135</ns0:v>
      </ns0:c>
      <ns0:c r="B139" s="12">
        <ns0:f>A139*('前提と出典'!$C$36+'前提と出典'!$C$38)</ns0:f>
        <ns0:v>94.5</ns0:v>
      </ns0:c>
      <ns0:c r="C139" s="12">
        <ns0:f>A139*('前提と出典'!$C$37+'前提と出典'!$C$38)</ns0:f>
        <ns0:v>81</ns0:v>
      </ns0:c>
      <ns0:c r="D139" s="16">
        <ns0:f>A139*('前提と出典'!$C$36*'契約別単価'!C5+'前提と出典'!$C$37*'契約別単価'!C6+'前提と出典'!$C$38*'契約別単価'!C7)</ns0:f>
        <ns0:v>971.3966480446927</ns0:v>
      </ns0:c>
      <ns0:c r="E139" s="16">
        <ns0:f>A139*('前提と出典'!$C$36*'契約別単価'!E5+'前提と出典'!$C$37*'契約別単価'!E6+'前提と出典'!$C$38*'契約別単価'!E7)</ns0:f>
        <ns0:v>339372.8446375233</ns0:v>
      </ns0:c>
      <ns0:c r="F139" s="16">
        <ns0:f>A139*('前提と出典'!$C$36*'契約別単価'!F5+'前提と出典'!$C$37*'契約別単価'!F6+'前提と出典'!$C$38*'契約別単価'!F7)</ns0:f>
        <ns0:v>98613.07378138685</ns0:v>
      </ns0:c>
      <ns0:c r="G139" s="16">
        <ns0:f>A139*('前提と出典'!$C$36*'契約別単価'!G5+'前提と出典'!$C$37*'契約別単価'!G6+'前提と出典'!$C$38*'契約別単価'!G7)</ns0:f>
        <ns0:v>268717.87709497206</ns0:v>
      </ns0:c>
      <ns0:c r="H139" s="16">
        <ns0:f>A139*('前提と出典'!$C$36*'契約別単価'!H5+'前提と出典'!$C$37*'契約別単価'!H6+'前提と出典'!$C$38*'契約別単価'!H7)</ns0:f>
        <ns0:v>93258.58061255999</ns0:v>
      </ns0:c>
      <ns0:c r="I139" s="16">
        <ns0:f>A139*('前提と出典'!$C$36*'契約別単価'!I5+'前提と出典'!$C$37*'契約別単価'!I6+'前提と出典'!$C$38*'契約別単価'!I7)</ns0:f>
        <ns0:v>5696.396648044692</ns0:v>
      </ns0:c>
      <ns0:c r="J139" s="16">
        <ns0:f>A139*('前提と出典'!$C$36*'契約別単価'!J5+'前提と出典'!$C$37*'契約別単価'!J6+'前提と出典'!$C$38*'契約別単価'!J7)</ns0:f>
        <ns0:v>13269.088400890847</ns0:v>
      </ns0:c>
      <ns0:c r="K139" s="16">
        <ns0:f>A139*('前提と出典'!$C$36*'契約別単価'!K5+'前提と出典'!$C$37*'契約別単価'!K6+'前提と出典'!$C$38*'契約別単価'!K7)</ns0:f>
        <ns0:v>56875.97765363128</ns0:v>
      </ns0:c>
      <ns0:c r="L139" s="16">
        <ns0:f>A139*('前提と出典'!$C$36*'契約別単価'!L5+'前提と出典'!$C$37*'契約別単価'!L6+'前提と出典'!$C$38*'契約別単価'!L7)</ns0:f>
        <ns0:v>46308.619353752</ns0:v>
      </ns0:c>
      <ns0:c r="M139" s="16">
        <ns0:f>IF(('前提と出典'!$C$36+'前提と出典'!$C$38)=0,0,IF(B139&lt;=10,'前提と出典'!B73+'前提と出典'!C73,IF(B139&lt;=100,'前提と出典'!B74+'前提と出典'!C74,IF(B139&lt;=500,'前提と出典'!B75+'前提と出典'!C75,'前提と出典'!B76+'前提と出典'!C76))))</ns0:f>
        <ns0:v>20000</ns0:v>
      </ns0:c>
      <ns0:c r="N139" s="16">
        <ns0:f>IF(('前提と出典'!$C$37+'前提と出典'!$C$38)=0,0,IF(C139&lt;=10,'前提と出典'!D73+'前提と出典'!E73,IF(C139&lt;=100,'前提と出典'!D74+'前提と出典'!E74,IF(C139&lt;=500,'前提と出典'!D75+'前提と出典'!E75,'前提と出典'!D76+'前提と出典'!E76))))</ns0:f>
        <ns0:v>34510.9346263078</ns0:v>
      </ns0:c>
      <ns0:c r="O139" s="16">
        <ns0:f>IF('前提と出典'!$C$36+'前提と出典'!$C$38=0,0,'前提と出典'!$B$4*IF('前提と出典'!$B$20=0,MAX('前提と出典'!$B$6,D139*'前提と出典'!$B$5),'前提と出典'!$B$6+D139*'前提と出典'!$B$5))</ns0:f>
        <ns0:v>134052.7374301676</ns0:v>
      </ns0:c>
      <ns0:c r="P139" s="16">
        <ns0:f>(E139+G139)*(1-'前提と出典'!$B$7)-I139-K139-M139-O139</ns0:f>
        <ns0:v>369574.34401828196</ns0:v>
      </ns0:c>
      <ns0:c r="Q139" s="16">
        <ns0:f>(F139+H139)*(1-'前提と出典'!$B$7)-J139-L139-N139</ns0:f>
        <ns0:v>90875.6324548141</ns0:v>
      </ns0:c>
      <ns0:c r="R139" s="16">
        <ns0:f>P139-E139*'前提と出典'!$E$4</ns0:f>
        <ns0:v>267762.4906270249</ns0:v>
      </ns0:c>
      <ns0:c r="S139" s="16">
        <ns0:f>Q139-F139*'前提と出典'!$E$4</ns0:f>
        <ns0:v>61291.710320398044</ns0:v>
      </ns0:c>
      <ns0:c r="T139" s="7">
        <ns0:f>R139+S139</ns0:f>
        <ns0:v>329054.20094742294</ns0:v>
      </ns0:c>
      <ns0:c r="U139" s="16">
        <ns0:f>P139-E139*'前提と出典'!$E$5</ns0:f>
        <ns0:v>233825.20616327264</ns0:v>
      </ns0:c>
      <ns0:c r="V139" s="16">
        <ns0:f>Q139-F139*'前提と出典'!$E$5</ns0:f>
        <ns0:v>51430.40294225937</ns0:v>
      </ns0:c>
      <ns0:c r="W139" s="7">
        <ns0:f>U139+V139</ns0:f>
        <ns0:v>285255.609105532</ns0:v>
      </ns0:c>
      <ns0:c r="X139" s="16">
        <ns0:f>P139-E139*'前提と出典'!$E$6</ns0:f>
        <ns0:v>199887.9216995203</ns0:v>
      </ns0:c>
      <ns0:c r="Y139" s="16">
        <ns0:f>Q139-F139*'前提と出典'!$E$6</ns0:f>
        <ns0:v>41569.09556412069</ns0:v>
      </ns0:c>
      <ns0:c r="Z139" s="7">
        <ns0:f>X139+Y139</ns0:f>
        <ns0:v>241457.01726364097</ns0:v>
      </ns0:c>
      <ns0:c r="AA139" s="7">
        <ns0:f>IF(T139&gt;=0,A139,1001)</ns0:f>
        <ns0:v>135</ns0:v>
      </ns0:c>
      <ns0:c r="AB139" s="7">
        <ns0:f>IF(T139&lt;0,A139,0)</ns0:f>
        <ns0:v>0</ns0:v>
      </ns0:c>
      <ns0:c r="AC139" s="16">
        <ns0:f>IF(AND(OR('前提と出典'!$C$36+'前提と出典'!$C$38=0,R139&gt;=0),OR('前提と出典'!$C$37+'前提と出典'!$C$38=0,S139&gt;=0)),0,A139)</ns0:f>
        <ns0:v>0</ns0:v>
      </ns0:c>
      <ns0:c r="AD139" s="7">
        <ns0:f>IF(W139&gt;=0,A139,1001)</ns0:f>
        <ns0:v>135</ns0:v>
      </ns0:c>
      <ns0:c r="AE139" s="7">
        <ns0:f>IF(W139&lt;0,A139,0)</ns0:f>
        <ns0:v>0</ns0:v>
      </ns0:c>
      <ns0:c r="AF139" s="16">
        <ns0:f>IF(AND(OR('前提と出典'!$C$36+'前提と出典'!$C$38=0,U139&gt;=0),OR('前提と出典'!$C$37+'前提と出典'!$C$38=0,V139&gt;=0)),0,A139)</ns0:f>
        <ns0:v>0</ns0:v>
      </ns0:c>
      <ns0:c r="AG139" s="7">
        <ns0:f>IF(Z139&gt;=0,A139,1001)</ns0:f>
        <ns0:v>135</ns0:v>
      </ns0:c>
      <ns0:c r="AH139" s="4">
        <ns0:f>IF(Z139&lt;0,A139,0)</ns0:f>
        <ns0:v>0</ns0:v>
      </ns0:c>
      <ns0:c r="AI139" s="12">
        <ns0:f>IF(AND(OR('前提と出典'!$C$36+'前提と出典'!$C$38=0,X139&gt;=0),OR('前提と出典'!$C$37+'前提と出典'!$C$38=0,Y139&gt;=0)),0,A139)</ns0:f>
        <ns0:v>0</ns0:v>
      </ns0:c>
    </ns0:row>
    <ns0:row r="140" ht="24" customHeight="1">
      <ns0:c r="A140" s="4" t="n">
        <ns0:v>136</ns0:v>
      </ns0:c>
      <ns0:c r="B140" s="12">
        <ns0:f>A140*('前提と出典'!$C$36+'前提と出典'!$C$38)</ns0:f>
        <ns0:v>95.19999999999999</ns0:v>
      </ns0:c>
      <ns0:c r="C140" s="12">
        <ns0:f>A140*('前提と出典'!$C$37+'前提と出典'!$C$38)</ns0:f>
        <ns0:v>81.6</ns0:v>
      </ns0:c>
      <ns0:c r="D140" s="16">
        <ns0:f>A140*('前提と出典'!$C$36*'契約別単価'!C5+'前提と出典'!$C$37*'契約別単価'!C6+'前提と出典'!$C$38*'契約別単価'!C7)</ns0:f>
        <ns0:v>978.5921787709497</ns0:v>
      </ns0:c>
      <ns0:c r="E140" s="16">
        <ns0:f>A140*('前提と出典'!$C$36*'契約別単価'!E5+'前提と出典'!$C$37*'契約別単価'!E6+'前提と出典'!$C$38*'契約別単価'!E7)</ns0:f>
        <ns0:v>341886.71756076417</ns0:v>
      </ns0:c>
      <ns0:c r="F140" s="16">
        <ns0:f>A140*('前提と出典'!$C$36*'契約別単価'!F5+'前提と出典'!$C$37*'契約別単価'!F6+'前提と出典'!$C$38*'契約別単価'!F7)</ns0:f>
        <ns0:v>99343.5409945823</ns0:v>
      </ns0:c>
      <ns0:c r="G140" s="16">
        <ns0:f>A140*('前提と出典'!$C$36*'契約別単価'!G5+'前提と出典'!$C$37*'契約別単価'!G6+'前提と出典'!$C$38*'契約別単価'!G7)</ns0:f>
        <ns0:v>270708.37988826813</ns0:v>
      </ns0:c>
      <ns0:c r="H140" s="16">
        <ns0:f>A140*('前提と出典'!$C$36*'契約別単価'!H5+'前提と出典'!$C$37*'契約別単価'!H6+'前提と出典'!$C$38*'契約別単価'!H7)</ns0:f>
        <ns0:v>93949.38491339376</ns0:v>
      </ns0:c>
      <ns0:c r="I140" s="16">
        <ns0:f>A140*('前提と出典'!$C$36*'契約別単価'!I5+'前提と出典'!$C$37*'契約別単価'!I6+'前提と出典'!$C$38*'契約別単価'!I7)</ns0:f>
        <ns0:v>5738.5921787709485</ns0:v>
      </ns0:c>
      <ns0:c r="J140" s="16">
        <ns0:f>A140*('前提と出典'!$C$36*'契約別単価'!J5+'前提と出典'!$C$37*'契約別単価'!J6+'前提と出典'!$C$38*'契約別単価'!J7)</ns0:f>
        <ns0:v>13367.377944601149</ns0:v>
      </ns0:c>
      <ns0:c r="K140" s="16">
        <ns0:f>A140*('前提と出典'!$C$36*'契約別単価'!K5+'前提と出典'!$C$37*'契約別単価'!K6+'前提と出典'!$C$38*'契約別単価'!K7)</ns0:f>
        <ns0:v>57297.28119180633</ns0:v>
      </ns0:c>
      <ns0:c r="L140" s="16">
        <ns0:f>A140*('前提と出典'!$C$36*'契約別単価'!L5+'前提と出典'!$C$37*'契約別単価'!L6+'前提と出典'!$C$38*'契約別単価'!L7)</ns0:f>
        <ns0:v>46651.64616377979</ns0:v>
      </ns0:c>
      <ns0:c r="M140" s="16">
        <ns0:f>IF(('前提と出典'!$C$36+'前提と出典'!$C$38)=0,0,IF(B140&lt;=10,'前提と出典'!B73+'前提と出典'!C73,IF(B140&lt;=100,'前提と出典'!B74+'前提と出典'!C74,IF(B140&lt;=500,'前提と出典'!B75+'前提と出典'!C75,'前提と出典'!B76+'前提と出典'!C76))))</ns0:f>
        <ns0:v>20000</ns0:v>
      </ns0:c>
      <ns0:c r="N140" s="16">
        <ns0:f>IF(('前提と出典'!$C$37+'前提と出典'!$C$38)=0,0,IF(C140&lt;=10,'前提と出典'!D73+'前提と出典'!E73,IF(C140&lt;=100,'前提と出典'!D74+'前提と出典'!E74,IF(C140&lt;=500,'前提と出典'!D75+'前提と出典'!E75,'前提と出典'!D76+'前提と出典'!E76))))</ns0:f>
        <ns0:v>34510.9346263078</ns0:v>
      </ns0:c>
      <ns0:c r="O140" s="16">
        <ns0:f>IF('前提と出典'!$C$36+'前提と出典'!$C$38=0,0,'前提と出典'!$B$4*IF('前提と出典'!$B$20=0,MAX('前提と出典'!$B$6,D140*'前提と出典'!$B$5),'前提と出典'!$B$6+D140*'前提と出典'!$B$5))</ns0:f>
        <ns0:v>135045.72067039105</ns0:v>
      </ns0:c>
      <ns0:c r="P140" s="16">
        <ns0:f>(E140+G140)*(1-'前提と出典'!$B$7)-I140-K140-M140-O140</ns0:f>
        <ns0:v>372460.07989989885</ns0:v>
      </ns0:c>
      <ns0:c r="Q140" s="16">
        <ns0:f>(F140+H140)*(1-'前提と出典'!$B$7)-J140-L140-N140</ns0:f>
        <ns0:v>91804.42184060017</ns0:v>
      </ns0:c>
      <ns0:c r="R140" s="16">
        <ns0:f>P140-E140*'前提と出典'!$E$4</ns0:f>
        <ns0:v>269894.06463166967</ns0:v>
      </ns0:c>
      <ns0:c r="S140" s="16">
        <ns0:f>Q140-F140*'前提と出典'!$E$4</ns0:f>
        <ns0:v>62001.35954222548</ns0:v>
      </ns0:c>
      <ns0:c r="T140" s="7">
        <ns0:f>R140+S140</ns0:f>
        <ns0:v>331895.42417389515</ns0:v>
      </ns0:c>
      <ns0:c r="U140" s="16">
        <ns0:f>P140-E140*'前提と出典'!$E$5</ns0:f>
        <ns0:v>235705.3928755932</ns0:v>
      </ns0:c>
      <ns0:c r="V140" s="16">
        <ns0:f>Q140-F140*'前提と出典'!$E$5</ns0:f>
        <ns0:v>52067.00544276725</ns0:v>
      </ns0:c>
      <ns0:c r="W140" s="7">
        <ns0:f>U140+V140</ns0:f>
        <ns0:v>287772.39831836044</ns0:v>
      </ns0:c>
      <ns0:c r="X140" s="16">
        <ns0:f>P140-E140*'前提と出典'!$E$6</ns0:f>
        <ns0:v>201516.72111951682</ns0:v>
      </ns0:c>
      <ns0:c r="Y140" s="16">
        <ns0:f>Q140-F140*'前提と出典'!$E$6</ns0:f>
        <ns0:v>42132.65134330902</ns0:v>
      </ns0:c>
      <ns0:c r="Z140" s="7">
        <ns0:f>X140+Y140</ns0:f>
        <ns0:v>243649.37246282585</ns0:v>
      </ns0:c>
      <ns0:c r="AA140" s="7">
        <ns0:f>IF(T140&gt;=0,A140,1001)</ns0:f>
        <ns0:v>136</ns0:v>
      </ns0:c>
      <ns0:c r="AB140" s="7">
        <ns0:f>IF(T140&lt;0,A140,0)</ns0:f>
        <ns0:v>0</ns0:v>
      </ns0:c>
      <ns0:c r="AC140" s="16">
        <ns0:f>IF(AND(OR('前提と出典'!$C$36+'前提と出典'!$C$38=0,R140&gt;=0),OR('前提と出典'!$C$37+'前提と出典'!$C$38=0,S140&gt;=0)),0,A140)</ns0:f>
        <ns0:v>0</ns0:v>
      </ns0:c>
      <ns0:c r="AD140" s="7">
        <ns0:f>IF(W140&gt;=0,A140,1001)</ns0:f>
        <ns0:v>136</ns0:v>
      </ns0:c>
      <ns0:c r="AE140" s="7">
        <ns0:f>IF(W140&lt;0,A140,0)</ns0:f>
        <ns0:v>0</ns0:v>
      </ns0:c>
      <ns0:c r="AF140" s="16">
        <ns0:f>IF(AND(OR('前提と出典'!$C$36+'前提と出典'!$C$38=0,U140&gt;=0),OR('前提と出典'!$C$37+'前提と出典'!$C$38=0,V140&gt;=0)),0,A140)</ns0:f>
        <ns0:v>0</ns0:v>
      </ns0:c>
      <ns0:c r="AG140" s="7">
        <ns0:f>IF(Z140&gt;=0,A140,1001)</ns0:f>
        <ns0:v>136</ns0:v>
      </ns0:c>
      <ns0:c r="AH140" s="4">
        <ns0:f>IF(Z140&lt;0,A140,0)</ns0:f>
        <ns0:v>0</ns0:v>
      </ns0:c>
      <ns0:c r="AI140" s="12">
        <ns0:f>IF(AND(OR('前提と出典'!$C$36+'前提と出典'!$C$38=0,X140&gt;=0),OR('前提と出典'!$C$37+'前提と出典'!$C$38=0,Y140&gt;=0)),0,A140)</ns0:f>
        <ns0:v>0</ns0:v>
      </ns0:c>
    </ns0:row>
    <ns0:row r="141" ht="24" customHeight="1">
      <ns0:c r="A141" s="4" t="n">
        <ns0:v>137</ns0:v>
      </ns0:c>
      <ns0:c r="B141" s="12">
        <ns0:f>A141*('前提と出典'!$C$36+'前提と出典'!$C$38)</ns0:f>
        <ns0:v>95.89999999999999</ns0:v>
      </ns0:c>
      <ns0:c r="C141" s="12">
        <ns0:f>A141*('前提と出典'!$C$37+'前提と出典'!$C$38)</ns0:f>
        <ns0:v>82.2</ns0:v>
      </ns0:c>
      <ns0:c r="D141" s="16">
        <ns0:f>A141*('前提と出典'!$C$36*'契約別単価'!C5+'前提と出典'!$C$37*'契約別単価'!C6+'前提と出典'!$C$38*'契約別単価'!C7)</ns0:f>
        <ns0:v>985.7877094972067</ns0:v>
      </ns0:c>
      <ns0:c r="E141" s="16">
        <ns0:f>A141*('前提と出典'!$C$36*'契約別単価'!E5+'前提と出典'!$C$37*'契約別単価'!E6+'前提と出典'!$C$38*'契約別単価'!E7)</ns0:f>
        <ns0:v>344400.5904840051</ns0:v>
      </ns0:c>
      <ns0:c r="F141" s="16">
        <ns0:f>A141*('前提と出典'!$C$36*'契約別単価'!F5+'前提と出典'!$C$37*'契約別単価'!F6+'前提と出典'!$C$38*'契約別単価'!F7)</ns0:f>
        <ns0:v>100074.00820777776</ns0:v>
      </ns0:c>
      <ns0:c r="G141" s="16">
        <ns0:f>A141*('前提と出典'!$C$36*'契約別単価'!G5+'前提と出典'!$C$37*'契約別単価'!G6+'前提と出典'!$C$38*'契約別単価'!G7)</ns0:f>
        <ns0:v>272698.88268156425</ns0:v>
      </ns0:c>
      <ns0:c r="H141" s="16">
        <ns0:f>A141*('前提と出典'!$C$36*'契約別単価'!H5+'前提と出典'!$C$37*'契約別単価'!H6+'前提と出典'!$C$38*'契約別単価'!H7)</ns0:f>
        <ns0:v>94640.18921422755</ns0:v>
      </ns0:c>
      <ns0:c r="I141" s="16">
        <ns0:f>A141*('前提と出典'!$C$36*'契約別単価'!I5+'前提と出典'!$C$37*'契約別単価'!I6+'前提と出典'!$C$38*'契約別単価'!I7)</ns0:f>
        <ns0:v>5780.7877094972055</ns0:v>
      </ns0:c>
      <ns0:c r="J141" s="16">
        <ns0:f>A141*('前提と出典'!$C$36*'契約別単価'!J5+'前提と出典'!$C$37*'契約別単価'!J6+'前提と出典'!$C$38*'契約別単価'!J7)</ns0:f>
        <ns0:v>13465.667488311452</ns0:v>
      </ns0:c>
      <ns0:c r="K141" s="16">
        <ns0:f>A141*('前提と出典'!$C$36*'契約別単価'!K5+'前提と出典'!$C$37*'契約別単価'!K6+'前提と出典'!$C$38*'契約別単価'!K7)</ns0:f>
        <ns0:v>57718.584729981376</ns0:v>
      </ns0:c>
      <ns0:c r="L141" s="16">
        <ns0:f>A141*('前提と出典'!$C$36*'契約別単価'!L5+'前提と出典'!$C$37*'契約別単価'!L6+'前提と出典'!$C$38*'契約別単価'!L7)</ns0:f>
        <ns0:v>46994.67297380758</ns0:v>
      </ns0:c>
      <ns0:c r="M141" s="16">
        <ns0:f>IF(('前提と出典'!$C$36+'前提と出典'!$C$38)=0,0,IF(B141&lt;=10,'前提と出典'!B73+'前提と出典'!C73,IF(B141&lt;=100,'前提と出典'!B74+'前提と出典'!C74,IF(B141&lt;=500,'前提と出典'!B75+'前提と出典'!C75,'前提と出典'!B76+'前提と出典'!C76))))</ns0:f>
        <ns0:v>20000</ns0:v>
      </ns0:c>
      <ns0:c r="N141" s="16">
        <ns0:f>IF(('前提と出典'!$C$37+'前提と出典'!$C$38)=0,0,IF(C141&lt;=10,'前提と出典'!D73+'前提と出典'!E73,IF(C141&lt;=100,'前提と出典'!D74+'前提と出典'!E74,IF(C141&lt;=500,'前提と出典'!D75+'前提と出典'!E75,'前提と出典'!D76+'前提と出典'!E76))))</ns0:f>
        <ns0:v>34510.9346263078</ns0:v>
      </ns0:c>
      <ns0:c r="O141" s="16">
        <ns0:f>IF('前提と出典'!$C$36+'前提と出典'!$C$38=0,0,'前提と出典'!$B$4*IF('前提と出典'!$B$20=0,MAX('前提と出典'!$B$6,D141*'前提と出典'!$B$5),'前提と出典'!$B$6+D141*'前提と出典'!$B$5))</ns0:f>
        <ns0:v>136038.70391061454</ns0:v>
      </ns0:c>
      <ns0:c r="P141" s="16">
        <ns0:f>(E141+G141)*(1-'前提と出典'!$B$7)-I141-K141-M141-O141</ns0:f>
        <ns0:v>375345.8157815157</ns0:v>
      </ns0:c>
      <ns0:c r="Q141" s="16">
        <ns0:f>(F141+H141)*(1-'前提と出典'!$B$7)-J141-L141-N141</ns0:f>
        <ns0:v>92733.21122638628</ns0:v>
      </ns0:c>
      <ns0:c r="R141" s="16">
        <ns0:f>P141-E141*'前提と出典'!$E$4</ns0:f>
        <ns0:v>272025.6386363142</ns0:v>
      </ns0:c>
      <ns0:c r="S141" s="16">
        <ns0:f>Q141-F141*'前提と出典'!$E$4</ns0:f>
        <ns0:v>62711.008764052975</ns0:v>
      </ns0:c>
      <ns0:c r="T141" s="7">
        <ns0:f>R141+S141</ns0:f>
        <ns0:v>334736.6474003672</ns0:v>
      </ns0:c>
      <ns0:c r="U141" s="16">
        <ns0:f>P141-E141*'前提と出典'!$E$5</ns0:f>
        <ns0:v>237585.57958791364</ns0:v>
      </ns0:c>
      <ns0:c r="V141" s="16">
        <ns0:f>Q141-F141*'前提と出典'!$E$5</ns0:f>
        <ns0:v>52703.607943275165</ns0:v>
      </ns0:c>
      <ns0:c r="W141" s="7">
        <ns0:f>U141+V141</ns0:f>
        <ns0:v>290289.1875311888</ns0:v>
      </ns0:c>
      <ns0:c r="X141" s="16">
        <ns0:f>P141-E141*'前提と出典'!$E$6</ns0:f>
        <ns0:v>203145.52053951315</ns0:v>
      </ns0:c>
      <ns0:c r="Y141" s="16">
        <ns0:f>Q141-F141*'前提と出典'!$E$6</ns0:f>
        <ns0:v>42696.20712249741</ns0:v>
      </ns0:c>
      <ns0:c r="Z141" s="7">
        <ns0:f>X141+Y141</ns0:f>
        <ns0:v>245841.72766201055</ns0:v>
      </ns0:c>
      <ns0:c r="AA141" s="7">
        <ns0:f>IF(T141&gt;=0,A141,1001)</ns0:f>
        <ns0:v>137</ns0:v>
      </ns0:c>
      <ns0:c r="AB141" s="7">
        <ns0:f>IF(T141&lt;0,A141,0)</ns0:f>
        <ns0:v>0</ns0:v>
      </ns0:c>
      <ns0:c r="AC141" s="16">
        <ns0:f>IF(AND(OR('前提と出典'!$C$36+'前提と出典'!$C$38=0,R141&gt;=0),OR('前提と出典'!$C$37+'前提と出典'!$C$38=0,S141&gt;=0)),0,A141)</ns0:f>
        <ns0:v>0</ns0:v>
      </ns0:c>
      <ns0:c r="AD141" s="7">
        <ns0:f>IF(W141&gt;=0,A141,1001)</ns0:f>
        <ns0:v>137</ns0:v>
      </ns0:c>
      <ns0:c r="AE141" s="7">
        <ns0:f>IF(W141&lt;0,A141,0)</ns0:f>
        <ns0:v>0</ns0:v>
      </ns0:c>
      <ns0:c r="AF141" s="16">
        <ns0:f>IF(AND(OR('前提と出典'!$C$36+'前提と出典'!$C$38=0,U141&gt;=0),OR('前提と出典'!$C$37+'前提と出典'!$C$38=0,V141&gt;=0)),0,A141)</ns0:f>
        <ns0:v>0</ns0:v>
      </ns0:c>
      <ns0:c r="AG141" s="7">
        <ns0:f>IF(Z141&gt;=0,A141,1001)</ns0:f>
        <ns0:v>137</ns0:v>
      </ns0:c>
      <ns0:c r="AH141" s="4">
        <ns0:f>IF(Z141&lt;0,A141,0)</ns0:f>
        <ns0:v>0</ns0:v>
      </ns0:c>
      <ns0:c r="AI141" s="12">
        <ns0:f>IF(AND(OR('前提と出典'!$C$36+'前提と出典'!$C$38=0,X141&gt;=0),OR('前提と出典'!$C$37+'前提と出典'!$C$38=0,Y141&gt;=0)),0,A141)</ns0:f>
        <ns0:v>0</ns0:v>
      </ns0:c>
    </ns0:row>
    <ns0:row r="142" ht="24" customHeight="1">
      <ns0:c r="A142" s="4" t="n">
        <ns0:v>138</ns0:v>
      </ns0:c>
      <ns0:c r="B142" s="12">
        <ns0:f>A142*('前提と出典'!$C$36+'前提と出典'!$C$38)</ns0:f>
        <ns0:v>96.6</ns0:v>
      </ns0:c>
      <ns0:c r="C142" s="12">
        <ns0:f>A142*('前提と出典'!$C$37+'前提と出典'!$C$38)</ns0:f>
        <ns0:v>82.8</ns0:v>
      </ns0:c>
      <ns0:c r="D142" s="16">
        <ns0:f>A142*('前提と出典'!$C$36*'契約別単価'!C5+'前提と出典'!$C$37*'契約別単価'!C6+'前提と出典'!$C$38*'契約別単価'!C7)</ns0:f>
        <ns0:v>992.9832402234637</ns0:v>
      </ns0:c>
      <ns0:c r="E142" s="16">
        <ns0:f>A142*('前提と出典'!$C$36*'契約別単価'!E5+'前提と出典'!$C$37*'契約別単価'!E6+'前提と出典'!$C$38*'契約別単価'!E7)</ns0:f>
        <ns0:v>346914.46340724605</ns0:v>
      </ns0:c>
      <ns0:c r="F142" s="16">
        <ns0:f>A142*('前提と出典'!$C$36*'契約別単価'!F5+'前提と出典'!$C$37*'契約別単価'!F6+'前提と出典'!$C$38*'契約別単価'!F7)</ns0:f>
        <ns0:v>100804.47542097322</ns0:v>
      </ns0:c>
      <ns0:c r="G142" s="16">
        <ns0:f>A142*('前提と出典'!$C$36*'契約別単価'!G5+'前提と出典'!$C$37*'契約別単価'!G6+'前提と出典'!$C$38*'契約別単価'!G7)</ns0:f>
        <ns0:v>274689.3854748603</ns0:v>
      </ns0:c>
      <ns0:c r="H142" s="16">
        <ns0:f>A142*('前提と出典'!$C$36*'契約別単価'!H5+'前提と出典'!$C$37*'契約別単価'!H6+'前提と出典'!$C$38*'契約別単価'!H7)</ns0:f>
        <ns0:v>95330.99351506132</ns0:v>
      </ns0:c>
      <ns0:c r="I142" s="16">
        <ns0:f>A142*('前提と出典'!$C$36*'契約別単価'!I5+'前提と出典'!$C$37*'契約別単価'!I6+'前提と出典'!$C$38*'契約別単価'!I7)</ns0:f>
        <ns0:v>5822.983240223462</ns0:v>
      </ns0:c>
      <ns0:c r="J142" s="16">
        <ns0:f>A142*('前提と出典'!$C$36*'契約別単価'!J5+'前提と出典'!$C$37*'契約別単価'!J6+'前提と出典'!$C$38*'契約別単価'!J7)</ns0:f>
        <ns0:v>13563.957032021754</ns0:v>
      </ns0:c>
      <ns0:c r="K142" s="16">
        <ns0:f>A142*('前提と出典'!$C$36*'契約別単価'!K5+'前提と出典'!$C$37*'契約別単価'!K6+'前提と出典'!$C$38*'契約別単価'!K7)</ns0:f>
        <ns0:v>58139.88826815642</ns0:v>
      </ns0:c>
      <ns0:c r="L142" s="16">
        <ns0:f>A142*('前提と出典'!$C$36*'契約別単価'!L5+'前提と出典'!$C$37*'契約別単価'!L6+'前提と出典'!$C$38*'契約別単価'!L7)</ns0:f>
        <ns0:v>47337.69978383538</ns0:v>
      </ns0:c>
      <ns0:c r="M142" s="16">
        <ns0:f>IF(('前提と出典'!$C$36+'前提と出典'!$C$38)=0,0,IF(B142&lt;=10,'前提と出典'!B73+'前提と出典'!C73,IF(B142&lt;=100,'前提と出典'!B74+'前提と出典'!C74,IF(B142&lt;=500,'前提と出典'!B75+'前提と出典'!C75,'前提と出典'!B76+'前提と出典'!C76))))</ns0:f>
        <ns0:v>20000</ns0:v>
      </ns0:c>
      <ns0:c r="N142" s="16">
        <ns0:f>IF(('前提と出典'!$C$37+'前提と出典'!$C$38)=0,0,IF(C142&lt;=10,'前提と出典'!D73+'前提と出典'!E73,IF(C142&lt;=100,'前提と出典'!D74+'前提と出典'!E74,IF(C142&lt;=500,'前提と出典'!D75+'前提と出典'!E75,'前提と出典'!D76+'前提と出典'!E76))))</ns0:f>
        <ns0:v>34510.9346263078</ns0:v>
      </ns0:c>
      <ns0:c r="O142" s="16">
        <ns0:f>IF('前提と出典'!$C$36+'前提と出典'!$C$38=0,0,'前提と出典'!$B$4*IF('前提と出典'!$B$20=0,MAX('前提と出典'!$B$6,D142*'前提と出典'!$B$5),'前提と出典'!$B$6+D142*'前提と出典'!$B$5))</ns0:f>
        <ns0:v>137031.687150838</ns0:v>
      </ns0:c>
      <ns0:c r="P142" s="16">
        <ns0:f>(E142+G142)*(1-'前提と出典'!$B$7)-I142-K142-M142-O142</ns0:f>
        <ns0:v>378231.5516631326</ns0:v>
      </ns0:c>
      <ns0:c r="Q142" s="16">
        <ns0:f>(F142+H142)*(1-'前提と出典'!$B$7)-J142-L142-N142</ns0:f>
        <ns0:v>93662.00061217236</ns0:v>
      </ns0:c>
      <ns0:c r="R142" s="16">
        <ns0:f>P142-E142*'前提と出典'!$E$4</ns0:f>
        <ns0:v>274157.21264095884</ns0:v>
      </ns0:c>
      <ns0:c r="S142" s="16">
        <ns0:f>Q142-F142*'前提と出典'!$E$4</ns0:f>
        <ns0:v>63420.657985880396</ns0:v>
      </ns0:c>
      <ns0:c r="T142" s="7">
        <ns0:f>R142+S142</ns0:f>
        <ns0:v>337577.8706268392</ns0:v>
      </ns0:c>
      <ns0:c r="U142" s="16">
        <ns0:f>P142-E142*'前提と出典'!$E$5</ns0:f>
        <ns0:v>239465.76630023416</ns0:v>
      </ns0:c>
      <ns0:c r="V142" s="16">
        <ns0:f>Q142-F142*'前提と出典'!$E$5</ns0:f>
        <ns0:v>53340.210443783064</ns0:v>
      </ns0:c>
      <ns0:c r="W142" s="7">
        <ns0:f>U142+V142</ns0:f>
        <ns0:v>292805.9767440172</ns0:v>
      </ns0:c>
      <ns0:c r="X142" s="16">
        <ns0:f>P142-E142*'前提と出典'!$E$6</ns0:f>
        <ns0:v>204774.31995950956</ns0:v>
      </ns0:c>
      <ns0:c r="Y142" s="16">
        <ns0:f>Q142-F142*'前提と出典'!$E$6</ns0:f>
        <ns0:v>43259.76290168576</ns0:v>
      </ns0:c>
      <ns0:c r="Z142" s="7">
        <ns0:f>X142+Y142</ns0:f>
        <ns0:v>248034.08286119532</ns0:v>
      </ns0:c>
      <ns0:c r="AA142" s="7">
        <ns0:f>IF(T142&gt;=0,A142,1001)</ns0:f>
        <ns0:v>138</ns0:v>
      </ns0:c>
      <ns0:c r="AB142" s="7">
        <ns0:f>IF(T142&lt;0,A142,0)</ns0:f>
        <ns0:v>0</ns0:v>
      </ns0:c>
      <ns0:c r="AC142" s="16">
        <ns0:f>IF(AND(OR('前提と出典'!$C$36+'前提と出典'!$C$38=0,R142&gt;=0),OR('前提と出典'!$C$37+'前提と出典'!$C$38=0,S142&gt;=0)),0,A142)</ns0:f>
        <ns0:v>0</ns0:v>
      </ns0:c>
      <ns0:c r="AD142" s="7">
        <ns0:f>IF(W142&gt;=0,A142,1001)</ns0:f>
        <ns0:v>138</ns0:v>
      </ns0:c>
      <ns0:c r="AE142" s="7">
        <ns0:f>IF(W142&lt;0,A142,0)</ns0:f>
        <ns0:v>0</ns0:v>
      </ns0:c>
      <ns0:c r="AF142" s="16">
        <ns0:f>IF(AND(OR('前提と出典'!$C$36+'前提と出典'!$C$38=0,U142&gt;=0),OR('前提と出典'!$C$37+'前提と出典'!$C$38=0,V142&gt;=0)),0,A142)</ns0:f>
        <ns0:v>0</ns0:v>
      </ns0:c>
      <ns0:c r="AG142" s="7">
        <ns0:f>IF(Z142&gt;=0,A142,1001)</ns0:f>
        <ns0:v>138</ns0:v>
      </ns0:c>
      <ns0:c r="AH142" s="4">
        <ns0:f>IF(Z142&lt;0,A142,0)</ns0:f>
        <ns0:v>0</ns0:v>
      </ns0:c>
      <ns0:c r="AI142" s="12">
        <ns0:f>IF(AND(OR('前提と出典'!$C$36+'前提と出典'!$C$38=0,X142&gt;=0),OR('前提と出典'!$C$37+'前提と出典'!$C$38=0,Y142&gt;=0)),0,A142)</ns0:f>
        <ns0:v>0</ns0:v>
      </ns0:c>
    </ns0:row>
    <ns0:row r="143" ht="24" customHeight="1">
      <ns0:c r="A143" s="4" t="n">
        <ns0:v>139</ns0:v>
      </ns0:c>
      <ns0:c r="B143" s="12">
        <ns0:f>A143*('前提と出典'!$C$36+'前提と出典'!$C$38)</ns0:f>
        <ns0:v>97.3</ns0:v>
      </ns0:c>
      <ns0:c r="C143" s="12">
        <ns0:f>A143*('前提と出典'!$C$37+'前提と出典'!$C$38)</ns0:f>
        <ns0:v>83.39999999999999</ns0:v>
      </ns0:c>
      <ns0:c r="D143" s="16">
        <ns0:f>A143*('前提と出典'!$C$36*'契約別単価'!C5+'前提と出典'!$C$37*'契約別単価'!C6+'前提と出典'!$C$38*'契約別単価'!C7)</ns0:f>
        <ns0:v>1000.1787709497206</ns0:v>
      </ns0:c>
      <ns0:c r="E143" s="16">
        <ns0:f>A143*('前提と出典'!$C$36*'契約別単価'!E5+'前提と出典'!$C$37*'契約別単価'!E6+'前提と出典'!$C$38*'契約別単価'!E7)</ns0:f>
        <ns0:v>349428.3363304869</ns0:v>
      </ns0:c>
      <ns0:c r="F143" s="16">
        <ns0:f>A143*('前提と出典'!$C$36*'契約別単価'!F5+'前提と出典'!$C$37*'契約別単価'!F6+'前提と出典'!$C$38*'契約別単価'!F7)</ns0:f>
        <ns0:v>101534.94263416868</ns0:v>
      </ns0:c>
      <ns0:c r="G143" s="16">
        <ns0:f>A143*('前提と出典'!$C$36*'契約別単価'!G5+'前提と出典'!$C$37*'契約別単価'!G6+'前提と出典'!$C$38*'契約別単価'!G7)</ns0:f>
        <ns0:v>276679.8882681564</ns0:v>
      </ns0:c>
      <ns0:c r="H143" s="16">
        <ns0:f>A143*('前提と出典'!$C$36*'契約別単価'!H5+'前提と出典'!$C$37*'契約別単価'!H6+'前提と出典'!$C$38*'契約別単価'!H7)</ns0:f>
        <ns0:v>96021.7978158951</ns0:v>
      </ns0:c>
      <ns0:c r="I143" s="16">
        <ns0:f>A143*('前提と出典'!$C$36*'契約別単価'!I5+'前提と出典'!$C$37*'契約別単価'!I6+'前提と出典'!$C$38*'契約別単価'!I7)</ns0:f>
        <ns0:v>5865.178770949719</ns0:v>
      </ns0:c>
      <ns0:c r="J143" s="16">
        <ns0:f>A143*('前提と出典'!$C$36*'契約別単価'!J5+'前提と出典'!$C$37*'契約別単価'!J6+'前提と出典'!$C$38*'契約別単価'!J7)</ns0:f>
        <ns0:v>13662.246575732057</ns0:v>
      </ns0:c>
      <ns0:c r="K143" s="16">
        <ns0:f>A143*('前提と出典'!$C$36*'契約別単価'!K5+'前提と出典'!$C$37*'契約別単価'!K6+'前提と出典'!$C$38*'契約別単価'!K7)</ns0:f>
        <ns0:v>58561.191806331466</ns0:v>
      </ns0:c>
      <ns0:c r="L143" s="16">
        <ns0:f>A143*('前提と出典'!$C$36*'契約別単価'!L5+'前提と出典'!$C$37*'契約別単価'!L6+'前提と出典'!$C$38*'契約別単価'!L7)</ns0:f>
        <ns0:v>47680.72659386317</ns0:v>
      </ns0:c>
      <ns0:c r="M143" s="16">
        <ns0:f>IF(('前提と出典'!$C$36+'前提と出典'!$C$38)=0,0,IF(B143&lt;=10,'前提と出典'!B73+'前提と出典'!C73,IF(B143&lt;=100,'前提と出典'!B74+'前提と出典'!C74,IF(B143&lt;=500,'前提と出典'!B75+'前提と出典'!C75,'前提と出典'!B76+'前提と出典'!C76))))</ns0:f>
        <ns0:v>20000</ns0:v>
      </ns0:c>
      <ns0:c r="N143" s="16">
        <ns0:f>IF(('前提と出典'!$C$37+'前提と出典'!$C$38)=0,0,IF(C143&lt;=10,'前提と出典'!D73+'前提と出典'!E73,IF(C143&lt;=100,'前提と出典'!D74+'前提と出典'!E74,IF(C143&lt;=500,'前提と出典'!D75+'前提と出典'!E75,'前提と出典'!D76+'前提と出典'!E76))))</ns0:f>
        <ns0:v>34510.9346263078</ns0:v>
      </ns0:c>
      <ns0:c r="O143" s="16">
        <ns0:f>IF('前提と出典'!$C$36+'前提と出典'!$C$38=0,0,'前提と出典'!$B$4*IF('前提と出典'!$B$20=0,MAX('前提と出典'!$B$6,D143*'前提と出典'!$B$5),'前提と出典'!$B$6+D143*'前提と出典'!$B$5))</ns0:f>
        <ns0:v>138024.67039106143</ns0:v>
      </ns0:c>
      <ns0:c r="P143" s="16">
        <ns0:f>(E143+G143)*(1-'前提と出典'!$B$7)-I143-K143-M143-O143</ns0:f>
        <ns0:v>381117.28754474956</ns0:v>
      </ns0:c>
      <ns0:c r="Q143" s="16">
        <ns0:f>(F143+H143)*(1-'前提と出典'!$B$7)-J143-L143-N143</ns0:f>
        <ns0:v>94590.78999795846</ns0:v>
      </ns0:c>
      <ns0:c r="R143" s="16">
        <ns0:f>P143-E143*'前提と出典'!$E$4</ns0:f>
        <ns0:v>276288.7866456035</ns0:v>
      </ns0:c>
      <ns0:c r="S143" s="16">
        <ns0:f>Q143-F143*'前提と出典'!$E$4</ns0:f>
        <ns0:v>64130.307207707876</ns0:v>
      </ns0:c>
      <ns0:c r="T143" s="7">
        <ns0:f>R143+S143</ns0:f>
        <ns0:v>340419.0938533114</ns0:v>
      </ns0:c>
      <ns0:c r="U143" s="16">
        <ns0:f>P143-E143*'前提と出典'!$E$5</ns0:f>
        <ns0:v>241345.95301255482</ns0:v>
      </ns0:c>
      <ns0:c r="V143" s="16">
        <ns0:f>Q143-F143*'前提と出典'!$E$5</ns0:f>
        <ns0:v>53976.81294429099</ns0:v>
      </ns0:c>
      <ns0:c r="W143" s="7">
        <ns0:f>U143+V143</ns0:f>
        <ns0:v>295322.76595684583</ns0:v>
      </ns0:c>
      <ns0:c r="X143" s="16">
        <ns0:f>P143-E143*'前提と出典'!$E$6</ns0:f>
        <ns0:v>206403.11937950613</ns0:v>
      </ns0:c>
      <ns0:c r="Y143" s="16">
        <ns0:f>Q143-F143*'前提と出典'!$E$6</ns0:f>
        <ns0:v>43823.31868087411</ns0:v>
      </ns0:c>
      <ns0:c r="Z143" s="7">
        <ns0:f>X143+Y143</ns0:f>
        <ns0:v>250226.43806038023</ns0:v>
      </ns0:c>
      <ns0:c r="AA143" s="7">
        <ns0:f>IF(T143&gt;=0,A143,1001)</ns0:f>
        <ns0:v>139</ns0:v>
      </ns0:c>
      <ns0:c r="AB143" s="7">
        <ns0:f>IF(T143&lt;0,A143,0)</ns0:f>
        <ns0:v>0</ns0:v>
      </ns0:c>
      <ns0:c r="AC143" s="16">
        <ns0:f>IF(AND(OR('前提と出典'!$C$36+'前提と出典'!$C$38=0,R143&gt;=0),OR('前提と出典'!$C$37+'前提と出典'!$C$38=0,S143&gt;=0)),0,A143)</ns0:f>
        <ns0:v>0</ns0:v>
      </ns0:c>
      <ns0:c r="AD143" s="7">
        <ns0:f>IF(W143&gt;=0,A143,1001)</ns0:f>
        <ns0:v>139</ns0:v>
      </ns0:c>
      <ns0:c r="AE143" s="7">
        <ns0:f>IF(W143&lt;0,A143,0)</ns0:f>
        <ns0:v>0</ns0:v>
      </ns0:c>
      <ns0:c r="AF143" s="16">
        <ns0:f>IF(AND(OR('前提と出典'!$C$36+'前提と出典'!$C$38=0,U143&gt;=0),OR('前提と出典'!$C$37+'前提と出典'!$C$38=0,V143&gt;=0)),0,A143)</ns0:f>
        <ns0:v>0</ns0:v>
      </ns0:c>
      <ns0:c r="AG143" s="7">
        <ns0:f>IF(Z143&gt;=0,A143,1001)</ns0:f>
        <ns0:v>139</ns0:v>
      </ns0:c>
      <ns0:c r="AH143" s="4">
        <ns0:f>IF(Z143&lt;0,A143,0)</ns0:f>
        <ns0:v>0</ns0:v>
      </ns0:c>
      <ns0:c r="AI143" s="12">
        <ns0:f>IF(AND(OR('前提と出典'!$C$36+'前提と出典'!$C$38=0,X143&gt;=0),OR('前提と出典'!$C$37+'前提と出典'!$C$38=0,Y143&gt;=0)),0,A143)</ns0:f>
        <ns0:v>0</ns0:v>
      </ns0:c>
    </ns0:row>
    <ns0:row r="144" ht="24" customHeight="1">
      <ns0:c r="A144" s="4" t="n">
        <ns0:v>140</ns0:v>
      </ns0:c>
      <ns0:c r="B144" s="12">
        <ns0:f>A144*('前提と出典'!$C$36+'前提と出典'!$C$38)</ns0:f>
        <ns0:v>98</ns0:v>
      </ns0:c>
      <ns0:c r="C144" s="12">
        <ns0:f>A144*('前提と出典'!$C$37+'前提と出典'!$C$38)</ns0:f>
        <ns0:v>84</ns0:v>
      </ns0:c>
      <ns0:c r="D144" s="16">
        <ns0:f>A144*('前提と出典'!$C$36*'契約別単価'!C5+'前提と出典'!$C$37*'契約別単価'!C6+'前提と出典'!$C$38*'契約別単価'!C7)</ns0:f>
        <ns0:v>1007.3743016759777</ns0:v>
      </ns0:c>
      <ns0:c r="E144" s="16">
        <ns0:f>A144*('前提と出典'!$C$36*'契約別単価'!E5+'前提と出典'!$C$37*'契約別単価'!E6+'前提と出典'!$C$38*'契約別単価'!E7)</ns0:f>
        <ns0:v>351942.20925372787</ns0:v>
      </ns0:c>
      <ns0:c r="F144" s="16">
        <ns0:f>A144*('前提と出典'!$C$36*'契約別単価'!F5+'前提と出典'!$C$37*'契約別単価'!F6+'前提と出典'!$C$38*'契約別単価'!F7)</ns0:f>
        <ns0:v>102265.40984736414</ns0:v>
      </ns0:c>
      <ns0:c r="G144" s="16">
        <ns0:f>A144*('前提と出典'!$C$36*'契約別単価'!G5+'前提と出典'!$C$37*'契約別単価'!G6+'前提と出典'!$C$38*'契約別単価'!G7)</ns0:f>
        <ns0:v>278670.3910614525</ns0:v>
      </ns0:c>
      <ns0:c r="H144" s="16">
        <ns0:f>A144*('前提と出典'!$C$36*'契約別単価'!H5+'前提と出典'!$C$37*'契約別単価'!H6+'前提と出典'!$C$38*'契約別単価'!H7)</ns0:f>
        <ns0:v>96712.60211672887</ns0:v>
      </ns0:c>
      <ns0:c r="I144" s="16">
        <ns0:f>A144*('前提と出典'!$C$36*'契約別単価'!I5+'前提と出典'!$C$37*'契約別単価'!I6+'前提と出典'!$C$38*'契約別単価'!I7)</ns0:f>
        <ns0:v>5907.374301675976</ns0:v>
      </ns0:c>
      <ns0:c r="J144" s="16">
        <ns0:f>A144*('前提と出典'!$C$36*'契約別単価'!J5+'前提と出典'!$C$37*'契約別単価'!J6+'前提と出典'!$C$38*'契約別単価'!J7)</ns0:f>
        <ns0:v>13760.536119442359</ns0:v>
      </ns0:c>
      <ns0:c r="K144" s="16">
        <ns0:f>A144*('前提と出典'!$C$36*'契約別単価'!K5+'前提と出典'!$C$37*'契約別単価'!K6+'前提と出典'!$C$38*'契約別単価'!K7)</ns0:f>
        <ns0:v>58982.49534450651</ns0:v>
      </ns0:c>
      <ns0:c r="L144" s="16">
        <ns0:f>A144*('前提と出典'!$C$36*'契約別単価'!L5+'前提と出典'!$C$37*'契約別単価'!L6+'前提と出典'!$C$38*'契約別単価'!L7)</ns0:f>
        <ns0:v>48023.75340389096</ns0:v>
      </ns0:c>
      <ns0:c r="M144" s="16">
        <ns0:f>IF(('前提と出典'!$C$36+'前提と出典'!$C$38)=0,0,IF(B144&lt;=10,'前提と出典'!B73+'前提と出典'!C73,IF(B144&lt;=100,'前提と出典'!B74+'前提と出典'!C74,IF(B144&lt;=500,'前提と出典'!B75+'前提と出典'!C75,'前提と出典'!B76+'前提と出典'!C76))))</ns0:f>
        <ns0:v>20000</ns0:v>
      </ns0:c>
      <ns0:c r="N144" s="16">
        <ns0:f>IF(('前提と出典'!$C$37+'前提と出典'!$C$38)=0,0,IF(C144&lt;=10,'前提と出典'!D73+'前提と出典'!E73,IF(C144&lt;=100,'前提と出典'!D74+'前提と出典'!E74,IF(C144&lt;=500,'前提と出典'!D75+'前提と出典'!E75,'前提と出典'!D76+'前提と出典'!E76))))</ns0:f>
        <ns0:v>34510.9346263078</ns0:v>
      </ns0:c>
      <ns0:c r="O144" s="16">
        <ns0:f>IF('前提と出典'!$C$36+'前提と出典'!$C$38=0,0,'前提と出典'!$B$4*IF('前提と出典'!$B$20=0,MAX('前提と出典'!$B$6,D144*'前提と出典'!$B$5),'前提と出典'!$B$6+D144*'前提と出典'!$B$5))</ns0:f>
        <ns0:v>139017.65363128492</ns0:v>
      </ns0:c>
      <ns0:c r="P144" s="16">
        <ns0:f>(E144+G144)*(1-'前提と出典'!$B$7)-I144-K144-M144-O144</ns0:f>
        <ns0:v>384003.0234263664</ns0:v>
      </ns0:c>
      <ns0:c r="Q144" s="16">
        <ns0:f>(F144+H144)*(1-'前提と出典'!$B$7)-J144-L144-N144</ns0:f>
        <ns0:v>95519.57938374457</ns0:v>
      </ns0:c>
      <ns0:c r="R144" s="16">
        <ns0:f>P144-E144*'前提と出典'!$E$4</ns0:f>
        <ns0:v>278420.360650248</ns0:v>
      </ns0:c>
      <ns0:c r="S144" s="16">
        <ns0:f>Q144-F144*'前提と出典'!$E$4</ns0:f>
        <ns0:v>64839.95642953533</ns0:v>
      </ns0:c>
      <ns0:c r="T144" s="7">
        <ns0:f>R144+S144</ns0:f>
        <ns0:v>343260.31707978336</ns0:v>
      </ns0:c>
      <ns0:c r="U144" s="16">
        <ns0:f>P144-E144*'前提と出典'!$E$5</ns0:f>
        <ns0:v>243226.13972487525</ns0:v>
      </ns0:c>
      <ns0:c r="V144" s="16">
        <ns0:f>Q144-F144*'前提と出典'!$E$5</ns0:f>
        <ns0:v>54613.41544479892</ns0:v>
      </ns0:c>
      <ns0:c r="W144" s="7">
        <ns0:f>U144+V144</ns0:f>
        <ns0:v>297839.55516967416</ns0:v>
      </ns0:c>
      <ns0:c r="X144" s="16">
        <ns0:f>P144-E144*'前提と出典'!$E$6</ns0:f>
        <ns0:v>208031.91879950245</ns0:v>
      </ns0:c>
      <ns0:c r="Y144" s="16">
        <ns0:f>Q144-F144*'前提と出典'!$E$6</ns0:f>
        <ns0:v>44386.874460062514</ns0:v>
      </ns0:c>
      <ns0:c r="Z144" s="7">
        <ns0:f>X144+Y144</ns0:f>
        <ns0:v>252418.79325956496</ns0:v>
      </ns0:c>
      <ns0:c r="AA144" s="7">
        <ns0:f>IF(T144&gt;=0,A144,1001)</ns0:f>
        <ns0:v>140</ns0:v>
      </ns0:c>
      <ns0:c r="AB144" s="7">
        <ns0:f>IF(T144&lt;0,A144,0)</ns0:f>
        <ns0:v>0</ns0:v>
      </ns0:c>
      <ns0:c r="AC144" s="16">
        <ns0:f>IF(AND(OR('前提と出典'!$C$36+'前提と出典'!$C$38=0,R144&gt;=0),OR('前提と出典'!$C$37+'前提と出典'!$C$38=0,S144&gt;=0)),0,A144)</ns0:f>
        <ns0:v>0</ns0:v>
      </ns0:c>
      <ns0:c r="AD144" s="7">
        <ns0:f>IF(W144&gt;=0,A144,1001)</ns0:f>
        <ns0:v>140</ns0:v>
      </ns0:c>
      <ns0:c r="AE144" s="7">
        <ns0:f>IF(W144&lt;0,A144,0)</ns0:f>
        <ns0:v>0</ns0:v>
      </ns0:c>
      <ns0:c r="AF144" s="16">
        <ns0:f>IF(AND(OR('前提と出典'!$C$36+'前提と出典'!$C$38=0,U144&gt;=0),OR('前提と出典'!$C$37+'前提と出典'!$C$38=0,V144&gt;=0)),0,A144)</ns0:f>
        <ns0:v>0</ns0:v>
      </ns0:c>
      <ns0:c r="AG144" s="7">
        <ns0:f>IF(Z144&gt;=0,A144,1001)</ns0:f>
        <ns0:v>140</ns0:v>
      </ns0:c>
      <ns0:c r="AH144" s="4">
        <ns0:f>IF(Z144&lt;0,A144,0)</ns0:f>
        <ns0:v>0</ns0:v>
      </ns0:c>
      <ns0:c r="AI144" s="12">
        <ns0:f>IF(AND(OR('前提と出典'!$C$36+'前提と出典'!$C$38=0,X144&gt;=0),OR('前提と出典'!$C$37+'前提と出典'!$C$38=0,Y144&gt;=0)),0,A144)</ns0:f>
        <ns0:v>0</ns0:v>
      </ns0:c>
    </ns0:row>
    <ns0:row r="145" ht="24" customHeight="1">
      <ns0:c r="A145" s="4" t="n">
        <ns0:v>141</ns0:v>
      </ns0:c>
      <ns0:c r="B145" s="12">
        <ns0:f>A145*('前提と出典'!$C$36+'前提と出典'!$C$38)</ns0:f>
        <ns0:v>98.69999999999999</ns0:v>
      </ns0:c>
      <ns0:c r="C145" s="12">
        <ns0:f>A145*('前提と出典'!$C$37+'前提と出典'!$C$38)</ns0:f>
        <ns0:v>84.6</ns0:v>
      </ns0:c>
      <ns0:c r="D145" s="16">
        <ns0:f>A145*('前提と出典'!$C$36*'契約別単価'!C5+'前提と出典'!$C$37*'契約別単価'!C6+'前提と出典'!$C$38*'契約別単価'!C7)</ns0:f>
        <ns0:v>1014.5698324022346</ns0:v>
      </ns0:c>
      <ns0:c r="E145" s="16">
        <ns0:f>A145*('前提と出典'!$C$36*'契約別単価'!E5+'前提と出典'!$C$37*'契約別単価'!E6+'前提と出典'!$C$38*'契約別単価'!E7)</ns0:f>
        <ns0:v>354456.08217696875</ns0:v>
      </ns0:c>
      <ns0:c r="F145" s="16">
        <ns0:f>A145*('前提と出典'!$C$36*'契約別単価'!F5+'前提と出典'!$C$37*'契約別単価'!F6+'前提と出典'!$C$38*'契約別単価'!F7)</ns0:f>
        <ns0:v>102995.87706055961</ns0:v>
      </ns0:c>
      <ns0:c r="G145" s="16">
        <ns0:f>A145*('前提と出典'!$C$36*'契約別単価'!G5+'前提と出典'!$C$37*'契約別単価'!G6+'前提と出典'!$C$38*'契約別単価'!G7)</ns0:f>
        <ns0:v>280660.8938547486</ns0:v>
      </ns0:c>
      <ns0:c r="H145" s="16">
        <ns0:f>A145*('前提と出典'!$C$36*'契約別単価'!H5+'前提と出典'!$C$37*'契約別単価'!H6+'前提と出典'!$C$38*'契約別単価'!H7)</ns0:f>
        <ns0:v>97403.40641756266</ns0:v>
      </ns0:c>
      <ns0:c r="I145" s="16">
        <ns0:f>A145*('前提と出典'!$C$36*'契約別単価'!I5+'前提と出典'!$C$37*'契約別単価'!I6+'前提と出典'!$C$38*'契約別単価'!I7)</ns0:f>
        <ns0:v>5949.569832402233</ns0:v>
      </ns0:c>
      <ns0:c r="J145" s="16">
        <ns0:f>A145*('前提と出典'!$C$36*'契約別単価'!J5+'前提と出典'!$C$37*'契約別単価'!J6+'前提と出典'!$C$38*'契約別単価'!J7)</ns0:f>
        <ns0:v>13858.825663152662</ns0:v>
      </ns0:c>
      <ns0:c r="K145" s="16">
        <ns0:f>A145*('前提と出典'!$C$36*'契約別単価'!K5+'前提と出典'!$C$37*'契約別単価'!K6+'前提と出典'!$C$38*'契約別単価'!K7)</ns0:f>
        <ns0:v>59403.79888268156</ns0:v>
      </ns0:c>
      <ns0:c r="L145" s="16">
        <ns0:f>A145*('前提と出典'!$C$36*'契約別単価'!L5+'前提と出典'!$C$37*'契約別単価'!L6+'前提と出典'!$C$38*'契約別単価'!L7)</ns0:f>
        <ns0:v>48366.780213918755</ns0:v>
      </ns0:c>
      <ns0:c r="M145" s="16">
        <ns0:f>IF(('前提と出典'!$C$36+'前提と出典'!$C$38)=0,0,IF(B145&lt;=10,'前提と出典'!B73+'前提と出典'!C73,IF(B145&lt;=100,'前提と出典'!B74+'前提と出典'!C74,IF(B145&lt;=500,'前提と出典'!B75+'前提と出典'!C75,'前提と出典'!B76+'前提と出典'!C76))))</ns0:f>
        <ns0:v>20000</ns0:v>
      </ns0:c>
      <ns0:c r="N145" s="16">
        <ns0:f>IF(('前提と出典'!$C$37+'前提と出典'!$C$38)=0,0,IF(C145&lt;=10,'前提と出典'!D73+'前提と出典'!E73,IF(C145&lt;=100,'前提と出典'!D74+'前提と出典'!E74,IF(C145&lt;=500,'前提と出典'!D75+'前提と出典'!E75,'前提と出典'!D76+'前提と出典'!E76))))</ns0:f>
        <ns0:v>34510.9346263078</ns0:v>
      </ns0:c>
      <ns0:c r="O145" s="16">
        <ns0:f>IF('前提と出典'!$C$36+'前提と出典'!$C$38=0,0,'前提と出典'!$B$4*IF('前提と出典'!$B$20=0,MAX('前提と出典'!$B$6,D145*'前提と出典'!$B$5),'前提と出典'!$B$6+D145*'前提と出典'!$B$5))</ns0:f>
        <ns0:v>140010.63687150838</ns0:v>
      </ns0:c>
      <ns0:c r="P145" s="16">
        <ns0:f>(E145+G145)*(1-'前提と出典'!$B$7)-I145-K145-M145-O145</ns0:f>
        <ns0:v>386888.7593079834</ns0:v>
      </ns0:c>
      <ns0:c r="Q145" s="16">
        <ns0:f>(F145+H145)*(1-'前提と出典'!$B$7)-J145-L145-N145</ns0:f>
        <ns0:v>96448.36876953064</ns0:v>
      </ns0:c>
      <ns0:c r="R145" s="16">
        <ns0:f>P145-E145*'前提と出典'!$E$4</ns0:f>
        <ns0:v>280551.9346548927</ns0:v>
      </ns0:c>
      <ns0:c r="S145" s="16">
        <ns0:f>Q145-F145*'前提と出典'!$E$4</ns0:f>
        <ns0:v>65549.60565136277</ns0:v>
      </ns0:c>
      <ns0:c r="T145" s="7">
        <ns0:f>R145+S145</ns0:f>
        <ns0:v>346101.54030625545</ns0:v>
      </ns0:c>
      <ns0:c r="U145" s="16">
        <ns0:f>P145-E145*'前提と出典'!$E$5</ns0:f>
        <ns0:v>245106.32643719588</ns0:v>
      </ns0:c>
      <ns0:c r="V145" s="16">
        <ns0:f>Q145-F145*'前提と出典'!$E$5</ns0:f>
        <ns0:v>55250.017945306805</ns0:v>
      </ns0:c>
      <ns0:c r="W145" s="7">
        <ns0:f>U145+V145</ns0:f>
        <ns0:v>300356.34438250266</ns0:v>
      </ns0:c>
      <ns0:c r="X145" s="16">
        <ns0:f>P145-E145*'前提と出典'!$E$6</ns0:f>
        <ns0:v>209660.71821949905</ns0:v>
      </ns0:c>
      <ns0:c r="Y145" s="16">
        <ns0:f>Q145-F145*'前提と出典'!$E$6</ns0:f>
        <ns0:v>44950.43023925086</ns0:v>
      </ns0:c>
      <ns0:c r="Z145" s="7">
        <ns0:f>X145+Y145</ns0:f>
        <ns0:v>254611.1484587499</ns0:v>
      </ns0:c>
      <ns0:c r="AA145" s="7">
        <ns0:f>IF(T145&gt;=0,A145,1001)</ns0:f>
        <ns0:v>141</ns0:v>
      </ns0:c>
      <ns0:c r="AB145" s="7">
        <ns0:f>IF(T145&lt;0,A145,0)</ns0:f>
        <ns0:v>0</ns0:v>
      </ns0:c>
      <ns0:c r="AC145" s="16">
        <ns0:f>IF(AND(OR('前提と出典'!$C$36+'前提と出典'!$C$38=0,R145&gt;=0),OR('前提と出典'!$C$37+'前提と出典'!$C$38=0,S145&gt;=0)),0,A145)</ns0:f>
        <ns0:v>0</ns0:v>
      </ns0:c>
      <ns0:c r="AD145" s="7">
        <ns0:f>IF(W145&gt;=0,A145,1001)</ns0:f>
        <ns0:v>141</ns0:v>
      </ns0:c>
      <ns0:c r="AE145" s="7">
        <ns0:f>IF(W145&lt;0,A145,0)</ns0:f>
        <ns0:v>0</ns0:v>
      </ns0:c>
      <ns0:c r="AF145" s="16">
        <ns0:f>IF(AND(OR('前提と出典'!$C$36+'前提と出典'!$C$38=0,U145&gt;=0),OR('前提と出典'!$C$37+'前提と出典'!$C$38=0,V145&gt;=0)),0,A145)</ns0:f>
        <ns0:v>0</ns0:v>
      </ns0:c>
      <ns0:c r="AG145" s="7">
        <ns0:f>IF(Z145&gt;=0,A145,1001)</ns0:f>
        <ns0:v>141</ns0:v>
      </ns0:c>
      <ns0:c r="AH145" s="4">
        <ns0:f>IF(Z145&lt;0,A145,0)</ns0:f>
        <ns0:v>0</ns0:v>
      </ns0:c>
      <ns0:c r="AI145" s="12">
        <ns0:f>IF(AND(OR('前提と出典'!$C$36+'前提と出典'!$C$38=0,X145&gt;=0),OR('前提と出典'!$C$37+'前提と出典'!$C$38=0,Y145&gt;=0)),0,A145)</ns0:f>
        <ns0:v>0</ns0:v>
      </ns0:c>
    </ns0:row>
    <ns0:row r="146" ht="24" customHeight="1">
      <ns0:c r="A146" s="4" t="n">
        <ns0:v>142</ns0:v>
      </ns0:c>
      <ns0:c r="B146" s="12">
        <ns0:f>A146*('前提と出典'!$C$36+'前提と出典'!$C$38)</ns0:f>
        <ns0:v>99.39999999999999</ns0:v>
      </ns0:c>
      <ns0:c r="C146" s="12">
        <ns0:f>A146*('前提と出典'!$C$37+'前提と出典'!$C$38)</ns0:f>
        <ns0:v>85.2</ns0:v>
      </ns0:c>
      <ns0:c r="D146" s="16">
        <ns0:f>A146*('前提と出典'!$C$36*'契約別単価'!C5+'前提と出典'!$C$37*'契約別単価'!C6+'前提と出典'!$C$38*'契約別単価'!C7)</ns0:f>
        <ns0:v>1021.7653631284916</ns0:v>
      </ns0:c>
      <ns0:c r="E146" s="16">
        <ns0:f>A146*('前提と出典'!$C$36*'契約別単価'!E5+'前提と出典'!$C$37*'契約別単価'!E6+'前提と出典'!$C$38*'契約別単価'!E7)</ns0:f>
        <ns0:v>356969.9551002097</ns0:v>
      </ns0:c>
      <ns0:c r="F146" s="16">
        <ns0:f>A146*('前提と出典'!$C$36*'契約別単価'!F5+'前提と出典'!$C$37*'契約別単価'!F6+'前提と出典'!$C$38*'契約別単価'!F7)</ns0:f>
        <ns0:v>103726.34427375506</ns0:v>
      </ns0:c>
      <ns0:c r="G146" s="16">
        <ns0:f>A146*('前提と出典'!$C$36*'契約別単価'!G5+'前提と出典'!$C$37*'契約別単価'!G6+'前提と出典'!$C$38*'契約別単価'!G7)</ns0:f>
        <ns0:v>282651.3966480447</ns0:v>
      </ns0:c>
      <ns0:c r="H146" s="16">
        <ns0:f>A146*('前提と出典'!$C$36*'契約別単価'!H5+'前提と出典'!$C$37*'契約別単価'!H6+'前提と出典'!$C$38*'契約別単価'!H7)</ns0:f>
        <ns0:v>98094.21071839643</ns0:v>
      </ns0:c>
      <ns0:c r="I146" s="16">
        <ns0:f>A146*('前提と出典'!$C$36*'契約別単価'!I5+'前提と出典'!$C$37*'契約別単価'!I6+'前提と出典'!$C$38*'契約別単価'!I7)</ns0:f>
        <ns0:v>5991.76536312849</ns0:v>
      </ns0:c>
      <ns0:c r="J146" s="16">
        <ns0:f>A146*('前提と出典'!$C$36*'契約別単価'!J5+'前提と出典'!$C$37*'契約別単価'!J6+'前提と出典'!$C$38*'契約別単価'!J7)</ns0:f>
        <ns0:v>13957.115206862965</ns0:v>
      </ns0:c>
      <ns0:c r="K146" s="16">
        <ns0:f>A146*('前提と出典'!$C$36*'契約別単価'!K5+'前提と出典'!$C$37*'契約別単価'!K6+'前提と出典'!$C$38*'契約別単価'!K7)</ns0:f>
        <ns0:v>59825.10242085661</ns0:v>
      </ns0:c>
      <ns0:c r="L146" s="16">
        <ns0:f>A146*('前提と出典'!$C$36*'契約別単価'!L5+'前提と出典'!$C$37*'契約別単価'!L6+'前提と出典'!$C$38*'契約別単価'!L7)</ns0:f>
        <ns0:v>48709.807023946545</ns0:v>
      </ns0:c>
      <ns0:c r="M146" s="16">
        <ns0:f>IF(('前提と出典'!$C$36+'前提と出典'!$C$38)=0,0,IF(B146&lt;=10,'前提と出典'!B73+'前提と出典'!C73,IF(B146&lt;=100,'前提と出典'!B74+'前提と出典'!C74,IF(B146&lt;=500,'前提と出典'!B75+'前提と出典'!C75,'前提と出典'!B76+'前提と出典'!C76))))</ns0:f>
        <ns0:v>20000</ns0:v>
      </ns0:c>
      <ns0:c r="N146" s="16">
        <ns0:f>IF(('前提と出典'!$C$37+'前提と出典'!$C$38)=0,0,IF(C146&lt;=10,'前提と出典'!D73+'前提と出典'!E73,IF(C146&lt;=100,'前提と出典'!D74+'前提と出典'!E74,IF(C146&lt;=500,'前提と出典'!D75+'前提と出典'!E75,'前提と出典'!D76+'前提と出典'!E76))))</ns0:f>
        <ns0:v>34510.9346263078</ns0:v>
      </ns0:c>
      <ns0:c r="O146" s="16">
        <ns0:f>IF('前提と出典'!$C$36+'前提と出典'!$C$38=0,0,'前提と出典'!$B$4*IF('前提と出典'!$B$20=0,MAX('前提と出典'!$B$6,D146*'前提と出典'!$B$5),'前提と出典'!$B$6+D146*'前提と出典'!$B$5))</ns0:f>
        <ns0:v>141003.62011173184</ns0:v>
      </ns0:c>
      <ns0:c r="P146" s="16">
        <ns0:f>(E146+G146)*(1-'前提と出典'!$B$7)-I146-K146-M146-O146</ns0:f>
        <ns0:v>389774.49518960033</ns0:v>
      </ns0:c>
      <ns0:c r="Q146" s="16">
        <ns0:f>(F146+H146)*(1-'前提と出典'!$B$7)-J146-L146-N146</ns0:f>
        <ns0:v>97377.15815531672</ns0:v>
      </ns0:c>
      <ns0:c r="R146" s="16">
        <ns0:f>P146-E146*'前提と出典'!$E$4</ns0:f>
        <ns0:v>282683.5086595374</ns0:v>
      </ns0:c>
      <ns0:c r="S146" s="16">
        <ns0:f>Q146-F146*'前提と出典'!$E$4</ns0:f>
        <ns0:v>66259.25487319019</ns0:v>
      </ns0:c>
      <ns0:c r="T146" s="7">
        <ns0:f>R146+S146</ns0:f>
        <ns0:v>348942.7635327276</ns0:v>
      </ns0:c>
      <ns0:c r="U146" s="16">
        <ns0:f>P146-E146*'前提と出典'!$E$5</ns0:f>
        <ns0:v>246986.51314951645</ns0:v>
      </ns0:c>
      <ns0:c r="V146" s="16">
        <ns0:f>Q146-F146*'前提と出典'!$E$5</ns0:f>
        <ns0:v>55886.62044581469</ns0:v>
      </ns0:c>
      <ns0:c r="W146" s="7">
        <ns0:f>U146+V146</ns0:f>
        <ns0:v>302873.13359533116</ns0:v>
      </ns0:c>
      <ns0:c r="X146" s="16">
        <ns0:f>P146-E146*'前提と出典'!$E$6</ns0:f>
        <ns0:v>211289.51763949546</ns0:v>
      </ns0:c>
      <ns0:c r="Y146" s="16">
        <ns0:f>Q146-F146*'前提と出典'!$E$6</ns0:f>
        <ns0:v>45513.986018439195</ns0:v>
      </ns0:c>
      <ns0:c r="Z146" s="7">
        <ns0:f>X146+Y146</ns0:f>
        <ns0:v>256803.50365793466</ns0:v>
      </ns0:c>
      <ns0:c r="AA146" s="7">
        <ns0:f>IF(T146&gt;=0,A146,1001)</ns0:f>
        <ns0:v>142</ns0:v>
      </ns0:c>
      <ns0:c r="AB146" s="7">
        <ns0:f>IF(T146&lt;0,A146,0)</ns0:f>
        <ns0:v>0</ns0:v>
      </ns0:c>
      <ns0:c r="AC146" s="16">
        <ns0:f>IF(AND(OR('前提と出典'!$C$36+'前提と出典'!$C$38=0,R146&gt;=0),OR('前提と出典'!$C$37+'前提と出典'!$C$38=0,S146&gt;=0)),0,A146)</ns0:f>
        <ns0:v>0</ns0:v>
      </ns0:c>
      <ns0:c r="AD146" s="7">
        <ns0:f>IF(W146&gt;=0,A146,1001)</ns0:f>
        <ns0:v>142</ns0:v>
      </ns0:c>
      <ns0:c r="AE146" s="7">
        <ns0:f>IF(W146&lt;0,A146,0)</ns0:f>
        <ns0:v>0</ns0:v>
      </ns0:c>
      <ns0:c r="AF146" s="16">
        <ns0:f>IF(AND(OR('前提と出典'!$C$36+'前提と出典'!$C$38=0,U146&gt;=0),OR('前提と出典'!$C$37+'前提と出典'!$C$38=0,V146&gt;=0)),0,A146)</ns0:f>
        <ns0:v>0</ns0:v>
      </ns0:c>
      <ns0:c r="AG146" s="7">
        <ns0:f>IF(Z146&gt;=0,A146,1001)</ns0:f>
        <ns0:v>142</ns0:v>
      </ns0:c>
      <ns0:c r="AH146" s="4">
        <ns0:f>IF(Z146&lt;0,A146,0)</ns0:f>
        <ns0:v>0</ns0:v>
      </ns0:c>
      <ns0:c r="AI146" s="12">
        <ns0:f>IF(AND(OR('前提と出典'!$C$36+'前提と出典'!$C$38=0,X146&gt;=0),OR('前提と出典'!$C$37+'前提と出典'!$C$38=0,Y146&gt;=0)),0,A146)</ns0:f>
        <ns0:v>0</ns0:v>
      </ns0:c>
    </ns0:row>
    <ns0:row r="147" ht="24" customHeight="1">
      <ns0:c r="A147" s="4" t="n">
        <ns0:v>143</ns0:v>
      </ns0:c>
      <ns0:c r="B147" s="12">
        <ns0:f>A147*('前提と出典'!$C$36+'前提と出典'!$C$38)</ns0:f>
        <ns0:v>100.1</ns0:v>
      </ns0:c>
      <ns0:c r="C147" s="12">
        <ns0:f>A147*('前提と出典'!$C$37+'前提と出典'!$C$38)</ns0:f>
        <ns0:v>85.8</ns0:v>
      </ns0:c>
      <ns0:c r="D147" s="16">
        <ns0:f>A147*('前提と出典'!$C$36*'契約別単価'!C5+'前提と出典'!$C$37*'契約別単価'!C6+'前提と出典'!$C$38*'契約別単価'!C7)</ns0:f>
        <ns0:v>1028.9608938547485</ns0:v>
      </ns0:c>
      <ns0:c r="E147" s="16">
        <ns0:f>A147*('前提と出典'!$C$36*'契約別単価'!E5+'前提と出典'!$C$37*'契約別単価'!E6+'前提と出典'!$C$38*'契約別単価'!E7)</ns0:f>
        <ns0:v>359483.82802345057</ns0:v>
      </ns0:c>
      <ns0:c r="F147" s="16">
        <ns0:f>A147*('前提と出典'!$C$36*'契約別単価'!F5+'前提と出典'!$C$37*'契約別単価'!F6+'前提と出典'!$C$38*'契約別単価'!F7)</ns0:f>
        <ns0:v>104456.81148695052</ns0:v>
      </ns0:c>
      <ns0:c r="G147" s="16">
        <ns0:f>A147*('前提と出典'!$C$36*'契約別単価'!G5+'前提と出典'!$C$37*'契約別単価'!G6+'前提と出典'!$C$38*'契約別単価'!G7)</ns0:f>
        <ns0:v>284641.89944134076</ns0:v>
      </ns0:c>
      <ns0:c r="H147" s="16">
        <ns0:f>A147*('前提と出典'!$C$36*'契約別単価'!H5+'前提と出典'!$C$37*'契約別単価'!H6+'前提と出典'!$C$38*'契約別単価'!H7)</ns0:f>
        <ns0:v>98785.01501923021</ns0:v>
      </ns0:c>
      <ns0:c r="I147" s="16">
        <ns0:f>A147*('前提と出典'!$C$36*'契約別単価'!I5+'前提と出典'!$C$37*'契約別単価'!I6+'前提と出典'!$C$38*'契約別単価'!I7)</ns0:f>
        <ns0:v>6033.960893854747</ns0:v>
      </ns0:c>
      <ns0:c r="J147" s="16">
        <ns0:f>A147*('前提と出典'!$C$36*'契約別単価'!J5+'前提と出典'!$C$37*'契約別単価'!J6+'前提と出典'!$C$38*'契約別単価'!J7)</ns0:f>
        <ns0:v>14055.404750573267</ns0:v>
      </ns0:c>
      <ns0:c r="K147" s="16">
        <ns0:f>A147*('前提と出典'!$C$36*'契約別単価'!K5+'前提と出典'!$C$37*'契約別単価'!K6+'前提と出典'!$C$38*'契約別単価'!K7)</ns0:f>
        <ns0:v>60246.405959031654</ns0:v>
      </ns0:c>
      <ns0:c r="L147" s="16">
        <ns0:f>A147*('前提と出典'!$C$36*'契約別単価'!L5+'前提と出典'!$C$37*'契約別単価'!L6+'前提と出典'!$C$38*'契約別単価'!L7)</ns0:f>
        <ns0:v>49052.83383397434</ns0:v>
      </ns0:c>
      <ns0:c r="M147" s="16">
        <ns0:f>IF(('前提と出典'!$C$36+'前提と出典'!$C$38)=0,0,IF(B147&lt;=10,'前提と出典'!B73+'前提と出典'!C73,IF(B147&lt;=100,'前提と出典'!B74+'前提と出典'!C74,IF(B147&lt;=500,'前提と出典'!B75+'前提と出典'!C75,'前提と出典'!B76+'前提と出典'!C76))))</ns0:f>
        <ns0:v>40000</ns0:v>
      </ns0:c>
      <ns0:c r="N147" s="16">
        <ns0:f>IF(('前提と出典'!$C$37+'前提と出典'!$C$38)=0,0,IF(C147&lt;=10,'前提と出典'!D73+'前提と出典'!E73,IF(C147&lt;=100,'前提と出典'!D74+'前提と出典'!E74,IF(C147&lt;=500,'前提と出典'!D75+'前提と出典'!E75,'前提と出典'!D76+'前提と出典'!E76))))</ns0:f>
        <ns0:v>34510.9346263078</ns0:v>
      </ns0:c>
      <ns0:c r="O147" s="16">
        <ns0:f>IF('前提と出典'!$C$36+'前提と出典'!$C$38=0,0,'前提と出典'!$B$4*IF('前提と出典'!$B$20=0,MAX('前提と出典'!$B$6,D147*'前提と出典'!$B$5),'前提と出典'!$B$6+D147*'前提と出典'!$B$5))</ns0:f>
        <ns0:v>141996.6033519553</ns0:v>
      </ns0:c>
      <ns0:c r="P147" s="16">
        <ns0:f>(E147+G147)*(1-'前提と出典'!$B$7)-I147-K147-M147-O147</ns0:f>
        <ns0:v>372660.2310712172</ns0:v>
      </ns0:c>
      <ns0:c r="Q147" s="16">
        <ns0:f>(F147+H147)*(1-'前提と出典'!$B$7)-J147-L147-N147</ns0:f>
        <ns0:v>98305.94754110283</ns0:v>
      </ns0:c>
      <ns0:c r="R147" s="16">
        <ns0:f>P147-E147*'前提と出典'!$E$4</ns0:f>
        <ns0:v>264815.08266418206</ns0:v>
      </ns0:c>
      <ns0:c r="S147" s="16">
        <ns0:f>Q147-F147*'前提と出典'!$E$4</ns0:f>
        <ns0:v>66968.90409501767</ns0:v>
      </ns0:c>
      <ns0:c r="T147" s="7">
        <ns0:f>R147+S147</ns0:f>
        <ns0:v>331783.98675919976</ns0:v>
      </ns0:c>
      <ns0:c r="U147" s="16">
        <ns0:f>P147-E147*'前提と出典'!$E$5</ns0:f>
        <ns0:v>228866.69986183697</ns0:v>
      </ns0:c>
      <ns0:c r="V147" s="16">
        <ns0:f>Q147-F147*'前提と出典'!$E$5</ns0:f>
        <ns0:v>56523.22294632262</ns0:v>
      </ns0:c>
      <ns0:c r="W147" s="7">
        <ns0:f>U147+V147</ns0:f>
        <ns0:v>285389.9228081596</ns0:v>
      </ns0:c>
      <ns0:c r="X147" s="16">
        <ns0:f>P147-E147*'前提と出典'!$E$6</ns0:f>
        <ns0:v>192918.31705949194</ns0:v>
      </ns0:c>
      <ns0:c r="Y147" s="16">
        <ns0:f>Q147-F147*'前提と出典'!$E$6</ns0:f>
        <ns0:v>46077.541797627586</ns0:v>
      </ns0:c>
      <ns0:c r="Z147" s="7">
        <ns0:f>X147+Y147</ns0:f>
        <ns0:v>238995.8588571195</ns0:v>
      </ns0:c>
      <ns0:c r="AA147" s="7">
        <ns0:f>IF(T147&gt;=0,A147,1001)</ns0:f>
        <ns0:v>143</ns0:v>
      </ns0:c>
      <ns0:c r="AB147" s="7">
        <ns0:f>IF(T147&lt;0,A147,0)</ns0:f>
        <ns0:v>0</ns0:v>
      </ns0:c>
      <ns0:c r="AC147" s="16">
        <ns0:f>IF(AND(OR('前提と出典'!$C$36+'前提と出典'!$C$38=0,R147&gt;=0),OR('前提と出典'!$C$37+'前提と出典'!$C$38=0,S147&gt;=0)),0,A147)</ns0:f>
        <ns0:v>0</ns0:v>
      </ns0:c>
      <ns0:c r="AD147" s="7">
        <ns0:f>IF(W147&gt;=0,A147,1001)</ns0:f>
        <ns0:v>143</ns0:v>
      </ns0:c>
      <ns0:c r="AE147" s="7">
        <ns0:f>IF(W147&lt;0,A147,0)</ns0:f>
        <ns0:v>0</ns0:v>
      </ns0:c>
      <ns0:c r="AF147" s="16">
        <ns0:f>IF(AND(OR('前提と出典'!$C$36+'前提と出典'!$C$38=0,U147&gt;=0),OR('前提と出典'!$C$37+'前提と出典'!$C$38=0,V147&gt;=0)),0,A147)</ns0:f>
        <ns0:v>0</ns0:v>
      </ns0:c>
      <ns0:c r="AG147" s="7">
        <ns0:f>IF(Z147&gt;=0,A147,1001)</ns0:f>
        <ns0:v>143</ns0:v>
      </ns0:c>
      <ns0:c r="AH147" s="4">
        <ns0:f>IF(Z147&lt;0,A147,0)</ns0:f>
        <ns0:v>0</ns0:v>
      </ns0:c>
      <ns0:c r="AI147" s="12">
        <ns0:f>IF(AND(OR('前提と出典'!$C$36+'前提と出典'!$C$38=0,X147&gt;=0),OR('前提と出典'!$C$37+'前提と出典'!$C$38=0,Y147&gt;=0)),0,A147)</ns0:f>
        <ns0:v>0</ns0:v>
      </ns0:c>
    </ns0:row>
    <ns0:row r="148" ht="24" customHeight="1">
      <ns0:c r="A148" s="4" t="n">
        <ns0:v>144</ns0:v>
      </ns0:c>
      <ns0:c r="B148" s="12">
        <ns0:f>A148*('前提と出典'!$C$36+'前提と出典'!$C$38)</ns0:f>
        <ns0:v>100.8</ns0:v>
      </ns0:c>
      <ns0:c r="C148" s="12">
        <ns0:f>A148*('前提と出典'!$C$37+'前提と出典'!$C$38)</ns0:f>
        <ns0:v>86.39999999999999</ns0:v>
      </ns0:c>
      <ns0:c r="D148" s="16">
        <ns0:f>A148*('前提と出典'!$C$36*'契約別単価'!C5+'前提と出典'!$C$37*'契約別単価'!C6+'前提と出典'!$C$38*'契約別単価'!C7)</ns0:f>
        <ns0:v>1036.1564245810055</ns0:v>
      </ns0:c>
      <ns0:c r="E148" s="16">
        <ns0:f>A148*('前提と出典'!$C$36*'契約別単価'!E5+'前提と出典'!$C$37*'契約別単価'!E6+'前提と出典'!$C$38*'契約別単価'!E7)</ns0:f>
        <ns0:v>361997.7009466915</ns0:v>
      </ns0:c>
      <ns0:c r="F148" s="16">
        <ns0:f>A148*('前提と出典'!$C$36*'契約別単価'!F5+'前提と出典'!$C$37*'契約別単価'!F6+'前提と出典'!$C$38*'契約別単価'!F7)</ns0:f>
        <ns0:v>105187.27870014598</ns0:v>
      </ns0:c>
      <ns0:c r="G148" s="16">
        <ns0:f>A148*('前提と出典'!$C$36*'契約別単価'!G5+'前提と出典'!$C$37*'契約別単価'!G6+'前提と出典'!$C$38*'契約別単価'!G7)</ns0:f>
        <ns0:v>286632.40223463683</ns0:v>
      </ns0:c>
      <ns0:c r="H148" s="16">
        <ns0:f>A148*('前提と出典'!$C$36*'契約別単価'!H5+'前提と出典'!$C$37*'契約別単価'!H6+'前提と出典'!$C$38*'契約別単価'!H7)</ns0:f>
        <ns0:v>99475.81932006398</ns0:v>
      </ns0:c>
      <ns0:c r="I148" s="16">
        <ns0:f>A148*('前提と出典'!$C$36*'契約別単価'!I5+'前提と出典'!$C$37*'契約別単価'!I6+'前提と出典'!$C$38*'契約別単価'!I7)</ns0:f>
        <ns0:v>6076.156424581004</ns0:v>
      </ns0:c>
      <ns0:c r="J148" s="16">
        <ns0:f>A148*('前提と出典'!$C$36*'契約別単価'!J5+'前提と出典'!$C$37*'契約別単価'!J6+'前提と出典'!$C$38*'契約別単価'!J7)</ns0:f>
        <ns0:v>14153.69429428357</ns0:v>
      </ns0:c>
      <ns0:c r="K148" s="16">
        <ns0:f>A148*('前提と出典'!$C$36*'契約別単価'!K5+'前提と出典'!$C$37*'契約別単価'!K6+'前提と出典'!$C$38*'契約別単価'!K7)</ns0:f>
        <ns0:v>60667.7094972067</ns0:v>
      </ns0:c>
      <ns0:c r="L148" s="16">
        <ns0:f>A148*('前提と出典'!$C$36*'契約別単価'!L5+'前提と出典'!$C$37*'契約別単価'!L6+'前提と出典'!$C$38*'契約別単価'!L7)</ns0:f>
        <ns0:v>49395.86064400213</ns0:v>
      </ns0:c>
      <ns0:c r="M148" s="16">
        <ns0:f>IF(('前提と出典'!$C$36+'前提と出典'!$C$38)=0,0,IF(B148&lt;=10,'前提と出典'!B73+'前提と出典'!C73,IF(B148&lt;=100,'前提と出典'!B74+'前提と出典'!C74,IF(B148&lt;=500,'前提と出典'!B75+'前提と出典'!C75,'前提と出典'!B76+'前提と出典'!C76))))</ns0:f>
        <ns0:v>40000</ns0:v>
      </ns0:c>
      <ns0:c r="N148" s="16">
        <ns0:f>IF(('前提と出典'!$C$37+'前提と出典'!$C$38)=0,0,IF(C148&lt;=10,'前提と出典'!D73+'前提と出典'!E73,IF(C148&lt;=100,'前提と出典'!D74+'前提と出典'!E74,IF(C148&lt;=500,'前提と出典'!D75+'前提と出典'!E75,'前提と出典'!D76+'前提と出典'!E76))))</ns0:f>
        <ns0:v>34510.9346263078</ns0:v>
      </ns0:c>
      <ns0:c r="O148" s="16">
        <ns0:f>IF('前提と出典'!$C$36+'前提と出典'!$C$38=0,0,'前提と出典'!$B$4*IF('前提と出典'!$B$20=0,MAX('前提と出典'!$B$6,D148*'前提と出典'!$B$5),'前提と出典'!$B$6+D148*'前提と出典'!$B$5))</ns0:f>
        <ns0:v>142989.58659217876</ns0:v>
      </ns0:c>
      <ns0:c r="P148" s="16">
        <ns0:f>(E148+G148)*(1-'前提と出典'!$B$7)-I148-K148-M148-O148</ns0:f>
        <ns0:v>375545.96695283405</ns0:v>
      </ns0:c>
      <ns0:c r="Q148" s="16">
        <ns0:f>(F148+H148)*(1-'前提と出典'!$B$7)-J148-L148-N148</ns0:f>
        <ns0:v>99234.7369268889</ns0:v>
      </ns0:c>
      <ns0:c r="R148" s="16">
        <ns0:f>P148-E148*'前提と出典'!$E$4</ns0:f>
        <ns0:v>266946.6566688266</ns0:v>
      </ns0:c>
      <ns0:c r="S148" s="16">
        <ns0:f>Q148-F148*'前提と出典'!$E$4</ns0:f>
        <ns0:v>67678.5533168451</ns0:v>
      </ns0:c>
      <ns0:c r="T148" s="7">
        <ns0:f>R148+S148</ns0:f>
        <ns0:v>334625.2099856717</ns0:v>
      </ns0:c>
      <ns0:c r="U148" s="16">
        <ns0:f>P148-E148*'前提と出典'!$E$5</ns0:f>
        <ns0:v>230746.88657415743</ns0:v>
      </ns0:c>
      <ns0:c r="V148" s="16">
        <ns0:f>Q148-F148*'前提と出典'!$E$5</ns0:f>
        <ns0:v>57159.82544683052</ns0:v>
      </ns0:c>
      <ns0:c r="W148" s="7">
        <ns0:f>U148+V148</ns0:f>
        <ns0:v>287906.71202098794</ns0:v>
      </ns0:c>
      <ns0:c r="X148" s="16">
        <ns0:f>P148-E148*'前提と出典'!$E$6</ns0:f>
        <ns0:v>194547.11647948835</ns0:v>
      </ns0:c>
      <ns0:c r="Y148" s="16">
        <ns0:f>Q148-F148*'前提と出典'!$E$6</ns0:f>
        <ns0:v>46641.09757681593</ns0:v>
      </ns0:c>
      <ns0:c r="Z148" s="7">
        <ns0:f>X148+Y148</ns0:f>
        <ns0:v>241188.21405630428</ns0:v>
      </ns0:c>
      <ns0:c r="AA148" s="7">
        <ns0:f>IF(T148&gt;=0,A148,1001)</ns0:f>
        <ns0:v>144</ns0:v>
      </ns0:c>
      <ns0:c r="AB148" s="7">
        <ns0:f>IF(T148&lt;0,A148,0)</ns0:f>
        <ns0:v>0</ns0:v>
      </ns0:c>
      <ns0:c r="AC148" s="16">
        <ns0:f>IF(AND(OR('前提と出典'!$C$36+'前提と出典'!$C$38=0,R148&gt;=0),OR('前提と出典'!$C$37+'前提と出典'!$C$38=0,S148&gt;=0)),0,A148)</ns0:f>
        <ns0:v>0</ns0:v>
      </ns0:c>
      <ns0:c r="AD148" s="7">
        <ns0:f>IF(W148&gt;=0,A148,1001)</ns0:f>
        <ns0:v>144</ns0:v>
      </ns0:c>
      <ns0:c r="AE148" s="7">
        <ns0:f>IF(W148&lt;0,A148,0)</ns0:f>
        <ns0:v>0</ns0:v>
      </ns0:c>
      <ns0:c r="AF148" s="16">
        <ns0:f>IF(AND(OR('前提と出典'!$C$36+'前提と出典'!$C$38=0,U148&gt;=0),OR('前提と出典'!$C$37+'前提と出典'!$C$38=0,V148&gt;=0)),0,A148)</ns0:f>
        <ns0:v>0</ns0:v>
      </ns0:c>
      <ns0:c r="AG148" s="7">
        <ns0:f>IF(Z148&gt;=0,A148,1001)</ns0:f>
        <ns0:v>144</ns0:v>
      </ns0:c>
      <ns0:c r="AH148" s="4">
        <ns0:f>IF(Z148&lt;0,A148,0)</ns0:f>
        <ns0:v>0</ns0:v>
      </ns0:c>
      <ns0:c r="AI148" s="12">
        <ns0:f>IF(AND(OR('前提と出典'!$C$36+'前提と出典'!$C$38=0,X148&gt;=0),OR('前提と出典'!$C$37+'前提と出典'!$C$38=0,Y148&gt;=0)),0,A148)</ns0:f>
        <ns0:v>0</ns0:v>
      </ns0:c>
    </ns0:row>
    <ns0:row r="149" ht="24" customHeight="1">
      <ns0:c r="A149" s="4" t="n">
        <ns0:v>145</ns0:v>
      </ns0:c>
      <ns0:c r="B149" s="12">
        <ns0:f>A149*('前提と出典'!$C$36+'前提と出典'!$C$38)</ns0:f>
        <ns0:v>101.5</ns0:v>
      </ns0:c>
      <ns0:c r="C149" s="12">
        <ns0:f>A149*('前提と出典'!$C$37+'前提と出典'!$C$38)</ns0:f>
        <ns0:v>87</ns0:v>
      </ns0:c>
      <ns0:c r="D149" s="16">
        <ns0:f>A149*('前提と出典'!$C$36*'契約別単価'!C5+'前提と出典'!$C$37*'契約別単価'!C6+'前提と出典'!$C$38*'契約別単価'!C7)</ns0:f>
        <ns0:v>1043.3519553072626</ns0:v>
      </ns0:c>
      <ns0:c r="E149" s="16">
        <ns0:f>A149*('前提と出典'!$C$36*'契約別単価'!E5+'前提と出典'!$C$37*'契約別単価'!E6+'前提と出典'!$C$38*'契約別単価'!E7)</ns0:f>
        <ns0:v>364511.57386993244</ns0:v>
      </ns0:c>
      <ns0:c r="F149" s="16">
        <ns0:f>A149*('前提と出典'!$C$36*'契約別単価'!F5+'前提と出典'!$C$37*'契約別単価'!F6+'前提と出典'!$C$38*'契約別単価'!F7)</ns0:f>
        <ns0:v>105917.74591334144</ns0:v>
      </ns0:c>
      <ns0:c r="G149" s="16">
        <ns0:f>A149*('前提と出典'!$C$36*'契約別単価'!G5+'前提と出典'!$C$37*'契約別単価'!G6+'前提と出典'!$C$38*'契約別単価'!G7)</ns0:f>
        <ns0:v>288622.90502793295</ns0:v>
      </ns0:c>
      <ns0:c r="H149" s="16">
        <ns0:f>A149*('前提と出典'!$C$36*'契約別単価'!H5+'前提と出典'!$C$37*'契約別単価'!H6+'前提と出典'!$C$38*'契約別単価'!H7)</ns0:f>
        <ns0:v>100166.62362089776</ns0:v>
      </ns0:c>
      <ns0:c r="I149" s="16">
        <ns0:f>A149*('前提と出典'!$C$36*'契約別単価'!I5+'前提と出典'!$C$37*'契約別単価'!I6+'前提と出典'!$C$38*'契約別単価'!I7)</ns0:f>
        <ns0:v>6118.351955307262</ns0:v>
      </ns0:c>
      <ns0:c r="J149" s="16">
        <ns0:f>A149*('前提と出典'!$C$36*'契約別単価'!J5+'前提と出典'!$C$37*'契約別単価'!J6+'前提と出典'!$C$38*'契約別単価'!J7)</ns0:f>
        <ns0:v>14251.983837993872</ns0:v>
      </ns0:c>
      <ns0:c r="K149" s="16">
        <ns0:f>A149*('前提と出典'!$C$36*'契約別単価'!K5+'前提と出典'!$C$37*'契約別単価'!K6+'前提と出典'!$C$38*'契約別単価'!K7)</ns0:f>
        <ns0:v>61089.013035381744</ns0:v>
      </ns0:c>
      <ns0:c r="L149" s="16">
        <ns0:f>A149*('前提と出典'!$C$36*'契約別単価'!L5+'前提と出典'!$C$37*'契約別単価'!L6+'前提と出典'!$C$38*'契約別単価'!L7)</ns0:f>
        <ns0:v>49738.88745402992</ns0:v>
      </ns0:c>
      <ns0:c r="M149" s="16">
        <ns0:f>IF(('前提と出典'!$C$36+'前提と出典'!$C$38)=0,0,IF(B149&lt;=10,'前提と出典'!B73+'前提と出典'!C73,IF(B149&lt;=100,'前提と出典'!B74+'前提と出典'!C74,IF(B149&lt;=500,'前提と出典'!B75+'前提と出典'!C75,'前提と出典'!B76+'前提と出典'!C76))))</ns0:f>
        <ns0:v>40000</ns0:v>
      </ns0:c>
      <ns0:c r="N149" s="16">
        <ns0:f>IF(('前提と出典'!$C$37+'前提と出典'!$C$38)=0,0,IF(C149&lt;=10,'前提と出典'!D73+'前提と出典'!E73,IF(C149&lt;=100,'前提と出典'!D74+'前提と出典'!E74,IF(C149&lt;=500,'前提と出典'!D75+'前提と出典'!E75,'前提と出典'!D76+'前提と出典'!E76))))</ns0:f>
        <ns0:v>34510.9346263078</ns0:v>
      </ns0:c>
      <ns0:c r="O149" s="16">
        <ns0:f>IF('前提と出典'!$C$36+'前提と出典'!$C$38=0,0,'前提と出典'!$B$4*IF('前提と出典'!$B$20=0,MAX('前提と出典'!$B$6,D149*'前提と出典'!$B$5),'前提と出典'!$B$6+D149*'前提と出典'!$B$5))</ns0:f>
        <ns0:v>143982.56983240225</ns0:v>
      </ns0:c>
      <ns0:c r="P149" s="16">
        <ns0:f>(E149+G149)*(1-'前提と出典'!$B$7)-I149-K149-M149-O149</ns0:f>
        <ns0:v>378431.702834451</ns0:v>
      </ns0:c>
      <ns0:c r="Q149" s="16">
        <ns0:f>(F149+H149)*(1-'前提と出典'!$B$7)-J149-L149-N149</ns0:f>
        <ns0:v>100163.52631267499</ns0:v>
      </ns0:c>
      <ns0:c r="R149" s="16">
        <ns0:f>P149-E149*'前提と出典'!$E$4</ns0:f>
        <ns0:v>269078.23067347123</ns0:v>
      </ns0:c>
      <ns0:c r="S149" s="16">
        <ns0:f>Q149-F149*'前提と出典'!$E$4</ns0:f>
        <ns0:v>68388.20253867254</ns0:v>
      </ns0:c>
      <ns0:c r="T149" s="7">
        <ns0:f>R149+S149</ns0:f>
        <ns0:v>337466.4332121438</ns0:v>
      </ns0:c>
      <ns0:c r="U149" s="16">
        <ns0:f>P149-E149*'前提と出典'!$E$5</ns0:f>
        <ns0:v>232627.07328647803</ns0:v>
      </ns0:c>
      <ns0:c r="V149" s="16">
        <ns0:f>Q149-F149*'前提と出典'!$E$5</ns0:f>
        <ns0:v>57796.427947338416</ns0:v>
      </ns0:c>
      <ns0:c r="W149" s="7">
        <ns0:f>U149+V149</ns0:f>
        <ns0:v>290423.50123381644</ns0:v>
      </ns0:c>
      <ns0:c r="X149" s="16">
        <ns0:f>P149-E149*'前提と出典'!$E$6</ns0:f>
        <ns0:v>196175.9158994848</ns0:v>
      </ns0:c>
      <ns0:c r="Y149" s="16">
        <ns0:f>Q149-F149*'前提と出典'!$E$6</ns0:f>
        <ns0:v>47204.65335600425</ns0:v>
      </ns0:c>
      <ns0:c r="Z149" s="7">
        <ns0:f>X149+Y149</ns0:f>
        <ns0:v>243380.56925548904</ns0:v>
      </ns0:c>
      <ns0:c r="AA149" s="7">
        <ns0:f>IF(T149&gt;=0,A149,1001)</ns0:f>
        <ns0:v>145</ns0:v>
      </ns0:c>
      <ns0:c r="AB149" s="7">
        <ns0:f>IF(T149&lt;0,A149,0)</ns0:f>
        <ns0:v>0</ns0:v>
      </ns0:c>
      <ns0:c r="AC149" s="16">
        <ns0:f>IF(AND(OR('前提と出典'!$C$36+'前提と出典'!$C$38=0,R149&gt;=0),OR('前提と出典'!$C$37+'前提と出典'!$C$38=0,S149&gt;=0)),0,A149)</ns0:f>
        <ns0:v>0</ns0:v>
      </ns0:c>
      <ns0:c r="AD149" s="7">
        <ns0:f>IF(W149&gt;=0,A149,1001)</ns0:f>
        <ns0:v>145</ns0:v>
      </ns0:c>
      <ns0:c r="AE149" s="7">
        <ns0:f>IF(W149&lt;0,A149,0)</ns0:f>
        <ns0:v>0</ns0:v>
      </ns0:c>
      <ns0:c r="AF149" s="16">
        <ns0:f>IF(AND(OR('前提と出典'!$C$36+'前提と出典'!$C$38=0,U149&gt;=0),OR('前提と出典'!$C$37+'前提と出典'!$C$38=0,V149&gt;=0)),0,A149)</ns0:f>
        <ns0:v>0</ns0:v>
      </ns0:c>
      <ns0:c r="AG149" s="7">
        <ns0:f>IF(Z149&gt;=0,A149,1001)</ns0:f>
        <ns0:v>145</ns0:v>
      </ns0:c>
      <ns0:c r="AH149" s="4">
        <ns0:f>IF(Z149&lt;0,A149,0)</ns0:f>
        <ns0:v>0</ns0:v>
      </ns0:c>
      <ns0:c r="AI149" s="12">
        <ns0:f>IF(AND(OR('前提と出典'!$C$36+'前提と出典'!$C$38=0,X149&gt;=0),OR('前提と出典'!$C$37+'前提と出典'!$C$38=0,Y149&gt;=0)),0,A149)</ns0:f>
        <ns0:v>0</ns0:v>
      </ns0:c>
    </ns0:row>
    <ns0:row r="150" ht="24" customHeight="1">
      <ns0:c r="A150" s="4" t="n">
        <ns0:v>146</ns0:v>
      </ns0:c>
      <ns0:c r="B150" s="12">
        <ns0:f>A150*('前提と出典'!$C$36+'前提と出典'!$C$38)</ns0:f>
        <ns0:v>102.19999999999999</ns0:v>
      </ns0:c>
      <ns0:c r="C150" s="12">
        <ns0:f>A150*('前提と出典'!$C$37+'前提と出典'!$C$38)</ns0:f>
        <ns0:v>87.6</ns0:v>
      </ns0:c>
      <ns0:c r="D150" s="16">
        <ns0:f>A150*('前提と出典'!$C$36*'契約別単価'!C5+'前提と出典'!$C$37*'契約別単価'!C6+'前提と出典'!$C$38*'契約別単価'!C7)</ns0:f>
        <ns0:v>1050.5474860335196</ns0:v>
      </ns0:c>
      <ns0:c r="E150" s="16">
        <ns0:f>A150*('前提と出典'!$C$36*'契約別単価'!E5+'前提と出典'!$C$37*'契約別単価'!E6+'前提と出典'!$C$38*'契約別単価'!E7)</ns0:f>
        <ns0:v>367025.4467931733</ns0:v>
      </ns0:c>
      <ns0:c r="F150" s="16">
        <ns0:f>A150*('前提と出典'!$C$36*'契約別単価'!F5+'前提と出典'!$C$37*'契約別単価'!F6+'前提と出典'!$C$38*'契約別単価'!F7)</ns0:f>
        <ns0:v>106648.2131265369</ns0:v>
      </ns0:c>
      <ns0:c r="G150" s="16">
        <ns0:f>A150*('前提と出典'!$C$36*'契約別単価'!G5+'前提と出典'!$C$37*'契約別単価'!G6+'前提と出典'!$C$38*'契約別単価'!G7)</ns0:f>
        <ns0:v>290613.407821229</ns0:v>
      </ns0:c>
      <ns0:c r="H150" s="16">
        <ns0:f>A150*('前提と出典'!$C$36*'契約別単価'!H5+'前提と出典'!$C$37*'契約別単価'!H6+'前提と出典'!$C$38*'契約別単価'!H7)</ns0:f>
        <ns0:v>100857.42792173155</ns0:v>
      </ns0:c>
      <ns0:c r="I150" s="16">
        <ns0:f>A150*('前提と出典'!$C$36*'契約別単価'!I5+'前提と出典'!$C$37*'契約別単価'!I6+'前提と出典'!$C$38*'契約別単価'!I7)</ns0:f>
        <ns0:v>6160.547486033519</ns0:v>
      </ns0:c>
      <ns0:c r="J150" s="16">
        <ns0:f>A150*('前提と出典'!$C$36*'契約別単価'!J5+'前提と出典'!$C$37*'契約別単価'!J6+'前提と出典'!$C$38*'契約別単価'!J7)</ns0:f>
        <ns0:v>14350.273381704175</ns0:v>
      </ns0:c>
      <ns0:c r="K150" s="16">
        <ns0:f>A150*('前提と出典'!$C$36*'契約別単価'!K5+'前提と出典'!$C$37*'契約別単価'!K6+'前提と出典'!$C$38*'契約別単価'!K7)</ns0:f>
        <ns0:v>61510.316573556796</ns0:v>
      </ns0:c>
      <ns0:c r="L150" s="16">
        <ns0:f>A150*('前提と出典'!$C$36*'契約別単価'!L5+'前提と出典'!$C$37*'契約別単価'!L6+'前提と出典'!$C$38*'契約別単価'!L7)</ns0:f>
        <ns0:v>50081.91426405772</ns0:v>
      </ns0:c>
      <ns0:c r="M150" s="16">
        <ns0:f>IF(('前提と出典'!$C$36+'前提と出典'!$C$38)=0,0,IF(B150&lt;=10,'前提と出典'!B73+'前提と出典'!C73,IF(B150&lt;=100,'前提と出典'!B74+'前提と出典'!C74,IF(B150&lt;=500,'前提と出典'!B75+'前提と出典'!C75,'前提と出典'!B76+'前提と出典'!C76))))</ns0:f>
        <ns0:v>40000</ns0:v>
      </ns0:c>
      <ns0:c r="N150" s="16">
        <ns0:f>IF(('前提と出典'!$C$37+'前提と出典'!$C$38)=0,0,IF(C150&lt;=10,'前提と出典'!D73+'前提と出典'!E73,IF(C150&lt;=100,'前提と出典'!D74+'前提と出典'!E74,IF(C150&lt;=500,'前提と出典'!D75+'前提と出典'!E75,'前提と出典'!D76+'前提と出典'!E76))))</ns0:f>
        <ns0:v>34510.9346263078</ns0:v>
      </ns0:c>
      <ns0:c r="O150" s="16">
        <ns0:f>IF('前提と出典'!$C$36+'前提と出典'!$C$38=0,0,'前提と出典'!$B$4*IF('前提と出典'!$B$20=0,MAX('前提と出典'!$B$6,D150*'前提と出典'!$B$5),'前提と出典'!$B$6+D150*'前提と出典'!$B$5))</ns0:f>
        <ns0:v>144975.5530726257</ns0:v>
      </ns0:c>
      <ns0:c r="P150" s="16">
        <ns0:f>(E150+G150)*(1-'前提と出典'!$B$7)-I150-K150-M150-O150</ns0:f>
        <ns0:v>381317.4387160679</ns0:v>
      </ns0:c>
      <ns0:c r="Q150" s="16">
        <ns0:f>(F150+H150)*(1-'前提と出典'!$B$7)-J150-L150-N150</ns0:f>
        <ns0:v>101092.31569846108</ns0:v>
      </ns0:c>
      <ns0:c r="R150" s="16">
        <ns0:f>P150-E150*'前提と出典'!$E$4</ns0:f>
        <ns0:v>271209.80467811594</ns0:v>
      </ns0:c>
      <ns0:c r="S150" s="16">
        <ns0:f>Q150-F150*'前提と出典'!$E$4</ns0:f>
        <ns0:v>69097.85176050005</ns0:v>
      </ns0:c>
      <ns0:c r="T150" s="7">
        <ns0:f>R150+S150</ns0:f>
        <ns0:v>340307.656438616</ns0:v>
      </ns0:c>
      <ns0:c r="U150" s="16">
        <ns0:f>P150-E150*'前提と出典'!$E$5</ns0:f>
        <ns0:v>234507.25999879854</ns0:v>
      </ns0:c>
      <ns0:c r="V150" s="16">
        <ns0:f>Q150-F150*'前提と出典'!$E$5</ns0:f>
        <ns0:v>58433.03044784633</ns0:v>
      </ns0:c>
      <ns0:c r="W150" s="7">
        <ns0:f>U150+V150</ns0:f>
        <ns0:v>292940.2904466449</ns0:v>
      </ns0:c>
      <ns0:c r="X150" s="16">
        <ns0:f>P150-E150*'前提と出典'!$E$6</ns0:f>
        <ns0:v>197804.7153194812</ns0:v>
      </ns0:c>
      <ns0:c r="Y150" s="16">
        <ns0:f>Q150-F150*'前提と出典'!$E$6</ns0:f>
        <ns0:v>47768.20913519267</ns0:v>
      </ns0:c>
      <ns0:c r="Z150" s="7">
        <ns0:f>X150+Y150</ns0:f>
        <ns0:v>245572.9244546739</ns0:v>
      </ns0:c>
      <ns0:c r="AA150" s="7">
        <ns0:f>IF(T150&gt;=0,A150,1001)</ns0:f>
        <ns0:v>146</ns0:v>
      </ns0:c>
      <ns0:c r="AB150" s="7">
        <ns0:f>IF(T150&lt;0,A150,0)</ns0:f>
        <ns0:v>0</ns0:v>
      </ns0:c>
      <ns0:c r="AC150" s="16">
        <ns0:f>IF(AND(OR('前提と出典'!$C$36+'前提と出典'!$C$38=0,R150&gt;=0),OR('前提と出典'!$C$37+'前提と出典'!$C$38=0,S150&gt;=0)),0,A150)</ns0:f>
        <ns0:v>0</ns0:v>
      </ns0:c>
      <ns0:c r="AD150" s="7">
        <ns0:f>IF(W150&gt;=0,A150,1001)</ns0:f>
        <ns0:v>146</ns0:v>
      </ns0:c>
      <ns0:c r="AE150" s="7">
        <ns0:f>IF(W150&lt;0,A150,0)</ns0:f>
        <ns0:v>0</ns0:v>
      </ns0:c>
      <ns0:c r="AF150" s="16">
        <ns0:f>IF(AND(OR('前提と出典'!$C$36+'前提と出典'!$C$38=0,U150&gt;=0),OR('前提と出典'!$C$37+'前提と出典'!$C$38=0,V150&gt;=0)),0,A150)</ns0:f>
        <ns0:v>0</ns0:v>
      </ns0:c>
      <ns0:c r="AG150" s="7">
        <ns0:f>IF(Z150&gt;=0,A150,1001)</ns0:f>
        <ns0:v>146</ns0:v>
      </ns0:c>
      <ns0:c r="AH150" s="4">
        <ns0:f>IF(Z150&lt;0,A150,0)</ns0:f>
        <ns0:v>0</ns0:v>
      </ns0:c>
      <ns0:c r="AI150" s="12">
        <ns0:f>IF(AND(OR('前提と出典'!$C$36+'前提と出典'!$C$38=0,X150&gt;=0),OR('前提と出典'!$C$37+'前提と出典'!$C$38=0,Y150&gt;=0)),0,A150)</ns0:f>
        <ns0:v>0</ns0:v>
      </ns0:c>
    </ns0:row>
    <ns0:row r="151" ht="24" customHeight="1">
      <ns0:c r="A151" s="4" t="n">
        <ns0:v>147</ns0:v>
      </ns0:c>
      <ns0:c r="B151" s="12">
        <ns0:f>A151*('前提と出典'!$C$36+'前提と出典'!$C$38)</ns0:f>
        <ns0:v>102.89999999999999</ns0:v>
      </ns0:c>
      <ns0:c r="C151" s="12">
        <ns0:f>A151*('前提と出典'!$C$37+'前提と出典'!$C$38)</ns0:f>
        <ns0:v>88.2</ns0:v>
      </ns0:c>
      <ns0:c r="D151" s="16">
        <ns0:f>A151*('前提と出典'!$C$36*'契約別単価'!C5+'前提と出典'!$C$37*'契約別単価'!C6+'前提と出典'!$C$38*'契約別単価'!C7)</ns0:f>
        <ns0:v>1057.7430167597765</ns0:v>
      </ns0:c>
      <ns0:c r="E151" s="16">
        <ns0:f>A151*('前提と出典'!$C$36*'契約別単価'!E5+'前提と出典'!$C$37*'契約別単価'!E6+'前提と出典'!$C$38*'契約別単価'!E7)</ns0:f>
        <ns0:v>369539.31971641426</ns0:v>
      </ns0:c>
      <ns0:c r="F151" s="16">
        <ns0:f>A151*('前提と出典'!$C$36*'契約別単価'!F5+'前提と出典'!$C$37*'契約別単価'!F6+'前提と出典'!$C$38*'契約別単価'!F7)</ns0:f>
        <ns0:v>107378.68033973235</ns0:v>
      </ns0:c>
      <ns0:c r="G151" s="16">
        <ns0:f>A151*('前提と出典'!$C$36*'契約別単価'!G5+'前提と出典'!$C$37*'契約別単価'!G6+'前提と出典'!$C$38*'契約別単価'!G7)</ns0:f>
        <ns0:v>292603.91061452514</ns0:v>
      </ns0:c>
      <ns0:c r="H151" s="16">
        <ns0:f>A151*('前提と出典'!$C$36*'契約別単価'!H5+'前提と出典'!$C$37*'契約別単価'!H6+'前提と出典'!$C$38*'契約別単価'!H7)</ns0:f>
        <ns0:v>101548.23222256532</ns0:v>
      </ns0:c>
      <ns0:c r="I151" s="16">
        <ns0:f>A151*('前提と出典'!$C$36*'契約別単価'!I5+'前提と出典'!$C$37*'契約別単価'!I6+'前提と出典'!$C$38*'契約別単価'!I7)</ns0:f>
        <ns0:v>6202.743016759776</ns0:v>
      </ns0:c>
      <ns0:c r="J151" s="16">
        <ns0:f>A151*('前提と出典'!$C$36*'契約別単価'!J5+'前提と出典'!$C$37*'契約別単価'!J6+'前提と出典'!$C$38*'契約別単価'!J7)</ns0:f>
        <ns0:v>14448.562925414477</ns0:v>
      </ns0:c>
      <ns0:c r="K151" s="16">
        <ns0:f>A151*('前提と出典'!$C$36*'契約別単価'!K5+'前提と出典'!$C$37*'契約別単価'!K6+'前提と出典'!$C$38*'契約別単価'!K7)</ns0:f>
        <ns0:v>61931.62011173184</ns0:v>
      </ns0:c>
      <ns0:c r="L151" s="16">
        <ns0:f>A151*('前提と出典'!$C$36*'契約別単価'!L5+'前提と出典'!$C$37*'契約別単価'!L6+'前提と出典'!$C$38*'契約別単価'!L7)</ns0:f>
        <ns0:v>50424.94107408551</ns0:v>
      </ns0:c>
      <ns0:c r="M151" s="16">
        <ns0:f>IF(('前提と出典'!$C$36+'前提と出典'!$C$38)=0,0,IF(B151&lt;=10,'前提と出典'!B73+'前提と出典'!C73,IF(B151&lt;=100,'前提と出典'!B74+'前提と出典'!C74,IF(B151&lt;=500,'前提と出典'!B75+'前提と出典'!C75,'前提と出典'!B76+'前提と出典'!C76))))</ns0:f>
        <ns0:v>40000</ns0:v>
      </ns0:c>
      <ns0:c r="N151" s="16">
        <ns0:f>IF(('前提と出典'!$C$37+'前提と出典'!$C$38)=0,0,IF(C151&lt;=10,'前提と出典'!D73+'前提と出典'!E73,IF(C151&lt;=100,'前提と出典'!D74+'前提と出典'!E74,IF(C151&lt;=500,'前提と出典'!D75+'前提と出典'!E75,'前提と出典'!D76+'前提と出典'!E76))))</ns0:f>
        <ns0:v>34510.9346263078</ns0:v>
      </ns0:c>
      <ns0:c r="O151" s="16">
        <ns0:f>IF('前提と出典'!$C$36+'前提と出典'!$C$38=0,0,'前提と出典'!$B$4*IF('前提と出典'!$B$20=0,MAX('前提と出典'!$B$6,D151*'前提と出典'!$B$5),'前提と出典'!$B$6+D151*'前提と出典'!$B$5))</ns0:f>
        <ns0:v>145968.53631284917</ns0:v>
      </ns0:c>
      <ns0:c r="P151" s="16">
        <ns0:f>(E151+G151)*(1-'前提と出典'!$B$7)-I151-K151-M151-O151</ns0:f>
        <ns0:v>384203.1745976848</ns0:v>
      </ns0:c>
      <ns0:c r="Q151" s="16">
        <ns0:f>(F151+H151)*(1-'前提と出典'!$B$7)-J151-L151-N151</ns0:f>
        <ns0:v>102021.10508424716</ns0:v>
      </ns0:c>
      <ns0:c r="R151" s="16">
        <ns0:f>P151-E151*'前提と出典'!$E$4</ns0:f>
        <ns0:v>273341.37868276064</ns0:v>
      </ns0:c>
      <ns0:c r="S151" s="16">
        <ns0:f>Q151-F151*'前提と出典'!$E$4</ns0:f>
        <ns0:v>69807.50098232744</ns0:v>
      </ns0:c>
      <ns0:c r="T151" s="7">
        <ns0:f>R151+S151</ns0:f>
        <ns0:v>343148.8796650881</ns0:v>
      </ns0:c>
      <ns0:c r="U151" s="16">
        <ns0:f>P151-E151*'前提と出典'!$E$5</ns0:f>
        <ns0:v>236387.44671111912</ns0:v>
      </ns0:c>
      <ns0:c r="V151" s="16">
        <ns0:f>Q151-F151*'前提と出典'!$E$5</ns0:f>
        <ns0:v>59069.632948354214</ns0:v>
      </ns0:c>
      <ns0:c r="W151" s="7">
        <ns0:f>U151+V151</ns0:f>
        <ns0:v>295457.0796594733</ns0:v>
      </ns0:c>
      <ns0:c r="X151" s="16">
        <ns0:f>P151-E151*'前提と出典'!$E$6</ns0:f>
        <ns0:v>199433.51473947775</ns0:v>
      </ns0:c>
      <ns0:c r="Y151" s="16">
        <ns0:f>Q151-F151*'前提と出典'!$E$6</ns0:f>
        <ns0:v>48331.764914381005</ns0:v>
      </ns0:c>
      <ns0:c r="Z151" s="7">
        <ns0:f>X151+Y151</ns0:f>
        <ns0:v>247765.27965385874</ns0:v>
      </ns0:c>
      <ns0:c r="AA151" s="7">
        <ns0:f>IF(T151&gt;=0,A151,1001)</ns0:f>
        <ns0:v>147</ns0:v>
      </ns0:c>
      <ns0:c r="AB151" s="7">
        <ns0:f>IF(T151&lt;0,A151,0)</ns0:f>
        <ns0:v>0</ns0:v>
      </ns0:c>
      <ns0:c r="AC151" s="16">
        <ns0:f>IF(AND(OR('前提と出典'!$C$36+'前提と出典'!$C$38=0,R151&gt;=0),OR('前提と出典'!$C$37+'前提と出典'!$C$38=0,S151&gt;=0)),0,A151)</ns0:f>
        <ns0:v>0</ns0:v>
      </ns0:c>
      <ns0:c r="AD151" s="7">
        <ns0:f>IF(W151&gt;=0,A151,1001)</ns0:f>
        <ns0:v>147</ns0:v>
      </ns0:c>
      <ns0:c r="AE151" s="7">
        <ns0:f>IF(W151&lt;0,A151,0)</ns0:f>
        <ns0:v>0</ns0:v>
      </ns0:c>
      <ns0:c r="AF151" s="16">
        <ns0:f>IF(AND(OR('前提と出典'!$C$36+'前提と出典'!$C$38=0,U151&gt;=0),OR('前提と出典'!$C$37+'前提と出典'!$C$38=0,V151&gt;=0)),0,A151)</ns0:f>
        <ns0:v>0</ns0:v>
      </ns0:c>
      <ns0:c r="AG151" s="7">
        <ns0:f>IF(Z151&gt;=0,A151,1001)</ns0:f>
        <ns0:v>147</ns0:v>
      </ns0:c>
      <ns0:c r="AH151" s="4">
        <ns0:f>IF(Z151&lt;0,A151,0)</ns0:f>
        <ns0:v>0</ns0:v>
      </ns0:c>
      <ns0:c r="AI151" s="12">
        <ns0:f>IF(AND(OR('前提と出典'!$C$36+'前提と出典'!$C$38=0,X151&gt;=0),OR('前提と出典'!$C$37+'前提と出典'!$C$38=0,Y151&gt;=0)),0,A151)</ns0:f>
        <ns0:v>0</ns0:v>
      </ns0:c>
    </ns0:row>
    <ns0:row r="152" ht="24" customHeight="1">
      <ns0:c r="A152" s="4" t="n">
        <ns0:v>148</ns0:v>
      </ns0:c>
      <ns0:c r="B152" s="12">
        <ns0:f>A152*('前提と出典'!$C$36+'前提と出典'!$C$38)</ns0:f>
        <ns0:v>103.6</ns0:v>
      </ns0:c>
      <ns0:c r="C152" s="12">
        <ns0:f>A152*('前提と出典'!$C$37+'前提と出典'!$C$38)</ns0:f>
        <ns0:v>88.8</ns0:v>
      </ns0:c>
      <ns0:c r="D152" s="16">
        <ns0:f>A152*('前提と出典'!$C$36*'契約別単価'!C5+'前提と出典'!$C$37*'契約別単価'!C6+'前提と出典'!$C$38*'契約別単価'!C7)</ns0:f>
        <ns0:v>1064.9385474860335</ns0:v>
      </ns0:c>
      <ns0:c r="E152" s="16">
        <ns0:f>A152*('前提と出典'!$C$36*'契約別単価'!E5+'前提と出典'!$C$37*'契約別単価'!E6+'前提と出典'!$C$38*'契約別単価'!E7)</ns0:f>
        <ns0:v>372053.19263965514</ns0:v>
      </ns0:c>
      <ns0:c r="F152" s="16">
        <ns0:f>A152*('前提と出典'!$C$36*'契約別単価'!F5+'前提と出典'!$C$37*'契約別単価'!F6+'前提と出典'!$C$38*'契約別単価'!F7)</ns0:f>
        <ns0:v>108109.14755292781</ns0:v>
      </ns0:c>
      <ns0:c r="G152" s="16">
        <ns0:f>A152*('前提と出典'!$C$36*'契約別単価'!G5+'前提と出典'!$C$37*'契約別単価'!G6+'前提と出典'!$C$38*'契約別単価'!G7)</ns0:f>
        <ns0:v>294594.4134078212</ns0:v>
      </ns0:c>
      <ns0:c r="H152" s="16">
        <ns0:f>A152*('前提と出典'!$C$36*'契約別単価'!H5+'前提と出典'!$C$37*'契約別単価'!H6+'前提と出典'!$C$38*'契約別単価'!H7)</ns0:f>
        <ns0:v>102239.0365233991</ns0:v>
      </ns0:c>
      <ns0:c r="I152" s="16">
        <ns0:f>A152*('前提と出典'!$C$36*'契約別単価'!I5+'前提と出典'!$C$37*'契約別単価'!I6+'前提と出典'!$C$38*'契約別単価'!I7)</ns0:f>
        <ns0:v>6244.938547486033</ns0:v>
      </ns0:c>
      <ns0:c r="J152" s="16">
        <ns0:f>A152*('前提と出典'!$C$36*'契約別単価'!J5+'前提と出典'!$C$37*'契約別単価'!J6+'前提と出典'!$C$38*'契約別単価'!J7)</ns0:f>
        <ns0:v>14546.85246912478</ns0:v>
      </ns0:c>
      <ns0:c r="K152" s="16">
        <ns0:f>A152*('前提と出典'!$C$36*'契約別単価'!K5+'前提と出典'!$C$37*'契約別単価'!K6+'前提と出典'!$C$38*'契約別単価'!K7)</ns0:f>
        <ns0:v>62352.92364990689</ns0:v>
      </ns0:c>
      <ns0:c r="L152" s="16">
        <ns0:f>A152*('前提と出典'!$C$36*'契約別単価'!L5+'前提と出典'!$C$37*'契約別単価'!L6+'前提と出典'!$C$38*'契約別単価'!L7)</ns0:f>
        <ns0:v>50767.9678841133</ns0:v>
      </ns0:c>
      <ns0:c r="M152" s="16">
        <ns0:f>IF(('前提と出典'!$C$36+'前提と出典'!$C$38)=0,0,IF(B152&lt;=10,'前提と出典'!B73+'前提と出典'!C73,IF(B152&lt;=100,'前提と出典'!B74+'前提と出典'!C74,IF(B152&lt;=500,'前提と出典'!B75+'前提と出典'!C75,'前提と出典'!B76+'前提と出典'!C76))))</ns0:f>
        <ns0:v>40000</ns0:v>
      </ns0:c>
      <ns0:c r="N152" s="16">
        <ns0:f>IF(('前提と出典'!$C$37+'前提と出典'!$C$38)=0,0,IF(C152&lt;=10,'前提と出典'!D73+'前提と出典'!E73,IF(C152&lt;=100,'前提と出典'!D74+'前提と出典'!E74,IF(C152&lt;=500,'前提と出典'!D75+'前提と出典'!E75,'前提と出典'!D76+'前提と出典'!E76))))</ns0:f>
        <ns0:v>34510.9346263078</ns0:v>
      </ns0:c>
      <ns0:c r="O152" s="16">
        <ns0:f>IF('前提と出典'!$C$36+'前提と出典'!$C$38=0,0,'前提と出典'!$B$4*IF('前提と出典'!$B$20=0,MAX('前提と出典'!$B$6,D152*'前提と出典'!$B$5),'前提と出典'!$B$6+D152*'前提と出典'!$B$5))</ns0:f>
        <ns0:v>146961.51955307263</ns0:v>
      </ns0:c>
      <ns0:c r="P152" s="16">
        <ns0:f>(E152+G152)*(1-'前提と出典'!$B$7)-I152-K152-M152-O152</ns0:f>
        <ns0:v>387088.9104793017</ns0:v>
      </ns0:c>
      <ns0:c r="Q152" s="16">
        <ns0:f>(F152+H152)*(1-'前提と出典'!$B$7)-J152-L152-N152</ns0:f>
        <ns0:v>102949.89447003326</ns0:v>
      </ns0:c>
      <ns0:c r="R152" s="16">
        <ns0:f>P152-E152*'前提と出典'!$E$4</ns0:f>
        <ns0:v>275472.95268740517</ns0:v>
      </ns0:c>
      <ns0:c r="S152" s="16">
        <ns0:f>Q152-F152*'前提と出典'!$E$4</ns0:f>
        <ns0:v>70517.15020415492</ns0:v>
      </ns0:c>
      <ns0:c r="T152" s="7">
        <ns0:f>R152+S152</ns0:f>
        <ns0:v>345990.10289156006</ns0:v>
      </ns0:c>
      <ns0:c r="U152" s="16">
        <ns0:f>P152-E152*'前提と出典'!$E$5</ns0:f>
        <ns0:v>238267.63342343963</ns0:v>
      </ns0:c>
      <ns0:c r="V152" s="16">
        <ns0:f>Q152-F152*'前提と出典'!$E$5</ns0:f>
        <ns0:v>59706.23544886213</ns0:v>
      </ns0:c>
      <ns0:c r="W152" s="7">
        <ns0:f>U152+V152</ns0:f>
        <ns0:v>297973.86887230177</ns0:v>
      </ns0:c>
      <ns0:c r="X152" s="16">
        <ns0:f>P152-E152*'前提と出典'!$E$6</ns0:f>
        <ns0:v>201062.3141594741</ns0:v>
      </ns0:c>
      <ns0:c r="Y152" s="16">
        <ns0:f>Q152-F152*'前提と出典'!$E$6</ns0:f>
        <ns0:v>48895.32069356934</ns0:v>
      </ns0:c>
      <ns0:c r="Z152" s="7">
        <ns0:f>X152+Y152</ns0:f>
        <ns0:v>249957.63485304345</ns0:v>
      </ns0:c>
      <ns0:c r="AA152" s="7">
        <ns0:f>IF(T152&gt;=0,A152,1001)</ns0:f>
        <ns0:v>148</ns0:v>
      </ns0:c>
      <ns0:c r="AB152" s="7">
        <ns0:f>IF(T152&lt;0,A152,0)</ns0:f>
        <ns0:v>0</ns0:v>
      </ns0:c>
      <ns0:c r="AC152" s="16">
        <ns0:f>IF(AND(OR('前提と出典'!$C$36+'前提と出典'!$C$38=0,R152&gt;=0),OR('前提と出典'!$C$37+'前提と出典'!$C$38=0,S152&gt;=0)),0,A152)</ns0:f>
        <ns0:v>0</ns0:v>
      </ns0:c>
      <ns0:c r="AD152" s="7">
        <ns0:f>IF(W152&gt;=0,A152,1001)</ns0:f>
        <ns0:v>148</ns0:v>
      </ns0:c>
      <ns0:c r="AE152" s="7">
        <ns0:f>IF(W152&lt;0,A152,0)</ns0:f>
        <ns0:v>0</ns0:v>
      </ns0:c>
      <ns0:c r="AF152" s="16">
        <ns0:f>IF(AND(OR('前提と出典'!$C$36+'前提と出典'!$C$38=0,U152&gt;=0),OR('前提と出典'!$C$37+'前提と出典'!$C$38=0,V152&gt;=0)),0,A152)</ns0:f>
        <ns0:v>0</ns0:v>
      </ns0:c>
      <ns0:c r="AG152" s="7">
        <ns0:f>IF(Z152&gt;=0,A152,1001)</ns0:f>
        <ns0:v>148</ns0:v>
      </ns0:c>
      <ns0:c r="AH152" s="4">
        <ns0:f>IF(Z152&lt;0,A152,0)</ns0:f>
        <ns0:v>0</ns0:v>
      </ns0:c>
      <ns0:c r="AI152" s="12">
        <ns0:f>IF(AND(OR('前提と出典'!$C$36+'前提と出典'!$C$38=0,X152&gt;=0),OR('前提と出典'!$C$37+'前提と出典'!$C$38=0,Y152&gt;=0)),0,A152)</ns0:f>
        <ns0:v>0</ns0:v>
      </ns0:c>
    </ns0:row>
    <ns0:row r="153" ht="24" customHeight="1">
      <ns0:c r="A153" s="4" t="n">
        <ns0:v>149</ns0:v>
      </ns0:c>
      <ns0:c r="B153" s="12">
        <ns0:f>A153*('前提と出典'!$C$36+'前提と出典'!$C$38)</ns0:f>
        <ns0:v>104.3</ns0:v>
      </ns0:c>
      <ns0:c r="C153" s="12">
        <ns0:f>A153*('前提と出典'!$C$37+'前提と出典'!$C$38)</ns0:f>
        <ns0:v>89.39999999999999</ns0:v>
      </ns0:c>
      <ns0:c r="D153" s="16">
        <ns0:f>A153*('前提と出典'!$C$36*'契約別単価'!C5+'前提と出典'!$C$37*'契約別単価'!C6+'前提と出典'!$C$38*'契約別単価'!C7)</ns0:f>
        <ns0:v>1072.1340782122904</ns0:v>
      </ns0:c>
      <ns0:c r="E153" s="16">
        <ns0:f>A153*('前提と出典'!$C$36*'契約別単価'!E5+'前提と出典'!$C$37*'契約別単価'!E6+'前提と出典'!$C$38*'契約別単価'!E7)</ns0:f>
        <ns0:v>374567.0655628961</ns0:v>
      </ns0:c>
      <ns0:c r="F153" s="16">
        <ns0:f>A153*('前提と出典'!$C$36*'契約別単価'!F5+'前提と出典'!$C$37*'契約別単価'!F6+'前提と出典'!$C$38*'契約別単価'!F7)</ns0:f>
        <ns0:v>108839.61476612327</ns0:v>
      </ns0:c>
      <ns0:c r="G153" s="16">
        <ns0:f>A153*('前提と出典'!$C$36*'契約別単価'!G5+'前提と出典'!$C$37*'契約別単価'!G6+'前提と出典'!$C$38*'契約別単価'!G7)</ns0:f>
        <ns0:v>296584.91620111733</ns0:v>
      </ns0:c>
      <ns0:c r="H153" s="16">
        <ns0:f>A153*('前提と出典'!$C$36*'契約別単価'!H5+'前提と出典'!$C$37*'契約別単価'!H6+'前提と出典'!$C$38*'契約別単価'!H7)</ns0:f>
        <ns0:v>102929.84082423287</ns0:v>
      </ns0:c>
      <ns0:c r="I153" s="16">
        <ns0:f>A153*('前提と出典'!$C$36*'契約別単価'!I5+'前提と出典'!$C$37*'契約別単価'!I6+'前提と出典'!$C$38*'契約別単価'!I7)</ns0:f>
        <ns0:v>6287.13407821229</ns0:v>
      </ns0:c>
      <ns0:c r="J153" s="16">
        <ns0:f>A153*('前提と出典'!$C$36*'契約別単価'!J5+'前提と出典'!$C$37*'契約別単価'!J6+'前提と出典'!$C$38*'契約別単価'!J7)</ns0:f>
        <ns0:v>14645.142012835082</ns0:v>
      </ns0:c>
      <ns0:c r="K153" s="16">
        <ns0:f>A153*('前提と出典'!$C$36*'契約別単価'!K5+'前提と出典'!$C$37*'契約別単価'!K6+'前提と出典'!$C$38*'契約別単価'!K7)</ns0:f>
        <ns0:v>62774.22718808193</ns0:v>
      </ns0:c>
      <ns0:c r="L153" s="16">
        <ns0:f>A153*('前提と出典'!$C$36*'契約別単価'!L5+'前提と出典'!$C$37*'契約別単価'!L6+'前提と出典'!$C$38*'契約別単価'!L7)</ns0:f>
        <ns0:v>51110.994694141096</ns0:v>
      </ns0:c>
      <ns0:c r="M153" s="16">
        <ns0:f>IF(('前提と出典'!$C$36+'前提と出典'!$C$38)=0,0,IF(B153&lt;=10,'前提と出典'!B73+'前提と出典'!C73,IF(B153&lt;=100,'前提と出典'!B74+'前提と出典'!C74,IF(B153&lt;=500,'前提と出典'!B75+'前提と出典'!C75,'前提と出典'!B76+'前提と出典'!C76))))</ns0:f>
        <ns0:v>40000</ns0:v>
      </ns0:c>
      <ns0:c r="N153" s="16">
        <ns0:f>IF(('前提と出典'!$C$37+'前提と出典'!$C$38)=0,0,IF(C153&lt;=10,'前提と出典'!D73+'前提と出典'!E73,IF(C153&lt;=100,'前提と出典'!D74+'前提と出典'!E74,IF(C153&lt;=500,'前提と出典'!D75+'前提と出典'!E75,'前提と出典'!D76+'前提と出典'!E76))))</ns0:f>
        <ns0:v>34510.9346263078</ns0:v>
      </ns0:c>
      <ns0:c r="O153" s="16">
        <ns0:f>IF('前提と出典'!$C$36+'前提と出典'!$C$38=0,0,'前提と出典'!$B$4*IF('前提と出典'!$B$20=0,MAX('前提と出典'!$B$6,D153*'前提と出典'!$B$5),'前提と出典'!$B$6+D153*'前提と出典'!$B$5))</ns0:f>
        <ns0:v>147954.5027932961</ns0:v>
      </ns0:c>
      <ns0:c r="P153" s="16">
        <ns0:f>(E153+G153)*(1-'前提と出典'!$B$7)-I153-K153-M153-O153</ns0:f>
        <ns0:v>389974.6463609186</ns0:v>
      </ns0:c>
      <ns0:c r="Q153" s="16">
        <ns0:f>(F153+H153)*(1-'前提と出典'!$B$7)-J153-L153-N153</ns0:f>
        <ns0:v>103878.68385581934</ns0:v>
      </ns0:c>
      <ns0:c r="R153" s="16">
        <ns0:f>P153-E153*'前提と出典'!$E$4</ns0:f>
        <ns0:v>277604.5266920497</ns0:v>
      </ns0:c>
      <ns0:c r="S153" s="16">
        <ns0:f>Q153-F153*'前提と出典'!$E$4</ns0:f>
        <ns0:v>71226.79942598235</ns0:v>
      </ns0:c>
      <ns0:c r="T153" s="7">
        <ns0:f>R153+S153</ns0:f>
        <ns0:v>348831.32611803204</ns0:v>
      </ns0:c>
      <ns0:c r="U153" s="16">
        <ns0:f>P153-E153*'前提と出典'!$E$5</ns0:f>
        <ns0:v>240147.82013576015</ns0:v>
      </ns0:c>
      <ns0:c r="V153" s="16">
        <ns0:f>Q153-F153*'前提と出典'!$E$5</ns0:f>
        <ns0:v>60342.83794937004</ns0:v>
      </ns0:c>
      <ns0:c r="W153" s="7">
        <ns0:f>U153+V153</ns0:f>
        <ns0:v>300490.6580851302</ns0:v>
      </ns0:c>
      <ns0:c r="X153" s="16">
        <ns0:f>P153-E153*'前提と出典'!$E$6</ns0:f>
        <ns0:v>202691.11357947052</ns0:v>
      </ns0:c>
      <ns0:c r="Y153" s="16">
        <ns0:f>Q153-F153*'前提と出典'!$E$6</ns0:f>
        <ns0:v>49458.87647275773</ns0:v>
      </ns0:c>
      <ns0:c r="Z153" s="7">
        <ns0:f>X153+Y153</ns0:f>
        <ns0:v>252149.99005222824</ns0:v>
      </ns0:c>
      <ns0:c r="AA153" s="7">
        <ns0:f>IF(T153&gt;=0,A153,1001)</ns0:f>
        <ns0:v>149</ns0:v>
      </ns0:c>
      <ns0:c r="AB153" s="7">
        <ns0:f>IF(T153&lt;0,A153,0)</ns0:f>
        <ns0:v>0</ns0:v>
      </ns0:c>
      <ns0:c r="AC153" s="16">
        <ns0:f>IF(AND(OR('前提と出典'!$C$36+'前提と出典'!$C$38=0,R153&gt;=0),OR('前提と出典'!$C$37+'前提と出典'!$C$38=0,S153&gt;=0)),0,A153)</ns0:f>
        <ns0:v>0</ns0:v>
      </ns0:c>
      <ns0:c r="AD153" s="7">
        <ns0:f>IF(W153&gt;=0,A153,1001)</ns0:f>
        <ns0:v>149</ns0:v>
      </ns0:c>
      <ns0:c r="AE153" s="7">
        <ns0:f>IF(W153&lt;0,A153,0)</ns0:f>
        <ns0:v>0</ns0:v>
      </ns0:c>
      <ns0:c r="AF153" s="16">
        <ns0:f>IF(AND(OR('前提と出典'!$C$36+'前提と出典'!$C$38=0,U153&gt;=0),OR('前提と出典'!$C$37+'前提と出典'!$C$38=0,V153&gt;=0)),0,A153)</ns0:f>
        <ns0:v>0</ns0:v>
      </ns0:c>
      <ns0:c r="AG153" s="7">
        <ns0:f>IF(Z153&gt;=0,A153,1001)</ns0:f>
        <ns0:v>149</ns0:v>
      </ns0:c>
      <ns0:c r="AH153" s="4">
        <ns0:f>IF(Z153&lt;0,A153,0)</ns0:f>
        <ns0:v>0</ns0:v>
      </ns0:c>
      <ns0:c r="AI153" s="12">
        <ns0:f>IF(AND(OR('前提と出典'!$C$36+'前提と出典'!$C$38=0,X153&gt;=0),OR('前提と出典'!$C$37+'前提と出典'!$C$38=0,Y153&gt;=0)),0,A153)</ns0:f>
        <ns0:v>0</ns0:v>
      </ns0:c>
    </ns0:row>
    <ns0:row r="154" ht="24" customHeight="1">
      <ns0:c r="A154" s="4" t="n">
        <ns0:v>150</ns0:v>
      </ns0:c>
      <ns0:c r="B154" s="12">
        <ns0:f>A154*('前提と出典'!$C$36+'前提と出典'!$C$38)</ns0:f>
        <ns0:v>105</ns0:v>
      </ns0:c>
      <ns0:c r="C154" s="12">
        <ns0:f>A154*('前提と出典'!$C$37+'前提と出典'!$C$38)</ns0:f>
        <ns0:v>90</ns0:v>
      </ns0:c>
      <ns0:c r="D154" s="16">
        <ns0:f>A154*('前提と出典'!$C$36*'契約別単価'!C5+'前提と出典'!$C$37*'契約別単価'!C6+'前提と出典'!$C$38*'契約別単価'!C7)</ns0:f>
        <ns0:v>1079.3296089385474</ns0:v>
      </ns0:c>
      <ns0:c r="E154" s="16">
        <ns0:f>A154*('前提と出典'!$C$36*'契約別単価'!E5+'前提と出典'!$C$37*'契約別単価'!E6+'前提と出典'!$C$38*'契約別単価'!E7)</ns0:f>
        <ns0:v>377080.93848613696</ns0:v>
      </ns0:c>
      <ns0:c r="F154" s="16">
        <ns0:f>A154*('前提と出典'!$C$36*'契約別単価'!F5+'前提と出典'!$C$37*'契約別単価'!F6+'前提と出典'!$C$38*'契約別単価'!F7)</ns0:f>
        <ns0:v>109570.08197931873</ns0:v>
      </ns0:c>
      <ns0:c r="G154" s="16">
        <ns0:f>A154*('前提と出典'!$C$36*'契約別単価'!G5+'前提と出典'!$C$37*'契約別単価'!G6+'前提と出典'!$C$38*'契約別単価'!G7)</ns0:f>
        <ns0:v>298575.4189944134</ns0:v>
      </ns0:c>
      <ns0:c r="H154" s="16">
        <ns0:f>A154*('前提と出典'!$C$36*'契約別単価'!H5+'前提と出典'!$C$37*'契約別単価'!H6+'前提と出典'!$C$38*'契約別単価'!H7)</ns0:f>
        <ns0:v>103620.64512506666</ns0:v>
      </ns0:c>
      <ns0:c r="I154" s="16">
        <ns0:f>A154*('前提と出典'!$C$36*'契約別単価'!I5+'前提と出典'!$C$37*'契約別単価'!I6+'前提と出典'!$C$38*'契約別単価'!I7)</ns0:f>
        <ns0:v>6329.329608938547</ns0:v>
      </ns0:c>
      <ns0:c r="J154" s="16">
        <ns0:f>A154*('前提と出典'!$C$36*'契約別単価'!J5+'前提と出典'!$C$37*'契約別単価'!J6+'前提と出典'!$C$38*'契約別単価'!J7)</ns0:f>
        <ns0:v>14743.431556545385</ns0:v>
      </ns0:c>
      <ns0:c r="K154" s="16">
        <ns0:f>A154*('前提と出典'!$C$36*'契約別単価'!K5+'前提と出典'!$C$37*'契約別単価'!K6+'前提と出典'!$C$38*'契約別単価'!K7)</ns0:f>
        <ns0:v>63195.53072625698</ns0:v>
      </ns0:c>
      <ns0:c r="L154" s="16">
        <ns0:f>A154*('前提と出典'!$C$36*'契約別単価'!L5+'前提と出典'!$C$37*'契約別単価'!L6+'前提と出典'!$C$38*'契約別単価'!L7)</ns0:f>
        <ns0:v>51454.021504168886</ns0:v>
      </ns0:c>
      <ns0:c r="M154" s="16">
        <ns0:f>IF(('前提と出典'!$C$36+'前提と出典'!$C$38)=0,0,IF(B154&lt;=10,'前提と出典'!B73+'前提と出典'!C73,IF(B154&lt;=100,'前提と出典'!B74+'前提と出典'!C74,IF(B154&lt;=500,'前提と出典'!B75+'前提と出典'!C75,'前提と出典'!B76+'前提と出典'!C76))))</ns0:f>
        <ns0:v>40000</ns0:v>
      </ns0:c>
      <ns0:c r="N154" s="16">
        <ns0:f>IF(('前提と出典'!$C$37+'前提と出典'!$C$38)=0,0,IF(C154&lt;=10,'前提と出典'!D73+'前提と出典'!E73,IF(C154&lt;=100,'前提と出典'!D74+'前提と出典'!E74,IF(C154&lt;=500,'前提と出典'!D75+'前提と出典'!E75,'前提と出典'!D76+'前提と出典'!E76))))</ns0:f>
        <ns0:v>34510.9346263078</ns0:v>
      </ns0:c>
      <ns0:c r="O154" s="16">
        <ns0:f>IF('前提と出典'!$C$36+'前提と出典'!$C$38=0,0,'前提と出典'!$B$4*IF('前提と出典'!$B$20=0,MAX('前提と出典'!$B$6,D154*'前提と出典'!$B$5),'前提と出典'!$B$6+D154*'前提と出典'!$B$5))</ns0:f>
        <ns0:v>148947.48603351956</ns0:v>
      </ns0:c>
      <ns0:c r="P154" s="16">
        <ns0:f>(E154+G154)*(1-'前提と出典'!$B$7)-I154-K154-M154-O154</ns0:f>
        <ns0:v>392860.3822425355</ns0:v>
      </ns0:c>
      <ns0:c r="Q154" s="16">
        <ns0:f>(F154+H154)*(1-'前提と出典'!$B$7)-J154-L154-N154</ns0:f>
        <ns0:v>104807.47324160546</ns0:v>
      </ns0:c>
      <ns0:c r="R154" s="16">
        <ns0:f>P154-E154*'前提と出典'!$E$4</ns0:f>
        <ns0:v>279736.10069669446</ns0:v>
      </ns0:c>
      <ns0:c r="S154" s="16">
        <ns0:f>Q154-F154*'前提と出典'!$E$4</ns0:f>
        <ns0:v>71936.44864780983</ns0:v>
      </ns0:c>
      <ns0:c r="T154" s="7">
        <ns0:f>R154+S154</ns0:f>
        <ns0:v>351672.54934450425</ns0:v>
      </ns0:c>
      <ns0:c r="U154" s="16">
        <ns0:f>P154-E154*'前提と出典'!$E$5</ns0:f>
        <ns0:v>242028.00684808072</ns0:v>
      </ns0:c>
      <ns0:c r="V154" s="16">
        <ns0:f>Q154-F154*'前提と出典'!$E$5</ns0:f>
        <ns0:v>60979.44044987797</ns0:v>
      </ns0:c>
      <ns0:c r="W154" s="7">
        <ns0:f>U154+V154</ns0:f>
        <ns0:v>303007.4472979587</ns0:v>
      </ns0:c>
      <ns0:c r="X154" s="16">
        <ns0:f>P154-E154*'前提と出典'!$E$6</ns0:f>
        <ns0:v>204319.91299946705</ns0:v>
      </ns0:c>
      <ns0:c r="Y154" s="16">
        <ns0:f>Q154-F154*'前提と出典'!$E$6</ns0:f>
        <ns0:v>50022.43225194608</ns0:v>
      </ns0:c>
      <ns0:c r="Z154" s="7">
        <ns0:f>X154+Y154</ns0:f>
        <ns0:v>254342.34525141312</ns0:v>
      </ns0:c>
      <ns0:c r="AA154" s="7">
        <ns0:f>IF(T154&gt;=0,A154,1001)</ns0:f>
        <ns0:v>150</ns0:v>
      </ns0:c>
      <ns0:c r="AB154" s="7">
        <ns0:f>IF(T154&lt;0,A154,0)</ns0:f>
        <ns0:v>0</ns0:v>
      </ns0:c>
      <ns0:c r="AC154" s="16">
        <ns0:f>IF(AND(OR('前提と出典'!$C$36+'前提と出典'!$C$38=0,R154&gt;=0),OR('前提と出典'!$C$37+'前提と出典'!$C$38=0,S154&gt;=0)),0,A154)</ns0:f>
        <ns0:v>0</ns0:v>
      </ns0:c>
      <ns0:c r="AD154" s="7">
        <ns0:f>IF(W154&gt;=0,A154,1001)</ns0:f>
        <ns0:v>150</ns0:v>
      </ns0:c>
      <ns0:c r="AE154" s="7">
        <ns0:f>IF(W154&lt;0,A154,0)</ns0:f>
        <ns0:v>0</ns0:v>
      </ns0:c>
      <ns0:c r="AF154" s="16">
        <ns0:f>IF(AND(OR('前提と出典'!$C$36+'前提と出典'!$C$38=0,U154&gt;=0),OR('前提と出典'!$C$37+'前提と出典'!$C$38=0,V154&gt;=0)),0,A154)</ns0:f>
        <ns0:v>0</ns0:v>
      </ns0:c>
      <ns0:c r="AG154" s="7">
        <ns0:f>IF(Z154&gt;=0,A154,1001)</ns0:f>
        <ns0:v>150</ns0:v>
      </ns0:c>
      <ns0:c r="AH154" s="4">
        <ns0:f>IF(Z154&lt;0,A154,0)</ns0:f>
        <ns0:v>0</ns0:v>
      </ns0:c>
      <ns0:c r="AI154" s="12">
        <ns0:f>IF(AND(OR('前提と出典'!$C$36+'前提と出典'!$C$38=0,X154&gt;=0),OR('前提と出典'!$C$37+'前提と出典'!$C$38=0,Y154&gt;=0)),0,A154)</ns0:f>
        <ns0:v>0</ns0:v>
      </ns0:c>
    </ns0:row>
    <ns0:row r="155" ht="24" customHeight="1">
      <ns0:c r="A155" s="4" t="n">
        <ns0:v>151</ns0:v>
      </ns0:c>
      <ns0:c r="B155" s="12">
        <ns0:f>A155*('前提と出典'!$C$36+'前提と出典'!$C$38)</ns0:f>
        <ns0:v>105.69999999999999</ns0:v>
      </ns0:c>
      <ns0:c r="C155" s="12">
        <ns0:f>A155*('前提と出典'!$C$37+'前提と出典'!$C$38)</ns0:f>
        <ns0:v>90.6</ns0:v>
      </ns0:c>
      <ns0:c r="D155" s="16">
        <ns0:f>A155*('前提と出典'!$C$36*'契約別単価'!C5+'前提と出典'!$C$37*'契約別単価'!C6+'前提と出典'!$C$38*'契約別単価'!C7)</ns0:f>
        <ns0:v>1086.5251396648046</ns0:v>
      </ns0:c>
      <ns0:c r="E155" s="16">
        <ns0:f>A155*('前提と出典'!$C$36*'契約別単価'!E5+'前提と出典'!$C$37*'契約別単価'!E6+'前提と出典'!$C$38*'契約別単価'!E7)</ns0:f>
        <ns0:v>379594.8114093779</ns0:v>
      </ns0:c>
      <ns0:c r="F155" s="16">
        <ns0:f>A155*('前提と出典'!$C$36*'契約別単価'!F5+'前提と出典'!$C$37*'契約別単価'!F6+'前提と出典'!$C$38*'契約別単価'!F7)</ns0:f>
        <ns0:v>110300.54919251418</ns0:v>
      </ns0:c>
      <ns0:c r="G155" s="16">
        <ns0:f>A155*('前提と出典'!$C$36*'契約別単価'!G5+'前提と出典'!$C$37*'契約別単価'!G6+'前提と出典'!$C$38*'契約別単価'!G7)</ns0:f>
        <ns0:v>300565.92178770946</ns0:v>
      </ns0:c>
      <ns0:c r="H155" s="16">
        <ns0:f>A155*('前提と出典'!$C$36*'契約別単価'!H5+'前提と出典'!$C$37*'契約別単価'!H6+'前提と出典'!$C$38*'契約別単価'!H7)</ns0:f>
        <ns0:v>104311.44942590043</ns0:v>
      </ns0:c>
      <ns0:c r="I155" s="16">
        <ns0:f>A155*('前提と出典'!$C$36*'契約別単価'!I5+'前提と出典'!$C$37*'契約別単価'!I6+'前提と出典'!$C$38*'契約別単価'!I7)</ns0:f>
        <ns0:v>6371.525139664804</ns0:v>
      </ns0:c>
      <ns0:c r="J155" s="16">
        <ns0:f>A155*('前提と出典'!$C$36*'契約別単価'!J5+'前提と出典'!$C$37*'契約別単価'!J6+'前提と出典'!$C$38*'契約別単価'!J7)</ns0:f>
        <ns0:v>14841.721100255687</ns0:v>
      </ns0:c>
      <ns0:c r="K155" s="16">
        <ns0:f>A155*('前提と出典'!$C$36*'契約別単価'!K5+'前提と出典'!$C$37*'契約別単価'!K6+'前提と出典'!$C$38*'契約別単価'!K7)</ns0:f>
        <ns0:v>63616.83426443202</ns0:v>
      </ns0:c>
      <ns0:c r="L155" s="16">
        <ns0:f>A155*('前提と出典'!$C$36*'契約別単価'!L5+'前提と出典'!$C$37*'契約別単価'!L6+'前提と出典'!$C$38*'契約別単価'!L7)</ns0:f>
        <ns0:v>51797.048314196676</ns0:v>
      </ns0:c>
      <ns0:c r="M155" s="16">
        <ns0:f>IF(('前提と出典'!$C$36+'前提と出典'!$C$38)=0,0,IF(B155&lt;=10,'前提と出典'!B73+'前提と出典'!C73,IF(B155&lt;=100,'前提と出典'!B74+'前提と出典'!C74,IF(B155&lt;=500,'前提と出典'!B75+'前提と出典'!C75,'前提と出典'!B76+'前提と出典'!C76))))</ns0:f>
        <ns0:v>40000</ns0:v>
      </ns0:c>
      <ns0:c r="N155" s="16">
        <ns0:f>IF(('前提と出典'!$C$37+'前提と出典'!$C$38)=0,0,IF(C155&lt;=10,'前提と出典'!D73+'前提と出典'!E73,IF(C155&lt;=100,'前提と出典'!D74+'前提と出典'!E74,IF(C155&lt;=500,'前提と出典'!D75+'前提と出典'!E75,'前提と出典'!D76+'前提と出典'!E76))))</ns0:f>
        <ns0:v>34510.9346263078</ns0:v>
      </ns0:c>
      <ns0:c r="O155" s="16">
        <ns0:f>IF('前提と出典'!$C$36+'前提と出典'!$C$38=0,0,'前提と出典'!$B$4*IF('前提と出典'!$B$20=0,MAX('前提と出典'!$B$6,D155*'前提と出典'!$B$5),'前提と出典'!$B$6+D155*'前提と出典'!$B$5))</ns0:f>
        <ns0:v>149940.46927374305</ns0:v>
      </ns0:c>
      <ns0:c r="P155" s="16">
        <ns0:f>(E155+G155)*(1-'前提と出典'!$B$7)-I155-K155-M155-O155</ns0:f>
        <ns0:v>395746.1181241523</ns0:v>
      </ns0:c>
      <ns0:c r="Q155" s="16">
        <ns0:f>(F155+H155)*(1-'前提と出典'!$B$7)-J155-L155-N155</ns0:f>
        <ns0:v>105736.26262739155</ns0:v>
      </ns0:c>
      <ns0:c r="R155" s="16">
        <ns0:f>P155-E155*'前提と出典'!$E$4</ns0:f>
        <ns0:v>281867.6747013391</ns0:v>
      </ns0:c>
      <ns0:c r="S155" s="16">
        <ns0:f>Q155-F155*'前提と出典'!$E$4</ns0:f>
        <ns0:v>72646.09786963728</ns0:v>
      </ns0:c>
      <ns0:c r="T155" s="7">
        <ns0:f>R155+S155</ns0:f>
        <ns0:v>354513.7725709764</ns0:v>
      </ns0:c>
      <ns0:c r="U155" s="16">
        <ns0:f>P155-E155*'前提と出典'!$E$5</ns0:f>
        <ns0:v>243908.19356040115</ns0:v>
      </ns0:c>
      <ns0:c r="V155" s="16">
        <ns0:f>Q155-F155*'前提と出典'!$E$5</ns0:f>
        <ns0:v>61616.04295038587</ns0:v>
      </ns0:c>
      <ns0:c r="W155" s="7">
        <ns0:f>U155+V155</ns0:f>
        <ns0:v>305524.23651078704</ns0:v>
      </ns0:c>
      <ns0:c r="X155" s="16">
        <ns0:f>P155-E155*'前提と出典'!$E$6</ns0:f>
        <ns0:v>205948.71241946338</ns0:v>
      </ns0:c>
      <ns0:c r="Y155" s="16">
        <ns0:f>Q155-F155*'前提と出典'!$E$6</ns0:f>
        <ns0:v>50585.98803113445</ns0:v>
      </ns0:c>
      <ns0:c r="Z155" s="7">
        <ns0:f>X155+Y155</ns0:f>
        <ns0:v>256534.70045059783</ns0:v>
      </ns0:c>
      <ns0:c r="AA155" s="7">
        <ns0:f>IF(T155&gt;=0,A155,1001)</ns0:f>
        <ns0:v>151</ns0:v>
      </ns0:c>
      <ns0:c r="AB155" s="7">
        <ns0:f>IF(T155&lt;0,A155,0)</ns0:f>
        <ns0:v>0</ns0:v>
      </ns0:c>
      <ns0:c r="AC155" s="16">
        <ns0:f>IF(AND(OR('前提と出典'!$C$36+'前提と出典'!$C$38=0,R155&gt;=0),OR('前提と出典'!$C$37+'前提と出典'!$C$38=0,S155&gt;=0)),0,A155)</ns0:f>
        <ns0:v>0</ns0:v>
      </ns0:c>
      <ns0:c r="AD155" s="7">
        <ns0:f>IF(W155&gt;=0,A155,1001)</ns0:f>
        <ns0:v>151</ns0:v>
      </ns0:c>
      <ns0:c r="AE155" s="7">
        <ns0:f>IF(W155&lt;0,A155,0)</ns0:f>
        <ns0:v>0</ns0:v>
      </ns0:c>
      <ns0:c r="AF155" s="16">
        <ns0:f>IF(AND(OR('前提と出典'!$C$36+'前提と出典'!$C$38=0,U155&gt;=0),OR('前提と出典'!$C$37+'前提と出典'!$C$38=0,V155&gt;=0)),0,A155)</ns0:f>
        <ns0:v>0</ns0:v>
      </ns0:c>
      <ns0:c r="AG155" s="7">
        <ns0:f>IF(Z155&gt;=0,A155,1001)</ns0:f>
        <ns0:v>151</ns0:v>
      </ns0:c>
      <ns0:c r="AH155" s="4">
        <ns0:f>IF(Z155&lt;0,A155,0)</ns0:f>
        <ns0:v>0</ns0:v>
      </ns0:c>
      <ns0:c r="AI155" s="12">
        <ns0:f>IF(AND(OR('前提と出典'!$C$36+'前提と出典'!$C$38=0,X155&gt;=0),OR('前提と出典'!$C$37+'前提と出典'!$C$38=0,Y155&gt;=0)),0,A155)</ns0:f>
        <ns0:v>0</ns0:v>
      </ns0:c>
    </ns0:row>
    <ns0:row r="156" ht="24" customHeight="1">
      <ns0:c r="A156" s="4" t="n">
        <ns0:v>152</ns0:v>
      </ns0:c>
      <ns0:c r="B156" s="12">
        <ns0:f>A156*('前提と出典'!$C$36+'前提と出典'!$C$38)</ns0:f>
        <ns0:v>106.39999999999999</ns0:v>
      </ns0:c>
      <ns0:c r="C156" s="12">
        <ns0:f>A156*('前提と出典'!$C$37+'前提と出典'!$C$38)</ns0:f>
        <ns0:v>91.2</ns0:v>
      </ns0:c>
      <ns0:c r="D156" s="16">
        <ns0:f>A156*('前提と出典'!$C$36*'契約別単価'!C5+'前提と出典'!$C$37*'契約別単価'!C6+'前提と出典'!$C$38*'契約別単価'!C7)</ns0:f>
        <ns0:v>1093.7206703910615</ns0:v>
      </ns0:c>
      <ns0:c r="E156" s="16">
        <ns0:f>A156*('前提と出典'!$C$36*'契約別単価'!E5+'前提と出典'!$C$37*'契約別単価'!E6+'前提と出典'!$C$38*'契約別単価'!E7)</ns0:f>
        <ns0:v>382108.68433261884</ns0:v>
      </ns0:c>
      <ns0:c r="F156" s="16">
        <ns0:f>A156*('前提と出典'!$C$36*'契約別単価'!F5+'前提と出典'!$C$37*'契約別単価'!F6+'前提と出典'!$C$38*'契約別単価'!F7)</ns0:f>
        <ns0:v>111031.01640570964</ns0:v>
      </ns0:c>
      <ns0:c r="G156" s="16">
        <ns0:f>A156*('前提と出典'!$C$36*'契約別単価'!G5+'前提と出典'!$C$37*'契約別単価'!G6+'前提と出典'!$C$38*'契約別単価'!G7)</ns0:f>
        <ns0:v>302556.4245810056</ns0:v>
      </ns0:c>
      <ns0:c r="H156" s="16">
        <ns0:f>A156*('前提と出典'!$C$36*'契約別単価'!H5+'前提と出典'!$C$37*'契約別単価'!H6+'前提と出典'!$C$38*'契約別単価'!H7)</ns0:f>
        <ns0:v>105002.25372673421</ns0:v>
      </ns0:c>
      <ns0:c r="I156" s="16">
        <ns0:f>A156*('前提と出典'!$C$36*'契約別単価'!I5+'前提と出典'!$C$37*'契約別単価'!I6+'前提と出典'!$C$38*'契約別単価'!I7)</ns0:f>
        <ns0:v>6413.720670391061</ns0:v>
      </ns0:c>
      <ns0:c r="J156" s="16">
        <ns0:f>A156*('前提と出典'!$C$36*'契約別単価'!J5+'前提と出典'!$C$37*'契約別単価'!J6+'前提と出典'!$C$38*'契約別単価'!J7)</ns0:f>
        <ns0:v>14940.01064396599</ns0:v>
      </ns0:c>
      <ns0:c r="K156" s="16">
        <ns0:f>A156*('前提と出典'!$C$36*'契約別単価'!K5+'前提と出典'!$C$37*'契約別単価'!K6+'前提と出典'!$C$38*'契約別単価'!K7)</ns0:f>
        <ns0:v>64038.137802607074</ns0:v>
      </ns0:c>
      <ns0:c r="L156" s="16">
        <ns0:f>A156*('前提と出典'!$C$36*'契約別単価'!L5+'前提と出典'!$C$37*'契約別単価'!L6+'前提と出典'!$C$38*'契約別単価'!L7)</ns0:f>
        <ns0:v>52140.07512422447</ns0:v>
      </ns0:c>
      <ns0:c r="M156" s="16">
        <ns0:f>IF(('前提と出典'!$C$36+'前提と出典'!$C$38)=0,0,IF(B156&lt;=10,'前提と出典'!B73+'前提と出典'!C73,IF(B156&lt;=100,'前提と出典'!B74+'前提と出典'!C74,IF(B156&lt;=500,'前提と出典'!B75+'前提と出典'!C75,'前提と出典'!B76+'前提と出典'!C76))))</ns0:f>
        <ns0:v>40000</ns0:v>
      </ns0:c>
      <ns0:c r="N156" s="16">
        <ns0:f>IF(('前提と出典'!$C$37+'前提と出典'!$C$38)=0,0,IF(C156&lt;=10,'前提と出典'!D73+'前提と出典'!E73,IF(C156&lt;=100,'前提と出典'!D74+'前提と出典'!E74,IF(C156&lt;=500,'前提と出典'!D75+'前提と出典'!E75,'前提と出典'!D76+'前提と出典'!E76))))</ns0:f>
        <ns0:v>34510.9346263078</ns0:v>
      </ns0:c>
      <ns0:c r="O156" s="16">
        <ns0:f>IF('前提と出典'!$C$36+'前提と出典'!$C$38=0,0,'前提と出典'!$B$4*IF('前提と出典'!$B$20=0,MAX('前提と出典'!$B$6,D156*'前提と出典'!$B$5),'前提と出典'!$B$6+D156*'前提と出典'!$B$5))</ns0:f>
        <ns0:v>150933.4525139665</ns0:v>
      </ns0:c>
      <ns0:c r="P156" s="16">
        <ns0:f>(E156+G156)*(1-'前提と出典'!$B$7)-I156-K156-M156-O156</ns0:f>
        <ns0:v>398631.85400576936</ns0:v>
      </ns0:c>
      <ns0:c r="Q156" s="16">
        <ns0:f>(F156+H156)*(1-'前提と出典'!$B$7)-J156-L156-N156</ns0:f>
        <ns0:v>106665.0520131776</ns0:v>
      </ns0:c>
      <ns0:c r="R156" s="16">
        <ns0:f>P156-E156*'前提と出典'!$E$4</ns0:f>
        <ns0:v>283999.2487059836</ns0:v>
      </ns0:c>
      <ns0:c r="S156" s="16">
        <ns0:f>Q156-F156*'前提と出典'!$E$4</ns0:f>
        <ns0:v>73355.7470914647</ns0:v>
      </ns0:c>
      <ns0:c r="T156" s="7">
        <ns0:f>R156+S156</ns0:f>
        <ns0:v>357354.9957974483</ns0:v>
      </ns0:c>
      <ns0:c r="U156" s="16">
        <ns0:f>P156-E156*'前提と出典'!$E$5</ns0:f>
        <ns0:v>245788.38027272184</ns0:v>
      </ns0:c>
      <ns0:c r="V156" s="16">
        <ns0:f>Q156-F156*'前提と出典'!$E$5</ns0:f>
        <ns0:v>62252.64545089374</ns0:v>
      </ns0:c>
      <ns0:c r="W156" s="7">
        <ns0:f>U156+V156</ns0:f>
        <ns0:v>308041.0257236156</ns0:v>
      </ns0:c>
      <ns0:c r="X156" s="16">
        <ns0:f>P156-E156*'前提と出典'!$E$6</ns0:f>
        <ns0:v>207577.5118394599</ns0:v>
      </ns0:c>
      <ns0:c r="Y156" s="16">
        <ns0:f>Q156-F156*'前提と出典'!$E$6</ns0:f>
        <ns0:v>51149.54381032277</ns0:v>
      </ns0:c>
      <ns0:c r="Z156" s="7">
        <ns0:f>X156+Y156</ns0:f>
        <ns0:v>258727.05564978268</ns0:v>
      </ns0:c>
      <ns0:c r="AA156" s="7">
        <ns0:f>IF(T156&gt;=0,A156,1001)</ns0:f>
        <ns0:v>152</ns0:v>
      </ns0:c>
      <ns0:c r="AB156" s="7">
        <ns0:f>IF(T156&lt;0,A156,0)</ns0:f>
        <ns0:v>0</ns0:v>
      </ns0:c>
      <ns0:c r="AC156" s="16">
        <ns0:f>IF(AND(OR('前提と出典'!$C$36+'前提と出典'!$C$38=0,R156&gt;=0),OR('前提と出典'!$C$37+'前提と出典'!$C$38=0,S156&gt;=0)),0,A156)</ns0:f>
        <ns0:v>0</ns0:v>
      </ns0:c>
      <ns0:c r="AD156" s="7">
        <ns0:f>IF(W156&gt;=0,A156,1001)</ns0:f>
        <ns0:v>152</ns0:v>
      </ns0:c>
      <ns0:c r="AE156" s="7">
        <ns0:f>IF(W156&lt;0,A156,0)</ns0:f>
        <ns0:v>0</ns0:v>
      </ns0:c>
      <ns0:c r="AF156" s="16">
        <ns0:f>IF(AND(OR('前提と出典'!$C$36+'前提と出典'!$C$38=0,U156&gt;=0),OR('前提と出典'!$C$37+'前提と出典'!$C$38=0,V156&gt;=0)),0,A156)</ns0:f>
        <ns0:v>0</ns0:v>
      </ns0:c>
      <ns0:c r="AG156" s="7">
        <ns0:f>IF(Z156&gt;=0,A156,1001)</ns0:f>
        <ns0:v>152</ns0:v>
      </ns0:c>
      <ns0:c r="AH156" s="4">
        <ns0:f>IF(Z156&lt;0,A156,0)</ns0:f>
        <ns0:v>0</ns0:v>
      </ns0:c>
      <ns0:c r="AI156" s="12">
        <ns0:f>IF(AND(OR('前提と出典'!$C$36+'前提と出典'!$C$38=0,X156&gt;=0),OR('前提と出典'!$C$37+'前提と出典'!$C$38=0,Y156&gt;=0)),0,A156)</ns0:f>
        <ns0:v>0</ns0:v>
      </ns0:c>
    </ns0:row>
    <ns0:row r="157" ht="24" customHeight="1">
      <ns0:c r="A157" s="4" t="n">
        <ns0:v>153</ns0:v>
      </ns0:c>
      <ns0:c r="B157" s="12">
        <ns0:f>A157*('前提と出典'!$C$36+'前提と出典'!$C$38)</ns0:f>
        <ns0:v>107.1</ns0:v>
      </ns0:c>
      <ns0:c r="C157" s="12">
        <ns0:f>A157*('前提と出典'!$C$37+'前提と出典'!$C$38)</ns0:f>
        <ns0:v>91.8</ns0:v>
      </ns0:c>
      <ns0:c r="D157" s="16">
        <ns0:f>A157*('前提と出典'!$C$36*'契約別単価'!C5+'前提と出典'!$C$37*'契約別単価'!C6+'前提と出典'!$C$38*'契約別単価'!C7)</ns0:f>
        <ns0:v>1100.9162011173185</ns0:v>
      </ns0:c>
      <ns0:c r="E157" s="16">
        <ns0:f>A157*('前提と出典'!$C$36*'契約別単価'!E5+'前提と出典'!$C$37*'契約別単価'!E6+'前提と出典'!$C$38*'契約別単価'!E7)</ns0:f>
        <ns0:v>384622.5572558597</ns0:v>
      </ns0:c>
      <ns0:c r="F157" s="16">
        <ns0:f>A157*('前提と出典'!$C$36*'契約別単価'!F5+'前提と出典'!$C$37*'契約別単価'!F6+'前提と出典'!$C$38*'契約別単価'!F7)</ns0:f>
        <ns0:v>111761.4836189051</ns0:v>
      </ns0:c>
      <ns0:c r="G157" s="16">
        <ns0:f>A157*('前提と出典'!$C$36*'契約別単価'!G5+'前提と出典'!$C$37*'契約別単価'!G6+'前提と出典'!$C$38*'契約別単価'!G7)</ns0:f>
        <ns0:v>304546.92737430165</ns0:v>
      </ns0:c>
      <ns0:c r="H157" s="16">
        <ns0:f>A157*('前提と出典'!$C$36*'契約別単価'!H5+'前提と出典'!$C$37*'契約別単価'!H6+'前提と出典'!$C$38*'契約別単価'!H7)</ns0:f>
        <ns0:v>105693.05802756798</ns0:v>
      </ns0:c>
      <ns0:c r="I157" s="16">
        <ns0:f>A157*('前提と出典'!$C$36*'契約別単価'!I5+'前提と出典'!$C$37*'契約別単価'!I6+'前提と出典'!$C$38*'契約別単価'!I7)</ns0:f>
        <ns0:v>6455.9162011173175</ns0:v>
      </ns0:c>
      <ns0:c r="J157" s="16">
        <ns0:f>A157*('前提と出典'!$C$36*'契約別単価'!J5+'前提と出典'!$C$37*'契約別単価'!J6+'前提と出典'!$C$38*'契約別単価'!J7)</ns0:f>
        <ns0:v>15038.300187676292</ns0:v>
      </ns0:c>
      <ns0:c r="K157" s="16">
        <ns0:f>A157*('前提と出典'!$C$36*'契約別単価'!K5+'前提と出典'!$C$37*'契約別単価'!K6+'前提と出典'!$C$38*'契約別単価'!K7)</ns0:f>
        <ns0:v>64459.44134078212</ns0:v>
      </ns0:c>
      <ns0:c r="L157" s="16">
        <ns0:f>A157*('前提と出典'!$C$36*'契約別単価'!L5+'前提と出典'!$C$37*'契約別単価'!L6+'前提と出典'!$C$38*'契約別単価'!L7)</ns0:f>
        <ns0:v>52483.10193425226</ns0:v>
      </ns0:c>
      <ns0:c r="M157" s="16">
        <ns0:f>IF(('前提と出典'!$C$36+'前提と出典'!$C$38)=0,0,IF(B157&lt;=10,'前提と出典'!B73+'前提と出典'!C73,IF(B157&lt;=100,'前提と出典'!B74+'前提と出典'!C74,IF(B157&lt;=500,'前提と出典'!B75+'前提と出典'!C75,'前提と出典'!B76+'前提と出典'!C76))))</ns0:f>
        <ns0:v>40000</ns0:v>
      </ns0:c>
      <ns0:c r="N157" s="16">
        <ns0:f>IF(('前提と出典'!$C$37+'前提と出典'!$C$38)=0,0,IF(C157&lt;=10,'前提と出典'!D73+'前提と出典'!E73,IF(C157&lt;=100,'前提と出典'!D74+'前提と出典'!E74,IF(C157&lt;=500,'前提と出典'!D75+'前提と出典'!E75,'前提と出典'!D76+'前提と出典'!E76))))</ns0:f>
        <ns0:v>34510.9346263078</ns0:v>
      </ns0:c>
      <ns0:c r="O157" s="16">
        <ns0:f>IF('前提と出典'!$C$36+'前提と出典'!$C$38=0,0,'前提と出典'!$B$4*IF('前提と出典'!$B$20=0,MAX('前提と出典'!$B$6,D157*'前提と出典'!$B$5),'前提と出典'!$B$6+D157*'前提と出典'!$B$5))</ns0:f>
        <ns0:v>151926.43575418997</ns0:v>
      </ns0:c>
      <ns0:c r="P157" s="16">
        <ns0:f>(E157+G157)*(1-'前提と出典'!$B$7)-I157-K157-M157-O157</ns0:f>
        <ns0:v>401517.58988738625</ns0:v>
      </ns0:c>
      <ns0:c r="Q157" s="16">
        <ns0:f>(F157+H157)*(1-'前提と出典'!$B$7)-J157-L157-N157</ns0:f>
        <ns0:v>107593.8413989637</ns0:v>
      </ns0:c>
      <ns0:c r="R157" s="16">
        <ns0:f>P157-E157*'前提と出典'!$E$4</ns0:f>
        <ns0:v>286130.8227106283</ns0:v>
      </ns0:c>
      <ns0:c r="S157" s="16">
        <ns0:f>Q157-F157*'前提と出典'!$E$4</ns0:f>
        <ns0:v>74065.39631329218</ns0:v>
      </ns0:c>
      <ns0:c r="T157" s="7">
        <ns0:f>R157+S157</ns0:f>
        <ns0:v>360196.2190239205</ns0:v>
      </ns0:c>
      <ns0:c r="U157" s="16">
        <ns0:f>P157-E157*'前提と出典'!$E$5</ns0:f>
        <ns0:v>247668.56698504236</ns0:v>
      </ns0:c>
      <ns0:c r="V157" s="16">
        <ns0:f>Q157-F157*'前提と出典'!$E$5</ns0:f>
        <ns0:v>62889.24795140165</ns0:v>
      </ns0:c>
      <ns0:c r="W157" s="7">
        <ns0:f>U157+V157</ns0:f>
        <ns0:v>310557.814936444</ns0:v>
      </ns0:c>
      <ns0:c r="X157" s="16">
        <ns0:f>P157-E157*'前提と出典'!$E$6</ns0:f>
        <ns0:v>209206.3112594564</ns0:v>
      </ns0:c>
      <ns0:c r="Y157" s="16">
        <ns0:f>Q157-F157*'前提と出典'!$E$6</ns0:f>
        <ns0:v>51713.099589511134</ns0:v>
      </ns0:c>
      <ns0:c r="Z157" s="7">
        <ns0:f>X157+Y157</ns0:f>
        <ns0:v>260919.41084896753</ns0:v>
      </ns0:c>
      <ns0:c r="AA157" s="7">
        <ns0:f>IF(T157&gt;=0,A157,1001)</ns0:f>
        <ns0:v>153</ns0:v>
      </ns0:c>
      <ns0:c r="AB157" s="7">
        <ns0:f>IF(T157&lt;0,A157,0)</ns0:f>
        <ns0:v>0</ns0:v>
      </ns0:c>
      <ns0:c r="AC157" s="16">
        <ns0:f>IF(AND(OR('前提と出典'!$C$36+'前提と出典'!$C$38=0,R157&gt;=0),OR('前提と出典'!$C$37+'前提と出典'!$C$38=0,S157&gt;=0)),0,A157)</ns0:f>
        <ns0:v>0</ns0:v>
      </ns0:c>
      <ns0:c r="AD157" s="7">
        <ns0:f>IF(W157&gt;=0,A157,1001)</ns0:f>
        <ns0:v>153</ns0:v>
      </ns0:c>
      <ns0:c r="AE157" s="7">
        <ns0:f>IF(W157&lt;0,A157,0)</ns0:f>
        <ns0:v>0</ns0:v>
      </ns0:c>
      <ns0:c r="AF157" s="16">
        <ns0:f>IF(AND(OR('前提と出典'!$C$36+'前提と出典'!$C$38=0,U157&gt;=0),OR('前提と出典'!$C$37+'前提と出典'!$C$38=0,V157&gt;=0)),0,A157)</ns0:f>
        <ns0:v>0</ns0:v>
      </ns0:c>
      <ns0:c r="AG157" s="7">
        <ns0:f>IF(Z157&gt;=0,A157,1001)</ns0:f>
        <ns0:v>153</ns0:v>
      </ns0:c>
      <ns0:c r="AH157" s="4">
        <ns0:f>IF(Z157&lt;0,A157,0)</ns0:f>
        <ns0:v>0</ns0:v>
      </ns0:c>
      <ns0:c r="AI157" s="12">
        <ns0:f>IF(AND(OR('前提と出典'!$C$36+'前提と出典'!$C$38=0,X157&gt;=0),OR('前提と出典'!$C$37+'前提と出典'!$C$38=0,Y157&gt;=0)),0,A157)</ns0:f>
        <ns0:v>0</ns0:v>
      </ns0:c>
    </ns0:row>
    <ns0:row r="158" ht="24" customHeight="1">
      <ns0:c r="A158" s="4" t="n">
        <ns0:v>154</ns0:v>
      </ns0:c>
      <ns0:c r="B158" s="12">
        <ns0:f>A158*('前提と出典'!$C$36+'前提と出典'!$C$38)</ns0:f>
        <ns0:v>107.8</ns0:v>
      </ns0:c>
      <ns0:c r="C158" s="12">
        <ns0:f>A158*('前提と出典'!$C$37+'前提と出典'!$C$38)</ns0:f>
        <ns0:v>92.39999999999999</ns0:v>
      </ns0:c>
      <ns0:c r="D158" s="16">
        <ns0:f>A158*('前提と出典'!$C$36*'契約別単価'!C5+'前提と出典'!$C$37*'契約別単価'!C6+'前提と出典'!$C$38*'契約別単価'!C7)</ns0:f>
        <ns0:v>1108.1117318435754</ns0:v>
      </ns0:c>
      <ns0:c r="E158" s="16">
        <ns0:f>A158*('前提と出典'!$C$36*'契約別単価'!E5+'前提と出典'!$C$37*'契約別単価'!E6+'前提と出典'!$C$38*'契約別単価'!E7)</ns0:f>
        <ns0:v>387136.43017910066</ns0:v>
      </ns0:c>
      <ns0:c r="F158" s="16">
        <ns0:f>A158*('前提と出典'!$C$36*'契約別単価'!F5+'前提と出典'!$C$37*'契約別単価'!F6+'前提と出典'!$C$38*'契約別単価'!F7)</ns0:f>
        <ns0:v>112491.95083210056</ns0:v>
      </ns0:c>
      <ns0:c r="G158" s="16">
        <ns0:f>A158*('前提と出典'!$C$36*'契約別単価'!G5+'前提と出典'!$C$37*'契約別単価'!G6+'前提と出典'!$C$38*'契約別単価'!G7)</ns0:f>
        <ns0:v>306537.4301675978</ns0:v>
      </ns0:c>
      <ns0:c r="H158" s="16">
        <ns0:f>A158*('前提と出典'!$C$36*'契約別単価'!H5+'前提と出典'!$C$37*'契約別単価'!H6+'前提と出典'!$C$38*'契約別単価'!H7)</ns0:f>
        <ns0:v>106383.86232840177</ns0:v>
      </ns0:c>
      <ns0:c r="I158" s="16">
        <ns0:f>A158*('前提と出典'!$C$36*'契約別単価'!I5+'前提と出典'!$C$37*'契約別単価'!I6+'前提と出典'!$C$38*'契約別単価'!I7)</ns0:f>
        <ns0:v>6498.1117318435745</ns0:v>
      </ns0:c>
      <ns0:c r="J158" s="16">
        <ns0:f>A158*('前提と出典'!$C$36*'契約別単価'!J5+'前提と出典'!$C$37*'契約別単価'!J6+'前提と出典'!$C$38*'契約別単価'!J7)</ns0:f>
        <ns0:v>15136.589731386595</ns0:v>
      </ns0:c>
      <ns0:c r="K158" s="16">
        <ns0:f>A158*('前提と出典'!$C$36*'契約別単価'!K5+'前提と出典'!$C$37*'契約別単価'!K6+'前提と出典'!$C$38*'契約別単価'!K7)</ns0:f>
        <ns0:v>64880.744878957164</ns0:v>
      </ns0:c>
      <ns0:c r="L158" s="16">
        <ns0:f>A158*('前提と出典'!$C$36*'契約別単価'!L5+'前提と出典'!$C$37*'契約別単価'!L6+'前提と出典'!$C$38*'契約別単価'!L7)</ns0:f>
        <ns0:v>52826.12874428006</ns0:v>
      </ns0:c>
      <ns0:c r="M158" s="16">
        <ns0:f>IF(('前提と出典'!$C$36+'前提と出典'!$C$38)=0,0,IF(B158&lt;=10,'前提と出典'!B73+'前提と出典'!C73,IF(B158&lt;=100,'前提と出典'!B74+'前提と出典'!C74,IF(B158&lt;=500,'前提と出典'!B75+'前提と出典'!C75,'前提と出典'!B76+'前提と出典'!C76))))</ns0:f>
        <ns0:v>40000</ns0:v>
      </ns0:c>
      <ns0:c r="N158" s="16">
        <ns0:f>IF(('前提と出典'!$C$37+'前提と出典'!$C$38)=0,0,IF(C158&lt;=10,'前提と出典'!D73+'前提と出典'!E73,IF(C158&lt;=100,'前提と出典'!D74+'前提と出典'!E74,IF(C158&lt;=500,'前提と出典'!D75+'前提と出典'!E75,'前提と出典'!D76+'前提と出典'!E76))))</ns0:f>
        <ns0:v>34510.9346263078</ns0:v>
      </ns0:c>
      <ns0:c r="O158" s="16">
        <ns0:f>IF('前提と出典'!$C$36+'前提と出典'!$C$38=0,0,'前提と出典'!$B$4*IF('前提と出典'!$B$20=0,MAX('前提と出典'!$B$6,D158*'前提と出典'!$B$5),'前提と出典'!$B$6+D158*'前提と出典'!$B$5))</ns0:f>
        <ns0:v>152919.41899441343</ns0:v>
      </ns0:c>
      <ns0:c r="P158" s="16">
        <ns0:f>(E158+G158)*(1-'前提と出典'!$B$7)-I158-K158-M158-O158</ns0:f>
        <ns0:v>404403.32576900313</ns0:v>
      </ns0:c>
      <ns0:c r="Q158" s="16">
        <ns0:f>(F158+H158)*(1-'前提と出典'!$B$7)-J158-L158-N158</ns0:f>
        <ns0:v>108522.63078474978</ns0:v>
      </ns0:c>
      <ns0:c r="R158" s="16">
        <ns0:f>P158-E158*'前提と出典'!$E$4</ns0:f>
        <ns0:v>288262.3967152729</ns0:v>
      </ns0:c>
      <ns0:c r="S158" s="16">
        <ns0:f>Q158-F158*'前提と出典'!$E$4</ns0:f>
        <ns0:v>74775.0455351196</ns0:v>
      </ns0:c>
      <ns0:c r="T158" s="7">
        <ns0:f>R158+S158</ns0:f>
        <ns0:v>363037.4422503925</ns0:v>
      </ns0:c>
      <ns0:c r="U158" s="16">
        <ns0:f>P158-E158*'前提と出典'!$E$5</ns0:f>
        <ns0:v>249548.75369736287</ns0:v>
      </ns0:c>
      <ns0:c r="V158" s="16">
        <ns0:f>Q158-F158*'前提と出典'!$E$5</ns0:f>
        <ns0:v>63525.850451909566</ns0:v>
      </ns0:c>
      <ns0:c r="W158" s="7">
        <ns0:f>U158+V158</ns0:f>
        <ns0:v>313074.60414927243</ns0:v>
      </ns0:c>
      <ns0:c r="X158" s="16">
        <ns0:f>P158-E158*'前提と出典'!$E$6</ns0:f>
        <ns0:v>210835.1106794528</ns0:v>
      </ns0:c>
      <ns0:c r="Y158" s="16">
        <ns0:f>Q158-F158*'前提と出典'!$E$6</ns0:f>
        <ns0:v>52276.655368699525</ns0:v>
      </ns0:c>
      <ns0:c r="Z158" s="7">
        <ns0:f>X158+Y158</ns0:f>
        <ns0:v>263111.76604815235</ns0:v>
      </ns0:c>
      <ns0:c r="AA158" s="7">
        <ns0:f>IF(T158&gt;=0,A158,1001)</ns0:f>
        <ns0:v>154</ns0:v>
      </ns0:c>
      <ns0:c r="AB158" s="7">
        <ns0:f>IF(T158&lt;0,A158,0)</ns0:f>
        <ns0:v>0</ns0:v>
      </ns0:c>
      <ns0:c r="AC158" s="16">
        <ns0:f>IF(AND(OR('前提と出典'!$C$36+'前提と出典'!$C$38=0,R158&gt;=0),OR('前提と出典'!$C$37+'前提と出典'!$C$38=0,S158&gt;=0)),0,A158)</ns0:f>
        <ns0:v>0</ns0:v>
      </ns0:c>
      <ns0:c r="AD158" s="7">
        <ns0:f>IF(W158&gt;=0,A158,1001)</ns0:f>
        <ns0:v>154</ns0:v>
      </ns0:c>
      <ns0:c r="AE158" s="7">
        <ns0:f>IF(W158&lt;0,A158,0)</ns0:f>
        <ns0:v>0</ns0:v>
      </ns0:c>
      <ns0:c r="AF158" s="16">
        <ns0:f>IF(AND(OR('前提と出典'!$C$36+'前提と出典'!$C$38=0,U158&gt;=0),OR('前提と出典'!$C$37+'前提と出典'!$C$38=0,V158&gt;=0)),0,A158)</ns0:f>
        <ns0:v>0</ns0:v>
      </ns0:c>
      <ns0:c r="AG158" s="7">
        <ns0:f>IF(Z158&gt;=0,A158,1001)</ns0:f>
        <ns0:v>154</ns0:v>
      </ns0:c>
      <ns0:c r="AH158" s="4">
        <ns0:f>IF(Z158&lt;0,A158,0)</ns0:f>
        <ns0:v>0</ns0:v>
      </ns0:c>
      <ns0:c r="AI158" s="12">
        <ns0:f>IF(AND(OR('前提と出典'!$C$36+'前提と出典'!$C$38=0,X158&gt;=0),OR('前提と出典'!$C$37+'前提と出典'!$C$38=0,Y158&gt;=0)),0,A158)</ns0:f>
        <ns0:v>0</ns0:v>
      </ns0:c>
    </ns0:row>
    <ns0:row r="159" ht="24" customHeight="1">
      <ns0:c r="A159" s="4" t="n">
        <ns0:v>155</ns0:v>
      </ns0:c>
      <ns0:c r="B159" s="12">
        <ns0:f>A159*('前提と出典'!$C$36+'前提と出典'!$C$38)</ns0:f>
        <ns0:v>108.5</ns0:v>
      </ns0:c>
      <ns0:c r="C159" s="12">
        <ns0:f>A159*('前提と出典'!$C$37+'前提と出典'!$C$38)</ns0:f>
        <ns0:v>93</ns0:v>
      </ns0:c>
      <ns0:c r="D159" s="16">
        <ns0:f>A159*('前提と出典'!$C$36*'契約別単価'!C5+'前提と出典'!$C$37*'契約別単価'!C6+'前提と出典'!$C$38*'契約別単価'!C7)</ns0:f>
        <ns0:v>1115.3072625698323</ns0:v>
      </ns0:c>
      <ns0:c r="E159" s="16">
        <ns0:f>A159*('前提と出典'!$C$36*'契約別単価'!E5+'前提と出典'!$C$37*'契約別単価'!E6+'前提と出典'!$C$38*'契約別単価'!E7)</ns0:f>
        <ns0:v>389650.30310234154</ns0:v>
      </ns0:c>
      <ns0:c r="F159" s="16">
        <ns0:f>A159*('前提と出典'!$C$36*'契約別単価'!F5+'前提と出典'!$C$37*'契約別単価'!F6+'前提と出典'!$C$38*'契約別単価'!F7)</ns0:f>
        <ns0:v>113222.41804529601</ns0:v>
      </ns0:c>
      <ns0:c r="G159" s="16">
        <ns0:f>A159*('前提と出典'!$C$36*'契約別単価'!G5+'前提と出典'!$C$37*'契約別単価'!G6+'前提と出典'!$C$38*'契約別単価'!G7)</ns0:f>
        <ns0:v>308527.93296089384</ns0:v>
      </ns0:c>
      <ns0:c r="H159" s="16">
        <ns0:f>A159*('前提と出典'!$C$36*'契約別単価'!H5+'前提と出典'!$C$37*'契約別単価'!H6+'前提と出典'!$C$38*'契約別単価'!H7)</ns0:f>
        <ns0:v>107074.66662923554</ns0:v>
      </ns0:c>
      <ns0:c r="I159" s="16">
        <ns0:f>A159*('前提と出典'!$C$36*'契約別単価'!I5+'前提と出典'!$C$37*'契約別単価'!I6+'前提と出典'!$C$38*'契約別単価'!I7)</ns0:f>
        <ns0:v>6540.307262569831</ns0:v>
      </ns0:c>
      <ns0:c r="J159" s="16">
        <ns0:f>A159*('前提と出典'!$C$36*'契約別単価'!J5+'前提と出典'!$C$37*'契約別単価'!J6+'前提と出典'!$C$38*'契約別単価'!J7)</ns0:f>
        <ns0:v>15234.879275096899</ns0:v>
      </ns0:c>
      <ns0:c r="K159" s="16">
        <ns0:f>A159*('前提と出典'!$C$36*'契約別単価'!K5+'前提と出典'!$C$37*'契約別単価'!K6+'前提と出典'!$C$38*'契約別単価'!K7)</ns0:f>
        <ns0:v>65302.04841713221</ns0:v>
      </ns0:c>
      <ns0:c r="L159" s="16">
        <ns0:f>A159*('前提と出典'!$C$36*'契約別単価'!L5+'前提と出典'!$C$37*'契約別単価'!L6+'前提と出典'!$C$38*'契約別単価'!L7)</ns0:f>
        <ns0:v>53169.15555430785</ns0:v>
      </ns0:c>
      <ns0:c r="M159" s="16">
        <ns0:f>IF(('前提と出典'!$C$36+'前提と出典'!$C$38)=0,0,IF(B159&lt;=10,'前提と出典'!B73+'前提と出典'!C73,IF(B159&lt;=100,'前提と出典'!B74+'前提と出典'!C74,IF(B159&lt;=500,'前提と出典'!B75+'前提と出典'!C75,'前提と出典'!B76+'前提と出典'!C76))))</ns0:f>
        <ns0:v>40000</ns0:v>
      </ns0:c>
      <ns0:c r="N159" s="16">
        <ns0:f>IF(('前提と出典'!$C$37+'前提と出典'!$C$38)=0,0,IF(C159&lt;=10,'前提と出典'!D73+'前提と出典'!E73,IF(C159&lt;=100,'前提と出典'!D74+'前提と出典'!E74,IF(C159&lt;=500,'前提と出典'!D75+'前提と出典'!E75,'前提と出典'!D76+'前提と出典'!E76))))</ns0:f>
        <ns0:v>34510.9346263078</ns0:v>
      </ns0:c>
      <ns0:c r="O159" s="16">
        <ns0:f>IF('前提と出典'!$C$36+'前提と出典'!$C$38=0,0,'前提と出典'!$B$4*IF('前提と出典'!$B$20=0,MAX('前提と出典'!$B$6,D159*'前提と出典'!$B$5),'前提と出典'!$B$6+D159*'前提と出典'!$B$5))</ns0:f>
        <ns0:v>153912.4022346369</ns0:v>
      </ns0:c>
      <ns0:c r="P159" s="16">
        <ns0:f>(E159+G159)*(1-'前提と出典'!$B$7)-I159-K159-M159-O159</ns0:f>
        <ns0:v>407289.06165061996</ns0:v>
      </ns0:c>
      <ns0:c r="Q159" s="16">
        <ns0:f>(F159+H159)*(1-'前提と出典'!$B$7)-J159-L159-N159</ns0:f>
        <ns0:v>109451.42017053584</ns0:v>
      </ns0:c>
      <ns0:c r="R159" s="16">
        <ns0:f>P159-E159*'前提と出典'!$E$4</ns0:f>
        <ns0:v>290393.9707199176</ns0:v>
      </ns0:c>
      <ns0:c r="S159" s="16">
        <ns0:f>Q159-F159*'前提と出典'!$E$4</ns0:f>
        <ns0:v>75484.69475694702</ns0:v>
      </ns0:c>
      <ns0:c r="T159" s="7">
        <ns0:f>R159+S159</ns0:f>
        <ns0:v>365878.66547686467</ns0:v>
      </ns0:c>
      <ns0:c r="U159" s="16">
        <ns0:f>P159-E159*'前提と出典'!$E$5</ns0:f>
        <ns0:v>251428.94040968333</ns0:v>
      </ns0:c>
      <ns0:c r="V159" s="16">
        <ns0:f>Q159-F159*'前提と出典'!$E$5</ns0:f>
        <ns0:v>64162.452952417436</ns0:v>
      </ns0:c>
      <ns0:c r="W159" s="7">
        <ns0:f>U159+V159</ns0:f>
        <ns0:v>315591.39336210076</ns0:v>
      </ns0:c>
      <ns0:c r="X159" s="16">
        <ns0:f>P159-E159*'前提と出典'!$E$6</ns0:f>
        <ns0:v>212463.91009944928</ns0:v>
      </ns0:c>
      <ns0:c r="Y159" s="16">
        <ns0:f>Q159-F159*'前提と出典'!$E$6</ns0:f>
        <ns0:v>52840.21114788784</ns0:v>
      </ns0:c>
      <ns0:c r="Z159" s="7">
        <ns0:f>X159+Y159</ns0:f>
        <ns0:v>265304.12124733714</ns0:v>
      </ns0:c>
      <ns0:c r="AA159" s="7">
        <ns0:f>IF(T159&gt;=0,A159,1001)</ns0:f>
        <ns0:v>155</ns0:v>
      </ns0:c>
      <ns0:c r="AB159" s="7">
        <ns0:f>IF(T159&lt;0,A159,0)</ns0:f>
        <ns0:v>0</ns0:v>
      </ns0:c>
      <ns0:c r="AC159" s="16">
        <ns0:f>IF(AND(OR('前提と出典'!$C$36+'前提と出典'!$C$38=0,R159&gt;=0),OR('前提と出典'!$C$37+'前提と出典'!$C$38=0,S159&gt;=0)),0,A159)</ns0:f>
        <ns0:v>0</ns0:v>
      </ns0:c>
      <ns0:c r="AD159" s="7">
        <ns0:f>IF(W159&gt;=0,A159,1001)</ns0:f>
        <ns0:v>155</ns0:v>
      </ns0:c>
      <ns0:c r="AE159" s="7">
        <ns0:f>IF(W159&lt;0,A159,0)</ns0:f>
        <ns0:v>0</ns0:v>
      </ns0:c>
      <ns0:c r="AF159" s="16">
        <ns0:f>IF(AND(OR('前提と出典'!$C$36+'前提と出典'!$C$38=0,U159&gt;=0),OR('前提と出典'!$C$37+'前提と出典'!$C$38=0,V159&gt;=0)),0,A159)</ns0:f>
        <ns0:v>0</ns0:v>
      </ns0:c>
      <ns0:c r="AG159" s="7">
        <ns0:f>IF(Z159&gt;=0,A159,1001)</ns0:f>
        <ns0:v>155</ns0:v>
      </ns0:c>
      <ns0:c r="AH159" s="4">
        <ns0:f>IF(Z159&lt;0,A159,0)</ns0:f>
        <ns0:v>0</ns0:v>
      </ns0:c>
      <ns0:c r="AI159" s="12">
        <ns0:f>IF(AND(OR('前提と出典'!$C$36+'前提と出典'!$C$38=0,X159&gt;=0),OR('前提と出典'!$C$37+'前提と出典'!$C$38=0,Y159&gt;=0)),0,A159)</ns0:f>
        <ns0:v>0</ns0:v>
      </ns0:c>
    </ns0:row>
    <ns0:row r="160" ht="24" customHeight="1">
      <ns0:c r="A160" s="4" t="n">
        <ns0:v>156</ns0:v>
      </ns0:c>
      <ns0:c r="B160" s="12">
        <ns0:f>A160*('前提と出典'!$C$36+'前提と出典'!$C$38)</ns0:f>
        <ns0:v>109.19999999999999</ns0:v>
      </ns0:c>
      <ns0:c r="C160" s="12">
        <ns0:f>A160*('前提と出典'!$C$37+'前提と出典'!$C$38)</ns0:f>
        <ns0:v>93.6</ns0:v>
      </ns0:c>
      <ns0:c r="D160" s="16">
        <ns0:f>A160*('前提と出典'!$C$36*'契約別単価'!C5+'前提と出典'!$C$37*'契約別単価'!C6+'前提と出典'!$C$38*'契約別単価'!C7)</ns0:f>
        <ns0:v>1122.5027932960893</ns0:v>
      </ns0:c>
      <ns0:c r="E160" s="16">
        <ns0:f>A160*('前提と出典'!$C$36*'契約別単価'!E5+'前提と出典'!$C$37*'契約別単価'!E6+'前提と出典'!$C$38*'契約別単価'!E7)</ns0:f>
        <ns0:v>392164.1760255825</ns0:v>
      </ns0:c>
      <ns0:c r="F160" s="16">
        <ns0:f>A160*('前提と出典'!$C$36*'契約別単価'!F5+'前提と出典'!$C$37*'契約別単価'!F6+'前提と出典'!$C$38*'契約別単価'!F7)</ns0:f>
        <ns0:v>113952.88525849147</ns0:v>
      </ns0:c>
      <ns0:c r="G160" s="16">
        <ns0:f>A160*('前提と出典'!$C$36*'契約別単価'!G5+'前提と出典'!$C$37*'契約別単価'!G6+'前提と出典'!$C$38*'契約別単価'!G7)</ns0:f>
        <ns0:v>310518.4357541899</ns0:v>
      </ns0:c>
      <ns0:c r="H160" s="16">
        <ns0:f>A160*('前提と出典'!$C$36*'契約別単価'!H5+'前提と出典'!$C$37*'契約別単価'!H6+'前提と出典'!$C$38*'契約別単価'!H7)</ns0:f>
        <ns0:v>107765.47093006932</ns0:v>
      </ns0:c>
      <ns0:c r="I160" s="16">
        <ns0:f>A160*('前提と出典'!$C$36*'契約別単価'!I5+'前提と出典'!$C$37*'契約別単価'!I6+'前提と出典'!$C$38*'契約別単価'!I7)</ns0:f>
        <ns0:v>6582.502793296088</ns0:v>
      </ns0:c>
      <ns0:c r="J160" s="16">
        <ns0:f>A160*('前提と出典'!$C$36*'契約別単価'!J5+'前提と出典'!$C$37*'契約別単価'!J6+'前提と出典'!$C$38*'契約別単価'!J7)</ns0:f>
        <ns0:v>15333.1688188072</ns0:v>
      </ns0:c>
      <ns0:c r="K160" s="16">
        <ns0:f>A160*('前提と出典'!$C$36*'契約別単価'!K5+'前提と出典'!$C$37*'契約別単価'!K6+'前提と出典'!$C$38*'契約別単価'!K7)</ns0:f>
        <ns0:v>65723.35195530725</ns0:v>
      </ns0:c>
      <ns0:c r="L160" s="16">
        <ns0:f>A160*('前提と出典'!$C$36*'契約別単価'!L5+'前提と出典'!$C$37*'契約別単価'!L6+'前提と出典'!$C$38*'契約別単価'!L7)</ns0:f>
        <ns0:v>53512.18236433564</ns0:v>
      </ns0:c>
      <ns0:c r="M160" s="16">
        <ns0:f>IF(('前提と出典'!$C$36+'前提と出典'!$C$38)=0,0,IF(B160&lt;=10,'前提と出典'!B73+'前提と出典'!C73,IF(B160&lt;=100,'前提と出典'!B74+'前提と出典'!C74,IF(B160&lt;=500,'前提と出典'!B75+'前提と出典'!C75,'前提と出典'!B76+'前提と出典'!C76))))</ns0:f>
        <ns0:v>40000</ns0:v>
      </ns0:c>
      <ns0:c r="N160" s="16">
        <ns0:f>IF(('前提と出典'!$C$37+'前提と出典'!$C$38)=0,0,IF(C160&lt;=10,'前提と出典'!D73+'前提と出典'!E73,IF(C160&lt;=100,'前提と出典'!D74+'前提と出典'!E74,IF(C160&lt;=500,'前提と出典'!D75+'前提と出典'!E75,'前提と出典'!D76+'前提と出典'!E76))))</ns0:f>
        <ns0:v>34510.9346263078</ns0:v>
      </ns0:c>
      <ns0:c r="O160" s="16">
        <ns0:f>IF('前提と出典'!$C$36+'前提と出典'!$C$38=0,0,'前提と出典'!$B$4*IF('前提と出典'!$B$20=0,MAX('前提と出典'!$B$6,D160*'前提と出典'!$B$5),'前提と出典'!$B$6+D160*'前提と出典'!$B$5))</ns0:f>
        <ns0:v>154905.38547486032</ns0:v>
      </ns0:c>
      <ns0:c r="P160" s="16">
        <ns0:f>(E160+G160)*(1-'前提と出典'!$B$7)-I160-K160-M160-O160</ns0:f>
        <ns0:v>410174.797532237</ns0:v>
      </ns0:c>
      <ns0:c r="Q160" s="16">
        <ns0:f>(F160+H160)*(1-'前提と出典'!$B$7)-J160-L160-N160</ns0:f>
        <ns0:v>110380.20955632199</ns0:v>
      </ns0:c>
      <ns0:c r="R160" s="16">
        <ns0:f>P160-E160*'前提と出典'!$E$4</ns0:f>
        <ns0:v>292525.54472456226</ns0:v>
      </ns0:c>
      <ns0:c r="S160" s="16">
        <ns0:f>Q160-F160*'前提と出典'!$E$4</ns0:f>
        <ns0:v>76194.34397877453</ns0:v>
      </ns0:c>
      <ns0:c r="T160" s="7">
        <ns0:f>R160+S160</ns0:f>
        <ns0:v>368719.8887033368</ns0:v>
      </ns0:c>
      <ns0:c r="U160" s="16">
        <ns0:f>P160-E160*'前提と出典'!$E$5</ns0:f>
        <ns0:v>253309.12712200405</ns0:v>
      </ns0:c>
      <ns0:c r="V160" s="16">
        <ns0:f>Q160-F160*'前提と出典'!$E$5</ns0:f>
        <ns0:v>64799.05545292539</ns0:v>
      </ns0:c>
      <ns0:c r="W160" s="7">
        <ns0:f>U160+V160</ns0:f>
        <ns0:v>318108.18257492944</ns0:v>
      </ns0:c>
      <ns0:c r="X160" s="16">
        <ns0:f>P160-E160*'前提と出典'!$E$6</ns0:f>
        <ns0:v>214092.70951944578</ns0:v>
      </ns0:c>
      <ns0:c r="Y160" s="16">
        <ns0:f>Q160-F160*'前提と出典'!$E$6</ns0:f>
        <ns0:v>53403.76692707622</ns0:v>
      </ns0:c>
      <ns0:c r="Z160" s="7">
        <ns0:f>X160+Y160</ns0:f>
        <ns0:v>267496.476446522</ns0:v>
      </ns0:c>
      <ns0:c r="AA160" s="7">
        <ns0:f>IF(T160&gt;=0,A160,1001)</ns0:f>
        <ns0:v>156</ns0:v>
      </ns0:c>
      <ns0:c r="AB160" s="7">
        <ns0:f>IF(T160&lt;0,A160,0)</ns0:f>
        <ns0:v>0</ns0:v>
      </ns0:c>
      <ns0:c r="AC160" s="16">
        <ns0:f>IF(AND(OR('前提と出典'!$C$36+'前提と出典'!$C$38=0,R160&gt;=0),OR('前提と出典'!$C$37+'前提と出典'!$C$38=0,S160&gt;=0)),0,A160)</ns0:f>
        <ns0:v>0</ns0:v>
      </ns0:c>
      <ns0:c r="AD160" s="7">
        <ns0:f>IF(W160&gt;=0,A160,1001)</ns0:f>
        <ns0:v>156</ns0:v>
      </ns0:c>
      <ns0:c r="AE160" s="7">
        <ns0:f>IF(W160&lt;0,A160,0)</ns0:f>
        <ns0:v>0</ns0:v>
      </ns0:c>
      <ns0:c r="AF160" s="16">
        <ns0:f>IF(AND(OR('前提と出典'!$C$36+'前提と出典'!$C$38=0,U160&gt;=0),OR('前提と出典'!$C$37+'前提と出典'!$C$38=0,V160&gt;=0)),0,A160)</ns0:f>
        <ns0:v>0</ns0:v>
      </ns0:c>
      <ns0:c r="AG160" s="7">
        <ns0:f>IF(Z160&gt;=0,A160,1001)</ns0:f>
        <ns0:v>156</ns0:v>
      </ns0:c>
      <ns0:c r="AH160" s="4">
        <ns0:f>IF(Z160&lt;0,A160,0)</ns0:f>
        <ns0:v>0</ns0:v>
      </ns0:c>
      <ns0:c r="AI160" s="12">
        <ns0:f>IF(AND(OR('前提と出典'!$C$36+'前提と出典'!$C$38=0,X160&gt;=0),OR('前提と出典'!$C$37+'前提と出典'!$C$38=0,Y160&gt;=0)),0,A160)</ns0:f>
        <ns0:v>0</ns0:v>
      </ns0:c>
    </ns0:row>
    <ns0:row r="161" ht="24" customHeight="1">
      <ns0:c r="A161" s="4" t="n">
        <ns0:v>157</ns0:v>
      </ns0:c>
      <ns0:c r="B161" s="12">
        <ns0:f>A161*('前提と出典'!$C$36+'前提と出典'!$C$38)</ns0:f>
        <ns0:v>109.89999999999999</ns0:v>
      </ns0:c>
      <ns0:c r="C161" s="12">
        <ns0:f>A161*('前提と出典'!$C$37+'前提と出典'!$C$38)</ns0:f>
        <ns0:v>94.2</ns0:v>
      </ns0:c>
      <ns0:c r="D161" s="16">
        <ns0:f>A161*('前提と出典'!$C$36*'契約別単価'!C5+'前提と出典'!$C$37*'契約別単価'!C6+'前提と出典'!$C$38*'契約別単価'!C7)</ns0:f>
        <ns0:v>1129.6983240223465</ns0:v>
      </ns0:c>
      <ns0:c r="E161" s="16">
        <ns0:f>A161*('前提と出典'!$C$36*'契約別単価'!E5+'前提と出典'!$C$37*'契約別単価'!E6+'前提と出典'!$C$38*'契約別単価'!E7)</ns0:f>
        <ns0:v>394678.04894882336</ns0:v>
      </ns0:c>
      <ns0:c r="F161" s="16">
        <ns0:f>A161*('前提と出典'!$C$36*'契約別単価'!F5+'前提と出典'!$C$37*'契約別単価'!F6+'前提と出典'!$C$38*'契約別単価'!F7)</ns0:f>
        <ns0:v>114683.35247168693</ns0:v>
      </ns0:c>
      <ns0:c r="G161" s="16">
        <ns0:f>A161*('前提と出典'!$C$36*'契約別単価'!G5+'前提と出典'!$C$37*'契約別単価'!G6+'前提と出典'!$C$38*'契約別単価'!G7)</ns0:f>
        <ns0:v>312508.93854748603</ns0:v>
      </ns0:c>
      <ns0:c r="H161" s="16">
        <ns0:f>A161*('前提と出典'!$C$36*'契約別単価'!H5+'前提と出典'!$C$37*'契約別単価'!H6+'前提と出典'!$C$38*'契約別単価'!H7)</ns0:f>
        <ns0:v>108456.27523090309</ns0:v>
      </ns0:c>
      <ns0:c r="I161" s="16">
        <ns0:f>A161*('前提と出典'!$C$36*'契約別単価'!I5+'前提と出典'!$C$37*'契約別単価'!I6+'前提と出典'!$C$38*'契約別単価'!I7)</ns0:f>
        <ns0:v>6624.698324022345</ns0:v>
      </ns0:c>
      <ns0:c r="J161" s="16">
        <ns0:f>A161*('前提と出典'!$C$36*'契約別単価'!J5+'前提と出典'!$C$37*'契約別単価'!J6+'前提と出典'!$C$38*'契約別単価'!J7)</ns0:f>
        <ns0:v>15431.458362517504</ns0:v>
      </ns0:c>
      <ns0:c r="K161" s="16">
        <ns0:f>A161*('前提と出典'!$C$36*'契約別単価'!K5+'前提と出典'!$C$37*'契約別単価'!K6+'前提と出典'!$C$38*'契約別単価'!K7)</ns0:f>
        <ns0:v>66144.6554934823</ns0:v>
      </ns0:c>
      <ns0:c r="L161" s="16">
        <ns0:f>A161*('前提と出典'!$C$36*'契約別単価'!L5+'前提と出典'!$C$37*'契約別単価'!L6+'前提と出典'!$C$38*'契約別単価'!L7)</ns0:f>
        <ns0:v>53855.20917436344</ns0:v>
      </ns0:c>
      <ns0:c r="M161" s="16">
        <ns0:f>IF(('前提と出典'!$C$36+'前提と出典'!$C$38)=0,0,IF(B161&lt;=10,'前提と出典'!B73+'前提と出典'!C73,IF(B161&lt;=100,'前提と出典'!B74+'前提と出典'!C74,IF(B161&lt;=500,'前提と出典'!B75+'前提と出典'!C75,'前提と出典'!B76+'前提と出典'!C76))))</ns0:f>
        <ns0:v>40000</ns0:v>
      </ns0:c>
      <ns0:c r="N161" s="16">
        <ns0:f>IF(('前提と出典'!$C$37+'前提と出典'!$C$38)=0,0,IF(C161&lt;=10,'前提と出典'!D73+'前提と出典'!E73,IF(C161&lt;=100,'前提と出典'!D74+'前提と出典'!E74,IF(C161&lt;=500,'前提と出典'!D75+'前提と出典'!E75,'前提と出典'!D76+'前提と出典'!E76))))</ns0:f>
        <ns0:v>34510.9346263078</ns0:v>
      </ns0:c>
      <ns0:c r="O161" s="16">
        <ns0:f>IF('前提と出典'!$C$36+'前提と出典'!$C$38=0,0,'前提と出典'!$B$4*IF('前提と出典'!$B$20=0,MAX('前提と出典'!$B$6,D161*'前提と出典'!$B$5),'前提と出典'!$B$6+D161*'前提と出典'!$B$5))</ns0:f>
        <ns0:v>155898.36871508384</ns0:v>
      </ns0:c>
      <ns0:c r="P161" s="16">
        <ns0:f>(E161+G161)*(1-'前提と出典'!$B$7)-I161-K161-M161-O161</ns0:f>
        <ns0:v>413060.53341385385</ns0:v>
      </ns0:c>
      <ns0:c r="Q161" s="16">
        <ns0:f>(F161+H161)*(1-'前提と出典'!$B$7)-J161-L161-N161</ns0:f>
        <ns0:v>111308.99894210804</ns0:v>
      </ns0:c>
      <ns0:c r="R161" s="16">
        <ns0:f>P161-E161*'前提と出典'!$E$4</ns0:f>
        <ns0:v>294657.11872920673</ns0:v>
      </ns0:c>
      <ns0:c r="S161" s="16">
        <ns0:f>Q161-F161*'前提と出典'!$E$4</ns0:f>
        <ns0:v>76903.99320060195</ns0:v>
      </ns0:c>
      <ns0:c r="T161" s="7">
        <ns0:f>R161+S161</ns0:f>
        <ns0:v>371561.1119298087</ns0:v>
      </ns0:c>
      <ns0:c r="U161" s="16">
        <ns0:f>P161-E161*'前提と出典'!$E$5</ns0:f>
        <ns0:v>255189.31383432445</ns0:v>
      </ns0:c>
      <ns0:c r="V161" s="16">
        <ns0:f>Q161-F161*'前提と出典'!$E$5</ns0:f>
        <ns0:v>65435.65795343326</ns0:v>
      </ns0:c>
      <ns0:c r="W161" s="7">
        <ns0:f>U161+V161</ns0:f>
        <ns0:v>320624.9717877577</ns0:v>
      </ns0:c>
      <ns0:c r="X161" s="16">
        <ns0:f>P161-E161*'前提と出典'!$E$6</ns0:f>
        <ns0:v>215721.50893944214</ns0:v>
      </ns0:c>
      <ns0:c r="Y161" s="16">
        <ns0:f>Q161-F161*'前提と出典'!$E$6</ns0:f>
        <ns0:v>53967.3227062646</ns0:v>
      </ns0:c>
      <ns0:c r="Z161" s="7">
        <ns0:f>X161+Y161</ns0:f>
        <ns0:v>269688.8316457067</ns0:v>
      </ns0:c>
      <ns0:c r="AA161" s="7">
        <ns0:f>IF(T161&gt;=0,A161,1001)</ns0:f>
        <ns0:v>157</ns0:v>
      </ns0:c>
      <ns0:c r="AB161" s="7">
        <ns0:f>IF(T161&lt;0,A161,0)</ns0:f>
        <ns0:v>0</ns0:v>
      </ns0:c>
      <ns0:c r="AC161" s="16">
        <ns0:f>IF(AND(OR('前提と出典'!$C$36+'前提と出典'!$C$38=0,R161&gt;=0),OR('前提と出典'!$C$37+'前提と出典'!$C$38=0,S161&gt;=0)),0,A161)</ns0:f>
        <ns0:v>0</ns0:v>
      </ns0:c>
      <ns0:c r="AD161" s="7">
        <ns0:f>IF(W161&gt;=0,A161,1001)</ns0:f>
        <ns0:v>157</ns0:v>
      </ns0:c>
      <ns0:c r="AE161" s="7">
        <ns0:f>IF(W161&lt;0,A161,0)</ns0:f>
        <ns0:v>0</ns0:v>
      </ns0:c>
      <ns0:c r="AF161" s="16">
        <ns0:f>IF(AND(OR('前提と出典'!$C$36+'前提と出典'!$C$38=0,U161&gt;=0),OR('前提と出典'!$C$37+'前提と出典'!$C$38=0,V161&gt;=0)),0,A161)</ns0:f>
        <ns0:v>0</ns0:v>
      </ns0:c>
      <ns0:c r="AG161" s="7">
        <ns0:f>IF(Z161&gt;=0,A161,1001)</ns0:f>
        <ns0:v>157</ns0:v>
      </ns0:c>
      <ns0:c r="AH161" s="4">
        <ns0:f>IF(Z161&lt;0,A161,0)</ns0:f>
        <ns0:v>0</ns0:v>
      </ns0:c>
      <ns0:c r="AI161" s="12">
        <ns0:f>IF(AND(OR('前提と出典'!$C$36+'前提と出典'!$C$38=0,X161&gt;=0),OR('前提と出典'!$C$37+'前提と出典'!$C$38=0,Y161&gt;=0)),0,A161)</ns0:f>
        <ns0:v>0</ns0:v>
      </ns0:c>
    </ns0:row>
    <ns0:row r="162" ht="24" customHeight="1">
      <ns0:c r="A162" s="4" t="n">
        <ns0:v>158</ns0:v>
      </ns0:c>
      <ns0:c r="B162" s="12">
        <ns0:f>A162*('前提と出典'!$C$36+'前提と出典'!$C$38)</ns0:f>
        <ns0:v>110.6</ns0:v>
      </ns0:c>
      <ns0:c r="C162" s="12">
        <ns0:f>A162*('前提と出典'!$C$37+'前提と出典'!$C$38)</ns0:f>
        <ns0:v>94.8</ns0:v>
      </ns0:c>
      <ns0:c r="D162" s="16">
        <ns0:f>A162*('前提と出典'!$C$36*'契約別単価'!C5+'前提と出典'!$C$37*'契約別単価'!C6+'前提と出典'!$C$38*'契約別単価'!C7)</ns0:f>
        <ns0:v>1136.8938547486034</ns0:v>
      </ns0:c>
      <ns0:c r="E162" s="16">
        <ns0:f>A162*('前提と出典'!$C$36*'契約別単価'!E5+'前提と出典'!$C$37*'契約別単価'!E6+'前提と出典'!$C$38*'契約別単価'!E7)</ns0:f>
        <ns0:v>397191.9218720643</ns0:v>
      </ns0:c>
      <ns0:c r="F162" s="16">
        <ns0:f>A162*('前提と出典'!$C$36*'契約別単価'!F5+'前提と出典'!$C$37*'契約別単価'!F6+'前提と出典'!$C$38*'契約別単価'!F7)</ns0:f>
        <ns0:v>115413.81968488239</ns0:v>
      </ns0:c>
      <ns0:c r="G162" s="16">
        <ns0:f>A162*('前提と出典'!$C$36*'契約別単価'!G5+'前提と出典'!$C$37*'契約別単価'!G6+'前提と出典'!$C$38*'契約別単価'!G7)</ns0:f>
        <ns0:v>314499.4413407821</ns0:v>
      </ns0:c>
      <ns0:c r="H162" s="16">
        <ns0:f>A162*('前提と出典'!$C$36*'契約別単価'!H5+'前提と出典'!$C$37*'契約別単価'!H6+'前提と出典'!$C$38*'契約別単価'!H7)</ns0:f>
        <ns0:v>109147.07953173688</ns0:v>
      </ns0:c>
      <ns0:c r="I162" s="16">
        <ns0:f>A162*('前提と出典'!$C$36*'契約別単価'!I5+'前提と出典'!$C$37*'契約別単価'!I6+'前提と出典'!$C$38*'契約別単価'!I7)</ns0:f>
        <ns0:v>6666.893854748602</ns0:v>
      </ns0:c>
      <ns0:c r="J162" s="16">
        <ns0:f>A162*('前提と出典'!$C$36*'契約別単価'!J5+'前提と出典'!$C$37*'契約別単価'!J6+'前提と出典'!$C$38*'契約別単価'!J7)</ns0:f>
        <ns0:v>15529.747906227805</ns0:v>
      </ns0:c>
      <ns0:c r="K162" s="16">
        <ns0:f>A162*('前提と出典'!$C$36*'契約別単価'!K5+'前提と出典'!$C$37*'契約別単価'!K6+'前提と出典'!$C$38*'契約別単価'!K7)</ns0:f>
        <ns0:v>66565.95903165734</ns0:v>
      </ns0:c>
      <ns0:c r="L162" s="16">
        <ns0:f>A162*('前提と出典'!$C$36*'契約別単価'!L5+'前提と出典'!$C$37*'契約別単価'!L6+'前提と出典'!$C$38*'契約別単価'!L7)</ns0:f>
        <ns0:v>54198.23598439123</ns0:v>
      </ns0:c>
      <ns0:c r="M162" s="16">
        <ns0:f>IF(('前提と出典'!$C$36+'前提と出典'!$C$38)=0,0,IF(B162&lt;=10,'前提と出典'!B73+'前提と出典'!C73,IF(B162&lt;=100,'前提と出典'!B74+'前提と出典'!C74,IF(B162&lt;=500,'前提と出典'!B75+'前提と出典'!C75,'前提と出典'!B76+'前提と出典'!C76))))</ns0:f>
        <ns0:v>40000</ns0:v>
      </ns0:c>
      <ns0:c r="N162" s="16">
        <ns0:f>IF(('前提と出典'!$C$37+'前提と出典'!$C$38)=0,0,IF(C162&lt;=10,'前提と出典'!D73+'前提と出典'!E73,IF(C162&lt;=100,'前提と出典'!D74+'前提と出典'!E74,IF(C162&lt;=500,'前提と出典'!D75+'前提と出典'!E75,'前提と出典'!D76+'前提と出典'!E76))))</ns0:f>
        <ns0:v>34510.9346263078</ns0:v>
      </ns0:c>
      <ns0:c r="O162" s="16">
        <ns0:f>IF('前提と出典'!$C$36+'前提と出典'!$C$38=0,0,'前提と出典'!$B$4*IF('前提と出典'!$B$20=0,MAX('前提と出典'!$B$6,D162*'前提と出典'!$B$5),'前提と出典'!$B$6+D162*'前提と出典'!$B$5))</ns0:f>
        <ns0:v>156891.35195530727</ns0:v>
      </ns0:c>
      <ns0:c r="P162" s="16">
        <ns0:f>(E162+G162)*(1-'前提と出典'!$B$7)-I162-K162-M162-O162</ns0:f>
        <ns0:v>415946.2692954708</ns0:v>
      </ns0:c>
      <ns0:c r="Q162" s="16">
        <ns0:f>(F162+H162)*(1-'前提と出典'!$B$7)-J162-L162-N162</ns0:f>
        <ns0:v>112237.78832789414</ns0:v>
      </ns0:c>
      <ns0:c r="R162" s="16">
        <ns0:f>P162-E162*'前提と出典'!$E$4</ns0:f>
        <ns0:v>296788.6927338515</ns0:v>
      </ns0:c>
      <ns0:c r="S162" s="16">
        <ns0:f>Q162-F162*'前提と出典'!$E$4</ns0:f>
        <ns0:v>77613.64242242943</ns0:v>
      </ns0:c>
      <ns0:c r="T162" s="7">
        <ns0:f>R162+S162</ns0:f>
        <ns0:v>374402.3351562809</ns0:v>
      </ns0:c>
      <ns0:c r="U162" s="16">
        <ns0:f>P162-E162*'前提と出典'!$E$5</ns0:f>
        <ns0:v>257069.50054664505</ns0:v>
      </ns0:c>
      <ns0:c r="V162" s="16">
        <ns0:f>Q162-F162*'前提と出典'!$E$5</ns0:f>
        <ns0:v>66072.26045394118</ns0:v>
      </ns0:c>
      <ns0:c r="W162" s="7">
        <ns0:f>U162+V162</ns0:f>
        <ns0:v>323141.7610005862</ns0:v>
      </ns0:c>
      <ns0:c r="X162" s="16">
        <ns0:f>P162-E162*'前提と出典'!$E$6</ns0:f>
        <ns0:v>217350.3083594387</ns0:v>
      </ns0:c>
      <ns0:c r="Y162" s="16">
        <ns0:f>Q162-F162*'前提と出典'!$E$6</ns0:f>
        <ns0:v>54530.87848545293</ns0:v>
      </ns0:c>
      <ns0:c r="Z162" s="7">
        <ns0:f>X162+Y162</ns0:f>
        <ns0:v>271881.18684489164</ns0:v>
      </ns0:c>
      <ns0:c r="AA162" s="7">
        <ns0:f>IF(T162&gt;=0,A162,1001)</ns0:f>
        <ns0:v>158</ns0:v>
      </ns0:c>
      <ns0:c r="AB162" s="7">
        <ns0:f>IF(T162&lt;0,A162,0)</ns0:f>
        <ns0:v>0</ns0:v>
      </ns0:c>
      <ns0:c r="AC162" s="16">
        <ns0:f>IF(AND(OR('前提と出典'!$C$36+'前提と出典'!$C$38=0,R162&gt;=0),OR('前提と出典'!$C$37+'前提と出典'!$C$38=0,S162&gt;=0)),0,A162)</ns0:f>
        <ns0:v>0</ns0:v>
      </ns0:c>
      <ns0:c r="AD162" s="7">
        <ns0:f>IF(W162&gt;=0,A162,1001)</ns0:f>
        <ns0:v>158</ns0:v>
      </ns0:c>
      <ns0:c r="AE162" s="7">
        <ns0:f>IF(W162&lt;0,A162,0)</ns0:f>
        <ns0:v>0</ns0:v>
      </ns0:c>
      <ns0:c r="AF162" s="16">
        <ns0:f>IF(AND(OR('前提と出典'!$C$36+'前提と出典'!$C$38=0,U162&gt;=0),OR('前提と出典'!$C$37+'前提と出典'!$C$38=0,V162&gt;=0)),0,A162)</ns0:f>
        <ns0:v>0</ns0:v>
      </ns0:c>
      <ns0:c r="AG162" s="7">
        <ns0:f>IF(Z162&gt;=0,A162,1001)</ns0:f>
        <ns0:v>158</ns0:v>
      </ns0:c>
      <ns0:c r="AH162" s="4">
        <ns0:f>IF(Z162&lt;0,A162,0)</ns0:f>
        <ns0:v>0</ns0:v>
      </ns0:c>
      <ns0:c r="AI162" s="12">
        <ns0:f>IF(AND(OR('前提と出典'!$C$36+'前提と出典'!$C$38=0,X162&gt;=0),OR('前提と出典'!$C$37+'前提と出典'!$C$38=0,Y162&gt;=0)),0,A162)</ns0:f>
        <ns0:v>0</ns0:v>
      </ns0:c>
    </ns0:row>
    <ns0:row r="163" ht="24" customHeight="1">
      <ns0:c r="A163" s="4" t="n">
        <ns0:v>159</ns0:v>
      </ns0:c>
      <ns0:c r="B163" s="12">
        <ns0:f>A163*('前提と出典'!$C$36+'前提と出典'!$C$38)</ns0:f>
        <ns0:v>111.3</ns0:v>
      </ns0:c>
      <ns0:c r="C163" s="12">
        <ns0:f>A163*('前提と出典'!$C$37+'前提と出典'!$C$38)</ns0:f>
        <ns0:v>95.39999999999999</ns0:v>
      </ns0:c>
      <ns0:c r="D163" s="16">
        <ns0:f>A163*('前提と出典'!$C$36*'契約別単価'!C5+'前提と出典'!$C$37*'契約別単価'!C6+'前提と出典'!$C$38*'契約別単価'!C7)</ns0:f>
        <ns0:v>1144.0893854748604</ns0:v>
      </ns0:c>
      <ns0:c r="E163" s="16">
        <ns0:f>A163*('前提と出典'!$C$36*'契約別単価'!E5+'前提と出典'!$C$37*'契約別単価'!E6+'前提と出典'!$C$38*'契約別単価'!E7)</ns0:f>
        <ns0:v>399705.7947953052</ns0:v>
      </ns0:c>
      <ns0:c r="F163" s="16">
        <ns0:f>A163*('前提と出典'!$C$36*'契約別単価'!F5+'前提と出典'!$C$37*'契約別単価'!F6+'前提と出典'!$C$38*'契約別単価'!F7)</ns0:f>
        <ns0:v>116144.28689807784</ns0:v>
      </ns0:c>
      <ns0:c r="G163" s="16">
        <ns0:f>A163*('前提と出典'!$C$36*'契約別単価'!G5+'前提と出典'!$C$37*'契約別単価'!G6+'前提と出典'!$C$38*'契約別単価'!G7)</ns0:f>
        <ns0:v>316489.9441340782</ns0:v>
      </ns0:c>
      <ns0:c r="H163" s="16">
        <ns0:f>A163*('前提と出典'!$C$36*'契約別単価'!H5+'前提と出典'!$C$37*'契約別単価'!H6+'前提と出典'!$C$38*'契約別単価'!H7)</ns0:f>
        <ns0:v>109837.88383257065</ns0:v>
      </ns0:c>
      <ns0:c r="I163" s="16">
        <ns0:f>A163*('前提と出典'!$C$36*'契約別単価'!I5+'前提と出典'!$C$37*'契約別単価'!I6+'前提と出典'!$C$38*'契約別単価'!I7)</ns0:f>
        <ns0:v>6709.089385474859</ns0:v>
      </ns0:c>
      <ns0:c r="J163" s="16">
        <ns0:f>A163*('前提と出典'!$C$36*'契約別単価'!J5+'前提と出典'!$C$37*'契約別単価'!J6+'前提と出典'!$C$38*'契約別単価'!J7)</ns0:f>
        <ns0:v>15628.037449938109</ns0:v>
      </ns0:c>
      <ns0:c r="K163" s="16">
        <ns0:f>A163*('前提と出典'!$C$36*'契約別単価'!K5+'前提と出典'!$C$37*'契約別単価'!K6+'前提と出典'!$C$38*'契約別単価'!K7)</ns0:f>
        <ns0:v>66987.2625698324</ns0:v>
      </ns0:c>
      <ns0:c r="L163" s="16">
        <ns0:f>A163*('前提と出典'!$C$36*'契約別単価'!L5+'前提と出典'!$C$37*'契約別単価'!L6+'前提と出典'!$C$38*'契約別単価'!L7)</ns0:f>
        <ns0:v>54541.26279441902</ns0:v>
      </ns0:c>
      <ns0:c r="M163" s="16">
        <ns0:f>IF(('前提と出典'!$C$36+'前提と出典'!$C$38)=0,0,IF(B163&lt;=10,'前提と出典'!B73+'前提と出典'!C73,IF(B163&lt;=100,'前提と出典'!B74+'前提と出典'!C74,IF(B163&lt;=500,'前提と出典'!B75+'前提と出典'!C75,'前提と出典'!B76+'前提と出典'!C76))))</ns0:f>
        <ns0:v>40000</ns0:v>
      </ns0:c>
      <ns0:c r="N163" s="16">
        <ns0:f>IF(('前提と出典'!$C$37+'前提と出典'!$C$38)=0,0,IF(C163&lt;=10,'前提と出典'!D73+'前提と出典'!E73,IF(C163&lt;=100,'前提と出典'!D74+'前提と出典'!E74,IF(C163&lt;=500,'前提と出典'!D75+'前提と出典'!E75,'前提と出典'!D76+'前提と出典'!E76))))</ns0:f>
        <ns0:v>34510.9346263078</ns0:v>
      </ns0:c>
      <ns0:c r="O163" s="16">
        <ns0:f>IF('前提と出典'!$C$36+'前提と出典'!$C$38=0,0,'前提と出典'!$B$4*IF('前提と出典'!$B$20=0,MAX('前提と出典'!$B$6,D163*'前提と出典'!$B$5),'前提と出典'!$B$6+D163*'前提と出典'!$B$5))</ns0:f>
        <ns0:v>157884.33519553073</ns0:v>
      </ns0:c>
      <ns0:c r="P163" s="16">
        <ns0:f>(E163+G163)*(1-'前提と出典'!$B$7)-I163-K163-M163-O163</ns0:f>
        <ns0:v>418832.00517708773</ns0:v>
      </ns0:c>
      <ns0:c r="Q163" s="16">
        <ns0:f>(F163+H163)*(1-'前提と出典'!$B$7)-J163-L163-N163</ns0:f>
        <ns0:v>113166.57771368025</ns0:v>
      </ns0:c>
      <ns0:c r="R163" s="16">
        <ns0:f>P163-E163*'前提と出典'!$E$4</ns0:f>
        <ns0:v>298920.2667384961</ns0:v>
      </ns0:c>
      <ns0:c r="S163" s="16">
        <ns0:f>Q163-F163*'前提と出典'!$E$4</ns0:f>
        <ns0:v>78323.29164425688</ns0:v>
      </ns0:c>
      <ns0:c r="T163" s="7">
        <ns0:f>R163+S163</ns0:f>
        <ns0:v>377243.55838275293</ns0:v>
      </ns0:c>
      <ns0:c r="U163" s="16">
        <ns0:f>P163-E163*'前提と出典'!$E$5</ns0:f>
        <ns0:v>258949.68725896569</ns0:v>
      </ns0:c>
      <ns0:c r="V163" s="16">
        <ns0:f>Q163-F163*'前提と出典'!$E$5</ns0:f>
        <ns0:v>66708.86295444911</ns0:v>
      </ns0:c>
      <ns0:c r="W163" s="7">
        <ns0:f>U163+V163</ns0:f>
        <ns0:v>325658.5502134148</ns0:v>
      </ns0:c>
      <ns0:c r="X163" s="16">
        <ns0:f>P163-E163*'前提と出典'!$E$6</ns0:f>
        <ns0:v>218979.10777943506</ns0:v>
      </ns0:c>
      <ns0:c r="Y163" s="16">
        <ns0:f>Q163-F163*'前提と出典'!$E$6</ns0:f>
        <ns0:v>55094.43426464135</ns0:v>
      </ns0:c>
      <ns0:c r="Z163" s="7">
        <ns0:f>X163+Y163</ns0:f>
        <ns0:v>274073.5420440764</ns0:v>
      </ns0:c>
      <ns0:c r="AA163" s="7">
        <ns0:f>IF(T163&gt;=0,A163,1001)</ns0:f>
        <ns0:v>159</ns0:v>
      </ns0:c>
      <ns0:c r="AB163" s="7">
        <ns0:f>IF(T163&lt;0,A163,0)</ns0:f>
        <ns0:v>0</ns0:v>
      </ns0:c>
      <ns0:c r="AC163" s="16">
        <ns0:f>IF(AND(OR('前提と出典'!$C$36+'前提と出典'!$C$38=0,R163&gt;=0),OR('前提と出典'!$C$37+'前提と出典'!$C$38=0,S163&gt;=0)),0,A163)</ns0:f>
        <ns0:v>0</ns0:v>
      </ns0:c>
      <ns0:c r="AD163" s="7">
        <ns0:f>IF(W163&gt;=0,A163,1001)</ns0:f>
        <ns0:v>159</ns0:v>
      </ns0:c>
      <ns0:c r="AE163" s="7">
        <ns0:f>IF(W163&lt;0,A163,0)</ns0:f>
        <ns0:v>0</ns0:v>
      </ns0:c>
      <ns0:c r="AF163" s="16">
        <ns0:f>IF(AND(OR('前提と出典'!$C$36+'前提と出典'!$C$38=0,U163&gt;=0),OR('前提と出典'!$C$37+'前提と出典'!$C$38=0,V163&gt;=0)),0,A163)</ns0:f>
        <ns0:v>0</ns0:v>
      </ns0:c>
      <ns0:c r="AG163" s="7">
        <ns0:f>IF(Z163&gt;=0,A163,1001)</ns0:f>
        <ns0:v>159</ns0:v>
      </ns0:c>
      <ns0:c r="AH163" s="4">
        <ns0:f>IF(Z163&lt;0,A163,0)</ns0:f>
        <ns0:v>0</ns0:v>
      </ns0:c>
      <ns0:c r="AI163" s="12">
        <ns0:f>IF(AND(OR('前提と出典'!$C$36+'前提と出典'!$C$38=0,X163&gt;=0),OR('前提と出典'!$C$37+'前提と出典'!$C$38=0,Y163&gt;=0)),0,A163)</ns0:f>
        <ns0:v>0</ns0:v>
      </ns0:c>
    </ns0:row>
    <ns0:row r="164" ht="24" customHeight="1">
      <ns0:c r="A164" s="4" t="n">
        <ns0:v>160</ns0:v>
      </ns0:c>
      <ns0:c r="B164" s="12">
        <ns0:f>A164*('前提と出典'!$C$36+'前提と出典'!$C$38)</ns0:f>
        <ns0:v>112</ns0:v>
      </ns0:c>
      <ns0:c r="C164" s="12">
        <ns0:f>A164*('前提と出典'!$C$37+'前提と出典'!$C$38)</ns0:f>
        <ns0:v>96</ns0:v>
      </ns0:c>
      <ns0:c r="D164" s="16">
        <ns0:f>A164*('前提と出典'!$C$36*'契約別単価'!C5+'前提と出典'!$C$37*'契約別単価'!C6+'前提と出典'!$C$38*'契約別単価'!C7)</ns0:f>
        <ns0:v>1151.2849162011173</ns0:v>
      </ns0:c>
      <ns0:c r="E164" s="16">
        <ns0:f>A164*('前提と出典'!$C$36*'契約別単価'!E5+'前提と出典'!$C$37*'契約別単価'!E6+'前提と出典'!$C$38*'契約別単価'!E7)</ns0:f>
        <ns0:v>402219.6677185461</ns0:v>
      </ns0:c>
      <ns0:c r="F164" s="16">
        <ns0:f>A164*('前提と出典'!$C$36*'契約別単価'!F5+'前提と出典'!$C$37*'契約別単価'!F6+'前提と出典'!$C$38*'契約別単価'!F7)</ns0:f>
        <ns0:v>116874.7541112733</ns0:v>
      </ns0:c>
      <ns0:c r="G164" s="16">
        <ns0:f>A164*('前提と出典'!$C$36*'契約別単価'!G5+'前提と出典'!$C$37*'契約別単価'!G6+'前提と出典'!$C$38*'契約別単価'!G7)</ns0:f>
        <ns0:v>318480.4469273743</ns0:v>
      </ns0:c>
      <ns0:c r="H164" s="16">
        <ns0:f>A164*('前提と出典'!$C$36*'契約別単価'!H5+'前提と出典'!$C$37*'契約別単価'!H6+'前提と出典'!$C$38*'契約別単価'!H7)</ns0:f>
        <ns0:v>110528.68813340443</ns0:v>
      </ns0:c>
      <ns0:c r="I164" s="16">
        <ns0:f>A164*('前提と出典'!$C$36*'契約別単価'!I5+'前提と出典'!$C$37*'契約別単価'!I6+'前提と出典'!$C$38*'契約別単価'!I7)</ns0:f>
        <ns0:v>6751.284916201116</ns0:v>
      </ns0:c>
      <ns0:c r="J164" s="16">
        <ns0:f>A164*('前提と出典'!$C$36*'契約別単価'!J5+'前提と出典'!$C$37*'契約別単価'!J6+'前提と出典'!$C$38*'契約別単価'!J7)</ns0:f>
        <ns0:v>15726.32699364841</ns0:v>
      </ns0:c>
      <ns0:c r="K164" s="16">
        <ns0:f>A164*('前提と出典'!$C$36*'契約別単価'!K5+'前提と出典'!$C$37*'契約別単価'!K6+'前提と出典'!$C$38*'契約別単価'!K7)</ns0:f>
        <ns0:v>67408.56610800745</ns0:v>
      </ns0:c>
      <ns0:c r="L164" s="16">
        <ns0:f>A164*('前提と出典'!$C$36*'契約別単価'!L5+'前提と出典'!$C$37*'契約別単価'!L6+'前提と出典'!$C$38*'契約別単価'!L7)</ns0:f>
        <ns0:v>54884.289604446814</ns0:v>
      </ns0:c>
      <ns0:c r="M164" s="16">
        <ns0:f>IF(('前提と出典'!$C$36+'前提と出典'!$C$38)=0,0,IF(B164&lt;=10,'前提と出典'!B73+'前提と出典'!C73,IF(B164&lt;=100,'前提と出典'!B74+'前提と出典'!C74,IF(B164&lt;=500,'前提と出典'!B75+'前提と出典'!C75,'前提と出典'!B76+'前提と出典'!C76))))</ns0:f>
        <ns0:v>40000</ns0:v>
      </ns0:c>
      <ns0:c r="N164" s="16">
        <ns0:f>IF(('前提と出典'!$C$37+'前提と出典'!$C$38)=0,0,IF(C164&lt;=10,'前提と出典'!D73+'前提と出典'!E73,IF(C164&lt;=100,'前提と出典'!D74+'前提と出典'!E74,IF(C164&lt;=500,'前提と出典'!D75+'前提と出典'!E75,'前提と出典'!D76+'前提と出典'!E76))))</ns0:f>
        <ns0:v>34510.9346263078</ns0:v>
      </ns0:c>
      <ns0:c r="O164" s="16">
        <ns0:f>IF('前提と出典'!$C$36+'前提と出典'!$C$38=0,0,'前提と出典'!$B$4*IF('前提と出典'!$B$20=0,MAX('前提と出典'!$B$6,D164*'前提と出典'!$B$5),'前提と出典'!$B$6+D164*'前提と出典'!$B$5))</ns0:f>
        <ns0:v>158877.3184357542</ns0:v>
      </ns0:c>
      <ns0:c r="P164" s="16">
        <ns0:f>(E164+G164)*(1-'前提と出典'!$B$7)-I164-K164-M164-O164</ns0:f>
        <ns0:v>421717.74105870456</ns0:v>
      </ns0:c>
      <ns0:c r="Q164" s="16">
        <ns0:f>(F164+H164)*(1-'前提と出典'!$B$7)-J164-L164-N164</ns0:f>
        <ns0:v>114095.36709946633</ns0:v>
      </ns0:c>
      <ns0:c r="R164" s="16">
        <ns0:f>P164-E164*'前提と出典'!$E$4</ns0:f>
        <ns0:v>301051.84074314067</ns0:v>
      </ns0:c>
      <ns0:c r="S164" s="16">
        <ns0:f>Q164-F164*'前提と出典'!$E$4</ns0:f>
        <ns0:v>79032.94086608433</ns0:v>
      </ns0:c>
      <ns0:c r="T164" s="7">
        <ns0:f>R164+S164</ns0:f>
        <ns0:v>380084.78160922497</ns0:v>
      </ns0:c>
      <ns0:c r="U164" s="16">
        <ns0:f>P164-E164*'前提と出典'!$E$5</ns0:f>
        <ns0:v>260829.87397128608</ns0:v>
      </ns0:c>
      <ns0:c r="V164" s="16">
        <ns0:f>Q164-F164*'前提と出典'!$E$5</ns0:f>
        <ns0:v>67345.46545495701</ns0:v>
      </ns0:c>
      <ns0:c r="W164" s="7">
        <ns0:f>U164+V164</ns0:f>
        <ns0:v>328175.3394262431</ns0:v>
      </ns0:c>
      <ns0:c r="X164" s="16">
        <ns0:f>P164-E164*'前提と出典'!$E$6</ns0:f>
        <ns0:v>220607.90719943147</ns0:v>
      </ns0:c>
      <ns0:c r="Y164" s="16">
        <ns0:f>Q164-F164*'前提と出典'!$E$6</ns0:f>
        <ns0:v>55657.99004382967</ns0:v>
      </ns0:c>
      <ns0:c r="Z164" s="7">
        <ns0:f>X164+Y164</ns0:f>
        <ns0:v>276265.89724326116</ns0:v>
      </ns0:c>
      <ns0:c r="AA164" s="7">
        <ns0:f>IF(T164&gt;=0,A164,1001)</ns0:f>
        <ns0:v>160</ns0:v>
      </ns0:c>
      <ns0:c r="AB164" s="7">
        <ns0:f>IF(T164&lt;0,A164,0)</ns0:f>
        <ns0:v>0</ns0:v>
      </ns0:c>
      <ns0:c r="AC164" s="16">
        <ns0:f>IF(AND(OR('前提と出典'!$C$36+'前提と出典'!$C$38=0,R164&gt;=0),OR('前提と出典'!$C$37+'前提と出典'!$C$38=0,S164&gt;=0)),0,A164)</ns0:f>
        <ns0:v>0</ns0:v>
      </ns0:c>
      <ns0:c r="AD164" s="7">
        <ns0:f>IF(W164&gt;=0,A164,1001)</ns0:f>
        <ns0:v>160</ns0:v>
      </ns0:c>
      <ns0:c r="AE164" s="7">
        <ns0:f>IF(W164&lt;0,A164,0)</ns0:f>
        <ns0:v>0</ns0:v>
      </ns0:c>
      <ns0:c r="AF164" s="16">
        <ns0:f>IF(AND(OR('前提と出典'!$C$36+'前提と出典'!$C$38=0,U164&gt;=0),OR('前提と出典'!$C$37+'前提と出典'!$C$38=0,V164&gt;=0)),0,A164)</ns0:f>
        <ns0:v>0</ns0:v>
      </ns0:c>
      <ns0:c r="AG164" s="7">
        <ns0:f>IF(Z164&gt;=0,A164,1001)</ns0:f>
        <ns0:v>160</ns0:v>
      </ns0:c>
      <ns0:c r="AH164" s="4">
        <ns0:f>IF(Z164&lt;0,A164,0)</ns0:f>
        <ns0:v>0</ns0:v>
      </ns0:c>
      <ns0:c r="AI164" s="12">
        <ns0:f>IF(AND(OR('前提と出典'!$C$36+'前提と出典'!$C$38=0,X164&gt;=0),OR('前提と出典'!$C$37+'前提と出典'!$C$38=0,Y164&gt;=0)),0,A164)</ns0:f>
        <ns0:v>0</ns0:v>
      </ns0:c>
    </ns0:row>
    <ns0:row r="165" ht="24" customHeight="1">
      <ns0:c r="A165" s="4" t="n">
        <ns0:v>161</ns0:v>
      </ns0:c>
      <ns0:c r="B165" s="12">
        <ns0:f>A165*('前提と出典'!$C$36+'前提と出典'!$C$38)</ns0:f>
        <ns0:v>112.69999999999999</ns0:v>
      </ns0:c>
      <ns0:c r="C165" s="12">
        <ns0:f>A165*('前提と出典'!$C$37+'前提と出典'!$C$38)</ns0:f>
        <ns0:v>96.6</ns0:v>
      </ns0:c>
      <ns0:c r="D165" s="16">
        <ns0:f>A165*('前提と出典'!$C$36*'契約別単価'!C5+'前提と出典'!$C$37*'契約別単価'!C6+'前提と出典'!$C$38*'契約別単価'!C7)</ns0:f>
        <ns0:v>1158.4804469273743</ns0:v>
      </ns0:c>
      <ns0:c r="E165" s="16">
        <ns0:f>A165*('前提と出典'!$C$36*'契約別単価'!E5+'前提と出典'!$C$37*'契約別単価'!E6+'前提と出典'!$C$38*'契約別単価'!E7)</ns0:f>
        <ns0:v>404733.54064178705</ns0:v>
      </ns0:c>
      <ns0:c r="F165" s="16">
        <ns0:f>A165*('前提と出典'!$C$36*'契約別単価'!F5+'前提と出典'!$C$37*'契約別単価'!F6+'前提と出典'!$C$38*'契約別単価'!F7)</ns0:f>
        <ns0:v>117605.22132446876</ns0:v>
      </ns0:c>
      <ns0:c r="G165" s="16">
        <ns0:f>A165*('前提と出典'!$C$36*'契約別単価'!G5+'前提と出典'!$C$37*'契約別単価'!G6+'前提と出典'!$C$38*'契約別単価'!G7)</ns0:f>
        <ns0:v>320470.94972067035</ns0:v>
      </ns0:c>
      <ns0:c r="H165" s="16">
        <ns0:f>A165*('前提と出典'!$C$36*'契約別単価'!H5+'前提と出典'!$C$37*'契約別単価'!H6+'前提と出典'!$C$38*'契約別単価'!H7)</ns0:f>
        <ns0:v>111219.49243423821</ns0:v>
      </ns0:c>
      <ns0:c r="I165" s="16">
        <ns0:f>A165*('前提と出典'!$C$36*'契約別単価'!I5+'前提と出典'!$C$37*'契約別単価'!I6+'前提と出典'!$C$38*'契約別単価'!I7)</ns0:f>
        <ns0:v>6793.480446927373</ns0:v>
      </ns0:c>
      <ns0:c r="J165" s="16">
        <ns0:f>A165*('前提と出典'!$C$36*'契約別単価'!J5+'前提と出典'!$C$37*'契約別単価'!J6+'前提と出典'!$C$38*'契約別単価'!J7)</ns0:f>
        <ns0:v>15824.616537358714</ns0:v>
      </ns0:c>
      <ns0:c r="K165" s="16">
        <ns0:f>A165*('前提と出典'!$C$36*'契約別単価'!K5+'前提と出典'!$C$37*'契約別単価'!K6+'前提と出典'!$C$38*'契約別単価'!K7)</ns0:f>
        <ns0:v>67829.86964618249</ns0:v>
      </ns0:c>
      <ns0:c r="L165" s="16">
        <ns0:f>A165*('前提と出典'!$C$36*'契約別単価'!L5+'前提と出典'!$C$37*'契約別単価'!L6+'前提と出典'!$C$38*'契約別単価'!L7)</ns0:f>
        <ns0:v>55227.316414474604</ns0:v>
      </ns0:c>
      <ns0:c r="M165" s="16">
        <ns0:f>IF(('前提と出典'!$C$36+'前提と出典'!$C$38)=0,0,IF(B165&lt;=10,'前提と出典'!B73+'前提と出典'!C73,IF(B165&lt;=100,'前提と出典'!B74+'前提と出典'!C74,IF(B165&lt;=500,'前提と出典'!B75+'前提と出典'!C75,'前提と出典'!B76+'前提と出典'!C76))))</ns0:f>
        <ns0:v>40000</ns0:v>
      </ns0:c>
      <ns0:c r="N165" s="16">
        <ns0:f>IF(('前提と出典'!$C$37+'前提と出典'!$C$38)=0,0,IF(C165&lt;=10,'前提と出典'!D73+'前提と出典'!E73,IF(C165&lt;=100,'前提と出典'!D74+'前提と出典'!E74,IF(C165&lt;=500,'前提と出典'!D75+'前提と出典'!E75,'前提と出典'!D76+'前提と出典'!E76))))</ns0:f>
        <ns0:v>34510.9346263078</ns0:v>
      </ns0:c>
      <ns0:c r="O165" s="16">
        <ns0:f>IF('前提と出典'!$C$36+'前提と出典'!$C$38=0,0,'前提と出典'!$B$4*IF('前提と出典'!$B$20=0,MAX('前提と出典'!$B$6,D165*'前提と出典'!$B$5),'前提と出典'!$B$6+D165*'前提と出典'!$B$5))</ns0:f>
        <ns0:v>159870.30167597765</ns0:v>
      </ns0:c>
      <ns0:c r="P165" s="16">
        <ns0:f>(E165+G165)*(1-'前提と出典'!$B$7)-I165-K165-M165-O165</ns0:f>
        <ns0:v>424603.4769403215</ns0:v>
      </ns0:c>
      <ns0:c r="Q165" s="16">
        <ns0:f>(F165+H165)*(1-'前提と出典'!$B$7)-J165-L165-N165</ns0:f>
        <ns0:v>115024.15648525242</ns0:v>
      </ns0:c>
      <ns0:c r="R165" s="16">
        <ns0:f>P165-E165*'前提と出典'!$E$4</ns0:f>
        <ns0:v>303183.4147477854</ns0:v>
      </ns0:c>
      <ns0:c r="S165" s="16">
        <ns0:f>Q165-F165*'前提と出典'!$E$4</ns0:f>
        <ns0:v>79742.59008791178</ns0:v>
      </ns0:c>
      <ns0:c r="T165" s="7">
        <ns0:f>R165+S165</ns0:f>
        <ns0:v>382926.00483569724</ns0:v>
      </ns0:c>
      <ns0:c r="U165" s="16">
        <ns0:f>P165-E165*'前提と出典'!$E$5</ns0:f>
        <ns0:v>262710.06068360666</ns0:v>
      </ns0:c>
      <ns0:c r="V165" s="16">
        <ns0:f>Q165-F165*'前提と出典'!$E$5</ns0:f>
        <ns0:v>67982.06795546491</ns0:v>
      </ns0:c>
      <ns0:c r="W165" s="7">
        <ns0:f>U165+V165</ns0:f>
        <ns0:v>330692.1286390716</ns0:v>
      </ns0:c>
      <ns0:c r="X165" s="16">
        <ns0:f>P165-E165*'前提と出典'!$E$6</ns0:f>
        <ns0:v>222236.706619428</ns0:v>
      </ns0:c>
      <ns0:c r="Y165" s="16">
        <ns0:f>Q165-F165*'前提と出典'!$E$6</ns0:f>
        <ns0:v>56221.545823018045</ns0:v>
      </ns0:c>
      <ns0:c r="Z165" s="7">
        <ns0:f>X165+Y165</ns0:f>
        <ns0:v>278458.2524424461</ns0:v>
      </ns0:c>
      <ns0:c r="AA165" s="7">
        <ns0:f>IF(T165&gt;=0,A165,1001)</ns0:f>
        <ns0:v>161</ns0:v>
      </ns0:c>
      <ns0:c r="AB165" s="7">
        <ns0:f>IF(T165&lt;0,A165,0)</ns0:f>
        <ns0:v>0</ns0:v>
      </ns0:c>
      <ns0:c r="AC165" s="16">
        <ns0:f>IF(AND(OR('前提と出典'!$C$36+'前提と出典'!$C$38=0,R165&gt;=0),OR('前提と出典'!$C$37+'前提と出典'!$C$38=0,S165&gt;=0)),0,A165)</ns0:f>
        <ns0:v>0</ns0:v>
      </ns0:c>
      <ns0:c r="AD165" s="7">
        <ns0:f>IF(W165&gt;=0,A165,1001)</ns0:f>
        <ns0:v>161</ns0:v>
      </ns0:c>
      <ns0:c r="AE165" s="7">
        <ns0:f>IF(W165&lt;0,A165,0)</ns0:f>
        <ns0:v>0</ns0:v>
      </ns0:c>
      <ns0:c r="AF165" s="16">
        <ns0:f>IF(AND(OR('前提と出典'!$C$36+'前提と出典'!$C$38=0,U165&gt;=0),OR('前提と出典'!$C$37+'前提と出典'!$C$38=0,V165&gt;=0)),0,A165)</ns0:f>
        <ns0:v>0</ns0:v>
      </ns0:c>
      <ns0:c r="AG165" s="7">
        <ns0:f>IF(Z165&gt;=0,A165,1001)</ns0:f>
        <ns0:v>161</ns0:v>
      </ns0:c>
      <ns0:c r="AH165" s="4">
        <ns0:f>IF(Z165&lt;0,A165,0)</ns0:f>
        <ns0:v>0</ns0:v>
      </ns0:c>
      <ns0:c r="AI165" s="12">
        <ns0:f>IF(AND(OR('前提と出典'!$C$36+'前提と出典'!$C$38=0,X165&gt;=0),OR('前提と出典'!$C$37+'前提と出典'!$C$38=0,Y165&gt;=0)),0,A165)</ns0:f>
        <ns0:v>0</ns0:v>
      </ns0:c>
    </ns0:row>
    <ns0:row r="166" ht="24" customHeight="1">
      <ns0:c r="A166" s="4" t="n">
        <ns0:v>162</ns0:v>
      </ns0:c>
      <ns0:c r="B166" s="12">
        <ns0:f>A166*('前提と出典'!$C$36+'前提と出典'!$C$38)</ns0:f>
        <ns0:v>113.39999999999999</ns0:v>
      </ns0:c>
      <ns0:c r="C166" s="12">
        <ns0:f>A166*('前提と出典'!$C$37+'前提と出典'!$C$38)</ns0:f>
        <ns0:v>97.2</ns0:v>
      </ns0:c>
      <ns0:c r="D166" s="16">
        <ns0:f>A166*('前提と出典'!$C$36*'契約別単価'!C5+'前提と出典'!$C$37*'契約別単価'!C6+'前提と出典'!$C$38*'契約別単価'!C7)</ns0:f>
        <ns0:v>1165.6759776536312</ns0:v>
      </ns0:c>
      <ns0:c r="E166" s="16">
        <ns0:f>A166*('前提と出典'!$C$36*'契約別単価'!E5+'前提と出典'!$C$37*'契約別単価'!E6+'前提と出典'!$C$38*'契約別単価'!E7)</ns0:f>
        <ns0:v>407247.41356502793</ns0:v>
      </ns0:c>
      <ns0:c r="F166" s="16">
        <ns0:f>A166*('前提と出典'!$C$36*'契約別単価'!F5+'前提と出典'!$C$37*'契約別単価'!F6+'前提と出典'!$C$38*'契約別単価'!F7)</ns0:f>
        <ns0:v>118335.68853766422</ns0:v>
      </ns0:c>
      <ns0:c r="G166" s="16">
        <ns0:f>A166*('前提と出典'!$C$36*'契約別単価'!G5+'前提と出典'!$C$37*'契約別単価'!G6+'前提と出典'!$C$38*'契約別単価'!G7)</ns0:f>
        <ns0:v>322461.4525139665</ns0:v>
      </ns0:c>
      <ns0:c r="H166" s="16">
        <ns0:f>A166*('前提と出典'!$C$36*'契約別単価'!H5+'前提と出典'!$C$37*'契約別単価'!H6+'前提と出典'!$C$38*'契約別単価'!H7)</ns0:f>
        <ns0:v>111910.29673507198</ns0:v>
      </ns0:c>
      <ns0:c r="I166" s="16">
        <ns0:f>A166*('前提と出典'!$C$36*'契約別単価'!I5+'前提と出典'!$C$37*'契約別単価'!I6+'前提と出典'!$C$38*'契約別単価'!I7)</ns0:f>
        <ns0:v>6835.67597765363</ns0:v>
      </ns0:c>
      <ns0:c r="J166" s="16">
        <ns0:f>A166*('前提と出典'!$C$36*'契約別単価'!J5+'前提と出典'!$C$37*'契約別単価'!J6+'前提と出典'!$C$38*'契約別単価'!J7)</ns0:f>
        <ns0:v>15922.906081069015</ns0:v>
      </ns0:c>
      <ns0:c r="K166" s="16">
        <ns0:f>A166*('前提と出典'!$C$36*'契約別単価'!K5+'前提と出典'!$C$37*'契約別単価'!K6+'前提と出典'!$C$38*'契約別単価'!K7)</ns0:f>
        <ns0:v>68251.17318435754</ns0:v>
      </ns0:c>
      <ns0:c r="L166" s="16">
        <ns0:f>A166*('前提と出典'!$C$36*'契約別単価'!L5+'前提と出典'!$C$37*'契約別単価'!L6+'前提と出典'!$C$38*'契約別単価'!L7)</ns0:f>
        <ns0:v>55570.343224502394</ns0:v>
      </ns0:c>
      <ns0:c r="M166" s="16">
        <ns0:f>IF(('前提と出典'!$C$36+'前提と出典'!$C$38)=0,0,IF(B166&lt;=10,'前提と出典'!B73+'前提と出典'!C73,IF(B166&lt;=100,'前提と出典'!B74+'前提と出典'!C74,IF(B166&lt;=500,'前提と出典'!B75+'前提と出典'!C75,'前提と出典'!B76+'前提と出典'!C76))))</ns0:f>
        <ns0:v>40000</ns0:v>
      </ns0:c>
      <ns0:c r="N166" s="16">
        <ns0:f>IF(('前提と出典'!$C$37+'前提と出典'!$C$38)=0,0,IF(C166&lt;=10,'前提と出典'!D73+'前提と出典'!E73,IF(C166&lt;=100,'前提と出典'!D74+'前提と出典'!E74,IF(C166&lt;=500,'前提と出典'!D75+'前提と出典'!E75,'前提と出典'!D76+'前提と出典'!E76))))</ns0:f>
        <ns0:v>34510.9346263078</ns0:v>
      </ns0:c>
      <ns0:c r="O166" s="16">
        <ns0:f>IF('前提と出典'!$C$36+'前提と出典'!$C$38=0,0,'前提と出典'!$B$4*IF('前提と出典'!$B$20=0,MAX('前提と出典'!$B$6,D166*'前提と出典'!$B$5),'前提と出典'!$B$6+D166*'前提と出典'!$B$5))</ns0:f>
        <ns0:v>160863.2849162011</ns0:v>
      </ns0:c>
      <ns0:c r="P166" s="16">
        <ns0:f>(E166+G166)*(1-'前提と出典'!$B$7)-I166-K166-M166-O166</ns0:f>
        <ns0:v>427489.2128219384</ns0:v>
      </ns0:c>
      <ns0:c r="Q166" s="16">
        <ns0:f>(F166+H166)*(1-'前提と出典'!$B$7)-J166-L166-N166</ns0:f>
        <ns0:v>115952.94587103848</ns0:v>
      </ns0:c>
      <ns0:c r="R166" s="16">
        <ns0:f>P166-E166*'前提と出典'!$E$4</ns0:f>
        <ns0:v>305314.9887524301</ns0:v>
      </ns0:c>
      <ns0:c r="S166" s="16">
        <ns0:f>Q166-F166*'前提と出典'!$E$4</ns0:f>
        <ns0:v>80452.2393097392</ns0:v>
      </ns0:c>
      <ns0:c r="T166" s="7">
        <ns0:f>R166+S166</ns0:f>
        <ns0:v>385767.2280621693</ns0:v>
      </ns0:c>
      <ns0:c r="U166" s="16">
        <ns0:f>P166-E166*'前提と出典'!$E$5</ns0:f>
        <ns0:v>264590.2473959272</ns0:v>
      </ns0:c>
      <ns0:c r="V166" s="16">
        <ns0:f>Q166-F166*'前提と出典'!$E$5</ns0:f>
        <ns0:v>68618.67045597278</ns0:v>
      </ns0:c>
      <ns0:c r="W166" s="7">
        <ns0:f>U166+V166</ns0:f>
        <ns0:v>333208.9178519</ns0:v>
      </ns0:c>
      <ns0:c r="X166" s="16">
        <ns0:f>P166-E166*'前提と出典'!$E$6</ns0:f>
        <ns0:v>223865.50603942436</ns0:v>
      </ns0:c>
      <ns0:c r="Y166" s="16">
        <ns0:f>Q166-F166*'前提と出典'!$E$6</ns0:f>
        <ns0:v>56785.10160220636</ns0:v>
      </ns0:c>
      <ns0:c r="Z166" s="7">
        <ns0:f>X166+Y166</ns0:f>
        <ns0:v>280650.60764163075</ns0:v>
      </ns0:c>
      <ns0:c r="AA166" s="7">
        <ns0:f>IF(T166&gt;=0,A166,1001)</ns0:f>
        <ns0:v>162</ns0:v>
      </ns0:c>
      <ns0:c r="AB166" s="7">
        <ns0:f>IF(T166&lt;0,A166,0)</ns0:f>
        <ns0:v>0</ns0:v>
      </ns0:c>
      <ns0:c r="AC166" s="16">
        <ns0:f>IF(AND(OR('前提と出典'!$C$36+'前提と出典'!$C$38=0,R166&gt;=0),OR('前提と出典'!$C$37+'前提と出典'!$C$38=0,S166&gt;=0)),0,A166)</ns0:f>
        <ns0:v>0</ns0:v>
      </ns0:c>
      <ns0:c r="AD166" s="7">
        <ns0:f>IF(W166&gt;=0,A166,1001)</ns0:f>
        <ns0:v>162</ns0:v>
      </ns0:c>
      <ns0:c r="AE166" s="7">
        <ns0:f>IF(W166&lt;0,A166,0)</ns0:f>
        <ns0:v>0</ns0:v>
      </ns0:c>
      <ns0:c r="AF166" s="16">
        <ns0:f>IF(AND(OR('前提と出典'!$C$36+'前提と出典'!$C$38=0,U166&gt;=0),OR('前提と出典'!$C$37+'前提と出典'!$C$38=0,V166&gt;=0)),0,A166)</ns0:f>
        <ns0:v>0</ns0:v>
      </ns0:c>
      <ns0:c r="AG166" s="7">
        <ns0:f>IF(Z166&gt;=0,A166,1001)</ns0:f>
        <ns0:v>162</ns0:v>
      </ns0:c>
      <ns0:c r="AH166" s="4">
        <ns0:f>IF(Z166&lt;0,A166,0)</ns0:f>
        <ns0:v>0</ns0:v>
      </ns0:c>
      <ns0:c r="AI166" s="12">
        <ns0:f>IF(AND(OR('前提と出典'!$C$36+'前提と出典'!$C$38=0,X166&gt;=0),OR('前提と出典'!$C$37+'前提と出典'!$C$38=0,Y166&gt;=0)),0,A166)</ns0:f>
        <ns0:v>0</ns0:v>
      </ns0:c>
    </ns0:row>
    <ns0:row r="167" ht="24" customHeight="1">
      <ns0:c r="A167" s="4" t="n">
        <ns0:v>163</ns0:v>
      </ns0:c>
      <ns0:c r="B167" s="12">
        <ns0:f>A167*('前提と出典'!$C$36+'前提と出典'!$C$38)</ns0:f>
        <ns0:v>114.1</ns0:v>
      </ns0:c>
      <ns0:c r="C167" s="12">
        <ns0:f>A167*('前提と出典'!$C$37+'前提と出典'!$C$38)</ns0:f>
        <ns0:v>97.8</ns0:v>
      </ns0:c>
      <ns0:c r="D167" s="16">
        <ns0:f>A167*('前提と出典'!$C$36*'契約別単価'!C5+'前提と出典'!$C$37*'契約別単価'!C6+'前提と出典'!$C$38*'契約別単価'!C7)</ns0:f>
        <ns0:v>1172.8715083798882</ns0:v>
      </ns0:c>
      <ns0:c r="E167" s="16">
        <ns0:f>A167*('前提と出典'!$C$36*'契約別単価'!E5+'前提と出典'!$C$37*'契約別単価'!E6+'前提と出典'!$C$38*'契約別単価'!E7)</ns0:f>
        <ns0:v>409761.2864882689</ns0:v>
      </ns0:c>
      <ns0:c r="F167" s="16">
        <ns0:f>A167*('前提と出典'!$C$36*'契約別単価'!F5+'前提と出典'!$C$37*'契約別単価'!F6+'前提と出典'!$C$38*'契約別単価'!F7)</ns0:f>
        <ns0:v>119066.15575085967</ns0:v>
      </ns0:c>
      <ns0:c r="G167" s="16">
        <ns0:f>A167*('前提と出典'!$C$36*'契約別単価'!G5+'前提と出典'!$C$37*'契約別単価'!G6+'前提と出典'!$C$38*'契約別単価'!G7)</ns0:f>
        <ns0:v>324451.95530726254</ns0:v>
      </ns0:c>
      <ns0:c r="H167" s="16">
        <ns0:f>A167*('前提と出典'!$C$36*'契約別単価'!H5+'前提と出典'!$C$37*'契約別単価'!H6+'前提と出典'!$C$38*'契約別単価'!H7)</ns0:f>
        <ns0:v>112601.10103590577</ns0:v>
      </ns0:c>
      <ns0:c r="I167" s="16">
        <ns0:f>A167*('前提と出典'!$C$36*'契約別単価'!I5+'前提と出典'!$C$37*'契約別単価'!I6+'前提と出典'!$C$38*'契約別単価'!I7)</ns0:f>
        <ns0:v>6877.871508379887</ns0:v>
      </ns0:c>
      <ns0:c r="J167" s="16">
        <ns0:f>A167*('前提と出典'!$C$36*'契約別単価'!J5+'前提と出典'!$C$37*'契約別単価'!J6+'前提と出典'!$C$38*'契約別単価'!J7)</ns0:f>
        <ns0:v>16021.195624779319</ns0:v>
      </ns0:c>
      <ns0:c r="K167" s="16">
        <ns0:f>A167*('前提と出典'!$C$36*'契約別単価'!K5+'前提と出典'!$C$37*'契約別単価'!K6+'前提と出典'!$C$38*'契約別単価'!K7)</ns0:f>
        <ns0:v>68672.47672253258</ns0:v>
      </ns0:c>
      <ns0:c r="L167" s="16">
        <ns0:f>A167*('前提と出典'!$C$36*'契約別単価'!L5+'前提と出典'!$C$37*'契約別単価'!L6+'前提と出典'!$C$38*'契約別単価'!L7)</ns0:f>
        <ns0:v>55913.37003453019</ns0:v>
      </ns0:c>
      <ns0:c r="M167" s="16">
        <ns0:f>IF(('前提と出典'!$C$36+'前提と出典'!$C$38)=0,0,IF(B167&lt;=10,'前提と出典'!B73+'前提と出典'!C73,IF(B167&lt;=100,'前提と出典'!B74+'前提と出典'!C74,IF(B167&lt;=500,'前提と出典'!B75+'前提と出典'!C75,'前提と出典'!B76+'前提と出典'!C76))))</ns0:f>
        <ns0:v>40000</ns0:v>
      </ns0:c>
      <ns0:c r="N167" s="16">
        <ns0:f>IF(('前提と出典'!$C$37+'前提と出典'!$C$38)=0,0,IF(C167&lt;=10,'前提と出典'!D73+'前提と出典'!E73,IF(C167&lt;=100,'前提と出典'!D74+'前提と出典'!E74,IF(C167&lt;=500,'前提と出典'!D75+'前提と出典'!E75,'前提と出典'!D76+'前提と出典'!E76))))</ns0:f>
        <ns0:v>34510.9346263078</ns0:v>
      </ns0:c>
      <ns0:c r="O167" s="16">
        <ns0:f>IF('前提と出典'!$C$36+'前提と出典'!$C$38=0,0,'前提と出典'!$B$4*IF('前提と出典'!$B$20=0,MAX('前提と出典'!$B$6,D167*'前提と出典'!$B$5),'前提と出典'!$B$6+D167*'前提と出典'!$B$5))</ns0:f>
        <ns0:v>161856.26815642457</ns0:v>
      </ns0:c>
      <ns0:c r="P167" s="16">
        <ns0:f>(E167+G167)*(1-'前提と出典'!$B$7)-I167-K167-M167-O167</ns0:f>
        <ns0:v>430374.9487035553</ns0:v>
      </ns0:c>
      <ns0:c r="Q167" s="16">
        <ns0:f>(F167+H167)*(1-'前提と出典'!$B$7)-J167-L167-N167</ns0:f>
        <ns0:v>116881.73525682458</ns0:v>
      </ns0:c>
      <ns0:c r="R167" s="16">
        <ns0:f>P167-E167*'前提と出典'!$E$4</ns0:f>
        <ns0:v>307446.5627570746</ns0:v>
      </ns0:c>
      <ns0:c r="S167" s="16">
        <ns0:f>Q167-F167*'前提と出典'!$E$4</ns0:f>
        <ns0:v>81161.88853156668</ns0:v>
      </ns0:c>
      <ns0:c r="T167" s="7">
        <ns0:f>R167+S167</ns0:f>
        <ns0:v>388608.4512886413</ns0:v>
      </ns0:c>
      <ns0:c r="U167" s="16">
        <ns0:f>P167-E167*'前提と出典'!$E$5</ns0:f>
        <ns0:v>266470.43410824775</ns0:v>
      </ns0:c>
      <ns0:c r="V167" s="16">
        <ns0:f>Q167-F167*'前提と出典'!$E$5</ns0:f>
        <ns0:v>69255.27295648071</ns0:v>
      </ns0:c>
      <ns0:c r="W167" s="7">
        <ns0:f>U167+V167</ns0:f>
        <ns0:v>335725.7070647285</ns0:v>
      </ns0:c>
      <ns0:c r="X167" s="16">
        <ns0:f>P167-E167*'前提と出典'!$E$6</ns0:f>
        <ns0:v>225494.30545942084</ns0:v>
      </ns0:c>
      <ns0:c r="Y167" s="16">
        <ns0:f>Q167-F167*'前提と出典'!$E$6</ns0:f>
        <ns0:v>57348.657381394725</ns0:v>
      </ns0:c>
      <ns0:c r="Z167" s="7">
        <ns0:f>X167+Y167</ns0:f>
        <ns0:v>282842.96284081554</ns0:v>
      </ns0:c>
      <ns0:c r="AA167" s="7">
        <ns0:f>IF(T167&gt;=0,A167,1001)</ns0:f>
        <ns0:v>163</ns0:v>
      </ns0:c>
      <ns0:c r="AB167" s="7">
        <ns0:f>IF(T167&lt;0,A167,0)</ns0:f>
        <ns0:v>0</ns0:v>
      </ns0:c>
      <ns0:c r="AC167" s="16">
        <ns0:f>IF(AND(OR('前提と出典'!$C$36+'前提と出典'!$C$38=0,R167&gt;=0),OR('前提と出典'!$C$37+'前提と出典'!$C$38=0,S167&gt;=0)),0,A167)</ns0:f>
        <ns0:v>0</ns0:v>
      </ns0:c>
      <ns0:c r="AD167" s="7">
        <ns0:f>IF(W167&gt;=0,A167,1001)</ns0:f>
        <ns0:v>163</ns0:v>
      </ns0:c>
      <ns0:c r="AE167" s="7">
        <ns0:f>IF(W167&lt;0,A167,0)</ns0:f>
        <ns0:v>0</ns0:v>
      </ns0:c>
      <ns0:c r="AF167" s="16">
        <ns0:f>IF(AND(OR('前提と出典'!$C$36+'前提と出典'!$C$38=0,U167&gt;=0),OR('前提と出典'!$C$37+'前提と出典'!$C$38=0,V167&gt;=0)),0,A167)</ns0:f>
        <ns0:v>0</ns0:v>
      </ns0:c>
      <ns0:c r="AG167" s="7">
        <ns0:f>IF(Z167&gt;=0,A167,1001)</ns0:f>
        <ns0:v>163</ns0:v>
      </ns0:c>
      <ns0:c r="AH167" s="4">
        <ns0:f>IF(Z167&lt;0,A167,0)</ns0:f>
        <ns0:v>0</ns0:v>
      </ns0:c>
      <ns0:c r="AI167" s="12">
        <ns0:f>IF(AND(OR('前提と出典'!$C$36+'前提と出典'!$C$38=0,X167&gt;=0),OR('前提と出典'!$C$37+'前提と出典'!$C$38=0,Y167&gt;=0)),0,A167)</ns0:f>
        <ns0:v>0</ns0:v>
      </ns0:c>
    </ns0:row>
    <ns0:row r="168" ht="24" customHeight="1">
      <ns0:c r="A168" s="4" t="n">
        <ns0:v>164</ns0:v>
      </ns0:c>
      <ns0:c r="B168" s="12">
        <ns0:f>A168*('前提と出典'!$C$36+'前提と出典'!$C$38)</ns0:f>
        <ns0:v>114.8</ns0:v>
      </ns0:c>
      <ns0:c r="C168" s="12">
        <ns0:f>A168*('前提と出典'!$C$37+'前提と出典'!$C$38)</ns0:f>
        <ns0:v>98.39999999999999</ns0:v>
      </ns0:c>
      <ns0:c r="D168" s="16">
        <ns0:f>A168*('前提と出典'!$C$36*'契約別単価'!C5+'前提と出典'!$C$37*'契約別単価'!C6+'前提と出典'!$C$38*'契約別単価'!C7)</ns0:f>
        <ns0:v>1180.0670391061453</ns0:v>
      </ns0:c>
      <ns0:c r="E168" s="16">
        <ns0:f>A168*('前提と出典'!$C$36*'契約別単価'!E5+'前提と出典'!$C$37*'契約別単価'!E6+'前提と出典'!$C$38*'契約別単価'!E7)</ns0:f>
        <ns0:v>412275.15941150975</ns0:v>
      </ns0:c>
      <ns0:c r="F168" s="16">
        <ns0:f>A168*('前提と出典'!$C$36*'契約別単価'!F5+'前提と出典'!$C$37*'契約別単価'!F6+'前提と出典'!$C$38*'契約別単価'!F7)</ns0:f>
        <ns0:v>119796.62296405513</ns0:v>
      </ns0:c>
      <ns0:c r="G168" s="16">
        <ns0:f>A168*('前提と出典'!$C$36*'契約別単価'!G5+'前提と出典'!$C$37*'契約別単価'!G6+'前提と出典'!$C$38*'契約別単価'!G7)</ns0:f>
        <ns0:v>326442.45810055867</ns0:v>
      </ns0:c>
      <ns0:c r="H168" s="16">
        <ns0:f>A168*('前提と出典'!$C$36*'契約別単価'!H5+'前提と出典'!$C$37*'契約別単価'!H6+'前提と出典'!$C$38*'契約別単価'!H7)</ns0:f>
        <ns0:v>113291.90533673954</ns0:v>
      </ns0:c>
      <ns0:c r="I168" s="16">
        <ns0:f>A168*('前提と出典'!$C$36*'契約別単価'!I5+'前提と出典'!$C$37*'契約別単価'!I6+'前提と出典'!$C$38*'契約別単価'!I7)</ns0:f>
        <ns0:v>6920.067039106144</ns0:v>
      </ns0:c>
      <ns0:c r="J168" s="16">
        <ns0:f>A168*('前提と出典'!$C$36*'契約別単価'!J5+'前提と出典'!$C$37*'契約別単価'!J6+'前提と出典'!$C$38*'契約別単価'!J7)</ns0:f>
        <ns0:v>16119.48516848962</ns0:v>
      </ns0:c>
      <ns0:c r="K168" s="16">
        <ns0:f>A168*('前提と出典'!$C$36*'契約別単価'!K5+'前提と出典'!$C$37*'契約別単価'!K6+'前提と出典'!$C$38*'契約別単価'!K7)</ns0:f>
        <ns0:v>69093.78026070763</ns0:v>
      </ns0:c>
      <ns0:c r="L168" s="16">
        <ns0:f>A168*('前提と出典'!$C$36*'契約別単価'!L5+'前提と出典'!$C$37*'契約別単価'!L6+'前提と出典'!$C$38*'契約別単価'!L7)</ns0:f>
        <ns0:v>56256.39684455798</ns0:v>
      </ns0:c>
      <ns0:c r="M168" s="16">
        <ns0:f>IF(('前提と出典'!$C$36+'前提と出典'!$C$38)=0,0,IF(B168&lt;=10,'前提と出典'!B73+'前提と出典'!C73,IF(B168&lt;=100,'前提と出典'!B74+'前提と出典'!C74,IF(B168&lt;=500,'前提と出典'!B75+'前提と出典'!C75,'前提と出典'!B76+'前提と出典'!C76))))</ns0:f>
        <ns0:v>40000</ns0:v>
      </ns0:c>
      <ns0:c r="N168" s="16">
        <ns0:f>IF(('前提と出典'!$C$37+'前提と出典'!$C$38)=0,0,IF(C168&lt;=10,'前提と出典'!D73+'前提と出典'!E73,IF(C168&lt;=100,'前提と出典'!D74+'前提と出典'!E74,IF(C168&lt;=500,'前提と出典'!D75+'前提と出典'!E75,'前提と出典'!D76+'前提と出典'!E76))))</ns0:f>
        <ns0:v>34510.9346263078</ns0:v>
      </ns0:c>
      <ns0:c r="O168" s="16">
        <ns0:f>IF('前提と出典'!$C$36+'前提と出典'!$C$38=0,0,'前提と出典'!$B$4*IF('前提と出典'!$B$20=0,MAX('前提と出典'!$B$6,D168*'前提と出典'!$B$5),'前提と出典'!$B$6+D168*'前提と出典'!$B$5))</ns0:f>
        <ns0:v>162849.25139664806</ns0:v>
      </ns0:c>
      <ns0:c r="P168" s="16">
        <ns0:f>(E168+G168)*(1-'前提と出典'!$B$7)-I168-K168-M168-O168</ns0:f>
        <ns0:v>433260.68458517216</ns0:v>
      </ns0:c>
      <ns0:c r="Q168" s="16">
        <ns0:f>(F168+H168)*(1-'前提と出典'!$B$7)-J168-L168-N168</ns0:f>
        <ns0:v>117810.52464261063</ns0:v>
      </ns0:c>
      <ns0:c r="R168" s="16">
        <ns0:f>P168-E168*'前提と出典'!$E$4</ns0:f>
        <ns0:v>309578.1367617193</ns0:v>
      </ns0:c>
      <ns0:c r="S168" s="16">
        <ns0:f>Q168-F168*'前提と出典'!$E$4</ns0:f>
        <ns0:v>81871.5377533941</ns0:v>
      </ns0:c>
      <ns0:c r="T168" s="7">
        <ns0:f>R168+S168</ns0:f>
        <ns0:v>391449.6745151134</ns0:v>
      </ns0:c>
      <ns0:c r="U168" s="16">
        <ns0:f>P168-E168*'前提と出典'!$E$5</ns0:f>
        <ns0:v>268350.62082056823</ns0:v>
      </ns0:c>
      <ns0:c r="V168" s="16">
        <ns0:f>Q168-F168*'前提と出典'!$E$5</ns0:f>
        <ns0:v>69891.87545698858</ns0:v>
      </ns0:c>
      <ns0:c r="W168" s="7">
        <ns0:f>U168+V168</ns0:f>
        <ns0:v>338242.4962775568</ns0:v>
      </ns0:c>
      <ns0:c r="X168" s="16">
        <ns0:f>P168-E168*'前提と出典'!$E$6</ns0:f>
        <ns0:v>227123.10487941728</ns0:v>
      </ns0:c>
      <ns0:c r="Y168" s="16">
        <ns0:f>Q168-F168*'前提と出典'!$E$6</ns0:f>
        <ns0:v>57912.21316058306</ns0:v>
      </ns0:c>
      <ns0:c r="Z168" s="7">
        <ns0:f>X168+Y168</ns0:f>
        <ns0:v>285035.31804000033</ns0:v>
      </ns0:c>
      <ns0:c r="AA168" s="7">
        <ns0:f>IF(T168&gt;=0,A168,1001)</ns0:f>
        <ns0:v>164</ns0:v>
      </ns0:c>
      <ns0:c r="AB168" s="7">
        <ns0:f>IF(T168&lt;0,A168,0)</ns0:f>
        <ns0:v>0</ns0:v>
      </ns0:c>
      <ns0:c r="AC168" s="16">
        <ns0:f>IF(AND(OR('前提と出典'!$C$36+'前提と出典'!$C$38=0,R168&gt;=0),OR('前提と出典'!$C$37+'前提と出典'!$C$38=0,S168&gt;=0)),0,A168)</ns0:f>
        <ns0:v>0</ns0:v>
      </ns0:c>
      <ns0:c r="AD168" s="7">
        <ns0:f>IF(W168&gt;=0,A168,1001)</ns0:f>
        <ns0:v>164</ns0:v>
      </ns0:c>
      <ns0:c r="AE168" s="7">
        <ns0:f>IF(W168&lt;0,A168,0)</ns0:f>
        <ns0:v>0</ns0:v>
      </ns0:c>
      <ns0:c r="AF168" s="16">
        <ns0:f>IF(AND(OR('前提と出典'!$C$36+'前提と出典'!$C$38=0,U168&gt;=0),OR('前提と出典'!$C$37+'前提と出典'!$C$38=0,V168&gt;=0)),0,A168)</ns0:f>
        <ns0:v>0</ns0:v>
      </ns0:c>
      <ns0:c r="AG168" s="7">
        <ns0:f>IF(Z168&gt;=0,A168,1001)</ns0:f>
        <ns0:v>164</ns0:v>
      </ns0:c>
      <ns0:c r="AH168" s="4">
        <ns0:f>IF(Z168&lt;0,A168,0)</ns0:f>
        <ns0:v>0</ns0:v>
      </ns0:c>
      <ns0:c r="AI168" s="12">
        <ns0:f>IF(AND(OR('前提と出典'!$C$36+'前提と出典'!$C$38=0,X168&gt;=0),OR('前提と出典'!$C$37+'前提と出典'!$C$38=0,Y168&gt;=0)),0,A168)</ns0:f>
        <ns0:v>0</ns0:v>
      </ns0:c>
    </ns0:row>
    <ns0:row r="169" ht="24" customHeight="1">
      <ns0:c r="A169" s="4" t="n">
        <ns0:v>165</ns0:v>
      </ns0:c>
      <ns0:c r="B169" s="12">
        <ns0:f>A169*('前提と出典'!$C$36+'前提と出典'!$C$38)</ns0:f>
        <ns0:v>115.49999999999999</ns0:v>
      </ns0:c>
      <ns0:c r="C169" s="12">
        <ns0:f>A169*('前提と出典'!$C$37+'前提と出典'!$C$38)</ns0:f>
        <ns0:v>99</ns0:v>
      </ns0:c>
      <ns0:c r="D169" s="16">
        <ns0:f>A169*('前提と出典'!$C$36*'契約別単価'!C5+'前提と出典'!$C$37*'契約別単価'!C6+'前提と出典'!$C$38*'契約別単価'!C7)</ns0:f>
        <ns0:v>1187.2625698324023</ns0:v>
      </ns0:c>
      <ns0:c r="E169" s="16">
        <ns0:f>A169*('前提と出典'!$C$36*'契約別単価'!E5+'前提と出典'!$C$37*'契約別単価'!E6+'前提と出典'!$C$38*'契約別単価'!E7)</ns0:f>
        <ns0:v>414789.0323347507</ns0:v>
      </ns0:c>
      <ns0:c r="F169" s="16">
        <ns0:f>A169*('前提と出典'!$C$36*'契約別単価'!F5+'前提と出典'!$C$37*'契約別単価'!F6+'前提と出典'!$C$38*'契約別単価'!F7)</ns0:f>
        <ns0:v>120527.09017725059</ns0:v>
      </ns0:c>
      <ns0:c r="G169" s="16">
        <ns0:f>A169*('前提と出典'!$C$36*'契約別単価'!G5+'前提と出典'!$C$37*'契約別単価'!G6+'前提と出典'!$C$38*'契約別単価'!G7)</ns0:f>
        <ns0:v>328432.96089385473</ns0:v>
      </ns0:c>
      <ns0:c r="H169" s="16">
        <ns0:f>A169*('前提と出典'!$C$36*'契約別単価'!H5+'前提と出典'!$C$37*'契約別単価'!H6+'前提と出典'!$C$38*'契約別単価'!H7)</ns0:f>
        <ns0:v>113982.70963757332</ns0:v>
      </ns0:c>
      <ns0:c r="I169" s="16">
        <ns0:f>A169*('前提と出典'!$C$36*'契約別単価'!I5+'前提と出典'!$C$37*'契約別単価'!I6+'前提と出典'!$C$38*'契約別単価'!I7)</ns0:f>
        <ns0:v>6962.262569832401</ns0:v>
      </ns0:c>
      <ns0:c r="J169" s="16">
        <ns0:f>A169*('前提と出典'!$C$36*'契約別単価'!J5+'前提と出典'!$C$37*'契約別単価'!J6+'前提と出典'!$C$38*'契約別単価'!J7)</ns0:f>
        <ns0:v>16217.774712199924</ns0:v>
      </ns0:c>
      <ns0:c r="K169" s="16">
        <ns0:f>A169*('前提と出典'!$C$36*'契約別単価'!K5+'前提と出典'!$C$37*'契約別単価'!K6+'前提と出典'!$C$38*'契約別単価'!K7)</ns0:f>
        <ns0:v>69515.08379888268</ns0:v>
      </ns0:c>
      <ns0:c r="L169" s="16">
        <ns0:f>A169*('前提と出典'!$C$36*'契約別単価'!L5+'前提と出典'!$C$37*'契約別単価'!L6+'前提と出典'!$C$38*'契約別単価'!L7)</ns0:f>
        <ns0:v>56599.42365458578</ns0:v>
      </ns0:c>
      <ns0:c r="M169" s="16">
        <ns0:f>IF(('前提と出典'!$C$36+'前提と出典'!$C$38)=0,0,IF(B169&lt;=10,'前提と出典'!B73+'前提と出典'!C73,IF(B169&lt;=100,'前提と出典'!B74+'前提と出典'!C74,IF(B169&lt;=500,'前提と出典'!B75+'前提と出典'!C75,'前提と出典'!B76+'前提と出典'!C76))))</ns0:f>
        <ns0:v>40000</ns0:v>
      </ns0:c>
      <ns0:c r="N169" s="16">
        <ns0:f>IF(('前提と出典'!$C$37+'前提と出典'!$C$38)=0,0,IF(C169&lt;=10,'前提と出典'!D73+'前提と出典'!E73,IF(C169&lt;=100,'前提と出典'!D74+'前提と出典'!E74,IF(C169&lt;=500,'前提と出典'!D75+'前提と出典'!E75,'前提と出典'!D76+'前提と出典'!E76))))</ns0:f>
        <ns0:v>34510.9346263078</ns0:v>
      </ns0:c>
      <ns0:c r="O169" s="16">
        <ns0:f>IF('前提と出典'!$C$36+'前提と出典'!$C$38=0,0,'前提と出典'!$B$4*IF('前提と出典'!$B$20=0,MAX('前提と出典'!$B$6,D169*'前提と出典'!$B$5),'前提と出典'!$B$6+D169*'前提と出典'!$B$5))</ns0:f>
        <ns0:v>163842.23463687152</ns0:v>
      </ns0:c>
      <ns0:c r="P169" s="16">
        <ns0:f>(E169+G169)*(1-'前提と出典'!$B$7)-I169-K169-M169-O169</ns0:f>
        <ns0:v>436146.42046678916</ns0:v>
      </ns0:c>
      <ns0:c r="Q169" s="16">
        <ns0:f>(F169+H169)*(1-'前提と出典'!$B$7)-J169-L169-N169</ns0:f>
        <ns0:v>118739.31402839671</ns0:v>
      </ns0:c>
      <ns0:c r="R169" s="16">
        <ns0:f>P169-E169*'前提と出典'!$E$4</ns0:f>
        <ns0:v>311709.710766364</ns0:v>
      </ns0:c>
      <ns0:c r="S169" s="16">
        <ns0:f>Q169-F169*'前提と出典'!$E$4</ns0:f>
        <ns0:v>82581.18697522156</ns0:v>
      </ns0:c>
      <ns0:c r="T169" s="7">
        <ns0:f>R169+S169</ns0:f>
        <ns0:v>394290.89774158556</ns0:v>
      </ns0:c>
      <ns0:c r="U169" s="16">
        <ns0:f>P169-E169*'前提と出典'!$E$5</ns0:f>
        <ns0:v>270230.80753288884</ns0:v>
      </ns0:c>
      <ns0:c r="V169" s="16">
        <ns0:f>Q169-F169*'前提と出典'!$E$5</ns0:f>
        <ns0:v>70528.47795749648</ns0:v>
      </ns0:c>
      <ns0:c r="W169" s="7">
        <ns0:f>U169+V169</ns0:f>
        <ns0:v>340759.2854903853</ns0:v>
      </ns0:c>
      <ns0:c r="X169" s="16">
        <ns0:f>P169-E169*'前提と出典'!$E$6</ns0:f>
        <ns0:v>228751.90429941376</ns0:v>
      </ns0:c>
      <ns0:c r="Y169" s="16">
        <ns0:f>Q169-F169*'前提と出典'!$E$6</ns0:f>
        <ns0:v>58475.768939771464</ns0:v>
      </ns0:c>
      <ns0:c r="Z169" s="7">
        <ns0:f>X169+Y169</ns0:f>
        <ns0:v>287227.67323918524</ns0:v>
      </ns0:c>
      <ns0:c r="AA169" s="7">
        <ns0:f>IF(T169&gt;=0,A169,1001)</ns0:f>
        <ns0:v>165</ns0:v>
      </ns0:c>
      <ns0:c r="AB169" s="7">
        <ns0:f>IF(T169&lt;0,A169,0)</ns0:f>
        <ns0:v>0</ns0:v>
      </ns0:c>
      <ns0:c r="AC169" s="16">
        <ns0:f>IF(AND(OR('前提と出典'!$C$36+'前提と出典'!$C$38=0,R169&gt;=0),OR('前提と出典'!$C$37+'前提と出典'!$C$38=0,S169&gt;=0)),0,A169)</ns0:f>
        <ns0:v>0</ns0:v>
      </ns0:c>
      <ns0:c r="AD169" s="7">
        <ns0:f>IF(W169&gt;=0,A169,1001)</ns0:f>
        <ns0:v>165</ns0:v>
      </ns0:c>
      <ns0:c r="AE169" s="7">
        <ns0:f>IF(W169&lt;0,A169,0)</ns0:f>
        <ns0:v>0</ns0:v>
      </ns0:c>
      <ns0:c r="AF169" s="16">
        <ns0:f>IF(AND(OR('前提と出典'!$C$36+'前提と出典'!$C$38=0,U169&gt;=0),OR('前提と出典'!$C$37+'前提と出典'!$C$38=0,V169&gt;=0)),0,A169)</ns0:f>
        <ns0:v>0</ns0:v>
      </ns0:c>
      <ns0:c r="AG169" s="7">
        <ns0:f>IF(Z169&gt;=0,A169,1001)</ns0:f>
        <ns0:v>165</ns0:v>
      </ns0:c>
      <ns0:c r="AH169" s="4">
        <ns0:f>IF(Z169&lt;0,A169,0)</ns0:f>
        <ns0:v>0</ns0:v>
      </ns0:c>
      <ns0:c r="AI169" s="12">
        <ns0:f>IF(AND(OR('前提と出典'!$C$36+'前提と出典'!$C$38=0,X169&gt;=0),OR('前提と出典'!$C$37+'前提と出典'!$C$38=0,Y169&gt;=0)),0,A169)</ns0:f>
        <ns0:v>0</ns0:v>
      </ns0:c>
    </ns0:row>
    <ns0:row r="170" ht="24" customHeight="1">
      <ns0:c r="A170" s="4" t="n">
        <ns0:v>166</ns0:v>
      </ns0:c>
      <ns0:c r="B170" s="12">
        <ns0:f>A170*('前提と出典'!$C$36+'前提と出典'!$C$38)</ns0:f>
        <ns0:v>116.19999999999999</ns0:v>
      </ns0:c>
      <ns0:c r="C170" s="12">
        <ns0:f>A170*('前提と出典'!$C$37+'前提と出典'!$C$38)</ns0:f>
        <ns0:v>99.6</ns0:v>
      </ns0:c>
      <ns0:c r="D170" s="16">
        <ns0:f>A170*('前提と出典'!$C$36*'契約別単価'!C5+'前提と出典'!$C$37*'契約別単価'!C6+'前提と出典'!$C$38*'契約別単価'!C7)</ns0:f>
        <ns0:v>1194.4581005586592</ns0:v>
      </ns0:c>
      <ns0:c r="E170" s="16">
        <ns0:f>A170*('前提と出典'!$C$36*'契約別単価'!E5+'前提と出典'!$C$37*'契約別単価'!E6+'前提と出典'!$C$38*'契約別単価'!E7)</ns0:f>
        <ns0:v>417302.9052579916</ns0:v>
      </ns0:c>
      <ns0:c r="F170" s="16">
        <ns0:f>A170*('前提と出典'!$C$36*'契約別単価'!F5+'前提と出典'!$C$37*'契約別単価'!F6+'前提と出典'!$C$38*'契約別単価'!F7)</ns0:f>
        <ns0:v>121257.55739044605</ns0:v>
      </ns0:c>
      <ns0:c r="G170" s="16">
        <ns0:f>A170*('前提と出典'!$C$36*'契約別単価'!G5+'前提と出典'!$C$37*'契約別単価'!G6+'前提と出典'!$C$38*'契約別単価'!G7)</ns0:f>
        <ns0:v>330423.4636871508</ns0:v>
      </ns0:c>
      <ns0:c r="H170" s="16">
        <ns0:f>A170*('前提と出典'!$C$36*'契約別単価'!H5+'前提と出典'!$C$37*'契約別単価'!H6+'前提と出典'!$C$38*'契約別単価'!H7)</ns0:f>
        <ns0:v>114673.5139384071</ns0:v>
      </ns0:c>
      <ns0:c r="I170" s="16">
        <ns0:f>A170*('前提と出典'!$C$36*'契約別単価'!I5+'前提と出典'!$C$37*'契約別単価'!I6+'前提と出典'!$C$38*'契約別単価'!I7)</ns0:f>
        <ns0:v>7004.458100558658</ns0:v>
      </ns0:c>
      <ns0:c r="J170" s="16">
        <ns0:f>A170*('前提と出典'!$C$36*'契約別単価'!J5+'前提と出典'!$C$37*'契約別単価'!J6+'前提と出典'!$C$38*'契約別単価'!J7)</ns0:f>
        <ns0:v>16316.064255910225</ns0:v>
      </ns0:c>
      <ns0:c r="K170" s="16">
        <ns0:f>A170*('前提と出典'!$C$36*'契約別単価'!K5+'前提と出典'!$C$37*'契約別単価'!K6+'前提と出典'!$C$38*'契約別単価'!K7)</ns0:f>
        <ns0:v>69936.38733705772</ns0:v>
      </ns0:c>
      <ns0:c r="L170" s="16">
        <ns0:f>A170*('前提と出典'!$C$36*'契約別単価'!L5+'前提と出典'!$C$37*'契約別単価'!L6+'前提と出典'!$C$38*'契約別単価'!L7)</ns0:f>
        <ns0:v>56942.45046461357</ns0:v>
      </ns0:c>
      <ns0:c r="M170" s="16">
        <ns0:f>IF(('前提と出典'!$C$36+'前提と出典'!$C$38)=0,0,IF(B170&lt;=10,'前提と出典'!B73+'前提と出典'!C73,IF(B170&lt;=100,'前提と出典'!B74+'前提と出典'!C74,IF(B170&lt;=500,'前提と出典'!B75+'前提と出典'!C75,'前提と出典'!B76+'前提と出典'!C76))))</ns0:f>
        <ns0:v>40000</ns0:v>
      </ns0:c>
      <ns0:c r="N170" s="16">
        <ns0:f>IF(('前提と出典'!$C$37+'前提と出典'!$C$38)=0,0,IF(C170&lt;=10,'前提と出典'!D73+'前提と出典'!E73,IF(C170&lt;=100,'前提と出典'!D74+'前提と出典'!E74,IF(C170&lt;=500,'前提と出典'!D75+'前提と出典'!E75,'前提と出典'!D76+'前提と出典'!E76))))</ns0:f>
        <ns0:v>34510.9346263078</ns0:v>
      </ns0:c>
      <ns0:c r="O170" s="16">
        <ns0:f>IF('前提と出典'!$C$36+'前提と出典'!$C$38=0,0,'前提と出典'!$B$4*IF('前提と出典'!$B$20=0,MAX('前提と出典'!$B$6,D170*'前提と出典'!$B$5),'前提と出典'!$B$6+D170*'前提と出典'!$B$5))</ns0:f>
        <ns0:v>164835.21787709495</ns0:v>
      </ns0:c>
      <ns0:c r="P170" s="16">
        <ns0:f>(E170+G170)*(1-'前提と出典'!$B$7)-I170-K170-M170-O170</ns0:f>
        <ns0:v>439032.1563484059</ns0:v>
      </ns0:c>
      <ns0:c r="Q170" s="16">
        <ns0:f>(F170+H170)*(1-'前提と出典'!$B$7)-J170-L170-N170</ns0:f>
        <ns0:v>119668.10341418286</ns0:v>
      </ns0:c>
      <ns0:c r="R170" s="16">
        <ns0:f>P170-E170*'前提と出典'!$E$4</ns0:f>
        <ns0:v>313841.2847710084</ns0:v>
      </ns0:c>
      <ns0:c r="S170" s="16">
        <ns0:f>Q170-F170*'前提と出典'!$E$4</ns0:f>
        <ns0:v>83290.83619704904</ns0:v>
      </ns0:c>
      <ns0:c r="T170" s="7">
        <ns0:f>R170+S170</ns0:f>
        <ns0:v>397132.1209680574</ns0:v>
      </ns0:c>
      <ns0:c r="U170" s="16">
        <ns0:f>P170-E170*'前提と出典'!$E$5</ns0:f>
        <ns0:v>272110.99424520927</ns0:v>
      </ns0:c>
      <ns0:c r="V170" s="16">
        <ns0:f>Q170-F170*'前提と出典'!$E$5</ns0:f>
        <ns0:v>71165.08045800444</ns0:v>
      </ns0:c>
      <ns0:c r="W170" s="7">
        <ns0:f>U170+V170</ns0:f>
        <ns0:v>343276.0747032137</ns0:v>
      </ns0:c>
      <ns0:c r="X170" s="16">
        <ns0:f>P170-E170*'前提と出典'!$E$6</ns0:f>
        <ns0:v>230380.70371941014</ns0:v>
      </ns0:c>
      <ns0:c r="Y170" s="16">
        <ns0:f>Q170-F170*'前提と出典'!$E$6</ns0:f>
        <ns0:v>59039.32471895981</ns0:v>
      </ns0:c>
      <ns0:c r="Z170" s="7">
        <ns0:f>X170+Y170</ns0:f>
        <ns0:v>289420.02843837</ns0:v>
      </ns0:c>
      <ns0:c r="AA170" s="7">
        <ns0:f>IF(T170&gt;=0,A170,1001)</ns0:f>
        <ns0:v>166</ns0:v>
      </ns0:c>
      <ns0:c r="AB170" s="7">
        <ns0:f>IF(T170&lt;0,A170,0)</ns0:f>
        <ns0:v>0</ns0:v>
      </ns0:c>
      <ns0:c r="AC170" s="16">
        <ns0:f>IF(AND(OR('前提と出典'!$C$36+'前提と出典'!$C$38=0,R170&gt;=0),OR('前提と出典'!$C$37+'前提と出典'!$C$38=0,S170&gt;=0)),0,A170)</ns0:f>
        <ns0:v>0</ns0:v>
      </ns0:c>
      <ns0:c r="AD170" s="7">
        <ns0:f>IF(W170&gt;=0,A170,1001)</ns0:f>
        <ns0:v>166</ns0:v>
      </ns0:c>
      <ns0:c r="AE170" s="7">
        <ns0:f>IF(W170&lt;0,A170,0)</ns0:f>
        <ns0:v>0</ns0:v>
      </ns0:c>
      <ns0:c r="AF170" s="16">
        <ns0:f>IF(AND(OR('前提と出典'!$C$36+'前提と出典'!$C$38=0,U170&gt;=0),OR('前提と出典'!$C$37+'前提と出典'!$C$38=0,V170&gt;=0)),0,A170)</ns0:f>
        <ns0:v>0</ns0:v>
      </ns0:c>
      <ns0:c r="AG170" s="7">
        <ns0:f>IF(Z170&gt;=0,A170,1001)</ns0:f>
        <ns0:v>166</ns0:v>
      </ns0:c>
      <ns0:c r="AH170" s="4">
        <ns0:f>IF(Z170&lt;0,A170,0)</ns0:f>
        <ns0:v>0</ns0:v>
      </ns0:c>
      <ns0:c r="AI170" s="12">
        <ns0:f>IF(AND(OR('前提と出典'!$C$36+'前提と出典'!$C$38=0,X170&gt;=0),OR('前提と出典'!$C$37+'前提と出典'!$C$38=0,Y170&gt;=0)),0,A170)</ns0:f>
        <ns0:v>0</ns0:v>
      </ns0:c>
    </ns0:row>
    <ns0:row r="171" ht="24" customHeight="1">
      <ns0:c r="A171" s="4" t="n">
        <ns0:v>167</ns0:v>
      </ns0:c>
      <ns0:c r="B171" s="12">
        <ns0:f>A171*('前提と出典'!$C$36+'前提と出典'!$C$38)</ns0:f>
        <ns0:v>116.89999999999999</ns0:v>
      </ns0:c>
      <ns0:c r="C171" s="12">
        <ns0:f>A171*('前提と出典'!$C$37+'前提と出典'!$C$38)</ns0:f>
        <ns0:v>100.2</ns0:v>
      </ns0:c>
      <ns0:c r="D171" s="16">
        <ns0:f>A171*('前提と出典'!$C$36*'契約別単価'!C5+'前提と出典'!$C$37*'契約別単価'!C6+'前提と出典'!$C$38*'契約別単価'!C7)</ns0:f>
        <ns0:v>1201.6536312849162</ns0:v>
      </ns0:c>
      <ns0:c r="E171" s="16">
        <ns0:f>A171*('前提と出典'!$C$36*'契約別単価'!E5+'前提と出典'!$C$37*'契約別単価'!E6+'前提と出典'!$C$38*'契約別単価'!E7)</ns0:f>
        <ns0:v>419816.7781812325</ns0:v>
      </ns0:c>
      <ns0:c r="F171" s="16">
        <ns0:f>A171*('前提と出典'!$C$36*'契約別単価'!F5+'前提と出典'!$C$37*'契約別単価'!F6+'前提と出典'!$C$38*'契約別単価'!F7)</ns0:f>
        <ns0:v>121988.02460364152</ns0:v>
      </ns0:c>
      <ns0:c r="G171" s="16">
        <ns0:f>A171*('前提と出典'!$C$36*'契約別単価'!G5+'前提と出典'!$C$37*'契約別単価'!G6+'前提と出典'!$C$38*'契約別単価'!G7)</ns0:f>
        <ns0:v>332413.9664804469</ns0:v>
      </ns0:c>
      <ns0:c r="H171" s="16">
        <ns0:f>A171*('前提と出典'!$C$36*'契約別単価'!H5+'前提と出典'!$C$37*'契約別単価'!H6+'前提と出典'!$C$38*'契約別単価'!H7)</ns0:f>
        <ns0:v>115364.31823924088</ns0:v>
      </ns0:c>
      <ns0:c r="I171" s="16">
        <ns0:f>A171*('前提と出典'!$C$36*'契約別単価'!I5+'前提と出典'!$C$37*'契約別単価'!I6+'前提と出典'!$C$38*'契約別単価'!I7)</ns0:f>
        <ns0:v>7046.653631284915</ns0:v>
      </ns0:c>
      <ns0:c r="J171" s="16">
        <ns0:f>A171*('前提と出典'!$C$36*'契約別単価'!J5+'前提と出典'!$C$37*'契約別単価'!J6+'前提と出典'!$C$38*'契約別単価'!J7)</ns0:f>
        <ns0:v>16414.35379962053</ns0:v>
      </ns0:c>
      <ns0:c r="K171" s="16">
        <ns0:f>A171*('前提と出典'!$C$36*'契約別単価'!K5+'前提と出典'!$C$37*'契約別単価'!K6+'前提と出典'!$C$38*'契約別単価'!K7)</ns0:f>
        <ns0:v>70357.69087523277</ns0:v>
      </ns0:c>
      <ns0:c r="L171" s="16">
        <ns0:f>A171*('前提と出典'!$C$36*'契約別単価'!L5+'前提と出典'!$C$37*'契約別単価'!L6+'前提と出典'!$C$38*'契約別単価'!L7)</ns0:f>
        <ns0:v>57285.47727464136</ns0:v>
      </ns0:c>
      <ns0:c r="M171" s="16">
        <ns0:f>IF(('前提と出典'!$C$36+'前提と出典'!$C$38)=0,0,IF(B171&lt;=10,'前提と出典'!B73+'前提と出典'!C73,IF(B171&lt;=100,'前提と出典'!B74+'前提と出典'!C74,IF(B171&lt;=500,'前提と出典'!B75+'前提と出典'!C75,'前提と出典'!B76+'前提と出典'!C76))))</ns0:f>
        <ns0:v>40000</ns0:v>
      </ns0:c>
      <ns0:c r="N171" s="16">
        <ns0:f>IF(('前提と出典'!$C$37+'前提と出典'!$C$38)=0,0,IF(C171&lt;=10,'前提と出典'!D73+'前提と出典'!E73,IF(C171&lt;=100,'前提と出典'!D74+'前提と出典'!E74,IF(C171&lt;=500,'前提と出典'!D75+'前提と出典'!E75,'前提と出典'!D76+'前提と出典'!E76))))</ns0:f>
        <ns0:v>56510.9346263078</ns0:v>
      </ns0:c>
      <ns0:c r="O171" s="16">
        <ns0:f>IF('前提と出典'!$C$36+'前提と出典'!$C$38=0,0,'前提と出典'!$B$4*IF('前提と出典'!$B$20=0,MAX('前提と出典'!$B$6,D171*'前提と出典'!$B$5),'前提と出典'!$B$6+D171*'前提と出典'!$B$5))</ns0:f>
        <ns0:v>165828.20111731844</ns0:v>
      </ns0:c>
      <ns0:c r="P171" s="16">
        <ns0:f>(E171+G171)*(1-'前提と出典'!$B$7)-I171-K171-M171-O171</ns0:f>
        <ns0:v>441917.8922300228</ns0:v>
      </ns0:c>
      <ns0:c r="Q171" s="16">
        <ns0:f>(F171+H171)*(1-'前提と出典'!$B$7)-J171-L171-N171</ns0:f>
        <ns0:v>98596.89279996892</ns0:v>
      </ns0:c>
      <ns0:c r="R171" s="16">
        <ns0:f>P171-E171*'前提と出典'!$E$4</ns0:f>
        <ns0:v>315972.85877565306</ns0:v>
      </ns0:c>
      <ns0:c r="S171" s="16">
        <ns0:f>Q171-F171*'前提と出典'!$E$4</ns0:f>
        <ns0:v>62000.485418876466</ns0:v>
      </ns0:c>
      <ns0:c r="T171" s="7">
        <ns0:f>R171+S171</ns0:f>
        <ns0:v>377973.3441945295</ns0:v>
      </ns0:c>
      <ns0:c r="U171" s="16">
        <ns0:f>P171-E171*'前提と出典'!$E$5</ns0:f>
        <ns0:v>273991.1809575298</ns0:v>
      </ns0:c>
      <ns0:c r="V171" s="16">
        <ns0:f>Q171-F171*'前提と出典'!$E$5</ns0:f>
        <ns0:v>49801.68295851231</ns0:v>
      </ns0:c>
      <ns0:c r="W171" s="7">
        <ns0:f>U171+V171</ns0:f>
        <ns0:v>323792.86391604214</ns0:v>
      </ns0:c>
      <ns0:c r="X171" s="16">
        <ns0:f>P171-E171*'前提と出典'!$E$6</ns0:f>
        <ns0:v>232009.5031394067</ns0:v>
      </ns0:c>
      <ns0:c r="Y171" s="16">
        <ns0:f>Q171-F171*'前提と出典'!$E$6</ns0:f>
        <ns0:v>37602.88049814816</ns0:v>
      </ns0:c>
      <ns0:c r="Z171" s="7">
        <ns0:f>X171+Y171</ns0:f>
        <ns0:v>269612.3836375549</ns0:v>
      </ns0:c>
      <ns0:c r="AA171" s="7">
        <ns0:f>IF(T171&gt;=0,A171,1001)</ns0:f>
        <ns0:v>167</ns0:v>
      </ns0:c>
      <ns0:c r="AB171" s="7">
        <ns0:f>IF(T171&lt;0,A171,0)</ns0:f>
        <ns0:v>0</ns0:v>
      </ns0:c>
      <ns0:c r="AC171" s="16">
        <ns0:f>IF(AND(OR('前提と出典'!$C$36+'前提と出典'!$C$38=0,R171&gt;=0),OR('前提と出典'!$C$37+'前提と出典'!$C$38=0,S171&gt;=0)),0,A171)</ns0:f>
        <ns0:v>0</ns0:v>
      </ns0:c>
      <ns0:c r="AD171" s="7">
        <ns0:f>IF(W171&gt;=0,A171,1001)</ns0:f>
        <ns0:v>167</ns0:v>
      </ns0:c>
      <ns0:c r="AE171" s="7">
        <ns0:f>IF(W171&lt;0,A171,0)</ns0:f>
        <ns0:v>0</ns0:v>
      </ns0:c>
      <ns0:c r="AF171" s="16">
        <ns0:f>IF(AND(OR('前提と出典'!$C$36+'前提と出典'!$C$38=0,U171&gt;=0),OR('前提と出典'!$C$37+'前提と出典'!$C$38=0,V171&gt;=0)),0,A171)</ns0:f>
        <ns0:v>0</ns0:v>
      </ns0:c>
      <ns0:c r="AG171" s="7">
        <ns0:f>IF(Z171&gt;=0,A171,1001)</ns0:f>
        <ns0:v>167</ns0:v>
      </ns0:c>
      <ns0:c r="AH171" s="4">
        <ns0:f>IF(Z171&lt;0,A171,0)</ns0:f>
        <ns0:v>0</ns0:v>
      </ns0:c>
      <ns0:c r="AI171" s="12">
        <ns0:f>IF(AND(OR('前提と出典'!$C$36+'前提と出典'!$C$38=0,X171&gt;=0),OR('前提と出典'!$C$37+'前提と出典'!$C$38=0,Y171&gt;=0)),0,A171)</ns0:f>
        <ns0:v>0</ns0:v>
      </ns0:c>
    </ns0:row>
    <ns0:row r="172" ht="24" customHeight="1">
      <ns0:c r="A172" s="4" t="n">
        <ns0:v>168</ns0:v>
      </ns0:c>
      <ns0:c r="B172" s="12">
        <ns0:f>A172*('前提と出典'!$C$36+'前提と出典'!$C$38)</ns0:f>
        <ns0:v>117.6</ns0:v>
      </ns0:c>
      <ns0:c r="C172" s="12">
        <ns0:f>A172*('前提と出典'!$C$37+'前提と出典'!$C$38)</ns0:f>
        <ns0:v>100.8</ns0:v>
      </ns0:c>
      <ns0:c r="D172" s="16">
        <ns0:f>A172*('前提と出典'!$C$36*'契約別単価'!C5+'前提と出典'!$C$37*'契約別単価'!C6+'前提と出典'!$C$38*'契約別単価'!C7)</ns0:f>
        <ns0:v>1208.8491620111731</ns0:v>
      </ns0:c>
      <ns0:c r="E172" s="16">
        <ns0:f>A172*('前提と出典'!$C$36*'契約別単価'!E5+'前提と出典'!$C$37*'契約別単価'!E6+'前提と出典'!$C$38*'契約別単価'!E7)</ns0:f>
        <ns0:v>422330.6511044734</ns0:v>
      </ns0:c>
      <ns0:c r="F172" s="16">
        <ns0:f>A172*('前提と出典'!$C$36*'契約別単価'!F5+'前提と出典'!$C$37*'契約別単価'!F6+'前提と出典'!$C$38*'契約別単価'!F7)</ns0:f>
        <ns0:v>122718.49181683698</ns0:v>
      </ns0:c>
      <ns0:c r="G172" s="16">
        <ns0:f>A172*('前提と出典'!$C$36*'契約別単価'!G5+'前提と出典'!$C$37*'契約別単価'!G6+'前提と出典'!$C$38*'契約別単価'!G7)</ns0:f>
        <ns0:v>334404.469273743</ns0:v>
      </ns0:c>
      <ns0:c r="H172" s="16">
        <ns0:f>A172*('前提と出典'!$C$36*'契約別単価'!H5+'前提と出典'!$C$37*'契約別単価'!H6+'前提と出典'!$C$38*'契約別単価'!H7)</ns0:f>
        <ns0:v>116055.12254007465</ns0:v>
      </ns0:c>
      <ns0:c r="I172" s="16">
        <ns0:f>A172*('前提と出典'!$C$36*'契約別単価'!I5+'前提と出典'!$C$37*'契約別単価'!I6+'前提と出典'!$C$38*'契約別単価'!I7)</ns0:f>
        <ns0:v>7088.849162011172</ns0:v>
      </ns0:c>
      <ns0:c r="J172" s="16">
        <ns0:f>A172*('前提と出典'!$C$36*'契約別単価'!J5+'前提と出典'!$C$37*'契約別単価'!J6+'前提と出典'!$C$38*'契約別単価'!J7)</ns0:f>
        <ns0:v>16512.64334333083</ns0:v>
      </ns0:c>
      <ns0:c r="K172" s="16">
        <ns0:f>A172*('前提と出典'!$C$36*'契約別単価'!K5+'前提と出典'!$C$37*'契約別単価'!K6+'前提と出典'!$C$38*'契約別単価'!K7)</ns0:f>
        <ns0:v>70778.99441340781</ns0:v>
      </ns0:c>
      <ns0:c r="L172" s="16">
        <ns0:f>A172*('前提と出典'!$C$36*'契約別単価'!L5+'前提と出典'!$C$37*'契約別単価'!L6+'前提と出典'!$C$38*'契約別単価'!L7)</ns0:f>
        <ns0:v>57628.504084669155</ns0:v>
      </ns0:c>
      <ns0:c r="M172" s="16">
        <ns0:f>IF(('前提と出典'!$C$36+'前提と出典'!$C$38)=0,0,IF(B172&lt;=10,'前提と出典'!B73+'前提と出典'!C73,IF(B172&lt;=100,'前提と出典'!B74+'前提と出典'!C74,IF(B172&lt;=500,'前提と出典'!B75+'前提と出典'!C75,'前提と出典'!B76+'前提と出典'!C76))))</ns0:f>
        <ns0:v>40000</ns0:v>
      </ns0:c>
      <ns0:c r="N172" s="16">
        <ns0:f>IF(('前提と出典'!$C$37+'前提と出典'!$C$38)=0,0,IF(C172&lt;=10,'前提と出典'!D73+'前提と出典'!E73,IF(C172&lt;=100,'前提と出典'!D74+'前提と出典'!E74,IF(C172&lt;=500,'前提と出典'!D75+'前提と出典'!E75,'前提と出典'!D76+'前提と出典'!E76))))</ns0:f>
        <ns0:v>56510.9346263078</ns0:v>
      </ns0:c>
      <ns0:c r="O172" s="16">
        <ns0:f>IF('前提と出典'!$C$36+'前提と出典'!$C$38=0,0,'前提と出典'!$B$4*IF('前提と出典'!$B$20=0,MAX('前提と出典'!$B$6,D172*'前提と出典'!$B$5),'前提と出典'!$B$6+D172*'前提と出典'!$B$5))</ns0:f>
        <ns0:v>166821.18435754188</ns0:v>
      </ns0:c>
      <ns0:c r="P172" s="16">
        <ns0:f>(E172+G172)*(1-'前提と出典'!$B$7)-I172-K172-M172-O172</ns0:f>
        <ns0:v>444803.62811163976</ns0:v>
      </ns0:c>
      <ns0:c r="Q172" s="16">
        <ns0:f>(F172+H172)*(1-'前提と出典'!$B$7)-J172-L172-N172</ns0:f>
        <ns0:v>99525.68218575502</ns0:v>
      </ns0:c>
      <ns0:c r="R172" s="16">
        <ns0:f>P172-E172*'前提と出典'!$E$4</ns0:f>
        <ns0:v>318104.4327802977</ns0:v>
      </ns0:c>
      <ns0:c r="S172" s="16">
        <ns0:f>Q172-F172*'前提と出典'!$E$4</ns0:f>
        <ns0:v>62710.13464070393</ns0:v>
      </ns0:c>
      <ns0:c r="T172" s="7">
        <ns0:f>R172+S172</ns0:f>
        <ns0:v>380814.5674210016</ns0:v>
      </ns0:c>
      <ns0:c r="U172" s="16">
        <ns0:f>P172-E172*'前提と出典'!$E$5</ns0:f>
        <ns0:v>275871.36766985036</ns0:v>
      </ns0:c>
      <ns0:c r="V172" s="16">
        <ns0:f>Q172-F172*'前提と出典'!$E$5</ns0:f>
        <ns0:v>50438.285459020226</ns0:v>
      </ns0:c>
      <ns0:c r="W172" s="7">
        <ns0:f>U172+V172</ns0:f>
        <ns0:v>326309.6531288706</ns0:v>
      </ns0:c>
      <ns0:c r="X172" s="16">
        <ns0:f>P172-E172*'前提と出典'!$E$6</ns0:f>
        <ns0:v>233638.3025594031</ns0:v>
      </ns0:c>
      <ns0:c r="Y172" s="16">
        <ns0:f>Q172-F172*'前提と出典'!$E$6</ns0:f>
        <ns0:v>38166.43627733652</ns0:v>
      </ns0:c>
      <ns0:c r="Z172" s="7">
        <ns0:f>X172+Y172</ns0:f>
        <ns0:v>271804.7388367396</ns0:v>
      </ns0:c>
      <ns0:c r="AA172" s="7">
        <ns0:f>IF(T172&gt;=0,A172,1001)</ns0:f>
        <ns0:v>168</ns0:v>
      </ns0:c>
      <ns0:c r="AB172" s="7">
        <ns0:f>IF(T172&lt;0,A172,0)</ns0:f>
        <ns0:v>0</ns0:v>
      </ns0:c>
      <ns0:c r="AC172" s="16">
        <ns0:f>IF(AND(OR('前提と出典'!$C$36+'前提と出典'!$C$38=0,R172&gt;=0),OR('前提と出典'!$C$37+'前提と出典'!$C$38=0,S172&gt;=0)),0,A172)</ns0:f>
        <ns0:v>0</ns0:v>
      </ns0:c>
      <ns0:c r="AD172" s="7">
        <ns0:f>IF(W172&gt;=0,A172,1001)</ns0:f>
        <ns0:v>168</ns0:v>
      </ns0:c>
      <ns0:c r="AE172" s="7">
        <ns0:f>IF(W172&lt;0,A172,0)</ns0:f>
        <ns0:v>0</ns0:v>
      </ns0:c>
      <ns0:c r="AF172" s="16">
        <ns0:f>IF(AND(OR('前提と出典'!$C$36+'前提と出典'!$C$38=0,U172&gt;=0),OR('前提と出典'!$C$37+'前提と出典'!$C$38=0,V172&gt;=0)),0,A172)</ns0:f>
        <ns0:v>0</ns0:v>
      </ns0:c>
      <ns0:c r="AG172" s="7">
        <ns0:f>IF(Z172&gt;=0,A172,1001)</ns0:f>
        <ns0:v>168</ns0:v>
      </ns0:c>
      <ns0:c r="AH172" s="4">
        <ns0:f>IF(Z172&lt;0,A172,0)</ns0:f>
        <ns0:v>0</ns0:v>
      </ns0:c>
      <ns0:c r="AI172" s="12">
        <ns0:f>IF(AND(OR('前提と出典'!$C$36+'前提と出典'!$C$38=0,X172&gt;=0),OR('前提と出典'!$C$37+'前提と出典'!$C$38=0,Y172&gt;=0)),0,A172)</ns0:f>
        <ns0:v>0</ns0:v>
      </ns0:c>
    </ns0:row>
    <ns0:row r="173" ht="24" customHeight="1">
      <ns0:c r="A173" s="4" t="n">
        <ns0:v>169</ns0:v>
      </ns0:c>
      <ns0:c r="B173" s="12">
        <ns0:f>A173*('前提と出典'!$C$36+'前提と出典'!$C$38)</ns0:f>
        <ns0:v>118.3</ns0:v>
      </ns0:c>
      <ns0:c r="C173" s="12">
        <ns0:f>A173*('前提と出典'!$C$37+'前提と出典'!$C$38)</ns0:f>
        <ns0:v>101.39999999999999</ns0:v>
      </ns0:c>
      <ns0:c r="D173" s="16">
        <ns0:f>A173*('前提と出典'!$C$36*'契約別単価'!C5+'前提と出典'!$C$37*'契約別単価'!C6+'前提と出典'!$C$38*'契約別単価'!C7)</ns0:f>
        <ns0:v>1216.04469273743</ns0:v>
      </ns0:c>
      <ns0:c r="E173" s="16">
        <ns0:f>A173*('前提と出典'!$C$36*'契約別単価'!E5+'前提と出典'!$C$37*'契約別単価'!E6+'前提と出典'!$C$38*'契約別単価'!E7)</ns0:f>
        <ns0:v>424844.52402771433</ns0:v>
      </ns0:c>
      <ns0:c r="F173" s="16">
        <ns0:f>A173*('前提と出典'!$C$36*'契約別単価'!F5+'前提と出典'!$C$37*'契約別単価'!F6+'前提と出典'!$C$38*'契約別単価'!F7)</ns0:f>
        <ns0:v>123448.95903003243</ns0:v>
      </ns0:c>
      <ns0:c r="G173" s="16">
        <ns0:f>A173*('前提と出典'!$C$36*'契約別単価'!G5+'前提と出典'!$C$37*'契約別単価'!G6+'前提と出典'!$C$38*'契約別単価'!G7)</ns0:f>
        <ns0:v>336394.9720670391</ns0:v>
      </ns0:c>
      <ns0:c r="H173" s="16">
        <ns0:f>A173*('前提と出典'!$C$36*'契約別単価'!H5+'前提と出典'!$C$37*'契約別単価'!H6+'前提と出典'!$C$38*'契約別単価'!H7)</ns0:f>
        <ns0:v>116745.92684090843</ns0:v>
      </ns0:c>
      <ns0:c r="I173" s="16">
        <ns0:f>A173*('前提と出典'!$C$36*'契約別単価'!I5+'前提と出典'!$C$37*'契約別単価'!I6+'前提と出典'!$C$38*'契約別単価'!I7)</ns0:f>
        <ns0:v>7131.044692737429</ns0:v>
      </ns0:c>
      <ns0:c r="J173" s="16">
        <ns0:f>A173*('前提と出典'!$C$36*'契約別単価'!J5+'前提と出典'!$C$37*'契約別単価'!J6+'前提と出典'!$C$38*'契約別単価'!J7)</ns0:f>
        <ns0:v>16610.932887041134</ns0:v>
      </ns0:c>
      <ns0:c r="K173" s="16">
        <ns0:f>A173*('前提と出典'!$C$36*'契約別単価'!K5+'前提と出典'!$C$37*'契約別単価'!K6+'前提と出典'!$C$38*'契約別単価'!K7)</ns0:f>
        <ns0:v>71200.29795158286</ns0:v>
      </ns0:c>
      <ns0:c r="L173" s="16">
        <ns0:f>A173*('前提と出典'!$C$36*'契約別単価'!L5+'前提と出典'!$C$37*'契約別単価'!L6+'前提と出典'!$C$38*'契約別単価'!L7)</ns0:f>
        <ns0:v>57971.530894696945</ns0:v>
      </ns0:c>
      <ns0:c r="M173" s="16">
        <ns0:f>IF(('前提と出典'!$C$36+'前提と出典'!$C$38)=0,0,IF(B173&lt;=10,'前提と出典'!B73+'前提と出典'!C73,IF(B173&lt;=100,'前提と出典'!B74+'前提と出典'!C74,IF(B173&lt;=500,'前提と出典'!B75+'前提と出典'!C75,'前提と出典'!B76+'前提と出典'!C76))))</ns0:f>
        <ns0:v>40000</ns0:v>
      </ns0:c>
      <ns0:c r="N173" s="16">
        <ns0:f>IF(('前提と出典'!$C$37+'前提と出典'!$C$38)=0,0,IF(C173&lt;=10,'前提と出典'!D73+'前提と出典'!E73,IF(C173&lt;=100,'前提と出典'!D74+'前提と出典'!E74,IF(C173&lt;=500,'前提と出典'!D75+'前提と出典'!E75,'前提と出典'!D76+'前提と出典'!E76))))</ns0:f>
        <ns0:v>56510.9346263078</ns0:v>
      </ns0:c>
      <ns0:c r="O173" s="16">
        <ns0:f>IF('前提と出典'!$C$36+'前提と出典'!$C$38=0,0,'前提と出典'!$B$4*IF('前提と出典'!$B$20=0,MAX('前提と出典'!$B$6,D173*'前提と出典'!$B$5),'前提と出典'!$B$6+D173*'前提と出典'!$B$5))</ns0:f>
        <ns0:v>167814.16759776536</ns0:v>
      </ns0:c>
      <ns0:c r="P173" s="16">
        <ns0:f>(E173+G173)*(1-'前提と出典'!$B$7)-I173-K173-M173-O173</ns0:f>
        <ns0:v>447689.36399325664</ns0:v>
      </ns0:c>
      <ns0:c r="Q173" s="16">
        <ns0:f>(F173+H173)*(1-'前提と出典'!$B$7)-J173-L173-N173</ns0:f>
        <ns0:v>100454.47157154114</ns0:v>
      </ns0:c>
      <ns0:c r="R173" s="16">
        <ns0:f>P173-E173*'前提と出典'!$E$4</ns0:f>
        <ns0:v>320236.00678494247</ns0:v>
      </ns0:c>
      <ns0:c r="S173" s="16">
        <ns0:f>Q173-F173*'前提と出典'!$E$4</ns0:f>
        <ns0:v>63419.783862531396</ns0:v>
      </ns0:c>
      <ns0:c r="T173" s="7">
        <ns0:f>R173+S173</ns0:f>
        <ns0:v>383655.7906474739</ns0:v>
      </ns0:c>
      <ns0:c r="U173" s="16">
        <ns0:f>P173-E173*'前提と出典'!$E$5</ns0:f>
        <ns0:v>277751.5543821709</ns0:v>
      </ns0:c>
      <ns0:c r="V173" s="16">
        <ns0:f>Q173-F173*'前提と出典'!$E$5</ns0:f>
        <ns0:v>51074.88795952817</ns0:v>
      </ns0:c>
      <ns0:c r="W173" s="7">
        <ns0:f>U173+V173</ns0:f>
        <ns0:v>328826.4423416991</ns0:v>
      </ns0:c>
      <ns0:c r="X173" s="16">
        <ns0:f>P173-E173*'前提と出典'!$E$6</ns0:f>
        <ns0:v>235267.1019793996</ns0:v>
      </ns0:c>
      <ns0:c r="Y173" s="16">
        <ns0:f>Q173-F173*'前提と出典'!$E$6</ns0:f>
        <ns0:v>38729.99205652491</ns0:v>
      </ns0:c>
      <ns0:c r="Z173" s="7">
        <ns0:f>X173+Y173</ns0:f>
        <ns0:v>273997.0940359245</ns0:v>
      </ns0:c>
      <ns0:c r="AA173" s="7">
        <ns0:f>IF(T173&gt;=0,A173,1001)</ns0:f>
        <ns0:v>169</ns0:v>
      </ns0:c>
      <ns0:c r="AB173" s="7">
        <ns0:f>IF(T173&lt;0,A173,0)</ns0:f>
        <ns0:v>0</ns0:v>
      </ns0:c>
      <ns0:c r="AC173" s="16">
        <ns0:f>IF(AND(OR('前提と出典'!$C$36+'前提と出典'!$C$38=0,R173&gt;=0),OR('前提と出典'!$C$37+'前提と出典'!$C$38=0,S173&gt;=0)),0,A173)</ns0:f>
        <ns0:v>0</ns0:v>
      </ns0:c>
      <ns0:c r="AD173" s="7">
        <ns0:f>IF(W173&gt;=0,A173,1001)</ns0:f>
        <ns0:v>169</ns0:v>
      </ns0:c>
      <ns0:c r="AE173" s="7">
        <ns0:f>IF(W173&lt;0,A173,0)</ns0:f>
        <ns0:v>0</ns0:v>
      </ns0:c>
      <ns0:c r="AF173" s="16">
        <ns0:f>IF(AND(OR('前提と出典'!$C$36+'前提と出典'!$C$38=0,U173&gt;=0),OR('前提と出典'!$C$37+'前提と出典'!$C$38=0,V173&gt;=0)),0,A173)</ns0:f>
        <ns0:v>0</ns0:v>
      </ns0:c>
      <ns0:c r="AG173" s="7">
        <ns0:f>IF(Z173&gt;=0,A173,1001)</ns0:f>
        <ns0:v>169</ns0:v>
      </ns0:c>
      <ns0:c r="AH173" s="4">
        <ns0:f>IF(Z173&lt;0,A173,0)</ns0:f>
        <ns0:v>0</ns0:v>
      </ns0:c>
      <ns0:c r="AI173" s="12">
        <ns0:f>IF(AND(OR('前提と出典'!$C$36+'前提と出典'!$C$38=0,X173&gt;=0),OR('前提と出典'!$C$37+'前提と出典'!$C$38=0,Y173&gt;=0)),0,A173)</ns0:f>
        <ns0:v>0</ns0:v>
      </ns0:c>
    </ns0:row>
    <ns0:row r="174" ht="24" customHeight="1">
      <ns0:c r="A174" s="4" t="n">
        <ns0:v>170</ns0:v>
      </ns0:c>
      <ns0:c r="B174" s="12">
        <ns0:f>A174*('前提と出典'!$C$36+'前提と出典'!$C$38)</ns0:f>
        <ns0:v>118.99999999999999</ns0:v>
      </ns0:c>
      <ns0:c r="C174" s="12">
        <ns0:f>A174*('前提と出典'!$C$37+'前提と出典'!$C$38)</ns0:f>
        <ns0:v>102</ns0:v>
      </ns0:c>
      <ns0:c r="D174" s="16">
        <ns0:f>A174*('前提と出典'!$C$36*'契約別単価'!C5+'前提と出典'!$C$37*'契約別単価'!C6+'前提と出典'!$C$38*'契約別単価'!C7)</ns0:f>
        <ns0:v>1223.2402234636872</ns0:v>
      </ns0:c>
      <ns0:c r="E174" s="16">
        <ns0:f>A174*('前提と出典'!$C$36*'契約別単価'!E5+'前提と出典'!$C$37*'契約別単価'!E6+'前提と出典'!$C$38*'契約別単価'!E7)</ns0:f>
        <ns0:v>427358.39695095527</ns0:v>
      </ns0:c>
      <ns0:c r="F174" s="16">
        <ns0:f>A174*('前提と出典'!$C$36*'契約別単価'!F5+'前提と出典'!$C$37*'契約別単価'!F6+'前提と出典'!$C$38*'契約別単価'!F7)</ns0:f>
        <ns0:v>124179.42624322789</ns0:v>
      </ns0:c>
      <ns0:c r="G174" s="16">
        <ns0:f>A174*('前提と出典'!$C$36*'契約別単価'!G5+'前提と出典'!$C$37*'契約別単価'!G6+'前提と出典'!$C$38*'契約別単価'!G7)</ns0:f>
        <ns0:v>338385.4748603352</ns0:v>
      </ns0:c>
      <ns0:c r="H174" s="16">
        <ns0:f>A174*('前提と出典'!$C$36*'契約別単価'!H5+'前提と出典'!$C$37*'契約別単価'!H6+'前提と出典'!$C$38*'契約別単価'!H7)</ns0:f>
        <ns0:v>117436.7311417422</ns0:v>
      </ns0:c>
      <ns0:c r="I174" s="16">
        <ns0:f>A174*('前提と出典'!$C$36*'契約別単価'!I5+'前提と出典'!$C$37*'契約別単価'!I6+'前提と出典'!$C$38*'契約別単価'!I7)</ns0:f>
        <ns0:v>7173.240223463686</ns0:v>
      </ns0:c>
      <ns0:c r="J174" s="16">
        <ns0:f>A174*('前提と出典'!$C$36*'契約別単価'!J5+'前提と出典'!$C$37*'契約別単価'!J6+'前提と出典'!$C$38*'契約別単価'!J7)</ns0:f>
        <ns0:v>16709.222430751437</ns0:v>
      </ns0:c>
      <ns0:c r="K174" s="16">
        <ns0:f>A174*('前提と出典'!$C$36*'契約別単価'!K5+'前提と出典'!$C$37*'契約別単価'!K6+'前提と出典'!$C$38*'契約別単価'!K7)</ns0:f>
        <ns0:v>71621.60148975792</ns0:v>
      </ns0:c>
      <ns0:c r="L174" s="16">
        <ns0:f>A174*('前提と出典'!$C$36*'契約別単価'!L5+'前提と出典'!$C$37*'契約別単価'!L6+'前提と出典'!$C$38*'契約別単価'!L7)</ns0:f>
        <ns0:v>58314.557704724735</ns0:v>
      </ns0:c>
      <ns0:c r="M174" s="16">
        <ns0:f>IF(('前提と出典'!$C$36+'前提と出典'!$C$38)=0,0,IF(B174&lt;=10,'前提と出典'!B73+'前提と出典'!C73,IF(B174&lt;=100,'前提と出典'!B74+'前提と出典'!C74,IF(B174&lt;=500,'前提と出典'!B75+'前提と出典'!C75,'前提と出典'!B76+'前提と出典'!C76))))</ns0:f>
        <ns0:v>40000</ns0:v>
      </ns0:c>
      <ns0:c r="N174" s="16">
        <ns0:f>IF(('前提と出典'!$C$37+'前提と出典'!$C$38)=0,0,IF(C174&lt;=10,'前提と出典'!D73+'前提と出典'!E73,IF(C174&lt;=100,'前提と出典'!D74+'前提と出典'!E74,IF(C174&lt;=500,'前提と出典'!D75+'前提と出典'!E75,'前提と出典'!D76+'前提と出典'!E76))))</ns0:f>
        <ns0:v>56510.9346263078</ns0:v>
      </ns0:c>
      <ns0:c r="O174" s="16">
        <ns0:f>IF('前提と出典'!$C$36+'前提と出典'!$C$38=0,0,'前提と出典'!$B$4*IF('前提と出典'!$B$20=0,MAX('前提と出典'!$B$6,D174*'前提と出典'!$B$5),'前提と出典'!$B$6+D174*'前提と出典'!$B$5))</ns0:f>
        <ns0:v>168807.15083798883</ns0:v>
      </ns0:c>
      <ns0:c r="P174" s="16">
        <ns0:f>(E174+G174)*(1-'前提と出典'!$B$7)-I174-K174-M174-O174</ns0:f>
        <ns0:v>450575.09987487365</ns0:v>
      </ns0:c>
      <ns0:c r="Q174" s="16">
        <ns0:f>(F174+H174)*(1-'前提と出典'!$B$7)-J174-L174-N174</ns0:f>
        <ns0:v>101383.2609573272</ns0:v>
      </ns0:c>
      <ns0:c r="R174" s="16">
        <ns0:f>P174-E174*'前提と出典'!$E$4</ns0:f>
        <ns0:v>322367.5807895871</ns0:v>
      </ns0:c>
      <ns0:c r="S174" s="16">
        <ns0:f>Q174-F174*'前提と出典'!$E$4</ns0:f>
        <ns0:v>64129.43308435886</ns0:v>
      </ns0:c>
      <ns0:c r="T174" s="7">
        <ns0:f>R174+S174</ns0:f>
        <ns0:v>386497.013873946</ns0:v>
      </ns0:c>
      <ns0:c r="U174" s="16">
        <ns0:f>P174-E174*'前提と出典'!$E$5</ns0:f>
        <ns0:v>279631.74109449156</ns0:v>
      </ns0:c>
      <ns0:c r="V174" s="16">
        <ns0:f>Q174-F174*'前提と出典'!$E$5</ns0:f>
        <ns0:v>51711.49046003605</ns0:v>
      </ns0:c>
      <ns0:c r="W174" s="7">
        <ns0:f>U174+V174</ns0:f>
        <ns0:v>331343.2315545276</ns0:v>
      </ns0:c>
      <ns0:c r="X174" s="16">
        <ns0:f>P174-E174*'前提と出典'!$E$6</ns0:f>
        <ns0:v>236895.901399396</ns0:v>
      </ns0:c>
      <ns0:c r="Y174" s="16">
        <ns0:f>Q174-F174*'前提と出典'!$E$6</ns0:f>
        <ns0:v>39293.547835713274</ns0:v>
      </ns0:c>
      <ns0:c r="Z174" s="7">
        <ns0:f>X174+Y174</ns0:f>
        <ns0:v>276189.44923510926</ns0:v>
      </ns0:c>
      <ns0:c r="AA174" s="7">
        <ns0:f>IF(T174&gt;=0,A174,1001)</ns0:f>
        <ns0:v>170</ns0:v>
      </ns0:c>
      <ns0:c r="AB174" s="7">
        <ns0:f>IF(T174&lt;0,A174,0)</ns0:f>
        <ns0:v>0</ns0:v>
      </ns0:c>
      <ns0:c r="AC174" s="16">
        <ns0:f>IF(AND(OR('前提と出典'!$C$36+'前提と出典'!$C$38=0,R174&gt;=0),OR('前提と出典'!$C$37+'前提と出典'!$C$38=0,S174&gt;=0)),0,A174)</ns0:f>
        <ns0:v>0</ns0:v>
      </ns0:c>
      <ns0:c r="AD174" s="7">
        <ns0:f>IF(W174&gt;=0,A174,1001)</ns0:f>
        <ns0:v>170</ns0:v>
      </ns0:c>
      <ns0:c r="AE174" s="7">
        <ns0:f>IF(W174&lt;0,A174,0)</ns0:f>
        <ns0:v>0</ns0:v>
      </ns0:c>
      <ns0:c r="AF174" s="16">
        <ns0:f>IF(AND(OR('前提と出典'!$C$36+'前提と出典'!$C$38=0,U174&gt;=0),OR('前提と出典'!$C$37+'前提と出典'!$C$38=0,V174&gt;=0)),0,A174)</ns0:f>
        <ns0:v>0</ns0:v>
      </ns0:c>
      <ns0:c r="AG174" s="7">
        <ns0:f>IF(Z174&gt;=0,A174,1001)</ns0:f>
        <ns0:v>170</ns0:v>
      </ns0:c>
      <ns0:c r="AH174" s="4">
        <ns0:f>IF(Z174&lt;0,A174,0)</ns0:f>
        <ns0:v>0</ns0:v>
      </ns0:c>
      <ns0:c r="AI174" s="12">
        <ns0:f>IF(AND(OR('前提と出典'!$C$36+'前提と出典'!$C$38=0,X174&gt;=0),OR('前提と出典'!$C$37+'前提と出典'!$C$38=0,Y174&gt;=0)),0,A174)</ns0:f>
        <ns0:v>0</ns0:v>
      </ns0:c>
    </ns0:row>
    <ns0:row r="175" ht="24" customHeight="1">
      <ns0:c r="A175" s="4" t="n">
        <ns0:v>171</ns0:v>
      </ns0:c>
      <ns0:c r="B175" s="12">
        <ns0:f>A175*('前提と出典'!$C$36+'前提と出典'!$C$38)</ns0:f>
        <ns0:v>119.69999999999999</ns0:v>
      </ns0:c>
      <ns0:c r="C175" s="12">
        <ns0:f>A175*('前提と出典'!$C$37+'前提と出典'!$C$38)</ns0:f>
        <ns0:v>102.6</ns0:v>
      </ns0:c>
      <ns0:c r="D175" s="16">
        <ns0:f>A175*('前提と出典'!$C$36*'契約別単価'!C5+'前提と出典'!$C$37*'契約別単価'!C6+'前提と出典'!$C$38*'契約別単価'!C7)</ns0:f>
        <ns0:v>1230.4357541899442</ns0:v>
      </ns0:c>
      <ns0:c r="E175" s="16">
        <ns0:f>A175*('前提と出典'!$C$36*'契約別単価'!E5+'前提と出典'!$C$37*'契約別単価'!E6+'前提と出典'!$C$38*'契約別単価'!E7)</ns0:f>
        <ns0:v>429872.26987419615</ns0:v>
      </ns0:c>
      <ns0:c r="F175" s="16">
        <ns0:f>A175*('前提と出典'!$C$36*'契約別単価'!F5+'前提と出典'!$C$37*'契約別単価'!F6+'前提と出典'!$C$38*'契約別単価'!F7)</ns0:f>
        <ns0:v>124909.89345642335</ns0:v>
      </ns0:c>
      <ns0:c r="G175" s="16">
        <ns0:f>A175*('前提と出典'!$C$36*'契約別単価'!G5+'前提と出典'!$C$37*'契約別単価'!G6+'前提と出典'!$C$38*'契約別単価'!G7)</ns0:f>
        <ns0:v>340375.97765363124</ns0:v>
      </ns0:c>
      <ns0:c r="H175" s="16">
        <ns0:f>A175*('前提と出典'!$C$36*'契約別単価'!H5+'前提と出典'!$C$37*'契約別単価'!H6+'前提と出典'!$C$38*'契約別単価'!H7)</ns0:f>
        <ns0:v>118127.53544257599</ns0:v>
      </ns0:c>
      <ns0:c r="I175" s="16">
        <ns0:f>A175*('前提と出典'!$C$36*'契約別単価'!I5+'前提と出典'!$C$37*'契約別単価'!I6+'前提と出典'!$C$38*'契約別単価'!I7)</ns0:f>
        <ns0:v>7215.435754189943</ns0:v>
      </ns0:c>
      <ns0:c r="J175" s="16">
        <ns0:f>A175*('前提と出典'!$C$36*'契約別単価'!J5+'前提と出典'!$C$37*'契約別単価'!J6+'前提と出典'!$C$38*'契約別単価'!J7)</ns0:f>
        <ns0:v>16807.51197446174</ns0:v>
      </ns0:c>
      <ns0:c r="K175" s="16">
        <ns0:f>A175*('前提と出典'!$C$36*'契約別単価'!K5+'前提と出典'!$C$37*'契約別単価'!K6+'前提と出典'!$C$38*'契約別単価'!K7)</ns0:f>
        <ns0:v>72042.90502793295</ns0:v>
      </ns0:c>
      <ns0:c r="L175" s="16">
        <ns0:f>A175*('前提と出典'!$C$36*'契約別単価'!L5+'前提と出典'!$C$37*'契約別単価'!L6+'前提と出典'!$C$38*'契約別単価'!L7)</ns0:f>
        <ns0:v>58657.58451475253</ns0:v>
      </ns0:c>
      <ns0:c r="M175" s="16">
        <ns0:f>IF(('前提と出典'!$C$36+'前提と出典'!$C$38)=0,0,IF(B175&lt;=10,'前提と出典'!B73+'前提と出典'!C73,IF(B175&lt;=100,'前提と出典'!B74+'前提と出典'!C74,IF(B175&lt;=500,'前提と出典'!B75+'前提と出典'!C75,'前提と出典'!B76+'前提と出典'!C76))))</ns0:f>
        <ns0:v>40000</ns0:v>
      </ns0:c>
      <ns0:c r="N175" s="16">
        <ns0:f>IF(('前提と出典'!$C$37+'前提と出典'!$C$38)=0,0,IF(C175&lt;=10,'前提と出典'!D73+'前提と出典'!E73,IF(C175&lt;=100,'前提と出典'!D74+'前提と出典'!E74,IF(C175&lt;=500,'前提と出典'!D75+'前提と出典'!E75,'前提と出典'!D76+'前提と出典'!E76))))</ns0:f>
        <ns0:v>56510.9346263078</ns0:v>
      </ns0:c>
      <ns0:c r="O175" s="16">
        <ns0:f>IF('前提と出典'!$C$36+'前提と出典'!$C$38=0,0,'前提と出典'!$B$4*IF('前提と出典'!$B$20=0,MAX('前提と出典'!$B$6,D175*'前提と出典'!$B$5),'前提と出典'!$B$6+D175*'前提と出典'!$B$5))</ns0:f>
        <ns0:v>169800.13407821232</ns0:v>
      </ns0:c>
      <ns0:c r="P175" s="16">
        <ns0:f>(E175+G175)*(1-'前提と出典'!$B$7)-I175-K175-M175-O175</ns0:f>
        <ns0:v>453460.83575649036</ns0:v>
      </ns0:c>
      <ns0:c r="Q175" s="16">
        <ns0:f>(F175+H175)*(1-'前提と出典'!$B$7)-J175-L175-N175</ns0:f>
        <ns0:v>102312.05034311331</ns0:v>
      </ns0:c>
      <ns0:c r="R175" s="16">
        <ns0:f>P175-E175*'前提と出典'!$E$4</ns0:f>
        <ns0:v>324499.1547942315</ns0:v>
      </ns0:c>
      <ns0:c r="S175" s="16">
        <ns0:f>Q175-F175*'前提と出典'!$E$4</ns0:f>
        <ns0:v>64839.0823061863</ns0:v>
      </ns0:c>
      <ns0:c r="T175" s="7">
        <ns0:f>R175+S175</ns0:f>
        <ns0:v>389338.23710041784</ns0:v>
      </ns0:c>
      <ns0:c r="U175" s="16">
        <ns0:f>P175-E175*'前提と出典'!$E$5</ns0:f>
        <ns0:v>281511.9278068119</ns0:v>
      </ns0:c>
      <ns0:c r="V175" s="16">
        <ns0:f>Q175-F175*'前提と出典'!$E$5</ns0:f>
        <ns0:v>52348.09296054397</ns0:v>
      </ns0:c>
      <ns0:c r="W175" s="7">
        <ns0:f>U175+V175</ns0:f>
        <ns0:v>333860.02076735586</ns0:v>
      </ns0:c>
      <ns0:c r="X175" s="16">
        <ns0:f>P175-E175*'前提と出典'!$E$6</ns0:f>
        <ns0:v>238524.70081939222</ns0:v>
      </ns0:c>
      <ns0:c r="Y175" s="16">
        <ns0:f>Q175-F175*'前提と出典'!$E$6</ns0:f>
        <ns0:v>39857.103614901636</ns0:v>
      </ns0:c>
      <ns0:c r="Z175" s="7">
        <ns0:f>X175+Y175</ns0:f>
        <ns0:v>278381.8044342939</ns0:v>
      </ns0:c>
      <ns0:c r="AA175" s="7">
        <ns0:f>IF(T175&gt;=0,A175,1001)</ns0:f>
        <ns0:v>171</ns0:v>
      </ns0:c>
      <ns0:c r="AB175" s="7">
        <ns0:f>IF(T175&lt;0,A175,0)</ns0:f>
        <ns0:v>0</ns0:v>
      </ns0:c>
      <ns0:c r="AC175" s="16">
        <ns0:f>IF(AND(OR('前提と出典'!$C$36+'前提と出典'!$C$38=0,R175&gt;=0),OR('前提と出典'!$C$37+'前提と出典'!$C$38=0,S175&gt;=0)),0,A175)</ns0:f>
        <ns0:v>0</ns0:v>
      </ns0:c>
      <ns0:c r="AD175" s="7">
        <ns0:f>IF(W175&gt;=0,A175,1001)</ns0:f>
        <ns0:v>171</ns0:v>
      </ns0:c>
      <ns0:c r="AE175" s="7">
        <ns0:f>IF(W175&lt;0,A175,0)</ns0:f>
        <ns0:v>0</ns0:v>
      </ns0:c>
      <ns0:c r="AF175" s="16">
        <ns0:f>IF(AND(OR('前提と出典'!$C$36+'前提と出典'!$C$38=0,U175&gt;=0),OR('前提と出典'!$C$37+'前提と出典'!$C$38=0,V175&gt;=0)),0,A175)</ns0:f>
        <ns0:v>0</ns0:v>
      </ns0:c>
      <ns0:c r="AG175" s="7">
        <ns0:f>IF(Z175&gt;=0,A175,1001)</ns0:f>
        <ns0:v>171</ns0:v>
      </ns0:c>
      <ns0:c r="AH175" s="4">
        <ns0:f>IF(Z175&lt;0,A175,0)</ns0:f>
        <ns0:v>0</ns0:v>
      </ns0:c>
      <ns0:c r="AI175" s="12">
        <ns0:f>IF(AND(OR('前提と出典'!$C$36+'前提と出典'!$C$38=0,X175&gt;=0),OR('前提と出典'!$C$37+'前提と出典'!$C$38=0,Y175&gt;=0)),0,A175)</ns0:f>
        <ns0:v>0</ns0:v>
      </ns0:c>
    </ns0:row>
    <ns0:row r="176" ht="24" customHeight="1">
      <ns0:c r="A176" s="4" t="n">
        <ns0:v>172</ns0:v>
      </ns0:c>
      <ns0:c r="B176" s="12">
        <ns0:f>A176*('前提と出典'!$C$36+'前提と出典'!$C$38)</ns0:f>
        <ns0:v>120.39999999999999</ns0:v>
      </ns0:c>
      <ns0:c r="C176" s="12">
        <ns0:f>A176*('前提と出典'!$C$37+'前提と出典'!$C$38)</ns0:f>
        <ns0:v>103.2</ns0:v>
      </ns0:c>
      <ns0:c r="D176" s="16">
        <ns0:f>A176*('前提と出典'!$C$36*'契約別単価'!C5+'前提と出典'!$C$37*'契約別単価'!C6+'前提と出典'!$C$38*'契約別単価'!C7)</ns0:f>
        <ns0:v>1237.6312849162011</ns0:v>
      </ns0:c>
      <ns0:c r="E176" s="16">
        <ns0:f>A176*('前提と出典'!$C$36*'契約別単価'!E5+'前提と出典'!$C$37*'契約別単価'!E6+'前提と出典'!$C$38*'契約別単価'!E7)</ns0:f>
        <ns0:v>432386.1427974371</ns0:v>
      </ns0:c>
      <ns0:c r="F176" s="16">
        <ns0:f>A176*('前提と出典'!$C$36*'契約別単価'!F5+'前提と出典'!$C$37*'契約別単価'!F6+'前提と出典'!$C$38*'契約別単価'!F7)</ns0:f>
        <ns0:v>125640.3606696188</ns0:v>
      </ns0:c>
      <ns0:c r="G176" s="16">
        <ns0:f>A176*('前提と出典'!$C$36*'契約別単価'!G5+'前提と出典'!$C$37*'契約別単価'!G6+'前提と出典'!$C$38*'契約別単価'!G7)</ns0:f>
        <ns0:v>342366.48044692737</ns0:v>
      </ns0:c>
      <ns0:c r="H176" s="16">
        <ns0:f>A176*('前提と出典'!$C$36*'契約別単価'!H5+'前提と出典'!$C$37*'契約別単価'!H6+'前提と出典'!$C$38*'契約別単価'!H7)</ns0:f>
        <ns0:v>118818.33974340976</ns0:v>
      </ns0:c>
      <ns0:c r="I176" s="16">
        <ns0:f>A176*('前提と出典'!$C$36*'契約別単価'!I5+'前提と出典'!$C$37*'契約別単価'!I6+'前提と出典'!$C$38*'契約別単価'!I7)</ns0:f>
        <ns0:v>7257.6312849162</ns0:v>
      </ns0:c>
      <ns0:c r="J176" s="16">
        <ns0:f>A176*('前提と出典'!$C$36*'契約別単価'!J5+'前提と出典'!$C$37*'契約別単価'!J6+'前提と出典'!$C$38*'契約別単価'!J7)</ns0:f>
        <ns0:v>16905.80151817204</ns0:v>
      </ns0:c>
      <ns0:c r="K176" s="16">
        <ns0:f>A176*('前提と出典'!$C$36*'契約別単価'!K5+'前提と出典'!$C$37*'契約別単価'!K6+'前提と出典'!$C$38*'契約別単価'!K7)</ns0:f>
        <ns0:v>72464.208566108</ns0:v>
      </ns0:c>
      <ns0:c r="L176" s="16">
        <ns0:f>A176*('前提と出典'!$C$36*'契約別単価'!L5+'前提と出典'!$C$37*'契約別単価'!L6+'前提と出典'!$C$38*'契約別単価'!L7)</ns0:f>
        <ns0:v>59000.61132478032</ns0:v>
      </ns0:c>
      <ns0:c r="M176" s="16">
        <ns0:f>IF(('前提と出典'!$C$36+'前提と出典'!$C$38)=0,0,IF(B176&lt;=10,'前提と出典'!B73+'前提と出典'!C73,IF(B176&lt;=100,'前提と出典'!B74+'前提と出典'!C74,IF(B176&lt;=500,'前提と出典'!B75+'前提と出典'!C75,'前提と出典'!B76+'前提と出典'!C76))))</ns0:f>
        <ns0:v>40000</ns0:v>
      </ns0:c>
      <ns0:c r="N176" s="16">
        <ns0:f>IF(('前提と出典'!$C$37+'前提と出典'!$C$38)=0,0,IF(C176&lt;=10,'前提と出典'!D73+'前提と出典'!E73,IF(C176&lt;=100,'前提と出典'!D74+'前提と出典'!E74,IF(C176&lt;=500,'前提と出典'!D75+'前提と出典'!E75,'前提と出典'!D76+'前提と出典'!E76))))</ns0:f>
        <ns0:v>56510.9346263078</ns0:v>
      </ns0:c>
      <ns0:c r="O176" s="16">
        <ns0:f>IF('前提と出典'!$C$36+'前提と出典'!$C$38=0,0,'前提と出典'!$B$4*IF('前提と出典'!$B$20=0,MAX('前提と出典'!$B$6,D176*'前提と出典'!$B$5),'前提と出典'!$B$6+D176*'前提と出典'!$B$5))</ns0:f>
        <ns0:v>170793.11731843575</ns0:v>
      </ns0:c>
      <ns0:c r="P176" s="16">
        <ns0:f>(E176+G176)*(1-'前提と出典'!$B$7)-I176-K176-M176-O176</ns0:f>
        <ns0:v>456346.5716381074</ns0:v>
      </ns0:c>
      <ns0:c r="Q176" s="16">
        <ns0:f>(F176+H176)*(1-'前提と出典'!$B$7)-J176-L176-N176</ns0:f>
        <ns0:v>103240.83972889936</ns0:v>
      </ns0:c>
      <ns0:c r="R176" s="16">
        <ns0:f>P176-E176*'前提と出典'!$E$4</ns0:f>
        <ns0:v>326630.72879887634</ns0:v>
      </ns0:c>
      <ns0:c r="S176" s="16">
        <ns0:f>Q176-F176*'前提と出典'!$E$4</ns0:f>
        <ns0:v>65548.73152801371</ns0:v>
      </ns0:c>
      <ns0:c r="T176" s="7">
        <ns0:f>R176+S176</ns0:f>
        <ns0:v>392179.46032689005</ns0:v>
      </ns0:c>
      <ns0:c r="U176" s="16">
        <ns0:f>P176-E176*'前提と出典'!$E$5</ns0:f>
        <ns0:v>283392.1145191326</ns0:v>
      </ns0:c>
      <ns0:c r="V176" s="16">
        <ns0:f>Q176-F176*'前提と出典'!$E$5</ns0:f>
        <ns0:v>52984.69546105184</ns0:v>
      </ns0:c>
      <ns0:c r="W176" s="7">
        <ns0:f>U176+V176</ns0:f>
        <ns0:v>336376.8099801844</ns0:v>
      </ns0:c>
      <ns0:c r="X176" s="16">
        <ns0:f>P176-E176*'前提と出典'!$E$6</ns0:f>
        <ns0:v>240153.50023938896</ns0:v>
      </ns0:c>
      <ns0:c r="Y176" s="16">
        <ns0:f>Q176-F176*'前提と出典'!$E$6</ns0:f>
        <ns0:v>40420.659394089955</ns0:v>
      </ns0:c>
      <ns0:c r="Z176" s="7">
        <ns0:f>X176+Y176</ns0:f>
        <ns0:v>280574.1596334789</ns0:v>
      </ns0:c>
      <ns0:c r="AA176" s="7">
        <ns0:f>IF(T176&gt;=0,A176,1001)</ns0:f>
        <ns0:v>172</ns0:v>
      </ns0:c>
      <ns0:c r="AB176" s="7">
        <ns0:f>IF(T176&lt;0,A176,0)</ns0:f>
        <ns0:v>0</ns0:v>
      </ns0:c>
      <ns0:c r="AC176" s="16">
        <ns0:f>IF(AND(OR('前提と出典'!$C$36+'前提と出典'!$C$38=0,R176&gt;=0),OR('前提と出典'!$C$37+'前提と出典'!$C$38=0,S176&gt;=0)),0,A176)</ns0:f>
        <ns0:v>0</ns0:v>
      </ns0:c>
      <ns0:c r="AD176" s="7">
        <ns0:f>IF(W176&gt;=0,A176,1001)</ns0:f>
        <ns0:v>172</ns0:v>
      </ns0:c>
      <ns0:c r="AE176" s="7">
        <ns0:f>IF(W176&lt;0,A176,0)</ns0:f>
        <ns0:v>0</ns0:v>
      </ns0:c>
      <ns0:c r="AF176" s="16">
        <ns0:f>IF(AND(OR('前提と出典'!$C$36+'前提と出典'!$C$38=0,U176&gt;=0),OR('前提と出典'!$C$37+'前提と出典'!$C$38=0,V176&gt;=0)),0,A176)</ns0:f>
        <ns0:v>0</ns0:v>
      </ns0:c>
      <ns0:c r="AG176" s="7">
        <ns0:f>IF(Z176&gt;=0,A176,1001)</ns0:f>
        <ns0:v>172</ns0:v>
      </ns0:c>
      <ns0:c r="AH176" s="4">
        <ns0:f>IF(Z176&lt;0,A176,0)</ns0:f>
        <ns0:v>0</ns0:v>
      </ns0:c>
      <ns0:c r="AI176" s="12">
        <ns0:f>IF(AND(OR('前提と出典'!$C$36+'前提と出典'!$C$38=0,X176&gt;=0),OR('前提と出典'!$C$37+'前提と出典'!$C$38=0,Y176&gt;=0)),0,A176)</ns0:f>
        <ns0:v>0</ns0:v>
      </ns0:c>
    </ns0:row>
    <ns0:row r="177" ht="24" customHeight="1">
      <ns0:c r="A177" s="4" t="n">
        <ns0:v>173</ns0:v>
      </ns0:c>
      <ns0:c r="B177" s="12">
        <ns0:f>A177*('前提と出典'!$C$36+'前提と出典'!$C$38)</ns0:f>
        <ns0:v>121.1</ns0:v>
      </ns0:c>
      <ns0:c r="C177" s="12">
        <ns0:f>A177*('前提と出典'!$C$37+'前提と出典'!$C$38)</ns0:f>
        <ns0:v>103.8</ns0:v>
      </ns0:c>
      <ns0:c r="D177" s="16">
        <ns0:f>A177*('前提と出典'!$C$36*'契約別単価'!C5+'前提と出典'!$C$37*'契約別単価'!C6+'前提と出典'!$C$38*'契約別単価'!C7)</ns0:f>
        <ns0:v>1244.826815642458</ns0:v>
      </ns0:c>
      <ns0:c r="E177" s="16">
        <ns0:f>A177*('前提と出典'!$C$36*'契約別単価'!E5+'前提と出典'!$C$37*'契約別単価'!E6+'前提と出典'!$C$38*'契約別単価'!E7)</ns0:f>
        <ns0:v>434900.01572067797</ns0:v>
      </ns0:c>
      <ns0:c r="F177" s="16">
        <ns0:f>A177*('前提と出典'!$C$36*'契約別単価'!F5+'前提と出典'!$C$37*'契約別単価'!F6+'前提と出典'!$C$38*'契約別単価'!F7)</ns0:f>
        <ns0:v>126370.82788281426</ns0:v>
      </ns0:c>
      <ns0:c r="G177" s="16">
        <ns0:f>A177*('前提と出典'!$C$36*'契約別単価'!G5+'前提と出典'!$C$37*'契約別単価'!G6+'前提と出典'!$C$38*'契約別単価'!G7)</ns0:f>
        <ns0:v>344356.98324022343</ns0:v>
      </ns0:c>
      <ns0:c r="H177" s="16">
        <ns0:f>A177*('前提と出典'!$C$36*'契約別単価'!H5+'前提と出典'!$C$37*'契約別単価'!H6+'前提と出典'!$C$38*'契約別単価'!H7)</ns0:f>
        <ns0:v>119509.14404424354</ns0:v>
      </ns0:c>
      <ns0:c r="I177" s="16">
        <ns0:f>A177*('前提と出典'!$C$36*'契約別単価'!I5+'前提と出典'!$C$37*'契約別単価'!I6+'前提と出典'!$C$38*'契約別単価'!I7)</ns0:f>
        <ns0:v>7299.8268156424565</ns0:v>
      </ns0:c>
      <ns0:c r="J177" s="16">
        <ns0:f>A177*('前提と出典'!$C$36*'契約別単価'!J5+'前提と出典'!$C$37*'契約別単価'!J6+'前提と出典'!$C$38*'契約別単価'!J7)</ns0:f>
        <ns0:v>17004.091061882344</ns0:v>
      </ns0:c>
      <ns0:c r="K177" s="16">
        <ns0:f>A177*('前提と出典'!$C$36*'契約別単価'!K5+'前提と出典'!$C$37*'契約別単価'!K6+'前提と出典'!$C$38*'契約別単価'!K7)</ns0:f>
        <ns0:v>72885.51210428304</ns0:v>
      </ns0:c>
      <ns0:c r="L177" s="16">
        <ns0:f>A177*('前提と出典'!$C$36*'契約別単価'!L5+'前提と出典'!$C$37*'契約別単価'!L6+'前提と出典'!$C$38*'契約別単価'!L7)</ns0:f>
        <ns0:v>59343.63813480812</ns0:v>
      </ns0:c>
      <ns0:c r="M177" s="16">
        <ns0:f>IF(('前提と出典'!$C$36+'前提と出典'!$C$38)=0,0,IF(B177&lt;=10,'前提と出典'!B73+'前提と出典'!C73,IF(B177&lt;=100,'前提と出典'!B74+'前提と出典'!C74,IF(B177&lt;=500,'前提と出典'!B75+'前提と出典'!C75,'前提と出典'!B76+'前提と出典'!C76))))</ns0:f>
        <ns0:v>40000</ns0:v>
      </ns0:c>
      <ns0:c r="N177" s="16">
        <ns0:f>IF(('前提と出典'!$C$37+'前提と出典'!$C$38)=0,0,IF(C177&lt;=10,'前提と出典'!D73+'前提と出典'!E73,IF(C177&lt;=100,'前提と出典'!D74+'前提と出典'!E74,IF(C177&lt;=500,'前提と出典'!D75+'前提と出典'!E75,'前提と出典'!D76+'前提と出典'!E76))))</ns0:f>
        <ns0:v>56510.9346263078</ns0:v>
      </ns0:c>
      <ns0:c r="O177" s="16">
        <ns0:f>IF('前提と出典'!$C$36+'前提と出典'!$C$38=0,0,'前提と出典'!$B$4*IF('前提と出典'!$B$20=0,MAX('前提と出典'!$B$6,D177*'前提と出典'!$B$5),'前提と出典'!$B$6+D177*'前提と出典'!$B$5))</ns0:f>
        <ns0:v>171786.10055865924</ns0:v>
      </ns0:c>
      <ns0:c r="P177" s="16">
        <ns0:f>(E177+G177)*(1-'前提と出典'!$B$7)-I177-K177-M177-O177</ns0:f>
        <ns0:v>459232.30751972424</ns0:v>
      </ns0:c>
      <ns0:c r="Q177" s="16">
        <ns0:f>(F177+H177)*(1-'前提と出典'!$B$7)-J177-L177-N177</ns0:f>
        <ns0:v>104169.62911468546</ns0:v>
      </ns0:c>
      <ns0:c r="R177" s="16">
        <ns0:f>P177-E177*'前提と出典'!$E$4</ns0:f>
        <ns0:v>328762.30280352075</ns0:v>
      </ns0:c>
      <ns0:c r="S177" s="16">
        <ns0:f>Q177-F177*'前提と出典'!$E$4</ns0:f>
        <ns0:v>66258.38074984119</ns0:v>
      </ns0:c>
      <ns0:c r="T177" s="7">
        <ns0:f>R177+S177</ns0:f>
        <ns0:v>395020.6835533619</ns0:v>
      </ns0:c>
      <ns0:c r="U177" s="16">
        <ns0:f>P177-E177*'前提と出典'!$E$5</ns0:f>
        <ns0:v>285272.3012314531</ns0:v>
      </ns0:c>
      <ns0:c r="V177" s="16">
        <ns0:f>Q177-F177*'前提と出典'!$E$5</ns0:f>
        <ns0:v>53621.29796155975</ns0:v>
      </ns0:c>
      <ns0:c r="W177" s="7">
        <ns0:f>U177+V177</ns0:f>
        <ns0:v>338893.5991930128</ns0:v>
      </ns0:c>
      <ns0:c r="X177" s="16">
        <ns0:f>P177-E177*'前提と出典'!$E$6</ns0:f>
        <ns0:v>241782.29965938523</ns0:v>
      </ns0:c>
      <ns0:c r="Y177" s="16">
        <ns0:f>Q177-F177*'前提と出典'!$E$6</ns0:f>
        <ns0:v>40984.21517327832</ns0:v>
      </ns0:c>
      <ns0:c r="Z177" s="7">
        <ns0:f>X177+Y177</ns0:f>
        <ns0:v>282766.5148326635</ns0:v>
      </ns0:c>
      <ns0:c r="AA177" s="7">
        <ns0:f>IF(T177&gt;=0,A177,1001)</ns0:f>
        <ns0:v>173</ns0:v>
      </ns0:c>
      <ns0:c r="AB177" s="7">
        <ns0:f>IF(T177&lt;0,A177,0)</ns0:f>
        <ns0:v>0</ns0:v>
      </ns0:c>
      <ns0:c r="AC177" s="16">
        <ns0:f>IF(AND(OR('前提と出典'!$C$36+'前提と出典'!$C$38=0,R177&gt;=0),OR('前提と出典'!$C$37+'前提と出典'!$C$38=0,S177&gt;=0)),0,A177)</ns0:f>
        <ns0:v>0</ns0:v>
      </ns0:c>
      <ns0:c r="AD177" s="7">
        <ns0:f>IF(W177&gt;=0,A177,1001)</ns0:f>
        <ns0:v>173</ns0:v>
      </ns0:c>
      <ns0:c r="AE177" s="7">
        <ns0:f>IF(W177&lt;0,A177,0)</ns0:f>
        <ns0:v>0</ns0:v>
      </ns0:c>
      <ns0:c r="AF177" s="16">
        <ns0:f>IF(AND(OR('前提と出典'!$C$36+'前提と出典'!$C$38=0,U177&gt;=0),OR('前提と出典'!$C$37+'前提と出典'!$C$38=0,V177&gt;=0)),0,A177)</ns0:f>
        <ns0:v>0</ns0:v>
      </ns0:c>
      <ns0:c r="AG177" s="7">
        <ns0:f>IF(Z177&gt;=0,A177,1001)</ns0:f>
        <ns0:v>173</ns0:v>
      </ns0:c>
      <ns0:c r="AH177" s="4">
        <ns0:f>IF(Z177&lt;0,A177,0)</ns0:f>
        <ns0:v>0</ns0:v>
      </ns0:c>
      <ns0:c r="AI177" s="12">
        <ns0:f>IF(AND(OR('前提と出典'!$C$36+'前提と出典'!$C$38=0,X177&gt;=0),OR('前提と出典'!$C$37+'前提と出典'!$C$38=0,Y177&gt;=0)),0,A177)</ns0:f>
        <ns0:v>0</ns0:v>
      </ns0:c>
    </ns0:row>
    <ns0:row r="178" ht="24" customHeight="1">
      <ns0:c r="A178" s="4" t="n">
        <ns0:v>174</ns0:v>
      </ns0:c>
      <ns0:c r="B178" s="12">
        <ns0:f>A178*('前提と出典'!$C$36+'前提と出典'!$C$38)</ns0:f>
        <ns0:v>121.8</ns0:v>
      </ns0:c>
      <ns0:c r="C178" s="12">
        <ns0:f>A178*('前提と出典'!$C$37+'前提と出典'!$C$38)</ns0:f>
        <ns0:v>104.39999999999999</ns0:v>
      </ns0:c>
      <ns0:c r="D178" s="16">
        <ns0:f>A178*('前提と出典'!$C$36*'契約別単価'!C5+'前提と出典'!$C$37*'契約別単価'!C6+'前提と出典'!$C$38*'契約別単価'!C7)</ns0:f>
        <ns0:v>1252.022346368715</ns0:v>
      </ns0:c>
      <ns0:c r="E178" s="16">
        <ns0:f>A178*('前提と出典'!$C$36*'契約別単価'!E5+'前提と出典'!$C$37*'契約別単価'!E6+'前提と出典'!$C$38*'契約別単価'!E7)</ns0:f>
        <ns0:v>437413.8886439189</ns0:v>
      </ns0:c>
      <ns0:c r="F178" s="16">
        <ns0:f>A178*('前提と出典'!$C$36*'契約別単価'!F5+'前提と出典'!$C$37*'契約別単価'!F6+'前提と出典'!$C$38*'契約別単価'!F7)</ns0:f>
        <ns0:v>127101.29509600972</ns0:v>
      </ns0:c>
      <ns0:c r="G178" s="16">
        <ns0:f>A178*('前提と出典'!$C$36*'契約別単価'!G5+'前提と出典'!$C$37*'契約別単価'!G6+'前提と出典'!$C$38*'契約別単価'!G7)</ns0:f>
        <ns0:v>346347.48603351956</ns0:v>
      </ns0:c>
      <ns0:c r="H178" s="16">
        <ns0:f>A178*('前提と出典'!$C$36*'契約別単価'!H5+'前提と出典'!$C$37*'契約別単価'!H6+'前提と出典'!$C$38*'契約別単価'!H7)</ns0:f>
        <ns0:v>120199.94834507731</ns0:v>
      </ns0:c>
      <ns0:c r="I178" s="16">
        <ns0:f>A178*('前提と出典'!$C$36*'契約別単価'!I5+'前提と出典'!$C$37*'契約別単価'!I6+'前提と出典'!$C$38*'契約別単価'!I7)</ns0:f>
        <ns0:v>7342.022346368713</ns0:v>
      </ns0:c>
      <ns0:c r="J178" s="16">
        <ns0:f>A178*('前提と出典'!$C$36*'契約別単価'!J5+'前提と出典'!$C$37*'契約別単価'!J6+'前提と出典'!$C$38*'契約別単価'!J7)</ns0:f>
        <ns0:v>17102.380605592647</ns0:v>
      </ns0:c>
      <ns0:c r="K178" s="16">
        <ns0:f>A178*('前提と出典'!$C$36*'契約別単価'!K5+'前提と出典'!$C$37*'契約別単価'!K6+'前提と出典'!$C$38*'契約別単価'!K7)</ns0:f>
        <ns0:v>73306.8156424581</ns0:v>
      </ns0:c>
      <ns0:c r="L178" s="16">
        <ns0:f>A178*('前提と出典'!$C$36*'契約別単価'!L5+'前提と出典'!$C$37*'契約別単価'!L6+'前提と出典'!$C$38*'契約別単価'!L7)</ns0:f>
        <ns0:v>59686.66494483591</ns0:v>
      </ns0:c>
      <ns0:c r="M178" s="16">
        <ns0:f>IF(('前提と出典'!$C$36+'前提と出典'!$C$38)=0,0,IF(B178&lt;=10,'前提と出典'!B73+'前提と出典'!C73,IF(B178&lt;=100,'前提と出典'!B74+'前提と出典'!C74,IF(B178&lt;=500,'前提と出典'!B75+'前提と出典'!C75,'前提と出典'!B76+'前提と出典'!C76))))</ns0:f>
        <ns0:v>40000</ns0:v>
      </ns0:c>
      <ns0:c r="N178" s="16">
        <ns0:f>IF(('前提と出典'!$C$37+'前提と出典'!$C$38)=0,0,IF(C178&lt;=10,'前提と出典'!D73+'前提と出典'!E73,IF(C178&lt;=100,'前提と出典'!D74+'前提と出典'!E74,IF(C178&lt;=500,'前提と出典'!D75+'前提と出典'!E75,'前提と出典'!D76+'前提と出典'!E76))))</ns0:f>
        <ns0:v>56510.9346263078</ns0:v>
      </ns0:c>
      <ns0:c r="O178" s="16">
        <ns0:f>IF('前提と出典'!$C$36+'前提と出典'!$C$38=0,0,'前提と出典'!$B$4*IF('前提と出典'!$B$20=0,MAX('前提と出典'!$B$6,D178*'前提と出典'!$B$5),'前提と出典'!$B$6+D178*'前提と出典'!$B$5))</ns0:f>
        <ns0:v>172779.0837988827</ns0:v>
      </ns0:c>
      <ns0:c r="P178" s="16">
        <ns0:f>(E178+G178)*(1-'前提と出典'!$B$7)-I178-K178-M178-O178</ns0:f>
        <ns0:v>462118.0434013412</ns0:v>
      </ns0:c>
      <ns0:c r="Q178" s="16">
        <ns0:f>(F178+H178)*(1-'前提と出典'!$B$7)-J178-L178-N178</ns0:f>
        <ns0:v>105098.41850047153</ns0:v>
      </ns0:c>
      <ns0:c r="R178" s="16">
        <ns0:f>P178-E178*'前提と出典'!$E$4</ns0:f>
        <ns0:v>330893.8768081657</ns0:v>
      </ns0:c>
      <ns0:c r="S178" s="16">
        <ns0:f>Q178-F178*'前提と出典'!$E$4</ns0:f>
        <ns0:v>66968.02997166861</ns0:v>
      </ns0:c>
      <ns0:c r="T178" s="7">
        <ns0:f>R178+S178</ns0:f>
        <ns0:v>397861.9067798343</ns0:v>
      </ns0:c>
      <ns0:c r="U178" s="16">
        <ns0:f>P178-E178*'前提と出典'!$E$5</ns0:f>
        <ns0:v>287152.4879437736</ns0:v>
      </ns0:c>
      <ns0:c r="V178" s="16">
        <ns0:f>Q178-F178*'前提と出典'!$E$5</ns0:f>
        <ns0:v>54257.900462067635</ns0:v>
      </ns0:c>
      <ns0:c r="W178" s="7">
        <ns0:f>U178+V178</ns0:f>
        <ns0:v>341410.38840584125</ns0:v>
      </ns0:c>
      <ns0:c r="X178" s="16">
        <ns0:f>P178-E178*'前提と出典'!$E$6</ns0:f>
        <ns0:v>243411.0990793817</ns0:v>
      </ns0:c>
      <ns0:c r="Y178" s="16">
        <ns0:f>Q178-F178*'前提と出典'!$E$6</ns0:f>
        <ns0:v>41547.77095246665</ns0:v>
      </ns0:c>
      <ns0:c r="Z178" s="7">
        <ns0:f>X178+Y178</ns0:f>
        <ns0:v>284958.8700318484</ns0:v>
      </ns0:c>
      <ns0:c r="AA178" s="7">
        <ns0:f>IF(T178&gt;=0,A178,1001)</ns0:f>
        <ns0:v>174</ns0:v>
      </ns0:c>
      <ns0:c r="AB178" s="7">
        <ns0:f>IF(T178&lt;0,A178,0)</ns0:f>
        <ns0:v>0</ns0:v>
      </ns0:c>
      <ns0:c r="AC178" s="16">
        <ns0:f>IF(AND(OR('前提と出典'!$C$36+'前提と出典'!$C$38=0,R178&gt;=0),OR('前提と出典'!$C$37+'前提と出典'!$C$38=0,S178&gt;=0)),0,A178)</ns0:f>
        <ns0:v>0</ns0:v>
      </ns0:c>
      <ns0:c r="AD178" s="7">
        <ns0:f>IF(W178&gt;=0,A178,1001)</ns0:f>
        <ns0:v>174</ns0:v>
      </ns0:c>
      <ns0:c r="AE178" s="7">
        <ns0:f>IF(W178&lt;0,A178,0)</ns0:f>
        <ns0:v>0</ns0:v>
      </ns0:c>
      <ns0:c r="AF178" s="16">
        <ns0:f>IF(AND(OR('前提と出典'!$C$36+'前提と出典'!$C$38=0,U178&gt;=0),OR('前提と出典'!$C$37+'前提と出典'!$C$38=0,V178&gt;=0)),0,A178)</ns0:f>
        <ns0:v>0</ns0:v>
      </ns0:c>
      <ns0:c r="AG178" s="7">
        <ns0:f>IF(Z178&gt;=0,A178,1001)</ns0:f>
        <ns0:v>174</ns0:v>
      </ns0:c>
      <ns0:c r="AH178" s="4">
        <ns0:f>IF(Z178&lt;0,A178,0)</ns0:f>
        <ns0:v>0</ns0:v>
      </ns0:c>
      <ns0:c r="AI178" s="12">
        <ns0:f>IF(AND(OR('前提と出典'!$C$36+'前提と出典'!$C$38=0,X178&gt;=0),OR('前提と出典'!$C$37+'前提と出典'!$C$38=0,Y178&gt;=0)),0,A178)</ns0:f>
        <ns0:v>0</ns0:v>
      </ns0:c>
    </ns0:row>
    <ns0:row r="179" ht="24" customHeight="1">
      <ns0:c r="A179" s="4" t="n">
        <ns0:v>175</ns0:v>
      </ns0:c>
      <ns0:c r="B179" s="12">
        <ns0:f>A179*('前提と出典'!$C$36+'前提と出典'!$C$38)</ns0:f>
        <ns0:v>122.49999999999999</ns0:v>
      </ns0:c>
      <ns0:c r="C179" s="12">
        <ns0:f>A179*('前提と出典'!$C$37+'前提と出典'!$C$38)</ns0:f>
        <ns0:v>105</ns0:v>
      </ns0:c>
      <ns0:c r="D179" s="16">
        <ns0:f>A179*('前提と出典'!$C$36*'契約別単価'!C5+'前提と出典'!$C$37*'契約別単価'!C6+'前提と出典'!$C$38*'契約別単価'!C7)</ns0:f>
        <ns0:v>1259.217877094972</ns0:v>
      </ns0:c>
      <ns0:c r="E179" s="16">
        <ns0:f>A179*('前提と出典'!$C$36*'契約別単価'!E5+'前提と出典'!$C$37*'契約別単価'!E6+'前提と出典'!$C$38*'契約別単価'!E7)</ns0:f>
        <ns0:v>439927.7615671598</ns0:v>
      </ns0:c>
      <ns0:c r="F179" s="16">
        <ns0:f>A179*('前提と出典'!$C$36*'契約別単価'!F5+'前提と出典'!$C$37*'契約別単価'!F6+'前提と出典'!$C$38*'契約別単価'!F7)</ns0:f>
        <ns0:v>127831.76230920518</ns0:v>
      </ns0:c>
      <ns0:c r="G179" s="16">
        <ns0:f>A179*('前提と出典'!$C$36*'契約別単価'!G5+'前提と出典'!$C$37*'契約別単価'!G6+'前提と出典'!$C$38*'契約別単価'!G7)</ns0:f>
        <ns0:v>348337.9888268156</ns0:v>
      </ns0:c>
      <ns0:c r="H179" s="16">
        <ns0:f>A179*('前提と出典'!$C$36*'契約別単価'!H5+'前提と出典'!$C$37*'契約別単価'!H6+'前提と出典'!$C$38*'契約別単価'!H7)</ns0:f>
        <ns0:v>120890.7526459111</ns0:v>
      </ns0:c>
      <ns0:c r="I179" s="16">
        <ns0:f>A179*('前提と出典'!$C$36*'契約別単価'!I5+'前提と出典'!$C$37*'契約別単価'!I6+'前提と出典'!$C$38*'契約別単価'!I7)</ns0:f>
        <ns0:v>7384.21787709497</ns0:v>
      </ns0:c>
      <ns0:c r="J179" s="16">
        <ns0:f>A179*('前提と出典'!$C$36*'契約別単価'!J5+'前提と出典'!$C$37*'契約別単価'!J6+'前提と出典'!$C$38*'契約別単価'!J7)</ns0:f>
        <ns0:v>17200.67014930295</ns0:v>
      </ns0:c>
      <ns0:c r="K179" s="16">
        <ns0:f>A179*('前提と出典'!$C$36*'契約別単価'!K5+'前提と出典'!$C$37*'契約別単価'!K6+'前提と出典'!$C$38*'契約別単価'!K7)</ns0:f>
        <ns0:v>73728.11918063315</ns0:v>
      </ns0:c>
      <ns0:c r="L179" s="16">
        <ns0:f>A179*('前提と出典'!$C$36*'契約別単価'!L5+'前提と出典'!$C$37*'契約別単価'!L6+'前提と出典'!$C$38*'契約別単価'!L7)</ns0:f>
        <ns0:v>60029.6917548637</ns0:v>
      </ns0:c>
      <ns0:c r="M179" s="16">
        <ns0:f>IF(('前提と出典'!$C$36+'前提と出典'!$C$38)=0,0,IF(B179&lt;=10,'前提と出典'!B73+'前提と出典'!C73,IF(B179&lt;=100,'前提と出典'!B74+'前提と出典'!C74,IF(B179&lt;=500,'前提と出典'!B75+'前提と出典'!C75,'前提と出典'!B76+'前提と出典'!C76))))</ns0:f>
        <ns0:v>40000</ns0:v>
      </ns0:c>
      <ns0:c r="N179" s="16">
        <ns0:f>IF(('前提と出典'!$C$37+'前提と出典'!$C$38)=0,0,IF(C179&lt;=10,'前提と出典'!D73+'前提と出典'!E73,IF(C179&lt;=100,'前提と出典'!D74+'前提と出典'!E74,IF(C179&lt;=500,'前提と出典'!D75+'前提と出典'!E75,'前提と出典'!D76+'前提と出典'!E76))))</ns0:f>
        <ns0:v>56510.9346263078</ns0:v>
      </ns0:c>
      <ns0:c r="O179" s="16">
        <ns0:f>IF('前提と出典'!$C$36+'前提と出典'!$C$38=0,0,'前提と出典'!$B$4*IF('前提と出典'!$B$20=0,MAX('前提と出典'!$B$6,D179*'前提と出典'!$B$5),'前提と出典'!$B$6+D179*'前提と出典'!$B$5))</ns0:f>
        <ns0:v>173772.06703910613</ns0:v>
      </ns0:c>
      <ns0:c r="P179" s="16">
        <ns0:f>(E179+G179)*(1-'前提と出典'!$B$7)-I179-K179-M179-O179</ns0:f>
        <ns0:v>465003.779282958</ns0:v>
      </ns0:c>
      <ns0:c r="Q179" s="16">
        <ns0:f>(F179+H179)*(1-'前提と出典'!$B$7)-J179-L179-N179</ns0:f>
        <ns0:v>106027.20788625762</ns0:v>
      </ns0:c>
      <ns0:c r="R179" s="16">
        <ns0:f>P179-E179*'前提と出典'!$E$4</ns0:f>
        <ns0:v>333025.4508128101</ns0:v>
      </ns0:c>
      <ns0:c r="S179" s="16">
        <ns0:f>Q179-F179*'前提と出典'!$E$4</ns0:f>
        <ns0:v>67677.6791934961</ns0:v>
      </ns0:c>
      <ns0:c r="T179" s="7">
        <ns0:f>R179+S179</ns0:f>
        <ns0:v>400703.1300063062</ns0:v>
      </ns0:c>
      <ns0:c r="U179" s="16">
        <ns0:f>P179-E179*'前提と出典'!$E$5</ns0:f>
        <ns0:v>289032.67465609405</ns0:v>
      </ns0:c>
      <ns0:c r="V179" s="16">
        <ns0:f>Q179-F179*'前提と出典'!$E$5</ns0:f>
        <ns0:v>54894.50296257555</ns0:v>
      </ns0:c>
      <ns0:c r="W179" s="7">
        <ns0:f>U179+V179</ns0:f>
        <ns0:v>343927.1776186696</ns0:v>
      </ns0:c>
      <ns0:c r="X179" s="16">
        <ns0:f>P179-E179*'前提と出典'!$E$6</ns0:f>
        <ns0:v>245039.8984993781</ns0:v>
      </ns0:c>
      <ns0:c r="Y179" s="16">
        <ns0:f>Q179-F179*'前提と出典'!$E$6</ns0:f>
        <ns0:v>42111.32673165504</ns0:v>
      </ns0:c>
      <ns0:c r="Z179" s="7">
        <ns0:f>X179+Y179</ns0:f>
        <ns0:v>287151.2252310331</ns0:v>
      </ns0:c>
      <ns0:c r="AA179" s="7">
        <ns0:f>IF(T179&gt;=0,A179,1001)</ns0:f>
        <ns0:v>175</ns0:v>
      </ns0:c>
      <ns0:c r="AB179" s="7">
        <ns0:f>IF(T179&lt;0,A179,0)</ns0:f>
        <ns0:v>0</ns0:v>
      </ns0:c>
      <ns0:c r="AC179" s="16">
        <ns0:f>IF(AND(OR('前提と出典'!$C$36+'前提と出典'!$C$38=0,R179&gt;=0),OR('前提と出典'!$C$37+'前提と出典'!$C$38=0,S179&gt;=0)),0,A179)</ns0:f>
        <ns0:v>0</ns0:v>
      </ns0:c>
      <ns0:c r="AD179" s="7">
        <ns0:f>IF(W179&gt;=0,A179,1001)</ns0:f>
        <ns0:v>175</ns0:v>
      </ns0:c>
      <ns0:c r="AE179" s="7">
        <ns0:f>IF(W179&lt;0,A179,0)</ns0:f>
        <ns0:v>0</ns0:v>
      </ns0:c>
      <ns0:c r="AF179" s="16">
        <ns0:f>IF(AND(OR('前提と出典'!$C$36+'前提と出典'!$C$38=0,U179&gt;=0),OR('前提と出典'!$C$37+'前提と出典'!$C$38=0,V179&gt;=0)),0,A179)</ns0:f>
        <ns0:v>0</ns0:v>
      </ns0:c>
      <ns0:c r="AG179" s="7">
        <ns0:f>IF(Z179&gt;=0,A179,1001)</ns0:f>
        <ns0:v>175</ns0:v>
      </ns0:c>
      <ns0:c r="AH179" s="4">
        <ns0:f>IF(Z179&lt;0,A179,0)</ns0:f>
        <ns0:v>0</ns0:v>
      </ns0:c>
      <ns0:c r="AI179" s="12">
        <ns0:f>IF(AND(OR('前提と出典'!$C$36+'前提と出典'!$C$38=0,X179&gt;=0),OR('前提と出典'!$C$37+'前提と出典'!$C$38=0,Y179&gt;=0)),0,A179)</ns0:f>
        <ns0:v>0</ns0:v>
      </ns0:c>
    </ns0:row>
    <ns0:row r="180" ht="24" customHeight="1">
      <ns0:c r="A180" s="4" t="n">
        <ns0:v>176</ns0:v>
      </ns0:c>
      <ns0:c r="B180" s="12">
        <ns0:f>A180*('前提と出典'!$C$36+'前提と出典'!$C$38)</ns0:f>
        <ns0:v>123.19999999999999</ns0:v>
      </ns0:c>
      <ns0:c r="C180" s="12">
        <ns0:f>A180*('前提と出典'!$C$37+'前提と出典'!$C$38)</ns0:f>
        <ns0:v>105.6</ns0:v>
      </ns0:c>
      <ns0:c r="D180" s="16">
        <ns0:f>A180*('前提と出典'!$C$36*'契約別単価'!C5+'前提と出典'!$C$37*'契約別単価'!C6+'前提と出典'!$C$38*'契約別単価'!C7)</ns0:f>
        <ns0:v>1266.4134078212292</ns0:v>
      </ns0:c>
      <ns0:c r="E180" s="16">
        <ns0:f>A180*('前提と出典'!$C$36*'契約別単価'!E5+'前提と出典'!$C$37*'契約別単価'!E6+'前提と出典'!$C$38*'契約別単価'!E7)</ns0:f>
        <ns0:v>442441.6344904007</ns0:v>
      </ns0:c>
      <ns0:c r="F180" s="16">
        <ns0:f>A180*('前提と出典'!$C$36*'契約別単価'!F5+'前提と出典'!$C$37*'契約別単価'!F6+'前提と出典'!$C$38*'契約別単価'!F7)</ns0:f>
        <ns0:v>128562.22952240064</ns0:v>
      </ns0:c>
      <ns0:c r="G180" s="16">
        <ns0:f>A180*('前提と出典'!$C$36*'契約別単価'!G5+'前提と出典'!$C$37*'契約別単価'!G6+'前提と出典'!$C$38*'契約別単価'!G7)</ns0:f>
        <ns0:v>350328.49162011174</ns0:v>
      </ns0:c>
      <ns0:c r="H180" s="16">
        <ns0:f>A180*('前提と出典'!$C$36*'契約別単価'!H5+'前提と出典'!$C$37*'契約別単価'!H6+'前提と出典'!$C$38*'契約別単価'!H7)</ns0:f>
        <ns0:v>121581.55694674488</ns0:v>
      </ns0:c>
      <ns0:c r="I180" s="16">
        <ns0:f>A180*('前提と出典'!$C$36*'契約別単価'!I5+'前提と出典'!$C$37*'契約別単価'!I6+'前提と出典'!$C$38*'契約別単価'!I7)</ns0:f>
        <ns0:v>7426.413407821228</ns0:v>
      </ns0:c>
      <ns0:c r="J180" s="16">
        <ns0:f>A180*('前提と出典'!$C$36*'契約別単価'!J5+'前提と出典'!$C$37*'契約別単価'!J6+'前提と出典'!$C$38*'契約別単価'!J7)</ns0:f>
        <ns0:v>17298.95969301325</ns0:v>
      </ns0:c>
      <ns0:c r="K180" s="16">
        <ns0:f>A180*('前提と出典'!$C$36*'契約別単価'!K5+'前提と出典'!$C$37*'契約別単価'!K6+'前提と出典'!$C$38*'契約別単価'!K7)</ns0:f>
        <ns0:v>74149.42271880819</ns0:v>
      </ns0:c>
      <ns0:c r="L180" s="16">
        <ns0:f>A180*('前提と出典'!$C$36*'契約別単価'!L5+'前提と出典'!$C$37*'契約別単価'!L6+'前提と出典'!$C$38*'契約別単価'!L7)</ns0:f>
        <ns0:v>60372.7185648915</ns0:v>
      </ns0:c>
      <ns0:c r="M180" s="16">
        <ns0:f>IF(('前提と出典'!$C$36+'前提と出典'!$C$38)=0,0,IF(B180&lt;=10,'前提と出典'!B73+'前提と出典'!C73,IF(B180&lt;=100,'前提と出典'!B74+'前提と出典'!C74,IF(B180&lt;=500,'前提と出典'!B75+'前提と出典'!C75,'前提と出典'!B76+'前提と出典'!C76))))</ns0:f>
        <ns0:v>40000</ns0:v>
      </ns0:c>
      <ns0:c r="N180" s="16">
        <ns0:f>IF(('前提と出典'!$C$37+'前提と出典'!$C$38)=0,0,IF(C180&lt;=10,'前提と出典'!D73+'前提と出典'!E73,IF(C180&lt;=100,'前提と出典'!D74+'前提と出典'!E74,IF(C180&lt;=500,'前提と出典'!D75+'前提と出典'!E75,'前提と出典'!D76+'前提と出典'!E76))))</ns0:f>
        <ns0:v>56510.9346263078</ns0:v>
      </ns0:c>
      <ns0:c r="O180" s="16">
        <ns0:f>IF('前提と出典'!$C$36+'前提と出典'!$C$38=0,0,'前提と出典'!$B$4*IF('前提と出典'!$B$20=0,MAX('前提と出典'!$B$6,D180*'前提と出典'!$B$5),'前提と出典'!$B$6+D180*'前提と出典'!$B$5))</ns0:f>
        <ns0:v>174765.05027932965</ns0:v>
      </ns0:c>
      <ns0:c r="P180" s="16">
        <ns0:f>(E180+G180)*(1-'前提と出典'!$B$7)-I180-K180-M180-O180</ns0:f>
        <ns0:v>467889.515164575</ns0:v>
      </ns0:c>
      <ns0:c r="Q180" s="16">
        <ns0:f>(F180+H180)*(1-'前提と出典'!$B$7)-J180-L180-N180</ns0:f>
        <ns0:v>106955.99727204372</ns0:v>
      </ns0:c>
      <ns0:c r="R180" s="16">
        <ns0:f>P180-E180*'前提と出典'!$E$4</ns0:f>
        <ns0:v>335157.02481745486</ns0:v>
      </ns0:c>
      <ns0:c r="S180" s="16">
        <ns0:f>Q180-F180*'前提と出典'!$E$4</ns0:f>
        <ns0:v>68387.32841532351</ns0:v>
      </ns0:c>
      <ns0:c r="T180" s="7">
        <ns0:f>R180+S180</ns0:f>
        <ns0:v>403544.3532327784</ns0:v>
      </ns0:c>
      <ns0:c r="U180" s="16">
        <ns0:f>P180-E180*'前提と出典'!$E$5</ns0:f>
        <ns0:v>290912.8613684147</ns0:v>
      </ns0:c>
      <ns0:c r="V180" s="16">
        <ns0:f>Q180-F180*'前提と出典'!$E$5</ns0:f>
        <ns0:v>55531.10546308346</ns0:v>
      </ns0:c>
      <ns0:c r="W180" s="7">
        <ns0:f>U180+V180</ns0:f>
        <ns0:v>346443.9668314982</ns0:v>
      </ns0:c>
      <ns0:c r="X180" s="16">
        <ns0:f>P180-E180*'前提と出典'!$E$6</ns0:f>
        <ns0:v>246668.69791937468</ns0:v>
      </ns0:c>
      <ns0:c r="Y180" s="16">
        <ns0:f>Q180-F180*'前提と出典'!$E$6</ns0:f>
        <ns0:v>42674.8825108434</ns0:v>
      </ns0:c>
      <ns0:c r="Z180" s="7">
        <ns0:f>X180+Y180</ns0:f>
        <ns0:v>289343.5804302181</ns0:v>
      </ns0:c>
      <ns0:c r="AA180" s="7">
        <ns0:f>IF(T180&gt;=0,A180,1001)</ns0:f>
        <ns0:v>176</ns0:v>
      </ns0:c>
      <ns0:c r="AB180" s="7">
        <ns0:f>IF(T180&lt;0,A180,0)</ns0:f>
        <ns0:v>0</ns0:v>
      </ns0:c>
      <ns0:c r="AC180" s="16">
        <ns0:f>IF(AND(OR('前提と出典'!$C$36+'前提と出典'!$C$38=0,R180&gt;=0),OR('前提と出典'!$C$37+'前提と出典'!$C$38=0,S180&gt;=0)),0,A180)</ns0:f>
        <ns0:v>0</ns0:v>
      </ns0:c>
      <ns0:c r="AD180" s="7">
        <ns0:f>IF(W180&gt;=0,A180,1001)</ns0:f>
        <ns0:v>176</ns0:v>
      </ns0:c>
      <ns0:c r="AE180" s="7">
        <ns0:f>IF(W180&lt;0,A180,0)</ns0:f>
        <ns0:v>0</ns0:v>
      </ns0:c>
      <ns0:c r="AF180" s="16">
        <ns0:f>IF(AND(OR('前提と出典'!$C$36+'前提と出典'!$C$38=0,U180&gt;=0),OR('前提と出典'!$C$37+'前提と出典'!$C$38=0,V180&gt;=0)),0,A180)</ns0:f>
        <ns0:v>0</ns0:v>
      </ns0:c>
      <ns0:c r="AG180" s="7">
        <ns0:f>IF(Z180&gt;=0,A180,1001)</ns0:f>
        <ns0:v>176</ns0:v>
      </ns0:c>
      <ns0:c r="AH180" s="4">
        <ns0:f>IF(Z180&lt;0,A180,0)</ns0:f>
        <ns0:v>0</ns0:v>
      </ns0:c>
      <ns0:c r="AI180" s="12">
        <ns0:f>IF(AND(OR('前提と出典'!$C$36+'前提と出典'!$C$38=0,X180&gt;=0),OR('前提と出典'!$C$37+'前提と出典'!$C$38=0,Y180&gt;=0)),0,A180)</ns0:f>
        <ns0:v>0</ns0:v>
      </ns0:c>
    </ns0:row>
    <ns0:row r="181" ht="24" customHeight="1">
      <ns0:c r="A181" s="4" t="n">
        <ns0:v>177</ns0:v>
      </ns0:c>
      <ns0:c r="B181" s="12">
        <ns0:f>A181*('前提と出典'!$C$36+'前提と出典'!$C$38)</ns0:f>
        <ns0:v>123.89999999999999</ns0:v>
      </ns0:c>
      <ns0:c r="C181" s="12">
        <ns0:f>A181*('前提と出典'!$C$37+'前提と出典'!$C$38)</ns0:f>
        <ns0:v>106.2</ns0:v>
      </ns0:c>
      <ns0:c r="D181" s="16">
        <ns0:f>A181*('前提と出典'!$C$36*'契約別単価'!C5+'前提と出典'!$C$37*'契約別単価'!C6+'前提と出典'!$C$38*'契約別単価'!C7)</ns0:f>
        <ns0:v>1273.608938547486</ns0:v>
      </ns0:c>
      <ns0:c r="E181" s="16">
        <ns0:f>A181*('前提と出典'!$C$36*'契約別単価'!E5+'前提と出典'!$C$37*'契約別単価'!E6+'前提と出典'!$C$38*'契約別単価'!E7)</ns0:f>
        <ns0:v>444955.50741364167</ns0:v>
      </ns0:c>
      <ns0:c r="F181" s="16">
        <ns0:f>A181*('前提と出典'!$C$36*'契約別単価'!F5+'前提と出典'!$C$37*'契約別単価'!F6+'前提と出典'!$C$38*'契約別単価'!F7)</ns0:f>
        <ns0:v>129292.6967355961</ns0:v>
      </ns0:c>
      <ns0:c r="G181" s="16">
        <ns0:f>A181*('前提と出典'!$C$36*'契約別単価'!G5+'前提と出典'!$C$37*'契約別単価'!G6+'前提と出典'!$C$38*'契約別単価'!G7)</ns0:f>
        <ns0:v>352318.9944134078</ns0:v>
      </ns0:c>
      <ns0:c r="H181" s="16">
        <ns0:f>A181*('前提と出典'!$C$36*'契約別単価'!H5+'前提と出典'!$C$37*'契約別単価'!H6+'前提と出典'!$C$38*'契約別単価'!H7)</ns0:f>
        <ns0:v>122272.36124757865</ns0:v>
      </ns0:c>
      <ns0:c r="I181" s="16">
        <ns0:f>A181*('前提と出典'!$C$36*'契約別単価'!I5+'前提と出典'!$C$37*'契約別単価'!I6+'前提と出典'!$C$38*'契約別単価'!I7)</ns0:f>
        <ns0:v>7468.608938547485</ns0:v>
      </ns0:c>
      <ns0:c r="J181" s="16">
        <ns0:f>A181*('前提と出典'!$C$36*'契約別単価'!J5+'前提と出典'!$C$37*'契約別単価'!J6+'前提と出典'!$C$38*'契約別単価'!J7)</ns0:f>
        <ns0:v>17397.249236723554</ns0:v>
      </ns0:c>
      <ns0:c r="K181" s="16">
        <ns0:f>A181*('前提と出典'!$C$36*'契約別単価'!K5+'前提と出典'!$C$37*'契約別単価'!K6+'前提と出典'!$C$38*'契約別単価'!K7)</ns0:f>
        <ns0:v>74570.72625698324</ns0:v>
      </ns0:c>
      <ns0:c r="L181" s="16">
        <ns0:f>A181*('前提と出典'!$C$36*'契約別単価'!L5+'前提と出典'!$C$37*'契約別単価'!L6+'前提と出典'!$C$38*'契約別単価'!L7)</ns0:f>
        <ns0:v>60715.74537491929</ns0:v>
      </ns0:c>
      <ns0:c r="M181" s="16">
        <ns0:f>IF(('前提と出典'!$C$36+'前提と出典'!$C$38)=0,0,IF(B181&lt;=10,'前提と出典'!B73+'前提と出典'!C73,IF(B181&lt;=100,'前提と出典'!B74+'前提と出典'!C74,IF(B181&lt;=500,'前提と出典'!B75+'前提と出典'!C75,'前提と出典'!B76+'前提と出典'!C76))))</ns0:f>
        <ns0:v>40000</ns0:v>
      </ns0:c>
      <ns0:c r="N181" s="16">
        <ns0:f>IF(('前提と出典'!$C$37+'前提と出典'!$C$38)=0,0,IF(C181&lt;=10,'前提と出典'!D73+'前提と出典'!E73,IF(C181&lt;=100,'前提と出典'!D74+'前提と出典'!E74,IF(C181&lt;=500,'前提と出典'!D75+'前提と出典'!E75,'前提と出典'!D76+'前提と出典'!E76))))</ns0:f>
        <ns0:v>56510.9346263078</ns0:v>
      </ns0:c>
      <ns0:c r="O181" s="16">
        <ns0:f>IF('前提と出典'!$C$36+'前提と出典'!$C$38=0,0,'前提と出典'!$B$4*IF('前提と出典'!$B$20=0,MAX('前提と出典'!$B$6,D181*'前提と出典'!$B$5),'前提と出典'!$B$6+D181*'前提と出典'!$B$5))</ns0:f>
        <ns0:v>175758.03351955308</ns0:v>
      </ns0:c>
      <ns0:c r="P181" s="16">
        <ns0:f>(E181+G181)*(1-'前提と出典'!$B$7)-I181-K181-M181-O181</ns0:f>
        <ns0:v>470775.251046192</ns0:v>
      </ns0:c>
      <ns0:c r="Q181" s="16">
        <ns0:f>(F181+H181)*(1-'前提と出典'!$B$7)-J181-L181-N181</ns0:f>
        <ns0:v>107884.7866578298</ns0:v>
      </ns0:c>
      <ns0:c r="R181" s="16">
        <ns0:f>P181-E181*'前提と出典'!$E$4</ns0:f>
        <ns0:v>337288.59882209945</ns0:v>
      </ns0:c>
      <ns0:c r="S181" s="16">
        <ns0:f>Q181-F181*'前提と出典'!$E$4</ns0:f>
        <ns0:v>69096.97763715097</ns0:v>
      </ns0:c>
      <ns0:c r="T181" s="7">
        <ns0:f>R181+S181</ns0:f>
        <ns0:v>406385.5764592504</ns0:v>
      </ns0:c>
      <ns0:c r="U181" s="16">
        <ns0:f>P181-E181*'前提と出典'!$E$5</ns0:f>
        <ns0:v>292793.0480807353</ns0:v>
      </ns0:c>
      <ns0:c r="V181" s="16">
        <ns0:f>Q181-F181*'前提と出典'!$E$5</ns0:f>
        <ns0:v>56167.70796359136</ns0:v>
      </ns0:c>
      <ns0:c r="W181" s="7">
        <ns0:f>U181+V181</ns0:f>
        <ns0:v>348960.7560443267</ns0:v>
      </ns0:c>
      <ns0:c r="X181" s="16">
        <ns0:f>P181-E181*'前提と出典'!$E$6</ns0:f>
        <ns0:v>248297.49733937118</ns0:v>
      </ns0:c>
      <ns0:c r="Y181" s="16">
        <ns0:f>Q181-F181*'前提と出典'!$E$6</ns0:f>
        <ns0:v>43238.43829003175</ns0:v>
      </ns0:c>
      <ns0:c r="Z181" s="7">
        <ns0:f>X181+Y181</ns0:f>
        <ns0:v>291535.9356294029</ns0:v>
      </ns0:c>
      <ns0:c r="AA181" s="7">
        <ns0:f>IF(T181&gt;=0,A181,1001)</ns0:f>
        <ns0:v>177</ns0:v>
      </ns0:c>
      <ns0:c r="AB181" s="7">
        <ns0:f>IF(T181&lt;0,A181,0)</ns0:f>
        <ns0:v>0</ns0:v>
      </ns0:c>
      <ns0:c r="AC181" s="16">
        <ns0:f>IF(AND(OR('前提と出典'!$C$36+'前提と出典'!$C$38=0,R181&gt;=0),OR('前提と出典'!$C$37+'前提と出典'!$C$38=0,S181&gt;=0)),0,A181)</ns0:f>
        <ns0:v>0</ns0:v>
      </ns0:c>
      <ns0:c r="AD181" s="7">
        <ns0:f>IF(W181&gt;=0,A181,1001)</ns0:f>
        <ns0:v>177</ns0:v>
      </ns0:c>
      <ns0:c r="AE181" s="7">
        <ns0:f>IF(W181&lt;0,A181,0)</ns0:f>
        <ns0:v>0</ns0:v>
      </ns0:c>
      <ns0:c r="AF181" s="16">
        <ns0:f>IF(AND(OR('前提と出典'!$C$36+'前提と出典'!$C$38=0,U181&gt;=0),OR('前提と出典'!$C$37+'前提と出典'!$C$38=0,V181&gt;=0)),0,A181)</ns0:f>
        <ns0:v>0</ns0:v>
      </ns0:c>
      <ns0:c r="AG181" s="7">
        <ns0:f>IF(Z181&gt;=0,A181,1001)</ns0:f>
        <ns0:v>177</ns0:v>
      </ns0:c>
      <ns0:c r="AH181" s="4">
        <ns0:f>IF(Z181&lt;0,A181,0)</ns0:f>
        <ns0:v>0</ns0:v>
      </ns0:c>
      <ns0:c r="AI181" s="12">
        <ns0:f>IF(AND(OR('前提と出典'!$C$36+'前提と出典'!$C$38=0,X181&gt;=0),OR('前提と出典'!$C$37+'前提と出典'!$C$38=0,Y181&gt;=0)),0,A181)</ns0:f>
        <ns0:v>0</ns0:v>
      </ns0:c>
    </ns0:row>
    <ns0:row r="182" ht="24" customHeight="1">
      <ns0:c r="A182" s="4" t="n">
        <ns0:v>178</ns0:v>
      </ns0:c>
      <ns0:c r="B182" s="12">
        <ns0:f>A182*('前提と出典'!$C$36+'前提と出典'!$C$38)</ns0:f>
        <ns0:v>124.6</ns0:v>
      </ns0:c>
      <ns0:c r="C182" s="12">
        <ns0:f>A182*('前提と出典'!$C$37+'前提と出典'!$C$38)</ns0:f>
        <ns0:v>106.8</ns0:v>
      </ns0:c>
      <ns0:c r="D182" s="16">
        <ns0:f>A182*('前提と出典'!$C$36*'契約別単価'!C5+'前提と出典'!$C$37*'契約別単価'!C6+'前提と出典'!$C$38*'契約別単価'!C7)</ns0:f>
        <ns0:v>1280.804469273743</ns0:v>
      </ns0:c>
      <ns0:c r="E182" s="16">
        <ns0:f>A182*('前提と出典'!$C$36*'契約別単価'!E5+'前提と出典'!$C$37*'契約別単価'!E6+'前提と出典'!$C$38*'契約別単価'!E7)</ns0:f>
        <ns0:v>447469.38033688255</ns0:v>
      </ns0:c>
      <ns0:c r="F182" s="16">
        <ns0:f>A182*('前提と出典'!$C$36*'契約別単価'!F5+'前提と出典'!$C$37*'契約別単価'!F6+'前提と出典'!$C$38*'契約別単価'!F7)</ns0:f>
        <ns0:v>130023.16394879155</ns0:v>
      </ns0:c>
      <ns0:c r="G182" s="16">
        <ns0:f>A182*('前提と出典'!$C$36*'契約別単価'!G5+'前提と出典'!$C$37*'契約別単価'!G6+'前提と出典'!$C$38*'契約別単価'!G7)</ns0:f>
        <ns0:v>354309.4972067039</ns0:v>
      </ns0:c>
      <ns0:c r="H182" s="16">
        <ns0:f>A182*('前提と出典'!$C$36*'契約別単価'!H5+'前提と出典'!$C$37*'契約別単価'!H6+'前提と出典'!$C$38*'契約別単価'!H7)</ns0:f>
        <ns0:v>122963.16554841243</ns0:v>
      </ns0:c>
      <ns0:c r="I182" s="16">
        <ns0:f>A182*('前提と出典'!$C$36*'契約別単価'!I5+'前提と出典'!$C$37*'契約別単価'!I6+'前提と出典'!$C$38*'契約別単価'!I7)</ns0:f>
        <ns0:v>7510.804469273742</ns0:v>
      </ns0:c>
      <ns0:c r="J182" s="16">
        <ns0:f>A182*('前提と出典'!$C$36*'契約別単価'!J5+'前提と出典'!$C$37*'契約別単価'!J6+'前提と出典'!$C$38*'契約別単価'!J7)</ns0:f>
        <ns0:v>17495.538780433857</ns0:v>
      </ns0:c>
      <ns0:c r="K182" s="16">
        <ns0:f>A182*('前提と出典'!$C$36*'契約別単価'!K5+'前提と出典'!$C$37*'契約別単価'!K6+'前提と出典'!$C$38*'契約別単価'!K7)</ns0:f>
        <ns0:v>74992.02979515828</ns0:v>
      </ns0:c>
      <ns0:c r="L182" s="16">
        <ns0:f>A182*('前提と出典'!$C$36*'契約別単価'!L5+'前提と出典'!$C$37*'契約別単価'!L6+'前提と出典'!$C$38*'契約別単価'!L7)</ns0:f>
        <ns0:v>61058.772184947076</ns0:v>
      </ns0:c>
      <ns0:c r="M182" s="16">
        <ns0:f>IF(('前提と出典'!$C$36+'前提と出典'!$C$38)=0,0,IF(B182&lt;=10,'前提と出典'!B73+'前提と出典'!C73,IF(B182&lt;=100,'前提と出典'!B74+'前提と出典'!C74,IF(B182&lt;=500,'前提と出典'!B75+'前提と出典'!C75,'前提と出典'!B76+'前提と出典'!C76))))</ns0:f>
        <ns0:v>40000</ns0:v>
      </ns0:c>
      <ns0:c r="N182" s="16">
        <ns0:f>IF(('前提と出典'!$C$37+'前提と出典'!$C$38)=0,0,IF(C182&lt;=10,'前提と出典'!D73+'前提と出典'!E73,IF(C182&lt;=100,'前提と出典'!D74+'前提と出典'!E74,IF(C182&lt;=500,'前提と出典'!D75+'前提と出典'!E75,'前提と出典'!D76+'前提と出典'!E76))))</ns0:f>
        <ns0:v>56510.9346263078</ns0:v>
      </ns0:c>
      <ns0:c r="O182" s="16">
        <ns0:f>IF('前提と出典'!$C$36+'前提と出典'!$C$38=0,0,'前提と出典'!$B$4*IF('前提と出典'!$B$20=0,MAX('前提と出典'!$B$6,D182*'前提と出典'!$B$5),'前提と出典'!$B$6+D182*'前提と出典'!$B$5))</ns0:f>
        <ns0:v>176751.01675977657</ns0:v>
      </ns0:c>
      <ns0:c r="P182" s="16">
        <ns0:f>(E182+G182)*(1-'前提と出典'!$B$7)-I182-K182-M182-O182</ns0:f>
        <ns0:v>473660.98692780867</ns0:v>
      </ns0:c>
      <ns0:c r="Q182" s="16">
        <ns0:f>(F182+H182)*(1-'前提と出典'!$B$7)-J182-L182-N182</ns0:f>
        <ns0:v>108813.5760436159</ns0:v>
      </ns0:c>
      <ns0:c r="R182" s="16">
        <ns0:f>P182-E182*'前提と出典'!$E$4</ns0:f>
        <ns0:v>339420.172826744</ns0:v>
      </ns0:c>
      <ns0:c r="S182" s="16">
        <ns0:f>Q182-F182*'前提と出典'!$E$4</ns0:f>
        <ns0:v>69806.62685897847</ns0:v>
      </ns0:c>
      <ns0:c r="T182" s="7">
        <ns0:f>R182+S182</ns0:f>
        <ns0:v>409226.79968572245</ns0:v>
      </ns0:c>
      <ns0:c r="U182" s="16">
        <ns0:f>P182-E182*'前提と出典'!$E$5</ns0:f>
        <ns0:v>294673.2347930556</ns0:v>
      </ns0:c>
      <ns0:c r="V182" s="16">
        <ns0:f>Q182-F182*'前提と出典'!$E$5</ns0:f>
        <ns0:v>56804.31046409929</ns0:v>
      </ns0:c>
      <ns0:c r="W182" s="7">
        <ns0:f>U182+V182</ns0:f>
        <ns0:v>351477.5452571549</ns0:v>
      </ns0:c>
      <ns0:c r="X182" s="16">
        <ns0:f>P182-E182*'前提と出典'!$E$6</ns0:f>
        <ns0:v>249926.2967593674</ns0:v>
      </ns0:c>
      <ns0:c r="Y182" s="16">
        <ns0:f>Q182-F182*'前提と出典'!$E$6</ns0:f>
        <ns0:v>43801.994069220156</ns0:v>
      </ns0:c>
      <ns0:c r="Z182" s="7">
        <ns0:f>X182+Y182</ns0:f>
        <ns0:v>293728.29082858755</ns0:v>
      </ns0:c>
      <ns0:c r="AA182" s="7">
        <ns0:f>IF(T182&gt;=0,A182,1001)</ns0:f>
        <ns0:v>178</ns0:v>
      </ns0:c>
      <ns0:c r="AB182" s="7">
        <ns0:f>IF(T182&lt;0,A182,0)</ns0:f>
        <ns0:v>0</ns0:v>
      </ns0:c>
      <ns0:c r="AC182" s="16">
        <ns0:f>IF(AND(OR('前提と出典'!$C$36+'前提と出典'!$C$38=0,R182&gt;=0),OR('前提と出典'!$C$37+'前提と出典'!$C$38=0,S182&gt;=0)),0,A182)</ns0:f>
        <ns0:v>0</ns0:v>
      </ns0:c>
      <ns0:c r="AD182" s="7">
        <ns0:f>IF(W182&gt;=0,A182,1001)</ns0:f>
        <ns0:v>178</ns0:v>
      </ns0:c>
      <ns0:c r="AE182" s="7">
        <ns0:f>IF(W182&lt;0,A182,0)</ns0:f>
        <ns0:v>0</ns0:v>
      </ns0:c>
      <ns0:c r="AF182" s="16">
        <ns0:f>IF(AND(OR('前提と出典'!$C$36+'前提と出典'!$C$38=0,U182&gt;=0),OR('前提と出典'!$C$37+'前提と出典'!$C$38=0,V182&gt;=0)),0,A182)</ns0:f>
        <ns0:v>0</ns0:v>
      </ns0:c>
      <ns0:c r="AG182" s="7">
        <ns0:f>IF(Z182&gt;=0,A182,1001)</ns0:f>
        <ns0:v>178</ns0:v>
      </ns0:c>
      <ns0:c r="AH182" s="4">
        <ns0:f>IF(Z182&lt;0,A182,0)</ns0:f>
        <ns0:v>0</ns0:v>
      </ns0:c>
      <ns0:c r="AI182" s="12">
        <ns0:f>IF(AND(OR('前提と出典'!$C$36+'前提と出典'!$C$38=0,X182&gt;=0),OR('前提と出典'!$C$37+'前提と出典'!$C$38=0,Y182&gt;=0)),0,A182)</ns0:f>
        <ns0:v>0</ns0:v>
      </ns0:c>
    </ns0:row>
    <ns0:row r="183" ht="24" customHeight="1">
      <ns0:c r="A183" s="4" t="n">
        <ns0:v>179</ns0:v>
      </ns0:c>
      <ns0:c r="B183" s="12">
        <ns0:f>A183*('前提と出典'!$C$36+'前提と出典'!$C$38)</ns0:f>
        <ns0:v>125.3</ns0:v>
      </ns0:c>
      <ns0:c r="C183" s="12">
        <ns0:f>A183*('前提と出典'!$C$37+'前提と出典'!$C$38)</ns0:f>
        <ns0:v>107.39999999999999</ns0:v>
      </ns0:c>
      <ns0:c r="D183" s="16">
        <ns0:f>A183*('前提と出典'!$C$36*'契約別単価'!C5+'前提と出典'!$C$37*'契約別単価'!C6+'前提と出典'!$C$38*'契約別単価'!C7)</ns0:f>
        <ns0:v>1288</ns0:v>
      </ns0:c>
      <ns0:c r="E183" s="16">
        <ns0:f>A183*('前提と出典'!$C$36*'契約別単価'!E5+'前提と出典'!$C$37*'契約別単価'!E6+'前提と出典'!$C$38*'契約別単価'!E7)</ns0:f>
        <ns0:v>449983.2532601235</ns0:v>
      </ns0:c>
      <ns0:c r="F183" s="16">
        <ns0:f>A183*('前提と出典'!$C$36*'契約別単価'!F5+'前提と出典'!$C$37*'契約別単価'!F6+'前提と出典'!$C$38*'契約別単価'!F7)</ns0:f>
        <ns0:v>130753.63116198701</ns0:v>
      </ns0:c>
      <ns0:c r="G183" s="16">
        <ns0:f>A183*('前提と出典'!$C$36*'契約別単価'!G5+'前提と出典'!$C$37*'契約別単価'!G6+'前提と出典'!$C$38*'契約別単価'!G7)</ns0:f>
        <ns0:v>356300</ns0:v>
      </ns0:c>
      <ns0:c r="H183" s="16">
        <ns0:f>A183*('前提と出典'!$C$36*'契約別単価'!H5+'前提と出典'!$C$37*'契約別単価'!H6+'前提と出典'!$C$38*'契約別単価'!H7)</ns0:f>
        <ns0:v>123653.9698492462</ns0:v>
      </ns0:c>
      <ns0:c r="I183" s="16">
        <ns0:f>A183*('前提と出典'!$C$36*'契約別単価'!I5+'前提と出典'!$C$37*'契約別単価'!I6+'前提と出典'!$C$38*'契約別単価'!I7)</ns0:f>
        <ns0:v>7552.999999999999</ns0:v>
      </ns0:c>
      <ns0:c r="J183" s="16">
        <ns0:f>A183*('前提と出典'!$C$36*'契約別単価'!J5+'前提と出典'!$C$37*'契約別単価'!J6+'前提と出典'!$C$38*'契約別単価'!J7)</ns0:f>
        <ns0:v>17593.82832414416</ns0:v>
      </ns0:c>
      <ns0:c r="K183" s="16">
        <ns0:f>A183*('前提と出典'!$C$36*'契約別単価'!K5+'前提と出典'!$C$37*'契約別単価'!K6+'前提と出典'!$C$38*'契約別単価'!K7)</ns0:f>
        <ns0:v>75413.33333333333</ns0:v>
      </ns0:c>
      <ns0:c r="L183" s="16">
        <ns0:f>A183*('前提と出典'!$C$36*'契約別単価'!L5+'前提と出典'!$C$37*'契約別単価'!L6+'前提と出典'!$C$38*'契約別単価'!L7)</ns0:f>
        <ns0:v>61401.79899497487</ns0:v>
      </ns0:c>
      <ns0:c r="M183" s="16">
        <ns0:f>IF(('前提と出典'!$C$36+'前提と出典'!$C$38)=0,0,IF(B183&lt;=10,'前提と出典'!B73+'前提と出典'!C73,IF(B183&lt;=100,'前提と出典'!B74+'前提と出典'!C74,IF(B183&lt;=500,'前提と出典'!B75+'前提と出典'!C75,'前提と出典'!B76+'前提と出典'!C76))))</ns0:f>
        <ns0:v>40000</ns0:v>
      </ns0:c>
      <ns0:c r="N183" s="16">
        <ns0:f>IF(('前提と出典'!$C$37+'前提と出典'!$C$38)=0,0,IF(C183&lt;=10,'前提と出典'!D73+'前提と出典'!E73,IF(C183&lt;=100,'前提と出典'!D74+'前提と出典'!E74,IF(C183&lt;=500,'前提と出典'!D75+'前提と出典'!E75,'前提と出典'!D76+'前提と出典'!E76))))</ns0:f>
        <ns0:v>56510.9346263078</ns0:v>
      </ns0:c>
      <ns0:c r="O183" s="16">
        <ns0:f>IF('前提と出典'!$C$36+'前提と出典'!$C$38=0,0,'前提と出典'!$B$4*IF('前提と出典'!$B$20=0,MAX('前提と出典'!$B$6,D183*'前提と出典'!$B$5),'前提と出典'!$B$6+D183*'前提と出典'!$B$5))</ns0:f>
        <ns0:v>177744</ns0:v>
      </ns0:c>
      <ns0:c r="P183" s="16">
        <ns0:f>(E183+G183)*(1-'前提と出典'!$B$7)-I183-K183-M183-O183</ns0:f>
        <ns0:v>476546.7228094257</ns0:v>
      </ns0:c>
      <ns0:c r="Q183" s="16">
        <ns0:f>(F183+H183)*(1-'前提と出典'!$B$7)-J183-L183-N183</ns0:f>
        <ns0:v>109742.36542940202</ns0:v>
      </ns0:c>
      <ns0:c r="R183" s="16">
        <ns0:f>P183-E183*'前提と出典'!$E$4</ns0:f>
        <ns0:v>341551.74683138856</ns0:v>
      </ns0:c>
      <ns0:c r="S183" s="16">
        <ns0:f>Q183-F183*'前提と出典'!$E$4</ns0:f>
        <ns0:v>70516.2760808059</ns0:v>
      </ns0:c>
      <ns0:c r="T183" s="7">
        <ns0:f>R183+S183</ns0:f>
        <ns0:v>412068.0229121945</ns0:v>
      </ns0:c>
      <ns0:c r="U183" s="16">
        <ns0:f>P183-E183*'前提と出典'!$E$5</ns0:f>
        <ns0:v>296553.4215053763</ns0:v>
      </ns0:c>
      <ns0:c r="V183" s="16">
        <ns0:f>Q183-F183*'前提と出典'!$E$5</ns0:f>
        <ns0:v>57440.91296460722</ns0:v>
      </ns0:c>
      <ns0:c r="W183" s="7">
        <ns0:f>U183+V183</ns0:f>
        <ns0:v>353994.3344699835</ns0:v>
      </ns0:c>
      <ns0:c r="X183" s="16">
        <ns0:f>P183-E183*'前提と出典'!$E$6</ns0:f>
        <ns0:v>251555.09617936396</ns0:v>
      </ns0:c>
      <ns0:c r="Y183" s="16">
        <ns0:f>Q183-F183*'前提と出典'!$E$6</ns0:f>
        <ns0:v>44365.549848408504</ns0:v>
      </ns0:c>
      <ns0:c r="Z183" s="7">
        <ns0:f>X183+Y183</ns0:f>
        <ns0:v>295920.64602777245</ns0:v>
      </ns0:c>
      <ns0:c r="AA183" s="7">
        <ns0:f>IF(T183&gt;=0,A183,1001)</ns0:f>
        <ns0:v>179</ns0:v>
      </ns0:c>
      <ns0:c r="AB183" s="7">
        <ns0:f>IF(T183&lt;0,A183,0)</ns0:f>
        <ns0:v>0</ns0:v>
      </ns0:c>
      <ns0:c r="AC183" s="16">
        <ns0:f>IF(AND(OR('前提と出典'!$C$36+'前提と出典'!$C$38=0,R183&gt;=0),OR('前提と出典'!$C$37+'前提と出典'!$C$38=0,S183&gt;=0)),0,A183)</ns0:f>
        <ns0:v>0</ns0:v>
      </ns0:c>
      <ns0:c r="AD183" s="7">
        <ns0:f>IF(W183&gt;=0,A183,1001)</ns0:f>
        <ns0:v>179</ns0:v>
      </ns0:c>
      <ns0:c r="AE183" s="7">
        <ns0:f>IF(W183&lt;0,A183,0)</ns0:f>
        <ns0:v>0</ns0:v>
      </ns0:c>
      <ns0:c r="AF183" s="16">
        <ns0:f>IF(AND(OR('前提と出典'!$C$36+'前提と出典'!$C$38=0,U183&gt;=0),OR('前提と出典'!$C$37+'前提と出典'!$C$38=0,V183&gt;=0)),0,A183)</ns0:f>
        <ns0:v>0</ns0:v>
      </ns0:c>
      <ns0:c r="AG183" s="7">
        <ns0:f>IF(Z183&gt;=0,A183,1001)</ns0:f>
        <ns0:v>179</ns0:v>
      </ns0:c>
      <ns0:c r="AH183" s="4">
        <ns0:f>IF(Z183&lt;0,A183,0)</ns0:f>
        <ns0:v>0</ns0:v>
      </ns0:c>
      <ns0:c r="AI183" s="12">
        <ns0:f>IF(AND(OR('前提と出典'!$C$36+'前提と出典'!$C$38=0,X183&gt;=0),OR('前提と出典'!$C$37+'前提と出典'!$C$38=0,Y183&gt;=0)),0,A183)</ns0:f>
        <ns0:v>0</ns0:v>
      </ns0:c>
    </ns0:row>
    <ns0:row r="184" ht="24" customHeight="1">
      <ns0:c r="A184" s="4" t="n">
        <ns0:v>180</ns0:v>
      </ns0:c>
      <ns0:c r="B184" s="12">
        <ns0:f>A184*('前提と出典'!$C$36+'前提と出典'!$C$38)</ns0:f>
        <ns0:v>125.99999999999999</ns0:v>
      </ns0:c>
      <ns0:c r="C184" s="12">
        <ns0:f>A184*('前提と出典'!$C$37+'前提と出典'!$C$38)</ns0:f>
        <ns0:v>108</ns0:v>
      </ns0:c>
      <ns0:c r="D184" s="16">
        <ns0:f>A184*('前提と出典'!$C$36*'契約別単価'!C5+'前提と出典'!$C$37*'契約別単価'!C6+'前提と出典'!$C$38*'契約別単価'!C7)</ns0:f>
        <ns0:v>1295.195530726257</ns0:v>
      </ns0:c>
      <ns0:c r="E184" s="16">
        <ns0:f>A184*('前提と出典'!$C$36*'契約別単価'!E5+'前提と出典'!$C$37*'契約別単価'!E6+'前提と出典'!$C$38*'契約別単価'!E7)</ns0:f>
        <ns0:v>452497.12618336437</ns0:v>
      </ns0:c>
      <ns0:c r="F184" s="16">
        <ns0:f>A184*('前提と出典'!$C$36*'契約別単価'!F5+'前提と出典'!$C$37*'契約別単価'!F6+'前提と出典'!$C$38*'契約別単価'!F7)</ns0:f>
        <ns0:v>131484.09837518248</ns0:v>
      </ns0:c>
      <ns0:c r="G184" s="16">
        <ns0:f>A184*('前提と出典'!$C$36*'契約別単価'!G5+'前提と出典'!$C$37*'契約別単価'!G6+'前提と出典'!$C$38*'契約別単価'!G7)</ns0:f>
        <ns0:v>358290.50279329607</ns0:v>
      </ns0:c>
      <ns0:c r="H184" s="16">
        <ns0:f>A184*('前提と出典'!$C$36*'契約別単価'!H5+'前提と出典'!$C$37*'契約別単価'!H6+'前提と出典'!$C$38*'契約別単価'!H7)</ns0:f>
        <ns0:v>124344.77415007999</ns0:v>
      </ns0:c>
      <ns0:c r="I184" s="16">
        <ns0:f>A184*('前提と出典'!$C$36*'契約別単価'!I5+'前提と出典'!$C$37*'契約別単価'!I6+'前提と出典'!$C$38*'契約別単価'!I7)</ns0:f>
        <ns0:v>7595.195530726256</ns0:v>
      </ns0:c>
      <ns0:c r="J184" s="16">
        <ns0:f>A184*('前提と出典'!$C$36*'契約別単価'!J5+'前提と出典'!$C$37*'契約別単価'!J6+'前提と出典'!$C$38*'契約別単価'!J7)</ns0:f>
        <ns0:v>17692.117867854464</ns0:v>
      </ns0:c>
      <ns0:c r="K184" s="16">
        <ns0:f>A184*('前提と出典'!$C$36*'契約別単価'!K5+'前提と出典'!$C$37*'契約別単価'!K6+'前提と出典'!$C$38*'契約別単価'!K7)</ns0:f>
        <ns0:v>75834.63687150838</ns0:v>
      </ns0:c>
      <ns0:c r="L184" s="16">
        <ns0:f>A184*('前提と出典'!$C$36*'契約別単価'!L5+'前提と出典'!$C$37*'契約別単価'!L6+'前提と出典'!$C$38*'契約別単価'!L7)</ns0:f>
        <ns0:v>61744.82580500266</ns0:v>
      </ns0:c>
      <ns0:c r="M184" s="16">
        <ns0:f>IF(('前提と出典'!$C$36+'前提と出典'!$C$38)=0,0,IF(B184&lt;=10,'前提と出典'!B73+'前提と出典'!C73,IF(B184&lt;=100,'前提と出典'!B74+'前提と出典'!C74,IF(B184&lt;=500,'前提と出典'!B75+'前提と出典'!C75,'前提と出典'!B76+'前提と出典'!C76))))</ns0:f>
        <ns0:v>40000</ns0:v>
      </ns0:c>
      <ns0:c r="N184" s="16">
        <ns0:f>IF(('前提と出典'!$C$37+'前提と出典'!$C$38)=0,0,IF(C184&lt;=10,'前提と出典'!D73+'前提と出典'!E73,IF(C184&lt;=100,'前提と出典'!D74+'前提と出典'!E74,IF(C184&lt;=500,'前提と出典'!D75+'前提と出典'!E75,'前提と出典'!D76+'前提と出典'!E76))))</ns0:f>
        <ns0:v>56510.9346263078</ns0:v>
      </ns0:c>
      <ns0:c r="O184" s="16">
        <ns0:f>IF('前提と出典'!$C$36+'前提と出典'!$C$38=0,0,'前提と出典'!$B$4*IF('前提と出典'!$B$20=0,MAX('前提と出典'!$B$6,D184*'前提と出典'!$B$5),'前提と出典'!$B$6+D184*'前提と出典'!$B$5))</ns0:f>
        <ns0:v>178736.9832402235</ns0:v>
      </ns0:c>
      <ns0:c r="P184" s="16">
        <ns0:f>(E184+G184)*(1-'前提と出典'!$B$7)-I184-K184-M184-O184</ns0:f>
        <ns0:v>479432.4586910426</ns0:v>
      </ns0:c>
      <ns0:c r="Q184" s="16">
        <ns0:f>(F184+H184)*(1-'前提と出典'!$B$7)-J184-L184-N184</ns0:f>
        <ns0:v>110671.1548151881</ns0:v>
      </ns0:c>
      <ns0:c r="R184" s="16">
        <ns0:f>P184-E184*'前提と出典'!$E$4</ns0:f>
        <ns0:v>343683.3208360332</ns0:v>
      </ns0:c>
      <ns0:c r="S184" s="16">
        <ns0:f>Q184-F184*'前提と出典'!$E$4</ns0:f>
        <ns0:v>71225.92530263338</ns0:v>
      </ns0:c>
      <ns0:c r="T184" s="7">
        <ns0:f>R184+S184</ns0:f>
        <ns0:v>414909.2461386666</ns0:v>
      </ns0:c>
      <ns0:c r="U184" s="16">
        <ns0:f>P184-E184*'前提と出典'!$E$5</ns0:f>
        <ns0:v>298433.60821769683</ns0:v>
      </ns0:c>
      <ns0:c r="V184" s="16">
        <ns0:f>Q184-F184*'前提と出典'!$E$5</ns0:f>
        <ns0:v>58077.5154651151</ns0:v>
      </ns0:c>
      <ns0:c r="W184" s="7">
        <ns0:f>U184+V184</ns0:f>
        <ns0:v>356511.1236828119</ns0:v>
      </ns0:c>
      <ns0:c r="X184" s="16">
        <ns0:f>P184-E184*'前提と出典'!$E$6</ns0:f>
        <ns0:v>253183.8955993604</ns0:v>
      </ns0:c>
      <ns0:c r="Y184" s="16">
        <ns0:f>Q184-F184*'前提と出典'!$E$6</ns0:f>
        <ns0:v>44929.105627596866</ns0:v>
      </ns0:c>
      <ns0:c r="Z184" s="7">
        <ns0:f>X184+Y184</ns0:f>
        <ns0:v>298113.00122695725</ns0:v>
      </ns0:c>
      <ns0:c r="AA184" s="7">
        <ns0:f>IF(T184&gt;=0,A184,1001)</ns0:f>
        <ns0:v>180</ns0:v>
      </ns0:c>
      <ns0:c r="AB184" s="7">
        <ns0:f>IF(T184&lt;0,A184,0)</ns0:f>
        <ns0:v>0</ns0:v>
      </ns0:c>
      <ns0:c r="AC184" s="16">
        <ns0:f>IF(AND(OR('前提と出典'!$C$36+'前提と出典'!$C$38=0,R184&gt;=0),OR('前提と出典'!$C$37+'前提と出典'!$C$38=0,S184&gt;=0)),0,A184)</ns0:f>
        <ns0:v>0</ns0:v>
      </ns0:c>
      <ns0:c r="AD184" s="7">
        <ns0:f>IF(W184&gt;=0,A184,1001)</ns0:f>
        <ns0:v>180</ns0:v>
      </ns0:c>
      <ns0:c r="AE184" s="7">
        <ns0:f>IF(W184&lt;0,A184,0)</ns0:f>
        <ns0:v>0</ns0:v>
      </ns0:c>
      <ns0:c r="AF184" s="16">
        <ns0:f>IF(AND(OR('前提と出典'!$C$36+'前提と出典'!$C$38=0,U184&gt;=0),OR('前提と出典'!$C$37+'前提と出典'!$C$38=0,V184&gt;=0)),0,A184)</ns0:f>
        <ns0:v>0</ns0:v>
      </ns0:c>
      <ns0:c r="AG184" s="7">
        <ns0:f>IF(Z184&gt;=0,A184,1001)</ns0:f>
        <ns0:v>180</ns0:v>
      </ns0:c>
      <ns0:c r="AH184" s="4">
        <ns0:f>IF(Z184&lt;0,A184,0)</ns0:f>
        <ns0:v>0</ns0:v>
      </ns0:c>
      <ns0:c r="AI184" s="12">
        <ns0:f>IF(AND(OR('前提と出典'!$C$36+'前提と出典'!$C$38=0,X184&gt;=0),OR('前提と出典'!$C$37+'前提と出典'!$C$38=0,Y184&gt;=0)),0,A184)</ns0:f>
        <ns0:v>0</ns0:v>
      </ns0:c>
    </ns0:row>
    <ns0:row r="185" ht="24" customHeight="1">
      <ns0:c r="A185" s="4" t="n">
        <ns0:v>181</ns0:v>
      </ns0:c>
      <ns0:c r="B185" s="12">
        <ns0:f>A185*('前提と出典'!$C$36+'前提と出典'!$C$38)</ns0:f>
        <ns0:v>126.69999999999999</ns0:v>
      </ns0:c>
      <ns0:c r="C185" s="12">
        <ns0:f>A185*('前提と出典'!$C$37+'前提と出典'!$C$38)</ns0:f>
        <ns0:v>108.6</ns0:v>
      </ns0:c>
      <ns0:c r="D185" s="16">
        <ns0:f>A185*('前提と出典'!$C$36*'契約別単価'!C5+'前提と出典'!$C$37*'契約別単価'!C6+'前提と出典'!$C$38*'契約別単価'!C7)</ns0:f>
        <ns0:v>1302.391061452514</ns0:v>
      </ns0:c>
      <ns0:c r="E185" s="16">
        <ns0:f>A185*('前提と出典'!$C$36*'契約別単価'!E5+'前提と出典'!$C$37*'契約別単価'!E6+'前提と出典'!$C$38*'契約別単価'!E7)</ns0:f>
        <ns0:v>455010.9991066053</ns0:v>
      </ns0:c>
      <ns0:c r="F185" s="16">
        <ns0:f>A185*('前提と出典'!$C$36*'契約別単価'!F5+'前提と出典'!$C$37*'契約別単価'!F6+'前提と出典'!$C$38*'契約別単価'!F7)</ns0:f>
        <ns0:v>132214.56558837794</ns0:v>
      </ns0:c>
      <ns0:c r="G185" s="16">
        <ns0:f>A185*('前提と出典'!$C$36*'契約別単価'!G5+'前提と出典'!$C$37*'契約別単価'!G6+'前提と出典'!$C$38*'契約別単価'!G7)</ns0:f>
        <ns0:v>360281.0055865922</ns0:v>
      </ns0:c>
      <ns0:c r="H185" s="16">
        <ns0:f>A185*('前提と出典'!$C$36*'契約別単価'!H5+'前提と出典'!$C$37*'契約別単価'!H6+'前提と出典'!$C$38*'契約別単価'!H7)</ns0:f>
        <ns0:v>125035.57845091376</ns0:v>
      </ns0:c>
      <ns0:c r="I185" s="16">
        <ns0:f>A185*('前提と出典'!$C$36*'契約別単価'!I5+'前提と出典'!$C$37*'契約別単価'!I6+'前提と出典'!$C$38*'契約別単価'!I7)</ns0:f>
        <ns0:v>7637.391061452513</ns0:v>
      </ns0:c>
      <ns0:c r="J185" s="16">
        <ns0:f>A185*('前提と出典'!$C$36*'契約別単価'!J5+'前提と出典'!$C$37*'契約別単価'!J6+'前提と出典'!$C$38*'契約別単価'!J7)</ns0:f>
        <ns0:v>17790.407411564764</ns0:v>
      </ns0:c>
      <ns0:c r="K185" s="16">
        <ns0:f>A185*('前提と出典'!$C$36*'契約別単価'!K5+'前提と出典'!$C$37*'契約別単価'!K6+'前提と出典'!$C$38*'契約別単価'!K7)</ns0:f>
        <ns0:v>76255.94040968342</ns0:v>
      </ns0:c>
      <ns0:c r="L185" s="16">
        <ns0:f>A185*('前提と出典'!$C$36*'契約別単価'!L5+'前提と出典'!$C$37*'契約別単価'!L6+'前提と出典'!$C$38*'契約別単価'!L7)</ns0:f>
        <ns0:v>62087.85261503045</ns0:v>
      </ns0:c>
      <ns0:c r="M185" s="16">
        <ns0:f>IF(('前提と出典'!$C$36+'前提と出典'!$C$38)=0,0,IF(B185&lt;=10,'前提と出典'!B73+'前提と出典'!C73,IF(B185&lt;=100,'前提と出典'!B74+'前提と出典'!C74,IF(B185&lt;=500,'前提と出典'!B75+'前提と出典'!C75,'前提と出典'!B76+'前提と出典'!C76))))</ns0:f>
        <ns0:v>40000</ns0:v>
      </ns0:c>
      <ns0:c r="N185" s="16">
        <ns0:f>IF(('前提と出典'!$C$37+'前提と出典'!$C$38)=0,0,IF(C185&lt;=10,'前提と出典'!D73+'前提と出典'!E73,IF(C185&lt;=100,'前提と出典'!D74+'前提と出典'!E74,IF(C185&lt;=500,'前提と出典'!D75+'前提と出典'!E75,'前提と出典'!D76+'前提と出典'!E76))))</ns0:f>
        <ns0:v>56510.9346263078</ns0:v>
      </ns0:c>
      <ns0:c r="O185" s="16">
        <ns0:f>IF('前提と出典'!$C$36+'前提と出典'!$C$38=0,0,'前提と出典'!$B$4*IF('前提と出典'!$B$20=0,MAX('前提と出典'!$B$6,D185*'前提と出典'!$B$5),'前提と出典'!$B$6+D185*'前提と出典'!$B$5))</ns0:f>
        <ns0:v>179729.96648044692</ns0:v>
      </ns0:c>
      <ns0:c r="P185" s="16">
        <ns0:f>(E185+G185)*(1-'前提と出典'!$B$7)-I185-K185-M185-O185</ns0:f>
        <ns0:v>482318.1945726596</ns0:v>
      </ns0:c>
      <ns0:c r="Q185" s="16">
        <ns0:f>(F185+H185)*(1-'前提と出典'!$B$7)-J185-L185-N185</ns0:f>
        <ns0:v>111599.94420097419</ns0:v>
      </ns0:c>
      <ns0:c r="R185" s="16">
        <ns0:f>P185-E185*'前提と出典'!$E$4</ns0:f>
        <ns0:v>345814.894840678</ns0:v>
      </ns0:c>
      <ns0:c r="S185" s="16">
        <ns0:f>Q185-F185*'前提と出典'!$E$4</ns0:f>
        <ns0:v>71935.57452446083</ns0:v>
      </ns0:c>
      <ns0:c r="T185" s="7">
        <ns0:f>R185+S185</ns0:f>
        <ns0:v>417750.46936513885</ns0:v>
      </ns0:c>
      <ns0:c r="U185" s="16">
        <ns0:f>P185-E185*'前提と出典'!$E$5</ns0:f>
        <ns0:v>300313.7949300175</ns0:v>
      </ns0:c>
      <ns0:c r="V185" s="16">
        <ns0:f>Q185-F185*'前提と出典'!$E$5</ns0:f>
        <ns0:v>58714.117965623016</ns0:v>
      </ns0:c>
      <ns0:c r="W185" s="7">
        <ns0:f>U185+V185</ns0:f>
        <ns0:v>359027.91289564053</ns0:v>
      </ns0:c>
      <ns0:c r="X185" s="16">
        <ns0:f>P185-E185*'前提と出典'!$E$6</ns0:f>
        <ns0:v>254812.69501935696</ns0:v>
      </ns0:c>
      <ns0:c r="Y185" s="16">
        <ns0:f>Q185-F185*'前提と出典'!$E$6</ns0:f>
        <ns0:v>45492.66140678523</ns0:v>
      </ns0:c>
      <ns0:c r="Z185" s="7">
        <ns0:f>X185+Y185</ns0:f>
        <ns0:v>300305.3564261422</ns0:v>
      </ns0:c>
      <ns0:c r="AA185" s="7">
        <ns0:f>IF(T185&gt;=0,A185,1001)</ns0:f>
        <ns0:v>181</ns0:v>
      </ns0:c>
      <ns0:c r="AB185" s="7">
        <ns0:f>IF(T185&lt;0,A185,0)</ns0:f>
        <ns0:v>0</ns0:v>
      </ns0:c>
      <ns0:c r="AC185" s="16">
        <ns0:f>IF(AND(OR('前提と出典'!$C$36+'前提と出典'!$C$38=0,R185&gt;=0),OR('前提と出典'!$C$37+'前提と出典'!$C$38=0,S185&gt;=0)),0,A185)</ns0:f>
        <ns0:v>0</ns0:v>
      </ns0:c>
      <ns0:c r="AD185" s="7">
        <ns0:f>IF(W185&gt;=0,A185,1001)</ns0:f>
        <ns0:v>181</ns0:v>
      </ns0:c>
      <ns0:c r="AE185" s="7">
        <ns0:f>IF(W185&lt;0,A185,0)</ns0:f>
        <ns0:v>0</ns0:v>
      </ns0:c>
      <ns0:c r="AF185" s="16">
        <ns0:f>IF(AND(OR('前提と出典'!$C$36+'前提と出典'!$C$38=0,U185&gt;=0),OR('前提と出典'!$C$37+'前提と出典'!$C$38=0,V185&gt;=0)),0,A185)</ns0:f>
        <ns0:v>0</ns0:v>
      </ns0:c>
      <ns0:c r="AG185" s="7">
        <ns0:f>IF(Z185&gt;=0,A185,1001)</ns0:f>
        <ns0:v>181</ns0:v>
      </ns0:c>
      <ns0:c r="AH185" s="4">
        <ns0:f>IF(Z185&lt;0,A185,0)</ns0:f>
        <ns0:v>0</ns0:v>
      </ns0:c>
      <ns0:c r="AI185" s="12">
        <ns0:f>IF(AND(OR('前提と出典'!$C$36+'前提と出典'!$C$38=0,X185&gt;=0),OR('前提と出典'!$C$37+'前提と出典'!$C$38=0,Y185&gt;=0)),0,A185)</ns0:f>
        <ns0:v>0</ns0:v>
      </ns0:c>
    </ns0:row>
    <ns0:row r="186" ht="24" customHeight="1">
      <ns0:c r="A186" s="4" t="n">
        <ns0:v>182</ns0:v>
      </ns0:c>
      <ns0:c r="B186" s="12">
        <ns0:f>A186*('前提と出典'!$C$36+'前提と出典'!$C$38)</ns0:f>
        <ns0:v>127.39999999999999</ns0:v>
      </ns0:c>
      <ns0:c r="C186" s="12">
        <ns0:f>A186*('前提と出典'!$C$37+'前提と出典'!$C$38)</ns0:f>
        <ns0:v>109.2</ns0:v>
      </ns0:c>
      <ns0:c r="D186" s="16">
        <ns0:f>A186*('前提と出典'!$C$36*'契約別単価'!C5+'前提と出典'!$C$37*'契約別単価'!C6+'前提と出典'!$C$38*'契約別単価'!C7)</ns0:f>
        <ns0:v>1309.5865921787708</ns0:v>
      </ns0:c>
      <ns0:c r="E186" s="16">
        <ns0:f>A186*('前提と出典'!$C$36*'契約別単価'!E5+'前提と出典'!$C$37*'契約別単価'!E6+'前提と出典'!$C$38*'契約別単価'!E7)</ns0:f>
        <ns0:v>457524.8720298462</ns0:v>
      </ns0:c>
      <ns0:c r="F186" s="16">
        <ns0:f>A186*('前提と出典'!$C$36*'契約別単価'!F5+'前提と出典'!$C$37*'契約別単価'!F6+'前提と出典'!$C$38*'契約別単価'!F7)</ns0:f>
        <ns0:v>132945.0328015734</ns0:v>
      </ns0:c>
      <ns0:c r="G186" s="16">
        <ns0:f>A186*('前提と出典'!$C$36*'契約別単価'!G5+'前提と出典'!$C$37*'契約別単価'!G6+'前提と出典'!$C$38*'契約別単価'!G7)</ns0:f>
        <ns0:v>362271.50837988826</ns0:v>
      </ns0:c>
      <ns0:c r="H186" s="16">
        <ns0:f>A186*('前提と出典'!$C$36*'契約別単価'!H5+'前提と出典'!$C$37*'契約別単価'!H6+'前提と出典'!$C$38*'契約別単価'!H7)</ns0:f>
        <ns0:v>125726.38275174754</ns0:v>
      </ns0:c>
      <ns0:c r="I186" s="16">
        <ns0:f>A186*('前提と出典'!$C$36*'契約別単価'!I5+'前提と出典'!$C$37*'契約別単価'!I6+'前提と出典'!$C$38*'契約別単価'!I7)</ns0:f>
        <ns0:v>7679.58659217877</ns0:v>
      </ns0:c>
      <ns0:c r="J186" s="16">
        <ns0:f>A186*('前提と出典'!$C$36*'契約別単価'!J5+'前提と出典'!$C$37*'契約別単価'!J6+'前提と出典'!$C$38*'契約別単価'!J7)</ns0:f>
        <ns0:v>17888.696955275067</ns0:v>
      </ns0:c>
      <ns0:c r="K186" s="16">
        <ns0:f>A186*('前提と出典'!$C$36*'契約別単価'!K5+'前提と出典'!$C$37*'契約別単価'!K6+'前提と出典'!$C$38*'契約別単価'!K7)</ns0:f>
        <ns0:v>76677.24394785847</ns0:v>
      </ns0:c>
      <ns0:c r="L186" s="16">
        <ns0:f>A186*('前提と出典'!$C$36*'契約別単価'!L5+'前提と出典'!$C$37*'契約別単価'!L6+'前提と出典'!$C$38*'契約別単価'!L7)</ns0:f>
        <ns0:v>62430.87942505825</ns0:v>
      </ns0:c>
      <ns0:c r="M186" s="16">
        <ns0:f>IF(('前提と出典'!$C$36+'前提と出典'!$C$38)=0,0,IF(B186&lt;=10,'前提と出典'!B73+'前提と出典'!C73,IF(B186&lt;=100,'前提と出典'!B74+'前提と出典'!C74,IF(B186&lt;=500,'前提と出典'!B75+'前提と出典'!C75,'前提と出典'!B76+'前提と出典'!C76))))</ns0:f>
        <ns0:v>40000</ns0:v>
      </ns0:c>
      <ns0:c r="N186" s="16">
        <ns0:f>IF(('前提と出典'!$C$37+'前提と出典'!$C$38)=0,0,IF(C186&lt;=10,'前提と出典'!D73+'前提と出典'!E73,IF(C186&lt;=100,'前提と出典'!D74+'前提と出典'!E74,IF(C186&lt;=500,'前提と出典'!D75+'前提と出典'!E75,'前提と出典'!D76+'前提と出典'!E76))))</ns0:f>
        <ns0:v>56510.9346263078</ns0:v>
      </ns0:c>
      <ns0:c r="O186" s="16">
        <ns0:f>IF('前提と出典'!$C$36+'前提と出典'!$C$38=0,0,'前提と出典'!$B$4*IF('前提と出典'!$B$20=0,MAX('前提と出典'!$B$6,D186*'前提と出典'!$B$5),'前提と出典'!$B$6+D186*'前提と出典'!$B$5))</ns0:f>
        <ns0:v>180722.9497206704</ns0:v>
      </ns0:c>
      <ns0:c r="P186" s="16">
        <ns0:f>(E186+G186)*(1-'前提と出典'!$B$7)-I186-K186-M186-O186</ns0:f>
        <ns0:v>485203.93045427627</ns0:v>
      </ns0:c>
      <ns0:c r="Q186" s="16">
        <ns0:f>(F186+H186)*(1-'前提と出典'!$B$7)-J186-L186-N186</ns0:f>
        <ns0:v>112528.7335867603</ns0:v>
      </ns0:c>
      <ns0:c r="R186" s="16">
        <ns0:f>P186-E186*'前提と出典'!$E$4</ns0:f>
        <ns0:v>347946.46884532244</ns0:v>
      </ns0:c>
      <ns0:c r="S186" s="16">
        <ns0:f>Q186-F186*'前提と出典'!$E$4</ns0:f>
        <ns0:v>72645.22374628828</ns0:v>
      </ns0:c>
      <ns0:c r="T186" s="7">
        <ns0:f>R186+S186</ns0:f>
        <ns0:v>420591.6925916107</ns0:v>
      </ns0:c>
      <ns0:c r="U186" s="16">
        <ns0:f>P186-E186*'前提と出典'!$E$5</ns0:f>
        <ns0:v>302193.9816423378</ns0:v>
      </ns0:c>
      <ns0:c r="V186" s="16">
        <ns0:f>Q186-F186*'前提と出典'!$E$5</ns0:f>
        <ns0:v>59350.720466130944</ns0:v>
      </ns0:c>
      <ns0:c r="W186" s="7">
        <ns0:f>U186+V186</ns0:f>
        <ns0:v>361544.70210846874</ns0:v>
      </ns0:c>
      <ns0:c r="X186" s="16">
        <ns0:f>P186-E186*'前提と出典'!$E$6</ns0:f>
        <ns0:v>256441.49443935318</ns0:v>
      </ns0:c>
      <ns0:c r="Y186" s="16">
        <ns0:f>Q186-F186*'前提と出典'!$E$6</ns0:f>
        <ns0:v>46056.217185973605</ns0:v>
      </ns0:c>
      <ns0:c r="Z186" s="7">
        <ns0:f>X186+Y186</ns0:f>
        <ns0:v>302497.7116253268</ns0:v>
      </ns0:c>
      <ns0:c r="AA186" s="7">
        <ns0:f>IF(T186&gt;=0,A186,1001)</ns0:f>
        <ns0:v>182</ns0:v>
      </ns0:c>
      <ns0:c r="AB186" s="7">
        <ns0:f>IF(T186&lt;0,A186,0)</ns0:f>
        <ns0:v>0</ns0:v>
      </ns0:c>
      <ns0:c r="AC186" s="16">
        <ns0:f>IF(AND(OR('前提と出典'!$C$36+'前提と出典'!$C$38=0,R186&gt;=0),OR('前提と出典'!$C$37+'前提と出典'!$C$38=0,S186&gt;=0)),0,A186)</ns0:f>
        <ns0:v>0</ns0:v>
      </ns0:c>
      <ns0:c r="AD186" s="7">
        <ns0:f>IF(W186&gt;=0,A186,1001)</ns0:f>
        <ns0:v>182</ns0:v>
      </ns0:c>
      <ns0:c r="AE186" s="7">
        <ns0:f>IF(W186&lt;0,A186,0)</ns0:f>
        <ns0:v>0</ns0:v>
      </ns0:c>
      <ns0:c r="AF186" s="16">
        <ns0:f>IF(AND(OR('前提と出典'!$C$36+'前提と出典'!$C$38=0,U186&gt;=0),OR('前提と出典'!$C$37+'前提と出典'!$C$38=0,V186&gt;=0)),0,A186)</ns0:f>
        <ns0:v>0</ns0:v>
      </ns0:c>
      <ns0:c r="AG186" s="7">
        <ns0:f>IF(Z186&gt;=0,A186,1001)</ns0:f>
        <ns0:v>182</ns0:v>
      </ns0:c>
      <ns0:c r="AH186" s="4">
        <ns0:f>IF(Z186&lt;0,A186,0)</ns0:f>
        <ns0:v>0</ns0:v>
      </ns0:c>
      <ns0:c r="AI186" s="12">
        <ns0:f>IF(AND(OR('前提と出典'!$C$36+'前提と出典'!$C$38=0,X186&gt;=0),OR('前提と出典'!$C$37+'前提と出典'!$C$38=0,Y186&gt;=0)),0,A186)</ns0:f>
        <ns0:v>0</ns0:v>
      </ns0:c>
    </ns0:row>
    <ns0:row r="187" ht="24" customHeight="1">
      <ns0:c r="A187" s="4" t="n">
        <ns0:v>183</ns0:v>
      </ns0:c>
      <ns0:c r="B187" s="12">
        <ns0:f>A187*('前提と出典'!$C$36+'前提と出典'!$C$38)</ns0:f>
        <ns0:v>128.1</ns0:v>
      </ns0:c>
      <ns0:c r="C187" s="12">
        <ns0:f>A187*('前提と出典'!$C$37+'前提と出典'!$C$38)</ns0:f>
        <ns0:v>109.8</ns0:v>
      </ns0:c>
      <ns0:c r="D187" s="16">
        <ns0:f>A187*('前提と出典'!$C$36*'契約別単価'!C5+'前提と出典'!$C$37*'契約別単価'!C6+'前提と出典'!$C$38*'契約別単価'!C7)</ns0:f>
        <ns0:v>1316.782122905028</ns0:v>
      </ns0:c>
      <ns0:c r="E187" s="16">
        <ns0:f>A187*('前提と出典'!$C$36*'契約別単価'!E5+'前提と出典'!$C$37*'契約別単価'!E6+'前提と出典'!$C$38*'契約別単価'!E7)</ns0:f>
        <ns0:v>460038.7449530871</ns0:v>
      </ns0:c>
      <ns0:c r="F187" s="16">
        <ns0:f>A187*('前提と出典'!$C$36*'契約別単価'!F5+'前提と出典'!$C$37*'契約別単価'!F6+'前提と出典'!$C$38*'契約別単価'!F7)</ns0:f>
        <ns0:v>133675.50001476886</ns0:v>
      </ns0:c>
      <ns0:c r="G187" s="16">
        <ns0:f>A187*('前提と出典'!$C$36*'契約別単価'!G5+'前提と出典'!$C$37*'契約別単価'!G6+'前提と出典'!$C$38*'契約別単価'!G7)</ns0:f>
        <ns0:v>364262.0111731843</ns0:v>
      </ns0:c>
      <ns0:c r="H187" s="16">
        <ns0:f>A187*('前提と出典'!$C$36*'契約別単価'!H5+'前提と出典'!$C$37*'契約別単価'!H6+'前提と出典'!$C$38*'契約別単価'!H7)</ns0:f>
        <ns0:v>126417.18705258131</ns0:v>
      </ns0:c>
      <ns0:c r="I187" s="16">
        <ns0:f>A187*('前提と出典'!$C$36*'契約別単価'!I5+'前提と出典'!$C$37*'契約別単価'!I6+'前提と出典'!$C$38*'契約別単価'!I7)</ns0:f>
        <ns0:v>7721.782122905027</ns0:v>
      </ns0:c>
      <ns0:c r="J187" s="16">
        <ns0:f>A187*('前提と出典'!$C$36*'契約別単価'!J5+'前提と出典'!$C$37*'契約別単価'!J6+'前提と出典'!$C$38*'契約別単価'!J7)</ns0:f>
        <ns0:v>17986.98649898537</ns0:v>
      </ns0:c>
      <ns0:c r="K187" s="16">
        <ns0:f>A187*('前提と出典'!$C$36*'契約別単価'!K5+'前提と出典'!$C$37*'契約別単価'!K6+'前提と出典'!$C$38*'契約別単価'!K7)</ns0:f>
        <ns0:v>77098.54748603351</ns0:v>
      </ns0:c>
      <ns0:c r="L187" s="16">
        <ns0:f>A187*('前提と出典'!$C$36*'契約別単価'!L5+'前提と出典'!$C$37*'契約別単価'!L6+'前提と出典'!$C$38*'契約別単価'!L7)</ns0:f>
        <ns0:v>62773.90623508604</ns0:v>
      </ns0:c>
      <ns0:c r="M187" s="16">
        <ns0:f>IF(('前提と出典'!$C$36+'前提と出典'!$C$38)=0,0,IF(B187&lt;=10,'前提と出典'!B73+'前提と出典'!C73,IF(B187&lt;=100,'前提と出典'!B74+'前提と出典'!C74,IF(B187&lt;=500,'前提と出典'!B75+'前提と出典'!C75,'前提と出典'!B76+'前提と出典'!C76))))</ns0:f>
        <ns0:v>40000</ns0:v>
      </ns0:c>
      <ns0:c r="N187" s="16">
        <ns0:f>IF(('前提と出典'!$C$37+'前提と出典'!$C$38)=0,0,IF(C187&lt;=10,'前提と出典'!D73+'前提と出典'!E73,IF(C187&lt;=100,'前提と出典'!D74+'前提と出典'!E74,IF(C187&lt;=500,'前提と出典'!D75+'前提と出典'!E75,'前提と出典'!D76+'前提と出典'!E76))))</ns0:f>
        <ns0:v>56510.9346263078</ns0:v>
      </ns0:c>
      <ns0:c r="O187" s="16">
        <ns0:f>IF('前提と出典'!$C$36+'前提と出典'!$C$38=0,0,'前提と出典'!$B$4*IF('前提と出典'!$B$20=0,MAX('前提と出典'!$B$6,D187*'前提と出典'!$B$5),'前提と出典'!$B$6+D187*'前提と出典'!$B$5))</ns0:f>
        <ns0:v>181715.93296089387</ns0:v>
      </ns0:c>
      <ns0:c r="P187" s="16">
        <ns0:f>(E187+G187)*(1-'前提と出典'!$B$7)-I187-K187-M187-O187</ns0:f>
        <ns0:v>488089.6663358934</ns0:v>
      </ns0:c>
      <ns0:c r="Q187" s="16">
        <ns0:f>(F187+H187)*(1-'前提と出典'!$B$7)-J187-L187-N187</ns0:f>
        <ns0:v>113457.52297254636</ns0:v>
      </ns0:c>
      <ns0:c r="R187" s="16">
        <ns0:f>P187-E187*'前提と出典'!$E$4</ns0:f>
        <ns0:v>350078.04284996714</ns0:v>
      </ns0:c>
      <ns0:c r="S187" s="16">
        <ns0:f>Q187-F187*'前提と出典'!$E$4</ns0:f>
        <ns0:v>73354.8729681157</ns0:v>
      </ns0:c>
      <ns0:c r="T187" s="7">
        <ns0:f>R187+S187</ns0:f>
        <ns0:v>423432.91581808287</ns0:v>
      </ns0:c>
      <ns0:c r="U187" s="16">
        <ns0:f>P187-E187*'前提と出典'!$E$5</ns0:f>
        <ns0:v>304074.1683546585</ns0:v>
      </ns0:c>
      <ns0:c r="V187" s="16">
        <ns0:f>Q187-F187*'前提と出典'!$E$5</ns0:f>
        <ns0:v>59987.322966638814</ns0:v>
      </ns0:c>
      <ns0:c r="W187" s="7">
        <ns0:f>U187+V187</ns0:f>
        <ns0:v>364061.49132129736</ns0:v>
      </ns0:c>
      <ns0:c r="X187" s="16">
        <ns0:f>P187-E187*'前提と出典'!$E$6</ns0:f>
        <ns0:v>258070.29385934977</ns0:v>
      </ns0:c>
      <ns0:c r="Y187" s="16">
        <ns0:f>Q187-F187*'前提と出典'!$E$6</ns0:f>
        <ns0:v>46619.77296516192</ns0:v>
      </ns0:c>
      <ns0:c r="Z187" s="7">
        <ns0:f>X187+Y187</ns0:f>
        <ns0:v>304690.0668245117</ns0:v>
      </ns0:c>
      <ns0:c r="AA187" s="7">
        <ns0:f>IF(T187&gt;=0,A187,1001)</ns0:f>
        <ns0:v>183</ns0:v>
      </ns0:c>
      <ns0:c r="AB187" s="7">
        <ns0:f>IF(T187&lt;0,A187,0)</ns0:f>
        <ns0:v>0</ns0:v>
      </ns0:c>
      <ns0:c r="AC187" s="16">
        <ns0:f>IF(AND(OR('前提と出典'!$C$36+'前提と出典'!$C$38=0,R187&gt;=0),OR('前提と出典'!$C$37+'前提と出典'!$C$38=0,S187&gt;=0)),0,A187)</ns0:f>
        <ns0:v>0</ns0:v>
      </ns0:c>
      <ns0:c r="AD187" s="7">
        <ns0:f>IF(W187&gt;=0,A187,1001)</ns0:f>
        <ns0:v>183</ns0:v>
      </ns0:c>
      <ns0:c r="AE187" s="7">
        <ns0:f>IF(W187&lt;0,A187,0)</ns0:f>
        <ns0:v>0</ns0:v>
      </ns0:c>
      <ns0:c r="AF187" s="16">
        <ns0:f>IF(AND(OR('前提と出典'!$C$36+'前提と出典'!$C$38=0,U187&gt;=0),OR('前提と出典'!$C$37+'前提と出典'!$C$38=0,V187&gt;=0)),0,A187)</ns0:f>
        <ns0:v>0</ns0:v>
      </ns0:c>
      <ns0:c r="AG187" s="7">
        <ns0:f>IF(Z187&gt;=0,A187,1001)</ns0:f>
        <ns0:v>183</ns0:v>
      </ns0:c>
      <ns0:c r="AH187" s="4">
        <ns0:f>IF(Z187&lt;0,A187,0)</ns0:f>
        <ns0:v>0</ns0:v>
      </ns0:c>
      <ns0:c r="AI187" s="12">
        <ns0:f>IF(AND(OR('前提と出典'!$C$36+'前提と出典'!$C$38=0,X187&gt;=0),OR('前提と出典'!$C$37+'前提と出典'!$C$38=0,Y187&gt;=0)),0,A187)</ns0:f>
        <ns0:v>0</ns0:v>
      </ns0:c>
    </ns0:row>
    <ns0:row r="188" ht="24" customHeight="1">
      <ns0:c r="A188" s="4" t="n">
        <ns0:v>184</ns0:v>
      </ns0:c>
      <ns0:c r="B188" s="12">
        <ns0:f>A188*('前提と出典'!$C$36+'前提と出典'!$C$38)</ns0:f>
        <ns0:v>128.79999999999998</ns0:v>
      </ns0:c>
      <ns0:c r="C188" s="12">
        <ns0:f>A188*('前提と出典'!$C$37+'前提と出典'!$C$38)</ns0:f>
        <ns0:v>110.39999999999999</ns0:v>
      </ns0:c>
      <ns0:c r="D188" s="16">
        <ns0:f>A188*('前提と出典'!$C$36*'契約別単価'!C5+'前提と出典'!$C$37*'契約別単価'!C6+'前提と出典'!$C$38*'契約別単価'!C7)</ns0:f>
        <ns0:v>1323.977653631285</ns0:v>
      </ns0:c>
      <ns0:c r="E188" s="16">
        <ns0:f>A188*('前提と出典'!$C$36*'契約別単価'!E5+'前提と出典'!$C$37*'契約別単価'!E6+'前提と出典'!$C$38*'契約別単価'!E7)</ns0:f>
        <ns0:v>462552.61787632806</ns0:v>
      </ns0:c>
      <ns0:c r="F188" s="16">
        <ns0:f>A188*('前提と出典'!$C$36*'契約別単価'!F5+'前提と出典'!$C$37*'契約別単価'!F6+'前提と出典'!$C$38*'契約別単価'!F7)</ns0:f>
        <ns0:v>134405.9672279643</ns0:v>
      </ns0:c>
      <ns0:c r="G188" s="16">
        <ns0:f>A188*('前提と出典'!$C$36*'契約別単価'!G5+'前提と出典'!$C$37*'契約別単価'!G6+'前提と出典'!$C$38*'契約別単価'!G7)</ns0:f>
        <ns0:v>366252.51396648044</ns0:v>
      </ns0:c>
      <ns0:c r="H188" s="16">
        <ns0:f>A188*('前提と出典'!$C$36*'契約別単価'!H5+'前提と出典'!$C$37*'契約別単価'!H6+'前提と出典'!$C$38*'契約別単価'!H7)</ns0:f>
        <ns0:v>127107.9913534151</ns0:v>
      </ns0:c>
      <ns0:c r="I188" s="16">
        <ns0:f>A188*('前提と出典'!$C$36*'契約別単価'!I5+'前提と出典'!$C$37*'契約別単価'!I6+'前提と出典'!$C$38*'契約別単価'!I7)</ns0:f>
        <ns0:v>7763.977653631284</ns0:v>
      </ns0:c>
      <ns0:c r="J188" s="16">
        <ns0:f>A188*('前提と出典'!$C$36*'契約別単価'!J5+'前提と出典'!$C$37*'契約別単価'!J6+'前提と出典'!$C$38*'契約別単価'!J7)</ns0:f>
        <ns0:v>18085.276042695674</ns0:v>
      </ns0:c>
      <ns0:c r="K188" s="16">
        <ns0:f>A188*('前提と出典'!$C$36*'契約別単価'!K5+'前提と出典'!$C$37*'契約別単価'!K6+'前提と出典'!$C$38*'契約別単価'!K7)</ns0:f>
        <ns0:v>77519.85102420856</ns0:v>
      </ns0:c>
      <ns0:c r="L188" s="16">
        <ns0:f>A188*('前提と出典'!$C$36*'契約別単価'!L5+'前提と出典'!$C$37*'契約別単価'!L6+'前提と出典'!$C$38*'契約別単価'!L7)</ns0:f>
        <ns0:v>63116.93304511384</ns0:v>
      </ns0:c>
      <ns0:c r="M188" s="16">
        <ns0:f>IF(('前提と出典'!$C$36+'前提と出典'!$C$38)=0,0,IF(B188&lt;=10,'前提と出典'!B73+'前提と出典'!C73,IF(B188&lt;=100,'前提と出典'!B74+'前提と出典'!C74,IF(B188&lt;=500,'前提と出典'!B75+'前提と出典'!C75,'前提と出典'!B76+'前提と出典'!C76))))</ns0:f>
        <ns0:v>40000</ns0:v>
      </ns0:c>
      <ns0:c r="N188" s="16">
        <ns0:f>IF(('前提と出典'!$C$37+'前提と出典'!$C$38)=0,0,IF(C188&lt;=10,'前提と出典'!D73+'前提と出典'!E73,IF(C188&lt;=100,'前提と出典'!D74+'前提と出典'!E74,IF(C188&lt;=500,'前提と出典'!D75+'前提と出典'!E75,'前提と出典'!D76+'前提と出典'!E76))))</ns0:f>
        <ns0:v>56510.9346263078</ns0:v>
      </ns0:c>
      <ns0:c r="O188" s="16">
        <ns0:f>IF('前提と出典'!$C$36+'前提と出典'!$C$38=0,0,'前提と出典'!$B$4*IF('前提と出典'!$B$20=0,MAX('前提と出典'!$B$6,D188*'前提と出典'!$B$5),'前提と出典'!$B$6+D188*'前提と出典'!$B$5))</ns0:f>
        <ns0:v>182708.91620111736</ns0:v>
      </ns0:c>
      <ns0:c r="P188" s="16">
        <ns0:f>(E188+G188)*(1-'前提と出典'!$B$7)-I188-K188-M188-O188</ns0:f>
        <ns0:v>490975.4022175103</ns0:v>
      </ns0:c>
      <ns0:c r="Q188" s="16">
        <ns0:f>(F188+H188)*(1-'前提と出典'!$B$7)-J188-L188-N188</ns0:f>
        <ns0:v>114386.31235833242</ns0:v>
      </ns0:c>
      <ns0:c r="R188" s="16">
        <ns0:f>P188-E188*'前提と出典'!$E$4</ns0:f>
        <ns0:v>352209.6168546119</ns0:v>
      </ns0:c>
      <ns0:c r="S188" s="16">
        <ns0:f>Q188-F188*'前提と出典'!$E$4</ns0:f>
        <ns0:v>74064.52218994312</ns0:v>
      </ns0:c>
      <ns0:c r="T188" s="7">
        <ns0:f>R188+S188</ns0:f>
        <ns0:v>426274.139044555</ns0:v>
      </ns0:c>
      <ns0:c r="U188" s="16">
        <ns0:f>P188-E188*'前提と出典'!$E$5</ns0:f>
        <ns0:v>305954.3550669791</ns0:v>
      </ns0:c>
      <ns0:c r="V188" s="16">
        <ns0:f>Q188-F188*'前提と出典'!$E$5</ns0:f>
        <ns0:v>60623.925467146684</ns0:v>
      </ns0:c>
      <ns0:c r="W188" s="7">
        <ns0:f>U188+V188</ns0:f>
        <ns0:v>366578.28053412575</ns0:v>
      </ns0:c>
      <ns0:c r="X188" s="16">
        <ns0:f>P188-E188*'前提と出典'!$E$6</ns0:f>
        <ns0:v>259699.0932793462</ns0:v>
      </ns0:c>
      <ns0:c r="Y188" s="16">
        <ns0:f>Q188-F188*'前提と出典'!$E$6</ns0:f>
        <ns0:v>47183.32874435027</ns0:v>
      </ns0:c>
      <ns0:c r="Z188" s="7">
        <ns0:f>X188+Y188</ns0:f>
        <ns0:v>306882.4220236965</ns0:v>
      </ns0:c>
      <ns0:c r="AA188" s="7">
        <ns0:f>IF(T188&gt;=0,A188,1001)</ns0:f>
        <ns0:v>184</ns0:v>
      </ns0:c>
      <ns0:c r="AB188" s="7">
        <ns0:f>IF(T188&lt;0,A188,0)</ns0:f>
        <ns0:v>0</ns0:v>
      </ns0:c>
      <ns0:c r="AC188" s="16">
        <ns0:f>IF(AND(OR('前提と出典'!$C$36+'前提と出典'!$C$38=0,R188&gt;=0),OR('前提と出典'!$C$37+'前提と出典'!$C$38=0,S188&gt;=0)),0,A188)</ns0:f>
        <ns0:v>0</ns0:v>
      </ns0:c>
      <ns0:c r="AD188" s="7">
        <ns0:f>IF(W188&gt;=0,A188,1001)</ns0:f>
        <ns0:v>184</ns0:v>
      </ns0:c>
      <ns0:c r="AE188" s="7">
        <ns0:f>IF(W188&lt;0,A188,0)</ns0:f>
        <ns0:v>0</ns0:v>
      </ns0:c>
      <ns0:c r="AF188" s="16">
        <ns0:f>IF(AND(OR('前提と出典'!$C$36+'前提と出典'!$C$38=0,U188&gt;=0),OR('前提と出典'!$C$37+'前提と出典'!$C$38=0,V188&gt;=0)),0,A188)</ns0:f>
        <ns0:v>0</ns0:v>
      </ns0:c>
      <ns0:c r="AG188" s="7">
        <ns0:f>IF(Z188&gt;=0,A188,1001)</ns0:f>
        <ns0:v>184</ns0:v>
      </ns0:c>
      <ns0:c r="AH188" s="4">
        <ns0:f>IF(Z188&lt;0,A188,0)</ns0:f>
        <ns0:v>0</ns0:v>
      </ns0:c>
      <ns0:c r="AI188" s="12">
        <ns0:f>IF(AND(OR('前提と出典'!$C$36+'前提と出典'!$C$38=0,X188&gt;=0),OR('前提と出典'!$C$37+'前提と出典'!$C$38=0,Y188&gt;=0)),0,A188)</ns0:f>
        <ns0:v>0</ns0:v>
      </ns0:c>
    </ns0:row>
    <ns0:row r="189" ht="24" customHeight="1">
      <ns0:c r="A189" s="4" t="n">
        <ns0:v>185</ns0:v>
      </ns0:c>
      <ns0:c r="B189" s="12">
        <ns0:f>A189*('前提と出典'!$C$36+'前提と出典'!$C$38)</ns0:f>
        <ns0:v>129.5</ns0:v>
      </ns0:c>
      <ns0:c r="C189" s="12">
        <ns0:f>A189*('前提と出典'!$C$37+'前提と出典'!$C$38)</ns0:f>
        <ns0:v>111</ns0:v>
      </ns0:c>
      <ns0:c r="D189" s="16">
        <ns0:f>A189*('前提と出典'!$C$36*'契約別単価'!C5+'前提と出典'!$C$37*'契約別単価'!C6+'前提と出典'!$C$38*'契約別単価'!C7)</ns0:f>
        <ns0:v>1331.173184357542</ns0:v>
      </ns0:c>
      <ns0:c r="E189" s="16">
        <ns0:f>A189*('前提と出典'!$C$36*'契約別単価'!E5+'前提と出典'!$C$37*'契約別単価'!E6+'前提と出典'!$C$38*'契約別単価'!E7)</ns0:f>
        <ns0:v>465066.49079956894</ns0:v>
      </ns0:c>
      <ns0:c r="F189" s="16">
        <ns0:f>A189*('前提と出典'!$C$36*'契約別単価'!F5+'前提と出典'!$C$37*'契約別単価'!F6+'前提と出典'!$C$38*'契約別単価'!F7)</ns0:f>
        <ns0:v>135136.43444115977</ns0:v>
      </ns0:c>
      <ns0:c r="G189" s="16">
        <ns0:f>A189*('前提と出典'!$C$36*'契約別単価'!G5+'前提と出典'!$C$37*'契約別単価'!G6+'前提と出典'!$C$38*'契約別単価'!G7)</ns0:f>
        <ns0:v>368243.0167597765</ns0:v>
      </ns0:c>
      <ns0:c r="H189" s="16">
        <ns0:f>A189*('前提と出典'!$C$36*'契約別単価'!H5+'前提と出典'!$C$37*'契約別単価'!H6+'前提と出典'!$C$38*'契約別単価'!H7)</ns0:f>
        <ns0:v>127798.79565424887</ns0:v>
      </ns0:c>
      <ns0:c r="I189" s="16">
        <ns0:f>A189*('前提と出典'!$C$36*'契約別単価'!I5+'前提と出典'!$C$37*'契約別単価'!I6+'前提と出典'!$C$38*'契約別単価'!I7)</ns0:f>
        <ns0:v>7806.173184357541</ns0:v>
      </ns0:c>
      <ns0:c r="J189" s="16">
        <ns0:f>A189*('前提と出典'!$C$36*'契約別単価'!J5+'前提と出典'!$C$37*'契約別単価'!J6+'前提と出典'!$C$38*'契約別単価'!J7)</ns0:f>
        <ns0:v>18183.565586405974</ns0:v>
      </ns0:c>
      <ns0:c r="K189" s="16">
        <ns0:f>A189*('前提と出典'!$C$36*'契約別単価'!K5+'前提と出典'!$C$37*'契約別単価'!K6+'前提と出典'!$C$38*'契約別単価'!K7)</ns0:f>
        <ns0:v>77941.15456238361</ns0:v>
      </ns0:c>
      <ns0:c r="L189" s="16">
        <ns0:f>A189*('前提と出典'!$C$36*'契約別単価'!L5+'前提と出典'!$C$37*'契約別単価'!L6+'前提と出典'!$C$38*'契約別単価'!L7)</ns0:f>
        <ns0:v>63459.95985514163</ns0:v>
      </ns0:c>
      <ns0:c r="M189" s="16">
        <ns0:f>IF(('前提と出典'!$C$36+'前提と出典'!$C$38)=0,0,IF(B189&lt;=10,'前提と出典'!B73+'前提と出典'!C73,IF(B189&lt;=100,'前提と出典'!B74+'前提と出典'!C74,IF(B189&lt;=500,'前提と出典'!B75+'前提と出典'!C75,'前提と出典'!B76+'前提と出典'!C76))))</ns0:f>
        <ns0:v>40000</ns0:v>
      </ns0:c>
      <ns0:c r="N189" s="16">
        <ns0:f>IF(('前提と出典'!$C$37+'前提と出典'!$C$38)=0,0,IF(C189&lt;=10,'前提と出典'!D73+'前提と出典'!E73,IF(C189&lt;=100,'前提と出典'!D74+'前提と出典'!E74,IF(C189&lt;=500,'前提と出典'!D75+'前提と出典'!E75,'前提と出典'!D76+'前提と出典'!E76))))</ns0:f>
        <ns0:v>56510.9346263078</ns0:v>
      </ns0:c>
      <ns0:c r="O189" s="16">
        <ns0:f>IF('前提と出典'!$C$36+'前提と出典'!$C$38=0,0,'前提と出典'!$B$4*IF('前提と出典'!$B$20=0,MAX('前提と出典'!$B$6,D189*'前提と出典'!$B$5),'前提と出典'!$B$6+D189*'前提と出典'!$B$5))</ns0:f>
        <ns0:v>183701.8994413408</ns0:v>
      </ns0:c>
      <ns0:c r="P189" s="16">
        <ns0:f>(E189+G189)*(1-'前提と出典'!$B$7)-I189-K189-M189-O189</ns0:f>
        <ns0:v>493861.138099127</ns0:v>
      </ns0:c>
      <ns0:c r="Q189" s="16">
        <ns0:f>(F189+H189)*(1-'前提と出典'!$B$7)-J189-L189-N189</ns0:f>
        <ns0:v>115315.10174411851</ns0:v>
      </ns0:c>
      <ns0:c r="R189" s="16">
        <ns0:f>P189-E189*'前提と出典'!$E$4</ns0:f>
        <ns0:v>354341.1908592563</ns0:v>
      </ns0:c>
      <ns0:c r="S189" s="16">
        <ns0:f>Q189-F189*'前提と出典'!$E$4</ns0:f>
        <ns0:v>74774.17141177057</ns0:v>
      </ns0:c>
      <ns0:c r="T189" s="7">
        <ns0:f>R189+S189</ns0:f>
        <ns0:v>429115.3622710269</ns0:v>
      </ns0:c>
      <ns0:c r="U189" s="16">
        <ns0:f>P189-E189*'前提と出典'!$E$5</ns0:f>
        <ns0:v>307834.5417792994</ns0:v>
      </ns0:c>
      <ns0:c r="V189" s="16">
        <ns0:f>Q189-F189*'前提と出典'!$E$5</ns0:f>
        <ns0:v>61260.5279676546</ns0:v>
      </ns0:c>
      <ns0:c r="W189" s="7">
        <ns0:f>U189+V189</ns0:f>
        <ns0:v>369095.06974695396</ns0:v>
      </ns0:c>
      <ns0:c r="X189" s="16">
        <ns0:f>P189-E189*'前提と出典'!$E$6</ns0:f>
        <ns0:v>261327.89269934266</ns0:v>
      </ns0:c>
      <ns0:c r="Y189" s="16">
        <ns0:f>Q189-F189*'前提と出典'!$E$6</ns0:f>
        <ns0:v>47746.88452353863</ns0:v>
      </ns0:c>
      <ns0:c r="Z189" s="7">
        <ns0:f>X189+Y189</ns0:f>
        <ns0:v>309074.77722288127</ns0:v>
      </ns0:c>
      <ns0:c r="AA189" s="7">
        <ns0:f>IF(T189&gt;=0,A189,1001)</ns0:f>
        <ns0:v>185</ns0:v>
      </ns0:c>
      <ns0:c r="AB189" s="7">
        <ns0:f>IF(T189&lt;0,A189,0)</ns0:f>
        <ns0:v>0</ns0:v>
      </ns0:c>
      <ns0:c r="AC189" s="16">
        <ns0:f>IF(AND(OR('前提と出典'!$C$36+'前提と出典'!$C$38=0,R189&gt;=0),OR('前提と出典'!$C$37+'前提と出典'!$C$38=0,S189&gt;=0)),0,A189)</ns0:f>
        <ns0:v>0</ns0:v>
      </ns0:c>
      <ns0:c r="AD189" s="7">
        <ns0:f>IF(W189&gt;=0,A189,1001)</ns0:f>
        <ns0:v>185</ns0:v>
      </ns0:c>
      <ns0:c r="AE189" s="7">
        <ns0:f>IF(W189&lt;0,A189,0)</ns0:f>
        <ns0:v>0</ns0:v>
      </ns0:c>
      <ns0:c r="AF189" s="16">
        <ns0:f>IF(AND(OR('前提と出典'!$C$36+'前提と出典'!$C$38=0,U189&gt;=0),OR('前提と出典'!$C$37+'前提と出典'!$C$38=0,V189&gt;=0)),0,A189)</ns0:f>
        <ns0:v>0</ns0:v>
      </ns0:c>
      <ns0:c r="AG189" s="7">
        <ns0:f>IF(Z189&gt;=0,A189,1001)</ns0:f>
        <ns0:v>185</ns0:v>
      </ns0:c>
      <ns0:c r="AH189" s="4">
        <ns0:f>IF(Z189&lt;0,A189,0)</ns0:f>
        <ns0:v>0</ns0:v>
      </ns0:c>
      <ns0:c r="AI189" s="12">
        <ns0:f>IF(AND(OR('前提と出典'!$C$36+'前提と出典'!$C$38=0,X189&gt;=0),OR('前提と出典'!$C$37+'前提と出典'!$C$38=0,Y189&gt;=0)),0,A189)</ns0:f>
        <ns0:v>0</ns0:v>
      </ns0:c>
    </ns0:row>
    <ns0:row r="190" ht="24" customHeight="1">
      <ns0:c r="A190" s="4" t="n">
        <ns0:v>186</ns0:v>
      </ns0:c>
      <ns0:c r="B190" s="12">
        <ns0:f>A190*('前提と出典'!$C$36+'前提と出典'!$C$38)</ns0:f>
        <ns0:v>130.2</ns0:v>
      </ns0:c>
      <ns0:c r="C190" s="12">
        <ns0:f>A190*('前提と出典'!$C$37+'前提と出典'!$C$38)</ns0:f>
        <ns0:v>111.6</ns0:v>
      </ns0:c>
      <ns0:c r="D190" s="16">
        <ns0:f>A190*('前提と出典'!$C$36*'契約別単価'!C5+'前提と出典'!$C$37*'契約別単価'!C6+'前提と出典'!$C$38*'契約別単価'!C7)</ns0:f>
        <ns0:v>1338.3687150837989</ns0:v>
      </ns0:c>
      <ns0:c r="E190" s="16">
        <ns0:f>A190*('前提と出典'!$C$36*'契約別単価'!E5+'前提と出典'!$C$37*'契約別単価'!E6+'前提と出典'!$C$38*'契約別単価'!E7)</ns0:f>
        <ns0:v>467580.3637228099</ns0:v>
      </ns0:c>
      <ns0:c r="F190" s="16">
        <ns0:f>A190*('前提と出典'!$C$36*'契約別単価'!F5+'前提と出典'!$C$37*'契約別単価'!F6+'前提と出典'!$C$38*'契約別単価'!F7)</ns0:f>
        <ns0:v>135866.90165435523</ns0:v>
      </ns0:c>
      <ns0:c r="G190" s="16">
        <ns0:f>A190*('前提と出典'!$C$36*'契約別単価'!G5+'前提と出典'!$C$37*'契約別単価'!G6+'前提と出典'!$C$38*'契約別単価'!G7)</ns0:f>
        <ns0:v>370233.51955307263</ns0:v>
      </ns0:c>
      <ns0:c r="H190" s="16">
        <ns0:f>A190*('前提と出典'!$C$36*'契約別単価'!H5+'前提と出典'!$C$37*'契約別単価'!H6+'前提と出典'!$C$38*'契約別単価'!H7)</ns0:f>
        <ns0:v>128489.59995508265</ns0:v>
      </ns0:c>
      <ns0:c r="I190" s="16">
        <ns0:f>A190*('前提と出典'!$C$36*'契約別単価'!I5+'前提と出典'!$C$37*'契約別単価'!I6+'前提と出典'!$C$38*'契約別単価'!I7)</ns0:f>
        <ns0:v>7848.368715083798</ns0:v>
      </ns0:c>
      <ns0:c r="J190" s="16">
        <ns0:f>A190*('前提と出典'!$C$36*'契約別単価'!J5+'前提と出典'!$C$37*'契約別単価'!J6+'前提と出典'!$C$38*'契約別単価'!J7)</ns0:f>
        <ns0:v>18281.855130116277</ns0:v>
      </ns0:c>
      <ns0:c r="K190" s="16">
        <ns0:f>A190*('前提と出典'!$C$36*'契約別単価'!K5+'前提と出典'!$C$37*'契約別単価'!K6+'前提と出典'!$C$38*'契約別単価'!K7)</ns0:f>
        <ns0:v>78362.45810055865</ns0:v>
      </ns0:c>
      <ns0:c r="L190" s="16">
        <ns0:f>A190*('前提と出典'!$C$36*'契約別単価'!L5+'前提と出典'!$C$37*'契約別単価'!L6+'前提と出典'!$C$38*'契約別単価'!L7)</ns0:f>
        <ns0:v>63802.98666516942</ns0:v>
      </ns0:c>
      <ns0:c r="M190" s="16">
        <ns0:f>IF(('前提と出典'!$C$36+'前提と出典'!$C$38)=0,0,IF(B190&lt;=10,'前提と出典'!B73+'前提と出典'!C73,IF(B190&lt;=100,'前提と出典'!B74+'前提と出典'!C74,IF(B190&lt;=500,'前提と出典'!B75+'前提と出典'!C75,'前提と出典'!B76+'前提と出典'!C76))))</ns0:f>
        <ns0:v>40000</ns0:v>
      </ns0:c>
      <ns0:c r="N190" s="16">
        <ns0:f>IF(('前提と出典'!$C$37+'前提と出典'!$C$38)=0,0,IF(C190&lt;=10,'前提と出典'!D73+'前提と出典'!E73,IF(C190&lt;=100,'前提と出典'!D74+'前提と出典'!E74,IF(C190&lt;=500,'前提と出典'!D75+'前提と出典'!E75,'前提と出典'!D76+'前提と出典'!E76))))</ns0:f>
        <ns0:v>56510.9346263078</ns0:v>
      </ns0:c>
      <ns0:c r="O190" s="16">
        <ns0:f>IF('前提と出典'!$C$36+'前提と出典'!$C$38=0,0,'前提と出典'!$B$4*IF('前提と出典'!$B$20=0,MAX('前提と出典'!$B$6,D190*'前提と出典'!$B$5),'前提と出典'!$B$6+D190*'前提と出典'!$B$5))</ns0:f>
        <ns0:v>184694.88268156425</ns0:v>
      </ns0:c>
      <ns0:c r="P190" s="16">
        <ns0:f>(E190+G190)*(1-'前提と出典'!$B$7)-I190-K190-M190-O190</ns0:f>
        <ns0:v>496746.87398074404</ns0:v>
      </ns0:c>
      <ns0:c r="Q190" s="16">
        <ns0:f>(F190+H190)*(1-'前提と出典'!$B$7)-J190-L190-N190</ns0:f>
        <ns0:v>116243.8911299046</ns0:v>
      </ns0:c>
      <ns0:c r="R190" s="16">
        <ns0:f>P190-E190*'前提と出典'!$E$4</ns0:f>
        <ns0:v>356472.76486390113</ns0:v>
      </ns0:c>
      <ns0:c r="S190" s="16">
        <ns0:f>Q190-F190*'前提と出典'!$E$4</ns0:f>
        <ns0:v>75483.82063359802</ns0:v>
      </ns0:c>
      <ns0:c r="T190" s="7">
        <ns0:f>R190+S190</ns0:f>
        <ns0:v>431956.58549749915</ns0:v>
      </ns0:c>
      <ns0:c r="U190" s="16">
        <ns0:f>P190-E190*'前提と出典'!$E$5</ns0:f>
        <ns0:v>309714.7284916201</ns0:v>
      </ns0:c>
      <ns0:c r="V190" s="16">
        <ns0:f>Q190-F190*'前提と出典'!$E$5</ns0:f>
        <ns0:v>61897.13046816251</ns0:v>
      </ns0:c>
      <ns0:c r="W190" s="7">
        <ns0:f>U190+V190</ns0:f>
        <ns0:v>371611.85895978264</ns0:v>
      </ns0:c>
      <ns0:c r="X190" s="16">
        <ns0:f>P190-E190*'前提と出典'!$E$6</ns0:f>
        <ns0:v>262956.69211933913</ns0:v>
      </ns0:c>
      <ns0:c r="Y190" s="16">
        <ns0:f>Q190-F190*'前提と出典'!$E$6</ns0:f>
        <ns0:v>48310.440302726995</ns0:v>
      </ns0:c>
      <ns0:c r="Z190" s="7">
        <ns0:f>X190+Y190</ns0:f>
        <ns0:v>311267.1324220661</ns0:v>
      </ns0:c>
      <ns0:c r="AA190" s="7">
        <ns0:f>IF(T190&gt;=0,A190,1001)</ns0:f>
        <ns0:v>186</ns0:v>
      </ns0:c>
      <ns0:c r="AB190" s="7">
        <ns0:f>IF(T190&lt;0,A190,0)</ns0:f>
        <ns0:v>0</ns0:v>
      </ns0:c>
      <ns0:c r="AC190" s="16">
        <ns0:f>IF(AND(OR('前提と出典'!$C$36+'前提と出典'!$C$38=0,R190&gt;=0),OR('前提と出典'!$C$37+'前提と出典'!$C$38=0,S190&gt;=0)),0,A190)</ns0:f>
        <ns0:v>0</ns0:v>
      </ns0:c>
      <ns0:c r="AD190" s="7">
        <ns0:f>IF(W190&gt;=0,A190,1001)</ns0:f>
        <ns0:v>186</ns0:v>
      </ns0:c>
      <ns0:c r="AE190" s="7">
        <ns0:f>IF(W190&lt;0,A190,0)</ns0:f>
        <ns0:v>0</ns0:v>
      </ns0:c>
      <ns0:c r="AF190" s="16">
        <ns0:f>IF(AND(OR('前提と出典'!$C$36+'前提と出典'!$C$38=0,U190&gt;=0),OR('前提と出典'!$C$37+'前提と出典'!$C$38=0,V190&gt;=0)),0,A190)</ns0:f>
        <ns0:v>0</ns0:v>
      </ns0:c>
      <ns0:c r="AG190" s="7">
        <ns0:f>IF(Z190&gt;=0,A190,1001)</ns0:f>
        <ns0:v>186</ns0:v>
      </ns0:c>
      <ns0:c r="AH190" s="4">
        <ns0:f>IF(Z190&lt;0,A190,0)</ns0:f>
        <ns0:v>0</ns0:v>
      </ns0:c>
      <ns0:c r="AI190" s="12">
        <ns0:f>IF(AND(OR('前提と出典'!$C$36+'前提と出典'!$C$38=0,X190&gt;=0),OR('前提と出典'!$C$37+'前提と出典'!$C$38=0,Y190&gt;=0)),0,A190)</ns0:f>
        <ns0:v>0</ns0:v>
      </ns0:c>
    </ns0:row>
    <ns0:row r="191" ht="24" customHeight="1">
      <ns0:c r="A191" s="4" t="n">
        <ns0:v>187</ns0:v>
      </ns0:c>
      <ns0:c r="B191" s="12">
        <ns0:f>A191*('前提と出典'!$C$36+'前提と出典'!$C$38)</ns0:f>
        <ns0:v>130.9</ns0:v>
      </ns0:c>
      <ns0:c r="C191" s="12">
        <ns0:f>A191*('前提と出典'!$C$37+'前提と出典'!$C$38)</ns0:f>
        <ns0:v>112.2</ns0:v>
      </ns0:c>
      <ns0:c r="D191" s="16">
        <ns0:f>A191*('前提と出典'!$C$36*'契約別単価'!C5+'前提と出典'!$C$37*'契約別単価'!C6+'前提と出典'!$C$38*'契約別単価'!C7)</ns0:f>
        <ns0:v>1345.5642458100558</ns0:v>
      </ns0:c>
      <ns0:c r="E191" s="16">
        <ns0:f>A191*('前提と出典'!$C$36*'契約別単価'!E5+'前提と出典'!$C$37*'契約別単価'!E6+'前提と出典'!$C$38*'契約別単価'!E7)</ns0:f>
        <ns0:v>470094.23664605076</ns0:v>
      </ns0:c>
      <ns0:c r="F191" s="16">
        <ns0:f>A191*('前提と出典'!$C$36*'契約別単価'!F5+'前提と出典'!$C$37*'契約別単価'!F6+'前提と出典'!$C$38*'契約別単価'!F7)</ns0:f>
        <ns0:v>136597.3688675507</ns0:v>
      </ns0:c>
      <ns0:c r="G191" s="16">
        <ns0:f>A191*('前提と出典'!$C$36*'契約別単価'!G5+'前提と出典'!$C$37*'契約別単価'!G6+'前提と出典'!$C$38*'契約別単価'!G7)</ns0:f>
        <ns0:v>372224.0223463687</ns0:v>
      </ns0:c>
      <ns0:c r="H191" s="16">
        <ns0:f>A191*('前提と出典'!$C$36*'契約別単価'!H5+'前提と出典'!$C$37*'契約別単価'!H6+'前提と出典'!$C$38*'契約別単価'!H7)</ns0:f>
        <ns0:v>129180.40425591642</ns0:v>
      </ns0:c>
      <ns0:c r="I191" s="16">
        <ns0:f>A191*('前提と出典'!$C$36*'契約別単価'!I5+'前提と出典'!$C$37*'契約別単価'!I6+'前提と出典'!$C$38*'契約別単価'!I7)</ns0:f>
        <ns0:v>7890.564245810055</ns0:v>
      </ns0:c>
      <ns0:c r="J191" s="16">
        <ns0:f>A191*('前提と出典'!$C$36*'契約別単価'!J5+'前提と出典'!$C$37*'契約別単価'!J6+'前提と出典'!$C$38*'契約別単価'!J7)</ns0:f>
        <ns0:v>18380.14467382658</ns0:v>
      </ns0:c>
      <ns0:c r="K191" s="16">
        <ns0:f>A191*('前提と出典'!$C$36*'契約別単価'!K5+'前提と出典'!$C$37*'契約別単価'!K6+'前提と出典'!$C$38*'契約別単価'!K7)</ns0:f>
        <ns0:v>78783.7616387337</ns0:v>
      </ns0:c>
      <ns0:c r="L191" s="16">
        <ns0:f>A191*('前提と出典'!$C$36*'契約別単価'!L5+'前提と出典'!$C$37*'契約別単価'!L6+'前提と出典'!$C$38*'契約別単価'!L7)</ns0:f>
        <ns0:v>64146.013475197215</ns0:v>
      </ns0:c>
      <ns0:c r="M191" s="16">
        <ns0:f>IF(('前提と出典'!$C$36+'前提と出典'!$C$38)=0,0,IF(B191&lt;=10,'前提と出典'!B73+'前提と出典'!C73,IF(B191&lt;=100,'前提と出典'!B74+'前提と出典'!C74,IF(B191&lt;=500,'前提と出典'!B75+'前提と出典'!C75,'前提と出典'!B76+'前提と出典'!C76))))</ns0:f>
        <ns0:v>40000</ns0:v>
      </ns0:c>
      <ns0:c r="N191" s="16">
        <ns0:f>IF(('前提と出典'!$C$37+'前提と出典'!$C$38)=0,0,IF(C191&lt;=10,'前提と出典'!D73+'前提と出典'!E73,IF(C191&lt;=100,'前提と出典'!D74+'前提と出典'!E74,IF(C191&lt;=500,'前提と出典'!D75+'前提と出典'!E75,'前提と出典'!D76+'前提と出典'!E76))))</ns0:f>
        <ns0:v>56510.9346263078</ns0:v>
      </ns0:c>
      <ns0:c r="O191" s="16">
        <ns0:f>IF('前提と出典'!$C$36+'前提と出典'!$C$38=0,0,'前提と出典'!$B$4*IF('前提と出典'!$B$20=0,MAX('前提と出典'!$B$6,D191*'前提と出典'!$B$5),'前提と出典'!$B$6+D191*'前提と出典'!$B$5))</ns0:f>
        <ns0:v>185687.8659217877</ns0:v>
      </ns0:c>
      <ns0:c r="P191" s="16">
        <ns0:f>(E191+G191)*(1-'前提と出典'!$B$7)-I191-K191-M191-O191</ns0:f>
        <ns0:v>499632.609862361</ns0:v>
      </ns0:c>
      <ns0:c r="Q191" s="16">
        <ns0:f>(F191+H191)*(1-'前提と出典'!$B$7)-J191-L191-N191</ns0:f>
        <ns0:v>117172.68051569068</ns0:v>
      </ns0:c>
      <ns0:c r="R191" s="16">
        <ns0:f>P191-E191*'前提と出典'!$E$4</ns0:f>
        <ns0:v>358604.33886854583</ns0:v>
      </ns0:c>
      <ns0:c r="S191" s="16">
        <ns0:f>Q191-F191*'前提と出典'!$E$4</ns0:f>
        <ns0:v>76193.46985542547</ns0:v>
      </ns0:c>
      <ns0:c r="T191" s="7">
        <ns0:f>R191+S191</ns0:f>
        <ns0:v>434797.8087239713</ns0:v>
      </ns0:c>
      <ns0:c r="U191" s="16">
        <ns0:f>P191-E191*'前提と出典'!$E$5</ns0:f>
        <ns0:v>311594.9152039407</ns0:v>
      </ns0:c>
      <ns0:c r="V191" s="16">
        <ns0:f>Q191-F191*'前提と出典'!$E$5</ns0:f>
        <ns0:v>62533.73296867041</ns0:v>
      </ns0:c>
      <ns0:c r="W191" s="7">
        <ns0:f>U191+V191</ns0:f>
        <ns0:v>374128.64817261114</ns0:v>
      </ns0:c>
      <ns0:c r="X191" s="16">
        <ns0:f>P191-E191*'前提と出典'!$E$6</ns0:f>
        <ns0:v>264585.4915393356</ns0:v>
      </ns0:c>
      <ns0:c r="Y191" s="16">
        <ns0:f>Q191-F191*'前提と出典'!$E$6</ns0:f>
        <ns0:v>48873.99608191534</ns0:v>
      </ns0:c>
      <ns0:c r="Z191" s="7">
        <ns0:f>X191+Y191</ns0:f>
        <ns0:v>313459.4876212509</ns0:v>
      </ns0:c>
      <ns0:c r="AA191" s="7">
        <ns0:f>IF(T191&gt;=0,A191,1001)</ns0:f>
        <ns0:v>187</ns0:v>
      </ns0:c>
      <ns0:c r="AB191" s="7">
        <ns0:f>IF(T191&lt;0,A191,0)</ns0:f>
        <ns0:v>0</ns0:v>
      </ns0:c>
      <ns0:c r="AC191" s="16">
        <ns0:f>IF(AND(OR('前提と出典'!$C$36+'前提と出典'!$C$38=0,R191&gt;=0),OR('前提と出典'!$C$37+'前提と出典'!$C$38=0,S191&gt;=0)),0,A191)</ns0:f>
        <ns0:v>0</ns0:v>
      </ns0:c>
      <ns0:c r="AD191" s="7">
        <ns0:f>IF(W191&gt;=0,A191,1001)</ns0:f>
        <ns0:v>187</ns0:v>
      </ns0:c>
      <ns0:c r="AE191" s="7">
        <ns0:f>IF(W191&lt;0,A191,0)</ns0:f>
        <ns0:v>0</ns0:v>
      </ns0:c>
      <ns0:c r="AF191" s="16">
        <ns0:f>IF(AND(OR('前提と出典'!$C$36+'前提と出典'!$C$38=0,U191&gt;=0),OR('前提と出典'!$C$37+'前提と出典'!$C$38=0,V191&gt;=0)),0,A191)</ns0:f>
        <ns0:v>0</ns0:v>
      </ns0:c>
      <ns0:c r="AG191" s="7">
        <ns0:f>IF(Z191&gt;=0,A191,1001)</ns0:f>
        <ns0:v>187</ns0:v>
      </ns0:c>
      <ns0:c r="AH191" s="4">
        <ns0:f>IF(Z191&lt;0,A191,0)</ns0:f>
        <ns0:v>0</ns0:v>
      </ns0:c>
      <ns0:c r="AI191" s="12">
        <ns0:f>IF(AND(OR('前提と出典'!$C$36+'前提と出典'!$C$38=0,X191&gt;=0),OR('前提と出典'!$C$37+'前提と出典'!$C$38=0,Y191&gt;=0)),0,A191)</ns0:f>
        <ns0:v>0</ns0:v>
      </ns0:c>
    </ns0:row>
    <ns0:row r="192" ht="24" customHeight="1">
      <ns0:c r="A192" s="4" t="n">
        <ns0:v>188</ns0:v>
      </ns0:c>
      <ns0:c r="B192" s="12">
        <ns0:f>A192*('前提と出典'!$C$36+'前提と出典'!$C$38)</ns0:f>
        <ns0:v>131.6</ns0:v>
      </ns0:c>
      <ns0:c r="C192" s="12">
        <ns0:f>A192*('前提と出典'!$C$37+'前提と出典'!$C$38)</ns0:f>
        <ns0:v>112.8</ns0:v>
      </ns0:c>
      <ns0:c r="D192" s="16">
        <ns0:f>A192*('前提と出典'!$C$36*'契約別単価'!C5+'前提と出典'!$C$37*'契約別単価'!C6+'前提と出典'!$C$38*'契約別単価'!C7)</ns0:f>
        <ns0:v>1352.7597765363128</ns0:v>
      </ns0:c>
      <ns0:c r="E192" s="16">
        <ns0:f>A192*('前提と出典'!$C$36*'契約別単価'!E5+'前提と出典'!$C$37*'契約別単価'!E6+'前提と出典'!$C$38*'契約別単価'!E7)</ns0:f>
        <ns0:v>472608.1095692917</ns0:v>
      </ns0:c>
      <ns0:c r="F192" s="16">
        <ns0:f>A192*('前提と出典'!$C$36*'契約別単価'!F5+'前提と出典'!$C$37*'契約別単価'!F6+'前提と出典'!$C$38*'契約別単価'!F7)</ns0:f>
        <ns0:v>137327.83608074614</ns0:v>
      </ns0:c>
      <ns0:c r="G192" s="16">
        <ns0:f>A192*('前提と出典'!$C$36*'契約別単価'!G5+'前提と出典'!$C$37*'契約別単価'!G6+'前提と出典'!$C$38*'契約別単価'!G7)</ns0:f>
        <ns0:v>374214.52513966477</ns0:v>
      </ns0:c>
      <ns0:c r="H192" s="16">
        <ns0:f>A192*('前提と出典'!$C$36*'契約別単価'!H5+'前提と出典'!$C$37*'契約別単価'!H6+'前提と出典'!$C$38*'契約別単価'!H7)</ns0:f>
        <ns0:v>129871.2085567502</ns0:v>
      </ns0:c>
      <ns0:c r="I192" s="16">
        <ns0:f>A192*('前提と出典'!$C$36*'契約別単価'!I5+'前提と出典'!$C$37*'契約別単価'!I6+'前提と出典'!$C$38*'契約別単価'!I7)</ns0:f>
        <ns0:v>7932.759776536312</ns0:v>
      </ns0:c>
      <ns0:c r="J192" s="16">
        <ns0:f>A192*('前提と出典'!$C$36*'契約別単価'!J5+'前提と出典'!$C$37*'契約別単価'!J6+'前提と出典'!$C$38*'契約別単価'!J7)</ns0:f>
        <ns0:v>18478.434217536884</ns0:v>
      </ns0:c>
      <ns0:c r="K192" s="16">
        <ns0:f>A192*('前提と出典'!$C$36*'契約別単価'!K5+'前提と出典'!$C$37*'契約別単価'!K6+'前提と出典'!$C$38*'契約別単価'!K7)</ns0:f>
        <ns0:v>79205.06517690874</ns0:v>
      </ns0:c>
      <ns0:c r="L192" s="16">
        <ns0:f>A192*('前提と出典'!$C$36*'契約別単価'!L5+'前提と出典'!$C$37*'契約別単価'!L6+'前提と出典'!$C$38*'契約別単価'!L7)</ns0:f>
        <ns0:v>64489.040285225004</ns0:v>
      </ns0:c>
      <ns0:c r="M192" s="16">
        <ns0:f>IF(('前提と出典'!$C$36+'前提と出典'!$C$38)=0,0,IF(B192&lt;=10,'前提と出典'!B73+'前提と出典'!C73,IF(B192&lt;=100,'前提と出典'!B74+'前提と出典'!C74,IF(B192&lt;=500,'前提と出典'!B75+'前提と出典'!C75,'前提と出典'!B76+'前提と出典'!C76))))</ns0:f>
        <ns0:v>40000</ns0:v>
      </ns0:c>
      <ns0:c r="N192" s="16">
        <ns0:f>IF(('前提と出典'!$C$37+'前提と出典'!$C$38)=0,0,IF(C192&lt;=10,'前提と出典'!D73+'前提と出典'!E73,IF(C192&lt;=100,'前提と出典'!D74+'前提と出典'!E74,IF(C192&lt;=500,'前提と出典'!D75+'前提と出典'!E75,'前提と出典'!D76+'前提と出典'!E76))))</ns0:f>
        <ns0:v>56510.9346263078</ns0:v>
      </ns0:c>
      <ns0:c r="O192" s="16">
        <ns0:f>IF('前提と出典'!$C$36+'前提と出典'!$C$38=0,0,'前提と出典'!$B$4*IF('前提と出典'!$B$20=0,MAX('前提と出典'!$B$6,D192*'前提と出典'!$B$5),'前提と出典'!$B$6+D192*'前提と出典'!$B$5))</ns0:f>
        <ns0:v>186680.84916201117</ns0:v>
      </ns0:c>
      <ns0:c r="P192" s="16">
        <ns0:f>(E192+G192)*(1-'前提と出典'!$B$7)-I192-K192-M192-O192</ns0:f>
        <ns0:v>502518.3457439778</ns0:v>
      </ns0:c>
      <ns0:c r="Q192" s="16">
        <ns0:f>(F192+H192)*(1-'前提と出典'!$B$7)-J192-L192-N192</ns0:f>
        <ns0:v>118101.46990147683</ns0:v>
      </ns0:c>
      <ns0:c r="R192" s="16">
        <ns0:f>P192-E192*'前提と出典'!$E$4</ns0:f>
        <ns0:v>360735.91287319036</ns0:v>
      </ns0:c>
      <ns0:c r="S192" s="16">
        <ns0:f>Q192-F192*'前提と出典'!$E$4</ns0:f>
        <ns0:v>76903.11907725298</ns0:v>
      </ns0:c>
      <ns0:c r="T192" s="7">
        <ns0:f>R192+S192</ns0:f>
        <ns0:v>437639.03195044334</ns0:v>
      </ns0:c>
      <ns0:c r="U192" s="16">
        <ns0:f>P192-E192*'前提と出典'!$E$5</ns0:f>
        <ns0:v>313475.10191626113</ns0:v>
      </ns0:c>
      <ns0:c r="V192" s="16">
        <ns0:f>Q192-F192*'前提と出典'!$E$5</ns0:f>
        <ns0:v>63170.33546917837</ns0:v>
      </ns0:c>
      <ns0:c r="W192" s="7">
        <ns0:f>U192+V192</ns0:f>
        <ns0:v>376645.4373854395</ns0:v>
      </ns0:c>
      <ns0:c r="X192" s="16">
        <ns0:f>P192-E192*'前提と出典'!$E$6</ns0:f>
        <ns0:v>266214.2909593319</ns0:v>
      </ns0:c>
      <ns0:c r="Y192" s="16">
        <ns0:f>Q192-F192*'前提と出典'!$E$6</ns0:f>
        <ns0:v>49437.55186110375</ns0:v>
      </ns0:c>
      <ns0:c r="Z192" s="7">
        <ns0:f>X192+Y192</ns0:f>
        <ns0:v>315651.84282043565</ns0:v>
      </ns0:c>
      <ns0:c r="AA192" s="7">
        <ns0:f>IF(T192&gt;=0,A192,1001)</ns0:f>
        <ns0:v>188</ns0:v>
      </ns0:c>
      <ns0:c r="AB192" s="7">
        <ns0:f>IF(T192&lt;0,A192,0)</ns0:f>
        <ns0:v>0</ns0:v>
      </ns0:c>
      <ns0:c r="AC192" s="16">
        <ns0:f>IF(AND(OR('前提と出典'!$C$36+'前提と出典'!$C$38=0,R192&gt;=0),OR('前提と出典'!$C$37+'前提と出典'!$C$38=0,S192&gt;=0)),0,A192)</ns0:f>
        <ns0:v>0</ns0:v>
      </ns0:c>
      <ns0:c r="AD192" s="7">
        <ns0:f>IF(W192&gt;=0,A192,1001)</ns0:f>
        <ns0:v>188</ns0:v>
      </ns0:c>
      <ns0:c r="AE192" s="7">
        <ns0:f>IF(W192&lt;0,A192,0)</ns0:f>
        <ns0:v>0</ns0:v>
      </ns0:c>
      <ns0:c r="AF192" s="16">
        <ns0:f>IF(AND(OR('前提と出典'!$C$36+'前提と出典'!$C$38=0,U192&gt;=0),OR('前提と出典'!$C$37+'前提と出典'!$C$38=0,V192&gt;=0)),0,A192)</ns0:f>
        <ns0:v>0</ns0:v>
      </ns0:c>
      <ns0:c r="AG192" s="7">
        <ns0:f>IF(Z192&gt;=0,A192,1001)</ns0:f>
        <ns0:v>188</ns0:v>
      </ns0:c>
      <ns0:c r="AH192" s="4">
        <ns0:f>IF(Z192&lt;0,A192,0)</ns0:f>
        <ns0:v>0</ns0:v>
      </ns0:c>
      <ns0:c r="AI192" s="12">
        <ns0:f>IF(AND(OR('前提と出典'!$C$36+'前提と出典'!$C$38=0,X192&gt;=0),OR('前提と出典'!$C$37+'前提と出典'!$C$38=0,Y192&gt;=0)),0,A192)</ns0:f>
        <ns0:v>0</ns0:v>
      </ns0:c>
    </ns0:row>
    <ns0:row r="193" ht="24" customHeight="1">
      <ns0:c r="A193" s="4" t="n">
        <ns0:v>189</ns0:v>
      </ns0:c>
      <ns0:c r="B193" s="12">
        <ns0:f>A193*('前提と出典'!$C$36+'前提と出典'!$C$38)</ns0:f>
        <ns0:v>132.29999999999998</ns0:v>
      </ns0:c>
      <ns0:c r="C193" s="12">
        <ns0:f>A193*('前提と出典'!$C$37+'前提と出典'!$C$38)</ns0:f>
        <ns0:v>113.39999999999999</ns0:v>
      </ns0:c>
      <ns0:c r="D193" s="16">
        <ns0:f>A193*('前提と出典'!$C$36*'契約別単価'!C5+'前提と出典'!$C$37*'契約別単価'!C6+'前提と出典'!$C$38*'契約別単価'!C7)</ns0:f>
        <ns0:v>1359.95530726257</ns0:v>
      </ns0:c>
      <ns0:c r="E193" s="16">
        <ns0:f>A193*('前提と出典'!$C$36*'契約別単価'!E5+'前提と出典'!$C$37*'契約別単価'!E6+'前提と出典'!$C$38*'契約別単価'!E7)</ns0:f>
        <ns0:v>475121.9824925326</ns0:v>
      </ns0:c>
      <ns0:c r="F193" s="16">
        <ns0:f>A193*('前提と出典'!$C$36*'契約別単価'!F5+'前提と出典'!$C$37*'契約別単価'!F6+'前提と出典'!$C$38*'契約別単価'!F7)</ns0:f>
        <ns0:v>138058.3032939416</ns0:v>
      </ns0:c>
      <ns0:c r="G193" s="16">
        <ns0:f>A193*('前提と出典'!$C$36*'契約別単価'!G5+'前提と出典'!$C$37*'契約別単価'!G6+'前提と出典'!$C$38*'契約別単価'!G7)</ns0:f>
        <ns0:v>376205.0279329609</ns0:v>
      </ns0:c>
      <ns0:c r="H193" s="16">
        <ns0:f>A193*('前提と出典'!$C$36*'契約別単価'!H5+'前提と出典'!$C$37*'契約別単価'!H6+'前提と出典'!$C$38*'契約別単価'!H7)</ns0:f>
        <ns0:v>130562.01285758398</ns0:v>
      </ns0:c>
      <ns0:c r="I193" s="16">
        <ns0:f>A193*('前提と出典'!$C$36*'契約別単価'!I5+'前提と出典'!$C$37*'契約別単価'!I6+'前提と出典'!$C$38*'契約別単価'!I7)</ns0:f>
        <ns0:v>7974.955307262569</ns0:v>
      </ns0:c>
      <ns0:c r="J193" s="16">
        <ns0:f>A193*('前提と出典'!$C$36*'契約別単価'!J5+'前提と出典'!$C$37*'契約別単価'!J6+'前提と出典'!$C$38*'契約別単価'!J7)</ns0:f>
        <ns0:v>18576.723761247184</ns0:v>
      </ns0:c>
      <ns0:c r="K193" s="16">
        <ns0:f>A193*('前提と出典'!$C$36*'契約別単価'!K5+'前提と出典'!$C$37*'契約別単価'!K6+'前提と出典'!$C$38*'契約別単価'!K7)</ns0:f>
        <ns0:v>79626.3687150838</ns0:v>
      </ns0:c>
      <ns0:c r="L193" s="16">
        <ns0:f>A193*('前提と出典'!$C$36*'契約別単価'!L5+'前提と出典'!$C$37*'契約別単価'!L6+'前提と出典'!$C$38*'契約別単価'!L7)</ns0:f>
        <ns0:v>64832.067095252794</ns0:v>
      </ns0:c>
      <ns0:c r="M193" s="16">
        <ns0:f>IF(('前提と出典'!$C$36+'前提と出典'!$C$38)=0,0,IF(B193&lt;=10,'前提と出典'!B73+'前提と出典'!C73,IF(B193&lt;=100,'前提と出典'!B74+'前提と出典'!C74,IF(B193&lt;=500,'前提と出典'!B75+'前提と出典'!C75,'前提と出典'!B76+'前提と出典'!C76))))</ns0:f>
        <ns0:v>40000</ns0:v>
      </ns0:c>
      <ns0:c r="N193" s="16">
        <ns0:f>IF(('前提と出典'!$C$37+'前提と出典'!$C$38)=0,0,IF(C193&lt;=10,'前提と出典'!D73+'前提と出典'!E73,IF(C193&lt;=100,'前提と出典'!D74+'前提と出典'!E74,IF(C193&lt;=500,'前提と出典'!D75+'前提と出典'!E75,'前提と出典'!D76+'前提と出典'!E76))))</ns0:f>
        <ns0:v>56510.9346263078</ns0:v>
      </ns0:c>
      <ns0:c r="O193" s="16">
        <ns0:f>IF('前提と出典'!$C$36+'前提と出典'!$C$38=0,0,'前提と出典'!$B$4*IF('前提と出典'!$B$20=0,MAX('前提と出典'!$B$6,D193*'前提と出典'!$B$5),'前提と出典'!$B$6+D193*'前提と出典'!$B$5))</ns0:f>
        <ns0:v>187673.83240223466</ns0:v>
      </ns0:c>
      <ns0:c r="P193" s="16">
        <ns0:f>(E193+G193)*(1-'前提と出典'!$B$7)-I193-K193-M193-O193</ns0:f>
        <ns0:v>505404.08162559464</ns0:v>
      </ns0:c>
      <ns0:c r="Q193" s="16">
        <ns0:f>(F193+H193)*(1-'前提と出典'!$B$7)-J193-L193-N193</ns0:f>
        <ns0:v>119030.25928726292</ns0:v>
      </ns0:c>
      <ns0:c r="R193" s="16">
        <ns0:f>P193-E193*'前提と出典'!$E$4</ns0:f>
        <ns0:v>362867.4868778349</ns0:v>
      </ns0:c>
      <ns0:c r="S193" s="16">
        <ns0:f>Q193-F193*'前提と出典'!$E$4</ns0:f>
        <ns0:v>77612.7682990804</ns0:v>
      </ns0:c>
      <ns0:c r="T193" s="7">
        <ns0:f>R193+S193</ns0:f>
        <ns0:v>440480.2551769153</ns0:v>
      </ns0:c>
      <ns0:c r="U193" s="16">
        <ns0:f>P193-E193*'前提と出典'!$E$5</ns0:f>
        <ns0:v>315355.28862858156</ns0:v>
      </ns0:c>
      <ns0:c r="V193" s="16">
        <ns0:f>Q193-F193*'前提と出典'!$E$5</ns0:f>
        <ns0:v>63806.93796968627</ns0:v>
      </ns0:c>
      <ns0:c r="W193" s="7">
        <ns0:f>U193+V193</ns0:f>
        <ns0:v>379162.22659826785</ns0:v>
      </ns0:c>
      <ns0:c r="X193" s="16">
        <ns0:f>P193-E193*'前提と出典'!$E$6</ns0:f>
        <ns0:v>267843.09037932835</ns0:v>
      </ns0:c>
      <ns0:c r="Y193" s="16">
        <ns0:f>Q193-F193*'前提と出典'!$E$6</ns0:f>
        <ns0:v>50001.107640292095</ns0:v>
      </ns0:c>
      <ns0:c r="Z193" s="7">
        <ns0:f>X193+Y193</ns0:f>
        <ns0:v>317844.19801962044</ns0:v>
      </ns0:c>
      <ns0:c r="AA193" s="7">
        <ns0:f>IF(T193&gt;=0,A193,1001)</ns0:f>
        <ns0:v>189</ns0:v>
      </ns0:c>
      <ns0:c r="AB193" s="7">
        <ns0:f>IF(T193&lt;0,A193,0)</ns0:f>
        <ns0:v>0</ns0:v>
      </ns0:c>
      <ns0:c r="AC193" s="16">
        <ns0:f>IF(AND(OR('前提と出典'!$C$36+'前提と出典'!$C$38=0,R193&gt;=0),OR('前提と出典'!$C$37+'前提と出典'!$C$38=0,S193&gt;=0)),0,A193)</ns0:f>
        <ns0:v>0</ns0:v>
      </ns0:c>
      <ns0:c r="AD193" s="7">
        <ns0:f>IF(W193&gt;=0,A193,1001)</ns0:f>
        <ns0:v>189</ns0:v>
      </ns0:c>
      <ns0:c r="AE193" s="7">
        <ns0:f>IF(W193&lt;0,A193,0)</ns0:f>
        <ns0:v>0</ns0:v>
      </ns0:c>
      <ns0:c r="AF193" s="16">
        <ns0:f>IF(AND(OR('前提と出典'!$C$36+'前提と出典'!$C$38=0,U193&gt;=0),OR('前提と出典'!$C$37+'前提と出典'!$C$38=0,V193&gt;=0)),0,A193)</ns0:f>
        <ns0:v>0</ns0:v>
      </ns0:c>
      <ns0:c r="AG193" s="7">
        <ns0:f>IF(Z193&gt;=0,A193,1001)</ns0:f>
        <ns0:v>189</ns0:v>
      </ns0:c>
      <ns0:c r="AH193" s="4">
        <ns0:f>IF(Z193&lt;0,A193,0)</ns0:f>
        <ns0:v>0</ns0:v>
      </ns0:c>
      <ns0:c r="AI193" s="12">
        <ns0:f>IF(AND(OR('前提と出典'!$C$36+'前提と出典'!$C$38=0,X193&gt;=0),OR('前提と出典'!$C$37+'前提と出典'!$C$38=0,Y193&gt;=0)),0,A193)</ns0:f>
        <ns0:v>0</ns0:v>
      </ns0:c>
    </ns0:row>
    <ns0:row r="194" ht="24" customHeight="1">
      <ns0:c r="A194" s="4" t="n">
        <ns0:v>190</ns0:v>
      </ns0:c>
      <ns0:c r="B194" s="12">
        <ns0:f>A194*('前提と出典'!$C$36+'前提と出典'!$C$38)</ns0:f>
        <ns0:v>133</ns0:v>
      </ns0:c>
      <ns0:c r="C194" s="12">
        <ns0:f>A194*('前提と出典'!$C$37+'前提と出典'!$C$38)</ns0:f>
        <ns0:v>114</ns0:v>
      </ns0:c>
      <ns0:c r="D194" s="16">
        <ns0:f>A194*('前提と出典'!$C$36*'契約別単価'!C5+'前提と出典'!$C$37*'契約別単価'!C6+'前提と出典'!$C$38*'契約別単価'!C7)</ns0:f>
        <ns0:v>1367.1508379888269</ns0:v>
      </ns0:c>
      <ns0:c r="E194" s="16">
        <ns0:f>A194*('前提と出典'!$C$36*'契約別単価'!E5+'前提と出典'!$C$37*'契約別単価'!E6+'前提と出典'!$C$38*'契約別単価'!E7)</ns0:f>
        <ns0:v>477635.8554157735</ns0:v>
      </ns0:c>
      <ns0:c r="F194" s="16">
        <ns0:f>A194*('前提と出典'!$C$36*'契約別単価'!F5+'前提と出典'!$C$37*'契約別単価'!F6+'前提と出典'!$C$38*'契約別単価'!F7)</ns0:f>
        <ns0:v>138788.77050713706</ns0:v>
      </ns0:c>
      <ns0:c r="G194" s="16">
        <ns0:f>A194*('前提と出典'!$C$36*'契約別単価'!G5+'前提と出典'!$C$37*'契約別単価'!G6+'前提と出典'!$C$38*'契約別単価'!G7)</ns0:f>
        <ns0:v>378195.53072625695</ns0:v>
      </ns0:c>
      <ns0:c r="H194" s="16">
        <ns0:f>A194*('前提と出典'!$C$36*'契約別単価'!H5+'前提と出典'!$C$37*'契約別単価'!H6+'前提と出典'!$C$38*'契約別単価'!H7)</ns0:f>
        <ns0:v>131252.81715841775</ns0:v>
      </ns0:c>
      <ns0:c r="I194" s="16">
        <ns0:f>A194*('前提と出典'!$C$36*'契約別単価'!I5+'前提と出典'!$C$37*'契約別単価'!I6+'前提と出典'!$C$38*'契約別単価'!I7)</ns0:f>
        <ns0:v>8017.1508379888255</ns0:v>
      </ns0:c>
      <ns0:c r="J194" s="16">
        <ns0:f>A194*('前提と出典'!$C$36*'契約別単価'!J5+'前提と出典'!$C$37*'契約別単価'!J6+'前提と出典'!$C$38*'契約別単価'!J7)</ns0:f>
        <ns0:v>18675.013304957487</ns0:v>
      </ns0:c>
      <ns0:c r="K194" s="16">
        <ns0:f>A194*('前提と出典'!$C$36*'契約別単価'!K5+'前提と出典'!$C$37*'契約別単価'!K6+'前提と出典'!$C$38*'契約別単価'!K7)</ns0:f>
        <ns0:v>80047.67225325885</ns0:v>
      </ns0:c>
      <ns0:c r="L194" s="16">
        <ns0:f>A194*('前提と出典'!$C$36*'契約別単価'!L5+'前提と出典'!$C$37*'契約別単価'!L6+'前提と出典'!$C$38*'契約別単価'!L7)</ns0:f>
        <ns0:v>65175.09390528059</ns0:v>
      </ns0:c>
      <ns0:c r="M194" s="16">
        <ns0:f>IF(('前提と出典'!$C$36+'前提と出典'!$C$38)=0,0,IF(B194&lt;=10,'前提と出典'!B73+'前提と出典'!C73,IF(B194&lt;=100,'前提と出典'!B74+'前提と出典'!C74,IF(B194&lt;=500,'前提と出典'!B75+'前提と出典'!C75,'前提と出典'!B76+'前提と出典'!C76))))</ns0:f>
        <ns0:v>40000</ns0:v>
      </ns0:c>
      <ns0:c r="N194" s="16">
        <ns0:f>IF(('前提と出典'!$C$37+'前提と出典'!$C$38)=0,0,IF(C194&lt;=10,'前提と出典'!D73+'前提と出典'!E73,IF(C194&lt;=100,'前提と出典'!D74+'前提と出典'!E74,IF(C194&lt;=500,'前提と出典'!D75+'前提と出典'!E75,'前提と出典'!D76+'前提と出典'!E76))))</ns0:f>
        <ns0:v>56510.9346263078</ns0:v>
      </ns0:c>
      <ns0:c r="O194" s="16">
        <ns0:f>IF('前提と出典'!$C$36+'前提と出典'!$C$38=0,0,'前提と出典'!$B$4*IF('前提と出典'!$B$20=0,MAX('前提と出典'!$B$6,D194*'前提と出典'!$B$5),'前提と出典'!$B$6+D194*'前提と出典'!$B$5))</ns0:f>
        <ns0:v>188666.81564245812</ns0:v>
      </ns0:c>
      <ns0:c r="P194" s="16">
        <ns0:f>(E194+G194)*(1-'前提と出典'!$B$7)-I194-K194-M194-O194</ns0:f>
        <ns0:v>508289.81750721164</ns0:v>
      </ns0:c>
      <ns0:c r="Q194" s="16">
        <ns0:f>(F194+H194)*(1-'前提と出典'!$B$7)-J194-L194-N194</ns0:f>
        <ns0:v>119959.04867304898</ns0:v>
      </ns0:c>
      <ns0:c r="R194" s="16">
        <ns0:f>P194-E194*'前提と出典'!$E$4</ns0:f>
        <ns0:v>364999.06088247953</ns0:v>
      </ns0:c>
      <ns0:c r="S194" s="16">
        <ns0:f>Q194-F194*'前提と出典'!$E$4</ns0:f>
        <ns0:v>78322.41752090788</ns0:v>
      </ns0:c>
      <ns0:c r="T194" s="7">
        <ns0:f>R194+S194</ns0:f>
        <ns0:v>443321.4784033874</ns0:v>
      </ns0:c>
      <ns0:c r="U194" s="16">
        <ns0:f>P194-E194*'前提と出典'!$E$5</ns0:f>
        <ns0:v>317235.4753409022</ns0:v>
      </ns0:c>
      <ns0:c r="V194" s="16">
        <ns0:f>Q194-F194*'前提と出典'!$E$5</ns0:f>
        <ns0:v>64443.54047019415</ns0:v>
      </ns0:c>
      <ns0:c r="W194" s="7">
        <ns0:f>U194+V194</ns0:f>
        <ns0:v>381679.01581109635</ns0:v>
      </ns0:c>
      <ns0:c r="X194" s="16">
        <ns0:f>P194-E194*'前提と出典'!$E$6</ns0:f>
        <ns0:v>269471.8897993247</ns0:v>
      </ns0:c>
      <ns0:c r="Y194" s="16">
        <ns0:f>Q194-F194*'前提と出典'!$E$6</ns0:f>
        <ns0:v>50564.66341948046</ns0:v>
      </ns0:c>
      <ns0:c r="Z194" s="7">
        <ns0:f>X194+Y194</ns0:f>
        <ns0:v>320036.5532188051</ns0:v>
      </ns0:c>
      <ns0:c r="AA194" s="7">
        <ns0:f>IF(T194&gt;=0,A194,1001)</ns0:f>
        <ns0:v>190</ns0:v>
      </ns0:c>
      <ns0:c r="AB194" s="7">
        <ns0:f>IF(T194&lt;0,A194,0)</ns0:f>
        <ns0:v>0</ns0:v>
      </ns0:c>
      <ns0:c r="AC194" s="16">
        <ns0:f>IF(AND(OR('前提と出典'!$C$36+'前提と出典'!$C$38=0,R194&gt;=0),OR('前提と出典'!$C$37+'前提と出典'!$C$38=0,S194&gt;=0)),0,A194)</ns0:f>
        <ns0:v>0</ns0:v>
      </ns0:c>
      <ns0:c r="AD194" s="7">
        <ns0:f>IF(W194&gt;=0,A194,1001)</ns0:f>
        <ns0:v>190</ns0:v>
      </ns0:c>
      <ns0:c r="AE194" s="7">
        <ns0:f>IF(W194&lt;0,A194,0)</ns0:f>
        <ns0:v>0</ns0:v>
      </ns0:c>
      <ns0:c r="AF194" s="16">
        <ns0:f>IF(AND(OR('前提と出典'!$C$36+'前提と出典'!$C$38=0,U194&gt;=0),OR('前提と出典'!$C$37+'前提と出典'!$C$38=0,V194&gt;=0)),0,A194)</ns0:f>
        <ns0:v>0</ns0:v>
      </ns0:c>
      <ns0:c r="AG194" s="7">
        <ns0:f>IF(Z194&gt;=0,A194,1001)</ns0:f>
        <ns0:v>190</ns0:v>
      </ns0:c>
      <ns0:c r="AH194" s="4">
        <ns0:f>IF(Z194&lt;0,A194,0)</ns0:f>
        <ns0:v>0</ns0:v>
      </ns0:c>
      <ns0:c r="AI194" s="12">
        <ns0:f>IF(AND(OR('前提と出典'!$C$36+'前提と出典'!$C$38=0,X194&gt;=0),OR('前提と出典'!$C$37+'前提と出典'!$C$38=0,Y194&gt;=0)),0,A194)</ns0:f>
        <ns0:v>0</ns0:v>
      </ns0:c>
    </ns0:row>
    <ns0:row r="195" ht="24" customHeight="1">
      <ns0:c r="A195" s="4" t="n">
        <ns0:v>191</ns0:v>
      </ns0:c>
      <ns0:c r="B195" s="12">
        <ns0:f>A195*('前提と出典'!$C$36+'前提と出典'!$C$38)</ns0:f>
        <ns0:v>133.7</ns0:v>
      </ns0:c>
      <ns0:c r="C195" s="12">
        <ns0:f>A195*('前提と出典'!$C$37+'前提と出典'!$C$38)</ns0:f>
        <ns0:v>114.6</ns0:v>
      </ns0:c>
      <ns0:c r="D195" s="16">
        <ns0:f>A195*('前提と出典'!$C$36*'契約別単価'!C5+'前提と出典'!$C$37*'契約別単価'!C6+'前提と出典'!$C$38*'契約別単価'!C7)</ns0:f>
        <ns0:v>1374.3463687150838</ns0:v>
      </ns0:c>
      <ns0:c r="E195" s="16">
        <ns0:f>A195*('前提と出典'!$C$36*'契約別単価'!E5+'前提と出典'!$C$37*'契約別単価'!E6+'前提と出典'!$C$38*'契約別単価'!E7)</ns0:f>
        <ns0:v>480149.7283390144</ns0:v>
      </ns0:c>
      <ns0:c r="F195" s="16">
        <ns0:f>A195*('前提と出典'!$C$36*'契約別単価'!F5+'前提と出典'!$C$37*'契約別単価'!F6+'前提と出典'!$C$38*'契約別単価'!F7)</ns0:f>
        <ns0:v>139519.23772033252</ns0:v>
      </ns0:c>
      <ns0:c r="G195" s="16">
        <ns0:f>A195*('前提と出典'!$C$36*'契約別単価'!G5+'前提と出典'!$C$37*'契約別単価'!G6+'前提と出典'!$C$38*'契約別単価'!G7)</ns0:f>
        <ns0:v>380186.0335195531</ns0:v>
      </ns0:c>
      <ns0:c r="H195" s="16">
        <ns0:f>A195*('前提と出典'!$C$36*'契約別単価'!H5+'前提と出典'!$C$37*'契約別単価'!H6+'前提と出典'!$C$38*'契約別単価'!H7)</ns0:f>
        <ns0:v>131943.62145925153</ns0:v>
      </ns0:c>
      <ns0:c r="I195" s="16">
        <ns0:f>A195*('前提と出典'!$C$36*'契約別単価'!I5+'前提と出典'!$C$37*'契約別単価'!I6+'前提と出典'!$C$38*'契約別単価'!I7)</ns0:f>
        <ns0:v>8059.3463687150825</ns0:v>
      </ns0:c>
      <ns0:c r="J195" s="16">
        <ns0:f>A195*('前提と出典'!$C$36*'契約別単価'!J5+'前提と出典'!$C$37*'契約別単価'!J6+'前提と出典'!$C$38*'契約別単価'!J7)</ns0:f>
        <ns0:v>18773.30284866779</ns0:v>
      </ns0:c>
      <ns0:c r="K195" s="16">
        <ns0:f>A195*('前提と出典'!$C$36*'契約別単価'!K5+'前提と出典'!$C$37*'契約別単価'!K6+'前提と出典'!$C$38*'契約別単価'!K7)</ns0:f>
        <ns0:v>80468.97579143388</ns0:v>
      </ns0:c>
      <ns0:c r="L195" s="16">
        <ns0:f>A195*('前提と出典'!$C$36*'契約別単価'!L5+'前提と出典'!$C$37*'契約別単価'!L6+'前提と出典'!$C$38*'契約別単価'!L7)</ns0:f>
        <ns0:v>65518.12071530838</ns0:v>
      </ns0:c>
      <ns0:c r="M195" s="16">
        <ns0:f>IF(('前提と出典'!$C$36+'前提と出典'!$C$38)=0,0,IF(B195&lt;=10,'前提と出典'!B73+'前提と出典'!C73,IF(B195&lt;=100,'前提と出典'!B74+'前提と出典'!C74,IF(B195&lt;=500,'前提と出典'!B75+'前提と出典'!C75,'前提と出典'!B76+'前提と出典'!C76))))</ns0:f>
        <ns0:v>40000</ns0:v>
      </ns0:c>
      <ns0:c r="N195" s="16">
        <ns0:f>IF(('前提と出典'!$C$37+'前提と出典'!$C$38)=0,0,IF(C195&lt;=10,'前提と出典'!D73+'前提と出典'!E73,IF(C195&lt;=100,'前提と出典'!D74+'前提と出典'!E74,IF(C195&lt;=500,'前提と出典'!D75+'前提と出典'!E75,'前提と出典'!D76+'前提と出典'!E76))))</ns0:f>
        <ns0:v>56510.9346263078</ns0:v>
      </ns0:c>
      <ns0:c r="O195" s="16">
        <ns0:f>IF('前提と出典'!$C$36+'前提と出典'!$C$38=0,0,'前提と出典'!$B$4*IF('前提と出典'!$B$20=0,MAX('前提と出典'!$B$6,D195*'前提と出典'!$B$5),'前提と出典'!$B$6+D195*'前提と出典'!$B$5))</ns0:f>
        <ns0:v>189659.79888268159</ns0:v>
      </ns0:c>
      <ns0:c r="P195" s="16">
        <ns0:f>(E195+G195)*(1-'前提と出典'!$B$7)-I195-K195-M195-O195</ns0:f>
        <ns0:v>511175.5533888286</ns0:v>
      </ns0:c>
      <ns0:c r="Q195" s="16">
        <ns0:f>(F195+H195)*(1-'前提と出典'!$B$7)-J195-L195-N195</ns0:f>
        <ns0:v>120887.83805883507</ns0:v>
      </ns0:c>
      <ns0:c r="R195" s="16">
        <ns0:f>P195-E195*'前提と出典'!$E$4</ns0:f>
        <ns0:v>367130.63488712424</ns0:v>
      </ns0:c>
      <ns0:c r="S195" s="16">
        <ns0:f>Q195-F195*'前提と出典'!$E$4</ns0:f>
        <ns0:v>79032.06674273536</ns0:v>
      </ns0:c>
      <ns0:c r="T195" s="7">
        <ns0:f>R195+S195</ns0:f>
        <ns0:v>446162.7016298596</ns0:v>
      </ns0:c>
      <ns0:c r="U195" s="16">
        <ns0:f>P195-E195*'前提と出典'!$E$5</ns0:f>
        <ns0:v>319115.6620532228</ns0:v>
      </ns0:c>
      <ns0:c r="V195" s="16">
        <ns0:f>Q195-F195*'前提と出典'!$E$5</ns0:f>
        <ns0:v>65080.142970702065</ns0:v>
      </ns0:c>
      <ns0:c r="W195" s="7">
        <ns0:f>U195+V195</ns0:f>
        <ns0:v>384195.8050239249</ns0:v>
      </ns0:c>
      <ns0:c r="X195" s="16">
        <ns0:f>P195-E195*'前提と出典'!$E$6</ns0:f>
        <ns0:v>271100.68921932136</ns0:v>
      </ns0:c>
      <ns0:c r="Y195" s="16">
        <ns0:f>Q195-F195*'前提と出典'!$E$6</ns0:f>
        <ns0:v>51128.21919866882</ns0:v>
      </ns0:c>
      <ns0:c r="Z195" s="7">
        <ns0:f>X195+Y195</ns0:f>
        <ns0:v>322228.9084179902</ns0:v>
      </ns0:c>
      <ns0:c r="AA195" s="7">
        <ns0:f>IF(T195&gt;=0,A195,1001)</ns0:f>
        <ns0:v>191</ns0:v>
      </ns0:c>
      <ns0:c r="AB195" s="7">
        <ns0:f>IF(T195&lt;0,A195,0)</ns0:f>
        <ns0:v>0</ns0:v>
      </ns0:c>
      <ns0:c r="AC195" s="16">
        <ns0:f>IF(AND(OR('前提と出典'!$C$36+'前提と出典'!$C$38=0,R195&gt;=0),OR('前提と出典'!$C$37+'前提と出典'!$C$38=0,S195&gt;=0)),0,A195)</ns0:f>
        <ns0:v>0</ns0:v>
      </ns0:c>
      <ns0:c r="AD195" s="7">
        <ns0:f>IF(W195&gt;=0,A195,1001)</ns0:f>
        <ns0:v>191</ns0:v>
      </ns0:c>
      <ns0:c r="AE195" s="7">
        <ns0:f>IF(W195&lt;0,A195,0)</ns0:f>
        <ns0:v>0</ns0:v>
      </ns0:c>
      <ns0:c r="AF195" s="16">
        <ns0:f>IF(AND(OR('前提と出典'!$C$36+'前提と出典'!$C$38=0,U195&gt;=0),OR('前提と出典'!$C$37+'前提と出典'!$C$38=0,V195&gt;=0)),0,A195)</ns0:f>
        <ns0:v>0</ns0:v>
      </ns0:c>
      <ns0:c r="AG195" s="7">
        <ns0:f>IF(Z195&gt;=0,A195,1001)</ns0:f>
        <ns0:v>191</ns0:v>
      </ns0:c>
      <ns0:c r="AH195" s="4">
        <ns0:f>IF(Z195&lt;0,A195,0)</ns0:f>
        <ns0:v>0</ns0:v>
      </ns0:c>
      <ns0:c r="AI195" s="12">
        <ns0:f>IF(AND(OR('前提と出典'!$C$36+'前提と出典'!$C$38=0,X195&gt;=0),OR('前提と出典'!$C$37+'前提と出典'!$C$38=0,Y195&gt;=0)),0,A195)</ns0:f>
        <ns0:v>0</ns0:v>
      </ns0:c>
    </ns0:row>
    <ns0:row r="196" ht="24" customHeight="1">
      <ns0:c r="A196" s="4" t="n">
        <ns0:v>192</ns0:v>
      </ns0:c>
      <ns0:c r="B196" s="12">
        <ns0:f>A196*('前提と出典'!$C$36+'前提と出典'!$C$38)</ns0:f>
        <ns0:v>134.39999999999998</ns0:v>
      </ns0:c>
      <ns0:c r="C196" s="12">
        <ns0:f>A196*('前提と出典'!$C$37+'前提と出典'!$C$38)</ns0:f>
        <ns0:v>115.19999999999999</ns0:v>
      </ns0:c>
      <ns0:c r="D196" s="16">
        <ns0:f>A196*('前提と出典'!$C$36*'契約別単価'!C5+'前提と出典'!$C$37*'契約別単価'!C6+'前提と出典'!$C$38*'契約別単価'!C7)</ns0:f>
        <ns0:v>1381.5418994413408</ns0:v>
      </ns0:c>
      <ns0:c r="E196" s="16">
        <ns0:f>A196*('前提と出典'!$C$36*'契約別単価'!E5+'前提と出典'!$C$37*'契約別単価'!E6+'前提と出典'!$C$38*'契約別単価'!E7)</ns0:f>
        <ns0:v>482663.60126225534</ns0:v>
      </ns0:c>
      <ns0:c r="F196" s="16">
        <ns0:f>A196*('前提と出典'!$C$36*'契約別単価'!F5+'前提と出典'!$C$37*'契約別単価'!F6+'前提と出典'!$C$38*'契約別単価'!F7)</ns0:f>
        <ns0:v>140249.70493352797</ns0:v>
      </ns0:c>
      <ns0:c r="G196" s="16">
        <ns0:f>A196*('前提と出典'!$C$36*'契約別単価'!G5+'前提と出典'!$C$37*'契約別単価'!G6+'前提と出典'!$C$38*'契約別単価'!G7)</ns0:f>
        <ns0:v>382176.53631284914</ns0:v>
      </ns0:c>
      <ns0:c r="H196" s="16">
        <ns0:f>A196*('前提と出典'!$C$36*'契約別単価'!H5+'前提と出典'!$C$37*'契約別単価'!H6+'前提と出典'!$C$38*'契約別単価'!H7)</ns0:f>
        <ns0:v>132634.42576008532</ns0:v>
      </ns0:c>
      <ns0:c r="I196" s="16">
        <ns0:f>A196*('前提と出典'!$C$36*'契約別単価'!I5+'前提と出典'!$C$37*'契約別単価'!I6+'前提と出典'!$C$38*'契約別単価'!I7)</ns0:f>
        <ns0:v>8101.541899441339</ns0:v>
      </ns0:c>
      <ns0:c r="J196" s="16">
        <ns0:f>A196*('前提と出典'!$C$36*'契約別単価'!J5+'前提と出典'!$C$37*'契約別単価'!J6+'前提と出典'!$C$38*'契約別単価'!J7)</ns0:f>
        <ns0:v>18871.592392378094</ns0:v>
      </ns0:c>
      <ns0:c r="K196" s="16">
        <ns0:f>A196*('前提と出典'!$C$36*'契約別単価'!K5+'前提と出典'!$C$37*'契約別単価'!K6+'前提と出典'!$C$38*'契約別単価'!K7)</ns0:f>
        <ns0:v>80890.27932960894</ns0:v>
      </ns0:c>
      <ns0:c r="L196" s="16">
        <ns0:f>A196*('前提と出典'!$C$36*'契約別単価'!L5+'前提と出典'!$C$37*'契約別単価'!L6+'前提と出典'!$C$38*'契約別単価'!L7)</ns0:f>
        <ns0:v>65861.14752533617</ns0:v>
      </ns0:c>
      <ns0:c r="M196" s="16">
        <ns0:f>IF(('前提と出典'!$C$36+'前提と出典'!$C$38)=0,0,IF(B196&lt;=10,'前提と出典'!B73+'前提と出典'!C73,IF(B196&lt;=100,'前提と出典'!B74+'前提と出典'!C74,IF(B196&lt;=500,'前提と出典'!B75+'前提と出典'!C75,'前提と出典'!B76+'前提と出典'!C76))))</ns0:f>
        <ns0:v>40000</ns0:v>
      </ns0:c>
      <ns0:c r="N196" s="16">
        <ns0:f>IF(('前提と出典'!$C$37+'前提と出典'!$C$38)=0,0,IF(C196&lt;=10,'前提と出典'!D73+'前提と出典'!E73,IF(C196&lt;=100,'前提と出典'!D74+'前提と出典'!E74,IF(C196&lt;=500,'前提と出典'!D75+'前提と出典'!E75,'前提と出典'!D76+'前提と出典'!E76))))</ns0:f>
        <ns0:v>56510.9346263078</ns0:v>
      </ns0:c>
      <ns0:c r="O196" s="16">
        <ns0:f>IF('前提と出典'!$C$36+'前提と出典'!$C$38=0,0,'前提と出典'!$B$4*IF('前提と出典'!$B$20=0,MAX('前提と出典'!$B$6,D196*'前提と出典'!$B$5),'前提と出典'!$B$6+D196*'前提と出典'!$B$5))</ns0:f>
        <ns0:v>190652.78212290505</ns0:v>
      </ns0:c>
      <ns0:c r="P196" s="16">
        <ns0:f>(E196+G196)*(1-'前提と出典'!$B$7)-I196-K196-M196-O196</ns0:f>
        <ns0:v>514061.2892704455</ns0:v>
      </ns0:c>
      <ns0:c r="Q196" s="16">
        <ns0:f>(F196+H196)*(1-'前提と出典'!$B$7)-J196-L196-N196</ns0:f>
        <ns0:v>121816.6274446212</ns0:v>
      </ns0:c>
      <ns0:c r="R196" s="16">
        <ns0:f>P196-E196*'前提と出典'!$E$4</ns0:f>
        <ns0:v>369262.2088917688</ns0:v>
      </ns0:c>
      <ns0:c r="S196" s="16">
        <ns0:f>Q196-F196*'前提と出典'!$E$4</ns0:f>
        <ns0:v>79741.71596456278</ns0:v>
      </ns0:c>
      <ns0:c r="T196" s="7">
        <ns0:f>R196+S196</ns0:f>
        <ns0:v>449003.9248563316</ns0:v>
      </ns0:c>
      <ns0:c r="U196" s="16">
        <ns0:f>P196-E196*'前提と出典'!$E$5</ns0:f>
        <ns0:v>320995.8487655433</ns0:v>
      </ns0:c>
      <ns0:c r="V196" s="16">
        <ns0:f>Q196-F196*'前提と出典'!$E$5</ns0:f>
        <ns0:v>65716.74547121002</ns0:v>
      </ns0:c>
      <ns0:c r="W196" s="7">
        <ns0:f>U196+V196</ns0:f>
        <ns0:v>386712.5942367533</ns0:v>
      </ns0:c>
      <ns0:c r="X196" s="16">
        <ns0:f>P196-E196*'前提と出典'!$E$6</ns0:f>
        <ns0:v>272729.4886393177</ns0:v>
      </ns0:c>
      <ns0:c r="Y196" s="16">
        <ns0:f>Q196-F196*'前提と出典'!$E$6</ns0:f>
        <ns0:v>51691.77497785721</ns0:v>
      </ns0:c>
      <ns0:c r="Z196" s="7">
        <ns0:f>X196+Y196</ns0:f>
        <ns0:v>324421.2636171749</ns0:v>
      </ns0:c>
      <ns0:c r="AA196" s="7">
        <ns0:f>IF(T196&gt;=0,A196,1001)</ns0:f>
        <ns0:v>192</ns0:v>
      </ns0:c>
      <ns0:c r="AB196" s="7">
        <ns0:f>IF(T196&lt;0,A196,0)</ns0:f>
        <ns0:v>0</ns0:v>
      </ns0:c>
      <ns0:c r="AC196" s="16">
        <ns0:f>IF(AND(OR('前提と出典'!$C$36+'前提と出典'!$C$38=0,R196&gt;=0),OR('前提と出典'!$C$37+'前提と出典'!$C$38=0,S196&gt;=0)),0,A196)</ns0:f>
        <ns0:v>0</ns0:v>
      </ns0:c>
      <ns0:c r="AD196" s="7">
        <ns0:f>IF(W196&gt;=0,A196,1001)</ns0:f>
        <ns0:v>192</ns0:v>
      </ns0:c>
      <ns0:c r="AE196" s="7">
        <ns0:f>IF(W196&lt;0,A196,0)</ns0:f>
        <ns0:v>0</ns0:v>
      </ns0:c>
      <ns0:c r="AF196" s="16">
        <ns0:f>IF(AND(OR('前提と出典'!$C$36+'前提と出典'!$C$38=0,U196&gt;=0),OR('前提と出典'!$C$37+'前提と出典'!$C$38=0,V196&gt;=0)),0,A196)</ns0:f>
        <ns0:v>0</ns0:v>
      </ns0:c>
      <ns0:c r="AG196" s="7">
        <ns0:f>IF(Z196&gt;=0,A196,1001)</ns0:f>
        <ns0:v>192</ns0:v>
      </ns0:c>
      <ns0:c r="AH196" s="4">
        <ns0:f>IF(Z196&lt;0,A196,0)</ns0:f>
        <ns0:v>0</ns0:v>
      </ns0:c>
      <ns0:c r="AI196" s="12">
        <ns0:f>IF(AND(OR('前提と出典'!$C$36+'前提と出典'!$C$38=0,X196&gt;=0),OR('前提と出典'!$C$37+'前提と出典'!$C$38=0,Y196&gt;=0)),0,A196)</ns0:f>
        <ns0:v>0</ns0:v>
      </ns0:c>
    </ns0:row>
    <ns0:row r="197" ht="24" customHeight="1">
      <ns0:c r="A197" s="4" t="n">
        <ns0:v>193</ns0:v>
      </ns0:c>
      <ns0:c r="B197" s="12">
        <ns0:f>A197*('前提と出典'!$C$36+'前提と出典'!$C$38)</ns0:f>
        <ns0:v>135.1</ns0:v>
      </ns0:c>
      <ns0:c r="C197" s="12">
        <ns0:f>A197*('前提と出典'!$C$37+'前提と出典'!$C$38)</ns0:f>
        <ns0:v>115.8</ns0:v>
      </ns0:c>
      <ns0:c r="D197" s="16">
        <ns0:f>A197*('前提と出典'!$C$36*'契約別単価'!C5+'前提と出典'!$C$37*'契約別単価'!C6+'前提と出典'!$C$38*'契約別単価'!C7)</ns0:f>
        <ns0:v>1388.7374301675977</ns0:v>
      </ns0:c>
      <ns0:c r="E197" s="16">
        <ns0:f>A197*('前提と出典'!$C$36*'契約別単価'!E5+'前提と出典'!$C$37*'契約別単価'!E6+'前提と出典'!$C$38*'契約別単価'!E7)</ns0:f>
        <ns0:v>485177.4741854963</ns0:v>
      </ns0:c>
      <ns0:c r="F197" s="16">
        <ns0:f>A197*('前提と出典'!$C$36*'契約別単価'!F5+'前提と出典'!$C$37*'契約別単価'!F6+'前提と出典'!$C$38*'契約別単価'!F7)</ns0:f>
        <ns0:v>140980.17214672343</ns0:v>
      </ns0:c>
      <ns0:c r="G197" s="16">
        <ns0:f>A197*('前提と出典'!$C$36*'契約別単価'!G5+'前提と出典'!$C$37*'契約別単価'!G6+'前提と出典'!$C$38*'契約別単価'!G7)</ns0:f>
        <ns0:v>384167.0391061452</ns0:v>
      </ns0:c>
      <ns0:c r="H197" s="16">
        <ns0:f>A197*('前提と出典'!$C$36*'契約別単価'!H5+'前提と出典'!$C$37*'契約別単価'!H6+'前提と出典'!$C$38*'契約別単価'!H7)</ns0:f>
        <ns0:v>133325.2300609191</ns0:v>
      </ns0:c>
      <ns0:c r="I197" s="16">
        <ns0:f>A197*('前提と出典'!$C$36*'契約別単価'!I5+'前提と出典'!$C$37*'契約別単価'!I6+'前提と出典'!$C$38*'契約別単価'!I7)</ns0:f>
        <ns0:v>8143.737430167596</ns0:v>
      </ns0:c>
      <ns0:c r="J197" s="16">
        <ns0:f>A197*('前提と出典'!$C$36*'契約別単価'!J5+'前提と出典'!$C$37*'契約別単価'!J6+'前提と出典'!$C$38*'契約別単価'!J7)</ns0:f>
        <ns0:v>18969.881936088397</ns0:v>
      </ns0:c>
      <ns0:c r="K197" s="16">
        <ns0:f>A197*('前提と出典'!$C$36*'契約別単価'!K5+'前提と出典'!$C$37*'契約別単価'!K6+'前提と出典'!$C$38*'契約別単価'!K7)</ns0:f>
        <ns0:v>81311.58286778397</ns0:v>
      </ns0:c>
      <ns0:c r="L197" s="16">
        <ns0:f>A197*('前提と出典'!$C$36*'契約別単価'!L5+'前提と出典'!$C$37*'契約別単価'!L6+'前提と出典'!$C$38*'契約別単価'!L7)</ns0:f>
        <ns0:v>66204.17433536396</ns0:v>
      </ns0:c>
      <ns0:c r="M197" s="16">
        <ns0:f>IF(('前提と出典'!$C$36+'前提と出典'!$C$38)=0,0,IF(B197&lt;=10,'前提と出典'!B73+'前提と出典'!C73,IF(B197&lt;=100,'前提と出典'!B74+'前提と出典'!C74,IF(B197&lt;=500,'前提と出典'!B75+'前提と出典'!C75,'前提と出典'!B76+'前提と出典'!C76))))</ns0:f>
        <ns0:v>40000</ns0:v>
      </ns0:c>
      <ns0:c r="N197" s="16">
        <ns0:f>IF(('前提と出典'!$C$37+'前提と出典'!$C$38)=0,0,IF(C197&lt;=10,'前提と出典'!D73+'前提と出典'!E73,IF(C197&lt;=100,'前提と出典'!D74+'前提と出典'!E74,IF(C197&lt;=500,'前提と出典'!D75+'前提と出典'!E75,'前提と出典'!D76+'前提と出典'!E76))))</ns0:f>
        <ns0:v>56510.9346263078</ns0:v>
      </ns0:c>
      <ns0:c r="O197" s="16">
        <ns0:f>IF('前提と出典'!$C$36+'前提と出典'!$C$38=0,0,'前提と出典'!$B$4*IF('前提と出典'!$B$20=0,MAX('前提と出典'!$B$6,D197*'前提と出典'!$B$5),'前提と出典'!$B$6+D197*'前提と出典'!$B$5))</ns0:f>
        <ns0:v>191645.76536312848</ns0:v>
      </ns0:c>
      <ns0:c r="P197" s="16">
        <ns0:f>(E197+G197)*(1-'前提と出典'!$B$7)-I197-K197-M197-O197</ns0:f>
        <ns0:v>516947.0251520623</ns0:v>
      </ns0:c>
      <ns0:c r="Q197" s="16">
        <ns0:f>(F197+H197)*(1-'前提と出典'!$B$7)-J197-L197-N197</ns0:f>
        <ns0:v>122745.41683040725</ns0:v>
      </ns0:c>
      <ns0:c r="R197" s="16">
        <ns0:f>P197-E197*'前提と出典'!$E$4</ns0:f>
        <ns0:v>371393.78289641335</ns0:v>
      </ns0:c>
      <ns0:c r="S197" s="16">
        <ns0:f>Q197-F197*'前提と出典'!$E$4</ns0:f>
        <ns0:v>80451.36518639023</ns0:v>
      </ns0:c>
      <ns0:c r="T197" s="7">
        <ns0:f>R197+S197</ns0:f>
        <ns0:v>451845.1480828036</ns0:v>
      </ns0:c>
      <ns0:c r="U197" s="16">
        <ns0:f>P197-E197*'前提と出典'!$E$5</ns0:f>
        <ns0:v>322876.03547786374</ns0:v>
      </ns0:c>
      <ns0:c r="V197" s="16">
        <ns0:f>Q197-F197*'前提と出典'!$E$5</ns0:f>
        <ns0:v>66353.34797171789</ns0:v>
      </ns0:c>
      <ns0:c r="W197" s="7">
        <ns0:f>U197+V197</ns0:f>
        <ns0:v>389229.3834495816</ns0:v>
      </ns0:c>
      <ns0:c r="X197" s="16">
        <ns0:f>P197-E197*'前提と出典'!$E$6</ns0:f>
        <ns0:v>274358.28805931413</ns0:v>
      </ns0:c>
      <ns0:c r="Y197" s="16">
        <ns0:f>Q197-F197*'前提と出典'!$E$6</ns0:f>
        <ns0:v>52255.33075704554</ns0:v>
      </ns0:c>
      <ns0:c r="Z197" s="7">
        <ns0:f>X197+Y197</ns0:f>
        <ns0:v>326613.61881635967</ns0:v>
      </ns0:c>
      <ns0:c r="AA197" s="7">
        <ns0:f>IF(T197&gt;=0,A197,1001)</ns0:f>
        <ns0:v>193</ns0:v>
      </ns0:c>
      <ns0:c r="AB197" s="7">
        <ns0:f>IF(T197&lt;0,A197,0)</ns0:f>
        <ns0:v>0</ns0:v>
      </ns0:c>
      <ns0:c r="AC197" s="16">
        <ns0:f>IF(AND(OR('前提と出典'!$C$36+'前提と出典'!$C$38=0,R197&gt;=0),OR('前提と出典'!$C$37+'前提と出典'!$C$38=0,S197&gt;=0)),0,A197)</ns0:f>
        <ns0:v>0</ns0:v>
      </ns0:c>
      <ns0:c r="AD197" s="7">
        <ns0:f>IF(W197&gt;=0,A197,1001)</ns0:f>
        <ns0:v>193</ns0:v>
      </ns0:c>
      <ns0:c r="AE197" s="7">
        <ns0:f>IF(W197&lt;0,A197,0)</ns0:f>
        <ns0:v>0</ns0:v>
      </ns0:c>
      <ns0:c r="AF197" s="16">
        <ns0:f>IF(AND(OR('前提と出典'!$C$36+'前提と出典'!$C$38=0,U197&gt;=0),OR('前提と出典'!$C$37+'前提と出典'!$C$38=0,V197&gt;=0)),0,A197)</ns0:f>
        <ns0:v>0</ns0:v>
      </ns0:c>
      <ns0:c r="AG197" s="7">
        <ns0:f>IF(Z197&gt;=0,A197,1001)</ns0:f>
        <ns0:v>193</ns0:v>
      </ns0:c>
      <ns0:c r="AH197" s="4">
        <ns0:f>IF(Z197&lt;0,A197,0)</ns0:f>
        <ns0:v>0</ns0:v>
      </ns0:c>
      <ns0:c r="AI197" s="12">
        <ns0:f>IF(AND(OR('前提と出典'!$C$36+'前提と出典'!$C$38=0,X197&gt;=0),OR('前提と出典'!$C$37+'前提と出典'!$C$38=0,Y197&gt;=0)),0,A197)</ns0:f>
        <ns0:v>0</ns0:v>
      </ns0:c>
    </ns0:row>
    <ns0:row r="198" ht="24" customHeight="1">
      <ns0:c r="A198" s="4" t="n">
        <ns0:v>194</ns0:v>
      </ns0:c>
      <ns0:c r="B198" s="12">
        <ns0:f>A198*('前提と出典'!$C$36+'前提と出典'!$C$38)</ns0:f>
        <ns0:v>135.79999999999998</ns0:v>
      </ns0:c>
      <ns0:c r="C198" s="12">
        <ns0:f>A198*('前提と出典'!$C$37+'前提と出典'!$C$38)</ns0:f>
        <ns0:v>116.39999999999999</ns0:v>
      </ns0:c>
      <ns0:c r="D198" s="16">
        <ns0:f>A198*('前提と出典'!$C$36*'契約別単価'!C5+'前提と出典'!$C$37*'契約別単価'!C6+'前提と出典'!$C$38*'契約別単価'!C7)</ns0:f>
        <ns0:v>1395.9329608938547</ns0:v>
      </ns0:c>
      <ns0:c r="E198" s="16">
        <ns0:f>A198*('前提と出典'!$C$36*'契約別単価'!E5+'前提と出典'!$C$37*'契約別単価'!E6+'前提と出典'!$C$38*'契約別単価'!E7)</ns0:f>
        <ns0:v>487691.34710873716</ns0:v>
      </ns0:c>
      <ns0:c r="F198" s="16">
        <ns0:f>A198*('前提と出典'!$C$36*'契約別単価'!F5+'前提と出典'!$C$37*'契約別単価'!F6+'前提と出典'!$C$38*'契約別単価'!F7)</ns0:f>
        <ns0:v>141710.6393599189</ns0:v>
      </ns0:c>
      <ns0:c r="G198" s="16">
        <ns0:f>A198*('前提と出典'!$C$36*'契約別単価'!G5+'前提と出典'!$C$37*'契約別単価'!G6+'前提と出典'!$C$38*'契約別単価'!G7)</ns0:f>
        <ns0:v>386157.54189944133</ns0:v>
      </ns0:c>
      <ns0:c r="H198" s="16">
        <ns0:f>A198*('前提と出典'!$C$36*'契約別単価'!H5+'前提と出典'!$C$37*'契約別単価'!H6+'前提と出典'!$C$38*'契約別単価'!H7)</ns0:f>
        <ns0:v>134016.03436175289</ns0:v>
      </ns0:c>
      <ns0:c r="I198" s="16">
        <ns0:f>A198*('前提と出典'!$C$36*'契約別単価'!I5+'前提と出典'!$C$37*'契約別単価'!I6+'前提と出典'!$C$38*'契約別単価'!I7)</ns0:f>
        <ns0:v>8185.932960893853</ns0:v>
      </ns0:c>
      <ns0:c r="J198" s="16">
        <ns0:f>A198*('前提と出典'!$C$36*'契約別単価'!J5+'前提と出典'!$C$37*'契約別単価'!J6+'前提と出典'!$C$38*'契約別単価'!J7)</ns0:f>
        <ns0:v>19068.171479798697</ns0:v>
      </ns0:c>
      <ns0:c r="K198" s="16">
        <ns0:f>A198*('前提と出典'!$C$36*'契約別単価'!K5+'前提と出典'!$C$37*'契約別単価'!K6+'前提と出典'!$C$38*'契約別単価'!K7)</ns0:f>
        <ns0:v>81732.88640595903</ns0:v>
      </ns0:c>
      <ns0:c r="L198" s="16">
        <ns0:f>A198*('前提と出典'!$C$36*'契約別単価'!L5+'前提と出典'!$C$37*'契約別単価'!L6+'前提と出典'!$C$38*'契約別単価'!L7)</ns0:f>
        <ns0:v>66547.20114539177</ns0:v>
      </ns0:c>
      <ns0:c r="M198" s="16">
        <ns0:f>IF(('前提と出典'!$C$36+'前提と出典'!$C$38)=0,0,IF(B198&lt;=10,'前提と出典'!B73+'前提と出典'!C73,IF(B198&lt;=100,'前提と出典'!B74+'前提と出典'!C74,IF(B198&lt;=500,'前提と出典'!B75+'前提と出典'!C75,'前提と出典'!B76+'前提と出典'!C76))))</ns0:f>
        <ns0:v>40000</ns0:v>
      </ns0:c>
      <ns0:c r="N198" s="16">
        <ns0:f>IF(('前提と出典'!$C$37+'前提と出典'!$C$38)=0,0,IF(C198&lt;=10,'前提と出典'!D73+'前提と出典'!E73,IF(C198&lt;=100,'前提と出典'!D74+'前提と出典'!E74,IF(C198&lt;=500,'前提と出典'!D75+'前提と出典'!E75,'前提と出典'!D76+'前提と出典'!E76))))</ns0:f>
        <ns0:v>56510.9346263078</ns0:v>
      </ns0:c>
      <ns0:c r="O198" s="16">
        <ns0:f>IF('前提と出典'!$C$36+'前提と出典'!$C$38=0,0,'前提と出典'!$B$4*IF('前提と出典'!$B$20=0,MAX('前提と出典'!$B$6,D198*'前提と出典'!$B$5),'前提と出典'!$B$6+D198*'前提と出典'!$B$5))</ns0:f>
        <ns0:v>192638.74860335197</ns0:v>
      </ns0:c>
      <ns0:c r="P198" s="16">
        <ns0:f>(E198+G198)*(1-'前提と出典'!$B$7)-I198-K198-M198-O198</ns0:f>
        <ns0:v>519832.76103367924</ns0:v>
      </ns0:c>
      <ns0:c r="Q198" s="16">
        <ns0:f>(F198+H198)*(1-'前提と出典'!$B$7)-J198-L198-N198</ns0:f>
        <ns0:v>123674.20621619334</ns0:v>
      </ns0:c>
      <ns0:c r="R198" s="16">
        <ns0:f>P198-E198*'前提と出典'!$E$4</ns0:f>
        <ns0:v>373525.3569010581</ns0:v>
      </ns0:c>
      <ns0:c r="S198" s="16">
        <ns0:f>Q198-F198*'前提と出典'!$E$4</ns0:f>
        <ns0:v>81161.01440821766</ns0:v>
      </ns0:c>
      <ns0:c r="T198" s="7">
        <ns0:f>R198+S198</ns0:f>
        <ns0:v>454686.37130927574</ns0:v>
      </ns0:c>
      <ns0:c r="U198" s="16">
        <ns0:f>P198-E198*'前提と出典'!$E$5</ns0:f>
        <ns0:v>324756.2221901844</ns0:v>
      </ns0:c>
      <ns0:c r="V198" s="16">
        <ns0:f>Q198-F198*'前提と出典'!$E$5</ns0:f>
        <ns0:v>66989.95047222578</ns0:v>
      </ns0:c>
      <ns0:c r="W198" s="7">
        <ns0:f>U198+V198</ns0:f>
        <ns0:v>391746.1726624102</ns0:v>
      </ns0:c>
      <ns0:c r="X198" s="16">
        <ns0:f>P198-E198*'前提と出典'!$E$6</ns0:f>
        <ns0:v>275987.0874793107</ns0:v>
      </ns0:c>
      <ns0:c r="Y198" s="16">
        <ns0:f>Q198-F198*'前提と出典'!$E$6</ns0:f>
        <ns0:v>52818.88653623389</ns0:v>
      </ns0:c>
      <ns0:c r="Z198" s="7">
        <ns0:f>X198+Y198</ns0:f>
        <ns0:v>328805.9740155446</ns0:v>
      </ns0:c>
      <ns0:c r="AA198" s="7">
        <ns0:f>IF(T198&gt;=0,A198,1001)</ns0:f>
        <ns0:v>194</ns0:v>
      </ns0:c>
      <ns0:c r="AB198" s="7">
        <ns0:f>IF(T198&lt;0,A198,0)</ns0:f>
        <ns0:v>0</ns0:v>
      </ns0:c>
      <ns0:c r="AC198" s="16">
        <ns0:f>IF(AND(OR('前提と出典'!$C$36+'前提と出典'!$C$38=0,R198&gt;=0),OR('前提と出典'!$C$37+'前提と出典'!$C$38=0,S198&gt;=0)),0,A198)</ns0:f>
        <ns0:v>0</ns0:v>
      </ns0:c>
      <ns0:c r="AD198" s="7">
        <ns0:f>IF(W198&gt;=0,A198,1001)</ns0:f>
        <ns0:v>194</ns0:v>
      </ns0:c>
      <ns0:c r="AE198" s="7">
        <ns0:f>IF(W198&lt;0,A198,0)</ns0:f>
        <ns0:v>0</ns0:v>
      </ns0:c>
      <ns0:c r="AF198" s="16">
        <ns0:f>IF(AND(OR('前提と出典'!$C$36+'前提と出典'!$C$38=0,U198&gt;=0),OR('前提と出典'!$C$37+'前提と出典'!$C$38=0,V198&gt;=0)),0,A198)</ns0:f>
        <ns0:v>0</ns0:v>
      </ns0:c>
      <ns0:c r="AG198" s="7">
        <ns0:f>IF(Z198&gt;=0,A198,1001)</ns0:f>
        <ns0:v>194</ns0:v>
      </ns0:c>
      <ns0:c r="AH198" s="4">
        <ns0:f>IF(Z198&lt;0,A198,0)</ns0:f>
        <ns0:v>0</ns0:v>
      </ns0:c>
      <ns0:c r="AI198" s="12">
        <ns0:f>IF(AND(OR('前提と出典'!$C$36+'前提と出典'!$C$38=0,X198&gt;=0),OR('前提と出典'!$C$37+'前提と出典'!$C$38=0,Y198&gt;=0)),0,A198)</ns0:f>
        <ns0:v>0</ns0:v>
      </ns0:c>
    </ns0:row>
    <ns0:row r="199" ht="24" customHeight="1">
      <ns0:c r="A199" s="4" t="n">
        <ns0:v>195</ns0:v>
      </ns0:c>
      <ns0:c r="B199" s="12">
        <ns0:f>A199*('前提と出典'!$C$36+'前提と出典'!$C$38)</ns0:f>
        <ns0:v>136.5</ns0:v>
      </ns0:c>
      <ns0:c r="C199" s="12">
        <ns0:f>A199*('前提と出典'!$C$37+'前提と出典'!$C$38)</ns0:f>
        <ns0:v>117</ns0:v>
      </ns0:c>
      <ns0:c r="D199" s="16">
        <ns0:f>A199*('前提と出典'!$C$36*'契約別単価'!C5+'前提と出典'!$C$37*'契約別単価'!C6+'前提と出典'!$C$38*'契約別単価'!C7)</ns0:f>
        <ns0:v>1403.1284916201116</ns0:v>
      </ns0:c>
      <ns0:c r="E199" s="16">
        <ns0:f>A199*('前提と出典'!$C$36*'契約別単価'!E5+'前提と出典'!$C$37*'契約別単価'!E6+'前提と出典'!$C$38*'契約別単価'!E7)</ns0:f>
        <ns0:v>490205.2200319781</ns0:v>
      </ns0:c>
      <ns0:c r="F199" s="16">
        <ns0:f>A199*('前提と出典'!$C$36*'契約別単価'!F5+'前提と出典'!$C$37*'契約別単価'!F6+'前提と出典'!$C$38*'契約別単価'!F7)</ns0:f>
        <ns0:v>142441.10657311435</ns0:v>
      </ns0:c>
      <ns0:c r="G199" s="16">
        <ns0:f>A199*('前提と出典'!$C$36*'契約別単価'!G5+'前提と出典'!$C$37*'契約別単価'!G6+'前提と出典'!$C$38*'契約別単価'!G7)</ns0:f>
        <ns0:v>388148.0446927374</ns0:v>
      </ns0:c>
      <ns0:c r="H199" s="16">
        <ns0:f>A199*('前提と出典'!$C$36*'契約別単価'!H5+'前提と出典'!$C$37*'契約別単価'!H6+'前提と出典'!$C$38*'契約別単価'!H7)</ns0:f>
        <ns0:v>134706.83866258664</ns0:v>
      </ns0:c>
      <ns0:c r="I199" s="16">
        <ns0:f>A199*('前提と出典'!$C$36*'契約別単価'!I5+'前提と出典'!$C$37*'契約別単価'!I6+'前提と出典'!$C$38*'契約別単価'!I7)</ns0:f>
        <ns0:v>8228.128491620111</ns0:v>
      </ns0:c>
      <ns0:c r="J199" s="16">
        <ns0:f>A199*('前提と出典'!$C$36*'契約別単価'!J5+'前提と出典'!$C$37*'契約別単価'!J6+'前提と出典'!$C$38*'契約別単価'!J7)</ns0:f>
        <ns0:v>19166.461023509</ns0:v>
      </ns0:c>
      <ns0:c r="K199" s="16">
        <ns0:f>A199*('前提と出典'!$C$36*'契約別単価'!K5+'前提と出典'!$C$37*'契約別単価'!K6+'前提と出典'!$C$38*'契約別単価'!K7)</ns0:f>
        <ns0:v>82154.18994413408</ns0:v>
      </ns0:c>
      <ns0:c r="L199" s="16">
        <ns0:f>A199*('前提と出典'!$C$36*'契約別単価'!L5+'前提と出典'!$C$37*'契約別単価'!L6+'前提と出典'!$C$38*'契約別単価'!L7)</ns0:f>
        <ns0:v>66890.22795541956</ns0:v>
      </ns0:c>
      <ns0:c r="M199" s="16">
        <ns0:f>IF(('前提と出典'!$C$36+'前提と出典'!$C$38)=0,0,IF(B199&lt;=10,'前提と出典'!B73+'前提と出典'!C73,IF(B199&lt;=100,'前提と出典'!B74+'前提と出典'!C74,IF(B199&lt;=500,'前提と出典'!B75+'前提と出典'!C75,'前提と出典'!B76+'前提と出典'!C76))))</ns0:f>
        <ns0:v>40000</ns0:v>
      </ns0:c>
      <ns0:c r="N199" s="16">
        <ns0:f>IF(('前提と出典'!$C$37+'前提と出典'!$C$38)=0,0,IF(C199&lt;=10,'前提と出典'!D73+'前提と出典'!E73,IF(C199&lt;=100,'前提と出典'!D74+'前提と出典'!E74,IF(C199&lt;=500,'前提と出典'!D75+'前提と出典'!E75,'前提と出典'!D76+'前提と出典'!E76))))</ns0:f>
        <ns0:v>56510.9346263078</ns0:v>
      </ns0:c>
      <ns0:c r="O199" s="16">
        <ns0:f>IF('前提と出典'!$C$36+'前提と出典'!$C$38=0,0,'前提と出典'!$B$4*IF('前提と出典'!$B$20=0,MAX('前提と出典'!$B$6,D199*'前提と出典'!$B$5),'前提と出典'!$B$6+D199*'前提と出典'!$B$5))</ns0:f>
        <ns0:v>193631.7318435754</ns0:v>
      </ns0:c>
      <ns0:c r="P199" s="16">
        <ns0:f>(E199+G199)*(1-'前提と出典'!$B$7)-I199-K199-M199-O199</ns0:f>
        <ns0:v>522718.4969152962</ns0:v>
      </ns0:c>
      <ns0:c r="Q199" s="16">
        <ns0:f>(F199+H199)*(1-'前提と出典'!$B$7)-J199-L199-N199</ns0:f>
        <ns0:v>124602.9956019794</ns0:v>
      </ns0:c>
      <ns0:c r="R199" s="16">
        <ns0:f>P199-E199*'前提と出典'!$E$4</ns0:f>
        <ns0:v>375656.93090570276</ns0:v>
      </ns0:c>
      <ns0:c r="S199" s="16">
        <ns0:f>Q199-F199*'前提と出典'!$E$4</ns0:f>
        <ns0:v>81870.66363004508</ns0:v>
      </ns0:c>
      <ns0:c r="T199" s="7">
        <ns0:f>R199+S199</ns0:f>
        <ns0:v>457527.59453574783</ns0:v>
      </ns0:c>
      <ns0:c r="U199" s="16">
        <ns0:f>P199-E199*'前提と出典'!$E$5</ns0:f>
        <ns0:v>326636.40890250495</ns0:v>
      </ns0:c>
      <ns0:c r="V199" s="16">
        <ns0:f>Q199-F199*'前提と出典'!$E$5</ns0:f>
        <ns0:v>67626.55297273365</ns0:v>
      </ns0:c>
      <ns0:c r="W199" s="7">
        <ns0:f>U199+V199</ns0:f>
        <ns0:v>394262.9618752386</ns0:v>
      </ns0:c>
      <ns0:c r="X199" s="16">
        <ns0:f>P199-E199*'前提と出典'!$E$6</ns0:f>
        <ns0:v>277615.88689930714</ns0:v>
      </ns0:c>
      <ns0:c r="Y199" s="16">
        <ns0:f>Q199-F199*'前提と出典'!$E$6</ns0:f>
        <ns0:v>53382.442315422224</ns0:v>
      </ns0:c>
      <ns0:c r="Z199" s="7">
        <ns0:f>X199+Y199</ns0:f>
        <ns0:v>330998.32921472937</ns0:v>
      </ns0:c>
      <ns0:c r="AA199" s="7">
        <ns0:f>IF(T199&gt;=0,A199,1001)</ns0:f>
        <ns0:v>195</ns0:v>
      </ns0:c>
      <ns0:c r="AB199" s="7">
        <ns0:f>IF(T199&lt;0,A199,0)</ns0:f>
        <ns0:v>0</ns0:v>
      </ns0:c>
      <ns0:c r="AC199" s="16">
        <ns0:f>IF(AND(OR('前提と出典'!$C$36+'前提と出典'!$C$38=0,R199&gt;=0),OR('前提と出典'!$C$37+'前提と出典'!$C$38=0,S199&gt;=0)),0,A199)</ns0:f>
        <ns0:v>0</ns0:v>
      </ns0:c>
      <ns0:c r="AD199" s="7">
        <ns0:f>IF(W199&gt;=0,A199,1001)</ns0:f>
        <ns0:v>195</ns0:v>
      </ns0:c>
      <ns0:c r="AE199" s="7">
        <ns0:f>IF(W199&lt;0,A199,0)</ns0:f>
        <ns0:v>0</ns0:v>
      </ns0:c>
      <ns0:c r="AF199" s="16">
        <ns0:f>IF(AND(OR('前提と出典'!$C$36+'前提と出典'!$C$38=0,U199&gt;=0),OR('前提と出典'!$C$37+'前提と出典'!$C$38=0,V199&gt;=0)),0,A199)</ns0:f>
        <ns0:v>0</ns0:v>
      </ns0:c>
      <ns0:c r="AG199" s="7">
        <ns0:f>IF(Z199&gt;=0,A199,1001)</ns0:f>
        <ns0:v>195</ns0:v>
      </ns0:c>
      <ns0:c r="AH199" s="4">
        <ns0:f>IF(Z199&lt;0,A199,0)</ns0:f>
        <ns0:v>0</ns0:v>
      </ns0:c>
      <ns0:c r="AI199" s="12">
        <ns0:f>IF(AND(OR('前提と出典'!$C$36+'前提と出典'!$C$38=0,X199&gt;=0),OR('前提と出典'!$C$37+'前提と出典'!$C$38=0,Y199&gt;=0)),0,A199)</ns0:f>
        <ns0:v>0</ns0:v>
      </ns0:c>
    </ns0:row>
    <ns0:row r="200" ht="24" customHeight="1">
      <ns0:c r="A200" s="4" t="n">
        <ns0:v>196</ns0:v>
      </ns0:c>
      <ns0:c r="B200" s="12">
        <ns0:f>A200*('前提と出典'!$C$36+'前提と出典'!$C$38)</ns0:f>
        <ns0:v>137.2</ns0:v>
      </ns0:c>
      <ns0:c r="C200" s="12">
        <ns0:f>A200*('前提と出典'!$C$37+'前提と出典'!$C$38)</ns0:f>
        <ns0:v>117.6</ns0:v>
      </ns0:c>
      <ns0:c r="D200" s="16">
        <ns0:f>A200*('前提と出典'!$C$36*'契約別単価'!C5+'前提と出典'!$C$37*'契約別単価'!C6+'前提と出典'!$C$38*'契約別単価'!C7)</ns0:f>
        <ns0:v>1410.3240223463688</ns0:v>
      </ns0:c>
      <ns0:c r="E200" s="16">
        <ns0:f>A200*('前提と出典'!$C$36*'契約別単価'!E5+'前提と出典'!$C$37*'契約別単価'!E6+'前提と出典'!$C$38*'契約別単価'!E7)</ns0:f>
        <ns0:v>492719.092955219</ns0:v>
      </ns0:c>
      <ns0:c r="F200" s="16">
        <ns0:f>A200*('前提と出典'!$C$36*'契約別単価'!F5+'前提と出典'!$C$37*'契約別単価'!F6+'前提と出典'!$C$38*'契約別単価'!F7)</ns0:f>
        <ns0:v>143171.5737863098</ns0:v>
      </ns0:c>
      <ns0:c r="G200" s="16">
        <ns0:f>A200*('前提と出典'!$C$36*'契約別単価'!G5+'前提と出典'!$C$37*'契約別単価'!G6+'前提と出典'!$C$38*'契約別単価'!G7)</ns0:f>
        <ns0:v>390138.5474860335</ns0:v>
      </ns0:c>
      <ns0:c r="H200" s="16">
        <ns0:f>A200*('前提と出典'!$C$36*'契約別単価'!H5+'前提と出典'!$C$37*'契約別単価'!H6+'前提と出典'!$C$38*'契約別単価'!H7)</ns0:f>
        <ns0:v>135397.64296342043</ns0:v>
      </ns0:c>
      <ns0:c r="I200" s="16">
        <ns0:f>A200*('前提と出典'!$C$36*'契約別単価'!I5+'前提と出典'!$C$37*'契約別単価'!I6+'前提と出典'!$C$38*'契約別単価'!I7)</ns0:f>
        <ns0:v>8270.324022346367</ns0:v>
      </ns0:c>
      <ns0:c r="J200" s="16">
        <ns0:f>A200*('前提と出典'!$C$36*'契約別単価'!J5+'前提と出典'!$C$37*'契約別単価'!J6+'前提と出典'!$C$38*'契約別単価'!J7)</ns0:f>
        <ns0:v>19264.750567219304</ns0:v>
      </ns0:c>
      <ns0:c r="K200" s="16">
        <ns0:f>A200*('前提と出典'!$C$36*'契約別単価'!K5+'前提と出典'!$C$37*'契約別単価'!K6+'前提と出典'!$C$38*'契約別単価'!K7)</ns0:f>
        <ns0:v>82575.49348230912</ns0:v>
      </ns0:c>
      <ns0:c r="L200" s="16">
        <ns0:f>A200*('前提と出典'!$C$36*'契約別単価'!L5+'前提と出典'!$C$37*'契約別単価'!L6+'前提と出典'!$C$38*'契約別単価'!L7)</ns0:f>
        <ns0:v>67233.25476544735</ns0:v>
      </ns0:c>
      <ns0:c r="M200" s="16">
        <ns0:f>IF(('前提と出典'!$C$36+'前提と出典'!$C$38)=0,0,IF(B200&lt;=10,'前提と出典'!B73+'前提と出典'!C73,IF(B200&lt;=100,'前提と出典'!B74+'前提と出典'!C74,IF(B200&lt;=500,'前提と出典'!B75+'前提と出典'!C75,'前提と出典'!B76+'前提と出典'!C76))))</ns0:f>
        <ns0:v>40000</ns0:v>
      </ns0:c>
      <ns0:c r="N200" s="16">
        <ns0:f>IF(('前提と出典'!$C$37+'前提と出典'!$C$38)=0,0,IF(C200&lt;=10,'前提と出典'!D73+'前提と出典'!E73,IF(C200&lt;=100,'前提と出典'!D74+'前提と出典'!E74,IF(C200&lt;=500,'前提と出典'!D75+'前提と出典'!E75,'前提と出典'!D76+'前提と出典'!E76))))</ns0:f>
        <ns0:v>56510.9346263078</ns0:v>
      </ns0:c>
      <ns0:c r="O200" s="16">
        <ns0:f>IF('前提と出典'!$C$36+'前提と出典'!$C$38=0,0,'前提と出典'!$B$4*IF('前提と出典'!$B$20=0,MAX('前提と出典'!$B$6,D200*'前提と出典'!$B$5),'前提と出典'!$B$6+D200*'前提と出典'!$B$5))</ns0:f>
        <ns0:v>194624.71508379892</ns0:v>
      </ns0:c>
      <ns0:c r="P200" s="16">
        <ns0:f>(E200+G200)*(1-'前提と出典'!$B$7)-I200-K200-M200-O200</ns0:f>
        <ns0:v>525604.2327969129</ns0:v>
      </ns0:c>
      <ns0:c r="Q200" s="16">
        <ns0:f>(F200+H200)*(1-'前提と出典'!$B$7)-J200-L200-N200</ns0:f>
        <ns0:v>125531.78498776548</ns0:v>
      </ns0:c>
      <ns0:c r="R200" s="16">
        <ns0:f>P200-E200*'前提と出典'!$E$4</ns0:f>
        <ns0:v>377788.5049103472</ns0:v>
      </ns0:c>
      <ns0:c r="S200" s="16">
        <ns0:f>Q200-F200*'前提と出典'!$E$4</ns0:f>
        <ns0:v>82580.31285187253</ns0:v>
      </ns0:c>
      <ns0:c r="T200" s="7">
        <ns0:f>R200+S200</ns0:f>
        <ns0:v>460368.81776221975</ns0:v>
      </ns0:c>
      <ns0:c r="U200" s="16">
        <ns0:f>P200-E200*'前提と出典'!$E$5</ns0:f>
        <ns0:v>328516.5956148253</ns0:v>
      </ns0:c>
      <ns0:c r="V200" s="16">
        <ns0:f>Q200-F200*'前提と出典'!$E$5</ns0:f>
        <ns0:v>68263.15547324155</ns0:v>
      </ns0:c>
      <ns0:c r="W200" s="7">
        <ns0:f>U200+V200</ns0:f>
        <ns0:v>396779.75108806684</ns0:v>
      </ns0:c>
      <ns0:c r="X200" s="16">
        <ns0:f>P200-E200*'前提と出典'!$E$6</ns0:f>
        <ns0:v>279244.6863193036</ns0:v>
      </ns0:c>
      <ns0:c r="Y200" s="16">
        <ns0:f>Q200-F200*'前提と出典'!$E$6</ns0:f>
        <ns0:v>53945.998094610586</ns0:v>
      </ns0:c>
      <ns0:c r="Z200" s="7">
        <ns0:f>X200+Y200</ns0:f>
        <ns0:v>333190.68441391416</ns0:v>
      </ns0:c>
      <ns0:c r="AA200" s="7">
        <ns0:f>IF(T200&gt;=0,A200,1001)</ns0:f>
        <ns0:v>196</ns0:v>
      </ns0:c>
      <ns0:c r="AB200" s="7">
        <ns0:f>IF(T200&lt;0,A200,0)</ns0:f>
        <ns0:v>0</ns0:v>
      </ns0:c>
      <ns0:c r="AC200" s="16">
        <ns0:f>IF(AND(OR('前提と出典'!$C$36+'前提と出典'!$C$38=0,R200&gt;=0),OR('前提と出典'!$C$37+'前提と出典'!$C$38=0,S200&gt;=0)),0,A200)</ns0:f>
        <ns0:v>0</ns0:v>
      </ns0:c>
      <ns0:c r="AD200" s="7">
        <ns0:f>IF(W200&gt;=0,A200,1001)</ns0:f>
        <ns0:v>196</ns0:v>
      </ns0:c>
      <ns0:c r="AE200" s="7">
        <ns0:f>IF(W200&lt;0,A200,0)</ns0:f>
        <ns0:v>0</ns0:v>
      </ns0:c>
      <ns0:c r="AF200" s="16">
        <ns0:f>IF(AND(OR('前提と出典'!$C$36+'前提と出典'!$C$38=0,U200&gt;=0),OR('前提と出典'!$C$37+'前提と出典'!$C$38=0,V200&gt;=0)),0,A200)</ns0:f>
        <ns0:v>0</ns0:v>
      </ns0:c>
      <ns0:c r="AG200" s="7">
        <ns0:f>IF(Z200&gt;=0,A200,1001)</ns0:f>
        <ns0:v>196</ns0:v>
      </ns0:c>
      <ns0:c r="AH200" s="4">
        <ns0:f>IF(Z200&lt;0,A200,0)</ns0:f>
        <ns0:v>0</ns0:v>
      </ns0:c>
      <ns0:c r="AI200" s="12">
        <ns0:f>IF(AND(OR('前提と出典'!$C$36+'前提と出典'!$C$38=0,X200&gt;=0),OR('前提と出典'!$C$37+'前提と出典'!$C$38=0,Y200&gt;=0)),0,A200)</ns0:f>
        <ns0:v>0</ns0:v>
      </ns0:c>
    </ns0:row>
    <ns0:row r="201" ht="24" customHeight="1">
      <ns0:c r="A201" s="4" t="n">
        <ns0:v>197</ns0:v>
      </ns0:c>
      <ns0:c r="B201" s="12">
        <ns0:f>A201*('前提と出典'!$C$36+'前提と出典'!$C$38)</ns0:f>
        <ns0:v>137.89999999999998</ns0:v>
      </ns0:c>
      <ns0:c r="C201" s="12">
        <ns0:f>A201*('前提と出典'!$C$37+'前提と出典'!$C$38)</ns0:f>
        <ns0:v>118.19999999999999</ns0:v>
      </ns0:c>
      <ns0:c r="D201" s="16">
        <ns0:f>A201*('前提と出典'!$C$36*'契約別単価'!C5+'前提と出典'!$C$37*'契約別単価'!C6+'前提と出典'!$C$38*'契約別単価'!C7)</ns0:f>
        <ns0:v>1417.5195530726257</ns0:v>
      </ns0:c>
      <ns0:c r="E201" s="16">
        <ns0:f>A201*('前提と出典'!$C$36*'契約別単価'!E5+'前提と出典'!$C$37*'契約別単価'!E6+'前提と出典'!$C$38*'契約別単価'!E7)</ns0:f>
        <ns0:v>495232.9658784599</ns0:v>
      </ns0:c>
      <ns0:c r="F201" s="16">
        <ns0:f>A201*('前提と出典'!$C$36*'契約別単価'!F5+'前提と出典'!$C$37*'契約別単価'!F6+'前提と出典'!$C$38*'契約別単価'!F7)</ns0:f>
        <ns0:v>143902.04099950526</ns0:v>
      </ns0:c>
      <ns0:c r="G201" s="16">
        <ns0:f>A201*('前提と出典'!$C$36*'契約別単価'!G5+'前提と出典'!$C$37*'契約別単価'!G6+'前提と出典'!$C$38*'契約別単価'!G7)</ns0:f>
        <ns0:v>392129.0502793296</ns0:v>
      </ns0:c>
      <ns0:c r="H201" s="16">
        <ns0:f>A201*('前提と出典'!$C$36*'契約別単価'!H5+'前提と出典'!$C$37*'契約別単価'!H6+'前提と出典'!$C$38*'契約別単価'!H7)</ns0:f>
        <ns0:v>136088.4472642542</ns0:v>
      </ns0:c>
      <ns0:c r="I201" s="16">
        <ns0:f>A201*('前提と出典'!$C$36*'契約別単価'!I5+'前提と出典'!$C$37*'契約別単価'!I6+'前提と出典'!$C$38*'契約別単価'!I7)</ns0:f>
        <ns0:v>8312.519553072625</ns0:v>
      </ns0:c>
      <ns0:c r="J201" s="16">
        <ns0:f>A201*('前提と出典'!$C$36*'契約別単価'!J5+'前提と出典'!$C$37*'契約別単価'!J6+'前提と出典'!$C$38*'契約別単価'!J7)</ns0:f>
        <ns0:v>19363.040110929607</ns0:v>
      </ns0:c>
      <ns0:c r="K201" s="16">
        <ns0:f>A201*('前提と出典'!$C$36*'契約別単価'!K5+'前提と出典'!$C$37*'契約別単価'!K6+'前提と出典'!$C$38*'契約別単価'!K7)</ns0:f>
        <ns0:v>82996.79702048417</ns0:v>
      </ns0:c>
      <ns0:c r="L201" s="16">
        <ns0:f>A201*('前提と出典'!$C$36*'契約別単価'!L5+'前提と出典'!$C$37*'契約別単価'!L6+'前提と出典'!$C$38*'契約別単価'!L7)</ns0:f>
        <ns0:v>67576.28157547514</ns0:v>
      </ns0:c>
      <ns0:c r="M201" s="16">
        <ns0:f>IF(('前提と出典'!$C$36+'前提と出典'!$C$38)=0,0,IF(B201&lt;=10,'前提と出典'!B73+'前提と出典'!C73,IF(B201&lt;=100,'前提と出典'!B74+'前提と出典'!C74,IF(B201&lt;=500,'前提と出典'!B75+'前提と出典'!C75,'前提と出典'!B76+'前提と出典'!C76))))</ns0:f>
        <ns0:v>40000</ns0:v>
      </ns0:c>
      <ns0:c r="N201" s="16">
        <ns0:f>IF(('前提と出典'!$C$37+'前提と出典'!$C$38)=0,0,IF(C201&lt;=10,'前提と出典'!D73+'前提と出典'!E73,IF(C201&lt;=100,'前提と出典'!D74+'前提と出典'!E74,IF(C201&lt;=500,'前提と出典'!D75+'前提と出典'!E75,'前提と出典'!D76+'前提と出典'!E76))))</ns0:f>
        <ns0:v>56510.9346263078</ns0:v>
      </ns0:c>
      <ns0:c r="O201" s="16">
        <ns0:f>IF('前提と出典'!$C$36+'前提と出典'!$C$38=0,0,'前提と出典'!$B$4*IF('前提と出典'!$B$20=0,MAX('前提と出典'!$B$6,D201*'前提と出典'!$B$5),'前提と出典'!$B$6+D201*'前提と出典'!$B$5))</ns0:f>
        <ns0:v>195617.69832402235</ns0:v>
      </ns0:c>
      <ns0:c r="P201" s="16">
        <ns0:f>(E201+G201)*(1-'前提と出典'!$B$7)-I201-K201-M201-O201</ns0:f>
        <ns0:v>528489.9686785301</ns0:v>
      </ns0:c>
      <ns0:c r="Q201" s="16">
        <ns0:f>(F201+H201)*(1-'前提と出典'!$B$7)-J201-L201-N201</ns0:f>
        <ns0:v>126460.57437355159</ns0:v>
      </ns0:c>
      <ns0:c r="R201" s="16">
        <ns0:f>P201-E201*'前提と出典'!$E$4</ns0:f>
        <ns0:v>379920.07891499205</ns0:v>
      </ns0:c>
      <ns0:c r="S201" s="16">
        <ns0:f>Q201-F201*'前提と出典'!$E$4</ns0:f>
        <ns0:v>83289.96207369998</ns0:v>
      </ns0:c>
      <ns0:c r="T201" s="7">
        <ns0:f>R201+S201</ns0:f>
        <ns0:v>463210.040988692</ns0:v>
      </ns0:c>
      <ns0:c r="U201" s="16">
        <ns0:f>P201-E201*'前提と出典'!$E$5</ns0:f>
        <ns0:v>330396.78232714604</ns0:v>
      </ns0:c>
      <ns0:c r="V201" s="16">
        <ns0:f>Q201-F201*'前提と出典'!$E$5</ns0:f>
        <ns0:v>68899.75797374948</ns0:v>
      </ns0:c>
      <ns0:c r="W201" s="7">
        <ns0:f>U201+V201</ns0:f>
        <ns0:v>399296.5403008955</ns0:v>
      </ns0:c>
      <ns0:c r="X201" s="16">
        <ns0:f>P201-E201*'前提と出典'!$E$6</ns0:f>
        <ns0:v>280873.48573929997</ns0:v>
      </ns0:c>
      <ns0:c r="Y201" s="16">
        <ns0:f>Q201-F201*'前提と出典'!$E$6</ns0:f>
        <ns0:v>54509.55387379895</ns0:v>
      </ns0:c>
      <ns0:c r="Z201" s="7">
        <ns0:f>X201+Y201</ns0:f>
        <ns0:v>335383.0396130989</ns0:v>
      </ns0:c>
      <ns0:c r="AA201" s="7">
        <ns0:f>IF(T201&gt;=0,A201,1001)</ns0:f>
        <ns0:v>197</ns0:v>
      </ns0:c>
      <ns0:c r="AB201" s="7">
        <ns0:f>IF(T201&lt;0,A201,0)</ns0:f>
        <ns0:v>0</ns0:v>
      </ns0:c>
      <ns0:c r="AC201" s="16">
        <ns0:f>IF(AND(OR('前提と出典'!$C$36+'前提と出典'!$C$38=0,R201&gt;=0),OR('前提と出典'!$C$37+'前提と出典'!$C$38=0,S201&gt;=0)),0,A201)</ns0:f>
        <ns0:v>0</ns0:v>
      </ns0:c>
      <ns0:c r="AD201" s="7">
        <ns0:f>IF(W201&gt;=0,A201,1001)</ns0:f>
        <ns0:v>197</ns0:v>
      </ns0:c>
      <ns0:c r="AE201" s="7">
        <ns0:f>IF(W201&lt;0,A201,0)</ns0:f>
        <ns0:v>0</ns0:v>
      </ns0:c>
      <ns0:c r="AF201" s="16">
        <ns0:f>IF(AND(OR('前提と出典'!$C$36+'前提と出典'!$C$38=0,U201&gt;=0),OR('前提と出典'!$C$37+'前提と出典'!$C$38=0,V201&gt;=0)),0,A201)</ns0:f>
        <ns0:v>0</ns0:v>
      </ns0:c>
      <ns0:c r="AG201" s="7">
        <ns0:f>IF(Z201&gt;=0,A201,1001)</ns0:f>
        <ns0:v>197</ns0:v>
      </ns0:c>
      <ns0:c r="AH201" s="4">
        <ns0:f>IF(Z201&lt;0,A201,0)</ns0:f>
        <ns0:v>0</ns0:v>
      </ns0:c>
      <ns0:c r="AI201" s="12">
        <ns0:f>IF(AND(OR('前提と出典'!$C$36+'前提と出典'!$C$38=0,X201&gt;=0),OR('前提と出典'!$C$37+'前提と出典'!$C$38=0,Y201&gt;=0)),0,A201)</ns0:f>
        <ns0:v>0</ns0:v>
      </ns0:c>
    </ns0:row>
    <ns0:row r="202" ht="24" customHeight="1">
      <ns0:c r="A202" s="4" t="n">
        <ns0:v>198</ns0:v>
      </ns0:c>
      <ns0:c r="B202" s="12">
        <ns0:f>A202*('前提と出典'!$C$36+'前提と出典'!$C$38)</ns0:f>
        <ns0:v>138.6</ns0:v>
      </ns0:c>
      <ns0:c r="C202" s="12">
        <ns0:f>A202*('前提と出典'!$C$37+'前提と出典'!$C$38)</ns0:f>
        <ns0:v>118.8</ns0:v>
      </ns0:c>
      <ns0:c r="D202" s="16">
        <ns0:f>A202*('前提と出典'!$C$36*'契約別単価'!C5+'前提と出典'!$C$37*'契約別単価'!C6+'前提と出典'!$C$38*'契約別単価'!C7)</ns0:f>
        <ns0:v>1424.7150837988827</ns0:v>
      </ns0:c>
      <ns0:c r="E202" s="16">
        <ns0:f>A202*('前提と出典'!$C$36*'契約別単価'!E5+'前提と出典'!$C$37*'契約別単価'!E6+'前提と出典'!$C$38*'契約別単価'!E7)</ns0:f>
        <ns0:v>497746.8388017008</ns0:v>
      </ns0:c>
      <ns0:c r="F202" s="16">
        <ns0:f>A202*('前提と出典'!$C$36*'契約別単価'!F5+'前提と出典'!$C$37*'契約別単価'!F6+'前提と出典'!$C$38*'契約別単価'!F7)</ns0:f>
        <ns0:v>144632.50821270072</ns0:v>
      </ns0:c>
      <ns0:c r="G202" s="16">
        <ns0:f>A202*('前提と出典'!$C$36*'契約別単価'!G5+'前提と出典'!$C$37*'契約別単価'!G6+'前提と出典'!$C$38*'契約別単価'!G7)</ns0:f>
        <ns0:v>394119.55307262565</ns0:v>
      </ns0:c>
      <ns0:c r="H202" s="16">
        <ns0:f>A202*('前提と出典'!$C$36*'契約別単価'!H5+'前提と出典'!$C$37*'契約別単価'!H6+'前提と出典'!$C$38*'契約別単価'!H7)</ns0:f>
        <ns0:v>136779.251565088</ns0:v>
      </ns0:c>
      <ns0:c r="I202" s="16">
        <ns0:f>A202*('前提と出典'!$C$36*'契約別単価'!I5+'前提と出典'!$C$37*'契約別単価'!I6+'前提と出典'!$C$38*'契約別単価'!I7)</ns0:f>
        <ns0:v>8354.715083798881</ns0:v>
      </ns0:c>
      <ns0:c r="J202" s="16">
        <ns0:f>A202*('前提と出典'!$C$36*'契約別単価'!J5+'前提と出典'!$C$37*'契約別単価'!J6+'前提と出典'!$C$38*'契約別単価'!J7)</ns0:f>
        <ns0:v>19461.329654639907</ns0:v>
      </ns0:c>
      <ns0:c r="K202" s="16">
        <ns0:f>A202*('前提と出典'!$C$36*'契約別単価'!K5+'前提と出典'!$C$37*'契約別単価'!K6+'前提と出典'!$C$38*'契約別単価'!K7)</ns0:f>
        <ns0:v>83418.10055865921</ns0:v>
      </ns0:c>
      <ns0:c r="L202" s="16">
        <ns0:f>A202*('前提と出典'!$C$36*'契約別単価'!L5+'前提と出典'!$C$37*'契約別単価'!L6+'前提と出典'!$C$38*'契約別単価'!L7)</ns0:f>
        <ns0:v>67919.30838550293</ns0:v>
      </ns0:c>
      <ns0:c r="M202" s="16">
        <ns0:f>IF(('前提と出典'!$C$36+'前提と出典'!$C$38)=0,0,IF(B202&lt;=10,'前提と出典'!B73+'前提と出典'!C73,IF(B202&lt;=100,'前提と出典'!B74+'前提と出典'!C74,IF(B202&lt;=500,'前提と出典'!B75+'前提と出典'!C75,'前提と出典'!B76+'前提と出典'!C76))))</ns0:f>
        <ns0:v>40000</ns0:v>
      </ns0:c>
      <ns0:c r="N202" s="16">
        <ns0:f>IF(('前提と出典'!$C$37+'前提と出典'!$C$38)=0,0,IF(C202&lt;=10,'前提と出典'!D73+'前提と出典'!E73,IF(C202&lt;=100,'前提と出典'!D74+'前提と出典'!E74,IF(C202&lt;=500,'前提と出典'!D75+'前提と出典'!E75,'前提と出典'!D76+'前提と出典'!E76))))</ns0:f>
        <ns0:v>56510.9346263078</ns0:v>
      </ns0:c>
      <ns0:c r="O202" s="16">
        <ns0:f>IF('前提と出典'!$C$36+'前提と出典'!$C$38=0,0,'前提と出典'!$B$4*IF('前提と出典'!$B$20=0,MAX('前提と出典'!$B$6,D202*'前提と出典'!$B$5),'前提と出典'!$B$6+D202*'前提と出典'!$B$5))</ns0:f>
        <ns0:v>196610.68156424584</ns0:v>
      </ns0:c>
      <ns0:c r="P202" s="16">
        <ns0:f>(E202+G202)*(1-'前提と出典'!$B$7)-I202-K202-M202-O202</ns0:f>
        <ns0:v>531375.7045601468</ns0:v>
      </ns0:c>
      <ns0:c r="Q202" s="16">
        <ns0:f>(F202+H202)*(1-'前提と出典'!$B$7)-J202-L202-N202</ns0:f>
        <ns0:v>127389.36375933769</ns0:v>
      </ns0:c>
      <ns0:c r="R202" s="16">
        <ns0:f>P202-E202*'前提と出典'!$E$4</ns0:f>
        <ns0:v>382051.6529196366</ns0:v>
      </ns0:c>
      <ns0:c r="S202" s="16">
        <ns0:f>Q202-F202*'前提と出典'!$E$4</ns0:f>
        <ns0:v>83999.61129552749</ns0:v>
      </ns0:c>
      <ns0:c r="T202" s="7">
        <ns0:f>R202+S202</ns0:f>
        <ns0:v>466051.26421516406</ns0:v>
      </ns0:c>
      <ns0:c r="U202" s="16">
        <ns0:f>P202-E202*'前提と出典'!$E$5</ns0:f>
        <ns0:v>332276.96903946646</ns0:v>
      </ns0:c>
      <ns0:c r="V202" s="16">
        <ns0:f>Q202-F202*'前提と出典'!$E$5</ns0:f>
        <ns0:v>69536.36047425741</ns0:v>
      </ns0:c>
      <ns0:c r="W202" s="7">
        <ns0:f>U202+V202</ns0:f>
        <ns0:v>401813.32951372385</ns0:v>
      </ns0:c>
      <ns0:c r="X202" s="16">
        <ns0:f>P202-E202*'前提と出典'!$E$6</ns0:f>
        <ns0:v>282502.28515929636</ns0:v>
      </ns0:c>
      <ns0:c r="Y202" s="16">
        <ns0:f>Q202-F202*'前提と出典'!$E$6</ns0:f>
        <ns0:v>55073.10965298734</ns0:v>
      </ns0:c>
      <ns0:c r="Z202" s="7">
        <ns0:f>X202+Y202</ns0:f>
        <ns0:v>337575.3948122837</ns0:v>
      </ns0:c>
      <ns0:c r="AA202" s="7">
        <ns0:f>IF(T202&gt;=0,A202,1001)</ns0:f>
        <ns0:v>198</ns0:v>
      </ns0:c>
      <ns0:c r="AB202" s="7">
        <ns0:f>IF(T202&lt;0,A202,0)</ns0:f>
        <ns0:v>0</ns0:v>
      </ns0:c>
      <ns0:c r="AC202" s="16">
        <ns0:f>IF(AND(OR('前提と出典'!$C$36+'前提と出典'!$C$38=0,R202&gt;=0),OR('前提と出典'!$C$37+'前提と出典'!$C$38=0,S202&gt;=0)),0,A202)</ns0:f>
        <ns0:v>0</ns0:v>
      </ns0:c>
      <ns0:c r="AD202" s="7">
        <ns0:f>IF(W202&gt;=0,A202,1001)</ns0:f>
        <ns0:v>198</ns0:v>
      </ns0:c>
      <ns0:c r="AE202" s="7">
        <ns0:f>IF(W202&lt;0,A202,0)</ns0:f>
        <ns0:v>0</ns0:v>
      </ns0:c>
      <ns0:c r="AF202" s="16">
        <ns0:f>IF(AND(OR('前提と出典'!$C$36+'前提と出典'!$C$38=0,U202&gt;=0),OR('前提と出典'!$C$37+'前提と出典'!$C$38=0,V202&gt;=0)),0,A202)</ns0:f>
        <ns0:v>0</ns0:v>
      </ns0:c>
      <ns0:c r="AG202" s="7">
        <ns0:f>IF(Z202&gt;=0,A202,1001)</ns0:f>
        <ns0:v>198</ns0:v>
      </ns0:c>
      <ns0:c r="AH202" s="4">
        <ns0:f>IF(Z202&lt;0,A202,0)</ns0:f>
        <ns0:v>0</ns0:v>
      </ns0:c>
      <ns0:c r="AI202" s="12">
        <ns0:f>IF(AND(OR('前提と出典'!$C$36+'前提と出典'!$C$38=0,X202&gt;=0),OR('前提と出典'!$C$37+'前提と出典'!$C$38=0,Y202&gt;=0)),0,A202)</ns0:f>
        <ns0:v>0</ns0:v>
      </ns0:c>
    </ns0:row>
    <ns0:row r="203" ht="24" customHeight="1">
      <ns0:c r="A203" s="4" t="n">
        <ns0:v>199</ns0:v>
      </ns0:c>
      <ns0:c r="B203" s="12">
        <ns0:f>A203*('前提と出典'!$C$36+'前提と出典'!$C$38)</ns0:f>
        <ns0:v>139.29999999999998</ns0:v>
      </ns0:c>
      <ns0:c r="C203" s="12">
        <ns0:f>A203*('前提と出典'!$C$37+'前提と出典'!$C$38)</ns0:f>
        <ns0:v>119.39999999999999</ns0:v>
      </ns0:c>
      <ns0:c r="D203" s="16">
        <ns0:f>A203*('前提と出典'!$C$36*'契約別単価'!C5+'前提と出典'!$C$37*'契約別単価'!C6+'前提と出典'!$C$38*'契約別単価'!C7)</ns0:f>
        <ns0:v>1431.9106145251396</ns0:v>
      </ns0:c>
      <ns0:c r="E203" s="16">
        <ns0:f>A203*('前提と出典'!$C$36*'契約別単価'!E5+'前提と出典'!$C$37*'契約別単価'!E6+'前提と出典'!$C$38*'契約別単価'!E7)</ns0:f>
        <ns0:v>500260.71172494174</ns0:v>
      </ns0:c>
      <ns0:c r="F203" s="16">
        <ns0:f>A203*('前提と出典'!$C$36*'契約別単価'!F5+'前提と出典'!$C$37*'契約別単価'!F6+'前提と出典'!$C$38*'契約別単価'!F7)</ns0:f>
        <ns0:v>145362.97542589618</ns0:v>
      </ns0:c>
      <ns0:c r="G203" s="16">
        <ns0:f>A203*('前提と出典'!$C$36*'契約別単価'!G5+'前提と出典'!$C$37*'契約別単価'!G6+'前提と出典'!$C$38*'契約別単価'!G7)</ns0:f>
        <ns0:v>396110.0558659218</ns0:v>
      </ns0:c>
      <ns0:c r="H203" s="16">
        <ns0:f>A203*('前提と出典'!$C$36*'契約別単価'!H5+'前提と出典'!$C$37*'契約別単価'!H6+'前提と出典'!$C$38*'契約別単価'!H7)</ns0:f>
        <ns0:v>137470.05586592175</ns0:v>
      </ns0:c>
      <ns0:c r="I203" s="16">
        <ns0:f>A203*('前提と出典'!$C$36*'契約別単価'!I5+'前提と出典'!$C$37*'契約別単価'!I6+'前提と出典'!$C$38*'契約別単価'!I7)</ns0:f>
        <ns0:v>8396.910614525139</ns0:v>
      </ns0:c>
      <ns0:c r="J203" s="16">
        <ns0:f>A203*('前提と出典'!$C$36*'契約別単価'!J5+'前提と出典'!$C$37*'契約別単価'!J6+'前提と出典'!$C$38*'契約別単価'!J7)</ns0:f>
        <ns0:v>19559.61919835021</ns0:v>
      </ns0:c>
      <ns0:c r="K203" s="16">
        <ns0:f>A203*('前提と出典'!$C$36*'契約別単価'!K5+'前提と出典'!$C$37*'契約別単価'!K6+'前提と出典'!$C$38*'契約別単価'!K7)</ns0:f>
        <ns0:v>83839.40409683426</ns0:v>
      </ns0:c>
      <ns0:c r="L203" s="16">
        <ns0:f>A203*('前提と出典'!$C$36*'契約別単価'!L5+'前提と出典'!$C$37*'契約別単価'!L6+'前提と出典'!$C$38*'契約別単価'!L7)</ns0:f>
        <ns0:v>68262.33519553073</ns0:v>
      </ns0:c>
      <ns0:c r="M203" s="16">
        <ns0:f>IF(('前提と出典'!$C$36+'前提と出典'!$C$38)=0,0,IF(B203&lt;=10,'前提と出典'!B73+'前提と出典'!C73,IF(B203&lt;=100,'前提と出典'!B74+'前提と出典'!C74,IF(B203&lt;=500,'前提と出典'!B75+'前提と出典'!C75,'前提と出典'!B76+'前提と出典'!C76))))</ns0:f>
        <ns0:v>40000</ns0:v>
      </ns0:c>
      <ns0:c r="N203" s="16">
        <ns0:f>IF(('前提と出典'!$C$37+'前提と出典'!$C$38)=0,0,IF(C203&lt;=10,'前提と出典'!D73+'前提と出典'!E73,IF(C203&lt;=100,'前提と出典'!D74+'前提と出典'!E74,IF(C203&lt;=500,'前提と出典'!D75+'前提と出典'!E75,'前提と出典'!D76+'前提と出典'!E76))))</ns0:f>
        <ns0:v>56510.9346263078</ns0:v>
      </ns0:c>
      <ns0:c r="O203" s="16">
        <ns0:f>IF('前提と出典'!$C$36+'前提と出典'!$C$38=0,0,'前提と出典'!$B$4*IF('前提と出典'!$B$20=0,MAX('前提と出典'!$B$6,D203*'前提と出典'!$B$5),'前提と出典'!$B$6+D203*'前提と出典'!$B$5))</ns0:f>
        <ns0:v>197603.66480446927</ns0:v>
      </ns0:c>
      <ns0:c r="P203" s="16">
        <ns0:f>(E203+G203)*(1-'前提と出典'!$B$7)-I203-K203-M203-O203</ns0:f>
        <ns0:v>534261.4404417637</ns0:v>
      </ns0:c>
      <ns0:c r="Q203" s="16">
        <ns0:f>(F203+H203)*(1-'前提と出典'!$B$7)-J203-L203-N203</ns0:f>
        <ns0:v>128318.15314512372</ns0:v>
      </ns0:c>
      <ns0:c r="R203" s="16">
        <ns0:f>P203-E203*'前提と出典'!$E$4</ns0:f>
        <ns0:v>384183.2269242813</ns0:v>
      </ns0:c>
      <ns0:c r="S203" s="16">
        <ns0:f>Q203-F203*'前提と出典'!$E$4</ns0:f>
        <ns0:v>84709.26051735485</ns0:v>
      </ns0:c>
      <ns0:c r="T203" s="7">
        <ns0:f>R203+S203</ns0:f>
        <ns0:v>468892.48744163616</ns0:v>
      </ns0:c>
      <ns0:c r="U203" s="16">
        <ns0:f>P203-E203*'前提と出典'!$E$5</ns0:f>
        <ns0:v>334157.15575178707</ns0:v>
      </ns0:c>
      <ns0:c r="V203" s="16">
        <ns0:f>Q203-F203*'前提と出典'!$E$5</ns0:f>
        <ns0:v>70172.96297476525</ns0:v>
      </ns0:c>
      <ns0:c r="W203" s="7">
        <ns0:f>U203+V203</ns0:f>
        <ns0:v>404330.11872655235</ns0:v>
      </ns0:c>
      <ns0:c r="X203" s="16">
        <ns0:f>P203-E203*'前提と出典'!$E$6</ns0:f>
        <ns0:v>284131.08457929286</ns0:v>
      </ns0:c>
      <ns0:c r="Y203" s="16">
        <ns0:f>Q203-F203*'前提と出典'!$E$6</ns0:f>
        <ns0:v>55636.66543217563</ns0:v>
      </ns0:c>
      <ns0:c r="Z203" s="7">
        <ns0:f>X203+Y203</ns0:f>
        <ns0:v>339767.7500114685</ns0:v>
      </ns0:c>
      <ns0:c r="AA203" s="7">
        <ns0:f>IF(T203&gt;=0,A203,1001)</ns0:f>
        <ns0:v>199</ns0:v>
      </ns0:c>
      <ns0:c r="AB203" s="7">
        <ns0:f>IF(T203&lt;0,A203,0)</ns0:f>
        <ns0:v>0</ns0:v>
      </ns0:c>
      <ns0:c r="AC203" s="16">
        <ns0:f>IF(AND(OR('前提と出典'!$C$36+'前提と出典'!$C$38=0,R203&gt;=0),OR('前提と出典'!$C$37+'前提と出典'!$C$38=0,S203&gt;=0)),0,A203)</ns0:f>
        <ns0:v>0</ns0:v>
      </ns0:c>
      <ns0:c r="AD203" s="7">
        <ns0:f>IF(W203&gt;=0,A203,1001)</ns0:f>
        <ns0:v>199</ns0:v>
      </ns0:c>
      <ns0:c r="AE203" s="7">
        <ns0:f>IF(W203&lt;0,A203,0)</ns0:f>
        <ns0:v>0</ns0:v>
      </ns0:c>
      <ns0:c r="AF203" s="16">
        <ns0:f>IF(AND(OR('前提と出典'!$C$36+'前提と出典'!$C$38=0,U203&gt;=0),OR('前提と出典'!$C$37+'前提と出典'!$C$38=0,V203&gt;=0)),0,A203)</ns0:f>
        <ns0:v>0</ns0:v>
      </ns0:c>
      <ns0:c r="AG203" s="7">
        <ns0:f>IF(Z203&gt;=0,A203,1001)</ns0:f>
        <ns0:v>199</ns0:v>
      </ns0:c>
      <ns0:c r="AH203" s="4">
        <ns0:f>IF(Z203&lt;0,A203,0)</ns0:f>
        <ns0:v>0</ns0:v>
      </ns0:c>
      <ns0:c r="AI203" s="12">
        <ns0:f>IF(AND(OR('前提と出典'!$C$36+'前提と出典'!$C$38=0,X203&gt;=0),OR('前提と出典'!$C$37+'前提と出典'!$C$38=0,Y203&gt;=0)),0,A203)</ns0:f>
        <ns0:v>0</ns0:v>
      </ns0:c>
    </ns0:row>
    <ns0:row r="204" ht="24" customHeight="1">
      <ns0:c r="A204" s="4" t="n">
        <ns0:v>200</ns0:v>
      </ns0:c>
      <ns0:c r="B204" s="12">
        <ns0:f>A204*('前提と出典'!$C$36+'前提と出典'!$C$38)</ns0:f>
        <ns0:v>140</ns0:v>
      </ns0:c>
      <ns0:c r="C204" s="12">
        <ns0:f>A204*('前提と出典'!$C$37+'前提と出典'!$C$38)</ns0:f>
        <ns0:v>120</ns0:v>
      </ns0:c>
      <ns0:c r="D204" s="16">
        <ns0:f>A204*('前提と出典'!$C$36*'契約別単価'!C5+'前提と出典'!$C$37*'契約別単価'!C6+'前提と出典'!$C$38*'契約別単価'!C7)</ns0:f>
        <ns0:v>1439.1061452513966</ns0:v>
      </ns0:c>
      <ns0:c r="E204" s="16">
        <ns0:f>A204*('前提と出典'!$C$36*'契約別単価'!E5+'前提と出典'!$C$37*'契約別単価'!E6+'前提と出典'!$C$38*'契約別単価'!E7)</ns0:f>
        <ns0:v>502774.5846481826</ns0:v>
      </ns0:c>
      <ns0:c r="F204" s="16">
        <ns0:f>A204*('前提と出典'!$C$36*'契約別単価'!F5+'前提と出典'!$C$37*'契約別単価'!F6+'前提と出典'!$C$38*'契約別単価'!F7)</ns0:f>
        <ns0:v>146093.44263909163</ns0:v>
      </ns0:c>
      <ns0:c r="G204" s="16">
        <ns0:f>A204*('前提と出典'!$C$36*'契約別単価'!G5+'前提と出典'!$C$37*'契約別単価'!G6+'前提と出典'!$C$38*'契約別単価'!G7)</ns0:f>
        <ns0:v>398100.55865921784</ns0:v>
      </ns0:c>
      <ns0:c r="H204" s="16">
        <ns0:f>A204*('前提と出典'!$C$36*'契約別単価'!H5+'前提と出典'!$C$37*'契約別単価'!H6+'前提と出典'!$C$38*'契約別単価'!H7)</ns0:f>
        <ns0:v>138160.86016675553</ns0:v>
      </ns0:c>
      <ns0:c r="I204" s="16">
        <ns0:f>A204*('前提と出典'!$C$36*'契約別単価'!I5+'前提と出典'!$C$37*'契約別単価'!I6+'前提と出典'!$C$38*'契約別単価'!I7)</ns0:f>
        <ns0:v>8439.106145251395</ns0:v>
      </ns0:c>
      <ns0:c r="J204" s="16">
        <ns0:f>A204*('前提と出典'!$C$36*'契約別単価'!J5+'前提と出典'!$C$37*'契約別単価'!J6+'前提と出典'!$C$38*'契約別単価'!J7)</ns0:f>
        <ns0:v>19657.908742060514</ns0:v>
      </ns0:c>
      <ns0:c r="K204" s="16">
        <ns0:f>A204*('前提と出典'!$C$36*'契約別単価'!K5+'前提と出典'!$C$37*'契約別単価'!K6+'前提と出典'!$C$38*'契約別単価'!K7)</ns0:f>
        <ns0:v>84260.70763500931</ns0:v>
      </ns0:c>
      <ns0:c r="L204" s="16">
        <ns0:f>A204*('前提と出典'!$C$36*'契約別単価'!L5+'前提と出典'!$C$37*'契約別単価'!L6+'前提と出典'!$C$38*'契約別単価'!L7)</ns0:f>
        <ns0:v>68605.36200555852</ns0:v>
      </ns0:c>
      <ns0:c r="M204" s="16">
        <ns0:f>IF(('前提と出典'!$C$36+'前提と出典'!$C$38)=0,0,IF(B204&lt;=10,'前提と出典'!B73+'前提と出典'!C73,IF(B204&lt;=100,'前提と出典'!B74+'前提と出典'!C74,IF(B204&lt;=500,'前提と出典'!B75+'前提と出典'!C75,'前提と出典'!B76+'前提と出典'!C76))))</ns0:f>
        <ns0:v>40000</ns0:v>
      </ns0:c>
      <ns0:c r="N204" s="16">
        <ns0:f>IF(('前提と出典'!$C$37+'前提と出典'!$C$38)=0,0,IF(C204&lt;=10,'前提と出典'!D73+'前提と出典'!E73,IF(C204&lt;=100,'前提と出典'!D74+'前提と出典'!E74,IF(C204&lt;=500,'前提と出典'!D75+'前提と出典'!E75,'前提と出典'!D76+'前提と出典'!E76))))</ns0:f>
        <ns0:v>56510.9346263078</ns0:v>
      </ns0:c>
      <ns0:c r="O204" s="16">
        <ns0:f>IF('前提と出典'!$C$36+'前提と出典'!$C$38=0,0,'前提と出典'!$B$4*IF('前提と出典'!$B$20=0,MAX('前提と出典'!$B$6,D204*'前提と出典'!$B$5),'前提と出典'!$B$6+D204*'前提と出典'!$B$5))</ns0:f>
        <ns0:v>198596.64804469273</ns0:v>
      </ns0:c>
      <ns0:c r="P204" s="16">
        <ns0:f>(E204+G204)*(1-'前提と出典'!$B$7)-I204-K204-M204-O204</ns0:f>
        <ns0:v>537147.1763233806</ns0:v>
      </ns0:c>
      <ns0:c r="Q204" s="16">
        <ns0:f>(F204+H204)*(1-'前提と出典'!$B$7)-J204-L204-N204</ns0:f>
        <ns0:v>129246.94253090982</ns0:v>
      </ns0:c>
      <ns0:c r="R204" s="16">
        <ns0:f>P204-E204*'前提と出典'!$E$4</ns0:f>
        <ns0:v>386314.80092892575</ns0:v>
      </ns0:c>
      <ns0:c r="S204" s="16">
        <ns0:f>Q204-F204*'前提と出典'!$E$4</ns0:f>
        <ns0:v>85418.90973918233</ns0:v>
      </ns0:c>
      <ns0:c r="T204" s="7">
        <ns0:f>R204+S204</ns0:f>
        <ns0:v>471733.7106681081</ns0:v>
      </ns0:c>
      <ns0:c r="U204" s="16">
        <ns0:f>P204-E204*'前提と出典'!$E$5</ns0:f>
        <ns0:v>336037.34246410755</ns0:v>
      </ns0:c>
      <ns0:c r="V204" s="16">
        <ns0:f>Q204-F204*'前提と出典'!$E$5</ns0:f>
        <ns0:v>70809.56547527315</ns0:v>
      </ns0:c>
      <ns0:c r="W204" s="7">
        <ns0:f>U204+V204</ns0:f>
        <ns0:v>406846.90793938073</ns0:v>
      </ns0:c>
      <ns0:c r="X204" s="16">
        <ns0:f>P204-E204*'前提と出典'!$E$6</ns0:f>
        <ns0:v>285759.88399928925</ns0:v>
      </ns0:c>
      <ns0:c r="Y204" s="16">
        <ns0:f>Q204-F204*'前提と出典'!$E$6</ns0:f>
        <ns0:v>56200.22121136399</ns0:v>
      </ns0:c>
      <ns0:c r="Z204" s="7">
        <ns0:f>X204+Y204</ns0:f>
        <ns0:v>341960.1052106532</ns0:v>
      </ns0:c>
      <ns0:c r="AA204" s="7">
        <ns0:f>IF(T204&gt;=0,A204,1001)</ns0:f>
        <ns0:v>200</ns0:v>
      </ns0:c>
      <ns0:c r="AB204" s="7">
        <ns0:f>IF(T204&lt;0,A204,0)</ns0:f>
        <ns0:v>0</ns0:v>
      </ns0:c>
      <ns0:c r="AC204" s="16">
        <ns0:f>IF(AND(OR('前提と出典'!$C$36+'前提と出典'!$C$38=0,R204&gt;=0),OR('前提と出典'!$C$37+'前提と出典'!$C$38=0,S204&gt;=0)),0,A204)</ns0:f>
        <ns0:v>0</ns0:v>
      </ns0:c>
      <ns0:c r="AD204" s="7">
        <ns0:f>IF(W204&gt;=0,A204,1001)</ns0:f>
        <ns0:v>200</ns0:v>
      </ns0:c>
      <ns0:c r="AE204" s="7">
        <ns0:f>IF(W204&lt;0,A204,0)</ns0:f>
        <ns0:v>0</ns0:v>
      </ns0:c>
      <ns0:c r="AF204" s="16">
        <ns0:f>IF(AND(OR('前提と出典'!$C$36+'前提と出典'!$C$38=0,U204&gt;=0),OR('前提と出典'!$C$37+'前提と出典'!$C$38=0,V204&gt;=0)),0,A204)</ns0:f>
        <ns0:v>0</ns0:v>
      </ns0:c>
      <ns0:c r="AG204" s="7">
        <ns0:f>IF(Z204&gt;=0,A204,1001)</ns0:f>
        <ns0:v>200</ns0:v>
      </ns0:c>
      <ns0:c r="AH204" s="4">
        <ns0:f>IF(Z204&lt;0,A204,0)</ns0:f>
        <ns0:v>0</ns0:v>
      </ns0:c>
      <ns0:c r="AI204" s="12">
        <ns0:f>IF(AND(OR('前提と出典'!$C$36+'前提と出典'!$C$38=0,X204&gt;=0),OR('前提と出典'!$C$37+'前提と出典'!$C$38=0,Y204&gt;=0)),0,A204)</ns0:f>
        <ns0:v>0</ns0:v>
      </ns0:c>
    </ns0:row>
    <ns0:row r="205" ht="24" customHeight="1">
      <ns0:c r="A205" s="4" t="n">
        <ns0:v>201</ns0:v>
      </ns0:c>
      <ns0:c r="B205" s="12">
        <ns0:f>A205*('前提と出典'!$C$36+'前提と出典'!$C$38)</ns0:f>
        <ns0:v>140.7</ns0:v>
      </ns0:c>
      <ns0:c r="C205" s="12">
        <ns0:f>A205*('前提と出典'!$C$37+'前提と出典'!$C$38)</ns0:f>
        <ns0:v>120.6</ns0:v>
      </ns0:c>
      <ns0:c r="D205" s="16">
        <ns0:f>A205*('前提と出典'!$C$36*'契約別単価'!C5+'前提と出典'!$C$37*'契約別単価'!C6+'前提と出典'!$C$38*'契約別単価'!C7)</ns0:f>
        <ns0:v>1446.3016759776535</ns0:v>
      </ns0:c>
      <ns0:c r="E205" s="16">
        <ns0:f>A205*('前提と出典'!$C$36*'契約別単価'!E5+'前提と出典'!$C$37*'契約別単価'!E6+'前提と出典'!$C$38*'契約別単価'!E7)</ns0:f>
        <ns0:v>505288.45757142355</ns0:v>
      </ns0:c>
      <ns0:c r="F205" s="16">
        <ns0:f>A205*('前提と出典'!$C$36*'契約別単価'!F5+'前提と出典'!$C$37*'契約別単価'!F6+'前提と出典'!$C$38*'契約別単価'!F7)</ns0:f>
        <ns0:v>146823.9098522871</ns0:v>
      </ns0:c>
      <ns0:c r="G205" s="16">
        <ns0:f>A205*('前提と出典'!$C$36*'契約別単価'!G5+'前提と出典'!$C$37*'契約別単価'!G6+'前提と出典'!$C$38*'契約別単価'!G7)</ns0:f>
        <ns0:v>400091.06145251397</ns0:v>
      </ns0:c>
      <ns0:c r="H205" s="16">
        <ns0:f>A205*('前提と出典'!$C$36*'契約別単価'!H5+'前提と出典'!$C$37*'契約別単価'!H6+'前提と出典'!$C$38*'契約別単価'!H7)</ns0:f>
        <ns0:v>138851.66446758932</ns0:v>
      </ns0:c>
      <ns0:c r="I205" s="16">
        <ns0:f>A205*('前提と出典'!$C$36*'契約別単価'!I5+'前提と出典'!$C$37*'契約別単価'!I6+'前提と出典'!$C$38*'契約別単価'!I7)</ns0:f>
        <ns0:v>8481.301675977653</ns0:v>
      </ns0:c>
      <ns0:c r="J205" s="16">
        <ns0:f>A205*('前提と出典'!$C$36*'契約別単価'!J5+'前提と出典'!$C$37*'契約別単価'!J6+'前提と出典'!$C$38*'契約別単価'!J7)</ns0:f>
        <ns0:v>19756.198285770817</ns0:v>
      </ns0:c>
      <ns0:c r="K205" s="16">
        <ns0:f>A205*('前提と出典'!$C$36*'契約別単価'!K5+'前提と出典'!$C$37*'契約別単価'!K6+'前提と出典'!$C$38*'契約別単価'!K7)</ns0:f>
        <ns0:v>84682.01117318435</ns0:v>
      </ns0:c>
      <ns0:c r="L205" s="16">
        <ns0:f>A205*('前提と出典'!$C$36*'契約別単価'!L5+'前提と出典'!$C$37*'契約別単価'!L6+'前提と出典'!$C$38*'契約別単価'!L7)</ns0:f>
        <ns0:v>68948.38881558631</ns0:v>
      </ns0:c>
      <ns0:c r="M205" s="16">
        <ns0:f>IF(('前提と出典'!$C$36+'前提と出典'!$C$38)=0,0,IF(B205&lt;=10,'前提と出典'!B73+'前提と出典'!C73,IF(B205&lt;=100,'前提と出典'!B74+'前提と出典'!C74,IF(B205&lt;=500,'前提と出典'!B75+'前提と出典'!C75,'前提と出典'!B76+'前提と出典'!C76))))</ns0:f>
        <ns0:v>40000</ns0:v>
      </ns0:c>
      <ns0:c r="N205" s="16">
        <ns0:f>IF(('前提と出典'!$C$37+'前提と出典'!$C$38)=0,0,IF(C205&lt;=10,'前提と出典'!D73+'前提と出典'!E73,IF(C205&lt;=100,'前提と出典'!D74+'前提と出典'!E74,IF(C205&lt;=500,'前提と出典'!D75+'前提と出典'!E75,'前提と出典'!D76+'前提と出典'!E76))))</ns0:f>
        <ns0:v>56510.9346263078</ns0:v>
      </ns0:c>
      <ns0:c r="O205" s="16">
        <ns0:f>IF('前提と出典'!$C$36+'前提と出典'!$C$38=0,0,'前提と出典'!$B$4*IF('前提と出典'!$B$20=0,MAX('前提と出典'!$B$6,D205*'前提と出典'!$B$5),'前提と出典'!$B$6+D205*'前提と出典'!$B$5))</ns0:f>
        <ns0:v>199589.6312849162</ns0:v>
      </ns0:c>
      <ns0:c r="P205" s="16">
        <ns0:f>(E205+G205)*(1-'前提と出典'!$B$7)-I205-K205-M205-O205</ns0:f>
        <ns0:v>540032.9122049975</ns0:v>
      </ns0:c>
      <ns0:c r="Q205" s="16">
        <ns0:f>(F205+H205)*(1-'前提と出典'!$B$7)-J205-L205-N205</ns0:f>
        <ns0:v>130175.73191669592</ns0:v>
      </ns0:c>
      <ns0:c r="R205" s="16">
        <ns0:f>P205-E205*'前提と出典'!$E$4</ns0:f>
        <ns0:v>388446.3749335704</ns0:v>
      </ns0:c>
      <ns0:c r="S205" s="16">
        <ns0:f>Q205-F205*'前提と出典'!$E$4</ns0:f>
        <ns0:v>86128.55896100981</ns0:v>
      </ns0:c>
      <ns0:c r="T205" s="7">
        <ns0:f>R205+S205</ns0:f>
        <ns0:v>474574.93389458023</ns0:v>
      </ns0:c>
      <ns0:c r="U205" s="16">
        <ns0:f>P205-E205*'前提と出典'!$E$5</ns0:f>
        <ns0:v>337917.5291764281</ns0:v>
      </ns0:c>
      <ns0:c r="V205" s="16">
        <ns0:f>Q205-F205*'前提と出典'!$E$5</ns0:f>
        <ns0:v>71446.16797578108</ns0:v>
      </ns0:c>
      <ns0:c r="W205" s="7">
        <ns0:f>U205+V205</ns0:f>
        <ns0:v>409363.6971522092</ns0:v>
      </ns0:c>
      <ns0:c r="X205" s="16">
        <ns0:f>P205-E205*'前提と出典'!$E$6</ns0:f>
        <ns0:v>287388.6834192857</ns0:v>
      </ns0:c>
      <ns0:c r="Y205" s="16">
        <ns0:f>Q205-F205*'前提と出典'!$E$6</ns0:f>
        <ns0:v>56763.77699055238</ns0:v>
      </ns0:c>
      <ns0:c r="Z205" s="7">
        <ns0:f>X205+Y205</ns0:f>
        <ns0:v>344152.46040983807</ns0:v>
      </ns0:c>
      <ns0:c r="AA205" s="7">
        <ns0:f>IF(T205&gt;=0,A205,1001)</ns0:f>
        <ns0:v>201</ns0:v>
      </ns0:c>
      <ns0:c r="AB205" s="7">
        <ns0:f>IF(T205&lt;0,A205,0)</ns0:f>
        <ns0:v>0</ns0:v>
      </ns0:c>
      <ns0:c r="AC205" s="16">
        <ns0:f>IF(AND(OR('前提と出典'!$C$36+'前提と出典'!$C$38=0,R205&gt;=0),OR('前提と出典'!$C$37+'前提と出典'!$C$38=0,S205&gt;=0)),0,A205)</ns0:f>
        <ns0:v>0</ns0:v>
      </ns0:c>
      <ns0:c r="AD205" s="7">
        <ns0:f>IF(W205&gt;=0,A205,1001)</ns0:f>
        <ns0:v>201</ns0:v>
      </ns0:c>
      <ns0:c r="AE205" s="7">
        <ns0:f>IF(W205&lt;0,A205,0)</ns0:f>
        <ns0:v>0</ns0:v>
      </ns0:c>
      <ns0:c r="AF205" s="16">
        <ns0:f>IF(AND(OR('前提と出典'!$C$36+'前提と出典'!$C$38=0,U205&gt;=0),OR('前提と出典'!$C$37+'前提と出典'!$C$38=0,V205&gt;=0)),0,A205)</ns0:f>
        <ns0:v>0</ns0:v>
      </ns0:c>
      <ns0:c r="AG205" s="7">
        <ns0:f>IF(Z205&gt;=0,A205,1001)</ns0:f>
        <ns0:v>201</ns0:v>
      </ns0:c>
      <ns0:c r="AH205" s="4">
        <ns0:f>IF(Z205&lt;0,A205,0)</ns0:f>
        <ns0:v>0</ns0:v>
      </ns0:c>
      <ns0:c r="AI205" s="12">
        <ns0:f>IF(AND(OR('前提と出典'!$C$36+'前提と出典'!$C$38=0,X205&gt;=0),OR('前提と出典'!$C$37+'前提と出典'!$C$38=0,Y205&gt;=0)),0,A205)</ns0:f>
        <ns0:v>0</ns0:v>
      </ns0:c>
    </ns0:row>
    <ns0:row r="206" ht="24" customHeight="1">
      <ns0:c r="A206" s="4" t="n">
        <ns0:v>202</ns0:v>
      </ns0:c>
      <ns0:c r="B206" s="12">
        <ns0:f>A206*('前提と出典'!$C$36+'前提と出典'!$C$38)</ns0:f>
        <ns0:v>141.39999999999998</ns0:v>
      </ns0:c>
      <ns0:c r="C206" s="12">
        <ns0:f>A206*('前提と出典'!$C$37+'前提と出典'!$C$38)</ns0:f>
        <ns0:v>121.19999999999999</ns0:v>
      </ns0:c>
      <ns0:c r="D206" s="16">
        <ns0:f>A206*('前提と出典'!$C$36*'契約別単価'!C5+'前提と出典'!$C$37*'契約別単価'!C6+'前提と出典'!$C$38*'契約別単価'!C7)</ns0:f>
        <ns0:v>1453.4972067039107</ns0:v>
      </ns0:c>
      <ns0:c r="E206" s="16">
        <ns0:f>A206*('前提と出典'!$C$36*'契約別単価'!E5+'前提と出典'!$C$37*'契約別単価'!E6+'前提と出典'!$C$38*'契約別単価'!E7)</ns0:f>
        <ns0:v>507802.3304946645</ns0:v>
      </ns0:c>
      <ns0:c r="F206" s="16">
        <ns0:f>A206*('前提と出典'!$C$36*'契約別単価'!F5+'前提と出典'!$C$37*'契約別単価'!F6+'前提と出典'!$C$38*'契約別単価'!F7)</ns0:f>
        <ns0:v>147554.37706548255</ns0:v>
      </ns0:c>
      <ns0:c r="G206" s="16">
        <ns0:f>A206*('前提と出典'!$C$36*'契約別単価'!G5+'前提と出典'!$C$37*'契約別単価'!G6+'前提と出典'!$C$38*'契約別単価'!G7)</ns0:f>
        <ns0:v>402081.56424581003</ns0:v>
      </ns0:c>
      <ns0:c r="H206" s="16">
        <ns0:f>A206*('前提と出典'!$C$36*'契約別単価'!H5+'前提と出典'!$C$37*'契約別単価'!H6+'前提と出典'!$C$38*'契約別単価'!H7)</ns0:f>
        <ns0:v>139542.4687684231</ns0:v>
      </ns0:c>
      <ns0:c r="I206" s="16">
        <ns0:f>A206*('前提と出典'!$C$36*'契約別単価'!I5+'前提と出典'!$C$37*'契約別単価'!I6+'前提と出典'!$C$38*'契約別単価'!I7)</ns0:f>
        <ns0:v>8523.497206703909</ns0:v>
      </ns0:c>
      <ns0:c r="J206" s="16">
        <ns0:f>A206*('前提と出典'!$C$36*'契約別単価'!J5+'前提と出典'!$C$37*'契約別単価'!J6+'前提と出典'!$C$38*'契約別単価'!J7)</ns0:f>
        <ns0:v>19854.487829481117</ns0:v>
      </ns0:c>
      <ns0:c r="K206" s="16">
        <ns0:f>A206*('前提と出典'!$C$36*'契約別単価'!K5+'前提と出典'!$C$37*'契約別単価'!K6+'前提と出典'!$C$38*'契約別単価'!K7)</ns0:f>
        <ns0:v>85103.3147113594</ns0:v>
      </ns0:c>
      <ns0:c r="L206" s="16">
        <ns0:f>A206*('前提と出典'!$C$36*'契約別単価'!L5+'前提と出典'!$C$37*'契約別単価'!L6+'前提と出典'!$C$38*'契約別単価'!L7)</ns0:f>
        <ns0:v>69291.4156256141</ns0:v>
      </ns0:c>
      <ns0:c r="M206" s="16">
        <ns0:f>IF(('前提と出典'!$C$36+'前提と出典'!$C$38)=0,0,IF(B206&lt;=10,'前提と出典'!B73+'前提と出典'!C73,IF(B206&lt;=100,'前提と出典'!B74+'前提と出典'!C74,IF(B206&lt;=500,'前提と出典'!B75+'前提と出典'!C75,'前提と出典'!B76+'前提と出典'!C76))))</ns0:f>
        <ns0:v>40000</ns0:v>
      </ns0:c>
      <ns0:c r="N206" s="16">
        <ns0:f>IF(('前提と出典'!$C$37+'前提と出典'!$C$38)=0,0,IF(C206&lt;=10,'前提と出典'!D73+'前提と出典'!E73,IF(C206&lt;=100,'前提と出典'!D74+'前提と出典'!E74,IF(C206&lt;=500,'前提と出典'!D75+'前提と出典'!E75,'前提と出典'!D76+'前提と出典'!E76))))</ns0:f>
        <ns0:v>56510.9346263078</ns0:v>
      </ns0:c>
      <ns0:c r="O206" s="16">
        <ns0:f>IF('前提と出典'!$C$36+'前提と出典'!$C$38=0,0,'前提と出典'!$B$4*IF('前提と出典'!$B$20=0,MAX('前提と出典'!$B$6,D206*'前提と出典'!$B$5),'前提と出典'!$B$6+D206*'前提と出典'!$B$5))</ns0:f>
        <ns0:v>200582.61452513968</ns0:v>
      </ns0:c>
      <ns0:c r="P206" s="16">
        <ns0:f>(E206+G206)*(1-'前提と出典'!$B$7)-I206-K206-M206-O206</ns0:f>
        <ns0:v>542918.6480866144</ns0:v>
      </ns0:c>
      <ns0:c r="Q206" s="16">
        <ns0:f>(F206+H206)*(1-'前提と出典'!$B$7)-J206-L206-N206</ns0:f>
        <ns0:v>131104.52130248203</ns0:v>
      </ns0:c>
      <ns0:c r="R206" s="16">
        <ns0:f>P206-E206*'前提と出典'!$E$4</ns0:f>
        <ns0:v>390577.94893821504</ns0:v>
      </ns0:c>
      <ns0:c r="S206" s="16">
        <ns0:f>Q206-F206*'前提と出典'!$E$4</ns0:f>
        <ns0:v>86838.20818283723</ns0:v>
      </ns0:c>
      <ns0:c r="T206" s="7">
        <ns0:f>R206+S206</ns0:f>
        <ns0:v>477416.15712105227</ns0:v>
      </ns0:c>
      <ns0:c r="U206" s="16">
        <ns0:f>P206-E206*'前提と出典'!$E$5</ns0:f>
        <ns0:v>339797.71588874864</ns0:v>
      </ns0:c>
      <ns0:c r="V206" s="16">
        <ns0:f>Q206-F206*'前提と出典'!$E$5</ns0:f>
        <ns0:v>72082.770476289</ns0:v>
      </ns0:c>
      <ns0:c r="W206" s="7">
        <ns0:f>U206+V206</ns0:f>
        <ns0:v>411880.4863650376</ns0:v>
      </ns0:c>
      <ns0:c r="X206" s="16">
        <ns0:f>P206-E206*'前提と出典'!$E$6</ns0:f>
        <ns0:v>289017.48283928225</ns0:v>
      </ns0:c>
      <ns0:c r="Y206" s="16">
        <ns0:f>Q206-F206*'前提と出典'!$E$6</ns0:f>
        <ns0:v>57327.332769740744</ns0:v>
      </ns0:c>
      <ns0:c r="Z206" s="7">
        <ns0:f>X206+Y206</ns0:f>
        <ns0:v>346344.815609023</ns0:v>
      </ns0:c>
      <ns0:c r="AA206" s="7">
        <ns0:f>IF(T206&gt;=0,A206,1001)</ns0:f>
        <ns0:v>202</ns0:v>
      </ns0:c>
      <ns0:c r="AB206" s="7">
        <ns0:f>IF(T206&lt;0,A206,0)</ns0:f>
        <ns0:v>0</ns0:v>
      </ns0:c>
      <ns0:c r="AC206" s="16">
        <ns0:f>IF(AND(OR('前提と出典'!$C$36+'前提と出典'!$C$38=0,R206&gt;=0),OR('前提と出典'!$C$37+'前提と出典'!$C$38=0,S206&gt;=0)),0,A206)</ns0:f>
        <ns0:v>0</ns0:v>
      </ns0:c>
      <ns0:c r="AD206" s="7">
        <ns0:f>IF(W206&gt;=0,A206,1001)</ns0:f>
        <ns0:v>202</ns0:v>
      </ns0:c>
      <ns0:c r="AE206" s="7">
        <ns0:f>IF(W206&lt;0,A206,0)</ns0:f>
        <ns0:v>0</ns0:v>
      </ns0:c>
      <ns0:c r="AF206" s="16">
        <ns0:f>IF(AND(OR('前提と出典'!$C$36+'前提と出典'!$C$38=0,U206&gt;=0),OR('前提と出典'!$C$37+'前提と出典'!$C$38=0,V206&gt;=0)),0,A206)</ns0:f>
        <ns0:v>0</ns0:v>
      </ns0:c>
      <ns0:c r="AG206" s="7">
        <ns0:f>IF(Z206&gt;=0,A206,1001)</ns0:f>
        <ns0:v>202</ns0:v>
      </ns0:c>
      <ns0:c r="AH206" s="4">
        <ns0:f>IF(Z206&lt;0,A206,0)</ns0:f>
        <ns0:v>0</ns0:v>
      </ns0:c>
      <ns0:c r="AI206" s="12">
        <ns0:f>IF(AND(OR('前提と出典'!$C$36+'前提と出典'!$C$38=0,X206&gt;=0),OR('前提と出典'!$C$37+'前提と出典'!$C$38=0,Y206&gt;=0)),0,A206)</ns0:f>
        <ns0:v>0</ns0:v>
      </ns0:c>
    </ns0:row>
    <ns0:row r="207" ht="24" customHeight="1">
      <ns0:c r="A207" s="4" t="n">
        <ns0:v>203</ns0:v>
      </ns0:c>
      <ns0:c r="B207" s="12">
        <ns0:f>A207*('前提と出典'!$C$36+'前提と出典'!$C$38)</ns0:f>
        <ns0:v>142.1</ns0:v>
      </ns0:c>
      <ns0:c r="C207" s="12">
        <ns0:f>A207*('前提と出典'!$C$37+'前提と出典'!$C$38)</ns0:f>
        <ns0:v>121.8</ns0:v>
      </ns0:c>
      <ns0:c r="D207" s="16">
        <ns0:f>A207*('前提と出典'!$C$36*'契約別単価'!C5+'前提と出典'!$C$37*'契約別単価'!C6+'前提と出典'!$C$38*'契約別単価'!C7)</ns0:f>
        <ns0:v>1460.6927374301677</ns0:v>
      </ns0:c>
      <ns0:c r="E207" s="16">
        <ns0:f>A207*('前提と出典'!$C$36*'契約別単価'!E5+'前提と出典'!$C$37*'契約別単価'!E6+'前提と出典'!$C$38*'契約別単価'!E7)</ns0:f>
        <ns0:v>510316.2034179054</ns0:v>
      </ns0:c>
      <ns0:c r="F207" s="16">
        <ns0:f>A207*('前提と出典'!$C$36*'契約別単価'!F5+'前提と出典'!$C$37*'契約別単価'!F6+'前提と出典'!$C$38*'契約別単価'!F7)</ns0:f>
        <ns0:v>148284.844278678</ns0:v>
      </ns0:c>
      <ns0:c r="G207" s="16">
        <ns0:f>A207*('前提と出典'!$C$36*'契約別単価'!G5+'前提と出典'!$C$37*'契約別単価'!G6+'前提と出典'!$C$38*'契約別単価'!G7)</ns0:f>
        <ns0:v>404072.0670391061</ns0:v>
      </ns0:c>
      <ns0:c r="H207" s="16">
        <ns0:f>A207*('前提と出典'!$C$36*'契約別単価'!H5+'前提と出典'!$C$37*'契約別単価'!H6+'前提と出典'!$C$38*'契約別単価'!H7)</ns0:f>
        <ns0:v>140233.27306925686</ns0:v>
      </ns0:c>
      <ns0:c r="I207" s="16">
        <ns0:f>A207*('前提と出典'!$C$36*'契約別単価'!I5+'前提と出典'!$C$37*'契約別単価'!I6+'前提と出典'!$C$38*'契約別単価'!I7)</ns0:f>
        <ns0:v>8565.692737430167</ns0:v>
      </ns0:c>
      <ns0:c r="J207" s="16">
        <ns0:f>A207*('前提と出典'!$C$36*'契約別単価'!J5+'前提と出典'!$C$37*'契約別単価'!J6+'前提と出典'!$C$38*'契約別単価'!J7)</ns0:f>
        <ns0:v>19952.77737319142</ns0:v>
      </ns0:c>
      <ns0:c r="K207" s="16">
        <ns0:f>A207*('前提と出典'!$C$36*'契約別単価'!K5+'前提と出典'!$C$37*'契約別単価'!K6+'前提と出典'!$C$38*'契約別単価'!K7)</ns0:f>
        <ns0:v>85524.61824953444</ns0:v>
      </ns0:c>
      <ns0:c r="L207" s="16">
        <ns0:f>A207*('前提と出典'!$C$36*'契約別単価'!L5+'前提と出典'!$C$37*'契約別単価'!L6+'前提と出典'!$C$38*'契約別単価'!L7)</ns0:f>
        <ns0:v>69634.44243564189</ns0:v>
      </ns0:c>
      <ns0:c r="M207" s="16">
        <ns0:f>IF(('前提と出典'!$C$36+'前提と出典'!$C$38)=0,0,IF(B207&lt;=10,'前提と出典'!B73+'前提と出典'!C73,IF(B207&lt;=100,'前提と出典'!B74+'前提と出典'!C74,IF(B207&lt;=500,'前提と出典'!B75+'前提と出典'!C75,'前提と出典'!B76+'前提と出典'!C76))))</ns0:f>
        <ns0:v>40000</ns0:v>
      </ns0:c>
      <ns0:c r="N207" s="16">
        <ns0:f>IF(('前提と出典'!$C$37+'前提と出典'!$C$38)=0,0,IF(C207&lt;=10,'前提と出典'!D73+'前提と出典'!E73,IF(C207&lt;=100,'前提と出典'!D74+'前提と出典'!E74,IF(C207&lt;=500,'前提と出典'!D75+'前提と出典'!E75,'前提と出典'!D76+'前提と出典'!E76))))</ns0:f>
        <ns0:v>56510.9346263078</ns0:v>
      </ns0:c>
      <ns0:c r="O207" s="16">
        <ns0:f>IF('前提と出典'!$C$36+'前提と出典'!$C$38=0,0,'前提と出典'!$B$4*IF('前提と出典'!$B$20=0,MAX('前提と出典'!$B$6,D207*'前提と出典'!$B$5),'前提と出典'!$B$6+D207*'前提と出典'!$B$5))</ns0:f>
        <ns0:v>201575.59776536314</ns0:v>
      </ns0:c>
      <ns0:c r="P207" s="16">
        <ns0:f>(E207+G207)*(1-'前提と出典'!$B$7)-I207-K207-M207-O207</ns0:f>
        <ns0:v>545804.3839682313</ns0:v>
      </ns0:c>
      <ns0:c r="Q207" s="16">
        <ns0:f>(F207+H207)*(1-'前提と出典'!$B$7)-J207-L207-N207</ns0:f>
        <ns0:v>132033.31068826807</ns0:v>
      </ns0:c>
      <ns0:c r="R207" s="16">
        <ns0:f>P207-E207*'前提と出典'!$E$4</ns0:f>
        <ns0:v>392709.5229428597</ns0:v>
      </ns0:c>
      <ns0:c r="S207" s="16">
        <ns0:f>Q207-F207*'前提と出典'!$E$4</ns0:f>
        <ns0:v>87547.85740466468</ns0:v>
      </ns0:c>
      <ns0:c r="T207" s="7">
        <ns0:f>R207+S207</ns0:f>
        <ns0:v>480257.38034752436</ns0:v>
      </ns0:c>
      <ns0:c r="U207" s="16">
        <ns0:f>P207-E207*'前提と出典'!$E$5</ns0:f>
        <ns0:v>341677.9026010691</ns0:v>
      </ns0:c>
      <ns0:c r="V207" s="16">
        <ns0:f>Q207-F207*'前提と出典'!$E$5</ns0:f>
        <ns0:v>72719.37297679688</ns0:v>
      </ns0:c>
      <ns0:c r="W207" s="7">
        <ns0:f>U207+V207</ns0:f>
        <ns0:v>414397.27557786595</ns0:v>
      </ns0:c>
      <ns0:c r="X207" s="16">
        <ns0:f>P207-E207*'前提と出典'!$E$6</ns0:f>
        <ns0:v>290646.2822592786</ns0:v>
      </ns0:c>
      <ns0:c r="Y207" s="16">
        <ns0:f>Q207-F207*'前提と出典'!$E$6</ns0:f>
        <ns0:v>57890.88854892908</ns0:v>
      </ns0:c>
      <ns0:c r="Z207" s="7">
        <ns0:f>X207+Y207</ns0:f>
        <ns0:v>348537.17080820765</ns0:v>
      </ns0:c>
      <ns0:c r="AA207" s="7">
        <ns0:f>IF(T207&gt;=0,A207,1001)</ns0:f>
        <ns0:v>203</ns0:v>
      </ns0:c>
      <ns0:c r="AB207" s="7">
        <ns0:f>IF(T207&lt;0,A207,0)</ns0:f>
        <ns0:v>0</ns0:v>
      </ns0:c>
      <ns0:c r="AC207" s="16">
        <ns0:f>IF(AND(OR('前提と出典'!$C$36+'前提と出典'!$C$38=0,R207&gt;=0),OR('前提と出典'!$C$37+'前提と出典'!$C$38=0,S207&gt;=0)),0,A207)</ns0:f>
        <ns0:v>0</ns0:v>
      </ns0:c>
      <ns0:c r="AD207" s="7">
        <ns0:f>IF(W207&gt;=0,A207,1001)</ns0:f>
        <ns0:v>203</ns0:v>
      </ns0:c>
      <ns0:c r="AE207" s="7">
        <ns0:f>IF(W207&lt;0,A207,0)</ns0:f>
        <ns0:v>0</ns0:v>
      </ns0:c>
      <ns0:c r="AF207" s="16">
        <ns0:f>IF(AND(OR('前提と出典'!$C$36+'前提と出典'!$C$38=0,U207&gt;=0),OR('前提と出典'!$C$37+'前提と出典'!$C$38=0,V207&gt;=0)),0,A207)</ns0:f>
        <ns0:v>0</ns0:v>
      </ns0:c>
      <ns0:c r="AG207" s="7">
        <ns0:f>IF(Z207&gt;=0,A207,1001)</ns0:f>
        <ns0:v>203</ns0:v>
      </ns0:c>
      <ns0:c r="AH207" s="4">
        <ns0:f>IF(Z207&lt;0,A207,0)</ns0:f>
        <ns0:v>0</ns0:v>
      </ns0:c>
      <ns0:c r="AI207" s="12">
        <ns0:f>IF(AND(OR('前提と出典'!$C$36+'前提と出典'!$C$38=0,X207&gt;=0),OR('前提と出典'!$C$37+'前提と出典'!$C$38=0,Y207&gt;=0)),0,A207)</ns0:f>
        <ns0:v>0</ns0:v>
      </ns0:c>
    </ns0:row>
    <ns0:row r="208" ht="24" customHeight="1">
      <ns0:c r="A208" s="4" t="n">
        <ns0:v>204</ns0:v>
      </ns0:c>
      <ns0:c r="B208" s="12">
        <ns0:f>A208*('前提と出典'!$C$36+'前提と出典'!$C$38)</ns0:f>
        <ns0:v>142.79999999999998</ns0:v>
      </ns0:c>
      <ns0:c r="C208" s="12">
        <ns0:f>A208*('前提と出典'!$C$37+'前提と出典'!$C$38)</ns0:f>
        <ns0:v>122.39999999999999</ns0:v>
      </ns0:c>
      <ns0:c r="D208" s="16">
        <ns0:f>A208*('前提と出典'!$C$36*'契約別単価'!C5+'前提と出典'!$C$37*'契約別単価'!C6+'前提と出典'!$C$38*'契約別単価'!C7)</ns0:f>
        <ns0:v>1467.8882681564246</ns0:v>
      </ns0:c>
      <ns0:c r="E208" s="16">
        <ns0:f>A208*('前提と出典'!$C$36*'契約別単価'!E5+'前提と出典'!$C$37*'契約別単価'!E6+'前提と出典'!$C$38*'契約別単価'!E7)</ns0:f>
        <ns0:v>512830.0763411463</ns0:v>
      </ns0:c>
      <ns0:c r="F208" s="16">
        <ns0:f>A208*('前提と出典'!$C$36*'契約別単価'!F5+'前提と出典'!$C$37*'契約別単価'!F6+'前提と出典'!$C$38*'契約別単価'!F7)</ns0:f>
        <ns0:v>149015.31149187346</ns0:v>
      </ns0:c>
      <ns0:c r="G208" s="16">
        <ns0:f>A208*('前提と出典'!$C$36*'契約別単価'!G5+'前提と出典'!$C$37*'契約別単価'!G6+'前提と出典'!$C$38*'契約別単価'!G7)</ns0:f>
        <ns0:v>406062.5698324022</ns0:v>
      </ns0:c>
      <ns0:c r="H208" s="16">
        <ns0:f>A208*('前提と出典'!$C$36*'契約別単価'!H5+'前提と出典'!$C$37*'契約別単価'!H6+'前提と出典'!$C$38*'契約別単価'!H7)</ns0:f>
        <ns0:v>140924.07737009064</ns0:v>
      </ns0:c>
      <ns0:c r="I208" s="16">
        <ns0:f>A208*('前提と出典'!$C$36*'契約別単価'!I5+'前提と出典'!$C$37*'契約別単価'!I6+'前提と出典'!$C$38*'契約別単価'!I7)</ns0:f>
        <ns0:v>8607.888268156423</ns0:v>
      </ns0:c>
      <ns0:c r="J208" s="16">
        <ns0:f>A208*('前提と出典'!$C$36*'契約別単価'!J5+'前提と出典'!$C$37*'契約別単価'!J6+'前提と出典'!$C$38*'契約別単価'!J7)</ns0:f>
        <ns0:v>20051.066916901724</ns0:v>
      </ns0:c>
      <ns0:c r="K208" s="16">
        <ns0:f>A208*('前提と出典'!$C$36*'契約別単価'!K5+'前提と出典'!$C$37*'契約別単価'!K6+'前提と出典'!$C$38*'契約別単価'!K7)</ns0:f>
        <ns0:v>85945.92178770949</ns0:v>
      </ns0:c>
      <ns0:c r="L208" s="16">
        <ns0:f>A208*('前提と出典'!$C$36*'契約別単価'!L5+'前提と出典'!$C$37*'契約別単価'!L6+'前提と出典'!$C$38*'契約別単価'!L7)</ns0:f>
        <ns0:v>69977.46924566968</ns0:v>
      </ns0:c>
      <ns0:c r="M208" s="16">
        <ns0:f>IF(('前提と出典'!$C$36+'前提と出典'!$C$38)=0,0,IF(B208&lt;=10,'前提と出典'!B73+'前提と出典'!C73,IF(B208&lt;=100,'前提と出典'!B74+'前提と出典'!C74,IF(B208&lt;=500,'前提と出典'!B75+'前提と出典'!C75,'前提と出典'!B76+'前提と出典'!C76))))</ns0:f>
        <ns0:v>40000</ns0:v>
      </ns0:c>
      <ns0:c r="N208" s="16">
        <ns0:f>IF(('前提と出典'!$C$37+'前提と出典'!$C$38)=0,0,IF(C208&lt;=10,'前提と出典'!D73+'前提と出典'!E73,IF(C208&lt;=100,'前提と出典'!D74+'前提と出典'!E74,IF(C208&lt;=500,'前提と出典'!D75+'前提と出典'!E75,'前提と出典'!D76+'前提と出典'!E76))))</ns0:f>
        <ns0:v>56510.9346263078</ns0:v>
      </ns0:c>
      <ns0:c r="O208" s="16">
        <ns0:f>IF('前提と出典'!$C$36+'前提と出典'!$C$38=0,0,'前提と出典'!$B$4*IF('前提と出典'!$B$20=0,MAX('前提と出典'!$B$6,D208*'前提と出典'!$B$5),'前提と出典'!$B$6+D208*'前提と出典'!$B$5))</ns0:f>
        <ns0:v>202568.5810055866</ns0:v>
      </ns0:c>
      <ns0:c r="P208" s="16">
        <ns0:f>(E208+G208)*(1-'前提と出典'!$B$7)-I208-K208-M208-O208</ns0:f>
        <ns0:v>548690.1198498483</ns0:v>
      </ns0:c>
      <ns0:c r="Q208" s="16">
        <ns0:f>(F208+H208)*(1-'前提と出典'!$B$7)-J208-L208-N208</ns0:f>
        <ns0:v>132962.1000740542</ns0:v>
      </ns0:c>
      <ns0:c r="R208" s="16">
        <ns0:f>P208-E208*'前提と出典'!$E$4</ns0:f>
        <ns0:v>394841.0969475044</ns0:v>
      </ns0:c>
      <ns0:c r="S208" s="16">
        <ns0:f>Q208-F208*'前提と出典'!$E$4</ns0:f>
        <ns0:v>88257.50662649213</ns0:v>
      </ns0:c>
      <ns0:c r="T208" s="7">
        <ns0:f>R208+S208</ns0:f>
        <ns0:v>483098.6035739965</ns0:v>
      </ns0:c>
      <ns0:c r="U208" s="16">
        <ns0:f>P208-E208*'前提と出典'!$E$5</ns0:f>
        <ns0:v>343558.0893133898</ns0:v>
      </ns0:c>
      <ns0:c r="V208" s="16">
        <ns0:f>Q208-F208*'前提と出典'!$E$5</ns0:f>
        <ns0:v>73355.97547730483</ns0:v>
      </ns0:c>
      <ns0:c r="W208" s="7">
        <ns0:f>U208+V208</ns0:f>
        <ns0:v>416914.0647906946</ns0:v>
      </ns0:c>
      <ns0:c r="X208" s="16">
        <ns0:f>P208-E208*'前提と出典'!$E$6</ns0:f>
        <ns0:v>292275.0816792751</ns0:v>
      </ns0:c>
      <ns0:c r="Y208" s="16">
        <ns0:f>Q208-F208*'前提と出典'!$E$6</ns0:f>
        <ns0:v>58454.44432811747</ns0:v>
      </ns0:c>
      <ns0:c r="Z208" s="7">
        <ns0:f>X208+Y208</ns0:f>
        <ns0:v>350729.52600739256</ns0:v>
      </ns0:c>
      <ns0:c r="AA208" s="7">
        <ns0:f>IF(T208&gt;=0,A208,1001)</ns0:f>
        <ns0:v>204</ns0:v>
      </ns0:c>
      <ns0:c r="AB208" s="7">
        <ns0:f>IF(T208&lt;0,A208,0)</ns0:f>
        <ns0:v>0</ns0:v>
      </ns0:c>
      <ns0:c r="AC208" s="16">
        <ns0:f>IF(AND(OR('前提と出典'!$C$36+'前提と出典'!$C$38=0,R208&gt;=0),OR('前提と出典'!$C$37+'前提と出典'!$C$38=0,S208&gt;=0)),0,A208)</ns0:f>
        <ns0:v>0</ns0:v>
      </ns0:c>
      <ns0:c r="AD208" s="7">
        <ns0:f>IF(W208&gt;=0,A208,1001)</ns0:f>
        <ns0:v>204</ns0:v>
      </ns0:c>
      <ns0:c r="AE208" s="7">
        <ns0:f>IF(W208&lt;0,A208,0)</ns0:f>
        <ns0:v>0</ns0:v>
      </ns0:c>
      <ns0:c r="AF208" s="16">
        <ns0:f>IF(AND(OR('前提と出典'!$C$36+'前提と出典'!$C$38=0,U208&gt;=0),OR('前提と出典'!$C$37+'前提と出典'!$C$38=0,V208&gt;=0)),0,A208)</ns0:f>
        <ns0:v>0</ns0:v>
      </ns0:c>
      <ns0:c r="AG208" s="7">
        <ns0:f>IF(Z208&gt;=0,A208,1001)</ns0:f>
        <ns0:v>204</ns0:v>
      </ns0:c>
      <ns0:c r="AH208" s="4">
        <ns0:f>IF(Z208&lt;0,A208,0)</ns0:f>
        <ns0:v>0</ns0:v>
      </ns0:c>
      <ns0:c r="AI208" s="12">
        <ns0:f>IF(AND(OR('前提と出典'!$C$36+'前提と出典'!$C$38=0,X208&gt;=0),OR('前提と出典'!$C$37+'前提と出典'!$C$38=0,Y208&gt;=0)),0,A208)</ns0:f>
        <ns0:v>0</ns0:v>
      </ns0:c>
    </ns0:row>
    <ns0:row r="209" ht="24" customHeight="1">
      <ns0:c r="A209" s="4" t="n">
        <ns0:v>205</ns0:v>
      </ns0:c>
      <ns0:c r="B209" s="12">
        <ns0:f>A209*('前提と出典'!$C$36+'前提と出典'!$C$38)</ns0:f>
        <ns0:v>143.5</ns0:v>
      </ns0:c>
      <ns0:c r="C209" s="12">
        <ns0:f>A209*('前提と出典'!$C$37+'前提と出典'!$C$38)</ns0:f>
        <ns0:v>123</ns0:v>
      </ns0:c>
      <ns0:c r="D209" s="16">
        <ns0:f>A209*('前提と出典'!$C$36*'契約別単価'!C5+'前提と出典'!$C$37*'契約別単価'!C6+'前提と出典'!$C$38*'契約別単価'!C7)</ns0:f>
        <ns0:v>1475.0837988826815</ns0:v>
      </ns0:c>
      <ns0:c r="E209" s="16">
        <ns0:f>A209*('前提と出典'!$C$36*'契約別単価'!E5+'前提と出典'!$C$37*'契約別単価'!E6+'前提と出典'!$C$38*'契約別単価'!E7)</ns0:f>
        <ns0:v>515343.9492643872</ns0:v>
      </ns0:c>
      <ns0:c r="F209" s="16">
        <ns0:f>A209*('前提と出典'!$C$36*'契約別単価'!F5+'前提と出典'!$C$37*'契約別単価'!F6+'前提と出典'!$C$38*'契約別単価'!F7)</ns0:f>
        <ns0:v>149745.77870506892</ns0:v>
      </ns0:c>
      <ns0:c r="G209" s="16">
        <ns0:f>A209*('前提と出典'!$C$36*'契約別単価'!G5+'前提と出典'!$C$37*'契約別単価'!G6+'前提と出典'!$C$38*'契約別単価'!G7)</ns0:f>
        <ns0:v>408053.0726256983</ns0:v>
      </ns0:c>
      <ns0:c r="H209" s="16">
        <ns0:f>A209*('前提と出典'!$C$36*'契約別単価'!H5+'前提と出典'!$C$37*'契約別単価'!H6+'前提と出典'!$C$38*'契約別単価'!H7)</ns0:f>
        <ns0:v>141614.88167092443</ns0:v>
      </ns0:c>
      <ns0:c r="I209" s="16">
        <ns0:f>A209*('前提と出典'!$C$36*'契約別単価'!I5+'前提と出典'!$C$37*'契約別単価'!I6+'前提と出典'!$C$38*'契約別単価'!I7)</ns0:f>
        <ns0:v>8650.08379888268</ns0:v>
      </ns0:c>
      <ns0:c r="J209" s="16">
        <ns0:f>A209*('前提と出典'!$C$36*'契約別単価'!J5+'前提と出典'!$C$37*'契約別単価'!J6+'前提と出典'!$C$38*'契約別単価'!J7)</ns0:f>
        <ns0:v>20149.356460612027</ns0:v>
      </ns0:c>
      <ns0:c r="K209" s="16">
        <ns0:f>A209*('前提と出典'!$C$36*'契約別単価'!K5+'前提と出典'!$C$37*'契約別単価'!K6+'前提と出典'!$C$38*'契約別単価'!K7)</ns0:f>
        <ns0:v>86367.22532588454</ns0:v>
      </ns0:c>
      <ns0:c r="L209" s="16">
        <ns0:f>A209*('前提と出典'!$C$36*'契約別単価'!L5+'前提と出典'!$C$37*'契約別単価'!L6+'前提と出典'!$C$38*'契約別単価'!L7)</ns0:f>
        <ns0:v>70320.49605569748</ns0:v>
      </ns0:c>
      <ns0:c r="M209" s="16">
        <ns0:f>IF(('前提と出典'!$C$36+'前提と出典'!$C$38)=0,0,IF(B209&lt;=10,'前提と出典'!B73+'前提と出典'!C73,IF(B209&lt;=100,'前提と出典'!B74+'前提と出典'!C74,IF(B209&lt;=500,'前提と出典'!B75+'前提と出典'!C75,'前提と出典'!B76+'前提と出典'!C76))))</ns0:f>
        <ns0:v>40000</ns0:v>
      </ns0:c>
      <ns0:c r="N209" s="16">
        <ns0:f>IF(('前提と出典'!$C$37+'前提と出典'!$C$38)=0,0,IF(C209&lt;=10,'前提と出典'!D73+'前提と出典'!E73,IF(C209&lt;=100,'前提と出典'!D74+'前提と出典'!E74,IF(C209&lt;=500,'前提と出典'!D75+'前提と出典'!E75,'前提と出典'!D76+'前提と出典'!E76))))</ns0:f>
        <ns0:v>56510.9346263078</ns0:v>
      </ns0:c>
      <ns0:c r="O209" s="16">
        <ns0:f>IF('前提と出典'!$C$36+'前提と出典'!$C$38=0,0,'前提と出典'!$B$4*IF('前提と出典'!$B$20=0,MAX('前提と出典'!$B$6,D209*'前提と出典'!$B$5),'前提と出典'!$B$6+D209*'前提と出典'!$B$5))</ns0:f>
        <ns0:v>203561.56424581006</ns0:v>
      </ns0:c>
      <ns0:c r="P209" s="16">
        <ns0:f>(E209+G209)*(1-'前提と出典'!$B$7)-I209-K209-M209-O209</ns0:f>
        <ns0:v>551575.8557314652</ns0:v>
      </ns0:c>
      <ns0:c r="Q209" s="16">
        <ns0:f>(F209+H209)*(1-'前提と出典'!$B$7)-J209-L209-N209</ns0:f>
        <ns0:v>133890.88945984028</ns0:v>
      </ns0:c>
      <ns0:c r="R209" s="16">
        <ns0:f>P209-E209*'前提と出典'!$E$4</ns0:f>
        <ns0:v>396972.67095214897</ns0:v>
      </ns0:c>
      <ns0:c r="S209" s="16">
        <ns0:f>Q209-F209*'前提と出典'!$E$4</ns0:f>
        <ns0:v>88967.15584831958</ns0:v>
      </ns0:c>
      <ns0:c r="T209" s="7">
        <ns0:f>R209+S209</ns0:f>
        <ns0:v>485939.82680046855</ns0:v>
      </ns0:c>
      <ns0:c r="U209" s="16">
        <ns0:f>P209-E209*'前提と出典'!$E$5</ns0:f>
        <ns0:v>345438.2760257103</ns0:v>
      </ns0:c>
      <ns0:c r="V209" s="16">
        <ns0:f>Q209-F209*'前提と出典'!$E$5</ns0:f>
        <ns0:v>73992.5779778127</ns0:v>
      </ns0:c>
      <ns0:c r="W209" s="7">
        <ns0:f>U209+V209</ns0:f>
        <ns0:v>419430.854003523</ns0:v>
      </ns0:c>
      <ns0:c r="X209" s="16">
        <ns0:f>P209-E209*'前提と出典'!$E$6</ns0:f>
        <ns0:v>293903.8810992716</ns0:v>
      </ns0:c>
      <ns0:c r="Y209" s="16">
        <ns0:f>Q209-F209*'前提と出典'!$E$6</ns0:f>
        <ns0:v>59018.000107305816</ns0:v>
      </ns0:c>
      <ns0:c r="Z209" s="7">
        <ns0:f>X209+Y209</ns0:f>
        <ns0:v>352921.8812065774</ns0:v>
      </ns0:c>
      <ns0:c r="AA209" s="7">
        <ns0:f>IF(T209&gt;=0,A209,1001)</ns0:f>
        <ns0:v>205</ns0:v>
      </ns0:c>
      <ns0:c r="AB209" s="7">
        <ns0:f>IF(T209&lt;0,A209,0)</ns0:f>
        <ns0:v>0</ns0:v>
      </ns0:c>
      <ns0:c r="AC209" s="16">
        <ns0:f>IF(AND(OR('前提と出典'!$C$36+'前提と出典'!$C$38=0,R209&gt;=0),OR('前提と出典'!$C$37+'前提と出典'!$C$38=0,S209&gt;=0)),0,A209)</ns0:f>
        <ns0:v>0</ns0:v>
      </ns0:c>
      <ns0:c r="AD209" s="7">
        <ns0:f>IF(W209&gt;=0,A209,1001)</ns0:f>
        <ns0:v>205</ns0:v>
      </ns0:c>
      <ns0:c r="AE209" s="7">
        <ns0:f>IF(W209&lt;0,A209,0)</ns0:f>
        <ns0:v>0</ns0:v>
      </ns0:c>
      <ns0:c r="AF209" s="16">
        <ns0:f>IF(AND(OR('前提と出典'!$C$36+'前提と出典'!$C$38=0,U209&gt;=0),OR('前提と出典'!$C$37+'前提と出典'!$C$38=0,V209&gt;=0)),0,A209)</ns0:f>
        <ns0:v>0</ns0:v>
      </ns0:c>
      <ns0:c r="AG209" s="7">
        <ns0:f>IF(Z209&gt;=0,A209,1001)</ns0:f>
        <ns0:v>205</ns0:v>
      </ns0:c>
      <ns0:c r="AH209" s="4">
        <ns0:f>IF(Z209&lt;0,A209,0)</ns0:f>
        <ns0:v>0</ns0:v>
      </ns0:c>
      <ns0:c r="AI209" s="12">
        <ns0:f>IF(AND(OR('前提と出典'!$C$36+'前提と出典'!$C$38=0,X209&gt;=0),OR('前提と出典'!$C$37+'前提と出典'!$C$38=0,Y209&gt;=0)),0,A209)</ns0:f>
        <ns0:v>0</ns0:v>
      </ns0:c>
    </ns0:row>
    <ns0:row r="210" ht="24" customHeight="1">
      <ns0:c r="A210" s="4" t="n">
        <ns0:v>206</ns0:v>
      </ns0:c>
      <ns0:c r="B210" s="12">
        <ns0:f>A210*('前提と出典'!$C$36+'前提と出典'!$C$38)</ns0:f>
        <ns0:v>144.2</ns0:v>
      </ns0:c>
      <ns0:c r="C210" s="12">
        <ns0:f>A210*('前提と出典'!$C$37+'前提と出典'!$C$38)</ns0:f>
        <ns0:v>123.6</ns0:v>
      </ns0:c>
      <ns0:c r="D210" s="16">
        <ns0:f>A210*('前提と出典'!$C$36*'契約別単価'!C5+'前提と出典'!$C$37*'契約別単価'!C6+'前提と出典'!$C$38*'契約別単価'!C7)</ns0:f>
        <ns0:v>1482.2793296089385</ns0:v>
      </ns0:c>
      <ns0:c r="E210" s="16">
        <ns0:f>A210*('前提と出典'!$C$36*'契約別単価'!E5+'前提と出典'!$C$37*'契約別単価'!E6+'前提と出典'!$C$38*'契約別単価'!E7)</ns0:f>
        <ns0:v>517857.82218762813</ns0:v>
      </ns0:c>
      <ns0:c r="F210" s="16">
        <ns0:f>A210*('前提と出典'!$C$36*'契約別単価'!F5+'前提と出典'!$C$37*'契約別単価'!F6+'前提と出典'!$C$38*'契約別単価'!F7)</ns0:f>
        <ns0:v>150476.24591826438</ns0:v>
      </ns0:c>
      <ns0:c r="G210" s="16">
        <ns0:f>A210*('前提と出典'!$C$36*'契約別単価'!G5+'前提と出典'!$C$37*'契約別単価'!G6+'前提と出典'!$C$38*'契約別単価'!G7)</ns0:f>
        <ns0:v>410043.5754189944</ns0:v>
      </ns0:c>
      <ns0:c r="H210" s="16">
        <ns0:f>A210*('前提と出典'!$C$36*'契約別単価'!H5+'前提と出典'!$C$37*'契約別単価'!H6+'前提と出典'!$C$38*'契約別単価'!H7)</ns0:f>
        <ns0:v>142305.6859717582</ns0:v>
      </ns0:c>
      <ns0:c r="I210" s="16">
        <ns0:f>A210*('前提と出典'!$C$36*'契約別単価'!I5+'前提と出典'!$C$37*'契約別単価'!I6+'前提と出典'!$C$38*'契約別単価'!I7)</ns0:f>
        <ns0:v>8692.279329608937</ns0:v>
      </ns0:c>
      <ns0:c r="J210" s="16">
        <ns0:f>A210*('前提と出典'!$C$36*'契約別単価'!J5+'前提と出典'!$C$37*'契約別単価'!J6+'前提と出典'!$C$38*'契約別単価'!J7)</ns0:f>
        <ns0:v>20247.64600432233</ns0:v>
      </ns0:c>
      <ns0:c r="K210" s="16">
        <ns0:f>A210*('前提と出典'!$C$36*'契約別単価'!K5+'前提と出典'!$C$37*'契約別単価'!K6+'前提と出典'!$C$38*'契約別単価'!K7)</ns0:f>
        <ns0:v>86788.52886405958</ns0:v>
      </ns0:c>
      <ns0:c r="L210" s="16">
        <ns0:f>A210*('前提と出典'!$C$36*'契約別単価'!L5+'前提と出典'!$C$37*'契約別単価'!L6+'前提と出典'!$C$38*'契約別単価'!L7)</ns0:f>
        <ns0:v>70663.52286572527</ns0:v>
      </ns0:c>
      <ns0:c r="M210" s="16">
        <ns0:f>IF(('前提と出典'!$C$36+'前提と出典'!$C$38)=0,0,IF(B210&lt;=10,'前提と出典'!B73+'前提と出典'!C73,IF(B210&lt;=100,'前提と出典'!B74+'前提と出典'!C74,IF(B210&lt;=500,'前提と出典'!B75+'前提と出典'!C75,'前提と出典'!B76+'前提と出典'!C76))))</ns0:f>
        <ns0:v>40000</ns0:v>
      </ns0:c>
      <ns0:c r="N210" s="16">
        <ns0:f>IF(('前提と出典'!$C$37+'前提と出典'!$C$38)=0,0,IF(C210&lt;=10,'前提と出典'!D73+'前提と出典'!E73,IF(C210&lt;=100,'前提と出典'!D74+'前提と出典'!E74,IF(C210&lt;=500,'前提と出典'!D75+'前提と出典'!E75,'前提と出典'!D76+'前提と出典'!E76))))</ns0:f>
        <ns0:v>56510.9346263078</ns0:v>
      </ns0:c>
      <ns0:c r="O210" s="16">
        <ns0:f>IF('前提と出典'!$C$36+'前提と出典'!$C$38=0,0,'前提と出典'!$B$4*IF('前提と出典'!$B$20=0,MAX('前提と出典'!$B$6,D210*'前提と出典'!$B$5),'前提と出典'!$B$6+D210*'前提と出典'!$B$5))</ns0:f>
        <ns0:v>204554.54748603352</ns0:v>
      </ns0:c>
      <ns0:c r="P210" s="16">
        <ns0:f>(E210+G210)*(1-'前提と出典'!$B$7)-I210-K210-M210-O210</ns0:f>
        <ns0:v>554461.5916130821</ns0:v>
      </ns0:c>
      <ns0:c r="Q210" s="16">
        <ns0:f>(F210+H210)*(1-'前提と出典'!$B$7)-J210-L210-N210</ns0:f>
        <ns0:v>134819.67884562636</ns0:v>
      </ns0:c>
      <ns0:c r="R210" s="16">
        <ns0:f>P210-E210*'前提と出典'!$E$4</ns0:f>
        <ns0:v>399104.24495679373</ns0:v>
      </ns0:c>
      <ns0:c r="S210" s="16">
        <ns0:f>Q210-F210*'前提と出典'!$E$4</ns0:f>
        <ns0:v>89676.80507014703</ns0:v>
      </ns0:c>
      <ns0:c r="T210" s="7">
        <ns0:f>R210+S210</ns0:f>
        <ns0:v>488781.05002694076</ns0:v>
      </ns0:c>
      <ns0:c r="U210" s="16">
        <ns0:f>P210-E210*'前提と出典'!$E$5</ns0:f>
        <ns0:v>347318.4627380308</ns0:v>
      </ns0:c>
      <ns0:c r="V210" s="16">
        <ns0:f>Q210-F210*'前提と出典'!$E$5</ns0:f>
        <ns0:v>74629.1804783206</ns0:v>
      </ns0:c>
      <ns0:c r="W210" s="7">
        <ns0:f>U210+V210</ns0:f>
        <ns0:v>421947.6432163514</ns0:v>
      </ns0:c>
      <ns0:c r="X210" s="16">
        <ns0:f>P210-E210*'前提と出典'!$E$6</ns0:f>
        <ns0:v>295532.68051926803</ns0:v>
      </ns0:c>
      <ns0:c r="Y210" s="16">
        <ns0:f>Q210-F210*'前提と出典'!$E$6</ns0:f>
        <ns0:v>59581.55588649418</ns0:v>
      </ns0:c>
      <ns0:c r="Z210" s="7">
        <ns0:f>X210+Y210</ns0:f>
        <ns0:v>355114.2364057622</ns0:v>
      </ns0:c>
      <ns0:c r="AA210" s="7">
        <ns0:f>IF(T210&gt;=0,A210,1001)</ns0:f>
        <ns0:v>206</ns0:v>
      </ns0:c>
      <ns0:c r="AB210" s="7">
        <ns0:f>IF(T210&lt;0,A210,0)</ns0:f>
        <ns0:v>0</ns0:v>
      </ns0:c>
      <ns0:c r="AC210" s="16">
        <ns0:f>IF(AND(OR('前提と出典'!$C$36+'前提と出典'!$C$38=0,R210&gt;=0),OR('前提と出典'!$C$37+'前提と出典'!$C$38=0,S210&gt;=0)),0,A210)</ns0:f>
        <ns0:v>0</ns0:v>
      </ns0:c>
      <ns0:c r="AD210" s="7">
        <ns0:f>IF(W210&gt;=0,A210,1001)</ns0:f>
        <ns0:v>206</ns0:v>
      </ns0:c>
      <ns0:c r="AE210" s="7">
        <ns0:f>IF(W210&lt;0,A210,0)</ns0:f>
        <ns0:v>0</ns0:v>
      </ns0:c>
      <ns0:c r="AF210" s="16">
        <ns0:f>IF(AND(OR('前提と出典'!$C$36+'前提と出典'!$C$38=0,U210&gt;=0),OR('前提と出典'!$C$37+'前提と出典'!$C$38=0,V210&gt;=0)),0,A210)</ns0:f>
        <ns0:v>0</ns0:v>
      </ns0:c>
      <ns0:c r="AG210" s="7">
        <ns0:f>IF(Z210&gt;=0,A210,1001)</ns0:f>
        <ns0:v>206</ns0:v>
      </ns0:c>
      <ns0:c r="AH210" s="4">
        <ns0:f>IF(Z210&lt;0,A210,0)</ns0:f>
        <ns0:v>0</ns0:v>
      </ns0:c>
      <ns0:c r="AI210" s="12">
        <ns0:f>IF(AND(OR('前提と出典'!$C$36+'前提と出典'!$C$38=0,X210&gt;=0),OR('前提と出典'!$C$37+'前提と出典'!$C$38=0,Y210&gt;=0)),0,A210)</ns0:f>
        <ns0:v>0</ns0:v>
      </ns0:c>
    </ns0:row>
    <ns0:row r="211" ht="24" customHeight="1">
      <ns0:c r="A211" s="4" t="n">
        <ns0:v>207</ns0:v>
      </ns0:c>
      <ns0:c r="B211" s="12">
        <ns0:f>A211*('前提と出典'!$C$36+'前提と出典'!$C$38)</ns0:f>
        <ns0:v>144.89999999999998</ns0:v>
      </ns0:c>
      <ns0:c r="C211" s="12">
        <ns0:f>A211*('前提と出典'!$C$37+'前提と出典'!$C$38)</ns0:f>
        <ns0:v>124.19999999999999</ns0:v>
      </ns0:c>
      <ns0:c r="D211" s="16">
        <ns0:f>A211*('前提と出典'!$C$36*'契約別単価'!C5+'前提と出典'!$C$37*'契約別単価'!C6+'前提と出典'!$C$38*'契約別単価'!C7)</ns0:f>
        <ns0:v>1489.4748603351954</ns0:v>
      </ns0:c>
      <ns0:c r="E211" s="16">
        <ns0:f>A211*('前提と出典'!$C$36*'契約別単価'!E5+'前提と出典'!$C$37*'契約別単価'!E6+'前提と出典'!$C$38*'契約別単価'!E7)</ns0:f>
        <ns0:v>520371.695110869</ns0:v>
      </ns0:c>
      <ns0:c r="F211" s="16">
        <ns0:f>A211*('前提と出典'!$C$36*'契約別単価'!F5+'前提と出典'!$C$37*'契約別単価'!F6+'前提と出典'!$C$38*'契約別単価'!F7)</ns0:f>
        <ns0:v>151206.71313145984</ns0:v>
      </ns0:c>
      <ns0:c r="G211" s="16">
        <ns0:f>A211*('前提と出典'!$C$36*'契約別単価'!G5+'前提と出典'!$C$37*'契約別単価'!G6+'前提と出典'!$C$38*'契約別単価'!G7)</ns0:f>
        <ns0:v>412034.0782122905</ns0:v>
      </ns0:c>
      <ns0:c r="H211" s="16">
        <ns0:f>A211*('前提と出典'!$C$36*'契約別単価'!H5+'前提と出典'!$C$37*'契約別単価'!H6+'前提と出典'!$C$38*'契約別単価'!H7)</ns0:f>
        <ns0:v>142996.49027259197</ns0:v>
      </ns0:c>
      <ns0:c r="I211" s="16">
        <ns0:f>A211*('前提と出典'!$C$36*'契約別単価'!I5+'前提と出典'!$C$37*'契約別単価'!I6+'前提と出典'!$C$38*'契約別単価'!I7)</ns0:f>
        <ns0:v>8734.474860335195</ns0:v>
      </ns0:c>
      <ns0:c r="J211" s="16">
        <ns0:f>A211*('前提と出典'!$C$36*'契約別単価'!J5+'前提と出典'!$C$37*'契約別単価'!J6+'前提と出典'!$C$38*'契約別単価'!J7)</ns0:f>
        <ns0:v>20345.93554803263</ns0:v>
      </ns0:c>
      <ns0:c r="K211" s="16">
        <ns0:f>A211*('前提と出典'!$C$36*'契約別単価'!K5+'前提と出典'!$C$37*'契約別単価'!K6+'前提と出典'!$C$38*'契約別単価'!K7)</ns0:f>
        <ns0:v>87209.83240223464</ns0:v>
      </ns0:c>
      <ns0:c r="L211" s="16">
        <ns0:f>A211*('前提と出典'!$C$36*'契約別単価'!L5+'前提と出典'!$C$37*'契約別単価'!L6+'前提と出典'!$C$38*'契約別単価'!L7)</ns0:f>
        <ns0:v>71006.54967575306</ns0:v>
      </ns0:c>
      <ns0:c r="M211" s="16">
        <ns0:f>IF(('前提と出典'!$C$36+'前提と出典'!$C$38)=0,0,IF(B211&lt;=10,'前提と出典'!B73+'前提と出典'!C73,IF(B211&lt;=100,'前提と出典'!B74+'前提と出典'!C74,IF(B211&lt;=500,'前提と出典'!B75+'前提と出典'!C75,'前提と出典'!B76+'前提と出典'!C76))))</ns0:f>
        <ns0:v>40000</ns0:v>
      </ns0:c>
      <ns0:c r="N211" s="16">
        <ns0:f>IF(('前提と出典'!$C$37+'前提と出典'!$C$38)=0,0,IF(C211&lt;=10,'前提と出典'!D73+'前提と出典'!E73,IF(C211&lt;=100,'前提と出典'!D74+'前提と出典'!E74,IF(C211&lt;=500,'前提と出典'!D75+'前提と出典'!E75,'前提と出典'!D76+'前提と出典'!E76))))</ns0:f>
        <ns0:v>56510.9346263078</ns0:v>
      </ns0:c>
      <ns0:c r="O211" s="16">
        <ns0:f>IF('前提と出典'!$C$36+'前提と出典'!$C$38=0,0,'前提と出典'!$B$4*IF('前提と出典'!$B$20=0,MAX('前提と出典'!$B$6,D211*'前提と出典'!$B$5),'前提と出典'!$B$6+D211*'前提と出典'!$B$5))</ns0:f>
        <ns0:v>205547.53072625695</ns0:v>
      </ns0:c>
      <ns0:c r="P211" s="16">
        <ns0:f>(E211+G211)*(1-'前提と出典'!$B$7)-I211-K211-M211-O211</ns0:f>
        <ns0:v>557347.3274946989</ns0:v>
      </ns0:c>
      <ns0:c r="Q211" s="16">
        <ns0:f>(F211+H211)*(1-'前提と出典'!$B$7)-J211-L211-N211</ns0:f>
        <ns0:v>135748.46823141247</ns0:v>
      </ns0:c>
      <ns0:c r="R211" s="16">
        <ns0:f>P211-E211*'前提と出典'!$E$4</ns0:f>
        <ns0:v>401235.8189614382</ns0:v>
      </ns0:c>
      <ns0:c r="S211" s="16">
        <ns0:f>Q211-F211*'前提と出典'!$E$4</ns0:f>
        <ns0:v>90386.45429197454</ns0:v>
      </ns0:c>
      <ns0:c r="T211" s="7">
        <ns0:f>R211+S211</ns0:f>
        <ns0:v>491622.27325341274</ns0:v>
      </ns0:c>
      <ns0:c r="U211" s="16">
        <ns0:f>P211-E211*'前提と出典'!$E$5</ns0:f>
        <ns0:v>349198.6494503513</ns0:v>
      </ns0:c>
      <ns0:c r="V211" s="16">
        <ns0:f>Q211-F211*'前提と出典'!$E$5</ns0:f>
        <ns0:v>75265.78297882853</ns0:v>
      </ns0:c>
      <ns0:c r="W211" s="7">
        <ns0:f>U211+V211</ns0:f>
        <ns0:v>424464.43242917984</ns0:v>
      </ns0:c>
      <ns0:c r="X211" s="16">
        <ns0:f>P211-E211*'前提と出典'!$E$6</ns0:f>
        <ns0:v>297161.4799392643</ns0:v>
      </ns0:c>
      <ns0:c r="Y211" s="16">
        <ns0:f>Q211-F211*'前提と出典'!$E$6</ns0:f>
        <ns0:v>60145.11166568257</ns0:v>
      </ns0:c>
      <ns0:c r="Z211" s="7">
        <ns0:f>X211+Y211</ns0:f>
        <ns0:v>357306.5916049469</ns0:v>
      </ns0:c>
      <ns0:c r="AA211" s="7">
        <ns0:f>IF(T211&gt;=0,A211,1001)</ns0:f>
        <ns0:v>207</ns0:v>
      </ns0:c>
      <ns0:c r="AB211" s="7">
        <ns0:f>IF(T211&lt;0,A211,0)</ns0:f>
        <ns0:v>0</ns0:v>
      </ns0:c>
      <ns0:c r="AC211" s="16">
        <ns0:f>IF(AND(OR('前提と出典'!$C$36+'前提と出典'!$C$38=0,R211&gt;=0),OR('前提と出典'!$C$37+'前提と出典'!$C$38=0,S211&gt;=0)),0,A211)</ns0:f>
        <ns0:v>0</ns0:v>
      </ns0:c>
      <ns0:c r="AD211" s="7">
        <ns0:f>IF(W211&gt;=0,A211,1001)</ns0:f>
        <ns0:v>207</ns0:v>
      </ns0:c>
      <ns0:c r="AE211" s="7">
        <ns0:f>IF(W211&lt;0,A211,0)</ns0:f>
        <ns0:v>0</ns0:v>
      </ns0:c>
      <ns0:c r="AF211" s="16">
        <ns0:f>IF(AND(OR('前提と出典'!$C$36+'前提と出典'!$C$38=0,U211&gt;=0),OR('前提と出典'!$C$37+'前提と出典'!$C$38=0,V211&gt;=0)),0,A211)</ns0:f>
        <ns0:v>0</ns0:v>
      </ns0:c>
      <ns0:c r="AG211" s="7">
        <ns0:f>IF(Z211&gt;=0,A211,1001)</ns0:f>
        <ns0:v>207</ns0:v>
      </ns0:c>
      <ns0:c r="AH211" s="4">
        <ns0:f>IF(Z211&lt;0,A211,0)</ns0:f>
        <ns0:v>0</ns0:v>
      </ns0:c>
      <ns0:c r="AI211" s="12">
        <ns0:f>IF(AND(OR('前提と出典'!$C$36+'前提と出典'!$C$38=0,X211&gt;=0),OR('前提と出典'!$C$37+'前提と出典'!$C$38=0,Y211&gt;=0)),0,A211)</ns0:f>
        <ns0:v>0</ns0:v>
      </ns0:c>
    </ns0:row>
    <ns0:row r="212" ht="24" customHeight="1">
      <ns0:c r="A212" s="4" t="n">
        <ns0:v>208</ns0:v>
      </ns0:c>
      <ns0:c r="B212" s="12">
        <ns0:f>A212*('前提と出典'!$C$36+'前提と出典'!$C$38)</ns0:f>
        <ns0:v>145.6</ns0:v>
      </ns0:c>
      <ns0:c r="C212" s="12">
        <ns0:f>A212*('前提と出典'!$C$37+'前提と出典'!$C$38)</ns0:f>
        <ns0:v>124.8</ns0:v>
      </ns0:c>
      <ns0:c r="D212" s="16">
        <ns0:f>A212*('前提と出典'!$C$36*'契約別単価'!C5+'前提と出典'!$C$37*'契約別単価'!C6+'前提と出典'!$C$38*'契約別単価'!C7)</ns0:f>
        <ns0:v>1496.6703910614524</ns0:v>
      </ns0:c>
      <ns0:c r="E212" s="16">
        <ns0:f>A212*('前提と出典'!$C$36*'契約別単価'!E5+'前提と出典'!$C$37*'契約別単価'!E6+'前提と出典'!$C$38*'契約別単価'!E7)</ns0:f>
        <ns0:v>522885.56803410995</ns0:v>
      </ns0:c>
      <ns0:c r="F212" s="16">
        <ns0:f>A212*('前提と出典'!$C$36*'契約別単価'!F5+'前提と出典'!$C$37*'契約別単価'!F6+'前提と出典'!$C$38*'契約別単価'!F7)</ns0:f>
        <ns0:v>151937.1803446553</ns0:v>
      </ns0:c>
      <ns0:c r="G212" s="16">
        <ns0:f>A212*('前提と出典'!$C$36*'契約別単価'!G5+'前提と出典'!$C$37*'契約別単価'!G6+'前提と出典'!$C$38*'契約別単価'!G7)</ns0:f>
        <ns0:v>414024.58100558654</ns0:v>
      </ns0:c>
      <ns0:c r="H212" s="16">
        <ns0:f>A212*('前提と出典'!$C$36*'契約別単価'!H5+'前提と出典'!$C$37*'契約別単価'!H6+'前提と出典'!$C$38*'契約別単価'!H7)</ns0:f>
        <ns0:v>143687.29457342575</ns0:v>
      </ns0:c>
      <ns0:c r="I212" s="16">
        <ns0:f>A212*('前提と出典'!$C$36*'契約別単価'!I5+'前提と出典'!$C$37*'契約別単価'!I6+'前提と出典'!$C$38*'契約別単価'!I7)</ns0:f>
        <ns0:v>8776.67039106145</ns0:v>
      </ns0:c>
      <ns0:c r="J212" s="16">
        <ns0:f>A212*('前提と出典'!$C$36*'契約別単価'!J5+'前提と出典'!$C$37*'契約別単価'!J6+'前提と出典'!$C$38*'契約別単価'!J7)</ns0:f>
        <ns0:v>20444.225091742934</ns0:v>
      </ns0:c>
      <ns0:c r="K212" s="16">
        <ns0:f>A212*('前提と出典'!$C$36*'契約別単価'!K5+'前提と出典'!$C$37*'契約別単価'!K6+'前提と出典'!$C$38*'契約別単価'!K7)</ns0:f>
        <ns0:v>87631.13594040967</ns0:v>
      </ns0:c>
      <ns0:c r="L212" s="16">
        <ns0:f>A212*('前提と出典'!$C$36*'契約別単価'!L5+'前提と出典'!$C$37*'契約別単価'!L6+'前提と出典'!$C$38*'契約別単価'!L7)</ns0:f>
        <ns0:v>71349.57648578085</ns0:v>
      </ns0:c>
      <ns0:c r="M212" s="16">
        <ns0:f>IF(('前提と出典'!$C$36+'前提と出典'!$C$38)=0,0,IF(B212&lt;=10,'前提と出典'!B73+'前提と出典'!C73,IF(B212&lt;=100,'前提と出典'!B74+'前提と出典'!C74,IF(B212&lt;=500,'前提と出典'!B75+'前提と出典'!C75,'前提と出典'!B76+'前提と出典'!C76))))</ns0:f>
        <ns0:v>40000</ns0:v>
      </ns0:c>
      <ns0:c r="N212" s="16">
        <ns0:f>IF(('前提と出典'!$C$37+'前提と出典'!$C$38)=0,0,IF(C212&lt;=10,'前提と出典'!D73+'前提と出典'!E73,IF(C212&lt;=100,'前提と出典'!D74+'前提と出典'!E74,IF(C212&lt;=500,'前提と出典'!D75+'前提と出典'!E75,'前提と出典'!D76+'前提と出典'!E76))))</ns0:f>
        <ns0:v>56510.9346263078</ns0:v>
      </ns0:c>
      <ns0:c r="O212" s="16">
        <ns0:f>IF('前提と出典'!$C$36+'前提と出典'!$C$38=0,0,'前提と出典'!$B$4*IF('前提と出典'!$B$20=0,MAX('前提と出典'!$B$6,D212*'前提と出典'!$B$5),'前提と出典'!$B$6+D212*'前提と出典'!$B$5))</ns0:f>
        <ns0:v>206540.51396648044</ns0:v>
      </ns0:c>
      <ns0:c r="P212" s="16">
        <ns0:f>(E212+G212)*(1-'前提と出典'!$B$7)-I212-K212-M212-O212</ns0:f>
        <ns0:v>560233.0633763158</ns0:v>
      </ns0:c>
      <ns0:c r="Q212" s="16">
        <ns0:f>(F212+H212)*(1-'前提と出典'!$B$7)-J212-L212-N212</ns0:f>
        <ns0:v>136677.25761719857</ns0:v>
      </ns0:c>
      <ns0:c r="R212" s="16">
        <ns0:f>P212-E212*'前提と出典'!$E$4</ns0:f>
        <ns0:v>403367.39296608284</ns0:v>
      </ns0:c>
      <ns0:c r="S212" s="16">
        <ns0:f>Q212-F212*'前提と出典'!$E$4</ns0:f>
        <ns0:v>91096.103513802</ns0:v>
      </ns0:c>
      <ns0:c r="T212" s="7">
        <ns0:f>R212+S212</ns0:f>
        <ns0:v>494463.49647988484</ns0:v>
      </ns0:c>
      <ns0:c r="U212" s="16">
        <ns0:f>P212-E212*'前提と出典'!$E$5</ns0:f>
        <ns0:v>351078.83616267174</ns0:v>
      </ns0:c>
      <ns0:c r="V212" s="16">
        <ns0:f>Q212-F212*'前提と出典'!$E$5</ns0:f>
        <ns0:v>75902.38547933646</ns0:v>
      </ns0:c>
      <ns0:c r="W212" s="7">
        <ns0:f>U212+V212</ns0:f>
        <ns0:v>426981.22164200817</ns0:v>
      </ns0:c>
      <ns0:c r="X212" s="16">
        <ns0:f>P212-E212*'前提と出典'!$E$6</ns0:f>
        <ns0:v>298790.27935926087</ns0:v>
      </ns0:c>
      <ns0:c r="Y212" s="16">
        <ns0:f>Q212-F212*'前提と出典'!$E$6</ns0:f>
        <ns0:v>60708.66744487093</ns0:v>
      </ns0:c>
      <ns0:c r="Z212" s="7">
        <ns0:f>X212+Y212</ns0:f>
        <ns0:v>359498.9468041318</ns0:v>
      </ns0:c>
      <ns0:c r="AA212" s="7">
        <ns0:f>IF(T212&gt;=0,A212,1001)</ns0:f>
        <ns0:v>208</ns0:v>
      </ns0:c>
      <ns0:c r="AB212" s="7">
        <ns0:f>IF(T212&lt;0,A212,0)</ns0:f>
        <ns0:v>0</ns0:v>
      </ns0:c>
      <ns0:c r="AC212" s="16">
        <ns0:f>IF(AND(OR('前提と出典'!$C$36+'前提と出典'!$C$38=0,R212&gt;=0),OR('前提と出典'!$C$37+'前提と出典'!$C$38=0,S212&gt;=0)),0,A212)</ns0:f>
        <ns0:v>0</ns0:v>
      </ns0:c>
      <ns0:c r="AD212" s="7">
        <ns0:f>IF(W212&gt;=0,A212,1001)</ns0:f>
        <ns0:v>208</ns0:v>
      </ns0:c>
      <ns0:c r="AE212" s="7">
        <ns0:f>IF(W212&lt;0,A212,0)</ns0:f>
        <ns0:v>0</ns0:v>
      </ns0:c>
      <ns0:c r="AF212" s="16">
        <ns0:f>IF(AND(OR('前提と出典'!$C$36+'前提と出典'!$C$38=0,U212&gt;=0),OR('前提と出典'!$C$37+'前提と出典'!$C$38=0,V212&gt;=0)),0,A212)</ns0:f>
        <ns0:v>0</ns0:v>
      </ns0:c>
      <ns0:c r="AG212" s="7">
        <ns0:f>IF(Z212&gt;=0,A212,1001)</ns0:f>
        <ns0:v>208</ns0:v>
      </ns0:c>
      <ns0:c r="AH212" s="4">
        <ns0:f>IF(Z212&lt;0,A212,0)</ns0:f>
        <ns0:v>0</ns0:v>
      </ns0:c>
      <ns0:c r="AI212" s="12">
        <ns0:f>IF(AND(OR('前提と出典'!$C$36+'前提と出典'!$C$38=0,X212&gt;=0),OR('前提と出典'!$C$37+'前提と出典'!$C$38=0,Y212&gt;=0)),0,A212)</ns0:f>
        <ns0:v>0</ns0:v>
      </ns0:c>
    </ns0:row>
    <ns0:row r="213" ht="24" customHeight="1">
      <ns0:c r="A213" s="4" t="n">
        <ns0:v>209</ns0:v>
      </ns0:c>
      <ns0:c r="B213" s="12">
        <ns0:f>A213*('前提と出典'!$C$36+'前提と出典'!$C$38)</ns0:f>
        <ns0:v>146.29999999999998</ns0:v>
      </ns0:c>
      <ns0:c r="C213" s="12">
        <ns0:f>A213*('前提と出典'!$C$37+'前提と出典'!$C$38)</ns0:f>
        <ns0:v>125.39999999999999</ns0:v>
      </ns0:c>
      <ns0:c r="D213" s="16">
        <ns0:f>A213*('前提と出典'!$C$36*'契約別単価'!C5+'前提と出典'!$C$37*'契約別単価'!C6+'前提と出典'!$C$38*'契約別単価'!C7)</ns0:f>
        <ns0:v>1503.8659217877096</ns0:v>
      </ns0:c>
      <ns0:c r="E213" s="16">
        <ns0:f>A213*('前提と出典'!$C$36*'契約別単価'!E5+'前提と出典'!$C$37*'契約別単価'!E6+'前提と出典'!$C$38*'契約別単価'!E7)</ns0:f>
        <ns0:v>525399.4409573509</ns0:v>
      </ns0:c>
      <ns0:c r="F213" s="16">
        <ns0:f>A213*('前提と出典'!$C$36*'契約別単価'!F5+'前提と出典'!$C$37*'契約別単価'!F6+'前提と出典'!$C$38*'契約別単価'!F7)</ns0:f>
        <ns0:v>152667.64755785075</ns0:v>
      </ns0:c>
      <ns0:c r="G213" s="16">
        <ns0:f>A213*('前提と出典'!$C$36*'契約別単価'!G5+'前提と出典'!$C$37*'契約別単価'!G6+'前提と出典'!$C$38*'契約別単価'!G7)</ns0:f>
        <ns0:v>416015.08379888267</ns0:v>
      </ns0:c>
      <ns0:c r="H213" s="16">
        <ns0:f>A213*('前提と出典'!$C$36*'契約別単価'!H5+'前提と出典'!$C$37*'契約別単価'!H6+'前提と出典'!$C$38*'契約別単価'!H7)</ns0:f>
        <ns0:v>144378.09887425954</ns0:v>
      </ns0:c>
      <ns0:c r="I213" s="16">
        <ns0:f>A213*('前提と出典'!$C$36*'契約別単価'!I5+'前提と出典'!$C$37*'契約別単価'!I6+'前提と出典'!$C$38*'契約別単価'!I7)</ns0:f>
        <ns0:v>8818.865921787708</ns0:v>
      </ns0:c>
      <ns0:c r="J213" s="16">
        <ns0:f>A213*('前提と出典'!$C$36*'契約別単価'!J5+'前提と出典'!$C$37*'契約別単価'!J6+'前提と出典'!$C$38*'契約別単価'!J7)</ns0:f>
        <ns0:v>20542.514635453237</ns0:v>
      </ns0:c>
      <ns0:c r="K213" s="16">
        <ns0:f>A213*('前提と出典'!$C$36*'契約別単価'!K5+'前提と出典'!$C$37*'契約別単価'!K6+'前提と出典'!$C$38*'契約別単価'!K7)</ns0:f>
        <ns0:v>88052.43947858473</ns0:v>
      </ns0:c>
      <ns0:c r="L213" s="16">
        <ns0:f>A213*('前提と出典'!$C$36*'契約別単価'!L5+'前提と出典'!$C$37*'契約別単価'!L6+'前提と出典'!$C$38*'契約別単価'!L7)</ns0:f>
        <ns0:v>71692.60329580864</ns0:v>
      </ns0:c>
      <ns0:c r="M213" s="16">
        <ns0:f>IF(('前提と出典'!$C$36+'前提と出典'!$C$38)=0,0,IF(B213&lt;=10,'前提と出典'!B73+'前提と出典'!C73,IF(B213&lt;=100,'前提と出典'!B74+'前提と出典'!C74,IF(B213&lt;=500,'前提と出典'!B75+'前提と出典'!C75,'前提と出典'!B76+'前提と出典'!C76))))</ns0:f>
        <ns0:v>40000</ns0:v>
      </ns0:c>
      <ns0:c r="N213" s="16">
        <ns0:f>IF(('前提と出典'!$C$37+'前提と出典'!$C$38)=0,0,IF(C213&lt;=10,'前提と出典'!D73+'前提と出典'!E73,IF(C213&lt;=100,'前提と出典'!D74+'前提と出典'!E74,IF(C213&lt;=500,'前提と出典'!D75+'前提と出典'!E75,'前提と出典'!D76+'前提と出典'!E76))))</ns0:f>
        <ns0:v>56510.9346263078</ns0:v>
      </ns0:c>
      <ns0:c r="O213" s="16">
        <ns0:f>IF('前提と出典'!$C$36+'前提と出典'!$C$38=0,0,'前提と出典'!$B$4*IF('前提と出典'!$B$20=0,MAX('前提と出典'!$B$6,D213*'前提と出典'!$B$5),'前提と出典'!$B$6+D213*'前提と出典'!$B$5))</ns0:f>
        <ns0:v>207533.4972067039</ns0:v>
      </ns0:c>
      <ns0:c r="P213" s="16">
        <ns0:f>(E213+G213)*(1-'前提と出典'!$B$7)-I213-K213-M213-O213</ns0:f>
        <ns0:v>563118.7992579329</ns0:v>
      </ns0:c>
      <ns0:c r="Q213" s="16">
        <ns0:f>(F213+H213)*(1-'前提と出典'!$B$7)-J213-L213-N213</ns0:f>
        <ns0:v>137606.04700298468</ns0:v>
      </ns0:c>
      <ns0:c r="R213" s="16">
        <ns0:f>P213-E213*'前提と出典'!$E$4</ns0:f>
        <ns0:v>405498.96697072766</ns0:v>
      </ns0:c>
      <ns0:c r="S213" s="16">
        <ns0:f>Q213-F213*'前提と出典'!$E$4</ns0:f>
        <ns0:v>91805.75273562944</ns0:v>
      </ns0:c>
      <ns0:c r="T213" s="7">
        <ns0:f>R213+S213</ns0:f>
        <ns0:v>497304.7197063571</ns0:v>
      </ns0:c>
      <ns0:c r="U213" s="16">
        <ns0:f>P213-E213*'前提と出典'!$E$5</ns0:f>
        <ns0:v>352959.0228749926</ns0:v>
      </ns0:c>
      <ns0:c r="V213" s="16">
        <ns0:f>Q213-F213*'前提と出典'!$E$5</ns0:f>
        <ns0:v>76538.98797984439</ns0:v>
      </ns0:c>
      <ns0:c r="W213" s="7">
        <ns0:f>U213+V213</ns0:f>
        <ns0:v>429498.01085483696</ns0:v>
      </ns0:c>
      <ns0:c r="X213" s="16">
        <ns0:f>P213-E213*'前提と出典'!$E$6</ns0:f>
        <ns0:v>300419.0787792575</ns0:v>
      </ns0:c>
      <ns0:c r="Y213" s="16">
        <ns0:f>Q213-F213*'前提と出典'!$E$6</ns0:f>
        <ns0:v>61272.22322405929</ns0:v>
      </ns0:c>
      <ns0:c r="Z213" s="7">
        <ns0:f>X213+Y213</ns0:f>
        <ns0:v>361691.30200331676</ns0:v>
      </ns0:c>
      <ns0:c r="AA213" s="7">
        <ns0:f>IF(T213&gt;=0,A213,1001)</ns0:f>
        <ns0:v>209</ns0:v>
      </ns0:c>
      <ns0:c r="AB213" s="7">
        <ns0:f>IF(T213&lt;0,A213,0)</ns0:f>
        <ns0:v>0</ns0:v>
      </ns0:c>
      <ns0:c r="AC213" s="16">
        <ns0:f>IF(AND(OR('前提と出典'!$C$36+'前提と出典'!$C$38=0,R213&gt;=0),OR('前提と出典'!$C$37+'前提と出典'!$C$38=0,S213&gt;=0)),0,A213)</ns0:f>
        <ns0:v>0</ns0:v>
      </ns0:c>
      <ns0:c r="AD213" s="7">
        <ns0:f>IF(W213&gt;=0,A213,1001)</ns0:f>
        <ns0:v>209</ns0:v>
      </ns0:c>
      <ns0:c r="AE213" s="7">
        <ns0:f>IF(W213&lt;0,A213,0)</ns0:f>
        <ns0:v>0</ns0:v>
      </ns0:c>
      <ns0:c r="AF213" s="16">
        <ns0:f>IF(AND(OR('前提と出典'!$C$36+'前提と出典'!$C$38=0,U213&gt;=0),OR('前提と出典'!$C$37+'前提と出典'!$C$38=0,V213&gt;=0)),0,A213)</ns0:f>
        <ns0:v>0</ns0:v>
      </ns0:c>
      <ns0:c r="AG213" s="7">
        <ns0:f>IF(Z213&gt;=0,A213,1001)</ns0:f>
        <ns0:v>209</ns0:v>
      </ns0:c>
      <ns0:c r="AH213" s="4">
        <ns0:f>IF(Z213&lt;0,A213,0)</ns0:f>
        <ns0:v>0</ns0:v>
      </ns0:c>
      <ns0:c r="AI213" s="12">
        <ns0:f>IF(AND(OR('前提と出典'!$C$36+'前提と出典'!$C$38=0,X213&gt;=0),OR('前提と出典'!$C$37+'前提と出典'!$C$38=0,Y213&gt;=0)),0,A213)</ns0:f>
        <ns0:v>0</ns0:v>
      </ns0:c>
    </ns0:row>
    <ns0:row r="214" ht="24" customHeight="1">
      <ns0:c r="A214" s="4" t="n">
        <ns0:v>210</ns0:v>
      </ns0:c>
      <ns0:c r="B214" s="12">
        <ns0:f>A214*('前提と出典'!$C$36+'前提と出典'!$C$38)</ns0:f>
        <ns0:v>147</ns0:v>
      </ns0:c>
      <ns0:c r="C214" s="12">
        <ns0:f>A214*('前提と出典'!$C$37+'前提と出典'!$C$38)</ns0:f>
        <ns0:v>126</ns0:v>
      </ns0:c>
      <ns0:c r="D214" s="16">
        <ns0:f>A214*('前提と出典'!$C$36*'契約別単価'!C5+'前提と出典'!$C$37*'契約別単価'!C6+'前提と出典'!$C$38*'契約別単価'!C7)</ns0:f>
        <ns0:v>1511.0614525139665</ns0:v>
      </ns0:c>
      <ns0:c r="E214" s="16">
        <ns0:f>A214*('前提と出典'!$C$36*'契約別単価'!E5+'前提と出典'!$C$37*'契約別単価'!E6+'前提と出典'!$C$38*'契約別単価'!E7)</ns0:f>
        <ns0:v>527913.3138805918</ns0:v>
      </ns0:c>
      <ns0:c r="F214" s="16">
        <ns0:f>A214*('前提と出典'!$C$36*'契約別単価'!F5+'前提と出典'!$C$37*'契約別単価'!F6+'前提と出典'!$C$38*'契約別単価'!F7)</ns0:f>
        <ns0:v>153398.1147710462</ns0:v>
      </ns0:c>
      <ns0:c r="G214" s="16">
        <ns0:f>A214*('前提と出典'!$C$36*'契約別単価'!G5+'前提と出典'!$C$37*'契約別単価'!G6+'前提と出典'!$C$38*'契約別単価'!G7)</ns0:f>
        <ns0:v>418005.58659217873</ns0:v>
      </ns0:c>
      <ns0:c r="H214" s="16">
        <ns0:f>A214*('前提と出典'!$C$36*'契約別単価'!H5+'前提と出典'!$C$37*'契約別単価'!H6+'前提と出典'!$C$38*'契約別単価'!H7)</ns0:f>
        <ns0:v>145068.90317509332</ns0:v>
      </ns0:c>
      <ns0:c r="I214" s="16">
        <ns0:f>A214*('前提と出典'!$C$36*'契約別単価'!I5+'前提と出典'!$C$37*'契約別単価'!I6+'前提と出典'!$C$38*'契約別単価'!I7)</ns0:f>
        <ns0:v>8861.061452513964</ns0:v>
      </ns0:c>
      <ns0:c r="J214" s="16">
        <ns0:f>A214*('前提と出典'!$C$36*'契約別単価'!J5+'前提と出典'!$C$37*'契約別単価'!J6+'前提と出典'!$C$38*'契約別単価'!J7)</ns0:f>
        <ns0:v>20640.80417916354</ns0:v>
      </ns0:c>
      <ns0:c r="K214" s="16">
        <ns0:f>A214*('前提と出典'!$C$36*'契約別単価'!K5+'前提と出典'!$C$37*'契約別単価'!K6+'前提と出典'!$C$38*'契約別単価'!K7)</ns0:f>
        <ns0:v>88473.74301675978</ns0:v>
      </ns0:c>
      <ns0:c r="L214" s="16">
        <ns0:f>A214*('前提と出典'!$C$36*'契約別単価'!L5+'前提と出典'!$C$37*'契約別単価'!L6+'前提と出典'!$C$38*'契約別単価'!L7)</ns0:f>
        <ns0:v>72035.63010583645</ns0:v>
      </ns0:c>
      <ns0:c r="M214" s="16">
        <ns0:f>IF(('前提と出典'!$C$36+'前提と出典'!$C$38)=0,0,IF(B214&lt;=10,'前提と出典'!B73+'前提と出典'!C73,IF(B214&lt;=100,'前提と出典'!B74+'前提と出典'!C74,IF(B214&lt;=500,'前提と出典'!B75+'前提と出典'!C75,'前提と出典'!B76+'前提と出典'!C76))))</ns0:f>
        <ns0:v>40000</ns0:v>
      </ns0:c>
      <ns0:c r="N214" s="16">
        <ns0:f>IF(('前提と出典'!$C$37+'前提と出典'!$C$38)=0,0,IF(C214&lt;=10,'前提と出典'!D73+'前提と出典'!E73,IF(C214&lt;=100,'前提と出典'!D74+'前提と出典'!E74,IF(C214&lt;=500,'前提と出典'!D75+'前提と出典'!E75,'前提と出典'!D76+'前提と出典'!E76))))</ns0:f>
        <ns0:v>56510.9346263078</ns0:v>
      </ns0:c>
      <ns0:c r="O214" s="16">
        <ns0:f>IF('前提と出典'!$C$36+'前提と出典'!$C$38=0,0,'前提と出典'!$B$4*IF('前提と出典'!$B$20=0,MAX('前提と出典'!$B$6,D214*'前提と出典'!$B$5),'前提と出典'!$B$6+D214*'前提と出典'!$B$5))</ns0:f>
        <ns0:v>208526.4804469274</ns0:v>
      </ns0:c>
      <ns0:c r="P214" s="16">
        <ns0:f>(E214+G214)*(1-'前提と出典'!$B$7)-I214-K214-M214-O214</ns0:f>
        <ns0:v>566004.5351395496</ns0:v>
      </ns0:c>
      <ns0:c r="Q214" s="16">
        <ns0:f>(F214+H214)*(1-'前提と出典'!$B$7)-J214-L214-N214</ns0:f>
        <ns0:v>138534.83638877072</ns0:v>
      </ns0:c>
      <ns0:c r="R214" s="16">
        <ns0:f>P214-E214*'前提と出典'!$E$4</ns0:f>
        <ns0:v>407630.5409753721</ns0:v>
      </ns0:c>
      <ns0:c r="S214" s="16">
        <ns0:f>Q214-F214*'前提と出典'!$E$4</ns0:f>
        <ns0:v>92515.4019574569</ns0:v>
      </ns0:c>
      <ns0:c r="T214" s="7">
        <ns0:f>R214+S214</ns0:f>
        <ns0:v>500145.94293282897</ns0:v>
      </ns0:c>
      <ns0:c r="U214" s="16">
        <ns0:f>P214-E214*'前提と出典'!$E$5</ns0:f>
        <ns0:v>354839.2095873129</ns0:v>
      </ns0:c>
      <ns0:c r="V214" s="16">
        <ns0:f>Q214-F214*'前提と出典'!$E$5</ns0:f>
        <ns0:v>77175.59048035223</ns0:v>
      </ns0:c>
      <ns0:c r="W214" s="7">
        <ns0:f>U214+V214</ns0:f>
        <ns0:v>432014.8000676651</ns0:v>
      </ns0:c>
      <ns0:c r="X214" s="16">
        <ns0:f>P214-E214*'前提と出典'!$E$6</ns0:f>
        <ns0:v>302047.8781992538</ns0:v>
      </ns0:c>
      <ns0:c r="Y214" s="16">
        <ns0:f>Q214-F214*'前提と出典'!$E$6</ns0:f>
        <ns0:v>61835.77900324764</ns0:v>
      </ns0:c>
      <ns0:c r="Z214" s="7">
        <ns0:f>X214+Y214</ns0:f>
        <ns0:v>363883.65720250143</ns0:v>
      </ns0:c>
      <ns0:c r="AA214" s="7">
        <ns0:f>IF(T214&gt;=0,A214,1001)</ns0:f>
        <ns0:v>210</ns0:v>
      </ns0:c>
      <ns0:c r="AB214" s="7">
        <ns0:f>IF(T214&lt;0,A214,0)</ns0:f>
        <ns0:v>0</ns0:v>
      </ns0:c>
      <ns0:c r="AC214" s="16">
        <ns0:f>IF(AND(OR('前提と出典'!$C$36+'前提と出典'!$C$38=0,R214&gt;=0),OR('前提と出典'!$C$37+'前提と出典'!$C$38=0,S214&gt;=0)),0,A214)</ns0:f>
        <ns0:v>0</ns0:v>
      </ns0:c>
      <ns0:c r="AD214" s="7">
        <ns0:f>IF(W214&gt;=0,A214,1001)</ns0:f>
        <ns0:v>210</ns0:v>
      </ns0:c>
      <ns0:c r="AE214" s="7">
        <ns0:f>IF(W214&lt;0,A214,0)</ns0:f>
        <ns0:v>0</ns0:v>
      </ns0:c>
      <ns0:c r="AF214" s="16">
        <ns0:f>IF(AND(OR('前提と出典'!$C$36+'前提と出典'!$C$38=0,U214&gt;=0),OR('前提と出典'!$C$37+'前提と出典'!$C$38=0,V214&gt;=0)),0,A214)</ns0:f>
        <ns0:v>0</ns0:v>
      </ns0:c>
      <ns0:c r="AG214" s="7">
        <ns0:f>IF(Z214&gt;=0,A214,1001)</ns0:f>
        <ns0:v>210</ns0:v>
      </ns0:c>
      <ns0:c r="AH214" s="4">
        <ns0:f>IF(Z214&lt;0,A214,0)</ns0:f>
        <ns0:v>0</ns0:v>
      </ns0:c>
      <ns0:c r="AI214" s="12">
        <ns0:f>IF(AND(OR('前提と出典'!$C$36+'前提と出典'!$C$38=0,X214&gt;=0),OR('前提と出典'!$C$37+'前提と出典'!$C$38=0,Y214&gt;=0)),0,A214)</ns0:f>
        <ns0:v>0</ns0:v>
      </ns0:c>
    </ns0:row>
    <ns0:row r="215" ht="24" customHeight="1">
      <ns0:c r="A215" s="4" t="n">
        <ns0:v>211</ns0:v>
      </ns0:c>
      <ns0:c r="B215" s="12">
        <ns0:f>A215*('前提と出典'!$C$36+'前提と出典'!$C$38)</ns0:f>
        <ns0:v>147.7</ns0:v>
      </ns0:c>
      <ns0:c r="C215" s="12">
        <ns0:f>A215*('前提と出典'!$C$37+'前提と出典'!$C$38)</ns0:f>
        <ns0:v>126.6</ns0:v>
      </ns0:c>
      <ns0:c r="D215" s="16">
        <ns0:f>A215*('前提と出典'!$C$36*'契約別単価'!C5+'前提と出典'!$C$37*'契約別単価'!C6+'前提と出典'!$C$38*'契約別単価'!C7)</ns0:f>
        <ns0:v>1518.2569832402235</ns0:v>
      </ns0:c>
      <ns0:c r="E215" s="16">
        <ns0:f>A215*('前提と出典'!$C$36*'契約別単価'!E5+'前提と出典'!$C$37*'契約別単価'!E6+'前提と出典'!$C$38*'契約別単価'!E7)</ns0:f>
        <ns0:v>530427.1868038327</ns0:v>
      </ns0:c>
      <ns0:c r="F215" s="16">
        <ns0:f>A215*('前提と出典'!$C$36*'契約別単価'!F5+'前提と出典'!$C$37*'契約別単価'!F6+'前提と出典'!$C$38*'契約別単価'!F7)</ns0:f>
        <ns0:v>154128.58198424167</ns0:v>
      </ns0:c>
      <ns0:c r="G215" s="16">
        <ns0:f>A215*('前提と出典'!$C$36*'契約別単価'!G5+'前提と出典'!$C$37*'契約別単価'!G6+'前提と出典'!$C$38*'契約別単価'!G7)</ns0:f>
        <ns0:v>419996.08938547486</ns0:v>
      </ns0:c>
      <ns0:c r="H215" s="16">
        <ns0:f>A215*('前提と出典'!$C$36*'契約別単価'!H5+'前提と出典'!$C$37*'契約別単価'!H6+'前提と出典'!$C$38*'契約別単価'!H7)</ns0:f>
        <ns0:v>145759.7074759271</ns0:v>
      </ns0:c>
      <ns0:c r="I215" s="16">
        <ns0:f>A215*('前提と出典'!$C$36*'契約別単価'!I5+'前提と出典'!$C$37*'契約別単価'!I6+'前提と出典'!$C$38*'契約別単価'!I7)</ns0:f>
        <ns0:v>8903.256983240222</ns0:v>
      </ns0:c>
      <ns0:c r="J215" s="16">
        <ns0:f>A215*('前提と出典'!$C$36*'契約別単価'!J5+'前提と出典'!$C$37*'契約別単価'!J6+'前提と出典'!$C$38*'契約別単価'!J7)</ns0:f>
        <ns0:v>20739.09372287384</ns0:v>
      </ns0:c>
      <ns0:c r="K215" s="16">
        <ns0:f>A215*('前提と出典'!$C$36*'契約別単価'!K5+'前提と出典'!$C$37*'契約別単価'!K6+'前提と出典'!$C$38*'契約別単価'!K7)</ns0:f>
        <ns0:v>88895.04655493482</ns0:v>
      </ns0:c>
      <ns0:c r="L215" s="16">
        <ns0:f>A215*('前提と出典'!$C$36*'契約別単価'!L5+'前提と出典'!$C$37*'契約別単価'!L6+'前提と出典'!$C$38*'契約別単価'!L7)</ns0:f>
        <ns0:v>72378.65691586424</ns0:v>
      </ns0:c>
      <ns0:c r="M215" s="16">
        <ns0:f>IF(('前提と出典'!$C$36+'前提と出典'!$C$38)=0,0,IF(B215&lt;=10,'前提と出典'!B73+'前提と出典'!C73,IF(B215&lt;=100,'前提と出典'!B74+'前提と出典'!C74,IF(B215&lt;=500,'前提と出典'!B75+'前提と出典'!C75,'前提と出典'!B76+'前提と出典'!C76))))</ns0:f>
        <ns0:v>40000</ns0:v>
      </ns0:c>
      <ns0:c r="N215" s="16">
        <ns0:f>IF(('前提と出典'!$C$37+'前提と出典'!$C$38)=0,0,IF(C215&lt;=10,'前提と出典'!D73+'前提と出典'!E73,IF(C215&lt;=100,'前提と出典'!D74+'前提と出典'!E74,IF(C215&lt;=500,'前提と出典'!D75+'前提と出典'!E75,'前提と出典'!D76+'前提と出典'!E76))))</ns0:f>
        <ns0:v>56510.9346263078</ns0:v>
      </ns0:c>
      <ns0:c r="O215" s="16">
        <ns0:f>IF('前提と出典'!$C$36+'前提と出典'!$C$38=0,0,'前提と出典'!$B$4*IF('前提と出典'!$B$20=0,MAX('前提と出典'!$B$6,D215*'前提と出典'!$B$5),'前提と出典'!$B$6+D215*'前提と出典'!$B$5))</ns0:f>
        <ns0:v>209519.46368715083</ns0:v>
      </ns0:c>
      <ns0:c r="P215" s="16">
        <ns0:f>(E215+G215)*(1-'前提と出典'!$B$7)-I215-K215-M215-O215</ns0:f>
        <ns0:v>568890.2710211665</ns0:v>
      </ns0:c>
      <ns0:c r="Q215" s="16">
        <ns0:f>(F215+H215)*(1-'前提と出典'!$B$7)-J215-L215-N215</ns0:f>
        <ns0:v>139463.62577455686</ns0:v>
      </ns0:c>
      <ns0:c r="R215" s="16">
        <ns0:f>P215-E215*'前提と出典'!$E$4</ns0:f>
        <ns0:v>409762.1149800167</ns0:v>
      </ns0:c>
      <ns0:c r="S215" s="16">
        <ns0:f>Q215-F215*'前提と出典'!$E$4</ns0:f>
        <ns0:v>93225.05117928438</ns0:v>
      </ns0:c>
      <ns0:c r="T215" s="7">
        <ns0:f>R215+S215</ns0:f>
        <ns0:v>502987.16615930106</ns0:v>
      </ns0:c>
      <ns0:c r="U215" s="16">
        <ns0:f>P215-E215*'前提と出典'!$E$5</ns0:f>
        <ns0:v>356719.39629963343</ns0:v>
      </ns0:c>
      <ns0:c r="V215" s="16">
        <ns0:f>Q215-F215*'前提と出典'!$E$5</ns0:f>
        <ns0:v>77812.19298086019</ns0:v>
      </ns0:c>
      <ns0:c r="W215" s="7">
        <ns0:f>U215+V215</ns0:f>
        <ns0:v>434531.5892804936</ns0:v>
      </ns0:c>
      <ns0:c r="X215" s="16">
        <ns0:f>P215-E215*'前提と出典'!$E$6</ns0:f>
        <ns0:v>303676.67761925014</ns0:v>
      </ns0:c>
      <ns0:c r="Y215" s="16">
        <ns0:f>Q215-F215*'前提と出典'!$E$6</ns0:f>
        <ns0:v>62399.33478243603</ns0:v>
      </ns0:c>
      <ns0:c r="Z215" s="7">
        <ns0:f>X215+Y215</ns0:f>
        <ns0:v>366076.01240168617</ns0:v>
      </ns0:c>
      <ns0:c r="AA215" s="7">
        <ns0:f>IF(T215&gt;=0,A215,1001)</ns0:f>
        <ns0:v>211</ns0:v>
      </ns0:c>
      <ns0:c r="AB215" s="7">
        <ns0:f>IF(T215&lt;0,A215,0)</ns0:f>
        <ns0:v>0</ns0:v>
      </ns0:c>
      <ns0:c r="AC215" s="16">
        <ns0:f>IF(AND(OR('前提と出典'!$C$36+'前提と出典'!$C$38=0,R215&gt;=0),OR('前提と出典'!$C$37+'前提と出典'!$C$38=0,S215&gt;=0)),0,A215)</ns0:f>
        <ns0:v>0</ns0:v>
      </ns0:c>
      <ns0:c r="AD215" s="7">
        <ns0:f>IF(W215&gt;=0,A215,1001)</ns0:f>
        <ns0:v>211</ns0:v>
      </ns0:c>
      <ns0:c r="AE215" s="7">
        <ns0:f>IF(W215&lt;0,A215,0)</ns0:f>
        <ns0:v>0</ns0:v>
      </ns0:c>
      <ns0:c r="AF215" s="16">
        <ns0:f>IF(AND(OR('前提と出典'!$C$36+'前提と出典'!$C$38=0,U215&gt;=0),OR('前提と出典'!$C$37+'前提と出典'!$C$38=0,V215&gt;=0)),0,A215)</ns0:f>
        <ns0:v>0</ns0:v>
      </ns0:c>
      <ns0:c r="AG215" s="7">
        <ns0:f>IF(Z215&gt;=0,A215,1001)</ns0:f>
        <ns0:v>211</ns0:v>
      </ns0:c>
      <ns0:c r="AH215" s="4">
        <ns0:f>IF(Z215&lt;0,A215,0)</ns0:f>
        <ns0:v>0</ns0:v>
      </ns0:c>
      <ns0:c r="AI215" s="12">
        <ns0:f>IF(AND(OR('前提と出典'!$C$36+'前提と出典'!$C$38=0,X215&gt;=0),OR('前提と出典'!$C$37+'前提と出典'!$C$38=0,Y215&gt;=0)),0,A215)</ns0:f>
        <ns0:v>0</ns0:v>
      </ns0:c>
    </ns0:row>
    <ns0:row r="216" ht="24" customHeight="1">
      <ns0:c r="A216" s="4" t="n">
        <ns0:v>212</ns0:v>
      </ns0:c>
      <ns0:c r="B216" s="12">
        <ns0:f>A216*('前提と出典'!$C$36+'前提と出典'!$C$38)</ns0:f>
        <ns0:v>148.39999999999998</ns0:v>
      </ns0:c>
      <ns0:c r="C216" s="12">
        <ns0:f>A216*('前提と出典'!$C$37+'前提と出典'!$C$38)</ns0:f>
        <ns0:v>127.19999999999999</ns0:v>
      </ns0:c>
      <ns0:c r="D216" s="16">
        <ns0:f>A216*('前提と出典'!$C$36*'契約別単価'!C5+'前提と出典'!$C$37*'契約別単価'!C6+'前提と出典'!$C$38*'契約別単価'!C7)</ns0:f>
        <ns0:v>1525.4525139664804</ns0:v>
      </ns0:c>
      <ns0:c r="E216" s="16">
        <ns0:f>A216*('前提と出典'!$C$36*'契約別単価'!E5+'前提と出典'!$C$37*'契約別単価'!E6+'前提と出典'!$C$38*'契約別単価'!E7)</ns0:f>
        <ns0:v>532941.0597270736</ns0:v>
      </ns0:c>
      <ns0:c r="F216" s="16">
        <ns0:f>A216*('前提と出典'!$C$36*'契約別単価'!F5+'前提と出典'!$C$37*'契約別単価'!F6+'前提と出典'!$C$38*'契約別単価'!F7)</ns0:f>
        <ns0:v>154859.04919743713</ns0:v>
      </ns0:c>
      <ns0:c r="G216" s="16">
        <ns0:f>A216*('前提と出典'!$C$36*'契約別単価'!G5+'前提と出典'!$C$37*'契約別単価'!G6+'前提と出典'!$C$38*'契約別単価'!G7)</ns0:f>
        <ns0:v>421986.5921787709</ns0:v>
      </ns0:c>
      <ns0:c r="H216" s="16">
        <ns0:f>A216*('前提と出典'!$C$36*'契約別単価'!H5+'前提と出典'!$C$37*'契約別単価'!H6+'前提と出典'!$C$38*'契約別単価'!H7)</ns0:f>
        <ns0:v>146450.51177676086</ns0:v>
      </ns0:c>
      <ns0:c r="I216" s="16">
        <ns0:f>A216*('前提と出典'!$C$36*'契約別単価'!I5+'前提と出典'!$C$37*'契約別単価'!I6+'前提と出典'!$C$38*'契約別単価'!I7)</ns0:f>
        <ns0:v>8945.452513966478</ns0:v>
      </ns0:c>
      <ns0:c r="J216" s="16">
        <ns0:f>A216*('前提と出典'!$C$36*'契約別単価'!J5+'前提と出典'!$C$37*'契約別単価'!J6+'前提と出典'!$C$38*'契約別単価'!J7)</ns0:f>
        <ns0:v>20837.383266584144</ns0:v>
      </ns0:c>
      <ns0:c r="K216" s="16">
        <ns0:f>A216*('前提と出典'!$C$36*'契約別単価'!K5+'前提と出典'!$C$37*'契約別単価'!K6+'前提と出典'!$C$38*'契約別単価'!K7)</ns0:f>
        <ns0:v>89316.35009310987</ns0:v>
      </ns0:c>
      <ns0:c r="L216" s="16">
        <ns0:f>A216*('前提と出典'!$C$36*'契約別単価'!L5+'前提と出典'!$C$37*'契約別単価'!L6+'前提と出典'!$C$38*'契約別単価'!L7)</ns0:f>
        <ns0:v>72721.68372589203</ns0:v>
      </ns0:c>
      <ns0:c r="M216" s="16">
        <ns0:f>IF(('前提と出典'!$C$36+'前提と出典'!$C$38)=0,0,IF(B216&lt;=10,'前提と出典'!B73+'前提と出典'!C73,IF(B216&lt;=100,'前提と出典'!B74+'前提と出典'!C74,IF(B216&lt;=500,'前提と出典'!B75+'前提と出典'!C75,'前提と出典'!B76+'前提と出典'!C76))))</ns0:f>
        <ns0:v>40000</ns0:v>
      </ns0:c>
      <ns0:c r="N216" s="16">
        <ns0:f>IF(('前提と出典'!$C$37+'前提と出典'!$C$38)=0,0,IF(C216&lt;=10,'前提と出典'!D73+'前提と出典'!E73,IF(C216&lt;=100,'前提と出典'!D74+'前提と出典'!E74,IF(C216&lt;=500,'前提と出典'!D75+'前提と出典'!E75,'前提と出典'!D76+'前提と出典'!E76))))</ns0:f>
        <ns0:v>56510.9346263078</ns0:v>
      </ns0:c>
      <ns0:c r="O216" s="16">
        <ns0:f>IF('前提と出典'!$C$36+'前提と出典'!$C$38=0,0,'前提と出典'!$B$4*IF('前提と出典'!$B$20=0,MAX('前提と出典'!$B$6,D216*'前提と出典'!$B$5),'前提と出典'!$B$6+D216*'前提と出典'!$B$5))</ns0:f>
        <ns0:v>210512.44692737432</ns0:v>
      </ns0:c>
      <ns0:c r="P216" s="16">
        <ns0:f>(E216+G216)*(1-'前提と出典'!$B$7)-I216-K216-M216-O216</ns0:f>
        <ns0:v>571776.0069027834</ns0:v>
      </ns0:c>
      <ns0:c r="Q216" s="16">
        <ns0:f>(F216+H216)*(1-'前提と出典'!$B$7)-J216-L216-N216</ns0:f>
        <ns0:v>140392.41516034288</ns0:v>
      </ns0:c>
      <ns0:c r="R216" s="16">
        <ns0:f>P216-E216*'前提と出典'!$E$4</ns0:f>
        <ns0:v>411893.68898466136</ns0:v>
      </ns0:c>
      <ns0:c r="S216" s="16">
        <ns0:f>Q216-F216*'前提と出典'!$E$4</ns0:f>
        <ns0:v>93934.70040111174</ns0:v>
      </ns0:c>
      <ns0:c r="T216" s="7">
        <ns0:f>R216+S216</ns0:f>
        <ns0:v>505828.3893857731</ns0:v>
      </ns0:c>
      <ns0:c r="U216" s="16">
        <ns0:f>P216-E216*'前提と出典'!$E$5</ns0:f>
        <ns0:v>358599.583011954</ns0:v>
      </ns0:c>
      <ns0:c r="V216" s="16">
        <ns0:f>Q216-F216*'前提と出典'!$E$5</ns0:f>
        <ns0:v>78448.79548136803</ns0:v>
      </ns0:c>
      <ns0:c r="W216" s="7">
        <ns0:f>U216+V216</ns0:f>
        <ns0:v>437048.378493322</ns0:v>
      </ns0:c>
      <ns0:c r="X216" s="16">
        <ns0:f>P216-E216*'前提と出典'!$E$6</ns0:f>
        <ns0:v>305305.4770392466</ns0:v>
      </ns0:c>
      <ns0:c r="Y216" s="16">
        <ns0:f>Q216-F216*'前提と出典'!$E$6</ns0:f>
        <ns0:v>62962.890561624336</ns0:v>
      </ns0:c>
      <ns0:c r="Z216" s="7">
        <ns0:f>X216+Y216</ns0:f>
        <ns0:v>368268.3676008709</ns0:v>
      </ns0:c>
      <ns0:c r="AA216" s="7">
        <ns0:f>IF(T216&gt;=0,A216,1001)</ns0:f>
        <ns0:v>212</ns0:v>
      </ns0:c>
      <ns0:c r="AB216" s="7">
        <ns0:f>IF(T216&lt;0,A216,0)</ns0:f>
        <ns0:v>0</ns0:v>
      </ns0:c>
      <ns0:c r="AC216" s="16">
        <ns0:f>IF(AND(OR('前提と出典'!$C$36+'前提と出典'!$C$38=0,R216&gt;=0),OR('前提と出典'!$C$37+'前提と出典'!$C$38=0,S216&gt;=0)),0,A216)</ns0:f>
        <ns0:v>0</ns0:v>
      </ns0:c>
      <ns0:c r="AD216" s="7">
        <ns0:f>IF(W216&gt;=0,A216,1001)</ns0:f>
        <ns0:v>212</ns0:v>
      </ns0:c>
      <ns0:c r="AE216" s="7">
        <ns0:f>IF(W216&lt;0,A216,0)</ns0:f>
        <ns0:v>0</ns0:v>
      </ns0:c>
      <ns0:c r="AF216" s="16">
        <ns0:f>IF(AND(OR('前提と出典'!$C$36+'前提と出典'!$C$38=0,U216&gt;=0),OR('前提と出典'!$C$37+'前提と出典'!$C$38=0,V216&gt;=0)),0,A216)</ns0:f>
        <ns0:v>0</ns0:v>
      </ns0:c>
      <ns0:c r="AG216" s="7">
        <ns0:f>IF(Z216&gt;=0,A216,1001)</ns0:f>
        <ns0:v>212</ns0:v>
      </ns0:c>
      <ns0:c r="AH216" s="4">
        <ns0:f>IF(Z216&lt;0,A216,0)</ns0:f>
        <ns0:v>0</ns0:v>
      </ns0:c>
      <ns0:c r="AI216" s="12">
        <ns0:f>IF(AND(OR('前提と出典'!$C$36+'前提と出典'!$C$38=0,X216&gt;=0),OR('前提と出典'!$C$37+'前提と出典'!$C$38=0,Y216&gt;=0)),0,A216)</ns0:f>
        <ns0:v>0</ns0:v>
      </ns0:c>
    </ns0:row>
    <ns0:row r="217" ht="24" customHeight="1">
      <ns0:c r="A217" s="4" t="n">
        <ns0:v>213</ns0:v>
      </ns0:c>
      <ns0:c r="B217" s="12">
        <ns0:f>A217*('前提と出典'!$C$36+'前提と出典'!$C$38)</ns0:f>
        <ns0:v>149.1</ns0:v>
      </ns0:c>
      <ns0:c r="C217" s="12">
        <ns0:f>A217*('前提と出典'!$C$37+'前提と出典'!$C$38)</ns0:f>
        <ns0:v>127.8</ns0:v>
      </ns0:c>
      <ns0:c r="D217" s="16">
        <ns0:f>A217*('前提と出典'!$C$36*'契約別単価'!C5+'前提と出典'!$C$37*'契約別単価'!C6+'前提と出典'!$C$38*'契約別単価'!C7)</ns0:f>
        <ns0:v>1532.6480446927374</ns0:v>
      </ns0:c>
      <ns0:c r="E217" s="16">
        <ns0:f>A217*('前提と出典'!$C$36*'契約別単価'!E5+'前提と出典'!$C$37*'契約別単価'!E6+'前提と出典'!$C$38*'契約別単価'!E7)</ns0:f>
        <ns0:v>535454.9326503145</ns0:v>
      </ns0:c>
      <ns0:c r="F217" s="16">
        <ns0:f>A217*('前提と出典'!$C$36*'契約別単価'!F5+'前提と出典'!$C$37*'契約別単価'!F6+'前提と出典'!$C$38*'契約別単価'!F7)</ns0:f>
        <ns0:v>155589.51641063258</ns0:v>
      </ns0:c>
      <ns0:c r="G217" s="16">
        <ns0:f>A217*('前提と出典'!$C$36*'契約別単価'!G5+'前提と出典'!$C$37*'契約別単価'!G6+'前提と出典'!$C$38*'契約別単価'!G7)</ns0:f>
        <ns0:v>423977.09497206705</ns0:v>
      </ns0:c>
      <ns0:c r="H217" s="16">
        <ns0:f>A217*('前提と出典'!$C$36*'契約別単価'!H5+'前提と出典'!$C$37*'契約別単価'!H6+'前提と出典'!$C$38*'契約別単価'!H7)</ns0:f>
        <ns0:v>147141.31607759465</ns0:v>
      </ns0:c>
      <ns0:c r="I217" s="16">
        <ns0:f>A217*('前提と出典'!$C$36*'契約別単価'!I5+'前提と出典'!$C$37*'契約別単価'!I6+'前提と出典'!$C$38*'契約別単価'!I7)</ns0:f>
        <ns0:v>8987.648044692736</ns0:v>
      </ns0:c>
      <ns0:c r="J217" s="16">
        <ns0:f>A217*('前提と出典'!$C$36*'契約別単価'!J5+'前提と出典'!$C$37*'契約別単価'!J6+'前提と出典'!$C$38*'契約別単価'!J7)</ns0:f>
        <ns0:v>20935.672810294447</ns0:v>
      </ns0:c>
      <ns0:c r="K217" s="16">
        <ns0:f>A217*('前提と出典'!$C$36*'契約別単価'!K5+'前提と出典'!$C$37*'契約別単価'!K6+'前提と出典'!$C$38*'契約別単価'!K7)</ns0:f>
        <ns0:v>89737.6536312849</ns0:v>
      </ns0:c>
      <ns0:c r="L217" s="16">
        <ns0:f>A217*('前提と出典'!$C$36*'契約別単価'!L5+'前提と出典'!$C$37*'契約別単価'!L6+'前提と出典'!$C$38*'契約別単価'!L7)</ns0:f>
        <ns0:v>73064.71053591982</ns0:v>
      </ns0:c>
      <ns0:c r="M217" s="16">
        <ns0:f>IF(('前提と出典'!$C$36+'前提と出典'!$C$38)=0,0,IF(B217&lt;=10,'前提と出典'!B73+'前提と出典'!C73,IF(B217&lt;=100,'前提と出典'!B74+'前提と出典'!C74,IF(B217&lt;=500,'前提と出典'!B75+'前提と出典'!C75,'前提と出典'!B76+'前提と出典'!C76))))</ns0:f>
        <ns0:v>40000</ns0:v>
      </ns0:c>
      <ns0:c r="N217" s="16">
        <ns0:f>IF(('前提と出典'!$C$37+'前提と出典'!$C$38)=0,0,IF(C217&lt;=10,'前提と出典'!D73+'前提と出典'!E73,IF(C217&lt;=100,'前提と出典'!D74+'前提と出典'!E74,IF(C217&lt;=500,'前提と出典'!D75+'前提と出典'!E75,'前提と出典'!D76+'前提と出典'!E76))))</ns0:f>
        <ns0:v>56510.9346263078</ns0:v>
      </ns0:c>
      <ns0:c r="O217" s="16">
        <ns0:f>IF('前提と出典'!$C$36+'前提と出典'!$C$38=0,0,'前提と出典'!$B$4*IF('前提と出典'!$B$20=0,MAX('前提と出典'!$B$6,D217*'前提と出典'!$B$5),'前提と出典'!$B$6+D217*'前提と出典'!$B$5))</ns0:f>
        <ns0:v>211505.43016759775</ns0:v>
      </ns0:c>
      <ns0:c r="P217" s="16">
        <ns0:f>(E217+G217)*(1-'前提と出典'!$B$7)-I217-K217-M217-O217</ns0:f>
        <ns0:v>574661.7427844005</ns0:v>
      </ns0:c>
      <ns0:c r="Q217" s="16">
        <ns0:f>(F217+H217)*(1-'前提と出典'!$B$7)-J217-L217-N217</ns0:f>
        <ns0:v>141321.20454612895</ns0:v>
      </ns0:c>
      <ns0:c r="R217" s="16">
        <ns0:f>P217-E217*'前提と出典'!$E$4</ns0:f>
        <ns0:v>414025.2629893061</ns0:v>
      </ns0:c>
      <ns0:c r="S217" s="16">
        <ns0:f>Q217-F217*'前提と出典'!$E$4</ns0:f>
        <ns0:v>94644.34962293919</ns0:v>
      </ns0:c>
      <ns0:c r="T217" s="7">
        <ns0:f>R217+S217</ns0:f>
        <ns0:v>508669.6126122453</ns0:v>
      </ns0:c>
      <ns0:c r="U217" s="16">
        <ns0:f>P217-E217*'前提と出典'!$E$5</ns0:f>
        <ns0:v>360479.76972427464</ns0:v>
      </ns0:c>
      <ns0:c r="V217" s="16">
        <ns0:f>Q217-F217*'前提と出典'!$E$5</ns0:f>
        <ns0:v>79085.39798187593</ns0:v>
      </ns0:c>
      <ns0:c r="W217" s="7">
        <ns0:f>U217+V217</ns0:f>
        <ns0:v>439565.16770615056</ns0:v>
      </ns0:c>
      <ns0:c r="X217" s="16">
        <ns0:f>P217-E217*'前提と出典'!$E$6</ns0:f>
        <ns0:v>306934.27645924326</ns0:v>
      </ns0:c>
      <ns0:c r="Y217" s="16">
        <ns0:f>Q217-F217*'前提と出典'!$E$6</ns0:f>
        <ns0:v>63526.44634081267</ns0:v>
      </ns0:c>
      <ns0:c r="Z217" s="7">
        <ns0:f>X217+Y217</ns0:f>
        <ns0:v>370460.7228000559</ns0:v>
      </ns0:c>
      <ns0:c r="AA217" s="7">
        <ns0:f>IF(T217&gt;=0,A217,1001)</ns0:f>
        <ns0:v>213</ns0:v>
      </ns0:c>
      <ns0:c r="AB217" s="7">
        <ns0:f>IF(T217&lt;0,A217,0)</ns0:f>
        <ns0:v>0</ns0:v>
      </ns0:c>
      <ns0:c r="AC217" s="16">
        <ns0:f>IF(AND(OR('前提と出典'!$C$36+'前提と出典'!$C$38=0,R217&gt;=0),OR('前提と出典'!$C$37+'前提と出典'!$C$38=0,S217&gt;=0)),0,A217)</ns0:f>
        <ns0:v>0</ns0:v>
      </ns0:c>
      <ns0:c r="AD217" s="7">
        <ns0:f>IF(W217&gt;=0,A217,1001)</ns0:f>
        <ns0:v>213</ns0:v>
      </ns0:c>
      <ns0:c r="AE217" s="7">
        <ns0:f>IF(W217&lt;0,A217,0)</ns0:f>
        <ns0:v>0</ns0:v>
      </ns0:c>
      <ns0:c r="AF217" s="16">
        <ns0:f>IF(AND(OR('前提と出典'!$C$36+'前提と出典'!$C$38=0,U217&gt;=0),OR('前提と出典'!$C$37+'前提と出典'!$C$38=0,V217&gt;=0)),0,A217)</ns0:f>
        <ns0:v>0</ns0:v>
      </ns0:c>
      <ns0:c r="AG217" s="7">
        <ns0:f>IF(Z217&gt;=0,A217,1001)</ns0:f>
        <ns0:v>213</ns0:v>
      </ns0:c>
      <ns0:c r="AH217" s="4">
        <ns0:f>IF(Z217&lt;0,A217,0)</ns0:f>
        <ns0:v>0</ns0:v>
      </ns0:c>
      <ns0:c r="AI217" s="12">
        <ns0:f>IF(AND(OR('前提と出典'!$C$36+'前提と出典'!$C$38=0,X217&gt;=0),OR('前提と出典'!$C$37+'前提と出典'!$C$38=0,Y217&gt;=0)),0,A217)</ns0:f>
        <ns0:v>0</ns0:v>
      </ns0:c>
    </ns0:row>
    <ns0:row r="218" ht="24" customHeight="1">
      <ns0:c r="A218" s="4" t="n">
        <ns0:v>214</ns0:v>
      </ns0:c>
      <ns0:c r="B218" s="12">
        <ns0:f>A218*('前提と出典'!$C$36+'前提と出典'!$C$38)</ns0:f>
        <ns0:v>149.79999999999998</ns0:v>
      </ns0:c>
      <ns0:c r="C218" s="12">
        <ns0:f>A218*('前提と出典'!$C$37+'前提と出典'!$C$38)</ns0:f>
        <ns0:v>128.4</ns0:v>
      </ns0:c>
      <ns0:c r="D218" s="16">
        <ns0:f>A218*('前提と出典'!$C$36*'契約別単価'!C5+'前提と出典'!$C$37*'契約別単価'!C6+'前提と出典'!$C$38*'契約別単価'!C7)</ns0:f>
        <ns0:v>1539.8435754189943</ns0:v>
      </ns0:c>
      <ns0:c r="E218" s="16">
        <ns0:f>A218*('前提と出典'!$C$36*'契約別単価'!E5+'前提と出典'!$C$37*'契約別単価'!E6+'前提と出典'!$C$38*'契約別単価'!E7)</ns0:f>
        <ns0:v>537968.8055735554</ns0:v>
      </ns0:c>
      <ns0:c r="F218" s="16">
        <ns0:f>A218*('前提と出典'!$C$36*'契約別単価'!F5+'前提と出典'!$C$37*'契約別単価'!F6+'前提と出典'!$C$38*'契約別単価'!F7)</ns0:f>
        <ns0:v>156319.98362382804</ns0:v>
      </ns0:c>
      <ns0:c r="G218" s="16">
        <ns0:f>A218*('前提と出典'!$C$36*'契約別単価'!G5+'前提と出典'!$C$37*'契約別単価'!G6+'前提と出典'!$C$38*'契約別単価'!G7)</ns0:f>
        <ns0:v>425967.5977653631</ns0:v>
      </ns0:c>
      <ns0:c r="H218" s="16">
        <ns0:f>A218*('前提と出典'!$C$36*'契約別単価'!H5+'前提と出典'!$C$37*'契約別単価'!H6+'前提と出典'!$C$38*'契約別単価'!H7)</ns0:f>
        <ns0:v>147832.12037842843</ns0:v>
      </ns0:c>
      <ns0:c r="I218" s="16">
        <ns0:f>A218*('前提と出典'!$C$36*'契約別単価'!I5+'前提と出典'!$C$37*'契約別単価'!I6+'前提と出典'!$C$38*'契約別単価'!I7)</ns0:f>
        <ns0:v>9029.843575418992</ns0:v>
      </ns0:c>
      <ns0:c r="J218" s="16">
        <ns0:f>A218*('前提と出典'!$C$36*'契約別単価'!J5+'前提と出典'!$C$37*'契約別単価'!J6+'前提と出典'!$C$38*'契約別単価'!J7)</ns0:f>
        <ns0:v>21033.96235400475</ns0:v>
      </ns0:c>
      <ns0:c r="K218" s="16">
        <ns0:f>A218*('前提と出典'!$C$36*'契約別単価'!K5+'前提と出典'!$C$37*'契約別単価'!K6+'前提と出典'!$C$38*'契約別単価'!K7)</ns0:f>
        <ns0:v>90158.95716945996</ns0:v>
      </ns0:c>
      <ns0:c r="L218" s="16">
        <ns0:f>A218*('前提と出典'!$C$36*'契約別単価'!L5+'前提と出典'!$C$37*'契約別単価'!L6+'前提と出典'!$C$38*'契約別単価'!L7)</ns0:f>
        <ns0:v>73407.73734594761</ns0:v>
      </ns0:c>
      <ns0:c r="M218" s="16">
        <ns0:f>IF(('前提と出典'!$C$36+'前提と出典'!$C$38)=0,0,IF(B218&lt;=10,'前提と出典'!B73+'前提と出典'!C73,IF(B218&lt;=100,'前提と出典'!B74+'前提と出典'!C74,IF(B218&lt;=500,'前提と出典'!B75+'前提と出典'!C75,'前提と出典'!B76+'前提と出典'!C76))))</ns0:f>
        <ns0:v>40000</ns0:v>
      </ns0:c>
      <ns0:c r="N218" s="16">
        <ns0:f>IF(('前提と出典'!$C$37+'前提と出典'!$C$38)=0,0,IF(C218&lt;=10,'前提と出典'!D73+'前提と出典'!E73,IF(C218&lt;=100,'前提と出典'!D74+'前提と出典'!E74,IF(C218&lt;=500,'前提と出典'!D75+'前提と出典'!E75,'前提と出典'!D76+'前提と出典'!E76))))</ns0:f>
        <ns0:v>56510.9346263078</ns0:v>
      </ns0:c>
      <ns0:c r="O218" s="16">
        <ns0:f>IF('前提と出典'!$C$36+'前提と出典'!$C$38=0,0,'前提と出典'!$B$4*IF('前提と出典'!$B$20=0,MAX('前提と出典'!$B$6,D218*'前提と出典'!$B$5),'前提と出典'!$B$6+D218*'前提と出典'!$B$5))</ns0:f>
        <ns0:v>212498.41340782124</ns0:v>
      </ns0:c>
      <ns0:c r="P218" s="16">
        <ns0:f>(E218+G218)*(1-'前提と出典'!$B$7)-I218-K218-M218-O218</ns0:f>
        <ns0:v>577547.4786660173</ns0:v>
      </ns0:c>
      <ns0:c r="Q218" s="16">
        <ns0:f>(F218+H218)*(1-'前提と出典'!$B$7)-J218-L218-N218</ns0:f>
        <ns0:v>142249.9939319151</ns0:v>
      </ns0:c>
      <ns0:c r="R218" s="16">
        <ns0:f>P218-E218*'前提と出典'!$E$4</ns0:f>
        <ns0:v>416156.83699395065</ns0:v>
      </ns0:c>
      <ns0:c r="S218" s="16">
        <ns0:f>Q218-F218*'前提と出典'!$E$4</ns0:f>
        <ns0:v>95353.99884476664</ns0:v>
      </ns0:c>
      <ns0:c r="T218" s="7">
        <ns0:f>R218+S218</ns0:f>
        <ns0:v>511510.8358387173</ns0:v>
      </ns0:c>
      <ns0:c r="U218" s="16">
        <ns0:f>P218-E218*'前提と出典'!$E$5</ns0:f>
        <ns0:v>362359.9564365952</ns0:v>
      </ns0:c>
      <ns0:c r="V218" s="16">
        <ns0:f>Q218-F218*'前提と出典'!$E$5</ns0:f>
        <ns0:v>79722.00048238388</ns0:v>
      </ns0:c>
      <ns0:c r="W218" s="7">
        <ns0:f>U218+V218</ns0:f>
        <ns0:v>442081.95691897906</ns0:v>
      </ns0:c>
      <ns0:c r="X218" s="16">
        <ns0:f>P218-E218*'前提と出典'!$E$6</ns0:f>
        <ns0:v>308563.0758792395</ns0:v>
      </ns0:c>
      <ns0:c r="Y218" s="16">
        <ns0:f>Q218-F218*'前提と出典'!$E$6</ns0:f>
        <ns0:v>64090.00212000106</ns0:v>
      </ns0:c>
      <ns0:c r="Z218" s="7">
        <ns0:f>X218+Y218</ns0:f>
        <ns0:v>372653.07799924054</ns0:v>
      </ns0:c>
      <ns0:c r="AA218" s="7">
        <ns0:f>IF(T218&gt;=0,A218,1001)</ns0:f>
        <ns0:v>214</ns0:v>
      </ns0:c>
      <ns0:c r="AB218" s="7">
        <ns0:f>IF(T218&lt;0,A218,0)</ns0:f>
        <ns0:v>0</ns0:v>
      </ns0:c>
      <ns0:c r="AC218" s="16">
        <ns0:f>IF(AND(OR('前提と出典'!$C$36+'前提と出典'!$C$38=0,R218&gt;=0),OR('前提と出典'!$C$37+'前提と出典'!$C$38=0,S218&gt;=0)),0,A218)</ns0:f>
        <ns0:v>0</ns0:v>
      </ns0:c>
      <ns0:c r="AD218" s="7">
        <ns0:f>IF(W218&gt;=0,A218,1001)</ns0:f>
        <ns0:v>214</ns0:v>
      </ns0:c>
      <ns0:c r="AE218" s="7">
        <ns0:f>IF(W218&lt;0,A218,0)</ns0:f>
        <ns0:v>0</ns0:v>
      </ns0:c>
      <ns0:c r="AF218" s="16">
        <ns0:f>IF(AND(OR('前提と出典'!$C$36+'前提と出典'!$C$38=0,U218&gt;=0),OR('前提と出典'!$C$37+'前提と出典'!$C$38=0,V218&gt;=0)),0,A218)</ns0:f>
        <ns0:v>0</ns0:v>
      </ns0:c>
      <ns0:c r="AG218" s="7">
        <ns0:f>IF(Z218&gt;=0,A218,1001)</ns0:f>
        <ns0:v>214</ns0:v>
      </ns0:c>
      <ns0:c r="AH218" s="4">
        <ns0:f>IF(Z218&lt;0,A218,0)</ns0:f>
        <ns0:v>0</ns0:v>
      </ns0:c>
      <ns0:c r="AI218" s="12">
        <ns0:f>IF(AND(OR('前提と出典'!$C$36+'前提と出典'!$C$38=0,X218&gt;=0),OR('前提と出典'!$C$37+'前提と出典'!$C$38=0,Y218&gt;=0)),0,A218)</ns0:f>
        <ns0:v>0</ns0:v>
      </ns0:c>
    </ns0:row>
    <ns0:row r="219" ht="24" customHeight="1">
      <ns0:c r="A219" s="4" t="n">
        <ns0:v>215</ns0:v>
      </ns0:c>
      <ns0:c r="B219" s="12">
        <ns0:f>A219*('前提と出典'!$C$36+'前提と出典'!$C$38)</ns0:f>
        <ns0:v>150.5</ns0:v>
      </ns0:c>
      <ns0:c r="C219" s="12">
        <ns0:f>A219*('前提と出典'!$C$37+'前提と出典'!$C$38)</ns0:f>
        <ns0:v>129</ns0:v>
      </ns0:c>
      <ns0:c r="D219" s="16">
        <ns0:f>A219*('前提と出典'!$C$36*'契約別単価'!C5+'前提と出典'!$C$37*'契約別単価'!C6+'前提と出典'!$C$38*'契約別単価'!C7)</ns0:f>
        <ns0:v>1547.0391061452515</ns0:v>
      </ns0:c>
      <ns0:c r="E219" s="16">
        <ns0:f>A219*('前提と出典'!$C$36*'契約別単価'!E5+'前提と出典'!$C$37*'契約別単価'!E6+'前提と出典'!$C$38*'契約別単価'!E7)</ns0:f>
        <ns0:v>540482.6784967963</ns0:v>
      </ns0:c>
      <ns0:c r="F219" s="16">
        <ns0:f>A219*('前提と出典'!$C$36*'契約別単価'!F5+'前提と出典'!$C$37*'契約別単価'!F6+'前提と出典'!$C$38*'契約別単価'!F7)</ns0:f>
        <ns0:v>157050.4508370235</ns0:v>
      </ns0:c>
      <ns0:c r="G219" s="16">
        <ns0:f>A219*('前提と出典'!$C$36*'契約別単価'!G5+'前提と出典'!$C$37*'契約別単価'!G6+'前提と出典'!$C$38*'契約別単価'!G7)</ns0:f>
        <ns0:v>427958.1005586592</ns0:v>
      </ns0:c>
      <ns0:c r="H219" s="16">
        <ns0:f>A219*('前提と出典'!$C$36*'契約別単価'!H5+'前提と出典'!$C$37*'契約別単価'!H6+'前提と出典'!$C$38*'契約別単価'!H7)</ns0:f>
        <ns0:v>148522.9246792622</ns0:v>
      </ns0:c>
      <ns0:c r="I219" s="16">
        <ns0:f>A219*('前提と出典'!$C$36*'契約別単価'!I5+'前提と出典'!$C$37*'契約別単価'!I6+'前提と出典'!$C$38*'契約別単価'!I7)</ns0:f>
        <ns0:v>9072.03910614525</ns0:v>
      </ns0:c>
      <ns0:c r="J219" s="16">
        <ns0:f>A219*('前提と出典'!$C$36*'契約別単価'!J5+'前提と出典'!$C$37*'契約別単価'!J6+'前提と出典'!$C$38*'契約別単価'!J7)</ns0:f>
        <ns0:v>21132.25189771505</ns0:v>
      </ns0:c>
      <ns0:c r="K219" s="16">
        <ns0:f>A219*('前提と出典'!$C$36*'契約別単価'!K5+'前提と出典'!$C$37*'契約別単価'!K6+'前提と出典'!$C$38*'契約別単価'!K7)</ns0:f>
        <ns0:v>90580.260707635</ns0:v>
      </ns0:c>
      <ns0:c r="L219" s="16">
        <ns0:f>A219*('前提と出典'!$C$36*'契約別単価'!L5+'前提と出典'!$C$37*'契約別単価'!L6+'前提と出典'!$C$38*'契約別単価'!L7)</ns0:f>
        <ns0:v>73750.7641559754</ns0:v>
      </ns0:c>
      <ns0:c r="M219" s="16">
        <ns0:f>IF(('前提と出典'!$C$36+'前提と出典'!$C$38)=0,0,IF(B219&lt;=10,'前提と出典'!B73+'前提と出典'!C73,IF(B219&lt;=100,'前提と出典'!B74+'前提と出典'!C74,IF(B219&lt;=500,'前提と出典'!B75+'前提と出典'!C75,'前提と出典'!B76+'前提と出典'!C76))))</ns0:f>
        <ns0:v>40000</ns0:v>
      </ns0:c>
      <ns0:c r="N219" s="16">
        <ns0:f>IF(('前提と出典'!$C$37+'前提と出典'!$C$38)=0,0,IF(C219&lt;=10,'前提と出典'!D73+'前提と出典'!E73,IF(C219&lt;=100,'前提と出典'!D74+'前提と出典'!E74,IF(C219&lt;=500,'前提と出典'!D75+'前提と出典'!E75,'前提と出典'!D76+'前提と出典'!E76))))</ns0:f>
        <ns0:v>56510.9346263078</ns0:v>
      </ns0:c>
      <ns0:c r="O219" s="16">
        <ns0:f>IF('前提と出典'!$C$36+'前提と出典'!$C$38=0,0,'前提と出典'!$B$4*IF('前提と出典'!$B$20=0,MAX('前提と出典'!$B$6,D219*'前提と出典'!$B$5),'前提と出典'!$B$6+D219*'前提と出典'!$B$5))</ns0:f>
        <ns0:v>213491.3966480447</ns0:v>
      </ns0:c>
      <ns0:c r="P219" s="16">
        <ns0:f>(E219+G219)*(1-'前提と出典'!$B$7)-I219-K219-M219-O219</ns0:f>
        <ns0:v>580433.2145476341</ns0:v>
      </ns0:c>
      <ns0:c r="Q219" s="16">
        <ns0:f>(F219+H219)*(1-'前提と出典'!$B$7)-J219-L219-N219</ns0:f>
        <ns0:v>143178.78331770116</ns0:v>
      </ns0:c>
      <ns0:c r="R219" s="16">
        <ns0:f>P219-E219*'前提と出典'!$E$4</ns0:f>
        <ns0:v>418288.4109985952</ns0:v>
      </ns0:c>
      <ns0:c r="S219" s="16">
        <ns0:f>Q219-F219*'前提と出典'!$E$4</ns0:f>
        <ns0:v>96063.64806659412</ns0:v>
      </ns0:c>
      <ns0:c r="T219" s="7">
        <ns0:f>R219+S219</ns0:f>
        <ns0:v>514352.0590651893</ns0:v>
      </ns0:c>
      <ns0:c r="U219" s="16">
        <ns0:f>P219-E219*'前提と出典'!$E$5</ns0:f>
        <ns0:v>364240.1431489156</ns0:v>
      </ns0:c>
      <ns0:c r="V219" s="16">
        <ns0:f>Q219-F219*'前提と出典'!$E$5</ns0:f>
        <ns0:v>80358.60298289175</ns0:v>
      </ns0:c>
      <ns0:c r="W219" s="7">
        <ns0:f>U219+V219</ns0:f>
        <ns0:v>444598.74613180733</ns0:v>
      </ns0:c>
      <ns0:c r="X219" s="16">
        <ns0:f>P219-E219*'前提と出典'!$E$6</ns0:f>
        <ns0:v>310191.87529923604</ns0:v>
      </ns0:c>
      <ns0:c r="Y219" s="16">
        <ns0:f>Q219-F219*'前提と出典'!$E$6</ns0:f>
        <ns0:v>64653.55789918942</ns0:v>
      </ns0:c>
      <ns0:c r="Z219" s="7">
        <ns0:f>X219+Y219</ns0:f>
        <ns0:v>374845.43319842545</ns0:v>
      </ns0:c>
      <ns0:c r="AA219" s="7">
        <ns0:f>IF(T219&gt;=0,A219,1001)</ns0:f>
        <ns0:v>215</ns0:v>
      </ns0:c>
      <ns0:c r="AB219" s="7">
        <ns0:f>IF(T219&lt;0,A219,0)</ns0:f>
        <ns0:v>0</ns0:v>
      </ns0:c>
      <ns0:c r="AC219" s="16">
        <ns0:f>IF(AND(OR('前提と出典'!$C$36+'前提と出典'!$C$38=0,R219&gt;=0),OR('前提と出典'!$C$37+'前提と出典'!$C$38=0,S219&gt;=0)),0,A219)</ns0:f>
        <ns0:v>0</ns0:v>
      </ns0:c>
      <ns0:c r="AD219" s="7">
        <ns0:f>IF(W219&gt;=0,A219,1001)</ns0:f>
        <ns0:v>215</ns0:v>
      </ns0:c>
      <ns0:c r="AE219" s="7">
        <ns0:f>IF(W219&lt;0,A219,0)</ns0:f>
        <ns0:v>0</ns0:v>
      </ns0:c>
      <ns0:c r="AF219" s="16">
        <ns0:f>IF(AND(OR('前提と出典'!$C$36+'前提と出典'!$C$38=0,U219&gt;=0),OR('前提と出典'!$C$37+'前提と出典'!$C$38=0,V219&gt;=0)),0,A219)</ns0:f>
        <ns0:v>0</ns0:v>
      </ns0:c>
      <ns0:c r="AG219" s="7">
        <ns0:f>IF(Z219&gt;=0,A219,1001)</ns0:f>
        <ns0:v>215</ns0:v>
      </ns0:c>
      <ns0:c r="AH219" s="4">
        <ns0:f>IF(Z219&lt;0,A219,0)</ns0:f>
        <ns0:v>0</ns0:v>
      </ns0:c>
      <ns0:c r="AI219" s="12">
        <ns0:f>IF(AND(OR('前提と出典'!$C$36+'前提と出典'!$C$38=0,X219&gt;=0),OR('前提と出典'!$C$37+'前提と出典'!$C$38=0,Y219&gt;=0)),0,A219)</ns0:f>
        <ns0:v>0</ns0:v>
      </ns0:c>
    </ns0:row>
    <ns0:row r="220" ht="24" customHeight="1">
      <ns0:c r="A220" s="4" t="n">
        <ns0:v>216</ns0:v>
      </ns0:c>
      <ns0:c r="B220" s="12">
        <ns0:f>A220*('前提と出典'!$C$36+'前提と出典'!$C$38)</ns0:f>
        <ns0:v>151.2</ns0:v>
      </ns0:c>
      <ns0:c r="C220" s="12">
        <ns0:f>A220*('前提と出典'!$C$37+'前提と出典'!$C$38)</ns0:f>
        <ns0:v>129.6</ns0:v>
      </ns0:c>
      <ns0:c r="D220" s="16">
        <ns0:f>A220*('前提と出典'!$C$36*'契約別単価'!C5+'前提と出典'!$C$37*'契約別単価'!C6+'前提と出典'!$C$38*'契約別単価'!C7)</ns0:f>
        <ns0:v>1554.2346368715084</ns0:v>
      </ns0:c>
      <ns0:c r="E220" s="16">
        <ns0:f>A220*('前提と出典'!$C$36*'契約別単価'!E5+'前提と出典'!$C$37*'契約別単価'!E6+'前提と出典'!$C$38*'契約別単価'!E7)</ns0:f>
        <ns0:v>542996.5514200373</ns0:v>
      </ns0:c>
      <ns0:c r="F220" s="16">
        <ns0:f>A220*('前提と出典'!$C$36*'契約別単価'!F5+'前提と出典'!$C$37*'契約別単価'!F6+'前提と出典'!$C$38*'契約別単価'!F7)</ns0:f>
        <ns0:v>157780.91805021896</ns0:v>
      </ns0:c>
      <ns0:c r="G220" s="16">
        <ns0:f>A220*('前提と出典'!$C$36*'契約別単価'!G5+'前提と出典'!$C$37*'契約別単価'!G6+'前提と出典'!$C$38*'契約別単価'!G7)</ns0:f>
        <ns0:v>429948.6033519553</ns0:v>
      </ns0:c>
      <ns0:c r="H220" s="16">
        <ns0:f>A220*('前提と出典'!$C$36*'契約別単価'!H5+'前提と出典'!$C$37*'契約別単価'!H6+'前提と出典'!$C$38*'契約別単価'!H7)</ns0:f>
        <ns0:v>149213.72898009597</ns0:v>
      </ns0:c>
      <ns0:c r="I220" s="16">
        <ns0:f>A220*('前提と出典'!$C$36*'契約別単価'!I5+'前提と出典'!$C$37*'契約別単価'!I6+'前提と出典'!$C$38*'契約別単価'!I7)</ns0:f>
        <ns0:v>9114.234636871506</ns0:v>
      </ns0:c>
      <ns0:c r="J220" s="16">
        <ns0:f>A220*('前提と出典'!$C$36*'契約別単価'!J5+'前提と出典'!$C$37*'契約別単価'!J6+'前提と出典'!$C$38*'契約別単価'!J7)</ns0:f>
        <ns0:v>21230.541441425354</ns0:v>
      </ns0:c>
      <ns0:c r="K220" s="16">
        <ns0:f>A220*('前提と出典'!$C$36*'契約別単価'!K5+'前提と出典'!$C$37*'契約別単価'!K6+'前提と出典'!$C$38*'契約別単価'!K7)</ns0:f>
        <ns0:v>91001.56424581005</ns0:v>
      </ns0:c>
      <ns0:c r="L220" s="16">
        <ns0:f>A220*('前提と出典'!$C$36*'契約別単価'!L5+'前提と出典'!$C$37*'契約別単価'!L6+'前提と出典'!$C$38*'契約別単価'!L7)</ns0:f>
        <ns0:v>74093.7909660032</ns0:v>
      </ns0:c>
      <ns0:c r="M220" s="16">
        <ns0:f>IF(('前提と出典'!$C$36+'前提と出典'!$C$38)=0,0,IF(B220&lt;=10,'前提と出典'!B73+'前提と出典'!C73,IF(B220&lt;=100,'前提と出典'!B74+'前提と出典'!C74,IF(B220&lt;=500,'前提と出典'!B75+'前提と出典'!C75,'前提と出典'!B76+'前提と出典'!C76))))</ns0:f>
        <ns0:v>40000</ns0:v>
      </ns0:c>
      <ns0:c r="N220" s="16">
        <ns0:f>IF(('前提と出典'!$C$37+'前提と出典'!$C$38)=0,0,IF(C220&lt;=10,'前提と出典'!D73+'前提と出典'!E73,IF(C220&lt;=100,'前提と出典'!D74+'前提と出典'!E74,IF(C220&lt;=500,'前提と出典'!D75+'前提と出典'!E75,'前提と出典'!D76+'前提と出典'!E76))))</ns0:f>
        <ns0:v>56510.9346263078</ns0:v>
      </ns0:c>
      <ns0:c r="O220" s="16">
        <ns0:f>IF('前提と出典'!$C$36+'前提と出典'!$C$38=0,0,'前提と出典'!$B$4*IF('前提と出典'!$B$20=0,MAX('前提と出典'!$B$6,D220*'前提と出典'!$B$5),'前提と出典'!$B$6+D220*'前提と出典'!$B$5))</ns0:f>
        <ns0:v>214484.3798882682</ns0:v>
      </ns0:c>
      <ns0:c r="P220" s="16">
        <ns0:f>(E220+G220)*(1-'前提と出典'!$B$7)-I220-K220-M220-O220</ns0:f>
        <ns0:v>583318.9504292512</ns0:v>
      </ns0:c>
      <ns0:c r="Q220" s="16">
        <ns0:f>(F220+H220)*(1-'前提と出典'!$B$7)-J220-L220-N220</ns0:f>
        <ns0:v>144107.57270348718</ns0:v>
      </ns0:c>
      <ns0:c r="R220" s="16">
        <ns0:f>P220-E220*'前提と出典'!$E$4</ns0:f>
        <ns0:v>420419.98500324006</ns0:v>
      </ns0:c>
      <ns0:c r="S220" s="16">
        <ns0:f>Q220-F220*'前提と出典'!$E$4</ns0:f>
        <ns0:v>96773.29728842148</ns0:v>
      </ns0:c>
      <ns0:c r="T220" s="7">
        <ns0:f>R220+S220</ns0:f>
        <ns0:v>517193.28229166154</ns0:v>
      </ns0:c>
      <ns0:c r="U220" s="16">
        <ns0:f>P220-E220*'前提と出典'!$E$5</ns0:f>
        <ns0:v>366120.32986123627</ns0:v>
      </ns0:c>
      <ns0:c r="V220" s="16">
        <ns0:f>Q220-F220*'前提と出典'!$E$5</ns0:f>
        <ns0:v>80995.2054833996</ns0:v>
      </ns0:c>
      <ns0:c r="W220" s="7">
        <ns0:f>U220+V220</ns0:f>
        <ns0:v>447115.53534463583</ns0:v>
      </ns0:c>
      <ns0:c r="X220" s="16">
        <ns0:f>P220-E220*'前提と出典'!$E$6</ns0:f>
        <ns0:v>311820.6747192325</ns0:v>
      </ns0:c>
      <ns0:c r="Y220" s="16">
        <ns0:f>Q220-F220*'前提と出典'!$E$6</ns0:f>
        <ns0:v>65217.11367837771</ns0:v>
      </ns0:c>
      <ns0:c r="Z220" s="7">
        <ns0:f>X220+Y220</ns0:f>
        <ns0:v>377037.7883976102</ns0:v>
      </ns0:c>
      <ns0:c r="AA220" s="7">
        <ns0:f>IF(T220&gt;=0,A220,1001)</ns0:f>
        <ns0:v>216</ns0:v>
      </ns0:c>
      <ns0:c r="AB220" s="7">
        <ns0:f>IF(T220&lt;0,A220,0)</ns0:f>
        <ns0:v>0</ns0:v>
      </ns0:c>
      <ns0:c r="AC220" s="16">
        <ns0:f>IF(AND(OR('前提と出典'!$C$36+'前提と出典'!$C$38=0,R220&gt;=0),OR('前提と出典'!$C$37+'前提と出典'!$C$38=0,S220&gt;=0)),0,A220)</ns0:f>
        <ns0:v>0</ns0:v>
      </ns0:c>
      <ns0:c r="AD220" s="7">
        <ns0:f>IF(W220&gt;=0,A220,1001)</ns0:f>
        <ns0:v>216</ns0:v>
      </ns0:c>
      <ns0:c r="AE220" s="7">
        <ns0:f>IF(W220&lt;0,A220,0)</ns0:f>
        <ns0:v>0</ns0:v>
      </ns0:c>
      <ns0:c r="AF220" s="16">
        <ns0:f>IF(AND(OR('前提と出典'!$C$36+'前提と出典'!$C$38=0,U220&gt;=0),OR('前提と出典'!$C$37+'前提と出典'!$C$38=0,V220&gt;=0)),0,A220)</ns0:f>
        <ns0:v>0</ns0:v>
      </ns0:c>
      <ns0:c r="AG220" s="7">
        <ns0:f>IF(Z220&gt;=0,A220,1001)</ns0:f>
        <ns0:v>216</ns0:v>
      </ns0:c>
      <ns0:c r="AH220" s="4">
        <ns0:f>IF(Z220&lt;0,A220,0)</ns0:f>
        <ns0:v>0</ns0:v>
      </ns0:c>
      <ns0:c r="AI220" s="12">
        <ns0:f>IF(AND(OR('前提と出典'!$C$36+'前提と出典'!$C$38=0,X220&gt;=0),OR('前提と出典'!$C$37+'前提と出典'!$C$38=0,Y220&gt;=0)),0,A220)</ns0:f>
        <ns0:v>0</ns0:v>
      </ns0:c>
    </ns0:row>
    <ns0:row r="221" ht="24" customHeight="1">
      <ns0:c r="A221" s="4" t="n">
        <ns0:v>217</ns0:v>
      </ns0:c>
      <ns0:c r="B221" s="12">
        <ns0:f>A221*('前提と出典'!$C$36+'前提と出典'!$C$38)</ns0:f>
        <ns0:v>151.89999999999998</ns0:v>
      </ns0:c>
      <ns0:c r="C221" s="12">
        <ns0:f>A221*('前提と出典'!$C$37+'前提と出典'!$C$38)</ns0:f>
        <ns0:v>130.2</ns0:v>
      </ns0:c>
      <ns0:c r="D221" s="16">
        <ns0:f>A221*('前提と出典'!$C$36*'契約別単価'!C5+'前提と出典'!$C$37*'契約別単価'!C6+'前提と出典'!$C$38*'契約別単価'!C7)</ns0:f>
        <ns0:v>1561.4301675977654</ns0:v>
      </ns0:c>
      <ns0:c r="E221" s="16">
        <ns0:f>A221*('前提と出典'!$C$36*'契約別単価'!E5+'前提と出典'!$C$37*'契約別単価'!E6+'前提と出典'!$C$38*'契約別単価'!E7)</ns0:f>
        <ns0:v>545510.4243432782</ns0:v>
      </ns0:c>
      <ns0:c r="F221" s="16">
        <ns0:f>A221*('前提と出典'!$C$36*'契約別単価'!F5+'前提と出典'!$C$37*'契約別単価'!F6+'前提と出典'!$C$38*'契約別単価'!F7)</ns0:f>
        <ns0:v>158511.3852634144</ns0:v>
      </ns0:c>
      <ns0:c r="G221" s="16">
        <ns0:f>A221*('前提と出典'!$C$36*'契約別単価'!G5+'前提と出典'!$C$37*'契約別単価'!G6+'前提と出典'!$C$38*'契約別単価'!G7)</ns0:f>
        <ns0:v>431939.10614525137</ns0:v>
      </ns0:c>
      <ns0:c r="H221" s="16">
        <ns0:f>A221*('前提と出典'!$C$36*'契約別単価'!H5+'前提と出典'!$C$37*'契約別単価'!H6+'前提と出典'!$C$38*'契約別単価'!H7)</ns0:f>
        <ns0:v>149904.53328092975</ns0:v>
      </ns0:c>
      <ns0:c r="I221" s="16">
        <ns0:f>A221*('前提と出典'!$C$36*'契約別単価'!I5+'前提と出典'!$C$37*'契約別単価'!I6+'前提と出典'!$C$38*'契約別単価'!I7)</ns0:f>
        <ns0:v>9156.430167597764</ns0:v>
      </ns0:c>
      <ns0:c r="J221" s="16">
        <ns0:f>A221*('前提と出典'!$C$36*'契約別単価'!J5+'前提と出典'!$C$37*'契約別単価'!J6+'前提と出典'!$C$38*'契約別単価'!J7)</ns0:f>
        <ns0:v>21328.830985135657</ns0:v>
      </ns0:c>
      <ns0:c r="K221" s="16">
        <ns0:f>A221*('前提と出典'!$C$36*'契約別単価'!K5+'前提と出典'!$C$37*'契約別単価'!K6+'前提と出典'!$C$38*'契約別単価'!K7)</ns0:f>
        <ns0:v>91422.8677839851</ns0:v>
      </ns0:c>
      <ns0:c r="L221" s="16">
        <ns0:f>A221*('前提と出典'!$C$36*'契約別単価'!L5+'前提と出典'!$C$37*'契約別単価'!L6+'前提と出典'!$C$38*'契約別単価'!L7)</ns0:f>
        <ns0:v>74436.81777603099</ns0:v>
      </ns0:c>
      <ns0:c r="M221" s="16">
        <ns0:f>IF(('前提と出典'!$C$36+'前提と出典'!$C$38)=0,0,IF(B221&lt;=10,'前提と出典'!B73+'前提と出典'!C73,IF(B221&lt;=100,'前提と出典'!B74+'前提と出典'!C74,IF(B221&lt;=500,'前提と出典'!B75+'前提と出典'!C75,'前提と出典'!B76+'前提と出典'!C76))))</ns0:f>
        <ns0:v>40000</ns0:v>
      </ns0:c>
      <ns0:c r="N221" s="16">
        <ns0:f>IF(('前提と出典'!$C$37+'前提と出典'!$C$38)=0,0,IF(C221&lt;=10,'前提と出典'!D73+'前提と出典'!E73,IF(C221&lt;=100,'前提と出典'!D74+'前提と出典'!E74,IF(C221&lt;=500,'前提と出典'!D75+'前提と出典'!E75,'前提と出典'!D76+'前提と出典'!E76))))</ns0:f>
        <ns0:v>56510.9346263078</ns0:v>
      </ns0:c>
      <ns0:c r="O221" s="16">
        <ns0:f>IF('前提と出典'!$C$36+'前提と出典'!$C$38=0,0,'前提と出典'!$B$4*IF('前提と出典'!$B$20=0,MAX('前提と出典'!$B$6,D221*'前提と出典'!$B$5),'前提と出典'!$B$6+D221*'前提と出典'!$B$5))</ns0:f>
        <ns0:v>215477.36312849162</ns0:v>
      </ns0:c>
      <ns0:c r="P221" s="16">
        <ns0:f>(E221+G221)*(1-'前提と出典'!$B$7)-I221-K221-M221-O221</ns0:f>
        <ns0:v>586204.6863108679</ns0:v>
      </ns0:c>
      <ns0:c r="Q221" s="16">
        <ns0:f>(F221+H221)*(1-'前提と出典'!$B$7)-J221-L221-N221</ns0:f>
        <ns0:v>145036.3620892733</ns0:v>
      </ns0:c>
      <ns0:c r="R221" s="16">
        <ns0:f>P221-E221*'前提と出典'!$E$4</ns0:f>
        <ns0:v>422551.5590078845</ns0:v>
      </ns0:c>
      <ns0:c r="S221" s="16">
        <ns0:f>Q221-F221*'前提と出典'!$E$4</ns0:f>
        <ns0:v>97482.94651024899</ns0:v>
      </ns0:c>
      <ns0:c r="T221" s="7">
        <ns0:f>R221+S221</ns0:f>
        <ns0:v>520034.5055181335</ns0:v>
      </ns0:c>
      <ns0:c r="U221" s="16">
        <ns0:f>P221-E221*'前提と出典'!$E$5</ns0:f>
        <ns0:v>368000.51657355664</ns0:v>
      </ns0:c>
      <ns0:c r="V221" s="16">
        <ns0:f>Q221-F221*'前提と出典'!$E$5</ns0:f>
        <ns0:v>81631.80798390752</ns0:v>
      </ns0:c>
      <ns0:c r="W221" s="7">
        <ns0:f>U221+V221</ns0:f>
        <ns0:v>449632.32455746416</ns0:v>
      </ns0:c>
      <ns0:c r="X221" s="16">
        <ns0:f>P221-E221*'前提と出典'!$E$6</ns0:f>
        <ns0:v>313449.47413922887</ns0:v>
      </ns0:c>
      <ns0:c r="Y221" s="16">
        <ns0:f>Q221-F221*'前提と出典'!$E$6</ns0:f>
        <ns0:v>65780.66945756611</ns0:v>
      </ns0:c>
      <ns0:c r="Z221" s="7">
        <ns0:f>X221+Y221</ns0:f>
        <ns0:v>379230.143596795</ns0:v>
      </ns0:c>
      <ns0:c r="AA221" s="7">
        <ns0:f>IF(T221&gt;=0,A221,1001)</ns0:f>
        <ns0:v>217</ns0:v>
      </ns0:c>
      <ns0:c r="AB221" s="7">
        <ns0:f>IF(T221&lt;0,A221,0)</ns0:f>
        <ns0:v>0</ns0:v>
      </ns0:c>
      <ns0:c r="AC221" s="16">
        <ns0:f>IF(AND(OR('前提と出典'!$C$36+'前提と出典'!$C$38=0,R221&gt;=0),OR('前提と出典'!$C$37+'前提と出典'!$C$38=0,S221&gt;=0)),0,A221)</ns0:f>
        <ns0:v>0</ns0:v>
      </ns0:c>
      <ns0:c r="AD221" s="7">
        <ns0:f>IF(W221&gt;=0,A221,1001)</ns0:f>
        <ns0:v>217</ns0:v>
      </ns0:c>
      <ns0:c r="AE221" s="7">
        <ns0:f>IF(W221&lt;0,A221,0)</ns0:f>
        <ns0:v>0</ns0:v>
      </ns0:c>
      <ns0:c r="AF221" s="16">
        <ns0:f>IF(AND(OR('前提と出典'!$C$36+'前提と出典'!$C$38=0,U221&gt;=0),OR('前提と出典'!$C$37+'前提と出典'!$C$38=0,V221&gt;=0)),0,A221)</ns0:f>
        <ns0:v>0</ns0:v>
      </ns0:c>
      <ns0:c r="AG221" s="7">
        <ns0:f>IF(Z221&gt;=0,A221,1001)</ns0:f>
        <ns0:v>217</ns0:v>
      </ns0:c>
      <ns0:c r="AH221" s="4">
        <ns0:f>IF(Z221&lt;0,A221,0)</ns0:f>
        <ns0:v>0</ns0:v>
      </ns0:c>
      <ns0:c r="AI221" s="12">
        <ns0:f>IF(AND(OR('前提と出典'!$C$36+'前提と出典'!$C$38=0,X221&gt;=0),OR('前提と出典'!$C$37+'前提と出典'!$C$38=0,Y221&gt;=0)),0,A221)</ns0:f>
        <ns0:v>0</ns0:v>
      </ns0:c>
    </ns0:row>
    <ns0:row r="222" ht="24" customHeight="1">
      <ns0:c r="A222" s="4" t="n">
        <ns0:v>218</ns0:v>
      </ns0:c>
      <ns0:c r="B222" s="12">
        <ns0:f>A222*('前提と出典'!$C$36+'前提と出典'!$C$38)</ns0:f>
        <ns0:v>152.6</ns0:v>
      </ns0:c>
      <ns0:c r="C222" s="12">
        <ns0:f>A222*('前提と出典'!$C$37+'前提と出典'!$C$38)</ns0:f>
        <ns0:v>130.79999999999998</ns0:v>
      </ns0:c>
      <ns0:c r="D222" s="16">
        <ns0:f>A222*('前提と出典'!$C$36*'契約別単価'!C5+'前提と出典'!$C$37*'契約別単価'!C6+'前提と出典'!$C$38*'契約別単価'!C7)</ns0:f>
        <ns0:v>1568.6256983240223</ns0:v>
      </ns0:c>
      <ns0:c r="E222" s="16">
        <ns0:f>A222*('前提と出典'!$C$36*'契約別単価'!E5+'前提と出典'!$C$37*'契約別単価'!E6+'前提と出典'!$C$38*'契約別単価'!E7)</ns0:f>
        <ns0:v>548024.297266519</ns0:v>
      </ns0:c>
      <ns0:c r="F222" s="16">
        <ns0:f>A222*('前提と出典'!$C$36*'契約別単価'!F5+'前提と出典'!$C$37*'契約別単価'!F6+'前提と出典'!$C$38*'契約別単価'!F7)</ns0:f>
        <ns0:v>159241.85247660987</ns0:v>
      </ns0:c>
      <ns0:c r="G222" s="16">
        <ns0:f>A222*('前提と出典'!$C$36*'契約別単価'!G5+'前提と出典'!$C$37*'契約別単価'!G6+'前提と出典'!$C$38*'契約別単価'!G7)</ns0:f>
        <ns0:v>433929.6089385475</ns0:v>
      </ns0:c>
      <ns0:c r="H222" s="16">
        <ns0:f>A222*('前提と出典'!$C$36*'契約別単価'!H5+'前提と出典'!$C$37*'契約別単価'!H6+'前提と出典'!$C$38*'契約別単価'!H7)</ns0:f>
        <ns0:v>150595.33758176354</ns0:v>
      </ns0:c>
      <ns0:c r="I222" s="16">
        <ns0:f>A222*('前提と出典'!$C$36*'契約別単価'!I5+'前提と出典'!$C$37*'契約別単価'!I6+'前提と出典'!$C$38*'契約別単価'!I7)</ns0:f>
        <ns0:v>9198.62569832402</ns0:v>
      </ns0:c>
      <ns0:c r="J222" s="16">
        <ns0:f>A222*('前提と出典'!$C$36*'契約別単価'!J5+'前提と出典'!$C$37*'契約別単価'!J6+'前提と出典'!$C$38*'契約別単価'!J7)</ns0:f>
        <ns0:v>21427.12052884596</ns0:v>
      </ns0:c>
      <ns0:c r="K222" s="16">
        <ns0:f>A222*('前提と出典'!$C$36*'契約別単価'!K5+'前提と出典'!$C$37*'契約別単価'!K6+'前提と出典'!$C$38*'契約別単価'!K7)</ns0:f>
        <ns0:v>91844.17132216014</ns0:v>
      </ns0:c>
      <ns0:c r="L222" s="16">
        <ns0:f>A222*('前提と出典'!$C$36*'契約別単価'!L5+'前提と出典'!$C$37*'契約別単価'!L6+'前提と出典'!$C$38*'契約別単価'!L7)</ns0:f>
        <ns0:v>74779.84458605878</ns0:v>
      </ns0:c>
      <ns0:c r="M222" s="16">
        <ns0:f>IF(('前提と出典'!$C$36+'前提と出典'!$C$38)=0,0,IF(B222&lt;=10,'前提と出典'!B73+'前提と出典'!C73,IF(B222&lt;=100,'前提と出典'!B74+'前提と出典'!C74,IF(B222&lt;=500,'前提と出典'!B75+'前提と出典'!C75,'前提と出典'!B76+'前提と出典'!C76))))</ns0:f>
        <ns0:v>40000</ns0:v>
      </ns0:c>
      <ns0:c r="N222" s="16">
        <ns0:f>IF(('前提と出典'!$C$37+'前提と出典'!$C$38)=0,0,IF(C222&lt;=10,'前提と出典'!D73+'前提と出典'!E73,IF(C222&lt;=100,'前提と出典'!D74+'前提と出典'!E74,IF(C222&lt;=500,'前提と出典'!D75+'前提と出典'!E75,'前提と出典'!D76+'前提と出典'!E76))))</ns0:f>
        <ns0:v>56510.9346263078</ns0:v>
      </ns0:c>
      <ns0:c r="O222" s="16">
        <ns0:f>IF('前提と出典'!$C$36+'前提と出典'!$C$38=0,0,'前提と出典'!$B$4*IF('前提と出典'!$B$20=0,MAX('前提と出典'!$B$6,D222*'前提と出典'!$B$5),'前提と出典'!$B$6+D222*'前提と出典'!$B$5))</ns0:f>
        <ns0:v>216470.34636871508</ns0:v>
      </ns0:c>
      <ns0:c r="P222" s="16">
        <ns0:f>(E222+G222)*(1-'前提と出典'!$B$7)-I222-K222-M222-O222</ns0:f>
        <ns0:v>589090.4221924848</ns0:v>
      </ns0:c>
      <ns0:c r="Q222" s="16">
        <ns0:f>(F222+H222)*(1-'前提と出典'!$B$7)-J222-L222-N222</ns0:f>
        <ns0:v>145965.1514750594</ns0:v>
      </ns0:c>
      <ns0:c r="R222" s="16">
        <ns0:f>P222-E222*'前提と出典'!$E$4</ns0:f>
        <ns0:v>424683.1330125291</ns0:v>
      </ns0:c>
      <ns0:c r="S222" s="16">
        <ns0:f>Q222-F222*'前提と出典'!$E$4</ns0:f>
        <ns0:v>98192.59573207644</ns0:v>
      </ns0:c>
      <ns0:c r="T222" s="7">
        <ns0:f>R222+S222</ns0:f>
        <ns0:v>522875.72874460556</ns0:v>
      </ns0:c>
      <ns0:c r="U222" s="16">
        <ns0:f>P222-E222*'前提と出典'!$E$5</ns0:f>
        <ns0:v>369880.70328587724</ns0:v>
      </ns0:c>
      <ns0:c r="V222" s="16">
        <ns0:f>Q222-F222*'前提と出典'!$E$5</ns0:f>
        <ns0:v>82268.41048441545</ns0:v>
      </ns0:c>
      <ns0:c r="W222" s="7">
        <ns0:f>U222+V222</ns0:f>
        <ns0:v>452149.1137702927</ns0:v>
      </ns0:c>
      <ns0:c r="X222" s="16">
        <ns0:f>P222-E222*'前提と出典'!$E$6</ns0:f>
        <ns0:v>315078.27355922526</ns0:v>
      </ns0:c>
      <ns0:c r="Y222" s="16">
        <ns0:f>Q222-F222*'前提と出典'!$E$6</ns0:f>
        <ns0:v>66344.22523675446</ns0:v>
      </ns0:c>
      <ns0:c r="Z222" s="7">
        <ns0:f>X222+Y222</ns0:f>
        <ns0:v>381422.4987959797</ns0:v>
      </ns0:c>
      <ns0:c r="AA222" s="7">
        <ns0:f>IF(T222&gt;=0,A222,1001)</ns0:f>
        <ns0:v>218</ns0:v>
      </ns0:c>
      <ns0:c r="AB222" s="7">
        <ns0:f>IF(T222&lt;0,A222,0)</ns0:f>
        <ns0:v>0</ns0:v>
      </ns0:c>
      <ns0:c r="AC222" s="16">
        <ns0:f>IF(AND(OR('前提と出典'!$C$36+'前提と出典'!$C$38=0,R222&gt;=0),OR('前提と出典'!$C$37+'前提と出典'!$C$38=0,S222&gt;=0)),0,A222)</ns0:f>
        <ns0:v>0</ns0:v>
      </ns0:c>
      <ns0:c r="AD222" s="7">
        <ns0:f>IF(W222&gt;=0,A222,1001)</ns0:f>
        <ns0:v>218</ns0:v>
      </ns0:c>
      <ns0:c r="AE222" s="7">
        <ns0:f>IF(W222&lt;0,A222,0)</ns0:f>
        <ns0:v>0</ns0:v>
      </ns0:c>
      <ns0:c r="AF222" s="16">
        <ns0:f>IF(AND(OR('前提と出典'!$C$36+'前提と出典'!$C$38=0,U222&gt;=0),OR('前提と出典'!$C$37+'前提と出典'!$C$38=0,V222&gt;=0)),0,A222)</ns0:f>
        <ns0:v>0</ns0:v>
      </ns0:c>
      <ns0:c r="AG222" s="7">
        <ns0:f>IF(Z222&gt;=0,A222,1001)</ns0:f>
        <ns0:v>218</ns0:v>
      </ns0:c>
      <ns0:c r="AH222" s="4">
        <ns0:f>IF(Z222&lt;0,A222,0)</ns0:f>
        <ns0:v>0</ns0:v>
      </ns0:c>
      <ns0:c r="AI222" s="12">
        <ns0:f>IF(AND(OR('前提と出典'!$C$36+'前提と出典'!$C$38=0,X222&gt;=0),OR('前提と出典'!$C$37+'前提と出典'!$C$38=0,Y222&gt;=0)),0,A222)</ns0:f>
        <ns0:v>0</ns0:v>
      </ns0:c>
    </ns0:row>
    <ns0:row r="223" ht="24" customHeight="1">
      <ns0:c r="A223" s="4" t="n">
        <ns0:v>219</ns0:v>
      </ns0:c>
      <ns0:c r="B223" s="12">
        <ns0:f>A223*('前提と出典'!$C$36+'前提と出典'!$C$38)</ns0:f>
        <ns0:v>153.29999999999998</ns0:v>
      </ns0:c>
      <ns0:c r="C223" s="12">
        <ns0:f>A223*('前提と出典'!$C$37+'前提と出典'!$C$38)</ns0:f>
        <ns0:v>131.4</ns0:v>
      </ns0:c>
      <ns0:c r="D223" s="16">
        <ns0:f>A223*('前提と出典'!$C$36*'契約別単価'!C5+'前提と出典'!$C$37*'契約別単価'!C6+'前提と出典'!$C$38*'契約別単価'!C7)</ns0:f>
        <ns0:v>1575.8212290502793</ns0:v>
      </ns0:c>
      <ns0:c r="E223" s="16">
        <ns0:f>A223*('前提と出典'!$C$36*'契約別単価'!E5+'前提と出典'!$C$37*'契約別単価'!E6+'前提と出典'!$C$38*'契約別単価'!E7)</ns0:f>
        <ns0:v>550538.17018976</ns0:v>
      </ns0:c>
      <ns0:c r="F223" s="16">
        <ns0:f>A223*('前提と出典'!$C$36*'契約別単価'!F5+'前提と出典'!$C$37*'契約別単価'!F6+'前提と出典'!$C$38*'契約別単価'!F7)</ns0:f>
        <ns0:v>159972.31968980533</ns0:v>
      </ns0:c>
      <ns0:c r="G223" s="16">
        <ns0:f>A223*('前提と出典'!$C$36*'契約別単価'!G5+'前提と出典'!$C$37*'契約別単価'!G6+'前提と出典'!$C$38*'契約別単価'!G7)</ns0:f>
        <ns0:v>435920.11173184356</ns0:v>
      </ns0:c>
      <ns0:c r="H223" s="16">
        <ns0:f>A223*('前提と出典'!$C$36*'契約別単価'!H5+'前提と出典'!$C$37*'契約別単価'!H6+'前提と出典'!$C$38*'契約別単価'!H7)</ns0:f>
        <ns0:v>151286.14188259732</ns0:v>
      </ns0:c>
      <ns0:c r="I223" s="16">
        <ns0:f>A223*('前提と出典'!$C$36*'契約別単価'!I5+'前提と出典'!$C$37*'契約別単価'!I6+'前提と出典'!$C$38*'契約別単価'!I7)</ns0:f>
        <ns0:v>9240.821229050278</ns0:v>
      </ns0:c>
      <ns0:c r="J223" s="16">
        <ns0:f>A223*('前提と出典'!$C$36*'契約別単価'!J5+'前提と出典'!$C$37*'契約別単価'!J6+'前提と出典'!$C$38*'契約別単価'!J7)</ns0:f>
        <ns0:v>21525.410072556264</ns0:v>
      </ns0:c>
      <ns0:c r="K223" s="16">
        <ns0:f>A223*('前提と出典'!$C$36*'契約別単価'!K5+'前提と出典'!$C$37*'契約別単価'!K6+'前提と出典'!$C$38*'契約別単価'!K7)</ns0:f>
        <ns0:v>92265.47486033519</ns0:v>
      </ns0:c>
      <ns0:c r="L223" s="16">
        <ns0:f>A223*('前提と出典'!$C$36*'契約別単価'!L5+'前提と出典'!$C$37*'契約別単価'!L6+'前提と出典'!$C$38*'契約別単価'!L7)</ns0:f>
        <ns0:v>75122.87139608657</ns0:v>
      </ns0:c>
      <ns0:c r="M223" s="16">
        <ns0:f>IF(('前提と出典'!$C$36+'前提と出典'!$C$38)=0,0,IF(B223&lt;=10,'前提と出典'!B73+'前提と出典'!C73,IF(B223&lt;=100,'前提と出典'!B74+'前提と出典'!C74,IF(B223&lt;=500,'前提と出典'!B75+'前提と出典'!C75,'前提と出典'!B76+'前提と出典'!C76))))</ns0:f>
        <ns0:v>40000</ns0:v>
      </ns0:c>
      <ns0:c r="N223" s="16">
        <ns0:f>IF(('前提と出典'!$C$37+'前提と出典'!$C$38)=0,0,IF(C223&lt;=10,'前提と出典'!D73+'前提と出典'!E73,IF(C223&lt;=100,'前提と出典'!D74+'前提と出典'!E74,IF(C223&lt;=500,'前提と出典'!D75+'前提と出典'!E75,'前提と出典'!D76+'前提と出典'!E76))))</ns0:f>
        <ns0:v>56510.9346263078</ns0:v>
      </ns0:c>
      <ns0:c r="O223" s="16">
        <ns0:f>IF('前提と出典'!$C$36+'前提と出典'!$C$38=0,0,'前提と出典'!$B$4*IF('前提と出典'!$B$20=0,MAX('前提と出典'!$B$6,D223*'前提と出典'!$B$5),'前提と出典'!$B$6+D223*'前提と出典'!$B$5))</ns0:f>
        <ns0:v>217463.32960893854</ns0:v>
      </ns0:c>
      <ns0:c r="P223" s="16">
        <ns0:f>(E223+G223)*(1-'前提と出典'!$B$7)-I223-K223-M223-O223</ns0:f>
        <ns0:v>591976.1580741018</ns0:v>
      </ns0:c>
      <ns0:c r="Q223" s="16">
        <ns0:f>(F223+H223)*(1-'前提と出典'!$B$7)-J223-L223-N223</ns0:f>
        <ns0:v>146893.9408608455</ns0:v>
      </ns0:c>
      <ns0:c r="R223" s="16">
        <ns0:f>P223-E223*'前提と出典'!$E$4</ns0:f>
        <ns0:v>426814.70701717376</ns0:v>
      </ns0:c>
      <ns0:c r="S223" s="16">
        <ns0:f>Q223-F223*'前提と出典'!$E$4</ns0:f>
        <ns0:v>98902.2449539039</ns0:v>
      </ns0:c>
      <ns0:c r="T223" s="7">
        <ns0:f>R223+S223</ns0:f>
        <ns0:v>525716.9519710776</ns0:v>
      </ns0:c>
      <ns0:c r="U223" s="16">
        <ns0:f>P223-E223*'前提と出典'!$E$5</ns0:f>
        <ns0:v>371760.8899981978</ns0:v>
      </ns0:c>
      <ns0:c r="V223" s="16">
        <ns0:f>Q223-F223*'前提と出典'!$E$5</ns0:f>
        <ns0:v>82905.01298492338</ns0:v>
      </ns0:c>
      <ns0:c r="W223" s="7">
        <ns0:f>U223+V223</ns0:f>
        <ns0:v>454665.90298312117</ns0:v>
      </ns0:c>
      <ns0:c r="X223" s="16">
        <ns0:f>P223-E223*'前提と出典'!$E$6</ns0:f>
        <ns0:v>316707.0729792218</ns0:v>
      </ns0:c>
      <ns0:c r="Y223" s="16">
        <ns0:f>Q223-F223*'前提と出典'!$E$6</ns0:f>
        <ns0:v>66907.78101594283</ns0:v>
      </ns0:c>
      <ns0:c r="Z223" s="7">
        <ns0:f>X223+Y223</ns0:f>
        <ns0:v>383614.8539951646</ns0:v>
      </ns0:c>
      <ns0:c r="AA223" s="7">
        <ns0:f>IF(T223&gt;=0,A223,1001)</ns0:f>
        <ns0:v>219</ns0:v>
      </ns0:c>
      <ns0:c r="AB223" s="7">
        <ns0:f>IF(T223&lt;0,A223,0)</ns0:f>
        <ns0:v>0</ns0:v>
      </ns0:c>
      <ns0:c r="AC223" s="16">
        <ns0:f>IF(AND(OR('前提と出典'!$C$36+'前提と出典'!$C$38=0,R223&gt;=0),OR('前提と出典'!$C$37+'前提と出典'!$C$38=0,S223&gt;=0)),0,A223)</ns0:f>
        <ns0:v>0</ns0:v>
      </ns0:c>
      <ns0:c r="AD223" s="7">
        <ns0:f>IF(W223&gt;=0,A223,1001)</ns0:f>
        <ns0:v>219</ns0:v>
      </ns0:c>
      <ns0:c r="AE223" s="7">
        <ns0:f>IF(W223&lt;0,A223,0)</ns0:f>
        <ns0:v>0</ns0:v>
      </ns0:c>
      <ns0:c r="AF223" s="16">
        <ns0:f>IF(AND(OR('前提と出典'!$C$36+'前提と出典'!$C$38=0,U223&gt;=0),OR('前提と出典'!$C$37+'前提と出典'!$C$38=0,V223&gt;=0)),0,A223)</ns0:f>
        <ns0:v>0</ns0:v>
      </ns0:c>
      <ns0:c r="AG223" s="7">
        <ns0:f>IF(Z223&gt;=0,A223,1001)</ns0:f>
        <ns0:v>219</ns0:v>
      </ns0:c>
      <ns0:c r="AH223" s="4">
        <ns0:f>IF(Z223&lt;0,A223,0)</ns0:f>
        <ns0:v>0</ns0:v>
      </ns0:c>
      <ns0:c r="AI223" s="12">
        <ns0:f>IF(AND(OR('前提と出典'!$C$36+'前提と出典'!$C$38=0,X223&gt;=0),OR('前提と出典'!$C$37+'前提と出典'!$C$38=0,Y223&gt;=0)),0,A223)</ns0:f>
        <ns0:v>0</ns0:v>
      </ns0:c>
    </ns0:row>
    <ns0:row r="224" ht="24" customHeight="1">
      <ns0:c r="A224" s="4" t="n">
        <ns0:v>220</ns0:v>
      </ns0:c>
      <ns0:c r="B224" s="12">
        <ns0:f>A224*('前提と出典'!$C$36+'前提と出典'!$C$38)</ns0:f>
        <ns0:v>154</ns0:v>
      </ns0:c>
      <ns0:c r="C224" s="12">
        <ns0:f>A224*('前提と出典'!$C$37+'前提と出典'!$C$38)</ns0:f>
        <ns0:v>132</ns0:v>
      </ns0:c>
      <ns0:c r="D224" s="16">
        <ns0:f>A224*('前提と出典'!$C$36*'契約別単価'!C5+'前提と出典'!$C$37*'契約別単価'!C6+'前提と出典'!$C$38*'契約別単価'!C7)</ns0:f>
        <ns0:v>1583.0167597765362</ns0:v>
      </ns0:c>
      <ns0:c r="E224" s="16">
        <ns0:f>A224*('前提と出典'!$C$36*'契約別単価'!E5+'前提と出典'!$C$37*'契約別単価'!E6+'前提と出典'!$C$38*'契約別単価'!E7)</ns0:f>
        <ns0:v>553052.0431130009</ns0:v>
      </ns0:c>
      <ns0:c r="F224" s="16">
        <ns0:f>A224*('前提と出典'!$C$36*'契約別単価'!F5+'前提と出典'!$C$37*'契約別単価'!F6+'前提と出典'!$C$38*'契約別単価'!F7)</ns0:f>
        <ns0:v>160702.7869030008</ns0:v>
      </ns0:c>
      <ns0:c r="G224" s="16">
        <ns0:f>A224*('前提と出典'!$C$36*'契約別単価'!G5+'前提と出典'!$C$37*'契約別単価'!G6+'前提と出典'!$C$38*'契約別単価'!G7)</ns0:f>
        <ns0:v>437910.6145251396</ns0:v>
      </ns0:c>
      <ns0:c r="H224" s="16">
        <ns0:f>A224*('前提と出典'!$C$36*'契約別単価'!H5+'前提と出典'!$C$37*'契約別単価'!H6+'前提と出典'!$C$38*'契約別単価'!H7)</ns0:f>
        <ns0:v>151976.94618343108</ns0:v>
      </ns0:c>
      <ns0:c r="I224" s="16">
        <ns0:f>A224*('前提と出典'!$C$36*'契約別単価'!I5+'前提と出典'!$C$37*'契約別単価'!I6+'前提と出典'!$C$38*'契約別単価'!I7)</ns0:f>
        <ns0:v>9283.016759776534</ns0:v>
      </ns0:c>
      <ns0:c r="J224" s="16">
        <ns0:f>A224*('前提と出典'!$C$36*'契約別単価'!J5+'前提と出典'!$C$37*'契約別単価'!J6+'前提と出典'!$C$38*'契約別単価'!J7)</ns0:f>
        <ns0:v>21623.699616266564</ns0:v>
      </ns0:c>
      <ns0:c r="K224" s="16">
        <ns0:f>A224*('前提と出典'!$C$36*'契約別単価'!K5+'前提と出典'!$C$37*'契約別単価'!K6+'前提と出典'!$C$38*'契約別単価'!K7)</ns0:f>
        <ns0:v>92686.77839851023</ns0:v>
      </ns0:c>
      <ns0:c r="L224" s="16">
        <ns0:f>A224*('前提と出典'!$C$36*'契約別単価'!L5+'前提と出典'!$C$37*'契約別単価'!L6+'前提と出典'!$C$38*'契約別単価'!L7)</ns0:f>
        <ns0:v>75465.89820611436</ns0:v>
      </ns0:c>
      <ns0:c r="M224" s="16">
        <ns0:f>IF(('前提と出典'!$C$36+'前提と出典'!$C$38)=0,0,IF(B224&lt;=10,'前提と出典'!B73+'前提と出典'!C73,IF(B224&lt;=100,'前提と出典'!B74+'前提と出典'!C74,IF(B224&lt;=500,'前提と出典'!B75+'前提と出典'!C75,'前提と出典'!B76+'前提と出典'!C76))))</ns0:f>
        <ns0:v>40000</ns0:v>
      </ns0:c>
      <ns0:c r="N224" s="16">
        <ns0:f>IF(('前提と出典'!$C$37+'前提と出典'!$C$38)=0,0,IF(C224&lt;=10,'前提と出典'!D73+'前提と出典'!E73,IF(C224&lt;=100,'前提と出典'!D74+'前提と出典'!E74,IF(C224&lt;=500,'前提と出典'!D75+'前提と出典'!E75,'前提と出典'!D76+'前提と出典'!E76))))</ns0:f>
        <ns0:v>56510.9346263078</ns0:v>
      </ns0:c>
      <ns0:c r="O224" s="16">
        <ns0:f>IF('前提と出典'!$C$36+'前提と出典'!$C$38=0,0,'前提と出典'!$B$4*IF('前提と出典'!$B$20=0,MAX('前提と出典'!$B$6,D224*'前提と出典'!$B$5),'前提と出典'!$B$6+D224*'前提と出典'!$B$5))</ns0:f>
        <ns0:v>218456.312849162</ns0:v>
      </ns0:c>
      <ns0:c r="P224" s="16">
        <ns0:f>(E224+G224)*(1-'前提と出典'!$B$7)-I224-K224-M224-O224</ns0:f>
        <ns0:v>594861.8939557187</ns0:v>
      </ns0:c>
      <ns0:c r="Q224" s="16">
        <ns0:f>(F224+H224)*(1-'前提と出典'!$B$7)-J224-L224-N224</ns0:f>
        <ns0:v>147822.7302466316</ns0:v>
      </ns0:c>
      <ns0:c r="R224" s="16">
        <ns0:f>P224-E224*'前提と出典'!$E$4</ns0:f>
        <ns0:v>428946.2810218185</ns0:v>
      </ns0:c>
      <ns0:c r="S224" s="16">
        <ns0:f>Q224-F224*'前提と出典'!$E$4</ns0:f>
        <ns0:v>99611.89417573134</ns0:v>
      </ns0:c>
      <ns0:c r="T224" s="7">
        <ns0:f>R224+S224</ns0:f>
        <ns0:v>528558.1751975499</ns0:v>
      </ns0:c>
      <ns0:c r="U224" s="16">
        <ns0:f>P224-E224*'前提と出典'!$E$5</ns0:f>
        <ns0:v>373641.07671051833</ns0:v>
      </ns0:c>
      <ns0:c r="V224" s="16">
        <ns0:f>Q224-F224*'前提と出典'!$E$5</ns0:f>
        <ns0:v>83541.61548543128</ns0:v>
      </ns0:c>
      <ns0:c r="W224" s="7">
        <ns0:f>U224+V224</ns0:f>
        <ns0:v>457182.6921959496</ns0:v>
      </ns0:c>
      <ns0:c r="X224" s="16">
        <ns0:f>P224-E224*'前提と出典'!$E$6</ns0:f>
        <ns0:v>318335.87239921826</ns0:v>
      </ns0:c>
      <ns0:c r="Y224" s="16">
        <ns0:f>Q224-F224*'前提と出典'!$E$6</ns0:f>
        <ns0:v>67471.33679513121</ns0:v>
      </ns0:c>
      <ns0:c r="Z224" s="7">
        <ns0:f>X224+Y224</ns0:f>
        <ns0:v>385807.2091943495</ns0:v>
      </ns0:c>
      <ns0:c r="AA224" s="7">
        <ns0:f>IF(T224&gt;=0,A224,1001)</ns0:f>
        <ns0:v>220</ns0:v>
      </ns0:c>
      <ns0:c r="AB224" s="7">
        <ns0:f>IF(T224&lt;0,A224,0)</ns0:f>
        <ns0:v>0</ns0:v>
      </ns0:c>
      <ns0:c r="AC224" s="16">
        <ns0:f>IF(AND(OR('前提と出典'!$C$36+'前提と出典'!$C$38=0,R224&gt;=0),OR('前提と出典'!$C$37+'前提と出典'!$C$38=0,S224&gt;=0)),0,A224)</ns0:f>
        <ns0:v>0</ns0:v>
      </ns0:c>
      <ns0:c r="AD224" s="7">
        <ns0:f>IF(W224&gt;=0,A224,1001)</ns0:f>
        <ns0:v>220</ns0:v>
      </ns0:c>
      <ns0:c r="AE224" s="7">
        <ns0:f>IF(W224&lt;0,A224,0)</ns0:f>
        <ns0:v>0</ns0:v>
      </ns0:c>
      <ns0:c r="AF224" s="16">
        <ns0:f>IF(AND(OR('前提と出典'!$C$36+'前提と出典'!$C$38=0,U224&gt;=0),OR('前提と出典'!$C$37+'前提と出典'!$C$38=0,V224&gt;=0)),0,A224)</ns0:f>
        <ns0:v>0</ns0:v>
      </ns0:c>
      <ns0:c r="AG224" s="7">
        <ns0:f>IF(Z224&gt;=0,A224,1001)</ns0:f>
        <ns0:v>220</ns0:v>
      </ns0:c>
      <ns0:c r="AH224" s="4">
        <ns0:f>IF(Z224&lt;0,A224,0)</ns0:f>
        <ns0:v>0</ns0:v>
      </ns0:c>
      <ns0:c r="AI224" s="12">
        <ns0:f>IF(AND(OR('前提と出典'!$C$36+'前提と出典'!$C$38=0,X224&gt;=0),OR('前提と出典'!$C$37+'前提と出典'!$C$38=0,Y224&gt;=0)),0,A224)</ns0:f>
        <ns0:v>0</ns0:v>
      </ns0:c>
    </ns0:row>
    <ns0:row r="225" ht="24" customHeight="1">
      <ns0:c r="A225" s="4" t="n">
        <ns0:v>221</ns0:v>
      </ns0:c>
      <ns0:c r="B225" s="12">
        <ns0:f>A225*('前提と出典'!$C$36+'前提と出典'!$C$38)</ns0:f>
        <ns0:v>154.7</ns0:v>
      </ns0:c>
      <ns0:c r="C225" s="12">
        <ns0:f>A225*('前提と出典'!$C$37+'前提と出典'!$C$38)</ns0:f>
        <ns0:v>132.6</ns0:v>
      </ns0:c>
      <ns0:c r="D225" s="16">
        <ns0:f>A225*('前提と出典'!$C$36*'契約別単価'!C5+'前提と出典'!$C$37*'契約別単価'!C6+'前提と出典'!$C$38*'契約別単価'!C7)</ns0:f>
        <ns0:v>1590.2122905027934</ns0:v>
      </ns0:c>
      <ns0:c r="E225" s="16">
        <ns0:f>A225*('前提と出典'!$C$36*'契約別単価'!E5+'前提と出典'!$C$37*'契約別単価'!E6+'前提と出典'!$C$38*'契約別単価'!E7)</ns0:f>
        <ns0:v>555565.9160362418</ns0:v>
      </ns0:c>
      <ns0:c r="F225" s="16">
        <ns0:f>A225*('前提と出典'!$C$36*'契約別単価'!F5+'前提と出典'!$C$37*'契約別単価'!F6+'前提と出典'!$C$38*'契約別単価'!F7)</ns0:f>
        <ns0:v>161433.25411619624</ns0:v>
      </ns0:c>
      <ns0:c r="G225" s="16">
        <ns0:f>A225*('前提と出典'!$C$36*'契約別単価'!G5+'前提と出典'!$C$37*'契約別単価'!G6+'前提と出典'!$C$38*'契約別単価'!G7)</ns0:f>
        <ns0:v>439901.11731843575</ns0:v>
      </ns0:c>
      <ns0:c r="H225" s="16">
        <ns0:f>A225*('前提と出典'!$C$36*'契約別単価'!H5+'前提と出典'!$C$37*'契約別単価'!H6+'前提と出典'!$C$38*'契約別単価'!H7)</ns0:f>
        <ns0:v>152667.75048426486</ns0:v>
      </ns0:c>
      <ns0:c r="I225" s="16">
        <ns0:f>A225*('前提と出典'!$C$36*'契約別単価'!I5+'前提と出典'!$C$37*'契約別単価'!I6+'前提と出典'!$C$38*'契約別単価'!I7)</ns0:f>
        <ns0:v>9325.212290502792</ns0:v>
      </ns0:c>
      <ns0:c r="J225" s="16">
        <ns0:f>A225*('前提と出典'!$C$36*'契約別単価'!J5+'前提と出典'!$C$37*'契約別単価'!J6+'前提と出典'!$C$38*'契約別単価'!J7)</ns0:f>
        <ns0:v>21721.989159976867</ns0:v>
      </ns0:c>
      <ns0:c r="K225" s="16">
        <ns0:f>A225*('前提と出典'!$C$36*'契約別単価'!K5+'前提と出典'!$C$37*'契約別単価'!K6+'前提と出典'!$C$38*'契約別単価'!K7)</ns0:f>
        <ns0:v>93108.08193668528</ns0:v>
      </ns0:c>
      <ns0:c r="L225" s="16">
        <ns0:f>A225*('前提と出典'!$C$36*'契約別単価'!L5+'前提と出典'!$C$37*'契約別単価'!L6+'前提と出典'!$C$38*'契約別単価'!L7)</ns0:f>
        <ns0:v>75808.92501614217</ns0:v>
      </ns0:c>
      <ns0:c r="M225" s="16">
        <ns0:f>IF(('前提と出典'!$C$36+'前提と出典'!$C$38)=0,0,IF(B225&lt;=10,'前提と出典'!B73+'前提と出典'!C73,IF(B225&lt;=100,'前提と出典'!B74+'前提と出典'!C74,IF(B225&lt;=500,'前提と出典'!B75+'前提と出典'!C75,'前提と出典'!B76+'前提と出典'!C76))))</ns0:f>
        <ns0:v>40000</ns0:v>
      </ns0:c>
      <ns0:c r="N225" s="16">
        <ns0:f>IF(('前提と出典'!$C$37+'前提と出典'!$C$38)=0,0,IF(C225&lt;=10,'前提と出典'!D73+'前提と出典'!E73,IF(C225&lt;=100,'前提と出典'!D74+'前提と出典'!E74,IF(C225&lt;=500,'前提と出典'!D75+'前提と出典'!E75,'前提と出典'!D76+'前提と出典'!E76))))</ns0:f>
        <ns0:v>56510.9346263078</ns0:v>
      </ns0:c>
      <ns0:c r="O225" s="16">
        <ns0:f>IF('前提と出典'!$C$36+'前提と出典'!$C$38=0,0,'前提と出典'!$B$4*IF('前提と出典'!$B$20=0,MAX('前提と出典'!$B$6,D225*'前提と出典'!$B$5),'前提と出典'!$B$6+D225*'前提と出典'!$B$5))</ns0:f>
        <ns0:v>219449.2960893855</ns0:v>
      </ns0:c>
      <ns0:c r="P225" s="16">
        <ns0:f>(E225+G225)*(1-'前提と出典'!$B$7)-I225-K225-M225-O225</ns0:f>
        <ns0:v>597747.6298373356</ns0:v>
      </ns0:c>
      <ns0:c r="Q225" s="16">
        <ns0:f>(F225+H225)*(1-'前提と出典'!$B$7)-J225-L225-N225</ns0:f>
        <ns0:v>148751.51963241768</ns0:v>
      </ns0:c>
      <ns0:c r="R225" s="16">
        <ns0:f>P225-E225*'前提と出典'!$E$4</ns0:f>
        <ns0:v>431077.85502646305</ns0:v>
      </ns0:c>
      <ns0:c r="S225" s="16">
        <ns0:f>Q225-F225*'前提と出典'!$E$4</ns0:f>
        <ns0:v>100321.54339755882</ns0:v>
      </ns0:c>
      <ns0:c r="T225" s="7">
        <ns0:f>R225+S225</ns0:f>
        <ns0:v>531399.3984240219</ns0:v>
      </ns0:c>
      <ns0:c r="U225" s="16">
        <ns0:f>P225-E225*'前提と出典'!$E$5</ns0:f>
        <ns0:v>375521.2634228389</ns0:v>
      </ns0:c>
      <ns0:c r="V225" s="16">
        <ns0:f>Q225-F225*'前提と出典'!$E$5</ns0:f>
        <ns0:v>84178.21798593918</ns0:v>
      </ns0:c>
      <ns0:c r="W225" s="7">
        <ns0:f>U225+V225</ns0:f>
        <ns0:v>459699.48140877805</ns0:v>
      </ns0:c>
      <ns0:c r="X225" s="16">
        <ns0:f>P225-E225*'前提と出典'!$E$6</ns0:f>
        <ns0:v>319964.6718192147</ns0:v>
      </ns0:c>
      <ns0:c r="Y225" s="16">
        <ns0:f>Q225-F225*'前提と出典'!$E$6</ns0:f>
        <ns0:v>68034.89257431956</ns0:v>
      </ns0:c>
      <ns0:c r="Z225" s="7">
        <ns0:f>X225+Y225</ns0:f>
        <ns0:v>387999.56439353427</ns0:v>
      </ns0:c>
      <ns0:c r="AA225" s="7">
        <ns0:f>IF(T225&gt;=0,A225,1001)</ns0:f>
        <ns0:v>221</ns0:v>
      </ns0:c>
      <ns0:c r="AB225" s="7">
        <ns0:f>IF(T225&lt;0,A225,0)</ns0:f>
        <ns0:v>0</ns0:v>
      </ns0:c>
      <ns0:c r="AC225" s="16">
        <ns0:f>IF(AND(OR('前提と出典'!$C$36+'前提と出典'!$C$38=0,R225&gt;=0),OR('前提と出典'!$C$37+'前提と出典'!$C$38=0,S225&gt;=0)),0,A225)</ns0:f>
        <ns0:v>0</ns0:v>
      </ns0:c>
      <ns0:c r="AD225" s="7">
        <ns0:f>IF(W225&gt;=0,A225,1001)</ns0:f>
        <ns0:v>221</ns0:v>
      </ns0:c>
      <ns0:c r="AE225" s="7">
        <ns0:f>IF(W225&lt;0,A225,0)</ns0:f>
        <ns0:v>0</ns0:v>
      </ns0:c>
      <ns0:c r="AF225" s="16">
        <ns0:f>IF(AND(OR('前提と出典'!$C$36+'前提と出典'!$C$38=0,U225&gt;=0),OR('前提と出典'!$C$37+'前提と出典'!$C$38=0,V225&gt;=0)),0,A225)</ns0:f>
        <ns0:v>0</ns0:v>
      </ns0:c>
      <ns0:c r="AG225" s="7">
        <ns0:f>IF(Z225&gt;=0,A225,1001)</ns0:f>
        <ns0:v>221</ns0:v>
      </ns0:c>
      <ns0:c r="AH225" s="4">
        <ns0:f>IF(Z225&lt;0,A225,0)</ns0:f>
        <ns0:v>0</ns0:v>
      </ns0:c>
      <ns0:c r="AI225" s="12">
        <ns0:f>IF(AND(OR('前提と出典'!$C$36+'前提と出典'!$C$38=0,X225&gt;=0),OR('前提と出典'!$C$37+'前提と出典'!$C$38=0,Y225&gt;=0)),0,A225)</ns0:f>
        <ns0:v>0</ns0:v>
      </ns0:c>
    </ns0:row>
    <ns0:row r="226" ht="24" customHeight="1">
      <ns0:c r="A226" s="4" t="n">
        <ns0:v>222</ns0:v>
      </ns0:c>
      <ns0:c r="B226" s="12">
        <ns0:f>A226*('前提と出典'!$C$36+'前提と出典'!$C$38)</ns0:f>
        <ns0:v>155.39999999999998</ns0:v>
      </ns0:c>
      <ns0:c r="C226" s="12">
        <ns0:f>A226*('前提と出典'!$C$37+'前提と出典'!$C$38)</ns0:f>
        <ns0:v>133.2</ns0:v>
      </ns0:c>
      <ns0:c r="D226" s="16">
        <ns0:f>A226*('前提と出典'!$C$36*'契約別単価'!C5+'前提と出典'!$C$37*'契約別単価'!C6+'前提と出典'!$C$38*'契約別単価'!C7)</ns0:f>
        <ns0:v>1597.4078212290503</ns0:v>
      </ns0:c>
      <ns0:c r="E226" s="16">
        <ns0:f>A226*('前提と出典'!$C$36*'契約別単価'!E5+'前提と出典'!$C$37*'契約別単価'!E6+'前提と出典'!$C$38*'契約別単価'!E7)</ns0:f>
        <ns0:v>558079.7889594827</ns0:v>
      </ns0:c>
      <ns0:c r="F226" s="16">
        <ns0:f>A226*('前提と出典'!$C$36*'契約別単価'!F5+'前提と出典'!$C$37*'契約別単価'!F6+'前提と出典'!$C$38*'契約別単価'!F7)</ns0:f>
        <ns0:v>162163.7213293917</ns0:v>
      </ns0:c>
      <ns0:c r="G226" s="16">
        <ns0:f>A226*('前提と出典'!$C$36*'契約別単価'!G5+'前提と出典'!$C$37*'契約別単価'!G6+'前提と出典'!$C$38*'契約別単価'!G7)</ns0:f>
        <ns0:v>441891.6201117318</ns0:v>
      </ns0:c>
      <ns0:c r="H226" s="16">
        <ns0:f>A226*('前提と出典'!$C$36*'契約別単価'!H5+'前提と出典'!$C$37*'契約別単価'!H6+'前提と出典'!$C$38*'契約別単価'!H7)</ns0:f>
        <ns0:v>153358.55478509865</ns0:v>
      </ns0:c>
      <ns0:c r="I226" s="16">
        <ns0:f>A226*('前提と出典'!$C$36*'契約別単価'!I5+'前提と出典'!$C$37*'契約別単価'!I6+'前提と出典'!$C$38*'契約別単価'!I7)</ns0:f>
        <ns0:v>9367.407821229048</ns0:v>
      </ns0:c>
      <ns0:c r="J226" s="16">
        <ns0:f>A226*('前提と出典'!$C$36*'契約別単価'!J5+'前提と出典'!$C$37*'契約別単価'!J6+'前提と出典'!$C$38*'契約別単価'!J7)</ns0:f>
        <ns0:v>21820.27870368717</ns0:v>
      </ns0:c>
      <ns0:c r="K226" s="16">
        <ns0:f>A226*('前提と出典'!$C$36*'契約別単価'!K5+'前提と出典'!$C$37*'契約別単価'!K6+'前提と出典'!$C$38*'契約別単価'!K7)</ns0:f>
        <ns0:v>93529.38547486033</ns0:v>
      </ns0:c>
      <ns0:c r="L226" s="16">
        <ns0:f>A226*('前提と出典'!$C$36*'契約別単価'!L5+'前提と出典'!$C$37*'契約別単価'!L6+'前提と出典'!$C$38*'契約別単価'!L7)</ns0:f>
        <ns0:v>76151.95182616996</ns0:v>
      </ns0:c>
      <ns0:c r="M226" s="16">
        <ns0:f>IF(('前提と出典'!$C$36+'前提と出典'!$C$38)=0,0,IF(B226&lt;=10,'前提と出典'!B73+'前提と出典'!C73,IF(B226&lt;=100,'前提と出典'!B74+'前提と出典'!C74,IF(B226&lt;=500,'前提と出典'!B75+'前提と出典'!C75,'前提と出典'!B76+'前提と出典'!C76))))</ns0:f>
        <ns0:v>40000</ns0:v>
      </ns0:c>
      <ns0:c r="N226" s="16">
        <ns0:f>IF(('前提と出典'!$C$37+'前提と出典'!$C$38)=0,0,IF(C226&lt;=10,'前提と出典'!D73+'前提と出典'!E73,IF(C226&lt;=100,'前提と出典'!D74+'前提と出典'!E74,IF(C226&lt;=500,'前提と出典'!D75+'前提と出典'!E75,'前提と出典'!D76+'前提と出典'!E76))))</ns0:f>
        <ns0:v>56510.9346263078</ns0:v>
      </ns0:c>
      <ns0:c r="O226" s="16">
        <ns0:f>IF('前提と出典'!$C$36+'前提と出典'!$C$38=0,0,'前提と出典'!$B$4*IF('前提と出典'!$B$20=0,MAX('前提と出典'!$B$6,D226*'前提と出典'!$B$5),'前提と出典'!$B$6+D226*'前提と出典'!$B$5))</ns0:f>
        <ns0:v>220442.27932960895</ns0:v>
      </ns0:c>
      <ns0:c r="P226" s="16">
        <ns0:f>(E226+G226)*(1-'前提と出典'!$B$7)-I226-K226-M226-O226</ns0:f>
        <ns0:v>600633.3657189524</ns0:v>
      </ns0:c>
      <ns0:c r="Q226" s="16">
        <ns0:f>(F226+H226)*(1-'前提と出典'!$B$7)-J226-L226-N226</ns0:f>
        <ns0:v>149680.30901820376</ns0:v>
      </ns0:c>
      <ns0:c r="R226" s="16">
        <ns0:f>P226-E226*'前提と出典'!$E$4</ns0:f>
        <ns0:v>433209.42903110763</ns0:v>
      </ns0:c>
      <ns0:c r="S226" s="16">
        <ns0:f>Q226-F226*'前提と出典'!$E$4</ns0:f>
        <ns0:v>101031.19261938625</ns0:v>
      </ns0:c>
      <ns0:c r="T226" s="7">
        <ns0:f>R226+S226</ns0:f>
        <ns0:v>534240.6216504939</ns0:v>
      </ns0:c>
      <ns0:c r="U226" s="16">
        <ns0:f>P226-E226*'前提と出典'!$E$5</ns0:f>
        <ns0:v>377401.45013515936</ns0:v>
      </ns0:c>
      <ns0:c r="V226" s="16">
        <ns0:f>Q226-F226*'前提と出典'!$E$5</ns0:f>
        <ns0:v>84814.82048644708</ns0:v>
      </ns0:c>
      <ns0:c r="W226" s="7">
        <ns0:f>U226+V226</ns0:f>
        <ns0:v>462216.27062160644</ns0:v>
      </ns0:c>
      <ns0:c r="X226" s="16">
        <ns0:f>P226-E226*'前提と出典'!$E$6</ns0:f>
        <ns0:v>321593.4712392111</ns0:v>
      </ns0:c>
      <ns0:c r="Y226" s="16">
        <ns0:f>Q226-F226*'前提と出典'!$E$6</ns0:f>
        <ns0:v>68598.44835350793</ns0:v>
      </ns0:c>
      <ns0:c r="Z226" s="7">
        <ns0:f>X226+Y226</ns0:f>
        <ns0:v>390191.91959271906</ns0:v>
      </ns0:c>
      <ns0:c r="AA226" s="7">
        <ns0:f>IF(T226&gt;=0,A226,1001)</ns0:f>
        <ns0:v>222</ns0:v>
      </ns0:c>
      <ns0:c r="AB226" s="7">
        <ns0:f>IF(T226&lt;0,A226,0)</ns0:f>
        <ns0:v>0</ns0:v>
      </ns0:c>
      <ns0:c r="AC226" s="16">
        <ns0:f>IF(AND(OR('前提と出典'!$C$36+'前提と出典'!$C$38=0,R226&gt;=0),OR('前提と出典'!$C$37+'前提と出典'!$C$38=0,S226&gt;=0)),0,A226)</ns0:f>
        <ns0:v>0</ns0:v>
      </ns0:c>
      <ns0:c r="AD226" s="7">
        <ns0:f>IF(W226&gt;=0,A226,1001)</ns0:f>
        <ns0:v>222</ns0:v>
      </ns0:c>
      <ns0:c r="AE226" s="7">
        <ns0:f>IF(W226&lt;0,A226,0)</ns0:f>
        <ns0:v>0</ns0:v>
      </ns0:c>
      <ns0:c r="AF226" s="16">
        <ns0:f>IF(AND(OR('前提と出典'!$C$36+'前提と出典'!$C$38=0,U226&gt;=0),OR('前提と出典'!$C$37+'前提と出典'!$C$38=0,V226&gt;=0)),0,A226)</ns0:f>
        <ns0:v>0</ns0:v>
      </ns0:c>
      <ns0:c r="AG226" s="7">
        <ns0:f>IF(Z226&gt;=0,A226,1001)</ns0:f>
        <ns0:v>222</ns0:v>
      </ns0:c>
      <ns0:c r="AH226" s="4">
        <ns0:f>IF(Z226&lt;0,A226,0)</ns0:f>
        <ns0:v>0</ns0:v>
      </ns0:c>
      <ns0:c r="AI226" s="12">
        <ns0:f>IF(AND(OR('前提と出典'!$C$36+'前提と出典'!$C$38=0,X226&gt;=0),OR('前提と出典'!$C$37+'前提と出典'!$C$38=0,Y226&gt;=0)),0,A226)</ns0:f>
        <ns0:v>0</ns0:v>
      </ns0:c>
    </ns0:row>
    <ns0:row r="227" ht="24" customHeight="1">
      <ns0:c r="A227" s="4" t="n">
        <ns0:v>223</ns0:v>
      </ns0:c>
      <ns0:c r="B227" s="12">
        <ns0:f>A227*('前提と出典'!$C$36+'前提と出典'!$C$38)</ns0:f>
        <ns0:v>156.1</ns0:v>
      </ns0:c>
      <ns0:c r="C227" s="12">
        <ns0:f>A227*('前提と出典'!$C$37+'前提と出典'!$C$38)</ns0:f>
        <ns0:v>133.79999999999998</ns0:v>
      </ns0:c>
      <ns0:c r="D227" s="16">
        <ns0:f>A227*('前提と出典'!$C$36*'契約別単価'!C5+'前提と出典'!$C$37*'契約別単価'!C6+'前提と出典'!$C$38*'契約別単価'!C7)</ns0:f>
        <ns0:v>1604.6033519553073</ns0:v>
      </ns0:c>
      <ns0:c r="E227" s="16">
        <ns0:f>A227*('前提と出典'!$C$36*'契約別単価'!E5+'前提と出典'!$C$37*'契約別単価'!E6+'前提と出典'!$C$38*'契約別単価'!E7)</ns0:f>
        <ns0:v>560593.6618827237</ns0:v>
      </ns0:c>
      <ns0:c r="F227" s="16">
        <ns0:f>A227*('前提と出典'!$C$36*'契約別単価'!F5+'前提と出典'!$C$37*'契約別単価'!F6+'前提と出典'!$C$38*'契約別単価'!F7)</ns0:f>
        <ns0:v>162894.18854258716</ns0:v>
      </ns0:c>
      <ns0:c r="G227" s="16">
        <ns0:f>A227*('前提と出典'!$C$36*'契約別単価'!G5+'前提と出典'!$C$37*'契約別単価'!G6+'前提と出典'!$C$38*'契約別単価'!G7)</ns0:f>
        <ns0:v>443882.12290502794</ns0:v>
      </ns0:c>
      <ns0:c r="H227" s="16">
        <ns0:f>A227*('前提と出典'!$C$36*'契約別単価'!H5+'前提と出典'!$C$37*'契約別単価'!H6+'前提と出典'!$C$38*'契約別単価'!H7)</ns0:f>
        <ns0:v>154049.35908593243</ns0:v>
      </ns0:c>
      <ns0:c r="I227" s="16">
        <ns0:f>A227*('前提と出典'!$C$36*'契約別単価'!I5+'前提と出典'!$C$37*'契約別単価'!I6+'前提と出典'!$C$38*'契約別単価'!I7)</ns0:f>
        <ns0:v>9409.603351955306</ns0:v>
      </ns0:c>
      <ns0:c r="J227" s="16">
        <ns0:f>A227*('前提と出典'!$C$36*'契約別単価'!J5+'前提と出典'!$C$37*'契約別単価'!J6+'前提と出典'!$C$38*'契約別単価'!J7)</ns0:f>
        <ns0:v>21918.568247397474</ns0:v>
      </ns0:c>
      <ns0:c r="K227" s="16">
        <ns0:f>A227*('前提と出典'!$C$36*'契約別単価'!K5+'前提と出典'!$C$37*'契約別単価'!K6+'前提と出典'!$C$38*'契約別単価'!K7)</ns0:f>
        <ns0:v>93950.68901303537</ns0:v>
      </ns0:c>
      <ns0:c r="L227" s="16">
        <ns0:f>A227*('前提と出典'!$C$36*'契約別単価'!L5+'前提と出典'!$C$37*'契約別単価'!L6+'前提と出典'!$C$38*'契約別単価'!L7)</ns0:f>
        <ns0:v>76494.97863619775</ns0:v>
      </ns0:c>
      <ns0:c r="M227" s="16">
        <ns0:f>IF(('前提と出典'!$C$36+'前提と出典'!$C$38)=0,0,IF(B227&lt;=10,'前提と出典'!B73+'前提と出典'!C73,IF(B227&lt;=100,'前提と出典'!B74+'前提と出典'!C74,IF(B227&lt;=500,'前提と出典'!B75+'前提と出典'!C75,'前提と出典'!B76+'前提と出典'!C76))))</ns0:f>
        <ns0:v>40000</ns0:v>
      </ns0:c>
      <ns0:c r="N227" s="16">
        <ns0:f>IF(('前提と出典'!$C$37+'前提と出典'!$C$38)=0,0,IF(C227&lt;=10,'前提と出典'!D73+'前提と出典'!E73,IF(C227&lt;=100,'前提と出典'!D74+'前提と出典'!E74,IF(C227&lt;=500,'前提と出典'!D75+'前提と出典'!E75,'前提と出典'!D76+'前提と出典'!E76))))</ns0:f>
        <ns0:v>56510.9346263078</ns0:v>
      </ns0:c>
      <ns0:c r="O227" s="16">
        <ns0:f>IF('前提と出典'!$C$36+'前提と出典'!$C$38=0,0,'前提と出典'!$B$4*IF('前提と出典'!$B$20=0,MAX('前提と出典'!$B$6,D227*'前提と出典'!$B$5),'前提と出典'!$B$6+D227*'前提と出典'!$B$5))</ns0:f>
        <ns0:v>221435.2625698324</ns0:v>
      </ns0:c>
      <ns0:c r="P227" s="16">
        <ns0:f>(E227+G227)*(1-'前提と出典'!$B$7)-I227-K227-M227-O227</ns0:f>
        <ns0:v>603519.1016005694</ns0:v>
      </ns0:c>
      <ns0:c r="Q227" s="16">
        <ns0:f>(F227+H227)*(1-'前提と出典'!$B$7)-J227-L227-N227</ns0:f>
        <ns0:v>150609.0984039899</ns0:v>
      </ns0:c>
      <ns0:c r="R227" s="16">
        <ns0:f>P227-E227*'前提と出典'!$E$4</ns0:f>
        <ns0:v>435341.00303575234</ns0:v>
      </ns0:c>
      <ns0:c r="S227" s="16">
        <ns0:f>Q227-F227*'前提と出典'!$E$4</ns0:f>
        <ns0:v>101740.8418412137</ns0:v>
      </ns0:c>
      <ns0:c r="T227" s="7">
        <ns0:f>R227+S227</ns0:f>
        <ns0:v>537081.844876966</ns0:v>
      </ns0:c>
      <ns0:c r="U227" s="16">
        <ns0:f>P227-E227*'前提と出典'!$E$5</ns0:f>
        <ns0:v>379281.63684747997</ns0:v>
      </ns0:c>
      <ns0:c r="V227" s="16">
        <ns0:f>Q227-F227*'前提と出典'!$E$5</ns0:f>
        <ns0:v>85451.42298695503</ns0:v>
      </ns0:c>
      <ns0:c r="W227" s="7">
        <ns0:f>U227+V227</ns0:f>
        <ns0:v>464733.059834435</ns0:v>
      </ns0:c>
      <ns0:c r="X227" s="16">
        <ns0:f>P227-E227*'前提と出典'!$E$6</ns0:f>
        <ns0:v>323222.2706592076</ns0:v>
      </ns0:c>
      <ns0:c r="Y227" s="16">
        <ns0:f>Q227-F227*'前提と出典'!$E$6</ns0:f>
        <ns0:v>69162.00413269631</ns0:v>
      </ns0:c>
      <ns0:c r="Z227" s="7">
        <ns0:f>X227+Y227</ns0:f>
        <ns0:v>392384.2747919039</ns0:v>
      </ns0:c>
      <ns0:c r="AA227" s="7">
        <ns0:f>IF(T227&gt;=0,A227,1001)</ns0:f>
        <ns0:v>223</ns0:v>
      </ns0:c>
      <ns0:c r="AB227" s="7">
        <ns0:f>IF(T227&lt;0,A227,0)</ns0:f>
        <ns0:v>0</ns0:v>
      </ns0:c>
      <ns0:c r="AC227" s="16">
        <ns0:f>IF(AND(OR('前提と出典'!$C$36+'前提と出典'!$C$38=0,R227&gt;=0),OR('前提と出典'!$C$37+'前提と出典'!$C$38=0,S227&gt;=0)),0,A227)</ns0:f>
        <ns0:v>0</ns0:v>
      </ns0:c>
      <ns0:c r="AD227" s="7">
        <ns0:f>IF(W227&gt;=0,A227,1001)</ns0:f>
        <ns0:v>223</ns0:v>
      </ns0:c>
      <ns0:c r="AE227" s="7">
        <ns0:f>IF(W227&lt;0,A227,0)</ns0:f>
        <ns0:v>0</ns0:v>
      </ns0:c>
      <ns0:c r="AF227" s="16">
        <ns0:f>IF(AND(OR('前提と出典'!$C$36+'前提と出典'!$C$38=0,U227&gt;=0),OR('前提と出典'!$C$37+'前提と出典'!$C$38=0,V227&gt;=0)),0,A227)</ns0:f>
        <ns0:v>0</ns0:v>
      </ns0:c>
      <ns0:c r="AG227" s="7">
        <ns0:f>IF(Z227&gt;=0,A227,1001)</ns0:f>
        <ns0:v>223</ns0:v>
      </ns0:c>
      <ns0:c r="AH227" s="4">
        <ns0:f>IF(Z227&lt;0,A227,0)</ns0:f>
        <ns0:v>0</ns0:v>
      </ns0:c>
      <ns0:c r="AI227" s="12">
        <ns0:f>IF(AND(OR('前提と出典'!$C$36+'前提と出典'!$C$38=0,X227&gt;=0),OR('前提と出典'!$C$37+'前提と出典'!$C$38=0,Y227&gt;=0)),0,A227)</ns0:f>
        <ns0:v>0</ns0:v>
      </ns0:c>
    </ns0:row>
    <ns0:row r="228" ht="24" customHeight="1">
      <ns0:c r="A228" s="4" t="n">
        <ns0:v>224</ns0:v>
      </ns0:c>
      <ns0:c r="B228" s="12">
        <ns0:f>A228*('前提と出典'!$C$36+'前提と出典'!$C$38)</ns0:f>
        <ns0:v>156.79999999999998</ns0:v>
      </ns0:c>
      <ns0:c r="C228" s="12">
        <ns0:f>A228*('前提と出典'!$C$37+'前提と出典'!$C$38)</ns0:f>
        <ns0:v>134.4</ns0:v>
      </ns0:c>
      <ns0:c r="D228" s="16">
        <ns0:f>A228*('前提と出典'!$C$36*'契約別単価'!C5+'前提と出典'!$C$37*'契約別単価'!C6+'前提と出典'!$C$38*'契約別単価'!C7)</ns0:f>
        <ns0:v>1611.7988826815642</ns0:v>
      </ns0:c>
      <ns0:c r="E228" s="16">
        <ns0:f>A228*('前提と出典'!$C$36*'契約別単価'!E5+'前提と出典'!$C$37*'契約別単価'!E6+'前提と出典'!$C$38*'契約別単価'!E7)</ns0:f>
        <ns0:v>563107.5348059646</ns0:v>
      </ns0:c>
      <ns0:c r="F228" s="16">
        <ns0:f>A228*('前提と出典'!$C$36*'契約別単価'!F5+'前提と出典'!$C$37*'契約別単価'!F6+'前提と出典'!$C$38*'契約別単価'!F7)</ns0:f>
        <ns0:v>163624.65575578262</ns0:v>
      </ns0:c>
      <ns0:c r="G228" s="16">
        <ns0:f>A228*('前提と出典'!$C$36*'契約別単価'!G5+'前提と出典'!$C$37*'契約別単価'!G6+'前提と出典'!$C$38*'契約別単価'!G7)</ns0:f>
        <ns0:v>445872.625698324</ns0:v>
      </ns0:c>
      <ns0:c r="H228" s="16">
        <ns0:f>A228*('前提と出典'!$C$36*'契約別単価'!H5+'前提と出典'!$C$37*'契約別単価'!H6+'前提と出典'!$C$38*'契約別単価'!H7)</ns0:f>
        <ns0:v>154740.16338676622</ns0:v>
      </ns0:c>
      <ns0:c r="I228" s="16">
        <ns0:f>A228*('前提と出典'!$C$36*'契約別単価'!I5+'前提と出典'!$C$37*'契約別単価'!I6+'前提と出典'!$C$38*'契約別単価'!I7)</ns0:f>
        <ns0:v>9451.798882681564</ns0:v>
      </ns0:c>
      <ns0:c r="J228" s="16">
        <ns0:f>A228*('前提と出典'!$C$36*'契約別単価'!J5+'前提と出典'!$C$37*'契約別単価'!J6+'前提と出典'!$C$38*'契約別単価'!J7)</ns0:f>
        <ns0:v>22016.857791107774</ns0:v>
      </ns0:c>
      <ns0:c r="K228" s="16">
        <ns0:f>A228*('前提と出典'!$C$36*'契約別単価'!K5+'前提と出典'!$C$37*'契約別単価'!K6+'前提と出典'!$C$38*'契約別単価'!K7)</ns0:f>
        <ns0:v>94371.99255121042</ns0:v>
      </ns0:c>
      <ns0:c r="L228" s="16">
        <ns0:f>A228*('前提と出典'!$C$36*'契約別単価'!L5+'前提と出典'!$C$37*'契約別単価'!L6+'前提と出典'!$C$38*'契約別単価'!L7)</ns0:f>
        <ns0:v>76838.00544622554</ns0:v>
      </ns0:c>
      <ns0:c r="M228" s="16">
        <ns0:f>IF(('前提と出典'!$C$36+'前提と出典'!$C$38)=0,0,IF(B228&lt;=10,'前提と出典'!B73+'前提と出典'!C73,IF(B228&lt;=100,'前提と出典'!B74+'前提と出典'!C74,IF(B228&lt;=500,'前提と出典'!B75+'前提と出典'!C75,'前提と出典'!B76+'前提と出典'!C76))))</ns0:f>
        <ns0:v>40000</ns0:v>
      </ns0:c>
      <ns0:c r="N228" s="16">
        <ns0:f>IF(('前提と出典'!$C$37+'前提と出典'!$C$38)=0,0,IF(C228&lt;=10,'前提と出典'!D73+'前提と出典'!E73,IF(C228&lt;=100,'前提と出典'!D74+'前提と出典'!E74,IF(C228&lt;=500,'前提と出典'!D75+'前提と出典'!E75,'前提と出典'!D76+'前提と出典'!E76))))</ns0:f>
        <ns0:v>56510.9346263078</ns0:v>
      </ns0:c>
      <ns0:c r="O228" s="16">
        <ns0:f>IF('前提と出典'!$C$36+'前提と出典'!$C$38=0,0,'前提と出典'!$B$4*IF('前提と出典'!$B$20=0,MAX('前提と出典'!$B$6,D228*'前提と出典'!$B$5),'前提と出典'!$B$6+D228*'前提と出典'!$B$5))</ns0:f>
        <ns0:v>222428.24581005587</ns0:v>
      </ns0:c>
      <ns0:c r="P228" s="16">
        <ns0:f>(E228+G228)*(1-'前提と出典'!$B$7)-I228-K228-M228-O228</ns0:f>
        <ns0:v>606404.8374821863</ns0:v>
      </ns0:c>
      <ns0:c r="Q228" s="16">
        <ns0:f>(F228+H228)*(1-'前提と出典'!$B$7)-J228-L228-N228</ns0:f>
        <ns0:v>151537.88778977597</ns0:v>
      </ns0:c>
      <ns0:c r="R228" s="16">
        <ns0:f>P228-E228*'前提と出典'!$E$4</ns0:f>
        <ns0:v>437472.57704039686</ns0:v>
      </ns0:c>
      <ns0:c r="S228" s="16">
        <ns0:f>Q228-F228*'前提と出典'!$E$4</ns0:f>
        <ns0:v>102450.4910630412</ns0:v>
      </ns0:c>
      <ns0:c r="T228" s="7">
        <ns0:f>R228+S228</ns0:f>
        <ns0:v>539923.068103438</ns0:v>
      </ns0:c>
      <ns0:c r="U228" s="16">
        <ns0:f>P228-E228*'前提と出典'!$E$5</ns0:f>
        <ns0:v>381161.8235598004</ns0:v>
      </ns0:c>
      <ns0:c r="V228" s="16">
        <ns0:f>Q228-F228*'前提と出典'!$E$5</ns0:f>
        <ns0:v>86088.02548746293</ns0:v>
      </ns0:c>
      <ns0:c r="W228" s="7">
        <ns0:f>U228+V228</ns0:f>
        <ns0:v>467249.8490472633</ns0:v>
      </ns0:c>
      <ns0:c r="X228" s="16">
        <ns0:f>P228-E228*'前提と出典'!$E$6</ns0:f>
        <ns0:v>324851.0700792039</ns0:v>
      </ns0:c>
      <ns0:c r="Y228" s="16">
        <ns0:f>Q228-F228*'前提と出典'!$E$6</ns0:f>
        <ns0:v>69725.55991188466</ns0:v>
      </ns0:c>
      <ns0:c r="Z228" s="7">
        <ns0:f>X228+Y228</ns0:f>
        <ns0:v>394576.6299910886</ns0:v>
      </ns0:c>
      <ns0:c r="AA228" s="7">
        <ns0:f>IF(T228&gt;=0,A228,1001)</ns0:f>
        <ns0:v>224</ns0:v>
      </ns0:c>
      <ns0:c r="AB228" s="7">
        <ns0:f>IF(T228&lt;0,A228,0)</ns0:f>
        <ns0:v>0</ns0:v>
      </ns0:c>
      <ns0:c r="AC228" s="16">
        <ns0:f>IF(AND(OR('前提と出典'!$C$36+'前提と出典'!$C$38=0,R228&gt;=0),OR('前提と出典'!$C$37+'前提と出典'!$C$38=0,S228&gt;=0)),0,A228)</ns0:f>
        <ns0:v>0</ns0:v>
      </ns0:c>
      <ns0:c r="AD228" s="7">
        <ns0:f>IF(W228&gt;=0,A228,1001)</ns0:f>
        <ns0:v>224</ns0:v>
      </ns0:c>
      <ns0:c r="AE228" s="7">
        <ns0:f>IF(W228&lt;0,A228,0)</ns0:f>
        <ns0:v>0</ns0:v>
      </ns0:c>
      <ns0:c r="AF228" s="16">
        <ns0:f>IF(AND(OR('前提と出典'!$C$36+'前提と出典'!$C$38=0,U228&gt;=0),OR('前提と出典'!$C$37+'前提と出典'!$C$38=0,V228&gt;=0)),0,A228)</ns0:f>
        <ns0:v>0</ns0:v>
      </ns0:c>
      <ns0:c r="AG228" s="7">
        <ns0:f>IF(Z228&gt;=0,A228,1001)</ns0:f>
        <ns0:v>224</ns0:v>
      </ns0:c>
      <ns0:c r="AH228" s="4">
        <ns0:f>IF(Z228&lt;0,A228,0)</ns0:f>
        <ns0:v>0</ns0:v>
      </ns0:c>
      <ns0:c r="AI228" s="12">
        <ns0:f>IF(AND(OR('前提と出典'!$C$36+'前提と出典'!$C$38=0,X228&gt;=0),OR('前提と出典'!$C$37+'前提と出典'!$C$38=0,Y228&gt;=0)),0,A228)</ns0:f>
        <ns0:v>0</ns0:v>
      </ns0:c>
    </ns0:row>
    <ns0:row r="229" ht="24" customHeight="1">
      <ns0:c r="A229" s="4" t="n">
        <ns0:v>225</ns0:v>
      </ns0:c>
      <ns0:c r="B229" s="12">
        <ns0:f>A229*('前提と出典'!$C$36+'前提と出典'!$C$38)</ns0:f>
        <ns0:v>157.5</ns0:v>
      </ns0:c>
      <ns0:c r="C229" s="12">
        <ns0:f>A229*('前提と出典'!$C$37+'前提と出典'!$C$38)</ns0:f>
        <ns0:v>135</ns0:v>
      </ns0:c>
      <ns0:c r="D229" s="16">
        <ns0:f>A229*('前提と出典'!$C$36*'契約別単価'!C5+'前提と出典'!$C$37*'契約別単価'!C6+'前提と出典'!$C$38*'契約別単価'!C7)</ns0:f>
        <ns0:v>1618.9944134078212</ns0:v>
      </ns0:c>
      <ns0:c r="E229" s="16">
        <ns0:f>A229*('前提と出典'!$C$36*'契約別単価'!E5+'前提と出典'!$C$37*'契約別単価'!E6+'前提と出典'!$C$38*'契約別単価'!E7)</ns0:f>
        <ns0:v>565621.4077292054</ns0:v>
      </ns0:c>
      <ns0:c r="F229" s="16">
        <ns0:f>A229*('前提と出典'!$C$36*'契約別単価'!F5+'前提と出典'!$C$37*'契約別単価'!F6+'前提と出典'!$C$38*'契約別単価'!F7)</ns0:f>
        <ns0:v>164355.12296897807</ns0:v>
      </ns0:c>
      <ns0:c r="G229" s="16">
        <ns0:f>A229*('前提と出典'!$C$36*'契約別単価'!G5+'前提と出典'!$C$37*'契約別単価'!G6+'前提と出典'!$C$38*'契約別単価'!G7)</ns0:f>
        <ns0:v>447863.12849162007</ns0:v>
      </ns0:c>
      <ns0:c r="H229" s="16">
        <ns0:f>A229*('前提と出典'!$C$36*'契約別単価'!H5+'前提と出典'!$C$37*'契約別単価'!H6+'前提と出典'!$C$38*'契約別単価'!H7)</ns0:f>
        <ns0:v>155430.96768759997</ns0:v>
      </ns0:c>
      <ns0:c r="I229" s="16">
        <ns0:f>A229*('前提と出典'!$C$36*'契約別単価'!I5+'前提と出典'!$C$37*'契約別単価'!I6+'前提と出典'!$C$38*'契約別単価'!I7)</ns0:f>
        <ns0:v>9493.99441340782</ns0:v>
      </ns0:c>
      <ns0:c r="J229" s="16">
        <ns0:f>A229*('前提と出典'!$C$36*'契約別単価'!J5+'前提と出典'!$C$37*'契約別単価'!J6+'前提と出典'!$C$38*'契約別単価'!J7)</ns0:f>
        <ns0:v>22115.147334818077</ns0:v>
      </ns0:c>
      <ns0:c r="K229" s="16">
        <ns0:f>A229*('前提と出典'!$C$36*'契約別単価'!K5+'前提と出典'!$C$37*'契約別単価'!K6+'前提と出典'!$C$38*'契約別単価'!K7)</ns0:f>
        <ns0:v>94793.29608938546</ns0:v>
      </ns0:c>
      <ns0:c r="L229" s="16">
        <ns0:f>A229*('前提と出典'!$C$36*'契約別単価'!L5+'前提と出典'!$C$37*'契約別単価'!L6+'前提と出典'!$C$38*'契約別単価'!L7)</ns0:f>
        <ns0:v>77181.03225625333</ns0:v>
      </ns0:c>
      <ns0:c r="M229" s="16">
        <ns0:f>IF(('前提と出典'!$C$36+'前提と出典'!$C$38)=0,0,IF(B229&lt;=10,'前提と出典'!B73+'前提と出典'!C73,IF(B229&lt;=100,'前提と出典'!B74+'前提と出典'!C74,IF(B229&lt;=500,'前提と出典'!B75+'前提と出典'!C75,'前提と出典'!B76+'前提と出典'!C76))))</ns0:f>
        <ns0:v>40000</ns0:v>
      </ns0:c>
      <ns0:c r="N229" s="16">
        <ns0:f>IF(('前提と出典'!$C$37+'前提と出典'!$C$38)=0,0,IF(C229&lt;=10,'前提と出典'!D73+'前提と出典'!E73,IF(C229&lt;=100,'前提と出典'!D74+'前提と出典'!E74,IF(C229&lt;=500,'前提と出典'!D75+'前提と出典'!E75,'前提と出典'!D76+'前提と出典'!E76))))</ns0:f>
        <ns0:v>56510.9346263078</ns0:v>
      </ns0:c>
      <ns0:c r="O229" s="16">
        <ns0:f>IF('前提と出典'!$C$36+'前提と出典'!$C$38=0,0,'前提と出典'!$B$4*IF('前提と出典'!$B$20=0,MAX('前提と出典'!$B$6,D229*'前提と出典'!$B$5),'前提と出典'!$B$6+D229*'前提と出典'!$B$5))</ns0:f>
        <ns0:v>223421.2290502793</ns0:v>
      </ns0:c>
      <ns0:c r="P229" s="16">
        <ns0:f>(E229+G229)*(1-'前提と出典'!$B$7)-I229-K229-M229-O229</ns0:f>
        <ns0:v>609290.5733638033</ns0:v>
      </ns0:c>
      <ns0:c r="Q229" s="16">
        <ns0:f>(F229+H229)*(1-'前提と出典'!$B$7)-J229-L229-N229</ns0:f>
        <ns0:v>152466.677175562</ns0:v>
      </ns0:c>
      <ns0:c r="R229" s="16">
        <ns0:f>P229-E229*'前提と出典'!$E$4</ns0:f>
        <ns0:v>439604.1510450417</ns0:v>
      </ns0:c>
      <ns0:c r="S229" s="16">
        <ns0:f>Q229-F229*'前提と出典'!$E$4</ns0:f>
        <ns0:v>103160.14028486863</ns0:v>
      </ns0:c>
      <ns0:c r="T229" s="7">
        <ns0:f>R229+S229</ns0:f>
        <ns0:v>542764.2913299103</ns0:v>
      </ns0:c>
      <ns0:c r="U229" s="16">
        <ns0:f>P229-E229*'前提と出典'!$E$5</ns0:f>
        <ns0:v>383042.0102721211</ns0:v>
      </ns0:c>
      <ns0:c r="V229" s="16">
        <ns0:f>Q229-F229*'前提と出典'!$E$5</ns0:f>
        <ns0:v>86724.6279879708</ns0:v>
      </ns0:c>
      <ns0:c r="W229" s="7">
        <ns0:f>U229+V229</ns0:f>
        <ns0:v>469766.6382600919</ns0:v>
      </ns0:c>
      <ns0:c r="X229" s="16">
        <ns0:f>P229-E229*'前提と出典'!$E$6</ns0:f>
        <ns0:v>326479.86949920055</ns0:v>
      </ns0:c>
      <ns0:c r="Y229" s="16">
        <ns0:f>Q229-F229*'前提と出典'!$E$6</ns0:f>
        <ns0:v>70289.115691073</ns0:v>
      </ns0:c>
      <ns0:c r="Z229" s="7">
        <ns0:f>X229+Y229</ns0:f>
        <ns0:v>396768.98519027355</ns0:v>
      </ns0:c>
      <ns0:c r="AA229" s="7">
        <ns0:f>IF(T229&gt;=0,A229,1001)</ns0:f>
        <ns0:v>225</ns0:v>
      </ns0:c>
      <ns0:c r="AB229" s="7">
        <ns0:f>IF(T229&lt;0,A229,0)</ns0:f>
        <ns0:v>0</ns0:v>
      </ns0:c>
      <ns0:c r="AC229" s="16">
        <ns0:f>IF(AND(OR('前提と出典'!$C$36+'前提と出典'!$C$38=0,R229&gt;=0),OR('前提と出典'!$C$37+'前提と出典'!$C$38=0,S229&gt;=0)),0,A229)</ns0:f>
        <ns0:v>0</ns0:v>
      </ns0:c>
      <ns0:c r="AD229" s="7">
        <ns0:f>IF(W229&gt;=0,A229,1001)</ns0:f>
        <ns0:v>225</ns0:v>
      </ns0:c>
      <ns0:c r="AE229" s="7">
        <ns0:f>IF(W229&lt;0,A229,0)</ns0:f>
        <ns0:v>0</ns0:v>
      </ns0:c>
      <ns0:c r="AF229" s="16">
        <ns0:f>IF(AND(OR('前提と出典'!$C$36+'前提と出典'!$C$38=0,U229&gt;=0),OR('前提と出典'!$C$37+'前提と出典'!$C$38=0,V229&gt;=0)),0,A229)</ns0:f>
        <ns0:v>0</ns0:v>
      </ns0:c>
      <ns0:c r="AG229" s="7">
        <ns0:f>IF(Z229&gt;=0,A229,1001)</ns0:f>
        <ns0:v>225</ns0:v>
      </ns0:c>
      <ns0:c r="AH229" s="4">
        <ns0:f>IF(Z229&lt;0,A229,0)</ns0:f>
        <ns0:v>0</ns0:v>
      </ns0:c>
      <ns0:c r="AI229" s="12">
        <ns0:f>IF(AND(OR('前提と出典'!$C$36+'前提と出典'!$C$38=0,X229&gt;=0),OR('前提と出典'!$C$37+'前提と出典'!$C$38=0,Y229&gt;=0)),0,A229)</ns0:f>
        <ns0:v>0</ns0:v>
      </ns0:c>
    </ns0:row>
    <ns0:row r="230" ht="24" customHeight="1">
      <ns0:c r="A230" s="4" t="n">
        <ns0:v>226</ns0:v>
      </ns0:c>
      <ns0:c r="B230" s="12">
        <ns0:f>A230*('前提と出典'!$C$36+'前提と出典'!$C$38)</ns0:f>
        <ns0:v>158.2</ns0:v>
      </ns0:c>
      <ns0:c r="C230" s="12">
        <ns0:f>A230*('前提と出典'!$C$37+'前提と出典'!$C$38)</ns0:f>
        <ns0:v>135.6</ns0:v>
      </ns0:c>
      <ns0:c r="D230" s="16">
        <ns0:f>A230*('前提と出典'!$C$36*'契約別単価'!C5+'前提と出典'!$C$37*'契約別単価'!C6+'前提と出典'!$C$38*'契約別単価'!C7)</ns0:f>
        <ns0:v>1626.1899441340781</ns0:v>
      </ns0:c>
      <ns0:c r="E230" s="16">
        <ns0:f>A230*('前提と出典'!$C$36*'契約別単価'!E5+'前提と出典'!$C$37*'契約別単価'!E6+'前提と出典'!$C$38*'契約別単価'!E7)</ns0:f>
        <ns0:v>568135.2806524464</ns0:v>
      </ns0:c>
      <ns0:c r="F230" s="16">
        <ns0:f>A230*('前提と出典'!$C$36*'契約別単価'!F5+'前提と出典'!$C$37*'契約別単価'!F6+'前提と出典'!$C$38*'契約別単価'!F7)</ns0:f>
        <ns0:v>165085.59018217353</ns0:v>
      </ns0:c>
      <ns0:c r="G230" s="16">
        <ns0:f>A230*('前提と出典'!$C$36*'契約別単価'!G5+'前提と出典'!$C$37*'契約別単価'!G6+'前提と出典'!$C$38*'契約別単価'!G7)</ns0:f>
        <ns0:v>449853.6312849162</ns0:v>
      </ns0:c>
      <ns0:c r="H230" s="16">
        <ns0:f>A230*('前提と出典'!$C$36*'契約別単価'!H5+'前提と出典'!$C$37*'契約別単価'!H6+'前提と出典'!$C$38*'契約別単価'!H7)</ns0:f>
        <ns0:v>156121.77198843376</ns0:v>
      </ns0:c>
      <ns0:c r="I230" s="16">
        <ns0:f>A230*('前提と出典'!$C$36*'契約別単価'!I5+'前提と出典'!$C$37*'契約別単価'!I6+'前提と出典'!$C$38*'契約別単価'!I7)</ns0:f>
        <ns0:v>9536.189944134077</ns0:v>
      </ns0:c>
      <ns0:c r="J230" s="16">
        <ns0:f>A230*('前提と出典'!$C$36*'契約別単価'!J5+'前提と出典'!$C$37*'契約別単価'!J6+'前提と出典'!$C$38*'契約別単価'!J7)</ns0:f>
        <ns0:v>22213.43687852838</ns0:v>
      </ns0:c>
      <ns0:c r="K230" s="16">
        <ns0:f>A230*('前提と出典'!$C$36*'契約別単価'!K5+'前提と出典'!$C$37*'契約別単価'!K6+'前提と出典'!$C$38*'契約別単価'!K7)</ns0:f>
        <ns0:v>95214.59962756051</ns0:v>
      </ns0:c>
      <ns0:c r="L230" s="16">
        <ns0:f>A230*('前提と出典'!$C$36*'契約別単価'!L5+'前提と出典'!$C$37*'契約別単価'!L6+'前提と出典'!$C$38*'契約別単価'!L7)</ns0:f>
        <ns0:v>77524.05906628112</ns0:v>
      </ns0:c>
      <ns0:c r="M230" s="16">
        <ns0:f>IF(('前提と出典'!$C$36+'前提と出典'!$C$38)=0,0,IF(B230&lt;=10,'前提と出典'!B73+'前提と出典'!C73,IF(B230&lt;=100,'前提と出典'!B74+'前提と出典'!C74,IF(B230&lt;=500,'前提と出典'!B75+'前提と出典'!C75,'前提と出典'!B76+'前提と出典'!C76))))</ns0:f>
        <ns0:v>40000</ns0:v>
      </ns0:c>
      <ns0:c r="N230" s="16">
        <ns0:f>IF(('前提と出典'!$C$37+'前提と出典'!$C$38)=0,0,IF(C230&lt;=10,'前提と出典'!D73+'前提と出典'!E73,IF(C230&lt;=100,'前提と出典'!D74+'前提と出典'!E74,IF(C230&lt;=500,'前提と出典'!D75+'前提と出典'!E75,'前提と出典'!D76+'前提と出典'!E76))))</ns0:f>
        <ns0:v>56510.9346263078</ns0:v>
      </ns0:c>
      <ns0:c r="O230" s="16">
        <ns0:f>IF('前提と出典'!$C$36+'前提と出典'!$C$38=0,0,'前提と出典'!$B$4*IF('前提と出典'!$B$20=0,MAX('前提と出典'!$B$6,D230*'前提と出典'!$B$5),'前提と出典'!$B$6+D230*'前提と出典'!$B$5))</ns0:f>
        <ns0:v>224414.2122905028</ns0:v>
      </ns0:c>
      <ns0:c r="P230" s="16">
        <ns0:f>(E230+G230)*(1-'前提と出典'!$B$7)-I230-K230-M230-O230</ns0:f>
        <ns0:v>612176.3092454203</ns0:v>
      </ns0:c>
      <ns0:c r="Q230" s="16">
        <ns0:f>(F230+H230)*(1-'前提と出典'!$B$7)-J230-L230-N230</ns0:f>
        <ns0:v>153395.46656134815</ns0:v>
      </ns0:c>
      <ns0:c r="R230" s="16">
        <ns0:f>P230-E230*'前提と出典'!$E$4</ns0:f>
        <ns0:v>441735.7250496863</ns0:v>
      </ns0:c>
      <ns0:c r="S230" s="16">
        <ns0:f>Q230-F230*'前提と出典'!$E$4</ns0:f>
        <ns0:v>103869.78950669605</ns0:v>
      </ns0:c>
      <ns0:c r="T230" s="7">
        <ns0:f>R230+S230</ns0:f>
        <ns0:v>545605.5145563823</ns0:v>
      </ns0:c>
      <ns0:c r="U230" s="16">
        <ns0:f>P230-E230*'前提と出典'!$E$5</ns0:f>
        <ns0:v>384922.19698444166</ns0:v>
      </ns0:c>
      <ns0:c r="V230" s="16">
        <ns0:f>Q230-F230*'前提と出典'!$E$5</ns0:f>
        <ns0:v>87361.23048847873</ns0:v>
      </ns0:c>
      <ns0:c r="W230" s="7">
        <ns0:f>U230+V230</ns0:f>
        <ns0:v>472283.4274729204</ns0:v>
      </ns0:c>
      <ns0:c r="X230" s="16">
        <ns0:f>P230-E230*'前提と出典'!$E$6</ns0:f>
        <ns0:v>328108.668919197</ns0:v>
      </ns0:c>
      <ns0:c r="Y230" s="16">
        <ns0:f>Q230-F230*'前提と出典'!$E$6</ns0:f>
        <ns0:v>70852.67147026138</ns0:v>
      </ns0:c>
      <ns0:c r="Z230" s="7">
        <ns0:f>X230+Y230</ns0:f>
        <ns0:v>398961.34038945835</ns0:v>
      </ns0:c>
      <ns0:c r="AA230" s="7">
        <ns0:f>IF(T230&gt;=0,A230,1001)</ns0:f>
        <ns0:v>226</ns0:v>
      </ns0:c>
      <ns0:c r="AB230" s="7">
        <ns0:f>IF(T230&lt;0,A230,0)</ns0:f>
        <ns0:v>0</ns0:v>
      </ns0:c>
      <ns0:c r="AC230" s="16">
        <ns0:f>IF(AND(OR('前提と出典'!$C$36+'前提と出典'!$C$38=0,R230&gt;=0),OR('前提と出典'!$C$37+'前提と出典'!$C$38=0,S230&gt;=0)),0,A230)</ns0:f>
        <ns0:v>0</ns0:v>
      </ns0:c>
      <ns0:c r="AD230" s="7">
        <ns0:f>IF(W230&gt;=0,A230,1001)</ns0:f>
        <ns0:v>226</ns0:v>
      </ns0:c>
      <ns0:c r="AE230" s="7">
        <ns0:f>IF(W230&lt;0,A230,0)</ns0:f>
        <ns0:v>0</ns0:v>
      </ns0:c>
      <ns0:c r="AF230" s="16">
        <ns0:f>IF(AND(OR('前提と出典'!$C$36+'前提と出典'!$C$38=0,U230&gt;=0),OR('前提と出典'!$C$37+'前提と出典'!$C$38=0,V230&gt;=0)),0,A230)</ns0:f>
        <ns0:v>0</ns0:v>
      </ns0:c>
      <ns0:c r="AG230" s="7">
        <ns0:f>IF(Z230&gt;=0,A230,1001)</ns0:f>
        <ns0:v>226</ns0:v>
      </ns0:c>
      <ns0:c r="AH230" s="4">
        <ns0:f>IF(Z230&lt;0,A230,0)</ns0:f>
        <ns0:v>0</ns0:v>
      </ns0:c>
      <ns0:c r="AI230" s="12">
        <ns0:f>IF(AND(OR('前提と出典'!$C$36+'前提と出典'!$C$38=0,X230&gt;=0),OR('前提と出典'!$C$37+'前提と出典'!$C$38=0,Y230&gt;=0)),0,A230)</ns0:f>
        <ns0:v>0</ns0:v>
      </ns0:c>
    </ns0:row>
    <ns0:row r="231" ht="24" customHeight="1">
      <ns0:c r="A231" s="4" t="n">
        <ns0:v>227</ns0:v>
      </ns0:c>
      <ns0:c r="B231" s="12">
        <ns0:f>A231*('前提と出典'!$C$36+'前提と出典'!$C$38)</ns0:f>
        <ns0:v>158.89999999999998</ns0:v>
      </ns0:c>
      <ns0:c r="C231" s="12">
        <ns0:f>A231*('前提と出典'!$C$37+'前提と出典'!$C$38)</ns0:f>
        <ns0:v>136.2</ns0:v>
      </ns0:c>
      <ns0:c r="D231" s="16">
        <ns0:f>A231*('前提と出典'!$C$36*'契約別単価'!C5+'前提と出典'!$C$37*'契約別単価'!C6+'前提と出典'!$C$38*'契約別単価'!C7)</ns0:f>
        <ns0:v>1633.385474860335</ns0:v>
      </ns0:c>
      <ns0:c r="E231" s="16">
        <ns0:f>A231*('前提と出典'!$C$36*'契約別単価'!E5+'前提と出典'!$C$37*'契約別単価'!E6+'前提と出典'!$C$38*'契約別単価'!E7)</ns0:f>
        <ns0:v>570649.1535756873</ns0:v>
      </ns0:c>
      <ns0:c r="F231" s="16">
        <ns0:f>A231*('前提と出典'!$C$36*'契約別単価'!F5+'前提と出典'!$C$37*'契約別単価'!F6+'前提と出典'!$C$38*'契約別単価'!F7)</ns0:f>
        <ns0:v>165816.057395369</ns0:v>
      </ns0:c>
      <ns0:c r="G231" s="16">
        <ns0:f>A231*('前提と出典'!$C$36*'契約別単価'!G5+'前提と出典'!$C$37*'契約別単価'!G6+'前提と出典'!$C$38*'契約別単価'!G7)</ns0:f>
        <ns0:v>451844.13407821226</ns0:v>
      </ns0:c>
      <ns0:c r="H231" s="16">
        <ns0:f>A231*('前提と出典'!$C$36*'契約別単価'!H5+'前提と出典'!$C$37*'契約別単価'!H6+'前提と出典'!$C$38*'契約別単価'!H7)</ns0:f>
        <ns0:v>156812.57628926754</ns0:v>
      </ns0:c>
      <ns0:c r="I231" s="16">
        <ns0:f>A231*('前提と出典'!$C$36*'契約別単価'!I5+'前提と出典'!$C$37*'契約別単価'!I6+'前提と出典'!$C$38*'契約別単価'!I7)</ns0:f>
        <ns0:v>9578.385474860333</ns0:v>
      </ns0:c>
      <ns0:c r="J231" s="16">
        <ns0:f>A231*('前提と出典'!$C$36*'契約別単価'!J5+'前提と出典'!$C$37*'契約別単価'!J6+'前提と出典'!$C$38*'契約別単価'!J7)</ns0:f>
        <ns0:v>22311.726422238684</ns0:v>
      </ns0:c>
      <ns0:c r="K231" s="16">
        <ns0:f>A231*('前提と出典'!$C$36*'契約別単価'!K5+'前提と出典'!$C$37*'契約別単価'!K6+'前提と出典'!$C$38*'契約別単価'!K7)</ns0:f>
        <ns0:v>95635.90316573557</ns0:v>
      </ns0:c>
      <ns0:c r="L231" s="16">
        <ns0:f>A231*('前提と出典'!$C$36*'契約別単価'!L5+'前提と出典'!$C$37*'契約別単価'!L6+'前提と出典'!$C$38*'契約別単価'!L7)</ns0:f>
        <ns0:v>77867.08587630892</ns0:v>
      </ns0:c>
      <ns0:c r="M231" s="16">
        <ns0:f>IF(('前提と出典'!$C$36+'前提と出典'!$C$38)=0,0,IF(B231&lt;=10,'前提と出典'!B73+'前提と出典'!C73,IF(B231&lt;=100,'前提と出典'!B74+'前提と出典'!C74,IF(B231&lt;=500,'前提と出典'!B75+'前提と出典'!C75,'前提と出典'!B76+'前提と出典'!C76))))</ns0:f>
        <ns0:v>40000</ns0:v>
      </ns0:c>
      <ns0:c r="N231" s="16">
        <ns0:f>IF(('前提と出典'!$C$37+'前提と出典'!$C$38)=0,0,IF(C231&lt;=10,'前提と出典'!D73+'前提と出典'!E73,IF(C231&lt;=100,'前提と出典'!D74+'前提と出典'!E74,IF(C231&lt;=500,'前提と出典'!D75+'前提と出典'!E75,'前提と出典'!D76+'前提と出典'!E76))))</ns0:f>
        <ns0:v>56510.9346263078</ns0:v>
      </ns0:c>
      <ns0:c r="O231" s="16">
        <ns0:f>IF('前提と出典'!$C$36+'前提と出典'!$C$38=0,0,'前提と出典'!$B$4*IF('前提と出典'!$B$20=0,MAX('前提と出典'!$B$6,D231*'前提と出典'!$B$5),'前提と出典'!$B$6+D231*'前提と出典'!$B$5))</ns0:f>
        <ns0:v>225407.19553072625</ns0:v>
      </ns0:c>
      <ns0:c r="P231" s="16">
        <ns0:f>(E231+G231)*(1-'前提と出典'!$B$7)-I231-K231-M231-O231</ns0:f>
        <ns0:v>615062.0451270371</ns0:v>
      </ns0:c>
      <ns0:c r="Q231" s="16">
        <ns0:f>(F231+H231)*(1-'前提と出典'!$B$7)-J231-L231-N231</ns0:f>
        <ns0:v>154324.25594713422</ns0:v>
      </ns0:c>
      <ns0:c r="R231" s="16">
        <ns0:f>P231-E231*'前提と出典'!$E$4</ns0:f>
        <ns0:v>443867.2990543309</ns0:v>
      </ns0:c>
      <ns0:c r="S231" s="16">
        <ns0:f>Q231-F231*'前提と出典'!$E$4</ns0:f>
        <ns0:v>104579.43872852356</ns0:v>
      </ns0:c>
      <ns0:c r="T231" s="7">
        <ns0:f>R231+S231</ns0:f>
        <ns0:v>548446.7377828545</ns0:v>
      </ns0:c>
      <ns0:c r="U231" s="16">
        <ns0:f>P231-E231*'前提と出典'!$E$5</ns0:f>
        <ns0:v>386802.38369676215</ns0:v>
      </ns0:c>
      <ns0:c r="V231" s="16">
        <ns0:f>Q231-F231*'前提と出典'!$E$5</ns0:f>
        <ns0:v>87997.83298898663</ns0:v>
      </ns0:c>
      <ns0:c r="W231" s="7">
        <ns0:f>U231+V231</ns0:f>
        <ns0:v>474800.2166857488</ns0:v>
      </ns0:c>
      <ns0:c r="X231" s="16">
        <ns0:f>P231-E231*'前提と出典'!$E$6</ns0:f>
        <ns0:v>329737.4683391935</ns0:v>
      </ns0:c>
      <ns0:c r="Y231" s="16">
        <ns0:f>Q231-F231*'前提と出典'!$E$6</ns0:f>
        <ns0:v>71416.22724944976</ns0:v>
      </ns0:c>
      <ns0:c r="Z231" s="7">
        <ns0:f>X231+Y231</ns0:f>
        <ns0:v>401153.69558864326</ns0:v>
      </ns0:c>
      <ns0:c r="AA231" s="7">
        <ns0:f>IF(T231&gt;=0,A231,1001)</ns0:f>
        <ns0:v>227</ns0:v>
      </ns0:c>
      <ns0:c r="AB231" s="7">
        <ns0:f>IF(T231&lt;0,A231,0)</ns0:f>
        <ns0:v>0</ns0:v>
      </ns0:c>
      <ns0:c r="AC231" s="16">
        <ns0:f>IF(AND(OR('前提と出典'!$C$36+'前提と出典'!$C$38=0,R231&gt;=0),OR('前提と出典'!$C$37+'前提と出典'!$C$38=0,S231&gt;=0)),0,A231)</ns0:f>
        <ns0:v>0</ns0:v>
      </ns0:c>
      <ns0:c r="AD231" s="7">
        <ns0:f>IF(W231&gt;=0,A231,1001)</ns0:f>
        <ns0:v>227</ns0:v>
      </ns0:c>
      <ns0:c r="AE231" s="7">
        <ns0:f>IF(W231&lt;0,A231,0)</ns0:f>
        <ns0:v>0</ns0:v>
      </ns0:c>
      <ns0:c r="AF231" s="16">
        <ns0:f>IF(AND(OR('前提と出典'!$C$36+'前提と出典'!$C$38=0,U231&gt;=0),OR('前提と出典'!$C$37+'前提と出典'!$C$38=0,V231&gt;=0)),0,A231)</ns0:f>
        <ns0:v>0</ns0:v>
      </ns0:c>
      <ns0:c r="AG231" s="7">
        <ns0:f>IF(Z231&gt;=0,A231,1001)</ns0:f>
        <ns0:v>227</ns0:v>
      </ns0:c>
      <ns0:c r="AH231" s="4">
        <ns0:f>IF(Z231&lt;0,A231,0)</ns0:f>
        <ns0:v>0</ns0:v>
      </ns0:c>
      <ns0:c r="AI231" s="12">
        <ns0:f>IF(AND(OR('前提と出典'!$C$36+'前提と出典'!$C$38=0,X231&gt;=0),OR('前提と出典'!$C$37+'前提と出典'!$C$38=0,Y231&gt;=0)),0,A231)</ns0:f>
        <ns0:v>0</ns0:v>
      </ns0:c>
    </ns0:row>
    <ns0:row r="232" ht="24" customHeight="1">
      <ns0:c r="A232" s="4" t="n">
        <ns0:v>228</ns0:v>
      </ns0:c>
      <ns0:c r="B232" s="12">
        <ns0:f>A232*('前提と出典'!$C$36+'前提と出典'!$C$38)</ns0:f>
        <ns0:v>159.6</ns0:v>
      </ns0:c>
      <ns0:c r="C232" s="12">
        <ns0:f>A232*('前提と出典'!$C$37+'前提と出典'!$C$38)</ns0:f>
        <ns0:v>136.79999999999998</ns0:v>
      </ns0:c>
      <ns0:c r="D232" s="16">
        <ns0:f>A232*('前提と出典'!$C$36*'契約別単価'!C5+'前提と出典'!$C$37*'契約別単価'!C6+'前提と出典'!$C$38*'契約別単価'!C7)</ns0:f>
        <ns0:v>1640.5810055865923</ns0:v>
      </ns0:c>
      <ns0:c r="E232" s="16">
        <ns0:f>A232*('前提と出典'!$C$36*'契約別単価'!E5+'前提と出典'!$C$37*'契約別単価'!E6+'前提と出典'!$C$38*'契約別単価'!E7)</ns0:f>
        <ns0:v>573163.0264989282</ns0:v>
      </ns0:c>
      <ns0:c r="F232" s="16">
        <ns0:f>A232*('前提と出典'!$C$36*'契約別単価'!F5+'前提と出典'!$C$37*'契約別単価'!F6+'前提と出典'!$C$38*'契約別単価'!F7)</ns0:f>
        <ns0:v>166546.52460856445</ns0:v>
      </ns0:c>
      <ns0:c r="G232" s="16">
        <ns0:f>A232*('前提と出典'!$C$36*'契約別単価'!G5+'前提と出典'!$C$37*'契約別単価'!G6+'前提と出典'!$C$38*'契約別単価'!G7)</ns0:f>
        <ns0:v>453834.6368715084</ns0:v>
      </ns0:c>
      <ns0:c r="H232" s="16">
        <ns0:f>A232*('前提と出典'!$C$36*'契約別単価'!H5+'前提と出典'!$C$37*'契約別単価'!H6+'前提と出典'!$C$38*'契約別単価'!H7)</ns0:f>
        <ns0:v>157503.38059010133</ns0:v>
      </ns0:c>
      <ns0:c r="I232" s="16">
        <ns0:f>A232*('前提と出典'!$C$36*'契約別単価'!I5+'前提と出典'!$C$37*'契約別単価'!I6+'前提と出典'!$C$38*'契約別単価'!I7)</ns0:f>
        <ns0:v>9620.581005586591</ns0:v>
      </ns0:c>
      <ns0:c r="J232" s="16">
        <ns0:f>A232*('前提と出典'!$C$36*'契約別単価'!J5+'前提と出典'!$C$37*'契約別単価'!J6+'前提と出典'!$C$38*'契約別単価'!J7)</ns0:f>
        <ns0:v>22410.015965948984</ns0:v>
      </ns0:c>
      <ns0:c r="K232" s="16">
        <ns0:f>A232*('前提と出典'!$C$36*'契約別単価'!K5+'前提と出典'!$C$37*'契約別単価'!K6+'前提と出典'!$C$38*'契約別単価'!K7)</ns0:f>
        <ns0:v>96057.2067039106</ns0:v>
      </ns0:c>
      <ns0:c r="L232" s="16">
        <ns0:f>A232*('前提と出典'!$C$36*'契約別単価'!L5+'前提と出典'!$C$37*'契約別単価'!L6+'前提と出典'!$C$38*'契約別単価'!L7)</ns0:f>
        <ns0:v>78210.11268633671</ns0:v>
      </ns0:c>
      <ns0:c r="M232" s="16">
        <ns0:f>IF(('前提と出典'!$C$36+'前提と出典'!$C$38)=0,0,IF(B232&lt;=10,'前提と出典'!B73+'前提と出典'!C73,IF(B232&lt;=100,'前提と出典'!B74+'前提と出典'!C74,IF(B232&lt;=500,'前提と出典'!B75+'前提と出典'!C75,'前提と出典'!B76+'前提と出典'!C76))))</ns0:f>
        <ns0:v>40000</ns0:v>
      </ns0:c>
      <ns0:c r="N232" s="16">
        <ns0:f>IF(('前提と出典'!$C$37+'前提と出典'!$C$38)=0,0,IF(C232&lt;=10,'前提と出典'!D73+'前提と出典'!E73,IF(C232&lt;=100,'前提と出典'!D74+'前提と出典'!E74,IF(C232&lt;=500,'前提と出典'!D75+'前提と出典'!E75,'前提と出典'!D76+'前提と出典'!E76))))</ns0:f>
        <ns0:v>56510.9346263078</ns0:v>
      </ns0:c>
      <ns0:c r="O232" s="16">
        <ns0:f>IF('前提と出典'!$C$36+'前提と出典'!$C$38=0,0,'前提と出典'!$B$4*IF('前提と出典'!$B$20=0,MAX('前提と出典'!$B$6,D232*'前提と出典'!$B$5),'前提と出典'!$B$6+D232*'前提と出典'!$B$5))</ns0:f>
        <ns0:v>226400.17877094974</ns0:v>
      </ns0:c>
      <ns0:c r="P232" s="16">
        <ns0:f>(E232+G232)*(1-'前提と出典'!$B$7)-I232-K232-M232-O232</ns0:f>
        <ns0:v>617947.781008654</ns0:v>
      </ns0:c>
      <ns0:c r="Q232" s="16">
        <ns0:f>(F232+H232)*(1-'前提と出典'!$B$7)-J232-L232-N232</ns0:f>
        <ns0:v>155253.04533292033</ns0:v>
      </ns0:c>
      <ns0:c r="R232" s="16">
        <ns0:f>P232-E232*'前提と出典'!$E$4</ns0:f>
        <ns0:v>445998.87305897544</ns0:v>
      </ns0:c>
      <ns0:c r="S232" s="16">
        <ns0:f>Q232-F232*'前提と出典'!$E$4</ns0:f>
        <ns0:v>105289.08795035104</ns0:v>
      </ns0:c>
      <ns0:c r="T232" s="7">
        <ns0:f>R232+S232</ns0:f>
        <ns0:v>551287.9610093265</ns0:v>
      </ns0:c>
      <ns0:c r="U232" s="16">
        <ns0:f>P232-E232*'前提と出典'!$E$5</ns0:f>
        <ns0:v>388682.5704090827</ns0:v>
      </ns0:c>
      <ns0:c r="V232" s="16">
        <ns0:f>Q232-F232*'前提と出典'!$E$5</ns0:f>
        <ns0:v>88634.43548949453</ns0:v>
      </ns0:c>
      <ns0:c r="W232" s="7">
        <ns0:f>U232+V232</ns0:f>
        <ns0:v>477317.0058985772</ns0:v>
      </ns0:c>
      <ns0:c r="X232" s="16">
        <ns0:f>P232-E232*'前提と出典'!$E$6</ns0:f>
        <ns0:v>331366.2677591898</ns0:v>
      </ns0:c>
      <ns0:c r="Y232" s="16">
        <ns0:f>Q232-F232*'前提と出典'!$E$6</ns0:f>
        <ns0:v>71979.7830286381</ns0:v>
      </ns0:c>
      <ns0:c r="Z232" s="7">
        <ns0:f>X232+Y232</ns0:f>
        <ns0:v>403346.05078782793</ns0:v>
      </ns0:c>
      <ns0:c r="AA232" s="7">
        <ns0:f>IF(T232&gt;=0,A232,1001)</ns0:f>
        <ns0:v>228</ns0:v>
      </ns0:c>
      <ns0:c r="AB232" s="7">
        <ns0:f>IF(T232&lt;0,A232,0)</ns0:f>
        <ns0:v>0</ns0:v>
      </ns0:c>
      <ns0:c r="AC232" s="16">
        <ns0:f>IF(AND(OR('前提と出典'!$C$36+'前提と出典'!$C$38=0,R232&gt;=0),OR('前提と出典'!$C$37+'前提と出典'!$C$38=0,S232&gt;=0)),0,A232)</ns0:f>
        <ns0:v>0</ns0:v>
      </ns0:c>
      <ns0:c r="AD232" s="7">
        <ns0:f>IF(W232&gt;=0,A232,1001)</ns0:f>
        <ns0:v>228</ns0:v>
      </ns0:c>
      <ns0:c r="AE232" s="7">
        <ns0:f>IF(W232&lt;0,A232,0)</ns0:f>
        <ns0:v>0</ns0:v>
      </ns0:c>
      <ns0:c r="AF232" s="16">
        <ns0:f>IF(AND(OR('前提と出典'!$C$36+'前提と出典'!$C$38=0,U232&gt;=0),OR('前提と出典'!$C$37+'前提と出典'!$C$38=0,V232&gt;=0)),0,A232)</ns0:f>
        <ns0:v>0</ns0:v>
      </ns0:c>
      <ns0:c r="AG232" s="7">
        <ns0:f>IF(Z232&gt;=0,A232,1001)</ns0:f>
        <ns0:v>228</ns0:v>
      </ns0:c>
      <ns0:c r="AH232" s="4">
        <ns0:f>IF(Z232&lt;0,A232,0)</ns0:f>
        <ns0:v>0</ns0:v>
      </ns0:c>
      <ns0:c r="AI232" s="12">
        <ns0:f>IF(AND(OR('前提と出典'!$C$36+'前提と出典'!$C$38=0,X232&gt;=0),OR('前提と出典'!$C$37+'前提と出典'!$C$38=0,Y232&gt;=0)),0,A232)</ns0:f>
        <ns0:v>0</ns0:v>
      </ns0:c>
    </ns0:row>
    <ns0:row r="233" ht="24" customHeight="1">
      <ns0:c r="A233" s="4" t="n">
        <ns0:v>229</ns0:v>
      </ns0:c>
      <ns0:c r="B233" s="12">
        <ns0:f>A233*('前提と出典'!$C$36+'前提と出典'!$C$38)</ns0:f>
        <ns0:v>160.29999999999998</ns0:v>
      </ns0:c>
      <ns0:c r="C233" s="12">
        <ns0:f>A233*('前提と出典'!$C$37+'前提と出典'!$C$38)</ns0:f>
        <ns0:v>137.4</ns0:v>
      </ns0:c>
      <ns0:c r="D233" s="16">
        <ns0:f>A233*('前提と出典'!$C$36*'契約別単価'!C5+'前提と出典'!$C$37*'契約別単価'!C6+'前提と出典'!$C$38*'契約別単価'!C7)</ns0:f>
        <ns0:v>1647.7765363128492</ns0:v>
      </ns0:c>
      <ns0:c r="E233" s="16">
        <ns0:f>A233*('前提と出典'!$C$36*'契約別単価'!E5+'前提と出典'!$C$37*'契約別単価'!E6+'前提と出典'!$C$38*'契約別単価'!E7)</ns0:f>
        <ns0:v>575676.8994221691</ns0:v>
      </ns0:c>
      <ns0:c r="F233" s="16">
        <ns0:f>A233*('前提と出典'!$C$36*'契約別単価'!F5+'前提と出典'!$C$37*'契約別単価'!F6+'前提と出典'!$C$38*'契約別単価'!F7)</ns0:f>
        <ns0:v>167276.9918217599</ns0:v>
      </ns0:c>
      <ns0:c r="G233" s="16">
        <ns0:f>A233*('前提と出典'!$C$36*'契約別単価'!G5+'前提と出典'!$C$37*'契約別単価'!G6+'前提と出典'!$C$38*'契約別単価'!G7)</ns0:f>
        <ns0:v>455825.13966480445</ns0:v>
      </ns0:c>
      <ns0:c r="H233" s="16">
        <ns0:f>A233*('前提と出典'!$C$36*'契約別単価'!H5+'前提と出典'!$C$37*'契約別単価'!H6+'前提と出典'!$C$38*'契約別単価'!H7)</ns0:f>
        <ns0:v>158194.18489093508</ns0:v>
      </ns0:c>
      <ns0:c r="I233" s="16">
        <ns0:f>A233*('前提と出典'!$C$36*'契約別単価'!I5+'前提と出典'!$C$37*'契約別単価'!I6+'前提と出典'!$C$38*'契約別単価'!I7)</ns0:f>
        <ns0:v>9662.776536312847</ns0:v>
      </ns0:c>
      <ns0:c r="J233" s="16">
        <ns0:f>A233*('前提と出典'!$C$36*'契約別単価'!J5+'前提と出典'!$C$37*'契約別単価'!J6+'前提と出典'!$C$38*'契約別単価'!J7)</ns0:f>
        <ns0:v>22508.305509659287</ns0:v>
      </ns0:c>
      <ns0:c r="K233" s="16">
        <ns0:f>A233*('前提と出典'!$C$36*'契約別単価'!K5+'前提と出典'!$C$37*'契約別単価'!K6+'前提と出典'!$C$38*'契約別単価'!K7)</ns0:f>
        <ns0:v>96478.51024208566</ns0:v>
      </ns0:c>
      <ns0:c r="L233" s="16">
        <ns0:f>A233*('前提と出典'!$C$36*'契約別単価'!L5+'前提と出典'!$C$37*'契約別単価'!L6+'前提と出典'!$C$38*'契約別単価'!L7)</ns0:f>
        <ns0:v>78553.1394963645</ns0:v>
      </ns0:c>
      <ns0:c r="M233" s="16">
        <ns0:f>IF(('前提と出典'!$C$36+'前提と出典'!$C$38)=0,0,IF(B233&lt;=10,'前提と出典'!B73+'前提と出典'!C73,IF(B233&lt;=100,'前提と出典'!B74+'前提と出典'!C74,IF(B233&lt;=500,'前提と出典'!B75+'前提と出典'!C75,'前提と出典'!B76+'前提と出典'!C76))))</ns0:f>
        <ns0:v>40000</ns0:v>
      </ns0:c>
      <ns0:c r="N233" s="16">
        <ns0:f>IF(('前提と出典'!$C$37+'前提と出典'!$C$38)=0,0,IF(C233&lt;=10,'前提と出典'!D73+'前提と出典'!E73,IF(C233&lt;=100,'前提と出典'!D74+'前提と出典'!E74,IF(C233&lt;=500,'前提と出典'!D75+'前提と出典'!E75,'前提と出典'!D76+'前提と出典'!E76))))</ns0:f>
        <ns0:v>56510.9346263078</ns0:v>
      </ns0:c>
      <ns0:c r="O233" s="16">
        <ns0:f>IF('前提と出典'!$C$36+'前提と出典'!$C$38=0,0,'前提と出典'!$B$4*IF('前提と出典'!$B$20=0,MAX('前提と出典'!$B$6,D233*'前提と出典'!$B$5),'前提と出典'!$B$6+D233*'前提と出典'!$B$5))</ns0:f>
        <ns0:v>227393.16201117318</ns0:v>
      </ns0:c>
      <ns0:c r="P233" s="16">
        <ns0:f>(E233+G233)*(1-'前提と出典'!$B$7)-I233-K233-M233-O233</ns0:f>
        <ns0:v>620833.5168902708</ns0:v>
      </ns0:c>
      <ns0:c r="Q233" s="16">
        <ns0:f>(F233+H233)*(1-'前提と出典'!$B$7)-J233-L233-N233</ns0:f>
        <ns0:v>156181.83471870638</ns0:v>
      </ns0:c>
      <ns0:c r="R233" s="16">
        <ns0:f>P233-E233*'前提と出典'!$E$4</ns0:f>
        <ns0:v>448130.4470636201</ns0:v>
      </ns0:c>
      <ns0:c r="S233" s="16">
        <ns0:f>Q233-F233*'前提と出典'!$E$4</ns0:f>
        <ns0:v>105998.7371721784</ns0:v>
      </ns0:c>
      <ns0:c r="T233" s="7">
        <ns0:f>R233+S233</ns0:f>
        <ns0:v>554129.1842357984</ns0:v>
      </ns0:c>
      <ns0:c r="U233" s="16">
        <ns0:f>P233-E233*'前提と出典'!$E$5</ns0:f>
        <ns0:v>390562.7571214031</ns0:v>
      </ns0:c>
      <ns0:c r="V233" s="16">
        <ns0:f>Q233-F233*'前提と出典'!$E$5</ns0:f>
        <ns0:v>89271.03799000243</ns0:v>
      </ns0:c>
      <ns0:c r="W233" s="7">
        <ns0:f>U233+V233</ns0:f>
        <ns0:v>479833.79511140555</ns0:v>
      </ns0:c>
      <ns0:c r="X233" s="16">
        <ns0:f>P233-E233*'前提と出典'!$E$6</ns0:f>
        <ns0:v>332995.06717918615</ns0:v>
      </ns0:c>
      <ns0:c r="Y233" s="16">
        <ns0:f>Q233-F233*'前提と出典'!$E$6</ns0:f>
        <ns0:v>72543.33880782643</ns0:v>
      </ns0:c>
      <ns0:c r="Z233" s="7">
        <ns0:f>X233+Y233</ns0:f>
        <ns0:v>405538.40598701255</ns0:v>
      </ns0:c>
      <ns0:c r="AA233" s="7">
        <ns0:f>IF(T233&gt;=0,A233,1001)</ns0:f>
        <ns0:v>229</ns0:v>
      </ns0:c>
      <ns0:c r="AB233" s="7">
        <ns0:f>IF(T233&lt;0,A233,0)</ns0:f>
        <ns0:v>0</ns0:v>
      </ns0:c>
      <ns0:c r="AC233" s="16">
        <ns0:f>IF(AND(OR('前提と出典'!$C$36+'前提と出典'!$C$38=0,R233&gt;=0),OR('前提と出典'!$C$37+'前提と出典'!$C$38=0,S233&gt;=0)),0,A233)</ns0:f>
        <ns0:v>0</ns0:v>
      </ns0:c>
      <ns0:c r="AD233" s="7">
        <ns0:f>IF(W233&gt;=0,A233,1001)</ns0:f>
        <ns0:v>229</ns0:v>
      </ns0:c>
      <ns0:c r="AE233" s="7">
        <ns0:f>IF(W233&lt;0,A233,0)</ns0:f>
        <ns0:v>0</ns0:v>
      </ns0:c>
      <ns0:c r="AF233" s="16">
        <ns0:f>IF(AND(OR('前提と出典'!$C$36+'前提と出典'!$C$38=0,U233&gt;=0),OR('前提と出典'!$C$37+'前提と出典'!$C$38=0,V233&gt;=0)),0,A233)</ns0:f>
        <ns0:v>0</ns0:v>
      </ns0:c>
      <ns0:c r="AG233" s="7">
        <ns0:f>IF(Z233&gt;=0,A233,1001)</ns0:f>
        <ns0:v>229</ns0:v>
      </ns0:c>
      <ns0:c r="AH233" s="4">
        <ns0:f>IF(Z233&lt;0,A233,0)</ns0:f>
        <ns0:v>0</ns0:v>
      </ns0:c>
      <ns0:c r="AI233" s="12">
        <ns0:f>IF(AND(OR('前提と出典'!$C$36+'前提と出典'!$C$38=0,X233&gt;=0),OR('前提と出典'!$C$37+'前提と出典'!$C$38=0,Y233&gt;=0)),0,A233)</ns0:f>
        <ns0:v>0</ns0:v>
      </ns0:c>
    </ns0:row>
    <ns0:row r="234" ht="24" customHeight="1">
      <ns0:c r="A234" s="4" t="n">
        <ns0:v>230</ns0:v>
      </ns0:c>
      <ns0:c r="B234" s="12">
        <ns0:f>A234*('前提と出典'!$C$36+'前提と出典'!$C$38)</ns0:f>
        <ns0:v>161</ns0:v>
      </ns0:c>
      <ns0:c r="C234" s="12">
        <ns0:f>A234*('前提と出典'!$C$37+'前提と出典'!$C$38)</ns0:f>
        <ns0:v>138</ns0:v>
      </ns0:c>
      <ns0:c r="D234" s="16">
        <ns0:f>A234*('前提と出典'!$C$36*'契約別単価'!C5+'前提と出典'!$C$37*'契約別単価'!C6+'前提と出典'!$C$38*'契約別単価'!C7)</ns0:f>
        <ns0:v>1654.9720670391062</ns0:v>
      </ns0:c>
      <ns0:c r="E234" s="16">
        <ns0:f>A234*('前提と出典'!$C$36*'契約別単価'!E5+'前提と出典'!$C$37*'契約別単価'!E6+'前提と出典'!$C$38*'契約別単価'!E7)</ns0:f>
        <ns0:v>578190.7723454101</ns0:v>
      </ns0:c>
      <ns0:c r="F234" s="16">
        <ns0:f>A234*('前提と出典'!$C$36*'契約別単価'!F5+'前提と出典'!$C$37*'契約別単価'!F6+'前提と出典'!$C$38*'契約別単価'!F7)</ns0:f>
        <ns0:v>168007.45903495536</ns0:v>
      </ns0:c>
      <ns0:c r="G234" s="16">
        <ns0:f>A234*('前提と出典'!$C$36*'契約別単価'!G5+'前提と出典'!$C$37*'契約別単価'!G6+'前提と出典'!$C$38*'契約別単価'!G7)</ns0:f>
        <ns0:v>457815.6424581005</ns0:v>
      </ns0:c>
      <ns0:c r="H234" s="16">
        <ns0:f>A234*('前提と出典'!$C$36*'契約別単価'!H5+'前提と出典'!$C$37*'契約別単価'!H6+'前提と出典'!$C$38*'契約別単価'!H7)</ns0:f>
        <ns0:v>158884.98919176887</ns0:v>
      </ns0:c>
      <ns0:c r="I234" s="16">
        <ns0:f>A234*('前提と出典'!$C$36*'契約別単価'!I5+'前提と出典'!$C$37*'契約別単価'!I6+'前提と出典'!$C$38*'契約別単価'!I7)</ns0:f>
        <ns0:v>9704.972067039105</ns0:v>
      </ns0:c>
      <ns0:c r="J234" s="16">
        <ns0:f>A234*('前提と出典'!$C$36*'契約別単価'!J5+'前提と出典'!$C$37*'契約別単価'!J6+'前提と出典'!$C$38*'契約別単価'!J7)</ns0:f>
        <ns0:v>22606.59505336959</ns0:v>
      </ns0:c>
      <ns0:c r="K234" s="16">
        <ns0:f>A234*('前提と出典'!$C$36*'契約別単価'!K5+'前提と出典'!$C$37*'契約別単価'!K6+'前提と出典'!$C$38*'契約別単価'!K7)</ns0:f>
        <ns0:v>96899.8137802607</ns0:v>
      </ns0:c>
      <ns0:c r="L234" s="16">
        <ns0:f>A234*('前提と出典'!$C$36*'契約別単価'!L5+'前提と出典'!$C$37*'契約別単価'!L6+'前提と出典'!$C$38*'契約別単価'!L7)</ns0:f>
        <ns0:v>78896.16630639229</ns0:v>
      </ns0:c>
      <ns0:c r="M234" s="16">
        <ns0:f>IF(('前提と出典'!$C$36+'前提と出典'!$C$38)=0,0,IF(B234&lt;=10,'前提と出典'!B73+'前提と出典'!C73,IF(B234&lt;=100,'前提と出典'!B74+'前提と出典'!C74,IF(B234&lt;=500,'前提と出典'!B75+'前提と出典'!C75,'前提と出典'!B76+'前提と出典'!C76))))</ns0:f>
        <ns0:v>40000</ns0:v>
      </ns0:c>
      <ns0:c r="N234" s="16">
        <ns0:f>IF(('前提と出典'!$C$37+'前提と出典'!$C$38)=0,0,IF(C234&lt;=10,'前提と出典'!D73+'前提と出典'!E73,IF(C234&lt;=100,'前提と出典'!D74+'前提と出典'!E74,IF(C234&lt;=500,'前提と出典'!D75+'前提と出典'!E75,'前提と出典'!D76+'前提と出典'!E76))))</ns0:f>
        <ns0:v>56510.9346263078</ns0:v>
      </ns0:c>
      <ns0:c r="O234" s="16">
        <ns0:f>IF('前提と出典'!$C$36+'前提と出典'!$C$38=0,0,'前提と出典'!$B$4*IF('前提と出典'!$B$20=0,MAX('前提と出典'!$B$6,D234*'前提と出典'!$B$5),'前提と出典'!$B$6+D234*'前提と出典'!$B$5))</ns0:f>
        <ns0:v>228386.14525139667</ns0:v>
      </ns0:c>
      <ns0:c r="P234" s="16">
        <ns0:f>(E234+G234)*(1-'前提と出典'!$B$7)-I234-K234-M234-O234</ns0:f>
        <ns0:v>623719.2527718876</ns0:v>
      </ns0:c>
      <ns0:c r="Q234" s="16">
        <ns0:f>(F234+H234)*(1-'前提と出典'!$B$7)-J234-L234-N234</ns0:f>
        <ns0:v>157110.62410449248</ns0:v>
      </ns0:c>
      <ns0:c r="R234" s="16">
        <ns0:f>P234-E234*'前提と出典'!$E$4</ns0:f>
        <ns0:v>450262.0210682646</ns0:v>
      </ns0:c>
      <ns0:c r="S234" s="16">
        <ns0:f>Q234-F234*'前提と出典'!$E$4</ns0:f>
        <ns0:v>106708.38639400585</ns0:v>
      </ns0:c>
      <ns0:c r="T234" s="7">
        <ns0:f>R234+S234</ns0:f>
        <ns0:v>556970.4074622705</ns0:v>
      </ns0:c>
      <ns0:c r="U234" s="16">
        <ns0:f>P234-E234*'前提と出典'!$E$5</ns0:f>
        <ns0:v>392442.94383372355</ns0:v>
      </ns0:c>
      <ns0:c r="V234" s="16">
        <ns0:f>Q234-F234*'前提と出典'!$E$5</ns0:f>
        <ns0:v>89907.64049051033</ns0:v>
      </ns0:c>
      <ns0:c r="W234" s="7">
        <ns0:f>U234+V234</ns0:f>
        <ns0:v>482350.5843242339</ns0:v>
      </ns0:c>
      <ns0:c r="X234" s="16">
        <ns0:f>P234-E234*'前提と出典'!$E$6</ns0:f>
        <ns0:v>334623.8665991825</ns0:v>
      </ns0:c>
      <ns0:c r="Y234" s="16">
        <ns0:f>Q234-F234*'前提と出典'!$E$6</ns0:f>
        <ns0:v>73106.8945870148</ns0:v>
      </ns0:c>
      <ns0:c r="Z234" s="7">
        <ns0:f>X234+Y234</ns0:f>
        <ns0:v>407730.7611861973</ns0:v>
      </ns0:c>
      <ns0:c r="AA234" s="7">
        <ns0:f>IF(T234&gt;=0,A234,1001)</ns0:f>
        <ns0:v>230</ns0:v>
      </ns0:c>
      <ns0:c r="AB234" s="7">
        <ns0:f>IF(T234&lt;0,A234,0)</ns0:f>
        <ns0:v>0</ns0:v>
      </ns0:c>
      <ns0:c r="AC234" s="16">
        <ns0:f>IF(AND(OR('前提と出典'!$C$36+'前提と出典'!$C$38=0,R234&gt;=0),OR('前提と出典'!$C$37+'前提と出典'!$C$38=0,S234&gt;=0)),0,A234)</ns0:f>
        <ns0:v>0</ns0:v>
      </ns0:c>
      <ns0:c r="AD234" s="7">
        <ns0:f>IF(W234&gt;=0,A234,1001)</ns0:f>
        <ns0:v>230</ns0:v>
      </ns0:c>
      <ns0:c r="AE234" s="7">
        <ns0:f>IF(W234&lt;0,A234,0)</ns0:f>
        <ns0:v>0</ns0:v>
      </ns0:c>
      <ns0:c r="AF234" s="16">
        <ns0:f>IF(AND(OR('前提と出典'!$C$36+'前提と出典'!$C$38=0,U234&gt;=0),OR('前提と出典'!$C$37+'前提と出典'!$C$38=0,V234&gt;=0)),0,A234)</ns0:f>
        <ns0:v>0</ns0:v>
      </ns0:c>
      <ns0:c r="AG234" s="7">
        <ns0:f>IF(Z234&gt;=0,A234,1001)</ns0:f>
        <ns0:v>230</ns0:v>
      </ns0:c>
      <ns0:c r="AH234" s="4">
        <ns0:f>IF(Z234&lt;0,A234,0)</ns0:f>
        <ns0:v>0</ns0:v>
      </ns0:c>
      <ns0:c r="AI234" s="12">
        <ns0:f>IF(AND(OR('前提と出典'!$C$36+'前提と出典'!$C$38=0,X234&gt;=0),OR('前提と出典'!$C$37+'前提と出典'!$C$38=0,Y234&gt;=0)),0,A234)</ns0:f>
        <ns0:v>0</ns0:v>
      </ns0:c>
    </ns0:row>
    <ns0:row r="235" ht="24" customHeight="1">
      <ns0:c r="A235" s="4" t="n">
        <ns0:v>231</ns0:v>
      </ns0:c>
      <ns0:c r="B235" s="12">
        <ns0:f>A235*('前提と出典'!$C$36+'前提と出典'!$C$38)</ns0:f>
        <ns0:v>161.7</ns0:v>
      </ns0:c>
      <ns0:c r="C235" s="12">
        <ns0:f>A235*('前提と出典'!$C$37+'前提と出典'!$C$38)</ns0:f>
        <ns0:v>138.6</ns0:v>
      </ns0:c>
      <ns0:c r="D235" s="16">
        <ns0:f>A235*('前提と出典'!$C$36*'契約別単価'!C5+'前提と出典'!$C$37*'契約別単価'!C6+'前提と出典'!$C$38*'契約別単価'!C7)</ns0:f>
        <ns0:v>1662.167597765363</ns0:v>
      </ns0:c>
      <ns0:c r="E235" s="16">
        <ns0:f>A235*('前提と出典'!$C$36*'契約別単価'!E5+'前提と出典'!$C$37*'契約別単価'!E6+'前提と出典'!$C$38*'契約別単価'!E7)</ns0:f>
        <ns0:v>580704.645268651</ns0:v>
      </ns0:c>
      <ns0:c r="F235" s="16">
        <ns0:f>A235*('前提と出典'!$C$36*'契約別単価'!F5+'前提と出典'!$C$37*'契約別単価'!F6+'前提と出典'!$C$38*'契約別単価'!F7)</ns0:f>
        <ns0:v>168737.92624815085</ns0:v>
      </ns0:c>
      <ns0:c r="G235" s="16">
        <ns0:f>A235*('前提と出典'!$C$36*'契約別単価'!G5+'前提と出典'!$C$37*'契約別単価'!G6+'前提と出典'!$C$38*'契約別単価'!G7)</ns0:f>
        <ns0:v>459806.14525139664</ns0:v>
      </ns0:c>
      <ns0:c r="H235" s="16">
        <ns0:f>A235*('前提と出典'!$C$36*'契約別単価'!H5+'前提と出典'!$C$37*'契約別単価'!H6+'前提と出典'!$C$38*'契約別単価'!H7)</ns0:f>
        <ns0:v>159575.79349260265</ns0:v>
      </ns0:c>
      <ns0:c r="I235" s="16">
        <ns0:f>A235*('前提と出典'!$C$36*'契約別単価'!I5+'前提と出典'!$C$37*'契約別単価'!I6+'前提と出典'!$C$38*'契約別単価'!I7)</ns0:f>
        <ns0:v>9747.167597765361</ns0:v>
      </ns0:c>
      <ns0:c r="J235" s="16">
        <ns0:f>A235*('前提と出典'!$C$36*'契約別単価'!J5+'前提と出典'!$C$37*'契約別単価'!J6+'前提と出典'!$C$38*'契約別単価'!J7)</ns0:f>
        <ns0:v>22704.884597079894</ns0:v>
      </ns0:c>
      <ns0:c r="K235" s="16">
        <ns0:f>A235*('前提と出典'!$C$36*'契約別単価'!K5+'前提と出典'!$C$37*'契約別単価'!K6+'前提と出典'!$C$38*'契約別単価'!K7)</ns0:f>
        <ns0:v>97321.11731843575</ns0:v>
      </ns0:c>
      <ns0:c r="L235" s="16">
        <ns0:f>A235*('前提と出典'!$C$36*'契約別単価'!L5+'前提と出典'!$C$37*'契約別単価'!L6+'前提と出典'!$C$38*'契約別単価'!L7)</ns0:f>
        <ns0:v>79239.19311642008</ns0:v>
      </ns0:c>
      <ns0:c r="M235" s="16">
        <ns0:f>IF(('前提と出典'!$C$36+'前提と出典'!$C$38)=0,0,IF(B235&lt;=10,'前提と出典'!B73+'前提と出典'!C73,IF(B235&lt;=100,'前提と出典'!B74+'前提と出典'!C74,IF(B235&lt;=500,'前提と出典'!B75+'前提と出典'!C75,'前提と出典'!B76+'前提と出典'!C76))))</ns0:f>
        <ns0:v>40000</ns0:v>
      </ns0:c>
      <ns0:c r="N235" s="16">
        <ns0:f>IF(('前提と出典'!$C$37+'前提と出典'!$C$38)=0,0,IF(C235&lt;=10,'前提と出典'!D73+'前提と出典'!E73,IF(C235&lt;=100,'前提と出典'!D74+'前提と出典'!E74,IF(C235&lt;=500,'前提と出典'!D75+'前提と出典'!E75,'前提と出典'!D76+'前提と出典'!E76))))</ns0:f>
        <ns0:v>56510.9346263078</ns0:v>
      </ns0:c>
      <ns0:c r="O235" s="16">
        <ns0:f>IF('前提と出典'!$C$36+'前提と出典'!$C$38=0,0,'前提と出典'!$B$4*IF('前提と出典'!$B$20=0,MAX('前提と出典'!$B$6,D235*'前提と出典'!$B$5),'前提と出典'!$B$6+D235*'前提と出典'!$B$5))</ns0:f>
        <ns0:v>229379.12849162013</ns0:v>
      </ns0:c>
      <ns0:c r="P235" s="16">
        <ns0:f>(E235+G235)*(1-'前提と出典'!$B$7)-I235-K235-M235-O235</ns0:f>
        <ns0:v>626604.9886535046</ns0:v>
      </ns0:c>
      <ns0:c r="Q235" s="16">
        <ns0:f>(F235+H235)*(1-'前提と出典'!$B$7)-J235-L235-N235</ns0:f>
        <ns0:v>158039.41349027865</ns0:v>
      </ns0:c>
      <ns0:c r="R235" s="16">
        <ns0:f>P235-E235*'前提と出典'!$E$4</ns0:f>
        <ns0:v>452393.59507290943</ns0:v>
      </ns0:c>
      <ns0:c r="S235" s="16">
        <ns0:f>Q235-F235*'前提と出典'!$E$4</ns0:f>
        <ns0:v>107418.03561583342</ns0:v>
      </ns0:c>
      <ns0:c r="T235" s="7">
        <ns0:f>R235+S235</ns0:f>
        <ns0:v>559811.6306887429</ns0:v>
      </ns0:c>
      <ns0:c r="U235" s="16">
        <ns0:f>P235-E235*'前提と出典'!$E$5</ns0:f>
        <ns0:v>394323.13054604427</ns0:v>
      </ns0:c>
      <ns0:c r="V235" s="16">
        <ns0:f>Q235-F235*'前提と出典'!$E$5</ns0:f>
        <ns0:v>90544.24299101828</ns0:v>
      </ns0:c>
      <ns0:c r="W235" s="7">
        <ns0:f>U235+V235</ns0:f>
        <ns0:v>484867.37353706255</ns0:v>
      </ns0:c>
      <ns0:c r="X235" s="16">
        <ns0:f>P235-E235*'前提と出典'!$E$6</ns0:f>
        <ns0:v>336252.6660191791</ns0:v>
      </ns0:c>
      <ns0:c r="Y235" s="16">
        <ns0:f>Q235-F235*'前提と出典'!$E$6</ns0:f>
        <ns0:v>73670.45036620321</ns0:v>
      </ns0:c>
      <ns0:c r="Z235" s="7">
        <ns0:f>X235+Y235</ns0:f>
        <ns0:v>409923.1163853823</ns0:v>
      </ns0:c>
      <ns0:c r="AA235" s="7">
        <ns0:f>IF(T235&gt;=0,A235,1001)</ns0:f>
        <ns0:v>231</ns0:v>
      </ns0:c>
      <ns0:c r="AB235" s="7">
        <ns0:f>IF(T235&lt;0,A235,0)</ns0:f>
        <ns0:v>0</ns0:v>
      </ns0:c>
      <ns0:c r="AC235" s="16">
        <ns0:f>IF(AND(OR('前提と出典'!$C$36+'前提と出典'!$C$38=0,R235&gt;=0),OR('前提と出典'!$C$37+'前提と出典'!$C$38=0,S235&gt;=0)),0,A235)</ns0:f>
        <ns0:v>0</ns0:v>
      </ns0:c>
      <ns0:c r="AD235" s="7">
        <ns0:f>IF(W235&gt;=0,A235,1001)</ns0:f>
        <ns0:v>231</ns0:v>
      </ns0:c>
      <ns0:c r="AE235" s="7">
        <ns0:f>IF(W235&lt;0,A235,0)</ns0:f>
        <ns0:v>0</ns0:v>
      </ns0:c>
      <ns0:c r="AF235" s="16">
        <ns0:f>IF(AND(OR('前提と出典'!$C$36+'前提と出典'!$C$38=0,U235&gt;=0),OR('前提と出典'!$C$37+'前提と出典'!$C$38=0,V235&gt;=0)),0,A235)</ns0:f>
        <ns0:v>0</ns0:v>
      </ns0:c>
      <ns0:c r="AG235" s="7">
        <ns0:f>IF(Z235&gt;=0,A235,1001)</ns0:f>
        <ns0:v>231</ns0:v>
      </ns0:c>
      <ns0:c r="AH235" s="4">
        <ns0:f>IF(Z235&lt;0,A235,0)</ns0:f>
        <ns0:v>0</ns0:v>
      </ns0:c>
      <ns0:c r="AI235" s="12">
        <ns0:f>IF(AND(OR('前提と出典'!$C$36+'前提と出典'!$C$38=0,X235&gt;=0),OR('前提と出典'!$C$37+'前提と出典'!$C$38=0,Y235&gt;=0)),0,A235)</ns0:f>
        <ns0:v>0</ns0:v>
      </ns0:c>
    </ns0:row>
    <ns0:row r="236" ht="24" customHeight="1">
      <ns0:c r="A236" s="4" t="n">
        <ns0:v>232</ns0:v>
      </ns0:c>
      <ns0:c r="B236" s="12">
        <ns0:f>A236*('前提と出典'!$C$36+'前提と出典'!$C$38)</ns0:f>
        <ns0:v>162.39999999999998</ns0:v>
      </ns0:c>
      <ns0:c r="C236" s="12">
        <ns0:f>A236*('前提と出典'!$C$37+'前提と出典'!$C$38)</ns0:f>
        <ns0:v>139.2</ns0:v>
      </ns0:c>
      <ns0:c r="D236" s="16">
        <ns0:f>A236*('前提と出典'!$C$36*'契約別単価'!C5+'前提と出典'!$C$37*'契約別単価'!C6+'前提と出典'!$C$38*'契約別単価'!C7)</ns0:f>
        <ns0:v>1669.36312849162</ns0:v>
      </ns0:c>
      <ns0:c r="E236" s="16">
        <ns0:f>A236*('前提と出典'!$C$36*'契約別単価'!E5+'前提と出典'!$C$37*'契約別単価'!E6+'前提と出典'!$C$38*'契約別単価'!E7)</ns0:f>
        <ns0:v>583218.5181918918</ns0:v>
      </ns0:c>
      <ns0:c r="F236" s="16">
        <ns0:f>A236*('前提と出典'!$C$36*'契約別単価'!F5+'前提と出典'!$C$37*'契約別単価'!F6+'前提と出典'!$C$38*'契約別単価'!F7)</ns0:f>
        <ns0:v>169468.3934613463</ns0:v>
      </ns0:c>
      <ns0:c r="G236" s="16">
        <ns0:f>A236*('前提と出典'!$C$36*'契約別単価'!G5+'前提と出典'!$C$37*'契約別単価'!G6+'前提と出典'!$C$38*'契約別単価'!G7)</ns0:f>
        <ns0:v>461796.6480446927</ns0:v>
      </ns0:c>
      <ns0:c r="H236" s="16">
        <ns0:f>A236*('前提と出典'!$C$36*'契約別単価'!H5+'前提と出典'!$C$37*'契約別単価'!H6+'前提と出典'!$C$38*'契約別単価'!H7)</ns0:f>
        <ns0:v>160266.59779343643</ns0:v>
      </ns0:c>
      <ns0:c r="I236" s="16">
        <ns0:f>A236*('前提と出典'!$C$36*'契約別単価'!I5+'前提と出典'!$C$37*'契約別単価'!I6+'前提と出典'!$C$38*'契約別単価'!I7)</ns0:f>
        <ns0:v>9789.36312849162</ns0:v>
      </ns0:c>
      <ns0:c r="J236" s="16">
        <ns0:f>A236*('前提と出典'!$C$36*'契約別単価'!J5+'前提と出典'!$C$37*'契約別単価'!J6+'前提と出典'!$C$38*'契約別単価'!J7)</ns0:f>
        <ns0:v>22803.174140790197</ns0:v>
      </ns0:c>
      <ns0:c r="K236" s="16">
        <ns0:f>A236*('前提と出典'!$C$36*'契約別単価'!K5+'前提と出典'!$C$37*'契約別単価'!K6+'前提と出典'!$C$38*'契約別単価'!K7)</ns0:f>
        <ns0:v>97742.4208566108</ns0:v>
      </ns0:c>
      <ns0:c r="L236" s="16">
        <ns0:f>A236*('前提と出典'!$C$36*'契約別単価'!L5+'前提と出典'!$C$37*'契約別単価'!L6+'前提と出典'!$C$38*'契約別単価'!L7)</ns0:f>
        <ns0:v>79582.21992644788</ns0:v>
      </ns0:c>
      <ns0:c r="M236" s="16">
        <ns0:f>IF(('前提と出典'!$C$36+'前提と出典'!$C$38)=0,0,IF(B236&lt;=10,'前提と出典'!B73+'前提と出典'!C73,IF(B236&lt;=100,'前提と出典'!B74+'前提と出典'!C74,IF(B236&lt;=500,'前提と出典'!B75+'前提と出典'!C75,'前提と出典'!B76+'前提と出典'!C76))))</ns0:f>
        <ns0:v>40000</ns0:v>
      </ns0:c>
      <ns0:c r="N236" s="16">
        <ns0:f>IF(('前提と出典'!$C$37+'前提と出典'!$C$38)=0,0,IF(C236&lt;=10,'前提と出典'!D73+'前提と出典'!E73,IF(C236&lt;=100,'前提と出典'!D74+'前提と出典'!E74,IF(C236&lt;=500,'前提と出典'!D75+'前提と出典'!E75,'前提と出典'!D76+'前提と出典'!E76))))</ns0:f>
        <ns0:v>56510.9346263078</ns0:v>
      </ns0:c>
      <ns0:c r="O236" s="16">
        <ns0:f>IF('前提と出典'!$C$36+'前提と出典'!$C$38=0,0,'前提と出典'!$B$4*IF('前提と出典'!$B$20=0,MAX('前提と出典'!$B$6,D236*'前提と出典'!$B$5),'前提と出典'!$B$6+D236*'前提と出典'!$B$5))</ns0:f>
        <ns0:v>230372.1117318436</ns0:v>
      </ns0:c>
      <ns0:c r="P236" s="16">
        <ns0:f>(E236+G236)*(1-'前提と出典'!$B$7)-I236-K236-M236-O236</ns0:f>
        <ns0:v>629490.7245351216</ns0:v>
      </ns0:c>
      <ns0:c r="Q236" s="16">
        <ns0:f>(F236+H236)*(1-'前提と出典'!$B$7)-J236-L236-N236</ns0:f>
        <ns0:v>158968.2028760647</ns0:v>
      </ns0:c>
      <ns0:c r="R236" s="16">
        <ns0:f>P236-E236*'前提と出典'!$E$4</ns0:f>
        <ns0:v>454525.1690775539</ns0:v>
      </ns0:c>
      <ns0:c r="S236" s="16">
        <ns0:f>Q236-F236*'前提と出典'!$E$4</ns0:f>
        <ns0:v>108127.68483766081</ns0:v>
      </ns0:c>
      <ns0:c r="T236" s="7">
        <ns0:f>R236+S236</ns0:f>
        <ns0:v>562652.8539152148</ns0:v>
      </ns0:c>
      <ns0:c r="U236" s="16">
        <ns0:f>P236-E236*'前提と出典'!$E$5</ns0:f>
        <ns0:v>396203.31725836487</ns0:v>
      </ns0:c>
      <ns0:c r="V236" s="16">
        <ns0:f>Q236-F236*'前提と出典'!$E$5</ns0:f>
        <ns0:v>91180.84549152618</ns0:v>
      </ns0:c>
      <ns0:c r="W236" s="7">
        <ns0:f>U236+V236</ns0:f>
        <ns0:v>487384.16274989105</ns0:v>
      </ns0:c>
      <ns0:c r="X236" s="16">
        <ns0:f>P236-E236*'前提と出典'!$E$6</ns0:f>
        <ns0:v>337881.4654391756</ns0:v>
      </ns0:c>
      <ns0:c r="Y236" s="16">
        <ns0:f>Q236-F236*'前提と出典'!$E$6</ns0:f>
        <ns0:v>74234.00614539158</ns0:v>
      </ns0:c>
      <ns0:c r="Z236" s="7">
        <ns0:f>X236+Y236</ns0:f>
        <ns0:v>412115.4715845672</ns0:v>
      </ns0:c>
      <ns0:c r="AA236" s="7">
        <ns0:f>IF(T236&gt;=0,A236,1001)</ns0:f>
        <ns0:v>232</ns0:v>
      </ns0:c>
      <ns0:c r="AB236" s="7">
        <ns0:f>IF(T236&lt;0,A236,0)</ns0:f>
        <ns0:v>0</ns0:v>
      </ns0:c>
      <ns0:c r="AC236" s="16">
        <ns0:f>IF(AND(OR('前提と出典'!$C$36+'前提と出典'!$C$38=0,R236&gt;=0),OR('前提と出典'!$C$37+'前提と出典'!$C$38=0,S236&gt;=0)),0,A236)</ns0:f>
        <ns0:v>0</ns0:v>
      </ns0:c>
      <ns0:c r="AD236" s="7">
        <ns0:f>IF(W236&gt;=0,A236,1001)</ns0:f>
        <ns0:v>232</ns0:v>
      </ns0:c>
      <ns0:c r="AE236" s="7">
        <ns0:f>IF(W236&lt;0,A236,0)</ns0:f>
        <ns0:v>0</ns0:v>
      </ns0:c>
      <ns0:c r="AF236" s="16">
        <ns0:f>IF(AND(OR('前提と出典'!$C$36+'前提と出典'!$C$38=0,U236&gt;=0),OR('前提と出典'!$C$37+'前提と出典'!$C$38=0,V236&gt;=0)),0,A236)</ns0:f>
        <ns0:v>0</ns0:v>
      </ns0:c>
      <ns0:c r="AG236" s="7">
        <ns0:f>IF(Z236&gt;=0,A236,1001)</ns0:f>
        <ns0:v>232</ns0:v>
      </ns0:c>
      <ns0:c r="AH236" s="4">
        <ns0:f>IF(Z236&lt;0,A236,0)</ns0:f>
        <ns0:v>0</ns0:v>
      </ns0:c>
      <ns0:c r="AI236" s="12">
        <ns0:f>IF(AND(OR('前提と出典'!$C$36+'前提と出典'!$C$38=0,X236&gt;=0),OR('前提と出典'!$C$37+'前提と出典'!$C$38=0,Y236&gt;=0)),0,A236)</ns0:f>
        <ns0:v>0</ns0:v>
      </ns0:c>
    </ns0:row>
    <ns0:row r="237" ht="24" customHeight="1">
      <ns0:c r="A237" s="4" t="n">
        <ns0:v>233</ns0:v>
      </ns0:c>
      <ns0:c r="B237" s="12">
        <ns0:f>A237*('前提と出典'!$C$36+'前提と出典'!$C$38)</ns0:f>
        <ns0:v>163.1</ns0:v>
      </ns0:c>
      <ns0:c r="C237" s="12">
        <ns0:f>A237*('前提と出典'!$C$37+'前提と出典'!$C$38)</ns0:f>
        <ns0:v>139.79999999999998</ns0:v>
      </ns0:c>
      <ns0:c r="D237" s="16">
        <ns0:f>A237*('前提と出典'!$C$36*'契約別単価'!C5+'前提と出典'!$C$37*'契約別単価'!C6+'前提と出典'!$C$38*'契約別単価'!C7)</ns0:f>
        <ns0:v>1676.558659217877</ns0:v>
      </ns0:c>
      <ns0:c r="E237" s="16">
        <ns0:f>A237*('前提と出典'!$C$36*'契約別単価'!E5+'前提と出典'!$C$37*'契約別単価'!E6+'前提と出典'!$C$38*'契約別単価'!E7)</ns0:f>
        <ns0:v>585732.3911151328</ns0:v>
      </ns0:c>
      <ns0:c r="F237" s="16">
        <ns0:f>A237*('前提と出典'!$C$36*'契約別単価'!F5+'前提と出典'!$C$37*'契約別単価'!F6+'前提と出典'!$C$38*'契約別単価'!F7)</ns0:f>
        <ns0:v>170198.86067454176</ns0:v>
      </ns0:c>
      <ns0:c r="G237" s="16">
        <ns0:f>A237*('前提と出典'!$C$36*'契約別単価'!G5+'前提と出典'!$C$37*'契約別単価'!G6+'前提と出典'!$C$38*'契約別単価'!G7)</ns0:f>
        <ns0:v>463787.1508379888</ns0:v>
      </ns0:c>
      <ns0:c r="H237" s="16">
        <ns0:f>A237*('前提と出典'!$C$36*'契約別単価'!H5+'前提と出典'!$C$37*'契約別単価'!H6+'前提と出典'!$C$38*'契約別単価'!H7)</ns0:f>
        <ns0:v>160957.4020942702</ns0:v>
      </ns0:c>
      <ns0:c r="I237" s="16">
        <ns0:f>A237*('前提と出典'!$C$36*'契約別単価'!I5+'前提と出典'!$C$37*'契約別単価'!I6+'前提と出典'!$C$38*'契約別単価'!I7)</ns0:f>
        <ns0:v>9831.558659217875</ns0:v>
      </ns0:c>
      <ns0:c r="J237" s="16">
        <ns0:f>A237*('前提と出典'!$C$36*'契約別単価'!J5+'前提と出典'!$C$37*'契約別単価'!J6+'前提と出典'!$C$38*'契約別単価'!J7)</ns0:f>
        <ns0:v>22901.463684500497</ns0:v>
      </ns0:c>
      <ns0:c r="K237" s="16">
        <ns0:f>A237*('前提と出典'!$C$36*'契約別単価'!K5+'前提と出典'!$C$37*'契約別単価'!K6+'前提と出典'!$C$38*'契約別単価'!K7)</ns0:f>
        <ns0:v>98163.72439478584</ns0:v>
      </ns0:c>
      <ns0:c r="L237" s="16">
        <ns0:f>A237*('前提と出典'!$C$36*'契約別単価'!L5+'前提と出典'!$C$37*'契約別単価'!L6+'前提と出典'!$C$38*'契約別単価'!L7)</ns0:f>
        <ns0:v>79925.24673647567</ns0:v>
      </ns0:c>
      <ns0:c r="M237" s="16">
        <ns0:f>IF(('前提と出典'!$C$36+'前提と出典'!$C$38)=0,0,IF(B237&lt;=10,'前提と出典'!B73+'前提と出典'!C73,IF(B237&lt;=100,'前提と出典'!B74+'前提と出典'!C74,IF(B237&lt;=500,'前提と出典'!B75+'前提と出典'!C75,'前提と出典'!B76+'前提と出典'!C76))))</ns0:f>
        <ns0:v>40000</ns0:v>
      </ns0:c>
      <ns0:c r="N237" s="16">
        <ns0:f>IF(('前提と出典'!$C$37+'前提と出典'!$C$38)=0,0,IF(C237&lt;=10,'前提と出典'!D73+'前提と出典'!E73,IF(C237&lt;=100,'前提と出典'!D74+'前提と出典'!E74,IF(C237&lt;=500,'前提と出典'!D75+'前提と出典'!E75,'前提と出典'!D76+'前提と出典'!E76))))</ns0:f>
        <ns0:v>56510.9346263078</ns0:v>
      </ns0:c>
      <ns0:c r="O237" s="16">
        <ns0:f>IF('前提と出典'!$C$36+'前提と出典'!$C$38=0,0,'前提と出典'!$B$4*IF('前提と出典'!$B$20=0,MAX('前提と出典'!$B$6,D237*'前提と出典'!$B$5),'前提と出典'!$B$6+D237*'前提と出典'!$B$5))</ns0:f>
        <ns0:v>231365.09497206705</ns0:v>
      </ns0:c>
      <ns0:c r="P237" s="16">
        <ns0:f>(E237+G237)*(1-'前提と出典'!$B$7)-I237-K237-M237-O237</ns0:f>
        <ns0:v>632376.4604167386</ns0:v>
      </ns0:c>
      <ns0:c r="Q237" s="16">
        <ns0:f>(F237+H237)*(1-'前提と出典'!$B$7)-J237-L237-N237</ns0:f>
        <ns0:v>159896.99226185074</ns0:v>
      </ns0:c>
      <ns0:c r="R237" s="16">
        <ns0:f>P237-E237*'前提と出典'!$E$4</ns0:f>
        <ns0:v>456656.7430821988</ns0:v>
      </ns0:c>
      <ns0:c r="S237" s="16">
        <ns0:f>Q237-F237*'前提と出典'!$E$4</ns0:f>
        <ns0:v>108837.3340594882</ns0:v>
      </ns0:c>
      <ns0:c r="T237" s="7">
        <ns0:f>R237+S237</ns0:f>
        <ns0:v>565494.077141687</ns0:v>
      </ns0:c>
      <ns0:c r="U237" s="16">
        <ns0:f>P237-E237*'前提と出典'!$E$5</ns0:f>
        <ns0:v>398083.50397068553</ns0:v>
      </ns0:c>
      <ns0:c r="V237" s="16">
        <ns0:f>Q237-F237*'前提と出典'!$E$5</ns0:f>
        <ns0:v>91817.44799203405</ns0:v>
      </ns0:c>
      <ns0:c r="W237" s="7">
        <ns0:f>U237+V237</ns0:f>
        <ns0:v>489900.95196271956</ns0:v>
      </ns0:c>
      <ns0:c r="X237" s="16">
        <ns0:f>P237-E237*'前提と出典'!$E$6</ns0:f>
        <ns0:v>339510.2648591723</ns0:v>
      </ns0:c>
      <ns0:c r="Y237" s="16">
        <ns0:f>Q237-F237*'前提と出典'!$E$6</ns0:f>
        <ns0:v>74797.56192457987</ns0:v>
      </ns0:c>
      <ns0:c r="Z237" s="7">
        <ns0:f>X237+Y237</ns0:f>
        <ns0:v>414307.8267837522</ns0:v>
      </ns0:c>
      <ns0:c r="AA237" s="7">
        <ns0:f>IF(T237&gt;=0,A237,1001)</ns0:f>
        <ns0:v>233</ns0:v>
      </ns0:c>
      <ns0:c r="AB237" s="7">
        <ns0:f>IF(T237&lt;0,A237,0)</ns0:f>
        <ns0:v>0</ns0:v>
      </ns0:c>
      <ns0:c r="AC237" s="16">
        <ns0:f>IF(AND(OR('前提と出典'!$C$36+'前提と出典'!$C$38=0,R237&gt;=0),OR('前提と出典'!$C$37+'前提と出典'!$C$38=0,S237&gt;=0)),0,A237)</ns0:f>
        <ns0:v>0</ns0:v>
      </ns0:c>
      <ns0:c r="AD237" s="7">
        <ns0:f>IF(W237&gt;=0,A237,1001)</ns0:f>
        <ns0:v>233</ns0:v>
      </ns0:c>
      <ns0:c r="AE237" s="7">
        <ns0:f>IF(W237&lt;0,A237,0)</ns0:f>
        <ns0:v>0</ns0:v>
      </ns0:c>
      <ns0:c r="AF237" s="16">
        <ns0:f>IF(AND(OR('前提と出典'!$C$36+'前提と出典'!$C$38=0,U237&gt;=0),OR('前提と出典'!$C$37+'前提と出典'!$C$38=0,V237&gt;=0)),0,A237)</ns0:f>
        <ns0:v>0</ns0:v>
      </ns0:c>
      <ns0:c r="AG237" s="7">
        <ns0:f>IF(Z237&gt;=0,A237,1001)</ns0:f>
        <ns0:v>233</ns0:v>
      </ns0:c>
      <ns0:c r="AH237" s="4">
        <ns0:f>IF(Z237&lt;0,A237,0)</ns0:f>
        <ns0:v>0</ns0:v>
      </ns0:c>
      <ns0:c r="AI237" s="12">
        <ns0:f>IF(AND(OR('前提と出典'!$C$36+'前提と出典'!$C$38=0,X237&gt;=0),OR('前提と出典'!$C$37+'前提と出典'!$C$38=0,Y237&gt;=0)),0,A237)</ns0:f>
        <ns0:v>0</ns0:v>
      </ns0:c>
    </ns0:row>
    <ns0:row r="238" ht="24" customHeight="1">
      <ns0:c r="A238" s="4" t="n">
        <ns0:v>234</ns0:v>
      </ns0:c>
      <ns0:c r="B238" s="12">
        <ns0:f>A238*('前提と出典'!$C$36+'前提と出典'!$C$38)</ns0:f>
        <ns0:v>163.79999999999998</ns0:v>
      </ns0:c>
      <ns0:c r="C238" s="12">
        <ns0:f>A238*('前提と出典'!$C$37+'前提と出典'!$C$38)</ns0:f>
        <ns0:v>140.4</ns0:v>
      </ns0:c>
      <ns0:c r="D238" s="16">
        <ns0:f>A238*('前提と出典'!$C$36*'契約別単価'!C5+'前提と出典'!$C$37*'契約別単価'!C6+'前提と出典'!$C$38*'契約別単価'!C7)</ns0:f>
        <ns0:v>1683.7541899441342</ns0:v>
      </ns0:c>
      <ns0:c r="E238" s="16">
        <ns0:f>A238*('前提と出典'!$C$36*'契約別単価'!E5+'前提と出典'!$C$37*'契約別単価'!E6+'前提と出典'!$C$38*'契約別単価'!E7)</ns0:f>
        <ns0:v>588246.2640383737</ns0:v>
      </ns0:c>
      <ns0:c r="F238" s="16">
        <ns0:f>A238*('前提と出典'!$C$36*'契約別単価'!F5+'前提と出典'!$C$37*'契約別単価'!F6+'前提と出典'!$C$38*'契約別単価'!F7)</ns0:f>
        <ns0:v>170929.32788773722</ns0:v>
      </ns0:c>
      <ns0:c r="G238" s="16">
        <ns0:f>A238*('前提と出典'!$C$36*'契約別単価'!G5+'前提と出典'!$C$37*'契約別単価'!G6+'前提と出典'!$C$38*'契約別単価'!G7)</ns0:f>
        <ns0:v>465777.6536312849</ns0:v>
      </ns0:c>
      <ns0:c r="H238" s="16">
        <ns0:f>A238*('前提と出典'!$C$36*'契約別単価'!H5+'前提と出典'!$C$37*'契約別単価'!H6+'前提と出典'!$C$38*'契約別単価'!H7)</ns0:f>
        <ns0:v>161648.20639510397</ns0:v>
      </ns0:c>
      <ns0:c r="I238" s="16">
        <ns0:f>A238*('前提と出典'!$C$36*'契約別単価'!I5+'前提と出典'!$C$37*'契約別単価'!I6+'前提と出典'!$C$38*'契約別単価'!I7)</ns0:f>
        <ns0:v>9873.754189944133</ns0:v>
      </ns0:c>
      <ns0:c r="J238" s="16">
        <ns0:f>A238*('前提と出典'!$C$36*'契約別単価'!J5+'前提と出典'!$C$37*'契約別単価'!J6+'前提と出典'!$C$38*'契約別単価'!J7)</ns0:f>
        <ns0:v>22999.7532282108</ns0:v>
      </ns0:c>
      <ns0:c r="K238" s="16">
        <ns0:f>A238*('前提と出典'!$C$36*'契約別単価'!K5+'前提と出典'!$C$37*'契約別単価'!K6+'前提と出典'!$C$38*'契約別単価'!K7)</ns0:f>
        <ns0:v>98585.02793296089</ns0:v>
      </ns0:c>
      <ns0:c r="L238" s="16">
        <ns0:f>A238*('前提と出典'!$C$36*'契約別単価'!L5+'前提と出典'!$C$37*'契約別単価'!L6+'前提と出典'!$C$38*'契約別単価'!L7)</ns0:f>
        <ns0:v>80268.27354650346</ns0:v>
      </ns0:c>
      <ns0:c r="M238" s="16">
        <ns0:f>IF(('前提と出典'!$C$36+'前提と出典'!$C$38)=0,0,IF(B238&lt;=10,'前提と出典'!B73+'前提と出典'!C73,IF(B238&lt;=100,'前提と出典'!B74+'前提と出典'!C74,IF(B238&lt;=500,'前提と出典'!B75+'前提と出典'!C75,'前提と出典'!B76+'前提と出典'!C76))))</ns0:f>
        <ns0:v>40000</ns0:v>
      </ns0:c>
      <ns0:c r="N238" s="16">
        <ns0:f>IF(('前提と出典'!$C$37+'前提と出典'!$C$38)=0,0,IF(C238&lt;=10,'前提と出典'!D73+'前提と出典'!E73,IF(C238&lt;=100,'前提と出典'!D74+'前提と出典'!E74,IF(C238&lt;=500,'前提と出典'!D75+'前提と出典'!E75,'前提と出典'!D76+'前提と出典'!E76))))</ns0:f>
        <ns0:v>56510.9346263078</ns0:v>
      </ns0:c>
      <ns0:c r="O238" s="16">
        <ns0:f>IF('前提と出典'!$C$36+'前提と出典'!$C$38=0,0,'前提と出典'!$B$4*IF('前提と出典'!$B$20=0,MAX('前提と出典'!$B$6,D238*'前提と出典'!$B$5),'前提と出典'!$B$6+D238*'前提と出典'!$B$5))</ns0:f>
        <ns0:v>232358.07821229054</ns0:v>
      </ns0:c>
      <ns0:c r="P238" s="16">
        <ns0:f>(E238+G238)*(1-'前提と出典'!$B$7)-I238-K238-M238-O238</ns0:f>
        <ns0:v>635262.1962983552</ns0:v>
      </ns0:c>
      <ns0:c r="Q238" s="16">
        <ns0:f>(F238+H238)*(1-'前提と出典'!$B$7)-J238-L238-N238</ns0:f>
        <ns0:v>160825.78164763688</ns0:v>
      </ns0:c>
      <ns0:c r="R238" s="16">
        <ns0:f>P238-E238*'前提と出典'!$E$4</ns0:f>
        <ns0:v>458788.3170868431</ns0:v>
      </ns0:c>
      <ns0:c r="S238" s="16">
        <ns0:f>Q238-F238*'前提と出典'!$E$4</ns0:f>
        <ns0:v>109546.98328131565</ns0:v>
      </ns0:c>
      <ns0:c r="T238" s="7">
        <ns0:f>R238+S238</ns0:f>
        <ns0:v>568335.3003681587</ns0:v>
      </ns0:c>
      <ns0:c r="U238" s="16">
        <ns0:f>P238-E238*'前提と出典'!$E$5</ns0:f>
        <ns0:v>399963.6906830057</ns0:v>
      </ns0:c>
      <ns0:c r="V238" s="16">
        <ns0:f>Q238-F238*'前提と出典'!$E$5</ns0:f>
        <ns0:v>92454.05049254198</ns0:v>
      </ns0:c>
      <ns0:c r="W238" s="7">
        <ns0:f>U238+V238</ns0:f>
        <ns0:v>492417.7411755477</ns0:v>
      </ns0:c>
      <ns0:c r="X238" s="16">
        <ns0:f>P238-E238*'前提と出典'!$E$6</ns0:f>
        <ns0:v>341139.0642791684</ns0:v>
      </ns0:c>
      <ns0:c r="Y238" s="16">
        <ns0:f>Q238-F238*'前提と出典'!$E$6</ns0:f>
        <ns0:v>75361.11770376825</ns0:v>
      </ns0:c>
      <ns0:c r="Z238" s="7">
        <ns0:f>X238+Y238</ns0:f>
        <ns0:v>416500.1819829366</ns0:v>
      </ns0:c>
      <ns0:c r="AA238" s="7">
        <ns0:f>IF(T238&gt;=0,A238,1001)</ns0:f>
        <ns0:v>234</ns0:v>
      </ns0:c>
      <ns0:c r="AB238" s="7">
        <ns0:f>IF(T238&lt;0,A238,0)</ns0:f>
        <ns0:v>0</ns0:v>
      </ns0:c>
      <ns0:c r="AC238" s="16">
        <ns0:f>IF(AND(OR('前提と出典'!$C$36+'前提と出典'!$C$38=0,R238&gt;=0),OR('前提と出典'!$C$37+'前提と出典'!$C$38=0,S238&gt;=0)),0,A238)</ns0:f>
        <ns0:v>0</ns0:v>
      </ns0:c>
      <ns0:c r="AD238" s="7">
        <ns0:f>IF(W238&gt;=0,A238,1001)</ns0:f>
        <ns0:v>234</ns0:v>
      </ns0:c>
      <ns0:c r="AE238" s="7">
        <ns0:f>IF(W238&lt;0,A238,0)</ns0:f>
        <ns0:v>0</ns0:v>
      </ns0:c>
      <ns0:c r="AF238" s="16">
        <ns0:f>IF(AND(OR('前提と出典'!$C$36+'前提と出典'!$C$38=0,U238&gt;=0),OR('前提と出典'!$C$37+'前提と出典'!$C$38=0,V238&gt;=0)),0,A238)</ns0:f>
        <ns0:v>0</ns0:v>
      </ns0:c>
      <ns0:c r="AG238" s="7">
        <ns0:f>IF(Z238&gt;=0,A238,1001)</ns0:f>
        <ns0:v>234</ns0:v>
      </ns0:c>
      <ns0:c r="AH238" s="4">
        <ns0:f>IF(Z238&lt;0,A238,0)</ns0:f>
        <ns0:v>0</ns0:v>
      </ns0:c>
      <ns0:c r="AI238" s="12">
        <ns0:f>IF(AND(OR('前提と出典'!$C$36+'前提と出典'!$C$38=0,X238&gt;=0),OR('前提と出典'!$C$37+'前提と出典'!$C$38=0,Y238&gt;=0)),0,A238)</ns0:f>
        <ns0:v>0</ns0:v>
      </ns0:c>
    </ns0:row>
    <ns0:row r="239" ht="24" customHeight="1">
      <ns0:c r="A239" s="4" t="n">
        <ns0:v>235</ns0:v>
      </ns0:c>
      <ns0:c r="B239" s="12">
        <ns0:f>A239*('前提と出典'!$C$36+'前提と出典'!$C$38)</ns0:f>
        <ns0:v>164.5</ns0:v>
      </ns0:c>
      <ns0:c r="C239" s="12">
        <ns0:f>A239*('前提と出典'!$C$37+'前提と出典'!$C$38)</ns0:f>
        <ns0:v>141</ns0:v>
      </ns0:c>
      <ns0:c r="D239" s="16">
        <ns0:f>A239*('前提と出典'!$C$36*'契約別単価'!C5+'前提と出典'!$C$37*'契約別単価'!C6+'前提と出典'!$C$38*'契約別単価'!C7)</ns0:f>
        <ns0:v>1690.9497206703911</ns0:v>
      </ns0:c>
      <ns0:c r="E239" s="16">
        <ns0:f>A239*('前提と出典'!$C$36*'契約別単価'!E5+'前提と出典'!$C$37*'契約別単価'!E6+'前提と出典'!$C$38*'契約別単価'!E7)</ns0:f>
        <ns0:v>590760.1369616146</ns0:v>
      </ns0:c>
      <ns0:c r="F239" s="16">
        <ns0:f>A239*('前提と出典'!$C$36*'契約別単価'!F5+'前提と出典'!$C$37*'契約別単価'!F6+'前提と出典'!$C$38*'契約別単価'!F7)</ns0:f>
        <ns0:v>171659.79510093268</ns0:v>
      </ns0:c>
      <ns0:c r="G239" s="16">
        <ns0:f>A239*('前提と出典'!$C$36*'契約別単価'!G5+'前提と出典'!$C$37*'契約別単価'!G6+'前提と出典'!$C$38*'契約別単価'!G7)</ns0:f>
        <ns0:v>467768.15642458096</ns0:v>
      </ns0:c>
      <ns0:c r="H239" s="16">
        <ns0:f>A239*('前提と出典'!$C$36*'契約別単価'!H5+'前提と出典'!$C$37*'契約別単価'!H6+'前提と出典'!$C$38*'契約別単価'!H7)</ns0:f>
        <ns0:v>162339.01069593776</ns0:v>
      </ns0:c>
      <ns0:c r="I239" s="16">
        <ns0:f>A239*('前提と出典'!$C$36*'契約別単価'!I5+'前提と出典'!$C$37*'契約別単価'!I6+'前提と出典'!$C$38*'契約別単価'!I7)</ns0:f>
        <ns0:v>9915.949720670389</ns0:v>
      </ns0:c>
      <ns0:c r="J239" s="16">
        <ns0:f>A239*('前提と出典'!$C$36*'契約別単価'!J5+'前提と出典'!$C$37*'契約別単価'!J6+'前提と出典'!$C$38*'契約別単価'!J7)</ns0:f>
        <ns0:v>23098.042771921104</ns0:v>
      </ns0:c>
      <ns0:c r="K239" s="16">
        <ns0:f>A239*('前提と出典'!$C$36*'契約別単価'!K5+'前提と出典'!$C$37*'契約別単価'!K6+'前提と出典'!$C$38*'契約別単価'!K7)</ns0:f>
        <ns0:v>99006.33147113593</ns0:v>
      </ns0:c>
      <ns0:c r="L239" s="16">
        <ns0:f>A239*('前提と出典'!$C$36*'契約別単価'!L5+'前提と出典'!$C$37*'契約別単価'!L6+'前提と出典'!$C$38*'契約別単価'!L7)</ns0:f>
        <ns0:v>80611.30035653125</ns0:v>
      </ns0:c>
      <ns0:c r="M239" s="16">
        <ns0:f>IF(('前提と出典'!$C$36+'前提と出典'!$C$38)=0,0,IF(B239&lt;=10,'前提と出典'!B73+'前提と出典'!C73,IF(B239&lt;=100,'前提と出典'!B74+'前提と出典'!C74,IF(B239&lt;=500,'前提と出典'!B75+'前提と出典'!C75,'前提と出典'!B76+'前提と出典'!C76))))</ns0:f>
        <ns0:v>40000</ns0:v>
      </ns0:c>
      <ns0:c r="N239" s="16">
        <ns0:f>IF(('前提と出典'!$C$37+'前提と出典'!$C$38)=0,0,IF(C239&lt;=10,'前提と出典'!D73+'前提と出典'!E73,IF(C239&lt;=100,'前提と出典'!D74+'前提と出典'!E74,IF(C239&lt;=500,'前提と出典'!D75+'前提と出典'!E75,'前提と出典'!D76+'前提と出典'!E76))))</ns0:f>
        <ns0:v>56510.9346263078</ns0:v>
      </ns0:c>
      <ns0:c r="O239" s="16">
        <ns0:f>IF('前提と出典'!$C$36+'前提と出典'!$C$38=0,0,'前提と出典'!$B$4*IF('前提と出典'!$B$20=0,MAX('前提と出典'!$B$6,D239*'前提と出典'!$B$5),'前提と出典'!$B$6+D239*'前提と出典'!$B$5))</ns0:f>
        <ns0:v>233351.061452514</ns0:v>
      </ns0:c>
      <ns0:c r="P239" s="16">
        <ns0:f>(E239+G239)*(1-'前提と出典'!$B$7)-I239-K239-M239-O239</ns0:f>
        <ns0:v>638147.9321799723</ns0:v>
      </ns0:c>
      <ns0:c r="Q239" s="16">
        <ns0:f>(F239+H239)*(1-'前提と出典'!$B$7)-J239-L239-N239</ns0:f>
        <ns0:v>161754.57103342292</ns0:v>
      </ns0:c>
      <ns0:c r="R239" s="16">
        <ns0:f>P239-E239*'前提と出典'!$E$4</ns0:f>
        <ns0:v>460919.89109148784</ns0:v>
      </ns0:c>
      <ns0:c r="S239" s="16">
        <ns0:f>Q239-F239*'前提と出典'!$E$4</ns0:f>
        <ns0:v>110256.63250314316</ns0:v>
      </ns0:c>
      <ns0:c r="T239" s="7">
        <ns0:f>R239+S239</ns0:f>
        <ns0:v>571176.523594631</ns0:v>
      </ns0:c>
      <ns0:c r="U239" s="16">
        <ns0:f>P239-E239*'前提と出典'!$E$5</ns0:f>
        <ns0:v>401843.8773953264</ns0:v>
      </ns0:c>
      <ns0:c r="V239" s="16">
        <ns0:f>Q239-F239*'前提と出典'!$E$5</ns0:f>
        <ns0:v>93090.65299304985</ns0:v>
      </ns0:c>
      <ns0:c r="W239" s="7">
        <ns0:f>U239+V239</ns0:f>
        <ns0:v>494934.5303883762</ns0:v>
      </ns0:c>
      <ns0:c r="X239" s="16">
        <ns0:f>P239-E239*'前提と出典'!$E$6</ns0:f>
        <ns0:v>342767.8636991648</ns0:v>
      </ns0:c>
      <ns0:c r="Y239" s="16">
        <ns0:f>Q239-F239*'前提と出典'!$E$6</ns0:f>
        <ns0:v>75924.67348295657</ns0:v>
      </ns0:c>
      <ns0:c r="Z239" s="7">
        <ns0:f>X239+Y239</ns0:f>
        <ns0:v>418692.5371821214</ns0:v>
      </ns0:c>
      <ns0:c r="AA239" s="7">
        <ns0:f>IF(T239&gt;=0,A239,1001)</ns0:f>
        <ns0:v>235</ns0:v>
      </ns0:c>
      <ns0:c r="AB239" s="7">
        <ns0:f>IF(T239&lt;0,A239,0)</ns0:f>
        <ns0:v>0</ns0:v>
      </ns0:c>
      <ns0:c r="AC239" s="16">
        <ns0:f>IF(AND(OR('前提と出典'!$C$36+'前提と出典'!$C$38=0,R239&gt;=0),OR('前提と出典'!$C$37+'前提と出典'!$C$38=0,S239&gt;=0)),0,A239)</ns0:f>
        <ns0:v>0</ns0:v>
      </ns0:c>
      <ns0:c r="AD239" s="7">
        <ns0:f>IF(W239&gt;=0,A239,1001)</ns0:f>
        <ns0:v>235</ns0:v>
      </ns0:c>
      <ns0:c r="AE239" s="7">
        <ns0:f>IF(W239&lt;0,A239,0)</ns0:f>
        <ns0:v>0</ns0:v>
      </ns0:c>
      <ns0:c r="AF239" s="16">
        <ns0:f>IF(AND(OR('前提と出典'!$C$36+'前提と出典'!$C$38=0,U239&gt;=0),OR('前提と出典'!$C$37+'前提と出典'!$C$38=0,V239&gt;=0)),0,A239)</ns0:f>
        <ns0:v>0</ns0:v>
      </ns0:c>
      <ns0:c r="AG239" s="7">
        <ns0:f>IF(Z239&gt;=0,A239,1001)</ns0:f>
        <ns0:v>235</ns0:v>
      </ns0:c>
      <ns0:c r="AH239" s="4">
        <ns0:f>IF(Z239&lt;0,A239,0)</ns0:f>
        <ns0:v>0</ns0:v>
      </ns0:c>
      <ns0:c r="AI239" s="12">
        <ns0:f>IF(AND(OR('前提と出典'!$C$36+'前提と出典'!$C$38=0,X239&gt;=0),OR('前提と出典'!$C$37+'前提と出典'!$C$38=0,Y239&gt;=0)),0,A239)</ns0:f>
        <ns0:v>0</ns0:v>
      </ns0:c>
    </ns0:row>
    <ns0:row r="240" ht="24" customHeight="1">
      <ns0:c r="A240" s="4" t="n">
        <ns0:v>236</ns0:v>
      </ns0:c>
      <ns0:c r="B240" s="12">
        <ns0:f>A240*('前提と出典'!$C$36+'前提と出典'!$C$38)</ns0:f>
        <ns0:v>165.2</ns0:v>
      </ns0:c>
      <ns0:c r="C240" s="12">
        <ns0:f>A240*('前提と出典'!$C$37+'前提と出典'!$C$38)</ns0:f>
        <ns0:v>141.6</ns0:v>
      </ns0:c>
      <ns0:c r="D240" s="16">
        <ns0:f>A240*('前提と出典'!$C$36*'契約別単価'!C5+'前提と出典'!$C$37*'契約別単価'!C6+'前提と出典'!$C$38*'契約別単価'!C7)</ns0:f>
        <ns0:v>1698.145251396648</ns0:v>
      </ns0:c>
      <ns0:c r="E240" s="16">
        <ns0:f>A240*('前提と出典'!$C$36*'契約別単価'!E5+'前提と出典'!$C$37*'契約別単価'!E6+'前提と出典'!$C$38*'契約別単価'!E7)</ns0:f>
        <ns0:v>593274.0098848555</ns0:v>
      </ns0:c>
      <ns0:c r="F240" s="16">
        <ns0:f>A240*('前提と出典'!$C$36*'契約別単価'!F5+'前提と出典'!$C$37*'契約別単価'!F6+'前提と出典'!$C$38*'契約別単価'!F7)</ns0:f>
        <ns0:v>172390.26231412814</ns0:v>
      </ns0:c>
      <ns0:c r="G240" s="16">
        <ns0:f>A240*('前提と出典'!$C$36*'契約別単価'!G5+'前提と出典'!$C$37*'契約別単価'!G6+'前提と出典'!$C$38*'契約別単価'!G7)</ns0:f>
        <ns0:v>469758.6592178771</ns0:v>
      </ns0:c>
      <ns0:c r="H240" s="16">
        <ns0:f>A240*('前提と出典'!$C$36*'契約別単価'!H5+'前提と出典'!$C$37*'契約別単価'!H6+'前提と出典'!$C$38*'契約別単価'!H7)</ns0:f>
        <ns0:v>163029.81499677154</ns0:v>
      </ns0:c>
      <ns0:c r="I240" s="16">
        <ns0:f>A240*('前提と出典'!$C$36*'契約別単価'!I5+'前提と出典'!$C$37*'契約別単価'!I6+'前提と出典'!$C$38*'契約別単価'!I7)</ns0:f>
        <ns0:v>9958.145251396647</ns0:v>
      </ns0:c>
      <ns0:c r="J240" s="16">
        <ns0:f>A240*('前提と出典'!$C$36*'契約別単価'!J5+'前提と出典'!$C$37*'契約別単価'!J6+'前提と出典'!$C$38*'契約別単価'!J7)</ns0:f>
        <ns0:v>23196.332315631407</ns0:v>
      </ns0:c>
      <ns0:c r="K240" s="16">
        <ns0:f>A240*('前提と出典'!$C$36*'契約別単価'!K5+'前提と出典'!$C$37*'契約別単価'!K6+'前提と出典'!$C$38*'契約別単価'!K7)</ns0:f>
        <ns0:v>99427.63500931098</ns0:v>
      </ns0:c>
      <ns0:c r="L240" s="16">
        <ns0:f>A240*('前提と出典'!$C$36*'契約別単価'!L5+'前提と出典'!$C$37*'契約別単価'!L6+'前提と出典'!$C$38*'契約別単価'!L7)</ns0:f>
        <ns0:v>80954.32716655904</ns0:v>
      </ns0:c>
      <ns0:c r="M240" s="16">
        <ns0:f>IF(('前提と出典'!$C$36+'前提と出典'!$C$38)=0,0,IF(B240&lt;=10,'前提と出典'!B73+'前提と出典'!C73,IF(B240&lt;=100,'前提と出典'!B74+'前提と出典'!C74,IF(B240&lt;=500,'前提と出典'!B75+'前提と出典'!C75,'前提と出典'!B76+'前提と出典'!C76))))</ns0:f>
        <ns0:v>40000</ns0:v>
      </ns0:c>
      <ns0:c r="N240" s="16">
        <ns0:f>IF(('前提と出典'!$C$37+'前提と出典'!$C$38)=0,0,IF(C240&lt;=10,'前提と出典'!D73+'前提と出典'!E73,IF(C240&lt;=100,'前提と出典'!D74+'前提と出典'!E74,IF(C240&lt;=500,'前提と出典'!D75+'前提と出典'!E75,'前提と出典'!D76+'前提と出典'!E76))))</ns0:f>
        <ns0:v>56510.9346263078</ns0:v>
      </ns0:c>
      <ns0:c r="O240" s="16">
        <ns0:f>IF('前提と出典'!$C$36+'前提と出典'!$C$38=0,0,'前提と出典'!$B$4*IF('前提と出典'!$B$20=0,MAX('前提と出典'!$B$6,D240*'前提と出典'!$B$5),'前提と出典'!$B$6+D240*'前提と出典'!$B$5))</ns0:f>
        <ns0:v>234344.04469273743</ns0:v>
      </ns0:c>
      <ns0:c r="P240" s="16">
        <ns0:f>(E240+G240)*(1-'前提と出典'!$B$7)-I240-K240-M240-O240</ns0:f>
        <ns0:v>641033.6680615891</ns0:v>
      </ns0:c>
      <ns0:c r="Q240" s="16">
        <ns0:f>(F240+H240)*(1-'前提と出典'!$B$7)-J240-L240-N240</ns0:f>
        <ns0:v>162683.36041920906</ns0:v>
      </ns0:c>
      <ns0:c r="R240" s="16">
        <ns0:f>P240-E240*'前提と出典'!$E$4</ns0:f>
        <ns0:v>463051.4650961325</ns0:v>
      </ns0:c>
      <ns0:c r="S240" s="16">
        <ns0:f>Q240-F240*'前提と出典'!$E$4</ns0:f>
        <ns0:v>110966.28172497061</ns0:v>
      </ns0:c>
      <ns0:c r="T240" s="7">
        <ns0:f>R240+S240</ns0:f>
        <ns0:v>574017.7468211032</ns0:v>
      </ns0:c>
      <ns0:c r="U240" s="16">
        <ns0:f>P240-E240*'前提と出典'!$E$5</ns0:f>
        <ns0:v>403724.06410764693</ns0:v>
      </ns0:c>
      <ns0:c r="V240" s="16">
        <ns0:f>Q240-F240*'前提と出典'!$E$5</ns0:f>
        <ns0:v>93727.25549355778</ns0:v>
      </ns0:c>
      <ns0:c r="W240" s="7">
        <ns0:f>U240+V240</ns0:f>
        <ns0:v>497451.3196012047</ns0:v>
      </ns0:c>
      <ns0:c r="X240" s="16">
        <ns0:f>P240-E240*'前提と出典'!$E$6</ns0:f>
        <ns0:v>344396.6631191614</ns0:v>
      </ns0:c>
      <ns0:c r="Y240" s="16">
        <ns0:f>Q240-F240*'前提と出典'!$E$6</ns0:f>
        <ns0:v>76488.229262145</ns0:v>
      </ns0:c>
      <ns0:c r="Z240" s="7">
        <ns0:f>X240+Y240</ns0:f>
        <ns0:v>420884.8923813064</ns0:v>
      </ns0:c>
      <ns0:c r="AA240" s="7">
        <ns0:f>IF(T240&gt;=0,A240,1001)</ns0:f>
        <ns0:v>236</ns0:v>
      </ns0:c>
      <ns0:c r="AB240" s="7">
        <ns0:f>IF(T240&lt;0,A240,0)</ns0:f>
        <ns0:v>0</ns0:v>
      </ns0:c>
      <ns0:c r="AC240" s="16">
        <ns0:f>IF(AND(OR('前提と出典'!$C$36+'前提と出典'!$C$38=0,R240&gt;=0),OR('前提と出典'!$C$37+'前提と出典'!$C$38=0,S240&gt;=0)),0,A240)</ns0:f>
        <ns0:v>0</ns0:v>
      </ns0:c>
      <ns0:c r="AD240" s="7">
        <ns0:f>IF(W240&gt;=0,A240,1001)</ns0:f>
        <ns0:v>236</ns0:v>
      </ns0:c>
      <ns0:c r="AE240" s="7">
        <ns0:f>IF(W240&lt;0,A240,0)</ns0:f>
        <ns0:v>0</ns0:v>
      </ns0:c>
      <ns0:c r="AF240" s="16">
        <ns0:f>IF(AND(OR('前提と出典'!$C$36+'前提と出典'!$C$38=0,U240&gt;=0),OR('前提と出典'!$C$37+'前提と出典'!$C$38=0,V240&gt;=0)),0,A240)</ns0:f>
        <ns0:v>0</ns0:v>
      </ns0:c>
      <ns0:c r="AG240" s="7">
        <ns0:f>IF(Z240&gt;=0,A240,1001)</ns0:f>
        <ns0:v>236</ns0:v>
      </ns0:c>
      <ns0:c r="AH240" s="4">
        <ns0:f>IF(Z240&lt;0,A240,0)</ns0:f>
        <ns0:v>0</ns0:v>
      </ns0:c>
      <ns0:c r="AI240" s="12">
        <ns0:f>IF(AND(OR('前提と出典'!$C$36+'前提と出典'!$C$38=0,X240&gt;=0),OR('前提と出典'!$C$37+'前提と出典'!$C$38=0,Y240&gt;=0)),0,A240)</ns0:f>
        <ns0:v>0</ns0:v>
      </ns0:c>
    </ns0:row>
    <ns0:row r="241" ht="24" customHeight="1">
      <ns0:c r="A241" s="4" t="n">
        <ns0:v>237</ns0:v>
      </ns0:c>
      <ns0:c r="B241" s="12">
        <ns0:f>A241*('前提と出典'!$C$36+'前提と出典'!$C$38)</ns0:f>
        <ns0:v>165.89999999999998</ns0:v>
      </ns0:c>
      <ns0:c r="C241" s="12">
        <ns0:f>A241*('前提と出典'!$C$37+'前提と出典'!$C$38)</ns0:f>
        <ns0:v>142.2</ns0:v>
      </ns0:c>
      <ns0:c r="D241" s="16">
        <ns0:f>A241*('前提と出典'!$C$36*'契約別単価'!C5+'前提と出典'!$C$37*'契約別単価'!C6+'前提と出典'!$C$38*'契約別単価'!C7)</ns0:f>
        <ns0:v>1705.340782122905</ns0:v>
      </ns0:c>
      <ns0:c r="E241" s="16">
        <ns0:f>A241*('前提と出典'!$C$36*'契約別単価'!E5+'前提と出典'!$C$37*'契約別単価'!E6+'前提と出典'!$C$38*'契約別単価'!E7)</ns0:f>
        <ns0:v>595787.8828080965</ns0:v>
      </ns0:c>
      <ns0:c r="F241" s="16">
        <ns0:f>A241*('前提と出典'!$C$36*'契約別単価'!F5+'前提と出典'!$C$37*'契約別単価'!F6+'前提と出典'!$C$38*'契約別単価'!F7)</ns0:f>
        <ns0:v>173120.7295273236</ns0:v>
      </ns0:c>
      <ns0:c r="G241" s="16">
        <ns0:f>A241*('前提と出典'!$C$36*'契約別単価'!G5+'前提と出典'!$C$37*'契約別単価'!G6+'前提と出典'!$C$38*'契約別単価'!G7)</ns0:f>
        <ns0:v>471749.16201117315</ns0:v>
      </ns0:c>
      <ns0:c r="H241" s="16">
        <ns0:f>A241*('前提と出典'!$C$36*'契約別単価'!H5+'前提と出典'!$C$37*'契約別単価'!H6+'前提と出典'!$C$38*'契約別単価'!H7)</ns0:f>
        <ns0:v>163720.6192976053</ns0:v>
      </ns0:c>
      <ns0:c r="I241" s="16">
        <ns0:f>A241*('前提と出典'!$C$36*'契約別単価'!I5+'前提と出典'!$C$37*'契約別単価'!I6+'前提と出典'!$C$38*'契約別単価'!I7)</ns0:f>
        <ns0:v>10000.340782122903</ns0:v>
      </ns0:c>
      <ns0:c r="J241" s="16">
        <ns0:f>A241*('前提と出典'!$C$36*'契約別単価'!J5+'前提と出典'!$C$37*'契約別単価'!J6+'前提と出典'!$C$38*'契約別単価'!J7)</ns0:f>
        <ns0:v>23294.621859341707</ns0:v>
      </ns0:c>
      <ns0:c r="K241" s="16">
        <ns0:f>A241*('前提と出典'!$C$36*'契約別単価'!K5+'前提と出典'!$C$37*'契約別単価'!K6+'前提と出典'!$C$38*'契約別単価'!K7)</ns0:f>
        <ns0:v>99848.93854748603</ns0:v>
      </ns0:c>
      <ns0:c r="L241" s="16">
        <ns0:f>A241*('前提と出典'!$C$36*'契約別単価'!L5+'前提と出典'!$C$37*'契約別単価'!L6+'前提と出典'!$C$38*'契約別単価'!L7)</ns0:f>
        <ns0:v>81297.35397658685</ns0:v>
      </ns0:c>
      <ns0:c r="M241" s="16">
        <ns0:f>IF(('前提と出典'!$C$36+'前提と出典'!$C$38)=0,0,IF(B241&lt;=10,'前提と出典'!B73+'前提と出典'!C73,IF(B241&lt;=100,'前提と出典'!B74+'前提と出典'!C74,IF(B241&lt;=500,'前提と出典'!B75+'前提と出典'!C75,'前提と出典'!B76+'前提と出典'!C76))))</ns0:f>
        <ns0:v>40000</ns0:v>
      </ns0:c>
      <ns0:c r="N241" s="16">
        <ns0:f>IF(('前提と出典'!$C$37+'前提と出典'!$C$38)=0,0,IF(C241&lt;=10,'前提と出典'!D73+'前提と出典'!E73,IF(C241&lt;=100,'前提と出典'!D74+'前提と出典'!E74,IF(C241&lt;=500,'前提と出典'!D75+'前提と出典'!E75,'前提と出典'!D76+'前提と出典'!E76))))</ns0:f>
        <ns0:v>56510.9346263078</ns0:v>
      </ns0:c>
      <ns0:c r="O241" s="16">
        <ns0:f>IF('前提と出典'!$C$36+'前提と出典'!$C$38=0,0,'前提と出典'!$B$4*IF('前提と出典'!$B$20=0,MAX('前提と出典'!$B$6,D241*'前提と出典'!$B$5),'前提と出典'!$B$6+D241*'前提と出典'!$B$5))</ns0:f>
        <ns0:v>235337.02793296092</ns0:v>
      </ns0:c>
      <ns0:c r="P241" s="16">
        <ns0:f>(E241+G241)*(1-'前提と出典'!$B$7)-I241-K241-M241-O241</ns0:f>
        <ns0:v>643919.4039432061</ns0:v>
      </ns0:c>
      <ns0:c r="Q241" s="16">
        <ns0:f>(F241+H241)*(1-'前提と出典'!$B$7)-J241-L241-N241</ns0:f>
        <ns0:v>163612.14980499505</ns0:v>
      </ns0:c>
      <ns0:c r="R241" s="16">
        <ns0:f>P241-E241*'前提と出典'!$E$4</ns0:f>
        <ns0:v>465183.039100777</ns0:v>
      </ns0:c>
      <ns0:c r="S241" s="16">
        <ns0:f>Q241-F241*'前提と出典'!$E$4</ns0:f>
        <ns0:v>111675.93094679795</ns0:v>
      </ns0:c>
      <ns0:c r="T241" s="7">
        <ns0:f>R241+S241</ns0:f>
        <ns0:v>576858.970047575</ns0:v>
      </ns0:c>
      <ns0:c r="U241" s="16">
        <ns0:f>P241-E241*'前提と出典'!$E$5</ns0:f>
        <ns0:v>405604.2508199675</ns0:v>
      </ns0:c>
      <ns0:c r="V241" s="16">
        <ns0:f>Q241-F241*'前提と出典'!$E$5</ns0:f>
        <ns0:v>94363.85799406562</ns0:v>
      </ns0:c>
      <ns0:c r="W241" s="7">
        <ns0:f>U241+V241</ns0:f>
        <ns0:v>499968.1088140331</ns0:v>
      </ns0:c>
      <ns0:c r="X241" s="16">
        <ns0:f>P241-E241*'前提と出典'!$E$6</ns0:f>
        <ns0:v>346025.4625391577</ns0:v>
      </ns0:c>
      <ns0:c r="Y241" s="16">
        <ns0:f>Q241-F241*'前提と出典'!$E$6</ns0:f>
        <ns0:v>77051.78504133323</ns0:v>
      </ns0:c>
      <ns0:c r="Z241" s="7">
        <ns0:f>X241+Y241</ns0:f>
        <ns0:v>423077.24758049095</ns0:v>
      </ns0:c>
      <ns0:c r="AA241" s="7">
        <ns0:f>IF(T241&gt;=0,A241,1001)</ns0:f>
        <ns0:v>237</ns0:v>
      </ns0:c>
      <ns0:c r="AB241" s="7">
        <ns0:f>IF(T241&lt;0,A241,0)</ns0:f>
        <ns0:v>0</ns0:v>
      </ns0:c>
      <ns0:c r="AC241" s="16">
        <ns0:f>IF(AND(OR('前提と出典'!$C$36+'前提と出典'!$C$38=0,R241&gt;=0),OR('前提と出典'!$C$37+'前提と出典'!$C$38=0,S241&gt;=0)),0,A241)</ns0:f>
        <ns0:v>0</ns0:v>
      </ns0:c>
      <ns0:c r="AD241" s="7">
        <ns0:f>IF(W241&gt;=0,A241,1001)</ns0:f>
        <ns0:v>237</ns0:v>
      </ns0:c>
      <ns0:c r="AE241" s="7">
        <ns0:f>IF(W241&lt;0,A241,0)</ns0:f>
        <ns0:v>0</ns0:v>
      </ns0:c>
      <ns0:c r="AF241" s="16">
        <ns0:f>IF(AND(OR('前提と出典'!$C$36+'前提と出典'!$C$38=0,U241&gt;=0),OR('前提と出典'!$C$37+'前提と出典'!$C$38=0,V241&gt;=0)),0,A241)</ns0:f>
        <ns0:v>0</ns0:v>
      </ns0:c>
      <ns0:c r="AG241" s="7">
        <ns0:f>IF(Z241&gt;=0,A241,1001)</ns0:f>
        <ns0:v>237</ns0:v>
      </ns0:c>
      <ns0:c r="AH241" s="4">
        <ns0:f>IF(Z241&lt;0,A241,0)</ns0:f>
        <ns0:v>0</ns0:v>
      </ns0:c>
      <ns0:c r="AI241" s="12">
        <ns0:f>IF(AND(OR('前提と出典'!$C$36+'前提と出典'!$C$38=0,X241&gt;=0),OR('前提と出典'!$C$37+'前提と出典'!$C$38=0,Y241&gt;=0)),0,A241)</ns0:f>
        <ns0:v>0</ns0:v>
      </ns0:c>
    </ns0:row>
    <ns0:row r="242" ht="24" customHeight="1">
      <ns0:c r="A242" s="4" t="n">
        <ns0:v>238</ns0:v>
      </ns0:c>
      <ns0:c r="B242" s="12">
        <ns0:f>A242*('前提と出典'!$C$36+'前提と出典'!$C$38)</ns0:f>
        <ns0:v>166.6</ns0:v>
      </ns0:c>
      <ns0:c r="C242" s="12">
        <ns0:f>A242*('前提と出典'!$C$37+'前提と出典'!$C$38)</ns0:f>
        <ns0:v>142.79999999999998</ns0:v>
      </ns0:c>
      <ns0:c r="D242" s="16">
        <ns0:f>A242*('前提と出典'!$C$36*'契約別単価'!C5+'前提と出典'!$C$37*'契約別単価'!C6+'前提と出典'!$C$38*'契約別単価'!C7)</ns0:f>
        <ns0:v>1712.536312849162</ns0:v>
      </ns0:c>
      <ns0:c r="E242" s="16">
        <ns0:f>A242*('前提と出典'!$C$36*'契約別単価'!E5+'前提と出典'!$C$37*'契約別単価'!E6+'前提と出典'!$C$38*'契約別単価'!E7)</ns0:f>
        <ns0:v>598301.7557313374</ns0:v>
      </ns0:c>
      <ns0:c r="F242" s="16">
        <ns0:f>A242*('前提と出典'!$C$36*'契約別単価'!F5+'前提と出典'!$C$37*'契約別単価'!F6+'前提と出典'!$C$38*'契約別単価'!F7)</ns0:f>
        <ns0:v>173851.19674051905</ns0:v>
      </ns0:c>
      <ns0:c r="G242" s="16">
        <ns0:f>A242*('前提と出典'!$C$36*'契約別単価'!G5+'前提と出典'!$C$37*'契約別単価'!G6+'前提と出典'!$C$38*'契約別単価'!G7)</ns0:f>
        <ns0:v>473739.66480446927</ns0:v>
      </ns0:c>
      <ns0:c r="H242" s="16">
        <ns0:f>A242*('前提と出典'!$C$36*'契約別単価'!H5+'前提と出典'!$C$37*'契約別単価'!H6+'前提と出典'!$C$38*'契約別単価'!H7)</ns0:f>
        <ns0:v>164411.42359843908</ns0:v>
      </ns0:c>
      <ns0:c r="I242" s="16">
        <ns0:f>A242*('前提と出典'!$C$36*'契約別単価'!I5+'前提と出典'!$C$37*'契約別単価'!I6+'前提と出典'!$C$38*'契約別単価'!I7)</ns0:f>
        <ns0:v>10042.53631284916</ns0:v>
      </ns0:c>
      <ns0:c r="J242" s="16">
        <ns0:f>A242*('前提と出典'!$C$36*'契約別単価'!J5+'前提と出典'!$C$37*'契約別単価'!J6+'前提と出典'!$C$38*'契約別単価'!J7)</ns0:f>
        <ns0:v>23392.91140305201</ns0:v>
      </ns0:c>
      <ns0:c r="K242" s="16">
        <ns0:f>A242*('前提と出典'!$C$36*'契約別単価'!K5+'前提と出典'!$C$37*'契約別単価'!K6+'前提と出典'!$C$38*'契約別単価'!K7)</ns0:f>
        <ns0:v>100270.24208566107</ns0:v>
      </ns0:c>
      <ns0:c r="L242" s="16">
        <ns0:f>A242*('前提と出典'!$C$36*'契約別単価'!L5+'前提と出典'!$C$37*'契約別単価'!L6+'前提と出典'!$C$38*'契約別単価'!L7)</ns0:f>
        <ns0:v>81640.38078661464</ns0:v>
      </ns0:c>
      <ns0:c r="M242" s="16">
        <ns0:f>IF(('前提と出典'!$C$36+'前提と出典'!$C$38)=0,0,IF(B242&lt;=10,'前提と出典'!B73+'前提と出典'!C73,IF(B242&lt;=100,'前提と出典'!B74+'前提と出典'!C74,IF(B242&lt;=500,'前提と出典'!B75+'前提と出典'!C75,'前提と出典'!B76+'前提と出典'!C76))))</ns0:f>
        <ns0:v>40000</ns0:v>
      </ns0:c>
      <ns0:c r="N242" s="16">
        <ns0:f>IF(('前提と出典'!$C$37+'前提と出典'!$C$38)=0,0,IF(C242&lt;=10,'前提と出典'!D73+'前提と出典'!E73,IF(C242&lt;=100,'前提と出典'!D74+'前提と出典'!E74,IF(C242&lt;=500,'前提と出典'!D75+'前提と出典'!E75,'前提と出典'!D76+'前提と出典'!E76))))</ns0:f>
        <ns0:v>56510.9346263078</ns0:v>
      </ns0:c>
      <ns0:c r="O242" s="16">
        <ns0:f>IF('前提と出典'!$C$36+'前提と出典'!$C$38=0,0,'前提と出典'!$B$4*IF('前提と出典'!$B$20=0,MAX('前提と出典'!$B$6,D242*'前提と出典'!$B$5),'前提と出典'!$B$6+D242*'前提と出典'!$B$5))</ns0:f>
        <ns0:v>236330.01117318435</ns0:v>
      </ns0:c>
      <ns0:c r="P242" s="16">
        <ns0:f>(E242+G242)*(1-'前提と出典'!$B$7)-I242-K242-M242-O242</ns0:f>
        <ns0:v>646805.139824823</ns0:v>
      </ns0:c>
      <ns0:c r="Q242" s="16">
        <ns0:f>(F242+H242)*(1-'前提と出典'!$B$7)-J242-L242-N242</ns0:f>
        <ns0:v>164540.93919078115</ns0:v>
      </ns0:c>
      <ns0:c r="R242" s="16">
        <ns0:f>P242-E242*'前提と出典'!$E$4</ns0:f>
        <ns0:v>467314.61310542177</ns0:v>
      </ns0:c>
      <ns0:c r="S242" s="16">
        <ns0:f>Q242-F242*'前提と出典'!$E$4</ns0:f>
        <ns0:v>112385.58016862546</ns0:v>
      </ns0:c>
      <ns0:c r="T242" s="7">
        <ns0:f>R242+S242</ns0:f>
        <ns0:v>579700.1932740472</ns0:v>
      </ns0:c>
      <ns0:c r="U242" s="16">
        <ns0:f>P242-E242*'前提と出典'!$E$5</ns0:f>
        <ns0:v>407484.437532288</ns0:v>
      </ns0:c>
      <ns0:c r="V242" s="16">
        <ns0:f>Q242-F242*'前提と出典'!$E$5</ns0:f>
        <ns0:v>95000.46049457352</ns0:v>
      </ns0:c>
      <ns0:c r="W242" s="7">
        <ns0:f>U242+V242</ns0:f>
        <ns0:v>502484.89802686154</ns0:v>
      </ns0:c>
      <ns0:c r="X242" s="16">
        <ns0:f>P242-E242*'前提と出典'!$E$6</ns0:f>
        <ns0:v>347654.2619591544</ns0:v>
      </ns0:c>
      <ns0:c r="Y242" s="16">
        <ns0:f>Q242-F242*'前提と出典'!$E$6</ns0:f>
        <ns0:v>77615.34082052164</ns0:v>
      </ns0:c>
      <ns0:c r="Z242" s="7">
        <ns0:f>X242+Y242</ns0:f>
        <ns0:v>425269.60277967603</ns0:v>
      </ns0:c>
      <ns0:c r="AA242" s="7">
        <ns0:f>IF(T242&gt;=0,A242,1001)</ns0:f>
        <ns0:v>238</ns0:v>
      </ns0:c>
      <ns0:c r="AB242" s="7">
        <ns0:f>IF(T242&lt;0,A242,0)</ns0:f>
        <ns0:v>0</ns0:v>
      </ns0:c>
      <ns0:c r="AC242" s="16">
        <ns0:f>IF(AND(OR('前提と出典'!$C$36+'前提と出典'!$C$38=0,R242&gt;=0),OR('前提と出典'!$C$37+'前提と出典'!$C$38=0,S242&gt;=0)),0,A242)</ns0:f>
        <ns0:v>0</ns0:v>
      </ns0:c>
      <ns0:c r="AD242" s="7">
        <ns0:f>IF(W242&gt;=0,A242,1001)</ns0:f>
        <ns0:v>238</ns0:v>
      </ns0:c>
      <ns0:c r="AE242" s="7">
        <ns0:f>IF(W242&lt;0,A242,0)</ns0:f>
        <ns0:v>0</ns0:v>
      </ns0:c>
      <ns0:c r="AF242" s="16">
        <ns0:f>IF(AND(OR('前提と出典'!$C$36+'前提と出典'!$C$38=0,U242&gt;=0),OR('前提と出典'!$C$37+'前提と出典'!$C$38=0,V242&gt;=0)),0,A242)</ns0:f>
        <ns0:v>0</ns0:v>
      </ns0:c>
      <ns0:c r="AG242" s="7">
        <ns0:f>IF(Z242&gt;=0,A242,1001)</ns0:f>
        <ns0:v>238</ns0:v>
      </ns0:c>
      <ns0:c r="AH242" s="4">
        <ns0:f>IF(Z242&lt;0,A242,0)</ns0:f>
        <ns0:v>0</ns0:v>
      </ns0:c>
      <ns0:c r="AI242" s="12">
        <ns0:f>IF(AND(OR('前提と出典'!$C$36+'前提と出典'!$C$38=0,X242&gt;=0),OR('前提と出典'!$C$37+'前提と出典'!$C$38=0,Y242&gt;=0)),0,A242)</ns0:f>
        <ns0:v>0</ns0:v>
      </ns0:c>
    </ns0:row>
    <ns0:row r="243" ht="24" customHeight="1">
      <ns0:c r="A243" s="4" t="n">
        <ns0:v>239</ns0:v>
      </ns0:c>
      <ns0:c r="B243" s="12">
        <ns0:f>A243*('前提と出典'!$C$36+'前提と出典'!$C$38)</ns0:f>
        <ns0:v>167.29999999999998</ns0:v>
      </ns0:c>
      <ns0:c r="C243" s="12">
        <ns0:f>A243*('前提と出典'!$C$37+'前提と出典'!$C$38)</ns0:f>
        <ns0:v>143.4</ns0:v>
      </ns0:c>
      <ns0:c r="D243" s="16">
        <ns0:f>A243*('前提と出典'!$C$36*'契約別単価'!C5+'前提と出典'!$C$37*'契約別単価'!C6+'前提と出典'!$C$38*'契約別単価'!C7)</ns0:f>
        <ns0:v>1719.731843575419</ns0:v>
      </ns0:c>
      <ns0:c r="E243" s="16">
        <ns0:f>A243*('前提と出典'!$C$36*'契約別単価'!E5+'前提と出典'!$C$37*'契約別単価'!E6+'前提と出典'!$C$38*'契約別単価'!E7)</ns0:f>
        <ns0:v>600815.6286545782</ns0:v>
      </ns0:c>
      <ns0:c r="F243" s="16">
        <ns0:f>A243*('前提と出典'!$C$36*'契約別単価'!F5+'前提と出典'!$C$37*'契約別単価'!F6+'前提と出典'!$C$38*'契約別単価'!F7)</ns0:f>
        <ns0:v>174581.6639537145</ns0:v>
      </ns0:c>
      <ns0:c r="G243" s="16">
        <ns0:f>A243*('前提と出典'!$C$36*'契約別単価'!G5+'前提と出典'!$C$37*'契約別単価'!G6+'前提と出典'!$C$38*'契約別単価'!G7)</ns0:f>
        <ns0:v>475730.16759776534</ns0:v>
      </ns0:c>
      <ns0:c r="H243" s="16">
        <ns0:f>A243*('前提と出典'!$C$36*'契約別単価'!H5+'前提と出典'!$C$37*'契約別単価'!H6+'前提と出典'!$C$38*'契約別単価'!H7)</ns0:f>
        <ns0:v>165102.22789927287</ns0:v>
      </ns0:c>
      <ns0:c r="I243" s="16">
        <ns0:f>A243*('前提と出典'!$C$36*'契約別単価'!I5+'前提と出典'!$C$37*'契約別単価'!I6+'前提と出典'!$C$38*'契約別単価'!I7)</ns0:f>
        <ns0:v>10084.731843575417</ns0:v>
      </ns0:c>
      <ns0:c r="J243" s="16">
        <ns0:f>A243*('前提と出典'!$C$36*'契約別単価'!J5+'前提と出典'!$C$37*'契約別単価'!J6+'前提と出典'!$C$38*'契約別単価'!J7)</ns0:f>
        <ns0:v>23491.200946762314</ns0:v>
      </ns0:c>
      <ns0:c r="K243" s="16">
        <ns0:f>A243*('前提と出典'!$C$36*'契約別単価'!K5+'前提と出典'!$C$37*'契約別単価'!K6+'前提と出典'!$C$38*'契約別単価'!K7)</ns0:f>
        <ns0:v>100691.54562383612</ns0:v>
      </ns0:c>
      <ns0:c r="L243" s="16">
        <ns0:f>A243*('前提と出典'!$C$36*'契約別単価'!L5+'前提と出典'!$C$37*'契約別単価'!L6+'前提と出典'!$C$38*'契約別単価'!L7)</ns0:f>
        <ns0:v>81983.40759664243</ns0:v>
      </ns0:c>
      <ns0:c r="M243" s="16">
        <ns0:f>IF(('前提と出典'!$C$36+'前提と出典'!$C$38)=0,0,IF(B243&lt;=10,'前提と出典'!B73+'前提と出典'!C73,IF(B243&lt;=100,'前提と出典'!B74+'前提と出典'!C74,IF(B243&lt;=500,'前提と出典'!B75+'前提と出典'!C75,'前提と出典'!B76+'前提と出典'!C76))))</ns0:f>
        <ns0:v>40000</ns0:v>
      </ns0:c>
      <ns0:c r="N243" s="16">
        <ns0:f>IF(('前提と出典'!$C$37+'前提と出典'!$C$38)=0,0,IF(C243&lt;=10,'前提と出典'!D73+'前提と出典'!E73,IF(C243&lt;=100,'前提と出典'!D74+'前提と出典'!E74,IF(C243&lt;=500,'前提と出典'!D75+'前提と出典'!E75,'前提と出典'!D76+'前提と出典'!E76))))</ns0:f>
        <ns0:v>56510.9346263078</ns0:v>
      </ns0:c>
      <ns0:c r="O243" s="16">
        <ns0:f>IF('前提と出典'!$C$36+'前提と出典'!$C$38=0,0,'前提と出典'!$B$4*IF('前提と出典'!$B$20=0,MAX('前提と出典'!$B$6,D243*'前提と出典'!$B$5),'前提と出典'!$B$6+D243*'前提と出典'!$B$5))</ns0:f>
        <ns0:v>237322.99441340784</ns0:v>
      </ns0:c>
      <ns0:c r="P243" s="16">
        <ns0:f>(E243+G243)*(1-'前提と出典'!$B$7)-I243-K243-M243-O243</ns0:f>
        <ns0:v>649690.8757064398</ns0:v>
      </ns0:c>
      <ns0:c r="Q243" s="16">
        <ns0:f>(F243+H243)*(1-'前提と出典'!$B$7)-J243-L243-N243</ns0:f>
        <ns0:v>165469.72857656723</ns0:v>
      </ns0:c>
      <ns0:c r="R243" s="16">
        <ns0:f>P243-E243*'前提と出典'!$E$4</ns0:f>
        <ns0:v>469446.1871100664</ns0:v>
      </ns0:c>
      <ns0:c r="S243" s="16">
        <ns0:f>Q243-F243*'前提と出典'!$E$4</ns0:f>
        <ns0:v>113095.2293904529</ns0:v>
      </ns0:c>
      <ns0:c r="T243" s="7">
        <ns0:f>R243+S243</ns0:f>
        <ns0:v>582541.4165005193</ns0:v>
      </ns0:c>
      <ns0:c r="U243" s="16">
        <ns0:f>P243-E243*'前提と出典'!$E$5</ns0:f>
        <ns0:v>409364.62424460857</ns0:v>
      </ns0:c>
      <ns0:c r="V243" s="16">
        <ns0:f>Q243-F243*'前提と出典'!$E$5</ns0:f>
        <ns0:v>95637.06299508142</ns0:v>
      </ns0:c>
      <ns0:c r="W243" s="7">
        <ns0:f>U243+V243</ns0:f>
        <ns0:v>505001.68723969</ns0:v>
      </ns0:c>
      <ns0:c r="X243" s="16">
        <ns0:f>P243-E243*'前提と出典'!$E$6</ns0:f>
        <ns0:v>349283.0613791507</ns0:v>
      </ns0:c>
      <ns0:c r="Y243" s="16">
        <ns0:f>Q243-F243*'前提と出典'!$E$6</ns0:f>
        <ns0:v>78178.89659970999</ns0:v>
      </ns0:c>
      <ns0:c r="Z243" s="7">
        <ns0:f>X243+Y243</ns0:f>
        <ns0:v>427461.9579788607</ns0:v>
      </ns0:c>
      <ns0:c r="AA243" s="7">
        <ns0:f>IF(T243&gt;=0,A243,1001)</ns0:f>
        <ns0:v>239</ns0:v>
      </ns0:c>
      <ns0:c r="AB243" s="7">
        <ns0:f>IF(T243&lt;0,A243,0)</ns0:f>
        <ns0:v>0</ns0:v>
      </ns0:c>
      <ns0:c r="AC243" s="16">
        <ns0:f>IF(AND(OR('前提と出典'!$C$36+'前提と出典'!$C$38=0,R243&gt;=0),OR('前提と出典'!$C$37+'前提と出典'!$C$38=0,S243&gt;=0)),0,A243)</ns0:f>
        <ns0:v>0</ns0:v>
      </ns0:c>
      <ns0:c r="AD243" s="7">
        <ns0:f>IF(W243&gt;=0,A243,1001)</ns0:f>
        <ns0:v>239</ns0:v>
      </ns0:c>
      <ns0:c r="AE243" s="7">
        <ns0:f>IF(W243&lt;0,A243,0)</ns0:f>
        <ns0:v>0</ns0:v>
      </ns0:c>
      <ns0:c r="AF243" s="16">
        <ns0:f>IF(AND(OR('前提と出典'!$C$36+'前提と出典'!$C$38=0,U243&gt;=0),OR('前提と出典'!$C$37+'前提と出典'!$C$38=0,V243&gt;=0)),0,A243)</ns0:f>
        <ns0:v>0</ns0:v>
      </ns0:c>
      <ns0:c r="AG243" s="7">
        <ns0:f>IF(Z243&gt;=0,A243,1001)</ns0:f>
        <ns0:v>239</ns0:v>
      </ns0:c>
      <ns0:c r="AH243" s="4">
        <ns0:f>IF(Z243&lt;0,A243,0)</ns0:f>
        <ns0:v>0</ns0:v>
      </ns0:c>
      <ns0:c r="AI243" s="12">
        <ns0:f>IF(AND(OR('前提と出典'!$C$36+'前提と出典'!$C$38=0,X243&gt;=0),OR('前提と出典'!$C$37+'前提と出典'!$C$38=0,Y243&gt;=0)),0,A243)</ns0:f>
        <ns0:v>0</ns0:v>
      </ns0:c>
    </ns0:row>
    <ns0:row r="244" ht="24" customHeight="1">
      <ns0:c r="A244" s="4" t="n">
        <ns0:v>240</ns0:v>
      </ns0:c>
      <ns0:c r="B244" s="12">
        <ns0:f>A244*('前提と出典'!$C$36+'前提と出典'!$C$38)</ns0:f>
        <ns0:v>168</ns0:v>
      </ns0:c>
      <ns0:c r="C244" s="12">
        <ns0:f>A244*('前提と出典'!$C$37+'前提と出典'!$C$38)</ns0:f>
        <ns0:v>144</ns0:v>
      </ns0:c>
      <ns0:c r="D244" s="16">
        <ns0:f>A244*('前提と出典'!$C$36*'契約別単価'!C5+'前提と出典'!$C$37*'契約別単価'!C6+'前提と出典'!$C$38*'契約別単価'!C7)</ns0:f>
        <ns0:v>1726.927374301676</ns0:v>
      </ns0:c>
      <ns0:c r="E244" s="16">
        <ns0:f>A244*('前提と出典'!$C$36*'契約別単価'!E5+'前提と出典'!$C$37*'契約別単価'!E6+'前提と出典'!$C$38*'契約別単価'!E7)</ns0:f>
        <ns0:v>603329.5015778192</ns0:v>
      </ns0:c>
      <ns0:c r="F244" s="16">
        <ns0:f>A244*('前提と出典'!$C$36*'契約別単価'!F5+'前提と出典'!$C$37*'契約別単価'!F6+'前提と出典'!$C$38*'契約別単価'!F7)</ns0:f>
        <ns0:v>175312.13116690997</ns0:v>
      </ns0:c>
      <ns0:c r="G244" s="16">
        <ns0:f>A244*('前提と出典'!$C$36*'契約別単価'!G5+'前提と出典'!$C$37*'契約別単価'!G6+'前提と出典'!$C$38*'契約別単価'!G7)</ns0:f>
        <ns0:v>477720.67039106146</ns0:v>
      </ns0:c>
      <ns0:c r="H244" s="16">
        <ns0:f>A244*('前提と出典'!$C$36*'契約別単価'!H5+'前提と出典'!$C$37*'契約別単価'!H6+'前提と出典'!$C$38*'契約別単価'!H7)</ns0:f>
        <ns0:v>165793.03220010665</ns0:v>
      </ns0:c>
      <ns0:c r="I244" s="16">
        <ns0:f>A244*('前提と出典'!$C$36*'契約別単価'!I5+'前提と出典'!$C$37*'契約別単価'!I6+'前提と出典'!$C$38*'契約別単価'!I7)</ns0:f>
        <ns0:v>10126.927374301675</ns0:v>
      </ns0:c>
      <ns0:c r="J244" s="16">
        <ns0:f>A244*('前提と出典'!$C$36*'契約別単価'!J5+'前提と出典'!$C$37*'契約別単価'!J6+'前提と出典'!$C$38*'契約別単価'!J7)</ns0:f>
        <ns0:v>23589.490490472617</ns0:v>
      </ns0:c>
      <ns0:c r="K244" s="16">
        <ns0:f>A244*('前提と出典'!$C$36*'契約別単価'!K5+'前提と出典'!$C$37*'契約別単価'!K6+'前提と出典'!$C$38*'契約別単価'!K7)</ns0:f>
        <ns0:v>101112.84916201116</ns0:v>
      </ns0:c>
      <ns0:c r="L244" s="16">
        <ns0:f>A244*('前提と出典'!$C$36*'契約別単価'!L5+'前提と出典'!$C$37*'契約別単価'!L6+'前提と出典'!$C$38*'契約別単価'!L7)</ns0:f>
        <ns0:v>82326.43440667022</ns0:v>
      </ns0:c>
      <ns0:c r="M244" s="16">
        <ns0:f>IF(('前提と出典'!$C$36+'前提と出典'!$C$38)=0,0,IF(B244&lt;=10,'前提と出典'!B73+'前提と出典'!C73,IF(B244&lt;=100,'前提と出典'!B74+'前提と出典'!C74,IF(B244&lt;=500,'前提と出典'!B75+'前提と出典'!C75,'前提と出典'!B76+'前提と出典'!C76))))</ns0:f>
        <ns0:v>40000</ns0:v>
      </ns0:c>
      <ns0:c r="N244" s="16">
        <ns0:f>IF(('前提と出典'!$C$37+'前提と出典'!$C$38)=0,0,IF(C244&lt;=10,'前提と出典'!D73+'前提と出典'!E73,IF(C244&lt;=100,'前提と出典'!D74+'前提と出典'!E74,IF(C244&lt;=500,'前提と出典'!D75+'前提と出典'!E75,'前提と出典'!D76+'前提と出典'!E76))))</ns0:f>
        <ns0:v>56510.9346263078</ns0:v>
      </ns0:c>
      <ns0:c r="O244" s="16">
        <ns0:f>IF('前提と出典'!$C$36+'前提と出典'!$C$38=0,0,'前提と出典'!$B$4*IF('前提と出典'!$B$20=0,MAX('前提と出典'!$B$6,D244*'前提と出典'!$B$5),'前提と出典'!$B$6+D244*'前提と出典'!$B$5))</ns0:f>
        <ns0:v>238315.9776536313</ns0:v>
      </ns0:c>
      <ns0:c r="P244" s="16">
        <ns0:f>(E244+G244)*(1-'前提と出典'!$B$7)-I244-K244-M244-O244</ns0:f>
        <ns0:v>652576.6115880568</ns0:v>
      </ns0:c>
      <ns0:c r="Q244" s="16">
        <ns0:f>(F244+H244)*(1-'前提と出典'!$B$7)-J244-L244-N244</ns0:f>
        <ns0:v>166398.51796235336</ns0:v>
      </ns0:c>
      <ns0:c r="R244" s="16">
        <ns0:f>P244-E244*'前提と出典'!$E$4</ns0:f>
        <ns0:v>471577.761114711</ns0:v>
      </ns0:c>
      <ns0:c r="S244" s="16">
        <ns0:f>Q244-F244*'前提と出典'!$E$4</ns0:f>
        <ns0:v>113804.87861228033</ns0:v>
      </ns0:c>
      <ns0:c r="T244" s="7">
        <ns0:f>R244+S244</ns0:f>
        <ns0:v>585382.6397269913</ns0:v>
      </ns0:c>
      <ns0:c r="U244" s="16">
        <ns0:f>P244-E244*'前提と出典'!$E$5</ns0:f>
        <ns0:v>411244.81095692905</ns0:v>
      </ns0:c>
      <ns0:c r="V244" s="16">
        <ns0:f>Q244-F244*'前提と出典'!$E$5</ns0:f>
        <ns0:v>96273.66549558938</ns0:v>
      </ns0:c>
      <ns0:c r="W244" s="7">
        <ns0:f>U244+V244</ns0:f>
        <ns0:v>507518.47645251843</ns0:v>
      </ns0:c>
      <ns0:c r="X244" s="16">
        <ns0:f>P244-E244*'前提と出典'!$E$6</ns0:f>
        <ns0:v>350911.8607991471</ns0:v>
      </ns0:c>
      <ns0:c r="Y244" s="16">
        <ns0:f>Q244-F244*'前提と出典'!$E$6</ns0:f>
        <ns0:v>78742.4523788984</ns0:v>
      </ns0:c>
      <ns0:c r="Z244" s="7">
        <ns0:f>X244+Y244</ns0:f>
        <ns0:v>429654.3131780455</ns0:v>
      </ns0:c>
      <ns0:c r="AA244" s="7">
        <ns0:f>IF(T244&gt;=0,A244,1001)</ns0:f>
        <ns0:v>240</ns0:v>
      </ns0:c>
      <ns0:c r="AB244" s="7">
        <ns0:f>IF(T244&lt;0,A244,0)</ns0:f>
        <ns0:v>0</ns0:v>
      </ns0:c>
      <ns0:c r="AC244" s="16">
        <ns0:f>IF(AND(OR('前提と出典'!$C$36+'前提と出典'!$C$38=0,R244&gt;=0),OR('前提と出典'!$C$37+'前提と出典'!$C$38=0,S244&gt;=0)),0,A244)</ns0:f>
        <ns0:v>0</ns0:v>
      </ns0:c>
      <ns0:c r="AD244" s="7">
        <ns0:f>IF(W244&gt;=0,A244,1001)</ns0:f>
        <ns0:v>240</ns0:v>
      </ns0:c>
      <ns0:c r="AE244" s="7">
        <ns0:f>IF(W244&lt;0,A244,0)</ns0:f>
        <ns0:v>0</ns0:v>
      </ns0:c>
      <ns0:c r="AF244" s="16">
        <ns0:f>IF(AND(OR('前提と出典'!$C$36+'前提と出典'!$C$38=0,U244&gt;=0),OR('前提と出典'!$C$37+'前提と出典'!$C$38=0,V244&gt;=0)),0,A244)</ns0:f>
        <ns0:v>0</ns0:v>
      </ns0:c>
      <ns0:c r="AG244" s="7">
        <ns0:f>IF(Z244&gt;=0,A244,1001)</ns0:f>
        <ns0:v>240</ns0:v>
      </ns0:c>
      <ns0:c r="AH244" s="4">
        <ns0:f>IF(Z244&lt;0,A244,0)</ns0:f>
        <ns0:v>0</ns0:v>
      </ns0:c>
      <ns0:c r="AI244" s="12">
        <ns0:f>IF(AND(OR('前提と出典'!$C$36+'前提と出典'!$C$38=0,X244&gt;=0),OR('前提と出典'!$C$37+'前提と出典'!$C$38=0,Y244&gt;=0)),0,A244)</ns0:f>
        <ns0:v>0</ns0:v>
      </ns0:c>
    </ns0:row>
    <ns0:row r="245" ht="24" customHeight="1">
      <ns0:c r="A245" s="4" t="n">
        <ns0:v>241</ns0:v>
      </ns0:c>
      <ns0:c r="B245" s="12">
        <ns0:f>A245*('前提と出典'!$C$36+'前提と出典'!$C$38)</ns0:f>
        <ns0:v>168.7</ns0:v>
      </ns0:c>
      <ns0:c r="C245" s="12">
        <ns0:f>A245*('前提と出典'!$C$37+'前提と出典'!$C$38)</ns0:f>
        <ns0:v>144.6</ns0:v>
      </ns0:c>
      <ns0:c r="D245" s="16">
        <ns0:f>A245*('前提と出典'!$C$36*'契約別単価'!C5+'前提と出典'!$C$37*'契約別単価'!C6+'前提と出典'!$C$38*'契約別単価'!C7)</ns0:f>
        <ns0:v>1734.122905027933</ns0:v>
      </ns0:c>
      <ns0:c r="E245" s="16">
        <ns0:f>A245*('前提と出典'!$C$36*'契約別単価'!E5+'前提と出典'!$C$37*'契約別単価'!E6+'前提と出典'!$C$38*'契約別単価'!E7)</ns0:f>
        <ns0:v>605843.3745010601</ns0:v>
      </ns0:c>
      <ns0:c r="F245" s="16">
        <ns0:f>A245*('前提と出典'!$C$36*'契約別単価'!F5+'前提と出典'!$C$37*'契約別単価'!F6+'前提と出典'!$C$38*'契約別単価'!F7)</ns0:f>
        <ns0:v>176042.59838010542</ns0:v>
      </ns0:c>
      <ns0:c r="G245" s="16">
        <ns0:f>A245*('前提と出典'!$C$36*'契約別単価'!G5+'前提と出典'!$C$37*'契約別単価'!G6+'前提と出典'!$C$38*'契約別単価'!G7)</ns0:f>
        <ns0:v>479711.1731843575</ns0:v>
      </ns0:c>
      <ns0:c r="H245" s="16">
        <ns0:f>A245*('前提と出典'!$C$36*'契約別単価'!H5+'前提と出典'!$C$37*'契約別単価'!H6+'前提と出典'!$C$38*'契約別単価'!H7)</ns0:f>
        <ns0:v>166483.83650094044</ns0:v>
      </ns0:c>
      <ns0:c r="I245" s="16">
        <ns0:f>A245*('前提と出典'!$C$36*'契約別単価'!I5+'前提と出典'!$C$37*'契約別単価'!I6+'前提と出典'!$C$38*'契約別単価'!I7)</ns0:f>
        <ns0:v>10169.12290502793</ns0:v>
      </ns0:c>
      <ns0:c r="J245" s="16">
        <ns0:f>A245*('前提と出典'!$C$36*'契約別単価'!J5+'前提と出典'!$C$37*'契約別単価'!J6+'前提と出典'!$C$38*'契約別単価'!J7)</ns0:f>
        <ns0:v>23687.780034182917</ns0:v>
      </ns0:c>
      <ns0:c r="K245" s="16">
        <ns0:f>A245*('前提と出典'!$C$36*'契約別単価'!K5+'前提と出典'!$C$37*'契約別単価'!K6+'前提と出典'!$C$38*'契約別単価'!K7)</ns0:f>
        <ns0:v>101534.15270018621</ns0:v>
      </ns0:c>
      <ns0:c r="L245" s="16">
        <ns0:f>A245*('前提と出典'!$C$36*'契約別単価'!L5+'前提と出典'!$C$37*'契約別単価'!L6+'前提と出典'!$C$38*'契約別単価'!L7)</ns0:f>
        <ns0:v>82669.46121669801</ns0:v>
      </ns0:c>
      <ns0:c r="M245" s="16">
        <ns0:f>IF(('前提と出典'!$C$36+'前提と出典'!$C$38)=0,0,IF(B245&lt;=10,'前提と出典'!B73+'前提と出典'!C73,IF(B245&lt;=100,'前提と出典'!B74+'前提と出典'!C74,IF(B245&lt;=500,'前提と出典'!B75+'前提と出典'!C75,'前提と出典'!B76+'前提と出典'!C76))))</ns0:f>
        <ns0:v>40000</ns0:v>
      </ns0:c>
      <ns0:c r="N245" s="16">
        <ns0:f>IF(('前提と出典'!$C$37+'前提と出典'!$C$38)=0,0,IF(C245&lt;=10,'前提と出典'!D73+'前提と出典'!E73,IF(C245&lt;=100,'前提と出典'!D74+'前提と出典'!E74,IF(C245&lt;=500,'前提と出典'!D75+'前提と出典'!E75,'前提と出典'!D76+'前提と出典'!E76))))</ns0:f>
        <ns0:v>56510.9346263078</ns0:v>
      </ns0:c>
      <ns0:c r="O245" s="16">
        <ns0:f>IF('前提と出典'!$C$36+'前提と出典'!$C$38=0,0,'前提と出典'!$B$4*IF('前提と出典'!$B$20=0,MAX('前提と出典'!$B$6,D245*'前提と出典'!$B$5),'前提と出典'!$B$6+D245*'前提と出典'!$B$5))</ns0:f>
        <ns0:v>239308.9608938548</ns0:v>
      </ns0:c>
      <ns0:c r="P245" s="16">
        <ns0:f>(E245+G245)*(1-'前提と出典'!$B$7)-I245-K245-M245-O245</ns0:f>
        <ns0:v>655462.3474696735</ns0:v>
      </ns0:c>
      <ns0:c r="Q245" s="16">
        <ns0:f>(F245+H245)*(1-'前提と出典'!$B$7)-J245-L245-N245</ns0:f>
        <ns0:v>167327.30734813947</ns0:v>
      </ns0:c>
      <ns0:c r="R245" s="16">
        <ns0:f>P245-E245*'前提と出典'!$E$4</ns0:f>
        <ns0:v>473709.3351193555</ns0:v>
      </ns0:c>
      <ns0:c r="S245" s="16">
        <ns0:f>Q245-F245*'前提と出典'!$E$4</ns0:f>
        <ns0:v>114514.52783410787</ns0:v>
      </ns0:c>
      <ns0:c r="T245" s="7">
        <ns0:f>R245+S245</ns0:f>
        <ns0:v>588223.8629534633</ns0:v>
      </ns0:c>
      <ns0:c r="U245" s="16">
        <ns0:f>P245-E245*'前提と出典'!$E$5</ns0:f>
        <ns0:v>413124.9976692495</ns0:v>
      </ns0:c>
      <ns0:c r="V245" s="16">
        <ns0:f>Q245-F245*'前提と出典'!$E$5</ns0:f>
        <ns0:v>96910.26799609727</ns0:v>
      </ns0:c>
      <ns0:c r="W245" s="7">
        <ns0:f>U245+V245</ns0:f>
        <ns0:v>510035.26566534676</ns0:v>
      </ns0:c>
      <ns0:c r="X245" s="16">
        <ns0:f>P245-E245*'前提と出典'!$E$6</ns0:f>
        <ns0:v>352540.66021914344</ns0:v>
      </ns0:c>
      <ns0:c r="Y245" s="16">
        <ns0:f>Q245-F245*'前提と出典'!$E$6</ns0:f>
        <ns0:v>79306.00815808674</ns0:v>
      </ns0:c>
      <ns0:c r="Z245" s="7">
        <ns0:f>X245+Y245</ns0:f>
        <ns0:v>431846.6683772302</ns0:v>
      </ns0:c>
      <ns0:c r="AA245" s="7">
        <ns0:f>IF(T245&gt;=0,A245,1001)</ns0:f>
        <ns0:v>241</ns0:v>
      </ns0:c>
      <ns0:c r="AB245" s="7">
        <ns0:f>IF(T245&lt;0,A245,0)</ns0:f>
        <ns0:v>0</ns0:v>
      </ns0:c>
      <ns0:c r="AC245" s="16">
        <ns0:f>IF(AND(OR('前提と出典'!$C$36+'前提と出典'!$C$38=0,R245&gt;=0),OR('前提と出典'!$C$37+'前提と出典'!$C$38=0,S245&gt;=0)),0,A245)</ns0:f>
        <ns0:v>0</ns0:v>
      </ns0:c>
      <ns0:c r="AD245" s="7">
        <ns0:f>IF(W245&gt;=0,A245,1001)</ns0:f>
        <ns0:v>241</ns0:v>
      </ns0:c>
      <ns0:c r="AE245" s="7">
        <ns0:f>IF(W245&lt;0,A245,0)</ns0:f>
        <ns0:v>0</ns0:v>
      </ns0:c>
      <ns0:c r="AF245" s="16">
        <ns0:f>IF(AND(OR('前提と出典'!$C$36+'前提と出典'!$C$38=0,U245&gt;=0),OR('前提と出典'!$C$37+'前提と出典'!$C$38=0,V245&gt;=0)),0,A245)</ns0:f>
        <ns0:v>0</ns0:v>
      </ns0:c>
      <ns0:c r="AG245" s="7">
        <ns0:f>IF(Z245&gt;=0,A245,1001)</ns0:f>
        <ns0:v>241</ns0:v>
      </ns0:c>
      <ns0:c r="AH245" s="4">
        <ns0:f>IF(Z245&lt;0,A245,0)</ns0:f>
        <ns0:v>0</ns0:v>
      </ns0:c>
      <ns0:c r="AI245" s="12">
        <ns0:f>IF(AND(OR('前提と出典'!$C$36+'前提と出典'!$C$38=0,X245&gt;=0),OR('前提と出典'!$C$37+'前提と出典'!$C$38=0,Y245&gt;=0)),0,A245)</ns0:f>
        <ns0:v>0</ns0:v>
      </ns0:c>
    </ns0:row>
    <ns0:row r="246" ht="24" customHeight="1">
      <ns0:c r="A246" s="4" t="n">
        <ns0:v>242</ns0:v>
      </ns0:c>
      <ns0:c r="B246" s="12">
        <ns0:f>A246*('前提と出典'!$C$36+'前提と出典'!$C$38)</ns0:f>
        <ns0:v>169.39999999999998</ns0:v>
      </ns0:c>
      <ns0:c r="C246" s="12">
        <ns0:f>A246*('前提と出典'!$C$37+'前提と出典'!$C$38)</ns0:f>
        <ns0:v>145.2</ns0:v>
      </ns0:c>
      <ns0:c r="D246" s="16">
        <ns0:f>A246*('前提と出典'!$C$36*'契約別単価'!C5+'前提と出典'!$C$37*'契約別単価'!C6+'前提と出典'!$C$38*'契約別単価'!C7)</ns0:f>
        <ns0:v>1741.31843575419</ns0:v>
      </ns0:c>
      <ns0:c r="E246" s="16">
        <ns0:f>A246*('前提と出典'!$C$36*'契約別単価'!E5+'前提と出典'!$C$37*'契約別単価'!E6+'前提と出典'!$C$38*'契約別単価'!E7)</ns0:f>
        <ns0:v>608357.247424301</ns0:v>
      </ns0:c>
      <ns0:c r="F246" s="16">
        <ns0:f>A246*('前提と出典'!$C$36*'契約別単価'!F5+'前提と出典'!$C$37*'契約別単価'!F6+'前提と出典'!$C$38*'契約別単価'!F7)</ns0:f>
        <ns0:v>176773.06559330088</ns0:v>
      </ns0:c>
      <ns0:c r="G246" s="16">
        <ns0:f>A246*('前提と出典'!$C$36*'契約別単価'!G5+'前提と出典'!$C$37*'契約別単価'!G6+'前提と出典'!$C$38*'契約別単価'!G7)</ns0:f>
        <ns0:v>481701.6759776536</ns0:v>
      </ns0:c>
      <ns0:c r="H246" s="16">
        <ns0:f>A246*('前提と出典'!$C$36*'契約別単価'!H5+'前提と出典'!$C$37*'契約別単価'!H6+'前提と出典'!$C$38*'契約別単価'!H7)</ns0:f>
        <ns0:v>167174.6408017742</ns0:v>
      </ns0:c>
      <ns0:c r="I246" s="16">
        <ns0:f>A246*('前提と出典'!$C$36*'契約別単価'!I5+'前提と出典'!$C$37*'契約別単価'!I6+'前提と出典'!$C$38*'契約別単価'!I7)</ns0:f>
        <ns0:v>10211.318435754189</ns0:v>
      </ns0:c>
      <ns0:c r="J246" s="16">
        <ns0:f>A246*('前提と出典'!$C$36*'契約別単価'!J5+'前提と出典'!$C$37*'契約別単価'!J6+'前提と出典'!$C$38*'契約別単価'!J7)</ns0:f>
        <ns0:v>23786.06957789322</ns0:v>
      </ns0:c>
      <ns0:c r="K246" s="16">
        <ns0:f>A246*('前提と出典'!$C$36*'契約別単価'!K5+'前提と出典'!$C$37*'契約別単価'!K6+'前提と出典'!$C$38*'契約別単価'!K7)</ns0:f>
        <ns0:v>101955.45623836126</ns0:v>
      </ns0:c>
      <ns0:c r="L246" s="16">
        <ns0:f>A246*('前提と出典'!$C$36*'契約別単価'!L5+'前提と出典'!$C$37*'契約別単価'!L6+'前提と出典'!$C$38*'契約別単価'!L7)</ns0:f>
        <ns0:v>83012.4880267258</ns0:v>
      </ns0:c>
      <ns0:c r="M246" s="16">
        <ns0:f>IF(('前提と出典'!$C$36+'前提と出典'!$C$38)=0,0,IF(B246&lt;=10,'前提と出典'!B73+'前提と出典'!C73,IF(B246&lt;=100,'前提と出典'!B74+'前提と出典'!C74,IF(B246&lt;=500,'前提と出典'!B75+'前提と出典'!C75,'前提と出典'!B76+'前提と出典'!C76))))</ns0:f>
        <ns0:v>40000</ns0:v>
      </ns0:c>
      <ns0:c r="N246" s="16">
        <ns0:f>IF(('前提と出典'!$C$37+'前提と出典'!$C$38)=0,0,IF(C246&lt;=10,'前提と出典'!D73+'前提と出典'!E73,IF(C246&lt;=100,'前提と出典'!D74+'前提と出典'!E74,IF(C246&lt;=500,'前提と出典'!D75+'前提と出典'!E75,'前提と出典'!D76+'前提と出典'!E76))))</ns0:f>
        <ns0:v>56510.9346263078</ns0:v>
      </ns0:c>
      <ns0:c r="O246" s="16">
        <ns0:f>IF('前提と出典'!$C$36+'前提と出典'!$C$38=0,0,'前提と出典'!$B$4*IF('前提と出典'!$B$20=0,MAX('前提と出典'!$B$6,D246*'前提と出典'!$B$5),'前提と出典'!$B$6+D246*'前提と出典'!$B$5))</ns0:f>
        <ns0:v>240301.94413407822</ns0:v>
      </ns0:c>
      <ns0:c r="P246" s="16">
        <ns0:f>(E246+G246)*(1-'前提と出典'!$B$7)-I246-K246-M246-O246</ns0:f>
        <ns0:v>658348.0833512906</ns0:v>
      </ns0:c>
      <ns0:c r="Q246" s="16">
        <ns0:f>(F246+H246)*(1-'前提と出典'!$B$7)-J246-L246-N246</ns0:f>
        <ns0:v>168256.09673392557</ns0:v>
      </ns0:c>
      <ns0:c r="R246" s="16">
        <ns0:f>P246-E246*'前提と出典'!$E$4</ns0:f>
        <ns0:v>475840.90912400023</ns0:v>
      </ns0:c>
      <ns0:c r="S246" s="16">
        <ns0:f>Q246-F246*'前提と出典'!$E$4</ns0:f>
        <ns0:v>115224.17705593532</ns0:v>
      </ns0:c>
      <ns0:c r="T246" s="7">
        <ns0:f>R246+S246</ns0:f>
        <ns0:v>591065.0861799356</ns0:v>
      </ns0:c>
      <ns0:c r="U246" s="16">
        <ns0:f>P246-E246*'前提と出典'!$E$5</ns0:f>
        <ns0:v>415005.1843815702</ns0:v>
      </ns0:c>
      <ns0:c r="V246" s="16">
        <ns0:f>Q246-F246*'前提と出典'!$E$5</ns0:f>
        <ns0:v>97546.87049660523</ns0:v>
      </ns0:c>
      <ns0:c r="W246" s="7">
        <ns0:f>U246+V246</ns0:f>
        <ns0:v>512552.05487817543</ns0:v>
      </ns0:c>
      <ns0:c r="X246" s="16">
        <ns0:f>P246-E246*'前提と出典'!$E$6</ns0:f>
        <ns0:v>354169.45963914006</ns0:v>
      </ns0:c>
      <ns0:c r="Y246" s="16">
        <ns0:f>Q246-F246*'前提と出典'!$E$6</ns0:f>
        <ns0:v>79869.56393727515</ns0:v>
      </ns0:c>
      <ns0:c r="Z246" s="7">
        <ns0:f>X246+Y246</ns0:f>
        <ns0:v>434039.0235764152</ns0:v>
      </ns0:c>
      <ns0:c r="AA246" s="7">
        <ns0:f>IF(T246&gt;=0,A246,1001)</ns0:f>
        <ns0:v>242</ns0:v>
      </ns0:c>
      <ns0:c r="AB246" s="7">
        <ns0:f>IF(T246&lt;0,A246,0)</ns0:f>
        <ns0:v>0</ns0:v>
      </ns0:c>
      <ns0:c r="AC246" s="16">
        <ns0:f>IF(AND(OR('前提と出典'!$C$36+'前提と出典'!$C$38=0,R246&gt;=0),OR('前提と出典'!$C$37+'前提と出典'!$C$38=0,S246&gt;=0)),0,A246)</ns0:f>
        <ns0:v>0</ns0:v>
      </ns0:c>
      <ns0:c r="AD246" s="7">
        <ns0:f>IF(W246&gt;=0,A246,1001)</ns0:f>
        <ns0:v>242</ns0:v>
      </ns0:c>
      <ns0:c r="AE246" s="7">
        <ns0:f>IF(W246&lt;0,A246,0)</ns0:f>
        <ns0:v>0</ns0:v>
      </ns0:c>
      <ns0:c r="AF246" s="16">
        <ns0:f>IF(AND(OR('前提と出典'!$C$36+'前提と出典'!$C$38=0,U246&gt;=0),OR('前提と出典'!$C$37+'前提と出典'!$C$38=0,V246&gt;=0)),0,A246)</ns0:f>
        <ns0:v>0</ns0:v>
      </ns0:c>
      <ns0:c r="AG246" s="7">
        <ns0:f>IF(Z246&gt;=0,A246,1001)</ns0:f>
        <ns0:v>242</ns0:v>
      </ns0:c>
      <ns0:c r="AH246" s="4">
        <ns0:f>IF(Z246&lt;0,A246,0)</ns0:f>
        <ns0:v>0</ns0:v>
      </ns0:c>
      <ns0:c r="AI246" s="12">
        <ns0:f>IF(AND(OR('前提と出典'!$C$36+'前提と出典'!$C$38=0,X246&gt;=0),OR('前提と出典'!$C$37+'前提と出典'!$C$38=0,Y246&gt;=0)),0,A246)</ns0:f>
        <ns0:v>0</ns0:v>
      </ns0:c>
    </ns0:row>
    <ns0:row r="247" ht="24" customHeight="1">
      <ns0:c r="A247" s="4" t="n">
        <ns0:v>243</ns0:v>
      </ns0:c>
      <ns0:c r="B247" s="12">
        <ns0:f>A247*('前提と出典'!$C$36+'前提と出典'!$C$38)</ns0:f>
        <ns0:v>170.1</ns0:v>
      </ns0:c>
      <ns0:c r="C247" s="12">
        <ns0:f>A247*('前提と出典'!$C$37+'前提と出典'!$C$38)</ns0:f>
        <ns0:v>145.79999999999998</ns0:v>
      </ns0:c>
      <ns0:c r="D247" s="16">
        <ns0:f>A247*('前提と出典'!$C$36*'契約別単価'!C5+'前提と出典'!$C$37*'契約別単価'!C6+'前提と出典'!$C$38*'契約別単価'!C7)</ns0:f>
        <ns0:v>1748.513966480447</ns0:v>
      </ns0:c>
      <ns0:c r="E247" s="16">
        <ns0:f>A247*('前提と出典'!$C$36*'契約別単価'!E5+'前提と出典'!$C$37*'契約別単価'!E6+'前提と出典'!$C$38*'契約別単価'!E7)</ns0:f>
        <ns0:v>610871.1203475419</ns0:v>
      </ns0:c>
      <ns0:c r="F247" s="16">
        <ns0:f>A247*('前提と出典'!$C$36*'契約別単価'!F5+'前提と出典'!$C$37*'契約別単価'!F6+'前提と出典'!$C$38*'契約別単価'!F7)</ns0:f>
        <ns0:v>177503.53280649634</ns0:v>
      </ns0:c>
      <ns0:c r="G247" s="16">
        <ns0:f>A247*('前提と出典'!$C$36*'契約別単価'!G5+'前提と出典'!$C$37*'契約別単価'!G6+'前提と出典'!$C$38*'契約別単価'!G7)</ns0:f>
        <ns0:v>483692.1787709497</ns0:v>
      </ns0:c>
      <ns0:c r="H247" s="16">
        <ns0:f>A247*('前提と出典'!$C$36*'契約別単価'!H5+'前提と出典'!$C$37*'契約別単価'!H6+'前提と出典'!$C$38*'契約別単価'!H7)</ns0:f>
        <ns0:v>167865.44510260798</ns0:v>
      </ns0:c>
      <ns0:c r="I247" s="16">
        <ns0:f>A247*('前提と出典'!$C$36*'契約別単価'!I5+'前提と出典'!$C$37*'契約別単価'!I6+'前提と出典'!$C$38*'契約別単価'!I7)</ns0:f>
        <ns0:v>10253.513966480445</ns0:v>
      </ns0:c>
      <ns0:c r="J247" s="16">
        <ns0:f>A247*('前提と出典'!$C$36*'契約別単価'!J5+'前提と出典'!$C$37*'契約別単価'!J6+'前提と出典'!$C$38*'契約別単価'!J7)</ns0:f>
        <ns0:v>23884.359121603524</ns0:v>
      </ns0:c>
      <ns0:c r="K247" s="16">
        <ns0:f>A247*('前提と出典'!$C$36*'契約別単価'!K5+'前提と出典'!$C$37*'契約別単価'!K6+'前提と出典'!$C$38*'契約別単価'!K7)</ns0:f>
        <ns0:v>102376.7597765363</ns0:v>
      </ns0:c>
      <ns0:c r="L247" s="16">
        <ns0:f>A247*('前提と出典'!$C$36*'契約別単価'!L5+'前提と出典'!$C$37*'契約別単価'!L6+'前提と出典'!$C$38*'契約別単価'!L7)</ns0:f>
        <ns0:v>83355.5148367536</ns0:v>
      </ns0:c>
      <ns0:c r="M247" s="16">
        <ns0:f>IF(('前提と出典'!$C$36+'前提と出典'!$C$38)=0,0,IF(B247&lt;=10,'前提と出典'!B73+'前提と出典'!C73,IF(B247&lt;=100,'前提と出典'!B74+'前提と出典'!C74,IF(B247&lt;=500,'前提と出典'!B75+'前提と出典'!C75,'前提と出典'!B76+'前提と出典'!C76))))</ns0:f>
        <ns0:v>40000</ns0:v>
      </ns0:c>
      <ns0:c r="N247" s="16">
        <ns0:f>IF(('前提と出典'!$C$37+'前提と出典'!$C$38)=0,0,IF(C247&lt;=10,'前提と出典'!D73+'前提と出典'!E73,IF(C247&lt;=100,'前提と出典'!D74+'前提と出典'!E74,IF(C247&lt;=500,'前提と出典'!D75+'前提と出典'!E75,'前提と出典'!D76+'前提と出典'!E76))))</ns0:f>
        <ns0:v>56510.9346263078</ns0:v>
      </ns0:c>
      <ns0:c r="O247" s="16">
        <ns0:f>IF('前提と出典'!$C$36+'前提と出典'!$C$38=0,0,'前提と出典'!$B$4*IF('前提と出典'!$B$20=0,MAX('前提と出典'!$B$6,D247*'前提と出典'!$B$5),'前提と出典'!$B$6+D247*'前提と出典'!$B$5))</ns0:f>
        <ns0:v>241294.9273743017</ns0:v>
      </ns0:c>
      <ns0:c r="P247" s="16">
        <ns0:f>(E247+G247)*(1-'前提と出典'!$B$7)-I247-K247-M247-O247</ns0:f>
        <ns0:v>661233.8192329075</ns0:v>
      </ns0:c>
      <ns0:c r="Q247" s="16">
        <ns0:f>(F247+H247)*(1-'前提と出典'!$B$7)-J247-L247-N247</ns0:f>
        <ns0:v>169184.88611971162</ns0:v>
      </ns0:c>
      <ns0:c r="R247" s="16">
        <ns0:f>P247-E247*'前提と出典'!$E$4</ns0:f>
        <ns0:v>477972.4831286449</ns0:v>
      </ns0:c>
      <ns0:c r="S247" s="16">
        <ns0:f>Q247-F247*'前提と出典'!$E$4</ns0:f>
        <ns0:v>115933.82627776274</ns0:v>
      </ns0:c>
      <ns0:c r="T247" s="7">
        <ns0:f>R247+S247</ns0:f>
        <ns0:v>593906.3094064076</ns0:v>
      </ns0:c>
      <ns0:c r="U247" s="16">
        <ns0:f>P247-E247*'前提と出典'!$E$5</ns0:f>
        <ns0:v>416885.37109389075</ns0:v>
      </ns0:c>
      <ns0:c r="V247" s="16">
        <ns0:f>Q247-F247*'前提と出典'!$E$5</ns0:f>
        <ns0:v>98183.4729971131</ns0:v>
      </ns0:c>
      <ns0:c r="W247" s="7">
        <ns0:f>U247+V247</ns0:f>
        <ns0:v>515068.8440910039</ns0:v>
      </ns0:c>
      <ns0:c r="X247" s="16">
        <ns0:f>P247-E247*'前提と出典'!$E$6</ns0:f>
        <ns0:v>355798.2590591366</ns0:v>
      </ns0:c>
      <ns0:c r="Y247" s="16">
        <ns0:f>Q247-F247*'前提と出典'!$E$6</ns0:f>
        <ns0:v>80433.11971646347</ns0:v>
      </ns0:c>
      <ns0:c r="Z247" s="7">
        <ns0:f>X247+Y247</ns0:f>
        <ns0:v>436231.3787756001</ns0:v>
      </ns0:c>
      <ns0:c r="AA247" s="7">
        <ns0:f>IF(T247&gt;=0,A247,1001)</ns0:f>
        <ns0:v>243</ns0:v>
      </ns0:c>
      <ns0:c r="AB247" s="7">
        <ns0:f>IF(T247&lt;0,A247,0)</ns0:f>
        <ns0:v>0</ns0:v>
      </ns0:c>
      <ns0:c r="AC247" s="16">
        <ns0:f>IF(AND(OR('前提と出典'!$C$36+'前提と出典'!$C$38=0,R247&gt;=0),OR('前提と出典'!$C$37+'前提と出典'!$C$38=0,S247&gt;=0)),0,A247)</ns0:f>
        <ns0:v>0</ns0:v>
      </ns0:c>
      <ns0:c r="AD247" s="7">
        <ns0:f>IF(W247&gt;=0,A247,1001)</ns0:f>
        <ns0:v>243</ns0:v>
      </ns0:c>
      <ns0:c r="AE247" s="7">
        <ns0:f>IF(W247&lt;0,A247,0)</ns0:f>
        <ns0:v>0</ns0:v>
      </ns0:c>
      <ns0:c r="AF247" s="16">
        <ns0:f>IF(AND(OR('前提と出典'!$C$36+'前提と出典'!$C$38=0,U247&gt;=0),OR('前提と出典'!$C$37+'前提と出典'!$C$38=0,V247&gt;=0)),0,A247)</ns0:f>
        <ns0:v>0</ns0:v>
      </ns0:c>
      <ns0:c r="AG247" s="7">
        <ns0:f>IF(Z247&gt;=0,A247,1001)</ns0:f>
        <ns0:v>243</ns0:v>
      </ns0:c>
      <ns0:c r="AH247" s="4">
        <ns0:f>IF(Z247&lt;0,A247,0)</ns0:f>
        <ns0:v>0</ns0:v>
      </ns0:c>
      <ns0:c r="AI247" s="12">
        <ns0:f>IF(AND(OR('前提と出典'!$C$36+'前提と出典'!$C$38=0,X247&gt;=0),OR('前提と出典'!$C$37+'前提と出典'!$C$38=0,Y247&gt;=0)),0,A247)</ns0:f>
        <ns0:v>0</ns0:v>
      </ns0:c>
    </ns0:row>
    <ns0:row r="248" ht="24" customHeight="1">
      <ns0:c r="A248" s="4" t="n">
        <ns0:v>244</ns0:v>
      </ns0:c>
      <ns0:c r="B248" s="12">
        <ns0:f>A248*('前提と出典'!$C$36+'前提と出典'!$C$38)</ns0:f>
        <ns0:v>170.79999999999998</ns0:v>
      </ns0:c>
      <ns0:c r="C248" s="12">
        <ns0:f>A248*('前提と出典'!$C$37+'前提と出典'!$C$38)</ns0:f>
        <ns0:v>146.4</ns0:v>
      </ns0:c>
      <ns0:c r="D248" s="16">
        <ns0:f>A248*('前提と出典'!$C$36*'契約別単価'!C5+'前提と出典'!$C$37*'契約別単価'!C6+'前提と出典'!$C$38*'契約別単価'!C7)</ns0:f>
        <ns0:v>1755.7094972067039</ns0:v>
      </ns0:c>
      <ns0:c r="E248" s="16">
        <ns0:f>A248*('前提と出典'!$C$36*'契約別単価'!E5+'前提と出典'!$C$37*'契約別単価'!E6+'前提と出典'!$C$38*'契約別単価'!E7)</ns0:f>
        <ns0:v>613384.9932707829</ns0:v>
      </ns0:c>
      <ns0:c r="F248" s="16">
        <ns0:f>A248*('前提と出典'!$C$36*'契約別単価'!F5+'前提と出典'!$C$37*'契約別単価'!F6+'前提と出典'!$C$38*'契約別単価'!F7)</ns0:f>
        <ns0:v>178234.0000196918</ns0:v>
      </ns0:c>
      <ns0:c r="G248" s="16">
        <ns0:f>A248*('前提と出典'!$C$36*'契約別単価'!G5+'前提と出典'!$C$37*'契約別単価'!G6+'前提と出典'!$C$38*'契約別単価'!G7)</ns0:f>
        <ns0:v>485682.6815642458</ns0:v>
      </ns0:c>
      <ns0:c r="H248" s="16">
        <ns0:f>A248*('前提と出典'!$C$36*'契約別単価'!H5+'前提と出典'!$C$37*'契約別単価'!H6+'前提と出典'!$C$38*'契約別単価'!H7)</ns0:f>
        <ns0:v>168556.24940344176</ns0:v>
      </ns0:c>
      <ns0:c r="I248" s="16">
        <ns0:f>A248*('前提と出典'!$C$36*'契約別単価'!I5+'前提と出典'!$C$37*'契約別単価'!I6+'前提と出典'!$C$38*'契約別単価'!I7)</ns0:f>
        <ns0:v>10295.709497206703</ns0:v>
      </ns0:c>
      <ns0:c r="J248" s="16">
        <ns0:f>A248*('前提と出典'!$C$36*'契約別単価'!J5+'前提と出典'!$C$37*'契約別単価'!J6+'前提と出典'!$C$38*'契約別単価'!J7)</ns0:f>
        <ns0:v>23982.648665313827</ns0:v>
      </ns0:c>
      <ns0:c r="K248" s="16">
        <ns0:f>A248*('前提と出典'!$C$36*'契約別単価'!K5+'前提と出典'!$C$37*'契約別単価'!K6+'前提と出典'!$C$38*'契約別単価'!K7)</ns0:f>
        <ns0:v>102798.06331471135</ns0:v>
      </ns0:c>
      <ns0:c r="L248" s="16">
        <ns0:f>A248*('前提と出典'!$C$36*'契約別単価'!L5+'前提と出典'!$C$37*'契約別単価'!L6+'前提と出典'!$C$38*'契約別単価'!L7)</ns0:f>
        <ns0:v>83698.54164678139</ns0:v>
      </ns0:c>
      <ns0:c r="M248" s="16">
        <ns0:f>IF(('前提と出典'!$C$36+'前提と出典'!$C$38)=0,0,IF(B248&lt;=10,'前提と出典'!B73+'前提と出典'!C73,IF(B248&lt;=100,'前提と出典'!B74+'前提と出典'!C74,IF(B248&lt;=500,'前提と出典'!B75+'前提と出典'!C75,'前提と出典'!B76+'前提と出典'!C76))))</ns0:f>
        <ns0:v>40000</ns0:v>
      </ns0:c>
      <ns0:c r="N248" s="16">
        <ns0:f>IF(('前提と出典'!$C$37+'前提と出典'!$C$38)=0,0,IF(C248&lt;=10,'前提と出典'!D73+'前提と出典'!E73,IF(C248&lt;=100,'前提と出典'!D74+'前提と出典'!E74,IF(C248&lt;=500,'前提と出典'!D75+'前提と出典'!E75,'前提と出典'!D76+'前提と出典'!E76))))</ns0:f>
        <ns0:v>56510.9346263078</ns0:v>
      </ns0:c>
      <ns0:c r="O248" s="16">
        <ns0:f>IF('前提と出典'!$C$36+'前提と出典'!$C$38=0,0,'前提と出典'!$B$4*IF('前提と出典'!$B$20=0,MAX('前提と出典'!$B$6,D248*'前提と出典'!$B$5),'前提と出典'!$B$6+D248*'前提と出典'!$B$5))</ns0:f>
        <ns0:v>242287.91061452514</ns0:v>
      </ns0:c>
      <ns0:c r="P248" s="16">
        <ns0:f>(E248+G248)*(1-'前提と出典'!$B$7)-I248-K248-M248-O248</ns0:f>
        <ns0:v>664119.5551145244</ns0:v>
      </ns0:c>
      <ns0:c r="Q248" s="16">
        <ns0:f>(F248+H248)*(1-'前提と出典'!$B$7)-J248-L248-N248</ns0:f>
        <ns0:v>170113.6755054977</ns0:v>
      </ns0:c>
      <ns0:c r="R248" s="16">
        <ns0:f>P248-E248*'前提と出典'!$E$4</ns0:f>
        <ns0:v>480104.05713328946</ns0:v>
      </ns0:c>
      <ns0:c r="S248" s="16">
        <ns0:f>Q248-F248*'前提と出典'!$E$4</ns0:f>
        <ns0:v>116643.47549959016</ns0:v>
      </ns0:c>
      <ns0:c r="T248" s="7">
        <ns0:f>R248+S248</ns0:f>
        <ns0:v>596747.5326328797</ns0:v>
      </ns0:c>
      <ns0:c r="U248" s="16">
        <ns0:f>P248-E248*'前提と出典'!$E$5</ns0:f>
        <ns0:v>418765.55780621123</ns0:v>
      </ns0:c>
      <ns0:c r="V248" s="16">
        <ns0:f>Q248-F248*'前提と出典'!$E$5</ns0:f>
        <ns0:v>98820.07549762097</ns0:v>
      </ns0:c>
      <ns0:c r="W248" s="7">
        <ns0:f>U248+V248</ns0:f>
        <ns0:v>517585.6333038322</ns0:v>
      </ns0:c>
      <ns0:c r="X248" s="16">
        <ns0:f>P248-E248*'前提と出典'!$E$6</ns0:f>
        <ns0:v>357427.058479133</ns0:v>
      </ns0:c>
      <ns0:c r="Y248" s="16">
        <ns0:f>Q248-F248*'前提と出典'!$E$6</ns0:f>
        <ns0:v>80996.67549565184</ns0:v>
      </ns0:c>
      <ns0:c r="Z248" s="7">
        <ns0:f>X248+Y248</ns0:f>
        <ns0:v>438423.73397478485</ns0:v>
      </ns0:c>
      <ns0:c r="AA248" s="7">
        <ns0:f>IF(T248&gt;=0,A248,1001)</ns0:f>
        <ns0:v>244</ns0:v>
      </ns0:c>
      <ns0:c r="AB248" s="7">
        <ns0:f>IF(T248&lt;0,A248,0)</ns0:f>
        <ns0:v>0</ns0:v>
      </ns0:c>
      <ns0:c r="AC248" s="16">
        <ns0:f>IF(AND(OR('前提と出典'!$C$36+'前提と出典'!$C$38=0,R248&gt;=0),OR('前提と出典'!$C$37+'前提と出典'!$C$38=0,S248&gt;=0)),0,A248)</ns0:f>
        <ns0:v>0</ns0:v>
      </ns0:c>
      <ns0:c r="AD248" s="7">
        <ns0:f>IF(W248&gt;=0,A248,1001)</ns0:f>
        <ns0:v>244</ns0:v>
      </ns0:c>
      <ns0:c r="AE248" s="7">
        <ns0:f>IF(W248&lt;0,A248,0)</ns0:f>
        <ns0:v>0</ns0:v>
      </ns0:c>
      <ns0:c r="AF248" s="16">
        <ns0:f>IF(AND(OR('前提と出典'!$C$36+'前提と出典'!$C$38=0,U248&gt;=0),OR('前提と出典'!$C$37+'前提と出典'!$C$38=0,V248&gt;=0)),0,A248)</ns0:f>
        <ns0:v>0</ns0:v>
      </ns0:c>
      <ns0:c r="AG248" s="7">
        <ns0:f>IF(Z248&gt;=0,A248,1001)</ns0:f>
        <ns0:v>244</ns0:v>
      </ns0:c>
      <ns0:c r="AH248" s="4">
        <ns0:f>IF(Z248&lt;0,A248,0)</ns0:f>
        <ns0:v>0</ns0:v>
      </ns0:c>
      <ns0:c r="AI248" s="12">
        <ns0:f>IF(AND(OR('前提と出典'!$C$36+'前提と出典'!$C$38=0,X248&gt;=0),OR('前提と出典'!$C$37+'前提と出典'!$C$38=0,Y248&gt;=0)),0,A248)</ns0:f>
        <ns0:v>0</ns0:v>
      </ns0:c>
    </ns0:row>
    <ns0:row r="249" ht="24" customHeight="1">
      <ns0:c r="A249" s="4" t="n">
        <ns0:v>245</ns0:v>
      </ns0:c>
      <ns0:c r="B249" s="12">
        <ns0:f>A249*('前提と出典'!$C$36+'前提と出典'!$C$38)</ns0:f>
        <ns0:v>171.5</ns0:v>
      </ns0:c>
      <ns0:c r="C249" s="12">
        <ns0:f>A249*('前提と出典'!$C$37+'前提と出典'!$C$38)</ns0:f>
        <ns0:v>147</ns0:v>
      </ns0:c>
      <ns0:c r="D249" s="16">
        <ns0:f>A249*('前提と出典'!$C$36*'契約別単価'!C5+'前提と出典'!$C$37*'契約別単価'!C6+'前提と出典'!$C$38*'契約別単価'!C7)</ns0:f>
        <ns0:v>1762.9050279329608</ns0:v>
      </ns0:c>
      <ns0:c r="E249" s="16">
        <ns0:f>A249*('前提と出典'!$C$36*'契約別単価'!E5+'前提と出典'!$C$37*'契約別単価'!E6+'前提と出典'!$C$38*'契約別単価'!E7)</ns0:f>
        <ns0:v>615898.8661940238</ns0:v>
      </ns0:c>
      <ns0:c r="F249" s="16">
        <ns0:f>A249*('前提と出典'!$C$36*'契約別単価'!F5+'前提と出典'!$C$37*'契約別単価'!F6+'前提と出典'!$C$38*'契約別単価'!F7)</ns0:f>
        <ns0:v>178964.46723288725</ns0:v>
      </ns0:c>
      <ns0:c r="G249" s="16">
        <ns0:f>A249*('前提と出典'!$C$36*'契約別単価'!G5+'前提と出典'!$C$37*'契約別単価'!G6+'前提と出典'!$C$38*'契約別単価'!G7)</ns0:f>
        <ns0:v>487673.1843575419</ns0:v>
      </ns0:c>
      <ns0:c r="H249" s="16">
        <ns0:f>A249*('前提と出典'!$C$36*'契約別単価'!H5+'前提と出典'!$C$37*'契約別単価'!H6+'前提と出典'!$C$38*'契約別単価'!H7)</ns0:f>
        <ns0:v>169247.05370427555</ns0:v>
      </ns0:c>
      <ns0:c r="I249" s="16">
        <ns0:f>A249*('前提と出典'!$C$36*'契約別単価'!I5+'前提と出典'!$C$37*'契約別単価'!I6+'前提と出典'!$C$38*'契約別単価'!I7)</ns0:f>
        <ns0:v>10337.905027932959</ns0:v>
      </ns0:c>
      <ns0:c r="J249" s="16">
        <ns0:f>A249*('前提と出典'!$C$36*'契約別単価'!J5+'前提と出典'!$C$37*'契約別単価'!J6+'前提と出典'!$C$38*'契約別単価'!J7)</ns0:f>
        <ns0:v>24080.93820902413</ns0:v>
      </ns0:c>
      <ns0:c r="K249" s="16">
        <ns0:f>A249*('前提と出典'!$C$36*'契約別単価'!K5+'前提と出典'!$C$37*'契約別単価'!K6+'前提と出典'!$C$38*'契約別単価'!K7)</ns0:f>
        <ns0:v>103219.3668528864</ns0:v>
      </ns0:c>
      <ns0:c r="L249" s="16">
        <ns0:f>A249*('前提と出典'!$C$36*'契約別単価'!L5+'前提と出典'!$C$37*'契約別単価'!L6+'前提と出典'!$C$38*'契約別単価'!L7)</ns0:f>
        <ns0:v>84041.56845680918</ns0:v>
      </ns0:c>
      <ns0:c r="M249" s="16">
        <ns0:f>IF(('前提と出典'!$C$36+'前提と出典'!$C$38)=0,0,IF(B249&lt;=10,'前提と出典'!B73+'前提と出典'!C73,IF(B249&lt;=100,'前提と出典'!B74+'前提と出典'!C74,IF(B249&lt;=500,'前提と出典'!B75+'前提と出典'!C75,'前提と出典'!B76+'前提と出典'!C76))))</ns0:f>
        <ns0:v>40000</ns0:v>
      </ns0:c>
      <ns0:c r="N249" s="16">
        <ns0:f>IF(('前提と出典'!$C$37+'前提と出典'!$C$38)=0,0,IF(C249&lt;=10,'前提と出典'!D73+'前提と出典'!E73,IF(C249&lt;=100,'前提と出典'!D74+'前提と出典'!E74,IF(C249&lt;=500,'前提と出典'!D75+'前提と出典'!E75,'前提と出典'!D76+'前提と出典'!E76))))</ns0:f>
        <ns0:v>56510.9346263078</ns0:v>
      </ns0:c>
      <ns0:c r="O249" s="16">
        <ns0:f>IF('前提と出典'!$C$36+'前提と出典'!$C$38=0,0,'前提と出典'!$B$4*IF('前提と出典'!$B$20=0,MAX('前提と出典'!$B$6,D249*'前提と出典'!$B$5),'前提と出典'!$B$6+D249*'前提と出典'!$B$5))</ns0:f>
        <ns0:v>243280.8938547486</ns0:v>
      </ns0:c>
      <ns0:c r="P249" s="16">
        <ns0:f>(E249+G249)*(1-'前提と出典'!$B$7)-I249-K249-M249-O249</ns0:f>
        <ns0:v>667005.2909961413</ns0:v>
      </ns0:c>
      <ns0:c r="Q249" s="16">
        <ns0:f>(F249+H249)*(1-'前提と出典'!$B$7)-J249-L249-N249</ns0:f>
        <ns0:v>171042.4648912838</ns0:v>
      </ns0:c>
      <ns0:c r="R249" s="16">
        <ns0:f>P249-E249*'前提と出典'!$E$4</ns0:f>
        <ns0:v>482235.63113793416</ns0:v>
      </ns0:c>
      <ns0:c r="S249" s="16">
        <ns0:f>Q249-F249*'前提と出典'!$E$4</ns0:f>
        <ns0:v>117353.12472141764</ns0:v>
      </ns0:c>
      <ns0:c r="T249" s="7">
        <ns0:f>R249+S249</ns0:f>
        <ns0:v>599588.7558593518</ns0:v>
      </ns0:c>
      <ns0:c r="U249" s="16">
        <ns0:f>P249-E249*'前提と出典'!$E$5</ns0:f>
        <ns0:v>420645.7445185317</ns0:v>
      </ns0:c>
      <ns0:c r="V249" s="16">
        <ns0:f>Q249-F249*'前提と出典'!$E$5</ns0:f>
        <ns0:v>99456.6779981289</ns0:v>
      </ns0:c>
      <ns0:c r="W249" s="7">
        <ns0:f>U249+V249</ns0:f>
        <ns0:v>520102.42251666065</ns0:v>
      </ns0:c>
      <ns0:c r="X249" s="16">
        <ns0:f>P249-E249*'前提と出典'!$E$6</ns0:f>
        <ns0:v>359055.8578991294</ns0:v>
      </ns0:c>
      <ns0:c r="Y249" s="16">
        <ns0:f>Q249-F249*'前提と出典'!$E$6</ns0:f>
        <ns0:v>81560.23127484016</ns0:v>
      </ns0:c>
      <ns0:c r="Z249" s="7">
        <ns0:f>X249+Y249</ns0:f>
        <ns0:v>440616.0891739696</ns0:v>
      </ns0:c>
      <ns0:c r="AA249" s="7">
        <ns0:f>IF(T249&gt;=0,A249,1001)</ns0:f>
        <ns0:v>245</ns0:v>
      </ns0:c>
      <ns0:c r="AB249" s="7">
        <ns0:f>IF(T249&lt;0,A249,0)</ns0:f>
        <ns0:v>0</ns0:v>
      </ns0:c>
      <ns0:c r="AC249" s="16">
        <ns0:f>IF(AND(OR('前提と出典'!$C$36+'前提と出典'!$C$38=0,R249&gt;=0),OR('前提と出典'!$C$37+'前提と出典'!$C$38=0,S249&gt;=0)),0,A249)</ns0:f>
        <ns0:v>0</ns0:v>
      </ns0:c>
      <ns0:c r="AD249" s="7">
        <ns0:f>IF(W249&gt;=0,A249,1001)</ns0:f>
        <ns0:v>245</ns0:v>
      </ns0:c>
      <ns0:c r="AE249" s="7">
        <ns0:f>IF(W249&lt;0,A249,0)</ns0:f>
        <ns0:v>0</ns0:v>
      </ns0:c>
      <ns0:c r="AF249" s="16">
        <ns0:f>IF(AND(OR('前提と出典'!$C$36+'前提と出典'!$C$38=0,U249&gt;=0),OR('前提と出典'!$C$37+'前提と出典'!$C$38=0,V249&gt;=0)),0,A249)</ns0:f>
        <ns0:v>0</ns0:v>
      </ns0:c>
      <ns0:c r="AG249" s="7">
        <ns0:f>IF(Z249&gt;=0,A249,1001)</ns0:f>
        <ns0:v>245</ns0:v>
      </ns0:c>
      <ns0:c r="AH249" s="4">
        <ns0:f>IF(Z249&lt;0,A249,0)</ns0:f>
        <ns0:v>0</ns0:v>
      </ns0:c>
      <ns0:c r="AI249" s="12">
        <ns0:f>IF(AND(OR('前提と出典'!$C$36+'前提と出典'!$C$38=0,X249&gt;=0),OR('前提と出典'!$C$37+'前提と出典'!$C$38=0,Y249&gt;=0)),0,A249)</ns0:f>
        <ns0:v>0</ns0:v>
      </ns0:c>
    </ns0:row>
    <ns0:row r="250" ht="24" customHeight="1">
      <ns0:c r="A250" s="4" t="n">
        <ns0:v>246</ns0:v>
      </ns0:c>
      <ns0:c r="B250" s="12">
        <ns0:f>A250*('前提と出典'!$C$36+'前提と出典'!$C$38)</ns0:f>
        <ns0:v>172.2</ns0:v>
      </ns0:c>
      <ns0:c r="C250" s="12">
        <ns0:f>A250*('前提と出典'!$C$37+'前提と出典'!$C$38)</ns0:f>
        <ns0:v>147.6</ns0:v>
      </ns0:c>
      <ns0:c r="D250" s="16">
        <ns0:f>A250*('前提と出典'!$C$36*'契約別単価'!C5+'前提と出典'!$C$37*'契約別単価'!C6+'前提と出典'!$C$38*'契約別単価'!C7)</ns0:f>
        <ns0:v>1770.1005586592178</ns0:v>
      </ns0:c>
      <ns0:c r="E250" s="16">
        <ns0:f>A250*('前提と出典'!$C$36*'契約別単価'!E5+'前提と出典'!$C$37*'契約別単価'!E6+'前提と出典'!$C$38*'契約別単価'!E7)</ns0:f>
        <ns0:v>618412.7391172646</ns0:v>
      </ns0:c>
      <ns0:c r="F250" s="16">
        <ns0:f>A250*('前提と出典'!$C$36*'契約別単価'!F5+'前提と出典'!$C$37*'契約別単価'!F6+'前提と出典'!$C$38*'契約別単価'!F7)</ns0:f>
        <ns0:v>179694.9344460827</ns0:v>
      </ns0:c>
      <ns0:c r="G250" s="16">
        <ns0:f>A250*('前提と出典'!$C$36*'契約別単価'!G5+'前提と出典'!$C$37*'契約別単価'!G6+'前提と出典'!$C$38*'契約別単価'!G7)</ns0:f>
        <ns0:v>489663.68715083797</ns0:v>
      </ns0:c>
      <ns0:c r="H250" s="16">
        <ns0:f>A250*('前提と出典'!$C$36*'契約別単価'!H5+'前提と出典'!$C$37*'契約別単価'!H6+'前提と出典'!$C$38*'契約別単価'!H7)</ns0:f>
        <ns0:v>169937.8580051093</ns0:v>
      </ns0:c>
      <ns0:c r="I250" s="16">
        <ns0:f>A250*('前提と出典'!$C$36*'契約別単価'!I5+'前提と出典'!$C$37*'契約別単価'!I6+'前提と出典'!$C$38*'契約別単価'!I7)</ns0:f>
        <ns0:v>10380.100558659216</ns0:v>
      </ns0:c>
      <ns0:c r="J250" s="16">
        <ns0:f>A250*('前提と出典'!$C$36*'契約別単価'!J5+'前提と出典'!$C$37*'契約別単価'!J6+'前提と出典'!$C$38*'契約別単価'!J7)</ns0:f>
        <ns0:v>24179.22775273443</ns0:v>
      </ns0:c>
      <ns0:c r="K250" s="16">
        <ns0:f>A250*('前提と出典'!$C$36*'契約別単価'!K5+'前提と出典'!$C$37*'契約別単価'!K6+'前提と出典'!$C$38*'契約別単価'!K7)</ns0:f>
        <ns0:v>103640.67039106145</ns0:v>
      </ns0:c>
      <ns0:c r="L250" s="16">
        <ns0:f>A250*('前提と出典'!$C$36*'契約別単価'!L5+'前提と出典'!$C$37*'契約別単価'!L6+'前提と出典'!$C$38*'契約別単価'!L7)</ns0:f>
        <ns0:v>84384.59526683697</ns0:v>
      </ns0:c>
      <ns0:c r="M250" s="16">
        <ns0:f>IF(('前提と出典'!$C$36+'前提と出典'!$C$38)=0,0,IF(B250&lt;=10,'前提と出典'!B73+'前提と出典'!C73,IF(B250&lt;=100,'前提と出典'!B74+'前提と出典'!C74,IF(B250&lt;=500,'前提と出典'!B75+'前提と出典'!C75,'前提と出典'!B76+'前提と出典'!C76))))</ns0:f>
        <ns0:v>40000</ns0:v>
      </ns0:c>
      <ns0:c r="N250" s="16">
        <ns0:f>IF(('前提と出典'!$C$37+'前提と出典'!$C$38)=0,0,IF(C250&lt;=10,'前提と出典'!D73+'前提と出典'!E73,IF(C250&lt;=100,'前提と出典'!D74+'前提と出典'!E74,IF(C250&lt;=500,'前提と出典'!D75+'前提と出典'!E75,'前提と出典'!D76+'前提と出典'!E76))))</ns0:f>
        <ns0:v>56510.9346263078</ns0:v>
      </ns0:c>
      <ns0:c r="O250" s="16">
        <ns0:f>IF('前提と出典'!$C$36+'前提と出典'!$C$38=0,0,'前提と出典'!$B$4*IF('前提と出典'!$B$20=0,MAX('前提と出典'!$B$6,D250*'前提と出典'!$B$5),'前提と出典'!$B$6+D250*'前提と出典'!$B$5))</ns0:f>
        <ns0:v>244273.87709497206</ns0:v>
      </ns0:c>
      <ns0:c r="P250" s="16">
        <ns0:f>(E250+G250)*(1-'前提と出典'!$B$7)-I250-K250-M250-O250</ns0:f>
        <ns0:v>669891.0268777582</ns0:v>
      </ns0:c>
      <ns0:c r="Q250" s="16">
        <ns0:f>(F250+H250)*(1-'前提と出典'!$B$7)-J250-L250-N250</ns0:f>
        <ns0:v>171971.25427706988</ns0:v>
      </ns0:c>
      <ns0:c r="R250" s="16">
        <ns0:f>P250-E250*'前提と出典'!$E$4</ns0:f>
        <ns0:v>484367.2051425788</ns0:v>
      </ns0:c>
      <ns0:c r="S250" s="16">
        <ns0:f>Q250-F250*'前提と出典'!$E$4</ns0:f>
        <ns0:v>118062.77394324506</ns0:v>
      </ns0:c>
      <ns0:c r="T250" s="7">
        <ns0:f>R250+S250</ns0:f>
        <ns0:v>602429.9790858239</ns0:v>
      </ns0:c>
      <ns0:c r="U250" s="16">
        <ns0:f>P250-E250*'前提と出典'!$E$5</ns0:f>
        <ns0:v>422525.9312308524</ns0:v>
      </ns0:c>
      <ns0:c r="V250" s="16">
        <ns0:f>Q250-F250*'前提と出典'!$E$5</ns0:f>
        <ns0:v>100093.28049863677</ns0:v>
      </ns0:c>
      <ns0:c r="W250" s="7">
        <ns0:f>U250+V250</ns0:f>
        <ns0:v>522619.21172948915</ns0:v>
      </ns0:c>
      <ns0:c r="X250" s="16">
        <ns0:f>P250-E250*'前提と出典'!$E$6</ns0:f>
        <ns0:v>360684.65731912584</ns0:v>
      </ns0:c>
      <ns0:c r="Y250" s="16">
        <ns0:f>Q250-F250*'前提と出典'!$E$6</ns0:f>
        <ns0:v>82123.7870540286</ns0:v>
      </ns0:c>
      <ns0:c r="Z250" s="7">
        <ns0:f>X250+Y250</ns0:f>
        <ns0:v>442808.44437315443</ns0:v>
      </ns0:c>
      <ns0:c r="AA250" s="7">
        <ns0:f>IF(T250&gt;=0,A250,1001)</ns0:f>
        <ns0:v>246</ns0:v>
      </ns0:c>
      <ns0:c r="AB250" s="7">
        <ns0:f>IF(T250&lt;0,A250,0)</ns0:f>
        <ns0:v>0</ns0:v>
      </ns0:c>
      <ns0:c r="AC250" s="16">
        <ns0:f>IF(AND(OR('前提と出典'!$C$36+'前提と出典'!$C$38=0,R250&gt;=0),OR('前提と出典'!$C$37+'前提と出典'!$C$38=0,S250&gt;=0)),0,A250)</ns0:f>
        <ns0:v>0</ns0:v>
      </ns0:c>
      <ns0:c r="AD250" s="7">
        <ns0:f>IF(W250&gt;=0,A250,1001)</ns0:f>
        <ns0:v>246</ns0:v>
      </ns0:c>
      <ns0:c r="AE250" s="7">
        <ns0:f>IF(W250&lt;0,A250,0)</ns0:f>
        <ns0:v>0</ns0:v>
      </ns0:c>
      <ns0:c r="AF250" s="16">
        <ns0:f>IF(AND(OR('前提と出典'!$C$36+'前提と出典'!$C$38=0,U250&gt;=0),OR('前提と出典'!$C$37+'前提と出典'!$C$38=0,V250&gt;=0)),0,A250)</ns0:f>
        <ns0:v>0</ns0:v>
      </ns0:c>
      <ns0:c r="AG250" s="7">
        <ns0:f>IF(Z250&gt;=0,A250,1001)</ns0:f>
        <ns0:v>246</ns0:v>
      </ns0:c>
      <ns0:c r="AH250" s="4">
        <ns0:f>IF(Z250&lt;0,A250,0)</ns0:f>
        <ns0:v>0</ns0:v>
      </ns0:c>
      <ns0:c r="AI250" s="12">
        <ns0:f>IF(AND(OR('前提と出典'!$C$36+'前提と出典'!$C$38=0,X250&gt;=0),OR('前提と出典'!$C$37+'前提と出典'!$C$38=0,Y250&gt;=0)),0,A250)</ns0:f>
        <ns0:v>0</ns0:v>
      </ns0:c>
    </ns0:row>
    <ns0:row r="251" ht="24" customHeight="1">
      <ns0:c r="A251" s="4" t="n">
        <ns0:v>247</ns0:v>
      </ns0:c>
      <ns0:c r="B251" s="12">
        <ns0:f>A251*('前提と出典'!$C$36+'前提と出典'!$C$38)</ns0:f>
        <ns0:v>172.89999999999998</ns0:v>
      </ns0:c>
      <ns0:c r="C251" s="12">
        <ns0:f>A251*('前提と出典'!$C$37+'前提と出典'!$C$38)</ns0:f>
        <ns0:v>148.2</ns0:v>
      </ns0:c>
      <ns0:c r="D251" s="16">
        <ns0:f>A251*('前提と出典'!$C$36*'契約別単価'!C5+'前提と出典'!$C$37*'契約別単価'!C6+'前提と出典'!$C$38*'契約別単価'!C7)</ns0:f>
        <ns0:v>1777.296089385475</ns0:v>
      </ns0:c>
      <ns0:c r="E251" s="16">
        <ns0:f>A251*('前提と出典'!$C$36*'契約別単価'!E5+'前提と出典'!$C$37*'契約別単価'!E6+'前提と出典'!$C$38*'契約別単価'!E7)</ns0:f>
        <ns0:v>620926.6120405055</ns0:v>
      </ns0:c>
      <ns0:c r="F251" s="16">
        <ns0:f>A251*('前提と出典'!$C$36*'契約別単価'!F5+'前提と出典'!$C$37*'契約別単価'!F6+'前提と出典'!$C$38*'契約別単価'!F7)</ns0:f>
        <ns0:v>180425.40165927817</ns0:v>
      </ns0:c>
      <ns0:c r="G251" s="16">
        <ns0:f>A251*('前提と出典'!$C$36*'契約別単価'!G5+'前提と出典'!$C$37*'契約別単価'!G6+'前提と出典'!$C$38*'契約別単価'!G7)</ns0:f>
        <ns0:v>491654.18994413404</ns0:v>
      </ns0:c>
      <ns0:c r="H251" s="16">
        <ns0:f>A251*('前提と出典'!$C$36*'契約別単価'!H5+'前提と出典'!$C$37*'契約別単価'!H6+'前提と出典'!$C$38*'契約別単価'!H7)</ns0:f>
        <ns0:v>170628.6623059431</ns0:v>
      </ns0:c>
      <ns0:c r="I251" s="16">
        <ns0:f>A251*('前提と出典'!$C$36*'契約別単価'!I5+'前提と出典'!$C$37*'契約別単価'!I6+'前提と出典'!$C$38*'契約別単価'!I7)</ns0:f>
        <ns0:v>10422.296089385472</ns0:v>
      </ns0:c>
      <ns0:c r="J251" s="16">
        <ns0:f>A251*('前提と出典'!$C$36*'契約別単価'!J5+'前提と出典'!$C$37*'契約別単価'!J6+'前提と出典'!$C$38*'契約別単価'!J7)</ns0:f>
        <ns0:v>24277.517296444734</ns0:v>
      </ns0:c>
      <ns0:c r="K251" s="16">
        <ns0:f>A251*('前提と出典'!$C$36*'契約別単価'!K5+'前提と出典'!$C$37*'契約別単価'!K6+'前提と出典'!$C$38*'契約別単価'!K7)</ns0:f>
        <ns0:v>104061.9739292365</ns0:v>
      </ns0:c>
      <ns0:c r="L251" s="16">
        <ns0:f>A251*('前提と出典'!$C$36*'契約別単価'!L5+'前提と出典'!$C$37*'契約別単価'!L6+'前提と出典'!$C$38*'契約別単価'!L7)</ns0:f>
        <ns0:v>84727.62207686476</ns0:v>
      </ns0:c>
      <ns0:c r="M251" s="16">
        <ns0:f>IF(('前提と出典'!$C$36+'前提と出典'!$C$38)=0,0,IF(B251&lt;=10,'前提と出典'!B73+'前提と出典'!C73,IF(B251&lt;=100,'前提と出典'!B74+'前提と出典'!C74,IF(B251&lt;=500,'前提と出典'!B75+'前提と出典'!C75,'前提と出典'!B76+'前提と出典'!C76))))</ns0:f>
        <ns0:v>40000</ns0:v>
      </ns0:c>
      <ns0:c r="N251" s="16">
        <ns0:f>IF(('前提と出典'!$C$37+'前提と出典'!$C$38)=0,0,IF(C251&lt;=10,'前提と出典'!D73+'前提と出典'!E73,IF(C251&lt;=100,'前提と出典'!D74+'前提と出典'!E74,IF(C251&lt;=500,'前提と出典'!D75+'前提と出典'!E75,'前提と出典'!D76+'前提と出典'!E76))))</ns0:f>
        <ns0:v>56510.9346263078</ns0:v>
      </ns0:c>
      <ns0:c r="O251" s="16">
        <ns0:f>IF('前提と出典'!$C$36+'前提と出典'!$C$38=0,0,'前提と出典'!$B$4*IF('前提と出典'!$B$20=0,MAX('前提と出典'!$B$6,D251*'前提と出典'!$B$5),'前提と出典'!$B$6+D251*'前提と出典'!$B$5))</ns0:f>
        <ns0:v>245266.86033519555</ns0:v>
      </ns0:c>
      <ns0:c r="P251" s="16">
        <ns0:f>(E251+G251)*(1-'前提と出典'!$B$7)-I251-K251-M251-O251</ns0:f>
        <ns0:v>672776.762759375</ns0:v>
      </ns0:c>
      <ns0:c r="Q251" s="16">
        <ns0:f>(F251+H251)*(1-'前提と出典'!$B$7)-J251-L251-N251</ns0:f>
        <ns0:v>172900.04366285604</ns0:v>
      </ns0:c>
      <ns0:c r="R251" s="16">
        <ns0:f>P251-E251*'前提と出典'!$E$4</ns0:f>
        <ns0:v>486498.77914722345</ns0:v>
      </ns0:c>
      <ns0:c r="S251" s="16">
        <ns0:f>Q251-F251*'前提と出典'!$E$4</ns0:f>
        <ns0:v>118772.42316507251</ns0:v>
      </ns0:c>
      <ns0:c r="T251" s="7">
        <ns0:f>R251+S251</ns0:f>
        <ns0:v>605271.202312296</ns0:v>
      </ns0:c>
      <ns0:c r="U251" s="16">
        <ns0:f>P251-E251*'前提と出典'!$E$5</ns0:f>
        <ns0:v>424406.1179431728</ns0:v>
      </ns0:c>
      <ns0:c r="V251" s="16">
        <ns0:f>Q251-F251*'前提と出典'!$E$5</ns0:f>
        <ns0:v>100729.88299914479</ns0:v>
      </ns0:c>
      <ns0:c r="W251" s="7">
        <ns0:f>U251+V251</ns0:f>
        <ns0:v>525136.0009423175</ns0:v>
      </ns0:c>
      <ns0:c r="X251" s="16">
        <ns0:f>P251-E251*'前提と出典'!$E$6</ns0:f>
        <ns0:v>362313.4567391223</ns0:v>
      </ns0:c>
      <ns0:c r="Y251" s="16">
        <ns0:f>Q251-F251*'前提と出典'!$E$6</ns0:f>
        <ns0:v>82687.34283321691</ns0:v>
      </ns0:c>
      <ns0:c r="Z251" s="7">
        <ns0:f>X251+Y251</ns0:f>
        <ns0:v>445000.79957233917</ns0:v>
      </ns0:c>
      <ns0:c r="AA251" s="7">
        <ns0:f>IF(T251&gt;=0,A251,1001)</ns0:f>
        <ns0:v>247</ns0:v>
      </ns0:c>
      <ns0:c r="AB251" s="7">
        <ns0:f>IF(T251&lt;0,A251,0)</ns0:f>
        <ns0:v>0</ns0:v>
      </ns0:c>
      <ns0:c r="AC251" s="16">
        <ns0:f>IF(AND(OR('前提と出典'!$C$36+'前提と出典'!$C$38=0,R251&gt;=0),OR('前提と出典'!$C$37+'前提と出典'!$C$38=0,S251&gt;=0)),0,A251)</ns0:f>
        <ns0:v>0</ns0:v>
      </ns0:c>
      <ns0:c r="AD251" s="7">
        <ns0:f>IF(W251&gt;=0,A251,1001)</ns0:f>
        <ns0:v>247</ns0:v>
      </ns0:c>
      <ns0:c r="AE251" s="7">
        <ns0:f>IF(W251&lt;0,A251,0)</ns0:f>
        <ns0:v>0</ns0:v>
      </ns0:c>
      <ns0:c r="AF251" s="16">
        <ns0:f>IF(AND(OR('前提と出典'!$C$36+'前提と出典'!$C$38=0,U251&gt;=0),OR('前提と出典'!$C$37+'前提と出典'!$C$38=0,V251&gt;=0)),0,A251)</ns0:f>
        <ns0:v>0</ns0:v>
      </ns0:c>
      <ns0:c r="AG251" s="7">
        <ns0:f>IF(Z251&gt;=0,A251,1001)</ns0:f>
        <ns0:v>247</ns0:v>
      </ns0:c>
      <ns0:c r="AH251" s="4">
        <ns0:f>IF(Z251&lt;0,A251,0)</ns0:f>
        <ns0:v>0</ns0:v>
      </ns0:c>
      <ns0:c r="AI251" s="12">
        <ns0:f>IF(AND(OR('前提と出典'!$C$36+'前提と出典'!$C$38=0,X251&gt;=0),OR('前提と出典'!$C$37+'前提と出典'!$C$38=0,Y251&gt;=0)),0,A251)</ns0:f>
        <ns0:v>0</ns0:v>
      </ns0:c>
    </ns0:row>
    <ns0:row r="252" ht="24" customHeight="1">
      <ns0:c r="A252" s="4" t="n">
        <ns0:v>248</ns0:v>
      </ns0:c>
      <ns0:c r="B252" s="12">
        <ns0:f>A252*('前提と出典'!$C$36+'前提と出典'!$C$38)</ns0:f>
        <ns0:v>173.6</ns0:v>
      </ns0:c>
      <ns0:c r="C252" s="12">
        <ns0:f>A252*('前提と出典'!$C$37+'前提と出典'!$C$38)</ns0:f>
        <ns0:v>148.79999999999998</ns0:v>
      </ns0:c>
      <ns0:c r="D252" s="16">
        <ns0:f>A252*('前提と出典'!$C$36*'契約別単価'!C5+'前提と出典'!$C$37*'契約別単価'!C6+'前提と出典'!$C$38*'契約別単価'!C7)</ns0:f>
        <ns0:v>1784.491620111732</ns0:v>
      </ns0:c>
      <ns0:c r="E252" s="16">
        <ns0:f>A252*('前提と出典'!$C$36*'契約別単価'!E5+'前提と出典'!$C$37*'契約別単価'!E6+'前提と出典'!$C$38*'契約別単価'!E7)</ns0:f>
        <ns0:v>623440.4849637465</ns0:v>
      </ns0:c>
      <ns0:c r="F252" s="16">
        <ns0:f>A252*('前提と出典'!$C$36*'契約別単価'!F5+'前提と出典'!$C$37*'契約別単価'!F6+'前提と出典'!$C$38*'契約別単価'!F7)</ns0:f>
        <ns0:v>181155.86887247363</ns0:v>
      </ns0:c>
      <ns0:c r="G252" s="16">
        <ns0:f>A252*('前提と出典'!$C$36*'契約別単価'!G5+'前提と出典'!$C$37*'契約別単価'!G6+'前提と出典'!$C$38*'契約別単価'!G7)</ns0:f>
        <ns0:v>493644.69273743016</ns0:v>
      </ns0:c>
      <ns0:c r="H252" s="16">
        <ns0:f>A252*('前提と出典'!$C$36*'契約別単価'!H5+'前提と出典'!$C$37*'契約別単価'!H6+'前提と出典'!$C$38*'契約別単価'!H7)</ns0:f>
        <ns0:v>171319.46660677687</ns0:v>
      </ns0:c>
      <ns0:c r="I252" s="16">
        <ns0:f>A252*('前提と出典'!$C$36*'契約別単価'!I5+'前提と出典'!$C$37*'契約別単価'!I6+'前提と出典'!$C$38*'契約別単価'!I7)</ns0:f>
        <ns0:v>10464.49162011173</ns0:v>
      </ns0:c>
      <ns0:c r="J252" s="16">
        <ns0:f>A252*('前提と出典'!$C$36*'契約別単価'!J5+'前提と出典'!$C$37*'契約別単価'!J6+'前提と出典'!$C$38*'契約別単価'!J7)</ns0:f>
        <ns0:v>24375.806840155037</ns0:v>
      </ns0:c>
      <ns0:c r="K252" s="16">
        <ns0:f>A252*('前提と出典'!$C$36*'契約別単価'!K5+'前提と出典'!$C$37*'契約別単価'!K6+'前提と出典'!$C$38*'契約別単価'!K7)</ns0:f>
        <ns0:v>104483.27746741154</ns0:v>
      </ns0:c>
      <ns0:c r="L252" s="16">
        <ns0:f>A252*('前提と出典'!$C$36*'契約別単価'!L5+'前提と出典'!$C$37*'契約別単価'!L6+'前提と出典'!$C$38*'契約別単価'!L7)</ns0:f>
        <ns0:v>85070.64888689257</ns0:v>
      </ns0:c>
      <ns0:c r="M252" s="16">
        <ns0:f>IF(('前提と出典'!$C$36+'前提と出典'!$C$38)=0,0,IF(B252&lt;=10,'前提と出典'!B73+'前提と出典'!C73,IF(B252&lt;=100,'前提と出典'!B74+'前提と出典'!C74,IF(B252&lt;=500,'前提と出典'!B75+'前提と出典'!C75,'前提と出典'!B76+'前提と出典'!C76))))</ns0:f>
        <ns0:v>40000</ns0:v>
      </ns0:c>
      <ns0:c r="N252" s="16">
        <ns0:f>IF(('前提と出典'!$C$37+'前提と出典'!$C$38)=0,0,IF(C252&lt;=10,'前提と出典'!D73+'前提と出典'!E73,IF(C252&lt;=100,'前提と出典'!D74+'前提と出典'!E74,IF(C252&lt;=500,'前提と出典'!D75+'前提と出典'!E75,'前提と出典'!D76+'前提と出典'!E76))))</ns0:f>
        <ns0:v>56510.9346263078</ns0:v>
      </ns0:c>
      <ns0:c r="O252" s="16">
        <ns0:f>IF('前提と出典'!$C$36+'前提と出典'!$C$38=0,0,'前提と出典'!$B$4*IF('前提と出典'!$B$20=0,MAX('前提と出典'!$B$6,D252*'前提と出典'!$B$5),'前提と出典'!$B$6+D252*'前提と出典'!$B$5))</ns0:f>
        <ns0:v>246259.843575419</ns0:v>
      </ns0:c>
      <ns0:c r="P252" s="16">
        <ns0:f>(E252+G252)*(1-'前提と出典'!$B$7)-I252-K252-M252-O252</ns0:f>
        <ns0:v>675662.498640992</ns0:v>
      </ns0:c>
      <ns0:c r="Q252" s="16">
        <ns0:f>(F252+H252)*(1-'前提と出典'!$B$7)-J252-L252-N252</ns0:f>
        <ns0:v>173828.8330486421</ns0:v>
      </ns0:c>
      <ns0:c r="R252" s="16">
        <ns0:f>P252-E252*'前提と出典'!$E$4</ns0:f>
        <ns0:v>488630.353151868</ns0:v>
      </ns0:c>
      <ns0:c r="S252" s="16">
        <ns0:f>Q252-F252*'前提と出典'!$E$4</ns0:f>
        <ns0:v>119482.07238690005</ns0:v>
      </ns0:c>
      <ns0:c r="T252" s="7">
        <ns0:f>R252+S252</ns0:f>
        <ns0:v>608112.4255387681</ns0:v>
      </ns0:c>
      <ns0:c r="U252" s="16">
        <ns0:f>P252-E252*'前提と出典'!$E$5</ns0:f>
        <ns0:v>426286.30465549335</ns0:v>
      </ns0:c>
      <ns0:c r="V252" s="16">
        <ns0:f>Q252-F252*'前提と出典'!$E$5</ns0:f>
        <ns0:v>101366.48549965266</ns0:v>
      </ns0:c>
      <ns0:c r="W252" s="7">
        <ns0:f>U252+V252</ns0:f>
        <ns0:v>527652.790155146</ns0:v>
      </ns0:c>
      <ns0:c r="X252" s="16">
        <ns0:f>P252-E252*'前提と出典'!$E$6</ns0:f>
        <ns0:v>363942.2561591187</ns0:v>
      </ns0:c>
      <ns0:c r="Y252" s="16">
        <ns0:f>Q252-F252*'前提と出典'!$E$6</ns0:f>
        <ns0:v>83250.89861240529</ns0:v>
      </ns0:c>
      <ns0:c r="Z252" s="7">
        <ns0:f>X252+Y252</ns0:f>
        <ns0:v>447193.154771524</ns0:v>
      </ns0:c>
      <ns0:c r="AA252" s="7">
        <ns0:f>IF(T252&gt;=0,A252,1001)</ns0:f>
        <ns0:v>248</ns0:v>
      </ns0:c>
      <ns0:c r="AB252" s="7">
        <ns0:f>IF(T252&lt;0,A252,0)</ns0:f>
        <ns0:v>0</ns0:v>
      </ns0:c>
      <ns0:c r="AC252" s="16">
        <ns0:f>IF(AND(OR('前提と出典'!$C$36+'前提と出典'!$C$38=0,R252&gt;=0),OR('前提と出典'!$C$37+'前提と出典'!$C$38=0,S252&gt;=0)),0,A252)</ns0:f>
        <ns0:v>0</ns0:v>
      </ns0:c>
      <ns0:c r="AD252" s="7">
        <ns0:f>IF(W252&gt;=0,A252,1001)</ns0:f>
        <ns0:v>248</ns0:v>
      </ns0:c>
      <ns0:c r="AE252" s="7">
        <ns0:f>IF(W252&lt;0,A252,0)</ns0:f>
        <ns0:v>0</ns0:v>
      </ns0:c>
      <ns0:c r="AF252" s="16">
        <ns0:f>IF(AND(OR('前提と出典'!$C$36+'前提と出典'!$C$38=0,U252&gt;=0),OR('前提と出典'!$C$37+'前提と出典'!$C$38=0,V252&gt;=0)),0,A252)</ns0:f>
        <ns0:v>0</ns0:v>
      </ns0:c>
      <ns0:c r="AG252" s="7">
        <ns0:f>IF(Z252&gt;=0,A252,1001)</ns0:f>
        <ns0:v>248</ns0:v>
      </ns0:c>
      <ns0:c r="AH252" s="4">
        <ns0:f>IF(Z252&lt;0,A252,0)</ns0:f>
        <ns0:v>0</ns0:v>
      </ns0:c>
      <ns0:c r="AI252" s="12">
        <ns0:f>IF(AND(OR('前提と出典'!$C$36+'前提と出典'!$C$38=0,X252&gt;=0),OR('前提と出典'!$C$37+'前提と出典'!$C$38=0,Y252&gt;=0)),0,A252)</ns0:f>
        <ns0:v>0</ns0:v>
      </ns0:c>
    </ns0:row>
    <ns0:row r="253" ht="24" customHeight="1">
      <ns0:c r="A253" s="4" t="n">
        <ns0:v>249</ns0:v>
      </ns0:c>
      <ns0:c r="B253" s="12">
        <ns0:f>A253*('前提と出典'!$C$36+'前提と出典'!$C$38)</ns0:f>
        <ns0:v>174.29999999999998</ns0:v>
      </ns0:c>
      <ns0:c r="C253" s="12">
        <ns0:f>A253*('前提と出典'!$C$37+'前提と出典'!$C$38)</ns0:f>
        <ns0:v>149.4</ns0:v>
      </ns0:c>
      <ns0:c r="D253" s="16">
        <ns0:f>A253*('前提と出典'!$C$36*'契約別単価'!C5+'前提と出典'!$C$37*'契約別単価'!C6+'前提と出典'!$C$38*'契約別単価'!C7)</ns0:f>
        <ns0:v>1791.6871508379888</ns0:v>
      </ns0:c>
      <ns0:c r="E253" s="16">
        <ns0:f>A253*('前提と出典'!$C$36*'契約別単価'!E5+'前提と出典'!$C$37*'契約別単価'!E6+'前提と出典'!$C$38*'契約別単価'!E7)</ns0:f>
        <ns0:v>625954.3578869874</ns0:v>
      </ns0:c>
      <ns0:c r="F253" s="16">
        <ns0:f>A253*('前提と出典'!$C$36*'契約別単価'!F5+'前提と出典'!$C$37*'契約別単価'!F6+'前提と出典'!$C$38*'契約別単価'!F7)</ns0:f>
        <ns0:v>181886.33608566909</ns0:v>
      </ns0:c>
      <ns0:c r="G253" s="16">
        <ns0:f>A253*('前提と出典'!$C$36*'契約別単価'!G5+'前提と出典'!$C$37*'契約別単価'!G6+'前提と出典'!$C$38*'契約別単価'!G7)</ns0:f>
        <ns0:v>495635.1955307262</ns0:v>
      </ns0:c>
      <ns0:c r="H253" s="16">
        <ns0:f>A253*('前提と出典'!$C$36*'契約別単価'!H5+'前提と出典'!$C$37*'契約別単価'!H6+'前提と出典'!$C$38*'契約別単価'!H7)</ns0:f>
        <ns0:v>172010.27090761065</ns0:v>
      </ns0:c>
      <ns0:c r="I253" s="16">
        <ns0:f>A253*('前提と出典'!$C$36*'契約別単価'!I5+'前提と出典'!$C$37*'契約別単価'!I6+'前提と出典'!$C$38*'契約別単価'!I7)</ns0:f>
        <ns0:v>10506.687150837986</ns0:v>
      </ns0:c>
      <ns0:c r="J253" s="16">
        <ns0:f>A253*('前提と出典'!$C$36*'契約別単価'!J5+'前提と出典'!$C$37*'契約別単価'!J6+'前提と出典'!$C$38*'契約別単価'!J7)</ns0:f>
        <ns0:v>24474.09638386534</ns0:v>
      </ns0:c>
      <ns0:c r="K253" s="16">
        <ns0:f>A253*('前提と出典'!$C$36*'契約別単価'!K5+'前提と出典'!$C$37*'契約別単価'!K6+'前提と出典'!$C$38*'契約別単価'!K7)</ns0:f>
        <ns0:v>104904.58100558659</ns0:v>
      </ns0:c>
      <ns0:c r="L253" s="16">
        <ns0:f>A253*('前提と出典'!$C$36*'契約別単価'!L5+'前提と出典'!$C$37*'契約別単価'!L6+'前提と出典'!$C$38*'契約別単価'!L7)</ns0:f>
        <ns0:v>85413.67569692036</ns0:v>
      </ns0:c>
      <ns0:c r="M253" s="16">
        <ns0:f>IF(('前提と出典'!$C$36+'前提と出典'!$C$38)=0,0,IF(B253&lt;=10,'前提と出典'!B73+'前提と出典'!C73,IF(B253&lt;=100,'前提と出典'!B74+'前提と出典'!C74,IF(B253&lt;=500,'前提と出典'!B75+'前提と出典'!C75,'前提と出典'!B76+'前提と出典'!C76))))</ns0:f>
        <ns0:v>40000</ns0:v>
      </ns0:c>
      <ns0:c r="N253" s="16">
        <ns0:f>IF(('前提と出典'!$C$37+'前提と出典'!$C$38)=0,0,IF(C253&lt;=10,'前提と出典'!D73+'前提と出典'!E73,IF(C253&lt;=100,'前提と出典'!D74+'前提と出典'!E74,IF(C253&lt;=500,'前提と出典'!D75+'前提と出典'!E75,'前提と出典'!D76+'前提と出典'!E76))))</ns0:f>
        <ns0:v>56510.9346263078</ns0:v>
      </ns0:c>
      <ns0:c r="O253" s="16">
        <ns0:f>IF('前提と出典'!$C$36+'前提と出典'!$C$38=0,0,'前提と出典'!$B$4*IF('前提と出典'!$B$20=0,MAX('前提と出典'!$B$6,D253*'前提と出典'!$B$5),'前提と出典'!$B$6+D253*'前提と出典'!$B$5))</ns0:f>
        <ns0:v>247252.82681564247</ns0:v>
      </ns0:c>
      <ns0:c r="P253" s="16">
        <ns0:f>(E253+G253)*(1-'前提と出典'!$B$7)-I253-K253-M253-O253</ns0:f>
        <ns0:v>678548.234522609</ns0:v>
      </ns0:c>
      <ns0:c r="Q253" s="16">
        <ns0:f>(F253+H253)*(1-'前提と出典'!$B$7)-J253-L253-N253</ns0:f>
        <ns0:v>174757.62243442817</ns0:v>
      </ns0:c>
      <ns0:c r="R253" s="16">
        <ns0:f>P253-E253*'前提と出典'!$E$4</ns0:f>
        <ns0:v>490761.9271565128</ns0:v>
      </ns0:c>
      <ns0:c r="S253" s="16">
        <ns0:f>Q253-F253*'前提と出典'!$E$4</ns0:f>
        <ns0:v>120191.72160872747</ns0:v>
      </ns0:c>
      <ns0:c r="T253" s="7">
        <ns0:f>R253+S253</ns0:f>
        <ns0:v>610953.6487652403</ns0:v>
      </ns0:c>
      <ns0:c r="U253" s="16">
        <ns0:f>P253-E253*'前提と出典'!$E$5</ns0:f>
        <ns0:v>428166.4913678141</ns0:v>
      </ns0:c>
      <ns0:c r="V253" s="16">
        <ns0:f>Q253-F253*'前提と出典'!$E$5</ns0:f>
        <ns0:v>102003.08800016053</ns0:v>
      </ns0:c>
      <ns0:c r="W253" s="7">
        <ns0:f>U253+V253</ns0:f>
        <ns0:v>530169.5793679745</ns0:v>
      </ns0:c>
      <ns0:c r="X253" s="16">
        <ns0:f>P253-E253*'前提と出典'!$E$6</ns0:f>
        <ns0:v>365571.05557911535</ns0:v>
      </ns0:c>
      <ns0:c r="Y253" s="16">
        <ns0:f>Q253-F253*'前提と出典'!$E$6</ns0:f>
        <ns0:v>83814.45439159364</ns0:v>
      </ns0:c>
      <ns0:c r="Z253" s="7">
        <ns0:f>X253+Y253</ns0:f>
        <ns0:v>449385.509970709</ns0:v>
      </ns0:c>
      <ns0:c r="AA253" s="7">
        <ns0:f>IF(T253&gt;=0,A253,1001)</ns0:f>
        <ns0:v>249</ns0:v>
      </ns0:c>
      <ns0:c r="AB253" s="7">
        <ns0:f>IF(T253&lt;0,A253,0)</ns0:f>
        <ns0:v>0</ns0:v>
      </ns0:c>
      <ns0:c r="AC253" s="16">
        <ns0:f>IF(AND(OR('前提と出典'!$C$36+'前提と出典'!$C$38=0,R253&gt;=0),OR('前提と出典'!$C$37+'前提と出典'!$C$38=0,S253&gt;=0)),0,A253)</ns0:f>
        <ns0:v>0</ns0:v>
      </ns0:c>
      <ns0:c r="AD253" s="7">
        <ns0:f>IF(W253&gt;=0,A253,1001)</ns0:f>
        <ns0:v>249</ns0:v>
      </ns0:c>
      <ns0:c r="AE253" s="7">
        <ns0:f>IF(W253&lt;0,A253,0)</ns0:f>
        <ns0:v>0</ns0:v>
      </ns0:c>
      <ns0:c r="AF253" s="16">
        <ns0:f>IF(AND(OR('前提と出典'!$C$36+'前提と出典'!$C$38=0,U253&gt;=0),OR('前提と出典'!$C$37+'前提と出典'!$C$38=0,V253&gt;=0)),0,A253)</ns0:f>
        <ns0:v>0</ns0:v>
      </ns0:c>
      <ns0:c r="AG253" s="7">
        <ns0:f>IF(Z253&gt;=0,A253,1001)</ns0:f>
        <ns0:v>249</ns0:v>
      </ns0:c>
      <ns0:c r="AH253" s="4">
        <ns0:f>IF(Z253&lt;0,A253,0)</ns0:f>
        <ns0:v>0</ns0:v>
      </ns0:c>
      <ns0:c r="AI253" s="12">
        <ns0:f>IF(AND(OR('前提と出典'!$C$36+'前提と出典'!$C$38=0,X253&gt;=0),OR('前提と出典'!$C$37+'前提と出典'!$C$38=0,Y253&gt;=0)),0,A253)</ns0:f>
        <ns0:v>0</ns0:v>
      </ns0:c>
    </ns0:row>
    <ns0:row r="254" ht="24" customHeight="1">
      <ns0:c r="A254" s="4" t="n">
        <ns0:v>250</ns0:v>
      </ns0:c>
      <ns0:c r="B254" s="12">
        <ns0:f>A254*('前提と出典'!$C$36+'前提と出典'!$C$38)</ns0:f>
        <ns0:v>175</ns0:v>
      </ns0:c>
      <ns0:c r="C254" s="12">
        <ns0:f>A254*('前提と出典'!$C$37+'前提と出典'!$C$38)</ns0:f>
        <ns0:v>150</ns0:v>
      </ns0:c>
      <ns0:c r="D254" s="16">
        <ns0:f>A254*('前提と出典'!$C$36*'契約別単価'!C5+'前提と出典'!$C$37*'契約別単価'!C6+'前提と出典'!$C$38*'契約別単価'!C7)</ns0:f>
        <ns0:v>1798.8826815642458</ns0:v>
      </ns0:c>
      <ns0:c r="E254" s="16">
        <ns0:f>A254*('前提と出典'!$C$36*'契約別単価'!E5+'前提と出典'!$C$37*'契約別単価'!E6+'前提と出典'!$C$38*'契約別単価'!E7)</ns0:f>
        <ns0:v>628468.2308102283</ns0:v>
      </ns0:c>
      <ns0:c r="F254" s="16">
        <ns0:f>A254*('前提と出典'!$C$36*'契約別単価'!F5+'前提と出典'!$C$37*'契約別単価'!F6+'前提と出典'!$C$38*'契約別単価'!F7)</ns0:f>
        <ns0:v>182616.80329886454</ns0:v>
      </ns0:c>
      <ns0:c r="G254" s="16">
        <ns0:f>A254*('前提と出典'!$C$36*'契約別単価'!G5+'前提と出典'!$C$37*'契約別単価'!G6+'前提と出典'!$C$38*'契約別単価'!G7)</ns0:f>
        <ns0:v>497625.69832402235</ns0:v>
      </ns0:c>
      <ns0:c r="H254" s="16">
        <ns0:f>A254*('前提と出典'!$C$36*'契約別単価'!H5+'前提と出典'!$C$37*'契約別単価'!H6+'前提と出典'!$C$38*'契約別単価'!H7)</ns0:f>
        <ns0:v>172701.0752084444</ns0:v>
      </ns0:c>
      <ns0:c r="I254" s="16">
        <ns0:f>A254*('前提と出典'!$C$36*'契約別単価'!I5+'前提と出典'!$C$37*'契約別単価'!I6+'前提と出典'!$C$38*'契約別単価'!I7)</ns0:f>
        <ns0:v>10548.882681564244</ns0:v>
      </ns0:c>
      <ns0:c r="J254" s="16">
        <ns0:f>A254*('前提と出典'!$C$36*'契約別単価'!J5+'前提と出典'!$C$37*'契約別単価'!J6+'前提と出典'!$C$38*'契約別単価'!J7)</ns0:f>
        <ns0:v>24572.38592757564</ns0:v>
      </ns0:c>
      <ns0:c r="K254" s="16">
        <ns0:f>A254*('前提と出典'!$C$36*'契約別単価'!K5+'前提と出典'!$C$37*'契約別単価'!K6+'前提と出典'!$C$38*'契約別単価'!K7)</ns0:f>
        <ns0:v>105325.88454376163</ns0:v>
      </ns0:c>
      <ns0:c r="L254" s="16">
        <ns0:f>A254*('前提と出典'!$C$36*'契約別単価'!L5+'前提と出典'!$C$37*'契約別単価'!L6+'前提と出典'!$C$38*'契約別単価'!L7)</ns0:f>
        <ns0:v>85756.70250694815</ns0:v>
      </ns0:c>
      <ns0:c r="M254" s="16">
        <ns0:f>IF(('前提と出典'!$C$36+'前提と出典'!$C$38)=0,0,IF(B254&lt;=10,'前提と出典'!B73+'前提と出典'!C73,IF(B254&lt;=100,'前提と出典'!B74+'前提と出典'!C74,IF(B254&lt;=500,'前提と出典'!B75+'前提と出典'!C75,'前提と出典'!B76+'前提と出典'!C76))))</ns0:f>
        <ns0:v>40000</ns0:v>
      </ns0:c>
      <ns0:c r="N254" s="16">
        <ns0:f>IF(('前提と出典'!$C$37+'前提と出典'!$C$38)=0,0,IF(C254&lt;=10,'前提と出典'!D73+'前提と出典'!E73,IF(C254&lt;=100,'前提と出典'!D74+'前提と出典'!E74,IF(C254&lt;=500,'前提と出典'!D75+'前提と出典'!E75,'前提と出典'!D76+'前提と出典'!E76))))</ns0:f>
        <ns0:v>56510.9346263078</ns0:v>
      </ns0:c>
      <ns0:c r="O254" s="16">
        <ns0:f>IF('前提と出典'!$C$36+'前提と出典'!$C$38=0,0,'前提と出典'!$B$4*IF('前提と出典'!$B$20=0,MAX('前提と出典'!$B$6,D254*'前提と出典'!$B$5),'前提と出典'!$B$6+D254*'前提と出典'!$B$5))</ns0:f>
        <ns0:v>248245.81005586594</ns0:v>
      </ns0:c>
      <ns0:c r="P254" s="16">
        <ns0:f>(E254+G254)*(1-'前提と出典'!$B$7)-I254-K254-M254-O254</ns0:f>
        <ns0:v>681433.9704042259</ns0:v>
      </ns0:c>
      <ns0:c r="Q254" s="16">
        <ns0:f>(F254+H254)*(1-'前提と出典'!$B$7)-J254-L254-N254</ns0:f>
        <ns0:v>175686.41182021424</ns0:v>
      </ns0:c>
      <ns0:c r="R254" s="16">
        <ns0:f>P254-E254*'前提と出典'!$E$4</ns0:f>
        <ns0:v>492893.5011611574</ns0:v>
      </ns0:c>
      <ns0:c r="S254" s="16">
        <ns0:f>Q254-F254*'前提と出典'!$E$4</ns0:f>
        <ns0:v>120901.37083055486</ns0:v>
      </ns0:c>
      <ns0:c r="T254" s="7">
        <ns0:f>R254+S254</ns0:f>
        <ns0:v>613794.8719917123</ns0:v>
      </ns0:c>
      <ns0:c r="U254" s="16">
        <ns0:f>P254-E254*'前提と出典'!$E$5</ns0:f>
        <ns0:v>430046.67808013456</ns0:v>
      </ns0:c>
      <ns0:c r="V254" s="16">
        <ns0:f>Q254-F254*'前提と出典'!$E$5</ns0:f>
        <ns0:v>102639.69050066842</ns0:v>
      </ns0:c>
      <ns0:c r="W254" s="7">
        <ns0:f>U254+V254</ns0:f>
        <ns0:v>532686.368580803</ns0:v>
      </ns0:c>
      <ns0:c r="X254" s="16">
        <ns0:f>P254-E254*'前提と出典'!$E$6</ns0:f>
        <ns0:v>367199.85499911173</ns0:v>
      </ns0:c>
      <ns0:c r="Y254" s="16">
        <ns0:f>Q254-F254*'前提と出典'!$E$6</ns0:f>
        <ns0:v>84378.01017078198</ns0:v>
      </ns0:c>
      <ns0:c r="Z254" s="7">
        <ns0:f>X254+Y254</ns0:f>
        <ns0:v>451577.8651698937</ns0:v>
      </ns0:c>
      <ns0:c r="AA254" s="7">
        <ns0:f>IF(T254&gt;=0,A254,1001)</ns0:f>
        <ns0:v>250</ns0:v>
      </ns0:c>
      <ns0:c r="AB254" s="7">
        <ns0:f>IF(T254&lt;0,A254,0)</ns0:f>
        <ns0:v>0</ns0:v>
      </ns0:c>
      <ns0:c r="AC254" s="16">
        <ns0:f>IF(AND(OR('前提と出典'!$C$36+'前提と出典'!$C$38=0,R254&gt;=0),OR('前提と出典'!$C$37+'前提と出典'!$C$38=0,S254&gt;=0)),0,A254)</ns0:f>
        <ns0:v>0</ns0:v>
      </ns0:c>
      <ns0:c r="AD254" s="7">
        <ns0:f>IF(W254&gt;=0,A254,1001)</ns0:f>
        <ns0:v>250</ns0:v>
      </ns0:c>
      <ns0:c r="AE254" s="7">
        <ns0:f>IF(W254&lt;0,A254,0)</ns0:f>
        <ns0:v>0</ns0:v>
      </ns0:c>
      <ns0:c r="AF254" s="16">
        <ns0:f>IF(AND(OR('前提と出典'!$C$36+'前提と出典'!$C$38=0,U254&gt;=0),OR('前提と出典'!$C$37+'前提と出典'!$C$38=0,V254&gt;=0)),0,A254)</ns0:f>
        <ns0:v>0</ns0:v>
      </ns0:c>
      <ns0:c r="AG254" s="7">
        <ns0:f>IF(Z254&gt;=0,A254,1001)</ns0:f>
        <ns0:v>250</ns0:v>
      </ns0:c>
      <ns0:c r="AH254" s="4">
        <ns0:f>IF(Z254&lt;0,A254,0)</ns0:f>
        <ns0:v>0</ns0:v>
      </ns0:c>
      <ns0:c r="AI254" s="12">
        <ns0:f>IF(AND(OR('前提と出典'!$C$36+'前提と出典'!$C$38=0,X254&gt;=0),OR('前提と出典'!$C$37+'前提と出典'!$C$38=0,Y254&gt;=0)),0,A254)</ns0:f>
        <ns0:v>0</ns0:v>
      </ns0:c>
    </ns0:row>
    <ns0:row r="255" ht="24" customHeight="1">
      <ns0:c r="A255" s="4" t="n">
        <ns0:v>251</ns0:v>
      </ns0:c>
      <ns0:c r="B255" s="12">
        <ns0:f>A255*('前提と出典'!$C$36+'前提と出典'!$C$38)</ns0:f>
        <ns0:v>175.7</ns0:v>
      </ns0:c>
      <ns0:c r="C255" s="12">
        <ns0:f>A255*('前提と出典'!$C$37+'前提と出典'!$C$38)</ns0:f>
        <ns0:v>150.6</ns0:v>
      </ns0:c>
      <ns0:c r="D255" s="16">
        <ns0:f>A255*('前提と出典'!$C$36*'契約別単価'!C5+'前提と出典'!$C$37*'契約別単価'!C6+'前提と出典'!$C$38*'契約別単価'!C7)</ns0:f>
        <ns0:v>1806.0782122905027</ns0:v>
      </ns0:c>
      <ns0:c r="E255" s="16">
        <ns0:f>A255*('前提と出典'!$C$36*'契約別単価'!E5+'前提と出典'!$C$37*'契約別単価'!E6+'前提と出典'!$C$38*'契約別単価'!E7)</ns0:f>
        <ns0:v>630982.1037334693</ns0:v>
      </ns0:c>
      <ns0:c r="F255" s="16">
        <ns0:f>A255*('前提と出典'!$C$36*'契約別単価'!F5+'前提と出典'!$C$37*'契約別単価'!F6+'前提と出典'!$C$38*'契約別単価'!F7)</ns0:f>
        <ns0:v>183347.27051206</ns0:v>
      </ns0:c>
      <ns0:c r="G255" s="16">
        <ns0:f>A255*('前提と出典'!$C$36*'契約別単価'!G5+'前提と出典'!$C$37*'契約別単価'!G6+'前提と出典'!$C$38*'契約別単価'!G7)</ns0:f>
        <ns0:v>499616.2011173184</ns0:v>
      </ns0:c>
      <ns0:c r="H255" s="16">
        <ns0:f>A255*('前提と出典'!$C$36*'契約別単価'!H5+'前提と出典'!$C$37*'契約別単価'!H6+'前提と出典'!$C$38*'契約別単価'!H7)</ns0:f>
        <ns0:v>173391.8795092782</ns0:v>
      </ns0:c>
      <ns0:c r="I255" s="16">
        <ns0:f>A255*('前提と出典'!$C$36*'契約別単価'!I5+'前提と出典'!$C$37*'契約別単価'!I6+'前提と出典'!$C$38*'契約別単価'!I7)</ns0:f>
        <ns0:v>10591.0782122905</ns0:v>
      </ns0:c>
      <ns0:c r="J255" s="16">
        <ns0:f>A255*('前提と出典'!$C$36*'契約別単価'!J5+'前提と出典'!$C$37*'契約別単価'!J6+'前提と出典'!$C$38*'契約別単価'!J7)</ns0:f>
        <ns0:v>24670.675471285944</ns0:v>
      </ns0:c>
      <ns0:c r="K255" s="16">
        <ns0:f>A255*('前提と出典'!$C$36*'契約別単価'!K5+'前提と出典'!$C$37*'契約別単価'!K6+'前提と出典'!$C$38*'契約別単価'!K7)</ns0:f>
        <ns0:v>105747.18808193668</ns0:v>
      </ns0:c>
      <ns0:c r="L255" s="16">
        <ns0:f>A255*('前提と出典'!$C$36*'契約別単価'!L5+'前提と出典'!$C$37*'契約別単価'!L6+'前提と出典'!$C$38*'契約別単価'!L7)</ns0:f>
        <ns0:v>86099.72931697594</ns0:v>
      </ns0:c>
      <ns0:c r="M255" s="16">
        <ns0:f>IF(('前提と出典'!$C$36+'前提と出典'!$C$38)=0,0,IF(B255&lt;=10,'前提と出典'!B73+'前提と出典'!C73,IF(B255&lt;=100,'前提と出典'!B74+'前提と出典'!C74,IF(B255&lt;=500,'前提と出典'!B75+'前提と出典'!C75,'前提と出典'!B76+'前提と出典'!C76))))</ns0:f>
        <ns0:v>40000</ns0:v>
      </ns0:c>
      <ns0:c r="N255" s="16">
        <ns0:f>IF(('前提と出典'!$C$37+'前提と出典'!$C$38)=0,0,IF(C255&lt;=10,'前提と出典'!D73+'前提と出典'!E73,IF(C255&lt;=100,'前提と出典'!D74+'前提と出典'!E74,IF(C255&lt;=500,'前提と出典'!D75+'前提と出典'!E75,'前提と出典'!D76+'前提と出典'!E76))))</ns0:f>
        <ns0:v>56510.9346263078</ns0:v>
      </ns0:c>
      <ns0:c r="O255" s="16">
        <ns0:f>IF('前提と出典'!$C$36+'前提と出典'!$C$38=0,0,'前提と出典'!$B$4*IF('前提と出典'!$B$20=0,MAX('前提と出典'!$B$6,D255*'前提と出典'!$B$5),'前提と出典'!$B$6+D255*'前提と出典'!$B$5))</ns0:f>
        <ns0:v>249238.7932960894</ns0:v>
      </ns0:c>
      <ns0:c r="P255" s="16">
        <ns0:f>(E255+G255)*(1-'前提と出典'!$B$7)-I255-K255-M255-O255</ns0:f>
        <ns0:v>684319.7062858427</ns0:v>
      </ns0:c>
      <ns0:c r="Q255" s="16">
        <ns0:f>(F255+H255)*(1-'前提と出典'!$B$7)-J255-L255-N255</ns0:f>
        <ns0:v>176615.20120600035</ns0:v>
      </ns0:c>
      <ns0:c r="R255" s="16">
        <ns0:f>P255-E255*'前提と出典'!$E$4</ns0:f>
        <ns0:v>495025.0751658019</ns0:v>
      </ns0:c>
      <ns0:c r="S255" s="16">
        <ns0:f>Q255-F255*'前提と出典'!$E$4</ns0:f>
        <ns0:v>121611.02005238237</ns0:v>
      </ns0:c>
      <ns0:c r="T255" s="7">
        <ns0:f>R255+S255</ns0:f>
        <ns0:v>616636.0952181843</ns0:v>
      </ns0:c>
      <ns0:c r="U255" s="16">
        <ns0:f>P255-E255*'前提と出典'!$E$5</ns0:f>
        <ns0:v>431926.864792455</ns0:v>
      </ns0:c>
      <ns0:c r="V255" s="16">
        <ns0:f>Q255-F255*'前提と出典'!$E$5</ns0:f>
        <ns0:v>103276.29300117632</ns0:v>
      </ns0:c>
      <ns0:c r="W255" s="7">
        <ns0:f>U255+V255</ns0:f>
        <ns0:v>535203.1577936313</ns0:v>
      </ns0:c>
      <ns0:c r="X255" s="16">
        <ns0:f>P255-E255*'前提と出典'!$E$6</ns0:f>
        <ns0:v>368828.65441910806</ns0:v>
      </ns0:c>
      <ns0:c r="Y255" s="16">
        <ns0:f>Q255-F255*'前提と出典'!$E$6</ns0:f>
        <ns0:v>84941.56594997033</ns0:v>
      </ns0:c>
      <ns0:c r="Z255" s="7">
        <ns0:f>X255+Y255</ns0:f>
        <ns0:v>453770.2203690784</ns0:v>
      </ns0:c>
      <ns0:c r="AA255" s="7">
        <ns0:f>IF(T255&gt;=0,A255,1001)</ns0:f>
        <ns0:v>251</ns0:v>
      </ns0:c>
      <ns0:c r="AB255" s="7">
        <ns0:f>IF(T255&lt;0,A255,0)</ns0:f>
        <ns0:v>0</ns0:v>
      </ns0:c>
      <ns0:c r="AC255" s="16">
        <ns0:f>IF(AND(OR('前提と出典'!$C$36+'前提と出典'!$C$38=0,R255&gt;=0),OR('前提と出典'!$C$37+'前提と出典'!$C$38=0,S255&gt;=0)),0,A255)</ns0:f>
        <ns0:v>0</ns0:v>
      </ns0:c>
      <ns0:c r="AD255" s="7">
        <ns0:f>IF(W255&gt;=0,A255,1001)</ns0:f>
        <ns0:v>251</ns0:v>
      </ns0:c>
      <ns0:c r="AE255" s="7">
        <ns0:f>IF(W255&lt;0,A255,0)</ns0:f>
        <ns0:v>0</ns0:v>
      </ns0:c>
      <ns0:c r="AF255" s="16">
        <ns0:f>IF(AND(OR('前提と出典'!$C$36+'前提と出典'!$C$38=0,U255&gt;=0),OR('前提と出典'!$C$37+'前提と出典'!$C$38=0,V255&gt;=0)),0,A255)</ns0:f>
        <ns0:v>0</ns0:v>
      </ns0:c>
      <ns0:c r="AG255" s="7">
        <ns0:f>IF(Z255&gt;=0,A255,1001)</ns0:f>
        <ns0:v>251</ns0:v>
      </ns0:c>
      <ns0:c r="AH255" s="4">
        <ns0:f>IF(Z255&lt;0,A255,0)</ns0:f>
        <ns0:v>0</ns0:v>
      </ns0:c>
      <ns0:c r="AI255" s="12">
        <ns0:f>IF(AND(OR('前提と出典'!$C$36+'前提と出典'!$C$38=0,X255&gt;=0),OR('前提と出典'!$C$37+'前提と出典'!$C$38=0,Y255&gt;=0)),0,A255)</ns0:f>
        <ns0:v>0</ns0:v>
      </ns0:c>
    </ns0:row>
    <ns0:row r="256" ht="24" customHeight="1">
      <ns0:c r="A256" s="4" t="n">
        <ns0:v>252</ns0:v>
      </ns0:c>
      <ns0:c r="B256" s="12">
        <ns0:f>A256*('前提と出典'!$C$36+'前提と出典'!$C$38)</ns0:f>
        <ns0:v>176.39999999999998</ns0:v>
      </ns0:c>
      <ns0:c r="C256" s="12">
        <ns0:f>A256*('前提と出典'!$C$37+'前提と出典'!$C$38)</ns0:f>
        <ns0:v>151.2</ns0:v>
      </ns0:c>
      <ns0:c r="D256" s="16">
        <ns0:f>A256*('前提と出典'!$C$36*'契約別単価'!C5+'前提と出典'!$C$37*'契約別単価'!C6+'前提と出典'!$C$38*'契約別単価'!C7)</ns0:f>
        <ns0:v>1813.2737430167597</ns0:v>
      </ns0:c>
      <ns0:c r="E256" s="16">
        <ns0:f>A256*('前提と出典'!$C$36*'契約別単価'!E5+'前提と出典'!$C$37*'契約別単価'!E6+'前提と出典'!$C$38*'契約別単価'!E7)</ns0:f>
        <ns0:v>633495.9766567101</ns0:v>
      </ns0:c>
      <ns0:c r="F256" s="16">
        <ns0:f>A256*('前提と出典'!$C$36*'契約別単価'!F5+'前提と出典'!$C$37*'契約別単価'!F6+'前提と出典'!$C$38*'契約別単価'!F7)</ns0:f>
        <ns0:v>184077.73772525546</ns0:v>
      </ns0:c>
      <ns0:c r="G256" s="16">
        <ns0:f>A256*('前提と出典'!$C$36*'契約別単価'!G5+'前提と出典'!$C$37*'契約別単価'!G6+'前提と出典'!$C$38*'契約別単価'!G7)</ns0:f>
        <ns0:v>501606.7039106145</ns0:v>
      </ns0:c>
      <ns0:c r="H256" s="16">
        <ns0:f>A256*('前提と出典'!$C$36*'契約別単価'!H5+'前提と出典'!$C$37*'契約別単価'!H6+'前提と出典'!$C$38*'契約別単価'!H7)</ns0:f>
        <ns0:v>174082.68381011198</ns0:v>
      </ns0:c>
      <ns0:c r="I256" s="16">
        <ns0:f>A256*('前提と出典'!$C$36*'契約別単価'!I5+'前提と出典'!$C$37*'契約別単価'!I6+'前提と出典'!$C$38*'契約別単価'!I7)</ns0:f>
        <ns0:v>10633.273743016758</ns0:v>
      </ns0:c>
      <ns0:c r="J256" s="16">
        <ns0:f>A256*('前提と出典'!$C$36*'契約別単価'!J5+'前提と出典'!$C$37*'契約別単価'!J6+'前提と出典'!$C$38*'契約別単価'!J7)</ns0:f>
        <ns0:v>24768.965014996247</ns0:v>
      </ns0:c>
      <ns0:c r="K256" s="16">
        <ns0:f>A256*('前提と出典'!$C$36*'契約別単価'!K5+'前提と出典'!$C$37*'契約別単価'!K6+'前提と出典'!$C$38*'契約別単価'!K7)</ns0:f>
        <ns0:v>106168.49162011173</ns0:v>
      </ns0:c>
      <ns0:c r="L256" s="16">
        <ns0:f>A256*('前提と出典'!$C$36*'契約別単価'!L5+'前提と出典'!$C$37*'契約別単価'!L6+'前提と出典'!$C$38*'契約別単価'!L7)</ns0:f>
        <ns0:v>86442.75612700373</ns0:v>
      </ns0:c>
      <ns0:c r="M256" s="16">
        <ns0:f>IF(('前提と出典'!$C$36+'前提と出典'!$C$38)=0,0,IF(B256&lt;=10,'前提と出典'!B73+'前提と出典'!C73,IF(B256&lt;=100,'前提と出典'!B74+'前提と出典'!C74,IF(B256&lt;=500,'前提と出典'!B75+'前提と出典'!C75,'前提と出典'!B76+'前提と出典'!C76))))</ns0:f>
        <ns0:v>40000</ns0:v>
      </ns0:c>
      <ns0:c r="N256" s="16">
        <ns0:f>IF(('前提と出典'!$C$37+'前提と出典'!$C$38)=0,0,IF(C256&lt;=10,'前提と出典'!D73+'前提と出典'!E73,IF(C256&lt;=100,'前提と出典'!D74+'前提と出典'!E74,IF(C256&lt;=500,'前提と出典'!D75+'前提と出典'!E75,'前提と出典'!D76+'前提と出典'!E76))))</ns0:f>
        <ns0:v>56510.9346263078</ns0:v>
      </ns0:c>
      <ns0:c r="O256" s="16">
        <ns0:f>IF('前提と出典'!$C$36+'前提と出典'!$C$38=0,0,'前提と出典'!$B$4*IF('前提と出典'!$B$20=0,MAX('前提と出典'!$B$6,D256*'前提と出典'!$B$5),'前提と出典'!$B$6+D256*'前提と出典'!$B$5))</ns0:f>
        <ns0:v>250231.77653631283</ns0:v>
      </ns0:c>
      <ns0:c r="P256" s="16">
        <ns0:f>(E256+G256)*(1-'前提と出典'!$B$7)-I256-K256-M256-O256</ns0:f>
        <ns0:v>687205.4421674595</ns0:v>
      </ns0:c>
      <ns0:c r="Q256" s="16">
        <ns0:f>(F256+H256)*(1-'前提と出典'!$B$7)-J256-L256-N256</ns0:f>
        <ns0:v>177543.99059178645</ns0:v>
      </ns0:c>
      <ns0:c r="R256" s="16">
        <ns0:f>P256-E256*'前提と出典'!$E$4</ns0:f>
        <ns0:v>497156.6491704465</ns0:v>
      </ns0:c>
      <ns0:c r="S256" s="16">
        <ns0:f>Q256-F256*'前提と出典'!$E$4</ns0:f>
        <ns0:v>122320.6692742098</ns0:v>
      </ns0:c>
      <ns0:c r="T256" s="7">
        <ns0:f>R256+S256</ns0:f>
        <ns0:v>619477.3184446563</ns0:v>
      </ns0:c>
      <ns0:c r="U256" s="16">
        <ns0:f>P256-E256*'前提と出典'!$E$5</ns0:f>
        <ns0:v>433807.0515047755</ns0:v>
      </ns0:c>
      <ns0:c r="V256" s="16">
        <ns0:f>Q256-F256*'前提と出典'!$E$5</ns0:f>
        <ns0:v>103912.89550168425</ns0:v>
      </ns0:c>
      <ns0:c r="W256" s="7">
        <ns0:f>U256+V256</ns0:f>
        <ns0:v>537719.9470064597</ns0:v>
      </ns0:c>
      <ns0:c r="X256" s="16">
        <ns0:f>P256-E256*'前提と出典'!$E$6</ns0:f>
        <ns0:v>370457.45383910445</ns0:v>
      </ns0:c>
      <ns0:c r="Y256" s="16">
        <ns0:f>Q256-F256*'前提と出典'!$E$6</ns0:f>
        <ns0:v>85505.12172915874</ns0:v>
      </ns0:c>
      <ns0:c r="Z256" s="7">
        <ns0:f>X256+Y256</ns0:f>
        <ns0:v>455962.5755682632</ns0:v>
      </ns0:c>
      <ns0:c r="AA256" s="7">
        <ns0:f>IF(T256&gt;=0,A256,1001)</ns0:f>
        <ns0:v>252</ns0:v>
      </ns0:c>
      <ns0:c r="AB256" s="7">
        <ns0:f>IF(T256&lt;0,A256,0)</ns0:f>
        <ns0:v>0</ns0:v>
      </ns0:c>
      <ns0:c r="AC256" s="16">
        <ns0:f>IF(AND(OR('前提と出典'!$C$36+'前提と出典'!$C$38=0,R256&gt;=0),OR('前提と出典'!$C$37+'前提と出典'!$C$38=0,S256&gt;=0)),0,A256)</ns0:f>
        <ns0:v>0</ns0:v>
      </ns0:c>
      <ns0:c r="AD256" s="7">
        <ns0:f>IF(W256&gt;=0,A256,1001)</ns0:f>
        <ns0:v>252</ns0:v>
      </ns0:c>
      <ns0:c r="AE256" s="7">
        <ns0:f>IF(W256&lt;0,A256,0)</ns0:f>
        <ns0:v>0</ns0:v>
      </ns0:c>
      <ns0:c r="AF256" s="16">
        <ns0:f>IF(AND(OR('前提と出典'!$C$36+'前提と出典'!$C$38=0,U256&gt;=0),OR('前提と出典'!$C$37+'前提と出典'!$C$38=0,V256&gt;=0)),0,A256)</ns0:f>
        <ns0:v>0</ns0:v>
      </ns0:c>
      <ns0:c r="AG256" s="7">
        <ns0:f>IF(Z256&gt;=0,A256,1001)</ns0:f>
        <ns0:v>252</ns0:v>
      </ns0:c>
      <ns0:c r="AH256" s="4">
        <ns0:f>IF(Z256&lt;0,A256,0)</ns0:f>
        <ns0:v>0</ns0:v>
      </ns0:c>
      <ns0:c r="AI256" s="12">
        <ns0:f>IF(AND(OR('前提と出典'!$C$36+'前提と出典'!$C$38=0,X256&gt;=0),OR('前提と出典'!$C$37+'前提と出典'!$C$38=0,Y256&gt;=0)),0,A256)</ns0:f>
        <ns0:v>0</ns0:v>
      </ns0:c>
    </ns0:row>
    <ns0:row r="257" ht="24" customHeight="1">
      <ns0:c r="A257" s="4" t="n">
        <ns0:v>253</ns0:v>
      </ns0:c>
      <ns0:c r="B257" s="12">
        <ns0:f>A257*('前提と出典'!$C$36+'前提と出典'!$C$38)</ns0:f>
        <ns0:v>177.1</ns0:v>
      </ns0:c>
      <ns0:c r="C257" s="12">
        <ns0:f>A257*('前提と出典'!$C$37+'前提と出典'!$C$38)</ns0:f>
        <ns0:v>151.79999999999998</ns0:v>
      </ns0:c>
      <ns0:c r="D257" s="16">
        <ns0:f>A257*('前提と出典'!$C$36*'契約別単価'!C5+'前提と出典'!$C$37*'契約別単価'!C6+'前提と出典'!$C$38*'契約別単価'!C7)</ns0:f>
        <ns0:v>1820.4692737430169</ns0:v>
      </ns0:c>
      <ns0:c r="E257" s="16">
        <ns0:f>A257*('前提と出典'!$C$36*'契約別単価'!E5+'前提と出典'!$C$37*'契約別単価'!E6+'前提と出典'!$C$38*'契約別単価'!E7)</ns0:f>
        <ns0:v>636009.849579951</ns0:v>
      </ns0:c>
      <ns0:c r="F257" s="16">
        <ns0:f>A257*('前提と出典'!$C$36*'契約別単価'!F5+'前提と出典'!$C$37*'契約別単価'!F6+'前提と出典'!$C$38*'契約別単価'!F7)</ns0:f>
        <ns0:v>184808.20493845092</ns0:v>
      </ns0:c>
      <ns0:c r="G257" s="16">
        <ns0:f>A257*('前提と出典'!$C$36*'契約別単価'!G5+'前提と出典'!$C$37*'契約別単価'!G6+'前提と出典'!$C$38*'契約別単価'!G7)</ns0:f>
        <ns0:v>503597.2067039106</ns0:v>
      </ns0:c>
      <ns0:c r="H257" s="16">
        <ns0:f>A257*('前提と出典'!$C$36*'契約別単価'!H5+'前提と出典'!$C$37*'契約別単価'!H6+'前提と出典'!$C$38*'契約別単価'!H7)</ns0:f>
        <ns0:v>174773.48811094576</ns0:v>
      </ns0:c>
      <ns0:c r="I257" s="16">
        <ns0:f>A257*('前提と出典'!$C$36*'契約別単価'!I5+'前提と出典'!$C$37*'契約別単価'!I6+'前提と出典'!$C$38*'契約別単価'!I7)</ns0:f>
        <ns0:v>10675.469273743014</ns0:v>
      </ns0:c>
      <ns0:c r="J257" s="16">
        <ns0:f>A257*('前提と出典'!$C$36*'契約別単価'!J5+'前提と出典'!$C$37*'契約別単価'!J6+'前提と出典'!$C$38*'契約別単価'!J7)</ns0:f>
        <ns0:v>24867.25455870655</ns0:v>
      </ns0:c>
      <ns0:c r="K257" s="16">
        <ns0:f>A257*('前提と出典'!$C$36*'契約別単価'!K5+'前提と出典'!$C$37*'契約別単価'!K6+'前提と出典'!$C$38*'契約別単価'!K7)</ns0:f>
        <ns0:v>106589.79515828677</ns0:v>
      </ns0:c>
      <ns0:c r="L257" s="16">
        <ns0:f>A257*('前提と出典'!$C$36*'契約別単価'!L5+'前提と出典'!$C$37*'契約別単価'!L6+'前提と出典'!$C$38*'契約別単価'!L7)</ns0:f>
        <ns0:v>86785.78293703152</ns0:v>
      </ns0:c>
      <ns0:c r="M257" s="16">
        <ns0:f>IF(('前提と出典'!$C$36+'前提と出典'!$C$38)=0,0,IF(B257&lt;=10,'前提と出典'!B73+'前提と出典'!C73,IF(B257&lt;=100,'前提と出典'!B74+'前提と出典'!C74,IF(B257&lt;=500,'前提と出典'!B75+'前提と出典'!C75,'前提と出典'!B76+'前提と出典'!C76))))</ns0:f>
        <ns0:v>40000</ns0:v>
      </ns0:c>
      <ns0:c r="N257" s="16">
        <ns0:f>IF(('前提と出典'!$C$37+'前提と出典'!$C$38)=0,0,IF(C257&lt;=10,'前提と出典'!D73+'前提と出典'!E73,IF(C257&lt;=100,'前提と出典'!D74+'前提と出典'!E74,IF(C257&lt;=500,'前提と出典'!D75+'前提と出典'!E75,'前提と出典'!D76+'前提と出典'!E76))))</ns0:f>
        <ns0:v>56510.9346263078</ns0:v>
      </ns0:c>
      <ns0:c r="O257" s="16">
        <ns0:f>IF('前提と出典'!$C$36+'前提と出典'!$C$38=0,0,'前提と出典'!$B$4*IF('前提と出典'!$B$20=0,MAX('前提と出典'!$B$6,D257*'前提と出典'!$B$5),'前提と出典'!$B$6+D257*'前提と出典'!$B$5))</ns0:f>
        <ns0:v>251224.75977653635</ns0:v>
      </ns0:c>
      <ns0:c r="P257" s="16">
        <ns0:f>(E257+G257)*(1-'前提と出典'!$B$7)-I257-K257-M257-O257</ns0:f>
        <ns0:v>690091.1780490765</ns0:v>
      </ns0:c>
      <ns0:c r="Q257" s="16">
        <ns0:f>(F257+H257)*(1-'前提と出典'!$B$7)-J257-L257-N257</ns0:f>
        <ns0:v>178472.7799775725</ns0:v>
      </ns0:c>
      <ns0:c r="R257" s="16">
        <ns0:f>P257-E257*'前提と出典'!$E$4</ns0:f>
        <ns0:v>499288.2231750912</ns0:v>
      </ns0:c>
      <ns0:c r="S257" s="16">
        <ns0:f>Q257-F257*'前提と出典'!$E$4</ns0:f>
        <ns0:v>123030.31849603722</ns0:v>
      </ns0:c>
      <ns0:c r="T257" s="7">
        <ns0:f>R257+S257</ns0:f>
        <ns0:v>622318.5416711285</ns0:v>
      </ns0:c>
      <ns0:c r="U257" s="16">
        <ns0:f>P257-E257*'前提と出典'!$E$5</ns0:f>
        <ns0:v>435687.2382170961</ns0:v>
      </ns0:c>
      <ns0:c r="V257" s="16">
        <ns0:f>Q257-F257*'前提と出典'!$E$5</ns0:f>
        <ns0:v>104549.49800219212</ns0:v>
      </ns0:c>
      <ns0:c r="W257" s="7">
        <ns0:f>U257+V257</ns0:f>
        <ns0:v>540236.7362192882</ns0:v>
      </ns0:c>
      <ns0:c r="X257" s="16">
        <ns0:f>P257-E257*'前提と出典'!$E$6</ns0:f>
        <ns0:v>372086.25325910095</ns0:v>
      </ns0:c>
      <ns0:c r="Y257" s="16">
        <ns0:f>Q257-F257*'前提と出典'!$E$6</ns0:f>
        <ns0:v>86068.67750834709</ns0:v>
      </ns0:c>
      <ns0:c r="Z257" s="7">
        <ns0:f>X257+Y257</ns0:f>
        <ns0:v>458154.93076744804</ns0:v>
      </ns0:c>
      <ns0:c r="AA257" s="7">
        <ns0:f>IF(T257&gt;=0,A257,1001)</ns0:f>
        <ns0:v>253</ns0:v>
      </ns0:c>
      <ns0:c r="AB257" s="7">
        <ns0:f>IF(T257&lt;0,A257,0)</ns0:f>
        <ns0:v>0</ns0:v>
      </ns0:c>
      <ns0:c r="AC257" s="16">
        <ns0:f>IF(AND(OR('前提と出典'!$C$36+'前提と出典'!$C$38=0,R257&gt;=0),OR('前提と出典'!$C$37+'前提と出典'!$C$38=0,S257&gt;=0)),0,A257)</ns0:f>
        <ns0:v>0</ns0:v>
      </ns0:c>
      <ns0:c r="AD257" s="7">
        <ns0:f>IF(W257&gt;=0,A257,1001)</ns0:f>
        <ns0:v>253</ns0:v>
      </ns0:c>
      <ns0:c r="AE257" s="7">
        <ns0:f>IF(W257&lt;0,A257,0)</ns0:f>
        <ns0:v>0</ns0:v>
      </ns0:c>
      <ns0:c r="AF257" s="16">
        <ns0:f>IF(AND(OR('前提と出典'!$C$36+'前提と出典'!$C$38=0,U257&gt;=0),OR('前提と出典'!$C$37+'前提と出典'!$C$38=0,V257&gt;=0)),0,A257)</ns0:f>
        <ns0:v>0</ns0:v>
      </ns0:c>
      <ns0:c r="AG257" s="7">
        <ns0:f>IF(Z257&gt;=0,A257,1001)</ns0:f>
        <ns0:v>253</ns0:v>
      </ns0:c>
      <ns0:c r="AH257" s="4">
        <ns0:f>IF(Z257&lt;0,A257,0)</ns0:f>
        <ns0:v>0</ns0:v>
      </ns0:c>
      <ns0:c r="AI257" s="12">
        <ns0:f>IF(AND(OR('前提と出典'!$C$36+'前提と出典'!$C$38=0,X257&gt;=0),OR('前提と出典'!$C$37+'前提と出典'!$C$38=0,Y257&gt;=0)),0,A257)</ns0:f>
        <ns0:v>0</ns0:v>
      </ns0:c>
    </ns0:row>
    <ns0:row r="258" ht="24" customHeight="1">
      <ns0:c r="A258" s="4" t="n">
        <ns0:v>254</ns0:v>
      </ns0:c>
      <ns0:c r="B258" s="12">
        <ns0:f>A258*('前提と出典'!$C$36+'前提と出典'!$C$38)</ns0:f>
        <ns0:v>177.79999999999998</ns0:v>
      </ns0:c>
      <ns0:c r="C258" s="12">
        <ns0:f>A258*('前提と出典'!$C$37+'前提と出典'!$C$38)</ns0:f>
        <ns0:v>152.4</ns0:v>
      </ns0:c>
      <ns0:c r="D258" s="16">
        <ns0:f>A258*('前提と出典'!$C$36*'契約別単価'!C5+'前提と出典'!$C$37*'契約別単価'!C6+'前提と出典'!$C$38*'契約別単価'!C7)</ns0:f>
        <ns0:v>1827.6648044692738</ns0:v>
      </ns0:c>
      <ns0:c r="E258" s="16">
        <ns0:f>A258*('前提と出典'!$C$36*'契約別単価'!E5+'前提と出典'!$C$37*'契約別単価'!E6+'前提と出典'!$C$38*'契約別単価'!E7)</ns0:f>
        <ns0:v>638523.7225031919</ns0:v>
      </ns0:c>
      <ns0:c r="F258" s="16">
        <ns0:f>A258*('前提と出典'!$C$36*'契約別単価'!F5+'前提と出典'!$C$37*'契約別単価'!F6+'前提と出典'!$C$38*'契約別単価'!F7)</ns0:f>
        <ns0:v>185538.67215164637</ns0:v>
      </ns0:c>
      <ns0:c r="G258" s="16">
        <ns0:f>A258*('前提と出典'!$C$36*'契約別単価'!G5+'前提と出典'!$C$37*'契約別単価'!G6+'前提と出典'!$C$38*'契約別単価'!G7)</ns0:f>
        <ns0:v>505587.70949720667</ns0:v>
      </ns0:c>
      <ns0:c r="H258" s="16">
        <ns0:f>A258*('前提と出典'!$C$36*'契約別単価'!H5+'前提と出典'!$C$37*'契約別単価'!H6+'前提と出典'!$C$38*'契約別単価'!H7)</ns0:f>
        <ns0:v>175464.29241177952</ns0:v>
      </ns0:c>
      <ns0:c r="I258" s="16">
        <ns0:f>A258*('前提と出典'!$C$36*'契約別単価'!I5+'前提と出典'!$C$37*'契約別単価'!I6+'前提と出典'!$C$38*'契約別単価'!I7)</ns0:f>
        <ns0:v>10717.664804469272</ns0:v>
      </ns0:c>
      <ns0:c r="J258" s="16">
        <ns0:f>A258*('前提と出典'!$C$36*'契約別単価'!J5+'前提と出典'!$C$37*'契約別単価'!J6+'前提と出典'!$C$38*'契約別単価'!J7)</ns0:f>
        <ns0:v>24965.54410241685</ns0:v>
      </ns0:c>
      <ns0:c r="K258" s="16">
        <ns0:f>A258*('前提と出典'!$C$36*'契約別単価'!K5+'前提と出典'!$C$37*'契約別単価'!K6+'前提と出典'!$C$38*'契約別単価'!K7)</ns0:f>
        <ns0:v>107011.09869646182</ns0:v>
      </ns0:c>
      <ns0:c r="L258" s="16">
        <ns0:f>A258*('前提と出典'!$C$36*'契約別単価'!L5+'前提と出典'!$C$37*'契約別単価'!L6+'前提と出典'!$C$38*'契約別単価'!L7)</ns0:f>
        <ns0:v>87128.80974705932</ns0:v>
      </ns0:c>
      <ns0:c r="M258" s="16">
        <ns0:f>IF(('前提と出典'!$C$36+'前提と出典'!$C$38)=0,0,IF(B258&lt;=10,'前提と出典'!B73+'前提と出典'!C73,IF(B258&lt;=100,'前提と出典'!B74+'前提と出典'!C74,IF(B258&lt;=500,'前提と出典'!B75+'前提と出典'!C75,'前提と出典'!B76+'前提と出典'!C76))))</ns0:f>
        <ns0:v>40000</ns0:v>
      </ns0:c>
      <ns0:c r="N258" s="16">
        <ns0:f>IF(('前提と出典'!$C$37+'前提と出典'!$C$38)=0,0,IF(C258&lt;=10,'前提と出典'!D73+'前提と出典'!E73,IF(C258&lt;=100,'前提と出典'!D74+'前提と出典'!E74,IF(C258&lt;=500,'前提と出典'!D75+'前提と出典'!E75,'前提と出典'!D76+'前提と出典'!E76))))</ns0:f>
        <ns0:v>56510.9346263078</ns0:v>
      </ns0:c>
      <ns0:c r="O258" s="16">
        <ns0:f>IF('前提と出典'!$C$36+'前提と出典'!$C$38=0,0,'前提と出典'!$B$4*IF('前提と出典'!$B$20=0,MAX('前提と出典'!$B$6,D258*'前提と出典'!$B$5),'前提と出典'!$B$6+D258*'前提と出典'!$B$5))</ns0:f>
        <ns0:v>252217.74301675978</ns0:v>
      </ns0:c>
      <ns0:c r="P258" s="16">
        <ns0:f>(E258+G258)*(1-'前提と出典'!$B$7)-I258-K258-M258-O258</ns0:f>
        <ns0:v>692976.9139306934</ns0:v>
      </ns0:c>
      <ns0:c r="Q258" s="16">
        <ns0:f>(F258+H258)*(1-'前提と出典'!$B$7)-J258-L258-N258</ns0:f>
        <ns0:v>179401.56936335858</ns0:v>
      </ns0:c>
      <ns0:c r="R258" s="16">
        <ns0:f>P258-E258*'前提と出典'!$E$4</ns0:f>
        <ns0:v>501419.79717973585</ns0:v>
      </ns0:c>
      <ns0:c r="S258" s="16">
        <ns0:f>Q258-F258*'前提と出典'!$E$4</ns0:f>
        <ns0:v>123739.96771786473</ns0:v>
      </ns0:c>
      <ns0:c r="T258" s="7">
        <ns0:f>R258+S258</ns0:f>
        <ns0:v>625159.7648976005</ns0:v>
      </ns0:c>
      <ns0:c r="U258" s="16">
        <ns0:f>P258-E258*'前提と出典'!$E$5</ns0:f>
        <ns0:v>437567.4249294166</ns0:v>
      </ns0:c>
      <ns0:c r="V258" s="16">
        <ns0:f>Q258-F258*'前提と出典'!$E$5</ns0:f>
        <ns0:v>105186.10050270002</ns0:v>
      </ns0:c>
      <ns0:c r="W258" s="7">
        <ns0:f>U258+V258</ns0:f>
        <ns0:v>542753.5254321166</ns0:v>
      </ns0:c>
      <ns0:c r="X258" s="16">
        <ns0:f>P258-E258*'前提と出典'!$E$6</ns0:f>
        <ns0:v>373715.0526790974</ns0:v>
      </ns0:c>
      <ns0:c r="Y258" s="16">
        <ns0:f>Q258-F258*'前提と出典'!$E$6</ns0:f>
        <ns0:v>86632.23328753537</ns0:v>
      </ns0:c>
      <ns0:c r="Z258" s="7">
        <ns0:f>X258+Y258</ns0:f>
        <ns0:v>460347.2859666328</ns0:v>
      </ns0:c>
      <ns0:c r="AA258" s="7">
        <ns0:f>IF(T258&gt;=0,A258,1001)</ns0:f>
        <ns0:v>254</ns0:v>
      </ns0:c>
      <ns0:c r="AB258" s="7">
        <ns0:f>IF(T258&lt;0,A258,0)</ns0:f>
        <ns0:v>0</ns0:v>
      </ns0:c>
      <ns0:c r="AC258" s="16">
        <ns0:f>IF(AND(OR('前提と出典'!$C$36+'前提と出典'!$C$38=0,R258&gt;=0),OR('前提と出典'!$C$37+'前提と出典'!$C$38=0,S258&gt;=0)),0,A258)</ns0:f>
        <ns0:v>0</ns0:v>
      </ns0:c>
      <ns0:c r="AD258" s="7">
        <ns0:f>IF(W258&gt;=0,A258,1001)</ns0:f>
        <ns0:v>254</ns0:v>
      </ns0:c>
      <ns0:c r="AE258" s="7">
        <ns0:f>IF(W258&lt;0,A258,0)</ns0:f>
        <ns0:v>0</ns0:v>
      </ns0:c>
      <ns0:c r="AF258" s="16">
        <ns0:f>IF(AND(OR('前提と出典'!$C$36+'前提と出典'!$C$38=0,U258&gt;=0),OR('前提と出典'!$C$37+'前提と出典'!$C$38=0,V258&gt;=0)),0,A258)</ns0:f>
        <ns0:v>0</ns0:v>
      </ns0:c>
      <ns0:c r="AG258" s="7">
        <ns0:f>IF(Z258&gt;=0,A258,1001)</ns0:f>
        <ns0:v>254</ns0:v>
      </ns0:c>
      <ns0:c r="AH258" s="4">
        <ns0:f>IF(Z258&lt;0,A258,0)</ns0:f>
        <ns0:v>0</ns0:v>
      </ns0:c>
      <ns0:c r="AI258" s="12">
        <ns0:f>IF(AND(OR('前提と出典'!$C$36+'前提と出典'!$C$38=0,X258&gt;=0),OR('前提と出典'!$C$37+'前提と出典'!$C$38=0,Y258&gt;=0)),0,A258)</ns0:f>
        <ns0:v>0</ns0:v>
      </ns0:c>
    </ns0:row>
    <ns0:row r="259" ht="24" customHeight="1">
      <ns0:c r="A259" s="4" t="n">
        <ns0:v>255</ns0:v>
      </ns0:c>
      <ns0:c r="B259" s="12">
        <ns0:f>A259*('前提と出典'!$C$36+'前提と出典'!$C$38)</ns0:f>
        <ns0:v>178.5</ns0:v>
      </ns0:c>
      <ns0:c r="C259" s="12">
        <ns0:f>A259*('前提と出典'!$C$37+'前提と出典'!$C$38)</ns0:f>
        <ns0:v>153</ns0:v>
      </ns0:c>
      <ns0:c r="D259" s="16">
        <ns0:f>A259*('前提と出典'!$C$36*'契約別単価'!C5+'前提と出典'!$C$37*'契約別単価'!C6+'前提と出典'!$C$38*'契約別単価'!C7)</ns0:f>
        <ns0:v>1834.8603351955308</ns0:v>
      </ns0:c>
      <ns0:c r="E259" s="16">
        <ns0:f>A259*('前提と出典'!$C$36*'契約別単価'!E5+'前提と出典'!$C$37*'契約別単価'!E6+'前提と出典'!$C$38*'契約別単価'!E7)</ns0:f>
        <ns0:v>641037.5954264329</ns0:v>
      </ns0:c>
      <ns0:c r="F259" s="16">
        <ns0:f>A259*('前提と出典'!$C$36*'契約別単価'!F5+'前提と出典'!$C$37*'契約別単価'!F6+'前提と出典'!$C$38*'契約別単価'!F7)</ns0:f>
        <ns0:v>186269.13936484183</ns0:v>
      </ns0:c>
      <ns0:c r="G259" s="16">
        <ns0:f>A259*('前提と出典'!$C$36*'契約別単価'!G5+'前提と出典'!$C$37*'契約別単価'!G6+'前提と出典'!$C$38*'契約別単価'!G7)</ns0:f>
        <ns0:v>507578.2122905028</ns0:v>
      </ns0:c>
      <ns0:c r="H259" s="16">
        <ns0:f>A259*('前提と出典'!$C$36*'契約別単価'!H5+'前提と出典'!$C$37*'契約別単価'!H6+'前提と出典'!$C$38*'契約別単価'!H7)</ns0:f>
        <ns0:v>176155.0967126133</ns0:v>
      </ns0:c>
      <ns0:c r="I259" s="16">
        <ns0:f>A259*('前提と出典'!$C$36*'契約別単価'!I5+'前提と出典'!$C$37*'契約別単価'!I6+'前提と出典'!$C$38*'契約別単価'!I7)</ns0:f>
        <ns0:v>10759.860335195528</ns0:v>
      </ns0:c>
      <ns0:c r="J259" s="16">
        <ns0:f>A259*('前提と出典'!$C$36*'契約別単価'!J5+'前提と出典'!$C$37*'契約別単価'!J6+'前提と出典'!$C$38*'契約別単価'!J7)</ns0:f>
        <ns0:v>25063.833646127154</ns0:v>
      </ns0:c>
      <ns0:c r="K259" s="16">
        <ns0:f>A259*('前提と出典'!$C$36*'契約別単価'!K5+'前提と出典'!$C$37*'契約別単価'!K6+'前提と出典'!$C$38*'契約別単価'!K7)</ns0:f>
        <ns0:v>107432.40223463686</ns0:v>
      </ns0:c>
      <ns0:c r="L259" s="16">
        <ns0:f>A259*('前提と出典'!$C$36*'契約別単価'!L5+'前提と出典'!$C$37*'契約別単価'!L6+'前提と出典'!$C$38*'契約別単価'!L7)</ns0:f>
        <ns0:v>87471.83655708711</ns0:v>
      </ns0:c>
      <ns0:c r="M259" s="16">
        <ns0:f>IF(('前提と出典'!$C$36+'前提と出典'!$C$38)=0,0,IF(B259&lt;=10,'前提と出典'!B73+'前提と出典'!C73,IF(B259&lt;=100,'前提と出典'!B74+'前提と出典'!C74,IF(B259&lt;=500,'前提と出典'!B75+'前提と出典'!C75,'前提と出典'!B76+'前提と出典'!C76))))</ns0:f>
        <ns0:v>40000</ns0:v>
      </ns0:c>
      <ns0:c r="N259" s="16">
        <ns0:f>IF(('前提と出典'!$C$37+'前提と出典'!$C$38)=0,0,IF(C259&lt;=10,'前提と出典'!D73+'前提と出典'!E73,IF(C259&lt;=100,'前提と出典'!D74+'前提と出典'!E74,IF(C259&lt;=500,'前提と出典'!D75+'前提と出典'!E75,'前提と出典'!D76+'前提と出典'!E76))))</ns0:f>
        <ns0:v>56510.9346263078</ns0:v>
      </ns0:c>
      <ns0:c r="O259" s="16">
        <ns0:f>IF('前提と出典'!$C$36+'前提と出典'!$C$38=0,0,'前提と出典'!$B$4*IF('前提と出典'!$B$20=0,MAX('前提と出典'!$B$6,D259*'前提と出典'!$B$5),'前提と出典'!$B$6+D259*'前提と出典'!$B$5))</ns0:f>
        <ns0:v>253210.72625698327</ns0:v>
      </ns0:c>
      <ns0:c r="P259" s="16">
        <ns0:f>(E259+G259)*(1-'前提と出典'!$B$7)-I259-K259-M259-O259</ns0:f>
        <ns0:v>695862.6498123104</ns0:v>
      </ns0:c>
      <ns0:c r="Q259" s="16">
        <ns0:f>(F259+H259)*(1-'前提と出典'!$B$7)-J259-L259-N259</ns0:f>
        <ns0:v>180330.35874914468</ns0:v>
      </ns0:c>
      <ns0:c r="R259" s="16">
        <ns0:f>P259-E259*'前提と出典'!$E$4</ns0:f>
        <ns0:v>503551.3711843805</ns0:v>
      </ns0:c>
      <ns0:c r="S259" s="16">
        <ns0:f>Q259-F259*'前提と出典'!$E$4</ns0:f>
        <ns0:v>124449.61693969215</ns0:v>
      </ns0:c>
      <ns0:c r="T259" s="7">
        <ns0:f>R259+S259</ns0:f>
        <ns0:v>628000.9881240727</ns0:v>
      </ns0:c>
      <ns0:c r="U259" s="16">
        <ns0:f>P259-E259*'前提と出典'!$E$5</ns0:f>
        <ns0:v>439447.61164173717</ns0:v>
      </ns0:c>
      <ns0:c r="V259" s="16">
        <ns0:f>Q259-F259*'前提と出典'!$E$5</ns0:f>
        <ns0:v>105822.70300320795</ns0:v>
      </ns0:c>
      <ns0:c r="W259" s="7">
        <ns0:f>U259+V259</ns0:f>
        <ns0:v>545270.3146449451</ns0:v>
      </ns0:c>
      <ns0:c r="X259" s="16">
        <ns0:f>P259-E259*'前提と出典'!$E$6</ns0:f>
        <ns0:v>375343.85209909396</ns0:v>
      </ns0:c>
      <ns0:c r="Y259" s="16">
        <ns0:f>Q259-F259*'前提と出典'!$E$6</ns0:f>
        <ns0:v>87195.78906672375</ns0:v>
      </ns0:c>
      <ns0:c r="Z259" s="7">
        <ns0:f>X259+Y259</ns0:f>
        <ns0:v>462539.64116581774</ns0:v>
      </ns0:c>
      <ns0:c r="AA259" s="7">
        <ns0:f>IF(T259&gt;=0,A259,1001)</ns0:f>
        <ns0:v>255</ns0:v>
      </ns0:c>
      <ns0:c r="AB259" s="7">
        <ns0:f>IF(T259&lt;0,A259,0)</ns0:f>
        <ns0:v>0</ns0:v>
      </ns0:c>
      <ns0:c r="AC259" s="16">
        <ns0:f>IF(AND(OR('前提と出典'!$C$36+'前提と出典'!$C$38=0,R259&gt;=0),OR('前提と出典'!$C$37+'前提と出典'!$C$38=0,S259&gt;=0)),0,A259)</ns0:f>
        <ns0:v>0</ns0:v>
      </ns0:c>
      <ns0:c r="AD259" s="7">
        <ns0:f>IF(W259&gt;=0,A259,1001)</ns0:f>
        <ns0:v>255</ns0:v>
      </ns0:c>
      <ns0:c r="AE259" s="7">
        <ns0:f>IF(W259&lt;0,A259,0)</ns0:f>
        <ns0:v>0</ns0:v>
      </ns0:c>
      <ns0:c r="AF259" s="16">
        <ns0:f>IF(AND(OR('前提と出典'!$C$36+'前提と出典'!$C$38=0,U259&gt;=0),OR('前提と出典'!$C$37+'前提と出典'!$C$38=0,V259&gt;=0)),0,A259)</ns0:f>
        <ns0:v>0</ns0:v>
      </ns0:c>
      <ns0:c r="AG259" s="7">
        <ns0:f>IF(Z259&gt;=0,A259,1001)</ns0:f>
        <ns0:v>255</ns0:v>
      </ns0:c>
      <ns0:c r="AH259" s="4">
        <ns0:f>IF(Z259&lt;0,A259,0)</ns0:f>
        <ns0:v>0</ns0:v>
      </ns0:c>
      <ns0:c r="AI259" s="12">
        <ns0:f>IF(AND(OR('前提と出典'!$C$36+'前提と出典'!$C$38=0,X259&gt;=0),OR('前提と出典'!$C$37+'前提と出典'!$C$38=0,Y259&gt;=0)),0,A259)</ns0:f>
        <ns0:v>0</ns0:v>
      </ns0:c>
    </ns0:row>
    <ns0:row r="260" ht="24" customHeight="1">
      <ns0:c r="A260" s="4" t="n">
        <ns0:v>256</ns0:v>
      </ns0:c>
      <ns0:c r="B260" s="12">
        <ns0:f>A260*('前提と出典'!$C$36+'前提と出典'!$C$38)</ns0:f>
        <ns0:v>179.2</ns0:v>
      </ns0:c>
      <ns0:c r="C260" s="12">
        <ns0:f>A260*('前提と出典'!$C$37+'前提と出典'!$C$38)</ns0:f>
        <ns0:v>153.6</ns0:v>
      </ns0:c>
      <ns0:c r="D260" s="16">
        <ns0:f>A260*('前提と出典'!$C$36*'契約別単価'!C5+'前提と出典'!$C$37*'契約別単価'!C6+'前提と出典'!$C$38*'契約別単価'!C7)</ns0:f>
        <ns0:v>1842.0558659217877</ns0:v>
      </ns0:c>
      <ns0:c r="E260" s="16">
        <ns0:f>A260*('前提と出典'!$C$36*'契約別単価'!E5+'前提と出典'!$C$37*'契約別単価'!E6+'前提と出典'!$C$38*'契約別単価'!E7)</ns0:f>
        <ns0:v>643551.4683496738</ns0:v>
      </ns0:c>
      <ns0:c r="F260" s="16">
        <ns0:f>A260*('前提と出典'!$C$36*'契約別単価'!F5+'前提と出典'!$C$37*'契約別単価'!F6+'前提と出典'!$C$38*'契約別単価'!F7)</ns0:f>
        <ns0:v>186999.6065780373</ns0:v>
      </ns0:c>
      <ns0:c r="G260" s="16">
        <ns0:f>A260*('前提と出典'!$C$36*'契約別単価'!G5+'前提と出典'!$C$37*'契約別単価'!G6+'前提と出典'!$C$38*'契約別単価'!G7)</ns0:f>
        <ns0:v>509568.71508379886</ns0:v>
      </ns0:c>
      <ns0:c r="H260" s="16">
        <ns0:f>A260*('前提と出典'!$C$36*'契約別単価'!H5+'前提と出典'!$C$37*'契約別単価'!H6+'前提と出典'!$C$38*'契約別単価'!H7)</ns0:f>
        <ns0:v>176845.9010134471</ns0:v>
      </ns0:c>
      <ns0:c r="I260" s="16">
        <ns0:f>A260*('前提と出典'!$C$36*'契約別単価'!I5+'前提と出典'!$C$37*'契約別単価'!I6+'前提と出典'!$C$38*'契約別単価'!I7)</ns0:f>
        <ns0:v>10802.055865921786</ns0:v>
      </ns0:c>
      <ns0:c r="J260" s="16">
        <ns0:f>A260*('前提と出典'!$C$36*'契約別単価'!J5+'前提と出典'!$C$37*'契約別単価'!J6+'前提と出典'!$C$38*'契約別単価'!J7)</ns0:f>
        <ns0:v>25162.123189837457</ns0:v>
      </ns0:c>
      <ns0:c r="K260" s="16">
        <ns0:f>A260*('前提と出典'!$C$36*'契約別単価'!K5+'前提と出典'!$C$37*'契約別単価'!K6+'前提と出典'!$C$38*'契約別単価'!K7)</ns0:f>
        <ns0:v>107853.70577281191</ns0:v>
      </ns0:c>
      <ns0:c r="L260" s="16">
        <ns0:f>A260*('前提と出典'!$C$36*'契約別単価'!L5+'前提と出典'!$C$37*'契約別単価'!L6+'前提と出典'!$C$38*'契約別単価'!L7)</ns0:f>
        <ns0:v>87814.8633671149</ns0:v>
      </ns0:c>
      <ns0:c r="M260" s="16">
        <ns0:f>IF(('前提と出典'!$C$36+'前提と出典'!$C$38)=0,0,IF(B260&lt;=10,'前提と出典'!B73+'前提と出典'!C73,IF(B260&lt;=100,'前提と出典'!B74+'前提と出典'!C74,IF(B260&lt;=500,'前提と出典'!B75+'前提と出典'!C75,'前提と出典'!B76+'前提と出典'!C76))))</ns0:f>
        <ns0:v>40000</ns0:v>
      </ns0:c>
      <ns0:c r="N260" s="16">
        <ns0:f>IF(('前提と出典'!$C$37+'前提と出典'!$C$38)=0,0,IF(C260&lt;=10,'前提と出典'!D73+'前提と出典'!E73,IF(C260&lt;=100,'前提と出典'!D74+'前提と出典'!E74,IF(C260&lt;=500,'前提と出典'!D75+'前提と出典'!E75,'前提と出典'!D76+'前提と出典'!E76))))</ns0:f>
        <ns0:v>56510.9346263078</ns0:v>
      </ns0:c>
      <ns0:c r="O260" s="16">
        <ns0:f>IF('前提と出典'!$C$36+'前提と出典'!$C$38=0,0,'前提と出典'!$B$4*IF('前提と出典'!$B$20=0,MAX('前提と出典'!$B$6,D260*'前提と出典'!$B$5),'前提と出典'!$B$6+D260*'前提と出典'!$B$5))</ns0:f>
        <ns0:v>254203.7094972067</ns0:v>
      </ns0:c>
      <ns0:c r="P260" s="16">
        <ns0:f>(E260+G260)*(1-'前提と出典'!$B$7)-I260-K260-M260-O260</ns0:f>
        <ns0:v>698748.3856939273</ns0:v>
      </ns0:c>
      <ns0:c r="Q260" s="16">
        <ns0:f>(F260+H260)*(1-'前提と出典'!$B$7)-J260-L260-N260</ns0:f>
        <ns0:v>181259.14813493076</ns0:v>
      </ns0:c>
      <ns0:c r="R260" s="16">
        <ns0:f>P260-E260*'前提と出典'!$E$4</ns0:f>
        <ns0:v>505682.945189025</ns0:v>
      </ns0:c>
      <ns0:c r="S260" s="16">
        <ns0:f>Q260-F260*'前提と出典'!$E$4</ns0:f>
        <ns0:v>125159.26616151957</ns0:v>
      </ns0:c>
      <ns0:c r="T260" s="7">
        <ns0:f>R260+S260</ns0:f>
        <ns0:v>630842.2113505446</ns0:v>
      </ns0:c>
      <ns0:c r="U260" s="16">
        <ns0:f>P260-E260*'前提と出典'!$E$5</ns0:f>
        <ns0:v>441327.7983540577</ns0:v>
      </ns0:c>
      <ns0:c r="V260" s="16">
        <ns0:f>Q260-F260*'前提と出典'!$E$5</ns0:f>
        <ns0:v>106459.30550371582</ns0:v>
      </ns0:c>
      <ns0:c r="W260" s="7">
        <ns0:f>U260+V260</ns0:f>
        <ns0:v>547787.1038577736</ns0:v>
      </ns0:c>
      <ns0:c r="X260" s="16">
        <ns0:f>P260-E260*'前提と出典'!$E$6</ns0:f>
        <ns0:v>376972.6515190903</ns0:v>
      </ns0:c>
      <ns0:c r="Y260" s="16">
        <ns0:f>Q260-F260*'前提と出典'!$E$6</ns0:f>
        <ns0:v>87759.34484591213</ns0:v>
      </ns0:c>
      <ns0:c r="Z260" s="7">
        <ns0:f>X260+Y260</ns0:f>
        <ns0:v>464731.9963650024</ns0:v>
      </ns0:c>
      <ns0:c r="AA260" s="7">
        <ns0:f>IF(T260&gt;=0,A260,1001)</ns0:f>
        <ns0:v>256</ns0:v>
      </ns0:c>
      <ns0:c r="AB260" s="7">
        <ns0:f>IF(T260&lt;0,A260,0)</ns0:f>
        <ns0:v>0</ns0:v>
      </ns0:c>
      <ns0:c r="AC260" s="16">
        <ns0:f>IF(AND(OR('前提と出典'!$C$36+'前提と出典'!$C$38=0,R260&gt;=0),OR('前提と出典'!$C$37+'前提と出典'!$C$38=0,S260&gt;=0)),0,A260)</ns0:f>
        <ns0:v>0</ns0:v>
      </ns0:c>
      <ns0:c r="AD260" s="7">
        <ns0:f>IF(W260&gt;=0,A260,1001)</ns0:f>
        <ns0:v>256</ns0:v>
      </ns0:c>
      <ns0:c r="AE260" s="7">
        <ns0:f>IF(W260&lt;0,A260,0)</ns0:f>
        <ns0:v>0</ns0:v>
      </ns0:c>
      <ns0:c r="AF260" s="16">
        <ns0:f>IF(AND(OR('前提と出典'!$C$36+'前提と出典'!$C$38=0,U260&gt;=0),OR('前提と出典'!$C$37+'前提と出典'!$C$38=0,V260&gt;=0)),0,A260)</ns0:f>
        <ns0:v>0</ns0:v>
      </ns0:c>
      <ns0:c r="AG260" s="7">
        <ns0:f>IF(Z260&gt;=0,A260,1001)</ns0:f>
        <ns0:v>256</ns0:v>
      </ns0:c>
      <ns0:c r="AH260" s="4">
        <ns0:f>IF(Z260&lt;0,A260,0)</ns0:f>
        <ns0:v>0</ns0:v>
      </ns0:c>
      <ns0:c r="AI260" s="12">
        <ns0:f>IF(AND(OR('前提と出典'!$C$36+'前提と出典'!$C$38=0,X260&gt;=0),OR('前提と出典'!$C$37+'前提と出典'!$C$38=0,Y260&gt;=0)),0,A260)</ns0:f>
        <ns0:v>0</ns0:v>
      </ns0:c>
    </ns0:row>
    <ns0:row r="261" ht="24" customHeight="1">
      <ns0:c r="A261" s="4" t="n">
        <ns0:v>257</ns0:v>
      </ns0:c>
      <ns0:c r="B261" s="12">
        <ns0:f>A261*('前提と出典'!$C$36+'前提と出典'!$C$38)</ns0:f>
        <ns0:v>179.89999999999998</ns0:v>
      </ns0:c>
      <ns0:c r="C261" s="12">
        <ns0:f>A261*('前提と出典'!$C$37+'前提と出典'!$C$38)</ns0:f>
        <ns0:v>154.2</ns0:v>
      </ns0:c>
      <ns0:c r="D261" s="16">
        <ns0:f>A261*('前提と出典'!$C$36*'契約別単価'!C5+'前提と出典'!$C$37*'契約別単価'!C6+'前提と出典'!$C$38*'契約別単価'!C7)</ns0:f>
        <ns0:v>1849.2513966480446</ns0:v>
      </ns0:c>
      <ns0:c r="E261" s="16">
        <ns0:f>A261*('前提と出典'!$C$36*'契約別単価'!E5+'前提と出典'!$C$37*'契約別単価'!E6+'前提と出典'!$C$38*'契約別単価'!E7)</ns0:f>
        <ns0:v>646065.3412729147</ns0:v>
      </ns0:c>
      <ns0:c r="F261" s="16">
        <ns0:f>A261*('前提と出典'!$C$36*'契約別単価'!F5+'前提と出典'!$C$37*'契約別単価'!F6+'前提と出典'!$C$38*'契約別単価'!F7)</ns0:f>
        <ns0:v>187730.07379123275</ns0:v>
      </ns0:c>
      <ns0:c r="G261" s="16">
        <ns0:f>A261*('前提と出典'!$C$36*'契約別単価'!G5+'前提と出典'!$C$37*'契約別単価'!G6+'前提と出典'!$C$38*'契約別単価'!G7)</ns0:f>
        <ns0:v>511559.2178770949</ns0:v>
      </ns0:c>
      <ns0:c r="H261" s="16">
        <ns0:f>A261*('前提と出典'!$C$36*'契約別単価'!H5+'前提と出典'!$C$37*'契約別単価'!H6+'前提と出典'!$C$38*'契約別単価'!H7)</ns0:f>
        <ns0:v>177536.70531428087</ns0:v>
      </ns0:c>
      <ns0:c r="I261" s="16">
        <ns0:f>A261*('前提と出典'!$C$36*'契約別単価'!I5+'前提と出典'!$C$37*'契約別単価'!I6+'前提と出典'!$C$38*'契約別単価'!I7)</ns0:f>
        <ns0:v>10844.251396648044</ns0:v>
      </ns0:c>
      <ns0:c r="J261" s="16">
        <ns0:f>A261*('前提と出典'!$C$36*'契約別単価'!J5+'前提と出典'!$C$37*'契約別単価'!J6+'前提と出典'!$C$38*'契約別単価'!J7)</ns0:f>
        <ns0:v>25260.41273354776</ns0:v>
      </ns0:c>
      <ns0:c r="K261" s="16">
        <ns0:f>A261*('前提と出典'!$C$36*'契約別単価'!K5+'前提と出典'!$C$37*'契約別単価'!K6+'前提と出典'!$C$38*'契約別単価'!K7)</ns0:f>
        <ns0:v>108275.00931098696</ns0:v>
      </ns0:c>
      <ns0:c r="L261" s="16">
        <ns0:f>A261*('前提と出典'!$C$36*'契約別単価'!L5+'前提と出典'!$C$37*'契約別単価'!L6+'前提と出典'!$C$38*'契約別単価'!L7)</ns0:f>
        <ns0:v>88157.89017714269</ns0:v>
      </ns0:c>
      <ns0:c r="M261" s="16">
        <ns0:f>IF(('前提と出典'!$C$36+'前提と出典'!$C$38)=0,0,IF(B261&lt;=10,'前提と出典'!B73+'前提と出典'!C73,IF(B261&lt;=100,'前提と出典'!B74+'前提と出典'!C74,IF(B261&lt;=500,'前提と出典'!B75+'前提と出典'!C75,'前提と出典'!B76+'前提と出典'!C76))))</ns0:f>
        <ns0:v>40000</ns0:v>
      </ns0:c>
      <ns0:c r="N261" s="16">
        <ns0:f>IF(('前提と出典'!$C$37+'前提と出典'!$C$38)=0,0,IF(C261&lt;=10,'前提と出典'!D73+'前提と出典'!E73,IF(C261&lt;=100,'前提と出典'!D74+'前提と出典'!E74,IF(C261&lt;=500,'前提と出典'!D75+'前提と出典'!E75,'前提と出典'!D76+'前提と出典'!E76))))</ns0:f>
        <ns0:v>56510.9346263078</ns0:v>
      </ns0:c>
      <ns0:c r="O261" s="16">
        <ns0:f>IF('前提と出典'!$C$36+'前提と出典'!$C$38=0,0,'前提と出典'!$B$4*IF('前提と出典'!$B$20=0,MAX('前提と出典'!$B$6,D261*'前提と出典'!$B$5),'前提と出典'!$B$6+D261*'前提と出典'!$B$5))</ns0:f>
        <ns0:v>255196.6927374302</ns0:v>
      </ns0:c>
      <ns0:c r="P261" s="16">
        <ns0:f>(E261+G261)*(1-'前提と出典'!$B$7)-I261-K261-M261-O261</ns0:f>
        <ns0:v>701634.1215755441</ns0:v>
      </ns0:c>
      <ns0:c r="Q261" s="16">
        <ns0:f>(F261+H261)*(1-'前提と出典'!$B$7)-J261-L261-N261</ns0:f>
        <ns0:v>182187.93752071686</ns0:v>
      </ns0:c>
      <ns0:c r="R261" s="16">
        <ns0:f>P261-E261*'前提と出典'!$E$4</ns0:f>
        <ns0:v>507814.5191936698</ns0:v>
      </ns0:c>
      <ns0:c r="S261" s="16">
        <ns0:f>Q261-F261*'前提と出典'!$E$4</ns0:f>
        <ns0:v>125868.91538334702</ns0:v>
      </ns0:c>
      <ns0:c r="T261" s="7">
        <ns0:f>R261+S261</ns0:f>
        <ns0:v>633683.4345770169</ns0:v>
      </ns0:c>
      <ns0:c r="U261" s="16">
        <ns0:f>P261-E261*'前提と出典'!$E$5</ns0:f>
        <ns0:v>443207.98506637826</ns0:v>
      </ns0:c>
      <ns0:c r="V261" s="16">
        <ns0:f>Q261-F261*'前提と出典'!$E$5</ns0:f>
        <ns0:v>107095.90800422375</ns0:v>
      </ns0:c>
      <ns0:c r="W261" s="7">
        <ns0:f>U261+V261</ns0:f>
        <ns0:v>550303.893070602</ns0:v>
      </ns0:c>
      <ns0:c r="X261" s="16">
        <ns0:f>P261-E261*'前提と出典'!$E$6</ns0:f>
        <ns0:v>378601.45093908673</ns0:v>
      </ns0:c>
      <ns0:c r="Y261" s="16">
        <ns0:f>Q261-F261*'前提と出典'!$E$6</ns0:f>
        <ns0:v>88322.90062510045</ns0:v>
      </ns0:c>
      <ns0:c r="Z261" s="7">
        <ns0:f>X261+Y261</ns0:f>
        <ns0:v>466924.3515641872</ns0:v>
      </ns0:c>
      <ns0:c r="AA261" s="7">
        <ns0:f>IF(T261&gt;=0,A261,1001)</ns0:f>
        <ns0:v>257</ns0:v>
      </ns0:c>
      <ns0:c r="AB261" s="7">
        <ns0:f>IF(T261&lt;0,A261,0)</ns0:f>
        <ns0:v>0</ns0:v>
      </ns0:c>
      <ns0:c r="AC261" s="16">
        <ns0:f>IF(AND(OR('前提と出典'!$C$36+'前提と出典'!$C$38=0,R261&gt;=0),OR('前提と出典'!$C$37+'前提と出典'!$C$38=0,S261&gt;=0)),0,A261)</ns0:f>
        <ns0:v>0</ns0:v>
      </ns0:c>
      <ns0:c r="AD261" s="7">
        <ns0:f>IF(W261&gt;=0,A261,1001)</ns0:f>
        <ns0:v>257</ns0:v>
      </ns0:c>
      <ns0:c r="AE261" s="7">
        <ns0:f>IF(W261&lt;0,A261,0)</ns0:f>
        <ns0:v>0</ns0:v>
      </ns0:c>
      <ns0:c r="AF261" s="16">
        <ns0:f>IF(AND(OR('前提と出典'!$C$36+'前提と出典'!$C$38=0,U261&gt;=0),OR('前提と出典'!$C$37+'前提と出典'!$C$38=0,V261&gt;=0)),0,A261)</ns0:f>
        <ns0:v>0</ns0:v>
      </ns0:c>
      <ns0:c r="AG261" s="7">
        <ns0:f>IF(Z261&gt;=0,A261,1001)</ns0:f>
        <ns0:v>257</ns0:v>
      </ns0:c>
      <ns0:c r="AH261" s="4">
        <ns0:f>IF(Z261&lt;0,A261,0)</ns0:f>
        <ns0:v>0</ns0:v>
      </ns0:c>
      <ns0:c r="AI261" s="12">
        <ns0:f>IF(AND(OR('前提と出典'!$C$36+'前提と出典'!$C$38=0,X261&gt;=0),OR('前提と出典'!$C$37+'前提と出典'!$C$38=0,Y261&gt;=0)),0,A261)</ns0:f>
        <ns0:v>0</ns0:v>
      </ns0:c>
    </ns0:row>
    <ns0:row r="262" ht="24" customHeight="1">
      <ns0:c r="A262" s="4" t="n">
        <ns0:v>258</ns0:v>
      </ns0:c>
      <ns0:c r="B262" s="12">
        <ns0:f>A262*('前提と出典'!$C$36+'前提と出典'!$C$38)</ns0:f>
        <ns0:v>180.6</ns0:v>
      </ns0:c>
      <ns0:c r="C262" s="12">
        <ns0:f>A262*('前提と出典'!$C$37+'前提と出典'!$C$38)</ns0:f>
        <ns0:v>154.79999999999998</ns0:v>
      </ns0:c>
      <ns0:c r="D262" s="16">
        <ns0:f>A262*('前提と出典'!$C$36*'契約別単価'!C5+'前提と出典'!$C$37*'契約別単価'!C6+'前提と出典'!$C$38*'契約別単価'!C7)</ns0:f>
        <ns0:v>1856.4469273743016</ns0:v>
      </ns0:c>
      <ns0:c r="E262" s="16">
        <ns0:f>A262*('前提と出典'!$C$36*'契約別単価'!E5+'前提と出典'!$C$37*'契約別単価'!E6+'前提と出典'!$C$38*'契約別単価'!E7)</ns0:f>
        <ns0:v>648579.2141961557</ns0:v>
      </ns0:c>
      <ns0:c r="F262" s="16">
        <ns0:f>A262*('前提と出典'!$C$36*'契約別単価'!F5+'前提と出典'!$C$37*'契約別単価'!F6+'前提と出典'!$C$38*'契約別単価'!F7)</ns0:f>
        <ns0:v>188460.5410044282</ns0:v>
      </ns0:c>
      <ns0:c r="G262" s="16">
        <ns0:f>A262*('前提と出典'!$C$36*'契約別単価'!G5+'前提と出典'!$C$37*'契約別単価'!G6+'前提と出典'!$C$38*'契約別単価'!G7)</ns0:f>
        <ns0:v>513549.72067039105</ns0:v>
      </ns0:c>
      <ns0:c r="H262" s="16">
        <ns0:f>A262*('前提と出典'!$C$36*'契約別単価'!H5+'前提と出典'!$C$37*'契約別単価'!H6+'前提と出典'!$C$38*'契約別単価'!H7)</ns0:f>
        <ns0:v>178227.50961511466</ns0:v>
      </ns0:c>
      <ns0:c r="I262" s="16">
        <ns0:f>A262*('前提と出典'!$C$36*'契約別単価'!I5+'前提と出典'!$C$37*'契約別単価'!I6+'前提と出典'!$C$38*'契約別単価'!I7)</ns0:f>
        <ns0:v>10886.4469273743</ns0:v>
      </ns0:c>
      <ns0:c r="J262" s="16">
        <ns0:f>A262*('前提と出典'!$C$36*'契約別単価'!J5+'前提と出典'!$C$37*'契約別単価'!J6+'前提と出典'!$C$38*'契約別単価'!J7)</ns0:f>
        <ns0:v>25358.702277258064</ns0:v>
      </ns0:c>
      <ns0:c r="K262" s="16">
        <ns0:f>A262*('前提と出典'!$C$36*'契約別単価'!K5+'前提と出典'!$C$37*'契約別単価'!K6+'前提と出典'!$C$38*'契約別単価'!K7)</ns0:f>
        <ns0:v>108696.312849162</ns0:v>
      </ns0:c>
      <ns0:c r="L262" s="16">
        <ns0:f>A262*('前提と出典'!$C$36*'契約別単価'!L5+'前提と出典'!$C$37*'契約別単価'!L6+'前提と出典'!$C$38*'契約別単価'!L7)</ns0:f>
        <ns0:v>88500.91698717048</ns0:v>
      </ns0:c>
      <ns0:c r="M262" s="16">
        <ns0:f>IF(('前提と出典'!$C$36+'前提と出典'!$C$38)=0,0,IF(B262&lt;=10,'前提と出典'!B73+'前提と出典'!C73,IF(B262&lt;=100,'前提と出典'!B74+'前提と出典'!C74,IF(B262&lt;=500,'前提と出典'!B75+'前提と出典'!C75,'前提と出典'!B76+'前提と出典'!C76))))</ns0:f>
        <ns0:v>40000</ns0:v>
      </ns0:c>
      <ns0:c r="N262" s="16">
        <ns0:f>IF(('前提と出典'!$C$37+'前提と出典'!$C$38)=0,0,IF(C262&lt;=10,'前提と出典'!D73+'前提と出典'!E73,IF(C262&lt;=100,'前提と出典'!D74+'前提と出典'!E74,IF(C262&lt;=500,'前提と出典'!D75+'前提と出典'!E75,'前提と出典'!D76+'前提と出典'!E76))))</ns0:f>
        <ns0:v>56510.9346263078</ns0:v>
      </ns0:c>
      <ns0:c r="O262" s="16">
        <ns0:f>IF('前提と出典'!$C$36+'前提と出典'!$C$38=0,0,'前提と出典'!$B$4*IF('前提と出典'!$B$20=0,MAX('前提と出典'!$B$6,D262*'前提と出典'!$B$5),'前提と出典'!$B$6+D262*'前提と出典'!$B$5))</ns0:f>
        <ns0:v>256189.67597765362</ns0:v>
      </ns0:c>
      <ns0:c r="P262" s="16">
        <ns0:f>(E262+G262)*(1-'前提と出典'!$B$7)-I262-K262-M262-O262</ns0:f>
        <ns0:v>704519.857457161</ns0:v>
      </ns0:c>
      <ns0:c r="Q262" s="16">
        <ns0:f>(F262+H262)*(1-'前提と出典'!$B$7)-J262-L262-N262</ns0:f>
        <ns0:v>183116.7269065029</ns0:v>
      </ns0:c>
      <ns0:c r="R262" s="16">
        <ns0:f>P262-E262*'前提と出典'!$E$4</ns0:f>
        <ns0:v>509946.0931983143</ns0:v>
      </ns0:c>
      <ns0:c r="S262" s="16">
        <ns0:f>Q262-F262*'前提と出典'!$E$4</ns0:f>
        <ns0:v>126578.56460517453</ns0:v>
      </ns0:c>
      <ns0:c r="T262" s="7">
        <ns0:f>R262+S262</ns0:f>
        <ns0:v>636524.6578034889</ns0:v>
      </ns0:c>
      <ns0:c r="U262" s="16">
        <ns0:f>P262-E262*'前提と出典'!$E$5</ns0:f>
        <ns0:v>445088.1717786987</ns0:v>
      </ns0:c>
      <ns0:c r="V262" s="16">
        <ns0:f>Q262-F262*'前提と出典'!$E$5</ns0:f>
        <ns0:v>107732.51050473162</ns0:v>
      </ns0:c>
      <ns0:c r="W262" s="7">
        <ns0:f>U262+V262</ns0:f>
        <ns0:v>552820.6822834304</ns0:v>
      </ns0:c>
      <ns0:c r="X262" s="16">
        <ns0:f>P262-E262*'前提と出典'!$E$6</ns0:f>
        <ns0:v>380230.25035908306</ns0:v>
      </ns0:c>
      <ns0:c r="Y262" s="16">
        <ns0:f>Q262-F262*'前提と出典'!$E$6</ns0:f>
        <ns0:v>88886.45640428882</ns0:v>
      </ns0:c>
      <ns0:c r="Z262" s="7">
        <ns0:f>X262+Y262</ns0:f>
        <ns0:v>469116.7067633719</ns0:v>
      </ns0:c>
      <ns0:c r="AA262" s="7">
        <ns0:f>IF(T262&gt;=0,A262,1001)</ns0:f>
        <ns0:v>258</ns0:v>
      </ns0:c>
      <ns0:c r="AB262" s="7">
        <ns0:f>IF(T262&lt;0,A262,0)</ns0:f>
        <ns0:v>0</ns0:v>
      </ns0:c>
      <ns0:c r="AC262" s="16">
        <ns0:f>IF(AND(OR('前提と出典'!$C$36+'前提と出典'!$C$38=0,R262&gt;=0),OR('前提と出典'!$C$37+'前提と出典'!$C$38=0,S262&gt;=0)),0,A262)</ns0:f>
        <ns0:v>0</ns0:v>
      </ns0:c>
      <ns0:c r="AD262" s="7">
        <ns0:f>IF(W262&gt;=0,A262,1001)</ns0:f>
        <ns0:v>258</ns0:v>
      </ns0:c>
      <ns0:c r="AE262" s="7">
        <ns0:f>IF(W262&lt;0,A262,0)</ns0:f>
        <ns0:v>0</ns0:v>
      </ns0:c>
      <ns0:c r="AF262" s="16">
        <ns0:f>IF(AND(OR('前提と出典'!$C$36+'前提と出典'!$C$38=0,U262&gt;=0),OR('前提と出典'!$C$37+'前提と出典'!$C$38=0,V262&gt;=0)),0,A262)</ns0:f>
        <ns0:v>0</ns0:v>
      </ns0:c>
      <ns0:c r="AG262" s="7">
        <ns0:f>IF(Z262&gt;=0,A262,1001)</ns0:f>
        <ns0:v>258</ns0:v>
      </ns0:c>
      <ns0:c r="AH262" s="4">
        <ns0:f>IF(Z262&lt;0,A262,0)</ns0:f>
        <ns0:v>0</ns0:v>
      </ns0:c>
      <ns0:c r="AI262" s="12">
        <ns0:f>IF(AND(OR('前提と出典'!$C$36+'前提と出典'!$C$38=0,X262&gt;=0),OR('前提と出典'!$C$37+'前提と出典'!$C$38=0,Y262&gt;=0)),0,A262)</ns0:f>
        <ns0:v>0</ns0:v>
      </ns0:c>
    </ns0:row>
    <ns0:row r="263" ht="24" customHeight="1">
      <ns0:c r="A263" s="4" t="n">
        <ns0:v>259</ns0:v>
      </ns0:c>
      <ns0:c r="B263" s="12">
        <ns0:f>A263*('前提と出典'!$C$36+'前提と出典'!$C$38)</ns0:f>
        <ns0:v>181.29999999999998</ns0:v>
      </ns0:c>
      <ns0:c r="C263" s="12">
        <ns0:f>A263*('前提と出典'!$C$37+'前提と出典'!$C$38)</ns0:f>
        <ns0:v>155.4</ns0:v>
      </ns0:c>
      <ns0:c r="D263" s="16">
        <ns0:f>A263*('前提と出典'!$C$36*'契約別単価'!C5+'前提と出典'!$C$37*'契約別単価'!C6+'前提と出典'!$C$38*'契約別単価'!C7)</ns0:f>
        <ns0:v>1863.6424581005585</ns0:v>
      </ns0:c>
      <ns0:c r="E263" s="16">
        <ns0:f>A263*('前提と出典'!$C$36*'契約別単価'!E5+'前提と出典'!$C$37*'契約別単価'!E6+'前提と出典'!$C$38*'契約別単価'!E7)</ns0:f>
        <ns0:v>651093.0871193965</ns0:v>
      </ns0:c>
      <ns0:c r="F263" s="16">
        <ns0:f>A263*('前提と出典'!$C$36*'契約別単価'!F5+'前提と出典'!$C$37*'契約別単価'!F6+'前提と出典'!$C$38*'契約別単価'!F7)</ns0:f>
        <ns0:v>189191.00821762366</ns0:v>
      </ns0:c>
      <ns0:c r="G263" s="16">
        <ns0:f>A263*('前提と出典'!$C$36*'契約別単価'!G5+'前提と出典'!$C$37*'契約別単価'!G6+'前提と出典'!$C$38*'契約別単価'!G7)</ns0:f>
        <ns0:v>515540.2234636871</ns0:v>
      </ns0:c>
      <ns0:c r="H263" s="16">
        <ns0:f>A263*('前提と出典'!$C$36*'契約別単価'!H5+'前提と出典'!$C$37*'契約別単価'!H6+'前提と出典'!$C$38*'契約別単価'!H7)</ns0:f>
        <ns0:v>178918.3139159484</ns0:v>
      </ns0:c>
      <ns0:c r="I263" s="16">
        <ns0:f>A263*('前提と出典'!$C$36*'契約別単価'!I5+'前提と出典'!$C$37*'契約別単価'!I6+'前提と出典'!$C$38*'契約別単価'!I7)</ns0:f>
        <ns0:v>10928.642458100558</ns0:v>
      </ns0:c>
      <ns0:c r="J263" s="16">
        <ns0:f>A263*('前提と出典'!$C$36*'契約別単価'!J5+'前提と出典'!$C$37*'契約別単価'!J6+'前提と出典'!$C$38*'契約別単価'!J7)</ns0:f>
        <ns0:v>25456.991820968364</ns0:v>
      </ns0:c>
      <ns0:c r="K263" s="16">
        <ns0:f>A263*('前提と出典'!$C$36*'契約別単価'!K5+'前提と出典'!$C$37*'契約別単価'!K6+'前提と出典'!$C$38*'契約別単価'!K7)</ns0:f>
        <ns0:v>109117.61638733705</ns0:v>
      </ns0:c>
      <ns0:c r="L263" s="16">
        <ns0:f>A263*('前提と出典'!$C$36*'契約別単価'!L5+'前提と出典'!$C$37*'契約別単価'!L6+'前提と出典'!$C$38*'契約別単価'!L7)</ns0:f>
        <ns0:v>88843.94379719828</ns0:v>
      </ns0:c>
      <ns0:c r="M263" s="16">
        <ns0:f>IF(('前提と出典'!$C$36+'前提と出典'!$C$38)=0,0,IF(B263&lt;=10,'前提と出典'!B73+'前提と出典'!C73,IF(B263&lt;=100,'前提と出典'!B74+'前提と出典'!C74,IF(B263&lt;=500,'前提と出典'!B75+'前提と出典'!C75,'前提と出典'!B76+'前提と出典'!C76))))</ns0:f>
        <ns0:v>40000</ns0:v>
      </ns0:c>
      <ns0:c r="N263" s="16">
        <ns0:f>IF(('前提と出典'!$C$37+'前提と出典'!$C$38)=0,0,IF(C263&lt;=10,'前提と出典'!D73+'前提と出典'!E73,IF(C263&lt;=100,'前提と出典'!D74+'前提と出典'!E74,IF(C263&lt;=500,'前提と出典'!D75+'前提と出典'!E75,'前提と出典'!D76+'前提と出典'!E76))))</ns0:f>
        <ns0:v>56510.9346263078</ns0:v>
      </ns0:c>
      <ns0:c r="O263" s="16">
        <ns0:f>IF('前提と出典'!$C$36+'前提と出典'!$C$38=0,0,'前提と出典'!$B$4*IF('前提と出典'!$B$20=0,MAX('前提と出典'!$B$6,D263*'前提と出典'!$B$5),'前提と出典'!$B$6+D263*'前提と出典'!$B$5))</ns0:f>
        <ns0:v>257182.6592178771</ns0:v>
      </ns0:c>
      <ns0:c r="P263" s="16">
        <ns0:f>(E263+G263)*(1-'前提と出典'!$B$7)-I263-K263-M263-O263</ns0:f>
        <ns0:v>707405.5933387779</ns0:v>
      </ns0:c>
      <ns0:c r="Q263" s="16">
        <ns0:f>(F263+H263)*(1-'前提と出典'!$B$7)-J263-L263-N263</ns0:f>
        <ns0:v>184045.516292289</ns0:v>
      </ns0:c>
      <ns0:c r="R263" s="16">
        <ns0:f>P263-E263*'前提と出典'!$E$4</ns0:f>
        <ns0:v>512077.66720295895</ns0:v>
      </ns0:c>
      <ns0:c r="S263" s="16">
        <ns0:f>Q263-F263*'前提と出典'!$E$4</ns0:f>
        <ns0:v>127288.21382700192</ns0:v>
      </ns0:c>
      <ns0:c r="T263" s="7">
        <ns0:f>R263+S263</ns0:f>
        <ns0:v>639365.8810299609</ns0:v>
      </ns0:c>
      <ns0:c r="U263" s="16">
        <ns0:f>P263-E263*'前提と出典'!$E$5</ns0:f>
        <ns0:v>446968.35849101923</ns0:v>
      </ns0:c>
      <ns0:c r="V263" s="16">
        <ns0:f>Q263-F263*'前提と出典'!$E$5</ns0:f>
        <ns0:v>108369.11300523952</ns0:v>
      </ns0:c>
      <ns0:c r="W263" s="7">
        <ns0:f>U263+V263</ns0:f>
        <ns0:v>555337.4714962587</ns0:v>
      </ns0:c>
      <ns0:c r="X263" s="16">
        <ns0:f>P263-E263*'前提と出典'!$E$6</ns0:f>
        <ns0:v>381859.0497790796</ns0:v>
      </ns0:c>
      <ns0:c r="Y263" s="16">
        <ns0:f>Q263-F263*'前提と出典'!$E$6</ns0:f>
        <ns0:v>89450.01218347717</ns0:v>
      </ns0:c>
      <ns0:c r="Z263" s="7">
        <ns0:f>X263+Y263</ns0:f>
        <ns0:v>471309.0619625568</ns0:v>
      </ns0:c>
      <ns0:c r="AA263" s="7">
        <ns0:f>IF(T263&gt;=0,A263,1001)</ns0:f>
        <ns0:v>259</ns0:v>
      </ns0:c>
      <ns0:c r="AB263" s="7">
        <ns0:f>IF(T263&lt;0,A263,0)</ns0:f>
        <ns0:v>0</ns0:v>
      </ns0:c>
      <ns0:c r="AC263" s="16">
        <ns0:f>IF(AND(OR('前提と出典'!$C$36+'前提と出典'!$C$38=0,R263&gt;=0),OR('前提と出典'!$C$37+'前提と出典'!$C$38=0,S263&gt;=0)),0,A263)</ns0:f>
        <ns0:v>0</ns0:v>
      </ns0:c>
      <ns0:c r="AD263" s="7">
        <ns0:f>IF(W263&gt;=0,A263,1001)</ns0:f>
        <ns0:v>259</ns0:v>
      </ns0:c>
      <ns0:c r="AE263" s="7">
        <ns0:f>IF(W263&lt;0,A263,0)</ns0:f>
        <ns0:v>0</ns0:v>
      </ns0:c>
      <ns0:c r="AF263" s="16">
        <ns0:f>IF(AND(OR('前提と出典'!$C$36+'前提と出典'!$C$38=0,U263&gt;=0),OR('前提と出典'!$C$37+'前提と出典'!$C$38=0,V263&gt;=0)),0,A263)</ns0:f>
        <ns0:v>0</ns0:v>
      </ns0:c>
      <ns0:c r="AG263" s="7">
        <ns0:f>IF(Z263&gt;=0,A263,1001)</ns0:f>
        <ns0:v>259</ns0:v>
      </ns0:c>
      <ns0:c r="AH263" s="4">
        <ns0:f>IF(Z263&lt;0,A263,0)</ns0:f>
        <ns0:v>0</ns0:v>
      </ns0:c>
      <ns0:c r="AI263" s="12">
        <ns0:f>IF(AND(OR('前提と出典'!$C$36+'前提と出典'!$C$38=0,X263&gt;=0),OR('前提と出典'!$C$37+'前提と出典'!$C$38=0,Y263&gt;=0)),0,A263)</ns0:f>
        <ns0:v>0</ns0:v>
      </ns0:c>
    </ns0:row>
    <ns0:row r="264" ht="24" customHeight="1">
      <ns0:c r="A264" s="4" t="n">
        <ns0:v>260</ns0:v>
      </ns0:c>
      <ns0:c r="B264" s="12">
        <ns0:f>A264*('前提と出典'!$C$36+'前提と出典'!$C$38)</ns0:f>
        <ns0:v>182</ns0:v>
      </ns0:c>
      <ns0:c r="C264" s="12">
        <ns0:f>A264*('前提と出典'!$C$37+'前提と出典'!$C$38)</ns0:f>
        <ns0:v>156</ns0:v>
      </ns0:c>
      <ns0:c r="D264" s="16">
        <ns0:f>A264*('前提と出典'!$C$36*'契約別単価'!C5+'前提と出典'!$C$37*'契約別単価'!C6+'前提と出典'!$C$38*'契約別単価'!C7)</ns0:f>
        <ns0:v>1870.8379888268157</ns0:v>
      </ns0:c>
      <ns0:c r="E264" s="16">
        <ns0:f>A264*('前提と出典'!$C$36*'契約別単価'!E5+'前提と出典'!$C$37*'契約別単価'!E6+'前提と出典'!$C$38*'契約別単価'!E7)</ns0:f>
        <ns0:v>653606.9600426374</ns0:v>
      </ns0:c>
      <ns0:c r="F264" s="16">
        <ns0:f>A264*('前提と出典'!$C$36*'契約別単価'!F5+'前提と出典'!$C$37*'契約別単価'!F6+'前提と出典'!$C$38*'契約別単価'!F7)</ns0:f>
        <ns0:v>189921.47543081912</ns0:v>
      </ns0:c>
      <ns0:c r="G264" s="16">
        <ns0:f>A264*('前提と出典'!$C$36*'契約別単価'!G5+'前提と出典'!$C$37*'契約別単価'!G6+'前提と出典'!$C$38*'契約別単価'!G7)</ns0:f>
        <ns0:v>517530.72625698324</ns0:v>
      </ns0:c>
      <ns0:c r="H264" s="16">
        <ns0:f>A264*('前提と出典'!$C$36*'契約別単価'!H5+'前提と出典'!$C$37*'契約別単価'!H6+'前提と出典'!$C$38*'契約別単価'!H7)</ns0:f>
        <ns0:v>179609.1182167822</ns0:v>
      </ns0:c>
      <ns0:c r="I264" s="16">
        <ns0:f>A264*('前提と出典'!$C$36*'契約別単価'!I5+'前提と出典'!$C$37*'契約別単価'!I6+'前提と出典'!$C$38*'契約別単価'!I7)</ns0:f>
        <ns0:v>10970.837988826814</ns0:v>
      </ns0:c>
      <ns0:c r="J264" s="16">
        <ns0:f>A264*('前提と出典'!$C$36*'契約別単価'!J5+'前提と出典'!$C$37*'契約別単価'!J6+'前提と出典'!$C$38*'契約別単価'!J7)</ns0:f>
        <ns0:v>25555.281364678667</ns0:v>
      </ns0:c>
      <ns0:c r="K264" s="16">
        <ns0:f>A264*('前提と出典'!$C$36*'契約別単価'!K5+'前提と出典'!$C$37*'契約別単価'!K6+'前提と出典'!$C$38*'契約別単価'!K7)</ns0:f>
        <ns0:v>109538.91992551209</ns0:v>
      </ns0:c>
      <ns0:c r="L264" s="16">
        <ns0:f>A264*('前提と出典'!$C$36*'契約別単価'!L5+'前提と出典'!$C$37*'契約別単価'!L6+'前提と出典'!$C$38*'契約別単価'!L7)</ns0:f>
        <ns0:v>89186.97060722607</ns0:v>
      </ns0:c>
      <ns0:c r="M264" s="16">
        <ns0:f>IF(('前提と出典'!$C$36+'前提と出典'!$C$38)=0,0,IF(B264&lt;=10,'前提と出典'!B73+'前提と出典'!C73,IF(B264&lt;=100,'前提と出典'!B74+'前提と出典'!C74,IF(B264&lt;=500,'前提と出典'!B75+'前提と出典'!C75,'前提と出典'!B76+'前提と出典'!C76))))</ns0:f>
        <ns0:v>40000</ns0:v>
      </ns0:c>
      <ns0:c r="N264" s="16">
        <ns0:f>IF(('前提と出典'!$C$37+'前提と出典'!$C$38)=0,0,IF(C264&lt;=10,'前提と出典'!D73+'前提と出典'!E73,IF(C264&lt;=100,'前提と出典'!D74+'前提と出典'!E74,IF(C264&lt;=500,'前提と出典'!D75+'前提と出典'!E75,'前提と出典'!D76+'前提と出典'!E76))))</ns0:f>
        <ns0:v>56510.9346263078</ns0:v>
      </ns0:c>
      <ns0:c r="O264" s="16">
        <ns0:f>IF('前提と出典'!$C$36+'前提と出典'!$C$38=0,0,'前提と出典'!$B$4*IF('前提と出典'!$B$20=0,MAX('前提と出典'!$B$6,D264*'前提と出典'!$B$5),'前提と出典'!$B$6+D264*'前提と出典'!$B$5))</ns0:f>
        <ns0:v>258175.64245810057</ns0:v>
      </ns0:c>
      <ns0:c r="P264" s="16">
        <ns0:f>(E264+G264)*(1-'前提と出典'!$B$7)-I264-K264-M264-O264</ns0:f>
        <ns0:v>710291.329220395</ns0:v>
      </ns0:c>
      <ns0:c r="Q264" s="16">
        <ns0:f>(F264+H264)*(1-'前提と出典'!$B$7)-J264-L264-N264</ns0:f>
        <ns0:v>184974.30567807515</ns0:v>
      </ns0:c>
      <ns0:c r="R264" s="16">
        <ns0:f>P264-E264*'前提と出典'!$E$4</ns0:f>
        <ns0:v>514209.2412076037</ns0:v>
      </ns0:c>
      <ns0:c r="S264" s="16">
        <ns0:f>Q264-F264*'前提と出典'!$E$4</ns0:f>
        <ns0:v>127997.86304882943</ns0:v>
      </ns0:c>
      <ns0:c r="T264" s="7">
        <ns0:f>R264+S264</ns0:f>
        <ns0:v>642207.1042564332</ns0:v>
      </ns0:c>
      <ns0:c r="U264" s="16">
        <ns0:f>P264-E264*'前提と出典'!$E$5</ns0:f>
        <ns0:v>448848.54520334</ns0:v>
      </ns0:c>
      <ns0:c r="V264" s="16">
        <ns0:f>Q264-F264*'前提と出典'!$E$5</ns0:f>
        <ns0:v>109005.7155057475</ns0:v>
      </ns0:c>
      <ns0:c r="W264" s="7">
        <ns0:f>U264+V264</ns0:f>
        <ns0:v>557854.2607090875</ns0:v>
      </ns0:c>
      <ns0:c r="X264" s="16">
        <ns0:f>P264-E264*'前提と出典'!$E$6</ns0:f>
        <ns0:v>383487.8491990763</ns0:v>
      </ns0:c>
      <ns0:c r="Y264" s="16">
        <ns0:f>Q264-F264*'前提と出典'!$E$6</ns0:f>
        <ns0:v>90013.56796266558</ns0:v>
      </ns0:c>
      <ns0:c r="Z264" s="7">
        <ns0:f>X264+Y264</ns0:f>
        <ns0:v>473501.4171617419</ns0:v>
      </ns0:c>
      <ns0:c r="AA264" s="7">
        <ns0:f>IF(T264&gt;=0,A264,1001)</ns0:f>
        <ns0:v>260</ns0:v>
      </ns0:c>
      <ns0:c r="AB264" s="7">
        <ns0:f>IF(T264&lt;0,A264,0)</ns0:f>
        <ns0:v>0</ns0:v>
      </ns0:c>
      <ns0:c r="AC264" s="16">
        <ns0:f>IF(AND(OR('前提と出典'!$C$36+'前提と出典'!$C$38=0,R264&gt;=0),OR('前提と出典'!$C$37+'前提と出典'!$C$38=0,S264&gt;=0)),0,A264)</ns0:f>
        <ns0:v>0</ns0:v>
      </ns0:c>
      <ns0:c r="AD264" s="7">
        <ns0:f>IF(W264&gt;=0,A264,1001)</ns0:f>
        <ns0:v>260</ns0:v>
      </ns0:c>
      <ns0:c r="AE264" s="7">
        <ns0:f>IF(W264&lt;0,A264,0)</ns0:f>
        <ns0:v>0</ns0:v>
      </ns0:c>
      <ns0:c r="AF264" s="16">
        <ns0:f>IF(AND(OR('前提と出典'!$C$36+'前提と出典'!$C$38=0,U264&gt;=0),OR('前提と出典'!$C$37+'前提と出典'!$C$38=0,V264&gt;=0)),0,A264)</ns0:f>
        <ns0:v>0</ns0:v>
      </ns0:c>
      <ns0:c r="AG264" s="7">
        <ns0:f>IF(Z264&gt;=0,A264,1001)</ns0:f>
        <ns0:v>260</ns0:v>
      </ns0:c>
      <ns0:c r="AH264" s="4">
        <ns0:f>IF(Z264&lt;0,A264,0)</ns0:f>
        <ns0:v>0</ns0:v>
      </ns0:c>
      <ns0:c r="AI264" s="12">
        <ns0:f>IF(AND(OR('前提と出典'!$C$36+'前提と出典'!$C$38=0,X264&gt;=0),OR('前提と出典'!$C$37+'前提と出典'!$C$38=0,Y264&gt;=0)),0,A264)</ns0:f>
        <ns0:v>0</ns0:v>
      </ns0:c>
    </ns0:row>
    <ns0:row r="265" ht="24" customHeight="1">
      <ns0:c r="A265" s="4" t="n">
        <ns0:v>261</ns0:v>
      </ns0:c>
      <ns0:c r="B265" s="12">
        <ns0:f>A265*('前提と出典'!$C$36+'前提と出典'!$C$38)</ns0:f>
        <ns0:v>182.7</ns0:v>
      </ns0:c>
      <ns0:c r="C265" s="12">
        <ns0:f>A265*('前提と出典'!$C$37+'前提と出典'!$C$38)</ns0:f>
        <ns0:v>156.6</ns0:v>
      </ns0:c>
      <ns0:c r="D265" s="16">
        <ns0:f>A265*('前提と出典'!$C$36*'契約別単価'!C5+'前提と出典'!$C$37*'契約別単価'!C6+'前提と出典'!$C$38*'契約別単価'!C7)</ns0:f>
        <ns0:v>1878.0335195530727</ns0:v>
      </ns0:c>
      <ns0:c r="E265" s="16">
        <ns0:f>A265*('前提と出典'!$C$36*'契約別単価'!E5+'前提と出典'!$C$37*'契約別単価'!E6+'前提と出典'!$C$38*'契約別単価'!E7)</ns0:f>
        <ns0:v>656120.8329658783</ns0:v>
      </ns0:c>
      <ns0:c r="F265" s="16">
        <ns0:f>A265*('前提と出典'!$C$36*'契約別単価'!F5+'前提と出典'!$C$37*'契約別単価'!F6+'前提と出典'!$C$38*'契約別単価'!F7)</ns0:f>
        <ns0:v>190651.94264401458</ns0:v>
      </ns0:c>
      <ns0:c r="G265" s="16">
        <ns0:f>A265*('前提と出典'!$C$36*'契約別単価'!G5+'前提と出典'!$C$37*'契約別単価'!G6+'前提と出典'!$C$38*'契約別単価'!G7)</ns0:f>
        <ns0:v>519521.2290502793</ns0:v>
      </ns0:c>
      <ns0:c r="H265" s="16">
        <ns0:f>A265*('前提と出典'!$C$36*'契約別単価'!H5+'前提と出典'!$C$37*'契約別単価'!H6+'前提と出典'!$C$38*'契約別単価'!H7)</ns0:f>
        <ns0:v>180299.92251761598</ns0:v>
      </ns0:c>
      <ns0:c r="I265" s="16">
        <ns0:f>A265*('前提と出典'!$C$36*'契約別単価'!I5+'前提と出典'!$C$37*'契約別単価'!I6+'前提と出典'!$C$38*'契約別単価'!I7)</ns0:f>
        <ns0:v>11013.033519553072</ns0:v>
      </ns0:c>
      <ns0:c r="J265" s="16">
        <ns0:f>A265*('前提と出典'!$C$36*'契約別単価'!J5+'前提と出典'!$C$37*'契約別単価'!J6+'前提と出典'!$C$38*'契約別単価'!J7)</ns0:f>
        <ns0:v>25653.57090838897</ns0:v>
      </ns0:c>
      <ns0:c r="K265" s="16">
        <ns0:f>A265*('前提と出典'!$C$36*'契約別単価'!K5+'前提と出典'!$C$37*'契約別単価'!K6+'前提と出典'!$C$38*'契約別単価'!K7)</ns0:f>
        <ns0:v>109960.22346368714</ns0:v>
      </ns0:c>
      <ns0:c r="L265" s="16">
        <ns0:f>A265*('前提と出典'!$C$36*'契約別単価'!L5+'前提と出典'!$C$37*'契約別単価'!L6+'前提と出典'!$C$38*'契約別単価'!L7)</ns0:f>
        <ns0:v>89529.99741725386</ns0:v>
      </ns0:c>
      <ns0:c r="M265" s="16">
        <ns0:f>IF(('前提と出典'!$C$36+'前提と出典'!$C$38)=0,0,IF(B265&lt;=10,'前提と出典'!B73+'前提と出典'!C73,IF(B265&lt;=100,'前提と出典'!B74+'前提と出典'!C74,IF(B265&lt;=500,'前提と出典'!B75+'前提と出典'!C75,'前提と出典'!B76+'前提と出典'!C76))))</ns0:f>
        <ns0:v>40000</ns0:v>
      </ns0:c>
      <ns0:c r="N265" s="16">
        <ns0:f>IF(('前提と出典'!$C$37+'前提と出典'!$C$38)=0,0,IF(C265&lt;=10,'前提と出典'!D73+'前提と出典'!E73,IF(C265&lt;=100,'前提と出典'!D74+'前提と出典'!E74,IF(C265&lt;=500,'前提と出典'!D75+'前提と出典'!E75,'前提と出典'!D76+'前提と出典'!E76))))</ns0:f>
        <ns0:v>56510.9346263078</ns0:v>
      </ns0:c>
      <ns0:c r="O265" s="16">
        <ns0:f>IF('前提と出典'!$C$36+'前提と出典'!$C$38=0,0,'前提と出典'!$B$4*IF('前提と出典'!$B$20=0,MAX('前提と出典'!$B$6,D265*'前提と出典'!$B$5),'前提と出典'!$B$6+D265*'前提と出典'!$B$5))</ns0:f>
        <ns0:v>259168.62569832406</ns0:v>
      </ns0:c>
      <ns0:c r="P265" s="16">
        <ns0:f>(E265+G265)*(1-'前提と出典'!$B$7)-I265-K265-M265-O265</ns0:f>
        <ns0:v>713177.0651020118</ns0:v>
      </ns0:c>
      <ns0:c r="Q265" s="16">
        <ns0:f>(F265+H265)*(1-'前提と出典'!$B$7)-J265-L265-N265</ns0:f>
        <ns0:v>185903.09506386123</ns0:v>
      </ns0:c>
      <ns0:c r="R265" s="16">
        <ns0:f>P265-E265*'前提と出典'!$E$4</ns0:f>
        <ns0:v>516340.81521224824</ns0:v>
      </ns0:c>
      <ns0:c r="S265" s="16">
        <ns0:f>Q265-F265*'前提と出典'!$E$4</ns0:f>
        <ns0:v>128707.51227065688</ns0:v>
      </ns0:c>
      <ns0:c r="T265" s="7">
        <ns0:f>R265+S265</ns0:f>
        <ns0:v>645048.3274829051</ns0:v>
      </ns0:c>
      <ns0:c r="U265" s="16">
        <ns0:f>P265-E265*'前提と出典'!$E$5</ns0:f>
        <ns0:v>450728.73191566044</ns0:v>
      </ns0:c>
      <ns0:c r="V265" s="16">
        <ns0:f>Q265-F265*'前提と出典'!$E$5</ns0:f>
        <ns0:v>109642.31800625537</ns0:v>
      </ns0:c>
      <ns0:c r="W265" s="7">
        <ns0:f>U265+V265</ns0:f>
        <ns0:v>560371.0499219159</ns0:v>
      </ns0:c>
      <ns0:c r="X265" s="16">
        <ns0:f>P265-E265*'前提と出典'!$E$6</ns0:f>
        <ns0:v>385116.6486190726</ns0:v>
      </ns0:c>
      <ns0:c r="Y265" s="16">
        <ns0:f>Q265-F265*'前提と出典'!$E$6</ns0:f>
        <ns0:v>90577.12374185392</ns0:v>
      </ns0:c>
      <ns0:c r="Z265" s="7">
        <ns0:f>X265+Y265</ns0:f>
        <ns0:v>475693.77236092655</ns0:v>
      </ns0:c>
      <ns0:c r="AA265" s="7">
        <ns0:f>IF(T265&gt;=0,A265,1001)</ns0:f>
        <ns0:v>261</ns0:v>
      </ns0:c>
      <ns0:c r="AB265" s="7">
        <ns0:f>IF(T265&lt;0,A265,0)</ns0:f>
        <ns0:v>0</ns0:v>
      </ns0:c>
      <ns0:c r="AC265" s="16">
        <ns0:f>IF(AND(OR('前提と出典'!$C$36+'前提と出典'!$C$38=0,R265&gt;=0),OR('前提と出典'!$C$37+'前提と出典'!$C$38=0,S265&gt;=0)),0,A265)</ns0:f>
        <ns0:v>0</ns0:v>
      </ns0:c>
      <ns0:c r="AD265" s="7">
        <ns0:f>IF(W265&gt;=0,A265,1001)</ns0:f>
        <ns0:v>261</ns0:v>
      </ns0:c>
      <ns0:c r="AE265" s="7">
        <ns0:f>IF(W265&lt;0,A265,0)</ns0:f>
        <ns0:v>0</ns0:v>
      </ns0:c>
      <ns0:c r="AF265" s="16">
        <ns0:f>IF(AND(OR('前提と出典'!$C$36+'前提と出典'!$C$38=0,U265&gt;=0),OR('前提と出典'!$C$37+'前提と出典'!$C$38=0,V265&gt;=0)),0,A265)</ns0:f>
        <ns0:v>0</ns0:v>
      </ns0:c>
      <ns0:c r="AG265" s="7">
        <ns0:f>IF(Z265&gt;=0,A265,1001)</ns0:f>
        <ns0:v>261</ns0:v>
      </ns0:c>
      <ns0:c r="AH265" s="4">
        <ns0:f>IF(Z265&lt;0,A265,0)</ns0:f>
        <ns0:v>0</ns0:v>
      </ns0:c>
      <ns0:c r="AI265" s="12">
        <ns0:f>IF(AND(OR('前提と出典'!$C$36+'前提と出典'!$C$38=0,X265&gt;=0),OR('前提と出典'!$C$37+'前提と出典'!$C$38=0,Y265&gt;=0)),0,A265)</ns0:f>
        <ns0:v>0</ns0:v>
      </ns0:c>
    </ns0:row>
    <ns0:row r="266" ht="24" customHeight="1">
      <ns0:c r="A266" s="4" t="n">
        <ns0:v>262</ns0:v>
      </ns0:c>
      <ns0:c r="B266" s="12">
        <ns0:f>A266*('前提と出典'!$C$36+'前提と出典'!$C$38)</ns0:f>
        <ns0:v>183.39999999999998</ns0:v>
      </ns0:c>
      <ns0:c r="C266" s="12">
        <ns0:f>A266*('前提と出典'!$C$37+'前提と出典'!$C$38)</ns0:f>
        <ns0:v>157.2</ns0:v>
      </ns0:c>
      <ns0:c r="D266" s="16">
        <ns0:f>A266*('前提と出典'!$C$36*'契約別単価'!C5+'前提と出典'!$C$37*'契約別単価'!C6+'前提と出典'!$C$38*'契約別単価'!C7)</ns0:f>
        <ns0:v>1885.2290502793296</ns0:v>
      </ns0:c>
      <ns0:c r="E266" s="16">
        <ns0:f>A266*('前提と出典'!$C$36*'契約別単価'!E5+'前提と出典'!$C$37*'契約別単価'!E6+'前提と出典'!$C$38*'契約別単価'!E7)</ns0:f>
        <ns0:v>658634.7058891193</ns0:v>
      </ns0:c>
      <ns0:c r="F266" s="16">
        <ns0:f>A266*('前提と出典'!$C$36*'契約別単価'!F5+'前提と出典'!$C$37*'契約別単価'!F6+'前提と出典'!$C$38*'契約別単価'!F7)</ns0:f>
        <ns0:v>191382.40985721003</ns0:v>
      </ns0:c>
      <ns0:c r="G266" s="16">
        <ns0:f>A266*('前提と出典'!$C$36*'契約別単価'!G5+'前提と出典'!$C$37*'契約別単価'!G6+'前提と出典'!$C$38*'契約別単価'!G7)</ns0:f>
        <ns0:v>521511.73184357537</ns0:v>
      </ns0:c>
      <ns0:c r="H266" s="16">
        <ns0:f>A266*('前提と出典'!$C$36*'契約別単価'!H5+'前提と出典'!$C$37*'契約別単価'!H6+'前提と出典'!$C$38*'契約別単価'!H7)</ns0:f>
        <ns0:v>180990.72681844977</ns0:v>
      </ns0:c>
      <ns0:c r="I266" s="16">
        <ns0:f>A266*('前提と出典'!$C$36*'契約別単価'!I5+'前提と出典'!$C$37*'契約別単価'!I6+'前提と出典'!$C$38*'契約別単価'!I7)</ns0:f>
        <ns0:v>11055.229050279328</ns0:v>
      </ns0:c>
      <ns0:c r="J266" s="16">
        <ns0:f>A266*('前提と出典'!$C$36*'契約別単価'!J5+'前提と出典'!$C$37*'契約別単価'!J6+'前提と出典'!$C$38*'契約別単価'!J7)</ns0:f>
        <ns0:v>25751.860452099274</ns0:v>
      </ns0:c>
      <ns0:c r="K266" s="16">
        <ns0:f>A266*('前提と出典'!$C$36*'契約別単価'!K5+'前提と出典'!$C$37*'契約別単価'!K6+'前提と出典'!$C$38*'契約別単価'!K7)</ns0:f>
        <ns0:v>110381.5270018622</ns0:v>
      </ns0:c>
      <ns0:c r="L266" s="16">
        <ns0:f>A266*('前提と出典'!$C$36*'契約別単価'!L5+'前提と出典'!$C$37*'契約別単価'!L6+'前提と出典'!$C$38*'契約別単価'!L7)</ns0:f>
        <ns0:v>89873.02422728165</ns0:v>
      </ns0:c>
      <ns0:c r="M266" s="16">
        <ns0:f>IF(('前提と出典'!$C$36+'前提と出典'!$C$38)=0,0,IF(B266&lt;=10,'前提と出典'!B73+'前提と出典'!C73,IF(B266&lt;=100,'前提と出典'!B74+'前提と出典'!C74,IF(B266&lt;=500,'前提と出典'!B75+'前提と出典'!C75,'前提と出典'!B76+'前提と出典'!C76))))</ns0:f>
        <ns0:v>40000</ns0:v>
      </ns0:c>
      <ns0:c r="N266" s="16">
        <ns0:f>IF(('前提と出典'!$C$37+'前提と出典'!$C$38)=0,0,IF(C266&lt;=10,'前提と出典'!D73+'前提と出典'!E73,IF(C266&lt;=100,'前提と出典'!D74+'前提と出典'!E74,IF(C266&lt;=500,'前提と出典'!D75+'前提と出典'!E75,'前提と出典'!D76+'前提と出典'!E76))))</ns0:f>
        <ns0:v>56510.9346263078</ns0:v>
      </ns0:c>
      <ns0:c r="O266" s="16">
        <ns0:f>IF('前提と出典'!$C$36+'前提と出典'!$C$38=0,0,'前提と出典'!$B$4*IF('前提と出典'!$B$20=0,MAX('前提と出典'!$B$6,D266*'前提と出典'!$B$5),'前提と出典'!$B$6+D266*'前提と出典'!$B$5))</ns0:f>
        <ns0:v>260161.6089385475</ns0:v>
      </ns0:c>
      <ns0:c r="P266" s="16">
        <ns0:f>(E266+G266)*(1-'前提と出典'!$B$7)-I266-K266-M266-O266</ns0:f>
        <ns0:v>716062.8009836287</ns0:v>
      </ns0:c>
      <ns0:c r="Q266" s="16">
        <ns0:f>(F266+H266)*(1-'前提と出典'!$B$7)-J266-L266-N266</ns0:f>
        <ns0:v>186831.88444964733</ns0:v>
      </ns0:c>
      <ns0:c r="R266" s="16">
        <ns0:f>P266-E266*'前提と出典'!$E$4</ns0:f>
        <ns0:v>518472.3892168928</ns0:v>
      </ns0:c>
      <ns0:c r="S266" s="16">
        <ns0:f>Q266-F266*'前提と出典'!$E$4</ns0:f>
        <ns0:v>129417.1614924843</ns0:v>
      </ns0:c>
      <ns0:c r="T266" s="7">
        <ns0:f>R266+S266</ns0:f>
        <ns0:v>647889.5507093772</ns0:v>
      </ns0:c>
      <ns0:c r="U266" s="16">
        <ns0:f>P266-E266*'前提と出典'!$E$5</ns0:f>
        <ns0:v>452608.9186279809</ns0:v>
      </ns0:c>
      <ns0:c r="V266" s="16">
        <ns0:f>Q266-F266*'前提と出典'!$E$5</ns0:f>
        <ns0:v>110278.92050676333</ns0:v>
      </ns0:c>
      <ns0:c r="W266" s="7">
        <ns0:f>U266+V266</ns0:f>
        <ns0:v>562887.8391347443</ns0:v>
      </ns0:c>
      <ns0:c r="X266" s="16">
        <ns0:f>P266-E266*'前提と出典'!$E$6</ns0:f>
        <ns0:v>386745.448039069</ns0:v>
      </ns0:c>
      <ns0:c r="Y266" s="16">
        <ns0:f>Q266-F266*'前提と出典'!$E$6</ns0:f>
        <ns0:v>91140.67952104233</ns0:v>
      </ns0:c>
      <ns0:c r="Z266" s="7">
        <ns0:f>X266+Y266</ns0:f>
        <ns0:v>477886.12756011134</ns0:v>
      </ns0:c>
      <ns0:c r="AA266" s="7">
        <ns0:f>IF(T266&gt;=0,A266,1001)</ns0:f>
        <ns0:v>262</ns0:v>
      </ns0:c>
      <ns0:c r="AB266" s="7">
        <ns0:f>IF(T266&lt;0,A266,0)</ns0:f>
        <ns0:v>0</ns0:v>
      </ns0:c>
      <ns0:c r="AC266" s="16">
        <ns0:f>IF(AND(OR('前提と出典'!$C$36+'前提と出典'!$C$38=0,R266&gt;=0),OR('前提と出典'!$C$37+'前提と出典'!$C$38=0,S266&gt;=0)),0,A266)</ns0:f>
        <ns0:v>0</ns0:v>
      </ns0:c>
      <ns0:c r="AD266" s="7">
        <ns0:f>IF(W266&gt;=0,A266,1001)</ns0:f>
        <ns0:v>262</ns0:v>
      </ns0:c>
      <ns0:c r="AE266" s="7">
        <ns0:f>IF(W266&lt;0,A266,0)</ns0:f>
        <ns0:v>0</ns0:v>
      </ns0:c>
      <ns0:c r="AF266" s="16">
        <ns0:f>IF(AND(OR('前提と出典'!$C$36+'前提と出典'!$C$38=0,U266&gt;=0),OR('前提と出典'!$C$37+'前提と出典'!$C$38=0,V266&gt;=0)),0,A266)</ns0:f>
        <ns0:v>0</ns0:v>
      </ns0:c>
      <ns0:c r="AG266" s="7">
        <ns0:f>IF(Z266&gt;=0,A266,1001)</ns0:f>
        <ns0:v>262</ns0:v>
      </ns0:c>
      <ns0:c r="AH266" s="4">
        <ns0:f>IF(Z266&lt;0,A266,0)</ns0:f>
        <ns0:v>0</ns0:v>
      </ns0:c>
      <ns0:c r="AI266" s="12">
        <ns0:f>IF(AND(OR('前提と出典'!$C$36+'前提と出典'!$C$38=0,X266&gt;=0),OR('前提と出典'!$C$37+'前提と出典'!$C$38=0,Y266&gt;=0)),0,A266)</ns0:f>
        <ns0:v>0</ns0:v>
      </ns0:c>
    </ns0:row>
    <ns0:row r="267" ht="24" customHeight="1">
      <ns0:c r="A267" s="4" t="n">
        <ns0:v>263</ns0:v>
      </ns0:c>
      <ns0:c r="B267" s="12">
        <ns0:f>A267*('前提と出典'!$C$36+'前提と出典'!$C$38)</ns0:f>
        <ns0:v>184.1</ns0:v>
      </ns0:c>
      <ns0:c r="C267" s="12">
        <ns0:f>A267*('前提と出典'!$C$37+'前提と出典'!$C$38)</ns0:f>
        <ns0:v>157.79999999999998</ns0:v>
      </ns0:c>
      <ns0:c r="D267" s="16">
        <ns0:f>A267*('前提と出典'!$C$36*'契約別単価'!C5+'前提と出典'!$C$37*'契約別単価'!C6+'前提と出典'!$C$38*'契約別単価'!C7)</ns0:f>
        <ns0:v>1892.4245810055866</ns0:v>
      </ns0:c>
      <ns0:c r="E267" s="16">
        <ns0:f>A267*('前提と出典'!$C$36*'契約別単価'!E5+'前提と出典'!$C$37*'契約別単価'!E6+'前提と出典'!$C$38*'契約別単価'!E7)</ns0:f>
        <ns0:v>661148.5788123602</ns0:v>
      </ns0:c>
      <ns0:c r="F267" s="16">
        <ns0:f>A267*('前提と出典'!$C$36*'契約別単価'!F5+'前提と出典'!$C$37*'契約別単価'!F6+'前提と出典'!$C$38*'契約別単価'!F7)</ns0:f>
        <ns0:v>192112.8770704055</ns0:v>
      </ns0:c>
      <ns0:c r="G267" s="16">
        <ns0:f>A267*('前提と出典'!$C$36*'契約別単価'!G5+'前提と出典'!$C$37*'契約別単価'!G6+'前提と出典'!$C$38*'契約別単価'!G7)</ns0:f>
        <ns0:v>523502.2346368715</ns0:v>
      </ns0:c>
      <ns0:c r="H267" s="16">
        <ns0:f>A267*('前提と出典'!$C$36*'契約別単価'!H5+'前提と出典'!$C$37*'契約別単価'!H6+'前提と出典'!$C$38*'契約別単価'!H7)</ns0:f>
        <ns0:v>181681.53111928352</ns0:v>
      </ns0:c>
      <ns0:c r="I267" s="16">
        <ns0:f>A267*('前提と出典'!$C$36*'契約別単価'!I5+'前提と出典'!$C$37*'契約別単価'!I6+'前提と出典'!$C$38*'契約別単価'!I7)</ns0:f>
        <ns0:v>11097.424581005585</ns0:v>
      </ns0:c>
      <ns0:c r="J267" s="16">
        <ns0:f>A267*('前提と出典'!$C$36*'契約別単価'!J5+'前提と出典'!$C$37*'契約別単価'!J6+'前提と出典'!$C$38*'契約別単価'!J7)</ns0:f>
        <ns0:v>25850.149995809574</ns0:v>
      </ns0:c>
      <ns0:c r="K267" s="16">
        <ns0:f>A267*('前提と出典'!$C$36*'契約別単価'!K5+'前提と出典'!$C$37*'契約別単価'!K6+'前提と出典'!$C$38*'契約別単価'!K7)</ns0:f>
        <ns0:v>110802.83054003723</ns0:v>
      </ns0:c>
      <ns0:c r="L267" s="16">
        <ns0:f>A267*('前提と出典'!$C$36*'契約別単価'!L5+'前提と出典'!$C$37*'契約別単価'!L6+'前提と出典'!$C$38*'契約別単価'!L7)</ns0:f>
        <ns0:v>90216.05103730944</ns0:v>
      </ns0:c>
      <ns0:c r="M267" s="16">
        <ns0:f>IF(('前提と出典'!$C$36+'前提と出典'!$C$38)=0,0,IF(B267&lt;=10,'前提と出典'!B73+'前提と出典'!C73,IF(B267&lt;=100,'前提と出典'!B74+'前提と出典'!C74,IF(B267&lt;=500,'前提と出典'!B75+'前提と出典'!C75,'前提と出典'!B76+'前提と出典'!C76))))</ns0:f>
        <ns0:v>40000</ns0:v>
      </ns0:c>
      <ns0:c r="N267" s="16">
        <ns0:f>IF(('前提と出典'!$C$37+'前提と出典'!$C$38)=0,0,IF(C267&lt;=10,'前提と出典'!D73+'前提と出典'!E73,IF(C267&lt;=100,'前提と出典'!D74+'前提と出典'!E74,IF(C267&lt;=500,'前提と出典'!D75+'前提と出典'!E75,'前提と出典'!D76+'前提と出典'!E76))))</ns0:f>
        <ns0:v>56510.9346263078</ns0:v>
      </ns0:c>
      <ns0:c r="O267" s="16">
        <ns0:f>IF('前提と出典'!$C$36+'前提と出典'!$C$38=0,0,'前提と出典'!$B$4*IF('前提と出典'!$B$20=0,MAX('前提と出典'!$B$6,D267*'前提と出典'!$B$5),'前提と出典'!$B$6+D267*'前提と出典'!$B$5))</ns0:f>
        <ns0:v>261154.59217877095</ns0:v>
      </ns0:c>
      <ns0:c r="P267" s="16">
        <ns0:f>(E267+G267)*(1-'前提と出典'!$B$7)-I267-K267-M267-O267</ns0:f>
        <ns0:v>718948.5368652456</ns0:v>
      </ns0:c>
      <ns0:c r="Q267" s="16">
        <ns0:f>(F267+H267)*(1-'前提と出典'!$B$7)-J267-L267-N267</ns0:f>
        <ns0:v>187760.67383543344</ns0:v>
      </ns0:c>
      <ns0:c r="R267" s="16">
        <ns0:f>P267-E267*'前提と出典'!$E$4</ns0:f>
        <ns0:v>520603.96322153753</ns0:v>
      </ns0:c>
      <ns0:c r="S267" s="16">
        <ns0:f>Q267-F267*'前提と出典'!$E$4</ns0:f>
        <ns0:v>130126.81071431172</ns0:v>
      </ns0:c>
      <ns0:c r="T267" s="7">
        <ns0:f>R267+S267</ns0:f>
        <ns0:v>650730.7739358493</ns0:v>
      </ns0:c>
      <ns0:c r="U267" s="16">
        <ns0:f>P267-E267*'前提と出典'!$E$5</ns0:f>
        <ns0:v>454489.1053403015</ns0:v>
      </ns0:c>
      <ns0:c r="V267" s="16">
        <ns0:f>Q267-F267*'前提と出典'!$E$5</ns0:f>
        <ns0:v>110915.52300727123</ns0:v>
      </ns0:c>
      <ns0:c r="W267" s="7">
        <ns0:f>U267+V267</ns0:f>
        <ns0:v>565404.6283475728</ns0:v>
      </ns0:c>
      <ns0:c r="X267" s="16">
        <ns0:f>P267-E267*'前提と出典'!$E$6</ns0:f>
        <ns0:v>388374.2474590654</ns0:v>
      </ns0:c>
      <ns0:c r="Y267" s="16">
        <ns0:f>Q267-F267*'前提と出典'!$E$6</ns0:f>
        <ns0:v>91704.23530023068</ns0:v>
      </ns0:c>
      <ns0:c r="Z267" s="7">
        <ns0:f>X267+Y267</ns0:f>
        <ns0:v>480078.4827592961</ns0:v>
      </ns0:c>
      <ns0:c r="AA267" s="7">
        <ns0:f>IF(T267&gt;=0,A267,1001)</ns0:f>
        <ns0:v>263</ns0:v>
      </ns0:c>
      <ns0:c r="AB267" s="7">
        <ns0:f>IF(T267&lt;0,A267,0)</ns0:f>
        <ns0:v>0</ns0:v>
      </ns0:c>
      <ns0:c r="AC267" s="16">
        <ns0:f>IF(AND(OR('前提と出典'!$C$36+'前提と出典'!$C$38=0,R267&gt;=0),OR('前提と出典'!$C$37+'前提と出典'!$C$38=0,S267&gt;=0)),0,A267)</ns0:f>
        <ns0:v>0</ns0:v>
      </ns0:c>
      <ns0:c r="AD267" s="7">
        <ns0:f>IF(W267&gt;=0,A267,1001)</ns0:f>
        <ns0:v>263</ns0:v>
      </ns0:c>
      <ns0:c r="AE267" s="7">
        <ns0:f>IF(W267&lt;0,A267,0)</ns0:f>
        <ns0:v>0</ns0:v>
      </ns0:c>
      <ns0:c r="AF267" s="16">
        <ns0:f>IF(AND(OR('前提と出典'!$C$36+'前提と出典'!$C$38=0,U267&gt;=0),OR('前提と出典'!$C$37+'前提と出典'!$C$38=0,V267&gt;=0)),0,A267)</ns0:f>
        <ns0:v>0</ns0:v>
      </ns0:c>
      <ns0:c r="AG267" s="7">
        <ns0:f>IF(Z267&gt;=0,A267,1001)</ns0:f>
        <ns0:v>263</ns0:v>
      </ns0:c>
      <ns0:c r="AH267" s="4">
        <ns0:f>IF(Z267&lt;0,A267,0)</ns0:f>
        <ns0:v>0</ns0:v>
      </ns0:c>
      <ns0:c r="AI267" s="12">
        <ns0:f>IF(AND(OR('前提と出典'!$C$36+'前提と出典'!$C$38=0,X267&gt;=0),OR('前提と出典'!$C$37+'前提と出典'!$C$38=0,Y267&gt;=0)),0,A267)</ns0:f>
        <ns0:v>0</ns0:v>
      </ns0:c>
    </ns0:row>
    <ns0:row r="268" ht="24" customHeight="1">
      <ns0:c r="A268" s="4" t="n">
        <ns0:v>264</ns0:v>
      </ns0:c>
      <ns0:c r="B268" s="12">
        <ns0:f>A268*('前提と出典'!$C$36+'前提と出典'!$C$38)</ns0:f>
        <ns0:v>184.79999999999998</ns0:v>
      </ns0:c>
      <ns0:c r="C268" s="12">
        <ns0:f>A268*('前提と出典'!$C$37+'前提と出典'!$C$38)</ns0:f>
        <ns0:v>158.4</ns0:v>
      </ns0:c>
      <ns0:c r="D268" s="16">
        <ns0:f>A268*('前提と出典'!$C$36*'契約別単価'!C5+'前提と出典'!$C$37*'契約別単価'!C6+'前提と出典'!$C$38*'契約別単価'!C7)</ns0:f>
        <ns0:v>1899.6201117318435</ns0:v>
      </ns0:c>
      <ns0:c r="E268" s="16">
        <ns0:f>A268*('前提と出典'!$C$36*'契約別単価'!E5+'前提と出典'!$C$37*'契約別単価'!E6+'前提と出典'!$C$38*'契約別単価'!E7)</ns0:f>
        <ns0:v>663662.4517356011</ns0:v>
      </ns0:c>
      <ns0:c r="F268" s="16">
        <ns0:f>A268*('前提と出典'!$C$36*'契約別単価'!F5+'前提と出典'!$C$37*'契約別単価'!F6+'前提と出典'!$C$38*'契約別単価'!F7)</ns0:f>
        <ns0:v>192843.34428360095</ns0:v>
      </ns0:c>
      <ns0:c r="G268" s="16">
        <ns0:f>A268*('前提と出典'!$C$36*'契約別単価'!G5+'前提と出典'!$C$37*'契約別単価'!G6+'前提と出典'!$C$38*'契約別単価'!G7)</ns0:f>
        <ns0:v>525492.7374301676</ns0:v>
      </ns0:c>
      <ns0:c r="H268" s="16">
        <ns0:f>A268*('前提と出典'!$C$36*'契約別単価'!H5+'前提と出典'!$C$37*'契約別単価'!H6+'前提と出典'!$C$38*'契約別単価'!H7)</ns0:f>
        <ns0:v>182372.3354201173</ns0:v>
      </ns0:c>
      <ns0:c r="I268" s="16">
        <ns0:f>A268*('前提と出典'!$C$36*'契約別単価'!I5+'前提と出典'!$C$37*'契約別単価'!I6+'前提と出典'!$C$38*'契約別単価'!I7)</ns0:f>
        <ns0:v>11139.620111731841</ns0:v>
      </ns0:c>
      <ns0:c r="J268" s="16">
        <ns0:f>A268*('前提と出典'!$C$36*'契約別単価'!J5+'前提と出典'!$C$37*'契約別単価'!J6+'前提と出典'!$C$38*'契約別単価'!J7)</ns0:f>
        <ns0:v>25948.439539519877</ns0:v>
      </ns0:c>
      <ns0:c r="K268" s="16">
        <ns0:f>A268*('前提と出典'!$C$36*'契約別単価'!K5+'前提と出典'!$C$37*'契約別単価'!K6+'前提と出典'!$C$38*'契約別単価'!K7)</ns0:f>
        <ns0:v>111224.13407821229</ns0:v>
      </ns0:c>
      <ns0:c r="L268" s="16">
        <ns0:f>A268*('前提と出典'!$C$36*'契約別単価'!L5+'前提と出典'!$C$37*'契約別単価'!L6+'前提と出典'!$C$38*'契約別単価'!L7)</ns0:f>
        <ns0:v>90559.07784733723</ns0:v>
      </ns0:c>
      <ns0:c r="M268" s="16">
        <ns0:f>IF(('前提と出典'!$C$36+'前提と出典'!$C$38)=0,0,IF(B268&lt;=10,'前提と出典'!B73+'前提と出典'!C73,IF(B268&lt;=100,'前提と出典'!B74+'前提と出典'!C74,IF(B268&lt;=500,'前提と出典'!B75+'前提と出典'!C75,'前提と出典'!B76+'前提と出典'!C76))))</ns0:f>
        <ns0:v>40000</ns0:v>
      </ns0:c>
      <ns0:c r="N268" s="16">
        <ns0:f>IF(('前提と出典'!$C$37+'前提と出典'!$C$38)=0,0,IF(C268&lt;=10,'前提と出典'!D73+'前提と出典'!E73,IF(C268&lt;=100,'前提と出典'!D74+'前提と出典'!E74,IF(C268&lt;=500,'前提と出典'!D75+'前提と出典'!E75,'前提と出典'!D76+'前提と出典'!E76))))</ns0:f>
        <ns0:v>56510.9346263078</ns0:v>
      </ns0:c>
      <ns0:c r="O268" s="16">
        <ns0:f>IF('前提と出典'!$C$36+'前提と出典'!$C$38=0,0,'前提と出典'!$B$4*IF('前提と出典'!$B$20=0,MAX('前提と出典'!$B$6,D268*'前提と出典'!$B$5),'前提と出典'!$B$6+D268*'前提と出典'!$B$5))</ns0:f>
        <ns0:v>262147.5754189944</ns0:v>
      </ns0:c>
      <ns0:c r="P268" s="16">
        <ns0:f>(E268+G268)*(1-'前提と出典'!$B$7)-I268-K268-M268-O268</ns0:f>
        <ns0:v>721834.2727468625</ns0:v>
      </ns0:c>
      <ns0:c r="Q268" s="16">
        <ns0:f>(F268+H268)*(1-'前提と出典'!$B$7)-J268-L268-N268</ns0:f>
        <ns0:v>188689.46322121948</ns0:v>
      </ns0:c>
      <ns0:c r="R268" s="16">
        <ns0:f>P268-E268*'前提と出典'!$E$4</ns0:f>
        <ns0:v>522735.5372261822</ns0:v>
      </ns0:c>
      <ns0:c r="S268" s="16">
        <ns0:f>Q268-F268*'前提と出典'!$E$4</ns0:f>
        <ns0:v>130836.45993613917</ns0:v>
      </ns0:c>
      <ns0:c r="T268" s="7">
        <ns0:f>R268+S268</ns0:f>
        <ns0:v>653571.9971623213</ns0:v>
      </ns0:c>
      <ns0:c r="U268" s="16">
        <ns0:f>P268-E268*'前提と出典'!$E$5</ns0:f>
        <ns0:v>456369.29205262207</ns0:v>
      </ns0:c>
      <ns0:c r="V268" s="16">
        <ns0:f>Q268-F268*'前提と出典'!$E$5</ns0:f>
        <ns0:v>111552.1255077791</ns0:v>
      </ns0:c>
      <ns0:c r="W268" s="7">
        <ns0:f>U268+V268</ns0:f>
        <ns0:v>567921.4175604011</ns0:v>
      </ns0:c>
      <ns0:c r="X268" s="16">
        <ns0:f>P268-E268*'前提と出典'!$E$6</ns0:f>
        <ns0:v>390003.04687906196</ns0:v>
      </ns0:c>
      <ns0:c r="Y268" s="16">
        <ns0:f>Q268-F268*'前提と出典'!$E$6</ns0:f>
        <ns0:v>92267.79107941905</ns0:v>
      </ns0:c>
      <ns0:c r="Z268" s="7">
        <ns0:f>X268+Y268</ns0:f>
        <ns0:v>482270.83795848105</ns0:v>
      </ns0:c>
      <ns0:c r="AA268" s="7">
        <ns0:f>IF(T268&gt;=0,A268,1001)</ns0:f>
        <ns0:v>264</ns0:v>
      </ns0:c>
      <ns0:c r="AB268" s="7">
        <ns0:f>IF(T268&lt;0,A268,0)</ns0:f>
        <ns0:v>0</ns0:v>
      </ns0:c>
      <ns0:c r="AC268" s="16">
        <ns0:f>IF(AND(OR('前提と出典'!$C$36+'前提と出典'!$C$38=0,R268&gt;=0),OR('前提と出典'!$C$37+'前提と出典'!$C$38=0,S268&gt;=0)),0,A268)</ns0:f>
        <ns0:v>0</ns0:v>
      </ns0:c>
      <ns0:c r="AD268" s="7">
        <ns0:f>IF(W268&gt;=0,A268,1001)</ns0:f>
        <ns0:v>264</ns0:v>
      </ns0:c>
      <ns0:c r="AE268" s="7">
        <ns0:f>IF(W268&lt;0,A268,0)</ns0:f>
        <ns0:v>0</ns0:v>
      </ns0:c>
      <ns0:c r="AF268" s="16">
        <ns0:f>IF(AND(OR('前提と出典'!$C$36+'前提と出典'!$C$38=0,U268&gt;=0),OR('前提と出典'!$C$37+'前提と出典'!$C$38=0,V268&gt;=0)),0,A268)</ns0:f>
        <ns0:v>0</ns0:v>
      </ns0:c>
      <ns0:c r="AG268" s="7">
        <ns0:f>IF(Z268&gt;=0,A268,1001)</ns0:f>
        <ns0:v>264</ns0:v>
      </ns0:c>
      <ns0:c r="AH268" s="4">
        <ns0:f>IF(Z268&lt;0,A268,0)</ns0:f>
        <ns0:v>0</ns0:v>
      </ns0:c>
      <ns0:c r="AI268" s="12">
        <ns0:f>IF(AND(OR('前提と出典'!$C$36+'前提と出典'!$C$38=0,X268&gt;=0),OR('前提と出典'!$C$37+'前提と出典'!$C$38=0,Y268&gt;=0)),0,A268)</ns0:f>
        <ns0:v>0</ns0:v>
      </ns0:c>
    </ns0:row>
    <ns0:row r="269" ht="24" customHeight="1">
      <ns0:c r="A269" s="4" t="n">
        <ns0:v>265</ns0:v>
      </ns0:c>
      <ns0:c r="B269" s="12">
        <ns0:f>A269*('前提と出典'!$C$36+'前提と出典'!$C$38)</ns0:f>
        <ns0:v>185.5</ns0:v>
      </ns0:c>
      <ns0:c r="C269" s="12">
        <ns0:f>A269*('前提と出典'!$C$37+'前提と出典'!$C$38)</ns0:f>
        <ns0:v>159</ns0:v>
      </ns0:c>
      <ns0:c r="D269" s="16">
        <ns0:f>A269*('前提と出典'!$C$36*'契約別単価'!C5+'前提と出典'!$C$37*'契約別単価'!C6+'前提と出典'!$C$38*'契約別単価'!C7)</ns0:f>
        <ns0:v>1906.8156424581005</ns0:v>
      </ns0:c>
      <ns0:c r="E269" s="16">
        <ns0:f>A269*('前提と出典'!$C$36*'契約別単価'!E5+'前提と出典'!$C$37*'契約別単価'!E6+'前提と出典'!$C$38*'契約別単価'!E7)</ns0:f>
        <ns0:v>666176.3246588421</ns0:v>
      </ns0:c>
      <ns0:c r="F269" s="16">
        <ns0:f>A269*('前提と出典'!$C$36*'契約別単価'!F5+'前提と出典'!$C$37*'契約別単価'!F6+'前提と出典'!$C$38*'契約別単価'!F7)</ns0:f>
        <ns0:v>193573.8114967964</ns0:v>
      </ns0:c>
      <ns0:c r="G269" s="16">
        <ns0:f>A269*('前提と出典'!$C$36*'契約別単価'!G5+'前提と出典'!$C$37*'契約別単価'!G6+'前提と出典'!$C$38*'契約別単価'!G7)</ns0:f>
        <ns0:v>527483.2402234636</ns0:v>
      </ns0:c>
      <ns0:c r="H269" s="16">
        <ns0:f>A269*('前提と出典'!$C$36*'契約別単価'!H5+'前提と出典'!$C$37*'契約別単価'!H6+'前提と出典'!$C$38*'契約別単価'!H7)</ns0:f>
        <ns0:v>183063.1397209511</ns0:v>
      </ns0:c>
      <ns0:c r="I269" s="16">
        <ns0:f>A269*('前提と出典'!$C$36*'契約別単価'!I5+'前提と出典'!$C$37*'契約別単価'!I6+'前提と出典'!$C$38*'契約別単価'!I7)</ns0:f>
        <ns0:v>11181.8156424581</ns0:v>
      </ns0:c>
      <ns0:c r="J269" s="16">
        <ns0:f>A269*('前提と出典'!$C$36*'契約別単価'!J5+'前提と出典'!$C$37*'契約別単価'!J6+'前提と出典'!$C$38*'契約別単価'!J7)</ns0:f>
        <ns0:v>26046.72908323018</ns0:v>
      </ns0:c>
      <ns0:c r="K269" s="16">
        <ns0:f>A269*('前提と出典'!$C$36*'契約別単価'!K5+'前提と出典'!$C$37*'契約別単価'!K6+'前提と出典'!$C$38*'契約別単価'!K7)</ns0:f>
        <ns0:v>111645.43761638732</ns0:v>
      </ns0:c>
      <ns0:c r="L269" s="16">
        <ns0:f>A269*('前提と出典'!$C$36*'契約別単価'!L5+'前提と出典'!$C$37*'契約別単価'!L6+'前提と出典'!$C$38*'契約別単価'!L7)</ns0:f>
        <ns0:v>90902.10465736504</ns0:v>
      </ns0:c>
      <ns0:c r="M269" s="16">
        <ns0:f>IF(('前提と出典'!$C$36+'前提と出典'!$C$38)=0,0,IF(B269&lt;=10,'前提と出典'!B73+'前提と出典'!C73,IF(B269&lt;=100,'前提と出典'!B74+'前提と出典'!C74,IF(B269&lt;=500,'前提と出典'!B75+'前提と出典'!C75,'前提と出典'!B76+'前提と出典'!C76))))</ns0:f>
        <ns0:v>40000</ns0:v>
      </ns0:c>
      <ns0:c r="N269" s="16">
        <ns0:f>IF(('前提と出典'!$C$37+'前提と出典'!$C$38)=0,0,IF(C269&lt;=10,'前提と出典'!D73+'前提と出典'!E73,IF(C269&lt;=100,'前提と出典'!D74+'前提と出典'!E74,IF(C269&lt;=500,'前提と出典'!D75+'前提と出典'!E75,'前提と出典'!D76+'前提と出典'!E76))))</ns0:f>
        <ns0:v>56510.9346263078</ns0:v>
      </ns0:c>
      <ns0:c r="O269" s="16">
        <ns0:f>IF('前提と出典'!$C$36+'前提と出典'!$C$38=0,0,'前提と出典'!$B$4*IF('前提と出典'!$B$20=0,MAX('前提と出典'!$B$6,D269*'前提と出典'!$B$5),'前提と出典'!$B$6+D269*'前提と出典'!$B$5))</ns0:f>
        <ns0:v>263140.5586592179</ns0:v>
      </ns0:c>
      <ns0:c r="P269" s="16">
        <ns0:f>(E269+G269)*(1-'前提と出典'!$B$7)-I269-K269-M269-O269</ns0:f>
        <ns0:v>724720.0086284793</ns0:v>
      </ns0:c>
      <ns0:c r="Q269" s="16">
        <ns0:f>(F269+H269)*(1-'前提と出典'!$B$7)-J269-L269-N269</ns0:f>
        <ns0:v>189618.25260700556</ns0:v>
      </ns0:c>
      <ns0:c r="R269" s="16">
        <ns0:f>P269-E269*'前提と出典'!$E$4</ns0:f>
        <ns0:v>524867.1112308266</ns0:v>
      </ns0:c>
      <ns0:c r="S269" s="16">
        <ns0:f>Q269-F269*'前提と出典'!$E$4</ns0:f>
        <ns0:v>131546.10915796665</ns0:v>
      </ns0:c>
      <ns0:c r="T269" s="7">
        <ns0:f>R269+S269</ns0:f>
        <ns0:v>656413.2203887933</ns0:v>
      </ns0:c>
      <ns0:c r="U269" s="16">
        <ns0:f>P269-E269*'前提と出典'!$E$5</ns0:f>
        <ns0:v>458249.4787649425</ns0:v>
      </ns0:c>
      <ns0:c r="V269" s="16">
        <ns0:f>Q269-F269*'前提と出典'!$E$5</ns0:f>
        <ns0:v>112188.728008287</ns0:v>
      </ns0:c>
      <ns0:c r="W269" s="7">
        <ns0:f>U269+V269</ns0:f>
        <ns0:v>570438.2067732295</ns0:v>
      </ns0:c>
      <ns0:c r="X269" s="16">
        <ns0:f>P269-E269*'前提と出典'!$E$6</ns0:f>
        <ns0:v>391631.8462990582</ns0:v>
      </ns0:c>
      <ns0:c r="Y269" s="16">
        <ns0:f>Q269-F269*'前提と出典'!$E$6</ns0:f>
        <ns0:v>92831.34685860734</ns0:v>
      </ns0:c>
      <ns0:c r="Z269" s="7">
        <ns0:f>X269+Y269</ns0:f>
        <ns0:v>484463.19315766555</ns0:v>
      </ns0:c>
      <ns0:c r="AA269" s="7">
        <ns0:f>IF(T269&gt;=0,A269,1001)</ns0:f>
        <ns0:v>265</ns0:v>
      </ns0:c>
      <ns0:c r="AB269" s="7">
        <ns0:f>IF(T269&lt;0,A269,0)</ns0:f>
        <ns0:v>0</ns0:v>
      </ns0:c>
      <ns0:c r="AC269" s="16">
        <ns0:f>IF(AND(OR('前提と出典'!$C$36+'前提と出典'!$C$38=0,R269&gt;=0),OR('前提と出典'!$C$37+'前提と出典'!$C$38=0,S269&gt;=0)),0,A269)</ns0:f>
        <ns0:v>0</ns0:v>
      </ns0:c>
      <ns0:c r="AD269" s="7">
        <ns0:f>IF(W269&gt;=0,A269,1001)</ns0:f>
        <ns0:v>265</ns0:v>
      </ns0:c>
      <ns0:c r="AE269" s="7">
        <ns0:f>IF(W269&lt;0,A269,0)</ns0:f>
        <ns0:v>0</ns0:v>
      </ns0:c>
      <ns0:c r="AF269" s="16">
        <ns0:f>IF(AND(OR('前提と出典'!$C$36+'前提と出典'!$C$38=0,U269&gt;=0),OR('前提と出典'!$C$37+'前提と出典'!$C$38=0,V269&gt;=0)),0,A269)</ns0:f>
        <ns0:v>0</ns0:v>
      </ns0:c>
      <ns0:c r="AG269" s="7">
        <ns0:f>IF(Z269&gt;=0,A269,1001)</ns0:f>
        <ns0:v>265</ns0:v>
      </ns0:c>
      <ns0:c r="AH269" s="4">
        <ns0:f>IF(Z269&lt;0,A269,0)</ns0:f>
        <ns0:v>0</ns0:v>
      </ns0:c>
      <ns0:c r="AI269" s="12">
        <ns0:f>IF(AND(OR('前提と出典'!$C$36+'前提と出典'!$C$38=0,X269&gt;=0),OR('前提と出典'!$C$37+'前提と出典'!$C$38=0,Y269&gt;=0)),0,A269)</ns0:f>
        <ns0:v>0</ns0:v>
      </ns0:c>
    </ns0:row>
    <ns0:row r="270" ht="24" customHeight="1">
      <ns0:c r="A270" s="4" t="n">
        <ns0:v>266</ns0:v>
      </ns0:c>
      <ns0:c r="B270" s="12">
        <ns0:f>A270*('前提と出典'!$C$36+'前提と出典'!$C$38)</ns0:f>
        <ns0:v>186.2</ns0:v>
      </ns0:c>
      <ns0:c r="C270" s="12">
        <ns0:f>A270*('前提と出典'!$C$37+'前提と出典'!$C$38)</ns0:f>
        <ns0:v>159.6</ns0:v>
      </ns0:c>
      <ns0:c r="D270" s="16">
        <ns0:f>A270*('前提と出典'!$C$36*'契約別単価'!C5+'前提と出典'!$C$37*'契約別単価'!C6+'前提と出典'!$C$38*'契約別単価'!C7)</ns0:f>
        <ns0:v>1914.0111731843576</ns0:v>
      </ns0:c>
      <ns0:c r="E270" s="16">
        <ns0:f>A270*('前提と出典'!$C$36*'契約別単価'!E5+'前提と出典'!$C$37*'契約別単価'!E6+'前提と出典'!$C$38*'契約別単価'!E7)</ns0:f>
        <ns0:v>668690.1975820829</ns0:v>
      </ns0:c>
      <ns0:c r="F270" s="16">
        <ns0:f>A270*('前提と出典'!$C$36*'契約別単価'!F5+'前提と出典'!$C$37*'契約別単価'!F6+'前提と出典'!$C$38*'契約別単価'!F7)</ns0:f>
        <ns0:v>194304.27870999186</ns0:v>
      </ns0:c>
      <ns0:c r="G270" s="16">
        <ns0:f>A270*('前提と出典'!$C$36*'契約別単価'!G5+'前提と出典'!$C$37*'契約別単価'!G6+'前提と出典'!$C$38*'契約別単価'!G7)</ns0:f>
        <ns0:v>529473.7430167597</ns0:v>
      </ns0:c>
      <ns0:c r="H270" s="16">
        <ns0:f>A270*('前提と出典'!$C$36*'契約別単価'!H5+'前提と出典'!$C$37*'契約別単価'!H6+'前提と出典'!$C$38*'契約別単価'!H7)</ns0:f>
        <ns0:v>183753.94402178488</ns0:v>
      </ns0:c>
      <ns0:c r="I270" s="16">
        <ns0:f>A270*('前提と出典'!$C$36*'契約別単価'!I5+'前提と出典'!$C$37*'契約別単価'!I6+'前提と出典'!$C$38*'契約別単価'!I7)</ns0:f>
        <ns0:v>11224.011173184355</ns0:v>
      </ns0:c>
      <ns0:c r="J270" s="16">
        <ns0:f>A270*('前提と出典'!$C$36*'契約別単価'!J5+'前提と出典'!$C$37*'契約別単価'!J6+'前提と出典'!$C$38*'契約別単価'!J7)</ns0:f>
        <ns0:v>26145.018626940484</ns0:v>
      </ns0:c>
      <ns0:c r="K270" s="16">
        <ns0:f>A270*('前提と出典'!$C$36*'契約別単価'!K5+'前提と出典'!$C$37*'契約別単価'!K6+'前提と出典'!$C$38*'契約別単価'!K7)</ns0:f>
        <ns0:v>112066.74115456238</ns0:v>
      </ns0:c>
      <ns0:c r="L270" s="16">
        <ns0:f>A270*('前提と出典'!$C$36*'契約別単価'!L5+'前提と出典'!$C$37*'契約別単価'!L6+'前提と出典'!$C$38*'契約別単価'!L7)</ns0:f>
        <ns0:v>91245.13146739283</ns0:v>
      </ns0:c>
      <ns0:c r="M270" s="16">
        <ns0:f>IF(('前提と出典'!$C$36+'前提と出典'!$C$38)=0,0,IF(B270&lt;=10,'前提と出典'!B73+'前提と出典'!C73,IF(B270&lt;=100,'前提と出典'!B74+'前提と出典'!C74,IF(B270&lt;=500,'前提と出典'!B75+'前提と出典'!C75,'前提と出典'!B76+'前提と出典'!C76))))</ns0:f>
        <ns0:v>40000</ns0:v>
      </ns0:c>
      <ns0:c r="N270" s="16">
        <ns0:f>IF(('前提と出典'!$C$37+'前提と出典'!$C$38)=0,0,IF(C270&lt;=10,'前提と出典'!D73+'前提と出典'!E73,IF(C270&lt;=100,'前提と出典'!D74+'前提と出典'!E74,IF(C270&lt;=500,'前提と出典'!D75+'前提と出典'!E75,'前提と出典'!D76+'前提と出典'!E76))))</ns0:f>
        <ns0:v>56510.9346263078</ns0:v>
      </ns0:c>
      <ns0:c r="O270" s="16">
        <ns0:f>IF('前提と出典'!$C$36+'前提と出典'!$C$38=0,0,'前提と出典'!$B$4*IF('前提と出典'!$B$20=0,MAX('前提と出典'!$B$6,D270*'前提と出典'!$B$5),'前提と出典'!$B$6+D270*'前提と出典'!$B$5))</ns0:f>
        <ns0:v>264133.54189944133</ns0:v>
      </ns0:c>
      <ns0:c r="P270" s="16">
        <ns0:f>(E270+G270)*(1-'前提と出典'!$B$7)-I270-K270-M270-O270</ns0:f>
        <ns0:v>727605.7445100963</ns0:v>
      </ns0:c>
      <ns0:c r="Q270" s="16">
        <ns0:f>(F270+H270)*(1-'前提と出典'!$B$7)-J270-L270-N270</ns0:f>
        <ns0:v>190547.04199279164</ns0:v>
      </ns0:c>
      <ns0:c r="R270" s="16">
        <ns0:f>P270-E270*'前提と出典'!$E$4</ns0:f>
        <ns0:v>526998.6852354715</ns0:v>
      </ns0:c>
      <ns0:c r="S270" s="16">
        <ns0:f>Q270-F270*'前提と出典'!$E$4</ns0:f>
        <ns0:v>132255.75837979408</ns0:v>
      </ns0:c>
      <ns0:c r="T270" s="7">
        <ns0:f>R270+S270</ns0:f>
        <ns0:v>659254.4436152655</ns0:v>
      </ns0:c>
      <ns0:c r="U270" s="16">
        <ns0:f>P270-E270*'前提と出典'!$E$5</ns0:f>
        <ns0:v>460129.6654772631</ns0:v>
      </ns0:c>
      <ns0:c r="V270" s="16">
        <ns0:f>Q270-F270*'前提と出典'!$E$5</ns0:f>
        <ns0:v>112825.33050879487</ns0:v>
      </ns0:c>
      <ns0:c r="W270" s="7">
        <ns0:f>U270+V270</ns0:f>
        <ns0:v>572954.9959860579</ns0:v>
      </ns0:c>
      <ns0:c r="X270" s="16">
        <ns0:f>P270-E270*'前提と出典'!$E$6</ns0:f>
        <ns0:v>393260.6457190549</ns0:v>
      </ns0:c>
      <ns0:c r="Y270" s="16">
        <ns0:f>Q270-F270*'前提と出典'!$E$6</ns0:f>
        <ns0:v>93394.90263779572</ns0:v>
      </ns0:c>
      <ns0:c r="Z270" s="7">
        <ns0:f>X270+Y270</ns0:f>
        <ns0:v>486655.54835685063</ns0:v>
      </ns0:c>
      <ns0:c r="AA270" s="7">
        <ns0:f>IF(T270&gt;=0,A270,1001)</ns0:f>
        <ns0:v>266</ns0:v>
      </ns0:c>
      <ns0:c r="AB270" s="7">
        <ns0:f>IF(T270&lt;0,A270,0)</ns0:f>
        <ns0:v>0</ns0:v>
      </ns0:c>
      <ns0:c r="AC270" s="16">
        <ns0:f>IF(AND(OR('前提と出典'!$C$36+'前提と出典'!$C$38=0,R270&gt;=0),OR('前提と出典'!$C$37+'前提と出典'!$C$38=0,S270&gt;=0)),0,A270)</ns0:f>
        <ns0:v>0</ns0:v>
      </ns0:c>
      <ns0:c r="AD270" s="7">
        <ns0:f>IF(W270&gt;=0,A270,1001)</ns0:f>
        <ns0:v>266</ns0:v>
      </ns0:c>
      <ns0:c r="AE270" s="7">
        <ns0:f>IF(W270&lt;0,A270,0)</ns0:f>
        <ns0:v>0</ns0:v>
      </ns0:c>
      <ns0:c r="AF270" s="16">
        <ns0:f>IF(AND(OR('前提と出典'!$C$36+'前提と出典'!$C$38=0,U270&gt;=0),OR('前提と出典'!$C$37+'前提と出典'!$C$38=0,V270&gt;=0)),0,A270)</ns0:f>
        <ns0:v>0</ns0:v>
      </ns0:c>
      <ns0:c r="AG270" s="7">
        <ns0:f>IF(Z270&gt;=0,A270,1001)</ns0:f>
        <ns0:v>266</ns0:v>
      </ns0:c>
      <ns0:c r="AH270" s="4">
        <ns0:f>IF(Z270&lt;0,A270,0)</ns0:f>
        <ns0:v>0</ns0:v>
      </ns0:c>
      <ns0:c r="AI270" s="12">
        <ns0:f>IF(AND(OR('前提と出典'!$C$36+'前提と出典'!$C$38=0,X270&gt;=0),OR('前提と出典'!$C$37+'前提と出典'!$C$38=0,Y270&gt;=0)),0,A270)</ns0:f>
        <ns0:v>0</ns0:v>
      </ns0:c>
    </ns0:row>
    <ns0:row r="271" ht="24" customHeight="1">
      <ns0:c r="A271" s="4" t="n">
        <ns0:v>267</ns0:v>
      </ns0:c>
      <ns0:c r="B271" s="12">
        <ns0:f>A271*('前提と出典'!$C$36+'前提と出典'!$C$38)</ns0:f>
        <ns0:v>186.89999999999998</ns0:v>
      </ns0:c>
      <ns0:c r="C271" s="12">
        <ns0:f>A271*('前提と出典'!$C$37+'前提と出典'!$C$38)</ns0:f>
        <ns0:v>160.2</ns0:v>
      </ns0:c>
      <ns0:c r="D271" s="16">
        <ns0:f>A271*('前提と出典'!$C$36*'契約別単価'!C5+'前提と出典'!$C$37*'契約別単価'!C6+'前提と出典'!$C$38*'契約別単価'!C7)</ns0:f>
        <ns0:v>1921.2067039106146</ns0:v>
      </ns0:c>
      <ns0:c r="E271" s="16">
        <ns0:f>A271*('前提と出典'!$C$36*'契約別単価'!E5+'前提と出典'!$C$37*'契約別単価'!E6+'前提と出典'!$C$38*'契約別単価'!E7)</ns0:f>
        <ns0:v>671204.0705053238</ns0:v>
      </ns0:c>
      <ns0:c r="F271" s="16">
        <ns0:f>A271*('前提と出典'!$C$36*'契約別単価'!F5+'前提と出典'!$C$37*'契約別単価'!F6+'前提と出典'!$C$38*'契約別単価'!F7)</ns0:f>
        <ns0:v>195034.74592318732</ns0:v>
      </ns0:c>
      <ns0:c r="G271" s="16">
        <ns0:f>A271*('前提と出典'!$C$36*'契約別単価'!G5+'前提と出典'!$C$37*'契約別単価'!G6+'前提と出典'!$C$38*'契約別単価'!G7)</ns0:f>
        <ns0:v>531464.2458100559</ns0:v>
      </ns0:c>
      <ns0:c r="H271" s="16">
        <ns0:f>A271*('前提と出典'!$C$36*'契約別単価'!H5+'前提と出典'!$C$37*'契約別単価'!H6+'前提と出典'!$C$38*'契約別単価'!H7)</ns0:f>
        <ns0:v>184444.74832261863</ns0:v>
      </ns0:c>
      <ns0:c r="I271" s="16">
        <ns0:f>A271*('前提と出典'!$C$36*'契約別単価'!I5+'前提と出典'!$C$37*'契約別単価'!I6+'前提と出典'!$C$38*'契約別単価'!I7)</ns0:f>
        <ns0:v>11266.206703910613</ns0:v>
      </ns0:c>
      <ns0:c r="J271" s="16">
        <ns0:f>A271*('前提と出典'!$C$36*'契約別単価'!J5+'前提と出典'!$C$37*'契約別単価'!J6+'前提と出典'!$C$38*'契約別単価'!J7)</ns0:f>
        <ns0:v>26243.308170650784</ns0:v>
      </ns0:c>
      <ns0:c r="K271" s="16">
        <ns0:f>A271*('前提と出典'!$C$36*'契約別単価'!K5+'前提と出典'!$C$37*'契約別単価'!K6+'前提と出典'!$C$38*'契約別単価'!K7)</ns0:f>
        <ns0:v>112488.04469273743</ns0:v>
      </ns0:c>
      <ns0:c r="L271" s="16">
        <ns0:f>A271*('前提と出典'!$C$36*'契約別単価'!L5+'前提と出典'!$C$37*'契約別単価'!L6+'前提と出典'!$C$38*'契約別単価'!L7)</ns0:f>
        <ns0:v>91588.15827742062</ns0:v>
      </ns0:c>
      <ns0:c r="M271" s="16">
        <ns0:f>IF(('前提と出典'!$C$36+'前提と出典'!$C$38)=0,0,IF(B271&lt;=10,'前提と出典'!B73+'前提と出典'!C73,IF(B271&lt;=100,'前提と出典'!B74+'前提と出典'!C74,IF(B271&lt;=500,'前提と出典'!B75+'前提と出典'!C75,'前提と出典'!B76+'前提と出典'!C76))))</ns0:f>
        <ns0:v>40000</ns0:v>
      </ns0:c>
      <ns0:c r="N271" s="16">
        <ns0:f>IF(('前提と出典'!$C$37+'前提と出典'!$C$38)=0,0,IF(C271&lt;=10,'前提と出典'!D73+'前提と出典'!E73,IF(C271&lt;=100,'前提と出典'!D74+'前提と出典'!E74,IF(C271&lt;=500,'前提と出典'!D75+'前提と出典'!E75,'前提と出典'!D76+'前提と出典'!E76))))</ns0:f>
        <ns0:v>56510.9346263078</ns0:v>
      </ns0:c>
      <ns0:c r="O271" s="16">
        <ns0:f>IF('前提と出典'!$C$36+'前提と出典'!$C$38=0,0,'前提と出典'!$B$4*IF('前提と出典'!$B$20=0,MAX('前提と出典'!$B$6,D271*'前提と出典'!$B$5),'前提と出典'!$B$6+D271*'前提と出典'!$B$5))</ns0:f>
        <ns0:v>265126.5251396648</ns0:v>
      </ns0:c>
      <ns0:c r="P271" s="16">
        <ns0:f>(E271+G271)*(1-'前提と出典'!$B$7)-I271-K271-M271-O271</ns0:f>
        <ns0:v>730491.4803917131</ns0:v>
      </ns0:c>
      <ns0:c r="Q271" s="16">
        <ns0:f>(F271+H271)*(1-'前提と出典'!$B$7)-J271-L271-N271</ns0:f>
        <ns0:v>191475.83137857774</ns0:v>
      </ns0:c>
      <ns0:c r="R271" s="16">
        <ns0:f>P271-E271*'前提と出典'!$E$4</ns0:f>
        <ns0:v>529130.259240116</ns0:v>
      </ns0:c>
      <ns0:c r="S271" s="16">
        <ns0:f>Q271-F271*'前提と出典'!$E$4</ns0:f>
        <ns0:v>132965.40760162153</ns0:v>
      </ns0:c>
      <ns0:c r="T271" s="7">
        <ns0:f>R271+S271</ns0:f>
        <ns0:v>662095.6668417375</ns0:v>
      </ns0:c>
      <ns0:c r="U271" s="16">
        <ns0:f>P271-E271*'前提と出典'!$E$5</ns0:f>
        <ns0:v>462009.85218958353</ns0:v>
      </ns0:c>
      <ns0:c r="V271" s="16">
        <ns0:f>Q271-F271*'前提と出典'!$E$5</ns0:f>
        <ns0:v>113461.93300930283</ns0:v>
      </ns0:c>
      <ns0:c r="W271" s="7">
        <ns0:f>U271+V271</ns0:f>
        <ns0:v>575471.7851988864</ns0:v>
      </ns0:c>
      <ns0:c r="X271" s="16">
        <ns0:f>P271-E271*'前提と出典'!$E$6</ns0:f>
        <ns0:v>394889.44513905124</ns0:v>
      </ns0:c>
      <ns0:c r="Y271" s="16">
        <ns0:f>Q271-F271*'前提と出典'!$E$6</ns0:f>
        <ns0:v>93958.45841698407</ns0:v>
      </ns0:c>
      <ns0:c r="Z271" s="7">
        <ns0:f>X271+Y271</ns0:f>
        <ns0:v>488847.9035560353</ns0:v>
      </ns0:c>
      <ns0:c r="AA271" s="7">
        <ns0:f>IF(T271&gt;=0,A271,1001)</ns0:f>
        <ns0:v>267</ns0:v>
      </ns0:c>
      <ns0:c r="AB271" s="7">
        <ns0:f>IF(T271&lt;0,A271,0)</ns0:f>
        <ns0:v>0</ns0:v>
      </ns0:c>
      <ns0:c r="AC271" s="16">
        <ns0:f>IF(AND(OR('前提と出典'!$C$36+'前提と出典'!$C$38=0,R271&gt;=0),OR('前提と出典'!$C$37+'前提と出典'!$C$38=0,S271&gt;=0)),0,A271)</ns0:f>
        <ns0:v>0</ns0:v>
      </ns0:c>
      <ns0:c r="AD271" s="7">
        <ns0:f>IF(W271&gt;=0,A271,1001)</ns0:f>
        <ns0:v>267</ns0:v>
      </ns0:c>
      <ns0:c r="AE271" s="7">
        <ns0:f>IF(W271&lt;0,A271,0)</ns0:f>
        <ns0:v>0</ns0:v>
      </ns0:c>
      <ns0:c r="AF271" s="16">
        <ns0:f>IF(AND(OR('前提と出典'!$C$36+'前提と出典'!$C$38=0,U271&gt;=0),OR('前提と出典'!$C$37+'前提と出典'!$C$38=0,V271&gt;=0)),0,A271)</ns0:f>
        <ns0:v>0</ns0:v>
      </ns0:c>
      <ns0:c r="AG271" s="7">
        <ns0:f>IF(Z271&gt;=0,A271,1001)</ns0:f>
        <ns0:v>267</ns0:v>
      </ns0:c>
      <ns0:c r="AH271" s="4">
        <ns0:f>IF(Z271&lt;0,A271,0)</ns0:f>
        <ns0:v>0</ns0:v>
      </ns0:c>
      <ns0:c r="AI271" s="12">
        <ns0:f>IF(AND(OR('前提と出典'!$C$36+'前提と出典'!$C$38=0,X271&gt;=0),OR('前提と出典'!$C$37+'前提と出典'!$C$38=0,Y271&gt;=0)),0,A271)</ns0:f>
        <ns0:v>0</ns0:v>
      </ns0:c>
    </ns0:row>
    <ns0:row r="272" ht="24" customHeight="1">
      <ns0:c r="A272" s="4" t="n">
        <ns0:v>268</ns0:v>
      </ns0:c>
      <ns0:c r="B272" s="12">
        <ns0:f>A272*('前提と出典'!$C$36+'前提と出典'!$C$38)</ns0:f>
        <ns0:v>187.6</ns0:v>
      </ns0:c>
      <ns0:c r="C272" s="12">
        <ns0:f>A272*('前提と出典'!$C$37+'前提と出典'!$C$38)</ns0:f>
        <ns0:v>160.79999999999998</ns0:v>
      </ns0:c>
      <ns0:c r="D272" s="16">
        <ns0:f>A272*('前提と出典'!$C$36*'契約別単価'!C5+'前提と出典'!$C$37*'契約別単価'!C6+'前提と出典'!$C$38*'契約別単価'!C7)</ns0:f>
        <ns0:v>1928.4022346368715</ns0:v>
      </ns0:c>
      <ns0:c r="E272" s="16">
        <ns0:f>A272*('前提と出典'!$C$36*'契約別単価'!E5+'前提と出典'!$C$37*'契約別単価'!E6+'前提と出典'!$C$38*'契約別単価'!E7)</ns0:f>
        <ns0:v>673717.9434285647</ns0:v>
      </ns0:c>
      <ns0:c r="F272" s="16">
        <ns0:f>A272*('前提と出典'!$C$36*'契約別単価'!F5+'前提と出典'!$C$37*'契約別単価'!F6+'前提と出典'!$C$38*'契約別単価'!F7)</ns0:f>
        <ns0:v>195765.21313638278</ns0:v>
      </ns0:c>
      <ns0:c r="G272" s="16">
        <ns0:f>A272*('前提と出典'!$C$36*'契約別単価'!G5+'前提と出典'!$C$37*'契約別単価'!G6+'前提と出典'!$C$38*'契約別単価'!G7)</ns0:f>
        <ns0:v>533454.7486033519</ns0:v>
      </ns0:c>
      <ns0:c r="H272" s="16">
        <ns0:f>A272*('前提と出典'!$C$36*'契約別単価'!H5+'前提と出典'!$C$37*'契約別単価'!H6+'前提と出典'!$C$38*'契約別単価'!H7)</ns0:f>
        <ns0:v>185135.55262345241</ns0:v>
      </ns0:c>
      <ns0:c r="I272" s="16">
        <ns0:f>A272*('前提と出典'!$C$36*'契約別単価'!I5+'前提と出典'!$C$37*'契約別単価'!I6+'前提と出典'!$C$38*'契約別単価'!I7)</ns0:f>
        <ns0:v>11308.40223463687</ns0:v>
      </ns0:c>
      <ns0:c r="J272" s="16">
        <ns0:f>A272*('前提と出典'!$C$36*'契約別単価'!J5+'前提と出典'!$C$37*'契約別単価'!J6+'前提と出典'!$C$38*'契約別単価'!J7)</ns0:f>
        <ns0:v>26341.597714361087</ns0:v>
      </ns0:c>
      <ns0:c r="K272" s="16">
        <ns0:f>A272*('前提と出典'!$C$36*'契約別単価'!K5+'前提と出典'!$C$37*'契約別単価'!K6+'前提と出典'!$C$38*'契約別単価'!K7)</ns0:f>
        <ns0:v>112909.34823091247</ns0:v>
      </ns0:c>
      <ns0:c r="L272" s="16">
        <ns0:f>A272*('前提と出典'!$C$36*'契約別単価'!L5+'前提と出典'!$C$37*'契約別単価'!L6+'前提と出典'!$C$38*'契約別単価'!L7)</ns0:f>
        <ns0:v>91931.18508744841</ns0:v>
      </ns0:c>
      <ns0:c r="M272" s="16">
        <ns0:f>IF(('前提と出典'!$C$36+'前提と出典'!$C$38)=0,0,IF(B272&lt;=10,'前提と出典'!B73+'前提と出典'!C73,IF(B272&lt;=100,'前提と出典'!B74+'前提と出典'!C74,IF(B272&lt;=500,'前提と出典'!B75+'前提と出典'!C75,'前提と出典'!B76+'前提と出典'!C76))))</ns0:f>
        <ns0:v>40000</ns0:v>
      </ns0:c>
      <ns0:c r="N272" s="16">
        <ns0:f>IF(('前提と出典'!$C$37+'前提と出典'!$C$38)=0,0,IF(C272&lt;=10,'前提と出典'!D73+'前提と出典'!E73,IF(C272&lt;=100,'前提と出典'!D74+'前提と出典'!E74,IF(C272&lt;=500,'前提と出典'!D75+'前提と出典'!E75,'前提と出典'!D76+'前提と出典'!E76))))</ns0:f>
        <ns0:v>56510.9346263078</ns0:v>
      </ns0:c>
      <ns0:c r="O272" s="16">
        <ns0:f>IF('前提と出典'!$C$36+'前提と出典'!$C$38=0,0,'前提と出典'!$B$4*IF('前提と出典'!$B$20=0,MAX('前提と出典'!$B$6,D272*'前提と出典'!$B$5),'前提と出典'!$B$6+D272*'前提と出典'!$B$5))</ns0:f>
        <ns0:v>266119.50837988826</ns0:v>
      </ns0:c>
      <ns0:c r="P272" s="16">
        <ns0:f>(E272+G272)*(1-'前提と出典'!$B$7)-I272-K272-M272-O272</ns0:f>
        <ns0:v>733377.2162733302</ns0:v>
      </ns0:c>
      <ns0:c r="Q272" s="16">
        <ns0:f>(F272+H272)*(1-'前提と出典'!$B$7)-J272-L272-N272</ns0:f>
        <ns0:v>192404.62076436385</ns0:v>
      </ns0:c>
      <ns0:c r="R272" s="16">
        <ns0:f>P272-E272*'前提と出典'!$E$4</ns0:f>
        <ns0:v>531261.8332447608</ns0:v>
      </ns0:c>
      <ns0:c r="S272" s="16">
        <ns0:f>Q272-F272*'前提と出典'!$E$4</ns0:f>
        <ns0:v>133675.05682344903</ns0:v>
      </ns0:c>
      <ns0:c r="T272" s="7">
        <ns0:f>R272+S272</ns0:f>
        <ns0:v>664936.8900682097</ns0:v>
      </ns0:c>
      <ns0:c r="U272" s="16">
        <ns0:f>P272-E272*'前提と出典'!$E$5</ns0:f>
        <ns0:v>463890.03890190425</ns0:v>
      </ns0:c>
      <ns0:c r="V272" s="16">
        <ns0:f>Q272-F272*'前提と出典'!$E$5</ns0:f>
        <ns0:v>114098.53550981072</ns0:v>
      </ns0:c>
      <ns0:c r="W272" s="7">
        <ns0:f>U272+V272</ns0:f>
        <ns0:v>577988.5744117149</ns0:v>
      </ns0:c>
      <ns0:c r="X272" s="16">
        <ns0:f>P272-E272*'前提と出典'!$E$6</ns0:f>
        <ns0:v>396518.24455904774</ns0:v>
      </ns0:c>
      <ns0:c r="Y272" s="16">
        <ns0:f>Q272-F272*'前提と出典'!$E$6</ns0:f>
        <ns0:v>94522.01419617247</ns0:v>
      </ns0:c>
      <ns0:c r="Z272" s="7">
        <ns0:f>X272+Y272</ns0:f>
        <ns0:v>491040.2587552202</ns0:v>
      </ns0:c>
      <ns0:c r="AA272" s="7">
        <ns0:f>IF(T272&gt;=0,A272,1001)</ns0:f>
        <ns0:v>268</ns0:v>
      </ns0:c>
      <ns0:c r="AB272" s="7">
        <ns0:f>IF(T272&lt;0,A272,0)</ns0:f>
        <ns0:v>0</ns0:v>
      </ns0:c>
      <ns0:c r="AC272" s="16">
        <ns0:f>IF(AND(OR('前提と出典'!$C$36+'前提と出典'!$C$38=0,R272&gt;=0),OR('前提と出典'!$C$37+'前提と出典'!$C$38=0,S272&gt;=0)),0,A272)</ns0:f>
        <ns0:v>0</ns0:v>
      </ns0:c>
      <ns0:c r="AD272" s="7">
        <ns0:f>IF(W272&gt;=0,A272,1001)</ns0:f>
        <ns0:v>268</ns0:v>
      </ns0:c>
      <ns0:c r="AE272" s="7">
        <ns0:f>IF(W272&lt;0,A272,0)</ns0:f>
        <ns0:v>0</ns0:v>
      </ns0:c>
      <ns0:c r="AF272" s="16">
        <ns0:f>IF(AND(OR('前提と出典'!$C$36+'前提と出典'!$C$38=0,U272&gt;=0),OR('前提と出典'!$C$37+'前提と出典'!$C$38=0,V272&gt;=0)),0,A272)</ns0:f>
        <ns0:v>0</ns0:v>
      </ns0:c>
      <ns0:c r="AG272" s="7">
        <ns0:f>IF(Z272&gt;=0,A272,1001)</ns0:f>
        <ns0:v>268</ns0:v>
      </ns0:c>
      <ns0:c r="AH272" s="4">
        <ns0:f>IF(Z272&lt;0,A272,0)</ns0:f>
        <ns0:v>0</ns0:v>
      </ns0:c>
      <ns0:c r="AI272" s="12">
        <ns0:f>IF(AND(OR('前提と出典'!$C$36+'前提と出典'!$C$38=0,X272&gt;=0),OR('前提と出典'!$C$37+'前提と出典'!$C$38=0,Y272&gt;=0)),0,A272)</ns0:f>
        <ns0:v>0</ns0:v>
      </ns0:c>
    </ns0:row>
    <ns0:row r="273" ht="24" customHeight="1">
      <ns0:c r="A273" s="4" t="n">
        <ns0:v>269</ns0:v>
      </ns0:c>
      <ns0:c r="B273" s="12">
        <ns0:f>A273*('前提と出典'!$C$36+'前提と出典'!$C$38)</ns0:f>
        <ns0:v>188.29999999999998</ns0:v>
      </ns0:c>
      <ns0:c r="C273" s="12">
        <ns0:f>A273*('前提と出典'!$C$37+'前提と出典'!$C$38)</ns0:f>
        <ns0:v>161.4</ns0:v>
      </ns0:c>
      <ns0:c r="D273" s="16">
        <ns0:f>A273*('前提と出典'!$C$36*'契約別単価'!C5+'前提と出典'!$C$37*'契約別単価'!C6+'前提と出典'!$C$38*'契約別単価'!C7)</ns0:f>
        <ns0:v>1935.5977653631285</ns0:v>
      </ns0:c>
      <ns0:c r="E273" s="16">
        <ns0:f>A273*('前提と出典'!$C$36*'契約別単価'!E5+'前提と出典'!$C$37*'契約別単価'!E6+'前提と出典'!$C$38*'契約別単価'!E7)</ns0:f>
        <ns0:v>676231.8163518057</ns0:v>
      </ns0:c>
      <ns0:c r="F273" s="16">
        <ns0:f>A273*('前提と出典'!$C$36*'契約別単価'!F5+'前提と出典'!$C$37*'契約別単価'!F6+'前提と出典'!$C$38*'契約別単価'!F7)</ns0:f>
        <ns0:v>196495.68034957824</ns0:v>
      </ns0:c>
      <ns0:c r="G273" s="16">
        <ns0:f>A273*('前提と出典'!$C$36*'契約別単価'!G5+'前提と出典'!$C$37*'契約別単価'!G6+'前提と出典'!$C$38*'契約別単価'!G7)</ns0:f>
        <ns0:v>535445.251396648</ns0:v>
      </ns0:c>
      <ns0:c r="H273" s="16">
        <ns0:f>A273*('前提と出典'!$C$36*'契約別単価'!H5+'前提と出典'!$C$37*'契約別単価'!H6+'前提と出典'!$C$38*'契約別単価'!H7)</ns0:f>
        <ns0:v>185826.3569242862</ns0:v>
      </ns0:c>
      <ns0:c r="I273" s="16">
        <ns0:f>A273*('前提と出典'!$C$36*'契約別単価'!I5+'前提と出典'!$C$37*'契約別単価'!I6+'前提と出典'!$C$38*'契約別単価'!I7)</ns0:f>
        <ns0:v>11350.597765363127</ns0:v>
      </ns0:c>
      <ns0:c r="J273" s="16">
        <ns0:f>A273*('前提と出典'!$C$36*'契約別単価'!J5+'前提と出典'!$C$37*'契約別単価'!J6+'前提と出典'!$C$38*'契約別単価'!J7)</ns0:f>
        <ns0:v>26439.88725807139</ns0:v>
      </ns0:c>
      <ns0:c r="K273" s="16">
        <ns0:f>A273*('前提と出典'!$C$36*'契約別単価'!K5+'前提と出典'!$C$37*'契約別単価'!K6+'前提と出典'!$C$38*'契約別単価'!K7)</ns0:f>
        <ns0:v>113330.65176908752</ns0:v>
      </ns0:c>
      <ns0:c r="L273" s="16">
        <ns0:f>A273*('前提と出典'!$C$36*'契約別単価'!L5+'前提と出典'!$C$37*'契約別単価'!L6+'前提と出典'!$C$38*'契約別単価'!L7)</ns0:f>
        <ns0:v>92274.2118974762</ns0:v>
      </ns0:c>
      <ns0:c r="M273" s="16">
        <ns0:f>IF(('前提と出典'!$C$36+'前提と出典'!$C$38)=0,0,IF(B273&lt;=10,'前提と出典'!B73+'前提と出典'!C73,IF(B273&lt;=100,'前提と出典'!B74+'前提と出典'!C74,IF(B273&lt;=500,'前提と出典'!B75+'前提と出典'!C75,'前提と出典'!B76+'前提と出典'!C76))))</ns0:f>
        <ns0:v>40000</ns0:v>
      </ns0:c>
      <ns0:c r="N273" s="16">
        <ns0:f>IF(('前提と出典'!$C$37+'前提と出典'!$C$38)=0,0,IF(C273&lt;=10,'前提と出典'!D73+'前提と出典'!E73,IF(C273&lt;=100,'前提と出典'!D74+'前提と出典'!E74,IF(C273&lt;=500,'前提と出典'!D75+'前提と出典'!E75,'前提と出典'!D76+'前提と出典'!E76))))</ns0:f>
        <ns0:v>56510.9346263078</ns0:v>
      </ns0:c>
      <ns0:c r="O273" s="16">
        <ns0:f>IF('前提と出典'!$C$36+'前提と出典'!$C$38=0,0,'前提と出典'!$B$4*IF('前提と出典'!$B$20=0,MAX('前提と出典'!$B$6,D273*'前提と出典'!$B$5),'前提と出典'!$B$6+D273*'前提と出典'!$B$5))</ns0:f>
        <ns0:v>267112.49162011174</ns0:v>
      </ns0:c>
      <ns0:c r="P273" s="16">
        <ns0:f>(E273+G273)*(1-'前提と出典'!$B$7)-I273-K273-M273-O273</ns0:f>
        <ns0:v>736262.9521549469</ns0:v>
      </ns0:c>
      <ns0:c r="Q273" s="16">
        <ns0:f>(F273+H273)*(1-'前提と出典'!$B$7)-J273-L273-N273</ns0:f>
        <ns0:v>193333.41015014995</ns0:v>
      </ns0:c>
      <ns0:c r="R273" s="16">
        <ns0:f>P273-E273*'前提と出典'!$E$4</ns0:f>
        <ns0:v>533393.4072494053</ns0:v>
      </ns0:c>
      <ns0:c r="S273" s="16">
        <ns0:f>Q273-F273*'前提と出典'!$E$4</ns0:f>
        <ns0:v>134384.70604527646</ns0:v>
      </ns0:c>
      <ns0:c r="T273" s="7">
        <ns0:f>R273+S273</ns0:f>
        <ns0:v>667778.1132946818</ns0:v>
      </ns0:c>
      <ns0:c r="U273" s="16">
        <ns0:f>P273-E273*'前提と出典'!$E$5</ns0:f>
        <ns0:v>465770.22561422456</ns0:v>
      </ns0:c>
      <ns0:c r="V273" s="16">
        <ns0:f>Q273-F273*'前提と出典'!$E$5</ns0:f>
        <ns0:v>114735.13801031865</ns0:v>
      </ns0:c>
      <ns0:c r="W273" s="7">
        <ns0:f>U273+V273</ns0:f>
        <ns0:v>580505.3636245432</ns0:v>
      </ns0:c>
      <ns0:c r="X273" s="16">
        <ns0:f>P273-E273*'前提と出典'!$E$6</ns0:f>
        <ns0:v>398147.0439790441</ns0:v>
      </ns0:c>
      <ns0:c r="Y273" s="16">
        <ns0:f>Q273-F273*'前提と出典'!$E$6</ns0:f>
        <ns0:v>95085.56997536079</ns0:v>
      </ns0:c>
      <ns0:c r="Z273" s="7">
        <ns0:f>X273+Y273</ns0:f>
        <ns0:v>493232.61395440483</ns0:v>
      </ns0:c>
      <ns0:c r="AA273" s="7">
        <ns0:f>IF(T273&gt;=0,A273,1001)</ns0:f>
        <ns0:v>269</ns0:v>
      </ns0:c>
      <ns0:c r="AB273" s="7">
        <ns0:f>IF(T273&lt;0,A273,0)</ns0:f>
        <ns0:v>0</ns0:v>
      </ns0:c>
      <ns0:c r="AC273" s="16">
        <ns0:f>IF(AND(OR('前提と出典'!$C$36+'前提と出典'!$C$38=0,R273&gt;=0),OR('前提と出典'!$C$37+'前提と出典'!$C$38=0,S273&gt;=0)),0,A273)</ns0:f>
        <ns0:v>0</ns0:v>
      </ns0:c>
      <ns0:c r="AD273" s="7">
        <ns0:f>IF(W273&gt;=0,A273,1001)</ns0:f>
        <ns0:v>269</ns0:v>
      </ns0:c>
      <ns0:c r="AE273" s="7">
        <ns0:f>IF(W273&lt;0,A273,0)</ns0:f>
        <ns0:v>0</ns0:v>
      </ns0:c>
      <ns0:c r="AF273" s="16">
        <ns0:f>IF(AND(OR('前提と出典'!$C$36+'前提と出典'!$C$38=0,U273&gt;=0),OR('前提と出典'!$C$37+'前提と出典'!$C$38=0,V273&gt;=0)),0,A273)</ns0:f>
        <ns0:v>0</ns0:v>
      </ns0:c>
      <ns0:c r="AG273" s="7">
        <ns0:f>IF(Z273&gt;=0,A273,1001)</ns0:f>
        <ns0:v>269</ns0:v>
      </ns0:c>
      <ns0:c r="AH273" s="4">
        <ns0:f>IF(Z273&lt;0,A273,0)</ns0:f>
        <ns0:v>0</ns0:v>
      </ns0:c>
      <ns0:c r="AI273" s="12">
        <ns0:f>IF(AND(OR('前提と出典'!$C$36+'前提と出典'!$C$38=0,X273&gt;=0),OR('前提と出典'!$C$37+'前提と出典'!$C$38=0,Y273&gt;=0)),0,A273)</ns0:f>
        <ns0:v>0</ns0:v>
      </ns0:c>
    </ns0:row>
    <ns0:row r="274" ht="24" customHeight="1">
      <ns0:c r="A274" s="4" t="n">
        <ns0:v>270</ns0:v>
      </ns0:c>
      <ns0:c r="B274" s="12">
        <ns0:f>A274*('前提と出典'!$C$36+'前提と出典'!$C$38)</ns0:f>
        <ns0:v>189</ns0:v>
      </ns0:c>
      <ns0:c r="C274" s="12">
        <ns0:f>A274*('前提と出典'!$C$37+'前提と出典'!$C$38)</ns0:f>
        <ns0:v>162</ns0:v>
      </ns0:c>
      <ns0:c r="D274" s="16">
        <ns0:f>A274*('前提と出典'!$C$36*'契約別単価'!C5+'前提と出典'!$C$37*'契約別単価'!C6+'前提と出典'!$C$38*'契約別単価'!C7)</ns0:f>
        <ns0:v>1942.7932960893854</ns0:v>
      </ns0:c>
      <ns0:c r="E274" s="16">
        <ns0:f>A274*('前提と出典'!$C$36*'契約別単価'!E5+'前提と出典'!$C$37*'契約別単価'!E6+'前提と出典'!$C$38*'契約別単価'!E7)</ns0:f>
        <ns0:v>678745.6892750466</ns0:v>
      </ns0:c>
      <ns0:c r="F274" s="16">
        <ns0:f>A274*('前提と出典'!$C$36*'契約別単価'!F5+'前提と出典'!$C$37*'契約別単価'!F6+'前提と出典'!$C$38*'契約別単価'!F7)</ns0:f>
        <ns0:v>197226.1475627737</ns0:v>
      </ns0:c>
      <ns0:c r="G274" s="16">
        <ns0:f>A274*('前提と出典'!$C$36*'契約別単価'!G5+'前提と出典'!$C$37*'契約別単価'!G6+'前提と出典'!$C$38*'契約別単価'!G7)</ns0:f>
        <ns0:v>537435.7541899441</ns0:v>
      </ns0:c>
      <ns0:c r="H274" s="16">
        <ns0:f>A274*('前提と出典'!$C$36*'契約別単価'!H5+'前提と出典'!$C$37*'契約別単価'!H6+'前提と出典'!$C$38*'契約別単価'!H7)</ns0:f>
        <ns0:v>186517.16122511998</ns0:v>
      </ns0:c>
      <ns0:c r="I274" s="16">
        <ns0:f>A274*('前提と出典'!$C$36*'契約別単価'!I5+'前提と出典'!$C$37*'契約別単価'!I6+'前提と出典'!$C$38*'契約別単価'!I7)</ns0:f>
        <ns0:v>11392.793296089383</ns0:v>
      </ns0:c>
      <ns0:c r="J274" s="16">
        <ns0:f>A274*('前提と出典'!$C$36*'契約別単価'!J5+'前提と出典'!$C$37*'契約別単価'!J6+'前提と出典'!$C$38*'契約別単価'!J7)</ns0:f>
        <ns0:v>26538.176801781694</ns0:v>
      </ns0:c>
      <ns0:c r="K274" s="16">
        <ns0:f>A274*('前提と出典'!$C$36*'契約別単価'!K5+'前提と出典'!$C$37*'契約別単価'!K6+'前提と出典'!$C$38*'契約別単価'!K7)</ns0:f>
        <ns0:v>113751.95530726256</ns0:v>
      </ns0:c>
      <ns0:c r="L274" s="16">
        <ns0:f>A274*('前提と出典'!$C$36*'契約別単価'!L5+'前提と出典'!$C$37*'契約別単価'!L6+'前提と出典'!$C$38*'契約別単価'!L7)</ns0:f>
        <ns0:v>92617.238707504</ns0:v>
      </ns0:c>
      <ns0:c r="M274" s="16">
        <ns0:f>IF(('前提と出典'!$C$36+'前提と出典'!$C$38)=0,0,IF(B274&lt;=10,'前提と出典'!B73+'前提と出典'!C73,IF(B274&lt;=100,'前提と出典'!B74+'前提と出典'!C74,IF(B274&lt;=500,'前提と出典'!B75+'前提と出典'!C75,'前提と出典'!B76+'前提と出典'!C76))))</ns0:f>
        <ns0:v>40000</ns0:v>
      </ns0:c>
      <ns0:c r="N274" s="16">
        <ns0:f>IF(('前提と出典'!$C$37+'前提と出典'!$C$38)=0,0,IF(C274&lt;=10,'前提と出典'!D73+'前提と出典'!E73,IF(C274&lt;=100,'前提と出典'!D74+'前提と出典'!E74,IF(C274&lt;=500,'前提と出典'!D75+'前提と出典'!E75,'前提と出典'!D76+'前提と出典'!E76))))</ns0:f>
        <ns0:v>56510.9346263078</ns0:v>
      </ns0:c>
      <ns0:c r="O274" s="16">
        <ns0:f>IF('前提と出典'!$C$36+'前提と出典'!$C$38=0,0,'前提と出典'!$B$4*IF('前提と出典'!$B$20=0,MAX('前提と出典'!$B$6,D274*'前提と出典'!$B$5),'前提と出典'!$B$6+D274*'前提と出典'!$B$5))</ns0:f>
        <ns0:v>268105.4748603352</ns0:v>
      </ns0:c>
      <ns0:c r="P274" s="16">
        <ns0:f>(E274+G274)*(1-'前提と出典'!$B$7)-I274-K274-M274-O274</ns0:f>
        <ns0:v>739148.6880365639</ns0:v>
      </ns0:c>
      <ns0:c r="Q274" s="16">
        <ns0:f>(F274+H274)*(1-'前提と出典'!$B$7)-J274-L274-N274</ns0:f>
        <ns0:v>194262.199535936</ns0:v>
      </ns0:c>
      <ns0:c r="R274" s="16">
        <ns0:f>P274-E274*'前提と出典'!$E$4</ns0:f>
        <ns0:v>535524.9812540498</ns0:v>
      </ns0:c>
      <ns0:c r="S274" s="16">
        <ns0:f>Q274-F274*'前提と出典'!$E$4</ns0:f>
        <ns0:v>135094.35526710388</ns0:v>
      </ns0:c>
      <ns0:c r="T274" s="7">
        <ns0:f>R274+S274</ns0:f>
        <ns0:v>670619.3365211537</ns0:v>
      </ns0:c>
      <ns0:c r="U274" s="16">
        <ns0:f>P274-E274*'前提と出典'!$E$5</ns0:f>
        <ns0:v>467650.4123265453</ns0:v>
      </ns0:c>
      <ns0:c r="V274" s="16">
        <ns0:f>Q274-F274*'前提と出典'!$E$5</ns0:f>
        <ns0:v>115371.74051082652</ns0:v>
      </ns0:c>
      <ns0:c r="W274" s="7">
        <ns0:f>U274+V274</ns0:f>
        <ns0:v>583022.1528373718</ns0:v>
      </ns0:c>
      <ns0:c r="X274" s="16">
        <ns0:f>P274-E274*'前提と出典'!$E$6</ns0:f>
        <ns0:v>399775.8433990406</ns0:v>
      </ns0:c>
      <ns0:c r="Y274" s="16">
        <ns0:f>Q274-F274*'前提と出典'!$E$6</ns0:f>
        <ns0:v>95649.12575454917</ns0:v>
      </ns0:c>
      <ns0:c r="Z274" s="7">
        <ns0:f>X274+Y274</ns0:f>
        <ns0:v>495424.96915358974</ns0:v>
      </ns0:c>
      <ns0:c r="AA274" s="7">
        <ns0:f>IF(T274&gt;=0,A274,1001)</ns0:f>
        <ns0:v>270</ns0:v>
      </ns0:c>
      <ns0:c r="AB274" s="7">
        <ns0:f>IF(T274&lt;0,A274,0)</ns0:f>
        <ns0:v>0</ns0:v>
      </ns0:c>
      <ns0:c r="AC274" s="16">
        <ns0:f>IF(AND(OR('前提と出典'!$C$36+'前提と出典'!$C$38=0,R274&gt;=0),OR('前提と出典'!$C$37+'前提と出典'!$C$38=0,S274&gt;=0)),0,A274)</ns0:f>
        <ns0:v>0</ns0:v>
      </ns0:c>
      <ns0:c r="AD274" s="7">
        <ns0:f>IF(W274&gt;=0,A274,1001)</ns0:f>
        <ns0:v>270</ns0:v>
      </ns0:c>
      <ns0:c r="AE274" s="7">
        <ns0:f>IF(W274&lt;0,A274,0)</ns0:f>
        <ns0:v>0</ns0:v>
      </ns0:c>
      <ns0:c r="AF274" s="16">
        <ns0:f>IF(AND(OR('前提と出典'!$C$36+'前提と出典'!$C$38=0,U274&gt;=0),OR('前提と出典'!$C$37+'前提と出典'!$C$38=0,V274&gt;=0)),0,A274)</ns0:f>
        <ns0:v>0</ns0:v>
      </ns0:c>
      <ns0:c r="AG274" s="7">
        <ns0:f>IF(Z274&gt;=0,A274,1001)</ns0:f>
        <ns0:v>270</ns0:v>
      </ns0:c>
      <ns0:c r="AH274" s="4">
        <ns0:f>IF(Z274&lt;0,A274,0)</ns0:f>
        <ns0:v>0</ns0:v>
      </ns0:c>
      <ns0:c r="AI274" s="12">
        <ns0:f>IF(AND(OR('前提と出典'!$C$36+'前提と出典'!$C$38=0,X274&gt;=0),OR('前提と出典'!$C$37+'前提と出典'!$C$38=0,Y274&gt;=0)),0,A274)</ns0:f>
        <ns0:v>0</ns0:v>
      </ns0:c>
    </ns0:row>
    <ns0:row r="275" ht="24" customHeight="1">
      <ns0:c r="A275" s="4" t="n">
        <ns0:v>271</ns0:v>
      </ns0:c>
      <ns0:c r="B275" s="12">
        <ns0:f>A275*('前提と出典'!$C$36+'前提と出典'!$C$38)</ns0:f>
        <ns0:v>189.7</ns0:v>
      </ns0:c>
      <ns0:c r="C275" s="12">
        <ns0:f>A275*('前提と出典'!$C$37+'前提と出典'!$C$38)</ns0:f>
        <ns0:v>162.6</ns0:v>
      </ns0:c>
      <ns0:c r="D275" s="16">
        <ns0:f>A275*('前提と出典'!$C$36*'契約別単価'!C5+'前提と出典'!$C$37*'契約別単価'!C6+'前提と出典'!$C$38*'契約別単価'!C7)</ns0:f>
        <ns0:v>1949.9888268156424</ns0:v>
      </ns0:c>
      <ns0:c r="E275" s="16">
        <ns0:f>A275*('前提と出典'!$C$36*'契約別単価'!E5+'前提と出典'!$C$37*'契約別単価'!E6+'前提と出典'!$C$38*'契約別単価'!E7)</ns0:f>
        <ns0:v>681259.5621982875</ns0:v>
      </ns0:c>
      <ns0:c r="F275" s="16">
        <ns0:f>A275*('前提と出典'!$C$36*'契約別単価'!F5+'前提と出典'!$C$37*'契約別単価'!F6+'前提と出典'!$C$38*'契約別単価'!F7)</ns0:f>
        <ns0:v>197956.61477596915</ns0:v>
      </ns0:c>
      <ns0:c r="G275" s="16">
        <ns0:f>A275*('前提と出典'!$C$36*'契約別単価'!G5+'前提と出典'!$C$37*'契約別単価'!G6+'前提と出典'!$C$38*'契約別単価'!G7)</ns0:f>
        <ns0:v>539426.2569832403</ns0:v>
      </ns0:c>
      <ns0:c r="H275" s="16">
        <ns0:f>A275*('前提と出典'!$C$36*'契約別単価'!H5+'前提と出典'!$C$37*'契約別単価'!H6+'前提と出典'!$C$38*'契約別単価'!H7)</ns0:f>
        <ns0:v>187207.96552595374</ns0:v>
      </ns0:c>
      <ns0:c r="I275" s="16">
        <ns0:f>A275*('前提と出典'!$C$36*'契約別単価'!I5+'前提と出典'!$C$37*'契約別単価'!I6+'前提と出典'!$C$38*'契約別単価'!I7)</ns0:f>
        <ns0:v>11434.988826815641</ns0:v>
      </ns0:c>
      <ns0:c r="J275" s="16">
        <ns0:f>A275*('前提と出典'!$C$36*'契約別単価'!J5+'前提と出典'!$C$37*'契約別単価'!J6+'前提と出典'!$C$38*'契約別単価'!J7)</ns0:f>
        <ns0:v>26636.466345491997</ns0:v>
      </ns0:c>
      <ns0:c r="K275" s="16">
        <ns0:f>A275*('前提と出典'!$C$36*'契約別単価'!K5+'前提と出典'!$C$37*'契約別単価'!K6+'前提と出典'!$C$38*'契約別単価'!K7)</ns0:f>
        <ns0:v>114173.25884543761</ns0:v>
      </ns0:c>
      <ns0:c r="L275" s="16">
        <ns0:f>A275*('前提と出典'!$C$36*'契約別単価'!L5+'前提と出典'!$C$37*'契約別単価'!L6+'前提と出典'!$C$38*'契約別単価'!L7)</ns0:f>
        <ns0:v>92960.26551753179</ns0:v>
      </ns0:c>
      <ns0:c r="M275" s="16">
        <ns0:f>IF(('前提と出典'!$C$36+'前提と出典'!$C$38)=0,0,IF(B275&lt;=10,'前提と出典'!B73+'前提と出典'!C73,IF(B275&lt;=100,'前提と出典'!B74+'前提と出典'!C74,IF(B275&lt;=500,'前提と出典'!B75+'前提と出典'!C75,'前提と出典'!B76+'前提と出典'!C76))))</ns0:f>
        <ns0:v>40000</ns0:v>
      </ns0:c>
      <ns0:c r="N275" s="16">
        <ns0:f>IF(('前提と出典'!$C$37+'前提と出典'!$C$38)=0,0,IF(C275&lt;=10,'前提と出典'!D73+'前提と出典'!E73,IF(C275&lt;=100,'前提と出典'!D74+'前提と出典'!E74,IF(C275&lt;=500,'前提と出典'!D75+'前提と出典'!E75,'前提と出典'!D76+'前提と出典'!E76))))</ns0:f>
        <ns0:v>56510.9346263078</ns0:v>
      </ns0:c>
      <ns0:c r="O275" s="16">
        <ns0:f>IF('前提と出典'!$C$36+'前提と出典'!$C$38=0,0,'前提と出典'!$B$4*IF('前提と出典'!$B$20=0,MAX('前提と出典'!$B$6,D275*'前提と出典'!$B$5),'前提と出典'!$B$6+D275*'前提と出典'!$B$5))</ns0:f>
        <ns0:v>269098.45810055867</ns0:v>
      </ns0:c>
      <ns0:c r="P275" s="16">
        <ns0:f>(E275+G275)*(1-'前提と出典'!$B$7)-I275-K275-M275-O275</ns0:f>
        <ns0:v>742034.4239181809</ns0:v>
      </ns0:c>
      <ns0:c r="Q275" s="16">
        <ns0:f>(F275+H275)*(1-'前提と出典'!$B$7)-J275-L275-N275</ns0:f>
        <ns0:v>195190.98892172205</ns0:v>
      </ns0:c>
      <ns0:c r="R275" s="16">
        <ns0:f>P275-E275*'前提と出典'!$E$4</ns0:f>
        <ns0:v>537656.5552586946</ns0:v>
      </ns0:c>
      <ns0:c r="S275" s="16">
        <ns0:f>Q275-F275*'前提と出典'!$E$4</ns0:f>
        <ns0:v>135804.00448893133</ns0:v>
      </ns0:c>
      <ns0:c r="T275" s="7">
        <ns0:f>R275+S275</ns0:f>
        <ns0:v>673460.5597476258</ns0:v>
      </ns0:c>
      <ns0:c r="U275" s="16">
        <ns0:f>P275-E275*'前提と出典'!$E$5</ns0:f>
        <ns0:v>469530.59903886594</ns0:v>
      </ns0:c>
      <ns0:c r="V275" s="16">
        <ns0:f>Q275-F275*'前提と出典'!$E$5</ns0:f>
        <ns0:v>116008.34301133436</ns0:v>
      </ns0:c>
      <ns0:c r="W275" s="7">
        <ns0:f>U275+V275</ns0:f>
        <ns0:v>585538.9420502003</ns0:v>
      </ns0:c>
      <ns0:c r="X275" s="16">
        <ns0:f>P275-E275*'前提と出典'!$E$6</ns0:f>
        <ns0:v>401404.64281903725</ns0:v>
      </ns0:c>
      <ns0:c r="Y275" s="16">
        <ns0:f>Q275-F275*'前提と出典'!$E$6</ns0:f>
        <ns0:v>96212.68153373746</ns0:v>
      </ns0:c>
      <ns0:c r="Z275" s="7">
        <ns0:f>X275+Y275</ns0:f>
        <ns0:v>497617.3243527747</ns0:v>
      </ns0:c>
      <ns0:c r="AA275" s="7">
        <ns0:f>IF(T275&gt;=0,A275,1001)</ns0:f>
        <ns0:v>271</ns0:v>
      </ns0:c>
      <ns0:c r="AB275" s="7">
        <ns0:f>IF(T275&lt;0,A275,0)</ns0:f>
        <ns0:v>0</ns0:v>
      </ns0:c>
      <ns0:c r="AC275" s="16">
        <ns0:f>IF(AND(OR('前提と出典'!$C$36+'前提と出典'!$C$38=0,R275&gt;=0),OR('前提と出典'!$C$37+'前提と出典'!$C$38=0,S275&gt;=0)),0,A275)</ns0:f>
        <ns0:v>0</ns0:v>
      </ns0:c>
      <ns0:c r="AD275" s="7">
        <ns0:f>IF(W275&gt;=0,A275,1001)</ns0:f>
        <ns0:v>271</ns0:v>
      </ns0:c>
      <ns0:c r="AE275" s="7">
        <ns0:f>IF(W275&lt;0,A275,0)</ns0:f>
        <ns0:v>0</ns0:v>
      </ns0:c>
      <ns0:c r="AF275" s="16">
        <ns0:f>IF(AND(OR('前提と出典'!$C$36+'前提と出典'!$C$38=0,U275&gt;=0),OR('前提と出典'!$C$37+'前提と出典'!$C$38=0,V275&gt;=0)),0,A275)</ns0:f>
        <ns0:v>0</ns0:v>
      </ns0:c>
      <ns0:c r="AG275" s="7">
        <ns0:f>IF(Z275&gt;=0,A275,1001)</ns0:f>
        <ns0:v>271</ns0:v>
      </ns0:c>
      <ns0:c r="AH275" s="4">
        <ns0:f>IF(Z275&lt;0,A275,0)</ns0:f>
        <ns0:v>0</ns0:v>
      </ns0:c>
      <ns0:c r="AI275" s="12">
        <ns0:f>IF(AND(OR('前提と出典'!$C$36+'前提と出典'!$C$38=0,X275&gt;=0),OR('前提と出典'!$C$37+'前提と出典'!$C$38=0,Y275&gt;=0)),0,A275)</ns0:f>
        <ns0:v>0</ns0:v>
      </ns0:c>
    </ns0:row>
    <ns0:row r="276" ht="24" customHeight="1">
      <ns0:c r="A276" s="4" t="n">
        <ns0:v>272</ns0:v>
      </ns0:c>
      <ns0:c r="B276" s="12">
        <ns0:f>A276*('前提と出典'!$C$36+'前提と出典'!$C$38)</ns0:f>
        <ns0:v>190.39999999999998</ns0:v>
      </ns0:c>
      <ns0:c r="C276" s="12">
        <ns0:f>A276*('前提と出典'!$C$37+'前提と出典'!$C$38)</ns0:f>
        <ns0:v>163.2</ns0:v>
      </ns0:c>
      <ns0:c r="D276" s="16">
        <ns0:f>A276*('前提と出典'!$C$36*'契約別単価'!C5+'前提と出典'!$C$37*'契約別単価'!C6+'前提と出典'!$C$38*'契約別単価'!C7)</ns0:f>
        <ns0:v>1957.1843575418993</ns0:v>
      </ns0:c>
      <ns0:c r="E276" s="16">
        <ns0:f>A276*('前提と出典'!$C$36*'契約別単価'!E5+'前提と出典'!$C$37*'契約別単価'!E6+'前提と出典'!$C$38*'契約別単価'!E7)</ns0:f>
        <ns0:v>683773.4351215283</ns0:v>
      </ns0:c>
      <ns0:c r="F276" s="16">
        <ns0:f>A276*('前提と出典'!$C$36*'契約別単価'!F5+'前提と出典'!$C$37*'契約別単価'!F6+'前提と出典'!$C$38*'契約別単価'!F7)</ns0:f>
        <ns0:v>198687.0819891646</ns0:v>
      </ns0:c>
      <ns0:c r="G276" s="16">
        <ns0:f>A276*('前提と出典'!$C$36*'契約別単価'!G5+'前提と出典'!$C$37*'契約別単価'!G6+'前提と出典'!$C$38*'契約別単価'!G7)</ns0:f>
        <ns0:v>541416.7597765363</ns0:v>
      </ns0:c>
      <ns0:c r="H276" s="16">
        <ns0:f>A276*('前提と出典'!$C$36*'契約別単価'!H5+'前提と出典'!$C$37*'契約別単価'!H6+'前提と出典'!$C$38*'契約別単価'!H7)</ns0:f>
        <ns0:v>187898.76982678752</ns0:v>
      </ns0:c>
      <ns0:c r="I276" s="16">
        <ns0:f>A276*('前提と出典'!$C$36*'契約別単価'!I5+'前提と出典'!$C$37*'契約別単価'!I6+'前提と出典'!$C$38*'契約別単価'!I7)</ns0:f>
        <ns0:v>11477.184357541897</ns0:v>
      </ns0:c>
      <ns0:c r="J276" s="16">
        <ns0:f>A276*('前提と出典'!$C$36*'契約別単価'!J5+'前提と出典'!$C$37*'契約別単価'!J6+'前提と出典'!$C$38*'契約別単価'!J7)</ns0:f>
        <ns0:v>26734.755889202297</ns0:v>
      </ns0:c>
      <ns0:c r="K276" s="16">
        <ns0:f>A276*('前提と出典'!$C$36*'契約別単価'!K5+'前提と出典'!$C$37*'契約別単価'!K6+'前提と出典'!$C$38*'契約別単価'!K7)</ns0:f>
        <ns0:v>114594.56238361266</ns0:v>
      </ns0:c>
      <ns0:c r="L276" s="16">
        <ns0:f>A276*('前提と出典'!$C$36*'契約別単価'!L5+'前提と出典'!$C$37*'契約別単価'!L6+'前提と出典'!$C$38*'契約別単価'!L7)</ns0:f>
        <ns0:v>93303.29232755958</ns0:v>
      </ns0:c>
      <ns0:c r="M276" s="16">
        <ns0:f>IF(('前提と出典'!$C$36+'前提と出典'!$C$38)=0,0,IF(B276&lt;=10,'前提と出典'!B73+'前提と出典'!C73,IF(B276&lt;=100,'前提と出典'!B74+'前提と出典'!C74,IF(B276&lt;=500,'前提と出典'!B75+'前提と出典'!C75,'前提と出典'!B76+'前提と出典'!C76))))</ns0:f>
        <ns0:v>40000</ns0:v>
      </ns0:c>
      <ns0:c r="N276" s="16">
        <ns0:f>IF(('前提と出典'!$C$37+'前提と出典'!$C$38)=0,0,IF(C276&lt;=10,'前提と出典'!D73+'前提と出典'!E73,IF(C276&lt;=100,'前提と出典'!D74+'前提と出典'!E74,IF(C276&lt;=500,'前提と出典'!D75+'前提と出典'!E75,'前提と出典'!D76+'前提と出典'!E76))))</ns0:f>
        <ns0:v>56510.9346263078</ns0:v>
      </ns0:c>
      <ns0:c r="O276" s="16">
        <ns0:f>IF('前提と出典'!$C$36+'前提と出典'!$C$38=0,0,'前提と出典'!$B$4*IF('前提と出典'!$B$20=0,MAX('前提と出典'!$B$6,D276*'前提と出典'!$B$5),'前提と出典'!$B$6+D276*'前提と出典'!$B$5))</ns0:f>
        <ns0:v>270091.4413407821</ns0:v>
      </ns0:c>
      <ns0:c r="P276" s="16">
        <ns0:f>(E276+G276)*(1-'前提と出典'!$B$7)-I276-K276-M276-O276</ns0:f>
        <ns0:v>744920.1597997977</ns0:v>
      </ns0:c>
      <ns0:c r="Q276" s="16">
        <ns0:f>(F276+H276)*(1-'前提と出典'!$B$7)-J276-L276-N276</ns0:f>
        <ns0:v>196119.77830750815</ns0:v>
      </ns0:c>
      <ns0:c r="R276" s="16">
        <ns0:f>P276-E276*'前提と出典'!$E$4</ns0:f>
        <ns0:v>539788.1292633393</ns0:v>
      </ns0:c>
      <ns0:c r="S276" s="16">
        <ns0:f>Q276-F276*'前提と出典'!$E$4</ns0:f>
        <ns0:v>136513.65371075875</ns0:v>
      </ns0:c>
      <ns0:c r="T276" s="7">
        <ns0:f>R276+S276</ns0:f>
        <ns0:v>676301.7829740981</ns0:v>
      </ns0:c>
      <ns0:c r="U276" s="16">
        <ns0:f>P276-E276*'前提と出典'!$E$5</ns0:f>
        <ns0:v>471410.7857511864</ns0:v>
      </ns0:c>
      <ns0:c r="V276" s="16">
        <ns0:f>Q276-F276*'前提と出典'!$E$5</ns0:f>
        <ns0:v>116644.94551184229</ns0:v>
      </ns0:c>
      <ns0:c r="W276" s="7">
        <ns0:f>U276+V276</ns0:f>
        <ns0:v>588055.7312630287</ns0:v>
      </ns0:c>
      <ns0:c r="X276" s="16">
        <ns0:f>P276-E276*'前提と出典'!$E$6</ns0:f>
        <ns0:v>403033.44223903364</ns0:v>
      </ns0:c>
      <ns0:c r="Y276" s="16">
        <ns0:f>Q276-F276*'前提と出典'!$E$6</ns0:f>
        <ns0:v>96776.23731292583</ns0:v>
      </ns0:c>
      <ns0:c r="Z276" s="7">
        <ns0:f>X276+Y276</ns0:f>
        <ns0:v>499809.6795519595</ns0:v>
      </ns0:c>
      <ns0:c r="AA276" s="7">
        <ns0:f>IF(T276&gt;=0,A276,1001)</ns0:f>
        <ns0:v>272</ns0:v>
      </ns0:c>
      <ns0:c r="AB276" s="7">
        <ns0:f>IF(T276&lt;0,A276,0)</ns0:f>
        <ns0:v>0</ns0:v>
      </ns0:c>
      <ns0:c r="AC276" s="16">
        <ns0:f>IF(AND(OR('前提と出典'!$C$36+'前提と出典'!$C$38=0,R276&gt;=0),OR('前提と出典'!$C$37+'前提と出典'!$C$38=0,S276&gt;=0)),0,A276)</ns0:f>
        <ns0:v>0</ns0:v>
      </ns0:c>
      <ns0:c r="AD276" s="7">
        <ns0:f>IF(W276&gt;=0,A276,1001)</ns0:f>
        <ns0:v>272</ns0:v>
      </ns0:c>
      <ns0:c r="AE276" s="7">
        <ns0:f>IF(W276&lt;0,A276,0)</ns0:f>
        <ns0:v>0</ns0:v>
      </ns0:c>
      <ns0:c r="AF276" s="16">
        <ns0:f>IF(AND(OR('前提と出典'!$C$36+'前提と出典'!$C$38=0,U276&gt;=0),OR('前提と出典'!$C$37+'前提と出典'!$C$38=0,V276&gt;=0)),0,A276)</ns0:f>
        <ns0:v>0</ns0:v>
      </ns0:c>
      <ns0:c r="AG276" s="7">
        <ns0:f>IF(Z276&gt;=0,A276,1001)</ns0:f>
        <ns0:v>272</ns0:v>
      </ns0:c>
      <ns0:c r="AH276" s="4">
        <ns0:f>IF(Z276&lt;0,A276,0)</ns0:f>
        <ns0:v>0</ns0:v>
      </ns0:c>
      <ns0:c r="AI276" s="12">
        <ns0:f>IF(AND(OR('前提と出典'!$C$36+'前提と出典'!$C$38=0,X276&gt;=0),OR('前提と出典'!$C$37+'前提と出典'!$C$38=0,Y276&gt;=0)),0,A276)</ns0:f>
        <ns0:v>0</ns0:v>
      </ns0:c>
    </ns0:row>
    <ns0:row r="277" ht="24" customHeight="1">
      <ns0:c r="A277" s="4" t="n">
        <ns0:v>273</ns0:v>
      </ns0:c>
      <ns0:c r="B277" s="12">
        <ns0:f>A277*('前提と出典'!$C$36+'前提と出典'!$C$38)</ns0:f>
        <ns0:v>191.1</ns0:v>
      </ns0:c>
      <ns0:c r="C277" s="12">
        <ns0:f>A277*('前提と出典'!$C$37+'前提と出典'!$C$38)</ns0:f>
        <ns0:v>163.79999999999998</ns0:v>
      </ns0:c>
      <ns0:c r="D277" s="16">
        <ns0:f>A277*('前提と出典'!$C$36*'契約別単価'!C5+'前提と出典'!$C$37*'契約別単価'!C6+'前提と出典'!$C$38*'契約別単価'!C7)</ns0:f>
        <ns0:v>1964.3798882681565</ns0:v>
      </ns0:c>
      <ns0:c r="E277" s="16">
        <ns0:f>A277*('前提と出典'!$C$36*'契約別単価'!E5+'前提と出典'!$C$37*'契約別単価'!E6+'前提と出典'!$C$38*'契約別単価'!E7)</ns0:f>
        <ns0:v>686287.3080447693</ns0:v>
      </ns0:c>
      <ns0:c r="F277" s="16">
        <ns0:f>A277*('前提と出典'!$C$36*'契約別単価'!F5+'前提と出典'!$C$37*'契約別単価'!F6+'前提と出典'!$C$38*'契約別単価'!F7)</ns0:f>
        <ns0:v>199417.54920236007</ns0:v>
      </ns0:c>
      <ns0:c r="G277" s="16">
        <ns0:f>A277*('前提と出典'!$C$36*'契約別単価'!G5+'前提と出典'!$C$37*'契約別単価'!G6+'前提と出典'!$C$38*'契約別単価'!G7)</ns0:f>
        <ns0:v>543407.2625698324</ns0:v>
      </ns0:c>
      <ns0:c r="H277" s="16">
        <ns0:f>A277*('前提と出典'!$C$36*'契約別単価'!H5+'前提と出典'!$C$37*'契約別単価'!H6+'前提と出典'!$C$38*'契約別単価'!H7)</ns0:f>
        <ns0:v>188589.5741276213</ns0:v>
      </ns0:c>
      <ns0:c r="I277" s="16">
        <ns0:f>A277*('前提と出典'!$C$36*'契約別単価'!I5+'前提と出典'!$C$37*'契約別単価'!I6+'前提と出典'!$C$38*'契約別単価'!I7)</ns0:f>
        <ns0:v>11519.379888268155</ns0:v>
      </ns0:c>
      <ns0:c r="J277" s="16">
        <ns0:f>A277*('前提と出典'!$C$36*'契約別単価'!J5+'前提と出典'!$C$37*'契約別単価'!J6+'前提と出典'!$C$38*'契約別単価'!J7)</ns0:f>
        <ns0:v>26833.0454329126</ns0:v>
      </ns0:c>
      <ns0:c r="K277" s="16">
        <ns0:f>A277*('前提と出典'!$C$36*'契約別単価'!K5+'前提と出典'!$C$37*'契約別単価'!K6+'前提と出典'!$C$38*'契約別単価'!K7)</ns0:f>
        <ns0:v>115015.8659217877</ns0:v>
      </ns0:c>
      <ns0:c r="L277" s="16">
        <ns0:f>A277*('前提と出典'!$C$36*'契約別単価'!L5+'前提と出典'!$C$37*'契約別単価'!L6+'前提と出典'!$C$38*'契約別単価'!L7)</ns0:f>
        <ns0:v>93646.31913758737</ns0:v>
      </ns0:c>
      <ns0:c r="M277" s="16">
        <ns0:f>IF(('前提と出典'!$C$36+'前提と出典'!$C$38)=0,0,IF(B277&lt;=10,'前提と出典'!B73+'前提と出典'!C73,IF(B277&lt;=100,'前提と出典'!B74+'前提と出典'!C74,IF(B277&lt;=500,'前提と出典'!B75+'前提と出典'!C75,'前提と出典'!B76+'前提と出典'!C76))))</ns0:f>
        <ns0:v>40000</ns0:v>
      </ns0:c>
      <ns0:c r="N277" s="16">
        <ns0:f>IF(('前提と出典'!$C$37+'前提と出典'!$C$38)=0,0,IF(C277&lt;=10,'前提と出典'!D73+'前提と出典'!E73,IF(C277&lt;=100,'前提と出典'!D74+'前提と出典'!E74,IF(C277&lt;=500,'前提と出典'!D75+'前提と出典'!E75,'前提と出典'!D76+'前提と出典'!E76))))</ns0:f>
        <ns0:v>56510.9346263078</ns0:v>
      </ns0:c>
      <ns0:c r="O277" s="16">
        <ns0:f>IF('前提と出典'!$C$36+'前提と出典'!$C$38=0,0,'前提と出典'!$B$4*IF('前提と出典'!$B$20=0,MAX('前提と出典'!$B$6,D277*'前提と出典'!$B$5),'前提と出典'!$B$6+D277*'前提と出典'!$B$5))</ns0:f>
        <ns0:v>271084.4245810056</ns0:v>
      </ns0:c>
      <ns0:c r="P277" s="16">
        <ns0:f>(E277+G277)*(1-'前提と出典'!$B$7)-I277-K277-M277-O277</ns0:f>
        <ns0:v>747805.8956814145</ns0:v>
      </ns0:c>
      <ns0:c r="Q277" s="16">
        <ns0:f>(F277+H277)*(1-'前提と出典'!$B$7)-J277-L277-N277</ns0:f>
        <ns0:v>197048.56769329426</ns0:v>
      </ns0:c>
      <ns0:c r="R277" s="16">
        <ns0:f>P277-E277*'前提と出典'!$E$4</ns0:f>
        <ns0:v>541919.7032679839</ns0:v>
      </ns0:c>
      <ns0:c r="S277" s="16">
        <ns0:f>Q277-F277*'前提と出典'!$E$4</ns0:f>
        <ns0:v>137223.30293258623</ns0:v>
      </ns0:c>
      <ns0:c r="T277" s="7">
        <ns0:f>R277+S277</ns0:f>
        <ns0:v>679143.0062005701</ns0:v>
      </ns0:c>
      <ns0:c r="U277" s="16">
        <ns0:f>P277-E277*'前提と出典'!$E$5</ns0:f>
        <ns0:v>473290.97246350686</ns0:v>
      </ns0:c>
      <ns0:c r="V277" s="16">
        <ns0:f>Q277-F277*'前提と出典'!$E$5</ns0:f>
        <ns0:v>117281.54801235022</ns0:v>
      </ns0:c>
      <ns0:c r="W277" s="7">
        <ns0:f>U277+V277</ns0:f>
        <ns0:v>590572.5204758571</ns0:v>
      </ns0:c>
      <ns0:c r="X277" s="16">
        <ns0:f>P277-E277*'前提と出典'!$E$6</ns0:f>
        <ns0:v>404662.24165902997</ns0:v>
      </ns0:c>
      <ns0:c r="Y277" s="16">
        <ns0:f>Q277-F277*'前提と出典'!$E$6</ns0:f>
        <ns0:v>97339.79309211421</ns0:v>
      </ns0:c>
      <ns0:c r="Z277" s="7">
        <ns0:f>X277+Y277</ns0:f>
        <ns0:v>502002.0347511442</ns0:v>
      </ns0:c>
      <ns0:c r="AA277" s="7">
        <ns0:f>IF(T277&gt;=0,A277,1001)</ns0:f>
        <ns0:v>273</ns0:v>
      </ns0:c>
      <ns0:c r="AB277" s="7">
        <ns0:f>IF(T277&lt;0,A277,0)</ns0:f>
        <ns0:v>0</ns0:v>
      </ns0:c>
      <ns0:c r="AC277" s="16">
        <ns0:f>IF(AND(OR('前提と出典'!$C$36+'前提と出典'!$C$38=0,R277&gt;=0),OR('前提と出典'!$C$37+'前提と出典'!$C$38=0,S277&gt;=0)),0,A277)</ns0:f>
        <ns0:v>0</ns0:v>
      </ns0:c>
      <ns0:c r="AD277" s="7">
        <ns0:f>IF(W277&gt;=0,A277,1001)</ns0:f>
        <ns0:v>273</ns0:v>
      </ns0:c>
      <ns0:c r="AE277" s="7">
        <ns0:f>IF(W277&lt;0,A277,0)</ns0:f>
        <ns0:v>0</ns0:v>
      </ns0:c>
      <ns0:c r="AF277" s="16">
        <ns0:f>IF(AND(OR('前提と出典'!$C$36+'前提と出典'!$C$38=0,U277&gt;=0),OR('前提と出典'!$C$37+'前提と出典'!$C$38=0,V277&gt;=0)),0,A277)</ns0:f>
        <ns0:v>0</ns0:v>
      </ns0:c>
      <ns0:c r="AG277" s="7">
        <ns0:f>IF(Z277&gt;=0,A277,1001)</ns0:f>
        <ns0:v>273</ns0:v>
      </ns0:c>
      <ns0:c r="AH277" s="4">
        <ns0:f>IF(Z277&lt;0,A277,0)</ns0:f>
        <ns0:v>0</ns0:v>
      </ns0:c>
      <ns0:c r="AI277" s="12">
        <ns0:f>IF(AND(OR('前提と出典'!$C$36+'前提と出典'!$C$38=0,X277&gt;=0),OR('前提と出典'!$C$37+'前提と出典'!$C$38=0,Y277&gt;=0)),0,A277)</ns0:f>
        <ns0:v>0</ns0:v>
      </ns0:c>
    </ns0:row>
    <ns0:row r="278" ht="24" customHeight="1">
      <ns0:c r="A278" s="4" t="n">
        <ns0:v>274</ns0:v>
      </ns0:c>
      <ns0:c r="B278" s="12">
        <ns0:f>A278*('前提と出典'!$C$36+'前提と出典'!$C$38)</ns0:f>
        <ns0:v>191.79999999999998</ns0:v>
      </ns0:c>
      <ns0:c r="C278" s="12">
        <ns0:f>A278*('前提と出典'!$C$37+'前提と出典'!$C$38)</ns0:f>
        <ns0:v>164.4</ns0:v>
      </ns0:c>
      <ns0:c r="D278" s="16">
        <ns0:f>A278*('前提と出典'!$C$36*'契約別単価'!C5+'前提と出典'!$C$37*'契約別単価'!C6+'前提と出典'!$C$38*'契約別単価'!C7)</ns0:f>
        <ns0:v>1971.5754189944134</ns0:v>
      </ns0:c>
      <ns0:c r="E278" s="16">
        <ns0:f>A278*('前提と出典'!$C$36*'契約別単価'!E5+'前提と出典'!$C$37*'契約別単価'!E6+'前提と出典'!$C$38*'契約別単価'!E7)</ns0:f>
        <ns0:v>688801.1809680102</ns0:v>
      </ns0:c>
      <ns0:c r="F278" s="16">
        <ns0:f>A278*('前提と出典'!$C$36*'契約別単価'!F5+'前提と出典'!$C$37*'契約別単価'!F6+'前提と出典'!$C$38*'契約別単価'!F7)</ns0:f>
        <ns0:v>200148.01641555552</ns0:v>
      </ns0:c>
      <ns0:c r="G278" s="16">
        <ns0:f>A278*('前提と出典'!$C$36*'契約別単価'!G5+'前提と出典'!$C$37*'契約別単価'!G6+'前提と出典'!$C$38*'契約別単価'!G7)</ns0:f>
        <ns0:v>545397.7653631285</ns0:v>
      </ns0:c>
      <ns0:c r="H278" s="16">
        <ns0:f>A278*('前提と出典'!$C$36*'契約別単価'!H5+'前提と出典'!$C$37*'契約別単価'!H6+'前提と出典'!$C$38*'契約別単価'!H7)</ns0:f>
        <ns0:v>189280.3784284551</ns0:v>
      </ns0:c>
      <ns0:c r="I278" s="16">
        <ns0:f>A278*('前提と出典'!$C$36*'契約別単価'!I5+'前提と出典'!$C$37*'契約別単価'!I6+'前提と出典'!$C$38*'契約別単価'!I7)</ns0:f>
        <ns0:v>11561.575418994411</ns0:v>
      </ns0:c>
      <ns0:c r="J278" s="16">
        <ns0:f>A278*('前提と出典'!$C$36*'契約別単価'!J5+'前提と出典'!$C$37*'契約別単価'!J6+'前提と出典'!$C$38*'契約別単価'!J7)</ns0:f>
        <ns0:v>26931.334976622904</ns0:v>
      </ns0:c>
      <ns0:c r="K278" s="16">
        <ns0:f>A278*('前提と出典'!$C$36*'契約別単価'!K5+'前提と出典'!$C$37*'契約別単価'!K6+'前提と出典'!$C$38*'契約別単価'!K7)</ns0:f>
        <ns0:v>115437.16945996275</ns0:v>
      </ns0:c>
      <ns0:c r="L278" s="16">
        <ns0:f>A278*('前提と出典'!$C$36*'契約別単価'!L5+'前提と出典'!$C$37*'契約別単価'!L6+'前提と出典'!$C$38*'契約別単価'!L7)</ns0:f>
        <ns0:v>93989.34594761516</ns0:v>
      </ns0:c>
      <ns0:c r="M278" s="16">
        <ns0:f>IF(('前提と出典'!$C$36+'前提と出典'!$C$38)=0,0,IF(B278&lt;=10,'前提と出典'!B73+'前提と出典'!C73,IF(B278&lt;=100,'前提と出典'!B74+'前提と出典'!C74,IF(B278&lt;=500,'前提と出典'!B75+'前提と出典'!C75,'前提と出典'!B76+'前提と出典'!C76))))</ns0:f>
        <ns0:v>40000</ns0:v>
      </ns0:c>
      <ns0:c r="N278" s="16">
        <ns0:f>IF(('前提と出典'!$C$37+'前提と出典'!$C$38)=0,0,IF(C278&lt;=10,'前提と出典'!D73+'前提と出典'!E73,IF(C278&lt;=100,'前提と出典'!D74+'前提と出典'!E74,IF(C278&lt;=500,'前提と出典'!D75+'前提と出典'!E75,'前提と出典'!D76+'前提と出典'!E76))))</ns0:f>
        <ns0:v>56510.9346263078</ns0:v>
      </ns0:c>
      <ns0:c r="O278" s="16">
        <ns0:f>IF('前提と出典'!$C$36+'前提と出典'!$C$38=0,0,'前提と出典'!$B$4*IF('前提と出典'!$B$20=0,MAX('前提と出典'!$B$6,D278*'前提と出典'!$B$5),'前提と出典'!$B$6+D278*'前提と出典'!$B$5))</ns0:f>
        <ns0:v>272077.4078212291</ns0:v>
      </ns0:c>
      <ns0:c r="P278" s="16">
        <ns0:f>(E278+G278)*(1-'前提と出典'!$B$7)-I278-K278-M278-O278</ns0:f>
        <ns0:v>750691.6315630313</ns0:v>
      </ns0:c>
      <ns0:c r="Q278" s="16">
        <ns0:f>(F278+H278)*(1-'前提と出典'!$B$7)-J278-L278-N278</ns0:f>
        <ns0:v>197977.35707908034</ns0:v>
      </ns0:c>
      <ns0:c r="R278" s="16">
        <ns0:f>P278-E278*'前提と出典'!$E$4</ns0:f>
        <ns0:v>544051.2772726284</ns0:v>
      </ns0:c>
      <ns0:c r="S278" s="16">
        <ns0:f>Q278-F278*'前提と出典'!$E$4</ns0:f>
        <ns0:v>137932.95215441374</ns0:v>
      </ns0:c>
      <ns0:c r="T278" s="7">
        <ns0:f>R278+S278</ns0:f>
        <ns0:v>681984.2294270422</ns0:v>
      </ns0:c>
      <ns0:c r="U278" s="16">
        <ns0:f>P278-E278*'前提と出典'!$E$5</ns0:f>
        <ns0:v>475171.1591758273</ns0:v>
      </ns0:c>
      <ns0:c r="V278" s="16">
        <ns0:f>Q278-F278*'前提と出典'!$E$5</ns0:f>
        <ns0:v>117918.15051285812</ns0:v>
      </ns0:c>
      <ns0:c r="W278" s="7">
        <ns0:f>U278+V278</ns0:f>
        <ns0:v>593089.3096886855</ns0:v>
      </ns0:c>
      <ns0:c r="X278" s="16">
        <ns0:f>P278-E278*'前提と出典'!$E$6</ns0:f>
        <ns0:v>406291.0410790263</ns0:v>
      </ns0:c>
      <ns0:c r="Y278" s="16">
        <ns0:f>Q278-F278*'前提と出典'!$E$6</ns0:f>
        <ns0:v>97903.34887130262</ns0:v>
      </ns0:c>
      <ns0:c r="Z278" s="7">
        <ns0:f>X278+Y278</ns0:f>
        <ns0:v>504194.3899503289</ns0:v>
      </ns0:c>
      <ns0:c r="AA278" s="7">
        <ns0:f>IF(T278&gt;=0,A278,1001)</ns0:f>
        <ns0:v>274</ns0:v>
      </ns0:c>
      <ns0:c r="AB278" s="7">
        <ns0:f>IF(T278&lt;0,A278,0)</ns0:f>
        <ns0:v>0</ns0:v>
      </ns0:c>
      <ns0:c r="AC278" s="16">
        <ns0:f>IF(AND(OR('前提と出典'!$C$36+'前提と出典'!$C$38=0,R278&gt;=0),OR('前提と出典'!$C$37+'前提と出典'!$C$38=0,S278&gt;=0)),0,A278)</ns0:f>
        <ns0:v>0</ns0:v>
      </ns0:c>
      <ns0:c r="AD278" s="7">
        <ns0:f>IF(W278&gt;=0,A278,1001)</ns0:f>
        <ns0:v>274</ns0:v>
      </ns0:c>
      <ns0:c r="AE278" s="7">
        <ns0:f>IF(W278&lt;0,A278,0)</ns0:f>
        <ns0:v>0</ns0:v>
      </ns0:c>
      <ns0:c r="AF278" s="16">
        <ns0:f>IF(AND(OR('前提と出典'!$C$36+'前提と出典'!$C$38=0,U278&gt;=0),OR('前提と出典'!$C$37+'前提と出典'!$C$38=0,V278&gt;=0)),0,A278)</ns0:f>
        <ns0:v>0</ns0:v>
      </ns0:c>
      <ns0:c r="AG278" s="7">
        <ns0:f>IF(Z278&gt;=0,A278,1001)</ns0:f>
        <ns0:v>274</ns0:v>
      </ns0:c>
      <ns0:c r="AH278" s="4">
        <ns0:f>IF(Z278&lt;0,A278,0)</ns0:f>
        <ns0:v>0</ns0:v>
      </ns0:c>
      <ns0:c r="AI278" s="12">
        <ns0:f>IF(AND(OR('前提と出典'!$C$36+'前提と出典'!$C$38=0,X278&gt;=0),OR('前提と出典'!$C$37+'前提と出典'!$C$38=0,Y278&gt;=0)),0,A278)</ns0:f>
        <ns0:v>0</ns0:v>
      </ns0:c>
    </ns0:row>
    <ns0:row r="279" ht="24" customHeight="1">
      <ns0:c r="A279" s="4" t="n">
        <ns0:v>275</ns0:v>
      </ns0:c>
      <ns0:c r="B279" s="12">
        <ns0:f>A279*('前提と出典'!$C$36+'前提と出典'!$C$38)</ns0:f>
        <ns0:v>192.5</ns0:v>
      </ns0:c>
      <ns0:c r="C279" s="12">
        <ns0:f>A279*('前提と出典'!$C$37+'前提と出典'!$C$38)</ns0:f>
        <ns0:v>165</ns0:v>
      </ns0:c>
      <ns0:c r="D279" s="16">
        <ns0:f>A279*('前提と出典'!$C$36*'契約別単価'!C5+'前提と出典'!$C$37*'契約別単価'!C6+'前提と出典'!$C$38*'契約別単価'!C7)</ns0:f>
        <ns0:v>1978.7709497206704</ns0:v>
      </ns0:c>
      <ns0:c r="E279" s="16">
        <ns0:f>A279*('前提と出典'!$C$36*'契約別単価'!E5+'前提と出典'!$C$37*'契約別単価'!E6+'前提と出典'!$C$38*'契約別単価'!E7)</ns0:f>
        <ns0:v>691315.0538912511</ns0:v>
      </ns0:c>
      <ns0:c r="F279" s="16">
        <ns0:f>A279*('前提と出典'!$C$36*'契約別単価'!F5+'前提と出典'!$C$37*'契約別単価'!F6+'前提と出典'!$C$38*'契約別単価'!F7)</ns0:f>
        <ns0:v>200878.48362875098</ns0:v>
      </ns0:c>
      <ns0:c r="G279" s="16">
        <ns0:f>A279*('前提と出典'!$C$36*'契約別単価'!G5+'前提と出典'!$C$37*'契約別単価'!G6+'前提と出典'!$C$38*'契約別単価'!G7)</ns0:f>
        <ns0:v>547388.2681564245</ns0:v>
      </ns0:c>
      <ns0:c r="H279" s="16">
        <ns0:f>A279*('前提と出典'!$C$36*'契約別単価'!H5+'前提と出典'!$C$37*'契約別単価'!H6+'前提と出典'!$C$38*'契約別単価'!H7)</ns0:f>
        <ns0:v>189971.18272928888</ns0:v>
      </ns0:c>
      <ns0:c r="I279" s="16">
        <ns0:f>A279*('前提と出典'!$C$36*'契約別単価'!I5+'前提と出典'!$C$37*'契約別単価'!I6+'前提と出典'!$C$38*'契約別単価'!I7)</ns0:f>
        <ns0:v>11603.770949720669</ns0:v>
      </ns0:c>
      <ns0:c r="J279" s="16">
        <ns0:f>A279*('前提と出典'!$C$36*'契約別単価'!J5+'前提と出典'!$C$37*'契約別単価'!J6+'前提と出典'!$C$38*'契約別単価'!J7)</ns0:f>
        <ns0:v>27029.624520333207</ns0:v>
      </ns0:c>
      <ns0:c r="K279" s="16">
        <ns0:f>A279*('前提と出典'!$C$36*'契約別単価'!K5+'前提と出典'!$C$37*'契約別単価'!K6+'前提と出典'!$C$38*'契約別単価'!K7)</ns0:f>
        <ns0:v>115858.47299813779</ns0:v>
      </ns0:c>
      <ns0:c r="L279" s="16">
        <ns0:f>A279*('前提と出典'!$C$36*'契約別単価'!L5+'前提と出典'!$C$37*'契約別単価'!L6+'前提と出典'!$C$38*'契約別単価'!L7)</ns0:f>
        <ns0:v>94332.37275764295</ns0:v>
      </ns0:c>
      <ns0:c r="M279" s="16">
        <ns0:f>IF(('前提と出典'!$C$36+'前提と出典'!$C$38)=0,0,IF(B279&lt;=10,'前提と出典'!B73+'前提と出典'!C73,IF(B279&lt;=100,'前提と出典'!B74+'前提と出典'!C74,IF(B279&lt;=500,'前提と出典'!B75+'前提と出典'!C75,'前提と出典'!B76+'前提と出典'!C76))))</ns0:f>
        <ns0:v>40000</ns0:v>
      </ns0:c>
      <ns0:c r="N279" s="16">
        <ns0:f>IF(('前提と出典'!$C$37+'前提と出典'!$C$38)=0,0,IF(C279&lt;=10,'前提と出典'!D73+'前提と出典'!E73,IF(C279&lt;=100,'前提と出典'!D74+'前提と出典'!E74,IF(C279&lt;=500,'前提と出典'!D75+'前提と出典'!E75,'前提と出典'!D76+'前提と出典'!E76))))</ns0:f>
        <ns0:v>56510.9346263078</ns0:v>
      </ns0:c>
      <ns0:c r="O279" s="16">
        <ns0:f>IF('前提と出典'!$C$36+'前提と出典'!$C$38=0,0,'前提と出典'!$B$4*IF('前提と出典'!$B$20=0,MAX('前提と出典'!$B$6,D279*'前提と出典'!$B$5),'前提と出典'!$B$6+D279*'前提と出典'!$B$5))</ns0:f>
        <ns0:v>273070.3910614525</ns0:v>
      </ns0:c>
      <ns0:c r="P279" s="16">
        <ns0:f>(E279+G279)*(1-'前提と出典'!$B$7)-I279-K279-M279-O279</ns0:f>
        <ns0:v>753577.3674446482</ns0:v>
      </ns0:c>
      <ns0:c r="Q279" s="16">
        <ns0:f>(F279+H279)*(1-'前提と出典'!$B$7)-J279-L279-N279</ns0:f>
        <ns0:v>198906.14646486647</ns0:v>
      </ns0:c>
      <ns0:c r="R279" s="16">
        <ns0:f>P279-E279*'前提と出典'!$E$4</ns0:f>
        <ns0:v>546182.8512772729</ns0:v>
      </ns0:c>
      <ns0:c r="S279" s="16">
        <ns0:f>Q279-F279*'前提と出典'!$E$4</ns0:f>
        <ns0:v>138642.6013762412</ns0:v>
      </ns0:c>
      <ns0:c r="T279" s="7">
        <ns0:f>R279+S279</ns0:f>
        <ns0:v>684825.4526535141</ns0:v>
      </ns0:c>
      <ns0:c r="U279" s="16">
        <ns0:f>P279-E279*'前提と出典'!$E$5</ns0:f>
        <ns0:v>477051.34588814777</ns0:v>
      </ns0:c>
      <ns0:c r="V279" s="16">
        <ns0:f>Q279-F279*'前提と出典'!$E$5</ns0:f>
        <ns0:v>118554.75301336608</ns0:v>
      </ns0:c>
      <ns0:c r="W279" s="7">
        <ns0:f>U279+V279</ns0:f>
        <ns0:v>595606.0989015138</ns0:v>
      </ns0:c>
      <ns0:c r="X279" s="16">
        <ns0:f>P279-E279*'前提と出典'!$E$6</ns0:f>
        <ns0:v>407919.8404990227</ns0:v>
      </ns0:c>
      <ns0:c r="Y279" s="16">
        <ns0:f>Q279-F279*'前提と出典'!$E$6</ns0:f>
        <ns0:v>98466.90465049096</ns0:v>
      </ns0:c>
      <ns0:c r="Z279" s="7">
        <ns0:f>X279+Y279</ns0:f>
        <ns0:v>506386.74514951365</ns0:v>
      </ns0:c>
      <ns0:c r="AA279" s="7">
        <ns0:f>IF(T279&gt;=0,A279,1001)</ns0:f>
        <ns0:v>275</ns0:v>
      </ns0:c>
      <ns0:c r="AB279" s="7">
        <ns0:f>IF(T279&lt;0,A279,0)</ns0:f>
        <ns0:v>0</ns0:v>
      </ns0:c>
      <ns0:c r="AC279" s="16">
        <ns0:f>IF(AND(OR('前提と出典'!$C$36+'前提と出典'!$C$38=0,R279&gt;=0),OR('前提と出典'!$C$37+'前提と出典'!$C$38=0,S279&gt;=0)),0,A279)</ns0:f>
        <ns0:v>0</ns0:v>
      </ns0:c>
      <ns0:c r="AD279" s="7">
        <ns0:f>IF(W279&gt;=0,A279,1001)</ns0:f>
        <ns0:v>275</ns0:v>
      </ns0:c>
      <ns0:c r="AE279" s="7">
        <ns0:f>IF(W279&lt;0,A279,0)</ns0:f>
        <ns0:v>0</ns0:v>
      </ns0:c>
      <ns0:c r="AF279" s="16">
        <ns0:f>IF(AND(OR('前提と出典'!$C$36+'前提と出典'!$C$38=0,U279&gt;=0),OR('前提と出典'!$C$37+'前提と出典'!$C$38=0,V279&gt;=0)),0,A279)</ns0:f>
        <ns0:v>0</ns0:v>
      </ns0:c>
      <ns0:c r="AG279" s="7">
        <ns0:f>IF(Z279&gt;=0,A279,1001)</ns0:f>
        <ns0:v>275</ns0:v>
      </ns0:c>
      <ns0:c r="AH279" s="4">
        <ns0:f>IF(Z279&lt;0,A279,0)</ns0:f>
        <ns0:v>0</ns0:v>
      </ns0:c>
      <ns0:c r="AI279" s="12">
        <ns0:f>IF(AND(OR('前提と出典'!$C$36+'前提と出典'!$C$38=0,X279&gt;=0),OR('前提と出典'!$C$37+'前提と出典'!$C$38=0,Y279&gt;=0)),0,A279)</ns0:f>
        <ns0:v>0</ns0:v>
      </ns0:c>
    </ns0:row>
    <ns0:row r="280" ht="24" customHeight="1">
      <ns0:c r="A280" s="4" t="n">
        <ns0:v>276</ns0:v>
      </ns0:c>
      <ns0:c r="B280" s="12">
        <ns0:f>A280*('前提と出典'!$C$36+'前提と出典'!$C$38)</ns0:f>
        <ns0:v>193.2</ns0:v>
      </ns0:c>
      <ns0:c r="C280" s="12">
        <ns0:f>A280*('前提と出典'!$C$37+'前提と出典'!$C$38)</ns0:f>
        <ns0:v>165.6</ns0:v>
      </ns0:c>
      <ns0:c r="D280" s="16">
        <ns0:f>A280*('前提と出典'!$C$36*'契約別単価'!C5+'前提と出典'!$C$37*'契約別単価'!C6+'前提と出典'!$C$38*'契約別単価'!C7)</ns0:f>
        <ns0:v>1985.9664804469273</ns0:v>
      </ns0:c>
      <ns0:c r="E280" s="16">
        <ns0:f>A280*('前提と出典'!$C$36*'契約別単価'!E5+'前提と出典'!$C$37*'契約別単価'!E6+'前提と出典'!$C$38*'契約別単価'!E7)</ns0:f>
        <ns0:v>693828.9268144921</ns0:v>
      </ns0:c>
      <ns0:c r="F280" s="16">
        <ns0:f>A280*('前提と出典'!$C$36*'契約別単価'!F5+'前提と出典'!$C$37*'契約別単価'!F6+'前提と出典'!$C$38*'契約別単価'!F7)</ns0:f>
        <ns0:v>201608.95084194644</ns0:v>
      </ns0:c>
      <ns0:c r="G280" s="16">
        <ns0:f>A280*('前提と出典'!$C$36*'契約別単価'!G5+'前提と出典'!$C$37*'契約別単価'!G6+'前提と出典'!$C$38*'契約別単価'!G7)</ns0:f>
        <ns0:v>549378.7709497206</ns0:v>
      </ns0:c>
      <ns0:c r="H280" s="16">
        <ns0:f>A280*('前提と出典'!$C$36*'契約別単価'!H5+'前提と出典'!$C$37*'契約別単価'!H6+'前提と出典'!$C$38*'契約別単価'!H7)</ns0:f>
        <ns0:v>190661.98703012263</ns0:v>
      </ns0:c>
      <ns0:c r="I280" s="16">
        <ns0:f>A280*('前提と出典'!$C$36*'契約別単価'!I5+'前提と出典'!$C$37*'契約別単価'!I6+'前提と出典'!$C$38*'契約別単価'!I7)</ns0:f>
        <ns0:v>11645.966480446925</ns0:v>
      </ns0:c>
      <ns0:c r="J280" s="16">
        <ns0:f>A280*('前提と出典'!$C$36*'契約別単価'!J5+'前提と出典'!$C$37*'契約別単価'!J6+'前提と出典'!$C$38*'契約別単価'!J7)</ns0:f>
        <ns0:v>27127.914064043507</ns0:v>
      </ns0:c>
      <ns0:c r="K280" s="16">
        <ns0:f>A280*('前提と出典'!$C$36*'契約別単価'!K5+'前提と出典'!$C$37*'契約別単価'!K6+'前提と出典'!$C$38*'契約別単価'!K7)</ns0:f>
        <ns0:v>116279.77653631284</ns0:v>
      </ns0:c>
      <ns0:c r="L280" s="16">
        <ns0:f>A280*('前提と出典'!$C$36*'契約別単価'!L5+'前提と出典'!$C$37*'契約別単価'!L6+'前提と出典'!$C$38*'契約別単価'!L7)</ns0:f>
        <ns0:v>94675.39956767076</ns0:v>
      </ns0:c>
      <ns0:c r="M280" s="16">
        <ns0:f>IF(('前提と出典'!$C$36+'前提と出典'!$C$38)=0,0,IF(B280&lt;=10,'前提と出典'!B73+'前提と出典'!C73,IF(B280&lt;=100,'前提と出典'!B74+'前提と出典'!C74,IF(B280&lt;=500,'前提と出典'!B75+'前提と出典'!C75,'前提と出典'!B76+'前提と出典'!C76))))</ns0:f>
        <ns0:v>40000</ns0:v>
      </ns0:c>
      <ns0:c r="N280" s="16">
        <ns0:f>IF(('前提と出典'!$C$37+'前提と出典'!$C$38)=0,0,IF(C280&lt;=10,'前提と出典'!D73+'前提と出典'!E73,IF(C280&lt;=100,'前提と出典'!D74+'前提と出典'!E74,IF(C280&lt;=500,'前提と出典'!D75+'前提と出典'!E75,'前提と出典'!D76+'前提と出典'!E76))))</ns0:f>
        <ns0:v>56510.9346263078</ns0:v>
      </ns0:c>
      <ns0:c r="O280" s="16">
        <ns0:f>IF('前提と出典'!$C$36+'前提と出典'!$C$38=0,0,'前提と出典'!$B$4*IF('前提と出典'!$B$20=0,MAX('前提と出典'!$B$6,D280*'前提と出典'!$B$5),'前提と出典'!$B$6+D280*'前提と出典'!$B$5))</ns0:f>
        <ns0:v>274063.374301676</ns0:v>
      </ns0:c>
      <ns0:c r="P280" s="16">
        <ns0:f>(E280+G280)*(1-'前提と出典'!$B$7)-I280-K280-M280-O280</ns0:f>
        <ns0:v>756463.1033262652</ns0:v>
      </ns0:c>
      <ns0:c r="Q280" s="16">
        <ns0:f>(F280+H280)*(1-'前提と出典'!$B$7)-J280-L280-N280</ns0:f>
        <ns0:v>199834.93585065252</ns0:v>
      </ns0:c>
      <ns0:c r="R280" s="16">
        <ns0:f>P280-E280*'前提と出典'!$E$4</ns0:f>
        <ns0:v>548314.4252819177</ns0:v>
      </ns0:c>
      <ns0:c r="S280" s="16">
        <ns0:f>Q280-F280*'前提と出典'!$E$4</ns0:f>
        <ns0:v>139352.25059806858</ns0:v>
      </ns0:c>
      <ns0:c r="T280" s="7">
        <ns0:f>R280+S280</ns0:f>
        <ns0:v>687666.6758799863</ns0:v>
      </ns0:c>
      <ns0:c r="U280" s="16">
        <ns0:f>P280-E280*'前提と出典'!$E$5</ns0:f>
        <ns0:v>478931.5326004683</ns0:v>
      </ns0:c>
      <ns0:c r="V280" s="16">
        <ns0:f>Q280-F280*'前提と出典'!$E$5</ns0:f>
        <ns0:v>119191.35551387392</ns0:v>
      </ns0:c>
      <ns0:c r="W280" s="7">
        <ns0:f>U280+V280</ns0:f>
        <ns0:v>598122.8881143422</ns0:v>
      </ns0:c>
      <ns0:c r="X280" s="16">
        <ns0:f>P280-E280*'前提と出典'!$E$6</ns0:f>
        <ns0:v>409548.63991901913</ns0:v>
      </ns0:c>
      <ns0:c r="Y280" s="16">
        <ns0:f>Q280-F280*'前提と出典'!$E$6</ns0:f>
        <ns0:v>99030.46042967931</ns0:v>
      </ns0:c>
      <ns0:c r="Z280" s="7">
        <ns0:f>X280+Y280</ns0:f>
        <ns0:v>508579.10034869844</ns0:v>
      </ns0:c>
      <ns0:c r="AA280" s="7">
        <ns0:f>IF(T280&gt;=0,A280,1001)</ns0:f>
        <ns0:v>276</ns0:v>
      </ns0:c>
      <ns0:c r="AB280" s="7">
        <ns0:f>IF(T280&lt;0,A280,0)</ns0:f>
        <ns0:v>0</ns0:v>
      </ns0:c>
      <ns0:c r="AC280" s="16">
        <ns0:f>IF(AND(OR('前提と出典'!$C$36+'前提と出典'!$C$38=0,R280&gt;=0),OR('前提と出典'!$C$37+'前提と出典'!$C$38=0,S280&gt;=0)),0,A280)</ns0:f>
        <ns0:v>0</ns0:v>
      </ns0:c>
      <ns0:c r="AD280" s="7">
        <ns0:f>IF(W280&gt;=0,A280,1001)</ns0:f>
        <ns0:v>276</ns0:v>
      </ns0:c>
      <ns0:c r="AE280" s="7">
        <ns0:f>IF(W280&lt;0,A280,0)</ns0:f>
        <ns0:v>0</ns0:v>
      </ns0:c>
      <ns0:c r="AF280" s="16">
        <ns0:f>IF(AND(OR('前提と出典'!$C$36+'前提と出典'!$C$38=0,U280&gt;=0),OR('前提と出典'!$C$37+'前提と出典'!$C$38=0,V280&gt;=0)),0,A280)</ns0:f>
        <ns0:v>0</ns0:v>
      </ns0:c>
      <ns0:c r="AG280" s="7">
        <ns0:f>IF(Z280&gt;=0,A280,1001)</ns0:f>
        <ns0:v>276</ns0:v>
      </ns0:c>
      <ns0:c r="AH280" s="4">
        <ns0:f>IF(Z280&lt;0,A280,0)</ns0:f>
        <ns0:v>0</ns0:v>
      </ns0:c>
      <ns0:c r="AI280" s="12">
        <ns0:f>IF(AND(OR('前提と出典'!$C$36+'前提と出典'!$C$38=0,X280&gt;=0),OR('前提と出典'!$C$37+'前提と出典'!$C$38=0,Y280&gt;=0)),0,A280)</ns0:f>
        <ns0:v>0</ns0:v>
      </ns0:c>
    </ns0:row>
    <ns0:row r="281" ht="24" customHeight="1">
      <ns0:c r="A281" s="4" t="n">
        <ns0:v>277</ns0:v>
      </ns0:c>
      <ns0:c r="B281" s="12">
        <ns0:f>A281*('前提と出典'!$C$36+'前提と出典'!$C$38)</ns0:f>
        <ns0:v>193.89999999999998</ns0:v>
      </ns0:c>
      <ns0:c r="C281" s="12">
        <ns0:f>A281*('前提と出典'!$C$37+'前提と出典'!$C$38)</ns0:f>
        <ns0:v>166.2</ns0:v>
      </ns0:c>
      <ns0:c r="D281" s="16">
        <ns0:f>A281*('前提と出典'!$C$36*'契約別単価'!C5+'前提と出典'!$C$37*'契約別単価'!C6+'前提と出典'!$C$38*'契約別単価'!C7)</ns0:f>
        <ns0:v>1993.1620111731843</ns0:v>
      </ns0:c>
      <ns0:c r="E281" s="16">
        <ns0:f>A281*('前提と出典'!$C$36*'契約別単価'!E5+'前提と出典'!$C$37*'契約別単価'!E6+'前提と出典'!$C$38*'契約別単価'!E7)</ns0:f>
        <ns0:v>696342.799737733</ns0:v>
      </ns0:c>
      <ns0:c r="F281" s="16">
        <ns0:f>A281*('前提と出典'!$C$36*'契約別単価'!F5+'前提と出典'!$C$37*'契約別単価'!F6+'前提と出典'!$C$38*'契約別単価'!F7)</ns0:f>
        <ns0:v>202339.4180551419</ns0:v>
      </ns0:c>
      <ns0:c r="G281" s="16">
        <ns0:f>A281*('前提と出典'!$C$36*'契約別単価'!G5+'前提と出典'!$C$37*'契約別単価'!G6+'前提と出典'!$C$38*'契約別単価'!G7)</ns0:f>
        <ns0:v>551369.2737430168</ns0:v>
      </ns0:c>
      <ns0:c r="H281" s="16">
        <ns0:f>A281*('前提と出典'!$C$36*'契約別単価'!H5+'前提と出典'!$C$37*'契約別単価'!H6+'前提と出典'!$C$38*'契約別単価'!H7)</ns0:f>
        <ns0:v>191352.79133095642</ns0:v>
      </ns0:c>
      <ns0:c r="I281" s="16">
        <ns0:f>A281*('前提と出典'!$C$36*'契約別単価'!I5+'前提と出典'!$C$37*'契約別単価'!I6+'前提と出典'!$C$38*'契約別単価'!I7)</ns0:f>
        <ns0:v>11688.162011173183</ns0:v>
      </ns0:c>
      <ns0:c r="J281" s="16">
        <ns0:f>A281*('前提と出典'!$C$36*'契約別単価'!J5+'前提と出典'!$C$37*'契約別単価'!J6+'前提と出典'!$C$38*'契約別単価'!J7)</ns0:f>
        <ns0:v>27226.20360775381</ns0:v>
      </ns0:c>
      <ns0:c r="K281" s="16">
        <ns0:f>A281*('前提と出典'!$C$36*'契約別単価'!K5+'前提と出典'!$C$37*'契約別単価'!K6+'前提と出典'!$C$38*'契約別単価'!K7)</ns0:f>
        <ns0:v>116701.0800744879</ns0:v>
      </ns0:c>
      <ns0:c r="L281" s="16">
        <ns0:f>A281*('前提と出典'!$C$36*'契約別単価'!L5+'前提と出典'!$C$37*'契約別単価'!L6+'前提と出典'!$C$38*'契約別単価'!L7)</ns0:f>
        <ns0:v>95018.42637769855</ns0:v>
      </ns0:c>
      <ns0:c r="M281" s="16">
        <ns0:f>IF(('前提と出典'!$C$36+'前提と出典'!$C$38)=0,0,IF(B281&lt;=10,'前提と出典'!B73+'前提と出典'!C73,IF(B281&lt;=100,'前提と出典'!B74+'前提と出典'!C74,IF(B281&lt;=500,'前提と出典'!B75+'前提と出典'!C75,'前提と出典'!B76+'前提と出典'!C76))))</ns0:f>
        <ns0:v>40000</ns0:v>
      </ns0:c>
      <ns0:c r="N281" s="16">
        <ns0:f>IF(('前提と出典'!$C$37+'前提と出典'!$C$38)=0,0,IF(C281&lt;=10,'前提と出典'!D73+'前提と出典'!E73,IF(C281&lt;=100,'前提と出典'!D74+'前提と出典'!E74,IF(C281&lt;=500,'前提と出典'!D75+'前提と出典'!E75,'前提と出典'!D76+'前提と出典'!E76))))</ns0:f>
        <ns0:v>56510.9346263078</ns0:v>
      </ns0:c>
      <ns0:c r="O281" s="16">
        <ns0:f>IF('前提と出典'!$C$36+'前提と出典'!$C$38=0,0,'前提と出典'!$B$4*IF('前提と出典'!$B$20=0,MAX('前提と出典'!$B$6,D281*'前提と出典'!$B$5),'前提と出典'!$B$6+D281*'前提と出典'!$B$5))</ns0:f>
        <ns0:v>275056.35754189943</ns0:v>
      </ns0:c>
      <ns0:c r="P281" s="16">
        <ns0:f>(E281+G281)*(1-'前提と出典'!$B$7)-I281-K281-M281-O281</ns0:f>
        <ns0:v>759348.8392078823</ns0:v>
      </ns0:c>
      <ns0:c r="Q281" s="16">
        <ns0:f>(F281+H281)*(1-'前提と出典'!$B$7)-J281-L281-N281</ns0:f>
        <ns0:v>200763.72523643862</ns0:v>
      </ns0:c>
      <ns0:c r="R281" s="16">
        <ns0:f>P281-E281*'前提と出典'!$E$4</ns0:f>
        <ns0:v>550445.9992865624</ns0:v>
      </ns0:c>
      <ns0:c r="S281" s="16">
        <ns0:f>Q281-F281*'前提と出典'!$E$4</ns0:f>
        <ns0:v>140061.89981989603</ns0:v>
      </ns0:c>
      <ns0:c r="T281" s="7">
        <ns0:f>R281+S281</ns0:f>
        <ns0:v>690507.8991064585</ns0:v>
      </ns0:c>
      <ns0:c r="U281" s="16">
        <ns0:f>P281-E281*'前提と出典'!$E$5</ns0:f>
        <ns0:v>480811.71931278915</ns0:v>
      </ns0:c>
      <ns0:c r="V281" s="16">
        <ns0:f>Q281-F281*'前提と出典'!$E$5</ns0:f>
        <ns0:v>119827.95801438187</ns0:v>
      </ns0:c>
      <ns0:c r="W281" s="7">
        <ns0:f>U281+V281</ns0:f>
        <ns0:v>600639.677327171</ns0:v>
      </ns0:c>
      <ns0:c r="X281" s="16">
        <ns0:f>P281-E281*'前提と出典'!$E$6</ns0:f>
        <ns0:v>411177.43933901587</ns0:v>
      </ns0:c>
      <ns0:c r="Y281" s="16">
        <ns0:f>Q281-F281*'前提と出典'!$E$6</ns0:f>
        <ns0:v>99594.01620886763</ns0:v>
      </ns0:c>
      <ns0:c r="Z281" s="7">
        <ns0:f>X281+Y281</ns0:f>
        <ns0:v>510771.4555478835</ns0:v>
      </ns0:c>
      <ns0:c r="AA281" s="7">
        <ns0:f>IF(T281&gt;=0,A281,1001)</ns0:f>
        <ns0:v>277</ns0:v>
      </ns0:c>
      <ns0:c r="AB281" s="7">
        <ns0:f>IF(T281&lt;0,A281,0)</ns0:f>
        <ns0:v>0</ns0:v>
      </ns0:c>
      <ns0:c r="AC281" s="16">
        <ns0:f>IF(AND(OR('前提と出典'!$C$36+'前提と出典'!$C$38=0,R281&gt;=0),OR('前提と出典'!$C$37+'前提と出典'!$C$38=0,S281&gt;=0)),0,A281)</ns0:f>
        <ns0:v>0</ns0:v>
      </ns0:c>
      <ns0:c r="AD281" s="7">
        <ns0:f>IF(W281&gt;=0,A281,1001)</ns0:f>
        <ns0:v>277</ns0:v>
      </ns0:c>
      <ns0:c r="AE281" s="7">
        <ns0:f>IF(W281&lt;0,A281,0)</ns0:f>
        <ns0:v>0</ns0:v>
      </ns0:c>
      <ns0:c r="AF281" s="16">
        <ns0:f>IF(AND(OR('前提と出典'!$C$36+'前提と出典'!$C$38=0,U281&gt;=0),OR('前提と出典'!$C$37+'前提と出典'!$C$38=0,V281&gt;=0)),0,A281)</ns0:f>
        <ns0:v>0</ns0:v>
      </ns0:c>
      <ns0:c r="AG281" s="7">
        <ns0:f>IF(Z281&gt;=0,A281,1001)</ns0:f>
        <ns0:v>277</ns0:v>
      </ns0:c>
      <ns0:c r="AH281" s="4">
        <ns0:f>IF(Z281&lt;0,A281,0)</ns0:f>
        <ns0:v>0</ns0:v>
      </ns0:c>
      <ns0:c r="AI281" s="12">
        <ns0:f>IF(AND(OR('前提と出典'!$C$36+'前提と出典'!$C$38=0,X281&gt;=0),OR('前提と出典'!$C$37+'前提と出典'!$C$38=0,Y281&gt;=0)),0,A281)</ns0:f>
        <ns0:v>0</ns0:v>
      </ns0:c>
    </ns0:row>
    <ns0:row r="282" ht="24" customHeight="1">
      <ns0:c r="A282" s="4" t="n">
        <ns0:v>278</ns0:v>
      </ns0:c>
      <ns0:c r="B282" s="12">
        <ns0:f>A282*('前提と出典'!$C$36+'前提と出典'!$C$38)</ns0:f>
        <ns0:v>194.6</ns0:v>
      </ns0:c>
      <ns0:c r="C282" s="12">
        <ns0:f>A282*('前提と出典'!$C$37+'前提と出典'!$C$38)</ns0:f>
        <ns0:v>166.79999999999998</ns0:v>
      </ns0:c>
      <ns0:c r="D282" s="16">
        <ns0:f>A282*('前提と出典'!$C$36*'契約別単価'!C5+'前提と出典'!$C$37*'契約別単価'!C6+'前提と出典'!$C$38*'契約別単価'!C7)</ns0:f>
        <ns0:v>2000.3575418994412</ns0:v>
      </ns0:c>
      <ns0:c r="E282" s="16">
        <ns0:f>A282*('前提と出典'!$C$36*'契約別単価'!E5+'前提と出典'!$C$37*'契約別単価'!E6+'前提と出典'!$C$38*'契約別単価'!E7)</ns0:f>
        <ns0:v>698856.6726609739</ns0:v>
      </ns0:c>
      <ns0:c r="F282" s="16">
        <ns0:f>A282*('前提と出典'!$C$36*'契約別単価'!F5+'前提と出典'!$C$37*'契約別単価'!F6+'前提と出典'!$C$38*'契約別単価'!F7)</ns0:f>
        <ns0:v>203069.88526833736</ns0:v>
      </ns0:c>
      <ns0:c r="G282" s="16">
        <ns0:f>A282*('前提と出典'!$C$36*'契約別単価'!G5+'前提と出典'!$C$37*'契約別単価'!G6+'前提と出典'!$C$38*'契約別単価'!G7)</ns0:f>
        <ns0:v>553359.7765363128</ns0:v>
      </ns0:c>
      <ns0:c r="H282" s="16">
        <ns0:f>A282*('前提と出典'!$C$36*'契約別単価'!H5+'前提と出典'!$C$37*'契約別単価'!H6+'前提と出典'!$C$38*'契約別単価'!H7)</ns0:f>
        <ns0:v>192043.5956317902</ns0:v>
      </ns0:c>
      <ns0:c r="I282" s="16">
        <ns0:f>A282*('前提と出典'!$C$36*'契約別単価'!I5+'前提と出典'!$C$37*'契約別単価'!I6+'前提と出典'!$C$38*'契約別単価'!I7)</ns0:f>
        <ns0:v>11730.357541899439</ns0:v>
      </ns0:c>
      <ns0:c r="J282" s="16">
        <ns0:f>A282*('前提と出典'!$C$36*'契約別単価'!J5+'前提と出典'!$C$37*'契約別単価'!J6+'前提と出典'!$C$38*'契約別単価'!J7)</ns0:f>
        <ns0:v>27324.493151464114</ns0:v>
      </ns0:c>
      <ns0:c r="K282" s="16">
        <ns0:f>A282*('前提と出典'!$C$36*'契約別単価'!K5+'前提と出典'!$C$37*'契約別単価'!K6+'前提と出典'!$C$38*'契約別単価'!K7)</ns0:f>
        <ns0:v>117122.38361266293</ns0:v>
      </ns0:c>
      <ns0:c r="L282" s="16">
        <ns0:f>A282*('前提と出典'!$C$36*'契約別単価'!L5+'前提と出典'!$C$37*'契約別単価'!L6+'前提と出典'!$C$38*'契約別単価'!L7)</ns0:f>
        <ns0:v>95361.45318772634</ns0:v>
      </ns0:c>
      <ns0:c r="M282" s="16">
        <ns0:f>IF(('前提と出典'!$C$36+'前提と出典'!$C$38)=0,0,IF(B282&lt;=10,'前提と出典'!B73+'前提と出典'!C73,IF(B282&lt;=100,'前提と出典'!B74+'前提と出典'!C74,IF(B282&lt;=500,'前提と出典'!B75+'前提と出典'!C75,'前提と出典'!B76+'前提と出典'!C76))))</ns0:f>
        <ns0:v>40000</ns0:v>
      </ns0:c>
      <ns0:c r="N282" s="16">
        <ns0:f>IF(('前提と出典'!$C$37+'前提と出典'!$C$38)=0,0,IF(C282&lt;=10,'前提と出典'!D73+'前提と出典'!E73,IF(C282&lt;=100,'前提と出典'!D74+'前提と出典'!E74,IF(C282&lt;=500,'前提と出典'!D75+'前提と出典'!E75,'前提と出典'!D76+'前提と出典'!E76))))</ns0:f>
        <ns0:v>56510.9346263078</ns0:v>
      </ns0:c>
      <ns0:c r="O282" s="16">
        <ns0:f>IF('前提と出典'!$C$36+'前提と出典'!$C$38=0,0,'前提と出典'!$B$4*IF('前提と出典'!$B$20=0,MAX('前提と出典'!$B$6,D282*'前提と出典'!$B$5),'前提と出典'!$B$6+D282*'前提と出典'!$B$5))</ns0:f>
        <ns0:v>276049.34078212286</ns0:v>
      </ns0:c>
      <ns0:c r="P282" s="16">
        <ns0:f>(E282+G282)*(1-'前提と出典'!$B$7)-I282-K282-M282-O282</ns0:f>
        <ns0:v>762234.5750894991</ns0:v>
      </ns0:c>
      <ns0:c r="Q282" s="16">
        <ns0:f>(F282+H282)*(1-'前提と出典'!$B$7)-J282-L282-N282</ns0:f>
        <ns0:v>201692.51462222473</ns0:v>
      </ns0:c>
      <ns0:c r="R282" s="16">
        <ns0:f>P282-E282*'前提と出典'!$E$4</ns0:f>
        <ns0:v>552577.573291207</ns0:v>
      </ns0:c>
      <ns0:c r="S282" s="16">
        <ns0:f>Q282-F282*'前提と出典'!$E$4</ns0:f>
        <ns0:v>140771.54904172354</ns0:v>
      </ns0:c>
      <ns0:c r="T282" s="7">
        <ns0:f>R282+S282</ns0:f>
        <ns0:v>693349.1223329306</ns0:v>
      </ns0:c>
      <ns0:c r="U282" s="16">
        <ns0:f>P282-E282*'前提と出典'!$E$5</ns0:f>
        <ns0:v>482691.90602510964</ns0:v>
      </ns0:c>
      <ns0:c r="V282" s="16">
        <ns0:f>Q282-F282*'前提と出典'!$E$5</ns0:f>
        <ns0:v>120464.56051488977</ns0:v>
      </ns0:c>
      <ns0:c r="W282" s="7">
        <ns0:f>U282+V282</ns0:f>
        <ns0:v>603156.4665399995</ns0:v>
      </ns0:c>
      <ns0:c r="X282" s="16">
        <ns0:f>P282-E282*'前提と出典'!$E$6</ns0:f>
        <ns0:v>412806.23875901225</ns0:v>
      </ns0:c>
      <ns0:c r="Y282" s="16">
        <ns0:f>Q282-F282*'前提と出典'!$E$6</ns0:f>
        <ns0:v>100157.571988056</ns0:v>
      </ns0:c>
      <ns0:c r="Z282" s="7">
        <ns0:f>X282+Y282</ns0:f>
        <ns0:v>512963.81074706826</ns0:v>
      </ns0:c>
      <ns0:c r="AA282" s="7">
        <ns0:f>IF(T282&gt;=0,A282,1001)</ns0:f>
        <ns0:v>278</ns0:v>
      </ns0:c>
      <ns0:c r="AB282" s="7">
        <ns0:f>IF(T282&lt;0,A282,0)</ns0:f>
        <ns0:v>0</ns0:v>
      </ns0:c>
      <ns0:c r="AC282" s="16">
        <ns0:f>IF(AND(OR('前提と出典'!$C$36+'前提と出典'!$C$38=0,R282&gt;=0),OR('前提と出典'!$C$37+'前提と出典'!$C$38=0,S282&gt;=0)),0,A282)</ns0:f>
        <ns0:v>0</ns0:v>
      </ns0:c>
      <ns0:c r="AD282" s="7">
        <ns0:f>IF(W282&gt;=0,A282,1001)</ns0:f>
        <ns0:v>278</ns0:v>
      </ns0:c>
      <ns0:c r="AE282" s="7">
        <ns0:f>IF(W282&lt;0,A282,0)</ns0:f>
        <ns0:v>0</ns0:v>
      </ns0:c>
      <ns0:c r="AF282" s="16">
        <ns0:f>IF(AND(OR('前提と出典'!$C$36+'前提と出典'!$C$38=0,U282&gt;=0),OR('前提と出典'!$C$37+'前提と出典'!$C$38=0,V282&gt;=0)),0,A282)</ns0:f>
        <ns0:v>0</ns0:v>
      </ns0:c>
      <ns0:c r="AG282" s="7">
        <ns0:f>IF(Z282&gt;=0,A282,1001)</ns0:f>
        <ns0:v>278</ns0:v>
      </ns0:c>
      <ns0:c r="AH282" s="4">
        <ns0:f>IF(Z282&lt;0,A282,0)</ns0:f>
        <ns0:v>0</ns0:v>
      </ns0:c>
      <ns0:c r="AI282" s="12">
        <ns0:f>IF(AND(OR('前提と出典'!$C$36+'前提と出典'!$C$38=0,X282&gt;=0),OR('前提と出典'!$C$37+'前提と出典'!$C$38=0,Y282&gt;=0)),0,A282)</ns0:f>
        <ns0:v>0</ns0:v>
      </ns0:c>
    </ns0:row>
    <ns0:row r="283" ht="24" customHeight="1">
      <ns0:c r="A283" s="4" t="n">
        <ns0:v>279</ns0:v>
      </ns0:c>
      <ns0:c r="B283" s="12">
        <ns0:f>A283*('前提と出典'!$C$36+'前提と出典'!$C$38)</ns0:f>
        <ns0:v>195.29999999999998</ns0:v>
      </ns0:c>
      <ns0:c r="C283" s="12">
        <ns0:f>A283*('前提と出典'!$C$37+'前提と出典'!$C$38)</ns0:f>
        <ns0:v>167.4</ns0:v>
      </ns0:c>
      <ns0:c r="D283" s="16">
        <ns0:f>A283*('前提と出典'!$C$36*'契約別単価'!C5+'前提と出典'!$C$37*'契約別単価'!C6+'前提と出典'!$C$38*'契約別単価'!C7)</ns0:f>
        <ns0:v>2007.5530726256984</ns0:v>
      </ns0:c>
      <ns0:c r="E283" s="16">
        <ns0:f>A283*('前提と出典'!$C$36*'契約別単価'!E5+'前提と出典'!$C$37*'契約別単価'!E6+'前提と出典'!$C$38*'契約別単価'!E7)</ns0:f>
        <ns0:v>701370.5455842147</ns0:v>
      </ns0:c>
      <ns0:c r="F283" s="16">
        <ns0:f>A283*('前提と出典'!$C$36*'契約別単価'!F5+'前提と出典'!$C$37*'契約別単価'!F6+'前提と出典'!$C$38*'契約別単価'!F7)</ns0:f>
        <ns0:v>203800.3524815328</ns0:v>
      </ns0:c>
      <ns0:c r="G283" s="16">
        <ns0:f>A283*('前提と出典'!$C$36*'契約別単価'!G5+'前提と出典'!$C$37*'契約別単価'!G6+'前提と出典'!$C$38*'契約別単価'!G7)</ns0:f>
        <ns0:v>555350.2793296089</ns0:v>
      </ns0:c>
      <ns0:c r="H283" s="16">
        <ns0:f>A283*('前提と出典'!$C$36*'契約別単価'!H5+'前提と出典'!$C$37*'契約別単価'!H6+'前提と出典'!$C$38*'契約別単価'!H7)</ns0:f>
        <ns0:v>192734.399932624</ns0:v>
      </ns0:c>
      <ns0:c r="I283" s="16">
        <ns0:f>A283*('前提と出典'!$C$36*'契約別単価'!I5+'前提と出典'!$C$37*'契約別単価'!I6+'前提と出典'!$C$38*'契約別単価'!I7)</ns0:f>
        <ns0:v>11772.553072625697</ns0:v>
      </ns0:c>
      <ns0:c r="J283" s="16">
        <ns0:f>A283*('前提と出典'!$C$36*'契約別単価'!J5+'前提と出典'!$C$37*'契約別単価'!J6+'前提と出典'!$C$38*'契約別単価'!J7)</ns0:f>
        <ns0:v>27422.782695174417</ns0:v>
      </ns0:c>
      <ns0:c r="K283" s="16">
        <ns0:f>A283*('前提と出典'!$C$36*'契約別単価'!K5+'前提と出典'!$C$37*'契約別単価'!K6+'前提と出典'!$C$38*'契約別単価'!K7)</ns0:f>
        <ns0:v>117543.68715083798</ns0:v>
      </ns0:c>
      <ns0:c r="L283" s="16">
        <ns0:f>A283*('前提と出典'!$C$36*'契約別単価'!L5+'前提と出典'!$C$37*'契約別単価'!L6+'前提と出典'!$C$38*'契約別単価'!L7)</ns0:f>
        <ns0:v>95704.47999775413</ns0:v>
      </ns0:c>
      <ns0:c r="M283" s="16">
        <ns0:f>IF(('前提と出典'!$C$36+'前提と出典'!$C$38)=0,0,IF(B283&lt;=10,'前提と出典'!B73+'前提と出典'!C73,IF(B283&lt;=100,'前提と出典'!B74+'前提と出典'!C74,IF(B283&lt;=500,'前提と出典'!B75+'前提と出典'!C75,'前提と出典'!B76+'前提と出典'!C76))))</ns0:f>
        <ns0:v>40000</ns0:v>
      </ns0:c>
      <ns0:c r="N283" s="16">
        <ns0:f>IF(('前提と出典'!$C$37+'前提と出典'!$C$38)=0,0,IF(C283&lt;=10,'前提と出典'!D73+'前提と出典'!E73,IF(C283&lt;=100,'前提と出典'!D74+'前提と出典'!E74,IF(C283&lt;=500,'前提と出典'!D75+'前提と出典'!E75,'前提と出典'!D76+'前提と出典'!E76))))</ns0:f>
        <ns0:v>56510.9346263078</ns0:v>
      </ns0:c>
      <ns0:c r="O283" s="16">
        <ns0:f>IF('前提と出典'!$C$36+'前提と出典'!$C$38=0,0,'前提と出典'!$B$4*IF('前提と出典'!$B$20=0,MAX('前提と出典'!$B$6,D283*'前提と出典'!$B$5),'前提と出典'!$B$6+D283*'前提と出典'!$B$5))</ns0:f>
        <ns0:v>277042.3240223464</ns0:v>
      </ns0:c>
      <ns0:c r="P283" s="16">
        <ns0:f>(E283+G283)*(1-'前提と出典'!$B$7)-I283-K283-M283-O283</ns0:f>
        <ns0:v>765120.3109711157</ns0:v>
      </ns0:c>
      <ns0:c r="Q283" s="16">
        <ns0:f>(F283+H283)*(1-'前提と出典'!$B$7)-J283-L283-N283</ns0:f>
        <ns0:v>202621.30400801077</ns0:v>
      </ns0:c>
      <ns0:c r="R283" s="16">
        <ns0:f>P283-E283*'前提と出典'!$E$4</ns0:f>
        <ns0:v>554709.1472958514</ns0:v>
      </ns0:c>
      <ns0:c r="S283" s="16">
        <ns0:f>Q283-F283*'前提と出典'!$E$4</ns0:f>
        <ns0:v>141481.19826355102</ns0:v>
      </ns0:c>
      <ns0:c r="T283" s="7">
        <ns0:f>R283+S283</ns0:f>
        <ns0:v>696190.3455594024</ns0:v>
      </ns0:c>
      <ns0:c r="U283" s="16">
        <ns0:f>P283-E283*'前提と出典'!$E$5</ns0:f>
        <ns0:v>484572.0927374299</ns0:v>
      </ns0:c>
      <ns0:c r="V283" s="16">
        <ns0:f>Q283-F283*'前提と出典'!$E$5</ns0:f>
        <ns0:v>121101.16301539764</ns0:v>
      </ns0:c>
      <ns0:c r="W283" s="7">
        <ns0:f>U283+V283</ns0:f>
        <ns0:v>605673.2557528275</ns0:v>
      </ns0:c>
      <ns0:c r="X283" s="16">
        <ns0:f>P283-E283*'前提と出典'!$E$6</ns0:f>
        <ns0:v>414435.0381790084</ns0:v>
      </ns0:c>
      <ns0:c r="Y283" s="16">
        <ns0:f>Q283-F283*'前提と出典'!$E$6</ns0:f>
        <ns0:v>100721.12776724435</ns0:v>
      </ns0:c>
      <ns0:c r="Z283" s="7">
        <ns0:f>X283+Y283</ns0:f>
        <ns0:v>515156.16594625276</ns0:v>
      </ns0:c>
      <ns0:c r="AA283" s="7">
        <ns0:f>IF(T283&gt;=0,A283,1001)</ns0:f>
        <ns0:v>279</ns0:v>
      </ns0:c>
      <ns0:c r="AB283" s="7">
        <ns0:f>IF(T283&lt;0,A283,0)</ns0:f>
        <ns0:v>0</ns0:v>
      </ns0:c>
      <ns0:c r="AC283" s="16">
        <ns0:f>IF(AND(OR('前提と出典'!$C$36+'前提と出典'!$C$38=0,R283&gt;=0),OR('前提と出典'!$C$37+'前提と出典'!$C$38=0,S283&gt;=0)),0,A283)</ns0:f>
        <ns0:v>0</ns0:v>
      </ns0:c>
      <ns0:c r="AD283" s="7">
        <ns0:f>IF(W283&gt;=0,A283,1001)</ns0:f>
        <ns0:v>279</ns0:v>
      </ns0:c>
      <ns0:c r="AE283" s="7">
        <ns0:f>IF(W283&lt;0,A283,0)</ns0:f>
        <ns0:v>0</ns0:v>
      </ns0:c>
      <ns0:c r="AF283" s="16">
        <ns0:f>IF(AND(OR('前提と出典'!$C$36+'前提と出典'!$C$38=0,U283&gt;=0),OR('前提と出典'!$C$37+'前提と出典'!$C$38=0,V283&gt;=0)),0,A283)</ns0:f>
        <ns0:v>0</ns0:v>
      </ns0:c>
      <ns0:c r="AG283" s="7">
        <ns0:f>IF(Z283&gt;=0,A283,1001)</ns0:f>
        <ns0:v>279</ns0:v>
      </ns0:c>
      <ns0:c r="AH283" s="4">
        <ns0:f>IF(Z283&lt;0,A283,0)</ns0:f>
        <ns0:v>0</ns0:v>
      </ns0:c>
      <ns0:c r="AI283" s="12">
        <ns0:f>IF(AND(OR('前提と出典'!$C$36+'前提と出典'!$C$38=0,X283&gt;=0),OR('前提と出典'!$C$37+'前提と出典'!$C$38=0,Y283&gt;=0)),0,A283)</ns0:f>
        <ns0:v>0</ns0:v>
      </ns0:c>
    </ns0:row>
    <ns0:row r="284" ht="24" customHeight="1">
      <ns0:c r="A284" s="4" t="n">
        <ns0:v>280</ns0:v>
      </ns0:c>
      <ns0:c r="B284" s="12">
        <ns0:f>A284*('前提と出典'!$C$36+'前提と出典'!$C$38)</ns0:f>
        <ns0:v>196</ns0:v>
      </ns0:c>
      <ns0:c r="C284" s="12">
        <ns0:f>A284*('前提と出典'!$C$37+'前提と出典'!$C$38)</ns0:f>
        <ns0:v>168</ns0:v>
      </ns0:c>
      <ns0:c r="D284" s="16">
        <ns0:f>A284*('前提と出典'!$C$36*'契約別単価'!C5+'前提と出典'!$C$37*'契約別単価'!C6+'前提と出典'!$C$38*'契約別単価'!C7)</ns0:f>
        <ns0:v>2014.7486033519554</ns0:v>
      </ns0:c>
      <ns0:c r="E284" s="16">
        <ns0:f>A284*('前提と出典'!$C$36*'契約別単価'!E5+'前提と出典'!$C$37*'契約別単価'!E6+'前提と出典'!$C$38*'契約別単価'!E7)</ns0:f>
        <ns0:v>703884.4185074557</ns0:v>
      </ns0:c>
      <ns0:c r="F284" s="16">
        <ns0:f>A284*('前提と出典'!$C$36*'契約別単価'!F5+'前提と出典'!$C$37*'契約別単価'!F6+'前提と出典'!$C$38*'契約別単価'!F7)</ns0:f>
        <ns0:v>204530.81969472827</ns0:v>
      </ns0:c>
      <ns0:c r="G284" s="16">
        <ns0:f>A284*('前提と出典'!$C$36*'契約別単価'!G5+'前提と出典'!$C$37*'契約別単価'!G6+'前提と出典'!$C$38*'契約別単価'!G7)</ns0:f>
        <ns0:v>557340.782122905</ns0:v>
      </ns0:c>
      <ns0:c r="H284" s="16">
        <ns0:f>A284*('前提と出典'!$C$36*'契約別単価'!H5+'前提と出典'!$C$37*'契約別単価'!H6+'前提と出典'!$C$38*'契約別単価'!H7)</ns0:f>
        <ns0:v>193425.20423345774</ns0:v>
      </ns0:c>
      <ns0:c r="I284" s="16">
        <ns0:f>A284*('前提と出典'!$C$36*'契約別単価'!I5+'前提と出典'!$C$37*'契約別単価'!I6+'前提と出典'!$C$38*'契約別単価'!I7)</ns0:f>
        <ns0:v>11814.748603351953</ns0:v>
      </ns0:c>
      <ns0:c r="J284" s="16">
        <ns0:f>A284*('前提と出典'!$C$36*'契約別単価'!J5+'前提と出典'!$C$37*'契約別単価'!J6+'前提と出典'!$C$38*'契約別単価'!J7)</ns0:f>
        <ns0:v>27521.072238884717</ns0:v>
      </ns0:c>
      <ns0:c r="K284" s="16">
        <ns0:f>A284*('前提と出典'!$C$36*'契約別単価'!K5+'前提と出典'!$C$37*'契約別単価'!K6+'前提と出典'!$C$38*'契約別単価'!K7)</ns0:f>
        <ns0:v>117964.99068901302</ns0:v>
      </ns0:c>
      <ns0:c r="L284" s="16">
        <ns0:f>A284*('前提と出典'!$C$36*'契約別単価'!L5+'前提と出典'!$C$37*'契約別単価'!L6+'前提と出典'!$C$38*'契約別単価'!L7)</ns0:f>
        <ns0:v>96047.50680778192</ns0:v>
      </ns0:c>
      <ns0:c r="M284" s="16">
        <ns0:f>IF(('前提と出典'!$C$36+'前提と出典'!$C$38)=0,0,IF(B284&lt;=10,'前提と出典'!B73+'前提と出典'!C73,IF(B284&lt;=100,'前提と出典'!B74+'前提と出典'!C74,IF(B284&lt;=500,'前提と出典'!B75+'前提と出典'!C75,'前提と出典'!B76+'前提と出典'!C76))))</ns0:f>
        <ns0:v>40000</ns0:v>
      </ns0:c>
      <ns0:c r="N284" s="16">
        <ns0:f>IF(('前提と出典'!$C$37+'前提と出典'!$C$38)=0,0,IF(C284&lt;=10,'前提と出典'!D73+'前提と出典'!E73,IF(C284&lt;=100,'前提と出典'!D74+'前提と出典'!E74,IF(C284&lt;=500,'前提と出典'!D75+'前提と出典'!E75,'前提と出典'!D76+'前提と出典'!E76))))</ns0:f>
        <ns0:v>56510.9346263078</ns0:v>
      </ns0:c>
      <ns0:c r="O284" s="16">
        <ns0:f>IF('前提と出典'!$C$36+'前提と出典'!$C$38=0,0,'前提と出典'!$B$4*IF('前提と出典'!$B$20=0,MAX('前提と出典'!$B$6,D284*'前提と出典'!$B$5),'前提と出典'!$B$6+D284*'前提と出典'!$B$5))</ns0:f>
        <ns0:v>278035.30726256984</ns0:v>
      </ns0:c>
      <ns0:c r="P284" s="16">
        <ns0:f>(E284+G284)*(1-'前提と出典'!$B$7)-I284-K284-M284-O284</ns0:f>
        <ns0:v>768006.0468527328</ns0:v>
      </ns0:c>
      <ns0:c r="Q284" s="16">
        <ns0:f>(F284+H284)*(1-'前提と出典'!$B$7)-J284-L284-N284</ns0:f>
        <ns0:v>203550.09339379694</ns0:v>
      </ns0:c>
      <ns0:c r="R284" s="16">
        <ns0:f>P284-E284*'前提と出典'!$E$4</ns0:f>
        <ns0:v>556840.721300496</ns0:v>
      </ns0:c>
      <ns0:c r="S284" s="16">
        <ns0:f>Q284-F284*'前提と出典'!$E$4</ns0:f>
        <ns0:v>142190.84748537844</ns0:v>
      </ns0:c>
      <ns0:c r="T284" s="7">
        <ns0:f>R284+S284</ns0:f>
        <ns0:v>699031.5687858744</ns0:v>
      </ns0:c>
      <ns0:c r="U284" s="16">
        <ns0:f>P284-E284*'前提と出典'!$E$5</ns0:f>
        <ns0:v>486452.2794497505</ns0:v>
      </ns0:c>
      <ns0:c r="V284" s="16">
        <ns0:f>Q284-F284*'前提と出典'!$E$5</ns0:f>
        <ns0:v>121737.76551590563</ns0:v>
      </ns0:c>
      <ns0:c r="W284" s="7">
        <ns0:f>U284+V284</ns0:f>
        <ns0:v>608190.0449656561</ns0:v>
      </ns0:c>
      <ns0:c r="X284" s="16">
        <ns0:f>P284-E284*'前提と出典'!$E$6</ns0:f>
        <ns0:v>416063.8375990049</ns0:v>
      </ns0:c>
      <ns0:c r="Y284" s="16">
        <ns0:f>Q284-F284*'前提と出典'!$E$6</ns0:f>
        <ns0:v>101284.68354643282</ns0:v>
      </ns0:c>
      <ns0:c r="Z284" s="7">
        <ns0:f>X284+Y284</ns0:f>
        <ns0:v>517348.5211454377</ns0:v>
      </ns0:c>
      <ns0:c r="AA284" s="7">
        <ns0:f>IF(T284&gt;=0,A284,1001)</ns0:f>
        <ns0:v>280</ns0:v>
      </ns0:c>
      <ns0:c r="AB284" s="7">
        <ns0:f>IF(T284&lt;0,A284,0)</ns0:f>
        <ns0:v>0</ns0:v>
      </ns0:c>
      <ns0:c r="AC284" s="16">
        <ns0:f>IF(AND(OR('前提と出典'!$C$36+'前提と出典'!$C$38=0,R284&gt;=0),OR('前提と出典'!$C$37+'前提と出典'!$C$38=0,S284&gt;=0)),0,A284)</ns0:f>
        <ns0:v>0</ns0:v>
      </ns0:c>
      <ns0:c r="AD284" s="7">
        <ns0:f>IF(W284&gt;=0,A284,1001)</ns0:f>
        <ns0:v>280</ns0:v>
      </ns0:c>
      <ns0:c r="AE284" s="7">
        <ns0:f>IF(W284&lt;0,A284,0)</ns0:f>
        <ns0:v>0</ns0:v>
      </ns0:c>
      <ns0:c r="AF284" s="16">
        <ns0:f>IF(AND(OR('前提と出典'!$C$36+'前提と出典'!$C$38=0,U284&gt;=0),OR('前提と出典'!$C$37+'前提と出典'!$C$38=0,V284&gt;=0)),0,A284)</ns0:f>
        <ns0:v>0</ns0:v>
      </ns0:c>
      <ns0:c r="AG284" s="7">
        <ns0:f>IF(Z284&gt;=0,A284,1001)</ns0:f>
        <ns0:v>280</ns0:v>
      </ns0:c>
      <ns0:c r="AH284" s="4">
        <ns0:f>IF(Z284&lt;0,A284,0)</ns0:f>
        <ns0:v>0</ns0:v>
      </ns0:c>
      <ns0:c r="AI284" s="12">
        <ns0:f>IF(AND(OR('前提と出典'!$C$36+'前提と出典'!$C$38=0,X284&gt;=0),OR('前提と出典'!$C$37+'前提と出典'!$C$38=0,Y284&gt;=0)),0,A284)</ns0:f>
        <ns0:v>0</ns0:v>
      </ns0:c>
    </ns0:row>
    <ns0:row r="285" ht="24" customHeight="1">
      <ns0:c r="A285" s="4" t="n">
        <ns0:v>281</ns0:v>
      </ns0:c>
      <ns0:c r="B285" s="12">
        <ns0:f>A285*('前提と出典'!$C$36+'前提と出典'!$C$38)</ns0:f>
        <ns0:v>196.7</ns0:v>
      </ns0:c>
      <ns0:c r="C285" s="12">
        <ns0:f>A285*('前提と出典'!$C$37+'前提と出典'!$C$38)</ns0:f>
        <ns0:v>168.6</ns0:v>
      </ns0:c>
      <ns0:c r="D285" s="16">
        <ns0:f>A285*('前提と出典'!$C$36*'契約別単価'!C5+'前提と出典'!$C$37*'契約別単価'!C6+'前提と出典'!$C$38*'契約別単価'!C7)</ns0:f>
        <ns0:v>2021.9441340782123</ns0:v>
      </ns0:c>
      <ns0:c r="E285" s="16">
        <ns0:f>A285*('前提と出典'!$C$36*'契約別単価'!E5+'前提と出典'!$C$37*'契約別単価'!E6+'前提と出典'!$C$38*'契約別単価'!E7)</ns0:f>
        <ns0:v>706398.2914306966</ns0:v>
      </ns0:c>
      <ns0:c r="F285" s="16">
        <ns0:f>A285*('前提と出典'!$C$36*'契約別単価'!F5+'前提と出典'!$C$37*'契約別単価'!F6+'前提と出典'!$C$38*'契約別単価'!F7)</ns0:f>
        <ns0:v>205261.28690792373</ns0:v>
      </ns0:c>
      <ns0:c r="G285" s="16">
        <ns0:f>A285*('前提と出典'!$C$36*'契約別単価'!G5+'前提と出典'!$C$37*'契約別単価'!G6+'前提と出典'!$C$38*'契約別単価'!G7)</ns0:f>
        <ns0:v>559331.2849162011</ns0:v>
      </ns0:c>
      <ns0:c r="H285" s="16">
        <ns0:f>A285*('前提と出典'!$C$36*'契約別単価'!H5+'前提と出典'!$C$37*'契約別単価'!H6+'前提と出典'!$C$38*'契約別単価'!H7)</ns0:f>
        <ns0:v>194116.00853429153</ns0:v>
      </ns0:c>
      <ns0:c r="I285" s="16">
        <ns0:f>A285*('前提と出典'!$C$36*'契約別単価'!I5+'前提と出典'!$C$37*'契約別単価'!I6+'前提と出典'!$C$38*'契約別単価'!I7)</ns0:f>
        <ns0:v>11856.94413407821</ns0:v>
      </ns0:c>
      <ns0:c r="J285" s="16">
        <ns0:f>A285*('前提と出典'!$C$36*'契約別単価'!J5+'前提と出典'!$C$37*'契約別単価'!J6+'前提と出典'!$C$38*'契約別単価'!J7)</ns0:f>
        <ns0:v>27619.36178259502</ns0:v>
      </ns0:c>
      <ns0:c r="K285" s="16">
        <ns0:f>A285*('前提と出典'!$C$36*'契約別単価'!K5+'前提と出典'!$C$37*'契約別単価'!K6+'前提と出典'!$C$38*'契約別単価'!K7)</ns0:f>
        <ns0:v>118386.29422718807</ns0:v>
      </ns0:c>
      <ns0:c r="L285" s="16">
        <ns0:f>A285*('前提と出典'!$C$36*'契約別単価'!L5+'前提と出典'!$C$37*'契約別単価'!L6+'前提と出典'!$C$38*'契約別単価'!L7)</ns0:f>
        <ns0:v>96390.53361780972</ns0:v>
      </ns0:c>
      <ns0:c r="M285" s="16">
        <ns0:f>IF(('前提と出典'!$C$36+'前提と出典'!$C$38)=0,0,IF(B285&lt;=10,'前提と出典'!B73+'前提と出典'!C73,IF(B285&lt;=100,'前提と出典'!B74+'前提と出典'!C74,IF(B285&lt;=500,'前提と出典'!B75+'前提と出典'!C75,'前提と出典'!B76+'前提と出典'!C76))))</ns0:f>
        <ns0:v>40000</ns0:v>
      </ns0:c>
      <ns0:c r="N285" s="16">
        <ns0:f>IF(('前提と出典'!$C$37+'前提と出典'!$C$38)=0,0,IF(C285&lt;=10,'前提と出典'!D73+'前提と出典'!E73,IF(C285&lt;=100,'前提と出典'!D74+'前提と出典'!E74,IF(C285&lt;=500,'前提と出典'!D75+'前提と出典'!E75,'前提と出典'!D76+'前提と出典'!E76))))</ns0:f>
        <ns0:v>56510.9346263078</ns0:v>
      </ns0:c>
      <ns0:c r="O285" s="16">
        <ns0:f>IF('前提と出典'!$C$36+'前提と出典'!$C$38=0,0,'前提と出典'!$B$4*IF('前提と出典'!$B$20=0,MAX('前提と出典'!$B$6,D285*'前提と出典'!$B$5),'前提と出典'!$B$6+D285*'前提と出典'!$B$5))</ns0:f>
        <ns0:v>279028.29050279333</ns0:v>
      </ns0:c>
      <ns0:c r="P285" s="16">
        <ns0:f>(E285+G285)*(1-'前提と出典'!$B$7)-I285-K285-M285-O285</ns0:f>
        <ns0:v>770891.7827343497</ns0:v>
      </ns0:c>
      <ns0:c r="Q285" s="16">
        <ns0:f>(F285+H285)*(1-'前提と出典'!$B$7)-J285-L285-N285</ns0:f>
        <ns0:v>204478.882779583</ns0:v>
      </ns0:c>
      <ns0:c r="R285" s="16">
        <ns0:f>P285-E285*'前提と出典'!$E$4</ns0:f>
        <ns0:v>558972.2953051408</ns0:v>
      </ns0:c>
      <ns0:c r="S285" s="16">
        <ns0:f>Q285-F285*'前提と出典'!$E$4</ns0:f>
        <ns0:v>142900.49670720595</ns0:v>
      </ns0:c>
      <ns0:c r="T285" s="7">
        <ns0:f>R285+S285</ns0:f>
        <ns0:v>701872.7920123467</ns0:v>
      </ns0:c>
      <ns0:c r="U285" s="16">
        <ns0:f>P285-E285*'前提と出典'!$E$5</ns0:f>
        <ns0:v>488332.46616207104</ns0:v>
      </ns0:c>
      <ns0:c r="V285" s="16">
        <ns0:f>Q285-F285*'前提と出典'!$E$5</ns0:f>
        <ns0:v>122374.36801641347</ns0:v>
      </ns0:c>
      <ns0:c r="W285" s="7">
        <ns0:f>U285+V285</ns0:f>
        <ns0:v>610706.8341784845</ns0:v>
      </ns0:c>
      <ns0:c r="X285" s="16">
        <ns0:f>P285-E285*'前提と出典'!$E$6</ns0:f>
        <ns0:v>417692.6370190015</ns0:v>
      </ns0:c>
      <ns0:c r="Y285" s="16">
        <ns0:f>Q285-F285*'前提と出典'!$E$6</ns0:f>
        <ns0:v>101848.2393256211</ns0:v>
      </ns0:c>
      <ns0:c r="Z285" s="7">
        <ns0:f>X285+Y285</ns0:f>
        <ns0:v>519540.8763446226</ns0:v>
      </ns0:c>
      <ns0:c r="AA285" s="7">
        <ns0:f>IF(T285&gt;=0,A285,1001)</ns0:f>
        <ns0:v>281</ns0:v>
      </ns0:c>
      <ns0:c r="AB285" s="7">
        <ns0:f>IF(T285&lt;0,A285,0)</ns0:f>
        <ns0:v>0</ns0:v>
      </ns0:c>
      <ns0:c r="AC285" s="16">
        <ns0:f>IF(AND(OR('前提と出典'!$C$36+'前提と出典'!$C$38=0,R285&gt;=0),OR('前提と出典'!$C$37+'前提と出典'!$C$38=0,S285&gt;=0)),0,A285)</ns0:f>
        <ns0:v>0</ns0:v>
      </ns0:c>
      <ns0:c r="AD285" s="7">
        <ns0:f>IF(W285&gt;=0,A285,1001)</ns0:f>
        <ns0:v>281</ns0:v>
      </ns0:c>
      <ns0:c r="AE285" s="7">
        <ns0:f>IF(W285&lt;0,A285,0)</ns0:f>
        <ns0:v>0</ns0:v>
      </ns0:c>
      <ns0:c r="AF285" s="16">
        <ns0:f>IF(AND(OR('前提と出典'!$C$36+'前提と出典'!$C$38=0,U285&gt;=0),OR('前提と出典'!$C$37+'前提と出典'!$C$38=0,V285&gt;=0)),0,A285)</ns0:f>
        <ns0:v>0</ns0:v>
      </ns0:c>
      <ns0:c r="AG285" s="7">
        <ns0:f>IF(Z285&gt;=0,A285,1001)</ns0:f>
        <ns0:v>281</ns0:v>
      </ns0:c>
      <ns0:c r="AH285" s="4">
        <ns0:f>IF(Z285&lt;0,A285,0)</ns0:f>
        <ns0:v>0</ns0:v>
      </ns0:c>
      <ns0:c r="AI285" s="12">
        <ns0:f>IF(AND(OR('前提と出典'!$C$36+'前提と出典'!$C$38=0,X285&gt;=0),OR('前提と出典'!$C$37+'前提と出典'!$C$38=0,Y285&gt;=0)),0,A285)</ns0:f>
        <ns0:v>0</ns0:v>
      </ns0:c>
    </ns0:row>
    <ns0:row r="286" ht="24" customHeight="1">
      <ns0:c r="A286" s="4" t="n">
        <ns0:v>282</ns0:v>
      </ns0:c>
      <ns0:c r="B286" s="12">
        <ns0:f>A286*('前提と出典'!$C$36+'前提と出典'!$C$38)</ns0:f>
        <ns0:v>197.39999999999998</ns0:v>
      </ns0:c>
      <ns0:c r="C286" s="12">
        <ns0:f>A286*('前提と出典'!$C$37+'前提と出典'!$C$38)</ns0:f>
        <ns0:v>169.2</ns0:v>
      </ns0:c>
      <ns0:c r="D286" s="16">
        <ns0:f>A286*('前提と出典'!$C$36*'契約別単価'!C5+'前提と出典'!$C$37*'契約別単価'!C6+'前提と出典'!$C$38*'契約別単価'!C7)</ns0:f>
        <ns0:v>2029.1396648044692</ns0:v>
      </ns0:c>
      <ns0:c r="E286" s="16">
        <ns0:f>A286*('前提と出典'!$C$36*'契約別単価'!E5+'前提と出典'!$C$37*'契約別単価'!E6+'前提と出典'!$C$38*'契約別単価'!E7)</ns0:f>
        <ns0:v>708912.1643539375</ns0:v>
      </ns0:c>
      <ns0:c r="F286" s="16">
        <ns0:f>A286*('前提と出典'!$C$36*'契約別単価'!F5+'前提と出典'!$C$37*'契約別単価'!F6+'前提と出典'!$C$38*'契約別単価'!F7)</ns0:f>
        <ns0:v>205991.75412111921</ns0:v>
      </ns0:c>
      <ns0:c r="G286" s="16">
        <ns0:f>A286*('前提と出典'!$C$36*'契約別単価'!G5+'前提と出典'!$C$37*'契約別単価'!G6+'前提と出典'!$C$38*'契約別単価'!G7)</ns0:f>
        <ns0:v>561321.7877094971</ns0:v>
      </ns0:c>
      <ns0:c r="H286" s="16">
        <ns0:f>A286*('前提と出典'!$C$36*'契約別単価'!H5+'前提と出典'!$C$37*'契約別単価'!H6+'前提と出典'!$C$38*'契約別単価'!H7)</ns0:f>
        <ns0:v>194806.8128351253</ns0:v>
      </ns0:c>
      <ns0:c r="I286" s="16">
        <ns0:f>A286*('前提と出典'!$C$36*'契約別単価'!I5+'前提と出典'!$C$37*'契約別単価'!I6+'前提と出典'!$C$38*'契約別単価'!I7)</ns0:f>
        <ns0:v>11899.139664804467</ns0:v>
      </ns0:c>
      <ns0:c r="J286" s="16">
        <ns0:f>A286*('前提と出典'!$C$36*'契約別単価'!J5+'前提と出典'!$C$37*'契約別単価'!J6+'前提と出典'!$C$38*'契約別単価'!J7)</ns0:f>
        <ns0:v>27717.651326305324</ns0:v>
      </ns0:c>
      <ns0:c r="K286" s="16">
        <ns0:f>A286*('前提と出典'!$C$36*'契約別単価'!K5+'前提と出典'!$C$37*'契約別単価'!K6+'前提と出典'!$C$38*'契約別単価'!K7)</ns0:f>
        <ns0:v>118807.59776536313</ns0:v>
      </ns0:c>
      <ns0:c r="L286" s="16">
        <ns0:f>A286*('前提と出典'!$C$36*'契約別単価'!L5+'前提と出典'!$C$37*'契約別単価'!L6+'前提と出典'!$C$38*'契約別単価'!L7)</ns0:f>
        <ns0:v>96733.56042783751</ns0:v>
      </ns0:c>
      <ns0:c r="M286" s="16">
        <ns0:f>IF(('前提と出典'!$C$36+'前提と出典'!$C$38)=0,0,IF(B286&lt;=10,'前提と出典'!B73+'前提と出典'!C73,IF(B286&lt;=100,'前提と出典'!B74+'前提と出典'!C74,IF(B286&lt;=500,'前提と出典'!B75+'前提と出典'!C75,'前提と出典'!B76+'前提と出典'!C76))))</ns0:f>
        <ns0:v>40000</ns0:v>
      </ns0:c>
      <ns0:c r="N286" s="16">
        <ns0:f>IF(('前提と出典'!$C$37+'前提と出典'!$C$38)=0,0,IF(C286&lt;=10,'前提と出典'!D73+'前提と出典'!E73,IF(C286&lt;=100,'前提と出典'!D74+'前提と出典'!E74,IF(C286&lt;=500,'前提と出典'!D75+'前提と出典'!E75,'前提と出典'!D76+'前提と出典'!E76))))</ns0:f>
        <ns0:v>56510.9346263078</ns0:v>
      </ns0:c>
      <ns0:c r="O286" s="16">
        <ns0:f>IF('前提と出典'!$C$36+'前提と出典'!$C$38=0,0,'前提と出典'!$B$4*IF('前提と出典'!$B$20=0,MAX('前提と出典'!$B$6,D286*'前提と出典'!$B$5),'前提と出典'!$B$6+D286*'前提と出典'!$B$5))</ns0:f>
        <ns0:v>280021.27374301676</ns0:v>
      </ns0:c>
      <ns0:c r="P286" s="16">
        <ns0:f>(E286+G286)*(1-'前提と出典'!$B$7)-I286-K286-M286-O286</ns0:f>
        <ns0:v>773777.5186159668</ns0:v>
      </ns0:c>
      <ns0:c r="Q286" s="16">
        <ns0:f>(F286+H286)*(1-'前提と出典'!$B$7)-J286-L286-N286</ns0:f>
        <ns0:v>205407.6721653691</ns0:v>
      </ns0:c>
      <ns0:c r="R286" s="16">
        <ns0:f>P286-E286*'前提と出典'!$E$4</ns0:f>
        <ns0:v>561103.8693097854</ns0:v>
      </ns0:c>
      <ns0:c r="S286" s="16">
        <ns0:f>Q286-F286*'前提と出典'!$E$4</ns0:f>
        <ns0:v>143610.14592903332</ns0:v>
      </ns0:c>
      <ns0:c r="T286" s="7">
        <ns0:f>R286+S286</ns0:f>
        <ns0:v>704714.0152388187</ns0:v>
      </ns0:c>
      <ns0:c r="U286" s="16">
        <ns0:f>P286-E286*'前提と出典'!$E$5</ns0:f>
        <ns0:v>490212.65287439176</ns0:v>
      </ns0:c>
      <ns0:c r="V286" s="16">
        <ns0:f>Q286-F286*'前提と出典'!$E$5</ns0:f>
        <ns0:v>123010.9705169214</ns0:v>
      </ns0:c>
      <ns0:c r="W286" s="7">
        <ns0:f>U286+V286</ns0:f>
        <ns0:v>613223.6233913131</ns0:v>
      </ns0:c>
      <ns0:c r="X286" s="16">
        <ns0:f>P286-E286*'前提と出典'!$E$6</ns0:f>
        <ns0:v>419321.4364389981</ns0:v>
      </ns0:c>
      <ns0:c r="Y286" s="16">
        <ns0:f>Q286-F286*'前提と出典'!$E$6</ns0:f>
        <ns0:v>102411.79510480951</ns0:v>
      </ns0:c>
      <ns0:c r="Z286" s="7">
        <ns0:f>X286+Y286</ns0:f>
        <ns0:v>521733.2315438076</ns0:v>
      </ns0:c>
      <ns0:c r="AA286" s="7">
        <ns0:f>IF(T286&gt;=0,A286,1001)</ns0:f>
        <ns0:v>282</ns0:v>
      </ns0:c>
      <ns0:c r="AB286" s="7">
        <ns0:f>IF(T286&lt;0,A286,0)</ns0:f>
        <ns0:v>0</ns0:v>
      </ns0:c>
      <ns0:c r="AC286" s="16">
        <ns0:f>IF(AND(OR('前提と出典'!$C$36+'前提と出典'!$C$38=0,R286&gt;=0),OR('前提と出典'!$C$37+'前提と出典'!$C$38=0,S286&gt;=0)),0,A286)</ns0:f>
        <ns0:v>0</ns0:v>
      </ns0:c>
      <ns0:c r="AD286" s="7">
        <ns0:f>IF(W286&gt;=0,A286,1001)</ns0:f>
        <ns0:v>282</ns0:v>
      </ns0:c>
      <ns0:c r="AE286" s="7">
        <ns0:f>IF(W286&lt;0,A286,0)</ns0:f>
        <ns0:v>0</ns0:v>
      </ns0:c>
      <ns0:c r="AF286" s="16">
        <ns0:f>IF(AND(OR('前提と出典'!$C$36+'前提と出典'!$C$38=0,U286&gt;=0),OR('前提と出典'!$C$37+'前提と出典'!$C$38=0,V286&gt;=0)),0,A286)</ns0:f>
        <ns0:v>0</ns0:v>
      </ns0:c>
      <ns0:c r="AG286" s="7">
        <ns0:f>IF(Z286&gt;=0,A286,1001)</ns0:f>
        <ns0:v>282</ns0:v>
      </ns0:c>
      <ns0:c r="AH286" s="4">
        <ns0:f>IF(Z286&lt;0,A286,0)</ns0:f>
        <ns0:v>0</ns0:v>
      </ns0:c>
      <ns0:c r="AI286" s="12">
        <ns0:f>IF(AND(OR('前提と出典'!$C$36+'前提と出典'!$C$38=0,X286&gt;=0),OR('前提と出典'!$C$37+'前提と出典'!$C$38=0,Y286&gt;=0)),0,A286)</ns0:f>
        <ns0:v>0</ns0:v>
      </ns0:c>
    </ns0:row>
    <ns0:row r="287" ht="24" customHeight="1">
      <ns0:c r="A287" s="4" t="n">
        <ns0:v>283</ns0:v>
      </ns0:c>
      <ns0:c r="B287" s="12">
        <ns0:f>A287*('前提と出典'!$C$36+'前提と出典'!$C$38)</ns0:f>
        <ns0:v>198.1</ns0:v>
      </ns0:c>
      <ns0:c r="C287" s="12">
        <ns0:f>A287*('前提と出典'!$C$37+'前提と出典'!$C$38)</ns0:f>
        <ns0:v>169.79999999999998</ns0:v>
      </ns0:c>
      <ns0:c r="D287" s="16">
        <ns0:f>A287*('前提と出典'!$C$36*'契約別単価'!C5+'前提と出典'!$C$37*'契約別単価'!C6+'前提と出典'!$C$38*'契約別単価'!C7)</ns0:f>
        <ns0:v>2036.3351955307262</ns0:v>
      </ns0:c>
      <ns0:c r="E287" s="16">
        <ns0:f>A287*('前提と出典'!$C$36*'契約別単価'!E5+'前提と出典'!$C$37*'契約別単価'!E6+'前提と出典'!$C$38*'契約別単価'!E7)</ns0:f>
        <ns0:v>711426.0372771785</ns0:v>
      </ns0:c>
      <ns0:c r="F287" s="16">
        <ns0:f>A287*('前提と出典'!$C$36*'契約別単価'!F5+'前提と出典'!$C$37*'契約別単価'!F6+'前提と出典'!$C$38*'契約別単価'!F7)</ns0:f>
        <ns0:v>206722.22133431467</ns0:v>
      </ns0:c>
      <ns0:c r="G287" s="16">
        <ns0:f>A287*('前提と出典'!$C$36*'契約別単価'!G5+'前提と出典'!$C$37*'契約別単価'!G6+'前提と出典'!$C$38*'契約別単価'!G7)</ns0:f>
        <ns0:v>563312.2905027933</ns0:v>
      </ns0:c>
      <ns0:c r="H287" s="16">
        <ns0:f>A287*('前提と出典'!$C$36*'契約別単価'!H5+'前提と出典'!$C$37*'契約別単価'!H6+'前提と出典'!$C$38*'契約別単価'!H7)</ns0:f>
        <ns0:v>195497.6171359591</ns0:v>
      </ns0:c>
      <ns0:c r="I287" s="16">
        <ns0:f>A287*('前提と出典'!$C$36*'契約別単価'!I5+'前提と出典'!$C$37*'契約別単価'!I6+'前提と出典'!$C$38*'契約別単価'!I7)</ns0:f>
        <ns0:v>11941.335195530724</ns0:v>
      </ns0:c>
      <ns0:c r="J287" s="16">
        <ns0:f>A287*('前提と出典'!$C$36*'契約別単価'!J5+'前提と出典'!$C$37*'契約別単価'!J6+'前提と出典'!$C$38*'契約別単価'!J7)</ns0:f>
        <ns0:v>27815.940870015627</ns0:v>
      </ns0:c>
      <ns0:c r="K287" s="16">
        <ns0:f>A287*('前提と出典'!$C$36*'契約別単価'!K5+'前提と出典'!$C$37*'契約別単価'!K6+'前提と出典'!$C$38*'契約別単価'!K7)</ns0:f>
        <ns0:v>119228.90130353816</ns0:v>
      </ns0:c>
      <ns0:c r="L287" s="16">
        <ns0:f>A287*('前提と出典'!$C$36*'契約別単価'!L5+'前提と出典'!$C$37*'契約別単価'!L6+'前提と出典'!$C$38*'契約別単価'!L7)</ns0:f>
        <ns0:v>97076.5872378653</ns0:v>
      </ns0:c>
      <ns0:c r="M287" s="16">
        <ns0:f>IF(('前提と出典'!$C$36+'前提と出典'!$C$38)=0,0,IF(B287&lt;=10,'前提と出典'!B73+'前提と出典'!C73,IF(B287&lt;=100,'前提と出典'!B74+'前提と出典'!C74,IF(B287&lt;=500,'前提と出典'!B75+'前提と出典'!C75,'前提と出典'!B76+'前提と出典'!C76))))</ns0:f>
        <ns0:v>40000</ns0:v>
      </ns0:c>
      <ns0:c r="N287" s="16">
        <ns0:f>IF(('前提と出典'!$C$37+'前提と出典'!$C$38)=0,0,IF(C287&lt;=10,'前提と出典'!D73+'前提と出典'!E73,IF(C287&lt;=100,'前提と出典'!D74+'前提と出典'!E74,IF(C287&lt;=500,'前提と出典'!D75+'前提と出典'!E75,'前提と出典'!D76+'前提と出典'!E76))))</ns0:f>
        <ns0:v>56510.9346263078</ns0:v>
      </ns0:c>
      <ns0:c r="O287" s="16">
        <ns0:f>IF('前提と出典'!$C$36+'前提と出典'!$C$38=0,0,'前提と出典'!$B$4*IF('前提と出典'!$B$20=0,MAX('前提と出典'!$B$6,D287*'前提と出典'!$B$5),'前提と出典'!$B$6+D287*'前提と出典'!$B$5))</ns0:f>
        <ns0:v>281014.25698324025</ns0:v>
      </ns0:c>
      <ns0:c r="P287" s="16">
        <ns0:f>(E287+G287)*(1-'前提と出典'!$B$7)-I287-K287-M287-O287</ns0:f>
        <ns0:v>776663.2544975837</ns0:v>
      </ns0:c>
      <ns0:c r="Q287" s="16">
        <ns0:f>(F287+H287)*(1-'前提と出典'!$B$7)-J287-L287-N287</ns0:f>
        <ns0:v>206336.46155115514</ns0:v>
      </ns0:c>
      <ns0:c r="R287" s="16">
        <ns0:f>P287-E287*'前提と出典'!$E$4</ns0:f>
        <ns0:v>563235.4433144303</ns0:v>
      </ns0:c>
      <ns0:c r="S287" s="16">
        <ns0:f>Q287-F287*'前提と出典'!$E$4</ns0:f>
        <ns0:v>144319.79515086074</ns0:v>
      </ns0:c>
      <ns0:c r="T287" s="7">
        <ns0:f>R287+S287</ns0:f>
        <ns0:v>707555.238465291</ns0:v>
      </ns0:c>
      <ns0:c r="U287" s="16">
        <ns0:f>P287-E287*'前提と出典'!$E$5</ns0:f>
        <ns0:v>492092.8395867123</ns0:v>
      </ns0:c>
      <ns0:c r="V287" s="16">
        <ns0:f>Q287-F287*'前提と出典'!$E$5</ns0:f>
        <ns0:v>123647.57301742927</ns0:v>
      </ns0:c>
      <ns0:c r="W287" s="7">
        <ns0:f>U287+V287</ns0:f>
        <ns0:v>615740.4126041415</ns0:v>
      </ns0:c>
      <ns0:c r="X287" s="16">
        <ns0:f>P287-E287*'前提と出典'!$E$6</ns0:f>
        <ns0:v>420950.23585899454</ns0:v>
      </ns0:c>
      <ns0:c r="Y287" s="16">
        <ns0:f>Q287-F287*'前提と出典'!$E$6</ns0:f>
        <ns0:v>102975.35088399786</ns0:v>
      </ns0:c>
      <ns0:c r="Z287" s="7">
        <ns0:f>X287+Y287</ns0:f>
        <ns0:v>523925.5867429924</ns0:v>
      </ns0:c>
      <ns0:c r="AA287" s="7">
        <ns0:f>IF(T287&gt;=0,A287,1001)</ns0:f>
        <ns0:v>283</ns0:v>
      </ns0:c>
      <ns0:c r="AB287" s="7">
        <ns0:f>IF(T287&lt;0,A287,0)</ns0:f>
        <ns0:v>0</ns0:v>
      </ns0:c>
      <ns0:c r="AC287" s="16">
        <ns0:f>IF(AND(OR('前提と出典'!$C$36+'前提と出典'!$C$38=0,R287&gt;=0),OR('前提と出典'!$C$37+'前提と出典'!$C$38=0,S287&gt;=0)),0,A287)</ns0:f>
        <ns0:v>0</ns0:v>
      </ns0:c>
      <ns0:c r="AD287" s="7">
        <ns0:f>IF(W287&gt;=0,A287,1001)</ns0:f>
        <ns0:v>283</ns0:v>
      </ns0:c>
      <ns0:c r="AE287" s="7">
        <ns0:f>IF(W287&lt;0,A287,0)</ns0:f>
        <ns0:v>0</ns0:v>
      </ns0:c>
      <ns0:c r="AF287" s="16">
        <ns0:f>IF(AND(OR('前提と出典'!$C$36+'前提と出典'!$C$38=0,U287&gt;=0),OR('前提と出典'!$C$37+'前提と出典'!$C$38=0,V287&gt;=0)),0,A287)</ns0:f>
        <ns0:v>0</ns0:v>
      </ns0:c>
      <ns0:c r="AG287" s="7">
        <ns0:f>IF(Z287&gt;=0,A287,1001)</ns0:f>
        <ns0:v>283</ns0:v>
      </ns0:c>
      <ns0:c r="AH287" s="4">
        <ns0:f>IF(Z287&lt;0,A287,0)</ns0:f>
        <ns0:v>0</ns0:v>
      </ns0:c>
      <ns0:c r="AI287" s="12">
        <ns0:f>IF(AND(OR('前提と出典'!$C$36+'前提と出典'!$C$38=0,X287&gt;=0),OR('前提と出典'!$C$37+'前提と出典'!$C$38=0,Y287&gt;=0)),0,A287)</ns0:f>
        <ns0:v>0</ns0:v>
      </ns0:c>
    </ns0:row>
    <ns0:row r="288" ht="24" customHeight="1">
      <ns0:c r="A288" s="4" t="n">
        <ns0:v>284</ns0:v>
      </ns0:c>
      <ns0:c r="B288" s="12">
        <ns0:f>A288*('前提と出典'!$C$36+'前提と出典'!$C$38)</ns0:f>
        <ns0:v>198.79999999999998</ns0:v>
      </ns0:c>
      <ns0:c r="C288" s="12">
        <ns0:f>A288*('前提と出典'!$C$37+'前提と出典'!$C$38)</ns0:f>
        <ns0:v>170.4</ns0:v>
      </ns0:c>
      <ns0:c r="D288" s="16">
        <ns0:f>A288*('前提と出典'!$C$36*'契約別単価'!C5+'前提と出典'!$C$37*'契約別単価'!C6+'前提と出典'!$C$38*'契約別単価'!C7)</ns0:f>
        <ns0:v>2043.5307262569831</ns0:v>
      </ns0:c>
      <ns0:c r="E288" s="16">
        <ns0:f>A288*('前提と出典'!$C$36*'契約別単価'!E5+'前提と出典'!$C$37*'契約別単価'!E6+'前提と出典'!$C$38*'契約別単価'!E7)</ns0:f>
        <ns0:v>713939.9102004194</ns0:v>
      </ns0:c>
      <ns0:c r="F288" s="16">
        <ns0:f>A288*('前提と出典'!$C$36*'契約別単価'!F5+'前提と出典'!$C$37*'契約別単価'!F6+'前提と出典'!$C$38*'契約別単価'!F7)</ns0:f>
        <ns0:v>207452.68854751013</ns0:v>
      </ns0:c>
      <ns0:c r="G288" s="16">
        <ns0:f>A288*('前提と出典'!$C$36*'契約別単価'!G5+'前提と出典'!$C$37*'契約別単価'!G6+'前提と出典'!$C$38*'契約別単価'!G7)</ns0:f>
        <ns0:v>565302.7932960894</ns0:v>
      </ns0:c>
      <ns0:c r="H288" s="16">
        <ns0:f>A288*('前提と出典'!$C$36*'契約別単価'!H5+'前提と出典'!$C$37*'契約別単価'!H6+'前提と出典'!$C$38*'契約別単価'!H7)</ns0:f>
        <ns0:v>196188.42143679285</ns0:v>
      </ns0:c>
      <ns0:c r="I288" s="16">
        <ns0:f>A288*('前提と出典'!$C$36*'契約別単価'!I5+'前提と出典'!$C$37*'契約別単価'!I6+'前提と出典'!$C$38*'契約別単価'!I7)</ns0:f>
        <ns0:v>11983.53072625698</ns0:v>
      </ns0:c>
      <ns0:c r="J288" s="16">
        <ns0:f>A288*('前提と出典'!$C$36*'契約別単価'!J5+'前提と出典'!$C$37*'契約別単価'!J6+'前提と出典'!$C$38*'契約別単価'!J7)</ns0:f>
        <ns0:v>27914.23041372593</ns0:v>
      </ns0:c>
      <ns0:c r="K288" s="16">
        <ns0:f>A288*('前提と出典'!$C$36*'契約別単価'!K5+'前提と出典'!$C$37*'契約別単価'!K6+'前提と出典'!$C$38*'契約別単価'!K7)</ns0:f>
        <ns0:v>119650.20484171322</ns0:v>
      </ns0:c>
      <ns0:c r="L288" s="16">
        <ns0:f>A288*('前提と出典'!$C$36*'契約別単価'!L5+'前提と出典'!$C$37*'契約別単価'!L6+'前提と出典'!$C$38*'契約別単価'!L7)</ns0:f>
        <ns0:v>97419.61404789309</ns0:v>
      </ns0:c>
      <ns0:c r="M288" s="16">
        <ns0:f>IF(('前提と出典'!$C$36+'前提と出典'!$C$38)=0,0,IF(B288&lt;=10,'前提と出典'!B73+'前提と出典'!C73,IF(B288&lt;=100,'前提と出典'!B74+'前提と出典'!C74,IF(B288&lt;=500,'前提と出典'!B75+'前提と出典'!C75,'前提と出典'!B76+'前提と出典'!C76))))</ns0:f>
        <ns0:v>40000</ns0:v>
      </ns0:c>
      <ns0:c r="N288" s="16">
        <ns0:f>IF(('前提と出典'!$C$37+'前提と出典'!$C$38)=0,0,IF(C288&lt;=10,'前提と出典'!D73+'前提と出典'!E73,IF(C288&lt;=100,'前提と出典'!D74+'前提と出典'!E74,IF(C288&lt;=500,'前提と出典'!D75+'前提と出典'!E75,'前提と出典'!D76+'前提と出典'!E76))))</ns0:f>
        <ns0:v>56510.9346263078</ns0:v>
      </ns0:c>
      <ns0:c r="O288" s="16">
        <ns0:f>IF('前提と出典'!$C$36+'前提と出典'!$C$38=0,0,'前提と出典'!$B$4*IF('前提と出典'!$B$20=0,MAX('前提と出典'!$B$6,D288*'前提と出典'!$B$5),'前提と出典'!$B$6+D288*'前提と出典'!$B$5))</ns0:f>
        <ns0:v>282007.2402234637</ns0:v>
      </ns0:c>
      <ns0:c r="P288" s="16">
        <ns0:f>(E288+G288)*(1-'前提と出典'!$B$7)-I288-K288-M288-O288</ns0:f>
        <ns0:v>779548.9903792007</ns0:v>
      </ns0:c>
      <ns0:c r="Q288" s="16">
        <ns0:f>(F288+H288)*(1-'前提と出典'!$B$7)-J288-L288-N288</ns0:f>
        <ns0:v>207265.25093694124</ns0:v>
      </ns0:c>
      <ns0:c r="R288" s="16">
        <ns0:f>P288-E288*'前提と出典'!$E$4</ns0:f>
        <ns0:v>565367.0173190748</ns0:v>
      </ns0:c>
      <ns0:c r="S288" s="16">
        <ns0:f>Q288-F288*'前提と出典'!$E$4</ns0:f>
        <ns0:v>145029.4443726882</ns0:v>
      </ns0:c>
      <ns0:c r="T288" s="7">
        <ns0:f>R288+S288</ns0:f>
        <ns0:v>710396.461691763</ns0:v>
      </ns0:c>
      <ns0:c r="U288" s="16">
        <ns0:f>P288-E288*'前提と出典'!$E$5</ns0:f>
        <ns0:v>493973.0262990329</ns0:v>
      </ns0:c>
      <ns0:c r="V288" s="16">
        <ns0:f>Q288-F288*'前提と出典'!$E$5</ns0:f>
        <ns0:v>124284.17551793717</ns0:v>
      </ns0:c>
      <ns0:c r="W288" s="7">
        <ns0:f>U288+V288</ns0:f>
        <ns0:v>618257.20181697</ns0:v>
      </ns0:c>
      <ns0:c r="X288" s="16">
        <ns0:f>P288-E288*'前提と出典'!$E$6</ns0:f>
        <ns0:v>422579.0352789909</ns0:v>
      </ns0:c>
      <ns0:c r="Y288" s="16">
        <ns0:f>Q288-F288*'前提と出典'!$E$6</ns0:f>
        <ns0:v>103538.90666318618</ns0:v>
      </ns0:c>
      <ns0:c r="Z288" s="7">
        <ns0:f>X288+Y288</ns0:f>
        <ns0:v>526117.9419421771</ns0:v>
      </ns0:c>
      <ns0:c r="AA288" s="7">
        <ns0:f>IF(T288&gt;=0,A288,1001)</ns0:f>
        <ns0:v>284</ns0:v>
      </ns0:c>
      <ns0:c r="AB288" s="7">
        <ns0:f>IF(T288&lt;0,A288,0)</ns0:f>
        <ns0:v>0</ns0:v>
      </ns0:c>
      <ns0:c r="AC288" s="16">
        <ns0:f>IF(AND(OR('前提と出典'!$C$36+'前提と出典'!$C$38=0,R288&gt;=0),OR('前提と出典'!$C$37+'前提と出典'!$C$38=0,S288&gt;=0)),0,A288)</ns0:f>
        <ns0:v>0</ns0:v>
      </ns0:c>
      <ns0:c r="AD288" s="7">
        <ns0:f>IF(W288&gt;=0,A288,1001)</ns0:f>
        <ns0:v>284</ns0:v>
      </ns0:c>
      <ns0:c r="AE288" s="7">
        <ns0:f>IF(W288&lt;0,A288,0)</ns0:f>
        <ns0:v>0</ns0:v>
      </ns0:c>
      <ns0:c r="AF288" s="16">
        <ns0:f>IF(AND(OR('前提と出典'!$C$36+'前提と出典'!$C$38=0,U288&gt;=0),OR('前提と出典'!$C$37+'前提と出典'!$C$38=0,V288&gt;=0)),0,A288)</ns0:f>
        <ns0:v>0</ns0:v>
      </ns0:c>
      <ns0:c r="AG288" s="7">
        <ns0:f>IF(Z288&gt;=0,A288,1001)</ns0:f>
        <ns0:v>284</ns0:v>
      </ns0:c>
      <ns0:c r="AH288" s="4">
        <ns0:f>IF(Z288&lt;0,A288,0)</ns0:f>
        <ns0:v>0</ns0:v>
      </ns0:c>
      <ns0:c r="AI288" s="12">
        <ns0:f>IF(AND(OR('前提と出典'!$C$36+'前提と出典'!$C$38=0,X288&gt;=0),OR('前提と出典'!$C$37+'前提と出典'!$C$38=0,Y288&gt;=0)),0,A288)</ns0:f>
        <ns0:v>0</ns0:v>
      </ns0:c>
    </ns0:row>
    <ns0:row r="289" ht="24" customHeight="1">
      <ns0:c r="A289" s="4" t="n">
        <ns0:v>285</ns0:v>
      </ns0:c>
      <ns0:c r="B289" s="12">
        <ns0:f>A289*('前提と出典'!$C$36+'前提と出典'!$C$38)</ns0:f>
        <ns0:v>199.5</ns0:v>
      </ns0:c>
      <ns0:c r="C289" s="12">
        <ns0:f>A289*('前提と出典'!$C$37+'前提と出典'!$C$38)</ns0:f>
        <ns0:v>171</ns0:v>
      </ns0:c>
      <ns0:c r="D289" s="16">
        <ns0:f>A289*('前提と出典'!$C$36*'契約別単価'!C5+'前提と出典'!$C$37*'契約別単価'!C6+'前提と出典'!$C$38*'契約別単価'!C7)</ns0:f>
        <ns0:v>2050.72625698324</ns0:v>
      </ns0:c>
      <ns0:c r="E289" s="16">
        <ns0:f>A289*('前提と出典'!$C$36*'契約別単価'!E5+'前提と出典'!$C$37*'契約別単価'!E6+'前提と出典'!$C$38*'契約別単価'!E7)</ns0:f>
        <ns0:v>716453.7831236603</ns0:v>
      </ns0:c>
      <ns0:c r="F289" s="16">
        <ns0:f>A289*('前提と出典'!$C$36*'契約別単価'!F5+'前提と出典'!$C$37*'契約別単価'!F6+'前提と出典'!$C$38*'契約別単価'!F7)</ns0:f>
        <ns0:v>208183.1557607056</ns0:v>
      </ns0:c>
      <ns0:c r="G289" s="16">
        <ns0:f>A289*('前提と出典'!$C$36*'契約別単価'!G5+'前提と出典'!$C$37*'契約別単価'!G6+'前提と出典'!$C$38*'契約別単価'!G7)</ns0:f>
        <ns0:v>567293.2960893854</ns0:v>
      </ns0:c>
      <ns0:c r="H289" s="16">
        <ns0:f>A289*('前提と出典'!$C$36*'契約別単価'!H5+'前提と出典'!$C$37*'契約別単価'!H6+'前提と出典'!$C$38*'契約別単価'!H7)</ns0:f>
        <ns0:v>196879.22573762664</ns0:v>
      </ns0:c>
      <ns0:c r="I289" s="16">
        <ns0:f>A289*('前提と出典'!$C$36*'契約別単価'!I5+'前提と出典'!$C$37*'契約別単価'!I6+'前提と出典'!$C$38*'契約別単価'!I7)</ns0:f>
        <ns0:v>12025.726256983238</ns0:v>
      </ns0:c>
      <ns0:c r="J289" s="16">
        <ns0:f>A289*('前提と出典'!$C$36*'契約別単価'!J5+'前提と出典'!$C$37*'契約別単価'!J6+'前提と出典'!$C$38*'契約別単価'!J7)</ns0:f>
        <ns0:v>28012.51995743623</ns0:v>
      </ns0:c>
      <ns0:c r="K289" s="16">
        <ns0:f>A289*('前提と出典'!$C$36*'契約別単価'!K5+'前提と出典'!$C$37*'契約別単価'!K6+'前提と出典'!$C$38*'契約別単価'!K7)</ns0:f>
        <ns0:v>120071.50837988826</ns0:v>
      </ns0:c>
      <ns0:c r="L289" s="16">
        <ns0:f>A289*('前提と出典'!$C$36*'契約別単価'!L5+'前提と出典'!$C$37*'契約別単価'!L6+'前提と出典'!$C$38*'契約別単価'!L7)</ns0:f>
        <ns0:v>97762.64085792088</ns0:v>
      </ns0:c>
      <ns0:c r="M289" s="16">
        <ns0:f>IF(('前提と出典'!$C$36+'前提と出典'!$C$38)=0,0,IF(B289&lt;=10,'前提と出典'!B73+'前提と出典'!C73,IF(B289&lt;=100,'前提と出典'!B74+'前提と出典'!C74,IF(B289&lt;=500,'前提と出典'!B75+'前提と出典'!C75,'前提と出典'!B76+'前提と出典'!C76))))</ns0:f>
        <ns0:v>40000</ns0:v>
      </ns0:c>
      <ns0:c r="N289" s="16">
        <ns0:f>IF(('前提と出典'!$C$37+'前提と出典'!$C$38)=0,0,IF(C289&lt;=10,'前提と出典'!D73+'前提と出典'!E73,IF(C289&lt;=100,'前提と出典'!D74+'前提と出典'!E74,IF(C289&lt;=500,'前提と出典'!D75+'前提と出典'!E75,'前提と出典'!D76+'前提と出典'!E76))))</ns0:f>
        <ns0:v>56510.9346263078</ns0:v>
      </ns0:c>
      <ns0:c r="O289" s="16">
        <ns0:f>IF('前提と出典'!$C$36+'前提と出典'!$C$38=0,0,'前提と出典'!$B$4*IF('前提と出典'!$B$20=0,MAX('前提と出典'!$B$6,D289*'前提と出典'!$B$5),'前提と出典'!$B$6+D289*'前提と出典'!$B$5))</ns0:f>
        <ns0:v>283000.2234636871</ns0:v>
      </ns0:c>
      <ns0:c r="P289" s="16">
        <ns0:f>(E289+G289)*(1-'前提と出典'!$B$7)-I289-K289-M289-O289</ns0:f>
        <ns0:v>782434.7262608173</ns0:v>
      </ns0:c>
      <ns0:c r="Q289" s="16">
        <ns0:f>(F289+H289)*(1-'前提と出典'!$B$7)-J289-L289-N289</ns0:f>
        <ns0:v>208194.04032272735</ns0:v>
      </ns0:c>
      <ns0:c r="R289" s="16">
        <ns0:f>P289-E289*'前提と出典'!$E$4</ns0:f>
        <ns0:v>567498.5913237192</ns0:v>
      </ns0:c>
      <ns0:c r="S289" s="16">
        <ns0:f>Q289-F289*'前提と出典'!$E$4</ns0:f>
        <ns0:v>145739.0935945157</ns0:v>
      </ns0:c>
      <ns0:c r="T289" s="7">
        <ns0:f>R289+S289</ns0:f>
        <ns0:v>713237.6849182349</ns0:v>
      </ns0:c>
      <ns0:c r="U289" s="16">
        <ns0:f>P289-E289*'前提と出典'!$E$5</ns0:f>
        <ns0:v>495853.21301135316</ns0:v>
      </ns0:c>
      <ns0:c r="V289" s="16">
        <ns0:f>Q289-F289*'前提と出典'!$E$5</ns0:f>
        <ns0:v>124920.77801844513</ns0:v>
      </ns0:c>
      <ns0:c r="W289" s="7">
        <ns0:f>U289+V289</ns0:f>
        <ns0:v>620773.9910297983</ns0:v>
      </ns0:c>
      <ns0:c r="X289" s="16">
        <ns0:f>P289-E289*'前提と出典'!$E$6</ns0:f>
        <ns0:v>424207.8346989871</ns0:v>
      </ns0:c>
      <ns0:c r="Y289" s="16">
        <ns0:f>Q289-F289*'前提と出典'!$E$6</ns0:f>
        <ns0:v>104102.46244237456</ns0:v>
      </ns0:c>
      <ns0:c r="Z289" s="7">
        <ns0:f>X289+Y289</ns0:f>
        <ns0:v>528310.2971413616</ns0:v>
      </ns0:c>
      <ns0:c r="AA289" s="7">
        <ns0:f>IF(T289&gt;=0,A289,1001)</ns0:f>
        <ns0:v>285</ns0:v>
      </ns0:c>
      <ns0:c r="AB289" s="7">
        <ns0:f>IF(T289&lt;0,A289,0)</ns0:f>
        <ns0:v>0</ns0:v>
      </ns0:c>
      <ns0:c r="AC289" s="16">
        <ns0:f>IF(AND(OR('前提と出典'!$C$36+'前提と出典'!$C$38=0,R289&gt;=0),OR('前提と出典'!$C$37+'前提と出典'!$C$38=0,S289&gt;=0)),0,A289)</ns0:f>
        <ns0:v>0</ns0:v>
      </ns0:c>
      <ns0:c r="AD289" s="7">
        <ns0:f>IF(W289&gt;=0,A289,1001)</ns0:f>
        <ns0:v>285</ns0:v>
      </ns0:c>
      <ns0:c r="AE289" s="7">
        <ns0:f>IF(W289&lt;0,A289,0)</ns0:f>
        <ns0:v>0</ns0:v>
      </ns0:c>
      <ns0:c r="AF289" s="16">
        <ns0:f>IF(AND(OR('前提と出典'!$C$36+'前提と出典'!$C$38=0,U289&gt;=0),OR('前提と出典'!$C$37+'前提と出典'!$C$38=0,V289&gt;=0)),0,A289)</ns0:f>
        <ns0:v>0</ns0:v>
      </ns0:c>
      <ns0:c r="AG289" s="7">
        <ns0:f>IF(Z289&gt;=0,A289,1001)</ns0:f>
        <ns0:v>285</ns0:v>
      </ns0:c>
      <ns0:c r="AH289" s="4">
        <ns0:f>IF(Z289&lt;0,A289,0)</ns0:f>
        <ns0:v>0</ns0:v>
      </ns0:c>
      <ns0:c r="AI289" s="12">
        <ns0:f>IF(AND(OR('前提と出典'!$C$36+'前提と出典'!$C$38=0,X289&gt;=0),OR('前提と出典'!$C$37+'前提と出典'!$C$38=0,Y289&gt;=0)),0,A289)</ns0:f>
        <ns0:v>0</ns0:v>
      </ns0:c>
    </ns0:row>
    <ns0:row r="290" ht="24" customHeight="1">
      <ns0:c r="A290" s="4" t="n">
        <ns0:v>286</ns0:v>
      </ns0:c>
      <ns0:c r="B290" s="12">
        <ns0:f>A290*('前提と出典'!$C$36+'前提と出典'!$C$38)</ns0:f>
        <ns0:v>200.2</ns0:v>
      </ns0:c>
      <ns0:c r="C290" s="12">
        <ns0:f>A290*('前提と出典'!$C$37+'前提と出典'!$C$38)</ns0:f>
        <ns0:v>171.6</ns0:v>
      </ns0:c>
      <ns0:c r="D290" s="16">
        <ns0:f>A290*('前提と出典'!$C$36*'契約別単価'!C5+'前提と出典'!$C$37*'契約別単価'!C6+'前提と出典'!$C$38*'契約別単価'!C7)</ns0:f>
        <ns0:v>2057.921787709497</ns0:v>
      </ns0:c>
      <ns0:c r="E290" s="16">
        <ns0:f>A290*('前提と出典'!$C$36*'契約別単価'!E5+'前提と出典'!$C$37*'契約別単価'!E6+'前提と出典'!$C$38*'契約別単価'!E7)</ns0:f>
        <ns0:v>718967.6560469011</ns0:v>
      </ns0:c>
      <ns0:c r="F290" s="16">
        <ns0:f>A290*('前提と出典'!$C$36*'契約別単価'!F5+'前提と出典'!$C$37*'契約別単価'!F6+'前提と出典'!$C$38*'契約別単価'!F7)</ns0:f>
        <ns0:v>208913.62297390105</ns0:v>
      </ns0:c>
      <ns0:c r="G290" s="16">
        <ns0:f>A290*('前提と出典'!$C$36*'契約別単価'!G5+'前提と出典'!$C$37*'契約別単価'!G6+'前提と出典'!$C$38*'契約別単価'!G7)</ns0:f>
        <ns0:v>569283.7988826815</ns0:v>
      </ns0:c>
      <ns0:c r="H290" s="16">
        <ns0:f>A290*('前提と出典'!$C$36*'契約別単価'!H5+'前提と出典'!$C$37*'契約別単価'!H6+'前提と出典'!$C$38*'契約別単価'!H7)</ns0:f>
        <ns0:v>197570.03003846042</ns0:v>
      </ns0:c>
      <ns0:c r="I290" s="16">
        <ns0:f>A290*('前提と出典'!$C$36*'契約別単価'!I5+'前提と出典'!$C$37*'契約別単価'!I6+'前提と出典'!$C$38*'契約別単価'!I7)</ns0:f>
        <ns0:v>12067.921787709494</ns0:v>
      </ns0:c>
      <ns0:c r="J290" s="16">
        <ns0:f>A290*('前提と出典'!$C$36*'契約別単価'!J5+'前提と出典'!$C$37*'契約別単価'!J6+'前提と出典'!$C$38*'契約別単価'!J7)</ns0:f>
        <ns0:v>28110.809501146534</ns0:v>
      </ns0:c>
      <ns0:c r="K290" s="16">
        <ns0:f>A290*('前提と出典'!$C$36*'契約別単価'!K5+'前提と出典'!$C$37*'契約別単価'!K6+'前提と出典'!$C$38*'契約別単価'!K7)</ns0:f>
        <ns0:v>120492.81191806331</ns0:v>
      </ns0:c>
      <ns0:c r="L290" s="16">
        <ns0:f>A290*('前提と出典'!$C$36*'契約別単価'!L5+'前提と出典'!$C$37*'契約別単価'!L6+'前提と出典'!$C$38*'契約別単価'!L7)</ns0:f>
        <ns0:v>98105.66766794868</ns0:v>
      </ns0:c>
      <ns0:c r="M290" s="16">
        <ns0:f>IF(('前提と出典'!$C$36+'前提と出典'!$C$38)=0,0,IF(B290&lt;=10,'前提と出典'!B73+'前提と出典'!C73,IF(B290&lt;=100,'前提と出典'!B74+'前提と出典'!C74,IF(B290&lt;=500,'前提と出典'!B75+'前提と出典'!C75,'前提と出典'!B76+'前提と出典'!C76))))</ns0:f>
        <ns0:v>40000</ns0:v>
      </ns0:c>
      <ns0:c r="N290" s="16">
        <ns0:f>IF(('前提と出典'!$C$37+'前提と出典'!$C$38)=0,0,IF(C290&lt;=10,'前提と出典'!D73+'前提と出典'!E73,IF(C290&lt;=100,'前提と出典'!D74+'前提と出典'!E74,IF(C290&lt;=500,'前提と出典'!D75+'前提と出典'!E75,'前提と出典'!D76+'前提と出典'!E76))))</ns0:f>
        <ns0:v>56510.9346263078</ns0:v>
      </ns0:c>
      <ns0:c r="O290" s="16">
        <ns0:f>IF('前提と出典'!$C$36+'前提と出典'!$C$38=0,0,'前提と出典'!$B$4*IF('前提と出典'!$B$20=0,MAX('前提と出典'!$B$6,D290*'前提と出典'!$B$5),'前提と出典'!$B$6+D290*'前提と出典'!$B$5))</ns0:f>
        <ns0:v>283993.2067039106</ns0:v>
      </ns0:c>
      <ns0:c r="P290" s="16">
        <ns0:f>(E290+G290)*(1-'前提と出典'!$B$7)-I290-K290-M290-O290</ns0:f>
        <ns0:v>785320.4621424344</ns0:v>
      </ns0:c>
      <ns0:c r="Q290" s="16">
        <ns0:f>(F290+H290)*(1-'前提と出典'!$B$7)-J290-L290-N290</ns0:f>
        <ns0:v>209122.82970851345</ns0:v>
      </ns0:c>
      <ns0:c r="R290" s="16">
        <ns0:f>P290-E290*'前提と出典'!$E$4</ns0:f>
        <ns0:v>569630.1653283641</ns0:v>
      </ns0:c>
      <ns0:c r="S290" s="16">
        <ns0:f>Q290-F290*'前提と出典'!$E$4</ns0:f>
        <ns0:v>146448.74281634315</ns0:v>
      </ns0:c>
      <ns0:c r="T290" s="7">
        <ns0:f>R290+S290</ns0:f>
        <ns0:v>716078.9081447073</ns0:v>
      </ns0:c>
      <ns0:c r="U290" s="16">
        <ns0:f>P290-E290*'前提と出典'!$E$5</ns0:f>
        <ns0:v>497733.39972367394</ns0:v>
      </ns0:c>
      <ns0:c r="V290" s="16">
        <ns0:f>Q290-F290*'前提と出典'!$E$5</ns0:f>
        <ns0:v>125557.38051895302</ns0:v>
      </ns0:c>
      <ns0:c r="W290" s="7">
        <ns0:f>U290+V290</ns0:f>
        <ns0:v>623290.780242627</ns0:v>
      </ns0:c>
      <ns0:c r="X290" s="16">
        <ns0:f>P290-E290*'前提と出典'!$E$6</ns0:f>
        <ns0:v>425836.6341189839</ns0:v>
      </ns0:c>
      <ns0:c r="Y290" s="16">
        <ns0:f>Q290-F290*'前提と出典'!$E$6</ns0:f>
        <ns0:v>104666.01822156296</ns0:v>
      </ns0:c>
      <ns0:c r="Z290" s="7">
        <ns0:f>X290+Y290</ns0:f>
        <ns0:v>530502.6523405468</ns0:v>
      </ns0:c>
      <ns0:c r="AA290" s="7">
        <ns0:f>IF(T290&gt;=0,A290,1001)</ns0:f>
        <ns0:v>286</ns0:v>
      </ns0:c>
      <ns0:c r="AB290" s="7">
        <ns0:f>IF(T290&lt;0,A290,0)</ns0:f>
        <ns0:v>0</ns0:v>
      </ns0:c>
      <ns0:c r="AC290" s="16">
        <ns0:f>IF(AND(OR('前提と出典'!$C$36+'前提と出典'!$C$38=0,R290&gt;=0),OR('前提と出典'!$C$37+'前提と出典'!$C$38=0,S290&gt;=0)),0,A290)</ns0:f>
        <ns0:v>0</ns0:v>
      </ns0:c>
      <ns0:c r="AD290" s="7">
        <ns0:f>IF(W290&gt;=0,A290,1001)</ns0:f>
        <ns0:v>286</ns0:v>
      </ns0:c>
      <ns0:c r="AE290" s="7">
        <ns0:f>IF(W290&lt;0,A290,0)</ns0:f>
        <ns0:v>0</ns0:v>
      </ns0:c>
      <ns0:c r="AF290" s="16">
        <ns0:f>IF(AND(OR('前提と出典'!$C$36+'前提と出典'!$C$38=0,U290&gt;=0),OR('前提と出典'!$C$37+'前提と出典'!$C$38=0,V290&gt;=0)),0,A290)</ns0:f>
        <ns0:v>0</ns0:v>
      </ns0:c>
      <ns0:c r="AG290" s="7">
        <ns0:f>IF(Z290&gt;=0,A290,1001)</ns0:f>
        <ns0:v>286</ns0:v>
      </ns0:c>
      <ns0:c r="AH290" s="4">
        <ns0:f>IF(Z290&lt;0,A290,0)</ns0:f>
        <ns0:v>0</ns0:v>
      </ns0:c>
      <ns0:c r="AI290" s="12">
        <ns0:f>IF(AND(OR('前提と出典'!$C$36+'前提と出典'!$C$38=0,X290&gt;=0),OR('前提と出典'!$C$37+'前提と出典'!$C$38=0,Y290&gt;=0)),0,A290)</ns0:f>
        <ns0:v>0</ns0:v>
      </ns0:c>
    </ns0:row>
    <ns0:row r="291" ht="24" customHeight="1">
      <ns0:c r="A291" s="4" t="n">
        <ns0:v>287</ns0:v>
      </ns0:c>
      <ns0:c r="B291" s="12">
        <ns0:f>A291*('前提と出典'!$C$36+'前提と出典'!$C$38)</ns0:f>
        <ns0:v>200.89999999999998</ns0:v>
      </ns0:c>
      <ns0:c r="C291" s="12">
        <ns0:f>A291*('前提と出典'!$C$37+'前提と出典'!$C$38)</ns0:f>
        <ns0:v>172.2</ns0:v>
      </ns0:c>
      <ns0:c r="D291" s="16">
        <ns0:f>A291*('前提と出典'!$C$36*'契約別単価'!C5+'前提と出典'!$C$37*'契約別単価'!C6+'前提と出典'!$C$38*'契約別単価'!C7)</ns0:f>
        <ns0:v>2065.117318435754</ns0:v>
      </ns0:c>
      <ns0:c r="E291" s="16">
        <ns0:f>A291*('前提と出典'!$C$36*'契約別単価'!E5+'前提と出典'!$C$37*'契約別単価'!E6+'前提と出典'!$C$38*'契約別単価'!E7)</ns0:f>
        <ns0:v>721481.5289701421</ns0:v>
      </ns0:c>
      <ns0:c r="F291" s="16">
        <ns0:f>A291*('前提と出典'!$C$36*'契約別単価'!F5+'前提と出典'!$C$37*'契約別単価'!F6+'前提と出典'!$C$38*'契約別単価'!F7)</ns0:f>
        <ns0:v>209644.0901870965</ns0:v>
      </ns0:c>
      <ns0:c r="G291" s="16">
        <ns0:f>A291*('前提と出典'!$C$36*'契約別単価'!G5+'前提と出典'!$C$37*'契約別単価'!G6+'前提と出典'!$C$38*'契約別単価'!G7)</ns0:f>
        <ns0:v>571274.3016759777</ns0:v>
      </ns0:c>
      <ns0:c r="H291" s="16">
        <ns0:f>A291*('前提と出典'!$C$36*'契約別単価'!H5+'前提と出典'!$C$37*'契約別単価'!H6+'前提と出典'!$C$38*'契約別単価'!H7)</ns0:f>
        <ns0:v>198260.8343392942</ns0:v>
      </ns0:c>
      <ns0:c r="I291" s="16">
        <ns0:f>A291*('前提と出典'!$C$36*'契約別単価'!I5+'前提と出典'!$C$37*'契約別単価'!I6+'前提と出典'!$C$38*'契約別単価'!I7)</ns0:f>
        <ns0:v>12110.117318435752</ns0:v>
      </ns0:c>
      <ns0:c r="J291" s="16">
        <ns0:f>A291*('前提と出典'!$C$36*'契約別単価'!J5+'前提と出典'!$C$37*'契約別単価'!J6+'前提と出典'!$C$38*'契約別単価'!J7)</ns0:f>
        <ns0:v>28209.099044856837</ns0:v>
      </ns0:c>
      <ns0:c r="K291" s="16">
        <ns0:f>A291*('前提と出典'!$C$36*'契約別単価'!K5+'前提と出典'!$C$37*'契約別単価'!K6+'前提と出典'!$C$38*'契約別単価'!K7)</ns0:f>
        <ns0:v>120914.11545623836</ns0:v>
      </ns0:c>
      <ns0:c r="L291" s="16">
        <ns0:f>A291*('前提と出典'!$C$36*'契約別単価'!L5+'前提と出典'!$C$37*'契約別単価'!L6+'前提と出典'!$C$38*'契約別単価'!L7)</ns0:f>
        <ns0:v>98448.69447797647</ns0:v>
      </ns0:c>
      <ns0:c r="M291" s="16">
        <ns0:f>IF(('前提と出典'!$C$36+'前提と出典'!$C$38)=0,0,IF(B291&lt;=10,'前提と出典'!B73+'前提と出典'!C73,IF(B291&lt;=100,'前提と出典'!B74+'前提と出典'!C74,IF(B291&lt;=500,'前提と出典'!B75+'前提と出典'!C75,'前提と出典'!B76+'前提と出典'!C76))))</ns0:f>
        <ns0:v>40000</ns0:v>
      </ns0:c>
      <ns0:c r="N291" s="16">
        <ns0:f>IF(('前提と出典'!$C$37+'前提と出典'!$C$38)=0,0,IF(C291&lt;=10,'前提と出典'!D73+'前提と出典'!E73,IF(C291&lt;=100,'前提と出典'!D74+'前提と出典'!E74,IF(C291&lt;=500,'前提と出典'!D75+'前提と出典'!E75,'前提と出典'!D76+'前提と出典'!E76))))</ns0:f>
        <ns0:v>56510.9346263078</ns0:v>
      </ns0:c>
      <ns0:c r="O291" s="16">
        <ns0:f>IF('前提と出典'!$C$36+'前提と出典'!$C$38=0,0,'前提と出典'!$B$4*IF('前提と出典'!$B$20=0,MAX('前提と出典'!$B$6,D291*'前提と出典'!$B$5),'前提と出典'!$B$6+D291*'前提と出典'!$B$5))</ns0:f>
        <ns0:v>284986.18994413404</ns0:v>
      </ns0:c>
      <ns0:c r="P291" s="16">
        <ns0:f>(E291+G291)*(1-'前提と出典'!$B$7)-I291-K291-M291-O291</ns0:f>
        <ns0:v>788206.1980240511</ns0:v>
      </ns0:c>
      <ns0:c r="Q291" s="16">
        <ns0:f>(F291+H291)*(1-'前提と出典'!$B$7)-J291-L291-N291</ns0:f>
        <ns0:v>210051.6190942996</ns0:v>
      </ns0:c>
      <ns0:c r="R291" s="16">
        <ns0:f>P291-E291*'前提と出典'!$E$4</ns0:f>
        <ns0:v>571761.7393330086</ns0:v>
      </ns0:c>
      <ns0:c r="S291" s="16">
        <ns0:f>Q291-F291*'前提と出典'!$E$4</ns0:f>
        <ns0:v>147158.3920381706</ns0:v>
      </ns0:c>
      <ns0:c r="T291" s="7">
        <ns0:f>R291+S291</ns0:f>
        <ns0:v>718920.1313711792</ns0:v>
      </ns0:c>
      <ns0:c r="U291" s="16">
        <ns0:f>P291-E291*'前提と出典'!$E$5</ns0:f>
        <ns0:v>499613.5864359943</ns0:v>
      </ns0:c>
      <ns0:c r="V291" s="16">
        <ns0:f>Q291-F291*'前提と出典'!$E$5</ns0:f>
        <ns0:v>126193.98301946098</ns0:v>
      </ns0:c>
      <ns0:c r="W291" s="7">
        <ns0:f>U291+V291</ns0:f>
        <ns0:v>625807.5694554553</ns0:v>
      </ns0:c>
      <ns0:c r="X291" s="16">
        <ns0:f>P291-E291*'前提と出典'!$E$6</ns0:f>
        <ns0:v>427465.43353898014</ns0:v>
      </ns0:c>
      <ns0:c r="Y291" s="16">
        <ns0:f>Q291-F291*'前提と出典'!$E$6</ns0:f>
        <ns0:v>105229.57400075131</ns0:v>
      </ns0:c>
      <ns0:c r="Z291" s="7">
        <ns0:f>X291+Y291</ns0:f>
        <ns0:v>532695.0075397315</ns0:v>
      </ns0:c>
      <ns0:c r="AA291" s="7">
        <ns0:f>IF(T291&gt;=0,A291,1001)</ns0:f>
        <ns0:v>287</ns0:v>
      </ns0:c>
      <ns0:c r="AB291" s="7">
        <ns0:f>IF(T291&lt;0,A291,0)</ns0:f>
        <ns0:v>0</ns0:v>
      </ns0:c>
      <ns0:c r="AC291" s="16">
        <ns0:f>IF(AND(OR('前提と出典'!$C$36+'前提と出典'!$C$38=0,R291&gt;=0),OR('前提と出典'!$C$37+'前提と出典'!$C$38=0,S291&gt;=0)),0,A291)</ns0:f>
        <ns0:v>0</ns0:v>
      </ns0:c>
      <ns0:c r="AD291" s="7">
        <ns0:f>IF(W291&gt;=0,A291,1001)</ns0:f>
        <ns0:v>287</ns0:v>
      </ns0:c>
      <ns0:c r="AE291" s="7">
        <ns0:f>IF(W291&lt;0,A291,0)</ns0:f>
        <ns0:v>0</ns0:v>
      </ns0:c>
      <ns0:c r="AF291" s="16">
        <ns0:f>IF(AND(OR('前提と出典'!$C$36+'前提と出典'!$C$38=0,U291&gt;=0),OR('前提と出典'!$C$37+'前提と出典'!$C$38=0,V291&gt;=0)),0,A291)</ns0:f>
        <ns0:v>0</ns0:v>
      </ns0:c>
      <ns0:c r="AG291" s="7">
        <ns0:f>IF(Z291&gt;=0,A291,1001)</ns0:f>
        <ns0:v>287</ns0:v>
      </ns0:c>
      <ns0:c r="AH291" s="4">
        <ns0:f>IF(Z291&lt;0,A291,0)</ns0:f>
        <ns0:v>0</ns0:v>
      </ns0:c>
      <ns0:c r="AI291" s="12">
        <ns0:f>IF(AND(OR('前提と出典'!$C$36+'前提と出典'!$C$38=0,X291&gt;=0),OR('前提と出典'!$C$37+'前提と出典'!$C$38=0,Y291&gt;=0)),0,A291)</ns0:f>
        <ns0:v>0</ns0:v>
      </ns0:c>
    </ns0:row>
    <ns0:row r="292" ht="24" customHeight="1">
      <ns0:c r="A292" s="4" t="n">
        <ns0:v>288</ns0:v>
      </ns0:c>
      <ns0:c r="B292" s="12">
        <ns0:f>A292*('前提と出典'!$C$36+'前提と出典'!$C$38)</ns0:f>
        <ns0:v>201.6</ns0:v>
      </ns0:c>
      <ns0:c r="C292" s="12">
        <ns0:f>A292*('前提と出典'!$C$37+'前提と出典'!$C$38)</ns0:f>
        <ns0:v>172.79999999999998</ns0:v>
      </ns0:c>
      <ns0:c r="D292" s="16">
        <ns0:f>A292*('前提と出典'!$C$36*'契約別単価'!C5+'前提と出典'!$C$37*'契約別単価'!C6+'前提と出典'!$C$38*'契約別単価'!C7)</ns0:f>
        <ns0:v>2072.312849162011</ns0:v>
      </ns0:c>
      <ns0:c r="E292" s="16">
        <ns0:f>A292*('前提と出典'!$C$36*'契約別単価'!E5+'前提と出典'!$C$37*'契約別単価'!E6+'前提と出典'!$C$38*'契約別単価'!E7)</ns0:f>
        <ns0:v>723995.401893383</ns0:v>
      </ns0:c>
      <ns0:c r="F292" s="16">
        <ns0:f>A292*('前提と出典'!$C$36*'契約別単価'!F5+'前提と出典'!$C$37*'契約別単価'!F6+'前提と出典'!$C$38*'契約別単価'!F7)</ns0:f>
        <ns0:v>210374.55740029196</ns0:v>
      </ns0:c>
      <ns0:c r="G292" s="16">
        <ns0:f>A292*('前提と出典'!$C$36*'契約別単価'!G5+'前提と出典'!$C$37*'契約別単価'!G6+'前提と出典'!$C$38*'契約別単価'!G7)</ns0:f>
        <ns0:v>573264.8044692737</ns0:v>
      </ns0:c>
      <ns0:c r="H292" s="16">
        <ns0:f>A292*('前提と出典'!$C$36*'契約別単価'!H5+'前提と出典'!$C$37*'契約別単価'!H6+'前提と出典'!$C$38*'契約別単価'!H7)</ns0:f>
        <ns0:v>198951.63864012796</ns0:v>
      </ns0:c>
      <ns0:c r="I292" s="16">
        <ns0:f>A292*('前提と出典'!$C$36*'契約別単価'!I5+'前提と出典'!$C$37*'契約別単価'!I6+'前提と出典'!$C$38*'契約別単価'!I7)</ns0:f>
        <ns0:v>12152.312849162008</ns0:v>
      </ns0:c>
      <ns0:c r="J292" s="16">
        <ns0:f>A292*('前提と出典'!$C$36*'契約別単価'!J5+'前提と出典'!$C$37*'契約別単価'!J6+'前提と出典'!$C$38*'契約別単価'!J7)</ns0:f>
        <ns0:v>28307.38858856714</ns0:v>
      </ns0:c>
      <ns0:c r="K292" s="16">
        <ns0:f>A292*('前提と出典'!$C$36*'契約別単価'!K5+'前提と出典'!$C$37*'契約別単価'!K6+'前提と出典'!$C$38*'契約別単価'!K7)</ns0:f>
        <ns0:v>121335.4189944134</ns0:v>
      </ns0:c>
      <ns0:c r="L292" s="16">
        <ns0:f>A292*('前提と出典'!$C$36*'契約別単価'!L5+'前提と出典'!$C$37*'契約別単価'!L6+'前提と出典'!$C$38*'契約別単価'!L7)</ns0:f>
        <ns0:v>98791.72128800426</ns0:v>
      </ns0:c>
      <ns0:c r="M292" s="16">
        <ns0:f>IF(('前提と出典'!$C$36+'前提と出典'!$C$38)=0,0,IF(B292&lt;=10,'前提と出典'!B73+'前提と出典'!C73,IF(B292&lt;=100,'前提と出典'!B74+'前提と出典'!C74,IF(B292&lt;=500,'前提と出典'!B75+'前提と出典'!C75,'前提と出典'!B76+'前提と出典'!C76))))</ns0:f>
        <ns0:v>40000</ns0:v>
      </ns0:c>
      <ns0:c r="N292" s="16">
        <ns0:f>IF(('前提と出典'!$C$37+'前提と出典'!$C$38)=0,0,IF(C292&lt;=10,'前提と出典'!D73+'前提と出典'!E73,IF(C292&lt;=100,'前提と出典'!D74+'前提と出典'!E74,IF(C292&lt;=500,'前提と出典'!D75+'前提と出典'!E75,'前提と出典'!D76+'前提と出典'!E76))))</ns0:f>
        <ns0:v>56510.9346263078</ns0:v>
      </ns0:c>
      <ns0:c r="O292" s="16">
        <ns0:f>IF('前提と出典'!$C$36+'前提と出典'!$C$38=0,0,'前提と出典'!$B$4*IF('前提と出典'!$B$20=0,MAX('前提と出典'!$B$6,D292*'前提と出典'!$B$5),'前提と出典'!$B$6+D292*'前提と出典'!$B$5))</ns0:f>
        <ns0:v>285979.1731843575</ns0:v>
      </ns0:c>
      <ns0:c r="P292" s="16">
        <ns0:f>(E292+G292)*(1-'前提と出典'!$B$7)-I292-K292-M292-O292</ns0:f>
        <ns0:v>791091.9339056681</ns0:v>
      </ns0:c>
      <ns0:c r="Q292" s="16">
        <ns0:f>(F292+H292)*(1-'前提と出典'!$B$7)-J292-L292-N292</ns0:f>
        <ns0:v>210980.4084800856</ns0:v>
      </ns0:c>
      <ns0:c r="R292" s="16">
        <ns0:f>P292-E292*'前提と出典'!$E$4</ns0:f>
        <ns0:v>573893.3133376532</ns0:v>
      </ns0:c>
      <ns0:c r="S292" s="16">
        <ns0:f>Q292-F292*'前提と出典'!$E$4</ns0:f>
        <ns0:v>147868.041259998</ns0:v>
      </ns0:c>
      <ns0:c r="T292" s="7">
        <ns0:f>R292+S292</ns0:f>
        <ns0:v>721761.3545976512</ns0:v>
      </ns0:c>
      <ns0:c r="U292" s="16">
        <ns0:f>P292-E292*'前提と出典'!$E$5</ns0:f>
        <ns0:v>501493.77314831485</ns0:v>
      </ns0:c>
      <ns0:c r="V292" s="16">
        <ns0:f>Q292-F292*'前提と出典'!$E$5</ns0:f>
        <ns0:v>126830.58551996882</ns0:v>
      </ns0:c>
      <ns0:c r="W292" s="7">
        <ns0:f>U292+V292</ns0:f>
        <ns0:v>628324.3586682837</ns0:v>
      </ns0:c>
      <ns0:c r="X292" s="16">
        <ns0:f>P292-E292*'前提と出典'!$E$6</ns0:f>
        <ns0:v>429094.2329589767</ns0:v>
      </ns0:c>
      <ns0:c r="Y292" s="16">
        <ns0:f>Q292-F292*'前提と出典'!$E$6</ns0:f>
        <ns0:v>105793.12977993966</ns0:v>
      </ns0:c>
      <ns0:c r="Z292" s="7">
        <ns0:f>X292+Y292</ns0:f>
        <ns0:v>534887.3627389164</ns0:v>
      </ns0:c>
      <ns0:c r="AA292" s="7">
        <ns0:f>IF(T292&gt;=0,A292,1001)</ns0:f>
        <ns0:v>288</ns0:v>
      </ns0:c>
      <ns0:c r="AB292" s="7">
        <ns0:f>IF(T292&lt;0,A292,0)</ns0:f>
        <ns0:v>0</ns0:v>
      </ns0:c>
      <ns0:c r="AC292" s="16">
        <ns0:f>IF(AND(OR('前提と出典'!$C$36+'前提と出典'!$C$38=0,R292&gt;=0),OR('前提と出典'!$C$37+'前提と出典'!$C$38=0,S292&gt;=0)),0,A292)</ns0:f>
        <ns0:v>0</ns0:v>
      </ns0:c>
      <ns0:c r="AD292" s="7">
        <ns0:f>IF(W292&gt;=0,A292,1001)</ns0:f>
        <ns0:v>288</ns0:v>
      </ns0:c>
      <ns0:c r="AE292" s="7">
        <ns0:f>IF(W292&lt;0,A292,0)</ns0:f>
        <ns0:v>0</ns0:v>
      </ns0:c>
      <ns0:c r="AF292" s="16">
        <ns0:f>IF(AND(OR('前提と出典'!$C$36+'前提と出典'!$C$38=0,U292&gt;=0),OR('前提と出典'!$C$37+'前提と出典'!$C$38=0,V292&gt;=0)),0,A292)</ns0:f>
        <ns0:v>0</ns0:v>
      </ns0:c>
      <ns0:c r="AG292" s="7">
        <ns0:f>IF(Z292&gt;=0,A292,1001)</ns0:f>
        <ns0:v>288</ns0:v>
      </ns0:c>
      <ns0:c r="AH292" s="4">
        <ns0:f>IF(Z292&lt;0,A292,0)</ns0:f>
        <ns0:v>0</ns0:v>
      </ns0:c>
      <ns0:c r="AI292" s="12">
        <ns0:f>IF(AND(OR('前提と出典'!$C$36+'前提と出典'!$C$38=0,X292&gt;=0),OR('前提と出典'!$C$37+'前提と出典'!$C$38=0,Y292&gt;=0)),0,A292)</ns0:f>
        <ns0:v>0</ns0:v>
      </ns0:c>
    </ns0:row>
    <ns0:row r="293" ht="24" customHeight="1">
      <ns0:c r="A293" s="4" t="n">
        <ns0:v>289</ns0:v>
      </ns0:c>
      <ns0:c r="B293" s="12">
        <ns0:f>A293*('前提と出典'!$C$36+'前提と出典'!$C$38)</ns0:f>
        <ns0:v>202.29999999999998</ns0:v>
      </ns0:c>
      <ns0:c r="C293" s="12">
        <ns0:f>A293*('前提と出典'!$C$37+'前提と出典'!$C$38)</ns0:f>
        <ns0:v>173.4</ns0:v>
      </ns0:c>
      <ns0:c r="D293" s="16">
        <ns0:f>A293*('前提と出典'!$C$36*'契約別単価'!C5+'前提と出典'!$C$37*'契約別単価'!C6+'前提と出典'!$C$38*'契約別単価'!C7)</ns0:f>
        <ns0:v>2079.5083798882683</ns0:v>
      </ns0:c>
      <ns0:c r="E293" s="16">
        <ns0:f>A293*('前提と出典'!$C$36*'契約別単価'!E5+'前提と出典'!$C$37*'契約別単価'!E6+'前提と出典'!$C$38*'契約別単価'!E7)</ns0:f>
        <ns0:v>726509.2748166239</ns0:v>
      </ns0:c>
      <ns0:c r="F293" s="16">
        <ns0:f>A293*('前提と出典'!$C$36*'契約別単価'!F5+'前提と出典'!$C$37*'契約別単価'!F6+'前提と出典'!$C$38*'契約別単価'!F7)</ns0:f>
        <ns0:v>211105.02461348742</ns0:v>
      </ns0:c>
      <ns0:c r="G293" s="16">
        <ns0:f>A293*('前提と出典'!$C$36*'契約別単価'!G5+'前提と出典'!$C$37*'契約別単価'!G6+'前提と出典'!$C$38*'契約別単価'!G7)</ns0:f>
        <ns0:v>575255.3072625698</ns0:v>
      </ns0:c>
      <ns0:c r="H293" s="16">
        <ns0:f>A293*('前提と出典'!$C$36*'契約別単価'!H5+'前提と出典'!$C$37*'契約別単価'!H6+'前提と出典'!$C$38*'契約別単価'!H7)</ns0:f>
        <ns0:v>199642.44294096174</ns0:v>
      </ns0:c>
      <ns0:c r="I293" s="16">
        <ns0:f>A293*('前提と出典'!$C$36*'契約別単価'!I5+'前提と出典'!$C$37*'契約別単価'!I6+'前提と出典'!$C$38*'契約別単価'!I7)</ns0:f>
        <ns0:v>12194.508379888266</ns0:v>
      </ns0:c>
      <ns0:c r="J293" s="16">
        <ns0:f>A293*('前提と出典'!$C$36*'契約別単価'!J5+'前提と出典'!$C$37*'契約別単価'!J6+'前提と出典'!$C$38*'契約別単価'!J7)</ns0:f>
        <ns0:v>28405.67813227744</ns0:v>
      </ns0:c>
      <ns0:c r="K293" s="16">
        <ns0:f>A293*('前提と出典'!$C$36*'契約別単価'!K5+'前提と出典'!$C$37*'契約別単価'!K6+'前提と出典'!$C$38*'契約別単価'!K7)</ns0:f>
        <ns0:v>121756.72253258845</ns0:v>
      </ns0:c>
      <ns0:c r="L293" s="16">
        <ns0:f>A293*('前提と出典'!$C$36*'契約別単価'!L5+'前提と出典'!$C$37*'契約別単価'!L6+'前提と出典'!$C$38*'契約別単価'!L7)</ns0:f>
        <ns0:v>99134.74809803205</ns0:v>
      </ns0:c>
      <ns0:c r="M293" s="16">
        <ns0:f>IF(('前提と出典'!$C$36+'前提と出典'!$C$38)=0,0,IF(B293&lt;=10,'前提と出典'!B73+'前提と出典'!C73,IF(B293&lt;=100,'前提と出典'!B74+'前提と出典'!C74,IF(B293&lt;=500,'前提と出典'!B75+'前提と出典'!C75,'前提と出典'!B76+'前提と出典'!C76))))</ns0:f>
        <ns0:v>40000</ns0:v>
      </ns0:c>
      <ns0:c r="N293" s="16">
        <ns0:f>IF(('前提と出典'!$C$37+'前提と出典'!$C$38)=0,0,IF(C293&lt;=10,'前提と出典'!D73+'前提と出典'!E73,IF(C293&lt;=100,'前提と出典'!D74+'前提と出典'!E74,IF(C293&lt;=500,'前提と出典'!D75+'前提と出典'!E75,'前提と出典'!D76+'前提と出典'!E76))))</ns0:f>
        <ns0:v>56510.9346263078</ns0:v>
      </ns0:c>
      <ns0:c r="O293" s="16">
        <ns0:f>IF('前提と出典'!$C$36+'前提と出典'!$C$38=0,0,'前提と出典'!$B$4*IF('前提と出典'!$B$20=0,MAX('前提と出典'!$B$6,D293*'前提と出典'!$B$5),'前提と出典'!$B$6+D293*'前提と出典'!$B$5))</ns0:f>
        <ns0:v>286972.1564245811</ns0:v>
      </ns0:c>
      <ns0:c r="P293" s="16">
        <ns0:f>(E293+G293)*(1-'前提と出典'!$B$7)-I293-K293-M293-O293</ns0:f>
        <ns0:v>793977.6697872848</ns0:v>
      </ns0:c>
      <ns0:c r="Q293" s="16">
        <ns0:f>(F293+H293)*(1-'前提と出典'!$B$7)-J293-L293-N293</ns0:f>
        <ns0:v>211909.19786587165</ns0:v>
      </ns0:c>
      <ns0:c r="R293" s="16">
        <ns0:f>P293-E293*'前提と出典'!$E$4</ns0:f>
        <ns0:v>576024.8873422976</ns0:v>
      </ns0:c>
      <ns0:c r="S293" s="16">
        <ns0:f>Q293-F293*'前提と出典'!$E$4</ns0:f>
        <ns0:v>148577.69048182547</ns0:v>
      </ns0:c>
      <ns0:c r="T293" s="7">
        <ns0:f>R293+S293</ns0:f>
        <ns0:v>724602.5778241231</ns0:v>
      </ns0:c>
      <ns0:c r="U293" s="16">
        <ns0:f>P293-E293*'前提と出典'!$E$5</ns0:f>
        <ns0:v>503373.9598606352</ns0:v>
      </ns0:c>
      <ns0:c r="V293" s="16">
        <ns0:f>Q293-F293*'前提と出典'!$E$5</ns0:f>
        <ns0:v>127467.1880204767</ns0:v>
      </ns0:c>
      <ns0:c r="W293" s="7">
        <ns0:f>U293+V293</ns0:f>
        <ns0:v>630841.147881112</ns0:v>
      </ns0:c>
      <ns0:c r="X293" s="16">
        <ns0:f>P293-E293*'前提と出典'!$E$6</ns0:f>
        <ns0:v>430723.03237897286</ns0:v>
      </ns0:c>
      <ns0:c r="Y293" s="16">
        <ns0:f>Q293-F293*'前提と出典'!$E$6</ns0:f>
        <ns0:v>106356.68555912797</ns0:v>
      </ns0:c>
      <ns0:c r="Z293" s="7">
        <ns0:f>X293+Y293</ns0:f>
        <ns0:v>537079.7179381008</ns0:v>
      </ns0:c>
      <ns0:c r="AA293" s="7">
        <ns0:f>IF(T293&gt;=0,A293,1001)</ns0:f>
        <ns0:v>289</ns0:v>
      </ns0:c>
      <ns0:c r="AB293" s="7">
        <ns0:f>IF(T293&lt;0,A293,0)</ns0:f>
        <ns0:v>0</ns0:v>
      </ns0:c>
      <ns0:c r="AC293" s="16">
        <ns0:f>IF(AND(OR('前提と出典'!$C$36+'前提と出典'!$C$38=0,R293&gt;=0),OR('前提と出典'!$C$37+'前提と出典'!$C$38=0,S293&gt;=0)),0,A293)</ns0:f>
        <ns0:v>0</ns0:v>
      </ns0:c>
      <ns0:c r="AD293" s="7">
        <ns0:f>IF(W293&gt;=0,A293,1001)</ns0:f>
        <ns0:v>289</ns0:v>
      </ns0:c>
      <ns0:c r="AE293" s="7">
        <ns0:f>IF(W293&lt;0,A293,0)</ns0:f>
        <ns0:v>0</ns0:v>
      </ns0:c>
      <ns0:c r="AF293" s="16">
        <ns0:f>IF(AND(OR('前提と出典'!$C$36+'前提と出典'!$C$38=0,U293&gt;=0),OR('前提と出典'!$C$37+'前提と出典'!$C$38=0,V293&gt;=0)),0,A293)</ns0:f>
        <ns0:v>0</ns0:v>
      </ns0:c>
      <ns0:c r="AG293" s="7">
        <ns0:f>IF(Z293&gt;=0,A293,1001)</ns0:f>
        <ns0:v>289</ns0:v>
      </ns0:c>
      <ns0:c r="AH293" s="4">
        <ns0:f>IF(Z293&lt;0,A293,0)</ns0:f>
        <ns0:v>0</ns0:v>
      </ns0:c>
      <ns0:c r="AI293" s="12">
        <ns0:f>IF(AND(OR('前提と出典'!$C$36+'前提と出典'!$C$38=0,X293&gt;=0),OR('前提と出典'!$C$37+'前提と出典'!$C$38=0,Y293&gt;=0)),0,A293)</ns0:f>
        <ns0:v>0</ns0:v>
      </ns0:c>
    </ns0:row>
    <ns0:row r="294" ht="24" customHeight="1">
      <ns0:c r="A294" s="4" t="n">
        <ns0:v>290</ns0:v>
      </ns0:c>
      <ns0:c r="B294" s="12">
        <ns0:f>A294*('前提と出典'!$C$36+'前提と出典'!$C$38)</ns0:f>
        <ns0:v>203</ns0:v>
      </ns0:c>
      <ns0:c r="C294" s="12">
        <ns0:f>A294*('前提と出典'!$C$37+'前提と出典'!$C$38)</ns0:f>
        <ns0:v>174</ns0:v>
      </ns0:c>
      <ns0:c r="D294" s="16">
        <ns0:f>A294*('前提と出典'!$C$36*'契約別単価'!C5+'前提と出典'!$C$37*'契約別単価'!C6+'前提と出典'!$C$38*'契約別単価'!C7)</ns0:f>
        <ns0:v>2086.7039106145253</ns0:v>
      </ns0:c>
      <ns0:c r="E294" s="16">
        <ns0:f>A294*('前提と出典'!$C$36*'契約別単価'!E5+'前提と出典'!$C$37*'契約別単価'!E6+'前提と出典'!$C$38*'契約別単価'!E7)</ns0:f>
        <ns0:v>729023.1477398649</ns0:v>
      </ns0:c>
      <ns0:c r="F294" s="16">
        <ns0:f>A294*('前提と出典'!$C$36*'契約別単価'!F5+'前提と出典'!$C$37*'契約別単価'!F6+'前提と出典'!$C$38*'契約別単価'!F7)</ns0:f>
        <ns0:v>211835.49182668288</ns0:v>
      </ns0:c>
      <ns0:c r="G294" s="16">
        <ns0:f>A294*('前提と出典'!$C$36*'契約別単価'!G5+'前提と出典'!$C$37*'契約別単価'!G6+'前提と出典'!$C$38*'契約別単価'!G7)</ns0:f>
        <ns0:v>577245.8100558659</ns0:v>
      </ns0:c>
      <ns0:c r="H294" s="16">
        <ns0:f>A294*('前提と出典'!$C$36*'契約別単価'!H5+'前提と出典'!$C$37*'契約別単価'!H6+'前提と出典'!$C$38*'契約別単価'!H7)</ns0:f>
        <ns0:v>200333.24724179553</ns0:v>
      </ns0:c>
      <ns0:c r="I294" s="16">
        <ns0:f>A294*('前提と出典'!$C$36*'契約別単価'!I5+'前提と出典'!$C$37*'契約別単価'!I6+'前提と出典'!$C$38*'契約別単価'!I7)</ns0:f>
        <ns0:v>12236.703910614524</ns0:v>
      </ns0:c>
      <ns0:c r="J294" s="16">
        <ns0:f>A294*('前提と出典'!$C$36*'契約別単価'!J5+'前提と出典'!$C$37*'契約別単価'!J6+'前提と出典'!$C$38*'契約別単価'!J7)</ns0:f>
        <ns0:v>28503.967675987744</ns0:v>
      </ns0:c>
      <ns0:c r="K294" s="16">
        <ns0:f>A294*('前提と出典'!$C$36*'契約別単価'!K5+'前提と出典'!$C$37*'契約別単価'!K6+'前提と出典'!$C$38*'契約別単価'!K7)</ns0:f>
        <ns0:v>122178.02607076349</ns0:v>
      </ns0:c>
      <ns0:c r="L294" s="16">
        <ns0:f>A294*('前提と出典'!$C$36*'契約別単価'!L5+'前提と出典'!$C$37*'契約別単価'!L6+'前提と出典'!$C$38*'契約別単価'!L7)</ns0:f>
        <ns0:v>99477.77490805984</ns0:v>
      </ns0:c>
      <ns0:c r="M294" s="16">
        <ns0:f>IF(('前提と出典'!$C$36+'前提と出典'!$C$38)=0,0,IF(B294&lt;=10,'前提と出典'!B73+'前提と出典'!C73,IF(B294&lt;=100,'前提と出典'!B74+'前提と出典'!C74,IF(B294&lt;=500,'前提と出典'!B75+'前提と出典'!C75,'前提と出典'!B76+'前提と出典'!C76))))</ns0:f>
        <ns0:v>40000</ns0:v>
      </ns0:c>
      <ns0:c r="N294" s="16">
        <ns0:f>IF(('前提と出典'!$C$37+'前提と出典'!$C$38)=0,0,IF(C294&lt;=10,'前提と出典'!D73+'前提と出典'!E73,IF(C294&lt;=100,'前提と出典'!D74+'前提と出典'!E74,IF(C294&lt;=500,'前提と出典'!D75+'前提と出典'!E75,'前提と出典'!D76+'前提と出典'!E76))))</ns0:f>
        <ns0:v>56510.9346263078</ns0:v>
      </ns0:c>
      <ns0:c r="O294" s="16">
        <ns0:f>IF('前提と出典'!$C$36+'前提と出典'!$C$38=0,0,'前提と出典'!$B$4*IF('前提と出典'!$B$20=0,MAX('前提と出典'!$B$6,D294*'前提と出典'!$B$5),'前提と出典'!$B$6+D294*'前提と出典'!$B$5))</ns0:f>
        <ns0:v>287965.1396648045</ns0:v>
      </ns0:c>
      <ns0:c r="P294" s="16">
        <ns0:f>(E294+G294)*(1-'前提と出典'!$B$7)-I294-K294-M294-O294</ns0:f>
        <ns0:v>796863.405668902</ns0:v>
      </ns0:c>
      <ns0:c r="Q294" s="16">
        <ns0:f>(F294+H294)*(1-'前提と出典'!$B$7)-J294-L294-N294</ns0:f>
        <ns0:v>212837.98725165776</ns0:v>
      </ns0:c>
      <ns0:c r="R294" s="16">
        <ns0:f>P294-E294*'前提と出典'!$E$4</ns0:f>
        <ns0:v>578156.4613469425</ns0:v>
      </ns0:c>
      <ns0:c r="S294" s="16">
        <ns0:f>Q294-F294*'前提と出典'!$E$4</ns0:f>
        <ns0:v>149287.3397036529</ns0:v>
      </ns0:c>
      <ns0:c r="T294" s="7">
        <ns0:f>R294+S294</ns0:f>
        <ns0:v>727443.8010505954</ns0:v>
      </ns0:c>
      <ns0:c r="U294" s="16">
        <ns0:f>P294-E294*'前提と出典'!$E$5</ns0:f>
        <ns0:v>505254.14657295606</ns0:v>
      </ns0:c>
      <ns0:c r="V294" s="16">
        <ns0:f>Q294-F294*'前提と出典'!$E$5</ns0:f>
        <ns0:v>128103.79052098462</ns0:v>
      </ns0:c>
      <ns0:c r="W294" s="7">
        <ns0:f>U294+V294</ns0:f>
        <ns0:v>633357.9370939407</ns0:v>
      </ns0:c>
      <ns0:c r="X294" s="16">
        <ns0:f>P294-E294*'前提と出典'!$E$6</ns0:f>
        <ns0:v>432351.8317989696</ns0:v>
      </ns0:c>
      <ns0:c r="Y294" s="16">
        <ns0:f>Q294-F294*'前提と出典'!$E$6</ns0:f>
        <ns0:v>106920.2413383163</ns0:v>
      </ns0:c>
      <ns0:c r="Z294" s="7">
        <ns0:f>X294+Y294</ns0:f>
        <ns0:v>539272.0731372859</ns0:v>
      </ns0:c>
      <ns0:c r="AA294" s="7">
        <ns0:f>IF(T294&gt;=0,A294,1001)</ns0:f>
        <ns0:v>290</ns0:v>
      </ns0:c>
      <ns0:c r="AB294" s="7">
        <ns0:f>IF(T294&lt;0,A294,0)</ns0:f>
        <ns0:v>0</ns0:v>
      </ns0:c>
      <ns0:c r="AC294" s="16">
        <ns0:f>IF(AND(OR('前提と出典'!$C$36+'前提と出典'!$C$38=0,R294&gt;=0),OR('前提と出典'!$C$37+'前提と出典'!$C$38=0,S294&gt;=0)),0,A294)</ns0:f>
        <ns0:v>0</ns0:v>
      </ns0:c>
      <ns0:c r="AD294" s="7">
        <ns0:f>IF(W294&gt;=0,A294,1001)</ns0:f>
        <ns0:v>290</ns0:v>
      </ns0:c>
      <ns0:c r="AE294" s="7">
        <ns0:f>IF(W294&lt;0,A294,0)</ns0:f>
        <ns0:v>0</ns0:v>
      </ns0:c>
      <ns0:c r="AF294" s="16">
        <ns0:f>IF(AND(OR('前提と出典'!$C$36+'前提と出典'!$C$38=0,U294&gt;=0),OR('前提と出典'!$C$37+'前提と出典'!$C$38=0,V294&gt;=0)),0,A294)</ns0:f>
        <ns0:v>0</ns0:v>
      </ns0:c>
      <ns0:c r="AG294" s="7">
        <ns0:f>IF(Z294&gt;=0,A294,1001)</ns0:f>
        <ns0:v>290</ns0:v>
      </ns0:c>
      <ns0:c r="AH294" s="4">
        <ns0:f>IF(Z294&lt;0,A294,0)</ns0:f>
        <ns0:v>0</ns0:v>
      </ns0:c>
      <ns0:c r="AI294" s="12">
        <ns0:f>IF(AND(OR('前提と出典'!$C$36+'前提と出典'!$C$38=0,X294&gt;=0),OR('前提と出典'!$C$37+'前提と出典'!$C$38=0,Y294&gt;=0)),0,A294)</ns0:f>
        <ns0:v>0</ns0:v>
      </ns0:c>
    </ns0:row>
    <ns0:row r="295" ht="24" customHeight="1">
      <ns0:c r="A295" s="4" t="n">
        <ns0:v>291</ns0:v>
      </ns0:c>
      <ns0:c r="B295" s="12">
        <ns0:f>A295*('前提と出典'!$C$36+'前提と出典'!$C$38)</ns0:f>
        <ns0:v>203.7</ns0:v>
      </ns0:c>
      <ns0:c r="C295" s="12">
        <ns0:f>A295*('前提と出典'!$C$37+'前提と出典'!$C$38)</ns0:f>
        <ns0:v>174.6</ns0:v>
      </ns0:c>
      <ns0:c r="D295" s="16">
        <ns0:f>A295*('前提と出典'!$C$36*'契約別単価'!C5+'前提と出典'!$C$37*'契約別単価'!C6+'前提と出典'!$C$38*'契約別単価'!C7)</ns0:f>
        <ns0:v>2093.8994413407822</ns0:v>
      </ns0:c>
      <ns0:c r="E295" s="16">
        <ns0:f>A295*('前提と出典'!$C$36*'契約別単価'!E5+'前提と出典'!$C$37*'契約別単価'!E6+'前提と出典'!$C$38*'契約別単価'!E7)</ns0:f>
        <ns0:v>731537.0206631058</ns0:v>
      </ns0:c>
      <ns0:c r="F295" s="16">
        <ns0:f>A295*('前提と出典'!$C$36*'契約別単価'!F5+'前提と出典'!$C$37*'契約別単価'!F6+'前提と出典'!$C$38*'契約別単価'!F7)</ns0:f>
        <ns0:v>212565.95903987833</ns0:v>
      </ns0:c>
      <ns0:c r="G295" s="16">
        <ns0:f>A295*('前提と出典'!$C$36*'契約別単価'!G5+'前提と出典'!$C$37*'契約別単価'!G6+'前提と出典'!$C$38*'契約別単価'!G7)</ns0:f>
        <ns0:v>579236.312849162</ns0:v>
      </ns0:c>
      <ns0:c r="H295" s="16">
        <ns0:f>A295*('前提と出典'!$C$36*'契約別単価'!H5+'前提と出典'!$C$37*'契約別単価'!H6+'前提と出典'!$C$38*'契約別単価'!H7)</ns0:f>
        <ns0:v>201024.0515426293</ns0:v>
      </ns0:c>
      <ns0:c r="I295" s="16">
        <ns0:f>A295*('前提と出典'!$C$36*'契約別単価'!I5+'前提と出典'!$C$37*'契約別単価'!I6+'前提と出典'!$C$38*'契約別単価'!I7)</ns0:f>
        <ns0:v>12278.89944134078</ns0:v>
      </ns0:c>
      <ns0:c r="J295" s="16">
        <ns0:f>A295*('前提と出典'!$C$36*'契約別単価'!J5+'前提と出典'!$C$37*'契約別単価'!J6+'前提と出典'!$C$38*'契約別単価'!J7)</ns0:f>
        <ns0:v>28602.257219698047</ns0:v>
      </ns0:c>
      <ns0:c r="K295" s="16">
        <ns0:f>A295*('前提と出典'!$C$36*'契約別単価'!K5+'前提と出典'!$C$37*'契約別単価'!K6+'前提と出典'!$C$38*'契約別単価'!K7)</ns0:f>
        <ns0:v>122599.32960893854</ns0:v>
      </ns0:c>
      <ns0:c r="L295" s="16">
        <ns0:f>A295*('前提と出典'!$C$36*'契約別単価'!L5+'前提と出典'!$C$37*'契約別単価'!L6+'前提と出典'!$C$38*'契約別単価'!L7)</ns0:f>
        <ns0:v>99820.80171808763</ns0:v>
      </ns0:c>
      <ns0:c r="M295" s="16">
        <ns0:f>IF(('前提と出典'!$C$36+'前提と出典'!$C$38)=0,0,IF(B295&lt;=10,'前提と出典'!B73+'前提と出典'!C73,IF(B295&lt;=100,'前提と出典'!B74+'前提と出典'!C74,IF(B295&lt;=500,'前提と出典'!B75+'前提と出典'!C75,'前提と出典'!B76+'前提と出典'!C76))))</ns0:f>
        <ns0:v>40000</ns0:v>
      </ns0:c>
      <ns0:c r="N295" s="16">
        <ns0:f>IF(('前提と出典'!$C$37+'前提と出典'!$C$38)=0,0,IF(C295&lt;=10,'前提と出典'!D73+'前提と出典'!E73,IF(C295&lt;=100,'前提と出典'!D74+'前提と出典'!E74,IF(C295&lt;=500,'前提と出典'!D75+'前提と出典'!E75,'前提と出典'!D76+'前提と出典'!E76))))</ns0:f>
        <ns0:v>56510.9346263078</ns0:v>
      </ns0:c>
      <ns0:c r="O295" s="16">
        <ns0:f>IF('前提と出典'!$C$36+'前提と出典'!$C$38=0,0,'前提と出典'!$B$4*IF('前提と出典'!$B$20=0,MAX('前提と出典'!$B$6,D295*'前提と出典'!$B$5),'前提と出典'!$B$6+D295*'前提と出典'!$B$5))</ns0:f>
        <ns0:v>288958.12290502794</ns0:v>
      </ns0:c>
      <ns0:c r="P295" s="16">
        <ns0:f>(E295+G295)*(1-'前提と出典'!$B$7)-I295-K295-M295-O295</ns0:f>
        <ns0:v>799749.141550519</ns0:v>
      </ns0:c>
      <ns0:c r="Q295" s="16">
        <ns0:f>(F295+H295)*(1-'前提と出典'!$B$7)-J295-L295-N295</ns0:f>
        <ns0:v>213766.77663744387</ns0:v>
      </ns0:c>
      <ns0:c r="R295" s="16">
        <ns0:f>P295-E295*'前提と出典'!$E$4</ns0:f>
        <ns0:v>580288.0353515871</ns0:v>
      </ns0:c>
      <ns0:c r="S295" s="16">
        <ns0:f>Q295-F295*'前提と出典'!$E$4</ns0:f>
        <ns0:v>149996.9889254804</ns0:v>
      </ns0:c>
      <ns0:c r="T295" s="7">
        <ns0:f>R295+S295</ns0:f>
        <ns0:v>730285.0242770675</ns0:v>
      </ns0:c>
      <ns0:c r="U295" s="16">
        <ns0:f>P295-E295*'前提と出典'!$E$5</ns0:f>
        <ns0:v>507134.33328527666</ns0:v>
      </ns0:c>
      <ns0:c r="V295" s="16">
        <ns0:f>Q295-F295*'前提と出典'!$E$5</ns0:f>
        <ns0:v>128740.39302149252</ns0:v>
      </ns0:c>
      <ns0:c r="W295" s="7">
        <ns0:f>U295+V295</ns0:f>
        <ns0:v>635874.7263067692</ns0:v>
      </ns0:c>
      <ns0:c r="X295" s="16">
        <ns0:f>P295-E295*'前提と出典'!$E$6</ns0:f>
        <ns0:v>433980.631218966</ns0:v>
      </ns0:c>
      <ns0:c r="Y295" s="16">
        <ns0:f>Q295-F295*'前提と出典'!$E$6</ns0:f>
        <ns0:v>107483.7971175047</ns0:v>
      </ns0:c>
      <ns0:c r="Z295" s="7">
        <ns0:f>X295+Y295</ns0:f>
        <ns0:v>541464.4283364706</ns0:v>
      </ns0:c>
      <ns0:c r="AA295" s="7">
        <ns0:f>IF(T295&gt;=0,A295,1001)</ns0:f>
        <ns0:v>291</ns0:v>
      </ns0:c>
      <ns0:c r="AB295" s="7">
        <ns0:f>IF(T295&lt;0,A295,0)</ns0:f>
        <ns0:v>0</ns0:v>
      </ns0:c>
      <ns0:c r="AC295" s="16">
        <ns0:f>IF(AND(OR('前提と出典'!$C$36+'前提と出典'!$C$38=0,R295&gt;=0),OR('前提と出典'!$C$37+'前提と出典'!$C$38=0,S295&gt;=0)),0,A295)</ns0:f>
        <ns0:v>0</ns0:v>
      </ns0:c>
      <ns0:c r="AD295" s="7">
        <ns0:f>IF(W295&gt;=0,A295,1001)</ns0:f>
        <ns0:v>291</ns0:v>
      </ns0:c>
      <ns0:c r="AE295" s="7">
        <ns0:f>IF(W295&lt;0,A295,0)</ns0:f>
        <ns0:v>0</ns0:v>
      </ns0:c>
      <ns0:c r="AF295" s="16">
        <ns0:f>IF(AND(OR('前提と出典'!$C$36+'前提と出典'!$C$38=0,U295&gt;=0),OR('前提と出典'!$C$37+'前提と出典'!$C$38=0,V295&gt;=0)),0,A295)</ns0:f>
        <ns0:v>0</ns0:v>
      </ns0:c>
      <ns0:c r="AG295" s="7">
        <ns0:f>IF(Z295&gt;=0,A295,1001)</ns0:f>
        <ns0:v>291</ns0:v>
      </ns0:c>
      <ns0:c r="AH295" s="4">
        <ns0:f>IF(Z295&lt;0,A295,0)</ns0:f>
        <ns0:v>0</ns0:v>
      </ns0:c>
      <ns0:c r="AI295" s="12">
        <ns0:f>IF(AND(OR('前提と出典'!$C$36+'前提と出典'!$C$38=0,X295&gt;=0),OR('前提と出典'!$C$37+'前提と出典'!$C$38=0,Y295&gt;=0)),0,A295)</ns0:f>
        <ns0:v>0</ns0:v>
      </ns0:c>
    </ns0:row>
    <ns0:row r="296" ht="24" customHeight="1">
      <ns0:c r="A296" s="4" t="n">
        <ns0:v>292</ns0:v>
      </ns0:c>
      <ns0:c r="B296" s="12">
        <ns0:f>A296*('前提と出典'!$C$36+'前提と出典'!$C$38)</ns0:f>
        <ns0:v>204.39999999999998</ns0:v>
      </ns0:c>
      <ns0:c r="C296" s="12">
        <ns0:f>A296*('前提と出典'!$C$37+'前提と出典'!$C$38)</ns0:f>
        <ns0:v>175.2</ns0:v>
      </ns0:c>
      <ns0:c r="D296" s="16">
        <ns0:f>A296*('前提と出典'!$C$36*'契約別単価'!C5+'前提と出典'!$C$37*'契約別単価'!C6+'前提と出典'!$C$38*'契約別単価'!C7)</ns0:f>
        <ns0:v>2101.094972067039</ns0:v>
      </ns0:c>
      <ns0:c r="E296" s="16">
        <ns0:f>A296*('前提と出典'!$C$36*'契約別単価'!E5+'前提と出典'!$C$37*'契約別単価'!E6+'前提と出典'!$C$38*'契約別単価'!E7)</ns0:f>
        <ns0:v>734050.8935863466</ns0:v>
      </ns0:c>
      <ns0:c r="F296" s="16">
        <ns0:f>A296*('前提と出典'!$C$36*'契約別単価'!F5+'前提と出典'!$C$37*'契約別単価'!F6+'前提と出典'!$C$38*'契約別単価'!F7)</ns0:f>
        <ns0:v>213296.4262530738</ns0:v>
      </ns0:c>
      <ns0:c r="G296" s="16">
        <ns0:f>A296*('前提と出典'!$C$36*'契約別単価'!G5+'前提と出典'!$C$37*'契約別単価'!G6+'前提と出典'!$C$38*'契約別単価'!G7)</ns0:f>
        <ns0:v>581226.815642458</ns0:v>
      </ns0:c>
      <ns0:c r="H296" s="16">
        <ns0:f>A296*('前提と出典'!$C$36*'契約別単価'!H5+'前提と出典'!$C$37*'契約別単価'!H6+'前提と出典'!$C$38*'契約別単価'!H7)</ns0:f>
        <ns0:v>201714.8558434631</ns0:v>
      </ns0:c>
      <ns0:c r="I296" s="16">
        <ns0:f>A296*('前提と出典'!$C$36*'契約別単価'!I5+'前提と出典'!$C$37*'契約別単価'!I6+'前提と出典'!$C$38*'契約別単価'!I7)</ns0:f>
        <ns0:v>12321.094972067038</ns0:v>
      </ns0:c>
      <ns0:c r="J296" s="16">
        <ns0:f>A296*('前提と出典'!$C$36*'契約別単価'!J5+'前提と出典'!$C$37*'契約別単価'!J6+'前提と出典'!$C$38*'契約別単価'!J7)</ns0:f>
        <ns0:v>28700.54676340835</ns0:v>
      </ns0:c>
      <ns0:c r="K296" s="16">
        <ns0:f>A296*('前提と出典'!$C$36*'契約別単価'!K5+'前提と出典'!$C$37*'契約別単価'!K6+'前提と出典'!$C$38*'契約別単価'!K7)</ns0:f>
        <ns0:v>123020.63314711359</ns0:v>
      </ns0:c>
      <ns0:c r="L296" s="16">
        <ns0:f>A296*('前提と出典'!$C$36*'契約別単価'!L5+'前提と出典'!$C$37*'契約別単価'!L6+'前提と出典'!$C$38*'契約別単価'!L7)</ns0:f>
        <ns0:v>100163.82852811544</ns0:v>
      </ns0:c>
      <ns0:c r="M296" s="16">
        <ns0:f>IF(('前提と出典'!$C$36+'前提と出典'!$C$38)=0,0,IF(B296&lt;=10,'前提と出典'!B73+'前提と出典'!C73,IF(B296&lt;=100,'前提と出典'!B74+'前提と出典'!C74,IF(B296&lt;=500,'前提と出典'!B75+'前提と出典'!C75,'前提と出典'!B76+'前提と出典'!C76))))</ns0:f>
        <ns0:v>40000</ns0:v>
      </ns0:c>
      <ns0:c r="N296" s="16">
        <ns0:f>IF(('前提と出典'!$C$37+'前提と出典'!$C$38)=0,0,IF(C296&lt;=10,'前提と出典'!D73+'前提と出典'!E73,IF(C296&lt;=100,'前提と出典'!D74+'前提と出典'!E74,IF(C296&lt;=500,'前提と出典'!D75+'前提と出典'!E75,'前提と出典'!D76+'前提と出典'!E76))))</ns0:f>
        <ns0:v>56510.9346263078</ns0:v>
      </ns0:c>
      <ns0:c r="O296" s="16">
        <ns0:f>IF('前提と出典'!$C$36+'前提と出典'!$C$38=0,0,'前提と出典'!$B$4*IF('前提と出典'!$B$20=0,MAX('前提と出典'!$B$6,D296*'前提と出典'!$B$5),'前提と出典'!$B$6+D296*'前提と出典'!$B$5))</ns0:f>
        <ns0:v>289951.1061452514</ns0:v>
      </ns0:c>
      <ns0:c r="P296" s="16">
        <ns0:f>(E296+G296)*(1-'前提と出典'!$B$7)-I296-K296-M296-O296</ns0:f>
        <ns0:v>802634.8774321357</ns0:v>
      </ns0:c>
      <ns0:c r="Q296" s="16">
        <ns0:f>(F296+H296)*(1-'前提と出典'!$B$7)-J296-L296-N296</ns0:f>
        <ns0:v>214695.56602322997</ns0:v>
      </ns0:c>
      <ns0:c r="R296" s="16">
        <ns0:f>P296-E296*'前提と出典'!$E$4</ns0:f>
        <ns0:v>582419.6093562319</ns0:v>
      </ns0:c>
      <ns0:c r="S296" s="16">
        <ns0:f>Q296-F296*'前提と出典'!$E$4</ns0:f>
        <ns0:v>150706.63814730788</ns0:v>
      </ns0:c>
      <ns0:c r="T296" s="7">
        <ns0:f>R296+S296</ns0:f>
        <ns0:v>733126.2475035398</ns0:v>
      </ns0:c>
      <ns0:c r="U296" s="16">
        <ns0:f>P296-E296*'前提と出典'!$E$5</ns0:f>
        <ns0:v>509014.5199975971</ns0:v>
      </ns0:c>
      <ns0:c r="V296" s="16">
        <ns0:f>Q296-F296*'前提と出典'!$E$5</ns0:f>
        <ns0:v>129376.99552200045</ns0:v>
      </ns0:c>
      <ns0:c r="W296" s="7">
        <ns0:f>U296+V296</ns0:f>
        <ns0:v>638391.5155195976</ns0:v>
      </ns0:c>
      <ns0:c r="X296" s="16">
        <ns0:f>P296-E296*'前提と出典'!$E$6</ns0:f>
        <ns0:v>435609.4306389624</ns0:v>
      </ns0:c>
      <ns0:c r="Y296" s="16">
        <ns0:f>Q296-F296*'前提と出典'!$E$6</ns0:f>
        <ns0:v>108047.35289669313</ns0:v>
      </ns0:c>
      <ns0:c r="Z296" s="7">
        <ns0:f>X296+Y296</ns0:f>
        <ns0:v>543656.7835356556</ns0:v>
      </ns0:c>
      <ns0:c r="AA296" s="7">
        <ns0:f>IF(T296&gt;=0,A296,1001)</ns0:f>
        <ns0:v>292</ns0:v>
      </ns0:c>
      <ns0:c r="AB296" s="7">
        <ns0:f>IF(T296&lt;0,A296,0)</ns0:f>
        <ns0:v>0</ns0:v>
      </ns0:c>
      <ns0:c r="AC296" s="16">
        <ns0:f>IF(AND(OR('前提と出典'!$C$36+'前提と出典'!$C$38=0,R296&gt;=0),OR('前提と出典'!$C$37+'前提と出典'!$C$38=0,S296&gt;=0)),0,A296)</ns0:f>
        <ns0:v>0</ns0:v>
      </ns0:c>
      <ns0:c r="AD296" s="7">
        <ns0:f>IF(W296&gt;=0,A296,1001)</ns0:f>
        <ns0:v>292</ns0:v>
      </ns0:c>
      <ns0:c r="AE296" s="7">
        <ns0:f>IF(W296&lt;0,A296,0)</ns0:f>
        <ns0:v>0</ns0:v>
      </ns0:c>
      <ns0:c r="AF296" s="16">
        <ns0:f>IF(AND(OR('前提と出典'!$C$36+'前提と出典'!$C$38=0,U296&gt;=0),OR('前提と出典'!$C$37+'前提と出典'!$C$38=0,V296&gt;=0)),0,A296)</ns0:f>
        <ns0:v>0</ns0:v>
      </ns0:c>
      <ns0:c r="AG296" s="7">
        <ns0:f>IF(Z296&gt;=0,A296,1001)</ns0:f>
        <ns0:v>292</ns0:v>
      </ns0:c>
      <ns0:c r="AH296" s="4">
        <ns0:f>IF(Z296&lt;0,A296,0)</ns0:f>
        <ns0:v>0</ns0:v>
      </ns0:c>
      <ns0:c r="AI296" s="12">
        <ns0:f>IF(AND(OR('前提と出典'!$C$36+'前提と出典'!$C$38=0,X296&gt;=0),OR('前提と出典'!$C$37+'前提と出典'!$C$38=0,Y296&gt;=0)),0,A296)</ns0:f>
        <ns0:v>0</ns0:v>
      </ns0:c>
    </ns0:row>
    <ns0:row r="297" ht="24" customHeight="1">
      <ns0:c r="A297" s="4" t="n">
        <ns0:v>293</ns0:v>
      </ns0:c>
      <ns0:c r="B297" s="12">
        <ns0:f>A297*('前提と出典'!$C$36+'前提と出典'!$C$38)</ns0:f>
        <ns0:v>205.1</ns0:v>
      </ns0:c>
      <ns0:c r="C297" s="12">
        <ns0:f>A297*('前提と出典'!$C$37+'前提と出典'!$C$38)</ns0:f>
        <ns0:v>175.79999999999998</ns0:v>
      </ns0:c>
      <ns0:c r="D297" s="16">
        <ns0:f>A297*('前提と出典'!$C$36*'契約別単価'!C5+'前提と出典'!$C$37*'契約別単価'!C6+'前提と出典'!$C$38*'契約別単価'!C7)</ns0:f>
        <ns0:v>2108.290502793296</ns0:v>
      </ns0:c>
      <ns0:c r="E297" s="16">
        <ns0:f>A297*('前提と出典'!$C$36*'契約別単価'!E5+'前提と出典'!$C$37*'契約別単価'!E6+'前提と出典'!$C$38*'契約別単価'!E7)</ns0:f>
        <ns0:v>736564.7665095875</ns0:v>
      </ns0:c>
      <ns0:c r="F297" s="16">
        <ns0:f>A297*('前提と出典'!$C$36*'契約別単価'!F5+'前提と出典'!$C$37*'契約別単価'!F6+'前提と出典'!$C$38*'契約別単価'!F7)</ns0:f>
        <ns0:v>214026.89346626925</ns0:v>
      </ns0:c>
      <ns0:c r="G297" s="16">
        <ns0:f>A297*('前提と出典'!$C$36*'契約別単価'!G5+'前提と出典'!$C$37*'契約別単価'!G6+'前提と出典'!$C$38*'契約別単価'!G7)</ns0:f>
        <ns0:v>583217.3184357542</ns0:v>
      </ns0:c>
      <ns0:c r="H297" s="16">
        <ns0:f>A297*('前提と出典'!$C$36*'契約別単価'!H5+'前提と出典'!$C$37*'契約別単価'!H6+'前提と出典'!$C$38*'契約別単価'!H7)</ns0:f>
        <ns0:v>202405.66014429685</ns0:v>
      </ns0:c>
      <ns0:c r="I297" s="16">
        <ns0:f>A297*('前提と出典'!$C$36*'契約別単価'!I5+'前提と出典'!$C$37*'契約別単価'!I6+'前提と出典'!$C$38*'契約別単価'!I7)</ns0:f>
        <ns0:v>12363.290502793294</ns0:v>
      </ns0:c>
      <ns0:c r="J297" s="16">
        <ns0:f>A297*('前提と出典'!$C$36*'契約別単価'!J5+'前提と出典'!$C$37*'契約別単価'!J6+'前提と出典'!$C$38*'契約別単価'!J7)</ns0:f>
        <ns0:v>28798.83630711865</ns0:v>
      </ns0:c>
      <ns0:c r="K297" s="16">
        <ns0:f>A297*('前提と出典'!$C$36*'契約別単価'!K5+'前提と出典'!$C$37*'契約別単価'!K6+'前提と出典'!$C$38*'契約別単価'!K7)</ns0:f>
        <ns0:v>123441.93668528863</ns0:v>
      </ns0:c>
      <ns0:c r="L297" s="16">
        <ns0:f>A297*('前提と出典'!$C$36*'契約別単価'!L5+'前提と出典'!$C$37*'契約別単価'!L6+'前提と出典'!$C$38*'契約別単価'!L7)</ns0:f>
        <ns0:v>100506.85533814323</ns0:v>
      </ns0:c>
      <ns0:c r="M297" s="16">
        <ns0:f>IF(('前提と出典'!$C$36+'前提と出典'!$C$38)=0,0,IF(B297&lt;=10,'前提と出典'!B73+'前提と出典'!C73,IF(B297&lt;=100,'前提と出典'!B74+'前提と出典'!C74,IF(B297&lt;=500,'前提と出典'!B75+'前提と出典'!C75,'前提と出典'!B76+'前提と出典'!C76))))</ns0:f>
        <ns0:v>40000</ns0:v>
      </ns0:c>
      <ns0:c r="N297" s="16">
        <ns0:f>IF(('前提と出典'!$C$37+'前提と出典'!$C$38)=0,0,IF(C297&lt;=10,'前提と出典'!D73+'前提と出典'!E73,IF(C297&lt;=100,'前提と出典'!D74+'前提と出典'!E74,IF(C297&lt;=500,'前提と出典'!D75+'前提と出典'!E75,'前提と出典'!D76+'前提と出典'!E76))))</ns0:f>
        <ns0:v>56510.9346263078</ns0:v>
      </ns0:c>
      <ns0:c r="O297" s="16">
        <ns0:f>IF('前提と出典'!$C$36+'前提と出典'!$C$38=0,0,'前提と出典'!$B$4*IF('前提と出典'!$B$20=0,MAX('前提と出典'!$B$6,D297*'前提と出典'!$B$5),'前提と出典'!$B$6+D297*'前提と出典'!$B$5))</ns0:f>
        <ns0:v>290944.08938547486</ns0:v>
      </ns0:c>
      <ns0:c r="P297" s="16">
        <ns0:f>(E297+G297)*(1-'前提と出典'!$B$7)-I297-K297-M297-O297</ns0:f>
        <ns0:v>805520.6133137525</ns0:v>
      </ns0:c>
      <ns0:c r="Q297" s="16">
        <ns0:f>(F297+H297)*(1-'前提と出典'!$B$7)-J297-L297-N297</ns0:f>
        <ns0:v>215624.35540901602</ns0:v>
      </ns0:c>
      <ns0:c r="R297" s="16">
        <ns0:f>P297-E297*'前提と出典'!$E$4</ns0:f>
        <ns0:v>584551.1833608763</ns0:v>
      </ns0:c>
      <ns0:c r="S297" s="16">
        <ns0:f>Q297-F297*'前提と出典'!$E$4</ns0:f>
        <ns0:v>151416.28736913524</ns0:v>
      </ns0:c>
      <ns0:c r="T297" s="7">
        <ns0:f>R297+S297</ns0:f>
        <ns0:v>735967.4707300116</ns0:v>
      </ns0:c>
      <ns0:c r="U297" s="16">
        <ns0:f>P297-E297*'前提と出典'!$E$5</ns0:f>
        <ns0:v>510894.70670991746</ns0:v>
      </ns0:c>
      <ns0:c r="V297" s="16">
        <ns0:f>Q297-F297*'前提と出典'!$E$5</ns0:f>
        <ns0:v>130013.59802250832</ns0:v>
      </ns0:c>
      <ns0:c r="W297" s="7">
        <ns0:f>U297+V297</ns0:f>
        <ns0:v>640908.3047324258</ns0:v>
      </ns0:c>
      <ns0:c r="X297" s="16">
        <ns0:f>P297-E297*'前提と出典'!$E$6</ns0:f>
        <ns0:v>437238.2300589588</ns0:v>
      </ns0:c>
      <ns0:c r="Y297" s="16">
        <ns0:f>Q297-F297*'前提と出典'!$E$6</ns0:f>
        <ns0:v>108610.9086758814</ns0:v>
      </ns0:c>
      <ns0:c r="Z297" s="7">
        <ns0:f>X297+Y297</ns0:f>
        <ns0:v>545849.1387348402</ns0:v>
      </ns0:c>
      <ns0:c r="AA297" s="7">
        <ns0:f>IF(T297&gt;=0,A297,1001)</ns0:f>
        <ns0:v>293</ns0:v>
      </ns0:c>
      <ns0:c r="AB297" s="7">
        <ns0:f>IF(T297&lt;0,A297,0)</ns0:f>
        <ns0:v>0</ns0:v>
      </ns0:c>
      <ns0:c r="AC297" s="16">
        <ns0:f>IF(AND(OR('前提と出典'!$C$36+'前提と出典'!$C$38=0,R297&gt;=0),OR('前提と出典'!$C$37+'前提と出典'!$C$38=0,S297&gt;=0)),0,A297)</ns0:f>
        <ns0:v>0</ns0:v>
      </ns0:c>
      <ns0:c r="AD297" s="7">
        <ns0:f>IF(W297&gt;=0,A297,1001)</ns0:f>
        <ns0:v>293</ns0:v>
      </ns0:c>
      <ns0:c r="AE297" s="7">
        <ns0:f>IF(W297&lt;0,A297,0)</ns0:f>
        <ns0:v>0</ns0:v>
      </ns0:c>
      <ns0:c r="AF297" s="16">
        <ns0:f>IF(AND(OR('前提と出典'!$C$36+'前提と出典'!$C$38=0,U297&gt;=0),OR('前提と出典'!$C$37+'前提と出典'!$C$38=0,V297&gt;=0)),0,A297)</ns0:f>
        <ns0:v>0</ns0:v>
      </ns0:c>
      <ns0:c r="AG297" s="7">
        <ns0:f>IF(Z297&gt;=0,A297,1001)</ns0:f>
        <ns0:v>293</ns0:v>
      </ns0:c>
      <ns0:c r="AH297" s="4">
        <ns0:f>IF(Z297&lt;0,A297,0)</ns0:f>
        <ns0:v>0</ns0:v>
      </ns0:c>
      <ns0:c r="AI297" s="12">
        <ns0:f>IF(AND(OR('前提と出典'!$C$36+'前提と出典'!$C$38=0,X297&gt;=0),OR('前提と出典'!$C$37+'前提と出典'!$C$38=0,Y297&gt;=0)),0,A297)</ns0:f>
        <ns0:v>0</ns0:v>
      </ns0:c>
    </ns0:row>
    <ns0:row r="298" ht="24" customHeight="1">
      <ns0:c r="A298" s="4" t="n">
        <ns0:v>294</ns0:v>
      </ns0:c>
      <ns0:c r="B298" s="12">
        <ns0:f>A298*('前提と出典'!$C$36+'前提と出典'!$C$38)</ns0:f>
        <ns0:v>205.79999999999998</ns0:v>
      </ns0:c>
      <ns0:c r="C298" s="12">
        <ns0:f>A298*('前提と出典'!$C$37+'前提と出典'!$C$38)</ns0:f>
        <ns0:v>176.4</ns0:v>
      </ns0:c>
      <ns0:c r="D298" s="16">
        <ns0:f>A298*('前提と出典'!$C$36*'契約別単価'!C5+'前提と出典'!$C$37*'契約別単価'!C6+'前提と出典'!$C$38*'契約別単価'!C7)</ns0:f>
        <ns0:v>2115.486033519553</ns0:v>
      </ns0:c>
      <ns0:c r="E298" s="16">
        <ns0:f>A298*('前提と出典'!$C$36*'契約別単価'!E5+'前提と出典'!$C$37*'契約別単価'!E6+'前提と出典'!$C$38*'契約別単価'!E7)</ns0:f>
        <ns0:v>739078.6394328285</ns0:v>
      </ns0:c>
      <ns0:c r="F298" s="16">
        <ns0:f>A298*('前提と出典'!$C$36*'契約別単価'!F5+'前提と出典'!$C$37*'契約別単価'!F6+'前提と出典'!$C$38*'契約別単価'!F7)</ns0:f>
        <ns0:v>214757.3606794647</ns0:v>
      </ns0:c>
      <ns0:c r="G298" s="16">
        <ns0:f>A298*('前提と出典'!$C$36*'契約別単価'!G5+'前提と出典'!$C$37*'契約別単価'!G6+'前提と出典'!$C$38*'契約別単価'!G7)</ns0:f>
        <ns0:v>585207.8212290503</ns0:v>
      </ns0:c>
      <ns0:c r="H298" s="16">
        <ns0:f>A298*('前提と出典'!$C$36*'契約別単価'!H5+'前提と出典'!$C$37*'契約別単価'!H6+'前提と出典'!$C$38*'契約別単価'!H7)</ns0:f>
        <ns0:v>203096.46444513064</ns0:v>
      </ns0:c>
      <ns0:c r="I298" s="16">
        <ns0:f>A298*('前提と出典'!$C$36*'契約別単価'!I5+'前提と出典'!$C$37*'契約別単価'!I6+'前提と出典'!$C$38*'契約別単価'!I7)</ns0:f>
        <ns0:v>12405.486033519552</ns0:v>
      </ns0:c>
      <ns0:c r="J298" s="16">
        <ns0:f>A298*('前提と出典'!$C$36*'契約別単価'!J5+'前提と出典'!$C$37*'契約別単価'!J6+'前提と出典'!$C$38*'契約別単価'!J7)</ns0:f>
        <ns0:v>28897.125850828954</ns0:v>
      </ns0:c>
      <ns0:c r="K298" s="16">
        <ns0:f>A298*('前提と出典'!$C$36*'契約別単価'!K5+'前提と出典'!$C$37*'契約別単価'!K6+'前提と出典'!$C$38*'契約別単価'!K7)</ns0:f>
        <ns0:v>123863.24022346368</ns0:v>
      </ns0:c>
      <ns0:c r="L298" s="16">
        <ns0:f>A298*('前提と出典'!$C$36*'契約別単価'!L5+'前提と出典'!$C$37*'契約別単価'!L6+'前提と出典'!$C$38*'契約別単価'!L7)</ns0:f>
        <ns0:v>100849.88214817102</ns0:v>
      </ns0:c>
      <ns0:c r="M298" s="16">
        <ns0:f>IF(('前提と出典'!$C$36+'前提と出典'!$C$38)=0,0,IF(B298&lt;=10,'前提と出典'!B73+'前提と出典'!C73,IF(B298&lt;=100,'前提と出典'!B74+'前提と出典'!C74,IF(B298&lt;=500,'前提と出典'!B75+'前提と出典'!C75,'前提と出典'!B76+'前提と出典'!C76))))</ns0:f>
        <ns0:v>40000</ns0:v>
      </ns0:c>
      <ns0:c r="N298" s="16">
        <ns0:f>IF(('前提と出典'!$C$37+'前提と出典'!$C$38)=0,0,IF(C298&lt;=10,'前提と出典'!D73+'前提と出典'!E73,IF(C298&lt;=100,'前提と出典'!D74+'前提と出典'!E74,IF(C298&lt;=500,'前提と出典'!D75+'前提と出典'!E75,'前提と出典'!D76+'前提と出典'!E76))))</ns0:f>
        <ns0:v>56510.9346263078</ns0:v>
      </ns0:c>
      <ns0:c r="O298" s="16">
        <ns0:f>IF('前提と出典'!$C$36+'前提と出典'!$C$38=0,0,'前提と出典'!$B$4*IF('前提と出典'!$B$20=0,MAX('前提と出典'!$B$6,D298*'前提と出典'!$B$5),'前提と出典'!$B$6+D298*'前提と出典'!$B$5))</ns0:f>
        <ns0:v>291937.07262569835</ns0:v>
      </ns0:c>
      <ns0:c r="P298" s="16">
        <ns0:f>(E298+G298)*(1-'前提と出典'!$B$7)-I298-K298-M298-O298</ns0:f>
        <ns0:v>808406.3491953696</ns0:v>
      </ns0:c>
      <ns0:c r="Q298" s="16">
        <ns0:f>(F298+H298)*(1-'前提と出典'!$B$7)-J298-L298-N298</ns0:f>
        <ns0:v>216553.14479480212</ns0:v>
      </ns0:c>
      <ns0:c r="R298" s="16">
        <ns0:f>P298-E298*'前提と出典'!$E$4</ns0:f>
        <ns0:v>586682.7573655213</ns0:v>
      </ns0:c>
      <ns0:c r="S298" s="16">
        <ns0:f>Q298-F298*'前提と出典'!$E$4</ns0:f>
        <ns0:v>152125.9365909627</ns0:v>
      </ns0:c>
      <ns0:c r="T298" s="7">
        <ns0:f>R298+S298</ns0:f>
        <ns0:v>738808.693956484</ns0:v>
      </ns0:c>
      <ns0:c r="U298" s="16">
        <ns0:f>P298-E298*'前提と出典'!$E$5</ns0:f>
        <ns0:v>512774.89342223824</ns0:v>
      </ns0:c>
      <ns0:c r="V298" s="16">
        <ns0:f>Q298-F298*'前提と出典'!$E$5</ns0:f>
        <ns0:v>130650.20052301622</ns0:v>
      </ns0:c>
      <ns0:c r="W298" s="7">
        <ns0:f>U298+V298</ns0:f>
        <ns0:v>643425.0939452545</ns0:v>
      </ns0:c>
      <ns0:c r="X298" s="16">
        <ns0:f>P298-E298*'前提と出典'!$E$6</ns0:f>
        <ns0:v>438867.0294789555</ns0:v>
      </ns0:c>
      <ns0:c r="Y298" s="16">
        <ns0:f>Q298-F298*'前提と出典'!$E$6</ns0:f>
        <ns0:v>109174.4644550698</ns0:v>
      </ns0:c>
      <ns0:c r="Z298" s="7">
        <ns0:f>X298+Y298</ns0:f>
        <ns0:v>548041.4939340253</ns0:v>
      </ns0:c>
      <ns0:c r="AA298" s="7">
        <ns0:f>IF(T298&gt;=0,A298,1001)</ns0:f>
        <ns0:v>294</ns0:v>
      </ns0:c>
      <ns0:c r="AB298" s="7">
        <ns0:f>IF(T298&lt;0,A298,0)</ns0:f>
        <ns0:v>0</ns0:v>
      </ns0:c>
      <ns0:c r="AC298" s="16">
        <ns0:f>IF(AND(OR('前提と出典'!$C$36+'前提と出典'!$C$38=0,R298&gt;=0),OR('前提と出典'!$C$37+'前提と出典'!$C$38=0,S298&gt;=0)),0,A298)</ns0:f>
        <ns0:v>0</ns0:v>
      </ns0:c>
      <ns0:c r="AD298" s="7">
        <ns0:f>IF(W298&gt;=0,A298,1001)</ns0:f>
        <ns0:v>294</ns0:v>
      </ns0:c>
      <ns0:c r="AE298" s="7">
        <ns0:f>IF(W298&lt;0,A298,0)</ns0:f>
        <ns0:v>0</ns0:v>
      </ns0:c>
      <ns0:c r="AF298" s="16">
        <ns0:f>IF(AND(OR('前提と出典'!$C$36+'前提と出典'!$C$38=0,U298&gt;=0),OR('前提と出典'!$C$37+'前提と出典'!$C$38=0,V298&gt;=0)),0,A298)</ns0:f>
        <ns0:v>0</ns0:v>
      </ns0:c>
      <ns0:c r="AG298" s="7">
        <ns0:f>IF(Z298&gt;=0,A298,1001)</ns0:f>
        <ns0:v>294</ns0:v>
      </ns0:c>
      <ns0:c r="AH298" s="4">
        <ns0:f>IF(Z298&lt;0,A298,0)</ns0:f>
        <ns0:v>0</ns0:v>
      </ns0:c>
      <ns0:c r="AI298" s="12">
        <ns0:f>IF(AND(OR('前提と出典'!$C$36+'前提と出典'!$C$38=0,X298&gt;=0),OR('前提と出典'!$C$37+'前提と出典'!$C$38=0,Y298&gt;=0)),0,A298)</ns0:f>
        <ns0:v>0</ns0:v>
      </ns0:c>
    </ns0:row>
    <ns0:row r="299" ht="24" customHeight="1">
      <ns0:c r="A299" s="4" t="n">
        <ns0:v>295</ns0:v>
      </ns0:c>
      <ns0:c r="B299" s="12">
        <ns0:f>A299*('前提と出典'!$C$36+'前提と出典'!$C$38)</ns0:f>
        <ns0:v>206.5</ns0:v>
      </ns0:c>
      <ns0:c r="C299" s="12">
        <ns0:f>A299*('前提と出典'!$C$37+'前提と出典'!$C$38)</ns0:f>
        <ns0:v>177</ns0:v>
      </ns0:c>
      <ns0:c r="D299" s="16">
        <ns0:f>A299*('前提と出典'!$C$36*'契約別単価'!C5+'前提と出典'!$C$37*'契約別単価'!C6+'前提と出典'!$C$38*'契約別単価'!C7)</ns0:f>
        <ns0:v>2122.68156424581</ns0:v>
      </ns0:c>
      <ns0:c r="E299" s="16">
        <ns0:f>A299*('前提と出典'!$C$36*'契約別単価'!E5+'前提と出典'!$C$37*'契約別単価'!E6+'前提と出典'!$C$38*'契約別単価'!E7)</ns0:f>
        <ns0:v>741592.5123560694</ns0:v>
      </ns0:c>
      <ns0:c r="F299" s="16">
        <ns0:f>A299*('前提と出典'!$C$36*'契約別単価'!F5+'前提と出典'!$C$37*'契約別単価'!F6+'前提と出典'!$C$38*'契約別単価'!F7)</ns0:f>
        <ns0:v>215487.82789266016</ns0:v>
      </ns0:c>
      <ns0:c r="G299" s="16">
        <ns0:f>A299*('前提と出典'!$C$36*'契約別単価'!G5+'前提と出典'!$C$37*'契約別単価'!G6+'前提と出典'!$C$38*'契約別単価'!G7)</ns0:f>
        <ns0:v>587198.3240223463</ns0:v>
      </ns0:c>
      <ns0:c r="H299" s="16">
        <ns0:f>A299*('前提と出典'!$C$36*'契約別単価'!H5+'前提と出典'!$C$37*'契約別単価'!H6+'前提と出典'!$C$38*'契約別単価'!H7)</ns0:f>
        <ns0:v>203787.26874596442</ns0:v>
      </ns0:c>
      <ns0:c r="I299" s="16">
        <ns0:f>A299*('前提と出典'!$C$36*'契約別単価'!I5+'前提と出典'!$C$37*'契約別単価'!I6+'前提と出典'!$C$38*'契約別単価'!I7)</ns0:f>
        <ns0:v>12447.681564245808</ns0:v>
      </ns0:c>
      <ns0:c r="J299" s="16">
        <ns0:f>A299*('前提と出典'!$C$36*'契約別単価'!J5+'前提と出典'!$C$37*'契約別単価'!J6+'前提と出典'!$C$38*'契約別単価'!J7)</ns0:f>
        <ns0:v>28995.415394539257</ns0:v>
      </ns0:c>
      <ns0:c r="K299" s="16">
        <ns0:f>A299*('前提と出典'!$C$36*'契約別単価'!K5+'前提と出典'!$C$37*'契約別単価'!K6+'前提と出典'!$C$38*'契約別単価'!K7)</ns0:f>
        <ns0:v>124284.54376163872</ns0:v>
      </ns0:c>
      <ns0:c r="L299" s="16">
        <ns0:f>A299*('前提と出典'!$C$36*'契約別単価'!L5+'前提と出典'!$C$37*'契約別単価'!L6+'前提と出典'!$C$38*'契約別単価'!L7)</ns0:f>
        <ns0:v>101192.90895819881</ns0:v>
      </ns0:c>
      <ns0:c r="M299" s="16">
        <ns0:f>IF(('前提と出典'!$C$36+'前提と出典'!$C$38)=0,0,IF(B299&lt;=10,'前提と出典'!B73+'前提と出典'!C73,IF(B299&lt;=100,'前提と出典'!B74+'前提と出典'!C74,IF(B299&lt;=500,'前提と出典'!B75+'前提と出典'!C75,'前提と出典'!B76+'前提と出典'!C76))))</ns0:f>
        <ns0:v>40000</ns0:v>
      </ns0:c>
      <ns0:c r="N299" s="16">
        <ns0:f>IF(('前提と出典'!$C$37+'前提と出典'!$C$38)=0,0,IF(C299&lt;=10,'前提と出典'!D73+'前提と出典'!E73,IF(C299&lt;=100,'前提と出典'!D74+'前提と出典'!E74,IF(C299&lt;=500,'前提と出典'!D75+'前提と出典'!E75,'前提と出典'!D76+'前提と出典'!E76))))</ns0:f>
        <ns0:v>56510.9346263078</ns0:v>
      </ns0:c>
      <ns0:c r="O299" s="16">
        <ns0:f>IF('前提と出典'!$C$36+'前提と出典'!$C$38=0,0,'前提と出典'!$B$4*IF('前提と出典'!$B$20=0,MAX('前提と出典'!$B$6,D299*'前提と出典'!$B$5),'前提と出典'!$B$6+D299*'前提と出典'!$B$5))</ns0:f>
        <ns0:v>292930.0558659218</ns0:v>
      </ns0:c>
      <ns0:c r="P299" s="16">
        <ns0:f>(E299+G299)*(1-'前提と出典'!$B$7)-I299-K299-M299-O299</ns0:f>
        <ns0:v>811292.0850769863</ns0:v>
      </ns0:c>
      <ns0:c r="Q299" s="16">
        <ns0:f>(F299+H299)*(1-'前提と出典'!$B$7)-J299-L299-N299</ns0:f>
        <ns0:v>217481.93418058823</ns0:v>
      </ns0:c>
      <ns0:c r="R299" s="16">
        <ns0:f>P299-E299*'前提と出典'!$E$4</ns0:f>
        <ns0:v>588814.3313701656</ns0:v>
      </ns0:c>
      <ns0:c r="S299" s="16">
        <ns0:f>Q299-F299*'前提と出典'!$E$4</ns0:f>
        <ns0:v>152835.5858127902</ns0:v>
      </ns0:c>
      <ns0:c r="T299" s="7">
        <ns0:f>R299+S299</ns0:f>
        <ns0:v>741649.9171829558</ns0:v>
      </ns0:c>
      <ns0:c r="U299" s="16">
        <ns0:f>P299-E299*'前提と出典'!$E$5</ns0:f>
        <ns0:v>514655.0801345585</ns0:v>
      </ns0:c>
      <ns0:c r="V299" s="16">
        <ns0:f>Q299-F299*'前提と出典'!$E$5</ns0:f>
        <ns0:v>131286.80302352417</ns0:v>
      </ns0:c>
      <ns0:c r="W299" s="7">
        <ns0:f>U299+V299</ns0:f>
        <ns0:v>645941.8831580826</ns0:v>
      </ns0:c>
      <ns0:c r="X299" s="16">
        <ns0:f>P299-E299*'前提と出典'!$E$6</ns0:f>
        <ns0:v>440495.82889895164</ns0:v>
      </ns0:c>
      <ns0:c r="Y299" s="16">
        <ns0:f>Q299-F299*'前提と出典'!$E$6</ns0:f>
        <ns0:v>109738.02023425815</ns0:v>
      </ns0:c>
      <ns0:c r="Z299" s="7">
        <ns0:f>X299+Y299</ns0:f>
        <ns0:v>550233.8491332098</ns0:v>
      </ns0:c>
      <ns0:c r="AA299" s="7">
        <ns0:f>IF(T299&gt;=0,A299,1001)</ns0:f>
        <ns0:v>295</ns0:v>
      </ns0:c>
      <ns0:c r="AB299" s="7">
        <ns0:f>IF(T299&lt;0,A299,0)</ns0:f>
        <ns0:v>0</ns0:v>
      </ns0:c>
      <ns0:c r="AC299" s="16">
        <ns0:f>IF(AND(OR('前提と出典'!$C$36+'前提と出典'!$C$38=0,R299&gt;=0),OR('前提と出典'!$C$37+'前提と出典'!$C$38=0,S299&gt;=0)),0,A299)</ns0:f>
        <ns0:v>0</ns0:v>
      </ns0:c>
      <ns0:c r="AD299" s="7">
        <ns0:f>IF(W299&gt;=0,A299,1001)</ns0:f>
        <ns0:v>295</ns0:v>
      </ns0:c>
      <ns0:c r="AE299" s="7">
        <ns0:f>IF(W299&lt;0,A299,0)</ns0:f>
        <ns0:v>0</ns0:v>
      </ns0:c>
      <ns0:c r="AF299" s="16">
        <ns0:f>IF(AND(OR('前提と出典'!$C$36+'前提と出典'!$C$38=0,U299&gt;=0),OR('前提と出典'!$C$37+'前提と出典'!$C$38=0,V299&gt;=0)),0,A299)</ns0:f>
        <ns0:v>0</ns0:v>
      </ns0:c>
      <ns0:c r="AG299" s="7">
        <ns0:f>IF(Z299&gt;=0,A299,1001)</ns0:f>
        <ns0:v>295</ns0:v>
      </ns0:c>
      <ns0:c r="AH299" s="4">
        <ns0:f>IF(Z299&lt;0,A299,0)</ns0:f>
        <ns0:v>0</ns0:v>
      </ns0:c>
      <ns0:c r="AI299" s="12">
        <ns0:f>IF(AND(OR('前提と出典'!$C$36+'前提と出典'!$C$38=0,X299&gt;=0),OR('前提と出典'!$C$37+'前提と出典'!$C$38=0,Y299&gt;=0)),0,A299)</ns0:f>
        <ns0:v>0</ns0:v>
      </ns0:c>
    </ns0:row>
    <ns0:row r="300" ht="24" customHeight="1">
      <ns0:c r="A300" s="4" t="n">
        <ns0:v>296</ns0:v>
      </ns0:c>
      <ns0:c r="B300" s="12">
        <ns0:f>A300*('前提と出典'!$C$36+'前提と出典'!$C$38)</ns0:f>
        <ns0:v>207.2</ns0:v>
      </ns0:c>
      <ns0:c r="C300" s="12">
        <ns0:f>A300*('前提と出典'!$C$37+'前提と出典'!$C$38)</ns0:f>
        <ns0:v>177.6</ns0:v>
      </ns0:c>
      <ns0:c r="D300" s="16">
        <ns0:f>A300*('前提と出典'!$C$36*'契約別単価'!C5+'前提と出典'!$C$37*'契約別単価'!C6+'前提と出典'!$C$38*'契約別単価'!C7)</ns0:f>
        <ns0:v>2129.877094972067</ns0:v>
      </ns0:c>
      <ns0:c r="E300" s="16">
        <ns0:f>A300*('前提と出典'!$C$36*'契約別単価'!E5+'前提と出典'!$C$37*'契約別単価'!E6+'前提と出典'!$C$38*'契約別単価'!E7)</ns0:f>
        <ns0:v>744106.3852793103</ns0:v>
      </ns0:c>
      <ns0:c r="F300" s="16">
        <ns0:f>A300*('前提と出典'!$C$36*'契約別単価'!F5+'前提と出典'!$C$37*'契約別単価'!F6+'前提と出典'!$C$38*'契約別単価'!F7)</ns0:f>
        <ns0:v>216218.29510585562</ns0:v>
      </ns0:c>
      <ns0:c r="G300" s="16">
        <ns0:f>A300*('前提と出典'!$C$36*'契約別単価'!G5+'前提と出典'!$C$37*'契約別単価'!G6+'前提と出典'!$C$38*'契約別単価'!G7)</ns0:f>
        <ns0:v>589188.8268156424</ns0:v>
      </ns0:c>
      <ns0:c r="H300" s="16">
        <ns0:f>A300*('前提と出典'!$C$36*'契約別単価'!H5+'前提と出典'!$C$37*'契約別単価'!H6+'前提と出典'!$C$38*'契約別単価'!H7)</ns0:f>
        <ns0:v>204478.0730467982</ns0:v>
      </ns0:c>
      <ns0:c r="I300" s="16">
        <ns0:f>A300*('前提と出典'!$C$36*'契約別単価'!I5+'前提と出典'!$C$37*'契約別単価'!I6+'前提と出典'!$C$38*'契約別単価'!I7)</ns0:f>
        <ns0:v>12489.877094972066</ns0:v>
      </ns0:c>
      <ns0:c r="J300" s="16">
        <ns0:f>A300*('前提と出典'!$C$36*'契約別単価'!J5+'前提と出典'!$C$37*'契約別単価'!J6+'前提と出典'!$C$38*'契約別単価'!J7)</ns0:f>
        <ns0:v>29093.70493824956</ns0:v>
      </ns0:c>
      <ns0:c r="K300" s="16">
        <ns0:f>A300*('前提と出典'!$C$36*'契約別単価'!K5+'前提と出典'!$C$37*'契約別単価'!K6+'前提と出典'!$C$38*'契約別単価'!K7)</ns0:f>
        <ns0:v>124705.84729981377</ns0:v>
      </ns0:c>
      <ns0:c r="L300" s="16">
        <ns0:f>A300*('前提と出典'!$C$36*'契約別単価'!L5+'前提と出典'!$C$37*'契約別単価'!L6+'前提と出典'!$C$38*'契約別単価'!L7)</ns0:f>
        <ns0:v>101535.9357682266</ns0:v>
      </ns0:c>
      <ns0:c r="M300" s="16">
        <ns0:f>IF(('前提と出典'!$C$36+'前提と出典'!$C$38)=0,0,IF(B300&lt;=10,'前提と出典'!B73+'前提と出典'!C73,IF(B300&lt;=100,'前提と出典'!B74+'前提と出典'!C74,IF(B300&lt;=500,'前提と出典'!B75+'前提と出典'!C75,'前提と出典'!B76+'前提と出典'!C76))))</ns0:f>
        <ns0:v>40000</ns0:v>
      </ns0:c>
      <ns0:c r="N300" s="16">
        <ns0:f>IF(('前提と出典'!$C$37+'前提と出典'!$C$38)=0,0,IF(C300&lt;=10,'前提と出典'!D73+'前提と出典'!E73,IF(C300&lt;=100,'前提と出典'!D74+'前提と出典'!E74,IF(C300&lt;=500,'前提と出典'!D75+'前提と出典'!E75,'前提と出典'!D76+'前提と出典'!E76))))</ns0:f>
        <ns0:v>56510.9346263078</ns0:v>
      </ns0:c>
      <ns0:c r="O300" s="16">
        <ns0:f>IF('前提と出典'!$C$36+'前提と出典'!$C$38=0,0,'前提と出典'!$B$4*IF('前提と出典'!$B$20=0,MAX('前提と出典'!$B$6,D300*'前提と出典'!$B$5),'前提と出典'!$B$6+D300*'前提と出典'!$B$5))</ns0:f>
        <ns0:v>293923.03910614527</ns0:v>
      </ns0:c>
      <ns0:c r="P300" s="16">
        <ns0:f>(E300+G300)*(1-'前提と出典'!$B$7)-I300-K300-M300-O300</ns0:f>
        <ns0:v>814177.8209586034</ns0:v>
      </ns0:c>
      <ns0:c r="Q300" s="16">
        <ns0:f>(F300+H300)*(1-'前提と出典'!$B$7)-J300-L300-N300</ns0:f>
        <ns0:v>218410.7235663743</ns0:v>
      </ns0:c>
      <ns0:c r="R300" s="16">
        <ns0:f>P300-E300*'前提と出典'!$E$4</ns0:f>
        <ns0:v>590945.9053748103</ns0:v>
      </ns0:c>
      <ns0:c r="S300" s="16">
        <ns0:f>Q300-F300*'前提と出典'!$E$4</ns0:f>
        <ns0:v>153545.23503461762</ns0:v>
      </ns0:c>
      <ns0:c r="T300" s="7">
        <ns0:f>R300+S300</ns0:f>
        <ns0:v>744491.1404094279</ns0:v>
      </ns0:c>
      <ns0:c r="U300" s="16">
        <ns0:f>P300-E300*'前提と出典'!$E$5</ns0:f>
        <ns0:v>516535.26684687927</ns0:v>
      </ns0:c>
      <ns0:c r="V300" s="16">
        <ns0:f>Q300-F300*'前提と出典'!$E$5</ns0:f>
        <ns0:v>131923.40552403204</ns0:v>
      </ns0:c>
      <ns0:c r="W300" s="7">
        <ns0:f>U300+V300</ns0:f>
        <ns0:v>648458.6723709113</ns0:v>
      </ns0:c>
      <ns0:c r="X300" s="16">
        <ns0:f>P300-E300*'前提と出典'!$E$6</ns0:f>
        <ns0:v>442124.6283189482</ns0:v>
      </ns0:c>
      <ns0:c r="Y300" s="16">
        <ns0:f>Q300-F300*'前提と出典'!$E$6</ns0:f>
        <ns0:v>110301.57601344647</ns0:v>
      </ns0:c>
      <ns0:c r="Z300" s="7">
        <ns0:f>X300+Y300</ns0:f>
        <ns0:v>552426.2043323946</ns0:v>
      </ns0:c>
      <ns0:c r="AA300" s="7">
        <ns0:f>IF(T300&gt;=0,A300,1001)</ns0:f>
        <ns0:v>296</ns0:v>
      </ns0:c>
      <ns0:c r="AB300" s="7">
        <ns0:f>IF(T300&lt;0,A300,0)</ns0:f>
        <ns0:v>0</ns0:v>
      </ns0:c>
      <ns0:c r="AC300" s="16">
        <ns0:f>IF(AND(OR('前提と出典'!$C$36+'前提と出典'!$C$38=0,R300&gt;=0),OR('前提と出典'!$C$37+'前提と出典'!$C$38=0,S300&gt;=0)),0,A300)</ns0:f>
        <ns0:v>0</ns0:v>
      </ns0:c>
      <ns0:c r="AD300" s="7">
        <ns0:f>IF(W300&gt;=0,A300,1001)</ns0:f>
        <ns0:v>296</ns0:v>
      </ns0:c>
      <ns0:c r="AE300" s="7">
        <ns0:f>IF(W300&lt;0,A300,0)</ns0:f>
        <ns0:v>0</ns0:v>
      </ns0:c>
      <ns0:c r="AF300" s="16">
        <ns0:f>IF(AND(OR('前提と出典'!$C$36+'前提と出典'!$C$38=0,U300&gt;=0),OR('前提と出典'!$C$37+'前提と出典'!$C$38=0,V300&gt;=0)),0,A300)</ns0:f>
        <ns0:v>0</ns0:v>
      </ns0:c>
      <ns0:c r="AG300" s="7">
        <ns0:f>IF(Z300&gt;=0,A300,1001)</ns0:f>
        <ns0:v>296</ns0:v>
      </ns0:c>
      <ns0:c r="AH300" s="4">
        <ns0:f>IF(Z300&lt;0,A300,0)</ns0:f>
        <ns0:v>0</ns0:v>
      </ns0:c>
      <ns0:c r="AI300" s="12">
        <ns0:f>IF(AND(OR('前提と出典'!$C$36+'前提と出典'!$C$38=0,X300&gt;=0),OR('前提と出典'!$C$37+'前提と出典'!$C$38=0,Y300&gt;=0)),0,A300)</ns0:f>
        <ns0:v>0</ns0:v>
      </ns0:c>
    </ns0:row>
    <ns0:row r="301" ht="24" customHeight="1">
      <ns0:c r="A301" s="4" t="n">
        <ns0:v>297</ns0:v>
      </ns0:c>
      <ns0:c r="B301" s="12">
        <ns0:f>A301*('前提と出典'!$C$36+'前提と出典'!$C$38)</ns0:f>
        <ns0:v>207.89999999999998</ns0:v>
      </ns0:c>
      <ns0:c r="C301" s="12">
        <ns0:f>A301*('前提と出典'!$C$37+'前提と出典'!$C$38)</ns0:f>
        <ns0:v>178.2</ns0:v>
      </ns0:c>
      <ns0:c r="D301" s="16">
        <ns0:f>A301*('前提と出典'!$C$36*'契約別単価'!C5+'前提と出典'!$C$37*'契約別単価'!C6+'前提と出典'!$C$38*'契約別単価'!C7)</ns0:f>
        <ns0:v>2137.072625698324</ns0:v>
      </ns0:c>
      <ns0:c r="E301" s="16">
        <ns0:f>A301*('前提と出典'!$C$36*'契約別単価'!E5+'前提と出典'!$C$37*'契約別単価'!E6+'前提と出典'!$C$38*'契約別単価'!E7)</ns0:f>
        <ns0:v>746620.2582025513</ns0:v>
      </ns0:c>
      <ns0:c r="F301" s="16">
        <ns0:f>A301*('前提と出典'!$C$36*'契約別単価'!F5+'前提と出典'!$C$37*'契約別単価'!F6+'前提と出典'!$C$38*'契約別単価'!F7)</ns0:f>
        <ns0:v>216948.76231905108</ns0:v>
      </ns0:c>
      <ns0:c r="G301" s="16">
        <ns0:f>A301*('前提と出典'!$C$36*'契約別単価'!G5+'前提と出典'!$C$37*'契約別単価'!G6+'前提と出典'!$C$38*'契約別単価'!G7)</ns0:f>
        <ns0:v>591179.3296089385</ns0:v>
      </ns0:c>
      <ns0:c r="H301" s="16">
        <ns0:f>A301*('前提と出典'!$C$36*'契約別単価'!H5+'前提と出典'!$C$37*'契約別単価'!H6+'前提と出典'!$C$38*'契約別単価'!H7)</ns0:f>
        <ns0:v>205168.87734763196</ns0:v>
      </ns0:c>
      <ns0:c r="I301" s="16">
        <ns0:f>A301*('前提と出典'!$C$36*'契約別単価'!I5+'前提と出典'!$C$37*'契約別単価'!I6+'前提と出典'!$C$38*'契約別単価'!I7)</ns0:f>
        <ns0:v>12532.072625698322</ns0:v>
      </ns0:c>
      <ns0:c r="J301" s="16">
        <ns0:f>A301*('前提と出典'!$C$36*'契約別単価'!J5+'前提と出典'!$C$37*'契約別単価'!J6+'前提と出典'!$C$38*'契約別単価'!J7)</ns0:f>
        <ns0:v>29191.994481959864</ns0:v>
      </ns0:c>
      <ns0:c r="K301" s="16">
        <ns0:f>A301*('前提と出典'!$C$36*'契約別単価'!K5+'前提と出典'!$C$37*'契約別単価'!K6+'前提と出典'!$C$38*'契約別単価'!K7)</ns0:f>
        <ns0:v>125127.15083798883</ns0:v>
      </ns0:c>
      <ns0:c r="L301" s="16">
        <ns0:f>A301*('前提と出典'!$C$36*'契約別単価'!L5+'前提と出典'!$C$37*'契約別単価'!L6+'前提と出典'!$C$38*'契約別単価'!L7)</ns0:f>
        <ns0:v>101878.9625782544</ns0:v>
      </ns0:c>
      <ns0:c r="M301" s="16">
        <ns0:f>IF(('前提と出典'!$C$36+'前提と出典'!$C$38)=0,0,IF(B301&lt;=10,'前提と出典'!B73+'前提と出典'!C73,IF(B301&lt;=100,'前提と出典'!B74+'前提と出典'!C74,IF(B301&lt;=500,'前提と出典'!B75+'前提と出典'!C75,'前提と出典'!B76+'前提と出典'!C76))))</ns0:f>
        <ns0:v>40000</ns0:v>
      </ns0:c>
      <ns0:c r="N301" s="16">
        <ns0:f>IF(('前提と出典'!$C$37+'前提と出典'!$C$38)=0,0,IF(C301&lt;=10,'前提と出典'!D73+'前提と出典'!E73,IF(C301&lt;=100,'前提と出典'!D74+'前提と出典'!E74,IF(C301&lt;=500,'前提と出典'!D75+'前提と出典'!E75,'前提と出典'!D76+'前提と出典'!E76))))</ns0:f>
        <ns0:v>56510.9346263078</ns0:v>
      </ns0:c>
      <ns0:c r="O301" s="16">
        <ns0:f>IF('前提と出典'!$C$36+'前提と出典'!$C$38=0,0,'前提と出典'!$B$4*IF('前提と出典'!$B$20=0,MAX('前提と出典'!$B$6,D301*'前提と出典'!$B$5),'前提と出典'!$B$6+D301*'前提と出典'!$B$5))</ns0:f>
        <ns0:v>294916.0223463687</ns0:v>
      </ns0:c>
      <ns0:c r="P301" s="16">
        <ns0:f>(E301+G301)*(1-'前提と出典'!$B$7)-I301-K301-M301-O301</ns0:f>
        <ns0:v>817063.5568402205</ns0:v>
      </ns0:c>
      <ns0:c r="Q301" s="16">
        <ns0:f>(F301+H301)*(1-'前提と出典'!$B$7)-J301-L301-N301</ns0:f>
        <ns0:v>219339.5129521604</ns0:v>
      </ns0:c>
      <ns0:c r="R301" s="16">
        <ns0:f>P301-E301*'前提と出典'!$E$4</ns0:f>
        <ns0:v>593077.4793794549</ns0:v>
      </ns0:c>
      <ns0:c r="S301" s="16">
        <ns0:f>Q301-F301*'前提と出典'!$E$4</ns0:f>
        <ns0:v>154254.88425644505</ns0:v>
      </ns0:c>
      <ns0:c r="T301" s="7">
        <ns0:f>R301+S301</ns0:f>
        <ns0:v>747332.3636359</ns0:v>
      </ns0:c>
      <ns0:c r="U301" s="16">
        <ns0:f>P301-E301*'前提と出典'!$E$5</ns0:f>
        <ns0:v>518415.4535591999</ns0:v>
      </ns0:c>
      <ns0:c r="V301" s="16">
        <ns0:f>Q301-F301*'前提と出典'!$E$5</ns0:f>
        <ns0:v>132560.00802453997</ns0:v>
      </ns0:c>
      <ns0:c r="W301" s="7">
        <ns0:f>U301+V301</ns0:f>
        <ns0:v>650975.4615837398</ns0:v>
      </ns0:c>
      <ns0:c r="X301" s="16">
        <ns0:f>P301-E301*'前提と出典'!$E$6</ns0:f>
        <ns0:v>443753.4277389447</ns0:v>
      </ns0:c>
      <ns0:c r="Y301" s="16">
        <ns0:f>Q301-F301*'前提と出典'!$E$6</ns0:f>
        <ns0:v>110865.13179263484</ns0:v>
      </ns0:c>
      <ns0:c r="Z301" s="7">
        <ns0:f>X301+Y301</ns0:f>
        <ns0:v>554618.5595315795</ns0:v>
      </ns0:c>
      <ns0:c r="AA301" s="7">
        <ns0:f>IF(T301&gt;=0,A301,1001)</ns0:f>
        <ns0:v>297</ns0:v>
      </ns0:c>
      <ns0:c r="AB301" s="7">
        <ns0:f>IF(T301&lt;0,A301,0)</ns0:f>
        <ns0:v>0</ns0:v>
      </ns0:c>
      <ns0:c r="AC301" s="16">
        <ns0:f>IF(AND(OR('前提と出典'!$C$36+'前提と出典'!$C$38=0,R301&gt;=0),OR('前提と出典'!$C$37+'前提と出典'!$C$38=0,S301&gt;=0)),0,A301)</ns0:f>
        <ns0:v>0</ns0:v>
      </ns0:c>
      <ns0:c r="AD301" s="7">
        <ns0:f>IF(W301&gt;=0,A301,1001)</ns0:f>
        <ns0:v>297</ns0:v>
      </ns0:c>
      <ns0:c r="AE301" s="7">
        <ns0:f>IF(W301&lt;0,A301,0)</ns0:f>
        <ns0:v>0</ns0:v>
      </ns0:c>
      <ns0:c r="AF301" s="16">
        <ns0:f>IF(AND(OR('前提と出典'!$C$36+'前提と出典'!$C$38=0,U301&gt;=0),OR('前提と出典'!$C$37+'前提と出典'!$C$38=0,V301&gt;=0)),0,A301)</ns0:f>
        <ns0:v>0</ns0:v>
      </ns0:c>
      <ns0:c r="AG301" s="7">
        <ns0:f>IF(Z301&gt;=0,A301,1001)</ns0:f>
        <ns0:v>297</ns0:v>
      </ns0:c>
      <ns0:c r="AH301" s="4">
        <ns0:f>IF(Z301&lt;0,A301,0)</ns0:f>
        <ns0:v>0</ns0:v>
      </ns0:c>
      <ns0:c r="AI301" s="12">
        <ns0:f>IF(AND(OR('前提と出典'!$C$36+'前提と出典'!$C$38=0,X301&gt;=0),OR('前提と出典'!$C$37+'前提と出典'!$C$38=0,Y301&gt;=0)),0,A301)</ns0:f>
        <ns0:v>0</ns0:v>
      </ns0:c>
    </ns0:row>
    <ns0:row r="302" ht="24" customHeight="1">
      <ns0:c r="A302" s="4" t="n">
        <ns0:v>298</ns0:v>
      </ns0:c>
      <ns0:c r="B302" s="12">
        <ns0:f>A302*('前提と出典'!$C$36+'前提と出典'!$C$38)</ns0:f>
        <ns0:v>208.6</ns0:v>
      </ns0:c>
      <ns0:c r="C302" s="12">
        <ns0:f>A302*('前提と出典'!$C$37+'前提と出典'!$C$38)</ns0:f>
        <ns0:v>178.79999999999998</ns0:v>
      </ns0:c>
      <ns0:c r="D302" s="16">
        <ns0:f>A302*('前提と出典'!$C$36*'契約別単価'!C5+'前提と出典'!$C$37*'契約別単価'!C6+'前提と出典'!$C$38*'契約別単価'!C7)</ns0:f>
        <ns0:v>2144.268156424581</ns0:v>
      </ns0:c>
      <ns0:c r="E302" s="16">
        <ns0:f>A302*('前提と出典'!$C$36*'契約別単価'!E5+'前提と出典'!$C$37*'契約別単価'!E6+'前提と出典'!$C$38*'契約別単価'!E7)</ns0:f>
        <ns0:v>749134.1311257922</ns0:v>
      </ns0:c>
      <ns0:c r="F302" s="16">
        <ns0:f>A302*('前提と出典'!$C$36*'契約別単価'!F5+'前提と出典'!$C$37*'契約別単価'!F6+'前提と出典'!$C$38*'契約別単価'!F7)</ns0:f>
        <ns0:v>217679.22953224654</ns0:v>
      </ns0:c>
      <ns0:c r="G302" s="16">
        <ns0:f>A302*('前提と出典'!$C$36*'契約別単価'!G5+'前提と出典'!$C$37*'契約別単価'!G6+'前提と出典'!$C$38*'契約別単価'!G7)</ns0:f>
        <ns0:v>593169.8324022347</ns0:v>
      </ns0:c>
      <ns0:c r="H302" s="16">
        <ns0:f>A302*('前提と出典'!$C$36*'契約別単価'!H5+'前提と出典'!$C$37*'契約別単価'!H6+'前提と出典'!$C$38*'契約別単価'!H7)</ns0:f>
        <ns0:v>205859.68164846575</ns0:v>
      </ns0:c>
      <ns0:c r="I302" s="16">
        <ns0:f>A302*('前提と出典'!$C$36*'契約別単価'!I5+'前提と出典'!$C$37*'契約別単価'!I6+'前提と出典'!$C$38*'契約別単価'!I7)</ns0:f>
        <ns0:v>12574.26815642458</ns0:v>
      </ns0:c>
      <ns0:c r="J302" s="16">
        <ns0:f>A302*('前提と出典'!$C$36*'契約別単価'!J5+'前提と出典'!$C$37*'契約別単価'!J6+'前提と出典'!$C$38*'契約別単価'!J7)</ns0:f>
        <ns0:v>29290.284025670164</ns0:v>
      </ns0:c>
      <ns0:c r="K302" s="16">
        <ns0:f>A302*('前提と出典'!$C$36*'契約別単価'!K5+'前提と出典'!$C$37*'契約別単価'!K6+'前提と出典'!$C$38*'契約別単価'!K7)</ns0:f>
        <ns0:v>125548.45437616386</ns0:v>
      </ns0:c>
      <ns0:c r="L302" s="16">
        <ns0:f>A302*('前提と出典'!$C$36*'契約別単価'!L5+'前提と出典'!$C$37*'契約別単価'!L6+'前提と出典'!$C$38*'契約別単価'!L7)</ns0:f>
        <ns0:v>102221.98938828219</ns0:v>
      </ns0:c>
      <ns0:c r="M302" s="16">
        <ns0:f>IF(('前提と出典'!$C$36+'前提と出典'!$C$38)=0,0,IF(B302&lt;=10,'前提と出典'!B73+'前提と出典'!C73,IF(B302&lt;=100,'前提と出典'!B74+'前提と出典'!C74,IF(B302&lt;=500,'前提と出典'!B75+'前提と出典'!C75,'前提と出典'!B76+'前提と出典'!C76))))</ns0:f>
        <ns0:v>40000</ns0:v>
      </ns0:c>
      <ns0:c r="N302" s="16">
        <ns0:f>IF(('前提と出典'!$C$37+'前提と出典'!$C$38)=0,0,IF(C302&lt;=10,'前提と出典'!D73+'前提と出典'!E73,IF(C302&lt;=100,'前提と出典'!D74+'前提と出典'!E74,IF(C302&lt;=500,'前提と出典'!D75+'前提と出典'!E75,'前提と出典'!D76+'前提と出典'!E76))))</ns0:f>
        <ns0:v>56510.9346263078</ns0:v>
      </ns0:c>
      <ns0:c r="O302" s="16">
        <ns0:f>IF('前提と出典'!$C$36+'前提と出典'!$C$38=0,0,'前提と出典'!$B$4*IF('前提と出典'!$B$20=0,MAX('前提と出典'!$B$6,D302*'前提と出典'!$B$5),'前提と出典'!$B$6+D302*'前提と出典'!$B$5))</ns0:f>
        <ns0:v>295909.0055865922</ns0:v>
      </ns0:c>
      <ns0:c r="P302" s="16">
        <ns0:f>(E302+G302)*(1-'前提と出典'!$B$7)-I302-K302-M302-O302</ns0:f>
        <ns0:v>819949.2927218372</ns0:v>
      </ns0:c>
      <ns0:c r="Q302" s="16">
        <ns0:f>(F302+H302)*(1-'前提と出典'!$B$7)-J302-L302-N302</ns0:f>
        <ns0:v>220268.3023379465</ns0:v>
      </ns0:c>
      <ns0:c r="R302" s="16">
        <ns0:f>P302-E302*'前提と出典'!$E$4</ns0:f>
        <ns0:v>595209.0533840994</ns0:v>
      </ns0:c>
      <ns0:c r="S302" s="16">
        <ns0:f>Q302-F302*'前提と出典'!$E$4</ns0:f>
        <ns0:v>154964.5334782725</ns0:v>
      </ns0:c>
      <ns0:c r="T302" s="7">
        <ns0:f>R302+S302</ns0:f>
        <ns0:v>750173.5868623719</ns0:v>
      </ns0:c>
      <ns0:c r="U302" s="16">
        <ns0:f>P302-E302*'前提と出典'!$E$5</ns0:f>
        <ns0:v>520295.6402715203</ns0:v>
      </ns0:c>
      <ns0:c r="V302" s="16">
        <ns0:f>Q302-F302*'前提と出典'!$E$5</ns0:f>
        <ns0:v>133196.61052504787</ns0:v>
      </ns0:c>
      <ns0:c r="W302" s="7">
        <ns0:f>U302+V302</ns0:f>
        <ns0:v>653492.2507965681</ns0:v>
      </ns0:c>
      <ns0:c r="X302" s="16">
        <ns0:f>P302-E302*'前提と出典'!$E$6</ns0:f>
        <ns0:v>445382.22715894104</ns0:v>
      </ns0:c>
      <ns0:c r="Y302" s="16">
        <ns0:f>Q302-F302*'前提と出典'!$E$6</ns0:f>
        <ns0:v>111428.68757182325</ns0:v>
      </ns0:c>
      <ns0:c r="Z302" s="7">
        <ns0:f>X302+Y302</ns0:f>
        <ns0:v>556810.9147307642</ns0:v>
      </ns0:c>
      <ns0:c r="AA302" s="7">
        <ns0:f>IF(T302&gt;=0,A302,1001)</ns0:f>
        <ns0:v>298</ns0:v>
      </ns0:c>
      <ns0:c r="AB302" s="7">
        <ns0:f>IF(T302&lt;0,A302,0)</ns0:f>
        <ns0:v>0</ns0:v>
      </ns0:c>
      <ns0:c r="AC302" s="16">
        <ns0:f>IF(AND(OR('前提と出典'!$C$36+'前提と出典'!$C$38=0,R302&gt;=0),OR('前提と出典'!$C$37+'前提と出典'!$C$38=0,S302&gt;=0)),0,A302)</ns0:f>
        <ns0:v>0</ns0:v>
      </ns0:c>
      <ns0:c r="AD302" s="7">
        <ns0:f>IF(W302&gt;=0,A302,1001)</ns0:f>
        <ns0:v>298</ns0:v>
      </ns0:c>
      <ns0:c r="AE302" s="7">
        <ns0:f>IF(W302&lt;0,A302,0)</ns0:f>
        <ns0:v>0</ns0:v>
      </ns0:c>
      <ns0:c r="AF302" s="16">
        <ns0:f>IF(AND(OR('前提と出典'!$C$36+'前提と出典'!$C$38=0,U302&gt;=0),OR('前提と出典'!$C$37+'前提と出典'!$C$38=0,V302&gt;=0)),0,A302)</ns0:f>
        <ns0:v>0</ns0:v>
      </ns0:c>
      <ns0:c r="AG302" s="7">
        <ns0:f>IF(Z302&gt;=0,A302,1001)</ns0:f>
        <ns0:v>298</ns0:v>
      </ns0:c>
      <ns0:c r="AH302" s="4">
        <ns0:f>IF(Z302&lt;0,A302,0)</ns0:f>
        <ns0:v>0</ns0:v>
      </ns0:c>
      <ns0:c r="AI302" s="12">
        <ns0:f>IF(AND(OR('前提と出典'!$C$36+'前提と出典'!$C$38=0,X302&gt;=0),OR('前提と出典'!$C$37+'前提と出典'!$C$38=0,Y302&gt;=0)),0,A302)</ns0:f>
        <ns0:v>0</ns0:v>
      </ns0:c>
    </ns0:row>
    <ns0:row r="303" ht="24" customHeight="1">
      <ns0:c r="A303" s="4" t="n">
        <ns0:v>299</ns0:v>
      </ns0:c>
      <ns0:c r="B303" s="12">
        <ns0:f>A303*('前提と出典'!$C$36+'前提と出典'!$C$38)</ns0:f>
        <ns0:v>209.29999999999998</ns0:v>
      </ns0:c>
      <ns0:c r="C303" s="12">
        <ns0:f>A303*('前提と出典'!$C$37+'前提と出典'!$C$38)</ns0:f>
        <ns0:v>179.4</ns0:v>
      </ns0:c>
      <ns0:c r="D303" s="16">
        <ns0:f>A303*('前提と出典'!$C$36*'契約別単価'!C5+'前提と出典'!$C$37*'契約別単価'!C6+'前提と出典'!$C$38*'契約別単価'!C7)</ns0:f>
        <ns0:v>2151.463687150838</ns0:v>
      </ns0:c>
      <ns0:c r="E303" s="16">
        <ns0:f>A303*('前提と出典'!$C$36*'契約別単価'!E5+'前提と出典'!$C$37*'契約別単価'!E6+'前提と出典'!$C$38*'契約別単価'!E7)</ns0:f>
        <ns0:v>751648.004049033</ns0:v>
      </ns0:c>
      <ns0:c r="F303" s="16">
        <ns0:f>A303*('前提と出典'!$C$36*'契約別単価'!F5+'前提と出典'!$C$37*'契約別単価'!F6+'前提と出典'!$C$38*'契約別単価'!F7)</ns0:f>
        <ns0:v>218409.696745442</ns0:v>
      </ns0:c>
      <ns0:c r="G303" s="16">
        <ns0:f>A303*('前提と出典'!$C$36*'契約別単価'!G5+'前提と出典'!$C$37*'契約別単価'!G6+'前提と出典'!$C$38*'契約別単価'!G7)</ns0:f>
        <ns0:v>595160.3351955307</ns0:v>
      </ns0:c>
      <ns0:c r="H303" s="16">
        <ns0:f>A303*('前提と出典'!$C$36*'契約別単価'!H5+'前提と出典'!$C$37*'契約別単価'!H6+'前提と出典'!$C$38*'契約別単価'!H7)</ns0:f>
        <ns0:v>206550.48594929953</ns0:v>
      </ns0:c>
      <ns0:c r="I303" s="16">
        <ns0:f>A303*('前提と出典'!$C$36*'契約別単価'!I5+'前提と出典'!$C$37*'契約別単価'!I6+'前提と出典'!$C$38*'契約別単価'!I7)</ns0:f>
        <ns0:v>12616.463687150836</ns0:v>
      </ns0:c>
      <ns0:c r="J303" s="16">
        <ns0:f>A303*('前提と出典'!$C$36*'契約別単価'!J5+'前提と出典'!$C$37*'契約別単価'!J6+'前提と出典'!$C$38*'契約別単価'!J7)</ns0:f>
        <ns0:v>29388.573569380467</ns0:v>
      </ns0:c>
      <ns0:c r="K303" s="16">
        <ns0:f>A303*('前提と出典'!$C$36*'契約別単価'!K5+'前提と出典'!$C$37*'契約別単価'!K6+'前提と出典'!$C$38*'契約別単価'!K7)</ns0:f>
        <ns0:v>125969.75791433892</ns0:v>
      </ns0:c>
      <ns0:c r="L303" s="16">
        <ns0:f>A303*('前提と出典'!$C$36*'契約別単価'!L5+'前提と出典'!$C$37*'契約別単価'!L6+'前提と出典'!$C$38*'契約別単価'!L7)</ns0:f>
        <ns0:v>102565.01619830998</ns0:v>
      </ns0:c>
      <ns0:c r="M303" s="16">
        <ns0:f>IF(('前提と出典'!$C$36+'前提と出典'!$C$38)=0,0,IF(B303&lt;=10,'前提と出典'!B73+'前提と出典'!C73,IF(B303&lt;=100,'前提と出典'!B74+'前提と出典'!C74,IF(B303&lt;=500,'前提と出典'!B75+'前提と出典'!C75,'前提と出典'!B76+'前提と出典'!C76))))</ns0:f>
        <ns0:v>40000</ns0:v>
      </ns0:c>
      <ns0:c r="N303" s="16">
        <ns0:f>IF(('前提と出典'!$C$37+'前提と出典'!$C$38)=0,0,IF(C303&lt;=10,'前提と出典'!D73+'前提と出典'!E73,IF(C303&lt;=100,'前提と出典'!D74+'前提と出典'!E74,IF(C303&lt;=500,'前提と出典'!D75+'前提と出典'!E75,'前提と出典'!D76+'前提と出典'!E76))))</ns0:f>
        <ns0:v>56510.9346263078</ns0:v>
      </ns0:c>
      <ns0:c r="O303" s="16">
        <ns0:f>IF('前提と出典'!$C$36+'前提と出典'!$C$38=0,0,'前提と出典'!$B$4*IF('前提と出典'!$B$20=0,MAX('前提と出典'!$B$6,D303*'前提と出典'!$B$5),'前提と出典'!$B$6+D303*'前提と出典'!$B$5))</ns0:f>
        <ns0:v>296901.9888268156</ns0:v>
      </ns0:c>
      <ns0:c r="P303" s="16">
        <ns0:f>(E303+G303)*(1-'前提と出典'!$B$7)-I303-K303-M303-O303</ns0:f>
        <ns0:v>822835.0286034539</ns0:v>
      </ns0:c>
      <ns0:c r="Q303" s="16">
        <ns0:f>(F303+H303)*(1-'前提と出典'!$B$7)-J303-L303-N303</ns0:f>
        <ns0:v>221197.0917237326</ns0:v>
      </ns0:c>
      <ns0:c r="R303" s="16">
        <ns0:f>P303-E303*'前提と出典'!$E$4</ns0:f>
        <ns0:v>597340.627388744</ns0:v>
      </ns0:c>
      <ns0:c r="S303" s="16">
        <ns0:f>Q303-F303*'前提と出典'!$E$4</ns0:f>
        <ns0:v>155674.18270010003</ns0:v>
      </ns0:c>
      <ns0:c r="T303" s="7">
        <ns0:f>R303+S303</ns0:f>
        <ns0:v>753014.810088844</ns0:v>
      </ns0:c>
      <ns0:c r="U303" s="16">
        <ns0:f>P303-E303*'前提と出典'!$E$5</ns0:f>
        <ns0:v>522175.82698384067</ns0:v>
      </ns0:c>
      <ns0:c r="V303" s="16">
        <ns0:f>Q303-F303*'前提と出典'!$E$5</ns0:f>
        <ns0:v>133833.2130255558</ns0:v>
      </ns0:c>
      <ns0:c r="W303" s="7">
        <ns0:f>U303+V303</ns0:f>
        <ns0:v>656009.0400093965</ns0:v>
      </ns0:c>
      <ns0:c r="X303" s="16">
        <ns0:f>P303-E303*'前提と出典'!$E$6</ns0:f>
        <ns0:v>447011.0265789374</ns0:v>
      </ns0:c>
      <ns0:c r="Y303" s="16">
        <ns0:f>Q303-F303*'前提と出典'!$E$6</ns0:f>
        <ns0:v>111992.24335101162</ns0:v>
      </ns0:c>
      <ns0:c r="Z303" s="7">
        <ns0:f>X303+Y303</ns0:f>
        <ns0:v>559003.2699299491</ns0:v>
      </ns0:c>
      <ns0:c r="AA303" s="7">
        <ns0:f>IF(T303&gt;=0,A303,1001)</ns0:f>
        <ns0:v>299</ns0:v>
      </ns0:c>
      <ns0:c r="AB303" s="7">
        <ns0:f>IF(T303&lt;0,A303,0)</ns0:f>
        <ns0:v>0</ns0:v>
      </ns0:c>
      <ns0:c r="AC303" s="16">
        <ns0:f>IF(AND(OR('前提と出典'!$C$36+'前提と出典'!$C$38=0,R303&gt;=0),OR('前提と出典'!$C$37+'前提と出典'!$C$38=0,S303&gt;=0)),0,A303)</ns0:f>
        <ns0:v>0</ns0:v>
      </ns0:c>
      <ns0:c r="AD303" s="7">
        <ns0:f>IF(W303&gt;=0,A303,1001)</ns0:f>
        <ns0:v>299</ns0:v>
      </ns0:c>
      <ns0:c r="AE303" s="7">
        <ns0:f>IF(W303&lt;0,A303,0)</ns0:f>
        <ns0:v>0</ns0:v>
      </ns0:c>
      <ns0:c r="AF303" s="16">
        <ns0:f>IF(AND(OR('前提と出典'!$C$36+'前提と出典'!$C$38=0,U303&gt;=0),OR('前提と出典'!$C$37+'前提と出典'!$C$38=0,V303&gt;=0)),0,A303)</ns0:f>
        <ns0:v>0</ns0:v>
      </ns0:c>
      <ns0:c r="AG303" s="7">
        <ns0:f>IF(Z303&gt;=0,A303,1001)</ns0:f>
        <ns0:v>299</ns0:v>
      </ns0:c>
      <ns0:c r="AH303" s="4">
        <ns0:f>IF(Z303&lt;0,A303,0)</ns0:f>
        <ns0:v>0</ns0:v>
      </ns0:c>
      <ns0:c r="AI303" s="12">
        <ns0:f>IF(AND(OR('前提と出典'!$C$36+'前提と出典'!$C$38=0,X303&gt;=0),OR('前提と出典'!$C$37+'前提と出典'!$C$38=0,Y303&gt;=0)),0,A303)</ns0:f>
        <ns0:v>0</ns0:v>
      </ns0:c>
    </ns0:row>
    <ns0:row r="304" ht="24" customHeight="1">
      <ns0:c r="A304" s="4" t="n">
        <ns0:v>300</ns0:v>
      </ns0:c>
      <ns0:c r="B304" s="12">
        <ns0:f>A304*('前提と出典'!$C$36+'前提と出典'!$C$38)</ns0:f>
        <ns0:v>210</ns0:v>
      </ns0:c>
      <ns0:c r="C304" s="12">
        <ns0:f>A304*('前提と出典'!$C$37+'前提と出典'!$C$38)</ns0:f>
        <ns0:v>180</ns0:v>
      </ns0:c>
      <ns0:c r="D304" s="16">
        <ns0:f>A304*('前提と出典'!$C$36*'契約別単価'!C5+'前提と出典'!$C$37*'契約別単価'!C6+'前提と出典'!$C$38*'契約別単価'!C7)</ns0:f>
        <ns0:v>2158.6592178770948</ns0:v>
      </ns0:c>
      <ns0:c r="E304" s="16">
        <ns0:f>A304*('前提と出典'!$C$36*'契約別単価'!E5+'前提と出典'!$C$37*'契約別単価'!E6+'前提と出典'!$C$38*'契約別単価'!E7)</ns0:f>
        <ns0:v>754161.8769722739</ns0:v>
      </ns0:c>
      <ns0:c r="F304" s="16">
        <ns0:f>A304*('前提と出典'!$C$36*'契約別単価'!F5+'前提と出典'!$C$37*'契約別単価'!F6+'前提と出典'!$C$38*'契約別単価'!F7)</ns0:f>
        <ns0:v>219140.16395863745</ns0:v>
      </ns0:c>
      <ns0:c r="G304" s="16">
        <ns0:f>A304*('前提と出典'!$C$36*'契約別単価'!G5+'前提と出典'!$C$37*'契約別単価'!G6+'前提と出典'!$C$38*'契約別単価'!G7)</ns0:f>
        <ns0:v>597150.8379888268</ns0:v>
      </ns0:c>
      <ns0:c r="H304" s="16">
        <ns0:f>A304*('前提と出典'!$C$36*'契約別単価'!H5+'前提と出典'!$C$37*'契約別単価'!H6+'前提と出典'!$C$38*'契約別単価'!H7)</ns0:f>
        <ns0:v>207241.29025013332</ns0:v>
      </ns0:c>
      <ns0:c r="I304" s="16">
        <ns0:f>A304*('前提と出典'!$C$36*'契約別単価'!I5+'前提と出典'!$C$37*'契約別単価'!I6+'前提と出典'!$C$38*'契約別単価'!I7)</ns0:f>
        <ns0:v>12658.659217877093</ns0:v>
      </ns0:c>
      <ns0:c r="J304" s="16">
        <ns0:f>A304*('前提と出典'!$C$36*'契約別単価'!J5+'前提と出典'!$C$37*'契約別単価'!J6+'前提と出典'!$C$38*'契約別単価'!J7)</ns0:f>
        <ns0:v>29486.86311309077</ns0:v>
      </ns0:c>
      <ns0:c r="K304" s="16">
        <ns0:f>A304*('前提と出典'!$C$36*'契約別単価'!K5+'前提と出典'!$C$37*'契約別単価'!K6+'前提と出典'!$C$38*'契約別単価'!K7)</ns0:f>
        <ns0:v>126391.06145251395</ns0:v>
      </ns0:c>
      <ns0:c r="L304" s="16">
        <ns0:f>A304*('前提と出典'!$C$36*'契約別単価'!L5+'前提と出典'!$C$37*'契約別単価'!L6+'前提と出典'!$C$38*'契約別単価'!L7)</ns0:f>
        <ns0:v>102908.04300833777</ns0:v>
      </ns0:c>
      <ns0:c r="M304" s="16">
        <ns0:f>IF(('前提と出典'!$C$36+'前提と出典'!$C$38)=0,0,IF(B304&lt;=10,'前提と出典'!B73+'前提と出典'!C73,IF(B304&lt;=100,'前提と出典'!B74+'前提と出典'!C74,IF(B304&lt;=500,'前提と出典'!B75+'前提と出典'!C75,'前提と出典'!B76+'前提と出典'!C76))))</ns0:f>
        <ns0:v>40000</ns0:v>
      </ns0:c>
      <ns0:c r="N304" s="16">
        <ns0:f>IF(('前提と出典'!$C$37+'前提と出典'!$C$38)=0,0,IF(C304&lt;=10,'前提と出典'!D73+'前提と出典'!E73,IF(C304&lt;=100,'前提と出典'!D74+'前提と出典'!E74,IF(C304&lt;=500,'前提と出典'!D75+'前提と出典'!E75,'前提と出典'!D76+'前提と出典'!E76))))</ns0:f>
        <ns0:v>56510.9346263078</ns0:v>
      </ns0:c>
      <ns0:c r="O304" s="16">
        <ns0:f>IF('前提と出典'!$C$36+'前提と出典'!$C$38=0,0,'前提と出典'!$B$4*IF('前提と出典'!$B$20=0,MAX('前提と出典'!$B$6,D304*'前提と出典'!$B$5),'前提と出典'!$B$6+D304*'前提と出典'!$B$5))</ns0:f>
        <ns0:v>297894.9720670391</ns0:v>
      </ns0:c>
      <ns0:c r="P304" s="16">
        <ns0:f>(E304+G304)*(1-'前提と出典'!$B$7)-I304-K304-M304-O304</ns0:f>
        <ns0:v>825720.764485071</ns0:v>
      </ns0:c>
      <ns0:c r="Q304" s="16">
        <ns0:f>(F304+H304)*(1-'前提と出典'!$B$7)-J304-L304-N304</ns0:f>
        <ns0:v>222125.8811095187</ns0:v>
      </ns0:c>
      <ns0:c r="R304" s="16">
        <ns0:f>P304-E304*'前提と出典'!$E$4</ns0:f>
        <ns0:v>599472.2013933889</ns0:v>
      </ns0:c>
      <ns0:c r="S304" s="16">
        <ns0:f>Q304-F304*'前提と出典'!$E$4</ns0:f>
        <ns0:v>156383.83192192746</ns0:v>
      </ns0:c>
      <ns0:c r="T304" s="7">
        <ns0:f>R304+S304</ns0:f>
        <ns0:v>755856.0333153163</ns0:v>
      </ns0:c>
      <ns0:c r="U304" s="16">
        <ns0:f>P304-E304*'前提と出典'!$E$5</ns0:f>
        <ns0:v>524056.01369616145</ns0:v>
      </ns0:c>
      <ns0:c r="V304" s="16">
        <ns0:f>Q304-F304*'前提と出典'!$E$5</ns0:f>
        <ns0:v>134469.81552606373</ns0:v>
      </ns0:c>
      <ns0:c r="W304" s="7">
        <ns0:f>U304+V304</ns0:f>
        <ns0:v>658525.8292222251</ns0:v>
      </ns0:c>
      <ns0:c r="X304" s="16">
        <ns0:f>P304-E304*'前提と出典'!$E$6</ns0:f>
        <ns0:v>448639.8259989341</ns0:v>
      </ns0:c>
      <ns0:c r="Y304" s="16">
        <ns0:f>Q304-F304*'前提と出典'!$E$6</ns0:f>
        <ns0:v>112555.79913019994</ns0:v>
      </ns0:c>
      <ns0:c r="Z304" s="7">
        <ns0:f>X304+Y304</ns0:f>
        <ns0:v>561195.625129134</ns0:v>
      </ns0:c>
      <ns0:c r="AA304" s="7">
        <ns0:f>IF(T304&gt;=0,A304,1001)</ns0:f>
        <ns0:v>300</ns0:v>
      </ns0:c>
      <ns0:c r="AB304" s="7">
        <ns0:f>IF(T304&lt;0,A304,0)</ns0:f>
        <ns0:v>0</ns0:v>
      </ns0:c>
      <ns0:c r="AC304" s="16">
        <ns0:f>IF(AND(OR('前提と出典'!$C$36+'前提と出典'!$C$38=0,R304&gt;=0),OR('前提と出典'!$C$37+'前提と出典'!$C$38=0,S304&gt;=0)),0,A304)</ns0:f>
        <ns0:v>0</ns0:v>
      </ns0:c>
      <ns0:c r="AD304" s="7">
        <ns0:f>IF(W304&gt;=0,A304,1001)</ns0:f>
        <ns0:v>300</ns0:v>
      </ns0:c>
      <ns0:c r="AE304" s="7">
        <ns0:f>IF(W304&lt;0,A304,0)</ns0:f>
        <ns0:v>0</ns0:v>
      </ns0:c>
      <ns0:c r="AF304" s="16">
        <ns0:f>IF(AND(OR('前提と出典'!$C$36+'前提と出典'!$C$38=0,U304&gt;=0),OR('前提と出典'!$C$37+'前提と出典'!$C$38=0,V304&gt;=0)),0,A304)</ns0:f>
        <ns0:v>0</ns0:v>
      </ns0:c>
      <ns0:c r="AG304" s="7">
        <ns0:f>IF(Z304&gt;=0,A304,1001)</ns0:f>
        <ns0:v>300</ns0:v>
      </ns0:c>
      <ns0:c r="AH304" s="4">
        <ns0:f>IF(Z304&lt;0,A304,0)</ns0:f>
        <ns0:v>0</ns0:v>
      </ns0:c>
      <ns0:c r="AI304" s="12">
        <ns0:f>IF(AND(OR('前提と出典'!$C$36+'前提と出典'!$C$38=0,X304&gt;=0),OR('前提と出典'!$C$37+'前提と出典'!$C$38=0,Y304&gt;=0)),0,A304)</ns0:f>
        <ns0:v>0</ns0:v>
      </ns0:c>
    </ns0:row>
    <ns0:row r="305" ht="24" customHeight="1">
      <ns0:c r="A305" s="4" t="n">
        <ns0:v>301</ns0:v>
      </ns0:c>
      <ns0:c r="B305" s="12">
        <ns0:f>A305*('前提と出典'!$C$36+'前提と出典'!$C$38)</ns0:f>
        <ns0:v>210.7</ns0:v>
      </ns0:c>
      <ns0:c r="C305" s="12">
        <ns0:f>A305*('前提と出典'!$C$37+'前提と出典'!$C$38)</ns0:f>
        <ns0:v>180.6</ns0:v>
      </ns0:c>
      <ns0:c r="D305" s="16">
        <ns0:f>A305*('前提と出典'!$C$36*'契約別単価'!C5+'前提と出典'!$C$37*'契約別単価'!C6+'前提と出典'!$C$38*'契約別単価'!C7)</ns0:f>
        <ns0:v>2165.854748603352</ns0:v>
      </ns0:c>
      <ns0:c r="E305" s="16">
        <ns0:f>A305*('前提と出典'!$C$36*'契約別単価'!E5+'前提と出典'!$C$37*'契約別単価'!E6+'前提と出典'!$C$38*'契約別単価'!E7)</ns0:f>
        <ns0:v>756675.7498955149</ns0:v>
      </ns0:c>
      <ns0:c r="F305" s="16">
        <ns0:f>A305*('前提と出典'!$C$36*'契約別単価'!F5+'前提と出典'!$C$37*'契約別単価'!F6+'前提と出典'!$C$38*'契約別単価'!F7)</ns0:f>
        <ns0:v>219870.6311718329</ns0:v>
      </ns0:c>
      <ns0:c r="G305" s="16">
        <ns0:f>A305*('前提と出典'!$C$36*'契約別単価'!G5+'前提と出典'!$C$37*'契約別単価'!G6+'前提と出典'!$C$38*'契約別単価'!G7)</ns0:f>
        <ns0:v>599141.3407821229</ns0:v>
      </ns0:c>
      <ns0:c r="H305" s="16">
        <ns0:f>A305*('前提と出典'!$C$36*'契約別単価'!H5+'前提と出典'!$C$37*'契約別単価'!H6+'前提と出典'!$C$38*'契約別単価'!H7)</ns0:f>
        <ns0:v>207932.09455096707</ns0:v>
      </ns0:c>
      <ns0:c r="I305" s="16">
        <ns0:f>A305*('前提と出典'!$C$36*'契約別単価'!I5+'前提と出典'!$C$37*'契約別単価'!I6+'前提と出典'!$C$38*'契約別単価'!I7)</ns0:f>
        <ns0:v>12700.85474860335</ns0:v>
      </ns0:c>
      <ns0:c r="J305" s="16">
        <ns0:f>A305*('前提と出典'!$C$36*'契約別単価'!J5+'前提と出典'!$C$37*'契約別単価'!J6+'前提と出典'!$C$38*'契約別単価'!J7)</ns0:f>
        <ns0:v>29585.152656801074</ns0:v>
      </ns0:c>
      <ns0:c r="K305" s="16">
        <ns0:f>A305*('前提と出典'!$C$36*'契約別単価'!K5+'前提と出典'!$C$37*'契約別単価'!K6+'前提と出典'!$C$38*'契約別単価'!K7)</ns0:f>
        <ns0:v>126812.364990689</ns0:v>
      </ns0:c>
      <ns0:c r="L305" s="16">
        <ns0:f>A305*('前提と出典'!$C$36*'契約別単価'!L5+'前提と出典'!$C$37*'契約別単価'!L6+'前提と出典'!$C$38*'契約別単価'!L7)</ns0:f>
        <ns0:v>103251.06981836556</ns0:v>
      </ns0:c>
      <ns0:c r="M305" s="16">
        <ns0:f>IF(('前提と出典'!$C$36+'前提と出典'!$C$38)=0,0,IF(B305&lt;=10,'前提と出典'!B73+'前提と出典'!C73,IF(B305&lt;=100,'前提と出典'!B74+'前提と出典'!C74,IF(B305&lt;=500,'前提と出典'!B75+'前提と出典'!C75,'前提と出典'!B76+'前提と出典'!C76))))</ns0:f>
        <ns0:v>40000</ns0:v>
      </ns0:c>
      <ns0:c r="N305" s="16">
        <ns0:f>IF(('前提と出典'!$C$37+'前提と出典'!$C$38)=0,0,IF(C305&lt;=10,'前提と出典'!D73+'前提と出典'!E73,IF(C305&lt;=100,'前提と出典'!D74+'前提と出典'!E74,IF(C305&lt;=500,'前提と出典'!D75+'前提と出典'!E75,'前提と出典'!D76+'前提と出典'!E76))))</ns0:f>
        <ns0:v>56510.9346263078</ns0:v>
      </ns0:c>
      <ns0:c r="O305" s="16">
        <ns0:f>IF('前提と出典'!$C$36+'前提と出典'!$C$38=0,0,'前提と出典'!$B$4*IF('前提と出典'!$B$20=0,MAX('前提と出典'!$B$6,D305*'前提と出典'!$B$5),'前提と出典'!$B$6+D305*'前提と出典'!$B$5))</ns0:f>
        <ns0:v>298887.9553072626</ns0:v>
      </ns0:c>
      <ns0:c r="P305" s="16">
        <ns0:f>(E305+G305)*(1-'前提と出典'!$B$7)-I305-K305-M305-O305</ns0:f>
        <ns0:v>828606.500366688</ns0:v>
      </ns0:c>
      <ns0:c r="Q305" s="16">
        <ns0:f>(F305+H305)*(1-'前提と出典'!$B$7)-J305-L305-N305</ns0:f>
        <ns0:v>223054.67049530474</ns0:v>
      </ns0:c>
      <ns0:c r="R305" s="16">
        <ns0:f>P305-E305*'前提と出典'!$E$4</ns0:f>
        <ns0:v>601603.7753980332</ns0:v>
      </ns0:c>
      <ns0:c r="S305" s="16">
        <ns0:f>Q305-F305*'前提と出典'!$E$4</ns0:f>
        <ns0:v>157093.48114375497</ns0:v>
      </ns0:c>
      <ns0:c r="T305" s="7">
        <ns0:f>R305+S305</ns0:f>
        <ns0:v>758697.2565417881</ns0:v>
      </ns0:c>
      <ns0:c r="U305" s="16">
        <ns0:f>P305-E305*'前提と出典'!$E$5</ns0:f>
        <ns0:v>525936.200408482</ns0:v>
      </ns0:c>
      <ns0:c r="V305" s="16">
        <ns0:f>Q305-F305*'前提と出典'!$E$5</ns0:f>
        <ns0:v>135106.41802657157</ns0:v>
      </ns0:c>
      <ns0:c r="W305" s="7">
        <ns0:f>U305+V305</ns0:f>
        <ns0:v>661042.6184350536</ns0:v>
      </ns0:c>
      <ns0:c r="X305" s="16">
        <ns0:f>P305-E305*'前提と出典'!$E$6</ns0:f>
        <ns0:v>450268.62541893055</ns0:v>
      </ns0:c>
      <ns0:c r="Y305" s="16">
        <ns0:f>Q305-F305*'前提と出典'!$E$6</ns0:f>
        <ns0:v>113119.35490938829</ns0:v>
      </ns0:c>
      <ns0:c r="Z305" s="7">
        <ns0:f>X305+Y305</ns0:f>
        <ns0:v>563387.9803283189</ns0:v>
      </ns0:c>
      <ns0:c r="AA305" s="7">
        <ns0:f>IF(T305&gt;=0,A305,1001)</ns0:f>
        <ns0:v>301</ns0:v>
      </ns0:c>
      <ns0:c r="AB305" s="7">
        <ns0:f>IF(T305&lt;0,A305,0)</ns0:f>
        <ns0:v>0</ns0:v>
      </ns0:c>
      <ns0:c r="AC305" s="16">
        <ns0:f>IF(AND(OR('前提と出典'!$C$36+'前提と出典'!$C$38=0,R305&gt;=0),OR('前提と出典'!$C$37+'前提と出典'!$C$38=0,S305&gt;=0)),0,A305)</ns0:f>
        <ns0:v>0</ns0:v>
      </ns0:c>
      <ns0:c r="AD305" s="7">
        <ns0:f>IF(W305&gt;=0,A305,1001)</ns0:f>
        <ns0:v>301</ns0:v>
      </ns0:c>
      <ns0:c r="AE305" s="7">
        <ns0:f>IF(W305&lt;0,A305,0)</ns0:f>
        <ns0:v>0</ns0:v>
      </ns0:c>
      <ns0:c r="AF305" s="16">
        <ns0:f>IF(AND(OR('前提と出典'!$C$36+'前提と出典'!$C$38=0,U305&gt;=0),OR('前提と出典'!$C$37+'前提と出典'!$C$38=0,V305&gt;=0)),0,A305)</ns0:f>
        <ns0:v>0</ns0:v>
      </ns0:c>
      <ns0:c r="AG305" s="7">
        <ns0:f>IF(Z305&gt;=0,A305,1001)</ns0:f>
        <ns0:v>301</ns0:v>
      </ns0:c>
      <ns0:c r="AH305" s="4">
        <ns0:f>IF(Z305&lt;0,A305,0)</ns0:f>
        <ns0:v>0</ns0:v>
      </ns0:c>
      <ns0:c r="AI305" s="12">
        <ns0:f>IF(AND(OR('前提と出典'!$C$36+'前提と出典'!$C$38=0,X305&gt;=0),OR('前提と出典'!$C$37+'前提と出典'!$C$38=0,Y305&gt;=0)),0,A305)</ns0:f>
        <ns0:v>0</ns0:v>
      </ns0:c>
    </ns0:row>
    <ns0:row r="306" ht="24" customHeight="1">
      <ns0:c r="A306" s="4" t="n">
        <ns0:v>302</ns0:v>
      </ns0:c>
      <ns0:c r="B306" s="12">
        <ns0:f>A306*('前提と出典'!$C$36+'前提と出典'!$C$38)</ns0:f>
        <ns0:v>211.39999999999998</ns0:v>
      </ns0:c>
      <ns0:c r="C306" s="12">
        <ns0:f>A306*('前提と出典'!$C$37+'前提と出典'!$C$38)</ns0:f>
        <ns0:v>181.2</ns0:v>
      </ns0:c>
      <ns0:c r="D306" s="16">
        <ns0:f>A306*('前提と出典'!$C$36*'契約別単価'!C5+'前提と出典'!$C$37*'契約別単価'!C6+'前提と出典'!$C$38*'契約別単価'!C7)</ns0:f>
        <ns0:v>2173.050279329609</ns0:v>
      </ns0:c>
      <ns0:c r="E306" s="16">
        <ns0:f>A306*('前提と出典'!$C$36*'契約別単価'!E5+'前提と出典'!$C$37*'契約別単価'!E6+'前提と出典'!$C$38*'契約別単価'!E7)</ns0:f>
        <ns0:v>759189.6228187558</ns0:v>
      </ns0:c>
      <ns0:c r="F306" s="16">
        <ns0:f>A306*('前提と出典'!$C$36*'契約別単価'!F5+'前提と出典'!$C$37*'契約別単価'!F6+'前提と出典'!$C$38*'契約別単価'!F7)</ns0:f>
        <ns0:v>220601.09838502837</ns0:v>
      </ns0:c>
      <ns0:c r="G306" s="16">
        <ns0:f>A306*('前提と出典'!$C$36*'契約別単価'!G5+'前提と出典'!$C$37*'契約別単価'!G6+'前提と出典'!$C$38*'契約別単価'!G7)</ns0:f>
        <ns0:v>601131.8435754189</ns0:v>
      </ns0:c>
      <ns0:c r="H306" s="16">
        <ns0:f>A306*('前提と出典'!$C$36*'契約別単価'!H5+'前提と出典'!$C$37*'契約別単価'!H6+'前提と出典'!$C$38*'契約別単価'!H7)</ns0:f>
        <ns0:v>208622.89885180086</ns0:v>
      </ns0:c>
      <ns0:c r="I306" s="16">
        <ns0:f>A306*('前提と出典'!$C$36*'契約別単価'!I5+'前提と出典'!$C$37*'契約別単価'!I6+'前提と出典'!$C$38*'契約別単価'!I7)</ns0:f>
        <ns0:v>12743.050279329607</ns0:v>
      </ns0:c>
      <ns0:c r="J306" s="16">
        <ns0:f>A306*('前提と出典'!$C$36*'契約別単価'!J5+'前提と出典'!$C$37*'契約別単価'!J6+'前提と出典'!$C$38*'契約別単価'!J7)</ns0:f>
        <ns0:v>29683.442200511374</ns0:v>
      </ns0:c>
      <ns0:c r="K306" s="16">
        <ns0:f>A306*('前提と出典'!$C$36*'契約別単価'!K5+'前提と出典'!$C$37*'契約別単価'!K6+'前提と出典'!$C$38*'契約別単価'!K7)</ns0:f>
        <ns0:v>127233.66852886404</ns0:v>
      </ns0:c>
      <ns0:c r="L306" s="16">
        <ns0:f>A306*('前提と出典'!$C$36*'契約別単価'!L5+'前提と出典'!$C$37*'契約別単価'!L6+'前提と出典'!$C$38*'契約別単価'!L7)</ns0:f>
        <ns0:v>103594.09662839335</ns0:v>
      </ns0:c>
      <ns0:c r="M306" s="16">
        <ns0:f>IF(('前提と出典'!$C$36+'前提と出典'!$C$38)=0,0,IF(B306&lt;=10,'前提と出典'!B73+'前提と出典'!C73,IF(B306&lt;=100,'前提と出典'!B74+'前提と出典'!C74,IF(B306&lt;=500,'前提と出典'!B75+'前提と出典'!C75,'前提と出典'!B76+'前提と出典'!C76))))</ns0:f>
        <ns0:v>40000</ns0:v>
      </ns0:c>
      <ns0:c r="N306" s="16">
        <ns0:f>IF(('前提と出典'!$C$37+'前提と出典'!$C$38)=0,0,IF(C306&lt;=10,'前提と出典'!D73+'前提と出典'!E73,IF(C306&lt;=100,'前提と出典'!D74+'前提と出典'!E74,IF(C306&lt;=500,'前提と出典'!D75+'前提と出典'!E75,'前提と出典'!D76+'前提と出典'!E76))))</ns0:f>
        <ns0:v>56510.9346263078</ns0:v>
      </ns0:c>
      <ns0:c r="O306" s="16">
        <ns0:f>IF('前提と出典'!$C$36+'前提と出典'!$C$38=0,0,'前提と出典'!$B$4*IF('前提と出典'!$B$20=0,MAX('前提と出典'!$B$6,D306*'前提と出典'!$B$5),'前提と出典'!$B$6+D306*'前提と出典'!$B$5))</ns0:f>
        <ns0:v>299880.9385474861</ns0:v>
      </ns0:c>
      <ns0:c r="P306" s="16">
        <ns0:f>(E306+G306)*(1-'前提と出典'!$B$7)-I306-K306-M306-O306</ns0:f>
        <ns0:v>831492.2362483046</ns0:v>
      </ns0:c>
      <ns0:c r="Q306" s="16">
        <ns0:f>(F306+H306)*(1-'前提と出典'!$B$7)-J306-L306-N306</ns0:f>
        <ns0:v>223983.45988109088</ns0:v>
      </ns0:c>
      <ns0:c r="R306" s="16">
        <ns0:f>P306-E306*'前提と出典'!$E$4</ns0:f>
        <ns0:v>603735.3494026782</ns0:v>
      </ns0:c>
      <ns0:c r="S306" s="16">
        <ns0:f>Q306-F306*'前提と出典'!$E$4</ns0:f>
        <ns0:v>157803.13036558236</ns0:v>
      </ns0:c>
      <ns0:c r="T306" s="7">
        <ns0:f>R306+S306</ns0:f>
        <ns0:v>761538.4797682606</ns0:v>
      </ns0:c>
      <ns0:c r="U306" s="16">
        <ns0:f>P306-E306*'前提と出典'!$E$5</ns0:f>
        <ns0:v>527816.3871208023</ns0:v>
      </ns0:c>
      <ns0:c r="V306" s="16">
        <ns0:f>Q306-F306*'前提と出典'!$E$5</ns0:f>
        <ns0:v>135743.02052707953</ns0:v>
      </ns0:c>
      <ns0:c r="W306" s="7">
        <ns0:f>U306+V306</ns0:f>
        <ns0:v>663559.4076478819</ns0:v>
      </ns0:c>
      <ns0:c r="X306" s="16">
        <ns0:f>P306-E306*'前提と出典'!$E$6</ns0:f>
        <ns0:v>451897.42483892676</ns0:v>
      </ns0:c>
      <ns0:c r="Y306" s="16">
        <ns0:f>Q306-F306*'前提と出典'!$E$6</ns0:f>
        <ns0:v>113682.9106885767</ns0:v>
      </ns0:c>
      <ns0:c r="Z306" s="7">
        <ns0:f>X306+Y306</ns0:f>
        <ns0:v>565580.3355275034</ns0:v>
      </ns0:c>
      <ns0:c r="AA306" s="7">
        <ns0:f>IF(T306&gt;=0,A306,1001)</ns0:f>
        <ns0:v>302</ns0:v>
      </ns0:c>
      <ns0:c r="AB306" s="7">
        <ns0:f>IF(T306&lt;0,A306,0)</ns0:f>
        <ns0:v>0</ns0:v>
      </ns0:c>
      <ns0:c r="AC306" s="16">
        <ns0:f>IF(AND(OR('前提と出典'!$C$36+'前提と出典'!$C$38=0,R306&gt;=0),OR('前提と出典'!$C$37+'前提と出典'!$C$38=0,S306&gt;=0)),0,A306)</ns0:f>
        <ns0:v>0</ns0:v>
      </ns0:c>
      <ns0:c r="AD306" s="7">
        <ns0:f>IF(W306&gt;=0,A306,1001)</ns0:f>
        <ns0:v>302</ns0:v>
      </ns0:c>
      <ns0:c r="AE306" s="7">
        <ns0:f>IF(W306&lt;0,A306,0)</ns0:f>
        <ns0:v>0</ns0:v>
      </ns0:c>
      <ns0:c r="AF306" s="16">
        <ns0:f>IF(AND(OR('前提と出典'!$C$36+'前提と出典'!$C$38=0,U306&gt;=0),OR('前提と出典'!$C$37+'前提と出典'!$C$38=0,V306&gt;=0)),0,A306)</ns0:f>
        <ns0:v>0</ns0:v>
      </ns0:c>
      <ns0:c r="AG306" s="7">
        <ns0:f>IF(Z306&gt;=0,A306,1001)</ns0:f>
        <ns0:v>302</ns0:v>
      </ns0:c>
      <ns0:c r="AH306" s="4">
        <ns0:f>IF(Z306&lt;0,A306,0)</ns0:f>
        <ns0:v>0</ns0:v>
      </ns0:c>
      <ns0:c r="AI306" s="12">
        <ns0:f>IF(AND(OR('前提と出典'!$C$36+'前提と出典'!$C$38=0,X306&gt;=0),OR('前提と出典'!$C$37+'前提と出典'!$C$38=0,Y306&gt;=0)),0,A306)</ns0:f>
        <ns0:v>0</ns0:v>
      </ns0:c>
    </ns0:row>
    <ns0:row r="307" ht="24" customHeight="1">
      <ns0:c r="A307" s="4" t="n">
        <ns0:v>303</ns0:v>
      </ns0:c>
      <ns0:c r="B307" s="12">
        <ns0:f>A307*('前提と出典'!$C$36+'前提と出典'!$C$38)</ns0:f>
        <ns0:v>212.1</ns0:v>
      </ns0:c>
      <ns0:c r="C307" s="12">
        <ns0:f>A307*('前提と出典'!$C$37+'前提と出典'!$C$38)</ns0:f>
        <ns0:v>181.79999999999998</ns0:v>
      </ns0:c>
      <ns0:c r="D307" s="16">
        <ns0:f>A307*('前提と出典'!$C$36*'契約別単価'!C5+'前提と出典'!$C$37*'契約別単価'!C6+'前提と出典'!$C$38*'契約別単価'!C7)</ns0:f>
        <ns0:v>2180.245810055866</ns0:v>
      </ns0:c>
      <ns0:c r="E307" s="16">
        <ns0:f>A307*('前提と出典'!$C$36*'契約別単価'!E5+'前提と出典'!$C$37*'契約別単価'!E6+'前提と出典'!$C$38*'契約別単価'!E7)</ns0:f>
        <ns0:v>761703.4957419967</ns0:v>
      </ns0:c>
      <ns0:c r="F307" s="16">
        <ns0:f>A307*('前提と出典'!$C$36*'契約別単価'!F5+'前提と出典'!$C$37*'契約別単価'!F6+'前提と出典'!$C$38*'契約別単価'!F7)</ns0:f>
        <ns0:v>221331.56559822382</ns0:v>
      </ns0:c>
      <ns0:c r="G307" s="16">
        <ns0:f>A307*('前提と出典'!$C$36*'契約別単価'!G5+'前提と出典'!$C$37*'契約別単価'!G6+'前提と出典'!$C$38*'契約別単価'!G7)</ns0:f>
        <ns0:v>603122.346368715</ns0:v>
      </ns0:c>
      <ns0:c r="H307" s="16">
        <ns0:f>A307*('前提と出典'!$C$36*'契約別単価'!H5+'前提と出典'!$C$37*'契約別単価'!H6+'前提と出典'!$C$38*'契約別単価'!H7)</ns0:f>
        <ns0:v>209313.70315263464</ns0:v>
      </ns0:c>
      <ns0:c r="I307" s="16">
        <ns0:f>A307*('前提と出典'!$C$36*'契約別単価'!I5+'前提と出典'!$C$37*'契約別単価'!I6+'前提と出典'!$C$38*'契約別単価'!I7)</ns0:f>
        <ns0:v>12785.245810055863</ns0:v>
      </ns0:c>
      <ns0:c r="J307" s="16">
        <ns0:f>A307*('前提と出典'!$C$36*'契約別単価'!J5+'前提と出典'!$C$37*'契約別単価'!J6+'前提と出典'!$C$38*'契約別単価'!J7)</ns0:f>
        <ns0:v>29781.731744221677</ns0:v>
      </ns0:c>
      <ns0:c r="K307" s="16">
        <ns0:f>A307*('前提と出典'!$C$36*'契約別単価'!K5+'前提と出典'!$C$37*'契約別単価'!K6+'前提と出典'!$C$38*'契約別単価'!K7)</ns0:f>
        <ns0:v>127654.9720670391</ns0:v>
      </ns0:c>
      <ns0:c r="L307" s="16">
        <ns0:f>A307*('前提と出典'!$C$36*'契約別単価'!L5+'前提と出典'!$C$37*'契約別単価'!L6+'前提と出典'!$C$38*'契約別単価'!L7)</ns0:f>
        <ns0:v>103937.12343842116</ns0:v>
      </ns0:c>
      <ns0:c r="M307" s="16">
        <ns0:f>IF(('前提と出典'!$C$36+'前提と出典'!$C$38)=0,0,IF(B307&lt;=10,'前提と出典'!B73+'前提と出典'!C73,IF(B307&lt;=100,'前提と出典'!B74+'前提と出典'!C74,IF(B307&lt;=500,'前提と出典'!B75+'前提と出典'!C75,'前提と出典'!B76+'前提と出典'!C76))))</ns0:f>
        <ns0:v>40000</ns0:v>
      </ns0:c>
      <ns0:c r="N307" s="16">
        <ns0:f>IF(('前提と出典'!$C$37+'前提と出典'!$C$38)=0,0,IF(C307&lt;=10,'前提と出典'!D73+'前提と出典'!E73,IF(C307&lt;=100,'前提と出典'!D74+'前提と出典'!E74,IF(C307&lt;=500,'前提と出典'!D75+'前提と出典'!E75,'前提と出典'!D76+'前提と出典'!E76))))</ns0:f>
        <ns0:v>56510.9346263078</ns0:v>
      </ns0:c>
      <ns0:c r="O307" s="16">
        <ns0:f>IF('前提と出典'!$C$36+'前提と出典'!$C$38=0,0,'前提と出典'!$B$4*IF('前提と出典'!$B$20=0,MAX('前提と出典'!$B$6,D307*'前提と出典'!$B$5),'前提と出典'!$B$6+D307*'前提と出典'!$B$5))</ns0:f>
        <ns0:v>300873.9217877095</ns0:v>
      </ns0:c>
      <ns0:c r="P307" s="16">
        <ns0:f>(E307+G307)*(1-'前提と出典'!$B$7)-I307-K307-M307-O307</ns0:f>
        <ns0:v>834377.9721299215</ns0:v>
      </ns0:c>
      <ns0:c r="Q307" s="16">
        <ns0:f>(F307+H307)*(1-'前提と出典'!$B$7)-J307-L307-N307</ns0:f>
        <ns0:v>224912.2492668769</ns0:v>
      </ns0:c>
      <ns0:c r="R307" s="16">
        <ns0:f>P307-E307*'前提と出典'!$E$4</ns0:f>
        <ns0:v>605866.9234073225</ns0:v>
      </ns0:c>
      <ns0:c r="S307" s="16">
        <ns0:f>Q307-F307*'前提と出典'!$E$4</ns0:f>
        <ns0:v>158512.77958740975</ns0:v>
      </ns0:c>
      <ns0:c r="T307" s="7">
        <ns0:f>R307+S307</ns0:f>
        <ns0:v>764379.7029947322</ns0:v>
      </ns0:c>
      <ns0:c r="U307" s="16">
        <ns0:f>P307-E307*'前提と出典'!$E$5</ns0:f>
        <ns0:v>529696.5738331228</ns0:v>
      </ns0:c>
      <ns0:c r="V307" s="16">
        <ns0:f>Q307-F307*'前提と出典'!$E$5</ns0:f>
        <ns0:v>136379.62302758737</ns0:v>
      </ns0:c>
      <ns0:c r="W307" s="7">
        <ns0:f>U307+V307</ns0:f>
        <ns0:v>666076.1968607102</ns0:v>
      </ns0:c>
      <ns0:c r="X307" s="16">
        <ns0:f>P307-E307*'前提と出典'!$E$6</ns0:f>
        <ns0:v>453526.22425892315</ns0:v>
      </ns0:c>
      <ns0:c r="Y307" s="16">
        <ns0:f>Q307-F307*'前提と出典'!$E$6</ns0:f>
        <ns0:v>114246.46646776499</ns0:v>
      </ns0:c>
      <ns0:c r="Z307" s="7">
        <ns0:f>X307+Y307</ns0:f>
        <ns0:v>567772.6907266881</ns0:v>
      </ns0:c>
      <ns0:c r="AA307" s="7">
        <ns0:f>IF(T307&gt;=0,A307,1001)</ns0:f>
        <ns0:v>303</ns0:v>
      </ns0:c>
      <ns0:c r="AB307" s="7">
        <ns0:f>IF(T307&lt;0,A307,0)</ns0:f>
        <ns0:v>0</ns0:v>
      </ns0:c>
      <ns0:c r="AC307" s="16">
        <ns0:f>IF(AND(OR('前提と出典'!$C$36+'前提と出典'!$C$38=0,R307&gt;=0),OR('前提と出典'!$C$37+'前提と出典'!$C$38=0,S307&gt;=0)),0,A307)</ns0:f>
        <ns0:v>0</ns0:v>
      </ns0:c>
      <ns0:c r="AD307" s="7">
        <ns0:f>IF(W307&gt;=0,A307,1001)</ns0:f>
        <ns0:v>303</ns0:v>
      </ns0:c>
      <ns0:c r="AE307" s="7">
        <ns0:f>IF(W307&lt;0,A307,0)</ns0:f>
        <ns0:v>0</ns0:v>
      </ns0:c>
      <ns0:c r="AF307" s="16">
        <ns0:f>IF(AND(OR('前提と出典'!$C$36+'前提と出典'!$C$38=0,U307&gt;=0),OR('前提と出典'!$C$37+'前提と出典'!$C$38=0,V307&gt;=0)),0,A307)</ns0:f>
        <ns0:v>0</ns0:v>
      </ns0:c>
      <ns0:c r="AG307" s="7">
        <ns0:f>IF(Z307&gt;=0,A307,1001)</ns0:f>
        <ns0:v>303</ns0:v>
      </ns0:c>
      <ns0:c r="AH307" s="4">
        <ns0:f>IF(Z307&lt;0,A307,0)</ns0:f>
        <ns0:v>0</ns0:v>
      </ns0:c>
      <ns0:c r="AI307" s="12">
        <ns0:f>IF(AND(OR('前提と出典'!$C$36+'前提と出典'!$C$38=0,X307&gt;=0),OR('前提と出典'!$C$37+'前提と出典'!$C$38=0,Y307&gt;=0)),0,A307)</ns0:f>
        <ns0:v>0</ns0:v>
      </ns0:c>
    </ns0:row>
    <ns0:row r="308" ht="24" customHeight="1">
      <ns0:c r="A308" s="4" t="n">
        <ns0:v>304</ns0:v>
      </ns0:c>
      <ns0:c r="B308" s="12">
        <ns0:f>A308*('前提と出典'!$C$36+'前提と出典'!$C$38)</ns0:f>
        <ns0:v>212.79999999999998</ns0:v>
      </ns0:c>
      <ns0:c r="C308" s="12">
        <ns0:f>A308*('前提と出典'!$C$37+'前提と出典'!$C$38)</ns0:f>
        <ns0:v>182.4</ns0:v>
      </ns0:c>
      <ns0:c r="D308" s="16">
        <ns0:f>A308*('前提と出典'!$C$36*'契約別単価'!C5+'前提と出典'!$C$37*'契約別単価'!C6+'前提と出典'!$C$38*'契約別単価'!C7)</ns0:f>
        <ns0:v>2187.441340782123</ns0:v>
      </ns0:c>
      <ns0:c r="E308" s="16">
        <ns0:f>A308*('前提と出典'!$C$36*'契約別単価'!E5+'前提と出典'!$C$37*'契約別単価'!E6+'前提と出典'!$C$38*'契約別単価'!E7)</ns0:f>
        <ns0:v>764217.3686652377</ns0:v>
      </ns0:c>
      <ns0:c r="F308" s="16">
        <ns0:f>A308*('前提と出典'!$C$36*'契約別単価'!F5+'前提と出典'!$C$37*'契約別単価'!F6+'前提と出典'!$C$38*'契約別単価'!F7)</ns0:f>
        <ns0:v>222062.03281141928</ns0:v>
      </ns0:c>
      <ns0:c r="G308" s="16">
        <ns0:f>A308*('前提と出典'!$C$36*'契約別単価'!G5+'前提と出典'!$C$37*'契約別単価'!G6+'前提と出典'!$C$38*'契約別単価'!G7)</ns0:f>
        <ns0:v>605112.8491620112</ns0:v>
      </ns0:c>
      <ns0:c r="H308" s="16">
        <ns0:f>A308*('前提と出典'!$C$36*'契約別単価'!H5+'前提と出典'!$C$37*'契約別単価'!H6+'前提と出典'!$C$38*'契約別単価'!H7)</ns0:f>
        <ns0:v>210004.50745346842</ns0:v>
      </ns0:c>
      <ns0:c r="I308" s="16">
        <ns0:f>A308*('前提と出典'!$C$36*'契約別単価'!I5+'前提と出典'!$C$37*'契約別単価'!I6+'前提と出典'!$C$38*'契約別単価'!I7)</ns0:f>
        <ns0:v>12827.441340782121</ns0:v>
      </ns0:c>
      <ns0:c r="J308" s="16">
        <ns0:f>A308*('前提と出典'!$C$36*'契約別単価'!J5+'前提と出典'!$C$37*'契約別単価'!J6+'前提と出典'!$C$38*'契約別単価'!J7)</ns0:f>
        <ns0:v>29880.02128793198</ns0:v>
      </ns0:c>
      <ns0:c r="K308" s="16">
        <ns0:f>A308*('前提と出典'!$C$36*'契約別単価'!K5+'前提と出典'!$C$37*'契約別単価'!K6+'前提と出典'!$C$38*'契約別単価'!K7)</ns0:f>
        <ns0:v>128076.27560521415</ns0:v>
      </ns0:c>
      <ns0:c r="L308" s="16">
        <ns0:f>A308*('前提と出典'!$C$36*'契約別単価'!L5+'前提と出典'!$C$37*'契約別単価'!L6+'前提と出典'!$C$38*'契約別単価'!L7)</ns0:f>
        <ns0:v>104280.15024844895</ns0:v>
      </ns0:c>
      <ns0:c r="M308" s="16">
        <ns0:f>IF(('前提と出典'!$C$36+'前提と出典'!$C$38)=0,0,IF(B308&lt;=10,'前提と出典'!B73+'前提と出典'!C73,IF(B308&lt;=100,'前提と出典'!B74+'前提と出典'!C74,IF(B308&lt;=500,'前提と出典'!B75+'前提と出典'!C75,'前提と出典'!B76+'前提と出典'!C76))))</ns0:f>
        <ns0:v>40000</ns0:v>
      </ns0:c>
      <ns0:c r="N308" s="16">
        <ns0:f>IF(('前提と出典'!$C$37+'前提と出典'!$C$38)=0,0,IF(C308&lt;=10,'前提と出典'!D73+'前提と出典'!E73,IF(C308&lt;=100,'前提と出典'!D74+'前提と出典'!E74,IF(C308&lt;=500,'前提と出典'!D75+'前提と出典'!E75,'前提と出典'!D76+'前提と出典'!E76))))</ns0:f>
        <ns0:v>56510.9346263078</ns0:v>
      </ns0:c>
      <ns0:c r="O308" s="16">
        <ns0:f>IF('前提と出典'!$C$36+'前提と出典'!$C$38=0,0,'前提と出典'!$B$4*IF('前提と出典'!$B$20=0,MAX('前提と出典'!$B$6,D308*'前提と出典'!$B$5),'前提と出典'!$B$6+D308*'前提と出典'!$B$5))</ns0:f>
        <ns0:v>301866.905027933</ns0:v>
      </ns0:c>
      <ns0:c r="P308" s="16">
        <ns0:f>(E308+G308)*(1-'前提と出典'!$B$7)-I308-K308-M308-O308</ns0:f>
        <ns0:v>837263.7080115388</ns0:v>
      </ns0:c>
      <ns0:c r="Q308" s="16">
        <ns0:f>(F308+H308)*(1-'前提と出典'!$B$7)-J308-L308-N308</ns0:f>
        <ns0:v>225841.038652663</ns0:v>
      </ns0:c>
      <ns0:c r="R308" s="16">
        <ns0:f>P308-E308*'前提と出典'!$E$4</ns0:f>
        <ns0:v>607998.4974119673</ns0:v>
      </ns0:c>
      <ns0:c r="S308" s="16">
        <ns0:f>Q308-F308*'前提と出典'!$E$4</ns0:f>
        <ns0:v>159222.4288092372</ns0:v>
      </ns0:c>
      <ns0:c r="T308" s="7">
        <ns0:f>R308+S308</ns0:f>
        <ns0:v>767220.9262212045</ns0:v>
      </ns0:c>
      <ns0:c r="U308" s="16">
        <ns0:f>P308-E308*'前提と出典'!$E$5</ns0:f>
        <ns0:v>531576.7605454437</ns0:v>
      </ns0:c>
      <ns0:c r="V308" s="16">
        <ns0:f>Q308-F308*'前提と出典'!$E$5</ns0:f>
        <ns0:v>137016.22552809527</ns0:v>
      </ns0:c>
      <ns0:c r="W308" s="7">
        <ns0:f>U308+V308</ns0:f>
        <ns0:v>668592.986073539</ns0:v>
      </ns0:c>
      <ns0:c r="X308" s="16">
        <ns0:f>P308-E308*'前提と出典'!$E$6</ns0:f>
        <ns0:v>455155.0236789198</ns0:v>
      </ns0:c>
      <ns0:c r="Y308" s="16">
        <ns0:f>Q308-F308*'前提と出典'!$E$6</ns0:f>
        <ns0:v>114810.02224695333</ns0:v>
      </ns0:c>
      <ns0:c r="Z308" s="7">
        <ns0:f>X308+Y308</ns0:f>
        <ns0:v>569965.0459258731</ns0:v>
      </ns0:c>
      <ns0:c r="AA308" s="7">
        <ns0:f>IF(T308&gt;=0,A308,1001)</ns0:f>
        <ns0:v>304</ns0:v>
      </ns0:c>
      <ns0:c r="AB308" s="7">
        <ns0:f>IF(T308&lt;0,A308,0)</ns0:f>
        <ns0:v>0</ns0:v>
      </ns0:c>
      <ns0:c r="AC308" s="16">
        <ns0:f>IF(AND(OR('前提と出典'!$C$36+'前提と出典'!$C$38=0,R308&gt;=0),OR('前提と出典'!$C$37+'前提と出典'!$C$38=0,S308&gt;=0)),0,A308)</ns0:f>
        <ns0:v>0</ns0:v>
      </ns0:c>
      <ns0:c r="AD308" s="7">
        <ns0:f>IF(W308&gt;=0,A308,1001)</ns0:f>
        <ns0:v>304</ns0:v>
      </ns0:c>
      <ns0:c r="AE308" s="7">
        <ns0:f>IF(W308&lt;0,A308,0)</ns0:f>
        <ns0:v>0</ns0:v>
      </ns0:c>
      <ns0:c r="AF308" s="16">
        <ns0:f>IF(AND(OR('前提と出典'!$C$36+'前提と出典'!$C$38=0,U308&gt;=0),OR('前提と出典'!$C$37+'前提と出典'!$C$38=0,V308&gt;=0)),0,A308)</ns0:f>
        <ns0:v>0</ns0:v>
      </ns0:c>
      <ns0:c r="AG308" s="7">
        <ns0:f>IF(Z308&gt;=0,A308,1001)</ns0:f>
        <ns0:v>304</ns0:v>
      </ns0:c>
      <ns0:c r="AH308" s="4">
        <ns0:f>IF(Z308&lt;0,A308,0)</ns0:f>
        <ns0:v>0</ns0:v>
      </ns0:c>
      <ns0:c r="AI308" s="12">
        <ns0:f>IF(AND(OR('前提と出典'!$C$36+'前提と出典'!$C$38=0,X308&gt;=0),OR('前提と出典'!$C$37+'前提と出典'!$C$38=0,Y308&gt;=0)),0,A308)</ns0:f>
        <ns0:v>0</ns0:v>
      </ns0:c>
    </ns0:row>
    <ns0:row r="309" ht="24" customHeight="1">
      <ns0:c r="A309" s="4" t="n">
        <ns0:v>305</ns0:v>
      </ns0:c>
      <ns0:c r="B309" s="12">
        <ns0:f>A309*('前提と出典'!$C$36+'前提と出典'!$C$38)</ns0:f>
        <ns0:v>213.5</ns0:v>
      </ns0:c>
      <ns0:c r="C309" s="12">
        <ns0:f>A309*('前提と出典'!$C$37+'前提と出典'!$C$38)</ns0:f>
        <ns0:v>183</ns0:v>
      </ns0:c>
      <ns0:c r="D309" s="16">
        <ns0:f>A309*('前提と出典'!$C$36*'契約別単価'!C5+'前提と出典'!$C$37*'契約別単価'!C6+'前提と出典'!$C$38*'契約別単価'!C7)</ns0:f>
        <ns0:v>2194.63687150838</ns0:v>
      </ns0:c>
      <ns0:c r="E309" s="16">
        <ns0:f>A309*('前提と出典'!$C$36*'契約別単価'!E5+'前提と出典'!$C$37*'契約別単価'!E6+'前提と出典'!$C$38*'契約別単価'!E7)</ns0:f>
        <ns0:v>766731.2415884786</ns0:v>
      </ns0:c>
      <ns0:c r="F309" s="16">
        <ns0:f>A309*('前提と出典'!$C$36*'契約別単価'!F5+'前提と出典'!$C$37*'契約別単価'!F6+'前提と出典'!$C$38*'契約別単価'!F7)</ns0:f>
        <ns0:v>222792.50002461474</ns0:v>
      </ns0:c>
      <ns0:c r="G309" s="16">
        <ns0:f>A309*('前提と出典'!$C$36*'契約別単価'!G5+'前提と出典'!$C$37*'契約別単価'!G6+'前提と出典'!$C$38*'契約別単価'!G7)</ns0:f>
        <ns0:v>607103.3519553072</ns0:v>
      </ns0:c>
      <ns0:c r="H309" s="16">
        <ns0:f>A309*('前提と出典'!$C$36*'契約別単価'!H5+'前提と出典'!$C$37*'契約別単価'!H6+'前提と出典'!$C$38*'契約別単価'!H7)</ns0:f>
        <ns0:v>210695.3117543022</ns0:v>
      </ns0:c>
      <ns0:c r="I309" s="16">
        <ns0:f>A309*('前提と出典'!$C$36*'契約別単価'!I5+'前提と出典'!$C$37*'契約別単価'!I6+'前提と出典'!$C$38*'契約別単価'!I7)</ns0:f>
        <ns0:v>12869.636871508377</ns0:v>
      </ns0:c>
      <ns0:c r="J309" s="16">
        <ns0:f>A309*('前提と出典'!$C$36*'契約別単価'!J5+'前提と出典'!$C$37*'契約別単価'!J6+'前提と出典'!$C$38*'契約別単価'!J7)</ns0:f>
        <ns0:v>29978.310831642284</ns0:v>
      </ns0:c>
      <ns0:c r="K309" s="16">
        <ns0:f>A309*('前提と出典'!$C$36*'契約別単価'!K5+'前提と出典'!$C$37*'契約別単価'!K6+'前提と出典'!$C$38*'契約別単価'!K7)</ns0:f>
        <ns0:v>128497.57914338919</ns0:v>
      </ns0:c>
      <ns0:c r="L309" s="16">
        <ns0:f>A309*('前提と出典'!$C$36*'契約別単価'!L5+'前提と出典'!$C$37*'契約別単価'!L6+'前提と出典'!$C$38*'契約別単価'!L7)</ns0:f>
        <ns0:v>104623.17705847674</ns0:v>
      </ns0:c>
      <ns0:c r="M309" s="16">
        <ns0:f>IF(('前提と出典'!$C$36+'前提と出典'!$C$38)=0,0,IF(B309&lt;=10,'前提と出典'!B73+'前提と出典'!C73,IF(B309&lt;=100,'前提と出典'!B74+'前提と出典'!C74,IF(B309&lt;=500,'前提と出典'!B75+'前提と出典'!C75,'前提と出典'!B76+'前提と出典'!C76))))</ns0:f>
        <ns0:v>40000</ns0:v>
      </ns0:c>
      <ns0:c r="N309" s="16">
        <ns0:f>IF(('前提と出典'!$C$37+'前提と出典'!$C$38)=0,0,IF(C309&lt;=10,'前提と出典'!D73+'前提と出典'!E73,IF(C309&lt;=100,'前提と出典'!D74+'前提と出典'!E74,IF(C309&lt;=500,'前提と出典'!D75+'前提と出典'!E75,'前提と出典'!D76+'前提と出典'!E76))))</ns0:f>
        <ns0:v>56510.9346263078</ns0:v>
      </ns0:c>
      <ns0:c r="O309" s="16">
        <ns0:f>IF('前提と出典'!$C$36+'前提と出典'!$C$38=0,0,'前提と出典'!$B$4*IF('前提と出典'!$B$20=0,MAX('前提と出典'!$B$6,D309*'前提と出典'!$B$5),'前提と出典'!$B$6+D309*'前提と出典'!$B$5))</ns0:f>
        <ns0:v>302859.88826815644</ns0:v>
      </ns0:c>
      <ns0:c r="P309" s="16">
        <ns0:f>(E309+G309)*(1-'前提と出典'!$B$7)-I309-K309-M309-O309</ns0:f>
        <ns0:v>840149.4438931553</ns0:v>
      </ns0:c>
      <ns0:c r="Q309" s="16">
        <ns0:f>(F309+H309)*(1-'前提と出典'!$B$7)-J309-L309-N309</ns0:f>
        <ns0:v>226769.82803844917</ns0:v>
      </ns0:c>
      <ns0:c r="R309" s="16">
        <ns0:f>P309-E309*'前提と出典'!$E$4</ns0:f>
        <ns0:v>610130.071416612</ns0:v>
      </ns0:c>
      <ns0:c r="S309" s="16">
        <ns0:f>Q309-F309*'前提と出典'!$E$4</ns0:f>
        <ns0:v>159932.07803106477</ns0:v>
      </ns0:c>
      <ns0:c r="T309" s="7">
        <ns0:f>R309+S309</ns0:f>
        <ns0:v>770062.1494476767</ns0:v>
      </ns0:c>
      <ns0:c r="U309" s="16">
        <ns0:f>P309-E309*'前提と出典'!$E$5</ns0:f>
        <ns0:v>533456.9472577639</ns0:v>
      </ns0:c>
      <ns0:c r="V309" s="16">
        <ns0:f>Q309-F309*'前提と出典'!$E$5</ns0:f>
        <ns0:v>137652.82802860328</ns0:v>
      </ns0:c>
      <ns0:c r="W309" s="7">
        <ns0:f>U309+V309</ns0:f>
        <ns0:v>671109.7752863672</ns0:v>
      </ns0:c>
      <ns0:c r="X309" s="16">
        <ns0:f>P309-E309*'前提と出典'!$E$6</ns0:f>
        <ns0:v>456783.8230989161</ns0:v>
      </ns0:c>
      <ns0:c r="Y309" s="16">
        <ns0:f>Q309-F309*'前提と出典'!$E$6</ns0:f>
        <ns0:v>115373.5780261418</ns0:v>
      </ns0:c>
      <ns0:c r="Z309" s="7">
        <ns0:f>X309+Y309</ns0:f>
        <ns0:v>572157.4011250578</ns0:v>
      </ns0:c>
      <ns0:c r="AA309" s="7">
        <ns0:f>IF(T309&gt;=0,A309,1001)</ns0:f>
        <ns0:v>305</ns0:v>
      </ns0:c>
      <ns0:c r="AB309" s="7">
        <ns0:f>IF(T309&lt;0,A309,0)</ns0:f>
        <ns0:v>0</ns0:v>
      </ns0:c>
      <ns0:c r="AC309" s="16">
        <ns0:f>IF(AND(OR('前提と出典'!$C$36+'前提と出典'!$C$38=0,R309&gt;=0),OR('前提と出典'!$C$37+'前提と出典'!$C$38=0,S309&gt;=0)),0,A309)</ns0:f>
        <ns0:v>0</ns0:v>
      </ns0:c>
      <ns0:c r="AD309" s="7">
        <ns0:f>IF(W309&gt;=0,A309,1001)</ns0:f>
        <ns0:v>305</ns0:v>
      </ns0:c>
      <ns0:c r="AE309" s="7">
        <ns0:f>IF(W309&lt;0,A309,0)</ns0:f>
        <ns0:v>0</ns0:v>
      </ns0:c>
      <ns0:c r="AF309" s="16">
        <ns0:f>IF(AND(OR('前提と出典'!$C$36+'前提と出典'!$C$38=0,U309&gt;=0),OR('前提と出典'!$C$37+'前提と出典'!$C$38=0,V309&gt;=0)),0,A309)</ns0:f>
        <ns0:v>0</ns0:v>
      </ns0:c>
      <ns0:c r="AG309" s="7">
        <ns0:f>IF(Z309&gt;=0,A309,1001)</ns0:f>
        <ns0:v>305</ns0:v>
      </ns0:c>
      <ns0:c r="AH309" s="4">
        <ns0:f>IF(Z309&lt;0,A309,0)</ns0:f>
        <ns0:v>0</ns0:v>
      </ns0:c>
      <ns0:c r="AI309" s="12">
        <ns0:f>IF(AND(OR('前提と出典'!$C$36+'前提と出典'!$C$38=0,X309&gt;=0),OR('前提と出典'!$C$37+'前提と出典'!$C$38=0,Y309&gt;=0)),0,A309)</ns0:f>
        <ns0:v>0</ns0:v>
      </ns0:c>
    </ns0:row>
    <ns0:row r="310" ht="24" customHeight="1">
      <ns0:c r="A310" s="4" t="n">
        <ns0:v>306</ns0:v>
      </ns0:c>
      <ns0:c r="B310" s="12">
        <ns0:f>A310*('前提と出典'!$C$36+'前提と出典'!$C$38)</ns0:f>
        <ns0:v>214.2</ns0:v>
      </ns0:c>
      <ns0:c r="C310" s="12">
        <ns0:f>A310*('前提と出典'!$C$37+'前提と出典'!$C$38)</ns0:f>
        <ns0:v>183.6</ns0:v>
      </ns0:c>
      <ns0:c r="D310" s="16">
        <ns0:f>A310*('前提と出典'!$C$36*'契約別単価'!C5+'前提と出典'!$C$37*'契約別単価'!C6+'前提と出典'!$C$38*'契約別単価'!C7)</ns0:f>
        <ns0:v>2201.832402234637</ns0:v>
      </ns0:c>
      <ns0:c r="E310" s="16">
        <ns0:f>A310*('前提と出典'!$C$36*'契約別単価'!E5+'前提と出典'!$C$37*'契約別単価'!E6+'前提と出典'!$C$38*'契約別単価'!E7)</ns0:f>
        <ns0:v>769245.1145117194</ns0:v>
      </ns0:c>
      <ns0:c r="F310" s="16">
        <ns0:f>A310*('前提と出典'!$C$36*'契約別単価'!F5+'前提と出典'!$C$37*'契約別単価'!F6+'前提と出典'!$C$38*'契約別単価'!F7)</ns0:f>
        <ns0:v>223522.9672378102</ns0:v>
      </ns0:c>
      <ns0:c r="G310" s="16">
        <ns0:f>A310*('前提と出典'!$C$36*'契約別単価'!G5+'前提と出典'!$C$37*'契約別単価'!G6+'前提と出典'!$C$38*'契約別単価'!G7)</ns0:f>
        <ns0:v>609093.8547486033</ns0:v>
      </ns0:c>
      <ns0:c r="H310" s="16">
        <ns0:f>A310*('前提と出典'!$C$36*'契約別単価'!H5+'前提と出典'!$C$37*'契約別単価'!H6+'前提と出典'!$C$38*'契約別単価'!H7)</ns0:f>
        <ns0:v>211386.11605513596</ns0:v>
      </ns0:c>
      <ns0:c r="I310" s="16">
        <ns0:f>A310*('前提と出典'!$C$36*'契約別単価'!I5+'前提と出典'!$C$37*'契約別単価'!I6+'前提と出典'!$C$38*'契約別単価'!I7)</ns0:f>
        <ns0:v>12911.832402234635</ns0:v>
      </ns0:c>
      <ns0:c r="J310" s="16">
        <ns0:f>A310*('前提と出典'!$C$36*'契約別単価'!J5+'前提と出典'!$C$37*'契約別単価'!J6+'前提と出典'!$C$38*'契約別単価'!J7)</ns0:f>
        <ns0:v>30076.600375352584</ns0:v>
      </ns0:c>
      <ns0:c r="K310" s="16">
        <ns0:f>A310*('前提と出典'!$C$36*'契約別単価'!K5+'前提と出典'!$C$37*'契約別単価'!K6+'前提と出典'!$C$38*'契約別単価'!K7)</ns0:f>
        <ns0:v>128918.88268156424</ns0:v>
      </ns0:c>
      <ns0:c r="L310" s="16">
        <ns0:f>A310*('前提と出典'!$C$36*'契約別単価'!L5+'前提と出典'!$C$37*'契約別単価'!L6+'前提と出典'!$C$38*'契約別単価'!L7)</ns0:f>
        <ns0:v>104966.20386850453</ns0:v>
      </ns0:c>
      <ns0:c r="M310" s="16">
        <ns0:f>IF(('前提と出典'!$C$36+'前提と出典'!$C$38)=0,0,IF(B310&lt;=10,'前提と出典'!B73+'前提と出典'!C73,IF(B310&lt;=100,'前提と出典'!B74+'前提と出典'!C74,IF(B310&lt;=500,'前提と出典'!B75+'前提と出典'!C75,'前提と出典'!B76+'前提と出典'!C76))))</ns0:f>
        <ns0:v>40000</ns0:v>
      </ns0:c>
      <ns0:c r="N310" s="16">
        <ns0:f>IF(('前提と出典'!$C$37+'前提と出典'!$C$38)=0,0,IF(C310&lt;=10,'前提と出典'!D73+'前提と出典'!E73,IF(C310&lt;=100,'前提と出典'!D74+'前提と出典'!E74,IF(C310&lt;=500,'前提と出典'!D75+'前提と出典'!E75,'前提と出典'!D76+'前提と出典'!E76))))</ns0:f>
        <ns0:v>56510.9346263078</ns0:v>
      </ns0:c>
      <ns0:c r="O310" s="16">
        <ns0:f>IF('前提と出典'!$C$36+'前提と出典'!$C$38=0,0,'前提と出典'!$B$4*IF('前提と出典'!$B$20=0,MAX('前提と出典'!$B$6,D310*'前提と出典'!$B$5),'前提と出典'!$B$6+D310*'前提と出典'!$B$5))</ns0:f>
        <ns0:v>303852.87150837993</ns0:v>
      </ns0:c>
      <ns0:c r="P310" s="16">
        <ns0:f>(E310+G310)*(1-'前提と出典'!$B$7)-I310-K310-M310-O310</ns0:f>
        <ns0:v>843035.1797747725</ns0:v>
      </ns0:c>
      <ns0:c r="Q310" s="16">
        <ns0:f>(F310+H310)*(1-'前提と出典'!$B$7)-J310-L310-N310</ns0:f>
        <ns0:v>227698.61742423518</ns0:v>
      </ns0:c>
      <ns0:c r="R310" s="16">
        <ns0:f>P310-E310*'前提と出典'!$E$4</ns0:f>
        <ns0:v>612261.6454212565</ns0:v>
      </ns0:c>
      <ns0:c r="S310" s="16">
        <ns0:f>Q310-F310*'前提と出典'!$E$4</ns0:f>
        <ns0:v>160641.72725289213</ns0:v>
      </ns0:c>
      <ns0:c r="T310" s="7">
        <ns0:f>R310+S310</ns0:f>
        <ns0:v>772903.3726741486</ns0:v>
      </ns0:c>
      <ns0:c r="U310" s="16">
        <ns0:f>P310-E310*'前提と出典'!$E$5</ns0:f>
        <ns0:v>535337.1339700847</ns0:v>
      </ns0:c>
      <ns0:c r="V310" s="16">
        <ns0:f>Q310-F310*'前提と出典'!$E$5</ns0:f>
        <ns0:v>138289.4305291111</ns0:v>
      </ns0:c>
      <ns0:c r="W310" s="7">
        <ns0:f>U310+V310</ns0:f>
        <ns0:v>673626.5644991958</ns0:v>
      </ns0:c>
      <ns0:c r="X310" s="16">
        <ns0:f>P310-E310*'前提と出典'!$E$6</ns0:f>
        <ns0:v>458412.6225189128</ns0:v>
      </ns0:c>
      <ns0:c r="Y310" s="16">
        <ns0:f>Q310-F310*'前提と出典'!$E$6</ns0:f>
        <ns0:v>115937.13380533006</ns0:v>
      </ns0:c>
      <ns0:c r="Z310" s="7">
        <ns0:f>X310+Y310</ns0:f>
        <ns0:v>574349.7563242428</ns0:v>
      </ns0:c>
      <ns0:c r="AA310" s="7">
        <ns0:f>IF(T310&gt;=0,A310,1001)</ns0:f>
        <ns0:v>306</ns0:v>
      </ns0:c>
      <ns0:c r="AB310" s="7">
        <ns0:f>IF(T310&lt;0,A310,0)</ns0:f>
        <ns0:v>0</ns0:v>
      </ns0:c>
      <ns0:c r="AC310" s="16">
        <ns0:f>IF(AND(OR('前提と出典'!$C$36+'前提と出典'!$C$38=0,R310&gt;=0),OR('前提と出典'!$C$37+'前提と出典'!$C$38=0,S310&gt;=0)),0,A310)</ns0:f>
        <ns0:v>0</ns0:v>
      </ns0:c>
      <ns0:c r="AD310" s="7">
        <ns0:f>IF(W310&gt;=0,A310,1001)</ns0:f>
        <ns0:v>306</ns0:v>
      </ns0:c>
      <ns0:c r="AE310" s="7">
        <ns0:f>IF(W310&lt;0,A310,0)</ns0:f>
        <ns0:v>0</ns0:v>
      </ns0:c>
      <ns0:c r="AF310" s="16">
        <ns0:f>IF(AND(OR('前提と出典'!$C$36+'前提と出典'!$C$38=0,U310&gt;=0),OR('前提と出典'!$C$37+'前提と出典'!$C$38=0,V310&gt;=0)),0,A310)</ns0:f>
        <ns0:v>0</ns0:v>
      </ns0:c>
      <ns0:c r="AG310" s="7">
        <ns0:f>IF(Z310&gt;=0,A310,1001)</ns0:f>
        <ns0:v>306</ns0:v>
      </ns0:c>
      <ns0:c r="AH310" s="4">
        <ns0:f>IF(Z310&lt;0,A310,0)</ns0:f>
        <ns0:v>0</ns0:v>
      </ns0:c>
      <ns0:c r="AI310" s="12">
        <ns0:f>IF(AND(OR('前提と出典'!$C$36+'前提と出典'!$C$38=0,X310&gt;=0),OR('前提と出典'!$C$37+'前提と出典'!$C$38=0,Y310&gt;=0)),0,A310)</ns0:f>
        <ns0:v>0</ns0:v>
      </ns0:c>
    </ns0:row>
    <ns0:row r="311" ht="24" customHeight="1">
      <ns0:c r="A311" s="4" t="n">
        <ns0:v>307</ns0:v>
      </ns0:c>
      <ns0:c r="B311" s="12">
        <ns0:f>A311*('前提と出典'!$C$36+'前提と出典'!$C$38)</ns0:f>
        <ns0:v>214.89999999999998</ns0:v>
      </ns0:c>
      <ns0:c r="C311" s="12">
        <ns0:f>A311*('前提と出典'!$C$37+'前提と出典'!$C$38)</ns0:f>
        <ns0:v>184.2</ns0:v>
      </ns0:c>
      <ns0:c r="D311" s="16">
        <ns0:f>A311*('前提と出典'!$C$36*'契約別単価'!C5+'前提と出典'!$C$37*'契約別単価'!C6+'前提と出典'!$C$38*'契約別単価'!C7)</ns0:f>
        <ns0:v>2209.027932960894</ns0:v>
      </ns0:c>
      <ns0:c r="E311" s="16">
        <ns0:f>A311*('前提と出典'!$C$36*'契約別単価'!E5+'前提と出典'!$C$37*'契約別単価'!E6+'前提と出典'!$C$38*'契約別単価'!E7)</ns0:f>
        <ns0:v>771758.9874349603</ns0:v>
      </ns0:c>
      <ns0:c r="F311" s="16">
        <ns0:f>A311*('前提と出典'!$C$36*'契約別単価'!F5+'前提と出典'!$C$37*'契約別単価'!F6+'前提と出典'!$C$38*'契約別単価'!F7)</ns0:f>
        <ns0:v>224253.43445100565</ns0:v>
      </ns0:c>
      <ns0:c r="G311" s="16">
        <ns0:f>A311*('前提と出典'!$C$36*'契約別単価'!G5+'前提と出典'!$C$37*'契約別単価'!G6+'前提と出典'!$C$38*'契約別単価'!G7)</ns0:f>
        <ns0:v>611084.3575418994</ns0:v>
      </ns0:c>
      <ns0:c r="H311" s="16">
        <ns0:f>A311*('前提と出典'!$C$36*'契約別単価'!H5+'前提と出典'!$C$37*'契約別単価'!H6+'前提と出典'!$C$38*'契約別単価'!H7)</ns0:f>
        <ns0:v>212076.92035596975</ns0:v>
      </ns0:c>
      <ns0:c r="I311" s="16">
        <ns0:f>A311*('前提と出典'!$C$36*'契約別単価'!I5+'前提と出典'!$C$37*'契約別単価'!I6+'前提と出典'!$C$38*'契約別単価'!I7)</ns0:f>
        <ns0:v>12954.027932960891</ns0:v>
      </ns0:c>
      <ns0:c r="J311" s="16">
        <ns0:f>A311*('前提と出典'!$C$36*'契約別単価'!J5+'前提と出典'!$C$37*'契約別単価'!J6+'前提と出典'!$C$38*'契約別単価'!J7)</ns0:f>
        <ns0:v>30174.889919062887</ns0:v>
      </ns0:c>
      <ns0:c r="K311" s="16">
        <ns0:f>A311*('前提と出典'!$C$36*'契約別単価'!K5+'前提と出典'!$C$37*'契約別単価'!K6+'前提と出典'!$C$38*'契約別単価'!K7)</ns0:f>
        <ns0:v>129340.18621973928</ns0:v>
      </ns0:c>
      <ns0:c r="L311" s="16">
        <ns0:f>A311*('前提と出典'!$C$36*'契約別単価'!L5+'前提と出典'!$C$37*'契約別単価'!L6+'前提と出典'!$C$38*'契約別単価'!L7)</ns0:f>
        <ns0:v>105309.23067853232</ns0:v>
      </ns0:c>
      <ns0:c r="M311" s="16">
        <ns0:f>IF(('前提と出典'!$C$36+'前提と出典'!$C$38)=0,0,IF(B311&lt;=10,'前提と出典'!B73+'前提と出典'!C73,IF(B311&lt;=100,'前提と出典'!B74+'前提と出典'!C74,IF(B311&lt;=500,'前提と出典'!B75+'前提と出典'!C75,'前提と出典'!B76+'前提と出典'!C76))))</ns0:f>
        <ns0:v>40000</ns0:v>
      </ns0:c>
      <ns0:c r="N311" s="16">
        <ns0:f>IF(('前提と出典'!$C$37+'前提と出典'!$C$38)=0,0,IF(C311&lt;=10,'前提と出典'!D73+'前提と出典'!E73,IF(C311&lt;=100,'前提と出典'!D74+'前提と出典'!E74,IF(C311&lt;=500,'前提と出典'!D75+'前提と出典'!E75,'前提と出典'!D76+'前提と出典'!E76))))</ns0:f>
        <ns0:v>56510.9346263078</ns0:v>
      </ns0:c>
      <ns0:c r="O311" s="16">
        <ns0:f>IF('前提と出典'!$C$36+'前提と出典'!$C$38=0,0,'前提と出典'!$B$4*IF('前提と出典'!$B$20=0,MAX('前提と出典'!$B$6,D311*'前提と出典'!$B$5),'前提と出典'!$B$6+D311*'前提と出典'!$B$5))</ns0:f>
        <ns0:v>304845.85474860336</ns0:v>
      </ns0:c>
      <ns0:c r="P311" s="16">
        <ns0:f>(E311+G311)*(1-'前提と出典'!$B$7)-I311-K311-M311-O311</ns0:f>
        <ns0:v>845920.9156563892</ns0:v>
      </ns0:c>
      <ns0:c r="Q311" s="16">
        <ns0:f>(F311+H311)*(1-'前提と出典'!$B$7)-J311-L311-N311</ns0:f>
        <ns0:v>228627.40681002123</ns0:v>
      </ns0:c>
      <ns0:c r="R311" s="16">
        <ns0:f>P311-E311*'前提と出典'!$E$4</ns0:f>
        <ns0:v>614393.2194259008</ns0:v>
      </ns0:c>
      <ns0:c r="S311" s="16">
        <ns0:f>Q311-F311*'前提と出典'!$E$4</ns0:f>
        <ns0:v>161351.37647471955</ns0:v>
      </ns0:c>
      <ns0:c r="T311" s="7">
        <ns0:f>R311+S311</ns0:f>
        <ns0:v>775744.5959006203</ns0:v>
      </ns0:c>
      <ns0:c r="U311" s="16">
        <ns0:f>P311-E311*'前提と出典'!$E$5</ns0:f>
        <ns0:v>537217.320682405</ns0:v>
      </ns0:c>
      <ns0:c r="V311" s="16">
        <ns0:f>Q311-F311*'前提と出典'!$E$5</ns0:f>
        <ns0:v>138926.03302961896</ns0:v>
      </ns0:c>
      <ns0:c r="W311" s="7">
        <ns0:f>U311+V311</ns0:f>
        <ns0:v>676143.3537120239</ns0:v>
      </ns0:c>
      <ns0:c r="X311" s="16">
        <ns0:f>P311-E311*'前提と出典'!$E$6</ns0:f>
        <ns0:v>460041.4219389089</ns0:v>
      </ns0:c>
      <ns0:c r="Y311" s="16">
        <ns0:f>Q311-F311*'前提と出典'!$E$6</ns0:f>
        <ns0:v>116500.68958451843</ns0:v>
      </ns0:c>
      <ns0:c r="Z311" s="7">
        <ns0:f>X311+Y311</ns0:f>
        <ns0:v>576542.1115234273</ns0:v>
      </ns0:c>
      <ns0:c r="AA311" s="7">
        <ns0:f>IF(T311&gt;=0,A311,1001)</ns0:f>
        <ns0:v>307</ns0:v>
      </ns0:c>
      <ns0:c r="AB311" s="7">
        <ns0:f>IF(T311&lt;0,A311,0)</ns0:f>
        <ns0:v>0</ns0:v>
      </ns0:c>
      <ns0:c r="AC311" s="16">
        <ns0:f>IF(AND(OR('前提と出典'!$C$36+'前提と出典'!$C$38=0,R311&gt;=0),OR('前提と出典'!$C$37+'前提と出典'!$C$38=0,S311&gt;=0)),0,A311)</ns0:f>
        <ns0:v>0</ns0:v>
      </ns0:c>
      <ns0:c r="AD311" s="7">
        <ns0:f>IF(W311&gt;=0,A311,1001)</ns0:f>
        <ns0:v>307</ns0:v>
      </ns0:c>
      <ns0:c r="AE311" s="7">
        <ns0:f>IF(W311&lt;0,A311,0)</ns0:f>
        <ns0:v>0</ns0:v>
      </ns0:c>
      <ns0:c r="AF311" s="16">
        <ns0:f>IF(AND(OR('前提と出典'!$C$36+'前提と出典'!$C$38=0,U311&gt;=0),OR('前提と出典'!$C$37+'前提と出典'!$C$38=0,V311&gt;=0)),0,A311)</ns0:f>
        <ns0:v>0</ns0:v>
      </ns0:c>
      <ns0:c r="AG311" s="7">
        <ns0:f>IF(Z311&gt;=0,A311,1001)</ns0:f>
        <ns0:v>307</ns0:v>
      </ns0:c>
      <ns0:c r="AH311" s="4">
        <ns0:f>IF(Z311&lt;0,A311,0)</ns0:f>
        <ns0:v>0</ns0:v>
      </ns0:c>
      <ns0:c r="AI311" s="12">
        <ns0:f>IF(AND(OR('前提と出典'!$C$36+'前提と出典'!$C$38=0,X311&gt;=0),OR('前提と出典'!$C$37+'前提と出典'!$C$38=0,Y311&gt;=0)),0,A311)</ns0:f>
        <ns0:v>0</ns0:v>
      </ns0:c>
    </ns0:row>
    <ns0:row r="312" ht="24" customHeight="1">
      <ns0:c r="A312" s="4" t="n">
        <ns0:v>308</ns0:v>
      </ns0:c>
      <ns0:c r="B312" s="12">
        <ns0:f>A312*('前提と出典'!$C$36+'前提と出典'!$C$38)</ns0:f>
        <ns0:v>215.6</ns0:v>
      </ns0:c>
      <ns0:c r="C312" s="12">
        <ns0:f>A312*('前提と出典'!$C$37+'前提と出典'!$C$38)</ns0:f>
        <ns0:v>184.79999999999998</ns0:v>
      </ns0:c>
      <ns0:c r="D312" s="16">
        <ns0:f>A312*('前提と出典'!$C$36*'契約別単価'!C5+'前提と出典'!$C$37*'契約別単価'!C6+'前提と出典'!$C$38*'契約別単価'!C7)</ns0:f>
        <ns0:v>2216.223463687151</ns0:v>
      </ns0:c>
      <ns0:c r="E312" s="16">
        <ns0:f>A312*('前提と出典'!$C$36*'契約別単価'!E5+'前提と出典'!$C$37*'契約別単価'!E6+'前提と出典'!$C$38*'契約別単価'!E7)</ns0:f>
        <ns0:v>774272.8603582013</ns0:v>
      </ns0:c>
      <ns0:c r="F312" s="16">
        <ns0:f>A312*('前提と出典'!$C$36*'契約別単価'!F5+'前提と出典'!$C$37*'契約別単価'!F6+'前提と出典'!$C$38*'契約別単価'!F7)</ns0:f>
        <ns0:v>224983.9016642011</ns0:v>
      </ns0:c>
      <ns0:c r="G312" s="16">
        <ns0:f>A312*('前提と出典'!$C$36*'契約別単価'!G5+'前提と出典'!$C$37*'契約別単価'!G6+'前提と出典'!$C$38*'契約別単価'!G7)</ns0:f>
        <ns0:v>613074.8603351956</ns0:v>
      </ns0:c>
      <ns0:c r="H312" s="16">
        <ns0:f>A312*('前提と出典'!$C$36*'契約別単価'!H5+'前提と出典'!$C$37*'契約別単価'!H6+'前提と出典'!$C$38*'契約別単価'!H7)</ns0:f>
        <ns0:v>212767.72465680353</ns0:v>
      </ns0:c>
      <ns0:c r="I312" s="16">
        <ns0:f>A312*('前提と出典'!$C$36*'契約別単価'!I5+'前提と出典'!$C$37*'契約別単価'!I6+'前提と出典'!$C$38*'契約別単価'!I7)</ns0:f>
        <ns0:v>12996.223463687149</ns0:v>
      </ns0:c>
      <ns0:c r="J312" s="16">
        <ns0:f>A312*('前提と出典'!$C$36*'契約別単価'!J5+'前提と出典'!$C$37*'契約別単価'!J6+'前提と出典'!$C$38*'契約別単価'!J7)</ns0:f>
        <ns0:v>30273.17946277319</ns0:v>
      </ns0:c>
      <ns0:c r="K312" s="16">
        <ns0:f>A312*('前提と出典'!$C$36*'契約別単価'!K5+'前提と出典'!$C$37*'契約別単価'!K6+'前提と出典'!$C$38*'契約別単価'!K7)</ns0:f>
        <ns0:v>129761.48975791433</ns0:v>
      </ns0:c>
      <ns0:c r="L312" s="16">
        <ns0:f>A312*('前提と出典'!$C$36*'契約別単価'!L5+'前提と出典'!$C$37*'契約別単価'!L6+'前提と出典'!$C$38*'契約別単価'!L7)</ns0:f>
        <ns0:v>105652.25748856012</ns0:v>
      </ns0:c>
      <ns0:c r="M312" s="16">
        <ns0:f>IF(('前提と出典'!$C$36+'前提と出典'!$C$38)=0,0,IF(B312&lt;=10,'前提と出典'!B73+'前提と出典'!C73,IF(B312&lt;=100,'前提と出典'!B74+'前提と出典'!C74,IF(B312&lt;=500,'前提と出典'!B75+'前提と出典'!C75,'前提と出典'!B76+'前提と出典'!C76))))</ns0:f>
        <ns0:v>40000</ns0:v>
      </ns0:c>
      <ns0:c r="N312" s="16">
        <ns0:f>IF(('前提と出典'!$C$37+'前提と出典'!$C$38)=0,0,IF(C312&lt;=10,'前提と出典'!D73+'前提と出典'!E73,IF(C312&lt;=100,'前提と出典'!D74+'前提と出典'!E74,IF(C312&lt;=500,'前提と出典'!D75+'前提と出典'!E75,'前提と出典'!D76+'前提と出典'!E76))))</ns0:f>
        <ns0:v>56510.9346263078</ns0:v>
      </ns0:c>
      <ns0:c r="O312" s="16">
        <ns0:f>IF('前提と出典'!$C$36+'前提と出典'!$C$38=0,0,'前提と出典'!$B$4*IF('前提と出典'!$B$20=0,MAX('前提と出典'!$B$6,D312*'前提と出典'!$B$5),'前提と出典'!$B$6+D312*'前提と出典'!$B$5))</ns0:f>
        <ns0:v>305838.83798882685</ns0:v>
      </ns0:c>
      <ns0:c r="P312" s="16">
        <ns0:f>(E312+G312)*(1-'前提と出典'!$B$7)-I312-K312-M312-O312</ns0:f>
        <ns0:v>848806.6515380063</ns0:v>
      </ns0:c>
      <ns0:c r="Q312" s="16">
        <ns0:f>(F312+H312)*(1-'前提と出典'!$B$7)-J312-L312-N312</ns0:f>
        <ns0:v>229556.19619580737</ns0:v>
      </ns0:c>
      <ns0:c r="R312" s="16">
        <ns0:f>P312-E312*'前提と出典'!$E$4</ns0:f>
        <ns0:v>616524.7934305458</ns0:v>
      </ns0:c>
      <ns0:c r="S312" s="16">
        <ns0:f>Q312-F312*'前提と出典'!$E$4</ns0:f>
        <ns0:v>162061.025696547</ns0:v>
      </ns0:c>
      <ns0:c r="T312" s="7">
        <ns0:f>R312+S312</ns0:f>
        <ns0:v>778585.8191270928</ns0:v>
      </ns0:c>
      <ns0:c r="U312" s="16">
        <ns0:f>P312-E312*'前提と出典'!$E$5</ns0:f>
        <ns0:v>539097.5073947257</ns0:v>
      </ns0:c>
      <ns0:c r="V312" s="16">
        <ns0:f>Q312-F312*'前提と出典'!$E$5</ns0:f>
        <ns0:v>139562.63553012692</ns0:v>
      </ns0:c>
      <ns0:c r="W312" s="7">
        <ns0:f>U312+V312</ns0:f>
        <ns0:v>678660.1429248527</ns0:v>
      </ns0:c>
      <ns0:c r="X312" s="16">
        <ns0:f>P312-E312*'前提と出典'!$E$6</ns0:f>
        <ns0:v>461670.2213589056</ns0:v>
      </ns0:c>
      <ns0:c r="Y312" s="16">
        <ns0:f>Q312-F312*'前提と出典'!$E$6</ns0:f>
        <ns0:v>117064.24536370684</ns0:v>
      </ns0:c>
      <ns0:c r="Z312" s="7">
        <ns0:f>X312+Y312</ns0:f>
        <ns0:v>578734.4667226125</ns0:v>
      </ns0:c>
      <ns0:c r="AA312" s="7">
        <ns0:f>IF(T312&gt;=0,A312,1001)</ns0:f>
        <ns0:v>308</ns0:v>
      </ns0:c>
      <ns0:c r="AB312" s="7">
        <ns0:f>IF(T312&lt;0,A312,0)</ns0:f>
        <ns0:v>0</ns0:v>
      </ns0:c>
      <ns0:c r="AC312" s="16">
        <ns0:f>IF(AND(OR('前提と出典'!$C$36+'前提と出典'!$C$38=0,R312&gt;=0),OR('前提と出典'!$C$37+'前提と出典'!$C$38=0,S312&gt;=0)),0,A312)</ns0:f>
        <ns0:v>0</ns0:v>
      </ns0:c>
      <ns0:c r="AD312" s="7">
        <ns0:f>IF(W312&gt;=0,A312,1001)</ns0:f>
        <ns0:v>308</ns0:v>
      </ns0:c>
      <ns0:c r="AE312" s="7">
        <ns0:f>IF(W312&lt;0,A312,0)</ns0:f>
        <ns0:v>0</ns0:v>
      </ns0:c>
      <ns0:c r="AF312" s="16">
        <ns0:f>IF(AND(OR('前提と出典'!$C$36+'前提と出典'!$C$38=0,U312&gt;=0),OR('前提と出典'!$C$37+'前提と出典'!$C$38=0,V312&gt;=0)),0,A312)</ns0:f>
        <ns0:v>0</ns0:v>
      </ns0:c>
      <ns0:c r="AG312" s="7">
        <ns0:f>IF(Z312&gt;=0,A312,1001)</ns0:f>
        <ns0:v>308</ns0:v>
      </ns0:c>
      <ns0:c r="AH312" s="4">
        <ns0:f>IF(Z312&lt;0,A312,0)</ns0:f>
        <ns0:v>0</ns0:v>
      </ns0:c>
      <ns0:c r="AI312" s="12">
        <ns0:f>IF(AND(OR('前提と出典'!$C$36+'前提と出典'!$C$38=0,X312&gt;=0),OR('前提と出典'!$C$37+'前提と出典'!$C$38=0,Y312&gt;=0)),0,A312)</ns0:f>
        <ns0:v>0</ns0:v>
      </ns0:c>
    </ns0:row>
    <ns0:row r="313" ht="24" customHeight="1">
      <ns0:c r="A313" s="4" t="n">
        <ns0:v>309</ns0:v>
      </ns0:c>
      <ns0:c r="B313" s="12">
        <ns0:f>A313*('前提と出典'!$C$36+'前提と出典'!$C$38)</ns0:f>
        <ns0:v>216.29999999999998</ns0:v>
      </ns0:c>
      <ns0:c r="C313" s="12">
        <ns0:f>A313*('前提と出典'!$C$37+'前提と出典'!$C$38)</ns0:f>
        <ns0:v>185.4</ns0:v>
      </ns0:c>
      <ns0:c r="D313" s="16">
        <ns0:f>A313*('前提と出典'!$C$36*'契約別単価'!C5+'前提と出典'!$C$37*'契約別単価'!C6+'前提と出典'!$C$38*'契約別単価'!C7)</ns0:f>
        <ns0:v>2223.4189944134077</ns0:v>
      </ns0:c>
      <ns0:c r="E313" s="16">
        <ns0:f>A313*('前提と出典'!$C$36*'契約別単価'!E5+'前提と出典'!$C$37*'契約別単価'!E6+'前提と出典'!$C$38*'契約別単価'!E7)</ns0:f>
        <ns0:v>776786.7332814422</ns0:v>
      </ns0:c>
      <ns0:c r="F313" s="16">
        <ns0:f>A313*('前提と出典'!$C$36*'契約別単価'!F5+'前提と出典'!$C$37*'契約別単価'!F6+'前提と出典'!$C$38*'契約別単価'!F7)</ns0:f>
        <ns0:v>225714.36887739657</ns0:v>
      </ns0:c>
      <ns0:c r="G313" s="16">
        <ns0:f>A313*('前提と出典'!$C$36*'契約別単価'!G5+'前提と出典'!$C$37*'契約別単価'!G6+'前提と出典'!$C$38*'契約別単価'!G7)</ns0:f>
        <ns0:v>615065.3631284916</ns0:v>
      </ns0:c>
      <ns0:c r="H313" s="16">
        <ns0:f>A313*('前提と出典'!$C$36*'契約別単価'!H5+'前提と出典'!$C$37*'契約別単価'!H6+'前提と出典'!$C$38*'契約別単価'!H7)</ns0:f>
        <ns0:v>213458.52895763732</ns0:v>
      </ns0:c>
      <ns0:c r="I313" s="16">
        <ns0:f>A313*('前提と出典'!$C$36*'契約別単価'!I5+'前提と出典'!$C$37*'契約別単価'!I6+'前提と出典'!$C$38*'契約別単価'!I7)</ns0:f>
        <ns0:v>13038.418994413405</ns0:v>
      </ns0:c>
      <ns0:c r="J313" s="16">
        <ns0:f>A313*('前提と出典'!$C$36*'契約別単価'!J5+'前提と出典'!$C$37*'契約別単価'!J6+'前提と出典'!$C$38*'契約別単価'!J7)</ns0:f>
        <ns0:v>30371.469006483494</ns0:v>
      </ns0:c>
      <ns0:c r="K313" s="16">
        <ns0:f>A313*('前提と出典'!$C$36*'契約別単価'!K5+'前提と出典'!$C$37*'契約別単価'!K6+'前提と出典'!$C$38*'契約別単価'!K7)</ns0:f>
        <ns0:v>130182.79329608938</ns0:v>
      </ns0:c>
      <ns0:c r="L313" s="16">
        <ns0:f>A313*('前提と出典'!$C$36*'契約別単価'!L5+'前提と出典'!$C$37*'契約別単価'!L6+'前提と出典'!$C$38*'契約別単価'!L7)</ns0:f>
        <ns0:v>105995.28429858791</ns0:v>
      </ns0:c>
      <ns0:c r="M313" s="16">
        <ns0:f>IF(('前提と出典'!$C$36+'前提と出典'!$C$38)=0,0,IF(B313&lt;=10,'前提と出典'!B73+'前提と出典'!C73,IF(B313&lt;=100,'前提と出典'!B74+'前提と出典'!C74,IF(B313&lt;=500,'前提と出典'!B75+'前提と出典'!C75,'前提と出典'!B76+'前提と出典'!C76))))</ns0:f>
        <ns0:v>40000</ns0:v>
      </ns0:c>
      <ns0:c r="N313" s="16">
        <ns0:f>IF(('前提と出典'!$C$37+'前提と出典'!$C$38)=0,0,IF(C313&lt;=10,'前提と出典'!D73+'前提と出典'!E73,IF(C313&lt;=100,'前提と出典'!D74+'前提と出典'!E74,IF(C313&lt;=500,'前提と出典'!D75+'前提と出典'!E75,'前提と出典'!D76+'前提と出典'!E76))))</ns0:f>
        <ns0:v>56510.9346263078</ns0:v>
      </ns0:c>
      <ns0:c r="O313" s="16">
        <ns0:f>IF('前提と出典'!$C$36+'前提と出典'!$C$38=0,0,'前提と出典'!$B$4*IF('前提と出典'!$B$20=0,MAX('前提と出典'!$B$6,D313*'前提と出典'!$B$5),'前提と出典'!$B$6+D313*'前提と出典'!$B$5))</ns0:f>
        <ns0:v>306831.8212290503</ns0:v>
      </ns0:c>
      <ns0:c r="P313" s="16">
        <ns0:f>(E313+G313)*(1-'前提と出典'!$B$7)-I313-K313-M313-O313</ns0:f>
        <ns0:v>851692.3874196229</ns0:v>
      </ns0:c>
      <ns0:c r="Q313" s="16">
        <ns0:f>(F313+H313)*(1-'前提と出典'!$B$7)-J313-L313-N313</ns0:f>
        <ns0:v>230484.9855815934</ns0:v>
      </ns0:c>
      <ns0:c r="R313" s="16">
        <ns0:f>P313-E313*'前提と出典'!$E$4</ns0:f>
        <ns0:v>618656.3674351902</ns0:v>
      </ns0:c>
      <ns0:c r="S313" s="16">
        <ns0:f>Q313-F313*'前提と出典'!$E$4</ns0:f>
        <ns0:v>162770.67491837448</ns0:v>
      </ns0:c>
      <ns0:c r="T313" s="7">
        <ns0:f>R313+S313</ns0:f>
        <ns0:v>781427.0423535648</ns0:v>
      </ns0:c>
      <ns0:c r="U313" s="16">
        <ns0:f>P313-E313*'前提と出典'!$E$5</ns0:f>
        <ns0:v>540977.6941070459</ns0:v>
      </ns0:c>
      <ns0:c r="V313" s="16">
        <ns0:f>Q313-F313*'前提と出典'!$E$5</ns0:f>
        <ns0:v>140199.2380306348</ns0:v>
      </ns0:c>
      <ns0:c r="W313" s="7">
        <ns0:f>U313+V313</ns0:f>
        <ns0:v>681176.9321376807</ns0:v>
      </ns0:c>
      <ns0:c r="X313" s="16">
        <ns0:f>P313-E313*'前提と出典'!$E$6</ns0:f>
        <ns0:v>463299.02077890176</ns0:v>
      </ns0:c>
      <ns0:c r="Y313" s="16">
        <ns0:f>Q313-F313*'前提と出典'!$E$6</ns0:f>
        <ns0:v>117627.80114289516</ns0:v>
      </ns0:c>
      <ns0:c r="Z313" s="7">
        <ns0:f>X313+Y313</ns0:f>
        <ns0:v>580926.8219217969</ns0:v>
      </ns0:c>
      <ns0:c r="AA313" s="7">
        <ns0:f>IF(T313&gt;=0,A313,1001)</ns0:f>
        <ns0:v>309</ns0:v>
      </ns0:c>
      <ns0:c r="AB313" s="7">
        <ns0:f>IF(T313&lt;0,A313,0)</ns0:f>
        <ns0:v>0</ns0:v>
      </ns0:c>
      <ns0:c r="AC313" s="16">
        <ns0:f>IF(AND(OR('前提と出典'!$C$36+'前提と出典'!$C$38=0,R313&gt;=0),OR('前提と出典'!$C$37+'前提と出典'!$C$38=0,S313&gt;=0)),0,A313)</ns0:f>
        <ns0:v>0</ns0:v>
      </ns0:c>
      <ns0:c r="AD313" s="7">
        <ns0:f>IF(W313&gt;=0,A313,1001)</ns0:f>
        <ns0:v>309</ns0:v>
      </ns0:c>
      <ns0:c r="AE313" s="7">
        <ns0:f>IF(W313&lt;0,A313,0)</ns0:f>
        <ns0:v>0</ns0:v>
      </ns0:c>
      <ns0:c r="AF313" s="16">
        <ns0:f>IF(AND(OR('前提と出典'!$C$36+'前提と出典'!$C$38=0,U313&gt;=0),OR('前提と出典'!$C$37+'前提と出典'!$C$38=0,V313&gt;=0)),0,A313)</ns0:f>
        <ns0:v>0</ns0:v>
      </ns0:c>
      <ns0:c r="AG313" s="7">
        <ns0:f>IF(Z313&gt;=0,A313,1001)</ns0:f>
        <ns0:v>309</ns0:v>
      </ns0:c>
      <ns0:c r="AH313" s="4">
        <ns0:f>IF(Z313&lt;0,A313,0)</ns0:f>
        <ns0:v>0</ns0:v>
      </ns0:c>
      <ns0:c r="AI313" s="12">
        <ns0:f>IF(AND(OR('前提と出典'!$C$36+'前提と出典'!$C$38=0,X313&gt;=0),OR('前提と出典'!$C$37+'前提と出典'!$C$38=0,Y313&gt;=0)),0,A313)</ns0:f>
        <ns0:v>0</ns0:v>
      </ns0:c>
    </ns0:row>
    <ns0:row r="314" ht="24" customHeight="1">
      <ns0:c r="A314" s="4" t="n">
        <ns0:v>310</ns0:v>
      </ns0:c>
      <ns0:c r="B314" s="12">
        <ns0:f>A314*('前提と出典'!$C$36+'前提と出典'!$C$38)</ns0:f>
        <ns0:v>217</ns0:v>
      </ns0:c>
      <ns0:c r="C314" s="12">
        <ns0:f>A314*('前提と出典'!$C$37+'前提と出典'!$C$38)</ns0:f>
        <ns0:v>186</ns0:v>
      </ns0:c>
      <ns0:c r="D314" s="16">
        <ns0:f>A314*('前提と出典'!$C$36*'契約別単価'!C5+'前提と出典'!$C$37*'契約別単価'!C6+'前提と出典'!$C$38*'契約別単価'!C7)</ns0:f>
        <ns0:v>2230.6145251396647</ns0:v>
      </ns0:c>
      <ns0:c r="E314" s="16">
        <ns0:f>A314*('前提と出典'!$C$36*'契約別単価'!E5+'前提と出典'!$C$37*'契約別単価'!E6+'前提と出典'!$C$38*'契約別単価'!E7)</ns0:f>
        <ns0:v>779300.6062046831</ns0:v>
      </ns0:c>
      <ns0:c r="F314" s="16">
        <ns0:f>A314*('前提と出典'!$C$36*'契約別単価'!F5+'前提と出典'!$C$37*'契約別単価'!F6+'前提と出典'!$C$38*'契約別単価'!F7)</ns0:f>
        <ns0:v>226444.83609059203</ns0:v>
      </ns0:c>
      <ns0:c r="G314" s="16">
        <ns0:f>A314*('前提と出典'!$C$36*'契約別単価'!G5+'前提と出典'!$C$37*'契約別単価'!G6+'前提と出典'!$C$38*'契約別単価'!G7)</ns0:f>
        <ns0:v>617055.8659217877</ns0:v>
      </ns0:c>
      <ns0:c r="H314" s="16">
        <ns0:f>A314*('前提と出典'!$C$36*'契約別単価'!H5+'前提と出典'!$C$37*'契約別単価'!H6+'前提と出典'!$C$38*'契約別単価'!H7)</ns0:f>
        <ns0:v>214149.33325847107</ns0:v>
      </ns0:c>
      <ns0:c r="I314" s="16">
        <ns0:f>A314*('前提と出典'!$C$36*'契約別単価'!I5+'前提と出典'!$C$37*'契約別単価'!I6+'前提と出典'!$C$38*'契約別単価'!I7)</ns0:f>
        <ns0:v>13080.614525139663</ns0:v>
      </ns0:c>
      <ns0:c r="J314" s="16">
        <ns0:f>A314*('前提と出典'!$C$36*'契約別単価'!J5+'前提と出典'!$C$37*'契約別単価'!J6+'前提と出典'!$C$38*'契約別単価'!J7)</ns0:f>
        <ns0:v>30469.758550193797</ns0:v>
      </ns0:c>
      <ns0:c r="K314" s="16">
        <ns0:f>A314*('前提と出典'!$C$36*'契約別単価'!K5+'前提と出典'!$C$37*'契約別単価'!K6+'前提と出典'!$C$38*'契約別単価'!K7)</ns0:f>
        <ns0:v>130604.09683426442</ns0:v>
      </ns0:c>
      <ns0:c r="L314" s="16">
        <ns0:f>A314*('前提と出典'!$C$36*'契約別単価'!L5+'前提と出典'!$C$37*'契約別単価'!L6+'前提と出典'!$C$38*'契約別単価'!L7)</ns0:f>
        <ns0:v>106338.3111086157</ns0:v>
      </ns0:c>
      <ns0:c r="M314" s="16">
        <ns0:f>IF(('前提と出典'!$C$36+'前提と出典'!$C$38)=0,0,IF(B314&lt;=10,'前提と出典'!B73+'前提と出典'!C73,IF(B314&lt;=100,'前提と出典'!B74+'前提と出典'!C74,IF(B314&lt;=500,'前提と出典'!B75+'前提と出典'!C75,'前提と出典'!B76+'前提と出典'!C76))))</ns0:f>
        <ns0:v>40000</ns0:v>
      </ns0:c>
      <ns0:c r="N314" s="16">
        <ns0:f>IF(('前提と出典'!$C$37+'前提と出典'!$C$38)=0,0,IF(C314&lt;=10,'前提と出典'!D73+'前提と出典'!E73,IF(C314&lt;=100,'前提と出典'!D74+'前提と出典'!E74,IF(C314&lt;=500,'前提と出典'!D75+'前提と出典'!E75,'前提と出典'!D76+'前提と出典'!E76))))</ns0:f>
        <ns0:v>56510.9346263078</ns0:v>
      </ns0:c>
      <ns0:c r="O314" s="16">
        <ns0:f>IF('前提と出典'!$C$36+'前提と出典'!$C$38=0,0,'前提と出典'!$B$4*IF('前提と出典'!$B$20=0,MAX('前提と出典'!$B$6,D314*'前提と出典'!$B$5),'前提と出典'!$B$6+D314*'前提と出典'!$B$5))</ns0:f>
        <ns0:v>307824.8044692738</ns0:v>
      </ns0:c>
      <ns0:c r="P314" s="16">
        <ns0:f>(E314+G314)*(1-'前提と出典'!$B$7)-I314-K314-M314-O314</ns0:f>
        <ns0:v>854578.1233012399</ns0:v>
      </ns0:c>
      <ns0:c r="Q314" s="16">
        <ns0:f>(F314+H314)*(1-'前提と出典'!$B$7)-J314-L314-N314</ns0:f>
        <ns0:v>231413.77496737946</ns0:v>
      </ns0:c>
      <ns0:c r="R314" s="16">
        <ns0:f>P314-E314*'前提と出典'!$E$4</ns0:f>
        <ns0:v>620787.9414398352</ns0:v>
      </ns0:c>
      <ns0:c r="S314" s="16">
        <ns0:f>Q314-F314*'前提と出典'!$E$4</ns0:f>
        <ns0:v>163480.32414020185</ns0:v>
      </ns0:c>
      <ns0:c r="T314" s="7">
        <ns0:f>R314+S314</ns0:f>
        <ns0:v>784268.2655800371</ns0:v>
      </ns0:c>
      <ns0:c r="U314" s="16">
        <ns0:f>P314-E314*'前提と出典'!$E$5</ns0:f>
        <ns0:v>542857.8808193667</ns0:v>
      </ns0:c>
      <ns0:c r="V314" s="16">
        <ns0:f>Q314-F314*'前提と出典'!$E$5</ns0:f>
        <ns0:v>140835.84053114266</ns0:v>
      </ns0:c>
      <ns0:c r="W314" s="7">
        <ns0:f>U314+V314</ns0:f>
        <ns0:v>683693.7213505093</ns0:v>
      </ns0:c>
      <ns0:c r="X314" s="16">
        <ns0:f>P314-E314*'前提と出典'!$E$6</ns0:f>
        <ns0:v>464927.82019889855</ns0:v>
      </ns0:c>
      <ns0:c r="Y314" s="16">
        <ns0:f>Q314-F314*'前提と出典'!$E$6</ns0:f>
        <ns0:v>118191.35692208348</ns0:v>
      </ns0:c>
      <ns0:c r="Z314" s="7">
        <ns0:f>X314+Y314</ns0:f>
        <ns0:v>583119.177120982</ns0:v>
      </ns0:c>
      <ns0:c r="AA314" s="7">
        <ns0:f>IF(T314&gt;=0,A314,1001)</ns0:f>
        <ns0:v>310</ns0:v>
      </ns0:c>
      <ns0:c r="AB314" s="7">
        <ns0:f>IF(T314&lt;0,A314,0)</ns0:f>
        <ns0:v>0</ns0:v>
      </ns0:c>
      <ns0:c r="AC314" s="16">
        <ns0:f>IF(AND(OR('前提と出典'!$C$36+'前提と出典'!$C$38=0,R314&gt;=0),OR('前提と出典'!$C$37+'前提と出典'!$C$38=0,S314&gt;=0)),0,A314)</ns0:f>
        <ns0:v>0</ns0:v>
      </ns0:c>
      <ns0:c r="AD314" s="7">
        <ns0:f>IF(W314&gt;=0,A314,1001)</ns0:f>
        <ns0:v>310</ns0:v>
      </ns0:c>
      <ns0:c r="AE314" s="7">
        <ns0:f>IF(W314&lt;0,A314,0)</ns0:f>
        <ns0:v>0</ns0:v>
      </ns0:c>
      <ns0:c r="AF314" s="16">
        <ns0:f>IF(AND(OR('前提と出典'!$C$36+'前提と出典'!$C$38=0,U314&gt;=0),OR('前提と出典'!$C$37+'前提と出典'!$C$38=0,V314&gt;=0)),0,A314)</ns0:f>
        <ns0:v>0</ns0:v>
      </ns0:c>
      <ns0:c r="AG314" s="7">
        <ns0:f>IF(Z314&gt;=0,A314,1001)</ns0:f>
        <ns0:v>310</ns0:v>
      </ns0:c>
      <ns0:c r="AH314" s="4">
        <ns0:f>IF(Z314&lt;0,A314,0)</ns0:f>
        <ns0:v>0</ns0:v>
      </ns0:c>
      <ns0:c r="AI314" s="12">
        <ns0:f>IF(AND(OR('前提と出典'!$C$36+'前提と出典'!$C$38=0,X314&gt;=0),OR('前提と出典'!$C$37+'前提と出典'!$C$38=0,Y314&gt;=0)),0,A314)</ns0:f>
        <ns0:v>0</ns0:v>
      </ns0:c>
    </ns0:row>
    <ns0:row r="315" ht="24" customHeight="1">
      <ns0:c r="A315" s="4" t="n">
        <ns0:v>311</ns0:v>
      </ns0:c>
      <ns0:c r="B315" s="12">
        <ns0:f>A315*('前提と出典'!$C$36+'前提と出典'!$C$38)</ns0:f>
        <ns0:v>217.7</ns0:v>
      </ns0:c>
      <ns0:c r="C315" s="12">
        <ns0:f>A315*('前提と出典'!$C$37+'前提と出典'!$C$38)</ns0:f>
        <ns0:v>186.6</ns0:v>
      </ns0:c>
      <ns0:c r="D315" s="16">
        <ns0:f>A315*('前提と出典'!$C$36*'契約別単価'!C5+'前提と出典'!$C$37*'契約別単価'!C6+'前提と出典'!$C$38*'契約別単価'!C7)</ns0:f>
        <ns0:v>2237.8100558659216</ns0:v>
      </ns0:c>
      <ns0:c r="E315" s="16">
        <ns0:f>A315*('前提と出典'!$C$36*'契約別単価'!E5+'前提と出典'!$C$37*'契約別単価'!E6+'前提と出典'!$C$38*'契約別単価'!E7)</ns0:f>
        <ns0:v>781814.479127924</ns0:v>
      </ns0:c>
      <ns0:c r="F315" s="16">
        <ns0:f>A315*('前提と出典'!$C$36*'契約別単価'!F5+'前提と出典'!$C$37*'契約別単価'!F6+'前提と出典'!$C$38*'契約別単価'!F7)</ns0:f>
        <ns0:v>227175.30330378748</ns0:v>
      </ns0:c>
      <ns0:c r="G315" s="16">
        <ns0:f>A315*('前提と出典'!$C$36*'契約別単価'!G5+'前提と出典'!$C$37*'契約別単価'!G6+'前提と出典'!$C$38*'契約別単価'!G7)</ns0:f>
        <ns0:v>619046.3687150838</ns0:v>
      </ns0:c>
      <ns0:c r="H315" s="16">
        <ns0:f>A315*('前提と出典'!$C$36*'契約別単価'!H5+'前提と出典'!$C$37*'契約別単価'!H6+'前提と出典'!$C$38*'契約別単価'!H7)</ns0:f>
        <ns0:v>214840.13755930486</ns0:v>
      </ns0:c>
      <ns0:c r="I315" s="16">
        <ns0:f>A315*('前提と出典'!$C$36*'契約別単価'!I5+'前提と出典'!$C$37*'契約別単価'!I6+'前提と出典'!$C$38*'契約別単価'!I7)</ns0:f>
        <ns0:v>13122.810055865919</ns0:v>
      </ns0:c>
      <ns0:c r="J315" s="16">
        <ns0:f>A315*('前提と出典'!$C$36*'契約別単価'!J5+'前提と出典'!$C$37*'契約別単価'!J6+'前提と出典'!$C$38*'契約別単価'!J7)</ns0:f>
        <ns0:v>30568.048093904097</ns0:v>
      </ns0:c>
      <ns0:c r="K315" s="16">
        <ns0:f>A315*('前提と出典'!$C$36*'契約別単価'!K5+'前提と出典'!$C$37*'契約別単価'!K6+'前提と出典'!$C$38*'契約別単価'!K7)</ns0:f>
        <ns0:v>131025.40037243947</ns0:v>
      </ns0:c>
      <ns0:c r="L315" s="16">
        <ns0:f>A315*('前提と出典'!$C$36*'契約別単価'!L5+'前提と出典'!$C$37*'契約別単価'!L6+'前提と出典'!$C$38*'契約別単価'!L7)</ns0:f>
        <ns0:v>106681.33791864349</ns0:v>
      </ns0:c>
      <ns0:c r="M315" s="16">
        <ns0:f>IF(('前提と出典'!$C$36+'前提と出典'!$C$38)=0,0,IF(B315&lt;=10,'前提と出典'!B73+'前提と出典'!C73,IF(B315&lt;=100,'前提と出典'!B74+'前提と出典'!C74,IF(B315&lt;=500,'前提と出典'!B75+'前提と出典'!C75,'前提と出典'!B76+'前提と出典'!C76))))</ns0:f>
        <ns0:v>40000</ns0:v>
      </ns0:c>
      <ns0:c r="N315" s="16">
        <ns0:f>IF(('前提と出典'!$C$37+'前提と出典'!$C$38)=0,0,IF(C315&lt;=10,'前提と出典'!D73+'前提と出典'!E73,IF(C315&lt;=100,'前提と出典'!D74+'前提と出典'!E74,IF(C315&lt;=500,'前提と出典'!D75+'前提と出典'!E75,'前提と出典'!D76+'前提と出典'!E76))))</ns0:f>
        <ns0:v>56510.9346263078</ns0:v>
      </ns0:c>
      <ns0:c r="O315" s="16">
        <ns0:f>IF('前提と出典'!$C$36+'前提と出典'!$C$38=0,0,'前提と出典'!$B$4*IF('前提と出典'!$B$20=0,MAX('前提と出典'!$B$6,D315*'前提と出典'!$B$5),'前提と出典'!$B$6+D315*'前提と出典'!$B$5))</ns0:f>
        <ns0:v>308817.7877094972</ns0:v>
      </ns0:c>
      <ns0:c r="P315" s="16">
        <ns0:f>(E315+G315)*(1-'前提と出典'!$B$7)-I315-K315-M315-O315</ns0:f>
        <ns0:v>857463.8591828567</ns0:v>
      </ns0:c>
      <ns0:c r="Q315" s="16">
        <ns0:f>(F315+H315)*(1-'前提と出典'!$B$7)-J315-L315-N315</ns0:f>
        <ns0:v>232342.56435316562</ns0:v>
      </ns0:c>
      <ns0:c r="R315" s="16">
        <ns0:f>P315-E315*'前提と出典'!$E$4</ns0:f>
        <ns0:v>622919.5154444796</ns0:v>
      </ns0:c>
      <ns0:c r="S315" s="16">
        <ns0:f>Q315-F315*'前提と出典'!$E$4</ns0:f>
        <ns0:v>164189.97336202936</ns0:v>
      </ns0:c>
      <ns0:c r="T315" s="7">
        <ns0:f>R315+S315</ns0:f>
        <ns0:v>787109.488806509</ns0:v>
      </ns0:c>
      <ns0:c r="U315" s="16">
        <ns0:f>P315-E315*'前提と出典'!$E$5</ns0:f>
        <ns0:v>544738.0675316872</ns0:v>
      </ns0:c>
      <ns0:c r="V315" s="16">
        <ns0:f>Q315-F315*'前提と出典'!$E$5</ns0:f>
        <ns0:v>141472.44303165062</ns0:v>
      </ns0:c>
      <ns0:c r="W315" s="7">
        <ns0:f>U315+V315</ns0:f>
        <ns0:v>686210.5105633378</ns0:v>
      </ns0:c>
      <ns0:c r="X315" s="16">
        <ns0:f>P315-E315*'前提と出典'!$E$6</ns0:f>
        <ns0:v>466556.6196188947</ns0:v>
      </ns0:c>
      <ns0:c r="Y315" s="16">
        <ns0:f>Q315-F315*'前提と出典'!$E$6</ns0:f>
        <ns0:v>118754.91270127188</ns0:v>
      </ns0:c>
      <ns0:c r="Z315" s="7">
        <ns0:f>X315+Y315</ns0:f>
        <ns0:v>585311.5323201666</ns0:v>
      </ns0:c>
      <ns0:c r="AA315" s="7">
        <ns0:f>IF(T315&gt;=0,A315,1001)</ns0:f>
        <ns0:v>311</ns0:v>
      </ns0:c>
      <ns0:c r="AB315" s="7">
        <ns0:f>IF(T315&lt;0,A315,0)</ns0:f>
        <ns0:v>0</ns0:v>
      </ns0:c>
      <ns0:c r="AC315" s="16">
        <ns0:f>IF(AND(OR('前提と出典'!$C$36+'前提と出典'!$C$38=0,R315&gt;=0),OR('前提と出典'!$C$37+'前提と出典'!$C$38=0,S315&gt;=0)),0,A315)</ns0:f>
        <ns0:v>0</ns0:v>
      </ns0:c>
      <ns0:c r="AD315" s="7">
        <ns0:f>IF(W315&gt;=0,A315,1001)</ns0:f>
        <ns0:v>311</ns0:v>
      </ns0:c>
      <ns0:c r="AE315" s="7">
        <ns0:f>IF(W315&lt;0,A315,0)</ns0:f>
        <ns0:v>0</ns0:v>
      </ns0:c>
      <ns0:c r="AF315" s="16">
        <ns0:f>IF(AND(OR('前提と出典'!$C$36+'前提と出典'!$C$38=0,U315&gt;=0),OR('前提と出典'!$C$37+'前提と出典'!$C$38=0,V315&gt;=0)),0,A315)</ns0:f>
        <ns0:v>0</ns0:v>
      </ns0:c>
      <ns0:c r="AG315" s="7">
        <ns0:f>IF(Z315&gt;=0,A315,1001)</ns0:f>
        <ns0:v>311</ns0:v>
      </ns0:c>
      <ns0:c r="AH315" s="4">
        <ns0:f>IF(Z315&lt;0,A315,0)</ns0:f>
        <ns0:v>0</ns0:v>
      </ns0:c>
      <ns0:c r="AI315" s="12">
        <ns0:f>IF(AND(OR('前提と出典'!$C$36+'前提と出典'!$C$38=0,X315&gt;=0),OR('前提と出典'!$C$37+'前提と出典'!$C$38=0,Y315&gt;=0)),0,A315)</ns0:f>
        <ns0:v>0</ns0:v>
      </ns0:c>
    </ns0:row>
    <ns0:row r="316" ht="24" customHeight="1">
      <ns0:c r="A316" s="4" t="n">
        <ns0:v>312</ns0:v>
      </ns0:c>
      <ns0:c r="B316" s="12">
        <ns0:f>A316*('前提と出典'!$C$36+'前提と出典'!$C$38)</ns0:f>
        <ns0:v>218.39999999999998</ns0:v>
      </ns0:c>
      <ns0:c r="C316" s="12">
        <ns0:f>A316*('前提と出典'!$C$37+'前提と出典'!$C$38)</ns0:f>
        <ns0:v>187.2</ns0:v>
      </ns0:c>
      <ns0:c r="D316" s="16">
        <ns0:f>A316*('前提と出典'!$C$36*'契約別単価'!C5+'前提と出典'!$C$37*'契約別単価'!C6+'前提と出典'!$C$38*'契約別単価'!C7)</ns0:f>
        <ns0:v>2245.0055865921786</ns0:v>
      </ns0:c>
      <ns0:c r="E316" s="16">
        <ns0:f>A316*('前提と出典'!$C$36*'契約別単価'!E5+'前提と出典'!$C$37*'契約別単価'!E6+'前提と出典'!$C$38*'契約別単価'!E7)</ns0:f>
        <ns0:v>784328.352051165</ns0:v>
      </ns0:c>
      <ns0:c r="F316" s="16">
        <ns0:f>A316*('前提と出典'!$C$36*'契約別単価'!F5+'前提と出典'!$C$37*'契約別単価'!F6+'前提と出典'!$C$38*'契約別単価'!F7)</ns0:f>
        <ns0:v>227905.77051698294</ns0:v>
      </ns0:c>
      <ns0:c r="G316" s="16">
        <ns0:f>A316*('前提と出典'!$C$36*'契約別単価'!G5+'前提と出典'!$C$37*'契約別単価'!G6+'前提と出典'!$C$38*'契約別単価'!G7)</ns0:f>
        <ns0:v>621036.8715083798</ns0:v>
      </ns0:c>
      <ns0:c r="H316" s="16">
        <ns0:f>A316*('前提と出典'!$C$36*'契約別単価'!H5+'前提と出典'!$C$37*'契約別単価'!H6+'前提と出典'!$C$38*'契約別単価'!H7)</ns0:f>
        <ns0:v>215530.94186013864</ns0:v>
      </ns0:c>
      <ns0:c r="I316" s="16">
        <ns0:f>A316*('前提と出典'!$C$36*'契約別単価'!I5+'前提と出典'!$C$37*'契約別単価'!I6+'前提と出典'!$C$38*'契約別単価'!I7)</ns0:f>
        <ns0:v>13165.005586592177</ns0:v>
      </ns0:c>
      <ns0:c r="J316" s="16">
        <ns0:f>A316*('前提と出典'!$C$36*'契約別単価'!J5+'前提と出典'!$C$37*'契約別単価'!J6+'前提と出典'!$C$38*'契約別単価'!J7)</ns0:f>
        <ns0:v>30666.3376376144</ns0:v>
      </ns0:c>
      <ns0:c r="K316" s="16">
        <ns0:f>A316*('前提と出典'!$C$36*'契約別単価'!K5+'前提と出典'!$C$37*'契約別単価'!K6+'前提と出典'!$C$38*'契約別単価'!K7)</ns0:f>
        <ns0:v>131446.7039106145</ns0:v>
      </ns0:c>
      <ns0:c r="L316" s="16">
        <ns0:f>A316*('前提と出典'!$C$36*'契約別単価'!L5+'前提と出典'!$C$37*'契約別単価'!L6+'前提と出典'!$C$38*'契約別単価'!L7)</ns0:f>
        <ns0:v>107024.36472867128</ns0:v>
      </ns0:c>
      <ns0:c r="M316" s="16">
        <ns0:f>IF(('前提と出典'!$C$36+'前提と出典'!$C$38)=0,0,IF(B316&lt;=10,'前提と出典'!B73+'前提と出典'!C73,IF(B316&lt;=100,'前提と出典'!B74+'前提と出典'!C74,IF(B316&lt;=500,'前提と出典'!B75+'前提と出典'!C75,'前提と出典'!B76+'前提と出典'!C76))))</ns0:f>
        <ns0:v>40000</ns0:v>
      </ns0:c>
      <ns0:c r="N316" s="16">
        <ns0:f>IF(('前提と出典'!$C$37+'前提と出典'!$C$38)=0,0,IF(C316&lt;=10,'前提と出典'!D73+'前提と出典'!E73,IF(C316&lt;=100,'前提と出典'!D74+'前提と出典'!E74,IF(C316&lt;=500,'前提と出典'!D75+'前提と出典'!E75,'前提と出典'!D76+'前提と出典'!E76))))</ns0:f>
        <ns0:v>56510.9346263078</ns0:v>
      </ns0:c>
      <ns0:c r="O316" s="16">
        <ns0:f>IF('前提と出典'!$C$36+'前提と出典'!$C$38=0,0,'前提と出典'!$B$4*IF('前提と出典'!$B$20=0,MAX('前提と出典'!$B$6,D316*'前提と出典'!$B$5),'前提と出典'!$B$6+D316*'前提と出典'!$B$5))</ns0:f>
        <ns0:v>309810.77094972064</ns0:v>
      </ns0:c>
      <ns0:c r="P316" s="16">
        <ns0:f>(E316+G316)*(1-'前提と出典'!$B$7)-I316-K316-M316-O316</ns0:f>
        <ns0:v>860349.595064474</ns0:v>
      </ns0:c>
      <ns0:c r="Q316" s="16">
        <ns0:f>(F316+H316)*(1-'前提と出典'!$B$7)-J316-L316-N316</ns0:f>
        <ns0:v>233271.35373895176</ns0:v>
      </ns0:c>
      <ns0:c r="R316" s="16">
        <ns0:f>P316-E316*'前提と出典'!$E$4</ns0:f>
        <ns0:v>625051.0894491245</ns0:v>
      </ns0:c>
      <ns0:c r="S316" s="16">
        <ns0:f>Q316-F316*'前提と出典'!$E$4</ns0:f>
        <ns0:v>164899.62258385686</ns0:v>
      </ns0:c>
      <ns0:c r="T316" s="7">
        <ns0:f>R316+S316</ns0:f>
        <ns0:v>789950.7120329814</ns0:v>
      </ns0:c>
      <ns0:c r="U316" s="16">
        <ns0:f>P316-E316*'前提と出典'!$E$5</ns0:f>
        <ns0:v>546618.2542440081</ns0:v>
      </ns0:c>
      <ns0:c r="V316" s="16">
        <ns0:f>Q316-F316*'前提と出典'!$E$5</ns0:f>
        <ns0:v>142109.04553215858</ns0:v>
      </ns0:c>
      <ns0:c r="W316" s="7">
        <ns0:f>U316+V316</ns0:f>
        <ns0:v>688727.2997761667</ns0:v>
      </ns0:c>
      <ns0:c r="X316" s="16">
        <ns0:f>P316-E316*'前提と出典'!$E$6</ns0:f>
        <ns0:v>468185.41903889156</ns0:v>
      </ns0:c>
      <ns0:c r="Y316" s="16">
        <ns0:f>Q316-F316*'前提と出典'!$E$6</ns0:f>
        <ns0:v>119318.46848046023</ns0:v>
      </ns0:c>
      <ns0:c r="Z316" s="7">
        <ns0:f>X316+Y316</ns0:f>
        <ns0:v>587503.8875193518</ns0:v>
      </ns0:c>
      <ns0:c r="AA316" s="7">
        <ns0:f>IF(T316&gt;=0,A316,1001)</ns0:f>
        <ns0:v>312</ns0:v>
      </ns0:c>
      <ns0:c r="AB316" s="7">
        <ns0:f>IF(T316&lt;0,A316,0)</ns0:f>
        <ns0:v>0</ns0:v>
      </ns0:c>
      <ns0:c r="AC316" s="16">
        <ns0:f>IF(AND(OR('前提と出典'!$C$36+'前提と出典'!$C$38=0,R316&gt;=0),OR('前提と出典'!$C$37+'前提と出典'!$C$38=0,S316&gt;=0)),0,A316)</ns0:f>
        <ns0:v>0</ns0:v>
      </ns0:c>
      <ns0:c r="AD316" s="7">
        <ns0:f>IF(W316&gt;=0,A316,1001)</ns0:f>
        <ns0:v>312</ns0:v>
      </ns0:c>
      <ns0:c r="AE316" s="7">
        <ns0:f>IF(W316&lt;0,A316,0)</ns0:f>
        <ns0:v>0</ns0:v>
      </ns0:c>
      <ns0:c r="AF316" s="16">
        <ns0:f>IF(AND(OR('前提と出典'!$C$36+'前提と出典'!$C$38=0,U316&gt;=0),OR('前提と出典'!$C$37+'前提と出典'!$C$38=0,V316&gt;=0)),0,A316)</ns0:f>
        <ns0:v>0</ns0:v>
      </ns0:c>
      <ns0:c r="AG316" s="7">
        <ns0:f>IF(Z316&gt;=0,A316,1001)</ns0:f>
        <ns0:v>312</ns0:v>
      </ns0:c>
      <ns0:c r="AH316" s="4">
        <ns0:f>IF(Z316&lt;0,A316,0)</ns0:f>
        <ns0:v>0</ns0:v>
      </ns0:c>
      <ns0:c r="AI316" s="12">
        <ns0:f>IF(AND(OR('前提と出典'!$C$36+'前提と出典'!$C$38=0,X316&gt;=0),OR('前提と出典'!$C$37+'前提と出典'!$C$38=0,Y316&gt;=0)),0,A316)</ns0:f>
        <ns0:v>0</ns0:v>
      </ns0:c>
    </ns0:row>
    <ns0:row r="317" ht="24" customHeight="1">
      <ns0:c r="A317" s="4" t="n">
        <ns0:v>313</ns0:v>
      </ns0:c>
      <ns0:c r="B317" s="12">
        <ns0:f>A317*('前提と出典'!$C$36+'前提と出典'!$C$38)</ns0:f>
        <ns0:v>219.1</ns0:v>
      </ns0:c>
      <ns0:c r="C317" s="12">
        <ns0:f>A317*('前提と出典'!$C$37+'前提と出典'!$C$38)</ns0:f>
        <ns0:v>187.79999999999998</ns0:v>
      </ns0:c>
      <ns0:c r="D317" s="16">
        <ns0:f>A317*('前提と出典'!$C$36*'契約別単価'!C5+'前提と出典'!$C$37*'契約別単価'!C6+'前提と出典'!$C$38*'契約別単価'!C7)</ns0:f>
        <ns0:v>2252.2011173184355</ns0:v>
      </ns0:c>
      <ns0:c r="E317" s="16">
        <ns0:f>A317*('前提と出典'!$C$36*'契約別単価'!E5+'前提と出典'!$C$37*'契約別単価'!E6+'前提と出典'!$C$38*'契約別単価'!E7)</ns0:f>
        <ns0:v>786842.2249744058</ns0:v>
      </ns0:c>
      <ns0:c r="F317" s="16">
        <ns0:f>A317*('前提と出典'!$C$36*'契約別単価'!F5+'前提と出典'!$C$37*'契約別単価'!F6+'前提と出典'!$C$38*'契約別単価'!F7)</ns0:f>
        <ns0:v>228636.2377301784</ns0:v>
      </ns0:c>
      <ns0:c r="G317" s="16">
        <ns0:f>A317*('前提と出典'!$C$36*'契約別単価'!G5+'前提と出典'!$C$37*'契約別単価'!G6+'前提と出典'!$C$38*'契約別単価'!G7)</ns0:f>
        <ns0:v>623027.3743016759</ns0:v>
      </ns0:c>
      <ns0:c r="H317" s="16">
        <ns0:f>A317*('前提と出典'!$C$36*'契約別単価'!H5+'前提と出典'!$C$37*'契約別単価'!H6+'前提と出典'!$C$38*'契約別単価'!H7)</ns0:f>
        <ns0:v>216221.74616097243</ns0:v>
      </ns0:c>
      <ns0:c r="I317" s="16">
        <ns0:f>A317*('前提と出典'!$C$36*'契約別単価'!I5+'前提と出典'!$C$37*'契約別単価'!I6+'前提と出典'!$C$38*'契約別単価'!I7)</ns0:f>
        <ns0:v>13207.201117318433</ns0:v>
      </ns0:c>
      <ns0:c r="J317" s="16">
        <ns0:f>A317*('前提と出典'!$C$36*'契約別単価'!J5+'前提と出典'!$C$37*'契約別単価'!J6+'前提と出典'!$C$38*'契約別単価'!J7)</ns0:f>
        <ns0:v>30764.627181324704</ns0:v>
      </ns0:c>
      <ns0:c r="K317" s="16">
        <ns0:f>A317*('前提と出典'!$C$36*'契約別単価'!K5+'前提と出典'!$C$37*'契約別単価'!K6+'前提と出典'!$C$38*'契約別単価'!K7)</ns0:f>
        <ns0:v>131868.00744878958</ns0:v>
      </ns0:c>
      <ns0:c r="L317" s="16">
        <ns0:f>A317*('前提と出典'!$C$36*'契約別単価'!L5+'前提と出典'!$C$37*'契約別単価'!L6+'前提と出典'!$C$38*'契約別単価'!L7)</ns0:f>
        <ns0:v>107367.39153869907</ns0:v>
      </ns0:c>
      <ns0:c r="M317" s="16">
        <ns0:f>IF(('前提と出典'!$C$36+'前提と出典'!$C$38)=0,0,IF(B317&lt;=10,'前提と出典'!B73+'前提と出典'!C73,IF(B317&lt;=100,'前提と出典'!B74+'前提と出典'!C74,IF(B317&lt;=500,'前提と出典'!B75+'前提と出典'!C75,'前提と出典'!B76+'前提と出典'!C76))))</ns0:f>
        <ns0:v>40000</ns0:v>
      </ns0:c>
      <ns0:c r="N317" s="16">
        <ns0:f>IF(('前提と出典'!$C$37+'前提と出典'!$C$38)=0,0,IF(C317&lt;=10,'前提と出典'!D73+'前提と出典'!E73,IF(C317&lt;=100,'前提と出典'!D74+'前提と出典'!E74,IF(C317&lt;=500,'前提と出典'!D75+'前提と出典'!E75,'前提と出典'!D76+'前提と出典'!E76))))</ns0:f>
        <ns0:v>56510.9346263078</ns0:v>
      </ns0:c>
      <ns0:c r="O317" s="16">
        <ns0:f>IF('前提と出典'!$C$36+'前提と出典'!$C$38=0,0,'前提と出典'!$B$4*IF('前提と出典'!$B$20=0,MAX('前提と出典'!$B$6,D317*'前提と出典'!$B$5),'前提と出典'!$B$6+D317*'前提と出典'!$B$5))</ns0:f>
        <ns0:v>310803.7541899441</ns0:v>
      </ns0:c>
      <ns0:c r="P317" s="16">
        <ns0:f>(E317+G317)*(1-'前提と出典'!$B$7)-I317-K317-M317-O317</ns0:f>
        <ns0:v>863235.3309460906</ns0:v>
      </ns0:c>
      <ns0:c r="Q317" s="16">
        <ns0:f>(F317+H317)*(1-'前提と出典'!$B$7)-J317-L317-N317</ns0:f>
        <ns0:v>234200.1431247378</ns0:v>
      </ns0:c>
      <ns0:c r="R317" s="16">
        <ns0:f>P317-E317*'前提と出典'!$E$4</ns0:f>
        <ns0:v>627182.663453769</ns0:v>
      </ns0:c>
      <ns0:c r="S317" s="16">
        <ns0:f>Q317-F317*'前提と出典'!$E$4</ns0:f>
        <ns0:v>165609.2718056843</ns0:v>
      </ns0:c>
      <ns0:c r="T317" s="7">
        <ns0:f>R317+S317</ns0:f>
        <ns0:v>792791.9352594534</ns0:v>
      </ns0:c>
      <ns0:c r="U317" s="16">
        <ns0:f>P317-E317*'前提と出典'!$E$5</ns0:f>
        <ns0:v>548498.4409563283</ns0:v>
      </ns0:c>
      <ns0:c r="V317" s="16">
        <ns0:f>Q317-F317*'前提と出典'!$E$5</ns0:f>
        <ns0:v>142745.64803266645</ns0:v>
      </ns0:c>
      <ns0:c r="W317" s="7">
        <ns0:f>U317+V317</ns0:f>
        <ns0:v>691244.0889889947</ns0:v>
      </ns0:c>
      <ns0:c r="X317" s="16">
        <ns0:f>P317-E317*'前提と出典'!$E$6</ns0:f>
        <ns0:v>469814.21845888766</ns0:v>
      </ns0:c>
      <ns0:c r="Y317" s="16">
        <ns0:f>Q317-F317*'前提と出典'!$E$6</ns0:f>
        <ns0:v>119882.0242596486</ns0:v>
      </ns0:c>
      <ns0:c r="Z317" s="7">
        <ns0:f>X317+Y317</ns0:f>
        <ns0:v>589696.2427185363</ns0:v>
      </ns0:c>
      <ns0:c r="AA317" s="7">
        <ns0:f>IF(T317&gt;=0,A317,1001)</ns0:f>
        <ns0:v>313</ns0:v>
      </ns0:c>
      <ns0:c r="AB317" s="7">
        <ns0:f>IF(T317&lt;0,A317,0)</ns0:f>
        <ns0:v>0</ns0:v>
      </ns0:c>
      <ns0:c r="AC317" s="16">
        <ns0:f>IF(AND(OR('前提と出典'!$C$36+'前提と出典'!$C$38=0,R317&gt;=0),OR('前提と出典'!$C$37+'前提と出典'!$C$38=0,S317&gt;=0)),0,A317)</ns0:f>
        <ns0:v>0</ns0:v>
      </ns0:c>
      <ns0:c r="AD317" s="7">
        <ns0:f>IF(W317&gt;=0,A317,1001)</ns0:f>
        <ns0:v>313</ns0:v>
      </ns0:c>
      <ns0:c r="AE317" s="7">
        <ns0:f>IF(W317&lt;0,A317,0)</ns0:f>
        <ns0:v>0</ns0:v>
      </ns0:c>
      <ns0:c r="AF317" s="16">
        <ns0:f>IF(AND(OR('前提と出典'!$C$36+'前提と出典'!$C$38=0,U317&gt;=0),OR('前提と出典'!$C$37+'前提と出典'!$C$38=0,V317&gt;=0)),0,A317)</ns0:f>
        <ns0:v>0</ns0:v>
      </ns0:c>
      <ns0:c r="AG317" s="7">
        <ns0:f>IF(Z317&gt;=0,A317,1001)</ns0:f>
        <ns0:v>313</ns0:v>
      </ns0:c>
      <ns0:c r="AH317" s="4">
        <ns0:f>IF(Z317&lt;0,A317,0)</ns0:f>
        <ns0:v>0</ns0:v>
      </ns0:c>
      <ns0:c r="AI317" s="12">
        <ns0:f>IF(AND(OR('前提と出典'!$C$36+'前提と出典'!$C$38=0,X317&gt;=0),OR('前提と出典'!$C$37+'前提と出典'!$C$38=0,Y317&gt;=0)),0,A317)</ns0:f>
        <ns0:v>0</ns0:v>
      </ns0:c>
    </ns0:row>
    <ns0:row r="318" ht="24" customHeight="1">
      <ns0:c r="A318" s="4" t="n">
        <ns0:v>314</ns0:v>
      </ns0:c>
      <ns0:c r="B318" s="12">
        <ns0:f>A318*('前提と出典'!$C$36+'前提と出典'!$C$38)</ns0:f>
        <ns0:v>219.79999999999998</ns0:v>
      </ns0:c>
      <ns0:c r="C318" s="12">
        <ns0:f>A318*('前提と出典'!$C$37+'前提と出典'!$C$38)</ns0:f>
        <ns0:v>188.4</ns0:v>
      </ns0:c>
      <ns0:c r="D318" s="16">
        <ns0:f>A318*('前提と出典'!$C$36*'契約別単価'!C5+'前提と出典'!$C$37*'契約別単価'!C6+'前提と出典'!$C$38*'契約別単価'!C7)</ns0:f>
        <ns0:v>2259.396648044693</ns0:v>
      </ns0:c>
      <ns0:c r="E318" s="16">
        <ns0:f>A318*('前提と出典'!$C$36*'契約別単価'!E5+'前提と出典'!$C$37*'契約別単価'!E6+'前提と出典'!$C$38*'契約別単価'!E7)</ns0:f>
        <ns0:v>789356.0978976467</ns0:v>
      </ns0:c>
      <ns0:c r="F318" s="16">
        <ns0:f>A318*('前提と出典'!$C$36*'契約別単価'!F5+'前提と出典'!$C$37*'契約別単価'!F6+'前提と出典'!$C$38*'契約別単価'!F7)</ns0:f>
        <ns0:v>229366.70494337386</ns0:v>
      </ns0:c>
      <ns0:c r="G318" s="16">
        <ns0:f>A318*('前提と出典'!$C$36*'契約別単価'!G5+'前提と出典'!$C$37*'契約別単価'!G6+'前提と出典'!$C$38*'契約別単価'!G7)</ns0:f>
        <ns0:v>625017.8770949721</ns0:v>
      </ns0:c>
      <ns0:c r="H318" s="16">
        <ns0:f>A318*('前提と出典'!$C$36*'契約別単価'!H5+'前提と出典'!$C$37*'契約別単価'!H6+'前提と出典'!$C$38*'契約別単価'!H7)</ns0:f>
        <ns0:v>216912.55046180618</ns0:v>
      </ns0:c>
      <ns0:c r="I318" s="16">
        <ns0:f>A318*('前提と出典'!$C$36*'契約別単価'!I5+'前提と出典'!$C$37*'契約別単価'!I6+'前提と出典'!$C$38*'契約別単価'!I7)</ns0:f>
        <ns0:v>13249.39664804469</ns0:v>
      </ns0:c>
      <ns0:c r="J318" s="16">
        <ns0:f>A318*('前提と出典'!$C$36*'契約別単価'!J5+'前提と出典'!$C$37*'契約別単価'!J6+'前提と出典'!$C$38*'契約別単価'!J7)</ns0:f>
        <ns0:v>30862.916725035007</ns0:v>
      </ns0:c>
      <ns0:c r="K318" s="16">
        <ns0:f>A318*('前提と出典'!$C$36*'契約別単価'!K5+'前提と出典'!$C$37*'契約別単価'!K6+'前提と出典'!$C$38*'契約別単価'!K7)</ns0:f>
        <ns0:v>132289.3109869646</ns0:v>
      </ns0:c>
      <ns0:c r="L318" s="16">
        <ns0:f>A318*('前提と出典'!$C$36*'契約別単価'!L5+'前提と出典'!$C$37*'契約別単価'!L6+'前提と出典'!$C$38*'契約別単価'!L7)</ns0:f>
        <ns0:v>107710.41834872687</ns0:v>
      </ns0:c>
      <ns0:c r="M318" s="16">
        <ns0:f>IF(('前提と出典'!$C$36+'前提と出典'!$C$38)=0,0,IF(B318&lt;=10,'前提と出典'!B73+'前提と出典'!C73,IF(B318&lt;=100,'前提と出典'!B74+'前提と出典'!C74,IF(B318&lt;=500,'前提と出典'!B75+'前提と出典'!C75,'前提と出典'!B76+'前提と出典'!C76))))</ns0:f>
        <ns0:v>40000</ns0:v>
      </ns0:c>
      <ns0:c r="N318" s="16">
        <ns0:f>IF(('前提と出典'!$C$37+'前提と出典'!$C$38)=0,0,IF(C318&lt;=10,'前提と出典'!D73+'前提と出典'!E73,IF(C318&lt;=100,'前提と出典'!D74+'前提と出典'!E74,IF(C318&lt;=500,'前提と出典'!D75+'前提と出典'!E75,'前提と出典'!D76+'前提と出典'!E76))))</ns0:f>
        <ns0:v>56510.9346263078</ns0:v>
      </ns0:c>
      <ns0:c r="O318" s="16">
        <ns0:f>IF('前提と出典'!$C$36+'前提と出典'!$C$38=0,0,'前提と出典'!$B$4*IF('前提と出典'!$B$20=0,MAX('前提と出典'!$B$6,D318*'前提と出典'!$B$5),'前提と出典'!$B$6+D318*'前提と出典'!$B$5))</ns0:f>
        <ns0:v>311796.7374301677</ns0:v>
      </ns0:c>
      <ns0:c r="P318" s="16">
        <ns0:f>(E318+G318)*(1-'前提と出典'!$B$7)-I318-K318-M318-O318</ns0:f>
        <ns0:v>866121.0668277077</ns0:v>
      </ns0:c>
      <ns0:c r="Q318" s="16">
        <ns0:f>(F318+H318)*(1-'前提と出典'!$B$7)-J318-L318-N318</ns0:f>
        <ns0:v>235128.93251052388</ns0:v>
      </ns0:c>
      <ns0:c r="R318" s="16">
        <ns0:f>P318-E318*'前提と出典'!$E$4</ns0:f>
        <ns0:v>629314.2374584135</ns0:v>
      </ns0:c>
      <ns0:c r="S318" s="16">
        <ns0:f>Q318-F318*'前提と出典'!$E$4</ns0:f>
        <ns0:v>166318.9210275117</ns0:v>
      </ns0:c>
      <ns0:c r="T318" s="7">
        <ns0:f>R318+S318</ns0:f>
        <ns0:v>795633.1584859252</ns0:v>
      </ns0:c>
      <ns0:c r="U318" s="16">
        <ns0:f>P318-E318*'前提と出典'!$E$5</ns0:f>
        <ns0:v>550378.627668649</ns0:v>
      </ns0:c>
      <ns0:c r="V318" s="16">
        <ns0:f>Q318-F318*'前提と出典'!$E$5</ns0:f>
        <ns0:v>143382.25053317432</ns0:v>
      </ns0:c>
      <ns0:c r="W318" s="7">
        <ns0:f>U318+V318</ns0:f>
        <ns0:v>693760.8782018232</ns0:v>
      </ns0:c>
      <ns0:c r="X318" s="16">
        <ns0:f>P318-E318*'前提と出典'!$E$6</ns0:f>
        <ns0:v>471443.0178788843</ns0:v>
      </ns0:c>
      <ns0:c r="Y318" s="16">
        <ns0:f>Q318-F318*'前提と出典'!$E$6</ns0:f>
        <ns0:v>120445.58003883698</ns0:v>
      </ns0:c>
      <ns0:c r="Z318" s="7">
        <ns0:f>X318+Y318</ns0:f>
        <ns0:v>591888.5979177213</ns0:v>
      </ns0:c>
      <ns0:c r="AA318" s="7">
        <ns0:f>IF(T318&gt;=0,A318,1001)</ns0:f>
        <ns0:v>314</ns0:v>
      </ns0:c>
      <ns0:c r="AB318" s="7">
        <ns0:f>IF(T318&lt;0,A318,0)</ns0:f>
        <ns0:v>0</ns0:v>
      </ns0:c>
      <ns0:c r="AC318" s="16">
        <ns0:f>IF(AND(OR('前提と出典'!$C$36+'前提と出典'!$C$38=0,R318&gt;=0),OR('前提と出典'!$C$37+'前提と出典'!$C$38=0,S318&gt;=0)),0,A318)</ns0:f>
        <ns0:v>0</ns0:v>
      </ns0:c>
      <ns0:c r="AD318" s="7">
        <ns0:f>IF(W318&gt;=0,A318,1001)</ns0:f>
        <ns0:v>314</ns0:v>
      </ns0:c>
      <ns0:c r="AE318" s="7">
        <ns0:f>IF(W318&lt;0,A318,0)</ns0:f>
        <ns0:v>0</ns0:v>
      </ns0:c>
      <ns0:c r="AF318" s="16">
        <ns0:f>IF(AND(OR('前提と出典'!$C$36+'前提と出典'!$C$38=0,U318&gt;=0),OR('前提と出典'!$C$37+'前提と出典'!$C$38=0,V318&gt;=0)),0,A318)</ns0:f>
        <ns0:v>0</ns0:v>
      </ns0:c>
      <ns0:c r="AG318" s="7">
        <ns0:f>IF(Z318&gt;=0,A318,1001)</ns0:f>
        <ns0:v>314</ns0:v>
      </ns0:c>
      <ns0:c r="AH318" s="4">
        <ns0:f>IF(Z318&lt;0,A318,0)</ns0:f>
        <ns0:v>0</ns0:v>
      </ns0:c>
      <ns0:c r="AI318" s="12">
        <ns0:f>IF(AND(OR('前提と出典'!$C$36+'前提と出典'!$C$38=0,X318&gt;=0),OR('前提と出典'!$C$37+'前提と出典'!$C$38=0,Y318&gt;=0)),0,A318)</ns0:f>
        <ns0:v>0</ns0:v>
      </ns0:c>
    </ns0:row>
    <ns0:row r="319" ht="24" customHeight="1">
      <ns0:c r="A319" s="4" t="n">
        <ns0:v>315</ns0:v>
      </ns0:c>
      <ns0:c r="B319" s="12">
        <ns0:f>A319*('前提と出典'!$C$36+'前提と出典'!$C$38)</ns0:f>
        <ns0:v>220.5</ns0:v>
      </ns0:c>
      <ns0:c r="C319" s="12">
        <ns0:f>A319*('前提と出典'!$C$37+'前提と出典'!$C$38)</ns0:f>
        <ns0:v>189</ns0:v>
      </ns0:c>
      <ns0:c r="D319" s="16">
        <ns0:f>A319*('前提と出典'!$C$36*'契約別単価'!C5+'前提と出典'!$C$37*'契約別単価'!C6+'前提と出典'!$C$38*'契約別単価'!C7)</ns0:f>
        <ns0:v>2266.59217877095</ns0:v>
      </ns0:c>
      <ns0:c r="E319" s="16">
        <ns0:f>A319*('前提と出典'!$C$36*'契約別単価'!E5+'前提と出典'!$C$37*'契約別単価'!E6+'前提と出典'!$C$38*'契約別単価'!E7)</ns0:f>
        <ns0:v>791869.9708208877</ns0:v>
      </ns0:c>
      <ns0:c r="F319" s="16">
        <ns0:f>A319*('前提と出典'!$C$36*'契約別単価'!F5+'前提と出典'!$C$37*'契約別単価'!F6+'前提と出典'!$C$38*'契約別単価'!F7)</ns0:f>
        <ns0:v>230097.17215656932</ns0:v>
      </ns0:c>
      <ns0:c r="G319" s="16">
        <ns0:f>A319*('前提と出典'!$C$36*'契約別単価'!G5+'前提と出典'!$C$37*'契約別単価'!G6+'前提と出典'!$C$38*'契約別単価'!G7)</ns0:f>
        <ns0:v>627008.3798882681</ns0:v>
      </ns0:c>
      <ns0:c r="H319" s="16">
        <ns0:f>A319*('前提と出典'!$C$36*'契約別単価'!H5+'前提と出典'!$C$37*'契約別単価'!H6+'前提と出典'!$C$38*'契約別単価'!H7)</ns0:f>
        <ns0:v>217603.35476263997</ns0:v>
      </ns0:c>
      <ns0:c r="I319" s="16">
        <ns0:f>A319*('前提と出典'!$C$36*'契約別単価'!I5+'前提と出典'!$C$37*'契約別単価'!I6+'前提と出典'!$C$38*'契約別単価'!I7)</ns0:f>
        <ns0:v>13291.592178770947</ns0:v>
      </ns0:c>
      <ns0:c r="J319" s="16">
        <ns0:f>A319*('前提と出典'!$C$36*'契約別単価'!J5+'前提と出典'!$C$37*'契約別単価'!J6+'前提と出典'!$C$38*'契約別単価'!J7)</ns0:f>
        <ns0:v>30961.206268745307</ns0:v>
      </ns0:c>
      <ns0:c r="K319" s="16">
        <ns0:f>A319*('前提と出典'!$C$36*'契約別単価'!K5+'前提と出典'!$C$37*'契約別単価'!K6+'前提と出典'!$C$38*'契約別単価'!K7)</ns0:f>
        <ns0:v>132710.61452513965</ns0:v>
      </ns0:c>
      <ns0:c r="L319" s="16">
        <ns0:f>A319*('前提と出典'!$C$36*'契約別単価'!L5+'前提と出典'!$C$37*'契約別単価'!L6+'前提と出典'!$C$38*'契約別単価'!L7)</ns0:f>
        <ns0:v>108053.44515875466</ns0:v>
      </ns0:c>
      <ns0:c r="M319" s="16">
        <ns0:f>IF(('前提と出典'!$C$36+'前提と出典'!$C$38)=0,0,IF(B319&lt;=10,'前提と出典'!B73+'前提と出典'!C73,IF(B319&lt;=100,'前提と出典'!B74+'前提と出典'!C74,IF(B319&lt;=500,'前提と出典'!B75+'前提と出典'!C75,'前提と出典'!B76+'前提と出典'!C76))))</ns0:f>
        <ns0:v>40000</ns0:v>
      </ns0:c>
      <ns0:c r="N319" s="16">
        <ns0:f>IF(('前提と出典'!$C$37+'前提と出典'!$C$38)=0,0,IF(C319&lt;=10,'前提と出典'!D73+'前提と出典'!E73,IF(C319&lt;=100,'前提と出典'!D74+'前提と出典'!E74,IF(C319&lt;=500,'前提と出典'!D75+'前提と出典'!E75,'前提と出典'!D76+'前提と出典'!E76))))</ns0:f>
        <ns0:v>56510.9346263078</ns0:v>
      </ns0:c>
      <ns0:c r="O319" s="16">
        <ns0:f>IF('前提と出典'!$C$36+'前提と出典'!$C$38=0,0,'前提と出典'!$B$4*IF('前提と出典'!$B$20=0,MAX('前提と出典'!$B$6,D319*'前提と出典'!$B$5),'前提と出典'!$B$6+D319*'前提と出典'!$B$5))</ns0:f>
        <ns0:v>312789.7206703911</ns0:v>
      </ns0:c>
      <ns0:c r="P319" s="16">
        <ns0:f>(E319+G319)*(1-'前提と出典'!$B$7)-I319-K319-M319-O319</ns0:f>
        <ns0:v>869006.8027093243</ns0:v>
      </ns0:c>
      <ns0:c r="Q319" s="16">
        <ns0:f>(F319+H319)*(1-'前提と出典'!$B$7)-J319-L319-N319</ns0:f>
        <ns0:v>236057.72189631</ns0:v>
      </ns0:c>
      <ns0:c r="R319" s="16">
        <ns0:f>P319-E319*'前提と出典'!$E$4</ns0:f>
        <ns0:v>631445.8114630579</ns0:v>
      </ns0:c>
      <ns0:c r="S319" s="16">
        <ns0:f>Q319-F319*'前提と出典'!$E$4</ns0:f>
        <ns0:v>167028.57024933922</ns0:v>
      </ns0:c>
      <ns0:c r="T319" s="7">
        <ns0:f>R319+S319</ns0:f>
        <ns0:v>798474.3817123971</ns0:v>
      </ns0:c>
      <ns0:c r="U319" s="16">
        <ns0:f>P319-E319*'前提と出典'!$E$5</ns0:f>
        <ns0:v>552258.8143809692</ns0:v>
      </ns0:c>
      <ns0:c r="V319" s="16">
        <ns0:f>Q319-F319*'前提と出典'!$E$5</ns0:f>
        <ns0:v>144018.85303368227</ns0:v>
      </ns0:c>
      <ns0:c r="W319" s="7">
        <ns0:f>U319+V319</ns0:f>
        <ns0:v>696277.6674146515</ns0:v>
      </ns0:c>
      <ns0:c r="X319" s="16">
        <ns0:f>P319-E319*'前提と出典'!$E$6</ns0:f>
        <ns0:v>473071.81729888055</ns0:v>
      </ns0:c>
      <ns0:c r="Y319" s="16">
        <ns0:f>Q319-F319*'前提と出典'!$E$6</ns0:f>
        <ns0:v>121009.13581802533</ns0:v>
      </ns0:c>
      <ns0:c r="Z319" s="7">
        <ns0:f>X319+Y319</ns0:f>
        <ns0:v>594080.9531169059</ns0:v>
      </ns0:c>
      <ns0:c r="AA319" s="7">
        <ns0:f>IF(T319&gt;=0,A319,1001)</ns0:f>
        <ns0:v>315</ns0:v>
      </ns0:c>
      <ns0:c r="AB319" s="7">
        <ns0:f>IF(T319&lt;0,A319,0)</ns0:f>
        <ns0:v>0</ns0:v>
      </ns0:c>
      <ns0:c r="AC319" s="16">
        <ns0:f>IF(AND(OR('前提と出典'!$C$36+'前提と出典'!$C$38=0,R319&gt;=0),OR('前提と出典'!$C$37+'前提と出典'!$C$38=0,S319&gt;=0)),0,A319)</ns0:f>
        <ns0:v>0</ns0:v>
      </ns0:c>
      <ns0:c r="AD319" s="7">
        <ns0:f>IF(W319&gt;=0,A319,1001)</ns0:f>
        <ns0:v>315</ns0:v>
      </ns0:c>
      <ns0:c r="AE319" s="7">
        <ns0:f>IF(W319&lt;0,A319,0)</ns0:f>
        <ns0:v>0</ns0:v>
      </ns0:c>
      <ns0:c r="AF319" s="16">
        <ns0:f>IF(AND(OR('前提と出典'!$C$36+'前提と出典'!$C$38=0,U319&gt;=0),OR('前提と出典'!$C$37+'前提と出典'!$C$38=0,V319&gt;=0)),0,A319)</ns0:f>
        <ns0:v>0</ns0:v>
      </ns0:c>
      <ns0:c r="AG319" s="7">
        <ns0:f>IF(Z319&gt;=0,A319,1001)</ns0:f>
        <ns0:v>315</ns0:v>
      </ns0:c>
      <ns0:c r="AH319" s="4">
        <ns0:f>IF(Z319&lt;0,A319,0)</ns0:f>
        <ns0:v>0</ns0:v>
      </ns0:c>
      <ns0:c r="AI319" s="12">
        <ns0:f>IF(AND(OR('前提と出典'!$C$36+'前提と出典'!$C$38=0,X319&gt;=0),OR('前提と出典'!$C$37+'前提と出典'!$C$38=0,Y319&gt;=0)),0,A319)</ns0:f>
        <ns0:v>0</ns0:v>
      </ns0:c>
    </ns0:row>
    <ns0:row r="320" ht="24" customHeight="1">
      <ns0:c r="A320" s="4" t="n">
        <ns0:v>316</ns0:v>
      </ns0:c>
      <ns0:c r="B320" s="12">
        <ns0:f>A320*('前提と出典'!$C$36+'前提と出典'!$C$38)</ns0:f>
        <ns0:v>221.2</ns0:v>
      </ns0:c>
      <ns0:c r="C320" s="12">
        <ns0:f>A320*('前提と出典'!$C$37+'前提と出典'!$C$38)</ns0:f>
        <ns0:v>189.6</ns0:v>
      </ns0:c>
      <ns0:c r="D320" s="16">
        <ns0:f>A320*('前提と出典'!$C$36*'契約別単価'!C5+'前提と出典'!$C$37*'契約別単価'!C6+'前提と出典'!$C$38*'契約別単価'!C7)</ns0:f>
        <ns0:v>2273.787709497207</ns0:v>
      </ns0:c>
      <ns0:c r="E320" s="16">
        <ns0:f>A320*('前提と出典'!$C$36*'契約別単価'!E5+'前提と出典'!$C$37*'契約別単価'!E6+'前提と出典'!$C$38*'契約別単価'!E7)</ns0:f>
        <ns0:v>794383.8437441286</ns0:v>
      </ns0:c>
      <ns0:c r="F320" s="16">
        <ns0:f>A320*('前提と出典'!$C$36*'契約別単価'!F5+'前提と出典'!$C$37*'契約別単価'!F6+'前提と出典'!$C$38*'契約別単価'!F7)</ns0:f>
        <ns0:v>230827.63936976477</ns0:v>
      </ns0:c>
      <ns0:c r="G320" s="16">
        <ns0:f>A320*('前提と出典'!$C$36*'契約別単価'!G5+'前提と出典'!$C$37*'契約別単価'!G6+'前提と出典'!$C$38*'契約別単価'!G7)</ns0:f>
        <ns0:v>628998.8826815642</ns0:v>
      </ns0:c>
      <ns0:c r="H320" s="16">
        <ns0:f>A320*('前提と出典'!$C$36*'契約別単価'!H5+'前提と出典'!$C$37*'契約別単価'!H6+'前提と出典'!$C$38*'契約別単価'!H7)</ns0:f>
        <ns0:v>218294.15906347375</ns0:v>
      </ns0:c>
      <ns0:c r="I320" s="16">
        <ns0:f>A320*('前提と出典'!$C$36*'契約別単価'!I5+'前提と出典'!$C$37*'契約別単価'!I6+'前提と出典'!$C$38*'契約別単価'!I7)</ns0:f>
        <ns0:v>13333.787709497205</ns0:v>
      </ns0:c>
      <ns0:c r="J320" s="16">
        <ns0:f>A320*('前提と出典'!$C$36*'契約別単価'!J5+'前提と出典'!$C$37*'契約別単価'!J6+'前提と出典'!$C$38*'契約別単価'!J7)</ns0:f>
        <ns0:v>31059.49581245561</ns0:v>
      </ns0:c>
      <ns0:c r="K320" s="16">
        <ns0:f>A320*('前提と出典'!$C$36*'契約別単価'!K5+'前提と出典'!$C$37*'契約別単価'!K6+'前提と出典'!$C$38*'契約別単価'!K7)</ns0:f>
        <ns0:v>133131.9180633147</ns0:v>
      </ns0:c>
      <ns0:c r="L320" s="16">
        <ns0:f>A320*('前提と出典'!$C$36*'契約別単価'!L5+'前提と出典'!$C$37*'契約別単価'!L6+'前提と出典'!$C$38*'契約別単価'!L7)</ns0:f>
        <ns0:v>108396.47196878245</ns0:v>
      </ns0:c>
      <ns0:c r="M320" s="16">
        <ns0:f>IF(('前提と出典'!$C$36+'前提と出典'!$C$38)=0,0,IF(B320&lt;=10,'前提と出典'!B73+'前提と出典'!C73,IF(B320&lt;=100,'前提と出典'!B74+'前提と出典'!C74,IF(B320&lt;=500,'前提と出典'!B75+'前提と出典'!C75,'前提と出典'!B76+'前提と出典'!C76))))</ns0:f>
        <ns0:v>40000</ns0:v>
      </ns0:c>
      <ns0:c r="N320" s="16">
        <ns0:f>IF(('前提と出典'!$C$37+'前提と出典'!$C$38)=0,0,IF(C320&lt;=10,'前提と出典'!D73+'前提と出典'!E73,IF(C320&lt;=100,'前提と出典'!D74+'前提と出典'!E74,IF(C320&lt;=500,'前提と出典'!D75+'前提と出典'!E75,'前提と出典'!D76+'前提と出典'!E76))))</ns0:f>
        <ns0:v>56510.9346263078</ns0:v>
      </ns0:c>
      <ns0:c r="O320" s="16">
        <ns0:f>IF('前提と出典'!$C$36+'前提と出典'!$C$38=0,0,'前提と出典'!$B$4*IF('前提と出典'!$B$20=0,MAX('前提と出典'!$B$6,D320*'前提と出典'!$B$5),'前提と出典'!$B$6+D320*'前提と出典'!$B$5))</ns0:f>
        <ns0:v>313782.70391061454</ns0:v>
      </ns0:c>
      <ns0:c r="P320" s="16">
        <ns0:f>(E320+G320)*(1-'前提と出典'!$B$7)-I320-K320-M320-O320</ns0:f>
        <ns0:v>871892.5385909416</ns0:v>
      </ns0:c>
      <ns0:c r="Q320" s="16">
        <ns0:f>(F320+H320)*(1-'前提と出典'!$B$7)-J320-L320-N320</ns0:f>
        <ns0:v>236986.51128209606</ns0:v>
      </ns0:c>
      <ns0:c r="R320" s="16">
        <ns0:f>P320-E320*'前提と出典'!$E$4</ns0:f>
        <ns0:v>633577.385467703</ns0:v>
      </ns0:c>
      <ns0:c r="S320" s="16">
        <ns0:f>Q320-F320*'前提と出典'!$E$4</ns0:f>
        <ns0:v>167738.21947116664</ns0:v>
      </ns0:c>
      <ns0:c r="T320" s="7">
        <ns0:f>R320+S320</ns0:f>
        <ns0:v>801315.6049388696</ns0:v>
      </ns0:c>
      <ns0:c r="U320" s="16">
        <ns0:f>P320-E320*'前提と出典'!$E$5</ns0:f>
        <ns0:v>554139.00109329</ns0:v>
      </ns0:c>
      <ns0:c r="V320" s="16">
        <ns0:f>Q320-F320*'前提と出典'!$E$5</ns0:f>
        <ns0:v>144655.45553419014</ns0:v>
      </ns0:c>
      <ns0:c r="W320" s="7">
        <ns0:f>U320+V320</ns0:f>
        <ns0:v>698794.4566274802</ns0:v>
      </ns0:c>
      <ns0:c r="X320" s="16">
        <ns0:f>P320-E320*'前提と出典'!$E$6</ns0:f>
        <ns0:v>474700.6167188774</ns0:v>
      </ns0:c>
      <ns0:c r="Y320" s="16">
        <ns0:f>Q320-F320*'前提と出典'!$E$6</ns0:f>
        <ns0:v>121572.69159721365</ns0:v>
      </ns0:c>
      <ns0:c r="Z320" s="7">
        <ns0:f>X320+Y320</ns0:f>
        <ns0:v>596273.3083160911</ns0:v>
      </ns0:c>
      <ns0:c r="AA320" s="7">
        <ns0:f>IF(T320&gt;=0,A320,1001)</ns0:f>
        <ns0:v>316</ns0:v>
      </ns0:c>
      <ns0:c r="AB320" s="7">
        <ns0:f>IF(T320&lt;0,A320,0)</ns0:f>
        <ns0:v>0</ns0:v>
      </ns0:c>
      <ns0:c r="AC320" s="16">
        <ns0:f>IF(AND(OR('前提と出典'!$C$36+'前提と出典'!$C$38=0,R320&gt;=0),OR('前提と出典'!$C$37+'前提と出典'!$C$38=0,S320&gt;=0)),0,A320)</ns0:f>
        <ns0:v>0</ns0:v>
      </ns0:c>
      <ns0:c r="AD320" s="7">
        <ns0:f>IF(W320&gt;=0,A320,1001)</ns0:f>
        <ns0:v>316</ns0:v>
      </ns0:c>
      <ns0:c r="AE320" s="7">
        <ns0:f>IF(W320&lt;0,A320,0)</ns0:f>
        <ns0:v>0</ns0:v>
      </ns0:c>
      <ns0:c r="AF320" s="16">
        <ns0:f>IF(AND(OR('前提と出典'!$C$36+'前提と出典'!$C$38=0,U320&gt;=0),OR('前提と出典'!$C$37+'前提と出典'!$C$38=0,V320&gt;=0)),0,A320)</ns0:f>
        <ns0:v>0</ns0:v>
      </ns0:c>
      <ns0:c r="AG320" s="7">
        <ns0:f>IF(Z320&gt;=0,A320,1001)</ns0:f>
        <ns0:v>316</ns0:v>
      </ns0:c>
      <ns0:c r="AH320" s="4">
        <ns0:f>IF(Z320&lt;0,A320,0)</ns0:f>
        <ns0:v>0</ns0:v>
      </ns0:c>
      <ns0:c r="AI320" s="12">
        <ns0:f>IF(AND(OR('前提と出典'!$C$36+'前提と出典'!$C$38=0,X320&gt;=0),OR('前提と出典'!$C$37+'前提と出典'!$C$38=0,Y320&gt;=0)),0,A320)</ns0:f>
        <ns0:v>0</ns0:v>
      </ns0:c>
    </ns0:row>
    <ns0:row r="321" ht="24" customHeight="1">
      <ns0:c r="A321" s="4" t="n">
        <ns0:v>317</ns0:v>
      </ns0:c>
      <ns0:c r="B321" s="12">
        <ns0:f>A321*('前提と出典'!$C$36+'前提と出典'!$C$38)</ns0:f>
        <ns0:v>221.89999999999998</ns0:v>
      </ns0:c>
      <ns0:c r="C321" s="12">
        <ns0:f>A321*('前提と出典'!$C$37+'前提と出典'!$C$38)</ns0:f>
        <ns0:v>190.2</ns0:v>
      </ns0:c>
      <ns0:c r="D321" s="16">
        <ns0:f>A321*('前提と出典'!$C$36*'契約別単価'!C5+'前提と出典'!$C$37*'契約別単価'!C6+'前提と出典'!$C$38*'契約別単価'!C7)</ns0:f>
        <ns0:v>2280.983240223464</ns0:v>
      </ns0:c>
      <ns0:c r="E321" s="16">
        <ns0:f>A321*('前提と出典'!$C$36*'契約別単価'!E5+'前提と出典'!$C$37*'契約別単価'!E6+'前提と出典'!$C$38*'契約別単価'!E7)</ns0:f>
        <ns0:v>796897.7166673695</ns0:v>
      </ns0:c>
      <ns0:c r="F321" s="16">
        <ns0:f>A321*('前提と出典'!$C$36*'契約別単価'!F5+'前提と出典'!$C$37*'契約別単価'!F6+'前提と出典'!$C$38*'契約別単価'!F7)</ns0:f>
        <ns0:v>231558.10658296023</ns0:v>
      </ns0:c>
      <ns0:c r="G321" s="16">
        <ns0:f>A321*('前提と出典'!$C$36*'契約別単価'!G5+'前提と出典'!$C$37*'契約別単価'!G6+'前提と出典'!$C$38*'契約別単価'!G7)</ns0:f>
        <ns0:v>630989.3854748603</ns0:v>
      </ns0:c>
      <ns0:c r="H321" s="16">
        <ns0:f>A321*('前提と出典'!$C$36*'契約別単価'!H5+'前提と出典'!$C$37*'契約別単価'!H6+'前提と出典'!$C$38*'契約別単価'!H7)</ns0:f>
        <ns0:v>218984.96336430754</ns0:v>
      </ns0:c>
      <ns0:c r="I321" s="16">
        <ns0:f>A321*('前提と出典'!$C$36*'契約別単価'!I5+'前提と出典'!$C$37*'契約別単価'!I6+'前提と出典'!$C$38*'契約別単価'!I7)</ns0:f>
        <ns0:v>13375.98324022346</ns0:v>
      </ns0:c>
      <ns0:c r="J321" s="16">
        <ns0:f>A321*('前提と出典'!$C$36*'契約別単価'!J5+'前提と出典'!$C$37*'契約別単価'!J6+'前提と出典'!$C$38*'契約別単価'!J7)</ns0:f>
        <ns0:v>31157.785356165914</ns0:v>
      </ns0:c>
      <ns0:c r="K321" s="16">
        <ns0:f>A321*('前提と出典'!$C$36*'契約別単価'!K5+'前提と出典'!$C$37*'契約別単価'!K6+'前提と出典'!$C$38*'契約別単価'!K7)</ns0:f>
        <ns0:v>133553.22160148976</ns0:v>
      </ns0:c>
      <ns0:c r="L321" s="16">
        <ns0:f>A321*('前提と出典'!$C$36*'契約別単価'!L5+'前提と出典'!$C$37*'契約別単価'!L6+'前提と出典'!$C$38*'契約別単価'!L7)</ns0:f>
        <ns0:v>108739.49877881024</ns0:v>
      </ns0:c>
      <ns0:c r="M321" s="16">
        <ns0:f>IF(('前提と出典'!$C$36+'前提と出典'!$C$38)=0,0,IF(B321&lt;=10,'前提と出典'!B73+'前提と出典'!C73,IF(B321&lt;=100,'前提と出典'!B74+'前提と出典'!C74,IF(B321&lt;=500,'前提と出典'!B75+'前提と出典'!C75,'前提と出典'!B76+'前提と出典'!C76))))</ns0:f>
        <ns0:v>40000</ns0:v>
      </ns0:c>
      <ns0:c r="N321" s="16">
        <ns0:f>IF(('前提と出典'!$C$37+'前提と出典'!$C$38)=0,0,IF(C321&lt;=10,'前提と出典'!D73+'前提と出典'!E73,IF(C321&lt;=100,'前提と出典'!D74+'前提と出典'!E74,IF(C321&lt;=500,'前提と出典'!D75+'前提と出典'!E75,'前提と出典'!D76+'前提と出典'!E76))))</ns0:f>
        <ns0:v>56510.9346263078</ns0:v>
      </ns0:c>
      <ns0:c r="O321" s="16">
        <ns0:f>IF('前提と出典'!$C$36+'前提と出典'!$C$38=0,0,'前提と出典'!$B$4*IF('前提と出典'!$B$20=0,MAX('前提と出典'!$B$6,D321*'前提と出典'!$B$5),'前提と出典'!$B$6+D321*'前提と出典'!$B$5))</ns0:f>
        <ns0:v>314775.687150838</ns0:v>
      </ns0:c>
      <ns0:c r="P321" s="16">
        <ns0:f>(E321+G321)*(1-'前提と出典'!$B$7)-I321-K321-M321-O321</ns0:f>
        <ns0:v>874778.2744725583</ns0:v>
      </ns0:c>
      <ns0:c r="Q321" s="16">
        <ns0:f>(F321+H321)*(1-'前提と出典'!$B$7)-J321-L321-N321</ns0:f>
        <ns0:v>237915.30066788217</ns0:v>
      </ns0:c>
      <ns0:c r="R321" s="16">
        <ns0:f>P321-E321*'前提と出典'!$E$4</ns0:f>
        <ns0:v>635708.9594723473</ns0:v>
      </ns0:c>
      <ns0:c r="S321" s="16">
        <ns0:f>Q321-F321*'前提と出典'!$E$4</ns0:f>
        <ns0:v>168447.86869299406</ns0:v>
      </ns0:c>
      <ns0:c r="T321" s="7">
        <ns0:f>R321+S321</ns0:f>
        <ns0:v>804156.8281653414</ns0:v>
      </ns0:c>
      <ns0:c r="U321" s="16">
        <ns0:f>P321-E321*'前提と出典'!$E$5</ns0:f>
        <ns0:v>556019.1878056105</ns0:v>
      </ns0:c>
      <ns0:c r="V321" s="16">
        <ns0:f>Q321-F321*'前提と出典'!$E$5</ns0:f>
        <ns0:v>145292.05803469807</ns0:v>
      </ns0:c>
      <ns0:c r="W321" s="7">
        <ns0:f>U321+V321</ns0:f>
        <ns0:v>701311.2458403085</ns0:v>
      </ns0:c>
      <ns0:c r="X321" s="16">
        <ns0:f>P321-E321*'前提と出典'!$E$6</ns0:f>
        <ns0:v>476329.4161388735</ns0:v>
      </ns0:c>
      <ns0:c r="Y321" s="16">
        <ns0:f>Q321-F321*'前提と出典'!$E$6</ns0:f>
        <ns0:v>122136.24737640203</ns0:v>
      </ns0:c>
      <ns0:c r="Z321" s="7">
        <ns0:f>X321+Y321</ns0:f>
        <ns0:v>598465.6635152756</ns0:v>
      </ns0:c>
      <ns0:c r="AA321" s="7">
        <ns0:f>IF(T321&gt;=0,A321,1001)</ns0:f>
        <ns0:v>317</ns0:v>
      </ns0:c>
      <ns0:c r="AB321" s="7">
        <ns0:f>IF(T321&lt;0,A321,0)</ns0:f>
        <ns0:v>0</ns0:v>
      </ns0:c>
      <ns0:c r="AC321" s="16">
        <ns0:f>IF(AND(OR('前提と出典'!$C$36+'前提と出典'!$C$38=0,R321&gt;=0),OR('前提と出典'!$C$37+'前提と出典'!$C$38=0,S321&gt;=0)),0,A321)</ns0:f>
        <ns0:v>0</ns0:v>
      </ns0:c>
      <ns0:c r="AD321" s="7">
        <ns0:f>IF(W321&gt;=0,A321,1001)</ns0:f>
        <ns0:v>317</ns0:v>
      </ns0:c>
      <ns0:c r="AE321" s="7">
        <ns0:f>IF(W321&lt;0,A321,0)</ns0:f>
        <ns0:v>0</ns0:v>
      </ns0:c>
      <ns0:c r="AF321" s="16">
        <ns0:f>IF(AND(OR('前提と出典'!$C$36+'前提と出典'!$C$38=0,U321&gt;=0),OR('前提と出典'!$C$37+'前提と出典'!$C$38=0,V321&gt;=0)),0,A321)</ns0:f>
        <ns0:v>0</ns0:v>
      </ns0:c>
      <ns0:c r="AG321" s="7">
        <ns0:f>IF(Z321&gt;=0,A321,1001)</ns0:f>
        <ns0:v>317</ns0:v>
      </ns0:c>
      <ns0:c r="AH321" s="4">
        <ns0:f>IF(Z321&lt;0,A321,0)</ns0:f>
        <ns0:v>0</ns0:v>
      </ns0:c>
      <ns0:c r="AI321" s="12">
        <ns0:f>IF(AND(OR('前提と出典'!$C$36+'前提と出典'!$C$38=0,X321&gt;=0),OR('前提と出典'!$C$37+'前提と出典'!$C$38=0,Y321&gt;=0)),0,A321)</ns0:f>
        <ns0:v>0</ns0:v>
      </ns0:c>
    </ns0:row>
    <ns0:row r="322" ht="24" customHeight="1">
      <ns0:c r="A322" s="4" t="n">
        <ns0:v>318</ns0:v>
      </ns0:c>
      <ns0:c r="B322" s="12">
        <ns0:f>A322*('前提と出典'!$C$36+'前提と出典'!$C$38)</ns0:f>
        <ns0:v>222.6</ns0:v>
      </ns0:c>
      <ns0:c r="C322" s="12">
        <ns0:f>A322*('前提と出典'!$C$37+'前提と出典'!$C$38)</ns0:f>
        <ns0:v>190.79999999999998</ns0:v>
      </ns0:c>
      <ns0:c r="D322" s="16">
        <ns0:f>A322*('前提と出典'!$C$36*'契約別単価'!C5+'前提と出典'!$C$37*'契約別単価'!C6+'前提と出典'!$C$38*'契約別単価'!C7)</ns0:f>
        <ns0:v>2288.1787709497207</ns0:v>
      </ns0:c>
      <ns0:c r="E322" s="16">
        <ns0:f>A322*('前提と出典'!$C$36*'契約別単価'!E5+'前提と出典'!$C$37*'契約別単価'!E6+'前提と出典'!$C$38*'契約別単価'!E7)</ns0:f>
        <ns0:v>799411.5895906104</ns0:v>
      </ns0:c>
      <ns0:c r="F322" s="16">
        <ns0:f>A322*('前提と出典'!$C$36*'契約別単価'!F5+'前提と出典'!$C$37*'契約別単価'!F6+'前提と出典'!$C$38*'契約別単価'!F7)</ns0:f>
        <ns0:v>232288.5737961557</ns0:v>
      </ns0:c>
      <ns0:c r="G322" s="16">
        <ns0:f>A322*('前提と出典'!$C$36*'契約別単価'!G5+'前提と出典'!$C$37*'契約別単価'!G6+'前提と出典'!$C$38*'契約別単価'!G7)</ns0:f>
        <ns0:v>632979.8882681564</ns0:v>
      </ns0:c>
      <ns0:c r="H322" s="16">
        <ns0:f>A322*('前提と出典'!$C$36*'契約別単価'!H5+'前提と出典'!$C$37*'契約別単価'!H6+'前提と出典'!$C$38*'契約別単価'!H7)</ns0:f>
        <ns0:v>219675.7676651413</ns0:v>
      </ns0:c>
      <ns0:c r="I322" s="16">
        <ns0:f>A322*('前提と出典'!$C$36*'契約別単価'!I5+'前提と出典'!$C$37*'契約別単価'!I6+'前提と出典'!$C$38*'契約別単価'!I7)</ns0:f>
        <ns0:v>13418.178770949718</ns0:v>
      </ns0:c>
      <ns0:c r="J322" s="16">
        <ns0:f>A322*('前提と出典'!$C$36*'契約別単価'!J5+'前提と出典'!$C$37*'契約別単価'!J6+'前提と出典'!$C$38*'契約別単価'!J7)</ns0:f>
        <ns0:v>31256.074899876217</ns0:v>
      </ns0:c>
      <ns0:c r="K322" s="16">
        <ns0:f>A322*('前提と出典'!$C$36*'契約別単価'!K5+'前提と出典'!$C$37*'契約別単価'!K6+'前提と出典'!$C$38*'契約別単価'!K7)</ns0:f>
        <ns0:v>133974.5251396648</ns0:v>
      </ns0:c>
      <ns0:c r="L322" s="16">
        <ns0:f>A322*('前提と出典'!$C$36*'契約別単価'!L5+'前提と出典'!$C$37*'契約別単価'!L6+'前提と出典'!$C$38*'契約別単価'!L7)</ns0:f>
        <ns0:v>109082.52558883803</ns0:v>
      </ns0:c>
      <ns0:c r="M322" s="16">
        <ns0:f>IF(('前提と出典'!$C$36+'前提と出典'!$C$38)=0,0,IF(B322&lt;=10,'前提と出典'!B73+'前提と出典'!C73,IF(B322&lt;=100,'前提と出典'!B74+'前提と出典'!C74,IF(B322&lt;=500,'前提と出典'!B75+'前提と出典'!C75,'前提と出典'!B76+'前提と出典'!C76))))</ns0:f>
        <ns0:v>40000</ns0:v>
      </ns0:c>
      <ns0:c r="N322" s="16">
        <ns0:f>IF(('前提と出典'!$C$37+'前提と出典'!$C$38)=0,0,IF(C322&lt;=10,'前提と出典'!D73+'前提と出典'!E73,IF(C322&lt;=100,'前提と出典'!D74+'前提と出典'!E74,IF(C322&lt;=500,'前提と出典'!D75+'前提と出典'!E75,'前提と出典'!D76+'前提と出典'!E76))))</ns0:f>
        <ns0:v>56510.9346263078</ns0:v>
      </ns0:c>
      <ns0:c r="O322" s="16">
        <ns0:f>IF('前提と出典'!$C$36+'前提と出典'!$C$38=0,0,'前提と出典'!$B$4*IF('前提と出典'!$B$20=0,MAX('前提と出典'!$B$6,D322*'前提と出典'!$B$5),'前提と出典'!$B$6+D322*'前提と出典'!$B$5))</ns0:f>
        <ns0:v>315768.67039106146</ns0:v>
      </ns0:c>
      <ns0:c r="P322" s="16">
        <ns0:f>(E322+G322)*(1-'前提と出典'!$B$7)-I322-K322-M322-O322</ns0:f>
        <ns0:v>877664.0103541755</ns0:v>
      </ns0:c>
      <ns0:c r="Q322" s="16">
        <ns0:f>(F322+H322)*(1-'前提と出典'!$B$7)-J322-L322-N322</ns0:f>
        <ns0:v>238844.0900536683</ns0:v>
      </ns0:c>
      <ns0:c r="R322" s="16">
        <ns0:f>P322-E322*'前提と出典'!$E$4</ns0:f>
        <ns0:v>637840.5334769922</ns0:v>
      </ns0:c>
      <ns0:c r="S322" s="16">
        <ns0:f>Q322-F322*'前提と出典'!$E$4</ns0:f>
        <ns0:v>169157.51791482157</ns0:v>
      </ns0:c>
      <ns0:c r="T322" s="7">
        <ns0:f>R322+S322</ns0:f>
        <ns0:v>806998.0513918137</ns0:v>
      </ns0:c>
      <ns0:c r="U322" s="16">
        <ns0:f>P322-E322*'前提と出典'!$E$5</ns0:f>
        <ns0:v>557899.3745179314</ns0:v>
      </ns0:c>
      <ns0:c r="V322" s="16">
        <ns0:f>Q322-F322*'前提と出典'!$E$5</ns0:f>
        <ns0:v>145928.66053520603</ns0:v>
      </ns0:c>
      <ns0:c r="W322" s="7">
        <ns0:f>U322+V322</ns0:f>
        <ns0:v>703828.0350531375</ns0:v>
      </ns0:c>
      <ns0:c r="X322" s="16">
        <ns0:f>P322-E322*'前提と出典'!$E$6</ns0:f>
        <ns0:v>477958.2155588701</ns0:v>
      </ns0:c>
      <ns0:c r="Y322" s="16">
        <ns0:f>Q322-F322*'前提と出典'!$E$6</ns0:f>
        <ns0:v>122699.80315559049</ns0:v>
      </ns0:c>
      <ns0:c r="Z322" s="7">
        <ns0:f>X322+Y322</ns0:f>
        <ns0:v>600658.0187144605</ns0:v>
      </ns0:c>
      <ns0:c r="AA322" s="7">
        <ns0:f>IF(T322&gt;=0,A322,1001)</ns0:f>
        <ns0:v>318</ns0:v>
      </ns0:c>
      <ns0:c r="AB322" s="7">
        <ns0:f>IF(T322&lt;0,A322,0)</ns0:f>
        <ns0:v>0</ns0:v>
      </ns0:c>
      <ns0:c r="AC322" s="16">
        <ns0:f>IF(AND(OR('前提と出典'!$C$36+'前提と出典'!$C$38=0,R322&gt;=0),OR('前提と出典'!$C$37+'前提と出典'!$C$38=0,S322&gt;=0)),0,A322)</ns0:f>
        <ns0:v>0</ns0:v>
      </ns0:c>
      <ns0:c r="AD322" s="7">
        <ns0:f>IF(W322&gt;=0,A322,1001)</ns0:f>
        <ns0:v>318</ns0:v>
      </ns0:c>
      <ns0:c r="AE322" s="7">
        <ns0:f>IF(W322&lt;0,A322,0)</ns0:f>
        <ns0:v>0</ns0:v>
      </ns0:c>
      <ns0:c r="AF322" s="16">
        <ns0:f>IF(AND(OR('前提と出典'!$C$36+'前提と出典'!$C$38=0,U322&gt;=0),OR('前提と出典'!$C$37+'前提と出典'!$C$38=0,V322&gt;=0)),0,A322)</ns0:f>
        <ns0:v>0</ns0:v>
      </ns0:c>
      <ns0:c r="AG322" s="7">
        <ns0:f>IF(Z322&gt;=0,A322,1001)</ns0:f>
        <ns0:v>318</ns0:v>
      </ns0:c>
      <ns0:c r="AH322" s="4">
        <ns0:f>IF(Z322&lt;0,A322,0)</ns0:f>
        <ns0:v>0</ns0:v>
      </ns0:c>
      <ns0:c r="AI322" s="12">
        <ns0:f>IF(AND(OR('前提と出典'!$C$36+'前提と出典'!$C$38=0,X322&gt;=0),OR('前提と出典'!$C$37+'前提と出典'!$C$38=0,Y322&gt;=0)),0,A322)</ns0:f>
        <ns0:v>0</ns0:v>
      </ns0:c>
    </ns0:row>
    <ns0:row r="323" ht="24" customHeight="1">
      <ns0:c r="A323" s="4" t="n">
        <ns0:v>319</ns0:v>
      </ns0:c>
      <ns0:c r="B323" s="12">
        <ns0:f>A323*('前提と出典'!$C$36+'前提と出典'!$C$38)</ns0:f>
        <ns0:v>223.29999999999998</ns0:v>
      </ns0:c>
      <ns0:c r="C323" s="12">
        <ns0:f>A323*('前提と出典'!$C$37+'前提と出典'!$C$38)</ns0:f>
        <ns0:v>191.4</ns0:v>
      </ns0:c>
      <ns0:c r="D323" s="16">
        <ns0:f>A323*('前提と出典'!$C$36*'契約別単価'!C5+'前提と出典'!$C$37*'契約別単価'!C6+'前提と出典'!$C$38*'契約別単価'!C7)</ns0:f>
        <ns0:v>2295.3743016759777</ns0:v>
      </ns0:c>
      <ns0:c r="E323" s="16">
        <ns0:f>A323*('前提と出典'!$C$36*'契約別単価'!E5+'前提と出典'!$C$37*'契約別単価'!E6+'前提と出典'!$C$38*'契約別単価'!E7)</ns0:f>
        <ns0:v>801925.4625138514</ns0:v>
      </ns0:c>
      <ns0:c r="F323" s="16">
        <ns0:f>A323*('前提と出典'!$C$36*'契約別単価'!F5+'前提と出典'!$C$37*'契約別単価'!F6+'前提と出典'!$C$38*'契約別単価'!F7)</ns0:f>
        <ns0:v>233019.04100935115</ns0:v>
      </ns0:c>
      <ns0:c r="G323" s="16">
        <ns0:f>A323*('前提と出典'!$C$36*'契約別単価'!G5+'前提と出典'!$C$37*'契約別単価'!G6+'前提と出典'!$C$38*'契約別単価'!G7)</ns0:f>
        <ns0:v>634970.3910614525</ns0:v>
      </ns0:c>
      <ns0:c r="H323" s="16">
        <ns0:f>A323*('前提と出典'!$C$36*'契約別単価'!H5+'前提と出典'!$C$37*'契約別単価'!H6+'前提と出典'!$C$38*'契約別単価'!H7)</ns0:f>
        <ns0:v>220366.57196597508</ns0:v>
      </ns0:c>
      <ns0:c r="I323" s="16">
        <ns0:f>A323*('前提と出典'!$C$36*'契約別単価'!I5+'前提と出典'!$C$37*'契約別単価'!I6+'前提と出典'!$C$38*'契約別単価'!I7)</ns0:f>
        <ns0:v>13460.374301675974</ns0:v>
      </ns0:c>
      <ns0:c r="J323" s="16">
        <ns0:f>A323*('前提と出典'!$C$36*'契約別単価'!J5+'前提と出典'!$C$37*'契約別単価'!J6+'前提と出典'!$C$38*'契約別単価'!J7)</ns0:f>
        <ns0:v>31354.364443586517</ns0:v>
      </ns0:c>
      <ns0:c r="K323" s="16">
        <ns0:f>A323*('前提と出典'!$C$36*'契約別単価'!K5+'前提と出典'!$C$37*'契約別単価'!K6+'前提と出典'!$C$38*'契約別単価'!K7)</ns0:f>
        <ns0:v>134395.82867783983</ns0:v>
      </ns0:c>
      <ns0:c r="L323" s="16">
        <ns0:f>A323*('前提と出典'!$C$36*'契約別単価'!L5+'前提と出典'!$C$37*'契約別単価'!L6+'前提と出典'!$C$38*'契約別単価'!L7)</ns0:f>
        <ns0:v>109425.55239886584</ns0:v>
      </ns0:c>
      <ns0:c r="M323" s="16">
        <ns0:f>IF(('前提と出典'!$C$36+'前提と出典'!$C$38)=0,0,IF(B323&lt;=10,'前提と出典'!B73+'前提と出典'!C73,IF(B323&lt;=100,'前提と出典'!B74+'前提と出典'!C74,IF(B323&lt;=500,'前提と出典'!B75+'前提と出典'!C75,'前提と出典'!B76+'前提と出典'!C76))))</ns0:f>
        <ns0:v>40000</ns0:v>
      </ns0:c>
      <ns0:c r="N323" s="16">
        <ns0:f>IF(('前提と出典'!$C$37+'前提と出典'!$C$38)=0,0,IF(C323&lt;=10,'前提と出典'!D73+'前提と出典'!E73,IF(C323&lt;=100,'前提と出典'!D74+'前提と出典'!E74,IF(C323&lt;=500,'前提と出典'!D75+'前提と出典'!E75,'前提と出典'!D76+'前提と出典'!E76))))</ns0:f>
        <ns0:v>56510.9346263078</ns0:v>
      </ns0:c>
      <ns0:c r="O323" s="16">
        <ns0:f>IF('前提と出典'!$C$36+'前提と出典'!$C$38=0,0,'前提と出典'!$B$4*IF('前提と出典'!$B$20=0,MAX('前提と出典'!$B$6,D323*'前提と出典'!$B$5),'前提と出典'!$B$6+D323*'前提と出典'!$B$5))</ns0:f>
        <ns0:v>316761.65363128495</ns0:v>
      </ns0:c>
      <ns0:c r="P323" s="16">
        <ns0:f>(E323+G323)*(1-'前提と出典'!$B$7)-I323-K323-M323-O323</ns0:f>
        <ns0:v>880549.7462357921</ns0:v>
      </ns0:c>
      <ns0:c r="Q323" s="16">
        <ns0:f>(F323+H323)*(1-'前提と出典'!$B$7)-J323-L323-N323</ns0:f>
        <ns0:v>239772.87943945435</ns0:v>
      </ns0:c>
      <ns0:c r="R323" s="16">
        <ns0:f>P323-E323*'前提と出典'!$E$4</ns0:f>
        <ns0:v>639972.1074816365</ns0:v>
      </ns0:c>
      <ns0:c r="S323" s="16">
        <ns0:f>Q323-F323*'前提と出典'!$E$4</ns0:f>
        <ns0:v>169867.16713664905</ns0:v>
      </ns0:c>
      <ns0:c r="T323" s="7">
        <ns0:f>R323+S323</ns0:f>
        <ns0:v>809839.2746182855</ns0:v>
      </ns0:c>
      <ns0:c r="U323" s="16">
        <ns0:f>P323-E323*'前提と出典'!$E$5</ns0:f>
        <ns0:v>559779.5612302514</ns0:v>
      </ns0:c>
      <ns0:c r="V323" s="16">
        <ns0:f>Q323-F323*'前提と出典'!$E$5</ns0:f>
        <ns0:v>146565.2630357139</ns0:v>
      </ns0:c>
      <ns0:c r="W323" s="7">
        <ns0:f>U323+V323</ns0:f>
        <ns0:v>706344.8242659654</ns0:v>
      </ns0:c>
      <ns0:c r="X323" s="16">
        <ns0:f>P323-E323*'前提と出典'!$E$6</ns0:f>
        <ns0:v>479587.0149788663</ns0:v>
      </ns0:c>
      <ns0:c r="Y323" s="16">
        <ns0:f>Q323-F323*'前提と出典'!$E$6</ns0:f>
        <ns0:v>123263.35893477881</ns0:v>
      </ns0:c>
      <ns0:c r="Z323" s="7">
        <ns0:f>X323+Y323</ns0:f>
        <ns0:v>602850.3739136452</ns0:v>
      </ns0:c>
      <ns0:c r="AA323" s="7">
        <ns0:f>IF(T323&gt;=0,A323,1001)</ns0:f>
        <ns0:v>319</ns0:v>
      </ns0:c>
      <ns0:c r="AB323" s="7">
        <ns0:f>IF(T323&lt;0,A323,0)</ns0:f>
        <ns0:v>0</ns0:v>
      </ns0:c>
      <ns0:c r="AC323" s="16">
        <ns0:f>IF(AND(OR('前提と出典'!$C$36+'前提と出典'!$C$38=0,R323&gt;=0),OR('前提と出典'!$C$37+'前提と出典'!$C$38=0,S323&gt;=0)),0,A323)</ns0:f>
        <ns0:v>0</ns0:v>
      </ns0:c>
      <ns0:c r="AD323" s="7">
        <ns0:f>IF(W323&gt;=0,A323,1001)</ns0:f>
        <ns0:v>319</ns0:v>
      </ns0:c>
      <ns0:c r="AE323" s="7">
        <ns0:f>IF(W323&lt;0,A323,0)</ns0:f>
        <ns0:v>0</ns0:v>
      </ns0:c>
      <ns0:c r="AF323" s="16">
        <ns0:f>IF(AND(OR('前提と出典'!$C$36+'前提と出典'!$C$38=0,U323&gt;=0),OR('前提と出典'!$C$37+'前提と出典'!$C$38=0,V323&gt;=0)),0,A323)</ns0:f>
        <ns0:v>0</ns0:v>
      </ns0:c>
      <ns0:c r="AG323" s="7">
        <ns0:f>IF(Z323&gt;=0,A323,1001)</ns0:f>
        <ns0:v>319</ns0:v>
      </ns0:c>
      <ns0:c r="AH323" s="4">
        <ns0:f>IF(Z323&lt;0,A323,0)</ns0:f>
        <ns0:v>0</ns0:v>
      </ns0:c>
      <ns0:c r="AI323" s="12">
        <ns0:f>IF(AND(OR('前提と出典'!$C$36+'前提と出典'!$C$38=0,X323&gt;=0),OR('前提と出典'!$C$37+'前提と出典'!$C$38=0,Y323&gt;=0)),0,A323)</ns0:f>
        <ns0:v>0</ns0:v>
      </ns0:c>
    </ns0:row>
    <ns0:row r="324" ht="24" customHeight="1">
      <ns0:c r="A324" s="4" t="n">
        <ns0:v>320</ns0:v>
      </ns0:c>
      <ns0:c r="B324" s="12">
        <ns0:f>A324*('前提と出典'!$C$36+'前提と出典'!$C$38)</ns0:f>
        <ns0:v>224</ns0:v>
      </ns0:c>
      <ns0:c r="C324" s="12">
        <ns0:f>A324*('前提と出典'!$C$37+'前提と出典'!$C$38)</ns0:f>
        <ns0:v>192</ns0:v>
      </ns0:c>
      <ns0:c r="D324" s="16">
        <ns0:f>A324*('前提と出典'!$C$36*'契約別単価'!C5+'前提と出典'!$C$37*'契約別単価'!C6+'前提と出典'!$C$38*'契約別単価'!C7)</ns0:f>
        <ns0:v>2302.5698324022346</ns0:v>
      </ns0:c>
      <ns0:c r="E324" s="16">
        <ns0:f>A324*('前提と出典'!$C$36*'契約別単価'!E5+'前提と出典'!$C$37*'契約別単価'!E6+'前提と出典'!$C$38*'契約別単価'!E7)</ns0:f>
        <ns0:v>804439.3354370922</ns0:v>
      </ns0:c>
      <ns0:c r="F324" s="16">
        <ns0:f>A324*('前提と出典'!$C$36*'契約別単価'!F5+'前提と出典'!$C$37*'契約別単価'!F6+'前提と出典'!$C$38*'契約別単価'!F7)</ns0:f>
        <ns0:v>233749.5082225466</ns0:v>
      </ns0:c>
      <ns0:c r="G324" s="16">
        <ns0:f>A324*('前提と出典'!$C$36*'契約別単価'!G5+'前提と出典'!$C$37*'契約別単価'!G6+'前提と出典'!$C$38*'契約別単価'!G7)</ns0:f>
        <ns0:v>636960.8938547486</ns0:v>
      </ns0:c>
      <ns0:c r="H324" s="16">
        <ns0:f>A324*('前提と出典'!$C$36*'契約別単価'!H5+'前提と出典'!$C$37*'契約別単価'!H6+'前提と出典'!$C$38*'契約別単価'!H7)</ns0:f>
        <ns0:v>221057.37626680886</ns0:v>
      </ns0:c>
      <ns0:c r="I324" s="16">
        <ns0:f>A324*('前提と出典'!$C$36*'契約別単価'!I5+'前提と出典'!$C$37*'契約別単価'!I6+'前提と出典'!$C$38*'契約別単価'!I7)</ns0:f>
        <ns0:v>13502.569832402232</ns0:v>
      </ns0:c>
      <ns0:c r="J324" s="16">
        <ns0:f>A324*('前提と出典'!$C$36*'契約別単価'!J5+'前提と出典'!$C$37*'契約別単価'!J6+'前提と出典'!$C$38*'契約別単価'!J7)</ns0:f>
        <ns0:v>31452.65398729682</ns0:v>
      </ns0:c>
      <ns0:c r="K324" s="16">
        <ns0:f>A324*('前提と出典'!$C$36*'契約別単価'!K5+'前提と出典'!$C$37*'契約別単価'!K6+'前提と出典'!$C$38*'契約別単価'!K7)</ns0:f>
        <ns0:v>134817.1322160149</ns0:v>
      </ns0:c>
      <ns0:c r="L324" s="16">
        <ns0:f>A324*('前提と出典'!$C$36*'契約別単価'!L5+'前提と出典'!$C$37*'契約別単価'!L6+'前提と出典'!$C$38*'契約別単価'!L7)</ns0:f>
        <ns0:v>109768.57920889363</ns0:v>
      </ns0:c>
      <ns0:c r="M324" s="16">
        <ns0:f>IF(('前提と出典'!$C$36+'前提と出典'!$C$38)=0,0,IF(B324&lt;=10,'前提と出典'!B73+'前提と出典'!C73,IF(B324&lt;=100,'前提と出典'!B74+'前提と出典'!C74,IF(B324&lt;=500,'前提と出典'!B75+'前提と出典'!C75,'前提と出典'!B76+'前提と出典'!C76))))</ns0:f>
        <ns0:v>40000</ns0:v>
      </ns0:c>
      <ns0:c r="N324" s="16">
        <ns0:f>IF(('前提と出典'!$C$37+'前提と出典'!$C$38)=0,0,IF(C324&lt;=10,'前提と出典'!D73+'前提と出典'!E73,IF(C324&lt;=100,'前提と出典'!D74+'前提と出典'!E74,IF(C324&lt;=500,'前提と出典'!D75+'前提と出典'!E75,'前提と出典'!D76+'前提と出典'!E76))))</ns0:f>
        <ns0:v>56510.9346263078</ns0:v>
      </ns0:c>
      <ns0:c r="O324" s="16">
        <ns0:f>IF('前提と出典'!$C$36+'前提と出典'!$C$38=0,0,'前提と出典'!$B$4*IF('前提と出典'!$B$20=0,MAX('前提と出典'!$B$6,D324*'前提と出典'!$B$5),'前提と出典'!$B$6+D324*'前提と出典'!$B$5))</ns0:f>
        <ns0:v>317754.6368715084</ns0:v>
      </ns0:c>
      <ns0:c r="P324" s="16">
        <ns0:f>(E324+G324)*(1-'前提と出典'!$B$7)-I324-K324-M324-O324</ns0:f>
        <ns0:v>883435.4821174091</ns0:v>
      </ns0:c>
      <ns0:c r="Q324" s="16">
        <ns0:f>(F324+H324)*(1-'前提と出典'!$B$7)-J324-L324-N324</ns0:f>
        <ns0:v>240701.66882524046</ns0:v>
      </ns0:c>
      <ns0:c r="R324" s="16">
        <ns0:f>P324-E324*'前提と出典'!$E$4</ns0:f>
        <ns0:v>642103.6814862813</ns0:v>
      </ns0:c>
      <ns0:c r="S324" s="16">
        <ns0:f>Q324-F324*'前提と出典'!$E$4</ns0:f>
        <ns0:v>170576.81635847647</ns0:v>
      </ns0:c>
      <ns0:c r="T324" s="7">
        <ns0:f>R324+S324</ns0:f>
        <ns0:v>812680.4978447577</ns0:v>
      </ns0:c>
      <ns0:c r="U324" s="16">
        <ns0:f>P324-E324*'前提と出典'!$E$5</ns0:f>
        <ns0:v>561659.7479425722</ns0:v>
      </ns0:c>
      <ns0:c r="V324" s="16">
        <ns0:f>Q324-F324*'前提と出典'!$E$5</ns0:f>
        <ns0:v>147201.86553622183</ns0:v>
      </ns0:c>
      <ns0:c r="W324" s="7">
        <ns0:f>U324+V324</ns0:f>
        <ns0:v>708861.613478794</ns0:v>
      </ns0:c>
      <ns0:c r="X324" s="16">
        <ns0:f>P324-E324*'前提と出典'!$E$6</ns0:f>
        <ns0:v>481215.81439886295</ns0:v>
      </ns0:c>
      <ns0:c r="Y324" s="16">
        <ns0:f>Q324-F324*'前提と出典'!$E$6</ns0:f>
        <ns0:v>123826.91471396713</ns0:v>
      </ns0:c>
      <ns0:c r="Z324" s="7">
        <ns0:f>X324+Y324</ns0:f>
        <ns0:v>605042.72911283</ns0:v>
      </ns0:c>
      <ns0:c r="AA324" s="7">
        <ns0:f>IF(T324&gt;=0,A324,1001)</ns0:f>
        <ns0:v>320</ns0:v>
      </ns0:c>
      <ns0:c r="AB324" s="7">
        <ns0:f>IF(T324&lt;0,A324,0)</ns0:f>
        <ns0:v>0</ns0:v>
      </ns0:c>
      <ns0:c r="AC324" s="16">
        <ns0:f>IF(AND(OR('前提と出典'!$C$36+'前提と出典'!$C$38=0,R324&gt;=0),OR('前提と出典'!$C$37+'前提と出典'!$C$38=0,S324&gt;=0)),0,A324)</ns0:f>
        <ns0:v>0</ns0:v>
      </ns0:c>
      <ns0:c r="AD324" s="7">
        <ns0:f>IF(W324&gt;=0,A324,1001)</ns0:f>
        <ns0:v>320</ns0:v>
      </ns0:c>
      <ns0:c r="AE324" s="7">
        <ns0:f>IF(W324&lt;0,A324,0)</ns0:f>
        <ns0:v>0</ns0:v>
      </ns0:c>
      <ns0:c r="AF324" s="16">
        <ns0:f>IF(AND(OR('前提と出典'!$C$36+'前提と出典'!$C$38=0,U324&gt;=0),OR('前提と出典'!$C$37+'前提と出典'!$C$38=0,V324&gt;=0)),0,A324)</ns0:f>
        <ns0:v>0</ns0:v>
      </ns0:c>
      <ns0:c r="AG324" s="7">
        <ns0:f>IF(Z324&gt;=0,A324,1001)</ns0:f>
        <ns0:v>320</ns0:v>
      </ns0:c>
      <ns0:c r="AH324" s="4">
        <ns0:f>IF(Z324&lt;0,A324,0)</ns0:f>
        <ns0:v>0</ns0:v>
      </ns0:c>
      <ns0:c r="AI324" s="12">
        <ns0:f>IF(AND(OR('前提と出典'!$C$36+'前提と出典'!$C$38=0,X324&gt;=0),OR('前提と出典'!$C$37+'前提と出典'!$C$38=0,Y324&gt;=0)),0,A324)</ns0:f>
        <ns0:v>0</ns0:v>
      </ns0:c>
    </ns0:row>
    <ns0:row r="325" ht="24" customHeight="1">
      <ns0:c r="A325" s="4" t="n">
        <ns0:v>321</ns0:v>
      </ns0:c>
      <ns0:c r="B325" s="12">
        <ns0:f>A325*('前提と出典'!$C$36+'前提と出典'!$C$38)</ns0:f>
        <ns0:v>224.7</ns0:v>
      </ns0:c>
      <ns0:c r="C325" s="12">
        <ns0:f>A325*('前提と出典'!$C$37+'前提と出典'!$C$38)</ns0:f>
        <ns0:v>192.6</ns0:v>
      </ns0:c>
      <ns0:c r="D325" s="16">
        <ns0:f>A325*('前提と出典'!$C$36*'契約別単価'!C5+'前提と出典'!$C$37*'契約別単価'!C6+'前提と出典'!$C$38*'契約別単価'!C7)</ns0:f>
        <ns0:v>2309.7653631284916</ns0:v>
      </ns0:c>
      <ns0:c r="E325" s="16">
        <ns0:f>A325*('前提と出典'!$C$36*'契約別単価'!E5+'前提と出典'!$C$37*'契約別単価'!E6+'前提と出典'!$C$38*'契約別単価'!E7)</ns0:f>
        <ns0:v>806953.2083603331</ns0:v>
      </ns0:c>
      <ns0:c r="F325" s="16">
        <ns0:f>A325*('前提と出典'!$C$36*'契約別単価'!F5+'前提と出典'!$C$37*'契約別単価'!F6+'前提と出典'!$C$38*'契約別単価'!F7)</ns0:f>
        <ns0:v>234479.97543574206</ns0:v>
      </ns0:c>
      <ns0:c r="G325" s="16">
        <ns0:f>A325*('前提と出典'!$C$36*'契約別単価'!G5+'前提と出典'!$C$37*'契約別単価'!G6+'前提と出典'!$C$38*'契約別単価'!G7)</ns0:f>
        <ns0:v>638951.3966480447</ns0:v>
      </ns0:c>
      <ns0:c r="H325" s="16">
        <ns0:f>A325*('前提と出典'!$C$36*'契約別単価'!H5+'前提と出典'!$C$37*'契約別単価'!H6+'前提と出典'!$C$38*'契約別単価'!H7)</ns0:f>
        <ns0:v>221748.18056764264</ns0:v>
      </ns0:c>
      <ns0:c r="I325" s="16">
        <ns0:f>A325*('前提と出典'!$C$36*'契約別単価'!I5+'前提と出典'!$C$37*'契約別単価'!I6+'前提と出典'!$C$38*'契約別単価'!I7)</ns0:f>
        <ns0:v>13544.76536312849</ns0:v>
      </ns0:c>
      <ns0:c r="J325" s="16">
        <ns0:f>A325*('前提と出典'!$C$36*'契約別単価'!J5+'前提と出典'!$C$37*'契約別単価'!J6+'前提と出典'!$C$38*'契約別単価'!J7)</ns0:f>
        <ns0:v>31550.943531007124</ns0:v>
      </ns0:c>
      <ns0:c r="K325" s="16">
        <ns0:f>A325*('前提と出典'!$C$36*'契約別単価'!K5+'前提と出典'!$C$37*'契約別単価'!K6+'前提と出典'!$C$38*'契約別単価'!K7)</ns0:f>
        <ns0:v>135238.43575418994</ns0:v>
      </ns0:c>
      <ns0:c r="L325" s="16">
        <ns0:f>A325*('前提と出典'!$C$36*'契約別単価'!L5+'前提と出典'!$C$37*'契約別単価'!L6+'前提と出典'!$C$38*'契約別単価'!L7)</ns0:f>
        <ns0:v>110111.60601892142</ns0:v>
      </ns0:c>
      <ns0:c r="M325" s="16">
        <ns0:f>IF(('前提と出典'!$C$36+'前提と出典'!$C$38)=0,0,IF(B325&lt;=10,'前提と出典'!B73+'前提と出典'!C73,IF(B325&lt;=100,'前提と出典'!B74+'前提と出典'!C74,IF(B325&lt;=500,'前提と出典'!B75+'前提と出典'!C75,'前提と出典'!B76+'前提と出典'!C76))))</ns0:f>
        <ns0:v>40000</ns0:v>
      </ns0:c>
      <ns0:c r="N325" s="16">
        <ns0:f>IF(('前提と出典'!$C$37+'前提と出典'!$C$38)=0,0,IF(C325&lt;=10,'前提と出典'!D73+'前提と出典'!E73,IF(C325&lt;=100,'前提と出典'!D74+'前提と出典'!E74,IF(C325&lt;=500,'前提と出典'!D75+'前提と出典'!E75,'前提と出典'!D76+'前提と出典'!E76))))</ns0:f>
        <ns0:v>56510.9346263078</ns0:v>
      </ns0:c>
      <ns0:c r="O325" s="16">
        <ns0:f>IF('前提と出典'!$C$36+'前提と出典'!$C$38=0,0,'前提と出典'!$B$4*IF('前提と出典'!$B$20=0,MAX('前提と出典'!$B$6,D325*'前提と出典'!$B$5),'前提と出典'!$B$6+D325*'前提と出典'!$B$5))</ns0:f>
        <ns0:v>318747.6201117318</ns0:v>
      </ns0:c>
      <ns0:c r="P325" s="16">
        <ns0:f>(E325+G325)*(1-'前提と出典'!$B$7)-I325-K325-M325-O325</ns0:f>
        <ns0:v>886321.217999026</ns0:v>
      </ns0:c>
      <ns0:c r="Q325" s="16">
        <ns0:f>(F325+H325)*(1-'前提と出典'!$B$7)-J325-L325-N325</ns0:f>
        <ns0:v>241630.45821102656</ns0:v>
      </ns0:c>
      <ns0:c r="R325" s="16">
        <ns0:f>P325-E325*'前提と出典'!$E$4</ns0:f>
        <ns0:v>644235.2554909261</ns0:v>
      </ns0:c>
      <ns0:c r="S325" s="16">
        <ns0:f>Q325-F325*'前提と出典'!$E$4</ns0:f>
        <ns0:v>171286.46558030398</ns0:v>
      </ns0:c>
      <ns0:c r="T325" s="7">
        <ns0:f>R325+S325</ns0:f>
        <ns0:v>815521.72107123</ns0:v>
      </ns0:c>
      <ns0:c r="U325" s="16">
        <ns0:f>P325-E325*'前提と出典'!$E$5</ns0:f>
        <ns0:v>563539.9346548927</ns0:v>
      </ns0:c>
      <ns0:c r="V325" s="16">
        <ns0:f>Q325-F325*'前提と出典'!$E$5</ns0:f>
        <ns0:v>147838.46803672973</ns0:v>
      </ns0:c>
      <ns0:c r="W325" s="7">
        <ns0:f>U325+V325</ns0:f>
        <ns0:v>711378.4026916224</ns0:v>
      </ns0:c>
      <ns0:c r="X325" s="16">
        <ns0:f>P325-E325*'前提と出典'!$E$6</ns0:f>
        <ns0:v>482844.61381885933</ns0:v>
      </ns0:c>
      <ns0:c r="Y325" s="16">
        <ns0:f>Q325-F325*'前提と出典'!$E$6</ns0:f>
        <ns0:v>124390.47049315553</ns0:v>
      </ns0:c>
      <ns0:c r="Z325" s="7">
        <ns0:f>X325+Y325</ns0:f>
        <ns0:v>607235.0843120149</ns0:v>
      </ns0:c>
      <ns0:c r="AA325" s="7">
        <ns0:f>IF(T325&gt;=0,A325,1001)</ns0:f>
        <ns0:v>321</ns0:v>
      </ns0:c>
      <ns0:c r="AB325" s="7">
        <ns0:f>IF(T325&lt;0,A325,0)</ns0:f>
        <ns0:v>0</ns0:v>
      </ns0:c>
      <ns0:c r="AC325" s="16">
        <ns0:f>IF(AND(OR('前提と出典'!$C$36+'前提と出典'!$C$38=0,R325&gt;=0),OR('前提と出典'!$C$37+'前提と出典'!$C$38=0,S325&gt;=0)),0,A325)</ns0:f>
        <ns0:v>0</ns0:v>
      </ns0:c>
      <ns0:c r="AD325" s="7">
        <ns0:f>IF(W325&gt;=0,A325,1001)</ns0:f>
        <ns0:v>321</ns0:v>
      </ns0:c>
      <ns0:c r="AE325" s="7">
        <ns0:f>IF(W325&lt;0,A325,0)</ns0:f>
        <ns0:v>0</ns0:v>
      </ns0:c>
      <ns0:c r="AF325" s="16">
        <ns0:f>IF(AND(OR('前提と出典'!$C$36+'前提と出典'!$C$38=0,U325&gt;=0),OR('前提と出典'!$C$37+'前提と出典'!$C$38=0,V325&gt;=0)),0,A325)</ns0:f>
        <ns0:v>0</ns0:v>
      </ns0:c>
      <ns0:c r="AG325" s="7">
        <ns0:f>IF(Z325&gt;=0,A325,1001)</ns0:f>
        <ns0:v>321</ns0:v>
      </ns0:c>
      <ns0:c r="AH325" s="4">
        <ns0:f>IF(Z325&lt;0,A325,0)</ns0:f>
        <ns0:v>0</ns0:v>
      </ns0:c>
      <ns0:c r="AI325" s="12">
        <ns0:f>IF(AND(OR('前提と出典'!$C$36+'前提と出典'!$C$38=0,X325&gt;=0),OR('前提と出典'!$C$37+'前提と出典'!$C$38=0,Y325&gt;=0)),0,A325)</ns0:f>
        <ns0:v>0</ns0:v>
      </ns0:c>
    </ns0:row>
    <ns0:row r="326" ht="24" customHeight="1">
      <ns0:c r="A326" s="4" t="n">
        <ns0:v>322</ns0:v>
      </ns0:c>
      <ns0:c r="B326" s="12">
        <ns0:f>A326*('前提と出典'!$C$36+'前提と出典'!$C$38)</ns0:f>
        <ns0:v>225.39999999999998</ns0:v>
      </ns0:c>
      <ns0:c r="C326" s="12">
        <ns0:f>A326*('前提と出典'!$C$37+'前提と出典'!$C$38)</ns0:f>
        <ns0:v>193.2</ns0:v>
      </ns0:c>
      <ns0:c r="D326" s="16">
        <ns0:f>A326*('前提と出典'!$C$36*'契約別単価'!C5+'前提と出典'!$C$37*'契約別単価'!C6+'前提と出典'!$C$38*'契約別単価'!C7)</ns0:f>
        <ns0:v>2316.9608938547485</ns0:v>
      </ns0:c>
      <ns0:c r="E326" s="16">
        <ns0:f>A326*('前提と出典'!$C$36*'契約別単価'!E5+'前提と出典'!$C$37*'契約別単価'!E6+'前提と出典'!$C$38*'契約別単価'!E7)</ns0:f>
        <ns0:v>809467.0812835741</ns0:v>
      </ns0:c>
      <ns0:c r="F326" s="16">
        <ns0:f>A326*('前提と出典'!$C$36*'契約別単価'!F5+'前提と出典'!$C$37*'契約別単価'!F6+'前提と出典'!$C$38*'契約別単価'!F7)</ns0:f>
        <ns0:v>235210.44264893752</ns0:v>
      </ns0:c>
      <ns0:c r="G326" s="16">
        <ns0:f>A326*('前提と出典'!$C$36*'契約別単価'!G5+'前提と出典'!$C$37*'契約別単価'!G6+'前提と出典'!$C$38*'契約別単価'!G7)</ns0:f>
        <ns0:v>640941.8994413407</ns0:v>
      </ns0:c>
      <ns0:c r="H326" s="16">
        <ns0:f>A326*('前提と出典'!$C$36*'契約別単価'!H5+'前提と出典'!$C$37*'契約別単価'!H6+'前提と出典'!$C$38*'契約別単価'!H7)</ns0:f>
        <ns0:v>222438.98486847643</ns0:v>
      </ns0:c>
      <ns0:c r="I326" s="16">
        <ns0:f>A326*('前提と出典'!$C$36*'契約別単価'!I5+'前提と出典'!$C$37*'契約別単価'!I6+'前提と出典'!$C$38*'契約別単価'!I7)</ns0:f>
        <ns0:v>13586.960893854746</ns0:v>
      </ns0:c>
      <ns0:c r="J326" s="16">
        <ns0:f>A326*('前提と出典'!$C$36*'契約別単価'!J5+'前提と出典'!$C$37*'契約別単価'!J6+'前提と出典'!$C$38*'契約別単価'!J7)</ns0:f>
        <ns0:v>31649.233074717427</ns0:v>
      </ns0:c>
      <ns0:c r="K326" s="16">
        <ns0:f>A326*('前提と出典'!$C$36*'契約別単価'!K5+'前提と出典'!$C$37*'契約別単価'!K6+'前提と出典'!$C$38*'契約別単価'!K7)</ns0:f>
        <ns0:v>135659.73929236497</ns0:v>
      </ns0:c>
      <ns0:c r="L326" s="16">
        <ns0:f>A326*('前提と出典'!$C$36*'契約別単価'!L5+'前提と出典'!$C$37*'契約別単価'!L6+'前提と出典'!$C$38*'契約別単価'!L7)</ns0:f>
        <ns0:v>110454.63282894921</ns0:v>
      </ns0:c>
      <ns0:c r="M326" s="16">
        <ns0:f>IF(('前提と出典'!$C$36+'前提と出典'!$C$38)=0,0,IF(B326&lt;=10,'前提と出典'!B73+'前提と出典'!C73,IF(B326&lt;=100,'前提と出典'!B74+'前提と出典'!C74,IF(B326&lt;=500,'前提と出典'!B75+'前提と出典'!C75,'前提と出典'!B76+'前提と出典'!C76))))</ns0:f>
        <ns0:v>40000</ns0:v>
      </ns0:c>
      <ns0:c r="N326" s="16">
        <ns0:f>IF(('前提と出典'!$C$37+'前提と出典'!$C$38)=0,0,IF(C326&lt;=10,'前提と出典'!D73+'前提と出典'!E73,IF(C326&lt;=100,'前提と出典'!D74+'前提と出典'!E74,IF(C326&lt;=500,'前提と出典'!D75+'前提と出典'!E75,'前提と出典'!D76+'前提と出典'!E76))))</ns0:f>
        <ns0:v>56510.9346263078</ns0:v>
      </ns0:c>
      <ns0:c r="O326" s="16">
        <ns0:f>IF('前提と出典'!$C$36+'前提と出典'!$C$38=0,0,'前提と出典'!$B$4*IF('前提と出典'!$B$20=0,MAX('前提と出典'!$B$6,D326*'前提と出典'!$B$5),'前提と出典'!$B$6+D326*'前提と出典'!$B$5))</ns0:f>
        <ns0:v>319740.6033519553</ns0:v>
      </ns0:c>
      <ns0:c r="P326" s="16">
        <ns0:f>(E326+G326)*(1-'前提と出典'!$B$7)-I326-K326-M326-O326</ns0:f>
        <ns0:v>889206.953880643</ns0:v>
      </ns0:c>
      <ns0:c r="Q326" s="16">
        <ns0:f>(F326+H326)*(1-'前提と出典'!$B$7)-J326-L326-N326</ns0:f>
        <ns0:v>242559.24759681264</ns0:v>
      </ns0:c>
      <ns0:c r="R326" s="16">
        <ns0:f>P326-E326*'前提と出典'!$E$4</ns0:f>
        <ns0:v>646366.8294955709</ns0:v>
      </ns0:c>
      <ns0:c r="S326" s="16">
        <ns0:f>Q326-F326*'前提と出典'!$E$4</ns0:f>
        <ns0:v>171996.11480213137</ns0:v>
      </ns0:c>
      <ns0:c r="T326" s="7">
        <ns0:f>R326+S326</ns0:f>
        <ns0:v>818362.9442977023</ns0:v>
      </ns0:c>
      <ns0:c r="U326" s="16">
        <ns0:f>P326-E326*'前提と出典'!$E$5</ns0:f>
        <ns0:v>565420.1213672133</ns0:v>
      </ns0:c>
      <ns0:c r="V326" s="16">
        <ns0:f>Q326-F326*'前提と出典'!$E$5</ns0:f>
        <ns0:v>148475.07053723763</ns0:v>
      </ns0:c>
      <ns0:c r="W326" s="7">
        <ns0:f>U326+V326</ns0:f>
        <ns0:v>713895.191904451</ns0:v>
      </ns0:c>
      <ns0:c r="X326" s="16">
        <ns0:f>P326-E326*'前提と出典'!$E$6</ns0:f>
        <ns0:v>484473.413238856</ns0:v>
      </ns0:c>
      <ns0:c r="Y326" s="16">
        <ns0:f>Q326-F326*'前提と出典'!$E$6</ns0:f>
        <ns0:v>124954.02627234388</ns0:v>
      </ns0:c>
      <ns0:c r="Z326" s="7">
        <ns0:f>X326+Y326</ns0:f>
        <ns0:v>609427.4395112</ns0:v>
      </ns0:c>
      <ns0:c r="AA326" s="7">
        <ns0:f>IF(T326&gt;=0,A326,1001)</ns0:f>
        <ns0:v>322</ns0:v>
      </ns0:c>
      <ns0:c r="AB326" s="7">
        <ns0:f>IF(T326&lt;0,A326,0)</ns0:f>
        <ns0:v>0</ns0:v>
      </ns0:c>
      <ns0:c r="AC326" s="16">
        <ns0:f>IF(AND(OR('前提と出典'!$C$36+'前提と出典'!$C$38=0,R326&gt;=0),OR('前提と出典'!$C$37+'前提と出典'!$C$38=0,S326&gt;=0)),0,A326)</ns0:f>
        <ns0:v>0</ns0:v>
      </ns0:c>
      <ns0:c r="AD326" s="7">
        <ns0:f>IF(W326&gt;=0,A326,1001)</ns0:f>
        <ns0:v>322</ns0:v>
      </ns0:c>
      <ns0:c r="AE326" s="7">
        <ns0:f>IF(W326&lt;0,A326,0)</ns0:f>
        <ns0:v>0</ns0:v>
      </ns0:c>
      <ns0:c r="AF326" s="16">
        <ns0:f>IF(AND(OR('前提と出典'!$C$36+'前提と出典'!$C$38=0,U326&gt;=0),OR('前提と出典'!$C$37+'前提と出典'!$C$38=0,V326&gt;=0)),0,A326)</ns0:f>
        <ns0:v>0</ns0:v>
      </ns0:c>
      <ns0:c r="AG326" s="7">
        <ns0:f>IF(Z326&gt;=0,A326,1001)</ns0:f>
        <ns0:v>322</ns0:v>
      </ns0:c>
      <ns0:c r="AH326" s="4">
        <ns0:f>IF(Z326&lt;0,A326,0)</ns0:f>
        <ns0:v>0</ns0:v>
      </ns0:c>
      <ns0:c r="AI326" s="12">
        <ns0:f>IF(AND(OR('前提と出典'!$C$36+'前提と出典'!$C$38=0,X326&gt;=0),OR('前提と出典'!$C$37+'前提と出典'!$C$38=0,Y326&gt;=0)),0,A326)</ns0:f>
        <ns0:v>0</ns0:v>
      </ns0:c>
    </ns0:row>
    <ns0:row r="327" ht="24" customHeight="1">
      <ns0:c r="A327" s="4" t="n">
        <ns0:v>323</ns0:v>
      </ns0:c>
      <ns0:c r="B327" s="12">
        <ns0:f>A327*('前提と出典'!$C$36+'前提と出典'!$C$38)</ns0:f>
        <ns0:v>226.1</ns0:v>
      </ns0:c>
      <ns0:c r="C327" s="12">
        <ns0:f>A327*('前提と出典'!$C$37+'前提と出典'!$C$38)</ns0:f>
        <ns0:v>193.79999999999998</ns0:v>
      </ns0:c>
      <ns0:c r="D327" s="16">
        <ns0:f>A327*('前提と出典'!$C$36*'契約別単価'!C5+'前提と出典'!$C$37*'契約別単価'!C6+'前提と出典'!$C$38*'契約別単価'!C7)</ns0:f>
        <ns0:v>2324.1564245810055</ns0:v>
      </ns0:c>
      <ns0:c r="E327" s="16">
        <ns0:f>A327*('前提と出典'!$C$36*'契約別単価'!E5+'前提と出典'!$C$37*'契約別単価'!E6+'前提と出典'!$C$38*'契約別単価'!E7)</ns0:f>
        <ns0:v>811980.954206815</ns0:v>
      </ns0:c>
      <ns0:c r="F327" s="16">
        <ns0:f>A327*('前提と出典'!$C$36*'契約別単価'!F5+'前提と出典'!$C$37*'契約別単価'!F6+'前提と出典'!$C$38*'契約別単価'!F7)</ns0:f>
        <ns0:v>235940.90986213298</ns0:v>
      </ns0:c>
      <ns0:c r="G327" s="16">
        <ns0:f>A327*('前提と出典'!$C$36*'契約別単価'!G5+'前提と出典'!$C$37*'契約別単価'!G6+'前提と出典'!$C$38*'契約別単価'!G7)</ns0:f>
        <ns0:v>642932.4022346368</ns0:v>
      </ns0:c>
      <ns0:c r="H327" s="16">
        <ns0:f>A327*('前提と出典'!$C$36*'契約別単価'!H5+'前提と出典'!$C$37*'契約別単価'!H6+'前提と出典'!$C$38*'契約別単価'!H7)</ns0:f>
        <ns0:v>223129.78916931018</ns0:v>
      </ns0:c>
      <ns0:c r="I327" s="16">
        <ns0:f>A327*('前提と出典'!$C$36*'契約別単価'!I5+'前提と出典'!$C$37*'契約別単価'!I6+'前提と出典'!$C$38*'契約別単価'!I7)</ns0:f>
        <ns0:v>13629.156424581004</ns0:v>
      </ns0:c>
      <ns0:c r="J327" s="16">
        <ns0:f>A327*('前提と出典'!$C$36*'契約別単価'!J5+'前提と出典'!$C$37*'契約別単価'!J6+'前提と出典'!$C$38*'契約別単価'!J7)</ns0:f>
        <ns0:v>31747.52261842773</ns0:v>
      </ns0:c>
      <ns0:c r="K327" s="16">
        <ns0:f>A327*('前提と出典'!$C$36*'契約別単価'!K5+'前提と出典'!$C$37*'契約別単価'!K6+'前提と出典'!$C$38*'契約別単価'!K7)</ns0:f>
        <ns0:v>136081.04283054004</ns0:v>
      </ns0:c>
      <ns0:c r="L327" s="16">
        <ns0:f>A327*('前提と出典'!$C$36*'契約別単価'!L5+'前提と出典'!$C$37*'契約別単価'!L6+'前提と出典'!$C$38*'契約別単価'!L7)</ns0:f>
        <ns0:v>110797.659638977</ns0:v>
      </ns0:c>
      <ns0:c r="M327" s="16">
        <ns0:f>IF(('前提と出典'!$C$36+'前提と出典'!$C$38)=0,0,IF(B327&lt;=10,'前提と出典'!B73+'前提と出典'!C73,IF(B327&lt;=100,'前提と出典'!B74+'前提と出典'!C74,IF(B327&lt;=500,'前提と出典'!B75+'前提と出典'!C75,'前提と出典'!B76+'前提と出典'!C76))))</ns0:f>
        <ns0:v>40000</ns0:v>
      </ns0:c>
      <ns0:c r="N327" s="16">
        <ns0:f>IF(('前提と出典'!$C$37+'前提と出典'!$C$38)=0,0,IF(C327&lt;=10,'前提と出典'!D73+'前提と出典'!E73,IF(C327&lt;=100,'前提と出典'!D74+'前提と出典'!E74,IF(C327&lt;=500,'前提と出典'!D75+'前提と出典'!E75,'前提と出典'!D76+'前提と出典'!E76))))</ns0:f>
        <ns0:v>56510.9346263078</ns0:v>
      </ns0:c>
      <ns0:c r="O327" s="16">
        <ns0:f>IF('前提と出典'!$C$36+'前提と出典'!$C$38=0,0,'前提と出典'!$B$4*IF('前提と出典'!$B$20=0,MAX('前提と出典'!$B$6,D327*'前提と出典'!$B$5),'前提と出典'!$B$6+D327*'前提と出典'!$B$5))</ns0:f>
        <ns0:v>320733.5865921788</ns0:v>
      </ns0:c>
      <ns0:c r="P327" s="16">
        <ns0:f>(E327+G327)*(1-'前提と出典'!$B$7)-I327-K327-M327-O327</ns0:f>
        <ns0:v>892092.6897622594</ns0:v>
      </ns0:c>
      <ns0:c r="Q327" s="16">
        <ns0:f>(F327+H327)*(1-'前提と出典'!$B$7)-J327-L327-N327</ns0:f>
        <ns0:v>243488.03698259863</ns0:v>
      </ns0:c>
      <ns0:c r="R327" s="16">
        <ns0:f>P327-E327*'前提と出典'!$E$4</ns0:f>
        <ns0:v>648498.4035002149</ns0:v>
      </ns0:c>
      <ns0:c r="S327" s="16">
        <ns0:f>Q327-F327*'前提と出典'!$E$4</ns0:f>
        <ns0:v>172705.76402395873</ns0:v>
      </ns0:c>
      <ns0:c r="T327" s="7">
        <ns0:f>R327+S327</ns0:f>
        <ns0:v>821204.1675241736</ns0:v>
      </ns0:c>
      <ns0:c r="U327" s="16">
        <ns0:f>P327-E327*'前提と出典'!$E$5</ns0:f>
        <ns0:v>567300.3080795333</ns0:v>
      </ns0:c>
      <ns0:c r="V327" s="16">
        <ns0:f>Q327-F327*'前提と出典'!$E$5</ns0:f>
        <ns0:v>149111.67303774544</ns0:v>
      </ns0:c>
      <ns0:c r="W327" s="7">
        <ns0:f>U327+V327</ns0:f>
        <ns0:v>716411.9811172787</ns0:v>
      </ns0:c>
      <ns0:c r="X327" s="16">
        <ns0:f>P327-E327*'前提と出典'!$E$6</ns0:f>
        <ns0:v>486102.2126588521</ns0:v>
      </ns0:c>
      <ns0:c r="Y327" s="16">
        <ns0:f>Q327-F327*'前提と出典'!$E$6</ns0:f>
        <ns0:v>125517.58205153214</ns0:v>
      </ns0:c>
      <ns0:c r="Z327" s="7">
        <ns0:f>X327+Y327</ns0:f>
        <ns0:v>611619.7947103842</ns0:v>
      </ns0:c>
      <ns0:c r="AA327" s="7">
        <ns0:f>IF(T327&gt;=0,A327,1001)</ns0:f>
        <ns0:v>323</ns0:v>
      </ns0:c>
      <ns0:c r="AB327" s="7">
        <ns0:f>IF(T327&lt;0,A327,0)</ns0:f>
        <ns0:v>0</ns0:v>
      </ns0:c>
      <ns0:c r="AC327" s="16">
        <ns0:f>IF(AND(OR('前提と出典'!$C$36+'前提と出典'!$C$38=0,R327&gt;=0),OR('前提と出典'!$C$37+'前提と出典'!$C$38=0,S327&gt;=0)),0,A327)</ns0:f>
        <ns0:v>0</ns0:v>
      </ns0:c>
      <ns0:c r="AD327" s="7">
        <ns0:f>IF(W327&gt;=0,A327,1001)</ns0:f>
        <ns0:v>323</ns0:v>
      </ns0:c>
      <ns0:c r="AE327" s="7">
        <ns0:f>IF(W327&lt;0,A327,0)</ns0:f>
        <ns0:v>0</ns0:v>
      </ns0:c>
      <ns0:c r="AF327" s="16">
        <ns0:f>IF(AND(OR('前提と出典'!$C$36+'前提と出典'!$C$38=0,U327&gt;=0),OR('前提と出典'!$C$37+'前提と出典'!$C$38=0,V327&gt;=0)),0,A327)</ns0:f>
        <ns0:v>0</ns0:v>
      </ns0:c>
      <ns0:c r="AG327" s="7">
        <ns0:f>IF(Z327&gt;=0,A327,1001)</ns0:f>
        <ns0:v>323</ns0:v>
      </ns0:c>
      <ns0:c r="AH327" s="4">
        <ns0:f>IF(Z327&lt;0,A327,0)</ns0:f>
        <ns0:v>0</ns0:v>
      </ns0:c>
      <ns0:c r="AI327" s="12">
        <ns0:f>IF(AND(OR('前提と出典'!$C$36+'前提と出典'!$C$38=0,X327&gt;=0),OR('前提と出典'!$C$37+'前提と出典'!$C$38=0,Y327&gt;=0)),0,A327)</ns0:f>
        <ns0:v>0</ns0:v>
      </ns0:c>
    </ns0:row>
    <ns0:row r="328" ht="24" customHeight="1">
      <ns0:c r="A328" s="4" t="n">
        <ns0:v>324</ns0:v>
      </ns0:c>
      <ns0:c r="B328" s="12">
        <ns0:f>A328*('前提と出典'!$C$36+'前提と出典'!$C$38)</ns0:f>
        <ns0:v>226.79999999999998</ns0:v>
      </ns0:c>
      <ns0:c r="C328" s="12">
        <ns0:f>A328*('前提と出典'!$C$37+'前提と出典'!$C$38)</ns0:f>
        <ns0:v>194.4</ns0:v>
      </ns0:c>
      <ns0:c r="D328" s="16">
        <ns0:f>A328*('前提と出典'!$C$36*'契約別単価'!C5+'前提と出典'!$C$37*'契約別単価'!C6+'前提と出典'!$C$38*'契約別単価'!C7)</ns0:f>
        <ns0:v>2331.3519553072624</ns0:v>
      </ns0:c>
      <ns0:c r="E328" s="16">
        <ns0:f>A328*('前提と出典'!$C$36*'契約別単価'!E5+'前提と出典'!$C$37*'契約別単価'!E6+'前提と出典'!$C$38*'契約別単価'!E7)</ns0:f>
        <ns0:v>814494.8271300559</ns0:v>
      </ns0:c>
      <ns0:c r="F328" s="16">
        <ns0:f>A328*('前提と出典'!$C$36*'契約別単価'!F5+'前提と出典'!$C$37*'契約別単価'!F6+'前提と出典'!$C$38*'契約別単価'!F7)</ns0:f>
        <ns0:v>236671.37707532843</ns0:v>
      </ns0:c>
      <ns0:c r="G328" s="16">
        <ns0:f>A328*('前提と出典'!$C$36*'契約別単価'!G5+'前提と出典'!$C$37*'契約別単価'!G6+'前提と出典'!$C$38*'契約別単価'!G7)</ns0:f>
        <ns0:v>644922.905027933</ns0:v>
      </ns0:c>
      <ns0:c r="H328" s="16">
        <ns0:f>A328*('前提と出典'!$C$36*'契約別単価'!H5+'前提と出典'!$C$37*'契約別単価'!H6+'前提と出典'!$C$38*'契約別単価'!H7)</ns0:f>
        <ns0:v>223820.59347014397</ns0:v>
      </ns0:c>
      <ns0:c r="I328" s="16">
        <ns0:f>A328*('前提と出典'!$C$36*'契約別単価'!I5+'前提と出典'!$C$37*'契約別単価'!I6+'前提と出典'!$C$38*'契約別単価'!I7)</ns0:f>
        <ns0:v>13671.35195530726</ns0:v>
      </ns0:c>
      <ns0:c r="J328" s="16">
        <ns0:f>A328*('前提と出典'!$C$36*'契約別単価'!J5+'前提と出典'!$C$37*'契約別単価'!J6+'前提と出典'!$C$38*'契約別単価'!J7)</ns0:f>
        <ns0:v>31845.81216213803</ns0:v>
      </ns0:c>
      <ns0:c r="K328" s="16">
        <ns0:f>A328*('前提と出典'!$C$36*'契約別単価'!K5+'前提と出典'!$C$37*'契約別単価'!K6+'前提と出典'!$C$38*'契約別単価'!K7)</ns0:f>
        <ns0:v>136502.34636871508</ns0:v>
      </ns0:c>
      <ns0:c r="L328" s="16">
        <ns0:f>A328*('前提と出典'!$C$36*'契約別単価'!L5+'前提と出典'!$C$37*'契約別単価'!L6+'前提と出典'!$C$38*'契約別単価'!L7)</ns0:f>
        <ns0:v>111140.68644900479</ns0:v>
      </ns0:c>
      <ns0:c r="M328" s="16">
        <ns0:f>IF(('前提と出典'!$C$36+'前提と出典'!$C$38)=0,0,IF(B328&lt;=10,'前提と出典'!B73+'前提と出典'!C73,IF(B328&lt;=100,'前提と出典'!B74+'前提と出典'!C74,IF(B328&lt;=500,'前提と出典'!B75+'前提と出典'!C75,'前提と出典'!B76+'前提と出典'!C76))))</ns0:f>
        <ns0:v>40000</ns0:v>
      </ns0:c>
      <ns0:c r="N328" s="16">
        <ns0:f>IF(('前提と出典'!$C$37+'前提と出典'!$C$38)=0,0,IF(C328&lt;=10,'前提と出典'!D73+'前提と出典'!E73,IF(C328&lt;=100,'前提と出典'!D74+'前提と出典'!E74,IF(C328&lt;=500,'前提と出典'!D75+'前提と出典'!E75,'前提と出典'!D76+'前提と出典'!E76))))</ns0:f>
        <ns0:v>56510.9346263078</ns0:v>
      </ns0:c>
      <ns0:c r="O328" s="16">
        <ns0:f>IF('前提と出典'!$C$36+'前提と出典'!$C$38=0,0,'前提と出典'!$B$4*IF('前提と出典'!$B$20=0,MAX('前提と出典'!$B$6,D328*'前提と出典'!$B$5),'前提と出典'!$B$6+D328*'前提と出典'!$B$5))</ns0:f>
        <ns0:v>321726.5698324022</ns0:v>
      </ns0:c>
      <ns0:c r="P328" s="16">
        <ns0:f>(E328+G328)*(1-'前提と出典'!$B$7)-I328-K328-M328-O328</ns0:f>
        <ns0:v>894978.4256438768</ns0:v>
      </ns0:c>
      <ns0:c r="Q328" s="16">
        <ns0:f>(F328+H328)*(1-'前提と出典'!$B$7)-J328-L328-N328</ns0:f>
        <ns0:v>244416.82636838476</ns0:v>
      </ns0:c>
      <ns0:c r="R328" s="16">
        <ns0:f>P328-E328*'前提と出典'!$E$4</ns0:f>
        <ns0:v>650629.9775048601</ns0:v>
      </ns0:c>
      <ns0:c r="S328" s="16">
        <ns0:f>Q328-F328*'前提と出典'!$E$4</ns0:f>
        <ns0:v>173415.4132457862</ns0:v>
      </ns0:c>
      <ns0:c r="T328" s="7">
        <ns0:f>R328+S328</ns0:f>
        <ns0:v>824045.3907506464</ns0:v>
      </ns0:c>
      <ns0:c r="U328" s="16">
        <ns0:f>P328-E328*'前提と出典'!$E$5</ns0:f>
        <ns0:v>569180.4947918544</ns0:v>
      </ns0:c>
      <ns0:c r="V328" s="16">
        <ns0:f>Q328-F328*'前提と出典'!$E$5</ns0:f>
        <ns0:v>149748.27553825337</ns0:v>
      </ns0:c>
      <ns0:c r="W328" s="7">
        <ns0:f>U328+V328</ns0:f>
        <ns0:v>718928.7703301078</ns0:v>
      </ns0:c>
      <ns0:c r="X328" s="16">
        <ns0:f>P328-E328*'前提と出典'!$E$6</ns0:f>
        <ns0:v>487731.0120788487</ns0:v>
      </ns0:c>
      <ns0:c r="Y328" s="16">
        <ns0:f>Q328-F328*'前提と出典'!$E$6</ns0:f>
        <ns0:v>126081.13783072052</ns0:v>
      </ns0:c>
      <ns0:c r="Z328" s="7">
        <ns0:f>X328+Y328</ns0:f>
        <ns0:v>613812.1499095692</ns0:v>
      </ns0:c>
      <ns0:c r="AA328" s="7">
        <ns0:f>IF(T328&gt;=0,A328,1001)</ns0:f>
        <ns0:v>324</ns0:v>
      </ns0:c>
      <ns0:c r="AB328" s="7">
        <ns0:f>IF(T328&lt;0,A328,0)</ns0:f>
        <ns0:v>0</ns0:v>
      </ns0:c>
      <ns0:c r="AC328" s="16">
        <ns0:f>IF(AND(OR('前提と出典'!$C$36+'前提と出典'!$C$38=0,R328&gt;=0),OR('前提と出典'!$C$37+'前提と出典'!$C$38=0,S328&gt;=0)),0,A328)</ns0:f>
        <ns0:v>0</ns0:v>
      </ns0:c>
      <ns0:c r="AD328" s="7">
        <ns0:f>IF(W328&gt;=0,A328,1001)</ns0:f>
        <ns0:v>324</ns0:v>
      </ns0:c>
      <ns0:c r="AE328" s="7">
        <ns0:f>IF(W328&lt;0,A328,0)</ns0:f>
        <ns0:v>0</ns0:v>
      </ns0:c>
      <ns0:c r="AF328" s="16">
        <ns0:f>IF(AND(OR('前提と出典'!$C$36+'前提と出典'!$C$38=0,U328&gt;=0),OR('前提と出典'!$C$37+'前提と出典'!$C$38=0,V328&gt;=0)),0,A328)</ns0:f>
        <ns0:v>0</ns0:v>
      </ns0:c>
      <ns0:c r="AG328" s="7">
        <ns0:f>IF(Z328&gt;=0,A328,1001)</ns0:f>
        <ns0:v>324</ns0:v>
      </ns0:c>
      <ns0:c r="AH328" s="4">
        <ns0:f>IF(Z328&lt;0,A328,0)</ns0:f>
        <ns0:v>0</ns0:v>
      </ns0:c>
      <ns0:c r="AI328" s="12">
        <ns0:f>IF(AND(OR('前提と出典'!$C$36+'前提と出典'!$C$38=0,X328&gt;=0),OR('前提と出典'!$C$37+'前提と出典'!$C$38=0,Y328&gt;=0)),0,A328)</ns0:f>
        <ns0:v>0</ns0:v>
      </ns0:c>
    </ns0:row>
    <ns0:row r="329" ht="24" customHeight="1">
      <ns0:c r="A329" s="4" t="n">
        <ns0:v>325</ns0:v>
      </ns0:c>
      <ns0:c r="B329" s="12">
        <ns0:f>A329*('前提と出典'!$C$36+'前提と出典'!$C$38)</ns0:f>
        <ns0:v>227.49999999999997</ns0:v>
      </ns0:c>
      <ns0:c r="C329" s="12">
        <ns0:f>A329*('前提と出典'!$C$37+'前提と出典'!$C$38)</ns0:f>
        <ns0:v>195</ns0:v>
      </ns0:c>
      <ns0:c r="D329" s="16">
        <ns0:f>A329*('前提と出典'!$C$36*'契約別単価'!C5+'前提と出典'!$C$37*'契約別単価'!C6+'前提と出典'!$C$38*'契約別単価'!C7)</ns0:f>
        <ns0:v>2338.5474860335194</ns0:v>
      </ns0:c>
      <ns0:c r="E329" s="16">
        <ns0:f>A329*('前提と出典'!$C$36*'契約別単価'!E5+'前提と出典'!$C$37*'契約別単価'!E6+'前提と出典'!$C$38*'契約別単価'!E7)</ns0:f>
        <ns0:v>817008.7000532968</ns0:v>
      </ns0:c>
      <ns0:c r="F329" s="16">
        <ns0:f>A329*('前提と出典'!$C$36*'契約別単価'!F5+'前提と出典'!$C$37*'契約別単価'!F6+'前提と出典'!$C$38*'契約別単価'!F7)</ns0:f>
        <ns0:v>237401.8442885239</ns0:v>
      </ns0:c>
      <ns0:c r="G329" s="16">
        <ns0:f>A329*('前提と出典'!$C$36*'契約別単価'!G5+'前提と出典'!$C$37*'契約別単価'!G6+'前提と出典'!$C$38*'契約別単価'!G7)</ns0:f>
        <ns0:v>646913.4078212291</ns0:v>
      </ns0:c>
      <ns0:c r="H329" s="16">
        <ns0:f>A329*('前提と出典'!$C$36*'契約別単価'!H5+'前提と出典'!$C$37*'契約別単価'!H6+'前提と出典'!$C$38*'契約別単価'!H7)</ns0:f>
        <ns0:v>224511.39777097775</ns0:v>
      </ns0:c>
      <ns0:c r="I329" s="16">
        <ns0:f>A329*('前提と出典'!$C$36*'契約別単価'!I5+'前提と出典'!$C$37*'契約別単価'!I6+'前提と出典'!$C$38*'契約別単価'!I7)</ns0:f>
        <ns0:v>13713.547486033518</ns0:v>
      </ns0:c>
      <ns0:c r="J329" s="16">
        <ns0:f>A329*('前提と出典'!$C$36*'契約別単価'!J5+'前提と出典'!$C$37*'契約別単価'!J6+'前提と出典'!$C$38*'契約別単価'!J7)</ns0:f>
        <ns0:v>31944.101705848334</ns0:v>
      </ns0:c>
      <ns0:c r="K329" s="16">
        <ns0:f>A329*('前提と出典'!$C$36*'契約別単価'!K5+'前提と出典'!$C$37*'契約別単価'!K6+'前提と出典'!$C$38*'契約別単価'!K7)</ns0:f>
        <ns0:v>136923.64990689012</ns0:v>
      </ns0:c>
      <ns0:c r="L329" s="16">
        <ns0:f>A329*('前提と出典'!$C$36*'契約別単価'!L5+'前提と出典'!$C$37*'契約別単価'!L6+'前提と出典'!$C$38*'契約別単価'!L7)</ns0:f>
        <ns0:v>111483.7132590326</ns0:v>
      </ns0:c>
      <ns0:c r="M329" s="16">
        <ns0:f>IF(('前提と出典'!$C$36+'前提と出典'!$C$38)=0,0,IF(B329&lt;=10,'前提と出典'!B73+'前提と出典'!C73,IF(B329&lt;=100,'前提と出典'!B74+'前提と出典'!C74,IF(B329&lt;=500,'前提と出典'!B75+'前提と出典'!C75,'前提と出典'!B76+'前提と出典'!C76))))</ns0:f>
        <ns0:v>40000</ns0:v>
      </ns0:c>
      <ns0:c r="N329" s="16">
        <ns0:f>IF(('前提と出典'!$C$37+'前提と出典'!$C$38)=0,0,IF(C329&lt;=10,'前提と出典'!D73+'前提と出典'!E73,IF(C329&lt;=100,'前提と出典'!D74+'前提と出典'!E74,IF(C329&lt;=500,'前提と出典'!D75+'前提と出典'!E75,'前提と出典'!D76+'前提と出典'!E76))))</ns0:f>
        <ns0:v>56510.9346263078</ns0:v>
      </ns0:c>
      <ns0:c r="O329" s="16">
        <ns0:f>IF('前提と出典'!$C$36+'前提と出典'!$C$38=0,0,'前提と出典'!$B$4*IF('前提と出典'!$B$20=0,MAX('前提と出典'!$B$6,D329*'前提と出典'!$B$5),'前提と出典'!$B$6+D329*'前提と出典'!$B$5))</ns0:f>
        <ns0:v>322719.55307262565</ns0:v>
      </ns0:c>
      <ns0:c r="P329" s="16">
        <ns0:f>(E329+G329)*(1-'前提と出典'!$B$7)-I329-K329-M329-O329</ns0:f>
        <ns0:v>897864.1615254935</ns0:v>
      </ns0:c>
      <ns0:c r="Q329" s="16">
        <ns0:f>(F329+H329)*(1-'前提と出典'!$B$7)-J329-L329-N329</ns0:f>
        <ns0:v>245345.61575417087</ns0:v>
      </ns0:c>
      <ns0:c r="R329" s="16">
        <ns0:f>P329-E329*'前提と出典'!$E$4</ns0:f>
        <ns0:v>652761.5515095044</ns0:v>
      </ns0:c>
      <ns0:c r="S329" s="16">
        <ns0:f>Q329-F329*'前提と出典'!$E$4</ns0:f>
        <ns0:v>174125.06246761372</ns0:v>
      </ns0:c>
      <ns0:c r="T329" s="7">
        <ns0:f>R329+S329</ns0:f>
        <ns0:v>826886.6139771182</ns0:v>
      </ns0:c>
      <ns0:c r="U329" s="16">
        <ns0:f>P329-E329*'前提と出典'!$E$5</ns0:f>
        <ns0:v>571060.6815041748</ns0:v>
      </ns0:c>
      <ns0:c r="V329" s="16">
        <ns0:f>Q329-F329*'前提と出典'!$E$5</ns0:f>
        <ns0:v>150384.87803876132</ns0:v>
      </ns0:c>
      <ns0:c r="W329" s="7">
        <ns0:f>U329+V329</ns0:f>
        <ns0:v>721445.5595429362</ns0:v>
      </ns0:c>
      <ns0:c r="X329" s="16">
        <ns0:f>P329-E329*'前提と出典'!$E$6</ns0:f>
        <ns0:v>489359.811498845</ns0:v>
      </ns0:c>
      <ns0:c r="Y329" s="16">
        <ns0:f>Q329-F329*'前提と出典'!$E$6</ns0:f>
        <ns0:v>126644.69360990892</ns0:v>
      </ns0:c>
      <ns0:c r="Z329" s="7">
        <ns0:f>X329+Y329</ns0:f>
        <ns0:v>616004.5051087539</ns0:v>
      </ns0:c>
      <ns0:c r="AA329" s="7">
        <ns0:f>IF(T329&gt;=0,A329,1001)</ns0:f>
        <ns0:v>325</ns0:v>
      </ns0:c>
      <ns0:c r="AB329" s="7">
        <ns0:f>IF(T329&lt;0,A329,0)</ns0:f>
        <ns0:v>0</ns0:v>
      </ns0:c>
      <ns0:c r="AC329" s="16">
        <ns0:f>IF(AND(OR('前提と出典'!$C$36+'前提と出典'!$C$38=0,R329&gt;=0),OR('前提と出典'!$C$37+'前提と出典'!$C$38=0,S329&gt;=0)),0,A329)</ns0:f>
        <ns0:v>0</ns0:v>
      </ns0:c>
      <ns0:c r="AD329" s="7">
        <ns0:f>IF(W329&gt;=0,A329,1001)</ns0:f>
        <ns0:v>325</ns0:v>
      </ns0:c>
      <ns0:c r="AE329" s="7">
        <ns0:f>IF(W329&lt;0,A329,0)</ns0:f>
        <ns0:v>0</ns0:v>
      </ns0:c>
      <ns0:c r="AF329" s="16">
        <ns0:f>IF(AND(OR('前提と出典'!$C$36+'前提と出典'!$C$38=0,U329&gt;=0),OR('前提と出典'!$C$37+'前提と出典'!$C$38=0,V329&gt;=0)),0,A329)</ns0:f>
        <ns0:v>0</ns0:v>
      </ns0:c>
      <ns0:c r="AG329" s="7">
        <ns0:f>IF(Z329&gt;=0,A329,1001)</ns0:f>
        <ns0:v>325</ns0:v>
      </ns0:c>
      <ns0:c r="AH329" s="4">
        <ns0:f>IF(Z329&lt;0,A329,0)</ns0:f>
        <ns0:v>0</ns0:v>
      </ns0:c>
      <ns0:c r="AI329" s="12">
        <ns0:f>IF(AND(OR('前提と出典'!$C$36+'前提と出典'!$C$38=0,X329&gt;=0),OR('前提と出典'!$C$37+'前提と出典'!$C$38=0,Y329&gt;=0)),0,A329)</ns0:f>
        <ns0:v>0</ns0:v>
      </ns0:c>
    </ns0:row>
    <ns0:row r="330" ht="24" customHeight="1">
      <ns0:c r="A330" s="4" t="n">
        <ns0:v>326</ns0:v>
      </ns0:c>
      <ns0:c r="B330" s="12">
        <ns0:f>A330*('前提と出典'!$C$36+'前提と出典'!$C$38)</ns0:f>
        <ns0:v>228.2</ns0:v>
      </ns0:c>
      <ns0:c r="C330" s="12">
        <ns0:f>A330*('前提と出典'!$C$37+'前提と出典'!$C$38)</ns0:f>
        <ns0:v>195.6</ns0:v>
      </ns0:c>
      <ns0:c r="D330" s="16">
        <ns0:f>A330*('前提と出典'!$C$36*'契約別単価'!C5+'前提と出典'!$C$37*'契約別単価'!C6+'前提と出典'!$C$38*'契約別単価'!C7)</ns0:f>
        <ns0:v>2345.7430167597763</ns0:v>
      </ns0:c>
      <ns0:c r="E330" s="16">
        <ns0:f>A330*('前提と出典'!$C$36*'契約別単価'!E5+'前提と出典'!$C$37*'契約別単価'!E6+'前提と出典'!$C$38*'契約別単価'!E7)</ns0:f>
        <ns0:v>819522.5729765377</ns0:v>
      </ns0:c>
      <ns0:c r="F330" s="16">
        <ns0:f>A330*('前提と出典'!$C$36*'契約別単価'!F5+'前提と出典'!$C$37*'契約別単価'!F6+'前提と出典'!$C$38*'契約別単価'!F7)</ns0:f>
        <ns0:v>238132.31150171935</ns0:v>
      </ns0:c>
      <ns0:c r="G330" s="16">
        <ns0:f>A330*('前提と出典'!$C$36*'契約別単価'!G5+'前提と出典'!$C$37*'契約別単価'!G6+'前提と出典'!$C$38*'契約別単価'!G7)</ns0:f>
        <ns0:v>648903.9106145251</ns0:v>
      </ns0:c>
      <ns0:c r="H330" s="16">
        <ns0:f>A330*('前提と出典'!$C$36*'契約別単価'!H5+'前提と出典'!$C$37*'契約別単価'!H6+'前提と出典'!$C$38*'契約別単価'!H7)</ns0:f>
        <ns0:v>225202.20207181154</ns0:v>
      </ns0:c>
      <ns0:c r="I330" s="16">
        <ns0:f>A330*('前提と出典'!$C$36*'契約別単価'!I5+'前提と出典'!$C$37*'契約別単価'!I6+'前提と出典'!$C$38*'契約別単価'!I7)</ns0:f>
        <ns0:v>13755.743016759774</ns0:v>
      </ns0:c>
      <ns0:c r="J330" s="16">
        <ns0:f>A330*('前提と出典'!$C$36*'契約別単価'!J5+'前提と出典'!$C$37*'契約別単価'!J6+'前提と出典'!$C$38*'契約別単価'!J7)</ns0:f>
        <ns0:v>32042.391249558637</ns0:v>
      </ns0:c>
      <ns0:c r="K330" s="16">
        <ns0:f>A330*('前提と出典'!$C$36*'契約別単価'!K5+'前提と出典'!$C$37*'契約別単価'!K6+'前提と出典'!$C$38*'契約別単価'!K7)</ns0:f>
        <ns0:v>137344.95344506516</ns0:v>
      </ns0:c>
      <ns0:c r="L330" s="16">
        <ns0:f>A330*('前提と出典'!$C$36*'契約別単価'!L5+'前提と出典'!$C$37*'契約別単価'!L6+'前提と出典'!$C$38*'契約別単価'!L7)</ns0:f>
        <ns0:v>111826.74006906038</ns0:v>
      </ns0:c>
      <ns0:c r="M330" s="16">
        <ns0:f>IF(('前提と出典'!$C$36+'前提と出典'!$C$38)=0,0,IF(B330&lt;=10,'前提と出典'!B73+'前提と出典'!C73,IF(B330&lt;=100,'前提と出典'!B74+'前提と出典'!C74,IF(B330&lt;=500,'前提と出典'!B75+'前提と出典'!C75,'前提と出典'!B76+'前提と出典'!C76))))</ns0:f>
        <ns0:v>40000</ns0:v>
      </ns0:c>
      <ns0:c r="N330" s="16">
        <ns0:f>IF(('前提と出典'!$C$37+'前提と出典'!$C$38)=0,0,IF(C330&lt;=10,'前提と出典'!D73+'前提と出典'!E73,IF(C330&lt;=100,'前提と出典'!D74+'前提と出典'!E74,IF(C330&lt;=500,'前提と出典'!D75+'前提と出典'!E75,'前提と出典'!D76+'前提と出典'!E76))))</ns0:f>
        <ns0:v>56510.9346263078</ns0:v>
      </ns0:c>
      <ns0:c r="O330" s="16">
        <ns0:f>IF('前提と出典'!$C$36+'前提と出典'!$C$38=0,0,'前提と出典'!$B$4*IF('前提と出典'!$B$20=0,MAX('前提と出典'!$B$6,D330*'前提と出典'!$B$5),'前提と出典'!$B$6+D330*'前提と出典'!$B$5))</ns0:f>
        <ns0:v>323712.53631284914</ns0:v>
      </ns0:c>
      <ns0:c r="P330" s="16">
        <ns0:f>(E330+G330)*(1-'前提と出典'!$B$7)-I330-K330-M330-O330</ns0:f>
        <ns0:v>900749.8974071105</ns0:v>
      </ns0:c>
      <ns0:c r="Q330" s="16">
        <ns0:f>(F330+H330)*(1-'前提と出典'!$B$7)-J330-L330-N330</ns0:f>
        <ns0:v>246274.40513995694</ns0:v>
      </ns0:c>
      <ns0:c r="R330" s="16">
        <ns0:f>P330-E330*'前提と出典'!$E$4</ns0:f>
        <ns0:v>654893.1255141492</ns0:v>
      </ns0:c>
      <ns0:c r="S330" s="16">
        <ns0:f>Q330-F330*'前提と出典'!$E$4</ns0:f>
        <ns0:v>174834.71168944114</ns0:v>
      </ns0:c>
      <ns0:c r="T330" s="7">
        <ns0:f>R330+S330</ns0:f>
        <ns0:v>829727.8372035903</ns0:v>
      </ns0:c>
      <ns0:c r="U330" s="16">
        <ns0:f>P330-E330*'前提と出典'!$E$5</ns0:f>
        <ns0:v>572940.8682164955</ns0:v>
      </ns0:c>
      <ns0:c r="V330" s="16">
        <ns0:f>Q330-F330*'前提と出典'!$E$5</ns0:f>
        <ns0:v>151021.4805392692</ns0:v>
      </ns0:c>
      <ns0:c r="W330" s="7">
        <ns0:f>U330+V330</ns0:f>
        <ns0:v>723962.3487557647</ns0:v>
      </ns0:c>
      <ns0:c r="X330" s="16">
        <ns0:f>P330-E330*'前提と出典'!$E$6</ns0:f>
        <ns0:v>490988.6109188417</ns0:v>
      </ns0:c>
      <ns0:c r="Y330" s="16">
        <ns0:f>Q330-F330*'前提と出典'!$E$6</ns0:f>
        <ns0:v>127208.24938909724</ns0:v>
      </ns0:c>
      <ns0:c r="Z330" s="7">
        <ns0:f>X330+Y330</ns0:f>
        <ns0:v>618196.8603079389</ns0:v>
      </ns0:c>
      <ns0:c r="AA330" s="7">
        <ns0:f>IF(T330&gt;=0,A330,1001)</ns0:f>
        <ns0:v>326</ns0:v>
      </ns0:c>
      <ns0:c r="AB330" s="7">
        <ns0:f>IF(T330&lt;0,A330,0)</ns0:f>
        <ns0:v>0</ns0:v>
      </ns0:c>
      <ns0:c r="AC330" s="16">
        <ns0:f>IF(AND(OR('前提と出典'!$C$36+'前提と出典'!$C$38=0,R330&gt;=0),OR('前提と出典'!$C$37+'前提と出典'!$C$38=0,S330&gt;=0)),0,A330)</ns0:f>
        <ns0:v>0</ns0:v>
      </ns0:c>
      <ns0:c r="AD330" s="7">
        <ns0:f>IF(W330&gt;=0,A330,1001)</ns0:f>
        <ns0:v>326</ns0:v>
      </ns0:c>
      <ns0:c r="AE330" s="7">
        <ns0:f>IF(W330&lt;0,A330,0)</ns0:f>
        <ns0:v>0</ns0:v>
      </ns0:c>
      <ns0:c r="AF330" s="16">
        <ns0:f>IF(AND(OR('前提と出典'!$C$36+'前提と出典'!$C$38=0,U330&gt;=0),OR('前提と出典'!$C$37+'前提と出典'!$C$38=0,V330&gt;=0)),0,A330)</ns0:f>
        <ns0:v>0</ns0:v>
      </ns0:c>
      <ns0:c r="AG330" s="7">
        <ns0:f>IF(Z330&gt;=0,A330,1001)</ns0:f>
        <ns0:v>326</ns0:v>
      </ns0:c>
      <ns0:c r="AH330" s="4">
        <ns0:f>IF(Z330&lt;0,A330,0)</ns0:f>
        <ns0:v>0</ns0:v>
      </ns0:c>
      <ns0:c r="AI330" s="12">
        <ns0:f>IF(AND(OR('前提と出典'!$C$36+'前提と出典'!$C$38=0,X330&gt;=0),OR('前提と出典'!$C$37+'前提と出典'!$C$38=0,Y330&gt;=0)),0,A330)</ns0:f>
        <ns0:v>0</ns0:v>
      </ns0:c>
    </ns0:row>
    <ns0:row r="331" ht="24" customHeight="1">
      <ns0:c r="A331" s="4" t="n">
        <ns0:v>327</ns0:v>
      </ns0:c>
      <ns0:c r="B331" s="12">
        <ns0:f>A331*('前提と出典'!$C$36+'前提と出典'!$C$38)</ns0:f>
        <ns0:v>228.89999999999998</ns0:v>
      </ns0:c>
      <ns0:c r="C331" s="12">
        <ns0:f>A331*('前提と出典'!$C$37+'前提と出典'!$C$38)</ns0:f>
        <ns0:v>196.2</ns0:v>
      </ns0:c>
      <ns0:c r="D331" s="16">
        <ns0:f>A331*('前提と出典'!$C$36*'契約別単価'!C5+'前提と出典'!$C$37*'契約別単価'!C6+'前提と出典'!$C$38*'契約別単価'!C7)</ns0:f>
        <ns0:v>2352.9385474860337</ns0:v>
      </ns0:c>
      <ns0:c r="E331" s="16">
        <ns0:f>A331*('前提と出典'!$C$36*'契約別単価'!E5+'前提と出典'!$C$37*'契約別単価'!E6+'前提と出典'!$C$38*'契約別単価'!E7)</ns0:f>
        <ns0:v>822036.4458997786</ns0:v>
      </ns0:c>
      <ns0:c r="F331" s="16">
        <ns0:f>A331*('前提と出典'!$C$36*'契約別単価'!F5+'前提と出典'!$C$37*'契約別単価'!F6+'前提と出典'!$C$38*'契約別単価'!F7)</ns0:f>
        <ns0:v>238862.7787149148</ns0:v>
      </ns0:c>
      <ns0:c r="G331" s="16">
        <ns0:f>A331*('前提と出典'!$C$36*'契約別単価'!G5+'前提と出典'!$C$37*'契約別単価'!G6+'前提と出典'!$C$38*'契約別単価'!G7)</ns0:f>
        <ns0:v>650894.4134078212</ns0:v>
      </ns0:c>
      <ns0:c r="H331" s="16">
        <ns0:f>A331*('前提と出典'!$C$36*'契約別単価'!H5+'前提と出典'!$C$37*'契約別単価'!H6+'前提と出典'!$C$38*'契約別単価'!H7)</ns0:f>
        <ns0:v>225893.0063726453</ns0:v>
      </ns0:c>
      <ns0:c r="I331" s="16">
        <ns0:f>A331*('前提と出典'!$C$36*'契約別単価'!I5+'前提と出典'!$C$37*'契約別単価'!I6+'前提と出典'!$C$38*'契約別単価'!I7)</ns0:f>
        <ns0:v>13797.938547486032</ns0:v>
      </ns0:c>
      <ns0:c r="J331" s="16">
        <ns0:f>A331*('前提と出典'!$C$36*'契約別単価'!J5+'前提と出典'!$C$37*'契約別単価'!J6+'前提と出典'!$C$38*'契約別単価'!J7)</ns0:f>
        <ns0:v>32140.68079326894</ns0:v>
      </ns0:c>
      <ns0:c r="K331" s="16">
        <ns0:f>A331*('前提と出典'!$C$36*'契約別単価'!K5+'前提と出典'!$C$37*'契約別単価'!K6+'前提と出典'!$C$38*'契約別単価'!K7)</ns0:f>
        <ns0:v>137766.25698324022</ns0:v>
      </ns0:c>
      <ns0:c r="L331" s="16">
        <ns0:f>A331*('前提と出典'!$C$36*'契約別単価'!L5+'前提と出典'!$C$37*'契約別単価'!L6+'前提と出典'!$C$38*'契約別単価'!L7)</ns0:f>
        <ns0:v>112169.76687908817</ns0:v>
      </ns0:c>
      <ns0:c r="M331" s="16">
        <ns0:f>IF(('前提と出典'!$C$36+'前提と出典'!$C$38)=0,0,IF(B331&lt;=10,'前提と出典'!B73+'前提と出典'!C73,IF(B331&lt;=100,'前提と出典'!B74+'前提と出典'!C74,IF(B331&lt;=500,'前提と出典'!B75+'前提と出典'!C75,'前提と出典'!B76+'前提と出典'!C76))))</ns0:f>
        <ns0:v>40000</ns0:v>
      </ns0:c>
      <ns0:c r="N331" s="16">
        <ns0:f>IF(('前提と出典'!$C$37+'前提と出典'!$C$38)=0,0,IF(C331&lt;=10,'前提と出典'!D73+'前提と出典'!E73,IF(C331&lt;=100,'前提と出典'!D74+'前提と出典'!E74,IF(C331&lt;=500,'前提と出典'!D75+'前提と出典'!E75,'前提と出典'!D76+'前提と出典'!E76))))</ns0:f>
        <ns0:v>56510.9346263078</ns0:v>
      </ns0:c>
      <ns0:c r="O331" s="16">
        <ns0:f>IF('前提と出典'!$C$36+'前提と出典'!$C$38=0,0,'前提と出典'!$B$4*IF('前提と出典'!$B$20=0,MAX('前提と出典'!$B$6,D331*'前提と出典'!$B$5),'前提と出典'!$B$6+D331*'前提と出典'!$B$5))</ns0:f>
        <ns0:v>324705.5195530727</ns0:v>
      </ns0:c>
      <ns0:c r="P331" s="16">
        <ns0:f>(E331+G331)*(1-'前提と出典'!$B$7)-I331-K331-M331-O331</ns0:f>
        <ns0:v>903635.6332887274</ns0:v>
      </ns0:c>
      <ns0:c r="Q331" s="16">
        <ns0:f>(F331+H331)*(1-'前提と出典'!$B$7)-J331-L331-N331</ns0:f>
        <ns0:v>247203.194525743</ns0:v>
      </ns0:c>
      <ns0:c r="R331" s="16">
        <ns0:f>P331-E331*'前提と出典'!$E$4</ns0:f>
        <ns0:v>657024.6995187937</ns0:v>
      </ns0:c>
      <ns0:c r="S331" s="16">
        <ns0:f>Q331-F331*'前提と出典'!$E$4</ns0:f>
        <ns0:v>175544.3609112685</ns0:v>
      </ns0:c>
      <ns0:c r="T331" s="7">
        <ns0:f>R331+S331</ns0:f>
        <ns0:v>832569.0604300622</ns0:v>
      </ns0:c>
      <ns0:c r="U331" s="16">
        <ns0:f>P331-E331*'前提と出典'!$E$5</ns0:f>
        <ns0:v>574821.0549288159</ns0:v>
      </ns0:c>
      <ns0:c r="V331" s="16">
        <ns0:f>Q331-F331*'前提と出典'!$E$5</ns0:f>
        <ns0:v>151658.08303977706</ns0:v>
      </ns0:c>
      <ns0:c r="W331" s="7">
        <ns0:f>U331+V331</ns0:f>
        <ns0:v>726479.137968593</ns0:v>
      </ns0:c>
      <ns0:c r="X331" s="16">
        <ns0:f>P331-E331*'前提と出典'!$E$6</ns0:f>
        <ns0:v>492617.4103388378</ns0:v>
      </ns0:c>
      <ns0:c r="Y331" s="16">
        <ns0:f>Q331-F331*'前提と出典'!$E$6</ns0:f>
        <ns0:v>127771.80516828556</ns0:v>
      </ns0:c>
      <ns0:c r="Z331" s="7">
        <ns0:f>X331+Y331</ns0:f>
        <ns0:v>620389.2155071234</ns0:v>
      </ns0:c>
      <ns0:c r="AA331" s="7">
        <ns0:f>IF(T331&gt;=0,A331,1001)</ns0:f>
        <ns0:v>327</ns0:v>
      </ns0:c>
      <ns0:c r="AB331" s="7">
        <ns0:f>IF(T331&lt;0,A331,0)</ns0:f>
        <ns0:v>0</ns0:v>
      </ns0:c>
      <ns0:c r="AC331" s="16">
        <ns0:f>IF(AND(OR('前提と出典'!$C$36+'前提と出典'!$C$38=0,R331&gt;=0),OR('前提と出典'!$C$37+'前提と出典'!$C$38=0,S331&gt;=0)),0,A331)</ns0:f>
        <ns0:v>0</ns0:v>
      </ns0:c>
      <ns0:c r="AD331" s="7">
        <ns0:f>IF(W331&gt;=0,A331,1001)</ns0:f>
        <ns0:v>327</ns0:v>
      </ns0:c>
      <ns0:c r="AE331" s="7">
        <ns0:f>IF(W331&lt;0,A331,0)</ns0:f>
        <ns0:v>0</ns0:v>
      </ns0:c>
      <ns0:c r="AF331" s="16">
        <ns0:f>IF(AND(OR('前提と出典'!$C$36+'前提と出典'!$C$38=0,U331&gt;=0),OR('前提と出典'!$C$37+'前提と出典'!$C$38=0,V331&gt;=0)),0,A331)</ns0:f>
        <ns0:v>0</ns0:v>
      </ns0:c>
      <ns0:c r="AG331" s="7">
        <ns0:f>IF(Z331&gt;=0,A331,1001)</ns0:f>
        <ns0:v>327</ns0:v>
      </ns0:c>
      <ns0:c r="AH331" s="4">
        <ns0:f>IF(Z331&lt;0,A331,0)</ns0:f>
        <ns0:v>0</ns0:v>
      </ns0:c>
      <ns0:c r="AI331" s="12">
        <ns0:f>IF(AND(OR('前提と出典'!$C$36+'前提と出典'!$C$38=0,X331&gt;=0),OR('前提と出典'!$C$37+'前提と出典'!$C$38=0,Y331&gt;=0)),0,A331)</ns0:f>
        <ns0:v>0</ns0:v>
      </ns0:c>
    </ns0:row>
    <ns0:row r="332" ht="24" customHeight="1">
      <ns0:c r="A332" s="4" t="n">
        <ns0:v>328</ns0:v>
      </ns0:c>
      <ns0:c r="B332" s="12">
        <ns0:f>A332*('前提と出典'!$C$36+'前提と出典'!$C$38)</ns0:f>
        <ns0:v>229.6</ns0:v>
      </ns0:c>
      <ns0:c r="C332" s="12">
        <ns0:f>A332*('前提と出典'!$C$37+'前提と出典'!$C$38)</ns0:f>
        <ns0:v>196.79999999999998</ns0:v>
      </ns0:c>
      <ns0:c r="D332" s="16">
        <ns0:f>A332*('前提と出典'!$C$36*'契約別単価'!C5+'前提と出典'!$C$37*'契約別単価'!C6+'前提と出典'!$C$38*'契約別単価'!C7)</ns0:f>
        <ns0:v>2360.1340782122907</ns0:v>
      </ns0:c>
      <ns0:c r="E332" s="16">
        <ns0:f>A332*('前提と出典'!$C$36*'契約別単価'!E5+'前提と出典'!$C$37*'契約別単価'!E6+'前提と出典'!$C$38*'契約別単価'!E7)</ns0:f>
        <ns0:v>824550.3188230195</ns0:v>
      </ns0:c>
      <ns0:c r="F332" s="16">
        <ns0:f>A332*('前提と出典'!$C$36*'契約別単価'!F5+'前提と出典'!$C$37*'契約別単価'!F6+'前提と出典'!$C$38*'契約別単価'!F7)</ns0:f>
        <ns0:v>239593.24592811026</ns0:v>
      </ns0:c>
      <ns0:c r="G332" s="16">
        <ns0:f>A332*('前提と出典'!$C$36*'契約別単価'!G5+'前提と出典'!$C$37*'契約別単価'!G6+'前提と出典'!$C$38*'契約別単価'!G7)</ns0:f>
        <ns0:v>652884.9162011173</ns0:v>
      </ns0:c>
      <ns0:c r="H332" s="16">
        <ns0:f>A332*('前提と出典'!$C$36*'契約別単価'!H5+'前提と出典'!$C$37*'契約別単価'!H6+'前提と出典'!$C$38*'契約別単価'!H7)</ns0:f>
        <ns0:v>226583.81067347908</ns0:v>
      </ns0:c>
      <ns0:c r="I332" s="16">
        <ns0:f>A332*('前提と出典'!$C$36*'契約別単価'!I5+'前提と出典'!$C$37*'契約別単価'!I6+'前提と出典'!$C$38*'契約別単価'!I7)</ns0:f>
        <ns0:v>13840.134078212288</ns0:v>
      </ns0:c>
      <ns0:c r="J332" s="16">
        <ns0:f>A332*('前提と出典'!$C$36*'契約別単価'!J5+'前提と出典'!$C$37*'契約別単価'!J6+'前提と出典'!$C$38*'契約別単価'!J7)</ns0:f>
        <ns0:v>32238.97033697924</ns0:v>
      </ns0:c>
      <ns0:c r="K332" s="16">
        <ns0:f>A332*('前提と出典'!$C$36*'契約別単価'!K5+'前提と出典'!$C$37*'契約別単価'!K6+'前提と出典'!$C$38*'契約別単価'!K7)</ns0:f>
        <ns0:v>138187.56052141526</ns0:v>
      </ns0:c>
      <ns0:c r="L332" s="16">
        <ns0:f>A332*('前提と出典'!$C$36*'契約別単価'!L5+'前提と出典'!$C$37*'契約別単価'!L6+'前提と出典'!$C$38*'契約別単価'!L7)</ns0:f>
        <ns0:v>112512.79368911596</ns0:v>
      </ns0:c>
      <ns0:c r="M332" s="16">
        <ns0:f>IF(('前提と出典'!$C$36+'前提と出典'!$C$38)=0,0,IF(B332&lt;=10,'前提と出典'!B73+'前提と出典'!C73,IF(B332&lt;=100,'前提と出典'!B74+'前提と出典'!C74,IF(B332&lt;=500,'前提と出典'!B75+'前提と出典'!C75,'前提と出典'!B76+'前提と出典'!C76))))</ns0:f>
        <ns0:v>40000</ns0:v>
      </ns0:c>
      <ns0:c r="N332" s="16">
        <ns0:f>IF(('前提と出典'!$C$37+'前提と出典'!$C$38)=0,0,IF(C332&lt;=10,'前提と出典'!D73+'前提と出典'!E73,IF(C332&lt;=100,'前提と出典'!D74+'前提と出典'!E74,IF(C332&lt;=500,'前提と出典'!D75+'前提と出典'!E75,'前提と出典'!D76+'前提と出典'!E76))))</ns0:f>
        <ns0:v>56510.9346263078</ns0:v>
      </ns0:c>
      <ns0:c r="O332" s="16">
        <ns0:f>IF('前提と出典'!$C$36+'前提と出典'!$C$38=0,0,'前提と出典'!$B$4*IF('前提と出典'!$B$20=0,MAX('前提と出典'!$B$6,D332*'前提と出典'!$B$5),'前提と出典'!$B$6+D332*'前提と出典'!$B$5))</ns0:f>
        <ns0:v>325698.5027932961</ns0:v>
      </ns0:c>
      <ns0:c r="P332" s="16">
        <ns0:f>(E332+G332)*(1-'前提と出典'!$B$7)-I332-K332-M332-O332</ns0:f>
        <ns0:v>906521.3691703443</ns0:v>
      </ns0:c>
      <ns0:c r="Q332" s="16">
        <ns0:f>(F332+H332)*(1-'前提と出典'!$B$7)-J332-L332-N332</ns0:f>
        <ns0:v>248131.98391152907</ns0:v>
      </ns0:c>
      <ns0:c r="R332" s="16">
        <ns0:f>P332-E332*'前提と出典'!$E$4</ns0:f>
        <ns0:v>659156.2735234386</ns0:v>
      </ns0:c>
      <ns0:c r="S332" s="16">
        <ns0:f>Q332-F332*'前提と出典'!$E$4</ns0:f>
        <ns0:v>176254.01013309602</ns0:v>
      </ns0:c>
      <ns0:c r="T332" s="7">
        <ns0:f>R332+S332</ns0:f>
        <ns0:v>835410.2836565346</ns0:v>
      </ns0:c>
      <ns0:c r="U332" s="16">
        <ns0:f>P332-E332*'前提と出典'!$E$5</ns0:f>
        <ns0:v>576701.2416411365</ns0:v>
      </ns0:c>
      <ns0:c r="V332" s="16">
        <ns0:f>Q332-F332*'前提と出典'!$E$5</ns0:f>
        <ns0:v>152294.68554028496</ns0:v>
      </ns0:c>
      <ns0:c r="W332" s="7">
        <ns0:f>U332+V332</ns0:f>
        <ns0:v>728995.9271814214</ns0:v>
      </ns0:c>
      <ns0:c r="X332" s="16">
        <ns0:f>P332-E332*'前提と出典'!$E$6</ns0:f>
        <ns0:v>494246.20975883456</ns0:v>
      </ns0:c>
      <ns0:c r="Y332" s="16">
        <ns0:f>Q332-F332*'前提と出典'!$E$6</ns0:f>
        <ns0:v>128335.3609474739</ns0:v>
      </ns0:c>
      <ns0:c r="Z332" s="7">
        <ns0:f>X332+Y332</ns0:f>
        <ns0:v>622581.5707063085</ns0:v>
      </ns0:c>
      <ns0:c r="AA332" s="7">
        <ns0:f>IF(T332&gt;=0,A332,1001)</ns0:f>
        <ns0:v>328</ns0:v>
      </ns0:c>
      <ns0:c r="AB332" s="7">
        <ns0:f>IF(T332&lt;0,A332,0)</ns0:f>
        <ns0:v>0</ns0:v>
      </ns0:c>
      <ns0:c r="AC332" s="16">
        <ns0:f>IF(AND(OR('前提と出典'!$C$36+'前提と出典'!$C$38=0,R332&gt;=0),OR('前提と出典'!$C$37+'前提と出典'!$C$38=0,S332&gt;=0)),0,A332)</ns0:f>
        <ns0:v>0</ns0:v>
      </ns0:c>
      <ns0:c r="AD332" s="7">
        <ns0:f>IF(W332&gt;=0,A332,1001)</ns0:f>
        <ns0:v>328</ns0:v>
      </ns0:c>
      <ns0:c r="AE332" s="7">
        <ns0:f>IF(W332&lt;0,A332,0)</ns0:f>
        <ns0:v>0</ns0:v>
      </ns0:c>
      <ns0:c r="AF332" s="16">
        <ns0:f>IF(AND(OR('前提と出典'!$C$36+'前提と出典'!$C$38=0,U332&gt;=0),OR('前提と出典'!$C$37+'前提と出典'!$C$38=0,V332&gt;=0)),0,A332)</ns0:f>
        <ns0:v>0</ns0:v>
      </ns0:c>
      <ns0:c r="AG332" s="7">
        <ns0:f>IF(Z332&gt;=0,A332,1001)</ns0:f>
        <ns0:v>328</ns0:v>
      </ns0:c>
      <ns0:c r="AH332" s="4">
        <ns0:f>IF(Z332&lt;0,A332,0)</ns0:f>
        <ns0:v>0</ns0:v>
      </ns0:c>
      <ns0:c r="AI332" s="12">
        <ns0:f>IF(AND(OR('前提と出典'!$C$36+'前提と出典'!$C$38=0,X332&gt;=0),OR('前提と出典'!$C$37+'前提と出典'!$C$38=0,Y332&gt;=0)),0,A332)</ns0:f>
        <ns0:v>0</ns0:v>
      </ns0:c>
    </ns0:row>
    <ns0:row r="333" ht="24" customHeight="1">
      <ns0:c r="A333" s="4" t="n">
        <ns0:v>329</ns0:v>
      </ns0:c>
      <ns0:c r="B333" s="12">
        <ns0:f>A333*('前提と出典'!$C$36+'前提と出典'!$C$38)</ns0:f>
        <ns0:v>230.29999999999998</ns0:v>
      </ns0:c>
      <ns0:c r="C333" s="12">
        <ns0:f>A333*('前提と出典'!$C$37+'前提と出典'!$C$38)</ns0:f>
        <ns0:v>197.4</ns0:v>
      </ns0:c>
      <ns0:c r="D333" s="16">
        <ns0:f>A333*('前提と出典'!$C$36*'契約別単価'!C5+'前提と出典'!$C$37*'契約別単価'!C6+'前提と出典'!$C$38*'契約別単価'!C7)</ns0:f>
        <ns0:v>2367.3296089385476</ns0:v>
      </ns0:c>
      <ns0:c r="E333" s="16">
        <ns0:f>A333*('前提と出典'!$C$36*'契約別単価'!E5+'前提と出典'!$C$37*'契約別単価'!E6+'前提と出典'!$C$38*'契約別単価'!E7)</ns0:f>
        <ns0:v>827064.1917462605</ns0:v>
      </ns0:c>
      <ns0:c r="F333" s="16">
        <ns0:f>A333*('前提と出典'!$C$36*'契約別単価'!F5+'前提と出典'!$C$37*'契約別単価'!F6+'前提と出典'!$C$38*'契約別単価'!F7)</ns0:f>
        <ns0:v>240323.71314130572</ns0:v>
      </ns0:c>
      <ns0:c r="G333" s="16">
        <ns0:f>A333*('前提と出典'!$C$36*'契約別単価'!G5+'前提と出典'!$C$37*'契約別単価'!G6+'前提と出典'!$C$38*'契約別単価'!G7)</ns0:f>
        <ns0:v>654875.4189944133</ns0:v>
      </ns0:c>
      <ns0:c r="H333" s="16">
        <ns0:f>A333*('前提と出典'!$C$36*'契約別単価'!H5+'前提と出典'!$C$37*'契約別単価'!H6+'前提と出典'!$C$38*'契約別単価'!H7)</ns0:f>
        <ns0:v>227274.61497431286</ns0:v>
      </ns0:c>
      <ns0:c r="I333" s="16">
        <ns0:f>A333*('前提と出典'!$C$36*'契約別単価'!I5+'前提と出典'!$C$37*'契約別単価'!I6+'前提と出典'!$C$38*'契約別単価'!I7)</ns0:f>
        <ns0:v>13882.329608938546</ns0:v>
      </ns0:c>
      <ns0:c r="J333" s="16">
        <ns0:f>A333*('前提と出典'!$C$36*'契約別単価'!J5+'前提と出典'!$C$37*'契約別単価'!J6+'前提と出典'!$C$38*'契約別単価'!J7)</ns0:f>
        <ns0:v>32337.259880689544</ns0:v>
      </ns0:c>
      <ns0:c r="K333" s="16">
        <ns0:f>A333*('前提と出典'!$C$36*'契約別単価'!K5+'前提と出典'!$C$37*'契約別単価'!K6+'前提と出典'!$C$38*'契約別単価'!K7)</ns0:f>
        <ns0:v>138608.8640595903</ns0:v>
      </ns0:c>
      <ns0:c r="L333" s="16">
        <ns0:f>A333*('前提と出典'!$C$36*'契約別単価'!L5+'前提と出典'!$C$37*'契約別単価'!L6+'前提と出典'!$C$38*'契約別単価'!L7)</ns0:f>
        <ns0:v>112855.82049914375</ns0:v>
      </ns0:c>
      <ns0:c r="M333" s="16">
        <ns0:f>IF(('前提と出典'!$C$36+'前提と出典'!$C$38)=0,0,IF(B333&lt;=10,'前提と出典'!B73+'前提と出典'!C73,IF(B333&lt;=100,'前提と出典'!B74+'前提と出典'!C74,IF(B333&lt;=500,'前提と出典'!B75+'前提と出典'!C75,'前提と出典'!B76+'前提と出典'!C76))))</ns0:f>
        <ns0:v>40000</ns0:v>
      </ns0:c>
      <ns0:c r="N333" s="16">
        <ns0:f>IF(('前提と出典'!$C$37+'前提と出典'!$C$38)=0,0,IF(C333&lt;=10,'前提と出典'!D73+'前提と出典'!E73,IF(C333&lt;=100,'前提と出典'!D74+'前提と出典'!E74,IF(C333&lt;=500,'前提と出典'!D75+'前提と出典'!E75,'前提と出典'!D76+'前提と出典'!E76))))</ns0:f>
        <ns0:v>56510.9346263078</ns0:v>
      </ns0:c>
      <ns0:c r="O333" s="16">
        <ns0:f>IF('前提と出典'!$C$36+'前提と出典'!$C$38=0,0,'前提と出典'!$B$4*IF('前提と出典'!$B$20=0,MAX('前提と出典'!$B$6,D333*'前提と出典'!$B$5),'前提と出典'!$B$6+D333*'前提と出典'!$B$5))</ns0:f>
        <ns0:v>326691.48603351956</ns0:v>
      </ns0:c>
      <ns0:c r="P333" s="16">
        <ns0:f>(E333+G333)*(1-'前提と出典'!$B$7)-I333-K333-M333-O333</ns0:f>
        <ns0:v>909407.105051961</ns0:v>
      </ns0:c>
      <ns0:c r="Q333" s="16">
        <ns0:f>(F333+H333)*(1-'前提と出典'!$B$7)-J333-L333-N333</ns0:f>
        <ns0:v>249060.77329731517</ns0:v>
      </ns0:c>
      <ns0:c r="R333" s="16">
        <ns0:f>P333-E333*'前提と出典'!$E$4</ns0:f>
        <ns0:v>661287.847528083</ns0:v>
      </ns0:c>
      <ns0:c r="S333" s="16">
        <ns0:f>Q333-F333*'前提と出典'!$E$4</ns0:f>
        <ns0:v>176963.65935492347</ns0:v>
      </ns0:c>
      <ns0:c r="T333" s="7">
        <ns0:f>R333+S333</ns0:f>
        <ns0:v>838251.5068830065</ns0:v>
      </ns0:c>
      <ns0:c r="U333" s="16">
        <ns0:f>P333-E333*'前提と出典'!$E$5</ns0:f>
        <ns0:v>578581.4283534568</ns0:v>
      </ns0:c>
      <ns0:c r="V333" s="16">
        <ns0:f>Q333-F333*'前提と出典'!$E$5</ns0:f>
        <ns0:v>152931.28804079286</ns0:v>
      </ns0:c>
      <ns0:c r="W333" s="7">
        <ns0:f>U333+V333</ns0:f>
        <ns0:v>731512.7163942496</ns0:v>
      </ns0:c>
      <ns0:c r="X333" s="16">
        <ns0:f>P333-E333*'前提と出典'!$E$6</ns0:f>
        <ns0:v>495875.00917883083</ns0:v>
      </ns0:c>
      <ns0:c r="Y333" s="16">
        <ns0:f>Q333-F333*'前提と出典'!$E$6</ns0:f>
        <ns0:v>128898.91672666231</ns0:v>
      </ns0:c>
      <ns0:c r="Z333" s="7">
        <ns0:f>X333+Y333</ns0:f>
        <ns0:v>624773.9259054931</ns0:v>
      </ns0:c>
      <ns0:c r="AA333" s="7">
        <ns0:f>IF(T333&gt;=0,A333,1001)</ns0:f>
        <ns0:v>329</ns0:v>
      </ns0:c>
      <ns0:c r="AB333" s="7">
        <ns0:f>IF(T333&lt;0,A333,0)</ns0:f>
        <ns0:v>0</ns0:v>
      </ns0:c>
      <ns0:c r="AC333" s="16">
        <ns0:f>IF(AND(OR('前提と出典'!$C$36+'前提と出典'!$C$38=0,R333&gt;=0),OR('前提と出典'!$C$37+'前提と出典'!$C$38=0,S333&gt;=0)),0,A333)</ns0:f>
        <ns0:v>0</ns0:v>
      </ns0:c>
      <ns0:c r="AD333" s="7">
        <ns0:f>IF(W333&gt;=0,A333,1001)</ns0:f>
        <ns0:v>329</ns0:v>
      </ns0:c>
      <ns0:c r="AE333" s="7">
        <ns0:f>IF(W333&lt;0,A333,0)</ns0:f>
        <ns0:v>0</ns0:v>
      </ns0:c>
      <ns0:c r="AF333" s="16">
        <ns0:f>IF(AND(OR('前提と出典'!$C$36+'前提と出典'!$C$38=0,U333&gt;=0),OR('前提と出典'!$C$37+'前提と出典'!$C$38=0,V333&gt;=0)),0,A333)</ns0:f>
        <ns0:v>0</ns0:v>
      </ns0:c>
      <ns0:c r="AG333" s="7">
        <ns0:f>IF(Z333&gt;=0,A333,1001)</ns0:f>
        <ns0:v>329</ns0:v>
      </ns0:c>
      <ns0:c r="AH333" s="4">
        <ns0:f>IF(Z333&lt;0,A333,0)</ns0:f>
        <ns0:v>0</ns0:v>
      </ns0:c>
      <ns0:c r="AI333" s="12">
        <ns0:f>IF(AND(OR('前提と出典'!$C$36+'前提と出典'!$C$38=0,X333&gt;=0),OR('前提と出典'!$C$37+'前提と出典'!$C$38=0,Y333&gt;=0)),0,A333)</ns0:f>
        <ns0:v>0</ns0:v>
      </ns0:c>
    </ns0:row>
    <ns0:row r="334" ht="24" customHeight="1">
      <ns0:c r="A334" s="4" t="n">
        <ns0:v>330</ns0:v>
      </ns0:c>
      <ns0:c r="B334" s="12">
        <ns0:f>A334*('前提と出典'!$C$36+'前提と出典'!$C$38)</ns0:f>
        <ns0:v>230.99999999999997</ns0:v>
      </ns0:c>
      <ns0:c r="C334" s="12">
        <ns0:f>A334*('前提と出典'!$C$37+'前提と出典'!$C$38)</ns0:f>
        <ns0:v>198</ns0:v>
      </ns0:c>
      <ns0:c r="D334" s="16">
        <ns0:f>A334*('前提と出典'!$C$36*'契約別単価'!C5+'前提と出典'!$C$37*'契約別単価'!C6+'前提と出典'!$C$38*'契約別単価'!C7)</ns0:f>
        <ns0:v>2374.5251396648046</ns0:v>
      </ns0:c>
      <ns0:c r="E334" s="16">
        <ns0:f>A334*('前提と出典'!$C$36*'契約別単価'!E5+'前提と出典'!$C$37*'契約別単価'!E6+'前提と出典'!$C$38*'契約別単価'!E7)</ns0:f>
        <ns0:v>829578.0646695014</ns0:v>
      </ns0:c>
      <ns0:c r="F334" s="16">
        <ns0:f>A334*('前提と出典'!$C$36*'契約別単価'!F5+'前提と出典'!$C$37*'契約別単価'!F6+'前提と出典'!$C$38*'契約別単価'!F7)</ns0:f>
        <ns0:v>241054.18035450118</ns0:v>
      </ns0:c>
      <ns0:c r="G334" s="16">
        <ns0:f>A334*('前提と出典'!$C$36*'契約別単価'!G5+'前提と出典'!$C$37*'契約別単価'!G6+'前提と出典'!$C$38*'契約別単価'!G7)</ns0:f>
        <ns0:v>656865.9217877095</ns0:v>
      </ns0:c>
      <ns0:c r="H334" s="16">
        <ns0:f>A334*('前提と出典'!$C$36*'契約別単価'!H5+'前提と出典'!$C$37*'契約別単価'!H6+'前提と出典'!$C$38*'契約別単価'!H7)</ns0:f>
        <ns0:v>227965.41927514665</ns0:v>
      </ns0:c>
      <ns0:c r="I334" s="16">
        <ns0:f>A334*('前提と出典'!$C$36*'契約別単価'!I5+'前提と出典'!$C$37*'契約別単価'!I6+'前提と出典'!$C$38*'契約別単価'!I7)</ns0:f>
        <ns0:v>13924.525139664802</ns0:v>
      </ns0:c>
      <ns0:c r="J334" s="16">
        <ns0:f>A334*('前提と出典'!$C$36*'契約別単価'!J5+'前提と出典'!$C$37*'契約別単価'!J6+'前提と出典'!$C$38*'契約別単価'!J7)</ns0:f>
        <ns0:v>32435.549424399847</ns0:v>
      </ns0:c>
      <ns0:c r="K334" s="16">
        <ns0:f>A334*('前提と出典'!$C$36*'契約別単価'!K5+'前提と出典'!$C$37*'契約別単価'!K6+'前提と出典'!$C$38*'契約別単価'!K7)</ns0:f>
        <ns0:v>139030.16759776536</ns0:v>
      </ns0:c>
      <ns0:c r="L334" s="16">
        <ns0:f>A334*('前提と出典'!$C$36*'契約別単価'!L5+'前提と出典'!$C$37*'契約別単価'!L6+'前提と出典'!$C$38*'契約別単価'!L7)</ns0:f>
        <ns0:v>113198.84730917156</ns0:v>
      </ns0:c>
      <ns0:c r="M334" s="16">
        <ns0:f>IF(('前提と出典'!$C$36+'前提と出典'!$C$38)=0,0,IF(B334&lt;=10,'前提と出典'!B73+'前提と出典'!C73,IF(B334&lt;=100,'前提と出典'!B74+'前提と出典'!C74,IF(B334&lt;=500,'前提と出典'!B75+'前提と出典'!C75,'前提と出典'!B76+'前提と出典'!C76))))</ns0:f>
        <ns0:v>40000</ns0:v>
      </ns0:c>
      <ns0:c r="N334" s="16">
        <ns0:f>IF(('前提と出典'!$C$37+'前提と出典'!$C$38)=0,0,IF(C334&lt;=10,'前提と出典'!D73+'前提と出典'!E73,IF(C334&lt;=100,'前提と出典'!D74+'前提と出典'!E74,IF(C334&lt;=500,'前提と出典'!D75+'前提と出典'!E75,'前提と出典'!D76+'前提と出典'!E76))))</ns0:f>
        <ns0:v>56510.9346263078</ns0:v>
      </ns0:c>
      <ns0:c r="O334" s="16">
        <ns0:f>IF('前提と出典'!$C$36+'前提と出典'!$C$38=0,0,'前提と出典'!$B$4*IF('前提と出典'!$B$20=0,MAX('前提と出典'!$B$6,D334*'前提と出典'!$B$5),'前提と出典'!$B$6+D334*'前提と出典'!$B$5))</ns0:f>
        <ns0:v>327684.46927374305</ns0:v>
      </ns0:c>
      <ns0:c r="P334" s="16">
        <ns0:f>(E334+G334)*(1-'前提と出典'!$B$7)-I334-K334-M334-O334</ns0:f>
        <ns0:v>912292.8409335783</ns0:v>
      </ns0:c>
      <ns0:c r="Q334" s="16">
        <ns0:f>(F334+H334)*(1-'前提と出典'!$B$7)-J334-L334-N334</ns0:f>
        <ns0:v>249989.56268310122</ns0:v>
      </ns0:c>
      <ns0:c r="R334" s="16">
        <ns0:f>P334-E334*'前提と出典'!$E$4</ns0:f>
        <ns0:v>663419.421532728</ns0:v>
      </ns0:c>
      <ns0:c r="S334" s="16">
        <ns0:f>Q334-F334*'前提と出典'!$E$4</ns0:f>
        <ns0:v>177673.30857675092</ns0:v>
      </ns0:c>
      <ns0:c r="T334" s="7">
        <ns0:f>R334+S334</ns0:f>
        <ns0:v>841092.7301094789</ns0:v>
      </ns0:c>
      <ns0:c r="U334" s="16">
        <ns0:f>P334-E334*'前提と出典'!$E$5</ns0:f>
        <ns0:v>580461.6150657777</ns0:v>
      </ns0:c>
      <ns0:c r="V334" s="16">
        <ns0:f>Q334-F334*'前提と出典'!$E$5</ns0:f>
        <ns0:v>153567.89054130076</ns0:v>
      </ns0:c>
      <ns0:c r="W334" s="7">
        <ns0:f>U334+V334</ns0:f>
        <ns0:v>734029.5056070784</ns0:v>
      </ns0:c>
      <ns0:c r="X334" s="16">
        <ns0:f>P334-E334*'前提と出典'!$E$6</ns0:f>
        <ns0:v>497503.8085988275</ns0:v>
      </ns0:c>
      <ns0:c r="Y334" s="16">
        <ns0:f>Q334-F334*'前提と出典'!$E$6</ns0:f>
        <ns0:v>129462.47250585072</ns0:v>
      </ns0:c>
      <ns0:c r="Z334" s="7">
        <ns0:f>X334+Y334</ns0:f>
        <ns0:v>626966.2811046783</ns0:v>
      </ns0:c>
      <ns0:c r="AA334" s="7">
        <ns0:f>IF(T334&gt;=0,A334,1001)</ns0:f>
        <ns0:v>330</ns0:v>
      </ns0:c>
      <ns0:c r="AB334" s="7">
        <ns0:f>IF(T334&lt;0,A334,0)</ns0:f>
        <ns0:v>0</ns0:v>
      </ns0:c>
      <ns0:c r="AC334" s="16">
        <ns0:f>IF(AND(OR('前提と出典'!$C$36+'前提と出典'!$C$38=0,R334&gt;=0),OR('前提と出典'!$C$37+'前提と出典'!$C$38=0,S334&gt;=0)),0,A334)</ns0:f>
        <ns0:v>0</ns0:v>
      </ns0:c>
      <ns0:c r="AD334" s="7">
        <ns0:f>IF(W334&gt;=0,A334,1001)</ns0:f>
        <ns0:v>330</ns0:v>
      </ns0:c>
      <ns0:c r="AE334" s="7">
        <ns0:f>IF(W334&lt;0,A334,0)</ns0:f>
        <ns0:v>0</ns0:v>
      </ns0:c>
      <ns0:c r="AF334" s="16">
        <ns0:f>IF(AND(OR('前提と出典'!$C$36+'前提と出典'!$C$38=0,U334&gt;=0),OR('前提と出典'!$C$37+'前提と出典'!$C$38=0,V334&gt;=0)),0,A334)</ns0:f>
        <ns0:v>0</ns0:v>
      </ns0:c>
      <ns0:c r="AG334" s="7">
        <ns0:f>IF(Z334&gt;=0,A334,1001)</ns0:f>
        <ns0:v>330</ns0:v>
      </ns0:c>
      <ns0:c r="AH334" s="4">
        <ns0:f>IF(Z334&lt;0,A334,0)</ns0:f>
        <ns0:v>0</ns0:v>
      </ns0:c>
      <ns0:c r="AI334" s="12">
        <ns0:f>IF(AND(OR('前提と出典'!$C$36+'前提と出典'!$C$38=0,X334&gt;=0),OR('前提と出典'!$C$37+'前提と出典'!$C$38=0,Y334&gt;=0)),0,A334)</ns0:f>
        <ns0:v>0</ns0:v>
      </ns0:c>
    </ns0:row>
    <ns0:row r="335" ht="24" customHeight="1">
      <ns0:c r="A335" s="4" t="n">
        <ns0:v>331</ns0:v>
      </ns0:c>
      <ns0:c r="B335" s="12">
        <ns0:f>A335*('前提と出典'!$C$36+'前提と出典'!$C$38)</ns0:f>
        <ns0:v>231.7</ns0:v>
      </ns0:c>
      <ns0:c r="C335" s="12">
        <ns0:f>A335*('前提と出典'!$C$37+'前提と出典'!$C$38)</ns0:f>
        <ns0:v>198.6</ns0:v>
      </ns0:c>
      <ns0:c r="D335" s="16">
        <ns0:f>A335*('前提と出典'!$C$36*'契約別単価'!C5+'前提と出典'!$C$37*'契約別単価'!C6+'前提と出典'!$C$38*'契約別単価'!C7)</ns0:f>
        <ns0:v>2381.7206703910615</ns0:v>
      </ns0:c>
      <ns0:c r="E335" s="16">
        <ns0:f>A335*('前提と出典'!$C$36*'契約別単価'!E5+'前提と出典'!$C$37*'契約別単価'!E6+'前提と出典'!$C$38*'契約別単価'!E7)</ns0:f>
        <ns0:v>832091.9375927423</ns0:v>
      </ns0:c>
      <ns0:c r="F335" s="16">
        <ns0:f>A335*('前提と出典'!$C$36*'契約別単価'!F5+'前提と出典'!$C$37*'契約別単価'!F6+'前提と出典'!$C$38*'契約別単価'!F7)</ns0:f>
        <ns0:v>241784.64756769664</ns0:v>
      </ns0:c>
      <ns0:c r="G335" s="16">
        <ns0:f>A335*('前提と出典'!$C$36*'契約別単価'!G5+'前提と出典'!$C$37*'契約別単価'!G6+'前提と出典'!$C$38*'契約別単価'!G7)</ns0:f>
        <ns0:v>658856.4245810056</ns0:v>
      </ns0:c>
      <ns0:c r="H335" s="16">
        <ns0:f>A335*('前提と出典'!$C$36*'契約別単価'!H5+'前提と出典'!$C$37*'契約別単価'!H6+'前提と出典'!$C$38*'契約別単価'!H7)</ns0:f>
        <ns0:v>228656.2235759804</ns0:v>
      </ns0:c>
      <ns0:c r="I335" s="16">
        <ns0:f>A335*('前提と出典'!$C$36*'契約別単価'!I5+'前提と出典'!$C$37*'契約別単価'!I6+'前提と出典'!$C$38*'契約別単価'!I7)</ns0:f>
        <ns0:v>13966.72067039106</ns0:v>
      </ns0:c>
      <ns0:c r="J335" s="16">
        <ns0:f>A335*('前提と出典'!$C$36*'契約別単価'!J5+'前提と出典'!$C$37*'契約別単価'!J6+'前提と出典'!$C$38*'契約別単価'!J7)</ns0:f>
        <ns0:v>32533.83896811015</ns0:v>
      </ns0:c>
      <ns0:c r="K335" s="16">
        <ns0:f>A335*('前提と出典'!$C$36*'契約別単価'!K5+'前提と出典'!$C$37*'契約別単価'!K6+'前提と出典'!$C$38*'契約別単価'!K7)</ns0:f>
        <ns0:v>139451.4711359404</ns0:v>
      </ns0:c>
      <ns0:c r="L335" s="16">
        <ns0:f>A335*('前提と出典'!$C$36*'契約別単価'!L5+'前提と出典'!$C$37*'契約別単価'!L6+'前提と出典'!$C$38*'契約別単価'!L7)</ns0:f>
        <ns0:v>113541.87411919935</ns0:v>
      </ns0:c>
      <ns0:c r="M335" s="16">
        <ns0:f>IF(('前提と出典'!$C$36+'前提と出典'!$C$38)=0,0,IF(B335&lt;=10,'前提と出典'!B73+'前提と出典'!C73,IF(B335&lt;=100,'前提と出典'!B74+'前提と出典'!C74,IF(B335&lt;=500,'前提と出典'!B75+'前提と出典'!C75,'前提と出典'!B76+'前提と出典'!C76))))</ns0:f>
        <ns0:v>40000</ns0:v>
      </ns0:c>
      <ns0:c r="N335" s="16">
        <ns0:f>IF(('前提と出典'!$C$37+'前提と出典'!$C$38)=0,0,IF(C335&lt;=10,'前提と出典'!D73+'前提と出典'!E73,IF(C335&lt;=100,'前提と出典'!D74+'前提と出典'!E74,IF(C335&lt;=500,'前提と出典'!D75+'前提と出典'!E75,'前提と出典'!D76+'前提と出典'!E76))))</ns0:f>
        <ns0:v>56510.9346263078</ns0:v>
      </ns0:c>
      <ns0:c r="O335" s="16">
        <ns0:f>IF('前提と出典'!$C$36+'前提と出典'!$C$38=0,0,'前提と出典'!$B$4*IF('前提と出典'!$B$20=0,MAX('前提と出典'!$B$6,D335*'前提と出典'!$B$5),'前提と出典'!$B$6+D335*'前提と出典'!$B$5))</ns0:f>
        <ns0:v>328677.45251396653</ns0:v>
      </ns0:c>
      <ns0:c r="P335" s="16">
        <ns0:f>(E335+G335)*(1-'前提と出典'!$B$7)-I335-K335-M335-O335</ns0:f>
        <ns0:v>915178.576815195</ns0:v>
      </ns0:c>
      <ns0:c r="Q335" s="16">
        <ns0:f>(F335+H335)*(1-'前提と出典'!$B$7)-J335-L335-N335</ns0:f>
        <ns0:v>250918.35206888738</ns0:v>
      </ns0:c>
      <ns0:c r="R335" s="16">
        <ns0:f>P335-E335*'前提と出典'!$E$4</ns0:f>
        <ns0:v>665550.9955373723</ns0:v>
      </ns0:c>
      <ns0:c r="S335" s="16">
        <ns0:f>Q335-F335*'前提と出典'!$E$4</ns0:f>
        <ns0:v>178382.95779857837</ns0:v>
      </ns0:c>
      <ns0:c r="T335" s="7">
        <ns0:f>R335+S335</ns0:f>
        <ns0:v>843933.9533359506</ns0:v>
      </ns0:c>
      <ns0:c r="U335" s="16">
        <ns0:f>P335-E335*'前提と出典'!$E$5</ns0:f>
        <ns0:v>582341.8017780981</ns0:v>
      </ns0:c>
      <ns0:c r="V335" s="16">
        <ns0:f>Q335-F335*'前提と出典'!$E$5</ns0:f>
        <ns0:v>154204.49304180872</ns0:v>
      </ns0:c>
      <ns0:c r="W335" s="7">
        <ns0:f>U335+V335</ns0:f>
        <ns0:v>736546.2948199068</ns0:v>
      </ns0:c>
      <ns0:c r="X335" s="16">
        <ns0:f>P335-E335*'前提と出典'!$E$6</ns0:f>
        <ns0:v>499132.6080188237</ns0:v>
      </ns0:c>
      <ns0:c r="Y335" s="16">
        <ns0:f>Q335-F335*'前提と出典'!$E$6</ns0:f>
        <ns0:v>130026.02828503906</ns0:v>
      </ns0:c>
      <ns0:c r="Z335" s="7">
        <ns0:f>X335+Y335</ns0:f>
        <ns0:v>629158.6363038628</ns0:v>
      </ns0:c>
      <ns0:c r="AA335" s="7">
        <ns0:f>IF(T335&gt;=0,A335,1001)</ns0:f>
        <ns0:v>331</ns0:v>
      </ns0:c>
      <ns0:c r="AB335" s="7">
        <ns0:f>IF(T335&lt;0,A335,0)</ns0:f>
        <ns0:v>0</ns0:v>
      </ns0:c>
      <ns0:c r="AC335" s="16">
        <ns0:f>IF(AND(OR('前提と出典'!$C$36+'前提と出典'!$C$38=0,R335&gt;=0),OR('前提と出典'!$C$37+'前提と出典'!$C$38=0,S335&gt;=0)),0,A335)</ns0:f>
        <ns0:v>0</ns0:v>
      </ns0:c>
      <ns0:c r="AD335" s="7">
        <ns0:f>IF(W335&gt;=0,A335,1001)</ns0:f>
        <ns0:v>331</ns0:v>
      </ns0:c>
      <ns0:c r="AE335" s="7">
        <ns0:f>IF(W335&lt;0,A335,0)</ns0:f>
        <ns0:v>0</ns0:v>
      </ns0:c>
      <ns0:c r="AF335" s="16">
        <ns0:f>IF(AND(OR('前提と出典'!$C$36+'前提と出典'!$C$38=0,U335&gt;=0),OR('前提と出典'!$C$37+'前提と出典'!$C$38=0,V335&gt;=0)),0,A335)</ns0:f>
        <ns0:v>0</ns0:v>
      </ns0:c>
      <ns0:c r="AG335" s="7">
        <ns0:f>IF(Z335&gt;=0,A335,1001)</ns0:f>
        <ns0:v>331</ns0:v>
      </ns0:c>
      <ns0:c r="AH335" s="4">
        <ns0:f>IF(Z335&lt;0,A335,0)</ns0:f>
        <ns0:v>0</ns0:v>
      </ns0:c>
      <ns0:c r="AI335" s="12">
        <ns0:f>IF(AND(OR('前提と出典'!$C$36+'前提と出典'!$C$38=0,X335&gt;=0),OR('前提と出典'!$C$37+'前提と出典'!$C$38=0,Y335&gt;=0)),0,A335)</ns0:f>
        <ns0:v>0</ns0:v>
      </ns0:c>
    </ns0:row>
    <ns0:row r="336" ht="24" customHeight="1">
      <ns0:c r="A336" s="4" t="n">
        <ns0:v>332</ns0:v>
      </ns0:c>
      <ns0:c r="B336" s="12">
        <ns0:f>A336*('前提と出典'!$C$36+'前提と出典'!$C$38)</ns0:f>
        <ns0:v>232.39999999999998</ns0:v>
      </ns0:c>
      <ns0:c r="C336" s="12">
        <ns0:f>A336*('前提と出典'!$C$37+'前提と出典'!$C$38)</ns0:f>
        <ns0:v>199.2</ns0:v>
      </ns0:c>
      <ns0:c r="D336" s="16">
        <ns0:f>A336*('前提と出典'!$C$36*'契約別単価'!C5+'前提と出典'!$C$37*'契約別単価'!C6+'前提と出典'!$C$38*'契約別単価'!C7)</ns0:f>
        <ns0:v>2388.9162011173185</ns0:v>
      </ns0:c>
      <ns0:c r="E336" s="16">
        <ns0:f>A336*('前提と出典'!$C$36*'契約別単価'!E5+'前提と出典'!$C$37*'契約別単価'!E6+'前提と出典'!$C$38*'契約別単価'!E7)</ns0:f>
        <ns0:v>834605.8105159831</ns0:v>
      </ns0:c>
      <ns0:c r="F336" s="16">
        <ns0:f>A336*('前提と出典'!$C$36*'契約別単価'!F5+'前提と出典'!$C$37*'契約別単価'!F6+'前提と出典'!$C$38*'契約別単価'!F7)</ns0:f>
        <ns0:v>242515.1147808921</ns0:v>
      </ns0:c>
      <ns0:c r="G336" s="16">
        <ns0:f>A336*('前提と出典'!$C$36*'契約別単価'!G5+'前提と出典'!$C$37*'契約別単価'!G6+'前提と出典'!$C$38*'契約別単価'!G7)</ns0:f>
        <ns0:v>660846.9273743016</ns0:v>
      </ns0:c>
      <ns0:c r="H336" s="16">
        <ns0:f>A336*('前提と出典'!$C$36*'契約別単価'!H5+'前提と出典'!$C$37*'契約別単価'!H6+'前提と出典'!$C$38*'契約別単価'!H7)</ns0:f>
        <ns0:v>229347.0278768142</ns0:v>
      </ns0:c>
      <ns0:c r="I336" s="16">
        <ns0:f>A336*('前提と出典'!$C$36*'契約別単価'!I5+'前提と出典'!$C$37*'契約別単価'!I6+'前提と出典'!$C$38*'契約別単価'!I7)</ns0:f>
        <ns0:v>14008.916201117316</ns0:v>
      </ns0:c>
      <ns0:c r="J336" s="16">
        <ns0:f>A336*('前提と出典'!$C$36*'契約別単価'!J5+'前提と出典'!$C$37*'契約別単価'!J6+'前提と出典'!$C$38*'契約別単価'!J7)</ns0:f>
        <ns0:v>32632.12851182045</ns0:v>
      </ns0:c>
      <ns0:c r="K336" s="16">
        <ns0:f>A336*('前提と出典'!$C$36*'契約別単価'!K5+'前提と出典'!$C$37*'契約別単価'!K6+'前提と出典'!$C$38*'契約別単価'!K7)</ns0:f>
        <ns0:v>139872.77467411544</ns0:v>
      </ns0:c>
      <ns0:c r="L336" s="16">
        <ns0:f>A336*('前提と出典'!$C$36*'契約別単価'!L5+'前提と出典'!$C$37*'契約別単価'!L6+'前提と出典'!$C$38*'契約別単価'!L7)</ns0:f>
        <ns0:v>113884.90092922714</ns0:v>
      </ns0:c>
      <ns0:c r="M336" s="16">
        <ns0:f>IF(('前提と出典'!$C$36+'前提と出典'!$C$38)=0,0,IF(B336&lt;=10,'前提と出典'!B73+'前提と出典'!C73,IF(B336&lt;=100,'前提と出典'!B74+'前提と出典'!C74,IF(B336&lt;=500,'前提と出典'!B75+'前提と出典'!C75,'前提と出典'!B76+'前提と出典'!C76))))</ns0:f>
        <ns0:v>40000</ns0:v>
      </ns0:c>
      <ns0:c r="N336" s="16">
        <ns0:f>IF(('前提と出典'!$C$37+'前提と出典'!$C$38)=0,0,IF(C336&lt;=10,'前提と出典'!D73+'前提と出典'!E73,IF(C336&lt;=100,'前提と出典'!D74+'前提と出典'!E74,IF(C336&lt;=500,'前提と出典'!D75+'前提と出典'!E75,'前提と出典'!D76+'前提と出典'!E76))))</ns0:f>
        <ns0:v>56510.9346263078</ns0:v>
      </ns0:c>
      <ns0:c r="O336" s="16">
        <ns0:f>IF('前提と出典'!$C$36+'前提と出典'!$C$38=0,0,'前提と出典'!$B$4*IF('前提と出典'!$B$20=0,MAX('前提と出典'!$B$6,D336*'前提と出典'!$B$5),'前提と出典'!$B$6+D336*'前提と出典'!$B$5))</ns0:f>
        <ns0:v>329670.4357541899</ns0:v>
      </ns0:c>
      <ns0:c r="P336" s="16">
        <ns0:f>(E336+G336)*(1-'前提と出典'!$B$7)-I336-K336-M336-O336</ns0:f>
        <ns0:v>918064.3126968117</ns0:v>
      </ns0:c>
      <ns0:c r="Q336" s="16">
        <ns0:f>(F336+H336)*(1-'前提と出典'!$B$7)-J336-L336-N336</ns0:f>
        <ns0:v>251847.14145467352</ns0:v>
      </ns0:c>
      <ns0:c r="R336" s="16">
        <ns0:f>P336-E336*'前提と出典'!$E$4</ns0:f>
        <ns0:v>667682.5695420168</ns0:v>
      </ns0:c>
      <ns0:c r="S336" s="16">
        <ns0:f>Q336-F336*'前提と出典'!$E$4</ns0:f>
        <ns0:v>179092.60702040588</ns0:v>
      </ns0:c>
      <ns0:c r="T336" s="7">
        <ns0:f>R336+S336</ns0:f>
        <ns0:v>846775.1765624227</ns0:v>
      </ns0:c>
      <ns0:c r="U336" s="16">
        <ns0:f>P336-E336*'前提と出典'!$E$5</ns0:f>
        <ns0:v>584221.9884904185</ns0:v>
      </ns0:c>
      <ns0:c r="V336" s="16">
        <ns0:f>Q336-F336*'前提と出典'!$E$5</ns0:f>
        <ns0:v>154841.09554231667</ns0:v>
      </ns0:c>
      <ns0:c r="W336" s="7">
        <ns0:f>U336+V336</ns0:f>
        <ns0:v>739063.0840327352</ns0:v>
      </ns0:c>
      <ns0:c r="X336" s="16">
        <ns0:f>P336-E336*'前提と出典'!$E$6</ns0:f>
        <ns0:v>500761.4074388203</ns0:v>
      </ns0:c>
      <ns0:c r="Y336" s="16">
        <ns0:f>Q336-F336*'前提と出典'!$E$6</ns0:f>
        <ns0:v>130589.58406422741</ns0:v>
      </ns0:c>
      <ns0:c r="Z336" s="7">
        <ns0:f>X336+Y336</ns0:f>
        <ns0:v>631350.9915030478</ns0:v>
      </ns0:c>
      <ns0:c r="AA336" s="7">
        <ns0:f>IF(T336&gt;=0,A336,1001)</ns0:f>
        <ns0:v>332</ns0:v>
      </ns0:c>
      <ns0:c r="AB336" s="7">
        <ns0:f>IF(T336&lt;0,A336,0)</ns0:f>
        <ns0:v>0</ns0:v>
      </ns0:c>
      <ns0:c r="AC336" s="16">
        <ns0:f>IF(AND(OR('前提と出典'!$C$36+'前提と出典'!$C$38=0,R336&gt;=0),OR('前提と出典'!$C$37+'前提と出典'!$C$38=0,S336&gt;=0)),0,A336)</ns0:f>
        <ns0:v>0</ns0:v>
      </ns0:c>
      <ns0:c r="AD336" s="7">
        <ns0:f>IF(W336&gt;=0,A336,1001)</ns0:f>
        <ns0:v>332</ns0:v>
      </ns0:c>
      <ns0:c r="AE336" s="7">
        <ns0:f>IF(W336&lt;0,A336,0)</ns0:f>
        <ns0:v>0</ns0:v>
      </ns0:c>
      <ns0:c r="AF336" s="16">
        <ns0:f>IF(AND(OR('前提と出典'!$C$36+'前提と出典'!$C$38=0,U336&gt;=0),OR('前提と出典'!$C$37+'前提と出典'!$C$38=0,V336&gt;=0)),0,A336)</ns0:f>
        <ns0:v>0</ns0:v>
      </ns0:c>
      <ns0:c r="AG336" s="7">
        <ns0:f>IF(Z336&gt;=0,A336,1001)</ns0:f>
        <ns0:v>332</ns0:v>
      </ns0:c>
      <ns0:c r="AH336" s="4">
        <ns0:f>IF(Z336&lt;0,A336,0)</ns0:f>
        <ns0:v>0</ns0:v>
      </ns0:c>
      <ns0:c r="AI336" s="12">
        <ns0:f>IF(AND(OR('前提と出典'!$C$36+'前提と出典'!$C$38=0,X336&gt;=0),OR('前提と出典'!$C$37+'前提と出典'!$C$38=0,Y336&gt;=0)),0,A336)</ns0:f>
        <ns0:v>0</ns0:v>
      </ns0:c>
    </ns0:row>
    <ns0:row r="337" ht="24" customHeight="1">
      <ns0:c r="A337" s="4" t="n">
        <ns0:v>333</ns0:v>
      </ns0:c>
      <ns0:c r="B337" s="12">
        <ns0:f>A337*('前提と出典'!$C$36+'前提と出典'!$C$38)</ns0:f>
        <ns0:v>233.1</ns0:v>
      </ns0:c>
      <ns0:c r="C337" s="12">
        <ns0:f>A337*('前提と出典'!$C$37+'前提と出典'!$C$38)</ns0:f>
        <ns0:v>199.79999999999998</ns0:v>
      </ns0:c>
      <ns0:c r="D337" s="16">
        <ns0:f>A337*('前提と出典'!$C$36*'契約別単価'!C5+'前提と出典'!$C$37*'契約別単価'!C6+'前提と出典'!$C$38*'契約別単価'!C7)</ns0:f>
        <ns0:v>2396.1117318435754</ns0:v>
      </ns0:c>
      <ns0:c r="E337" s="16">
        <ns0:f>A337*('前提と出典'!$C$36*'契約別単価'!E5+'前提と出典'!$C$37*'契約別単価'!E6+'前提と出典'!$C$38*'契約別単価'!E7)</ns0:f>
        <ns0:v>837119.6834392241</ns0:v>
      </ns0:c>
      <ns0:c r="F337" s="16">
        <ns0:f>A337*('前提と出典'!$C$36*'契約別単価'!F5+'前提と出典'!$C$37*'契約別単価'!F6+'前提と出典'!$C$38*'契約別単価'!F7)</ns0:f>
        <ns0:v>243245.58199408758</ns0:v>
      </ns0:c>
      <ns0:c r="G337" s="16">
        <ns0:f>A337*('前提と出典'!$C$36*'契約別単価'!G5+'前提と出典'!$C$37*'契約別単価'!G6+'前提と出典'!$C$38*'契約別単価'!G7)</ns0:f>
        <ns0:v>662837.4301675977</ns0:v>
      </ns0:c>
      <ns0:c r="H337" s="16">
        <ns0:f>A337*('前提と出典'!$C$36*'契約別単価'!H5+'前提と出典'!$C$37*'契約別単価'!H6+'前提と出典'!$C$38*'契約別単価'!H7)</ns0:f>
        <ns0:v>230037.83217764797</ns0:v>
      </ns0:c>
      <ns0:c r="I337" s="16">
        <ns0:f>A337*('前提と出典'!$C$36*'契約別単価'!I5+'前提と出典'!$C$37*'契約別単価'!I6+'前提と出典'!$C$38*'契約別単価'!I7)</ns0:f>
        <ns0:v>14051.111731843574</ns0:v>
      </ns0:c>
      <ns0:c r="J337" s="16">
        <ns0:f>A337*('前提と出典'!$C$36*'契約別単価'!J5+'前提と出典'!$C$37*'契約別単価'!J6+'前提と出典'!$C$38*'契約別単価'!J7)</ns0:f>
        <ns0:v>32730.418055530754</ns0:v>
      </ns0:c>
      <ns0:c r="K337" s="16">
        <ns0:f>A337*('前提と出典'!$C$36*'契約別単価'!K5+'前提と出典'!$C$37*'契約別単価'!K6+'前提と出典'!$C$38*'契約別単価'!K7)</ns0:f>
        <ns0:v>140294.0782122905</ns0:v>
      </ns0:c>
      <ns0:c r="L337" s="16">
        <ns0:f>A337*('前提と出典'!$C$36*'契約別単価'!L5+'前提と出典'!$C$37*'契約別単価'!L6+'前提と出典'!$C$38*'契約別単価'!L7)</ns0:f>
        <ns0:v>114227.92773925493</ns0:v>
      </ns0:c>
      <ns0:c r="M337" s="16">
        <ns0:f>IF(('前提と出典'!$C$36+'前提と出典'!$C$38)=0,0,IF(B337&lt;=10,'前提と出典'!B73+'前提と出典'!C73,IF(B337&lt;=100,'前提と出典'!B74+'前提と出典'!C74,IF(B337&lt;=500,'前提と出典'!B75+'前提と出典'!C75,'前提と出典'!B76+'前提と出典'!C76))))</ns0:f>
        <ns0:v>40000</ns0:v>
      </ns0:c>
      <ns0:c r="N337" s="16">
        <ns0:f>IF(('前提と出典'!$C$37+'前提と出典'!$C$38)=0,0,IF(C337&lt;=10,'前提と出典'!D73+'前提と出典'!E73,IF(C337&lt;=100,'前提と出典'!D74+'前提と出典'!E74,IF(C337&lt;=500,'前提と出典'!D75+'前提と出典'!E75,'前提と出典'!D76+'前提と出典'!E76))))</ns0:f>
        <ns0:v>56510.9346263078</ns0:v>
      </ns0:c>
      <ns0:c r="O337" s="16">
        <ns0:f>IF('前提と出典'!$C$36+'前提と出典'!$C$38=0,0,'前提と出典'!$B$4*IF('前提と出典'!$B$20=0,MAX('前提と出典'!$B$6,D337*'前提と出典'!$B$5),'前提と出典'!$B$6+D337*'前提と出典'!$B$5))</ns0:f>
        <ns0:v>330663.4189944134</ns0:v>
      </ns0:c>
      <ns0:c r="P337" s="16">
        <ns0:f>(E337+G337)*(1-'前提と出典'!$B$7)-I337-K337-M337-O337</ns0:f>
        <ns0:v>920950.0485784286</ns0:v>
      </ns0:c>
      <ns0:c r="Q337" s="16">
        <ns0:f>(F337+H337)*(1-'前提と出典'!$B$7)-J337-L337-N337</ns0:f>
        <ns0:v>252775.9308404596</ns0:v>
      </ns0:c>
      <ns0:c r="R337" s="16">
        <ns0:f>P337-E337*'前提と出典'!$E$4</ns0:f>
        <ns0:v>669814.1435466614</ns0:v>
      </ns0:c>
      <ns0:c r="S337" s="16">
        <ns0:f>Q337-F337*'前提と出典'!$E$4</ns0:f>
        <ns0:v>179802.2562422333</ns0:v>
      </ns0:c>
      <ns0:c r="T337" s="7">
        <ns0:f>R337+S337</ns0:f>
        <ns0:v>849616.3997888947</ns0:v>
      </ns0:c>
      <ns0:c r="U337" s="16">
        <ns0:f>P337-E337*'前提と出典'!$E$5</ns0:f>
        <ns0:v>586102.175202739</ns0:v>
      </ns0:c>
      <ns0:c r="V337" s="16">
        <ns0:f>Q337-F337*'前提と出典'!$E$5</ns0:f>
        <ns0:v>155477.69804282454</ns0:v>
      </ns0:c>
      <ns0:c r="W337" s="7">
        <ns0:f>U337+V337</ns0:f>
        <ns0:v>741579.8732455635</ns0:v>
      </ns0:c>
      <ns0:c r="X337" s="16">
        <ns0:f>P337-E337*'前提と出典'!$E$6</ns0:f>
        <ns0:v>502390.2068588166</ns0:v>
      </ns0:c>
      <ns0:c r="Y337" s="16">
        <ns0:f>Q337-F337*'前提と出典'!$E$6</ns0:f>
        <ns0:v>131153.1398434158</ns0:v>
      </ns0:c>
      <ns0:c r="Z337" s="7">
        <ns0:f>X337+Y337</ns0:f>
        <ns0:v>633543.3467022324</ns0:v>
      </ns0:c>
      <ns0:c r="AA337" s="7">
        <ns0:f>IF(T337&gt;=0,A337,1001)</ns0:f>
        <ns0:v>333</ns0:v>
      </ns0:c>
      <ns0:c r="AB337" s="7">
        <ns0:f>IF(T337&lt;0,A337,0)</ns0:f>
        <ns0:v>0</ns0:v>
      </ns0:c>
      <ns0:c r="AC337" s="16">
        <ns0:f>IF(AND(OR('前提と出典'!$C$36+'前提と出典'!$C$38=0,R337&gt;=0),OR('前提と出典'!$C$37+'前提と出典'!$C$38=0,S337&gt;=0)),0,A337)</ns0:f>
        <ns0:v>0</ns0:v>
      </ns0:c>
      <ns0:c r="AD337" s="7">
        <ns0:f>IF(W337&gt;=0,A337,1001)</ns0:f>
        <ns0:v>333</ns0:v>
      </ns0:c>
      <ns0:c r="AE337" s="7">
        <ns0:f>IF(W337&lt;0,A337,0)</ns0:f>
        <ns0:v>0</ns0:v>
      </ns0:c>
      <ns0:c r="AF337" s="16">
        <ns0:f>IF(AND(OR('前提と出典'!$C$36+'前提と出典'!$C$38=0,U337&gt;=0),OR('前提と出典'!$C$37+'前提と出典'!$C$38=0,V337&gt;=0)),0,A337)</ns0:f>
        <ns0:v>0</ns0:v>
      </ns0:c>
      <ns0:c r="AG337" s="7">
        <ns0:f>IF(Z337&gt;=0,A337,1001)</ns0:f>
        <ns0:v>333</ns0:v>
      </ns0:c>
      <ns0:c r="AH337" s="4">
        <ns0:f>IF(Z337&lt;0,A337,0)</ns0:f>
        <ns0:v>0</ns0:v>
      </ns0:c>
      <ns0:c r="AI337" s="12">
        <ns0:f>IF(AND(OR('前提と出典'!$C$36+'前提と出典'!$C$38=0,X337&gt;=0),OR('前提と出典'!$C$37+'前提と出典'!$C$38=0,Y337&gt;=0)),0,A337)</ns0:f>
        <ns0:v>0</ns0:v>
      </ns0:c>
    </ns0:row>
    <ns0:row r="338" ht="24" customHeight="1">
      <ns0:c r="A338" s="4" t="n">
        <ns0:v>334</ns0:v>
      </ns0:c>
      <ns0:c r="B338" s="12">
        <ns0:f>A338*('前提と出典'!$C$36+'前提と出典'!$C$38)</ns0:f>
        <ns0:v>233.79999999999998</ns0:v>
      </ns0:c>
      <ns0:c r="C338" s="12">
        <ns0:f>A338*('前提と出典'!$C$37+'前提と出典'!$C$38)</ns0:f>
        <ns0:v>200.4</ns0:v>
      </ns0:c>
      <ns0:c r="D338" s="16">
        <ns0:f>A338*('前提と出典'!$C$36*'契約別単価'!C5+'前提と出典'!$C$37*'契約別単価'!C6+'前提と出典'!$C$38*'契約別単価'!C7)</ns0:f>
        <ns0:v>2403.3072625698323</ns0:v>
      </ns0:c>
      <ns0:c r="E338" s="16">
        <ns0:f>A338*('前提と出典'!$C$36*'契約別単価'!E5+'前提と出典'!$C$37*'契約別単価'!E6+'前提と出典'!$C$38*'契約別単価'!E7)</ns0:f>
        <ns0:v>839633.556362465</ns0:v>
      </ns0:c>
      <ns0:c r="F338" s="16">
        <ns0:f>A338*('前提と出典'!$C$36*'契約別単価'!F5+'前提と出典'!$C$37*'契約別単価'!F6+'前提と出典'!$C$38*'契約別単価'!F7)</ns0:f>
        <ns0:v>243976.04920728304</ns0:v>
      </ns0:c>
      <ns0:c r="G338" s="16">
        <ns0:f>A338*('前提と出典'!$C$36*'契約別単価'!G5+'前提と出典'!$C$37*'契約別単価'!G6+'前提と出典'!$C$38*'契約別単価'!G7)</ns0:f>
        <ns0:v>664827.9329608938</ns0:v>
      </ns0:c>
      <ns0:c r="H338" s="16">
        <ns0:f>A338*('前提と出典'!$C$36*'契約別単価'!H5+'前提と出典'!$C$37*'契約別単価'!H6+'前提と出典'!$C$38*'契約別単価'!H7)</ns0:f>
        <ns0:v>230728.63647848176</ns0:v>
      </ns0:c>
      <ns0:c r="I338" s="16">
        <ns0:f>A338*('前提と出典'!$C$36*'契約別単価'!I5+'前提と出典'!$C$37*'契約別単価'!I6+'前提と出典'!$C$38*'契約別単価'!I7)</ns0:f>
        <ns0:v>14093.30726256983</ns0:v>
      </ns0:c>
      <ns0:c r="J338" s="16">
        <ns0:f>A338*('前提と出典'!$C$36*'契約別単価'!J5+'前提と出典'!$C$37*'契約別単価'!J6+'前提と出典'!$C$38*'契約別単価'!J7)</ns0:f>
        <ns0:v>32828.70759924106</ns0:v>
      </ns0:c>
      <ns0:c r="K338" s="16">
        <ns0:f>A338*('前提と出典'!$C$36*'契約別単価'!K5+'前提と出典'!$C$37*'契約別単価'!K6+'前提と出典'!$C$38*'契約別単価'!K7)</ns0:f>
        <ns0:v>140715.38175046555</ns0:v>
      </ns0:c>
      <ns0:c r="L338" s="16">
        <ns0:f>A338*('前提と出典'!$C$36*'契約別単価'!L5+'前提と出典'!$C$37*'契約別単価'!L6+'前提と出典'!$C$38*'契約別単価'!L7)</ns0:f>
        <ns0:v>114570.95454928272</ns0:v>
      </ns0:c>
      <ns0:c r="M338" s="16">
        <ns0:f>IF(('前提と出典'!$C$36+'前提と出典'!$C$38)=0,0,IF(B338&lt;=10,'前提と出典'!B73+'前提と出典'!C73,IF(B338&lt;=100,'前提と出典'!B74+'前提と出典'!C74,IF(B338&lt;=500,'前提と出典'!B75+'前提と出典'!C75,'前提と出典'!B76+'前提と出典'!C76))))</ns0:f>
        <ns0:v>40000</ns0:v>
      </ns0:c>
      <ns0:c r="N338" s="16">
        <ns0:f>IF(('前提と出典'!$C$37+'前提と出典'!$C$38)=0,0,IF(C338&lt;=10,'前提と出典'!D73+'前提と出典'!E73,IF(C338&lt;=100,'前提と出典'!D74+'前提と出典'!E74,IF(C338&lt;=500,'前提と出典'!D75+'前提と出典'!E75,'前提と出典'!D76+'前提と出典'!E76))))</ns0:f>
        <ns0:v>56510.9346263078</ns0:v>
      </ns0:c>
      <ns0:c r="O338" s="16">
        <ns0:f>IF('前提と出典'!$C$36+'前提と出典'!$C$38=0,0,'前提と出典'!$B$4*IF('前提と出典'!$B$20=0,MAX('前提と出典'!$B$6,D338*'前提と出典'!$B$5),'前提と出典'!$B$6+D338*'前提と出典'!$B$5))</ns0:f>
        <ns0:v>331656.4022346369</ns0:v>
      </ns0:c>
      <ns0:c r="P338" s="16">
        <ns0:f>(E338+G338)*(1-'前提と出典'!$B$7)-I338-K338-M338-O338</ns0:f>
        <ns0:v>923835.7844600456</ns0:v>
      </ns0:c>
      <ns0:c r="Q338" s="16">
        <ns0:f>(F338+H338)*(1-'前提と出典'!$B$7)-J338-L338-N338</ns0:f>
        <ns0:v>253704.72022624564</ns0:v>
      </ns0:c>
      <ns0:c r="R338" s="16">
        <ns0:f>P338-E338*'前提と出典'!$E$4</ns0:f>
        <ns0:v>671945.7175513061</ns0:v>
      </ns0:c>
      <ns0:c r="S338" s="16">
        <ns0:f>Q338-F338*'前提と出典'!$E$4</ns0:f>
        <ns0:v>180511.90546406072</ns0:v>
      </ns0:c>
      <ns0:c r="T338" s="7">
        <ns0:f>R338+S338</ns0:f>
        <ns0:v>852457.6230153668</ns0:v>
      </ns0:c>
      <ns0:c r="U338" s="16">
        <ns0:f>P338-E338*'前提と出典'!$E$5</ns0:f>
        <ns0:v>587982.3619150596</ns0:v>
      </ns0:c>
      <ns0:c r="V338" s="16">
        <ns0:f>Q338-F338*'前提と出典'!$E$5</ns0:f>
        <ns0:v>156114.3005433324</ns0:v>
      </ns0:c>
      <ns0:c r="W338" s="7">
        <ns0:f>U338+V338</ns0:f>
        <ns0:v>744096.6624583921</ns0:v>
      </ns0:c>
      <ns0:c r="X338" s="16">
        <ns0:f>P338-E338*'前提と出典'!$E$6</ns0:f>
        <ns0:v>504019.0062788134</ns0:v>
      </ns0:c>
      <ns0:c r="Y338" s="16">
        <ns0:f>Q338-F338*'前提と出典'!$E$6</ns0:f>
        <ns0:v>131716.6956226041</ns0:v>
      </ns0:c>
      <ns0:c r="Z338" s="7">
        <ns0:f>X338+Y338</ns0:f>
        <ns0:v>635735.7019014175</ns0:v>
      </ns0:c>
      <ns0:c r="AA338" s="7">
        <ns0:f>IF(T338&gt;=0,A338,1001)</ns0:f>
        <ns0:v>334</ns0:v>
      </ns0:c>
      <ns0:c r="AB338" s="7">
        <ns0:f>IF(T338&lt;0,A338,0)</ns0:f>
        <ns0:v>0</ns0:v>
      </ns0:c>
      <ns0:c r="AC338" s="16">
        <ns0:f>IF(AND(OR('前提と出典'!$C$36+'前提と出典'!$C$38=0,R338&gt;=0),OR('前提と出典'!$C$37+'前提と出典'!$C$38=0,S338&gt;=0)),0,A338)</ns0:f>
        <ns0:v>0</ns0:v>
      </ns0:c>
      <ns0:c r="AD338" s="7">
        <ns0:f>IF(W338&gt;=0,A338,1001)</ns0:f>
        <ns0:v>334</ns0:v>
      </ns0:c>
      <ns0:c r="AE338" s="7">
        <ns0:f>IF(W338&lt;0,A338,0)</ns0:f>
        <ns0:v>0</ns0:v>
      </ns0:c>
      <ns0:c r="AF338" s="16">
        <ns0:f>IF(AND(OR('前提と出典'!$C$36+'前提と出典'!$C$38=0,U338&gt;=0),OR('前提と出典'!$C$37+'前提と出典'!$C$38=0,V338&gt;=0)),0,A338)</ns0:f>
        <ns0:v>0</ns0:v>
      </ns0:c>
      <ns0:c r="AG338" s="7">
        <ns0:f>IF(Z338&gt;=0,A338,1001)</ns0:f>
        <ns0:v>334</ns0:v>
      </ns0:c>
      <ns0:c r="AH338" s="4">
        <ns0:f>IF(Z338&lt;0,A338,0)</ns0:f>
        <ns0:v>0</ns0:v>
      </ns0:c>
      <ns0:c r="AI338" s="12">
        <ns0:f>IF(AND(OR('前提と出典'!$C$36+'前提と出典'!$C$38=0,X338&gt;=0),OR('前提と出典'!$C$37+'前提と出典'!$C$38=0,Y338&gt;=0)),0,A338)</ns0:f>
        <ns0:v>0</ns0:v>
      </ns0:c>
    </ns0:row>
    <ns0:row r="339" ht="24" customHeight="1">
      <ns0:c r="A339" s="4" t="n">
        <ns0:v>335</ns0:v>
      </ns0:c>
      <ns0:c r="B339" s="12">
        <ns0:f>A339*('前提と出典'!$C$36+'前提と出典'!$C$38)</ns0:f>
        <ns0:v>234.49999999999997</ns0:v>
      </ns0:c>
      <ns0:c r="C339" s="12">
        <ns0:f>A339*('前提と出典'!$C$37+'前提と出典'!$C$38)</ns0:f>
        <ns0:v>201</ns0:v>
      </ns0:c>
      <ns0:c r="D339" s="16">
        <ns0:f>A339*('前提と出典'!$C$36*'契約別単価'!C5+'前提と出典'!$C$37*'契約別単価'!C6+'前提と出典'!$C$38*'契約別単価'!C7)</ns0:f>
        <ns0:v>2410.5027932960893</ns0:v>
      </ns0:c>
      <ns0:c r="E339" s="16">
        <ns0:f>A339*('前提と出典'!$C$36*'契約別単価'!E5+'前提と出典'!$C$37*'契約別単価'!E6+'前提と出典'!$C$38*'契約別単価'!E7)</ns0:f>
        <ns0:v>842147.4292857059</ns0:v>
      </ns0:c>
      <ns0:c r="F339" s="16">
        <ns0:f>A339*('前提と出典'!$C$36*'契約別単価'!F5+'前提と出典'!$C$37*'契約別単価'!F6+'前提と出典'!$C$38*'契約別単価'!F7)</ns0:f>
        <ns0:v>244706.5164204785</ns0:v>
      </ns0:c>
      <ns0:c r="G339" s="16">
        <ns0:f>A339*('前提と出典'!$C$36*'契約別単価'!G5+'前提と出典'!$C$37*'契約別単価'!G6+'前提と出典'!$C$38*'契約別単価'!G7)</ns0:f>
        <ns0:v>666818.43575419</ns0:v>
      </ns0:c>
      <ns0:c r="H339" s="16">
        <ns0:f>A339*('前提と出典'!$C$36*'契約別単価'!H5+'前提と出典'!$C$37*'契約別単価'!H6+'前提と出典'!$C$38*'契約別単価'!H7)</ns0:f>
        <ns0:v>231419.4407793155</ns0:v>
      </ns0:c>
      <ns0:c r="I339" s="16">
        <ns0:f>A339*('前提と出典'!$C$36*'契約別単価'!I5+'前提と出典'!$C$37*'契約別単価'!I6+'前提と出典'!$C$38*'契約別単価'!I7)</ns0:f>
        <ns0:v>14135.502793296087</ns0:v>
      </ns0:c>
      <ns0:c r="J339" s="16">
        <ns0:f>A339*('前提と出典'!$C$36*'契約別単価'!J5+'前提と出典'!$C$37*'契約別単価'!J6+'前提と出典'!$C$38*'契約別単価'!J7)</ns0:f>
        <ns0:v>32926.99714295136</ns0:v>
      </ns0:c>
      <ns0:c r="K339" s="16">
        <ns0:f>A339*('前提と出典'!$C$36*'契約別単価'!K5+'前提と出典'!$C$37*'契約別単価'!K6+'前提と出典'!$C$38*'契約別単価'!K7)</ns0:f>
        <ns0:v>141136.68528864058</ns0:v>
      </ns0:c>
      <ns0:c r="L339" s="16">
        <ns0:f>A339*('前提と出典'!$C$36*'契約別単価'!L5+'前提と出典'!$C$37*'契約別単価'!L6+'前提と出典'!$C$38*'契約別単価'!L7)</ns0:f>
        <ns0:v>114913.98135931052</ns0:v>
      </ns0:c>
      <ns0:c r="M339" s="16">
        <ns0:f>IF(('前提と出典'!$C$36+'前提と出典'!$C$38)=0,0,IF(B339&lt;=10,'前提と出典'!B73+'前提と出典'!C73,IF(B339&lt;=100,'前提と出典'!B74+'前提と出典'!C74,IF(B339&lt;=500,'前提と出典'!B75+'前提と出典'!C75,'前提と出典'!B76+'前提と出典'!C76))))</ns0:f>
        <ns0:v>40000</ns0:v>
      </ns0:c>
      <ns0:c r="N339" s="16">
        <ns0:f>IF(('前提と出典'!$C$37+'前提と出典'!$C$38)=0,0,IF(C339&lt;=10,'前提と出典'!D73+'前提と出典'!E73,IF(C339&lt;=100,'前提と出典'!D74+'前提と出典'!E74,IF(C339&lt;=500,'前提と出典'!D75+'前提と出典'!E75,'前提と出典'!D76+'前提と出典'!E76))))</ns0:f>
        <ns0:v>56510.9346263078</ns0:v>
      </ns0:c>
      <ns0:c r="O339" s="16">
        <ns0:f>IF('前提と出典'!$C$36+'前提と出典'!$C$38=0,0,'前提と出典'!$B$4*IF('前提と出典'!$B$20=0,MAX('前提と出典'!$B$6,D339*'前提と出典'!$B$5),'前提と出典'!$B$6+D339*'前提と出典'!$B$5))</ns0:f>
        <ns0:v>332649.3854748604</ns0:v>
      </ns0:c>
      <ns0:c r="P339" s="16">
        <ns0:f>(E339+G339)*(1-'前提と出典'!$B$7)-I339-K339-M339-O339</ns0:f>
        <ns0:v>926721.5203416627</ns0:v>
      </ns0:c>
      <ns0:c r="Q339" s="16">
        <ns0:f>(F339+H339)*(1-'前提と出典'!$B$7)-J339-L339-N339</ns0:f>
        <ns0:v>254633.50961203172</ns0:v>
      </ns0:c>
      <ns0:c r="R339" s="16">
        <ns0:f>P339-E339*'前提と出典'!$E$4</ns0:f>
        <ns0:v>674077.2915559509</ns0:v>
      </ns0:c>
      <ns0:c r="S339" s="16">
        <ns0:f>Q339-F339*'前提と出典'!$E$4</ns0:f>
        <ns0:v>181221.55468588823</ns0:v>
      </ns0:c>
      <ns0:c r="T339" s="7">
        <ns0:f>R339+S339</ns0:f>
        <ns0:v>855298.8462418391</ns0:v>
      </ns0:c>
      <ns0:c r="U339" s="16">
        <ns0:f>P339-E339*'前提と出典'!$E$5</ns0:f>
        <ns0:v>589862.5486273803</ns0:v>
      </ns0:c>
      <ns0:c r="V339" s="16">
        <ns0:f>Q339-F339*'前提と出典'!$E$5</ns0:f>
        <ns0:v>156750.9030438403</ns0:v>
      </ns0:c>
      <ns0:c r="W339" s="7">
        <ns0:f>U339+V339</ns0:f>
        <ns0:v>746613.4516712206</ns0:v>
      </ns0:c>
      <ns0:c r="X339" s="16">
        <ns0:f>P339-E339*'前提と出典'!$E$6</ns0:f>
        <ns0:v>505647.8056988095</ns0:v>
      </ns0:c>
      <ns0:c r="Y339" s="16">
        <ns0:f>Q339-F339*'前提と出典'!$E$6</ns0:f>
        <ns0:v>132280.2514017925</ns0:v>
      </ns0:c>
      <ns0:c r="Z339" s="7">
        <ns0:f>X339+Y339</ns0:f>
        <ns0:v>637928.057100602</ns0:v>
      </ns0:c>
      <ns0:c r="AA339" s="7">
        <ns0:f>IF(T339&gt;=0,A339,1001)</ns0:f>
        <ns0:v>335</ns0:v>
      </ns0:c>
      <ns0:c r="AB339" s="7">
        <ns0:f>IF(T339&lt;0,A339,0)</ns0:f>
        <ns0:v>0</ns0:v>
      </ns0:c>
      <ns0:c r="AC339" s="16">
        <ns0:f>IF(AND(OR('前提と出典'!$C$36+'前提と出典'!$C$38=0,R339&gt;=0),OR('前提と出典'!$C$37+'前提と出典'!$C$38=0,S339&gt;=0)),0,A339)</ns0:f>
        <ns0:v>0</ns0:v>
      </ns0:c>
      <ns0:c r="AD339" s="7">
        <ns0:f>IF(W339&gt;=0,A339,1001)</ns0:f>
        <ns0:v>335</ns0:v>
      </ns0:c>
      <ns0:c r="AE339" s="7">
        <ns0:f>IF(W339&lt;0,A339,0)</ns0:f>
        <ns0:v>0</ns0:v>
      </ns0:c>
      <ns0:c r="AF339" s="16">
        <ns0:f>IF(AND(OR('前提と出典'!$C$36+'前提と出典'!$C$38=0,U339&gt;=0),OR('前提と出典'!$C$37+'前提と出典'!$C$38=0,V339&gt;=0)),0,A339)</ns0:f>
        <ns0:v>0</ns0:v>
      </ns0:c>
      <ns0:c r="AG339" s="7">
        <ns0:f>IF(Z339&gt;=0,A339,1001)</ns0:f>
        <ns0:v>335</ns0:v>
      </ns0:c>
      <ns0:c r="AH339" s="4">
        <ns0:f>IF(Z339&lt;0,A339,0)</ns0:f>
        <ns0:v>0</ns0:v>
      </ns0:c>
      <ns0:c r="AI339" s="12">
        <ns0:f>IF(AND(OR('前提と出典'!$C$36+'前提と出典'!$C$38=0,X339&gt;=0),OR('前提と出典'!$C$37+'前提と出典'!$C$38=0,Y339&gt;=0)),0,A339)</ns0:f>
        <ns0:v>0</ns0:v>
      </ns0:c>
    </ns0:row>
    <ns0:row r="340" ht="24" customHeight="1">
      <ns0:c r="A340" s="4" t="n">
        <ns0:v>336</ns0:v>
      </ns0:c>
      <ns0:c r="B340" s="12">
        <ns0:f>A340*('前提と出典'!$C$36+'前提と出典'!$C$38)</ns0:f>
        <ns0:v>235.2</ns0:v>
      </ns0:c>
      <ns0:c r="C340" s="12">
        <ns0:f>A340*('前提と出典'!$C$37+'前提と出典'!$C$38)</ns0:f>
        <ns0:v>201.6</ns0:v>
      </ns0:c>
      <ns0:c r="D340" s="16">
        <ns0:f>A340*('前提と出典'!$C$36*'契約別単価'!C5+'前提と出典'!$C$37*'契約別単価'!C6+'前提と出典'!$C$38*'契約別単価'!C7)</ns0:f>
        <ns0:v>2417.6983240223462</ns0:v>
      </ns0:c>
      <ns0:c r="E340" s="16">
        <ns0:f>A340*('前提と出典'!$C$36*'契約別単価'!E5+'前提と出典'!$C$37*'契約別単価'!E6+'前提と出典'!$C$38*'契約別単価'!E7)</ns0:f>
        <ns0:v>844661.3022089468</ns0:v>
      </ns0:c>
      <ns0:c r="F340" s="16">
        <ns0:f>A340*('前提と出典'!$C$36*'契約別単価'!F5+'前提と出典'!$C$37*'契約別単価'!F6+'前提と出典'!$C$38*'契約別単価'!F7)</ns0:f>
        <ns0:v>245436.98363367395</ns0:v>
      </ns0:c>
      <ns0:c r="G340" s="16">
        <ns0:f>A340*('前提と出典'!$C$36*'契約別単価'!G5+'前提と出典'!$C$37*'契約別単価'!G6+'前提と出典'!$C$38*'契約別単価'!G7)</ns0:f>
        <ns0:v>668808.938547486</ns0:v>
      </ns0:c>
      <ns0:c r="H340" s="16">
        <ns0:f>A340*('前提と出典'!$C$36*'契約別単価'!H5+'前提と出典'!$C$37*'契約別単価'!H6+'前提と出典'!$C$38*'契約別単価'!H7)</ns0:f>
        <ns0:v>232110.2450801493</ns0:v>
      </ns0:c>
      <ns0:c r="I340" s="16">
        <ns0:f>A340*('前提と出典'!$C$36*'契約別単価'!I5+'前提と出典'!$C$37*'契約別単価'!I6+'前提と出典'!$C$38*'契約別単価'!I7)</ns0:f>
        <ns0:v>14177.698324022344</ns0:v>
      </ns0:c>
      <ns0:c r="J340" s="16">
        <ns0:f>A340*('前提と出典'!$C$36*'契約別単価'!J5+'前提と出典'!$C$37*'契約別単価'!J6+'前提と出典'!$C$38*'契約別単価'!J7)</ns0:f>
        <ns0:v>33025.28668666166</ns0:v>
      </ns0:c>
      <ns0:c r="K340" s="16">
        <ns0:f>A340*('前提と出典'!$C$36*'契約別単価'!K5+'前提と出典'!$C$37*'契約別単価'!K6+'前提と出典'!$C$38*'契約別単価'!K7)</ns0:f>
        <ns0:v>141557.98882681562</ns0:v>
      </ns0:c>
      <ns0:c r="L340" s="16">
        <ns0:f>A340*('前提と出典'!$C$36*'契約別単価'!L5+'前提と出典'!$C$37*'契約別単価'!L6+'前提と出典'!$C$38*'契約別単価'!L7)</ns0:f>
        <ns0:v>115257.00816933831</ns0:v>
      </ns0:c>
      <ns0:c r="M340" s="16">
        <ns0:f>IF(('前提と出典'!$C$36+'前提と出典'!$C$38)=0,0,IF(B340&lt;=10,'前提と出典'!B73+'前提と出典'!C73,IF(B340&lt;=100,'前提と出典'!B74+'前提と出典'!C74,IF(B340&lt;=500,'前提と出典'!B75+'前提と出典'!C75,'前提と出典'!B76+'前提と出典'!C76))))</ns0:f>
        <ns0:v>40000</ns0:v>
      </ns0:c>
      <ns0:c r="N340" s="16">
        <ns0:f>IF(('前提と出典'!$C$37+'前提と出典'!$C$38)=0,0,IF(C340&lt;=10,'前提と出典'!D73+'前提と出典'!E73,IF(C340&lt;=100,'前提と出典'!D74+'前提と出典'!E74,IF(C340&lt;=500,'前提と出典'!D75+'前提と出典'!E75,'前提と出典'!D76+'前提と出典'!E76))))</ns0:f>
        <ns0:v>56510.9346263078</ns0:v>
      </ns0:c>
      <ns0:c r="O340" s="16">
        <ns0:f>IF('前提と出典'!$C$36+'前提と出典'!$C$38=0,0,'前提と出典'!$B$4*IF('前提と出典'!$B$20=0,MAX('前提と出典'!$B$6,D340*'前提と出典'!$B$5),'前提と出典'!$B$6+D340*'前提と出典'!$B$5))</ns0:f>
        <ns0:v>333642.36871508375</ns0:v>
      </ns0:c>
      <ns0:c r="P340" s="16">
        <ns0:f>(E340+G340)*(1-'前提と出典'!$B$7)-I340-K340-M340-O340</ns0:f>
        <ns0:v>929607.2562232795</ns0:v>
      </ns0:c>
      <ns0:c r="Q340" s="16">
        <ns0:f>(F340+H340)*(1-'前提と出典'!$B$7)-J340-L340-N340</ns0:f>
        <ns0:v>255562.29899781782</ns0:v>
      </ns0:c>
      <ns0:c r="R340" s="16">
        <ns0:f>P340-E340*'前提と出典'!$E$4</ns0:f>
        <ns0:v>676208.8655605954</ns0:v>
      </ns0:c>
      <ns0:c r="S340" s="16">
        <ns0:f>Q340-F340*'前提と出典'!$E$4</ns0:f>
        <ns0:v>181931.20390771565</ns0:v>
      </ns0:c>
      <ns0:c r="T340" s="7">
        <ns0:f>R340+S340</ns0:f>
        <ns0:v>858140.069468311</ns0:v>
      </ns0:c>
      <ns0:c r="U340" s="16">
        <ns0:f>P340-E340*'前提と出典'!$E$5</ns0:f>
        <ns0:v>591742.7353397007</ns0:v>
      </ns0:c>
      <ns0:c r="V340" s="16">
        <ns0:f>Q340-F340*'前提と出典'!$E$5</ns0:f>
        <ns0:v>157387.50554434824</ns0:v>
      </ns0:c>
      <ns0:c r="W340" s="7">
        <ns0:f>U340+V340</ns0:f>
        <ns0:v>749130.240884049</ns0:v>
      </ns0:c>
      <ns0:c r="X340" s="16">
        <ns0:f>P340-E340*'前提と出典'!$E$6</ns0:f>
        <ns0:v>507276.6051188062</ns0:v>
      </ns0:c>
      <ns0:c r="Y340" s="16">
        <ns0:f>Q340-F340*'前提と出典'!$E$6</ns0:f>
        <ns0:v>132843.80718098083</ns0:v>
      </ns0:c>
      <ns0:c r="Z340" s="7">
        <ns0:f>X340+Y340</ns0:f>
        <ns0:v>640120.412299787</ns0:v>
      </ns0:c>
      <ns0:c r="AA340" s="7">
        <ns0:f>IF(T340&gt;=0,A340,1001)</ns0:f>
        <ns0:v>336</ns0:v>
      </ns0:c>
      <ns0:c r="AB340" s="7">
        <ns0:f>IF(T340&lt;0,A340,0)</ns0:f>
        <ns0:v>0</ns0:v>
      </ns0:c>
      <ns0:c r="AC340" s="16">
        <ns0:f>IF(AND(OR('前提と出典'!$C$36+'前提と出典'!$C$38=0,R340&gt;=0),OR('前提と出典'!$C$37+'前提と出典'!$C$38=0,S340&gt;=0)),0,A340)</ns0:f>
        <ns0:v>0</ns0:v>
      </ns0:c>
      <ns0:c r="AD340" s="7">
        <ns0:f>IF(W340&gt;=0,A340,1001)</ns0:f>
        <ns0:v>336</ns0:v>
      </ns0:c>
      <ns0:c r="AE340" s="7">
        <ns0:f>IF(W340&lt;0,A340,0)</ns0:f>
        <ns0:v>0</ns0:v>
      </ns0:c>
      <ns0:c r="AF340" s="16">
        <ns0:f>IF(AND(OR('前提と出典'!$C$36+'前提と出典'!$C$38=0,U340&gt;=0),OR('前提と出典'!$C$37+'前提と出典'!$C$38=0,V340&gt;=0)),0,A340)</ns0:f>
        <ns0:v>0</ns0:v>
      </ns0:c>
      <ns0:c r="AG340" s="7">
        <ns0:f>IF(Z340&gt;=0,A340,1001)</ns0:f>
        <ns0:v>336</ns0:v>
      </ns0:c>
      <ns0:c r="AH340" s="4">
        <ns0:f>IF(Z340&lt;0,A340,0)</ns0:f>
        <ns0:v>0</ns0:v>
      </ns0:c>
      <ns0:c r="AI340" s="12">
        <ns0:f>IF(AND(OR('前提と出典'!$C$36+'前提と出典'!$C$38=0,X340&gt;=0),OR('前提と出典'!$C$37+'前提と出典'!$C$38=0,Y340&gt;=0)),0,A340)</ns0:f>
        <ns0:v>0</ns0:v>
      </ns0:c>
    </ns0:row>
    <ns0:row r="341" ht="24" customHeight="1">
      <ns0:c r="A341" s="4" t="n">
        <ns0:v>337</ns0:v>
      </ns0:c>
      <ns0:c r="B341" s="12">
        <ns0:f>A341*('前提と出典'!$C$36+'前提と出典'!$C$38)</ns0:f>
        <ns0:v>235.89999999999998</ns0:v>
      </ns0:c>
      <ns0:c r="C341" s="12">
        <ns0:f>A341*('前提と出典'!$C$37+'前提と出典'!$C$38)</ns0:f>
        <ns0:v>202.2</ns0:v>
      </ns0:c>
      <ns0:c r="D341" s="16">
        <ns0:f>A341*('前提と出典'!$C$36*'契約別単価'!C5+'前提と出典'!$C$37*'契約別単価'!C6+'前提と出典'!$C$38*'契約別単価'!C7)</ns0:f>
        <ns0:v>2424.893854748603</ns0:v>
      </ns0:c>
      <ns0:c r="E341" s="16">
        <ns0:f>A341*('前提と出典'!$C$36*'契約別単価'!E5+'前提と出典'!$C$37*'契約別単価'!E6+'前提と出典'!$C$38*'契約別単価'!E7)</ns0:f>
        <ns0:v>847175.1751321878</ns0:v>
      </ns0:c>
      <ns0:c r="F341" s="16">
        <ns0:f>A341*('前提と出典'!$C$36*'契約別単価'!F5+'前提と出典'!$C$37*'契約別単価'!F6+'前提と出典'!$C$38*'契約別単価'!F7)</ns0:f>
        <ns0:v>246167.4508468694</ns0:v>
      </ns0:c>
      <ns0:c r="G341" s="16">
        <ns0:f>A341*('前提と出典'!$C$36*'契約別単価'!G5+'前提と出典'!$C$37*'契約別単価'!G6+'前提と出典'!$C$38*'契約別単価'!G7)</ns0:f>
        <ns0:v>670799.4413407821</ns0:v>
      </ns0:c>
      <ns0:c r="H341" s="16">
        <ns0:f>A341*('前提と出典'!$C$36*'契約別単価'!H5+'前提と出典'!$C$37*'契約別単価'!H6+'前提と出典'!$C$38*'契約別単価'!H7)</ns0:f>
        <ns0:v>232801.04938098308</ns0:v>
      </ns0:c>
      <ns0:c r="I341" s="16">
        <ns0:f>A341*('前提と出典'!$C$36*'契約別単価'!I5+'前提と出典'!$C$37*'契約別単価'!I6+'前提と出典'!$C$38*'契約別単価'!I7)</ns0:f>
        <ns0:v>14219.893854748601</ns0:v>
      </ns0:c>
      <ns0:c r="J341" s="16">
        <ns0:f>A341*('前提と出典'!$C$36*'契約別単価'!J5+'前提と出典'!$C$37*'契約別単価'!J6+'前提と出典'!$C$38*'契約別単価'!J7)</ns0:f>
        <ns0:v>33123.57623037197</ns0:v>
      </ns0:c>
      <ns0:c r="K341" s="16">
        <ns0:f>A341*('前提と出典'!$C$36*'契約別単価'!K5+'前提と出典'!$C$37*'契約別単価'!K6+'前提と出典'!$C$38*'契約別単価'!K7)</ns0:f>
        <ns0:v>141979.2923649907</ns0:v>
      </ns0:c>
      <ns0:c r="L341" s="16">
        <ns0:f>A341*('前提と出典'!$C$36*'契約別単価'!L5+'前提と出典'!$C$37*'契約別単価'!L6+'前提と出典'!$C$38*'契約別単価'!L7)</ns0:f>
        <ns0:v>115600.0349793661</ns0:v>
      </ns0:c>
      <ns0:c r="M341" s="16">
        <ns0:f>IF(('前提と出典'!$C$36+'前提と出典'!$C$38)=0,0,IF(B341&lt;=10,'前提と出典'!B73+'前提と出典'!C73,IF(B341&lt;=100,'前提と出典'!B74+'前提と出典'!C74,IF(B341&lt;=500,'前提と出典'!B75+'前提と出典'!C75,'前提と出典'!B76+'前提と出典'!C76))))</ns0:f>
        <ns0:v>40000</ns0:v>
      </ns0:c>
      <ns0:c r="N341" s="16">
        <ns0:f>IF(('前提と出典'!$C$37+'前提と出典'!$C$38)=0,0,IF(C341&lt;=10,'前提と出典'!D73+'前提と出典'!E73,IF(C341&lt;=100,'前提と出典'!D74+'前提と出典'!E74,IF(C341&lt;=500,'前提と出典'!D75+'前提と出典'!E75,'前提と出典'!D76+'前提と出典'!E76))))</ns0:f>
        <ns0:v>56510.9346263078</ns0:v>
      </ns0:c>
      <ns0:c r="O341" s="16">
        <ns0:f>IF('前提と出典'!$C$36+'前提と出典'!$C$38=0,0,'前提と出典'!$B$4*IF('前提と出典'!$B$20=0,MAX('前提と出典'!$B$6,D341*'前提と出典'!$B$5),'前提と出典'!$B$6+D341*'前提と出典'!$B$5))</ns0:f>
        <ns0:v>334635.35195530724</ns0:v>
      </ns0:c>
      <ns0:c r="P341" s="16">
        <ns0:f>(E341+G341)*(1-'前提と出典'!$B$7)-I341-K341-M341-O341</ns0:f>
        <ns0:v>932492.9921048961</ns0:v>
      </ns0:c>
      <ns0:c r="Q341" s="16">
        <ns0:f>(F341+H341)*(1-'前提と出典'!$B$7)-J341-L341-N341</ns0:f>
        <ns0:v>256491.08838360396</ns0:v>
      </ns0:c>
      <ns0:c r="R341" s="16">
        <ns0:f>P341-E341*'前提と出典'!$E$4</ns0:f>
        <ns0:v>678340.4395652399</ns0:v>
      </ns0:c>
      <ns0:c r="S341" s="16">
        <ns0:f>Q341-F341*'前提と出典'!$E$4</ns0:f>
        <ns0:v>182640.85312954313</ns0:v>
      </ns0:c>
      <ns0:c r="T341" s="7">
        <ns0:f>R341+S341</ns0:f>
        <ns0:v>860981.2926947831</ns0:v>
      </ns0:c>
      <ns0:c r="U341" s="16">
        <ns0:f>P341-E341*'前提と出典'!$E$5</ns0:f>
        <ns0:v>593622.9220520209</ns0:v>
      </ns0:c>
      <ns0:c r="V341" s="16">
        <ns0:f>Q341-F341*'前提と出典'!$E$5</ns0:f>
        <ns0:v>158024.10804485617</ns0:v>
      </ns0:c>
      <ns0:c r="W341" s="7">
        <ns0:f>U341+V341</ns0:f>
        <ns0:v>751647.0300968771</ns0:v>
      </ns0:c>
      <ns0:c r="X341" s="16">
        <ns0:f>P341-E341*'前提と出典'!$E$6</ns0:f>
        <ns0:v>508905.4045388024</ns0:v>
      </ns0:c>
      <ns0:c r="Y341" s="16">
        <ns0:f>Q341-F341*'前提と出典'!$E$6</ns0:f>
        <ns0:v>133407.36296016927</ns0:v>
      </ns0:c>
      <ns0:c r="Z341" s="7">
        <ns0:f>X341+Y341</ns0:f>
        <ns0:v>642312.7674989717</ns0:v>
      </ns0:c>
      <ns0:c r="AA341" s="7">
        <ns0:f>IF(T341&gt;=0,A341,1001)</ns0:f>
        <ns0:v>337</ns0:v>
      </ns0:c>
      <ns0:c r="AB341" s="7">
        <ns0:f>IF(T341&lt;0,A341,0)</ns0:f>
        <ns0:v>0</ns0:v>
      </ns0:c>
      <ns0:c r="AC341" s="16">
        <ns0:f>IF(AND(OR('前提と出典'!$C$36+'前提と出典'!$C$38=0,R341&gt;=0),OR('前提と出典'!$C$37+'前提と出典'!$C$38=0,S341&gt;=0)),0,A341)</ns0:f>
        <ns0:v>0</ns0:v>
      </ns0:c>
      <ns0:c r="AD341" s="7">
        <ns0:f>IF(W341&gt;=0,A341,1001)</ns0:f>
        <ns0:v>337</ns0:v>
      </ns0:c>
      <ns0:c r="AE341" s="7">
        <ns0:f>IF(W341&lt;0,A341,0)</ns0:f>
        <ns0:v>0</ns0:v>
      </ns0:c>
      <ns0:c r="AF341" s="16">
        <ns0:f>IF(AND(OR('前提と出典'!$C$36+'前提と出典'!$C$38=0,U341&gt;=0),OR('前提と出典'!$C$37+'前提と出典'!$C$38=0,V341&gt;=0)),0,A341)</ns0:f>
        <ns0:v>0</ns0:v>
      </ns0:c>
      <ns0:c r="AG341" s="7">
        <ns0:f>IF(Z341&gt;=0,A341,1001)</ns0:f>
        <ns0:v>337</ns0:v>
      </ns0:c>
      <ns0:c r="AH341" s="4">
        <ns0:f>IF(Z341&lt;0,A341,0)</ns0:f>
        <ns0:v>0</ns0:v>
      </ns0:c>
      <ns0:c r="AI341" s="12">
        <ns0:f>IF(AND(OR('前提と出典'!$C$36+'前提と出典'!$C$38=0,X341&gt;=0),OR('前提と出典'!$C$37+'前提と出典'!$C$38=0,Y341&gt;=0)),0,A341)</ns0:f>
        <ns0:v>0</ns0:v>
      </ns0:c>
    </ns0:row>
    <ns0:row r="342" ht="24" customHeight="1">
      <ns0:c r="A342" s="4" t="n">
        <ns0:v>338</ns0:v>
      </ns0:c>
      <ns0:c r="B342" s="12">
        <ns0:f>A342*('前提と出典'!$C$36+'前提と出典'!$C$38)</ns0:f>
        <ns0:v>236.6</ns0:v>
      </ns0:c>
      <ns0:c r="C342" s="12">
        <ns0:f>A342*('前提と出典'!$C$37+'前提と出典'!$C$38)</ns0:f>
        <ns0:v>202.79999999999998</ns0:v>
      </ns0:c>
      <ns0:c r="D342" s="16">
        <ns0:f>A342*('前提と出典'!$C$36*'契約別単価'!C5+'前提と出典'!$C$37*'契約別単価'!C6+'前提と出典'!$C$38*'契約別単価'!C7)</ns0:f>
        <ns0:v>2432.08938547486</ns0:v>
      </ns0:c>
      <ns0:c r="E342" s="16">
        <ns0:f>A342*('前提と出典'!$C$36*'契約別単価'!E5+'前提と出典'!$C$37*'契約別単価'!E6+'前提と出典'!$C$38*'契約別単価'!E7)</ns0:f>
        <ns0:v>849689.0480554287</ns0:v>
      </ns0:c>
      <ns0:c r="F342" s="16">
        <ns0:f>A342*('前提と出典'!$C$36*'契約別単価'!F5+'前提と出典'!$C$37*'契約別単価'!F6+'前提と出典'!$C$38*'契約別単価'!F7)</ns0:f>
        <ns0:v>246897.91806006487</ns0:v>
      </ns0:c>
      <ns0:c r="G342" s="16">
        <ns0:f>A342*('前提と出典'!$C$36*'契約別単価'!G5+'前提と出典'!$C$37*'契約別単価'!G6+'前提と出典'!$C$38*'契約別単価'!G7)</ns0:f>
        <ns0:v>672789.9441340782</ns0:v>
      </ns0:c>
      <ns0:c r="H342" s="16">
        <ns0:f>A342*('前提と出典'!$C$36*'契約別単価'!H5+'前提と出典'!$C$37*'契約別単価'!H6+'前提と出典'!$C$38*'契約別単価'!H7)</ns0:f>
        <ns0:v>233491.85368181686</ns0:v>
      </ns0:c>
      <ns0:c r="I342" s="16">
        <ns0:f>A342*('前提と出典'!$C$36*'契約別単価'!I5+'前提と出典'!$C$37*'契約別単価'!I6+'前提と出典'!$C$38*'契約別単価'!I7)</ns0:f>
        <ns0:v>14262.089385474857</ns0:v>
      </ns0:c>
      <ns0:c r="J342" s="16">
        <ns0:f>A342*('前提と出典'!$C$36*'契約別単価'!J5+'前提と出典'!$C$37*'契約別単価'!J6+'前提と出典'!$C$38*'契約別単価'!J7)</ns0:f>
        <ns0:v>33221.86577408227</ns0:v>
      </ns0:c>
      <ns0:c r="K342" s="16">
        <ns0:f>A342*('前提と出典'!$C$36*'契約別単価'!K5+'前提と出典'!$C$37*'契約別単価'!K6+'前提と出典'!$C$38*'契約別単価'!K7)</ns0:f>
        <ns0:v>142400.59590316573</ns0:v>
      </ns0:c>
      <ns0:c r="L342" s="16">
        <ns0:f>A342*('前提と出典'!$C$36*'契約別単価'!L5+'前提と出典'!$C$37*'契約別単価'!L6+'前提と出典'!$C$38*'契約別単価'!L7)</ns0:f>
        <ns0:v>115943.06178939389</ns0:v>
      </ns0:c>
      <ns0:c r="M342" s="16">
        <ns0:f>IF(('前提と出典'!$C$36+'前提と出典'!$C$38)=0,0,IF(B342&lt;=10,'前提と出典'!B73+'前提と出典'!C73,IF(B342&lt;=100,'前提と出典'!B74+'前提と出典'!C74,IF(B342&lt;=500,'前提と出典'!B75+'前提と出典'!C75,'前提と出典'!B76+'前提と出典'!C76))))</ns0:f>
        <ns0:v>40000</ns0:v>
      </ns0:c>
      <ns0:c r="N342" s="16">
        <ns0:f>IF(('前提と出典'!$C$37+'前提と出典'!$C$38)=0,0,IF(C342&lt;=10,'前提と出典'!D73+'前提と出典'!E73,IF(C342&lt;=100,'前提と出典'!D74+'前提と出典'!E74,IF(C342&lt;=500,'前提と出典'!D75+'前提と出典'!E75,'前提と出典'!D76+'前提と出典'!E76))))</ns0:f>
        <ns0:v>56510.9346263078</ns0:v>
      </ns0:c>
      <ns0:c r="O342" s="16">
        <ns0:f>IF('前提と出典'!$C$36+'前提と出典'!$C$38=0,0,'前提と出典'!$B$4*IF('前提と出典'!$B$20=0,MAX('前提と出典'!$B$6,D342*'前提と出典'!$B$5),'前提と出典'!$B$6+D342*'前提と出典'!$B$5))</ns0:f>
        <ns0:v>335628.33519553073</ns0:v>
      </ns0:c>
      <ns0:c r="P342" s="16">
        <ns0:f>(E342+G342)*(1-'前提と出典'!$B$7)-I342-K342-M342-O342</ns0:f>
        <ns0:v>935378.7279865133</ns0:v>
      </ns0:c>
      <ns0:c r="Q342" s="16">
        <ns0:f>(F342+H342)*(1-'前提と出典'!$B$7)-J342-L342-N342</ns0:f>
        <ns0:v>257419.87776939006</ns0:v>
      </ns0:c>
      <ns0:c r="R342" s="16">
        <ns0:f>P342-E342*'前提と出典'!$E$4</ns0:f>
        <ns0:v>680472.0135698849</ns0:v>
      </ns0:c>
      <ns0:c r="S342" s="16">
        <ns0:f>Q342-F342*'前提と出典'!$E$4</ns0:f>
        <ns0:v>183350.50235137058</ns0:v>
      </ns0:c>
      <ns0:c r="T342" s="7">
        <ns0:f>R342+S342</ns0:f>
        <ns0:v>863822.5159212556</ns0:v>
      </ns0:c>
      <ns0:c r="U342" s="16">
        <ns0:f>P342-E342*'前提と出典'!$E$5</ns0:f>
        <ns0:v>595503.1087643418</ns0:v>
      </ns0:c>
      <ns0:c r="V342" s="16">
        <ns0:f>Q342-F342*'前提と出典'!$E$5</ns0:f>
        <ns0:v>158660.71054536413</ns0:v>
      </ns0:c>
      <ns0:c r="W342" s="7">
        <ns0:f>U342+V342</ns0:f>
        <ns0:v>754163.8193097059</ns0:v>
      </ns0:c>
      <ns0:c r="X342" s="16">
        <ns0:f>P342-E342*'前提と出典'!$E$6</ns0:f>
        <ns0:v>510534.2039587992</ns0:v>
      </ns0:c>
      <ns0:c r="Y342" s="16">
        <ns0:f>Q342-F342*'前提と出典'!$E$6</ns0:f>
        <ns0:v>133970.9187393576</ns0:v>
      </ns0:c>
      <ns0:c r="Z342" s="7">
        <ns0:f>X342+Y342</ns0:f>
        <ns0:v>644505.1226981569</ns0:v>
      </ns0:c>
      <ns0:c r="AA342" s="7">
        <ns0:f>IF(T342&gt;=0,A342,1001)</ns0:f>
        <ns0:v>338</ns0:v>
      </ns0:c>
      <ns0:c r="AB342" s="7">
        <ns0:f>IF(T342&lt;0,A342,0)</ns0:f>
        <ns0:v>0</ns0:v>
      </ns0:c>
      <ns0:c r="AC342" s="16">
        <ns0:f>IF(AND(OR('前提と出典'!$C$36+'前提と出典'!$C$38=0,R342&gt;=0),OR('前提と出典'!$C$37+'前提と出典'!$C$38=0,S342&gt;=0)),0,A342)</ns0:f>
        <ns0:v>0</ns0:v>
      </ns0:c>
      <ns0:c r="AD342" s="7">
        <ns0:f>IF(W342&gt;=0,A342,1001)</ns0:f>
        <ns0:v>338</ns0:v>
      </ns0:c>
      <ns0:c r="AE342" s="7">
        <ns0:f>IF(W342&lt;0,A342,0)</ns0:f>
        <ns0:v>0</ns0:v>
      </ns0:c>
      <ns0:c r="AF342" s="16">
        <ns0:f>IF(AND(OR('前提と出典'!$C$36+'前提と出典'!$C$38=0,U342&gt;=0),OR('前提と出典'!$C$37+'前提と出典'!$C$38=0,V342&gt;=0)),0,A342)</ns0:f>
        <ns0:v>0</ns0:v>
      </ns0:c>
      <ns0:c r="AG342" s="7">
        <ns0:f>IF(Z342&gt;=0,A342,1001)</ns0:f>
        <ns0:v>338</ns0:v>
      </ns0:c>
      <ns0:c r="AH342" s="4">
        <ns0:f>IF(Z342&lt;0,A342,0)</ns0:f>
        <ns0:v>0</ns0:v>
      </ns0:c>
      <ns0:c r="AI342" s="12">
        <ns0:f>IF(AND(OR('前提と出典'!$C$36+'前提と出典'!$C$38=0,X342&gt;=0),OR('前提と出典'!$C$37+'前提と出典'!$C$38=0,Y342&gt;=0)),0,A342)</ns0:f>
        <ns0:v>0</ns0:v>
      </ns0:c>
    </ns0:row>
    <ns0:row r="343" ht="24" customHeight="1">
      <ns0:c r="A343" s="4" t="n">
        <ns0:v>339</ns0:v>
      </ns0:c>
      <ns0:c r="B343" s="12">
        <ns0:f>A343*('前提と出典'!$C$36+'前提と出典'!$C$38)</ns0:f>
        <ns0:v>237.29999999999998</ns0:v>
      </ns0:c>
      <ns0:c r="C343" s="12">
        <ns0:f>A343*('前提と出典'!$C$37+'前提と出典'!$C$38)</ns0:f>
        <ns0:v>203.4</ns0:v>
      </ns0:c>
      <ns0:c r="D343" s="16">
        <ns0:f>A343*('前提と出典'!$C$36*'契約別単価'!C5+'前提と出典'!$C$37*'契約別単価'!C6+'前提と出典'!$C$38*'契約別単価'!C7)</ns0:f>
        <ns0:v>2439.284916201117</ns0:v>
      </ns0:c>
      <ns0:c r="E343" s="16">
        <ns0:f>A343*('前提と出典'!$C$36*'契約別単価'!E5+'前提と出典'!$C$37*'契約別単価'!E6+'前提と出典'!$C$38*'契約別単価'!E7)</ns0:f>
        <ns0:v>852202.9209786695</ns0:v>
      </ns0:c>
      <ns0:c r="F343" s="16">
        <ns0:f>A343*('前提と出典'!$C$36*'契約別単価'!F5+'前提と出典'!$C$37*'契約別単価'!F6+'前提と出典'!$C$38*'契約別単価'!F7)</ns0:f>
        <ns0:v>247628.38527326033</ns0:v>
      </ns0:c>
      <ns0:c r="G343" s="16">
        <ns0:f>A343*('前提と出典'!$C$36*'契約別単価'!G5+'前提と出典'!$C$37*'契約別単価'!G6+'前提と出典'!$C$38*'契約別単価'!G7)</ns0:f>
        <ns0:v>674780.4469273742</ns0:v>
      </ns0:c>
      <ns0:c r="H343" s="16">
        <ns0:f>A343*('前提と出典'!$C$36*'契約別単価'!H5+'前提と出典'!$C$37*'契約別単価'!H6+'前提と出典'!$C$38*'契約別単価'!H7)</ns0:f>
        <ns0:v>234182.65798265065</ns0:v>
      </ns0:c>
      <ns0:c r="I343" s="16">
        <ns0:f>A343*('前提と出典'!$C$36*'契約別単価'!I5+'前提と出典'!$C$37*'契約別単価'!I6+'前提と出典'!$C$38*'契約別単価'!I7)</ns0:f>
        <ns0:v>14304.284916201115</ns0:v>
      </ns0:c>
      <ns0:c r="J343" s="16">
        <ns0:f>A343*('前提と出典'!$C$36*'契約別単価'!J5+'前提と出典'!$C$37*'契約別単価'!J6+'前提と出典'!$C$38*'契約別単価'!J7)</ns0:f>
        <ns0:v>33320.15531779257</ns0:v>
      </ns0:c>
      <ns0:c r="K343" s="16">
        <ns0:f>A343*('前提と出典'!$C$36*'契約別単価'!K5+'前提と出典'!$C$37*'契約別単価'!K6+'前提と出典'!$C$38*'契約別単価'!K7)</ns0:f>
        <ns0:v>142821.89944134076</ns0:v>
      </ns0:c>
      <ns0:c r="L343" s="16">
        <ns0:f>A343*('前提と出典'!$C$36*'契約別単価'!L5+'前提と出典'!$C$37*'契約別単価'!L6+'前提と出典'!$C$38*'契約別単価'!L7)</ns0:f>
        <ns0:v>116286.08859942168</ns0:v>
      </ns0:c>
      <ns0:c r="M343" s="16">
        <ns0:f>IF(('前提と出典'!$C$36+'前提と出典'!$C$38)=0,0,IF(B343&lt;=10,'前提と出典'!B73+'前提と出典'!C73,IF(B343&lt;=100,'前提と出典'!B74+'前提と出典'!C74,IF(B343&lt;=500,'前提と出典'!B75+'前提と出典'!C75,'前提と出典'!B76+'前提と出典'!C76))))</ns0:f>
        <ns0:v>40000</ns0:v>
      </ns0:c>
      <ns0:c r="N343" s="16">
        <ns0:f>IF(('前提と出典'!$C$37+'前提と出典'!$C$38)=0,0,IF(C343&lt;=10,'前提と出典'!D73+'前提と出典'!E73,IF(C343&lt;=100,'前提と出典'!D74+'前提と出典'!E74,IF(C343&lt;=500,'前提と出典'!D75+'前提と出典'!E75,'前提と出典'!D76+'前提と出典'!E76))))</ns0:f>
        <ns0:v>56510.9346263078</ns0:v>
      </ns0:c>
      <ns0:c r="O343" s="16">
        <ns0:f>IF('前提と出典'!$C$36+'前提と出典'!$C$38=0,0,'前提と出典'!$B$4*IF('前提と出典'!$B$20=0,MAX('前提と出典'!$B$6,D343*'前提と出典'!$B$5),'前提と出典'!$B$6+D343*'前提と出典'!$B$5))</ns0:f>
        <ns0:v>336621.31843575416</ns0:v>
      </ns0:c>
      <ns0:c r="P343" s="16">
        <ns0:f>(E343+G343)*(1-'前提と出典'!$B$7)-I343-K343-M343-O343</ns0:f>
        <ns0:v>938264.4638681302</ns0:v>
      </ns0:c>
      <ns0:c r="Q343" s="16">
        <ns0:f>(F343+H343)*(1-'前提と出典'!$B$7)-J343-L343-N343</ns0:f>
        <ns0:v>258348.66715517617</ns0:v>
      </ns0:c>
      <ns0:c r="R343" s="16">
        <ns0:f>P343-E343*'前提と出典'!$E$4</ns0:f>
        <ns0:v>682603.5875745295</ns0:v>
      </ns0:c>
      <ns0:c r="S343" s="16">
        <ns0:f>Q343-F343*'前提と出典'!$E$4</ns0:f>
        <ns0:v>184060.1515731981</ns0:v>
      </ns0:c>
      <ns0:c r="T343" s="7">
        <ns0:f>R343+S343</ns0:f>
        <ns0:v>866663.7391477276</ns0:v>
      </ns0:c>
      <ns0:c r="U343" s="16">
        <ns0:f>P343-E343*'前提と出典'!$E$5</ns0:f>
        <ns0:v>597383.2954766625</ns0:v>
      </ns0:c>
      <ns0:c r="V343" s="16">
        <ns0:f>Q343-F343*'前提と出典'!$E$5</ns0:f>
        <ns0:v>159297.31304587203</ns0:v>
      </ns0:c>
      <ns0:c r="W343" s="7">
        <ns0:f>U343+V343</ns0:f>
        <ns0:v>756680.6085225345</ns0:v>
      </ns0:c>
      <ns0:c r="X343" s="16">
        <ns0:f>P343-E343*'前提と出典'!$E$6</ns0:f>
        <ns0:v>512163.00337879546</ns0:v>
      </ns0:c>
      <ns0:c r="Y343" s="16">
        <ns0:f>Q343-F343*'前提と出典'!$E$6</ns0:f>
        <ns0:v>134534.47451854602</ns0:v>
      </ns0:c>
      <ns0:c r="Z343" s="7">
        <ns0:f>X343+Y343</ns0:f>
        <ns0:v>646697.4778973415</ns0:v>
      </ns0:c>
      <ns0:c r="AA343" s="7">
        <ns0:f>IF(T343&gt;=0,A343,1001)</ns0:f>
        <ns0:v>339</ns0:v>
      </ns0:c>
      <ns0:c r="AB343" s="7">
        <ns0:f>IF(T343&lt;0,A343,0)</ns0:f>
        <ns0:v>0</ns0:v>
      </ns0:c>
      <ns0:c r="AC343" s="16">
        <ns0:f>IF(AND(OR('前提と出典'!$C$36+'前提と出典'!$C$38=0,R343&gt;=0),OR('前提と出典'!$C$37+'前提と出典'!$C$38=0,S343&gt;=0)),0,A343)</ns0:f>
        <ns0:v>0</ns0:v>
      </ns0:c>
      <ns0:c r="AD343" s="7">
        <ns0:f>IF(W343&gt;=0,A343,1001)</ns0:f>
        <ns0:v>339</ns0:v>
      </ns0:c>
      <ns0:c r="AE343" s="7">
        <ns0:f>IF(W343&lt;0,A343,0)</ns0:f>
        <ns0:v>0</ns0:v>
      </ns0:c>
      <ns0:c r="AF343" s="16">
        <ns0:f>IF(AND(OR('前提と出典'!$C$36+'前提と出典'!$C$38=0,U343&gt;=0),OR('前提と出典'!$C$37+'前提と出典'!$C$38=0,V343&gt;=0)),0,A343)</ns0:f>
        <ns0:v>0</ns0:v>
      </ns0:c>
      <ns0:c r="AG343" s="7">
        <ns0:f>IF(Z343&gt;=0,A343,1001)</ns0:f>
        <ns0:v>339</ns0:v>
      </ns0:c>
      <ns0:c r="AH343" s="4">
        <ns0:f>IF(Z343&lt;0,A343,0)</ns0:f>
        <ns0:v>0</ns0:v>
      </ns0:c>
      <ns0:c r="AI343" s="12">
        <ns0:f>IF(AND(OR('前提と出典'!$C$36+'前提と出典'!$C$38=0,X343&gt;=0),OR('前提と出典'!$C$37+'前提と出典'!$C$38=0,Y343&gt;=0)),0,A343)</ns0:f>
        <ns0:v>0</ns0:v>
      </ns0:c>
    </ns0:row>
    <ns0:row r="344" ht="24" customHeight="1">
      <ns0:c r="A344" s="4" t="n">
        <ns0:v>340</ns0:v>
      </ns0:c>
      <ns0:c r="B344" s="12">
        <ns0:f>A344*('前提と出典'!$C$36+'前提と出典'!$C$38)</ns0:f>
        <ns0:v>237.99999999999997</ns0:v>
      </ns0:c>
      <ns0:c r="C344" s="12">
        <ns0:f>A344*('前提と出典'!$C$37+'前提と出典'!$C$38)</ns0:f>
        <ns0:v>204</ns0:v>
      </ns0:c>
      <ns0:c r="D344" s="16">
        <ns0:f>A344*('前提と出典'!$C$36*'契約別単価'!C5+'前提と出典'!$C$37*'契約別単価'!C6+'前提と出典'!$C$38*'契約別単価'!C7)</ns0:f>
        <ns0:v>2446.4804469273745</ns0:v>
      </ns0:c>
      <ns0:c r="E344" s="16">
        <ns0:f>A344*('前提と出典'!$C$36*'契約別単価'!E5+'前提と出典'!$C$37*'契約別単価'!E6+'前提と出典'!$C$38*'契約別単価'!E7)</ns0:f>
        <ns0:v>854716.7939019105</ns0:v>
      </ns0:c>
      <ns0:c r="F344" s="16">
        <ns0:f>A344*('前提と出典'!$C$36*'契約別単価'!F5+'前提と出典'!$C$37*'契約別単価'!F6+'前提と出典'!$C$38*'契約別単価'!F7)</ns0:f>
        <ns0:v>248358.85248645578</ns0:v>
      </ns0:c>
      <ns0:c r="G344" s="16">
        <ns0:f>A344*('前提と出典'!$C$36*'契約別単価'!G5+'前提と出典'!$C$37*'契約別単価'!G6+'前提と出典'!$C$38*'契約別単価'!G7)</ns0:f>
        <ns0:v>676770.9497206704</ns0:v>
      </ns0:c>
      <ns0:c r="H344" s="16">
        <ns0:f>A344*('前提と出典'!$C$36*'契約別単価'!H5+'前提と出典'!$C$37*'契約別単価'!H6+'前提と出典'!$C$38*'契約別単価'!H7)</ns0:f>
        <ns0:v>234873.4622834844</ns0:v>
      </ns0:c>
      <ns0:c r="I344" s="16">
        <ns0:f>A344*('前提と出典'!$C$36*'契約別単価'!I5+'前提と出典'!$C$37*'契約別単価'!I6+'前提と出典'!$C$38*'契約別単価'!I7)</ns0:f>
        <ns0:v>14346.480446927371</ns0:v>
      </ns0:c>
      <ns0:c r="J344" s="16">
        <ns0:f>A344*('前提と出典'!$C$36*'契約別単価'!J5+'前提と出典'!$C$37*'契約別単価'!J6+'前提と出典'!$C$38*'契約別単価'!J7)</ns0:f>
        <ns0:v>33418.444861502874</ns0:v>
      </ns0:c>
      <ns0:c r="K344" s="16">
        <ns0:f>A344*('前提と出典'!$C$36*'契約別単価'!K5+'前提と出典'!$C$37*'契約別単価'!K6+'前提と出典'!$C$38*'契約別単価'!K7)</ns0:f>
        <ns0:v>143243.20297951583</ns0:v>
      </ns0:c>
      <ns0:c r="L344" s="16">
        <ns0:f>A344*('前提と出典'!$C$36*'契約別単価'!L5+'前提と出典'!$C$37*'契約別単価'!L6+'前提と出典'!$C$38*'契約別単価'!L7)</ns0:f>
        <ns0:v>116629.11540944947</ns0:v>
      </ns0:c>
      <ns0:c r="M344" s="16">
        <ns0:f>IF(('前提と出典'!$C$36+'前提と出典'!$C$38)=0,0,IF(B344&lt;=10,'前提と出典'!B73+'前提と出典'!C73,IF(B344&lt;=100,'前提と出典'!B74+'前提と出典'!C74,IF(B344&lt;=500,'前提と出典'!B75+'前提と出典'!C75,'前提と出典'!B76+'前提と出典'!C76))))</ns0:f>
        <ns0:v>40000</ns0:v>
      </ns0:c>
      <ns0:c r="N344" s="16">
        <ns0:f>IF(('前提と出典'!$C$37+'前提と出典'!$C$38)=0,0,IF(C344&lt;=10,'前提と出典'!D73+'前提と出典'!E73,IF(C344&lt;=100,'前提と出典'!D74+'前提と出典'!E74,IF(C344&lt;=500,'前提と出典'!D75+'前提と出典'!E75,'前提と出典'!D76+'前提と出典'!E76))))</ns0:f>
        <ns0:v>56510.9346263078</ns0:v>
      </ns0:c>
      <ns0:c r="O344" s="16">
        <ns0:f>IF('前提と出典'!$C$36+'前提と出典'!$C$38=0,0,'前提と出典'!$B$4*IF('前提と出典'!$B$20=0,MAX('前提と出典'!$B$6,D344*'前提と出典'!$B$5),'前提と出典'!$B$6+D344*'前提と出典'!$B$5))</ns0:f>
        <ns0:v>337614.30167597765</ns0:v>
      </ns0:c>
      <ns0:c r="P344" s="16">
        <ns0:f>(E344+G344)*(1-'前提と出典'!$B$7)-I344-K344-M344-O344</ns0:f>
        <ns0:v>941150.1997497473</ns0:v>
      </ns0:c>
      <ns0:c r="Q344" s="16">
        <ns0:f>(F344+H344)*(1-'前提と出典'!$B$7)-J344-L344-N344</ns0:f>
        <ns0:v>259277.45654096222</ns0:v>
      </ns0:c>
      <ns0:c r="R344" s="16">
        <ns0:f>P344-E344*'前提と出典'!$E$4</ns0:f>
        <ns0:v>684735.1615791742</ns0:v>
      </ns0:c>
      <ns0:c r="S344" s="16">
        <ns0:f>Q344-F344*'前提と出典'!$E$4</ns0:f>
        <ns0:v>184769.8007950255</ns0:v>
      </ns0:c>
      <ns0:c r="T344" s="7">
        <ns0:f>R344+S344</ns0:f>
        <ns0:v>869504.9623741998</ns0:v>
      </ns0:c>
      <ns0:c r="U344" s="16">
        <ns0:f>P344-E344*'前提と出典'!$E$5</ns0:f>
        <ns0:v>599263.4821889831</ns0:v>
      </ns0:c>
      <ns0:c r="V344" s="16">
        <ns0:f>Q344-F344*'前提と出典'!$E$5</ns0:f>
        <ns0:v>159933.9155463799</ns0:v>
      </ns0:c>
      <ns0:c r="W344" s="7">
        <ns0:f>U344+V344</ns0:f>
        <ns0:v>759197.397735363</ns0:v>
      </ns0:c>
      <ns0:c r="X344" s="16">
        <ns0:f>P344-E344*'前提と出典'!$E$6</ns0:f>
        <ns0:v>513791.802798792</ns0:v>
      </ns0:c>
      <ns0:c r="Y344" s="16">
        <ns0:f>Q344-F344*'前提と出典'!$E$6</ns0:f>
        <ns0:v>135098.03029773434</ns0:v>
      </ns0:c>
      <ns0:c r="Z344" s="7">
        <ns0:f>X344+Y344</ns0:f>
        <ns0:v>648889.8330965263</ns0:v>
      </ns0:c>
      <ns0:c r="AA344" s="7">
        <ns0:f>IF(T344&gt;=0,A344,1001)</ns0:f>
        <ns0:v>340</ns0:v>
      </ns0:c>
      <ns0:c r="AB344" s="7">
        <ns0:f>IF(T344&lt;0,A344,0)</ns0:f>
        <ns0:v>0</ns0:v>
      </ns0:c>
      <ns0:c r="AC344" s="16">
        <ns0:f>IF(AND(OR('前提と出典'!$C$36+'前提と出典'!$C$38=0,R344&gt;=0),OR('前提と出典'!$C$37+'前提と出典'!$C$38=0,S344&gt;=0)),0,A344)</ns0:f>
        <ns0:v>0</ns0:v>
      </ns0:c>
      <ns0:c r="AD344" s="7">
        <ns0:f>IF(W344&gt;=0,A344,1001)</ns0:f>
        <ns0:v>340</ns0:v>
      </ns0:c>
      <ns0:c r="AE344" s="7">
        <ns0:f>IF(W344&lt;0,A344,0)</ns0:f>
        <ns0:v>0</ns0:v>
      </ns0:c>
      <ns0:c r="AF344" s="16">
        <ns0:f>IF(AND(OR('前提と出典'!$C$36+'前提と出典'!$C$38=0,U344&gt;=0),OR('前提と出典'!$C$37+'前提と出典'!$C$38=0,V344&gt;=0)),0,A344)</ns0:f>
        <ns0:v>0</ns0:v>
      </ns0:c>
      <ns0:c r="AG344" s="7">
        <ns0:f>IF(Z344&gt;=0,A344,1001)</ns0:f>
        <ns0:v>340</ns0:v>
      </ns0:c>
      <ns0:c r="AH344" s="4">
        <ns0:f>IF(Z344&lt;0,A344,0)</ns0:f>
        <ns0:v>0</ns0:v>
      </ns0:c>
      <ns0:c r="AI344" s="12">
        <ns0:f>IF(AND(OR('前提と出典'!$C$36+'前提と出典'!$C$38=0,X344&gt;=0),OR('前提と出典'!$C$37+'前提と出典'!$C$38=0,Y344&gt;=0)),0,A344)</ns0:f>
        <ns0:v>0</ns0:v>
      </ns0:c>
    </ns0:row>
    <ns0:row r="345" ht="24" customHeight="1">
      <ns0:c r="A345" s="4" t="n">
        <ns0:v>341</ns0:v>
      </ns0:c>
      <ns0:c r="B345" s="12">
        <ns0:f>A345*('前提と出典'!$C$36+'前提と出典'!$C$38)</ns0:f>
        <ns0:v>238.7</ns0:v>
      </ns0:c>
      <ns0:c r="C345" s="12">
        <ns0:f>A345*('前提と出典'!$C$37+'前提と出典'!$C$38)</ns0:f>
        <ns0:v>204.6</ns0:v>
      </ns0:c>
      <ns0:c r="D345" s="16">
        <ns0:f>A345*('前提と出典'!$C$36*'契約別単価'!C5+'前提と出典'!$C$37*'契約別単価'!C6+'前提と出典'!$C$38*'契約別単価'!C7)</ns0:f>
        <ns0:v>2453.6759776536314</ns0:v>
      </ns0:c>
      <ns0:c r="E345" s="16">
        <ns0:f>A345*('前提と出典'!$C$36*'契約別単価'!E5+'前提と出典'!$C$37*'契約別単価'!E6+'前提と出典'!$C$38*'契約別単価'!E7)</ns0:f>
        <ns0:v>857230.6668251514</ns0:v>
      </ns0:c>
      <ns0:c r="F345" s="16">
        <ns0:f>A345*('前提と出典'!$C$36*'契約別単価'!F5+'前提と出典'!$C$37*'契約別単価'!F6+'前提と出典'!$C$38*'契約別単価'!F7)</ns0:f>
        <ns0:v>249089.31969965124</ns0:v>
      </ns0:c>
      <ns0:c r="G345" s="16">
        <ns0:f>A345*('前提と出典'!$C$36*'契約別単価'!G5+'前提と出典'!$C$37*'契約別単価'!G6+'前提と出典'!$C$38*'契約別単価'!G7)</ns0:f>
        <ns0:v>678761.4525139665</ns0:v>
      </ns0:c>
      <ns0:c r="H345" s="16">
        <ns0:f>A345*('前提と出典'!$C$36*'契約別単価'!H5+'前提と出典'!$C$37*'契約別単価'!H6+'前提と出典'!$C$38*'契約別単価'!H7)</ns0:f>
        <ns0:v>235564.2665843182</ns0:v>
      </ns0:c>
      <ns0:c r="I345" s="16">
        <ns0:f>A345*('前提と出典'!$C$36*'契約別単価'!I5+'前提と出典'!$C$37*'契約別単価'!I6+'前提と出典'!$C$38*'契約別単価'!I7)</ns0:f>
        <ns0:v>14388.67597765363</ns0:v>
      </ns0:c>
      <ns0:c r="J345" s="16">
        <ns0:f>A345*('前提と出典'!$C$36*'契約別単価'!J5+'前提と出典'!$C$37*'契約別単価'!J6+'前提と出典'!$C$38*'契約別単価'!J7)</ns0:f>
        <ns0:v>33516.734405213174</ns0:v>
      </ns0:c>
      <ns0:c r="K345" s="16">
        <ns0:f>A345*('前提と出典'!$C$36*'契約別単価'!K5+'前提と出典'!$C$37*'契約別単価'!K6+'前提と出典'!$C$38*'契約別単価'!K7)</ns0:f>
        <ns0:v>143664.50651769087</ns0:v>
      </ns0:c>
      <ns0:c r="L345" s="16">
        <ns0:f>A345*('前提と出典'!$C$36*'契約別単価'!L5+'前提と出典'!$C$37*'契約別単価'!L6+'前提と出典'!$C$38*'契約別単価'!L7)</ns0:f>
        <ns0:v>116972.14221947727</ns0:v>
      </ns0:c>
      <ns0:c r="M345" s="16">
        <ns0:f>IF(('前提と出典'!$C$36+'前提と出典'!$C$38)=0,0,IF(B345&lt;=10,'前提と出典'!B73+'前提と出典'!C73,IF(B345&lt;=100,'前提と出典'!B74+'前提と出典'!C74,IF(B345&lt;=500,'前提と出典'!B75+'前提と出典'!C75,'前提と出典'!B76+'前提と出典'!C76))))</ns0:f>
        <ns0:v>40000</ns0:v>
      </ns0:c>
      <ns0:c r="N345" s="16">
        <ns0:f>IF(('前提と出典'!$C$37+'前提と出典'!$C$38)=0,0,IF(C345&lt;=10,'前提と出典'!D73+'前提と出典'!E73,IF(C345&lt;=100,'前提と出典'!D74+'前提と出典'!E74,IF(C345&lt;=500,'前提と出典'!D75+'前提と出典'!E75,'前提と出典'!D76+'前提と出典'!E76))))</ns0:f>
        <ns0:v>56510.9346263078</ns0:v>
      </ns0:c>
      <ns0:c r="O345" s="16">
        <ns0:f>IF('前提と出典'!$C$36+'前提と出典'!$C$38=0,0,'前提と出典'!$B$4*IF('前提と出典'!$B$20=0,MAX('前提と出典'!$B$6,D345*'前提と出典'!$B$5),'前提と出典'!$B$6+D345*'前提と出典'!$B$5))</ns0:f>
        <ns0:v>338607.28491620114</ns0:v>
      </ns0:c>
      <ns0:c r="P345" s="16">
        <ns0:f>(E345+G345)*(1-'前提と出典'!$B$7)-I345-K345-M345-O345</ns0:f>
        <ns0:v>944035.9356313639</ns0:v>
      </ns0:c>
      <ns0:c r="Q345" s="16">
        <ns0:f>(F345+H345)*(1-'前提と出典'!$B$7)-J345-L345-N345</ns0:f>
        <ns0:v>260206.24592674832</ns0:v>
      </ns0:c>
      <ns0:c r="R345" s="16">
        <ns0:f>P345-E345*'前提と出典'!$E$4</ns0:f>
        <ns0:v>686866.7355838185</ns0:v>
      </ns0:c>
      <ns0:c r="S345" s="16">
        <ns0:f>Q345-F345*'前提と出典'!$E$4</ns0:f>
        <ns0:v>185479.45001685293</ns0:v>
      </ns0:c>
      <ns0:c r="T345" s="7">
        <ns0:f>R345+S345</ns0:f>
        <ns0:v>872346.1856006715</ns0:v>
      </ns0:c>
      <ns0:c r="U345" s="16">
        <ns0:f>P345-E345*'前提と出典'!$E$5</ns0:f>
        <ns0:v>601143.6689013033</ns0:v>
      </ns0:c>
      <ns0:c r="V345" s="16">
        <ns0:f>Q345-F345*'前提と出典'!$E$5</ns0:f>
        <ns0:v>160570.51804688782</ns0:v>
      </ns0:c>
      <ns0:c r="W345" s="7">
        <ns0:f>U345+V345</ns0:f>
        <ns0:v>761714.1869481911</ns0:v>
      </ns0:c>
      <ns0:c r="X345" s="16">
        <ns0:f>P345-E345*'前提と出典'!$E$6</ns0:f>
        <ns0:v>515420.6022187881</ns0:v>
      </ns0:c>
      <ns0:c r="Y345" s="16">
        <ns0:f>Q345-F345*'前提と出典'!$E$6</ns0:f>
        <ns0:v>135661.58607692271</ns0:v>
      </ns0:c>
      <ns0:c r="Z345" s="7">
        <ns0:f>X345+Y345</ns0:f>
        <ns0:v>651082.1882957108</ns0:v>
      </ns0:c>
      <ns0:c r="AA345" s="7">
        <ns0:f>IF(T345&gt;=0,A345,1001)</ns0:f>
        <ns0:v>341</ns0:v>
      </ns0:c>
      <ns0:c r="AB345" s="7">
        <ns0:f>IF(T345&lt;0,A345,0)</ns0:f>
        <ns0:v>0</ns0:v>
      </ns0:c>
      <ns0:c r="AC345" s="16">
        <ns0:f>IF(AND(OR('前提と出典'!$C$36+'前提と出典'!$C$38=0,R345&gt;=0),OR('前提と出典'!$C$37+'前提と出典'!$C$38=0,S345&gt;=0)),0,A345)</ns0:f>
        <ns0:v>0</ns0:v>
      </ns0:c>
      <ns0:c r="AD345" s="7">
        <ns0:f>IF(W345&gt;=0,A345,1001)</ns0:f>
        <ns0:v>341</ns0:v>
      </ns0:c>
      <ns0:c r="AE345" s="7">
        <ns0:f>IF(W345&lt;0,A345,0)</ns0:f>
        <ns0:v>0</ns0:v>
      </ns0:c>
      <ns0:c r="AF345" s="16">
        <ns0:f>IF(AND(OR('前提と出典'!$C$36+'前提と出典'!$C$38=0,U345&gt;=0),OR('前提と出典'!$C$37+'前提と出典'!$C$38=0,V345&gt;=0)),0,A345)</ns0:f>
        <ns0:v>0</ns0:v>
      </ns0:c>
      <ns0:c r="AG345" s="7">
        <ns0:f>IF(Z345&gt;=0,A345,1001)</ns0:f>
        <ns0:v>341</ns0:v>
      </ns0:c>
      <ns0:c r="AH345" s="4">
        <ns0:f>IF(Z345&lt;0,A345,0)</ns0:f>
        <ns0:v>0</ns0:v>
      </ns0:c>
      <ns0:c r="AI345" s="12">
        <ns0:f>IF(AND(OR('前提と出典'!$C$36+'前提と出典'!$C$38=0,X345&gt;=0),OR('前提と出典'!$C$37+'前提と出典'!$C$38=0,Y345&gt;=0)),0,A345)</ns0:f>
        <ns0:v>0</ns0:v>
      </ns0:c>
    </ns0:row>
    <ns0:row r="346" ht="24" customHeight="1">
      <ns0:c r="A346" s="4" t="n">
        <ns0:v>342</ns0:v>
      </ns0:c>
      <ns0:c r="B346" s="12">
        <ns0:f>A346*('前提と出典'!$C$36+'前提と出典'!$C$38)</ns0:f>
        <ns0:v>239.39999999999998</ns0:v>
      </ns0:c>
      <ns0:c r="C346" s="12">
        <ns0:f>A346*('前提と出典'!$C$37+'前提と出典'!$C$38)</ns0:f>
        <ns0:v>205.2</ns0:v>
      </ns0:c>
      <ns0:c r="D346" s="16">
        <ns0:f>A346*('前提と出典'!$C$36*'契約別単価'!C5+'前提と出典'!$C$37*'契約別単価'!C6+'前提と出典'!$C$38*'契約別単価'!C7)</ns0:f>
        <ns0:v>2460.8715083798884</ns0:v>
      </ns0:c>
      <ns0:c r="E346" s="16">
        <ns0:f>A346*('前提と出典'!$C$36*'契約別単価'!E5+'前提と出典'!$C$37*'契約別単価'!E6+'前提と出典'!$C$38*'契約別単価'!E7)</ns0:f>
        <ns0:v>859744.5397483923</ns0:v>
      </ns0:c>
      <ns0:c r="F346" s="16">
        <ns0:f>A346*('前提と出典'!$C$36*'契約別単価'!F5+'前提と出典'!$C$37*'契約別単価'!F6+'前提と出典'!$C$38*'契約別単価'!F7)</ns0:f>
        <ns0:v>249819.7869128467</ns0:v>
      </ns0:c>
      <ns0:c r="G346" s="16">
        <ns0:f>A346*('前提と出典'!$C$36*'契約別単価'!G5+'前提と出典'!$C$37*'契約別単価'!G6+'前提と出典'!$C$38*'契約別単価'!G7)</ns0:f>
        <ns0:v>680751.9553072625</ns0:v>
      </ns0:c>
      <ns0:c r="H346" s="16">
        <ns0:f>A346*('前提と出典'!$C$36*'契約別単価'!H5+'前提と出典'!$C$37*'契約別単価'!H6+'前提と出典'!$C$38*'契約別単価'!H7)</ns0:f>
        <ns0:v>236255.07088515197</ns0:v>
      </ns0:c>
      <ns0:c r="I346" s="16">
        <ns0:f>A346*('前提と出典'!$C$36*'契約別単価'!I5+'前提と出典'!$C$37*'契約別単価'!I6+'前提と出典'!$C$38*'契約別単価'!I7)</ns0:f>
        <ns0:v>14430.871508379885</ns0:v>
      </ns0:c>
      <ns0:c r="J346" s="16">
        <ns0:f>A346*('前提と出典'!$C$36*'契約別単価'!J5+'前提と出典'!$C$37*'契約別単価'!J6+'前提と出典'!$C$38*'契約別単価'!J7)</ns0:f>
        <ns0:v>33615.02394892348</ns0:v>
      </ns0:c>
      <ns0:c r="K346" s="16">
        <ns0:f>A346*('前提と出典'!$C$36*'契約別単価'!K5+'前提と出典'!$C$37*'契約別単価'!K6+'前提と出典'!$C$38*'契約別単価'!K7)</ns0:f>
        <ns0:v>144085.8100558659</ns0:v>
      </ns0:c>
      <ns0:c r="L346" s="16">
        <ns0:f>A346*('前提と出典'!$C$36*'契約別単価'!L5+'前提と出典'!$C$37*'契約別単価'!L6+'前提と出典'!$C$38*'契約別単価'!L7)</ns0:f>
        <ns0:v>117315.16902950506</ns0:v>
      </ns0:c>
      <ns0:c r="M346" s="16">
        <ns0:f>IF(('前提と出典'!$C$36+'前提と出典'!$C$38)=0,0,IF(B346&lt;=10,'前提と出典'!B73+'前提と出典'!C73,IF(B346&lt;=100,'前提と出典'!B74+'前提と出典'!C74,IF(B346&lt;=500,'前提と出典'!B75+'前提と出典'!C75,'前提と出典'!B76+'前提と出典'!C76))))</ns0:f>
        <ns0:v>40000</ns0:v>
      </ns0:c>
      <ns0:c r="N346" s="16">
        <ns0:f>IF(('前提と出典'!$C$37+'前提と出典'!$C$38)=0,0,IF(C346&lt;=10,'前提と出典'!D73+'前提と出典'!E73,IF(C346&lt;=100,'前提と出典'!D74+'前提と出典'!E74,IF(C346&lt;=500,'前提と出典'!D75+'前提と出典'!E75,'前提と出典'!D76+'前提と出典'!E76))))</ns0:f>
        <ns0:v>56510.9346263078</ns0:v>
      </ns0:c>
      <ns0:c r="O346" s="16">
        <ns0:f>IF('前提と出典'!$C$36+'前提と出典'!$C$38=0,0,'前提と出典'!$B$4*IF('前提と出典'!$B$20=0,MAX('前提と出典'!$B$6,D346*'前提と出典'!$B$5),'前提と出典'!$B$6+D346*'前提と出典'!$B$5))</ns0:f>
        <ns0:v>339600.26815642463</ns0:v>
      </ns0:c>
      <ns0:c r="P346" s="16">
        <ns0:f>(E346+G346)*(1-'前提と出典'!$B$7)-I346-K346-M346-O346</ns0:f>
        <ns0:v>946921.6715129807</ns0:v>
      </ns0:c>
      <ns0:c r="Q346" s="16">
        <ns0:f>(F346+H346)*(1-'前提と出典'!$B$7)-J346-L346-N346</ns0:f>
        <ns0:v>261135.03531253443</ns0:v>
      </ns0:c>
      <ns0:c r="R346" s="16">
        <ns0:f>P346-E346*'前提と出典'!$E$4</ns0:f>
        <ns0:v>688998.309588463</ns0:v>
      </ns0:c>
      <ns0:c r="S346" s="16">
        <ns0:f>Q346-F346*'前提と出典'!$E$4</ns0:f>
        <ns0:v>186189.09923868038</ns0:v>
      </ns0:c>
      <ns0:c r="T346" s="7">
        <ns0:f>R346+S346</ns0:f>
        <ns0:v>875187.4088271435</ns0:v>
      </ns0:c>
      <ns0:c r="U346" s="16">
        <ns0:f>P346-E346*'前提と出典'!$E$5</ns0:f>
        <ns0:v>603023.8556136237</ns0:v>
      </ns0:c>
      <ns0:c r="V346" s="16">
        <ns0:f>Q346-F346*'前提と出典'!$E$5</ns0:f>
        <ns0:v>161207.12054739572</ns0:v>
      </ns0:c>
      <ns0:c r="W346" s="7">
        <ns0:f>U346+V346</ns0:f>
        <ns0:v>764230.9761610194</ns0:v>
      </ns0:c>
      <ns0:c r="X346" s="16">
        <ns0:f>P346-E346*'前提と出典'!$E$6</ns0:f>
        <ns0:v>517049.40163878445</ns0:v>
      </ns0:c>
      <ns0:c r="Y346" s="16">
        <ns0:f>Q346-F346*'前提と出典'!$E$6</ns0:f>
        <ns0:v>136225.14185611106</ns0:v>
      </ns0:c>
      <ns0:c r="Z346" s="7">
        <ns0:f>X346+Y346</ns0:f>
        <ns0:v>653274.5434948956</ns0:v>
      </ns0:c>
      <ns0:c r="AA346" s="7">
        <ns0:f>IF(T346&gt;=0,A346,1001)</ns0:f>
        <ns0:v>342</ns0:v>
      </ns0:c>
      <ns0:c r="AB346" s="7">
        <ns0:f>IF(T346&lt;0,A346,0)</ns0:f>
        <ns0:v>0</ns0:v>
      </ns0:c>
      <ns0:c r="AC346" s="16">
        <ns0:f>IF(AND(OR('前提と出典'!$C$36+'前提と出典'!$C$38=0,R346&gt;=0),OR('前提と出典'!$C$37+'前提と出典'!$C$38=0,S346&gt;=0)),0,A346)</ns0:f>
        <ns0:v>0</ns0:v>
      </ns0:c>
      <ns0:c r="AD346" s="7">
        <ns0:f>IF(W346&gt;=0,A346,1001)</ns0:f>
        <ns0:v>342</ns0:v>
      </ns0:c>
      <ns0:c r="AE346" s="7">
        <ns0:f>IF(W346&lt;0,A346,0)</ns0:f>
        <ns0:v>0</ns0:v>
      </ns0:c>
      <ns0:c r="AF346" s="16">
        <ns0:f>IF(AND(OR('前提と出典'!$C$36+'前提と出典'!$C$38=0,U346&gt;=0),OR('前提と出典'!$C$37+'前提と出典'!$C$38=0,V346&gt;=0)),0,A346)</ns0:f>
        <ns0:v>0</ns0:v>
      </ns0:c>
      <ns0:c r="AG346" s="7">
        <ns0:f>IF(Z346&gt;=0,A346,1001)</ns0:f>
        <ns0:v>342</ns0:v>
      </ns0:c>
      <ns0:c r="AH346" s="4">
        <ns0:f>IF(Z346&lt;0,A346,0)</ns0:f>
        <ns0:v>0</ns0:v>
      </ns0:c>
      <ns0:c r="AI346" s="12">
        <ns0:f>IF(AND(OR('前提と出典'!$C$36+'前提と出典'!$C$38=0,X346&gt;=0),OR('前提と出典'!$C$37+'前提と出典'!$C$38=0,Y346&gt;=0)),0,A346)</ns0:f>
        <ns0:v>0</ns0:v>
      </ns0:c>
    </ns0:row>
    <ns0:row r="347" ht="24" customHeight="1">
      <ns0:c r="A347" s="4" t="n">
        <ns0:v>343</ns0:v>
      </ns0:c>
      <ns0:c r="B347" s="12">
        <ns0:f>A347*('前提と出典'!$C$36+'前提と出典'!$C$38)</ns0:f>
        <ns0:v>240.1</ns0:v>
      </ns0:c>
      <ns0:c r="C347" s="12">
        <ns0:f>A347*('前提と出典'!$C$37+'前提と出典'!$C$38)</ns0:f>
        <ns0:v>205.79999999999998</ns0:v>
      </ns0:c>
      <ns0:c r="D347" s="16">
        <ns0:f>A347*('前提と出典'!$C$36*'契約別単価'!C5+'前提と出典'!$C$37*'契約別単価'!C6+'前提と出典'!$C$38*'契約別単価'!C7)</ns0:f>
        <ns0:v>2468.0670391061453</ns0:v>
      </ns0:c>
      <ns0:c r="E347" s="16">
        <ns0:f>A347*('前提と出典'!$C$36*'契約別単価'!E5+'前提と出典'!$C$37*'契約別単価'!E6+'前提と出典'!$C$38*'契約別単価'!E7)</ns0:f>
        <ns0:v>862258.4126716332</ns0:v>
      </ns0:c>
      <ns0:c r="F347" s="16">
        <ns0:f>A347*('前提と出典'!$C$36*'契約別単価'!F5+'前提と出典'!$C$37*'契約別単価'!F6+'前提と出典'!$C$38*'契約別単価'!F7)</ns0:f>
        <ns0:v>250550.25412604216</ns0:v>
      </ns0:c>
      <ns0:c r="G347" s="16">
        <ns0:f>A347*('前提と出典'!$C$36*'契約別単価'!G5+'前提と出典'!$C$37*'契約別単価'!G6+'前提と出典'!$C$38*'契約別単価'!G7)</ns0:f>
        <ns0:v>682742.4581005586</ns0:v>
      </ns0:c>
      <ns0:c r="H347" s="16">
        <ns0:f>A347*('前提と出典'!$C$36*'契約別単価'!H5+'前提と出典'!$C$37*'契約別単価'!H6+'前提と出典'!$C$38*'契約別単価'!H7)</ns0:f>
        <ns0:v>236945.87518598576</ns0:v>
      </ns0:c>
      <ns0:c r="I347" s="16">
        <ns0:f>A347*('前提と出典'!$C$36*'契約別単価'!I5+'前提と出典'!$C$37*'契約別単価'!I6+'前提と出典'!$C$38*'契約別単価'!I7)</ns0:f>
        <ns0:v>14473.067039106143</ns0:v>
      </ns0:c>
      <ns0:c r="J347" s="16">
        <ns0:f>A347*('前提と出典'!$C$36*'契約別単価'!J5+'前提と出典'!$C$37*'契約別単価'!J6+'前提と出典'!$C$38*'契約別単価'!J7)</ns0:f>
        <ns0:v>33713.31349263378</ns0:v>
      </ns0:c>
      <ns0:c r="K347" s="16">
        <ns0:f>A347*('前提と出典'!$C$36*'契約別単価'!K5+'前提と出典'!$C$37*'契約別単価'!K6+'前提と出典'!$C$38*'契約別単価'!K7)</ns0:f>
        <ns0:v>144507.11359404094</ns0:v>
      </ns0:c>
      <ns0:c r="L347" s="16">
        <ns0:f>A347*('前提と出典'!$C$36*'契約別単価'!L5+'前提と出典'!$C$37*'契約別単価'!L6+'前提と出典'!$C$38*'契約別単価'!L7)</ns0:f>
        <ns0:v>117658.19583953285</ns0:v>
      </ns0:c>
      <ns0:c r="M347" s="16">
        <ns0:f>IF(('前提と出典'!$C$36+'前提と出典'!$C$38)=0,0,IF(B347&lt;=10,'前提と出典'!B73+'前提と出典'!C73,IF(B347&lt;=100,'前提と出典'!B74+'前提と出典'!C74,IF(B347&lt;=500,'前提と出典'!B75+'前提と出典'!C75,'前提と出典'!B76+'前提と出典'!C76))))</ns0:f>
        <ns0:v>40000</ns0:v>
      </ns0:c>
      <ns0:c r="N347" s="16">
        <ns0:f>IF(('前提と出典'!$C$37+'前提と出典'!$C$38)=0,0,IF(C347&lt;=10,'前提と出典'!D73+'前提と出典'!E73,IF(C347&lt;=100,'前提と出典'!D74+'前提と出典'!E74,IF(C347&lt;=500,'前提と出典'!D75+'前提と出典'!E75,'前提と出典'!D76+'前提と出典'!E76))))</ns0:f>
        <ns0:v>56510.9346263078</ns0:v>
      </ns0:c>
      <ns0:c r="O347" s="16">
        <ns0:f>IF('前提と出典'!$C$36+'前提と出典'!$C$38=0,0,'前提と出典'!$B$4*IF('前提と出典'!$B$20=0,MAX('前提と出典'!$B$6,D347*'前提と出典'!$B$5),'前提と出典'!$B$6+D347*'前提と出典'!$B$5))</ns0:f>
        <ns0:v>340593.25139664806</ns0:v>
      </ns0:c>
      <ns0:c r="P347" s="16">
        <ns0:f>(E347+G347)*(1-'前提と出典'!$B$7)-I347-K347-M347-O347</ns0:f>
        <ns0:v>949807.4073945978</ns0:v>
      </ns0:c>
      <ns0:c r="Q347" s="16">
        <ns0:f>(F347+H347)*(1-'前提と出典'!$B$7)-J347-L347-N347</ns0:f>
        <ns0:v>262063.82469832053</ns0:v>
      </ns0:c>
      <ns0:c r="R347" s="16">
        <ns0:f>P347-E347*'前提と出典'!$E$4</ns0:f>
        <ns0:v>691129.8835931078</ns0:v>
      </ns0:c>
      <ns0:c r="S347" s="16">
        <ns0:f>Q347-F347*'前提と出典'!$E$4</ns0:f>
        <ns0:v>186898.74846050786</ns0:v>
      </ns0:c>
      <ns0:c r="T347" s="7">
        <ns0:f>R347+S347</ns0:f>
        <ns0:v>878028.6320536156</ns0:v>
      </ns0:c>
      <ns0:c r="U347" s="16">
        <ns0:f>P347-E347*'前提と出典'!$E$5</ns0:f>
        <ns0:v>604904.0423259444</ns0:v>
      </ns0:c>
      <ns0:c r="V347" s="16">
        <ns0:f>Q347-F347*'前提と出典'!$E$5</ns0:f>
        <ns0:v>161843.72304790365</ns0:v>
      </ns0:c>
      <ns0:c r="W347" s="7">
        <ns0:f>U347+V347</ns0:f>
        <ns0:v>766747.765373848</ns0:v>
      </ns0:c>
      <ns0:c r="X347" s="16">
        <ns0:f>P347-E347*'前提と出典'!$E$6</ns0:f>
        <ns0:v>518678.2010587812</ns0:v>
      </ns0:c>
      <ns0:c r="Y347" s="16">
        <ns0:f>Q347-F347*'前提と出典'!$E$6</ns0:f>
        <ns0:v>136788.69763529944</ns0:v>
      </ns0:c>
      <ns0:c r="Z347" s="7">
        <ns0:f>X347+Y347</ns0:f>
        <ns0:v>655466.8986940806</ns0:v>
      </ns0:c>
      <ns0:c r="AA347" s="7">
        <ns0:f>IF(T347&gt;=0,A347,1001)</ns0:f>
        <ns0:v>343</ns0:v>
      </ns0:c>
      <ns0:c r="AB347" s="7">
        <ns0:f>IF(T347&lt;0,A347,0)</ns0:f>
        <ns0:v>0</ns0:v>
      </ns0:c>
      <ns0:c r="AC347" s="16">
        <ns0:f>IF(AND(OR('前提と出典'!$C$36+'前提と出典'!$C$38=0,R347&gt;=0),OR('前提と出典'!$C$37+'前提と出典'!$C$38=0,S347&gt;=0)),0,A347)</ns0:f>
        <ns0:v>0</ns0:v>
      </ns0:c>
      <ns0:c r="AD347" s="7">
        <ns0:f>IF(W347&gt;=0,A347,1001)</ns0:f>
        <ns0:v>343</ns0:v>
      </ns0:c>
      <ns0:c r="AE347" s="7">
        <ns0:f>IF(W347&lt;0,A347,0)</ns0:f>
        <ns0:v>0</ns0:v>
      </ns0:c>
      <ns0:c r="AF347" s="16">
        <ns0:f>IF(AND(OR('前提と出典'!$C$36+'前提と出典'!$C$38=0,U347&gt;=0),OR('前提と出典'!$C$37+'前提と出典'!$C$38=0,V347&gt;=0)),0,A347)</ns0:f>
        <ns0:v>0</ns0:v>
      </ns0:c>
      <ns0:c r="AG347" s="7">
        <ns0:f>IF(Z347&gt;=0,A347,1001)</ns0:f>
        <ns0:v>343</ns0:v>
      </ns0:c>
      <ns0:c r="AH347" s="4">
        <ns0:f>IF(Z347&lt;0,A347,0)</ns0:f>
        <ns0:v>0</ns0:v>
      </ns0:c>
      <ns0:c r="AI347" s="12">
        <ns0:f>IF(AND(OR('前提と出典'!$C$36+'前提と出典'!$C$38=0,X347&gt;=0),OR('前提と出典'!$C$37+'前提と出典'!$C$38=0,Y347&gt;=0)),0,A347)</ns0:f>
        <ns0:v>0</ns0:v>
      </ns0:c>
    </ns0:row>
    <ns0:row r="348" ht="24" customHeight="1">
      <ns0:c r="A348" s="4" t="n">
        <ns0:v>344</ns0:v>
      </ns0:c>
      <ns0:c r="B348" s="12">
        <ns0:f>A348*('前提と出典'!$C$36+'前提と出典'!$C$38)</ns0:f>
        <ns0:v>240.79999999999998</ns0:v>
      </ns0:c>
      <ns0:c r="C348" s="12">
        <ns0:f>A348*('前提と出典'!$C$37+'前提と出典'!$C$38)</ns0:f>
        <ns0:v>206.4</ns0:v>
      </ns0:c>
      <ns0:c r="D348" s="16">
        <ns0:f>A348*('前提と出典'!$C$36*'契約別単価'!C5+'前提と出典'!$C$37*'契約別単価'!C6+'前提と出典'!$C$38*'契約別単価'!C7)</ns0:f>
        <ns0:v>2475.2625698324023</ns0:v>
      </ns0:c>
      <ns0:c r="E348" s="16">
        <ns0:f>A348*('前提と出典'!$C$36*'契約別単価'!E5+'前提と出典'!$C$37*'契約別単価'!E6+'前提と出典'!$C$38*'契約別単価'!E7)</ns0:f>
        <ns0:v>864772.2855948742</ns0:v>
      </ns0:c>
      <ns0:c r="F348" s="16">
        <ns0:f>A348*('前提と出典'!$C$36*'契約別単価'!F5+'前提と出典'!$C$37*'契約別単価'!F6+'前提と出典'!$C$38*'契約別単価'!F7)</ns0:f>
        <ns0:v>251280.7213392376</ns0:v>
      </ns0:c>
      <ns0:c r="G348" s="16">
        <ns0:f>A348*('前提と出典'!$C$36*'契約別単価'!G5+'前提と出典'!$C$37*'契約別単価'!G6+'前提と出典'!$C$38*'契約別単価'!G7)</ns0:f>
        <ns0:v>684732.9608938547</ns0:v>
      </ns0:c>
      <ns0:c r="H348" s="16">
        <ns0:f>A348*('前提と出典'!$C$36*'契約別単価'!H5+'前提と出典'!$C$37*'契約別単価'!H6+'前提と出典'!$C$38*'契約別単価'!H7)</ns0:f>
        <ns0:v>237636.6794868195</ns0:v>
      </ns0:c>
      <ns0:c r="I348" s="16">
        <ns0:f>A348*('前提と出典'!$C$36*'契約別単価'!I5+'前提と出典'!$C$37*'契約別単価'!I6+'前提と出典'!$C$38*'契約別単価'!I7)</ns0:f>
        <ns0:v>14515.2625698324</ns0:v>
      </ns0:c>
      <ns0:c r="J348" s="16">
        <ns0:f>A348*('前提と出典'!$C$36*'契約別単価'!J5+'前提と出典'!$C$37*'契約別単価'!J6+'前提と出典'!$C$38*'契約別単価'!J7)</ns0:f>
        <ns0:v>33811.60303634408</ns0:v>
      </ns0:c>
      <ns0:c r="K348" s="16">
        <ns0:f>A348*('前提と出典'!$C$36*'契約別単価'!K5+'前提と出典'!$C$37*'契約別単価'!K6+'前提と出典'!$C$38*'契約別単価'!K7)</ns0:f>
        <ns0:v>144928.417132216</ns0:v>
      </ns0:c>
      <ns0:c r="L348" s="16">
        <ns0:f>A348*('前提と出典'!$C$36*'契約別単価'!L5+'前提と出典'!$C$37*'契約別単価'!L6+'前提と出典'!$C$38*'契約別単価'!L7)</ns0:f>
        <ns0:v>118001.22264956064</ns0:v>
      </ns0:c>
      <ns0:c r="M348" s="16">
        <ns0:f>IF(('前提と出典'!$C$36+'前提と出典'!$C$38)=0,0,IF(B348&lt;=10,'前提と出典'!B73+'前提と出典'!C73,IF(B348&lt;=100,'前提と出典'!B74+'前提と出典'!C74,IF(B348&lt;=500,'前提と出典'!B75+'前提と出典'!C75,'前提と出典'!B76+'前提と出典'!C76))))</ns0:f>
        <ns0:v>40000</ns0:v>
      </ns0:c>
      <ns0:c r="N348" s="16">
        <ns0:f>IF(('前提と出典'!$C$37+'前提と出典'!$C$38)=0,0,IF(C348&lt;=10,'前提と出典'!D73+'前提と出典'!E73,IF(C348&lt;=100,'前提と出典'!D74+'前提と出典'!E74,IF(C348&lt;=500,'前提と出典'!D75+'前提と出典'!E75,'前提と出典'!D76+'前提と出典'!E76))))</ns0:f>
        <ns0:v>56510.9346263078</ns0:v>
      </ns0:c>
      <ns0:c r="O348" s="16">
        <ns0:f>IF('前提と出典'!$C$36+'前提と出典'!$C$38=0,0,'前提と出典'!$B$4*IF('前提と出典'!$B$20=0,MAX('前提と出典'!$B$6,D348*'前提と出典'!$B$5),'前提と出典'!$B$6+D348*'前提と出典'!$B$5))</ns0:f>
        <ns0:v>341586.2346368715</ns0:v>
      </ns0:c>
      <ns0:c r="P348" s="16">
        <ns0:f>(E348+G348)*(1-'前提と出典'!$B$7)-I348-K348-M348-O348</ns0:f>
        <ns0:v>952693.1432762148</ns0:v>
      </ns0:c>
      <ns0:c r="Q348" s="16">
        <ns0:f>(F348+H348)*(1-'前提と出典'!$B$7)-J348-L348-N348</ns0:f>
        <ns0:v>262992.6140841065</ns0:v>
      </ns0:c>
      <ns0:c r="R348" s="16">
        <ns0:f>P348-E348*'前提と出典'!$E$4</ns0:f>
        <ns0:v>693261.4575977527</ns0:v>
      </ns0:c>
      <ns0:c r="S348" s="16">
        <ns0:f>Q348-F348*'前提と出典'!$E$4</ns0:f>
        <ns0:v>187608.39768233523</ns0:v>
      </ns0:c>
      <ns0:c r="T348" s="7">
        <ns0:f>R348+S348</ns0:f>
        <ns0:v>880869.8552800879</ns0:v>
      </ns0:c>
      <ns0:c r="U348" s="16">
        <ns0:f>P348-E348*'前提と出典'!$E$5</ns0:f>
        <ns0:v>606784.2290382652</ns0:v>
      </ns0:c>
      <ns0:c r="V348" s="16">
        <ns0:f>Q348-F348*'前提と出典'!$E$5</ns0:f>
        <ns0:v>162480.32554841146</ns0:v>
      </ns0:c>
      <ns0:c r="W348" s="7">
        <ns0:f>U348+V348</ns0:f>
        <ns0:v>769264.5545866766</ns0:v>
      </ns0:c>
      <ns0:c r="X348" s="16">
        <ns0:f>P348-E348*'前提と出典'!$E$6</ns0:f>
        <ns0:v>520307.0004787779</ns0:v>
      </ns0:c>
      <ns0:c r="Y348" s="16">
        <ns0:f>Q348-F348*'前提と出典'!$E$6</ns0:f>
        <ns0:v>137352.2534144877</ns0:v>
      </ns0:c>
      <ns0:c r="Z348" s="7">
        <ns0:f>X348+Y348</ns0:f>
        <ns0:v>657659.2538932656</ns0:v>
      </ns0:c>
      <ns0:c r="AA348" s="7">
        <ns0:f>IF(T348&gt;=0,A348,1001)</ns0:f>
        <ns0:v>344</ns0:v>
      </ns0:c>
      <ns0:c r="AB348" s="7">
        <ns0:f>IF(T348&lt;0,A348,0)</ns0:f>
        <ns0:v>0</ns0:v>
      </ns0:c>
      <ns0:c r="AC348" s="16">
        <ns0:f>IF(AND(OR('前提と出典'!$C$36+'前提と出典'!$C$38=0,R348&gt;=0),OR('前提と出典'!$C$37+'前提と出典'!$C$38=0,S348&gt;=0)),0,A348)</ns0:f>
        <ns0:v>0</ns0:v>
      </ns0:c>
      <ns0:c r="AD348" s="7">
        <ns0:f>IF(W348&gt;=0,A348,1001)</ns0:f>
        <ns0:v>344</ns0:v>
      </ns0:c>
      <ns0:c r="AE348" s="7">
        <ns0:f>IF(W348&lt;0,A348,0)</ns0:f>
        <ns0:v>0</ns0:v>
      </ns0:c>
      <ns0:c r="AF348" s="16">
        <ns0:f>IF(AND(OR('前提と出典'!$C$36+'前提と出典'!$C$38=0,U348&gt;=0),OR('前提と出典'!$C$37+'前提と出典'!$C$38=0,V348&gt;=0)),0,A348)</ns0:f>
        <ns0:v>0</ns0:v>
      </ns0:c>
      <ns0:c r="AG348" s="7">
        <ns0:f>IF(Z348&gt;=0,A348,1001)</ns0:f>
        <ns0:v>344</ns0:v>
      </ns0:c>
      <ns0:c r="AH348" s="4">
        <ns0:f>IF(Z348&lt;0,A348,0)</ns0:f>
        <ns0:v>0</ns0:v>
      </ns0:c>
      <ns0:c r="AI348" s="12">
        <ns0:f>IF(AND(OR('前提と出典'!$C$36+'前提と出典'!$C$38=0,X348&gt;=0),OR('前提と出典'!$C$37+'前提と出典'!$C$38=0,Y348&gt;=0)),0,A348)</ns0:f>
        <ns0:v>0</ns0:v>
      </ns0:c>
    </ns0:row>
    <ns0:row r="349" ht="24" customHeight="1">
      <ns0:c r="A349" s="4" t="n">
        <ns0:v>345</ns0:v>
      </ns0:c>
      <ns0:c r="B349" s="12">
        <ns0:f>A349*('前提と出典'!$C$36+'前提と出典'!$C$38)</ns0:f>
        <ns0:v>241.49999999999997</ns0:v>
      </ns0:c>
      <ns0:c r="C349" s="12">
        <ns0:f>A349*('前提と出典'!$C$37+'前提と出典'!$C$38)</ns0:f>
        <ns0:v>207</ns0:v>
      </ns0:c>
      <ns0:c r="D349" s="16">
        <ns0:f>A349*('前提と出典'!$C$36*'契約別単価'!C5+'前提と出典'!$C$37*'契約別単価'!C6+'前提と出典'!$C$38*'契約別単価'!C7)</ns0:f>
        <ns0:v>2482.458100558659</ns0:v>
      </ns0:c>
      <ns0:c r="E349" s="16">
        <ns0:f>A349*('前提と出典'!$C$36*'契約別単価'!E5+'前提と出典'!$C$37*'契約別単価'!E6+'前提と出典'!$C$38*'契約別単価'!E7)</ns0:f>
        <ns0:v>867286.1585181151</ns0:v>
      </ns0:c>
      <ns0:c r="F349" s="16">
        <ns0:f>A349*('前提と出典'!$C$36*'契約別単価'!F5+'前提と出典'!$C$37*'契約別単価'!F6+'前提と出典'!$C$38*'契約別単価'!F7)</ns0:f>
        <ns0:v>252011.18855243307</ns0:v>
      </ns0:c>
      <ns0:c r="G349" s="16">
        <ns0:f>A349*('前提と出典'!$C$36*'契約別単価'!G5+'前提と出典'!$C$37*'契約別単価'!G6+'前提と出典'!$C$38*'契約別単価'!G7)</ns0:f>
        <ns0:v>686723.4636871509</ns0:v>
      </ns0:c>
      <ns0:c r="H349" s="16">
        <ns0:f>A349*('前提と出典'!$C$36*'契約別単価'!H5+'前提と出典'!$C$37*'契約別単価'!H6+'前提と出典'!$C$38*'契約別単価'!H7)</ns0:f>
        <ns0:v>238327.4837876533</ns0:v>
      </ns0:c>
      <ns0:c r="I349" s="16">
        <ns0:f>A349*('前提と出典'!$C$36*'契約別単価'!I5+'前提と出典'!$C$37*'契約別単価'!I6+'前提と出典'!$C$38*'契約別単価'!I7)</ns0:f>
        <ns0:v>14557.458100558657</ns0:v>
      </ns0:c>
      <ns0:c r="J349" s="16">
        <ns0:f>A349*('前提と出典'!$C$36*'契約別単価'!J5+'前提と出典'!$C$37*'契約別単価'!J6+'前提と出典'!$C$38*'契約別単価'!J7)</ns0:f>
        <ns0:v>33909.89258005439</ns0:v>
      </ns0:c>
      <ns0:c r="K349" s="16">
        <ns0:f>A349*('前提と出典'!$C$36*'契約別単価'!K5+'前提と出典'!$C$37*'契約別単価'!K6+'前提と出典'!$C$38*'契約別単価'!K7)</ns0:f>
        <ns0:v>145349.72067039105</ns0:v>
      </ns0:c>
      <ns0:c r="L349" s="16">
        <ns0:f>A349*('前提と出典'!$C$36*'契約別単価'!L5+'前提と出典'!$C$37*'契約別単価'!L6+'前提と出典'!$C$38*'契約別単価'!L7)</ns0:f>
        <ns0:v>118344.24945958843</ns0:v>
      </ns0:c>
      <ns0:c r="M349" s="16">
        <ns0:f>IF(('前提と出典'!$C$36+'前提と出典'!$C$38)=0,0,IF(B349&lt;=10,'前提と出典'!B73+'前提と出典'!C73,IF(B349&lt;=100,'前提と出典'!B74+'前提と出典'!C74,IF(B349&lt;=500,'前提と出典'!B75+'前提と出典'!C75,'前提と出典'!B76+'前提と出典'!C76))))</ns0:f>
        <ns0:v>40000</ns0:v>
      </ns0:c>
      <ns0:c r="N349" s="16">
        <ns0:f>IF(('前提と出典'!$C$37+'前提と出典'!$C$38)=0,0,IF(C349&lt;=10,'前提と出典'!D73+'前提と出典'!E73,IF(C349&lt;=100,'前提と出典'!D74+'前提と出典'!E74,IF(C349&lt;=500,'前提と出典'!D75+'前提と出典'!E75,'前提と出典'!D76+'前提と出典'!E76))))</ns0:f>
        <ns0:v>56510.9346263078</ns0:v>
      </ns0:c>
      <ns0:c r="O349" s="16">
        <ns0:f>IF('前提と出典'!$C$36+'前提と出典'!$C$38=0,0,'前提と出典'!$B$4*IF('前提と出典'!$B$20=0,MAX('前提と出典'!$B$6,D349*'前提と出典'!$B$5),'前提と出典'!$B$6+D349*'前提と出典'!$B$5))</ns0:f>
        <ns0:v>342579.217877095</ns0:v>
      </ns0:c>
      <ns0:c r="P349" s="16">
        <ns0:f>(E349+G349)*(1-'前提と出典'!$B$7)-I349-K349-M349-O349</ns0:f>
        <ns0:v>955578.8791578314</ns0:v>
      </ns0:c>
      <ns0:c r="Q349" s="16">
        <ns0:f>(F349+H349)*(1-'前提と出典'!$B$7)-J349-L349-N349</ns0:f>
        <ns0:v>263921.4034698927</ns0:v>
      </ns0:c>
      <ns0:c r="R349" s="16">
        <ns0:f>P349-E349*'前提と出典'!$E$4</ns0:f>
        <ns0:v>695393.0316023967</ns0:v>
      </ns0:c>
      <ns0:c r="S349" s="16">
        <ns0:f>Q349-F349*'前提と出典'!$E$4</ns0:f>
        <ns0:v>188318.04690416274</ns0:v>
      </ns0:c>
      <ns0:c r="T349" s="7">
        <ns0:f>R349+S349</ns0:f>
        <ns0:v>883711.0785065595</ns0:v>
      </ns0:c>
      <ns0:c r="U349" s="16">
        <ns0:f>P349-E349*'前提と出典'!$E$5</ns0:f>
        <ns0:v>608664.4157505854</ns0:v>
      </ns0:c>
      <ns0:c r="V349" s="16">
        <ns0:f>Q349-F349*'前提と出典'!$E$5</ns0:f>
        <ns0:v>163116.92804891942</ns0:v>
      </ns0:c>
      <ns0:c r="W349" s="7">
        <ns0:f>U349+V349</ns0:f>
        <ns0:v>771781.3437995048</ns0:v>
      </ns0:c>
      <ns0:c r="X349" s="16">
        <ns0:f>P349-E349*'前提と出典'!$E$6</ns0:f>
        <ns0:v>521935.7998987738</ns0:v>
      </ns0:c>
      <ns0:c r="Y349" s="16">
        <ns0:f>Q349-F349*'前提と出典'!$E$6</ns0:f>
        <ns0:v>137915.8091936761</ns0:v>
      </ns0:c>
      <ns0:c r="Z349" s="7">
        <ns0:f>X349+Y349</ns0:f>
        <ns0:v>659851.6090924499</ns0:v>
      </ns0:c>
      <ns0:c r="AA349" s="7">
        <ns0:f>IF(T349&gt;=0,A349,1001)</ns0:f>
        <ns0:v>345</ns0:v>
      </ns0:c>
      <ns0:c r="AB349" s="7">
        <ns0:f>IF(T349&lt;0,A349,0)</ns0:f>
        <ns0:v>0</ns0:v>
      </ns0:c>
      <ns0:c r="AC349" s="16">
        <ns0:f>IF(AND(OR('前提と出典'!$C$36+'前提と出典'!$C$38=0,R349&gt;=0),OR('前提と出典'!$C$37+'前提と出典'!$C$38=0,S349&gt;=0)),0,A349)</ns0:f>
        <ns0:v>0</ns0:v>
      </ns0:c>
      <ns0:c r="AD349" s="7">
        <ns0:f>IF(W349&gt;=0,A349,1001)</ns0:f>
        <ns0:v>345</ns0:v>
      </ns0:c>
      <ns0:c r="AE349" s="7">
        <ns0:f>IF(W349&lt;0,A349,0)</ns0:f>
        <ns0:v>0</ns0:v>
      </ns0:c>
      <ns0:c r="AF349" s="16">
        <ns0:f>IF(AND(OR('前提と出典'!$C$36+'前提と出典'!$C$38=0,U349&gt;=0),OR('前提と出典'!$C$37+'前提と出典'!$C$38=0,V349&gt;=0)),0,A349)</ns0:f>
        <ns0:v>0</ns0:v>
      </ns0:c>
      <ns0:c r="AG349" s="7">
        <ns0:f>IF(Z349&gt;=0,A349,1001)</ns0:f>
        <ns0:v>345</ns0:v>
      </ns0:c>
      <ns0:c r="AH349" s="4">
        <ns0:f>IF(Z349&lt;0,A349,0)</ns0:f>
        <ns0:v>0</ns0:v>
      </ns0:c>
      <ns0:c r="AI349" s="12">
        <ns0:f>IF(AND(OR('前提と出典'!$C$36+'前提と出典'!$C$38=0,X349&gt;=0),OR('前提と出典'!$C$37+'前提と出典'!$C$38=0,Y349&gt;=0)),0,A349)</ns0:f>
        <ns0:v>0</ns0:v>
      </ns0:c>
    </ns0:row>
    <ns0:row r="350" ht="24" customHeight="1">
      <ns0:c r="A350" s="4" t="n">
        <ns0:v>346</ns0:v>
      </ns0:c>
      <ns0:c r="B350" s="12">
        <ns0:f>A350*('前提と出典'!$C$36+'前提と出典'!$C$38)</ns0:f>
        <ns0:v>242.2</ns0:v>
      </ns0:c>
      <ns0:c r="C350" s="12">
        <ns0:f>A350*('前提と出典'!$C$37+'前提と出典'!$C$38)</ns0:f>
        <ns0:v>207.6</ns0:v>
      </ns0:c>
      <ns0:c r="D350" s="16">
        <ns0:f>A350*('前提と出典'!$C$36*'契約別単価'!C5+'前提と出典'!$C$37*'契約別単価'!C6+'前提と出典'!$C$38*'契約別単価'!C7)</ns0:f>
        <ns0:v>2489.653631284916</ns0:v>
      </ns0:c>
      <ns0:c r="E350" s="16">
        <ns0:f>A350*('前提と出典'!$C$36*'契約別単価'!E5+'前提と出典'!$C$37*'契約別単価'!E6+'前提と出典'!$C$38*'契約別単価'!E7)</ns0:f>
        <ns0:v>869800.0314413559</ns0:v>
      </ns0:c>
      <ns0:c r="F350" s="16">
        <ns0:f>A350*('前提と出典'!$C$36*'契約別単価'!F5+'前提と出典'!$C$37*'契約別単価'!F6+'前提と出典'!$C$38*'契約別単価'!F7)</ns0:f>
        <ns0:v>252741.65576562853</ns0:v>
      </ns0:c>
      <ns0:c r="G350" s="16">
        <ns0:f>A350*('前提と出典'!$C$36*'契約別単価'!G5+'前提と出典'!$C$37*'契約別単価'!G6+'前提と出典'!$C$38*'契約別単価'!G7)</ns0:f>
        <ns0:v>688713.9664804469</ns0:v>
      </ns0:c>
      <ns0:c r="H350" s="16">
        <ns0:f>A350*('前提と出典'!$C$36*'契約別単価'!H5+'前提と出典'!$C$37*'契約別単価'!H6+'前提と出典'!$C$38*'契約別単価'!H7)</ns0:f>
        <ns0:v>239018.28808848708</ns0:v>
      </ns0:c>
      <ns0:c r="I350" s="16">
        <ns0:f>A350*('前提と出典'!$C$36*'契約別単価'!I5+'前提と出典'!$C$37*'契約別単価'!I6+'前提と出典'!$C$38*'契約別単価'!I7)</ns0:f>
        <ns0:v>14599.653631284913</ns0:v>
      </ns0:c>
      <ns0:c r="J350" s="16">
        <ns0:f>A350*('前提と出典'!$C$36*'契約別単価'!J5+'前提と出典'!$C$37*'契約別単価'!J6+'前提と出典'!$C$38*'契約別単価'!J7)</ns0:f>
        <ns0:v>34008.18212376469</ns0:v>
      </ns0:c>
      <ns0:c r="K350" s="16">
        <ns0:f>A350*('前提と出典'!$C$36*'契約別単価'!K5+'前提と出典'!$C$37*'契約別単価'!K6+'前提と出典'!$C$38*'契約別単価'!K7)</ns0:f>
        <ns0:v>145771.0242085661</ns0:v>
      </ns0:c>
      <ns0:c r="L350" s="16">
        <ns0:f>A350*('前提と出典'!$C$36*'契約別単価'!L5+'前提と出典'!$C$37*'契約別単価'!L6+'前提と出典'!$C$38*'契約別単価'!L7)</ns0:f>
        <ns0:v>118687.27626961624</ns0:v>
      </ns0:c>
      <ns0:c r="M350" s="16">
        <ns0:f>IF(('前提と出典'!$C$36+'前提と出典'!$C$38)=0,0,IF(B350&lt;=10,'前提と出典'!B73+'前提と出典'!C73,IF(B350&lt;=100,'前提と出典'!B74+'前提と出典'!C74,IF(B350&lt;=500,'前提と出典'!B75+'前提と出典'!C75,'前提と出典'!B76+'前提と出典'!C76))))</ns0:f>
        <ns0:v>40000</ns0:v>
      </ns0:c>
      <ns0:c r="N350" s="16">
        <ns0:f>IF(('前提と出典'!$C$37+'前提と出典'!$C$38)=0,0,IF(C350&lt;=10,'前提と出典'!D73+'前提と出典'!E73,IF(C350&lt;=100,'前提と出典'!D74+'前提と出典'!E74,IF(C350&lt;=500,'前提と出典'!D75+'前提と出典'!E75,'前提と出典'!D76+'前提と出典'!E76))))</ns0:f>
        <ns0:v>56510.9346263078</ns0:v>
      </ns0:c>
      <ns0:c r="O350" s="16">
        <ns0:f>IF('前提と出典'!$C$36+'前提と出典'!$C$38=0,0,'前提と出典'!$B$4*IF('前提と出典'!$B$20=0,MAX('前提と出典'!$B$6,D350*'前提と出典'!$B$5),'前提と出典'!$B$6+D350*'前提と出典'!$B$5))</ns0:f>
        <ns0:v>343572.2011173185</ns0:v>
      </ns0:c>
      <ns0:c r="P350" s="16">
        <ns0:f>(E350+G350)*(1-'前提と出典'!$B$7)-I350-K350-M350-O350</ns0:f>
        <ns0:v>958464.6150394485</ns0:v>
      </ns0:c>
      <ns0:c r="Q350" s="16">
        <ns0:f>(F350+H350)*(1-'前提と出典'!$B$7)-J350-L350-N350</ns0:f>
        <ns0:v>264850.19285567873</ns0:v>
      </ns0:c>
      <ns0:c r="R350" s="16">
        <ns0:f>P350-E350*'前提と出典'!$E$4</ns0:f>
        <ns0:v>697524.6056070415</ns0:v>
      </ns0:c>
      <ns0:c r="S350" s="16">
        <ns0:f>Q350-F350*'前提と出典'!$E$4</ns0:f>
        <ns0:v>189027.69612599016</ns0:v>
      </ns0:c>
      <ns0:c r="T350" s="7">
        <ns0:f>R350+S350</ns0:f>
        <ns0:v>886552.3017330316</ns0:v>
      </ns0:c>
      <ns0:c r="U350" s="16">
        <ns0:f>P350-E350*'前提と出典'!$E$5</ns0:f>
        <ns0:v>610544.6024629062</ns0:v>
      </ns0:c>
      <ns0:c r="V350" s="16">
        <ns0:f>Q350-F350*'前提と出典'!$E$5</ns0:f>
        <ns0:v>163753.5305494273</ns0:v>
      </ns0:c>
      <ns0:c r="W350" s="7">
        <ns0:f>U350+V350</ns0:f>
        <ns0:v>774298.1330123334</ns0:v>
      </ns0:c>
      <ns0:c r="X350" s="16">
        <ns0:f>P350-E350*'前提と出典'!$E$6</ns0:f>
        <ns0:v>523564.59931877046</ns0:v>
      </ns0:c>
      <ns0:c r="Y350" s="16">
        <ns0:f>Q350-F350*'前提と出典'!$E$6</ns0:f>
        <ns0:v>138479.36497286442</ns0:v>
      </ns0:c>
      <ns0:c r="Z350" s="7">
        <ns0:f>X350+Y350</ns0:f>
        <ns0:v>662043.9642916349</ns0:v>
      </ns0:c>
      <ns0:c r="AA350" s="7">
        <ns0:f>IF(T350&gt;=0,A350,1001)</ns0:f>
        <ns0:v>346</ns0:v>
      </ns0:c>
      <ns0:c r="AB350" s="7">
        <ns0:f>IF(T350&lt;0,A350,0)</ns0:f>
        <ns0:v>0</ns0:v>
      </ns0:c>
      <ns0:c r="AC350" s="16">
        <ns0:f>IF(AND(OR('前提と出典'!$C$36+'前提と出典'!$C$38=0,R350&gt;=0),OR('前提と出典'!$C$37+'前提と出典'!$C$38=0,S350&gt;=0)),0,A350)</ns0:f>
        <ns0:v>0</ns0:v>
      </ns0:c>
      <ns0:c r="AD350" s="7">
        <ns0:f>IF(W350&gt;=0,A350,1001)</ns0:f>
        <ns0:v>346</ns0:v>
      </ns0:c>
      <ns0:c r="AE350" s="7">
        <ns0:f>IF(W350&lt;0,A350,0)</ns0:f>
        <ns0:v>0</ns0:v>
      </ns0:c>
      <ns0:c r="AF350" s="16">
        <ns0:f>IF(AND(OR('前提と出典'!$C$36+'前提と出典'!$C$38=0,U350&gt;=0),OR('前提と出典'!$C$37+'前提と出典'!$C$38=0,V350&gt;=0)),0,A350)</ns0:f>
        <ns0:v>0</ns0:v>
      </ns0:c>
      <ns0:c r="AG350" s="7">
        <ns0:f>IF(Z350&gt;=0,A350,1001)</ns0:f>
        <ns0:v>346</ns0:v>
      </ns0:c>
      <ns0:c r="AH350" s="4">
        <ns0:f>IF(Z350&lt;0,A350,0)</ns0:f>
        <ns0:v>0</ns0:v>
      </ns0:c>
      <ns0:c r="AI350" s="12">
        <ns0:f>IF(AND(OR('前提と出典'!$C$36+'前提と出典'!$C$38=0,X350&gt;=0),OR('前提と出典'!$C$37+'前提と出典'!$C$38=0,Y350&gt;=0)),0,A350)</ns0:f>
        <ns0:v>0</ns0:v>
      </ns0:c>
    </ns0:row>
    <ns0:row r="351" ht="24" customHeight="1">
      <ns0:c r="A351" s="4" t="n">
        <ns0:v>347</ns0:v>
      </ns0:c>
      <ns0:c r="B351" s="12">
        <ns0:f>A351*('前提と出典'!$C$36+'前提と出典'!$C$38)</ns0:f>
        <ns0:v>242.89999999999998</ns0:v>
      </ns0:c>
      <ns0:c r="C351" s="12">
        <ns0:f>A351*('前提と出典'!$C$37+'前提と出典'!$C$38)</ns0:f>
        <ns0:v>208.2</ns0:v>
      </ns0:c>
      <ns0:c r="D351" s="16">
        <ns0:f>A351*('前提と出典'!$C$36*'契約別単価'!C5+'前提と出典'!$C$37*'契約別単価'!C6+'前提と出典'!$C$38*'契約別単価'!C7)</ns0:f>
        <ns0:v>2496.849162011173</ns0:v>
      </ns0:c>
      <ns0:c r="E351" s="16">
        <ns0:f>A351*('前提と出典'!$C$36*'契約別単価'!E5+'前提と出典'!$C$37*'契約別単価'!E6+'前提と出典'!$C$38*'契約別単価'!E7)</ns0:f>
        <ns0:v>872313.9043645969</ns0:v>
      </ns0:c>
      <ns0:c r="F351" s="16">
        <ns0:f>A351*('前提と出典'!$C$36*'契約別単価'!F5+'前提と出典'!$C$37*'契約別単価'!F6+'前提と出典'!$C$38*'契約別単価'!F7)</ns0:f>
        <ns0:v>253472.122978824</ns0:v>
      </ns0:c>
      <ns0:c r="G351" s="16">
        <ns0:f>A351*('前提と出典'!$C$36*'契約別単価'!G5+'前提と出典'!$C$37*'契約別単価'!G6+'前提と出典'!$C$38*'契約別単価'!G7)</ns0:f>
        <ns0:v>690704.469273743</ns0:v>
      </ns0:c>
      <ns0:c r="H351" s="16">
        <ns0:f>A351*('前提と出典'!$C$36*'契約別単価'!H5+'前提と出典'!$C$37*'契約別単価'!H6+'前提と出典'!$C$38*'契約別単価'!H7)</ns0:f>
        <ns0:v>239709.09238932087</ns0:v>
      </ns0:c>
      <ns0:c r="I351" s="16">
        <ns0:f>A351*('前提と出典'!$C$36*'契約別単価'!I5+'前提と出典'!$C$37*'契約別単価'!I6+'前提と出典'!$C$38*'契約別単価'!I7)</ns0:f>
        <ns0:v>14641.84916201117</ns0:v>
      </ns0:c>
      <ns0:c r="J351" s="16">
        <ns0:f>A351*('前提と出典'!$C$36*'契約別単価'!J5+'前提と出典'!$C$37*'契約別単価'!J6+'前提と出典'!$C$38*'契約別単価'!J7)</ns0:f>
        <ns0:v>34106.471667474994</ns0:v>
      </ns0:c>
      <ns0:c r="K351" s="16">
        <ns0:f>A351*('前提と出典'!$C$36*'契約別単価'!K5+'前提と出典'!$C$37*'契約別単価'!K6+'前提と出典'!$C$38*'契約別単価'!K7)</ns0:f>
        <ns0:v>146192.32774674115</ns0:v>
      </ns0:c>
      <ns0:c r="L351" s="16">
        <ns0:f>A351*('前提と出典'!$C$36*'契約別単価'!L5+'前提と出典'!$C$37*'契約別単価'!L6+'前提と出典'!$C$38*'契約別単価'!L7)</ns0:f>
        <ns0:v>119030.30307964403</ns0:v>
      </ns0:c>
      <ns0:c r="M351" s="16">
        <ns0:f>IF(('前提と出典'!$C$36+'前提と出典'!$C$38)=0,0,IF(B351&lt;=10,'前提と出典'!B73+'前提と出典'!C73,IF(B351&lt;=100,'前提と出典'!B74+'前提と出典'!C74,IF(B351&lt;=500,'前提と出典'!B75+'前提と出典'!C75,'前提と出典'!B76+'前提と出典'!C76))))</ns0:f>
        <ns0:v>40000</ns0:v>
      </ns0:c>
      <ns0:c r="N351" s="16">
        <ns0:f>IF(('前提と出典'!$C$37+'前提と出典'!$C$38)=0,0,IF(C351&lt;=10,'前提と出典'!D73+'前提と出典'!E73,IF(C351&lt;=100,'前提と出典'!D74+'前提と出典'!E74,IF(C351&lt;=500,'前提と出典'!D75+'前提と出典'!E75,'前提と出典'!D76+'前提と出典'!E76))))</ns0:f>
        <ns0:v>56510.9346263078</ns0:v>
      </ns0:c>
      <ns0:c r="O351" s="16">
        <ns0:f>IF('前提と出典'!$C$36+'前提と出典'!$C$38=0,0,'前提と出典'!$B$4*IF('前提と出典'!$B$20=0,MAX('前提と出典'!$B$6,D351*'前提と出典'!$B$5),'前提と出典'!$B$6+D351*'前提と出典'!$B$5))</ns0:f>
        <ns0:v>344565.1843575419</ns0:v>
      </ns0:c>
      <ns0:c r="P351" s="16">
        <ns0:f>(E351+G351)*(1-'前提と出典'!$B$7)-I351-K351-M351-O351</ns0:f>
        <ns0:v>961350.3509210653</ns0:v>
      </ns0:c>
      <ns0:c r="Q351" s="16">
        <ns0:f>(F351+H351)*(1-'前提と出典'!$B$7)-J351-L351-N351</ns0:f>
        <ns0:v>265778.9822414648</ns0:v>
      </ns0:c>
      <ns0:c r="R351" s="16">
        <ns0:f>P351-E351*'前提と出典'!$E$4</ns0:f>
        <ns0:v>699656.1796116862</ns0:v>
      </ns0:c>
      <ns0:c r="S351" s="16">
        <ns0:f>Q351-F351*'前提と出典'!$E$4</ns0:f>
        <ns0:v>189737.34534781758</ns0:v>
      </ns0:c>
      <ns0:c r="T351" s="7">
        <ns0:f>R351+S351</ns0:f>
        <ns0:v>889393.5249595037</ns0:v>
      </ns0:c>
      <ns0:c r="U351" s="16">
        <ns0:f>P351-E351*'前提と出典'!$E$5</ns0:f>
        <ns0:v>612424.7891752266</ns0:v>
      </ns0:c>
      <ns0:c r="V351" s="16">
        <ns0:f>Q351-F351*'前提と出典'!$E$5</ns0:f>
        <ns0:v>164390.13304993516</ns0:v>
      </ns0:c>
      <ns0:c r="W351" s="7">
        <ns0:f>U351+V351</ns0:f>
        <ns0:v>776814.9222251617</ns0:v>
      </ns0:c>
      <ns0:c r="X351" s="16">
        <ns0:f>P351-E351*'前提と出典'!$E$6</ns0:f>
        <ns0:v>525193.3987387668</ns0:v>
      </ns0:c>
      <ns0:c r="Y351" s="16">
        <ns0:f>Q351-F351*'前提と出典'!$E$6</ns0:f>
        <ns0:v>139042.9207520528</ns0:v>
      </ns0:c>
      <ns0:c r="Z351" s="7">
        <ns0:f>X351+Y351</ns0:f>
        <ns0:v>664236.3194908196</ns0:v>
      </ns0:c>
      <ns0:c r="AA351" s="7">
        <ns0:f>IF(T351&gt;=0,A351,1001)</ns0:f>
        <ns0:v>347</ns0:v>
      </ns0:c>
      <ns0:c r="AB351" s="7">
        <ns0:f>IF(T351&lt;0,A351,0)</ns0:f>
        <ns0:v>0</ns0:v>
      </ns0:c>
      <ns0:c r="AC351" s="16">
        <ns0:f>IF(AND(OR('前提と出典'!$C$36+'前提と出典'!$C$38=0,R351&gt;=0),OR('前提と出典'!$C$37+'前提と出典'!$C$38=0,S351&gt;=0)),0,A351)</ns0:f>
        <ns0:v>0</ns0:v>
      </ns0:c>
      <ns0:c r="AD351" s="7">
        <ns0:f>IF(W351&gt;=0,A351,1001)</ns0:f>
        <ns0:v>347</ns0:v>
      </ns0:c>
      <ns0:c r="AE351" s="7">
        <ns0:f>IF(W351&lt;0,A351,0)</ns0:f>
        <ns0:v>0</ns0:v>
      </ns0:c>
      <ns0:c r="AF351" s="16">
        <ns0:f>IF(AND(OR('前提と出典'!$C$36+'前提と出典'!$C$38=0,U351&gt;=0),OR('前提と出典'!$C$37+'前提と出典'!$C$38=0,V351&gt;=0)),0,A351)</ns0:f>
        <ns0:v>0</ns0:v>
      </ns0:c>
      <ns0:c r="AG351" s="7">
        <ns0:f>IF(Z351&gt;=0,A351,1001)</ns0:f>
        <ns0:v>347</ns0:v>
      </ns0:c>
      <ns0:c r="AH351" s="4">
        <ns0:f>IF(Z351&lt;0,A351,0)</ns0:f>
        <ns0:v>0</ns0:v>
      </ns0:c>
      <ns0:c r="AI351" s="12">
        <ns0:f>IF(AND(OR('前提と出典'!$C$36+'前提と出典'!$C$38=0,X351&gt;=0),OR('前提と出典'!$C$37+'前提と出典'!$C$38=0,Y351&gt;=0)),0,A351)</ns0:f>
        <ns0:v>0</ns0:v>
      </ns0:c>
    </ns0:row>
    <ns0:row r="352" ht="24" customHeight="1">
      <ns0:c r="A352" s="4" t="n">
        <ns0:v>348</ns0:v>
      </ns0:c>
      <ns0:c r="B352" s="12">
        <ns0:f>A352*('前提と出典'!$C$36+'前提と出典'!$C$38)</ns0:f>
        <ns0:v>243.6</ns0:v>
      </ns0:c>
      <ns0:c r="C352" s="12">
        <ns0:f>A352*('前提と出典'!$C$37+'前提と出典'!$C$38)</ns0:f>
        <ns0:v>208.79999999999998</ns0:v>
      </ns0:c>
      <ns0:c r="D352" s="16">
        <ns0:f>A352*('前提と出典'!$C$36*'契約別単価'!C5+'前提と出典'!$C$37*'契約別単価'!C6+'前提と出典'!$C$38*'契約別単価'!C7)</ns0:f>
        <ns0:v>2504.04469273743</ns0:v>
      </ns0:c>
      <ns0:c r="E352" s="16">
        <ns0:f>A352*('前提と出典'!$C$36*'契約別単価'!E5+'前提と出典'!$C$37*'契約別単価'!E6+'前提と出典'!$C$38*'契約別単価'!E7)</ns0:f>
        <ns0:v>874827.7772878378</ns0:v>
      </ns0:c>
      <ns0:c r="F352" s="16">
        <ns0:f>A352*('前提と出典'!$C$36*'契約別単価'!F5+'前提と出典'!$C$37*'契約別単価'!F6+'前提と出典'!$C$38*'契約別単価'!F7)</ns0:f>
        <ns0:v>254202.59019201944</ns0:v>
      </ns0:c>
      <ns0:c r="G352" s="16">
        <ns0:f>A352*('前提と出典'!$C$36*'契約別単価'!G5+'前提と出典'!$C$37*'契約別単価'!G6+'前提と出典'!$C$38*'契約別単価'!G7)</ns0:f>
        <ns0:v>692694.9720670391</ns0:v>
      </ns0:c>
      <ns0:c r="H352" s="16">
        <ns0:f>A352*('前提と出典'!$C$36*'契約別単価'!H5+'前提と出典'!$C$37*'契約別単価'!H6+'前提と出典'!$C$38*'契約別単価'!H7)</ns0:f>
        <ns0:v>240399.89669015462</ns0:v>
      </ns0:c>
      <ns0:c r="I352" s="16">
        <ns0:f>A352*('前提と出典'!$C$36*'契約別単価'!I5+'前提と出典'!$C$37*'契約別単価'!I6+'前提と出典'!$C$38*'契約別単価'!I7)</ns0:f>
        <ns0:v>14684.044692737427</ns0:v>
      </ns0:c>
      <ns0:c r="J352" s="16">
        <ns0:f>A352*('前提と出典'!$C$36*'契約別単価'!J5+'前提と出典'!$C$37*'契約別単価'!J6+'前提と出典'!$C$38*'契約別単価'!J7)</ns0:f>
        <ns0:v>34204.761211185294</ns0:v>
      </ns0:c>
      <ns0:c r="K352" s="16">
        <ns0:f>A352*('前提と出典'!$C$36*'契約別単価'!K5+'前提と出典'!$C$37*'契約別単価'!K6+'前提と出典'!$C$38*'契約別単価'!K7)</ns0:f>
        <ns0:v>146613.6312849162</ns0:v>
      </ns0:c>
      <ns0:c r="L352" s="16">
        <ns0:f>A352*('前提と出典'!$C$36*'契約別単価'!L5+'前提と出典'!$C$37*'契約別単価'!L6+'前提と出典'!$C$38*'契約別単価'!L7)</ns0:f>
        <ns0:v>119373.32988967182</ns0:v>
      </ns0:c>
      <ns0:c r="M352" s="16">
        <ns0:f>IF(('前提と出典'!$C$36+'前提と出典'!$C$38)=0,0,IF(B352&lt;=10,'前提と出典'!B73+'前提と出典'!C73,IF(B352&lt;=100,'前提と出典'!B74+'前提と出典'!C74,IF(B352&lt;=500,'前提と出典'!B75+'前提と出典'!C75,'前提と出典'!B76+'前提と出典'!C76))))</ns0:f>
        <ns0:v>40000</ns0:v>
      </ns0:c>
      <ns0:c r="N352" s="16">
        <ns0:f>IF(('前提と出典'!$C$37+'前提と出典'!$C$38)=0,0,IF(C352&lt;=10,'前提と出典'!D73+'前提と出典'!E73,IF(C352&lt;=100,'前提と出典'!D74+'前提と出典'!E74,IF(C352&lt;=500,'前提と出典'!D75+'前提と出典'!E75,'前提と出典'!D76+'前提と出典'!E76))))</ns0:f>
        <ns0:v>56510.9346263078</ns0:v>
      </ns0:c>
      <ns0:c r="O352" s="16">
        <ns0:f>IF('前提と出典'!$C$36+'前提と出典'!$C$38=0,0,'前提と出典'!$B$4*IF('前提と出典'!$B$20=0,MAX('前提と出典'!$B$6,D352*'前提と出典'!$B$5),'前提と出典'!$B$6+D352*'前提と出典'!$B$5))</ns0:f>
        <ns0:v>345558.1675977654</ns0:v>
      </ns0:c>
      <ns0:c r="P352" s="16">
        <ns0:f>(E352+G352)*(1-'前提と出典'!$B$7)-I352-K352-M352-O352</ns0:f>
        <ns0:v>964236.0868026824</ns0:v>
      </ns0:c>
      <ns0:c r="Q352" s="16">
        <ns0:f>(F352+H352)*(1-'前提と出典'!$B$7)-J352-L352-N352</ns0:f>
        <ns0:v>266707.7716272508</ns0:v>
      </ns0:c>
      <ns0:c r="R352" s="16">
        <ns0:f>P352-E352*'前提と出典'!$E$4</ns0:f>
        <ns0:v>701787.7536163314</ns0:v>
      </ns0:c>
      <ns0:c r="S352" s="16">
        <ns0:f>Q352-F352*'前提と出典'!$E$4</ns0:f>
        <ns0:v>190446.99456964503</ns0:v>
      </ns0:c>
      <ns0:c r="T352" s="7">
        <ns0:f>R352+S352</ns0:f>
        <ns0:v>892234.7481859764</ns0:v>
      </ns0:c>
      <ns0:c r="U352" s="16">
        <ns0:f>P352-E352*'前提と出典'!$E$5</ns0:f>
        <ns0:v>614304.9758875472</ns0:v>
      </ns0:c>
      <ns0:c r="V352" s="16">
        <ns0:f>Q352-F352*'前提と出典'!$E$5</ns0:f>
        <ns0:v>165026.73555044306</ns0:v>
      </ns0:c>
      <ns0:c r="W352" s="7">
        <ns0:f>U352+V352</ns0:f>
        <ns0:v>779331.7114379903</ns0:v>
      </ns0:c>
      <ns0:c r="X352" s="16">
        <ns0:f>P352-E352*'前提と出典'!$E$6</ns0:f>
        <ns0:v>526822.1981587633</ns0:v>
      </ns0:c>
      <ns0:c r="Y352" s="16">
        <ns0:f>Q352-F352*'前提と出典'!$E$6</ns0:f>
        <ns0:v>139606.4765312411</ns0:v>
      </ns0:c>
      <ns0:c r="Z352" s="7">
        <ns0:f>X352+Y352</ns0:f>
        <ns0:v>666428.6746900044</ns0:v>
      </ns0:c>
      <ns0:c r="AA352" s="7">
        <ns0:f>IF(T352&gt;=0,A352,1001)</ns0:f>
        <ns0:v>348</ns0:v>
      </ns0:c>
      <ns0:c r="AB352" s="7">
        <ns0:f>IF(T352&lt;0,A352,0)</ns0:f>
        <ns0:v>0</ns0:v>
      </ns0:c>
      <ns0:c r="AC352" s="16">
        <ns0:f>IF(AND(OR('前提と出典'!$C$36+'前提と出典'!$C$38=0,R352&gt;=0),OR('前提と出典'!$C$37+'前提と出典'!$C$38=0,S352&gt;=0)),0,A352)</ns0:f>
        <ns0:v>0</ns0:v>
      </ns0:c>
      <ns0:c r="AD352" s="7">
        <ns0:f>IF(W352&gt;=0,A352,1001)</ns0:f>
        <ns0:v>348</ns0:v>
      </ns0:c>
      <ns0:c r="AE352" s="7">
        <ns0:f>IF(W352&lt;0,A352,0)</ns0:f>
        <ns0:v>0</ns0:v>
      </ns0:c>
      <ns0:c r="AF352" s="16">
        <ns0:f>IF(AND(OR('前提と出典'!$C$36+'前提と出典'!$C$38=0,U352&gt;=0),OR('前提と出典'!$C$37+'前提と出典'!$C$38=0,V352&gt;=0)),0,A352)</ns0:f>
        <ns0:v>0</ns0:v>
      </ns0:c>
      <ns0:c r="AG352" s="7">
        <ns0:f>IF(Z352&gt;=0,A352,1001)</ns0:f>
        <ns0:v>348</ns0:v>
      </ns0:c>
      <ns0:c r="AH352" s="4">
        <ns0:f>IF(Z352&lt;0,A352,0)</ns0:f>
        <ns0:v>0</ns0:v>
      </ns0:c>
      <ns0:c r="AI352" s="12">
        <ns0:f>IF(AND(OR('前提と出典'!$C$36+'前提と出典'!$C$38=0,X352&gt;=0),OR('前提と出典'!$C$37+'前提と出典'!$C$38=0,Y352&gt;=0)),0,A352)</ns0:f>
        <ns0:v>0</ns0:v>
      </ns0:c>
    </ns0:row>
    <ns0:row r="353" ht="24" customHeight="1">
      <ns0:c r="A353" s="4" t="n">
        <ns0:v>349</ns0:v>
      </ns0:c>
      <ns0:c r="B353" s="12">
        <ns0:f>A353*('前提と出典'!$C$36+'前提と出典'!$C$38)</ns0:f>
        <ns0:v>244.29999999999998</ns0:v>
      </ns0:c>
      <ns0:c r="C353" s="12">
        <ns0:f>A353*('前提と出典'!$C$37+'前提と出典'!$C$38)</ns0:f>
        <ns0:v>209.4</ns0:v>
      </ns0:c>
      <ns0:c r="D353" s="16">
        <ns0:f>A353*('前提と出典'!$C$36*'契約別単価'!C5+'前提と出典'!$C$37*'契約別単価'!C6+'前提と出典'!$C$38*'契約別単価'!C7)</ns0:f>
        <ns0:v>2511.240223463687</ns0:v>
      </ns0:c>
      <ns0:c r="E353" s="16">
        <ns0:f>A353*('前提と出典'!$C$36*'契約別単価'!E5+'前提と出典'!$C$37*'契約別単価'!E6+'前提と出典'!$C$38*'契約別単価'!E7)</ns0:f>
        <ns0:v>877341.6502110787</ns0:v>
      </ns0:c>
      <ns0:c r="F353" s="16">
        <ns0:f>A353*('前提と出典'!$C$36*'契約別単価'!F5+'前提と出典'!$C$37*'契約別単価'!F6+'前提と出典'!$C$38*'契約別単価'!F7)</ns0:f>
        <ns0:v>254933.0574052149</ns0:v>
      </ns0:c>
      <ns0:c r="G353" s="16">
        <ns0:f>A353*('前提と出典'!$C$36*'契約別単価'!G5+'前提と出典'!$C$37*'契約別単価'!G6+'前提と出典'!$C$38*'契約別単価'!G7)</ns0:f>
        <ns0:v>694685.4748603351</ns0:v>
      </ns0:c>
      <ns0:c r="H353" s="16">
        <ns0:f>A353*('前提と出典'!$C$36*'契約別単価'!H5+'前提と出典'!$C$37*'契約別単価'!H6+'前提と出典'!$C$38*'契約別単価'!H7)</ns0:f>
        <ns0:v>241090.7009909884</ns0:v>
      </ns0:c>
      <ns0:c r="I353" s="16">
        <ns0:f>A353*('前提と出典'!$C$36*'契約別単価'!I5+'前提と出典'!$C$37*'契約別単価'!I6+'前提と出典'!$C$38*'契約別単価'!I7)</ns0:f>
        <ns0:v>14726.240223463685</ns0:v>
      </ns0:c>
      <ns0:c r="J353" s="16">
        <ns0:f>A353*('前提と出典'!$C$36*'契約別単価'!J5+'前提と出典'!$C$37*'契約別単価'!J6+'前提と出典'!$C$38*'契約別単価'!J7)</ns0:f>
        <ns0:v>34303.050754895594</ns0:v>
      </ns0:c>
      <ns0:c r="K353" s="16">
        <ns0:f>A353*('前提と出典'!$C$36*'契約別単価'!K5+'前提と出典'!$C$37*'契約別単価'!K6+'前提と出典'!$C$38*'契約別単価'!K7)</ns0:f>
        <ns0:v>147034.93482309123</ns0:v>
      </ns0:c>
      <ns0:c r="L353" s="16">
        <ns0:f>A353*('前提と出典'!$C$36*'契約別単価'!L5+'前提と出典'!$C$37*'契約別単価'!L6+'前提と出典'!$C$38*'契約別単価'!L7)</ns0:f>
        <ns0:v>119716.35669969961</ns0:v>
      </ns0:c>
      <ns0:c r="M353" s="16">
        <ns0:f>IF(('前提と出典'!$C$36+'前提と出典'!$C$38)=0,0,IF(B353&lt;=10,'前提と出典'!B73+'前提と出典'!C73,IF(B353&lt;=100,'前提と出典'!B74+'前提と出典'!C74,IF(B353&lt;=500,'前提と出典'!B75+'前提と出典'!C75,'前提と出典'!B76+'前提と出典'!C76))))</ns0:f>
        <ns0:v>40000</ns0:v>
      </ns0:c>
      <ns0:c r="N353" s="16">
        <ns0:f>IF(('前提と出典'!$C$37+'前提と出典'!$C$38)=0,0,IF(C353&lt;=10,'前提と出典'!D73+'前提と出典'!E73,IF(C353&lt;=100,'前提と出典'!D74+'前提と出典'!E74,IF(C353&lt;=500,'前提と出典'!D75+'前提と出典'!E75,'前提と出典'!D76+'前提と出典'!E76))))</ns0:f>
        <ns0:v>56510.9346263078</ns0:v>
      </ns0:c>
      <ns0:c r="O353" s="16">
        <ns0:f>IF('前提と出典'!$C$36+'前提と出典'!$C$38=0,0,'前提と出典'!$B$4*IF('前提と出典'!$B$20=0,MAX('前提と出典'!$B$6,D353*'前提と出典'!$B$5),'前提と出典'!$B$6+D353*'前提と出典'!$B$5))</ns0:f>
        <ns0:v>346551.1508379888</ns0:v>
      </ns0:c>
      <ns0:c r="P353" s="16">
        <ns0:f>(E353+G353)*(1-'前提と出典'!$B$7)-I353-K353-M353-O353</ns0:f>
        <ns0:v>967121.8226842993</ns0:v>
      </ns0:c>
      <ns0:c r="Q353" s="16">
        <ns0:f>(F353+H353)*(1-'前提と出典'!$B$7)-J353-L353-N353</ns0:f>
        <ns0:v>267636.56101303693</ns0:v>
      </ns0:c>
      <ns0:c r="R353" s="16">
        <ns0:f>P353-E353*'前提と出典'!$E$4</ns0:f>
        <ns0:v>703919.3276209759</ns0:v>
      </ns0:c>
      <ns0:c r="S353" s="16">
        <ns0:f>Q353-F353*'前提と出典'!$E$4</ns0:f>
        <ns0:v>191156.64379147248</ns0:v>
      </ns0:c>
      <ns0:c r="T353" s="7">
        <ns0:f>R353+S353</ns0:f>
        <ns0:v>895075.9714124484</ns0:v>
      </ns0:c>
      <ns0:c r="U353" s="16">
        <ns0:f>P353-E353*'前提と出典'!$E$5</ns0:f>
        <ns0:v>616185.1625998678</ns0:v>
      </ns0:c>
      <ns0:c r="V353" s="16">
        <ns0:f>Q353-F353*'前提と出典'!$E$5</ns0:f>
        <ns0:v>165663.33805095096</ns0:v>
      </ns0:c>
      <ns0:c r="W353" s="7">
        <ns0:f>U353+V353</ns0:f>
        <ns0:v>781848.5006508187</ns0:v>
      </ns0:c>
      <ns0:c r="X353" s="16">
        <ns0:f>P353-E353*'前提と出典'!$E$6</ns0:f>
        <ns0:v>528450.99757876</ns0:v>
      </ns0:c>
      <ns0:c r="Y353" s="16">
        <ns0:f>Q353-F353*'前提と出典'!$E$6</ns0:f>
        <ns0:v>140170.0323104295</ns0:v>
      </ns0:c>
      <ns0:c r="Z353" s="7">
        <ns0:f>X353+Y353</ns0:f>
        <ns0:v>668621.0298891895</ns0:v>
      </ns0:c>
      <ns0:c r="AA353" s="7">
        <ns0:f>IF(T353&gt;=0,A353,1001)</ns0:f>
        <ns0:v>349</ns0:v>
      </ns0:c>
      <ns0:c r="AB353" s="7">
        <ns0:f>IF(T353&lt;0,A353,0)</ns0:f>
        <ns0:v>0</ns0:v>
      </ns0:c>
      <ns0:c r="AC353" s="16">
        <ns0:f>IF(AND(OR('前提と出典'!$C$36+'前提と出典'!$C$38=0,R353&gt;=0),OR('前提と出典'!$C$37+'前提と出典'!$C$38=0,S353&gt;=0)),0,A353)</ns0:f>
        <ns0:v>0</ns0:v>
      </ns0:c>
      <ns0:c r="AD353" s="7">
        <ns0:f>IF(W353&gt;=0,A353,1001)</ns0:f>
        <ns0:v>349</ns0:v>
      </ns0:c>
      <ns0:c r="AE353" s="7">
        <ns0:f>IF(W353&lt;0,A353,0)</ns0:f>
        <ns0:v>0</ns0:v>
      </ns0:c>
      <ns0:c r="AF353" s="16">
        <ns0:f>IF(AND(OR('前提と出典'!$C$36+'前提と出典'!$C$38=0,U353&gt;=0),OR('前提と出典'!$C$37+'前提と出典'!$C$38=0,V353&gt;=0)),0,A353)</ns0:f>
        <ns0:v>0</ns0:v>
      </ns0:c>
      <ns0:c r="AG353" s="7">
        <ns0:f>IF(Z353&gt;=0,A353,1001)</ns0:f>
        <ns0:v>349</ns0:v>
      </ns0:c>
      <ns0:c r="AH353" s="4">
        <ns0:f>IF(Z353&lt;0,A353,0)</ns0:f>
        <ns0:v>0</ns0:v>
      </ns0:c>
      <ns0:c r="AI353" s="12">
        <ns0:f>IF(AND(OR('前提と出典'!$C$36+'前提と出典'!$C$38=0,X353&gt;=0),OR('前提と出典'!$C$37+'前提と出典'!$C$38=0,Y353&gt;=0)),0,A353)</ns0:f>
        <ns0:v>0</ns0:v>
      </ns0:c>
    </ns0:row>
    <ns0:row r="354" ht="24" customHeight="1">
      <ns0:c r="A354" s="4" t="n">
        <ns0:v>350</ns0:v>
      </ns0:c>
      <ns0:c r="B354" s="12">
        <ns0:f>A354*('前提と出典'!$C$36+'前提と出典'!$C$38)</ns0:f>
        <ns0:v>244.99999999999997</ns0:v>
      </ns0:c>
      <ns0:c r="C354" s="12">
        <ns0:f>A354*('前提と出典'!$C$37+'前提と出典'!$C$38)</ns0:f>
        <ns0:v>210</ns0:v>
      </ns0:c>
      <ns0:c r="D354" s="16">
        <ns0:f>A354*('前提と出典'!$C$36*'契約別単価'!C5+'前提と出典'!$C$37*'契約別単価'!C6+'前提と出典'!$C$38*'契約別単価'!C7)</ns0:f>
        <ns0:v>2518.435754189944</ns0:v>
      </ns0:c>
      <ns0:c r="E354" s="16">
        <ns0:f>A354*('前提と出典'!$C$36*'契約別単価'!E5+'前提と出典'!$C$37*'契約別単価'!E6+'前提と出典'!$C$38*'契約別単価'!E7)</ns0:f>
        <ns0:v>879855.5231343196</ns0:v>
      </ns0:c>
      <ns0:c r="F354" s="16">
        <ns0:f>A354*('前提と出典'!$C$36*'契約別単価'!F5+'前提と出典'!$C$37*'契約別単価'!F6+'前提と出典'!$C$38*'契約別単価'!F7)</ns0:f>
        <ns0:v>255663.52461841036</ns0:v>
      </ns0:c>
      <ns0:c r="G354" s="16">
        <ns0:f>A354*('前提と出典'!$C$36*'契約別単価'!G5+'前提と出典'!$C$37*'契約別単価'!G6+'前提と出典'!$C$38*'契約別単価'!G7)</ns0:f>
        <ns0:v>696675.9776536312</ns0:v>
      </ns0:c>
      <ns0:c r="H354" s="16">
        <ns0:f>A354*('前提と出典'!$C$36*'契約別単価'!H5+'前提と出典'!$C$37*'契約別単価'!H6+'前提と出典'!$C$38*'契約別単価'!H7)</ns0:f>
        <ns0:v>241781.5052918222</ns0:v>
      </ns0:c>
      <ns0:c r="I354" s="16">
        <ns0:f>A354*('前提と出典'!$C$36*'契約別単価'!I5+'前提と出典'!$C$37*'契約別単価'!I6+'前提と出典'!$C$38*'契約別単価'!I7)</ns0:f>
        <ns0:v>14768.43575418994</ns0:v>
      </ns0:c>
      <ns0:c r="J354" s="16">
        <ns0:f>A354*('前提と出典'!$C$36*'契約別単価'!J5+'前提と出典'!$C$37*'契約別単価'!J6+'前提と出典'!$C$38*'契約別単価'!J7)</ns0:f>
        <ns0:v>34401.3402986059</ns0:v>
      </ns0:c>
      <ns0:c r="K354" s="16">
        <ns0:f>A354*('前提と出典'!$C$36*'契約別単価'!K5+'前提と出典'!$C$37*'契約別単価'!K6+'前提と出典'!$C$38*'契約別単価'!K7)</ns0:f>
        <ns0:v>147456.2383612663</ns0:v>
      </ns0:c>
      <ns0:c r="L354" s="16">
        <ns0:f>A354*('前提と出典'!$C$36*'契約別単価'!L5+'前提と出典'!$C$37*'契約別単価'!L6+'前提と出典'!$C$38*'契約別単価'!L7)</ns0:f>
        <ns0:v>120059.3835097274</ns0:v>
      </ns0:c>
      <ns0:c r="M354" s="16">
        <ns0:f>IF(('前提と出典'!$C$36+'前提と出典'!$C$38)=0,0,IF(B354&lt;=10,'前提と出典'!B73+'前提と出典'!C73,IF(B354&lt;=100,'前提と出典'!B74+'前提と出典'!C74,IF(B354&lt;=500,'前提と出典'!B75+'前提と出典'!C75,'前提と出典'!B76+'前提と出典'!C76))))</ns0:f>
        <ns0:v>40000</ns0:v>
      </ns0:c>
      <ns0:c r="N354" s="16">
        <ns0:f>IF(('前提と出典'!$C$37+'前提と出典'!$C$38)=0,0,IF(C354&lt;=10,'前提と出典'!D73+'前提と出典'!E73,IF(C354&lt;=100,'前提と出典'!D74+'前提と出典'!E74,IF(C354&lt;=500,'前提と出典'!D75+'前提と出典'!E75,'前提と出典'!D76+'前提と出典'!E76))))</ns0:f>
        <ns0:v>56510.9346263078</ns0:v>
      </ns0:c>
      <ns0:c r="O354" s="16">
        <ns0:f>IF('前提と出典'!$C$36+'前提と出典'!$C$38=0,0,'前提と出典'!$B$4*IF('前提と出典'!$B$20=0,MAX('前提と出典'!$B$6,D354*'前提と出典'!$B$5),'前提と出典'!$B$6+D354*'前提と出典'!$B$5))</ns0:f>
        <ns0:v>347544.13407821226</ns0:v>
      </ns0:c>
      <ns0:c r="P354" s="16">
        <ns0:f>(E354+G354)*(1-'前提と出典'!$B$7)-I354-K354-M354-O354</ns0:f>
        <ns0:v>970007.558565916</ns0:v>
      </ns0:c>
      <ns0:c r="Q354" s="16">
        <ns0:f>(F354+H354)*(1-'前提と出典'!$B$7)-J354-L354-N354</ns0:f>
        <ns0:v>268565.35039882304</ns0:v>
      </ns0:c>
      <ns0:c r="R354" s="16">
        <ns0:f>P354-E354*'前提と出典'!$E$4</ns0:f>
        <ns0:v>706050.9016256202</ns0:v>
      </ns0:c>
      <ns0:c r="S354" s="16">
        <ns0:f>Q354-F354*'前提と出典'!$E$4</ns0:f>
        <ns0:v>191866.29301329996</ns0:v>
      </ns0:c>
      <ns0:c r="T354" s="7">
        <ns0:f>R354+S354</ns0:f>
        <ns0:v>897917.1946389201</ns0:v>
      </ns0:c>
      <ns0:c r="U354" s="16">
        <ns0:f>P354-E354*'前提と出典'!$E$5</ns0:f>
        <ns0:v>618065.3493121881</ns0:v>
      </ns0:c>
      <ns0:c r="V354" s="16">
        <ns0:f>Q354-F354*'前提と出典'!$E$5</ns0:f>
        <ns0:v>166299.9405514589</ns0:v>
      </ns0:c>
      <ns0:c r="W354" s="7">
        <ns0:f>U354+V354</ns0:f>
        <ns0:v>784365.289863647</ns0:v>
      </ns0:c>
      <ns0:c r="X354" s="16">
        <ns0:f>P354-E354*'前提と出典'!$E$6</ns0:f>
        <ns0:v>530079.7969987562</ns0:v>
      </ns0:c>
      <ns0:c r="Y354" s="16">
        <ns0:f>Q354-F354*'前提と出典'!$E$6</ns0:f>
        <ns0:v>140733.58808961787</ns0:v>
      </ns0:c>
      <ns0:c r="Z354" s="7">
        <ns0:f>X354+Y354</ns0:f>
        <ns0:v>670813.3850883741</ns0:v>
      </ns0:c>
      <ns0:c r="AA354" s="7">
        <ns0:f>IF(T354&gt;=0,A354,1001)</ns0:f>
        <ns0:v>350</ns0:v>
      </ns0:c>
      <ns0:c r="AB354" s="7">
        <ns0:f>IF(T354&lt;0,A354,0)</ns0:f>
        <ns0:v>0</ns0:v>
      </ns0:c>
      <ns0:c r="AC354" s="16">
        <ns0:f>IF(AND(OR('前提と出典'!$C$36+'前提と出典'!$C$38=0,R354&gt;=0),OR('前提と出典'!$C$37+'前提と出典'!$C$38=0,S354&gt;=0)),0,A354)</ns0:f>
        <ns0:v>0</ns0:v>
      </ns0:c>
      <ns0:c r="AD354" s="7">
        <ns0:f>IF(W354&gt;=0,A354,1001)</ns0:f>
        <ns0:v>350</ns0:v>
      </ns0:c>
      <ns0:c r="AE354" s="7">
        <ns0:f>IF(W354&lt;0,A354,0)</ns0:f>
        <ns0:v>0</ns0:v>
      </ns0:c>
      <ns0:c r="AF354" s="16">
        <ns0:f>IF(AND(OR('前提と出典'!$C$36+'前提と出典'!$C$38=0,U354&gt;=0),OR('前提と出典'!$C$37+'前提と出典'!$C$38=0,V354&gt;=0)),0,A354)</ns0:f>
        <ns0:v>0</ns0:v>
      </ns0:c>
      <ns0:c r="AG354" s="7">
        <ns0:f>IF(Z354&gt;=0,A354,1001)</ns0:f>
        <ns0:v>350</ns0:v>
      </ns0:c>
      <ns0:c r="AH354" s="4">
        <ns0:f>IF(Z354&lt;0,A354,0)</ns0:f>
        <ns0:v>0</ns0:v>
      </ns0:c>
      <ns0:c r="AI354" s="12">
        <ns0:f>IF(AND(OR('前提と出典'!$C$36+'前提と出典'!$C$38=0,X354&gt;=0),OR('前提と出典'!$C$37+'前提と出典'!$C$38=0,Y354&gt;=0)),0,A354)</ns0:f>
        <ns0:v>0</ns0:v>
      </ns0:c>
    </ns0:row>
    <ns0:row r="355" ht="24" customHeight="1">
      <ns0:c r="A355" s="4" t="n">
        <ns0:v>351</ns0:v>
      </ns0:c>
      <ns0:c r="B355" s="12">
        <ns0:f>A355*('前提と出典'!$C$36+'前提と出典'!$C$38)</ns0:f>
        <ns0:v>245.7</ns0:v>
      </ns0:c>
      <ns0:c r="C355" s="12">
        <ns0:f>A355*('前提と出典'!$C$37+'前提と出典'!$C$38)</ns0:f>
        <ns0:v>210.6</ns0:v>
      </ns0:c>
      <ns0:c r="D355" s="16">
        <ns0:f>A355*('前提と出典'!$C$36*'契約別単価'!C5+'前提と出典'!$C$37*'契約別単価'!C6+'前提と出典'!$C$38*'契約別単価'!C7)</ns0:f>
        <ns0:v>2525.631284916201</ns0:v>
      </ns0:c>
      <ns0:c r="E355" s="16">
        <ns0:f>A355*('前提と出典'!$C$36*'契約別単価'!E5+'前提と出典'!$C$37*'契約別単価'!E6+'前提と出典'!$C$38*'契約別単価'!E7)</ns0:f>
        <ns0:v>882369.3960575606</ns0:v>
      </ns0:c>
      <ns0:c r="F355" s="16">
        <ns0:f>A355*('前提と出典'!$C$36*'契約別単価'!F5+'前提と出典'!$C$37*'契約別単価'!F6+'前提と出典'!$C$38*'契約別単価'!F7)</ns0:f>
        <ns0:v>256393.99183160582</ns0:v>
      </ns0:c>
      <ns0:c r="G355" s="16">
        <ns0:f>A355*('前提と出典'!$C$36*'契約別単価'!G5+'前提と出典'!$C$37*'契約別単価'!G6+'前提と出典'!$C$38*'契約別単価'!G7)</ns0:f>
        <ns0:v>698666.4804469274</ns0:v>
      </ns0:c>
      <ns0:c r="H355" s="16">
        <ns0:f>A355*('前提と出典'!$C$36*'契約別単価'!H5+'前提と出典'!$C$37*'契約別単価'!H6+'前提と出典'!$C$38*'契約別単価'!H7)</ns0:f>
        <ns0:v>242472.30959265598</ns0:v>
      </ns0:c>
      <ns0:c r="I355" s="16">
        <ns0:f>A355*('前提と出典'!$C$36*'契約別単価'!I5+'前提と出典'!$C$37*'契約別単価'!I6+'前提と出典'!$C$38*'契約別単価'!I7)</ns0:f>
        <ns0:v>14810.631284916199</ns0:v>
      </ns0:c>
      <ns0:c r="J355" s="16">
        <ns0:f>A355*('前提と出典'!$C$36*'契約別単価'!J5+'前提と出典'!$C$37*'契約別単価'!J6+'前提と出典'!$C$38*'契約別単価'!J7)</ns0:f>
        <ns0:v>34499.6298423162</ns0:v>
      </ns0:c>
      <ns0:c r="K355" s="16">
        <ns0:f>A355*('前提と出典'!$C$36*'契約別単価'!K5+'前提と出典'!$C$37*'契約別単価'!K6+'前提と出典'!$C$38*'契約別単価'!K7)</ns0:f>
        <ns0:v>147877.54189944133</ns0:v>
      </ns0:c>
      <ns0:c r="L355" s="16">
        <ns0:f>A355*('前提と出典'!$C$36*'契約別単価'!L5+'前提と出典'!$C$37*'契約別単価'!L6+'前提と出典'!$C$38*'契約別単価'!L7)</ns0:f>
        <ns0:v>120402.41031975519</ns0:v>
      </ns0:c>
      <ns0:c r="M355" s="16">
        <ns0:f>IF(('前提と出典'!$C$36+'前提と出典'!$C$38)=0,0,IF(B355&lt;=10,'前提と出典'!B73+'前提と出典'!C73,IF(B355&lt;=100,'前提と出典'!B74+'前提と出典'!C74,IF(B355&lt;=500,'前提と出典'!B75+'前提と出典'!C75,'前提と出典'!B76+'前提と出典'!C76))))</ns0:f>
        <ns0:v>40000</ns0:v>
      </ns0:c>
      <ns0:c r="N355" s="16">
        <ns0:f>IF(('前提と出典'!$C$37+'前提と出典'!$C$38)=0,0,IF(C355&lt;=10,'前提と出典'!D73+'前提と出典'!E73,IF(C355&lt;=100,'前提と出典'!D74+'前提と出典'!E74,IF(C355&lt;=500,'前提と出典'!D75+'前提と出典'!E75,'前提と出典'!D76+'前提と出典'!E76))))</ns0:f>
        <ns0:v>56510.9346263078</ns0:v>
      </ns0:c>
      <ns0:c r="O355" s="16">
        <ns0:f>IF('前提と出典'!$C$36+'前提と出典'!$C$38=0,0,'前提と出典'!$B$4*IF('前提と出典'!$B$20=0,MAX('前提と出典'!$B$6,D355*'前提と出典'!$B$5),'前提と出典'!$B$6+D355*'前提と出典'!$B$5))</ns0:f>
        <ns0:v>348537.11731843575</ns0:v>
      </ns0:c>
      <ns0:c r="P355" s="16">
        <ns0:f>(E355+G355)*(1-'前提と出典'!$B$7)-I355-K355-M355-O355</ns0:f>
        <ns0:v>972893.2944475329</ns0:v>
      </ns0:c>
      <ns0:c r="Q355" s="16">
        <ns0:f>(F355+H355)*(1-'前提と出典'!$B$7)-J355-L355-N355</ns0:f>
        <ns0:v>269494.13978460914</ns0:v>
      </ns0:c>
      <ns0:c r="R355" s="16">
        <ns0:f>P355-E355*'前提と出典'!$E$4</ns0:f>
        <ns0:v>708182.4756302647</ns0:v>
      </ns0:c>
      <ns0:c r="S355" s="16">
        <ns0:f>Q355-F355*'前提と出典'!$E$4</ns0:f>
        <ns0:v>192575.94223512738</ns0:v>
      </ns0:c>
      <ns0:c r="T355" s="7">
        <ns0:f>R355+S355</ns0:f>
        <ns0:v>900758.417865392</ns0:v>
      </ns0:c>
      <ns0:c r="U355" s="16">
        <ns0:f>P355-E355*'前提と出典'!$E$5</ns0:f>
        <ns0:v>619945.5360245085</ns0:v>
      </ns0:c>
      <ns0:c r="V355" s="16">
        <ns0:f>Q355-F355*'前提と出典'!$E$5</ns0:f>
        <ns0:v>166936.54305196682</ns0:v>
      </ns0:c>
      <ns0:c r="W355" s="7">
        <ns0:f>U355+V355</ns0:f>
        <ns0:v>786882.0790764753</ns0:v>
      </ns0:c>
      <ns0:c r="X355" s="16">
        <ns0:f>P355-E355*'前提と出典'!$E$6</ns0:f>
        <ns0:v>531708.5964187526</ns0:v>
      </ns0:c>
      <ns0:c r="Y355" s="16">
        <ns0:f>Q355-F355*'前提と出典'!$E$6</ns0:f>
        <ns0:v>141297.14386880625</ns0:v>
      </ns0:c>
      <ns0:c r="Z355" s="7">
        <ns0:f>X355+Y355</ns0:f>
        <ns0:v>673005.7402875589</ns0:v>
      </ns0:c>
      <ns0:c r="AA355" s="7">
        <ns0:f>IF(T355&gt;=0,A355,1001)</ns0:f>
        <ns0:v>351</ns0:v>
      </ns0:c>
      <ns0:c r="AB355" s="7">
        <ns0:f>IF(T355&lt;0,A355,0)</ns0:f>
        <ns0:v>0</ns0:v>
      </ns0:c>
      <ns0:c r="AC355" s="16">
        <ns0:f>IF(AND(OR('前提と出典'!$C$36+'前提と出典'!$C$38=0,R355&gt;=0),OR('前提と出典'!$C$37+'前提と出典'!$C$38=0,S355&gt;=0)),0,A355)</ns0:f>
        <ns0:v>0</ns0:v>
      </ns0:c>
      <ns0:c r="AD355" s="7">
        <ns0:f>IF(W355&gt;=0,A355,1001)</ns0:f>
        <ns0:v>351</ns0:v>
      </ns0:c>
      <ns0:c r="AE355" s="7">
        <ns0:f>IF(W355&lt;0,A355,0)</ns0:f>
        <ns0:v>0</ns0:v>
      </ns0:c>
      <ns0:c r="AF355" s="16">
        <ns0:f>IF(AND(OR('前提と出典'!$C$36+'前提と出典'!$C$38=0,U355&gt;=0),OR('前提と出典'!$C$37+'前提と出典'!$C$38=0,V355&gt;=0)),0,A355)</ns0:f>
        <ns0:v>0</ns0:v>
      </ns0:c>
      <ns0:c r="AG355" s="7">
        <ns0:f>IF(Z355&gt;=0,A355,1001)</ns0:f>
        <ns0:v>351</ns0:v>
      </ns0:c>
      <ns0:c r="AH355" s="4">
        <ns0:f>IF(Z355&lt;0,A355,0)</ns0:f>
        <ns0:v>0</ns0:v>
      </ns0:c>
      <ns0:c r="AI355" s="12">
        <ns0:f>IF(AND(OR('前提と出典'!$C$36+'前提と出典'!$C$38=0,X355&gt;=0),OR('前提と出典'!$C$37+'前提と出典'!$C$38=0,Y355&gt;=0)),0,A355)</ns0:f>
        <ns0:v>0</ns0:v>
      </ns0:c>
    </ns0:row>
    <ns0:row r="356" ht="24" customHeight="1">
      <ns0:c r="A356" s="4" t="n">
        <ns0:v>352</ns0:v>
      </ns0:c>
      <ns0:c r="B356" s="12">
        <ns0:f>A356*('前提と出典'!$C$36+'前提と出典'!$C$38)</ns0:f>
        <ns0:v>246.39999999999998</ns0:v>
      </ns0:c>
      <ns0:c r="C356" s="12">
        <ns0:f>A356*('前提と出典'!$C$37+'前提と出典'!$C$38)</ns0:f>
        <ns0:v>211.2</ns0:v>
      </ns0:c>
      <ns0:c r="D356" s="16">
        <ns0:f>A356*('前提と出典'!$C$36*'契約別単価'!C5+'前提と出典'!$C$37*'契約別単価'!C6+'前提と出典'!$C$38*'契約別単価'!C7)</ns0:f>
        <ns0:v>2532.8268156424583</ns0:v>
      </ns0:c>
      <ns0:c r="E356" s="16">
        <ns0:f>A356*('前提と出典'!$C$36*'契約別単価'!E5+'前提と出典'!$C$37*'契約別単価'!E6+'前提と出典'!$C$38*'契約別単価'!E7)</ns0:f>
        <ns0:v>884883.2689808015</ns0:v>
      </ns0:c>
      <ns0:c r="F356" s="16">
        <ns0:f>A356*('前提と出典'!$C$36*'契約別単価'!F5+'前提と出典'!$C$37*'契約別単価'!F6+'前提と出典'!$C$38*'契約別単価'!F7)</ns0:f>
        <ns0:v>257124.45904480128</ns0:v>
      </ns0:c>
      <ns0:c r="G356" s="16">
        <ns0:f>A356*('前提と出典'!$C$36*'契約別単価'!G5+'前提と出典'!$C$37*'契約別単価'!G6+'前提と出典'!$C$38*'契約別単価'!G7)</ns0:f>
        <ns0:v>700656.9832402235</ns0:v>
      </ns0:c>
      <ns0:c r="H356" s="16">
        <ns0:f>A356*('前提と出典'!$C$36*'契約別単価'!H5+'前提と出典'!$C$37*'契約別単価'!H6+'前提と出典'!$C$38*'契約別単価'!H7)</ns0:f>
        <ns0:v>243163.11389348976</ns0:v>
      </ns0:c>
      <ns0:c r="I356" s="16">
        <ns0:f>A356*('前提と出典'!$C$36*'契約別単価'!I5+'前提と出典'!$C$37*'契約別単価'!I6+'前提と出典'!$C$38*'契約別単価'!I7)</ns0:f>
        <ns0:v>14852.826815642456</ns0:v>
      </ns0:c>
      <ns0:c r="J356" s="16">
        <ns0:f>A356*('前提と出典'!$C$36*'契約別単価'!J5+'前提と出典'!$C$37*'契約別単価'!J6+'前提と出典'!$C$38*'契約別単価'!J7)</ns0:f>
        <ns0:v>34597.9193860265</ns0:v>
      </ns0:c>
      <ns0:c r="K356" s="16">
        <ns0:f>A356*('前提と出典'!$C$36*'契約別単価'!K5+'前提と出典'!$C$37*'契約別単価'!K6+'前提と出典'!$C$38*'契約別単価'!K7)</ns0:f>
        <ns0:v>148298.84543761637</ns0:v>
      </ns0:c>
      <ns0:c r="L356" s="16">
        <ns0:f>A356*('前提と出典'!$C$36*'契約別単価'!L5+'前提と出典'!$C$37*'契約別単価'!L6+'前提と出典'!$C$38*'契約別単価'!L7)</ns0:f>
        <ns0:v>120745.437129783</ns0:v>
      </ns0:c>
      <ns0:c r="M356" s="16">
        <ns0:f>IF(('前提と出典'!$C$36+'前提と出典'!$C$38)=0,0,IF(B356&lt;=10,'前提と出典'!B73+'前提と出典'!C73,IF(B356&lt;=100,'前提と出典'!B74+'前提と出典'!C74,IF(B356&lt;=500,'前提と出典'!B75+'前提と出典'!C75,'前提と出典'!B76+'前提と出典'!C76))))</ns0:f>
        <ns0:v>40000</ns0:v>
      </ns0:c>
      <ns0:c r="N356" s="16">
        <ns0:f>IF(('前提と出典'!$C$37+'前提と出典'!$C$38)=0,0,IF(C356&lt;=10,'前提と出典'!D73+'前提と出典'!E73,IF(C356&lt;=100,'前提と出典'!D74+'前提と出典'!E74,IF(C356&lt;=500,'前提と出典'!D75+'前提と出典'!E75,'前提と出典'!D76+'前提と出典'!E76))))</ns0:f>
        <ns0:v>56510.9346263078</ns0:v>
      </ns0:c>
      <ns0:c r="O356" s="16">
        <ns0:f>IF('前提と出典'!$C$36+'前提と出典'!$C$38=0,0,'前提と出典'!$B$4*IF('前提と出典'!$B$20=0,MAX('前提と出典'!$B$6,D356*'前提と出典'!$B$5),'前提と出典'!$B$6+D356*'前提と出典'!$B$5))</ns0:f>
        <ns0:v>349530.1005586593</ns0:v>
      </ns0:c>
      <ns0:c r="P356" s="16">
        <ns0:f>(E356+G356)*(1-'前提と出典'!$B$7)-I356-K356-M356-O356</ns0:f>
        <ns0:v>975779.03032915</ns0:v>
      </ns0:c>
      <ns0:c r="Q356" s="16">
        <ns0:f>(F356+H356)*(1-'前提と出典'!$B$7)-J356-L356-N356</ns0:f>
        <ns0:v>270422.92917039525</ns0:v>
      </ns0:c>
      <ns0:c r="R356" s="16">
        <ns0:f>P356-E356*'前提と出典'!$E$4</ns0:f>
        <ns0:v>710314.0496349097</ns0:v>
      </ns0:c>
      <ns0:c r="S356" s="16">
        <ns0:f>Q356-F356*'前提と出典'!$E$4</ns0:f>
        <ns0:v>193285.59145695483</ns0:v>
      </ns0:c>
      <ns0:c r="T356" s="7">
        <ns0:f>R356+S356</ns0:f>
        <ns0:v>903599.6410918646</ns0:v>
      </ns0:c>
      <ns0:c r="U356" s="16">
        <ns0:f>P356-E356*'前提と出典'!$E$5</ns0:f>
        <ns0:v>621825.7227368294</ns0:v>
      </ns0:c>
      <ns0:c r="V356" s="16">
        <ns0:f>Q356-F356*'前提と出典'!$E$5</ns0:f>
        <ns0:v>167573.1455524747</ns0:v>
      </ns0:c>
      <ns0:c r="W356" s="7">
        <ns0:f>U356+V356</ns0:f>
        <ns0:v>789398.8682893042</ns0:v>
      </ns0:c>
      <ns0:c r="X356" s="16">
        <ns0:f>P356-E356*'前提と出典'!$E$6</ns0:f>
        <ns0:v>533337.3958387494</ns0:v>
      </ns0:c>
      <ns0:c r="Y356" s="16">
        <ns0:f>Q356-F356*'前提と出典'!$E$6</ns0:f>
        <ns0:v>141860.6996479946</ns0:v>
      </ns0:c>
      <ns0:c r="Z356" s="7">
        <ns0:f>X356+Y356</ns0:f>
        <ns0:v>675198.095486744</ns0:v>
      </ns0:c>
      <ns0:c r="AA356" s="7">
        <ns0:f>IF(T356&gt;=0,A356,1001)</ns0:f>
        <ns0:v>352</ns0:v>
      </ns0:c>
      <ns0:c r="AB356" s="7">
        <ns0:f>IF(T356&lt;0,A356,0)</ns0:f>
        <ns0:v>0</ns0:v>
      </ns0:c>
      <ns0:c r="AC356" s="16">
        <ns0:f>IF(AND(OR('前提と出典'!$C$36+'前提と出典'!$C$38=0,R356&gt;=0),OR('前提と出典'!$C$37+'前提と出典'!$C$38=0,S356&gt;=0)),0,A356)</ns0:f>
        <ns0:v>0</ns0:v>
      </ns0:c>
      <ns0:c r="AD356" s="7">
        <ns0:f>IF(W356&gt;=0,A356,1001)</ns0:f>
        <ns0:v>352</ns0:v>
      </ns0:c>
      <ns0:c r="AE356" s="7">
        <ns0:f>IF(W356&lt;0,A356,0)</ns0:f>
        <ns0:v>0</ns0:v>
      </ns0:c>
      <ns0:c r="AF356" s="16">
        <ns0:f>IF(AND(OR('前提と出典'!$C$36+'前提と出典'!$C$38=0,U356&gt;=0),OR('前提と出典'!$C$37+'前提と出典'!$C$38=0,V356&gt;=0)),0,A356)</ns0:f>
        <ns0:v>0</ns0:v>
      </ns0:c>
      <ns0:c r="AG356" s="7">
        <ns0:f>IF(Z356&gt;=0,A356,1001)</ns0:f>
        <ns0:v>352</ns0:v>
      </ns0:c>
      <ns0:c r="AH356" s="4">
        <ns0:f>IF(Z356&lt;0,A356,0)</ns0:f>
        <ns0:v>0</ns0:v>
      </ns0:c>
      <ns0:c r="AI356" s="12">
        <ns0:f>IF(AND(OR('前提と出典'!$C$36+'前提と出典'!$C$38=0,X356&gt;=0),OR('前提と出典'!$C$37+'前提と出典'!$C$38=0,Y356&gt;=0)),0,A356)</ns0:f>
        <ns0:v>0</ns0:v>
      </ns0:c>
    </ns0:row>
    <ns0:row r="357" ht="24" customHeight="1">
      <ns0:c r="A357" s="4" t="n">
        <ns0:v>353</ns0:v>
      </ns0:c>
      <ns0:c r="B357" s="12">
        <ns0:f>A357*('前提と出典'!$C$36+'前提と出典'!$C$38)</ns0:f>
        <ns0:v>247.1</ns0:v>
      </ns0:c>
      <ns0:c r="C357" s="12">
        <ns0:f>A357*('前提と出典'!$C$37+'前提と出典'!$C$38)</ns0:f>
        <ns0:v>211.79999999999998</ns0:v>
      </ns0:c>
      <ns0:c r="D357" s="16">
        <ns0:f>A357*('前提と出典'!$C$36*'契約別単価'!C5+'前提と出典'!$C$37*'契約別単価'!C6+'前提と出典'!$C$38*'契約別単価'!C7)</ns0:f>
        <ns0:v>2540.0223463687153</ns0:v>
      </ns0:c>
      <ns0:c r="E357" s="16">
        <ns0:f>A357*('前提と出典'!$C$36*'契約別単価'!E5+'前提と出典'!$C$37*'契約別単価'!E6+'前提と出典'!$C$38*'契約別単価'!E7)</ns0:f>
        <ns0:v>887397.1419040423</ns0:v>
      </ns0:c>
      <ns0:c r="F357" s="16">
        <ns0:f>A357*('前提と出典'!$C$36*'契約別単価'!F5+'前提と出典'!$C$37*'契約別単価'!F6+'前提と出典'!$C$38*'契約別単価'!F7)</ns0:f>
        <ns0:v>257854.92625799673</ns0:v>
      </ns0:c>
      <ns0:c r="G357" s="16">
        <ns0:f>A357*('前提と出典'!$C$36*'契約別単価'!G5+'前提と出典'!$C$37*'契約別単価'!G6+'前提と出典'!$C$38*'契約別単価'!G7)</ns0:f>
        <ns0:v>702647.4860335195</ns0:v>
      </ns0:c>
      <ns0:c r="H357" s="16">
        <ns0:f>A357*('前提と出典'!$C$36*'契約別単価'!H5+'前提と出典'!$C$37*'契約別単価'!H6+'前提と出典'!$C$38*'契約別単価'!H7)</ns0:f>
        <ns0:v>243853.91819432352</ns0:v>
      </ns0:c>
      <ns0:c r="I357" s="16">
        <ns0:f>A357*('前提と出典'!$C$36*'契約別単価'!I5+'前提と出典'!$C$37*'契約別単価'!I6+'前提と出典'!$C$38*'契約別単価'!I7)</ns0:f>
        <ns0:v>14895.022346368713</ns0:v>
      </ns0:c>
      <ns0:c r="J357" s="16">
        <ns0:f>A357*('前提と出典'!$C$36*'契約別単価'!J5+'前提と出典'!$C$37*'契約別単価'!J6+'前提と出典'!$C$38*'契約別単価'!J7)</ns0:f>
        <ns0:v>34696.20892973681</ns0:v>
      </ns0:c>
      <ns0:c r="K357" s="16">
        <ns0:f>A357*('前提と出典'!$C$36*'契約別単価'!K5+'前提と出典'!$C$37*'契約別単価'!K6+'前提と出典'!$C$38*'契約別単価'!K7)</ns0:f>
        <ns0:v>148720.1489757914</ns0:v>
      </ns0:c>
      <ns0:c r="L357" s="16">
        <ns0:f>A357*('前提と出典'!$C$36*'契約別単価'!L5+'前提と出典'!$C$37*'契約別単価'!L6+'前提と出典'!$C$38*'契約別単価'!L7)</ns0:f>
        <ns0:v>121088.46393981078</ns0:v>
      </ns0:c>
      <ns0:c r="M357" s="16">
        <ns0:f>IF(('前提と出典'!$C$36+'前提と出典'!$C$38)=0,0,IF(B357&lt;=10,'前提と出典'!B73+'前提と出典'!C73,IF(B357&lt;=100,'前提と出典'!B74+'前提と出典'!C74,IF(B357&lt;=500,'前提と出典'!B75+'前提と出典'!C75,'前提と出典'!B76+'前提と出典'!C76))))</ns0:f>
        <ns0:v>40000</ns0:v>
      </ns0:c>
      <ns0:c r="N357" s="16">
        <ns0:f>IF(('前提と出典'!$C$37+'前提と出典'!$C$38)=0,0,IF(C357&lt;=10,'前提と出典'!D73+'前提と出典'!E73,IF(C357&lt;=100,'前提と出典'!D74+'前提と出典'!E74,IF(C357&lt;=500,'前提と出典'!D75+'前提と出典'!E75,'前提と出典'!D76+'前提と出典'!E76))))</ns0:f>
        <ns0:v>56510.9346263078</ns0:v>
      </ns0:c>
      <ns0:c r="O357" s="16">
        <ns0:f>IF('前提と出典'!$C$36+'前提と出典'!$C$38=0,0,'前提と出典'!$B$4*IF('前提と出典'!$B$20=0,MAX('前提と出典'!$B$6,D357*'前提と出典'!$B$5),'前提と出典'!$B$6+D357*'前提と出典'!$B$5))</ns0:f>
        <ns0:v>350523.0837988827</ns0:v>
      </ns0:c>
      <ns0:c r="P357" s="16">
        <ns0:f>(E357+G357)*(1-'前提と出典'!$B$7)-I357-K357-M357-O357</ns0:f>
        <ns0:v>978664.7662107667</ns0:v>
      </ns0:c>
      <ns0:c r="Q357" s="16">
        <ns0:f>(F357+H357)*(1-'前提と出典'!$B$7)-J357-L357-N357</ns0:f>
        <ns0:v>271351.71855618135</ns0:v>
      </ns0:c>
      <ns0:c r="R357" s="16">
        <ns0:f>P357-E357*'前提と出典'!$E$4</ns0:f>
        <ns0:v>712445.623639554</ns0:v>
      </ns0:c>
      <ns0:c r="S357" s="16">
        <ns0:f>Q357-F357*'前提と出典'!$E$4</ns0:f>
        <ns0:v>193995.2406787823</ns0:v>
      </ns0:c>
      <ns0:c r="T357" s="7">
        <ns0:f>R357+S357</ns0:f>
        <ns0:v>906440.8643183364</ns0:v>
      </ns0:c>
      <ns0:c r="U357" s="16">
        <ns0:f>P357-E357*'前提と出典'!$E$5</ns0:f>
        <ns0:v>623705.9094491499</ns0:v>
      </ns0:c>
      <ns0:c r="V357" s="16">
        <ns0:f>Q357-F357*'前提と出典'!$E$5</ns0:f>
        <ns0:v>168209.74805298264</ns0:v>
      </ns0:c>
      <ns0:c r="W357" s="7">
        <ns0:f>U357+V357</ns0:f>
        <ns0:v>791915.6575021325</ns0:v>
      </ns0:c>
      <ns0:c r="X357" s="16">
        <ns0:f>P357-E357*'前提と出典'!$E$6</ns0:f>
        <ns0:v>534966.1952587457</ns0:v>
      </ns0:c>
      <ns0:c r="Y357" s="16">
        <ns0:f>Q357-F357*'前提と出典'!$E$6</ns0:f>
        <ns0:v>142424.25542718297</ns0:v>
      </ns0:c>
      <ns0:c r="Z357" s="7">
        <ns0:f>X357+Y357</ns0:f>
        <ns0:v>677390.4506859287</ns0:v>
      </ns0:c>
      <ns0:c r="AA357" s="7">
        <ns0:f>IF(T357&gt;=0,A357,1001)</ns0:f>
        <ns0:v>353</ns0:v>
      </ns0:c>
      <ns0:c r="AB357" s="7">
        <ns0:f>IF(T357&lt;0,A357,0)</ns0:f>
        <ns0:v>0</ns0:v>
      </ns0:c>
      <ns0:c r="AC357" s="16">
        <ns0:f>IF(AND(OR('前提と出典'!$C$36+'前提と出典'!$C$38=0,R357&gt;=0),OR('前提と出典'!$C$37+'前提と出典'!$C$38=0,S357&gt;=0)),0,A357)</ns0:f>
        <ns0:v>0</ns0:v>
      </ns0:c>
      <ns0:c r="AD357" s="7">
        <ns0:f>IF(W357&gt;=0,A357,1001)</ns0:f>
        <ns0:v>353</ns0:v>
      </ns0:c>
      <ns0:c r="AE357" s="7">
        <ns0:f>IF(W357&lt;0,A357,0)</ns0:f>
        <ns0:v>0</ns0:v>
      </ns0:c>
      <ns0:c r="AF357" s="16">
        <ns0:f>IF(AND(OR('前提と出典'!$C$36+'前提と出典'!$C$38=0,U357&gt;=0),OR('前提と出典'!$C$37+'前提と出典'!$C$38=0,V357&gt;=0)),0,A357)</ns0:f>
        <ns0:v>0</ns0:v>
      </ns0:c>
      <ns0:c r="AG357" s="7">
        <ns0:f>IF(Z357&gt;=0,A357,1001)</ns0:f>
        <ns0:v>353</ns0:v>
      </ns0:c>
      <ns0:c r="AH357" s="4">
        <ns0:f>IF(Z357&lt;0,A357,0)</ns0:f>
        <ns0:v>0</ns0:v>
      </ns0:c>
      <ns0:c r="AI357" s="12">
        <ns0:f>IF(AND(OR('前提と出典'!$C$36+'前提と出典'!$C$38=0,X357&gt;=0),OR('前提と出典'!$C$37+'前提と出典'!$C$38=0,Y357&gt;=0)),0,A357)</ns0:f>
        <ns0:v>0</ns0:v>
      </ns0:c>
    </ns0:row>
    <ns0:row r="358" ht="24" customHeight="1">
      <ns0:c r="A358" s="4" t="n">
        <ns0:v>354</ns0:v>
      </ns0:c>
      <ns0:c r="B358" s="12">
        <ns0:f>A358*('前提と出典'!$C$36+'前提と出典'!$C$38)</ns0:f>
        <ns0:v>247.79999999999998</ns0:v>
      </ns0:c>
      <ns0:c r="C358" s="12">
        <ns0:f>A358*('前提と出典'!$C$37+'前提と出典'!$C$38)</ns0:f>
        <ns0:v>212.4</ns0:v>
      </ns0:c>
      <ns0:c r="D358" s="16">
        <ns0:f>A358*('前提と出典'!$C$36*'契約別単価'!C5+'前提と出典'!$C$37*'契約別単価'!C6+'前提と出典'!$C$38*'契約別単価'!C7)</ns0:f>
        <ns0:v>2547.217877094972</ns0:v>
      </ns0:c>
      <ns0:c r="E358" s="16">
        <ns0:f>A358*('前提と出典'!$C$36*'契約別単価'!E5+'前提と出典'!$C$37*'契約別単価'!E6+'前提と出典'!$C$38*'契約別単価'!E7)</ns0:f>
        <ns0:v>889911.0148272833</ns0:v>
      </ns0:c>
      <ns0:c r="F358" s="16">
        <ns0:f>A358*('前提と出典'!$C$36*'契約別単価'!F5+'前提と出典'!$C$37*'契約別単価'!F6+'前提と出典'!$C$38*'契約別単価'!F7)</ns0:f>
        <ns0:v>258585.3934711922</ns0:v>
      </ns0:c>
      <ns0:c r="G358" s="16">
        <ns0:f>A358*('前提と出典'!$C$36*'契約別単価'!G5+'前提と出典'!$C$37*'契約別単価'!G6+'前提と出典'!$C$38*'契約別単価'!G7)</ns0:f>
        <ns0:v>704637.9888268156</ns0:v>
      </ns0:c>
      <ns0:c r="H358" s="16">
        <ns0:f>A358*('前提と出典'!$C$36*'契約別単価'!H5+'前提と出典'!$C$37*'契約別単価'!H6+'前提と出典'!$C$38*'契約別単価'!H7)</ns0:f>
        <ns0:v>244544.7224951573</ns0:v>
      </ns0:c>
      <ns0:c r="I358" s="16">
        <ns0:f>A358*('前提と出典'!$C$36*'契約別単価'!I5+'前提と出典'!$C$37*'契約別単価'!I6+'前提と出典'!$C$38*'契約別単価'!I7)</ns0:f>
        <ns0:v>14937.21787709497</ns0:v>
      </ns0:c>
      <ns0:c r="J358" s="16">
        <ns0:f>A358*('前提と出典'!$C$36*'契約別単価'!J5+'前提と出典'!$C$37*'契約別単価'!J6+'前提と出典'!$C$38*'契約別単価'!J7)</ns0:f>
        <ns0:v>34794.49847344711</ns0:v>
      </ns0:c>
      <ns0:c r="K358" s="16">
        <ns0:f>A358*('前提と出典'!$C$36*'契約別単価'!K5+'前提と出典'!$C$37*'契約別単価'!K6+'前提と出典'!$C$38*'契約別単価'!K7)</ns0:f>
        <ns0:v>149141.45251396648</ns0:v>
      </ns0:c>
      <ns0:c r="L358" s="16">
        <ns0:f>A358*('前提と出典'!$C$36*'契約別単価'!L5+'前提と出典'!$C$37*'契約別単価'!L6+'前提と出典'!$C$38*'契約別単価'!L7)</ns0:f>
        <ns0:v>121431.49074983857</ns0:v>
      </ns0:c>
      <ns0:c r="M358" s="16">
        <ns0:f>IF(('前提と出典'!$C$36+'前提と出典'!$C$38)=0,0,IF(B358&lt;=10,'前提と出典'!B73+'前提と出典'!C73,IF(B358&lt;=100,'前提と出典'!B74+'前提と出典'!C74,IF(B358&lt;=500,'前提と出典'!B75+'前提と出典'!C75,'前提と出典'!B76+'前提と出典'!C76))))</ns0:f>
        <ns0:v>40000</ns0:v>
      </ns0:c>
      <ns0:c r="N358" s="16">
        <ns0:f>IF(('前提と出典'!$C$37+'前提と出典'!$C$38)=0,0,IF(C358&lt;=10,'前提と出典'!D73+'前提と出典'!E73,IF(C358&lt;=100,'前提と出典'!D74+'前提と出典'!E74,IF(C358&lt;=500,'前提と出典'!D75+'前提と出典'!E75,'前提と出典'!D76+'前提と出典'!E76))))</ns0:f>
        <ns0:v>56510.9346263078</ns0:v>
      </ns0:c>
      <ns0:c r="O358" s="16">
        <ns0:f>IF('前提と出典'!$C$36+'前提と出典'!$C$38=0,0,'前提と出典'!$B$4*IF('前提と出典'!$B$20=0,MAX('前提と出典'!$B$6,D358*'前提と出典'!$B$5),'前提と出典'!$B$6+D358*'前提と出典'!$B$5))</ns0:f>
        <ns0:v>351516.06703910616</ns0:v>
      </ns0:c>
      <ns0:c r="P358" s="16">
        <ns0:f>(E358+G358)*(1-'前提と出典'!$B$7)-I358-K358-M358-O358</ns0:f>
        <ns0:v>981550.502092384</ns0:v>
      </ns0:c>
      <ns0:c r="Q358" s="16">
        <ns0:f>(F358+H358)*(1-'前提と出典'!$B$7)-J358-L358-N358</ns0:f>
        <ns0:v>272280.5079419674</ns0:v>
      </ns0:c>
      <ns0:c r="R358" s="16">
        <ns0:f>P358-E358*'前提と出典'!$E$4</ns0:f>
        <ns0:v>714577.1976441989</ns0:v>
      </ns0:c>
      <ns0:c r="S358" s="16">
        <ns0:f>Q358-F358*'前提と出典'!$E$4</ns0:f>
        <ns0:v>194704.88990060973</ns0:v>
      </ns0:c>
      <ns0:c r="T358" s="7">
        <ns0:f>R358+S358</ns0:f>
        <ns0:v>909282.0875448086</ns0:v>
      </ns0:c>
      <ns0:c r="U358" s="16">
        <ns0:f>P358-E358*'前提と出典'!$E$5</ns0:f>
        <ns0:v>625586.0961614706</ns0:v>
      </ns0:c>
      <ns0:c r="V358" s="16">
        <ns0:f>Q358-F358*'前提と出典'!$E$5</ns0:f>
        <ns0:v>168846.3505534905</ns0:v>
      </ns0:c>
      <ns0:c r="W358" s="7">
        <ns0:f>U358+V358</ns0:f>
        <ns0:v>794432.4467149612</ns0:v>
      </ns0:c>
      <ns0:c r="X358" s="16">
        <ns0:f>P358-E358*'前提と出典'!$E$6</ns0:f>
        <ns0:v>536594.9946787424</ns0:v>
      </ns0:c>
      <ns0:c r="Y358" s="16">
        <ns0:f>Q358-F358*'前提と出典'!$E$6</ns0:f>
        <ns0:v>142987.8112063713</ns0:v>
      </ns0:c>
      <ns0:c r="Z358" s="7">
        <ns0:f>X358+Y358</ns0:f>
        <ns0:v>679582.8058851137</ns0:v>
      </ns0:c>
      <ns0:c r="AA358" s="7">
        <ns0:f>IF(T358&gt;=0,A358,1001)</ns0:f>
        <ns0:v>354</ns0:v>
      </ns0:c>
      <ns0:c r="AB358" s="7">
        <ns0:f>IF(T358&lt;0,A358,0)</ns0:f>
        <ns0:v>0</ns0:v>
      </ns0:c>
      <ns0:c r="AC358" s="16">
        <ns0:f>IF(AND(OR('前提と出典'!$C$36+'前提と出典'!$C$38=0,R358&gt;=0),OR('前提と出典'!$C$37+'前提と出典'!$C$38=0,S358&gt;=0)),0,A358)</ns0:f>
        <ns0:v>0</ns0:v>
      </ns0:c>
      <ns0:c r="AD358" s="7">
        <ns0:f>IF(W358&gt;=0,A358,1001)</ns0:f>
        <ns0:v>354</ns0:v>
      </ns0:c>
      <ns0:c r="AE358" s="7">
        <ns0:f>IF(W358&lt;0,A358,0)</ns0:f>
        <ns0:v>0</ns0:v>
      </ns0:c>
      <ns0:c r="AF358" s="16">
        <ns0:f>IF(AND(OR('前提と出典'!$C$36+'前提と出典'!$C$38=0,U358&gt;=0),OR('前提と出典'!$C$37+'前提と出典'!$C$38=0,V358&gt;=0)),0,A358)</ns0:f>
        <ns0:v>0</ns0:v>
      </ns0:c>
      <ns0:c r="AG358" s="7">
        <ns0:f>IF(Z358&gt;=0,A358,1001)</ns0:f>
        <ns0:v>354</ns0:v>
      </ns0:c>
      <ns0:c r="AH358" s="4">
        <ns0:f>IF(Z358&lt;0,A358,0)</ns0:f>
        <ns0:v>0</ns0:v>
      </ns0:c>
      <ns0:c r="AI358" s="12">
        <ns0:f>IF(AND(OR('前提と出典'!$C$36+'前提と出典'!$C$38=0,X358&gt;=0),OR('前提と出典'!$C$37+'前提と出典'!$C$38=0,Y358&gt;=0)),0,A358)</ns0:f>
        <ns0:v>0</ns0:v>
      </ns0:c>
    </ns0:row>
    <ns0:row r="359" ht="24" customHeight="1">
      <ns0:c r="A359" s="4" t="n">
        <ns0:v>355</ns0:v>
      </ns0:c>
      <ns0:c r="B359" s="12">
        <ns0:f>A359*('前提と出典'!$C$36+'前提と出典'!$C$38)</ns0:f>
        <ns0:v>248.49999999999997</ns0:v>
      </ns0:c>
      <ns0:c r="C359" s="12">
        <ns0:f>A359*('前提と出典'!$C$37+'前提と出典'!$C$38)</ns0:f>
        <ns0:v>213</ns0:v>
      </ns0:c>
      <ns0:c r="D359" s="16">
        <ns0:f>A359*('前提と出典'!$C$36*'契約別単価'!C5+'前提と出典'!$C$37*'契約別単価'!C6+'前提と出典'!$C$38*'契約別単価'!C7)</ns0:f>
        <ns0:v>2554.413407821229</ns0:v>
      </ns0:c>
      <ns0:c r="E359" s="16">
        <ns0:f>A359*('前提と出典'!$C$36*'契約別単価'!E5+'前提と出典'!$C$37*'契約別単価'!E6+'前提と出典'!$C$38*'契約別単価'!E7)</ns0:f>
        <ns0:v>892424.8877505242</ns0:v>
      </ns0:c>
      <ns0:c r="F359" s="16">
        <ns0:f>A359*('前提と出典'!$C$36*'契約別単価'!F5+'前提と出典'!$C$37*'契約別単価'!F6+'前提と出典'!$C$38*'契約別単価'!F7)</ns0:f>
        <ns0:v>259315.86068438765</ns0:v>
      </ns0:c>
      <ns0:c r="G359" s="16">
        <ns0:f>A359*('前提と出典'!$C$36*'契約別単価'!G5+'前提と出典'!$C$37*'契約別単価'!G6+'前提と出典'!$C$38*'契約別単価'!G7)</ns0:f>
        <ns0:v>706628.4916201117</ns0:v>
      </ns0:c>
      <ns0:c r="H359" s="16">
        <ns0:f>A359*('前提と出典'!$C$36*'契約別単価'!H5+'前提と出典'!$C$37*'契約別単価'!H6+'前提と出典'!$C$38*'契約別単価'!H7)</ns0:f>
        <ns0:v>245235.52679599109</ns0:v>
      </ns0:c>
      <ns0:c r="I359" s="16">
        <ns0:f>A359*('前提と出典'!$C$36*'契約別単価'!I5+'前提と出典'!$C$37*'契約別単価'!I6+'前提と出典'!$C$38*'契約別単価'!I7)</ns0:f>
        <ns0:v>14979.413407821226</ns0:v>
      </ns0:c>
      <ns0:c r="J359" s="16">
        <ns0:f>A359*('前提と出典'!$C$36*'契約別単価'!J5+'前提と出典'!$C$37*'契約別単価'!J6+'前提と出典'!$C$38*'契約別単価'!J7)</ns0:f>
        <ns0:v>34892.788017157414</ns0:v>
      </ns0:c>
      <ns0:c r="K359" s="16">
        <ns0:f>A359*('前提と出典'!$C$36*'契約別単価'!K5+'前提と出典'!$C$37*'契約別単価'!K6+'前提と出典'!$C$38*'契約別単価'!K7)</ns0:f>
        <ns0:v>149562.7560521415</ns0:v>
      </ns0:c>
      <ns0:c r="L359" s="16">
        <ns0:f>A359*('前提と出典'!$C$36*'契約別単価'!L5+'前提と出典'!$C$37*'契約別単価'!L6+'前提と出典'!$C$38*'契約別単価'!L7)</ns0:f>
        <ns0:v>121774.51755986636</ns0:v>
      </ns0:c>
      <ns0:c r="M359" s="16">
        <ns0:f>IF(('前提と出典'!$C$36+'前提と出典'!$C$38)=0,0,IF(B359&lt;=10,'前提と出典'!B73+'前提と出典'!C73,IF(B359&lt;=100,'前提と出典'!B74+'前提と出典'!C74,IF(B359&lt;=500,'前提と出典'!B75+'前提と出典'!C75,'前提と出典'!B76+'前提と出典'!C76))))</ns0:f>
        <ns0:v>40000</ns0:v>
      </ns0:c>
      <ns0:c r="N359" s="16">
        <ns0:f>IF(('前提と出典'!$C$37+'前提と出典'!$C$38)=0,0,IF(C359&lt;=10,'前提と出典'!D73+'前提と出典'!E73,IF(C359&lt;=100,'前提と出典'!D74+'前提と出典'!E74,IF(C359&lt;=500,'前提と出典'!D75+'前提と出典'!E75,'前提と出典'!D76+'前提と出典'!E76))))</ns0:f>
        <ns0:v>56510.9346263078</ns0:v>
      </ns0:c>
      <ns0:c r="O359" s="16">
        <ns0:f>IF('前提と出典'!$C$36+'前提と出典'!$C$38=0,0,'前提と出典'!$B$4*IF('前提と出典'!$B$20=0,MAX('前提と出典'!$B$6,D359*'前提と出典'!$B$5),'前提と出典'!$B$6+D359*'前提と出典'!$B$5))</ns0:f>
        <ns0:v>352509.05027932965</ns0:v>
      </ns0:c>
      <ns0:c r="P359" s="16">
        <ns0:f>(E359+G359)*(1-'前提と出典'!$B$7)-I359-K359-M359-O359</ns0:f>
        <ns0:v>984436.2379740005</ns0:v>
      </ns0:c>
      <ns0:c r="Q359" s="16">
        <ns0:f>(F359+H359)*(1-'前提と出典'!$B$7)-J359-L359-N359</ns0:f>
        <ns0:v>273209.2973277535</ns0:v>
      </ns0:c>
      <ns0:c r="R359" s="16">
        <ns0:f>P359-E359*'前提と出典'!$E$4</ns0:f>
        <ns0:v>716708.7716488432</ns0:v>
      </ns0:c>
      <ns0:c r="S359" s="16">
        <ns0:f>Q359-F359*'前提と出典'!$E$4</ns0:f>
        <ns0:v>195414.53912243724</ns0:v>
      </ns0:c>
      <ns0:c r="T359" s="7">
        <ns0:f>R359+S359</ns0:f>
        <ns0:v>912123.3107712804</ns0:v>
      </ns0:c>
      <ns0:c r="U359" s="16">
        <ns0:f>P359-E359*'前提と出典'!$E$5</ns0:f>
        <ns0:v>627466.2828737908</ns0:v>
      </ns0:c>
      <ns0:c r="V359" s="16">
        <ns0:f>Q359-F359*'前提と出典'!$E$5</ns0:f>
        <ns0:v>169482.9530539984</ns0:v>
      </ns0:c>
      <ns0:c r="W359" s="7">
        <ns0:f>U359+V359</ns0:f>
        <ns0:v>796949.2359277892</ns0:v>
      </ns0:c>
      <ns0:c r="X359" s="16">
        <ns0:f>P359-E359*'前提と出典'!$E$6</ns0:f>
        <ns0:v>538223.7940987385</ns0:v>
      </ns0:c>
      <ns0:c r="Y359" s="16">
        <ns0:f>Q359-F359*'前提と出典'!$E$6</ns0:f>
        <ns0:v>143551.3669855597</ns0:v>
      </ns0:c>
      <ns0:c r="Z359" s="7">
        <ns0:f>X359+Y359</ns0:f>
        <ns0:v>681775.1610842982</ns0:v>
      </ns0:c>
      <ns0:c r="AA359" s="7">
        <ns0:f>IF(T359&gt;=0,A359,1001)</ns0:f>
        <ns0:v>355</ns0:v>
      </ns0:c>
      <ns0:c r="AB359" s="7">
        <ns0:f>IF(T359&lt;0,A359,0)</ns0:f>
        <ns0:v>0</ns0:v>
      </ns0:c>
      <ns0:c r="AC359" s="16">
        <ns0:f>IF(AND(OR('前提と出典'!$C$36+'前提と出典'!$C$38=0,R359&gt;=0),OR('前提と出典'!$C$37+'前提と出典'!$C$38=0,S359&gt;=0)),0,A359)</ns0:f>
        <ns0:v>0</ns0:v>
      </ns0:c>
      <ns0:c r="AD359" s="7">
        <ns0:f>IF(W359&gt;=0,A359,1001)</ns0:f>
        <ns0:v>355</ns0:v>
      </ns0:c>
      <ns0:c r="AE359" s="7">
        <ns0:f>IF(W359&lt;0,A359,0)</ns0:f>
        <ns0:v>0</ns0:v>
      </ns0:c>
      <ns0:c r="AF359" s="16">
        <ns0:f>IF(AND(OR('前提と出典'!$C$36+'前提と出典'!$C$38=0,U359&gt;=0),OR('前提と出典'!$C$37+'前提と出典'!$C$38=0,V359&gt;=0)),0,A359)</ns0:f>
        <ns0:v>0</ns0:v>
      </ns0:c>
      <ns0:c r="AG359" s="7">
        <ns0:f>IF(Z359&gt;=0,A359,1001)</ns0:f>
        <ns0:v>355</ns0:v>
      </ns0:c>
      <ns0:c r="AH359" s="4">
        <ns0:f>IF(Z359&lt;0,A359,0)</ns0:f>
        <ns0:v>0</ns0:v>
      </ns0:c>
      <ns0:c r="AI359" s="12">
        <ns0:f>IF(AND(OR('前提と出典'!$C$36+'前提と出典'!$C$38=0,X359&gt;=0),OR('前提と出典'!$C$37+'前提と出典'!$C$38=0,Y359&gt;=0)),0,A359)</ns0:f>
        <ns0:v>0</ns0:v>
      </ns0:c>
    </ns0:row>
    <ns0:row r="360" ht="24" customHeight="1">
      <ns0:c r="A360" s="4" t="n">
        <ns0:v>356</ns0:v>
      </ns0:c>
      <ns0:c r="B360" s="12">
        <ns0:f>A360*('前提と出典'!$C$36+'前提と出典'!$C$38)</ns0:f>
        <ns0:v>249.2</ns0:v>
      </ns0:c>
      <ns0:c r="C360" s="12">
        <ns0:f>A360*('前提と出典'!$C$37+'前提と出典'!$C$38)</ns0:f>
        <ns0:v>213.6</ns0:v>
      </ns0:c>
      <ns0:c r="D360" s="16">
        <ns0:f>A360*('前提と出典'!$C$36*'契約別単価'!C5+'前提と出典'!$C$37*'契約別単価'!C6+'前提と出典'!$C$38*'契約別単価'!C7)</ns0:f>
        <ns0:v>2561.608938547486</ns0:v>
      </ns0:c>
      <ns0:c r="E360" s="16">
        <ns0:f>A360*('前提と出典'!$C$36*'契約別単価'!E5+'前提と出典'!$C$37*'契約別単価'!E6+'前提と出典'!$C$38*'契約別単価'!E7)</ns0:f>
        <ns0:v>894938.7606737651</ns0:v>
      </ns0:c>
      <ns0:c r="F360" s="16">
        <ns0:f>A360*('前提と出典'!$C$36*'契約別単価'!F5+'前提と出典'!$C$37*'契約別単価'!F6+'前提と出典'!$C$38*'契約別単価'!F7)</ns0:f>
        <ns0:v>260046.3278975831</ns0:v>
      </ns0:c>
      <ns0:c r="G360" s="16">
        <ns0:f>A360*('前提と出典'!$C$36*'契約別単価'!G5+'前提と出典'!$C$37*'契約別単価'!G6+'前提と出典'!$C$38*'契約別単価'!G7)</ns0:f>
        <ns0:v>708618.9944134078</ns0:v>
      </ns0:c>
      <ns0:c r="H360" s="16">
        <ns0:f>A360*('前提と出典'!$C$36*'契約別単価'!H5+'前提と出典'!$C$37*'契約別単価'!H6+'前提と出典'!$C$38*'契約別単価'!H7)</ns0:f>
        <ns0:v>245926.33109682487</ns0:v>
      </ns0:c>
      <ns0:c r="I360" s="16">
        <ns0:f>A360*('前提と出典'!$C$36*'契約別単価'!I5+'前提と出典'!$C$37*'契約別単価'!I6+'前提と出典'!$C$38*'契約別単価'!I7)</ns0:f>
        <ns0:v>15021.608938547484</ns0:v>
      </ns0:c>
      <ns0:c r="J360" s="16">
        <ns0:f>A360*('前提と出典'!$C$36*'契約別単価'!J5+'前提と出典'!$C$37*'契約別単価'!J6+'前提と出典'!$C$38*'契約別単価'!J7)</ns0:f>
        <ns0:v>34991.077560867714</ns0:v>
      </ns0:c>
      <ns0:c r="K360" s="16">
        <ns0:f>A360*('前提と出典'!$C$36*'契約別単価'!K5+'前提と出典'!$C$37*'契約別単価'!K6+'前提と出典'!$C$38*'契約別単価'!K7)</ns0:f>
        <ns0:v>149984.05959031655</ns0:v>
      </ns0:c>
      <ns0:c r="L360" s="16">
        <ns0:f>A360*('前提と出典'!$C$36*'契約別単価'!L5+'前提と出典'!$C$37*'契約別単価'!L6+'前提と出典'!$C$38*'契約別単価'!L7)</ns0:f>
        <ns0:v>122117.54436989415</ns0:v>
      </ns0:c>
      <ns0:c r="M360" s="16">
        <ns0:f>IF(('前提と出典'!$C$36+'前提と出典'!$C$38)=0,0,IF(B360&lt;=10,'前提と出典'!B73+'前提と出典'!C73,IF(B360&lt;=100,'前提と出典'!B74+'前提と出典'!C74,IF(B360&lt;=500,'前提と出典'!B75+'前提と出典'!C75,'前提と出典'!B76+'前提と出典'!C76))))</ns0:f>
        <ns0:v>40000</ns0:v>
      </ns0:c>
      <ns0:c r="N360" s="16">
        <ns0:f>IF(('前提と出典'!$C$37+'前提と出典'!$C$38)=0,0,IF(C360&lt;=10,'前提と出典'!D73+'前提と出典'!E73,IF(C360&lt;=100,'前提と出典'!D74+'前提と出典'!E74,IF(C360&lt;=500,'前提と出典'!D75+'前提と出典'!E75,'前提と出典'!D76+'前提と出典'!E76))))</ns0:f>
        <ns0:v>56510.9346263078</ns0:v>
      </ns0:c>
      <ns0:c r="O360" s="16">
        <ns0:f>IF('前提と出典'!$C$36+'前提と出典'!$C$38=0,0,'前提と出典'!$B$4*IF('前提と出典'!$B$20=0,MAX('前提と出典'!$B$6,D360*'前提と出典'!$B$5),'前提と出典'!$B$6+D360*'前提と出典'!$B$5))</ns0:f>
        <ns0:v>353502.03351955314</ns0:v>
      </ns0:c>
      <ns0:c r="P360" s="16">
        <ns0:f>(E360+G360)*(1-'前提と出典'!$B$7)-I360-K360-M360-O360</ns0:f>
        <ns0:v>987321.9738556173</ns0:v>
      </ns0:c>
      <ns0:c r="Q360" s="16">
        <ns0:f>(F360+H360)*(1-'前提と出典'!$B$7)-J360-L360-N360</ns0:f>
        <ns0:v>274138.0867135396</ns0:v>
      </ns0:c>
      <ns0:c r="R360" s="16">
        <ns0:f>P360-E360*'前提と出典'!$E$4</ns0:f>
        <ns0:v>718840.345653488</ns0:v>
      </ns0:c>
      <ns0:c r="S360" s="16">
        <ns0:f>Q360-F360*'前提と出典'!$E$4</ns0:f>
        <ns0:v>196124.18834426475</ns0:v>
      </ns0:c>
      <ns0:c r="T360" s="7">
        <ns0:f>R360+S360</ns0:f>
        <ns0:v>914964.5339977527</ns0:v>
      </ns0:c>
      <ns0:c r="U360" s="16">
        <ns0:f>P360-E360*'前提と出典'!$E$5</ns0:f>
        <ns0:v>629346.4695861113</ns0:v>
      </ns0:c>
      <ns0:c r="V360" s="16">
        <ns0:f>Q360-F360*'前提と出典'!$E$5</ns0:f>
        <ns0:v>170119.55555450637</ns0:v>
      </ns0:c>
      <ns0:c r="W360" s="7">
        <ns0:f>U360+V360</ns0:f>
        <ns0:v>799466.0251406176</ns0:v>
      </ns0:c>
      <ns0:c r="X360" s="16">
        <ns0:f>P360-E360*'前提と出典'!$E$6</ns0:f>
        <ns0:v>539852.5935187348</ns0:v>
      </ns0:c>
      <ns0:c r="Y360" s="16">
        <ns0:f>Q360-F360*'前提と出典'!$E$6</ns0:f>
        <ns0:v>144114.9227647481</ns0:v>
      </ns0:c>
      <ns0:c r="Z360" s="7">
        <ns0:f>X360+Y360</ns0:f>
        <ns0:v>683967.5162834829</ns0:v>
      </ns0:c>
      <ns0:c r="AA360" s="7">
        <ns0:f>IF(T360&gt;=0,A360,1001)</ns0:f>
        <ns0:v>356</ns0:v>
      </ns0:c>
      <ns0:c r="AB360" s="7">
        <ns0:f>IF(T360&lt;0,A360,0)</ns0:f>
        <ns0:v>0</ns0:v>
      </ns0:c>
      <ns0:c r="AC360" s="16">
        <ns0:f>IF(AND(OR('前提と出典'!$C$36+'前提と出典'!$C$38=0,R360&gt;=0),OR('前提と出典'!$C$37+'前提と出典'!$C$38=0,S360&gt;=0)),0,A360)</ns0:f>
        <ns0:v>0</ns0:v>
      </ns0:c>
      <ns0:c r="AD360" s="7">
        <ns0:f>IF(W360&gt;=0,A360,1001)</ns0:f>
        <ns0:v>356</ns0:v>
      </ns0:c>
      <ns0:c r="AE360" s="7">
        <ns0:f>IF(W360&lt;0,A360,0)</ns0:f>
        <ns0:v>0</ns0:v>
      </ns0:c>
      <ns0:c r="AF360" s="16">
        <ns0:f>IF(AND(OR('前提と出典'!$C$36+'前提と出典'!$C$38=0,U360&gt;=0),OR('前提と出典'!$C$37+'前提と出典'!$C$38=0,V360&gt;=0)),0,A360)</ns0:f>
        <ns0:v>0</ns0:v>
      </ns0:c>
      <ns0:c r="AG360" s="7">
        <ns0:f>IF(Z360&gt;=0,A360,1001)</ns0:f>
        <ns0:v>356</ns0:v>
      </ns0:c>
      <ns0:c r="AH360" s="4">
        <ns0:f>IF(Z360&lt;0,A360,0)</ns0:f>
        <ns0:v>0</ns0:v>
      </ns0:c>
      <ns0:c r="AI360" s="12">
        <ns0:f>IF(AND(OR('前提と出典'!$C$36+'前提と出典'!$C$38=0,X360&gt;=0),OR('前提と出典'!$C$37+'前提と出典'!$C$38=0,Y360&gt;=0)),0,A360)</ns0:f>
        <ns0:v>0</ns0:v>
      </ns0:c>
    </ns0:row>
    <ns0:row r="361" ht="24" customHeight="1">
      <ns0:c r="A361" s="4" t="n">
        <ns0:v>357</ns0:v>
      </ns0:c>
      <ns0:c r="B361" s="12">
        <ns0:f>A361*('前提と出典'!$C$36+'前提と出典'!$C$38)</ns0:f>
        <ns0:v>249.89999999999998</ns0:v>
      </ns0:c>
      <ns0:c r="C361" s="12">
        <ns0:f>A361*('前提と出典'!$C$37+'前提と出典'!$C$38)</ns0:f>
        <ns0:v>214.2</ns0:v>
      </ns0:c>
      <ns0:c r="D361" s="16">
        <ns0:f>A361*('前提と出典'!$C$36*'契約別単価'!C5+'前提と出典'!$C$37*'契約別単価'!C6+'前提と出典'!$C$38*'契約別単価'!C7)</ns0:f>
        <ns0:v>2568.804469273743</ns0:v>
      </ns0:c>
      <ns0:c r="E361" s="16">
        <ns0:f>A361*('前提と出典'!$C$36*'契約別単価'!E5+'前提と出典'!$C$37*'契約別単価'!E6+'前提と出典'!$C$38*'契約別単価'!E7)</ns0:f>
        <ns0:v>897452.633597006</ns0:v>
      </ns0:c>
      <ns0:c r="F361" s="16">
        <ns0:f>A361*('前提と出典'!$C$36*'契約別単価'!F5+'前提と出典'!$C$37*'契約別単価'!F6+'前提と出典'!$C$38*'契約別単価'!F7)</ns0:f>
        <ns0:v>260776.79511077856</ns0:v>
      </ns0:c>
      <ns0:c r="G361" s="16">
        <ns0:f>A361*('前提と出典'!$C$36*'契約別単価'!G5+'前提と出典'!$C$37*'契約別単価'!G6+'前提と出典'!$C$38*'契約別単価'!G7)</ns0:f>
        <ns0:v>710609.4972067039</ns0:v>
      </ns0:c>
      <ns0:c r="H361" s="16">
        <ns0:f>A361*('前提と出典'!$C$36*'契約別単価'!H5+'前提と出典'!$C$37*'契約別単価'!H6+'前提と出典'!$C$38*'契約別単価'!H7)</ns0:f>
        <ns0:v>246617.13539765863</ns0:v>
      </ns0:c>
      <ns0:c r="I361" s="16">
        <ns0:f>A361*('前提と出典'!$C$36*'契約別単価'!I5+'前提と出典'!$C$37*'契約別単価'!I6+'前提と出典'!$C$38*'契約別単価'!I7)</ns0:f>
        <ns0:v>15063.80446927374</ns0:v>
      </ns0:c>
      <ns0:c r="J361" s="16">
        <ns0:f>A361*('前提と出典'!$C$36*'契約別単価'!J5+'前提と出典'!$C$37*'契約別単価'!J6+'前提と出典'!$C$38*'契約別単価'!J7)</ns0:f>
        <ns0:v>35089.367104578014</ns0:v>
      </ns0:c>
      <ns0:c r="K361" s="16">
        <ns0:f>A361*('前提と出典'!$C$36*'契約別単価'!K5+'前提と出典'!$C$37*'契約別単価'!K6+'前提と出典'!$C$38*'契約別単価'!K7)</ns0:f>
        <ns0:v>150405.36312849162</ns0:v>
      </ns0:c>
      <ns0:c r="L361" s="16">
        <ns0:f>A361*('前提と出典'!$C$36*'契約別単価'!L5+'前提と出典'!$C$37*'契約別単価'!L6+'前提と出典'!$C$38*'契約別単価'!L7)</ns0:f>
        <ns0:v>122460.57117992196</ns0:v>
      </ns0:c>
      <ns0:c r="M361" s="16">
        <ns0:f>IF(('前提と出典'!$C$36+'前提と出典'!$C$38)=0,0,IF(B361&lt;=10,'前提と出典'!B73+'前提と出典'!C73,IF(B361&lt;=100,'前提と出典'!B74+'前提と出典'!C74,IF(B361&lt;=500,'前提と出典'!B75+'前提と出典'!C75,'前提と出典'!B76+'前提と出典'!C76))))</ns0:f>
        <ns0:v>40000</ns0:v>
      </ns0:c>
      <ns0:c r="N361" s="16">
        <ns0:f>IF(('前提と出典'!$C$37+'前提と出典'!$C$38)=0,0,IF(C361&lt;=10,'前提と出典'!D73+'前提と出典'!E73,IF(C361&lt;=100,'前提と出典'!D74+'前提と出典'!E74,IF(C361&lt;=500,'前提と出典'!D75+'前提と出典'!E75,'前提と出典'!D76+'前提と出典'!E76))))</ns0:f>
        <ns0:v>56510.9346263078</ns0:v>
      </ns0:c>
      <ns0:c r="O361" s="16">
        <ns0:f>IF('前提と出典'!$C$36+'前提と出典'!$C$38=0,0,'前提と出典'!$B$4*IF('前提と出典'!$B$20=0,MAX('前提と出典'!$B$6,D361*'前提と出典'!$B$5),'前提と出典'!$B$6+D361*'前提と出典'!$B$5))</ns0:f>
        <ns0:v>354495.0167597765</ns0:v>
      </ns0:c>
      <ns0:c r="P361" s="16">
        <ns0:f>(E361+G361)*(1-'前提と出典'!$B$7)-I361-K361-M361-O361</ns0:f>
        <ns0:v>990207.7097372345</ns0:v>
      </ns0:c>
      <ns0:c r="Q361" s="16">
        <ns0:f>(F361+H361)*(1-'前提と出典'!$B$7)-J361-L361-N361</ns0:f>
        <ns0:v>275066.8760993257</ns0:v>
      </ns0:c>
      <ns0:c r="R361" s="16">
        <ns0:f>P361-E361*'前提と出典'!$E$4</ns0:f>
        <ns0:v>720971.9196581326</ns0:v>
      </ns0:c>
      <ns0:c r="S361" s="16">
        <ns0:f>Q361-F361*'前提と出典'!$E$4</ns0:f>
        <ns0:v>196833.83756609214</ns0:v>
      </ns0:c>
      <ns0:c r="T361" s="7">
        <ns0:f>R361+S361</ns0:f>
        <ns0:v>917805.7572242247</ns0:v>
      </ns0:c>
      <ns0:c r="U361" s="16">
        <ns0:f>P361-E361*'前提と出典'!$E$5</ns0:f>
        <ns0:v>631226.656298432</ns0:v>
      </ns0:c>
      <ns0:c r="V361" s="16">
        <ns0:f>Q361-F361*'前提と出典'!$E$5</ns0:f>
        <ns0:v>170756.15805501427</ns0:v>
      </ns0:c>
      <ns0:c r="W361" s="7">
        <ns0:f>U361+V361</ns0:f>
        <ns0:v>801982.8143534462</ns0:v>
      </ns0:c>
      <ns0:c r="X361" s="16">
        <ns0:f>P361-E361*'前提と出典'!$E$6</ns0:f>
        <ns0:v>541481.3929387315</ns0:v>
      </ns0:c>
      <ns0:c r="Y361" s="16">
        <ns0:f>Q361-F361*'前提と出典'!$E$6</ns0:f>
        <ns0:v>144678.47854393645</ns0:v>
      </ns0:c>
      <ns0:c r="Z361" s="7">
        <ns0:f>X361+Y361</ns0:f>
        <ns0:v>686159.871482668</ns0:v>
      </ns0:c>
      <ns0:c r="AA361" s="7">
        <ns0:f>IF(T361&gt;=0,A361,1001)</ns0:f>
        <ns0:v>357</ns0:v>
      </ns0:c>
      <ns0:c r="AB361" s="7">
        <ns0:f>IF(T361&lt;0,A361,0)</ns0:f>
        <ns0:v>0</ns0:v>
      </ns0:c>
      <ns0:c r="AC361" s="16">
        <ns0:f>IF(AND(OR('前提と出典'!$C$36+'前提と出典'!$C$38=0,R361&gt;=0),OR('前提と出典'!$C$37+'前提と出典'!$C$38=0,S361&gt;=0)),0,A361)</ns0:f>
        <ns0:v>0</ns0:v>
      </ns0:c>
      <ns0:c r="AD361" s="7">
        <ns0:f>IF(W361&gt;=0,A361,1001)</ns0:f>
        <ns0:v>357</ns0:v>
      </ns0:c>
      <ns0:c r="AE361" s="7">
        <ns0:f>IF(W361&lt;0,A361,0)</ns0:f>
        <ns0:v>0</ns0:v>
      </ns0:c>
      <ns0:c r="AF361" s="16">
        <ns0:f>IF(AND(OR('前提と出典'!$C$36+'前提と出典'!$C$38=0,U361&gt;=0),OR('前提と出典'!$C$37+'前提と出典'!$C$38=0,V361&gt;=0)),0,A361)</ns0:f>
        <ns0:v>0</ns0:v>
      </ns0:c>
      <ns0:c r="AG361" s="7">
        <ns0:f>IF(Z361&gt;=0,A361,1001)</ns0:f>
        <ns0:v>357</ns0:v>
      </ns0:c>
      <ns0:c r="AH361" s="4">
        <ns0:f>IF(Z361&lt;0,A361,0)</ns0:f>
        <ns0:v>0</ns0:v>
      </ns0:c>
      <ns0:c r="AI361" s="12">
        <ns0:f>IF(AND(OR('前提と出典'!$C$36+'前提と出典'!$C$38=0,X361&gt;=0),OR('前提と出典'!$C$37+'前提と出典'!$C$38=0,Y361&gt;=0)),0,A361)</ns0:f>
        <ns0:v>0</ns0:v>
      </ns0:c>
    </ns0:row>
    <ns0:row r="362" ht="24" customHeight="1">
      <ns0:c r="A362" s="4" t="n">
        <ns0:v>358</ns0:v>
      </ns0:c>
      <ns0:c r="B362" s="12">
        <ns0:f>A362*('前提と出典'!$C$36+'前提と出典'!$C$38)</ns0:f>
        <ns0:v>250.6</ns0:v>
      </ns0:c>
      <ns0:c r="C362" s="12">
        <ns0:f>A362*('前提と出典'!$C$37+'前提と出典'!$C$38)</ns0:f>
        <ns0:v>214.79999999999998</ns0:v>
      </ns0:c>
      <ns0:c r="D362" s="16">
        <ns0:f>A362*('前提と出典'!$C$36*'契約別単価'!C5+'前提と出典'!$C$37*'契約別単価'!C6+'前提と出典'!$C$38*'契約別単価'!C7)</ns0:f>
        <ns0:v>2576</ns0:v>
      </ns0:c>
      <ns0:c r="E362" s="16">
        <ns0:f>A362*('前提と出典'!$C$36*'契約別単価'!E5+'前提と出典'!$C$37*'契約別単価'!E6+'前提と出典'!$C$38*'契約別単価'!E7)</ns0:f>
        <ns0:v>899966.506520247</ns0:v>
      </ns0:c>
      <ns0:c r="F362" s="16">
        <ns0:f>A362*('前提と出典'!$C$36*'契約別単価'!F5+'前提と出典'!$C$37*'契約別単価'!F6+'前提と出典'!$C$38*'契約別単価'!F7)</ns0:f>
        <ns0:v>261507.26232397402</ns0:v>
      </ns0:c>
      <ns0:c r="G362" s="16">
        <ns0:f>A362*('前提と出典'!$C$36*'契約別単価'!G5+'前提と出典'!$C$37*'契約別単価'!G6+'前提と出典'!$C$38*'契約別単価'!G7)</ns0:f>
        <ns0:v>712600</ns0:v>
      </ns0:c>
      <ns0:c r="H362" s="16">
        <ns0:f>A362*('前提と出典'!$C$36*'契約別単価'!H5+'前提と出典'!$C$37*'契約別単価'!H6+'前提と出典'!$C$38*'契約別単価'!H7)</ns0:f>
        <ns0:v>247307.9396984924</ns0:v>
      </ns0:c>
      <ns0:c r="I362" s="16">
        <ns0:f>A362*('前提と出典'!$C$36*'契約別単価'!I5+'前提と出典'!$C$37*'契約別単価'!I6+'前提と出典'!$C$38*'契約別単価'!I7)</ns0:f>
        <ns0:v>15105.999999999998</ns0:v>
      </ns0:c>
      <ns0:c r="J362" s="16">
        <ns0:f>A362*('前提と出典'!$C$36*'契約別単価'!J5+'前提と出典'!$C$37*'契約別単価'!J6+'前提と出典'!$C$38*'契約別単価'!J7)</ns0:f>
        <ns0:v>35187.65664828832</ns0:v>
      </ns0:c>
      <ns0:c r="K362" s="16">
        <ns0:f>A362*('前提と出典'!$C$36*'契約別単価'!K5+'前提と出典'!$C$37*'契約別単価'!K6+'前提と出典'!$C$38*'契約別単価'!K7)</ns0:f>
        <ns0:v>150826.66666666666</ns0:v>
      </ns0:c>
      <ns0:c r="L362" s="16">
        <ns0:f>A362*('前提と出典'!$C$36*'契約別単価'!L5+'前提と出典'!$C$37*'契約別単価'!L6+'前提と出典'!$C$38*'契約別単価'!L7)</ns0:f>
        <ns0:v>122803.59798994975</ns0:v>
      </ns0:c>
      <ns0:c r="M362" s="16">
        <ns0:f>IF(('前提と出典'!$C$36+'前提と出典'!$C$38)=0,0,IF(B362&lt;=10,'前提と出典'!B73+'前提と出典'!C73,IF(B362&lt;=100,'前提と出典'!B74+'前提と出典'!C74,IF(B362&lt;=500,'前提と出典'!B75+'前提と出典'!C75,'前提と出典'!B76+'前提と出典'!C76))))</ns0:f>
        <ns0:v>40000</ns0:v>
      </ns0:c>
      <ns0:c r="N362" s="16">
        <ns0:f>IF(('前提と出典'!$C$37+'前提と出典'!$C$38)=0,0,IF(C362&lt;=10,'前提と出典'!D73+'前提と出典'!E73,IF(C362&lt;=100,'前提と出典'!D74+'前提と出典'!E74,IF(C362&lt;=500,'前提と出典'!D75+'前提と出典'!E75,'前提と出典'!D76+'前提と出典'!E76))))</ns0:f>
        <ns0:v>56510.9346263078</ns0:v>
      </ns0:c>
      <ns0:c r="O362" s="16">
        <ns0:f>IF('前提と出典'!$C$36+'前提と出典'!$C$38=0,0,'前提と出典'!$B$4*IF('前提と出典'!$B$20=0,MAX('前提と出典'!$B$6,D362*'前提と出典'!$B$5),'前提と出典'!$B$6+D362*'前提と出典'!$B$5))</ns0:f>
        <ns0:v>355488</ns0:v>
      </ns0:c>
      <ns0:c r="P362" s="16">
        <ns0:f>(E362+G362)*(1-'前提と出典'!$B$7)-I362-K362-M362-O362</ns0:f>
        <ns0:v>993093.4456188513</ns0:v>
      </ns0:c>
      <ns0:c r="Q362" s="16">
        <ns0:f>(F362+H362)*(1-'前提と出典'!$B$7)-J362-L362-N362</ns0:f>
        <ns0:v>275995.6654851118</ns0:v>
      </ns0:c>
      <ns0:c r="R362" s="16">
        <ns0:f>P362-E362*'前提と出典'!$E$4</ns0:f>
        <ns0:v>723103.4936627771</ns0:v>
      </ns0:c>
      <ns0:c r="S362" s="16">
        <ns0:f>Q362-F362*'前提と出典'!$E$4</ns0:f>
        <ns0:v>197543.4867879196</ns0:v>
      </ns0:c>
      <ns0:c r="T362" s="7">
        <ns0:f>R362+S362</ns0:f>
        <ns0:v>920646.9804506968</ns0:v>
      </ns0:c>
      <ns0:c r="U362" s="16">
        <ns0:f>P362-E362*'前提と出典'!$E$5</ns0:f>
        <ns0:v>633106.8430107526</ns0:v>
      </ns0:c>
      <ns0:c r="V362" s="16">
        <ns0:f>Q362-F362*'前提と出典'!$E$5</ns0:f>
        <ns0:v>171392.76055552223</ns0:v>
      </ns0:c>
      <ns0:c r="W362" s="7">
        <ns0:f>U362+V362</ns0:f>
        <ns0:v>804499.6035662747</ns0:v>
      </ns0:c>
      <ns0:c r="X362" s="16">
        <ns0:f>P362-E362*'前提と出典'!$E$6</ns0:f>
        <ns0:v>543110.1923587279</ns0:v>
      </ns0:c>
      <ns0:c r="Y362" s="16">
        <ns0:f>Q362-F362*'前提と出典'!$E$6</ns0:f>
        <ns0:v>145242.0343231248</ns0:v>
      </ns0:c>
      <ns0:c r="Z362" s="7">
        <ns0:f>X362+Y362</ns0:f>
        <ns0:v>688352.2266818527</ns0:v>
      </ns0:c>
      <ns0:c r="AA362" s="7">
        <ns0:f>IF(T362&gt;=0,A362,1001)</ns0:f>
        <ns0:v>358</ns0:v>
      </ns0:c>
      <ns0:c r="AB362" s="7">
        <ns0:f>IF(T362&lt;0,A362,0)</ns0:f>
        <ns0:v>0</ns0:v>
      </ns0:c>
      <ns0:c r="AC362" s="16">
        <ns0:f>IF(AND(OR('前提と出典'!$C$36+'前提と出典'!$C$38=0,R362&gt;=0),OR('前提と出典'!$C$37+'前提と出典'!$C$38=0,S362&gt;=0)),0,A362)</ns0:f>
        <ns0:v>0</ns0:v>
      </ns0:c>
      <ns0:c r="AD362" s="7">
        <ns0:f>IF(W362&gt;=0,A362,1001)</ns0:f>
        <ns0:v>358</ns0:v>
      </ns0:c>
      <ns0:c r="AE362" s="7">
        <ns0:f>IF(W362&lt;0,A362,0)</ns0:f>
        <ns0:v>0</ns0:v>
      </ns0:c>
      <ns0:c r="AF362" s="16">
        <ns0:f>IF(AND(OR('前提と出典'!$C$36+'前提と出典'!$C$38=0,U362&gt;=0),OR('前提と出典'!$C$37+'前提と出典'!$C$38=0,V362&gt;=0)),0,A362)</ns0:f>
        <ns0:v>0</ns0:v>
      </ns0:c>
      <ns0:c r="AG362" s="7">
        <ns0:f>IF(Z362&gt;=0,A362,1001)</ns0:f>
        <ns0:v>358</ns0:v>
      </ns0:c>
      <ns0:c r="AH362" s="4">
        <ns0:f>IF(Z362&lt;0,A362,0)</ns0:f>
        <ns0:v>0</ns0:v>
      </ns0:c>
      <ns0:c r="AI362" s="12">
        <ns0:f>IF(AND(OR('前提と出典'!$C$36+'前提と出典'!$C$38=0,X362&gt;=0),OR('前提と出典'!$C$37+'前提と出典'!$C$38=0,Y362&gt;=0)),0,A362)</ns0:f>
        <ns0:v>0</ns0:v>
      </ns0:c>
    </ns0:row>
    <ns0:row r="363" ht="24" customHeight="1">
      <ns0:c r="A363" s="4" t="n">
        <ns0:v>359</ns0:v>
      </ns0:c>
      <ns0:c r="B363" s="12">
        <ns0:f>A363*('前提と出典'!$C$36+'前提と出典'!$C$38)</ns0:f>
        <ns0:v>251.29999999999998</ns0:v>
      </ns0:c>
      <ns0:c r="C363" s="12">
        <ns0:f>A363*('前提と出典'!$C$37+'前提と出典'!$C$38)</ns0:f>
        <ns0:v>215.4</ns0:v>
      </ns0:c>
      <ns0:c r="D363" s="16">
        <ns0:f>A363*('前提と出典'!$C$36*'契約別単価'!C5+'前提と出典'!$C$37*'契約別単価'!C6+'前提と出典'!$C$38*'契約別単価'!C7)</ns0:f>
        <ns0:v>2583.195530726257</ns0:v>
      </ns0:c>
      <ns0:c r="E363" s="16">
        <ns0:f>A363*('前提と出典'!$C$36*'契約別単価'!E5+'前提と出典'!$C$37*'契約別単価'!E6+'前提と出典'!$C$38*'契約別単価'!E7)</ns0:f>
        <ns0:v>902480.3794434879</ns0:v>
      </ns0:c>
      <ns0:c r="F363" s="16">
        <ns0:f>A363*('前提と出典'!$C$36*'契約別単価'!F5+'前提と出典'!$C$37*'契約別単価'!F6+'前提と出典'!$C$38*'契約別単価'!F7)</ns0:f>
        <ns0:v>262237.7295371695</ns0:v>
      </ns0:c>
      <ns0:c r="G363" s="16">
        <ns0:f>A363*('前提と出典'!$C$36*'契約別単価'!G5+'前提と出典'!$C$37*'契約別単価'!G6+'前提と出典'!$C$38*'契約別単価'!G7)</ns0:f>
        <ns0:v>714590.502793296</ns0:v>
      </ns0:c>
      <ns0:c r="H363" s="16">
        <ns0:f>A363*('前提と出典'!$C$36*'契約別単価'!H5+'前提と出典'!$C$37*'契約別単価'!H6+'前提と出典'!$C$38*'契約別単価'!H7)</ns0:f>
        <ns0:v>247998.7439993262</ns0:v>
      </ns0:c>
      <ns0:c r="I363" s="16">
        <ns0:f>A363*('前提と出典'!$C$36*'契約別単価'!I5+'前提と出典'!$C$37*'契約別単価'!I6+'前提と出典'!$C$38*'契約別単価'!I7)</ns0:f>
        <ns0:v>15148.195530726254</ns0:v>
      </ns0:c>
      <ns0:c r="J363" s="16">
        <ns0:f>A363*('前提と出典'!$C$36*'契約別単価'!J5+'前提と出典'!$C$37*'契約別単価'!J6+'前提と出典'!$C$38*'契約別単価'!J7)</ns0:f>
        <ns0:v>35285.94619199862</ns0:v>
      </ns0:c>
      <ns0:c r="K363" s="16">
        <ns0:f>A363*('前提と出典'!$C$36*'契約別単価'!K5+'前提と出典'!$C$37*'契約別単価'!K6+'前提と出典'!$C$38*'契約別単価'!K7)</ns0:f>
        <ns0:v>151247.9702048417</ns0:v>
      </ns0:c>
      <ns0:c r="L363" s="16">
        <ns0:f>A363*('前提と出典'!$C$36*'契約別単価'!L5+'前提と出典'!$C$37*'契約別単価'!L6+'前提と出典'!$C$38*'契約別単価'!L7)</ns0:f>
        <ns0:v>123146.62479997754</ns0:v>
      </ns0:c>
      <ns0:c r="M363" s="16">
        <ns0:f>IF(('前提と出典'!$C$36+'前提と出典'!$C$38)=0,0,IF(B363&lt;=10,'前提と出典'!B73+'前提と出典'!C73,IF(B363&lt;=100,'前提と出典'!B74+'前提と出典'!C74,IF(B363&lt;=500,'前提と出典'!B75+'前提と出典'!C75,'前提と出典'!B76+'前提と出典'!C76))))</ns0:f>
        <ns0:v>40000</ns0:v>
      </ns0:c>
      <ns0:c r="N363" s="16">
        <ns0:f>IF(('前提と出典'!$C$37+'前提と出典'!$C$38)=0,0,IF(C363&lt;=10,'前提と出典'!D73+'前提と出典'!E73,IF(C363&lt;=100,'前提と出典'!D74+'前提と出典'!E74,IF(C363&lt;=500,'前提と出典'!D75+'前提と出典'!E75,'前提と出典'!D76+'前提と出典'!E76))))</ns0:f>
        <ns0:v>56510.9346263078</ns0:v>
      </ns0:c>
      <ns0:c r="O363" s="16">
        <ns0:f>IF('前提と出典'!$C$36+'前提と出典'!$C$38=0,0,'前提と出典'!$B$4*IF('前提と出典'!$B$20=0,MAX('前提と出典'!$B$6,D363*'前提と出典'!$B$5),'前提と出典'!$B$6+D363*'前提と出典'!$B$5))</ns0:f>
        <ns0:v>356480.9832402235</ns0:v>
      </ns0:c>
      <ns0:c r="P363" s="16">
        <ns0:f>(E363+G363)*(1-'前提と出典'!$B$7)-I363-K363-M363-O363</ns0:f>
        <ns0:v>995979.1815004682</ns0:v>
      </ns0:c>
      <ns0:c r="Q363" s="16">
        <ns0:f>(F363+H363)*(1-'前提と出典'!$B$7)-J363-L363-N363</ns0:f>
        <ns0:v>276924.4548708979</ns0:v>
      </ns0:c>
      <ns0:c r="R363" s="16">
        <ns0:f>P363-E363*'前提と出典'!$E$4</ns0:f>
        <ns0:v>725235.0676674219</ns0:v>
      </ns0:c>
      <ns0:c r="S363" s="16">
        <ns0:f>Q363-F363*'前提と出典'!$E$4</ns0:f>
        <ns0:v>198253.13600974705</ns0:v>
      </ns0:c>
      <ns0:c r="T363" s="7">
        <ns0:f>R363+S363</ns0:f>
        <ns0:v>923488.2036771689</ns0:v>
      </ns0:c>
      <ns0:c r="U363" s="16">
        <ns0:f>P363-E363*'前提と出典'!$E$5</ns0:f>
        <ns0:v>634987.029723073</ns0:v>
      </ns0:c>
      <ns0:c r="V363" s="16">
        <ns0:f>Q363-F363*'前提と出典'!$E$5</ns0:f>
        <ns0:v>172029.36305603012</ns0:v>
      </ns0:c>
      <ns0:c r="W363" s="7">
        <ns0:f>U363+V363</ns0:f>
        <ns0:v>807016.3927791031</ns0:v>
      </ns0:c>
      <ns0:c r="X363" s="16">
        <ns0:f>P363-E363*'前提と出典'!$E$6</ns0:f>
        <ns0:v>544738.991778724</ns0:v>
      </ns0:c>
      <ns0:c r="Y363" s="16">
        <ns0:f>Q363-F363*'前提と出典'!$E$6</ns0:f>
        <ns0:v>145805.5901023132</ns0:v>
      </ns0:c>
      <ns0:c r="Z363" s="7">
        <ns0:f>X363+Y363</ns0:f>
        <ns0:v>690544.5818810372</ns0:v>
      </ns0:c>
      <ns0:c r="AA363" s="7">
        <ns0:f>IF(T363&gt;=0,A363,1001)</ns0:f>
        <ns0:v>359</ns0:v>
      </ns0:c>
      <ns0:c r="AB363" s="7">
        <ns0:f>IF(T363&lt;0,A363,0)</ns0:f>
        <ns0:v>0</ns0:v>
      </ns0:c>
      <ns0:c r="AC363" s="16">
        <ns0:f>IF(AND(OR('前提と出典'!$C$36+'前提と出典'!$C$38=0,R363&gt;=0),OR('前提と出典'!$C$37+'前提と出典'!$C$38=0,S363&gt;=0)),0,A363)</ns0:f>
        <ns0:v>0</ns0:v>
      </ns0:c>
      <ns0:c r="AD363" s="7">
        <ns0:f>IF(W363&gt;=0,A363,1001)</ns0:f>
        <ns0:v>359</ns0:v>
      </ns0:c>
      <ns0:c r="AE363" s="7">
        <ns0:f>IF(W363&lt;0,A363,0)</ns0:f>
        <ns0:v>0</ns0:v>
      </ns0:c>
      <ns0:c r="AF363" s="16">
        <ns0:f>IF(AND(OR('前提と出典'!$C$36+'前提と出典'!$C$38=0,U363&gt;=0),OR('前提と出典'!$C$37+'前提と出典'!$C$38=0,V363&gt;=0)),0,A363)</ns0:f>
        <ns0:v>0</ns0:v>
      </ns0:c>
      <ns0:c r="AG363" s="7">
        <ns0:f>IF(Z363&gt;=0,A363,1001)</ns0:f>
        <ns0:v>359</ns0:v>
      </ns0:c>
      <ns0:c r="AH363" s="4">
        <ns0:f>IF(Z363&lt;0,A363,0)</ns0:f>
        <ns0:v>0</ns0:v>
      </ns0:c>
      <ns0:c r="AI363" s="12">
        <ns0:f>IF(AND(OR('前提と出典'!$C$36+'前提と出典'!$C$38=0,X363&gt;=0),OR('前提と出典'!$C$37+'前提と出典'!$C$38=0,Y363&gt;=0)),0,A363)</ns0:f>
        <ns0:v>0</ns0:v>
      </ns0:c>
    </ns0:row>
    <ns0:row r="364" ht="24" customHeight="1">
      <ns0:c r="A364" s="4" t="n">
        <ns0:v>360</ns0:v>
      </ns0:c>
      <ns0:c r="B364" s="12">
        <ns0:f>A364*('前提と出典'!$C$36+'前提と出典'!$C$38)</ns0:f>
        <ns0:v>251.99999999999997</ns0:v>
      </ns0:c>
      <ns0:c r="C364" s="12">
        <ns0:f>A364*('前提と出典'!$C$37+'前提と出典'!$C$38)</ns0:f>
        <ns0:v>216</ns0:v>
      </ns0:c>
      <ns0:c r="D364" s="16">
        <ns0:f>A364*('前提と出典'!$C$36*'契約別単価'!C5+'前提と出典'!$C$37*'契約別単価'!C6+'前提と出典'!$C$38*'契約別単価'!C7)</ns0:f>
        <ns0:v>2590.391061452514</ns0:v>
      </ns0:c>
      <ns0:c r="E364" s="16">
        <ns0:f>A364*('前提と出典'!$C$36*'契約別単価'!E5+'前提と出典'!$C$37*'契約別単価'!E6+'前提と出典'!$C$38*'契約別単価'!E7)</ns0:f>
        <ns0:v>904994.2523667287</ns0:v>
      </ns0:c>
      <ns0:c r="F364" s="16">
        <ns0:f>A364*('前提と出典'!$C$36*'契約別単価'!F5+'前提と出典'!$C$37*'契約別単価'!F6+'前提と出典'!$C$38*'契約別単価'!F7)</ns0:f>
        <ns0:v>262968.19675036496</ns0:v>
      </ns0:c>
      <ns0:c r="G364" s="16">
        <ns0:f>A364*('前提と出典'!$C$36*'契約別単価'!G5+'前提と出典'!$C$37*'契約別単価'!G6+'前提と出典'!$C$38*'契約別単価'!G7)</ns0:f>
        <ns0:v>716581.0055865921</ns0:v>
      </ns0:c>
      <ns0:c r="H364" s="16">
        <ns0:f>A364*('前提と出典'!$C$36*'契約別単価'!H5+'前提と出典'!$C$37*'契約別単価'!H6+'前提と出典'!$C$38*'契約別単価'!H7)</ns0:f>
        <ns0:v>248689.54830015998</ns0:v>
      </ns0:c>
      <ns0:c r="I364" s="16">
        <ns0:f>A364*('前提と出典'!$C$36*'契約別単価'!I5+'前提と出典'!$C$37*'契約別単価'!I6+'前提と出典'!$C$38*'契約別単価'!I7)</ns0:f>
        <ns0:v>15190.391061452512</ns0:v>
      </ns0:c>
      <ns0:c r="J364" s="16">
        <ns0:f>A364*('前提と出典'!$C$36*'契約別単価'!J5+'前提と出典'!$C$37*'契約別単価'!J6+'前提と出典'!$C$38*'契約別単価'!J7)</ns0:f>
        <ns0:v>35384.23573570893</ns0:v>
      </ns0:c>
      <ns0:c r="K364" s="16">
        <ns0:f>A364*('前提と出典'!$C$36*'契約別単価'!K5+'前提と出典'!$C$37*'契約別単価'!K6+'前提と出典'!$C$38*'契約別単価'!K7)</ns0:f>
        <ns0:v>151669.27374301676</ns0:v>
      </ns0:c>
      <ns0:c r="L364" s="16">
        <ns0:f>A364*('前提と出典'!$C$36*'契約別単価'!L5+'前提と出典'!$C$37*'契約別単価'!L6+'前提と出典'!$C$38*'契約別単価'!L7)</ns0:f>
        <ns0:v>123489.65161000533</ns0:v>
      </ns0:c>
      <ns0:c r="M364" s="16">
        <ns0:f>IF(('前提と出典'!$C$36+'前提と出典'!$C$38)=0,0,IF(B364&lt;=10,'前提と出典'!B73+'前提と出典'!C73,IF(B364&lt;=100,'前提と出典'!B74+'前提と出典'!C74,IF(B364&lt;=500,'前提と出典'!B75+'前提と出典'!C75,'前提と出典'!B76+'前提と出典'!C76))))</ns0:f>
        <ns0:v>40000</ns0:v>
      </ns0:c>
      <ns0:c r="N364" s="16">
        <ns0:f>IF(('前提と出典'!$C$37+'前提と出典'!$C$38)=0,0,IF(C364&lt;=10,'前提と出典'!D73+'前提と出典'!E73,IF(C364&lt;=100,'前提と出典'!D74+'前提と出典'!E74,IF(C364&lt;=500,'前提と出典'!D75+'前提と出典'!E75,'前提と出典'!D76+'前提と出典'!E76))))</ns0:f>
        <ns0:v>56510.9346263078</ns0:v>
      </ns0:c>
      <ns0:c r="O364" s="16">
        <ns0:f>IF('前提と出典'!$C$36+'前提と出典'!$C$38=0,0,'前提と出典'!$B$4*IF('前提と出典'!$B$20=0,MAX('前提と出典'!$B$6,D364*'前提と出典'!$B$5),'前提と出典'!$B$6+D364*'前提と出典'!$B$5))</ns0:f>
        <ns0:v>357473.966480447</ns0:v>
      </ns0:c>
      <ns0:c r="P364" s="16">
        <ns0:f>(E364+G364)*(1-'前提と出典'!$B$7)-I364-K364-M364-O364</ns0:f>
        <ns0:v>998864.9173820852</ns0:v>
      </ns0:c>
      <ns0:c r="Q364" s="16">
        <ns0:f>(F364+H364)*(1-'前提と出典'!$B$7)-J364-L364-N364</ns0:f>
        <ns0:v>277853.244256684</ns0:v>
      </ns0:c>
      <ns0:c r="R364" s="16">
        <ns0:f>P364-E364*'前提と出典'!$E$4</ns0:f>
        <ns0:v>727366.6416720664</ns0:v>
      </ns0:c>
      <ns0:c r="S364" s="16">
        <ns0:f>Q364-F364*'前提と出典'!$E$4</ns0:f>
        <ns0:v>198962.78523157453</ns0:v>
      </ns0:c>
      <ns0:c r="T364" s="7">
        <ns0:f>R364+S364</ns0:f>
        <ns0:v>926329.426903641</ns0:v>
      </ns0:c>
      <ns0:c r="U364" s="16">
        <ns0:f>P364-E364*'前提と出典'!$E$5</ns0:f>
        <ns0:v>636867.2164353937</ns0:v>
      </ns0:c>
      <ns0:c r="V364" s="16">
        <ns0:f>Q364-F364*'前提と出典'!$E$5</ns0:f>
        <ns0:v>172665.965556538</ns0:v>
      </ns0:c>
      <ns0:c r="W364" s="7">
        <ns0:f>U364+V364</ns0:f>
        <ns0:v>809533.1819919316</ns0:v>
      </ns0:c>
      <ns0:c r="X364" s="16">
        <ns0:f>P364-E364*'前提と出典'!$E$6</ns0:f>
        <ns0:v>546367.7911987208</ns0:v>
      </ns0:c>
      <ns0:c r="Y364" s="16">
        <ns0:f>Q364-F364*'前提と出典'!$E$6</ns0:f>
        <ns0:v>146369.14588150152</ns0:v>
      </ns0:c>
      <ns0:c r="Z364" s="7">
        <ns0:f>X364+Y364</ns0:f>
        <ns0:v>692736.9370802223</ns0:v>
      </ns0:c>
      <ns0:c r="AA364" s="7">
        <ns0:f>IF(T364&gt;=0,A364,1001)</ns0:f>
        <ns0:v>360</ns0:v>
      </ns0:c>
      <ns0:c r="AB364" s="7">
        <ns0:f>IF(T364&lt;0,A364,0)</ns0:f>
        <ns0:v>0</ns0:v>
      </ns0:c>
      <ns0:c r="AC364" s="16">
        <ns0:f>IF(AND(OR('前提と出典'!$C$36+'前提と出典'!$C$38=0,R364&gt;=0),OR('前提と出典'!$C$37+'前提と出典'!$C$38=0,S364&gt;=0)),0,A364)</ns0:f>
        <ns0:v>0</ns0:v>
      </ns0:c>
      <ns0:c r="AD364" s="7">
        <ns0:f>IF(W364&gt;=0,A364,1001)</ns0:f>
        <ns0:v>360</ns0:v>
      </ns0:c>
      <ns0:c r="AE364" s="7">
        <ns0:f>IF(W364&lt;0,A364,0)</ns0:f>
        <ns0:v>0</ns0:v>
      </ns0:c>
      <ns0:c r="AF364" s="16">
        <ns0:f>IF(AND(OR('前提と出典'!$C$36+'前提と出典'!$C$38=0,U364&gt;=0),OR('前提と出典'!$C$37+'前提と出典'!$C$38=0,V364&gt;=0)),0,A364)</ns0:f>
        <ns0:v>0</ns0:v>
      </ns0:c>
      <ns0:c r="AG364" s="7">
        <ns0:f>IF(Z364&gt;=0,A364,1001)</ns0:f>
        <ns0:v>360</ns0:v>
      </ns0:c>
      <ns0:c r="AH364" s="4">
        <ns0:f>IF(Z364&lt;0,A364,0)</ns0:f>
        <ns0:v>0</ns0:v>
      </ns0:c>
      <ns0:c r="AI364" s="12">
        <ns0:f>IF(AND(OR('前提と出典'!$C$36+'前提と出典'!$C$38=0,X364&gt;=0),OR('前提と出典'!$C$37+'前提と出典'!$C$38=0,Y364&gt;=0)),0,A364)</ns0:f>
        <ns0:v>0</ns0:v>
      </ns0:c>
    </ns0:row>
    <ns0:row r="365" ht="24" customHeight="1">
      <ns0:c r="A365" s="4" t="n">
        <ns0:v>361</ns0:v>
      </ns0:c>
      <ns0:c r="B365" s="12">
        <ns0:f>A365*('前提と出典'!$C$36+'前提と出典'!$C$38)</ns0:f>
        <ns0:v>252.7</ns0:v>
      </ns0:c>
      <ns0:c r="C365" s="12">
        <ns0:f>A365*('前提と出典'!$C$37+'前提と出典'!$C$38)</ns0:f>
        <ns0:v>216.6</ns0:v>
      </ns0:c>
      <ns0:c r="D365" s="16">
        <ns0:f>A365*('前提と出典'!$C$36*'契約別単価'!C5+'前提と出典'!$C$37*'契約別単価'!C6+'前提と出典'!$C$38*'契約別単価'!C7)</ns0:f>
        <ns0:v>2597.586592178771</ns0:v>
      </ns0:c>
      <ns0:c r="E365" s="16">
        <ns0:f>A365*('前提と出典'!$C$36*'契約別単価'!E5+'前提と出典'!$C$37*'契約別単価'!E6+'前提と出典'!$C$38*'契約別単価'!E7)</ns0:f>
        <ns0:v>907508.1252899697</ns0:v>
      </ns0:c>
      <ns0:c r="F365" s="16">
        <ns0:f>A365*('前提と出典'!$C$36*'契約別単価'!F5+'前提と出典'!$C$37*'契約別単価'!F6+'前提と出典'!$C$38*'契約別単価'!F7)</ns0:f>
        <ns0:v>263698.6639635604</ns0:v>
      </ns0:c>
      <ns0:c r="G365" s="16">
        <ns0:f>A365*('前提と出典'!$C$36*'契約別単価'!G5+'前提と出典'!$C$37*'契約別単価'!G6+'前提と出典'!$C$38*'契約別単価'!G7)</ns0:f>
        <ns0:v>718571.5083798883</ns0:v>
      </ns0:c>
      <ns0:c r="H365" s="16">
        <ns0:f>A365*('前提と出典'!$C$36*'契約別単価'!H5+'前提と出典'!$C$37*'契約別単価'!H6+'前提と出典'!$C$38*'契約別単価'!H7)</ns0:f>
        <ns0:v>249380.35260099373</ns0:v>
      </ns0:c>
      <ns0:c r="I365" s="16">
        <ns0:f>A365*('前提と出典'!$C$36*'契約別単価'!I5+'前提と出典'!$C$37*'契約別単価'!I6+'前提と出典'!$C$38*'契約別単価'!I7)</ns0:f>
        <ns0:v>15232.586592178768</ns0:v>
      </ns0:c>
      <ns0:c r="J365" s="16">
        <ns0:f>A365*('前提と出典'!$C$36*'契約別単価'!J5+'前提と出典'!$C$37*'契約別単価'!J6+'前提と出典'!$C$38*'契約別単価'!J7)</ns0:f>
        <ns0:v>35482.52527941923</ns0:v>
      </ns0:c>
      <ns0:c r="K365" s="16">
        <ns0:f>A365*('前提と出典'!$C$36*'契約別単価'!K5+'前提と出典'!$C$37*'契約別単価'!K6+'前提と出典'!$C$38*'契約別単価'!K7)</ns0:f>
        <ns0:v>152090.5772811918</ns0:v>
      </ns0:c>
      <ns0:c r="L365" s="16">
        <ns0:f>A365*('前提と出典'!$C$36*'契約別単価'!L5+'前提と出典'!$C$37*'契約別単価'!L6+'前提と出典'!$C$38*'契約別単価'!L7)</ns0:f>
        <ns0:v>123832.67842003312</ns0:v>
      </ns0:c>
      <ns0:c r="M365" s="16">
        <ns0:f>IF(('前提と出典'!$C$36+'前提と出典'!$C$38)=0,0,IF(B365&lt;=10,'前提と出典'!B73+'前提と出典'!C73,IF(B365&lt;=100,'前提と出典'!B74+'前提と出典'!C74,IF(B365&lt;=500,'前提と出典'!B75+'前提と出典'!C75,'前提と出典'!B76+'前提と出典'!C76))))</ns0:f>
        <ns0:v>40000</ns0:v>
      </ns0:c>
      <ns0:c r="N365" s="16">
        <ns0:f>IF(('前提と出典'!$C$37+'前提と出典'!$C$38)=0,0,IF(C365&lt;=10,'前提と出典'!D73+'前提と出典'!E73,IF(C365&lt;=100,'前提と出典'!D74+'前提と出典'!E74,IF(C365&lt;=500,'前提と出典'!D75+'前提と出典'!E75,'前提と出典'!D76+'前提と出典'!E76))))</ns0:f>
        <ns0:v>56510.9346263078</ns0:v>
      </ns0:c>
      <ns0:c r="O365" s="16">
        <ns0:f>IF('前提と出典'!$C$36+'前提と出典'!$C$38=0,0,'前提と出典'!$B$4*IF('前提と出典'!$B$20=0,MAX('前提と出典'!$B$6,D365*'前提と出典'!$B$5),'前提と出典'!$B$6+D365*'前提と出典'!$B$5))</ns0:f>
        <ns0:v>358466.94972067035</ns0:v>
      </ns0:c>
      <ns0:c r="P365" s="16">
        <ns0:f>(E365+G365)*(1-'前提と出典'!$B$7)-I365-K365-M365-O365</ns0:f>
        <ns0:v>1001750.653263702</ns0:v>
      </ns0:c>
      <ns0:c r="Q365" s="16">
        <ns0:f>(F365+H365)*(1-'前提と出典'!$B$7)-J365-L365-N365</ns0:f>
        <ns0:v>278782.0336424701</ns0:v>
      </ns0:c>
      <ns0:c r="R365" s="16">
        <ns0:f>P365-E365*'前提と出典'!$E$4</ns0:f>
        <ns0:v>729498.2156767113</ns0:v>
      </ns0:c>
      <ns0:c r="S365" s="16">
        <ns0:f>Q365-F365*'前提と出典'!$E$4</ns0:f>
        <ns0:v>199672.43445340195</ns0:v>
      </ns0:c>
      <ns0:c r="T365" s="7">
        <ns0:f>R365+S365</ns0:f>
        <ns0:v>929170.6501301132</ns0:v>
      </ns0:c>
      <ns0:c r="U365" s="16">
        <ns0:f>P365-E365*'前提と出典'!$E$5</ns0:f>
        <ns0:v>638747.4031477142</ns0:v>
      </ns0:c>
      <ns0:c r="V365" s="16">
        <ns0:f>Q365-F365*'前提と出典'!$E$5</ns0:f>
        <ns0:v>173302.56805704592</ns0:v>
      </ns0:c>
      <ns0:c r="W365" s="7">
        <ns0:f>U365+V365</ns0:f>
        <ns0:v>812049.9712047601</ns0:v>
      </ns0:c>
      <ns0:c r="X365" s="16">
        <ns0:f>P365-E365*'前提と出典'!$E$6</ns0:f>
        <ns0:v>547996.5906187173</ns0:v>
      </ns0:c>
      <ns0:c r="Y365" s="16">
        <ns0:f>Q365-F365*'前提と出典'!$E$6</ns0:f>
        <ns0:v>146932.70166068984</ns0:v>
      </ns0:c>
      <ns0:c r="Z365" s="7">
        <ns0:f>X365+Y365</ns0:f>
        <ns0:v>694929.2922794071</ns0:v>
      </ns0:c>
      <ns0:c r="AA365" s="7">
        <ns0:f>IF(T365&gt;=0,A365,1001)</ns0:f>
        <ns0:v>361</ns0:v>
      </ns0:c>
      <ns0:c r="AB365" s="7">
        <ns0:f>IF(T365&lt;0,A365,0)</ns0:f>
        <ns0:v>0</ns0:v>
      </ns0:c>
      <ns0:c r="AC365" s="16">
        <ns0:f>IF(AND(OR('前提と出典'!$C$36+'前提と出典'!$C$38=0,R365&gt;=0),OR('前提と出典'!$C$37+'前提と出典'!$C$38=0,S365&gt;=0)),0,A365)</ns0:f>
        <ns0:v>0</ns0:v>
      </ns0:c>
      <ns0:c r="AD365" s="7">
        <ns0:f>IF(W365&gt;=0,A365,1001)</ns0:f>
        <ns0:v>361</ns0:v>
      </ns0:c>
      <ns0:c r="AE365" s="7">
        <ns0:f>IF(W365&lt;0,A365,0)</ns0:f>
        <ns0:v>0</ns0:v>
      </ns0:c>
      <ns0:c r="AF365" s="16">
        <ns0:f>IF(AND(OR('前提と出典'!$C$36+'前提と出典'!$C$38=0,U365&gt;=0),OR('前提と出典'!$C$37+'前提と出典'!$C$38=0,V365&gt;=0)),0,A365)</ns0:f>
        <ns0:v>0</ns0:v>
      </ns0:c>
      <ns0:c r="AG365" s="7">
        <ns0:f>IF(Z365&gt;=0,A365,1001)</ns0:f>
        <ns0:v>361</ns0:v>
      </ns0:c>
      <ns0:c r="AH365" s="4">
        <ns0:f>IF(Z365&lt;0,A365,0)</ns0:f>
        <ns0:v>0</ns0:v>
      </ns0:c>
      <ns0:c r="AI365" s="12">
        <ns0:f>IF(AND(OR('前提と出典'!$C$36+'前提と出典'!$C$38=0,X365&gt;=0),OR('前提と出典'!$C$37+'前提と出典'!$C$38=0,Y365&gt;=0)),0,A365)</ns0:f>
        <ns0:v>0</ns0:v>
      </ns0:c>
    </ns0:row>
    <ns0:row r="366" ht="24" customHeight="1">
      <ns0:c r="A366" s="4" t="n">
        <ns0:v>362</ns0:v>
      </ns0:c>
      <ns0:c r="B366" s="12">
        <ns0:f>A366*('前提と出典'!$C$36+'前提と出典'!$C$38)</ns0:f>
        <ns0:v>253.39999999999998</ns0:v>
      </ns0:c>
      <ns0:c r="C366" s="12">
        <ns0:f>A366*('前提と出典'!$C$37+'前提と出典'!$C$38)</ns0:f>
        <ns0:v>217.2</ns0:v>
      </ns0:c>
      <ns0:c r="D366" s="16">
        <ns0:f>A366*('前提と出典'!$C$36*'契約別単価'!C5+'前提と出典'!$C$37*'契約別単価'!C6+'前提と出典'!$C$38*'契約別単価'!C7)</ns0:f>
        <ns0:v>2604.782122905028</ns0:v>
      </ns0:c>
      <ns0:c r="E366" s="16">
        <ns0:f>A366*('前提と出典'!$C$36*'契約別単価'!E5+'前提と出典'!$C$37*'契約別単価'!E6+'前提と出典'!$C$38*'契約別単価'!E7)</ns0:f>
        <ns0:v>910021.9982132106</ns0:v>
      </ns0:c>
      <ns0:c r="F366" s="16">
        <ns0:f>A366*('前提と出典'!$C$36*'契約別単価'!F5+'前提と出典'!$C$37*'契約別単価'!F6+'前提と出典'!$C$38*'契約別単価'!F7)</ns0:f>
        <ns0:v>264429.1311767559</ns0:v>
      </ns0:c>
      <ns0:c r="G366" s="16">
        <ns0:f>A366*('前提と出典'!$C$36*'契約別単価'!G5+'前提と出典'!$C$37*'契約別単価'!G6+'前提と出典'!$C$38*'契約別単価'!G7)</ns0:f>
        <ns0:v>720562.0111731844</ns0:v>
      </ns0:c>
      <ns0:c r="H366" s="16">
        <ns0:f>A366*('前提と出典'!$C$36*'契約別単価'!H5+'前提と出典'!$C$37*'契約別単価'!H6+'前提と出典'!$C$38*'契約別単価'!H7)</ns0:f>
        <ns0:v>250071.15690182752</ns0:v>
      </ns0:c>
      <ns0:c r="I366" s="16">
        <ns0:f>A366*('前提と出典'!$C$36*'契約別単価'!I5+'前提と出典'!$C$37*'契約別単価'!I6+'前提と出典'!$C$38*'契約別単価'!I7)</ns0:f>
        <ns0:v>15274.782122905026</ns0:v>
      </ns0:c>
      <ns0:c r="J366" s="16">
        <ns0:f>A366*('前提と出典'!$C$36*'契約別単価'!J5+'前提と出典'!$C$37*'契約別単価'!J6+'前提と出典'!$C$38*'契約別単価'!J7)</ns0:f>
        <ns0:v>35580.81482312953</ns0:v>
      </ns0:c>
      <ns0:c r="K366" s="16">
        <ns0:f>A366*('前提と出典'!$C$36*'契約別単価'!K5+'前提と出典'!$C$37*'契約別単価'!K6+'前提と出典'!$C$38*'契約別単価'!K7)</ns0:f>
        <ns0:v>152511.88081936684</ns0:v>
      </ns0:c>
      <ns0:c r="L366" s="16">
        <ns0:f>A366*('前提と出典'!$C$36*'契約別単価'!L5+'前提と出典'!$C$37*'契約別単価'!L6+'前提と出典'!$C$38*'契約別単価'!L7)</ns0:f>
        <ns0:v>124175.7052300609</ns0:v>
      </ns0:c>
      <ns0:c r="M366" s="16">
        <ns0:f>IF(('前提と出典'!$C$36+'前提と出典'!$C$38)=0,0,IF(B366&lt;=10,'前提と出典'!B73+'前提と出典'!C73,IF(B366&lt;=100,'前提と出典'!B74+'前提と出典'!C74,IF(B366&lt;=500,'前提と出典'!B75+'前提と出典'!C75,'前提と出典'!B76+'前提と出典'!C76))))</ns0:f>
        <ns0:v>40000</ns0:v>
      </ns0:c>
      <ns0:c r="N366" s="16">
        <ns0:f>IF(('前提と出典'!$C$37+'前提と出典'!$C$38)=0,0,IF(C366&lt;=10,'前提と出典'!D73+'前提と出典'!E73,IF(C366&lt;=100,'前提と出典'!D74+'前提と出典'!E74,IF(C366&lt;=500,'前提と出典'!D75+'前提と出典'!E75,'前提と出典'!D76+'前提と出典'!E76))))</ns0:f>
        <ns0:v>56510.9346263078</ns0:v>
      </ns0:c>
      <ns0:c r="O366" s="16">
        <ns0:f>IF('前提と出典'!$C$36+'前提と出典'!$C$38=0,0,'前提と出典'!$B$4*IF('前提と出典'!$B$20=0,MAX('前提と出典'!$B$6,D366*'前提と出典'!$B$5),'前提と出典'!$B$6+D366*'前提と出典'!$B$5))</ns0:f>
        <ns0:v>359459.93296089384</ns0:v>
      </ns0:c>
      <ns0:c r="P366" s="16">
        <ns0:f>(E366+G366)*(1-'前提と出典'!$B$7)-I366-K366-M366-O366</ns0:f>
        <ns0:v>1004636.3891453192</ns0:v>
      </ns0:c>
      <ns0:c r="Q366" s="16">
        <ns0:f>(F366+H366)*(1-'前提と出典'!$B$7)-J366-L366-N366</ns0:f>
        <ns0:v>279710.8230282562</ns0:v>
      </ns0:c>
      <ns0:c r="R366" s="16">
        <ns0:f>P366-E366*'前提と出典'!$E$4</ns0:f>
        <ns0:v>731629.789681356</ns0:v>
      </ns0:c>
      <ns0:c r="S366" s="16">
        <ns0:f>Q366-F366*'前提と出典'!$E$4</ns0:f>
        <ns0:v>200382.08367522946</ns0:v>
      </ns0:c>
      <ns0:c r="T366" s="7">
        <ns0:f>R366+S366</ns0:f>
        <ns0:v>932011.8733565855</ns0:v>
      </ns0:c>
      <ns0:c r="U366" s="16">
        <ns0:f>P366-E366*'前提と出典'!$E$5</ns0:f>
        <ns0:v>640627.589860035</ns0:v>
      </ns0:c>
      <ns0:c r="V366" s="16">
        <ns0:f>Q366-F366*'前提と出典'!$E$5</ns0:f>
        <ns0:v>173939.17055755382</ns0:v>
      </ns0:c>
      <ns0:c r="W366" s="7">
        <ns0:f>U366+V366</ns0:f>
        <ns0:v>814566.7604175888</ns0:v>
      </ns0:c>
      <ns0:c r="X366" s="16">
        <ns0:f>P366-E366*'前提と出典'!$E$6</ns0:f>
        <ns0:v>549625.3900387139</ns0:v>
      </ns0:c>
      <ns0:c r="Y366" s="16">
        <ns0:f>Q366-F366*'前提と出典'!$E$6</ns0:f>
        <ns0:v>147496.25743987825</ns0:v>
      </ns0:c>
      <ns0:c r="Z366" s="7">
        <ns0:f>X366+Y366</ns0:f>
        <ns0:v>697121.6474785921</ns0:v>
      </ns0:c>
      <ns0:c r="AA366" s="7">
        <ns0:f>IF(T366&gt;=0,A366,1001)</ns0:f>
        <ns0:v>362</ns0:v>
      </ns0:c>
      <ns0:c r="AB366" s="7">
        <ns0:f>IF(T366&lt;0,A366,0)</ns0:f>
        <ns0:v>0</ns0:v>
      </ns0:c>
      <ns0:c r="AC366" s="16">
        <ns0:f>IF(AND(OR('前提と出典'!$C$36+'前提と出典'!$C$38=0,R366&gt;=0),OR('前提と出典'!$C$37+'前提と出典'!$C$38=0,S366&gt;=0)),0,A366)</ns0:f>
        <ns0:v>0</ns0:v>
      </ns0:c>
      <ns0:c r="AD366" s="7">
        <ns0:f>IF(W366&gt;=0,A366,1001)</ns0:f>
        <ns0:v>362</ns0:v>
      </ns0:c>
      <ns0:c r="AE366" s="7">
        <ns0:f>IF(W366&lt;0,A366,0)</ns0:f>
        <ns0:v>0</ns0:v>
      </ns0:c>
      <ns0:c r="AF366" s="16">
        <ns0:f>IF(AND(OR('前提と出典'!$C$36+'前提と出典'!$C$38=0,U366&gt;=0),OR('前提と出典'!$C$37+'前提と出典'!$C$38=0,V366&gt;=0)),0,A366)</ns0:f>
        <ns0:v>0</ns0:v>
      </ns0:c>
      <ns0:c r="AG366" s="7">
        <ns0:f>IF(Z366&gt;=0,A366,1001)</ns0:f>
        <ns0:v>362</ns0:v>
      </ns0:c>
      <ns0:c r="AH366" s="4">
        <ns0:f>IF(Z366&lt;0,A366,0)</ns0:f>
        <ns0:v>0</ns0:v>
      </ns0:c>
      <ns0:c r="AI366" s="12">
        <ns0:f>IF(AND(OR('前提と出典'!$C$36+'前提と出典'!$C$38=0,X366&gt;=0),OR('前提と出典'!$C$37+'前提と出典'!$C$38=0,Y366&gt;=0)),0,A366)</ns0:f>
        <ns0:v>0</ns0:v>
      </ns0:c>
    </ns0:row>
    <ns0:row r="367" ht="24" customHeight="1">
      <ns0:c r="A367" s="4" t="n">
        <ns0:v>363</ns0:v>
      </ns0:c>
      <ns0:c r="B367" s="12">
        <ns0:f>A367*('前提と出典'!$C$36+'前提と出典'!$C$38)</ns0:f>
        <ns0:v>254.1</ns0:v>
      </ns0:c>
      <ns0:c r="C367" s="12">
        <ns0:f>A367*('前提と出典'!$C$37+'前提と出典'!$C$38)</ns0:f>
        <ns0:v>217.79999999999998</ns0:v>
      </ns0:c>
      <ns0:c r="D367" s="16">
        <ns0:f>A367*('前提と出典'!$C$36*'契約別単価'!C5+'前提と出典'!$C$37*'契約別単価'!C6+'前提と出典'!$C$38*'契約別単価'!C7)</ns0:f>
        <ns0:v>2611.9776536312847</ns0:v>
      </ns0:c>
      <ns0:c r="E367" s="16">
        <ns0:f>A367*('前提と出典'!$C$36*'契約別単価'!E5+'前提と出典'!$C$37*'契約別単価'!E6+'前提と出典'!$C$38*'契約別単価'!E7)</ns0:f>
        <ns0:v>912535.8711364515</ns0:v>
      </ns0:c>
      <ns0:c r="F367" s="16">
        <ns0:f>A367*('前提と出典'!$C$36*'契約別単価'!F5+'前提と出典'!$C$37*'契約別単価'!F6+'前提と出典'!$C$38*'契約別単価'!F7)</ns0:f>
        <ns0:v>265159.59838995134</ns0:v>
      </ns0:c>
      <ns0:c r="G367" s="16">
        <ns0:f>A367*('前提と出典'!$C$36*'契約別単価'!G5+'前提と出典'!$C$37*'契約別単価'!G6+'前提と出典'!$C$38*'契約別単価'!G7)</ns0:f>
        <ns0:v>722552.5139664804</ns0:v>
      </ns0:c>
      <ns0:c r="H367" s="16">
        <ns0:f>A367*('前提と出典'!$C$36*'契約別単価'!H5+'前提と出典'!$C$37*'契約別単価'!H6+'前提と出典'!$C$38*'契約別単価'!H7)</ns0:f>
        <ns0:v>250761.9612026613</ns0:v>
      </ns0:c>
      <ns0:c r="I367" s="16">
        <ns0:f>A367*('前提と出典'!$C$36*'契約別単価'!I5+'前提と出典'!$C$37*'契約別単価'!I6+'前提と出典'!$C$38*'契約別単価'!I7)</ns0:f>
        <ns0:v>15316.977653631282</ns0:v>
      </ns0:c>
      <ns0:c r="J367" s="16">
        <ns0:f>A367*('前提と出典'!$C$36*'契約別単価'!J5+'前提と出典'!$C$37*'契約別単価'!J6+'前提と出典'!$C$38*'契約別単価'!J7)</ns0:f>
        <ns0:v>35679.104366839834</ns0:v>
      </ns0:c>
      <ns0:c r="K367" s="16">
        <ns0:f>A367*('前提と出典'!$C$36*'契約別単価'!K5+'前提と出典'!$C$37*'契約別単価'!K6+'前提と出典'!$C$38*'契約別単価'!K7)</ns0:f>
        <ns0:v>152933.18435754188</ns0:v>
      </ns0:c>
      <ns0:c r="L367" s="16">
        <ns0:f>A367*('前提と出典'!$C$36*'契約別単価'!L5+'前提と出典'!$C$37*'契約別単価'!L6+'前提と出典'!$C$38*'契約別単価'!L7)</ns0:f>
        <ns0:v>124518.73204008871</ns0:v>
      </ns0:c>
      <ns0:c r="M367" s="16">
        <ns0:f>IF(('前提と出典'!$C$36+'前提と出典'!$C$38)=0,0,IF(B367&lt;=10,'前提と出典'!B73+'前提と出典'!C73,IF(B367&lt;=100,'前提と出典'!B74+'前提と出典'!C74,IF(B367&lt;=500,'前提と出典'!B75+'前提と出典'!C75,'前提と出典'!B76+'前提と出典'!C76))))</ns0:f>
        <ns0:v>40000</ns0:v>
      </ns0:c>
      <ns0:c r="N367" s="16">
        <ns0:f>IF(('前提と出典'!$C$37+'前提と出典'!$C$38)=0,0,IF(C367&lt;=10,'前提と出典'!D73+'前提と出典'!E73,IF(C367&lt;=100,'前提と出典'!D74+'前提と出典'!E74,IF(C367&lt;=500,'前提と出典'!D75+'前提と出典'!E75,'前提と出典'!D76+'前提と出典'!E76))))</ns0:f>
        <ns0:v>56510.9346263078</ns0:v>
      </ns0:c>
      <ns0:c r="O367" s="16">
        <ns0:f>IF('前提と出典'!$C$36+'前提と出典'!$C$38=0,0,'前提と出典'!$B$4*IF('前提と出典'!$B$20=0,MAX('前提と出典'!$B$6,D367*'前提と出典'!$B$5),'前提と出典'!$B$6+D367*'前提と出典'!$B$5))</ns0:f>
        <ns0:v>360452.91620111733</ns0:v>
      </ns0:c>
      <ns0:c r="P367" s="16">
        <ns0:f>(E367+G367)*(1-'前提と出典'!$B$7)-I367-K367-M367-O367</ns0:f>
        <ns0:v>1007522.1250269358</ns0:v>
      </ns0:c>
      <ns0:c r="Q367" s="16">
        <ns0:f>(F367+H367)*(1-'前提と出典'!$B$7)-J367-L367-N367</ns0:f>
        <ns0:v>280639.6124140423</ns0:v>
      </ns0:c>
      <ns0:c r="R367" s="16">
        <ns0:f>P367-E367*'前提と出典'!$E$4</ns0:f>
        <ns0:v>733761.3636860003</ns0:v>
      </ns0:c>
      <ns0:c r="S367" s="16">
        <ns0:f>Q367-F367*'前提と出典'!$E$4</ns0:f>
        <ns0:v>201091.73289705688</ns0:v>
      </ns0:c>
      <ns0:c r="T367" s="7">
        <ns0:f>R367+S367</ns0:f>
        <ns0:v>934853.0965830572</ns0:v>
      </ns0:c>
      <ns0:c r="U367" s="16">
        <ns0:f>P367-E367*'前提と出典'!$E$5</ns0:f>
        <ns0:v>642507.7765723552</ns0:v>
      </ns0:c>
      <ns0:c r="V367" s="16">
        <ns0:f>Q367-F367*'前提と出典'!$E$5</ns0:f>
        <ns0:v>174575.77305806175</ns0:v>
      </ns0:c>
      <ns0:c r="W367" s="7">
        <ns0:f>U367+V367</ns0:f>
        <ns0:v>817083.5496304169</ns0:v>
      </ns0:c>
      <ns0:c r="X367" s="16">
        <ns0:f>P367-E367*'前提と出典'!$E$6</ns0:f>
        <ns0:v>551254.18945871</ns0:v>
      </ns0:c>
      <ns0:c r="Y367" s="16">
        <ns0:f>Q367-F367*'前提と出典'!$E$6</ns0:f>
        <ns0:v>148059.81321906662</ns0:v>
      </ns0:c>
      <ns0:c r="Z367" s="7">
        <ns0:f>X367+Y367</ns0:f>
        <ns0:v>699314.0026777766</ns0:v>
      </ns0:c>
      <ns0:c r="AA367" s="7">
        <ns0:f>IF(T367&gt;=0,A367,1001)</ns0:f>
        <ns0:v>363</ns0:v>
      </ns0:c>
      <ns0:c r="AB367" s="7">
        <ns0:f>IF(T367&lt;0,A367,0)</ns0:f>
        <ns0:v>0</ns0:v>
      </ns0:c>
      <ns0:c r="AC367" s="16">
        <ns0:f>IF(AND(OR('前提と出典'!$C$36+'前提と出典'!$C$38=0,R367&gt;=0),OR('前提と出典'!$C$37+'前提と出典'!$C$38=0,S367&gt;=0)),0,A367)</ns0:f>
        <ns0:v>0</ns0:v>
      </ns0:c>
      <ns0:c r="AD367" s="7">
        <ns0:f>IF(W367&gt;=0,A367,1001)</ns0:f>
        <ns0:v>363</ns0:v>
      </ns0:c>
      <ns0:c r="AE367" s="7">
        <ns0:f>IF(W367&lt;0,A367,0)</ns0:f>
        <ns0:v>0</ns0:v>
      </ns0:c>
      <ns0:c r="AF367" s="16">
        <ns0:f>IF(AND(OR('前提と出典'!$C$36+'前提と出典'!$C$38=0,U367&gt;=0),OR('前提と出典'!$C$37+'前提と出典'!$C$38=0,V367&gt;=0)),0,A367)</ns0:f>
        <ns0:v>0</ns0:v>
      </ns0:c>
      <ns0:c r="AG367" s="7">
        <ns0:f>IF(Z367&gt;=0,A367,1001)</ns0:f>
        <ns0:v>363</ns0:v>
      </ns0:c>
      <ns0:c r="AH367" s="4">
        <ns0:f>IF(Z367&lt;0,A367,0)</ns0:f>
        <ns0:v>0</ns0:v>
      </ns0:c>
      <ns0:c r="AI367" s="12">
        <ns0:f>IF(AND(OR('前提と出典'!$C$36+'前提と出典'!$C$38=0,X367&gt;=0),OR('前提と出典'!$C$37+'前提と出典'!$C$38=0,Y367&gt;=0)),0,A367)</ns0:f>
        <ns0:v>0</ns0:v>
      </ns0:c>
    </ns0:row>
    <ns0:row r="368" ht="24" customHeight="1">
      <ns0:c r="A368" s="4" t="n">
        <ns0:v>364</ns0:v>
      </ns0:c>
      <ns0:c r="B368" s="12">
        <ns0:f>A368*('前提と出典'!$C$36+'前提と出典'!$C$38)</ns0:f>
        <ns0:v>254.79999999999998</ns0:v>
      </ns0:c>
      <ns0:c r="C368" s="12">
        <ns0:f>A368*('前提と出典'!$C$37+'前提と出典'!$C$38)</ns0:f>
        <ns0:v>218.4</ns0:v>
      </ns0:c>
      <ns0:c r="D368" s="16">
        <ns0:f>A368*('前提と出典'!$C$36*'契約別単価'!C5+'前提と出典'!$C$37*'契約別単価'!C6+'前提と出典'!$C$38*'契約別単価'!C7)</ns0:f>
        <ns0:v>2619.1731843575417</ns0:v>
      </ns0:c>
      <ns0:c r="E368" s="16">
        <ns0:f>A368*('前提と出典'!$C$36*'契約別単価'!E5+'前提と出典'!$C$37*'契約別単価'!E6+'前提と出典'!$C$38*'契約別単価'!E7)</ns0:f>
        <ns0:v>915049.7440596924</ns0:v>
      </ns0:c>
      <ns0:c r="F368" s="16">
        <ns0:f>A368*('前提と出典'!$C$36*'契約別単価'!F5+'前提と出典'!$C$37*'契約別単価'!F6+'前提と出典'!$C$38*'契約別単価'!F7)</ns0:f>
        <ns0:v>265890.0656031468</ns0:v>
      </ns0:c>
      <ns0:c r="G368" s="16">
        <ns0:f>A368*('前提と出典'!$C$36*'契約別単価'!G5+'前提と出典'!$C$37*'契約別単価'!G6+'前提と出典'!$C$38*'契約別単価'!G7)</ns0:f>
        <ns0:v>724543.0167597765</ns0:v>
      </ns0:c>
      <ns0:c r="H368" s="16">
        <ns0:f>A368*('前提と出典'!$C$36*'契約別単価'!H5+'前提と出典'!$C$37*'契約別単価'!H6+'前提と出典'!$C$38*'契約別単価'!H7)</ns0:f>
        <ns0:v>251452.7655034951</ns0:v>
      </ns0:c>
      <ns0:c r="I368" s="16">
        <ns0:f>A368*('前提と出典'!$C$36*'契約別単価'!I5+'前提と出典'!$C$37*'契約別単価'!I6+'前提と出典'!$C$38*'契約別単価'!I7)</ns0:f>
        <ns0:v>15359.17318435754</ns0:v>
      </ns0:c>
      <ns0:c r="J368" s="16">
        <ns0:f>A368*('前提と出典'!$C$36*'契約別単価'!J5+'前提と出典'!$C$37*'契約別単価'!J6+'前提と出典'!$C$38*'契約別単価'!J7)</ns0:f>
        <ns0:v>35777.393910550134</ns0:v>
      </ns0:c>
      <ns0:c r="K368" s="16">
        <ns0:f>A368*('前提と出典'!$C$36*'契約別単価'!K5+'前提と出典'!$C$37*'契約別単価'!K6+'前提と出典'!$C$38*'契約別単価'!K7)</ns0:f>
        <ns0:v>153354.48789571694</ns0:v>
      </ns0:c>
      <ns0:c r="L368" s="16">
        <ns0:f>A368*('前提と出典'!$C$36*'契約別単価'!L5+'前提と出典'!$C$37*'契約別単価'!L6+'前提と出典'!$C$38*'契約別単価'!L7)</ns0:f>
        <ns0:v>124861.7588501165</ns0:v>
      </ns0:c>
      <ns0:c r="M368" s="16">
        <ns0:f>IF(('前提と出典'!$C$36+'前提と出典'!$C$38)=0,0,IF(B368&lt;=10,'前提と出典'!B73+'前提と出典'!C73,IF(B368&lt;=100,'前提と出典'!B74+'前提と出典'!C74,IF(B368&lt;=500,'前提と出典'!B75+'前提と出典'!C75,'前提と出典'!B76+'前提と出典'!C76))))</ns0:f>
        <ns0:v>40000</ns0:v>
      </ns0:c>
      <ns0:c r="N368" s="16">
        <ns0:f>IF(('前提と出典'!$C$37+'前提と出典'!$C$38)=0,0,IF(C368&lt;=10,'前提と出典'!D73+'前提と出典'!E73,IF(C368&lt;=100,'前提と出典'!D74+'前提と出典'!E74,IF(C368&lt;=500,'前提と出典'!D75+'前提と出典'!E75,'前提と出典'!D76+'前提と出典'!E76))))</ns0:f>
        <ns0:v>56510.9346263078</ns0:v>
      </ns0:c>
      <ns0:c r="O368" s="16">
        <ns0:f>IF('前提と出典'!$C$36+'前提と出典'!$C$38=0,0,'前提と出典'!$B$4*IF('前提と出典'!$B$20=0,MAX('前提と出典'!$B$6,D368*'前提と出典'!$B$5),'前提と出典'!$B$6+D368*'前提と出典'!$B$5))</ns0:f>
        <ns0:v>361445.8994413408</ns0:v>
      </ns0:c>
      <ns0:c r="P368" s="16">
        <ns0:f>(E368+G368)*(1-'前提と出典'!$B$7)-I368-K368-M368-O368</ns0:f>
        <ns0:v>1010407.8609085525</ns0:v>
      </ns0:c>
      <ns0:c r="Q368" s="16">
        <ns0:f>(F368+H368)*(1-'前提と出典'!$B$7)-J368-L368-N368</ns0:f>
        <ns0:v>281568.4017998284</ns0:v>
      </ns0:c>
      <ns0:c r="R368" s="16">
        <ns0:f>P368-E368*'前提と出典'!$E$4</ns0:f>
        <ns0:v>735892.9376906449</ns0:v>
      </ns0:c>
      <ns0:c r="S368" s="16">
        <ns0:f>Q368-F368*'前提と出典'!$E$4</ns0:f>
        <ns0:v>201801.38211888436</ns0:v>
      </ns0:c>
      <ns0:c r="T368" s="7">
        <ns0:f>R368+S368</ns0:f>
        <ns0:v>937694.3198095292</ns0:v>
      </ns0:c>
      <ns0:c r="U368" s="16">
        <ns0:f>P368-E368*'前提と出典'!$E$5</ns0:f>
        <ns0:v>644387.9632846756</ns0:v>
      </ns0:c>
      <ns0:c r="V368" s="16">
        <ns0:f>Q368-F368*'前提と出典'!$E$5</ns0:f>
        <ns0:v>175212.37555856968</ns0:v>
      </ns0:c>
      <ns0:c r="W368" s="7">
        <ns0:f>U368+V368</ns0:f>
        <ns0:v>819600.3388432453</ns0:v>
      </ns0:c>
      <ns0:c r="X368" s="16">
        <ns0:f>P368-E368*'前提と出典'!$E$6</ns0:f>
        <ns0:v>552882.9888787064</ns0:v>
      </ns0:c>
      <ns0:c r="Y368" s="16">
        <ns0:f>Q368-F368*'前提と出典'!$E$6</ns0:f>
        <ns0:v>148623.368998255</ns0:v>
      </ns0:c>
      <ns0:c r="Z368" s="7">
        <ns0:f>X368+Y368</ns0:f>
        <ns0:v>701506.3578769614</ns0:v>
      </ns0:c>
      <ns0:c r="AA368" s="7">
        <ns0:f>IF(T368&gt;=0,A368,1001)</ns0:f>
        <ns0:v>364</ns0:v>
      </ns0:c>
      <ns0:c r="AB368" s="7">
        <ns0:f>IF(T368&lt;0,A368,0)</ns0:f>
        <ns0:v>0</ns0:v>
      </ns0:c>
      <ns0:c r="AC368" s="16">
        <ns0:f>IF(AND(OR('前提と出典'!$C$36+'前提と出典'!$C$38=0,R368&gt;=0),OR('前提と出典'!$C$37+'前提と出典'!$C$38=0,S368&gt;=0)),0,A368)</ns0:f>
        <ns0:v>0</ns0:v>
      </ns0:c>
      <ns0:c r="AD368" s="7">
        <ns0:f>IF(W368&gt;=0,A368,1001)</ns0:f>
        <ns0:v>364</ns0:v>
      </ns0:c>
      <ns0:c r="AE368" s="7">
        <ns0:f>IF(W368&lt;0,A368,0)</ns0:f>
        <ns0:v>0</ns0:v>
      </ns0:c>
      <ns0:c r="AF368" s="16">
        <ns0:f>IF(AND(OR('前提と出典'!$C$36+'前提と出典'!$C$38=0,U368&gt;=0),OR('前提と出典'!$C$37+'前提と出典'!$C$38=0,V368&gt;=0)),0,A368)</ns0:f>
        <ns0:v>0</ns0:v>
      </ns0:c>
      <ns0:c r="AG368" s="7">
        <ns0:f>IF(Z368&gt;=0,A368,1001)</ns0:f>
        <ns0:v>364</ns0:v>
      </ns0:c>
      <ns0:c r="AH368" s="4">
        <ns0:f>IF(Z368&lt;0,A368,0)</ns0:f>
        <ns0:v>0</ns0:v>
      </ns0:c>
      <ns0:c r="AI368" s="12">
        <ns0:f>IF(AND(OR('前提と出典'!$C$36+'前提と出典'!$C$38=0,X368&gt;=0),OR('前提と出典'!$C$37+'前提と出典'!$C$38=0,Y368&gt;=0)),0,A368)</ns0:f>
        <ns0:v>0</ns0:v>
      </ns0:c>
    </ns0:row>
    <ns0:row r="369" ht="24" customHeight="1">
      <ns0:c r="A369" s="4" t="n">
        <ns0:v>365</ns0:v>
      </ns0:c>
      <ns0:c r="B369" s="12">
        <ns0:f>A369*('前提と出典'!$C$36+'前提と出典'!$C$38)</ns0:f>
        <ns0:v>255.49999999999997</ns0:v>
      </ns0:c>
      <ns0:c r="C369" s="12">
        <ns0:f>A369*('前提と出典'!$C$37+'前提と出典'!$C$38)</ns0:f>
        <ns0:v>219</ns0:v>
      </ns0:c>
      <ns0:c r="D369" s="16">
        <ns0:f>A369*('前提と出典'!$C$36*'契約別単価'!C5+'前提と出典'!$C$37*'契約別単価'!C6+'前提と出典'!$C$38*'契約別単価'!C7)</ns0:f>
        <ns0:v>2626.368715083799</ns0:v>
      </ns0:c>
      <ns0:c r="E369" s="16">
        <ns0:f>A369*('前提と出典'!$C$36*'契約別単価'!E5+'前提と出典'!$C$37*'契約別単価'!E6+'前提と出典'!$C$38*'契約別単価'!E7)</ns0:f>
        <ns0:v>917563.6169829334</ns0:v>
      </ns0:c>
      <ns0:c r="F369" s="16">
        <ns0:f>A369*('前提と出典'!$C$36*'契約別単価'!F5+'前提と出典'!$C$37*'契約別単価'!F6+'前提と出典'!$C$38*'契約別単価'!F7)</ns0:f>
        <ns0:v>266620.53281634225</ns0:v>
      </ns0:c>
      <ns0:c r="G369" s="16">
        <ns0:f>A369*('前提と出典'!$C$36*'契約別単価'!G5+'前提と出典'!$C$37*'契約別単価'!G6+'前提と出典'!$C$38*'契約別単価'!G7)</ns0:f>
        <ns0:v>726533.5195530726</ns0:v>
      </ns0:c>
      <ns0:c r="H369" s="16">
        <ns0:f>A369*('前提と出典'!$C$36*'契約別単価'!H5+'前提と出典'!$C$37*'契約別単価'!H6+'前提と出典'!$C$38*'契約別単価'!H7)</ns0:f>
        <ns0:v>252143.56980432884</ns0:v>
      </ns0:c>
      <ns0:c r="I369" s="16">
        <ns0:f>A369*('前提と出典'!$C$36*'契約別単価'!I5+'前提と出典'!$C$37*'契約別単価'!I6+'前提と出典'!$C$38*'契約別単価'!I7)</ns0:f>
        <ns0:v>15401.368715083796</ns0:v>
      </ns0:c>
      <ns0:c r="J369" s="16">
        <ns0:f>A369*('前提と出典'!$C$36*'契約別単価'!J5+'前提と出典'!$C$37*'契約別単価'!J6+'前提と出典'!$C$38*'契約別単価'!J7)</ns0:f>
        <ns0:v>35875.683454260434</ns0:v>
      </ns0:c>
      <ns0:c r="K369" s="16">
        <ns0:f>A369*('前提と出典'!$C$36*'契約別単価'!K5+'前提と出典'!$C$37*'契約別単価'!K6+'前提と出典'!$C$38*'契約別単価'!K7)</ns0:f>
        <ns0:v>153775.79143389198</ns0:v>
      </ns0:c>
      <ns0:c r="L369" s="16">
        <ns0:f>A369*('前提と出典'!$C$36*'契約別単価'!L5+'前提と出典'!$C$37*'契約別単価'!L6+'前提と出典'!$C$38*'契約別単価'!L7)</ns0:f>
        <ns0:v>125204.78566014429</ns0:v>
      </ns0:c>
      <ns0:c r="M369" s="16">
        <ns0:f>IF(('前提と出典'!$C$36+'前提と出典'!$C$38)=0,0,IF(B369&lt;=10,'前提と出典'!B73+'前提と出典'!C73,IF(B369&lt;=100,'前提と出典'!B74+'前提と出典'!C74,IF(B369&lt;=500,'前提と出典'!B75+'前提と出典'!C75,'前提と出典'!B76+'前提と出典'!C76))))</ns0:f>
        <ns0:v>40000</ns0:v>
      </ns0:c>
      <ns0:c r="N369" s="16">
        <ns0:f>IF(('前提と出典'!$C$37+'前提と出典'!$C$38)=0,0,IF(C369&lt;=10,'前提と出典'!D73+'前提と出典'!E73,IF(C369&lt;=100,'前提と出典'!D74+'前提と出典'!E74,IF(C369&lt;=500,'前提と出典'!D75+'前提と出典'!E75,'前提と出典'!D76+'前提と出典'!E76))))</ns0:f>
        <ns0:v>56510.9346263078</ns0:v>
      </ns0:c>
      <ns0:c r="O369" s="16">
        <ns0:f>IF('前提と出典'!$C$36+'前提と出典'!$C$38=0,0,'前提と出典'!$B$4*IF('前提と出典'!$B$20=0,MAX('前提と出典'!$B$6,D369*'前提と出典'!$B$5),'前提と出典'!$B$6+D369*'前提と出典'!$B$5))</ns0:f>
        <ns0:v>362438.88268156425</ns0:v>
      </ns0:c>
      <ns0:c r="P369" s="16">
        <ns0:f>(E369+G369)*(1-'前提と出典'!$B$7)-I369-K369-M369-O369</ns0:f>
        <ns0:v>1013293.5967901698</ns0:v>
      </ns0:c>
      <ns0:c r="Q369" s="16">
        <ns0:f>(F369+H369)*(1-'前提と出典'!$B$7)-J369-L369-N369</ns0:f>
        <ns0:v>282497.19118561444</ns0:v>
      </ns0:c>
      <ns0:c r="R369" s="16">
        <ns0:f>P369-E369*'前提と出典'!$E$4</ns0:f>
        <ns0:v>738024.5116952898</ns0:v>
      </ns0:c>
      <ns0:c r="S369" s="16">
        <ns0:f>Q369-F369*'前提と出典'!$E$4</ns0:f>
        <ns0:v>202511.03134071175</ns0:v>
      </ns0:c>
      <ns0:c r="T369" s="7">
        <ns0:f>R369+S369</ns0:f>
        <ns0:v>940535.5430360015</ns0:v>
      </ns0:c>
      <ns0:c r="U369" s="16">
        <ns0:f>P369-E369*'前提と出典'!$E$5</ns0:f>
        <ns0:v>646268.1499969964</ns0:v>
      </ns0:c>
      <ns0:c r="V369" s="16">
        <ns0:f>Q369-F369*'前提と出典'!$E$5</ns0:f>
        <ns0:v>175848.97805907752</ns0:v>
      </ns0:c>
      <ns0:c r="W369" s="7">
        <ns0:f>U369+V369</ns0:f>
        <ns0:v>822117.1280560739</ns0:v>
      </ns0:c>
      <ns0:c r="X369" s="16">
        <ns0:f>P369-E369*'前提と出典'!$E$6</ns0:f>
        <ns0:v>554511.7882987033</ns0:v>
      </ns0:c>
      <ns0:c r="Y369" s="16">
        <ns0:f>Q369-F369*'前提と出典'!$E$6</ns0:f>
        <ns0:v>149186.9247774433</ns0:v>
      </ns0:c>
      <ns0:c r="Z369" s="7">
        <ns0:f>X369+Y369</ns0:f>
        <ns0:v>703698.7130761466</ns0:v>
      </ns0:c>
      <ns0:c r="AA369" s="7">
        <ns0:f>IF(T369&gt;=0,A369,1001)</ns0:f>
        <ns0:v>365</ns0:v>
      </ns0:c>
      <ns0:c r="AB369" s="7">
        <ns0:f>IF(T369&lt;0,A369,0)</ns0:f>
        <ns0:v>0</ns0:v>
      </ns0:c>
      <ns0:c r="AC369" s="16">
        <ns0:f>IF(AND(OR('前提と出典'!$C$36+'前提と出典'!$C$38=0,R369&gt;=0),OR('前提と出典'!$C$37+'前提と出典'!$C$38=0,S369&gt;=0)),0,A369)</ns0:f>
        <ns0:v>0</ns0:v>
      </ns0:c>
      <ns0:c r="AD369" s="7">
        <ns0:f>IF(W369&gt;=0,A369,1001)</ns0:f>
        <ns0:v>365</ns0:v>
      </ns0:c>
      <ns0:c r="AE369" s="7">
        <ns0:f>IF(W369&lt;0,A369,0)</ns0:f>
        <ns0:v>0</ns0:v>
      </ns0:c>
      <ns0:c r="AF369" s="16">
        <ns0:f>IF(AND(OR('前提と出典'!$C$36+'前提と出典'!$C$38=0,U369&gt;=0),OR('前提と出典'!$C$37+'前提と出典'!$C$38=0,V369&gt;=0)),0,A369)</ns0:f>
        <ns0:v>0</ns0:v>
      </ns0:c>
      <ns0:c r="AG369" s="7">
        <ns0:f>IF(Z369&gt;=0,A369,1001)</ns0:f>
        <ns0:v>365</ns0:v>
      </ns0:c>
      <ns0:c r="AH369" s="4">
        <ns0:f>IF(Z369&lt;0,A369,0)</ns0:f>
        <ns0:v>0</ns0:v>
      </ns0:c>
      <ns0:c r="AI369" s="12">
        <ns0:f>IF(AND(OR('前提と出典'!$C$36+'前提と出典'!$C$38=0,X369&gt;=0),OR('前提と出典'!$C$37+'前提と出典'!$C$38=0,Y369&gt;=0)),0,A369)</ns0:f>
        <ns0:v>0</ns0:v>
      </ns0:c>
    </ns0:row>
    <ns0:row r="370" ht="24" customHeight="1">
      <ns0:c r="A370" s="4" t="n">
        <ns0:v>366</ns0:v>
      </ns0:c>
      <ns0:c r="B370" s="12">
        <ns0:f>A370*('前提と出典'!$C$36+'前提と出典'!$C$38)</ns0:f>
        <ns0:v>256.2</ns0:v>
      </ns0:c>
      <ns0:c r="C370" s="12">
        <ns0:f>A370*('前提と出典'!$C$37+'前提と出典'!$C$38)</ns0:f>
        <ns0:v>219.6</ns0:v>
      </ns0:c>
      <ns0:c r="D370" s="16">
        <ns0:f>A370*('前提と出典'!$C$36*'契約別単価'!C5+'前提と出典'!$C$37*'契約別単価'!C6+'前提と出典'!$C$38*'契約別単価'!C7)</ns0:f>
        <ns0:v>2633.564245810056</ns0:v>
      </ns0:c>
      <ns0:c r="E370" s="16">
        <ns0:f>A370*('前提と出典'!$C$36*'契約別単価'!E5+'前提と出典'!$C$37*'契約別単価'!E6+'前提と出典'!$C$38*'契約別単価'!E7)</ns0:f>
        <ns0:v>920077.4899061742</ns0:v>
      </ns0:c>
      <ns0:c r="F370" s="16">
        <ns0:f>A370*('前提と出典'!$C$36*'契約別単価'!F5+'前提と出典'!$C$37*'契約別単価'!F6+'前提と出典'!$C$38*'契約別単価'!F7)</ns0:f>
        <ns0:v>267351.0000295377</ns0:v>
      </ns0:c>
      <ns0:c r="G370" s="16">
        <ns0:f>A370*('前提と出典'!$C$36*'契約別単価'!G5+'前提と出典'!$C$37*'契約別単価'!G6+'前提と出典'!$C$38*'契約別単価'!G7)</ns0:f>
        <ns0:v>728524.0223463686</ns0:v>
      </ns0:c>
      <ns0:c r="H370" s="16">
        <ns0:f>A370*('前提と出典'!$C$36*'契約別単価'!H5+'前提と出典'!$C$37*'契約別単価'!H6+'前提と出典'!$C$38*'契約別単価'!H7)</ns0:f>
        <ns0:v>252834.37410516263</ns0:v>
      </ns0:c>
      <ns0:c r="I370" s="16">
        <ns0:f>A370*('前提と出典'!$C$36*'契約別単価'!I5+'前提と出典'!$C$37*'契約別単価'!I6+'前提と出典'!$C$38*'契約別単価'!I7)</ns0:f>
        <ns0:v>15443.564245810054</ns0:v>
      </ns0:c>
      <ns0:c r="J370" s="16">
        <ns0:f>A370*('前提と出典'!$C$36*'契約別単価'!J5+'前提と出典'!$C$37*'契約別単価'!J6+'前提と出典'!$C$38*'契約別単価'!J7)</ns0:f>
        <ns0:v>35973.97299797074</ns0:v>
      </ns0:c>
      <ns0:c r="K370" s="16">
        <ns0:f>A370*('前提と出典'!$C$36*'契約別単価'!K5+'前提と出典'!$C$37*'契約別単価'!K6+'前提と出典'!$C$38*'契約別単価'!K7)</ns0:f>
        <ns0:v>154197.09497206702</ns0:v>
      </ns0:c>
      <ns0:c r="L370" s="16">
        <ns0:f>A370*('前提と出典'!$C$36*'契約別単価'!L5+'前提と出典'!$C$37*'契約別単価'!L6+'前提と出典'!$C$38*'契約別単価'!L7)</ns0:f>
        <ns0:v>125547.81247017208</ns0:v>
      </ns0:c>
      <ns0:c r="M370" s="16">
        <ns0:f>IF(('前提と出典'!$C$36+'前提と出典'!$C$38)=0,0,IF(B370&lt;=10,'前提と出典'!B73+'前提と出典'!C73,IF(B370&lt;=100,'前提と出典'!B74+'前提と出典'!C74,IF(B370&lt;=500,'前提と出典'!B75+'前提と出典'!C75,'前提と出典'!B76+'前提と出典'!C76))))</ns0:f>
        <ns0:v>40000</ns0:v>
      </ns0:c>
      <ns0:c r="N370" s="16">
        <ns0:f>IF(('前提と出典'!$C$37+'前提と出典'!$C$38)=0,0,IF(C370&lt;=10,'前提と出典'!D73+'前提と出典'!E73,IF(C370&lt;=100,'前提と出典'!D74+'前提と出典'!E74,IF(C370&lt;=500,'前提と出典'!D75+'前提と出典'!E75,'前提と出典'!D76+'前提と出典'!E76))))</ns0:f>
        <ns0:v>56510.9346263078</ns0:v>
      </ns0:c>
      <ns0:c r="O370" s="16">
        <ns0:f>IF('前提と出典'!$C$36+'前提と出典'!$C$38=0,0,'前提と出典'!$B$4*IF('前提と出典'!$B$20=0,MAX('前提と出典'!$B$6,D370*'前提と出典'!$B$5),'前提と出典'!$B$6+D370*'前提と出典'!$B$5))</ns0:f>
        <ns0:v>363431.86592178774</ns0:v>
      </ns0:c>
      <ns0:c r="P370" s="16">
        <ns0:f>(E370+G370)*(1-'前提と出典'!$B$7)-I370-K370-M370-O370</ns0:f>
        <ns0:v>1016179.3326717868</ns0:v>
      </ns0:c>
      <ns0:c r="Q370" s="16">
        <ns0:f>(F370+H370)*(1-'前提と出典'!$B$7)-J370-L370-N370</ns0:f>
        <ns0:v>283425.9805714005</ns0:v>
      </ns0:c>
      <ns0:c r="R370" s="16">
        <ns0:f>P370-E370*'前提と出典'!$E$4</ns0:f>
        <ns0:v>740156.0856999343</ns0:v>
      </ns0:c>
      <ns0:c r="S370" s="16">
        <ns0:f>Q370-F370*'前提と出典'!$E$4</ns0:f>
        <ns0:v>203220.6805625392</ns0:v>
      </ns0:c>
      <ns0:c r="T370" s="7">
        <ns0:f>R370+S370</ns0:f>
        <ns0:v>943376.7662624735</ns0:v>
      </ns0:c>
      <ns0:c r="U370" s="16">
        <ns0:f>P370-E370*'前提と出典'!$E$5</ns0:f>
        <ns0:v>648148.336709317</ns0:v>
      </ns0:c>
      <ns0:c r="V370" s="16">
        <ns0:f>Q370-F370*'前提と出典'!$E$5</ns0:f>
        <ns0:v>176485.58055958542</ns0:v>
      </ns0:c>
      <ns0:c r="W370" s="7">
        <ns0:f>U370+V370</ns0:f>
        <ns0:v>824633.9172689025</ns0:v>
      </ns0:c>
      <ns0:c r="X370" s="16">
        <ns0:f>P370-E370*'前提と出典'!$E$6</ns0:f>
        <ns0:v>556140.5877186996</ns0:v>
      </ns0:c>
      <ns0:c r="Y370" s="16">
        <ns0:f>Q370-F370*'前提と出典'!$E$6</ns0:f>
        <ns0:v>149750.48055663164</ns0:v>
      </ns0:c>
      <ns0:c r="Z370" s="7">
        <ns0:f>X370+Y370</ns0:f>
        <ns0:v>705891.0682753313</ns0:v>
      </ns0:c>
      <ns0:c r="AA370" s="7">
        <ns0:f>IF(T370&gt;=0,A370,1001)</ns0:f>
        <ns0:v>366</ns0:v>
      </ns0:c>
      <ns0:c r="AB370" s="7">
        <ns0:f>IF(T370&lt;0,A370,0)</ns0:f>
        <ns0:v>0</ns0:v>
      </ns0:c>
      <ns0:c r="AC370" s="16">
        <ns0:f>IF(AND(OR('前提と出典'!$C$36+'前提と出典'!$C$38=0,R370&gt;=0),OR('前提と出典'!$C$37+'前提と出典'!$C$38=0,S370&gt;=0)),0,A370)</ns0:f>
        <ns0:v>0</ns0:v>
      </ns0:c>
      <ns0:c r="AD370" s="7">
        <ns0:f>IF(W370&gt;=0,A370,1001)</ns0:f>
        <ns0:v>366</ns0:v>
      </ns0:c>
      <ns0:c r="AE370" s="7">
        <ns0:f>IF(W370&lt;0,A370,0)</ns0:f>
        <ns0:v>0</ns0:v>
      </ns0:c>
      <ns0:c r="AF370" s="16">
        <ns0:f>IF(AND(OR('前提と出典'!$C$36+'前提と出典'!$C$38=0,U370&gt;=0),OR('前提と出典'!$C$37+'前提と出典'!$C$38=0,V370&gt;=0)),0,A370)</ns0:f>
        <ns0:v>0</ns0:v>
      </ns0:c>
      <ns0:c r="AG370" s="7">
        <ns0:f>IF(Z370&gt;=0,A370,1001)</ns0:f>
        <ns0:v>366</ns0:v>
      </ns0:c>
      <ns0:c r="AH370" s="4">
        <ns0:f>IF(Z370&lt;0,A370,0)</ns0:f>
        <ns0:v>0</ns0:v>
      </ns0:c>
      <ns0:c r="AI370" s="12">
        <ns0:f>IF(AND(OR('前提と出典'!$C$36+'前提と出典'!$C$38=0,X370&gt;=0),OR('前提と出典'!$C$37+'前提と出典'!$C$38=0,Y370&gt;=0)),0,A370)</ns0:f>
        <ns0:v>0</ns0:v>
      </ns0:c>
    </ns0:row>
    <ns0:row r="371" ht="24" customHeight="1">
      <ns0:c r="A371" s="4" t="n">
        <ns0:v>367</ns0:v>
      </ns0:c>
      <ns0:c r="B371" s="12">
        <ns0:f>A371*('前提と出典'!$C$36+'前提と出典'!$C$38)</ns0:f>
        <ns0:v>256.9</ns0:v>
      </ns0:c>
      <ns0:c r="C371" s="12">
        <ns0:f>A371*('前提と出典'!$C$37+'前提と出典'!$C$38)</ns0:f>
        <ns0:v>220.2</ns0:v>
      </ns0:c>
      <ns0:c r="D371" s="16">
        <ns0:f>A371*('前提と出典'!$C$36*'契約別単価'!C5+'前提と出典'!$C$37*'契約別単価'!C6+'前提と出典'!$C$38*'契約別単価'!C7)</ns0:f>
        <ns0:v>2640.759776536313</ns0:v>
      </ns0:c>
      <ns0:c r="E371" s="16">
        <ns0:f>A371*('前提と出典'!$C$36*'契約別単価'!E5+'前提と出典'!$C$37*'契約別単価'!E6+'前提と出典'!$C$38*'契約別単価'!E7)</ns0:f>
        <ns0:v>922591.3628294151</ns0:v>
      </ns0:c>
      <ns0:c r="F371" s="16">
        <ns0:f>A371*('前提と出典'!$C$36*'契約別単価'!F5+'前提と出典'!$C$37*'契約別単価'!F6+'前提と出典'!$C$38*'契約別単価'!F7)</ns0:f>
        <ns0:v>268081.46724273317</ns0:v>
      </ns0:c>
      <ns0:c r="G371" s="16">
        <ns0:f>A371*('前提と出典'!$C$36*'契約別単価'!G5+'前提と出典'!$C$37*'契約別単価'!G6+'前提と出典'!$C$38*'契約別単価'!G7)</ns0:f>
        <ns0:v>730514.5251396648</ns0:v>
      </ns0:c>
      <ns0:c r="H371" s="16">
        <ns0:f>A371*('前提と出典'!$C$36*'契約別単価'!H5+'前提と出典'!$C$37*'契約別単価'!H6+'前提と出典'!$C$38*'契約別単価'!H7)</ns0:f>
        <ns0:v>253525.1784059964</ns0:v>
      </ns0:c>
      <ns0:c r="I371" s="16">
        <ns0:f>A371*('前提と出典'!$C$36*'契約別単価'!I5+'前提と出典'!$C$37*'契約別単価'!I6+'前提と出典'!$C$38*'契約別単価'!I7)</ns0:f>
        <ns0:v>15485.75977653631</ns0:v>
      </ns0:c>
      <ns0:c r="J371" s="16">
        <ns0:f>A371*('前提と出典'!$C$36*'契約別単価'!J5+'前提と出典'!$C$37*'契約別単価'!J6+'前提と出典'!$C$38*'契約別単価'!J7)</ns0:f>
        <ns0:v>36072.26254168104</ns0:v>
      </ns0:c>
      <ns0:c r="K371" s="16">
        <ns0:f>A371*('前提と出典'!$C$36*'契約別単価'!K5+'前提と出典'!$C$37*'契約別単価'!K6+'前提と出典'!$C$38*'契約別単価'!K7)</ns0:f>
        <ns0:v>154618.39851024208</ns0:v>
      </ns0:c>
      <ns0:c r="L371" s="16">
        <ns0:f>A371*('前提と出典'!$C$36*'契約別単価'!L5+'前提と出典'!$C$37*'契約別単価'!L6+'前提と出典'!$C$38*'契約別単価'!L7)</ns0:f>
        <ns0:v>125890.83928019987</ns0:v>
      </ns0:c>
      <ns0:c r="M371" s="16">
        <ns0:f>IF(('前提と出典'!$C$36+'前提と出典'!$C$38)=0,0,IF(B371&lt;=10,'前提と出典'!B73+'前提と出典'!C73,IF(B371&lt;=100,'前提と出典'!B74+'前提と出典'!C74,IF(B371&lt;=500,'前提と出典'!B75+'前提と出典'!C75,'前提と出典'!B76+'前提と出典'!C76))))</ns0:f>
        <ns0:v>40000</ns0:v>
      </ns0:c>
      <ns0:c r="N371" s="16">
        <ns0:f>IF(('前提と出典'!$C$37+'前提と出典'!$C$38)=0,0,IF(C371&lt;=10,'前提と出典'!D73+'前提と出典'!E73,IF(C371&lt;=100,'前提と出典'!D74+'前提と出典'!E74,IF(C371&lt;=500,'前提と出典'!D75+'前提と出典'!E75,'前提と出典'!D76+'前提と出典'!E76))))</ns0:f>
        <ns0:v>56510.9346263078</ns0:v>
      </ns0:c>
      <ns0:c r="O371" s="16">
        <ns0:f>IF('前提と出典'!$C$36+'前提と出典'!$C$38=0,0,'前提と出典'!$B$4*IF('前提と出典'!$B$20=0,MAX('前提と出典'!$B$6,D371*'前提と出典'!$B$5),'前提と出典'!$B$6+D371*'前提と出典'!$B$5))</ns0:f>
        <ns0:v>364424.84916201123</ns0:v>
      </ns0:c>
      <ns0:c r="P371" s="16">
        <ns0:f>(E371+G371)*(1-'前提と出典'!$B$7)-I371-K371-M371-O371</ns0:f>
        <ns0:v>1019065.0685534033</ns0:v>
      </ns0:c>
      <ns0:c r="Q371" s="16">
        <ns0:f>(F371+H371)*(1-'前提と出典'!$B$7)-J371-L371-N371</ns0:f>
        <ns0:v>284354.76995718654</ns0:v>
      </ns0:c>
      <ns0:c r="R371" s="16">
        <ns0:f>P371-E371*'前提と出典'!$E$4</ns0:f>
        <ns0:v>742287.6597045788</ns0:v>
      </ns0:c>
      <ns0:c r="S371" s="16">
        <ns0:f>Q371-F371*'前提と出典'!$E$4</ns0:f>
        <ns0:v>203930.32978436662</ns0:v>
      </ns0:c>
      <ns0:c r="T371" s="7">
        <ns0:f>R371+S371</ns0:f>
        <ns0:v>946217.9894889455</ns0:v>
      </ns0:c>
      <ns0:c r="U371" s="16">
        <ns0:f>P371-E371*'前提と出典'!$E$5</ns0:f>
        <ns0:v>650028.5234216372</ns0:v>
      </ns0:c>
      <ns0:c r="V371" s="16">
        <ns0:f>Q371-F371*'前提と出典'!$E$5</ns0:f>
        <ns0:v>177122.1830600933</ns0:v>
      </ns0:c>
      <ns0:c r="W371" s="7">
        <ns0:f>U371+V371</ns0:f>
        <ns0:v>827150.7064817306</ns0:v>
      </ns0:c>
      <ns0:c r="X371" s="16">
        <ns0:f>P371-E371*'前提と出典'!$E$6</ns0:f>
        <ns0:v>557769.3871386957</ns0:v>
      </ns0:c>
      <ns0:c r="Y371" s="16">
        <ns0:f>Q371-F371*'前提と出典'!$E$6</ns0:f>
        <ns0:v>150314.03633581995</ns0:v>
      </ns0:c>
      <ns0:c r="Z371" s="7">
        <ns0:f>X371+Y371</ns0:f>
        <ns0:v>708083.4234745157</ns0:v>
      </ns0:c>
      <ns0:c r="AA371" s="7">
        <ns0:f>IF(T371&gt;=0,A371,1001)</ns0:f>
        <ns0:v>367</ns0:v>
      </ns0:c>
      <ns0:c r="AB371" s="7">
        <ns0:f>IF(T371&lt;0,A371,0)</ns0:f>
        <ns0:v>0</ns0:v>
      </ns0:c>
      <ns0:c r="AC371" s="16">
        <ns0:f>IF(AND(OR('前提と出典'!$C$36+'前提と出典'!$C$38=0,R371&gt;=0),OR('前提と出典'!$C$37+'前提と出典'!$C$38=0,S371&gt;=0)),0,A371)</ns0:f>
        <ns0:v>0</ns0:v>
      </ns0:c>
      <ns0:c r="AD371" s="7">
        <ns0:f>IF(W371&gt;=0,A371,1001)</ns0:f>
        <ns0:v>367</ns0:v>
      </ns0:c>
      <ns0:c r="AE371" s="7">
        <ns0:f>IF(W371&lt;0,A371,0)</ns0:f>
        <ns0:v>0</ns0:v>
      </ns0:c>
      <ns0:c r="AF371" s="16">
        <ns0:f>IF(AND(OR('前提と出典'!$C$36+'前提と出典'!$C$38=0,U371&gt;=0),OR('前提と出典'!$C$37+'前提と出典'!$C$38=0,V371&gt;=0)),0,A371)</ns0:f>
        <ns0:v>0</ns0:v>
      </ns0:c>
      <ns0:c r="AG371" s="7">
        <ns0:f>IF(Z371&gt;=0,A371,1001)</ns0:f>
        <ns0:v>367</ns0:v>
      </ns0:c>
      <ns0:c r="AH371" s="4">
        <ns0:f>IF(Z371&lt;0,A371,0)</ns0:f>
        <ns0:v>0</ns0:v>
      </ns0:c>
      <ns0:c r="AI371" s="12">
        <ns0:f>IF(AND(OR('前提と出典'!$C$36+'前提と出典'!$C$38=0,X371&gt;=0),OR('前提と出典'!$C$37+'前提と出典'!$C$38=0,Y371&gt;=0)),0,A371)</ns0:f>
        <ns0:v>0</ns0:v>
      </ns0:c>
    </ns0:row>
    <ns0:row r="372" ht="24" customHeight="1">
      <ns0:c r="A372" s="4" t="n">
        <ns0:v>368</ns0:v>
      </ns0:c>
      <ns0:c r="B372" s="12">
        <ns0:f>A372*('前提と出典'!$C$36+'前提と出典'!$C$38)</ns0:f>
        <ns0:v>257.59999999999997</ns0:v>
      </ns0:c>
      <ns0:c r="C372" s="12">
        <ns0:f>A372*('前提と出典'!$C$37+'前提と出典'!$C$38)</ns0:f>
        <ns0:v>220.79999999999998</ns0:v>
      </ns0:c>
      <ns0:c r="D372" s="16">
        <ns0:f>A372*('前提と出典'!$C$36*'契約別単価'!C5+'前提と出典'!$C$37*'契約別単価'!C6+'前提と出典'!$C$38*'契約別単価'!C7)</ns0:f>
        <ns0:v>2647.95530726257</ns0:v>
      </ns0:c>
      <ns0:c r="E372" s="16">
        <ns0:f>A372*('前提と出典'!$C$36*'契約別単価'!E5+'前提と出典'!$C$37*'契約別単価'!E6+'前提と出典'!$C$38*'契約別単価'!E7)</ns0:f>
        <ns0:v>925105.2357526561</ns0:v>
      </ns0:c>
      <ns0:c r="F372" s="16">
        <ns0:f>A372*('前提と出典'!$C$36*'契約別単価'!F5+'前提と出典'!$C$37*'契約別単価'!F6+'前提と出典'!$C$38*'契約別単価'!F7)</ns0:f>
        <ns0:v>268811.9344559286</ns0:v>
      </ns0:c>
      <ns0:c r="G372" s="16">
        <ns0:f>A372*('前提と出典'!$C$36*'契約別単価'!G5+'前提と出典'!$C$37*'契約別単価'!G6+'前提と出典'!$C$38*'契約別単価'!G7)</ns0:f>
        <ns0:v>732505.0279329609</ns0:v>
      </ns0:c>
      <ns0:c r="H372" s="16">
        <ns0:f>A372*('前提と出典'!$C$36*'契約別単価'!H5+'前提と出典'!$C$37*'契約別単価'!H6+'前提と出典'!$C$38*'契約別単価'!H7)</ns0:f>
        <ns0:v>254215.9827068302</ns0:v>
      </ns0:c>
      <ns0:c r="I372" s="16">
        <ns0:f>A372*('前提と出典'!$C$36*'契約別単価'!I5+'前提と出典'!$C$37*'契約別単価'!I6+'前提と出典'!$C$38*'契約別単価'!I7)</ns0:f>
        <ns0:v>15527.955307262568</ns0:v>
      </ns0:c>
      <ns0:c r="J372" s="16">
        <ns0:f>A372*('前提と出典'!$C$36*'契約別単価'!J5+'前提と出典'!$C$37*'契約別単価'!J6+'前提と出典'!$C$38*'契約別単価'!J7)</ns0:f>
        <ns0:v>36170.55208539135</ns0:v>
      </ns0:c>
      <ns0:c r="K372" s="16">
        <ns0:f>A372*('前提と出典'!$C$36*'契約別単価'!K5+'前提と出典'!$C$37*'契約別単価'!K6+'前提と出典'!$C$38*'契約別単価'!K7)</ns0:f>
        <ns0:v>155039.70204841712</ns0:v>
      </ns0:c>
      <ns0:c r="L372" s="16">
        <ns0:f>A372*('前提と出典'!$C$36*'契約別単価'!L5+'前提と出典'!$C$37*'契約別単価'!L6+'前提と出典'!$C$38*'契約別単価'!L7)</ns0:f>
        <ns0:v>126233.86609022768</ns0:v>
      </ns0:c>
      <ns0:c r="M372" s="16">
        <ns0:f>IF(('前提と出典'!$C$36+'前提と出典'!$C$38)=0,0,IF(B372&lt;=10,'前提と出典'!B73+'前提と出典'!C73,IF(B372&lt;=100,'前提と出典'!B74+'前提と出典'!C74,IF(B372&lt;=500,'前提と出典'!B75+'前提と出典'!C75,'前提と出典'!B76+'前提と出典'!C76))))</ns0:f>
        <ns0:v>40000</ns0:v>
      </ns0:c>
      <ns0:c r="N372" s="16">
        <ns0:f>IF(('前提と出典'!$C$37+'前提と出典'!$C$38)=0,0,IF(C372&lt;=10,'前提と出典'!D73+'前提と出典'!E73,IF(C372&lt;=100,'前提と出典'!D74+'前提と出典'!E74,IF(C372&lt;=500,'前提と出典'!D75+'前提と出典'!E75,'前提と出典'!D76+'前提と出典'!E76))))</ns0:f>
        <ns0:v>56510.9346263078</ns0:v>
      </ns0:c>
      <ns0:c r="O372" s="16">
        <ns0:f>IF('前提と出典'!$C$36+'前提と出典'!$C$38=0,0,'前提と出典'!$B$4*IF('前提と出典'!$B$20=0,MAX('前提と出典'!$B$6,D372*'前提と出典'!$B$5),'前提と出典'!$B$6+D372*'前提と出典'!$B$5))</ns0:f>
        <ns0:v>365417.8324022347</ns0:v>
      </ns0:c>
      <ns0:c r="P372" s="16">
        <ns0:f>(E372+G372)*(1-'前提と出典'!$B$7)-I372-K372-M372-O372</ns0:f>
        <ns0:v>1021950.8044350205</ns0:v>
      </ns0:c>
      <ns0:c r="Q372" s="16">
        <ns0:f>(F372+H372)*(1-'前提と出典'!$B$7)-J372-L372-N372</ns0:f>
        <ns0:v>285283.5593429726</ns0:v>
      </ns0:c>
      <ns0:c r="R372" s="16">
        <ns0:f>P372-E372*'前提と出典'!$E$4</ns0:f>
        <ns0:v>744419.2337092238</ns0:v>
      </ns0:c>
      <ns0:c r="S372" s="16">
        <ns0:f>Q372-F372*'前提と出典'!$E$4</ns0:f>
        <ns0:v>204639.97900619404</ns0:v>
      </ns0:c>
      <ns0:c r="T372" s="7">
        <ns0:f>R372+S372</ns0:f>
        <ns0:v>949059.2127154178</ns0:v>
      </ns0:c>
      <ns0:c r="U372" s="16">
        <ns0:f>P372-E372*'前提と出典'!$E$5</ns0:f>
        <ns0:v>651908.7101339581</ns0:v>
      </ns0:c>
      <ns0:c r="V372" s="16">
        <ns0:f>Q372-F372*'前提と出典'!$E$5</ns0:f>
        <ns0:v>177758.78556060116</ns0:v>
      </ns0:c>
      <ns0:c r="W372" s="7">
        <ns0:f>U372+V372</ns0:f>
        <ns0:v>829667.4956945593</ns0:v>
      </ns0:c>
      <ns0:c r="X372" s="16">
        <ns0:f>P372-E372*'前提と出典'!$E$6</ns0:f>
        <ns0:v>559398.1865586925</ns0:v>
      </ns0:c>
      <ns0:c r="Y372" s="16">
        <ns0:f>Q372-F372*'前提と出典'!$E$6</ns0:f>
        <ns0:v>150877.59211500833</ns0:v>
      </ns0:c>
      <ns0:c r="Z372" s="7">
        <ns0:f>X372+Y372</ns0:f>
        <ns0:v>710275.7786737008</ns0:v>
      </ns0:c>
      <ns0:c r="AA372" s="7">
        <ns0:f>IF(T372&gt;=0,A372,1001)</ns0:f>
        <ns0:v>368</ns0:v>
      </ns0:c>
      <ns0:c r="AB372" s="7">
        <ns0:f>IF(T372&lt;0,A372,0)</ns0:f>
        <ns0:v>0</ns0:v>
      </ns0:c>
      <ns0:c r="AC372" s="16">
        <ns0:f>IF(AND(OR('前提と出典'!$C$36+'前提と出典'!$C$38=0,R372&gt;=0),OR('前提と出典'!$C$37+'前提と出典'!$C$38=0,S372&gt;=0)),0,A372)</ns0:f>
        <ns0:v>0</ns0:v>
      </ns0:c>
      <ns0:c r="AD372" s="7">
        <ns0:f>IF(W372&gt;=0,A372,1001)</ns0:f>
        <ns0:v>368</ns0:v>
      </ns0:c>
      <ns0:c r="AE372" s="7">
        <ns0:f>IF(W372&lt;0,A372,0)</ns0:f>
        <ns0:v>0</ns0:v>
      </ns0:c>
      <ns0:c r="AF372" s="16">
        <ns0:f>IF(AND(OR('前提と出典'!$C$36+'前提と出典'!$C$38=0,U372&gt;=0),OR('前提と出典'!$C$37+'前提と出典'!$C$38=0,V372&gt;=0)),0,A372)</ns0:f>
        <ns0:v>0</ns0:v>
      </ns0:c>
      <ns0:c r="AG372" s="7">
        <ns0:f>IF(Z372&gt;=0,A372,1001)</ns0:f>
        <ns0:v>368</ns0:v>
      </ns0:c>
      <ns0:c r="AH372" s="4">
        <ns0:f>IF(Z372&lt;0,A372,0)</ns0:f>
        <ns0:v>0</ns0:v>
      </ns0:c>
      <ns0:c r="AI372" s="12">
        <ns0:f>IF(AND(OR('前提と出典'!$C$36+'前提と出典'!$C$38=0,X372&gt;=0),OR('前提と出典'!$C$37+'前提と出典'!$C$38=0,Y372&gt;=0)),0,A372)</ns0:f>
        <ns0:v>0</ns0:v>
      </ns0:c>
    </ns0:row>
    <ns0:row r="373" ht="24" customHeight="1">
      <ns0:c r="A373" s="4" t="n">
        <ns0:v>369</ns0:v>
      </ns0:c>
      <ns0:c r="B373" s="12">
        <ns0:f>A373*('前提と出典'!$C$36+'前提と出典'!$C$38)</ns0:f>
        <ns0:v>258.3</ns0:v>
      </ns0:c>
      <ns0:c r="C373" s="12">
        <ns0:f>A373*('前提と出典'!$C$37+'前提と出典'!$C$38)</ns0:f>
        <ns0:v>221.4</ns0:v>
      </ns0:c>
      <ns0:c r="D373" s="16">
        <ns0:f>A373*('前提と出典'!$C$36*'契約別単価'!C5+'前提と出典'!$C$37*'契約別単価'!C6+'前提と出典'!$C$38*'契約別単価'!C7)</ns0:f>
        <ns0:v>2655.150837988827</ns0:v>
      </ns0:c>
      <ns0:c r="E373" s="16">
        <ns0:f>A373*('前提と出典'!$C$36*'契約別単価'!E5+'前提と出典'!$C$37*'契約別単価'!E6+'前提と出典'!$C$38*'契約別単価'!E7)</ns0:f>
        <ns0:v>927619.108675897</ns0:v>
      </ns0:c>
      <ns0:c r="F373" s="16">
        <ns0:f>A373*('前提と出典'!$C$36*'契約別単価'!F5+'前提と出典'!$C$37*'契約別単価'!F6+'前提と出典'!$C$38*'契約別単価'!F7)</ns0:f>
        <ns0:v>269542.4016691241</ns0:v>
      </ns0:c>
      <ns0:c r="G373" s="16">
        <ns0:f>A373*('前提と出典'!$C$36*'契約別単価'!G5+'前提と出典'!$C$37*'契約別単価'!G6+'前提と出典'!$C$38*'契約別単価'!G7)</ns0:f>
        <ns0:v>734495.5307262569</ns0:v>
      </ns0:c>
      <ns0:c r="H373" s="16">
        <ns0:f>A373*('前提と出典'!$C$36*'契約別単価'!H5+'前提と出典'!$C$37*'契約別単価'!H6+'前提と出典'!$C$38*'契約別単価'!H7)</ns0:f>
        <ns0:v>254906.78700766398</ns0:v>
      </ns0:c>
      <ns0:c r="I373" s="16">
        <ns0:f>A373*('前提と出典'!$C$36*'契約別単価'!I5+'前提と出典'!$C$37*'契約別単価'!I6+'前提と出典'!$C$38*'契約別単価'!I7)</ns0:f>
        <ns0:v>15570.150837988824</ns0:v>
      </ns0:c>
      <ns0:c r="J373" s="16">
        <ns0:f>A373*('前提と出典'!$C$36*'契約別単価'!J5+'前提と出典'!$C$37*'契約別単価'!J6+'前提と出典'!$C$38*'契約別単価'!J7)</ns0:f>
        <ns0:v>36268.84162910165</ns0:v>
      </ns0:c>
      <ns0:c r="K373" s="16">
        <ns0:f>A373*('前提と出典'!$C$36*'契約別単価'!K5+'前提と出典'!$C$37*'契約別単価'!K6+'前提と出典'!$C$38*'契約別単価'!K7)</ns0:f>
        <ns0:v>155461.00558659216</ns0:v>
      </ns0:c>
      <ns0:c r="L373" s="16">
        <ns0:f>A373*('前提と出典'!$C$36*'契約別単価'!L5+'前提と出典'!$C$37*'契約別単価'!L6+'前提と出典'!$C$38*'契約別単価'!L7)</ns0:f>
        <ns0:v>126576.89290025547</ns0:v>
      </ns0:c>
      <ns0:c r="M373" s="16">
        <ns0:f>IF(('前提と出典'!$C$36+'前提と出典'!$C$38)=0,0,IF(B373&lt;=10,'前提と出典'!B73+'前提と出典'!C73,IF(B373&lt;=100,'前提と出典'!B74+'前提と出典'!C74,IF(B373&lt;=500,'前提と出典'!B75+'前提と出典'!C75,'前提と出典'!B76+'前提と出典'!C76))))</ns0:f>
        <ns0:v>40000</ns0:v>
      </ns0:c>
      <ns0:c r="N373" s="16">
        <ns0:f>IF(('前提と出典'!$C$37+'前提と出典'!$C$38)=0,0,IF(C373&lt;=10,'前提と出典'!D73+'前提と出典'!E73,IF(C373&lt;=100,'前提と出典'!D74+'前提と出典'!E74,IF(C373&lt;=500,'前提と出典'!D75+'前提と出典'!E75,'前提と出典'!D76+'前提と出典'!E76))))</ns0:f>
        <ns0:v>56510.9346263078</ns0:v>
      </ns0:c>
      <ns0:c r="O373" s="16">
        <ns0:f>IF('前提と出典'!$C$36+'前提と出典'!$C$38=0,0,'前提と出典'!$B$4*IF('前提と出典'!$B$20=0,MAX('前提と出典'!$B$6,D373*'前提と出典'!$B$5),'前提と出典'!$B$6+D373*'前提と出典'!$B$5))</ns0:f>
        <ns0:v>366410.8156424581</ns0:v>
      </ns0:c>
      <ns0:c r="P373" s="16">
        <ns0:f>(E373+G373)*(1-'前提と出典'!$B$7)-I373-K373-M373-O373</ns0:f>
        <ns0:v>1024836.5403166371</ns0:v>
      </ns0:c>
      <ns0:c r="Q373" s="16">
        <ns0:f>(F373+H373)*(1-'前提と出典'!$B$7)-J373-L373-N373</ns0:f>
        <ns0:v>286212.34872875875</ns0:v>
      </ns0:c>
      <ns0:c r="R373" s="16">
        <ns0:f>P373-E373*'前提と出典'!$E$4</ns0:f>
        <ns0:v>746550.8077138681</ns0:v>
      </ns0:c>
      <ns0:c r="S373" s="16">
        <ns0:f>Q373-F373*'前提と出典'!$E$4</ns0:f>
        <ns0:v>205349.62822802155</ns0:v>
      </ns0:c>
      <ns0:c r="T373" s="7">
        <ns0:f>R373+S373</ns0:f>
        <ns0:v>951900.4359418896</ns0:v>
      </ns0:c>
      <ns0:c r="U373" s="16">
        <ns0:f>P373-E373*'前提と出典'!$E$5</ns0:f>
        <ns0:v>653788.8968462783</ns0:v>
      </ns0:c>
      <ns0:c r="V373" s="16">
        <ns0:f>Q373-F373*'前提と出典'!$E$5</ns0:f>
        <ns0:v>178395.38806110912</ns0:v>
      </ns0:c>
      <ns0:c r="W373" s="7">
        <ns0:f>U373+V373</ns0:f>
        <ns0:v>832184.2849073875</ns0:v>
      </ns0:c>
      <ns0:c r="X373" s="16">
        <ns0:f>P373-E373*'前提と出典'!$E$6</ns0:f>
        <ns0:v>561026.9859786888</ns0:v>
      </ns0:c>
      <ns0:c r="Y373" s="16">
        <ns0:f>Q373-F373*'前提と出典'!$E$6</ns0:f>
        <ns0:v>151441.14789419668</ns0:v>
      </ns0:c>
      <ns0:c r="Z373" s="7">
        <ns0:f>X373+Y373</ns0:f>
        <ns0:v>712468.1338728855</ns0:v>
      </ns0:c>
      <ns0:c r="AA373" s="7">
        <ns0:f>IF(T373&gt;=0,A373,1001)</ns0:f>
        <ns0:v>369</ns0:v>
      </ns0:c>
      <ns0:c r="AB373" s="7">
        <ns0:f>IF(T373&lt;0,A373,0)</ns0:f>
        <ns0:v>0</ns0:v>
      </ns0:c>
      <ns0:c r="AC373" s="16">
        <ns0:f>IF(AND(OR('前提と出典'!$C$36+'前提と出典'!$C$38=0,R373&gt;=0),OR('前提と出典'!$C$37+'前提と出典'!$C$38=0,S373&gt;=0)),0,A373)</ns0:f>
        <ns0:v>0</ns0:v>
      </ns0:c>
      <ns0:c r="AD373" s="7">
        <ns0:f>IF(W373&gt;=0,A373,1001)</ns0:f>
        <ns0:v>369</ns0:v>
      </ns0:c>
      <ns0:c r="AE373" s="7">
        <ns0:f>IF(W373&lt;0,A373,0)</ns0:f>
        <ns0:v>0</ns0:v>
      </ns0:c>
      <ns0:c r="AF373" s="16">
        <ns0:f>IF(AND(OR('前提と出典'!$C$36+'前提と出典'!$C$38=0,U373&gt;=0),OR('前提と出典'!$C$37+'前提と出典'!$C$38=0,V373&gt;=0)),0,A373)</ns0:f>
        <ns0:v>0</ns0:v>
      </ns0:c>
      <ns0:c r="AG373" s="7">
        <ns0:f>IF(Z373&gt;=0,A373,1001)</ns0:f>
        <ns0:v>369</ns0:v>
      </ns0:c>
      <ns0:c r="AH373" s="4">
        <ns0:f>IF(Z373&lt;0,A373,0)</ns0:f>
        <ns0:v>0</ns0:v>
      </ns0:c>
      <ns0:c r="AI373" s="12">
        <ns0:f>IF(AND(OR('前提と出典'!$C$36+'前提と出典'!$C$38=0,X373&gt;=0),OR('前提と出典'!$C$37+'前提と出典'!$C$38=0,Y373&gt;=0)),0,A373)</ns0:f>
        <ns0:v>0</ns0:v>
      </ns0:c>
    </ns0:row>
    <ns0:row r="374" ht="24" customHeight="1">
      <ns0:c r="A374" s="4" t="n">
        <ns0:v>370</ns0:v>
      </ns0:c>
      <ns0:c r="B374" s="12">
        <ns0:f>A374*('前提と出典'!$C$36+'前提と出典'!$C$38)</ns0:f>
        <ns0:v>259</ns0:v>
      </ns0:c>
      <ns0:c r="C374" s="12">
        <ns0:f>A374*('前提と出典'!$C$37+'前提と出典'!$C$38)</ns0:f>
        <ns0:v>222</ns0:v>
      </ns0:c>
      <ns0:c r="D374" s="16">
        <ns0:f>A374*('前提と出典'!$C$36*'契約別単価'!C5+'前提と出典'!$C$37*'契約別単価'!C6+'前提と出典'!$C$38*'契約別単価'!C7)</ns0:f>
        <ns0:v>2662.346368715084</ns0:v>
      </ns0:c>
      <ns0:c r="E374" s="16">
        <ns0:f>A374*('前提と出典'!$C$36*'契約別単価'!E5+'前提と出典'!$C$37*'契約別単価'!E6+'前提と出典'!$C$38*'契約別単価'!E7)</ns0:f>
        <ns0:v>930132.9815991379</ns0:v>
      </ns0:c>
      <ns0:c r="F374" s="16">
        <ns0:f>A374*('前提と出典'!$C$36*'契約別単価'!F5+'前提と出典'!$C$37*'契約別単価'!F6+'前提と出典'!$C$38*'契約別単価'!F7)</ns0:f>
        <ns0:v>270272.86888231954</ns0:v>
      </ns0:c>
      <ns0:c r="G374" s="16">
        <ns0:f>A374*('前提と出典'!$C$36*'契約別単価'!G5+'前提と出典'!$C$37*'契約別単価'!G6+'前提と出典'!$C$38*'契約別単価'!G7)</ns0:f>
        <ns0:v>736486.033519553</ns0:v>
      </ns0:c>
      <ns0:c r="H374" s="16">
        <ns0:f>A374*('前提と出典'!$C$36*'契約別単価'!H5+'前提と出典'!$C$37*'契約別単価'!H6+'前提と出典'!$C$38*'契約別単価'!H7)</ns0:f>
        <ns0:v>255597.59130849774</ns0:v>
      </ns0:c>
      <ns0:c r="I374" s="16">
        <ns0:f>A374*('前提と出典'!$C$36*'契約別単価'!I5+'前提と出典'!$C$37*'契約別単価'!I6+'前提と出典'!$C$38*'契約別単価'!I7)</ns0:f>
        <ns0:v>15612.346368715082</ns0:v>
      </ns0:c>
      <ns0:c r="J374" s="16">
        <ns0:f>A374*('前提と出典'!$C$36*'契約別単価'!J5+'前提と出典'!$C$37*'契約別単価'!J6+'前提と出典'!$C$38*'契約別単価'!J7)</ns0:f>
        <ns0:v>36367.13117281195</ns0:v>
      </ns0:c>
      <ns0:c r="K374" s="16">
        <ns0:f>A374*('前提と出典'!$C$36*'契約別単価'!K5+'前提と出典'!$C$37*'契約別単価'!K6+'前提と出典'!$C$38*'契約別単価'!K7)</ns0:f>
        <ns0:v>155882.30912476723</ns0:v>
      </ns0:c>
      <ns0:c r="L374" s="16">
        <ns0:f>A374*('前提と出典'!$C$36*'契約別単価'!L5+'前提と出典'!$C$37*'契約別単価'!L6+'前提と出典'!$C$38*'契約別単価'!L7)</ns0:f>
        <ns0:v>126919.91971028325</ns0:v>
      </ns0:c>
      <ns0:c r="M374" s="16">
        <ns0:f>IF(('前提と出典'!$C$36+'前提と出典'!$C$38)=0,0,IF(B374&lt;=10,'前提と出典'!B73+'前提と出典'!C73,IF(B374&lt;=100,'前提と出典'!B74+'前提と出典'!C74,IF(B374&lt;=500,'前提と出典'!B75+'前提と出典'!C75,'前提と出典'!B76+'前提と出典'!C76))))</ns0:f>
        <ns0:v>40000</ns0:v>
      </ns0:c>
      <ns0:c r="N374" s="16">
        <ns0:f>IF(('前提と出典'!$C$37+'前提と出典'!$C$38)=0,0,IF(C374&lt;=10,'前提と出典'!D73+'前提と出典'!E73,IF(C374&lt;=100,'前提と出典'!D74+'前提と出典'!E74,IF(C374&lt;=500,'前提と出典'!D75+'前提と出典'!E75,'前提と出典'!D76+'前提と出典'!E76))))</ns0:f>
        <ns0:v>56510.9346263078</ns0:v>
      </ns0:c>
      <ns0:c r="O374" s="16">
        <ns0:f>IF('前提と出典'!$C$36+'前提と出典'!$C$38=0,0,'前提と出典'!$B$4*IF('前提と出典'!$B$20=0,MAX('前提と出典'!$B$6,D374*'前提と出典'!$B$5),'前提と出典'!$B$6+D374*'前提と出典'!$B$5))</ns0:f>
        <ns0:v>367403.7988826816</ns0:v>
      </ns0:c>
      <ns0:c r="P374" s="16">
        <ns0:f>(E374+G374)*(1-'前提と出典'!$B$7)-I374-K374-M374-O374</ns0:f>
        <ns0:v>1027722.276198254</ns0:v>
      </ns0:c>
      <ns0:c r="Q374" s="16">
        <ns0:f>(F374+H374)*(1-'前提と出典'!$B$7)-J374-L374-N374</ns0:f>
        <ns0:v>287141.1381145448</ns0:v>
      </ns0:c>
      <ns0:c r="R374" s="16">
        <ns0:f>P374-E374*'前提と出典'!$E$4</ns0:f>
        <ns0:v>748682.3817185126</ns0:v>
      </ns0:c>
      <ns0:c r="S374" s="16">
        <ns0:f>Q374-F374*'前提と出典'!$E$4</ns0:f>
        <ns0:v>206059.27744984895</ns0:v>
      </ns0:c>
      <ns0:c r="T374" s="7">
        <ns0:f>R374+S374</ns0:f>
        <ns0:v>954741.6591683616</ns0:v>
      </ns0:c>
      <ns0:c r="U374" s="16">
        <ns0:f>P374-E374*'前提と出典'!$E$5</ns0:f>
        <ns0:v>655669.0835585988</ns0:v>
      </ns0:c>
      <ns0:c r="V374" s="16">
        <ns0:f>Q374-F374*'前提と出典'!$E$5</ns0:f>
        <ns0:v>179031.99056161699</ns0:v>
      </ns0:c>
      <ns0:c r="W374" s="7">
        <ns0:f>U374+V374</ns0:f>
        <ns0:v>834701.0741202157</ns0:v>
      </ns0:c>
      <ns0:c r="X374" s="16">
        <ns0:f>P374-E374*'前提と出典'!$E$6</ns0:f>
        <ns0:v>562655.7853986854</ns0:v>
      </ns0:c>
      <ns0:c r="Y374" s="16">
        <ns0:f>Q374-F374*'前提と出典'!$E$6</ns0:f>
        <ns0:v>152004.70367338505</ns0:v>
      </ns0:c>
      <ns0:c r="Z374" s="7">
        <ns0:f>X374+Y374</ns0:f>
        <ns0:v>714660.4890720705</ns0:v>
      </ns0:c>
      <ns0:c r="AA374" s="7">
        <ns0:f>IF(T374&gt;=0,A374,1001)</ns0:f>
        <ns0:v>370</ns0:v>
      </ns0:c>
      <ns0:c r="AB374" s="7">
        <ns0:f>IF(T374&lt;0,A374,0)</ns0:f>
        <ns0:v>0</ns0:v>
      </ns0:c>
      <ns0:c r="AC374" s="16">
        <ns0:f>IF(AND(OR('前提と出典'!$C$36+'前提と出典'!$C$38=0,R374&gt;=0),OR('前提と出典'!$C$37+'前提と出典'!$C$38=0,S374&gt;=0)),0,A374)</ns0:f>
        <ns0:v>0</ns0:v>
      </ns0:c>
      <ns0:c r="AD374" s="7">
        <ns0:f>IF(W374&gt;=0,A374,1001)</ns0:f>
        <ns0:v>370</ns0:v>
      </ns0:c>
      <ns0:c r="AE374" s="7">
        <ns0:f>IF(W374&lt;0,A374,0)</ns0:f>
        <ns0:v>0</ns0:v>
      </ns0:c>
      <ns0:c r="AF374" s="16">
        <ns0:f>IF(AND(OR('前提と出典'!$C$36+'前提と出典'!$C$38=0,U374&gt;=0),OR('前提と出典'!$C$37+'前提と出典'!$C$38=0,V374&gt;=0)),0,A374)</ns0:f>
        <ns0:v>0</ns0:v>
      </ns0:c>
      <ns0:c r="AG374" s="7">
        <ns0:f>IF(Z374&gt;=0,A374,1001)</ns0:f>
        <ns0:v>370</ns0:v>
      </ns0:c>
      <ns0:c r="AH374" s="4">
        <ns0:f>IF(Z374&lt;0,A374,0)</ns0:f>
        <ns0:v>0</ns0:v>
      </ns0:c>
      <ns0:c r="AI374" s="12">
        <ns0:f>IF(AND(OR('前提と出典'!$C$36+'前提と出典'!$C$38=0,X374&gt;=0),OR('前提と出典'!$C$37+'前提と出典'!$C$38=0,Y374&gt;=0)),0,A374)</ns0:f>
        <ns0:v>0</ns0:v>
      </ns0:c>
    </ns0:row>
    <ns0:row r="375" ht="24" customHeight="1">
      <ns0:c r="A375" s="4" t="n">
        <ns0:v>371</ns0:v>
      </ns0:c>
      <ns0:c r="B375" s="12">
        <ns0:f>A375*('前提と出典'!$C$36+'前提と出典'!$C$38)</ns0:f>
        <ns0:v>259.7</ns0:v>
      </ns0:c>
      <ns0:c r="C375" s="12">
        <ns0:f>A375*('前提と出典'!$C$37+'前提と出典'!$C$38)</ns0:f>
        <ns0:v>222.6</ns0:v>
      </ns0:c>
      <ns0:c r="D375" s="16">
        <ns0:f>A375*('前提と出典'!$C$36*'契約別単価'!C5+'前提と出典'!$C$37*'契約別単価'!C6+'前提と出典'!$C$38*'契約別単価'!C7)</ns0:f>
        <ns0:v>2669.541899441341</ns0:v>
      </ns0:c>
      <ns0:c r="E375" s="16">
        <ns0:f>A375*('前提と出典'!$C$36*'契約別単価'!E5+'前提と出典'!$C$37*'契約別単価'!E6+'前提と出典'!$C$38*'契約別単価'!E7)</ns0:f>
        <ns0:v>932646.8545223788</ns0:v>
      </ns0:c>
      <ns0:c r="F375" s="16">
        <ns0:f>A375*('前提と出典'!$C$36*'契約別単価'!F5+'前提と出典'!$C$37*'契約別単価'!F6+'前提と出典'!$C$38*'契約別単価'!F7)</ns0:f>
        <ns0:v>271003.336095515</ns0:v>
      </ns0:c>
      <ns0:c r="G375" s="16">
        <ns0:f>A375*('前提と出典'!$C$36*'契約別単価'!G5+'前提と出典'!$C$37*'契約別単価'!G6+'前提と出典'!$C$38*'契約別単価'!G7)</ns0:f>
        <ns0:v>738476.5363128491</ns0:v>
      </ns0:c>
      <ns0:c r="H375" s="16">
        <ns0:f>A375*('前提と出典'!$C$36*'契約別単価'!H5+'前提と出典'!$C$37*'契約別単価'!H6+'前提と出典'!$C$38*'契約別単価'!H7)</ns0:f>
        <ns0:v>256288.39560933152</ns0:v>
      </ns0:c>
      <ns0:c r="I375" s="16">
        <ns0:f>A375*('前提と出典'!$C$36*'契約別単価'!I5+'前提と出典'!$C$37*'契約別単価'!I6+'前提と出典'!$C$38*'契約別単価'!I7)</ns0:f>
        <ns0:v>15654.541899441338</ns0:v>
      </ns0:c>
      <ns0:c r="J375" s="16">
        <ns0:f>A375*('前提と出典'!$C$36*'契約別単価'!J5+'前提と出典'!$C$37*'契約別単価'!J6+'前提と出典'!$C$38*'契約別単価'!J7)</ns0:f>
        <ns0:v>36465.420716522254</ns0:v>
      </ns0:c>
      <ns0:c r="K375" s="16">
        <ns0:f>A375*('前提と出典'!$C$36*'契約別単価'!K5+'前提と出典'!$C$37*'契約別単価'!K6+'前提と出典'!$C$38*'契約別単価'!K7)</ns0:f>
        <ns0:v>156303.61266294227</ns0:v>
      </ns0:c>
      <ns0:c r="L375" s="16">
        <ns0:f>A375*('前提と出典'!$C$36*'契約別単価'!L5+'前提と出典'!$C$37*'契約別単価'!L6+'前提と出典'!$C$38*'契約別単価'!L7)</ns0:f>
        <ns0:v>127262.94652031104</ns0:v>
      </ns0:c>
      <ns0:c r="M375" s="16">
        <ns0:f>IF(('前提と出典'!$C$36+'前提と出典'!$C$38)=0,0,IF(B375&lt;=10,'前提と出典'!B73+'前提と出典'!C73,IF(B375&lt;=100,'前提と出典'!B74+'前提と出典'!C74,IF(B375&lt;=500,'前提と出典'!B75+'前提と出典'!C75,'前提と出典'!B76+'前提と出典'!C76))))</ns0:f>
        <ns0:v>40000</ns0:v>
      </ns0:c>
      <ns0:c r="N375" s="16">
        <ns0:f>IF(('前提と出典'!$C$37+'前提と出典'!$C$38)=0,0,IF(C375&lt;=10,'前提と出典'!D73+'前提と出典'!E73,IF(C375&lt;=100,'前提と出典'!D74+'前提と出典'!E74,IF(C375&lt;=500,'前提と出典'!D75+'前提と出典'!E75,'前提と出典'!D76+'前提と出典'!E76))))</ns0:f>
        <ns0:v>56510.9346263078</ns0:v>
      </ns0:c>
      <ns0:c r="O375" s="16">
        <ns0:f>IF('前提と出典'!$C$36+'前提と出典'!$C$38=0,0,'前提と出典'!$B$4*IF('前提と出典'!$B$20=0,MAX('前提と出典'!$B$6,D375*'前提と出典'!$B$5),'前提と出典'!$B$6+D375*'前提と出典'!$B$5))</ns0:f>
        <ns0:v>368396.7821229051</ns0:v>
      </ns0:c>
      <ns0:c r="P375" s="16">
        <ns0:f>(E375+G375)*(1-'前提と出典'!$B$7)-I375-K375-M375-O375</ns0:f>
        <ns0:v>1030608.0120798713</ns0:v>
      </ns0:c>
      <ns0:c r="Q375" s="16">
        <ns0:f>(F375+H375)*(1-'前提と出典'!$B$7)-J375-L375-N375</ns0:f>
        <ns0:v>288069.9275003309</ns0:v>
      </ns0:c>
      <ns0:c r="R375" s="16">
        <ns0:f>P375-E375*'前提と出典'!$E$4</ns0:f>
        <ns0:v>750813.9557231574</ns0:v>
      </ns0:c>
      <ns0:c r="S375" s="16">
        <ns0:f>Q375-F375*'前提と出典'!$E$4</ns0:f>
        <ns0:v>206768.9266716764</ns0:v>
      </ns0:c>
      <ns0:c r="T375" s="7">
        <ns0:f>R375+S375</ns0:f>
        <ns0:v>957582.8823948337</ns0:v>
      </ns0:c>
      <ns0:c r="U375" s="16">
        <ns0:f>P375-E375*'前提と出典'!$E$5</ns0:f>
        <ns0:v>657549.2702709197</ns0:v>
      </ns0:c>
      <ns0:c r="V375" s="16">
        <ns0:f>Q375-F375*'前提と出典'!$E$5</ns0:f>
        <ns0:v>179668.5930621249</ns0:v>
      </ns0:c>
      <ns0:c r="W375" s="7">
        <ns0:f>U375+V375</ns0:f>
        <ns0:v>837217.8633330446</ns0:v>
      </ns0:c>
      <ns0:c r="X375" s="16">
        <ns0:f>P375-E375*'前提と出典'!$E$6</ns0:f>
        <ns0:v>564284.5848186819</ns0:v>
      </ns0:c>
      <ns0:c r="Y375" s="16">
        <ns0:f>Q375-F375*'前提と出典'!$E$6</ns0:f>
        <ns0:v>152568.25945257343</ns0:v>
      </ns0:c>
      <ns0:c r="Z375" s="7">
        <ns0:f>X375+Y375</ns0:f>
        <ns0:v>716852.8442712554</ns0:v>
      </ns0:c>
      <ns0:c r="AA375" s="7">
        <ns0:f>IF(T375&gt;=0,A375,1001)</ns0:f>
        <ns0:v>371</ns0:v>
      </ns0:c>
      <ns0:c r="AB375" s="7">
        <ns0:f>IF(T375&lt;0,A375,0)</ns0:f>
        <ns0:v>0</ns0:v>
      </ns0:c>
      <ns0:c r="AC375" s="16">
        <ns0:f>IF(AND(OR('前提と出典'!$C$36+'前提と出典'!$C$38=0,R375&gt;=0),OR('前提と出典'!$C$37+'前提と出典'!$C$38=0,S375&gt;=0)),0,A375)</ns0:f>
        <ns0:v>0</ns0:v>
      </ns0:c>
      <ns0:c r="AD375" s="7">
        <ns0:f>IF(W375&gt;=0,A375,1001)</ns0:f>
        <ns0:v>371</ns0:v>
      </ns0:c>
      <ns0:c r="AE375" s="7">
        <ns0:f>IF(W375&lt;0,A375,0)</ns0:f>
        <ns0:v>0</ns0:v>
      </ns0:c>
      <ns0:c r="AF375" s="16">
        <ns0:f>IF(AND(OR('前提と出典'!$C$36+'前提と出典'!$C$38=0,U375&gt;=0),OR('前提と出典'!$C$37+'前提と出典'!$C$38=0,V375&gt;=0)),0,A375)</ns0:f>
        <ns0:v>0</ns0:v>
      </ns0:c>
      <ns0:c r="AG375" s="7">
        <ns0:f>IF(Z375&gt;=0,A375,1001)</ns0:f>
        <ns0:v>371</ns0:v>
      </ns0:c>
      <ns0:c r="AH375" s="4">
        <ns0:f>IF(Z375&lt;0,A375,0)</ns0:f>
        <ns0:v>0</ns0:v>
      </ns0:c>
      <ns0:c r="AI375" s="12">
        <ns0:f>IF(AND(OR('前提と出典'!$C$36+'前提と出典'!$C$38=0,X375&gt;=0),OR('前提と出典'!$C$37+'前提と出典'!$C$38=0,Y375&gt;=0)),0,A375)</ns0:f>
        <ns0:v>0</ns0:v>
      </ns0:c>
    </ns0:row>
    <ns0:row r="376" ht="24" customHeight="1">
      <ns0:c r="A376" s="4" t="n">
        <ns0:v>372</ns0:v>
      </ns0:c>
      <ns0:c r="B376" s="12">
        <ns0:f>A376*('前提と出典'!$C$36+'前提と出典'!$C$38)</ns0:f>
        <ns0:v>260.4</ns0:v>
      </ns0:c>
      <ns0:c r="C376" s="12">
        <ns0:f>A376*('前提と出典'!$C$37+'前提と出典'!$C$38)</ns0:f>
        <ns0:v>223.2</ns0:v>
      </ns0:c>
      <ns0:c r="D376" s="16">
        <ns0:f>A376*('前提と出典'!$C$36*'契約別単価'!C5+'前提と出典'!$C$37*'契約別単価'!C6+'前提と出典'!$C$38*'契約別単価'!C7)</ns0:f>
        <ns0:v>2676.7374301675977</ns0:v>
      </ns0:c>
      <ns0:c r="E376" s="16">
        <ns0:f>A376*('前提と出典'!$C$36*'契約別単価'!E5+'前提と出典'!$C$37*'契約別単価'!E6+'前提と出典'!$C$38*'契約別単価'!E7)</ns0:f>
        <ns0:v>935160.7274456198</ns0:v>
      </ns0:c>
      <ns0:c r="F376" s="16">
        <ns0:f>A376*('前提と出典'!$C$36*'契約別単価'!F5+'前提と出典'!$C$37*'契約別単価'!F6+'前提と出典'!$C$38*'契約別単価'!F7)</ns0:f>
        <ns0:v>271733.80330871046</ns0:v>
      </ns0:c>
      <ns0:c r="G376" s="16">
        <ns0:f>A376*('前提と出典'!$C$36*'契約別単価'!G5+'前提と出典'!$C$37*'契約別単価'!G6+'前提と出典'!$C$38*'契約別単価'!G7)</ns0:f>
        <ns0:v>740467.0391061453</ns0:v>
      </ns0:c>
      <ns0:c r="H376" s="16">
        <ns0:f>A376*('前提と出典'!$C$36*'契約別単価'!H5+'前提と出典'!$C$37*'契約別単価'!H6+'前提と出典'!$C$38*'契約別単価'!H7)</ns0:f>
        <ns0:v>256979.1999101653</ns0:v>
      </ns0:c>
      <ns0:c r="I376" s="16">
        <ns0:f>A376*('前提と出典'!$C$36*'契約別単価'!I5+'前提と出典'!$C$37*'契約別単価'!I6+'前提と出典'!$C$38*'契約別単価'!I7)</ns0:f>
        <ns0:v>15696.737430167595</ns0:v>
      </ns0:c>
      <ns0:c r="J376" s="16">
        <ns0:f>A376*('前提と出典'!$C$36*'契約別単価'!J5+'前提と出典'!$C$37*'契約別単価'!J6+'前提と出典'!$C$38*'契約別単価'!J7)</ns0:f>
        <ns0:v>36563.710260232554</ns0:v>
      </ns0:c>
      <ns0:c r="K376" s="16">
        <ns0:f>A376*('前提と出典'!$C$36*'契約別単価'!K5+'前提と出典'!$C$37*'契約別単価'!K6+'前提と出典'!$C$38*'契約別単価'!K7)</ns0:f>
        <ns0:v>156724.9162011173</ns0:v>
      </ns0:c>
      <ns0:c r="L376" s="16">
        <ns0:f>A376*('前提と出典'!$C$36*'契約別単価'!L5+'前提と出典'!$C$37*'契約別単価'!L6+'前提と出典'!$C$38*'契約別単価'!L7)</ns0:f>
        <ns0:v>127605.97333033883</ns0:v>
      </ns0:c>
      <ns0:c r="M376" s="16">
        <ns0:f>IF(('前提と出典'!$C$36+'前提と出典'!$C$38)=0,0,IF(B376&lt;=10,'前提と出典'!B73+'前提と出典'!C73,IF(B376&lt;=100,'前提と出典'!B74+'前提と出典'!C74,IF(B376&lt;=500,'前提と出典'!B75+'前提と出典'!C75,'前提と出典'!B76+'前提と出典'!C76))))</ns0:f>
        <ns0:v>40000</ns0:v>
      </ns0:c>
      <ns0:c r="N376" s="16">
        <ns0:f>IF(('前提と出典'!$C$37+'前提と出典'!$C$38)=0,0,IF(C376&lt;=10,'前提と出典'!D73+'前提と出典'!E73,IF(C376&lt;=100,'前提と出典'!D74+'前提と出典'!E74,IF(C376&lt;=500,'前提と出典'!D75+'前提と出典'!E75,'前提と出典'!D76+'前提と出典'!E76))))</ns0:f>
        <ns0:v>56510.9346263078</ns0:v>
      </ns0:c>
      <ns0:c r="O376" s="16">
        <ns0:f>IF('前提と出典'!$C$36+'前提と出典'!$C$38=0,0,'前提と出典'!$B$4*IF('前提と出典'!$B$20=0,MAX('前提と出典'!$B$6,D376*'前提と出典'!$B$5),'前提と出典'!$B$6+D376*'前提と出典'!$B$5))</ns0:f>
        <ns0:v>369389.7653631285</ns0:v>
      </ns0:c>
      <ns0:c r="P376" s="16">
        <ns0:f>(E376+G376)*(1-'前提と出典'!$B$7)-I376-K376-M376-O376</ns0:f>
        <ns0:v>1033493.7479614881</ns0:v>
      </ns0:c>
      <ns0:c r="Q376" s="16">
        <ns0:f>(F376+H376)*(1-'前提と出典'!$B$7)-J376-L376-N376</ns0:f>
        <ns0:v>288998.716886117</ns0:v>
      </ns0:c>
      <ns0:c r="R376" s="16">
        <ns0:f>P376-E376*'前提と出典'!$E$4</ns0:f>
        <ns0:v>752945.5297278023</ns0:v>
      </ns0:c>
      <ns0:c r="S376" s="16">
        <ns0:f>Q376-F376*'前提と出典'!$E$4</ns0:f>
        <ns0:v>207478.57589350385</ns0:v>
      </ns0:c>
      <ns0:c r="T376" s="7">
        <ns0:f>R376+S376</ns0:f>
        <ns0:v>960424.1056213061</ns0:v>
      </ns0:c>
      <ns0:c r="U376" s="16">
        <ns0:f>P376-E376*'前提と出典'!$E$5</ns0:f>
        <ns0:v>659429.4569832402</ns0:v>
      </ns0:c>
      <ns0:c r="V376" s="16">
        <ns0:f>Q376-F376*'前提と出典'!$E$5</ns0:f>
        <ns0:v>180305.1955626328</ns0:v>
      </ns0:c>
      <ns0:c r="W376" s="7">
        <ns0:f>U376+V376</ns0:f>
        <ns0:v>839734.6525458731</ns0:v>
      </ns0:c>
      <ns0:c r="X376" s="16">
        <ns0:f>P376-E376*'前提と出典'!$E$6</ns0:f>
        <ns0:v>565913.3842386783</ns0:v>
      </ns0:c>
      <ns0:c r="Y376" s="16">
        <ns0:f>Q376-F376*'前提と出典'!$E$6</ns0:f>
        <ns0:v>153131.81523176178</ns0:v>
      </ns0:c>
      <ns0:c r="Z376" s="7">
        <ns0:f>X376+Y376</ns0:f>
        <ns0:v>719045.19947044</ns0:v>
      </ns0:c>
      <ns0:c r="AA376" s="7">
        <ns0:f>IF(T376&gt;=0,A376,1001)</ns0:f>
        <ns0:v>372</ns0:v>
      </ns0:c>
      <ns0:c r="AB376" s="7">
        <ns0:f>IF(T376&lt;0,A376,0)</ns0:f>
        <ns0:v>0</ns0:v>
      </ns0:c>
      <ns0:c r="AC376" s="16">
        <ns0:f>IF(AND(OR('前提と出典'!$C$36+'前提と出典'!$C$38=0,R376&gt;=0),OR('前提と出典'!$C$37+'前提と出典'!$C$38=0,S376&gt;=0)),0,A376)</ns0:f>
        <ns0:v>0</ns0:v>
      </ns0:c>
      <ns0:c r="AD376" s="7">
        <ns0:f>IF(W376&gt;=0,A376,1001)</ns0:f>
        <ns0:v>372</ns0:v>
      </ns0:c>
      <ns0:c r="AE376" s="7">
        <ns0:f>IF(W376&lt;0,A376,0)</ns0:f>
        <ns0:v>0</ns0:v>
      </ns0:c>
      <ns0:c r="AF376" s="16">
        <ns0:f>IF(AND(OR('前提と出典'!$C$36+'前提と出典'!$C$38=0,U376&gt;=0),OR('前提と出典'!$C$37+'前提と出典'!$C$38=0,V376&gt;=0)),0,A376)</ns0:f>
        <ns0:v>0</ns0:v>
      </ns0:c>
      <ns0:c r="AG376" s="7">
        <ns0:f>IF(Z376&gt;=0,A376,1001)</ns0:f>
        <ns0:v>372</ns0:v>
      </ns0:c>
      <ns0:c r="AH376" s="4">
        <ns0:f>IF(Z376&lt;0,A376,0)</ns0:f>
        <ns0:v>0</ns0:v>
      </ns0:c>
      <ns0:c r="AI376" s="12">
        <ns0:f>IF(AND(OR('前提と出典'!$C$36+'前提と出典'!$C$38=0,X376&gt;=0),OR('前提と出典'!$C$37+'前提と出典'!$C$38=0,Y376&gt;=0)),0,A376)</ns0:f>
        <ns0:v>0</ns0:v>
      </ns0:c>
    </ns0:row>
    <ns0:row r="377" ht="24" customHeight="1">
      <ns0:c r="A377" s="4" t="n">
        <ns0:v>373</ns0:v>
      </ns0:c>
      <ns0:c r="B377" s="12">
        <ns0:f>A377*('前提と出典'!$C$36+'前提と出典'!$C$38)</ns0:f>
        <ns0:v>261.09999999999997</ns0:v>
      </ns0:c>
      <ns0:c r="C377" s="12">
        <ns0:f>A377*('前提と出典'!$C$37+'前提と出典'!$C$38)</ns0:f>
        <ns0:v>223.79999999999998</ns0:v>
      </ns0:c>
      <ns0:c r="D377" s="16">
        <ns0:f>A377*('前提と出典'!$C$36*'契約別単価'!C5+'前提と出典'!$C$37*'契約別単価'!C6+'前提と出典'!$C$38*'契約別単価'!C7)</ns0:f>
        <ns0:v>2683.9329608938547</ns0:v>
      </ns0:c>
      <ns0:c r="E377" s="16">
        <ns0:f>A377*('前提と出典'!$C$36*'契約別単価'!E5+'前提と出典'!$C$37*'契約別単価'!E6+'前提と出典'!$C$38*'契約別単価'!E7)</ns0:f>
        <ns0:v>937674.6003688606</ns0:v>
      </ns0:c>
      <ns0:c r="F377" s="16">
        <ns0:f>A377*('前提と出典'!$C$36*'契約別単価'!F5+'前提と出典'!$C$37*'契約別単価'!F6+'前提と出典'!$C$38*'契約別単価'!F7)</ns0:f>
        <ns0:v>272464.2705219059</ns0:v>
      </ns0:c>
      <ns0:c r="G377" s="16">
        <ns0:f>A377*('前提と出典'!$C$36*'契約別単価'!G5+'前提と出典'!$C$37*'契約別単価'!G6+'前提と出典'!$C$38*'契約別単価'!G7)</ns0:f>
        <ns0:v>742457.5418994413</ns0:v>
      </ns0:c>
      <ns0:c r="H377" s="16">
        <ns0:f>A377*('前提と出典'!$C$36*'契約別単価'!H5+'前提と出典'!$C$37*'契約別単価'!H6+'前提と出典'!$C$38*'契約別単価'!H7)</ns0:f>
        <ns0:v>257670.0042109991</ns0:v>
      </ns0:c>
      <ns0:c r="I377" s="16">
        <ns0:f>A377*('前提と出典'!$C$36*'契約別単価'!I5+'前提と出典'!$C$37*'契約別単価'!I6+'前提と出典'!$C$38*'契約別単価'!I7)</ns0:f>
        <ns0:v>15738.932960893851</ns0:v>
      </ns0:c>
      <ns0:c r="J377" s="16">
        <ns0:f>A377*('前提と出典'!$C$36*'契約別単価'!J5+'前提と出典'!$C$37*'契約別単価'!J6+'前提と出典'!$C$38*'契約別単価'!J7)</ns0:f>
        <ns0:v>36661.99980394286</ns0:v>
      </ns0:c>
      <ns0:c r="K377" s="16">
        <ns0:f>A377*('前提と出典'!$C$36*'契約別単価'!K5+'前提と出典'!$C$37*'契約別単価'!K6+'前提と出典'!$C$38*'契約別単価'!K7)</ns0:f>
        <ns0:v>157146.21973929234</ns0:v>
      </ns0:c>
      <ns0:c r="L377" s="16">
        <ns0:f>A377*('前提と出典'!$C$36*'契約別単価'!L5+'前提と出典'!$C$37*'契約別単価'!L6+'前提と出典'!$C$38*'契約別単価'!L7)</ns0:f>
        <ns0:v>127949.00014036662</ns0:v>
      </ns0:c>
      <ns0:c r="M377" s="16">
        <ns0:f>IF(('前提と出典'!$C$36+'前提と出典'!$C$38)=0,0,IF(B377&lt;=10,'前提と出典'!B73+'前提と出典'!C73,IF(B377&lt;=100,'前提と出典'!B74+'前提と出典'!C74,IF(B377&lt;=500,'前提と出典'!B75+'前提と出典'!C75,'前提と出典'!B76+'前提と出典'!C76))))</ns0:f>
        <ns0:v>40000</ns0:v>
      </ns0:c>
      <ns0:c r="N377" s="16">
        <ns0:f>IF(('前提と出典'!$C$37+'前提と出典'!$C$38)=0,0,IF(C377&lt;=10,'前提と出典'!D73+'前提と出典'!E73,IF(C377&lt;=100,'前提と出典'!D74+'前提と出典'!E74,IF(C377&lt;=500,'前提と出典'!D75+'前提と出典'!E75,'前提と出典'!D76+'前提と出典'!E76))))</ns0:f>
        <ns0:v>56510.9346263078</ns0:v>
      </ns0:c>
      <ns0:c r="O377" s="16">
        <ns0:f>IF('前提と出典'!$C$36+'前提と出典'!$C$38=0,0,'前提と出典'!$B$4*IF('前提と出典'!$B$20=0,MAX('前提と出典'!$B$6,D377*'前提と出典'!$B$5),'前提と出典'!$B$6+D377*'前提と出典'!$B$5))</ns0:f>
        <ns0:v>370382.74860335194</ns0:v>
      </ns0:c>
      <ns0:c r="P377" s="16">
        <ns0:f>(E377+G377)*(1-'前提と出典'!$B$7)-I377-K377-M377-O377</ns0:f>
        <ns0:v>1036379.483843105</ns0:v>
      </ns0:c>
      <ns0:c r="Q377" s="16">
        <ns0:f>(F377+H377)*(1-'前提と出典'!$B$7)-J377-L377-N377</ns0:f>
        <ns0:v>289927.50627190317</ns0:v>
      </ns0:c>
      <ns0:c r="R377" s="16">
        <ns0:f>P377-E377*'前提と出典'!$E$4</ns0:f>
        <ns0:v>755077.1037324467</ns0:v>
      </ns0:c>
      <ns0:c r="S377" s="16">
        <ns0:f>Q377-F377*'前提と出典'!$E$4</ns0:f>
        <ns0:v>208188.22511533136</ns0:v>
      </ns0:c>
      <ns0:c r="T377" s="7">
        <ns0:f>R377+S377</ns0:f>
        <ns0:v>963265.328847778</ns0:v>
      </ns0:c>
      <ns0:c r="U377" s="16">
        <ns0:f>P377-E377*'前提と出典'!$E$5</ns0:f>
        <ns0:v>661309.6436955607</ns0:v>
      </ns0:c>
      <ns0:c r="V377" s="16">
        <ns0:f>Q377-F377*'前提と出典'!$E$5</ns0:f>
        <ns0:v>180941.79806314077</ns0:v>
      </ns0:c>
      <ns0:c r="W377" s="7">
        <ns0:f>U377+V377</ns0:f>
        <ns0:v>842251.4417587016</ns0:v>
      </ns0:c>
      <ns0:c r="X377" s="16">
        <ns0:f>P377-E377*'前提と出典'!$E$6</ns0:f>
        <ns0:v>567542.1836586746</ns0:v>
      </ns0:c>
      <ns0:c r="Y377" s="16">
        <ns0:f>Q377-F377*'前提と出典'!$E$6</ns0:f>
        <ns0:v>153695.37101095013</ns0:v>
      </ns0:c>
      <ns0:c r="Z377" s="7">
        <ns0:f>X377+Y377</ns0:f>
        <ns0:v>721237.5546696247</ns0:v>
      </ns0:c>
      <ns0:c r="AA377" s="7">
        <ns0:f>IF(T377&gt;=0,A377,1001)</ns0:f>
        <ns0:v>373</ns0:v>
      </ns0:c>
      <ns0:c r="AB377" s="7">
        <ns0:f>IF(T377&lt;0,A377,0)</ns0:f>
        <ns0:v>0</ns0:v>
      </ns0:c>
      <ns0:c r="AC377" s="16">
        <ns0:f>IF(AND(OR('前提と出典'!$C$36+'前提と出典'!$C$38=0,R377&gt;=0),OR('前提と出典'!$C$37+'前提と出典'!$C$38=0,S377&gt;=0)),0,A377)</ns0:f>
        <ns0:v>0</ns0:v>
      </ns0:c>
      <ns0:c r="AD377" s="7">
        <ns0:f>IF(W377&gt;=0,A377,1001)</ns0:f>
        <ns0:v>373</ns0:v>
      </ns0:c>
      <ns0:c r="AE377" s="7">
        <ns0:f>IF(W377&lt;0,A377,0)</ns0:f>
        <ns0:v>0</ns0:v>
      </ns0:c>
      <ns0:c r="AF377" s="16">
        <ns0:f>IF(AND(OR('前提と出典'!$C$36+'前提と出典'!$C$38=0,U377&gt;=0),OR('前提と出典'!$C$37+'前提と出典'!$C$38=0,V377&gt;=0)),0,A377)</ns0:f>
        <ns0:v>0</ns0:v>
      </ns0:c>
      <ns0:c r="AG377" s="7">
        <ns0:f>IF(Z377&gt;=0,A377,1001)</ns0:f>
        <ns0:v>373</ns0:v>
      </ns0:c>
      <ns0:c r="AH377" s="4">
        <ns0:f>IF(Z377&lt;0,A377,0)</ns0:f>
        <ns0:v>0</ns0:v>
      </ns0:c>
      <ns0:c r="AI377" s="12">
        <ns0:f>IF(AND(OR('前提と出典'!$C$36+'前提と出典'!$C$38=0,X377&gt;=0),OR('前提と出典'!$C$37+'前提と出典'!$C$38=0,Y377&gt;=0)),0,A377)</ns0:f>
        <ns0:v>0</ns0:v>
      </ns0:c>
    </ns0:row>
    <ns0:row r="378" ht="24" customHeight="1">
      <ns0:c r="A378" s="4" t="n">
        <ns0:v>374</ns0:v>
      </ns0:c>
      <ns0:c r="B378" s="12">
        <ns0:f>A378*('前提と出典'!$C$36+'前提と出典'!$C$38)</ns0:f>
        <ns0:v>261.8</ns0:v>
      </ns0:c>
      <ns0:c r="C378" s="12">
        <ns0:f>A378*('前提と出典'!$C$37+'前提と出典'!$C$38)</ns0:f>
        <ns0:v>224.4</ns0:v>
      </ns0:c>
      <ns0:c r="D378" s="16">
        <ns0:f>A378*('前提と出典'!$C$36*'契約別単価'!C5+'前提と出典'!$C$37*'契約別単価'!C6+'前提と出典'!$C$38*'契約別単価'!C7)</ns0:f>
        <ns0:v>2691.1284916201116</ns0:v>
      </ns0:c>
      <ns0:c r="E378" s="16">
        <ns0:f>A378*('前提と出典'!$C$36*'契約別単価'!E5+'前提と出典'!$C$37*'契約別単価'!E6+'前提と出典'!$C$38*'契約別単価'!E7)</ns0:f>
        <ns0:v>940188.4732921015</ns0:v>
      </ns0:c>
      <ns0:c r="F378" s="16">
        <ns0:f>A378*('前提と出典'!$C$36*'契約別単価'!F5+'前提と出典'!$C$37*'契約別単価'!F6+'前提と出典'!$C$38*'契約別単価'!F7)</ns0:f>
        <ns0:v>273194.7377351014</ns0:v>
      </ns0:c>
      <ns0:c r="G378" s="16">
        <ns0:f>A378*('前提と出典'!$C$36*'契約別単価'!G5+'前提と出典'!$C$37*'契約別単価'!G6+'前提と出典'!$C$38*'契約別単価'!G7)</ns0:f>
        <ns0:v>744448.0446927374</ns0:v>
      </ns0:c>
      <ns0:c r="H378" s="16">
        <ns0:f>A378*('前提と出典'!$C$36*'契約別単価'!H5+'前提と出典'!$C$37*'契約別単価'!H6+'前提と出典'!$C$38*'契約別単価'!H7)</ns0:f>
        <ns0:v>258360.80851183285</ns0:v>
      </ns0:c>
      <ns0:c r="I378" s="16">
        <ns0:f>A378*('前提と出典'!$C$36*'契約別単価'!I5+'前提と出典'!$C$37*'契約別単価'!I6+'前提と出典'!$C$38*'契約別単価'!I7)</ns0:f>
        <ns0:v>15781.12849162011</ns0:v>
      </ns0:c>
      <ns0:c r="J378" s="16">
        <ns0:f>A378*('前提と出典'!$C$36*'契約別単価'!J5+'前提と出典'!$C$37*'契約別単価'!J6+'前提と出典'!$C$38*'契約別単価'!J7)</ns0:f>
        <ns0:v>36760.28934765316</ns0:v>
      </ns0:c>
      <ns0:c r="K378" s="16">
        <ns0:f>A378*('前提と出典'!$C$36*'契約別単価'!K5+'前提と出典'!$C$37*'契約別単価'!K6+'前提と出典'!$C$38*'契約別単価'!K7)</ns0:f>
        <ns0:v>157567.5232774674</ns0:v>
      </ns0:c>
      <ns0:c r="L378" s="16">
        <ns0:f>A378*('前提と出典'!$C$36*'契約別単価'!L5+'前提と出典'!$C$37*'契約別単価'!L6+'前提と出典'!$C$38*'契約別単価'!L7)</ns0:f>
        <ns0:v>128292.02695039443</ns0:v>
      </ns0:c>
      <ns0:c r="M378" s="16">
        <ns0:f>IF(('前提と出典'!$C$36+'前提と出典'!$C$38)=0,0,IF(B378&lt;=10,'前提と出典'!B73+'前提と出典'!C73,IF(B378&lt;=100,'前提と出典'!B74+'前提と出典'!C74,IF(B378&lt;=500,'前提と出典'!B75+'前提と出典'!C75,'前提と出典'!B76+'前提と出典'!C76))))</ns0:f>
        <ns0:v>40000</ns0:v>
      </ns0:c>
      <ns0:c r="N378" s="16">
        <ns0:f>IF(('前提と出典'!$C$37+'前提と出典'!$C$38)=0,0,IF(C378&lt;=10,'前提と出典'!D73+'前提と出典'!E73,IF(C378&lt;=100,'前提と出典'!D74+'前提と出典'!E74,IF(C378&lt;=500,'前提と出典'!D75+'前提と出典'!E75,'前提と出典'!D76+'前提と出典'!E76))))</ns0:f>
        <ns0:v>56510.9346263078</ns0:v>
      </ns0:c>
      <ns0:c r="O378" s="16">
        <ns0:f>IF('前提と出典'!$C$36+'前提と出典'!$C$38=0,0,'前提と出典'!$B$4*IF('前提と出典'!$B$20=0,MAX('前提と出典'!$B$6,D378*'前提と出典'!$B$5),'前提と出典'!$B$6+D378*'前提と出典'!$B$5))</ns0:f>
        <ns0:v>371375.7318435754</ns0:v>
      </ns0:c>
      <ns0:c r="P378" s="16">
        <ns0:f>(E378+G378)*(1-'前提と出典'!$B$7)-I378-K378-M378-O378</ns0:f>
        <ns0:v>1039265.219724722</ns0:v>
      </ns0:c>
      <ns0:c r="Q378" s="16">
        <ns0:f>(F378+H378)*(1-'前提と出典'!$B$7)-J378-L378-N378</ns0:f>
        <ns0:v>290856.29565768916</ns0:v>
      </ns0:c>
      <ns0:c r="R378" s="16">
        <ns0:f>P378-E378*'前提と出典'!$E$4</ns0:f>
        <ns0:v>757208.6777370917</ns0:v>
      </ns0:c>
      <ns0:c r="S378" s="16">
        <ns0:f>Q378-F378*'前提と出典'!$E$4</ns0:f>
        <ns0:v>208897.87433715875</ns0:v>
      </ns0:c>
      <ns0:c r="T378" s="7">
        <ns0:f>R378+S378</ns0:f>
        <ns0:v>966106.5520742504</ns0:v>
      </ns0:c>
      <ns0:c r="U378" s="16">
        <ns0:f>P378-E378*'前提と出典'!$E$5</ns0:f>
        <ns0:v>663189.8304078814</ns0:v>
      </ns0:c>
      <ns0:c r="V378" s="16">
        <ns0:f>Q378-F378*'前提と出典'!$E$5</ns0:f>
        <ns0:v>181578.4005636486</ns0:v>
      </ns0:c>
      <ns0:c r="W378" s="7">
        <ns0:f>U378+V378</ns0:f>
        <ns0:v>844768.2309715301</ns0:v>
      </ns0:c>
      <ns0:c r="X378" s="16">
        <ns0:f>P378-E378*'前提と出典'!$E$6</ns0:f>
        <ns0:v>569170.9830786712</ns0:v>
      </ns0:c>
      <ns0:c r="Y378" s="16">
        <ns0:f>Q378-F378*'前提と出典'!$E$6</ns0:f>
        <ns0:v>154258.92679013847</ns0:v>
      </ns0:c>
      <ns0:c r="Z378" s="7">
        <ns0:f>X378+Y378</ns0:f>
        <ns0:v>723429.9098688096</ns0:v>
      </ns0:c>
      <ns0:c r="AA378" s="7">
        <ns0:f>IF(T378&gt;=0,A378,1001)</ns0:f>
        <ns0:v>374</ns0:v>
      </ns0:c>
      <ns0:c r="AB378" s="7">
        <ns0:f>IF(T378&lt;0,A378,0)</ns0:f>
        <ns0:v>0</ns0:v>
      </ns0:c>
      <ns0:c r="AC378" s="16">
        <ns0:f>IF(AND(OR('前提と出典'!$C$36+'前提と出典'!$C$38=0,R378&gt;=0),OR('前提と出典'!$C$37+'前提と出典'!$C$38=0,S378&gt;=0)),0,A378)</ns0:f>
        <ns0:v>0</ns0:v>
      </ns0:c>
      <ns0:c r="AD378" s="7">
        <ns0:f>IF(W378&gt;=0,A378,1001)</ns0:f>
        <ns0:v>374</ns0:v>
      </ns0:c>
      <ns0:c r="AE378" s="7">
        <ns0:f>IF(W378&lt;0,A378,0)</ns0:f>
        <ns0:v>0</ns0:v>
      </ns0:c>
      <ns0:c r="AF378" s="16">
        <ns0:f>IF(AND(OR('前提と出典'!$C$36+'前提と出典'!$C$38=0,U378&gt;=0),OR('前提と出典'!$C$37+'前提と出典'!$C$38=0,V378&gt;=0)),0,A378)</ns0:f>
        <ns0:v>0</ns0:v>
      </ns0:c>
      <ns0:c r="AG378" s="7">
        <ns0:f>IF(Z378&gt;=0,A378,1001)</ns0:f>
        <ns0:v>374</ns0:v>
      </ns0:c>
      <ns0:c r="AH378" s="4">
        <ns0:f>IF(Z378&lt;0,A378,0)</ns0:f>
        <ns0:v>0</ns0:v>
      </ns0:c>
      <ns0:c r="AI378" s="12">
        <ns0:f>IF(AND(OR('前提と出典'!$C$36+'前提と出典'!$C$38=0,X378&gt;=0),OR('前提と出典'!$C$37+'前提と出典'!$C$38=0,Y378&gt;=0)),0,A378)</ns0:f>
        <ns0:v>0</ns0:v>
      </ns0:c>
    </ns0:row>
    <ns0:row r="379" ht="24" customHeight="1">
      <ns0:c r="A379" s="4" t="n">
        <ns0:v>375</ns0:v>
      </ns0:c>
      <ns0:c r="B379" s="12">
        <ns0:f>A379*('前提と出典'!$C$36+'前提と出典'!$C$38)</ns0:f>
        <ns0:v>262.5</ns0:v>
      </ns0:c>
      <ns0:c r="C379" s="12">
        <ns0:f>A379*('前提と出典'!$C$37+'前提と出典'!$C$38)</ns0:f>
        <ns0:v>225</ns0:v>
      </ns0:c>
      <ns0:c r="D379" s="16">
        <ns0:f>A379*('前提と出典'!$C$36*'契約別単価'!C5+'前提と出典'!$C$37*'契約別単価'!C6+'前提と出典'!$C$38*'契約別単価'!C7)</ns0:f>
        <ns0:v>2698.3240223463686</ns0:v>
      </ns0:c>
      <ns0:c r="E379" s="16">
        <ns0:f>A379*('前提と出典'!$C$36*'契約別単価'!E5+'前提と出典'!$C$37*'契約別単価'!E6+'前提と出典'!$C$38*'契約別単価'!E7)</ns0:f>
        <ns0:v>942702.3462153424</ns0:v>
      </ns0:c>
      <ns0:c r="F379" s="16">
        <ns0:f>A379*('前提と出典'!$C$36*'契約別単価'!F5+'前提と出典'!$C$37*'契約別単価'!F6+'前提と出典'!$C$38*'契約別単価'!F7)</ns0:f>
        <ns0:v>273925.2049482968</ns0:v>
      </ns0:c>
      <ns0:c r="G379" s="16">
        <ns0:f>A379*('前提と出典'!$C$36*'契約別単価'!G5+'前提と出典'!$C$37*'契約別単価'!G6+'前提と出典'!$C$38*'契約別単価'!G7)</ns0:f>
        <ns0:v>746438.5474860335</ns0:v>
      </ns0:c>
      <ns0:c r="H379" s="16">
        <ns0:f>A379*('前提と出典'!$C$36*'契約別単価'!H5+'前提と出典'!$C$37*'契約別単価'!H6+'前提と出典'!$C$38*'契約別単価'!H7)</ns0:f>
        <ns0:v>259051.61281266663</ns0:v>
      </ns0:c>
      <ns0:c r="I379" s="16">
        <ns0:f>A379*('前提と出典'!$C$36*'契約別単価'!I5+'前提と出典'!$C$37*'契約別単価'!I6+'前提と出典'!$C$38*'契約別単価'!I7)</ns0:f>
        <ns0:v>15823.324022346365</ns0:v>
      </ns0:c>
      <ns0:c r="J379" s="16">
        <ns0:f>A379*('前提と出典'!$C$36*'契約別単価'!J5+'前提と出典'!$C$37*'契約別単価'!J6+'前提と出典'!$C$38*'契約別単価'!J7)</ns0:f>
        <ns0:v>36858.57889136346</ns0:v>
      </ns0:c>
      <ns0:c r="K379" s="16">
        <ns0:f>A379*('前提と出典'!$C$36*'契約別単価'!K5+'前提と出典'!$C$37*'契約別単価'!K6+'前提と出典'!$C$38*'契約別単価'!K7)</ns0:f>
        <ns0:v>157988.82681564245</ns0:v>
      </ns0:c>
      <ns0:c r="L379" s="16">
        <ns0:f>A379*('前提と出典'!$C$36*'契約別単価'!L5+'前提と出典'!$C$37*'契約別単価'!L6+'前提と出典'!$C$38*'契約別単価'!L7)</ns0:f>
        <ns0:v>128635.05376042222</ns0:v>
      </ns0:c>
      <ns0:c r="M379" s="16">
        <ns0:f>IF(('前提と出典'!$C$36+'前提と出典'!$C$38)=0,0,IF(B379&lt;=10,'前提と出典'!B73+'前提と出典'!C73,IF(B379&lt;=100,'前提と出典'!B74+'前提と出典'!C74,IF(B379&lt;=500,'前提と出典'!B75+'前提と出典'!C75,'前提と出典'!B76+'前提と出典'!C76))))</ns0:f>
        <ns0:v>40000</ns0:v>
      </ns0:c>
      <ns0:c r="N379" s="16">
        <ns0:f>IF(('前提と出典'!$C$37+'前提と出典'!$C$38)=0,0,IF(C379&lt;=10,'前提と出典'!D73+'前提と出典'!E73,IF(C379&lt;=100,'前提と出典'!D74+'前提と出典'!E74,IF(C379&lt;=500,'前提と出典'!D75+'前提と出典'!E75,'前提と出典'!D76+'前提と出典'!E76))))</ns0:f>
        <ns0:v>56510.9346263078</ns0:v>
      </ns0:c>
      <ns0:c r="O379" s="16">
        <ns0:f>IF('前提と出典'!$C$36+'前提と出典'!$C$38=0,0,'前提と出典'!$B$4*IF('前提と出典'!$B$20=0,MAX('前提と出典'!$B$6,D379*'前提と出典'!$B$5),'前提と出典'!$B$6+D379*'前提と出典'!$B$5))</ns0:f>
        <ns0:v>372368.71508379886</ns0:v>
      </ns0:c>
      <ns0:c r="P379" s="16">
        <ns0:f>(E379+G379)*(1-'前提と出典'!$B$7)-I379-K379-M379-O379</ns0:f>
        <ns0:v>1042150.9556063388</ns0:v>
      </ns0:c>
      <ns0:c r="Q379" s="16">
        <ns0:f>(F379+H379)*(1-'前提と出典'!$B$7)-J379-L379-N379</ns0:f>
        <ns0:v>291785.08504347526</ns0:v>
      </ns0:c>
      <ns0:c r="R379" s="16">
        <ns0:f>P379-E379*'前提と出典'!$E$4</ns0:f>
        <ns0:v>759340.251741736</ns0:v>
      </ns0:c>
      <ns0:c r="S379" s="16">
        <ns0:f>Q379-F379*'前提と出典'!$E$4</ns0:f>
        <ns0:v>209607.5235589862</ns0:v>
      </ns0:c>
      <ns0:c r="T379" s="7">
        <ns0:f>R379+S379</ns0:f>
        <ns0:v>968947.7753007221</ns0:v>
      </ns0:c>
      <ns0:c r="U379" s="16">
        <ns0:f>P379-E379*'前提と出典'!$E$5</ns0:f>
        <ns0:v>665070.0171202018</ns0:v>
      </ns0:c>
      <ns0:c r="V379" s="16">
        <ns0:f>Q379-F379*'前提と出典'!$E$5</ns0:f>
        <ns0:v>182215.0030641565</ns0:v>
      </ns0:c>
      <ns0:c r="W379" s="7">
        <ns0:f>U379+V379</ns0:f>
        <ns0:v>847285.0201843583</ns0:v>
      </ns0:c>
      <ns0:c r="X379" s="16">
        <ns0:f>P379-E379*'前提と出典'!$E$6</ns0:f>
        <ns0:v>570799.7824986677</ns0:v>
      </ns0:c>
      <ns0:c r="Y379" s="16">
        <ns0:f>Q379-F379*'前提と出典'!$E$6</ns0:f>
        <ns0:v>154822.48256932688</ns0:v>
      </ns0:c>
      <ns0:c r="Z379" s="7">
        <ns0:f>X379+Y379</ns0:f>
        <ns0:v>725622.2650679946</ns0:v>
      </ns0:c>
      <ns0:c r="AA379" s="7">
        <ns0:f>IF(T379&gt;=0,A379,1001)</ns0:f>
        <ns0:v>375</ns0:v>
      </ns0:c>
      <ns0:c r="AB379" s="7">
        <ns0:f>IF(T379&lt;0,A379,0)</ns0:f>
        <ns0:v>0</ns0:v>
      </ns0:c>
      <ns0:c r="AC379" s="16">
        <ns0:f>IF(AND(OR('前提と出典'!$C$36+'前提と出典'!$C$38=0,R379&gt;=0),OR('前提と出典'!$C$37+'前提と出典'!$C$38=0,S379&gt;=0)),0,A379)</ns0:f>
        <ns0:v>0</ns0:v>
      </ns0:c>
      <ns0:c r="AD379" s="7">
        <ns0:f>IF(W379&gt;=0,A379,1001)</ns0:f>
        <ns0:v>375</ns0:v>
      </ns0:c>
      <ns0:c r="AE379" s="7">
        <ns0:f>IF(W379&lt;0,A379,0)</ns0:f>
        <ns0:v>0</ns0:v>
      </ns0:c>
      <ns0:c r="AF379" s="16">
        <ns0:f>IF(AND(OR('前提と出典'!$C$36+'前提と出典'!$C$38=0,U379&gt;=0),OR('前提と出典'!$C$37+'前提と出典'!$C$38=0,V379&gt;=0)),0,A379)</ns0:f>
        <ns0:v>0</ns0:v>
      </ns0:c>
      <ns0:c r="AG379" s="7">
        <ns0:f>IF(Z379&gt;=0,A379,1001)</ns0:f>
        <ns0:v>375</ns0:v>
      </ns0:c>
      <ns0:c r="AH379" s="4">
        <ns0:f>IF(Z379&lt;0,A379,0)</ns0:f>
        <ns0:v>0</ns0:v>
      </ns0:c>
      <ns0:c r="AI379" s="12">
        <ns0:f>IF(AND(OR('前提と出典'!$C$36+'前提と出典'!$C$38=0,X379&gt;=0),OR('前提と出典'!$C$37+'前提と出典'!$C$38=0,Y379&gt;=0)),0,A379)</ns0:f>
        <ns0:v>0</ns0:v>
      </ns0:c>
    </ns0:row>
    <ns0:row r="380" ht="24" customHeight="1">
      <ns0:c r="A380" s="4" t="n">
        <ns0:v>376</ns0:v>
      </ns0:c>
      <ns0:c r="B380" s="12">
        <ns0:f>A380*('前提と出典'!$C$36+'前提と出典'!$C$38)</ns0:f>
        <ns0:v>263.2</ns0:v>
      </ns0:c>
      <ns0:c r="C380" s="12">
        <ns0:f>A380*('前提と出典'!$C$37+'前提と出典'!$C$38)</ns0:f>
        <ns0:v>225.6</ns0:v>
      </ns0:c>
      <ns0:c r="D380" s="16">
        <ns0:f>A380*('前提と出典'!$C$36*'契約別単価'!C5+'前提と出典'!$C$37*'契約別単価'!C6+'前提と出典'!$C$38*'契約別単価'!C7)</ns0:f>
        <ns0:v>2705.5195530726255</ns0:v>
      </ns0:c>
      <ns0:c r="E380" s="16">
        <ns0:f>A380*('前提と出典'!$C$36*'契約別単価'!E5+'前提と出典'!$C$37*'契約別単価'!E6+'前提と出典'!$C$38*'契約別単価'!E7)</ns0:f>
        <ns0:v>945216.2191385834</ns0:v>
      </ns0:c>
      <ns0:c r="F380" s="16">
        <ns0:f>A380*('前提と出典'!$C$36*'契約別単価'!F5+'前提と出典'!$C$37*'契約別単価'!F6+'前提と出典'!$C$38*'契約別単価'!F7)</ns0:f>
        <ns0:v>274655.6721614923</ns0:v>
      </ns0:c>
      <ns0:c r="G380" s="16">
        <ns0:f>A380*('前提と出典'!$C$36*'契約別単価'!G5+'前提と出典'!$C$37*'契約別単価'!G6+'前提と出典'!$C$38*'契約別単価'!G7)</ns0:f>
        <ns0:v>748429.0502793295</ns0:v>
      </ns0:c>
      <ns0:c r="H380" s="16">
        <ns0:f>A380*('前提と出典'!$C$36*'契約別単価'!H5+'前提と出典'!$C$37*'契約別単価'!H6+'前提と出典'!$C$38*'契約別単価'!H7)</ns0:f>
        <ns0:v>259742.4171135004</ns0:v>
      </ns0:c>
      <ns0:c r="I380" s="16">
        <ns0:f>A380*('前提と出典'!$C$36*'契約別単価'!I5+'前提と出典'!$C$37*'契約別単価'!I6+'前提と出典'!$C$38*'契約別単価'!I7)</ns0:f>
        <ns0:v>15865.519553072623</ns0:v>
      </ns0:c>
      <ns0:c r="J380" s="16">
        <ns0:f>A380*('前提と出典'!$C$36*'契約別単価'!J5+'前提と出典'!$C$37*'契約別単価'!J6+'前提と出典'!$C$38*'契約別単価'!J7)</ns0:f>
        <ns0:v>36956.86843507377</ns0:v>
      </ns0:c>
      <ns0:c r="K380" s="16">
        <ns0:f>A380*('前提と出典'!$C$36*'契約別単価'!K5+'前提と出典'!$C$37*'契約別単価'!K6+'前提と出典'!$C$38*'契約別単価'!K7)</ns0:f>
        <ns0:v>158410.13035381748</ns0:v>
      </ns0:c>
      <ns0:c r="L380" s="16">
        <ns0:f>A380*('前提と出典'!$C$36*'契約別単価'!L5+'前提と出典'!$C$37*'契約別単価'!L6+'前提と出典'!$C$38*'契約別単価'!L7)</ns0:f>
        <ns0:v>128978.08057045001</ns0:v>
      </ns0:c>
      <ns0:c r="M380" s="16">
        <ns0:f>IF(('前提と出典'!$C$36+'前提と出典'!$C$38)=0,0,IF(B380&lt;=10,'前提と出典'!B73+'前提と出典'!C73,IF(B380&lt;=100,'前提と出典'!B74+'前提と出典'!C74,IF(B380&lt;=500,'前提と出典'!B75+'前提と出典'!C75,'前提と出典'!B76+'前提と出典'!C76))))</ns0:f>
        <ns0:v>40000</ns0:v>
      </ns0:c>
      <ns0:c r="N380" s="16">
        <ns0:f>IF(('前提と出典'!$C$37+'前提と出典'!$C$38)=0,0,IF(C380&lt;=10,'前提と出典'!D73+'前提と出典'!E73,IF(C380&lt;=100,'前提と出典'!D74+'前提と出典'!E74,IF(C380&lt;=500,'前提と出典'!D75+'前提と出典'!E75,'前提と出典'!D76+'前提と出典'!E76))))</ns0:f>
        <ns0:v>56510.9346263078</ns0:v>
      </ns0:c>
      <ns0:c r="O380" s="16">
        <ns0:f>IF('前提と出典'!$C$36+'前提と出典'!$C$38=0,0,'前提と出典'!$B$4*IF('前提と出典'!$B$20=0,MAX('前提と出典'!$B$6,D380*'前提と出典'!$B$5),'前提と出典'!$B$6+D380*'前提と出典'!$B$5))</ns0:f>
        <ns0:v>373361.69832402235</ns0:v>
      </ns0:c>
      <ns0:c r="P380" s="16">
        <ns0:f>(E380+G380)*(1-'前提と出典'!$B$7)-I380-K380-M380-O380</ns0:f>
        <ns0:v>1045036.6914879556</ns0:v>
      </ns0:c>
      <ns0:c r="Q380" s="16">
        <ns0:f>(F380+H380)*(1-'前提と出典'!$B$7)-J380-L380-N380</ns0:f>
        <ns0:v>292713.8744292614</ns0:v>
      </ns0:c>
      <ns0:c r="R380" s="16">
        <ns0:f>P380-E380*'前提と出典'!$E$4</ns0:f>
        <ns0:v>761471.8257463807</ns0:v>
      </ns0:c>
      <ns0:c r="S380" s="16">
        <ns0:f>Q380-F380*'前提と出典'!$E$4</ns0:f>
        <ns0:v>210317.17278081377</ns0:v>
      </ns0:c>
      <ns0:c r="T380" s="7">
        <ns0:f>R380+S380</ns0:f>
        <ns0:v>971788.9985271945</ns0:v>
      </ns0:c>
      <ns0:c r="U380" s="16">
        <ns0:f>P380-E380*'前提と出典'!$E$5</ns0:f>
        <ns0:v>666950.2038325223</ns0:v>
      </ns0:c>
      <ns0:c r="V380" s="16">
        <ns0:f>Q380-F380*'前提と出典'!$E$5</ns0:f>
        <ns0:v>182851.60556466453</ns0:v>
      </ns0:c>
      <ns0:c r="W380" s="7">
        <ns0:f>U380+V380</ns0:f>
        <ns0:v>849801.8093971869</ns0:v>
      </ns0:c>
      <ns0:c r="X380" s="16">
        <ns0:f>P380-E380*'前提と出典'!$E$6</ns0:f>
        <ns0:v>572428.5819186638</ns0:v>
      </ns0:c>
      <ns0:c r="Y380" s="16">
        <ns0:f>Q380-F380*'前提と出典'!$E$6</ns0:f>
        <ns0:v>155386.03834851529</ns0:v>
      </ns0:c>
      <ns0:c r="Z380" s="7">
        <ns0:f>X380+Y380</ns0:f>
        <ns0:v>727814.6202671791</ns0:v>
      </ns0:c>
      <ns0:c r="AA380" s="7">
        <ns0:f>IF(T380&gt;=0,A380,1001)</ns0:f>
        <ns0:v>376</ns0:v>
      </ns0:c>
      <ns0:c r="AB380" s="7">
        <ns0:f>IF(T380&lt;0,A380,0)</ns0:f>
        <ns0:v>0</ns0:v>
      </ns0:c>
      <ns0:c r="AC380" s="16">
        <ns0:f>IF(AND(OR('前提と出典'!$C$36+'前提と出典'!$C$38=0,R380&gt;=0),OR('前提と出典'!$C$37+'前提と出典'!$C$38=0,S380&gt;=0)),0,A380)</ns0:f>
        <ns0:v>0</ns0:v>
      </ns0:c>
      <ns0:c r="AD380" s="7">
        <ns0:f>IF(W380&gt;=0,A380,1001)</ns0:f>
        <ns0:v>376</ns0:v>
      </ns0:c>
      <ns0:c r="AE380" s="7">
        <ns0:f>IF(W380&lt;0,A380,0)</ns0:f>
        <ns0:v>0</ns0:v>
      </ns0:c>
      <ns0:c r="AF380" s="16">
        <ns0:f>IF(AND(OR('前提と出典'!$C$36+'前提と出典'!$C$38=0,U380&gt;=0),OR('前提と出典'!$C$37+'前提と出典'!$C$38=0,V380&gt;=0)),0,A380)</ns0:f>
        <ns0:v>0</ns0:v>
      </ns0:c>
      <ns0:c r="AG380" s="7">
        <ns0:f>IF(Z380&gt;=0,A380,1001)</ns0:f>
        <ns0:v>376</ns0:v>
      </ns0:c>
      <ns0:c r="AH380" s="4">
        <ns0:f>IF(Z380&lt;0,A380,0)</ns0:f>
        <ns0:v>0</ns0:v>
      </ns0:c>
      <ns0:c r="AI380" s="12">
        <ns0:f>IF(AND(OR('前提と出典'!$C$36+'前提と出典'!$C$38=0,X380&gt;=0),OR('前提と出典'!$C$37+'前提と出典'!$C$38=0,Y380&gt;=0)),0,A380)</ns0:f>
        <ns0:v>0</ns0:v>
      </ns0:c>
    </ns0:row>
    <ns0:row r="381" ht="24" customHeight="1">
      <ns0:c r="A381" s="4" t="n">
        <ns0:v>377</ns0:v>
      </ns0:c>
      <ns0:c r="B381" s="12">
        <ns0:f>A381*('前提と出典'!$C$36+'前提と出典'!$C$38)</ns0:f>
        <ns0:v>263.9</ns0:v>
      </ns0:c>
      <ns0:c r="C381" s="12">
        <ns0:f>A381*('前提と出典'!$C$37+'前提と出典'!$C$38)</ns0:f>
        <ns0:v>226.2</ns0:v>
      </ns0:c>
      <ns0:c r="D381" s="16">
        <ns0:f>A381*('前提と出典'!$C$36*'契約別単価'!C5+'前提と出典'!$C$37*'契約別単価'!C6+'前提と出典'!$C$38*'契約別単価'!C7)</ns0:f>
        <ns0:v>2712.7150837988825</ns0:v>
      </ns0:c>
      <ns0:c r="E381" s="16">
        <ns0:f>A381*('前提と出典'!$C$36*'契約別単価'!E5+'前提と出典'!$C$37*'契約別単価'!E6+'前提と出典'!$C$38*'契約別単価'!E7)</ns0:f>
        <ns0:v>947730.0920618243</ns0:v>
      </ns0:c>
      <ns0:c r="F381" s="16">
        <ns0:f>A381*('前提と出典'!$C$36*'契約別単価'!F5+'前提と出典'!$C$37*'契約別単価'!F6+'前提と出典'!$C$38*'契約別単価'!F7)</ns0:f>
        <ns0:v>275386.13937468774</ns0:v>
      </ns0:c>
      <ns0:c r="G381" s="16">
        <ns0:f>A381*('前提と出典'!$C$36*'契約別単価'!G5+'前提と出典'!$C$37*'契約別単価'!G6+'前提と出典'!$C$38*'契約別単価'!G7)</ns0:f>
        <ns0:v>750419.5530726257</ns0:v>
      </ns0:c>
      <ns0:c r="H381" s="16">
        <ns0:f>A381*('前提と出典'!$C$36*'契約別単価'!H5+'前提と出典'!$C$37*'契約別単価'!H6+'前提と出典'!$C$38*'契約別単価'!H7)</ns0:f>
        <ns0:v>260433.2214143342</ns0:v>
      </ns0:c>
      <ns0:c r="I381" s="16">
        <ns0:f>A381*('前提と出典'!$C$36*'契約別単価'!I5+'前提と出典'!$C$37*'契約別単価'!I6+'前提と出典'!$C$38*'契約別単価'!I7)</ns0:f>
        <ns0:v>15907.71508379888</ns0:v>
      </ns0:c>
      <ns0:c r="J381" s="16">
        <ns0:f>A381*('前提と出典'!$C$36*'契約別単価'!J5+'前提と出典'!$C$37*'契約別単価'!J6+'前提と出典'!$C$38*'契約別単価'!J7)</ns0:f>
        <ns0:v>37055.15797878407</ns0:v>
      </ns0:c>
      <ns0:c r="K381" s="16">
        <ns0:f>A381*('前提と出典'!$C$36*'契約別単価'!K5+'前提と出典'!$C$37*'契約別単価'!K6+'前提と出典'!$C$38*'契約別単価'!K7)</ns0:f>
        <ns0:v>158831.43389199255</ns0:v>
      </ns0:c>
      <ns0:c r="L381" s="16">
        <ns0:f>A381*('前提と出典'!$C$36*'契約別単価'!L5+'前提と出典'!$C$37*'契約別単価'!L6+'前提と出典'!$C$38*'契約別単価'!L7)</ns0:f>
        <ns0:v>129321.1073804778</ns0:v>
      </ns0:c>
      <ns0:c r="M381" s="16">
        <ns0:f>IF(('前提と出典'!$C$36+'前提と出典'!$C$38)=0,0,IF(B381&lt;=10,'前提と出典'!B73+'前提と出典'!C73,IF(B381&lt;=100,'前提と出典'!B74+'前提と出典'!C74,IF(B381&lt;=500,'前提と出典'!B75+'前提と出典'!C75,'前提と出典'!B76+'前提と出典'!C76))))</ns0:f>
        <ns0:v>40000</ns0:v>
      </ns0:c>
      <ns0:c r="N381" s="16">
        <ns0:f>IF(('前提と出典'!$C$37+'前提と出典'!$C$38)=0,0,IF(C381&lt;=10,'前提と出典'!D73+'前提と出典'!E73,IF(C381&lt;=100,'前提と出典'!D74+'前提と出典'!E74,IF(C381&lt;=500,'前提と出典'!D75+'前提と出典'!E75,'前提と出典'!D76+'前提と出典'!E76))))</ns0:f>
        <ns0:v>56510.9346263078</ns0:v>
      </ns0:c>
      <ns0:c r="O381" s="16">
        <ns0:f>IF('前提と出典'!$C$36+'前提と出典'!$C$38=0,0,'前提と出典'!$B$4*IF('前提と出典'!$B$20=0,MAX('前提と出典'!$B$6,D381*'前提と出典'!$B$5),'前提と出典'!$B$6+D381*'前提と出典'!$B$5))</ns0:f>
        <ns0:v>374354.6815642458</ns0:v>
      </ns0:c>
      <ns0:c r="P381" s="16">
        <ns0:f>(E381+G381)*(1-'前提と出典'!$B$7)-I381-K381-M381-O381</ns0:f>
        <ns0:v>1047922.4273695725</ns0:v>
      </ns0:c>
      <ns0:c r="Q381" s="16">
        <ns0:f>(F381+H381)*(1-'前提と出典'!$B$7)-J381-L381-N381</ns0:f>
        <ns0:v>293642.6638150475</ns0:v>
      </ns0:c>
      <ns0:c r="R381" s="16">
        <ns0:f>P381-E381*'前提と出典'!$E$4</ns0:f>
        <ns0:v>763603.3997510253</ns0:v>
      </ns0:c>
      <ns0:c r="S381" s="16">
        <ns0:f>Q381-F381*'前提と出典'!$E$4</ns0:f>
        <ns0:v>211026.82200264116</ns0:v>
      </ns0:c>
      <ns0:c r="T381" s="7">
        <ns0:f>R381+S381</ns0:f>
        <ns0:v>974630.2217536664</ns0:v>
      </ns0:c>
      <ns0:c r="U381" s="16">
        <ns0:f>P381-E381*'前提と出典'!$E$5</ns0:f>
        <ns0:v>668830.3905448427</ns0:v>
      </ns0:c>
      <ns0:c r="V381" s="16">
        <ns0:f>Q381-F381*'前提と出典'!$E$5</ns0:f>
        <ns0:v>183488.2080651724</ns0:v>
      </ns0:c>
      <ns0:c r="W381" s="7">
        <ns0:f>U381+V381</ns0:f>
        <ns0:v>852318.5986100151</ns0:v>
      </ns0:c>
      <ns0:c r="X381" s="16">
        <ns0:f>P381-E381*'前提と出典'!$E$6</ns0:f>
        <ns0:v>574057.3813386604</ns0:v>
      </ns0:c>
      <ns0:c r="Y381" s="16">
        <ns0:f>Q381-F381*'前提と出典'!$E$6</ns0:f>
        <ns0:v>155949.5941277036</ns0:v>
      </ns0:c>
      <ns0:c r="Z381" s="7">
        <ns0:f>X381+Y381</ns0:f>
        <ns0:v>730006.975466364</ns0:v>
      </ns0:c>
      <ns0:c r="AA381" s="7">
        <ns0:f>IF(T381&gt;=0,A381,1001)</ns0:f>
        <ns0:v>377</ns0:v>
      </ns0:c>
      <ns0:c r="AB381" s="7">
        <ns0:f>IF(T381&lt;0,A381,0)</ns0:f>
        <ns0:v>0</ns0:v>
      </ns0:c>
      <ns0:c r="AC381" s="16">
        <ns0:f>IF(AND(OR('前提と出典'!$C$36+'前提と出典'!$C$38=0,R381&gt;=0),OR('前提と出典'!$C$37+'前提と出典'!$C$38=0,S381&gt;=0)),0,A381)</ns0:f>
        <ns0:v>0</ns0:v>
      </ns0:c>
      <ns0:c r="AD381" s="7">
        <ns0:f>IF(W381&gt;=0,A381,1001)</ns0:f>
        <ns0:v>377</ns0:v>
      </ns0:c>
      <ns0:c r="AE381" s="7">
        <ns0:f>IF(W381&lt;0,A381,0)</ns0:f>
        <ns0:v>0</ns0:v>
      </ns0:c>
      <ns0:c r="AF381" s="16">
        <ns0:f>IF(AND(OR('前提と出典'!$C$36+'前提と出典'!$C$38=0,U381&gt;=0),OR('前提と出典'!$C$37+'前提と出典'!$C$38=0,V381&gt;=0)),0,A381)</ns0:f>
        <ns0:v>0</ns0:v>
      </ns0:c>
      <ns0:c r="AG381" s="7">
        <ns0:f>IF(Z381&gt;=0,A381,1001)</ns0:f>
        <ns0:v>377</ns0:v>
      </ns0:c>
      <ns0:c r="AH381" s="4">
        <ns0:f>IF(Z381&lt;0,A381,0)</ns0:f>
        <ns0:v>0</ns0:v>
      </ns0:c>
      <ns0:c r="AI381" s="12">
        <ns0:f>IF(AND(OR('前提と出典'!$C$36+'前提と出典'!$C$38=0,X381&gt;=0),OR('前提と出典'!$C$37+'前提と出典'!$C$38=0,Y381&gt;=0)),0,A381)</ns0:f>
        <ns0:v>0</ns0:v>
      </ns0:c>
    </ns0:row>
    <ns0:row r="382" ht="24" customHeight="1">
      <ns0:c r="A382" s="4" t="n">
        <ns0:v>378</ns0:v>
      </ns0:c>
      <ns0:c r="B382" s="12">
        <ns0:f>A382*('前提と出典'!$C$36+'前提と出典'!$C$38)</ns0:f>
        <ns0:v>264.59999999999997</ns0:v>
      </ns0:c>
      <ns0:c r="C382" s="12">
        <ns0:f>A382*('前提と出典'!$C$37+'前提と出典'!$C$38)</ns0:f>
        <ns0:v>226.79999999999998</ns0:v>
      </ns0:c>
      <ns0:c r="D382" s="16">
        <ns0:f>A382*('前提と出典'!$C$36*'契約別単価'!C5+'前提と出典'!$C$37*'契約別単価'!C6+'前提と出典'!$C$38*'契約別単価'!C7)</ns0:f>
        <ns0:v>2719.91061452514</ns0:v>
      </ns0:c>
      <ns0:c r="E382" s="16">
        <ns0:f>A382*('前提と出典'!$C$36*'契約別単価'!E5+'前提と出典'!$C$37*'契約別単価'!E6+'前提と出典'!$C$38*'契約別単価'!E7)</ns0:f>
        <ns0:v>950243.9649850652</ns0:v>
      </ns0:c>
      <ns0:c r="F382" s="16">
        <ns0:f>A382*('前提と出典'!$C$36*'契約別単価'!F5+'前提と出典'!$C$37*'契約別単価'!F6+'前提と出典'!$C$38*'契約別単価'!F7)</ns0:f>
        <ns0:v>276116.6065878832</ns0:v>
      </ns0:c>
      <ns0:c r="G382" s="16">
        <ns0:f>A382*('前提と出典'!$C$36*'契約別単価'!G5+'前提と出典'!$C$37*'契約別単価'!G6+'前提と出典'!$C$38*'契約別単価'!G7)</ns0:f>
        <ns0:v>752410.0558659218</ns0:v>
      </ns0:c>
      <ns0:c r="H382" s="16">
        <ns0:f>A382*('前提と出典'!$C$36*'契約別単価'!H5+'前提と出典'!$C$37*'契約別単価'!H6+'前提と出典'!$C$38*'契約別単価'!H7)</ns0:f>
        <ns0:v>261124.02571516795</ns0:v>
      </ns0:c>
      <ns0:c r="I382" s="16">
        <ns0:f>A382*('前提と出典'!$C$36*'契約別単価'!I5+'前提と出典'!$C$37*'契約別単価'!I6+'前提と出典'!$C$38*'契約別単価'!I7)</ns0:f>
        <ns0:v>15949.910614525137</ns0:v>
      </ns0:c>
      <ns0:c r="J382" s="16">
        <ns0:f>A382*('前提と出典'!$C$36*'契約別単価'!J5+'前提と出典'!$C$37*'契約別単価'!J6+'前提と出典'!$C$38*'契約別単価'!J7)</ns0:f>
        <ns0:v>37153.44752249437</ns0:v>
      </ns0:c>
      <ns0:c r="K382" s="16">
        <ns0:f>A382*('前提と出典'!$C$36*'契約別単価'!K5+'前提と出典'!$C$37*'契約別単価'!K6+'前提と出典'!$C$38*'契約別単価'!K7)</ns0:f>
        <ns0:v>159252.7374301676</ns0:v>
      </ns0:c>
      <ns0:c r="L382" s="16">
        <ns0:f>A382*('前提と出典'!$C$36*'契約別単価'!L5+'前提と出典'!$C$37*'契約別単価'!L6+'前提と出典'!$C$38*'契約別単価'!L7)</ns0:f>
        <ns0:v>129664.13419050559</ns0:v>
      </ns0:c>
      <ns0:c r="M382" s="16">
        <ns0:f>IF(('前提と出典'!$C$36+'前提と出典'!$C$38)=0,0,IF(B382&lt;=10,'前提と出典'!B73+'前提と出典'!C73,IF(B382&lt;=100,'前提と出典'!B74+'前提と出典'!C74,IF(B382&lt;=500,'前提と出典'!B75+'前提と出典'!C75,'前提と出典'!B76+'前提と出典'!C76))))</ns0:f>
        <ns0:v>40000</ns0:v>
      </ns0:c>
      <ns0:c r="N382" s="16">
        <ns0:f>IF(('前提と出典'!$C$37+'前提と出典'!$C$38)=0,0,IF(C382&lt;=10,'前提と出典'!D73+'前提と出典'!E73,IF(C382&lt;=100,'前提と出典'!D74+'前提と出典'!E74,IF(C382&lt;=500,'前提と出典'!D75+'前提と出典'!E75,'前提と出典'!D76+'前提と出典'!E76))))</ns0:f>
        <ns0:v>56510.9346263078</ns0:v>
      </ns0:c>
      <ns0:c r="O382" s="16">
        <ns0:f>IF('前提と出典'!$C$36+'前提と出典'!$C$38=0,0,'前提と出典'!$B$4*IF('前提と出典'!$B$20=0,MAX('前提と出典'!$B$6,D382*'前提と出典'!$B$5),'前提と出典'!$B$6+D382*'前提と出典'!$B$5))</ns0:f>
        <ns0:v>375347.6648044693</ns0:v>
      </ns0:c>
      <ns0:c r="P382" s="16">
        <ns0:f>(E382+G382)*(1-'前提と出典'!$B$7)-I382-K382-M382-O382</ns0:f>
        <ns0:v>1050808.1632511893</ns0:v>
      </ns0:c>
      <ns0:c r="Q382" s="16">
        <ns0:f>(F382+H382)*(1-'前提と出典'!$B$7)-J382-L382-N382</ns0:f>
        <ns0:v>294571.45320083364</ns0:v>
      </ns0:c>
      <ns0:c r="R382" s="16">
        <ns0:f>P382-E382*'前提と出典'!$E$4</ns0:f>
        <ns0:v>765734.9737556698</ns0:v>
      </ns0:c>
      <ns0:c r="S382" s="16">
        <ns0:f>Q382-F382*'前提と出典'!$E$4</ns0:f>
        <ns0:v>211736.4712244686</ns0:v>
      </ns0:c>
      <ns0:c r="T382" s="7">
        <ns0:f>R382+S382</ns0:f>
        <ns0:v>977471.4449801384</ns0:v>
      </ns0:c>
      <ns0:c r="U382" s="16">
        <ns0:f>P382-E382*'前提と出典'!$E$5</ns0:f>
        <ns0:v>670710.5772571631</ns0:v>
      </ns0:c>
      <ns0:c r="V382" s="16">
        <ns0:f>Q382-F382*'前提と出典'!$E$5</ns0:f>
        <ns0:v>184124.81056568032</ns0:v>
      </ns0:c>
      <ns0:c r="W382" s="7">
        <ns0:f>U382+V382</ns0:f>
        <ns0:v>854835.3878228434</ns0:v>
      </ns0:c>
      <ns0:c r="X382" s="16">
        <ns0:f>P382-E382*'前提と出典'!$E$6</ns0:f>
        <ns0:v>575686.1807586567</ns0:v>
      </ns0:c>
      <ns0:c r="Y382" s="16">
        <ns0:f>Q382-F382*'前提と出典'!$E$6</ns0:f>
        <ns0:v>156513.14990689198</ns0:v>
      </ns0:c>
      <ns0:c r="Z382" s="7">
        <ns0:f>X382+Y382</ns0:f>
        <ns0:v>732199.3306655487</ns0:v>
      </ns0:c>
      <ns0:c r="AA382" s="7">
        <ns0:f>IF(T382&gt;=0,A382,1001)</ns0:f>
        <ns0:v>378</ns0:v>
      </ns0:c>
      <ns0:c r="AB382" s="7">
        <ns0:f>IF(T382&lt;0,A382,0)</ns0:f>
        <ns0:v>0</ns0:v>
      </ns0:c>
      <ns0:c r="AC382" s="16">
        <ns0:f>IF(AND(OR('前提と出典'!$C$36+'前提と出典'!$C$38=0,R382&gt;=0),OR('前提と出典'!$C$37+'前提と出典'!$C$38=0,S382&gt;=0)),0,A382)</ns0:f>
        <ns0:v>0</ns0:v>
      </ns0:c>
      <ns0:c r="AD382" s="7">
        <ns0:f>IF(W382&gt;=0,A382,1001)</ns0:f>
        <ns0:v>378</ns0:v>
      </ns0:c>
      <ns0:c r="AE382" s="7">
        <ns0:f>IF(W382&lt;0,A382,0)</ns0:f>
        <ns0:v>0</ns0:v>
      </ns0:c>
      <ns0:c r="AF382" s="16">
        <ns0:f>IF(AND(OR('前提と出典'!$C$36+'前提と出典'!$C$38=0,U382&gt;=0),OR('前提と出典'!$C$37+'前提と出典'!$C$38=0,V382&gt;=0)),0,A382)</ns0:f>
        <ns0:v>0</ns0:v>
      </ns0:c>
      <ns0:c r="AG382" s="7">
        <ns0:f>IF(Z382&gt;=0,A382,1001)</ns0:f>
        <ns0:v>378</ns0:v>
      </ns0:c>
      <ns0:c r="AH382" s="4">
        <ns0:f>IF(Z382&lt;0,A382,0)</ns0:f>
        <ns0:v>0</ns0:v>
      </ns0:c>
      <ns0:c r="AI382" s="12">
        <ns0:f>IF(AND(OR('前提と出典'!$C$36+'前提と出典'!$C$38=0,X382&gt;=0),OR('前提と出典'!$C$37+'前提と出典'!$C$38=0,Y382&gt;=0)),0,A382)</ns0:f>
        <ns0:v>0</ns0:v>
      </ns0:c>
    </ns0:row>
    <ns0:row r="383" ht="24" customHeight="1">
      <ns0:c r="A383" s="4" t="n">
        <ns0:v>379</ns0:v>
      </ns0:c>
      <ns0:c r="B383" s="12">
        <ns0:f>A383*('前提と出典'!$C$36+'前提と出典'!$C$38)</ns0:f>
        <ns0:v>265.3</ns0:v>
      </ns0:c>
      <ns0:c r="C383" s="12">
        <ns0:f>A383*('前提と出典'!$C$37+'前提と出典'!$C$38)</ns0:f>
        <ns0:v>227.4</ns0:v>
      </ns0:c>
      <ns0:c r="D383" s="16">
        <ns0:f>A383*('前提と出典'!$C$36*'契約別単価'!C5+'前提と出典'!$C$37*'契約別単価'!C6+'前提と出典'!$C$38*'契約別単価'!C7)</ns0:f>
        <ns0:v>2727.106145251397</ns0:v>
      </ns0:c>
      <ns0:c r="E383" s="16">
        <ns0:f>A383*('前提と出典'!$C$36*'契約別単価'!E5+'前提と出典'!$C$37*'契約別単価'!E6+'前提と出典'!$C$38*'契約別単価'!E7)</ns0:f>
        <ns0:v>952757.8379083062</ns0:v>
      </ns0:c>
      <ns0:c r="F383" s="16">
        <ns0:f>A383*('前提と出典'!$C$36*'契約別単価'!F5+'前提と出典'!$C$37*'契約別単価'!F6+'前提と出典'!$C$38*'契約別単価'!F7)</ns0:f>
        <ns0:v>276847.07380107866</ns0:v>
      </ns0:c>
      <ns0:c r="G383" s="16">
        <ns0:f>A383*('前提と出典'!$C$36*'契約別単価'!G5+'前提と出典'!$C$37*'契約別単価'!G6+'前提と出典'!$C$38*'契約別単価'!G7)</ns0:f>
        <ns0:v>754400.5586592178</ns0:v>
      </ns0:c>
      <ns0:c r="H383" s="16">
        <ns0:f>A383*('前提と出典'!$C$36*'契約別単価'!H5+'前提と出典'!$C$37*'契約別単価'!H6+'前提と出典'!$C$38*'契約別単価'!H7)</ns0:f>
        <ns0:v>261814.83001600174</ns0:v>
      </ns0:c>
      <ns0:c r="I383" s="16">
        <ns0:f>A383*('前提と出典'!$C$36*'契約別単価'!I5+'前提と出典'!$C$37*'契約別単価'!I6+'前提と出典'!$C$38*'契約別単価'!I7)</ns0:f>
        <ns0:v>15992.106145251393</ns0:v>
      </ns0:c>
      <ns0:c r="J383" s="16">
        <ns0:f>A383*('前提と出典'!$C$36*'契約別単価'!J5+'前提と出典'!$C$37*'契約別単価'!J6+'前提と出典'!$C$38*'契約別単価'!J7)</ns0:f>
        <ns0:v>37251.737066204674</ns0:v>
      </ns0:c>
      <ns0:c r="K383" s="16">
        <ns0:f>A383*('前提と出典'!$C$36*'契約別単価'!K5+'前提と出典'!$C$37*'契約別単価'!K6+'前提と出典'!$C$38*'契約別単価'!K7)</ns0:f>
        <ns0:v>159674.04096834263</ns0:v>
      </ns0:c>
      <ns0:c r="L383" s="16">
        <ns0:f>A383*('前提と出典'!$C$36*'契約別単価'!L5+'前提と出典'!$C$37*'契約別単価'!L6+'前提と出典'!$C$38*'契約別単価'!L7)</ns0:f>
        <ns0:v>130007.1610005334</ns0:v>
      </ns0:c>
      <ns0:c r="M383" s="16">
        <ns0:f>IF(('前提と出典'!$C$36+'前提と出典'!$C$38)=0,0,IF(B383&lt;=10,'前提と出典'!B73+'前提と出典'!C73,IF(B383&lt;=100,'前提と出典'!B74+'前提と出典'!C74,IF(B383&lt;=500,'前提と出典'!B75+'前提と出典'!C75,'前提と出典'!B76+'前提と出典'!C76))))</ns0:f>
        <ns0:v>40000</ns0:v>
      </ns0:c>
      <ns0:c r="N383" s="16">
        <ns0:f>IF(('前提と出典'!$C$37+'前提と出典'!$C$38)=0,0,IF(C383&lt;=10,'前提と出典'!D73+'前提と出典'!E73,IF(C383&lt;=100,'前提と出典'!D74+'前提と出典'!E74,IF(C383&lt;=500,'前提と出典'!D75+'前提と出典'!E75,'前提と出典'!D76+'前提と出典'!E76))))</ns0:f>
        <ns0:v>56510.9346263078</ns0:v>
      </ns0:c>
      <ns0:c r="O383" s="16">
        <ns0:f>IF('前提と出典'!$C$36+'前提と出典'!$C$38=0,0,'前提と出典'!$B$4*IF('前提と出典'!$B$20=0,MAX('前提と出典'!$B$6,D383*'前提と出典'!$B$5),'前提と出典'!$B$6+D383*'前提と出典'!$B$5))</ns0:f>
        <ns0:v>376340.64804469276</ns0:v>
      </ns0:c>
      <ns0:c r="P383" s="16">
        <ns0:f>(E383+G383)*(1-'前提と出典'!$B$7)-I383-K383-M383-O383</ns0:f>
        <ns0:v>1053693.8991328063</ns0:v>
      </ns0:c>
      <ns0:c r="Q383" s="16">
        <ns0:f>(F383+H383)*(1-'前提と出典'!$B$7)-J383-L383-N383</ns0:f>
        <ns0:v>295500.2425866197</ns0:v>
      </ns0:c>
      <ns0:c r="R383" s="16">
        <ns0:f>P383-E383*'前提と出典'!$E$4</ns0:f>
        <ns0:v>767866.5477603145</ns0:v>
      </ns0:c>
      <ns0:c r="S383" s="16">
        <ns0:f>Q383-F383*'前提と出典'!$E$4</ns0:f>
        <ns0:v>212446.12044629606</ns0:v>
      </ns0:c>
      <ns0:c r="T383" s="7">
        <ns0:f>R383+S383</ns0:f>
        <ns0:v>980312.6682066106</ns0:v>
      </ns0:c>
      <ns0:c r="U383" s="16">
        <ns0:f>P383-E383*'前提と出典'!$E$5</ns0:f>
        <ns0:v>672590.7639694838</ns0:v>
      </ns0:c>
      <ns0:c r="V383" s="16">
        <ns0:f>Q383-F383*'前提と出典'!$E$5</ns0:f>
        <ns0:v>184761.41306618822</ns0:v>
      </ns0:c>
      <ns0:c r="W383" s="7">
        <ns0:f>U383+V383</ns0:f>
        <ns0:v>857352.177035672</ns0:v>
      </ns0:c>
      <ns0:c r="X383" s="16">
        <ns0:f>P383-E383*'前提と出典'!$E$6</ns0:f>
        <ns0:v>577314.9801786533</ns0:v>
      </ns0:c>
      <ns0:c r="Y383" s="16">
        <ns0:f>Q383-F383*'前提と出典'!$E$6</ns0:f>
        <ns0:v>157076.7056860804</ns0:v>
      </ns0:c>
      <ns0:c r="Z383" s="7">
        <ns0:f>X383+Y383</ns0:f>
        <ns0:v>734391.6858647336</ns0:v>
      </ns0:c>
      <ns0:c r="AA383" s="7">
        <ns0:f>IF(T383&gt;=0,A383,1001)</ns0:f>
        <ns0:v>379</ns0:v>
      </ns0:c>
      <ns0:c r="AB383" s="7">
        <ns0:f>IF(T383&lt;0,A383,0)</ns0:f>
        <ns0:v>0</ns0:v>
      </ns0:c>
      <ns0:c r="AC383" s="16">
        <ns0:f>IF(AND(OR('前提と出典'!$C$36+'前提と出典'!$C$38=0,R383&gt;=0),OR('前提と出典'!$C$37+'前提と出典'!$C$38=0,S383&gt;=0)),0,A383)</ns0:f>
        <ns0:v>0</ns0:v>
      </ns0:c>
      <ns0:c r="AD383" s="7">
        <ns0:f>IF(W383&gt;=0,A383,1001)</ns0:f>
        <ns0:v>379</ns0:v>
      </ns0:c>
      <ns0:c r="AE383" s="7">
        <ns0:f>IF(W383&lt;0,A383,0)</ns0:f>
        <ns0:v>0</ns0:v>
      </ns0:c>
      <ns0:c r="AF383" s="16">
        <ns0:f>IF(AND(OR('前提と出典'!$C$36+'前提と出典'!$C$38=0,U383&gt;=0),OR('前提と出典'!$C$37+'前提と出典'!$C$38=0,V383&gt;=0)),0,A383)</ns0:f>
        <ns0:v>0</ns0:v>
      </ns0:c>
      <ns0:c r="AG383" s="7">
        <ns0:f>IF(Z383&gt;=0,A383,1001)</ns0:f>
        <ns0:v>379</ns0:v>
      </ns0:c>
      <ns0:c r="AH383" s="4">
        <ns0:f>IF(Z383&lt;0,A383,0)</ns0:f>
        <ns0:v>0</ns0:v>
      </ns0:c>
      <ns0:c r="AI383" s="12">
        <ns0:f>IF(AND(OR('前提と出典'!$C$36+'前提と出典'!$C$38=0,X383&gt;=0),OR('前提と出典'!$C$37+'前提と出典'!$C$38=0,Y383&gt;=0)),0,A383)</ns0:f>
        <ns0:v>0</ns0:v>
      </ns0:c>
    </ns0:row>
    <ns0:row r="384" ht="24" customHeight="1">
      <ns0:c r="A384" s="4" t="n">
        <ns0:v>380</ns0:v>
      </ns0:c>
      <ns0:c r="B384" s="12">
        <ns0:f>A384*('前提と出典'!$C$36+'前提と出典'!$C$38)</ns0:f>
        <ns0:v>266</ns0:v>
      </ns0:c>
      <ns0:c r="C384" s="12">
        <ns0:f>A384*('前提と出典'!$C$37+'前提と出典'!$C$38)</ns0:f>
        <ns0:v>228</ns0:v>
      </ns0:c>
      <ns0:c r="D384" s="16">
        <ns0:f>A384*('前提と出典'!$C$36*'契約別単価'!C5+'前提と出典'!$C$37*'契約別単価'!C6+'前提と出典'!$C$38*'契約別単価'!C7)</ns0:f>
        <ns0:v>2734.3016759776538</ns0:v>
      </ns0:c>
      <ns0:c r="E384" s="16">
        <ns0:f>A384*('前提と出典'!$C$36*'契約別単価'!E5+'前提と出典'!$C$37*'契約別単価'!E6+'前提と出典'!$C$38*'契約別単価'!E7)</ns0:f>
        <ns0:v>955271.710831547</ns0:v>
      </ns0:c>
      <ns0:c r="F384" s="16">
        <ns0:f>A384*('前提と出典'!$C$36*'契約別単価'!F5+'前提と出典'!$C$37*'契約別単価'!F6+'前提と出典'!$C$38*'契約別単価'!F7)</ns0:f>
        <ns0:v>277577.5410142741</ns0:v>
      </ns0:c>
      <ns0:c r="G384" s="16">
        <ns0:f>A384*('前提と出典'!$C$36*'契約別単価'!G5+'前提と出典'!$C$37*'契約別単価'!G6+'前提と出典'!$C$38*'契約別単価'!G7)</ns0:f>
        <ns0:v>756391.0614525139</ns0:v>
      </ns0:c>
      <ns0:c r="H384" s="16">
        <ns0:f>A384*('前提と出典'!$C$36*'契約別単価'!H5+'前提と出典'!$C$37*'契約別単価'!H6+'前提と出典'!$C$38*'契約別単価'!H7)</ns0:f>
        <ns0:v>262505.6343168355</ns0:v>
      </ns0:c>
      <ns0:c r="I384" s="16">
        <ns0:f>A384*('前提と出典'!$C$36*'契約別単価'!I5+'前提と出典'!$C$37*'契約別単価'!I6+'前提と出典'!$C$38*'契約別単価'!I7)</ns0:f>
        <ns0:v>16034.301675977651</ns0:v>
      </ns0:c>
      <ns0:c r="J384" s="16">
        <ns0:f>A384*('前提と出典'!$C$36*'契約別単価'!J5+'前提と出典'!$C$37*'契約別単価'!J6+'前提と出典'!$C$38*'契約別単価'!J7)</ns0:f>
        <ns0:v>37350.026609914974</ns0:v>
      </ns0:c>
      <ns0:c r="K384" s="16">
        <ns0:f>A384*('前提と出典'!$C$36*'契約別単価'!K5+'前提と出典'!$C$37*'契約別単価'!K6+'前提と出典'!$C$38*'契約別単価'!K7)</ns0:f>
        <ns0:v>160095.3445065177</ns0:v>
      </ns0:c>
      <ns0:c r="L384" s="16">
        <ns0:f>A384*('前提と出典'!$C$36*'契約別単価'!L5+'前提と出典'!$C$37*'契約別単価'!L6+'前提と出典'!$C$38*'契約別単価'!L7)</ns0:f>
        <ns0:v>130350.18781056118</ns0:v>
      </ns0:c>
      <ns0:c r="M384" s="16">
        <ns0:f>IF(('前提と出典'!$C$36+'前提と出典'!$C$38)=0,0,IF(B384&lt;=10,'前提と出典'!B73+'前提と出典'!C73,IF(B384&lt;=100,'前提と出典'!B74+'前提と出典'!C74,IF(B384&lt;=500,'前提と出典'!B75+'前提と出典'!C75,'前提と出典'!B76+'前提と出典'!C76))))</ns0:f>
        <ns0:v>40000</ns0:v>
      </ns0:c>
      <ns0:c r="N384" s="16">
        <ns0:f>IF(('前提と出典'!$C$37+'前提と出典'!$C$38)=0,0,IF(C384&lt;=10,'前提と出典'!D73+'前提と出典'!E73,IF(C384&lt;=100,'前提と出典'!D74+'前提と出典'!E74,IF(C384&lt;=500,'前提と出典'!D75+'前提と出典'!E75,'前提と出典'!D76+'前提と出典'!E76))))</ns0:f>
        <ns0:v>56510.9346263078</ns0:v>
      </ns0:c>
      <ns0:c r="O384" s="16">
        <ns0:f>IF('前提と出典'!$C$36+'前提と出典'!$C$38=0,0,'前提と出典'!$B$4*IF('前提と出典'!$B$20=0,MAX('前提と出典'!$B$6,D384*'前提と出典'!$B$5),'前提と出典'!$B$6+D384*'前提と出典'!$B$5))</ns0:f>
        <ns0:v>377333.63128491625</ns0:v>
      </ns0:c>
      <ns0:c r="P384" s="16">
        <ns0:f>(E384+G384)*(1-'前提と出典'!$B$7)-I384-K384-M384-O384</ns0:f>
        <ns0:v>1056579.6350144232</ns0:v>
      </ns0:c>
      <ns0:c r="Q384" s="16">
        <ns0:f>(F384+H384)*(1-'前提と出典'!$B$7)-J384-L384-N384</ns0:f>
        <ns0:v>296429.03197240573</ns0:v>
      </ns0:c>
      <ns0:c r="R384" s="16">
        <ns0:f>P384-E384*'前提と出典'!$E$4</ns0:f>
        <ns0:v>769998.1217649591</ns0:v>
      </ns0:c>
      <ns0:c r="S384" s="16">
        <ns0:f>Q384-F384*'前提と出典'!$E$4</ns0:f>
        <ns0:v>213155.76966812357</ns0:v>
      </ns0:c>
      <ns0:c r="T384" s="7">
        <ns0:f>R384+S384</ns0:f>
        <ns0:v>983153.8914330826</ns0:v>
      </ns0:c>
      <ns0:c r="U384" s="16">
        <ns0:f>P384-E384*'前提と出典'!$E$5</ns0:f>
        <ns0:v>674470.9506818044</ns0:v>
      </ns0:c>
      <ns0:c r="V384" s="16">
        <ns0:f>Q384-F384*'前提と出典'!$E$5</ns0:f>
        <ns0:v>185398.0155666961</ns0:v>
      </ns0:c>
      <ns0:c r="W384" s="7">
        <ns0:f>U384+V384</ns0:f>
        <ns0:v>859868.9662485005</ns0:v>
      </ns0:c>
      <ns0:c r="X384" s="16">
        <ns0:f>P384-E384*'前提と出典'!$E$6</ns0:f>
        <ns0:v>578943.7795986494</ns0:v>
      </ns0:c>
      <ns0:c r="Y384" s="16">
        <ns0:f>Q384-F384*'前提と出典'!$E$6</ns0:f>
        <ns0:v>157640.2614652687</ns0:v>
      </ns0:c>
      <ns0:c r="Z384" s="7">
        <ns0:f>X384+Y384</ns0:f>
        <ns0:v>736584.041063918</ns0:v>
      </ns0:c>
      <ns0:c r="AA384" s="7">
        <ns0:f>IF(T384&gt;=0,A384,1001)</ns0:f>
        <ns0:v>380</ns0:v>
      </ns0:c>
      <ns0:c r="AB384" s="7">
        <ns0:f>IF(T384&lt;0,A384,0)</ns0:f>
        <ns0:v>0</ns0:v>
      </ns0:c>
      <ns0:c r="AC384" s="16">
        <ns0:f>IF(AND(OR('前提と出典'!$C$36+'前提と出典'!$C$38=0,R384&gt;=0),OR('前提と出典'!$C$37+'前提と出典'!$C$38=0,S384&gt;=0)),0,A384)</ns0:f>
        <ns0:v>0</ns0:v>
      </ns0:c>
      <ns0:c r="AD384" s="7">
        <ns0:f>IF(W384&gt;=0,A384,1001)</ns0:f>
        <ns0:v>380</ns0:v>
      </ns0:c>
      <ns0:c r="AE384" s="7">
        <ns0:f>IF(W384&lt;0,A384,0)</ns0:f>
        <ns0:v>0</ns0:v>
      </ns0:c>
      <ns0:c r="AF384" s="16">
        <ns0:f>IF(AND(OR('前提と出典'!$C$36+'前提と出典'!$C$38=0,U384&gt;=0),OR('前提と出典'!$C$37+'前提と出典'!$C$38=0,V384&gt;=0)),0,A384)</ns0:f>
        <ns0:v>0</ns0:v>
      </ns0:c>
      <ns0:c r="AG384" s="7">
        <ns0:f>IF(Z384&gt;=0,A384,1001)</ns0:f>
        <ns0:v>380</ns0:v>
      </ns0:c>
      <ns0:c r="AH384" s="4">
        <ns0:f>IF(Z384&lt;0,A384,0)</ns0:f>
        <ns0:v>0</ns0:v>
      </ns0:c>
      <ns0:c r="AI384" s="12">
        <ns0:f>IF(AND(OR('前提と出典'!$C$36+'前提と出典'!$C$38=0,X384&gt;=0),OR('前提と出典'!$C$37+'前提と出典'!$C$38=0,Y384&gt;=0)),0,A384)</ns0:f>
        <ns0:v>0</ns0:v>
      </ns0:c>
    </ns0:row>
    <ns0:row r="385" ht="24" customHeight="1">
      <ns0:c r="A385" s="4" t="n">
        <ns0:v>381</ns0:v>
      </ns0:c>
      <ns0:c r="B385" s="12">
        <ns0:f>A385*('前提と出典'!$C$36+'前提と出典'!$C$38)</ns0:f>
        <ns0:v>266.7</ns0:v>
      </ns0:c>
      <ns0:c r="C385" s="12">
        <ns0:f>A385*('前提と出典'!$C$37+'前提と出典'!$C$38)</ns0:f>
        <ns0:v>228.6</ns0:v>
      </ns0:c>
      <ns0:c r="D385" s="16">
        <ns0:f>A385*('前提と出典'!$C$36*'契約別単価'!C5+'前提と出典'!$C$37*'契約別単価'!C6+'前提と出典'!$C$38*'契約別単価'!C7)</ns0:f>
        <ns0:v>2741.4972067039107</ns0:v>
      </ns0:c>
      <ns0:c r="E385" s="16">
        <ns0:f>A385*('前提と出典'!$C$36*'契約別単価'!E5+'前提と出典'!$C$37*'契約別単価'!E6+'前提と出典'!$C$38*'契約別単価'!E7)</ns0:f>
        <ns0:v>957785.5837547879</ns0:v>
      </ns0:c>
      <ns0:c r="F385" s="16">
        <ns0:f>A385*('前提と出典'!$C$36*'契約別単価'!F5+'前提と出典'!$C$37*'契約別単価'!F6+'前提と出典'!$C$38*'契約別単価'!F7)</ns0:f>
        <ns0:v>278308.0082274696</ns0:v>
      </ns0:c>
      <ns0:c r="G385" s="16">
        <ns0:f>A385*('前提と出典'!$C$36*'契約別単価'!G5+'前提と出典'!$C$37*'契約別単価'!G6+'前提と出典'!$C$38*'契約別単価'!G7)</ns0:f>
        <ns0:v>758381.56424581</ns0:v>
      </ns0:c>
      <ns0:c r="H385" s="16">
        <ns0:f>A385*('前提と出典'!$C$36*'契約別単価'!H5+'前提と出典'!$C$37*'契約別単価'!H6+'前提と出典'!$C$38*'契約別単価'!H7)</ns0:f>
        <ns0:v>263196.4386176693</ns0:v>
      </ns0:c>
      <ns0:c r="I385" s="16">
        <ns0:f>A385*('前提と出典'!$C$36*'契約別単価'!I5+'前提と出典'!$C$37*'契約別単価'!I6+'前提と出典'!$C$38*'契約別単価'!I7)</ns0:f>
        <ns0:v>16076.497206703907</ns0:v>
      </ns0:c>
      <ns0:c r="J385" s="16">
        <ns0:f>A385*('前提と出典'!$C$36*'契約別単価'!J5+'前提と出典'!$C$37*'契約別単価'!J6+'前提と出典'!$C$38*'契約別単価'!J7)</ns0:f>
        <ns0:v>37448.31615362528</ns0:v>
      </ns0:c>
      <ns0:c r="K385" s="16">
        <ns0:f>A385*('前提と出典'!$C$36*'契約別単価'!K5+'前提と出典'!$C$37*'契約別単価'!K6+'前提と出典'!$C$38*'契約別単価'!K7)</ns0:f>
        <ns0:v>160516.64804469273</ns0:v>
      </ns0:c>
      <ns0:c r="L385" s="16">
        <ns0:f>A385*('前提と出典'!$C$36*'契約別単価'!L5+'前提と出典'!$C$37*'契約別単価'!L6+'前提と出典'!$C$38*'契約別単価'!L7)</ns0:f>
        <ns0:v>130693.21462058897</ns0:v>
      </ns0:c>
      <ns0:c r="M385" s="16">
        <ns0:f>IF(('前提と出典'!$C$36+'前提と出典'!$C$38)=0,0,IF(B385&lt;=10,'前提と出典'!B73+'前提と出典'!C73,IF(B385&lt;=100,'前提と出典'!B74+'前提と出典'!C74,IF(B385&lt;=500,'前提と出典'!B75+'前提と出典'!C75,'前提と出典'!B76+'前提と出典'!C76))))</ns0:f>
        <ns0:v>40000</ns0:v>
      </ns0:c>
      <ns0:c r="N385" s="16">
        <ns0:f>IF(('前提と出典'!$C$37+'前提と出典'!$C$38)=0,0,IF(C385&lt;=10,'前提と出典'!D73+'前提と出典'!E73,IF(C385&lt;=100,'前提と出典'!D74+'前提と出典'!E74,IF(C385&lt;=500,'前提と出典'!D75+'前提と出典'!E75,'前提と出典'!D76+'前提と出典'!E76))))</ns0:f>
        <ns0:v>56510.9346263078</ns0:v>
      </ns0:c>
      <ns0:c r="O385" s="16">
        <ns0:f>IF('前提と出典'!$C$36+'前提と出典'!$C$38=0,0,'前提と出典'!$B$4*IF('前提と出典'!$B$20=0,MAX('前提と出典'!$B$6,D385*'前提と出典'!$B$5),'前提と出典'!$B$6+D385*'前提と出典'!$B$5))</ns0:f>
        <ns0:v>378326.6145251397</ns0:v>
      </ns0:c>
      <ns0:c r="P385" s="16">
        <ns0:f>(E385+G385)*(1-'前提と出典'!$B$7)-I385-K385-M385-O385</ns0:f>
        <ns0:v>1059465.37089604</ns0:v>
      </ns0:c>
      <ns0:c r="Q385" s="16">
        <ns0:f>(F385+H385)*(1-'前提と出典'!$B$7)-J385-L385-N385</ns0:f>
        <ns0:v>297357.82135819184</ns0:v>
      </ns0:c>
      <ns0:c r="R385" s="16">
        <ns0:f>P385-E385*'前提と出典'!$E$4</ns0:f>
        <ns0:v>772129.6957696035</ns0:v>
      </ns0:c>
      <ns0:c r="S385" s="16">
        <ns0:f>Q385-F385*'前提と出典'!$E$4</ns0:f>
        <ns0:v>213865.41888995096</ns0:v>
      </ns0:c>
      <ns0:c r="T385" s="7">
        <ns0:f>R385+S385</ns0:f>
        <ns0:v>985995.1146595544</ns0:v>
      </ns0:c>
      <ns0:c r="U385" s="16">
        <ns0:f>P385-E385*'前提と出典'!$E$5</ns0:f>
        <ns0:v>676351.1373941248</ns0:v>
      </ns0:c>
      <ns0:c r="V385" s="16">
        <ns0:f>Q385-F385*'前提と出典'!$E$5</ns0:f>
        <ns0:v>186034.61806720402</ns0:v>
      </ns0:c>
      <ns0:c r="W385" s="7">
        <ns0:f>U385+V385</ns0:f>
        <ns0:v>862385.7554613288</ns0:v>
      </ns0:c>
      <ns0:c r="X385" s="16">
        <ns0:f>P385-E385*'前提と出典'!$E$6</ns0:f>
        <ns0:v>580572.5790186459</ns0:v>
      </ns0:c>
      <ns0:c r="Y385" s="16">
        <ns0:f>Q385-F385*'前提と出典'!$E$6</ns0:f>
        <ns0:v>158203.81724445702</ns0:v>
      </ns0:c>
      <ns0:c r="Z385" s="7">
        <ns0:f>X385+Y385</ns0:f>
        <ns0:v>738776.396263103</ns0:v>
      </ns0:c>
      <ns0:c r="AA385" s="7">
        <ns0:f>IF(T385&gt;=0,A385,1001)</ns0:f>
        <ns0:v>381</ns0:v>
      </ns0:c>
      <ns0:c r="AB385" s="7">
        <ns0:f>IF(T385&lt;0,A385,0)</ns0:f>
        <ns0:v>0</ns0:v>
      </ns0:c>
      <ns0:c r="AC385" s="16">
        <ns0:f>IF(AND(OR('前提と出典'!$C$36+'前提と出典'!$C$38=0,R385&gt;=0),OR('前提と出典'!$C$37+'前提と出典'!$C$38=0,S385&gt;=0)),0,A385)</ns0:f>
        <ns0:v>0</ns0:v>
      </ns0:c>
      <ns0:c r="AD385" s="7">
        <ns0:f>IF(W385&gt;=0,A385,1001)</ns0:f>
        <ns0:v>381</ns0:v>
      </ns0:c>
      <ns0:c r="AE385" s="7">
        <ns0:f>IF(W385&lt;0,A385,0)</ns0:f>
        <ns0:v>0</ns0:v>
      </ns0:c>
      <ns0:c r="AF385" s="16">
        <ns0:f>IF(AND(OR('前提と出典'!$C$36+'前提と出典'!$C$38=0,U385&gt;=0),OR('前提と出典'!$C$37+'前提と出典'!$C$38=0,V385&gt;=0)),0,A385)</ns0:f>
        <ns0:v>0</ns0:v>
      </ns0:c>
      <ns0:c r="AG385" s="7">
        <ns0:f>IF(Z385&gt;=0,A385,1001)</ns0:f>
        <ns0:v>381</ns0:v>
      </ns0:c>
      <ns0:c r="AH385" s="4">
        <ns0:f>IF(Z385&lt;0,A385,0)</ns0:f>
        <ns0:v>0</ns0:v>
      </ns0:c>
      <ns0:c r="AI385" s="12">
        <ns0:f>IF(AND(OR('前提と出典'!$C$36+'前提と出典'!$C$38=0,X385&gt;=0),OR('前提と出典'!$C$37+'前提と出典'!$C$38=0,Y385&gt;=0)),0,A385)</ns0:f>
        <ns0:v>0</ns0:v>
      </ns0:c>
    </ns0:row>
    <ns0:row r="386" ht="24" customHeight="1">
      <ns0:c r="A386" s="4" t="n">
        <ns0:v>382</ns0:v>
      </ns0:c>
      <ns0:c r="B386" s="12">
        <ns0:f>A386*('前提と出典'!$C$36+'前提と出典'!$C$38)</ns0:f>
        <ns0:v>267.4</ns0:v>
      </ns0:c>
      <ns0:c r="C386" s="12">
        <ns0:f>A386*('前提と出典'!$C$37+'前提と出典'!$C$38)</ns0:f>
        <ns0:v>229.2</ns0:v>
      </ns0:c>
      <ns0:c r="D386" s="16">
        <ns0:f>A386*('前提と出典'!$C$36*'契約別単価'!C5+'前提と出典'!$C$37*'契約別単価'!C6+'前提と出典'!$C$38*'契約別単価'!C7)</ns0:f>
        <ns0:v>2748.6927374301677</ns0:v>
      </ns0:c>
      <ns0:c r="E386" s="16">
        <ns0:f>A386*('前提と出典'!$C$36*'契約別単価'!E5+'前提と出典'!$C$37*'契約別単価'!E6+'前提と出典'!$C$38*'契約別単価'!E7)</ns0:f>
        <ns0:v>960299.4566780288</ns0:v>
      </ns0:c>
      <ns0:c r="F386" s="16">
        <ns0:f>A386*('前提と出典'!$C$36*'契約別単価'!F5+'前提と出典'!$C$37*'契約別単価'!F6+'前提と出典'!$C$38*'契約別単価'!F7)</ns0:f>
        <ns0:v>279038.47544066503</ns0:v>
      </ns0:c>
      <ns0:c r="G386" s="16">
        <ns0:f>A386*('前提と出典'!$C$36*'契約別単価'!G5+'前提と出典'!$C$37*'契約別単価'!G6+'前提と出典'!$C$38*'契約別単価'!G7)</ns0:f>
        <ns0:v>760372.0670391062</ns0:v>
      </ns0:c>
      <ns0:c r="H386" s="16">
        <ns0:f>A386*('前提と出典'!$C$36*'契約別単価'!H5+'前提と出典'!$C$37*'契約別単価'!H6+'前提と出典'!$C$38*'契約別単価'!H7)</ns0:f>
        <ns0:v>263887.24291850306</ns0:v>
      </ns0:c>
      <ns0:c r="I386" s="16">
        <ns0:f>A386*('前提と出典'!$C$36*'契約別単価'!I5+'前提と出典'!$C$37*'契約別単価'!I6+'前提と出典'!$C$38*'契約別単価'!I7)</ns0:f>
        <ns0:v>16118.692737430165</ns0:v>
      </ns0:c>
      <ns0:c r="J386" s="16">
        <ns0:f>A386*('前提と出典'!$C$36*'契約別単価'!J5+'前提と出典'!$C$37*'契約別単価'!J6+'前提と出典'!$C$38*'契約別単価'!J7)</ns0:f>
        <ns0:v>37546.60569733558</ns0:v>
      </ns0:c>
      <ns0:c r="K386" s="16">
        <ns0:f>A386*('前提と出典'!$C$36*'契約別単価'!K5+'前提と出典'!$C$37*'契約別単価'!K6+'前提と出典'!$C$38*'契約別単価'!K7)</ns0:f>
        <ns0:v>160937.95158286777</ns0:v>
      </ns0:c>
      <ns0:c r="L386" s="16">
        <ns0:f>A386*('前提と出典'!$C$36*'契約別単価'!L5+'前提と出典'!$C$37*'契約別単価'!L6+'前提と出典'!$C$38*'契約別単価'!L7)</ns0:f>
        <ns0:v>131036.24143061676</ns0:v>
      </ns0:c>
      <ns0:c r="M386" s="16">
        <ns0:f>IF(('前提と出典'!$C$36+'前提と出典'!$C$38)=0,0,IF(B386&lt;=10,'前提と出典'!B73+'前提と出典'!C73,IF(B386&lt;=100,'前提と出典'!B74+'前提と出典'!C74,IF(B386&lt;=500,'前提と出典'!B75+'前提と出典'!C75,'前提と出典'!B76+'前提と出典'!C76))))</ns0:f>
        <ns0:v>40000</ns0:v>
      </ns0:c>
      <ns0:c r="N386" s="16">
        <ns0:f>IF(('前提と出典'!$C$37+'前提と出典'!$C$38)=0,0,IF(C386&lt;=10,'前提と出典'!D73+'前提と出典'!E73,IF(C386&lt;=100,'前提と出典'!D74+'前提と出典'!E74,IF(C386&lt;=500,'前提と出典'!D75+'前提と出典'!E75,'前提と出典'!D76+'前提と出典'!E76))))</ns0:f>
        <ns0:v>56510.9346263078</ns0:v>
      </ns0:c>
      <ns0:c r="O386" s="16">
        <ns0:f>IF('前提と出典'!$C$36+'前提と出典'!$C$38=0,0,'前提と出典'!$B$4*IF('前提と出典'!$B$20=0,MAX('前提と出典'!$B$6,D386*'前提と出典'!$B$5),'前提と出典'!$B$6+D386*'前提と出典'!$B$5))</ns0:f>
        <ns0:v>379319.59776536317</ns0:v>
      </ns0:c>
      <ns0:c r="P386" s="16">
        <ns0:f>(E386+G386)*(1-'前提と出典'!$B$7)-I386-K386-M386-O386</ns0:f>
        <ns0:v>1062351.1067776573</ns0:v>
      </ns0:c>
      <ns0:c r="Q386" s="16">
        <ns0:f>(F386+H386)*(1-'前提と出典'!$B$7)-J386-L386-N386</ns0:f>
        <ns0:v>298286.61074397794</ns0:v>
      </ns0:c>
      <ns0:c r="R386" s="16">
        <ns0:f>P386-E386*'前提と出典'!$E$4</ns0:f>
        <ns0:v>774261.2697742485</ns0:v>
      </ns0:c>
      <ns0:c r="S386" s="16">
        <ns0:f>Q386-F386*'前提と出典'!$E$4</ns0:f>
        <ns0:v>214575.06811177853</ns0:v>
      </ns0:c>
      <ns0:c r="T386" s="7">
        <ns0:f>R386+S386</ns0:f>
        <ns0:v>988836.3378860271</ns0:v>
      </ns0:c>
      <ns0:c r="U386" s="16">
        <ns0:f>P386-E386*'前提と出典'!$E$5</ns0:f>
        <ns0:v>678231.3241064457</ns0:v>
      </ns0:c>
      <ns0:c r="V386" s="16">
        <ns0:f>Q386-F386*'前提と出典'!$E$5</ns0:f>
        <ns0:v>186671.22056771192</ns0:v>
      </ns0:c>
      <ns0:c r="W386" s="7">
        <ns0:f>U386+V386</ns0:f>
        <ns0:v>864902.5446741576</ns0:v>
      </ns0:c>
      <ns0:c r="X386" s="16">
        <ns0:f>P386-E386*'前提と出典'!$E$6</ns0:f>
        <ns0:v>582201.3784386427</ns0:v>
      </ns0:c>
      <ns0:c r="Y386" s="16">
        <ns0:f>Q386-F386*'前提と出典'!$E$6</ns0:f>
        <ns0:v>158767.37302364543</ns0:v>
      </ns0:c>
      <ns0:c r="Z386" s="7">
        <ns0:f>X386+Y386</ns0:f>
        <ns0:v>740968.7514622882</ns0:v>
      </ns0:c>
      <ns0:c r="AA386" s="7">
        <ns0:f>IF(T386&gt;=0,A386,1001)</ns0:f>
        <ns0:v>382</ns0:v>
      </ns0:c>
      <ns0:c r="AB386" s="7">
        <ns0:f>IF(T386&lt;0,A386,0)</ns0:f>
        <ns0:v>0</ns0:v>
      </ns0:c>
      <ns0:c r="AC386" s="16">
        <ns0:f>IF(AND(OR('前提と出典'!$C$36+'前提と出典'!$C$38=0,R386&gt;=0),OR('前提と出典'!$C$37+'前提と出典'!$C$38=0,S386&gt;=0)),0,A386)</ns0:f>
        <ns0:v>0</ns0:v>
      </ns0:c>
      <ns0:c r="AD386" s="7">
        <ns0:f>IF(W386&gt;=0,A386,1001)</ns0:f>
        <ns0:v>382</ns0:v>
      </ns0:c>
      <ns0:c r="AE386" s="7">
        <ns0:f>IF(W386&lt;0,A386,0)</ns0:f>
        <ns0:v>0</ns0:v>
      </ns0:c>
      <ns0:c r="AF386" s="16">
        <ns0:f>IF(AND(OR('前提と出典'!$C$36+'前提と出典'!$C$38=0,U386&gt;=0),OR('前提と出典'!$C$37+'前提と出典'!$C$38=0,V386&gt;=0)),0,A386)</ns0:f>
        <ns0:v>0</ns0:v>
      </ns0:c>
      <ns0:c r="AG386" s="7">
        <ns0:f>IF(Z386&gt;=0,A386,1001)</ns0:f>
        <ns0:v>382</ns0:v>
      </ns0:c>
      <ns0:c r="AH386" s="4">
        <ns0:f>IF(Z386&lt;0,A386,0)</ns0:f>
        <ns0:v>0</ns0:v>
      </ns0:c>
      <ns0:c r="AI386" s="12">
        <ns0:f>IF(AND(OR('前提と出典'!$C$36+'前提と出典'!$C$38=0,X386&gt;=0),OR('前提と出典'!$C$37+'前提と出典'!$C$38=0,Y386&gt;=0)),0,A386)</ns0:f>
        <ns0:v>0</ns0:v>
      </ns0:c>
    </ns0:row>
    <ns0:row r="387" ht="24" customHeight="1">
      <ns0:c r="A387" s="4" t="n">
        <ns0:v>383</ns0:v>
      </ns0:c>
      <ns0:c r="B387" s="12">
        <ns0:f>A387*('前提と出典'!$C$36+'前提と出典'!$C$38)</ns0:f>
        <ns0:v>268.09999999999997</ns0:v>
      </ns0:c>
      <ns0:c r="C387" s="12">
        <ns0:f>A387*('前提と出典'!$C$37+'前提と出典'!$C$38)</ns0:f>
        <ns0:v>229.79999999999998</ns0:v>
      </ns0:c>
      <ns0:c r="D387" s="16">
        <ns0:f>A387*('前提と出典'!$C$36*'契約別単価'!C5+'前提と出典'!$C$37*'契約別単価'!C6+'前提と出典'!$C$38*'契約別単価'!C7)</ns0:f>
        <ns0:v>2755.8882681564246</ns0:v>
      </ns0:c>
      <ns0:c r="E387" s="16">
        <ns0:f>A387*('前提と出典'!$C$36*'契約別単価'!E5+'前提と出典'!$C$37*'契約別単価'!E6+'前提と出典'!$C$38*'契約別単価'!E7)</ns0:f>
        <ns0:v>962813.3296012698</ns0:v>
      </ns0:c>
      <ns0:c r="F387" s="16">
        <ns0:f>A387*('前提と出典'!$C$36*'契約別単価'!F5+'前提と出典'!$C$37*'契約別単価'!F6+'前提と出典'!$C$38*'契約別単価'!F7)</ns0:f>
        <ns0:v>279768.9426538605</ns0:v>
      </ns0:c>
      <ns0:c r="G387" s="16">
        <ns0:f>A387*('前提と出典'!$C$36*'契約別単価'!G5+'前提と出典'!$C$37*'契約別単価'!G6+'前提と出典'!$C$38*'契約別単価'!G7)</ns0:f>
        <ns0:v>762362.5698324022</ns0:v>
      </ns0:c>
      <ns0:c r="H387" s="16">
        <ns0:f>A387*('前提と出典'!$C$36*'契約別単価'!H5+'前提と出典'!$C$37*'契約別単価'!H6+'前提と出典'!$C$38*'契約別単価'!H7)</ns0:f>
        <ns0:v>264578.04721933685</ns0:v>
      </ns0:c>
      <ns0:c r="I387" s="16">
        <ns0:f>A387*('前提と出典'!$C$36*'契約別単価'!I5+'前提と出典'!$C$37*'契約別単価'!I6+'前提と出典'!$C$38*'契約別単価'!I7)</ns0:f>
        <ns0:v>16160.888268156421</ns0:v>
      </ns0:c>
      <ns0:c r="J387" s="16">
        <ns0:f>A387*('前提と出典'!$C$36*'契約別単価'!J5+'前提と出典'!$C$37*'契約別単価'!J6+'前提と出典'!$C$38*'契約別単価'!J7)</ns0:f>
        <ns0:v>37644.89524104588</ns0:v>
      </ns0:c>
      <ns0:c r="K387" s="16">
        <ns0:f>A387*('前提と出典'!$C$36*'契約別単価'!K5+'前提と出典'!$C$37*'契約別単価'!K6+'前提と出典'!$C$38*'契約別単価'!K7)</ns0:f>
        <ns0:v>161359.2551210428</ns0:v>
      </ns0:c>
      <ns0:c r="L387" s="16">
        <ns0:f>A387*('前提と出典'!$C$36*'契約別単価'!L5+'前提と出典'!$C$37*'契約別単価'!L6+'前提と出典'!$C$38*'契約別単価'!L7)</ns0:f>
        <ns0:v>131379.26824064457</ns0:v>
      </ns0:c>
      <ns0:c r="M387" s="16">
        <ns0:f>IF(('前提と出典'!$C$36+'前提と出典'!$C$38)=0,0,IF(B387&lt;=10,'前提と出典'!B73+'前提と出典'!C73,IF(B387&lt;=100,'前提と出典'!B74+'前提と出典'!C74,IF(B387&lt;=500,'前提と出典'!B75+'前提と出典'!C75,'前提と出典'!B76+'前提と出典'!C76))))</ns0:f>
        <ns0:v>40000</ns0:v>
      </ns0:c>
      <ns0:c r="N387" s="16">
        <ns0:f>IF(('前提と出典'!$C$37+'前提と出典'!$C$38)=0,0,IF(C387&lt;=10,'前提と出典'!D73+'前提と出典'!E73,IF(C387&lt;=100,'前提と出典'!D74+'前提と出典'!E74,IF(C387&lt;=500,'前提と出典'!D75+'前提と出典'!E75,'前提と出典'!D76+'前提と出典'!E76))))</ns0:f>
        <ns0:v>56510.9346263078</ns0:v>
      </ns0:c>
      <ns0:c r="O387" s="16">
        <ns0:f>IF('前提と出典'!$C$36+'前提と出典'!$C$38=0,0,'前提と出典'!$B$4*IF('前提と出典'!$B$20=0,MAX('前提と出典'!$B$6,D387*'前提と出典'!$B$5),'前提と出典'!$B$6+D387*'前提と出典'!$B$5))</ns0:f>
        <ns0:v>380312.5810055866</ns0:v>
      </ns0:c>
      <ns0:c r="P387" s="16">
        <ns0:f>(E387+G387)*(1-'前提と出典'!$B$7)-I387-K387-M387-O387</ns0:f>
        <ns0:v>1065236.842659274</ns0:v>
      </ns0:c>
      <ns0:c r="Q387" s="16">
        <ns0:f>(F387+H387)*(1-'前提と出典'!$B$7)-J387-L387-N387</ns0:f>
        <ns0:v>299215.4001297641</ns0:v>
      </ns0:c>
      <ns0:c r="R387" s="16">
        <ns0:f>P387-E387*'前提と出典'!$E$4</ns0:f>
        <ns0:v>776392.8437788931</ns0:v>
      </ns0:c>
      <ns0:c r="S387" s="16">
        <ns0:f>Q387-F387*'前提と出典'!$E$4</ns0:f>
        <ns0:v>215284.71733360598</ns0:v>
      </ns0:c>
      <ns0:c r="T387" s="7">
        <ns0:f>R387+S387</ns0:f>
        <ns0:v>991677.5611124991</ns0:v>
      </ns0:c>
      <ns0:c r="U387" s="16">
        <ns0:f>P387-E387*'前提と出典'!$E$5</ns0:f>
        <ns0:v>680111.5108187662</ns0:v>
      </ns0:c>
      <ns0:c r="V387" s="16">
        <ns0:f>Q387-F387*'前提と出典'!$E$5</ns0:f>
        <ns0:v>187307.8230682199</ns0:v>
      </ns0:c>
      <ns0:c r="W387" s="7">
        <ns0:f>U387+V387</ns0:f>
        <ns0:v>867419.3338869861</ns0:v>
      </ns0:c>
      <ns0:c r="X387" s="16">
        <ns0:f>P387-E387*'前提と出典'!$E$6</ns0:f>
        <ns0:v>583830.177858639</ns0:v>
      </ns0:c>
      <ns0:c r="Y387" s="16">
        <ns0:f>Q387-F387*'前提と出典'!$E$6</ns0:f>
        <ns0:v>159330.92880283386</ns0:v>
      </ns0:c>
      <ns0:c r="Z387" s="7">
        <ns0:f>X387+Y387</ns0:f>
        <ns0:v>743161.1066614729</ns0:v>
      </ns0:c>
      <ns0:c r="AA387" s="7">
        <ns0:f>IF(T387&gt;=0,A387,1001)</ns0:f>
        <ns0:v>383</ns0:v>
      </ns0:c>
      <ns0:c r="AB387" s="7">
        <ns0:f>IF(T387&lt;0,A387,0)</ns0:f>
        <ns0:v>0</ns0:v>
      </ns0:c>
      <ns0:c r="AC387" s="16">
        <ns0:f>IF(AND(OR('前提と出典'!$C$36+'前提と出典'!$C$38=0,R387&gt;=0),OR('前提と出典'!$C$37+'前提と出典'!$C$38=0,S387&gt;=0)),0,A387)</ns0:f>
        <ns0:v>0</ns0:v>
      </ns0:c>
      <ns0:c r="AD387" s="7">
        <ns0:f>IF(W387&gt;=0,A387,1001)</ns0:f>
        <ns0:v>383</ns0:v>
      </ns0:c>
      <ns0:c r="AE387" s="7">
        <ns0:f>IF(W387&lt;0,A387,0)</ns0:f>
        <ns0:v>0</ns0:v>
      </ns0:c>
      <ns0:c r="AF387" s="16">
        <ns0:f>IF(AND(OR('前提と出典'!$C$36+'前提と出典'!$C$38=0,U387&gt;=0),OR('前提と出典'!$C$37+'前提と出典'!$C$38=0,V387&gt;=0)),0,A387)</ns0:f>
        <ns0:v>0</ns0:v>
      </ns0:c>
      <ns0:c r="AG387" s="7">
        <ns0:f>IF(Z387&gt;=0,A387,1001)</ns0:f>
        <ns0:v>383</ns0:v>
      </ns0:c>
      <ns0:c r="AH387" s="4">
        <ns0:f>IF(Z387&lt;0,A387,0)</ns0:f>
        <ns0:v>0</ns0:v>
      </ns0:c>
      <ns0:c r="AI387" s="12">
        <ns0:f>IF(AND(OR('前提と出典'!$C$36+'前提と出典'!$C$38=0,X387&gt;=0),OR('前提と出典'!$C$37+'前提と出典'!$C$38=0,Y387&gt;=0)),0,A387)</ns0:f>
        <ns0:v>0</ns0:v>
      </ns0:c>
    </ns0:row>
    <ns0:row r="388" ht="24" customHeight="1">
      <ns0:c r="A388" s="4" t="n">
        <ns0:v>384</ns0:v>
      </ns0:c>
      <ns0:c r="B388" s="12">
        <ns0:f>A388*('前提と出典'!$C$36+'前提と出典'!$C$38)</ns0:f>
        <ns0:v>268.79999999999995</ns0:v>
      </ns0:c>
      <ns0:c r="C388" s="12">
        <ns0:f>A388*('前提と出典'!$C$37+'前提と出典'!$C$38)</ns0:f>
        <ns0:v>230.39999999999998</ns0:v>
      </ns0:c>
      <ns0:c r="D388" s="16">
        <ns0:f>A388*('前提と出典'!$C$36*'契約別単価'!C5+'前提と出典'!$C$37*'契約別単価'!C6+'前提と出典'!$C$38*'契約別単価'!C7)</ns0:f>
        <ns0:v>2763.0837988826815</ns0:v>
      </ns0:c>
      <ns0:c r="E388" s="16">
        <ns0:f>A388*('前提と出典'!$C$36*'契約別単価'!E5+'前提と出典'!$C$37*'契約別単価'!E6+'前提と出典'!$C$38*'契約別単価'!E7)</ns0:f>
        <ns0:v>965327.2025245107</ns0:v>
      </ns0:c>
      <ns0:c r="F388" s="16">
        <ns0:f>A388*('前提と出典'!$C$36*'契約別単価'!F5+'前提と出典'!$C$37*'契約別単価'!F6+'前提と出典'!$C$38*'契約別単価'!F7)</ns0:f>
        <ns0:v>280499.40986705595</ns0:v>
      </ns0:c>
      <ns0:c r="G388" s="16">
        <ns0:f>A388*('前提と出典'!$C$36*'契約別単価'!G5+'前提と出典'!$C$37*'契約別単価'!G6+'前提と出典'!$C$38*'契約別単価'!G7)</ns0:f>
        <ns0:v>764353.0726256983</ns0:v>
      </ns0:c>
      <ns0:c r="H388" s="16">
        <ns0:f>A388*('前提と出典'!$C$36*'契約別単価'!H5+'前提と出典'!$C$37*'契約別単価'!H6+'前提と出典'!$C$38*'契約別単価'!H7)</ns0:f>
        <ns0:v>265268.85152017063</ns0:v>
      </ns0:c>
      <ns0:c r="I388" s="16">
        <ns0:f>A388*('前提と出典'!$C$36*'契約別単価'!I5+'前提と出典'!$C$37*'契約別単価'!I6+'前提と出典'!$C$38*'契約別単価'!I7)</ns0:f>
        <ns0:v>16203.083798882679</ns0:v>
      </ns0:c>
      <ns0:c r="J388" s="16">
        <ns0:f>A388*('前提と出典'!$C$36*'契約別単価'!J5+'前提と出典'!$C$37*'契約別単価'!J6+'前提と出典'!$C$38*'契約別単価'!J7)</ns0:f>
        <ns0:v>37743.18478475619</ns0:v>
      </ns0:c>
      <ns0:c r="K388" s="16">
        <ns0:f>A388*('前提と出典'!$C$36*'契約別単価'!K5+'前提と出典'!$C$37*'契約別単価'!K6+'前提と出典'!$C$38*'契約別単価'!K7)</ns0:f>
        <ns0:v>161780.55865921787</ns0:v>
      </ns0:c>
      <ns0:c r="L388" s="16">
        <ns0:f>A388*('前提と出典'!$C$36*'契約別単価'!L5+'前提と出典'!$C$37*'契約別単価'!L6+'前提と出典'!$C$38*'契約別単価'!L7)</ns0:f>
        <ns0:v>131722.29505067234</ns0:v>
      </ns0:c>
      <ns0:c r="M388" s="16">
        <ns0:f>IF(('前提と出典'!$C$36+'前提と出典'!$C$38)=0,0,IF(B388&lt;=10,'前提と出典'!B73+'前提と出典'!C73,IF(B388&lt;=100,'前提と出典'!B74+'前提と出典'!C74,IF(B388&lt;=500,'前提と出典'!B75+'前提と出典'!C75,'前提と出典'!B76+'前提と出典'!C76))))</ns0:f>
        <ns0:v>40000</ns0:v>
      </ns0:c>
      <ns0:c r="N388" s="16">
        <ns0:f>IF(('前提と出典'!$C$37+'前提と出典'!$C$38)=0,0,IF(C388&lt;=10,'前提と出典'!D73+'前提と出典'!E73,IF(C388&lt;=100,'前提と出典'!D74+'前提と出典'!E74,IF(C388&lt;=500,'前提と出典'!D75+'前提と出典'!E75,'前提と出典'!D76+'前提と出典'!E76))))</ns0:f>
        <ns0:v>56510.9346263078</ns0:v>
      </ns0:c>
      <ns0:c r="O388" s="16">
        <ns0:f>IF('前提と出典'!$C$36+'前提と出典'!$C$38=0,0,'前提と出典'!$B$4*IF('前提と出典'!$B$20=0,MAX('前提と出典'!$B$6,D388*'前提と出典'!$B$5),'前提と出典'!$B$6+D388*'前提と出典'!$B$5))</ns0:f>
        <ns0:v>381305.5642458101</ns0:v>
      </ns0:c>
      <ns0:c r="P388" s="16">
        <ns0:f>(E388+G388)*(1-'前提と出典'!$B$7)-I388-K388-M388-O388</ns0:f>
        <ns0:v>1068122.578540891</ns0:v>
      </ns0:c>
      <ns0:c r="Q388" s="16">
        <ns0:f>(F388+H388)*(1-'前提と出典'!$B$7)-J388-L388-N388</ns0:f>
        <ns0:v>300144.18951555016</ns0:v>
      </ns0:c>
      <ns0:c r="R388" s="16">
        <ns0:f>P388-E388*'前提と出典'!$E$4</ns0:f>
        <ns0:v>778524.4177835376</ns0:v>
      </ns0:c>
      <ns0:c r="S388" s="16">
        <ns0:f>Q388-F388*'前提と出典'!$E$4</ns0:f>
        <ns0:v>215994.36655543337</ns0:v>
      </ns0:c>
      <ns0:c r="T388" s="7">
        <ns0:f>R388+S388</ns0:f>
        <ns0:v>994518.784338971</ns0:v>
      </ns0:c>
      <ns0:c r="U388" s="16">
        <ns0:f>P388-E388*'前提と出典'!$E$5</ns0:f>
        <ns0:v>681991.6975310866</ns0:v>
      </ns0:c>
      <ns0:c r="V388" s="16">
        <ns0:f>Q388-F388*'前提と出典'!$E$5</ns0:f>
        <ns0:v>187944.4255687278</ns0:v>
      </ns0:c>
      <ns0:c r="W388" s="7">
        <ns0:f>U388+V388</ns0:f>
        <ns0:v>869936.1230998144</ns0:v>
      </ns0:c>
      <ns0:c r="X388" s="16">
        <ns0:f>P388-E388*'前提と出典'!$E$6</ns0:f>
        <ns0:v>585458.9772786354</ns0:v>
      </ns0:c>
      <ns0:c r="Y388" s="16">
        <ns0:f>Q388-F388*'前提と出典'!$E$6</ns0:f>
        <ns0:v>159894.4845820222</ns0:v>
      </ns0:c>
      <ns0:c r="Z388" s="7">
        <ns0:f>X388+Y388</ns0:f>
        <ns0:v>745353.4618606576</ns0:v>
      </ns0:c>
      <ns0:c r="AA388" s="7">
        <ns0:f>IF(T388&gt;=0,A388,1001)</ns0:f>
        <ns0:v>384</ns0:v>
      </ns0:c>
      <ns0:c r="AB388" s="7">
        <ns0:f>IF(T388&lt;0,A388,0)</ns0:f>
        <ns0:v>0</ns0:v>
      </ns0:c>
      <ns0:c r="AC388" s="16">
        <ns0:f>IF(AND(OR('前提と出典'!$C$36+'前提と出典'!$C$38=0,R388&gt;=0),OR('前提と出典'!$C$37+'前提と出典'!$C$38=0,S388&gt;=0)),0,A388)</ns0:f>
        <ns0:v>0</ns0:v>
      </ns0:c>
      <ns0:c r="AD388" s="7">
        <ns0:f>IF(W388&gt;=0,A388,1001)</ns0:f>
        <ns0:v>384</ns0:v>
      </ns0:c>
      <ns0:c r="AE388" s="7">
        <ns0:f>IF(W388&lt;0,A388,0)</ns0:f>
        <ns0:v>0</ns0:v>
      </ns0:c>
      <ns0:c r="AF388" s="16">
        <ns0:f>IF(AND(OR('前提と出典'!$C$36+'前提と出典'!$C$38=0,U388&gt;=0),OR('前提と出典'!$C$37+'前提と出典'!$C$38=0,V388&gt;=0)),0,A388)</ns0:f>
        <ns0:v>0</ns0:v>
      </ns0:c>
      <ns0:c r="AG388" s="7">
        <ns0:f>IF(Z388&gt;=0,A388,1001)</ns0:f>
        <ns0:v>384</ns0:v>
      </ns0:c>
      <ns0:c r="AH388" s="4">
        <ns0:f>IF(Z388&lt;0,A388,0)</ns0:f>
        <ns0:v>0</ns0:v>
      </ns0:c>
      <ns0:c r="AI388" s="12">
        <ns0:f>IF(AND(OR('前提と出典'!$C$36+'前提と出典'!$C$38=0,X388&gt;=0),OR('前提と出典'!$C$37+'前提と出典'!$C$38=0,Y388&gt;=0)),0,A388)</ns0:f>
        <ns0:v>0</ns0:v>
      </ns0:c>
    </ns0:row>
    <ns0:row r="389" ht="24" customHeight="1">
      <ns0:c r="A389" s="4" t="n">
        <ns0:v>385</ns0:v>
      </ns0:c>
      <ns0:c r="B389" s="12">
        <ns0:f>A389*('前提と出典'!$C$36+'前提と出典'!$C$38)</ns0:f>
        <ns0:v>269.5</ns0:v>
      </ns0:c>
      <ns0:c r="C389" s="12">
        <ns0:f>A389*('前提と出典'!$C$37+'前提と出典'!$C$38)</ns0:f>
        <ns0:v>231</ns0:v>
      </ns0:c>
      <ns0:c r="D389" s="16">
        <ns0:f>A389*('前提と出典'!$C$36*'契約別単価'!C5+'前提と出典'!$C$37*'契約別単価'!C6+'前提と出典'!$C$38*'契約別単価'!C7)</ns0:f>
        <ns0:v>2770.2793296089385</ns0:v>
      </ns0:c>
      <ns0:c r="E389" s="16">
        <ns0:f>A389*('前提と出典'!$C$36*'契約別単価'!E5+'前提と出典'!$C$37*'契約別単価'!E6+'前提と出典'!$C$38*'契約別単価'!E7)</ns0:f>
        <ns0:v>967841.0754477516</ns0:v>
      </ns0:c>
      <ns0:c r="F389" s="16">
        <ns0:f>A389*('前提と出典'!$C$36*'契約別単価'!F5+'前提と出典'!$C$37*'契約別単価'!F6+'前提と出典'!$C$38*'契約別単価'!F7)</ns0:f>
        <ns0:v>281229.8770802514</ns0:v>
      </ns0:c>
      <ns0:c r="G389" s="16">
        <ns0:f>A389*('前提と出典'!$C$36*'契約別単価'!G5+'前提と出典'!$C$37*'契約別単価'!G6+'前提と出典'!$C$38*'契約別単価'!G7)</ns0:f>
        <ns0:v>766343.5754189944</ns0:v>
      </ns0:c>
      <ns0:c r="H389" s="16">
        <ns0:f>A389*('前提と出典'!$C$36*'契約別単価'!H5+'前提と出典'!$C$37*'契約別単価'!H6+'前提と出典'!$C$38*'契約別単価'!H7)</ns0:f>
        <ns0:v>265959.6558210044</ns0:v>
      </ns0:c>
      <ns0:c r="I389" s="16">
        <ns0:f>A389*('前提と出典'!$C$36*'契約別単価'!I5+'前提と出典'!$C$37*'契約別単価'!I6+'前提と出典'!$C$38*'契約別単価'!I7)</ns0:f>
        <ns0:v>16245.279329608937</ns0:v>
      </ns0:c>
      <ns0:c r="J389" s="16">
        <ns0:f>A389*('前提と出典'!$C$36*'契約別単価'!J5+'前提と出典'!$C$37*'契約別単価'!J6+'前提と出典'!$C$38*'契約別単価'!J7)</ns0:f>
        <ns0:v>37841.47432846649</ns0:v>
      </ns0:c>
      <ns0:c r="K389" s="16">
        <ns0:f>A389*('前提と出典'!$C$36*'契約別単価'!K5+'前提と出典'!$C$37*'契約別単価'!K6+'前提と出典'!$C$38*'契約別単価'!K7)</ns0:f>
        <ns0:v>162201.8621973929</ns0:v>
      </ns0:c>
      <ns0:c r="L389" s="16">
        <ns0:f>A389*('前提と出典'!$C$36*'契約別単価'!L5+'前提と出典'!$C$37*'契約別単価'!L6+'前提と出典'!$C$38*'契約別単価'!L7)</ns0:f>
        <ns0:v>132065.32186070015</ns0:v>
      </ns0:c>
      <ns0:c r="M389" s="16">
        <ns0:f>IF(('前提と出典'!$C$36+'前提と出典'!$C$38)=0,0,IF(B389&lt;=10,'前提と出典'!B73+'前提と出典'!C73,IF(B389&lt;=100,'前提と出典'!B74+'前提と出典'!C74,IF(B389&lt;=500,'前提と出典'!B75+'前提と出典'!C75,'前提と出典'!B76+'前提と出典'!C76))))</ns0:f>
        <ns0:v>40000</ns0:v>
      </ns0:c>
      <ns0:c r="N389" s="16">
        <ns0:f>IF(('前提と出典'!$C$37+'前提と出典'!$C$38)=0,0,IF(C389&lt;=10,'前提と出典'!D73+'前提と出典'!E73,IF(C389&lt;=100,'前提と出典'!D74+'前提と出典'!E74,IF(C389&lt;=500,'前提と出典'!D75+'前提と出典'!E75,'前提と出典'!D76+'前提と出典'!E76))))</ns0:f>
        <ns0:v>56510.9346263078</ns0:v>
      </ns0:c>
      <ns0:c r="O389" s="16">
        <ns0:f>IF('前提と出典'!$C$36+'前提と出典'!$C$38=0,0,'前提と出典'!$B$4*IF('前提と出典'!$B$20=0,MAX('前提と出典'!$B$6,D389*'前提と出典'!$B$5),'前提と出典'!$B$6+D389*'前提と出典'!$B$5))</ns0:f>
        <ns0:v>382298.5474860335</ns0:v>
      </ns0:c>
      <ns0:c r="P389" s="16">
        <ns0:f>(E389+G389)*(1-'前提と出典'!$B$7)-I389-K389-M389-O389</ns0:f>
        <ns0:v>1071008.3144225078</ns0:v>
      </ns0:c>
      <ns0:c r="Q389" s="16">
        <ns0:f>(F389+H389)*(1-'前提と出典'!$B$7)-J389-L389-N389</ns0:f>
        <ns0:v>301072.9789013362</ns0:v>
      </ns0:c>
      <ns0:c r="R389" s="16">
        <ns0:f>P389-E389*'前提と出典'!$E$4</ns0:f>
        <ns0:v>780655.9917881824</ns0:v>
      </ns0:c>
      <ns0:c r="S389" s="16">
        <ns0:f>Q389-F389*'前提と出典'!$E$4</ns0:f>
        <ns0:v>216704.01577726076</ns0:v>
      </ns0:c>
      <ns0:c r="T389" s="7">
        <ns0:f>R389+S389</ns0:f>
        <ns0:v>997360.0075654432</ns0:v>
      </ns0:c>
      <ns0:c r="U389" s="16">
        <ns0:f>P389-E389*'前提と出典'!$E$5</ns0:f>
        <ns0:v>683871.884243407</ns0:v>
      </ns0:c>
      <ns0:c r="V389" s="16">
        <ns0:f>Q389-F389*'前提と出典'!$E$5</ns0:f>
        <ns0:v>188581.02806923562</ns0:v>
      </ns0:c>
      <ns0:c r="W389" s="7">
        <ns0:f>U389+V389</ns0:f>
        <ns0:v>872452.9123126427</ns0:v>
      </ns0:c>
      <ns0:c r="X389" s="16">
        <ns0:f>P389-E389*'前提と出典'!$E$6</ns0:f>
        <ns0:v>587087.7766986319</ns0:v>
      </ns0:c>
      <ns0:c r="Y389" s="16">
        <ns0:f>Q389-F389*'前提と出典'!$E$6</ns0:f>
        <ns0:v>160458.04036121047</ns0:v>
      </ns0:c>
      <ns0:c r="Z389" s="7">
        <ns0:f>X389+Y389</ns0:f>
        <ns0:v>747545.8170598424</ns0:v>
      </ns0:c>
      <ns0:c r="AA389" s="7">
        <ns0:f>IF(T389&gt;=0,A389,1001)</ns0:f>
        <ns0:v>385</ns0:v>
      </ns0:c>
      <ns0:c r="AB389" s="7">
        <ns0:f>IF(T389&lt;0,A389,0)</ns0:f>
        <ns0:v>0</ns0:v>
      </ns0:c>
      <ns0:c r="AC389" s="16">
        <ns0:f>IF(AND(OR('前提と出典'!$C$36+'前提と出典'!$C$38=0,R389&gt;=0),OR('前提と出典'!$C$37+'前提と出典'!$C$38=0,S389&gt;=0)),0,A389)</ns0:f>
        <ns0:v>0</ns0:v>
      </ns0:c>
      <ns0:c r="AD389" s="7">
        <ns0:f>IF(W389&gt;=0,A389,1001)</ns0:f>
        <ns0:v>385</ns0:v>
      </ns0:c>
      <ns0:c r="AE389" s="7">
        <ns0:f>IF(W389&lt;0,A389,0)</ns0:f>
        <ns0:v>0</ns0:v>
      </ns0:c>
      <ns0:c r="AF389" s="16">
        <ns0:f>IF(AND(OR('前提と出典'!$C$36+'前提と出典'!$C$38=0,U389&gt;=0),OR('前提と出典'!$C$37+'前提と出典'!$C$38=0,V389&gt;=0)),0,A389)</ns0:f>
        <ns0:v>0</ns0:v>
      </ns0:c>
      <ns0:c r="AG389" s="7">
        <ns0:f>IF(Z389&gt;=0,A389,1001)</ns0:f>
        <ns0:v>385</ns0:v>
      </ns0:c>
      <ns0:c r="AH389" s="4">
        <ns0:f>IF(Z389&lt;0,A389,0)</ns0:f>
        <ns0:v>0</ns0:v>
      </ns0:c>
      <ns0:c r="AI389" s="12">
        <ns0:f>IF(AND(OR('前提と出典'!$C$36+'前提と出典'!$C$38=0,X389&gt;=0),OR('前提と出典'!$C$37+'前提と出典'!$C$38=0,Y389&gt;=0)),0,A389)</ns0:f>
        <ns0:v>0</ns0:v>
      </ns0:c>
    </ns0:row>
    <ns0:row r="390" ht="24" customHeight="1">
      <ns0:c r="A390" s="4" t="n">
        <ns0:v>386</ns0:v>
      </ns0:c>
      <ns0:c r="B390" s="12">
        <ns0:f>A390*('前提と出典'!$C$36+'前提と出典'!$C$38)</ns0:f>
        <ns0:v>270.2</ns0:v>
      </ns0:c>
      <ns0:c r="C390" s="12">
        <ns0:f>A390*('前提と出典'!$C$37+'前提と出典'!$C$38)</ns0:f>
        <ns0:v>231.6</ns0:v>
      </ns0:c>
      <ns0:c r="D390" s="16">
        <ns0:f>A390*('前提と出典'!$C$36*'契約別単価'!C5+'前提と出典'!$C$37*'契約別単価'!C6+'前提と出典'!$C$38*'契約別単価'!C7)</ns0:f>
        <ns0:v>2777.4748603351954</ns0:v>
      </ns0:c>
      <ns0:c r="E390" s="16">
        <ns0:f>A390*('前提と出典'!$C$36*'契約別単価'!E5+'前提と出典'!$C$37*'契約別単価'!E6+'前提と出典'!$C$38*'契約別単価'!E7)</ns0:f>
        <ns0:v>970354.9483709926</ns0:v>
      </ns0:c>
      <ns0:c r="F390" s="16">
        <ns0:f>A390*('前提と出典'!$C$36*'契約別単価'!F5+'前提と出典'!$C$37*'契約別単価'!F6+'前提と出典'!$C$38*'契約別単価'!F7)</ns0:f>
        <ns0:v>281960.34429344686</ns0:v>
      </ns0:c>
      <ns0:c r="G390" s="16">
        <ns0:f>A390*('前提と出典'!$C$36*'契約別単価'!G5+'前提と出典'!$C$37*'契約別単価'!G6+'前提と出典'!$C$38*'契約別単価'!G7)</ns0:f>
        <ns0:v>768334.0782122904</ns0:v>
      </ns0:c>
      <ns0:c r="H390" s="16">
        <ns0:f>A390*('前提と出典'!$C$36*'契約別単価'!H5+'前提と出典'!$C$37*'契約別単価'!H6+'前提と出典'!$C$38*'契約別単価'!H7)</ns0:f>
        <ns0:v>266650.4601218382</ns0:v>
      </ns0:c>
      <ns0:c r="I390" s="16">
        <ns0:f>A390*('前提と出典'!$C$36*'契約別単価'!I5+'前提と出典'!$C$37*'契約別単価'!I6+'前提と出典'!$C$38*'契約別単価'!I7)</ns0:f>
        <ns0:v>16287.474860335193</ns0:v>
      </ns0:c>
      <ns0:c r="J390" s="16">
        <ns0:f>A390*('前提と出典'!$C$36*'契約別単価'!J5+'前提と出典'!$C$37*'契約別単価'!J6+'前提と出典'!$C$38*'契約別単価'!J7)</ns0:f>
        <ns0:v>37939.763872176794</ns0:v>
      </ns0:c>
      <ns0:c r="K390" s="16">
        <ns0:f>A390*('前提と出典'!$C$36*'契約別単価'!K5+'前提と出典'!$C$37*'契約別単価'!K6+'前提と出典'!$C$38*'契約別単価'!K7)</ns0:f>
        <ns0:v>162623.16573556795</ns0:v>
      </ns0:c>
      <ns0:c r="L390" s="16">
        <ns0:f>A390*('前提と出典'!$C$36*'契約別単価'!L5+'前提と出典'!$C$37*'契約別単価'!L6+'前提と出典'!$C$38*'契約別単価'!L7)</ns0:f>
        <ns0:v>132408.34867072792</ns0:v>
      </ns0:c>
      <ns0:c r="M390" s="16">
        <ns0:f>IF(('前提と出典'!$C$36+'前提と出典'!$C$38)=0,0,IF(B390&lt;=10,'前提と出典'!B73+'前提と出典'!C73,IF(B390&lt;=100,'前提と出典'!B74+'前提と出典'!C74,IF(B390&lt;=500,'前提と出典'!B75+'前提と出典'!C75,'前提と出典'!B76+'前提と出典'!C76))))</ns0:f>
        <ns0:v>40000</ns0:v>
      </ns0:c>
      <ns0:c r="N390" s="16">
        <ns0:f>IF(('前提と出典'!$C$37+'前提と出典'!$C$38)=0,0,IF(C390&lt;=10,'前提と出典'!D73+'前提と出典'!E73,IF(C390&lt;=100,'前提と出典'!D74+'前提と出典'!E74,IF(C390&lt;=500,'前提と出典'!D75+'前提と出典'!E75,'前提と出典'!D76+'前提と出典'!E76))))</ns0:f>
        <ns0:v>56510.9346263078</ns0:v>
      </ns0:c>
      <ns0:c r="O390" s="16">
        <ns0:f>IF('前提と出典'!$C$36+'前提と出典'!$C$38=0,0,'前提と出典'!$B$4*IF('前提と出典'!$B$20=0,MAX('前提と出典'!$B$6,D390*'前提と出典'!$B$5),'前提と出典'!$B$6+D390*'前提と出典'!$B$5))</ns0:f>
        <ns0:v>383291.53072625695</ns0:v>
      </ns0:c>
      <ns0:c r="P390" s="16">
        <ns0:f>(E390+G390)*(1-'前提と出典'!$B$7)-I390-K390-M390-O390</ns0:f>
        <ns0:v>1073894.0503041246</ns0:v>
      </ns0:c>
      <ns0:c r="Q390" s="16">
        <ns0:f>(F390+H390)*(1-'前提と出典'!$B$7)-J390-L390-N390</ns0:f>
        <ns0:v>302001.7682871223</ns0:v>
      </ns0:c>
      <ns0:c r="R390" s="16">
        <ns0:f>P390-E390*'前提と出典'!$E$4</ns0:f>
        <ns0:v>782787.5657928267</ns0:v>
      </ns0:c>
      <ns0:c r="S390" s="16">
        <ns0:f>Q390-F390*'前提と出典'!$E$4</ns0:f>
        <ns0:v>217413.66499908827</ns0:v>
      </ns0:c>
      <ns0:c r="T390" s="7">
        <ns0:f>R390+S390</ns0:f>
        <ns0:v>1000201.230791915</ns0:v>
      </ns0:c>
      <ns0:c r="U390" s="16">
        <ns0:f>P390-E390*'前提と出典'!$E$5</ns0:f>
        <ns0:v>685752.0709557275</ns0:v>
      </ns0:c>
      <ns0:c r="V390" s="16">
        <ns0:f>Q390-F390*'前提と出典'!$E$5</ns0:f>
        <ns0:v>189217.63056974357</ns0:v>
      </ns0:c>
      <ns0:c r="W390" s="7">
        <ns0:f>U390+V390</ns0:f>
        <ns0:v>874969.701525471</ns0:v>
      </ns0:c>
      <ns0:c r="X390" s="16">
        <ns0:f>P390-E390*'前提と出典'!$E$6</ns0:f>
        <ns0:v>588716.5761186283</ns0:v>
      </ns0:c>
      <ns0:c r="Y390" s="16">
        <ns0:f>Q390-F390*'前提と出典'!$E$6</ns0:f>
        <ns0:v>161021.59614039888</ns0:v>
      </ns0:c>
      <ns0:c r="Z390" s="7">
        <ns0:f>X390+Y390</ns0:f>
        <ns0:v>749738.1722590271</ns0:v>
      </ns0:c>
      <ns0:c r="AA390" s="7">
        <ns0:f>IF(T390&gt;=0,A390,1001)</ns0:f>
        <ns0:v>386</ns0:v>
      </ns0:c>
      <ns0:c r="AB390" s="7">
        <ns0:f>IF(T390&lt;0,A390,0)</ns0:f>
        <ns0:v>0</ns0:v>
      </ns0:c>
      <ns0:c r="AC390" s="16">
        <ns0:f>IF(AND(OR('前提と出典'!$C$36+'前提と出典'!$C$38=0,R390&gt;=0),OR('前提と出典'!$C$37+'前提と出典'!$C$38=0,S390&gt;=0)),0,A390)</ns0:f>
        <ns0:v>0</ns0:v>
      </ns0:c>
      <ns0:c r="AD390" s="7">
        <ns0:f>IF(W390&gt;=0,A390,1001)</ns0:f>
        <ns0:v>386</ns0:v>
      </ns0:c>
      <ns0:c r="AE390" s="7">
        <ns0:f>IF(W390&lt;0,A390,0)</ns0:f>
        <ns0:v>0</ns0:v>
      </ns0:c>
      <ns0:c r="AF390" s="16">
        <ns0:f>IF(AND(OR('前提と出典'!$C$36+'前提と出典'!$C$38=0,U390&gt;=0),OR('前提と出典'!$C$37+'前提と出典'!$C$38=0,V390&gt;=0)),0,A390)</ns0:f>
        <ns0:v>0</ns0:v>
      </ns0:c>
      <ns0:c r="AG390" s="7">
        <ns0:f>IF(Z390&gt;=0,A390,1001)</ns0:f>
        <ns0:v>386</ns0:v>
      </ns0:c>
      <ns0:c r="AH390" s="4">
        <ns0:f>IF(Z390&lt;0,A390,0)</ns0:f>
        <ns0:v>0</ns0:v>
      </ns0:c>
      <ns0:c r="AI390" s="12">
        <ns0:f>IF(AND(OR('前提と出典'!$C$36+'前提と出典'!$C$38=0,X390&gt;=0),OR('前提と出典'!$C$37+'前提と出典'!$C$38=0,Y390&gt;=0)),0,A390)</ns0:f>
        <ns0:v>0</ns0:v>
      </ns0:c>
    </ns0:row>
    <ns0:row r="391" ht="24" customHeight="1">
      <ns0:c r="A391" s="4" t="n">
        <ns0:v>387</ns0:v>
      </ns0:c>
      <ns0:c r="B391" s="12">
        <ns0:f>A391*('前提と出典'!$C$36+'前提と出典'!$C$38)</ns0:f>
        <ns0:v>270.9</ns0:v>
      </ns0:c>
      <ns0:c r="C391" s="12">
        <ns0:f>A391*('前提と出典'!$C$37+'前提と出典'!$C$38)</ns0:f>
        <ns0:v>232.2</ns0:v>
      </ns0:c>
      <ns0:c r="D391" s="16">
        <ns0:f>A391*('前提と出典'!$C$36*'契約別単価'!C5+'前提と出典'!$C$37*'契約別単価'!C6+'前提と出典'!$C$38*'契約別単価'!C7)</ns0:f>
        <ns0:v>2784.6703910614524</ns0:v>
      </ns0:c>
      <ns0:c r="E391" s="16">
        <ns0:f>A391*('前提と出典'!$C$36*'契約別単価'!E5+'前提と出典'!$C$37*'契約別単価'!E6+'前提と出典'!$C$38*'契約別単価'!E7)</ns0:f>
        <ns0:v>972868.8212942334</ns0:v>
      </ns0:c>
      <ns0:c r="F391" s="16">
        <ns0:f>A391*('前提と出典'!$C$36*'契約別単価'!F5+'前提と出典'!$C$37*'契約別単価'!F6+'前提と出典'!$C$38*'契約別単価'!F7)</ns0:f>
        <ns0:v>282690.8115066423</ns0:v>
      </ns0:c>
      <ns0:c r="G391" s="16">
        <ns0:f>A391*('前提と出典'!$C$36*'契約別単価'!G5+'前提と出典'!$C$37*'契約別単価'!G6+'前提と出典'!$C$38*'契約別単価'!G7)</ns0:f>
        <ns0:v>770324.5810055865</ns0:v>
      </ns0:c>
      <ns0:c r="H391" s="16">
        <ns0:f>A391*('前提と出典'!$C$36*'契約別単価'!H5+'前提と出典'!$C$37*'契約別単価'!H6+'前提と出典'!$C$38*'契約別単価'!H7)</ns0:f>
        <ns0:v>267341.264422672</ns0:v>
      </ns0:c>
      <ns0:c r="I391" s="16">
        <ns0:f>A391*('前提と出典'!$C$36*'契約別単価'!I5+'前提と出典'!$C$37*'契約別単価'!I6+'前提と出典'!$C$38*'契約別単価'!I7)</ns0:f>
        <ns0:v>16329.67039106145</ns0:v>
      </ns0:c>
      <ns0:c r="J391" s="16">
        <ns0:f>A391*('前提と出典'!$C$36*'契約別単価'!J5+'前提と出典'!$C$37*'契約別単価'!J6+'前提と出典'!$C$38*'契約別単価'!J7)</ns0:f>
        <ns0:v>38038.053415887094</ns0:v>
      </ns0:c>
      <ns0:c r="K391" s="16">
        <ns0:f>A391*('前提と出典'!$C$36*'契約別単価'!K5+'前提と出典'!$C$37*'契約別単価'!K6+'前提と出典'!$C$38*'契約別単価'!K7)</ns0:f>
        <ns0:v>163044.46927374302</ns0:v>
      </ns0:c>
      <ns0:c r="L391" s="16">
        <ns0:f>A391*('前提と出典'!$C$36*'契約別単価'!L5+'前提と出典'!$C$37*'契約別単価'!L6+'前提と出典'!$C$38*'契約別単価'!L7)</ns0:f>
        <ns0:v>132751.37548075573</ns0:v>
      </ns0:c>
      <ns0:c r="M391" s="16">
        <ns0:f>IF(('前提と出典'!$C$36+'前提と出典'!$C$38)=0,0,IF(B391&lt;=10,'前提と出典'!B73+'前提と出典'!C73,IF(B391&lt;=100,'前提と出典'!B74+'前提と出典'!C74,IF(B391&lt;=500,'前提と出典'!B75+'前提と出典'!C75,'前提と出典'!B76+'前提と出典'!C76))))</ns0:f>
        <ns0:v>40000</ns0:v>
      </ns0:c>
      <ns0:c r="N391" s="16">
        <ns0:f>IF(('前提と出典'!$C$37+'前提と出典'!$C$38)=0,0,IF(C391&lt;=10,'前提と出典'!D73+'前提と出典'!E73,IF(C391&lt;=100,'前提と出典'!D74+'前提と出典'!E74,IF(C391&lt;=500,'前提と出典'!D75+'前提と出典'!E75,'前提と出典'!D76+'前提と出典'!E76))))</ns0:f>
        <ns0:v>56510.9346263078</ns0:v>
      </ns0:c>
      <ns0:c r="O391" s="16">
        <ns0:f>IF('前提と出典'!$C$36+'前提と出典'!$C$38=0,0,'前提と出典'!$B$4*IF('前提と出典'!$B$20=0,MAX('前提と出典'!$B$6,D391*'前提と出典'!$B$5),'前提と出典'!$B$6+D391*'前提と出典'!$B$5))</ns0:f>
        <ns0:v>384284.51396648044</ns0:v>
      </ns0:c>
      <ns0:c r="P391" s="16">
        <ns0:f>(E391+G391)*(1-'前提と出典'!$B$7)-I391-K391-M391-O391</ns0:f>
        <ns0:v>1076779.786185742</ns0:v>
      </ns0:c>
      <ns0:c r="Q391" s="16">
        <ns0:f>(F391+H391)*(1-'前提と出典'!$B$7)-J391-L391-N391</ns0:f>
        <ns0:v>302930.5576729084</ns0:v>
      </ns0:c>
      <ns0:c r="R391" s="16">
        <ns0:f>P391-E391*'前提と出典'!$E$4</ns0:f>
        <ns0:v>784919.1397974717</ns0:v>
      </ns0:c>
      <ns0:c r="S391" s="16">
        <ns0:f>Q391-F391*'前提と出典'!$E$4</ns0:f>
        <ns0:v>218123.31422091566</ns0:v>
      </ns0:c>
      <ns0:c r="T391" s="7">
        <ns0:f>R391+S391</ns0:f>
        <ns0:v>1003042.4540183874</ns0:v>
      </ns0:c>
      <ns0:c r="U391" s="16">
        <ns0:f>P391-E391*'前提と出典'!$E$5</ns0:f>
        <ns0:v>687632.2576680484</ns0:v>
      </ns0:c>
      <ns0:c r="V391" s="16">
        <ns0:f>Q391-F391*'前提と出典'!$E$5</ns0:f>
        <ns0:v>189854.23307025144</ns0:v>
      </ns0:c>
      <ns0:c r="W391" s="7">
        <ns0:f>U391+V391</ns0:f>
        <ns0:v>877486.4907382998</ns0:v>
      </ns0:c>
      <ns0:c r="X391" s="16">
        <ns0:f>P391-E391*'前提と出典'!$E$6</ns0:f>
        <ns0:v>590345.375538625</ns0:v>
      </ns0:c>
      <ns0:c r="Y391" s="16">
        <ns0:f>Q391-F391*'前提と出典'!$E$6</ns0:f>
        <ns0:v>161585.15191958725</ns0:v>
      </ns0:c>
      <ns0:c r="Z391" s="7">
        <ns0:f>X391+Y391</ns0:f>
        <ns0:v>751930.5274582123</ns0:v>
      </ns0:c>
      <ns0:c r="AA391" s="7">
        <ns0:f>IF(T391&gt;=0,A391,1001)</ns0:f>
        <ns0:v>387</ns0:v>
      </ns0:c>
      <ns0:c r="AB391" s="7">
        <ns0:f>IF(T391&lt;0,A391,0)</ns0:f>
        <ns0:v>0</ns0:v>
      </ns0:c>
      <ns0:c r="AC391" s="16">
        <ns0:f>IF(AND(OR('前提と出典'!$C$36+'前提と出典'!$C$38=0,R391&gt;=0),OR('前提と出典'!$C$37+'前提と出典'!$C$38=0,S391&gt;=0)),0,A391)</ns0:f>
        <ns0:v>0</ns0:v>
      </ns0:c>
      <ns0:c r="AD391" s="7">
        <ns0:f>IF(W391&gt;=0,A391,1001)</ns0:f>
        <ns0:v>387</ns0:v>
      </ns0:c>
      <ns0:c r="AE391" s="7">
        <ns0:f>IF(W391&lt;0,A391,0)</ns0:f>
        <ns0:v>0</ns0:v>
      </ns0:c>
      <ns0:c r="AF391" s="16">
        <ns0:f>IF(AND(OR('前提と出典'!$C$36+'前提と出典'!$C$38=0,U391&gt;=0),OR('前提と出典'!$C$37+'前提と出典'!$C$38=0,V391&gt;=0)),0,A391)</ns0:f>
        <ns0:v>0</ns0:v>
      </ns0:c>
      <ns0:c r="AG391" s="7">
        <ns0:f>IF(Z391&gt;=0,A391,1001)</ns0:f>
        <ns0:v>387</ns0:v>
      </ns0:c>
      <ns0:c r="AH391" s="4">
        <ns0:f>IF(Z391&lt;0,A391,0)</ns0:f>
        <ns0:v>0</ns0:v>
      </ns0:c>
      <ns0:c r="AI391" s="12">
        <ns0:f>IF(AND(OR('前提と出典'!$C$36+'前提と出典'!$C$38=0,X391&gt;=0),OR('前提と出典'!$C$37+'前提と出典'!$C$38=0,Y391&gt;=0)),0,A391)</ns0:f>
        <ns0:v>0</ns0:v>
      </ns0:c>
    </ns0:row>
    <ns0:row r="392" ht="24" customHeight="1">
      <ns0:c r="A392" s="4" t="n">
        <ns0:v>388</ns0:v>
      </ns0:c>
      <ns0:c r="B392" s="12">
        <ns0:f>A392*('前提と出典'!$C$36+'前提と出典'!$C$38)</ns0:f>
        <ns0:v>271.59999999999997</ns0:v>
      </ns0:c>
      <ns0:c r="C392" s="12">
        <ns0:f>A392*('前提と出典'!$C$37+'前提と出典'!$C$38)</ns0:f>
        <ns0:v>232.79999999999998</ns0:v>
      </ns0:c>
      <ns0:c r="D392" s="16">
        <ns0:f>A392*('前提と出典'!$C$36*'契約別単価'!C5+'前提と出典'!$C$37*'契約別単価'!C6+'前提と出典'!$C$38*'契約別単価'!C7)</ns0:f>
        <ns0:v>2791.8659217877093</ns0:v>
      </ns0:c>
      <ns0:c r="E392" s="16">
        <ns0:f>A392*('前提と出典'!$C$36*'契約別単価'!E5+'前提と出典'!$C$37*'契約別単価'!E6+'前提と出典'!$C$38*'契約別単価'!E7)</ns0:f>
        <ns0:v>975382.6942174743</ns0:v>
      </ns0:c>
      <ns0:c r="F392" s="16">
        <ns0:f>A392*('前提と出典'!$C$36*'契約別単価'!F5+'前提と出典'!$C$37*'契約別単価'!F6+'前提と出典'!$C$38*'契約別単価'!F7)</ns0:f>
        <ns0:v>283421.2787198378</ns0:v>
      </ns0:c>
      <ns0:c r="G392" s="16">
        <ns0:f>A392*('前提と出典'!$C$36*'契約別単価'!G5+'前提と出典'!$C$37*'契約別単価'!G6+'前提と出典'!$C$38*'契約別単価'!G7)</ns0:f>
        <ns0:v>772315.0837988827</ns0:v>
      </ns0:c>
      <ns0:c r="H392" s="16">
        <ns0:f>A392*('前提と出典'!$C$36*'契約別単価'!H5+'前提と出典'!$C$37*'契約別単価'!H6+'前提と出典'!$C$38*'契約別単価'!H7)</ns0:f>
        <ns0:v>268032.06872350577</ns0:v>
      </ns0:c>
      <ns0:c r="I392" s="16">
        <ns0:f>A392*('前提と出典'!$C$36*'契約別単価'!I5+'前提と出典'!$C$37*'契約別単価'!I6+'前提と出典'!$C$38*'契約別単価'!I7)</ns0:f>
        <ns0:v>16371.865921787707</ns0:v>
      </ns0:c>
      <ns0:c r="J392" s="16">
        <ns0:f>A392*('前提と出典'!$C$36*'契約別単価'!J5+'前提と出典'!$C$37*'契約別単価'!J6+'前提と出典'!$C$38*'契約別単価'!J7)</ns0:f>
        <ns0:v>38136.342959597394</ns0:v>
      </ns0:c>
      <ns0:c r="K392" s="16">
        <ns0:f>A392*('前提と出典'!$C$36*'契約別単価'!K5+'前提と出典'!$C$37*'契約別単価'!K6+'前提と出典'!$C$38*'契約別単価'!K7)</ns0:f>
        <ns0:v>163465.77281191805</ns0:v>
      </ns0:c>
      <ns0:c r="L392" s="16">
        <ns0:f>A392*('前提と出典'!$C$36*'契約別単価'!L5+'前提と出典'!$C$37*'契約別単価'!L6+'前提と出典'!$C$38*'契約別単価'!L7)</ns0:f>
        <ns0:v>133094.40229078353</ns0:v>
      </ns0:c>
      <ns0:c r="M392" s="16">
        <ns0:f>IF(('前提と出典'!$C$36+'前提と出典'!$C$38)=0,0,IF(B392&lt;=10,'前提と出典'!B73+'前提と出典'!C73,IF(B392&lt;=100,'前提と出典'!B74+'前提と出典'!C74,IF(B392&lt;=500,'前提と出典'!B75+'前提と出典'!C75,'前提と出典'!B76+'前提と出典'!C76))))</ns0:f>
        <ns0:v>40000</ns0:v>
      </ns0:c>
      <ns0:c r="N392" s="16">
        <ns0:f>IF(('前提と出典'!$C$37+'前提と出典'!$C$38)=0,0,IF(C392&lt;=10,'前提と出典'!D73+'前提と出典'!E73,IF(C392&lt;=100,'前提と出典'!D74+'前提と出典'!E74,IF(C392&lt;=500,'前提と出典'!D75+'前提と出典'!E75,'前提と出典'!D76+'前提と出典'!E76))))</ns0:f>
        <ns0:v>56510.9346263078</ns0:v>
      </ns0:c>
      <ns0:c r="O392" s="16">
        <ns0:f>IF('前提と出典'!$C$36+'前提と出典'!$C$38=0,0,'前提と出典'!$B$4*IF('前提と出典'!$B$20=0,MAX('前提と出典'!$B$6,D392*'前提と出典'!$B$5),'前提と出典'!$B$6+D392*'前提と出典'!$B$5))</ns0:f>
        <ns0:v>385277.49720670393</ns0:v>
      </ns0:c>
      <ns0:c r="P392" s="16">
        <ns0:f>(E392+G392)*(1-'前提と出典'!$B$7)-I392-K392-M392-O392</ns0:f>
        <ns0:v>1079665.5220673585</ns0:v>
      </ns0:c>
      <ns0:c r="Q392" s="16">
        <ns0:f>(F392+H392)*(1-'前提と出典'!$B$7)-J392-L392-N392</ns0:f>
        <ns0:v>303859.34705869446</ns0:v>
      </ns0:c>
      <ns0:c r="R392" s="16">
        <ns0:f>P392-E392*'前提と出典'!$E$4</ns0:f>
        <ns0:v>787050.7138021162</ns0:v>
      </ns0:c>
      <ns0:c r="S392" s="16">
        <ns0:f>Q392-F392*'前提と出典'!$E$4</ns0:f>
        <ns0:v>218832.96344274312</ns0:v>
      </ns0:c>
      <ns0:c r="T392" s="7">
        <ns0:f>R392+S392</ns0:f>
        <ns0:v>1005883.6772448593</ns0:v>
      </ns0:c>
      <ns0:c r="U392" s="16">
        <ns0:f>P392-E392*'前提と出典'!$E$5</ns0:f>
        <ns0:v>689512.4443803688</ns0:v>
      </ns0:c>
      <ns0:c r="V392" s="16">
        <ns0:f>Q392-F392*'前提と出典'!$E$5</ns0:f>
        <ns0:v>190490.83557075937</ns0:v>
      </ns0:c>
      <ns0:c r="W392" s="7">
        <ns0:f>U392+V392</ns0:f>
        <ns0:v>880003.2799511282</ns0:v>
      </ns0:c>
      <ns0:c r="X392" s="16">
        <ns0:f>P392-E392*'前提と出典'!$E$6</ns0:f>
        <ns0:v>591974.1749586214</ns0:v>
      </ns0:c>
      <ns0:c r="Y392" s="16">
        <ns0:f>Q392-F392*'前提と出典'!$E$6</ns0:f>
        <ns0:v>162148.70769877557</ns0:v>
      </ns0:c>
      <ns0:c r="Z392" s="7">
        <ns0:f>X392+Y392</ns0:f>
        <ns0:v>754122.882657397</ns0:v>
      </ns0:c>
      <ns0:c r="AA392" s="7">
        <ns0:f>IF(T392&gt;=0,A392,1001)</ns0:f>
        <ns0:v>388</ns0:v>
      </ns0:c>
      <ns0:c r="AB392" s="7">
        <ns0:f>IF(T392&lt;0,A392,0)</ns0:f>
        <ns0:v>0</ns0:v>
      </ns0:c>
      <ns0:c r="AC392" s="16">
        <ns0:f>IF(AND(OR('前提と出典'!$C$36+'前提と出典'!$C$38=0,R392&gt;=0),OR('前提と出典'!$C$37+'前提と出典'!$C$38=0,S392&gt;=0)),0,A392)</ns0:f>
        <ns0:v>0</ns0:v>
      </ns0:c>
      <ns0:c r="AD392" s="7">
        <ns0:f>IF(W392&gt;=0,A392,1001)</ns0:f>
        <ns0:v>388</ns0:v>
      </ns0:c>
      <ns0:c r="AE392" s="7">
        <ns0:f>IF(W392&lt;0,A392,0)</ns0:f>
        <ns0:v>0</ns0:v>
      </ns0:c>
      <ns0:c r="AF392" s="16">
        <ns0:f>IF(AND(OR('前提と出典'!$C$36+'前提と出典'!$C$38=0,U392&gt;=0),OR('前提と出典'!$C$37+'前提と出典'!$C$38=0,V392&gt;=0)),0,A392)</ns0:f>
        <ns0:v>0</ns0:v>
      </ns0:c>
      <ns0:c r="AG392" s="7">
        <ns0:f>IF(Z392&gt;=0,A392,1001)</ns0:f>
        <ns0:v>388</ns0:v>
      </ns0:c>
      <ns0:c r="AH392" s="4">
        <ns0:f>IF(Z392&lt;0,A392,0)</ns0:f>
        <ns0:v>0</ns0:v>
      </ns0:c>
      <ns0:c r="AI392" s="12">
        <ns0:f>IF(AND(OR('前提と出典'!$C$36+'前提と出典'!$C$38=0,X392&gt;=0),OR('前提と出典'!$C$37+'前提と出典'!$C$38=0,Y392&gt;=0)),0,A392)</ns0:f>
        <ns0:v>0</ns0:v>
      </ns0:c>
    </ns0:row>
    <ns0:row r="393" ht="24" customHeight="1">
      <ns0:c r="A393" s="4" t="n">
        <ns0:v>389</ns0:v>
      </ns0:c>
      <ns0:c r="B393" s="12">
        <ns0:f>A393*('前提と出典'!$C$36+'前提と出典'!$C$38)</ns0:f>
        <ns0:v>272.29999999999995</ns0:v>
      </ns0:c>
      <ns0:c r="C393" s="12">
        <ns0:f>A393*('前提と出典'!$C$37+'前提と出典'!$C$38)</ns0:f>
        <ns0:v>233.39999999999998</ns0:v>
      </ns0:c>
      <ns0:c r="D393" s="16">
        <ns0:f>A393*('前提と出典'!$C$36*'契約別単価'!C5+'前提と出典'!$C$37*'契約別単価'!C6+'前提と出典'!$C$38*'契約別単価'!C7)</ns0:f>
        <ns0:v>2799.0614525139663</ns0:v>
      </ns0:c>
      <ns0:c r="E393" s="16">
        <ns0:f>A393*('前提と出典'!$C$36*'契約別単価'!E5+'前提と出典'!$C$37*'契約別単価'!E6+'前提と出典'!$C$38*'契約別単価'!E7)</ns0:f>
        <ns0:v>977896.5671407152</ns0:v>
      </ns0:c>
      <ns0:c r="F393" s="16">
        <ns0:f>A393*('前提と出典'!$C$36*'契約別単価'!F5+'前提と出典'!$C$37*'契約別単価'!F6+'前提と出典'!$C$38*'契約別単価'!F7)</ns0:f>
        <ns0:v>284151.74593303323</ns0:v>
      </ns0:c>
      <ns0:c r="G393" s="16">
        <ns0:f>A393*('前提と出典'!$C$36*'契約別単価'!G5+'前提と出典'!$C$37*'契約別単価'!G6+'前提と出典'!$C$38*'契約別単価'!G7)</ns0:f>
        <ns0:v>774305.5865921788</ns0:v>
      </ns0:c>
      <ns0:c r="H393" s="16">
        <ns0:f>A393*('前提と出典'!$C$36*'契約別単価'!H5+'前提と出典'!$C$37*'契約別単価'!H6+'前提と出典'!$C$38*'契約別単価'!H7)</ns0:f>
        <ns0:v>268722.8730243395</ns0:v>
      </ns0:c>
      <ns0:c r="I393" s="16">
        <ns0:f>A393*('前提と出典'!$C$36*'契約別単価'!I5+'前提と出典'!$C$37*'契約別単価'!I6+'前提と出典'!$C$38*'契約別単価'!I7)</ns0:f>
        <ns0:v>16414.061452513964</ns0:v>
      </ns0:c>
      <ns0:c r="J393" s="16">
        <ns0:f>A393*('前提と出典'!$C$36*'契約別単価'!J5+'前提と出典'!$C$37*'契約別単価'!J6+'前提と出典'!$C$38*'契約別単価'!J7)</ns0:f>
        <ns0:v>38234.6325033077</ns0:v>
      </ns0:c>
      <ns0:c r="K393" s="16">
        <ns0:f>A393*('前提と出典'!$C$36*'契約別単価'!K5+'前提と出典'!$C$37*'契約別単価'!K6+'前提と出典'!$C$38*'契約別単価'!K7)</ns0:f>
        <ns0:v>163887.0763500931</ns0:v>
      </ns0:c>
      <ns0:c r="L393" s="16">
        <ns0:f>A393*('前提と出典'!$C$36*'契約別単価'!L5+'前提と出典'!$C$37*'契約別単価'!L6+'前提と出典'!$C$38*'契約別単価'!L7)</ns0:f>
        <ns0:v>133437.4291008113</ns0:v>
      </ns0:c>
      <ns0:c r="M393" s="16">
        <ns0:f>IF(('前提と出典'!$C$36+'前提と出典'!$C$38)=0,0,IF(B393&lt;=10,'前提と出典'!B73+'前提と出典'!C73,IF(B393&lt;=100,'前提と出典'!B74+'前提と出典'!C74,IF(B393&lt;=500,'前提と出典'!B75+'前提と出典'!C75,'前提と出典'!B76+'前提と出典'!C76))))</ns0:f>
        <ns0:v>40000</ns0:v>
      </ns0:c>
      <ns0:c r="N393" s="16">
        <ns0:f>IF(('前提と出典'!$C$37+'前提と出典'!$C$38)=0,0,IF(C393&lt;=10,'前提と出典'!D73+'前提と出典'!E73,IF(C393&lt;=100,'前提と出典'!D74+'前提と出典'!E74,IF(C393&lt;=500,'前提と出典'!D75+'前提と出典'!E75,'前提と出典'!D76+'前提と出典'!E76))))</ns0:f>
        <ns0:v>56510.9346263078</ns0:v>
      </ns0:c>
      <ns0:c r="O393" s="16">
        <ns0:f>IF('前提と出典'!$C$36+'前提と出典'!$C$38=0,0,'前提と出典'!$B$4*IF('前提と出典'!$B$20=0,MAX('前提と出典'!$B$6,D393*'前提と出典'!$B$5),'前提と出典'!$B$6+D393*'前提と出典'!$B$5))</ns0:f>
        <ns0:v>386270.4804469273</ns0:v>
      </ns0:c>
      <ns0:c r="P393" s="16">
        <ns0:f>(E393+G393)*(1-'前提と出典'!$B$7)-I393-K393-M393-O393</ns0:f>
        <ns0:v>1082551.2579489753</ns0:v>
      </ns0:c>
      <ns0:c r="Q393" s="16">
        <ns0:f>(F393+H393)*(1-'前提と出典'!$B$7)-J393-L393-N393</ns0:f>
        <ns0:v>304788.1364444805</ns0:v>
      </ns0:c>
      <ns0:c r="R393" s="16">
        <ns0:f>P393-E393*'前提と出典'!$E$4</ns0:f>
        <ns0:v>789182.2878067608</ns0:v>
      </ns0:c>
      <ns0:c r="S393" s="16">
        <ns0:f>Q393-F393*'前提と出典'!$E$4</ns0:f>
        <ns0:v>219542.61266457057</ns0:v>
      </ns0:c>
      <ns0:c r="T393" s="7">
        <ns0:f>R393+S393</ns0:f>
        <ns0:v>1008724.9004713313</ns0:v>
      </ns0:c>
      <ns0:c r="U393" s="16">
        <ns0:f>P393-E393*'前提と出典'!$E$5</ns0:f>
        <ns0:v>691392.6310926892</ns0:v>
      </ns0:c>
      <ns0:c r="V393" s="16">
        <ns0:f>Q393-F393*'前提と出典'!$E$5</ns0:f>
        <ns0:v>191127.4380712672</ns0:v>
      </ns0:c>
      <ns0:c r="W393" s="7">
        <ns0:f>U393+V393</ns0:f>
        <ns0:v>882520.0691639564</ns0:v>
      </ns0:c>
      <ns0:c r="X393" s="16">
        <ns0:f>P393-E393*'前提と出典'!$E$6</ns0:f>
        <ns0:v>593602.9743786177</ns0:v>
      </ns0:c>
      <ns0:c r="Y393" s="16">
        <ns0:f>Q393-F393*'前提と出典'!$E$6</ns0:f>
        <ns0:v>162712.26347796386</ns0:v>
      </ns0:c>
      <ns0:c r="Z393" s="7">
        <ns0:f>X393+Y393</ns0:f>
        <ns0:v>756315.2378565816</ns0:v>
      </ns0:c>
      <ns0:c r="AA393" s="7">
        <ns0:f>IF(T393&gt;=0,A393,1001)</ns0:f>
        <ns0:v>389</ns0:v>
      </ns0:c>
      <ns0:c r="AB393" s="7">
        <ns0:f>IF(T393&lt;0,A393,0)</ns0:f>
        <ns0:v>0</ns0:v>
      </ns0:c>
      <ns0:c r="AC393" s="16">
        <ns0:f>IF(AND(OR('前提と出典'!$C$36+'前提と出典'!$C$38=0,R393&gt;=0),OR('前提と出典'!$C$37+'前提と出典'!$C$38=0,S393&gt;=0)),0,A393)</ns0:f>
        <ns0:v>0</ns0:v>
      </ns0:c>
      <ns0:c r="AD393" s="7">
        <ns0:f>IF(W393&gt;=0,A393,1001)</ns0:f>
        <ns0:v>389</ns0:v>
      </ns0:c>
      <ns0:c r="AE393" s="7">
        <ns0:f>IF(W393&lt;0,A393,0)</ns0:f>
        <ns0:v>0</ns0:v>
      </ns0:c>
      <ns0:c r="AF393" s="16">
        <ns0:f>IF(AND(OR('前提と出典'!$C$36+'前提と出典'!$C$38=0,U393&gt;=0),OR('前提と出典'!$C$37+'前提と出典'!$C$38=0,V393&gt;=0)),0,A393)</ns0:f>
        <ns0:v>0</ns0:v>
      </ns0:c>
      <ns0:c r="AG393" s="7">
        <ns0:f>IF(Z393&gt;=0,A393,1001)</ns0:f>
        <ns0:v>389</ns0:v>
      </ns0:c>
      <ns0:c r="AH393" s="4">
        <ns0:f>IF(Z393&lt;0,A393,0)</ns0:f>
        <ns0:v>0</ns0:v>
      </ns0:c>
      <ns0:c r="AI393" s="12">
        <ns0:f>IF(AND(OR('前提と出典'!$C$36+'前提と出典'!$C$38=0,X393&gt;=0),OR('前提と出典'!$C$37+'前提と出典'!$C$38=0,Y393&gt;=0)),0,A393)</ns0:f>
        <ns0:v>0</ns0:v>
      </ns0:c>
    </ns0:row>
    <ns0:row r="394" ht="24" customHeight="1">
      <ns0:c r="A394" s="4" t="n">
        <ns0:v>390</ns0:v>
      </ns0:c>
      <ns0:c r="B394" s="12">
        <ns0:f>A394*('前提と出典'!$C$36+'前提と出典'!$C$38)</ns0:f>
        <ns0:v>273</ns0:v>
      </ns0:c>
      <ns0:c r="C394" s="12">
        <ns0:f>A394*('前提と出典'!$C$37+'前提と出典'!$C$38)</ns0:f>
        <ns0:v>234</ns0:v>
      </ns0:c>
      <ns0:c r="D394" s="16">
        <ns0:f>A394*('前提と出典'!$C$36*'契約別単価'!C5+'前提と出典'!$C$37*'契約別単価'!C6+'前提と出典'!$C$38*'契約別単価'!C7)</ns0:f>
        <ns0:v>2806.2569832402232</ns0:v>
      </ns0:c>
      <ns0:c r="E394" s="16">
        <ns0:f>A394*('前提と出典'!$C$36*'契約別単価'!E5+'前提と出典'!$C$37*'契約別単価'!E6+'前提と出典'!$C$38*'契約別単価'!E7)</ns0:f>
        <ns0:v>980410.4400639562</ns0:v>
      </ns0:c>
      <ns0:c r="F394" s="16">
        <ns0:f>A394*('前提と出典'!$C$36*'契約別単価'!F5+'前提と出典'!$C$37*'契約別単価'!F6+'前提と出典'!$C$38*'契約別単価'!F7)</ns0:f>
        <ns0:v>284882.2131462287</ns0:v>
      </ns0:c>
      <ns0:c r="G394" s="16">
        <ns0:f>A394*('前提と出典'!$C$36*'契約別単価'!G5+'前提と出典'!$C$37*'契約別単価'!G6+'前提と出典'!$C$38*'契約別単価'!G7)</ns0:f>
        <ns0:v>776296.0893854748</ns0:v>
      </ns0:c>
      <ns0:c r="H394" s="16">
        <ns0:f>A394*('前提と出典'!$C$36*'契約別単価'!H5+'前提と出典'!$C$37*'契約別単価'!H6+'前提と出典'!$C$38*'契約別単価'!H7)</ns0:f>
        <ns0:v>269413.6773251733</ns0:v>
      </ns0:c>
      <ns0:c r="I394" s="16">
        <ns0:f>A394*('前提と出典'!$C$36*'契約別単価'!I5+'前提と出典'!$C$37*'契約別単価'!I6+'前提と出典'!$C$38*'契約別単価'!I7)</ns0:f>
        <ns0:v>16456.256983240222</ns0:v>
      </ns0:c>
      <ns0:c r="J394" s="16">
        <ns0:f>A394*('前提と出典'!$C$36*'契約別単価'!J5+'前提と出典'!$C$37*'契約別単価'!J6+'前提と出典'!$C$38*'契約別単価'!J7)</ns0:f>
        <ns0:v>38332.922047018</ns0:v>
      </ns0:c>
      <ns0:c r="K394" s="16">
        <ns0:f>A394*('前提と出典'!$C$36*'契約別単価'!K5+'前提と出典'!$C$37*'契約別単価'!K6+'前提と出典'!$C$38*'契約別単価'!K7)</ns0:f>
        <ns0:v>164308.37988826816</ns0:v>
      </ns0:c>
      <ns0:c r="L394" s="16">
        <ns0:f>A394*('前提と出典'!$C$36*'契約別単価'!L5+'前提と出典'!$C$37*'契約別単価'!L6+'前提と出典'!$C$38*'契約別単価'!L7)</ns0:f>
        <ns0:v>133780.4559108391</ns0:v>
      </ns0:c>
      <ns0:c r="M394" s="16">
        <ns0:f>IF(('前提と出典'!$C$36+'前提と出典'!$C$38)=0,0,IF(B394&lt;=10,'前提と出典'!B73+'前提と出典'!C73,IF(B394&lt;=100,'前提と出典'!B74+'前提と出典'!C74,IF(B394&lt;=500,'前提と出典'!B75+'前提と出典'!C75,'前提と出典'!B76+'前提と出典'!C76))))</ns0:f>
        <ns0:v>40000</ns0:v>
      </ns0:c>
      <ns0:c r="N394" s="16">
        <ns0:f>IF(('前提と出典'!$C$37+'前提と出典'!$C$38)=0,0,IF(C394&lt;=10,'前提と出典'!D73+'前提と出典'!E73,IF(C394&lt;=100,'前提と出典'!D74+'前提と出典'!E74,IF(C394&lt;=500,'前提と出典'!D75+'前提と出典'!E75,'前提と出典'!D76+'前提と出典'!E76))))</ns0:f>
        <ns0:v>56510.9346263078</ns0:v>
      </ns0:c>
      <ns0:c r="O394" s="16">
        <ns0:f>IF('前提と出典'!$C$36+'前提と出典'!$C$38=0,0,'前提と出典'!$B$4*IF('前提と出典'!$B$20=0,MAX('前提と出典'!$B$6,D394*'前提と出典'!$B$5),'前提と出典'!$B$6+D394*'前提と出典'!$B$5))</ns0:f>
        <ns0:v>387263.4636871508</ns0:v>
      </ns0:c>
      <ns0:c r="P394" s="16">
        <ns0:f>(E394+G394)*(1-'前提と出典'!$B$7)-I394-K394-M394-O394</ns0:f>
        <ns0:v>1085436.9938305924</ns0:v>
      </ns0:c>
      <ns0:c r="Q394" s="16">
        <ns0:f>(F394+H394)*(1-'前提と出典'!$B$7)-J394-L394-N394</ns0:f>
        <ns0:v>305716.92583026655</ns0:v>
      </ns0:c>
      <ns0:c r="R394" s="16">
        <ns0:f>P394-E394*'前提と出典'!$E$4</ns0:f>
        <ns0:v>791313.8618114055</ns0:v>
      </ns0:c>
      <ns0:c r="S394" s="16">
        <ns0:f>Q394-F394*'前提と出典'!$E$4</ns0:f>
        <ns0:v>220252.26188639796</ns0:v>
      </ns0:c>
      <ns0:c r="T394" s="7">
        <ns0:f>R394+S394</ns0:f>
        <ns0:v>1011566.1236978035</ns0:v>
      </ns0:c>
      <ns0:c r="U394" s="16">
        <ns0:f>P394-E394*'前提と出典'!$E$5</ns0:f>
        <ns0:v>693272.8178050099</ns0:v>
      </ns0:c>
      <ns0:c r="V394" s="16">
        <ns0:f>Q394-F394*'前提と出典'!$E$5</ns0:f>
        <ns0:v>191764.04057177508</ns0:v>
      </ns0:c>
      <ns0:c r="W394" s="7">
        <ns0:f>U394+V394</ns0:f>
        <ns0:v>885036.858376785</ns0:v>
      </ns0:c>
      <ns0:c r="X394" s="16">
        <ns0:f>P394-E394*'前提と出典'!$E$6</ns0:f>
        <ns0:v>595231.7737986143</ns0:v>
      </ns0:c>
      <ns0:c r="Y394" s="16">
        <ns0:f>Q394-F394*'前提と出典'!$E$6</ns0:f>
        <ns0:v>163275.81925715224</ns0:v>
      </ns0:c>
      <ns0:c r="Z394" s="7">
        <ns0:f>X394+Y394</ns0:f>
        <ns0:v>758507.5930557665</ns0:v>
      </ns0:c>
      <ns0:c r="AA394" s="7">
        <ns0:f>IF(T394&gt;=0,A394,1001)</ns0:f>
        <ns0:v>390</ns0:v>
      </ns0:c>
      <ns0:c r="AB394" s="7">
        <ns0:f>IF(T394&lt;0,A394,0)</ns0:f>
        <ns0:v>0</ns0:v>
      </ns0:c>
      <ns0:c r="AC394" s="16">
        <ns0:f>IF(AND(OR('前提と出典'!$C$36+'前提と出典'!$C$38=0,R394&gt;=0),OR('前提と出典'!$C$37+'前提と出典'!$C$38=0,S394&gt;=0)),0,A394)</ns0:f>
        <ns0:v>0</ns0:v>
      </ns0:c>
      <ns0:c r="AD394" s="7">
        <ns0:f>IF(W394&gt;=0,A394,1001)</ns0:f>
        <ns0:v>390</ns0:v>
      </ns0:c>
      <ns0:c r="AE394" s="7">
        <ns0:f>IF(W394&lt;0,A394,0)</ns0:f>
        <ns0:v>0</ns0:v>
      </ns0:c>
      <ns0:c r="AF394" s="16">
        <ns0:f>IF(AND(OR('前提と出典'!$C$36+'前提と出典'!$C$38=0,U394&gt;=0),OR('前提と出典'!$C$37+'前提と出典'!$C$38=0,V394&gt;=0)),0,A394)</ns0:f>
        <ns0:v>0</ns0:v>
      </ns0:c>
      <ns0:c r="AG394" s="7">
        <ns0:f>IF(Z394&gt;=0,A394,1001)</ns0:f>
        <ns0:v>390</ns0:v>
      </ns0:c>
      <ns0:c r="AH394" s="4">
        <ns0:f>IF(Z394&lt;0,A394,0)</ns0:f>
        <ns0:v>0</ns0:v>
      </ns0:c>
      <ns0:c r="AI394" s="12">
        <ns0:f>IF(AND(OR('前提と出典'!$C$36+'前提と出典'!$C$38=0,X394&gt;=0),OR('前提と出典'!$C$37+'前提と出典'!$C$38=0,Y394&gt;=0)),0,A394)</ns0:f>
        <ns0:v>0</ns0:v>
      </ns0:c>
    </ns0:row>
    <ns0:row r="395" ht="24" customHeight="1">
      <ns0:c r="A395" s="4" t="n">
        <ns0:v>391</ns0:v>
      </ns0:c>
      <ns0:c r="B395" s="12">
        <ns0:f>A395*('前提と出典'!$C$36+'前提と出典'!$C$38)</ns0:f>
        <ns0:v>273.7</ns0:v>
      </ns0:c>
      <ns0:c r="C395" s="12">
        <ns0:f>A395*('前提と出典'!$C$37+'前提と出典'!$C$38)</ns0:f>
        <ns0:v>234.6</ns0:v>
      </ns0:c>
      <ns0:c r="D395" s="16">
        <ns0:f>A395*('前提と出典'!$C$36*'契約別単価'!C5+'前提と出典'!$C$37*'契約別単価'!C6+'前提と出典'!$C$38*'契約別単価'!C7)</ns0:f>
        <ns0:v>2813.4525139664806</ns0:v>
      </ns0:c>
      <ns0:c r="E395" s="16">
        <ns0:f>A395*('前提と出典'!$C$36*'契約別単価'!E5+'前提と出典'!$C$37*'契約別単価'!E6+'前提と出典'!$C$38*'契約別単価'!E7)</ns0:f>
        <ns0:v>982924.3129871971</ns0:v>
      </ns0:c>
      <ns0:c r="F395" s="16">
        <ns0:f>A395*('前提と出典'!$C$36*'契約別単価'!F5+'前提と出典'!$C$37*'契約別単価'!F6+'前提と出典'!$C$38*'契約別単価'!F7)</ns0:f>
        <ns0:v>285612.68035942415</ns0:v>
      </ns0:c>
      <ns0:c r="G395" s="16">
        <ns0:f>A395*('前提と出典'!$C$36*'契約別単価'!G5+'前提と出典'!$C$37*'契約別単価'!G6+'前提と出典'!$C$38*'契約別単価'!G7)</ns0:f>
        <ns0:v>778286.5921787709</ns0:v>
      </ns0:c>
      <ns0:c r="H395" s="16">
        <ns0:f>A395*('前提と出典'!$C$36*'契約別単価'!H5+'前提と出典'!$C$37*'契約別単価'!H6+'前提と出典'!$C$38*'契約別単価'!H7)</ns0:f>
        <ns0:v>270104.48162600707</ns0:v>
      </ns0:c>
      <ns0:c r="I395" s="16">
        <ns0:f>A395*('前提と出典'!$C$36*'契約別単価'!I5+'前提と出典'!$C$37*'契約別単価'!I6+'前提と出典'!$C$38*'契約別単価'!I7)</ns0:f>
        <ns0:v>16498.452513966477</ns0:v>
      </ns0:c>
      <ns0:c r="J395" s="16">
        <ns0:f>A395*('前提と出典'!$C$36*'契約別単価'!J5+'前提と出典'!$C$37*'契約別単価'!J6+'前提と出典'!$C$38*'契約別単価'!J7)</ns0:f>
        <ns0:v>38431.2115907283</ns0:v>
      </ns0:c>
      <ns0:c r="K395" s="16">
        <ns0:f>A395*('前提と出典'!$C$36*'契約別単価'!K5+'前提と出典'!$C$37*'契約別単価'!K6+'前提と出典'!$C$38*'契約別単価'!K7)</ns0:f>
        <ns0:v>164729.6834264432</ns0:v>
      </ns0:c>
      <ns0:c r="L395" s="16">
        <ns0:f>A395*('前提と出典'!$C$36*'契約別単価'!L5+'前提と出典'!$C$37*'契約別単価'!L6+'前提と出典'!$C$38*'契約別単価'!L7)</ns0:f>
        <ns0:v>134123.4827208669</ns0:v>
      </ns0:c>
      <ns0:c r="M395" s="16">
        <ns0:f>IF(('前提と出典'!$C$36+'前提と出典'!$C$38)=0,0,IF(B395&lt;=10,'前提と出典'!B73+'前提と出典'!C73,IF(B395&lt;=100,'前提と出典'!B74+'前提と出典'!C74,IF(B395&lt;=500,'前提と出典'!B75+'前提と出典'!C75,'前提と出典'!B76+'前提と出典'!C76))))</ns0:f>
        <ns0:v>40000</ns0:v>
      </ns0:c>
      <ns0:c r="N395" s="16">
        <ns0:f>IF(('前提と出典'!$C$37+'前提と出典'!$C$38)=0,0,IF(C395&lt;=10,'前提と出典'!D73+'前提と出典'!E73,IF(C395&lt;=100,'前提と出典'!D74+'前提と出典'!E74,IF(C395&lt;=500,'前提と出典'!D75+'前提と出典'!E75,'前提と出典'!D76+'前提と出典'!E76))))</ns0:f>
        <ns0:v>56510.9346263078</ns0:v>
      </ns0:c>
      <ns0:c r="O395" s="16">
        <ns0:f>IF('前提と出典'!$C$36+'前提と出典'!$C$38=0,0,'前提と出典'!$B$4*IF('前提と出典'!$B$20=0,MAX('前提と出典'!$B$6,D395*'前提と出典'!$B$5),'前提と出典'!$B$6+D395*'前提と出典'!$B$5))</ns0:f>
        <ns0:v>388256.44692737435</ns0:v>
      </ns0:c>
      <ns0:c r="P395" s="16">
        <ns0:f>(E395+G395)*(1-'前提と出典'!$B$7)-I395-K395-M395-O395</ns0:f>
        <ns0:v>1088322.7297122092</ns0:v>
      </ns0:c>
      <ns0:c r="Q395" s="16">
        <ns0:f>(F395+H395)*(1-'前提と出典'!$B$7)-J395-L395-N395</ns0:f>
        <ns0:v>306645.7152160527</ns0:v>
      </ns0:c>
      <ns0:c r="R395" s="16">
        <ns0:f>P395-E395*'前提と出典'!$E$4</ns0:f>
        <ns0:v>793445.4358160499</ns0:v>
      </ns0:c>
      <ns0:c r="S395" s="16">
        <ns0:f>Q395-F395*'前提と出典'!$E$4</ns0:f>
        <ns0:v>220961.91110822547</ns0:v>
      </ns0:c>
      <ns0:c r="T395" s="7">
        <ns0:f>R395+S395</ns0:f>
        <ns0:v>1014407.3469242754</ns0:v>
      </ns0:c>
      <ns0:c r="U395" s="16">
        <ns0:f>P395-E395*'前提と出典'!$E$5</ns0:f>
        <ns0:v>695153.0045173302</ns0:v>
      </ns0:c>
      <ns0:c r="V395" s="16">
        <ns0:f>Q395-F395*'前提と出典'!$E$5</ns0:f>
        <ns0:v>192400.64307228304</ns0:v>
      </ns0:c>
      <ns0:c r="W395" s="7">
        <ns0:f>U395+V395</ns0:f>
        <ns0:v>887553.6475896132</ns0:v>
      </ns0:c>
      <ns0:c r="X395" s="16">
        <ns0:f>P395-E395*'前提と出典'!$E$6</ns0:f>
        <ns0:v>596860.5732186105</ns0:v>
      </ns0:c>
      <ns0:c r="Y395" s="16">
        <ns0:f>Q395-F395*'前提と出典'!$E$6</ns0:f>
        <ns0:v>163839.37503634064</ns0:v>
      </ns0:c>
      <ns0:c r="Z395" s="7">
        <ns0:f>X395+Y395</ns0:f>
        <ns0:v>760699.9482549512</ns0:v>
      </ns0:c>
      <ns0:c r="AA395" s="7">
        <ns0:f>IF(T395&gt;=0,A395,1001)</ns0:f>
        <ns0:v>391</ns0:v>
      </ns0:c>
      <ns0:c r="AB395" s="7">
        <ns0:f>IF(T395&lt;0,A395,0)</ns0:f>
        <ns0:v>0</ns0:v>
      </ns0:c>
      <ns0:c r="AC395" s="16">
        <ns0:f>IF(AND(OR('前提と出典'!$C$36+'前提と出典'!$C$38=0,R395&gt;=0),OR('前提と出典'!$C$37+'前提と出典'!$C$38=0,S395&gt;=0)),0,A395)</ns0:f>
        <ns0:v>0</ns0:v>
      </ns0:c>
      <ns0:c r="AD395" s="7">
        <ns0:f>IF(W395&gt;=0,A395,1001)</ns0:f>
        <ns0:v>391</ns0:v>
      </ns0:c>
      <ns0:c r="AE395" s="7">
        <ns0:f>IF(W395&lt;0,A395,0)</ns0:f>
        <ns0:v>0</ns0:v>
      </ns0:c>
      <ns0:c r="AF395" s="16">
        <ns0:f>IF(AND(OR('前提と出典'!$C$36+'前提と出典'!$C$38=0,U395&gt;=0),OR('前提と出典'!$C$37+'前提と出典'!$C$38=0,V395&gt;=0)),0,A395)</ns0:f>
        <ns0:v>0</ns0:v>
      </ns0:c>
      <ns0:c r="AG395" s="7">
        <ns0:f>IF(Z395&gt;=0,A395,1001)</ns0:f>
        <ns0:v>391</ns0:v>
      </ns0:c>
      <ns0:c r="AH395" s="4">
        <ns0:f>IF(Z395&lt;0,A395,0)</ns0:f>
        <ns0:v>0</ns0:v>
      </ns0:c>
      <ns0:c r="AI395" s="12">
        <ns0:f>IF(AND(OR('前提と出典'!$C$36+'前提と出典'!$C$38=0,X395&gt;=0),OR('前提と出典'!$C$37+'前提と出典'!$C$38=0,Y395&gt;=0)),0,A395)</ns0:f>
        <ns0:v>0</ns0:v>
      </ns0:c>
    </ns0:row>
    <ns0:row r="396" ht="24" customHeight="1">
      <ns0:c r="A396" s="4" t="n">
        <ns0:v>392</ns0:v>
      </ns0:c>
      <ns0:c r="B396" s="12">
        <ns0:f>A396*('前提と出典'!$C$36+'前提と出典'!$C$38)</ns0:f>
        <ns0:v>274.4</ns0:v>
      </ns0:c>
      <ns0:c r="C396" s="12">
        <ns0:f>A396*('前提と出典'!$C$37+'前提と出典'!$C$38)</ns0:f>
        <ns0:v>235.2</ns0:v>
      </ns0:c>
      <ns0:c r="D396" s="16">
        <ns0:f>A396*('前提と出典'!$C$36*'契約別単価'!C5+'前提と出典'!$C$37*'契約別単価'!C6+'前提と出典'!$C$38*'契約別単価'!C7)</ns0:f>
        <ns0:v>2820.6480446927376</ns0:v>
      </ns0:c>
      <ns0:c r="E396" s="16">
        <ns0:f>A396*('前提と出典'!$C$36*'契約別単価'!E5+'前提と出典'!$C$37*'契約別単価'!E6+'前提と出典'!$C$38*'契約別単価'!E7)</ns0:f>
        <ns0:v>985438.185910438</ns0:v>
      </ns0:c>
      <ns0:c r="F396" s="16">
        <ns0:f>A396*('前提と出典'!$C$36*'契約別単価'!F5+'前提と出典'!$C$37*'契約別単価'!F6+'前提と出典'!$C$38*'契約別単価'!F7)</ns0:f>
        <ns0:v>286343.1475726196</ns0:v>
      </ns0:c>
      <ns0:c r="G396" s="16">
        <ns0:f>A396*('前提と出典'!$C$36*'契約別単価'!G5+'前提と出典'!$C$37*'契約別単価'!G6+'前提と出典'!$C$38*'契約別単価'!G7)</ns0:f>
        <ns0:v>780277.094972067</ns0:v>
      </ns0:c>
      <ns0:c r="H396" s="16">
        <ns0:f>A396*('前提と出典'!$C$36*'契約別単価'!H5+'前提と出典'!$C$37*'契約別単価'!H6+'前提と出典'!$C$38*'契約別単価'!H7)</ns0:f>
        <ns0:v>270795.28592684085</ns0:v>
      </ns0:c>
      <ns0:c r="I396" s="16">
        <ns0:f>A396*('前提と出典'!$C$36*'契約別単価'!I5+'前提と出典'!$C$37*'契約別単価'!I6+'前提と出典'!$C$38*'契約別単価'!I7)</ns0:f>
        <ns0:v>16540.648044692734</ns0:v>
      </ns0:c>
      <ns0:c r="J396" s="16">
        <ns0:f>A396*('前提と出典'!$C$36*'契約別単価'!J5+'前提と出典'!$C$37*'契約別単価'!J6+'前提と出典'!$C$38*'契約別単価'!J7)</ns0:f>
        <ns0:v>38529.50113443861</ns0:v>
      </ns0:c>
      <ns0:c r="K396" s="16">
        <ns0:f>A396*('前提と出典'!$C$36*'契約別単価'!K5+'前提と出典'!$C$37*'契約別単価'!K6+'前提と出典'!$C$38*'契約別単価'!K7)</ns0:f>
        <ns0:v>165150.98696461823</ns0:v>
      </ns0:c>
      <ns0:c r="L396" s="16">
        <ns0:f>A396*('前提と出典'!$C$36*'契約別単価'!L5+'前提と出典'!$C$37*'契約別単価'!L6+'前提と出典'!$C$38*'契約別単価'!L7)</ns0:f>
        <ns0:v>134466.5095308947</ns0:v>
      </ns0:c>
      <ns0:c r="M396" s="16">
        <ns0:f>IF(('前提と出典'!$C$36+'前提と出典'!$C$38)=0,0,IF(B396&lt;=10,'前提と出典'!B73+'前提と出典'!C73,IF(B396&lt;=100,'前提と出典'!B74+'前提と出典'!C74,IF(B396&lt;=500,'前提と出典'!B75+'前提と出典'!C75,'前提と出典'!B76+'前提と出典'!C76))))</ns0:f>
        <ns0:v>40000</ns0:v>
      </ns0:c>
      <ns0:c r="N396" s="16">
        <ns0:f>IF(('前提と出典'!$C$37+'前提と出典'!$C$38)=0,0,IF(C396&lt;=10,'前提と出典'!D73+'前提と出典'!E73,IF(C396&lt;=100,'前提と出典'!D74+'前提と出典'!E74,IF(C396&lt;=500,'前提と出典'!D75+'前提と出典'!E75,'前提と出典'!D76+'前提と出典'!E76))))</ns0:f>
        <ns0:v>56510.9346263078</ns0:v>
      </ns0:c>
      <ns0:c r="O396" s="16">
        <ns0:f>IF('前提と出典'!$C$36+'前提と出典'!$C$38=0,0,'前提と出典'!$B$4*IF('前提と出典'!$B$20=0,MAX('前提と出典'!$B$6,D396*'前提と出典'!$B$5),'前提と出典'!$B$6+D396*'前提と出典'!$B$5))</ns0:f>
        <ns0:v>389249.43016759783</ns0:v>
      </ns0:c>
      <ns0:c r="P396" s="16">
        <ns0:f>(E396+G396)*(1-'前提と出典'!$B$7)-I396-K396-M396-O396</ns0:f>
        <ns0:v>1091208.4655938258</ns0:v>
      </ns0:c>
      <ns0:c r="Q396" s="16">
        <ns0:f>(F396+H396)*(1-'前提と出典'!$B$7)-J396-L396-N396</ns0:f>
        <ns0:v>307574.50460183877</ns0:v>
      </ns0:c>
      <ns0:c r="R396" s="16">
        <ns0:f>P396-E396*'前提と出典'!$E$4</ns0:f>
        <ns0:v>795577.0098206945</ns0:v>
      </ns0:c>
      <ns0:c r="S396" s="16">
        <ns0:f>Q396-F396*'前提と出典'!$E$4</ns0:f>
        <ns0:v>221671.56033005286</ns0:v>
      </ns0:c>
      <ns0:c r="T396" s="7">
        <ns0:f>R396+S396</ns0:f>
        <ns0:v>1017248.5701507473</ns0:v>
      </ns0:c>
      <ns0:c r="U396" s="16">
        <ns0:f>P396-E396*'前提と出典'!$E$5</ns0:f>
        <ns0:v>697033.1912296506</ns0:v>
      </ns0:c>
      <ns0:c r="V396" s="16">
        <ns0:f>Q396-F396*'前提と出典'!$E$5</ns0:f>
        <ns0:v>193037.2455727909</ns0:v>
      </ns0:c>
      <ns0:c r="W396" s="7">
        <ns0:f>U396+V396</ns0:f>
        <ns0:v>890070.4368024415</ns0:v>
      </ns0:c>
      <ns0:c r="X396" s="16">
        <ns0:f>P396-E396*'前提と出典'!$E$6</ns0:f>
        <ns0:v>598489.3726386072</ns0:v>
      </ns0:c>
      <ns0:c r="Y396" s="16">
        <ns0:f>Q396-F396*'前提と出典'!$E$6</ns0:f>
        <ns0:v>164402.93081552896</ns0:v>
      </ns0:c>
      <ns0:c r="Z396" s="7">
        <ns0:f>X396+Y396</ns0:f>
        <ns0:v>762892.3034541361</ns0:v>
      </ns0:c>
      <ns0:c r="AA396" s="7">
        <ns0:f>IF(T396&gt;=0,A396,1001)</ns0:f>
        <ns0:v>392</ns0:v>
      </ns0:c>
      <ns0:c r="AB396" s="7">
        <ns0:f>IF(T396&lt;0,A396,0)</ns0:f>
        <ns0:v>0</ns0:v>
      </ns0:c>
      <ns0:c r="AC396" s="16">
        <ns0:f>IF(AND(OR('前提と出典'!$C$36+'前提と出典'!$C$38=0,R396&gt;=0),OR('前提と出典'!$C$37+'前提と出典'!$C$38=0,S396&gt;=0)),0,A396)</ns0:f>
        <ns0:v>0</ns0:v>
      </ns0:c>
      <ns0:c r="AD396" s="7">
        <ns0:f>IF(W396&gt;=0,A396,1001)</ns0:f>
        <ns0:v>392</ns0:v>
      </ns0:c>
      <ns0:c r="AE396" s="7">
        <ns0:f>IF(W396&lt;0,A396,0)</ns0:f>
        <ns0:v>0</ns0:v>
      </ns0:c>
      <ns0:c r="AF396" s="16">
        <ns0:f>IF(AND(OR('前提と出典'!$C$36+'前提と出典'!$C$38=0,U396&gt;=0),OR('前提と出典'!$C$37+'前提と出典'!$C$38=0,V396&gt;=0)),0,A396)</ns0:f>
        <ns0:v>0</ns0:v>
      </ns0:c>
      <ns0:c r="AG396" s="7">
        <ns0:f>IF(Z396&gt;=0,A396,1001)</ns0:f>
        <ns0:v>392</ns0:v>
      </ns0:c>
      <ns0:c r="AH396" s="4">
        <ns0:f>IF(Z396&lt;0,A396,0)</ns0:f>
        <ns0:v>0</ns0:v>
      </ns0:c>
      <ns0:c r="AI396" s="12">
        <ns0:f>IF(AND(OR('前提と出典'!$C$36+'前提と出典'!$C$38=0,X396&gt;=0),OR('前提と出典'!$C$37+'前提と出典'!$C$38=0,Y396&gt;=0)),0,A396)</ns0:f>
        <ns0:v>0</ns0:v>
      </ns0:c>
    </ns0:row>
    <ns0:row r="397" ht="24" customHeight="1">
      <ns0:c r="A397" s="4" t="n">
        <ns0:v>393</ns0:v>
      </ns0:c>
      <ns0:c r="B397" s="12">
        <ns0:f>A397*('前提と出典'!$C$36+'前提と出典'!$C$38)</ns0:f>
        <ns0:v>275.09999999999997</ns0:v>
      </ns0:c>
      <ns0:c r="C397" s="12">
        <ns0:f>A397*('前提と出典'!$C$37+'前提と出典'!$C$38)</ns0:f>
        <ns0:v>235.79999999999998</ns0:v>
      </ns0:c>
      <ns0:c r="D397" s="16">
        <ns0:f>A397*('前提と出典'!$C$36*'契約別単価'!C5+'前提と出典'!$C$37*'契約別単価'!C6+'前提と出典'!$C$38*'契約別単価'!C7)</ns0:f>
        <ns0:v>2827.8435754189945</ns0:v>
      </ns0:c>
      <ns0:c r="E397" s="16">
        <ns0:f>A397*('前提と出典'!$C$36*'契約別単価'!E5+'前提と出典'!$C$37*'契約別単価'!E6+'前提と出典'!$C$38*'契約別単価'!E7)</ns0:f>
        <ns0:v>987952.058833679</ns0:v>
      </ns0:c>
      <ns0:c r="F397" s="16">
        <ns0:f>A397*('前提と出典'!$C$36*'契約別単価'!F5+'前提と出典'!$C$37*'契約別単価'!F6+'前提と出典'!$C$38*'契約別単価'!F7)</ns0:f>
        <ns0:v>287073.61478581507</ns0:v>
      </ns0:c>
      <ns0:c r="G397" s="16">
        <ns0:f>A397*('前提と出典'!$C$36*'契約別単価'!G5+'前提と出典'!$C$37*'契約別単価'!G6+'前提と出典'!$C$38*'契約別単価'!G7)</ns0:f>
        <ns0:v>782267.597765363</ns0:v>
      </ns0:c>
      <ns0:c r="H397" s="16">
        <ns0:f>A397*('前提と出典'!$C$36*'契約別単価'!H5+'前提と出典'!$C$37*'契約別単価'!H6+'前提と出典'!$C$38*'契約別単価'!H7)</ns0:f>
        <ns0:v>271486.09022767463</ns0:v>
      </ns0:c>
      <ns0:c r="I397" s="16">
        <ns0:f>A397*('前提と出典'!$C$36*'契約別単価'!I5+'前提と出典'!$C$37*'契約別単価'!I6+'前提と出典'!$C$38*'契約別単価'!I7)</ns0:f>
        <ns0:v>16582.843575418992</ns0:v>
      </ns0:c>
      <ns0:c r="J397" s="16">
        <ns0:f>A397*('前提と出典'!$C$36*'契約別単価'!J5+'前提と出典'!$C$37*'契約別単価'!J6+'前提と出典'!$C$38*'契約別単価'!J7)</ns0:f>
        <ns0:v>38627.79067814891</ns0:v>
      </ns0:c>
      <ns0:c r="K397" s="16">
        <ns0:f>A397*('前提と出典'!$C$36*'契約別単価'!K5+'前提と出典'!$C$37*'契約別単価'!K6+'前提と出典'!$C$38*'契約別単価'!K7)</ns0:f>
        <ns0:v>165572.29050279327</ns0:v>
      </ns0:c>
      <ns0:c r="L397" s="16">
        <ns0:f>A397*('前提と出典'!$C$36*'契約別単価'!L5+'前提と出典'!$C$37*'契約別単価'!L6+'前提と出典'!$C$38*'契約別単価'!L7)</ns0:f>
        <ns0:v>134809.5363409225</ns0:v>
      </ns0:c>
      <ns0:c r="M397" s="16">
        <ns0:f>IF(('前提と出典'!$C$36+'前提と出典'!$C$38)=0,0,IF(B397&lt;=10,'前提と出典'!B73+'前提と出典'!C73,IF(B397&lt;=100,'前提と出典'!B74+'前提と出典'!C74,IF(B397&lt;=500,'前提と出典'!B75+'前提と出典'!C75,'前提と出典'!B76+'前提と出典'!C76))))</ns0:f>
        <ns0:v>40000</ns0:v>
      </ns0:c>
      <ns0:c r="N397" s="16">
        <ns0:f>IF(('前提と出典'!$C$37+'前提と出典'!$C$38)=0,0,IF(C397&lt;=10,'前提と出典'!D73+'前提と出典'!E73,IF(C397&lt;=100,'前提と出典'!D74+'前提と出典'!E74,IF(C397&lt;=500,'前提と出典'!D75+'前提と出典'!E75,'前提と出典'!D76+'前提と出典'!E76))))</ns0:f>
        <ns0:v>56510.9346263078</ns0:v>
      </ns0:c>
      <ns0:c r="O397" s="16">
        <ns0:f>IF('前提と出典'!$C$36+'前提と出典'!$C$38=0,0,'前提と出典'!$B$4*IF('前提と出典'!$B$20=0,MAX('前提と出典'!$B$6,D397*'前提と出典'!$B$5),'前提と出典'!$B$6+D397*'前提と出典'!$B$5))</ns0:f>
        <ns0:v>390242.4134078212</ns0:v>
      </ns0:c>
      <ns0:c r="P397" s="16">
        <ns0:f>(E397+G397)*(1-'前提と出典'!$B$7)-I397-K397-M397-O397</ns0:f>
        <ns0:v>1094094.2014754433</ns0:v>
      </ns0:c>
      <ns0:c r="Q397" s="16">
        <ns0:f>(F397+H397)*(1-'前提と出典'!$B$7)-J397-L397-N397</ns0:f>
        <ns0:v>308503.2939876249</ns0:v>
      </ns0:c>
      <ns0:c r="R397" s="16">
        <ns0:f>P397-E397*'前提と出典'!$E$4</ns0:f>
        <ns0:v>797708.5838253396</ns0:v>
      </ns0:c>
      <ns0:c r="S397" s="16">
        <ns0:f>Q397-F397*'前提と出典'!$E$4</ns0:f>
        <ns0:v>222381.20955188037</ns0:v>
      </ns0:c>
      <ns0:c r="T397" s="7">
        <ns0:f>R397+S397</ns0:f>
        <ns0:v>1020089.7933772199</ns0:v>
      </ns0:c>
      <ns0:c r="U397" s="16">
        <ns0:f>P397-E397*'前提と出典'!$E$5</ns0:f>
        <ns0:v>698913.3779419716</ns0:v>
      </ns0:c>
      <ns0:c r="V397" s="16">
        <ns0:f>Q397-F397*'前提と出典'!$E$5</ns0:f>
        <ns0:v>193673.84807329884</ns0:v>
      </ns0:c>
      <ns0:c r="W397" s="7">
        <ns0:f>U397+V397</ns0:f>
        <ns0:v>892587.2260152705</ns0:v>
      </ns0:c>
      <ns0:c r="X397" s="16">
        <ns0:f>P397-E397*'前提と出典'!$E$6</ns0:f>
        <ns0:v>600118.1720586036</ns0:v>
      </ns0:c>
      <ns0:c r="Y397" s="16">
        <ns0:f>Q397-F397*'前提と出典'!$E$6</ns0:f>
        <ns0:v>164966.48659471728</ns0:v>
      </ns0:c>
      <ns0:c r="Z397" s="7">
        <ns0:f>X397+Y397</ns0:f>
        <ns0:v>765084.6586533209</ns0:v>
      </ns0:c>
      <ns0:c r="AA397" s="7">
        <ns0:f>IF(T397&gt;=0,A397,1001)</ns0:f>
        <ns0:v>393</ns0:v>
      </ns0:c>
      <ns0:c r="AB397" s="7">
        <ns0:f>IF(T397&lt;0,A397,0)</ns0:f>
        <ns0:v>0</ns0:v>
      </ns0:c>
      <ns0:c r="AC397" s="16">
        <ns0:f>IF(AND(OR('前提と出典'!$C$36+'前提と出典'!$C$38=0,R397&gt;=0),OR('前提と出典'!$C$37+'前提と出典'!$C$38=0,S397&gt;=0)),0,A397)</ns0:f>
        <ns0:v>0</ns0:v>
      </ns0:c>
      <ns0:c r="AD397" s="7">
        <ns0:f>IF(W397&gt;=0,A397,1001)</ns0:f>
        <ns0:v>393</ns0:v>
      </ns0:c>
      <ns0:c r="AE397" s="7">
        <ns0:f>IF(W397&lt;0,A397,0)</ns0:f>
        <ns0:v>0</ns0:v>
      </ns0:c>
      <ns0:c r="AF397" s="16">
        <ns0:f>IF(AND(OR('前提と出典'!$C$36+'前提と出典'!$C$38=0,U397&gt;=0),OR('前提と出典'!$C$37+'前提と出典'!$C$38=0,V397&gt;=0)),0,A397)</ns0:f>
        <ns0:v>0</ns0:v>
      </ns0:c>
      <ns0:c r="AG397" s="7">
        <ns0:f>IF(Z397&gt;=0,A397,1001)</ns0:f>
        <ns0:v>393</ns0:v>
      </ns0:c>
      <ns0:c r="AH397" s="4">
        <ns0:f>IF(Z397&lt;0,A397,0)</ns0:f>
        <ns0:v>0</ns0:v>
      </ns0:c>
      <ns0:c r="AI397" s="12">
        <ns0:f>IF(AND(OR('前提と出典'!$C$36+'前提と出典'!$C$38=0,X397&gt;=0),OR('前提と出典'!$C$37+'前提と出典'!$C$38=0,Y397&gt;=0)),0,A397)</ns0:f>
        <ns0:v>0</ns0:v>
      </ns0:c>
    </ns0:row>
    <ns0:row r="398" ht="24" customHeight="1">
      <ns0:c r="A398" s="4" t="n">
        <ns0:v>394</ns0:v>
      </ns0:c>
      <ns0:c r="B398" s="12">
        <ns0:f>A398*('前提と出典'!$C$36+'前提と出典'!$C$38)</ns0:f>
        <ns0:v>275.79999999999995</ns0:v>
      </ns0:c>
      <ns0:c r="C398" s="12">
        <ns0:f>A398*('前提と出典'!$C$37+'前提と出典'!$C$38)</ns0:f>
        <ns0:v>236.39999999999998</ns0:v>
      </ns0:c>
      <ns0:c r="D398" s="16">
        <ns0:f>A398*('前提と出典'!$C$36*'契約別単価'!C5+'前提と出典'!$C$37*'契約別単価'!C6+'前提と出典'!$C$38*'契約別単価'!C7)</ns0:f>
        <ns0:v>2835.0391061452515</ns0:v>
      </ns0:c>
      <ns0:c r="E398" s="16">
        <ns0:f>A398*('前提と出典'!$C$36*'契約別単価'!E5+'前提と出典'!$C$37*'契約別単価'!E6+'前提と出典'!$C$38*'契約別単価'!E7)</ns0:f>
        <ns0:v>990465.9317569198</ns0:v>
      </ns0:c>
      <ns0:c r="F398" s="16">
        <ns0:f>A398*('前提と出典'!$C$36*'契約別単価'!F5+'前提と出典'!$C$37*'契約別単価'!F6+'前提と出典'!$C$38*'契約別単価'!F7)</ns0:f>
        <ns0:v>287804.0819990105</ns0:v>
      </ns0:c>
      <ns0:c r="G398" s="16">
        <ns0:f>A398*('前提と出典'!$C$36*'契約別単価'!G5+'前提と出典'!$C$37*'契約別単価'!G6+'前提と出典'!$C$38*'契約別単価'!G7)</ns0:f>
        <ns0:v>784258.1005586592</ns0:v>
      </ns0:c>
      <ns0:c r="H398" s="16">
        <ns0:f>A398*('前提と出典'!$C$36*'契約別単価'!H5+'前提と出典'!$C$37*'契約別単価'!H6+'前提と出典'!$C$38*'契約別単価'!H7)</ns0:f>
        <ns0:v>272176.8945285084</ns0:v>
      </ns0:c>
      <ns0:c r="I398" s="16">
        <ns0:f>A398*('前提と出典'!$C$36*'契約別単価'!I5+'前提と出典'!$C$37*'契約別単価'!I6+'前提と出典'!$C$38*'契約別単価'!I7)</ns0:f>
        <ns0:v>16625.03910614525</ns0:v>
      </ns0:c>
      <ns0:c r="J398" s="16">
        <ns0:f>A398*('前提と出典'!$C$36*'契約別単価'!J5+'前提と出典'!$C$37*'契約別単価'!J6+'前提と出典'!$C$38*'契約別単価'!J7)</ns0:f>
        <ns0:v>38726.080221859214</ns0:v>
      </ns0:c>
      <ns0:c r="K398" s="16">
        <ns0:f>A398*('前提と出典'!$C$36*'契約別単価'!K5+'前提と出典'!$C$37*'契約別単価'!K6+'前提と出典'!$C$38*'契約別単価'!K7)</ns0:f>
        <ns0:v>165993.59404096834</ns0:v>
      </ns0:c>
      <ns0:c r="L398" s="16">
        <ns0:f>A398*('前提と出典'!$C$36*'契約別単価'!L5+'前提と出典'!$C$37*'契約別単価'!L6+'前提と出典'!$C$38*'契約別単価'!L7)</ns0:f>
        <ns0:v>135152.56315095027</ns0:v>
      </ns0:c>
      <ns0:c r="M398" s="16">
        <ns0:f>IF(('前提と出典'!$C$36+'前提と出典'!$C$38)=0,0,IF(B398&lt;=10,'前提と出典'!B73+'前提と出典'!C73,IF(B398&lt;=100,'前提と出典'!B74+'前提と出典'!C74,IF(B398&lt;=500,'前提と出典'!B75+'前提と出典'!C75,'前提と出典'!B76+'前提と出典'!C76))))</ns0:f>
        <ns0:v>40000</ns0:v>
      </ns0:c>
      <ns0:c r="N398" s="16">
        <ns0:f>IF(('前提と出典'!$C$37+'前提と出典'!$C$38)=0,0,IF(C398&lt;=10,'前提と出典'!D73+'前提と出典'!E73,IF(C398&lt;=100,'前提と出典'!D74+'前提と出典'!E74,IF(C398&lt;=500,'前提と出典'!D75+'前提と出典'!E75,'前提と出典'!D76+'前提と出典'!E76))))</ns0:f>
        <ns0:v>56510.9346263078</ns0:v>
      </ns0:c>
      <ns0:c r="O398" s="16">
        <ns0:f>IF('前提と出典'!$C$36+'前提と出典'!$C$38=0,0,'前提と出典'!$B$4*IF('前提と出典'!$B$20=0,MAX('前提と出典'!$B$6,D398*'前提と出典'!$B$5),'前提と出典'!$B$6+D398*'前提と出典'!$B$5))</ns0:f>
        <ns0:v>391235.3966480447</ns0:v>
      </ns0:c>
      <ns0:c r="P398" s="16">
        <ns0:f>(E398+G398)*(1-'前提と出典'!$B$7)-I398-K398-M398-O398</ns0:f>
        <ns0:v>1096979.9373570601</ns0:v>
      </ns0:c>
      <ns0:c r="Q398" s="16">
        <ns0:f>(F398+H398)*(1-'前提と出典'!$B$7)-J398-L398-N398</ns0:f>
        <ns0:v>309432.083373411</ns0:v>
      </ns0:c>
      <ns0:c r="R398" s="16">
        <ns0:f>P398-E398*'前提と出典'!$E$4</ns0:f>
        <ns0:v>799840.1578299841</ns0:v>
      </ns0:c>
      <ns0:c r="S398" s="16">
        <ns0:f>Q398-F398*'前提と出典'!$E$4</ns0:f>
        <ns0:v>223090.85877370776</ns0:v>
      </ns0:c>
      <ns0:c r="T398" s="7">
        <ns0:f>R398+S398</ns0:f>
        <ns0:v>1022931.0166036919</ns0:v>
      </ns0:c>
      <ns0:c r="U398" s="16">
        <ns0:f>P398-E398*'前提と出典'!$E$5</ns0:f>
        <ns0:v>700793.5646542921</ns0:v>
      </ns0:c>
      <ns0:c r="V398" s="16">
        <ns0:f>Q398-F398*'前提と出典'!$E$5</ns0:f>
        <ns0:v>194310.45057380674</ns0:v>
      </ns0:c>
      <ns0:c r="W398" s="7">
        <ns0:f>U398+V398</ns0:f>
        <ns0:v>895104.0152280988</ns0:v>
      </ns0:c>
      <ns0:c r="X398" s="16">
        <ns0:f>P398-E398*'前提と出典'!$E$6</ns0:f>
        <ns0:v>601746.9714785999</ns0:v>
      </ns0:c>
      <ns0:c r="Y398" s="16">
        <ns0:f>Q398-F398*'前提と出典'!$E$6</ns0:f>
        <ns0:v>165530.0423739057</ns0:v>
      </ns0:c>
      <ns0:c r="Z398" s="7">
        <ns0:f>X398+Y398</ns0:f>
        <ns0:v>767277.0138525056</ns0:v>
      </ns0:c>
      <ns0:c r="AA398" s="7">
        <ns0:f>IF(T398&gt;=0,A398,1001)</ns0:f>
        <ns0:v>394</ns0:v>
      </ns0:c>
      <ns0:c r="AB398" s="7">
        <ns0:f>IF(T398&lt;0,A398,0)</ns0:f>
        <ns0:v>0</ns0:v>
      </ns0:c>
      <ns0:c r="AC398" s="16">
        <ns0:f>IF(AND(OR('前提と出典'!$C$36+'前提と出典'!$C$38=0,R398&gt;=0),OR('前提と出典'!$C$37+'前提と出典'!$C$38=0,S398&gt;=0)),0,A398)</ns0:f>
        <ns0:v>0</ns0:v>
      </ns0:c>
      <ns0:c r="AD398" s="7">
        <ns0:f>IF(W398&gt;=0,A398,1001)</ns0:f>
        <ns0:v>394</ns0:v>
      </ns0:c>
      <ns0:c r="AE398" s="7">
        <ns0:f>IF(W398&lt;0,A398,0)</ns0:f>
        <ns0:v>0</ns0:v>
      </ns0:c>
      <ns0:c r="AF398" s="16">
        <ns0:f>IF(AND(OR('前提と出典'!$C$36+'前提と出典'!$C$38=0,U398&gt;=0),OR('前提と出典'!$C$37+'前提と出典'!$C$38=0,V398&gt;=0)),0,A398)</ns0:f>
        <ns0:v>0</ns0:v>
      </ns0:c>
      <ns0:c r="AG398" s="7">
        <ns0:f>IF(Z398&gt;=0,A398,1001)</ns0:f>
        <ns0:v>394</ns0:v>
      </ns0:c>
      <ns0:c r="AH398" s="4">
        <ns0:f>IF(Z398&lt;0,A398,0)</ns0:f>
        <ns0:v>0</ns0:v>
      </ns0:c>
      <ns0:c r="AI398" s="12">
        <ns0:f>IF(AND(OR('前提と出典'!$C$36+'前提と出典'!$C$38=0,X398&gt;=0),OR('前提と出典'!$C$37+'前提と出典'!$C$38=0,Y398&gt;=0)),0,A398)</ns0:f>
        <ns0:v>0</ns0:v>
      </ns0:c>
    </ns0:row>
    <ns0:row r="399" ht="24" customHeight="1">
      <ns0:c r="A399" s="4" t="n">
        <ns0:v>395</ns0:v>
      </ns0:c>
      <ns0:c r="B399" s="12">
        <ns0:f>A399*('前提と出典'!$C$36+'前提と出典'!$C$38)</ns0:f>
        <ns0:v>276.5</ns0:v>
      </ns0:c>
      <ns0:c r="C399" s="12">
        <ns0:f>A399*('前提と出典'!$C$37+'前提と出典'!$C$38)</ns0:f>
        <ns0:v>237</ns0:v>
      </ns0:c>
      <ns0:c r="D399" s="16">
        <ns0:f>A399*('前提と出典'!$C$36*'契約別単価'!C5+'前提と出典'!$C$37*'契約別単価'!C6+'前提と出典'!$C$38*'契約別単価'!C7)</ns0:f>
        <ns0:v>2842.2346368715084</ns0:v>
      </ns0:c>
      <ns0:c r="E399" s="16">
        <ns0:f>A399*('前提と出典'!$C$36*'契約別単価'!E5+'前提と出典'!$C$37*'契約別単価'!E6+'前提と出典'!$C$38*'契約別単価'!E7)</ns0:f>
        <ns0:v>992979.8046801607</ns0:v>
      </ns0:c>
      <ns0:c r="F399" s="16">
        <ns0:f>A399*('前提と出典'!$C$36*'契約別単価'!F5+'前提と出典'!$C$37*'契約別単価'!F6+'前提と出典'!$C$38*'契約別単価'!F7)</ns0:f>
        <ns0:v>288534.549212206</ns0:v>
      </ns0:c>
      <ns0:c r="G399" s="16">
        <ns0:f>A399*('前提と出典'!$C$36*'契約別単価'!G5+'前提と出典'!$C$37*'契約別単価'!G6+'前提と出典'!$C$38*'契約別単価'!G7)</ns0:f>
        <ns0:v>786248.6033519553</ns0:v>
      </ns0:c>
      <ns0:c r="H399" s="16">
        <ns0:f>A399*('前提と出典'!$C$36*'契約別単価'!H5+'前提と出典'!$C$37*'契約別単価'!H6+'前提と出典'!$C$38*'契約別単価'!H7)</ns0:f>
        <ns0:v>272867.6988293422</ns0:v>
      </ns0:c>
      <ns0:c r="I399" s="16">
        <ns0:f>A399*('前提と出典'!$C$36*'契約別単価'!I5+'前提と出典'!$C$37*'契約別単価'!I6+'前提と出典'!$C$38*'契約別単価'!I7)</ns0:f>
        <ns0:v>16667.234636871504</ns0:v>
      </ns0:c>
      <ns0:c r="J399" s="16">
        <ns0:f>A399*('前提と出典'!$C$36*'契約別単価'!J5+'前提と出典'!$C$37*'契約別単価'!J6+'前提と出典'!$C$38*'契約別単価'!J7)</ns0:f>
        <ns0:v>38824.369765569514</ns0:v>
      </ns0:c>
      <ns0:c r="K399" s="16">
        <ns0:f>A399*('前提と出典'!$C$36*'契約別単価'!K5+'前提と出典'!$C$37*'契約別単価'!K6+'前提と出典'!$C$38*'契約別単価'!K7)</ns0:f>
        <ns0:v>166414.89757914338</ns0:v>
      </ns0:c>
      <ns0:c r="L399" s="16">
        <ns0:f>A399*('前提と出典'!$C$36*'契約別単価'!L5+'前提と出典'!$C$37*'契約別単価'!L6+'前提と出典'!$C$38*'契約別単価'!L7)</ns0:f>
        <ns0:v>135495.58996097808</ns0:v>
      </ns0:c>
      <ns0:c r="M399" s="16">
        <ns0:f>IF(('前提と出典'!$C$36+'前提と出典'!$C$38)=0,0,IF(B399&lt;=10,'前提と出典'!B73+'前提と出典'!C73,IF(B399&lt;=100,'前提と出典'!B74+'前提と出典'!C74,IF(B399&lt;=500,'前提と出典'!B75+'前提と出典'!C75,'前提と出典'!B76+'前提と出典'!C76))))</ns0:f>
        <ns0:v>40000</ns0:v>
      </ns0:c>
      <ns0:c r="N399" s="16">
        <ns0:f>IF(('前提と出典'!$C$37+'前提と出典'!$C$38)=0,0,IF(C399&lt;=10,'前提と出典'!D73+'前提と出典'!E73,IF(C399&lt;=100,'前提と出典'!D74+'前提と出典'!E74,IF(C399&lt;=500,'前提と出典'!D75+'前提と出典'!E75,'前提と出典'!D76+'前提と出典'!E76))))</ns0:f>
        <ns0:v>56510.9346263078</ns0:v>
      </ns0:c>
      <ns0:c r="O399" s="16">
        <ns0:f>IF('前提と出典'!$C$36+'前提と出典'!$C$38=0,0,'前提と出典'!$B$4*IF('前提と出典'!$B$20=0,MAX('前提と出典'!$B$6,D399*'前提と出典'!$B$5),'前提と出典'!$B$6+D399*'前提と出典'!$B$5))</ns0:f>
        <ns0:v>392228.3798882682</ns0:v>
      </ns0:c>
      <ns0:c r="P399" s="16">
        <ns0:f>(E399+G399)*(1-'前提と出典'!$B$7)-I399-K399-M399-O399</ns0:f>
        <ns0:v>1099865.6732386767</ns0:v>
      </ns0:c>
      <ns0:c r="Q399" s="16">
        <ns0:f>(F399+H399)*(1-'前提と出典'!$B$7)-J399-L399-N399</ns0:f>
        <ns0:v>310360.8727591971</ns0:v>
      </ns0:c>
      <ns0:c r="R399" s="16">
        <ns0:f>P399-E399*'前提と出典'!$E$4</ns0:f>
        <ns0:v>801971.7318346286</ns0:v>
      </ns0:c>
      <ns0:c r="S399" s="16">
        <ns0:f>Q399-F399*'前提と出典'!$E$4</ns0:f>
        <ns0:v>223800.50799553527</ns0:v>
      </ns0:c>
      <ns0:c r="T399" s="7">
        <ns0:f>R399+S399</ns0:f>
        <ns0:v>1025772.2398301639</ns0:v>
      </ns0:c>
      <ns0:c r="U399" s="16">
        <ns0:f>P399-E399*'前提と出典'!$E$5</ns0:f>
        <ns0:v>702673.7513666125</ns0:v>
      </ns0:c>
      <ns0:c r="V399" s="16">
        <ns0:f>Q399-F399*'前提と出典'!$E$5</ns0:f>
        <ns0:v>194947.05307431467</ns0:v>
      </ns0:c>
      <ns0:c r="W399" s="7">
        <ns0:f>U399+V399</ns0:f>
        <ns0:v>897620.8044409272</ns0:v>
      </ns0:c>
      <ns0:c r="X399" s="16">
        <ns0:f>P399-E399*'前提と出典'!$E$6</ns0:f>
        <ns0:v>603375.7708985963</ns0:v>
      </ns0:c>
      <ns0:c r="Y399" s="16">
        <ns0:f>Q399-F399*'前提と出典'!$E$6</ns0:f>
        <ns0:v>166093.59815309412</ns0:v>
      </ns0:c>
      <ns0:c r="Z399" s="7">
        <ns0:f>X399+Y399</ns0:f>
        <ns0:v>769469.3690516904</ns0:v>
      </ns0:c>
      <ns0:c r="AA399" s="7">
        <ns0:f>IF(T399&gt;=0,A399,1001)</ns0:f>
        <ns0:v>395</ns0:v>
      </ns0:c>
      <ns0:c r="AB399" s="7">
        <ns0:f>IF(T399&lt;0,A399,0)</ns0:f>
        <ns0:v>0</ns0:v>
      </ns0:c>
      <ns0:c r="AC399" s="16">
        <ns0:f>IF(AND(OR('前提と出典'!$C$36+'前提と出典'!$C$38=0,R399&gt;=0),OR('前提と出典'!$C$37+'前提と出典'!$C$38=0,S399&gt;=0)),0,A399)</ns0:f>
        <ns0:v>0</ns0:v>
      </ns0:c>
      <ns0:c r="AD399" s="7">
        <ns0:f>IF(W399&gt;=0,A399,1001)</ns0:f>
        <ns0:v>395</ns0:v>
      </ns0:c>
      <ns0:c r="AE399" s="7">
        <ns0:f>IF(W399&lt;0,A399,0)</ns0:f>
        <ns0:v>0</ns0:v>
      </ns0:c>
      <ns0:c r="AF399" s="16">
        <ns0:f>IF(AND(OR('前提と出典'!$C$36+'前提と出典'!$C$38=0,U399&gt;=0),OR('前提と出典'!$C$37+'前提と出典'!$C$38=0,V399&gt;=0)),0,A399)</ns0:f>
        <ns0:v>0</ns0:v>
      </ns0:c>
      <ns0:c r="AG399" s="7">
        <ns0:f>IF(Z399&gt;=0,A399,1001)</ns0:f>
        <ns0:v>395</ns0:v>
      </ns0:c>
      <ns0:c r="AH399" s="4">
        <ns0:f>IF(Z399&lt;0,A399,0)</ns0:f>
        <ns0:v>0</ns0:v>
      </ns0:c>
      <ns0:c r="AI399" s="12">
        <ns0:f>IF(AND(OR('前提と出典'!$C$36+'前提と出典'!$C$38=0,X399&gt;=0),OR('前提と出典'!$C$37+'前提と出典'!$C$38=0,Y399&gt;=0)),0,A399)</ns0:f>
        <ns0:v>0</ns0:v>
      </ns0:c>
    </ns0:row>
    <ns0:row r="400" ht="24" customHeight="1">
      <ns0:c r="A400" s="4" t="n">
        <ns0:v>396</ns0:v>
      </ns0:c>
      <ns0:c r="B400" s="12">
        <ns0:f>A400*('前提と出典'!$C$36+'前提と出典'!$C$38)</ns0:f>
        <ns0:v>277.2</ns0:v>
      </ns0:c>
      <ns0:c r="C400" s="12">
        <ns0:f>A400*('前提と出典'!$C$37+'前提と出典'!$C$38)</ns0:f>
        <ns0:v>237.6</ns0:v>
      </ns0:c>
      <ns0:c r="D400" s="16">
        <ns0:f>A400*('前提と出典'!$C$36*'契約別単価'!C5+'前提と出典'!$C$37*'契約別単価'!C6+'前提と出典'!$C$38*'契約別単価'!C7)</ns0:f>
        <ns0:v>2849.4301675977654</ns0:v>
      </ns0:c>
      <ns0:c r="E400" s="16">
        <ns0:f>A400*('前提と出典'!$C$36*'契約別単価'!E5+'前提と出典'!$C$37*'契約別単価'!E6+'前提と出典'!$C$38*'契約別単価'!E7)</ns0:f>
        <ns0:v>995493.6776034016</ns0:v>
      </ns0:c>
      <ns0:c r="F400" s="16">
        <ns0:f>A400*('前提と出典'!$C$36*'契約別単価'!F5+'前提と出典'!$C$37*'契約別単価'!F6+'前提と出典'!$C$38*'契約別単価'!F7)</ns0:f>
        <ns0:v>289265.01642540144</ns0:v>
      </ns0:c>
      <ns0:c r="G400" s="16">
        <ns0:f>A400*('前提と出典'!$C$36*'契約別単価'!G5+'前提と出典'!$C$37*'契約別単価'!G6+'前提と出典'!$C$38*'契約別単価'!G7)</ns0:f>
        <ns0:v>788239.1061452513</ns0:v>
      </ns0:c>
      <ns0:c r="H400" s="16">
        <ns0:f>A400*('前提と出典'!$C$36*'契約別単価'!H5+'前提と出典'!$C$37*'契約別単価'!H6+'前提と出典'!$C$38*'契約別単価'!H7)</ns0:f>
        <ns0:v>273558.503130176</ns0:v>
      </ns0:c>
      <ns0:c r="I400" s="16">
        <ns0:f>A400*('前提と出典'!$C$36*'契約別単価'!I5+'前提と出典'!$C$37*'契約別単価'!I6+'前提と出典'!$C$38*'契約別単価'!I7)</ns0:f>
        <ns0:v>16709.430167597762</ns0:v>
      </ns0:c>
      <ns0:c r="J400" s="16">
        <ns0:f>A400*('前提と出典'!$C$36*'契約別単価'!J5+'前提と出典'!$C$37*'契約別単価'!J6+'前提と出典'!$C$38*'契約別単価'!J7)</ns0:f>
        <ns0:v>38922.659309279814</ns0:v>
      </ns0:c>
      <ns0:c r="K400" s="16">
        <ns0:f>A400*('前提と出典'!$C$36*'契約別単価'!K5+'前提と出典'!$C$37*'契約別単価'!K6+'前提と出典'!$C$38*'契約別単価'!K7)</ns0:f>
        <ns0:v>166836.20111731841</ns0:v>
      </ns0:c>
      <ns0:c r="L400" s="16">
        <ns0:f>A400*('前提と出典'!$C$36*'契約別単価'!L5+'前提と出典'!$C$37*'契約別単価'!L6+'前提と出典'!$C$38*'契約別単価'!L7)</ns0:f>
        <ns0:v>135838.61677100585</ns0:v>
      </ns0:c>
      <ns0:c r="M400" s="16">
        <ns0:f>IF(('前提と出典'!$C$36+'前提と出典'!$C$38)=0,0,IF(B400&lt;=10,'前提と出典'!B73+'前提と出典'!C73,IF(B400&lt;=100,'前提と出典'!B74+'前提と出典'!C74,IF(B400&lt;=500,'前提と出典'!B75+'前提と出典'!C75,'前提と出典'!B76+'前提と出典'!C76))))</ns0:f>
        <ns0:v>40000</ns0:v>
      </ns0:c>
      <ns0:c r="N400" s="16">
        <ns0:f>IF(('前提と出典'!$C$37+'前提と出典'!$C$38)=0,0,IF(C400&lt;=10,'前提と出典'!D73+'前提と出典'!E73,IF(C400&lt;=100,'前提と出典'!D74+'前提と出典'!E74,IF(C400&lt;=500,'前提と出典'!D75+'前提と出典'!E75,'前提と出典'!D76+'前提と出典'!E76))))</ns0:f>
        <ns0:v>56510.9346263078</ns0:v>
      </ns0:c>
      <ns0:c r="O400" s="16">
        <ns0:f>IF('前提と出典'!$C$36+'前提と出典'!$C$38=0,0,'前提と出典'!$B$4*IF('前提と出典'!$B$20=0,MAX('前提と出典'!$B$6,D400*'前提と出典'!$B$5),'前提と出典'!$B$6+D400*'前提と出典'!$B$5))</ns0:f>
        <ns0:v>393221.3631284917</ns0:v>
      </ns0:c>
      <ns0:c r="P400" s="16">
        <ns0:f>(E400+G400)*(1-'前提と出典'!$B$7)-I400-K400-M400-O400</ns0:f>
        <ns0:v>1102751.4091202936</ns0:v>
      </ns0:c>
      <ns0:c r="Q400" s="16">
        <ns0:f>(F400+H400)*(1-'前提と出典'!$B$7)-J400-L400-N400</ns0:f>
        <ns0:v>311289.6621449832</ns0:v>
      </ns0:c>
      <ns0:c r="R400" s="16">
        <ns0:f>P400-E400*'前提と出典'!$E$4</ns0:f>
        <ns0:v>804103.3058392731</ns0:v>
      </ns0:c>
      <ns0:c r="S400" s="16">
        <ns0:f>Q400-F400*'前提と出典'!$E$4</ns0:f>
        <ns0:v>224510.15721736278</ns0:v>
      </ns0:c>
      <ns0:c r="T400" s="7">
        <ns0:f>R400+S400</ns0:f>
        <ns0:v>1028613.4630566359</ns0:v>
      </ns0:c>
      <ns0:c r="U400" s="16">
        <ns0:f>P400-E400*'前提と出典'!$E$5</ns0:f>
        <ns0:v>704553.9380789329</ns0:v>
      </ns0:c>
      <ns0:c r="V400" s="16">
        <ns0:f>Q400-F400*'前提と出典'!$E$5</ns0:f>
        <ns0:v>195583.65557482262</ns0:v>
      </ns0:c>
      <ns0:c r="W400" s="7">
        <ns0:f>U400+V400</ns0:f>
        <ns0:v>900137.5936537555</ns0:v>
      </ns0:c>
      <ns0:c r="X400" s="16">
        <ns0:f>P400-E400*'前提と出典'!$E$6</ns0:f>
        <ns0:v>605004.5703185927</ns0:v>
      </ns0:c>
      <ns0:c r="Y400" s="16">
        <ns0:f>Q400-F400*'前提と出典'!$E$6</ns0:f>
        <ns0:v>166657.15393228247</ns0:v>
      </ns0:c>
      <ns0:c r="Z400" s="7">
        <ns0:f>X400+Y400</ns0:f>
        <ns0:v>771661.7242508752</ns0:v>
      </ns0:c>
      <ns0:c r="AA400" s="7">
        <ns0:f>IF(T400&gt;=0,A400,1001)</ns0:f>
        <ns0:v>396</ns0:v>
      </ns0:c>
      <ns0:c r="AB400" s="7">
        <ns0:f>IF(T400&lt;0,A400,0)</ns0:f>
        <ns0:v>0</ns0:v>
      </ns0:c>
      <ns0:c r="AC400" s="16">
        <ns0:f>IF(AND(OR('前提と出典'!$C$36+'前提と出典'!$C$38=0,R400&gt;=0),OR('前提と出典'!$C$37+'前提と出典'!$C$38=0,S400&gt;=0)),0,A400)</ns0:f>
        <ns0:v>0</ns0:v>
      </ns0:c>
      <ns0:c r="AD400" s="7">
        <ns0:f>IF(W400&gt;=0,A400,1001)</ns0:f>
        <ns0:v>396</ns0:v>
      </ns0:c>
      <ns0:c r="AE400" s="7">
        <ns0:f>IF(W400&lt;0,A400,0)</ns0:f>
        <ns0:v>0</ns0:v>
      </ns0:c>
      <ns0:c r="AF400" s="16">
        <ns0:f>IF(AND(OR('前提と出典'!$C$36+'前提と出典'!$C$38=0,U400&gt;=0),OR('前提と出典'!$C$37+'前提と出典'!$C$38=0,V400&gt;=0)),0,A400)</ns0:f>
        <ns0:v>0</ns0:v>
      </ns0:c>
      <ns0:c r="AG400" s="7">
        <ns0:f>IF(Z400&gt;=0,A400,1001)</ns0:f>
        <ns0:v>396</ns0:v>
      </ns0:c>
      <ns0:c r="AH400" s="4">
        <ns0:f>IF(Z400&lt;0,A400,0)</ns0:f>
        <ns0:v>0</ns0:v>
      </ns0:c>
      <ns0:c r="AI400" s="12">
        <ns0:f>IF(AND(OR('前提と出典'!$C$36+'前提と出典'!$C$38=0,X400&gt;=0),OR('前提と出典'!$C$37+'前提と出典'!$C$38=0,Y400&gt;=0)),0,A400)</ns0:f>
        <ns0:v>0</ns0:v>
      </ns0:c>
    </ns0:row>
    <ns0:row r="401" ht="24" customHeight="1">
      <ns0:c r="A401" s="4" t="n">
        <ns0:v>397</ns0:v>
      </ns0:c>
      <ns0:c r="B401" s="12">
        <ns0:f>A401*('前提と出典'!$C$36+'前提と出典'!$C$38)</ns0:f>
        <ns0:v>277.9</ns0:v>
      </ns0:c>
      <ns0:c r="C401" s="12">
        <ns0:f>A401*('前提と出典'!$C$37+'前提と出典'!$C$38)</ns0:f>
        <ns0:v>238.2</ns0:v>
      </ns0:c>
      <ns0:c r="D401" s="16">
        <ns0:f>A401*('前提と出典'!$C$36*'契約別単価'!C5+'前提と出典'!$C$37*'契約別単価'!C6+'前提と出典'!$C$38*'契約別単価'!C7)</ns0:f>
        <ns0:v>2856.6256983240223</ns0:v>
      </ns0:c>
      <ns0:c r="E401" s="16">
        <ns0:f>A401*('前提と出典'!$C$36*'契約別単価'!E5+'前提と出典'!$C$37*'契約別単価'!E6+'前提と出典'!$C$38*'契約別単価'!E7)</ns0:f>
        <ns0:v>998007.5505266426</ns0:v>
      </ns0:c>
      <ns0:c r="F401" s="16">
        <ns0:f>A401*('前提と出典'!$C$36*'契約別単価'!F5+'前提と出典'!$C$37*'契約別単価'!F6+'前提と出典'!$C$38*'契約別単価'!F7)</ns0:f>
        <ns0:v>289995.4836385969</ns0:v>
      </ns0:c>
      <ns0:c r="G401" s="16">
        <ns0:f>A401*('前提と出典'!$C$36*'契約別単価'!G5+'前提と出典'!$C$37*'契約別単価'!G6+'前提と出典'!$C$38*'契約別単価'!G7)</ns0:f>
        <ns0:v>790229.6089385474</ns0:v>
      </ns0:c>
      <ns0:c r="H401" s="16">
        <ns0:f>A401*('前提と出典'!$C$36*'契約別単価'!H5+'前提と出典'!$C$37*'契約別単価'!H6+'前提と出典'!$C$38*'契約別単価'!H7)</ns0:f>
        <ns0:v>274249.3074310097</ns0:v>
      </ns0:c>
      <ns0:c r="I401" s="16">
        <ns0:f>A401*('前提と出典'!$C$36*'契約別単価'!I5+'前提と出典'!$C$37*'契約別単価'!I6+'前提と出典'!$C$38*'契約別単価'!I7)</ns0:f>
        <ns0:v>16751.62569832402</ns0:v>
      </ns0:c>
      <ns0:c r="J401" s="16">
        <ns0:f>A401*('前提と出典'!$C$36*'契約別単価'!J5+'前提と出典'!$C$37*'契約別単価'!J6+'前提と出典'!$C$38*'契約別単価'!J7)</ns0:f>
        <ns0:v>39020.94885299012</ns0:v>
      </ns0:c>
      <ns0:c r="K401" s="16">
        <ns0:f>A401*('前提と出典'!$C$36*'契約別単価'!K5+'前提と出典'!$C$37*'契約別単価'!K6+'前提と出典'!$C$38*'契約別単価'!K7)</ns0:f>
        <ns0:v>167257.50465549348</ns0:v>
      </ns0:c>
      <ns0:c r="L401" s="16">
        <ns0:f>A401*('前提と出典'!$C$36*'契約別単価'!L5+'前提と出典'!$C$37*'契約別単価'!L6+'前提と出典'!$C$38*'契約別単価'!L7)</ns0:f>
        <ns0:v>136181.64358103366</ns0:v>
      </ns0:c>
      <ns0:c r="M401" s="16">
        <ns0:f>IF(('前提と出典'!$C$36+'前提と出典'!$C$38)=0,0,IF(B401&lt;=10,'前提と出典'!B73+'前提と出典'!C73,IF(B401&lt;=100,'前提と出典'!B74+'前提と出典'!C74,IF(B401&lt;=500,'前提と出典'!B75+'前提と出典'!C75,'前提と出典'!B76+'前提と出典'!C76))))</ns0:f>
        <ns0:v>40000</ns0:v>
      </ns0:c>
      <ns0:c r="N401" s="16">
        <ns0:f>IF(('前提と出典'!$C$37+'前提と出典'!$C$38)=0,0,IF(C401&lt;=10,'前提と出典'!D73+'前提と出典'!E73,IF(C401&lt;=100,'前提と出典'!D74+'前提と出典'!E74,IF(C401&lt;=500,'前提と出典'!D75+'前提と出典'!E75,'前提と出典'!D76+'前提と出典'!E76))))</ns0:f>
        <ns0:v>56510.9346263078</ns0:v>
      </ns0:c>
      <ns0:c r="O401" s="16">
        <ns0:f>IF('前提と出典'!$C$36+'前提と出典'!$C$38=0,0,'前提と出典'!$B$4*IF('前提と出典'!$B$20=0,MAX('前提と出典'!$B$6,D401*'前提と出典'!$B$5),'前提と出典'!$B$6+D401*'前提と出典'!$B$5))</ns0:f>
        <ns0:v>394214.34636871505</ns0:v>
      </ns0:c>
      <ns0:c r="P401" s="16">
        <ns0:f>(E401+G401)*(1-'前提と出典'!$B$7)-I401-K401-M401-O401</ns0:f>
        <ns0:v>1105637.1450019106</ns0:v>
      </ns0:c>
      <ns0:c r="Q401" s="16">
        <ns0:f>(F401+H401)*(1-'前提と出典'!$B$7)-J401-L401-N401</ns0:f>
        <ns0:v>312218.4515307691</ns0:v>
      </ns0:c>
      <ns0:c r="R401" s="16">
        <ns0:f>P401-E401*'前提と出典'!$E$4</ns0:f>
        <ns0:v>806234.879843918</ns0:v>
      </ns0:c>
      <ns0:c r="S401" s="16">
        <ns0:f>Q401-F401*'前提と出典'!$E$4</ns0:f>
        <ns0:v>225219.80643919006</ns0:v>
      </ns0:c>
      <ns0:c r="T401" s="7">
        <ns0:f>R401+S401</ns0:f>
        <ns0:v>1031454.6862831081</ns0:v>
      </ns0:c>
      <ns0:c r="U401" s="16">
        <ns0:f>P401-E401*'前提と出典'!$E$5</ns0:f>
        <ns0:v>706434.1247912537</ns0:v>
      </ns0:c>
      <ns0:c r="V401" s="16">
        <ns0:f>Q401-F401*'前提と出典'!$E$5</ns0:f>
        <ns0:v>196220.25807533038</ns0:v>
      </ns0:c>
      <ns0:c r="W401" s="7">
        <ns0:f>U401+V401</ns0:f>
        <ns0:v>902654.3828665841</ns0:v>
      </ns0:c>
      <ns0:c r="X401" s="16">
        <ns0:f>P401-E401*'前提と出典'!$E$6</ns0:f>
        <ns0:v>606633.3697385894</ns0:v>
      </ns0:c>
      <ns0:c r="Y401" s="16">
        <ns0:f>Q401-F401*'前提と出典'!$E$6</ns0:f>
        <ns0:v>167220.70971147067</ns0:v>
      </ns0:c>
      <ns0:c r="Z401" s="7">
        <ns0:f>X401+Y401</ns0:f>
        <ns0:v>773854.07945006</ns0:v>
      </ns0:c>
      <ns0:c r="AA401" s="7">
        <ns0:f>IF(T401&gt;=0,A401,1001)</ns0:f>
        <ns0:v>397</ns0:v>
      </ns0:c>
      <ns0:c r="AB401" s="7">
        <ns0:f>IF(T401&lt;0,A401,0)</ns0:f>
        <ns0:v>0</ns0:v>
      </ns0:c>
      <ns0:c r="AC401" s="16">
        <ns0:f>IF(AND(OR('前提と出典'!$C$36+'前提と出典'!$C$38=0,R401&gt;=0),OR('前提と出典'!$C$37+'前提と出典'!$C$38=0,S401&gt;=0)),0,A401)</ns0:f>
        <ns0:v>0</ns0:v>
      </ns0:c>
      <ns0:c r="AD401" s="7">
        <ns0:f>IF(W401&gt;=0,A401,1001)</ns0:f>
        <ns0:v>397</ns0:v>
      </ns0:c>
      <ns0:c r="AE401" s="7">
        <ns0:f>IF(W401&lt;0,A401,0)</ns0:f>
        <ns0:v>0</ns0:v>
      </ns0:c>
      <ns0:c r="AF401" s="16">
        <ns0:f>IF(AND(OR('前提と出典'!$C$36+'前提と出典'!$C$38=0,U401&gt;=0),OR('前提と出典'!$C$37+'前提と出典'!$C$38=0,V401&gt;=0)),0,A401)</ns0:f>
        <ns0:v>0</ns0:v>
      </ns0:c>
      <ns0:c r="AG401" s="7">
        <ns0:f>IF(Z401&gt;=0,A401,1001)</ns0:f>
        <ns0:v>397</ns0:v>
      </ns0:c>
      <ns0:c r="AH401" s="4">
        <ns0:f>IF(Z401&lt;0,A401,0)</ns0:f>
        <ns0:v>0</ns0:v>
      </ns0:c>
      <ns0:c r="AI401" s="12">
        <ns0:f>IF(AND(OR('前提と出典'!$C$36+'前提と出典'!$C$38=0,X401&gt;=0),OR('前提と出典'!$C$37+'前提と出典'!$C$38=0,Y401&gt;=0)),0,A401)</ns0:f>
        <ns0:v>0</ns0:v>
      </ns0:c>
    </ns0:row>
    <ns0:row r="402" ht="24" customHeight="1">
      <ns0:c r="A402" s="4" t="n">
        <ns0:v>398</ns0:v>
      </ns0:c>
      <ns0:c r="B402" s="12">
        <ns0:f>A402*('前提と出典'!$C$36+'前提と出典'!$C$38)</ns0:f>
        <ns0:v>278.59999999999997</ns0:v>
      </ns0:c>
      <ns0:c r="C402" s="12">
        <ns0:f>A402*('前提と出典'!$C$37+'前提と出典'!$C$38)</ns0:f>
        <ns0:v>238.79999999999998</ns0:v>
      </ns0:c>
      <ns0:c r="D402" s="16">
        <ns0:f>A402*('前提と出典'!$C$36*'契約別単価'!C5+'前提と出典'!$C$37*'契約別単価'!C6+'前提と出典'!$C$38*'契約別単価'!C7)</ns0:f>
        <ns0:v>2863.8212290502793</ns0:v>
      </ns0:c>
      <ns0:c r="E402" s="16">
        <ns0:f>A402*('前提と出典'!$C$36*'契約別単価'!E5+'前提と出典'!$C$37*'契約別単価'!E6+'前提と出典'!$C$38*'契約別単価'!E7)</ns0:f>
        <ns0:v>1000521.4234498835</ns0:v>
      </ns0:c>
      <ns0:c r="F402" s="16">
        <ns0:f>A402*('前提と出典'!$C$36*'契約別単価'!F5+'前提と出典'!$C$37*'契約別単価'!F6+'前提と出典'!$C$38*'契約別単価'!F7)</ns0:f>
        <ns0:v>290725.95085179235</ns0:v>
      </ns0:c>
      <ns0:c r="G402" s="16">
        <ns0:f>A402*('前提と出典'!$C$36*'契約別単価'!G5+'前提と出典'!$C$37*'契約別単価'!G6+'前提と出典'!$C$38*'契約別単価'!G7)</ns0:f>
        <ns0:v>792220.1117318436</ns0:v>
      </ns0:c>
      <ns0:c r="H402" s="16">
        <ns0:f>A402*('前提と出典'!$C$36*'契約別単価'!H5+'前提と出典'!$C$37*'契約別単価'!H6+'前提と出典'!$C$38*'契約別単価'!H7)</ns0:f>
        <ns0:v>274940.1117318435</ns0:v>
      </ns0:c>
      <ns0:c r="I402" s="16">
        <ns0:f>A402*('前提と出典'!$C$36*'契約別単価'!I5+'前提と出典'!$C$37*'契約別単価'!I6+'前提と出典'!$C$38*'契約別単価'!I7)</ns0:f>
        <ns0:v>16793.821229050278</ns0:v>
      </ns0:c>
      <ns0:c r="J402" s="16">
        <ns0:f>A402*('前提と出典'!$C$36*'契約別単価'!J5+'前提と出典'!$C$37*'契約別単価'!J6+'前提と出典'!$C$38*'契約別単価'!J7)</ns0:f>
        <ns0:v>39119.23839670042</ns0:v>
      </ns0:c>
      <ns0:c r="K402" s="16">
        <ns0:f>A402*('前提と出典'!$C$36*'契約別単価'!K5+'前提と出典'!$C$37*'契約別単価'!K6+'前提と出典'!$C$38*'契約別単価'!K7)</ns0:f>
        <ns0:v>167678.80819366852</ns0:v>
      </ns0:c>
      <ns0:c r="L402" s="16">
        <ns0:f>A402*('前提と出典'!$C$36*'契約別単価'!L5+'前提と出典'!$C$37*'契約別単価'!L6+'前提と出典'!$C$38*'契約別単価'!L7)</ns0:f>
        <ns0:v>136524.67039106146</ns0:v>
      </ns0:c>
      <ns0:c r="M402" s="16">
        <ns0:f>IF(('前提と出典'!$C$36+'前提と出典'!$C$38)=0,0,IF(B402&lt;=10,'前提と出典'!B73+'前提と出典'!C73,IF(B402&lt;=100,'前提と出典'!B74+'前提と出典'!C74,IF(B402&lt;=500,'前提と出典'!B75+'前提と出典'!C75,'前提と出典'!B76+'前提と出典'!C76))))</ns0:f>
        <ns0:v>40000</ns0:v>
      </ns0:c>
      <ns0:c r="N402" s="16">
        <ns0:f>IF(('前提と出典'!$C$37+'前提と出典'!$C$38)=0,0,IF(C402&lt;=10,'前提と出典'!D73+'前提と出典'!E73,IF(C402&lt;=100,'前提と出典'!D74+'前提と出典'!E74,IF(C402&lt;=500,'前提と出典'!D75+'前提と出典'!E75,'前提と出典'!D76+'前提と出典'!E76))))</ns0:f>
        <ns0:v>56510.9346263078</ns0:v>
      </ns0:c>
      <ns0:c r="O402" s="16">
        <ns0:f>IF('前提と出典'!$C$36+'前提と出典'!$C$38=0,0,'前提と出典'!$B$4*IF('前提と出典'!$B$20=0,MAX('前提と出典'!$B$6,D402*'前提と出典'!$B$5),'前提と出典'!$B$6+D402*'前提と出典'!$B$5))</ns0:f>
        <ns0:v>395207.32960893854</ns0:v>
      </ns0:c>
      <ns0:c r="P402" s="16">
        <ns0:f>(E402+G402)*(1-'前提と出典'!$B$7)-I402-K402-M402-O402</ns0:f>
        <ns0:v>1108522.8808835275</ns0:v>
      </ns0:c>
      <ns0:c r="Q402" s="16">
        <ns0:f>(F402+H402)*(1-'前提と出典'!$B$7)-J402-L402-N402</ns0:f>
        <ns0:v>313147.2409165553</ns0:v>
      </ns0:c>
      <ns0:c r="R402" s="16">
        <ns0:f>P402-E402*'前提と出典'!$E$4</ns0:f>
        <ns0:v>808366.4538485626</ns0:v>
      </ns0:c>
      <ns0:c r="S402" s="16">
        <ns0:f>Q402-F402*'前提と出典'!$E$4</ns0:f>
        <ns0:v>225929.4556610175</ns0:v>
      </ns0:c>
      <ns0:c r="T402" s="7">
        <ns0:f>R402+S402</ns0:f>
        <ns0:v>1034295.9095095801</ns0:v>
      </ns0:c>
      <ns0:c r="U402" s="16">
        <ns0:f>P402-E402*'前提と出典'!$E$5</ns0:f>
        <ns0:v>708314.3115035741</ns0:v>
      </ns0:c>
      <ns0:c r="V402" s="16">
        <ns0:f>Q402-F402*'前提と出典'!$E$5</ns0:f>
        <ns0:v>196856.8605758383</ns0:v>
      </ns0:c>
      <ns0:c r="W402" s="7">
        <ns0:f>U402+V402</ns0:f>
        <ns0:v>905171.1720794125</ns0:v>
      </ns0:c>
      <ns0:c r="X402" s="16">
        <ns0:f>P402-E402*'前提と出典'!$E$6</ns0:f>
        <ns0:v>608262.1691585857</ns0:v>
      </ns0:c>
      <ns0:c r="Y402" s="16">
        <ns0:f>Q402-F402*'前提と出典'!$E$6</ns0:f>
        <ns0:v>167784.26549065905</ns0:v>
      </ns0:c>
      <ns0:c r="Z402" s="7">
        <ns0:f>X402+Y402</ns0:f>
        <ns0:v>776046.4346492448</ns0:v>
      </ns0:c>
      <ns0:c r="AA402" s="7">
        <ns0:f>IF(T402&gt;=0,A402,1001)</ns0:f>
        <ns0:v>398</ns0:v>
      </ns0:c>
      <ns0:c r="AB402" s="7">
        <ns0:f>IF(T402&lt;0,A402,0)</ns0:f>
        <ns0:v>0</ns0:v>
      </ns0:c>
      <ns0:c r="AC402" s="16">
        <ns0:f>IF(AND(OR('前提と出典'!$C$36+'前提と出典'!$C$38=0,R402&gt;=0),OR('前提と出典'!$C$37+'前提と出典'!$C$38=0,S402&gt;=0)),0,A402)</ns0:f>
        <ns0:v>0</ns0:v>
      </ns0:c>
      <ns0:c r="AD402" s="7">
        <ns0:f>IF(W402&gt;=0,A402,1001)</ns0:f>
        <ns0:v>398</ns0:v>
      </ns0:c>
      <ns0:c r="AE402" s="7">
        <ns0:f>IF(W402&lt;0,A402,0)</ns0:f>
        <ns0:v>0</ns0:v>
      </ns0:c>
      <ns0:c r="AF402" s="16">
        <ns0:f>IF(AND(OR('前提と出典'!$C$36+'前提と出典'!$C$38=0,U402&gt;=0),OR('前提と出典'!$C$37+'前提と出典'!$C$38=0,V402&gt;=0)),0,A402)</ns0:f>
        <ns0:v>0</ns0:v>
      </ns0:c>
      <ns0:c r="AG402" s="7">
        <ns0:f>IF(Z402&gt;=0,A402,1001)</ns0:f>
        <ns0:v>398</ns0:v>
      </ns0:c>
      <ns0:c r="AH402" s="4">
        <ns0:f>IF(Z402&lt;0,A402,0)</ns0:f>
        <ns0:v>0</ns0:v>
      </ns0:c>
      <ns0:c r="AI402" s="12">
        <ns0:f>IF(AND(OR('前提と出典'!$C$36+'前提と出典'!$C$38=0,X402&gt;=0),OR('前提と出典'!$C$37+'前提と出典'!$C$38=0,Y402&gt;=0)),0,A402)</ns0:f>
        <ns0:v>0</ns0:v>
      </ns0:c>
    </ns0:row>
    <ns0:row r="403" ht="24" customHeight="1">
      <ns0:c r="A403" s="4" t="n">
        <ns0:v>399</ns0:v>
      </ns0:c>
      <ns0:c r="B403" s="12">
        <ns0:f>A403*('前提と出典'!$C$36+'前提と出典'!$C$38)</ns0:f>
        <ns0:v>279.29999999999995</ns0:v>
      </ns0:c>
      <ns0:c r="C403" s="12">
        <ns0:f>A403*('前提と出典'!$C$37+'前提と出典'!$C$38)</ns0:f>
        <ns0:v>239.39999999999998</ns0:v>
      </ns0:c>
      <ns0:c r="D403" s="16">
        <ns0:f>A403*('前提と出典'!$C$36*'契約別単価'!C5+'前提と出典'!$C$37*'契約別単価'!C6+'前提と出典'!$C$38*'契約別単価'!C7)</ns0:f>
        <ns0:v>2871.016759776536</ns0:v>
      </ns0:c>
      <ns0:c r="E403" s="16">
        <ns0:f>A403*('前提と出典'!$C$36*'契約別単価'!E5+'前提と出典'!$C$37*'契約別単価'!E6+'前提と出典'!$C$38*'契約別単価'!E7)</ns0:f>
        <ns0:v>1003035.2963731244</ns0:v>
      </ns0:c>
      <ns0:c r="F403" s="16">
        <ns0:f>A403*('前提と出典'!$C$36*'契約別単価'!F5+'前提と出典'!$C$37*'契約別単価'!F6+'前提と出典'!$C$38*'契約別単価'!F7)</ns0:f>
        <ns0:v>291456.4180649878</ns0:v>
      </ns0:c>
      <ns0:c r="G403" s="16">
        <ns0:f>A403*('前提と出典'!$C$36*'契約別単価'!G5+'前提と出典'!$C$37*'契約別単価'!G6+'前提と出典'!$C$38*'契約別単価'!G7)</ns0:f>
        <ns0:v>794210.6145251397</ns0:v>
      </ns0:c>
      <ns0:c r="H403" s="16">
        <ns0:f>A403*('前提と出典'!$C$36*'契約別単価'!H5+'前提と出典'!$C$37*'契約別単価'!H6+'前提と出典'!$C$38*'契約別単価'!H7)</ns0:f>
        <ns0:v>275630.9160326773</ns0:v>
      </ns0:c>
      <ns0:c r="I403" s="16">
        <ns0:f>A403*('前提と出典'!$C$36*'契約別単価'!I5+'前提と出典'!$C$37*'契約別単価'!I6+'前提と出典'!$C$38*'契約別単価'!I7)</ns0:f>
        <ns0:v>16836.016759776532</ns0:v>
      </ns0:c>
      <ns0:c r="J403" s="16">
        <ns0:f>A403*('前提と出典'!$C$36*'契約別単価'!J5+'前提と出典'!$C$37*'契約別単価'!J6+'前提と出典'!$C$38*'契約別単価'!J7)</ns0:f>
        <ns0:v>39217.52794041073</ns0:v>
      </ns0:c>
      <ns0:c r="K403" s="16">
        <ns0:f>A403*('前提と出典'!$C$36*'契約別単価'!K5+'前提と出典'!$C$37*'契約別単価'!K6+'前提と出典'!$C$38*'契約別単価'!K7)</ns0:f>
        <ns0:v>168100.11173184356</ns0:v>
      </ns0:c>
      <ns0:c r="L403" s="16">
        <ns0:f>A403*('前提と出典'!$C$36*'契約別単価'!L5+'前提と出典'!$C$37*'契約別単価'!L6+'前提と出典'!$C$38*'契約別単価'!L7)</ns0:f>
        <ns0:v>136867.69720108924</ns0:v>
      </ns0:c>
      <ns0:c r="M403" s="16">
        <ns0:f>IF(('前提と出典'!$C$36+'前提と出典'!$C$38)=0,0,IF(B403&lt;=10,'前提と出典'!B73+'前提と出典'!C73,IF(B403&lt;=100,'前提と出典'!B74+'前提と出典'!C74,IF(B403&lt;=500,'前提と出典'!B75+'前提と出典'!C75,'前提と出典'!B76+'前提と出典'!C76))))</ns0:f>
        <ns0:v>40000</ns0:v>
      </ns0:c>
      <ns0:c r="N403" s="16">
        <ns0:f>IF(('前提と出典'!$C$37+'前提と出典'!$C$38)=0,0,IF(C403&lt;=10,'前提と出典'!D73+'前提と出典'!E73,IF(C403&lt;=100,'前提と出典'!D74+'前提と出典'!E74,IF(C403&lt;=500,'前提と出典'!D75+'前提と出典'!E75,'前提と出典'!D76+'前提と出典'!E76))))</ns0:f>
        <ns0:v>56510.9346263078</ns0:v>
      </ns0:c>
      <ns0:c r="O403" s="16">
        <ns0:f>IF('前提と出典'!$C$36+'前提と出典'!$C$38=0,0,'前提と出典'!$B$4*IF('前提と出典'!$B$20=0,MAX('前提と出典'!$B$6,D403*'前提と出典'!$B$5),'前提と出典'!$B$6+D403*'前提と出典'!$B$5))</ns0:f>
        <ns0:v>396200.31284916203</ns0:v>
      </ns0:c>
      <ns0:c r="P403" s="16">
        <ns0:f>(E403+G403)*(1-'前提と出典'!$B$7)-I403-K403-M403-O403</ns0:f>
        <ns0:v>1111408.6167651443</ns0:v>
      </ns0:c>
      <ns0:c r="Q403" s="16">
        <ns0:f>(F403+H403)*(1-'前提と出典'!$B$7)-J403-L403-N403</ns0:f>
        <ns0:v>314076.0303023413</ns0:v>
      </ns0:c>
      <ns0:c r="R403" s="16">
        <ns0:f>P403-E403*'前提と出典'!$E$4</ns0:f>
        <ns0:v>810498.0278532071</ns0:v>
      </ns0:c>
      <ns0:c r="S403" s="16">
        <ns0:f>Q403-F403*'前提と出典'!$E$4</ns0:f>
        <ns0:v>226639.10488284496</ns0:v>
      </ns0:c>
      <ns0:c r="T403" s="7">
        <ns0:f>R403+S403</ns0:f>
        <ns0:v>1037137.132736052</ns0:v>
      </ns0:c>
      <ns0:c r="U403" s="16">
        <ns0:f>P403-E403*'前提と出典'!$E$5</ns0:f>
        <ns0:v>710194.4982158946</ns0:v>
      </ns0:c>
      <ns0:c r="V403" s="16">
        <ns0:f>Q403-F403*'前提と出典'!$E$5</ns0:f>
        <ns0:v>197493.4630763462</ns0:v>
      </ns0:c>
      <ns0:c r="W403" s="7">
        <ns0:f>U403+V403</ns0:f>
        <ns0:v>907687.9612922408</ns0:v>
      </ns0:c>
      <ns0:c r="X403" s="16">
        <ns0:f>P403-E403*'前提と出典'!$E$6</ns0:f>
        <ns0:v>609890.9685785823</ns0:v>
      </ns0:c>
      <ns0:c r="Y403" s="16">
        <ns0:f>Q403-F403*'前提と出典'!$E$6</ns0:f>
        <ns0:v>168347.82126984745</ns0:v>
      </ns0:c>
      <ns0:c r="Z403" s="7">
        <ns0:f>X403+Y403</ns0:f>
        <ns0:v>778238.7898484297</ns0:v>
      </ns0:c>
      <ns0:c r="AA403" s="7">
        <ns0:f>IF(T403&gt;=0,A403,1001)</ns0:f>
        <ns0:v>399</ns0:v>
      </ns0:c>
      <ns0:c r="AB403" s="7">
        <ns0:f>IF(T403&lt;0,A403,0)</ns0:f>
        <ns0:v>0</ns0:v>
      </ns0:c>
      <ns0:c r="AC403" s="16">
        <ns0:f>IF(AND(OR('前提と出典'!$C$36+'前提と出典'!$C$38=0,R403&gt;=0),OR('前提と出典'!$C$37+'前提と出典'!$C$38=0,S403&gt;=0)),0,A403)</ns0:f>
        <ns0:v>0</ns0:v>
      </ns0:c>
      <ns0:c r="AD403" s="7">
        <ns0:f>IF(W403&gt;=0,A403,1001)</ns0:f>
        <ns0:v>399</ns0:v>
      </ns0:c>
      <ns0:c r="AE403" s="7">
        <ns0:f>IF(W403&lt;0,A403,0)</ns0:f>
        <ns0:v>0</ns0:v>
      </ns0:c>
      <ns0:c r="AF403" s="16">
        <ns0:f>IF(AND(OR('前提と出典'!$C$36+'前提と出典'!$C$38=0,U403&gt;=0),OR('前提と出典'!$C$37+'前提と出典'!$C$38=0,V403&gt;=0)),0,A403)</ns0:f>
        <ns0:v>0</ns0:v>
      </ns0:c>
      <ns0:c r="AG403" s="7">
        <ns0:f>IF(Z403&gt;=0,A403,1001)</ns0:f>
        <ns0:v>399</ns0:v>
      </ns0:c>
      <ns0:c r="AH403" s="4">
        <ns0:f>IF(Z403&lt;0,A403,0)</ns0:f>
        <ns0:v>0</ns0:v>
      </ns0:c>
      <ns0:c r="AI403" s="12">
        <ns0:f>IF(AND(OR('前提と出典'!$C$36+'前提と出典'!$C$38=0,X403&gt;=0),OR('前提と出典'!$C$37+'前提と出典'!$C$38=0,Y403&gt;=0)),0,A403)</ns0:f>
        <ns0:v>0</ns0:v>
      </ns0:c>
    </ns0:row>
    <ns0:row r="404" ht="24" customHeight="1">
      <ns0:c r="A404" s="4" t="n">
        <ns0:v>400</ns0:v>
      </ns0:c>
      <ns0:c r="B404" s="12">
        <ns0:f>A404*('前提と出典'!$C$36+'前提と出典'!$C$38)</ns0:f>
        <ns0:v>280</ns0:v>
      </ns0:c>
      <ns0:c r="C404" s="12">
        <ns0:f>A404*('前提と出典'!$C$37+'前提と出典'!$C$38)</ns0:f>
        <ns0:v>240</ns0:v>
      </ns0:c>
      <ns0:c r="D404" s="16">
        <ns0:f>A404*('前提と出典'!$C$36*'契約別単価'!C5+'前提と出典'!$C$37*'契約別単価'!C6+'前提と出典'!$C$38*'契約別単価'!C7)</ns0:f>
        <ns0:v>2878.212290502793</ns0:v>
      </ns0:c>
      <ns0:c r="E404" s="16">
        <ns0:f>A404*('前提と出典'!$C$36*'契約別単価'!E5+'前提と出典'!$C$37*'契約別単価'!E6+'前提と出典'!$C$38*'契約別単価'!E7)</ns0:f>
        <ns0:v>1005549.1692963652</ns0:v>
      </ns0:c>
      <ns0:c r="F404" s="16">
        <ns0:f>A404*('前提と出典'!$C$36*'契約別単価'!F5+'前提と出典'!$C$37*'契約別単価'!F6+'前提と出典'!$C$38*'契約別単価'!F7)</ns0:f>
        <ns0:v>292186.88527818327</ns0:v>
      </ns0:c>
      <ns0:c r="G404" s="16">
        <ns0:f>A404*('前提と出典'!$C$36*'契約別単価'!G5+'前提と出典'!$C$37*'契約別単価'!G6+'前提と出典'!$C$38*'契約別単価'!G7)</ns0:f>
        <ns0:v>796201.1173184357</ns0:v>
      </ns0:c>
      <ns0:c r="H404" s="16">
        <ns0:f>A404*('前提と出典'!$C$36*'契約別単価'!H5+'前提と出典'!$C$37*'契約別単価'!H6+'前提と出典'!$C$38*'契約別単価'!H7)</ns0:f>
        <ns0:v>276321.72033351107</ns0:v>
      </ns0:c>
      <ns0:c r="I404" s="16">
        <ns0:f>A404*('前提と出典'!$C$36*'契約別単価'!I5+'前提と出典'!$C$37*'契約別単価'!I6+'前提と出典'!$C$38*'契約別単価'!I7)</ns0:f>
        <ns0:v>16878.21229050279</ns0:v>
      </ns0:c>
      <ns0:c r="J404" s="16">
        <ns0:f>A404*('前提と出典'!$C$36*'契約別単価'!J5+'前提と出典'!$C$37*'契約別単価'!J6+'前提と出典'!$C$38*'契約別単価'!J7)</ns0:f>
        <ns0:v>39315.81748412103</ns0:v>
      </ns0:c>
      <ns0:c r="K404" s="16">
        <ns0:f>A404*('前提と出典'!$C$36*'契約別単価'!K5+'前提と出典'!$C$37*'契約別単価'!K6+'前提と出典'!$C$38*'契約別単価'!K7)</ns0:f>
        <ns0:v>168521.41527001862</ns0:v>
      </ns0:c>
      <ns0:c r="L404" s="16">
        <ns0:f>A404*('前提と出典'!$C$36*'契約別単価'!L5+'前提と出典'!$C$37*'契約別単価'!L6+'前提と出典'!$C$38*'契約別単価'!L7)</ns0:f>
        <ns0:v>137210.72401111704</ns0:v>
      </ns0:c>
      <ns0:c r="M404" s="16">
        <ns0:f>IF(('前提と出典'!$C$36+'前提と出典'!$C$38)=0,0,IF(B404&lt;=10,'前提と出典'!B73+'前提と出典'!C73,IF(B404&lt;=100,'前提と出典'!B74+'前提と出典'!C74,IF(B404&lt;=500,'前提と出典'!B75+'前提と出典'!C75,'前提と出典'!B76+'前提と出典'!C76))))</ns0:f>
        <ns0:v>40000</ns0:v>
      </ns0:c>
      <ns0:c r="N404" s="16">
        <ns0:f>IF(('前提と出典'!$C$37+'前提と出典'!$C$38)=0,0,IF(C404&lt;=10,'前提と出典'!D73+'前提と出典'!E73,IF(C404&lt;=100,'前提と出典'!D74+'前提と出典'!E74,IF(C404&lt;=500,'前提と出典'!D75+'前提と出典'!E75,'前提と出典'!D76+'前提と出典'!E76))))</ns0:f>
        <ns0:v>56510.9346263078</ns0:v>
      </ns0:c>
      <ns0:c r="O404" s="16">
        <ns0:f>IF('前提と出典'!$C$36+'前提と出典'!$C$38=0,0,'前提と出典'!$B$4*IF('前提と出典'!$B$20=0,MAX('前提と出典'!$B$6,D404*'前提と出典'!$B$5),'前提と出典'!$B$6+D404*'前提と出典'!$B$5))</ns0:f>
        <ns0:v>397193.29608938546</ns0:v>
      </ns0:c>
      <ns0:c r="P404" s="16">
        <ns0:f>(E404+G404)*(1-'前提と出典'!$B$7)-I404-K404-M404-O404</ns0:f>
        <ns0:v>1114294.352646761</ns0:v>
      </ns0:c>
      <ns0:c r="Q404" s="16">
        <ns0:f>(F404+H404)*(1-'前提と出典'!$B$7)-J404-L404-N404</ns0:f>
        <ns0:v>315004.8196881274</ns0:v>
      </ns0:c>
      <ns0:c r="R404" s="16">
        <ns0:f>P404-E404*'前提と出典'!$E$4</ns0:f>
        <ns0:v>812629.6018578515</ns0:v>
      </ns0:c>
      <ns0:c r="S404" s="16">
        <ns0:f>Q404-F404*'前提と出典'!$E$4</ns0:f>
        <ns0:v>227348.75410467247</ns0:v>
      </ns0:c>
      <ns0:c r="T404" s="7">
        <ns0:f>R404+S404</ns0:f>
        <ns0:v>1039978.355962524</ns0:v>
      </ns0:c>
      <ns0:c r="U404" s="16">
        <ns0:f>P404-E404*'前提と出典'!$E$5</ns0:f>
        <ns0:v>712074.6849282151</ns0:v>
      </ns0:c>
      <ns0:c r="V404" s="16">
        <ns0:f>Q404-F404*'前提と出典'!$E$5</ns0:f>
        <ns0:v>198130.06557685407</ns0:v>
      </ns0:c>
      <ns0:c r="W404" s="7">
        <ns0:f>U404+V404</ns0:f>
        <ns0:v>910204.7505050692</ns0:v>
      </ns0:c>
      <ns0:c r="X404" s="16">
        <ns0:f>P404-E404*'前提と出典'!$E$6</ns0:f>
        <ns0:v>611519.7679985785</ns0:v>
      </ns0:c>
      <ns0:c r="Y404" s="16">
        <ns0:f>Q404-F404*'前提と出典'!$E$6</ns0:f>
        <ns0:v>168911.37704903577</ns0:v>
      </ns0:c>
      <ns0:c r="Z404" s="7">
        <ns0:f>X404+Y404</ns0:f>
        <ns0:v>780431.1450476142</ns0:v>
      </ns0:c>
      <ns0:c r="AA404" s="7">
        <ns0:f>IF(T404&gt;=0,A404,1001)</ns0:f>
        <ns0:v>400</ns0:v>
      </ns0:c>
      <ns0:c r="AB404" s="7">
        <ns0:f>IF(T404&lt;0,A404,0)</ns0:f>
        <ns0:v>0</ns0:v>
      </ns0:c>
      <ns0:c r="AC404" s="16">
        <ns0:f>IF(AND(OR('前提と出典'!$C$36+'前提と出典'!$C$38=0,R404&gt;=0),OR('前提と出典'!$C$37+'前提と出典'!$C$38=0,S404&gt;=0)),0,A404)</ns0:f>
        <ns0:v>0</ns0:v>
      </ns0:c>
      <ns0:c r="AD404" s="7">
        <ns0:f>IF(W404&gt;=0,A404,1001)</ns0:f>
        <ns0:v>400</ns0:v>
      </ns0:c>
      <ns0:c r="AE404" s="7">
        <ns0:f>IF(W404&lt;0,A404,0)</ns0:f>
        <ns0:v>0</ns0:v>
      </ns0:c>
      <ns0:c r="AF404" s="16">
        <ns0:f>IF(AND(OR('前提と出典'!$C$36+'前提と出典'!$C$38=0,U404&gt;=0),OR('前提と出典'!$C$37+'前提と出典'!$C$38=0,V404&gt;=0)),0,A404)</ns0:f>
        <ns0:v>0</ns0:v>
      </ns0:c>
      <ns0:c r="AG404" s="7">
        <ns0:f>IF(Z404&gt;=0,A404,1001)</ns0:f>
        <ns0:v>400</ns0:v>
      </ns0:c>
      <ns0:c r="AH404" s="4">
        <ns0:f>IF(Z404&lt;0,A404,0)</ns0:f>
        <ns0:v>0</ns0:v>
      </ns0:c>
      <ns0:c r="AI404" s="12">
        <ns0:f>IF(AND(OR('前提と出典'!$C$36+'前提と出典'!$C$38=0,X404&gt;=0),OR('前提と出典'!$C$37+'前提と出典'!$C$38=0,Y404&gt;=0)),0,A404)</ns0:f>
        <ns0:v>0</ns0:v>
      </ns0:c>
    </ns0:row>
    <ns0:row r="405" ht="24" customHeight="1">
      <ns0:c r="A405" s="4" t="n">
        <ns0:v>401</ns0:v>
      </ns0:c>
      <ns0:c r="B405" s="12">
        <ns0:f>A405*('前提と出典'!$C$36+'前提と出典'!$C$38)</ns0:f>
        <ns0:v>280.7</ns0:v>
      </ns0:c>
      <ns0:c r="C405" s="12">
        <ns0:f>A405*('前提と出典'!$C$37+'前提と出典'!$C$38)</ns0:f>
        <ns0:v>240.6</ns0:v>
      </ns0:c>
      <ns0:c r="D405" s="16">
        <ns0:f>A405*('前提と出典'!$C$36*'契約別単価'!C5+'前提と出典'!$C$37*'契約別単価'!C6+'前提と出典'!$C$38*'契約別単価'!C7)</ns0:f>
        <ns0:v>2885.40782122905</ns0:v>
      </ns0:c>
      <ns0:c r="E405" s="16">
        <ns0:f>A405*('前提と出典'!$C$36*'契約別単価'!E5+'前提と出典'!$C$37*'契約別単価'!E6+'前提と出典'!$C$38*'契約別単価'!E7)</ns0:f>
        <ns0:v>1008063.0422196062</ns0:v>
      </ns0:c>
      <ns0:c r="F405" s="16">
        <ns0:f>A405*('前提と出典'!$C$36*'契約別単価'!F5+'前提と出典'!$C$37*'契約別単価'!F6+'前提と出典'!$C$38*'契約別単価'!F7)</ns0:f>
        <ns0:v>292917.3524913787</ns0:v>
      </ns0:c>
      <ns0:c r="G405" s="16">
        <ns0:f>A405*('前提と出典'!$C$36*'契約別単価'!G5+'前提と出典'!$C$37*'契約別単価'!G6+'前提と出典'!$C$38*'契約別単価'!G7)</ns0:f>
        <ns0:v>798191.6201117318</ns0:v>
      </ns0:c>
      <ns0:c r="H405" s="16">
        <ns0:f>A405*('前提と出典'!$C$36*'契約別単価'!H5+'前提と出典'!$C$37*'契約別単価'!H6+'前提と出典'!$C$38*'契約別単価'!H7)</ns0:f>
        <ns0:v>277012.52463434485</ns0:v>
      </ns0:c>
      <ns0:c r="I405" s="16">
        <ns0:f>A405*('前提と出典'!$C$36*'契約別単価'!I5+'前提と出典'!$C$37*'契約別単価'!I6+'前提と出典'!$C$38*'契約別単価'!I7)</ns0:f>
        <ns0:v>16920.407821229048</ns0:v>
      </ns0:c>
      <ns0:c r="J405" s="16">
        <ns0:f>A405*('前提と出典'!$C$36*'契約別単価'!J5+'前提と出典'!$C$37*'契約別単価'!J6+'前提と出典'!$C$38*'契約別単価'!J7)</ns0:f>
        <ns0:v>39414.10702783133</ns0:v>
      </ns0:c>
      <ns0:c r="K405" s="16">
        <ns0:f>A405*('前提と出典'!$C$36*'契約別単価'!K5+'前提と出典'!$C$37*'契約別単価'!K6+'前提と出典'!$C$38*'契約別単価'!K7)</ns0:f>
        <ns0:v>168942.71880819366</ns0:v>
      </ns0:c>
      <ns0:c r="L405" s="16">
        <ns0:f>A405*('前提と出典'!$C$36*'契約別単価'!L5+'前提と出典'!$C$37*'契約別単価'!L6+'前提と出典'!$C$38*'契約別単価'!L7)</ns0:f>
        <ns0:v>137553.75082114481</ns0:v>
      </ns0:c>
      <ns0:c r="M405" s="16">
        <ns0:f>IF(('前提と出典'!$C$36+'前提と出典'!$C$38)=0,0,IF(B405&lt;=10,'前提と出典'!B73+'前提と出典'!C73,IF(B405&lt;=100,'前提と出典'!B74+'前提と出典'!C74,IF(B405&lt;=500,'前提と出典'!B75+'前提と出典'!C75,'前提と出典'!B76+'前提と出典'!C76))))</ns0:f>
        <ns0:v>40000</ns0:v>
      </ns0:c>
      <ns0:c r="N405" s="16">
        <ns0:f>IF(('前提と出典'!$C$37+'前提と出典'!$C$38)=0,0,IF(C405&lt;=10,'前提と出典'!D73+'前提と出典'!E73,IF(C405&lt;=100,'前提と出典'!D74+'前提と出典'!E74,IF(C405&lt;=500,'前提と出典'!D75+'前提と出典'!E75,'前提と出典'!D76+'前提と出典'!E76))))</ns0:f>
        <ns0:v>56510.9346263078</ns0:v>
      </ns0:c>
      <ns0:c r="O405" s="16">
        <ns0:f>IF('前提と出典'!$C$36+'前提と出典'!$C$38=0,0,'前提と出典'!$B$4*IF('前提と出典'!$B$20=0,MAX('前提と出典'!$B$6,D405*'前提と出典'!$B$5),'前提と出典'!$B$6+D405*'前提と出典'!$B$5))</ns0:f>
        <ns0:v>398186.27932960895</ns0:v>
      </ns0:c>
      <ns0:c r="P405" s="16">
        <ns0:f>(E405+G405)*(1-'前提と出典'!$B$7)-I405-K405-M405-O405</ns0:f>
        <ns0:v>1117180.0885283784</ns0:v>
      </ns0:c>
      <ns0:c r="Q405" s="16">
        <ns0:f>(F405+H405)*(1-'前提と出典'!$B$7)-J405-L405-N405</ns0:f>
        <ns0:v>315933.6090739136</ns0:v>
      </ns0:c>
      <ns0:c r="R405" s="16">
        <ns0:f>P405-E405*'前提と出典'!$E$4</ns0:f>
        <ns0:v>814761.1758624965</ns0:v>
      </ns0:c>
      <ns0:c r="S405" s="16">
        <ns0:f>Q405-F405*'前提と出典'!$E$4</ns0:f>
        <ns0:v>228058.40332649997</ns0:v>
      </ns0:c>
      <ns0:c r="T405" s="7">
        <ns0:f>R405+S405</ns0:f>
        <ns0:v>1042819.5791889965</ns0:v>
      </ns0:c>
      <ns0:c r="U405" s="16">
        <ns0:f>P405-E405*'前提と出典'!$E$5</ns0:f>
        <ns0:v>713954.871640536</ns0:v>
      </ns0:c>
      <ns0:c r="V405" s="16">
        <ns0:f>Q405-F405*'前提と出典'!$E$5</ns0:f>
        <ns0:v>198766.6680773621</ns0:v>
      </ns0:c>
      <ns0:c r="W405" s="7">
        <ns0:f>U405+V405</ns0:f>
        <ns0:v>912721.5397178981</ns0:v>
      </ns0:c>
      <ns0:c r="X405" s="16">
        <ns0:f>P405-E405*'前提と出典'!$E$6</ns0:f>
        <ns0:v>613148.5674185753</ns0:v>
      </ns0:c>
      <ns0:c r="Y405" s="16">
        <ns0:f>Q405-F405*'前提と出典'!$E$6</ns0:f>
        <ns0:v>169474.93282822418</ns0:v>
      </ns0:c>
      <ns0:c r="Z405" s="7">
        <ns0:f>X405+Y405</ns0:f>
        <ns0:v>782623.5002467994</ns0:v>
      </ns0:c>
      <ns0:c r="AA405" s="7">
        <ns0:f>IF(T405&gt;=0,A405,1001)</ns0:f>
        <ns0:v>401</ns0:v>
      </ns0:c>
      <ns0:c r="AB405" s="7">
        <ns0:f>IF(T405&lt;0,A405,0)</ns0:f>
        <ns0:v>0</ns0:v>
      </ns0:c>
      <ns0:c r="AC405" s="16">
        <ns0:f>IF(AND(OR('前提と出典'!$C$36+'前提と出典'!$C$38=0,R405&gt;=0),OR('前提と出典'!$C$37+'前提と出典'!$C$38=0,S405&gt;=0)),0,A405)</ns0:f>
        <ns0:v>0</ns0:v>
      </ns0:c>
      <ns0:c r="AD405" s="7">
        <ns0:f>IF(W405&gt;=0,A405,1001)</ns0:f>
        <ns0:v>401</ns0:v>
      </ns0:c>
      <ns0:c r="AE405" s="7">
        <ns0:f>IF(W405&lt;0,A405,0)</ns0:f>
        <ns0:v>0</ns0:v>
      </ns0:c>
      <ns0:c r="AF405" s="16">
        <ns0:f>IF(AND(OR('前提と出典'!$C$36+'前提と出典'!$C$38=0,U405&gt;=0),OR('前提と出典'!$C$37+'前提と出典'!$C$38=0,V405&gt;=0)),0,A405)</ns0:f>
        <ns0:v>0</ns0:v>
      </ns0:c>
      <ns0:c r="AG405" s="7">
        <ns0:f>IF(Z405&gt;=0,A405,1001)</ns0:f>
        <ns0:v>401</ns0:v>
      </ns0:c>
      <ns0:c r="AH405" s="4">
        <ns0:f>IF(Z405&lt;0,A405,0)</ns0:f>
        <ns0:v>0</ns0:v>
      </ns0:c>
      <ns0:c r="AI405" s="12">
        <ns0:f>IF(AND(OR('前提と出典'!$C$36+'前提と出典'!$C$38=0,X405&gt;=0),OR('前提と出典'!$C$37+'前提と出典'!$C$38=0,Y405&gt;=0)),0,A405)</ns0:f>
        <ns0:v>0</ns0:v>
      </ns0:c>
    </ns0:row>
    <ns0:row r="406" ht="24" customHeight="1">
      <ns0:c r="A406" s="4" t="n">
        <ns0:v>402</ns0:v>
      </ns0:c>
      <ns0:c r="B406" s="12">
        <ns0:f>A406*('前提と出典'!$C$36+'前提と出典'!$C$38)</ns0:f>
        <ns0:v>281.4</ns0:v>
      </ns0:c>
      <ns0:c r="C406" s="12">
        <ns0:f>A406*('前提と出典'!$C$37+'前提と出典'!$C$38)</ns0:f>
        <ns0:v>241.2</ns0:v>
      </ns0:c>
      <ns0:c r="D406" s="16">
        <ns0:f>A406*('前提と出典'!$C$36*'契約別単価'!C5+'前提と出典'!$C$37*'契約別単価'!C6+'前提と出典'!$C$38*'契約別単価'!C7)</ns0:f>
        <ns0:v>2892.603351955307</ns0:v>
      </ns0:c>
      <ns0:c r="E406" s="16">
        <ns0:f>A406*('前提と出典'!$C$36*'契約別単価'!E5+'前提と出典'!$C$37*'契約別単価'!E6+'前提と出典'!$C$38*'契約別単価'!E7)</ns0:f>
        <ns0:v>1010576.9151428471</ns0:v>
      </ns0:c>
      <ns0:c r="F406" s="16">
        <ns0:f>A406*('前提と出典'!$C$36*'契約別単価'!F5+'前提と出典'!$C$37*'契約別単価'!F6+'前提と出典'!$C$38*'契約別単価'!F7)</ns0:f>
        <ns0:v>293647.8197045742</ns0:v>
      </ns0:c>
      <ns0:c r="G406" s="16">
        <ns0:f>A406*('前提と出典'!$C$36*'契約別単価'!G5+'前提と出典'!$C$37*'契約別単価'!G6+'前提と出典'!$C$38*'契約別単価'!G7)</ns0:f>
        <ns0:v>800182.1229050279</ns0:v>
      </ns0:c>
      <ns0:c r="H406" s="16">
        <ns0:f>A406*('前提と出典'!$C$36*'契約別単価'!H5+'前提と出典'!$C$37*'契約別単価'!H6+'前提と出典'!$C$38*'契約別単価'!H7)</ns0:f>
        <ns0:v>277703.32893517864</ns0:v>
      </ns0:c>
      <ns0:c r="I406" s="16">
        <ns0:f>A406*('前提と出典'!$C$36*'契約別単価'!I5+'前提と出典'!$C$37*'契約別単価'!I6+'前提と出典'!$C$38*'契約別単価'!I7)</ns0:f>
        <ns0:v>16962.603351955306</ns0:v>
      </ns0:c>
      <ns0:c r="J406" s="16">
        <ns0:f>A406*('前提と出典'!$C$36*'契約別単価'!J5+'前提と出典'!$C$37*'契約別単価'!J6+'前提と出典'!$C$38*'契約別単価'!J7)</ns0:f>
        <ns0:v>39512.396571541634</ns0:v>
      </ns0:c>
      <ns0:c r="K406" s="16">
        <ns0:f>A406*('前提と出典'!$C$36*'契約別単価'!K5+'前提と出典'!$C$37*'契約別単価'!K6+'前提と出典'!$C$38*'契約別単価'!K7)</ns0:f>
        <ns0:v>169364.0223463687</ns0:v>
      </ns0:c>
      <ns0:c r="L406" s="16">
        <ns0:f>A406*('前提と出典'!$C$36*'契約別単価'!L5+'前提と出典'!$C$37*'契約別単価'!L6+'前提と出典'!$C$38*'契約別単価'!L7)</ns0:f>
        <ns0:v>137896.77763117262</ns0:v>
      </ns0:c>
      <ns0:c r="M406" s="16">
        <ns0:f>IF(('前提と出典'!$C$36+'前提と出典'!$C$38)=0,0,IF(B406&lt;=10,'前提と出典'!B73+'前提と出典'!C73,IF(B406&lt;=100,'前提と出典'!B74+'前提と出典'!C74,IF(B406&lt;=500,'前提と出典'!B75+'前提と出典'!C75,'前提と出典'!B76+'前提と出典'!C76))))</ns0:f>
        <ns0:v>40000</ns0:v>
      </ns0:c>
      <ns0:c r="N406" s="16">
        <ns0:f>IF(('前提と出典'!$C$37+'前提と出典'!$C$38)=0,0,IF(C406&lt;=10,'前提と出典'!D73+'前提と出典'!E73,IF(C406&lt;=100,'前提と出典'!D74+'前提と出典'!E74,IF(C406&lt;=500,'前提と出典'!D75+'前提と出典'!E75,'前提と出典'!D76+'前提と出典'!E76))))</ns0:f>
        <ns0:v>56510.9346263078</ns0:v>
      </ns0:c>
      <ns0:c r="O406" s="16">
        <ns0:f>IF('前提と出典'!$C$36+'前提と出典'!$C$38=0,0,'前提と出典'!$B$4*IF('前提と出典'!$B$20=0,MAX('前提と出典'!$B$6,D406*'前提と出典'!$B$5),'前提と出典'!$B$6+D406*'前提と出典'!$B$5))</ns0:f>
        <ns0:v>399179.2625698324</ns0:v>
      </ns0:c>
      <ns0:c r="P406" s="16">
        <ns0:f>(E406+G406)*(1-'前提と出典'!$B$7)-I406-K406-M406-O406</ns0:f>
        <ns0:v>1120065.824409995</ns0:v>
      </ns0:c>
      <ns0:c r="Q406" s="16">
        <ns0:f>(F406+H406)*(1-'前提と出典'!$B$7)-J406-L406-N406</ns0:f>
        <ns0:v>316862.39845969965</ns0:v>
      </ns0:c>
      <ns0:c r="R406" s="16">
        <ns0:f>P406-E406*'前提と出典'!$E$4</ns0:f>
        <ns0:v>816892.7498671408</ns0:v>
      </ns0:c>
      <ns0:c r="S406" s="16">
        <ns0:f>Q406-F406*'前提と出典'!$E$4</ns0:f>
        <ns0:v>228768.05254832743</ns0:v>
      </ns0:c>
      <ns0:c r="T406" s="7">
        <ns0:f>R406+S406</ns0:f>
        <ns0:v>1045660.8024154683</ns0:v>
      </ns0:c>
      <ns0:c r="U406" s="16">
        <ns0:f>P406-E406*'前提と出典'!$E$5</ns0:f>
        <ns0:v>715835.0583528562</ns0:v>
      </ns0:c>
      <ns0:c r="V406" s="16">
        <ns0:f>Q406-F406*'前提と出典'!$E$5</ns0:f>
        <ns0:v>199403.27057786996</ns0:v>
      </ns0:c>
      <ns0:c r="W406" s="7">
        <ns0:f>U406+V406</ns0:f>
        <ns0:v>915238.3289307262</ns0:v>
      </ns0:c>
      <ns0:c r="X406" s="16">
        <ns0:f>P406-E406*'前提と出典'!$E$6</ns0:f>
        <ns0:v>614777.3668385714</ns0:v>
      </ns0:c>
      <ns0:c r="Y406" s="16">
        <ns0:f>Q406-F406*'前提と出典'!$E$6</ns0:f>
        <ns0:v>170038.48860741255</ns0:v>
      </ns0:c>
      <ns0:c r="Z406" s="7">
        <ns0:f>X406+Y406</ns0:f>
        <ns0:v>784815.8554459839</ns0:v>
      </ns0:c>
      <ns0:c r="AA406" s="7">
        <ns0:f>IF(T406&gt;=0,A406,1001)</ns0:f>
        <ns0:v>402</ns0:v>
      </ns0:c>
      <ns0:c r="AB406" s="7">
        <ns0:f>IF(T406&lt;0,A406,0)</ns0:f>
        <ns0:v>0</ns0:v>
      </ns0:c>
      <ns0:c r="AC406" s="16">
        <ns0:f>IF(AND(OR('前提と出典'!$C$36+'前提と出典'!$C$38=0,R406&gt;=0),OR('前提と出典'!$C$37+'前提と出典'!$C$38=0,S406&gt;=0)),0,A406)</ns0:f>
        <ns0:v>0</ns0:v>
      </ns0:c>
      <ns0:c r="AD406" s="7">
        <ns0:f>IF(W406&gt;=0,A406,1001)</ns0:f>
        <ns0:v>402</ns0:v>
      </ns0:c>
      <ns0:c r="AE406" s="7">
        <ns0:f>IF(W406&lt;0,A406,0)</ns0:f>
        <ns0:v>0</ns0:v>
      </ns0:c>
      <ns0:c r="AF406" s="16">
        <ns0:f>IF(AND(OR('前提と出典'!$C$36+'前提と出典'!$C$38=0,U406&gt;=0),OR('前提と出典'!$C$37+'前提と出典'!$C$38=0,V406&gt;=0)),0,A406)</ns0:f>
        <ns0:v>0</ns0:v>
      </ns0:c>
      <ns0:c r="AG406" s="7">
        <ns0:f>IF(Z406&gt;=0,A406,1001)</ns0:f>
        <ns0:v>402</ns0:v>
      </ns0:c>
      <ns0:c r="AH406" s="4">
        <ns0:f>IF(Z406&lt;0,A406,0)</ns0:f>
        <ns0:v>0</ns0:v>
      </ns0:c>
      <ns0:c r="AI406" s="12">
        <ns0:f>IF(AND(OR('前提と出典'!$C$36+'前提と出典'!$C$38=0,X406&gt;=0),OR('前提と出典'!$C$37+'前提と出典'!$C$38=0,Y406&gt;=0)),0,A406)</ns0:f>
        <ns0:v>0</ns0:v>
      </ns0:c>
    </ns0:row>
    <ns0:row r="407" ht="24" customHeight="1">
      <ns0:c r="A407" s="4" t="n">
        <ns0:v>403</ns0:v>
      </ns0:c>
      <ns0:c r="B407" s="12">
        <ns0:f>A407*('前提と出典'!$C$36+'前提と出典'!$C$38)</ns0:f>
        <ns0:v>282.09999999999997</ns0:v>
      </ns0:c>
      <ns0:c r="C407" s="12">
        <ns0:f>A407*('前提と出典'!$C$37+'前提と出典'!$C$38)</ns0:f>
        <ns0:v>241.79999999999998</ns0:v>
      </ns0:c>
      <ns0:c r="D407" s="16">
        <ns0:f>A407*('前提と出典'!$C$36*'契約別単価'!C5+'前提と出典'!$C$37*'契約別単価'!C6+'前提と出典'!$C$38*'契約別単価'!C7)</ns0:f>
        <ns0:v>2899.798882681564</ns0:v>
      </ns0:c>
      <ns0:c r="E407" s="16">
        <ns0:f>A407*('前提と出典'!$C$36*'契約別単価'!E5+'前提と出典'!$C$37*'契約別単価'!E6+'前提と出典'!$C$38*'契約別単価'!E7)</ns0:f>
        <ns0:v>1013090.788066088</ns0:v>
      </ns0:c>
      <ns0:c r="F407" s="16">
        <ns0:f>A407*('前提と出典'!$C$36*'契約別単価'!F5+'前提と出典'!$C$37*'契約別単価'!F6+'前提と出典'!$C$38*'契約別単価'!F7)</ns0:f>
        <ns0:v>294378.28691776964</ns0:v>
      </ns0:c>
      <ns0:c r="G407" s="16">
        <ns0:f>A407*('前提と出典'!$C$36*'契約別単価'!G5+'前提と出典'!$C$37*'契約別単価'!G6+'前提と出典'!$C$38*'契約別単価'!G7)</ns0:f>
        <ns0:v>802172.625698324</ns0:v>
      </ns0:c>
      <ns0:c r="H407" s="16">
        <ns0:f>A407*('前提と出典'!$C$36*'契約別単価'!H5+'前提と出典'!$C$37*'契約別単価'!H6+'前提と出典'!$C$38*'契約別単価'!H7)</ns0:f>
        <ns0:v>278394.1332360124</ns0:v>
      </ns0:c>
      <ns0:c r="I407" s="16">
        <ns0:f>A407*('前提と出典'!$C$36*'契約別単価'!I5+'前提と出典'!$C$37*'契約別単価'!I6+'前提と出典'!$C$38*'契約別単価'!I7)</ns0:f>
        <ns0:v>17004.79888268156</ns0:v>
      </ns0:c>
      <ns0:c r="J407" s="16">
        <ns0:f>A407*('前提と出典'!$C$36*'契約別単価'!J5+'前提と出典'!$C$37*'契約別単価'!J6+'前提と出典'!$C$38*'契約別単価'!J7)</ns0:f>
        <ns0:v>39610.686115251934</ns0:v>
      </ns0:c>
      <ns0:c r="K407" s="16">
        <ns0:f>A407*('前提と出典'!$C$36*'契約別単価'!K5+'前提と出典'!$C$37*'契約別単価'!K6+'前提と出典'!$C$38*'契約別単価'!K7)</ns0:f>
        <ns0:v>169785.32588454374</ns0:v>
      </ns0:c>
      <ns0:c r="L407" s="16">
        <ns0:f>A407*('前提と出典'!$C$36*'契約別単価'!L5+'前提と出典'!$C$37*'契約別単価'!L6+'前提と出典'!$C$38*'契約別単価'!L7)</ns0:f>
        <ns0:v>138239.8044412004</ns0:v>
      </ns0:c>
      <ns0:c r="M407" s="16">
        <ns0:f>IF(('前提と出典'!$C$36+'前提と出典'!$C$38)=0,0,IF(B407&lt;=10,'前提と出典'!B73+'前提と出典'!C73,IF(B407&lt;=100,'前提と出典'!B74+'前提と出典'!C74,IF(B407&lt;=500,'前提と出典'!B75+'前提と出典'!C75,'前提と出典'!B76+'前提と出典'!C76))))</ns0:f>
        <ns0:v>40000</ns0:v>
      </ns0:c>
      <ns0:c r="N407" s="16">
        <ns0:f>IF(('前提と出典'!$C$37+'前提と出典'!$C$38)=0,0,IF(C407&lt;=10,'前提と出典'!D73+'前提と出典'!E73,IF(C407&lt;=100,'前提と出典'!D74+'前提と出典'!E74,IF(C407&lt;=500,'前提と出典'!D75+'前提と出典'!E75,'前提と出典'!D76+'前提と出典'!E76))))</ns0:f>
        <ns0:v>56510.9346263078</ns0:v>
      </ns0:c>
      <ns0:c r="O407" s="16">
        <ns0:f>IF('前提と出典'!$C$36+'前提と出典'!$C$38=0,0,'前提と出典'!$B$4*IF('前提と出典'!$B$20=0,MAX('前提と出典'!$B$6,D407*'前提と出典'!$B$5),'前提と出典'!$B$6+D407*'前提と出典'!$B$5))</ns0:f>
        <ns0:v>400172.2458100559</ns0:v>
      </ns0:c>
      <ns0:c r="P407" s="16">
        <ns0:f>(E407+G407)*(1-'前提と出典'!$B$7)-I407-K407-M407-O407</ns0:f>
        <ns0:v>1122951.5602916118</ns0:v>
      </ns0:c>
      <ns0:c r="Q407" s="16">
        <ns0:f>(F407+H407)*(1-'前提と出典'!$B$7)-J407-L407-N407</ns0:f>
        <ns0:v>317791.18784548575</ns0:v>
      </ns0:c>
      <ns0:c r="R407" s="16">
        <ns0:f>P407-E407*'前提と出典'!$E$4</ns0:f>
        <ns0:v>819024.3238717855</ns0:v>
      </ns0:c>
      <ns0:c r="S407" s="16">
        <ns0:f>Q407-F407*'前提と出典'!$E$4</ns0:f>
        <ns0:v>229477.70177015488</ns0:v>
      </ns0:c>
      <ns0:c r="T407" s="7">
        <ns0:f>R407+S407</ns0:f>
        <ns0:v>1048502.0256419404</ns0:v>
      </ns0:c>
      <ns0:c r="U407" s="16">
        <ns0:f>P407-E407*'前提と出典'!$E$5</ns0:f>
        <ns0:v>717715.2450651766</ns0:v>
      </ns0:c>
      <ns0:c r="V407" s="16">
        <ns0:f>Q407-F407*'前提と出典'!$E$5</ns0:f>
        <ns0:v>200039.87307837792</ns0:v>
      </ns0:c>
      <ns0:c r="W407" s="7">
        <ns0:f>U407+V407</ns0:f>
        <ns0:v>917755.1181435545</ns0:v>
      </ns0:c>
      <ns0:c r="X407" s="16">
        <ns0:f>P407-E407*'前提と出典'!$E$6</ns0:f>
        <ns0:v>616406.1662585677</ns0:v>
      </ns0:c>
      <ns0:c r="Y407" s="16">
        <ns0:f>Q407-F407*'前提と出典'!$E$6</ns0:f>
        <ns0:v>170602.04438660096</ns0:v>
      </ns0:c>
      <ns0:c r="Z407" s="7">
        <ns0:f>X407+Y407</ns0:f>
        <ns0:v>787008.2106451687</ns0:v>
      </ns0:c>
      <ns0:c r="AA407" s="7">
        <ns0:f>IF(T407&gt;=0,A407,1001)</ns0:f>
        <ns0:v>403</ns0:v>
      </ns0:c>
      <ns0:c r="AB407" s="7">
        <ns0:f>IF(T407&lt;0,A407,0)</ns0:f>
        <ns0:v>0</ns0:v>
      </ns0:c>
      <ns0:c r="AC407" s="16">
        <ns0:f>IF(AND(OR('前提と出典'!$C$36+'前提と出典'!$C$38=0,R407&gt;=0),OR('前提と出典'!$C$37+'前提と出典'!$C$38=0,S407&gt;=0)),0,A407)</ns0:f>
        <ns0:v>0</ns0:v>
      </ns0:c>
      <ns0:c r="AD407" s="7">
        <ns0:f>IF(W407&gt;=0,A407,1001)</ns0:f>
        <ns0:v>403</ns0:v>
      </ns0:c>
      <ns0:c r="AE407" s="7">
        <ns0:f>IF(W407&lt;0,A407,0)</ns0:f>
        <ns0:v>0</ns0:v>
      </ns0:c>
      <ns0:c r="AF407" s="16">
        <ns0:f>IF(AND(OR('前提と出典'!$C$36+'前提と出典'!$C$38=0,U407&gt;=0),OR('前提と出典'!$C$37+'前提と出典'!$C$38=0,V407&gt;=0)),0,A407)</ns0:f>
        <ns0:v>0</ns0:v>
      </ns0:c>
      <ns0:c r="AG407" s="7">
        <ns0:f>IF(Z407&gt;=0,A407,1001)</ns0:f>
        <ns0:v>403</ns0:v>
      </ns0:c>
      <ns0:c r="AH407" s="4">
        <ns0:f>IF(Z407&lt;0,A407,0)</ns0:f>
        <ns0:v>0</ns0:v>
      </ns0:c>
      <ns0:c r="AI407" s="12">
        <ns0:f>IF(AND(OR('前提と出典'!$C$36+'前提と出典'!$C$38=0,X407&gt;=0),OR('前提と出典'!$C$37+'前提と出典'!$C$38=0,Y407&gt;=0)),0,A407)</ns0:f>
        <ns0:v>0</ns0:v>
      </ns0:c>
    </ns0:row>
    <ns0:row r="408" ht="24" customHeight="1">
      <ns0:c r="A408" s="4" t="n">
        <ns0:v>404</ns0:v>
      </ns0:c>
      <ns0:c r="B408" s="12">
        <ns0:f>A408*('前提と出典'!$C$36+'前提と出典'!$C$38)</ns0:f>
        <ns0:v>282.79999999999995</ns0:v>
      </ns0:c>
      <ns0:c r="C408" s="12">
        <ns0:f>A408*('前提と出典'!$C$37+'前提と出典'!$C$38)</ns0:f>
        <ns0:v>242.39999999999998</ns0:v>
      </ns0:c>
      <ns0:c r="D408" s="16">
        <ns0:f>A408*('前提と出典'!$C$36*'契約別単価'!C5+'前提と出典'!$C$37*'契約別単価'!C6+'前提と出典'!$C$38*'契約別単価'!C7)</ns0:f>
        <ns0:v>2906.9944134078214</ns0:v>
      </ns0:c>
      <ns0:c r="E408" s="16">
        <ns0:f>A408*('前提と出典'!$C$36*'契約別単価'!E5+'前提と出典'!$C$37*'契約別単価'!E6+'前提と出典'!$C$38*'契約別単価'!E7)</ns0:f>
        <ns0:v>1015604.660989329</ns0:v>
      </ns0:c>
      <ns0:c r="F408" s="16">
        <ns0:f>A408*('前提と出典'!$C$36*'契約別単価'!F5+'前提と出典'!$C$37*'契約別単価'!F6+'前提と出典'!$C$38*'契約別単価'!F7)</ns0:f>
        <ns0:v>295108.7541309651</ns0:v>
      </ns0:c>
      <ns0:c r="G408" s="16">
        <ns0:f>A408*('前提と出典'!$C$36*'契約別単価'!G5+'前提と出典'!$C$37*'契約別単価'!G6+'前提と出典'!$C$38*'契約別単価'!G7)</ns0:f>
        <ns0:v>804163.1284916201</ns0:v>
      </ns0:c>
      <ns0:c r="H408" s="16">
        <ns0:f>A408*('前提と出典'!$C$36*'契約別単価'!H5+'前提と出典'!$C$37*'契約別単価'!H6+'前提と出典'!$C$38*'契約別単価'!H7)</ns0:f>
        <ns0:v>279084.9375368462</ns0:v>
      </ns0:c>
      <ns0:c r="I408" s="16">
        <ns0:f>A408*('前提と出典'!$C$36*'契約別単価'!I5+'前提と出典'!$C$37*'契約別単価'!I6+'前提と出典'!$C$38*'契約別単価'!I7)</ns0:f>
        <ns0:v>17046.994413407818</ns0:v>
      </ns0:c>
      <ns0:c r="J408" s="16">
        <ns0:f>A408*('前提と出典'!$C$36*'契約別単価'!J5+'前提と出典'!$C$37*'契約別単価'!J6+'前提と出典'!$C$38*'契約別単価'!J7)</ns0:f>
        <ns0:v>39708.975658962234</ns0:v>
      </ns0:c>
      <ns0:c r="K408" s="16">
        <ns0:f>A408*('前提と出典'!$C$36*'契約別単価'!K5+'前提と出典'!$C$37*'契約別単価'!K6+'前提と出典'!$C$38*'契約別単価'!K7)</ns0:f>
        <ns0:v>170206.6294227188</ns0:v>
      </ns0:c>
      <ns0:c r="L408" s="16">
        <ns0:f>A408*('前提と出典'!$C$36*'契約別単価'!L5+'前提と出典'!$C$37*'契約別単価'!L6+'前提と出典'!$C$38*'契約別単価'!L7)</ns0:f>
        <ns0:v>138582.8312512282</ns0:v>
      </ns0:c>
      <ns0:c r="M408" s="16">
        <ns0:f>IF(('前提と出典'!$C$36+'前提と出典'!$C$38)=0,0,IF(B408&lt;=10,'前提と出典'!B73+'前提と出典'!C73,IF(B408&lt;=100,'前提と出典'!B74+'前提と出典'!C74,IF(B408&lt;=500,'前提と出典'!B75+'前提と出典'!C75,'前提と出典'!B76+'前提と出典'!C76))))</ns0:f>
        <ns0:v>40000</ns0:v>
      </ns0:c>
      <ns0:c r="N408" s="16">
        <ns0:f>IF(('前提と出典'!$C$37+'前提と出典'!$C$38)=0,0,IF(C408&lt;=10,'前提と出典'!D73+'前提と出典'!E73,IF(C408&lt;=100,'前提と出典'!D74+'前提と出典'!E74,IF(C408&lt;=500,'前提と出典'!D75+'前提と出典'!E75,'前提と出典'!D76+'前提と出典'!E76))))</ns0:f>
        <ns0:v>56510.9346263078</ns0:v>
      </ns0:c>
      <ns0:c r="O408" s="16">
        <ns0:f>IF('前提と出典'!$C$36+'前提と出典'!$C$38=0,0,'前提と出典'!$B$4*IF('前提と出典'!$B$20=0,MAX('前提と出典'!$B$6,D408*'前提と出典'!$B$5),'前提と出典'!$B$6+D408*'前提と出典'!$B$5))</ns0:f>
        <ns0:v>401165.22905027936</ns0:v>
      </ns0:c>
      <ns0:c r="P408" s="16">
        <ns0:f>(E408+G408)*(1-'前提と出典'!$B$7)-I408-K408-M408-O408</ns0:f>
        <ns0:v>1125837.2961732289</ns0:v>
      </ns0:c>
      <ns0:c r="Q408" s="16">
        <ns0:f>(F408+H408)*(1-'前提と出典'!$B$7)-J408-L408-N408</ns0:f>
        <ns0:v>318719.9772312718</ns0:v>
      </ns0:c>
      <ns0:c r="R408" s="16">
        <ns0:f>P408-E408*'前提と出典'!$E$4</ns0:f>
        <ns0:v>821155.8978764301</ns0:v>
      </ns0:c>
      <ns0:c r="S408" s="16">
        <ns0:f>Q408-F408*'前提と出典'!$E$4</ns0:f>
        <ns0:v>230187.35099198227</ns0:v>
      </ns0:c>
      <ns0:c r="T408" s="7">
        <ns0:f>R408+S408</ns0:f>
        <ns0:v>1051343.2488684123</ns0:v>
      </ns0:c>
      <ns0:c r="U408" s="16">
        <ns0:f>P408-E408*'前提と出典'!$E$5</ns0:f>
        <ns0:v>719595.4317774973</ns0:v>
      </ns0:c>
      <ns0:c r="V408" s="16">
        <ns0:f>Q408-F408*'前提と出典'!$E$5</ns0:f>
        <ns0:v>200676.4755788858</ns0:v>
      </ns0:c>
      <ns0:c r="W408" s="7">
        <ns0:f>U408+V408</ns0:f>
        <ns0:v>920271.907356383</ns0:v>
      </ns0:c>
      <ns0:c r="X408" s="16">
        <ns0:f>P408-E408*'前提と出典'!$E$6</ns0:f>
        <ns0:v>618034.9656785645</ns0:v>
      </ns0:c>
      <ns0:c r="Y408" s="16">
        <ns0:f>Q408-F408*'前提と出典'!$E$6</ns0:f>
        <ns0:v>171165.60016578928</ns0:v>
      </ns0:c>
      <ns0:c r="Z408" s="7">
        <ns0:f>X408+Y408</ns0:f>
        <ns0:v>789200.5658443538</ns0:v>
      </ns0:c>
      <ns0:c r="AA408" s="7">
        <ns0:f>IF(T408&gt;=0,A408,1001)</ns0:f>
        <ns0:v>404</ns0:v>
      </ns0:c>
      <ns0:c r="AB408" s="7">
        <ns0:f>IF(T408&lt;0,A408,0)</ns0:f>
        <ns0:v>0</ns0:v>
      </ns0:c>
      <ns0:c r="AC408" s="16">
        <ns0:f>IF(AND(OR('前提と出典'!$C$36+'前提と出典'!$C$38=0,R408&gt;=0),OR('前提と出典'!$C$37+'前提と出典'!$C$38=0,S408&gt;=0)),0,A408)</ns0:f>
        <ns0:v>0</ns0:v>
      </ns0:c>
      <ns0:c r="AD408" s="7">
        <ns0:f>IF(W408&gt;=0,A408,1001)</ns0:f>
        <ns0:v>404</ns0:v>
      </ns0:c>
      <ns0:c r="AE408" s="7">
        <ns0:f>IF(W408&lt;0,A408,0)</ns0:f>
        <ns0:v>0</ns0:v>
      </ns0:c>
      <ns0:c r="AF408" s="16">
        <ns0:f>IF(AND(OR('前提と出典'!$C$36+'前提と出典'!$C$38=0,U408&gt;=0),OR('前提と出典'!$C$37+'前提と出典'!$C$38=0,V408&gt;=0)),0,A408)</ns0:f>
        <ns0:v>0</ns0:v>
      </ns0:c>
      <ns0:c r="AG408" s="7">
        <ns0:f>IF(Z408&gt;=0,A408,1001)</ns0:f>
        <ns0:v>404</ns0:v>
      </ns0:c>
      <ns0:c r="AH408" s="4">
        <ns0:f>IF(Z408&lt;0,A408,0)</ns0:f>
        <ns0:v>0</ns0:v>
      </ns0:c>
      <ns0:c r="AI408" s="12">
        <ns0:f>IF(AND(OR('前提と出典'!$C$36+'前提と出典'!$C$38=0,X408&gt;=0),OR('前提と出典'!$C$37+'前提と出典'!$C$38=0,Y408&gt;=0)),0,A408)</ns0:f>
        <ns0:v>0</ns0:v>
      </ns0:c>
    </ns0:row>
    <ns0:row r="409" ht="24" customHeight="1">
      <ns0:c r="A409" s="4" t="n">
        <ns0:v>405</ns0:v>
      </ns0:c>
      <ns0:c r="B409" s="12">
        <ns0:f>A409*('前提と出典'!$C$36+'前提と出典'!$C$38)</ns0:f>
        <ns0:v>283.5</ns0:v>
      </ns0:c>
      <ns0:c r="C409" s="12">
        <ns0:f>A409*('前提と出典'!$C$37+'前提と出典'!$C$38)</ns0:f>
        <ns0:v>243</ns0:v>
      </ns0:c>
      <ns0:c r="D409" s="16">
        <ns0:f>A409*('前提と出典'!$C$36*'契約別単価'!C5+'前提と出典'!$C$37*'契約別単価'!C6+'前提と出典'!$C$38*'契約別単価'!C7)</ns0:f>
        <ns0:v>2914.1899441340784</ns0:v>
      </ns0:c>
      <ns0:c r="E409" s="16">
        <ns0:f>A409*('前提と出典'!$C$36*'契約別単価'!E5+'前提と出典'!$C$37*'契約別単価'!E6+'前提と出典'!$C$38*'契約別単価'!E7)</ns0:f>
        <ns0:v>1018118.5339125699</ns0:v>
      </ns0:c>
      <ns0:c r="F409" s="16">
        <ns0:f>A409*('前提と出典'!$C$36*'契約別単価'!F5+'前提と出典'!$C$37*'契約別単価'!F6+'前提と出典'!$C$38*'契約別単価'!F7)</ns0:f>
        <ns0:v>295839.22134416056</ns0:v>
      </ns0:c>
      <ns0:c r="G409" s="16">
        <ns0:f>A409*('前提と出典'!$C$36*'契約別単価'!G5+'前提と出典'!$C$37*'契約別単価'!G6+'前提と出典'!$C$38*'契約別単価'!G7)</ns0:f>
        <ns0:v>806153.6312849162</ns0:v>
      </ns0:c>
      <ns0:c r="H409" s="16">
        <ns0:f>A409*('前提と出典'!$C$36*'契約別単価'!H5+'前提と出典'!$C$37*'契約別単価'!H6+'前提と出典'!$C$38*'契約別単価'!H7)</ns0:f>
        <ns0:v>279775.74183768</ns0:v>
      </ns0:c>
      <ns0:c r="I409" s="16">
        <ns0:f>A409*('前提と出典'!$C$36*'契約別単価'!I5+'前提と出典'!$C$37*'契約別単価'!I6+'前提と出典'!$C$38*'契約別単価'!I7)</ns0:f>
        <ns0:v>17089.189944134076</ns0:v>
      </ns0:c>
      <ns0:c r="J409" s="16">
        <ns0:f>A409*('前提と出典'!$C$36*'契約別単価'!J5+'前提と出典'!$C$37*'契約別単価'!J6+'前提と出典'!$C$38*'契約別単価'!J7)</ns0:f>
        <ns0:v>39807.26520267254</ns0:v>
      </ns0:c>
      <ns0:c r="K409" s="16">
        <ns0:f>A409*('前提と出典'!$C$36*'契約別単価'!K5+'前提と出典'!$C$37*'契約別単価'!K6+'前提と出典'!$C$38*'契約別単価'!K7)</ns0:f>
        <ns0:v>170627.93296089384</ns0:v>
      </ns0:c>
      <ns0:c r="L409" s="16">
        <ns0:f>A409*('前提と出典'!$C$36*'契約別単価'!L5+'前提と出典'!$C$37*'契約別単価'!L6+'前提と出典'!$C$38*'契約別単価'!L7)</ns0:f>
        <ns0:v>138925.858061256</ns0:v>
      </ns0:c>
      <ns0:c r="M409" s="16">
        <ns0:f>IF(('前提と出典'!$C$36+'前提と出典'!$C$38)=0,0,IF(B409&lt;=10,'前提と出典'!B73+'前提と出典'!C73,IF(B409&lt;=100,'前提と出典'!B74+'前提と出典'!C74,IF(B409&lt;=500,'前提と出典'!B75+'前提と出典'!C75,'前提と出典'!B76+'前提と出典'!C76))))</ns0:f>
        <ns0:v>40000</ns0:v>
      </ns0:c>
      <ns0:c r="N409" s="16">
        <ns0:f>IF(('前提と出典'!$C$37+'前提と出典'!$C$38)=0,0,IF(C409&lt;=10,'前提と出典'!D73+'前提と出典'!E73,IF(C409&lt;=100,'前提と出典'!D74+'前提と出典'!E74,IF(C409&lt;=500,'前提と出典'!D75+'前提と出典'!E75,'前提と出典'!D76+'前提と出典'!E76))))</ns0:f>
        <ns0:v>56510.9346263078</ns0:v>
      </ns0:c>
      <ns0:c r="O409" s="16">
        <ns0:f>IF('前提と出典'!$C$36+'前提と出典'!$C$38=0,0,'前提と出典'!$B$4*IF('前提と出典'!$B$20=0,MAX('前提と出典'!$B$6,D409*'前提と出典'!$B$5),'前提と出典'!$B$6+D409*'前提と出典'!$B$5))</ns0:f>
        <ns0:v>402158.2122905028</ns0:v>
      </ns0:c>
      <ns0:c r="P409" s="16">
        <ns0:f>(E409+G409)*(1-'前提と出典'!$B$7)-I409-K409-M409-O409</ns0:f>
        <ns0:v>1128723.032054846</ns0:v>
      </ns0:c>
      <ns0:c r="Q409" s="16">
        <ns0:f>(F409+H409)*(1-'前提と出典'!$B$7)-J409-L409-N409</ns0:f>
        <ns0:v>319648.76661705784</ns0:v>
      </ns0:c>
      <ns0:c r="R409" s="16">
        <ns0:f>P409-E409*'前提と出典'!$E$4</ns0:f>
        <ns0:v>823287.4718810751</ns0:v>
      </ns0:c>
      <ns0:c r="S409" s="16">
        <ns0:f>Q409-F409*'前提と出典'!$E$4</ns0:f>
        <ns0:v>230897.00021380966</ns0:v>
      </ns0:c>
      <ns0:c r="T409" s="7">
        <ns0:f>R409+S409</ns0:f>
        <ns0:v>1054184.4720948846</ns0:v>
      </ns0:c>
      <ns0:c r="U409" s="16">
        <ns0:f>P409-E409*'前提と出典'!$E$5</ns0:f>
        <ns0:v>721475.618489818</ns0:v>
      </ns0:c>
      <ns0:c r="V409" s="16">
        <ns0:f>Q409-F409*'前提と出典'!$E$5</ns0:f>
        <ns0:v>201313.0780793936</ns0:v>
      </ns0:c>
      <ns0:c r="W409" s="7">
        <ns0:f>U409+V409</ns0:f>
        <ns0:v>922788.6965692115</ns0:v>
      </ns0:c>
      <ns0:c r="X409" s="16">
        <ns0:f>P409-E409*'前提と出典'!$E$6</ns0:f>
        <ns0:v>619663.7650985608</ns0:v>
      </ns0:c>
      <ns0:c r="Y409" s="16">
        <ns0:f>Q409-F409*'前提と出典'!$E$6</ns0:f>
        <ns0:v>171729.15594497754</ns0:v>
      </ns0:c>
      <ns0:c r="Z409" s="7">
        <ns0:f>X409+Y409</ns0:f>
        <ns0:v>791392.9210435384</ns0:v>
      </ns0:c>
      <ns0:c r="AA409" s="7">
        <ns0:f>IF(T409&gt;=0,A409,1001)</ns0:f>
        <ns0:v>405</ns0:v>
      </ns0:c>
      <ns0:c r="AB409" s="7">
        <ns0:f>IF(T409&lt;0,A409,0)</ns0:f>
        <ns0:v>0</ns0:v>
      </ns0:c>
      <ns0:c r="AC409" s="16">
        <ns0:f>IF(AND(OR('前提と出典'!$C$36+'前提と出典'!$C$38=0,R409&gt;=0),OR('前提と出典'!$C$37+'前提と出典'!$C$38=0,S409&gt;=0)),0,A409)</ns0:f>
        <ns0:v>0</ns0:v>
      </ns0:c>
      <ns0:c r="AD409" s="7">
        <ns0:f>IF(W409&gt;=0,A409,1001)</ns0:f>
        <ns0:v>405</ns0:v>
      </ns0:c>
      <ns0:c r="AE409" s="7">
        <ns0:f>IF(W409&lt;0,A409,0)</ns0:f>
        <ns0:v>0</ns0:v>
      </ns0:c>
      <ns0:c r="AF409" s="16">
        <ns0:f>IF(AND(OR('前提と出典'!$C$36+'前提と出典'!$C$38=0,U409&gt;=0),OR('前提と出典'!$C$37+'前提と出典'!$C$38=0,V409&gt;=0)),0,A409)</ns0:f>
        <ns0:v>0</ns0:v>
      </ns0:c>
      <ns0:c r="AG409" s="7">
        <ns0:f>IF(Z409&gt;=0,A409,1001)</ns0:f>
        <ns0:v>405</ns0:v>
      </ns0:c>
      <ns0:c r="AH409" s="4">
        <ns0:f>IF(Z409&lt;0,A409,0)</ns0:f>
        <ns0:v>0</ns0:v>
      </ns0:c>
      <ns0:c r="AI409" s="12">
        <ns0:f>IF(AND(OR('前提と出典'!$C$36+'前提と出典'!$C$38=0,X409&gt;=0),OR('前提と出典'!$C$37+'前提と出典'!$C$38=0,Y409&gt;=0)),0,A409)</ns0:f>
        <ns0:v>0</ns0:v>
      </ns0:c>
    </ns0:row>
    <ns0:row r="410" ht="24" customHeight="1">
      <ns0:c r="A410" s="4" t="n">
        <ns0:v>406</ns0:v>
      </ns0:c>
      <ns0:c r="B410" s="12">
        <ns0:f>A410*('前提と出典'!$C$36+'前提と出典'!$C$38)</ns0:f>
        <ns0:v>284.2</ns0:v>
      </ns0:c>
      <ns0:c r="C410" s="12">
        <ns0:f>A410*('前提と出典'!$C$37+'前提と出典'!$C$38)</ns0:f>
        <ns0:v>243.6</ns0:v>
      </ns0:c>
      <ns0:c r="D410" s="16">
        <ns0:f>A410*('前提と出典'!$C$36*'契約別単価'!C5+'前提と出典'!$C$37*'契約別単価'!C6+'前提と出典'!$C$38*'契約別単価'!C7)</ns0:f>
        <ns0:v>2921.3854748603353</ns0:v>
      </ns0:c>
      <ns0:c r="E410" s="16">
        <ns0:f>A410*('前提と出典'!$C$36*'契約別単価'!E5+'前提と出典'!$C$37*'契約別単価'!E6+'前提と出典'!$C$38*'契約別単価'!E7)</ns0:f>
        <ns0:v>1020632.4068358107</ns0:v>
      </ns0:c>
      <ns0:c r="F410" s="16">
        <ns0:f>A410*('前提と出典'!$C$36*'契約別単価'!F5+'前提と出典'!$C$37*'契約別単価'!F6+'前提と出典'!$C$38*'契約別単価'!F7)</ns0:f>
        <ns0:v>296569.688557356</ns0:v>
      </ns0:c>
      <ns0:c r="G410" s="16">
        <ns0:f>A410*('前提と出典'!$C$36*'契約別単価'!G5+'前提と出典'!$C$37*'契約別単価'!G6+'前提と出典'!$C$38*'契約別単価'!G7)</ns0:f>
        <ns0:v>808144.1340782122</ns0:v>
      </ns0:c>
      <ns0:c r="H410" s="16">
        <ns0:f>A410*('前提と出典'!$C$36*'契約別単価'!H5+'前提と出典'!$C$37*'契約別単価'!H6+'前提と出典'!$C$38*'契約別単価'!H7)</ns0:f>
        <ns0:v>280466.5461385137</ns0:v>
      </ns0:c>
      <ns0:c r="I410" s="16">
        <ns0:f>A410*('前提と出典'!$C$36*'契約別単価'!I5+'前提と出典'!$C$37*'契約別単価'!I6+'前提と出典'!$C$38*'契約別単価'!I7)</ns0:f>
        <ns0:v>17131.385474860333</ns0:v>
      </ns0:c>
      <ns0:c r="J410" s="16">
        <ns0:f>A410*('前提と出典'!$C$36*'契約別単価'!J5+'前提と出典'!$C$37*'契約別単価'!J6+'前提と出典'!$C$38*'契約別単価'!J7)</ns0:f>
        <ns0:v>39905.55474638284</ns0:v>
      </ns0:c>
      <ns0:c r="K410" s="16">
        <ns0:f>A410*('前提と出典'!$C$36*'契約別単価'!K5+'前提と出典'!$C$37*'契約別単価'!K6+'前提と出典'!$C$38*'契約別単価'!K7)</ns0:f>
        <ns0:v>171049.23649906888</ns0:v>
      </ns0:c>
      <ns0:c r="L410" s="16">
        <ns0:f>A410*('前提と出典'!$C$36*'契約別単価'!L5+'前提と出典'!$C$37*'契約別単価'!L6+'前提と出典'!$C$38*'契約別単価'!L7)</ns0:f>
        <ns0:v>139268.88487128378</ns0:v>
      </ns0:c>
      <ns0:c r="M410" s="16">
        <ns0:f>IF(('前提と出典'!$C$36+'前提と出典'!$C$38)=0,0,IF(B410&lt;=10,'前提と出典'!B73+'前提と出典'!C73,IF(B410&lt;=100,'前提と出典'!B74+'前提と出典'!C74,IF(B410&lt;=500,'前提と出典'!B75+'前提と出典'!C75,'前提と出典'!B76+'前提と出典'!C76))))</ns0:f>
        <ns0:v>40000</ns0:v>
      </ns0:c>
      <ns0:c r="N410" s="16">
        <ns0:f>IF(('前提と出典'!$C$37+'前提と出典'!$C$38)=0,0,IF(C410&lt;=10,'前提と出典'!D73+'前提と出典'!E73,IF(C410&lt;=100,'前提と出典'!D74+'前提と出典'!E74,IF(C410&lt;=500,'前提と出典'!D75+'前提と出典'!E75,'前提と出典'!D76+'前提と出典'!E76))))</ns0:f>
        <ns0:v>56510.9346263078</ns0:v>
      </ns0:c>
      <ns0:c r="O410" s="16">
        <ns0:f>IF('前提と出典'!$C$36+'前提と出典'!$C$38=0,0,'前提と出典'!$B$4*IF('前提と出典'!$B$20=0,MAX('前提と出典'!$B$6,D410*'前提と出典'!$B$5),'前提と出典'!$B$6+D410*'前提と出典'!$B$5))</ns0:f>
        <ns0:v>403151.1955307263</ns0:v>
      </ns0:c>
      <ns0:c r="P410" s="16">
        <ns0:f>(E410+G410)*(1-'前提と出典'!$B$7)-I410-K410-M410-O410</ns0:f>
        <ns0:v>1131608.7679364625</ns0:v>
      </ns0:c>
      <ns0:c r="Q410" s="16">
        <ns0:f>(F410+H410)*(1-'前提と出典'!$B$7)-J410-L410-N410</ns0:f>
        <ns0:v>320577.55600284395</ns0:v>
      </ns0:c>
      <ns0:c r="R410" s="16">
        <ns0:f>P410-E410*'前提と出典'!$E$4</ns0:f>
        <ns0:v>825419.0458857194</ns0:v>
      </ns0:c>
      <ns0:c r="S410" s="16">
        <ns0:f>Q410-F410*'前提と出典'!$E$4</ns0:f>
        <ns0:v>231606.64943563717</ns0:v>
      </ns0:c>
      <ns0:c r="T410" s="7">
        <ns0:f>R410+S410</ns0:f>
        <ns0:v>1057025.6953213564</ns0:v>
      </ns0:c>
      <ns0:c r="U410" s="16">
        <ns0:f>P410-E410*'前提と出典'!$E$5</ns0:f>
        <ns0:v>723355.8052021381</ns0:v>
      </ns0:c>
      <ns0:c r="V410" s="16">
        <ns0:f>Q410-F410*'前提と出典'!$E$5</ns0:f>
        <ns0:v>201949.68057990156</ns0:v>
      </ns0:c>
      <ns0:c r="W410" s="7">
        <ns0:f>U410+V410</ns0:f>
        <ns0:v>925305.4857820397</ns0:v>
      </ns0:c>
      <ns0:c r="X410" s="16">
        <ns0:f>P410-E410*'前提と出典'!$E$6</ns0:f>
        <ns0:v>621292.5645185572</ns0:v>
      </ns0:c>
      <ns0:c r="Y410" s="16">
        <ns0:f>Q410-F410*'前提と出典'!$E$6</ns0:f>
        <ns0:v>172292.71172416594</ns0:v>
      </ns0:c>
      <ns0:c r="Z410" s="7">
        <ns0:f>X410+Y410</ns0:f>
        <ns0:v>793585.2762427231</ns0:v>
      </ns0:c>
      <ns0:c r="AA410" s="7">
        <ns0:f>IF(T410&gt;=0,A410,1001)</ns0:f>
        <ns0:v>406</ns0:v>
      </ns0:c>
      <ns0:c r="AB410" s="7">
        <ns0:f>IF(T410&lt;0,A410,0)</ns0:f>
        <ns0:v>0</ns0:v>
      </ns0:c>
      <ns0:c r="AC410" s="16">
        <ns0:f>IF(AND(OR('前提と出典'!$C$36+'前提と出典'!$C$38=0,R410&gt;=0),OR('前提と出典'!$C$37+'前提と出典'!$C$38=0,S410&gt;=0)),0,A410)</ns0:f>
        <ns0:v>0</ns0:v>
      </ns0:c>
      <ns0:c r="AD410" s="7">
        <ns0:f>IF(W410&gt;=0,A410,1001)</ns0:f>
        <ns0:v>406</ns0:v>
      </ns0:c>
      <ns0:c r="AE410" s="7">
        <ns0:f>IF(W410&lt;0,A410,0)</ns0:f>
        <ns0:v>0</ns0:v>
      </ns0:c>
      <ns0:c r="AF410" s="16">
        <ns0:f>IF(AND(OR('前提と出典'!$C$36+'前提と出典'!$C$38=0,U410&gt;=0),OR('前提と出典'!$C$37+'前提と出典'!$C$38=0,V410&gt;=0)),0,A410)</ns0:f>
        <ns0:v>0</ns0:v>
      </ns0:c>
      <ns0:c r="AG410" s="7">
        <ns0:f>IF(Z410&gt;=0,A410,1001)</ns0:f>
        <ns0:v>406</ns0:v>
      </ns0:c>
      <ns0:c r="AH410" s="4">
        <ns0:f>IF(Z410&lt;0,A410,0)</ns0:f>
        <ns0:v>0</ns0:v>
      </ns0:c>
      <ns0:c r="AI410" s="12">
        <ns0:f>IF(AND(OR('前提と出典'!$C$36+'前提と出典'!$C$38=0,X410&gt;=0),OR('前提と出典'!$C$37+'前提と出典'!$C$38=0,Y410&gt;=0)),0,A410)</ns0:f>
        <ns0:v>0</ns0:v>
      </ns0:c>
    </ns0:row>
    <ns0:row r="411" ht="24" customHeight="1">
      <ns0:c r="A411" s="4" t="n">
        <ns0:v>407</ns0:v>
      </ns0:c>
      <ns0:c r="B411" s="12">
        <ns0:f>A411*('前提と出典'!$C$36+'前提と出典'!$C$38)</ns0:f>
        <ns0:v>284.9</ns0:v>
      </ns0:c>
      <ns0:c r="C411" s="12">
        <ns0:f>A411*('前提と出典'!$C$37+'前提と出典'!$C$38)</ns0:f>
        <ns0:v>244.2</ns0:v>
      </ns0:c>
      <ns0:c r="D411" s="16">
        <ns0:f>A411*('前提と出典'!$C$36*'契約別単価'!C5+'前提と出典'!$C$37*'契約別単価'!C6+'前提と出典'!$C$38*'契約別単価'!C7)</ns0:f>
        <ns0:v>2928.5810055865923</ns0:v>
      </ns0:c>
      <ns0:c r="E411" s="16">
        <ns0:f>A411*('前提と出典'!$C$36*'契約別単価'!E5+'前提と出典'!$C$37*'契約別単価'!E6+'前提と出典'!$C$38*'契約別単価'!E7)</ns0:f>
        <ns0:v>1023146.2797590516</ns0:v>
      </ns0:c>
      <ns0:c r="F411" s="16">
        <ns0:f>A411*('前提と出典'!$C$36*'契約別単価'!F5+'前提と出典'!$C$37*'契約別単価'!F6+'前提と出典'!$C$38*'契約別単価'!F7)</ns0:f>
        <ns0:v>297300.1557705515</ns0:v>
      </ns0:c>
      <ns0:c r="G411" s="16">
        <ns0:f>A411*('前提と出典'!$C$36*'契約別単価'!G5+'前提と出典'!$C$37*'契約別単価'!G6+'前提と出典'!$C$38*'契約別単価'!G7)</ns0:f>
        <ns0:v>810134.6368715083</ns0:v>
      </ns0:c>
      <ns0:c r="H411" s="16">
        <ns0:f>A411*('前提と出典'!$C$36*'契約別単価'!H5+'前提と出典'!$C$37*'契約別単価'!H6+'前提と出典'!$C$38*'契約別単価'!H7)</ns0:f>
        <ns0:v>281157.3504393475</ns0:v>
      </ns0:c>
      <ns0:c r="I411" s="16">
        <ns0:f>A411*('前提と出典'!$C$36*'契約別単価'!I5+'前提と出典'!$C$37*'契約別単価'!I6+'前提と出典'!$C$38*'契約別単価'!I7)</ns0:f>
        <ns0:v>17173.581005586588</ns0:v>
      </ns0:c>
      <ns0:c r="J411" s="16">
        <ns0:f>A411*('前提と出典'!$C$36*'契約別単価'!J5+'前提と出典'!$C$37*'契約別単価'!J6+'前提と出典'!$C$38*'契約別単価'!J7)</ns0:f>
        <ns0:v>40003.84429009315</ns0:v>
      </ns0:c>
      <ns0:c r="K411" s="16">
        <ns0:f>A411*('前提と出典'!$C$36*'契約別単価'!K5+'前提と出典'!$C$37*'契約別単価'!K6+'前提と出典'!$C$38*'契約別単価'!K7)</ns0:f>
        <ns0:v>171470.54003724395</ns0:v>
      </ns0:c>
      <ns0:c r="L411" s="16">
        <ns0:f>A411*('前提と出典'!$C$36*'契約別単価'!L5+'前提と出典'!$C$37*'契約別単価'!L6+'前提と出典'!$C$38*'契約別単価'!L7)</ns0:f>
        <ns0:v>139611.91168131158</ns0:v>
      </ns0:c>
      <ns0:c r="M411" s="16">
        <ns0:f>IF(('前提と出典'!$C$36+'前提と出典'!$C$38)=0,0,IF(B411&lt;=10,'前提と出典'!B73+'前提と出典'!C73,IF(B411&lt;=100,'前提と出典'!B74+'前提と出典'!C74,IF(B411&lt;=500,'前提と出典'!B75+'前提と出典'!C75,'前提と出典'!B76+'前提と出典'!C76))))</ns0:f>
        <ns0:v>40000</ns0:v>
      </ns0:c>
      <ns0:c r="N411" s="16">
        <ns0:f>IF(('前提と出典'!$C$37+'前提と出典'!$C$38)=0,0,IF(C411&lt;=10,'前提と出典'!D73+'前提と出典'!E73,IF(C411&lt;=100,'前提と出典'!D74+'前提と出典'!E74,IF(C411&lt;=500,'前提と出典'!D75+'前提と出典'!E75,'前提と出典'!D76+'前提と出典'!E76))))</ns0:f>
        <ns0:v>56510.9346263078</ns0:v>
      </ns0:c>
      <ns0:c r="O411" s="16">
        <ns0:f>IF('前提と出典'!$C$36+'前提と出典'!$C$38=0,0,'前提と出典'!$B$4*IF('前提と出典'!$B$20=0,MAX('前提と出典'!$B$6,D411*'前提と出典'!$B$5),'前提と出典'!$B$6+D411*'前提と出典'!$B$5))</ns0:f>
        <ns0:v>404144.1787709498</ns0:v>
      </ns0:c>
      <ns0:c r="P411" s="16">
        <ns0:f>(E411+G411)*(1-'前提と出典'!$B$7)-I411-K411-M411-O411</ns0:f>
        <ns0:v>1134494.5038180794</ns0:v>
      </ns0:c>
      <ns0:c r="Q411" s="16">
        <ns0:f>(F411+H411)*(1-'前提と出典'!$B$7)-J411-L411-N411</ns0:f>
        <ns0:v>321506.34538863006</ns0:v>
      </ns0:c>
      <ns0:c r="R411" s="16">
        <ns0:f>P411-E411*'前提と出典'!$E$4</ns0:f>
        <ns0:v>827550.6198903641</ns0:v>
      </ns0:c>
      <ns0:c r="S411" s="16">
        <ns0:f>Q411-F411*'前提と出典'!$E$4</ns0:f>
        <ns0:v>232316.29865746468</ns0:v>
      </ns0:c>
      <ns0:c r="T411" s="7">
        <ns0:f>R411+S411</ns0:f>
        <ns0:v>1059866.9185478287</ns0:v>
      </ns0:c>
      <ns0:c r="U411" s="16">
        <ns0:f>P411-E411*'前提と出典'!$E$5</ns0:f>
        <ns0:v>725235.9919144588</ns0:v>
      </ns0:c>
      <ns0:c r="V411" s="16">
        <ns0:f>Q411-F411*'前提と出典'!$E$5</ns0:f>
        <ns0:v>202586.28308040948</ns0:v>
      </ns0:c>
      <ns0:c r="W411" s="7">
        <ns0:f>U411+V411</ns0:f>
        <ns0:v>927822.2749948683</ns0:v>
      </ns0:c>
      <ns0:c r="X411" s="16">
        <ns0:f>P411-E411*'前提と出典'!$E$6</ns0:f>
        <ns0:v>622921.3639385537</ns0:v>
      </ns0:c>
      <ns0:c r="Y411" s="16">
        <ns0:f>Q411-F411*'前提と出典'!$E$6</ns0:f>
        <ns0:v>172856.26750335432</ns0:v>
      </ns0:c>
      <ns0:c r="Z411" s="7">
        <ns0:f>X411+Y411</ns0:f>
        <ns0:v>795777.6314419081</ns0:v>
      </ns0:c>
      <ns0:c r="AA411" s="7">
        <ns0:f>IF(T411&gt;=0,A411,1001)</ns0:f>
        <ns0:v>407</ns0:v>
      </ns0:c>
      <ns0:c r="AB411" s="7">
        <ns0:f>IF(T411&lt;0,A411,0)</ns0:f>
        <ns0:v>0</ns0:v>
      </ns0:c>
      <ns0:c r="AC411" s="16">
        <ns0:f>IF(AND(OR('前提と出典'!$C$36+'前提と出典'!$C$38=0,R411&gt;=0),OR('前提と出典'!$C$37+'前提と出典'!$C$38=0,S411&gt;=0)),0,A411)</ns0:f>
        <ns0:v>0</ns0:v>
      </ns0:c>
      <ns0:c r="AD411" s="7">
        <ns0:f>IF(W411&gt;=0,A411,1001)</ns0:f>
        <ns0:v>407</ns0:v>
      </ns0:c>
      <ns0:c r="AE411" s="7">
        <ns0:f>IF(W411&lt;0,A411,0)</ns0:f>
        <ns0:v>0</ns0:v>
      </ns0:c>
      <ns0:c r="AF411" s="16">
        <ns0:f>IF(AND(OR('前提と出典'!$C$36+'前提と出典'!$C$38=0,U411&gt;=0),OR('前提と出典'!$C$37+'前提と出典'!$C$38=0,V411&gt;=0)),0,A411)</ns0:f>
        <ns0:v>0</ns0:v>
      </ns0:c>
      <ns0:c r="AG411" s="7">
        <ns0:f>IF(Z411&gt;=0,A411,1001)</ns0:f>
        <ns0:v>407</ns0:v>
      </ns0:c>
      <ns0:c r="AH411" s="4">
        <ns0:f>IF(Z411&lt;0,A411,0)</ns0:f>
        <ns0:v>0</ns0:v>
      </ns0:c>
      <ns0:c r="AI411" s="12">
        <ns0:f>IF(AND(OR('前提と出典'!$C$36+'前提と出典'!$C$38=0,X411&gt;=0),OR('前提と出典'!$C$37+'前提と出典'!$C$38=0,Y411&gt;=0)),0,A411)</ns0:f>
        <ns0:v>0</ns0:v>
      </ns0:c>
    </ns0:row>
    <ns0:row r="412" ht="24" customHeight="1">
      <ns0:c r="A412" s="4" t="n">
        <ns0:v>408</ns0:v>
      </ns0:c>
      <ns0:c r="B412" s="12">
        <ns0:f>A412*('前提と出典'!$C$36+'前提と出典'!$C$38)</ns0:f>
        <ns0:v>285.59999999999997</ns0:v>
      </ns0:c>
      <ns0:c r="C412" s="12">
        <ns0:f>A412*('前提と出典'!$C$37+'前提と出典'!$C$38)</ns0:f>
        <ns0:v>244.79999999999998</ns0:v>
      </ns0:c>
      <ns0:c r="D412" s="16">
        <ns0:f>A412*('前提と出典'!$C$36*'契約別単価'!C5+'前提と出典'!$C$37*'契約別単価'!C6+'前提と出典'!$C$38*'契約別単価'!C7)</ns0:f>
        <ns0:v>2935.776536312849</ns0:v>
      </ns0:c>
      <ns0:c r="E412" s="16">
        <ns0:f>A412*('前提と出典'!$C$36*'契約別単価'!E5+'前提と出典'!$C$37*'契約別単価'!E6+'前提と出典'!$C$38*'契約別単価'!E7)</ns0:f>
        <ns0:v>1025660.1526822926</ns0:v>
      </ns0:c>
      <ns0:c r="F412" s="16">
        <ns0:f>A412*('前提と出典'!$C$36*'契約別単価'!F5+'前提と出典'!$C$37*'契約別単価'!F6+'前提と出典'!$C$38*'契約別単価'!F7)</ns0:f>
        <ns0:v>298030.6229837469</ns0:v>
      </ns0:c>
      <ns0:c r="G412" s="16">
        <ns0:f>A412*('前提と出典'!$C$36*'契約別単価'!G5+'前提と出典'!$C$37*'契約別単価'!G6+'前提と出典'!$C$38*'契約別単価'!G7)</ns0:f>
        <ns0:v>812125.1396648044</ns0:v>
      </ns0:c>
      <ns0:c r="H412" s="16">
        <ns0:f>A412*('前提と出典'!$C$36*'契約別単価'!H5+'前提と出典'!$C$37*'契約別単価'!H6+'前提と出典'!$C$38*'契約別単価'!H7)</ns0:f>
        <ns0:v>281848.1547401813</ns0:v>
      </ns0:c>
      <ns0:c r="I412" s="16">
        <ns0:f>A412*('前提と出典'!$C$36*'契約別単価'!I5+'前提と出典'!$C$37*'契約別単価'!I6+'前提と出典'!$C$38*'契約別単価'!I7)</ns0:f>
        <ns0:v>17215.776536312846</ns0:v>
      </ns0:c>
      <ns0:c r="J412" s="16">
        <ns0:f>A412*('前提と出典'!$C$36*'契約別単価'!J5+'前提と出典'!$C$37*'契約別単価'!J6+'前提と出典'!$C$38*'契約別単価'!J7)</ns0:f>
        <ns0:v>40102.13383380345</ns0:v>
      </ns0:c>
      <ns0:c r="K412" s="16">
        <ns0:f>A412*('前提と出典'!$C$36*'契約別単価'!K5+'前提と出典'!$C$37*'契約別単価'!K6+'前提と出典'!$C$38*'契約別単価'!K7)</ns0:f>
        <ns0:v>171891.84357541898</ns0:v>
      </ns0:c>
      <ns0:c r="L412" s="16">
        <ns0:f>A412*('前提と出典'!$C$36*'契約別単価'!L5+'前提と出典'!$C$37*'契約別単価'!L6+'前提と出典'!$C$38*'契約別単価'!L7)</ns0:f>
        <ns0:v>139954.93849133936</ns0:v>
      </ns0:c>
      <ns0:c r="M412" s="16">
        <ns0:f>IF(('前提と出典'!$C$36+'前提と出典'!$C$38)=0,0,IF(B412&lt;=10,'前提と出典'!B73+'前提と出典'!C73,IF(B412&lt;=100,'前提と出典'!B74+'前提と出典'!C74,IF(B412&lt;=500,'前提と出典'!B75+'前提と出典'!C75,'前提と出典'!B76+'前提と出典'!C76))))</ns0:f>
        <ns0:v>40000</ns0:v>
      </ns0:c>
      <ns0:c r="N412" s="16">
        <ns0:f>IF(('前提と出典'!$C$37+'前提と出典'!$C$38)=0,0,IF(C412&lt;=10,'前提と出典'!D73+'前提と出典'!E73,IF(C412&lt;=100,'前提と出典'!D74+'前提と出典'!E74,IF(C412&lt;=500,'前提と出典'!D75+'前提と出典'!E75,'前提と出典'!D76+'前提と出典'!E76))))</ns0:f>
        <ns0:v>56510.9346263078</ns0:v>
      </ns0:c>
      <ns0:c r="O412" s="16">
        <ns0:f>IF('前提と出典'!$C$36+'前提と出典'!$C$38=0,0,'前提と出典'!$B$4*IF('前提と出典'!$B$20=0,MAX('前提と出典'!$B$6,D412*'前提と出典'!$B$5),'前提と出典'!$B$6+D412*'前提と出典'!$B$5))</ns0:f>
        <ns0:v>405137.1620111732</ns0:v>
      </ns0:c>
      <ns0:c r="P412" s="16">
        <ns0:f>(E412+G412)*(1-'前提と出典'!$B$7)-I412-K412-M412-O412</ns0:f>
        <ns0:v>1137380.2396996967</ns0:v>
      </ns0:c>
      <ns0:c r="Q412" s="16">
        <ns0:f>(F412+H412)*(1-'前提と出典'!$B$7)-J412-L412-N412</ns0:f>
        <ns0:v>322435.1347744162</ns0:v>
      </ns0:c>
      <ns0:c r="R412" s="16">
        <ns0:f>P412-E412*'前提と出典'!$E$4</ns0:f>
        <ns0:v>829682.1938950088</ns0:v>
      </ns0:c>
      <ns0:c r="S412" s="16">
        <ns0:f>Q412-F412*'前提と出典'!$E$4</ns0:f>
        <ns0:v>233025.94787929207</ns0:v>
      </ns0:c>
      <ns0:c r="T412" s="7">
        <ns0:f>R412+S412</ns0:f>
        <ns0:v>1062708.141774301</ns0:v>
      </ns0:c>
      <ns0:c r="U412" s="16">
        <ns0:f>P412-E412*'前提と出典'!$E$5</ns0:f>
        <ns0:v>727116.1786267796</ns0:v>
      </ns0:c>
      <ns0:c r="V412" s="16">
        <ns0:f>Q412-F412*'前提と出典'!$E$5</ns0:f>
        <ns0:v>203222.88558091744</ns0:v>
      </ns0:c>
      <ns0:c r="W412" s="7">
        <ns0:f>U412+V412</ns0:f>
        <ns0:v>930339.064207697</ns0:v>
      </ns0:c>
      <ns0:c r="X412" s="16">
        <ns0:f>P412-E412*'前提と出典'!$E$6</ns0:f>
        <ns0:v>624550.1633585502</ns0:v>
      </ns0:c>
      <ns0:c r="Y412" s="16">
        <ns0:f>Q412-F412*'前提と出典'!$E$6</ns0:f>
        <ns0:v>173419.82328254273</ns0:v>
      </ns0:c>
      <ns0:c r="Z412" s="7">
        <ns0:f>X412+Y412</ns0:f>
        <ns0:v>797969.9866410929</ns0:v>
      </ns0:c>
      <ns0:c r="AA412" s="7">
        <ns0:f>IF(T412&gt;=0,A412,1001)</ns0:f>
        <ns0:v>408</ns0:v>
      </ns0:c>
      <ns0:c r="AB412" s="7">
        <ns0:f>IF(T412&lt;0,A412,0)</ns0:f>
        <ns0:v>0</ns0:v>
      </ns0:c>
      <ns0:c r="AC412" s="16">
        <ns0:f>IF(AND(OR('前提と出典'!$C$36+'前提と出典'!$C$38=0,R412&gt;=0),OR('前提と出典'!$C$37+'前提と出典'!$C$38=0,S412&gt;=0)),0,A412)</ns0:f>
        <ns0:v>0</ns0:v>
      </ns0:c>
      <ns0:c r="AD412" s="7">
        <ns0:f>IF(W412&gt;=0,A412,1001)</ns0:f>
        <ns0:v>408</ns0:v>
      </ns0:c>
      <ns0:c r="AE412" s="7">
        <ns0:f>IF(W412&lt;0,A412,0)</ns0:f>
        <ns0:v>0</ns0:v>
      </ns0:c>
      <ns0:c r="AF412" s="16">
        <ns0:f>IF(AND(OR('前提と出典'!$C$36+'前提と出典'!$C$38=0,U412&gt;=0),OR('前提と出典'!$C$37+'前提と出典'!$C$38=0,V412&gt;=0)),0,A412)</ns0:f>
        <ns0:v>0</ns0:v>
      </ns0:c>
      <ns0:c r="AG412" s="7">
        <ns0:f>IF(Z412&gt;=0,A412,1001)</ns0:f>
        <ns0:v>408</ns0:v>
      </ns0:c>
      <ns0:c r="AH412" s="4">
        <ns0:f>IF(Z412&lt;0,A412,0)</ns0:f>
        <ns0:v>0</ns0:v>
      </ns0:c>
      <ns0:c r="AI412" s="12">
        <ns0:f>IF(AND(OR('前提と出典'!$C$36+'前提と出典'!$C$38=0,X412&gt;=0),OR('前提と出典'!$C$37+'前提と出典'!$C$38=0,Y412&gt;=0)),0,A412)</ns0:f>
        <ns0:v>0</ns0:v>
      </ns0:c>
    </ns0:row>
    <ns0:row r="413" ht="24" customHeight="1">
      <ns0:c r="A413" s="4" t="n">
        <ns0:v>409</ns0:v>
      </ns0:c>
      <ns0:c r="B413" s="12">
        <ns0:f>A413*('前提と出典'!$C$36+'前提と出典'!$C$38)</ns0:f>
        <ns0:v>286.29999999999995</ns0:v>
      </ns0:c>
      <ns0:c r="C413" s="12">
        <ns0:f>A413*('前提と出典'!$C$37+'前提と出典'!$C$38)</ns0:f>
        <ns0:v>245.39999999999998</ns0:v>
      </ns0:c>
      <ns0:c r="D413" s="16">
        <ns0:f>A413*('前提と出典'!$C$36*'契約別単価'!C5+'前提と出典'!$C$37*'契約別単価'!C6+'前提と出典'!$C$38*'契約別単価'!C7)</ns0:f>
        <ns0:v>2942.972067039106</ns0:v>
      </ns0:c>
      <ns0:c r="E413" s="16">
        <ns0:f>A413*('前提と出典'!$C$36*'契約別単価'!E5+'前提と出典'!$C$37*'契約別単価'!E6+'前提と出典'!$C$38*'契約別単価'!E7)</ns0:f>
        <ns0:v>1028174.0256055335</ns0:v>
      </ns0:c>
      <ns0:c r="F413" s="16">
        <ns0:f>A413*('前提と出典'!$C$36*'契約別単価'!F5+'前提と出典'!$C$37*'契約別単価'!F6+'前提と出典'!$C$38*'契約別単価'!F7)</ns0:f>
        <ns0:v>298761.0901969424</ns0:v>
      </ns0:c>
      <ns0:c r="G413" s="16">
        <ns0:f>A413*('前提と出典'!$C$36*'契約別単価'!G5+'前提と出典'!$C$37*'契約別単価'!G6+'前提と出典'!$C$38*'契約別単価'!G7)</ns0:f>
        <ns0:v>814115.6424581006</ns0:v>
      </ns0:c>
      <ns0:c r="H413" s="16">
        <ns0:f>A413*('前提と出典'!$C$36*'契約別単価'!H5+'前提と出典'!$C$37*'契約別単価'!H6+'前提と出典'!$C$38*'契約別単価'!H7)</ns0:f>
        <ns0:v>282538.95904101507</ns0:v>
      </ns0:c>
      <ns0:c r="I413" s="16">
        <ns0:f>A413*('前提と出典'!$C$36*'契約別単価'!I5+'前提と出典'!$C$37*'契約別単価'!I6+'前提と出典'!$C$38*'契約別単価'!I7)</ns0:f>
        <ns0:v>17257.972067039103</ns0:v>
      </ns0:c>
      <ns0:c r="J413" s="16">
        <ns0:f>A413*('前提と出典'!$C$36*'契約別単価'!J5+'前提と出典'!$C$37*'契約別単価'!J6+'前提と出典'!$C$38*'契約別単価'!J7)</ns0:f>
        <ns0:v>40200.42337751375</ns0:v>
      </ns0:c>
      <ns0:c r="K413" s="16">
        <ns0:f>A413*('前提と出典'!$C$36*'契約別単価'!K5+'前提と出典'!$C$37*'契約別単価'!K6+'前提と出典'!$C$38*'契約別単価'!K7)</ns0:f>
        <ns0:v>172313.14711359402</ns0:v>
      </ns0:c>
      <ns0:c r="L413" s="16">
        <ns0:f>A413*('前提と出典'!$C$36*'契約別単価'!L5+'前提と出典'!$C$37*'契約別単価'!L6+'前提と出典'!$C$38*'契約別単価'!L7)</ns0:f>
        <ns0:v>140297.96530136716</ns0:v>
      </ns0:c>
      <ns0:c r="M413" s="16">
        <ns0:f>IF(('前提と出典'!$C$36+'前提と出典'!$C$38)=0,0,IF(B413&lt;=10,'前提と出典'!B73+'前提と出典'!C73,IF(B413&lt;=100,'前提と出典'!B74+'前提と出典'!C74,IF(B413&lt;=500,'前提と出典'!B75+'前提と出典'!C75,'前提と出典'!B76+'前提と出典'!C76))))</ns0:f>
        <ns0:v>40000</ns0:v>
      </ns0:c>
      <ns0:c r="N413" s="16">
        <ns0:f>IF(('前提と出典'!$C$37+'前提と出典'!$C$38)=0,0,IF(C413&lt;=10,'前提と出典'!D73+'前提と出典'!E73,IF(C413&lt;=100,'前提と出典'!D74+'前提と出典'!E74,IF(C413&lt;=500,'前提と出典'!D75+'前提と出典'!E75,'前提と出典'!D76+'前提と出典'!E76))))</ns0:f>
        <ns0:v>56510.9346263078</ns0:v>
      </ns0:c>
      <ns0:c r="O413" s="16">
        <ns0:f>IF('前提と出典'!$C$36+'前提と出典'!$C$38=0,0,'前提と出典'!$B$4*IF('前提と出典'!$B$20=0,MAX('前提と出典'!$B$6,D413*'前提と出典'!$B$5),'前提と出典'!$B$6+D413*'前提と出典'!$B$5))</ns0:f>
        <ns0:v>406130.1452513967</ns0:v>
      </ns0:c>
      <ns0:c r="P413" s="16">
        <ns0:f>(E413+G413)*(1-'前提と出典'!$B$7)-I413-K413-M413-O413</ns0:f>
        <ns0:v>1140265.9755813137</ns0:v>
      </ns0:c>
      <ns0:c r="Q413" s="16">
        <ns0:f>(F413+H413)*(1-'前提と出典'!$B$7)-J413-L413-N413</ns0:f>
        <ns0:v>323363.92416020227</ns0:v>
      </ns0:c>
      <ns0:c r="R413" s="16">
        <ns0:f>P413-E413*'前提と出典'!$E$4</ns0:f>
        <ns0:v>831813.7678996535</ns0:v>
      </ns0:c>
      <ns0:c r="S413" s="16">
        <ns0:f>Q413-F413*'前提と出典'!$E$4</ns0:f>
        <ns0:v>233735.59710111958</ns0:v>
      </ns0:c>
      <ns0:c r="T413" s="7">
        <ns0:f>R413+S413</ns0:f>
        <ns0:v>1065549.3650007732</ns0:v>
      </ns0:c>
      <ns0:c r="U413" s="16">
        <ns0:f>P413-E413*'前提と出典'!$E$5</ns0:f>
        <ns0:v>728996.3653391002</ns0:v>
      </ns0:c>
      <ns0:c r="V413" s="16">
        <ns0:f>Q413-F413*'前提と出典'!$E$5</ns0:f>
        <ns0:v>203859.4880814253</ns0:v>
      </ns0:c>
      <ns0:c r="W413" s="7">
        <ns0:f>U413+V413</ns0:f>
        <ns0:v>932855.8534205256</ns0:v>
      </ns0:c>
      <ns0:c r="X413" s="16">
        <ns0:f>P413-E413*'前提と出典'!$E$6</ns0:f>
        <ns0:v>626178.962778547</ns0:v>
      </ns0:c>
      <ns0:c r="Y413" s="16">
        <ns0:f>Q413-F413*'前提と出典'!$E$6</ns0:f>
        <ns0:v>173983.37906173104</ns0:v>
      </ns0:c>
      <ns0:c r="Z413" s="7">
        <ns0:f>X413+Y413</ns0:f>
        <ns0:v>800162.341840278</ns0:v>
      </ns0:c>
      <ns0:c r="AA413" s="7">
        <ns0:f>IF(T413&gt;=0,A413,1001)</ns0:f>
        <ns0:v>409</ns0:v>
      </ns0:c>
      <ns0:c r="AB413" s="7">
        <ns0:f>IF(T413&lt;0,A413,0)</ns0:f>
        <ns0:v>0</ns0:v>
      </ns0:c>
      <ns0:c r="AC413" s="16">
        <ns0:f>IF(AND(OR('前提と出典'!$C$36+'前提と出典'!$C$38=0,R413&gt;=0),OR('前提と出典'!$C$37+'前提と出典'!$C$38=0,S413&gt;=0)),0,A413)</ns0:f>
        <ns0:v>0</ns0:v>
      </ns0:c>
      <ns0:c r="AD413" s="7">
        <ns0:f>IF(W413&gt;=0,A413,1001)</ns0:f>
        <ns0:v>409</ns0:v>
      </ns0:c>
      <ns0:c r="AE413" s="7">
        <ns0:f>IF(W413&lt;0,A413,0)</ns0:f>
        <ns0:v>0</ns0:v>
      </ns0:c>
      <ns0:c r="AF413" s="16">
        <ns0:f>IF(AND(OR('前提と出典'!$C$36+'前提と出典'!$C$38=0,U413&gt;=0),OR('前提と出典'!$C$37+'前提と出典'!$C$38=0,V413&gt;=0)),0,A413)</ns0:f>
        <ns0:v>0</ns0:v>
      </ns0:c>
      <ns0:c r="AG413" s="7">
        <ns0:f>IF(Z413&gt;=0,A413,1001)</ns0:f>
        <ns0:v>409</ns0:v>
      </ns0:c>
      <ns0:c r="AH413" s="4">
        <ns0:f>IF(Z413&lt;0,A413,0)</ns0:f>
        <ns0:v>0</ns0:v>
      </ns0:c>
      <ns0:c r="AI413" s="12">
        <ns0:f>IF(AND(OR('前提と出典'!$C$36+'前提と出典'!$C$38=0,X413&gt;=0),OR('前提と出典'!$C$37+'前提と出典'!$C$38=0,Y413&gt;=0)),0,A413)</ns0:f>
        <ns0:v>0</ns0:v>
      </ns0:c>
    </ns0:row>
    <ns0:row r="414" ht="24" customHeight="1">
      <ns0:c r="A414" s="4" t="n">
        <ns0:v>410</ns0:v>
      </ns0:c>
      <ns0:c r="B414" s="12">
        <ns0:f>A414*('前提と出典'!$C$36+'前提と出典'!$C$38)</ns0:f>
        <ns0:v>287</ns0:v>
      </ns0:c>
      <ns0:c r="C414" s="12">
        <ns0:f>A414*('前提と出典'!$C$37+'前提と出典'!$C$38)</ns0:f>
        <ns0:v>246</ns0:v>
      </ns0:c>
      <ns0:c r="D414" s="16">
        <ns0:f>A414*('前提と出典'!$C$36*'契約別単価'!C5+'前提と出典'!$C$37*'契約別単価'!C6+'前提と出典'!$C$38*'契約別単価'!C7)</ns0:f>
        <ns0:v>2950.167597765363</ns0:v>
      </ns0:c>
      <ns0:c r="E414" s="16">
        <ns0:f>A414*('前提と出典'!$C$36*'契約別単価'!E5+'前提と出典'!$C$37*'契約別単価'!E6+'前提と出典'!$C$38*'契約別単価'!E7)</ns0:f>
        <ns0:v>1030687.8985287744</ns0:v>
      </ns0:c>
      <ns0:c r="F414" s="16">
        <ns0:f>A414*('前提と出典'!$C$36*'契約別単価'!F5+'前提と出典'!$C$37*'契約別単価'!F6+'前提と出典'!$C$38*'契約別単価'!F7)</ns0:f>
        <ns0:v>299491.55741013784</ns0:v>
      </ns0:c>
      <ns0:c r="G414" s="16">
        <ns0:f>A414*('前提と出典'!$C$36*'契約別単価'!G5+'前提と出典'!$C$37*'契約別単価'!G6+'前提と出典'!$C$38*'契約別単価'!G7)</ns0:f>
        <ns0:v>816106.1452513966</ns0:v>
      </ns0:c>
      <ns0:c r="H414" s="16">
        <ns0:f>A414*('前提と出典'!$C$36*'契約別単価'!H5+'前提と出典'!$C$37*'契約別単価'!H6+'前提と出典'!$C$38*'契約別単価'!H7)</ns0:f>
        <ns0:v>283229.76334184885</ns0:v>
      </ns0:c>
      <ns0:c r="I414" s="16">
        <ns0:f>A414*('前提と出典'!$C$36*'契約別単価'!I5+'前提と出典'!$C$37*'契約別単価'!I6+'前提と出典'!$C$38*'契約別単価'!I7)</ns0:f>
        <ns0:v>17300.16759776536</ns0:v>
      </ns0:c>
      <ns0:c r="J414" s="16">
        <ns0:f>A414*('前提と出典'!$C$36*'契約別単価'!J5+'前提と出典'!$C$37*'契約別単価'!J6+'前提と出典'!$C$38*'契約別単価'!J7)</ns0:f>
        <ns0:v>40298.712921224054</ns0:v>
      </ns0:c>
      <ns0:c r="K414" s="16">
        <ns0:f>A414*('前提と出典'!$C$36*'契約別単価'!K5+'前提と出典'!$C$37*'契約別単価'!K6+'前提と出典'!$C$38*'契約別単価'!K7)</ns0:f>
        <ns0:v>172734.4506517691</ns0:v>
      </ns0:c>
      <ns0:c r="L414" s="16">
        <ns0:f>A414*('前提と出典'!$C$36*'契約別単価'!L5+'前提と出典'!$C$37*'契約別単価'!L6+'前提と出典'!$C$38*'契約別単価'!L7)</ns0:f>
        <ns0:v>140640.99211139497</ns0:v>
      </ns0:c>
      <ns0:c r="M414" s="16">
        <ns0:f>IF(('前提と出典'!$C$36+'前提と出典'!$C$38)=0,0,IF(B414&lt;=10,'前提と出典'!B73+'前提と出典'!C73,IF(B414&lt;=100,'前提と出典'!B74+'前提と出典'!C74,IF(B414&lt;=500,'前提と出典'!B75+'前提と出典'!C75,'前提と出典'!B76+'前提と出典'!C76))))</ns0:f>
        <ns0:v>40000</ns0:v>
      </ns0:c>
      <ns0:c r="N414" s="16">
        <ns0:f>IF(('前提と出典'!$C$37+'前提と出典'!$C$38)=0,0,IF(C414&lt;=10,'前提と出典'!D73+'前提と出典'!E73,IF(C414&lt;=100,'前提と出典'!D74+'前提と出典'!E74,IF(C414&lt;=500,'前提と出典'!D75+'前提と出典'!E75,'前提と出典'!D76+'前提と出典'!E76))))</ns0:f>
        <ns0:v>56510.9346263078</ns0:v>
      </ns0:c>
      <ns0:c r="O414" s="16">
        <ns0:f>IF('前提と出典'!$C$36+'前提と出典'!$C$38=0,0,'前提と出典'!$B$4*IF('前提と出典'!$B$20=0,MAX('前提と出典'!$B$6,D414*'前提と出典'!$B$5),'前提と出典'!$B$6+D414*'前提と出典'!$B$5))</ns0:f>
        <ns0:v>407123.1284916201</ns0:v>
      </ns0:c>
      <ns0:c r="P414" s="16">
        <ns0:f>(E414+G414)*(1-'前提と出典'!$B$7)-I414-K414-M414-O414</ns0:f>
        <ns0:v>1143151.7114629303</ns0:v>
      </ns0:c>
      <ns0:c r="Q414" s="16">
        <ns0:f>(F414+H414)*(1-'前提と出典'!$B$7)-J414-L414-N414</ns0:f>
        <ns0:v>324292.7135459883</ns0:v>
      </ns0:c>
      <ns0:c r="R414" s="16">
        <ns0:f>P414-E414*'前提と出典'!$E$4</ns0:f>
        <ns0:v>833945.3419042979</ns0:v>
      </ns0:c>
      <ns0:c r="S414" s="16">
        <ns0:f>Q414-F414*'前提と出典'!$E$4</ns0:f>
        <ns0:v>234445.24632294697</ns0:v>
      </ns0:c>
      <ns0:c r="T414" s="7">
        <ns0:f>R414+S414</ns0:f>
        <ns0:v>1068390.588227245</ns0:v>
      </ns0:c>
      <ns0:c r="U414" s="16">
        <ns0:f>P414-E414*'前提と出典'!$E$5</ns0:f>
        <ns0:v>730876.5520514206</ns0:v>
      </ns0:c>
      <ns0:c r="V414" s="16">
        <ns0:f>Q414-F414*'前提と出典'!$E$5</ns0:f>
        <ns0:v>204496.09058193318</ns0:v>
      </ns0:c>
      <ns0:c r="W414" s="7">
        <ns0:f>U414+V414</ns0:f>
        <ns0:v>935372.6426333537</ns0:v>
      </ns0:c>
      <ns0:c r="X414" s="16">
        <ns0:f>P414-E414*'前提と出典'!$E$6</ns0:f>
        <ns0:v>627807.7621985432</ns0:v>
      </ns0:c>
      <ns0:c r="Y414" s="16">
        <ns0:f>Q414-F414*'前提と出典'!$E$6</ns0:f>
        <ns0:v>174546.93484091942</ns0:v>
      </ns0:c>
      <ns0:c r="Z414" s="7">
        <ns0:f>X414+Y414</ns0:f>
        <ns0:v>802354.6970394626</ns0:v>
      </ns0:c>
      <ns0:c r="AA414" s="7">
        <ns0:f>IF(T414&gt;=0,A414,1001)</ns0:f>
        <ns0:v>410</ns0:v>
      </ns0:c>
      <ns0:c r="AB414" s="7">
        <ns0:f>IF(T414&lt;0,A414,0)</ns0:f>
        <ns0:v>0</ns0:v>
      </ns0:c>
      <ns0:c r="AC414" s="16">
        <ns0:f>IF(AND(OR('前提と出典'!$C$36+'前提と出典'!$C$38=0,R414&gt;=0),OR('前提と出典'!$C$37+'前提と出典'!$C$38=0,S414&gt;=0)),0,A414)</ns0:f>
        <ns0:v>0</ns0:v>
      </ns0:c>
      <ns0:c r="AD414" s="7">
        <ns0:f>IF(W414&gt;=0,A414,1001)</ns0:f>
        <ns0:v>410</ns0:v>
      </ns0:c>
      <ns0:c r="AE414" s="7">
        <ns0:f>IF(W414&lt;0,A414,0)</ns0:f>
        <ns0:v>0</ns0:v>
      </ns0:c>
      <ns0:c r="AF414" s="16">
        <ns0:f>IF(AND(OR('前提と出典'!$C$36+'前提と出典'!$C$38=0,U414&gt;=0),OR('前提と出典'!$C$37+'前提と出典'!$C$38=0,V414&gt;=0)),0,A414)</ns0:f>
        <ns0:v>0</ns0:v>
      </ns0:c>
      <ns0:c r="AG414" s="7">
        <ns0:f>IF(Z414&gt;=0,A414,1001)</ns0:f>
        <ns0:v>410</ns0:v>
      </ns0:c>
      <ns0:c r="AH414" s="4">
        <ns0:f>IF(Z414&lt;0,A414,0)</ns0:f>
        <ns0:v>0</ns0:v>
      </ns0:c>
      <ns0:c r="AI414" s="12">
        <ns0:f>IF(AND(OR('前提と出典'!$C$36+'前提と出典'!$C$38=0,X414&gt;=0),OR('前提と出典'!$C$37+'前提と出典'!$C$38=0,Y414&gt;=0)),0,A414)</ns0:f>
        <ns0:v>0</ns0:v>
      </ns0:c>
    </ns0:row>
    <ns0:row r="415" ht="24" customHeight="1">
      <ns0:c r="A415" s="4" t="n">
        <ns0:v>411</ns0:v>
      </ns0:c>
      <ns0:c r="B415" s="12">
        <ns0:f>A415*('前提と出典'!$C$36+'前提と出典'!$C$38)</ns0:f>
        <ns0:v>287.7</ns0:v>
      </ns0:c>
      <ns0:c r="C415" s="12">
        <ns0:f>A415*('前提と出典'!$C$37+'前提と出典'!$C$38)</ns0:f>
        <ns0:v>246.6</ns0:v>
      </ns0:c>
      <ns0:c r="D415" s="16">
        <ns0:f>A415*('前提と出典'!$C$36*'契約別単価'!C5+'前提と出典'!$C$37*'契約別単価'!C6+'前提と出典'!$C$38*'契約別単価'!C7)</ns0:f>
        <ns0:v>2957.36312849162</ns0:v>
      </ns0:c>
      <ns0:c r="E415" s="16">
        <ns0:f>A415*('前提と出典'!$C$36*'契約別単価'!E5+'前提と出典'!$C$37*'契約別単価'!E6+'前提と出典'!$C$38*'契約別単価'!E7)</ns0:f>
        <ns0:v>1033201.7714520154</ns0:v>
      </ns0:c>
      <ns0:c r="F415" s="16">
        <ns0:f>A415*('前提と出典'!$C$36*'契約別単価'!F5+'前提と出典'!$C$37*'契約別単価'!F6+'前提と出典'!$C$38*'契約別単価'!F7)</ns0:f>
        <ns0:v>300222.0246233333</ns0:v>
      </ns0:c>
      <ns0:c r="G415" s="16">
        <ns0:f>A415*('前提と出典'!$C$36*'契約別単価'!G5+'前提と出典'!$C$37*'契約別単価'!G6+'前提と出典'!$C$38*'契約別単価'!G7)</ns0:f>
        <ns0:v>818096.6480446927</ns0:v>
      </ns0:c>
      <ns0:c r="H415" s="16">
        <ns0:f>A415*('前提と出典'!$C$36*'契約別単価'!H5+'前提と出典'!$C$37*'契約別単価'!H6+'前提と出典'!$C$38*'契約別単価'!H7)</ns0:f>
        <ns0:v>283920.56764268264</ns0:v>
      </ns0:c>
      <ns0:c r="I415" s="16">
        <ns0:f>A415*('前提と出典'!$C$36*'契約別単価'!I5+'前提と出典'!$C$37*'契約別単価'!I6+'前提と出典'!$C$38*'契約別単価'!I7)</ns0:f>
        <ns0:v>17342.363128491615</ns0:v>
      </ns0:c>
      <ns0:c r="J415" s="16">
        <ns0:f>A415*('前提と出典'!$C$36*'契約別単価'!J5+'前提と出典'!$C$37*'契約別単価'!J6+'前提と出典'!$C$38*'契約別単価'!J7)</ns0:f>
        <ns0:v>40397.002464934354</ns0:v>
      </ns0:c>
      <ns0:c r="K415" s="16">
        <ns0:f>A415*('前提と出典'!$C$36*'契約別単価'!K5+'前提と出典'!$C$37*'契約別単価'!K6+'前提と出典'!$C$38*'契約別単価'!K7)</ns0:f>
        <ns0:v>173155.75418994413</ns0:v>
      </ns0:c>
      <ns0:c r="L415" s="16">
        <ns0:f>A415*('前提と出典'!$C$36*'契約別単価'!L5+'前提と出典'!$C$37*'契約別単価'!L6+'前提と出典'!$C$38*'契約別単価'!L7)</ns0:f>
        <ns0:v>140984.01892142274</ns0:v>
      </ns0:c>
      <ns0:c r="M415" s="16">
        <ns0:f>IF(('前提と出典'!$C$36+'前提と出典'!$C$38)=0,0,IF(B415&lt;=10,'前提と出典'!B73+'前提と出典'!C73,IF(B415&lt;=100,'前提と出典'!B74+'前提と出典'!C74,IF(B415&lt;=500,'前提と出典'!B75+'前提と出典'!C75,'前提と出典'!B76+'前提と出典'!C76))))</ns0:f>
        <ns0:v>40000</ns0:v>
      </ns0:c>
      <ns0:c r="N415" s="16">
        <ns0:f>IF(('前提と出典'!$C$37+'前提と出典'!$C$38)=0,0,IF(C415&lt;=10,'前提と出典'!D73+'前提と出典'!E73,IF(C415&lt;=100,'前提と出典'!D74+'前提と出典'!E74,IF(C415&lt;=500,'前提と出典'!D75+'前提と出典'!E75,'前提と出典'!D76+'前提と出典'!E76))))</ns0:f>
        <ns0:v>56510.9346263078</ns0:v>
      </ns0:c>
      <ns0:c r="O415" s="16">
        <ns0:f>IF('前提と出典'!$C$36+'前提と出典'!$C$38=0,0,'前提と出典'!$B$4*IF('前提と出典'!$B$20=0,MAX('前提と出典'!$B$6,D415*'前提と出典'!$B$5),'前提と出典'!$B$6+D415*'前提と出典'!$B$5))</ns0:f>
        <ns0:v>408116.11173184356</ns0:v>
      </ns0:c>
      <ns0:c r="P415" s="16">
        <ns0:f>(E415+G415)*(1-'前提と出典'!$B$7)-I415-K415-M415-O415</ns0:f>
        <ns0:v>1146037.4473445471</ns0:v>
      </ns0:c>
      <ns0:c r="Q415" s="16">
        <ns0:f>(F415+H415)*(1-'前提と出典'!$B$7)-J415-L415-N415</ns0:f>
        <ns0:v>325221.5029317745</ns0:v>
      </ns0:c>
      <ns0:c r="R415" s="16">
        <ns0:f>P415-E415*'前提と出典'!$E$4</ns0:f>
        <ns0:v>836076.9159089425</ns0:v>
      </ns0:c>
      <ns0:c r="S415" s="16">
        <ns0:f>Q415-F415*'前提と出典'!$E$4</ns0:f>
        <ns0:v>235154.89554477448</ns0:v>
      </ns0:c>
      <ns0:c r="T415" s="7">
        <ns0:f>R415+S415</ns0:f>
        <ns0:v>1071231.8114537168</ns0:v>
      </ns0:c>
      <ns0:c r="U415" s="16">
        <ns0:f>P415-E415*'前提と出典'!$E$5</ns0:f>
        <ns0:v>732756.738763741</ns0:v>
      </ns0:c>
      <ns0:c r="V415" s="16">
        <ns0:f>Q415-F415*'前提と出典'!$E$5</ns0:f>
        <ns0:v>205132.69308244114</ns0:v>
      </ns0:c>
      <ns0:c r="W415" s="7">
        <ns0:f>U415+V415</ns0:f>
        <ns0:v>937889.4318461821</ns0:v>
      </ns0:c>
      <ns0:c r="X415" s="16">
        <ns0:f>P415-E415*'前提と出典'!$E$6</ns0:f>
        <ns0:v>629436.5616185395</ns0:v>
      </ns0:c>
      <ns0:c r="Y415" s="16">
        <ns0:f>Q415-F415*'前提と出典'!$E$6</ns0:f>
        <ns0:v>175110.49062010783</ns0:v>
      </ns0:c>
      <ns0:c r="Z415" s="7">
        <ns0:f>X415+Y415</ns0:f>
        <ns0:v>804547.0522386474</ns0:v>
      </ns0:c>
      <ns0:c r="AA415" s="7">
        <ns0:f>IF(T415&gt;=0,A415,1001)</ns0:f>
        <ns0:v>411</ns0:v>
      </ns0:c>
      <ns0:c r="AB415" s="7">
        <ns0:f>IF(T415&lt;0,A415,0)</ns0:f>
        <ns0:v>0</ns0:v>
      </ns0:c>
      <ns0:c r="AC415" s="16">
        <ns0:f>IF(AND(OR('前提と出典'!$C$36+'前提と出典'!$C$38=0,R415&gt;=0),OR('前提と出典'!$C$37+'前提と出典'!$C$38=0,S415&gt;=0)),0,A415)</ns0:f>
        <ns0:v>0</ns0:v>
      </ns0:c>
      <ns0:c r="AD415" s="7">
        <ns0:f>IF(W415&gt;=0,A415,1001)</ns0:f>
        <ns0:v>411</ns0:v>
      </ns0:c>
      <ns0:c r="AE415" s="7">
        <ns0:f>IF(W415&lt;0,A415,0)</ns0:f>
        <ns0:v>0</ns0:v>
      </ns0:c>
      <ns0:c r="AF415" s="16">
        <ns0:f>IF(AND(OR('前提と出典'!$C$36+'前提と出典'!$C$38=0,U415&gt;=0),OR('前提と出典'!$C$37+'前提と出典'!$C$38=0,V415&gt;=0)),0,A415)</ns0:f>
        <ns0:v>0</ns0:v>
      </ns0:c>
      <ns0:c r="AG415" s="7">
        <ns0:f>IF(Z415&gt;=0,A415,1001)</ns0:f>
        <ns0:v>411</ns0:v>
      </ns0:c>
      <ns0:c r="AH415" s="4">
        <ns0:f>IF(Z415&lt;0,A415,0)</ns0:f>
        <ns0:v>0</ns0:v>
      </ns0:c>
      <ns0:c r="AI415" s="12">
        <ns0:f>IF(AND(OR('前提と出典'!$C$36+'前提と出典'!$C$38=0,X415&gt;=0),OR('前提と出典'!$C$37+'前提と出典'!$C$38=0,Y415&gt;=0)),0,A415)</ns0:f>
        <ns0:v>0</ns0:v>
      </ns0:c>
    </ns0:row>
    <ns0:row r="416" ht="24" customHeight="1">
      <ns0:c r="A416" s="4" t="n">
        <ns0:v>412</ns0:v>
      </ns0:c>
      <ns0:c r="B416" s="12">
        <ns0:f>A416*('前提と出典'!$C$36+'前提と出典'!$C$38)</ns0:f>
        <ns0:v>288.4</ns0:v>
      </ns0:c>
      <ns0:c r="C416" s="12">
        <ns0:f>A416*('前提と出典'!$C$37+'前提と出典'!$C$38)</ns0:f>
        <ns0:v>247.2</ns0:v>
      </ns0:c>
      <ns0:c r="D416" s="16">
        <ns0:f>A416*('前提と出典'!$C$36*'契約別単価'!C5+'前提と出典'!$C$37*'契約別単価'!C6+'前提と出典'!$C$38*'契約別単価'!C7)</ns0:f>
        <ns0:v>2964.558659217877</ns0:v>
      </ns0:c>
      <ns0:c r="E416" s="16">
        <ns0:f>A416*('前提と出典'!$C$36*'契約別単価'!E5+'前提と出典'!$C$37*'契約別単価'!E6+'前提と出典'!$C$38*'契約別単価'!E7)</ns0:f>
        <ns0:v>1035715.6443752563</ns0:v>
      </ns0:c>
      <ns0:c r="F416" s="16">
        <ns0:f>A416*('前提と出典'!$C$36*'契約別単価'!F5+'前提と出典'!$C$37*'契約別単価'!F6+'前提と出典'!$C$38*'契約別単価'!F7)</ns0:f>
        <ns0:v>300952.49183652876</ns0:v>
      </ns0:c>
      <ns0:c r="G416" s="16">
        <ns0:f>A416*('前提と出典'!$C$36*'契約別単価'!G5+'前提と出典'!$C$37*'契約別単価'!G6+'前提と出典'!$C$38*'契約別単価'!G7)</ns0:f>
        <ns0:v>820087.1508379888</ns0:v>
      </ns0:c>
      <ns0:c r="H416" s="16">
        <ns0:f>A416*('前提と出典'!$C$36*'契約別単価'!H5+'前提と出典'!$C$37*'契約別単価'!H6+'前提と出典'!$C$38*'契約別単価'!H7)</ns0:f>
        <ns0:v>284611.3719435164</ns0:v>
      </ns0:c>
      <ns0:c r="I416" s="16">
        <ns0:f>A416*('前提と出典'!$C$36*'契約別単価'!I5+'前提と出典'!$C$37*'契約別単価'!I6+'前提と出典'!$C$38*'契約別単価'!I7)</ns0:f>
        <ns0:v>17384.558659217873</ns0:v>
      </ns0:c>
      <ns0:c r="J416" s="16">
        <ns0:f>A416*('前提と出典'!$C$36*'契約別単価'!J5+'前提と出典'!$C$37*'契約別単価'!J6+'前提と出典'!$C$38*'契約別単価'!J7)</ns0:f>
        <ns0:v>40495.29200864466</ns0:v>
      </ns0:c>
      <ns0:c r="K416" s="16">
        <ns0:f>A416*('前提と出典'!$C$36*'契約別単価'!K5+'前提と出典'!$C$37*'契約別単価'!K6+'前提と出典'!$C$38*'契約別単価'!K7)</ns0:f>
        <ns0:v>173577.05772811917</ns0:v>
      </ns0:c>
      <ns0:c r="L416" s="16">
        <ns0:f>A416*('前提と出典'!$C$36*'契約別単価'!L5+'前提と出典'!$C$37*'契約別単価'!L6+'前提と出典'!$C$38*'契約別単価'!L7)</ns0:f>
        <ns0:v>141327.04573145055</ns0:v>
      </ns0:c>
      <ns0:c r="M416" s="16">
        <ns0:f>IF(('前提と出典'!$C$36+'前提と出典'!$C$38)=0,0,IF(B416&lt;=10,'前提と出典'!B73+'前提と出典'!C73,IF(B416&lt;=100,'前提と出典'!B74+'前提と出典'!C74,IF(B416&lt;=500,'前提と出典'!B75+'前提と出典'!C75,'前提と出典'!B76+'前提と出典'!C76))))</ns0:f>
        <ns0:v>40000</ns0:v>
      </ns0:c>
      <ns0:c r="N416" s="16">
        <ns0:f>IF(('前提と出典'!$C$37+'前提と出典'!$C$38)=0,0,IF(C416&lt;=10,'前提と出典'!D73+'前提と出典'!E73,IF(C416&lt;=100,'前提と出典'!D74+'前提と出典'!E74,IF(C416&lt;=500,'前提と出典'!D75+'前提と出典'!E75,'前提と出典'!D76+'前提と出典'!E76))))</ns0:f>
        <ns0:v>56510.9346263078</ns0:v>
      </ns0:c>
      <ns0:c r="O416" s="16">
        <ns0:f>IF('前提と出典'!$C$36+'前提と出典'!$C$38=0,0,'前提と出典'!$B$4*IF('前提と出典'!$B$20=0,MAX('前提と出典'!$B$6,D416*'前提と出典'!$B$5),'前提と出典'!$B$6+D416*'前提と出典'!$B$5))</ns0:f>
        <ns0:v>409109.09497206705</ns0:v>
      </ns0:c>
      <ns0:c r="P416" s="16">
        <ns0:f>(E416+G416)*(1-'前提と出典'!$B$7)-I416-K416-M416-O416</ns0:f>
        <ns0:v>1148923.1832261642</ns0:v>
      </ns0:c>
      <ns0:c r="Q416" s="16">
        <ns0:f>(F416+H416)*(1-'前提と出典'!$B$7)-J416-L416-N416</ns0:f>
        <ns0:v>326150.2923175605</ns0:v>
      </ns0:c>
      <ns0:c r="R416" s="16">
        <ns0:f>P416-E416*'前提と出典'!$E$4</ns0:f>
        <ns0:v>838208.4899135875</ns0:v>
      </ns0:c>
      <ns0:c r="S416" s="16">
        <ns0:f>Q416-F416*'前提と出典'!$E$4</ns0:f>
        <ns0:v>235864.54476660187</ns0:v>
      </ns0:c>
      <ns0:c r="T416" s="7">
        <ns0:f>R416+S416</ns0:f>
        <ns0:v>1074073.0346801893</ns0:v>
      </ns0:c>
      <ns0:c r="U416" s="16">
        <ns0:f>P416-E416*'前提と出典'!$E$5</ns0:f>
        <ns0:v>734636.9254760616</ns0:v>
      </ns0:c>
      <ns0:c r="V416" s="16">
        <ns0:f>Q416-F416*'前提と出典'!$E$5</ns0:f>
        <ns0:v>205769.295582949</ns0:v>
      </ns0:c>
      <ns0:c r="W416" s="7">
        <ns0:f>U416+V416</ns0:f>
        <ns0:v>940406.2210590106</ns0:v>
      </ns0:c>
      <ns0:c r="X416" s="16">
        <ns0:f>P416-E416*'前提と出典'!$E$6</ns0:f>
        <ns0:v>631065.3610385361</ns0:v>
      </ns0:c>
      <ns0:c r="Y416" s="16">
        <ns0:f>Q416-F416*'前提と出典'!$E$6</ns0:f>
        <ns0:v>175674.04639929614</ns0:v>
      </ns0:c>
      <ns0:c r="Z416" s="7">
        <ns0:f>X416+Y416</ns0:f>
        <ns0:v>806739.4074378322</ns0:v>
      </ns0:c>
      <ns0:c r="AA416" s="7">
        <ns0:f>IF(T416&gt;=0,A416,1001)</ns0:f>
        <ns0:v>412</ns0:v>
      </ns0:c>
      <ns0:c r="AB416" s="7">
        <ns0:f>IF(T416&lt;0,A416,0)</ns0:f>
        <ns0:v>0</ns0:v>
      </ns0:c>
      <ns0:c r="AC416" s="16">
        <ns0:f>IF(AND(OR('前提と出典'!$C$36+'前提と出典'!$C$38=0,R416&gt;=0),OR('前提と出典'!$C$37+'前提と出典'!$C$38=0,S416&gt;=0)),0,A416)</ns0:f>
        <ns0:v>0</ns0:v>
      </ns0:c>
      <ns0:c r="AD416" s="7">
        <ns0:f>IF(W416&gt;=0,A416,1001)</ns0:f>
        <ns0:v>412</ns0:v>
      </ns0:c>
      <ns0:c r="AE416" s="7">
        <ns0:f>IF(W416&lt;0,A416,0)</ns0:f>
        <ns0:v>0</ns0:v>
      </ns0:c>
      <ns0:c r="AF416" s="16">
        <ns0:f>IF(AND(OR('前提と出典'!$C$36+'前提と出典'!$C$38=0,U416&gt;=0),OR('前提と出典'!$C$37+'前提と出典'!$C$38=0,V416&gt;=0)),0,A416)</ns0:f>
        <ns0:v>0</ns0:v>
      </ns0:c>
      <ns0:c r="AG416" s="7">
        <ns0:f>IF(Z416&gt;=0,A416,1001)</ns0:f>
        <ns0:v>412</ns0:v>
      </ns0:c>
      <ns0:c r="AH416" s="4">
        <ns0:f>IF(Z416&lt;0,A416,0)</ns0:f>
        <ns0:v>0</ns0:v>
      </ns0:c>
      <ns0:c r="AI416" s="12">
        <ns0:f>IF(AND(OR('前提と出典'!$C$36+'前提と出典'!$C$38=0,X416&gt;=0),OR('前提と出典'!$C$37+'前提と出典'!$C$38=0,Y416&gt;=0)),0,A416)</ns0:f>
        <ns0:v>0</ns0:v>
      </ns0:c>
    </ns0:row>
    <ns0:row r="417" ht="24" customHeight="1">
      <ns0:c r="A417" s="4" t="n">
        <ns0:v>413</ns0:v>
      </ns0:c>
      <ns0:c r="B417" s="12">
        <ns0:f>A417*('前提と出典'!$C$36+'前提と出典'!$C$38)</ns0:f>
        <ns0:v>289.09999999999997</ns0:v>
      </ns0:c>
      <ns0:c r="C417" s="12">
        <ns0:f>A417*('前提と出典'!$C$37+'前提と出典'!$C$38)</ns0:f>
        <ns0:v>247.79999999999998</ns0:v>
      </ns0:c>
      <ns0:c r="D417" s="16">
        <ns0:f>A417*('前提と出典'!$C$36*'契約別単価'!C5+'前提と出典'!$C$37*'契約別単価'!C6+'前提と出典'!$C$38*'契約別単価'!C7)</ns0:f>
        <ns0:v>2971.754189944134</ns0:v>
      </ns0:c>
      <ns0:c r="E417" s="16">
        <ns0:f>A417*('前提と出典'!$C$36*'契約別単価'!E5+'前提と出典'!$C$37*'契約別単価'!E6+'前提と出典'!$C$38*'契約別単価'!E7)</ns0:f>
        <ns0:v>1038229.5172984971</ns0:v>
      </ns0:c>
      <ns0:c r="F417" s="16">
        <ns0:f>A417*('前提と出典'!$C$36*'契約別単価'!F5+'前提と出典'!$C$37*'契約別単価'!F6+'前提と出典'!$C$38*'契約別単価'!F7)</ns0:f>
        <ns0:v>301682.9590497242</ns0:v>
      </ns0:c>
      <ns0:c r="G417" s="16">
        <ns0:f>A417*('前提と出典'!$C$36*'契約別単価'!G5+'前提と出典'!$C$37*'契約別単価'!G6+'前提と出典'!$C$38*'契約別単価'!G7)</ns0:f>
        <ns0:v>822077.6536312848</ns0:v>
      </ns0:c>
      <ns0:c r="H417" s="16">
        <ns0:f>A417*('前提と出典'!$C$36*'契約別単価'!H5+'前提と出典'!$C$37*'契約別単価'!H6+'前提と出典'!$C$38*'契約別単価'!H7)</ns0:f>
        <ns0:v>285302.1762443502</ns0:v>
      </ns0:c>
      <ns0:c r="I417" s="16">
        <ns0:f>A417*('前提と出典'!$C$36*'契約別単価'!I5+'前提と出典'!$C$37*'契約別単価'!I6+'前提と出典'!$C$38*'契約別単価'!I7)</ns0:f>
        <ns0:v>17426.75418994413</ns0:v>
      </ns0:c>
      <ns0:c r="J417" s="16">
        <ns0:f>A417*('前提と出典'!$C$36*'契約別単価'!J5+'前提と出典'!$C$37*'契約別単価'!J6+'前提と出典'!$C$38*'契約別単価'!J7)</ns0:f>
        <ns0:v>40593.58155235496</ns0:v>
      </ns0:c>
      <ns0:c r="K417" s="16">
        <ns0:f>A417*('前提と出典'!$C$36*'契約別単価'!K5+'前提と出典'!$C$37*'契約別単価'!K6+'前提と出典'!$C$38*'契約別単価'!K7)</ns0:f>
        <ns0:v>173998.3612662942</ns0:v>
      </ns0:c>
      <ns0:c r="L417" s="16">
        <ns0:f>A417*('前提と出典'!$C$36*'契約別単価'!L5+'前提と出典'!$C$37*'契約別単価'!L6+'前提と出典'!$C$38*'契約別単価'!L7)</ns0:f>
        <ns0:v>141670.07254147832</ns0:v>
      </ns0:c>
      <ns0:c r="M417" s="16">
        <ns0:f>IF(('前提と出典'!$C$36+'前提と出典'!$C$38)=0,0,IF(B417&lt;=10,'前提と出典'!B73+'前提と出典'!C73,IF(B417&lt;=100,'前提と出典'!B74+'前提と出典'!C74,IF(B417&lt;=500,'前提と出典'!B75+'前提と出典'!C75,'前提と出典'!B76+'前提と出典'!C76))))</ns0:f>
        <ns0:v>40000</ns0:v>
      </ns0:c>
      <ns0:c r="N417" s="16">
        <ns0:f>IF(('前提と出典'!$C$37+'前提と出典'!$C$38)=0,0,IF(C417&lt;=10,'前提と出典'!D73+'前提と出典'!E73,IF(C417&lt;=100,'前提と出典'!D74+'前提と出典'!E74,IF(C417&lt;=500,'前提と出典'!D75+'前提と出典'!E75,'前提と出典'!D76+'前提と出典'!E76))))</ns0:f>
        <ns0:v>56510.9346263078</ns0:v>
      </ns0:c>
      <ns0:c r="O417" s="16">
        <ns0:f>IF('前提と出典'!$C$36+'前提と出典'!$C$38=0,0,'前提と出典'!$B$4*IF('前提と出典'!$B$20=0,MAX('前提と出典'!$B$6,D417*'前提と出典'!$B$5),'前提と出典'!$B$6+D417*'前提と出典'!$B$5))</ns0:f>
        <ns0:v>410102.07821229054</ns0:v>
      </ns0:c>
      <ns0:c r="P417" s="16">
        <ns0:f>(E417+G417)*(1-'前提と出典'!$B$7)-I417-K417-M417-O417</ns0:f>
        <ns0:v>1151808.919107781</ns0:v>
      </ns0:c>
      <ns0:c r="Q417" s="16">
        <ns0:f>(F417+H417)*(1-'前提と出典'!$B$7)-J417-L417-N417</ns0:f>
        <ns0:v>327079.0817033467</ns0:v>
      </ns0:c>
      <ns0:c r="R417" s="16">
        <ns0:f>P417-E417*'前提と出典'!$E$4</ns0:f>
        <ns0:v>840340.0639182318</ns0:v>
      </ns0:c>
      <ns0:c r="S417" s="16">
        <ns0:f>Q417-F417*'前提と出典'!$E$4</ns0:f>
        <ns0:v>236574.19398842938</ns0:v>
      </ns0:c>
      <ns0:c r="T417" s="7">
        <ns0:f>R417+S417</ns0:f>
        <ns0:v>1076914.2579066611</ns0:v>
      </ns0:c>
      <ns0:c r="U417" s="16">
        <ns0:f>P417-E417*'前提と出典'!$E$5</ns0:f>
        <ns0:v>736517.1121883821</ns0:v>
      </ns0:c>
      <ns0:c r="V417" s="16">
        <ns0:f>Q417-F417*'前提と出典'!$E$5</ns0:f>
        <ns0:v>206405.89808345697</ns0:v>
      </ns0:c>
      <ns0:c r="W417" s="7">
        <ns0:f>U417+V417</ns0:f>
        <ns0:v>942923.0102718391</ns0:v>
      </ns0:c>
      <ns0:c r="X417" s="16">
        <ns0:f>P417-E417*'前提と出典'!$E$6</ns0:f>
        <ns0:v>632694.1604585324</ns0:v>
      </ns0:c>
      <ns0:c r="Y417" s="16">
        <ns0:f>Q417-F417*'前提と出典'!$E$6</ns0:f>
        <ns0:v>176237.6021784845</ns0:v>
      </ns0:c>
      <ns0:c r="Z417" s="7">
        <ns0:f>X417+Y417</ns0:f>
        <ns0:v>808931.7626370168</ns0:v>
      </ns0:c>
      <ns0:c r="AA417" s="7">
        <ns0:f>IF(T417&gt;=0,A417,1001)</ns0:f>
        <ns0:v>413</ns0:v>
      </ns0:c>
      <ns0:c r="AB417" s="7">
        <ns0:f>IF(T417&lt;0,A417,0)</ns0:f>
        <ns0:v>0</ns0:v>
      </ns0:c>
      <ns0:c r="AC417" s="16">
        <ns0:f>IF(AND(OR('前提と出典'!$C$36+'前提と出典'!$C$38=0,R417&gt;=0),OR('前提と出典'!$C$37+'前提と出典'!$C$38=0,S417&gt;=0)),0,A417)</ns0:f>
        <ns0:v>0</ns0:v>
      </ns0:c>
      <ns0:c r="AD417" s="7">
        <ns0:f>IF(W417&gt;=0,A417,1001)</ns0:f>
        <ns0:v>413</ns0:v>
      </ns0:c>
      <ns0:c r="AE417" s="7">
        <ns0:f>IF(W417&lt;0,A417,0)</ns0:f>
        <ns0:v>0</ns0:v>
      </ns0:c>
      <ns0:c r="AF417" s="16">
        <ns0:f>IF(AND(OR('前提と出典'!$C$36+'前提と出典'!$C$38=0,U417&gt;=0),OR('前提と出典'!$C$37+'前提と出典'!$C$38=0,V417&gt;=0)),0,A417)</ns0:f>
        <ns0:v>0</ns0:v>
      </ns0:c>
      <ns0:c r="AG417" s="7">
        <ns0:f>IF(Z417&gt;=0,A417,1001)</ns0:f>
        <ns0:v>413</ns0:v>
      </ns0:c>
      <ns0:c r="AH417" s="4">
        <ns0:f>IF(Z417&lt;0,A417,0)</ns0:f>
        <ns0:v>0</ns0:v>
      </ns0:c>
      <ns0:c r="AI417" s="12">
        <ns0:f>IF(AND(OR('前提と出典'!$C$36+'前提と出典'!$C$38=0,X417&gt;=0),OR('前提と出典'!$C$37+'前提と出典'!$C$38=0,Y417&gt;=0)),0,A417)</ns0:f>
        <ns0:v>0</ns0:v>
      </ns0:c>
    </ns0:row>
    <ns0:row r="418" ht="24" customHeight="1">
      <ns0:c r="A418" s="4" t="n">
        <ns0:v>414</ns0:v>
      </ns0:c>
      <ns0:c r="B418" s="12">
        <ns0:f>A418*('前提と出典'!$C$36+'前提と出典'!$C$38)</ns0:f>
        <ns0:v>289.79999999999995</ns0:v>
      </ns0:c>
      <ns0:c r="C418" s="12">
        <ns0:f>A418*('前提と出典'!$C$37+'前提と出典'!$C$38)</ns0:f>
        <ns0:v>248.39999999999998</ns0:v>
      </ns0:c>
      <ns0:c r="D418" s="16">
        <ns0:f>A418*('前提と出典'!$C$36*'契約別単価'!C5+'前提と出典'!$C$37*'契約別単価'!C6+'前提と出典'!$C$38*'契約別単価'!C7)</ns0:f>
        <ns0:v>2978.949720670391</ns0:v>
      </ns0:c>
      <ns0:c r="E418" s="16">
        <ns0:f>A418*('前提と出典'!$C$36*'契約別単価'!E5+'前提と出典'!$C$37*'契約別単価'!E6+'前提と出典'!$C$38*'契約別単価'!E7)</ns0:f>
        <ns0:v>1040743.390221738</ns0:v>
      </ns0:c>
      <ns0:c r="F418" s="16">
        <ns0:f>A418*('前提と出典'!$C$36*'契約別単価'!F5+'前提と出典'!$C$37*'契約別単価'!F6+'前提と出典'!$C$38*'契約別単価'!F7)</ns0:f>
        <ns0:v>302413.4262629197</ns0:v>
      </ns0:c>
      <ns0:c r="G418" s="16">
        <ns0:f>A418*('前提と出典'!$C$36*'契約別単価'!G5+'前提と出典'!$C$37*'契約別単価'!G6+'前提と出典'!$C$38*'契約別単価'!G7)</ns0:f>
        <ns0:v>824068.156424581</ns0:v>
      </ns0:c>
      <ns0:c r="H418" s="16">
        <ns0:f>A418*('前提と出典'!$C$36*'契約別単価'!H5+'前提と出典'!$C$37*'契約別単価'!H6+'前提と出典'!$C$38*'契約別単価'!H7)</ns0:f>
        <ns0:v>285992.98054518393</ns0:v>
      </ns0:c>
      <ns0:c r="I418" s="16">
        <ns0:f>A418*('前提と出典'!$C$36*'契約別単価'!I5+'前提と出典'!$C$37*'契約別単価'!I6+'前提と出典'!$C$38*'契約別単価'!I7)</ns0:f>
        <ns0:v>17468.94972067039</ns0:v>
      </ns0:c>
      <ns0:c r="J418" s="16">
        <ns0:f>A418*('前提と出典'!$C$36*'契約別単価'!J5+'前提と出典'!$C$37*'契約別単価'!J6+'前提と出典'!$C$38*'契約別単価'!J7)</ns0:f>
        <ns0:v>40691.87109606526</ns0:v>
      </ns0:c>
      <ns0:c r="K418" s="16">
        <ns0:f>A418*('前提と出典'!$C$36*'契約別単価'!K5+'前提と出典'!$C$37*'契約別単価'!K6+'前提と出典'!$C$38*'契約別単価'!K7)</ns0:f>
        <ns0:v>174419.66480446927</ns0:v>
      </ns0:c>
      <ns0:c r="L418" s="16">
        <ns0:f>A418*('前提と出典'!$C$36*'契約別単価'!L5+'前提と出典'!$C$37*'契約別単価'!L6+'前提と出典'!$C$38*'契約別単価'!L7)</ns0:f>
        <ns0:v>142013.09935150613</ns0:v>
      </ns0:c>
      <ns0:c r="M418" s="16">
        <ns0:f>IF(('前提と出典'!$C$36+'前提と出典'!$C$38)=0,0,IF(B418&lt;=10,'前提と出典'!B73+'前提と出典'!C73,IF(B418&lt;=100,'前提と出典'!B74+'前提と出典'!C74,IF(B418&lt;=500,'前提と出典'!B75+'前提と出典'!C75,'前提と出典'!B76+'前提と出典'!C76))))</ns0:f>
        <ns0:v>40000</ns0:v>
      </ns0:c>
      <ns0:c r="N418" s="16">
        <ns0:f>IF(('前提と出典'!$C$37+'前提と出典'!$C$38)=0,0,IF(C418&lt;=10,'前提と出典'!D73+'前提と出典'!E73,IF(C418&lt;=100,'前提と出典'!D74+'前提と出典'!E74,IF(C418&lt;=500,'前提と出典'!D75+'前提と出典'!E75,'前提と出典'!D76+'前提と出典'!E76))))</ns0:f>
        <ns0:v>56510.9346263078</ns0:v>
      </ns0:c>
      <ns0:c r="O418" s="16">
        <ns0:f>IF('前提と出典'!$C$36+'前提と出典'!$C$38=0,0,'前提と出典'!$B$4*IF('前提と出典'!$B$20=0,MAX('前提と出典'!$B$6,D418*'前提と出典'!$B$5),'前提と出典'!$B$6+D418*'前提と出典'!$B$5))</ns0:f>
        <ns0:v>411095.0614525139</ns0:v>
      </ns0:c>
      <ns0:c r="P418" s="16">
        <ns0:f>(E418+G418)*(1-'前提と出典'!$B$7)-I418-K418-M418-O418</ns0:f>
        <ns0:v>1154694.6549893979</ns0:v>
      </ns0:c>
      <ns0:c r="Q418" s="16">
        <ns0:f>(F418+H418)*(1-'前提と出典'!$B$7)-J418-L418-N418</ns0:f>
        <ns0:v>328007.87108913274</ns0:v>
      </ns0:c>
      <ns0:c r="R418" s="16">
        <ns0:f>P418-E418*'前提と出典'!$E$4</ns0:f>
        <ns0:v>842471.6379228764</ns0:v>
      </ns0:c>
      <ns0:c r="S418" s="16">
        <ns0:f>Q418-F418*'前提と出典'!$E$4</ns0:f>
        <ns0:v>237283.8432102569</ns0:v>
      </ns0:c>
      <ns0:c r="T418" s="7">
        <ns0:f>R418+S418</ns0:f>
        <ns0:v>1079755.4811331332</ns0:v>
      </ns0:c>
      <ns0:c r="U418" s="16">
        <ns0:f>P418-E418*'前提と出典'!$E$5</ns0:f>
        <ns0:v>738397.2989007026</ns0:v>
      </ns0:c>
      <ns0:c r="V418" s="16">
        <ns0:f>Q418-F418*'前提と出典'!$E$5</ns0:f>
        <ns0:v>207042.50058396487</ns0:v>
      </ns0:c>
      <ns0:c r="W418" s="7">
        <ns0:f>U418+V418</ns0:f>
        <ns0:v>945439.7994846675</ns0:v>
      </ns0:c>
      <ns0:c r="X418" s="16">
        <ns0:f>P418-E418*'前提と出典'!$E$6</ns0:f>
        <ns0:v>634322.9598785286</ns0:v>
      </ns0:c>
      <ns0:c r="Y418" s="16">
        <ns0:f>Q418-F418*'前提と出典'!$E$6</ns0:f>
        <ns0:v>176801.15795767293</ns0:v>
      </ns0:c>
      <ns0:c r="Z418" s="7">
        <ns0:f>X418+Y418</ns0:f>
        <ns0:v>811124.1178362016</ns0:v>
      </ns0:c>
      <ns0:c r="AA418" s="7">
        <ns0:f>IF(T418&gt;=0,A418,1001)</ns0:f>
        <ns0:v>414</ns0:v>
      </ns0:c>
      <ns0:c r="AB418" s="7">
        <ns0:f>IF(T418&lt;0,A418,0)</ns0:f>
        <ns0:v>0</ns0:v>
      </ns0:c>
      <ns0:c r="AC418" s="16">
        <ns0:f>IF(AND(OR('前提と出典'!$C$36+'前提と出典'!$C$38=0,R418&gt;=0),OR('前提と出典'!$C$37+'前提と出典'!$C$38=0,S418&gt;=0)),0,A418)</ns0:f>
        <ns0:v>0</ns0:v>
      </ns0:c>
      <ns0:c r="AD418" s="7">
        <ns0:f>IF(W418&gt;=0,A418,1001)</ns0:f>
        <ns0:v>414</ns0:v>
      </ns0:c>
      <ns0:c r="AE418" s="7">
        <ns0:f>IF(W418&lt;0,A418,0)</ns0:f>
        <ns0:v>0</ns0:v>
      </ns0:c>
      <ns0:c r="AF418" s="16">
        <ns0:f>IF(AND(OR('前提と出典'!$C$36+'前提と出典'!$C$38=0,U418&gt;=0),OR('前提と出典'!$C$37+'前提と出典'!$C$38=0,V418&gt;=0)),0,A418)</ns0:f>
        <ns0:v>0</ns0:v>
      </ns0:c>
      <ns0:c r="AG418" s="7">
        <ns0:f>IF(Z418&gt;=0,A418,1001)</ns0:f>
        <ns0:v>414</ns0:v>
      </ns0:c>
      <ns0:c r="AH418" s="4">
        <ns0:f>IF(Z418&lt;0,A418,0)</ns0:f>
        <ns0:v>0</ns0:v>
      </ns0:c>
      <ns0:c r="AI418" s="12">
        <ns0:f>IF(AND(OR('前提と出典'!$C$36+'前提と出典'!$C$38=0,X418&gt;=0),OR('前提と出典'!$C$37+'前提と出典'!$C$38=0,Y418&gt;=0)),0,A418)</ns0:f>
        <ns0:v>0</ns0:v>
      </ns0:c>
    </ns0:row>
    <ns0:row r="419" ht="24" customHeight="1">
      <ns0:c r="A419" s="4" t="n">
        <ns0:v>415</ns0:v>
      </ns0:c>
      <ns0:c r="B419" s="12">
        <ns0:f>A419*('前提と出典'!$C$36+'前提と出典'!$C$38)</ns0:f>
        <ns0:v>290.5</ns0:v>
      </ns0:c>
      <ns0:c r="C419" s="12">
        <ns0:f>A419*('前提と出典'!$C$37+'前提と出典'!$C$38)</ns0:f>
        <ns0:v>249</ns0:v>
      </ns0:c>
      <ns0:c r="D419" s="16">
        <ns0:f>A419*('前提と出典'!$C$36*'契約別単価'!C5+'前提と出典'!$C$37*'契約別単価'!C6+'前提と出典'!$C$38*'契約別単価'!C7)</ns0:f>
        <ns0:v>2986.145251396648</ns0:v>
      </ns0:c>
      <ns0:c r="E419" s="16">
        <ns0:f>A419*('前提と出典'!$C$36*'契約別単価'!E5+'前提と出典'!$C$37*'契約別単価'!E6+'前提と出典'!$C$38*'契約別単価'!E7)</ns0:f>
        <ns0:v>1043257.263144979</ns0:v>
      </ns0:c>
      <ns0:c r="F419" s="16">
        <ns0:f>A419*('前提と出典'!$C$36*'契約別単価'!F5+'前提と出典'!$C$37*'契約別単価'!F6+'前提と出典'!$C$38*'契約別単価'!F7)</ns0:f>
        <ns0:v>303143.89347611513</ns0:v>
      </ns0:c>
      <ns0:c r="G419" s="16">
        <ns0:f>A419*('前提と出典'!$C$36*'契約別単価'!G5+'前提と出典'!$C$37*'契約別単価'!G6+'前提と出典'!$C$38*'契約別単価'!G7)</ns0:f>
        <ns0:v>826058.6592178771</ns0:v>
      </ns0:c>
      <ns0:c r="H419" s="16">
        <ns0:f>A419*('前提と出典'!$C$36*'契約別単価'!H5+'前提と出典'!$C$37*'契約別単価'!H6+'前提と出典'!$C$38*'契約別単価'!H7)</ns0:f>
        <ns0:v>286683.7848460177</ns0:v>
      </ns0:c>
      <ns0:c r="I419" s="16">
        <ns0:f>A419*('前提と出典'!$C$36*'契約別単価'!I5+'前提と出典'!$C$37*'契約別単価'!I6+'前提と出典'!$C$38*'契約別単価'!I7)</ns0:f>
        <ns0:v>17511.145251396643</ns0:v>
      </ns0:c>
      <ns0:c r="J419" s="16">
        <ns0:f>A419*('前提と出典'!$C$36*'契約別単価'!J5+'前提と出典'!$C$37*'契約別単価'!J6+'前提と出典'!$C$38*'契約別単価'!J7)</ns0:f>
        <ns0:v>40790.16063977557</ns0:v>
      </ns0:c>
      <ns0:c r="K419" s="16">
        <ns0:f>A419*('前提と出典'!$C$36*'契約別単価'!K5+'前提と出典'!$C$37*'契約別単価'!K6+'前提と出典'!$C$38*'契約別単価'!K7)</ns0:f>
        <ns0:v>174840.9683426443</ns0:v>
      </ns0:c>
      <ns0:c r="L419" s="16">
        <ns0:f>A419*('前提と出典'!$C$36*'契約別単価'!L5+'前提と出典'!$C$37*'契約別単価'!L6+'前提と出典'!$C$38*'契約別単価'!L7)</ns0:f>
        <ns0:v>142356.12616153393</ns0:v>
      </ns0:c>
      <ns0:c r="M419" s="16">
        <ns0:f>IF(('前提と出典'!$C$36+'前提と出典'!$C$38)=0,0,IF(B419&lt;=10,'前提と出典'!B73+'前提と出典'!C73,IF(B419&lt;=100,'前提と出典'!B74+'前提と出典'!C74,IF(B419&lt;=500,'前提と出典'!B75+'前提と出典'!C75,'前提と出典'!B76+'前提と出典'!C76))))</ns0:f>
        <ns0:v>40000</ns0:v>
      </ns0:c>
      <ns0:c r="N419" s="16">
        <ns0:f>IF(('前提と出典'!$C$37+'前提と出典'!$C$38)=0,0,IF(C419&lt;=10,'前提と出典'!D73+'前提と出典'!E73,IF(C419&lt;=100,'前提と出典'!D74+'前提と出典'!E74,IF(C419&lt;=500,'前提と出典'!D75+'前提と出典'!E75,'前提と出典'!D76+'前提と出典'!E76))))</ns0:f>
        <ns0:v>56510.9346263078</ns0:v>
      </ns0:c>
      <ns0:c r="O419" s="16">
        <ns0:f>IF('前提と出典'!$C$36+'前提と出典'!$C$38=0,0,'前提と出典'!$B$4*IF('前提と出典'!$B$20=0,MAX('前提と出典'!$B$6,D419*'前提と出典'!$B$5),'前提と出典'!$B$6+D419*'前提と出典'!$B$5))</ns0:f>
        <ns0:v>412088.0446927374</ns0:v>
      </ns0:c>
      <ns0:c r="P419" s="16">
        <ns0:f>(E419+G419)*(1-'前提と出典'!$B$7)-I419-K419-M419-O419</ns0:f>
        <ns0:v>1157580.390871015</ns0:v>
      </ns0:c>
      <ns0:c r="Q419" s="16">
        <ns0:f>(F419+H419)*(1-'前提と出典'!$B$7)-J419-L419-N419</ns0:f>
        <ns0:v>328936.66047491884</ns0:v>
      </ns0:c>
      <ns0:c r="R419" s="16">
        <ns0:f>P419-E419*'前提と出典'!$E$4</ns0:f>
        <ns0:v>844603.2119275214</ns0:v>
      </ns0:c>
      <ns0:c r="S419" s="16">
        <ns0:f>Q419-F419*'前提と出典'!$E$4</ns0:f>
        <ns0:v>237993.49243208428</ns0:v>
      </ns0:c>
      <ns0:c r="T419" s="7">
        <ns0:f>R419+S419</ns0:f>
        <ns0:v>1082596.7043596057</ns0:v>
      </ns0:c>
      <ns0:c r="U419" s="16">
        <ns0:f>P419-E419*'前提と出典'!$E$5</ns0:f>
        <ns0:v>740277.4856130233</ns0:v>
      </ns0:c>
      <ns0:c r="V419" s="16">
        <ns0:f>Q419-F419*'前提と出典'!$E$5</ns0:f>
        <ns0:v>207679.10308447276</ns0:v>
      </ns0:c>
      <ns0:c r="W419" s="7">
        <ns0:f>U419+V419</ns0:f>
        <ns0:v>947956.5886974961</ns0:v>
      </ns0:c>
      <ns0:c r="X419" s="16">
        <ns0:f>P419-E419*'前提と出典'!$E$6</ns0:f>
        <ns0:v>635951.7592985252</ns0:v>
      </ns0:c>
      <ns0:c r="Y419" s="16">
        <ns0:f>Q419-F419*'前提と出典'!$E$6</ns0:f>
        <ns0:v>177364.7137368613</ns0:v>
      </ns0:c>
      <ns0:c r="Z419" s="7">
        <ns0:f>X419+Y419</ns0:f>
        <ns0:v>813316.4730353865</ns0:v>
      </ns0:c>
      <ns0:c r="AA419" s="7">
        <ns0:f>IF(T419&gt;=0,A419,1001)</ns0:f>
        <ns0:v>415</ns0:v>
      </ns0:c>
      <ns0:c r="AB419" s="7">
        <ns0:f>IF(T419&lt;0,A419,0)</ns0:f>
        <ns0:v>0</ns0:v>
      </ns0:c>
      <ns0:c r="AC419" s="16">
        <ns0:f>IF(AND(OR('前提と出典'!$C$36+'前提と出典'!$C$38=0,R419&gt;=0),OR('前提と出典'!$C$37+'前提と出典'!$C$38=0,S419&gt;=0)),0,A419)</ns0:f>
        <ns0:v>0</ns0:v>
      </ns0:c>
      <ns0:c r="AD419" s="7">
        <ns0:f>IF(W419&gt;=0,A419,1001)</ns0:f>
        <ns0:v>415</ns0:v>
      </ns0:c>
      <ns0:c r="AE419" s="7">
        <ns0:f>IF(W419&lt;0,A419,0)</ns0:f>
        <ns0:v>0</ns0:v>
      </ns0:c>
      <ns0:c r="AF419" s="16">
        <ns0:f>IF(AND(OR('前提と出典'!$C$36+'前提と出典'!$C$38=0,U419&gt;=0),OR('前提と出典'!$C$37+'前提と出典'!$C$38=0,V419&gt;=0)),0,A419)</ns0:f>
        <ns0:v>0</ns0:v>
      </ns0:c>
      <ns0:c r="AG419" s="7">
        <ns0:f>IF(Z419&gt;=0,A419,1001)</ns0:f>
        <ns0:v>415</ns0:v>
      </ns0:c>
      <ns0:c r="AH419" s="4">
        <ns0:f>IF(Z419&lt;0,A419,0)</ns0:f>
        <ns0:v>0</ns0:v>
      </ns0:c>
      <ns0:c r="AI419" s="12">
        <ns0:f>IF(AND(OR('前提と出典'!$C$36+'前提と出典'!$C$38=0,X419&gt;=0),OR('前提と出典'!$C$37+'前提と出典'!$C$38=0,Y419&gt;=0)),0,A419)</ns0:f>
        <ns0:v>0</ns0:v>
      </ns0:c>
    </ns0:row>
    <ns0:row r="420" ht="24" customHeight="1">
      <ns0:c r="A420" s="4" t="n">
        <ns0:v>416</ns0:v>
      </ns0:c>
      <ns0:c r="B420" s="12">
        <ns0:f>A420*('前提と出典'!$C$36+'前提と出典'!$C$38)</ns0:f>
        <ns0:v>291.2</ns0:v>
      </ns0:c>
      <ns0:c r="C420" s="12">
        <ns0:f>A420*('前提と出典'!$C$37+'前提と出典'!$C$38)</ns0:f>
        <ns0:v>249.6</ns0:v>
      </ns0:c>
      <ns0:c r="D420" s="16">
        <ns0:f>A420*('前提と出典'!$C$36*'契約別単価'!C5+'前提と出典'!$C$37*'契約別単価'!C6+'前提と出典'!$C$38*'契約別単価'!C7)</ns0:f>
        <ns0:v>2993.340782122905</ns0:v>
      </ns0:c>
      <ns0:c r="E420" s="16">
        <ns0:f>A420*('前提と出典'!$C$36*'契約別単価'!E5+'前提と出典'!$C$37*'契約別単価'!E6+'前提と出典'!$C$38*'契約別単価'!E7)</ns0:f>
        <ns0:v>1045771.1360682199</ns0:v>
      </ns0:c>
      <ns0:c r="F420" s="16">
        <ns0:f>A420*('前提と出典'!$C$36*'契約別単価'!F5+'前提と出典'!$C$37*'契約別単価'!F6+'前提と出典'!$C$38*'契約別単価'!F7)</ns0:f>
        <ns0:v>303874.3606893106</ns0:v>
      </ns0:c>
      <ns0:c r="G420" s="16">
        <ns0:f>A420*('前提と出典'!$C$36*'契約別単価'!G5+'前提と出典'!$C$37*'契約別単価'!G6+'前提と出典'!$C$38*'契約別単価'!G7)</ns0:f>
        <ns0:v>828049.1620111731</ns0:v>
      </ns0:c>
      <ns0:c r="H420" s="16">
        <ns0:f>A420*('前提と出典'!$C$36*'契約別単価'!H5+'前提と出典'!$C$37*'契約別単価'!H6+'前提と出典'!$C$38*'契約別単価'!H7)</ns0:f>
        <ns0:v>287374.5891468515</ns0:v>
      </ns0:c>
      <ns0:c r="I420" s="16">
        <ns0:f>A420*('前提と出典'!$C$36*'契約別単価'!I5+'前提と出典'!$C$37*'契約別単価'!I6+'前提と出典'!$C$38*'契約別単価'!I7)</ns0:f>
        <ns0:v>17553.3407821229</ns0:v>
      </ns0:c>
      <ns0:c r="J420" s="16">
        <ns0:f>A420*('前提と出典'!$C$36*'契約別単価'!J5+'前提と出典'!$C$37*'契約別単価'!J6+'前提と出典'!$C$38*'契約別単価'!J7)</ns0:f>
        <ns0:v>40888.45018348587</ns0:v>
      </ns0:c>
      <ns0:c r="K420" s="16">
        <ns0:f>A420*('前提と出典'!$C$36*'契約別単価'!K5+'前提と出典'!$C$37*'契約別単価'!K6+'前提と出典'!$C$38*'契約別単価'!K7)</ns0:f>
        <ns0:v>175262.27188081935</ns0:v>
      </ns0:c>
      <ns0:c r="L420" s="16">
        <ns0:f>A420*('前提と出典'!$C$36*'契約別単価'!L5+'前提と出典'!$C$37*'契約別単価'!L6+'前提と出典'!$C$38*'契約別単価'!L7)</ns0:f>
        <ns0:v>142699.1529715617</ns0:v>
      </ns0:c>
      <ns0:c r="M420" s="16">
        <ns0:f>IF(('前提と出典'!$C$36+'前提と出典'!$C$38)=0,0,IF(B420&lt;=10,'前提と出典'!B73+'前提と出典'!C73,IF(B420&lt;=100,'前提と出典'!B74+'前提と出典'!C74,IF(B420&lt;=500,'前提と出典'!B75+'前提と出典'!C75,'前提と出典'!B76+'前提と出典'!C76))))</ns0:f>
        <ns0:v>40000</ns0:v>
      </ns0:c>
      <ns0:c r="N420" s="16">
        <ns0:f>IF(('前提と出典'!$C$37+'前提と出典'!$C$38)=0,0,IF(C420&lt;=10,'前提と出典'!D73+'前提と出典'!E73,IF(C420&lt;=100,'前提と出典'!D74+'前提と出典'!E74,IF(C420&lt;=500,'前提と出典'!D75+'前提と出典'!E75,'前提と出典'!D76+'前提と出典'!E76))))</ns0:f>
        <ns0:v>56510.9346263078</ns0:v>
      </ns0:c>
      <ns0:c r="O420" s="16">
        <ns0:f>IF('前提と出典'!$C$36+'前提と出典'!$C$38=0,0,'前提と出典'!$B$4*IF('前提と出典'!$B$20=0,MAX('前提と出典'!$B$6,D420*'前提と出典'!$B$5),'前提と出典'!$B$6+D420*'前提と出典'!$B$5))</ns0:f>
        <ns0:v>413081.0279329609</ns0:v>
      </ns0:c>
      <ns0:c r="P420" s="16">
        <ns0:f>(E420+G420)*(1-'前提と出典'!$B$7)-I420-K420-M420-O420</ns0:f>
        <ns0:v>1160466.1267526315</ns0:v>
      </ns0:c>
      <ns0:c r="Q420" s="16">
        <ns0:f>(F420+H420)*(1-'前提と出典'!$B$7)-J420-L420-N420</ns0:f>
        <ns0:v>329865.44986070495</ns0:v>
      </ns0:c>
      <ns0:c r="R420" s="16">
        <ns0:f>P420-E420*'前提と出典'!$E$4</ns0:f>
        <ns0:v>846734.7859321657</ns0:v>
      </ns0:c>
      <ns0:c r="S420" s="16">
        <ns0:f>Q420-F420*'前提と出典'!$E$4</ns0:f>
        <ns0:v>238703.1416539118</ns0:v>
      </ns0:c>
      <ns0:c r="T420" s="7">
        <ns0:f>R420+S420</ns0:f>
        <ns0:v>1085437.9275860775</ns0:v>
      </ns0:c>
      <ns0:c r="U420" s="16">
        <ns0:f>P420-E420*'前提と出典'!$E$5</ns0:f>
        <ns0:v>742157.6723253435</ns0:v>
      </ns0:c>
      <ns0:c r="V420" s="16">
        <ns0:f>Q420-F420*'前提と出典'!$E$5</ns0:f>
        <ns0:v>208315.70558498072</ns0:v>
      </ns0:c>
      <ns0:c r="W420" s="7">
        <ns0:f>U420+V420</ns0:f>
        <ns0:v>950473.3779103241</ns0:v>
      </ns0:c>
      <ns0:c r="X420" s="16">
        <ns0:f>P420-E420*'前提と出典'!$E$6</ns0:f>
        <ns0:v>637580.5587185217</ns0:v>
      </ns0:c>
      <ns0:c r="Y420" s="16">
        <ns0:f>Q420-F420*'前提と出典'!$E$6</ns0:f>
        <ns0:v>177928.26951604965</ns0:v>
      </ns0:c>
      <ns0:c r="Z420" s="7">
        <ns0:f>X420+Y420</ns0:f>
        <ns0:v>815508.8282345714</ns0:v>
      </ns0:c>
      <ns0:c r="AA420" s="7">
        <ns0:f>IF(T420&gt;=0,A420,1001)</ns0:f>
        <ns0:v>416</ns0:v>
      </ns0:c>
      <ns0:c r="AB420" s="7">
        <ns0:f>IF(T420&lt;0,A420,0)</ns0:f>
        <ns0:v>0</ns0:v>
      </ns0:c>
      <ns0:c r="AC420" s="16">
        <ns0:f>IF(AND(OR('前提と出典'!$C$36+'前提と出典'!$C$38=0,R420&gt;=0),OR('前提と出典'!$C$37+'前提と出典'!$C$38=0,S420&gt;=0)),0,A420)</ns0:f>
        <ns0:v>0</ns0:v>
      </ns0:c>
      <ns0:c r="AD420" s="7">
        <ns0:f>IF(W420&gt;=0,A420,1001)</ns0:f>
        <ns0:v>416</ns0:v>
      </ns0:c>
      <ns0:c r="AE420" s="7">
        <ns0:f>IF(W420&lt;0,A420,0)</ns0:f>
        <ns0:v>0</ns0:v>
      </ns0:c>
      <ns0:c r="AF420" s="16">
        <ns0:f>IF(AND(OR('前提と出典'!$C$36+'前提と出典'!$C$38=0,U420&gt;=0),OR('前提と出典'!$C$37+'前提と出典'!$C$38=0,V420&gt;=0)),0,A420)</ns0:f>
        <ns0:v>0</ns0:v>
      </ns0:c>
      <ns0:c r="AG420" s="7">
        <ns0:f>IF(Z420&gt;=0,A420,1001)</ns0:f>
        <ns0:v>416</ns0:v>
      </ns0:c>
      <ns0:c r="AH420" s="4">
        <ns0:f>IF(Z420&lt;0,A420,0)</ns0:f>
        <ns0:v>0</ns0:v>
      </ns0:c>
      <ns0:c r="AI420" s="12">
        <ns0:f>IF(AND(OR('前提と出典'!$C$36+'前提と出典'!$C$38=0,X420&gt;=0),OR('前提と出典'!$C$37+'前提と出典'!$C$38=0,Y420&gt;=0)),0,A420)</ns0:f>
        <ns0:v>0</ns0:v>
      </ns0:c>
    </ns0:row>
    <ns0:row r="421" ht="24" customHeight="1">
      <ns0:c r="A421" s="4" t="n">
        <ns0:v>417</ns0:v>
      </ns0:c>
      <ns0:c r="B421" s="12">
        <ns0:f>A421*('前提と出典'!$C$36+'前提と出典'!$C$38)</ns0:f>
        <ns0:v>291.9</ns0:v>
      </ns0:c>
      <ns0:c r="C421" s="12">
        <ns0:f>A421*('前提と出典'!$C$37+'前提と出典'!$C$38)</ns0:f>
        <ns0:v>250.2</ns0:v>
      </ns0:c>
      <ns0:c r="D421" s="16">
        <ns0:f>A421*('前提と出典'!$C$36*'契約別単価'!C5+'前提と出典'!$C$37*'契約別単価'!C6+'前提と出典'!$C$38*'契約別単価'!C7)</ns0:f>
        <ns0:v>3000.536312849162</ns0:v>
      </ns0:c>
      <ns0:c r="E421" s="16">
        <ns0:f>A421*('前提と出典'!$C$36*'契約別単価'!E5+'前提と出典'!$C$37*'契約別単価'!E6+'前提と出典'!$C$38*'契約別単価'!E7)</ns0:f>
        <ns0:v>1048285.0089914608</ns0:v>
      </ns0:c>
      <ns0:c r="F421" s="16">
        <ns0:f>A421*('前提と出典'!$C$36*'契約別単価'!F5+'前提と出典'!$C$37*'契約別単価'!F6+'前提と出典'!$C$38*'契約別単価'!F7)</ns0:f>
        <ns0:v>304604.82790250605</ns0:v>
      </ns0:c>
      <ns0:c r="G421" s="16">
        <ns0:f>A421*('前提と出典'!$C$36*'契約別単価'!G5+'前提と出典'!$C$37*'契約別単価'!G6+'前提と出典'!$C$38*'契約別単価'!G7)</ns0:f>
        <ns0:v>830039.6648044692</ns0:v>
      </ns0:c>
      <ns0:c r="H421" s="16">
        <ns0:f>A421*('前提と出典'!$C$36*'契約別単価'!H5+'前提と出典'!$C$37*'契約別単価'!H6+'前提と出典'!$C$38*'契約別単価'!H7)</ns0:f>
        <ns0:v>288065.3934476853</ns0:v>
      </ns0:c>
      <ns0:c r="I421" s="16">
        <ns0:f>A421*('前提と出典'!$C$36*'契約別単価'!I5+'前提と出典'!$C$37*'契約別単価'!I6+'前提と出典'!$C$38*'契約別単価'!I7)</ns0:f>
        <ns0:v>17595.53631284916</ns0:v>
      </ns0:c>
      <ns0:c r="J421" s="16">
        <ns0:f>A421*('前提と出典'!$C$36*'契約別単価'!J5+'前提と出典'!$C$37*'契約別単価'!J6+'前提と出典'!$C$38*'契約別単価'!J7)</ns0:f>
        <ns0:v>40986.73972719617</ns0:v>
      </ns0:c>
      <ns0:c r="K421" s="16">
        <ns0:f>A421*('前提と出典'!$C$36*'契約別単価'!K5+'前提と出典'!$C$37*'契約別単価'!K6+'前提と出典'!$C$38*'契約別単価'!K7)</ns0:f>
        <ns0:v>175683.5754189944</ns0:v>
      </ns0:c>
      <ns0:c r="L421" s="16">
        <ns0:f>A421*('前提と出典'!$C$36*'契約別単価'!L5+'前提と出典'!$C$37*'契約別単価'!L6+'前提と出典'!$C$38*'契約別単価'!L7)</ns0:f>
        <ns0:v>143042.1797815895</ns0:v>
      </ns0:c>
      <ns0:c r="M421" s="16">
        <ns0:f>IF(('前提と出典'!$C$36+'前提と出典'!$C$38)=0,0,IF(B421&lt;=10,'前提と出典'!B73+'前提と出典'!C73,IF(B421&lt;=100,'前提と出典'!B74+'前提と出典'!C74,IF(B421&lt;=500,'前提と出典'!B75+'前提と出典'!C75,'前提と出典'!B76+'前提と出典'!C76))))</ns0:f>
        <ns0:v>40000</ns0:v>
      </ns0:c>
      <ns0:c r="N421" s="16">
        <ns0:f>IF(('前提と出典'!$C$37+'前提と出典'!$C$38)=0,0,IF(C421&lt;=10,'前提と出典'!D73+'前提と出典'!E73,IF(C421&lt;=100,'前提と出典'!D74+'前提と出典'!E74,IF(C421&lt;=500,'前提と出典'!D75+'前提と出典'!E75,'前提と出典'!D76+'前提と出典'!E76))))</ns0:f>
        <ns0:v>56510.9346263078</ns0:v>
      </ns0:c>
      <ns0:c r="O421" s="16">
        <ns0:f>IF('前提と出典'!$C$36+'前提と出典'!$C$38=0,0,'前提と出典'!$B$4*IF('前提と出典'!$B$20=0,MAX('前提と出典'!$B$6,D421*'前提と出典'!$B$5),'前提と出典'!$B$6+D421*'前提と出典'!$B$5))</ns0:f>
        <ns0:v>414074.01117318444</ns0:v>
      </ns0:c>
      <ns0:c r="P421" s="16">
        <ns0:f>(E421+G421)*(1-'前提と出典'!$B$7)-I421-K421-M421-O421</ns0:f>
        <ns0:v>1163351.8626342486</ns0:v>
      </ns0:c>
      <ns0:c r="Q421" s="16">
        <ns0:f>(F421+H421)*(1-'前提と出典'!$B$7)-J421-L421-N421</ns0:f>
        <ns0:v>330794.23924649105</ns0:v>
      </ns0:c>
      <ns0:c r="R421" s="16">
        <ns0:f>P421-E421*'前提と出典'!$E$4</ns0:f>
        <ns0:v>848866.3599368101</ns0:v>
      </ns0:c>
      <ns0:c r="S421" s="16">
        <ns0:f>Q421-F421*'前提と出典'!$E$4</ns0:f>
        <ns0:v>239412.79087573919</ns0:v>
      </ns0:c>
      <ns0:c r="T421" s="7">
        <ns0:f>R421+S421</ns0:f>
        <ns0:v>1088279.1508125493</ns0:v>
      </ns0:c>
      <ns0:c r="U421" s="16">
        <ns0:f>P421-E421*'前提と出典'!$E$5</ns0:f>
        <ns0:v>744037.8590376643</ns0:v>
      </ns0:c>
      <ns0:c r="V421" s="16">
        <ns0:f>Q421-F421*'前提と出典'!$E$5</ns0:f>
        <ns0:v>208952.30808548862</ns0:v>
      </ns0:c>
      <ns0:c r="W421" s="7">
        <ns0:f>U421+V421</ns0:f>
        <ns0:v>952990.1671231529</ns0:v>
      </ns0:c>
      <ns0:c r="X421" s="16">
        <ns0:f>P421-E421*'前提と出典'!$E$6</ns0:f>
        <ns0:v>639209.358138518</ns0:v>
      </ns0:c>
      <ns0:c r="Y421" s="16">
        <ns0:f>Q421-F421*'前提と出典'!$E$6</ns0:f>
        <ns0:v>178491.82529523797</ns0:v>
      </ns0:c>
      <ns0:c r="Z421" s="7">
        <ns0:f>X421+Y421</ns0:f>
        <ns0:v>817701.1834337559</ns0:v>
      </ns0:c>
      <ns0:c r="AA421" s="7">
        <ns0:f>IF(T421&gt;=0,A421,1001)</ns0:f>
        <ns0:v>417</ns0:v>
      </ns0:c>
      <ns0:c r="AB421" s="7">
        <ns0:f>IF(T421&lt;0,A421,0)</ns0:f>
        <ns0:v>0</ns0:v>
      </ns0:c>
      <ns0:c r="AC421" s="16">
        <ns0:f>IF(AND(OR('前提と出典'!$C$36+'前提と出典'!$C$38=0,R421&gt;=0),OR('前提と出典'!$C$37+'前提と出典'!$C$38=0,S421&gt;=0)),0,A421)</ns0:f>
        <ns0:v>0</ns0:v>
      </ns0:c>
      <ns0:c r="AD421" s="7">
        <ns0:f>IF(W421&gt;=0,A421,1001)</ns0:f>
        <ns0:v>417</ns0:v>
      </ns0:c>
      <ns0:c r="AE421" s="7">
        <ns0:f>IF(W421&lt;0,A421,0)</ns0:f>
        <ns0:v>0</ns0:v>
      </ns0:c>
      <ns0:c r="AF421" s="16">
        <ns0:f>IF(AND(OR('前提と出典'!$C$36+'前提と出典'!$C$38=0,U421&gt;=0),OR('前提と出典'!$C$37+'前提と出典'!$C$38=0,V421&gt;=0)),0,A421)</ns0:f>
        <ns0:v>0</ns0:v>
      </ns0:c>
      <ns0:c r="AG421" s="7">
        <ns0:f>IF(Z421&gt;=0,A421,1001)</ns0:f>
        <ns0:v>417</ns0:v>
      </ns0:c>
      <ns0:c r="AH421" s="4">
        <ns0:f>IF(Z421&lt;0,A421,0)</ns0:f>
        <ns0:v>0</ns0:v>
      </ns0:c>
      <ns0:c r="AI421" s="12">
        <ns0:f>IF(AND(OR('前提と出典'!$C$36+'前提と出典'!$C$38=0,X421&gt;=0),OR('前提と出典'!$C$37+'前提と出典'!$C$38=0,Y421&gt;=0)),0,A421)</ns0:f>
        <ns0:v>0</ns0:v>
      </ns0:c>
    </ns0:row>
    <ns0:row r="422" ht="24" customHeight="1">
      <ns0:c r="A422" s="4" t="n">
        <ns0:v>418</ns0:v>
      </ns0:c>
      <ns0:c r="B422" s="12">
        <ns0:f>A422*('前提と出典'!$C$36+'前提と出典'!$C$38)</ns0:f>
        <ns0:v>292.59999999999997</ns0:v>
      </ns0:c>
      <ns0:c r="C422" s="12">
        <ns0:f>A422*('前提と出典'!$C$37+'前提と出典'!$C$38)</ns0:f>
        <ns0:v>250.79999999999998</ns0:v>
      </ns0:c>
      <ns0:c r="D422" s="16">
        <ns0:f>A422*('前提と出典'!$C$36*'契約別単価'!C5+'前提と出典'!$C$37*'契約別単価'!C6+'前提と出典'!$C$38*'契約別単価'!C7)</ns0:f>
        <ns0:v>3007.731843575419</ns0:v>
      </ns0:c>
      <ns0:c r="E422" s="16">
        <ns0:f>A422*('前提と出典'!$C$36*'契約別単価'!E5+'前提と出典'!$C$37*'契約別単価'!E6+'前提と出典'!$C$38*'契約別単価'!E7)</ns0:f>
        <ns0:v>1050798.8819147018</ns0:v>
      </ns0:c>
      <ns0:c r="F422" s="16">
        <ns0:f>A422*('前提と出典'!$C$36*'契約別単価'!F5+'前提と出典'!$C$37*'契約別単価'!F6+'前提と出典'!$C$38*'契約別単価'!F7)</ns0:f>
        <ns0:v>305335.2951157015</ns0:v>
      </ns0:c>
      <ns0:c r="G422" s="16">
        <ns0:f>A422*('前提と出典'!$C$36*'契約別単価'!G5+'前提と出典'!$C$37*'契約別単価'!G6+'前提と出典'!$C$38*'契約別単価'!G7)</ns0:f>
        <ns0:v>832030.1675977653</ns0:v>
      </ns0:c>
      <ns0:c r="H422" s="16">
        <ns0:f>A422*('前提と出典'!$C$36*'契約別単価'!H5+'前提と出典'!$C$37*'契約別単価'!H6+'前提と出典'!$C$38*'契約別単価'!H7)</ns0:f>
        <ns0:v>288756.1977485191</ns0:v>
      </ns0:c>
      <ns0:c r="I422" s="16">
        <ns0:f>A422*('前提と出典'!$C$36*'契約別単価'!I5+'前提と出典'!$C$37*'契約別単価'!I6+'前提と出典'!$C$38*'契約別単価'!I7)</ns0:f>
        <ns0:v>17637.731843575417</ns0:v>
      </ns0:c>
      <ns0:c r="J422" s="16">
        <ns0:f>A422*('前提と出典'!$C$36*'契約別単価'!J5+'前提と出典'!$C$37*'契約別単価'!J6+'前提と出典'!$C$38*'契約別単価'!J7)</ns0:f>
        <ns0:v>41085.029270906474</ns0:v>
      </ns0:c>
      <ns0:c r="K422" s="16">
        <ns0:f>A422*('前提と出典'!$C$36*'契約別単価'!K5+'前提と出典'!$C$37*'契約別単価'!K6+'前提と出典'!$C$38*'契約別単価'!K7)</ns0:f>
        <ns0:v>176104.87895716945</ns0:v>
      </ns0:c>
      <ns0:c r="L422" s="16">
        <ns0:f>A422*('前提と出典'!$C$36*'契約別単価'!L5+'前提と出典'!$C$37*'契約別単価'!L6+'前提と出典'!$C$38*'契約別単価'!L7)</ns0:f>
        <ns0:v>143385.2065916173</ns0:v>
      </ns0:c>
      <ns0:c r="M422" s="16">
        <ns0:f>IF(('前提と出典'!$C$36+'前提と出典'!$C$38)=0,0,IF(B422&lt;=10,'前提と出典'!B73+'前提と出典'!C73,IF(B422&lt;=100,'前提と出典'!B74+'前提と出典'!C74,IF(B422&lt;=500,'前提と出典'!B75+'前提と出典'!C75,'前提と出典'!B76+'前提と出典'!C76))))</ns0:f>
        <ns0:v>40000</ns0:v>
      </ns0:c>
      <ns0:c r="N422" s="16">
        <ns0:f>IF(('前提と出典'!$C$37+'前提と出典'!$C$38)=0,0,IF(C422&lt;=10,'前提と出典'!D73+'前提と出典'!E73,IF(C422&lt;=100,'前提と出典'!D74+'前提と出典'!E74,IF(C422&lt;=500,'前提と出典'!D75+'前提と出典'!E75,'前提と出典'!D76+'前提と出典'!E76))))</ns0:f>
        <ns0:v>56510.9346263078</ns0:v>
      </ns0:c>
      <ns0:c r="O422" s="16">
        <ns0:f>IF('前提と出典'!$C$36+'前提と出典'!$C$38=0,0,'前提と出典'!$B$4*IF('前提と出典'!$B$20=0,MAX('前提と出典'!$B$6,D422*'前提と出典'!$B$5),'前提と出典'!$B$6+D422*'前提と出典'!$B$5))</ns0:f>
        <ns0:v>415066.9944134078</ns0:v>
      </ns0:c>
      <ns0:c r="P422" s="16">
        <ns0:f>(E422+G422)*(1-'前提と出典'!$B$7)-I422-K422-M422-O422</ns0:f>
        <ns0:v>1166237.5985158659</ns0:v>
      </ns0:c>
      <ns0:c r="Q422" s="16">
        <ns0:f>(F422+H422)*(1-'前提と出典'!$B$7)-J422-L422-N422</ns0:f>
        <ns0:v>331723.02863227716</ns0:v>
      </ns0:c>
      <ns0:c r="R422" s="16">
        <ns0:f>P422-E422*'前提と出典'!$E$4</ns0:f>
        <ns0:v>850997.9339414553</ns0:v>
      </ns0:c>
      <ns0:c r="S422" s="16">
        <ns0:f>Q422-F422*'前提と出典'!$E$4</ns0:f>
        <ns0:v>240122.4400975667</ns0:v>
      </ns0:c>
      <ns0:c r="T422" s="7">
        <ns0:f>R422+S422</ns0:f>
        <ns0:v>1091120.374039022</ns0:v>
      </ns0:c>
      <ns0:c r="U422" s="16">
        <ns0:f>P422-E422*'前提と出典'!$E$5</ns0:f>
        <ns0:v>745918.0457499851</ns0:v>
      </ns0:c>
      <ns0:c r="V422" s="16">
        <ns0:f>Q422-F422*'前提と出典'!$E$5</ns0:f>
        <ns0:v>209588.91058599658</ns0:v>
      </ns0:c>
      <ns0:c r="W422" s="7">
        <ns0:f>U422+V422</ns0:f>
        <ns0:v>955506.9563359817</ns0:v>
      </ns0:c>
      <ns0:c r="X422" s="16">
        <ns0:f>P422-E422*'前提と出典'!$E$6</ns0:f>
        <ns0:v>640838.157558515</ns0:v>
      </ns0:c>
      <ns0:c r="Y422" s="16">
        <ns0:f>Q422-F422*'前提と出典'!$E$6</ns0:f>
        <ns0:v>179055.38107442638</ns0:v>
      </ns0:c>
      <ns0:c r="Z422" s="7">
        <ns0:f>X422+Y422</ns0:f>
        <ns0:v>819893.5386329413</ns0:v>
      </ns0:c>
      <ns0:c r="AA422" s="7">
        <ns0:f>IF(T422&gt;=0,A422,1001)</ns0:f>
        <ns0:v>418</ns0:v>
      </ns0:c>
      <ns0:c r="AB422" s="7">
        <ns0:f>IF(T422&lt;0,A422,0)</ns0:f>
        <ns0:v>0</ns0:v>
      </ns0:c>
      <ns0:c r="AC422" s="16">
        <ns0:f>IF(AND(OR('前提と出典'!$C$36+'前提と出典'!$C$38=0,R422&gt;=0),OR('前提と出典'!$C$37+'前提と出典'!$C$38=0,S422&gt;=0)),0,A422)</ns0:f>
        <ns0:v>0</ns0:v>
      </ns0:c>
      <ns0:c r="AD422" s="7">
        <ns0:f>IF(W422&gt;=0,A422,1001)</ns0:f>
        <ns0:v>418</ns0:v>
      </ns0:c>
      <ns0:c r="AE422" s="7">
        <ns0:f>IF(W422&lt;0,A422,0)</ns0:f>
        <ns0:v>0</ns0:v>
      </ns0:c>
      <ns0:c r="AF422" s="16">
        <ns0:f>IF(AND(OR('前提と出典'!$C$36+'前提と出典'!$C$38=0,U422&gt;=0),OR('前提と出典'!$C$37+'前提と出典'!$C$38=0,V422&gt;=0)),0,A422)</ns0:f>
        <ns0:v>0</ns0:v>
      </ns0:c>
      <ns0:c r="AG422" s="7">
        <ns0:f>IF(Z422&gt;=0,A422,1001)</ns0:f>
        <ns0:v>418</ns0:v>
      </ns0:c>
      <ns0:c r="AH422" s="4">
        <ns0:f>IF(Z422&lt;0,A422,0)</ns0:f>
        <ns0:v>0</ns0:v>
      </ns0:c>
      <ns0:c r="AI422" s="12">
        <ns0:f>IF(AND(OR('前提と出典'!$C$36+'前提と出典'!$C$38=0,X422&gt;=0),OR('前提と出典'!$C$37+'前提と出典'!$C$38=0,Y422&gt;=0)),0,A422)</ns0:f>
        <ns0:v>0</ns0:v>
      </ns0:c>
    </ns0:row>
    <ns0:row r="423" ht="24" customHeight="1">
      <ns0:c r="A423" s="4" t="n">
        <ns0:v>419</ns0:v>
      </ns0:c>
      <ns0:c r="B423" s="12">
        <ns0:f>A423*('前提と出典'!$C$36+'前提と出典'!$C$38)</ns0:f>
        <ns0:v>293.29999999999995</ns0:v>
      </ns0:c>
      <ns0:c r="C423" s="12">
        <ns0:f>A423*('前提と出典'!$C$37+'前提と出典'!$C$38)</ns0:f>
        <ns0:v>251.39999999999998</ns0:v>
      </ns0:c>
      <ns0:c r="D423" s="16">
        <ns0:f>A423*('前提と出典'!$C$36*'契約別単価'!C5+'前提と出典'!$C$37*'契約別単価'!C6+'前提と出典'!$C$38*'契約別単価'!C7)</ns0:f>
        <ns0:v>3014.927374301676</ns0:v>
      </ns0:c>
      <ns0:c r="E423" s="16">
        <ns0:f>A423*('前提と出典'!$C$36*'契約別単価'!E5+'前提と出典'!$C$37*'契約別単価'!E6+'前提と出典'!$C$38*'契約別単価'!E7)</ns0:f>
        <ns0:v>1053312.7548379425</ns0:v>
      </ns0:c>
      <ns0:c r="F423" s="16">
        <ns0:f>A423*('前提と出典'!$C$36*'契約別単価'!F5+'前提と出典'!$C$37*'契約別単価'!F6+'前提と出典'!$C$38*'契約別単価'!F7)</ns0:f>
        <ns0:v>306065.76232889696</ns0:v>
      </ns0:c>
      <ns0:c r="G423" s="16">
        <ns0:f>A423*('前提と出典'!$C$36*'契約別単価'!G5+'前提と出典'!$C$37*'契約別単価'!G6+'前提と出典'!$C$38*'契約別単価'!G7)</ns0:f>
        <ns0:v>834020.6703910615</ns0:v>
      </ns0:c>
      <ns0:c r="H423" s="16">
        <ns0:f>A423*('前提と出典'!$C$36*'契約別単価'!H5+'前提と出典'!$C$37*'契約別単価'!H6+'前提と出典'!$C$38*'契約別単価'!H7)</ns0:f>
        <ns0:v>289447.00204935286</ns0:v>
      </ns0:c>
      <ns0:c r="I423" s="16">
        <ns0:f>A423*('前提と出典'!$C$36*'契約別単価'!I5+'前提と出典'!$C$37*'契約別単価'!I6+'前提と出典'!$C$38*'契約別単価'!I7)</ns0:f>
        <ns0:v>17679.927374301675</ns0:v>
      </ns0:c>
      <ns0:c r="J423" s="16">
        <ns0:f>A423*('前提と出典'!$C$36*'契約別単価'!J5+'前提と出典'!$C$37*'契約別単価'!J6+'前提と出典'!$C$38*'契約別単価'!J7)</ns0:f>
        <ns0:v>41183.318814616774</ns0:v>
      </ns0:c>
      <ns0:c r="K423" s="16">
        <ns0:f>A423*('前提と出典'!$C$36*'契約別単価'!K5+'前提と出典'!$C$37*'契約別単価'!K6+'前提と出典'!$C$38*'契約別単価'!K7)</ns0:f>
        <ns0:v>176526.1824953445</ns0:v>
      </ns0:c>
      <ns0:c r="L423" s="16">
        <ns0:f>A423*('前提と出典'!$C$36*'契約別単価'!L5+'前提と出典'!$C$37*'契約別単価'!L6+'前提と出典'!$C$38*'契約別単価'!L7)</ns0:f>
        <ns0:v>143728.2334016451</ns0:v>
      </ns0:c>
      <ns0:c r="M423" s="16">
        <ns0:f>IF(('前提と出典'!$C$36+'前提と出典'!$C$38)=0,0,IF(B423&lt;=10,'前提と出典'!B73+'前提と出典'!C73,IF(B423&lt;=100,'前提と出典'!B74+'前提と出典'!C74,IF(B423&lt;=500,'前提と出典'!B75+'前提と出典'!C75,'前提と出典'!B76+'前提と出典'!C76))))</ns0:f>
        <ns0:v>40000</ns0:v>
      </ns0:c>
      <ns0:c r="N423" s="16">
        <ns0:f>IF(('前提と出典'!$C$37+'前提と出典'!$C$38)=0,0,IF(C423&lt;=10,'前提と出典'!D73+'前提と出典'!E73,IF(C423&lt;=100,'前提と出典'!D74+'前提と出典'!E74,IF(C423&lt;=500,'前提と出典'!D75+'前提と出典'!E75,'前提と出典'!D76+'前提と出典'!E76))))</ns0:f>
        <ns0:v>56510.9346263078</ns0:v>
      </ns0:c>
      <ns0:c r="O423" s="16">
        <ns0:f>IF('前提と出典'!$C$36+'前提と出典'!$C$38=0,0,'前提と出典'!$B$4*IF('前提と出典'!$B$20=0,MAX('前提と出典'!$B$6,D423*'前提と出典'!$B$5),'前提と出典'!$B$6+D423*'前提と出典'!$B$5))</ns0:f>
        <ns0:v>416059.9776536313</ns0:v>
      </ns0:c>
      <ns0:c r="P423" s="16">
        <ns0:f>(E423+G423)*(1-'前提と出典'!$B$7)-I423-K423-M423-O423</ns0:f>
        <ns0:v>1169123.3343974827</ns0:v>
      </ns0:c>
      <ns0:c r="Q423" s="16">
        <ns0:f>(F423+H423)*(1-'前提と出典'!$B$7)-J423-L423-N423</ns0:f>
        <ns0:v>332651.8180180632</ns0:v>
      </ns0:c>
      <ns0:c r="R423" s="16">
        <ns0:f>P423-E423*'前提と出典'!$E$4</ns0:f>
        <ns0:v>853129.5079460999</ns0:v>
      </ns0:c>
      <ns0:c r="S423" s="16">
        <ns0:f>Q423-F423*'前提と出典'!$E$4</ns0:f>
        <ns0:v>240832.0893193941</ns0:v>
      </ns0:c>
      <ns0:c r="T423" s="7">
        <ns0:f>R423+S423</ns0:f>
        <ns0:v>1093961.597265494</ns0:v>
      </ns0:c>
      <ns0:c r="U423" s="16">
        <ns0:f>P423-E423*'前提と出典'!$E$5</ns0:f>
        <ns0:v>747798.2324623056</ns0:v>
      </ns0:c>
      <ns0:c r="V423" s="16">
        <ns0:f>Q423-F423*'前提と出典'!$E$5</ns0:f>
        <ns0:v>210225.51308650442</ns0:v>
      </ns0:c>
      <ns0:c r="W423" s="7">
        <ns0:f>U423+V423</ns0:f>
        <ns0:v>958023.74554881</ns0:v>
      </ns0:c>
      <ns0:c r="X423" s="16">
        <ns0:f>P423-E423*'前提と出典'!$E$6</ns0:f>
        <ns0:v>642466.9569785115</ns0:v>
      </ns0:c>
      <ns0:c r="Y423" s="16">
        <ns0:f>Q423-F423*'前提と出典'!$E$6</ns0:f>
        <ns0:v>179618.93685361475</ns0:v>
      </ns0:c>
      <ns0:c r="Z423" s="7">
        <ns0:f>X423+Y423</ns0:f>
        <ns0:v>822085.8938321263</ns0:v>
      </ns0:c>
      <ns0:c r="AA423" s="7">
        <ns0:f>IF(T423&gt;=0,A423,1001)</ns0:f>
        <ns0:v>419</ns0:v>
      </ns0:c>
      <ns0:c r="AB423" s="7">
        <ns0:f>IF(T423&lt;0,A423,0)</ns0:f>
        <ns0:v>0</ns0:v>
      </ns0:c>
      <ns0:c r="AC423" s="16">
        <ns0:f>IF(AND(OR('前提と出典'!$C$36+'前提と出典'!$C$38=0,R423&gt;=0),OR('前提と出典'!$C$37+'前提と出典'!$C$38=0,S423&gt;=0)),0,A423)</ns0:f>
        <ns0:v>0</ns0:v>
      </ns0:c>
      <ns0:c r="AD423" s="7">
        <ns0:f>IF(W423&gt;=0,A423,1001)</ns0:f>
        <ns0:v>419</ns0:v>
      </ns0:c>
      <ns0:c r="AE423" s="7">
        <ns0:f>IF(W423&lt;0,A423,0)</ns0:f>
        <ns0:v>0</ns0:v>
      </ns0:c>
      <ns0:c r="AF423" s="16">
        <ns0:f>IF(AND(OR('前提と出典'!$C$36+'前提と出典'!$C$38=0,U423&gt;=0),OR('前提と出典'!$C$37+'前提と出典'!$C$38=0,V423&gt;=0)),0,A423)</ns0:f>
        <ns0:v>0</ns0:v>
      </ns0:c>
      <ns0:c r="AG423" s="7">
        <ns0:f>IF(Z423&gt;=0,A423,1001)</ns0:f>
        <ns0:v>419</ns0:v>
      </ns0:c>
      <ns0:c r="AH423" s="4">
        <ns0:f>IF(Z423&lt;0,A423,0)</ns0:f>
        <ns0:v>0</ns0:v>
      </ns0:c>
      <ns0:c r="AI423" s="12">
        <ns0:f>IF(AND(OR('前提と出典'!$C$36+'前提と出典'!$C$38=0,X423&gt;=0),OR('前提と出典'!$C$37+'前提と出典'!$C$38=0,Y423&gt;=0)),0,A423)</ns0:f>
        <ns0:v>0</ns0:v>
      </ns0:c>
    </ns0:row>
    <ns0:row r="424" ht="24" customHeight="1">
      <ns0:c r="A424" s="4" t="n">
        <ns0:v>420</ns0:v>
      </ns0:c>
      <ns0:c r="B424" s="12">
        <ns0:f>A424*('前提と出典'!$C$36+'前提と出典'!$C$38)</ns0:f>
        <ns0:v>294</ns0:v>
      </ns0:c>
      <ns0:c r="C424" s="12">
        <ns0:f>A424*('前提と出典'!$C$37+'前提と出典'!$C$38)</ns0:f>
        <ns0:v>252</ns0:v>
      </ns0:c>
      <ns0:c r="D424" s="16">
        <ns0:f>A424*('前提と出典'!$C$36*'契約別単価'!C5+'前提と出典'!$C$37*'契約別単価'!C6+'前提と出典'!$C$38*'契約別単価'!C7)</ns0:f>
        <ns0:v>3022.122905027933</ns0:v>
      </ns0:c>
      <ns0:c r="E424" s="16">
        <ns0:f>A424*('前提と出典'!$C$36*'契約別単価'!E5+'前提と出典'!$C$37*'契約別単価'!E6+'前提と出典'!$C$38*'契約別単価'!E7)</ns0:f>
        <ns0:v>1055826.6277611835</ns0:v>
      </ns0:c>
      <ns0:c r="F424" s="16">
        <ns0:f>A424*('前提と出典'!$C$36*'契約別単価'!F5+'前提と出典'!$C$37*'契約別単価'!F6+'前提と出典'!$C$38*'契約別単価'!F7)</ns0:f>
        <ns0:v>306796.2295420924</ns0:v>
      </ns0:c>
      <ns0:c r="G424" s="16">
        <ns0:f>A424*('前提と出典'!$C$36*'契約別単価'!G5+'前提と出典'!$C$37*'契約別単価'!G6+'前提と出典'!$C$38*'契約別単価'!G7)</ns0:f>
        <ns0:v>836011.1731843575</ns0:v>
      </ns0:c>
      <ns0:c r="H424" s="16">
        <ns0:f>A424*('前提と出典'!$C$36*'契約別単価'!H5+'前提と出典'!$C$37*'契約別単価'!H6+'前提と出典'!$C$38*'契約別単価'!H7)</ns0:f>
        <ns0:v>290137.80635018664</ns0:v>
      </ns0:c>
      <ns0:c r="I424" s="16">
        <ns0:f>A424*('前提と出典'!$C$36*'契約別単価'!I5+'前提と出典'!$C$37*'契約別単価'!I6+'前提と出典'!$C$38*'契約別単価'!I7)</ns0:f>
        <ns0:v>17722.12290502793</ns0:v>
      </ns0:c>
      <ns0:c r="J424" s="16">
        <ns0:f>A424*('前提と出典'!$C$36*'契約別単価'!J5+'前提と出典'!$C$37*'契約別単価'!J6+'前提と出典'!$C$38*'契約別単価'!J7)</ns0:f>
        <ns0:v>41281.60835832708</ns0:v>
      </ns0:c>
      <ns0:c r="K424" s="16">
        <ns0:f>A424*('前提と出典'!$C$36*'契約別単価'!K5+'前提と出典'!$C$37*'契約別単価'!K6+'前提と出典'!$C$38*'契約別単価'!K7)</ns0:f>
        <ns0:v>176947.48603351956</ns0:v>
      </ns0:c>
      <ns0:c r="L424" s="16">
        <ns0:f>A424*('前提と出典'!$C$36*'契約別単価'!L5+'前提と出典'!$C$37*'契約別単価'!L6+'前提と出典'!$C$38*'契約別単価'!L7)</ns0:f>
        <ns0:v>144071.2602116729</ns0:v>
      </ns0:c>
      <ns0:c r="M424" s="16">
        <ns0:f>IF(('前提と出典'!$C$36+'前提と出典'!$C$38)=0,0,IF(B424&lt;=10,'前提と出典'!B73+'前提と出典'!C73,IF(B424&lt;=100,'前提と出典'!B74+'前提と出典'!C74,IF(B424&lt;=500,'前提と出典'!B75+'前提と出典'!C75,'前提と出典'!B76+'前提と出典'!C76))))</ns0:f>
        <ns0:v>40000</ns0:v>
      </ns0:c>
      <ns0:c r="N424" s="16">
        <ns0:f>IF(('前提と出典'!$C$37+'前提と出典'!$C$38)=0,0,IF(C424&lt;=10,'前提と出典'!D73+'前提と出典'!E73,IF(C424&lt;=100,'前提と出典'!D74+'前提と出典'!E74,IF(C424&lt;=500,'前提と出典'!D75+'前提と出典'!E75,'前提と出典'!D76+'前提と出典'!E76))))</ns0:f>
        <ns0:v>56510.9346263078</ns0:v>
      </ns0:c>
      <ns0:c r="O424" s="16">
        <ns0:f>IF('前提と出典'!$C$36+'前提と出典'!$C$38=0,0,'前提と出典'!$B$4*IF('前提と出典'!$B$20=0,MAX('前提と出典'!$B$6,D424*'前提と出典'!$B$5),'前提と出典'!$B$6+D424*'前提と出典'!$B$5))</ns0:f>
        <ns0:v>417052.9608938548</ns0:v>
      </ns0:c>
      <ns0:c r="P424" s="16">
        <ns0:f>(E424+G424)*(1-'前提と出典'!$B$7)-I424-K424-M424-O424</ns0:f>
        <ns0:v>1172009.0702790993</ns0:v>
      </ns0:c>
      <ns0:c r="Q424" s="16">
        <ns0:f>(F424+H424)*(1-'前提と出典'!$B$7)-J424-L424-N424</ns0:f>
        <ns0:v>333580.60740384925</ns0:v>
      </ns0:c>
      <ns0:c r="R424" s="16">
        <ns0:f>P424-E424*'前提と出典'!$E$4</ns0:f>
        <ns0:v>855261.0819507441</ns0:v>
      </ns0:c>
      <ns0:c r="S424" s="16">
        <ns0:f>Q424-F424*'前提と出典'!$E$4</ns0:f>
        <ns0:v>241541.7385412216</ns0:v>
      </ns0:c>
      <ns0:c r="T424" s="7">
        <ns0:f>R424+S424</ns0:f>
        <ns0:v>1096802.8204919659</ns0:v>
      </ns0:c>
      <ns0:c r="U424" s="16">
        <ns0:f>P424-E424*'前提と出典'!$E$5</ns0:f>
        <ns0:v>749678.4191746258</ns0:v>
      </ns0:c>
      <ns0:c r="V424" s="16">
        <ns0:f>Q424-F424*'前提と出典'!$E$5</ns0:f>
        <ns0:v>210862.11558701226</ns0:v>
      </ns0:c>
      <ns0:c r="W424" s="7">
        <ns0:f>U424+V424</ns0:f>
        <ns0:v>960540.534761638</ns0:v>
      </ns0:c>
      <ns0:c r="X424" s="16">
        <ns0:f>P424-E424*'前提と出典'!$E$6</ns0:f>
        <ns0:v>644095.7563985076</ns0:v>
      </ns0:c>
      <ns0:c r="Y424" s="16">
        <ns0:f>Q424-F424*'前提と出典'!$E$6</ns0:f>
        <ns0:v>180182.49263280307</ns0:v>
      </ns0:c>
      <ns0:c r="Z424" s="7">
        <ns0:f>X424+Y424</ns0:f>
        <ns0:v>824278.2490313107</ns0:v>
      </ns0:c>
      <ns0:c r="AA424" s="7">
        <ns0:f>IF(T424&gt;=0,A424,1001)</ns0:f>
        <ns0:v>420</ns0:v>
      </ns0:c>
      <ns0:c r="AB424" s="7">
        <ns0:f>IF(T424&lt;0,A424,0)</ns0:f>
        <ns0:v>0</ns0:v>
      </ns0:c>
      <ns0:c r="AC424" s="16">
        <ns0:f>IF(AND(OR('前提と出典'!$C$36+'前提と出典'!$C$38=0,R424&gt;=0),OR('前提と出典'!$C$37+'前提と出典'!$C$38=0,S424&gt;=0)),0,A424)</ns0:f>
        <ns0:v>0</ns0:v>
      </ns0:c>
      <ns0:c r="AD424" s="7">
        <ns0:f>IF(W424&gt;=0,A424,1001)</ns0:f>
        <ns0:v>420</ns0:v>
      </ns0:c>
      <ns0:c r="AE424" s="7">
        <ns0:f>IF(W424&lt;0,A424,0)</ns0:f>
        <ns0:v>0</ns0:v>
      </ns0:c>
      <ns0:c r="AF424" s="16">
        <ns0:f>IF(AND(OR('前提と出典'!$C$36+'前提と出典'!$C$38=0,U424&gt;=0),OR('前提と出典'!$C$37+'前提と出典'!$C$38=0,V424&gt;=0)),0,A424)</ns0:f>
        <ns0:v>0</ns0:v>
      </ns0:c>
      <ns0:c r="AG424" s="7">
        <ns0:f>IF(Z424&gt;=0,A424,1001)</ns0:f>
        <ns0:v>420</ns0:v>
      </ns0:c>
      <ns0:c r="AH424" s="4">
        <ns0:f>IF(Z424&lt;0,A424,0)</ns0:f>
        <ns0:v>0</ns0:v>
      </ns0:c>
      <ns0:c r="AI424" s="12">
        <ns0:f>IF(AND(OR('前提と出典'!$C$36+'前提と出典'!$C$38=0,X424&gt;=0),OR('前提と出典'!$C$37+'前提と出典'!$C$38=0,Y424&gt;=0)),0,A424)</ns0:f>
        <ns0:v>0</ns0:v>
      </ns0:c>
    </ns0:row>
    <ns0:row r="425" ht="24" customHeight="1">
      <ns0:c r="A425" s="4" t="n">
        <ns0:v>421</ns0:v>
      </ns0:c>
      <ns0:c r="B425" s="12">
        <ns0:f>A425*('前提と出典'!$C$36+'前提と出典'!$C$38)</ns0:f>
        <ns0:v>294.7</ns0:v>
      </ns0:c>
      <ns0:c r="C425" s="12">
        <ns0:f>A425*('前提と出典'!$C$37+'前提と出典'!$C$38)</ns0:f>
        <ns0:v>252.6</ns0:v>
      </ns0:c>
      <ns0:c r="D425" s="16">
        <ns0:f>A425*('前提と出典'!$C$36*'契約別単価'!C5+'前提と出典'!$C$37*'契約別単価'!C6+'前提と出典'!$C$38*'契約別単価'!C7)</ns0:f>
        <ns0:v>3029.31843575419</ns0:v>
      </ns0:c>
      <ns0:c r="E425" s="16">
        <ns0:f>A425*('前提と出典'!$C$36*'契約別単価'!E5+'前提と出典'!$C$37*'契約別単価'!E6+'前提と出典'!$C$38*'契約別単価'!E7)</ns0:f>
        <ns0:v>1058340.5006844245</ns0:v>
      </ns0:c>
      <ns0:c r="F425" s="16">
        <ns0:f>A425*('前提と出典'!$C$36*'契約別単価'!F5+'前提と出典'!$C$37*'契約別単価'!F6+'前提と出典'!$C$38*'契約別単価'!F7)</ns0:f>
        <ns0:v>307526.6967552879</ns0:v>
      </ns0:c>
      <ns0:c r="G425" s="16">
        <ns0:f>A425*('前提と出典'!$C$36*'契約別単価'!G5+'前提と出典'!$C$37*'契約別単価'!G6+'前提と出典'!$C$38*'契約別単価'!G7)</ns0:f>
        <ns0:v>838001.6759776536</ns0:v>
      </ns0:c>
      <ns0:c r="H425" s="16">
        <ns0:f>A425*('前提と出典'!$C$36*'契約別単価'!H5+'前提と出典'!$C$37*'契約別単価'!H6+'前提と出典'!$C$38*'契約別単価'!H7)</ns0:f>
        <ns0:v>290828.6106510204</ns0:v>
      </ns0:c>
      <ns0:c r="I425" s="16">
        <ns0:f>A425*('前提と出典'!$C$36*'契約別単価'!I5+'前提と出典'!$C$37*'契約別単価'!I6+'前提と出典'!$C$38*'契約別単価'!I7)</ns0:f>
        <ns0:v>17764.318435754187</ns0:v>
      </ns0:c>
      <ns0:c r="J425" s="16">
        <ns0:f>A425*('前提と出典'!$C$36*'契約別単価'!J5+'前提と出典'!$C$37*'契約別単価'!J6+'前提と出典'!$C$38*'契約別単価'!J7)</ns0:f>
        <ns0:v>41379.89790203738</ns0:v>
      </ns0:c>
      <ns0:c r="K425" s="16">
        <ns0:f>A425*('前提と出典'!$C$36*'契約別単価'!K5+'前提と出典'!$C$37*'契約別単価'!K6+'前提と出典'!$C$38*'契約別単価'!K7)</ns0:f>
        <ns0:v>177368.7895716946</ns0:v>
      </ns0:c>
      <ns0:c r="L425" s="16">
        <ns0:f>A425*('前提と出典'!$C$36*'契約別単価'!L5+'前提と出典'!$C$37*'契約別単価'!L6+'前提と出典'!$C$38*'契約別単価'!L7)</ns0:f>
        <ns0:v>144414.28702170067</ns0:v>
      </ns0:c>
      <ns0:c r="M425" s="16">
        <ns0:f>IF(('前提と出典'!$C$36+'前提と出典'!$C$38)=0,0,IF(B425&lt;=10,'前提と出典'!B73+'前提と出典'!C73,IF(B425&lt;=100,'前提と出典'!B74+'前提と出典'!C74,IF(B425&lt;=500,'前提と出典'!B75+'前提と出典'!C75,'前提と出典'!B76+'前提と出典'!C76))))</ns0:f>
        <ns0:v>40000</ns0:v>
      </ns0:c>
      <ns0:c r="N425" s="16">
        <ns0:f>IF(('前提と出典'!$C$37+'前提と出典'!$C$38)=0,0,IF(C425&lt;=10,'前提と出典'!D73+'前提と出典'!E73,IF(C425&lt;=100,'前提と出典'!D74+'前提と出典'!E74,IF(C425&lt;=500,'前提と出典'!D75+'前提と出典'!E75,'前提と出典'!D76+'前提と出典'!E76))))</ns0:f>
        <ns0:v>56510.9346263078</ns0:v>
      </ns0:c>
      <ns0:c r="O425" s="16">
        <ns0:f>IF('前提と出典'!$C$36+'前提と出典'!$C$38=0,0,'前提と出典'!$B$4*IF('前提と出典'!$B$20=0,MAX('前提と出典'!$B$6,D425*'前提と出典'!$B$5),'前提と出典'!$B$6+D425*'前提と出典'!$B$5))</ns0:f>
        <ns0:v>418045.9441340783</ns0:v>
      </ns0:c>
      <ns0:c r="P425" s="16">
        <ns0:f>(E425+G425)*(1-'前提と出典'!$B$7)-I425-K425-M425-O425</ns0:f>
        <ns0:v>1174894.8061607163</ns0:v>
      </ns0:c>
      <ns0:c r="Q425" s="16">
        <ns0:f>(F425+H425)*(1-'前提と出典'!$B$7)-J425-L425-N425</ns0:f>
        <ns0:v>334509.3967896355</ns0:v>
      </ns0:c>
      <ns0:c r="R425" s="16">
        <ns0:f>P425-E425*'前提と出典'!$E$4</ns0:f>
        <ns0:v>857392.6559553889</ns0:v>
      </ns0:c>
      <ns0:c r="S425" s="16">
        <ns0:f>Q425-F425*'前提と出典'!$E$4</ns0:f>
        <ns0:v>242251.3877630491</ns0:v>
      </ns0:c>
      <ns0:c r="T425" s="7">
        <ns0:f>R425+S425</ns0:f>
        <ns0:v>1099644.0437184381</ns0:v>
      </ns0:c>
      <ns0:c r="U425" s="16">
        <ns0:f>P425-E425*'前提と出典'!$E$5</ns0:f>
        <ns0:v>751558.6058869464</ns0:v>
      </ns0:c>
      <ns0:c r="V425" s="16">
        <ns0:f>Q425-F425*'前提と出典'!$E$5</ns0:f>
        <ns0:v>211498.71808752033</ns0:v>
      </ns0:c>
      <ns0:c r="W425" s="7">
        <ns0:f>U425+V425</ns0:f>
        <ns0:v>963057.3239744668</ns0:v>
      </ns0:c>
      <ns0:c r="X425" s="16">
        <ns0:f>P425-E425*'前提と出典'!$E$6</ns0:f>
        <ns0:v>645724.5558185042</ns0:v>
      </ns0:c>
      <ns0:c r="Y425" s="16">
        <ns0:f>Q425-F425*'前提と出典'!$E$6</ns0:f>
        <ns0:v>180746.04841199148</ns0:v>
      </ns0:c>
      <ns0:c r="Z425" s="7">
        <ns0:f>X425+Y425</ns0:f>
        <ns0:v>826470.6042304956</ns0:v>
      </ns0:c>
      <ns0:c r="AA425" s="7">
        <ns0:f>IF(T425&gt;=0,A425,1001)</ns0:f>
        <ns0:v>421</ns0:v>
      </ns0:c>
      <ns0:c r="AB425" s="7">
        <ns0:f>IF(T425&lt;0,A425,0)</ns0:f>
        <ns0:v>0</ns0:v>
      </ns0:c>
      <ns0:c r="AC425" s="16">
        <ns0:f>IF(AND(OR('前提と出典'!$C$36+'前提と出典'!$C$38=0,R425&gt;=0),OR('前提と出典'!$C$37+'前提と出典'!$C$38=0,S425&gt;=0)),0,A425)</ns0:f>
        <ns0:v>0</ns0:v>
      </ns0:c>
      <ns0:c r="AD425" s="7">
        <ns0:f>IF(W425&gt;=0,A425,1001)</ns0:f>
        <ns0:v>421</ns0:v>
      </ns0:c>
      <ns0:c r="AE425" s="7">
        <ns0:f>IF(W425&lt;0,A425,0)</ns0:f>
        <ns0:v>0</ns0:v>
      </ns0:c>
      <ns0:c r="AF425" s="16">
        <ns0:f>IF(AND(OR('前提と出典'!$C$36+'前提と出典'!$C$38=0,U425&gt;=0),OR('前提と出典'!$C$37+'前提と出典'!$C$38=0,V425&gt;=0)),0,A425)</ns0:f>
        <ns0:v>0</ns0:v>
      </ns0:c>
      <ns0:c r="AG425" s="7">
        <ns0:f>IF(Z425&gt;=0,A425,1001)</ns0:f>
        <ns0:v>421</ns0:v>
      </ns0:c>
      <ns0:c r="AH425" s="4">
        <ns0:f>IF(Z425&lt;0,A425,0)</ns0:f>
        <ns0:v>0</ns0:v>
      </ns0:c>
      <ns0:c r="AI425" s="12">
        <ns0:f>IF(AND(OR('前提と出典'!$C$36+'前提と出典'!$C$38=0,X425&gt;=0),OR('前提と出典'!$C$37+'前提と出典'!$C$38=0,Y425&gt;=0)),0,A425)</ns0:f>
        <ns0:v>0</ns0:v>
      </ns0:c>
    </ns0:row>
    <ns0:row r="426" ht="24" customHeight="1">
      <ns0:c r="A426" s="4" t="n">
        <ns0:v>422</ns0:v>
      </ns0:c>
      <ns0:c r="B426" s="12">
        <ns0:f>A426*('前提と出典'!$C$36+'前提と出典'!$C$38)</ns0:f>
        <ns0:v>295.4</ns0:v>
      </ns0:c>
      <ns0:c r="C426" s="12">
        <ns0:f>A426*('前提と出典'!$C$37+'前提と出典'!$C$38)</ns0:f>
        <ns0:v>253.2</ns0:v>
      </ns0:c>
      <ns0:c r="D426" s="16">
        <ns0:f>A426*('前提と出典'!$C$36*'契約別単価'!C5+'前提と出典'!$C$37*'契約別単価'!C6+'前提と出典'!$C$38*'契約別単価'!C7)</ns0:f>
        <ns0:v>3036.513966480447</ns0:v>
      </ns0:c>
      <ns0:c r="E426" s="16">
        <ns0:f>A426*('前提と出典'!$C$36*'契約別単価'!E5+'前提と出典'!$C$37*'契約別単価'!E6+'前提と出典'!$C$38*'契約別単価'!E7)</ns0:f>
        <ns0:v>1060854.3736076653</ns0:v>
      </ns0:c>
      <ns0:c r="F426" s="16">
        <ns0:f>A426*('前提と出典'!$C$36*'契約別単価'!F5+'前提と出典'!$C$37*'契約別単価'!F6+'前提と出典'!$C$38*'契約別単価'!F7)</ns0:f>
        <ns0:v>308257.16396848334</ns0:v>
      </ns0:c>
      <ns0:c r="G426" s="16">
        <ns0:f>A426*('前提と出典'!$C$36*'契約別単価'!G5+'前提と出典'!$C$37*'契約別単価'!G6+'前提と出典'!$C$38*'契約別単価'!G7)</ns0:f>
        <ns0:v>839992.1787709497</ns0:v>
      </ns0:c>
      <ns0:c r="H426" s="16">
        <ns0:f>A426*('前提と出典'!$C$36*'契約別単価'!H5+'前提と出典'!$C$37*'契約別単価'!H6+'前提と出典'!$C$38*'契約別単価'!H7)</ns0:f>
        <ns0:v>291519.4149518542</ns0:v>
      </ns0:c>
      <ns0:c r="I426" s="16">
        <ns0:f>A426*('前提と出典'!$C$36*'契約別単価'!I5+'前提と出典'!$C$37*'契約別単価'!I6+'前提と出典'!$C$38*'契約別単価'!I7)</ns0:f>
        <ns0:v>17806.513966480445</ns0:v>
      </ns0:c>
      <ns0:c r="J426" s="16">
        <ns0:f>A426*('前提と出典'!$C$36*'契約別単価'!J5+'前提と出典'!$C$37*'契約別単価'!J6+'前提と出典'!$C$38*'契約別単価'!J7)</ns0:f>
        <ns0:v>41478.18744574768</ns0:v>
      </ns0:c>
      <ns0:c r="K426" s="16">
        <ns0:f>A426*('前提と出典'!$C$36*'契約別単価'!K5+'前提と出典'!$C$37*'契約別単価'!K6+'前提と出典'!$C$38*'契約別単価'!K7)</ns0:f>
        <ns0:v>177790.09310986963</ns0:v>
      </ns0:c>
      <ns0:c r="L426" s="16">
        <ns0:f>A426*('前提と出典'!$C$36*'契約別単価'!L5+'前提と出典'!$C$37*'契約別単価'!L6+'前提と出典'!$C$38*'契約別単価'!L7)</ns0:f>
        <ns0:v>144757.31383172848</ns0:v>
      </ns0:c>
      <ns0:c r="M426" s="16">
        <ns0:f>IF(('前提と出典'!$C$36+'前提と出典'!$C$38)=0,0,IF(B426&lt;=10,'前提と出典'!B73+'前提と出典'!C73,IF(B426&lt;=100,'前提と出典'!B74+'前提と出典'!C74,IF(B426&lt;=500,'前提と出典'!B75+'前提と出典'!C75,'前提と出典'!B76+'前提と出典'!C76))))</ns0:f>
        <ns0:v>40000</ns0:v>
      </ns0:c>
      <ns0:c r="N426" s="16">
        <ns0:f>IF(('前提と出典'!$C$37+'前提と出典'!$C$38)=0,0,IF(C426&lt;=10,'前提と出典'!D73+'前提と出典'!E73,IF(C426&lt;=100,'前提と出典'!D74+'前提と出典'!E74,IF(C426&lt;=500,'前提と出典'!D75+'前提と出典'!E75,'前提と出典'!D76+'前提と出典'!E76))))</ns0:f>
        <ns0:v>56510.9346263078</ns0:v>
      </ns0:c>
      <ns0:c r="O426" s="16">
        <ns0:f>IF('前提と出典'!$C$36+'前提と出典'!$C$38=0,0,'前提と出典'!$B$4*IF('前提と出典'!$B$20=0,MAX('前提と出典'!$B$6,D426*'前提と出典'!$B$5),'前提と出典'!$B$6+D426*'前提と出典'!$B$5))</ns0:f>
        <ns0:v>419038.92737430165</ns0:v>
      </ns0:c>
      <ns0:c r="P426" s="16">
        <ns0:f>(E426+G426)*(1-'前提と出典'!$B$7)-I426-K426-M426-O426</ns0:f>
        <ns0:v>1177780.542042333</ns0:v>
      </ns0:c>
      <ns0:c r="Q426" s="16">
        <ns0:f>(F426+H426)*(1-'前提と出典'!$B$7)-J426-L426-N426</ns0:f>
        <ns0:v>335438.1861754215</ns0:v>
      </ns0:c>
      <ns0:c r="R426" s="16">
        <ns0:f>P426-E426*'前提と出典'!$E$4</ns0:f>
        <ns0:v>859524.2299600334</ns0:v>
      </ns0:c>
      <ns0:c r="S426" s="16">
        <ns0:f>Q426-F426*'前提と出典'!$E$4</ns0:f>
        <ns0:v>242961.03698487655</ns0:v>
      </ns0:c>
      <ns0:c r="T426" s="7">
        <ns0:f>R426+S426</ns0:f>
        <ns0:v>1102485.26694491</ns0:v>
      </ns0:c>
      <ns0:c r="U426" s="16">
        <ns0:f>P426-E426*'前提と出典'!$E$5</ns0:f>
        <ns0:v>753438.7925992669</ns0:v>
      </ns0:c>
      <ns0:c r="V426" s="16">
        <ns0:f>Q426-F426*'前提と出典'!$E$5</ns0:f>
        <ns0:v>212135.32058802817</ns0:v>
      </ns0:c>
      <ns0:c r="W426" s="7">
        <ns0:f>U426+V426</ns0:f>
        <ns0:v>965574.113187295</ns0:v>
      </ns0:c>
      <ns0:c r="X426" s="16">
        <ns0:f>P426-E426*'前提と出典'!$E$6</ns0:f>
        <ns0:v>647353.3552385003</ns0:v>
      </ns0:c>
      <ns0:c r="Y426" s="16">
        <ns0:f>Q426-F426*'前提と出典'!$E$6</ns0:f>
        <ns0:v>181309.60419117985</ns0:v>
      </ns0:c>
      <ns0:c r="Z426" s="7">
        <ns0:f>X426+Y426</ns0:f>
        <ns0:v>828662.9594296801</ns0:v>
      </ns0:c>
      <ns0:c r="AA426" s="7">
        <ns0:f>IF(T426&gt;=0,A426,1001)</ns0:f>
        <ns0:v>422</ns0:v>
      </ns0:c>
      <ns0:c r="AB426" s="7">
        <ns0:f>IF(T426&lt;0,A426,0)</ns0:f>
        <ns0:v>0</ns0:v>
      </ns0:c>
      <ns0:c r="AC426" s="16">
        <ns0:f>IF(AND(OR('前提と出典'!$C$36+'前提と出典'!$C$38=0,R426&gt;=0),OR('前提と出典'!$C$37+'前提と出典'!$C$38=0,S426&gt;=0)),0,A426)</ns0:f>
        <ns0:v>0</ns0:v>
      </ns0:c>
      <ns0:c r="AD426" s="7">
        <ns0:f>IF(W426&gt;=0,A426,1001)</ns0:f>
        <ns0:v>422</ns0:v>
      </ns0:c>
      <ns0:c r="AE426" s="7">
        <ns0:f>IF(W426&lt;0,A426,0)</ns0:f>
        <ns0:v>0</ns0:v>
      </ns0:c>
      <ns0:c r="AF426" s="16">
        <ns0:f>IF(AND(OR('前提と出典'!$C$36+'前提と出典'!$C$38=0,U426&gt;=0),OR('前提と出典'!$C$37+'前提と出典'!$C$38=0,V426&gt;=0)),0,A426)</ns0:f>
        <ns0:v>0</ns0:v>
      </ns0:c>
      <ns0:c r="AG426" s="7">
        <ns0:f>IF(Z426&gt;=0,A426,1001)</ns0:f>
        <ns0:v>422</ns0:v>
      </ns0:c>
      <ns0:c r="AH426" s="4">
        <ns0:f>IF(Z426&lt;0,A426,0)</ns0:f>
        <ns0:v>0</ns0:v>
      </ns0:c>
      <ns0:c r="AI426" s="12">
        <ns0:f>IF(AND(OR('前提と出典'!$C$36+'前提と出典'!$C$38=0,X426&gt;=0),OR('前提と出典'!$C$37+'前提と出典'!$C$38=0,Y426&gt;=0)),0,A426)</ns0:f>
        <ns0:v>0</ns0:v>
      </ns0:c>
    </ns0:row>
    <ns0:row r="427" ht="24" customHeight="1">
      <ns0:c r="A427" s="4" t="n">
        <ns0:v>423</ns0:v>
      </ns0:c>
      <ns0:c r="B427" s="12">
        <ns0:f>A427*('前提と出典'!$C$36+'前提と出典'!$C$38)</ns0:f>
        <ns0:v>296.09999999999997</ns0:v>
      </ns0:c>
      <ns0:c r="C427" s="12">
        <ns0:f>A427*('前提と出典'!$C$37+'前提と出典'!$C$38)</ns0:f>
        <ns0:v>253.79999999999998</ns0:v>
      </ns0:c>
      <ns0:c r="D427" s="16">
        <ns0:f>A427*('前提と出典'!$C$36*'契約別単価'!C5+'前提と出典'!$C$37*'契約別単価'!C6+'前提と出典'!$C$38*'契約別単価'!C7)</ns0:f>
        <ns0:v>3043.709497206704</ns0:v>
      </ns0:c>
      <ns0:c r="E427" s="16">
        <ns0:f>A427*('前提と出典'!$C$36*'契約別単価'!E5+'前提と出典'!$C$37*'契約別単価'!E6+'前提と出典'!$C$38*'契約別単価'!E7)</ns0:f>
        <ns0:v>1063368.2465309063</ns0:v>
      </ns0:c>
      <ns0:c r="F427" s="16">
        <ns0:f>A427*('前提と出典'!$C$36*'契約別単価'!F5+'前提と出典'!$C$37*'契約別単価'!F6+'前提と出典'!$C$38*'契約別単価'!F7)</ns0:f>
        <ns0:v>308987.6311816788</ns0:v>
      </ns0:c>
      <ns0:c r="G427" s="16">
        <ns0:f>A427*('前提と出典'!$C$36*'契約別単価'!G5+'前提と出典'!$C$37*'契約別単価'!G6+'前提と出典'!$C$38*'契約別単価'!G7)</ns0:f>
        <ns0:v>841982.6815642457</ns0:v>
      </ns0:c>
      <ns0:c r="H427" s="16">
        <ns0:f>A427*('前提と出典'!$C$36*'契約別単価'!H5+'前提と出典'!$C$37*'契約別単価'!H6+'前提と出典'!$C$38*'契約別単価'!H7)</ns0:f>
        <ns0:v>292210.21925268794</ns0:v>
      </ns0:c>
      <ns0:c r="I427" s="16">
        <ns0:f>A427*('前提と出典'!$C$36*'契約別単価'!I5+'前提と出典'!$C$37*'契約別単価'!I6+'前提と出典'!$C$38*'契約別単価'!I7)</ns0:f>
        <ns0:v>17848.709497206703</ns0:v>
      </ns0:c>
      <ns0:c r="J427" s="16">
        <ns0:f>A427*('前提と出典'!$C$36*'契約別単価'!J5+'前提と出典'!$C$37*'契約別単価'!J6+'前提と出典'!$C$38*'契約別単価'!J7)</ns0:f>
        <ns0:v>41576.47698945799</ns0:v>
      </ns0:c>
      <ns0:c r="K427" s="16">
        <ns0:f>A427*('前提と出典'!$C$36*'契約別単価'!K5+'前提と出典'!$C$37*'契約別単価'!K6+'前提と出典'!$C$38*'契約別単価'!K7)</ns0:f>
        <ns0:v>178211.39664804467</ns0:v>
      </ns0:c>
      <ns0:c r="L427" s="16">
        <ns0:f>A427*('前提と出典'!$C$36*'契約別単価'!L5+'前提と出典'!$C$37*'契約別単価'!L6+'前提と出典'!$C$38*'契約別単価'!L7)</ns0:f>
        <ns0:v>145100.34064175625</ns0:v>
      </ns0:c>
      <ns0:c r="M427" s="16">
        <ns0:f>IF(('前提と出典'!$C$36+'前提と出典'!$C$38)=0,0,IF(B427&lt;=10,'前提と出典'!B73+'前提と出典'!C73,IF(B427&lt;=100,'前提と出典'!B74+'前提と出典'!C74,IF(B427&lt;=500,'前提と出典'!B75+'前提と出典'!C75,'前提と出典'!B76+'前提と出典'!C76))))</ns0:f>
        <ns0:v>40000</ns0:v>
      </ns0:c>
      <ns0:c r="N427" s="16">
        <ns0:f>IF(('前提と出典'!$C$37+'前提と出典'!$C$38)=0,0,IF(C427&lt;=10,'前提と出典'!D73+'前提と出典'!E73,IF(C427&lt;=100,'前提と出典'!D74+'前提と出典'!E74,IF(C427&lt;=500,'前提と出典'!D75+'前提と出典'!E75,'前提と出典'!D76+'前提と出典'!E76))))</ns0:f>
        <ns0:v>56510.9346263078</ns0:v>
      </ns0:c>
      <ns0:c r="O427" s="16">
        <ns0:f>IF('前提と出典'!$C$36+'前提と出典'!$C$38=0,0,'前提と出典'!$B$4*IF('前提と出典'!$B$20=0,MAX('前提と出典'!$B$6,D427*'前提と出典'!$B$5),'前提と出典'!$B$6+D427*'前提と出典'!$B$5))</ns0:f>
        <ns0:v>420031.91061452514</ns0:v>
      </ns0:c>
      <ns0:c r="P427" s="16">
        <ns0:f>(E427+G427)*(1-'前提と出典'!$B$7)-I427-K427-M427-O427</ns0:f>
        <ns0:v>1180666.2779239502</ns0:v>
      </ns0:c>
      <ns0:c r="Q427" s="16">
        <ns0:f>(F427+H427)*(1-'前提と出典'!$B$7)-J427-L427-N427</ns0:f>
        <ns0:v>336366.9755612075</ns0:v>
      </ns0:c>
      <ns0:c r="R427" s="16">
        <ns0:f>P427-E427*'前提と出典'!$E$4</ns0:f>
        <ns0:v>861655.8039646784</ns0:v>
      </ns0:c>
      <ns0:c r="S427" s="16">
        <ns0:f>Q427-F427*'前提と出典'!$E$4</ns0:f>
        <ns0:v>243670.6862067039</ns0:v>
      </ns0:c>
      <ns0:c r="T427" s="7">
        <ns0:f>R427+S427</ns0:f>
        <ns0:v>1105326.4901713822</ns0:v>
      </ns0:c>
      <ns0:c r="U427" s="16">
        <ns0:f>P427-E427*'前提と出典'!$E$5</ns0:f>
        <ns0:v>755318.9793115878</ns0:v>
      </ns0:c>
      <ns0:c r="V427" s="16">
        <ns0:f>Q427-F427*'前提と出典'!$E$5</ns0:f>
        <ns0:v>212771.92308853602</ns0:v>
      </ns0:c>
      <ns0:c r="W427" s="7">
        <ns0:f>U427+V427</ns0:f>
        <ns0:v>968090.9024001238</ns0:v>
      </ns0:c>
      <ns0:c r="X427" s="16">
        <ns0:f>P427-E427*'前提と出典'!$E$6</ns0:f>
        <ns0:v>648982.1546584971</ns0:v>
      </ns0:c>
      <ns0:c r="Y427" s="16">
        <ns0:f>Q427-F427*'前提と出典'!$E$6</ns0:f>
        <ns0:v>181873.15997036814</ns0:v>
      </ns0:c>
      <ns0:c r="Z427" s="7">
        <ns0:f>X427+Y427</ns0:f>
        <ns0:v>830855.3146288652</ns0:v>
      </ns0:c>
      <ns0:c r="AA427" s="7">
        <ns0:f>IF(T427&gt;=0,A427,1001)</ns0:f>
        <ns0:v>423</ns0:v>
      </ns0:c>
      <ns0:c r="AB427" s="7">
        <ns0:f>IF(T427&lt;0,A427,0)</ns0:f>
        <ns0:v>0</ns0:v>
      </ns0:c>
      <ns0:c r="AC427" s="16">
        <ns0:f>IF(AND(OR('前提と出典'!$C$36+'前提と出典'!$C$38=0,R427&gt;=0),OR('前提と出典'!$C$37+'前提と出典'!$C$38=0,S427&gt;=0)),0,A427)</ns0:f>
        <ns0:v>0</ns0:v>
      </ns0:c>
      <ns0:c r="AD427" s="7">
        <ns0:f>IF(W427&gt;=0,A427,1001)</ns0:f>
        <ns0:v>423</ns0:v>
      </ns0:c>
      <ns0:c r="AE427" s="7">
        <ns0:f>IF(W427&lt;0,A427,0)</ns0:f>
        <ns0:v>0</ns0:v>
      </ns0:c>
      <ns0:c r="AF427" s="16">
        <ns0:f>IF(AND(OR('前提と出典'!$C$36+'前提と出典'!$C$38=0,U427&gt;=0),OR('前提と出典'!$C$37+'前提と出典'!$C$38=0,V427&gt;=0)),0,A427)</ns0:f>
        <ns0:v>0</ns0:v>
      </ns0:c>
      <ns0:c r="AG427" s="7">
        <ns0:f>IF(Z427&gt;=0,A427,1001)</ns0:f>
        <ns0:v>423</ns0:v>
      </ns0:c>
      <ns0:c r="AH427" s="4">
        <ns0:f>IF(Z427&lt;0,A427,0)</ns0:f>
        <ns0:v>0</ns0:v>
      </ns0:c>
      <ns0:c r="AI427" s="12">
        <ns0:f>IF(AND(OR('前提と出典'!$C$36+'前提と出典'!$C$38=0,X427&gt;=0),OR('前提と出典'!$C$37+'前提と出典'!$C$38=0,Y427&gt;=0)),0,A427)</ns0:f>
        <ns0:v>0</ns0:v>
      </ns0:c>
    </ns0:row>
    <ns0:row r="428" ht="24" customHeight="1">
      <ns0:c r="A428" s="4" t="n">
        <ns0:v>424</ns0:v>
      </ns0:c>
      <ns0:c r="B428" s="12">
        <ns0:f>A428*('前提と出典'!$C$36+'前提と出典'!$C$38)</ns0:f>
        <ns0:v>296.79999999999995</ns0:v>
      </ns0:c>
      <ns0:c r="C428" s="12">
        <ns0:f>A428*('前提と出典'!$C$37+'前提と出典'!$C$38)</ns0:f>
        <ns0:v>254.39999999999998</ns0:v>
      </ns0:c>
      <ns0:c r="D428" s="16">
        <ns0:f>A428*('前提と出典'!$C$36*'契約別単価'!C5+'前提と出典'!$C$37*'契約別単価'!C6+'前提と出典'!$C$38*'契約別単価'!C7)</ns0:f>
        <ns0:v>3050.905027932961</ns0:v>
      </ns0:c>
      <ns0:c r="E428" s="16">
        <ns0:f>A428*('前提と出典'!$C$36*'契約別単価'!E5+'前提と出典'!$C$37*'契約別単価'!E6+'前提と出典'!$C$38*'契約別単価'!E7)</ns0:f>
        <ns0:v>1065882.1194541473</ns0:v>
      </ns0:c>
      <ns0:c r="F428" s="16">
        <ns0:f>A428*('前提と出典'!$C$36*'契約別単価'!F5+'前提と出典'!$C$37*'契約別単価'!F6+'前提と出典'!$C$38*'契約別単価'!F7)</ns0:f>
        <ns0:v>309718.09839487425</ns0:v>
      </ns0:c>
      <ns0:c r="G428" s="16">
        <ns0:f>A428*('前提と出典'!$C$36*'契約別単価'!G5+'前提と出典'!$C$37*'契約別単価'!G6+'前提と出典'!$C$38*'契約別単価'!G7)</ns0:f>
        <ns0:v>843973.1843575418</ns0:v>
      </ns0:c>
      <ns0:c r="H428" s="16">
        <ns0:f>A428*('前提と出典'!$C$36*'契約別単価'!H5+'前提と出典'!$C$37*'契約別単価'!H6+'前提と出典'!$C$38*'契約別単価'!H7)</ns0:f>
        <ns0:v>292901.0235535217</ns0:v>
      </ns0:c>
      <ns0:c r="I428" s="16">
        <ns0:f>A428*('前提と出典'!$C$36*'契約別単価'!I5+'前提と出典'!$C$37*'契約別単価'!I6+'前提と出典'!$C$38*'契約別単価'!I7)</ns0:f>
        <ns0:v>17890.905027932957</ns0:v>
      </ns0:c>
      <ns0:c r="J428" s="16">
        <ns0:f>A428*('前提と出典'!$C$36*'契約別単価'!J5+'前提と出典'!$C$37*'契約別単価'!J6+'前提と出典'!$C$38*'契約別単価'!J7)</ns0:f>
        <ns0:v>41674.76653316829</ns0:v>
      </ns0:c>
      <ns0:c r="K428" s="16">
        <ns0:f>A428*('前提と出典'!$C$36*'契約別単価'!K5+'前提と出典'!$C$37*'契約別単価'!K6+'前提と出典'!$C$38*'契約別単価'!K7)</ns0:f>
        <ns0:v>178632.70018621974</ns0:v>
      </ns0:c>
      <ns0:c r="L428" s="16">
        <ns0:f>A428*('前提と出典'!$C$36*'契約別単価'!L5+'前提と出典'!$C$37*'契約別単価'!L6+'前提と出典'!$C$38*'契約別単価'!L7)</ns0:f>
        <ns0:v>145443.36745178406</ns0:v>
      </ns0:c>
      <ns0:c r="M428" s="16">
        <ns0:f>IF(('前提と出典'!$C$36+'前提と出典'!$C$38)=0,0,IF(B428&lt;=10,'前提と出典'!B73+'前提と出典'!C73,IF(B428&lt;=100,'前提と出典'!B74+'前提と出典'!C74,IF(B428&lt;=500,'前提と出典'!B75+'前提と出典'!C75,'前提と出典'!B76+'前提と出典'!C76))))</ns0:f>
        <ns0:v>40000</ns0:v>
      </ns0:c>
      <ns0:c r="N428" s="16">
        <ns0:f>IF(('前提と出典'!$C$37+'前提と出典'!$C$38)=0,0,IF(C428&lt;=10,'前提と出典'!D73+'前提と出典'!E73,IF(C428&lt;=100,'前提と出典'!D74+'前提と出典'!E74,IF(C428&lt;=500,'前提と出典'!D75+'前提と出典'!E75,'前提と出典'!D76+'前提と出典'!E76))))</ns0:f>
        <ns0:v>56510.9346263078</ns0:v>
      </ns0:c>
      <ns0:c r="O428" s="16">
        <ns0:f>IF('前提と出典'!$C$36+'前提と出典'!$C$38=0,0,'前提と出典'!$B$4*IF('前提と出典'!$B$20=0,MAX('前提と出典'!$B$6,D428*'前提と出典'!$B$5),'前提と出典'!$B$6+D428*'前提と出典'!$B$5))</ns0:f>
        <ns0:v>421024.89385474863</ns0:v>
      </ns0:c>
      <ns0:c r="P428" s="16">
        <ns0:f>(E428+G428)*(1-'前提と出典'!$B$7)-I428-K428-M428-O428</ns0:f>
        <ns0:v>1183552.0138055668</ns0:v>
      </ns0:c>
      <ns0:c r="Q428" s="16">
        <ns0:f>(F428+H428)*(1-'前提と出典'!$B$7)-J428-L428-N428</ns0:f>
        <ns0:v>337295.76494699356</ns0:v>
      </ns0:c>
      <ns0:c r="R428" s="16">
        <ns0:f>P428-E428*'前提と出典'!$E$4</ns0:f>
        <ns0:v>863787.3779693227</ns0:v>
      </ns0:c>
      <ns0:c r="S428" s="16">
        <ns0:f>Q428-F428*'前提と出典'!$E$4</ns0:f>
        <ns0:v>244380.33542853128</ns0:v>
      </ns0:c>
      <ns0:c r="T428" s="7">
        <ns0:f>R428+S428</ns0:f>
        <ns0:v>1108167.713397854</ns0:v>
      </ns0:c>
      <ns0:c r="U428" s="16">
        <ns0:f>P428-E428*'前提と出典'!$E$5</ns0:f>
        <ns0:v>757199.166023908</ns0:v>
      </ns0:c>
      <ns0:c r="V428" s="16">
        <ns0:f>Q428-F428*'前提と出典'!$E$5</ns0:f>
        <ns0:v>213408.52558904386</ns0:v>
      </ns0:c>
      <ns0:c r="W428" s="7">
        <ns0:f>U428+V428</ns0:f>
        <ns0:v>970607.6916129518</ns0:v>
      </ns0:c>
      <ns0:c r="X428" s="16">
        <ns0:f>P428-E428*'前提と出典'!$E$6</ns0:f>
        <ns0:v>650610.9540784932</ns0:v>
      </ns0:c>
      <ns0:c r="Y428" s="16">
        <ns0:f>Q428-F428*'前提と出典'!$E$6</ns0:f>
        <ns0:v>182436.71574955646</ns0:v>
      </ns0:c>
      <ns0:c r="Z428" s="7">
        <ns0:f>X428+Y428</ns0:f>
        <ns0:v>833047.6698280496</ns0:v>
      </ns0:c>
      <ns0:c r="AA428" s="7">
        <ns0:f>IF(T428&gt;=0,A428,1001)</ns0:f>
        <ns0:v>424</ns0:v>
      </ns0:c>
      <ns0:c r="AB428" s="7">
        <ns0:f>IF(T428&lt;0,A428,0)</ns0:f>
        <ns0:v>0</ns0:v>
      </ns0:c>
      <ns0:c r="AC428" s="16">
        <ns0:f>IF(AND(OR('前提と出典'!$C$36+'前提と出典'!$C$38=0,R428&gt;=0),OR('前提と出典'!$C$37+'前提と出典'!$C$38=0,S428&gt;=0)),0,A428)</ns0:f>
        <ns0:v>0</ns0:v>
      </ns0:c>
      <ns0:c r="AD428" s="7">
        <ns0:f>IF(W428&gt;=0,A428,1001)</ns0:f>
        <ns0:v>424</ns0:v>
      </ns0:c>
      <ns0:c r="AE428" s="7">
        <ns0:f>IF(W428&lt;0,A428,0)</ns0:f>
        <ns0:v>0</ns0:v>
      </ns0:c>
      <ns0:c r="AF428" s="16">
        <ns0:f>IF(AND(OR('前提と出典'!$C$36+'前提と出典'!$C$38=0,U428&gt;=0),OR('前提と出典'!$C$37+'前提と出典'!$C$38=0,V428&gt;=0)),0,A428)</ns0:f>
        <ns0:v>0</ns0:v>
      </ns0:c>
      <ns0:c r="AG428" s="7">
        <ns0:f>IF(Z428&gt;=0,A428,1001)</ns0:f>
        <ns0:v>424</ns0:v>
      </ns0:c>
      <ns0:c r="AH428" s="4">
        <ns0:f>IF(Z428&lt;0,A428,0)</ns0:f>
        <ns0:v>0</ns0:v>
      </ns0:c>
      <ns0:c r="AI428" s="12">
        <ns0:f>IF(AND(OR('前提と出典'!$C$36+'前提と出典'!$C$38=0,X428&gt;=0),OR('前提と出典'!$C$37+'前提と出典'!$C$38=0,Y428&gt;=0)),0,A428)</ns0:f>
        <ns0:v>0</ns0:v>
      </ns0:c>
    </ns0:row>
    <ns0:row r="429" ht="24" customHeight="1">
      <ns0:c r="A429" s="4" t="n">
        <ns0:v>425</ns0:v>
      </ns0:c>
      <ns0:c r="B429" s="12">
        <ns0:f>A429*('前提と出典'!$C$36+'前提と出典'!$C$38)</ns0:f>
        <ns0:v>297.5</ns0:v>
      </ns0:c>
      <ns0:c r="C429" s="12">
        <ns0:f>A429*('前提と出典'!$C$37+'前提と出典'!$C$38)</ns0:f>
        <ns0:v>255</ns0:v>
      </ns0:c>
      <ns0:c r="D429" s="16">
        <ns0:f>A429*('前提と出典'!$C$36*'契約別単価'!C5+'前提と出典'!$C$37*'契約別単価'!C6+'前提と出典'!$C$38*'契約別単価'!C7)</ns0:f>
        <ns0:v>3058.1005586592178</ns0:v>
      </ns0:c>
      <ns0:c r="E429" s="16">
        <ns0:f>A429*('前提と出典'!$C$36*'契約別単価'!E5+'前提と出典'!$C$37*'契約別単価'!E6+'前提と出典'!$C$38*'契約別単価'!E7)</ns0:f>
        <ns0:v>1068395.992377388</ns0:v>
      </ns0:c>
      <ns0:c r="F429" s="16">
        <ns0:f>A429*('前提と出典'!$C$36*'契約別単価'!F5+'前提と出典'!$C$37*'契約別単価'!F6+'前提と出典'!$C$38*'契約別単価'!F7)</ns0:f>
        <ns0:v>310448.5656080697</ns0:v>
      </ns0:c>
      <ns0:c r="G429" s="16">
        <ns0:f>A429*('前提と出典'!$C$36*'契約別単価'!G5+'前提と出典'!$C$37*'契約別単価'!G6+'前提と出典'!$C$38*'契約別単価'!G7)</ns0:f>
        <ns0:v>845963.687150838</ns0:v>
      </ns0:c>
      <ns0:c r="H429" s="16">
        <ns0:f>A429*('前提と出典'!$C$36*'契約別単価'!H5+'前提と出典'!$C$37*'契約別単価'!H6+'前提と出典'!$C$38*'契約別単価'!H7)</ns0:f>
        <ns0:v>293591.8278543555</ns0:v>
      </ns0:c>
      <ns0:c r="I429" s="16">
        <ns0:f>A429*('前提と出典'!$C$36*'契約別単価'!I5+'前提と出典'!$C$37*'契約別単価'!I6+'前提と出典'!$C$38*'契約別単価'!I7)</ns0:f>
        <ns0:v>17933.100558659215</ns0:v>
      </ns0:c>
      <ns0:c r="J429" s="16">
        <ns0:f>A429*('前提と出典'!$C$36*'契約別単価'!J5+'前提と出典'!$C$37*'契約別単価'!J6+'前提と出典'!$C$38*'契約別単価'!J7)</ns0:f>
        <ns0:v>41773.056076878594</ns0:v>
      </ns0:c>
      <ns0:c r="K429" s="16">
        <ns0:f>A429*('前提と出典'!$C$36*'契約別単価'!K5+'前提と出典'!$C$37*'契約別単価'!K6+'前提と出典'!$C$38*'契約別単価'!K7)</ns0:f>
        <ns0:v>179054.00372439477</ns0:v>
      </ns0:c>
      <ns0:c r="L429" s="16">
        <ns0:f>A429*('前提と出典'!$C$36*'契約別単価'!L5+'前提と出典'!$C$37*'契約別単価'!L6+'前提と出典'!$C$38*'契約別単価'!L7)</ns0:f>
        <ns0:v>145786.39426181186</ns0:v>
      </ns0:c>
      <ns0:c r="M429" s="16">
        <ns0:f>IF(('前提と出典'!$C$36+'前提と出典'!$C$38)=0,0,IF(B429&lt;=10,'前提と出典'!B73+'前提と出典'!C73,IF(B429&lt;=100,'前提と出典'!B74+'前提と出典'!C74,IF(B429&lt;=500,'前提と出典'!B75+'前提と出典'!C75,'前提と出典'!B76+'前提と出典'!C76))))</ns0:f>
        <ns0:v>40000</ns0:v>
      </ns0:c>
      <ns0:c r="N429" s="16">
        <ns0:f>IF(('前提と出典'!$C$37+'前提と出典'!$C$38)=0,0,IF(C429&lt;=10,'前提と出典'!D73+'前提と出典'!E73,IF(C429&lt;=100,'前提と出典'!D74+'前提と出典'!E74,IF(C429&lt;=500,'前提と出典'!D75+'前提と出典'!E75,'前提と出典'!D76+'前提と出典'!E76))))</ns0:f>
        <ns0:v>56510.9346263078</ns0:v>
      </ns0:c>
      <ns0:c r="O429" s="16">
        <ns0:f>IF('前提と出典'!$C$36+'前提と出典'!$C$38=0,0,'前提と出典'!$B$4*IF('前提と出典'!$B$20=0,MAX('前提と出典'!$B$6,D429*'前提と出典'!$B$5),'前提と出典'!$B$6+D429*'前提と出典'!$B$5))</ns0:f>
        <ns0:v>422017.8770949721</ns0:v>
      </ns0:c>
      <ns0:c r="P429" s="16">
        <ns0:f>(E429+G429)*(1-'前提と出典'!$B$7)-I429-K429-M429-O429</ns0:f>
        <ns0:v>1186437.7496871836</ns0:v>
      </ns0:c>
      <ns0:c r="Q429" s="16">
        <ns0:f>(F429+H429)*(1-'前提と出典'!$B$7)-J429-L429-N429</ns0:f>
        <ns0:v>338224.5543327796</ns0:v>
      </ns0:c>
      <ns0:c r="R429" s="16">
        <ns0:f>P429-E429*'前提と出典'!$E$4</ns0:f>
        <ns0:v>865918.9519739673</ns0:v>
      </ns0:c>
      <ns0:c r="S429" s="16">
        <ns0:f>Q429-F429*'前提と出典'!$E$4</ns0:f>
        <ns0:v>245089.98465035867</ns0:v>
      </ns0:c>
      <ns0:c r="T429" s="7">
        <ns0:f>R429+S429</ns0:f>
        <ns0:v>1111008.9366243258</ns0:v>
      </ns0:c>
      <ns0:c r="U429" s="16">
        <ns0:f>P429-E429*'前提と出典'!$E$5</ns0:f>
        <ns0:v>759079.3527362284</ns0:v>
      </ns0:c>
      <ns0:c r="V429" s="16">
        <ns0:f>Q429-F429*'前提と出典'!$E$5</ns0:f>
        <ns0:v>214045.1280895517</ns0:v>
      </ns0:c>
      <ns0:c r="W429" s="7">
        <ns0:f>U429+V429</ns0:f>
        <ns0:v>973124.4808257801</ns0:v>
      </ns0:c>
      <ns0:c r="X429" s="16">
        <ns0:f>P429-E429*'前提と出典'!$E$6</ns0:f>
        <ns0:v>652239.7534984895</ns0:v>
      </ns0:c>
      <ns0:c r="Y429" s="16">
        <ns0:f>Q429-F429*'前提と出典'!$E$6</ns0:f>
        <ns0:v>183000.27152874472</ns0:v>
      </ns0:c>
      <ns0:c r="Z429" s="7">
        <ns0:f>X429+Y429</ns0:f>
        <ns0:v>835240.0250272342</ns0:v>
      </ns0:c>
      <ns0:c r="AA429" s="7">
        <ns0:f>IF(T429&gt;=0,A429,1001)</ns0:f>
        <ns0:v>425</ns0:v>
      </ns0:c>
      <ns0:c r="AB429" s="7">
        <ns0:f>IF(T429&lt;0,A429,0)</ns0:f>
        <ns0:v>0</ns0:v>
      </ns0:c>
      <ns0:c r="AC429" s="16">
        <ns0:f>IF(AND(OR('前提と出典'!$C$36+'前提と出典'!$C$38=0,R429&gt;=0),OR('前提と出典'!$C$37+'前提と出典'!$C$38=0,S429&gt;=0)),0,A429)</ns0:f>
        <ns0:v>0</ns0:v>
      </ns0:c>
      <ns0:c r="AD429" s="7">
        <ns0:f>IF(W429&gt;=0,A429,1001)</ns0:f>
        <ns0:v>425</ns0:v>
      </ns0:c>
      <ns0:c r="AE429" s="7">
        <ns0:f>IF(W429&lt;0,A429,0)</ns0:f>
        <ns0:v>0</ns0:v>
      </ns0:c>
      <ns0:c r="AF429" s="16">
        <ns0:f>IF(AND(OR('前提と出典'!$C$36+'前提と出典'!$C$38=0,U429&gt;=0),OR('前提と出典'!$C$37+'前提と出典'!$C$38=0,V429&gt;=0)),0,A429)</ns0:f>
        <ns0:v>0</ns0:v>
      </ns0:c>
      <ns0:c r="AG429" s="7">
        <ns0:f>IF(Z429&gt;=0,A429,1001)</ns0:f>
        <ns0:v>425</ns0:v>
      </ns0:c>
      <ns0:c r="AH429" s="4">
        <ns0:f>IF(Z429&lt;0,A429,0)</ns0:f>
        <ns0:v>0</ns0:v>
      </ns0:c>
      <ns0:c r="AI429" s="12">
        <ns0:f>IF(AND(OR('前提と出典'!$C$36+'前提と出典'!$C$38=0,X429&gt;=0),OR('前提と出典'!$C$37+'前提と出典'!$C$38=0,Y429&gt;=0)),0,A429)</ns0:f>
        <ns0:v>0</ns0:v>
      </ns0:c>
    </ns0:row>
    <ns0:row r="430" ht="24" customHeight="1">
      <ns0:c r="A430" s="4" t="n">
        <ns0:v>426</ns0:v>
      </ns0:c>
      <ns0:c r="B430" s="12">
        <ns0:f>A430*('前提と出典'!$C$36+'前提と出典'!$C$38)</ns0:f>
        <ns0:v>298.2</ns0:v>
      </ns0:c>
      <ns0:c r="C430" s="12">
        <ns0:f>A430*('前提と出典'!$C$37+'前提と出典'!$C$38)</ns0:f>
        <ns0:v>255.6</ns0:v>
      </ns0:c>
      <ns0:c r="D430" s="16">
        <ns0:f>A430*('前提と出典'!$C$36*'契約別単価'!C5+'前提と出典'!$C$37*'契約別単価'!C6+'前提と出典'!$C$38*'契約別単価'!C7)</ns0:f>
        <ns0:v>3065.2960893854747</ns0:v>
      </ns0:c>
      <ns0:c r="E430" s="16">
        <ns0:f>A430*('前提と出典'!$C$36*'契約別単価'!E5+'前提と出典'!$C$37*'契約別単価'!E6+'前提と出典'!$C$38*'契約別単価'!E7)</ns0:f>
        <ns0:v>1070909.865300629</ns0:v>
      </ns0:c>
      <ns0:c r="F430" s="16">
        <ns0:f>A430*('前提と出典'!$C$36*'契約別単価'!F5+'前提と出典'!$C$37*'契約別単価'!F6+'前提と出典'!$C$38*'契約別単価'!F7)</ns0:f>
        <ns0:v>311179.03282126517</ns0:v>
      </ns0:c>
      <ns0:c r="G430" s="16">
        <ns0:f>A430*('前提と出典'!$C$36*'契約別単価'!G5+'前提と出典'!$C$37*'契約別単価'!G6+'前提と出典'!$C$38*'契約別単価'!G7)</ns0:f>
        <ns0:v>847954.1899441341</ns0:v>
      </ns0:c>
      <ns0:c r="H430" s="16">
        <ns0:f>A430*('前提と出典'!$C$36*'契約別単価'!H5+'前提と出典'!$C$37*'契約別単価'!H6+'前提と出典'!$C$38*'契約別単価'!H7)</ns0:f>
        <ns0:v>294282.6321551893</ns0:v>
      </ns0:c>
      <ns0:c r="I430" s="16">
        <ns0:f>A430*('前提と出典'!$C$36*'契約別単価'!I5+'前提と出典'!$C$37*'契約別単価'!I6+'前提と出典'!$C$38*'契約別単価'!I7)</ns0:f>
        <ns0:v>17975.296089385472</ns0:v>
      </ns0:c>
      <ns0:c r="J430" s="16">
        <ns0:f>A430*('前提と出典'!$C$36*'契約別単価'!J5+'前提と出典'!$C$37*'契約別単価'!J6+'前提と出典'!$C$38*'契約別単価'!J7)</ns0:f>
        <ns0:v>41871.345620588894</ns0:v>
      </ns0:c>
      <ns0:c r="K430" s="16">
        <ns0:f>A430*('前提と出典'!$C$36*'契約別単価'!K5+'前提と出典'!$C$37*'契約別単価'!K6+'前提と出典'!$C$38*'契約別単価'!K7)</ns0:f>
        <ns0:v>179475.3072625698</ns0:v>
      </ns0:c>
      <ns0:c r="L430" s="16">
        <ns0:f>A430*('前提と出典'!$C$36*'契約別単価'!L5+'前提と出典'!$C$37*'契約別単価'!L6+'前提と出典'!$C$38*'契約別単価'!L7)</ns0:f>
        <ns0:v>146129.42107183964</ns0:v>
      </ns0:c>
      <ns0:c r="M430" s="16">
        <ns0:f>IF(('前提と出典'!$C$36+'前提と出典'!$C$38)=0,0,IF(B430&lt;=10,'前提と出典'!B73+'前提と出典'!C73,IF(B430&lt;=100,'前提と出典'!B74+'前提と出典'!C74,IF(B430&lt;=500,'前提と出典'!B75+'前提と出典'!C75,'前提と出典'!B76+'前提と出典'!C76))))</ns0:f>
        <ns0:v>40000</ns0:v>
      </ns0:c>
      <ns0:c r="N430" s="16">
        <ns0:f>IF(('前提と出典'!$C$37+'前提と出典'!$C$38)=0,0,IF(C430&lt;=10,'前提と出典'!D73+'前提と出典'!E73,IF(C430&lt;=100,'前提と出典'!D74+'前提と出典'!E74,IF(C430&lt;=500,'前提と出典'!D75+'前提と出典'!E75,'前提と出典'!D76+'前提と出典'!E76))))</ns0:f>
        <ns0:v>56510.9346263078</ns0:v>
      </ns0:c>
      <ns0:c r="O430" s="16">
        <ns0:f>IF('前提と出典'!$C$36+'前提と出典'!$C$38=0,0,'前提と出典'!$B$4*IF('前提と出典'!$B$20=0,MAX('前提と出典'!$B$6,D430*'前提と出典'!$B$5),'前提と出典'!$B$6+D430*'前提と出典'!$B$5))</ns0:f>
        <ns0:v>423010.8603351955</ns0:v>
      </ns0:c>
      <ns0:c r="P430" s="16">
        <ns0:f>(E430+G430)*(1-'前提と出典'!$B$7)-I430-K430-M430-O430</ns0:f>
        <ns0:v>1189323.485568801</ns0:v>
      </ns0:c>
      <ns0:c r="Q430" s="16">
        <ns0:f>(F430+H430)*(1-'前提と出典'!$B$7)-J430-L430-N430</ns0:f>
        <ns0:v>339153.3437185657</ns0:v>
      </ns0:c>
      <ns0:c r="R430" s="16">
        <ns0:f>P430-E430*'前提と出典'!$E$4</ns0:f>
        <ns0:v>868050.5259786122</ns0:v>
      </ns0:c>
      <ns0:c r="S430" s="16">
        <ns0:f>Q430-F430*'前提と出典'!$E$4</ns0:f>
        <ns0:v>245799.63387218618</ns0:v>
      </ns0:c>
      <ns0:c r="T430" s="7">
        <ns0:f>R430+S430</ns0:f>
        <ns0:v>1113850.1598507985</ns0:v>
      </ns0:c>
      <ns0:c r="U430" s="16">
        <ns0:f>P430-E430*'前提と出典'!$E$5</ns0:f>
        <ns0:v>760959.5394485493</ns0:v>
      </ns0:c>
      <ns0:c r="V430" s="16">
        <ns0:f>Q430-F430*'前提と出典'!$E$5</ns0:f>
        <ns0:v>214681.73059005965</ns0:v>
      </ns0:c>
      <ns0:c r="W430" s="7">
        <ns0:f>U430+V430</ns0:f>
        <ns0:v>975641.2700386089</ns0:v>
      </ns0:c>
      <ns0:c r="X430" s="16">
        <ns0:f>P430-E430*'前提と出典'!$E$6</ns0:f>
        <ns0:v>653868.5529184865</ns0:v>
      </ns0:c>
      <ns0:c r="Y430" s="16">
        <ns0:f>Q430-F430*'前提と出典'!$E$6</ns0:f>
        <ns0:v>183563.82730793313</ns0:v>
      </ns0:c>
      <ns0:c r="Z430" s="7">
        <ns0:f>X430+Y430</ns0:f>
        <ns0:v>837432.3802264197</ns0:v>
      </ns0:c>
      <ns0:c r="AA430" s="7">
        <ns0:f>IF(T430&gt;=0,A430,1001)</ns0:f>
        <ns0:v>426</ns0:v>
      </ns0:c>
      <ns0:c r="AB430" s="7">
        <ns0:f>IF(T430&lt;0,A430,0)</ns0:f>
        <ns0:v>0</ns0:v>
      </ns0:c>
      <ns0:c r="AC430" s="16">
        <ns0:f>IF(AND(OR('前提と出典'!$C$36+'前提と出典'!$C$38=0,R430&gt;=0),OR('前提と出典'!$C$37+'前提と出典'!$C$38=0,S430&gt;=0)),0,A430)</ns0:f>
        <ns0:v>0</ns0:v>
      </ns0:c>
      <ns0:c r="AD430" s="7">
        <ns0:f>IF(W430&gt;=0,A430,1001)</ns0:f>
        <ns0:v>426</ns0:v>
      </ns0:c>
      <ns0:c r="AE430" s="7">
        <ns0:f>IF(W430&lt;0,A430,0)</ns0:f>
        <ns0:v>0</ns0:v>
      </ns0:c>
      <ns0:c r="AF430" s="16">
        <ns0:f>IF(AND(OR('前提と出典'!$C$36+'前提と出典'!$C$38=0,U430&gt;=0),OR('前提と出典'!$C$37+'前提と出典'!$C$38=0,V430&gt;=0)),0,A430)</ns0:f>
        <ns0:v>0</ns0:v>
      </ns0:c>
      <ns0:c r="AG430" s="7">
        <ns0:f>IF(Z430&gt;=0,A430,1001)</ns0:f>
        <ns0:v>426</ns0:v>
      </ns0:c>
      <ns0:c r="AH430" s="4">
        <ns0:f>IF(Z430&lt;0,A430,0)</ns0:f>
        <ns0:v>0</ns0:v>
      </ns0:c>
      <ns0:c r="AI430" s="12">
        <ns0:f>IF(AND(OR('前提と出典'!$C$36+'前提と出典'!$C$38=0,X430&gt;=0),OR('前提と出典'!$C$37+'前提と出典'!$C$38=0,Y430&gt;=0)),0,A430)</ns0:f>
        <ns0:v>0</ns0:v>
      </ns0:c>
    </ns0:row>
    <ns0:row r="431" ht="24" customHeight="1">
      <ns0:c r="A431" s="4" t="n">
        <ns0:v>427</ns0:v>
      </ns0:c>
      <ns0:c r="B431" s="12">
        <ns0:f>A431*('前提と出典'!$C$36+'前提と出典'!$C$38)</ns0:f>
        <ns0:v>298.9</ns0:v>
      </ns0:c>
      <ns0:c r="C431" s="12">
        <ns0:f>A431*('前提と出典'!$C$37+'前提と出典'!$C$38)</ns0:f>
        <ns0:v>256.2</ns0:v>
      </ns0:c>
      <ns0:c r="D431" s="16">
        <ns0:f>A431*('前提と出典'!$C$36*'契約別単価'!C5+'前提と出典'!$C$37*'契約別単価'!C6+'前提と出典'!$C$38*'契約別単価'!C7)</ns0:f>
        <ns0:v>3072.4916201117317</ns0:v>
      </ns0:c>
      <ns0:c r="E431" s="16">
        <ns0:f>A431*('前提と出典'!$C$36*'契約別単価'!E5+'前提と出典'!$C$37*'契約別単価'!E6+'前提と出典'!$C$38*'契約別単価'!E7)</ns0:f>
        <ns0:v>1073423.73822387</ns0:v>
      </ns0:c>
      <ns0:c r="F431" s="16">
        <ns0:f>A431*('前提と出典'!$C$36*'契約別単価'!F5+'前提と出典'!$C$37*'契約別単価'!F6+'前提と出典'!$C$38*'契約別単価'!F7)</ns0:f>
        <ns0:v>311909.5000344606</ns0:v>
      </ns0:c>
      <ns0:c r="G431" s="16">
        <ns0:f>A431*('前提と出典'!$C$36*'契約別単価'!G5+'前提と出典'!$C$37*'契約別単価'!G6+'前提と出典'!$C$38*'契約別単価'!G7)</ns0:f>
        <ns0:v>849944.6927374301</ns0:v>
      </ns0:c>
      <ns0:c r="H431" s="16">
        <ns0:f>A431*('前提と出典'!$C$36*'契約別単価'!H5+'前提と出典'!$C$37*'契約別単価'!H6+'前提と出典'!$C$38*'契約別単価'!H7)</ns0:f>
        <ns0:v>294973.4364560231</ns0:v>
      </ns0:c>
      <ns0:c r="I431" s="16">
        <ns0:f>A431*('前提と出典'!$C$36*'契約別単価'!I5+'前提と出典'!$C$37*'契約別単価'!I6+'前提と出典'!$C$38*'契約別単価'!I7)</ns0:f>
        <ns0:v>18017.49162011173</ns0:v>
      </ns0:c>
      <ns0:c r="J431" s="16">
        <ns0:f>A431*('前提と出典'!$C$36*'契約別単価'!J5+'前提と出典'!$C$37*'契約別単価'!J6+'前提と出典'!$C$38*'契約別単価'!J7)</ns0:f>
        <ns0:v>41969.635164299194</ns0:v>
      </ns0:c>
      <ns0:c r="K431" s="16">
        <ns0:f>A431*('前提と出典'!$C$36*'契約別単価'!K5+'前提と出典'!$C$37*'契約別単価'!K6+'前提と出典'!$C$38*'契約別単価'!K7)</ns0:f>
        <ns0:v>179896.61080074488</ns0:v>
      </ns0:c>
      <ns0:c r="L431" s="16">
        <ns0:f>A431*('前提と出典'!$C$36*'契約別単価'!L5+'前提と出典'!$C$37*'契約別単価'!L6+'前提と出典'!$C$38*'契約別単価'!L7)</ns0:f>
        <ns0:v>146472.44788186744</ns0:v>
      </ns0:c>
      <ns0:c r="M431" s="16">
        <ns0:f>IF(('前提と出典'!$C$36+'前提と出典'!$C$38)=0,0,IF(B431&lt;=10,'前提と出典'!B73+'前提と出典'!C73,IF(B431&lt;=100,'前提と出典'!B74+'前提と出典'!C74,IF(B431&lt;=500,'前提と出典'!B75+'前提と出典'!C75,'前提と出典'!B76+'前提と出典'!C76))))</ns0:f>
        <ns0:v>40000</ns0:v>
      </ns0:c>
      <ns0:c r="N431" s="16">
        <ns0:f>IF(('前提と出典'!$C$37+'前提と出典'!$C$38)=0,0,IF(C431&lt;=10,'前提と出典'!D73+'前提と出典'!E73,IF(C431&lt;=100,'前提と出典'!D74+'前提と出典'!E74,IF(C431&lt;=500,'前提と出典'!D75+'前提と出典'!E75,'前提と出典'!D76+'前提と出典'!E76))))</ns0:f>
        <ns0:v>56510.9346263078</ns0:v>
      </ns0:c>
      <ns0:c r="O431" s="16">
        <ns0:f>IF('前提と出典'!$C$36+'前提と出典'!$C$38=0,0,'前提と出典'!$B$4*IF('前提と出典'!$B$20=0,MAX('前提と出典'!$B$6,D431*'前提と出典'!$B$5),'前提と出典'!$B$6+D431*'前提と出典'!$B$5))</ns0:f>
        <ns0:v>424003.843575419</ns0:v>
      </ns0:c>
      <ns0:c r="P431" s="16">
        <ns0:f>(E431+G431)*(1-'前提と出典'!$B$7)-I431-K431-M431-O431</ns0:f>
        <ns0:v>1192209.2214504178</ns0:v>
      </ns0:c>
      <ns0:c r="Q431" s="16">
        <ns0:f>(F431+H431)*(1-'前提と出典'!$B$7)-J431-L431-N431</ns0:f>
        <ns0:v>340082.1331043519</ns0:v>
      </ns0:c>
      <ns0:c r="R431" s="16">
        <ns0:f>P431-E431*'前提と出典'!$E$4</ns0:f>
        <ns0:v>870182.0999832568</ns0:v>
      </ns0:c>
      <ns0:c r="S431" s="16">
        <ns0:f>Q431-F431*'前提と出典'!$E$4</ns0:f>
        <ns0:v>246509.2830940137</ns0:v>
      </ns0:c>
      <ns0:c r="T431" s="7">
        <ns0:f>R431+S431</ns0:f>
        <ns0:v>1116691.3830772704</ns0:v>
      </ns0:c>
      <ns0:c r="U431" s="16">
        <ns0:f>P431-E431*'前提と出典'!$E$5</ns0:f>
        <ns0:v>762839.7261608697</ns0:v>
      </ns0:c>
      <ns0:c r="V431" s="16">
        <ns0:f>Q431-F431*'前提と出典'!$E$5</ns0:f>
        <ns0:v>215318.3330905676</ns0:v>
      </ns0:c>
      <ns0:c r="W431" s="7">
        <ns0:f>U431+V431</ns0:f>
        <ns0:v>978158.0592514373</ns0:v>
      </ns0:c>
      <ns0:c r="X431" s="16">
        <ns0:f>P431-E431*'前提と出典'!$E$6</ns0:f>
        <ns0:v>655497.3523384826</ns0:v>
      </ns0:c>
      <ns0:c r="Y431" s="16">
        <ns0:f>Q431-F431*'前提と出典'!$E$6</ns0:f>
        <ns0:v>184127.38308712162</ns0:v>
      </ns0:c>
      <ns0:c r="Z431" s="7">
        <ns0:f>X431+Y431</ns0:f>
        <ns0:v>839624.7354256043</ns0:v>
      </ns0:c>
      <ns0:c r="AA431" s="7">
        <ns0:f>IF(T431&gt;=0,A431,1001)</ns0:f>
        <ns0:v>427</ns0:v>
      </ns0:c>
      <ns0:c r="AB431" s="7">
        <ns0:f>IF(T431&lt;0,A431,0)</ns0:f>
        <ns0:v>0</ns0:v>
      </ns0:c>
      <ns0:c r="AC431" s="16">
        <ns0:f>IF(AND(OR('前提と出典'!$C$36+'前提と出典'!$C$38=0,R431&gt;=0),OR('前提と出典'!$C$37+'前提と出典'!$C$38=0,S431&gt;=0)),0,A431)</ns0:f>
        <ns0:v>0</ns0:v>
      </ns0:c>
      <ns0:c r="AD431" s="7">
        <ns0:f>IF(W431&gt;=0,A431,1001)</ns0:f>
        <ns0:v>427</ns0:v>
      </ns0:c>
      <ns0:c r="AE431" s="7">
        <ns0:f>IF(W431&lt;0,A431,0)</ns0:f>
        <ns0:v>0</ns0:v>
      </ns0:c>
      <ns0:c r="AF431" s="16">
        <ns0:f>IF(AND(OR('前提と出典'!$C$36+'前提と出典'!$C$38=0,U431&gt;=0),OR('前提と出典'!$C$37+'前提と出典'!$C$38=0,V431&gt;=0)),0,A431)</ns0:f>
        <ns0:v>0</ns0:v>
      </ns0:c>
      <ns0:c r="AG431" s="7">
        <ns0:f>IF(Z431&gt;=0,A431,1001)</ns0:f>
        <ns0:v>427</ns0:v>
      </ns0:c>
      <ns0:c r="AH431" s="4">
        <ns0:f>IF(Z431&lt;0,A431,0)</ns0:f>
        <ns0:v>0</ns0:v>
      </ns0:c>
      <ns0:c r="AI431" s="12">
        <ns0:f>IF(AND(OR('前提と出典'!$C$36+'前提と出典'!$C$38=0,X431&gt;=0),OR('前提と出典'!$C$37+'前提と出典'!$C$38=0,Y431&gt;=0)),0,A431)</ns0:f>
        <ns0:v>0</ns0:v>
      </ns0:c>
    </ns0:row>
    <ns0:row r="432" ht="24" customHeight="1">
      <ns0:c r="A432" s="4" t="n">
        <ns0:v>428</ns0:v>
      </ns0:c>
      <ns0:c r="B432" s="12">
        <ns0:f>A432*('前提と出典'!$C$36+'前提と出典'!$C$38)</ns0:f>
        <ns0:v>299.59999999999997</ns0:v>
      </ns0:c>
      <ns0:c r="C432" s="12">
        <ns0:f>A432*('前提と出典'!$C$37+'前提と出典'!$C$38)</ns0:f>
        <ns0:v>256.8</ns0:v>
      </ns0:c>
      <ns0:c r="D432" s="16">
        <ns0:f>A432*('前提と出典'!$C$36*'契約別単価'!C5+'前提と出典'!$C$37*'契約別単価'!C6+'前提と出典'!$C$38*'契約別単価'!C7)</ns0:f>
        <ns0:v>3079.6871508379886</ns0:v>
      </ns0:c>
      <ns0:c r="E432" s="16">
        <ns0:f>A432*('前提と出典'!$C$36*'契約別単価'!E5+'前提と出典'!$C$37*'契約別単価'!E6+'前提と出典'!$C$38*'契約別単価'!E7)</ns0:f>
        <ns0:v>1075937.6111471108</ns0:v>
      </ns0:c>
      <ns0:c r="F432" s="16">
        <ns0:f>A432*('前提と出典'!$C$36*'契約別単価'!F5+'前提と出典'!$C$37*'契約別単価'!F6+'前提と出典'!$C$38*'契約別単価'!F7)</ns0:f>
        <ns0:v>312639.9672476561</ns0:v>
      </ns0:c>
      <ns0:c r="G432" s="16">
        <ns0:f>A432*('前提と出典'!$C$36*'契約別単価'!G5+'前提と出典'!$C$37*'契約別単価'!G6+'前提と出典'!$C$38*'契約別単価'!G7)</ns0:f>
        <ns0:v>851935.1955307262</ns0:v>
      </ns0:c>
      <ns0:c r="H432" s="16">
        <ns0:f>A432*('前提と出典'!$C$36*'契約別単価'!H5+'前提と出典'!$C$37*'契約別単価'!H6+'前提と出典'!$C$38*'契約別単価'!H7)</ns0:f>
        <ns0:v>295664.24075685686</ns0:v>
      </ns0:c>
      <ns0:c r="I432" s="16">
        <ns0:f>A432*('前提と出典'!$C$36*'契約別単価'!I5+'前提と出典'!$C$37*'契約別単価'!I6+'前提と出典'!$C$38*'契約別単価'!I7)</ns0:f>
        <ns0:v>18059.687150837985</ns0:v>
      </ns0:c>
      <ns0:c r="J432" s="16">
        <ns0:f>A432*('前提と出典'!$C$36*'契約別単価'!J5+'前提と出典'!$C$37*'契約別単価'!J6+'前提と出典'!$C$38*'契約別単価'!J7)</ns0:f>
        <ns0:v>42067.9247080095</ns0:v>
      </ns0:c>
      <ns0:c r="K432" s="16">
        <ns0:f>A432*('前提と出典'!$C$36*'契約別単価'!K5+'前提と出典'!$C$37*'契約別単価'!K6+'前提と出典'!$C$38*'契約別単価'!K7)</ns0:f>
        <ns0:v>180317.91433891992</ns0:v>
      </ns0:c>
      <ns0:c r="L432" s="16">
        <ns0:f>A432*('前提と出典'!$C$36*'契約別単価'!L5+'前提と出典'!$C$37*'契約別単価'!L6+'前提と出典'!$C$38*'契約別単価'!L7)</ns0:f>
        <ns0:v>146815.47469189522</ns0:v>
      </ns0:c>
      <ns0:c r="M432" s="16">
        <ns0:f>IF(('前提と出典'!$C$36+'前提と出典'!$C$38)=0,0,IF(B432&lt;=10,'前提と出典'!B73+'前提と出典'!C73,IF(B432&lt;=100,'前提と出典'!B74+'前提と出典'!C74,IF(B432&lt;=500,'前提と出典'!B75+'前提と出典'!C75,'前提と出典'!B76+'前提と出典'!C76))))</ns0:f>
        <ns0:v>40000</ns0:v>
      </ns0:c>
      <ns0:c r="N432" s="16">
        <ns0:f>IF(('前提と出典'!$C$37+'前提と出典'!$C$38)=0,0,IF(C432&lt;=10,'前提と出典'!D73+'前提と出典'!E73,IF(C432&lt;=100,'前提と出典'!D74+'前提と出典'!E74,IF(C432&lt;=500,'前提と出典'!D75+'前提と出典'!E75,'前提と出典'!D76+'前提と出典'!E76))))</ns0:f>
        <ns0:v>56510.9346263078</ns0:v>
      </ns0:c>
      <ns0:c r="O432" s="16">
        <ns0:f>IF('前提と出典'!$C$36+'前提と出典'!$C$38=0,0,'前提と出典'!$B$4*IF('前提と出典'!$B$20=0,MAX('前提と出典'!$B$6,D432*'前提と出典'!$B$5),'前提と出典'!$B$6+D432*'前提と出典'!$B$5))</ns0:f>
        <ns0:v>424996.8268156425</ns0:v>
      </ns0:c>
      <ns0:c r="P432" s="16">
        <ns0:f>(E432+G432)*(1-'前提と出典'!$B$7)-I432-K432-M432-O432</ns0:f>
        <ns0:v>1195094.9573320346</ns0:v>
      </ns0:c>
      <ns0:c r="Q432" s="16">
        <ns0:f>(F432+H432)*(1-'前提と出典'!$B$7)-J432-L432-N432</ns0:f>
        <ns0:v>341010.922490138</ns0:v>
      </ns0:c>
      <ns0:c r="R432" s="16">
        <ns0:f>P432-E432*'前提と出典'!$E$4</ns0:f>
        <ns0:v>872313.6739879013</ns0:v>
      </ns0:c>
      <ns0:c r="S432" s="16">
        <ns0:f>Q432-F432*'前提と出典'!$E$4</ns0:f>
        <ns0:v>247218.93231584108</ns0:v>
      </ns0:c>
      <ns0:c r="T432" s="7">
        <ns0:f>R432+S432</ns0:f>
        <ns0:v>1119532.6063037424</ns0:v>
      </ns0:c>
      <ns0:c r="U432" s="16">
        <ns0:f>P432-E432*'前提と出典'!$E$5</ns0:f>
        <ns0:v>764719.9128731904</ns0:v>
      </ns0:c>
      <ns0:c r="V432" s="16">
        <ns0:f>Q432-F432*'前提と出典'!$E$5</ns0:f>
        <ns0:v>215954.93559107557</ns0:v>
      </ns0:c>
      <ns0:c r="W432" s="7">
        <ns0:f>U432+V432</ns0:f>
        <ns0:v>980674.8484642659</ns0:v>
      </ns0:c>
      <ns0:c r="X432" s="16">
        <ns0:f>P432-E432*'前提と出典'!$E$6</ns0:f>
        <ns0:v>657126.151758479</ns0:v>
      </ns0:c>
      <ns0:c r="Y432" s="16">
        <ns0:f>Q432-F432*'前提と出典'!$E$6</ns0:f>
        <ns0:v>184690.9388663099</ns0:v>
      </ns0:c>
      <ns0:c r="Z432" s="7">
        <ns0:f>X432+Y432</ns0:f>
        <ns0:v>841817.0906247889</ns0:v>
      </ns0:c>
      <ns0:c r="AA432" s="7">
        <ns0:f>IF(T432&gt;=0,A432,1001)</ns0:f>
        <ns0:v>428</ns0:v>
      </ns0:c>
      <ns0:c r="AB432" s="7">
        <ns0:f>IF(T432&lt;0,A432,0)</ns0:f>
        <ns0:v>0</ns0:v>
      </ns0:c>
      <ns0:c r="AC432" s="16">
        <ns0:f>IF(AND(OR('前提と出典'!$C$36+'前提と出典'!$C$38=0,R432&gt;=0),OR('前提と出典'!$C$37+'前提と出典'!$C$38=0,S432&gt;=0)),0,A432)</ns0:f>
        <ns0:v>0</ns0:v>
      </ns0:c>
      <ns0:c r="AD432" s="7">
        <ns0:f>IF(W432&gt;=0,A432,1001)</ns0:f>
        <ns0:v>428</ns0:v>
      </ns0:c>
      <ns0:c r="AE432" s="7">
        <ns0:f>IF(W432&lt;0,A432,0)</ns0:f>
        <ns0:v>0</ns0:v>
      </ns0:c>
      <ns0:c r="AF432" s="16">
        <ns0:f>IF(AND(OR('前提と出典'!$C$36+'前提と出典'!$C$38=0,U432&gt;=0),OR('前提と出典'!$C$37+'前提と出典'!$C$38=0,V432&gt;=0)),0,A432)</ns0:f>
        <ns0:v>0</ns0:v>
      </ns0:c>
      <ns0:c r="AG432" s="7">
        <ns0:f>IF(Z432&gt;=0,A432,1001)</ns0:f>
        <ns0:v>428</ns0:v>
      </ns0:c>
      <ns0:c r="AH432" s="4">
        <ns0:f>IF(Z432&lt;0,A432,0)</ns0:f>
        <ns0:v>0</ns0:v>
      </ns0:c>
      <ns0:c r="AI432" s="12">
        <ns0:f>IF(AND(OR('前提と出典'!$C$36+'前提と出典'!$C$38=0,X432&gt;=0),OR('前提と出典'!$C$37+'前提と出典'!$C$38=0,Y432&gt;=0)),0,A432)</ns0:f>
        <ns0:v>0</ns0:v>
      </ns0:c>
    </ns0:row>
    <ns0:row r="433" ht="24" customHeight="1">
      <ns0:c r="A433" s="4" t="n">
        <ns0:v>429</ns0:v>
      </ns0:c>
      <ns0:c r="B433" s="12">
        <ns0:f>A433*('前提と出典'!$C$36+'前提と出典'!$C$38)</ns0:f>
        <ns0:v>300.29999999999995</ns0:v>
      </ns0:c>
      <ns0:c r="C433" s="12">
        <ns0:f>A433*('前提と出典'!$C$37+'前提と出典'!$C$38)</ns0:f>
        <ns0:v>257.4</ns0:v>
      </ns0:c>
      <ns0:c r="D433" s="16">
        <ns0:f>A433*('前提と出典'!$C$36*'契約別単価'!C5+'前提と出典'!$C$37*'契約別単価'!C6+'前提と出典'!$C$38*'契約別単価'!C7)</ns0:f>
        <ns0:v>3086.882681564246</ns0:v>
      </ns0:c>
      <ns0:c r="E433" s="16">
        <ns0:f>A433*('前提と出典'!$C$36*'契約別単価'!E5+'前提と出典'!$C$37*'契約別単価'!E6+'前提と出典'!$C$38*'契約別単価'!E7)</ns0:f>
        <ns0:v>1078451.4840703518</ns0:v>
      </ns0:c>
      <ns0:c r="F433" s="16">
        <ns0:f>A433*('前提と出典'!$C$36*'契約別単価'!F5+'前提と出典'!$C$37*'契約別単価'!F6+'前提と出典'!$C$38*'契約別単価'!F7)</ns0:f>
        <ns0:v>313370.43446085154</ns0:v>
      </ns0:c>
      <ns0:c r="G433" s="16">
        <ns0:f>A433*('前提と出典'!$C$36*'契約別単価'!G5+'前提と出典'!$C$37*'契約別単価'!G6+'前提と出典'!$C$38*'契約別単価'!G7)</ns0:f>
        <ns0:v>853925.6983240223</ns0:v>
      </ns0:c>
      <ns0:c r="H433" s="16">
        <ns0:f>A433*('前提と出典'!$C$36*'契約別単価'!H5+'前提と出典'!$C$37*'契約別単価'!H6+'前提と出典'!$C$38*'契約別単価'!H7)</ns0:f>
        <ns0:v>296355.04505769064</ns0:v>
      </ns0:c>
      <ns0:c r="I433" s="16">
        <ns0:f>A433*('前提と出典'!$C$36*'契約別単価'!I5+'前提と出典'!$C$37*'契約別単価'!I6+'前提と出典'!$C$38*'契約別単価'!I7)</ns0:f>
        <ns0:v>18101.882681564242</ns0:v>
      </ns0:c>
      <ns0:c r="J433" s="16">
        <ns0:f>A433*('前提と出典'!$C$36*'契約別単価'!J5+'前提と出典'!$C$37*'契約別単価'!J6+'前提と出典'!$C$38*'契約別単価'!J7)</ns0:f>
        <ns0:v>42166.2142517198</ns0:v>
      </ns0:c>
      <ns0:c r="K433" s="16">
        <ns0:f>A433*('前提と出典'!$C$36*'契約別単価'!K5+'前提と出典'!$C$37*'契約別単価'!K6+'前提と出典'!$C$38*'契約別単価'!K7)</ns0:f>
        <ns0:v>180739.21787709495</ns0:v>
      </ns0:c>
      <ns0:c r="L433" s="16">
        <ns0:f>A433*('前提と出典'!$C$36*'契約別単価'!L5+'前提と出典'!$C$37*'契約別単価'!L6+'前提と出典'!$C$38*'契約別単価'!L7)</ns0:f>
        <ns0:v>147158.50150192302</ns0:v>
      </ns0:c>
      <ns0:c r="M433" s="16">
        <ns0:f>IF(('前提と出典'!$C$36+'前提と出典'!$C$38)=0,0,IF(B433&lt;=10,'前提と出典'!B73+'前提と出典'!C73,IF(B433&lt;=100,'前提と出典'!B74+'前提と出典'!C74,IF(B433&lt;=500,'前提と出典'!B75+'前提と出典'!C75,'前提と出典'!B76+'前提と出典'!C76))))</ns0:f>
        <ns0:v>40000</ns0:v>
      </ns0:c>
      <ns0:c r="N433" s="16">
        <ns0:f>IF(('前提と出典'!$C$37+'前提と出典'!$C$38)=0,0,IF(C433&lt;=10,'前提と出典'!D73+'前提と出典'!E73,IF(C433&lt;=100,'前提と出典'!D74+'前提と出典'!E74,IF(C433&lt;=500,'前提と出典'!D75+'前提と出典'!E75,'前提と出典'!D76+'前提と出典'!E76))))</ns0:f>
        <ns0:v>56510.9346263078</ns0:v>
      </ns0:c>
      <ns0:c r="O433" s="16">
        <ns0:f>IF('前提と出典'!$C$36+'前提と出典'!$C$38=0,0,'前提と出典'!$B$4*IF('前提と出典'!$B$20=0,MAX('前提と出典'!$B$6,D433*'前提と出典'!$B$5),'前提と出典'!$B$6+D433*'前提と出典'!$B$5))</ns0:f>
        <ns0:v>425989.810055866</ns0:v>
      </ns0:c>
      <ns0:c r="P433" s="16">
        <ns0:f>(E433+G433)*(1-'前提と出典'!$B$7)-I433-K433-M433-O433</ns0:f>
        <ns0:v>1197980.6932136517</ns0:v>
      </ns0:c>
      <ns0:c r="Q433" s="16">
        <ns0:f>(F433+H433)*(1-'前提と出典'!$B$7)-J433-L433-N433</ns0:f>
        <ns0:v>341939.711875924</ns0:v>
      </ns0:c>
      <ns0:c r="R433" s="16">
        <ns0:f>P433-E433*'前提と出典'!$E$4</ns0:f>
        <ns0:v>874445.247992546</ns0:v>
      </ns0:c>
      <ns0:c r="S433" s="16">
        <ns0:f>Q433-F433*'前提と出典'!$E$4</ns0:f>
        <ns0:v>247928.5815376686</ns0:v>
      </ns0:c>
      <ns0:c r="T433" s="7">
        <ns0:f>R433+S433</ns0:f>
        <ns0:v>1122373.8295302144</ns0:v>
      </ns0:c>
      <ns0:c r="U433" s="16">
        <ns0:f>P433-E433*'前提と出典'!$E$5</ns0:f>
        <ns0:v>766600.0995855109</ns0:v>
      </ns0:c>
      <ns0:c r="V433" s="16">
        <ns0:f>Q433-F433*'前提と出典'!$E$5</ns0:f>
        <ns0:v>216591.5380915834</ns0:v>
      </ns0:c>
      <ns0:c r="W433" s="7">
        <ns0:f>U433+V433</ns0:f>
        <ns0:v>983191.6376770943</ns0:v>
      </ns0:c>
      <ns0:c r="X433" s="16">
        <ns0:f>P433-E433*'前提と出典'!$E$6</ns0:f>
        <ns0:v>658754.9511784756</ns0:v>
      </ns0:c>
      <ns0:c r="Y433" s="16">
        <ns0:f>Q433-F433*'前提と出典'!$E$6</ns0:f>
        <ns0:v>185254.49464549823</ns0:v>
      </ns0:c>
      <ns0:c r="Z433" s="7">
        <ns0:f>X433+Y433</ns0:f>
        <ns0:v>844009.4458239739</ns0:v>
      </ns0:c>
      <ns0:c r="AA433" s="7">
        <ns0:f>IF(T433&gt;=0,A433,1001)</ns0:f>
        <ns0:v>429</ns0:v>
      </ns0:c>
      <ns0:c r="AB433" s="7">
        <ns0:f>IF(T433&lt;0,A433,0)</ns0:f>
        <ns0:v>0</ns0:v>
      </ns0:c>
      <ns0:c r="AC433" s="16">
        <ns0:f>IF(AND(OR('前提と出典'!$C$36+'前提と出典'!$C$38=0,R433&gt;=0),OR('前提と出典'!$C$37+'前提と出典'!$C$38=0,S433&gt;=0)),0,A433)</ns0:f>
        <ns0:v>0</ns0:v>
      </ns0:c>
      <ns0:c r="AD433" s="7">
        <ns0:f>IF(W433&gt;=0,A433,1001)</ns0:f>
        <ns0:v>429</ns0:v>
      </ns0:c>
      <ns0:c r="AE433" s="7">
        <ns0:f>IF(W433&lt;0,A433,0)</ns0:f>
        <ns0:v>0</ns0:v>
      </ns0:c>
      <ns0:c r="AF433" s="16">
        <ns0:f>IF(AND(OR('前提と出典'!$C$36+'前提と出典'!$C$38=0,U433&gt;=0),OR('前提と出典'!$C$37+'前提と出典'!$C$38=0,V433&gt;=0)),0,A433)</ns0:f>
        <ns0:v>0</ns0:v>
      </ns0:c>
      <ns0:c r="AG433" s="7">
        <ns0:f>IF(Z433&gt;=0,A433,1001)</ns0:f>
        <ns0:v>429</ns0:v>
      </ns0:c>
      <ns0:c r="AH433" s="4">
        <ns0:f>IF(Z433&lt;0,A433,0)</ns0:f>
        <ns0:v>0</ns0:v>
      </ns0:c>
      <ns0:c r="AI433" s="12">
        <ns0:f>IF(AND(OR('前提と出典'!$C$36+'前提と出典'!$C$38=0,X433&gt;=0),OR('前提と出典'!$C$37+'前提と出典'!$C$38=0,Y433&gt;=0)),0,A433)</ns0:f>
        <ns0:v>0</ns0:v>
      </ns0:c>
    </ns0:row>
    <ns0:row r="434" ht="24" customHeight="1">
      <ns0:c r="A434" s="4" t="n">
        <ns0:v>430</ns0:v>
      </ns0:c>
      <ns0:c r="B434" s="12">
        <ns0:f>A434*('前提と出典'!$C$36+'前提と出典'!$C$38)</ns0:f>
        <ns0:v>301</ns0:v>
      </ns0:c>
      <ns0:c r="C434" s="12">
        <ns0:f>A434*('前提と出典'!$C$37+'前提と出典'!$C$38)</ns0:f>
        <ns0:v>258</ns0:v>
      </ns0:c>
      <ns0:c r="D434" s="16">
        <ns0:f>A434*('前提と出典'!$C$36*'契約別単価'!C5+'前提と出典'!$C$37*'契約別単価'!C6+'前提と出典'!$C$38*'契約別単価'!C7)</ns0:f>
        <ns0:v>3094.078212290503</ns0:v>
      </ns0:c>
      <ns0:c r="E434" s="16">
        <ns0:f>A434*('前提と出典'!$C$36*'契約別単価'!E5+'前提と出典'!$C$37*'契約別単価'!E6+'前提と出典'!$C$38*'契約別単価'!E7)</ns0:f>
        <ns0:v>1080965.3569935926</ns0:v>
      </ns0:c>
      <ns0:c r="F434" s="16">
        <ns0:f>A434*('前提と出典'!$C$36*'契約別単価'!F5+'前提と出典'!$C$37*'契約別単価'!F6+'前提と出典'!$C$38*'契約別単価'!F7)</ns0:f>
        <ns0:v>314100.901674047</ns0:v>
      </ns0:c>
      <ns0:c r="G434" s="16">
        <ns0:f>A434*('前提と出典'!$C$36*'契約別単価'!G5+'前提と出典'!$C$37*'契約別単価'!G6+'前提と出典'!$C$38*'契約別単価'!G7)</ns0:f>
        <ns0:v>855916.2011173184</ns0:v>
      </ns0:c>
      <ns0:c r="H434" s="16">
        <ns0:f>A434*('前提と出典'!$C$36*'契約別単価'!H5+'前提と出典'!$C$37*'契約別単価'!H6+'前提と出典'!$C$38*'契約別単価'!H7)</ns0:f>
        <ns0:v>297045.8493585244</ns0:v>
      </ns0:c>
      <ns0:c r="I434" s="16">
        <ns0:f>A434*('前提と出典'!$C$36*'契約別単価'!I5+'前提と出典'!$C$37*'契約別単価'!I6+'前提と出典'!$C$38*'契約別単価'!I7)</ns0:f>
        <ns0:v>18144.0782122905</ns0:v>
      </ns0:c>
      <ns0:c r="J434" s="16">
        <ns0:f>A434*('前提と出典'!$C$36*'契約別単価'!J5+'前提と出典'!$C$37*'契約別単価'!J6+'前提と出典'!$C$38*'契約別単価'!J7)</ns0:f>
        <ns0:v>42264.5037954301</ns0:v>
      </ns0:c>
      <ns0:c r="K434" s="16">
        <ns0:f>A434*('前提と出典'!$C$36*'契約別単価'!K5+'前提と出典'!$C$37*'契約別単価'!K6+'前提と出典'!$C$38*'契約別単価'!K7)</ns0:f>
        <ns0:v>181160.52141527</ns0:v>
      </ns0:c>
      <ns0:c r="L434" s="16">
        <ns0:f>A434*('前提と出典'!$C$36*'契約別単価'!L5+'前提と出典'!$C$37*'契約別単価'!L6+'前提と出典'!$C$38*'契約別単価'!L7)</ns0:f>
        <ns0:v>147501.5283119508</ns0:v>
      </ns0:c>
      <ns0:c r="M434" s="16">
        <ns0:f>IF(('前提と出典'!$C$36+'前提と出典'!$C$38)=0,0,IF(B434&lt;=10,'前提と出典'!B73+'前提と出典'!C73,IF(B434&lt;=100,'前提と出典'!B74+'前提と出典'!C74,IF(B434&lt;=500,'前提と出典'!B75+'前提と出典'!C75,'前提と出典'!B76+'前提と出典'!C76))))</ns0:f>
        <ns0:v>40000</ns0:v>
      </ns0:c>
      <ns0:c r="N434" s="16">
        <ns0:f>IF(('前提と出典'!$C$37+'前提と出典'!$C$38)=0,0,IF(C434&lt;=10,'前提と出典'!D73+'前提と出典'!E73,IF(C434&lt;=100,'前提と出典'!D74+'前提と出典'!E74,IF(C434&lt;=500,'前提と出典'!D75+'前提と出典'!E75,'前提と出典'!D76+'前提と出典'!E76))))</ns0:f>
        <ns0:v>56510.9346263078</ns0:v>
      </ns0:c>
      <ns0:c r="O434" s="16">
        <ns0:f>IF('前提と出典'!$C$36+'前提と出典'!$C$38=0,0,'前提と出典'!$B$4*IF('前提と出典'!$B$20=0,MAX('前提と出典'!$B$6,D434*'前提と出典'!$B$5),'前提と出典'!$B$6+D434*'前提と出典'!$B$5))</ns0:f>
        <ns0:v>426982.7932960894</ns0:v>
      </ns0:c>
      <ns0:c r="P434" s="16">
        <ns0:f>(E434+G434)*(1-'前提と出典'!$B$7)-I434-K434-M434-O434</ns0:f>
        <ns0:v>1200866.4290952682</ns0:v>
      </ns0:c>
      <ns0:c r="Q434" s="16">
        <ns0:f>(F434+H434)*(1-'前提と出典'!$B$7)-J434-L434-N434</ns0:f>
        <ns0:v>342868.50126171013</ns0:v>
      </ns0:c>
      <ns0:c r="R434" s="16">
        <ns0:f>P434-E434*'前提と出典'!$E$4</ns0:f>
        <ns0:v>876576.8219971904</ns0:v>
      </ns0:c>
      <ns0:c r="S434" s="16">
        <ns0:f>Q434-F434*'前提と出典'!$E$4</ns0:f>
        <ns0:v>248638.23075949604</ns0:v>
      </ns0:c>
      <ns0:c r="T434" s="7">
        <ns0:f>R434+S434</ns0:f>
        <ns0:v>1125215.0527566865</ns0:v>
      </ns0:c>
      <ns0:c r="U434" s="16">
        <ns0:f>P434-E434*'前提と出典'!$E$5</ns0:f>
        <ns0:v>768480.2862978312</ns0:v>
      </ns0:c>
      <ns0:c r="V434" s="16">
        <ns0:f>Q434-F434*'前提と出典'!$E$5</ns0:f>
        <ns0:v>217228.1405920913</ns0:v>
      </ns0:c>
      <ns0:c r="W434" s="7">
        <ns0:f>U434+V434</ns0:f>
        <ns0:v>985708.4268899225</ns0:v>
      </ns0:c>
      <ns0:c r="X434" s="16">
        <ns0:f>P434-E434*'前提と出典'!$E$6</ns0:f>
        <ns0:v>660383.7505984721</ns0:v>
      </ns0:c>
      <ns0:c r="Y434" s="16">
        <ns0:f>Q434-F434*'前提と出典'!$E$6</ns0:f>
        <ns0:v>185818.05042468663</ns0:v>
      </ns0:c>
      <ns0:c r="Z434" s="7">
        <ns0:f>X434+Y434</ns0:f>
        <ns0:v>846201.8010231587</ns0:v>
      </ns0:c>
      <ns0:c r="AA434" s="7">
        <ns0:f>IF(T434&gt;=0,A434,1001)</ns0:f>
        <ns0:v>430</ns0:v>
      </ns0:c>
      <ns0:c r="AB434" s="7">
        <ns0:f>IF(T434&lt;0,A434,0)</ns0:f>
        <ns0:v>0</ns0:v>
      </ns0:c>
      <ns0:c r="AC434" s="16">
        <ns0:f>IF(AND(OR('前提と出典'!$C$36+'前提と出典'!$C$38=0,R434&gt;=0),OR('前提と出典'!$C$37+'前提と出典'!$C$38=0,S434&gt;=0)),0,A434)</ns0:f>
        <ns0:v>0</ns0:v>
      </ns0:c>
      <ns0:c r="AD434" s="7">
        <ns0:f>IF(W434&gt;=0,A434,1001)</ns0:f>
        <ns0:v>430</ns0:v>
      </ns0:c>
      <ns0:c r="AE434" s="7">
        <ns0:f>IF(W434&lt;0,A434,0)</ns0:f>
        <ns0:v>0</ns0:v>
      </ns0:c>
      <ns0:c r="AF434" s="16">
        <ns0:f>IF(AND(OR('前提と出典'!$C$36+'前提と出典'!$C$38=0,U434&gt;=0),OR('前提と出典'!$C$37+'前提と出典'!$C$38=0,V434&gt;=0)),0,A434)</ns0:f>
        <ns0:v>0</ns0:v>
      </ns0:c>
      <ns0:c r="AG434" s="7">
        <ns0:f>IF(Z434&gt;=0,A434,1001)</ns0:f>
        <ns0:v>430</ns0:v>
      </ns0:c>
      <ns0:c r="AH434" s="4">
        <ns0:f>IF(Z434&lt;0,A434,0)</ns0:f>
        <ns0:v>0</ns0:v>
      </ns0:c>
      <ns0:c r="AI434" s="12">
        <ns0:f>IF(AND(OR('前提と出典'!$C$36+'前提と出典'!$C$38=0,X434&gt;=0),OR('前提と出典'!$C$37+'前提と出典'!$C$38=0,Y434&gt;=0)),0,A434)</ns0:f>
        <ns0:v>0</ns0:v>
      </ns0:c>
    </ns0:row>
    <ns0:row r="435" ht="24" customHeight="1">
      <ns0:c r="A435" s="4" t="n">
        <ns0:v>431</ns0:v>
      </ns0:c>
      <ns0:c r="B435" s="12">
        <ns0:f>A435*('前提と出典'!$C$36+'前提と出典'!$C$38)</ns0:f>
        <ns0:v>301.7</ns0:v>
      </ns0:c>
      <ns0:c r="C435" s="12">
        <ns0:f>A435*('前提と出典'!$C$37+'前提と出典'!$C$38)</ns0:f>
        <ns0:v>258.59999999999997</ns0:v>
      </ns0:c>
      <ns0:c r="D435" s="16">
        <ns0:f>A435*('前提と出典'!$C$36*'契約別単価'!C5+'前提と出典'!$C$37*'契約別単価'!C6+'前提と出典'!$C$38*'契約別単価'!C7)</ns0:f>
        <ns0:v>3101.27374301676</ns0:v>
      </ns0:c>
      <ns0:c r="E435" s="16">
        <ns0:f>A435*('前提と出典'!$C$36*'契約別単価'!E5+'前提と出典'!$C$37*'契約別単価'!E6+'前提と出典'!$C$38*'契約別単価'!E7)</ns0:f>
        <ns0:v>1083479.2299168336</ns0:v>
      </ns0:c>
      <ns0:c r="F435" s="16">
        <ns0:f>A435*('前提と出典'!$C$36*'契約別単価'!F5+'前提と出典'!$C$37*'契約別単価'!F6+'前提と出典'!$C$38*'契約別単価'!F7)</ns0:f>
        <ns0:v>314831.36888724245</ns0:v>
      </ns0:c>
      <ns0:c r="G435" s="16">
        <ns0:f>A435*('前提と出典'!$C$36*'契約別単価'!G5+'前提と出典'!$C$37*'契約別単価'!G6+'前提と出典'!$C$38*'契約別単価'!G7)</ns0:f>
        <ns0:v>857906.7039106145</ns0:v>
      </ns0:c>
      <ns0:c r="H435" s="16">
        <ns0:f>A435*('前提と出典'!$C$36*'契約別単価'!H5+'前提と出典'!$C$37*'契約別単価'!H6+'前提と出典'!$C$38*'契約別単価'!H7)</ns0:f>
        <ns0:v>297736.65365935815</ns0:v>
      </ns0:c>
      <ns0:c r="I435" s="16">
        <ns0:f>A435*('前提と出典'!$C$36*'契約別単価'!I5+'前提と出典'!$C$37*'契約別単価'!I6+'前提と出典'!$C$38*'契約別単価'!I7)</ns0:f>
        <ns0:v>18186.273743016758</ns0:v>
      </ns0:c>
      <ns0:c r="J435" s="16">
        <ns0:f>A435*('前提と出典'!$C$36*'契約別単価'!J5+'前提と出典'!$C$37*'契約別単価'!J6+'前提と出典'!$C$38*'契約別単価'!J7)</ns0:f>
        <ns0:v>42362.79333914041</ns0:v>
      </ns0:c>
      <ns0:c r="K435" s="16">
        <ns0:f>A435*('前提と出典'!$C$36*'契約別単価'!K5+'前提と出典'!$C$37*'契約別単価'!K6+'前提と出典'!$C$38*'契約別単価'!K7)</ns0:f>
        <ns0:v>181581.82495344506</ns0:v>
      </ns0:c>
      <ns0:c r="L435" s="16">
        <ns0:f>A435*('前提と出典'!$C$36*'契約別単価'!L5+'前提と出典'!$C$37*'契約別単価'!L6+'前提と出典'!$C$38*'契約別単価'!L7)</ns0:f>
        <ns0:v>147844.5551219786</ns0:v>
      </ns0:c>
      <ns0:c r="M435" s="16">
        <ns0:f>IF(('前提と出典'!$C$36+'前提と出典'!$C$38)=0,0,IF(B435&lt;=10,'前提と出典'!B73+'前提と出典'!C73,IF(B435&lt;=100,'前提と出典'!B74+'前提と出典'!C74,IF(B435&lt;=500,'前提と出典'!B75+'前提と出典'!C75,'前提と出典'!B76+'前提と出典'!C76))))</ns0:f>
        <ns0:v>40000</ns0:v>
      </ns0:c>
      <ns0:c r="N435" s="16">
        <ns0:f>IF(('前提と出典'!$C$37+'前提と出典'!$C$38)=0,0,IF(C435&lt;=10,'前提と出典'!D73+'前提と出典'!E73,IF(C435&lt;=100,'前提と出典'!D74+'前提と出典'!E74,IF(C435&lt;=500,'前提と出典'!D75+'前提と出典'!E75,'前提と出典'!D76+'前提と出典'!E76))))</ns0:f>
        <ns0:v>56510.9346263078</ns0:v>
      </ns0:c>
      <ns0:c r="O435" s="16">
        <ns0:f>IF('前提と出典'!$C$36+'前提と出典'!$C$38=0,0,'前提と出典'!$B$4*IF('前提と出典'!$B$20=0,MAX('前提と出典'!$B$6,D435*'前提と出典'!$B$5),'前提と出典'!$B$6+D435*'前提と出典'!$B$5))</ns0:f>
        <ns0:v>427975.7765363129</ns0:v>
      </ns0:c>
      <ns0:c r="P435" s="16">
        <ns0:f>(E435+G435)*(1-'前提と出典'!$B$7)-I435-K435-M435-O435</ns0:f>
        <ns0:v>1203752.1649768855</ns0:v>
      </ns0:c>
      <ns0:c r="Q435" s="16">
        <ns0:f>(F435+H435)*(1-'前提と出典'!$B$7)-J435-L435-N435</ns0:f>
        <ns0:v>343797.29064749606</ns0:v>
      </ns0:c>
      <ns0:c r="R435" s="16">
        <ns0:f>P435-E435*'前提と出典'!$E$4</ns0:f>
        <ns0:v>878708.3960018354</ns0:v>
      </ns0:c>
      <ns0:c r="S435" s="16">
        <ns0:f>Q435-F435*'前提と出典'!$E$4</ns0:f>
        <ns0:v>249347.87998132338</ns0:v>
      </ns0:c>
      <ns0:c r="T435" s="7">
        <ns0:f>R435+S435</ns0:f>
        <ns0:v>1128056.2759831587</ns0:v>
      </ns0:c>
      <ns0:c r="U435" s="16">
        <ns0:f>P435-E435*'前提と出典'!$E$5</ns0:f>
        <ns0:v>770360.4730101521</ns0:v>
      </ns0:c>
      <ns0:c r="V435" s="16">
        <ns0:f>Q435-F435*'前提と出典'!$E$5</ns0:f>
        <ns0:v>217864.7430925991</ns0:v>
      </ns0:c>
      <ns0:c r="W435" s="7">
        <ns0:f>U435+V435</ns0:f>
        <ns0:v>988225.2161027512</ns0:v>
      </ns0:c>
      <ns0:c r="X435" s="16">
        <ns0:f>P435-E435*'前提と出典'!$E$6</ns0:f>
        <ns0:v>662012.5500184689</ns0:v>
      </ns0:c>
      <ns0:c r="Y435" s="16">
        <ns0:f>Q435-F435*'前提と出典'!$E$6</ns0:f>
        <ns0:v>186381.6062038749</ns0:v>
      </ns0:c>
      <ns0:c r="Z435" s="7">
        <ns0:f>X435+Y435</ns0:f>
        <ns0:v>848394.1562223438</ns0:v>
      </ns0:c>
      <ns0:c r="AA435" s="7">
        <ns0:f>IF(T435&gt;=0,A435,1001)</ns0:f>
        <ns0:v>431</ns0:v>
      </ns0:c>
      <ns0:c r="AB435" s="7">
        <ns0:f>IF(T435&lt;0,A435,0)</ns0:f>
        <ns0:v>0</ns0:v>
      </ns0:c>
      <ns0:c r="AC435" s="16">
        <ns0:f>IF(AND(OR('前提と出典'!$C$36+'前提と出典'!$C$38=0,R435&gt;=0),OR('前提と出典'!$C$37+'前提と出典'!$C$38=0,S435&gt;=0)),0,A435)</ns0:f>
        <ns0:v>0</ns0:v>
      </ns0:c>
      <ns0:c r="AD435" s="7">
        <ns0:f>IF(W435&gt;=0,A435,1001)</ns0:f>
        <ns0:v>431</ns0:v>
      </ns0:c>
      <ns0:c r="AE435" s="7">
        <ns0:f>IF(W435&lt;0,A435,0)</ns0:f>
        <ns0:v>0</ns0:v>
      </ns0:c>
      <ns0:c r="AF435" s="16">
        <ns0:f>IF(AND(OR('前提と出典'!$C$36+'前提と出典'!$C$38=0,U435&gt;=0),OR('前提と出典'!$C$37+'前提と出典'!$C$38=0,V435&gt;=0)),0,A435)</ns0:f>
        <ns0:v>0</ns0:v>
      </ns0:c>
      <ns0:c r="AG435" s="7">
        <ns0:f>IF(Z435&gt;=0,A435,1001)</ns0:f>
        <ns0:v>431</ns0:v>
      </ns0:c>
      <ns0:c r="AH435" s="4">
        <ns0:f>IF(Z435&lt;0,A435,0)</ns0:f>
        <ns0:v>0</ns0:v>
      </ns0:c>
      <ns0:c r="AI435" s="12">
        <ns0:f>IF(AND(OR('前提と出典'!$C$36+'前提と出典'!$C$38=0,X435&gt;=0),OR('前提と出典'!$C$37+'前提と出典'!$C$38=0,Y435&gt;=0)),0,A435)</ns0:f>
        <ns0:v>0</ns0:v>
      </ns0:c>
    </ns0:row>
    <ns0:row r="436" ht="24" customHeight="1">
      <ns0:c r="A436" s="4" t="n">
        <ns0:v>432</ns0:v>
      </ns0:c>
      <ns0:c r="B436" s="12">
        <ns0:f>A436*('前提と出典'!$C$36+'前提と出典'!$C$38)</ns0:f>
        <ns0:v>302.4</ns0:v>
      </ns0:c>
      <ns0:c r="C436" s="12">
        <ns0:f>A436*('前提と出典'!$C$37+'前提と出典'!$C$38)</ns0:f>
        <ns0:v>259.2</ns0:v>
      </ns0:c>
      <ns0:c r="D436" s="16">
        <ns0:f>A436*('前提と出典'!$C$36*'契約別単価'!C5+'前提と出典'!$C$37*'契約別単価'!C6+'前提と出典'!$C$38*'契約別単価'!C7)</ns0:f>
        <ns0:v>3108.469273743017</ns0:v>
      </ns0:c>
      <ns0:c r="E436" s="16">
        <ns0:f>A436*('前提と出典'!$C$36*'契約別単価'!E5+'前提と出典'!$C$37*'契約別単価'!E6+'前提と出典'!$C$38*'契約別単価'!E7)</ns0:f>
        <ns0:v>1085993.1028400746</ns0:v>
      </ns0:c>
      <ns0:c r="F436" s="16">
        <ns0:f>A436*('前提と出典'!$C$36*'契約別単価'!F5+'前提と出典'!$C$37*'契約別単価'!F6+'前提と出典'!$C$38*'契約別単価'!F7)</ns0:f>
        <ns0:v>315561.8361004379</ns0:v>
      </ns0:c>
      <ns0:c r="G436" s="16">
        <ns0:f>A436*('前提と出典'!$C$36*'契約別単価'!G5+'前提と出典'!$C$37*'契約別単価'!G6+'前提と出典'!$C$38*'契約別単価'!G7)</ns0:f>
        <ns0:v>859897.2067039106</ns0:v>
      </ns0:c>
      <ns0:c r="H436" s="16">
        <ns0:f>A436*('前提と出典'!$C$36*'契約別単価'!H5+'前提と出典'!$C$37*'契約別単価'!H6+'前提と出典'!$C$38*'契約別単価'!H7)</ns0:f>
        <ns0:v>298427.45796019194</ns0:v>
      </ns0:c>
      <ns0:c r="I436" s="16">
        <ns0:f>A436*('前提と出典'!$C$36*'契約別単価'!I5+'前提と出典'!$C$37*'契約別単価'!I6+'前提と出典'!$C$38*'契約別単価'!I7)</ns0:f>
        <ns0:v>18228.469273743012</ns0:v>
      </ns0:c>
      <ns0:c r="J436" s="16">
        <ns0:f>A436*('前提と出典'!$C$36*'契約別単価'!J5+'前提と出典'!$C$37*'契約別単価'!J6+'前提と出典'!$C$38*'契約別単価'!J7)</ns0:f>
        <ns0:v>42461.08288285071</ns0:v>
      </ns0:c>
      <ns0:c r="K436" s="16">
        <ns0:f>A436*('前提と出典'!$C$36*'契約別単価'!K5+'前提と出典'!$C$37*'契約別単価'!K6+'前提と出典'!$C$38*'契約別単価'!K7)</ns0:f>
        <ns0:v>182003.1284916201</ns0:v>
      </ns0:c>
      <ns0:c r="L436" s="16">
        <ns0:f>A436*('前提と出典'!$C$36*'契約別単価'!L5+'前提と出典'!$C$37*'契約別単価'!L6+'前提と出典'!$C$38*'契約別単価'!L7)</ns0:f>
        <ns0:v>148187.5819320064</ns0:v>
      </ns0:c>
      <ns0:c r="M436" s="16">
        <ns0:f>IF(('前提と出典'!$C$36+'前提と出典'!$C$38)=0,0,IF(B436&lt;=10,'前提と出典'!B73+'前提と出典'!C73,IF(B436&lt;=100,'前提と出典'!B74+'前提と出典'!C74,IF(B436&lt;=500,'前提と出典'!B75+'前提と出典'!C75,'前提と出典'!B76+'前提と出典'!C76))))</ns0:f>
        <ns0:v>40000</ns0:v>
      </ns0:c>
      <ns0:c r="N436" s="16">
        <ns0:f>IF(('前提と出典'!$C$37+'前提と出典'!$C$38)=0,0,IF(C436&lt;=10,'前提と出典'!D73+'前提と出典'!E73,IF(C436&lt;=100,'前提と出典'!D74+'前提と出典'!E74,IF(C436&lt;=500,'前提と出典'!D75+'前提と出典'!E75,'前提と出典'!D76+'前提と出典'!E76))))</ns0:f>
        <ns0:v>56510.9346263078</ns0:v>
      </ns0:c>
      <ns0:c r="O436" s="16">
        <ns0:f>IF('前提と出典'!$C$36+'前提と出典'!$C$38=0,0,'前提と出典'!$B$4*IF('前提と出典'!$B$20=0,MAX('前提と出典'!$B$6,D436*'前提と出典'!$B$5),'前提と出典'!$B$6+D436*'前提と出典'!$B$5))</ns0:f>
        <ns0:v>428968.7597765364</ns0:v>
      </ns0:c>
      <ns0:c r="P436" s="16">
        <ns0:f>(E436+G436)*(1-'前提と出典'!$B$7)-I436-K436-M436-O436</ns0:f>
        <ns0:v>1206637.9008585024</ns0:v>
      </ns0:c>
      <ns0:c r="Q436" s="16">
        <ns0:f>(F436+H436)*(1-'前提と出典'!$B$7)-J436-L436-N436</ns0:f>
        <ns0:v>344726.08003328217</ns0:v>
      </ns0:c>
      <ns0:c r="R436" s="16">
        <ns0:f>P436-E436*'前提と出典'!$E$4</ns0:f>
        <ns0:v>880839.9700064801</ns0:v>
      </ns0:c>
      <ns0:c r="S436" s="16">
        <ns0:f>Q436-F436*'前提と出典'!$E$4</ns0:f>
        <ns0:v>250057.52920315077</ns0:v>
      </ns0:c>
      <ns0:c r="T436" s="7">
        <ns0:f>R436+S436</ns0:f>
        <ns0:v>1130897.4992096308</ns0:v>
      </ns0:c>
      <ns0:c r="U436" s="16">
        <ns0:f>P436-E436*'前提と出典'!$E$5</ns0:f>
        <ns0:v>772240.6597224725</ns0:v>
      </ns0:c>
      <ns0:c r="V436" s="16">
        <ns0:f>Q436-F436*'前提と出典'!$E$5</ns0:f>
        <ns0:v>218501.345593107</ns0:v>
      </ns0:c>
      <ns0:c r="W436" s="7">
        <ns0:f>U436+V436</ns0:f>
        <ns0:v>990742.0053155795</ns0:v>
      </ns0:c>
      <ns0:c r="X436" s="16">
        <ns0:f>P436-E436*'前提と出典'!$E$6</ns0:f>
        <ns0:v>663641.349438465</ns0:v>
      </ns0:c>
      <ns0:c r="Y436" s="16">
        <ns0:f>Q436-F436*'前提と出典'!$E$6</ns0:f>
        <ns0:v>186945.1619830632</ns0:v>
      </ns0:c>
      <ns0:c r="Z436" s="7">
        <ns0:f>X436+Y436</ns0:f>
        <ns0:v>850586.5114215282</ns0:v>
      </ns0:c>
      <ns0:c r="AA436" s="7">
        <ns0:f>IF(T436&gt;=0,A436,1001)</ns0:f>
        <ns0:v>432</ns0:v>
      </ns0:c>
      <ns0:c r="AB436" s="7">
        <ns0:f>IF(T436&lt;0,A436,0)</ns0:f>
        <ns0:v>0</ns0:v>
      </ns0:c>
      <ns0:c r="AC436" s="16">
        <ns0:f>IF(AND(OR('前提と出典'!$C$36+'前提と出典'!$C$38=0,R436&gt;=0),OR('前提と出典'!$C$37+'前提と出典'!$C$38=0,S436&gt;=0)),0,A436)</ns0:f>
        <ns0:v>0</ns0:v>
      </ns0:c>
      <ns0:c r="AD436" s="7">
        <ns0:f>IF(W436&gt;=0,A436,1001)</ns0:f>
        <ns0:v>432</ns0:v>
      </ns0:c>
      <ns0:c r="AE436" s="7">
        <ns0:f>IF(W436&lt;0,A436,0)</ns0:f>
        <ns0:v>0</ns0:v>
      </ns0:c>
      <ns0:c r="AF436" s="16">
        <ns0:f>IF(AND(OR('前提と出典'!$C$36+'前提と出典'!$C$38=0,U436&gt;=0),OR('前提と出典'!$C$37+'前提と出典'!$C$38=0,V436&gt;=0)),0,A436)</ns0:f>
        <ns0:v>0</ns0:v>
      </ns0:c>
      <ns0:c r="AG436" s="7">
        <ns0:f>IF(Z436&gt;=0,A436,1001)</ns0:f>
        <ns0:v>432</ns0:v>
      </ns0:c>
      <ns0:c r="AH436" s="4">
        <ns0:f>IF(Z436&lt;0,A436,0)</ns0:f>
        <ns0:v>0</ns0:v>
      </ns0:c>
      <ns0:c r="AI436" s="12">
        <ns0:f>IF(AND(OR('前提と出典'!$C$36+'前提と出典'!$C$38=0,X436&gt;=0),OR('前提と出典'!$C$37+'前提と出典'!$C$38=0,Y436&gt;=0)),0,A436)</ns0:f>
        <ns0:v>0</ns0:v>
      </ns0:c>
    </ns0:row>
    <ns0:row r="437" ht="24" customHeight="1">
      <ns0:c r="A437" s="4" t="n">
        <ns0:v>433</ns0:v>
      </ns0:c>
      <ns0:c r="B437" s="12">
        <ns0:f>A437*('前提と出典'!$C$36+'前提と出典'!$C$38)</ns0:f>
        <ns0:v>303.09999999999997</ns0:v>
      </ns0:c>
      <ns0:c r="C437" s="12">
        <ns0:f>A437*('前提と出典'!$C$37+'前提と出典'!$C$38)</ns0:f>
        <ns0:v>259.8</ns0:v>
      </ns0:c>
      <ns0:c r="D437" s="16">
        <ns0:f>A437*('前提と出典'!$C$36*'契約別単価'!C5+'前提と出典'!$C$37*'契約別単価'!C6+'前提と出典'!$C$38*'契約別単価'!C7)</ns0:f>
        <ns0:v>3115.664804469274</ns0:v>
      </ns0:c>
      <ns0:c r="E437" s="16">
        <ns0:f>A437*('前提と出典'!$C$36*'契約別単価'!E5+'前提と出典'!$C$37*'契約別単価'!E6+'前提と出典'!$C$38*'契約別単価'!E7)</ns0:f>
        <ns0:v>1088506.9757633153</ns0:v>
      </ns0:c>
      <ns0:c r="F437" s="16">
        <ns0:f>A437*('前提と出典'!$C$36*'契約別単価'!F5+'前提と出典'!$C$37*'契約別単価'!F6+'前提と出典'!$C$38*'契約別単価'!F7)</ns0:f>
        <ns0:v>316292.30331363337</ns0:v>
      </ns0:c>
      <ns0:c r="G437" s="16">
        <ns0:f>A437*('前提と出典'!$C$36*'契約別単価'!G5+'前提と出典'!$C$37*'契約別単価'!G6+'前提と出典'!$C$38*'契約別単価'!G7)</ns0:f>
        <ns0:v>861887.7094972066</ns0:v>
      </ns0:c>
      <ns0:c r="H437" s="16">
        <ns0:f>A437*('前提と出典'!$C$36*'契約別単価'!H5+'前提と出典'!$C$37*'契約別単価'!H6+'前提と出典'!$C$38*'契約別単価'!H7)</ns0:f>
        <ns0:v>299118.2622610257</ns0:v>
      </ns0:c>
      <ns0:c r="I437" s="16">
        <ns0:f>A437*('前提と出典'!$C$36*'契約別単価'!I5+'前提と出典'!$C$37*'契約別単価'!I6+'前提と出典'!$C$38*'契約別単価'!I7)</ns0:f>
        <ns0:v>18270.66480446927</ns0:v>
      </ns0:c>
      <ns0:c r="J437" s="16">
        <ns0:f>A437*('前提と出典'!$C$36*'契約別単価'!J5+'前提と出典'!$C$37*'契約別単価'!J6+'前提と出典'!$C$38*'契約別単価'!J7)</ns0:f>
        <ns0:v>42559.372426561014</ns0:v>
      </ns0:c>
      <ns0:c r="K437" s="16">
        <ns0:f>A437*('前提と出典'!$C$36*'契約別単価'!K5+'前提と出典'!$C$37*'契約別単価'!K6+'前提と出典'!$C$38*'契約別単価'!K7)</ns0:f>
        <ns0:v>182424.43202979513</ns0:v>
      </ns0:c>
      <ns0:c r="L437" s="16">
        <ns0:f>A437*('前提と出典'!$C$36*'契約別単価'!L5+'前提と出典'!$C$37*'契約別単価'!L6+'前提と出典'!$C$38*'契約別単価'!L7)</ns0:f>
        <ns0:v>148530.60874203418</ns0:v>
      </ns0:c>
      <ns0:c r="M437" s="16">
        <ns0:f>IF(('前提と出典'!$C$36+'前提と出典'!$C$38)=0,0,IF(B437&lt;=10,'前提と出典'!B73+'前提と出典'!C73,IF(B437&lt;=100,'前提と出典'!B74+'前提と出典'!C74,IF(B437&lt;=500,'前提と出典'!B75+'前提と出典'!C75,'前提と出典'!B76+'前提と出典'!C76))))</ns0:f>
        <ns0:v>40000</ns0:v>
      </ns0:c>
      <ns0:c r="N437" s="16">
        <ns0:f>IF(('前提と出典'!$C$37+'前提と出典'!$C$38)=0,0,IF(C437&lt;=10,'前提と出典'!D73+'前提と出典'!E73,IF(C437&lt;=100,'前提と出典'!D74+'前提と出典'!E74,IF(C437&lt;=500,'前提と出典'!D75+'前提と出典'!E75,'前提と出典'!D76+'前提と出典'!E76))))</ns0:f>
        <ns0:v>56510.9346263078</ns0:v>
      </ns0:c>
      <ns0:c r="O437" s="16">
        <ns0:f>IF('前提と出典'!$C$36+'前提と出典'!$C$38=0,0,'前提と出典'!$B$4*IF('前提と出典'!$B$20=0,MAX('前提と出典'!$B$6,D437*'前提と出典'!$B$5),'前提と出典'!$B$6+D437*'前提と出典'!$B$5))</ns0:f>
        <ns0:v>429961.7430167598</ns0:v>
      </ns0:c>
      <ns0:c r="P437" s="16">
        <ns0:f>(E437+G437)*(1-'前提と出典'!$B$7)-I437-K437-M437-O437</ns0:f>
        <ns0:v>1209523.6367401187</ns0:v>
      </ns0:c>
      <ns0:c r="Q437" s="16">
        <ns0:f>(F437+H437)*(1-'前提と出典'!$B$7)-J437-L437-N437</ns0:f>
        <ns0:v>345654.86941906833</ns0:v>
      </ns0:c>
      <ns0:c r="R437" s="16">
        <ns0:f>P437-E437*'前提と出典'!$E$4</ns0:f>
        <ns0:v>882971.5440111242</ns0:v>
      </ns0:c>
      <ns0:c r="S437" s="16">
        <ns0:f>Q437-F437*'前提と出典'!$E$4</ns0:f>
        <ns0:v>250767.17842497834</ns0:v>
      </ns0:c>
      <ns0:c r="T437" s="7">
        <ns0:f>R437+S437</ns0:f>
        <ns0:v>1133738.7224361026</ns0:v>
      </ns0:c>
      <ns0:c r="U437" s="16">
        <ns0:f>P437-E437*'前提と出典'!$E$5</ns0:f>
        <ns0:v>774120.8464347925</ns0:v>
      </ns0:c>
      <ns0:c r="V437" s="16">
        <ns0:f>Q437-F437*'前提と出典'!$E$5</ns0:f>
        <ns0:v>219137.948093615</ns0:v>
      </ns0:c>
      <ns0:c r="W437" s="7">
        <ns0:f>U437+V437</ns0:f>
        <ns0:v>993258.7945284075</ns0:v>
      </ns0:c>
      <ns0:c r="X437" s="16">
        <ns0:f>P437-E437*'前提と出典'!$E$6</ns0:f>
        <ns0:v>665270.1488584611</ns0:v>
      </ns0:c>
      <ns0:c r="Y437" s="16">
        <ns0:f>Q437-F437*'前提と出典'!$E$6</ns0:f>
        <ns0:v>187508.71776225162</ns0:v>
      </ns0:c>
      <ns0:c r="Z437" s="7">
        <ns0:f>X437+Y437</ns0:f>
        <ns0:v>852778.8666207127</ns0:v>
      </ns0:c>
      <ns0:c r="AA437" s="7">
        <ns0:f>IF(T437&gt;=0,A437,1001)</ns0:f>
        <ns0:v>433</ns0:v>
      </ns0:c>
      <ns0:c r="AB437" s="7">
        <ns0:f>IF(T437&lt;0,A437,0)</ns0:f>
        <ns0:v>0</ns0:v>
      </ns0:c>
      <ns0:c r="AC437" s="16">
        <ns0:f>IF(AND(OR('前提と出典'!$C$36+'前提と出典'!$C$38=0,R437&gt;=0),OR('前提と出典'!$C$37+'前提と出典'!$C$38=0,S437&gt;=0)),0,A437)</ns0:f>
        <ns0:v>0</ns0:v>
      </ns0:c>
      <ns0:c r="AD437" s="7">
        <ns0:f>IF(W437&gt;=0,A437,1001)</ns0:f>
        <ns0:v>433</ns0:v>
      </ns0:c>
      <ns0:c r="AE437" s="7">
        <ns0:f>IF(W437&lt;0,A437,0)</ns0:f>
        <ns0:v>0</ns0:v>
      </ns0:c>
      <ns0:c r="AF437" s="16">
        <ns0:f>IF(AND(OR('前提と出典'!$C$36+'前提と出典'!$C$38=0,U437&gt;=0),OR('前提と出典'!$C$37+'前提と出典'!$C$38=0,V437&gt;=0)),0,A437)</ns0:f>
        <ns0:v>0</ns0:v>
      </ns0:c>
      <ns0:c r="AG437" s="7">
        <ns0:f>IF(Z437&gt;=0,A437,1001)</ns0:f>
        <ns0:v>433</ns0:v>
      </ns0:c>
      <ns0:c r="AH437" s="4">
        <ns0:f>IF(Z437&lt;0,A437,0)</ns0:f>
        <ns0:v>0</ns0:v>
      </ns0:c>
      <ns0:c r="AI437" s="12">
        <ns0:f>IF(AND(OR('前提と出典'!$C$36+'前提と出典'!$C$38=0,X437&gt;=0),OR('前提と出典'!$C$37+'前提と出典'!$C$38=0,Y437&gt;=0)),0,A437)</ns0:f>
        <ns0:v>0</ns0:v>
      </ns0:c>
    </ns0:row>
    <ns0:row r="438" ht="24" customHeight="1">
      <ns0:c r="A438" s="4" t="n">
        <ns0:v>434</ns0:v>
      </ns0:c>
      <ns0:c r="B438" s="12">
        <ns0:f>A438*('前提と出典'!$C$36+'前提と出典'!$C$38)</ns0:f>
        <ns0:v>303.79999999999995</ns0:v>
      </ns0:c>
      <ns0:c r="C438" s="12">
        <ns0:f>A438*('前提と出典'!$C$37+'前提と出典'!$C$38)</ns0:f>
        <ns0:v>260.4</ns0:v>
      </ns0:c>
      <ns0:c r="D438" s="16">
        <ns0:f>A438*('前提と出典'!$C$36*'契約別単価'!C5+'前提と出典'!$C$37*'契約別単価'!C6+'前提と出典'!$C$38*'契約別単価'!C7)</ns0:f>
        <ns0:v>3122.8603351955308</ns0:v>
      </ns0:c>
      <ns0:c r="E438" s="16">
        <ns0:f>A438*('前提と出典'!$C$36*'契約別単価'!E5+'前提と出典'!$C$37*'契約別単価'!E6+'前提と出典'!$C$38*'契約別単価'!E7)</ns0:f>
        <ns0:v>1091020.8486865563</ns0:v>
      </ns0:c>
      <ns0:c r="F438" s="16">
        <ns0:f>A438*('前提と出典'!$C$36*'契約別単価'!F5+'前提と出典'!$C$37*'契約別単価'!F6+'前提と出典'!$C$38*'契約別単価'!F7)</ns0:f>
        <ns0:v>317022.7705268288</ns0:v>
      </ns0:c>
      <ns0:c r="G438" s="16">
        <ns0:f>A438*('前提と出典'!$C$36*'契約別単価'!G5+'前提と出典'!$C$37*'契約別単価'!G6+'前提と出典'!$C$38*'契約別単価'!G7)</ns0:f>
        <ns0:v>863878.2122905027</ns0:v>
      </ns0:c>
      <ns0:c r="H438" s="16">
        <ns0:f>A438*('前提と出典'!$C$36*'契約別単価'!H5+'前提と出典'!$C$37*'契約別単価'!H6+'前提と出典'!$C$38*'契約別単価'!H7)</ns0:f>
        <ns0:v>299809.0665618595</ns0:v>
      </ns0:c>
      <ns0:c r="I438" s="16">
        <ns0:f>A438*('前提と出典'!$C$36*'契約別単価'!I5+'前提と出典'!$C$37*'契約別単価'!I6+'前提と出典'!$C$38*'契約別単価'!I7)</ns0:f>
        <ns0:v>18312.860335195528</ns0:v>
      </ns0:c>
      <ns0:c r="J438" s="16">
        <ns0:f>A438*('前提と出典'!$C$36*'契約別単価'!J5+'前提と出典'!$C$37*'契約別単価'!J6+'前提と出典'!$C$38*'契約別単価'!J7)</ns0:f>
        <ns0:v>42657.661970271314</ns0:v>
      </ns0:c>
      <ns0:c r="K438" s="16">
        <ns0:f>A438*('前提と出典'!$C$36*'契約別単価'!K5+'前提と出典'!$C$37*'契約別単価'!K6+'前提と出典'!$C$38*'契約別単価'!K7)</ns0:f>
        <ns0:v>182845.7355679702</ns0:v>
      </ns0:c>
      <ns0:c r="L438" s="16">
        <ns0:f>A438*('前提と出典'!$C$36*'契約別単価'!L5+'前提と出典'!$C$37*'契約別単価'!L6+'前提と出典'!$C$38*'契約別単価'!L7)</ns0:f>
        <ns0:v>148873.63555206198</ns0:v>
      </ns0:c>
      <ns0:c r="M438" s="16">
        <ns0:f>IF(('前提と出典'!$C$36+'前提と出典'!$C$38)=0,0,IF(B438&lt;=10,'前提と出典'!B73+'前提と出典'!C73,IF(B438&lt;=100,'前提と出典'!B74+'前提と出典'!C74,IF(B438&lt;=500,'前提と出典'!B75+'前提と出典'!C75,'前提と出典'!B76+'前提と出典'!C76))))</ns0:f>
        <ns0:v>40000</ns0:v>
      </ns0:c>
      <ns0:c r="N438" s="16">
        <ns0:f>IF(('前提と出典'!$C$37+'前提と出典'!$C$38)=0,0,IF(C438&lt;=10,'前提と出典'!D73+'前提と出典'!E73,IF(C438&lt;=100,'前提と出典'!D74+'前提と出典'!E74,IF(C438&lt;=500,'前提と出典'!D75+'前提と出典'!E75,'前提と出典'!D76+'前提と出典'!E76))))</ns0:f>
        <ns0:v>56510.9346263078</ns0:v>
      </ns0:c>
      <ns0:c r="O438" s="16">
        <ns0:f>IF('前提と出典'!$C$36+'前提と出典'!$C$38=0,0,'前提と出典'!$B$4*IF('前提と出典'!$B$20=0,MAX('前提と出典'!$B$6,D438*'前提と出典'!$B$5),'前提と出典'!$B$6+D438*'前提と出典'!$B$5))</ns0:f>
        <ns0:v>430954.72625698324</ns0:v>
      </ns0:c>
      <ns0:c r="P438" s="16">
        <ns0:f>(E438+G438)*(1-'前提と出典'!$B$7)-I438-K438-M438-O438</ns0:f>
        <ns0:v>1212409.3726217358</ns0:v>
      </ns0:c>
      <ns0:c r="Q438" s="16">
        <ns0:f>(F438+H438)*(1-'前提と出典'!$B$7)-J438-L438-N438</ns0:f>
        <ns0:v>346583.6588048544</ns0:v>
      </ns0:c>
      <ns0:c r="R438" s="16">
        <ns0:f>P438-E438*'前提と出典'!$E$4</ns0:f>
        <ns0:v>885103.118015769</ns0:v>
      </ns0:c>
      <ns0:c r="S438" s="16">
        <ns0:f>Q438-F438*'前提と出典'!$E$4</ns0:f>
        <ns0:v>251476.8276468058</ns0:v>
      </ns0:c>
      <ns0:c r="T438" s="7">
        <ns0:f>R438+S438</ns0:f>
        <ns0:v>1136579.9456625748</ns0:v>
      </ns0:c>
      <ns0:c r="U438" s="16">
        <ns0:f>P438-E438*'前提と出典'!$E$5</ns0:f>
        <ns0:v>776001.0331471133</ns0:v>
      </ns0:c>
      <ns0:c r="V438" s="16">
        <ns0:f>Q438-F438*'前提と出典'!$E$5</ns0:f>
        <ns0:v>219774.55059412285</ns0:v>
      </ns0:c>
      <ns0:c r="W438" s="7">
        <ns0:f>U438+V438</ns0:f>
        <ns0:v>995775.5837412361</ns0:v>
      </ns0:c>
      <ns0:c r="X438" s="16">
        <ns0:f>P438-E438*'前提と出典'!$E$6</ns0:f>
        <ns0:v>666898.9482784577</ns0:v>
      </ns0:c>
      <ns0:c r="Y438" s="16">
        <ns0:f>Q438-F438*'前提と出典'!$E$6</ns0:f>
        <ns0:v>188072.27354144</ns0:v>
      </ns0:c>
      <ns0:c r="Z438" s="7">
        <ns0:f>X438+Y438</ns0:f>
        <ns0:v>854971.2218198978</ns0:v>
      </ns0:c>
      <ns0:c r="AA438" s="7">
        <ns0:f>IF(T438&gt;=0,A438,1001)</ns0:f>
        <ns0:v>434</ns0:v>
      </ns0:c>
      <ns0:c r="AB438" s="7">
        <ns0:f>IF(T438&lt;0,A438,0)</ns0:f>
        <ns0:v>0</ns0:v>
      </ns0:c>
      <ns0:c r="AC438" s="16">
        <ns0:f>IF(AND(OR('前提と出典'!$C$36+'前提と出典'!$C$38=0,R438&gt;=0),OR('前提と出典'!$C$37+'前提と出典'!$C$38=0,S438&gt;=0)),0,A438)</ns0:f>
        <ns0:v>0</ns0:v>
      </ns0:c>
      <ns0:c r="AD438" s="7">
        <ns0:f>IF(W438&gt;=0,A438,1001)</ns0:f>
        <ns0:v>434</ns0:v>
      </ns0:c>
      <ns0:c r="AE438" s="7">
        <ns0:f>IF(W438&lt;0,A438,0)</ns0:f>
        <ns0:v>0</ns0:v>
      </ns0:c>
      <ns0:c r="AF438" s="16">
        <ns0:f>IF(AND(OR('前提と出典'!$C$36+'前提と出典'!$C$38=0,U438&gt;=0),OR('前提と出典'!$C$37+'前提と出典'!$C$38=0,V438&gt;=0)),0,A438)</ns0:f>
        <ns0:v>0</ns0:v>
      </ns0:c>
      <ns0:c r="AG438" s="7">
        <ns0:f>IF(Z438&gt;=0,A438,1001)</ns0:f>
        <ns0:v>434</ns0:v>
      </ns0:c>
      <ns0:c r="AH438" s="4">
        <ns0:f>IF(Z438&lt;0,A438,0)</ns0:f>
        <ns0:v>0</ns0:v>
      </ns0:c>
      <ns0:c r="AI438" s="12">
        <ns0:f>IF(AND(OR('前提と出典'!$C$36+'前提と出典'!$C$38=0,X438&gt;=0),OR('前提と出典'!$C$37+'前提と出典'!$C$38=0,Y438&gt;=0)),0,A438)</ns0:f>
        <ns0:v>0</ns0:v>
      </ns0:c>
    </ns0:row>
    <ns0:row r="439" ht="24" customHeight="1">
      <ns0:c r="A439" s="4" t="n">
        <ns0:v>435</ns0:v>
      </ns0:c>
      <ns0:c r="B439" s="12">
        <ns0:f>A439*('前提と出典'!$C$36+'前提と出典'!$C$38)</ns0:f>
        <ns0:v>304.5</ns0:v>
      </ns0:c>
      <ns0:c r="C439" s="12">
        <ns0:f>A439*('前提と出典'!$C$37+'前提と出典'!$C$38)</ns0:f>
        <ns0:v>261</ns0:v>
      </ns0:c>
      <ns0:c r="D439" s="16">
        <ns0:f>A439*('前提と出典'!$C$36*'契約別単価'!C5+'前提と出典'!$C$37*'契約別単価'!C6+'前提と出典'!$C$38*'契約別単価'!C7)</ns0:f>
        <ns0:v>3130.0558659217877</ns0:v>
      </ns0:c>
      <ns0:c r="E439" s="16">
        <ns0:f>A439*('前提と出典'!$C$36*'契約別単価'!E5+'前提と出典'!$C$37*'契約別単価'!E6+'前提と出典'!$C$38*'契約別単価'!E7)</ns0:f>
        <ns0:v>1093534.7216097973</ns0:v>
      </ns0:c>
      <ns0:c r="F439" s="16">
        <ns0:f>A439*('前提と出典'!$C$36*'契約別単価'!F5+'前提と出典'!$C$37*'契約別単価'!F6+'前提と出典'!$C$38*'契約別単価'!F7)</ns0:f>
        <ns0:v>317753.2377400243</ns0:v>
      </ns0:c>
      <ns0:c r="G439" s="16">
        <ns0:f>A439*('前提と出典'!$C$36*'契約別単価'!G5+'前提と出典'!$C$37*'契約別単価'!G6+'前提と出典'!$C$38*'契約別単価'!G7)</ns0:f>
        <ns0:v>865868.7150837989</ns0:v>
      </ns0:c>
      <ns0:c r="H439" s="16">
        <ns0:f>A439*('前提と出典'!$C$36*'契約別単価'!H5+'前提と出典'!$C$37*'契約別単価'!H6+'前提と出典'!$C$38*'契約別単価'!H7)</ns0:f>
        <ns0:v>300499.8708626933</ns0:v>
      </ns0:c>
      <ns0:c r="I439" s="16">
        <ns0:f>A439*('前提と出典'!$C$36*'契約別単価'!I5+'前提と出典'!$C$37*'契約別単価'!I6+'前提と出典'!$C$38*'契約別単価'!I7)</ns0:f>
        <ns0:v>18355.055865921786</ns0:v>
      </ns0:c>
      <ns0:c r="J439" s="16">
        <ns0:f>A439*('前提と出典'!$C$36*'契約別単価'!J5+'前提と出典'!$C$37*'契約別単価'!J6+'前提と出典'!$C$38*'契約別単価'!J7)</ns0:f>
        <ns0:v>42755.951513981614</ns0:v>
      </ns0:c>
      <ns0:c r="K439" s="16">
        <ns0:f>A439*('前提と出典'!$C$36*'契約別単価'!K5+'前提と出典'!$C$37*'契約別単価'!K6+'前提と出典'!$C$38*'契約別単価'!K7)</ns0:f>
        <ns0:v>183267.03910614524</ns0:v>
      </ns0:c>
      <ns0:c r="L439" s="16">
        <ns0:f>A439*('前提と出典'!$C$36*'契約別単価'!L5+'前提と出典'!$C$37*'契約別単価'!L6+'前提と出典'!$C$38*'契約別単価'!L7)</ns0:f>
        <ns0:v>149216.66236208976</ns0:v>
      </ns0:c>
      <ns0:c r="M439" s="16">
        <ns0:f>IF(('前提と出典'!$C$36+'前提と出典'!$C$38)=0,0,IF(B439&lt;=10,'前提と出典'!B73+'前提と出典'!C73,IF(B439&lt;=100,'前提と出典'!B74+'前提と出典'!C74,IF(B439&lt;=500,'前提と出典'!B75+'前提と出典'!C75,'前提と出典'!B76+'前提と出典'!C76))))</ns0:f>
        <ns0:v>40000</ns0:v>
      </ns0:c>
      <ns0:c r="N439" s="16">
        <ns0:f>IF(('前提と出典'!$C$37+'前提と出典'!$C$38)=0,0,IF(C439&lt;=10,'前提と出典'!D73+'前提と出典'!E73,IF(C439&lt;=100,'前提と出典'!D74+'前提と出典'!E74,IF(C439&lt;=500,'前提と出典'!D75+'前提と出典'!E75,'前提と出典'!D76+'前提と出典'!E76))))</ns0:f>
        <ns0:v>56510.9346263078</ns0:v>
      </ns0:c>
      <ns0:c r="O439" s="16">
        <ns0:f>IF('前提と出典'!$C$36+'前提と出典'!$C$38=0,0,'前提と出典'!$B$4*IF('前提と出典'!$B$20=0,MAX('前提と出典'!$B$6,D439*'前提と出典'!$B$5),'前提と出典'!$B$6+D439*'前提と出典'!$B$5))</ns0:f>
        <ns0:v>431947.7094972067</ns0:v>
      </ns0:c>
      <ns0:c r="P439" s="16">
        <ns0:f>(E439+G439)*(1-'前提と出典'!$B$7)-I439-K439-M439-O439</ns0:f>
        <ns0:v>1215295.1085033529</ns0:v>
      </ns0:c>
      <ns0:c r="Q439" s="16">
        <ns0:f>(F439+H439)*(1-'前提と出典'!$B$7)-J439-L439-N439</ns0:f>
        <ns0:v>347512.44819064054</ns0:v>
      </ns0:c>
      <ns0:c r="R439" s="16">
        <ns0:f>P439-E439*'前提と出典'!$E$4</ns0:f>
        <ns0:v>887234.6920204138</ns0:v>
      </ns0:c>
      <ns0:c r="S439" s="16">
        <ns0:f>Q439-F439*'前提と出典'!$E$4</ns0:f>
        <ns0:v>252186.47686863318</ns0:v>
      </ns0:c>
      <ns0:c r="T439" s="7">
        <ns0:f>R439+S439</ns0:f>
        <ns0:v>1139421.168889047</ns0:v>
      </ns0:c>
      <ns0:c r="U439" s="16">
        <ns0:f>P439-E439*'前提と出典'!$E$5</ns0:f>
        <ns0:v>777881.219859434</ns0:v>
      </ns0:c>
      <ns0:c r="V439" s="16">
        <ns0:f>Q439-F439*'前提と出典'!$E$5</ns0:f>
        <ns0:v>220411.1530946308</ns0:v>
      </ns0:c>
      <ns0:c r="W439" s="7">
        <ns0:f>U439+V439</ns0:f>
        <ns0:v>998292.3729540647</ns0:v>
      </ns0:c>
      <ns0:c r="X439" s="16">
        <ns0:f>P439-E439*'前提と出典'!$E$6</ns0:f>
        <ns0:v>668527.7476984543</ns0:v>
      </ns0:c>
      <ns0:c r="Y439" s="16">
        <ns0:f>Q439-F439*'前提と出典'!$E$6</ns0:f>
        <ns0:v>188635.8293206284</ns0:v>
      </ns0:c>
      <ns0:c r="Z439" s="7">
        <ns0:f>X439+Y439</ns0:f>
        <ns0:v>857163.5770190827</ns0:v>
      </ns0:c>
      <ns0:c r="AA439" s="7">
        <ns0:f>IF(T439&gt;=0,A439,1001)</ns0:f>
        <ns0:v>435</ns0:v>
      </ns0:c>
      <ns0:c r="AB439" s="7">
        <ns0:f>IF(T439&lt;0,A439,0)</ns0:f>
        <ns0:v>0</ns0:v>
      </ns0:c>
      <ns0:c r="AC439" s="16">
        <ns0:f>IF(AND(OR('前提と出典'!$C$36+'前提と出典'!$C$38=0,R439&gt;=0),OR('前提と出典'!$C$37+'前提と出典'!$C$38=0,S439&gt;=0)),0,A439)</ns0:f>
        <ns0:v>0</ns0:v>
      </ns0:c>
      <ns0:c r="AD439" s="7">
        <ns0:f>IF(W439&gt;=0,A439,1001)</ns0:f>
        <ns0:v>435</ns0:v>
      </ns0:c>
      <ns0:c r="AE439" s="7">
        <ns0:f>IF(W439&lt;0,A439,0)</ns0:f>
        <ns0:v>0</ns0:v>
      </ns0:c>
      <ns0:c r="AF439" s="16">
        <ns0:f>IF(AND(OR('前提と出典'!$C$36+'前提と出典'!$C$38=0,U439&gt;=0),OR('前提と出典'!$C$37+'前提と出典'!$C$38=0,V439&gt;=0)),0,A439)</ns0:f>
        <ns0:v>0</ns0:v>
      </ns0:c>
      <ns0:c r="AG439" s="7">
        <ns0:f>IF(Z439&gt;=0,A439,1001)</ns0:f>
        <ns0:v>435</ns0:v>
      </ns0:c>
      <ns0:c r="AH439" s="4">
        <ns0:f>IF(Z439&lt;0,A439,0)</ns0:f>
        <ns0:v>0</ns0:v>
      </ns0:c>
      <ns0:c r="AI439" s="12">
        <ns0:f>IF(AND(OR('前提と出典'!$C$36+'前提と出典'!$C$38=0,X439&gt;=0),OR('前提と出典'!$C$37+'前提と出典'!$C$38=0,Y439&gt;=0)),0,A439)</ns0:f>
        <ns0:v>0</ns0:v>
      </ns0:c>
    </ns0:row>
    <ns0:row r="440" ht="24" customHeight="1">
      <ns0:c r="A440" s="4" t="n">
        <ns0:v>436</ns0:v>
      </ns0:c>
      <ns0:c r="B440" s="12">
        <ns0:f>A440*('前提と出典'!$C$36+'前提と出典'!$C$38)</ns0:f>
        <ns0:v>305.2</ns0:v>
      </ns0:c>
      <ns0:c r="C440" s="12">
        <ns0:f>A440*('前提と出典'!$C$37+'前提と出典'!$C$38)</ns0:f>
        <ns0:v>261.59999999999997</ns0:v>
      </ns0:c>
      <ns0:c r="D440" s="16">
        <ns0:f>A440*('前提と出典'!$C$36*'契約別単価'!C5+'前提と出典'!$C$37*'契約別単価'!C6+'前提と出典'!$C$38*'契約別単価'!C7)</ns0:f>
        <ns0:v>3137.2513966480446</ns0:v>
      </ns0:c>
      <ns0:c r="E440" s="16">
        <ns0:f>A440*('前提と出典'!$C$36*'契約別単価'!E5+'前提と出典'!$C$37*'契約別単価'!E6+'前提と出典'!$C$38*'契約別単価'!E7)</ns0:f>
        <ns0:v>1096048.594533038</ns0:v>
      </ns0:c>
      <ns0:c r="F440" s="16">
        <ns0:f>A440*('前提と出典'!$C$36*'契約別単価'!F5+'前提と出典'!$C$37*'契約別単価'!F6+'前提と出典'!$C$38*'契約別単価'!F7)</ns0:f>
        <ns0:v>318483.70495321974</ns0:v>
      </ns0:c>
      <ns0:c r="G440" s="16">
        <ns0:f>A440*('前提と出典'!$C$36*'契約別単価'!G5+'前提と出典'!$C$37*'契約別単価'!G6+'前提と出典'!$C$38*'契約別単価'!G7)</ns0:f>
        <ns0:v>867859.217877095</ns0:v>
      </ns0:c>
      <ns0:c r="H440" s="16">
        <ns0:f>A440*('前提と出典'!$C$36*'契約別単価'!H5+'前提と出典'!$C$37*'契約別単価'!H6+'前提と出典'!$C$38*'契約別単価'!H7)</ns0:f>
        <ns0:v>301190.6751635271</ns0:v>
      </ns0:c>
      <ns0:c r="I440" s="16">
        <ns0:f>A440*('前提と出典'!$C$36*'契約別単価'!I5+'前提と出典'!$C$37*'契約別単価'!I6+'前提と出典'!$C$38*'契約別単価'!I7)</ns0:f>
        <ns0:v>18397.25139664804</ns0:v>
      </ns0:c>
      <ns0:c r="J440" s="16">
        <ns0:f>A440*('前提と出典'!$C$36*'契約別単価'!J5+'前提と出典'!$C$37*'契約別単価'!J6+'前提と出典'!$C$38*'契約別単価'!J7)</ns0:f>
        <ns0:v>42854.24105769192</ns0:v>
      </ns0:c>
      <ns0:c r="K440" s="16">
        <ns0:f>A440*('前提と出典'!$C$36*'契約別単価'!K5+'前提と出典'!$C$37*'契約別単価'!K6+'前提と出典'!$C$38*'契約別単価'!K7)</ns0:f>
        <ns0:v>183688.34264432028</ns0:v>
      </ns0:c>
      <ns0:c r="L440" s="16">
        <ns0:f>A440*('前提と出典'!$C$36*'契約別単価'!L5+'前提と出典'!$C$37*'契約別単価'!L6+'前提と出典'!$C$38*'契約別単価'!L7)</ns0:f>
        <ns0:v>149559.68917211756</ns0:v>
      </ns0:c>
      <ns0:c r="M440" s="16">
        <ns0:f>IF(('前提と出典'!$C$36+'前提と出典'!$C$38)=0,0,IF(B440&lt;=10,'前提と出典'!B73+'前提と出典'!C73,IF(B440&lt;=100,'前提と出典'!B74+'前提と出典'!C74,IF(B440&lt;=500,'前提と出典'!B75+'前提と出典'!C75,'前提と出典'!B76+'前提と出典'!C76))))</ns0:f>
        <ns0:v>40000</ns0:v>
      </ns0:c>
      <ns0:c r="N440" s="16">
        <ns0:f>IF(('前提と出典'!$C$37+'前提と出典'!$C$38)=0,0,IF(C440&lt;=10,'前提と出典'!D73+'前提と出典'!E73,IF(C440&lt;=100,'前提と出典'!D74+'前提と出典'!E74,IF(C440&lt;=500,'前提と出典'!D75+'前提と出典'!E75,'前提と出典'!D76+'前提と出典'!E76))))</ns0:f>
        <ns0:v>56510.9346263078</ns0:v>
      </ns0:c>
      <ns0:c r="O440" s="16">
        <ns0:f>IF('前提と出典'!$C$36+'前提と出典'!$C$38=0,0,'前提と出典'!$B$4*IF('前提と出典'!$B$20=0,MAX('前提と出典'!$B$6,D440*'前提と出典'!$B$5),'前提と出典'!$B$6+D440*'前提と出典'!$B$5))</ns0:f>
        <ns0:v>432940.69273743016</ns0:v>
      </ns0:c>
      <ns0:c r="P440" s="16">
        <ns0:f>(E440+G440)*(1-'前提と出典'!$B$7)-I440-K440-M440-O440</ns0:f>
        <ns0:v>1218180.8443849697</ns0:v>
      </ns0:c>
      <ns0:c r="Q440" s="16">
        <ns0:f>(F440+H440)*(1-'前提と出典'!$B$7)-J440-L440-N440</ns0:f>
        <ns0:v>348441.2375764266</ns0:v>
      </ns0:c>
      <ns0:c r="R440" s="16">
        <ns0:f>P440-E440*'前提と出典'!$E$4</ns0:f>
        <ns0:v>889366.2660250582</ns0:v>
      </ns0:c>
      <ns0:c r="S440" s="16">
        <ns0:f>Q440-F440*'前提と出典'!$E$4</ns0:f>
        <ns0:v>252896.1260904607</ns0:v>
      </ns0:c>
      <ns0:c r="T440" s="7">
        <ns0:f>R440+S440</ns0:f>
        <ns0:v>1142262.392115519</ns0:v>
      </ns0:c>
      <ns0:c r="U440" s="16">
        <ns0:f>P440-E440*'前提と出典'!$E$5</ns0:f>
        <ns0:v>779761.4065717545</ns0:v>
      </ns0:c>
      <ns0:c r="V440" s="16">
        <ns0:f>Q440-F440*'前提と出典'!$E$5</ns0:f>
        <ns0:v>221047.7555951387</ns0:v>
      </ns0:c>
      <ns0:c r="W440" s="7">
        <ns0:f>U440+V440</ns0:f>
        <ns0:v>1000809.1621668932</ns0:v>
      </ns0:c>
      <ns0:c r="X440" s="16">
        <ns0:f>P440-E440*'前提と出典'!$E$6</ns0:f>
        <ns0:v>670156.5471184505</ns0:v>
      </ns0:c>
      <ns0:c r="Y440" s="16">
        <ns0:f>Q440-F440*'前提と出典'!$E$6</ns0:f>
        <ns0:v>189199.38509981672</ns0:v>
      </ns0:c>
      <ns0:c r="Z440" s="7">
        <ns0:f>X440+Y440</ns0:f>
        <ns0:v>859355.9322182672</ns0:v>
      </ns0:c>
      <ns0:c r="AA440" s="7">
        <ns0:f>IF(T440&gt;=0,A440,1001)</ns0:f>
        <ns0:v>436</ns0:v>
      </ns0:c>
      <ns0:c r="AB440" s="7">
        <ns0:f>IF(T440&lt;0,A440,0)</ns0:f>
        <ns0:v>0</ns0:v>
      </ns0:c>
      <ns0:c r="AC440" s="16">
        <ns0:f>IF(AND(OR('前提と出典'!$C$36+'前提と出典'!$C$38=0,R440&gt;=0),OR('前提と出典'!$C$37+'前提と出典'!$C$38=0,S440&gt;=0)),0,A440)</ns0:f>
        <ns0:v>0</ns0:v>
      </ns0:c>
      <ns0:c r="AD440" s="7">
        <ns0:f>IF(W440&gt;=0,A440,1001)</ns0:f>
        <ns0:v>436</ns0:v>
      </ns0:c>
      <ns0:c r="AE440" s="7">
        <ns0:f>IF(W440&lt;0,A440,0)</ns0:f>
        <ns0:v>0</ns0:v>
      </ns0:c>
      <ns0:c r="AF440" s="16">
        <ns0:f>IF(AND(OR('前提と出典'!$C$36+'前提と出典'!$C$38=0,U440&gt;=0),OR('前提と出典'!$C$37+'前提と出典'!$C$38=0,V440&gt;=0)),0,A440)</ns0:f>
        <ns0:v>0</ns0:v>
      </ns0:c>
      <ns0:c r="AG440" s="7">
        <ns0:f>IF(Z440&gt;=0,A440,1001)</ns0:f>
        <ns0:v>436</ns0:v>
      </ns0:c>
      <ns0:c r="AH440" s="4">
        <ns0:f>IF(Z440&lt;0,A440,0)</ns0:f>
        <ns0:v>0</ns0:v>
      </ns0:c>
      <ns0:c r="AI440" s="12">
        <ns0:f>IF(AND(OR('前提と出典'!$C$36+'前提と出典'!$C$38=0,X440&gt;=0),OR('前提と出典'!$C$37+'前提と出典'!$C$38=0,Y440&gt;=0)),0,A440)</ns0:f>
        <ns0:v>0</ns0:v>
      </ns0:c>
    </ns0:row>
    <ns0:row r="441" ht="24" customHeight="1">
      <ns0:c r="A441" s="4" t="n">
        <ns0:v>437</ns0:v>
      </ns0:c>
      <ns0:c r="B441" s="12">
        <ns0:f>A441*('前提と出典'!$C$36+'前提と出典'!$C$38)</ns0:f>
        <ns0:v>305.9</ns0:v>
      </ns0:c>
      <ns0:c r="C441" s="12">
        <ns0:f>A441*('前提と出典'!$C$37+'前提と出典'!$C$38)</ns0:f>
        <ns0:v>262.2</ns0:v>
      </ns0:c>
      <ns0:c r="D441" s="16">
        <ns0:f>A441*('前提と出典'!$C$36*'契約別単価'!C5+'前提と出典'!$C$37*'契約別単価'!C6+'前提と出典'!$C$38*'契約別単価'!C7)</ns0:f>
        <ns0:v>3144.4469273743016</ns0:v>
      </ns0:c>
      <ns0:c r="E441" s="16">
        <ns0:f>A441*('前提と出典'!$C$36*'契約別単価'!E5+'前提と出典'!$C$37*'契約別単価'!E6+'前提と出典'!$C$38*'契約別単価'!E7)</ns0:f>
        <ns0:v>1098562.467456279</ns0:v>
      </ns0:c>
      <ns0:c r="F441" s="16">
        <ns0:f>A441*('前提と出典'!$C$36*'契約別単価'!F5+'前提と出典'!$C$37*'契約別単価'!F6+'前提と出典'!$C$38*'契約別単価'!F7)</ns0:f>
        <ns0:v>319214.1721664152</ns0:v>
      </ns0:c>
      <ns0:c r="G441" s="16">
        <ns0:f>A441*('前提と出典'!$C$36*'契約別単価'!G5+'前提と出典'!$C$37*'契約別単価'!G6+'前提と出典'!$C$38*'契約別単価'!G7)</ns0:f>
        <ns0:v>869849.720670391</ns0:v>
      </ns0:c>
      <ns0:c r="H441" s="16">
        <ns0:f>A441*('前提と出典'!$C$36*'契約別単価'!H5+'前提と出典'!$C$37*'契約別単価'!H6+'前提と出典'!$C$38*'契約別単価'!H7)</ns0:f>
        <ns0:v>301881.47946436086</ns0:v>
      </ns0:c>
      <ns0:c r="I441" s="16">
        <ns0:f>A441*('前提と出典'!$C$36*'契約別単価'!I5+'前提と出典'!$C$37*'契約別単価'!I6+'前提と出典'!$C$38*'契約別単価'!I7)</ns0:f>
        <ns0:v>18439.446927374298</ns0:v>
      </ns0:c>
      <ns0:c r="J441" s="16">
        <ns0:f>A441*('前提と出典'!$C$36*'契約別単価'!J5+'前提と出典'!$C$37*'契約別単価'!J6+'前提と出典'!$C$38*'契約別単価'!J7)</ns0:f>
        <ns0:v>42952.53060140222</ns0:v>
      </ns0:c>
      <ns0:c r="K441" s="16">
        <ns0:f>A441*('前提と出典'!$C$36*'契約別単価'!K5+'前提と出典'!$C$37*'契約別単価'!K6+'前提と出典'!$C$38*'契約別単価'!K7)</ns0:f>
        <ns0:v>184109.64618249534</ns0:v>
      </ns0:c>
      <ns0:c r="L441" s="16">
        <ns0:f>A441*('前提と出典'!$C$36*'契約別単価'!L5+'前提と出典'!$C$37*'契約別単価'!L6+'前提と出典'!$C$38*'契約別単価'!L7)</ns0:f>
        <ns0:v>149902.71598214537</ns0:v>
      </ns0:c>
      <ns0:c r="M441" s="16">
        <ns0:f>IF(('前提と出典'!$C$36+'前提と出典'!$C$38)=0,0,IF(B441&lt;=10,'前提と出典'!B73+'前提と出典'!C73,IF(B441&lt;=100,'前提と出典'!B74+'前提と出典'!C74,IF(B441&lt;=500,'前提と出典'!B75+'前提と出典'!C75,'前提と出典'!B76+'前提と出典'!C76))))</ns0:f>
        <ns0:v>40000</ns0:v>
      </ns0:c>
      <ns0:c r="N441" s="16">
        <ns0:f>IF(('前提と出典'!$C$37+'前提と出典'!$C$38)=0,0,IF(C441&lt;=10,'前提と出典'!D73+'前提と出典'!E73,IF(C441&lt;=100,'前提と出典'!D74+'前提と出典'!E74,IF(C441&lt;=500,'前提と出典'!D75+'前提と出典'!E75,'前提と出典'!D76+'前提と出典'!E76))))</ns0:f>
        <ns0:v>56510.9346263078</ns0:v>
      </ns0:c>
      <ns0:c r="O441" s="16">
        <ns0:f>IF('前提と出典'!$C$36+'前提と出典'!$C$38=0,0,'前提と出典'!$B$4*IF('前提と出典'!$B$20=0,MAX('前提と出典'!$B$6,D441*'前提と出典'!$B$5),'前提と出典'!$B$6+D441*'前提と出典'!$B$5))</ns0:f>
        <ns0:v>433933.67597765365</ns0:v>
      </ns0:c>
      <ns0:c r="P441" s="16">
        <ns0:f>(E441+G441)*(1-'前提と出典'!$B$7)-I441-K441-M441-O441</ns0:f>
        <ns0:v>1221066.5802665867</ns0:v>
      </ns0:c>
      <ns0:c r="Q441" s="16">
        <ns0:f>(F441+H441)*(1-'前提と出典'!$B$7)-J441-L441-N441</ns0:f>
        <ns0:v>349370.0269622127</ns0:v>
      </ns0:c>
      <ns0:c r="R441" s="16">
        <ns0:f>P441-E441*'前提と出典'!$E$4</ns0:f>
        <ns0:v>891497.840029703</ns0:v>
      </ns0:c>
      <ns0:c r="S441" s="16">
        <ns0:f>Q441-F441*'前提と出典'!$E$4</ns0:f>
        <ns0:v>253605.77531228808</ns0:v>
      </ns0:c>
      <ns0:c r="T441" s="7">
        <ns0:f>R441+S441</ns0:f>
        <ns0:v>1145103.6153419912</ns0:v>
      </ns0:c>
      <ns0:c r="U441" s="16">
        <ns0:f>P441-E441*'前提と出典'!$E$5</ns0:f>
        <ns0:v>781641.5932840751</ns0:v>
      </ns0:c>
      <ns0:c r="V441" s="16">
        <ns0:f>Q441-F441*'前提と出典'!$E$5</ns0:f>
        <ns0:v>221684.3580956466</ns0:v>
      </ns0:c>
      <ns0:c r="W441" s="7">
        <ns0:f>U441+V441</ns0:f>
        <ns0:v>1003325.9513797218</ns0:v>
      </ns0:c>
      <ns0:c r="X441" s="16">
        <ns0:f>P441-E441*'前提と出典'!$E$6</ns0:f>
        <ns0:v>671785.3465384473</ns0:v>
      </ns0:c>
      <ns0:c r="Y441" s="16">
        <ns0:f>Q441-F441*'前提と出典'!$E$6</ns0:f>
        <ns0:v>189762.94087900504</ns0:v>
      </ns0:c>
      <ns0:c r="Z441" s="7">
        <ns0:f>X441+Y441</ns0:f>
        <ns0:v>861548.2874174523</ns0:v>
      </ns0:c>
      <ns0:c r="AA441" s="7">
        <ns0:f>IF(T441&gt;=0,A441,1001)</ns0:f>
        <ns0:v>437</ns0:v>
      </ns0:c>
      <ns0:c r="AB441" s="7">
        <ns0:f>IF(T441&lt;0,A441,0)</ns0:f>
        <ns0:v>0</ns0:v>
      </ns0:c>
      <ns0:c r="AC441" s="16">
        <ns0:f>IF(AND(OR('前提と出典'!$C$36+'前提と出典'!$C$38=0,R441&gt;=0),OR('前提と出典'!$C$37+'前提と出典'!$C$38=0,S441&gt;=0)),0,A441)</ns0:f>
        <ns0:v>0</ns0:v>
      </ns0:c>
      <ns0:c r="AD441" s="7">
        <ns0:f>IF(W441&gt;=0,A441,1001)</ns0:f>
        <ns0:v>437</ns0:v>
      </ns0:c>
      <ns0:c r="AE441" s="7">
        <ns0:f>IF(W441&lt;0,A441,0)</ns0:f>
        <ns0:v>0</ns0:v>
      </ns0:c>
      <ns0:c r="AF441" s="16">
        <ns0:f>IF(AND(OR('前提と出典'!$C$36+'前提と出典'!$C$38=0,U441&gt;=0),OR('前提と出典'!$C$37+'前提と出典'!$C$38=0,V441&gt;=0)),0,A441)</ns0:f>
        <ns0:v>0</ns0:v>
      </ns0:c>
      <ns0:c r="AG441" s="7">
        <ns0:f>IF(Z441&gt;=0,A441,1001)</ns0:f>
        <ns0:v>437</ns0:v>
      </ns0:c>
      <ns0:c r="AH441" s="4">
        <ns0:f>IF(Z441&lt;0,A441,0)</ns0:f>
        <ns0:v>0</ns0:v>
      </ns0:c>
      <ns0:c r="AI441" s="12">
        <ns0:f>IF(AND(OR('前提と出典'!$C$36+'前提と出典'!$C$38=0,X441&gt;=0),OR('前提と出典'!$C$37+'前提と出典'!$C$38=0,Y441&gt;=0)),0,A441)</ns0:f>
        <ns0:v>0</ns0:v>
      </ns0:c>
    </ns0:row>
    <ns0:row r="442" ht="24" customHeight="1">
      <ns0:c r="A442" s="4" t="n">
        <ns0:v>438</ns0:v>
      </ns0:c>
      <ns0:c r="B442" s="12">
        <ns0:f>A442*('前提と出典'!$C$36+'前提と出典'!$C$38)</ns0:f>
        <ns0:v>306.59999999999997</ns0:v>
      </ns0:c>
      <ns0:c r="C442" s="12">
        <ns0:f>A442*('前提と出典'!$C$37+'前提と出典'!$C$38)</ns0:f>
        <ns0:v>262.8</ns0:v>
      </ns0:c>
      <ns0:c r="D442" s="16">
        <ns0:f>A442*('前提と出典'!$C$36*'契約別単価'!C5+'前提と出典'!$C$37*'契約別単価'!C6+'前提と出典'!$C$38*'契約別単価'!C7)</ns0:f>
        <ns0:v>3151.6424581005585</ns0:v>
      </ns0:c>
      <ns0:c r="E442" s="16">
        <ns0:f>A442*('前提と出典'!$C$36*'契約別単価'!E5+'前提と出典'!$C$37*'契約別単価'!E6+'前提と出典'!$C$38*'契約別単価'!E7)</ns0:f>
        <ns0:v>1101076.34037952</ns0:v>
      </ns0:c>
      <ns0:c r="F442" s="16">
        <ns0:f>A442*('前提と出典'!$C$36*'契約別単価'!F5+'前提と出典'!$C$37*'契約別単価'!F6+'前提と出典'!$C$38*'契約別単価'!F7)</ns0:f>
        <ns0:v>319944.63937961066</ns0:v>
      </ns0:c>
      <ns0:c r="G442" s="16">
        <ns0:f>A442*('前提と出典'!$C$36*'契約別単価'!G5+'前提と出典'!$C$37*'契約別単価'!G6+'前提と出典'!$C$38*'契約別単価'!G7)</ns0:f>
        <ns0:v>871840.2234636871</ns0:v>
      </ns0:c>
      <ns0:c r="H442" s="16">
        <ns0:f>A442*('前提と出典'!$C$36*'契約別単価'!H5+'前提と出典'!$C$37*'契約別単価'!H6+'前提と出典'!$C$38*'契約別単価'!H7)</ns0:f>
        <ns0:v>302572.28376519465</ns0:v>
      </ns0:c>
      <ns0:c r="I442" s="16">
        <ns0:f>A442*('前提と出典'!$C$36*'契約別単価'!I5+'前提と出典'!$C$37*'契約別単価'!I6+'前提と出典'!$C$38*'契約別単価'!I7)</ns0:f>
        <ns0:v>18481.642458100556</ns0:v>
      </ns0:c>
      <ns0:c r="J442" s="16">
        <ns0:f>A442*('前提と出典'!$C$36*'契約別単価'!J5+'前提と出典'!$C$37*'契約別単価'!J6+'前提と出典'!$C$38*'契約別単価'!J7)</ns0:f>
        <ns0:v>43050.82014511253</ns0:v>
      </ns0:c>
      <ns0:c r="K442" s="16">
        <ns0:f>A442*('前提と出典'!$C$36*'契約別単価'!K5+'前提と出典'!$C$37*'契約別単価'!K6+'前提と出典'!$C$38*'契約別単価'!K7)</ns0:f>
        <ns0:v>184530.94972067038</ns0:v>
      </ns0:c>
      <ns0:c r="L442" s="16">
        <ns0:f>A442*('前提と出典'!$C$36*'契約別単価'!L5+'前提と出典'!$C$37*'契約別単価'!L6+'前提と出典'!$C$38*'契約別単価'!L7)</ns0:f>
        <ns0:v>150245.74279217314</ns0:v>
      </ns0:c>
      <ns0:c r="M442" s="16">
        <ns0:f>IF(('前提と出典'!$C$36+'前提と出典'!$C$38)=0,0,IF(B442&lt;=10,'前提と出典'!B73+'前提と出典'!C73,IF(B442&lt;=100,'前提と出典'!B74+'前提と出典'!C74,IF(B442&lt;=500,'前提と出典'!B75+'前提と出典'!C75,'前提と出典'!B76+'前提と出典'!C76))))</ns0:f>
        <ns0:v>40000</ns0:v>
      </ns0:c>
      <ns0:c r="N442" s="16">
        <ns0:f>IF(('前提と出典'!$C$37+'前提と出典'!$C$38)=0,0,IF(C442&lt;=10,'前提と出典'!D73+'前提と出典'!E73,IF(C442&lt;=100,'前提と出典'!D74+'前提と出典'!E74,IF(C442&lt;=500,'前提と出典'!D75+'前提と出典'!E75,'前提と出典'!D76+'前提と出典'!E76))))</ns0:f>
        <ns0:v>56510.9346263078</ns0:v>
      </ns0:c>
      <ns0:c r="O442" s="16">
        <ns0:f>IF('前提と出典'!$C$36+'前提と出典'!$C$38=0,0,'前提と出典'!$B$4*IF('前提と出典'!$B$20=0,MAX('前提と出典'!$B$6,D442*'前提と出典'!$B$5),'前提と出典'!$B$6+D442*'前提と出典'!$B$5))</ns0:f>
        <ns0:v>434926.6592178771</ns0:v>
      </ns0:c>
      <ns0:c r="P442" s="16">
        <ns0:f>(E442+G442)*(1-'前提と出典'!$B$7)-I442-K442-M442-O442</ns0:f>
        <ns0:v>1223952.3161482036</ns0:v>
      </ns0:c>
      <ns0:c r="Q442" s="16">
        <ns0:f>(F442+H442)*(1-'前提と出典'!$B$7)-J442-L442-N442</ns0:f>
        <ns0:v>350298.8163479988</ns0:v>
      </ns0:c>
      <ns0:c r="R442" s="16">
        <ns0:f>P442-E442*'前提と出典'!$E$4</ns0:f>
        <ns0:v>893629.4140343475</ns0:v>
      </ns0:c>
      <ns0:c r="S442" s="16">
        <ns0:f>Q442-F442*'前提と出典'!$E$4</ns0:f>
        <ns0:v>254315.4245341156</ns0:v>
      </ns0:c>
      <ns0:c r="T442" s="7">
        <ns0:f>R442+S442</ns0:f>
        <ns0:v>1147944.838568463</ns0:v>
      </ns0:c>
      <ns0:c r="U442" s="16">
        <ns0:f>P442-E442*'前提と出典'!$E$5</ns0:f>
        <ns0:v>783521.7799963956</ns0:v>
      </ns0:c>
      <ns0:c r="V442" s="16">
        <ns0:f>Q442-F442*'前提と出典'!$E$5</ns0:f>
        <ns0:v>222320.96059615456</ns0:v>
      </ns0:c>
      <ns0:c r="W442" s="7">
        <ns0:f>U442+V442</ns0:f>
        <ns0:v>1005842.7405925501</ns0:v>
      </ns0:c>
      <ns0:c r="X442" s="16">
        <ns0:f>P442-E442*'前提と出典'!$E$6</ns0:f>
        <ns0:v>673414.1459584436</ns0:v>
      </ns0:c>
      <ns0:c r="Y442" s="16">
        <ns0:f>Q442-F442*'前提と出典'!$E$6</ns0:f>
        <ns0:v>190326.49665819344</ns0:v>
      </ns0:c>
      <ns0:c r="Z442" s="7">
        <ns0:f>X442+Y442</ns0:f>
        <ns0:v>863740.642616637</ns0:v>
      </ns0:c>
      <ns0:c r="AA442" s="7">
        <ns0:f>IF(T442&gt;=0,A442,1001)</ns0:f>
        <ns0:v>438</ns0:v>
      </ns0:c>
      <ns0:c r="AB442" s="7">
        <ns0:f>IF(T442&lt;0,A442,0)</ns0:f>
        <ns0:v>0</ns0:v>
      </ns0:c>
      <ns0:c r="AC442" s="16">
        <ns0:f>IF(AND(OR('前提と出典'!$C$36+'前提と出典'!$C$38=0,R442&gt;=0),OR('前提と出典'!$C$37+'前提と出典'!$C$38=0,S442&gt;=0)),0,A442)</ns0:f>
        <ns0:v>0</ns0:v>
      </ns0:c>
      <ns0:c r="AD442" s="7">
        <ns0:f>IF(W442&gt;=0,A442,1001)</ns0:f>
        <ns0:v>438</ns0:v>
      </ns0:c>
      <ns0:c r="AE442" s="7">
        <ns0:f>IF(W442&lt;0,A442,0)</ns0:f>
        <ns0:v>0</ns0:v>
      </ns0:c>
      <ns0:c r="AF442" s="16">
        <ns0:f>IF(AND(OR('前提と出典'!$C$36+'前提と出典'!$C$38=0,U442&gt;=0),OR('前提と出典'!$C$37+'前提と出典'!$C$38=0,V442&gt;=0)),0,A442)</ns0:f>
        <ns0:v>0</ns0:v>
      </ns0:c>
      <ns0:c r="AG442" s="7">
        <ns0:f>IF(Z442&gt;=0,A442,1001)</ns0:f>
        <ns0:v>438</ns0:v>
      </ns0:c>
      <ns0:c r="AH442" s="4">
        <ns0:f>IF(Z442&lt;0,A442,0)</ns0:f>
        <ns0:v>0</ns0:v>
      </ns0:c>
      <ns0:c r="AI442" s="12">
        <ns0:f>IF(AND(OR('前提と出典'!$C$36+'前提と出典'!$C$38=0,X442&gt;=0),OR('前提と出典'!$C$37+'前提と出典'!$C$38=0,Y442&gt;=0)),0,A442)</ns0:f>
        <ns0:v>0</ns0:v>
      </ns0:c>
    </ns0:row>
    <ns0:row r="443" ht="24" customHeight="1">
      <ns0:c r="A443" s="4" t="n">
        <ns0:v>439</ns0:v>
      </ns0:c>
      <ns0:c r="B443" s="12">
        <ns0:f>A443*('前提と出典'!$C$36+'前提と出典'!$C$38)</ns0:f>
        <ns0:v>307.29999999999995</ns0:v>
      </ns0:c>
      <ns0:c r="C443" s="12">
        <ns0:f>A443*('前提と出典'!$C$37+'前提と出典'!$C$38)</ns0:f>
        <ns0:v>263.4</ns0:v>
      </ns0:c>
      <ns0:c r="D443" s="16">
        <ns0:f>A443*('前提と出典'!$C$36*'契約別単価'!C5+'前提と出典'!$C$37*'契約別単価'!C6+'前提と出典'!$C$38*'契約別単価'!C7)</ns0:f>
        <ns0:v>3158.8379888268155</ns0:v>
      </ns0:c>
      <ns0:c r="E443" s="16">
        <ns0:f>A443*('前提と出典'!$C$36*'契約別単価'!E5+'前提と出典'!$C$37*'契約別単価'!E6+'前提と出典'!$C$38*'契約別単価'!E7)</ns0:f>
        <ns0:v>1103590.2133027609</ns0:v>
      </ns0:c>
      <ns0:c r="F443" s="16">
        <ns0:f>A443*('前提と出典'!$C$36*'契約別単価'!F5+'前提と出典'!$C$37*'契約別単価'!F6+'前提と出典'!$C$38*'契約別単価'!F7)</ns0:f>
        <ns0:v>320675.1065928061</ns0:v>
      </ns0:c>
      <ns0:c r="G443" s="16">
        <ns0:f>A443*('前提と出典'!$C$36*'契約別単価'!G5+'前提と出典'!$C$37*'契約別単価'!G6+'前提と出典'!$C$38*'契約別単価'!G7)</ns0:f>
        <ns0:v>873830.7262569832</ns0:v>
      </ns0:c>
      <ns0:c r="H443" s="16">
        <ns0:f>A443*('前提と出典'!$C$36*'契約別単価'!H5+'前提と出典'!$C$37*'契約別単価'!H6+'前提と出典'!$C$38*'契約別単価'!H7)</ns0:f>
        <ns0:v>303263.08806602843</ns0:v>
      </ns0:c>
      <ns0:c r="I443" s="16">
        <ns0:f>A443*('前提と出典'!$C$36*'契約別単価'!I5+'前提と出典'!$C$37*'契約別単価'!I6+'前提と出典'!$C$38*'契約別単価'!I7)</ns0:f>
        <ns0:v>18523.837988826814</ns0:v>
      </ns0:c>
      <ns0:c r="J443" s="16">
        <ns0:f>A443*('前提と出典'!$C$36*'契約別単価'!J5+'前提と出典'!$C$37*'契約別単価'!J6+'前提と出典'!$C$38*'契約別単価'!J7)</ns0:f>
        <ns0:v>43149.10968882283</ns0:v>
      </ns0:c>
      <ns0:c r="K443" s="16">
        <ns0:f>A443*('前提と出典'!$C$36*'契約別単価'!K5+'前提と出典'!$C$37*'契約別単価'!K6+'前提と出典'!$C$38*'契約別単価'!K7)</ns0:f>
        <ns0:v>184952.25325884542</ns0:v>
      </ns0:c>
      <ns0:c r="L443" s="16">
        <ns0:f>A443*('前提と出典'!$C$36*'契約別単価'!L5+'前提と出典'!$C$37*'契約別単価'!L6+'前提と出典'!$C$38*'契約別単価'!L7)</ns0:f>
        <ns0:v>150588.76960220095</ns0:v>
      </ns0:c>
      <ns0:c r="M443" s="16">
        <ns0:f>IF(('前提と出典'!$C$36+'前提と出典'!$C$38)=0,0,IF(B443&lt;=10,'前提と出典'!B73+'前提と出典'!C73,IF(B443&lt;=100,'前提と出典'!B74+'前提と出典'!C74,IF(B443&lt;=500,'前提と出典'!B75+'前提と出典'!C75,'前提と出典'!B76+'前提と出典'!C76))))</ns0:f>
        <ns0:v>40000</ns0:v>
      </ns0:c>
      <ns0:c r="N443" s="16">
        <ns0:f>IF(('前提と出典'!$C$37+'前提と出典'!$C$38)=0,0,IF(C443&lt;=10,'前提と出典'!D73+'前提と出典'!E73,IF(C443&lt;=100,'前提と出典'!D74+'前提と出典'!E74,IF(C443&lt;=500,'前提と出典'!D75+'前提と出典'!E75,'前提と出典'!D76+'前提と出典'!E76))))</ns0:f>
        <ns0:v>56510.9346263078</ns0:v>
      </ns0:c>
      <ns0:c r="O443" s="16">
        <ns0:f>IF('前提と出典'!$C$36+'前提と出典'!$C$38=0,0,'前提と出典'!$B$4*IF('前提と出典'!$B$20=0,MAX('前提と出典'!$B$6,D443*'前提と出典'!$B$5),'前提と出典'!$B$6+D443*'前提と出典'!$B$5))</ns0:f>
        <ns0:v>435919.64245810057</ns0:v>
      </ns0:c>
      <ns0:c r="P443" s="16">
        <ns0:f>(E443+G443)*(1-'前提と出典'!$B$7)-I443-K443-M443-O443</ns0:f>
        <ns0:v>1226838.0520298206</ns0:v>
      </ns0:c>
      <ns0:c r="Q443" s="16">
        <ns0:f>(F443+H443)*(1-'前提と出典'!$B$7)-J443-L443-N443</ns0:f>
        <ns0:v>351227.6057337849</ns0:v>
      </ns0:c>
      <ns0:c r="R443" s="16">
        <ns0:f>P443-E443*'前提と出典'!$E$4</ns0:f>
        <ns0:v>895760.9880389923</ns0:v>
      </ns0:c>
      <ns0:c r="S443" s="16">
        <ns0:f>Q443-F443*'前提と出典'!$E$4</ns0:f>
        <ns0:v>255025.07375594304</ns0:v>
      </ns0:c>
      <ns0:c r="T443" s="7">
        <ns0:f>R443+S443</ns0:f>
        <ns0:v>1150786.0617949353</ns0:v>
      </ns0:c>
      <ns0:c r="U443" s="16">
        <ns0:f>P443-E443*'前提と出典'!$E$5</ns0:f>
        <ns0:v>785401.9667087162</ns0:v>
      </ns0:c>
      <ns0:c r="V443" s="16">
        <ns0:f>Q443-F443*'前提と出典'!$E$5</ns0:f>
        <ns0:v>222957.56309666246</ns0:v>
      </ns0:c>
      <ns0:c r="W443" s="7">
        <ns0:f>U443+V443</ns0:f>
        <ns0:v>1008359.5298053788</ns0:v>
      </ns0:c>
      <ns0:c r="X443" s="16">
        <ns0:f>P443-E443*'前提と出典'!$E$6</ns0:f>
        <ns0:v>675042.9453784402</ns0:v>
      </ns0:c>
      <ns0:c r="Y443" s="16">
        <ns0:f>Q443-F443*'前提と出典'!$E$6</ns0:f>
        <ns0:v>190890.05243738188</ns0:v>
      </ns0:c>
      <ns0:c r="Z443" s="7">
        <ns0:f>X443+Y443</ns0:f>
        <ns0:v>865932.997815822</ns0:v>
      </ns0:c>
      <ns0:c r="AA443" s="7">
        <ns0:f>IF(T443&gt;=0,A443,1001)</ns0:f>
        <ns0:v>439</ns0:v>
      </ns0:c>
      <ns0:c r="AB443" s="7">
        <ns0:f>IF(T443&lt;0,A443,0)</ns0:f>
        <ns0:v>0</ns0:v>
      </ns0:c>
      <ns0:c r="AC443" s="16">
        <ns0:f>IF(AND(OR('前提と出典'!$C$36+'前提と出典'!$C$38=0,R443&gt;=0),OR('前提と出典'!$C$37+'前提と出典'!$C$38=0,S443&gt;=0)),0,A443)</ns0:f>
        <ns0:v>0</ns0:v>
      </ns0:c>
      <ns0:c r="AD443" s="7">
        <ns0:f>IF(W443&gt;=0,A443,1001)</ns0:f>
        <ns0:v>439</ns0:v>
      </ns0:c>
      <ns0:c r="AE443" s="7">
        <ns0:f>IF(W443&lt;0,A443,0)</ns0:f>
        <ns0:v>0</ns0:v>
      </ns0:c>
      <ns0:c r="AF443" s="16">
        <ns0:f>IF(AND(OR('前提と出典'!$C$36+'前提と出典'!$C$38=0,U443&gt;=0),OR('前提と出典'!$C$37+'前提と出典'!$C$38=0,V443&gt;=0)),0,A443)</ns0:f>
        <ns0:v>0</ns0:v>
      </ns0:c>
      <ns0:c r="AG443" s="7">
        <ns0:f>IF(Z443&gt;=0,A443,1001)</ns0:f>
        <ns0:v>439</ns0:v>
      </ns0:c>
      <ns0:c r="AH443" s="4">
        <ns0:f>IF(Z443&lt;0,A443,0)</ns0:f>
        <ns0:v>0</ns0:v>
      </ns0:c>
      <ns0:c r="AI443" s="12">
        <ns0:f>IF(AND(OR('前提と出典'!$C$36+'前提と出典'!$C$38=0,X443&gt;=0),OR('前提と出典'!$C$37+'前提と出典'!$C$38=0,Y443&gt;=0)),0,A443)</ns0:f>
        <ns0:v>0</ns0:v>
      </ns0:c>
    </ns0:row>
    <ns0:row r="444" ht="24" customHeight="1">
      <ns0:c r="A444" s="4" t="n">
        <ns0:v>440</ns0:v>
      </ns0:c>
      <ns0:c r="B444" s="12">
        <ns0:f>A444*('前提と出典'!$C$36+'前提と出典'!$C$38)</ns0:f>
        <ns0:v>308</ns0:v>
      </ns0:c>
      <ns0:c r="C444" s="12">
        <ns0:f>A444*('前提と出典'!$C$37+'前提と出典'!$C$38)</ns0:f>
        <ns0:v>264</ns0:v>
      </ns0:c>
      <ns0:c r="D444" s="16">
        <ns0:f>A444*('前提と出典'!$C$36*'契約別単価'!C5+'前提と出典'!$C$37*'契約別単価'!C6+'前提と出典'!$C$38*'契約別単価'!C7)</ns0:f>
        <ns0:v>3166.0335195530724</ns0:v>
      </ns0:c>
      <ns0:c r="E444" s="16">
        <ns0:f>A444*('前提と出典'!$C$36*'契約別単価'!E5+'前提と出典'!$C$37*'契約別単価'!E6+'前提と出典'!$C$38*'契約別単価'!E7)</ns0:f>
        <ns0:v>1106104.0862260018</ns0:v>
      </ns0:c>
      <ns0:c r="F444" s="16">
        <ns0:f>A444*('前提と出典'!$C$36*'契約別単価'!F5+'前提と出典'!$C$37*'契約別単価'!F6+'前提と出典'!$C$38*'契約別単価'!F7)</ns0:f>
        <ns0:v>321405.5738060016</ns0:v>
      </ns0:c>
      <ns0:c r="G444" s="16">
        <ns0:f>A444*('前提と出典'!$C$36*'契約別単価'!G5+'前提と出典'!$C$37*'契約別単価'!G6+'前提と出典'!$C$38*'契約別単価'!G7)</ns0:f>
        <ns0:v>875821.2290502792</ns0:v>
      </ns0:c>
      <ns0:c r="H444" s="16">
        <ns0:f>A444*('前提と出典'!$C$36*'契約別単価'!H5+'前提と出典'!$C$37*'契約別単価'!H6+'前提と出典'!$C$38*'契約別単価'!H7)</ns0:f>
        <ns0:v>303953.89236686216</ns0:v>
      </ns0:c>
      <ns0:c r="I444" s="16">
        <ns0:f>A444*('前提と出典'!$C$36*'契約別単価'!I5+'前提と出典'!$C$37*'契約別単価'!I6+'前提と出典'!$C$38*'契約別単価'!I7)</ns0:f>
        <ns0:v>18566.033519553068</ns0:v>
      </ns0:c>
      <ns0:c r="J444" s="16">
        <ns0:f>A444*('前提と出典'!$C$36*'契約別単価'!J5+'前提と出典'!$C$37*'契約別単価'!J6+'前提と出典'!$C$38*'契約別単価'!J7)</ns0:f>
        <ns0:v>43247.39923253313</ns0:v>
      </ns0:c>
      <ns0:c r="K444" s="16">
        <ns0:f>A444*('前提と出典'!$C$36*'契約別単価'!K5+'前提と出典'!$C$37*'契約別単価'!K6+'前提と出典'!$C$38*'契約別単価'!K7)</ns0:f>
        <ns0:v>185373.55679702046</ns0:v>
      </ns0:c>
      <ns0:c r="L444" s="16">
        <ns0:f>A444*('前提と出典'!$C$36*'契約別単価'!L5+'前提と出典'!$C$37*'契約別単価'!L6+'前提と出典'!$C$38*'契約別単価'!L7)</ns0:f>
        <ns0:v>150931.79641222872</ns0:v>
      </ns0:c>
      <ns0:c r="M444" s="16">
        <ns0:f>IF(('前提と出典'!$C$36+'前提と出典'!$C$38)=0,0,IF(B444&lt;=10,'前提と出典'!B73+'前提と出典'!C73,IF(B444&lt;=100,'前提と出典'!B74+'前提と出典'!C74,IF(B444&lt;=500,'前提と出典'!B75+'前提と出典'!C75,'前提と出典'!B76+'前提と出典'!C76))))</ns0:f>
        <ns0:v>40000</ns0:v>
      </ns0:c>
      <ns0:c r="N444" s="16">
        <ns0:f>IF(('前提と出典'!$C$37+'前提と出典'!$C$38)=0,0,IF(C444&lt;=10,'前提と出典'!D73+'前提と出典'!E73,IF(C444&lt;=100,'前提と出典'!D74+'前提と出典'!E74,IF(C444&lt;=500,'前提と出典'!D75+'前提と出典'!E75,'前提と出典'!D76+'前提と出典'!E76))))</ns0:f>
        <ns0:v>56510.9346263078</ns0:v>
      </ns0:c>
      <ns0:c r="O444" s="16">
        <ns0:f>IF('前提と出典'!$C$36+'前提と出典'!$C$38=0,0,'前提と出典'!$B$4*IF('前提と出典'!$B$20=0,MAX('前提と出典'!$B$6,D444*'前提と出典'!$B$5),'前提と出典'!$B$6+D444*'前提と出典'!$B$5))</ns0:f>
        <ns0:v>436912.625698324</ns0:v>
      </ns0:c>
      <ns0:c r="P444" s="16">
        <ns0:f>(E444+G444)*(1-'前提と出典'!$B$7)-I444-K444-M444-O444</ns0:f>
        <ns0:v>1229723.7879114375</ns0:v>
      </ns0:c>
      <ns0:c r="Q444" s="16">
        <ns0:f>(F444+H444)*(1-'前提と出典'!$B$7)-J444-L444-N444</ns0:f>
        <ns0:v>352156.395119571</ns0:v>
      </ns0:c>
      <ns0:c r="R444" s="16">
        <ns0:f>P444-E444*'前提と出典'!$E$4</ns0:f>
        <ns0:v>897892.562043637</ns0:v>
      </ns0:c>
      <ns0:c r="S444" s="16">
        <ns0:f>Q444-F444*'前提と出典'!$E$4</ns0:f>
        <ns0:v>255734.7229777705</ns0:v>
      </ns0:c>
      <ns0:c r="T444" s="7">
        <ns0:f>R444+S444</ns0:f>
        <ns0:v>1153627.2850214075</ns0:v>
      </ns0:c>
      <ns0:c r="U444" s="16">
        <ns0:f>P444-E444*'前提と出典'!$E$5</ns0:f>
        <ns0:v>787282.1534210367</ns0:v>
      </ns0:c>
      <ns0:c r="V444" s="16">
        <ns0:f>Q444-F444*'前提と出典'!$E$5</ns0:f>
        <ns0:v>223594.16559717036</ns0:v>
      </ns0:c>
      <ns0:c r="W444" s="7">
        <ns0:f>U444+V444</ns0:f>
        <ns0:v>1010876.319018207</ns0:v>
      </ns0:c>
      <ns0:c r="X444" s="16">
        <ns0:f>P444-E444*'前提と出典'!$E$6</ns0:f>
        <ns0:v>676671.7447984365</ns0:v>
      </ns0:c>
      <ns0:c r="Y444" s="16">
        <ns0:f>Q444-F444*'前提と出典'!$E$6</ns0:f>
        <ns0:v>191453.60821657022</ns0:v>
      </ns0:c>
      <ns0:c r="Z444" s="7">
        <ns0:f>X444+Y444</ns0:f>
        <ns0:v>868125.3530150068</ns0:v>
      </ns0:c>
      <ns0:c r="AA444" s="7">
        <ns0:f>IF(T444&gt;=0,A444,1001)</ns0:f>
        <ns0:v>440</ns0:v>
      </ns0:c>
      <ns0:c r="AB444" s="7">
        <ns0:f>IF(T444&lt;0,A444,0)</ns0:f>
        <ns0:v>0</ns0:v>
      </ns0:c>
      <ns0:c r="AC444" s="16">
        <ns0:f>IF(AND(OR('前提と出典'!$C$36+'前提と出典'!$C$38=0,R444&gt;=0),OR('前提と出典'!$C$37+'前提と出典'!$C$38=0,S444&gt;=0)),0,A444)</ns0:f>
        <ns0:v>0</ns0:v>
      </ns0:c>
      <ns0:c r="AD444" s="7">
        <ns0:f>IF(W444&gt;=0,A444,1001)</ns0:f>
        <ns0:v>440</ns0:v>
      </ns0:c>
      <ns0:c r="AE444" s="7">
        <ns0:f>IF(W444&lt;0,A444,0)</ns0:f>
        <ns0:v>0</ns0:v>
      </ns0:c>
      <ns0:c r="AF444" s="16">
        <ns0:f>IF(AND(OR('前提と出典'!$C$36+'前提と出典'!$C$38=0,U444&gt;=0),OR('前提と出典'!$C$37+'前提と出典'!$C$38=0,V444&gt;=0)),0,A444)</ns0:f>
        <ns0:v>0</ns0:v>
      </ns0:c>
      <ns0:c r="AG444" s="7">
        <ns0:f>IF(Z444&gt;=0,A444,1001)</ns0:f>
        <ns0:v>440</ns0:v>
      </ns0:c>
      <ns0:c r="AH444" s="4">
        <ns0:f>IF(Z444&lt;0,A444,0)</ns0:f>
        <ns0:v>0</ns0:v>
      </ns0:c>
      <ns0:c r="AI444" s="12">
        <ns0:f>IF(AND(OR('前提と出典'!$C$36+'前提と出典'!$C$38=0,X444&gt;=0),OR('前提と出典'!$C$37+'前提と出典'!$C$38=0,Y444&gt;=0)),0,A444)</ns0:f>
        <ns0:v>0</ns0:v>
      </ns0:c>
    </ns0:row>
    <ns0:row r="445" ht="24" customHeight="1">
      <ns0:c r="A445" s="4" t="n">
        <ns0:v>441</ns0:v>
      </ns0:c>
      <ns0:c r="B445" s="12">
        <ns0:f>A445*('前提と出典'!$C$36+'前提と出典'!$C$38)</ns0:f>
        <ns0:v>308.7</ns0:v>
      </ns0:c>
      <ns0:c r="C445" s="12">
        <ns0:f>A445*('前提と出典'!$C$37+'前提と出典'!$C$38)</ns0:f>
        <ns0:v>264.59999999999997</ns0:v>
      </ns0:c>
      <ns0:c r="D445" s="16">
        <ns0:f>A445*('前提と出典'!$C$36*'契約別単価'!C5+'前提と出典'!$C$37*'契約別単価'!C6+'前提と出典'!$C$38*'契約別単価'!C7)</ns0:f>
        <ns0:v>3173.2290502793294</ns0:v>
      </ns0:c>
      <ns0:c r="E445" s="16">
        <ns0:f>A445*('前提と出典'!$C$36*'契約別単価'!E5+'前提と出典'!$C$37*'契約別単価'!E6+'前提と出典'!$C$38*'契約別単価'!E7)</ns0:f>
        <ns0:v>1108617.9591492428</ns0:v>
      </ns0:c>
      <ns0:c r="F445" s="16">
        <ns0:f>A445*('前提と出典'!$C$36*'契約別単価'!F5+'前提と出典'!$C$37*'契約別単価'!F6+'前提と出典'!$C$38*'契約別単価'!F7)</ns0:f>
        <ns0:v>322136.04101919703</ns0:v>
      </ns0:c>
      <ns0:c r="G445" s="16">
        <ns0:f>A445*('前提と出典'!$C$36*'契約別単価'!G5+'前提と出典'!$C$37*'契約別単価'!G6+'前提と出典'!$C$38*'契約別単価'!G7)</ns0:f>
        <ns0:v>877811.7318435754</ns0:v>
      </ns0:c>
      <ns0:c r="H445" s="16">
        <ns0:f>A445*('前提と出典'!$C$36*'契約別単価'!H5+'前提と出典'!$C$37*'契約別単価'!H6+'前提と出典'!$C$38*'契約別単価'!H7)</ns0:f>
        <ns0:v>304644.69666769594</ns0:v>
      </ns0:c>
      <ns0:c r="I445" s="16">
        <ns0:f>A445*('前提と出典'!$C$36*'契約別単価'!I5+'前提と出典'!$C$37*'契約別単価'!I6+'前提と出典'!$C$38*'契約別単価'!I7)</ns0:f>
        <ns0:v>18608.229050279326</ns0:v>
      </ns0:c>
      <ns0:c r="J445" s="16">
        <ns0:f>A445*('前提と出典'!$C$36*'契約別単価'!J5+'前提と出典'!$C$37*'契約別単価'!J6+'前提と出典'!$C$38*'契約別単価'!J7)</ns0:f>
        <ns0:v>43345.688776243434</ns0:v>
      </ns0:c>
      <ns0:c r="K445" s="16">
        <ns0:f>A445*('前提と出典'!$C$36*'契約別単価'!K5+'前提と出典'!$C$37*'契約別単価'!K6+'前提と出典'!$C$38*'契約別単価'!K7)</ns0:f>
        <ns0:v>185794.86033519552</ns0:v>
      </ns0:c>
      <ns0:c r="L445" s="16">
        <ns0:f>A445*('前提と出典'!$C$36*'契約別単価'!L5+'前提と出典'!$C$37*'契約別単価'!L6+'前提と出典'!$C$38*'契約別単価'!L7)</ns0:f>
        <ns0:v>151274.82322225653</ns0:v>
      </ns0:c>
      <ns0:c r="M445" s="16">
        <ns0:f>IF(('前提と出典'!$C$36+'前提と出典'!$C$38)=0,0,IF(B445&lt;=10,'前提と出典'!B73+'前提と出典'!C73,IF(B445&lt;=100,'前提と出典'!B74+'前提と出典'!C74,IF(B445&lt;=500,'前提と出典'!B75+'前提と出典'!C75,'前提と出典'!B76+'前提と出典'!C76))))</ns0:f>
        <ns0:v>40000</ns0:v>
      </ns0:c>
      <ns0:c r="N445" s="16">
        <ns0:f>IF(('前提と出典'!$C$37+'前提と出典'!$C$38)=0,0,IF(C445&lt;=10,'前提と出典'!D73+'前提と出典'!E73,IF(C445&lt;=100,'前提と出典'!D74+'前提と出典'!E74,IF(C445&lt;=500,'前提と出典'!D75+'前提と出典'!E75,'前提と出典'!D76+'前提と出典'!E76))))</ns0:f>
        <ns0:v>56510.9346263078</ns0:v>
      </ns0:c>
      <ns0:c r="O445" s="16">
        <ns0:f>IF('前提と出典'!$C$36+'前提と出典'!$C$38=0,0,'前提と出典'!$B$4*IF('前提と出典'!$B$20=0,MAX('前提と出典'!$B$6,D445*'前提と出典'!$B$5),'前提と出典'!$B$6+D445*'前提と出典'!$B$5))</ns0:f>
        <ns0:v>437905.6089385475</ns0:v>
      </ns0:c>
      <ns0:c r="P445" s="16">
        <ns0:f>(E445+G445)*(1-'前提と出典'!$B$7)-I445-K445-M445-O445</ns0:f>
        <ns0:v>1232609.5237930545</ns0:v>
      </ns0:c>
      <ns0:c r="Q445" s="16">
        <ns0:f>(F445+H445)*(1-'前提と出典'!$B$7)-J445-L445-N445</ns0:f>
        <ns0:v>353085.1845053571</ns0:v>
      </ns0:c>
      <ns0:c r="R445" s="16">
        <ns0:f>P445-E445*'前提と出典'!$E$4</ns0:f>
        <ns0:v>900024.1360482818</ns0:v>
      </ns0:c>
      <ns0:c r="S445" s="16">
        <ns0:f>Q445-F445*'前提と出典'!$E$4</ns0:f>
        <ns0:v>256444.372199598</ns0:v>
      </ns0:c>
      <ns0:c r="T445" s="7">
        <ns0:f>R445+S445</ns0:f>
        <ns0:v>1156468.5082478798</ns0:v>
      </ns0:c>
      <ns0:c r="U445" s="16">
        <ns0:f>P445-E445*'前提と出典'!$E$5</ns0:f>
        <ns0:v>789162.3401333573</ns0:v>
      </ns0:c>
      <ns0:c r="V445" s="16">
        <ns0:f>Q445-F445*'前提と出典'!$E$5</ns0:f>
        <ns0:v>224230.76809767832</ns0:v>
      </ns0:c>
      <ns0:c r="W445" s="7">
        <ns0:f>U445+V445</ns0:f>
        <ns0:v>1013393.1082310356</ns0:v>
      </ns0:c>
      <ns0:c r="X445" s="16">
        <ns0:f>P445-E445*'前提と出典'!$E$6</ns0:f>
        <ns0:v>678300.5442184331</ns0:v>
      </ns0:c>
      <ns0:c r="Y445" s="16">
        <ns0:f>Q445-F445*'前提と出典'!$E$6</ns0:f>
        <ns0:v>192017.16399575854</ns0:v>
      </ns0:c>
      <ns0:c r="Z445" s="7">
        <ns0:f>X445+Y445</ns0:f>
        <ns0:v>870317.7082141916</ns0:v>
      </ns0:c>
      <ns0:c r="AA445" s="7">
        <ns0:f>IF(T445&gt;=0,A445,1001)</ns0:f>
        <ns0:v>441</ns0:v>
      </ns0:c>
      <ns0:c r="AB445" s="7">
        <ns0:f>IF(T445&lt;0,A445,0)</ns0:f>
        <ns0:v>0</ns0:v>
      </ns0:c>
      <ns0:c r="AC445" s="16">
        <ns0:f>IF(AND(OR('前提と出典'!$C$36+'前提と出典'!$C$38=0,R445&gt;=0),OR('前提と出典'!$C$37+'前提と出典'!$C$38=0,S445&gt;=0)),0,A445)</ns0:f>
        <ns0:v>0</ns0:v>
      </ns0:c>
      <ns0:c r="AD445" s="7">
        <ns0:f>IF(W445&gt;=0,A445,1001)</ns0:f>
        <ns0:v>441</ns0:v>
      </ns0:c>
      <ns0:c r="AE445" s="7">
        <ns0:f>IF(W445&lt;0,A445,0)</ns0:f>
        <ns0:v>0</ns0:v>
      </ns0:c>
      <ns0:c r="AF445" s="16">
        <ns0:f>IF(AND(OR('前提と出典'!$C$36+'前提と出典'!$C$38=0,U445&gt;=0),OR('前提と出典'!$C$37+'前提と出典'!$C$38=0,V445&gt;=0)),0,A445)</ns0:f>
        <ns0:v>0</ns0:v>
      </ns0:c>
      <ns0:c r="AG445" s="7">
        <ns0:f>IF(Z445&gt;=0,A445,1001)</ns0:f>
        <ns0:v>441</ns0:v>
      </ns0:c>
      <ns0:c r="AH445" s="4">
        <ns0:f>IF(Z445&lt;0,A445,0)</ns0:f>
        <ns0:v>0</ns0:v>
      </ns0:c>
      <ns0:c r="AI445" s="12">
        <ns0:f>IF(AND(OR('前提と出典'!$C$36+'前提と出典'!$C$38=0,X445&gt;=0),OR('前提と出典'!$C$37+'前提と出典'!$C$38=0,Y445&gt;=0)),0,A445)</ns0:f>
        <ns0:v>0</ns0:v>
      </ns0:c>
    </ns0:row>
    <ns0:row r="446" ht="24" customHeight="1">
      <ns0:c r="A446" s="4" t="n">
        <ns0:v>442</ns0:v>
      </ns0:c>
      <ns0:c r="B446" s="12">
        <ns0:f>A446*('前提と出典'!$C$36+'前提と出典'!$C$38)</ns0:f>
        <ns0:v>309.4</ns0:v>
      </ns0:c>
      <ns0:c r="C446" s="12">
        <ns0:f>A446*('前提と出典'!$C$37+'前提と出典'!$C$38)</ns0:f>
        <ns0:v>265.2</ns0:v>
      </ns0:c>
      <ns0:c r="D446" s="16">
        <ns0:f>A446*('前提と出典'!$C$36*'契約別単価'!C5+'前提と出典'!$C$37*'契約別単価'!C6+'前提と出典'!$C$38*'契約別単価'!C7)</ns0:f>
        <ns0:v>3180.424581005587</ns0:v>
      </ns0:c>
      <ns0:c r="E446" s="16">
        <ns0:f>A446*('前提と出典'!$C$36*'契約別単価'!E5+'前提と出典'!$C$37*'契約別単価'!E6+'前提と出典'!$C$38*'契約別単価'!E7)</ns0:f>
        <ns0:v>1111131.8320724836</ns0:v>
      </ns0:c>
      <ns0:c r="F446" s="16">
        <ns0:f>A446*('前提と出典'!$C$36*'契約別単価'!F5+'前提と出典'!$C$37*'契約別単価'!F6+'前提と出典'!$C$38*'契約別単価'!F7)</ns0:f>
        <ns0:v>322866.5082323925</ns0:v>
      </ns0:c>
      <ns0:c r="G446" s="16">
        <ns0:f>A446*('前提と出典'!$C$36*'契約別単価'!G5+'前提と出典'!$C$37*'契約別単価'!G6+'前提と出典'!$C$38*'契約別単価'!G7)</ns0:f>
        <ns0:v>879802.2346368715</ns0:v>
      </ns0:c>
      <ns0:c r="H446" s="16">
        <ns0:f>A446*('前提と出典'!$C$36*'契約別単価'!H5+'前提と出典'!$C$37*'契約別単価'!H6+'前提と出典'!$C$38*'契約別単価'!H7)</ns0:f>
        <ns0:v>305335.5009685297</ns0:v>
      </ns0:c>
      <ns0:c r="I446" s="16">
        <ns0:f>A446*('前提と出典'!$C$36*'契約別単価'!I5+'前提と出典'!$C$37*'契約別単価'!I6+'前提と出典'!$C$38*'契約別単価'!I7)</ns0:f>
        <ns0:v>18650.424581005584</ns0:v>
      </ns0:c>
      <ns0:c r="J446" s="16">
        <ns0:f>A446*('前提と出典'!$C$36*'契約別単価'!J5+'前提と出典'!$C$37*'契約別単価'!J6+'前提と出典'!$C$38*'契約別単価'!J7)</ns0:f>
        <ns0:v>43443.978319953734</ns0:v>
      </ns0:c>
      <ns0:c r="K446" s="16">
        <ns0:f>A446*('前提と出典'!$C$36*'契約別単価'!K5+'前提と出典'!$C$37*'契約別単価'!K6+'前提と出典'!$C$38*'契約別単価'!K7)</ns0:f>
        <ns0:v>186216.16387337056</ns0:v>
      </ns0:c>
      <ns0:c r="L446" s="16">
        <ns0:f>A446*('前提と出典'!$C$36*'契約別単価'!L5+'前提と出典'!$C$37*'契約別単価'!L6+'前提と出典'!$C$38*'契約別単価'!L7)</ns0:f>
        <ns0:v>151617.85003228433</ns0:v>
      </ns0:c>
      <ns0:c r="M446" s="16">
        <ns0:f>IF(('前提と出典'!$C$36+'前提と出典'!$C$38)=0,0,IF(B446&lt;=10,'前提と出典'!B73+'前提と出典'!C73,IF(B446&lt;=100,'前提と出典'!B74+'前提と出典'!C74,IF(B446&lt;=500,'前提と出典'!B75+'前提と出典'!C75,'前提と出典'!B76+'前提と出典'!C76))))</ns0:f>
        <ns0:v>40000</ns0:v>
      </ns0:c>
      <ns0:c r="N446" s="16">
        <ns0:f>IF(('前提と出典'!$C$37+'前提と出典'!$C$38)=0,0,IF(C446&lt;=10,'前提と出典'!D73+'前提と出典'!E73,IF(C446&lt;=100,'前提と出典'!D74+'前提と出典'!E74,IF(C446&lt;=500,'前提と出典'!D75+'前提と出典'!E75,'前提と出典'!D76+'前提と出典'!E76))))</ns0:f>
        <ns0:v>56510.9346263078</ns0:v>
      </ns0:c>
      <ns0:c r="O446" s="16">
        <ns0:f>IF('前提と出典'!$C$36+'前提と出典'!$C$38=0,0,'前提と出典'!$B$4*IF('前提と出典'!$B$20=0,MAX('前提と出典'!$B$6,D446*'前提と出典'!$B$5),'前提と出典'!$B$6+D446*'前提と出典'!$B$5))</ns0:f>
        <ns0:v>438898.592178771</ns0:v>
      </ns0:c>
      <ns0:c r="P446" s="16">
        <ns0:f>(E446+G446)*(1-'前提と出典'!$B$7)-I446-K446-M446-O446</ns0:f>
        <ns0:v>1235495.259674671</ns0:v>
      </ns0:c>
      <ns0:c r="Q446" s="16">
        <ns0:f>(F446+H446)*(1-'前提と出典'!$B$7)-J446-L446-N446</ns0:f>
        <ns0:v>354013.97389114316</ns0:v>
      </ns0:c>
      <ns0:c r="R446" s="16">
        <ns0:f>P446-E446*'前提と出典'!$E$4</ns0:f>
        <ns0:v>902155.7100529261</ns0:v>
      </ns0:c>
      <ns0:c r="S446" s="16">
        <ns0:f>Q446-F446*'前提と出典'!$E$4</ns0:f>
        <ns0:v>257154.02142142545</ns0:v>
      </ns0:c>
      <ns0:c r="T446" s="7">
        <ns0:f>R446+S446</ns0:f>
        <ns0:v>1159309.7314743516</ns0:v>
      </ns0:c>
      <ns0:c r="U446" s="16">
        <ns0:f>P446-E446*'前提と出典'!$E$5</ns0:f>
        <ns0:v>791042.5268456778</ns0:v>
      </ns0:c>
      <ns0:c r="V446" s="16">
        <ns0:f>Q446-F446*'前提と出典'!$E$5</ns0:f>
        <ns0:v>224867.37059818616</ns0:v>
      </ns0:c>
      <ns0:c r="W446" s="7">
        <ns0:f>U446+V446</ns0:f>
        <ns0:v>1015909.8974438639</ns0:v>
      </ns0:c>
      <ns0:c r="X446" s="16">
        <ns0:f>P446-E446*'前提と出典'!$E$6</ns0:f>
        <ns0:v>679929.3436384294</ns0:v>
      </ns0:c>
      <ns0:c r="Y446" s="16">
        <ns0:f>Q446-F446*'前提と出典'!$E$6</ns0:f>
        <ns0:v>192580.71977494692</ns0:v>
      </ns0:c>
      <ns0:c r="Z446" s="7">
        <ns0:f>X446+Y446</ns0:f>
        <ns0:v>872510.0634133763</ns0:v>
      </ns0:c>
      <ns0:c r="AA446" s="7">
        <ns0:f>IF(T446&gt;=0,A446,1001)</ns0:f>
        <ns0:v>442</ns0:v>
      </ns0:c>
      <ns0:c r="AB446" s="7">
        <ns0:f>IF(T446&lt;0,A446,0)</ns0:f>
        <ns0:v>0</ns0:v>
      </ns0:c>
      <ns0:c r="AC446" s="16">
        <ns0:f>IF(AND(OR('前提と出典'!$C$36+'前提と出典'!$C$38=0,R446&gt;=0),OR('前提と出典'!$C$37+'前提と出典'!$C$38=0,S446&gt;=0)),0,A446)</ns0:f>
        <ns0:v>0</ns0:v>
      </ns0:c>
      <ns0:c r="AD446" s="7">
        <ns0:f>IF(W446&gt;=0,A446,1001)</ns0:f>
        <ns0:v>442</ns0:v>
      </ns0:c>
      <ns0:c r="AE446" s="7">
        <ns0:f>IF(W446&lt;0,A446,0)</ns0:f>
        <ns0:v>0</ns0:v>
      </ns0:c>
      <ns0:c r="AF446" s="16">
        <ns0:f>IF(AND(OR('前提と出典'!$C$36+'前提と出典'!$C$38=0,U446&gt;=0),OR('前提と出典'!$C$37+'前提と出典'!$C$38=0,V446&gt;=0)),0,A446)</ns0:f>
        <ns0:v>0</ns0:v>
      </ns0:c>
      <ns0:c r="AG446" s="7">
        <ns0:f>IF(Z446&gt;=0,A446,1001)</ns0:f>
        <ns0:v>442</ns0:v>
      </ns0:c>
      <ns0:c r="AH446" s="4">
        <ns0:f>IF(Z446&lt;0,A446,0)</ns0:f>
        <ns0:v>0</ns0:v>
      </ns0:c>
      <ns0:c r="AI446" s="12">
        <ns0:f>IF(AND(OR('前提と出典'!$C$36+'前提と出典'!$C$38=0,X446&gt;=0),OR('前提と出典'!$C$37+'前提と出典'!$C$38=0,Y446&gt;=0)),0,A446)</ns0:f>
        <ns0:v>0</ns0:v>
      </ns0:c>
    </ns0:row>
    <ns0:row r="447" ht="24" customHeight="1">
      <ns0:c r="A447" s="4" t="n">
        <ns0:v>443</ns0:v>
      </ns0:c>
      <ns0:c r="B447" s="12">
        <ns0:f>A447*('前提と出典'!$C$36+'前提と出典'!$C$38)</ns0:f>
        <ns0:v>310.09999999999997</ns0:v>
      </ns0:c>
      <ns0:c r="C447" s="12">
        <ns0:f>A447*('前提と出典'!$C$37+'前提と出典'!$C$38)</ns0:f>
        <ns0:v>265.8</ns0:v>
      </ns0:c>
      <ns0:c r="D447" s="16">
        <ns0:f>A447*('前提と出典'!$C$36*'契約別単価'!C5+'前提と出典'!$C$37*'契約別単価'!C6+'前提と出典'!$C$38*'契約別単価'!C7)</ns0:f>
        <ns0:v>3187.6201117318437</ns0:v>
      </ns0:c>
      <ns0:c r="E447" s="16">
        <ns0:f>A447*('前提と出典'!$C$36*'契約別単価'!E5+'前提と出典'!$C$37*'契約別単価'!E6+'前提と出典'!$C$38*'契約別単価'!E7)</ns0:f>
        <ns0:v>1113645.7049957246</ns0:v>
      </ns0:c>
      <ns0:c r="F447" s="16">
        <ns0:f>A447*('前提と出典'!$C$36*'契約別単価'!F5+'前提と出典'!$C$37*'契約別単価'!F6+'前提と出典'!$C$38*'契約別単価'!F7)</ns0:f>
        <ns0:v>323596.97544558794</ns0:v>
      </ns0:c>
      <ns0:c r="G447" s="16">
        <ns0:f>A447*('前提と出典'!$C$36*'契約別単価'!G5+'前提と出典'!$C$37*'契約別単価'!G6+'前提と出典'!$C$38*'契約別単価'!G7)</ns0:f>
        <ns0:v>881792.7374301675</ns0:v>
      </ns0:c>
      <ns0:c r="H447" s="16">
        <ns0:f>A447*('前提と出典'!$C$36*'契約別単価'!H5+'前提と出典'!$C$37*'契約別単価'!H6+'前提と出典'!$C$38*'契約別単価'!H7)</ns0:f>
        <ns0:v>306026.3052693635</ns0:v>
      </ns0:c>
      <ns0:c r="I447" s="16">
        <ns0:f>A447*('前提と出典'!$C$36*'契約別単価'!I5+'前提と出典'!$C$37*'契約別単価'!I6+'前提と出典'!$C$38*'契約別単価'!I7)</ns0:f>
        <ns0:v>18692.62011173184</ns0:v>
      </ns0:c>
      <ns0:c r="J447" s="16">
        <ns0:f>A447*('前提と出典'!$C$36*'契約別単価'!J5+'前提と出典'!$C$37*'契約別単価'!J6+'前提と出典'!$C$38*'契約別単価'!J7)</ns0:f>
        <ns0:v>43542.267863664034</ns0:v>
      </ns0:c>
      <ns0:c r="K447" s="16">
        <ns0:f>A447*('前提と出典'!$C$36*'契約別単価'!K5+'前提と出典'!$C$37*'契約別単価'!K6+'前提と出典'!$C$38*'契約別単価'!K7)</ns0:f>
        <ns0:v>186637.4674115456</ns0:v>
      </ns0:c>
      <ns0:c r="L447" s="16">
        <ns0:f>A447*('前提と出典'!$C$36*'契約別単価'!L5+'前提と出典'!$C$37*'契約別単価'!L6+'前提と出典'!$C$38*'契約別単価'!L7)</ns0:f>
        <ns0:v>151960.8768423121</ns0:v>
      </ns0:c>
      <ns0:c r="M447" s="16">
        <ns0:f>IF(('前提と出典'!$C$36+'前提と出典'!$C$38)=0,0,IF(B447&lt;=10,'前提と出典'!B73+'前提と出典'!C73,IF(B447&lt;=100,'前提と出典'!B74+'前提と出典'!C74,IF(B447&lt;=500,'前提と出典'!B75+'前提と出典'!C75,'前提と出典'!B76+'前提と出典'!C76))))</ns0:f>
        <ns0:v>40000</ns0:v>
      </ns0:c>
      <ns0:c r="N447" s="16">
        <ns0:f>IF(('前提と出典'!$C$37+'前提と出典'!$C$38)=0,0,IF(C447&lt;=10,'前提と出典'!D73+'前提と出典'!E73,IF(C447&lt;=100,'前提と出典'!D74+'前提と出典'!E74,IF(C447&lt;=500,'前提と出典'!D75+'前提と出典'!E75,'前提と出典'!D76+'前提と出典'!E76))))</ns0:f>
        <ns0:v>56510.9346263078</ns0:v>
      </ns0:c>
      <ns0:c r="O447" s="16">
        <ns0:f>IF('前提と出典'!$C$36+'前提と出典'!$C$38=0,0,'前提と出典'!$B$4*IF('前提と出典'!$B$20=0,MAX('前提と出典'!$B$6,D447*'前提と出典'!$B$5),'前提と出典'!$B$6+D447*'前提と出典'!$B$5))</ns0:f>
        <ns0:v>439891.5754189945</ns0:v>
      </ns0:c>
      <ns0:c r="P447" s="16">
        <ns0:f>(E447+G447)*(1-'前提と出典'!$B$7)-I447-K447-M447-O447</ns0:f>
        <ns0:v>1238380.9955562884</ns0:v>
      </ns0:c>
      <ns0:c r="Q447" s="16">
        <ns0:f>(F447+H447)*(1-'前提と出典'!$B$7)-J447-L447-N447</ns0:f>
        <ns0:v>354942.76327692927</ns0:v>
      </ns0:c>
      <ns0:c r="R447" s="16">
        <ns0:f>P447-E447*'前提と出典'!$E$4</ns0:f>
        <ns0:v>904287.2840575709</ns0:v>
      </ns0:c>
      <ns0:c r="S447" s="16">
        <ns0:f>Q447-F447*'前提と出典'!$E$4</ns0:f>
        <ns0:v>257863.6706432529</ns0:v>
      </ns0:c>
      <ns0:c r="T447" s="7">
        <ns0:f>R447+S447</ns0:f>
        <ns0:v>1162150.9547008239</ns0:v>
      </ns0:c>
      <ns0:c r="U447" s="16">
        <ns0:f>P447-E447*'前提と出典'!$E$5</ns0:f>
        <ns0:v>792922.7135579984</ns0:v>
      </ns0:c>
      <ns0:c r="V447" s="16">
        <ns0:f>Q447-F447*'前提と出典'!$E$5</ns0:f>
        <ns0:v>225503.9730986941</ns0:v>
      </ns0:c>
      <ns0:c r="W447" s="7">
        <ns0:f>U447+V447</ns0:f>
        <ns0:v>1018426.6866566925</ns0:v>
      </ns0:c>
      <ns0:c r="X447" s="16">
        <ns0:f>P447-E447*'前提と出典'!$E$6</ns0:f>
        <ns0:v>681558.143058426</ns0:v>
      </ns0:c>
      <ns0:c r="Y447" s="16">
        <ns0:f>Q447-F447*'前提と出典'!$E$6</ns0:f>
        <ns0:v>193144.27555413533</ns0:v>
      </ns0:c>
      <ns0:c r="Z447" s="7">
        <ns0:f>X447+Y447</ns0:f>
        <ns0:v>874702.4186125613</ns0:v>
      </ns0:c>
      <ns0:c r="AA447" s="7">
        <ns0:f>IF(T447&gt;=0,A447,1001)</ns0:f>
        <ns0:v>443</ns0:v>
      </ns0:c>
      <ns0:c r="AB447" s="7">
        <ns0:f>IF(T447&lt;0,A447,0)</ns0:f>
        <ns0:v>0</ns0:v>
      </ns0:c>
      <ns0:c r="AC447" s="16">
        <ns0:f>IF(AND(OR('前提と出典'!$C$36+'前提と出典'!$C$38=0,R447&gt;=0),OR('前提と出典'!$C$37+'前提と出典'!$C$38=0,S447&gt;=0)),0,A447)</ns0:f>
        <ns0:v>0</ns0:v>
      </ns0:c>
      <ns0:c r="AD447" s="7">
        <ns0:f>IF(W447&gt;=0,A447,1001)</ns0:f>
        <ns0:v>443</ns0:v>
      </ns0:c>
      <ns0:c r="AE447" s="7">
        <ns0:f>IF(W447&lt;0,A447,0)</ns0:f>
        <ns0:v>0</ns0:v>
      </ns0:c>
      <ns0:c r="AF447" s="16">
        <ns0:f>IF(AND(OR('前提と出典'!$C$36+'前提と出典'!$C$38=0,U447&gt;=0),OR('前提と出典'!$C$37+'前提と出典'!$C$38=0,V447&gt;=0)),0,A447)</ns0:f>
        <ns0:v>0</ns0:v>
      </ns0:c>
      <ns0:c r="AG447" s="7">
        <ns0:f>IF(Z447&gt;=0,A447,1001)</ns0:f>
        <ns0:v>443</ns0:v>
      </ns0:c>
      <ns0:c r="AH447" s="4">
        <ns0:f>IF(Z447&lt;0,A447,0)</ns0:f>
        <ns0:v>0</ns0:v>
      </ns0:c>
      <ns0:c r="AI447" s="12">
        <ns0:f>IF(AND(OR('前提と出典'!$C$36+'前提と出典'!$C$38=0,X447&gt;=0),OR('前提と出典'!$C$37+'前提と出典'!$C$38=0,Y447&gt;=0)),0,A447)</ns0:f>
        <ns0:v>0</ns0:v>
      </ns0:c>
    </ns0:row>
    <ns0:row r="448" ht="24" customHeight="1">
      <ns0:c r="A448" s="4" t="n">
        <ns0:v>444</ns0:v>
      </ns0:c>
      <ns0:c r="B448" s="12">
        <ns0:f>A448*('前提と出典'!$C$36+'前提と出典'!$C$38)</ns0:f>
        <ns0:v>310.79999999999995</ns0:v>
      </ns0:c>
      <ns0:c r="C448" s="12">
        <ns0:f>A448*('前提と出典'!$C$37+'前提と出典'!$C$38)</ns0:f>
        <ns0:v>266.4</ns0:v>
      </ns0:c>
      <ns0:c r="D448" s="16">
        <ns0:f>A448*('前提と出典'!$C$36*'契約別単価'!C5+'前提と出典'!$C$37*'契約別単価'!C6+'前提と出典'!$C$38*'契約別単価'!C7)</ns0:f>
        <ns0:v>3194.8156424581007</ns0:v>
      </ns0:c>
      <ns0:c r="E448" s="16">
        <ns0:f>A448*('前提と出典'!$C$36*'契約別単価'!E5+'前提と出典'!$C$37*'契約別単価'!E6+'前提と出典'!$C$38*'契約別単価'!E7)</ns0:f>
        <ns0:v>1116159.5779189654</ns0:v>
      </ns0:c>
      <ns0:c r="F448" s="16">
        <ns0:f>A448*('前提と出典'!$C$36*'契約別単価'!F5+'前提と出典'!$C$37*'契約別単価'!F6+'前提と出典'!$C$38*'契約別単価'!F7)</ns0:f>
        <ns0:v>324327.4426587834</ns0:v>
      </ns0:c>
      <ns0:c r="G448" s="16">
        <ns0:f>A448*('前提と出典'!$C$36*'契約別単価'!G5+'前提と出典'!$C$37*'契約別単価'!G6+'前提と出典'!$C$38*'契約別単価'!G7)</ns0:f>
        <ns0:v>883783.2402234636</ns0:v>
      </ns0:c>
      <ns0:c r="H448" s="16">
        <ns0:f>A448*('前提と出典'!$C$36*'契約別単価'!H5+'前提と出典'!$C$37*'契約別単価'!H6+'前提と出典'!$C$38*'契約別単価'!H7)</ns0:f>
        <ns0:v>306717.1095701973</ns0:v>
      </ns0:c>
      <ns0:c r="I448" s="16">
        <ns0:f>A448*('前提と出典'!$C$36*'契約別単価'!I5+'前提と出典'!$C$37*'契約別単価'!I6+'前提と出典'!$C$38*'契約別単価'!I7)</ns0:f>
        <ns0:v>18734.815642458096</ns0:v>
      </ns0:c>
      <ns0:c r="J448" s="16">
        <ns0:f>A448*('前提と出典'!$C$36*'契約別単価'!J5+'前提と出典'!$C$37*'契約別単価'!J6+'前提と出典'!$C$38*'契約別単価'!J7)</ns0:f>
        <ns0:v>43640.55740737434</ns0:v>
      </ns0:c>
      <ns0:c r="K448" s="16">
        <ns0:f>A448*('前提と出典'!$C$36*'契約別単価'!K5+'前提と出典'!$C$37*'契約別単価'!K6+'前提と出典'!$C$38*'契約別単価'!K7)</ns0:f>
        <ns0:v>187058.77094972067</ns0:v>
      </ns0:c>
      <ns0:c r="L448" s="16">
        <ns0:f>A448*('前提と出典'!$C$36*'契約別単価'!L5+'前提と出典'!$C$37*'契約別単価'!L6+'前提と出典'!$C$38*'契約別単価'!L7)</ns0:f>
        <ns0:v>152303.9036523399</ns0:v>
      </ns0:c>
      <ns0:c r="M448" s="16">
        <ns0:f>IF(('前提と出典'!$C$36+'前提と出典'!$C$38)=0,0,IF(B448&lt;=10,'前提と出典'!B73+'前提と出典'!C73,IF(B448&lt;=100,'前提と出典'!B74+'前提と出典'!C74,IF(B448&lt;=500,'前提と出典'!B75+'前提と出典'!C75,'前提と出典'!B76+'前提と出典'!C76))))</ns0:f>
        <ns0:v>40000</ns0:v>
      </ns0:c>
      <ns0:c r="N448" s="16">
        <ns0:f>IF(('前提と出典'!$C$37+'前提と出典'!$C$38)=0,0,IF(C448&lt;=10,'前提と出典'!D73+'前提と出典'!E73,IF(C448&lt;=100,'前提と出典'!D74+'前提と出典'!E74,IF(C448&lt;=500,'前提と出典'!D75+'前提と出典'!E75,'前提と出典'!D76+'前提と出典'!E76))))</ns0:f>
        <ns0:v>56510.9346263078</ns0:v>
      </ns0:c>
      <ns0:c r="O448" s="16">
        <ns0:f>IF('前提と出典'!$C$36+'前提と出典'!$C$38=0,0,'前提と出典'!$B$4*IF('前提と出典'!$B$20=0,MAX('前提と出典'!$B$6,D448*'前提と出典'!$B$5),'前提と出典'!$B$6+D448*'前提と出典'!$B$5))</ns0:f>
        <ns0:v>440884.5586592179</ns0:v>
      </ns0:c>
      <ns0:c r="P448" s="16">
        <ns0:f>(E448+G448)*(1-'前提と出典'!$B$7)-I448-K448-M448-O448</ns0:f>
        <ns0:v>1241266.7314379048</ns0:v>
      </ns0:c>
      <ns0:c r="Q448" s="16">
        <ns0:f>(F448+H448)*(1-'前提と出典'!$B$7)-J448-L448-N448</ns0:f>
        <ns0:v>355871.5526627153</ns0:v>
      </ns0:c>
      <ns0:c r="R448" s="16">
        <ns0:f>P448-E448*'前提と出典'!$E$4</ns0:f>
        <ns0:v>906418.8580622153</ns0:v>
      </ns0:c>
      <ns0:c r="S448" s="16">
        <ns0:f>Q448-F448*'前提と出典'!$E$4</ns0:f>
        <ns0:v>258573.3198650803</ns0:v>
      </ns0:c>
      <ns0:c r="T448" s="7">
        <ns0:f>R448+S448</ns0:f>
        <ns0:v>1164992.1779272957</ns0:v>
      </ns0:c>
      <ns0:c r="U448" s="16">
        <ns0:f>P448-E448*'前提と出典'!$E$5</ns0:f>
        <ns0:v>794802.9002703187</ns0:v>
      </ns0:c>
      <ns0:c r="V448" s="16">
        <ns0:f>Q448-F448*'前提と出典'!$E$5</ns0:f>
        <ns0:v>226140.57559920195</ns0:v>
      </ns0:c>
      <ns0:c r="W448" s="7">
        <ns0:f>U448+V448</ns0:f>
        <ns0:v>1020943.4758695207</ns0:v>
      </ns0:c>
      <ns0:c r="X448" s="16">
        <ns0:f>P448-E448*'前提と出典'!$E$6</ns0:f>
        <ns0:v>683186.9424784222</ns0:v>
      </ns0:c>
      <ns0:c r="Y448" s="16">
        <ns0:f>Q448-F448*'前提と出典'!$E$6</ns0:f>
        <ns0:v>193707.83133332364</ns0:v>
      </ns0:c>
      <ns0:c r="Z448" s="7">
        <ns0:f>X448+Y448</ns0:f>
        <ns0:v>876894.7738117458</ns0:v>
      </ns0:c>
      <ns0:c r="AA448" s="7">
        <ns0:f>IF(T448&gt;=0,A448,1001)</ns0:f>
        <ns0:v>444</ns0:v>
      </ns0:c>
      <ns0:c r="AB448" s="7">
        <ns0:f>IF(T448&lt;0,A448,0)</ns0:f>
        <ns0:v>0</ns0:v>
      </ns0:c>
      <ns0:c r="AC448" s="16">
        <ns0:f>IF(AND(OR('前提と出典'!$C$36+'前提と出典'!$C$38=0,R448&gt;=0),OR('前提と出典'!$C$37+'前提と出典'!$C$38=0,S448&gt;=0)),0,A448)</ns0:f>
        <ns0:v>0</ns0:v>
      </ns0:c>
      <ns0:c r="AD448" s="7">
        <ns0:f>IF(W448&gt;=0,A448,1001)</ns0:f>
        <ns0:v>444</ns0:v>
      </ns0:c>
      <ns0:c r="AE448" s="7">
        <ns0:f>IF(W448&lt;0,A448,0)</ns0:f>
        <ns0:v>0</ns0:v>
      </ns0:c>
      <ns0:c r="AF448" s="16">
        <ns0:f>IF(AND(OR('前提と出典'!$C$36+'前提と出典'!$C$38=0,U448&gt;=0),OR('前提と出典'!$C$37+'前提と出典'!$C$38=0,V448&gt;=0)),0,A448)</ns0:f>
        <ns0:v>0</ns0:v>
      </ns0:c>
      <ns0:c r="AG448" s="7">
        <ns0:f>IF(Z448&gt;=0,A448,1001)</ns0:f>
        <ns0:v>444</ns0:v>
      </ns0:c>
      <ns0:c r="AH448" s="4">
        <ns0:f>IF(Z448&lt;0,A448,0)</ns0:f>
        <ns0:v>0</ns0:v>
      </ns0:c>
      <ns0:c r="AI448" s="12">
        <ns0:f>IF(AND(OR('前提と出典'!$C$36+'前提と出典'!$C$38=0,X448&gt;=0),OR('前提と出典'!$C$37+'前提と出典'!$C$38=0,Y448&gt;=0)),0,A448)</ns0:f>
        <ns0:v>0</ns0:v>
      </ns0:c>
    </ns0:row>
    <ns0:row r="449" ht="24" customHeight="1">
      <ns0:c r="A449" s="4" t="n">
        <ns0:v>445</ns0:v>
      </ns0:c>
      <ns0:c r="B449" s="12">
        <ns0:f>A449*('前提と出典'!$C$36+'前提と出典'!$C$38)</ns0:f>
        <ns0:v>311.5</ns0:v>
      </ns0:c>
      <ns0:c r="C449" s="12">
        <ns0:f>A449*('前提と出典'!$C$37+'前提と出典'!$C$38)</ns0:f>
        <ns0:v>267</ns0:v>
      </ns0:c>
      <ns0:c r="D449" s="16">
        <ns0:f>A449*('前提と出典'!$C$36*'契約別単価'!C5+'前提と出典'!$C$37*'契約別単価'!C6+'前提と出典'!$C$38*'契約別単価'!C7)</ns0:f>
        <ns0:v>3202.0111731843576</ns0:v>
      </ns0:c>
      <ns0:c r="E449" s="16">
        <ns0:f>A449*('前提と出典'!$C$36*'契約別単価'!E5+'前提と出典'!$C$37*'契約別単価'!E6+'前提と出典'!$C$38*'契約別単価'!E7)</ns0:f>
        <ns0:v>1118673.4508422064</ns0:v>
      </ns0:c>
      <ns0:c r="F449" s="16">
        <ns0:f>A449*('前提と出典'!$C$36*'契約別単価'!F5+'前提と出典'!$C$37*'契約別単価'!F6+'前提と出典'!$C$38*'契約別単価'!F7)</ns0:f>
        <ns0:v>325057.90987197886</ns0:v>
      </ns0:c>
      <ns0:c r="G449" s="16">
        <ns0:f>A449*('前提と出典'!$C$36*'契約別単価'!G5+'前提と出典'!$C$37*'契約別単価'!G6+'前提と出典'!$C$38*'契約別単価'!G7)</ns0:f>
        <ns0:v>885773.7430167597</ns0:v>
      </ns0:c>
      <ns0:c r="H449" s="16">
        <ns0:f>A449*('前提と出典'!$C$36*'契約別単価'!H5+'前提と出典'!$C$37*'契約別単価'!H6+'前提と出典'!$C$38*'契約別単価'!H7)</ns0:f>
        <ns0:v>307407.9138710311</ns0:v>
      </ns0:c>
      <ns0:c r="I449" s="16">
        <ns0:f>A449*('前提と出典'!$C$36*'契約別単価'!I5+'前提と出典'!$C$37*'契約別単価'!I6+'前提と出典'!$C$38*'契約別単価'!I7)</ns0:f>
        <ns0:v>18777.011173184354</ns0:v>
      </ns0:c>
      <ns0:c r="J449" s="16">
        <ns0:f>A449*('前提と出典'!$C$36*'契約別単価'!J5+'前提と出典'!$C$37*'契約別単価'!J6+'前提と出典'!$C$38*'契約別単価'!J7)</ns0:f>
        <ns0:v>43738.84695108464</ns0:v>
      </ns0:c>
      <ns0:c r="K449" s="16">
        <ns0:f>A449*('前提と出典'!$C$36*'契約別単価'!K5+'前提と出典'!$C$37*'契約別単価'!K6+'前提と出典'!$C$38*'契約別単価'!K7)</ns0:f>
        <ns0:v>187480.0744878957</ns0:v>
      </ns0:c>
      <ns0:c r="L449" s="16">
        <ns0:f>A449*('前提と出典'!$C$36*'契約別単価'!L5+'前提と出典'!$C$37*'契約別単価'!L6+'前提と出典'!$C$38*'契約別単価'!L7)</ns0:f>
        <ns0:v>152646.9304623677</ns0:v>
      </ns0:c>
      <ns0:c r="M449" s="16">
        <ns0:f>IF(('前提と出典'!$C$36+'前提と出典'!$C$38)=0,0,IF(B449&lt;=10,'前提と出典'!B73+'前提と出典'!C73,IF(B449&lt;=100,'前提と出典'!B74+'前提と出典'!C74,IF(B449&lt;=500,'前提と出典'!B75+'前提と出典'!C75,'前提と出典'!B76+'前提と出典'!C76))))</ns0:f>
        <ns0:v>40000</ns0:v>
      </ns0:c>
      <ns0:c r="N449" s="16">
        <ns0:f>IF(('前提と出典'!$C$37+'前提と出典'!$C$38)=0,0,IF(C449&lt;=10,'前提と出典'!D73+'前提と出典'!E73,IF(C449&lt;=100,'前提と出典'!D74+'前提と出典'!E74,IF(C449&lt;=500,'前提と出典'!D75+'前提と出典'!E75,'前提と出典'!D76+'前提と出典'!E76))))</ns0:f>
        <ns0:v>56510.9346263078</ns0:v>
      </ns0:c>
      <ns0:c r="O449" s="16">
        <ns0:f>IF('前提と出典'!$C$36+'前提と出典'!$C$38=0,0,'前提と出典'!$B$4*IF('前提と出典'!$B$20=0,MAX('前提と出典'!$B$6,D449*'前提と出典'!$B$5),'前提と出典'!$B$6+D449*'前提と出典'!$B$5))</ns0:f>
        <ns0:v>441877.5418994414</ns0:v>
      </ns0:c>
      <ns0:c r="P449" s="16">
        <ns0:f>(E449+G449)*(1-'前提と出典'!$B$7)-I449-K449-M449-O449</ns0:f>
        <ns0:v>1244152.467319522</ns0:v>
      </ns0:c>
      <ns0:c r="Q449" s="16">
        <ns0:f>(F449+H449)*(1-'前提と出典'!$B$7)-J449-L449-N449</ns0:f>
        <ns0:v>356800.3420485015</ns0:v>
      </ns0:c>
      <ns0:c r="R449" s="16">
        <ns0:f>P449-E449*'前提と出典'!$E$4</ns0:f>
        <ns0:v>908550.4320668603</ns0:v>
      </ns0:c>
      <ns0:c r="S449" s="16">
        <ns0:f>Q449-F449*'前提と出典'!$E$4</ns0:f>
        <ns0:v>259282.9690869078</ns0:v>
      </ns0:c>
      <ns0:c r="T449" s="7">
        <ns0:f>R449+S449</ns0:f>
        <ns0:v>1167833.401153768</ns0:v>
      </ns0:c>
      <ns0:c r="U449" s="16">
        <ns0:f>P449-E449*'前提と出典'!$E$5</ns0:f>
        <ns0:v>796683.0869826396</ns0:v>
      </ns0:c>
      <ns0:c r="V449" s="16">
        <ns0:f>Q449-F449*'前提と出典'!$E$5</ns0:f>
        <ns0:v>226777.1780997099</ns0:v>
      </ns0:c>
      <ns0:c r="W449" s="7">
        <ns0:f>U449+V449</ns0:f>
        <ns0:v>1023460.2650823495</ns0:v>
      </ns0:c>
      <ns0:c r="X449" s="16">
        <ns0:f>P449-E449*'前提と出典'!$E$6</ns0:f>
        <ns0:v>684815.741898419</ns0:v>
      </ns0:c>
      <ns0:c r="Y449" s="16">
        <ns0:f>Q449-F449*'前提と出典'!$E$6</ns0:f>
        <ns0:v>194271.387112512</ns0:v>
      </ns0:c>
      <ns0:c r="Z449" s="7">
        <ns0:f>X449+Y449</ns0:f>
        <ns0:v>879087.129010931</ns0:v>
      </ns0:c>
      <ns0:c r="AA449" s="7">
        <ns0:f>IF(T449&gt;=0,A449,1001)</ns0:f>
        <ns0:v>445</ns0:v>
      </ns0:c>
      <ns0:c r="AB449" s="7">
        <ns0:f>IF(T449&lt;0,A449,0)</ns0:f>
        <ns0:v>0</ns0:v>
      </ns0:c>
      <ns0:c r="AC449" s="16">
        <ns0:f>IF(AND(OR('前提と出典'!$C$36+'前提と出典'!$C$38=0,R449&gt;=0),OR('前提と出典'!$C$37+'前提と出典'!$C$38=0,S449&gt;=0)),0,A449)</ns0:f>
        <ns0:v>0</ns0:v>
      </ns0:c>
      <ns0:c r="AD449" s="7">
        <ns0:f>IF(W449&gt;=0,A449,1001)</ns0:f>
        <ns0:v>445</ns0:v>
      </ns0:c>
      <ns0:c r="AE449" s="7">
        <ns0:f>IF(W449&lt;0,A449,0)</ns0:f>
        <ns0:v>0</ns0:v>
      </ns0:c>
      <ns0:c r="AF449" s="16">
        <ns0:f>IF(AND(OR('前提と出典'!$C$36+'前提と出典'!$C$38=0,U449&gt;=0),OR('前提と出典'!$C$37+'前提と出典'!$C$38=0,V449&gt;=0)),0,A449)</ns0:f>
        <ns0:v>0</ns0:v>
      </ns0:c>
      <ns0:c r="AG449" s="7">
        <ns0:f>IF(Z449&gt;=0,A449,1001)</ns0:f>
        <ns0:v>445</ns0:v>
      </ns0:c>
      <ns0:c r="AH449" s="4">
        <ns0:f>IF(Z449&lt;0,A449,0)</ns0:f>
        <ns0:v>0</ns0:v>
      </ns0:c>
      <ns0:c r="AI449" s="12">
        <ns0:f>IF(AND(OR('前提と出典'!$C$36+'前提と出典'!$C$38=0,X449&gt;=0),OR('前提と出典'!$C$37+'前提と出典'!$C$38=0,Y449&gt;=0)),0,A449)</ns0:f>
        <ns0:v>0</ns0:v>
      </ns0:c>
    </ns0:row>
    <ns0:row r="450" ht="24" customHeight="1">
      <ns0:c r="A450" s="4" t="n">
        <ns0:v>446</ns0:v>
      </ns0:c>
      <ns0:c r="B450" s="12">
        <ns0:f>A450*('前提と出典'!$C$36+'前提と出典'!$C$38)</ns0:f>
        <ns0:v>312.2</ns0:v>
      </ns0:c>
      <ns0:c r="C450" s="12">
        <ns0:f>A450*('前提と出典'!$C$37+'前提と出典'!$C$38)</ns0:f>
        <ns0:v>267.59999999999997</ns0:v>
      </ns0:c>
      <ns0:c r="D450" s="16">
        <ns0:f>A450*('前提と出典'!$C$36*'契約別単価'!C5+'前提と出典'!$C$37*'契約別単価'!C6+'前提と出典'!$C$38*'契約別単価'!C7)</ns0:f>
        <ns0:v>3209.2067039106146</ns0:v>
      </ns0:c>
      <ns0:c r="E450" s="16">
        <ns0:f>A450*('前提と出典'!$C$36*'契約別単価'!E5+'前提と出典'!$C$37*'契約別単価'!E6+'前提と出典'!$C$38*'契約別単価'!E7)</ns0:f>
        <ns0:v>1121187.3237654474</ns0:v>
      </ns0:c>
      <ns0:c r="F450" s="16">
        <ns0:f>A450*('前提と出典'!$C$36*'契約別単価'!F5+'前提と出典'!$C$37*'契約別単価'!F6+'前提と出典'!$C$38*'契約別単価'!F7)</ns0:f>
        <ns0:v>325788.3770851743</ns0:v>
      </ns0:c>
      <ns0:c r="G450" s="16">
        <ns0:f>A450*('前提と出典'!$C$36*'契約別単価'!G5+'前提と出典'!$C$37*'契約別単価'!G6+'前提と出典'!$C$38*'契約別単価'!G7)</ns0:f>
        <ns0:v>887764.2458100559</ns0:v>
      </ns0:c>
      <ns0:c r="H450" s="16">
        <ns0:f>A450*('前提と出典'!$C$36*'契約別単価'!H5+'前提と出典'!$C$37*'契約別単価'!H6+'前提と出典'!$C$38*'契約別単価'!H7)</ns0:f>
        <ns0:v>308098.71817186486</ns0:v>
      </ns0:c>
      <ns0:c r="I450" s="16">
        <ns0:f>A450*('前提と出典'!$C$36*'契約別単価'!I5+'前提と出典'!$C$37*'契約別単価'!I6+'前提と出典'!$C$38*'契約別単価'!I7)</ns0:f>
        <ns0:v>18819.20670391061</ns0:v>
      </ns0:c>
      <ns0:c r="J450" s="16">
        <ns0:f>A450*('前提と出典'!$C$36*'契約別単価'!J5+'前提と出典'!$C$37*'契約別単価'!J6+'前提と出典'!$C$38*'契約別単価'!J7)</ns0:f>
        <ns0:v>43837.13649479495</ns0:v>
      </ns0:c>
      <ns0:c r="K450" s="16">
        <ns0:f>A450*('前提と出典'!$C$36*'契約別単価'!K5+'前提と出典'!$C$37*'契約別単価'!K6+'前提と出典'!$C$38*'契約別単価'!K7)</ns0:f>
        <ns0:v>187901.37802607074</ns0:v>
      </ns0:c>
      <ns0:c r="L450" s="16">
        <ns0:f>A450*('前提と出典'!$C$36*'契約別単価'!L5+'前提と出典'!$C$37*'契約別単価'!L6+'前提と出典'!$C$38*'契約別単価'!L7)</ns0:f>
        <ns0:v>152989.9572723955</ns0:v>
      </ns0:c>
      <ns0:c r="M450" s="16">
        <ns0:f>IF(('前提と出典'!$C$36+'前提と出典'!$C$38)=0,0,IF(B450&lt;=10,'前提と出典'!B73+'前提と出典'!C73,IF(B450&lt;=100,'前提と出典'!B74+'前提と出典'!C74,IF(B450&lt;=500,'前提と出典'!B75+'前提と出典'!C75,'前提と出典'!B76+'前提と出典'!C76))))</ns0:f>
        <ns0:v>40000</ns0:v>
      </ns0:c>
      <ns0:c r="N450" s="16">
        <ns0:f>IF(('前提と出典'!$C$37+'前提と出典'!$C$38)=0,0,IF(C450&lt;=10,'前提と出典'!D73+'前提と出典'!E73,IF(C450&lt;=100,'前提と出典'!D74+'前提と出典'!E74,IF(C450&lt;=500,'前提と出典'!D75+'前提と出典'!E75,'前提と出典'!D76+'前提と出典'!E76))))</ns0:f>
        <ns0:v>56510.9346263078</ns0:v>
      </ns0:c>
      <ns0:c r="O450" s="16">
        <ns0:f>IF('前提と出典'!$C$36+'前提と出典'!$C$38=0,0,'前提と出典'!$B$4*IF('前提と出典'!$B$20=0,MAX('前提と出典'!$B$6,D450*'前提と出典'!$B$5),'前提と出典'!$B$6+D450*'前提と出典'!$B$5))</ns0:f>
        <ns0:v>442870.5251396648</ns0:v>
      </ns0:c>
      <ns0:c r="P450" s="16">
        <ns0:f>(E450+G450)*(1-'前提と出典'!$B$7)-I450-K450-M450-O450</ns0:f>
        <ns0:v>1247038.2032011389</ns0:v>
      </ns0:c>
      <ns0:c r="Q450" s="16">
        <ns0:f>(F450+H450)*(1-'前提と出典'!$B$7)-J450-L450-N450</ns0:f>
        <ns0:v>357729.1314342876</ns0:v>
      </ns0:c>
      <ns0:c r="R450" s="16">
        <ns0:f>P450-E450*'前提と出典'!$E$4</ns0:f>
        <ns0:v>910682.0060715047</ns0:v>
      </ns0:c>
      <ns0:c r="S450" s="16">
        <ns0:f>Q450-F450*'前提と出典'!$E$4</ns0:f>
        <ns0:v>259992.6183087352</ns0:v>
      </ns0:c>
      <ns0:c r="T450" s="7">
        <ns0:f>R450+S450</ns0:f>
        <ns0:v>1170674.6243802398</ns0:v>
      </ns0:c>
      <ns0:c r="U450" s="16">
        <ns0:f>P450-E450*'前提と出典'!$E$5</ns0:f>
        <ns0:v>798563.2736949599</ns0:v>
      </ns0:c>
      <ns0:c r="V450" s="16">
        <ns0:f>Q450-F450*'前提と出典'!$E$5</ns0:f>
        <ns0:v>227413.78060021787</ns0:v>
      </ns0:c>
      <ns0:c r="W450" s="7">
        <ns0:f>U450+V450</ns0:f>
        <ns0:v>1025977.0542951778</ns0:v>
      </ns0:c>
      <ns0:c r="X450" s="16">
        <ns0:f>P450-E450*'前提と出典'!$E$6</ns0:f>
        <ns0:v>686444.5413184152</ns0:v>
      </ns0:c>
      <ns0:c r="Y450" s="16">
        <ns0:f>Q450-F450*'前提と出典'!$E$6</ns0:f>
        <ns0:v>194834.94289170043</ns0:v>
      </ns0:c>
      <ns0:c r="Z450" s="7">
        <ns0:f>X450+Y450</ns0:f>
        <ns0:v>881279.4842101156</ns0:v>
      </ns0:c>
      <ns0:c r="AA450" s="7">
        <ns0:f>IF(T450&gt;=0,A450,1001)</ns0:f>
        <ns0:v>446</ns0:v>
      </ns0:c>
      <ns0:c r="AB450" s="7">
        <ns0:f>IF(T450&lt;0,A450,0)</ns0:f>
        <ns0:v>0</ns0:v>
      </ns0:c>
      <ns0:c r="AC450" s="16">
        <ns0:f>IF(AND(OR('前提と出典'!$C$36+'前提と出典'!$C$38=0,R450&gt;=0),OR('前提と出典'!$C$37+'前提と出典'!$C$38=0,S450&gt;=0)),0,A450)</ns0:f>
        <ns0:v>0</ns0:v>
      </ns0:c>
      <ns0:c r="AD450" s="7">
        <ns0:f>IF(W450&gt;=0,A450,1001)</ns0:f>
        <ns0:v>446</ns0:v>
      </ns0:c>
      <ns0:c r="AE450" s="7">
        <ns0:f>IF(W450&lt;0,A450,0)</ns0:f>
        <ns0:v>0</ns0:v>
      </ns0:c>
      <ns0:c r="AF450" s="16">
        <ns0:f>IF(AND(OR('前提と出典'!$C$36+'前提と出典'!$C$38=0,U450&gt;=0),OR('前提と出典'!$C$37+'前提と出典'!$C$38=0,V450&gt;=0)),0,A450)</ns0:f>
        <ns0:v>0</ns0:v>
      </ns0:c>
      <ns0:c r="AG450" s="7">
        <ns0:f>IF(Z450&gt;=0,A450,1001)</ns0:f>
        <ns0:v>446</ns0:v>
      </ns0:c>
      <ns0:c r="AH450" s="4">
        <ns0:f>IF(Z450&lt;0,A450,0)</ns0:f>
        <ns0:v>0</ns0:v>
      </ns0:c>
      <ns0:c r="AI450" s="12">
        <ns0:f>IF(AND(OR('前提と出典'!$C$36+'前提と出典'!$C$38=0,X450&gt;=0),OR('前提と出典'!$C$37+'前提と出典'!$C$38=0,Y450&gt;=0)),0,A450)</ns0:f>
        <ns0:v>0</ns0:v>
      </ns0:c>
    </ns0:row>
    <ns0:row r="451" ht="24" customHeight="1">
      <ns0:c r="A451" s="4" t="n">
        <ns0:v>447</ns0:v>
      </ns0:c>
      <ns0:c r="B451" s="12">
        <ns0:f>A451*('前提と出典'!$C$36+'前提と出典'!$C$38)</ns0:f>
        <ns0:v>312.9</ns0:v>
      </ns0:c>
      <ns0:c r="C451" s="12">
        <ns0:f>A451*('前提と出典'!$C$37+'前提と出典'!$C$38)</ns0:f>
        <ns0:v>268.2</ns0:v>
      </ns0:c>
      <ns0:c r="D451" s="16">
        <ns0:f>A451*('前提と出典'!$C$36*'契約別単価'!C5+'前提と出典'!$C$37*'契約別単価'!C6+'前提と出典'!$C$38*'契約別単価'!C7)</ns0:f>
        <ns0:v>3216.4022346368715</ns0:v>
      </ns0:c>
      <ns0:c r="E451" s="16">
        <ns0:f>A451*('前提と出典'!$C$36*'契約別単価'!E5+'前提と出典'!$C$37*'契約別単価'!E6+'前提と出典'!$C$38*'契約別単価'!E7)</ns0:f>
        <ns0:v>1123701.1966886881</ns0:v>
      </ns0:c>
      <ns0:c r="F451" s="16">
        <ns0:f>A451*('前提と出典'!$C$36*'契約別単価'!F5+'前提と出典'!$C$37*'契約別単価'!F6+'前提と出典'!$C$38*'契約別単価'!F7)</ns0:f>
        <ns0:v>326518.8442983698</ns0:v>
      </ns0:c>
      <ns0:c r="G451" s="16">
        <ns0:f>A451*('前提と出典'!$C$36*'契約別単価'!G5+'前提と出典'!$C$37*'契約別単価'!G6+'前提と出典'!$C$38*'契約別単価'!G7)</ns0:f>
        <ns0:v>889754.7486033519</ns0:v>
      </ns0:c>
      <ns0:c r="H451" s="16">
        <ns0:f>A451*('前提と出典'!$C$36*'契約別単価'!H5+'前提と出典'!$C$37*'契約別単価'!H6+'前提と出典'!$C$38*'契約別単価'!H7)</ns0:f>
        <ns0:v>308789.52247269865</ns0:v>
      </ns0:c>
      <ns0:c r="I451" s="16">
        <ns0:f>A451*('前提と出典'!$C$36*'契約別単価'!I5+'前提と出典'!$C$37*'契約別単価'!I6+'前提と出典'!$C$38*'契約別単価'!I7)</ns0:f>
        <ns0:v>18861.40223463687</ns0:v>
      </ns0:c>
      <ns0:c r="J451" s="16">
        <ns0:f>A451*('前提と出典'!$C$36*'契約別単価'!J5+'前提と出典'!$C$37*'契約別単価'!J6+'前提と出典'!$C$38*'契約別単価'!J7)</ns0:f>
        <ns0:v>43935.42603850525</ns0:v>
      </ns0:c>
      <ns0:c r="K451" s="16">
        <ns0:f>A451*('前提と出典'!$C$36*'契約別単価'!K5+'前提と出典'!$C$37*'契約別単価'!K6+'前提と出典'!$C$38*'契約別単価'!K7)</ns0:f>
        <ns0:v>188322.6815642458</ns0:v>
      </ns0:c>
      <ns0:c r="L451" s="16">
        <ns0:f>A451*('前提と出典'!$C$36*'契約別単価'!L5+'前提と出典'!$C$37*'契約別単価'!L6+'前提と出典'!$C$38*'契約別単価'!L7)</ns0:f>
        <ns0:v>153332.9840824233</ns0:v>
      </ns0:c>
      <ns0:c r="M451" s="16">
        <ns0:f>IF(('前提と出典'!$C$36+'前提と出典'!$C$38)=0,0,IF(B451&lt;=10,'前提と出典'!B73+'前提と出典'!C73,IF(B451&lt;=100,'前提と出典'!B74+'前提と出典'!C74,IF(B451&lt;=500,'前提と出典'!B75+'前提と出典'!C75,'前提と出典'!B76+'前提と出典'!C76))))</ns0:f>
        <ns0:v>40000</ns0:v>
      </ns0:c>
      <ns0:c r="N451" s="16">
        <ns0:f>IF(('前提と出典'!$C$37+'前提と出典'!$C$38)=0,0,IF(C451&lt;=10,'前提と出典'!D73+'前提と出典'!E73,IF(C451&lt;=100,'前提と出典'!D74+'前提と出典'!E74,IF(C451&lt;=500,'前提と出典'!D75+'前提と出典'!E75,'前提と出典'!D76+'前提と出典'!E76))))</ns0:f>
        <ns0:v>56510.9346263078</ns0:v>
      </ns0:c>
      <ns0:c r="O451" s="16">
        <ns0:f>IF('前提と出典'!$C$36+'前提と出典'!$C$38=0,0,'前提と出典'!$B$4*IF('前提と出典'!$B$20=0,MAX('前提と出典'!$B$6,D451*'前提と出典'!$B$5),'前提と出典'!$B$6+D451*'前提と出典'!$B$5))</ns0:f>
        <ns0:v>443863.50837988826</ns0:v>
      </ns0:c>
      <ns0:c r="P451" s="16">
        <ns0:f>(E451+G451)*(1-'前提と出典'!$B$7)-I451-K451-M451-O451</ns0:f>
        <ns0:v>1249923.9390827555</ns0:v>
      </ns0:c>
      <ns0:c r="Q451" s="16">
        <ns0:f>(F451+H451)*(1-'前提と出典'!$B$7)-J451-L451-N451</ns0:f>
        <ns0:v>358657.92082007363</ns0:v>
      </ns0:c>
      <ns0:c r="R451" s="16">
        <ns0:f>P451-E451*'前提と出典'!$E$4</ns0:f>
        <ns0:v>912813.580076149</ns0:v>
      </ns0:c>
      <ns0:c r="S451" s="16">
        <ns0:f>Q451-F451*'前提と出典'!$E$4</ns0:f>
        <ns0:v>260702.26753056282</ns0:v>
      </ns0:c>
      <ns0:c r="T451" s="7">
        <ns0:f>R451+S451</ns0:f>
        <ns0:v>1173515.8476067118</ns0:v>
      </ns0:c>
      <ns0:c r="U451" s="16">
        <ns0:f>P451-E451*'前提と出典'!$E$5</ns0:f>
        <ns0:v>800443.4604072801</ns0:v>
      </ns0:c>
      <ns0:c r="V451" s="16">
        <ns0:f>Q451-F451*'前提と出典'!$E$5</ns0:f>
        <ns0:v>228050.3831007257</ns0:v>
      </ns0:c>
      <ns0:c r="W451" s="7">
        <ns0:f>U451+V451</ns0:f>
        <ns0:v>1028493.8435080058</ns0:v>
      </ns0:c>
      <ns0:c r="X451" s="16">
        <ns0:f>P451-E451*'前提と出典'!$E$6</ns0:f>
        <ns0:v>688073.3407384115</ns0:v>
      </ns0:c>
      <ns0:c r="Y451" s="16">
        <ns0:f>Q451-F451*'前提と出典'!$E$6</ns0:f>
        <ns0:v>195398.4986708888</ns0:v>
      </ns0:c>
      <ns0:c r="Z451" s="7">
        <ns0:f>X451+Y451</ns0:f>
        <ns0:v>883471.8394093004</ns0:v>
      </ns0:c>
      <ns0:c r="AA451" s="7">
        <ns0:f>IF(T451&gt;=0,A451,1001)</ns0:f>
        <ns0:v>447</ns0:v>
      </ns0:c>
      <ns0:c r="AB451" s="7">
        <ns0:f>IF(T451&lt;0,A451,0)</ns0:f>
        <ns0:v>0</ns0:v>
      </ns0:c>
      <ns0:c r="AC451" s="16">
        <ns0:f>IF(AND(OR('前提と出典'!$C$36+'前提と出典'!$C$38=0,R451&gt;=0),OR('前提と出典'!$C$37+'前提と出典'!$C$38=0,S451&gt;=0)),0,A451)</ns0:f>
        <ns0:v>0</ns0:v>
      </ns0:c>
      <ns0:c r="AD451" s="7">
        <ns0:f>IF(W451&gt;=0,A451,1001)</ns0:f>
        <ns0:v>447</ns0:v>
      </ns0:c>
      <ns0:c r="AE451" s="7">
        <ns0:f>IF(W451&lt;0,A451,0)</ns0:f>
        <ns0:v>0</ns0:v>
      </ns0:c>
      <ns0:c r="AF451" s="16">
        <ns0:f>IF(AND(OR('前提と出典'!$C$36+'前提と出典'!$C$38=0,U451&gt;=0),OR('前提と出典'!$C$37+'前提と出典'!$C$38=0,V451&gt;=0)),0,A451)</ns0:f>
        <ns0:v>0</ns0:v>
      </ns0:c>
      <ns0:c r="AG451" s="7">
        <ns0:f>IF(Z451&gt;=0,A451,1001)</ns0:f>
        <ns0:v>447</ns0:v>
      </ns0:c>
      <ns0:c r="AH451" s="4">
        <ns0:f>IF(Z451&lt;0,A451,0)</ns0:f>
        <ns0:v>0</ns0:v>
      </ns0:c>
      <ns0:c r="AI451" s="12">
        <ns0:f>IF(AND(OR('前提と出典'!$C$36+'前提と出典'!$C$38=0,X451&gt;=0),OR('前提と出典'!$C$37+'前提と出典'!$C$38=0,Y451&gt;=0)),0,A451)</ns0:f>
        <ns0:v>0</ns0:v>
      </ns0:c>
    </ns0:row>
    <ns0:row r="452" ht="24" customHeight="1">
      <ns0:c r="A452" s="4" t="n">
        <ns0:v>448</ns0:v>
      </ns0:c>
      <ns0:c r="B452" s="12">
        <ns0:f>A452*('前提と出典'!$C$36+'前提と出典'!$C$38)</ns0:f>
        <ns0:v>313.59999999999997</ns0:v>
      </ns0:c>
      <ns0:c r="C452" s="12">
        <ns0:f>A452*('前提と出典'!$C$37+'前提と出典'!$C$38)</ns0:f>
        <ns0:v>268.8</ns0:v>
      </ns0:c>
      <ns0:c r="D452" s="16">
        <ns0:f>A452*('前提と出典'!$C$36*'契約別単価'!C5+'前提と出典'!$C$37*'契約別単価'!C6+'前提と出典'!$C$38*'契約別単価'!C7)</ns0:f>
        <ns0:v>3223.5977653631285</ns0:v>
      </ns0:c>
      <ns0:c r="E452" s="16">
        <ns0:f>A452*('前提と出典'!$C$36*'契約別単価'!E5+'前提と出典'!$C$37*'契約別単価'!E6+'前提と出典'!$C$38*'契約別単価'!E7)</ns0:f>
        <ns0:v>1126215.0696119291</ns0:v>
      </ns0:c>
      <ns0:c r="F452" s="16">
        <ns0:f>A452*('前提と出典'!$C$36*'契約別単価'!F5+'前提と出典'!$C$37*'契約別単価'!F6+'前提と出典'!$C$38*'契約別単価'!F7)</ns0:f>
        <ns0:v>327249.31151156523</ns0:v>
      </ns0:c>
      <ns0:c r="G452" s="16">
        <ns0:f>A452*('前提と出典'!$C$36*'契約別単価'!G5+'前提と出典'!$C$37*'契約別単価'!G6+'前提と出典'!$C$38*'契約別単価'!G7)</ns0:f>
        <ns0:v>891745.251396648</ns0:v>
      </ns0:c>
      <ns0:c r="H452" s="16">
        <ns0:f>A452*('前提と出典'!$C$36*'契約別単価'!H5+'前提と出典'!$C$37*'契約別単価'!H6+'前提と出典'!$C$38*'契約別単価'!H7)</ns0:f>
        <ns0:v>309480.32677353243</ns0:v>
      </ns0:c>
      <ns0:c r="I452" s="16">
        <ns0:f>A452*('前提と出典'!$C$36*'契約別単価'!I5+'前提と出典'!$C$37*'契約別単価'!I6+'前提と出典'!$C$38*'契約別単価'!I7)</ns0:f>
        <ns0:v>18903.597765363127</ns0:v>
      </ns0:c>
      <ns0:c r="J452" s="16">
        <ns0:f>A452*('前提と出典'!$C$36*'契約別単価'!J5+'前提と出典'!$C$37*'契約別単価'!J6+'前提と出典'!$C$38*'契約別単価'!J7)</ns0:f>
        <ns0:v>44033.71558221555</ns0:v>
      </ns0:c>
      <ns0:c r="K452" s="16">
        <ns0:f>A452*('前提と出典'!$C$36*'契約別単価'!K5+'前提と出典'!$C$37*'契約別単価'!K6+'前提と出典'!$C$38*'契約別単価'!K7)</ns0:f>
        <ns0:v>188743.98510242085</ns0:v>
      </ns0:c>
      <ns0:c r="L452" s="16">
        <ns0:f>A452*('前提と出典'!$C$36*'契約別単価'!L5+'前提と出典'!$C$37*'契約別単価'!L6+'前提と出典'!$C$38*'契約別単価'!L7)</ns0:f>
        <ns0:v>153676.01089245107</ns0:v>
      </ns0:c>
      <ns0:c r="M452" s="16">
        <ns0:f>IF(('前提と出典'!$C$36+'前提と出典'!$C$38)=0,0,IF(B452&lt;=10,'前提と出典'!B73+'前提と出典'!C73,IF(B452&lt;=100,'前提と出典'!B74+'前提と出典'!C74,IF(B452&lt;=500,'前提と出典'!B75+'前提と出典'!C75,'前提と出典'!B76+'前提と出典'!C76))))</ns0:f>
        <ns0:v>40000</ns0:v>
      </ns0:c>
      <ns0:c r="N452" s="16">
        <ns0:f>IF(('前提と出典'!$C$37+'前提と出典'!$C$38)=0,0,IF(C452&lt;=10,'前提と出典'!D73+'前提と出典'!E73,IF(C452&lt;=100,'前提と出典'!D74+'前提と出典'!E74,IF(C452&lt;=500,'前提と出典'!D75+'前提と出典'!E75,'前提と出典'!D76+'前提と出典'!E76))))</ns0:f>
        <ns0:v>56510.9346263078</ns0:v>
      </ns0:c>
      <ns0:c r="O452" s="16">
        <ns0:f>IF('前提と出典'!$C$36+'前提と出典'!$C$38=0,0,'前提と出典'!$B$4*IF('前提と出典'!$B$20=0,MAX('前提と出典'!$B$6,D452*'前提と出典'!$B$5),'前提と出典'!$B$6+D452*'前提と出典'!$B$5))</ns0:f>
        <ns0:v>444856.49162011174</ns0:v>
      </ns0:c>
      <ns0:c r="P452" s="16">
        <ns0:f>(E452+G452)*(1-'前提と出典'!$B$7)-I452-K452-M452-O452</ns0:f>
        <ns0:v>1252809.6749643725</ns0:v>
      </ns0:c>
      <ns0:c r="Q452" s="16">
        <ns0:f>(F452+H452)*(1-'前提と出典'!$B$7)-J452-L452-N452</ns0:f>
        <ns0:v>359586.71020585974</ns0:v>
      </ns0:c>
      <ns0:c r="R452" s="16">
        <ns0:f>P452-E452*'前提と出典'!$E$4</ns0:f>
        <ns0:v>914945.1540807937</ns0:v>
      </ns0:c>
      <ns0:c r="S452" s="16">
        <ns0:f>Q452-F452*'前提と出典'!$E$4</ns0:f>
        <ns0:v>261411.9167523902</ns0:v>
      </ns0:c>
      <ns0:c r="T452" s="7">
        <ns0:f>R452+S452</ns0:f>
        <ns0:v>1176357.0708331838</ns0:v>
      </ns0:c>
      <ns0:c r="U452" s="16">
        <ns0:f>P452-E452*'前提と出典'!$E$5</ns0:f>
        <ns0:v>802323.6471196008</ns0:v>
      </ns0:c>
      <ns0:c r="V452" s="16">
        <ns0:f>Q452-F452*'前提と出典'!$E$5</ns0:f>
        <ns0:v>228686.98560123367</ns0:v>
      </ns0:c>
      <ns0:c r="W452" s="7">
        <ns0:f>U452+V452</ns0:f>
        <ns0:v>1031010.6327208345</ns0:v>
      </ns0:c>
      <ns0:c r="X452" s="16">
        <ns0:f>P452-E452*'前提と出典'!$E$6</ns0:f>
        <ns0:v>689702.1401584079</ns0:v>
      </ns0:c>
      <ns0:c r="Y452" s="16">
        <ns0:f>Q452-F452*'前提と出典'!$E$6</ns0:f>
        <ns0:v>195962.0544500771</ns0:v>
      </ns0:c>
      <ns0:c r="Z452" s="7">
        <ns0:f>X452+Y452</ns0:f>
        <ns0:v>885664.194608485</ns0:v>
      </ns0:c>
      <ns0:c r="AA452" s="7">
        <ns0:f>IF(T452&gt;=0,A452,1001)</ns0:f>
        <ns0:v>448</ns0:v>
      </ns0:c>
      <ns0:c r="AB452" s="7">
        <ns0:f>IF(T452&lt;0,A452,0)</ns0:f>
        <ns0:v>0</ns0:v>
      </ns0:c>
      <ns0:c r="AC452" s="16">
        <ns0:f>IF(AND(OR('前提と出典'!$C$36+'前提と出典'!$C$38=0,R452&gt;=0),OR('前提と出典'!$C$37+'前提と出典'!$C$38=0,S452&gt;=0)),0,A452)</ns0:f>
        <ns0:v>0</ns0:v>
      </ns0:c>
      <ns0:c r="AD452" s="7">
        <ns0:f>IF(W452&gt;=0,A452,1001)</ns0:f>
        <ns0:v>448</ns0:v>
      </ns0:c>
      <ns0:c r="AE452" s="7">
        <ns0:f>IF(W452&lt;0,A452,0)</ns0:f>
        <ns0:v>0</ns0:v>
      </ns0:c>
      <ns0:c r="AF452" s="16">
        <ns0:f>IF(AND(OR('前提と出典'!$C$36+'前提と出典'!$C$38=0,U452&gt;=0),OR('前提と出典'!$C$37+'前提と出典'!$C$38=0,V452&gt;=0)),0,A452)</ns0:f>
        <ns0:v>0</ns0:v>
      </ns0:c>
      <ns0:c r="AG452" s="7">
        <ns0:f>IF(Z452&gt;=0,A452,1001)</ns0:f>
        <ns0:v>448</ns0:v>
      </ns0:c>
      <ns0:c r="AH452" s="4">
        <ns0:f>IF(Z452&lt;0,A452,0)</ns0:f>
        <ns0:v>0</ns0:v>
      </ns0:c>
      <ns0:c r="AI452" s="12">
        <ns0:f>IF(AND(OR('前提と出典'!$C$36+'前提と出典'!$C$38=0,X452&gt;=0),OR('前提と出典'!$C$37+'前提と出典'!$C$38=0,Y452&gt;=0)),0,A452)</ns0:f>
        <ns0:v>0</ns0:v>
      </ns0:c>
    </ns0:row>
    <ns0:row r="453" ht="24" customHeight="1">
      <ns0:c r="A453" s="4" t="n">
        <ns0:v>449</ns0:v>
      </ns0:c>
      <ns0:c r="B453" s="12">
        <ns0:f>A453*('前提と出典'!$C$36+'前提と出典'!$C$38)</ns0:f>
        <ns0:v>314.29999999999995</ns0:v>
      </ns0:c>
      <ns0:c r="C453" s="12">
        <ns0:f>A453*('前提と出典'!$C$37+'前提と出典'!$C$38)</ns0:f>
        <ns0:v>269.4</ns0:v>
      </ns0:c>
      <ns0:c r="D453" s="16">
        <ns0:f>A453*('前提と出典'!$C$36*'契約別単価'!C5+'前提と出典'!$C$37*'契約別単価'!C6+'前提と出典'!$C$38*'契約別単価'!C7)</ns0:f>
        <ns0:v>3230.7932960893854</ns0:v>
      </ns0:c>
      <ns0:c r="E453" s="16">
        <ns0:f>A453*('前提と出典'!$C$36*'契約別単価'!E5+'前提と出典'!$C$37*'契約別単価'!E6+'前提と出典'!$C$38*'契約別単価'!E7)</ns0:f>
        <ns0:v>1128728.9425351701</ns0:v>
      </ns0:c>
      <ns0:c r="F453" s="16">
        <ns0:f>A453*('前提と出典'!$C$36*'契約別単価'!F5+'前提と出典'!$C$37*'契約別単価'!F6+'前提と出典'!$C$38*'契約別単価'!F7)</ns0:f>
        <ns0:v>327979.7787247607</ns0:v>
      </ns0:c>
      <ns0:c r="G453" s="16">
        <ns0:f>A453*('前提と出典'!$C$36*'契約別単価'!G5+'前提と出典'!$C$37*'契約別単価'!G6+'前提と出典'!$C$38*'契約別単価'!G7)</ns0:f>
        <ns0:v>893735.7541899441</ns0:v>
      </ns0:c>
      <ns0:c r="H453" s="16">
        <ns0:f>A453*('前提と出典'!$C$36*'契約別単価'!H5+'前提と出典'!$C$37*'契約別単価'!H6+'前提と出典'!$C$38*'契約別単価'!H7)</ns0:f>
        <ns0:v>310171.13107436616</ns0:v>
      </ns0:c>
      <ns0:c r="I453" s="16">
        <ns0:f>A453*('前提と出典'!$C$36*'契約別単価'!I5+'前提と出典'!$C$37*'契約別単価'!I6+'前提と出典'!$C$38*'契約別単価'!I7)</ns0:f>
        <ns0:v>18945.79329608938</ns0:v>
      </ns0:c>
      <ns0:c r="J453" s="16">
        <ns0:f>A453*('前提と出典'!$C$36*'契約別単価'!J5+'前提と出典'!$C$37*'契約別単価'!J6+'前提と出典'!$C$38*'契約別単価'!J7)</ns0:f>
        <ns0:v>44132.005125925854</ns0:v>
      </ns0:c>
      <ns0:c r="K453" s="16">
        <ns0:f>A453*('前提と出典'!$C$36*'契約別単価'!K5+'前提と出典'!$C$37*'契約別単価'!K6+'前提と出典'!$C$38*'契約別単価'!K7)</ns0:f>
        <ns0:v>189165.28864059589</ns0:v>
      </ns0:c>
      <ns0:c r="L453" s="16">
        <ns0:f>A453*('前提と出典'!$C$36*'契約別単価'!L5+'前提と出典'!$C$37*'契約別単価'!L6+'前提と出典'!$C$38*'契約別単価'!L7)</ns0:f>
        <ns0:v>154019.03770247888</ns0:v>
      </ns0:c>
      <ns0:c r="M453" s="16">
        <ns0:f>IF(('前提と出典'!$C$36+'前提と出典'!$C$38)=0,0,IF(B453&lt;=10,'前提と出典'!B73+'前提と出典'!C73,IF(B453&lt;=100,'前提と出典'!B74+'前提と出典'!C74,IF(B453&lt;=500,'前提と出典'!B75+'前提と出典'!C75,'前提と出典'!B76+'前提と出典'!C76))))</ns0:f>
        <ns0:v>40000</ns0:v>
      </ns0:c>
      <ns0:c r="N453" s="16">
        <ns0:f>IF(('前提と出典'!$C$37+'前提と出典'!$C$38)=0,0,IF(C453&lt;=10,'前提と出典'!D73+'前提と出典'!E73,IF(C453&lt;=100,'前提と出典'!D74+'前提と出典'!E74,IF(C453&lt;=500,'前提と出典'!D75+'前提と出典'!E75,'前提と出典'!D76+'前提と出典'!E76))))</ns0:f>
        <ns0:v>56510.9346263078</ns0:v>
      </ns0:c>
      <ns0:c r="O453" s="16">
        <ns0:f>IF('前提と出典'!$C$36+'前提と出典'!$C$38=0,0,'前提と出典'!$B$4*IF('前提と出典'!$B$20=0,MAX('前提と出典'!$B$6,D453*'前提と出典'!$B$5),'前提と出典'!$B$6+D453*'前提と出典'!$B$5))</ns0:f>
        <ns0:v>445849.47486033523</ns0:v>
      </ns0:c>
      <ns0:c r="P453" s="16">
        <ns0:f>(E453+G453)*(1-'前提と出典'!$B$7)-I453-K453-M453-O453</ns0:f>
        <ns0:v>1255695.4108459896</ns0:v>
      </ns0:c>
      <ns0:c r="Q453" s="16">
        <ns0:f>(F453+H453)*(1-'前提と出典'!$B$7)-J453-L453-N453</ns0:f>
        <ns0:v>360515.4995916458</ns0:v>
      </ns0:c>
      <ns0:c r="R453" s="16">
        <ns0:f>P453-E453*'前提と出典'!$E$4</ns0:f>
        <ns0:v>917076.7280854385</ns0:v>
      </ns0:c>
      <ns0:c r="S453" s="16">
        <ns0:f>Q453-F453*'前提と出典'!$E$4</ns0:f>
        <ns0:v>262121.5659742176</ns0:v>
      </ns0:c>
      <ns0:c r="T453" s="7">
        <ns0:f>R453+S453</ns0:f>
        <ns0:v>1179198.294059656</ns0:v>
      </ns0:c>
      <ns0:c r="U453" s="16">
        <ns0:f>P453-E453*'前提と出典'!$E$5</ns0:f>
        <ns0:v>804203.8338319215</ns0:v>
      </ns0:c>
      <ns0:c r="V453" s="16">
        <ns0:f>Q453-F453*'前提と出典'!$E$5</ns0:f>
        <ns0:v>229323.5881017415</ns0:v>
      </ns0:c>
      <ns0:c r="W453" s="7">
        <ns0:f>U453+V453</ns0:f>
        <ns0:v>1033527.421933663</ns0:v>
      </ns0:c>
      <ns0:c r="X453" s="16">
        <ns0:f>P453-E453*'前提と出典'!$E$6</ns0:f>
        <ns0:v>691330.9395784044</ns0:v>
      </ns0:c>
      <ns0:c r="Y453" s="16">
        <ns0:f>Q453-F453*'前提と出典'!$E$6</ns0:f>
        <ns0:v>196525.6102292654</ns0:v>
      </ns0:c>
      <ns0:c r="Z453" s="7">
        <ns0:f>X453+Y453</ns0:f>
        <ns0:v>887856.5498076698</ns0:v>
      </ns0:c>
      <ns0:c r="AA453" s="7">
        <ns0:f>IF(T453&gt;=0,A453,1001)</ns0:f>
        <ns0:v>449</ns0:v>
      </ns0:c>
      <ns0:c r="AB453" s="7">
        <ns0:f>IF(T453&lt;0,A453,0)</ns0:f>
        <ns0:v>0</ns0:v>
      </ns0:c>
      <ns0:c r="AC453" s="16">
        <ns0:f>IF(AND(OR('前提と出典'!$C$36+'前提と出典'!$C$38=0,R453&gt;=0),OR('前提と出典'!$C$37+'前提と出典'!$C$38=0,S453&gt;=0)),0,A453)</ns0:f>
        <ns0:v>0</ns0:v>
      </ns0:c>
      <ns0:c r="AD453" s="7">
        <ns0:f>IF(W453&gt;=0,A453,1001)</ns0:f>
        <ns0:v>449</ns0:v>
      </ns0:c>
      <ns0:c r="AE453" s="7">
        <ns0:f>IF(W453&lt;0,A453,0)</ns0:f>
        <ns0:v>0</ns0:v>
      </ns0:c>
      <ns0:c r="AF453" s="16">
        <ns0:f>IF(AND(OR('前提と出典'!$C$36+'前提と出典'!$C$38=0,U453&gt;=0),OR('前提と出典'!$C$37+'前提と出典'!$C$38=0,V453&gt;=0)),0,A453)</ns0:f>
        <ns0:v>0</ns0:v>
      </ns0:c>
      <ns0:c r="AG453" s="7">
        <ns0:f>IF(Z453&gt;=0,A453,1001)</ns0:f>
        <ns0:v>449</ns0:v>
      </ns0:c>
      <ns0:c r="AH453" s="4">
        <ns0:f>IF(Z453&lt;0,A453,0)</ns0:f>
        <ns0:v>0</ns0:v>
      </ns0:c>
      <ns0:c r="AI453" s="12">
        <ns0:f>IF(AND(OR('前提と出典'!$C$36+'前提と出典'!$C$38=0,X453&gt;=0),OR('前提と出典'!$C$37+'前提と出典'!$C$38=0,Y453&gt;=0)),0,A453)</ns0:f>
        <ns0:v>0</ns0:v>
      </ns0:c>
    </ns0:row>
    <ns0:row r="454" ht="24" customHeight="1">
      <ns0:c r="A454" s="4" t="n">
        <ns0:v>450</ns0:v>
      </ns0:c>
      <ns0:c r="B454" s="12">
        <ns0:f>A454*('前提と出典'!$C$36+'前提と出典'!$C$38)</ns0:f>
        <ns0:v>315</ns0:v>
      </ns0:c>
      <ns0:c r="C454" s="12">
        <ns0:f>A454*('前提と出典'!$C$37+'前提と出典'!$C$38)</ns0:f>
        <ns0:v>270</ns0:v>
      </ns0:c>
      <ns0:c r="D454" s="16">
        <ns0:f>A454*('前提と出典'!$C$36*'契約別単価'!C5+'前提と出典'!$C$37*'契約別単価'!C6+'前提と出典'!$C$38*'契約別単価'!C7)</ns0:f>
        <ns0:v>3237.9888268156424</ns0:v>
      </ns0:c>
      <ns0:c r="E454" s="16">
        <ns0:f>A454*('前提と出典'!$C$36*'契約別単価'!E5+'前提と出典'!$C$37*'契約別単価'!E6+'前提と出典'!$C$38*'契約別単価'!E7)</ns0:f>
        <ns0:v>1131242.815458411</ns0:v>
      </ns0:c>
      <ns0:c r="F454" s="16">
        <ns0:f>A454*('前提と出典'!$C$36*'契約別単価'!F5+'前提と出典'!$C$37*'契約別単価'!F6+'前提と出典'!$C$38*'契約別単価'!F7)</ns0:f>
        <ns0:v>328710.24593795615</ns0:v>
      </ns0:c>
      <ns0:c r="G454" s="16">
        <ns0:f>A454*('前提と出典'!$C$36*'契約別単価'!G5+'前提と出典'!$C$37*'契約別単価'!G6+'前提と出典'!$C$38*'契約別単価'!G7)</ns0:f>
        <ns0:v>895726.2569832401</ns0:v>
      </ns0:c>
      <ns0:c r="H454" s="16">
        <ns0:f>A454*('前提と出典'!$C$36*'契約別単価'!H5+'前提と出典'!$C$37*'契約別単価'!H6+'前提と出典'!$C$38*'契約別単価'!H7)</ns0:f>
        <ns0:v>310861.93537519994</ns0:v>
      </ns0:c>
      <ns0:c r="I454" s="16">
        <ns0:f>A454*('前提と出典'!$C$36*'契約別単価'!I5+'前提と出典'!$C$37*'契約別単価'!I6+'前提と出典'!$C$38*'契約別単価'!I7)</ns0:f>
        <ns0:v>18987.98882681564</ns0:v>
      </ns0:c>
      <ns0:c r="J454" s="16">
        <ns0:f>A454*('前提と出典'!$C$36*'契約別単価'!J5+'前提と出典'!$C$37*'契約別単価'!J6+'前提と出典'!$C$38*'契約別単価'!J7)</ns0:f>
        <ns0:v>44230.294669636154</ns0:v>
      </ns0:c>
      <ns0:c r="K454" s="16">
        <ns0:f>A454*('前提と出典'!$C$36*'契約別単価'!K5+'前提と出典'!$C$37*'契約別単価'!K6+'前提と出典'!$C$38*'契約別単価'!K7)</ns0:f>
        <ns0:v>189586.59217877092</ns0:v>
      </ns0:c>
      <ns0:c r="L454" s="16">
        <ns0:f>A454*('前提と出典'!$C$36*'契約別単価'!L5+'前提と出典'!$C$37*'契約別単価'!L6+'前提と出典'!$C$38*'契約別単価'!L7)</ns0:f>
        <ns0:v>154362.06451250665</ns0:v>
      </ns0:c>
      <ns0:c r="M454" s="16">
        <ns0:f>IF(('前提と出典'!$C$36+'前提と出典'!$C$38)=0,0,IF(B454&lt;=10,'前提と出典'!B73+'前提と出典'!C73,IF(B454&lt;=100,'前提と出典'!B74+'前提と出典'!C74,IF(B454&lt;=500,'前提と出典'!B75+'前提と出典'!C75,'前提と出典'!B76+'前提と出典'!C76))))</ns0:f>
        <ns0:v>40000</ns0:v>
      </ns0:c>
      <ns0:c r="N454" s="16">
        <ns0:f>IF(('前提と出典'!$C$37+'前提と出典'!$C$38)=0,0,IF(C454&lt;=10,'前提と出典'!D73+'前提と出典'!E73,IF(C454&lt;=100,'前提と出典'!D74+'前提と出典'!E74,IF(C454&lt;=500,'前提と出典'!D75+'前提と出典'!E75,'前提と出典'!D76+'前提と出典'!E76))))</ns0:f>
        <ns0:v>56510.9346263078</ns0:v>
      </ns0:c>
      <ns0:c r="O454" s="16">
        <ns0:f>IF('前提と出典'!$C$36+'前提と出典'!$C$38=0,0,'前提と出典'!$B$4*IF('前提と出典'!$B$20=0,MAX('前提と出典'!$B$6,D454*'前提と出典'!$B$5),'前提と出典'!$B$6+D454*'前提と出典'!$B$5))</ns0:f>
        <ns0:v>446842.4581005586</ns0:v>
      </ns0:c>
      <ns0:c r="P454" s="16">
        <ns0:f>(E454+G454)*(1-'前提と出典'!$B$7)-I454-K454-M454-O454</ns0:f>
        <ns0:v>1258581.1467276067</ns0:v>
      </ns0:c>
      <ns0:c r="Q454" s="16">
        <ns0:f>(F454+H454)*(1-'前提と出典'!$B$7)-J454-L454-N454</ns0:f>
        <ns0:v>361444.28897743183</ns0:v>
      </ns0:c>
      <ns0:c r="R454" s="16">
        <ns0:f>P454-E454*'前提と出典'!$E$4</ns0:f>
        <ns0:v>919208.3020900834</ns0:v>
      </ns0:c>
      <ns0:c r="S454" s="16">
        <ns0:f>Q454-F454*'前提と出典'!$E$4</ns0:f>
        <ns0:v>262831.21519604506</ns0:v>
      </ns0:c>
      <ns0:c r="T454" s="7">
        <ns0:f>R454+S454</ns0:f>
        <ns0:v>1182039.5172861284</ns0:v>
      </ns0:c>
      <ns0:c r="U454" s="16">
        <ns0:f>P454-E454*'前提と出典'!$E$5</ns0:f>
        <ns0:v>806084.0205442422</ns0:v>
      </ns0:c>
      <ns0:c r="V454" s="16">
        <ns0:f>Q454-F454*'前提と出典'!$E$5</ns0:f>
        <ns0:v>229960.1906022494</ns0:v>
      </ns0:c>
      <ns0:c r="W454" s="7">
        <ns0:f>U454+V454</ns0:f>
        <ns0:v>1036044.2111464916</ns0:v>
      </ns0:c>
      <ns0:c r="X454" s="16">
        <ns0:f>P454-E454*'前提と出典'!$E$6</ns0:f>
        <ns0:v>692959.7389984011</ns0:v>
      </ns0:c>
      <ns0:c r="Y454" s="16">
        <ns0:f>Q454-F454*'前提と出典'!$E$6</ns0:f>
        <ns0:v>197089.16600845382</ns0:v>
      </ns0:c>
      <ns0:c r="Z454" s="7">
        <ns0:f>X454+Y454</ns0:f>
        <ns0:v>890048.9050068549</ns0:v>
      </ns0:c>
      <ns0:c r="AA454" s="7">
        <ns0:f>IF(T454&gt;=0,A454,1001)</ns0:f>
        <ns0:v>450</ns0:v>
      </ns0:c>
      <ns0:c r="AB454" s="7">
        <ns0:f>IF(T454&lt;0,A454,0)</ns0:f>
        <ns0:v>0</ns0:v>
      </ns0:c>
      <ns0:c r="AC454" s="16">
        <ns0:f>IF(AND(OR('前提と出典'!$C$36+'前提と出典'!$C$38=0,R454&gt;=0),OR('前提と出典'!$C$37+'前提と出典'!$C$38=0,S454&gt;=0)),0,A454)</ns0:f>
        <ns0:v>0</ns0:v>
      </ns0:c>
      <ns0:c r="AD454" s="7">
        <ns0:f>IF(W454&gt;=0,A454,1001)</ns0:f>
        <ns0:v>450</ns0:v>
      </ns0:c>
      <ns0:c r="AE454" s="7">
        <ns0:f>IF(W454&lt;0,A454,0)</ns0:f>
        <ns0:v>0</ns0:v>
      </ns0:c>
      <ns0:c r="AF454" s="16">
        <ns0:f>IF(AND(OR('前提と出典'!$C$36+'前提と出典'!$C$38=0,U454&gt;=0),OR('前提と出典'!$C$37+'前提と出典'!$C$38=0,V454&gt;=0)),0,A454)</ns0:f>
        <ns0:v>0</ns0:v>
      </ns0:c>
      <ns0:c r="AG454" s="7">
        <ns0:f>IF(Z454&gt;=0,A454,1001)</ns0:f>
        <ns0:v>450</ns0:v>
      </ns0:c>
      <ns0:c r="AH454" s="4">
        <ns0:f>IF(Z454&lt;0,A454,0)</ns0:f>
        <ns0:v>0</ns0:v>
      </ns0:c>
      <ns0:c r="AI454" s="12">
        <ns0:f>IF(AND(OR('前提と出典'!$C$36+'前提と出典'!$C$38=0,X454&gt;=0),OR('前提と出典'!$C$37+'前提と出典'!$C$38=0,Y454&gt;=0)),0,A454)</ns0:f>
        <ns0:v>0</ns0:v>
      </ns0:c>
    </ns0:row>
    <ns0:row r="455" ht="24" customHeight="1">
      <ns0:c r="A455" s="4" t="n">
        <ns0:v>451</ns0:v>
      </ns0:c>
      <ns0:c r="B455" s="12">
        <ns0:f>A455*('前提と出典'!$C$36+'前提と出典'!$C$38)</ns0:f>
        <ns0:v>315.7</ns0:v>
      </ns0:c>
      <ns0:c r="C455" s="12">
        <ns0:f>A455*('前提と出典'!$C$37+'前提と出典'!$C$38)</ns0:f>
        <ns0:v>270.59999999999997</ns0:v>
      </ns0:c>
      <ns0:c r="D455" s="16">
        <ns0:f>A455*('前提と出典'!$C$36*'契約別単価'!C5+'前提と出典'!$C$37*'契約別単価'!C6+'前提と出典'!$C$38*'契約別単価'!C7)</ns0:f>
        <ns0:v>3245.1843575418993</ns0:v>
      </ns0:c>
      <ns0:c r="E455" s="16">
        <ns0:f>A455*('前提と出典'!$C$36*'契約別単価'!E5+'前提と出典'!$C$37*'契約別単価'!E6+'前提と出典'!$C$38*'契約別単価'!E7)</ns0:f>
        <ns0:v>1133756.6883816519</ns0:v>
      </ns0:c>
      <ns0:c r="F455" s="16">
        <ns0:f>A455*('前提と出典'!$C$36*'契約別単価'!F5+'前提と出典'!$C$37*'契約別単価'!F6+'前提と出典'!$C$38*'契約別単価'!F7)</ns0:f>
        <ns0:v>329440.7131511516</ns0:v>
      </ns0:c>
      <ns0:c r="G455" s="16">
        <ns0:f>A455*('前提と出典'!$C$36*'契約別単価'!G5+'前提と出典'!$C$37*'契約別単価'!G6+'前提と出典'!$C$38*'契約別単価'!G7)</ns0:f>
        <ns0:v>897716.7597765363</ns0:v>
      </ns0:c>
      <ns0:c r="H455" s="16">
        <ns0:f>A455*('前提と出典'!$C$36*'契約別単価'!H5+'前提と出典'!$C$37*'契約別単価'!H6+'前提と出典'!$C$38*'契約別単価'!H7)</ns0:f>
        <ns0:v>311552.7396760337</ns0:v>
      </ns0:c>
      <ns0:c r="I455" s="16">
        <ns0:f>A455*('前提と出典'!$C$36*'契約別単価'!I5+'前提と出典'!$C$37*'契約別単価'!I6+'前提と出典'!$C$38*'契約別単価'!I7)</ns0:f>
        <ns0:v>19030.184357541897</ns0:v>
      </ns0:c>
      <ns0:c r="J455" s="16">
        <ns0:f>A455*('前提と出典'!$C$36*'契約別単価'!J5+'前提と出典'!$C$37*'契約別単価'!J6+'前提と出典'!$C$38*'契約別単価'!J7)</ns0:f>
        <ns0:v>44328.58421334646</ns0:v>
      </ns0:c>
      <ns0:c r="K455" s="16">
        <ns0:f>A455*('前提と出典'!$C$36*'契約別単価'!K5+'前提と出典'!$C$37*'契約別単価'!K6+'前提と出典'!$C$38*'契約別単価'!K7)</ns0:f>
        <ns0:v>190007.895716946</ns0:v>
      </ns0:c>
      <ns0:c r="L455" s="16">
        <ns0:f>A455*('前提と出典'!$C$36*'契約別単価'!L5+'前提と出典'!$C$37*'契約別単価'!L6+'前提と出典'!$C$38*'契約別単価'!L7)</ns0:f>
        <ns0:v>154705.09132253446</ns0:v>
      </ns0:c>
      <ns0:c r="M455" s="16">
        <ns0:f>IF(('前提と出典'!$C$36+'前提と出典'!$C$38)=0,0,IF(B455&lt;=10,'前提と出典'!B73+'前提と出典'!C73,IF(B455&lt;=100,'前提と出典'!B74+'前提と出典'!C74,IF(B455&lt;=500,'前提と出典'!B75+'前提と出典'!C75,'前提と出典'!B76+'前提と出典'!C76))))</ns0:f>
        <ns0:v>40000</ns0:v>
      </ns0:c>
      <ns0:c r="N455" s="16">
        <ns0:f>IF(('前提と出典'!$C$37+'前提と出典'!$C$38)=0,0,IF(C455&lt;=10,'前提と出典'!D73+'前提と出典'!E73,IF(C455&lt;=100,'前提と出典'!D74+'前提と出典'!E74,IF(C455&lt;=500,'前提と出典'!D75+'前提と出典'!E75,'前提と出典'!D76+'前提と出典'!E76))))</ns0:f>
        <ns0:v>56510.9346263078</ns0:v>
      </ns0:c>
      <ns0:c r="O455" s="16">
        <ns0:f>IF('前提と出典'!$C$36+'前提と出典'!$C$38=0,0,'前提と出典'!$B$4*IF('前提と出典'!$B$20=0,MAX('前提と出典'!$B$6,D455*'前提と出典'!$B$5),'前提と出典'!$B$6+D455*'前提と出典'!$B$5))</ns0:f>
        <ns0:v>447835.4413407821</ns0:v>
      </ns0:c>
      <ns0:c r="P455" s="16">
        <ns0:f>(E455+G455)*(1-'前提と出典'!$B$7)-I455-K455-M455-O455</ns0:f>
        <ns0:v>1261466.8826092235</ns0:v>
      </ns0:c>
      <ns0:c r="Q455" s="16">
        <ns0:f>(F455+H455)*(1-'前提と出典'!$B$7)-J455-L455-N455</ns0:f>
        <ns0:v>362373.078363218</ns0:v>
      </ns0:c>
      <ns0:c r="R455" s="16">
        <ns0:f>P455-E455*'前提と出典'!$E$4</ns0:f>
        <ns0:v>921339.8760947279</ns0:v>
      </ns0:c>
      <ns0:c r="S455" s="16">
        <ns0:f>Q455-F455*'前提と出典'!$E$4</ns0:f>
        <ns0:v>263540.8644178725</ns0:v>
      </ns0:c>
      <ns0:c r="T455" s="7">
        <ns0:f>R455+S455</ns0:f>
        <ns0:v>1184880.7405126004</ns0:v>
      </ns0:c>
      <ns0:c r="U455" s="16">
        <ns0:f>P455-E455*'前提と出典'!$E$5</ns0:f>
        <ns0:v>807964.2072565627</ns0:v>
      </ns0:c>
      <ns0:c r="V455" s="16">
        <ns0:f>Q455-F455*'前提と出典'!$E$5</ns0:f>
        <ns0:v>230596.7931027573</ns0:v>
      </ns0:c>
      <ns0:c r="W455" s="7">
        <ns0:f>U455+V455</ns0:f>
        <ns0:v>1038561.00035932</ns0:v>
      </ns0:c>
      <ns0:c r="X455" s="16">
        <ns0:f>P455-E455*'前提と出典'!$E$6</ns0:f>
        <ns0:v>694588.5384183974</ns0:v>
      </ns0:c>
      <ns0:c r="Y455" s="16">
        <ns0:f>Q455-F455*'前提と出典'!$E$6</ns0:f>
        <ns0:v>197652.7217876422</ns0:v>
      </ns0:c>
      <ns0:c r="Z455" s="7">
        <ns0:f>X455+Y455</ns0:f>
        <ns0:v>892241.2602060396</ns0:v>
      </ns0:c>
      <ns0:c r="AA455" s="7">
        <ns0:f>IF(T455&gt;=0,A455,1001)</ns0:f>
        <ns0:v>451</ns0:v>
      </ns0:c>
      <ns0:c r="AB455" s="7">
        <ns0:f>IF(T455&lt;0,A455,0)</ns0:f>
        <ns0:v>0</ns0:v>
      </ns0:c>
      <ns0:c r="AC455" s="16">
        <ns0:f>IF(AND(OR('前提と出典'!$C$36+'前提と出典'!$C$38=0,R455&gt;=0),OR('前提と出典'!$C$37+'前提と出典'!$C$38=0,S455&gt;=0)),0,A455)</ns0:f>
        <ns0:v>0</ns0:v>
      </ns0:c>
      <ns0:c r="AD455" s="7">
        <ns0:f>IF(W455&gt;=0,A455,1001)</ns0:f>
        <ns0:v>451</ns0:v>
      </ns0:c>
      <ns0:c r="AE455" s="7">
        <ns0:f>IF(W455&lt;0,A455,0)</ns0:f>
        <ns0:v>0</ns0:v>
      </ns0:c>
      <ns0:c r="AF455" s="16">
        <ns0:f>IF(AND(OR('前提と出典'!$C$36+'前提と出典'!$C$38=0,U455&gt;=0),OR('前提と出典'!$C$37+'前提と出典'!$C$38=0,V455&gt;=0)),0,A455)</ns0:f>
        <ns0:v>0</ns0:v>
      </ns0:c>
      <ns0:c r="AG455" s="7">
        <ns0:f>IF(Z455&gt;=0,A455,1001)</ns0:f>
        <ns0:v>451</ns0:v>
      </ns0:c>
      <ns0:c r="AH455" s="4">
        <ns0:f>IF(Z455&lt;0,A455,0)</ns0:f>
        <ns0:v>0</ns0:v>
      </ns0:c>
      <ns0:c r="AI455" s="12">
        <ns0:f>IF(AND(OR('前提と出典'!$C$36+'前提と出典'!$C$38=0,X455&gt;=0),OR('前提と出典'!$C$37+'前提と出典'!$C$38=0,Y455&gt;=0)),0,A455)</ns0:f>
        <ns0:v>0</ns0:v>
      </ns0:c>
    </ns0:row>
    <ns0:row r="456" ht="24" customHeight="1">
      <ns0:c r="A456" s="4" t="n">
        <ns0:v>452</ns0:v>
      </ns0:c>
      <ns0:c r="B456" s="12">
        <ns0:f>A456*('前提と出典'!$C$36+'前提と出典'!$C$38)</ns0:f>
        <ns0:v>316.4</ns0:v>
      </ns0:c>
      <ns0:c r="C456" s="12">
        <ns0:f>A456*('前提と出典'!$C$37+'前提と出典'!$C$38)</ns0:f>
        <ns0:v>271.2</ns0:v>
      </ns0:c>
      <ns0:c r="D456" s="16">
        <ns0:f>A456*('前提と出典'!$C$36*'契約別単価'!C5+'前提と出典'!$C$37*'契約別単価'!C6+'前提と出典'!$C$38*'契約別単価'!C7)</ns0:f>
        <ns0:v>3252.3798882681563</ns0:v>
      </ns0:c>
      <ns0:c r="E456" s="16">
        <ns0:f>A456*('前提と出典'!$C$36*'契約別単価'!E5+'前提と出典'!$C$37*'契約別単価'!E6+'前提と出典'!$C$38*'契約別単価'!E7)</ns0:f>
        <ns0:v>1136270.5613048929</ns0:v>
      </ns0:c>
      <ns0:c r="F456" s="16">
        <ns0:f>A456*('前提と出典'!$C$36*'契約別単価'!F5+'前提と出典'!$C$37*'契約別単価'!F6+'前提と出典'!$C$38*'契約別単価'!F7)</ns0:f>
        <ns0:v>330171.18036434706</ns0:v>
      </ns0:c>
      <ns0:c r="G456" s="16">
        <ns0:f>A456*('前提と出典'!$C$36*'契約別単価'!G5+'前提と出典'!$C$37*'契約別単価'!G6+'前提と出典'!$C$38*'契約別単価'!G7)</ns0:f>
        <ns0:v>899707.2625698324</ns0:v>
      </ns0:c>
      <ns0:c r="H456" s="16">
        <ns0:f>A456*('前提と出典'!$C$36*'契約別単価'!H5+'前提と出典'!$C$37*'契約別単価'!H6+'前提と出典'!$C$38*'契約別単価'!H7)</ns0:f>
        <ns0:v>312243.5439768675</ns0:v>
      </ns0:c>
      <ns0:c r="I456" s="16">
        <ns0:f>A456*('前提と出典'!$C$36*'契約別単価'!I5+'前提と出典'!$C$37*'契約別単価'!I6+'前提と出典'!$C$38*'契約別単価'!I7)</ns0:f>
        <ns0:v>19072.379888268155</ns0:v>
      </ns0:c>
      <ns0:c r="J456" s="16">
        <ns0:f>A456*('前提と出典'!$C$36*'契約別単価'!J5+'前提と出典'!$C$37*'契約別単価'!J6+'前提と出典'!$C$38*'契約別単価'!J7)</ns0:f>
        <ns0:v>44426.87375705676</ns0:v>
      </ns0:c>
      <ns0:c r="K456" s="16">
        <ns0:f>A456*('前提と出典'!$C$36*'契約別単価'!K5+'前提と出典'!$C$37*'契約別単価'!K6+'前提と出典'!$C$38*'契約別単価'!K7)</ns0:f>
        <ns0:v>190429.19925512103</ns0:v>
      </ns0:c>
      <ns0:c r="L456" s="16">
        <ns0:f>A456*('前提と出典'!$C$36*'契約別単価'!L5+'前提と出典'!$C$37*'契約別単価'!L6+'前提と出典'!$C$38*'契約別単価'!L7)</ns0:f>
        <ns0:v>155048.11813256223</ns0:v>
      </ns0:c>
      <ns0:c r="M456" s="16">
        <ns0:f>IF(('前提と出典'!$C$36+'前提と出典'!$C$38)=0,0,IF(B456&lt;=10,'前提と出典'!B73+'前提と出典'!C73,IF(B456&lt;=100,'前提と出典'!B74+'前提と出典'!C74,IF(B456&lt;=500,'前提と出典'!B75+'前提と出典'!C75,'前提と出典'!B76+'前提と出典'!C76))))</ns0:f>
        <ns0:v>40000</ns0:v>
      </ns0:c>
      <ns0:c r="N456" s="16">
        <ns0:f>IF(('前提と出典'!$C$37+'前提と出典'!$C$38)=0,0,IF(C456&lt;=10,'前提と出典'!D73+'前提と出典'!E73,IF(C456&lt;=100,'前提と出典'!D74+'前提と出典'!E74,IF(C456&lt;=500,'前提と出典'!D75+'前提と出典'!E75,'前提と出典'!D76+'前提と出典'!E76))))</ns0:f>
        <ns0:v>56510.9346263078</ns0:v>
      </ns0:c>
      <ns0:c r="O456" s="16">
        <ns0:f>IF('前提と出典'!$C$36+'前提と出典'!$C$38=0,0,'前提と出典'!$B$4*IF('前提と出典'!$B$20=0,MAX('前提と出典'!$B$6,D456*'前提と出典'!$B$5),'前提と出典'!$B$6+D456*'前提と出典'!$B$5))</ns0:f>
        <ns0:v>448828.4245810056</ns0:v>
      </ns0:c>
      <ns0:c r="P456" s="16">
        <ns0:f>(E456+G456)*(1-'前提と出典'!$B$7)-I456-K456-M456-O456</ns0:f>
        <ns0:v>1264352.6184908405</ns0:v>
      </ns0:c>
      <ns0:c r="Q456" s="16">
        <ns0:f>(F456+H456)*(1-'前提と出典'!$B$7)-J456-L456-N456</ns0:f>
        <ns0:v>363301.8677490041</ns0:v>
      </ns0:c>
      <ns0:c r="R456" s="16">
        <ns0:f>P456-E456*'前提と出典'!$E$4</ns0:f>
        <ns0:v>923471.4500993727</ns0:v>
      </ns0:c>
      <ns0:c r="S456" s="16">
        <ns0:f>Q456-F456*'前提と出典'!$E$4</ns0:f>
        <ns0:v>264250.5136396999</ns0:v>
      </ns0:c>
      <ns0:c r="T456" s="7">
        <ns0:f>R456+S456</ns0:f>
        <ns0:v>1187721.9637390724</ns0:v>
      </ns0:c>
      <ns0:c r="U456" s="16">
        <ns0:f>P456-E456*'前提と出典'!$E$5</ns0:f>
        <ns0:v>809844.3939688833</ns0:v>
      </ns0:c>
      <ns0:c r="V456" s="16">
        <ns0:f>Q456-F456*'前提と出典'!$E$5</ns0:f>
        <ns0:v>231233.39560326526</ns0:v>
      </ns0:c>
      <ns0:c r="W456" s="7">
        <ns0:f>U456+V456</ns0:f>
        <ns0:v>1041077.7895721486</ns0:v>
      </ns0:c>
      <ns0:c r="X456" s="16">
        <ns0:f>P456-E456*'前提と出典'!$E$6</ns0:f>
        <ns0:v>696217.337838394</ns0:v>
      </ns0:c>
      <ns0:c r="Y456" s="16">
        <ns0:f>Q456-F456*'前提と出典'!$E$6</ns0:f>
        <ns0:v>198216.27756683054</ns0:v>
      </ns0:c>
      <ns0:c r="Z456" s="7">
        <ns0:f>X456+Y456</ns0:f>
        <ns0:v>894433.6154052245</ns0:v>
      </ns0:c>
      <ns0:c r="AA456" s="7">
        <ns0:f>IF(T456&gt;=0,A456,1001)</ns0:f>
        <ns0:v>452</ns0:v>
      </ns0:c>
      <ns0:c r="AB456" s="7">
        <ns0:f>IF(T456&lt;0,A456,0)</ns0:f>
        <ns0:v>0</ns0:v>
      </ns0:c>
      <ns0:c r="AC456" s="16">
        <ns0:f>IF(AND(OR('前提と出典'!$C$36+'前提と出典'!$C$38=0,R456&gt;=0),OR('前提と出典'!$C$37+'前提と出典'!$C$38=0,S456&gt;=0)),0,A456)</ns0:f>
        <ns0:v>0</ns0:v>
      </ns0:c>
      <ns0:c r="AD456" s="7">
        <ns0:f>IF(W456&gt;=0,A456,1001)</ns0:f>
        <ns0:v>452</ns0:v>
      </ns0:c>
      <ns0:c r="AE456" s="7">
        <ns0:f>IF(W456&lt;0,A456,0)</ns0:f>
        <ns0:v>0</ns0:v>
      </ns0:c>
      <ns0:c r="AF456" s="16">
        <ns0:f>IF(AND(OR('前提と出典'!$C$36+'前提と出典'!$C$38=0,U456&gt;=0),OR('前提と出典'!$C$37+'前提と出典'!$C$38=0,V456&gt;=0)),0,A456)</ns0:f>
        <ns0:v>0</ns0:v>
      </ns0:c>
      <ns0:c r="AG456" s="7">
        <ns0:f>IF(Z456&gt;=0,A456,1001)</ns0:f>
        <ns0:v>452</ns0:v>
      </ns0:c>
      <ns0:c r="AH456" s="4">
        <ns0:f>IF(Z456&lt;0,A456,0)</ns0:f>
        <ns0:v>0</ns0:v>
      </ns0:c>
      <ns0:c r="AI456" s="12">
        <ns0:f>IF(AND(OR('前提と出典'!$C$36+'前提と出典'!$C$38=0,X456&gt;=0),OR('前提と出典'!$C$37+'前提と出典'!$C$38=0,Y456&gt;=0)),0,A456)</ns0:f>
        <ns0:v>0</ns0:v>
      </ns0:c>
    </ns0:row>
    <ns0:row r="457" ht="24" customHeight="1">
      <ns0:c r="A457" s="4" t="n">
        <ns0:v>453</ns0:v>
      </ns0:c>
      <ns0:c r="B457" s="12">
        <ns0:f>A457*('前提と出典'!$C$36+'前提と出典'!$C$38)</ns0:f>
        <ns0:v>317.09999999999997</ns0:v>
      </ns0:c>
      <ns0:c r="C457" s="12">
        <ns0:f>A457*('前提と出典'!$C$37+'前提と出典'!$C$38)</ns0:f>
        <ns0:v>271.8</ns0:v>
      </ns0:c>
      <ns0:c r="D457" s="16">
        <ns0:f>A457*('前提と出典'!$C$36*'契約別単価'!C5+'前提と出典'!$C$37*'契約別単価'!C6+'前提と出典'!$C$38*'契約別単価'!C7)</ns0:f>
        <ns0:v>3259.575418994413</ns0:v>
      </ns0:c>
      <ns0:c r="E457" s="16">
        <ns0:f>A457*('前提と出典'!$C$36*'契約別単価'!E5+'前提と出典'!$C$37*'契約別単価'!E6+'前提と出典'!$C$38*'契約別単価'!E7)</ns0:f>
        <ns0:v>1138784.4342281336</ns0:v>
      </ns0:c>
      <ns0:c r="F457" s="16">
        <ns0:f>A457*('前提と出典'!$C$36*'契約別単価'!F5+'前提と出典'!$C$37*'契約別単価'!F6+'前提と出典'!$C$38*'契約別単価'!F7)</ns0:f>
        <ns0:v>330901.6475775425</ns0:v>
      </ns0:c>
      <ns0:c r="G457" s="16">
        <ns0:f>A457*('前提と出典'!$C$36*'契約別単価'!G5+'前提と出典'!$C$37*'契約別単価'!G6+'前提と出典'!$C$38*'契約別単価'!G7)</ns0:f>
        <ns0:v>901697.7653631285</ns0:v>
      </ns0:c>
      <ns0:c r="H457" s="16">
        <ns0:f>A457*('前提と出典'!$C$36*'契約別単価'!H5+'前提と出典'!$C$37*'契約別単価'!H6+'前提と出典'!$C$38*'契約別単価'!H7)</ns0:f>
        <ns0:v>312934.3482777013</ns0:v>
      </ns0:c>
      <ns0:c r="I457" s="16">
        <ns0:f>A457*('前提と出典'!$C$36*'契約別単価'!I5+'前提と出典'!$C$37*'契約別単価'!I6+'前提と出典'!$C$38*'契約別単価'!I7)</ns0:f>
        <ns0:v>19114.57541899441</ns0:v>
      </ns0:c>
      <ns0:c r="J457" s="16">
        <ns0:f>A457*('前提と出典'!$C$36*'契約別単価'!J5+'前提と出典'!$C$37*'契約別単価'!J6+'前提と出典'!$C$38*'契約別単価'!J7)</ns0:f>
        <ns0:v>44525.16330076706</ns0:v>
      </ns0:c>
      <ns0:c r="K457" s="16">
        <ns0:f>A457*('前提と出典'!$C$36*'契約別単価'!K5+'前提と出典'!$C$37*'契約別単価'!K6+'前提と出典'!$C$38*'契約別単価'!K7)</ns0:f>
        <ns0:v>190850.50279329607</ns0:v>
      </ns0:c>
      <ns0:c r="L457" s="16">
        <ns0:f>A457*('前提と出典'!$C$36*'契約別単価'!L5+'前提と出典'!$C$37*'契約別単価'!L6+'前提と出典'!$C$38*'契約別単価'!L7)</ns0:f>
        <ns0:v>155391.14494259004</ns0:v>
      </ns0:c>
      <ns0:c r="M457" s="16">
        <ns0:f>IF(('前提と出典'!$C$36+'前提と出典'!$C$38)=0,0,IF(B457&lt;=10,'前提と出典'!B73+'前提と出典'!C73,IF(B457&lt;=100,'前提と出典'!B74+'前提と出典'!C74,IF(B457&lt;=500,'前提と出典'!B75+'前提と出典'!C75,'前提と出典'!B76+'前提と出典'!C76))))</ns0:f>
        <ns0:v>40000</ns0:v>
      </ns0:c>
      <ns0:c r="N457" s="16">
        <ns0:f>IF(('前提と出典'!$C$37+'前提と出典'!$C$38)=0,0,IF(C457&lt;=10,'前提と出典'!D73+'前提と出典'!E73,IF(C457&lt;=100,'前提と出典'!D74+'前提と出典'!E74,IF(C457&lt;=500,'前提と出典'!D75+'前提と出典'!E75,'前提と出典'!D76+'前提と出典'!E76))))</ns0:f>
        <ns0:v>56510.9346263078</ns0:v>
      </ns0:c>
      <ns0:c r="O457" s="16">
        <ns0:f>IF('前提と出典'!$C$36+'前提と出典'!$C$38=0,0,'前提と出典'!$B$4*IF('前提と出典'!$B$20=0,MAX('前提と出典'!$B$6,D457*'前提と出典'!$B$5),'前提と出典'!$B$6+D457*'前提と出典'!$B$5))</ns0:f>
        <ns0:v>449821.4078212291</ns0:v>
      </ns0:c>
      <ns0:c r="P457" s="16">
        <ns0:f>(E457+G457)*(1-'前提と出典'!$B$7)-I457-K457-M457-O457</ns0:f>
        <ns0:v>1267238.3543724576</ns0:v>
      </ns0:c>
      <ns0:c r="Q457" s="16">
        <ns0:f>(F457+H457)*(1-'前提と出典'!$B$7)-J457-L457-N457</ns0:f>
        <ns0:v>364230.6571347902</ns0:v>
      </ns0:c>
      <ns0:c r="R457" s="16">
        <ns0:f>P457-E457*'前提と出典'!$E$4</ns0:f>
        <ns0:v>925603.0241040174</ns0:v>
      </ns0:c>
      <ns0:c r="S457" s="16">
        <ns0:f>Q457-F457*'前提と出典'!$E$4</ns0:f>
        <ns0:v>264960.1628615274</ns0:v>
      </ns0:c>
      <ns0:c r="T457" s="7">
        <ns0:f>R457+S457</ns0:f>
        <ns0:v>1190563.1869655447</ns0:v>
      </ns0:c>
      <ns0:c r="U457" s="16">
        <ns0:f>P457-E457*'前提と出典'!$E$5</ns0:f>
        <ns0:v>811724.580681204</ns0:v>
      </ns0:c>
      <ns0:c r="V457" s="16">
        <ns0:f>Q457-F457*'前提と出典'!$E$5</ns0:f>
        <ns0:v>231869.99810377322</ns0:v>
      </ns0:c>
      <ns0:c r="W457" s="7">
        <ns0:f>U457+V457</ns0:f>
        <ns0:v>1043594.5787849772</ns0:v>
      </ns0:c>
      <ns0:c r="X457" s="16">
        <ns0:f>P457-E457*'前提と出典'!$E$6</ns0:f>
        <ns0:v>697846.1372583908</ns0:v>
      </ns0:c>
      <ns0:c r="Y457" s="16">
        <ns0:f>Q457-F457*'前提と出典'!$E$6</ns0:f>
        <ns0:v>198779.83334601892</ns0:v>
      </ns0:c>
      <ns0:c r="Z457" s="7">
        <ns0:f>X457+Y457</ns0:f>
        <ns0:v>896625.9706044097</ns0:v>
      </ns0:c>
      <ns0:c r="AA457" s="7">
        <ns0:f>IF(T457&gt;=0,A457,1001)</ns0:f>
        <ns0:v>453</ns0:v>
      </ns0:c>
      <ns0:c r="AB457" s="7">
        <ns0:f>IF(T457&lt;0,A457,0)</ns0:f>
        <ns0:v>0</ns0:v>
      </ns0:c>
      <ns0:c r="AC457" s="16">
        <ns0:f>IF(AND(OR('前提と出典'!$C$36+'前提と出典'!$C$38=0,R457&gt;=0),OR('前提と出典'!$C$37+'前提と出典'!$C$38=0,S457&gt;=0)),0,A457)</ns0:f>
        <ns0:v>0</ns0:v>
      </ns0:c>
      <ns0:c r="AD457" s="7">
        <ns0:f>IF(W457&gt;=0,A457,1001)</ns0:f>
        <ns0:v>453</ns0:v>
      </ns0:c>
      <ns0:c r="AE457" s="7">
        <ns0:f>IF(W457&lt;0,A457,0)</ns0:f>
        <ns0:v>0</ns0:v>
      </ns0:c>
      <ns0:c r="AF457" s="16">
        <ns0:f>IF(AND(OR('前提と出典'!$C$36+'前提と出典'!$C$38=0,U457&gt;=0),OR('前提と出典'!$C$37+'前提と出典'!$C$38=0,V457&gt;=0)),0,A457)</ns0:f>
        <ns0:v>0</ns0:v>
      </ns0:c>
      <ns0:c r="AG457" s="7">
        <ns0:f>IF(Z457&gt;=0,A457,1001)</ns0:f>
        <ns0:v>453</ns0:v>
      </ns0:c>
      <ns0:c r="AH457" s="4">
        <ns0:f>IF(Z457&lt;0,A457,0)</ns0:f>
        <ns0:v>0</ns0:v>
      </ns0:c>
      <ns0:c r="AI457" s="12">
        <ns0:f>IF(AND(OR('前提と出典'!$C$36+'前提と出典'!$C$38=0,X457&gt;=0),OR('前提と出典'!$C$37+'前提と出典'!$C$38=0,Y457&gt;=0)),0,A457)</ns0:f>
        <ns0:v>0</ns0:v>
      </ns0:c>
    </ns0:row>
    <ns0:row r="458" ht="24" customHeight="1">
      <ns0:c r="A458" s="4" t="n">
        <ns0:v>454</ns0:v>
      </ns0:c>
      <ns0:c r="B458" s="12">
        <ns0:f>A458*('前提と出典'!$C$36+'前提と出典'!$C$38)</ns0:f>
        <ns0:v>317.79999999999995</ns0:v>
      </ns0:c>
      <ns0:c r="C458" s="12">
        <ns0:f>A458*('前提と出典'!$C$37+'前提と出典'!$C$38)</ns0:f>
        <ns0:v>272.4</ns0:v>
      </ns0:c>
      <ns0:c r="D458" s="16">
        <ns0:f>A458*('前提と出典'!$C$36*'契約別単価'!C5+'前提と出典'!$C$37*'契約別単価'!C6+'前提と出典'!$C$38*'契約別単価'!C7)</ns0:f>
        <ns0:v>3266.77094972067</ns0:v>
      </ns0:c>
      <ns0:c r="E458" s="16">
        <ns0:f>A458*('前提と出典'!$C$36*'契約別単価'!E5+'前提と出典'!$C$37*'契約別単価'!E6+'前提と出典'!$C$38*'契約別単価'!E7)</ns0:f>
        <ns0:v>1141298.3071513746</ns0:v>
      </ns0:c>
      <ns0:c r="F458" s="16">
        <ns0:f>A458*('前提と出典'!$C$36*'契約別単価'!F5+'前提と出典'!$C$37*'契約別単価'!F6+'前提と出典'!$C$38*'契約別単価'!F7)</ns0:f>
        <ns0:v>331632.114790738</ns0:v>
      </ns0:c>
      <ns0:c r="G458" s="16">
        <ns0:f>A458*('前提と出典'!$C$36*'契約別単価'!G5+'前提と出典'!$C$37*'契約別単価'!G6+'前提と出典'!$C$38*'契約別単価'!G7)</ns0:f>
        <ns0:v>903688.2681564245</ns0:v>
      </ns0:c>
      <ns0:c r="H458" s="16">
        <ns0:f>A458*('前提と出典'!$C$36*'契約別単価'!H5+'前提と出典'!$C$37*'契約別単価'!H6+'前提と出典'!$C$38*'契約別単価'!H7)</ns0:f>
        <ns0:v>313625.1525785351</ns0:v>
      </ns0:c>
      <ns0:c r="I458" s="16">
        <ns0:f>A458*('前提と出典'!$C$36*'契約別単価'!I5+'前提と出典'!$C$37*'契約別単価'!I6+'前提と出典'!$C$38*'契約別単価'!I7)</ns0:f>
        <ns0:v>19156.770949720667</ns0:v>
      </ns0:c>
      <ns0:c r="J458" s="16">
        <ns0:f>A458*('前提と出典'!$C$36*'契約別単価'!J5+'前提と出典'!$C$37*'契約別単価'!J6+'前提と出典'!$C$38*'契約別単価'!J7)</ns0:f>
        <ns0:v>44623.45284447737</ns0:v>
      </ns0:c>
      <ns0:c r="K458" s="16">
        <ns0:f>A458*('前提と出典'!$C$36*'契約別単価'!K5+'前提と出典'!$C$37*'契約別単価'!K6+'前提と出典'!$C$38*'契約別単価'!K7)</ns0:f>
        <ns0:v>191271.80633147113</ns0:v>
      </ns0:c>
      <ns0:c r="L458" s="16">
        <ns0:f>A458*('前提と出典'!$C$36*'契約別単価'!L5+'前提と出典'!$C$37*'契約別単価'!L6+'前提と出典'!$C$38*'契約別単価'!L7)</ns0:f>
        <ns0:v>155734.17175261784</ns0:v>
      </ns0:c>
      <ns0:c r="M458" s="16">
        <ns0:f>IF(('前提と出典'!$C$36+'前提と出典'!$C$38)=0,0,IF(B458&lt;=10,'前提と出典'!B73+'前提と出典'!C73,IF(B458&lt;=100,'前提と出典'!B74+'前提と出典'!C74,IF(B458&lt;=500,'前提と出典'!B75+'前提と出典'!C75,'前提と出典'!B76+'前提と出典'!C76))))</ns0:f>
        <ns0:v>40000</ns0:v>
      </ns0:c>
      <ns0:c r="N458" s="16">
        <ns0:f>IF(('前提と出典'!$C$37+'前提と出典'!$C$38)=0,0,IF(C458&lt;=10,'前提と出典'!D73+'前提と出典'!E73,IF(C458&lt;=100,'前提と出典'!D74+'前提と出典'!E74,IF(C458&lt;=500,'前提と出典'!D75+'前提と出典'!E75,'前提と出典'!D76+'前提と出典'!E76))))</ns0:f>
        <ns0:v>56510.9346263078</ns0:v>
      </ns0:c>
      <ns0:c r="O458" s="16">
        <ns0:f>IF('前提と出典'!$C$36+'前提と出典'!$C$38=0,0,'前提と出典'!$B$4*IF('前提と出典'!$B$20=0,MAX('前提と出典'!$B$6,D458*'前提と出典'!$B$5),'前提と出典'!$B$6+D458*'前提と出典'!$B$5))</ns0:f>
        <ns0:v>450814.3910614525</ns0:v>
      </ns0:c>
      <ns0:c r="P458" s="16">
        <ns0:f>(E458+G458)*(1-'前提と出典'!$B$7)-I458-K458-M458-O458</ns0:f>
        <ns0:v>1270124.0902540742</ns0:v>
      </ns0:c>
      <ns0:c r="Q458" s="16">
        <ns0:f>(F458+H458)*(1-'前提と出典'!$B$7)-J458-L458-N458</ns0:f>
        <ns0:v>365159.44652057625</ns0:v>
      </ns0:c>
      <ns0:c r="R458" s="16">
        <ns0:f>P458-E458*'前提と出典'!$E$4</ns0:f>
        <ns0:v>927734.5981086618</ns0:v>
      </ns0:c>
      <ns0:c r="S458" s="16">
        <ns0:f>Q458-F458*'前提と出典'!$E$4</ns0:f>
        <ns0:v>265669.8120833549</ns0:v>
      </ns0:c>
      <ns0:c r="T458" s="7">
        <ns0:f>R458+S458</ns0:f>
        <ns0:v>1193404.4101920167</ns0:v>
      </ns0:c>
      <ns0:c r="U458" s="16">
        <ns0:f>P458-E458*'前提と出典'!$E$5</ns0:f>
        <ns0:v>813604.7673935243</ns0:v>
      </ns0:c>
      <ns0:c r="V458" s="16">
        <ns0:f>Q458-F458*'前提と出典'!$E$5</ns0:f>
        <ns0:v>232506.60060428106</ns0:v>
      </ns0:c>
      <ns0:c r="W458" s="7">
        <ns0:f>U458+V458</ns0:f>
        <ns0:v>1046111.3679978054</ns0:v>
      </ns0:c>
      <ns0:c r="X458" s="16">
        <ns0:f>P458-E458*'前提と出典'!$E$6</ns0:f>
        <ns0:v>699474.936678387</ns0:v>
      </ns0:c>
      <ns0:c r="Y458" s="16">
        <ns0:f>Q458-F458*'前提と出典'!$E$6</ns0:f>
        <ns0:v>199343.3891252073</ns0:v>
      </ns0:c>
      <ns0:c r="Z458" s="7">
        <ns0:f>X458+Y458</ns0:f>
        <ns0:v>898818.3258035943</ns0:v>
      </ns0:c>
      <ns0:c r="AA458" s="7">
        <ns0:f>IF(T458&gt;=0,A458,1001)</ns0:f>
        <ns0:v>454</ns0:v>
      </ns0:c>
      <ns0:c r="AB458" s="7">
        <ns0:f>IF(T458&lt;0,A458,0)</ns0:f>
        <ns0:v>0</ns0:v>
      </ns0:c>
      <ns0:c r="AC458" s="16">
        <ns0:f>IF(AND(OR('前提と出典'!$C$36+'前提と出典'!$C$38=0,R458&gt;=0),OR('前提と出典'!$C$37+'前提と出典'!$C$38=0,S458&gt;=0)),0,A458)</ns0:f>
        <ns0:v>0</ns0:v>
      </ns0:c>
      <ns0:c r="AD458" s="7">
        <ns0:f>IF(W458&gt;=0,A458,1001)</ns0:f>
        <ns0:v>454</ns0:v>
      </ns0:c>
      <ns0:c r="AE458" s="7">
        <ns0:f>IF(W458&lt;0,A458,0)</ns0:f>
        <ns0:v>0</ns0:v>
      </ns0:c>
      <ns0:c r="AF458" s="16">
        <ns0:f>IF(AND(OR('前提と出典'!$C$36+'前提と出典'!$C$38=0,U458&gt;=0),OR('前提と出典'!$C$37+'前提と出典'!$C$38=0,V458&gt;=0)),0,A458)</ns0:f>
        <ns0:v>0</ns0:v>
      </ns0:c>
      <ns0:c r="AG458" s="7">
        <ns0:f>IF(Z458&gt;=0,A458,1001)</ns0:f>
        <ns0:v>454</ns0:v>
      </ns0:c>
      <ns0:c r="AH458" s="4">
        <ns0:f>IF(Z458&lt;0,A458,0)</ns0:f>
        <ns0:v>0</ns0:v>
      </ns0:c>
      <ns0:c r="AI458" s="12">
        <ns0:f>IF(AND(OR('前提と出典'!$C$36+'前提と出典'!$C$38=0,X458&gt;=0),OR('前提と出典'!$C$37+'前提と出典'!$C$38=0,Y458&gt;=0)),0,A458)</ns0:f>
        <ns0:v>0</ns0:v>
      </ns0:c>
    </ns0:row>
    <ns0:row r="459" ht="24" customHeight="1">
      <ns0:c r="A459" s="4" t="n">
        <ns0:v>455</ns0:v>
      </ns0:c>
      <ns0:c r="B459" s="12">
        <ns0:f>A459*('前提と出典'!$C$36+'前提と出典'!$C$38)</ns0:f>
        <ns0:v>318.5</ns0:v>
      </ns0:c>
      <ns0:c r="C459" s="12">
        <ns0:f>A459*('前提と出典'!$C$37+'前提と出典'!$C$38)</ns0:f>
        <ns0:v>273</ns0:v>
      </ns0:c>
      <ns0:c r="D459" s="16">
        <ns0:f>A459*('前提と出典'!$C$36*'契約別単価'!C5+'前提と出典'!$C$37*'契約別単価'!C6+'前提と出典'!$C$38*'契約別単価'!C7)</ns0:f>
        <ns0:v>3273.9664804469276</ns0:v>
      </ns0:c>
      <ns0:c r="E459" s="16">
        <ns0:f>A459*('前提と出典'!$C$36*'契約別単価'!E5+'前提と出典'!$C$37*'契約別単価'!E6+'前提と出典'!$C$38*'契約別単価'!E7)</ns0:f>
        <ns0:v>1143812.1800746154</ns0:v>
      </ns0:c>
      <ns0:c r="F459" s="16">
        <ns0:f>A459*('前提と出典'!$C$36*'契約別単価'!F5+'前提と出典'!$C$37*'契約別単価'!F6+'前提と出典'!$C$38*'契約別単価'!F7)</ns0:f>
        <ns0:v>332362.58200393344</ns0:v>
      </ns0:c>
      <ns0:c r="G459" s="16">
        <ns0:f>A459*('前提と出典'!$C$36*'契約別単価'!G5+'前提と出典'!$C$37*'契約別単価'!G6+'前提と出典'!$C$38*'契約別単価'!G7)</ns0:f>
        <ns0:v>905678.7709497206</ns0:v>
      </ns0:c>
      <ns0:c r="H459" s="16">
        <ns0:f>A459*('前提と出典'!$C$36*'契約別単価'!H5+'前提と出典'!$C$37*'契約別単価'!H6+'前提と出典'!$C$38*'契約別単価'!H7)</ns0:f>
        <ns0:v>314315.95687936887</ns0:v>
      </ns0:c>
      <ns0:c r="I459" s="16">
        <ns0:f>A459*('前提と出典'!$C$36*'契約別単価'!I5+'前提と出典'!$C$37*'契約別単価'!I6+'前提と出典'!$C$38*'契約別単価'!I7)</ns0:f>
        <ns0:v>19198.966480446925</ns0:v>
      </ns0:c>
      <ns0:c r="J459" s="16">
        <ns0:f>A459*('前提と出典'!$C$36*'契約別単価'!J5+'前提と出典'!$C$37*'契約別単価'!J6+'前提と出典'!$C$38*'契約別単価'!J7)</ns0:f>
        <ns0:v>44721.74238818767</ns0:v>
      </ns0:c>
      <ns0:c r="K459" s="16">
        <ns0:f>A459*('前提と出典'!$C$36*'契約別単価'!K5+'前提と出典'!$C$37*'契約別単価'!K6+'前提と出典'!$C$38*'契約別単価'!K7)</ns0:f>
        <ns0:v>191693.10986964617</ns0:v>
      </ns0:c>
      <ns0:c r="L459" s="16">
        <ns0:f>A459*('前提と出典'!$C$36*'契約別単価'!L5+'前提と出典'!$C$37*'契約別単価'!L6+'前提と出典'!$C$38*'契約別単価'!L7)</ns0:f>
        <ns0:v>156077.19856264562</ns0:v>
      </ns0:c>
      <ns0:c r="M459" s="16">
        <ns0:f>IF(('前提と出典'!$C$36+'前提と出典'!$C$38)=0,0,IF(B459&lt;=10,'前提と出典'!B73+'前提と出典'!C73,IF(B459&lt;=100,'前提と出典'!B74+'前提と出典'!C74,IF(B459&lt;=500,'前提と出典'!B75+'前提と出典'!C75,'前提と出典'!B76+'前提と出典'!C76))))</ns0:f>
        <ns0:v>40000</ns0:v>
      </ns0:c>
      <ns0:c r="N459" s="16">
        <ns0:f>IF(('前提と出典'!$C$37+'前提と出典'!$C$38)=0,0,IF(C459&lt;=10,'前提と出典'!D73+'前提と出典'!E73,IF(C459&lt;=100,'前提と出典'!D74+'前提と出典'!E74,IF(C459&lt;=500,'前提と出典'!D75+'前提と出典'!E75,'前提と出典'!D76+'前提と出典'!E76))))</ns0:f>
        <ns0:v>56510.9346263078</ns0:v>
      </ns0:c>
      <ns0:c r="O459" s="16">
        <ns0:f>IF('前提と出典'!$C$36+'前提と出典'!$C$38=0,0,'前提と出典'!$B$4*IF('前提と出典'!$B$20=0,MAX('前提と出典'!$B$6,D459*'前提と出典'!$B$5),'前提と出典'!$B$6+D459*'前提と出典'!$B$5))</ns0:f>
        <ns0:v>451807.374301676</ns0:v>
      </ns0:c>
      <ns0:c r="P459" s="16">
        <ns0:f>(E459+G459)*(1-'前提と出典'!$B$7)-I459-K459-M459-O459</ns0:f>
        <ns0:v>1273009.8261356908</ns0:v>
      </ns0:c>
      <ns0:c r="Q459" s="16">
        <ns0:f>(F459+H459)*(1-'前提と出典'!$B$7)-J459-L459-N459</ns0:f>
        <ns0:v>366088.2359063624</ns0:v>
      </ns0:c>
      <ns0:c r="R459" s="16">
        <ns0:f>P459-E459*'前提と出典'!$E$4</ns0:f>
        <ns0:v>929866.1721133061</ns0:v>
      </ns0:c>
      <ns0:c r="S459" s="16">
        <ns0:f>Q459-F459*'前提と出典'!$E$4</ns0:f>
        <ns0:v>266379.4613051824</ns0:v>
      </ns0:c>
      <ns0:c r="T459" s="7">
        <ns0:f>R459+S459</ns0:f>
        <ns0:v>1196245.6334184885</ns0:v>
      </ns0:c>
      <ns0:c r="U459" s="16">
        <ns0:f>P459-E459*'前提と出典'!$E$5</ns0:f>
        <ns0:v>815484.9541058445</ns0:v>
      </ns0:c>
      <ns0:c r="V459" s="16">
        <ns0:f>Q459-F459*'前提と出典'!$E$5</ns0:f>
        <ns0:v>233143.20310478902</ns0:v>
      </ns0:c>
      <ns0:c r="W459" s="7">
        <ns0:f>U459+V459</ns0:f>
        <ns0:v>1048628.1572106336</ns0:v>
      </ns0:c>
      <ns0:c r="X459" s="16">
        <ns0:f>P459-E459*'前提と出典'!$E$6</ns0:f>
        <ns0:v>701103.7360983831</ns0:v>
      </ns0:c>
      <ns0:c r="Y459" s="16">
        <ns0:f>Q459-F459*'前提と出典'!$E$6</ns0:f>
        <ns0:v>199906.9449043957</ns0:v>
      </ns0:c>
      <ns0:c r="Z459" s="7">
        <ns0:f>X459+Y459</ns0:f>
        <ns0:v>901010.6810027788</ns0:v>
      </ns0:c>
      <ns0:c r="AA459" s="7">
        <ns0:f>IF(T459&gt;=0,A459,1001)</ns0:f>
        <ns0:v>455</ns0:v>
      </ns0:c>
      <ns0:c r="AB459" s="7">
        <ns0:f>IF(T459&lt;0,A459,0)</ns0:f>
        <ns0:v>0</ns0:v>
      </ns0:c>
      <ns0:c r="AC459" s="16">
        <ns0:f>IF(AND(OR('前提と出典'!$C$36+'前提と出典'!$C$38=0,R459&gt;=0),OR('前提と出典'!$C$37+'前提と出典'!$C$38=0,S459&gt;=0)),0,A459)</ns0:f>
        <ns0:v>0</ns0:v>
      </ns0:c>
      <ns0:c r="AD459" s="7">
        <ns0:f>IF(W459&gt;=0,A459,1001)</ns0:f>
        <ns0:v>455</ns0:v>
      </ns0:c>
      <ns0:c r="AE459" s="7">
        <ns0:f>IF(W459&lt;0,A459,0)</ns0:f>
        <ns0:v>0</ns0:v>
      </ns0:c>
      <ns0:c r="AF459" s="16">
        <ns0:f>IF(AND(OR('前提と出典'!$C$36+'前提と出典'!$C$38=0,U459&gt;=0),OR('前提と出典'!$C$37+'前提と出典'!$C$38=0,V459&gt;=0)),0,A459)</ns0:f>
        <ns0:v>0</ns0:v>
      </ns0:c>
      <ns0:c r="AG459" s="7">
        <ns0:f>IF(Z459&gt;=0,A459,1001)</ns0:f>
        <ns0:v>455</ns0:v>
      </ns0:c>
      <ns0:c r="AH459" s="4">
        <ns0:f>IF(Z459&lt;0,A459,0)</ns0:f>
        <ns0:v>0</ns0:v>
      </ns0:c>
      <ns0:c r="AI459" s="12">
        <ns0:f>IF(AND(OR('前提と出典'!$C$36+'前提と出典'!$C$38=0,X459&gt;=0),OR('前提と出典'!$C$37+'前提と出典'!$C$38=0,Y459&gt;=0)),0,A459)</ns0:f>
        <ns0:v>0</ns0:v>
      </ns0:c>
    </ns0:row>
    <ns0:row r="460" ht="24" customHeight="1">
      <ns0:c r="A460" s="4" t="n">
        <ns0:v>456</ns0:v>
      </ns0:c>
      <ns0:c r="B460" s="12">
        <ns0:f>A460*('前提と出典'!$C$36+'前提と出典'!$C$38)</ns0:f>
        <ns0:v>319.2</ns0:v>
      </ns0:c>
      <ns0:c r="C460" s="12">
        <ns0:f>A460*('前提と出典'!$C$37+'前提と出典'!$C$38)</ns0:f>
        <ns0:v>273.59999999999997</ns0:v>
      </ns0:c>
      <ns0:c r="D460" s="16">
        <ns0:f>A460*('前提と出典'!$C$36*'契約別単価'!C5+'前提と出典'!$C$37*'契約別単価'!C6+'前提と出典'!$C$38*'契約別単価'!C7)</ns0:f>
        <ns0:v>3281.1620111731845</ns0:v>
      </ns0:c>
      <ns0:c r="E460" s="16">
        <ns0:f>A460*('前提と出典'!$C$36*'契約別単価'!E5+'前提と出典'!$C$37*'契約別単価'!E6+'前提と出典'!$C$38*'契約別単価'!E7)</ns0:f>
        <ns0:v>1146326.0529978564</ns0:v>
      </ns0:c>
      <ns0:c r="F460" s="16">
        <ns0:f>A460*('前提と出典'!$C$36*'契約別単価'!F5+'前提と出典'!$C$37*'契約別単価'!F6+'前提と出典'!$C$38*'契約別単価'!F7)</ns0:f>
        <ns0:v>333093.0492171289</ns0:v>
      </ns0:c>
      <ns0:c r="G460" s="16">
        <ns0:f>A460*('前提と出典'!$C$36*'契約別単価'!G5+'前提と出典'!$C$37*'契約別単価'!G6+'前提と出典'!$C$38*'契約別単価'!G7)</ns0:f>
        <ns0:v>907669.2737430168</ns0:v>
      </ns0:c>
      <ns0:c r="H460" s="16">
        <ns0:f>A460*('前提と出典'!$C$36*'契約別単価'!H5+'前提と出典'!$C$37*'契約別単価'!H6+'前提と出典'!$C$38*'契約別単価'!H7)</ns0:f>
        <ns0:v>315006.76118020265</ns0:v>
      </ns0:c>
      <ns0:c r="I460" s="16">
        <ns0:f>A460*('前提と出典'!$C$36*'契約別単価'!I5+'前提と出典'!$C$37*'契約別単価'!I6+'前提と出典'!$C$38*'契約別単価'!I7)</ns0:f>
        <ns0:v>19241.162011173183</ns0:v>
      </ns0:c>
      <ns0:c r="J460" s="16">
        <ns0:f>A460*('前提と出典'!$C$36*'契約別単価'!J5+'前提と出典'!$C$37*'契約別単価'!J6+'前提と出典'!$C$38*'契約別単価'!J7)</ns0:f>
        <ns0:v>44820.03193189797</ns0:v>
      </ns0:c>
      <ns0:c r="K460" s="16">
        <ns0:f>A460*('前提と出典'!$C$36*'契約別単価'!K5+'前提と出典'!$C$37*'契約別単価'!K6+'前提と出典'!$C$38*'契約別単価'!K7)</ns0:f>
        <ns0:v>192114.4134078212</ns0:v>
      </ns0:c>
      <ns0:c r="L460" s="16">
        <ns0:f>A460*('前提と出典'!$C$36*'契約別単価'!L5+'前提と出典'!$C$37*'契約別単価'!L6+'前提と出典'!$C$38*'契約別単価'!L7)</ns0:f>
        <ns0:v>156420.22537267342</ns0:v>
      </ns0:c>
      <ns0:c r="M460" s="16">
        <ns0:f>IF(('前提と出典'!$C$36+'前提と出典'!$C$38)=0,0,IF(B460&lt;=10,'前提と出典'!B73+'前提と出典'!C73,IF(B460&lt;=100,'前提と出典'!B74+'前提と出典'!C74,IF(B460&lt;=500,'前提と出典'!B75+'前提と出典'!C75,'前提と出典'!B76+'前提と出典'!C76))))</ns0:f>
        <ns0:v>40000</ns0:v>
      </ns0:c>
      <ns0:c r="N460" s="16">
        <ns0:f>IF(('前提と出典'!$C$37+'前提と出典'!$C$38)=0,0,IF(C460&lt;=10,'前提と出典'!D73+'前提と出典'!E73,IF(C460&lt;=100,'前提と出典'!D74+'前提と出典'!E74,IF(C460&lt;=500,'前提と出典'!D75+'前提と出典'!E75,'前提と出典'!D76+'前提と出典'!E76))))</ns0:f>
        <ns0:v>56510.9346263078</ns0:v>
      </ns0:c>
      <ns0:c r="O460" s="16">
        <ns0:f>IF('前提と出典'!$C$36+'前提と出典'!$C$38=0,0,'前提と出典'!$B$4*IF('前提と出典'!$B$20=0,MAX('前提と出典'!$B$6,D460*'前提と出典'!$B$5),'前提と出典'!$B$6+D460*'前提と出典'!$B$5))</ns0:f>
        <ns0:v>452800.3575418995</ns0:v>
      </ns0:c>
      <ns0:c r="P460" s="16">
        <ns0:f>(E460+G460)*(1-'前提と出典'!$B$7)-I460-K460-M460-O460</ns0:f>
        <ns0:v>1275895.562017308</ns0:v>
      </ns0:c>
      <ns0:c r="Q460" s="16">
        <ns0:f>(F460+H460)*(1-'前提と出典'!$B$7)-J460-L460-N460</ns0:f>
        <ns0:v>367017.02529214846</ns0:v>
      </ns0:c>
      <ns0:c r="R460" s="16">
        <ns0:f>P460-E460*'前提と出典'!$E$4</ns0:f>
        <ns0:v>931997.7461179509</ns0:v>
      </ns0:c>
      <ns0:c r="S460" s="16">
        <ns0:f>Q460-F460*'前提と出典'!$E$4</ns0:f>
        <ns0:v>267089.1105270099</ns0:v>
      </ns0:c>
      <ns0:c r="T460" s="7">
        <ns0:f>R460+S460</ns0:f>
        <ns0:v>1199086.8566449608</ns0:v>
      </ns0:c>
      <ns0:c r="U460" s="16">
        <ns0:f>P460-E460*'前提と出典'!$E$5</ns0:f>
        <ns0:v>817365.1408181654</ns0:v>
      </ns0:c>
      <ns0:c r="V460" s="16">
        <ns0:f>Q460-F460*'前提と出典'!$E$5</ns0:f>
        <ns0:v>233779.80560529686</ns0:v>
      </ns0:c>
      <ns0:c r="W460" s="7">
        <ns0:f>U460+V460</ns0:f>
        <ns0:v>1051144.9464234621</ns0:v>
      </ns0:c>
      <ns0:c r="X460" s="16">
        <ns0:f>P460-E460*'前提と出典'!$E$6</ns0:f>
        <ns0:v>702732.5355183796</ns0:v>
      </ns0:c>
      <ns0:c r="Y460" s="16">
        <ns0:f>Q460-F460*'前提と出典'!$E$6</ns0:f>
        <ns0:v>200470.50068358402</ns0:v>
      </ns0:c>
      <ns0:c r="Z460" s="7">
        <ns0:f>X460+Y460</ns0:f>
        <ns0:v>903203.0362019637</ns0:v>
      </ns0:c>
      <ns0:c r="AA460" s="7">
        <ns0:f>IF(T460&gt;=0,A460,1001)</ns0:f>
        <ns0:v>456</ns0:v>
      </ns0:c>
      <ns0:c r="AB460" s="7">
        <ns0:f>IF(T460&lt;0,A460,0)</ns0:f>
        <ns0:v>0</ns0:v>
      </ns0:c>
      <ns0:c r="AC460" s="16">
        <ns0:f>IF(AND(OR('前提と出典'!$C$36+'前提と出典'!$C$38=0,R460&gt;=0),OR('前提と出典'!$C$37+'前提と出典'!$C$38=0,S460&gt;=0)),0,A460)</ns0:f>
        <ns0:v>0</ns0:v>
      </ns0:c>
      <ns0:c r="AD460" s="7">
        <ns0:f>IF(W460&gt;=0,A460,1001)</ns0:f>
        <ns0:v>456</ns0:v>
      </ns0:c>
      <ns0:c r="AE460" s="7">
        <ns0:f>IF(W460&lt;0,A460,0)</ns0:f>
        <ns0:v>0</ns0:v>
      </ns0:c>
      <ns0:c r="AF460" s="16">
        <ns0:f>IF(AND(OR('前提と出典'!$C$36+'前提と出典'!$C$38=0,U460&gt;=0),OR('前提と出典'!$C$37+'前提と出典'!$C$38=0,V460&gt;=0)),0,A460)</ns0:f>
        <ns0:v>0</ns0:v>
      </ns0:c>
      <ns0:c r="AG460" s="7">
        <ns0:f>IF(Z460&gt;=0,A460,1001)</ns0:f>
        <ns0:v>456</ns0:v>
      </ns0:c>
      <ns0:c r="AH460" s="4">
        <ns0:f>IF(Z460&lt;0,A460,0)</ns0:f>
        <ns0:v>0</ns0:v>
      </ns0:c>
      <ns0:c r="AI460" s="12">
        <ns0:f>IF(AND(OR('前提と出典'!$C$36+'前提と出典'!$C$38=0,X460&gt;=0),OR('前提と出典'!$C$37+'前提と出典'!$C$38=0,Y460&gt;=0)),0,A460)</ns0:f>
        <ns0:v>0</ns0:v>
      </ns0:c>
    </ns0:row>
    <ns0:row r="461" ht="24" customHeight="1">
      <ns0:c r="A461" s="4" t="n">
        <ns0:v>457</ns0:v>
      </ns0:c>
      <ns0:c r="B461" s="12">
        <ns0:f>A461*('前提と出典'!$C$36+'前提と出典'!$C$38)</ns0:f>
        <ns0:v>319.9</ns0:v>
      </ns0:c>
      <ns0:c r="C461" s="12">
        <ns0:f>A461*('前提と出典'!$C$37+'前提と出典'!$C$38)</ns0:f>
        <ns0:v>274.2</ns0:v>
      </ns0:c>
      <ns0:c r="D461" s="16">
        <ns0:f>A461*('前提と出典'!$C$36*'契約別単価'!C5+'前提と出典'!$C$37*'契約別単価'!C6+'前提と出典'!$C$38*'契約別単価'!C7)</ns0:f>
        <ns0:v>3288.3575418994415</ns0:v>
      </ns0:c>
      <ns0:c r="E461" s="16">
        <ns0:f>A461*('前提と出典'!$C$36*'契約別単価'!E5+'前提と出典'!$C$37*'契約別単価'!E6+'前提と出典'!$C$38*'契約別単価'!E7)</ns0:f>
        <ns0:v>1148839.9259210974</ns0:v>
      </ns0:c>
      <ns0:c r="F461" s="16">
        <ns0:f>A461*('前提と出典'!$C$36*'契約別単価'!F5+'前提と出典'!$C$37*'契約別単価'!F6+'前提と出典'!$C$38*'契約別単価'!F7)</ns0:f>
        <ns0:v>333823.51643032435</ns0:v>
      </ns0:c>
      <ns0:c r="G461" s="16">
        <ns0:f>A461*('前提と出典'!$C$36*'契約別単価'!G5+'前提と出典'!$C$37*'契約別単価'!G6+'前提と出典'!$C$38*'契約別単価'!G7)</ns0:f>
        <ns0:v>909659.7765363128</ns0:v>
      </ns0:c>
      <ns0:c r="H461" s="16">
        <ns0:f>A461*('前提と出典'!$C$36*'契約別単価'!H5+'前提と出典'!$C$37*'契約別単価'!H6+'前提と出典'!$C$38*'契約別単価'!H7)</ns0:f>
        <ns0:v>315697.5654810364</ns0:v>
      </ns0:c>
      <ns0:c r="I461" s="16">
        <ns0:f>A461*('前提と出典'!$C$36*'契約別単価'!I5+'前提と出典'!$C$37*'契約別単価'!I6+'前提と出典'!$C$38*'契約別単価'!I7)</ns0:f>
        <ns0:v>19283.357541899437</ns0:v>
      </ns0:c>
      <ns0:c r="J461" s="16">
        <ns0:f>A461*('前提と出典'!$C$36*'契約別単価'!J5+'前提と出典'!$C$37*'契約別単価'!J6+'前提と出典'!$C$38*'契約別単価'!J7)</ns0:f>
        <ns0:v>44918.321475608274</ns0:v>
      </ns0:c>
      <ns0:c r="K461" s="16">
        <ns0:f>A461*('前提と出典'!$C$36*'契約別単価'!K5+'前提と出典'!$C$37*'契約別単価'!K6+'前提と出典'!$C$38*'契約別単価'!K7)</ns0:f>
        <ns0:v>192535.71694599628</ns0:v>
      </ns0:c>
      <ns0:c r="L461" s="16">
        <ns0:f>A461*('前提と出典'!$C$36*'契約別単価'!L5+'前提と出典'!$C$37*'契約別単価'!L6+'前提と出典'!$C$38*'契約別単価'!L7)</ns0:f>
        <ns0:v>156763.2521827012</ns0:v>
      </ns0:c>
      <ns0:c r="M461" s="16">
        <ns0:f>IF(('前提と出典'!$C$36+'前提と出典'!$C$38)=0,0,IF(B461&lt;=10,'前提と出典'!B73+'前提と出典'!C73,IF(B461&lt;=100,'前提と出典'!B74+'前提と出典'!C74,IF(B461&lt;=500,'前提と出典'!B75+'前提と出典'!C75,'前提と出典'!B76+'前提と出典'!C76))))</ns0:f>
        <ns0:v>40000</ns0:v>
      </ns0:c>
      <ns0:c r="N461" s="16">
        <ns0:f>IF(('前提と出典'!$C$37+'前提と出典'!$C$38)=0,0,IF(C461&lt;=10,'前提と出典'!D73+'前提と出典'!E73,IF(C461&lt;=100,'前提と出典'!D74+'前提と出典'!E74,IF(C461&lt;=500,'前提と出典'!D75+'前提と出典'!E75,'前提と出典'!D76+'前提と出典'!E76))))</ns0:f>
        <ns0:v>56510.9346263078</ns0:v>
      </ns0:c>
      <ns0:c r="O461" s="16">
        <ns0:f>IF('前提と出典'!$C$36+'前提と出典'!$C$38=0,0,'前提と出典'!$B$4*IF('前提と出典'!$B$20=0,MAX('前提と出典'!$B$6,D461*'前提と出典'!$B$5),'前提と出典'!$B$6+D461*'前提と出典'!$B$5))</ns0:f>
        <ns0:v>453793.340782123</ns0:v>
      </ns0:c>
      <ns0:c r="P461" s="16">
        <ns0:f>(E461+G461)*(1-'前提と出典'!$B$7)-I461-K461-M461-O461</ns0:f>
        <ns0:v>1278781.297898925</ns0:v>
      </ns0:c>
      <ns0:c r="Q461" s="16">
        <ns0:f>(F461+H461)*(1-'前提と出典'!$B$7)-J461-L461-N461</ns0:f>
        <ns0:v>367945.81467793445</ns0:v>
      </ns0:c>
      <ns0:c r="R461" s="16">
        <ns0:f>P461-E461*'前提と出典'!$E$4</ns0:f>
        <ns0:v>934129.3201225956</ns0:v>
      </ns0:c>
      <ns0:c r="S461" s="16">
        <ns0:f>Q461-F461*'前提と出典'!$E$4</ns0:f>
        <ns0:v>267798.75974883715</ns0:v>
      </ns0:c>
      <ns0:c r="T461" s="7">
        <ns0:f>R461+S461</ns0:f>
        <ns0:v>1201928.0798714329</ns0:v>
      </ns0:c>
      <ns0:c r="U461" s="16">
        <ns0:f>P461-E461*'前提と出典'!$E$5</ns0:f>
        <ns0:v>819245.327530486</ns0:v>
      </ns0:c>
      <ns0:c r="V461" s="16">
        <ns0:f>Q461-F461*'前提と出典'!$E$5</ns0:f>
        <ns0:v>234416.4081058047</ns0:v>
      </ns0:c>
      <ns0:c r="W461" s="7">
        <ns0:f>U461+V461</ns0:f>
        <ns0:v>1053661.7356362906</ns0:v>
      </ns0:c>
      <ns0:c r="X461" s="16">
        <ns0:f>P461-E461*'前提と出典'!$E$6</ns0:f>
        <ns0:v>704361.3349383762</ns0:v>
      </ns0:c>
      <ns0:c r="Y461" s="16">
        <ns0:f>Q461-F461*'前提と出典'!$E$6</ns0:f>
        <ns0:v>201034.05646277225</ns0:v>
      </ns0:c>
      <ns0:c r="Z461" s="7">
        <ns0:f>X461+Y461</ns0:f>
        <ns0:v>905395.3914011484</ns0:v>
      </ns0:c>
      <ns0:c r="AA461" s="7">
        <ns0:f>IF(T461&gt;=0,A461,1001)</ns0:f>
        <ns0:v>457</ns0:v>
      </ns0:c>
      <ns0:c r="AB461" s="7">
        <ns0:f>IF(T461&lt;0,A461,0)</ns0:f>
        <ns0:v>0</ns0:v>
      </ns0:c>
      <ns0:c r="AC461" s="16">
        <ns0:f>IF(AND(OR('前提と出典'!$C$36+'前提と出典'!$C$38=0,R461&gt;=0),OR('前提と出典'!$C$37+'前提と出典'!$C$38=0,S461&gt;=0)),0,A461)</ns0:f>
        <ns0:v>0</ns0:v>
      </ns0:c>
      <ns0:c r="AD461" s="7">
        <ns0:f>IF(W461&gt;=0,A461,1001)</ns0:f>
        <ns0:v>457</ns0:v>
      </ns0:c>
      <ns0:c r="AE461" s="7">
        <ns0:f>IF(W461&lt;0,A461,0)</ns0:f>
        <ns0:v>0</ns0:v>
      </ns0:c>
      <ns0:c r="AF461" s="16">
        <ns0:f>IF(AND(OR('前提と出典'!$C$36+'前提と出典'!$C$38=0,U461&gt;=0),OR('前提と出典'!$C$37+'前提と出典'!$C$38=0,V461&gt;=0)),0,A461)</ns0:f>
        <ns0:v>0</ns0:v>
      </ns0:c>
      <ns0:c r="AG461" s="7">
        <ns0:f>IF(Z461&gt;=0,A461,1001)</ns0:f>
        <ns0:v>457</ns0:v>
      </ns0:c>
      <ns0:c r="AH461" s="4">
        <ns0:f>IF(Z461&lt;0,A461,0)</ns0:f>
        <ns0:v>0</ns0:v>
      </ns0:c>
      <ns0:c r="AI461" s="12">
        <ns0:f>IF(AND(OR('前提と出典'!$C$36+'前提と出典'!$C$38=0,X461&gt;=0),OR('前提と出典'!$C$37+'前提と出典'!$C$38=0,Y461&gt;=0)),0,A461)</ns0:f>
        <ns0:v>0</ns0:v>
      </ns0:c>
    </ns0:row>
    <ns0:row r="462" ht="24" customHeight="1">
      <ns0:c r="A462" s="4" t="n">
        <ns0:v>458</ns0:v>
      </ns0:c>
      <ns0:c r="B462" s="12">
        <ns0:f>A462*('前提と出典'!$C$36+'前提と出典'!$C$38)</ns0:f>
        <ns0:v>320.59999999999997</ns0:v>
      </ns0:c>
      <ns0:c r="C462" s="12">
        <ns0:f>A462*('前提と出典'!$C$37+'前提と出典'!$C$38)</ns0:f>
        <ns0:v>274.8</ns0:v>
      </ns0:c>
      <ns0:c r="D462" s="16">
        <ns0:f>A462*('前提と出典'!$C$36*'契約別単価'!C5+'前提と出典'!$C$37*'契約別単価'!C6+'前提と出典'!$C$38*'契約別単価'!C7)</ns0:f>
        <ns0:v>3295.5530726256984</ns0:v>
      </ns0:c>
      <ns0:c r="E462" s="16">
        <ns0:f>A462*('前提と出典'!$C$36*'契約別単価'!E5+'前提と出典'!$C$37*'契約別単価'!E6+'前提と出典'!$C$38*'契約別単価'!E7)</ns0:f>
        <ns0:v>1151353.7988443382</ns0:v>
      </ns0:c>
      <ns0:c r="F462" s="16">
        <ns0:f>A462*('前提と出典'!$C$36*'契約別単価'!F5+'前提と出典'!$C$37*'契約別単価'!F6+'前提と出典'!$C$38*'契約別単価'!F7)</ns0:f>
        <ns0:v>334553.9836435198</ns0:v>
      </ns0:c>
      <ns0:c r="G462" s="16">
        <ns0:f>A462*('前提と出典'!$C$36*'契約別単価'!G5+'前提と出典'!$C$37*'契約別単価'!G6+'前提と出典'!$C$38*'契約別単価'!G7)</ns0:f>
        <ns0:v>911650.2793296089</ns0:v>
      </ns0:c>
      <ns0:c r="H462" s="16">
        <ns0:f>A462*('前提と出典'!$C$36*'契約別単価'!H5+'前提と出典'!$C$37*'契約別単価'!H6+'前提と出典'!$C$38*'契約別単価'!H7)</ns0:f>
        <ns0:v>316388.36978187016</ns0:v>
      </ns0:c>
      <ns0:c r="I462" s="16">
        <ns0:f>A462*('前提と出典'!$C$36*'契約別単価'!I5+'前提と出典'!$C$37*'契約別単価'!I6+'前提と出典'!$C$38*'契約別単価'!I7)</ns0:f>
        <ns0:v>19325.553072625695</ns0:v>
      </ns0:c>
      <ns0:c r="J462" s="16">
        <ns0:f>A462*('前提と出典'!$C$36*'契約別単価'!J5+'前提と出典'!$C$37*'契約別単価'!J6+'前提と出典'!$C$38*'契約別単価'!J7)</ns0:f>
        <ns0:v>45016.611019318574</ns0:v>
      </ns0:c>
      <ns0:c r="K462" s="16">
        <ns0:f>A462*('前提と出典'!$C$36*'契約別単価'!K5+'前提と出典'!$C$37*'契約別単価'!K6+'前提と出典'!$C$38*'契約別単価'!K7)</ns0:f>
        <ns0:v>192957.0204841713</ns0:v>
      </ns0:c>
      <ns0:c r="L462" s="16">
        <ns0:f>A462*('前提と出典'!$C$36*'契約別単価'!L5+'前提と出典'!$C$37*'契約別単価'!L6+'前提と出典'!$C$38*'契約別単価'!L7)</ns0:f>
        <ns0:v>157106.278992729</ns0:v>
      </ns0:c>
      <ns0:c r="M462" s="16">
        <ns0:f>IF(('前提と出典'!$C$36+'前提と出典'!$C$38)=0,0,IF(B462&lt;=10,'前提と出典'!B73+'前提と出典'!C73,IF(B462&lt;=100,'前提と出典'!B74+'前提と出典'!C74,IF(B462&lt;=500,'前提と出典'!B75+'前提と出典'!C75,'前提と出典'!B76+'前提と出典'!C76))))</ns0:f>
        <ns0:v>40000</ns0:v>
      </ns0:c>
      <ns0:c r="N462" s="16">
        <ns0:f>IF(('前提と出典'!$C$37+'前提と出典'!$C$38)=0,0,IF(C462&lt;=10,'前提と出典'!D73+'前提と出典'!E73,IF(C462&lt;=100,'前提と出典'!D74+'前提と出典'!E74,IF(C462&lt;=500,'前提と出典'!D75+'前提と出典'!E75,'前提と出典'!D76+'前提と出典'!E76))))</ns0:f>
        <ns0:v>56510.9346263078</ns0:v>
      </ns0:c>
      <ns0:c r="O462" s="16">
        <ns0:f>IF('前提と出典'!$C$36+'前提と出典'!$C$38=0,0,'前提と出典'!$B$4*IF('前提と出典'!$B$20=0,MAX('前提と出典'!$B$6,D462*'前提と出典'!$B$5),'前提と出典'!$B$6+D462*'前提と出典'!$B$5))</ns0:f>
        <ns0:v>454786.32402234635</ns0:v>
      </ns0:c>
      <ns0:c r="P462" s="16">
        <ns0:f>(E462+G462)*(1-'前提と出典'!$B$7)-I462-K462-M462-O462</ns0:f>
        <ns0:v>1281667.0337805415</ns0:v>
      </ns0:c>
      <ns0:c r="Q462" s="16">
        <ns0:f>(F462+H462)*(1-'前提と出典'!$B$7)-J462-L462-N462</ns0:f>
        <ns0:v>368874.60406372056</ns0:v>
      </ns0:c>
      <ns0:c r="R462" s="16">
        <ns0:f>P462-E462*'前提と出典'!$E$4</ns0:f>
        <ns0:v>936260.8941272402</ns0:v>
      </ns0:c>
      <ns0:c r="S462" s="16">
        <ns0:f>Q462-F462*'前提と出典'!$E$4</ns0:f>
        <ns0:v>268508.4089706646</ns0:v>
      </ns0:c>
      <ns0:c r="T462" s="7">
        <ns0:f>R462+S462</ns0:f>
        <ns0:v>1204769.3030979047</ns0:v>
      </ns0:c>
      <ns0:c r="U462" s="16">
        <ns0:f>P462-E462*'前提と出典'!$E$5</ns0:f>
        <ns0:v>821125.5142428062</ns0:v>
      </ns0:c>
      <ns0:c r="V462" s="16">
        <ns0:f>Q462-F462*'前提と出典'!$E$5</ns0:f>
        <ns0:v>235053.01060631266</ns0:v>
      </ns0:c>
      <ns0:c r="W462" s="7">
        <ns0:f>U462+V462</ns0:f>
        <ns0:v>1056178.524849119</ns0:v>
      </ns0:c>
      <ns0:c r="X462" s="16">
        <ns0:f>P462-E462*'前提と出典'!$E$6</ns0:f>
        <ns0:v>705990.1343583723</ns0:v>
      </ns0:c>
      <ns0:c r="Y462" s="16">
        <ns0:f>Q462-F462*'前提と出典'!$E$6</ns0:f>
        <ns0:v>201597.61224196063</ns0:v>
      </ns0:c>
      <ns0:c r="Z462" s="7">
        <ns0:f>X462+Y462</ns0:f>
        <ns0:v>907587.7466003329</ns0:v>
      </ns0:c>
      <ns0:c r="AA462" s="7">
        <ns0:f>IF(T462&gt;=0,A462,1001)</ns0:f>
        <ns0:v>458</ns0:v>
      </ns0:c>
      <ns0:c r="AB462" s="7">
        <ns0:f>IF(T462&lt;0,A462,0)</ns0:f>
        <ns0:v>0</ns0:v>
      </ns0:c>
      <ns0:c r="AC462" s="16">
        <ns0:f>IF(AND(OR('前提と出典'!$C$36+'前提と出典'!$C$38=0,R462&gt;=0),OR('前提と出典'!$C$37+'前提と出典'!$C$38=0,S462&gt;=0)),0,A462)</ns0:f>
        <ns0:v>0</ns0:v>
      </ns0:c>
      <ns0:c r="AD462" s="7">
        <ns0:f>IF(W462&gt;=0,A462,1001)</ns0:f>
        <ns0:v>458</ns0:v>
      </ns0:c>
      <ns0:c r="AE462" s="7">
        <ns0:f>IF(W462&lt;0,A462,0)</ns0:f>
        <ns0:v>0</ns0:v>
      </ns0:c>
      <ns0:c r="AF462" s="16">
        <ns0:f>IF(AND(OR('前提と出典'!$C$36+'前提と出典'!$C$38=0,U462&gt;=0),OR('前提と出典'!$C$37+'前提と出典'!$C$38=0,V462&gt;=0)),0,A462)</ns0:f>
        <ns0:v>0</ns0:v>
      </ns0:c>
      <ns0:c r="AG462" s="7">
        <ns0:f>IF(Z462&gt;=0,A462,1001)</ns0:f>
        <ns0:v>458</ns0:v>
      </ns0:c>
      <ns0:c r="AH462" s="4">
        <ns0:f>IF(Z462&lt;0,A462,0)</ns0:f>
        <ns0:v>0</ns0:v>
      </ns0:c>
      <ns0:c r="AI462" s="12">
        <ns0:f>IF(AND(OR('前提と出典'!$C$36+'前提と出典'!$C$38=0,X462&gt;=0),OR('前提と出典'!$C$37+'前提と出典'!$C$38=0,Y462&gt;=0)),0,A462)</ns0:f>
        <ns0:v>0</ns0:v>
      </ns0:c>
    </ns0:row>
    <ns0:row r="463" ht="24" customHeight="1">
      <ns0:c r="A463" s="4" t="n">
        <ns0:v>459</ns0:v>
      </ns0:c>
      <ns0:c r="B463" s="12">
        <ns0:f>A463*('前提と出典'!$C$36+'前提と出典'!$C$38)</ns0:f>
        <ns0:v>321.29999999999995</ns0:v>
      </ns0:c>
      <ns0:c r="C463" s="12">
        <ns0:f>A463*('前提と出典'!$C$37+'前提と出典'!$C$38)</ns0:f>
        <ns0:v>275.4</ns0:v>
      </ns0:c>
      <ns0:c r="D463" s="16">
        <ns0:f>A463*('前提と出典'!$C$36*'契約別単価'!C5+'前提と出典'!$C$37*'契約別単価'!C6+'前提と出典'!$C$38*'契約別単価'!C7)</ns0:f>
        <ns0:v>3302.7486033519554</ns0:v>
      </ns0:c>
      <ns0:c r="E463" s="16">
        <ns0:f>A463*('前提と出典'!$C$36*'契約別単価'!E5+'前提と出典'!$C$37*'契約別単価'!E6+'前提と出典'!$C$38*'契約別単価'!E7)</ns0:f>
        <ns0:v>1153867.6717675792</ns0:v>
      </ns0:c>
      <ns0:c r="F463" s="16">
        <ns0:f>A463*('前提と出典'!$C$36*'契約別単価'!F5+'前提と出典'!$C$37*'契約別単価'!F6+'前提と出典'!$C$38*'契約別単価'!F7)</ns0:f>
        <ns0:v>335284.45085671527</ns0:v>
      </ns0:c>
      <ns0:c r="G463" s="16">
        <ns0:f>A463*('前提と出典'!$C$36*'契約別単価'!G5+'前提と出典'!$C$37*'契約別単価'!G6+'前提と出典'!$C$38*'契約別単価'!G7)</ns0:f>
        <ns0:v>913640.782122905</ns0:v>
      </ns0:c>
      <ns0:c r="H463" s="16">
        <ns0:f>A463*('前提と出典'!$C$36*'契約別単価'!H5+'前提と出典'!$C$37*'契約別単価'!H6+'前提と出典'!$C$38*'契約別単価'!H7)</ns0:f>
        <ns0:v>317079.17408270395</ns0:v>
      </ns0:c>
      <ns0:c r="I463" s="16">
        <ns0:f>A463*('前提と出典'!$C$36*'契約別単価'!I5+'前提と出典'!$C$37*'契約別単価'!I6+'前提と出典'!$C$38*'契約別単価'!I7)</ns0:f>
        <ns0:v>19367.748603351953</ns0:v>
      </ns0:c>
      <ns0:c r="J463" s="16">
        <ns0:f>A463*('前提と出典'!$C$36*'契約別単価'!J5+'前提と出典'!$C$37*'契約別単価'!J6+'前提と出典'!$C$38*'契約別単価'!J7)</ns0:f>
        <ns0:v>45114.90056302888</ns0:v>
      </ns0:c>
      <ns0:c r="K463" s="16">
        <ns0:f>A463*('前提と出典'!$C$36*'契約別単価'!K5+'前提と出典'!$C$37*'契約別単価'!K6+'前提と出典'!$C$38*'契約別単価'!K7)</ns0:f>
        <ns0:v>193378.32402234635</ns0:v>
      </ns0:c>
      <ns0:c r="L463" s="16">
        <ns0:f>A463*('前提と出典'!$C$36*'契約別単価'!L5+'前提と出典'!$C$37*'契約別単価'!L6+'前提と出典'!$C$38*'契約別単価'!L7)</ns0:f>
        <ns0:v>157449.3058027568</ns0:v>
      </ns0:c>
      <ns0:c r="M463" s="16">
        <ns0:f>IF(('前提と出典'!$C$36+'前提と出典'!$C$38)=0,0,IF(B463&lt;=10,'前提と出典'!B73+'前提と出典'!C73,IF(B463&lt;=100,'前提と出典'!B74+'前提と出典'!C74,IF(B463&lt;=500,'前提と出典'!B75+'前提と出典'!C75,'前提と出典'!B76+'前提と出典'!C76))))</ns0:f>
        <ns0:v>40000</ns0:v>
      </ns0:c>
      <ns0:c r="N463" s="16">
        <ns0:f>IF(('前提と出典'!$C$37+'前提と出典'!$C$38)=0,0,IF(C463&lt;=10,'前提と出典'!D73+'前提と出典'!E73,IF(C463&lt;=100,'前提と出典'!D74+'前提と出典'!E74,IF(C463&lt;=500,'前提と出典'!D75+'前提と出典'!E75,'前提と出典'!D76+'前提と出典'!E76))))</ns0:f>
        <ns0:v>56510.9346263078</ns0:v>
      </ns0:c>
      <ns0:c r="O463" s="16">
        <ns0:f>IF('前提と出典'!$C$36+'前提と出典'!$C$38=0,0,'前提と出典'!$B$4*IF('前提と出典'!$B$20=0,MAX('前提と出典'!$B$6,D463*'前提と出典'!$B$5),'前提と出典'!$B$6+D463*'前提と出典'!$B$5))</ns0:f>
        <ns0:v>455779.30726256984</ns0:v>
      </ns0:c>
      <ns0:c r="P463" s="16">
        <ns0:f>(E463+G463)*(1-'前提と出典'!$B$7)-I463-K463-M463-O463</ns0:f>
        <ns0:v>1284552.7696621586</ns0:v>
      </ns0:c>
      <ns0:c r="Q463" s="16">
        <ns0:f>(F463+H463)*(1-'前提と出典'!$B$7)-J463-L463-N463</ns0:f>
        <ns0:v>369803.39344950666</ns0:v>
      </ns0:c>
      <ns0:c r="R463" s="16">
        <ns0:f>P463-E463*'前提と出典'!$E$4</ns0:f>
        <ns0:v>938392.4681318849</ns0:v>
      </ns0:c>
      <ns0:c r="S463" s="16">
        <ns0:f>Q463-F463*'前提と出典'!$E$4</ns0:f>
        <ns0:v>269218.058192492</ns0:v>
      </ns0:c>
      <ns0:c r="T463" s="7">
        <ns0:f>R463+S463</ns0:f>
        <ns0:v>1207610.526324377</ns0:v>
      </ns0:c>
      <ns0:c r="U463" s="16">
        <ns0:f>P463-E463*'前提と出典'!$E$5</ns0:f>
        <ns0:v>823005.7009551269</ns0:v>
      </ns0:c>
      <ns0:c r="V463" s="16">
        <ns0:f>Q463-F463*'前提と出典'!$E$5</ns0:f>
        <ns0:v>235689.61310682056</ns0:v>
      </ns0:c>
      <ns0:c r="W463" s="7">
        <ns0:f>U463+V463</ns0:f>
        <ns0:v>1058695.3140619474</ns0:v>
      </ns0:c>
      <ns0:c r="X463" s="16">
        <ns0:f>P463-E463*'前提と出典'!$E$6</ns0:f>
        <ns0:v>707618.9337783689</ns0:v>
      </ns0:c>
      <ns0:c r="Y463" s="16">
        <ns0:f>Q463-F463*'前提と出典'!$E$6</ns0:f>
        <ns0:v>202161.16802114906</ns0:v>
      </ns0:c>
      <ns0:c r="Z463" s="7">
        <ns0:f>X463+Y463</ns0:f>
        <ns0:v>909780.1017995179</ns0:v>
      </ns0:c>
      <ns0:c r="AA463" s="7">
        <ns0:f>IF(T463&gt;=0,A463,1001)</ns0:f>
        <ns0:v>459</ns0:v>
      </ns0:c>
      <ns0:c r="AB463" s="7">
        <ns0:f>IF(T463&lt;0,A463,0)</ns0:f>
        <ns0:v>0</ns0:v>
      </ns0:c>
      <ns0:c r="AC463" s="16">
        <ns0:f>IF(AND(OR('前提と出典'!$C$36+'前提と出典'!$C$38=0,R463&gt;=0),OR('前提と出典'!$C$37+'前提と出典'!$C$38=0,S463&gt;=0)),0,A463)</ns0:f>
        <ns0:v>0</ns0:v>
      </ns0:c>
      <ns0:c r="AD463" s="7">
        <ns0:f>IF(W463&gt;=0,A463,1001)</ns0:f>
        <ns0:v>459</ns0:v>
      </ns0:c>
      <ns0:c r="AE463" s="7">
        <ns0:f>IF(W463&lt;0,A463,0)</ns0:f>
        <ns0:v>0</ns0:v>
      </ns0:c>
      <ns0:c r="AF463" s="16">
        <ns0:f>IF(AND(OR('前提と出典'!$C$36+'前提と出典'!$C$38=0,U463&gt;=0),OR('前提と出典'!$C$37+'前提と出典'!$C$38=0,V463&gt;=0)),0,A463)</ns0:f>
        <ns0:v>0</ns0:v>
      </ns0:c>
      <ns0:c r="AG463" s="7">
        <ns0:f>IF(Z463&gt;=0,A463,1001)</ns0:f>
        <ns0:v>459</ns0:v>
      </ns0:c>
      <ns0:c r="AH463" s="4">
        <ns0:f>IF(Z463&lt;0,A463,0)</ns0:f>
        <ns0:v>0</ns0:v>
      </ns0:c>
      <ns0:c r="AI463" s="12">
        <ns0:f>IF(AND(OR('前提と出典'!$C$36+'前提と出典'!$C$38=0,X463&gt;=0),OR('前提と出典'!$C$37+'前提と出典'!$C$38=0,Y463&gt;=0)),0,A463)</ns0:f>
        <ns0:v>0</ns0:v>
      </ns0:c>
    </ns0:row>
    <ns0:row r="464" ht="24" customHeight="1">
      <ns0:c r="A464" s="4" t="n">
        <ns0:v>460</ns0:v>
      </ns0:c>
      <ns0:c r="B464" s="12">
        <ns0:f>A464*('前提と出典'!$C$36+'前提と出典'!$C$38)</ns0:f>
        <ns0:v>322</ns0:v>
      </ns0:c>
      <ns0:c r="C464" s="12">
        <ns0:f>A464*('前提と出典'!$C$37+'前提と出典'!$C$38)</ns0:f>
        <ns0:v>276</ns0:v>
      </ns0:c>
      <ns0:c r="D464" s="16">
        <ns0:f>A464*('前提と出典'!$C$36*'契約別単価'!C5+'前提と出典'!$C$37*'契約別単価'!C6+'前提と出典'!$C$38*'契約別単価'!C7)</ns0:f>
        <ns0:v>3309.9441340782123</ns0:v>
      </ns0:c>
      <ns0:c r="E464" s="16">
        <ns0:f>A464*('前提と出典'!$C$36*'契約別単価'!E5+'前提と出典'!$C$37*'契約別単価'!E6+'前提と出典'!$C$38*'契約別単価'!E7)</ns0:f>
        <ns0:v>1156381.5446908202</ns0:v>
      </ns0:c>
      <ns0:c r="F464" s="16">
        <ns0:f>A464*('前提と出典'!$C$36*'契約別単価'!F5+'前提と出典'!$C$37*'契約別単価'!F6+'前提と出典'!$C$38*'契約別単価'!F7)</ns0:f>
        <ns0:v>336014.9180699107</ns0:v>
      </ns0:c>
      <ns0:c r="G464" s="16">
        <ns0:f>A464*('前提と出典'!$C$36*'契約別単価'!G5+'前提と出典'!$C$37*'契約別単価'!G6+'前提と出典'!$C$38*'契約別単価'!G7)</ns0:f>
        <ns0:v>915631.284916201</ns0:v>
      </ns0:c>
      <ns0:c r="H464" s="16">
        <ns0:f>A464*('前提と出典'!$C$36*'契約別単価'!H5+'前提と出典'!$C$37*'契約別単価'!H6+'前提と出典'!$C$38*'契約別単価'!H7)</ns0:f>
        <ns0:v>317769.97838353773</ns0:v>
      </ns0:c>
      <ns0:c r="I464" s="16">
        <ns0:f>A464*('前提と出典'!$C$36*'契約別単価'!I5+'前提と出典'!$C$37*'契約別単価'!I6+'前提と出典'!$C$38*'契約別単価'!I7)</ns0:f>
        <ns0:v>19409.94413407821</ns0:v>
      </ns0:c>
      <ns0:c r="J464" s="16">
        <ns0:f>A464*('前提と出典'!$C$36*'契約別単価'!J5+'前提と出典'!$C$37*'契約別単価'!J6+'前提と出典'!$C$38*'契約別単価'!J7)</ns0:f>
        <ns0:v>45213.19010673918</ns0:v>
      </ns0:c>
      <ns0:c r="K464" s="16">
        <ns0:f>A464*('前提と出典'!$C$36*'契約別単価'!K5+'前提と出典'!$C$37*'契約別単価'!K6+'前提と出典'!$C$38*'契約別単価'!K7)</ns0:f>
        <ns0:v>193799.6275605214</ns0:v>
      </ns0:c>
      <ns0:c r="L464" s="16">
        <ns0:f>A464*('前提と出典'!$C$36*'契約別単価'!L5+'前提と出典'!$C$37*'契約別単価'!L6+'前提と出典'!$C$38*'契約別単価'!L7)</ns0:f>
        <ns0:v>157792.33261278458</ns0:v>
      </ns0:c>
      <ns0:c r="M464" s="16">
        <ns0:f>IF(('前提と出典'!$C$36+'前提と出典'!$C$38)=0,0,IF(B464&lt;=10,'前提と出典'!B73+'前提と出典'!C73,IF(B464&lt;=100,'前提と出典'!B74+'前提と出典'!C74,IF(B464&lt;=500,'前提と出典'!B75+'前提と出典'!C75,'前提と出典'!B76+'前提と出典'!C76))))</ns0:f>
        <ns0:v>40000</ns0:v>
      </ns0:c>
      <ns0:c r="N464" s="16">
        <ns0:f>IF(('前提と出典'!$C$37+'前提と出典'!$C$38)=0,0,IF(C464&lt;=10,'前提と出典'!D73+'前提と出典'!E73,IF(C464&lt;=100,'前提と出典'!D74+'前提と出典'!E74,IF(C464&lt;=500,'前提と出典'!D75+'前提と出典'!E75,'前提と出典'!D76+'前提と出典'!E76))))</ns0:f>
        <ns0:v>56510.9346263078</ns0:v>
      </ns0:c>
      <ns0:c r="O464" s="16">
        <ns0:f>IF('前提と出典'!$C$36+'前提と出典'!$C$38=0,0,'前提と出典'!$B$4*IF('前提と出典'!$B$20=0,MAX('前提と出典'!$B$6,D464*'前提と出典'!$B$5),'前提と出典'!$B$6+D464*'前提と出典'!$B$5))</ns0:f>
        <ns0:v>456772.29050279333</ns0:v>
      </ns0:c>
      <ns0:c r="P464" s="16">
        <ns0:f>(E464+G464)*(1-'前提と出典'!$B$7)-I464-K464-M464-O464</ns0:f>
        <ns0:v>1287438.5055437752</ns0:v>
      </ns0:c>
      <ns0:c r="Q464" s="16">
        <ns0:f>(F464+H464)*(1-'前提と出典'!$B$7)-J464-L464-N464</ns0:f>
        <ns0:v>370732.18283529277</ns0:v>
      </ns0:c>
      <ns0:c r="R464" s="16">
        <ns0:f>P464-E464*'前提と出典'!$E$4</ns0:f>
        <ns0:v>940524.0421365292</ns0:v>
      </ns0:c>
      <ns0:c r="S464" s="16">
        <ns0:f>Q464-F464*'前提と出典'!$E$4</ns0:f>
        <ns0:v>269927.7074143195</ns0:v>
      </ns0:c>
      <ns0:c r="T464" s="7">
        <ns0:f>R464+S464</ns0:f>
        <ns0:v>1210451.7495508487</ns0:v>
      </ns0:c>
      <ns0:c r="U464" s="16">
        <ns0:f>P464-E464*'前提と出典'!$E$5</ns0:f>
        <ns0:v>824885.8876674471</ns0:v>
      </ns0:c>
      <ns0:c r="V464" s="16">
        <ns0:f>Q464-F464*'前提と出典'!$E$5</ns0:f>
        <ns0:v>236326.21560732846</ns0:v>
      </ns0:c>
      <ns0:c r="W464" s="7">
        <ns0:f>U464+V464</ns0:f>
        <ns0:v>1061212.1032747757</ns0:v>
      </ns0:c>
      <ns0:c r="X464" s="16">
        <ns0:f>P464-E464*'前提と出典'!$E$6</ns0:f>
        <ns0:v>709247.733198365</ns0:v>
      </ns0:c>
      <ns0:c r="Y464" s="16">
        <ns0:f>Q464-F464*'前提と出典'!$E$6</ns0:f>
        <ns0:v>202724.7238003374</ns0:v>
      </ns0:c>
      <ns0:c r="Z464" s="7">
        <ns0:f>X464+Y464</ns0:f>
        <ns0:v>911972.4569987024</ns0:v>
      </ns0:c>
      <ns0:c r="AA464" s="7">
        <ns0:f>IF(T464&gt;=0,A464,1001)</ns0:f>
        <ns0:v>460</ns0:v>
      </ns0:c>
      <ns0:c r="AB464" s="7">
        <ns0:f>IF(T464&lt;0,A464,0)</ns0:f>
        <ns0:v>0</ns0:v>
      </ns0:c>
      <ns0:c r="AC464" s="16">
        <ns0:f>IF(AND(OR('前提と出典'!$C$36+'前提と出典'!$C$38=0,R464&gt;=0),OR('前提と出典'!$C$37+'前提と出典'!$C$38=0,S464&gt;=0)),0,A464)</ns0:f>
        <ns0:v>0</ns0:v>
      </ns0:c>
      <ns0:c r="AD464" s="7">
        <ns0:f>IF(W464&gt;=0,A464,1001)</ns0:f>
        <ns0:v>460</ns0:v>
      </ns0:c>
      <ns0:c r="AE464" s="7">
        <ns0:f>IF(W464&lt;0,A464,0)</ns0:f>
        <ns0:v>0</ns0:v>
      </ns0:c>
      <ns0:c r="AF464" s="16">
        <ns0:f>IF(AND(OR('前提と出典'!$C$36+'前提と出典'!$C$38=0,U464&gt;=0),OR('前提と出典'!$C$37+'前提と出典'!$C$38=0,V464&gt;=0)),0,A464)</ns0:f>
        <ns0:v>0</ns0:v>
      </ns0:c>
      <ns0:c r="AG464" s="7">
        <ns0:f>IF(Z464&gt;=0,A464,1001)</ns0:f>
        <ns0:v>460</ns0:v>
      </ns0:c>
      <ns0:c r="AH464" s="4">
        <ns0:f>IF(Z464&lt;0,A464,0)</ns0:f>
        <ns0:v>0</ns0:v>
      </ns0:c>
      <ns0:c r="AI464" s="12">
        <ns0:f>IF(AND(OR('前提と出典'!$C$36+'前提と出典'!$C$38=0,X464&gt;=0),OR('前提と出典'!$C$37+'前提と出典'!$C$38=0,Y464&gt;=0)),0,A464)</ns0:f>
        <ns0:v>0</ns0:v>
      </ns0:c>
    </ns0:row>
    <ns0:row r="465" ht="24" customHeight="1">
      <ns0:c r="A465" s="4" t="n">
        <ns0:v>461</ns0:v>
      </ns0:c>
      <ns0:c r="B465" s="12">
        <ns0:f>A465*('前提と出典'!$C$36+'前提と出典'!$C$38)</ns0:f>
        <ns0:v>322.7</ns0:v>
      </ns0:c>
      <ns0:c r="C465" s="12">
        <ns0:f>A465*('前提と出典'!$C$37+'前提と出典'!$C$38)</ns0:f>
        <ns0:v>276.59999999999997</ns0:v>
      </ns0:c>
      <ns0:c r="D465" s="16">
        <ns0:f>A465*('前提と出典'!$C$36*'契約別単価'!C5+'前提と出典'!$C$37*'契約別単価'!C6+'前提と出典'!$C$38*'契約別単価'!C7)</ns0:f>
        <ns0:v>3317.1396648044692</ns0:v>
      </ns0:c>
      <ns0:c r="E465" s="16">
        <ns0:f>A465*('前提と出典'!$C$36*'契約別単価'!E5+'前提と出典'!$C$37*'契約別単価'!E6+'前提と出典'!$C$38*'契約別単価'!E7)</ns0:f>
        <ns0:v>1158895.417614061</ns0:v>
      </ns0:c>
      <ns0:c r="F465" s="16">
        <ns0:f>A465*('前提と出典'!$C$36*'契約別単価'!F5+'前提と出典'!$C$37*'契約別単価'!F6+'前提と出典'!$C$38*'契約別単価'!F7)</ns0:f>
        <ns0:v>336745.38528310624</ns0:v>
      </ns0:c>
      <ns0:c r="G465" s="16">
        <ns0:f>A465*('前提と出典'!$C$36*'契約別単価'!G5+'前提と出典'!$C$37*'契約別単価'!G6+'前提と出典'!$C$38*'契約別単価'!G7)</ns0:f>
        <ns0:v>917621.7877094971</ns0:v>
      </ns0:c>
      <ns0:c r="H465" s="16">
        <ns0:f>A465*('前提と出典'!$C$36*'契約別単価'!H5+'前提と出典'!$C$37*'契約別単価'!H6+'前提と出典'!$C$38*'契約別単価'!H7)</ns0:f>
        <ns0:v>318460.7826843715</ns0:v>
      </ns0:c>
      <ns0:c r="I465" s="16">
        <ns0:f>A465*('前提と出典'!$C$36*'契約別単価'!I5+'前提と出典'!$C$37*'契約別単価'!I6+'前提と出典'!$C$38*'契約別単価'!I7)</ns0:f>
        <ns0:v>19452.139664804465</ns0:v>
      </ns0:c>
      <ns0:c r="J465" s="16">
        <ns0:f>A465*('前提と出典'!$C$36*'契約別単価'!J5+'前提と出典'!$C$37*'契約別単価'!J6+'前提と出典'!$C$38*'契約別単価'!J7)</ns0:f>
        <ns0:v>45311.47965044948</ns0:v>
      </ns0:c>
      <ns0:c r="K465" s="16">
        <ns0:f>A465*('前提と出典'!$C$36*'契約別単価'!K5+'前提と出典'!$C$37*'契約別単価'!K6+'前提と出典'!$C$38*'契約別単価'!K7)</ns0:f>
        <ns0:v>194220.93109869646</ns0:v>
      </ns0:c>
      <ns0:c r="L465" s="16">
        <ns0:f>A465*('前提と出典'!$C$36*'契約別単価'!L5+'前提と出典'!$C$37*'契約別単価'!L6+'前提と出典'!$C$38*'契約別単価'!L7)</ns0:f>
        <ns0:v>158135.35942281238</ns0:v>
      </ns0:c>
      <ns0:c r="M465" s="16">
        <ns0:f>IF(('前提と出典'!$C$36+'前提と出典'!$C$38)=0,0,IF(B465&lt;=10,'前提と出典'!B73+'前提と出典'!C73,IF(B465&lt;=100,'前提と出典'!B74+'前提と出典'!C74,IF(B465&lt;=500,'前提と出典'!B75+'前提と出典'!C75,'前提と出典'!B76+'前提と出典'!C76))))</ns0:f>
        <ns0:v>40000</ns0:v>
      </ns0:c>
      <ns0:c r="N465" s="16">
        <ns0:f>IF(('前提と出典'!$C$37+'前提と出典'!$C$38)=0,0,IF(C465&lt;=10,'前提と出典'!D73+'前提と出典'!E73,IF(C465&lt;=100,'前提と出典'!D74+'前提と出典'!E74,IF(C465&lt;=500,'前提と出典'!D75+'前提と出典'!E75,'前提と出典'!D76+'前提と出典'!E76))))</ns0:f>
        <ns0:v>56510.9346263078</ns0:v>
      </ns0:c>
      <ns0:c r="O465" s="16">
        <ns0:f>IF('前提と出典'!$C$36+'前提と出典'!$C$38=0,0,'前提と出典'!$B$4*IF('前提と出典'!$B$20=0,MAX('前提と出典'!$B$6,D465*'前提と出典'!$B$5),'前提と出典'!$B$6+D465*'前提と出典'!$B$5))</ns0:f>
        <ns0:v>457765.2737430168</ns0:v>
      </ns0:c>
      <ns0:c r="P465" s="16">
        <ns0:f>(E465+G465)*(1-'前提と出典'!$B$7)-I465-K465-M465-O465</ns0:f>
        <ns0:v>1290324.241425392</ns0:v>
      </ns0:c>
      <ns0:c r="Q465" s="16">
        <ns0:f>(F465+H465)*(1-'前提と出典'!$B$7)-J465-L465-N465</ns0:f>
        <ns0:v>371660.97222107893</ns0:v>
      </ns0:c>
      <ns0:c r="R465" s="16">
        <ns0:f>P465-E465*'前提と出典'!$E$4</ns0:f>
        <ns0:v>942655.6161411738</ns0:v>
      </ns0:c>
      <ns0:c r="S465" s="16">
        <ns0:f>Q465-F465*'前提と出典'!$E$4</ns0:f>
        <ns0:v>270637.356636147</ns0:v>
      </ns0:c>
      <ns0:c r="T465" s="7">
        <ns0:f>R465+S465</ns0:f>
        <ns0:v>1213292.9727773208</ns0:v>
      </ns0:c>
      <ns0:c r="U465" s="16">
        <ns0:f>P465-E465*'前提と出典'!$E$5</ns0:f>
        <ns0:v>826766.0743797675</ns0:v>
      </ns0:c>
      <ns0:c r="V465" s="16">
        <ns0:f>Q465-F465*'前提と出典'!$E$5</ns0:f>
        <ns0:v>236962.8181078364</ns0:v>
      </ns0:c>
      <ns0:c r="W465" s="7">
        <ns0:f>U465+V465</ns0:f>
        <ns0:v>1063728.892487604</ns0:v>
      </ns0:c>
      <ns0:c r="X465" s="16">
        <ns0:f>P465-E465*'前提と出典'!$E$6</ns0:f>
        <ns0:v>710876.5326183615</ns0:v>
      </ns0:c>
      <ns0:c r="Y465" s="16">
        <ns0:f>Q465-F465*'前提と出典'!$E$6</ns0:f>
        <ns0:v>203288.27957952584</ns0:v>
      </ns0:c>
      <ns0:c r="Z465" s="7">
        <ns0:f>X465+Y465</ns0:f>
        <ns0:v>914164.8121978873</ns0:v>
      </ns0:c>
      <ns0:c r="AA465" s="7">
        <ns0:f>IF(T465&gt;=0,A465,1001)</ns0:f>
        <ns0:v>461</ns0:v>
      </ns0:c>
      <ns0:c r="AB465" s="7">
        <ns0:f>IF(T465&lt;0,A465,0)</ns0:f>
        <ns0:v>0</ns0:v>
      </ns0:c>
      <ns0:c r="AC465" s="16">
        <ns0:f>IF(AND(OR('前提と出典'!$C$36+'前提と出典'!$C$38=0,R465&gt;=0),OR('前提と出典'!$C$37+'前提と出典'!$C$38=0,S465&gt;=0)),0,A465)</ns0:f>
        <ns0:v>0</ns0:v>
      </ns0:c>
      <ns0:c r="AD465" s="7">
        <ns0:f>IF(W465&gt;=0,A465,1001)</ns0:f>
        <ns0:v>461</ns0:v>
      </ns0:c>
      <ns0:c r="AE465" s="7">
        <ns0:f>IF(W465&lt;0,A465,0)</ns0:f>
        <ns0:v>0</ns0:v>
      </ns0:c>
      <ns0:c r="AF465" s="16">
        <ns0:f>IF(AND(OR('前提と出典'!$C$36+'前提と出典'!$C$38=0,U465&gt;=0),OR('前提と出典'!$C$37+'前提と出典'!$C$38=0,V465&gt;=0)),0,A465)</ns0:f>
        <ns0:v>0</ns0:v>
      </ns0:c>
      <ns0:c r="AG465" s="7">
        <ns0:f>IF(Z465&gt;=0,A465,1001)</ns0:f>
        <ns0:v>461</ns0:v>
      </ns0:c>
      <ns0:c r="AH465" s="4">
        <ns0:f>IF(Z465&lt;0,A465,0)</ns0:f>
        <ns0:v>0</ns0:v>
      </ns0:c>
      <ns0:c r="AI465" s="12">
        <ns0:f>IF(AND(OR('前提と出典'!$C$36+'前提と出典'!$C$38=0,X465&gt;=0),OR('前提と出典'!$C$37+'前提と出典'!$C$38=0,Y465&gt;=0)),0,A465)</ns0:f>
        <ns0:v>0</ns0:v>
      </ns0:c>
    </ns0:row>
    <ns0:row r="466" ht="24" customHeight="1">
      <ns0:c r="A466" s="4" t="n">
        <ns0:v>462</ns0:v>
      </ns0:c>
      <ns0:c r="B466" s="12">
        <ns0:f>A466*('前提と出典'!$C$36+'前提と出典'!$C$38)</ns0:f>
        <ns0:v>323.4</ns0:v>
      </ns0:c>
      <ns0:c r="C466" s="12">
        <ns0:f>A466*('前提と出典'!$C$37+'前提と出典'!$C$38)</ns0:f>
        <ns0:v>277.2</ns0:v>
      </ns0:c>
      <ns0:c r="D466" s="16">
        <ns0:f>A466*('前提と出典'!$C$36*'契約別単価'!C5+'前提と出典'!$C$37*'契約別単価'!C6+'前提と出典'!$C$38*'契約別単価'!C7)</ns0:f>
        <ns0:v>3324.335195530726</ns0:v>
      </ns0:c>
      <ns0:c r="E466" s="16">
        <ns0:f>A466*('前提と出典'!$C$36*'契約別単価'!E5+'前提と出典'!$C$37*'契約別単価'!E6+'前提と出典'!$C$38*'契約別単価'!E7)</ns0:f>
        <ns0:v>1161409.290537302</ns0:v>
      </ns0:c>
      <ns0:c r="F466" s="16">
        <ns0:f>A466*('前提と出典'!$C$36*'契約別単価'!F5+'前提と出典'!$C$37*'契約別単価'!F6+'前提と出典'!$C$38*'契約別単価'!F7)</ns0:f>
        <ns0:v>337475.8524963017</ns0:v>
      </ns0:c>
      <ns0:c r="G466" s="16">
        <ns0:f>A466*('前提と出典'!$C$36*'契約別単価'!G5+'前提と出典'!$C$37*'契約別単価'!G6+'前提と出典'!$C$38*'契約別単価'!G7)</ns0:f>
        <ns0:v>919612.2905027933</ns0:v>
      </ns0:c>
      <ns0:c r="H466" s="16">
        <ns0:f>A466*('前提と出典'!$C$36*'契約別単価'!H5+'前提と出典'!$C$37*'契約別単価'!H6+'前提と出典'!$C$38*'契約別単価'!H7)</ns0:f>
        <ns0:v>319151.5869852053</ns0:v>
      </ns0:c>
      <ns0:c r="I466" s="16">
        <ns0:f>A466*('前提と出典'!$C$36*'契約別単価'!I5+'前提と出典'!$C$37*'契約別単価'!I6+'前提と出典'!$C$38*'契約別単価'!I7)</ns0:f>
        <ns0:v>19494.335195530723</ns0:v>
      </ns0:c>
      <ns0:c r="J466" s="16">
        <ns0:f>A466*('前提と出典'!$C$36*'契約別単価'!J5+'前提と出典'!$C$37*'契約別単価'!J6+'前提と出典'!$C$38*'契約別単価'!J7)</ns0:f>
        <ns0:v>45409.76919415979</ns0:v>
      </ns0:c>
      <ns0:c r="K466" s="16">
        <ns0:f>A466*('前提と出典'!$C$36*'契約別単価'!K5+'前提と出典'!$C$37*'契約別単価'!K6+'前提と出典'!$C$38*'契約別単価'!K7)</ns0:f>
        <ns0:v>194642.2346368715</ns0:v>
      </ns0:c>
      <ns0:c r="L466" s="16">
        <ns0:f>A466*('前提と出典'!$C$36*'契約別単価'!L5+'前提と出典'!$C$37*'契約別単価'!L6+'前提と出典'!$C$38*'契約別単価'!L7)</ns0:f>
        <ns0:v>158478.38623284016</ns0:v>
      </ns0:c>
      <ns0:c r="M466" s="16">
        <ns0:f>IF(('前提と出典'!$C$36+'前提と出典'!$C$38)=0,0,IF(B466&lt;=10,'前提と出典'!B73+'前提と出典'!C73,IF(B466&lt;=100,'前提と出典'!B74+'前提と出典'!C74,IF(B466&lt;=500,'前提と出典'!B75+'前提と出典'!C75,'前提と出典'!B76+'前提と出典'!C76))))</ns0:f>
        <ns0:v>40000</ns0:v>
      </ns0:c>
      <ns0:c r="N466" s="16">
        <ns0:f>IF(('前提と出典'!$C$37+'前提と出典'!$C$38)=0,0,IF(C466&lt;=10,'前提と出典'!D73+'前提と出典'!E73,IF(C466&lt;=100,'前提と出典'!D74+'前提と出典'!E74,IF(C466&lt;=500,'前提と出典'!D75+'前提と出典'!E75,'前提と出典'!D76+'前提と出典'!E76))))</ns0:f>
        <ns0:v>56510.9346263078</ns0:v>
      </ns0:c>
      <ns0:c r="O466" s="16">
        <ns0:f>IF('前提と出典'!$C$36+'前提と出典'!$C$38=0,0,'前提と出典'!$B$4*IF('前提と出典'!$B$20=0,MAX('前提と出典'!$B$6,D466*'前提と出典'!$B$5),'前提と出典'!$B$6+D466*'前提と出典'!$B$5))</ns0:f>
        <ns0:v>458758.25698324025</ns0:v>
      </ns0:c>
      <ns0:c r="P466" s="16">
        <ns0:f>(E466+G466)*(1-'前提と出典'!$B$7)-I466-K466-M466-O466</ns0:f>
        <ns0:v>1293209.9773070093</ns0:v>
      </ns0:c>
      <ns0:c r="Q466" s="16">
        <ns0:f>(F466+H466)*(1-'前提と出典'!$B$7)-J466-L466-N466</ns0:f>
        <ns0:v>372589.7616068651</ns0:v>
      </ns0:c>
      <ns0:c r="R466" s="16">
        <ns0:f>P466-E466*'前提と出典'!$E$4</ns0:f>
        <ns0:v>944787.1901458189</ns0:v>
      </ns0:c>
      <ns0:c r="S466" s="16">
        <ns0:f>Q466-F466*'前提と出典'!$E$4</ns0:f>
        <ns0:v>271347.00585797464</ns0:v>
      </ns0:c>
      <ns0:c r="T466" s="7">
        <ns0:f>R466+S466</ns0:f>
        <ns0:v>1216134.1960037935</ns0:v>
      </ns0:c>
      <ns0:c r="U466" s="16">
        <ns0:f>P466-E466*'前提と出典'!$E$5</ns0:f>
        <ns0:v>828646.2610920885</ns0:v>
      </ns0:c>
      <ns0:c r="V466" s="16">
        <ns0:f>Q466-F466*'前提と出典'!$E$5</ns0:f>
        <ns0:v>237599.42060834437</ns0:v>
      </ns0:c>
      <ns0:c r="W466" s="7">
        <ns0:f>U466+V466</ns0:f>
        <ns0:v>1066245.681700433</ns0:v>
      </ns0:c>
      <ns0:c r="X466" s="16">
        <ns0:f>P466-E466*'前提と出典'!$E$6</ns0:f>
        <ns0:v>712505.3320383582</ns0:v>
      </ns0:c>
      <ns0:c r="Y466" s="16">
        <ns0:f>Q466-F466*'前提と出典'!$E$6</ns0:f>
        <ns0:v>203851.8353587142</ns0:v>
      </ns0:c>
      <ns0:c r="Z466" s="7">
        <ns0:f>X466+Y466</ns0:f>
        <ns0:v>916357.1673970724</ns0:v>
      </ns0:c>
      <ns0:c r="AA466" s="7">
        <ns0:f>IF(T466&gt;=0,A466,1001)</ns0:f>
        <ns0:v>462</ns0:v>
      </ns0:c>
      <ns0:c r="AB466" s="7">
        <ns0:f>IF(T466&lt;0,A466,0)</ns0:f>
        <ns0:v>0</ns0:v>
      </ns0:c>
      <ns0:c r="AC466" s="16">
        <ns0:f>IF(AND(OR('前提と出典'!$C$36+'前提と出典'!$C$38=0,R466&gt;=0),OR('前提と出典'!$C$37+'前提と出典'!$C$38=0,S466&gt;=0)),0,A466)</ns0:f>
        <ns0:v>0</ns0:v>
      </ns0:c>
      <ns0:c r="AD466" s="7">
        <ns0:f>IF(W466&gt;=0,A466,1001)</ns0:f>
        <ns0:v>462</ns0:v>
      </ns0:c>
      <ns0:c r="AE466" s="7">
        <ns0:f>IF(W466&lt;0,A466,0)</ns0:f>
        <ns0:v>0</ns0:v>
      </ns0:c>
      <ns0:c r="AF466" s="16">
        <ns0:f>IF(AND(OR('前提と出典'!$C$36+'前提と出典'!$C$38=0,U466&gt;=0),OR('前提と出典'!$C$37+'前提と出典'!$C$38=0,V466&gt;=0)),0,A466)</ns0:f>
        <ns0:v>0</ns0:v>
      </ns0:c>
      <ns0:c r="AG466" s="7">
        <ns0:f>IF(Z466&gt;=0,A466,1001)</ns0:f>
        <ns0:v>462</ns0:v>
      </ns0:c>
      <ns0:c r="AH466" s="4">
        <ns0:f>IF(Z466&lt;0,A466,0)</ns0:f>
        <ns0:v>0</ns0:v>
      </ns0:c>
      <ns0:c r="AI466" s="12">
        <ns0:f>IF(AND(OR('前提と出典'!$C$36+'前提と出典'!$C$38=0,X466&gt;=0),OR('前提と出典'!$C$37+'前提と出典'!$C$38=0,Y466&gt;=0)),0,A466)</ns0:f>
        <ns0:v>0</ns0:v>
      </ns0:c>
    </ns0:row>
    <ns0:row r="467" ht="24" customHeight="1">
      <ns0:c r="A467" s="4" t="n">
        <ns0:v>463</ns0:v>
      </ns0:c>
      <ns0:c r="B467" s="12">
        <ns0:f>A467*('前提と出典'!$C$36+'前提と出典'!$C$38)</ns0:f>
        <ns0:v>324.09999999999997</ns0:v>
      </ns0:c>
      <ns0:c r="C467" s="12">
        <ns0:f>A467*('前提と出典'!$C$37+'前提と出典'!$C$38)</ns0:f>
        <ns0:v>277.8</ns0:v>
      </ns0:c>
      <ns0:c r="D467" s="16">
        <ns0:f>A467*('前提と出典'!$C$36*'契約別単価'!C5+'前提と出典'!$C$37*'契約別単価'!C6+'前提と出典'!$C$38*'契約別単価'!C7)</ns0:f>
        <ns0:v>3331.530726256983</ns0:v>
      </ns0:c>
      <ns0:c r="E467" s="16">
        <ns0:f>A467*('前提と出典'!$C$36*'契約別単価'!E5+'前提と出典'!$C$37*'契約別単価'!E6+'前提と出典'!$C$38*'契約別単価'!E7)</ns0:f>
        <ns0:v>1163923.163460543</ns0:v>
      </ns0:c>
      <ns0:c r="F467" s="16">
        <ns0:f>A467*('前提と出典'!$C$36*'契約別単価'!F5+'前提と出典'!$C$37*'契約別単価'!F6+'前提と出典'!$C$38*'契約別単価'!F7)</ns0:f>
        <ns0:v>338206.31970949715</ns0:v>
      </ns0:c>
      <ns0:c r="G467" s="16">
        <ns0:f>A467*('前提と出典'!$C$36*'契約別単価'!G5+'前提と出典'!$C$37*'契約別単価'!G6+'前提と出典'!$C$38*'契約別単価'!G7)</ns0:f>
        <ns0:v>921602.7932960894</ns0:v>
      </ns0:c>
      <ns0:c r="H467" s="16">
        <ns0:f>A467*('前提と出典'!$C$36*'契約別単価'!H5+'前提と出典'!$C$37*'契約別単価'!H6+'前提と出典'!$C$38*'契約別単価'!H7)</ns0:f>
        <ns0:v>319842.3912860391</ns0:v>
      </ns0:c>
      <ns0:c r="I467" s="16">
        <ns0:f>A467*('前提と出典'!$C$36*'契約別単価'!I5+'前提と出典'!$C$37*'契約別単価'!I6+'前提と出典'!$C$38*'契約別単価'!I7)</ns0:f>
        <ns0:v>19536.53072625698</ns0:v>
      </ns0:c>
      <ns0:c r="J467" s="16">
        <ns0:f>A467*('前提と出典'!$C$36*'契約別単価'!J5+'前提と出典'!$C$37*'契約別単価'!J6+'前提と出典'!$C$38*'契約別単価'!J7)</ns0:f>
        <ns0:v>45508.05873787009</ns0:v>
      </ns0:c>
      <ns0:c r="K467" s="16">
        <ns0:f>A467*('前提と出典'!$C$36*'契約別単価'!K5+'前提と出典'!$C$37*'契約別単価'!K6+'前提と出典'!$C$38*'契約別単価'!K7)</ns0:f>
        <ns0:v>195063.53817504653</ns0:v>
      </ns0:c>
      <ns0:c r="L467" s="16">
        <ns0:f>A467*('前提と出典'!$C$36*'契約別単価'!L5+'前提と出典'!$C$37*'契約別単価'!L6+'前提と出典'!$C$38*'契約別単価'!L7)</ns0:f>
        <ns0:v>158821.41304286796</ns0:v>
      </ns0:c>
      <ns0:c r="M467" s="16">
        <ns0:f>IF(('前提と出典'!$C$36+'前提と出典'!$C$38)=0,0,IF(B467&lt;=10,'前提と出典'!B73+'前提と出典'!C73,IF(B467&lt;=100,'前提と出典'!B74+'前提と出典'!C74,IF(B467&lt;=500,'前提と出典'!B75+'前提と出典'!C75,'前提と出典'!B76+'前提と出典'!C76))))</ns0:f>
        <ns0:v>40000</ns0:v>
      </ns0:c>
      <ns0:c r="N467" s="16">
        <ns0:f>IF(('前提と出典'!$C$37+'前提と出典'!$C$38)=0,0,IF(C467&lt;=10,'前提と出典'!D73+'前提と出典'!E73,IF(C467&lt;=100,'前提と出典'!D74+'前提と出典'!E74,IF(C467&lt;=500,'前提と出典'!D75+'前提と出典'!E75,'前提と出典'!D76+'前提と出典'!E76))))</ns0:f>
        <ns0:v>56510.9346263078</ns0:v>
      </ns0:c>
      <ns0:c r="O467" s="16">
        <ns0:f>IF('前提と出典'!$C$36+'前提と出典'!$C$38=0,0,'前提と出典'!$B$4*IF('前提と出典'!$B$20=0,MAX('前提と出典'!$B$6,D467*'前提と出典'!$B$5),'前提と出典'!$B$6+D467*'前提と出典'!$B$5))</ns0:f>
        <ns0:v>459751.2402234637</ns0:v>
      </ns0:c>
      <ns0:c r="P467" s="16">
        <ns0:f>(E467+G467)*(1-'前提と出典'!$B$7)-I467-K467-M467-O467</ns0:f>
        <ns0:v>1296095.7131886266</ns0:v>
      </ns0:c>
      <ns0:c r="Q467" s="16">
        <ns0:f>(F467+H467)*(1-'前提と出典'!$B$7)-J467-L467-N467</ns0:f>
        <ns0:v>373518.55099265114</ns0:v>
      </ns0:c>
      <ns0:c r="R467" s="16">
        <ns0:f>P467-E467*'前提と出典'!$E$4</ns0:f>
        <ns0:v>946918.7641504637</ns0:v>
      </ns0:c>
      <ns0:c r="S467" s="16">
        <ns0:f>Q467-F467*'前提と出典'!$E$4</ns0:f>
        <ns0:v>272056.6550798021</ns0:v>
      </ns0:c>
      <ns0:c r="T467" s="7">
        <ns0:f>R467+S467</ns0:f>
        <ns0:v>1218975.4192302658</ns0:v>
      </ns0:c>
      <ns0:c r="U467" s="16">
        <ns0:f>P467-E467*'前提と出典'!$E$5</ns0:f>
        <ns0:v>830526.4478044093</ns0:v>
      </ns0:c>
      <ns0:c r="V467" s="16">
        <ns0:f>Q467-F467*'前提と出典'!$E$5</ns0:f>
        <ns0:v>238236.02310885227</ns0:v>
      </ns0:c>
      <ns0:c r="W467" s="7">
        <ns0:f>U467+V467</ns0:f>
        <ns0:v>1068762.4709132616</ns0:v>
      </ns0:c>
      <ns0:c r="X467" s="16">
        <ns0:f>P467-E467*'前提と出典'!$E$6</ns0:f>
        <ns0:v>714134.1314583551</ns0:v>
      </ns0:c>
      <ns0:c r="Y467" s="16">
        <ns0:f>Q467-F467*'前提と出典'!$E$6</ns0:f>
        <ns0:v>204415.39113790257</ns0:v>
      </ns0:c>
      <ns0:c r="Z467" s="7">
        <ns0:f>X467+Y467</ns0:f>
        <ns0:v>918549.5225962577</ns0:v>
      </ns0:c>
      <ns0:c r="AA467" s="7">
        <ns0:f>IF(T467&gt;=0,A467,1001)</ns0:f>
        <ns0:v>463</ns0:v>
      </ns0:c>
      <ns0:c r="AB467" s="7">
        <ns0:f>IF(T467&lt;0,A467,0)</ns0:f>
        <ns0:v>0</ns0:v>
      </ns0:c>
      <ns0:c r="AC467" s="16">
        <ns0:f>IF(AND(OR('前提と出典'!$C$36+'前提と出典'!$C$38=0,R467&gt;=0),OR('前提と出典'!$C$37+'前提と出典'!$C$38=0,S467&gt;=0)),0,A467)</ns0:f>
        <ns0:v>0</ns0:v>
      </ns0:c>
      <ns0:c r="AD467" s="7">
        <ns0:f>IF(W467&gt;=0,A467,1001)</ns0:f>
        <ns0:v>463</ns0:v>
      </ns0:c>
      <ns0:c r="AE467" s="7">
        <ns0:f>IF(W467&lt;0,A467,0)</ns0:f>
        <ns0:v>0</ns0:v>
      </ns0:c>
      <ns0:c r="AF467" s="16">
        <ns0:f>IF(AND(OR('前提と出典'!$C$36+'前提と出典'!$C$38=0,U467&gt;=0),OR('前提と出典'!$C$37+'前提と出典'!$C$38=0,V467&gt;=0)),0,A467)</ns0:f>
        <ns0:v>0</ns0:v>
      </ns0:c>
      <ns0:c r="AG467" s="7">
        <ns0:f>IF(Z467&gt;=0,A467,1001)</ns0:f>
        <ns0:v>463</ns0:v>
      </ns0:c>
      <ns0:c r="AH467" s="4">
        <ns0:f>IF(Z467&lt;0,A467,0)</ns0:f>
        <ns0:v>0</ns0:v>
      </ns0:c>
      <ns0:c r="AI467" s="12">
        <ns0:f>IF(AND(OR('前提と出典'!$C$36+'前提と出典'!$C$38=0,X467&gt;=0),OR('前提と出典'!$C$37+'前提と出典'!$C$38=0,Y467&gt;=0)),0,A467)</ns0:f>
        <ns0:v>0</ns0:v>
      </ns0:c>
    </ns0:row>
    <ns0:row r="468" ht="24" customHeight="1">
      <ns0:c r="A468" s="4" t="n">
        <ns0:v>464</ns0:v>
      </ns0:c>
      <ns0:c r="B468" s="12">
        <ns0:f>A468*('前提と出典'!$C$36+'前提と出典'!$C$38)</ns0:f>
        <ns0:v>324.79999999999995</ns0:v>
      </ns0:c>
      <ns0:c r="C468" s="12">
        <ns0:f>A468*('前提と出典'!$C$37+'前提と出典'!$C$38)</ns0:f>
        <ns0:v>278.4</ns0:v>
      </ns0:c>
      <ns0:c r="D468" s="16">
        <ns0:f>A468*('前提と出典'!$C$36*'契約別単価'!C5+'前提と出典'!$C$37*'契約別単価'!C6+'前提と出典'!$C$38*'契約別単価'!C7)</ns0:f>
        <ns0:v>3338.72625698324</ns0:v>
      </ns0:c>
      <ns0:c r="E468" s="16">
        <ns0:f>A468*('前提と出典'!$C$36*'契約別単価'!E5+'前提と出典'!$C$37*'契約別単価'!E6+'前提と出典'!$C$38*'契約別単価'!E7)</ns0:f>
        <ns0:v>1166437.0363837837</ns0:v>
      </ns0:c>
      <ns0:c r="F468" s="16">
        <ns0:f>A468*('前提と出典'!$C$36*'契約別単価'!F5+'前提と出典'!$C$37*'契約別単価'!F6+'前提と出典'!$C$38*'契約別単価'!F7)</ns0:f>
        <ns0:v>338936.7869226926</ns0:v>
      </ns0:c>
      <ns0:c r="G468" s="16">
        <ns0:f>A468*('前提と出典'!$C$36*'契約別単価'!G5+'前提と出典'!$C$37*'契約別単価'!G6+'前提と出典'!$C$38*'契約別単価'!G7)</ns0:f>
        <ns0:v>923593.2960893854</ns0:v>
      </ns0:c>
      <ns0:c r="H468" s="16">
        <ns0:f>A468*('前提と出典'!$C$36*'契約別単価'!H5+'前提と出典'!$C$37*'契約別単価'!H6+'前提と出典'!$C$38*'契約別単価'!H7)</ns0:f>
        <ns0:v>320533.19558687287</ns0:v>
      </ns0:c>
      <ns0:c r="I468" s="16">
        <ns0:f>A468*('前提と出典'!$C$36*'契約別単価'!I5+'前提と出典'!$C$37*'契約別単価'!I6+'前提と出典'!$C$38*'契約別単価'!I7)</ns0:f>
        <ns0:v>19578.72625698324</ns0:v>
      </ns0:c>
      <ns0:c r="J468" s="16">
        <ns0:f>A468*('前提と出典'!$C$36*'契約別単価'!J5+'前提と出典'!$C$37*'契約別単価'!J6+'前提と出典'!$C$38*'契約別単価'!J7)</ns0:f>
        <ns0:v>45606.348281580395</ns0:v>
      </ns0:c>
      <ns0:c r="K468" s="16">
        <ns0:f>A468*('前提と出典'!$C$36*'契約別単価'!K5+'前提と出典'!$C$37*'契約別単価'!K6+'前提と出典'!$C$38*'契約別単価'!K7)</ns0:f>
        <ns0:v>195484.8417132216</ns0:v>
      </ns0:c>
      <ns0:c r="L468" s="16">
        <ns0:f>A468*('前提と出典'!$C$36*'契約別単価'!L5+'前提と出典'!$C$37*'契約別単価'!L6+'前提と出典'!$C$38*'契約別単価'!L7)</ns0:f>
        <ns0:v>159164.43985289577</ns0:v>
      </ns0:c>
      <ns0:c r="M468" s="16">
        <ns0:f>IF(('前提と出典'!$C$36+'前提と出典'!$C$38)=0,0,IF(B468&lt;=10,'前提と出典'!B73+'前提と出典'!C73,IF(B468&lt;=100,'前提と出典'!B74+'前提と出典'!C74,IF(B468&lt;=500,'前提と出典'!B75+'前提と出典'!C75,'前提と出典'!B76+'前提と出典'!C76))))</ns0:f>
        <ns0:v>40000</ns0:v>
      </ns0:c>
      <ns0:c r="N468" s="16">
        <ns0:f>IF(('前提と出典'!$C$37+'前提と出典'!$C$38)=0,0,IF(C468&lt;=10,'前提と出典'!D73+'前提と出典'!E73,IF(C468&lt;=100,'前提と出典'!D74+'前提と出典'!E74,IF(C468&lt;=500,'前提と出典'!D75+'前提と出典'!E75,'前提と出典'!D76+'前提と出典'!E76))))</ns0:f>
        <ns0:v>56510.9346263078</ns0:v>
      </ns0:c>
      <ns0:c r="O468" s="16">
        <ns0:f>IF('前提と出典'!$C$36+'前提と出典'!$C$38=0,0,'前提と出典'!$B$4*IF('前提と出典'!$B$20=0,MAX('前提と出典'!$B$6,D468*'前提と出典'!$B$5),'前提と出典'!$B$6+D468*'前提と出典'!$B$5))</ns0:f>
        <ns0:v>460744.2234636872</ns0:v>
      </ns0:c>
      <ns0:c r="P468" s="16">
        <ns0:f>(E468+G468)*(1-'前提と出典'!$B$7)-I468-K468-M468-O468</ns0:f>
        <ns0:v>1298981.4490702432</ns0:v>
      </ns0:c>
      <ns0:c r="Q468" s="16">
        <ns0:f>(F468+H468)*(1-'前提と出典'!$B$7)-J468-L468-N468</ns0:f>
        <ns0:v>374447.3403784372</ns0:v>
      </ns0:c>
      <ns0:c r="R468" s="16">
        <ns0:f>P468-E468*'前提と出典'!$E$4</ns0:f>
        <ns0:v>949050.3381551078</ns0:v>
      </ns0:c>
      <ns0:c r="S468" s="16">
        <ns0:f>Q468-F468*'前提と出典'!$E$4</ns0:f>
        <ns0:v>272766.3043016294</ns0:v>
      </ns0:c>
      <ns0:c r="T468" s="7">
        <ns0:f>R468+S468</ns0:f>
        <ns0:v>1221816.6424567373</ns0:v>
      </ns0:c>
      <ns0:c r="U468" s="16">
        <ns0:f>P468-E468*'前提と出典'!$E$5</ns0:f>
        <ns0:v>832406.6345167297</ns0:v>
      </ns0:c>
      <ns0:c r="V468" s="16">
        <ns0:f>Q468-F468*'前提と出典'!$E$5</ns0:f>
        <ns0:v>238872.62560936017</ns0:v>
      </ns0:c>
      <ns0:c r="W468" s="7">
        <ns0:f>U468+V468</ns0:f>
        <ns0:v>1071279.26012609</ns0:v>
      </ns0:c>
      <ns0:c r="X468" s="16">
        <ns0:f>P468-E468*'前提と出典'!$E$6</ns0:f>
        <ns0:v>715762.9308783512</ns0:v>
      </ns0:c>
      <ns0:c r="Y468" s="16">
        <ns0:f>Q468-F468*'前提と出典'!$E$6</ns0:f>
        <ns0:v>204978.94691709094</ns0:v>
      </ns0:c>
      <ns0:c r="Z468" s="7">
        <ns0:f>X468+Y468</ns0:f>
        <ns0:v>920741.8777954421</ns0:v>
      </ns0:c>
      <ns0:c r="AA468" s="7">
        <ns0:f>IF(T468&gt;=0,A468,1001)</ns0:f>
        <ns0:v>464</ns0:v>
      </ns0:c>
      <ns0:c r="AB468" s="7">
        <ns0:f>IF(T468&lt;0,A468,0)</ns0:f>
        <ns0:v>0</ns0:v>
      </ns0:c>
      <ns0:c r="AC468" s="16">
        <ns0:f>IF(AND(OR('前提と出典'!$C$36+'前提と出典'!$C$38=0,R468&gt;=0),OR('前提と出典'!$C$37+'前提と出典'!$C$38=0,S468&gt;=0)),0,A468)</ns0:f>
        <ns0:v>0</ns0:v>
      </ns0:c>
      <ns0:c r="AD468" s="7">
        <ns0:f>IF(W468&gt;=0,A468,1001)</ns0:f>
        <ns0:v>464</ns0:v>
      </ns0:c>
      <ns0:c r="AE468" s="7">
        <ns0:f>IF(W468&lt;0,A468,0)</ns0:f>
        <ns0:v>0</ns0:v>
      </ns0:c>
      <ns0:c r="AF468" s="16">
        <ns0:f>IF(AND(OR('前提と出典'!$C$36+'前提と出典'!$C$38=0,U468&gt;=0),OR('前提と出典'!$C$37+'前提と出典'!$C$38=0,V468&gt;=0)),0,A468)</ns0:f>
        <ns0:v>0</ns0:v>
      </ns0:c>
      <ns0:c r="AG468" s="7">
        <ns0:f>IF(Z468&gt;=0,A468,1001)</ns0:f>
        <ns0:v>464</ns0:v>
      </ns0:c>
      <ns0:c r="AH468" s="4">
        <ns0:f>IF(Z468&lt;0,A468,0)</ns0:f>
        <ns0:v>0</ns0:v>
      </ns0:c>
      <ns0:c r="AI468" s="12">
        <ns0:f>IF(AND(OR('前提と出典'!$C$36+'前提と出典'!$C$38=0,X468&gt;=0),OR('前提と出典'!$C$37+'前提と出典'!$C$38=0,Y468&gt;=0)),0,A468)</ns0:f>
        <ns0:v>0</ns0:v>
      </ns0:c>
    </ns0:row>
    <ns0:row r="469" ht="24" customHeight="1">
      <ns0:c r="A469" s="4" t="n">
        <ns0:v>465</ns0:v>
      </ns0:c>
      <ns0:c r="B469" s="12">
        <ns0:f>A469*('前提と出典'!$C$36+'前提と出典'!$C$38)</ns0:f>
        <ns0:v>325.5</ns0:v>
      </ns0:c>
      <ns0:c r="C469" s="12">
        <ns0:f>A469*('前提と出典'!$C$37+'前提と出典'!$C$38)</ns0:f>
        <ns0:v>279</ns0:v>
      </ns0:c>
      <ns0:c r="D469" s="16">
        <ns0:f>A469*('前提と出典'!$C$36*'契約別単価'!C5+'前提と出典'!$C$37*'契約別単価'!C6+'前提と出典'!$C$38*'契約別単価'!C7)</ns0:f>
        <ns0:v>3345.921787709497</ns0:v>
      </ns0:c>
      <ns0:c r="E469" s="16">
        <ns0:f>A469*('前提と出典'!$C$36*'契約別単価'!E5+'前提と出典'!$C$37*'契約別単価'!E6+'前提と出典'!$C$38*'契約別単価'!E7)</ns0:f>
        <ns0:v>1168950.9093070247</ns0:v>
      </ns0:c>
      <ns0:c r="F469" s="16">
        <ns0:f>A469*('前提と出典'!$C$36*'契約別単価'!F5+'前提と出典'!$C$37*'契約別単価'!F6+'前提と出典'!$C$38*'契約別単価'!F7)</ns0:f>
        <ns0:v>339667.25413588807</ns0:v>
      </ns0:c>
      <ns0:c r="G469" s="16">
        <ns0:f>A469*('前提と出典'!$C$36*'契約別単価'!G5+'前提と出典'!$C$37*'契約別単価'!G6+'前提と出典'!$C$38*'契約別単価'!G7)</ns0:f>
        <ns0:v>925583.7988826815</ns0:v>
      </ns0:c>
      <ns0:c r="H469" s="16">
        <ns0:f>A469*('前提と出典'!$C$36*'契約別単価'!H5+'前提と出典'!$C$37*'契約別単価'!H6+'前提と出典'!$C$38*'契約別単価'!H7)</ns0:f>
        <ns0:v>321223.99988770665</ns0:v>
      </ns0:c>
      <ns0:c r="I469" s="16">
        <ns0:f>A469*('前提と出典'!$C$36*'契約別単価'!I5+'前提と出典'!$C$37*'契約別単価'!I6+'前提と出典'!$C$38*'契約別単価'!I7)</ns0:f>
        <ns0:v>19620.921787709492</ns0:v>
      </ns0:c>
      <ns0:c r="J469" s="16">
        <ns0:f>A469*('前提と出典'!$C$36*'契約別単価'!J5+'前提と出典'!$C$37*'契約別単価'!J6+'前提と出典'!$C$38*'契約別単価'!J7)</ns0:f>
        <ns0:v>45704.637825290694</ns0:v>
      </ns0:c>
      <ns0:c r="K469" s="16">
        <ns0:f>A469*('前提と出典'!$C$36*'契約別単価'!K5+'前提と出典'!$C$37*'契約別単価'!K6+'前提と出典'!$C$38*'契約別単価'!K7)</ns0:f>
        <ns0:v>195906.14525139664</ns0:v>
      </ns0:c>
      <ns0:c r="L469" s="16">
        <ns0:f>A469*('前提と出典'!$C$36*'契約別単価'!L5+'前提と出典'!$C$37*'契約別単価'!L6+'前提と出典'!$C$38*'契約別単価'!L7)</ns0:f>
        <ns0:v>159507.46666292354</ns0:v>
      </ns0:c>
      <ns0:c r="M469" s="16">
        <ns0:f>IF(('前提と出典'!$C$36+'前提と出典'!$C$38)=0,0,IF(B469&lt;=10,'前提と出典'!B73+'前提と出典'!C73,IF(B469&lt;=100,'前提と出典'!B74+'前提と出典'!C74,IF(B469&lt;=500,'前提と出典'!B75+'前提と出典'!C75,'前提と出典'!B76+'前提と出典'!C76))))</ns0:f>
        <ns0:v>40000</ns0:v>
      </ns0:c>
      <ns0:c r="N469" s="16">
        <ns0:f>IF(('前提と出典'!$C$37+'前提と出典'!$C$38)=0,0,IF(C469&lt;=10,'前提と出典'!D73+'前提と出典'!E73,IF(C469&lt;=100,'前提と出典'!D74+'前提と出典'!E74,IF(C469&lt;=500,'前提と出典'!D75+'前提と出典'!E75,'前提と出典'!D76+'前提と出典'!E76))))</ns0:f>
        <ns0:v>56510.9346263078</ns0:v>
      </ns0:c>
      <ns0:c r="O469" s="16">
        <ns0:f>IF('前提と出典'!$C$36+'前提と出典'!$C$38=0,0,'前提と出典'!$B$4*IF('前提と出典'!$B$20=0,MAX('前提と出典'!$B$6,D469*'前提と出典'!$B$5),'前提と出典'!$B$6+D469*'前提と出典'!$B$5))</ns0:f>
        <ns0:v>461737.2067039106</ns0:v>
      </ns0:c>
      <ns0:c r="P469" s="16">
        <ns0:f>(E469+G469)*(1-'前提と出典'!$B$7)-I469-K469-M469-O469</ns0:f>
        <ns0:v>1301867.1849518602</ns0:v>
      </ns0:c>
      <ns0:c r="Q469" s="16">
        <ns0:f>(F469+H469)*(1-'前提と出典'!$B$7)-J469-L469-N469</ns0:f>
        <ns0:v>375376.12976422335</ns0:v>
      </ns0:c>
      <ns0:c r="R469" s="16">
        <ns0:f>P469-E469*'前提と出典'!$E$4</ns0:f>
        <ns0:v>951181.9121597528</ns0:v>
      </ns0:c>
      <ns0:c r="S469" s="16">
        <ns0:f>Q469-F469*'前提と出典'!$E$4</ns0:f>
        <ns0:v>273475.95352345693</ns0:v>
      </ns0:c>
      <ns0:c r="T469" s="7">
        <ns0:f>R469+S469</ns0:f>
        <ns0:v>1224657.8656832096</ns0:v>
      </ns0:c>
      <ns0:c r="U469" s="16">
        <ns0:f>P469-E469*'前提と出典'!$E$5</ns0:f>
        <ns0:v>834286.8212290504</ns0:v>
      </ns0:c>
      <ns0:c r="V469" s="16">
        <ns0:f>Q469-F469*'前提と出典'!$E$5</ns0:f>
        <ns0:v>239509.22810986813</ns0:v>
      </ns0:c>
      <ns0:c r="W469" s="7">
        <ns0:f>U469+V469</ns0:f>
        <ns0:v>1073796.0493389186</ns0:v>
      </ns0:c>
      <ns0:c r="X469" s="16">
        <ns0:f>P469-E469*'前提と出典'!$E$6</ns0:f>
        <ns0:v>717391.730298348</ns0:v>
      </ns0:c>
      <ns0:c r="Y469" s="16">
        <ns0:f>Q469-F469*'前提と出典'!$E$6</ns0:f>
        <ns0:v>205542.5026962793</ns0:v>
      </ns0:c>
      <ns0:c r="Z469" s="7">
        <ns0:f>X469+Y469</ns0:f>
        <ns0:v>922934.2329946273</ns0:v>
      </ns0:c>
      <ns0:c r="AA469" s="7">
        <ns0:f>IF(T469&gt;=0,A469,1001)</ns0:f>
        <ns0:v>465</ns0:v>
      </ns0:c>
      <ns0:c r="AB469" s="7">
        <ns0:f>IF(T469&lt;0,A469,0)</ns0:f>
        <ns0:v>0</ns0:v>
      </ns0:c>
      <ns0:c r="AC469" s="16">
        <ns0:f>IF(AND(OR('前提と出典'!$C$36+'前提と出典'!$C$38=0,R469&gt;=0),OR('前提と出典'!$C$37+'前提と出典'!$C$38=0,S469&gt;=0)),0,A469)</ns0:f>
        <ns0:v>0</ns0:v>
      </ns0:c>
      <ns0:c r="AD469" s="7">
        <ns0:f>IF(W469&gt;=0,A469,1001)</ns0:f>
        <ns0:v>465</ns0:v>
      </ns0:c>
      <ns0:c r="AE469" s="7">
        <ns0:f>IF(W469&lt;0,A469,0)</ns0:f>
        <ns0:v>0</ns0:v>
      </ns0:c>
      <ns0:c r="AF469" s="16">
        <ns0:f>IF(AND(OR('前提と出典'!$C$36+'前提と出典'!$C$38=0,U469&gt;=0),OR('前提と出典'!$C$37+'前提と出典'!$C$38=0,V469&gt;=0)),0,A469)</ns0:f>
        <ns0:v>0</ns0:v>
      </ns0:c>
      <ns0:c r="AG469" s="7">
        <ns0:f>IF(Z469&gt;=0,A469,1001)</ns0:f>
        <ns0:v>465</ns0:v>
      </ns0:c>
      <ns0:c r="AH469" s="4">
        <ns0:f>IF(Z469&lt;0,A469,0)</ns0:f>
        <ns0:v>0</ns0:v>
      </ns0:c>
      <ns0:c r="AI469" s="12">
        <ns0:f>IF(AND(OR('前提と出典'!$C$36+'前提と出典'!$C$38=0,X469&gt;=0),OR('前提と出典'!$C$37+'前提と出典'!$C$38=0,Y469&gt;=0)),0,A469)</ns0:f>
        <ns0:v>0</ns0:v>
      </ns0:c>
    </ns0:row>
    <ns0:row r="470" ht="24" customHeight="1">
      <ns0:c r="A470" s="4" t="n">
        <ns0:v>466</ns0:v>
      </ns0:c>
      <ns0:c r="B470" s="12">
        <ns0:f>A470*('前提と出典'!$C$36+'前提と出典'!$C$38)</ns0:f>
        <ns0:v>326.2</ns0:v>
      </ns0:c>
      <ns0:c r="C470" s="12">
        <ns0:f>A470*('前提と出典'!$C$37+'前提と出典'!$C$38)</ns0:f>
        <ns0:v>279.59999999999997</ns0:v>
      </ns0:c>
      <ns0:c r="D470" s="16">
        <ns0:f>A470*('前提と出典'!$C$36*'契約別単価'!C5+'前提と出典'!$C$37*'契約別単価'!C6+'前提と出典'!$C$38*'契約別単価'!C7)</ns0:f>
        <ns0:v>3353.117318435754</ns0:v>
      </ns0:c>
      <ns0:c r="E470" s="16">
        <ns0:f>A470*('前提と出典'!$C$36*'契約別単価'!E5+'前提と出典'!$C$37*'契約別単価'!E6+'前提と出典'!$C$38*'契約別単価'!E7)</ns0:f>
        <ns0:v>1171464.7822302657</ns0:v>
      </ns0:c>
      <ns0:c r="F470" s="16">
        <ns0:f>A470*('前提と出典'!$C$36*'契約別単価'!F5+'前提と出典'!$C$37*'契約別単価'!F6+'前提と出典'!$C$38*'契約別単価'!F7)</ns0:f>
        <ns0:v>340397.7213490835</ns0:v>
      </ns0:c>
      <ns0:c r="G470" s="16">
        <ns0:f>A470*('前提と出典'!$C$36*'契約別単価'!G5+'前提と出典'!$C$37*'契約別単価'!G6+'前提と出典'!$C$38*'契約別単価'!G7)</ns0:f>
        <ns0:v>927574.3016759777</ns0:v>
      </ns0:c>
      <ns0:c r="H470" s="16">
        <ns0:f>A470*('前提と出典'!$C$36*'契約別単価'!H5+'前提と出典'!$C$37*'契約別単価'!H6+'前提と出典'!$C$38*'契約別単価'!H7)</ns0:f>
        <ns0:v>321914.8041885404</ns0:v>
      </ns0:c>
      <ns0:c r="I470" s="16">
        <ns0:f>A470*('前提と出典'!$C$36*'契約別単価'!I5+'前提と出典'!$C$37*'契約別単価'!I6+'前提と出典'!$C$38*'契約別単価'!I7)</ns0:f>
        <ns0:v>19663.11731843575</ns0:v>
      </ns0:c>
      <ns0:c r="J470" s="16">
        <ns0:f>A470*('前提と出典'!$C$36*'契約別単価'!J5+'前提と出典'!$C$37*'契約別単価'!J6+'前提と出典'!$C$38*'契約別単価'!J7)</ns0:f>
        <ns0:v>45802.927369000994</ns0:v>
      </ns0:c>
      <ns0:c r="K470" s="16">
        <ns0:f>A470*('前提と出典'!$C$36*'契約別単価'!K5+'前提と出典'!$C$37*'契約別単価'!K6+'前提と出典'!$C$38*'契約別単価'!K7)</ns0:f>
        <ns0:v>196327.44878957167</ns0:v>
      </ns0:c>
      <ns0:c r="L470" s="16">
        <ns0:f>A470*('前提と出典'!$C$36*'契約別単価'!L5+'前提と出典'!$C$37*'契約別単価'!L6+'前提と出典'!$C$38*'契約別単価'!L7)</ns0:f>
        <ns0:v>159850.49347295135</ns0:v>
      </ns0:c>
      <ns0:c r="M470" s="16">
        <ns0:f>IF(('前提と出典'!$C$36+'前提と出典'!$C$38)=0,0,IF(B470&lt;=10,'前提と出典'!B73+'前提と出典'!C73,IF(B470&lt;=100,'前提と出典'!B74+'前提と出典'!C74,IF(B470&lt;=500,'前提と出典'!B75+'前提と出典'!C75,'前提と出典'!B76+'前提と出典'!C76))))</ns0:f>
        <ns0:v>40000</ns0:v>
      </ns0:c>
      <ns0:c r="N470" s="16">
        <ns0:f>IF(('前提と出典'!$C$37+'前提と出典'!$C$38)=0,0,IF(C470&lt;=10,'前提と出典'!D73+'前提と出典'!E73,IF(C470&lt;=100,'前提と出典'!D74+'前提と出典'!E74,IF(C470&lt;=500,'前提と出典'!D75+'前提と出典'!E75,'前提と出典'!D76+'前提と出典'!E76))))</ns0:f>
        <ns0:v>56510.9346263078</ns0:v>
      </ns0:c>
      <ns0:c r="O470" s="16">
        <ns0:f>IF('前提と出典'!$C$36+'前提と出典'!$C$38=0,0,'前提と出典'!$B$4*IF('前提と出典'!$B$20=0,MAX('前提と出典'!$B$6,D470*'前提と出典'!$B$5),'前提と出典'!$B$6+D470*'前提と出典'!$B$5))</ns0:f>
        <ns0:v>462730.1899441341</ns0:v>
      </ns0:c>
      <ns0:c r="P470" s="16">
        <ns0:f>(E470+G470)*(1-'前提と出典'!$B$7)-I470-K470-M470-O470</ns0:f>
        <ns0:v>1304752.9208334773</ns0:v>
      </ns0:c>
      <ns0:c r="Q470" s="16">
        <ns0:f>(F470+H470)*(1-'前提と出典'!$B$7)-J470-L470-N470</ns0:f>
        <ns0:v>376304.9191500093</ns0:v>
      </ns0:c>
      <ns0:c r="R470" s="16">
        <ns0:f>P470-E470*'前提と出典'!$E$4</ns0:f>
        <ns0:v>953313.4861643976</ns0:v>
      </ns0:c>
      <ns0:c r="S470" s="16">
        <ns0:f>Q470-F470*'前提と出典'!$E$4</ns0:f>
        <ns0:v>274185.6027452842</ns0:v>
      </ns0:c>
      <ns0:c r="T470" s="7">
        <ns0:f>R470+S470</ns0:f>
        <ns0:v>1227499.088909682</ns0:v>
      </ns0:c>
      <ns0:c r="U470" s="16">
        <ns0:f>P470-E470*'前提と出典'!$E$5</ns0:f>
        <ns0:v>836167.0079413711</ns0:v>
      </ns0:c>
      <ns0:c r="V470" s="16">
        <ns0:f>Q470-F470*'前提と出典'!$E$5</ns0:f>
        <ns0:v>240145.8306103759</ns0:v>
      </ns0:c>
      <ns0:c r="W470" s="7">
        <ns0:f>U470+V470</ns0:f>
        <ns0:v>1076312.838551747</ns0:v>
      </ns0:c>
      <ns0:c r="X470" s="16">
        <ns0:f>P470-E470*'前提と出典'!$E$6</ns0:f>
        <ns0:v>719020.5297183446</ns0:v>
      </ns0:c>
      <ns0:c r="Y470" s="16">
        <ns0:f>Q470-F470*'前提と出典'!$E$6</ns0:f>
        <ns0:v>206106.05847546755</ns0:v>
      </ns0:c>
      <ns0:c r="Z470" s="7">
        <ns0:f>X470+Y470</ns0:f>
        <ns0:v>925126.5881938122</ns0:v>
      </ns0:c>
      <ns0:c r="AA470" s="7">
        <ns0:f>IF(T470&gt;=0,A470,1001)</ns0:f>
        <ns0:v>466</ns0:v>
      </ns0:c>
      <ns0:c r="AB470" s="7">
        <ns0:f>IF(T470&lt;0,A470,0)</ns0:f>
        <ns0:v>0</ns0:v>
      </ns0:c>
      <ns0:c r="AC470" s="16">
        <ns0:f>IF(AND(OR('前提と出典'!$C$36+'前提と出典'!$C$38=0,R470&gt;=0),OR('前提と出典'!$C$37+'前提と出典'!$C$38=0,S470&gt;=0)),0,A470)</ns0:f>
        <ns0:v>0</ns0:v>
      </ns0:c>
      <ns0:c r="AD470" s="7">
        <ns0:f>IF(W470&gt;=0,A470,1001)</ns0:f>
        <ns0:v>466</ns0:v>
      </ns0:c>
      <ns0:c r="AE470" s="7">
        <ns0:f>IF(W470&lt;0,A470,0)</ns0:f>
        <ns0:v>0</ns0:v>
      </ns0:c>
      <ns0:c r="AF470" s="16">
        <ns0:f>IF(AND(OR('前提と出典'!$C$36+'前提と出典'!$C$38=0,U470&gt;=0),OR('前提と出典'!$C$37+'前提と出典'!$C$38=0,V470&gt;=0)),0,A470)</ns0:f>
        <ns0:v>0</ns0:v>
      </ns0:c>
      <ns0:c r="AG470" s="7">
        <ns0:f>IF(Z470&gt;=0,A470,1001)</ns0:f>
        <ns0:v>466</ns0:v>
      </ns0:c>
      <ns0:c r="AH470" s="4">
        <ns0:f>IF(Z470&lt;0,A470,0)</ns0:f>
        <ns0:v>0</ns0:v>
      </ns0:c>
      <ns0:c r="AI470" s="12">
        <ns0:f>IF(AND(OR('前提と出典'!$C$36+'前提と出典'!$C$38=0,X470&gt;=0),OR('前提と出典'!$C$37+'前提と出典'!$C$38=0,Y470&gt;=0)),0,A470)</ns0:f>
        <ns0:v>0</ns0:v>
      </ns0:c>
    </ns0:row>
    <ns0:row r="471" ht="24" customHeight="1">
      <ns0:c r="A471" s="4" t="n">
        <ns0:v>467</ns0:v>
      </ns0:c>
      <ns0:c r="B471" s="12">
        <ns0:f>A471*('前提と出典'!$C$36+'前提と出典'!$C$38)</ns0:f>
        <ns0:v>326.9</ns0:v>
      </ns0:c>
      <ns0:c r="C471" s="12">
        <ns0:f>A471*('前提と出典'!$C$37+'前提と出典'!$C$38)</ns0:f>
        <ns0:v>280.2</ns0:v>
      </ns0:c>
      <ns0:c r="D471" s="16">
        <ns0:f>A471*('前提と出典'!$C$36*'契約別単価'!C5+'前提と出典'!$C$37*'契約別単価'!C6+'前提と出典'!$C$38*'契約別単価'!C7)</ns0:f>
        <ns0:v>3360.312849162011</ns0:v>
      </ns0:c>
      <ns0:c r="E471" s="16">
        <ns0:f>A471*('前提と出典'!$C$36*'契約別単価'!E5+'前提と出典'!$C$37*'契約別単価'!E6+'前提と出典'!$C$38*'契約別単価'!E7)</ns0:f>
        <ns0:v>1173978.6551535064</ns0:v>
      </ns0:c>
      <ns0:c r="F471" s="16">
        <ns0:f>A471*('前提と出典'!$C$36*'契約別単価'!F5+'前提と出典'!$C$37*'契約別単価'!F6+'前提と出典'!$C$38*'契約別単価'!F7)</ns0:f>
        <ns0:v>341128.188562279</ns0:v>
      </ns0:c>
      <ns0:c r="G471" s="16">
        <ns0:f>A471*('前提と出典'!$C$36*'契約別単価'!G5+'前提と出典'!$C$37*'契約別単価'!G6+'前提と出典'!$C$38*'契約別単価'!G7)</ns0:f>
        <ns0:v>929564.8044692737</ns0:v>
      </ns0:c>
      <ns0:c r="H471" s="16">
        <ns0:f>A471*('前提と出典'!$C$36*'契約別単価'!H5+'前提と出典'!$C$37*'契約別単価'!H6+'前提と出典'!$C$38*'契約別単価'!H7)</ns0:f>
        <ns0:v>322605.60848937416</ns0:v>
      </ns0:c>
      <ns0:c r="I471" s="16">
        <ns0:f>A471*('前提と出典'!$C$36*'契約別単価'!I5+'前提と出典'!$C$37*'契約別単価'!I6+'前提と出典'!$C$38*'契約別単価'!I7)</ns0:f>
        <ns0:v>19705.31284916201</ns0:v>
      </ns0:c>
      <ns0:c r="J471" s="16">
        <ns0:f>A471*('前提と出典'!$C$36*'契約別単価'!J5+'前提と出典'!$C$37*'契約別単価'!J6+'前提と出典'!$C$38*'契約別単価'!J7)</ns0:f>
        <ns0:v>45901.2169127113</ns0:v>
      </ns0:c>
      <ns0:c r="K471" s="16">
        <ns0:f>A471*('前提と出典'!$C$36*'契約別単価'!K5+'前提と出典'!$C$37*'契約別単価'!K6+'前提と出典'!$C$38*'契約別単価'!K7)</ns0:f>
        <ns0:v>196748.75232774674</ns0:v>
      </ns0:c>
      <ns0:c r="L471" s="16">
        <ns0:f>A471*('前提と出典'!$C$36*'契約別単価'!L5+'前提と出典'!$C$37*'契約別単価'!L6+'前提と出典'!$C$38*'契約別単価'!L7)</ns0:f>
        <ns0:v>160193.52028297912</ns0:v>
      </ns0:c>
      <ns0:c r="M471" s="16">
        <ns0:f>IF(('前提と出典'!$C$36+'前提と出典'!$C$38)=0,0,IF(B471&lt;=10,'前提と出典'!B73+'前提と出典'!C73,IF(B471&lt;=100,'前提と出典'!B74+'前提と出典'!C74,IF(B471&lt;=500,'前提と出典'!B75+'前提と出典'!C75,'前提と出典'!B76+'前提と出典'!C76))))</ns0:f>
        <ns0:v>40000</ns0:v>
      </ns0:c>
      <ns0:c r="N471" s="16">
        <ns0:f>IF(('前提と出典'!$C$37+'前提と出典'!$C$38)=0,0,IF(C471&lt;=10,'前提と出典'!D73+'前提と出典'!E73,IF(C471&lt;=100,'前提と出典'!D74+'前提と出典'!E74,IF(C471&lt;=500,'前提と出典'!D75+'前提と出典'!E75,'前提と出典'!D76+'前提と出典'!E76))))</ns0:f>
        <ns0:v>56510.9346263078</ns0:v>
      </ns0:c>
      <ns0:c r="O471" s="16">
        <ns0:f>IF('前提と出典'!$C$36+'前提と出典'!$C$38=0,0,'前提と出典'!$B$4*IF('前提と出典'!$B$20=0,MAX('前提と出典'!$B$6,D471*'前提と出典'!$B$5),'前提と出典'!$B$6+D471*'前提と出典'!$B$5))</ns0:f>
        <ns0:v>463723.1731843575</ns0:v>
      </ns0:c>
      <ns0:c r="P471" s="16">
        <ns0:f>(E471+G471)*(1-'前提と出典'!$B$7)-I471-K471-M471-O471</ns0:f>
        <ns0:v>1307638.6567150936</ns0:v>
      </ns0:c>
      <ns0:c r="Q471" s="16">
        <ns0:f>(F471+H471)*(1-'前提と出典'!$B$7)-J471-L471-N471</ns0:f>
        <ns0:v>377233.70853579545</ns0:v>
      </ns0:c>
      <ns0:c r="R471" s="16">
        <ns0:f>P471-E471*'前提と出典'!$E$4</ns0:f>
        <ns0:v>955445.0601690416</ns0:v>
      </ns0:c>
      <ns0:c r="S471" s="16">
        <ns0:f>Q471-F471*'前提と出典'!$E$4</ns0:f>
        <ns0:v>274895.2519671117</ns0:v>
      </ns0:c>
      <ns0:c r="T471" s="7">
        <ns0:f>R471+S471</ns0:f>
        <ns0:v>1230340.3121361532</ns0:v>
      </ns0:c>
      <ns0:c r="U471" s="16">
        <ns0:f>P471-E471*'前提と出典'!$E$5</ns0:f>
        <ns0:v>838047.194653691</ns0:v>
      </ns0:c>
      <ns0:c r="V471" s="16">
        <ns0:f>Q471-F471*'前提と出典'!$E$5</ns0:f>
        <ns0:v>240782.4331108838</ns0:v>
      </ns0:c>
      <ns0:c r="W471" s="7">
        <ns0:f>U471+V471</ns0:f>
        <ns0:v>1078829.6277645747</ns0:v>
      </ns0:c>
      <ns0:c r="X471" s="16">
        <ns0:f>P471-E471*'前提と出典'!$E$6</ns0:f>
        <ns0:v>720649.3291383404</ns0:v>
      </ns0:c>
      <ns0:c r="Y471" s="16">
        <ns0:f>Q471-F471*'前提と出典'!$E$6</ns0:f>
        <ns0:v>206669.6142546559</ns0:v>
      </ns0:c>
      <ns0:c r="Z471" s="7">
        <ns0:f>X471+Y471</ns0:f>
        <ns0:v>927318.9433929963</ns0:v>
      </ns0:c>
      <ns0:c r="AA471" s="7">
        <ns0:f>IF(T471&gt;=0,A471,1001)</ns0:f>
        <ns0:v>467</ns0:v>
      </ns0:c>
      <ns0:c r="AB471" s="7">
        <ns0:f>IF(T471&lt;0,A471,0)</ns0:f>
        <ns0:v>0</ns0:v>
      </ns0:c>
      <ns0:c r="AC471" s="16">
        <ns0:f>IF(AND(OR('前提と出典'!$C$36+'前提と出典'!$C$38=0,R471&gt;=0),OR('前提と出典'!$C$37+'前提と出典'!$C$38=0,S471&gt;=0)),0,A471)</ns0:f>
        <ns0:v>0</ns0:v>
      </ns0:c>
      <ns0:c r="AD471" s="7">
        <ns0:f>IF(W471&gt;=0,A471,1001)</ns0:f>
        <ns0:v>467</ns0:v>
      </ns0:c>
      <ns0:c r="AE471" s="7">
        <ns0:f>IF(W471&lt;0,A471,0)</ns0:f>
        <ns0:v>0</ns0:v>
      </ns0:c>
      <ns0:c r="AF471" s="16">
        <ns0:f>IF(AND(OR('前提と出典'!$C$36+'前提と出典'!$C$38=0,U471&gt;=0),OR('前提と出典'!$C$37+'前提と出典'!$C$38=0,V471&gt;=0)),0,A471)</ns0:f>
        <ns0:v>0</ns0:v>
      </ns0:c>
      <ns0:c r="AG471" s="7">
        <ns0:f>IF(Z471&gt;=0,A471,1001)</ns0:f>
        <ns0:v>467</ns0:v>
      </ns0:c>
      <ns0:c r="AH471" s="4">
        <ns0:f>IF(Z471&lt;0,A471,0)</ns0:f>
        <ns0:v>0</ns0:v>
      </ns0:c>
      <ns0:c r="AI471" s="12">
        <ns0:f>IF(AND(OR('前提と出典'!$C$36+'前提と出典'!$C$38=0,X471&gt;=0),OR('前提と出典'!$C$37+'前提と出典'!$C$38=0,Y471&gt;=0)),0,A471)</ns0:f>
        <ns0:v>0</ns0:v>
      </ns0:c>
    </ns0:row>
    <ns0:row r="472" ht="24" customHeight="1">
      <ns0:c r="A472" s="4" t="n">
        <ns0:v>468</ns0:v>
      </ns0:c>
      <ns0:c r="B472" s="12">
        <ns0:f>A472*('前提と出典'!$C$36+'前提と出典'!$C$38)</ns0:f>
        <ns0:v>327.59999999999997</ns0:v>
      </ns0:c>
      <ns0:c r="C472" s="12">
        <ns0:f>A472*('前提と出典'!$C$37+'前提と出典'!$C$38)</ns0:f>
        <ns0:v>280.8</ns0:v>
      </ns0:c>
      <ns0:c r="D472" s="16">
        <ns0:f>A472*('前提と出典'!$C$36*'契約別単価'!C5+'前提と出典'!$C$37*'契約別単価'!C6+'前提と出典'!$C$38*'契約別単価'!C7)</ns0:f>
        <ns0:v>3367.5083798882683</ns0:v>
      </ns0:c>
      <ns0:c r="E472" s="16">
        <ns0:f>A472*('前提と出典'!$C$36*'契約別単価'!E5+'前提と出典'!$C$37*'契約別単価'!E6+'前提と出典'!$C$38*'契約別単価'!E7)</ns0:f>
        <ns0:v>1176492.5280767474</ns0:v>
      </ns0:c>
      <ns0:c r="F472" s="16">
        <ns0:f>A472*('前提と出典'!$C$36*'契約別単価'!F5+'前提と出典'!$C$37*'契約別単価'!F6+'前提と出典'!$C$38*'契約別単価'!F7)</ns0:f>
        <ns0:v>341858.65577547444</ns0:v>
      </ns0:c>
      <ns0:c r="G472" s="16">
        <ns0:f>A472*('前提と出典'!$C$36*'契約別単価'!G5+'前提と出典'!$C$37*'契約別単価'!G6+'前提と出典'!$C$38*'契約別単価'!G7)</ns0:f>
        <ns0:v>931555.3072625698</ns0:v>
      </ns0:c>
      <ns0:c r="H472" s="16">
        <ns0:f>A472*('前提と出典'!$C$36*'契約別単価'!H5+'前提と出典'!$C$37*'契約別単価'!H6+'前提と出典'!$C$38*'契約別単価'!H7)</ns0:f>
        <ns0:v>323296.41279020795</ns0:v>
      </ns0:c>
      <ns0:c r="I472" s="16">
        <ns0:f>A472*('前提と出典'!$C$36*'契約別単価'!I5+'前提と出典'!$C$37*'契約別単価'!I6+'前提と出典'!$C$38*'契約別単価'!I7)</ns0:f>
        <ns0:v>19747.508379888266</ns0:v>
      </ns0:c>
      <ns0:c r="J472" s="16">
        <ns0:f>A472*('前提と出典'!$C$36*'契約別単価'!J5+'前提と出典'!$C$37*'契約別単価'!J6+'前提と出典'!$C$38*'契約別単価'!J7)</ns0:f>
        <ns0:v>45999.5064564216</ns0:v>
      </ns0:c>
      <ns0:c r="K472" s="16">
        <ns0:f>A472*('前提と出典'!$C$36*'契約別単価'!K5+'前提と出典'!$C$37*'契約別単価'!K6+'前提と出典'!$C$38*'契約別単価'!K7)</ns0:f>
        <ns0:v>197170.05586592178</ns0:v>
      </ns0:c>
      <ns0:c r="L472" s="16">
        <ns0:f>A472*('前提と出典'!$C$36*'契約別単価'!L5+'前提と出典'!$C$37*'契約別単価'!L6+'前提と出典'!$C$38*'契約別単価'!L7)</ns0:f>
        <ns0:v>160536.54709300693</ns0:v>
      </ns0:c>
      <ns0:c r="M472" s="16">
        <ns0:f>IF(('前提と出典'!$C$36+'前提と出典'!$C$38)=0,0,IF(B472&lt;=10,'前提と出典'!B73+'前提と出典'!C73,IF(B472&lt;=100,'前提と出典'!B74+'前提と出典'!C74,IF(B472&lt;=500,'前提と出典'!B75+'前提と出典'!C75,'前提と出典'!B76+'前提と出典'!C76))))</ns0:f>
        <ns0:v>40000</ns0:v>
      </ns0:c>
      <ns0:c r="N472" s="16">
        <ns0:f>IF(('前提と出典'!$C$37+'前提と出典'!$C$38)=0,0,IF(C472&lt;=10,'前提と出典'!D73+'前提と出典'!E73,IF(C472&lt;=100,'前提と出典'!D74+'前提と出典'!E74,IF(C472&lt;=500,'前提と出典'!D75+'前提と出典'!E75,'前提と出典'!D76+'前提と出典'!E76))))</ns0:f>
        <ns0:v>56510.9346263078</ns0:v>
      </ns0:c>
      <ns0:c r="O472" s="16">
        <ns0:f>IF('前提と出典'!$C$36+'前提と出典'!$C$38=0,0,'前提と出典'!$B$4*IF('前提と出典'!$B$20=0,MAX('前提と出典'!$B$6,D472*'前提と出典'!$B$5),'前提と出典'!$B$6+D472*'前提と出典'!$B$5))</ns0:f>
        <ns0:v>464716.1564245811</ns0:v>
      </ns0:c>
      <ns0:c r="P472" s="16">
        <ns0:f>(E472+G472)*(1-'前提と出典'!$B$7)-I472-K472-M472-O472</ns0:f>
        <ns0:v>1310524.3925967105</ns0:v>
      </ns0:c>
      <ns0:c r="Q472" s="16">
        <ns0:f>(F472+H472)*(1-'前提と出典'!$B$7)-J472-L472-N472</ns0:f>
        <ns0:v>378162.49792158155</ns0:v>
      </ns0:c>
      <ns0:c r="R472" s="16">
        <ns0:f>P472-E472*'前提と出典'!$E$4</ns0:f>
        <ns0:v>957576.6341736862</ns0:v>
      </ns0:c>
      <ns0:c r="S472" s="16">
        <ns0:f>Q472-F472*'前提と出典'!$E$4</ns0:f>
        <ns0:v>275604.9011889391</ns0:v>
      </ns0:c>
      <ns0:c r="T472" s="7">
        <ns0:f>R472+S472</ns0:f>
        <ns0:v>1233181.5353626253</ns0:v>
      </ns0:c>
      <ns0:c r="U472" s="16">
        <ns0:f>P472-E472*'前提と出典'!$E$5</ns0:f>
        <ns0:v>839927.3813660115</ns0:v>
      </ns0:c>
      <ns0:c r="V472" s="16">
        <ns0:f>Q472-F472*'前提と出典'!$E$5</ns0:f>
        <ns0:v>241419.03561139177</ns0:v>
      </ns0:c>
      <ns0:c r="W472" s="7">
        <ns0:f>U472+V472</ns0:f>
        <ns0:v>1081346.4169774032</ns0:v>
      </ns0:c>
      <ns0:c r="X472" s="16">
        <ns0:f>P472-E472*'前提と出典'!$E$6</ns0:f>
        <ns0:v>722278.1285583368</ns0:v>
      </ns0:c>
      <ns0:c r="Y472" s="16">
        <ns0:f>Q472-F472*'前提と出典'!$E$6</ns0:f>
        <ns0:v>207233.1700338443</ns0:v>
      </ns0:c>
      <ns0:c r="Z472" s="7">
        <ns0:f>X472+Y472</ns0:f>
        <ns0:v>929511.2985921811</ns0:v>
      </ns0:c>
      <ns0:c r="AA472" s="7">
        <ns0:f>IF(T472&gt;=0,A472,1001)</ns0:f>
        <ns0:v>468</ns0:v>
      </ns0:c>
      <ns0:c r="AB472" s="7">
        <ns0:f>IF(T472&lt;0,A472,0)</ns0:f>
        <ns0:v>0</ns0:v>
      </ns0:c>
      <ns0:c r="AC472" s="16">
        <ns0:f>IF(AND(OR('前提と出典'!$C$36+'前提と出典'!$C$38=0,R472&gt;=0),OR('前提と出典'!$C$37+'前提と出典'!$C$38=0,S472&gt;=0)),0,A472)</ns0:f>
        <ns0:v>0</ns0:v>
      </ns0:c>
      <ns0:c r="AD472" s="7">
        <ns0:f>IF(W472&gt;=0,A472,1001)</ns0:f>
        <ns0:v>468</ns0:v>
      </ns0:c>
      <ns0:c r="AE472" s="7">
        <ns0:f>IF(W472&lt;0,A472,0)</ns0:f>
        <ns0:v>0</ns0:v>
      </ns0:c>
      <ns0:c r="AF472" s="16">
        <ns0:f>IF(AND(OR('前提と出典'!$C$36+'前提と出典'!$C$38=0,U472&gt;=0),OR('前提と出典'!$C$37+'前提と出典'!$C$38=0,V472&gt;=0)),0,A472)</ns0:f>
        <ns0:v>0</ns0:v>
      </ns0:c>
      <ns0:c r="AG472" s="7">
        <ns0:f>IF(Z472&gt;=0,A472,1001)</ns0:f>
        <ns0:v>468</ns0:v>
      </ns0:c>
      <ns0:c r="AH472" s="4">
        <ns0:f>IF(Z472&lt;0,A472,0)</ns0:f>
        <ns0:v>0</ns0:v>
      </ns0:c>
      <ns0:c r="AI472" s="12">
        <ns0:f>IF(AND(OR('前提と出典'!$C$36+'前提と出典'!$C$38=0,X472&gt;=0),OR('前提と出典'!$C$37+'前提と出典'!$C$38=0,Y472&gt;=0)),0,A472)</ns0:f>
        <ns0:v>0</ns0:v>
      </ns0:c>
    </ns0:row>
    <ns0:row r="473" ht="24" customHeight="1">
      <ns0:c r="A473" s="4" t="n">
        <ns0:v>469</ns0:v>
      </ns0:c>
      <ns0:c r="B473" s="12">
        <ns0:f>A473*('前提と出典'!$C$36+'前提と出典'!$C$38)</ns0:f>
        <ns0:v>328.29999999999995</ns0:v>
      </ns0:c>
      <ns0:c r="C473" s="12">
        <ns0:f>A473*('前提と出典'!$C$37+'前提と出典'!$C$38)</ns0:f>
        <ns0:v>281.4</ns0:v>
      </ns0:c>
      <ns0:c r="D473" s="16">
        <ns0:f>A473*('前提と出典'!$C$36*'契約別単価'!C5+'前提と出典'!$C$37*'契約別単価'!C6+'前提と出典'!$C$38*'契約別単価'!C7)</ns0:f>
        <ns0:v>3374.7039106145253</ns0:v>
      </ns0:c>
      <ns0:c r="E473" s="16">
        <ns0:f>A473*('前提と出典'!$C$36*'契約別単価'!E5+'前提と出典'!$C$37*'契約別単価'!E6+'前提と出典'!$C$38*'契約別単価'!E7)</ns0:f>
        <ns0:v>1179006.4009999882</ns0:v>
      </ns0:c>
      <ns0:c r="F473" s="16">
        <ns0:f>A473*('前提と出典'!$C$36*'契約別単価'!F5+'前提と出典'!$C$37*'契約別単価'!F6+'前提と出典'!$C$38*'契約別単価'!F7)</ns0:f>
        <ns0:v>342589.1229886699</ns0:v>
      </ns0:c>
      <ns0:c r="G473" s="16">
        <ns0:f>A473*('前提と出典'!$C$36*'契約別単価'!G5+'前提と出典'!$C$37*'契約別単価'!G6+'前提と出典'!$C$38*'契約別単価'!G7)</ns0:f>
        <ns0:v>933545.8100558659</ns0:v>
      </ns0:c>
      <ns0:c r="H473" s="16">
        <ns0:f>A473*('前提と出典'!$C$36*'契約別単価'!H5+'前提と出典'!$C$37*'契約別単価'!H6+'前提と出典'!$C$38*'契約別単価'!H7)</ns0:f>
        <ns0:v>323987.21709104173</ns0:v>
      </ns0:c>
      <ns0:c r="I473" s="16">
        <ns0:f>A473*('前提と出典'!$C$36*'契約別単価'!I5+'前提と出典'!$C$37*'契約別単価'!I6+'前提と出典'!$C$38*'契約別単価'!I7)</ns0:f>
        <ns0:v>19789.70391061452</ns0:v>
      </ns0:c>
      <ns0:c r="J473" s="16">
        <ns0:f>A473*('前提と出典'!$C$36*'契約別単価'!J5+'前提と出典'!$C$37*'契約別単価'!J6+'前提と出典'!$C$38*'契約別単価'!J7)</ns0:f>
        <ns0:v>46097.7960001319</ns0:v>
      </ns0:c>
      <ns0:c r="K473" s="16">
        <ns0:f>A473*('前提と出典'!$C$36*'契約別単価'!K5+'前提と出典'!$C$37*'契約別単価'!K6+'前提と出典'!$C$38*'契約別単価'!K7)</ns0:f>
        <ns0:v>197591.35940409682</ns0:v>
      </ns0:c>
      <ns0:c r="L473" s="16">
        <ns0:f>A473*('前提と出典'!$C$36*'契約別単価'!L5+'前提と出典'!$C$37*'契約別単価'!L6+'前提と出典'!$C$38*'契約別単価'!L7)</ns0:f>
        <ns0:v>160879.57390303473</ns0:v>
      </ns0:c>
      <ns0:c r="M473" s="16">
        <ns0:f>IF(('前提と出典'!$C$36+'前提と出典'!$C$38)=0,0,IF(B473&lt;=10,'前提と出典'!B73+'前提と出典'!C73,IF(B473&lt;=100,'前提と出典'!B74+'前提と出典'!C74,IF(B473&lt;=500,'前提と出典'!B75+'前提と出典'!C75,'前提と出典'!B76+'前提と出典'!C76))))</ns0:f>
        <ns0:v>40000</ns0:v>
      </ns0:c>
      <ns0:c r="N473" s="16">
        <ns0:f>IF(('前提と出典'!$C$37+'前提と出典'!$C$38)=0,0,IF(C473&lt;=10,'前提と出典'!D73+'前提と出典'!E73,IF(C473&lt;=100,'前提と出典'!D74+'前提と出典'!E74,IF(C473&lt;=500,'前提と出典'!D75+'前提と出典'!E75,'前提と出典'!D76+'前提と出典'!E76))))</ns0:f>
        <ns0:v>56510.9346263078</ns0:v>
      </ns0:c>
      <ns0:c r="O473" s="16">
        <ns0:f>IF('前提と出典'!$C$36+'前提と出典'!$C$38=0,0,'前提と出典'!$B$4*IF('前提と出典'!$B$20=0,MAX('前提と出典'!$B$6,D473*'前提と出典'!$B$5),'前提と出典'!$B$6+D473*'前提と出典'!$B$5))</ns0:f>
        <ns0:v>465709.1396648045</ns0:v>
      </ns0:c>
      <ns0:c r="P473" s="16">
        <ns0:f>(E473+G473)*(1-'前提と出典'!$B$7)-I473-K473-M473-O473</ns0:f>
        <ns0:v>1313410.1284783278</ns0:v>
      </ns0:c>
      <ns0:c r="Q473" s="16">
        <ns0:f>(F473+H473)*(1-'前提と出典'!$B$7)-J473-L473-N473</ns0:f>
        <ns0:v>379091.28730736766</ns0:v>
      </ns0:c>
      <ns0:c r="R473" s="16">
        <ns0:f>P473-E473*'前提と出典'!$E$4</ns0:f>
        <ns0:v>959708.2081783311</ns0:v>
      </ns0:c>
      <ns0:c r="S473" s="16">
        <ns0:f>Q473-F473*'前提と出典'!$E$4</ns0:f>
        <ns0:v>276314.5504107667</ns0:v>
      </ns0:c>
      <ns0:c r="T473" s="7">
        <ns0:f>R473+S473</ns0:f>
        <ns0:v>1236022.7585890978</ns0:v>
      </ns0:c>
      <ns0:c r="U473" s="16">
        <ns0:f>P473-E473*'前提と出典'!$E$5</ns0:f>
        <ns0:v>841807.5680783323</ns0:v>
      </ns0:c>
      <ns0:c r="V473" s="16">
        <ns0:f>Q473-F473*'前提と出典'!$E$5</ns0:f>
        <ns0:v>242055.63811189967</ns0:v>
      </ns0:c>
      <ns0:c r="W473" s="7">
        <ns0:f>U473+V473</ns0:f>
        <ns0:v>1083863.206190232</ns0:v>
      </ns0:c>
      <ns0:c r="X473" s="16">
        <ns0:f>P473-E473*'前提と出典'!$E$6</ns0:f>
        <ns0:v>723906.9279783333</ns0:v>
      </ns0:c>
      <ns0:c r="Y473" s="16">
        <ns0:f>Q473-F473*'前提と出典'!$E$6</ns0:f>
        <ns0:v>207796.72581303265</ns0:v>
      </ns0:c>
      <ns0:c r="Z473" s="7">
        <ns0:f>X473+Y473</ns0:f>
        <ns0:v>931703.6537913659</ns0:v>
      </ns0:c>
      <ns0:c r="AA473" s="7">
        <ns0:f>IF(T473&gt;=0,A473,1001)</ns0:f>
        <ns0:v>469</ns0:v>
      </ns0:c>
      <ns0:c r="AB473" s="7">
        <ns0:f>IF(T473&lt;0,A473,0)</ns0:f>
        <ns0:v>0</ns0:v>
      </ns0:c>
      <ns0:c r="AC473" s="16">
        <ns0:f>IF(AND(OR('前提と出典'!$C$36+'前提と出典'!$C$38=0,R473&gt;=0),OR('前提と出典'!$C$37+'前提と出典'!$C$38=0,S473&gt;=0)),0,A473)</ns0:f>
        <ns0:v>0</ns0:v>
      </ns0:c>
      <ns0:c r="AD473" s="7">
        <ns0:f>IF(W473&gt;=0,A473,1001)</ns0:f>
        <ns0:v>469</ns0:v>
      </ns0:c>
      <ns0:c r="AE473" s="7">
        <ns0:f>IF(W473&lt;0,A473,0)</ns0:f>
        <ns0:v>0</ns0:v>
      </ns0:c>
      <ns0:c r="AF473" s="16">
        <ns0:f>IF(AND(OR('前提と出典'!$C$36+'前提と出典'!$C$38=0,U473&gt;=0),OR('前提と出典'!$C$37+'前提と出典'!$C$38=0,V473&gt;=0)),0,A473)</ns0:f>
        <ns0:v>0</ns0:v>
      </ns0:c>
      <ns0:c r="AG473" s="7">
        <ns0:f>IF(Z473&gt;=0,A473,1001)</ns0:f>
        <ns0:v>469</ns0:v>
      </ns0:c>
      <ns0:c r="AH473" s="4">
        <ns0:f>IF(Z473&lt;0,A473,0)</ns0:f>
        <ns0:v>0</ns0:v>
      </ns0:c>
      <ns0:c r="AI473" s="12">
        <ns0:f>IF(AND(OR('前提と出典'!$C$36+'前提と出典'!$C$38=0,X473&gt;=0),OR('前提と出典'!$C$37+'前提と出典'!$C$38=0,Y473&gt;=0)),0,A473)</ns0:f>
        <ns0:v>0</ns0:v>
      </ns0:c>
    </ns0:row>
    <ns0:row r="474" ht="24" customHeight="1">
      <ns0:c r="A474" s="4" t="n">
        <ns0:v>470</ns0:v>
      </ns0:c>
      <ns0:c r="B474" s="12">
        <ns0:f>A474*('前提と出典'!$C$36+'前提と出典'!$C$38)</ns0:f>
        <ns0:v>329</ns0:v>
      </ns0:c>
      <ns0:c r="C474" s="12">
        <ns0:f>A474*('前提と出典'!$C$37+'前提と出典'!$C$38)</ns0:f>
        <ns0:v>282</ns0:v>
      </ns0:c>
      <ns0:c r="D474" s="16">
        <ns0:f>A474*('前提と出典'!$C$36*'契約別単価'!C5+'前提と出典'!$C$37*'契約別単価'!C6+'前提と出典'!$C$38*'契約別単価'!C7)</ns0:f>
        <ns0:v>3381.8994413407822</ns0:v>
      </ns0:c>
      <ns0:c r="E474" s="16">
        <ns0:f>A474*('前提と出典'!$C$36*'契約別単価'!E5+'前提と出典'!$C$37*'契約別単価'!E6+'前提と出典'!$C$38*'契約別単価'!E7)</ns0:f>
        <ns0:v>1181520.2739232292</ns0:v>
      </ns0:c>
      <ns0:c r="F474" s="16">
        <ns0:f>A474*('前提と出典'!$C$36*'契約別単価'!F5+'前提と出典'!$C$37*'契約別単価'!F6+'前提と出典'!$C$38*'契約別単価'!F7)</ns0:f>
        <ns0:v>343319.59020186536</ns0:v>
      </ns0:c>
      <ns0:c r="G474" s="16">
        <ns0:f>A474*('前提と出典'!$C$36*'契約別単価'!G5+'前提と出典'!$C$37*'契約別単価'!G6+'前提と出典'!$C$38*'契約別単価'!G7)</ns0:f>
        <ns0:v>935536.3128491619</ns0:v>
      </ns0:c>
      <ns0:c r="H474" s="16">
        <ns0:f>A474*('前提と出典'!$C$36*'契約別単価'!H5+'前提と出典'!$C$37*'契約別単価'!H6+'前提と出典'!$C$38*'契約別単価'!H7)</ns0:f>
        <ns0:v>324678.0213918755</ns0:v>
      </ns0:c>
      <ns0:c r="I474" s="16">
        <ns0:f>A474*('前提と出典'!$C$36*'契約別単価'!I5+'前提と出典'!$C$37*'契約別単価'!I6+'前提と出典'!$C$38*'契約別単価'!I7)</ns0:f>
        <ns0:v>19831.899441340778</ns0:v>
      </ns0:c>
      <ns0:c r="J474" s="16">
        <ns0:f>A474*('前提と出典'!$C$36*'契約別単価'!J5+'前提と出典'!$C$37*'契約別単価'!J6+'前提と出典'!$C$38*'契約別単価'!J7)</ns0:f>
        <ns0:v>46196.08554384221</ns0:v>
      </ns0:c>
      <ns0:c r="K474" s="16">
        <ns0:f>A474*('前提と出典'!$C$36*'契約別単価'!K5+'前提と出典'!$C$37*'契約別単価'!K6+'前提と出典'!$C$38*'契約別単価'!K7)</ns0:f>
        <ns0:v>198012.66294227185</ns0:v>
      </ns0:c>
      <ns0:c r="L474" s="16">
        <ns0:f>A474*('前提と出典'!$C$36*'契約別単価'!L5+'前提と出典'!$C$37*'契約別単価'!L6+'前提と出典'!$C$38*'契約別単価'!L7)</ns0:f>
        <ns0:v>161222.6007130625</ns0:v>
      </ns0:c>
      <ns0:c r="M474" s="16">
        <ns0:f>IF(('前提と出典'!$C$36+'前提と出典'!$C$38)=0,0,IF(B474&lt;=10,'前提と出典'!B73+'前提と出典'!C73,IF(B474&lt;=100,'前提と出典'!B74+'前提と出典'!C74,IF(B474&lt;=500,'前提と出典'!B75+'前提と出典'!C75,'前提と出典'!B76+'前提と出典'!C76))))</ns0:f>
        <ns0:v>40000</ns0:v>
      </ns0:c>
      <ns0:c r="N474" s="16">
        <ns0:f>IF(('前提と出典'!$C$37+'前提と出典'!$C$38)=0,0,IF(C474&lt;=10,'前提と出典'!D73+'前提と出典'!E73,IF(C474&lt;=100,'前提と出典'!D74+'前提と出典'!E74,IF(C474&lt;=500,'前提と出典'!D75+'前提と出典'!E75,'前提と出典'!D76+'前提と出典'!E76))))</ns0:f>
        <ns0:v>56510.9346263078</ns0:v>
      </ns0:c>
      <ns0:c r="O474" s="16">
        <ns0:f>IF('前提と出典'!$C$36+'前提と出典'!$C$38=0,0,'前提と出典'!$B$4*IF('前提と出典'!$B$20=0,MAX('前提と出典'!$B$6,D474*'前提と出典'!$B$5),'前提と出典'!$B$6+D474*'前提と出典'!$B$5))</ns0:f>
        <ns0:v>466702.122905028</ns0:v>
      </ns0:c>
      <ns0:c r="P474" s="16">
        <ns0:f>(E474+G474)*(1-'前提と出典'!$B$7)-I474-K474-M474-O474</ns0:f>
        <ns0:v>1316295.8643599446</ns0:v>
      </ns0:c>
      <ns0:c r="Q474" s="16">
        <ns0:f>(F474+H474)*(1-'前提と出典'!$B$7)-J474-L474-N474</ns0:f>
        <ns0:v>380020.07669315365</ns0:v>
      </ns0:c>
      <ns0:c r="R474" s="16">
        <ns0:f>P474-E474*'前提と出典'!$E$4</ns0:f>
        <ns0:v>961839.7821829757</ns0:v>
      </ns0:c>
      <ns0:c r="S474" s="16">
        <ns0:f>Q474-F474*'前提と出典'!$E$4</ns0:f>
        <ns0:v>277024.1996325941</ns0:v>
      </ns0:c>
      <ns0:c r="T474" s="7">
        <ns0:f>R474+S474</ns0:f>
        <ns0:v>1238863.9818155698</ns0:v>
      </ns0:c>
      <ns0:c r="U474" s="16">
        <ns0:f>P474-E474*'前提と出典'!$E$5</ns0:f>
        <ns0:v>843687.7547906528</ns0:v>
      </ns0:c>
      <ns0:c r="V474" s="16">
        <ns0:f>Q474-F474*'前提と出典'!$E$5</ns0:f>
        <ns0:v>242692.2406124075</ns0:v>
      </ns0:c>
      <ns0:c r="W474" s="7">
        <ns0:f>U474+V474</ns0:f>
        <ns0:v>1086379.9954030602</ns0:v>
      </ns0:c>
      <ns0:c r="X474" s="16">
        <ns0:f>P474-E474*'前提と出典'!$E$6</ns0:f>
        <ns0:v>725535.7273983296</ns0:v>
      </ns0:c>
      <ns0:c r="Y474" s="16">
        <ns0:f>Q474-F474*'前提と出典'!$E$6</ns0:f>
        <ns0:v>208360.28159222094</ns0:v>
      </ns0:c>
      <ns0:c r="Z474" s="7">
        <ns0:f>X474+Y474</ns0:f>
        <ns0:v>933896.0089905506</ns0:v>
      </ns0:c>
      <ns0:c r="AA474" s="7">
        <ns0:f>IF(T474&gt;=0,A474,1001)</ns0:f>
        <ns0:v>470</ns0:v>
      </ns0:c>
      <ns0:c r="AB474" s="7">
        <ns0:f>IF(T474&lt;0,A474,0)</ns0:f>
        <ns0:v>0</ns0:v>
      </ns0:c>
      <ns0:c r="AC474" s="16">
        <ns0:f>IF(AND(OR('前提と出典'!$C$36+'前提と出典'!$C$38=0,R474&gt;=0),OR('前提と出典'!$C$37+'前提と出典'!$C$38=0,S474&gt;=0)),0,A474)</ns0:f>
        <ns0:v>0</ns0:v>
      </ns0:c>
      <ns0:c r="AD474" s="7">
        <ns0:f>IF(W474&gt;=0,A474,1001)</ns0:f>
        <ns0:v>470</ns0:v>
      </ns0:c>
      <ns0:c r="AE474" s="7">
        <ns0:f>IF(W474&lt;0,A474,0)</ns0:f>
        <ns0:v>0</ns0:v>
      </ns0:c>
      <ns0:c r="AF474" s="16">
        <ns0:f>IF(AND(OR('前提と出典'!$C$36+'前提と出典'!$C$38=0,U474&gt;=0),OR('前提と出典'!$C$37+'前提と出典'!$C$38=0,V474&gt;=0)),0,A474)</ns0:f>
        <ns0:v>0</ns0:v>
      </ns0:c>
      <ns0:c r="AG474" s="7">
        <ns0:f>IF(Z474&gt;=0,A474,1001)</ns0:f>
        <ns0:v>470</ns0:v>
      </ns0:c>
      <ns0:c r="AH474" s="4">
        <ns0:f>IF(Z474&lt;0,A474,0)</ns0:f>
        <ns0:v>0</ns0:v>
      </ns0:c>
      <ns0:c r="AI474" s="12">
        <ns0:f>IF(AND(OR('前提と出典'!$C$36+'前提と出典'!$C$38=0,X474&gt;=0),OR('前提と出典'!$C$37+'前提と出典'!$C$38=0,Y474&gt;=0)),0,A474)</ns0:f>
        <ns0:v>0</ns0:v>
      </ns0:c>
    </ns0:row>
    <ns0:row r="475" ht="24" customHeight="1">
      <ns0:c r="A475" s="4" t="n">
        <ns0:v>471</ns0:v>
      </ns0:c>
      <ns0:c r="B475" s="12">
        <ns0:f>A475*('前提と出典'!$C$36+'前提と出典'!$C$38)</ns0:f>
        <ns0:v>329.7</ns0:v>
      </ns0:c>
      <ns0:c r="C475" s="12">
        <ns0:f>A475*('前提と出典'!$C$37+'前提と出典'!$C$38)</ns0:f>
        <ns0:v>282.59999999999997</ns0:v>
      </ns0:c>
      <ns0:c r="D475" s="16">
        <ns0:f>A475*('前提と出典'!$C$36*'契約別単価'!C5+'前提と出典'!$C$37*'契約別単価'!C6+'前提と出典'!$C$38*'契約別単価'!C7)</ns0:f>
        <ns0:v>3389.094972067039</ns0:v>
      </ns0:c>
      <ns0:c r="E475" s="16">
        <ns0:f>A475*('前提と出典'!$C$36*'契約別単価'!E5+'前提と出典'!$C$37*'契約別単価'!E6+'前提と出典'!$C$38*'契約別単価'!E7)</ns0:f>
        <ns0:v>1184034.1468464702</ns0:v>
      </ns0:c>
      <ns0:c r="F475" s="16">
        <ns0:f>A475*('前提と出典'!$C$36*'契約別単価'!F5+'前提と出典'!$C$37*'契約別単価'!F6+'前提と出典'!$C$38*'契約別単価'!F7)</ns0:f>
        <ns0:v>344050.0574150608</ns0:v>
      </ns0:c>
      <ns0:c r="G475" s="16">
        <ns0:f>A475*('前提と出典'!$C$36*'契約別単価'!G5+'前提と出典'!$C$37*'契約別単価'!G6+'前提と出典'!$C$38*'契約別単価'!G7)</ns0:f>
        <ns0:v>937526.815642458</ns0:v>
      </ns0:c>
      <ns0:c r="H475" s="16">
        <ns0:f>A475*('前提と出典'!$C$36*'契約別単価'!H5+'前提と出典'!$C$37*'契約別単価'!H6+'前提と出典'!$C$38*'契約別単価'!H7)</ns0:f>
        <ns0:v>325368.8256927093</ns0:v>
      </ns0:c>
      <ns0:c r="I475" s="16">
        <ns0:f>A475*('前提と出典'!$C$36*'契約別単価'!I5+'前提と出典'!$C$37*'契約別単価'!I6+'前提と出典'!$C$38*'契約別単価'!I7)</ns0:f>
        <ns0:v>19874.094972067036</ns0:v>
      </ns0:c>
      <ns0:c r="J475" s="16">
        <ns0:f>A475*('前提と出典'!$C$36*'契約別単価'!J5+'前提と出典'!$C$37*'契約別単価'!J6+'前提と出典'!$C$38*'契約別単価'!J7)</ns0:f>
        <ns0:v>46294.37508755251</ns0:v>
      </ns0:c>
      <ns0:c r="K475" s="16">
        <ns0:f>A475*('前提と出典'!$C$36*'契約別単価'!K5+'前提と出典'!$C$37*'契約別単価'!K6+'前提と出典'!$C$38*'契約別単価'!K7)</ns0:f>
        <ns0:v>198433.96648044692</ns0:v>
      </ns0:c>
      <ns0:c r="L475" s="16">
        <ns0:f>A475*('前提と出典'!$C$36*'契約別単価'!L5+'前提と出典'!$C$37*'契約別単価'!L6+'前提と出典'!$C$38*'契約別単価'!L7)</ns0:f>
        <ns0:v>161565.6275230903</ns0:v>
      </ns0:c>
      <ns0:c r="M475" s="16">
        <ns0:f>IF(('前提と出典'!$C$36+'前提と出典'!$C$38)=0,0,IF(B475&lt;=10,'前提と出典'!B73+'前提と出典'!C73,IF(B475&lt;=100,'前提と出典'!B74+'前提と出典'!C74,IF(B475&lt;=500,'前提と出典'!B75+'前提と出典'!C75,'前提と出典'!B76+'前提と出典'!C76))))</ns0:f>
        <ns0:v>40000</ns0:v>
      </ns0:c>
      <ns0:c r="N475" s="16">
        <ns0:f>IF(('前提と出典'!$C$37+'前提と出典'!$C$38)=0,0,IF(C475&lt;=10,'前提と出典'!D73+'前提と出典'!E73,IF(C475&lt;=100,'前提と出典'!D74+'前提と出典'!E74,IF(C475&lt;=500,'前提と出典'!D75+'前提と出典'!E75,'前提と出典'!D76+'前提と出典'!E76))))</ns0:f>
        <ns0:v>56510.9346263078</ns0:v>
      </ns0:c>
      <ns0:c r="O475" s="16">
        <ns0:f>IF('前提と出典'!$C$36+'前提と出典'!$C$38=0,0,'前提と出典'!$B$4*IF('前提と出典'!$B$20=0,MAX('前提と出典'!$B$6,D475*'前提と出典'!$B$5),'前提と出典'!$B$6+D475*'前提と出典'!$B$5))</ns0:f>
        <ns0:v>467695.1061452514</ns0:v>
      </ns0:c>
      <ns0:c r="P475" s="16">
        <ns0:f>(E475+G475)*(1-'前提と出典'!$B$7)-I475-K475-M475-O475</ns0:f>
        <ns0:v>1319181.6002415617</ns0:v>
      </ns0:c>
      <ns0:c r="Q475" s="16">
        <ns0:f>(F475+H475)*(1-'前提と出典'!$B$7)-J475-L475-N475</ns0:f>
        <ns0:v>380948.86607893975</ns0:v>
      </ns0:c>
      <ns0:c r="R475" s="16">
        <ns0:f>P475-E475*'前提と出典'!$E$4</ns0:f>
        <ns0:v>963971.3561876205</ns0:v>
      </ns0:c>
      <ns0:c r="S475" s="16">
        <ns0:f>Q475-F475*'前提と出典'!$E$4</ns0:f>
        <ns0:v>277733.8488544215</ns0:v>
      </ns0:c>
      <ns0:c r="T475" s="7">
        <ns0:f>R475+S475</ns0:f>
        <ns0:v>1241705.205042042</ns0:v>
      </ns0:c>
      <ns0:c r="U475" s="16">
        <ns0:f>P475-E475*'前提と出典'!$E$5</ns0:f>
        <ns0:v>845567.9415029736</ns0:v>
      </ns0:c>
      <ns0:c r="V475" s="16">
        <ns0:f>Q475-F475*'前提と出典'!$E$5</ns0:f>
        <ns0:v>243328.8431129154</ns0:v>
      </ns0:c>
      <ns0:c r="W475" s="7">
        <ns0:f>U475+V475</ns0:f>
        <ns0:v>1088896.784615889</ns0:v>
      </ns0:c>
      <ns0:c r="X475" s="16">
        <ns0:f>P475-E475*'前提と出典'!$E$6</ns0:f>
        <ns0:v>727164.5268183263</ns0:v>
      </ns0:c>
      <ns0:c r="Y475" s="16">
        <ns0:f>Q475-F475*'前提と出典'!$E$6</ns0:f>
        <ns0:v>208923.8373714093</ns0:v>
      </ns0:c>
      <ns0:c r="Z475" s="7">
        <ns0:f>X475+Y475</ns0:f>
        <ns0:v>936088.3641897356</ns0:v>
      </ns0:c>
      <ns0:c r="AA475" s="7">
        <ns0:f>IF(T475&gt;=0,A475,1001)</ns0:f>
        <ns0:v>471</ns0:v>
      </ns0:c>
      <ns0:c r="AB475" s="7">
        <ns0:f>IF(T475&lt;0,A475,0)</ns0:f>
        <ns0:v>0</ns0:v>
      </ns0:c>
      <ns0:c r="AC475" s="16">
        <ns0:f>IF(AND(OR('前提と出典'!$C$36+'前提と出典'!$C$38=0,R475&gt;=0),OR('前提と出典'!$C$37+'前提と出典'!$C$38=0,S475&gt;=0)),0,A475)</ns0:f>
        <ns0:v>0</ns0:v>
      </ns0:c>
      <ns0:c r="AD475" s="7">
        <ns0:f>IF(W475&gt;=0,A475,1001)</ns0:f>
        <ns0:v>471</ns0:v>
      </ns0:c>
      <ns0:c r="AE475" s="7">
        <ns0:f>IF(W475&lt;0,A475,0)</ns0:f>
        <ns0:v>0</ns0:v>
      </ns0:c>
      <ns0:c r="AF475" s="16">
        <ns0:f>IF(AND(OR('前提と出典'!$C$36+'前提と出典'!$C$38=0,U475&gt;=0),OR('前提と出典'!$C$37+'前提と出典'!$C$38=0,V475&gt;=0)),0,A475)</ns0:f>
        <ns0:v>0</ns0:v>
      </ns0:c>
      <ns0:c r="AG475" s="7">
        <ns0:f>IF(Z475&gt;=0,A475,1001)</ns0:f>
        <ns0:v>471</ns0:v>
      </ns0:c>
      <ns0:c r="AH475" s="4">
        <ns0:f>IF(Z475&lt;0,A475,0)</ns0:f>
        <ns0:v>0</ns0:v>
      </ns0:c>
      <ns0:c r="AI475" s="12">
        <ns0:f>IF(AND(OR('前提と出典'!$C$36+'前提と出典'!$C$38=0,X475&gt;=0),OR('前提と出典'!$C$37+'前提と出典'!$C$38=0,Y475&gt;=0)),0,A475)</ns0:f>
        <ns0:v>0</ns0:v>
      </ns0:c>
    </ns0:row>
    <ns0:row r="476" ht="24" customHeight="1">
      <ns0:c r="A476" s="4" t="n">
        <ns0:v>472</ns0:v>
      </ns0:c>
      <ns0:c r="B476" s="12">
        <ns0:f>A476*('前提と出典'!$C$36+'前提と出典'!$C$38)</ns0:f>
        <ns0:v>330.4</ns0:v>
      </ns0:c>
      <ns0:c r="C476" s="12">
        <ns0:f>A476*('前提と出典'!$C$37+'前提と出典'!$C$38)</ns0:f>
        <ns0:v>283.2</ns0:v>
      </ns0:c>
      <ns0:c r="D476" s="16">
        <ns0:f>A476*('前提と出典'!$C$36*'契約別単価'!C5+'前提と出典'!$C$37*'契約別単価'!C6+'前提と出典'!$C$38*'契約別単価'!C7)</ns0:f>
        <ns0:v>3396.290502793296</ns0:v>
      </ns0:c>
      <ns0:c r="E476" s="16">
        <ns0:f>A476*('前提と出典'!$C$36*'契約別単価'!E5+'前提と出典'!$C$37*'契約別単価'!E6+'前提と出典'!$C$38*'契約別単価'!E7)</ns0:f>
        <ns0:v>1186548.019769711</ns0:v>
      </ns0:c>
      <ns0:c r="F476" s="16">
        <ns0:f>A476*('前提と出典'!$C$36*'契約別単価'!F5+'前提と出典'!$C$37*'契約別単価'!F6+'前提と出典'!$C$38*'契約別単価'!F7)</ns0:f>
        <ns0:v>344780.5246282563</ns0:v>
      </ns0:c>
      <ns0:c r="G476" s="16">
        <ns0:f>A476*('前提と出典'!$C$36*'契約別単価'!G5+'前提と出典'!$C$37*'契約別単価'!G6+'前提と出典'!$C$38*'契約別単価'!G7)</ns0:f>
        <ns0:v>939517.3184357542</ns0:v>
      </ns0:c>
      <ns0:c r="H476" s="16">
        <ns0:f>A476*('前提と出典'!$C$36*'契約別単価'!H5+'前提と出典'!$C$37*'契約別単価'!H6+'前提と出典'!$C$38*'契約別単価'!H7)</ns0:f>
        <ns0:v>326059.6299935431</ns0:v>
      </ns0:c>
      <ns0:c r="I476" s="16">
        <ns0:f>A476*('前提と出典'!$C$36*'契約別単価'!I5+'前提と出典'!$C$37*'契約別単価'!I6+'前提と出典'!$C$38*'契約別単価'!I7)</ns0:f>
        <ns0:v>19916.290502793294</ns0:v>
      </ns0:c>
      <ns0:c r="J476" s="16">
        <ns0:f>A476*('前提と出典'!$C$36*'契約別単価'!J5+'前提と出典'!$C$37*'契約別単価'!J6+'前提と出典'!$C$38*'契約別単価'!J7)</ns0:f>
        <ns0:v>46392.664631262815</ns0:v>
      </ns0:c>
      <ns0:c r="K476" s="16">
        <ns0:f>A476*('前提と出典'!$C$36*'契約別単価'!K5+'前提と出典'!$C$37*'契約別単価'!K6+'前提と出典'!$C$38*'契約別単価'!K7)</ns0:f>
        <ns0:v>198855.27001862196</ns0:v>
      </ns0:c>
      <ns0:c r="L476" s="16">
        <ns0:f>A476*('前提と出典'!$C$36*'契約別単価'!L5+'前提と出典'!$C$37*'契約別単価'!L6+'前提と出典'!$C$38*'契約別単価'!L7)</ns0:f>
        <ns0:v>161908.6543331181</ns0:v>
      </ns0:c>
      <ns0:c r="M476" s="16">
        <ns0:f>IF(('前提と出典'!$C$36+'前提と出典'!$C$38)=0,0,IF(B476&lt;=10,'前提と出典'!B73+'前提と出典'!C73,IF(B476&lt;=100,'前提と出典'!B74+'前提と出典'!C74,IF(B476&lt;=500,'前提と出典'!B75+'前提と出典'!C75,'前提と出典'!B76+'前提と出典'!C76))))</ns0:f>
        <ns0:v>40000</ns0:v>
      </ns0:c>
      <ns0:c r="N476" s="16">
        <ns0:f>IF(('前提と出典'!$C$37+'前提と出典'!$C$38)=0,0,IF(C476&lt;=10,'前提と出典'!D73+'前提と出典'!E73,IF(C476&lt;=100,'前提と出典'!D74+'前提と出典'!E74,IF(C476&lt;=500,'前提と出典'!D75+'前提と出典'!E75,'前提と出典'!D76+'前提と出典'!E76))))</ns0:f>
        <ns0:v>56510.9346263078</ns0:v>
      </ns0:c>
      <ns0:c r="O476" s="16">
        <ns0:f>IF('前提と出典'!$C$36+'前提と出典'!$C$38=0,0,'前提と出典'!$B$4*IF('前提と出典'!$B$20=0,MAX('前提と出典'!$B$6,D476*'前提と出典'!$B$5),'前提と出典'!$B$6+D476*'前提と出典'!$B$5))</ns0:f>
        <ns0:v>468688.08938547486</ns0:v>
      </ns0:c>
      <ns0:c r="P476" s="16">
        <ns0:f>(E476+G476)*(1-'前提と出典'!$B$7)-I476-K476-M476-O476</ns0:f>
        <ns0:v>1322067.3361231782</ns0:v>
      </ns0:c>
      <ns0:c r="Q476" s="16">
        <ns0:f>(F476+H476)*(1-'前提と出典'!$B$7)-J476-L476-N476</ns0:f>
        <ns0:v>381877.6554647259</ns0:v>
      </ns0:c>
      <ns0:c r="R476" s="16">
        <ns0:f>P476-E476*'前提と出典'!$E$4</ns0:f>
        <ns0:v>966102.930192265</ns0:v>
      </ns0:c>
      <ns0:c r="S476" s="16">
        <ns0:f>Q476-F476*'前提と出典'!$E$4</ns0:f>
        <ns0:v>278443.49807624903</ns0:v>
      </ns0:c>
      <ns0:c r="T476" s="7">
        <ns0:f>R476+S476</ns0:f>
        <ns0:v>1244546.428268514</ns0:v>
      </ns0:c>
      <ns0:c r="U476" s="16">
        <ns0:f>P476-E476*'前提と出典'!$E$5</ns0:f>
        <ns0:v>847448.1282152939</ns0:v>
      </ns0:c>
      <ns0:c r="V476" s="16">
        <ns0:f>Q476-F476*'前提と出典'!$E$5</ns0:f>
        <ns0:v>243965.44561342336</ns0:v>
      </ns0:c>
      <ns0:c r="W476" s="7">
        <ns0:f>U476+V476</ns0:f>
        <ns0:v>1091413.5738287172</ns0:v>
      </ns0:c>
      <ns0:c r="X476" s="16">
        <ns0:f>P476-E476*'前提と出典'!$E$6</ns0:f>
        <ns0:v>728793.3262383228</ns0:v>
      </ns0:c>
      <ns0:c r="Y476" s="16">
        <ns0:f>Q476-F476*'前提と出典'!$E$6</ns0:f>
        <ns0:v>209487.3931505978</ns0:v>
      </ns0:c>
      <ns0:c r="Z476" s="7">
        <ns0:f>X476+Y476</ns0:f>
        <ns0:v>938280.7193889206</ns0:v>
      </ns0:c>
      <ns0:c r="AA476" s="7">
        <ns0:f>IF(T476&gt;=0,A476,1001)</ns0:f>
        <ns0:v>472</ns0:v>
      </ns0:c>
      <ns0:c r="AB476" s="7">
        <ns0:f>IF(T476&lt;0,A476,0)</ns0:f>
        <ns0:v>0</ns0:v>
      </ns0:c>
      <ns0:c r="AC476" s="16">
        <ns0:f>IF(AND(OR('前提と出典'!$C$36+'前提と出典'!$C$38=0,R476&gt;=0),OR('前提と出典'!$C$37+'前提と出典'!$C$38=0,S476&gt;=0)),0,A476)</ns0:f>
        <ns0:v>0</ns0:v>
      </ns0:c>
      <ns0:c r="AD476" s="7">
        <ns0:f>IF(W476&gt;=0,A476,1001)</ns0:f>
        <ns0:v>472</ns0:v>
      </ns0:c>
      <ns0:c r="AE476" s="7">
        <ns0:f>IF(W476&lt;0,A476,0)</ns0:f>
        <ns0:v>0</ns0:v>
      </ns0:c>
      <ns0:c r="AF476" s="16">
        <ns0:f>IF(AND(OR('前提と出典'!$C$36+'前提と出典'!$C$38=0,U476&gt;=0),OR('前提と出典'!$C$37+'前提と出典'!$C$38=0,V476&gt;=0)),0,A476)</ns0:f>
        <ns0:v>0</ns0:v>
      </ns0:c>
      <ns0:c r="AG476" s="7">
        <ns0:f>IF(Z476&gt;=0,A476,1001)</ns0:f>
        <ns0:v>472</ns0:v>
      </ns0:c>
      <ns0:c r="AH476" s="4">
        <ns0:f>IF(Z476&lt;0,A476,0)</ns0:f>
        <ns0:v>0</ns0:v>
      </ns0:c>
      <ns0:c r="AI476" s="12">
        <ns0:f>IF(AND(OR('前提と出典'!$C$36+'前提と出典'!$C$38=0,X476&gt;=0),OR('前提と出典'!$C$37+'前提と出典'!$C$38=0,Y476&gt;=0)),0,A476)</ns0:f>
        <ns0:v>0</ns0:v>
      </ns0:c>
    </ns0:row>
    <ns0:row r="477" ht="24" customHeight="1">
      <ns0:c r="A477" s="4" t="n">
        <ns0:v>473</ns0:v>
      </ns0:c>
      <ns0:c r="B477" s="12">
        <ns0:f>A477*('前提と出典'!$C$36+'前提と出典'!$C$38)</ns0:f>
        <ns0:v>331.09999999999997</ns0:v>
      </ns0:c>
      <ns0:c r="C477" s="12">
        <ns0:f>A477*('前提と出典'!$C$37+'前提と出典'!$C$38)</ns0:f>
        <ns0:v>283.8</ns0:v>
      </ns0:c>
      <ns0:c r="D477" s="16">
        <ns0:f>A477*('前提と出典'!$C$36*'契約別単価'!C5+'前提と出典'!$C$37*'契約別単価'!C6+'前提と出典'!$C$38*'契約別単価'!C7)</ns0:f>
        <ns0:v>3403.486033519553</ns0:v>
      </ns0:c>
      <ns0:c r="E477" s="16">
        <ns0:f>A477*('前提と出典'!$C$36*'契約別単価'!E5+'前提と出典'!$C$37*'契約別単価'!E6+'前提と出典'!$C$38*'契約別単価'!E7)</ns0:f>
        <ns0:v>1189061.892692952</ns0:v>
      </ns0:c>
      <ns0:c r="F477" s="16">
        <ns0:f>A477*('前提と出典'!$C$36*'契約別単価'!F5+'前提と出典'!$C$37*'契約別単価'!F6+'前提と出典'!$C$38*'契約別単価'!F7)</ns0:f>
        <ns0:v>345510.99184145173</ns0:v>
      </ns0:c>
      <ns0:c r="G477" s="16">
        <ns0:f>A477*('前提と出典'!$C$36*'契約別単価'!G5+'前提と出典'!$C$37*'契約別単価'!G6+'前提と出典'!$C$38*'契約別単価'!G7)</ns0:f>
        <ns0:v>941507.8212290503</ns0:v>
      </ns0:c>
      <ns0:c r="H477" s="16">
        <ns0:f>A477*('前提と出典'!$C$36*'契約別単価'!H5+'前提と出典'!$C$37*'契約別単価'!H6+'前提と出典'!$C$38*'契約別単価'!H7)</ns0:f>
        <ns0:v>326750.4342943769</ns0:v>
      </ns0:c>
      <ns0:c r="I477" s="16">
        <ns0:f>A477*('前提と出典'!$C$36*'契約別単価'!I5+'前提と出典'!$C$37*'契約別単価'!I6+'前提と出典'!$C$38*'契約別単価'!I7)</ns0:f>
        <ns0:v>19958.486033519548</ns0:v>
      </ns0:c>
      <ns0:c r="J477" s="16">
        <ns0:f>A477*('前提と出典'!$C$36*'契約別単価'!J5+'前提と出典'!$C$37*'契約別単価'!J6+'前提と出典'!$C$38*'契約別単価'!J7)</ns0:f>
        <ns0:v>46490.954174973114</ns0:v>
      </ns0:c>
      <ns0:c r="K477" s="16">
        <ns0:f>A477*('前提と出典'!$C$36*'契約別単価'!K5+'前提と出典'!$C$37*'契約別単価'!K6+'前提と出典'!$C$38*'契約別単価'!K7)</ns0:f>
        <ns0:v>199276.573556797</ns0:v>
      </ns0:c>
      <ns0:c r="L477" s="16">
        <ns0:f>A477*('前提と出典'!$C$36*'契約別単価'!L5+'前提と出典'!$C$37*'契約別単価'!L6+'前提と出典'!$C$38*'契約別単価'!L7)</ns0:f>
        <ns0:v>162251.6811431459</ns0:v>
      </ns0:c>
      <ns0:c r="M477" s="16">
        <ns0:f>IF(('前提と出典'!$C$36+'前提と出典'!$C$38)=0,0,IF(B477&lt;=10,'前提と出典'!B73+'前提と出典'!C73,IF(B477&lt;=100,'前提と出典'!B74+'前提と出典'!C74,IF(B477&lt;=500,'前提と出典'!B75+'前提と出典'!C75,'前提と出典'!B76+'前提と出典'!C76))))</ns0:f>
        <ns0:v>40000</ns0:v>
      </ns0:c>
      <ns0:c r="N477" s="16">
        <ns0:f>IF(('前提と出典'!$C$37+'前提と出典'!$C$38)=0,0,IF(C477&lt;=10,'前提と出典'!D73+'前提と出典'!E73,IF(C477&lt;=100,'前提と出典'!D74+'前提と出典'!E74,IF(C477&lt;=500,'前提と出典'!D75+'前提と出典'!E75,'前提と出典'!D76+'前提と出典'!E76))))</ns0:f>
        <ns0:v>56510.9346263078</ns0:v>
      </ns0:c>
      <ns0:c r="O477" s="16">
        <ns0:f>IF('前提と出典'!$C$36+'前提と出典'!$C$38=0,0,'前提と出典'!$B$4*IF('前提と出典'!$B$20=0,MAX('前提と出典'!$B$6,D477*'前提と出典'!$B$5),'前提と出典'!$B$6+D477*'前提と出典'!$B$5))</ns0:f>
        <ns0:v>469681.07262569835</ns0:v>
      </ns0:c>
      <ns0:c r="P477" s="16">
        <ns0:f>(E477+G477)*(1-'前提と出典'!$B$7)-I477-K477-M477-O477</ns0:f>
        <ns0:v>1324953.0720047953</ns0:v>
      </ns0:c>
      <ns0:c r="Q477" s="16">
        <ns0:f>(F477+H477)*(1-'前提と出典'!$B$7)-J477-L477-N477</ns0:f>
        <ns0:v>382806.4448505119</ns0:v>
      </ns0:c>
      <ns0:c r="R477" s="16">
        <ns0:f>P477-E477*'前提と出典'!$E$4</ns0:f>
        <ns0:v>968234.50419691</ns0:v>
      </ns0:c>
      <ns0:c r="S477" s="16">
        <ns0:f>Q477-F477*'前提と出典'!$E$4</ns0:f>
        <ns0:v>279153.14729807636</ns0:v>
      </ns0:c>
      <ns0:c r="T477" s="7">
        <ns0:f>R477+S477</ns0:f>
        <ns0:v>1247387.6514949864</ns0:v>
      </ns0:c>
      <ns0:c r="U477" s="16">
        <ns0:f>P477-E477*'前提と出典'!$E$5</ns0:f>
        <ns0:v>849328.3149276145</ns0:v>
      </ns0:c>
      <ns0:c r="V477" s="16">
        <ns0:f>Q477-F477*'前提と出典'!$E$5</ns0:f>
        <ns0:v>244602.0481139312</ns0:v>
      </ns0:c>
      <ns0:c r="W477" s="7">
        <ns0:f>U477+V477</ns0:f>
        <ns0:v>1093930.3630415457</ns0:v>
      </ns0:c>
      <ns0:c r="X477" s="16">
        <ns0:f>P477-E477*'前提と出典'!$E$6</ns0:f>
        <ns0:v>730422.1256583196</ns0:v>
      </ns0:c>
      <ns0:c r="Y477" s="16">
        <ns0:f>Q477-F477*'前提と出典'!$E$6</ns0:f>
        <ns0:v>210050.9489297861</ns0:v>
      </ns0:c>
      <ns0:c r="Z477" s="7">
        <ns0:f>X477+Y477</ns0:f>
        <ns0:v>940473.0745881057</ns0:v>
      </ns0:c>
      <ns0:c r="AA477" s="7">
        <ns0:f>IF(T477&gt;=0,A477,1001)</ns0:f>
        <ns0:v>473</ns0:v>
      </ns0:c>
      <ns0:c r="AB477" s="7">
        <ns0:f>IF(T477&lt;0,A477,0)</ns0:f>
        <ns0:v>0</ns0:v>
      </ns0:c>
      <ns0:c r="AC477" s="16">
        <ns0:f>IF(AND(OR('前提と出典'!$C$36+'前提と出典'!$C$38=0,R477&gt;=0),OR('前提と出典'!$C$37+'前提と出典'!$C$38=0,S477&gt;=0)),0,A477)</ns0:f>
        <ns0:v>0</ns0:v>
      </ns0:c>
      <ns0:c r="AD477" s="7">
        <ns0:f>IF(W477&gt;=0,A477,1001)</ns0:f>
        <ns0:v>473</ns0:v>
      </ns0:c>
      <ns0:c r="AE477" s="7">
        <ns0:f>IF(W477&lt;0,A477,0)</ns0:f>
        <ns0:v>0</ns0:v>
      </ns0:c>
      <ns0:c r="AF477" s="16">
        <ns0:f>IF(AND(OR('前提と出典'!$C$36+'前提と出典'!$C$38=0,U477&gt;=0),OR('前提と出典'!$C$37+'前提と出典'!$C$38=0,V477&gt;=0)),0,A477)</ns0:f>
        <ns0:v>0</ns0:v>
      </ns0:c>
      <ns0:c r="AG477" s="7">
        <ns0:f>IF(Z477&gt;=0,A477,1001)</ns0:f>
        <ns0:v>473</ns0:v>
      </ns0:c>
      <ns0:c r="AH477" s="4">
        <ns0:f>IF(Z477&lt;0,A477,0)</ns0:f>
        <ns0:v>0</ns0:v>
      </ns0:c>
      <ns0:c r="AI477" s="12">
        <ns0:f>IF(AND(OR('前提と出典'!$C$36+'前提と出典'!$C$38=0,X477&gt;=0),OR('前提と出典'!$C$37+'前提と出典'!$C$38=0,Y477&gt;=0)),0,A477)</ns0:f>
        <ns0:v>0</ns0:v>
      </ns0:c>
    </ns0:row>
    <ns0:row r="478" ht="24" customHeight="1">
      <ns0:c r="A478" s="4" t="n">
        <ns0:v>474</ns0:v>
      </ns0:c>
      <ns0:c r="B478" s="12">
        <ns0:f>A478*('前提と出典'!$C$36+'前提と出典'!$C$38)</ns0:f>
        <ns0:v>331.79999999999995</ns0:v>
      </ns0:c>
      <ns0:c r="C478" s="12">
        <ns0:f>A478*('前提と出典'!$C$37+'前提と出典'!$C$38)</ns0:f>
        <ns0:v>284.4</ns0:v>
      </ns0:c>
      <ns0:c r="D478" s="16">
        <ns0:f>A478*('前提と出典'!$C$36*'契約別単価'!C5+'前提と出典'!$C$37*'契約別単価'!C6+'前提と出典'!$C$38*'契約別単価'!C7)</ns0:f>
        <ns0:v>3410.68156424581</ns0:v>
      </ns0:c>
      <ns0:c r="E478" s="16">
        <ns0:f>A478*('前提と出典'!$C$36*'契約別単価'!E5+'前提と出典'!$C$37*'契約別単価'!E6+'前提と出典'!$C$38*'契約別単価'!E7)</ns0:f>
        <ns0:v>1191575.765616193</ns0:v>
      </ns0:c>
      <ns0:c r="F478" s="16">
        <ns0:f>A478*('前提と出典'!$C$36*'契約別単価'!F5+'前提と出典'!$C$37*'契約別単価'!F6+'前提と出典'!$C$38*'契約別単価'!F7)</ns0:f>
        <ns0:v>346241.4590546472</ns0:v>
      </ns0:c>
      <ns0:c r="G478" s="16">
        <ns0:f>A478*('前提と出典'!$C$36*'契約別単価'!G5+'前提と出典'!$C$37*'契約別単価'!G6+'前提と出典'!$C$38*'契約別単価'!G7)</ns0:f>
        <ns0:v>943498.3240223463</ns0:v>
      </ns0:c>
      <ns0:c r="H478" s="16">
        <ns0:f>A478*('前提と出典'!$C$36*'契約別単価'!H5+'前提と出典'!$C$37*'契約別単価'!H6+'前提と出典'!$C$38*'契約別単価'!H7)</ns0:f>
        <ns0:v>327441.2385952106</ns0:v>
      </ns0:c>
      <ns0:c r="I478" s="16">
        <ns0:f>A478*('前提と出典'!$C$36*'契約別単価'!I5+'前提と出典'!$C$37*'契約別単価'!I6+'前提と出典'!$C$38*'契約別単価'!I7)</ns0:f>
        <ns0:v>20000.681564245806</ns0:v>
      </ns0:c>
      <ns0:c r="J478" s="16">
        <ns0:f>A478*('前提と出典'!$C$36*'契約別単価'!J5+'前提と出典'!$C$37*'契約別単価'!J6+'前提と出典'!$C$38*'契約別単価'!J7)</ns0:f>
        <ns0:v>46589.243718683414</ns0:v>
      </ns0:c>
      <ns0:c r="K478" s="16">
        <ns0:f>A478*('前提と出典'!$C$36*'契約別単価'!K5+'前提と出典'!$C$37*'契約別単価'!K6+'前提と出典'!$C$38*'契約別単価'!K7)</ns0:f>
        <ns0:v>199697.87709497206</ns0:v>
      </ns0:c>
      <ns0:c r="L478" s="16">
        <ns0:f>A478*('前提と出典'!$C$36*'契約別単価'!L5+'前提と出典'!$C$37*'契約別単価'!L6+'前提と出典'!$C$38*'契約別単価'!L7)</ns0:f>
        <ns0:v>162594.7079531737</ns0:v>
      </ns0:c>
      <ns0:c r="M478" s="16">
        <ns0:f>IF(('前提と出典'!$C$36+'前提と出典'!$C$38)=0,0,IF(B478&lt;=10,'前提と出典'!B73+'前提と出典'!C73,IF(B478&lt;=100,'前提と出典'!B74+'前提と出典'!C74,IF(B478&lt;=500,'前提と出典'!B75+'前提と出典'!C75,'前提と出典'!B76+'前提と出典'!C76))))</ns0:f>
        <ns0:v>40000</ns0:v>
      </ns0:c>
      <ns0:c r="N478" s="16">
        <ns0:f>IF(('前提と出典'!$C$37+'前提と出典'!$C$38)=0,0,IF(C478&lt;=10,'前提と出典'!D73+'前提と出典'!E73,IF(C478&lt;=100,'前提と出典'!D74+'前提と出典'!E74,IF(C478&lt;=500,'前提と出典'!D75+'前提と出典'!E75,'前提と出典'!D76+'前提と出典'!E76))))</ns0:f>
        <ns0:v>56510.9346263078</ns0:v>
      </ns0:c>
      <ns0:c r="O478" s="16">
        <ns0:f>IF('前提と出典'!$C$36+'前提と出典'!$C$38=0,0,'前提と出典'!$B$4*IF('前提と出典'!$B$20=0,MAX('前提と出典'!$B$6,D478*'前提と出典'!$B$5),'前提と出典'!$B$6+D478*'前提と出典'!$B$5))</ns0:f>
        <ns0:v>470674.05586592184</ns0:v>
      </ns0:c>
      <ns0:c r="P478" s="16">
        <ns0:f>(E478+G478)*(1-'前提と出典'!$B$7)-I478-K478-M478-O478</ns0:f>
        <ns0:v>1327838.8078864121</ns0:v>
      </ns0:c>
      <ns0:c r="Q478" s="16">
        <ns0:f>(F478+H478)*(1-'前提と出典'!$B$7)-J478-L478-N478</ns0:f>
        <ns0:v>383735.2342362979</ns0:v>
      </ns0:c>
      <ns0:c r="R478" s="16">
        <ns0:f>P478-E478*'前提と出典'!$E$4</ns0:f>
        <ns0:v>970366.078201554</ns0:v>
      </ns0:c>
      <ns0:c r="S478" s="16">
        <ns0:f>Q478-F478*'前提と出典'!$E$4</ns0:f>
        <ns0:v>279862.7965199037</ns0:v>
      </ns0:c>
      <ns0:c r="T478" s="7">
        <ns0:f>R478+S478</ns0:f>
        <ns0:v>1250228.8747214577</ns0:v>
      </ns0:c>
      <ns0:c r="U478" s="16">
        <ns0:f>P478-E478*'前提と出典'!$E$5</ns0:f>
        <ns0:v>851208.501639935</ns0:v>
      </ns0:c>
      <ns0:c r="V478" s="16">
        <ns0:f>Q478-F478*'前提と出典'!$E$5</ns0:f>
        <ns0:v>245238.65061443904</ns0:v>
      </ns0:c>
      <ns0:c r="W478" s="7">
        <ns0:f>U478+V478</ns0:f>
        <ns0:v>1096447.152254374</ns0:v>
      </ns0:c>
      <ns0:c r="X478" s="16">
        <ns0:f>P478-E478*'前提と出典'!$E$6</ns0:f>
        <ns0:v>732050.9250783154</ns0:v>
      </ns0:c>
      <ns0:c r="Y478" s="16">
        <ns0:f>Q478-F478*'前提と出典'!$E$6</ns0:f>
        <ns0:v>210614.50470897427</ns0:v>
      </ns0:c>
      <ns0:c r="Z478" s="7">
        <ns0:f>X478+Y478</ns0:f>
        <ns0:v>942665.4297872897</ns0:v>
      </ns0:c>
      <ns0:c r="AA478" s="7">
        <ns0:f>IF(T478&gt;=0,A478,1001)</ns0:f>
        <ns0:v>474</ns0:v>
      </ns0:c>
      <ns0:c r="AB478" s="7">
        <ns0:f>IF(T478&lt;0,A478,0)</ns0:f>
        <ns0:v>0</ns0:v>
      </ns0:c>
      <ns0:c r="AC478" s="16">
        <ns0:f>IF(AND(OR('前提と出典'!$C$36+'前提と出典'!$C$38=0,R478&gt;=0),OR('前提と出典'!$C$37+'前提と出典'!$C$38=0,S478&gt;=0)),0,A478)</ns0:f>
        <ns0:v>0</ns0:v>
      </ns0:c>
      <ns0:c r="AD478" s="7">
        <ns0:f>IF(W478&gt;=0,A478,1001)</ns0:f>
        <ns0:v>474</ns0:v>
      </ns0:c>
      <ns0:c r="AE478" s="7">
        <ns0:f>IF(W478&lt;0,A478,0)</ns0:f>
        <ns0:v>0</ns0:v>
      </ns0:c>
      <ns0:c r="AF478" s="16">
        <ns0:f>IF(AND(OR('前提と出典'!$C$36+'前提と出典'!$C$38=0,U478&gt;=0),OR('前提と出典'!$C$37+'前提と出典'!$C$38=0,V478&gt;=0)),0,A478)</ns0:f>
        <ns0:v>0</ns0:v>
      </ns0:c>
      <ns0:c r="AG478" s="7">
        <ns0:f>IF(Z478&gt;=0,A478,1001)</ns0:f>
        <ns0:v>474</ns0:v>
      </ns0:c>
      <ns0:c r="AH478" s="4">
        <ns0:f>IF(Z478&lt;0,A478,0)</ns0:f>
        <ns0:v>0</ns0:v>
      </ns0:c>
      <ns0:c r="AI478" s="12">
        <ns0:f>IF(AND(OR('前提と出典'!$C$36+'前提と出典'!$C$38=0,X478&gt;=0),OR('前提と出典'!$C$37+'前提と出典'!$C$38=0,Y478&gt;=0)),0,A478)</ns0:f>
        <ns0:v>0</ns0:v>
      </ns0:c>
    </ns0:row>
    <ns0:row r="479" ht="24" customHeight="1">
      <ns0:c r="A479" s="4" t="n">
        <ns0:v>475</ns0:v>
      </ns0:c>
      <ns0:c r="B479" s="12">
        <ns0:f>A479*('前提と出典'!$C$36+'前提と出典'!$C$38)</ns0:f>
        <ns0:v>332.5</ns0:v>
      </ns0:c>
      <ns0:c r="C479" s="12">
        <ns0:f>A479*('前提と出典'!$C$37+'前提と出典'!$C$38)</ns0:f>
        <ns0:v>285</ns0:v>
      </ns0:c>
      <ns0:c r="D479" s="16">
        <ns0:f>A479*('前提と出典'!$C$36*'契約別単価'!C5+'前提と出典'!$C$37*'契約別単価'!C6+'前提と出典'!$C$38*'契約別単価'!C7)</ns0:f>
        <ns0:v>3417.877094972067</ns0:v>
      </ns0:c>
      <ns0:c r="E479" s="16">
        <ns0:f>A479*('前提と出典'!$C$36*'契約別単価'!E5+'前提と出典'!$C$37*'契約別単価'!E6+'前提と出典'!$C$38*'契約別単価'!E7)</ns0:f>
        <ns0:v>1194089.6385394337</ns0:v>
      </ns0:c>
      <ns0:c r="F479" s="16">
        <ns0:f>A479*('前提と出典'!$C$36*'契約別単価'!F5+'前提と出典'!$C$37*'契約別単価'!F6+'前提と出典'!$C$38*'契約別単価'!F7)</ns0:f>
        <ns0:v>346971.92626784265</ns0:v>
      </ns0:c>
      <ns0:c r="G479" s="16">
        <ns0:f>A479*('前提と出典'!$C$36*'契約別単価'!G5+'前提と出典'!$C$37*'契約別単価'!G6+'前提と出典'!$C$38*'契約別単価'!G7)</ns0:f>
        <ns0:v>945488.8268156424</ns0:v>
      </ns0:c>
      <ns0:c r="H479" s="16">
        <ns0:f>A479*('前提と出典'!$C$36*'契約別単価'!H5+'前提と出典'!$C$37*'契約別単価'!H6+'前提と出典'!$C$38*'契約別単価'!H7)</ns0:f>
        <ns0:v>328132.0428960444</ns0:v>
      </ns0:c>
      <ns0:c r="I479" s="16">
        <ns0:f>A479*('前提と出典'!$C$36*'契約別単価'!I5+'前提と出典'!$C$37*'契約別単価'!I6+'前提と出典'!$C$38*'契約別単価'!I7)</ns0:f>
        <ns0:v>20042.877094972064</ns0:v>
      </ns0:c>
      <ns0:c r="J479" s="16">
        <ns0:f>A479*('前提と出典'!$C$36*'契約別単価'!J5+'前提と出典'!$C$37*'契約別単価'!J6+'前提と出典'!$C$38*'契約別単価'!J7)</ns0:f>
        <ns0:v>46687.53326239372</ns0:v>
      </ns0:c>
      <ns0:c r="K479" s="16">
        <ns0:f>A479*('前提と出典'!$C$36*'契約別単価'!K5+'前提と出典'!$C$37*'契約別単価'!K6+'前提と出典'!$C$38*'契約別単価'!K7)</ns0:f>
        <ns0:v>200119.1806331471</ns0:v>
      </ns0:c>
      <ns0:c r="L479" s="16">
        <ns0:f>A479*('前提と出典'!$C$36*'契約別単価'!L5+'前提と出典'!$C$37*'契約別単価'!L6+'前提と出典'!$C$38*'契約別単価'!L7)</ns0:f>
        <ns0:v>162937.73476320147</ns0:v>
      </ns0:c>
      <ns0:c r="M479" s="16">
        <ns0:f>IF(('前提と出典'!$C$36+'前提と出典'!$C$38)=0,0,IF(B479&lt;=10,'前提と出典'!B73+'前提と出典'!C73,IF(B479&lt;=100,'前提と出典'!B74+'前提と出典'!C74,IF(B479&lt;=500,'前提と出典'!B75+'前提と出典'!C75,'前提と出典'!B76+'前提と出典'!C76))))</ns0:f>
        <ns0:v>40000</ns0:v>
      </ns0:c>
      <ns0:c r="N479" s="16">
        <ns0:f>IF(('前提と出典'!$C$37+'前提と出典'!$C$38)=0,0,IF(C479&lt;=10,'前提と出典'!D73+'前提と出典'!E73,IF(C479&lt;=100,'前提と出典'!D74+'前提と出典'!E74,IF(C479&lt;=500,'前提と出典'!D75+'前提と出典'!E75,'前提と出典'!D76+'前提と出典'!E76))))</ns0:f>
        <ns0:v>56510.9346263078</ns0:v>
      </ns0:c>
      <ns0:c r="O479" s="16">
        <ns0:f>IF('前提と出典'!$C$36+'前提と出典'!$C$38=0,0,'前提と出典'!$B$4*IF('前提と出典'!$B$20=0,MAX('前提と出典'!$B$6,D479*'前提と出典'!$B$5),'前提と出典'!$B$6+D479*'前提と出典'!$B$5))</ns0:f>
        <ns0:v>471667.03910614527</ns0:v>
      </ns0:c>
      <ns0:c r="P479" s="16">
        <ns0:f>(E479+G479)*(1-'前提と出典'!$B$7)-I479-K479-M479-O479</ns0:f>
        <ns0:v>1330724.5437680287</ns0:v>
      </ns0:c>
      <ns0:c r="Q479" s="16">
        <ns0:f>(F479+H479)*(1-'前提と出典'!$B$7)-J479-L479-N479</ns0:f>
        <ns0:v>384664.02362208406</ns0:v>
      </ns0:c>
      <ns0:c r="R479" s="16">
        <ns0:f>P479-E479*'前提と出典'!$E$4</ns0:f>
        <ns0:v>972497.6522061988</ns0:v>
      </ns0:c>
      <ns0:c r="S479" s="16">
        <ns0:f>Q479-F479*'前提と出典'!$E$4</ns0:f>
        <ns0:v>280572.4457417313</ns0:v>
      </ns0:c>
      <ns0:c r="T479" s="7">
        <ns0:f>R479+S479</ns0:f>
        <ns0:v>1253070.09794793</ns0:v>
      </ns0:c>
      <ns0:c r="U479" s="16">
        <ns0:f>P479-E479*'前提と出典'!$E$5</ns0:f>
        <ns0:v>853088.6883522552</ns0:v>
      </ns0:c>
      <ns0:c r="V479" s="16">
        <ns0:f>Q479-F479*'前提と出典'!$E$5</ns0:f>
        <ns0:v>245875.253114947</ns0:v>
      </ns0:c>
      <ns0:c r="W479" s="7">
        <ns0:f>U479+V479</ns0:f>
        <ns0:v>1098963.9414672023</ns0:v>
      </ns0:c>
      <ns0:c r="X479" s="16">
        <ns0:f>P479-E479*'前提と出典'!$E$6</ns0:f>
        <ns0:v>733679.724498312</ns0:v>
      </ns0:c>
      <ns0:c r="Y479" s="16">
        <ns0:f>Q479-F479*'前提と出典'!$E$6</ns0:f>
        <ns0:v>211178.06048816268</ns0:v>
      </ns0:c>
      <ns0:c r="Z479" s="7">
        <ns0:f>X479+Y479</ns0:f>
        <ns0:v>944857.7849864747</ns0:v>
      </ns0:c>
      <ns0:c r="AA479" s="7">
        <ns0:f>IF(T479&gt;=0,A479,1001)</ns0:f>
        <ns0:v>475</ns0:v>
      </ns0:c>
      <ns0:c r="AB479" s="7">
        <ns0:f>IF(T479&lt;0,A479,0)</ns0:f>
        <ns0:v>0</ns0:v>
      </ns0:c>
      <ns0:c r="AC479" s="16">
        <ns0:f>IF(AND(OR('前提と出典'!$C$36+'前提と出典'!$C$38=0,R479&gt;=0),OR('前提と出典'!$C$37+'前提と出典'!$C$38=0,S479&gt;=0)),0,A479)</ns0:f>
        <ns0:v>0</ns0:v>
      </ns0:c>
      <ns0:c r="AD479" s="7">
        <ns0:f>IF(W479&gt;=0,A479,1001)</ns0:f>
        <ns0:v>475</ns0:v>
      </ns0:c>
      <ns0:c r="AE479" s="7">
        <ns0:f>IF(W479&lt;0,A479,0)</ns0:f>
        <ns0:v>0</ns0:v>
      </ns0:c>
      <ns0:c r="AF479" s="16">
        <ns0:f>IF(AND(OR('前提と出典'!$C$36+'前提と出典'!$C$38=0,U479&gt;=0),OR('前提と出典'!$C$37+'前提と出典'!$C$38=0,V479&gt;=0)),0,A479)</ns0:f>
        <ns0:v>0</ns0:v>
      </ns0:c>
      <ns0:c r="AG479" s="7">
        <ns0:f>IF(Z479&gt;=0,A479,1001)</ns0:f>
        <ns0:v>475</ns0:v>
      </ns0:c>
      <ns0:c r="AH479" s="4">
        <ns0:f>IF(Z479&lt;0,A479,0)</ns0:f>
        <ns0:v>0</ns0:v>
      </ns0:c>
      <ns0:c r="AI479" s="12">
        <ns0:f>IF(AND(OR('前提と出典'!$C$36+'前提と出典'!$C$38=0,X479&gt;=0),OR('前提と出典'!$C$37+'前提と出典'!$C$38=0,Y479&gt;=0)),0,A479)</ns0:f>
        <ns0:v>0</ns0:v>
      </ns0:c>
    </ns0:row>
    <ns0:row r="480" ht="24" customHeight="1">
      <ns0:c r="A480" s="4" t="n">
        <ns0:v>476</ns0:v>
      </ns0:c>
      <ns0:c r="B480" s="12">
        <ns0:f>A480*('前提と出典'!$C$36+'前提と出典'!$C$38)</ns0:f>
        <ns0:v>333.2</ns0:v>
      </ns0:c>
      <ns0:c r="C480" s="12">
        <ns0:f>A480*('前提と出典'!$C$37+'前提と出典'!$C$38)</ns0:f>
        <ns0:v>285.59999999999997</ns0:v>
      </ns0:c>
      <ns0:c r="D480" s="16">
        <ns0:f>A480*('前提と出典'!$C$36*'契約別単価'!C5+'前提と出典'!$C$37*'契約別単価'!C6+'前提と出典'!$C$38*'契約別単価'!C7)</ns0:f>
        <ns0:v>3425.072625698324</ns0:v>
      </ns0:c>
      <ns0:c r="E480" s="16">
        <ns0:f>A480*('前提と出典'!$C$36*'契約別単価'!E5+'前提と出典'!$C$37*'契約別単価'!E6+'前提と出典'!$C$38*'契約別単価'!E7)</ns0:f>
        <ns0:v>1196603.5114626747</ns0:v>
      </ns0:c>
      <ns0:c r="F480" s="16">
        <ns0:f>A480*('前提と出典'!$C$36*'契約別単価'!F5+'前提と出典'!$C$37*'契約別単価'!F6+'前提と出典'!$C$38*'契約別単価'!F7)</ns0:f>
        <ns0:v>347702.3934810381</ns0:v>
      </ns0:c>
      <ns0:c r="G480" s="16">
        <ns0:f>A480*('前提と出典'!$C$36*'契約別単価'!G5+'前提と出典'!$C$37*'契約別単価'!G6+'前提と出典'!$C$38*'契約別単価'!G7)</ns0:f>
        <ns0:v>947479.3296089385</ns0:v>
      </ns0:c>
      <ns0:c r="H480" s="16">
        <ns0:f>A480*('前提と出典'!$C$36*'契約別単価'!H5+'前提と出典'!$C$37*'契約別単価'!H6+'前提と出典'!$C$38*'契約別単価'!H7)</ns0:f>
        <ns0:v>328822.84719687817</ns0:v>
      </ns0:c>
      <ns0:c r="I480" s="16">
        <ns0:f>A480*('前提と出典'!$C$36*'契約別単価'!I5+'前提と出典'!$C$37*'契約別単価'!I6+'前提と出典'!$C$38*'契約別単価'!I7)</ns0:f>
        <ns0:v>20085.07262569832</ns0:v>
      </ns0:c>
      <ns0:c r="J480" s="16">
        <ns0:f>A480*('前提と出典'!$C$36*'契約別単価'!J5+'前提と出典'!$C$37*'契約別単価'!J6+'前提と出典'!$C$38*'契約別単価'!J7)</ns0:f>
        <ns0:v>46785.82280610402</ns0:v>
      </ns0:c>
      <ns0:c r="K480" s="16">
        <ns0:f>A480*('前提と出典'!$C$36*'契約別単価'!K5+'前提と出典'!$C$37*'契約別単価'!K6+'前提と出典'!$C$38*'契約別単価'!K7)</ns0:f>
        <ns0:v>200540.48417132214</ns0:v>
      </ns0:c>
      <ns0:c r="L480" s="16">
        <ns0:f>A480*('前提と出典'!$C$36*'契約別単価'!L5+'前提と出典'!$C$37*'契約別単価'!L6+'前提と出典'!$C$38*'契約別単価'!L7)</ns0:f>
        <ns0:v>163280.76157322928</ns0:v>
      </ns0:c>
      <ns0:c r="M480" s="16">
        <ns0:f>IF(('前提と出典'!$C$36+'前提と出典'!$C$38)=0,0,IF(B480&lt;=10,'前提と出典'!B73+'前提と出典'!C73,IF(B480&lt;=100,'前提と出典'!B74+'前提と出典'!C74,IF(B480&lt;=500,'前提と出典'!B75+'前提と出典'!C75,'前提と出典'!B76+'前提と出典'!C76))))</ns0:f>
        <ns0:v>40000</ns0:v>
      </ns0:c>
      <ns0:c r="N480" s="16">
        <ns0:f>IF(('前提と出典'!$C$37+'前提と出典'!$C$38)=0,0,IF(C480&lt;=10,'前提と出典'!D73+'前提と出典'!E73,IF(C480&lt;=100,'前提と出典'!D74+'前提と出典'!E74,IF(C480&lt;=500,'前提と出典'!D75+'前提と出典'!E75,'前提と出典'!D76+'前提と出典'!E76))))</ns0:f>
        <ns0:v>56510.9346263078</ns0:v>
      </ns0:c>
      <ns0:c r="O480" s="16">
        <ns0:f>IF('前提と出典'!$C$36+'前提と出典'!$C$38=0,0,'前提と出典'!$B$4*IF('前提と出典'!$B$20=0,MAX('前提と出典'!$B$6,D480*'前提と出典'!$B$5),'前提と出典'!$B$6+D480*'前提と出典'!$B$5))</ns0:f>
        <ns0:v>472660.0223463687</ns0:v>
      </ns0:c>
      <ns0:c r="P480" s="16">
        <ns0:f>(E480+G480)*(1-'前提と出典'!$B$7)-I480-K480-M480-O480</ns0:f>
        <ns0:v>1333610.279649646</ns0:v>
      </ns0:c>
      <ns0:c r="Q480" s="16">
        <ns0:f>(F480+H480)*(1-'前提と出典'!$B$7)-J480-L480-N480</ns0:f>
        <ns0:v>385592.8130078701</ns0:v>
      </ns0:c>
      <ns0:c r="R480" s="16">
        <ns0:f>P480-E480*'前提と出典'!$E$4</ns0:f>
        <ns0:v>974629.2262108435</ns0:v>
      </ns0:c>
      <ns0:c r="S480" s="16">
        <ns0:f>Q480-F480*'前提と出典'!$E$4</ns0:f>
        <ns0:v>281282.0949635587</ns0:v>
      </ns0:c>
      <ns0:c r="T480" s="7">
        <ns0:f>R480+S480</ns0:f>
        <ns0:v>1255911.3211744023</ns0:v>
      </ns0:c>
      <ns0:c r="U480" s="16">
        <ns0:f>P480-E480*'前提と出典'!$E$5</ns0:f>
        <ns0:v>854968.875064576</ns0:v>
      </ns0:c>
      <ns0:c r="V480" s="16">
        <ns0:f>Q480-F480*'前提と出典'!$E$5</ns0:f>
        <ns0:v>246511.85561545484</ns0:v>
      </ns0:c>
      <ns0:c r="W480" s="7">
        <ns0:f>U480+V480</ns0:f>
        <ns0:v>1101480.7306800308</ns0:v>
      </ns0:c>
      <ns0:c r="X480" s="16">
        <ns0:f>P480-E480*'前提と出典'!$E$6</ns0:f>
        <ns0:v>735308.5239183088</ns0:v>
      </ns0:c>
      <ns0:c r="Y480" s="16">
        <ns0:f>Q480-F480*'前提と出典'!$E$6</ns0:f>
        <ns0:v>211741.61626735108</ns0:v>
      </ns0:c>
      <ns0:c r="Z480" s="7">
        <ns0:f>X480+Y480</ns0:f>
        <ns0:v>947050.1401856599</ns0:v>
      </ns0:c>
      <ns0:c r="AA480" s="7">
        <ns0:f>IF(T480&gt;=0,A480,1001)</ns0:f>
        <ns0:v>476</ns0:v>
      </ns0:c>
      <ns0:c r="AB480" s="7">
        <ns0:f>IF(T480&lt;0,A480,0)</ns0:f>
        <ns0:v>0</ns0:v>
      </ns0:c>
      <ns0:c r="AC480" s="16">
        <ns0:f>IF(AND(OR('前提と出典'!$C$36+'前提と出典'!$C$38=0,R480&gt;=0),OR('前提と出典'!$C$37+'前提と出典'!$C$38=0,S480&gt;=0)),0,A480)</ns0:f>
        <ns0:v>0</ns0:v>
      </ns0:c>
      <ns0:c r="AD480" s="7">
        <ns0:f>IF(W480&gt;=0,A480,1001)</ns0:f>
        <ns0:v>476</ns0:v>
      </ns0:c>
      <ns0:c r="AE480" s="7">
        <ns0:f>IF(W480&lt;0,A480,0)</ns0:f>
        <ns0:v>0</ns0:v>
      </ns0:c>
      <ns0:c r="AF480" s="16">
        <ns0:f>IF(AND(OR('前提と出典'!$C$36+'前提と出典'!$C$38=0,U480&gt;=0),OR('前提と出典'!$C$37+'前提と出典'!$C$38=0,V480&gt;=0)),0,A480)</ns0:f>
        <ns0:v>0</ns0:v>
      </ns0:c>
      <ns0:c r="AG480" s="7">
        <ns0:f>IF(Z480&gt;=0,A480,1001)</ns0:f>
        <ns0:v>476</ns0:v>
      </ns0:c>
      <ns0:c r="AH480" s="4">
        <ns0:f>IF(Z480&lt;0,A480,0)</ns0:f>
        <ns0:v>0</ns0:v>
      </ns0:c>
      <ns0:c r="AI480" s="12">
        <ns0:f>IF(AND(OR('前提と出典'!$C$36+'前提と出典'!$C$38=0,X480&gt;=0),OR('前提と出典'!$C$37+'前提と出典'!$C$38=0,Y480&gt;=0)),0,A480)</ns0:f>
        <ns0:v>0</ns0:v>
      </ns0:c>
    </ns0:row>
    <ns0:row r="481" ht="24" customHeight="1">
      <ns0:c r="A481" s="4" t="n">
        <ns0:v>477</ns0:v>
      </ns0:c>
      <ns0:c r="B481" s="12">
        <ns0:f>A481*('前提と出典'!$C$36+'前提と出典'!$C$38)</ns0:f>
        <ns0:v>333.9</ns0:v>
      </ns0:c>
      <ns0:c r="C481" s="12">
        <ns0:f>A481*('前提と出典'!$C$37+'前提と出典'!$C$38)</ns0:f>
        <ns0:v>286.2</ns0:v>
      </ns0:c>
      <ns0:c r="D481" s="16">
        <ns0:f>A481*('前提と出典'!$C$36*'契約別単価'!C5+'前提と出典'!$C$37*'契約別単価'!C6+'前提と出典'!$C$38*'契約別単価'!C7)</ns0:f>
        <ns0:v>3432.268156424581</ns0:v>
      </ns0:c>
      <ns0:c r="E481" s="16">
        <ns0:f>A481*('前提と出典'!$C$36*'契約別単価'!E5+'前提と出典'!$C$37*'契約別単価'!E6+'前提と出典'!$C$38*'契約別単価'!E7)</ns0:f>
        <ns0:v>1199117.3843859157</ns0:v>
      </ns0:c>
      <ns0:c r="F481" s="16">
        <ns0:f>A481*('前提と出典'!$C$36*'契約別単価'!F5+'前提と出典'!$C$37*'契約別単価'!F6+'前提と出典'!$C$38*'契約別単価'!F7)</ns0:f>
        <ns0:v>348432.86069423356</ns0:v>
      </ns0:c>
      <ns0:c r="G481" s="16">
        <ns0:f>A481*('前提と出典'!$C$36*'契約別単価'!G5+'前提と出典'!$C$37*'契約別単価'!G6+'前提と出典'!$C$38*'契約別単価'!G7)</ns0:f>
        <ns0:v>949469.8324022345</ns0:v>
      </ns0:c>
      <ns0:c r="H481" s="16">
        <ns0:f>A481*('前提と出典'!$C$36*'契約別単価'!H5+'前提と出典'!$C$37*'契約別単価'!H6+'前提と出典'!$C$38*'契約別単価'!H7)</ns0:f>
        <ns0:v>329513.65149771195</ns0:v>
      </ns0:c>
      <ns0:c r="I481" s="16">
        <ns0:f>A481*('前提と出典'!$C$36*'契約別単価'!I5+'前提と出典'!$C$37*'契約別単価'!I6+'前提と出典'!$C$38*'契約別単価'!I7)</ns0:f>
        <ns0:v>20127.268156424576</ns0:v>
      </ns0:c>
      <ns0:c r="J481" s="16">
        <ns0:f>A481*('前提と出典'!$C$36*'契約別単価'!J5+'前提と出典'!$C$37*'契約別単価'!J6+'前提と出典'!$C$38*'契約別単価'!J7)</ns0:f>
        <ns0:v>46884.11234981433</ns0:v>
      </ns0:c>
      <ns0:c r="K481" s="16">
        <ns0:f>A481*('前提と出典'!$C$36*'契約別単価'!K5+'前提と出典'!$C$37*'契約別単価'!K6+'前提と出典'!$C$38*'契約別単価'!K7)</ns0:f>
        <ns0:v>200961.7877094972</ns0:v>
      </ns0:c>
      <ns0:c r="L481" s="16">
        <ns0:f>A481*('前提と出典'!$C$36*'契約別単価'!L5+'前提と出典'!$C$37*'契約別単価'!L6+'前提と出典'!$C$38*'契約別単価'!L7)</ns0:f>
        <ns0:v>163623.78838325705</ns0:v>
      </ns0:c>
      <ns0:c r="M481" s="16">
        <ns0:f>IF(('前提と出典'!$C$36+'前提と出典'!$C$38)=0,0,IF(B481&lt;=10,'前提と出典'!B73+'前提と出典'!C73,IF(B481&lt;=100,'前提と出典'!B74+'前提と出典'!C74,IF(B481&lt;=500,'前提と出典'!B75+'前提と出典'!C75,'前提と出典'!B76+'前提と出典'!C76))))</ns0:f>
        <ns0:v>40000</ns0:v>
      </ns0:c>
      <ns0:c r="N481" s="16">
        <ns0:f>IF(('前提と出典'!$C$37+'前提と出典'!$C$38)=0,0,IF(C481&lt;=10,'前提と出典'!D73+'前提と出典'!E73,IF(C481&lt;=100,'前提と出典'!D74+'前提と出典'!E74,IF(C481&lt;=500,'前提と出典'!D75+'前提と出典'!E75,'前提と出典'!D76+'前提と出典'!E76))))</ns0:f>
        <ns0:v>56510.9346263078</ns0:v>
      </ns0:c>
      <ns0:c r="O481" s="16">
        <ns0:f>IF('前提と出典'!$C$36+'前提と出典'!$C$38=0,0,'前提と出典'!$B$4*IF('前提と出典'!$B$20=0,MAX('前提と出典'!$B$6,D481*'前提と出典'!$B$5),'前提と出典'!$B$6+D481*'前提と出典'!$B$5))</ns0:f>
        <ns0:v>473653.0055865922</ns0:v>
      </ns0:c>
      <ns0:c r="P481" s="16">
        <ns0:f>(E481+G481)*(1-'前提と出典'!$B$7)-I481-K481-M481-O481</ns0:f>
        <ns0:v>1336496.0155312628</ns0:v>
      </ns0:c>
      <ns0:c r="Q481" s="16">
        <ns0:f>(F481+H481)*(1-'前提と出典'!$B$7)-J481-L481-N481</ns0:f>
        <ns0:v>386521.60239365615</ns0:v>
      </ns0:c>
      <ns0:c r="R481" s="16">
        <ns0:f>P481-E481*'前提と出典'!$E$4</ns0:f>
        <ns0:v>976760.8002154881</ns0:v>
      </ns0:c>
      <ns0:c r="S481" s="16">
        <ns0:f>Q481-F481*'前提と出典'!$E$4</ns0:f>
        <ns0:v>281991.7441853862</ns0:v>
      </ns0:c>
      <ns0:c r="T481" s="7">
        <ns0:f>R481+S481</ns0:f>
        <ns0:v>1258752.5444008743</ns0:v>
      </ns0:c>
      <ns0:c r="U481" s="16">
        <ns0:f>P481-E481*'前提と出典'!$E$5</ns0:f>
        <ns0:v>856849.0617768965</ns0:v>
      </ns0:c>
      <ns0:c r="V481" s="16">
        <ns0:f>Q481-F481*'前提と出典'!$E$5</ns0:f>
        <ns0:v>247148.45811596274</ns0:v>
      </ns0:c>
      <ns0:c r="W481" s="7">
        <ns0:f>U481+V481</ns0:f>
        <ns0:v>1103997.5198928593</ns0:v>
      </ns0:c>
      <ns0:c r="X481" s="16">
        <ns0:f>P481-E481*'前提と出典'!$E$6</ns0:f>
        <ns0:v>736937.3233383051</ns0:v>
      </ns0:c>
      <ns0:c r="Y481" s="16">
        <ns0:f>Q481-F481*'前提と出典'!$E$6</ns0:f>
        <ns0:v>212305.17204653943</ns0:v>
      </ns0:c>
      <ns0:c r="Z481" s="7">
        <ns0:f>X481+Y481</ns0:f>
        <ns0:v>949242.4953848445</ns0:v>
      </ns0:c>
      <ns0:c r="AA481" s="7">
        <ns0:f>IF(T481&gt;=0,A481,1001)</ns0:f>
        <ns0:v>477</ns0:v>
      </ns0:c>
      <ns0:c r="AB481" s="7">
        <ns0:f>IF(T481&lt;0,A481,0)</ns0:f>
        <ns0:v>0</ns0:v>
      </ns0:c>
      <ns0:c r="AC481" s="16">
        <ns0:f>IF(AND(OR('前提と出典'!$C$36+'前提と出典'!$C$38=0,R481&gt;=0),OR('前提と出典'!$C$37+'前提と出典'!$C$38=0,S481&gt;=0)),0,A481)</ns0:f>
        <ns0:v>0</ns0:v>
      </ns0:c>
      <ns0:c r="AD481" s="7">
        <ns0:f>IF(W481&gt;=0,A481,1001)</ns0:f>
        <ns0:v>477</ns0:v>
      </ns0:c>
      <ns0:c r="AE481" s="7">
        <ns0:f>IF(W481&lt;0,A481,0)</ns0:f>
        <ns0:v>0</ns0:v>
      </ns0:c>
      <ns0:c r="AF481" s="16">
        <ns0:f>IF(AND(OR('前提と出典'!$C$36+'前提と出典'!$C$38=0,U481&gt;=0),OR('前提と出典'!$C$37+'前提と出典'!$C$38=0,V481&gt;=0)),0,A481)</ns0:f>
        <ns0:v>0</ns0:v>
      </ns0:c>
      <ns0:c r="AG481" s="7">
        <ns0:f>IF(Z481&gt;=0,A481,1001)</ns0:f>
        <ns0:v>477</ns0:v>
      </ns0:c>
      <ns0:c r="AH481" s="4">
        <ns0:f>IF(Z481&lt;0,A481,0)</ns0:f>
        <ns0:v>0</ns0:v>
      </ns0:c>
      <ns0:c r="AI481" s="12">
        <ns0:f>IF(AND(OR('前提と出典'!$C$36+'前提と出典'!$C$38=0,X481&gt;=0),OR('前提と出典'!$C$37+'前提と出典'!$C$38=0,Y481&gt;=0)),0,A481)</ns0:f>
        <ns0:v>0</ns0:v>
      </ns0:c>
    </ns0:row>
    <ns0:row r="482" ht="24" customHeight="1">
      <ns0:c r="A482" s="4" t="n">
        <ns0:v>478</ns0:v>
      </ns0:c>
      <ns0:c r="B482" s="12">
        <ns0:f>A482*('前提と出典'!$C$36+'前提と出典'!$C$38)</ns0:f>
        <ns0:v>334.59999999999997</ns0:v>
      </ns0:c>
      <ns0:c r="C482" s="12">
        <ns0:f>A482*('前提と出典'!$C$37+'前提と出典'!$C$38)</ns0:f>
        <ns0:v>286.8</ns0:v>
      </ns0:c>
      <ns0:c r="D482" s="16">
        <ns0:f>A482*('前提と出典'!$C$36*'契約別単価'!C5+'前提と出典'!$C$37*'契約別単価'!C6+'前提と出典'!$C$38*'契約別単価'!C7)</ns0:f>
        <ns0:v>3439.463687150838</ns0:v>
      </ns0:c>
      <ns0:c r="E482" s="16">
        <ns0:f>A482*('前提と出典'!$C$36*'契約別単価'!E5+'前提と出典'!$C$37*'契約別単価'!E6+'前提と出典'!$C$38*'契約別単価'!E7)</ns0:f>
        <ns0:v>1201631.2573091565</ns0:v>
      </ns0:c>
      <ns0:c r="F482" s="16">
        <ns0:f>A482*('前提と出典'!$C$36*'契約別単価'!F5+'前提と出典'!$C$37*'契約別単価'!F6+'前提と出典'!$C$38*'契約別単価'!F7)</ns0:f>
        <ns0:v>349163.327907429</ns0:v>
      </ns0:c>
      <ns0:c r="G482" s="16">
        <ns0:f>A482*('前提と出典'!$C$36*'契約別単価'!G5+'前提と出典'!$C$37*'契約別単価'!G6+'前提と出典'!$C$38*'契約別単価'!G7)</ns0:f>
        <ns0:v>951460.3351955307</ns0:v>
      </ns0:c>
      <ns0:c r="H482" s="16">
        <ns0:f>A482*('前提と出典'!$C$36*'契約別単価'!H5+'前提と出典'!$C$37*'契約別単価'!H6+'前提と出典'!$C$38*'契約別単価'!H7)</ns0:f>
        <ns0:v>330204.45579854574</ns0:v>
      </ns0:c>
      <ns0:c r="I482" s="16">
        <ns0:f>A482*('前提と出典'!$C$36*'契約別単価'!I5+'前提と出典'!$C$37*'契約別単価'!I6+'前提と出典'!$C$38*'契約別単価'!I7)</ns0:f>
        <ns0:v>20169.463687150834</ns0:v>
      </ns0:c>
      <ns0:c r="J482" s="16">
        <ns0:f>A482*('前提と出典'!$C$36*'契約別単価'!J5+'前提と出典'!$C$37*'契約別単価'!J6+'前提と出典'!$C$38*'契約別単価'!J7)</ns0:f>
        <ns0:v>46982.40189352463</ns0:v>
      </ns0:c>
      <ns0:c r="K482" s="16">
        <ns0:f>A482*('前提と出典'!$C$36*'契約別単価'!K5+'前提と出典'!$C$37*'契約別単価'!K6+'前提と出典'!$C$38*'契約別単価'!K7)</ns0:f>
        <ns0:v>201383.09124767224</ns0:v>
      </ns0:c>
      <ns0:c r="L482" s="16">
        <ns0:f>A482*('前提と出典'!$C$36*'契約別単価'!L5+'前提と出典'!$C$37*'契約別単価'!L6+'前提と出典'!$C$38*'契約別単価'!L7)</ns0:f>
        <ns0:v>163966.81519328486</ns0:v>
      </ns0:c>
      <ns0:c r="M482" s="16">
        <ns0:f>IF(('前提と出典'!$C$36+'前提と出典'!$C$38)=0,0,IF(B482&lt;=10,'前提と出典'!B73+'前提と出典'!C73,IF(B482&lt;=100,'前提と出典'!B74+'前提と出典'!C74,IF(B482&lt;=500,'前提と出典'!B75+'前提と出典'!C75,'前提と出典'!B76+'前提と出典'!C76))))</ns0:f>
        <ns0:v>40000</ns0:v>
      </ns0:c>
      <ns0:c r="N482" s="16">
        <ns0:f>IF(('前提と出典'!$C$37+'前提と出典'!$C$38)=0,0,IF(C482&lt;=10,'前提と出典'!D73+'前提と出典'!E73,IF(C482&lt;=100,'前提と出典'!D74+'前提と出典'!E74,IF(C482&lt;=500,'前提と出典'!D75+'前提と出典'!E75,'前提と出典'!D76+'前提と出典'!E76))))</ns0:f>
        <ns0:v>56510.9346263078</ns0:v>
      </ns0:c>
      <ns0:c r="O482" s="16">
        <ns0:f>IF('前提と出典'!$C$36+'前提と出典'!$C$38=0,0,'前提と出典'!$B$4*IF('前提と出典'!$B$20=0,MAX('前提と出典'!$B$6,D482*'前提と出典'!$B$5),'前提と出典'!$B$6+D482*'前提と出典'!$B$5))</ns0:f>
        <ns0:v>474645.9888268157</ns0:v>
      </ns0:c>
      <ns0:c r="P482" s="16">
        <ns0:f>(E482+G482)*(1-'前提と出典'!$B$7)-I482-K482-M482-O482</ns0:f>
        <ns0:v>1339381.7514128797</ns0:v>
      </ns0:c>
      <ns0:c r="Q482" s="16">
        <ns0:f>(F482+H482)*(1-'前提と出典'!$B$7)-J482-L482-N482</ns0:f>
        <ns0:v>387450.39177944226</ns0:v>
      </ns0:c>
      <ns0:c r="R482" s="16">
        <ns0:f>P482-E482*'前提と出典'!$E$4</ns0:f>
        <ns0:v>978892.3742201328</ns0:v>
      </ns0:c>
      <ns0:c r="S482" s="16">
        <ns0:f>Q482-F482*'前提と出典'!$E$4</ns0:f>
        <ns0:v>282701.3934072136</ns0:v>
      </ns0:c>
      <ns0:c r="T482" s="7">
        <ns0:f>R482+S482</ns0:f>
        <ns0:v>1261593.7676273463</ns0:v>
      </ns0:c>
      <ns0:c r="U482" s="16">
        <ns0:f>P482-E482*'前提と出典'!$E$5</ns0:f>
        <ns0:v>858729.2484892171</ns0:v>
      </ns0:c>
      <ns0:c r="V482" s="16">
        <ns0:f>Q482-F482*'前提と出典'!$E$5</ns0:f>
        <ns0:v>247785.06061647064</ns0:v>
      </ns0:c>
      <ns0:c r="W482" s="7">
        <ns0:f>U482+V482</ns0:f>
        <ns0:v>1106514.3091056878</ns0:v>
      </ns0:c>
      <ns0:c r="X482" s="16">
        <ns0:f>P482-E482*'前提と出典'!$E$6</ns0:f>
        <ns0:v>738566.1227583014</ns0:v>
      </ns0:c>
      <ns0:c r="Y482" s="16">
        <ns0:f>Q482-F482*'前提と出典'!$E$6</ns0:f>
        <ns0:v>212868.72782572778</ns0:v>
      </ns0:c>
      <ns0:c r="Z482" s="7">
        <ns0:f>X482+Y482</ns0:f>
        <ns0:v>951434.8505840292</ns0:v>
      </ns0:c>
      <ns0:c r="AA482" s="7">
        <ns0:f>IF(T482&gt;=0,A482,1001)</ns0:f>
        <ns0:v>478</ns0:v>
      </ns0:c>
      <ns0:c r="AB482" s="7">
        <ns0:f>IF(T482&lt;0,A482,0)</ns0:f>
        <ns0:v>0</ns0:v>
      </ns0:c>
      <ns0:c r="AC482" s="16">
        <ns0:f>IF(AND(OR('前提と出典'!$C$36+'前提と出典'!$C$38=0,R482&gt;=0),OR('前提と出典'!$C$37+'前提と出典'!$C$38=0,S482&gt;=0)),0,A482)</ns0:f>
        <ns0:v>0</ns0:v>
      </ns0:c>
      <ns0:c r="AD482" s="7">
        <ns0:f>IF(W482&gt;=0,A482,1001)</ns0:f>
        <ns0:v>478</ns0:v>
      </ns0:c>
      <ns0:c r="AE482" s="7">
        <ns0:f>IF(W482&lt;0,A482,0)</ns0:f>
        <ns0:v>0</ns0:v>
      </ns0:c>
      <ns0:c r="AF482" s="16">
        <ns0:f>IF(AND(OR('前提と出典'!$C$36+'前提と出典'!$C$38=0,U482&gt;=0),OR('前提と出典'!$C$37+'前提と出典'!$C$38=0,V482&gt;=0)),0,A482)</ns0:f>
        <ns0:v>0</ns0:v>
      </ns0:c>
      <ns0:c r="AG482" s="7">
        <ns0:f>IF(Z482&gt;=0,A482,1001)</ns0:f>
        <ns0:v>478</ns0:v>
      </ns0:c>
      <ns0:c r="AH482" s="4">
        <ns0:f>IF(Z482&lt;0,A482,0)</ns0:f>
        <ns0:v>0</ns0:v>
      </ns0:c>
      <ns0:c r="AI482" s="12">
        <ns0:f>IF(AND(OR('前提と出典'!$C$36+'前提と出典'!$C$38=0,X482&gt;=0),OR('前提と出典'!$C$37+'前提と出典'!$C$38=0,Y482&gt;=0)),0,A482)</ns0:f>
        <ns0:v>0</ns0:v>
      </ns0:c>
    </ns0:row>
    <ns0:row r="483" ht="24" customHeight="1">
      <ns0:c r="A483" s="4" t="n">
        <ns0:v>479</ns0:v>
      </ns0:c>
      <ns0:c r="B483" s="12">
        <ns0:f>A483*('前提と出典'!$C$36+'前提と出典'!$C$38)</ns0:f>
        <ns0:v>335.29999999999995</ns0:v>
      </ns0:c>
      <ns0:c r="C483" s="12">
        <ns0:f>A483*('前提と出典'!$C$37+'前提と出典'!$C$38)</ns0:f>
        <ns0:v>287.4</ns0:v>
      </ns0:c>
      <ns0:c r="D483" s="16">
        <ns0:f>A483*('前提と出典'!$C$36*'契約別単価'!C5+'前提と出典'!$C$37*'契約別単価'!C6+'前提と出典'!$C$38*'契約別単価'!C7)</ns0:f>
        <ns0:v>3446.6592178770948</ns0:v>
      </ns0:c>
      <ns0:c r="E483" s="16">
        <ns0:f>A483*('前提と出典'!$C$36*'契約別単価'!E5+'前提と出典'!$C$37*'契約別単価'!E6+'前提と出典'!$C$38*'契約別単価'!E7)</ns0:f>
        <ns0:v>1204145.1302323975</ns0:v>
      </ns0:c>
      <ns0:c r="F483" s="16">
        <ns0:f>A483*('前提と出典'!$C$36*'契約別単価'!F5+'前提と出典'!$C$37*'契約別単価'!F6+'前提と出典'!$C$38*'契約別単価'!F7)</ns0:f>
        <ns0:v>349893.7951206245</ns0:v>
      </ns0:c>
      <ns0:c r="G483" s="16">
        <ns0:f>A483*('前提と出典'!$C$36*'契約別単価'!G5+'前提と出典'!$C$37*'契約別単価'!G6+'前提と出典'!$C$38*'契約別単価'!G7)</ns0:f>
        <ns0:v>953450.8379888268</ns0:v>
      </ns0:c>
      <ns0:c r="H483" s="16">
        <ns0:f>A483*('前提と出典'!$C$36*'契約別単価'!H5+'前提と出典'!$C$37*'契約別単価'!H6+'前提と出典'!$C$38*'契約別単価'!H7)</ns0:f>
        <ns0:v>330895.2600993795</ns0:v>
      </ns0:c>
      <ns0:c r="I483" s="16">
        <ns0:f>A483*('前提と出典'!$C$36*'契約別単価'!I5+'前提と出典'!$C$37*'契約別単価'!I6+'前提と出典'!$C$38*'契約別単価'!I7)</ns0:f>
        <ns0:v>20211.65921787709</ns0:v>
      </ns0:c>
      <ns0:c r="J483" s="16">
        <ns0:f>A483*('前提と出典'!$C$36*'契約別単価'!J5+'前提と出典'!$C$37*'契約別単価'!J6+'前提と出典'!$C$38*'契約別単価'!J7)</ns0:f>
        <ns0:v>47080.69143723493</ns0:v>
      </ns0:c>
      <ns0:c r="K483" s="16">
        <ns0:f>A483*('前提と出典'!$C$36*'契約別単価'!K5+'前提と出典'!$C$37*'契約別単価'!K6+'前提と出典'!$C$38*'契約別単価'!K7)</ns0:f>
        <ns0:v>201804.39478584728</ns0:v>
      </ns0:c>
      <ns0:c r="L483" s="16">
        <ns0:f>A483*('前提と出典'!$C$36*'契約別単価'!L5+'前提と出典'!$C$37*'契約別単価'!L6+'前提と出典'!$C$38*'契約別単価'!L7)</ns0:f>
        <ns0:v>164309.84200331263</ns0:v>
      </ns0:c>
      <ns0:c r="M483" s="16">
        <ns0:f>IF(('前提と出典'!$C$36+'前提と出典'!$C$38)=0,0,IF(B483&lt;=10,'前提と出典'!B73+'前提と出典'!C73,IF(B483&lt;=100,'前提と出典'!B74+'前提と出典'!C74,IF(B483&lt;=500,'前提と出典'!B75+'前提と出典'!C75,'前提と出典'!B76+'前提と出典'!C76))))</ns0:f>
        <ns0:v>40000</ns0:v>
      </ns0:c>
      <ns0:c r="N483" s="16">
        <ns0:f>IF(('前提と出典'!$C$37+'前提と出典'!$C$38)=0,0,IF(C483&lt;=10,'前提と出典'!D73+'前提と出典'!E73,IF(C483&lt;=100,'前提と出典'!D74+'前提と出典'!E74,IF(C483&lt;=500,'前提と出典'!D75+'前提と出典'!E75,'前提と出典'!D76+'前提と出典'!E76))))</ns0:f>
        <ns0:v>56510.9346263078</ns0:v>
      </ns0:c>
      <ns0:c r="O483" s="16">
        <ns0:f>IF('前提と出典'!$C$36+'前提と出典'!$C$38=0,0,'前提と出典'!$B$4*IF('前提と出典'!$B$20=0,MAX('前提と出典'!$B$6,D483*'前提と出典'!$B$5),'前提と出典'!$B$6+D483*'前提と出典'!$B$5))</ns0:f>
        <ns0:v>475638.97206703905</ns0:v>
      </ns0:c>
      <ns0:c r="P483" s="16">
        <ns0:f>(E483+G483)*(1-'前提と出典'!$B$7)-I483-K483-M483-O483</ns0:f>
        <ns0:v>1342267.487294497</ns0:v>
      </ns0:c>
      <ns0:c r="Q483" s="16">
        <ns0:f>(F483+H483)*(1-'前提と出典'!$B$7)-J483-L483-N483</ns0:f>
        <ns0:v>388379.1811652285</ns0:v>
      </ns0:c>
      <ns0:c r="R483" s="16">
        <ns0:f>P483-E483*'前提と出典'!$E$4</ns0:f>
        <ns0:v>981023.9482247778</ns0:v>
      </ns0:c>
      <ns0:c r="S483" s="16">
        <ns0:f>Q483-F483*'前提と出典'!$E$4</ns0:f>
        <ns0:v>283411.0426290411</ns0:v>
      </ns0:c>
      <ns0:c r="T483" s="7">
        <ns0:f>R483+S483</ns0:f>
        <ns0:v>1264434.990853819</ns0:v>
      </ns0:c>
      <ns0:c r="U483" s="16">
        <ns0:f>P483-E483*'前提と出典'!$E$5</ns0:f>
        <ns0:v>860609.435201538</ns0:v>
      </ns0:c>
      <ns0:c r="V483" s="16">
        <ns0:f>Q483-F483*'前提と出典'!$E$5</ns0:f>
        <ns0:v>248421.6631169787</ns0:v>
      </ns0:c>
      <ns0:c r="W483" s="7">
        <ns0:f>U483+V483</ns0:f>
        <ns0:v>1109031.0983185167</ns0:v>
      </ns0:c>
      <ns0:c r="X483" s="16">
        <ns0:f>P483-E483*'前提と出典'!$E$6</ns0:f>
        <ns0:v>740194.9221782982</ns0:v>
      </ns0:c>
      <ns0:c r="Y483" s="16">
        <ns0:f>Q483-F483*'前提と出典'!$E$6</ns0:f>
        <ns0:v>213432.28360491619</ns0:v>
      </ns0:c>
      <ns0:c r="Z483" s="7">
        <ns0:f>X483+Y483</ns0:f>
        <ns0:v>953627.2057832144</ns0:v>
      </ns0:c>
      <ns0:c r="AA483" s="7">
        <ns0:f>IF(T483&gt;=0,A483,1001)</ns0:f>
        <ns0:v>479</ns0:v>
      </ns0:c>
      <ns0:c r="AB483" s="7">
        <ns0:f>IF(T483&lt;0,A483,0)</ns0:f>
        <ns0:v>0</ns0:v>
      </ns0:c>
      <ns0:c r="AC483" s="16">
        <ns0:f>IF(AND(OR('前提と出典'!$C$36+'前提と出典'!$C$38=0,R483&gt;=0),OR('前提と出典'!$C$37+'前提と出典'!$C$38=0,S483&gt;=0)),0,A483)</ns0:f>
        <ns0:v>0</ns0:v>
      </ns0:c>
      <ns0:c r="AD483" s="7">
        <ns0:f>IF(W483&gt;=0,A483,1001)</ns0:f>
        <ns0:v>479</ns0:v>
      </ns0:c>
      <ns0:c r="AE483" s="7">
        <ns0:f>IF(W483&lt;0,A483,0)</ns0:f>
        <ns0:v>0</ns0:v>
      </ns0:c>
      <ns0:c r="AF483" s="16">
        <ns0:f>IF(AND(OR('前提と出典'!$C$36+'前提と出典'!$C$38=0,U483&gt;=0),OR('前提と出典'!$C$37+'前提と出典'!$C$38=0,V483&gt;=0)),0,A483)</ns0:f>
        <ns0:v>0</ns0:v>
      </ns0:c>
      <ns0:c r="AG483" s="7">
        <ns0:f>IF(Z483&gt;=0,A483,1001)</ns0:f>
        <ns0:v>479</ns0:v>
      </ns0:c>
      <ns0:c r="AH483" s="4">
        <ns0:f>IF(Z483&lt;0,A483,0)</ns0:f>
        <ns0:v>0</ns0:v>
      </ns0:c>
      <ns0:c r="AI483" s="12">
        <ns0:f>IF(AND(OR('前提と出典'!$C$36+'前提と出典'!$C$38=0,X483&gt;=0),OR('前提と出典'!$C$37+'前提と出典'!$C$38=0,Y483&gt;=0)),0,A483)</ns0:f>
        <ns0:v>0</ns0:v>
      </ns0:c>
    </ns0:row>
    <ns0:row r="484" ht="24" customHeight="1">
      <ns0:c r="A484" s="4" t="n">
        <ns0:v>480</ns0:v>
      </ns0:c>
      <ns0:c r="B484" s="12">
        <ns0:f>A484*('前提と出典'!$C$36+'前提と出典'!$C$38)</ns0:f>
        <ns0:v>336</ns0:v>
      </ns0:c>
      <ns0:c r="C484" s="12">
        <ns0:f>A484*('前提と出典'!$C$37+'前提と出典'!$C$38)</ns0:f>
        <ns0:v>288</ns0:v>
      </ns0:c>
      <ns0:c r="D484" s="16">
        <ns0:f>A484*('前提と出典'!$C$36*'契約別単価'!C5+'前提と出典'!$C$37*'契約別単価'!C6+'前提と出典'!$C$38*'契約別単価'!C7)</ns0:f>
        <ns0:v>3453.854748603352</ns0:v>
      </ns0:c>
      <ns0:c r="E484" s="16">
        <ns0:f>A484*('前提と出典'!$C$36*'契約別単価'!E5+'前提と出典'!$C$37*'契約別単価'!E6+'前提と出典'!$C$38*'契約別単価'!E7)</ns0:f>
        <ns0:v>1206659.0031556385</ns0:v>
      </ns0:c>
      <ns0:c r="F484" s="16">
        <ns0:f>A484*('前提と出典'!$C$36*'契約別単価'!F5+'前提と出典'!$C$37*'契約別単価'!F6+'前提と出典'!$C$38*'契約別単価'!F7)</ns0:f>
        <ns0:v>350624.26233381993</ns0:v>
      </ns0:c>
      <ns0:c r="G484" s="16">
        <ns0:f>A484*('前提と出典'!$C$36*'契約別単価'!G5+'前提と出典'!$C$37*'契約別単価'!G6+'前提と出典'!$C$38*'契約別単価'!G7)</ns0:f>
        <ns0:v>955441.3407821229</ns0:v>
      </ns0:c>
      <ns0:c r="H484" s="16">
        <ns0:f>A484*('前提と出典'!$C$36*'契約別単価'!H5+'前提と出典'!$C$37*'契約別単価'!H6+'前提と出典'!$C$38*'契約別単価'!H7)</ns0:f>
        <ns0:v>331586.0644002133</ns0:v>
      </ns0:c>
      <ns0:c r="I484" s="16">
        <ns0:f>A484*('前提と出典'!$C$36*'契約別単価'!I5+'前提と出典'!$C$37*'契約別単価'!I6+'前提と出典'!$C$38*'契約別単価'!I7)</ns0:f>
        <ns0:v>20253.85474860335</ns0:v>
      </ns0:c>
      <ns0:c r="J484" s="16">
        <ns0:f>A484*('前提と出典'!$C$36*'契約別単価'!J5+'前提と出典'!$C$37*'契約別単価'!J6+'前提と出典'!$C$38*'契約別単価'!J7)</ns0:f>
        <ns0:v>47178.980980945234</ns0:v>
      </ns0:c>
      <ns0:c r="K484" s="16">
        <ns0:f>A484*('前提と出典'!$C$36*'契約別単価'!K5+'前提と出典'!$C$37*'契約別単価'!K6+'前提と出典'!$C$38*'契約別単価'!K7)</ns0:f>
        <ns0:v>202225.69832402232</ns0:v>
      </ns0:c>
      <ns0:c r="L484" s="16">
        <ns0:f>A484*('前提と出典'!$C$36*'契約別単価'!L5+'前提と出典'!$C$37*'契約別単価'!L6+'前提と出典'!$C$38*'契約別単価'!L7)</ns0:f>
        <ns0:v>164652.86881334044</ns0:v>
      </ns0:c>
      <ns0:c r="M484" s="16">
        <ns0:f>IF(('前提と出典'!$C$36+'前提と出典'!$C$38)=0,0,IF(B484&lt;=10,'前提と出典'!B73+'前提と出典'!C73,IF(B484&lt;=100,'前提と出典'!B74+'前提と出典'!C74,IF(B484&lt;=500,'前提と出典'!B75+'前提と出典'!C75,'前提と出典'!B76+'前提と出典'!C76))))</ns0:f>
        <ns0:v>40000</ns0:v>
      </ns0:c>
      <ns0:c r="N484" s="16">
        <ns0:f>IF(('前提と出典'!$C$37+'前提と出典'!$C$38)=0,0,IF(C484&lt;=10,'前提と出典'!D73+'前提と出典'!E73,IF(C484&lt;=100,'前提と出典'!D74+'前提と出典'!E74,IF(C484&lt;=500,'前提と出典'!D75+'前提と出典'!E75,'前提と出典'!D76+'前提と出典'!E76))))</ns0:f>
        <ns0:v>56510.9346263078</ns0:v>
      </ns0:c>
      <ns0:c r="O484" s="16">
        <ns0:f>IF('前提と出典'!$C$36+'前提と出典'!$C$38=0,0,'前提と出典'!$B$4*IF('前提と出典'!$B$20=0,MAX('前提と出典'!$B$6,D484*'前提と出典'!$B$5),'前提と出典'!$B$6+D484*'前提と出典'!$B$5))</ns0:f>
        <ns0:v>476631.9553072626</ns0:v>
      </ns0:c>
      <ns0:c r="P484" s="16">
        <ns0:f>(E484+G484)*(1-'前提と出典'!$B$7)-I484-K484-M484-O484</ns0:f>
        <ns0:v>1345153.2231761136</ns0:v>
      </ns0:c>
      <ns0:c r="Q484" s="16">
        <ns0:f>(F484+H484)*(1-'前提と出典'!$B$7)-J484-L484-N484</ns0:f>
        <ns0:v>389307.9705510145</ns0:v>
      </ns0:c>
      <ns0:c r="R484" s="16">
        <ns0:f>P484-E484*'前提と出典'!$E$4</ns0:f>
        <ns0:v>983155.522229422</ns0:v>
      </ns0:c>
      <ns0:c r="S484" s="16">
        <ns0:f>Q484-F484*'前提と出典'!$E$4</ns0:f>
        <ns0:v>284120.69185086846</ns0:v>
      </ns0:c>
      <ns0:c r="T484" s="7">
        <ns0:f>R484+S484</ns0:f>
        <ns0:v>1267276.2140802904</ns0:v>
      </ns0:c>
      <ns0:c r="U484" s="16">
        <ns0:f>P484-E484*'前提と出典'!$E$5</ns0:f>
        <ns0:v>862489.6219138581</ns0:v>
      </ns0:c>
      <ns0:c r="V484" s="16">
        <ns0:f>Q484-F484*'前提と出典'!$E$5</ns0:f>
        <ns0:v>249058.26561748656</ns0:v>
      </ns0:c>
      <ns0:c r="W484" s="7">
        <ns0:f>U484+V484</ns0:f>
        <ns0:v>1111547.8875313448</ns0:v>
      </ns0:c>
      <ns0:c r="X484" s="16">
        <ns0:f>P484-E484*'前提と出典'!$E$6</ns0:f>
        <ns0:v>741823.7215982942</ns0:v>
      </ns0:c>
      <ns0:c r="Y484" s="16">
        <ns0:f>Q484-F484*'前提と出典'!$E$6</ns0:f>
        <ns0:v>213995.8393841046</ns0:v>
      </ns0:c>
      <ns0:c r="Z484" s="7">
        <ns0:f>X484+Y484</ns0:f>
        <ns0:v>955819.5609823988</ns0:v>
      </ns0:c>
      <ns0:c r="AA484" s="7">
        <ns0:f>IF(T484&gt;=0,A484,1001)</ns0:f>
        <ns0:v>480</ns0:v>
      </ns0:c>
      <ns0:c r="AB484" s="7">
        <ns0:f>IF(T484&lt;0,A484,0)</ns0:f>
        <ns0:v>0</ns0:v>
      </ns0:c>
      <ns0:c r="AC484" s="16">
        <ns0:f>IF(AND(OR('前提と出典'!$C$36+'前提と出典'!$C$38=0,R484&gt;=0),OR('前提と出典'!$C$37+'前提と出典'!$C$38=0,S484&gt;=0)),0,A484)</ns0:f>
        <ns0:v>0</ns0:v>
      </ns0:c>
      <ns0:c r="AD484" s="7">
        <ns0:f>IF(W484&gt;=0,A484,1001)</ns0:f>
        <ns0:v>480</ns0:v>
      </ns0:c>
      <ns0:c r="AE484" s="7">
        <ns0:f>IF(W484&lt;0,A484,0)</ns0:f>
        <ns0:v>0</ns0:v>
      </ns0:c>
      <ns0:c r="AF484" s="16">
        <ns0:f>IF(AND(OR('前提と出典'!$C$36+'前提と出典'!$C$38=0,U484&gt;=0),OR('前提と出典'!$C$37+'前提と出典'!$C$38=0,V484&gt;=0)),0,A484)</ns0:f>
        <ns0:v>0</ns0:v>
      </ns0:c>
      <ns0:c r="AG484" s="7">
        <ns0:f>IF(Z484&gt;=0,A484,1001)</ns0:f>
        <ns0:v>480</ns0:v>
      </ns0:c>
      <ns0:c r="AH484" s="4">
        <ns0:f>IF(Z484&lt;0,A484,0)</ns0:f>
        <ns0:v>0</ns0:v>
      </ns0:c>
      <ns0:c r="AI484" s="12">
        <ns0:f>IF(AND(OR('前提と出典'!$C$36+'前提と出典'!$C$38=0,X484&gt;=0),OR('前提と出典'!$C$37+'前提と出典'!$C$38=0,Y484&gt;=0)),0,A484)</ns0:f>
        <ns0:v>0</ns0:v>
      </ns0:c>
    </ns0:row>
    <ns0:row r="485" ht="24" customHeight="1">
      <ns0:c r="A485" s="4" t="n">
        <ns0:v>481</ns0:v>
      </ns0:c>
      <ns0:c r="B485" s="12">
        <ns0:f>A485*('前提と出典'!$C$36+'前提と出典'!$C$38)</ns0:f>
        <ns0:v>336.7</ns0:v>
      </ns0:c>
      <ns0:c r="C485" s="12">
        <ns0:f>A485*('前提と出典'!$C$37+'前提と出典'!$C$38)</ns0:f>
        <ns0:v>288.59999999999997</ns0:v>
      </ns0:c>
      <ns0:c r="D485" s="16">
        <ns0:f>A485*('前提と出典'!$C$36*'契約別単価'!C5+'前提と出典'!$C$37*'契約別単価'!C6+'前提と出典'!$C$38*'契約別単価'!C7)</ns0:f>
        <ns0:v>3461.050279329609</ns0:v>
      </ns0:c>
      <ns0:c r="E485" s="16">
        <ns0:f>A485*('前提と出典'!$C$36*'契約別単価'!E5+'前提と出典'!$C$37*'契約別単価'!E6+'前提と出典'!$C$38*'契約別単価'!E7)</ns0:f>
        <ns0:v>1209172.8760788792</ns0:v>
      </ns0:c>
      <ns0:c r="F485" s="16">
        <ns0:f>A485*('前提と出典'!$C$36*'契約別単価'!F5+'前提と出典'!$C$37*'契約別単価'!F6+'前提と出典'!$C$38*'契約別単価'!F7)</ns0:f>
        <ns0:v>351354.7295470154</ns0:v>
      </ns0:c>
      <ns0:c r="G485" s="16">
        <ns0:f>A485*('前提と出典'!$C$36*'契約別単価'!G5+'前提と出典'!$C$37*'契約別単価'!G6+'前提と出典'!$C$38*'契約別単価'!G7)</ns0:f>
        <ns0:v>957431.8435754189</ns0:v>
      </ns0:c>
      <ns0:c r="H485" s="16">
        <ns0:f>A485*('前提と出典'!$C$36*'契約別単価'!H5+'前提と出典'!$C$37*'契約別単価'!H6+'前提と出典'!$C$38*'契約別単価'!H7)</ns0:f>
        <ns0:v>332276.8687010471</ns0:v>
      </ns0:c>
      <ns0:c r="I485" s="16">
        <ns0:f>A485*('前提と出典'!$C$36*'契約別単価'!I5+'前提と出典'!$C$37*'契約別単価'!I6+'前提と出典'!$C$38*'契約別単価'!I7)</ns0:f>
        <ns0:v>20296.050279329607</ns0:v>
      </ns0:c>
      <ns0:c r="J485" s="16">
        <ns0:f>A485*('前提と出典'!$C$36*'契約別単価'!J5+'前提と出典'!$C$37*'契約別単価'!J6+'前提と出典'!$C$38*'契約別単価'!J7)</ns0:f>
        <ns0:v>47277.270524655534</ns0:v>
      </ns0:c>
      <ns0:c r="K485" s="16">
        <ns0:f>A485*('前提と出典'!$C$36*'契約別単価'!K5+'前提と出典'!$C$37*'契約別単価'!K6+'前提と出典'!$C$38*'契約別単価'!K7)</ns0:f>
        <ns0:v>202647.0018621974</ns0:v>
      </ns0:c>
      <ns0:c r="L485" s="16">
        <ns0:f>A485*('前提と出典'!$C$36*'契約別単価'!L5+'前提と出典'!$C$37*'契約別単価'!L6+'前提と出典'!$C$38*'契約別単価'!L7)</ns0:f>
        <ns0:v>164995.89562336824</ns0:v>
      </ns0:c>
      <ns0:c r="M485" s="16">
        <ns0:f>IF(('前提と出典'!$C$36+'前提と出典'!$C$38)=0,0,IF(B485&lt;=10,'前提と出典'!B73+'前提と出典'!C73,IF(B485&lt;=100,'前提と出典'!B74+'前提と出典'!C74,IF(B485&lt;=500,'前提と出典'!B75+'前提と出典'!C75,'前提と出典'!B76+'前提と出典'!C76))))</ns0:f>
        <ns0:v>40000</ns0:v>
      </ns0:c>
      <ns0:c r="N485" s="16">
        <ns0:f>IF(('前提と出典'!$C$37+'前提と出典'!$C$38)=0,0,IF(C485&lt;=10,'前提と出典'!D73+'前提と出典'!E73,IF(C485&lt;=100,'前提と出典'!D74+'前提と出典'!E74,IF(C485&lt;=500,'前提と出典'!D75+'前提と出典'!E75,'前提と出典'!D76+'前提と出典'!E76))))</ns0:f>
        <ns0:v>56510.9346263078</ns0:v>
      </ns0:c>
      <ns0:c r="O485" s="16">
        <ns0:f>IF('前提と出典'!$C$36+'前提と出典'!$C$38=0,0,'前提と出典'!$B$4*IF('前提と出典'!$B$20=0,MAX('前提と出典'!$B$6,D485*'前提と出典'!$B$5),'前提と出典'!$B$6+D485*'前提と出典'!$B$5))</ns0:f>
        <ns0:v>477624.9385474861</ns0:v>
      </ns0:c>
      <ns0:c r="P485" s="16">
        <ns0:f>(E485+G485)*(1-'前提と出典'!$B$7)-I485-K485-M485-O485</ns0:f>
        <ns0:v>1348038.9590577306</ns0:v>
      </ns0:c>
      <ns0:c r="Q485" s="16">
        <ns0:f>(F485+H485)*(1-'前提と出典'!$B$7)-J485-L485-N485</ns0:f>
        <ns0:v>390236.7599368006</ns0:v>
      </ns0:c>
      <ns0:c r="R485" s="16">
        <ns0:f>P485-E485*'前提と出典'!$E$4</ns0:f>
        <ns0:v>985287.0962340668</ns0:v>
      </ns0:c>
      <ns0:c r="S485" s="16">
        <ns0:f>Q485-F485*'前提と出典'!$E$4</ns0:f>
        <ns0:v>284830.3410726959</ns0:v>
      </ns0:c>
      <ns0:c r="T485" s="7">
        <ns0:f>R485+S485</ns0:f>
        <ns0:v>1270117.4373067627</ns0:v>
      </ns0:c>
      <ns0:c r="U485" s="16">
        <ns0:f>P485-E485*'前提と出典'!$E$5</ns0:f>
        <ns0:v>864369.8086261788</ns0:v>
      </ns0:c>
      <ns0:c r="V485" s="16">
        <ns0:f>Q485-F485*'前提と出典'!$E$5</ns0:f>
        <ns0:v>249694.8681179944</ns0:v>
      </ns0:c>
      <ns0:c r="W485" s="7">
        <ns0:f>U485+V485</ns0:f>
        <ns0:v>1114064.6767441733</ns0:v>
      </ns0:c>
      <ns0:c r="X485" s="16">
        <ns0:f>P485-E485*'前提と出典'!$E$6</ns0:f>
        <ns0:v>743452.5210182908</ns0:v>
      </ns0:c>
      <ns0:c r="Y485" s="16">
        <ns0:f>Q485-F485*'前提と出典'!$E$6</ns0:f>
        <ns0:v>214559.39516329288</ns0:v>
      </ns0:c>
      <ns0:c r="Z485" s="7">
        <ns0:f>X485+Y485</ns0:f>
        <ns0:v>958011.9161815837</ns0:v>
      </ns0:c>
      <ns0:c r="AA485" s="7">
        <ns0:f>IF(T485&gt;=0,A485,1001)</ns0:f>
        <ns0:v>481</ns0:v>
      </ns0:c>
      <ns0:c r="AB485" s="7">
        <ns0:f>IF(T485&lt;0,A485,0)</ns0:f>
        <ns0:v>0</ns0:v>
      </ns0:c>
      <ns0:c r="AC485" s="16">
        <ns0:f>IF(AND(OR('前提と出典'!$C$36+'前提と出典'!$C$38=0,R485&gt;=0),OR('前提と出典'!$C$37+'前提と出典'!$C$38=0,S485&gt;=0)),0,A485)</ns0:f>
        <ns0:v>0</ns0:v>
      </ns0:c>
      <ns0:c r="AD485" s="7">
        <ns0:f>IF(W485&gt;=0,A485,1001)</ns0:f>
        <ns0:v>481</ns0:v>
      </ns0:c>
      <ns0:c r="AE485" s="7">
        <ns0:f>IF(W485&lt;0,A485,0)</ns0:f>
        <ns0:v>0</ns0:v>
      </ns0:c>
      <ns0:c r="AF485" s="16">
        <ns0:f>IF(AND(OR('前提と出典'!$C$36+'前提と出典'!$C$38=0,U485&gt;=0),OR('前提と出典'!$C$37+'前提と出典'!$C$38=0,V485&gt;=0)),0,A485)</ns0:f>
        <ns0:v>0</ns0:v>
      </ns0:c>
      <ns0:c r="AG485" s="7">
        <ns0:f>IF(Z485&gt;=0,A485,1001)</ns0:f>
        <ns0:v>481</ns0:v>
      </ns0:c>
      <ns0:c r="AH485" s="4">
        <ns0:f>IF(Z485&lt;0,A485,0)</ns0:f>
        <ns0:v>0</ns0:v>
      </ns0:c>
      <ns0:c r="AI485" s="12">
        <ns0:f>IF(AND(OR('前提と出典'!$C$36+'前提と出典'!$C$38=0,X485&gt;=0),OR('前提と出典'!$C$37+'前提と出典'!$C$38=0,Y485&gt;=0)),0,A485)</ns0:f>
        <ns0:v>0</ns0:v>
      </ns0:c>
    </ns0:row>
    <ns0:row r="486" ht="24" customHeight="1">
      <ns0:c r="A486" s="4" t="n">
        <ns0:v>482</ns0:v>
      </ns0:c>
      <ns0:c r="B486" s="12">
        <ns0:f>A486*('前提と出典'!$C$36+'前提と出典'!$C$38)</ns0:f>
        <ns0:v>337.4</ns0:v>
      </ns0:c>
      <ns0:c r="C486" s="12">
        <ns0:f>A486*('前提と出典'!$C$37+'前提と出典'!$C$38)</ns0:f>
        <ns0:v>289.2</ns0:v>
      </ns0:c>
      <ns0:c r="D486" s="16">
        <ns0:f>A486*('前提と出典'!$C$36*'契約別単価'!C5+'前提と出典'!$C$37*'契約別単価'!C6+'前提と出典'!$C$38*'契約別単価'!C7)</ns0:f>
        <ns0:v>3468.245810055866</ns0:v>
      </ns0:c>
      <ns0:c r="E486" s="16">
        <ns0:f>A486*('前提と出典'!$C$36*'契約別単価'!E5+'前提と出典'!$C$37*'契約別単価'!E6+'前提と出典'!$C$38*'契約別単価'!E7)</ns0:f>
        <ns0:v>1211686.7490021202</ns0:v>
      </ns0:c>
      <ns0:c r="F486" s="16">
        <ns0:f>A486*('前提と出典'!$C$36*'契約別単価'!F5+'前提と出典'!$C$37*'契約別単価'!F6+'前提と出典'!$C$38*'契約別単価'!F7)</ns0:f>
        <ns0:v>352085.19676021085</ns0:v>
      </ns0:c>
      <ns0:c r="G486" s="16">
        <ns0:f>A486*('前提と出典'!$C$36*'契約別単価'!G5+'前提と出典'!$C$37*'契約別単価'!G6+'前提と出典'!$C$38*'契約別単価'!G7)</ns0:f>
        <ns0:v>959422.346368715</ns0:v>
      </ns0:c>
      <ns0:c r="H486" s="16">
        <ns0:f>A486*('前提と出典'!$C$36*'契約別単価'!H5+'前提と出典'!$C$37*'契約別単価'!H6+'前提と出典'!$C$38*'契約別単価'!H7)</ns0:f>
        <ns0:v>332967.6730018809</ns0:v>
      </ns0:c>
      <ns0:c r="I486" s="16">
        <ns0:f>A486*('前提と出典'!$C$36*'契約別単価'!I5+'前提と出典'!$C$37*'契約別単価'!I6+'前提と出典'!$C$38*'契約別単価'!I7)</ns0:f>
        <ns0:v>20338.24581005586</ns0:v>
      </ns0:c>
      <ns0:c r="J486" s="16">
        <ns0:f>A486*('前提と出典'!$C$36*'契約別単価'!J5+'前提と出典'!$C$37*'契約別単価'!J6+'前提と出典'!$C$38*'契約別単価'!J7)</ns0:f>
        <ns0:v>47375.560068365834</ns0:v>
      </ns0:c>
      <ns0:c r="K486" s="16">
        <ns0:f>A486*('前提と出典'!$C$36*'契約別単価'!K5+'前提と出典'!$C$37*'契約別単価'!K6+'前提と出典'!$C$38*'契約別単価'!K7)</ns0:f>
        <ns0:v>203068.30540037242</ns0:v>
      </ns0:c>
      <ns0:c r="L486" s="16">
        <ns0:f>A486*('前提と出典'!$C$36*'契約別単価'!L5+'前提と出典'!$C$37*'契約別単価'!L6+'前提と出典'!$C$38*'契約別単価'!L7)</ns0:f>
        <ns0:v>165338.92243339602</ns0:v>
      </ns0:c>
      <ns0:c r="M486" s="16">
        <ns0:f>IF(('前提と出典'!$C$36+'前提と出典'!$C$38)=0,0,IF(B486&lt;=10,'前提と出典'!B73+'前提と出典'!C73,IF(B486&lt;=100,'前提と出典'!B74+'前提と出典'!C74,IF(B486&lt;=500,'前提と出典'!B75+'前提と出典'!C75,'前提と出典'!B76+'前提と出典'!C76))))</ns0:f>
        <ns0:v>40000</ns0:v>
      </ns0:c>
      <ns0:c r="N486" s="16">
        <ns0:f>IF(('前提と出典'!$C$37+'前提と出典'!$C$38)=0,0,IF(C486&lt;=10,'前提と出典'!D73+'前提と出典'!E73,IF(C486&lt;=100,'前提と出典'!D74+'前提と出典'!E74,IF(C486&lt;=500,'前提と出典'!D75+'前提と出典'!E75,'前提と出典'!D76+'前提と出典'!E76))))</ns0:f>
        <ns0:v>56510.9346263078</ns0:v>
      </ns0:c>
      <ns0:c r="O486" s="16">
        <ns0:f>IF('前提と出典'!$C$36+'前提と出典'!$C$38=0,0,'前提と出典'!$B$4*IF('前提と出典'!$B$20=0,MAX('前提と出典'!$B$6,D486*'前提と出典'!$B$5),'前提と出典'!$B$6+D486*'前提と出典'!$B$5))</ns0:f>
        <ns0:v>478617.9217877096</ns0:v>
      </ns0:c>
      <ns0:c r="P486" s="16">
        <ns0:f>(E486+G486)*(1-'前提と出典'!$B$7)-I486-K486-M486-O486</ns0:f>
        <ns0:v>1350924.694939347</ns0:v>
      </ns0:c>
      <ns0:c r="Q486" s="16">
        <ns0:f>(F486+H486)*(1-'前提と出典'!$B$7)-J486-L486-N486</ns0:f>
        <ns0:v>391165.54932258674</ns0:v>
      </ns0:c>
      <ns0:c r="R486" s="16">
        <ns0:f>P486-E486*'前提と出典'!$E$4</ns0:f>
        <ns0:v>987418.670238711</ns0:v>
      </ns0:c>
      <ns0:c r="S486" s="16">
        <ns0:f>Q486-F486*'前提と出典'!$E$4</ns0:f>
        <ns0:v>285539.99029452354</ns0:v>
      </ns0:c>
      <ns0:c r="T486" s="7">
        <ns0:f>R486+S486</ns0:f>
        <ns0:v>1272958.6605332345</ns0:v>
      </ns0:c>
      <ns0:c r="U486" s="16">
        <ns0:f>P486-E486*'前提と出典'!$E$5</ns0:f>
        <ns0:v>866249.995338499</ns0:v>
      </ns0:c>
      <ns0:c r="V486" s="16">
        <ns0:f>Q486-F486*'前提と出典'!$E$5</ns0:f>
        <ns0:v>250331.47061850235</ns0:v>
      </ns0:c>
      <ns0:c r="W486" s="7">
        <ns0:f>U486+V486</ns0:f>
        <ns0:v>1116581.4659570013</ns0:v>
      </ns0:c>
      <ns0:c r="X486" s="16">
        <ns0:f>P486-E486*'前提と出典'!$E$6</ns0:f>
        <ns0:v>745081.3204382869</ns0:v>
      </ns0:c>
      <ns0:c r="Y486" s="16">
        <ns0:f>Q486-F486*'前提と出典'!$E$6</ns0:f>
        <ns0:v>215122.9509424813</ns0:v>
      </ns0:c>
      <ns0:c r="Z486" s="7">
        <ns0:f>X486+Y486</ns0:f>
        <ns0:v>960204.2713807682</ns0:v>
      </ns0:c>
      <ns0:c r="AA486" s="7">
        <ns0:f>IF(T486&gt;=0,A486,1001)</ns0:f>
        <ns0:v>482</ns0:v>
      </ns0:c>
      <ns0:c r="AB486" s="7">
        <ns0:f>IF(T486&lt;0,A486,0)</ns0:f>
        <ns0:v>0</ns0:v>
      </ns0:c>
      <ns0:c r="AC486" s="16">
        <ns0:f>IF(AND(OR('前提と出典'!$C$36+'前提と出典'!$C$38=0,R486&gt;=0),OR('前提と出典'!$C$37+'前提と出典'!$C$38=0,S486&gt;=0)),0,A486)</ns0:f>
        <ns0:v>0</ns0:v>
      </ns0:c>
      <ns0:c r="AD486" s="7">
        <ns0:f>IF(W486&gt;=0,A486,1001)</ns0:f>
        <ns0:v>482</ns0:v>
      </ns0:c>
      <ns0:c r="AE486" s="7">
        <ns0:f>IF(W486&lt;0,A486,0)</ns0:f>
        <ns0:v>0</ns0:v>
      </ns0:c>
      <ns0:c r="AF486" s="16">
        <ns0:f>IF(AND(OR('前提と出典'!$C$36+'前提と出典'!$C$38=0,U486&gt;=0),OR('前提と出典'!$C$37+'前提と出典'!$C$38=0,V486&gt;=0)),0,A486)</ns0:f>
        <ns0:v>0</ns0:v>
      </ns0:c>
      <ns0:c r="AG486" s="7">
        <ns0:f>IF(Z486&gt;=0,A486,1001)</ns0:f>
        <ns0:v>482</ns0:v>
      </ns0:c>
      <ns0:c r="AH486" s="4">
        <ns0:f>IF(Z486&lt;0,A486,0)</ns0:f>
        <ns0:v>0</ns0:v>
      </ns0:c>
      <ns0:c r="AI486" s="12">
        <ns0:f>IF(AND(OR('前提と出典'!$C$36+'前提と出典'!$C$38=0,X486&gt;=0),OR('前提と出典'!$C$37+'前提と出典'!$C$38=0,Y486&gt;=0)),0,A486)</ns0:f>
        <ns0:v>0</ns0:v>
      </ns0:c>
    </ns0:row>
    <ns0:row r="487" ht="24" customHeight="1">
      <ns0:c r="A487" s="4" t="n">
        <ns0:v>483</ns0:v>
      </ns0:c>
      <ns0:c r="B487" s="12">
        <ns0:f>A487*('前提と出典'!$C$36+'前提と出典'!$C$38)</ns0:f>
        <ns0:v>338.09999999999997</ns0:v>
      </ns0:c>
      <ns0:c r="C487" s="12">
        <ns0:f>A487*('前提と出典'!$C$37+'前提と出典'!$C$38)</ns0:f>
        <ns0:v>289.8</ns0:v>
      </ns0:c>
      <ns0:c r="D487" s="16">
        <ns0:f>A487*('前提と出典'!$C$36*'契約別単価'!C5+'前提と出典'!$C$37*'契約別単価'!C6+'前提と出典'!$C$38*'契約別単価'!C7)</ns0:f>
        <ns0:v>3475.441340782123</ns0:v>
      </ns0:c>
      <ns0:c r="E487" s="16">
        <ns0:f>A487*('前提と出典'!$C$36*'契約別単価'!E5+'前提と出典'!$C$37*'契約別単価'!E6+'前提と出典'!$C$38*'契約別単価'!E7)</ns0:f>
        <ns0:v>1214200.621925361</ns0:v>
      </ns0:c>
      <ns0:c r="F487" s="16">
        <ns0:f>A487*('前提と出典'!$C$36*'契約別単価'!F5+'前提と出典'!$C$37*'契約別単価'!F6+'前提と出典'!$C$38*'契約別単価'!F7)</ns0:f>
        <ns0:v>352815.6639734063</ns0:v>
      </ns0:c>
      <ns0:c r="G487" s="16">
        <ns0:f>A487*('前提と出典'!$C$36*'契約別単価'!G5+'前提と出典'!$C$37*'契約別単価'!G6+'前提と出典'!$C$38*'契約別単価'!G7)</ns0:f>
        <ns0:v>961412.8491620112</ns0:v>
      </ns0:c>
      <ns0:c r="H487" s="16">
        <ns0:f>A487*('前提と出典'!$C$36*'契約別単価'!H5+'前提と出典'!$C$37*'契約別単価'!H6+'前提と出典'!$C$38*'契約別単価'!H7)</ns0:f>
        <ns0:v>333658.4773027146</ns0:v>
      </ns0:c>
      <ns0:c r="I487" s="16">
        <ns0:f>A487*('前提と出典'!$C$36*'契約別単価'!I5+'前提と出典'!$C$37*'契約別単価'!I6+'前提と出典'!$C$38*'契約別単価'!I7)</ns0:f>
        <ns0:v>20380.44134078212</ns0:v>
      </ns0:c>
      <ns0:c r="J487" s="16">
        <ns0:f>A487*('前提と出典'!$C$36*'契約別単価'!J5+'前提と出典'!$C$37*'契約別単価'!J6+'前提と出典'!$C$38*'契約別単価'!J7)</ns0:f>
        <ns0:v>47473.84961207614</ns0:v>
      </ns0:c>
      <ns0:c r="K487" s="16">
        <ns0:f>A487*('前提と出典'!$C$36*'契約別単価'!K5+'前提と出典'!$C$37*'契約別単価'!K6+'前提と出典'!$C$38*'契約別単価'!K7)</ns0:f>
        <ns0:v>203489.60893854746</ns0:v>
      </ns0:c>
      <ns0:c r="L487" s="16">
        <ns0:f>A487*('前提と出典'!$C$36*'契約別単価'!L5+'前提と出典'!$C$37*'契約別単価'!L6+'前提と出典'!$C$38*'契約別単価'!L7)</ns0:f>
        <ns0:v>165681.94924342382</ns0:v>
      </ns0:c>
      <ns0:c r="M487" s="16">
        <ns0:f>IF(('前提と出典'!$C$36+'前提と出典'!$C$38)=0,0,IF(B487&lt;=10,'前提と出典'!B73+'前提と出典'!C73,IF(B487&lt;=100,'前提と出典'!B74+'前提と出典'!C74,IF(B487&lt;=500,'前提と出典'!B75+'前提と出典'!C75,'前提と出典'!B76+'前提と出典'!C76))))</ns0:f>
        <ns0:v>40000</ns0:v>
      </ns0:c>
      <ns0:c r="N487" s="16">
        <ns0:f>IF(('前提と出典'!$C$37+'前提と出典'!$C$38)=0,0,IF(C487&lt;=10,'前提と出典'!D73+'前提と出典'!E73,IF(C487&lt;=100,'前提と出典'!D74+'前提と出典'!E74,IF(C487&lt;=500,'前提と出典'!D75+'前提と出典'!E75,'前提と出典'!D76+'前提と出典'!E76))))</ns0:f>
        <ns0:v>56510.9346263078</ns0:v>
      </ns0:c>
      <ns0:c r="O487" s="16">
        <ns0:f>IF('前提と出典'!$C$36+'前提と出典'!$C$38=0,0,'前提と出典'!$B$4*IF('前提と出典'!$B$20=0,MAX('前提と出典'!$B$6,D487*'前提と出典'!$B$5),'前提と出典'!$B$6+D487*'前提と出典'!$B$5))</ns0:f>
        <ns0:v>479610.90502793295</ns0:v>
      </ns0:c>
      <ns0:c r="P487" s="16">
        <ns0:f>(E487+G487)*(1-'前提と出典'!$B$7)-I487-K487-M487-O487</ns0:f>
        <ns0:v>1353810.4308209638</ns0:v>
      </ns0:c>
      <ns0:c r="Q487" s="16">
        <ns0:f>(F487+H487)*(1-'前提と出典'!$B$7)-J487-L487-N487</ns0:f>
        <ns0:v>392094.33870837284</ns0:v>
      </ns0:c>
      <ns0:c r="R487" s="16">
        <ns0:f>P487-E487*'前提と出典'!$E$4</ns0:f>
        <ns0:v>989550.2442433555</ns0:v>
      </ns0:c>
      <ns0:c r="S487" s="16">
        <ns0:f>Q487-F487*'前提と出典'!$E$4</ns0:f>
        <ns0:v>286249.63951635093</ns0:v>
      </ns0:c>
      <ns0:c r="T487" s="7">
        <ns0:f>R487+S487</ns0:f>
        <ns0:v>1275799.8837597063</ns0:v>
      </ns0:c>
      <ns0:c r="U487" s="16">
        <ns0:f>P487-E487*'前提と出典'!$E$5</ns0:f>
        <ns0:v>868130.1820508195</ns0:v>
      </ns0:c>
      <ns0:c r="V487" s="16">
        <ns0:f>Q487-F487*'前提と出典'!$E$5</ns0:f>
        <ns0:v>250968.0731190103</ns0:v>
      </ns0:c>
      <ns0:c r="W487" s="7">
        <ns0:f>U487+V487</ns0:f>
        <ns0:v>1119098.2551698298</ns0:v>
      </ns0:c>
      <ns0:c r="X487" s="16">
        <ns0:f>P487-E487*'前提と出典'!$E$6</ns0:f>
        <ns0:v>746710.1198582833</ns0:v>
      </ns0:c>
      <ns0:c r="Y487" s="16">
        <ns0:f>Q487-F487*'前提と出典'!$E$6</ns0:f>
        <ns0:v>215686.50672166963</ns0:v>
      </ns0:c>
      <ns0:c r="Z487" s="7">
        <ns0:f>X487+Y487</ns0:f>
        <ns0:v>962396.6265799529</ns0:v>
      </ns0:c>
      <ns0:c r="AA487" s="7">
        <ns0:f>IF(T487&gt;=0,A487,1001)</ns0:f>
        <ns0:v>483</ns0:v>
      </ns0:c>
      <ns0:c r="AB487" s="7">
        <ns0:f>IF(T487&lt;0,A487,0)</ns0:f>
        <ns0:v>0</ns0:v>
      </ns0:c>
      <ns0:c r="AC487" s="16">
        <ns0:f>IF(AND(OR('前提と出典'!$C$36+'前提と出典'!$C$38=0,R487&gt;=0),OR('前提と出典'!$C$37+'前提と出典'!$C$38=0,S487&gt;=0)),0,A487)</ns0:f>
        <ns0:v>0</ns0:v>
      </ns0:c>
      <ns0:c r="AD487" s="7">
        <ns0:f>IF(W487&gt;=0,A487,1001)</ns0:f>
        <ns0:v>483</ns0:v>
      </ns0:c>
      <ns0:c r="AE487" s="7">
        <ns0:f>IF(W487&lt;0,A487,0)</ns0:f>
        <ns0:v>0</ns0:v>
      </ns0:c>
      <ns0:c r="AF487" s="16">
        <ns0:f>IF(AND(OR('前提と出典'!$C$36+'前提と出典'!$C$38=0,U487&gt;=0),OR('前提と出典'!$C$37+'前提と出典'!$C$38=0,V487&gt;=0)),0,A487)</ns0:f>
        <ns0:v>0</ns0:v>
      </ns0:c>
      <ns0:c r="AG487" s="7">
        <ns0:f>IF(Z487&gt;=0,A487,1001)</ns0:f>
        <ns0:v>483</ns0:v>
      </ns0:c>
      <ns0:c r="AH487" s="4">
        <ns0:f>IF(Z487&lt;0,A487,0)</ns0:f>
        <ns0:v>0</ns0:v>
      </ns0:c>
      <ns0:c r="AI487" s="12">
        <ns0:f>IF(AND(OR('前提と出典'!$C$36+'前提と出典'!$C$38=0,X487&gt;=0),OR('前提と出典'!$C$37+'前提と出典'!$C$38=0,Y487&gt;=0)),0,A487)</ns0:f>
        <ns0:v>0</ns0:v>
      </ns0:c>
    </ns0:row>
    <ns0:row r="488" ht="24" customHeight="1">
      <ns0:c r="A488" s="4" t="n">
        <ns0:v>484</ns0:v>
      </ns0:c>
      <ns0:c r="B488" s="12">
        <ns0:f>A488*('前提と出典'!$C$36+'前提と出典'!$C$38)</ns0:f>
        <ns0:v>338.79999999999995</ns0:v>
      </ns0:c>
      <ns0:c r="C488" s="12">
        <ns0:f>A488*('前提と出典'!$C$37+'前提と出典'!$C$38)</ns0:f>
        <ns0:v>290.4</ns0:v>
      </ns0:c>
      <ns0:c r="D488" s="16">
        <ns0:f>A488*('前提と出典'!$C$36*'契約別単価'!C5+'前提と出典'!$C$37*'契約別単価'!C6+'前提と出典'!$C$38*'契約別単価'!C7)</ns0:f>
        <ns0:v>3482.63687150838</ns0:v>
      </ns0:c>
      <ns0:c r="E488" s="16">
        <ns0:f>A488*('前提と出典'!$C$36*'契約別単価'!E5+'前提と出典'!$C$37*'契約別単価'!E6+'前提と出典'!$C$38*'契約別単価'!E7)</ns0:f>
        <ns0:v>1216714.494848602</ns0:v>
      </ns0:c>
      <ns0:c r="F488" s="16">
        <ns0:f>A488*('前提と出典'!$C$36*'契約別単価'!F5+'前提と出典'!$C$37*'契約別単価'!F6+'前提と出典'!$C$38*'契約別単価'!F7)</ns0:f>
        <ns0:v>353546.13118660176</ns0:v>
      </ns0:c>
      <ns0:c r="G488" s="16">
        <ns0:f>A488*('前提と出典'!$C$36*'契約別単価'!G5+'前提と出典'!$C$37*'契約別単価'!G6+'前提と出典'!$C$38*'契約別単価'!G7)</ns0:f>
        <ns0:v>963403.3519553072</ns0:v>
      </ns0:c>
      <ns0:c r="H488" s="16">
        <ns0:f>A488*('前提と出典'!$C$36*'契約別単価'!H5+'前提と出典'!$C$37*'契約別単価'!H6+'前提と出典'!$C$38*'契約別単価'!H7)</ns0:f>
        <ns0:v>334349.2816035484</ns0:v>
      </ns0:c>
      <ns0:c r="I488" s="16">
        <ns0:f>A488*('前提と出典'!$C$36*'契約別単価'!I5+'前提と出典'!$C$37*'契約別単価'!I6+'前提と出典'!$C$38*'契約別単価'!I7)</ns0:f>
        <ns0:v>20422.636871508377</ns0:v>
      </ns0:c>
      <ns0:c r="J488" s="16">
        <ns0:f>A488*('前提と出典'!$C$36*'契約別単価'!J5+'前提と出典'!$C$37*'契約別単価'!J6+'前提と出典'!$C$38*'契約別単価'!J7)</ns0:f>
        <ns0:v>47572.13915578644</ns0:v>
      </ns0:c>
      <ns0:c r="K488" s="16">
        <ns0:f>A488*('前提と出典'!$C$36*'契約別単価'!K5+'前提と出典'!$C$37*'契約別単価'!K6+'前提と出典'!$C$38*'契約別単価'!K7)</ns0:f>
        <ns0:v>203910.91247672253</ns0:v>
      </ns0:c>
      <ns0:c r="L488" s="16">
        <ns0:f>A488*('前提と出典'!$C$36*'契約別単価'!L5+'前提と出典'!$C$37*'契約別単価'!L6+'前提と出典'!$C$38*'契約別単価'!L7)</ns0:f>
        <ns0:v>166024.9760534516</ns0:v>
      </ns0:c>
      <ns0:c r="M488" s="16">
        <ns0:f>IF(('前提と出典'!$C$36+'前提と出典'!$C$38)=0,0,IF(B488&lt;=10,'前提と出典'!B73+'前提と出典'!C73,IF(B488&lt;=100,'前提と出典'!B74+'前提と出典'!C74,IF(B488&lt;=500,'前提と出典'!B75+'前提と出典'!C75,'前提と出典'!B76+'前提と出典'!C76))))</ns0:f>
        <ns0:v>40000</ns0:v>
      </ns0:c>
      <ns0:c r="N488" s="16">
        <ns0:f>IF(('前提と出典'!$C$37+'前提と出典'!$C$38)=0,0,IF(C488&lt;=10,'前提と出典'!D73+'前提と出典'!E73,IF(C488&lt;=100,'前提と出典'!D74+'前提と出典'!E74,IF(C488&lt;=500,'前提と出典'!D75+'前提と出典'!E75,'前提と出典'!D76+'前提と出典'!E76))))</ns0:f>
        <ns0:v>56510.9346263078</ns0:v>
      </ns0:c>
      <ns0:c r="O488" s="16">
        <ns0:f>IF('前提と出典'!$C$36+'前提と出典'!$C$38=0,0,'前提と出典'!$B$4*IF('前提と出典'!$B$20=0,MAX('前提と出典'!$B$6,D488*'前提と出典'!$B$5),'前提と出典'!$B$6+D488*'前提と出典'!$B$5))</ns0:f>
        <ns0:v>480603.88826815644</ns0:v>
      </ns0:c>
      <ns0:c r="P488" s="16">
        <ns0:f>(E488+G488)*(1-'前提と出典'!$B$7)-I488-K488-M488-O488</ns0:f>
        <ns0:v>1356696.166702581</ns0:v>
      </ns0:c>
      <ns0:c r="Q488" s="16">
        <ns0:f>(F488+H488)*(1-'前提と出典'!$B$7)-J488-L488-N488</ns0:f>
        <ns0:v>393023.12809415895</ns0:v>
      </ns0:c>
      <ns0:c r="R488" s="16">
        <ns0:f>P488-E488*'前提と出典'!$E$4</ns0:f>
        <ns0:v>991681.8182480005</ns0:v>
      </ns0:c>
      <ns0:c r="S488" s="16">
        <ns0:f>Q488-F488*'前提と出典'!$E$4</ns0:f>
        <ns0:v>286959.28873817844</ns0:v>
      </ns0:c>
      <ns0:c r="T488" s="7">
        <ns0:f>R488+S488</ns0:f>
        <ns0:v>1278641.106986179</ns0:v>
      </ns0:c>
      <ns0:c r="U488" s="16">
        <ns0:f>P488-E488*'前提と出典'!$E$5</ns0:f>
        <ns0:v>870010.3687631404</ns0:v>
      </ns0:c>
      <ns0:c r="V488" s="16">
        <ns0:f>Q488-F488*'前提と出典'!$E$5</ns0:f>
        <ns0:v>251604.67561951827</ns0:v>
      </ns0:c>
      <ns0:c r="W488" s="7">
        <ns0:f>U488+V488</ns0:f>
        <ns0:v>1121615.0443826588</ns0:v>
      </ns0:c>
      <ns0:c r="X488" s="16">
        <ns0:f>P488-E488*'前提と出典'!$E$6</ns0:f>
        <ns0:v>748338.9192782801</ns0:v>
      </ns0:c>
      <ns0:c r="Y488" s="16">
        <ns0:f>Q488-F488*'前提と出典'!$E$6</ns0:f>
        <ns0:v>216250.0625008581</ns0:v>
      </ns0:c>
      <ns0:c r="Z488" s="7">
        <ns0:f>X488+Y488</ns0:f>
        <ns0:v>964588.9817791382</ns0:v>
      </ns0:c>
      <ns0:c r="AA488" s="7">
        <ns0:f>IF(T488&gt;=0,A488,1001)</ns0:f>
        <ns0:v>484</ns0:v>
      </ns0:c>
      <ns0:c r="AB488" s="7">
        <ns0:f>IF(T488&lt;0,A488,0)</ns0:f>
        <ns0:v>0</ns0:v>
      </ns0:c>
      <ns0:c r="AC488" s="16">
        <ns0:f>IF(AND(OR('前提と出典'!$C$36+'前提と出典'!$C$38=0,R488&gt;=0),OR('前提と出典'!$C$37+'前提と出典'!$C$38=0,S488&gt;=0)),0,A488)</ns0:f>
        <ns0:v>0</ns0:v>
      </ns0:c>
      <ns0:c r="AD488" s="7">
        <ns0:f>IF(W488&gt;=0,A488,1001)</ns0:f>
        <ns0:v>484</ns0:v>
      </ns0:c>
      <ns0:c r="AE488" s="7">
        <ns0:f>IF(W488&lt;0,A488,0)</ns0:f>
        <ns0:v>0</ns0:v>
      </ns0:c>
      <ns0:c r="AF488" s="16">
        <ns0:f>IF(AND(OR('前提と出典'!$C$36+'前提と出典'!$C$38=0,U488&gt;=0),OR('前提と出典'!$C$37+'前提と出典'!$C$38=0,V488&gt;=0)),0,A488)</ns0:f>
        <ns0:v>0</ns0:v>
      </ns0:c>
      <ns0:c r="AG488" s="7">
        <ns0:f>IF(Z488&gt;=0,A488,1001)</ns0:f>
        <ns0:v>484</ns0:v>
      </ns0:c>
      <ns0:c r="AH488" s="4">
        <ns0:f>IF(Z488&lt;0,A488,0)</ns0:f>
        <ns0:v>0</ns0:v>
      </ns0:c>
      <ns0:c r="AI488" s="12">
        <ns0:f>IF(AND(OR('前提と出典'!$C$36+'前提と出典'!$C$38=0,X488&gt;=0),OR('前提と出典'!$C$37+'前提と出典'!$C$38=0,Y488&gt;=0)),0,A488)</ns0:f>
        <ns0:v>0</ns0:v>
      </ns0:c>
    </ns0:row>
    <ns0:row r="489" ht="24" customHeight="1">
      <ns0:c r="A489" s="4" t="n">
        <ns0:v>485</ns0:v>
      </ns0:c>
      <ns0:c r="B489" s="12">
        <ns0:f>A489*('前提と出典'!$C$36+'前提と出典'!$C$38)</ns0:f>
        <ns0:v>339.5</ns0:v>
      </ns0:c>
      <ns0:c r="C489" s="12">
        <ns0:f>A489*('前提と出典'!$C$37+'前提と出典'!$C$38)</ns0:f>
        <ns0:v>291</ns0:v>
      </ns0:c>
      <ns0:c r="D489" s="16">
        <ns0:f>A489*('前提と出典'!$C$36*'契約別単価'!C5+'前提と出典'!$C$37*'契約別単価'!C6+'前提と出典'!$C$38*'契約別単価'!C7)</ns0:f>
        <ns0:v>3489.832402234637</ns0:v>
      </ns0:c>
      <ns0:c r="E489" s="16">
        <ns0:f>A489*('前提と出典'!$C$36*'契約別単価'!E5+'前提と出典'!$C$37*'契約別単価'!E6+'前提と出典'!$C$38*'契約別単価'!E7)</ns0:f>
        <ns0:v>1219228.367771843</ns0:v>
      </ns0:c>
      <ns0:c r="F489" s="16">
        <ns0:f>A489*('前提と出典'!$C$36*'契約別単価'!F5+'前提と出典'!$C$37*'契約別単価'!F6+'前提と出典'!$C$38*'契約別単価'!F7)</ns0:f>
        <ns0:v>354276.5983997972</ns0:v>
      </ns0:c>
      <ns0:c r="G489" s="16">
        <ns0:f>A489*('前提と出典'!$C$36*'契約別単価'!G5+'前提と出典'!$C$37*'契約別単価'!G6+'前提と出典'!$C$38*'契約別単価'!G7)</ns0:f>
        <ns0:v>965393.8547486033</ns0:v>
      </ns0:c>
      <ns0:c r="H489" s="16">
        <ns0:f>A489*('前提と出典'!$C$36*'契約別単価'!H5+'前提と出典'!$C$37*'契約別単価'!H6+'前提と出典'!$C$38*'契約別単価'!H7)</ns0:f>
        <ns0:v>335040.08590438217</ns0:v>
      </ns0:c>
      <ns0:c r="I489" s="16">
        <ns0:f>A489*('前提と出典'!$C$36*'契約別単価'!I5+'前提と出典'!$C$37*'契約別単価'!I6+'前提と出典'!$C$38*'契約別単価'!I7)</ns0:f>
        <ns0:v>20464.832402234635</ns0:v>
      </ns0:c>
      <ns0:c r="J489" s="16">
        <ns0:f>A489*('前提と出典'!$C$36*'契約別単価'!J5+'前提と出典'!$C$37*'契約別単価'!J6+'前提と出典'!$C$38*'契約別単価'!J7)</ns0:f>
        <ns0:v>47670.42869949675</ns0:v>
      </ns0:c>
      <ns0:c r="K489" s="16">
        <ns0:f>A489*('前提と出典'!$C$36*'契約別単価'!K5+'前提と出典'!$C$37*'契約別単価'!K6+'前提と出典'!$C$38*'契約別単価'!K7)</ns0:f>
        <ns0:v>204332.21601489757</ns0:v>
      </ns0:c>
      <ns0:c r="L489" s="16">
        <ns0:f>A489*('前提と出典'!$C$36*'契約別単価'!L5+'前提と出典'!$C$37*'契約別単価'!L6+'前提と出典'!$C$38*'契約別単価'!L7)</ns0:f>
        <ns0:v>166368.0028634794</ns0:v>
      </ns0:c>
      <ns0:c r="M489" s="16">
        <ns0:f>IF(('前提と出典'!$C$36+'前提と出典'!$C$38)=0,0,IF(B489&lt;=10,'前提と出典'!B73+'前提と出典'!C73,IF(B489&lt;=100,'前提と出典'!B74+'前提と出典'!C74,IF(B489&lt;=500,'前提と出典'!B75+'前提と出典'!C75,'前提と出典'!B76+'前提と出典'!C76))))</ns0:f>
        <ns0:v>40000</ns0:v>
      </ns0:c>
      <ns0:c r="N489" s="16">
        <ns0:f>IF(('前提と出典'!$C$37+'前提と出典'!$C$38)=0,0,IF(C489&lt;=10,'前提と出典'!D73+'前提と出典'!E73,IF(C489&lt;=100,'前提と出典'!D74+'前提と出典'!E74,IF(C489&lt;=500,'前提と出典'!D75+'前提と出典'!E75,'前提と出典'!D76+'前提と出典'!E76))))</ns0:f>
        <ns0:v>56510.9346263078</ns0:v>
      </ns0:c>
      <ns0:c r="O489" s="16">
        <ns0:f>IF('前提と出典'!$C$36+'前提と出典'!$C$38=0,0,'前提と出典'!$B$4*IF('前提と出典'!$B$20=0,MAX('前提と出典'!$B$6,D489*'前提と出典'!$B$5),'前提と出典'!$B$6+D489*'前提と出典'!$B$5))</ns0:f>
        <ns0:v>481596.87150837993</ns0:v>
      </ns0:c>
      <ns0:c r="P489" s="16">
        <ns0:f>(E489+G489)*(1-'前提と出典'!$B$7)-I489-K489-M489-O489</ns0:f>
        <ns0:v>1359581.9025841984</ns0:v>
      </ns0:c>
      <ns0:c r="Q489" s="16">
        <ns0:f>(F489+H489)*(1-'前提と出典'!$B$7)-J489-L489-N489</ns0:f>
        <ns0:v>393951.917479945</ns0:v>
      </ns0:c>
      <ns0:c r="R489" s="16">
        <ns0:f>P489-E489*'前提と出典'!$E$4</ns0:f>
        <ns0:v>993813.3922526455</ns0:v>
      </ns0:c>
      <ns0:c r="S489" s="16">
        <ns0:f>Q489-F489*'前提と出典'!$E$4</ns0:f>
        <ns0:v>287668.93796000583</ns0:v>
      </ns0:c>
      <ns0:c r="T489" s="7">
        <ns0:f>R489+S489</ns0:f>
        <ns0:v>1281482.3302126513</ns0:v>
      </ns0:c>
      <ns0:c r="U489" s="16">
        <ns0:f>P489-E489*'前提と出典'!$E$5</ns0:f>
        <ns0:v>871890.5554754613</ns0:v>
      </ns0:c>
      <ns0:c r="V489" s="16">
        <ns0:f>Q489-F489*'前提と出典'!$E$5</ns0:f>
        <ns0:v>252241.2781200261</ns0:v>
      </ns0:c>
      <ns0:c r="W489" s="7">
        <ns0:f>U489+V489</ns0:f>
        <ns0:v>1124131.8335954873</ns0:v>
      </ns0:c>
      <ns0:c r="X489" s="16">
        <ns0:f>P489-E489*'前提と出典'!$E$6</ns0:f>
        <ns0:v>749967.7186982767</ns0:v>
      </ns0:c>
      <ns0:c r="Y489" s="16">
        <ns0:f>Q489-F489*'前提と出典'!$E$6</ns0:f>
        <ns0:v>216813.6182800464</ns0:v>
      </ns0:c>
      <ns0:c r="Z489" s="7">
        <ns0:f>X489+Y489</ns0:f>
        <ns0:v>966781.3369783231</ns0:v>
      </ns0:c>
      <ns0:c r="AA489" s="7">
        <ns0:f>IF(T489&gt;=0,A489,1001)</ns0:f>
        <ns0:v>485</ns0:v>
      </ns0:c>
      <ns0:c r="AB489" s="7">
        <ns0:f>IF(T489&lt;0,A489,0)</ns0:f>
        <ns0:v>0</ns0:v>
      </ns0:c>
      <ns0:c r="AC489" s="16">
        <ns0:f>IF(AND(OR('前提と出典'!$C$36+'前提と出典'!$C$38=0,R489&gt;=0),OR('前提と出典'!$C$37+'前提と出典'!$C$38=0,S489&gt;=0)),0,A489)</ns0:f>
        <ns0:v>0</ns0:v>
      </ns0:c>
      <ns0:c r="AD489" s="7">
        <ns0:f>IF(W489&gt;=0,A489,1001)</ns0:f>
        <ns0:v>485</ns0:v>
      </ns0:c>
      <ns0:c r="AE489" s="7">
        <ns0:f>IF(W489&lt;0,A489,0)</ns0:f>
        <ns0:v>0</ns0:v>
      </ns0:c>
      <ns0:c r="AF489" s="16">
        <ns0:f>IF(AND(OR('前提と出典'!$C$36+'前提と出典'!$C$38=0,U489&gt;=0),OR('前提と出典'!$C$37+'前提と出典'!$C$38=0,V489&gt;=0)),0,A489)</ns0:f>
        <ns0:v>0</ns0:v>
      </ns0:c>
      <ns0:c r="AG489" s="7">
        <ns0:f>IF(Z489&gt;=0,A489,1001)</ns0:f>
        <ns0:v>485</ns0:v>
      </ns0:c>
      <ns0:c r="AH489" s="4">
        <ns0:f>IF(Z489&lt;0,A489,0)</ns0:f>
        <ns0:v>0</ns0:v>
      </ns0:c>
      <ns0:c r="AI489" s="12">
        <ns0:f>IF(AND(OR('前提と出典'!$C$36+'前提と出典'!$C$38=0,X489&gt;=0),OR('前提と出典'!$C$37+'前提と出典'!$C$38=0,Y489&gt;=0)),0,A489)</ns0:f>
        <ns0:v>0</ns0:v>
      </ns0:c>
    </ns0:row>
    <ns0:row r="490" ht="24" customHeight="1">
      <ns0:c r="A490" s="4" t="n">
        <ns0:v>486</ns0:v>
      </ns0:c>
      <ns0:c r="B490" s="12">
        <ns0:f>A490*('前提と出典'!$C$36+'前提と出典'!$C$38)</ns0:f>
        <ns0:v>340.2</ns0:v>
      </ns0:c>
      <ns0:c r="C490" s="12">
        <ns0:f>A490*('前提と出典'!$C$37+'前提と出典'!$C$38)</ns0:f>
        <ns0:v>291.59999999999997</ns0:v>
      </ns0:c>
      <ns0:c r="D490" s="16">
        <ns0:f>A490*('前提と出典'!$C$36*'契約別単価'!C5+'前提と出典'!$C$37*'契約別単価'!C6+'前提と出典'!$C$38*'契約別単価'!C7)</ns0:f>
        <ns0:v>3497.027932960894</ns0:v>
      </ns0:c>
      <ns0:c r="E490" s="16">
        <ns0:f>A490*('前提と出典'!$C$36*'契約別単価'!E5+'前提と出典'!$C$37*'契約別単価'!E6+'前提と出典'!$C$38*'契約別単価'!E7)</ns0:f>
        <ns0:v>1221742.2406950837</ns0:v>
      </ns0:c>
      <ns0:c r="F490" s="16">
        <ns0:f>A490*('前提と出典'!$C$36*'契約別単価'!F5+'前提と出典'!$C$37*'契約別単価'!F6+'前提と出典'!$C$38*'契約別単価'!F7)</ns0:f>
        <ns0:v>355007.0656129927</ns0:v>
      </ns0:c>
      <ns0:c r="G490" s="16">
        <ns0:f>A490*('前提と出典'!$C$36*'契約別単価'!G5+'前提と出典'!$C$37*'契約別単価'!G6+'前提と出典'!$C$38*'契約別単価'!G7)</ns0:f>
        <ns0:v>967384.3575418994</ns0:v>
      </ns0:c>
      <ns0:c r="H490" s="16">
        <ns0:f>A490*('前提と出典'!$C$36*'契約別単価'!H5+'前提と出典'!$C$37*'契約別単価'!H6+'前提と出典'!$C$38*'契約別単価'!H7)</ns0:f>
        <ns0:v>335730.89020521595</ns0:v>
      </ns0:c>
      <ns0:c r="I490" s="16">
        <ns0:f>A490*('前提と出典'!$C$36*'契約別単価'!I5+'前提と出典'!$C$37*'契約別単価'!I6+'前提と出典'!$C$38*'契約別単価'!I7)</ns0:f>
        <ns0:v>20507.02793296089</ns0:v>
      </ns0:c>
      <ns0:c r="J490" s="16">
        <ns0:f>A490*('前提と出典'!$C$36*'契約別単価'!J5+'前提と出典'!$C$37*'契約別単価'!J6+'前提と出典'!$C$38*'契約別単価'!J7)</ns0:f>
        <ns0:v>47768.71824320705</ns0:v>
      </ns0:c>
      <ns0:c r="K490" s="16">
        <ns0:f>A490*('前提と出典'!$C$36*'契約別単価'!K5+'前提と出典'!$C$37*'契約別単価'!K6+'前提と出典'!$C$38*'契約別単価'!K7)</ns0:f>
        <ns0:v>204753.5195530726</ns0:v>
      </ns0:c>
      <ns0:c r="L490" s="16">
        <ns0:f>A490*('前提と出典'!$C$36*'契約別単価'!L5+'前提と出典'!$C$37*'契約別単価'!L6+'前提と出典'!$C$38*'契約別単価'!L7)</ns0:f>
        <ns0:v>166711.0296735072</ns0:v>
      </ns0:c>
      <ns0:c r="M490" s="16">
        <ns0:f>IF(('前提と出典'!$C$36+'前提と出典'!$C$38)=0,0,IF(B490&lt;=10,'前提と出典'!B73+'前提と出典'!C73,IF(B490&lt;=100,'前提と出典'!B74+'前提と出典'!C74,IF(B490&lt;=500,'前提と出典'!B75+'前提と出典'!C75,'前提と出典'!B76+'前提と出典'!C76))))</ns0:f>
        <ns0:v>40000</ns0:v>
      </ns0:c>
      <ns0:c r="N490" s="16">
        <ns0:f>IF(('前提と出典'!$C$37+'前提と出典'!$C$38)=0,0,IF(C490&lt;=10,'前提と出典'!D73+'前提と出典'!E73,IF(C490&lt;=100,'前提と出典'!D74+'前提と出典'!E74,IF(C490&lt;=500,'前提と出典'!D75+'前提と出典'!E75,'前提と出典'!D76+'前提と出典'!E76))))</ns0:f>
        <ns0:v>56510.9346263078</ns0:v>
      </ns0:c>
      <ns0:c r="O490" s="16">
        <ns0:f>IF('前提と出典'!$C$36+'前提と出典'!$C$38=0,0,'前提と出典'!$B$4*IF('前提と出典'!$B$20=0,MAX('前提と出典'!$B$6,D490*'前提と出典'!$B$5),'前提と出典'!$B$6+D490*'前提と出典'!$B$5))</ns0:f>
        <ns0:v>482589.8547486034</ns0:v>
      </ns0:c>
      <ns0:c r="P490" s="16">
        <ns0:f>(E490+G490)*(1-'前提と出典'!$B$7)-I490-K490-M490-O490</ns0:f>
        <ns0:v>1362467.638465815</ns0:v>
      </ns0:c>
      <ns0:c r="Q490" s="16">
        <ns0:f>(F490+H490)*(1-'前提と出典'!$B$7)-J490-L490-N490</ns0:f>
        <ns0:v>394880.70686573104</ns0:v>
      </ns0:c>
      <ns0:c r="R490" s="16">
        <ns0:f>P490-E490*'前提と出典'!$E$4</ns0:f>
        <ns0:v>995944.9662572898</ns0:v>
      </ns0:c>
      <ns0:c r="S490" s="16">
        <ns0:f>Q490-F490*'前提と出典'!$E$4</ns0:f>
        <ns0:v>288378.5871818333</ns0:v>
      </ns0:c>
      <ns0:c r="T490" s="7">
        <ns0:f>R490+S490</ns0:f>
        <ns0:v>1284323.553439123</ns0:v>
      </ns0:c>
      <ns0:c r="U490" s="16">
        <ns0:f>P490-E490*'前提と出典'!$E$5</ns0:f>
        <ns0:v>873770.7421877815</ns0:v>
      </ns0:c>
      <ns0:c r="V490" s="16">
        <ns0:f>Q490-F490*'前提と出典'!$E$5</ns0:f>
        <ns0:v>252877.880620534</ns0:v>
      </ns0:c>
      <ns0:c r="W490" s="7">
        <ns0:f>U490+V490</ns0:f>
        <ns0:v>1126648.6228083156</ns0:v>
      </ns0:c>
      <ns0:c r="X490" s="16">
        <ns0:f>P490-E490*'前提と出典'!$E$6</ns0:f>
        <ns0:v>751596.5181182732</ns0:v>
      </ns0:c>
      <ns0:c r="Y490" s="16">
        <ns0:f>Q490-F490*'前提と出典'!$E$6</ns0:f>
        <ns0:v>217377.17405923473</ns0:v>
      </ns0:c>
      <ns0:c r="Z490" s="7">
        <ns0:f>X490+Y490</ns0:f>
        <ns0:v>968973.692177508</ns0:v>
      </ns0:c>
      <ns0:c r="AA490" s="7">
        <ns0:f>IF(T490&gt;=0,A490,1001)</ns0:f>
        <ns0:v>486</ns0:v>
      </ns0:c>
      <ns0:c r="AB490" s="7">
        <ns0:f>IF(T490&lt;0,A490,0)</ns0:f>
        <ns0:v>0</ns0:v>
      </ns0:c>
      <ns0:c r="AC490" s="16">
        <ns0:f>IF(AND(OR('前提と出典'!$C$36+'前提と出典'!$C$38=0,R490&gt;=0),OR('前提と出典'!$C$37+'前提と出典'!$C$38=0,S490&gt;=0)),0,A490)</ns0:f>
        <ns0:v>0</ns0:v>
      </ns0:c>
      <ns0:c r="AD490" s="7">
        <ns0:f>IF(W490&gt;=0,A490,1001)</ns0:f>
        <ns0:v>486</ns0:v>
      </ns0:c>
      <ns0:c r="AE490" s="7">
        <ns0:f>IF(W490&lt;0,A490,0)</ns0:f>
        <ns0:v>0</ns0:v>
      </ns0:c>
      <ns0:c r="AF490" s="16">
        <ns0:f>IF(AND(OR('前提と出典'!$C$36+'前提と出典'!$C$38=0,U490&gt;=0),OR('前提と出典'!$C$37+'前提と出典'!$C$38=0,V490&gt;=0)),0,A490)</ns0:f>
        <ns0:v>0</ns0:v>
      </ns0:c>
      <ns0:c r="AG490" s="7">
        <ns0:f>IF(Z490&gt;=0,A490,1001)</ns0:f>
        <ns0:v>486</ns0:v>
      </ns0:c>
      <ns0:c r="AH490" s="4">
        <ns0:f>IF(Z490&lt;0,A490,0)</ns0:f>
        <ns0:v>0</ns0:v>
      </ns0:c>
      <ns0:c r="AI490" s="12">
        <ns0:f>IF(AND(OR('前提と出典'!$C$36+'前提と出典'!$C$38=0,X490&gt;=0),OR('前提と出典'!$C$37+'前提と出典'!$C$38=0,Y490&gt;=0)),0,A490)</ns0:f>
        <ns0:v>0</ns0:v>
      </ns0:c>
    </ns0:row>
    <ns0:row r="491" ht="24" customHeight="1">
      <ns0:c r="A491" s="4" t="n">
        <ns0:v>487</ns0:v>
      </ns0:c>
      <ns0:c r="B491" s="12">
        <ns0:f>A491*('前提と出典'!$C$36+'前提と出典'!$C$38)</ns0:f>
        <ns0:v>340.9</ns0:v>
      </ns0:c>
      <ns0:c r="C491" s="12">
        <ns0:f>A491*('前提と出典'!$C$37+'前提と出典'!$C$38)</ns0:f>
        <ns0:v>292.2</ns0:v>
      </ns0:c>
      <ns0:c r="D491" s="16">
        <ns0:f>A491*('前提と出典'!$C$36*'契約別単価'!C5+'前提と出典'!$C$37*'契約別単価'!C6+'前提と出典'!$C$38*'契約別単価'!C7)</ns0:f>
        <ns0:v>3504.223463687151</ns0:v>
      </ns0:c>
      <ns0:c r="E491" s="16">
        <ns0:f>A491*('前提と出典'!$C$36*'契約別単価'!E5+'前提と出典'!$C$37*'契約別単価'!E6+'前提と出典'!$C$38*'契約別単価'!E7)</ns0:f>
        <ns0:v>1224256.1136183247</ns0:v>
      </ns0:c>
      <ns0:c r="F491" s="16">
        <ns0:f>A491*('前提と出典'!$C$36*'契約別単価'!F5+'前提と出典'!$C$37*'契約別単価'!F6+'前提と出典'!$C$38*'契約別単価'!F7)</ns0:f>
        <ns0:v>355737.53282618814</ns0:v>
      </ns0:c>
      <ns0:c r="G491" s="16">
        <ns0:f>A491*('前提と出典'!$C$36*'契約別単価'!G5+'前提と出典'!$C$37*'契約別単価'!G6+'前提と出典'!$C$38*'契約別単価'!G7)</ns0:f>
        <ns0:v>969374.8603351954</ns0:v>
      </ns0:c>
      <ns0:c r="H491" s="16">
        <ns0:f>A491*('前提と出典'!$C$36*'契約別単価'!H5+'前提と出典'!$C$37*'契約別単価'!H6+'前提と出典'!$C$38*'契約別単価'!H7)</ns0:f>
        <ns0:v>336421.69450604974</ns0:v>
      </ns0:c>
      <ns0:c r="I491" s="16">
        <ns0:f>A491*('前提と出典'!$C$36*'契約別単価'!I5+'前提と出典'!$C$37*'契約別単価'!I6+'前提と出典'!$C$38*'契約別単価'!I7)</ns0:f>
        <ns0:v>20549.223463687147</ns0:v>
      </ns0:c>
      <ns0:c r="J491" s="16">
        <ns0:f>A491*('前提と出典'!$C$36*'契約別単価'!J5+'前提と出典'!$C$37*'契約別単価'!J6+'前提と出典'!$C$38*'契約別単価'!J7)</ns0:f>
        <ns0:v>47867.00778691735</ns0:v>
      </ns0:c>
      <ns0:c r="K491" s="16">
        <ns0:f>A491*('前提と出典'!$C$36*'契約別単価'!K5+'前提と出典'!$C$37*'契約別単価'!K6+'前提と出典'!$C$38*'契約別単価'!K7)</ns0:f>
        <ns0:v>205174.82309124767</ns0:v>
      </ns0:c>
      <ns0:c r="L491" s="16">
        <ns0:f>A491*('前提と出典'!$C$36*'契約別単価'!L5+'前提と出典'!$C$37*'契約別単価'!L6+'前提と出典'!$C$38*'契約別単価'!L7)</ns0:f>
        <ns0:v>167054.05648353498</ns0:v>
      </ns0:c>
      <ns0:c r="M491" s="16">
        <ns0:f>IF(('前提と出典'!$C$36+'前提と出典'!$C$38)=0,0,IF(B491&lt;=10,'前提と出典'!B73+'前提と出典'!C73,IF(B491&lt;=100,'前提と出典'!B74+'前提と出典'!C74,IF(B491&lt;=500,'前提と出典'!B75+'前提と出典'!C75,'前提と出典'!B76+'前提と出典'!C76))))</ns0:f>
        <ns0:v>40000</ns0:v>
      </ns0:c>
      <ns0:c r="N491" s="16">
        <ns0:f>IF(('前提と出典'!$C$37+'前提と出典'!$C$38)=0,0,IF(C491&lt;=10,'前提と出典'!D73+'前提と出典'!E73,IF(C491&lt;=100,'前提と出典'!D74+'前提と出典'!E74,IF(C491&lt;=500,'前提と出典'!D75+'前提と出典'!E75,'前提と出典'!D76+'前提と出典'!E76))))</ns0:f>
        <ns0:v>56510.9346263078</ns0:v>
      </ns0:c>
      <ns0:c r="O491" s="16">
        <ns0:f>IF('前提と出典'!$C$36+'前提と出典'!$C$38=0,0,'前提と出典'!$B$4*IF('前提と出典'!$B$20=0,MAX('前提と出典'!$B$6,D491*'前提と出典'!$B$5),'前提と出典'!$B$6+D491*'前提と出典'!$B$5))</ns0:f>
        <ns0:v>483582.8379888268</ns0:v>
      </ns0:c>
      <ns0:c r="P491" s="16">
        <ns0:f>(E491+G491)*(1-'前提と出典'!$B$7)-I491-K491-M491-O491</ns0:f>
        <ns0:v>1365353.3743474316</ns0:v>
      </ns0:c>
      <ns0:c r="Q491" s="16">
        <ns0:f>(F491+H491)*(1-'前提と出典'!$B$7)-J491-L491-N491</ns0:f>
        <ns0:v>395809.4962515171</ns0:v>
      </ns0:c>
      <ns0:c r="R491" s="16">
        <ns0:f>P491-E491*'前提と出典'!$E$4</ns0:f>
        <ns0:v>998076.5402619342</ns0:v>
      </ns0:c>
      <ns0:c r="S491" s="16">
        <ns0:f>Q491-F491*'前提と出典'!$E$4</ns0:f>
        <ns0:v>289088.2364036607</ns0:v>
      </ns0:c>
      <ns0:c r="T491" s="7">
        <ns0:f>R491+S491</ns0:f>
        <ns0:v>1287164.776665595</ns0:v>
      </ns0:c>
      <ns0:c r="U491" s="16">
        <ns0:f>P491-E491*'前提と出典'!$E$5</ns0:f>
        <ns0:v>875650.9289001018</ns0:v>
      </ns0:c>
      <ns0:c r="V491" s="16">
        <ns0:f>Q491-F491*'前提と出典'!$E$5</ns0:f>
        <ns0:v>253514.48312104185</ns0:v>
      </ns0:c>
      <ns0:c r="W491" s="7">
        <ns0:f>U491+V491</ns0:f>
        <ns0:v>1129165.4120211436</ns0:v>
      </ns0:c>
      <ns0:c r="X491" s="16">
        <ns0:f>P491-E491*'前提と出典'!$E$6</ns0:f>
        <ns0:v>753225.3175382694</ns0:v>
      </ns0:c>
      <ns0:c r="Y491" s="16">
        <ns0:f>Q491-F491*'前提と出典'!$E$6</ns0:f>
        <ns0:v>217940.72983842314</ns0:v>
      </ns0:c>
      <ns0:c r="Z491" s="7">
        <ns0:f>X491+Y491</ns0:f>
        <ns0:v>971166.0473766925</ns0:v>
      </ns0:c>
      <ns0:c r="AA491" s="7">
        <ns0:f>IF(T491&gt;=0,A491,1001)</ns0:f>
        <ns0:v>487</ns0:v>
      </ns0:c>
      <ns0:c r="AB491" s="7">
        <ns0:f>IF(T491&lt;0,A491,0)</ns0:f>
        <ns0:v>0</ns0:v>
      </ns0:c>
      <ns0:c r="AC491" s="16">
        <ns0:f>IF(AND(OR('前提と出典'!$C$36+'前提と出典'!$C$38=0,R491&gt;=0),OR('前提と出典'!$C$37+'前提と出典'!$C$38=0,S491&gt;=0)),0,A491)</ns0:f>
        <ns0:v>0</ns0:v>
      </ns0:c>
      <ns0:c r="AD491" s="7">
        <ns0:f>IF(W491&gt;=0,A491,1001)</ns0:f>
        <ns0:v>487</ns0:v>
      </ns0:c>
      <ns0:c r="AE491" s="7">
        <ns0:f>IF(W491&lt;0,A491,0)</ns0:f>
        <ns0:v>0</ns0:v>
      </ns0:c>
      <ns0:c r="AF491" s="16">
        <ns0:f>IF(AND(OR('前提と出典'!$C$36+'前提と出典'!$C$38=0,U491&gt;=0),OR('前提と出典'!$C$37+'前提と出典'!$C$38=0,V491&gt;=0)),0,A491)</ns0:f>
        <ns0:v>0</ns0:v>
      </ns0:c>
      <ns0:c r="AG491" s="7">
        <ns0:f>IF(Z491&gt;=0,A491,1001)</ns0:f>
        <ns0:v>487</ns0:v>
      </ns0:c>
      <ns0:c r="AH491" s="4">
        <ns0:f>IF(Z491&lt;0,A491,0)</ns0:f>
        <ns0:v>0</ns0:v>
      </ns0:c>
      <ns0:c r="AI491" s="12">
        <ns0:f>IF(AND(OR('前提と出典'!$C$36+'前提と出典'!$C$38=0,X491&gt;=0),OR('前提と出典'!$C$37+'前提と出典'!$C$38=0,Y491&gt;=0)),0,A491)</ns0:f>
        <ns0:v>0</ns0:v>
      </ns0:c>
    </ns0:row>
    <ns0:row r="492" ht="24" customHeight="1">
      <ns0:c r="A492" s="4" t="n">
        <ns0:v>488</ns0:v>
      </ns0:c>
      <ns0:c r="B492" s="12">
        <ns0:f>A492*('前提と出典'!$C$36+'前提と出典'!$C$38)</ns0:f>
        <ns0:v>341.59999999999997</ns0:v>
      </ns0:c>
      <ns0:c r="C492" s="12">
        <ns0:f>A492*('前提と出典'!$C$37+'前提と出典'!$C$38)</ns0:f>
        <ns0:v>292.8</ns0:v>
      </ns0:c>
      <ns0:c r="D492" s="16">
        <ns0:f>A492*('前提と出典'!$C$36*'契約別単価'!C5+'前提と出典'!$C$37*'契約別単価'!C6+'前提と出典'!$C$38*'契約別単価'!C7)</ns0:f>
        <ns0:v>3511.4189944134077</ns0:v>
      </ns0:c>
      <ns0:c r="E492" s="16">
        <ns0:f>A492*('前提と出典'!$C$36*'契約別単価'!E5+'前提と出典'!$C$37*'契約別単価'!E6+'前提と出典'!$C$38*'契約別単価'!E7)</ns0:f>
        <ns0:v>1226769.9865415657</ns0:v>
      </ns0:c>
      <ns0:c r="F492" s="16">
        <ns0:f>A492*('前提と出典'!$C$36*'契約別単価'!F5+'前提と出典'!$C$37*'契約別単価'!F6+'前提と出典'!$C$38*'契約別単価'!F7)</ns0:f>
        <ns0:v>356468.0000393836</ns0:v>
      </ns0:c>
      <ns0:c r="G492" s="16">
        <ns0:f>A492*('前提と出典'!$C$36*'契約別単価'!G5+'前提と出典'!$C$37*'契約別単価'!G6+'前提と出典'!$C$38*'契約別単価'!G7)</ns0:f>
        <ns0:v>971365.3631284916</ns0:v>
      </ns0:c>
      <ns0:c r="H492" s="16">
        <ns0:f>A492*('前提と出典'!$C$36*'契約別単価'!H5+'前提と出典'!$C$37*'契約別単価'!H6+'前提と出典'!$C$38*'契約別単価'!H7)</ns0:f>
        <ns0:v>337112.4988068835</ns0:v>
      </ns0:c>
      <ns0:c r="I492" s="16">
        <ns0:f>A492*('前提と出典'!$C$36*'契約別単価'!I5+'前提と出典'!$C$37*'契約別単価'!I6+'前提と出典'!$C$38*'契約別単価'!I7)</ns0:f>
        <ns0:v>20591.418994413405</ns0:v>
      </ns0:c>
      <ns0:c r="J492" s="16">
        <ns0:f>A492*('前提と出典'!$C$36*'契約別単価'!J5+'前提と出典'!$C$37*'契約別単価'!J6+'前提と出典'!$C$38*'契約別単価'!J7)</ns0:f>
        <ns0:v>47965.297330627654</ns0:v>
      </ns0:c>
      <ns0:c r="K492" s="16">
        <ns0:f>A492*('前提と出典'!$C$36*'契約別単価'!K5+'前提と出典'!$C$37*'契約別単価'!K6+'前提と出典'!$C$38*'契約別単価'!K7)</ns0:f>
        <ns0:v>205596.1266294227</ns0:v>
      </ns0:c>
      <ns0:c r="L492" s="16">
        <ns0:f>A492*('前提と出典'!$C$36*'契約別単価'!L5+'前提と出典'!$C$37*'契約別単価'!L6+'前提と出典'!$C$38*'契約別単価'!L7)</ns0:f>
        <ns0:v>167397.08329356278</ns0:v>
      </ns0:c>
      <ns0:c r="M492" s="16">
        <ns0:f>IF(('前提と出典'!$C$36+'前提と出典'!$C$38)=0,0,IF(B492&lt;=10,'前提と出典'!B73+'前提と出典'!C73,IF(B492&lt;=100,'前提と出典'!B74+'前提と出典'!C74,IF(B492&lt;=500,'前提と出典'!B75+'前提と出典'!C75,'前提と出典'!B76+'前提と出典'!C76))))</ns0:f>
        <ns0:v>40000</ns0:v>
      </ns0:c>
      <ns0:c r="N492" s="16">
        <ns0:f>IF(('前提と出典'!$C$37+'前提と出典'!$C$38)=0,0,IF(C492&lt;=10,'前提と出典'!D73+'前提と出典'!E73,IF(C492&lt;=100,'前提と出典'!D74+'前提と出典'!E74,IF(C492&lt;=500,'前提と出典'!D75+'前提と出典'!E75,'前提と出典'!D76+'前提と出典'!E76))))</ns0:f>
        <ns0:v>56510.9346263078</ns0:v>
      </ns0:c>
      <ns0:c r="O492" s="16">
        <ns0:f>IF('前提と出典'!$C$36+'前提と出典'!$C$38=0,0,'前提と出典'!$B$4*IF('前提と出典'!$B$20=0,MAX('前提と出典'!$B$6,D492*'前提と出典'!$B$5),'前提と出典'!$B$6+D492*'前提と出典'!$B$5))</ns0:f>
        <ns0:v>484575.8212290503</ns0:v>
      </ns0:c>
      <ns0:c r="P492" s="16">
        <ns0:f>(E492+G492)*(1-'前提と出典'!$B$7)-I492-K492-M492-O492</ns0:f>
        <ns0:v>1368239.1102290489</ns0:v>
      </ns0:c>
      <ns0:c r="Q492" s="16">
        <ns0:f>(F492+H492)*(1-'前提と出典'!$B$7)-J492-L492-N492</ns0:f>
        <ns0:v>396738.2856373032</ns0:v>
      </ns0:c>
      <ns0:c r="R492" s="16">
        <ns0:f>P492-E492*'前提と出典'!$E$4</ns0:f>
        <ns0:v>1000208.1142665789</ns0:v>
      </ns0:c>
      <ns0:c r="S492" s="16">
        <ns0:f>Q492-F492*'前提と出典'!$E$4</ns0:f>
        <ns0:v>289797.8856254881</ns0:v>
      </ns0:c>
      <ns0:c r="T492" s="7">
        <ns0:f>R492+S492</ns0:f>
        <ns0:v>1290005.9998920672</ns0:v>
      </ns0:c>
      <ns0:c r="U492" s="16">
        <ns0:f>P492-E492*'前提と出典'!$E$5</ns0:f>
        <ns0:v>877531.1156124225</ns0:v>
      </ns0:c>
      <ns0:c r="V492" s="16">
        <ns0:f>Q492-F492*'前提と出典'!$E$5</ns0:f>
        <ns0:v>254151.08562154975</ns0:v>
      </ns0:c>
      <ns0:c r="W492" s="7">
        <ns0:f>U492+V492</ns0:f>
        <ns0:v>1131682.2012339723</ns0:v>
      </ns0:c>
      <ns0:c r="X492" s="16">
        <ns0:f>P492-E492*'前提と出典'!$E$6</ns0:f>
        <ns0:v>754854.116958266</ns0:v>
      </ns0:c>
      <ns0:c r="Y492" s="16">
        <ns0:f>Q492-F492*'前提と出典'!$E$6</ns0:f>
        <ns0:v>218504.2856176115</ns0:v>
      </ns0:c>
      <ns0:c r="Z492" s="7">
        <ns0:f>X492+Y492</ns0:f>
        <ns0:v>973358.4025758775</ns0:v>
      </ns0:c>
      <ns0:c r="AA492" s="7">
        <ns0:f>IF(T492&gt;=0,A492,1001)</ns0:f>
        <ns0:v>488</ns0:v>
      </ns0:c>
      <ns0:c r="AB492" s="7">
        <ns0:f>IF(T492&lt;0,A492,0)</ns0:f>
        <ns0:v>0</ns0:v>
      </ns0:c>
      <ns0:c r="AC492" s="16">
        <ns0:f>IF(AND(OR('前提と出典'!$C$36+'前提と出典'!$C$38=0,R492&gt;=0),OR('前提と出典'!$C$37+'前提と出典'!$C$38=0,S492&gt;=0)),0,A492)</ns0:f>
        <ns0:v>0</ns0:v>
      </ns0:c>
      <ns0:c r="AD492" s="7">
        <ns0:f>IF(W492&gt;=0,A492,1001)</ns0:f>
        <ns0:v>488</ns0:v>
      </ns0:c>
      <ns0:c r="AE492" s="7">
        <ns0:f>IF(W492&lt;0,A492,0)</ns0:f>
        <ns0:v>0</ns0:v>
      </ns0:c>
      <ns0:c r="AF492" s="16">
        <ns0:f>IF(AND(OR('前提と出典'!$C$36+'前提と出典'!$C$38=0,U492&gt;=0),OR('前提と出典'!$C$37+'前提と出典'!$C$38=0,V492&gt;=0)),0,A492)</ns0:f>
        <ns0:v>0</ns0:v>
      </ns0:c>
      <ns0:c r="AG492" s="7">
        <ns0:f>IF(Z492&gt;=0,A492,1001)</ns0:f>
        <ns0:v>488</ns0:v>
      </ns0:c>
      <ns0:c r="AH492" s="4">
        <ns0:f>IF(Z492&lt;0,A492,0)</ns0:f>
        <ns0:v>0</ns0:v>
      </ns0:c>
      <ns0:c r="AI492" s="12">
        <ns0:f>IF(AND(OR('前提と出典'!$C$36+'前提と出典'!$C$38=0,X492&gt;=0),OR('前提と出典'!$C$37+'前提と出典'!$C$38=0,Y492&gt;=0)),0,A492)</ns0:f>
        <ns0:v>0</ns0:v>
      </ns0:c>
    </ns0:row>
    <ns0:row r="493" ht="24" customHeight="1">
      <ns0:c r="A493" s="4" t="n">
        <ns0:v>489</ns0:v>
      </ns0:c>
      <ns0:c r="B493" s="12">
        <ns0:f>A493*('前提と出典'!$C$36+'前提と出典'!$C$38)</ns0:f>
        <ns0:v>342.29999999999995</ns0:v>
      </ns0:c>
      <ns0:c r="C493" s="12">
        <ns0:f>A493*('前提と出典'!$C$37+'前提と出典'!$C$38)</ns0:f>
        <ns0:v>293.4</ns0:v>
      </ns0:c>
      <ns0:c r="D493" s="16">
        <ns0:f>A493*('前提と出典'!$C$36*'契約別単価'!C5+'前提と出典'!$C$37*'契約別単価'!C6+'前提と出典'!$C$38*'契約別単価'!C7)</ns0:f>
        <ns0:v>3518.6145251396647</ns0:v>
      </ns0:c>
      <ns0:c r="E493" s="16">
        <ns0:f>A493*('前提と出典'!$C$36*'契約別単価'!E5+'前提と出典'!$C$37*'契約別単価'!E6+'前提と出典'!$C$38*'契約別単価'!E7)</ns0:f>
        <ns0:v>1229283.8594648065</ns0:v>
      </ns0:c>
      <ns0:c r="F493" s="16">
        <ns0:f>A493*('前提と出典'!$C$36*'契約別単価'!F5+'前提と出典'!$C$37*'契約別単価'!F6+'前提と出典'!$C$38*'契約別単価'!F7)</ns0:f>
        <ns0:v>357198.46725257905</ns0:v>
      </ns0:c>
      <ns0:c r="G493" s="16">
        <ns0:f>A493*('前提と出典'!$C$36*'契約別単価'!G5+'前提と出典'!$C$37*'契約別単価'!G6+'前提と出典'!$C$38*'契約別単価'!G7)</ns0:f>
        <ns0:v>973355.8659217877</ns0:v>
      </ns0:c>
      <ns0:c r="H493" s="16">
        <ns0:f>A493*('前提と出典'!$C$36*'契約別単価'!H5+'前提と出典'!$C$37*'契約別単価'!H6+'前提と出典'!$C$38*'契約別単価'!H7)</ns0:f>
        <ns0:v>337803.3031077173</ns0:v>
      </ns0:c>
      <ns0:c r="I493" s="16">
        <ns0:f>A493*('前提と出典'!$C$36*'契約別単価'!I5+'前提と出典'!$C$37*'契約別単価'!I6+'前提と出典'!$C$38*'契約別単価'!I7)</ns0:f>
        <ns0:v>20633.614525139663</ns0:v>
      </ns0:c>
      <ns0:c r="J493" s="16">
        <ns0:f>A493*('前提と出典'!$C$36*'契約別単価'!J5+'前提と出典'!$C$37*'契約別単価'!J6+'前提と出典'!$C$38*'契約別単価'!J7)</ns0:f>
        <ns0:v>48063.586874337954</ns0:v>
      </ns0:c>
      <ns0:c r="K493" s="16">
        <ns0:f>A493*('前提と出典'!$C$36*'契約別単価'!K5+'前提と出典'!$C$37*'契約別単価'!K6+'前提と出典'!$C$38*'契約別単価'!K7)</ns0:f>
        <ns0:v>206017.43016759775</ns0:v>
      </ns0:c>
      <ns0:c r="L493" s="16">
        <ns0:f>A493*('前提と出典'!$C$36*'契約別単価'!L5+'前提と出典'!$C$37*'契約別単価'!L6+'前提と出典'!$C$38*'契約別単価'!L7)</ns0:f>
        <ns0:v>167740.11010359056</ns0:v>
      </ns0:c>
      <ns0:c r="M493" s="16">
        <ns0:f>IF(('前提と出典'!$C$36+'前提と出典'!$C$38)=0,0,IF(B493&lt;=10,'前提と出典'!B73+'前提と出典'!C73,IF(B493&lt;=100,'前提と出典'!B74+'前提と出典'!C74,IF(B493&lt;=500,'前提と出典'!B75+'前提と出典'!C75,'前提と出典'!B76+'前提と出典'!C76))))</ns0:f>
        <ns0:v>40000</ns0:v>
      </ns0:c>
      <ns0:c r="N493" s="16">
        <ns0:f>IF(('前提と出典'!$C$37+'前提と出典'!$C$38)=0,0,IF(C493&lt;=10,'前提と出典'!D73+'前提と出典'!E73,IF(C493&lt;=100,'前提と出典'!D74+'前提と出典'!E74,IF(C493&lt;=500,'前提と出典'!D75+'前提と出典'!E75,'前提と出典'!D76+'前提と出典'!E76))))</ns0:f>
        <ns0:v>56510.9346263078</ns0:v>
      </ns0:c>
      <ns0:c r="O493" s="16">
        <ns0:f>IF('前提と出典'!$C$36+'前提と出典'!$C$38=0,0,'前提と出典'!$B$4*IF('前提と出典'!$B$20=0,MAX('前提と出典'!$B$6,D493*'前提と出典'!$B$5),'前提と出典'!$B$6+D493*'前提と出典'!$B$5))</ns0:f>
        <ns0:v>485568.8044692738</ns0:v>
      </ns0:c>
      <ns0:c r="P493" s="16">
        <ns0:f>(E493+G493)*(1-'前提と出典'!$B$7)-I493-K493-M493-O493</ns0:f>
        <ns0:v>1371124.846110666</ns0:v>
      </ns0:c>
      <ns0:c r="Q493" s="16">
        <ns0:f>(F493+H493)*(1-'前提と出典'!$B$7)-J493-L493-N493</ns0:f>
        <ns0:v>397667.0750230894</ns0:v>
      </ns0:c>
      <ns0:c r="R493" s="16">
        <ns0:f>P493-E493*'前提と出典'!$E$4</ns0:f>
        <ns0:v>1002339.6882712241</ns0:v>
      </ns0:c>
      <ns0:c r="S493" s="16">
        <ns0:f>Q493-F493*'前提と出典'!$E$4</ns0:f>
        <ns0:v>290507.53484731575</ns0:v>
      </ns0:c>
      <ns0:c r="T493" s="7">
        <ns0:f>R493+S493</ns0:f>
        <ns0:v>1292847.22311854</ns0:v>
      </ns0:c>
      <ns0:c r="U493" s="16">
        <ns0:f>P493-E493*'前提と出典'!$E$5</ns0:f>
        <ns0:v>879411.3023247434</ns0:v>
      </ns0:c>
      <ns0:c r="V493" s="16">
        <ns0:f>Q493-F493*'前提と出典'!$E$5</ns0:f>
        <ns0:v>254787.68812205782</ns0:v>
      </ns0:c>
      <ns0:c r="W493" s="7">
        <ns0:f>U493+V493</ns0:f>
        <ns0:v>1134198.9904468013</ns0:v>
      </ns0:c>
      <ns0:c r="X493" s="16">
        <ns0:f>P493-E493*'前提と出典'!$E$6</ns0:f>
        <ns0:v>756482.9163782628</ns0:v>
      </ns0:c>
      <ns0:c r="Y493" s="16">
        <ns0:f>Q493-F493*'前提と出典'!$E$6</ns0:f>
        <ns0:v>219067.8413967999</ns0:v>
      </ns0:c>
      <ns0:c r="Z493" s="7">
        <ns0:f>X493+Y493</ns0:f>
        <ns0:v>975550.7577750627</ns0:v>
      </ns0:c>
      <ns0:c r="AA493" s="7">
        <ns0:f>IF(T493&gt;=0,A493,1001)</ns0:f>
        <ns0:v>489</ns0:v>
      </ns0:c>
      <ns0:c r="AB493" s="7">
        <ns0:f>IF(T493&lt;0,A493,0)</ns0:f>
        <ns0:v>0</ns0:v>
      </ns0:c>
      <ns0:c r="AC493" s="16">
        <ns0:f>IF(AND(OR('前提と出典'!$C$36+'前提と出典'!$C$38=0,R493&gt;=0),OR('前提と出典'!$C$37+'前提と出典'!$C$38=0,S493&gt;=0)),0,A493)</ns0:f>
        <ns0:v>0</ns0:v>
      </ns0:c>
      <ns0:c r="AD493" s="7">
        <ns0:f>IF(W493&gt;=0,A493,1001)</ns0:f>
        <ns0:v>489</ns0:v>
      </ns0:c>
      <ns0:c r="AE493" s="7">
        <ns0:f>IF(W493&lt;0,A493,0)</ns0:f>
        <ns0:v>0</ns0:v>
      </ns0:c>
      <ns0:c r="AF493" s="16">
        <ns0:f>IF(AND(OR('前提と出典'!$C$36+'前提と出典'!$C$38=0,U493&gt;=0),OR('前提と出典'!$C$37+'前提と出典'!$C$38=0,V493&gt;=0)),0,A493)</ns0:f>
        <ns0:v>0</ns0:v>
      </ns0:c>
      <ns0:c r="AG493" s="7">
        <ns0:f>IF(Z493&gt;=0,A493,1001)</ns0:f>
        <ns0:v>489</ns0:v>
      </ns0:c>
      <ns0:c r="AH493" s="4">
        <ns0:f>IF(Z493&lt;0,A493,0)</ns0:f>
        <ns0:v>0</ns0:v>
      </ns0:c>
      <ns0:c r="AI493" s="12">
        <ns0:f>IF(AND(OR('前提と出典'!$C$36+'前提と出典'!$C$38=0,X493&gt;=0),OR('前提と出典'!$C$37+'前提と出典'!$C$38=0,Y493&gt;=0)),0,A493)</ns0:f>
        <ns0:v>0</ns0:v>
      </ns0:c>
    </ns0:row>
    <ns0:row r="494" ht="24" customHeight="1">
      <ns0:c r="A494" s="4" t="n">
        <ns0:v>490</ns0:v>
      </ns0:c>
      <ns0:c r="B494" s="12">
        <ns0:f>A494*('前提と出典'!$C$36+'前提と出典'!$C$38)</ns0:f>
        <ns0:v>343</ns0:v>
      </ns0:c>
      <ns0:c r="C494" s="12">
        <ns0:f>A494*('前提と出典'!$C$37+'前提と出典'!$C$38)</ns0:f>
        <ns0:v>294</ns0:v>
      </ns0:c>
      <ns0:c r="D494" s="16">
        <ns0:f>A494*('前提と出典'!$C$36*'契約別単価'!C5+'前提と出典'!$C$37*'契約別単価'!C6+'前提と出典'!$C$38*'契約別単価'!C7)</ns0:f>
        <ns0:v>3525.8100558659216</ns0:v>
      </ns0:c>
      <ns0:c r="E494" s="16">
        <ns0:f>A494*('前提と出典'!$C$36*'契約別単価'!E5+'前提と出典'!$C$37*'契約別単価'!E6+'前提と出典'!$C$38*'契約別単価'!E7)</ns0:f>
        <ns0:v>1231797.7323880475</ns0:v>
      </ns0:c>
      <ns0:c r="F494" s="16">
        <ns0:f>A494*('前提と出典'!$C$36*'契約別単価'!F5+'前提と出典'!$C$37*'契約別単価'!F6+'前提と出典'!$C$38*'契約別単価'!F7)</ns0:f>
        <ns0:v>357928.9344657745</ns0:v>
      </ns0:c>
      <ns0:c r="G494" s="16">
        <ns0:f>A494*('前提と出典'!$C$36*'契約別単価'!G5+'前提と出典'!$C$37*'契約別単価'!G6+'前提と出典'!$C$38*'契約別単価'!G7)</ns0:f>
        <ns0:v>975346.3687150838</ns0:v>
      </ns0:c>
      <ns0:c r="H494" s="16">
        <ns0:f>A494*('前提と出典'!$C$36*'契約別単価'!H5+'前提と出典'!$C$37*'契約別単価'!H6+'前提と出典'!$C$38*'契約別単価'!H7)</ns0:f>
        <ns0:v>338494.1074085511</ns0:v>
      </ns0:c>
      <ns0:c r="I494" s="16">
        <ns0:f>A494*('前提と出典'!$C$36*'契約別単価'!I5+'前提と出典'!$C$37*'契約別単価'!I6+'前提と出典'!$C$38*'契約別単価'!I7)</ns0:f>
        <ns0:v>20675.810055865917</ns0:v>
      </ns0:c>
      <ns0:c r="J494" s="16">
        <ns0:f>A494*('前提と出典'!$C$36*'契約別単価'!J5+'前提と出典'!$C$37*'契約別単価'!J6+'前提と出典'!$C$38*'契約別単価'!J7)</ns0:f>
        <ns0:v>48161.87641804826</ns0:v>
      </ns0:c>
      <ns0:c r="K494" s="16">
        <ns0:f>A494*('前提と出典'!$C$36*'契約別単価'!K5+'前提と出典'!$C$37*'契約別単価'!K6+'前提と出典'!$C$38*'契約別単価'!K7)</ns0:f>
        <ns0:v>206438.7337057728</ns0:v>
      </ns0:c>
      <ns0:c r="L494" s="16">
        <ns0:f>A494*('前提と出典'!$C$36*'契約別単価'!L5+'前提と出典'!$C$37*'契約別単価'!L6+'前提と出典'!$C$38*'契約別単価'!L7)</ns0:f>
        <ns0:v>168083.13691361836</ns0:v>
      </ns0:c>
      <ns0:c r="M494" s="16">
        <ns0:f>IF(('前提と出典'!$C$36+'前提と出典'!$C$38)=0,0,IF(B494&lt;=10,'前提と出典'!B73+'前提と出典'!C73,IF(B494&lt;=100,'前提と出典'!B74+'前提と出典'!C74,IF(B494&lt;=500,'前提と出典'!B75+'前提と出典'!C75,'前提と出典'!B76+'前提と出典'!C76))))</ns0:f>
        <ns0:v>40000</ns0:v>
      </ns0:c>
      <ns0:c r="N494" s="16">
        <ns0:f>IF(('前提と出典'!$C$37+'前提と出典'!$C$38)=0,0,IF(C494&lt;=10,'前提と出典'!D73+'前提と出典'!E73,IF(C494&lt;=100,'前提と出典'!D74+'前提と出典'!E74,IF(C494&lt;=500,'前提と出典'!D75+'前提と出典'!E75,'前提と出典'!D76+'前提と出典'!E76))))</ns0:f>
        <ns0:v>56510.9346263078</ns0:v>
      </ns0:c>
      <ns0:c r="O494" s="16">
        <ns0:f>IF('前提と出典'!$C$36+'前提と出典'!$C$38=0,0,'前提と出典'!$B$4*IF('前提と出典'!$B$20=0,MAX('前提と出典'!$B$6,D494*'前提と出典'!$B$5),'前提と出典'!$B$6+D494*'前提と出典'!$B$5))</ns0:f>
        <ns0:v>486561.7877094972</ns0:v>
      </ns0:c>
      <ns0:c r="P494" s="16">
        <ns0:f>(E494+G494)*(1-'前提と出典'!$B$7)-I494-K494-M494-O494</ns0:f>
        <ns0:v>1374010.5819922825</ns0:v>
      </ns0:c>
      <ns0:c r="Q494" s="16">
        <ns0:f>(F494+H494)*(1-'前提と出典'!$B$7)-J494-L494-N494</ns0:f>
        <ns0:v>398595.8644088754</ns0:v>
      </ns0:c>
      <ns0:c r="R494" s="16">
        <ns0:f>P494-E494*'前提と出典'!$E$4</ns0:f>
        <ns0:v>1004471.2622758683</ns0:v>
      </ns0:c>
      <ns0:c r="S494" s="16">
        <ns0:f>Q494-F494*'前提と出典'!$E$4</ns0:f>
        <ns0:v>291217.1840691431</ns0:v>
      </ns0:c>
      <ns0:c r="T494" s="7">
        <ns0:f>R494+S494</ns0:f>
        <ns0:v>1295688.4463450115</ns0:v>
      </ns0:c>
      <ns0:c r="U494" s="16">
        <ns0:f>P494-E494*'前提と出典'!$E$5</ns0:f>
        <ns0:v>881291.4890370634</ns0:v>
      </ns0:c>
      <ns0:c r="V494" s="16">
        <ns0:f>Q494-F494*'前提と出典'!$E$5</ns0:f>
        <ns0:v>255424.2906225656</ns0:v>
      </ns0:c>
      <ns0:c r="W494" s="7">
        <ns0:f>U494+V494</ns0:f>
        <ns0:v>1136715.779659629</ns0:v>
      </ns0:c>
      <ns0:c r="X494" s="16">
        <ns0:f>P494-E494*'前提と出典'!$E$6</ns0:f>
        <ns0:v>758111.7157982588</ns0:v>
      </ns0:c>
      <ns0:c r="Y494" s="16">
        <ns0:f>Q494-F494*'前提と出典'!$E$6</ns0:f>
        <ns0:v>219631.39717598812</ns0:v>
      </ns0:c>
      <ns0:c r="Z494" s="7">
        <ns0:f>X494+Y494</ns0:f>
        <ns0:v>977743.112974247</ns0:v>
      </ns0:c>
      <ns0:c r="AA494" s="7">
        <ns0:f>IF(T494&gt;=0,A494,1001)</ns0:f>
        <ns0:v>490</ns0:v>
      </ns0:c>
      <ns0:c r="AB494" s="7">
        <ns0:f>IF(T494&lt;0,A494,0)</ns0:f>
        <ns0:v>0</ns0:v>
      </ns0:c>
      <ns0:c r="AC494" s="16">
        <ns0:f>IF(AND(OR('前提と出典'!$C$36+'前提と出典'!$C$38=0,R494&gt;=0),OR('前提と出典'!$C$37+'前提と出典'!$C$38=0,S494&gt;=0)),0,A494)</ns0:f>
        <ns0:v>0</ns0:v>
      </ns0:c>
      <ns0:c r="AD494" s="7">
        <ns0:f>IF(W494&gt;=0,A494,1001)</ns0:f>
        <ns0:v>490</ns0:v>
      </ns0:c>
      <ns0:c r="AE494" s="7">
        <ns0:f>IF(W494&lt;0,A494,0)</ns0:f>
        <ns0:v>0</ns0:v>
      </ns0:c>
      <ns0:c r="AF494" s="16">
        <ns0:f>IF(AND(OR('前提と出典'!$C$36+'前提と出典'!$C$38=0,U494&gt;=0),OR('前提と出典'!$C$37+'前提と出典'!$C$38=0,V494&gt;=0)),0,A494)</ns0:f>
        <ns0:v>0</ns0:v>
      </ns0:c>
      <ns0:c r="AG494" s="7">
        <ns0:f>IF(Z494&gt;=0,A494,1001)</ns0:f>
        <ns0:v>490</ns0:v>
      </ns0:c>
      <ns0:c r="AH494" s="4">
        <ns0:f>IF(Z494&lt;0,A494,0)</ns0:f>
        <ns0:v>0</ns0:v>
      </ns0:c>
      <ns0:c r="AI494" s="12">
        <ns0:f>IF(AND(OR('前提と出典'!$C$36+'前提と出典'!$C$38=0,X494&gt;=0),OR('前提と出典'!$C$37+'前提と出典'!$C$38=0,Y494&gt;=0)),0,A494)</ns0:f>
        <ns0:v>0</ns0:v>
      </ns0:c>
    </ns0:row>
    <ns0:row r="495" ht="24" customHeight="1">
      <ns0:c r="A495" s="4" t="n">
        <ns0:v>491</ns0:v>
      </ns0:c>
      <ns0:c r="B495" s="12">
        <ns0:f>A495*('前提と出典'!$C$36+'前提と出典'!$C$38)</ns0:f>
        <ns0:v>343.7</ns0:v>
      </ns0:c>
      <ns0:c r="C495" s="12">
        <ns0:f>A495*('前提と出典'!$C$37+'前提と出典'!$C$38)</ns0:f>
        <ns0:v>294.59999999999997</ns0:v>
      </ns0:c>
      <ns0:c r="D495" s="16">
        <ns0:f>A495*('前提と出典'!$C$36*'契約別単価'!C5+'前提と出典'!$C$37*'契約別単価'!C6+'前提と出典'!$C$38*'契約別単価'!C7)</ns0:f>
        <ns0:v>3533.0055865921786</ns0:v>
      </ns0:c>
      <ns0:c r="E495" s="16">
        <ns0:f>A495*('前提と出典'!$C$36*'契約別単価'!E5+'前提と出典'!$C$37*'契約別単価'!E6+'前提と出典'!$C$38*'契約別単価'!E7)</ns0:f>
        <ns0:v>1234311.6053112885</ns0:v>
      </ns0:c>
      <ns0:c r="F495" s="16">
        <ns0:f>A495*('前提と出典'!$C$36*'契約別単価'!F5+'前提と出典'!$C$37*'契約別単価'!F6+'前提と出典'!$C$38*'契約別単価'!F7)</ns0:f>
        <ns0:v>358659.40167896997</ns0:v>
      </ns0:c>
      <ns0:c r="G495" s="16">
        <ns0:f>A495*('前提と出典'!$C$36*'契約別単価'!G5+'前提と出典'!$C$37*'契約別単価'!G6+'前提と出典'!$C$38*'契約別単価'!G7)</ns0:f>
        <ns0:v>977336.8715083798</ns0:v>
      </ns0:c>
      <ns0:c r="H495" s="16">
        <ns0:f>A495*('前提と出典'!$C$36*'契約別単価'!H5+'前提と出典'!$C$37*'契約別単価'!H6+'前提と出典'!$C$38*'契約別単価'!H7)</ns0:f>
        <ns0:v>339184.9117093848</ns0:v>
      </ns0:c>
      <ns0:c r="I495" s="16">
        <ns0:f>A495*('前提と出典'!$C$36*'契約別単価'!I5+'前提と出典'!$C$37*'契約別単価'!I6+'前提と出典'!$C$38*'契約別単価'!I7)</ns0:f>
        <ns0:v>20718.005586592175</ns0:v>
      </ns0:c>
      <ns0:c r="J495" s="16">
        <ns0:f>A495*('前提と出典'!$C$36*'契約別単価'!J5+'前提と出典'!$C$37*'契約別単価'!J6+'前提と出典'!$C$38*'契約別単価'!J7)</ns0:f>
        <ns0:v>48260.16596175856</ns0:v>
      </ns0:c>
      <ns0:c r="K495" s="16">
        <ns0:f>A495*('前提と出典'!$C$36*'契約別単価'!K5+'前提と出典'!$C$37*'契約別単価'!K6+'前提と出典'!$C$38*'契約別単価'!K7)</ns0:f>
        <ns0:v>206860.03724394785</ns0:v>
      </ns0:c>
      <ns0:c r="L495" s="16">
        <ns0:f>A495*('前提と出典'!$C$36*'契約別単価'!L5+'前提と出典'!$C$37*'契約別単価'!L6+'前提と出典'!$C$38*'契約別単価'!L7)</ns0:f>
        <ns0:v>168426.16372364617</ns0:v>
      </ns0:c>
      <ns0:c r="M495" s="16">
        <ns0:f>IF(('前提と出典'!$C$36+'前提と出典'!$C$38)=0,0,IF(B495&lt;=10,'前提と出典'!B73+'前提と出典'!C73,IF(B495&lt;=100,'前提と出典'!B74+'前提と出典'!C74,IF(B495&lt;=500,'前提と出典'!B75+'前提と出典'!C75,'前提と出典'!B76+'前提と出典'!C76))))</ns0:f>
        <ns0:v>40000</ns0:v>
      </ns0:c>
      <ns0:c r="N495" s="16">
        <ns0:f>IF(('前提と出典'!$C$37+'前提と出典'!$C$38)=0,0,IF(C495&lt;=10,'前提と出典'!D73+'前提と出典'!E73,IF(C495&lt;=100,'前提と出典'!D74+'前提と出典'!E74,IF(C495&lt;=500,'前提と出典'!D75+'前提と出典'!E75,'前提と出典'!D76+'前提と出典'!E76))))</ns0:f>
        <ns0:v>56510.9346263078</ns0:v>
      </ns0:c>
      <ns0:c r="O495" s="16">
        <ns0:f>IF('前提と出典'!$C$36+'前提と出典'!$C$38=0,0,'前提と出典'!$B$4*IF('前提と出典'!$B$20=0,MAX('前提と出典'!$B$6,D495*'前提と出典'!$B$5),'前提と出典'!$B$6+D495*'前提と出典'!$B$5))</ns0:f>
        <ns0:v>487554.77094972064</ns0:v>
      </ns0:c>
      <ns0:c r="P495" s="16">
        <ns0:f>(E495+G495)*(1-'前提と出典'!$B$7)-I495-K495-M495-O495</ns0:f>
        <ns0:v>1376896.3178738996</ns0:v>
      </ns0:c>
      <ns0:c r="Q495" s="16">
        <ns0:f>(F495+H495)*(1-'前提と出典'!$B$7)-J495-L495-N495</ns0:f>
        <ns0:v>399524.6537946615</ns0:v>
      </ns0:c>
      <ns0:c r="R495" s="16">
        <ns0:f>P495-E495*'前提と出典'!$E$4</ns0:f>
        <ns0:v>1006602.8362805131</ns0:v>
      </ns0:c>
      <ns0:c r="S495" s="16">
        <ns0:f>Q495-F495*'前提と出典'!$E$4</ns0:f>
        <ns0:v>291926.83329097054</ns0:v>
      </ns0:c>
      <ns0:c r="T495" s="7">
        <ns0:f>R495+S495</ns0:f>
        <ns0:v>1298529.6695714835</ns0:v>
      </ns0:c>
      <ns0:c r="U495" s="16">
        <ns0:f>P495-E495*'前提と出典'!$E$5</ns0:f>
        <ns0:v>883171.6757493841</ns0:v>
      </ns0:c>
      <ns0:c r="V495" s="16">
        <ns0:f>Q495-F495*'前提と出典'!$E$5</ns0:f>
        <ns0:v>256060.8931230735</ns0:v>
      </ns0:c>
      <ns0:c r="W495" s="7">
        <ns0:f>U495+V495</ns0:f>
        <ns0:v>1139232.5688724576</ns0:v>
      </ns0:c>
      <ns0:c r="X495" s="16">
        <ns0:f>P495-E495*'前提と出典'!$E$6</ns0:f>
        <ns0:v>759740.5152182553</ns0:v>
      </ns0:c>
      <ns0:c r="Y495" s="16">
        <ns0:f>Q495-F495*'前提と出典'!$E$6</ns0:f>
        <ns0:v>220194.9529551766</ns0:v>
      </ns0:c>
      <ns0:c r="Z495" s="7">
        <ns0:f>X495+Y495</ns0:f>
        <ns0:v>979935.4681734319</ns0:v>
      </ns0:c>
      <ns0:c r="AA495" s="7">
        <ns0:f>IF(T495&gt;=0,A495,1001)</ns0:f>
        <ns0:v>491</ns0:v>
      </ns0:c>
      <ns0:c r="AB495" s="7">
        <ns0:f>IF(T495&lt;0,A495,0)</ns0:f>
        <ns0:v>0</ns0:v>
      </ns0:c>
      <ns0:c r="AC495" s="16">
        <ns0:f>IF(AND(OR('前提と出典'!$C$36+'前提と出典'!$C$38=0,R495&gt;=0),OR('前提と出典'!$C$37+'前提と出典'!$C$38=0,S495&gt;=0)),0,A495)</ns0:f>
        <ns0:v>0</ns0:v>
      </ns0:c>
      <ns0:c r="AD495" s="7">
        <ns0:f>IF(W495&gt;=0,A495,1001)</ns0:f>
        <ns0:v>491</ns0:v>
      </ns0:c>
      <ns0:c r="AE495" s="7">
        <ns0:f>IF(W495&lt;0,A495,0)</ns0:f>
        <ns0:v>0</ns0:v>
      </ns0:c>
      <ns0:c r="AF495" s="16">
        <ns0:f>IF(AND(OR('前提と出典'!$C$36+'前提と出典'!$C$38=0,U495&gt;=0),OR('前提と出典'!$C$37+'前提と出典'!$C$38=0,V495&gt;=0)),0,A495)</ns0:f>
        <ns0:v>0</ns0:v>
      </ns0:c>
      <ns0:c r="AG495" s="7">
        <ns0:f>IF(Z495&gt;=0,A495,1001)</ns0:f>
        <ns0:v>491</ns0:v>
      </ns0:c>
      <ns0:c r="AH495" s="4">
        <ns0:f>IF(Z495&lt;0,A495,0)</ns0:f>
        <ns0:v>0</ns0:v>
      </ns0:c>
      <ns0:c r="AI495" s="12">
        <ns0:f>IF(AND(OR('前提と出典'!$C$36+'前提と出典'!$C$38=0,X495&gt;=0),OR('前提と出典'!$C$37+'前提と出典'!$C$38=0,Y495&gt;=0)),0,A495)</ns0:f>
        <ns0:v>0</ns0:v>
      </ns0:c>
    </ns0:row>
    <ns0:row r="496" ht="24" customHeight="1">
      <ns0:c r="A496" s="4" t="n">
        <ns0:v>492</ns0:v>
      </ns0:c>
      <ns0:c r="B496" s="12">
        <ns0:f>A496*('前提と出典'!$C$36+'前提と出典'!$C$38)</ns0:f>
        <ns0:v>344.4</ns0:v>
      </ns0:c>
      <ns0:c r="C496" s="12">
        <ns0:f>A496*('前提と出典'!$C$37+'前提と出典'!$C$38)</ns0:f>
        <ns0:v>295.2</ns0:v>
      </ns0:c>
      <ns0:c r="D496" s="16">
        <ns0:f>A496*('前提と出典'!$C$36*'契約別単価'!C5+'前提と出典'!$C$37*'契約別単価'!C6+'前提と出典'!$C$38*'契約別単価'!C7)</ns0:f>
        <ns0:v>3540.2011173184355</ns0:v>
      </ns0:c>
      <ns0:c r="E496" s="16">
        <ns0:f>A496*('前提と出典'!$C$36*'契約別単価'!E5+'前提と出典'!$C$37*'契約別単価'!E6+'前提と出典'!$C$38*'契約別単価'!E7)</ns0:f>
        <ns0:v>1236825.4782345293</ns0:v>
      </ns0:c>
      <ns0:c r="F496" s="16">
        <ns0:f>A496*('前提と出典'!$C$36*'契約別単価'!F5+'前提と出典'!$C$37*'契約別単価'!F6+'前提と出典'!$C$38*'契約別単価'!F7)</ns0:f>
        <ns0:v>359389.8688921654</ns0:v>
      </ns0:c>
      <ns0:c r="G496" s="16">
        <ns0:f>A496*('前提と出典'!$C$36*'契約別単価'!G5+'前提と出典'!$C$37*'契約別単価'!G6+'前提と出典'!$C$38*'契約別単価'!G7)</ns0:f>
        <ns0:v>979327.3743016759</ns0:v>
      </ns0:c>
      <ns0:c r="H496" s="16">
        <ns0:f>A496*('前提と出典'!$C$36*'契約別単価'!H5+'前提と出典'!$C$37*'契約別単価'!H6+'前提と出典'!$C$38*'契約別単価'!H7)</ns0:f>
        <ns0:v>339875.7160102186</ns0:v>
      </ns0:c>
      <ns0:c r="I496" s="16">
        <ns0:f>A496*('前提と出典'!$C$36*'契約別単価'!I5+'前提と出典'!$C$37*'契約別単価'!I6+'前提と出典'!$C$38*'契約別単価'!I7)</ns0:f>
        <ns0:v>20760.201117318433</ns0:v>
      </ns0:c>
      <ns0:c r="J496" s="16">
        <ns0:f>A496*('前提と出典'!$C$36*'契約別単価'!J5+'前提と出典'!$C$37*'契約別単価'!J6+'前提と出典'!$C$38*'契約別単価'!J7)</ns0:f>
        <ns0:v>48358.45550546886</ns0:v>
      </ns0:c>
      <ns0:c r="K496" s="16">
        <ns0:f>A496*('前提と出典'!$C$36*'契約別単価'!K5+'前提と出典'!$C$37*'契約別単価'!K6+'前提と出典'!$C$38*'契約別単価'!K7)</ns0:f>
        <ns0:v>207281.3407821229</ns0:v>
      </ns0:c>
      <ns0:c r="L496" s="16">
        <ns0:f>A496*('前提と出典'!$C$36*'契約別単価'!L5+'前提と出典'!$C$37*'契約別単価'!L6+'前提と出典'!$C$38*'契約別単価'!L7)</ns0:f>
        <ns0:v>168769.19053367394</ns0:v>
      </ns0:c>
      <ns0:c r="M496" s="16">
        <ns0:f>IF(('前提と出典'!$C$36+'前提と出典'!$C$38)=0,0,IF(B496&lt;=10,'前提と出典'!B73+'前提と出典'!C73,IF(B496&lt;=100,'前提と出典'!B74+'前提と出典'!C74,IF(B496&lt;=500,'前提と出典'!B75+'前提と出典'!C75,'前提と出典'!B76+'前提と出典'!C76))))</ns0:f>
        <ns0:v>40000</ns0:v>
      </ns0:c>
      <ns0:c r="N496" s="16">
        <ns0:f>IF(('前提と出典'!$C$37+'前提と出典'!$C$38)=0,0,IF(C496&lt;=10,'前提と出典'!D73+'前提と出典'!E73,IF(C496&lt;=100,'前提と出典'!D74+'前提と出典'!E74,IF(C496&lt;=500,'前提と出典'!D75+'前提と出典'!E75,'前提と出典'!D76+'前提と出典'!E76))))</ns0:f>
        <ns0:v>56510.9346263078</ns0:v>
      </ns0:c>
      <ns0:c r="O496" s="16">
        <ns0:f>IF('前提と出典'!$C$36+'前提と出典'!$C$38=0,0,'前提と出典'!$B$4*IF('前提と出典'!$B$20=0,MAX('前提と出典'!$B$6,D496*'前提と出典'!$B$5),'前提と出典'!$B$6+D496*'前提と出典'!$B$5))</ns0:f>
        <ns0:v>488547.7541899441</ns0:v>
      </ns0:c>
      <ns0:c r="P496" s="16">
        <ns0:f>(E496+G496)*(1-'前提と出典'!$B$7)-I496-K496-M496-O496</ns0:f>
        <ns0:v>1379782.0537555164</ns0:v>
      </ns0:c>
      <ns0:c r="Q496" s="16">
        <ns0:f>(F496+H496)*(1-'前提と出典'!$B$7)-J496-L496-N496</ns0:f>
        <ns0:v>400453.44318044756</ns0:v>
      </ns0:c>
      <ns0:c r="R496" s="16">
        <ns0:f>P496-E496*'前提と出典'!$E$4</ns0:f>
        <ns0:v>1008734.4102851576</ns0:v>
      </ns0:c>
      <ns0:c r="S496" s="16">
        <ns0:f>Q496-F496*'前提と出典'!$E$4</ns0:f>
        <ns0:v>292636.4825127979</ns0:v>
      </ns0:c>
      <ns0:c r="T496" s="7">
        <ns0:f>R496+S496</ns0:f>
        <ns0:v>1301370.8927979555</ns0:v>
      </ns0:c>
      <ns0:c r="U496" s="16">
        <ns0:f>P496-E496*'前提と出典'!$E$5</ns0:f>
        <ns0:v>885051.8624617048</ns0:v>
      </ns0:c>
      <ns0:c r="V496" s="16">
        <ns0:f>Q496-F496*'前提と出典'!$E$5</ns0:f>
        <ns0:v>256697.49562358134</ns0:v>
      </ns0:c>
      <ns0:c r="W496" s="7">
        <ns0:f>U496+V496</ns0:f>
        <ns0:v>1141749.358085286</ns0:v>
      </ns0:c>
      <ns0:c r="X496" s="16">
        <ns0:f>P496-E496*'前提と出典'!$E$6</ns0:f>
        <ns0:v>761369.3146382517</ns0:v>
      </ns0:c>
      <ns0:c r="Y496" s="16">
        <ns0:f>Q496-F496*'前提と出典'!$E$6</ns0:f>
        <ns0:v>220758.508734365</ns0:v>
      </ns0:c>
      <ns0:c r="Z496" s="7">
        <ns0:f>X496+Y496</ns0:f>
        <ns0:v>982127.8233726167</ns0:v>
      </ns0:c>
      <ns0:c r="AA496" s="7">
        <ns0:f>IF(T496&gt;=0,A496,1001)</ns0:f>
        <ns0:v>492</ns0:v>
      </ns0:c>
      <ns0:c r="AB496" s="7">
        <ns0:f>IF(T496&lt;0,A496,0)</ns0:f>
        <ns0:v>0</ns0:v>
      </ns0:c>
      <ns0:c r="AC496" s="16">
        <ns0:f>IF(AND(OR('前提と出典'!$C$36+'前提と出典'!$C$38=0,R496&gt;=0),OR('前提と出典'!$C$37+'前提と出典'!$C$38=0,S496&gt;=0)),0,A496)</ns0:f>
        <ns0:v>0</ns0:v>
      </ns0:c>
      <ns0:c r="AD496" s="7">
        <ns0:f>IF(W496&gt;=0,A496,1001)</ns0:f>
        <ns0:v>492</ns0:v>
      </ns0:c>
      <ns0:c r="AE496" s="7">
        <ns0:f>IF(W496&lt;0,A496,0)</ns0:f>
        <ns0:v>0</ns0:v>
      </ns0:c>
      <ns0:c r="AF496" s="16">
        <ns0:f>IF(AND(OR('前提と出典'!$C$36+'前提と出典'!$C$38=0,U496&gt;=0),OR('前提と出典'!$C$37+'前提と出典'!$C$38=0,V496&gt;=0)),0,A496)</ns0:f>
        <ns0:v>0</ns0:v>
      </ns0:c>
      <ns0:c r="AG496" s="7">
        <ns0:f>IF(Z496&gt;=0,A496,1001)</ns0:f>
        <ns0:v>492</ns0:v>
      </ns0:c>
      <ns0:c r="AH496" s="4">
        <ns0:f>IF(Z496&lt;0,A496,0)</ns0:f>
        <ns0:v>0</ns0:v>
      </ns0:c>
      <ns0:c r="AI496" s="12">
        <ns0:f>IF(AND(OR('前提と出典'!$C$36+'前提と出典'!$C$38=0,X496&gt;=0),OR('前提と出典'!$C$37+'前提と出典'!$C$38=0,Y496&gt;=0)),0,A496)</ns0:f>
        <ns0:v>0</ns0:v>
      </ns0:c>
    </ns0:row>
    <ns0:row r="497" ht="24" customHeight="1">
      <ns0:c r="A497" s="4" t="n">
        <ns0:v>493</ns0:v>
      </ns0:c>
      <ns0:c r="B497" s="12">
        <ns0:f>A497*('前提と出典'!$C$36+'前提と出典'!$C$38)</ns0:f>
        <ns0:v>345.09999999999997</ns0:v>
      </ns0:c>
      <ns0:c r="C497" s="12">
        <ns0:f>A497*('前提と出典'!$C$37+'前提と出典'!$C$38)</ns0:f>
        <ns0:v>295.8</ns0:v>
      </ns0:c>
      <ns0:c r="D497" s="16">
        <ns0:f>A497*('前提と出典'!$C$36*'契約別単価'!C5+'前提と出典'!$C$37*'契約別単価'!C6+'前提と出典'!$C$38*'契約別単価'!C7)</ns0:f>
        <ns0:v>3547.396648044693</ns0:v>
      </ns0:c>
      <ns0:c r="E497" s="16">
        <ns0:f>A497*('前提と出典'!$C$36*'契約別単価'!E5+'前提と出典'!$C$37*'契約別単価'!E6+'前提と出典'!$C$38*'契約別単価'!E7)</ns0:f>
        <ns0:v>1239339.3511577703</ns0:v>
      </ns0:c>
      <ns0:c r="F497" s="16">
        <ns0:f>A497*('前提と出典'!$C$36*'契約別単価'!F5+'前提と出典'!$C$37*'契約別単価'!F6+'前提と出典'!$C$38*'契約別単価'!F7)</ns0:f>
        <ns0:v>360120.3361053609</ns0:v>
      </ns0:c>
      <ns0:c r="G497" s="16">
        <ns0:f>A497*('前提と出典'!$C$36*'契約別単価'!G5+'前提と出典'!$C$37*'契約別単価'!G6+'前提と出典'!$C$38*'契約別単価'!G7)</ns0:f>
        <ns0:v>981317.8770949721</ns0:v>
      </ns0:c>
      <ns0:c r="H497" s="16">
        <ns0:f>A497*('前提と出典'!$C$36*'契約別単価'!H5+'前提と出典'!$C$37*'契約別単価'!H6+'前提と出典'!$C$38*'契約別単価'!H7)</ns0:f>
        <ns0:v>340566.5203110524</ns0:v>
      </ns0:c>
      <ns0:c r="I497" s="16">
        <ns0:f>A497*('前提と出典'!$C$36*'契約別単価'!I5+'前提と出典'!$C$37*'契約別単価'!I6+'前提と出典'!$C$38*'契約別単価'!I7)</ns0:f>
        <ns0:v>20802.39664804469</ns0:v>
      </ns0:c>
      <ns0:c r="J497" s="16">
        <ns0:f>A497*('前提と出典'!$C$36*'契約別単価'!J5+'前提と出典'!$C$37*'契約別単価'!J6+'前提と出典'!$C$38*'契約別単価'!J7)</ns0:f>
        <ns0:v>48456.74504917917</ns0:v>
      </ns0:c>
      <ns0:c r="K497" s="16">
        <ns0:f>A497*('前提と出典'!$C$36*'契約別単価'!K5+'前提と出典'!$C$37*'契約別単価'!K6+'前提と出典'!$C$38*'契約別単価'!K7)</ns0:f>
        <ns0:v>207702.64432029793</ns0:v>
      </ns0:c>
      <ns0:c r="L497" s="16">
        <ns0:f>A497*('前提と出典'!$C$36*'契約別単価'!L5+'前提と出典'!$C$37*'契約別単価'!L6+'前提と出典'!$C$38*'契約別単価'!L7)</ns0:f>
        <ns0:v>169112.21734370175</ns0:v>
      </ns0:c>
      <ns0:c r="M497" s="16">
        <ns0:f>IF(('前提と出典'!$C$36+'前提と出典'!$C$38)=0,0,IF(B497&lt;=10,'前提と出典'!B73+'前提と出典'!C73,IF(B497&lt;=100,'前提と出典'!B74+'前提と出典'!C74,IF(B497&lt;=500,'前提と出典'!B75+'前提と出典'!C75,'前提と出典'!B76+'前提と出典'!C76))))</ns0:f>
        <ns0:v>40000</ns0:v>
      </ns0:c>
      <ns0:c r="N497" s="16">
        <ns0:f>IF(('前提と出典'!$C$37+'前提と出典'!$C$38)=0,0,IF(C497&lt;=10,'前提と出典'!D73+'前提と出典'!E73,IF(C497&lt;=100,'前提と出典'!D74+'前提と出典'!E74,IF(C497&lt;=500,'前提と出典'!D75+'前提と出典'!E75,'前提と出典'!D76+'前提と出典'!E76))))</ns0:f>
        <ns0:v>56510.9346263078</ns0:v>
      </ns0:c>
      <ns0:c r="O497" s="16">
        <ns0:f>IF('前提と出典'!$C$36+'前提と出典'!$C$38=0,0,'前提と出典'!$B$4*IF('前提と出典'!$B$20=0,MAX('前提と出典'!$B$6,D497*'前提と出典'!$B$5),'前提と出典'!$B$6+D497*'前提と出典'!$B$5))</ns0:f>
        <ns0:v>489540.7374301677</ns0:v>
      </ns0:c>
      <ns0:c r="P497" s="16">
        <ns0:f>(E497+G497)*(1-'前提と出典'!$B$7)-I497-K497-M497-O497</ns0:f>
        <ns0:v>1382667.7896371335</ns0:v>
      </ns0:c>
      <ns0:c r="Q497" s="16">
        <ns0:f>(F497+H497)*(1-'前提と出典'!$B$7)-J497-L497-N497</ns0:f>
        <ns0:v>401382.2325662338</ns0:v>
      </ns0:c>
      <ns0:c r="R497" s="16">
        <ns0:f>P497-E497*'前提と出典'!$E$4</ns0:f>
        <ns0:v>1010865.9842898024</ns0:v>
      </ns0:c>
      <ns0:c r="S497" s="16">
        <ns0:f>Q497-F497*'前提と出典'!$E$4</ns0:f>
        <ns0:v>293346.13173462544</ns0:v>
      </ns0:c>
      <ns0:c r="T497" s="7">
        <ns0:f>R497+S497</ns0:f>
        <ns0:v>1304212.1160244278</ns0:v>
      </ns0:c>
      <ns0:c r="U497" s="16">
        <ns0:f>P497-E497*'前提と出典'!$E$5</ns0:f>
        <ns0:v>886932.0491740254</ns0:v>
      </ns0:c>
      <ns0:c r="V497" s="16">
        <ns0:f>Q497-F497*'前提と出典'!$E$5</ns0:f>
        <ns0:v>257334.09812408942</ns0:v>
      </ns0:c>
      <ns0:c r="W497" s="7">
        <ns0:f>U497+V497</ns0:f>
        <ns0:v>1144266.1472981148</ns0:v>
      </ns0:c>
      <ns0:c r="X497" s="16">
        <ns0:f>P497-E497*'前提と出典'!$E$6</ns0:f>
        <ns0:v>762998.1140582482</ns0:v>
      </ns0:c>
      <ns0:c r="Y497" s="16">
        <ns0:f>Q497-F497*'前提と出典'!$E$6</ns0:f>
        <ns0:v>221322.06451355328</ns0:v>
      </ns0:c>
      <ns0:c r="Z497" s="7">
        <ns0:f>X497+Y497</ns0:f>
        <ns0:v>984320.1785718015</ns0:v>
      </ns0:c>
      <ns0:c r="AA497" s="7">
        <ns0:f>IF(T497&gt;=0,A497,1001)</ns0:f>
        <ns0:v>493</ns0:v>
      </ns0:c>
      <ns0:c r="AB497" s="7">
        <ns0:f>IF(T497&lt;0,A497,0)</ns0:f>
        <ns0:v>0</ns0:v>
      </ns0:c>
      <ns0:c r="AC497" s="16">
        <ns0:f>IF(AND(OR('前提と出典'!$C$36+'前提と出典'!$C$38=0,R497&gt;=0),OR('前提と出典'!$C$37+'前提と出典'!$C$38=0,S497&gt;=0)),0,A497)</ns0:f>
        <ns0:v>0</ns0:v>
      </ns0:c>
      <ns0:c r="AD497" s="7">
        <ns0:f>IF(W497&gt;=0,A497,1001)</ns0:f>
        <ns0:v>493</ns0:v>
      </ns0:c>
      <ns0:c r="AE497" s="7">
        <ns0:f>IF(W497&lt;0,A497,0)</ns0:f>
        <ns0:v>0</ns0:v>
      </ns0:c>
      <ns0:c r="AF497" s="16">
        <ns0:f>IF(AND(OR('前提と出典'!$C$36+'前提と出典'!$C$38=0,U497&gt;=0),OR('前提と出典'!$C$37+'前提と出典'!$C$38=0,V497&gt;=0)),0,A497)</ns0:f>
        <ns0:v>0</ns0:v>
      </ns0:c>
      <ns0:c r="AG497" s="7">
        <ns0:f>IF(Z497&gt;=0,A497,1001)</ns0:f>
        <ns0:v>493</ns0:v>
      </ns0:c>
      <ns0:c r="AH497" s="4">
        <ns0:f>IF(Z497&lt;0,A497,0)</ns0:f>
        <ns0:v>0</ns0:v>
      </ns0:c>
      <ns0:c r="AI497" s="12">
        <ns0:f>IF(AND(OR('前提と出典'!$C$36+'前提と出典'!$C$38=0,X497&gt;=0),OR('前提と出典'!$C$37+'前提と出典'!$C$38=0,Y497&gt;=0)),0,A497)</ns0:f>
        <ns0:v>0</ns0:v>
      </ns0:c>
    </ns0:row>
    <ns0:row r="498" ht="24" customHeight="1">
      <ns0:c r="A498" s="4" t="n">
        <ns0:v>494</ns0:v>
      </ns0:c>
      <ns0:c r="B498" s="12">
        <ns0:f>A498*('前提と出典'!$C$36+'前提と出典'!$C$38)</ns0:f>
        <ns0:v>345.79999999999995</ns0:v>
      </ns0:c>
      <ns0:c r="C498" s="12">
        <ns0:f>A498*('前提と出典'!$C$37+'前提と出典'!$C$38)</ns0:f>
        <ns0:v>296.4</ns0:v>
      </ns0:c>
      <ns0:c r="D498" s="16">
        <ns0:f>A498*('前提と出典'!$C$36*'契約別単価'!C5+'前提と出典'!$C$37*'契約別単価'!C6+'前提と出典'!$C$38*'契約別単価'!C7)</ns0:f>
        <ns0:v>3554.59217877095</ns0:v>
      </ns0:c>
      <ns0:c r="E498" s="16">
        <ns0:f>A498*('前提と出典'!$C$36*'契約別単価'!E5+'前提と出典'!$C$37*'契約別単価'!E6+'前提と出典'!$C$38*'契約別単価'!E7)</ns0:f>
        <ns0:v>1241853.224081011</ns0:v>
      </ns0:c>
      <ns0:c r="F498" s="16">
        <ns0:f>A498*('前提と出典'!$C$36*'契約別単価'!F5+'前提と出典'!$C$37*'契約別単価'!F6+'前提と出典'!$C$38*'契約別単価'!F7)</ns0:f>
        <ns0:v>360850.80331855634</ns0:v>
      </ns0:c>
      <ns0:c r="G498" s="16">
        <ns0:f>A498*('前提と出典'!$C$36*'契約別単価'!G5+'前提と出典'!$C$37*'契約別単価'!G6+'前提と出典'!$C$38*'契約別単価'!G7)</ns0:f>
        <ns0:v>983308.3798882681</ns0:v>
      </ns0:c>
      <ns0:c r="H498" s="16">
        <ns0:f>A498*('前提と出典'!$C$36*'契約別単価'!H5+'前提と出典'!$C$37*'契約別単価'!H6+'前提と出典'!$C$38*'契約別単価'!H7)</ns0:f>
        <ns0:v>341257.3246118862</ns0:v>
      </ns0:c>
      <ns0:c r="I498" s="16">
        <ns0:f>A498*('前提と出典'!$C$36*'契約別単価'!I5+'前提と出典'!$C$37*'契約別単価'!I6+'前提と出典'!$C$38*'契約別単価'!I7)</ns0:f>
        <ns0:v>20844.592178770945</ns0:v>
      </ns0:c>
      <ns0:c r="J498" s="16">
        <ns0:f>A498*('前提と出典'!$C$36*'契約別単価'!J5+'前提と出典'!$C$37*'契約別単価'!J6+'前提と出典'!$C$38*'契約別単価'!J7)</ns0:f>
        <ns0:v>48555.03459288947</ns0:v>
      </ns0:c>
      <ns0:c r="K498" s="16">
        <ns0:f>A498*('前提と出典'!$C$36*'契約別単価'!K5+'前提と出典'!$C$37*'契約別単価'!K6+'前提と出典'!$C$38*'契約別単価'!K7)</ns0:f>
        <ns0:v>208123.947858473</ns0:v>
      </ns0:c>
      <ns0:c r="L498" s="16">
        <ns0:f>A498*('前提と出典'!$C$36*'契約別単価'!L5+'前提と出典'!$C$37*'契約別単価'!L6+'前提と出典'!$C$38*'契約別単価'!L7)</ns0:f>
        <ns0:v>169455.24415372952</ns0:v>
      </ns0:c>
      <ns0:c r="M498" s="16">
        <ns0:f>IF(('前提と出典'!$C$36+'前提と出典'!$C$38)=0,0,IF(B498&lt;=10,'前提と出典'!B73+'前提と出典'!C73,IF(B498&lt;=100,'前提と出典'!B74+'前提と出典'!C74,IF(B498&lt;=500,'前提と出典'!B75+'前提と出典'!C75,'前提と出典'!B76+'前提と出典'!C76))))</ns0:f>
        <ns0:v>40000</ns0:v>
      </ns0:c>
      <ns0:c r="N498" s="16">
        <ns0:f>IF(('前提と出典'!$C$37+'前提と出典'!$C$38)=0,0,IF(C498&lt;=10,'前提と出典'!D73+'前提と出典'!E73,IF(C498&lt;=100,'前提と出典'!D74+'前提と出典'!E74,IF(C498&lt;=500,'前提と出典'!D75+'前提と出典'!E75,'前提と出典'!D76+'前提と出典'!E76))))</ns0:f>
        <ns0:v>56510.9346263078</ns0:v>
      </ns0:c>
      <ns0:c r="O498" s="16">
        <ns0:f>IF('前提と出典'!$C$36+'前提と出典'!$C$38=0,0,'前提と出典'!$B$4*IF('前提と出典'!$B$20=0,MAX('前提と出典'!$B$6,D498*'前提と出典'!$B$5),'前提と出典'!$B$6+D498*'前提と出典'!$B$5))</ns0:f>
        <ns0:v>490533.7206703911</ns0:v>
      </ns0:c>
      <ns0:c r="P498" s="16">
        <ns0:f>(E498+G498)*(1-'前提と出典'!$B$7)-I498-K498-M498-O498</ns0:f>
        <ns0:v>1385553.52551875</ns0:v>
      </ns0:c>
      <ns0:c r="Q498" s="16">
        <ns0:f>(F498+H498)*(1-'前提と出典'!$B$7)-J498-L498-N498</ns0:f>
        <ns0:v>402311.0219520199</ns0:v>
      </ns0:c>
      <ns0:c r="R498" s="16">
        <ns0:f>P498-E498*'前提と出典'!$E$4</ns0:f>
        <ns0:v>1012997.5582944469</ns0:v>
      </ns0:c>
      <ns0:c r="S498" s="16">
        <ns0:f>Q498-F498*'前提と出典'!$E$4</ns0:f>
        <ns0:v>294055.7809564528</ns0:v>
      </ns0:c>
      <ns0:c r="T498" s="7">
        <ns0:f>R498+S498</ns0:f>
        <ns0:v>1307053.3392508999</ns0:v>
      </ns0:c>
      <ns0:c r="U498" s="16">
        <ns0:f>P498-E498*'前提と出典'!$E$5</ns0:f>
        <ns0:v>888812.2358863456</ns0:v>
      </ns0:c>
      <ns0:c r="V498" s="16">
        <ns0:f>Q498-F498*'前提と出典'!$E$5</ns0:f>
        <ns0:v>257970.70062459738</ns0:v>
      </ns0:c>
      <ns0:c r="W498" s="7">
        <ns0:f>U498+V498</ns0:f>
        <ns0:v>1146782.9365109429</ns0:v>
      </ns0:c>
      <ns0:c r="X498" s="16">
        <ns0:f>P498-E498*'前提と出典'!$E$6</ns0:f>
        <ns0:v>764626.9134782446</ns0:v>
      </ns0:c>
      <ns0:c r="Y498" s="16">
        <ns0:f>Q498-F498*'前提と出典'!$E$6</ns0:f>
        <ns0:v>221885.62029274163</ns0:v>
      </ns0:c>
      <ns0:c r="Z498" s="7">
        <ns0:f>X498+Y498</ns0:f>
        <ns0:v>986512.5337709861</ns0:v>
      </ns0:c>
      <ns0:c r="AA498" s="7">
        <ns0:f>IF(T498&gt;=0,A498,1001)</ns0:f>
        <ns0:v>494</ns0:v>
      </ns0:c>
      <ns0:c r="AB498" s="7">
        <ns0:f>IF(T498&lt;0,A498,0)</ns0:f>
        <ns0:v>0</ns0:v>
      </ns0:c>
      <ns0:c r="AC498" s="16">
        <ns0:f>IF(AND(OR('前提と出典'!$C$36+'前提と出典'!$C$38=0,R498&gt;=0),OR('前提と出典'!$C$37+'前提と出典'!$C$38=0,S498&gt;=0)),0,A498)</ns0:f>
        <ns0:v>0</ns0:v>
      </ns0:c>
      <ns0:c r="AD498" s="7">
        <ns0:f>IF(W498&gt;=0,A498,1001)</ns0:f>
        <ns0:v>494</ns0:v>
      </ns0:c>
      <ns0:c r="AE498" s="7">
        <ns0:f>IF(W498&lt;0,A498,0)</ns0:f>
        <ns0:v>0</ns0:v>
      </ns0:c>
      <ns0:c r="AF498" s="16">
        <ns0:f>IF(AND(OR('前提と出典'!$C$36+'前提と出典'!$C$38=0,U498&gt;=0),OR('前提と出典'!$C$37+'前提と出典'!$C$38=0,V498&gt;=0)),0,A498)</ns0:f>
        <ns0:v>0</ns0:v>
      </ns0:c>
      <ns0:c r="AG498" s="7">
        <ns0:f>IF(Z498&gt;=0,A498,1001)</ns0:f>
        <ns0:v>494</ns0:v>
      </ns0:c>
      <ns0:c r="AH498" s="4">
        <ns0:f>IF(Z498&lt;0,A498,0)</ns0:f>
        <ns0:v>0</ns0:v>
      </ns0:c>
      <ns0:c r="AI498" s="12">
        <ns0:f>IF(AND(OR('前提と出典'!$C$36+'前提と出典'!$C$38=0,X498&gt;=0),OR('前提と出典'!$C$37+'前提と出典'!$C$38=0,Y498&gt;=0)),0,A498)</ns0:f>
        <ns0:v>0</ns0:v>
      </ns0:c>
    </ns0:row>
    <ns0:row r="499" ht="24" customHeight="1">
      <ns0:c r="A499" s="4" t="n">
        <ns0:v>495</ns0:v>
      </ns0:c>
      <ns0:c r="B499" s="12">
        <ns0:f>A499*('前提と出典'!$C$36+'前提と出典'!$C$38)</ns0:f>
        <ns0:v>346.5</ns0:v>
      </ns0:c>
      <ns0:c r="C499" s="12">
        <ns0:f>A499*('前提と出典'!$C$37+'前提と出典'!$C$38)</ns0:f>
        <ns0:v>297</ns0:v>
      </ns0:c>
      <ns0:c r="D499" s="16">
        <ns0:f>A499*('前提と出典'!$C$36*'契約別単価'!C5+'前提と出典'!$C$37*'契約別単価'!C6+'前提と出典'!$C$38*'契約別単価'!C7)</ns0:f>
        <ns0:v>3561.787709497207</ns0:v>
      </ns0:c>
      <ns0:c r="E499" s="16">
        <ns0:f>A499*('前提と出典'!$C$36*'契約別単価'!E5+'前提と出典'!$C$37*'契約別単価'!E6+'前提と出典'!$C$38*'契約別単価'!E7)</ns0:f>
        <ns0:v>1244367.097004252</ns0:v>
      </ns0:c>
      <ns0:c r="F499" s="16">
        <ns0:f>A499*('前提と出典'!$C$36*'契約別単価'!F5+'前提と出典'!$C$37*'契約別単価'!F6+'前提と出典'!$C$38*'契約別単価'!F7)</ns0:f>
        <ns0:v>361581.2705317518</ns0:v>
      </ns0:c>
      <ns0:c r="G499" s="16">
        <ns0:f>A499*('前提と出典'!$C$36*'契約別単価'!G5+'前提と出典'!$C$37*'契約別単価'!G6+'前提と出典'!$C$38*'契約別単価'!G7)</ns0:f>
        <ns0:v>985298.8826815642</ns0:v>
      </ns0:c>
      <ns0:c r="H499" s="16">
        <ns0:f>A499*('前提と出典'!$C$36*'契約別単価'!H5+'前提と出典'!$C$37*'契約別単価'!H6+'前提と出典'!$C$38*'契約別単価'!H7)</ns0:f>
        <ns0:v>341948.12891271996</ns0:v>
      </ns0:c>
      <ns0:c r="I499" s="16">
        <ns0:f>A499*('前提と出典'!$C$36*'契約別単価'!I5+'前提と出典'!$C$37*'契約別単価'!I6+'前提と出典'!$C$38*'契約別単価'!I7)</ns0:f>
        <ns0:v>20886.787709497203</ns0:v>
      </ns0:c>
      <ns0:c r="J499" s="16">
        <ns0:f>A499*('前提と出典'!$C$36*'契約別単価'!J5+'前提と出典'!$C$37*'契約別単価'!J6+'前提と出典'!$C$38*'契約別単価'!J7)</ns0:f>
        <ns0:v>48653.32413659977</ns0:v>
      </ns0:c>
      <ns0:c r="K499" s="16">
        <ns0:f>A499*('前提と出典'!$C$36*'契約別単価'!K5+'前提と出典'!$C$37*'契約別単価'!K6+'前提と出典'!$C$38*'契約別単価'!K7)</ns0:f>
        <ns0:v>208545.25139664803</ns0:v>
      </ns0:c>
      <ns0:c r="L499" s="16">
        <ns0:f>A499*('前提と出典'!$C$36*'契約別単価'!L5+'前提と出典'!$C$37*'契約別単価'!L6+'前提と出典'!$C$38*'契約別単価'!L7)</ns0:f>
        <ns0:v>169798.27096375733</ns0:v>
      </ns0:c>
      <ns0:c r="M499" s="16">
        <ns0:f>IF(('前提と出典'!$C$36+'前提と出典'!$C$38)=0,0,IF(B499&lt;=10,'前提と出典'!B73+'前提と出典'!C73,IF(B499&lt;=100,'前提と出典'!B74+'前提と出典'!C74,IF(B499&lt;=500,'前提と出典'!B75+'前提と出典'!C75,'前提と出典'!B76+'前提と出典'!C76))))</ns0:f>
        <ns0:v>40000</ns0:v>
      </ns0:c>
      <ns0:c r="N499" s="16">
        <ns0:f>IF(('前提と出典'!$C$37+'前提と出典'!$C$38)=0,0,IF(C499&lt;=10,'前提と出典'!D73+'前提と出典'!E73,IF(C499&lt;=100,'前提と出典'!D74+'前提と出典'!E74,IF(C499&lt;=500,'前提と出典'!D75+'前提と出典'!E75,'前提と出典'!D76+'前提と出典'!E76))))</ns0:f>
        <ns0:v>56510.9346263078</ns0:v>
      </ns0:c>
      <ns0:c r="O499" s="16">
        <ns0:f>IF('前提と出典'!$C$36+'前提と出典'!$C$38=0,0,'前提と出典'!$B$4*IF('前提と出典'!$B$20=0,MAX('前提と出典'!$B$6,D499*'前提と出典'!$B$5),'前提と出典'!$B$6+D499*'前提と出典'!$B$5))</ns0:f>
        <ns0:v>491526.70391061454</ns0:v>
      </ns0:c>
      <ns0:c r="P499" s="16">
        <ns0:f>(E499+G499)*(1-'前提と出典'!$B$7)-I499-K499-M499-O499</ns0:f>
        <ns0:v>1388439.2614003667</ns0:v>
      </ns0:c>
      <ns0:c r="Q499" s="16">
        <ns0:f>(F499+H499)*(1-'前提と出典'!$B$7)-J499-L499-N499</ns0:f>
        <ns0:v>403239.81133780594</ns0:v>
      </ns0:c>
      <ns0:c r="R499" s="16">
        <ns0:f>P499-E499*'前提と出典'!$E$4</ns0:f>
        <ns0:v>1015129.1322990912</ns0:v>
      </ns0:c>
      <ns0:c r="S499" s="16">
        <ns0:f>Q499-F499*'前提と出典'!$E$4</ns0:f>
        <ns0:v>294765.43017828034</ns0:v>
      </ns0:c>
      <ns0:c r="T499" s="7">
        <ns0:f>R499+S499</ns0:f>
        <ns0:v>1309894.5624773717</ns0:v>
      </ns0:c>
      <ns0:c r="U499" s="16">
        <ns0:f>P499-E499*'前提と出典'!$E$5</ns0:f>
        <ns0:v>890692.4225986658</ns0:v>
      </ns0:c>
      <ns0:c r="V499" s="16">
        <ns0:f>Q499-F499*'前提と出典'!$E$5</ns0:f>
        <ns0:v>258607.30312510522</ns0:v>
      </ns0:c>
      <ns0:c r="W499" s="7">
        <ns0:f>U499+V499</ns0:f>
        <ns0:v>1149299.725723771</ns0:v>
      </ns0:c>
      <ns0:c r="X499" s="16">
        <ns0:f>P499-E499*'前提と出典'!$E$6</ns0:f>
        <ns0:v>766255.7128982407</ns0:v>
      </ns0:c>
      <ns0:c r="Y499" s="16">
        <ns0:f>Q499-F499*'前提と出典'!$E$6</ns0:f>
        <ns0:v>222449.17607192998</ns0:v>
      </ns0:c>
      <ns0:c r="Z499" s="7">
        <ns0:f>X499+Y499</ns0:f>
        <ns0:v>988704.8889701706</ns0:v>
      </ns0:c>
      <ns0:c r="AA499" s="7">
        <ns0:f>IF(T499&gt;=0,A499,1001)</ns0:f>
        <ns0:v>495</ns0:v>
      </ns0:c>
      <ns0:c r="AB499" s="7">
        <ns0:f>IF(T499&lt;0,A499,0)</ns0:f>
        <ns0:v>0</ns0:v>
      </ns0:c>
      <ns0:c r="AC499" s="16">
        <ns0:f>IF(AND(OR('前提と出典'!$C$36+'前提と出典'!$C$38=0,R499&gt;=0),OR('前提と出典'!$C$37+'前提と出典'!$C$38=0,S499&gt;=0)),0,A499)</ns0:f>
        <ns0:v>0</ns0:v>
      </ns0:c>
      <ns0:c r="AD499" s="7">
        <ns0:f>IF(W499&gt;=0,A499,1001)</ns0:f>
        <ns0:v>495</ns0:v>
      </ns0:c>
      <ns0:c r="AE499" s="7">
        <ns0:f>IF(W499&lt;0,A499,0)</ns0:f>
        <ns0:v>0</ns0:v>
      </ns0:c>
      <ns0:c r="AF499" s="16">
        <ns0:f>IF(AND(OR('前提と出典'!$C$36+'前提と出典'!$C$38=0,U499&gt;=0),OR('前提と出典'!$C$37+'前提と出典'!$C$38=0,V499&gt;=0)),0,A499)</ns0:f>
        <ns0:v>0</ns0:v>
      </ns0:c>
      <ns0:c r="AG499" s="7">
        <ns0:f>IF(Z499&gt;=0,A499,1001)</ns0:f>
        <ns0:v>495</ns0:v>
      </ns0:c>
      <ns0:c r="AH499" s="4">
        <ns0:f>IF(Z499&lt;0,A499,0)</ns0:f>
        <ns0:v>0</ns0:v>
      </ns0:c>
      <ns0:c r="AI499" s="12">
        <ns0:f>IF(AND(OR('前提と出典'!$C$36+'前提と出典'!$C$38=0,X499&gt;=0),OR('前提と出典'!$C$37+'前提と出典'!$C$38=0,Y499&gt;=0)),0,A499)</ns0:f>
        <ns0:v>0</ns0:v>
      </ns0:c>
    </ns0:row>
    <ns0:row r="500" ht="24" customHeight="1">
      <ns0:c r="A500" s="4" t="n">
        <ns0:v>496</ns0:v>
      </ns0:c>
      <ns0:c r="B500" s="12">
        <ns0:f>A500*('前提と出典'!$C$36+'前提と出典'!$C$38)</ns0:f>
        <ns0:v>347.2</ns0:v>
      </ns0:c>
      <ns0:c r="C500" s="12">
        <ns0:f>A500*('前提と出典'!$C$37+'前提と出典'!$C$38)</ns0:f>
        <ns0:v>297.59999999999997</ns0:v>
      </ns0:c>
      <ns0:c r="D500" s="16">
        <ns0:f>A500*('前提と出典'!$C$36*'契約別単価'!C5+'前提と出典'!$C$37*'契約別単価'!C6+'前提と出典'!$C$38*'契約別単価'!C7)</ns0:f>
        <ns0:v>3568.983240223464</ns0:v>
      </ns0:c>
      <ns0:c r="E500" s="16">
        <ns0:f>A500*('前提と出典'!$C$36*'契約別単価'!E5+'前提と出典'!$C$37*'契約別単価'!E6+'前提と出典'!$C$38*'契約別単価'!E7)</ns0:f>
        <ns0:v>1246880.969927493</ns0:v>
      </ns0:c>
      <ns0:c r="F500" s="16">
        <ns0:f>A500*('前提と出典'!$C$36*'契約別単価'!F5+'前提と出典'!$C$37*'契約別単価'!F6+'前提と出典'!$C$38*'契約別単価'!F7)</ns0:f>
        <ns0:v>362311.73774494726</ns0:v>
      </ns0:c>
      <ns0:c r="G500" s="16">
        <ns0:f>A500*('前提と出典'!$C$36*'契約別単価'!G5+'前提と出典'!$C$37*'契約別単価'!G6+'前提と出典'!$C$38*'契約別単価'!G7)</ns0:f>
        <ns0:v>987289.3854748603</ns0:v>
      </ns0:c>
      <ns0:c r="H500" s="16">
        <ns0:f>A500*('前提と出典'!$C$36*'契約別単価'!H5+'前提と出典'!$C$37*'契約別単価'!H6+'前提と出典'!$C$38*'契約別単価'!H7)</ns0:f>
        <ns0:v>342638.93321355374</ns0:v>
      </ns0:c>
      <ns0:c r="I500" s="16">
        <ns0:f>A500*('前提と出典'!$C$36*'契約別単価'!I5+'前提と出典'!$C$37*'契約別単価'!I6+'前提と出典'!$C$38*'契約別単価'!I7)</ns0:f>
        <ns0:v>20928.98324022346</ns0:v>
      </ns0:c>
      <ns0:c r="J500" s="16">
        <ns0:f>A500*('前提と出典'!$C$36*'契約別単価'!J5+'前提と出典'!$C$37*'契約別単価'!J6+'前提と出典'!$C$38*'契約別単価'!J7)</ns0:f>
        <ns0:v>48751.613680310074</ns0:v>
      </ns0:c>
      <ns0:c r="K500" s="16">
        <ns0:f>A500*('前提と出典'!$C$36*'契約別単価'!K5+'前提と出典'!$C$37*'契約別単価'!K6+'前提と出典'!$C$38*'契約別単価'!K7)</ns0:f>
        <ns0:v>208966.55493482307</ns0:v>
      </ns0:c>
      <ns0:c r="L500" s="16">
        <ns0:f>A500*('前提と出典'!$C$36*'契約別単価'!L5+'前提と出典'!$C$37*'契約別単価'!L6+'前提と出典'!$C$38*'契約別単価'!L7)</ns0:f>
        <ns0:v>170141.29777378513</ns0:v>
      </ns0:c>
      <ns0:c r="M500" s="16">
        <ns0:f>IF(('前提と出典'!$C$36+'前提と出典'!$C$38)=0,0,IF(B500&lt;=10,'前提と出典'!B73+'前提と出典'!C73,IF(B500&lt;=100,'前提と出典'!B74+'前提と出典'!C74,IF(B500&lt;=500,'前提と出典'!B75+'前提と出典'!C75,'前提と出典'!B76+'前提と出典'!C76))))</ns0:f>
        <ns0:v>40000</ns0:v>
      </ns0:c>
      <ns0:c r="N500" s="16">
        <ns0:f>IF(('前提と出典'!$C$37+'前提と出典'!$C$38)=0,0,IF(C500&lt;=10,'前提と出典'!D73+'前提と出典'!E73,IF(C500&lt;=100,'前提と出典'!D74+'前提と出典'!E74,IF(C500&lt;=500,'前提と出典'!D75+'前提と出典'!E75,'前提と出典'!D76+'前提と出典'!E76))))</ns0:f>
        <ns0:v>56510.9346263078</ns0:v>
      </ns0:c>
      <ns0:c r="O500" s="16">
        <ns0:f>IF('前提と出典'!$C$36+'前提と出典'!$C$38=0,0,'前提と出典'!$B$4*IF('前提と出典'!$B$20=0,MAX('前提と出典'!$B$6,D500*'前提と出典'!$B$5),'前提と出典'!$B$6+D500*'前提と出典'!$B$5))</ns0:f>
        <ns0:v>492519.687150838</ns0:v>
      </ns0:c>
      <ns0:c r="P500" s="16">
        <ns0:f>(E500+G500)*(1-'前提と出典'!$B$7)-I500-K500-M500-O500</ns0:f>
        <ns0:v>1391324.997281984</ns0:v>
      </ns0:c>
      <ns0:c r="Q500" s="16">
        <ns0:f>(F500+H500)*(1-'前提と出典'!$B$7)-J500-L500-N500</ns0:f>
        <ns0:v>404168.600723592</ns0:v>
      </ns0:c>
      <ns0:c r="R500" s="16">
        <ns0:f>P500-E500*'前提と出典'!$E$4</ns0:f>
        <ns0:v>1017260.706303736</ns0:v>
      </ns0:c>
      <ns0:c r="S500" s="16">
        <ns0:f>Q500-F500*'前提と出典'!$E$4</ns0:f>
        <ns0:v>295475.0794001079</ns0:v>
      </ns0:c>
      <ns0:c r="T500" s="7">
        <ns0:f>R500+S500</ns0:f>
        <ns0:v>1312735.785703844</ns0:v>
      </ns0:c>
      <ns0:c r="U500" s="16">
        <ns0:f>P500-E500*'前提と出典'!$E$5</ns0:f>
        <ns0:v>892572.6093109867</ns0:v>
      </ns0:c>
      <ns0:c r="V500" s="16">
        <ns0:f>Q500-F500*'前提と出典'!$E$5</ns0:f>
        <ns0:v>259243.90562561312</ns0:v>
      </ns0:c>
      <ns0:c r="W500" s="7">
        <ns0:f>U500+V500</ns0:f>
        <ns0:v>1151816.5149365999</ns0:v>
      </ns0:c>
      <ns0:c r="X500" s="16">
        <ns0:f>P500-E500*'前提と出典'!$E$6</ns0:f>
        <ns0:v>767884.5123182375</ns0:v>
      </ns0:c>
      <ns0:c r="Y500" s="16">
        <ns0:f>Q500-F500*'前提と出典'!$E$6</ns0:f>
        <ns0:v>223012.73185111838</ns0:v>
      </ns0:c>
      <ns0:c r="Z500" s="7">
        <ns0:f>X500+Y500</ns0:f>
        <ns0:v>990897.2441693558</ns0:v>
      </ns0:c>
      <ns0:c r="AA500" s="7">
        <ns0:f>IF(T500&gt;=0,A500,1001)</ns0:f>
        <ns0:v>496</ns0:v>
      </ns0:c>
      <ns0:c r="AB500" s="7">
        <ns0:f>IF(T500&lt;0,A500,0)</ns0:f>
        <ns0:v>0</ns0:v>
      </ns0:c>
      <ns0:c r="AC500" s="16">
        <ns0:f>IF(AND(OR('前提と出典'!$C$36+'前提と出典'!$C$38=0,R500&gt;=0),OR('前提と出典'!$C$37+'前提と出典'!$C$38=0,S500&gt;=0)),0,A500)</ns0:f>
        <ns0:v>0</ns0:v>
      </ns0:c>
      <ns0:c r="AD500" s="7">
        <ns0:f>IF(W500&gt;=0,A500,1001)</ns0:f>
        <ns0:v>496</ns0:v>
      </ns0:c>
      <ns0:c r="AE500" s="7">
        <ns0:f>IF(W500&lt;0,A500,0)</ns0:f>
        <ns0:v>0</ns0:v>
      </ns0:c>
      <ns0:c r="AF500" s="16">
        <ns0:f>IF(AND(OR('前提と出典'!$C$36+'前提と出典'!$C$38=0,U500&gt;=0),OR('前提と出典'!$C$37+'前提と出典'!$C$38=0,V500&gt;=0)),0,A500)</ns0:f>
        <ns0:v>0</ns0:v>
      </ns0:c>
      <ns0:c r="AG500" s="7">
        <ns0:f>IF(Z500&gt;=0,A500,1001)</ns0:f>
        <ns0:v>496</ns0:v>
      </ns0:c>
      <ns0:c r="AH500" s="4">
        <ns0:f>IF(Z500&lt;0,A500,0)</ns0:f>
        <ns0:v>0</ns0:v>
      </ns0:c>
      <ns0:c r="AI500" s="12">
        <ns0:f>IF(AND(OR('前提と出典'!$C$36+'前提と出典'!$C$38=0,X500&gt;=0),OR('前提と出典'!$C$37+'前提と出典'!$C$38=0,Y500&gt;=0)),0,A500)</ns0:f>
        <ns0:v>0</ns0:v>
      </ns0:c>
    </ns0:row>
    <ns0:row r="501" ht="24" customHeight="1">
      <ns0:c r="A501" s="4" t="n">
        <ns0:v>497</ns0:v>
      </ns0:c>
      <ns0:c r="B501" s="12">
        <ns0:f>A501*('前提と出典'!$C$36+'前提と出典'!$C$38)</ns0:f>
        <ns0:v>347.9</ns0:v>
      </ns0:c>
      <ns0:c r="C501" s="12">
        <ns0:f>A501*('前提と出典'!$C$37+'前提と出典'!$C$38)</ns0:f>
        <ns0:v>298.2</ns0:v>
      </ns0:c>
      <ns0:c r="D501" s="16">
        <ns0:f>A501*('前提と出典'!$C$36*'契約別単価'!C5+'前提と出典'!$C$37*'契約別単価'!C6+'前提と出典'!$C$38*'契約別単価'!C7)</ns0:f>
        <ns0:v>3576.1787709497207</ns0:v>
      </ns0:c>
      <ns0:c r="E501" s="16">
        <ns0:f>A501*('前提と出典'!$C$36*'契約別単価'!E5+'前提と出典'!$C$37*'契約別単価'!E6+'前提と出典'!$C$38*'契約別単価'!E7)</ns0:f>
        <ns0:v>1249394.8428507338</ns0:v>
      </ns0:c>
      <ns0:c r="F501" s="16">
        <ns0:f>A501*('前提と出典'!$C$36*'契約別単価'!F5+'前提と出典'!$C$37*'契約別単価'!F6+'前提と出典'!$C$38*'契約別単価'!F7)</ns0:f>
        <ns0:v>363042.2049581427</ns0:v>
      </ns0:c>
      <ns0:c r="G501" s="16">
        <ns0:f>A501*('前提と出典'!$C$36*'契約別単価'!G5+'前提と出典'!$C$37*'契約別単価'!G6+'前提と出典'!$C$38*'契約別単価'!G7)</ns0:f>
        <ns0:v>989279.8882681563</ns0:v>
      </ns0:c>
      <ns0:c r="H501" s="16">
        <ns0:f>A501*('前提と出典'!$C$36*'契約別単価'!H5+'前提と出典'!$C$37*'契約別単価'!H6+'前提と出典'!$C$38*'契約別単価'!H7)</ns0:f>
        <ns0:v>343329.7375143875</ns0:v>
      </ns0:c>
      <ns0:c r="I501" s="16">
        <ns0:f>A501*('前提と出典'!$C$36*'契約別単価'!I5+'前提と出典'!$C$37*'契約別単価'!I6+'前提と出典'!$C$38*'契約別単価'!I7)</ns0:f>
        <ns0:v>20971.17877094972</ns0:v>
      </ns0:c>
      <ns0:c r="J501" s="16">
        <ns0:f>A501*('前提と出典'!$C$36*'契約別単価'!J5+'前提と出典'!$C$37*'契約別単価'!J6+'前提と出典'!$C$38*'契約別単価'!J7)</ns0:f>
        <ns0:v>48849.903224020374</ns0:v>
      </ns0:c>
      <ns0:c r="K501" s="16">
        <ns0:f>A501*('前提と出典'!$C$36*'契約別単価'!K5+'前提と出典'!$C$37*'契約別単価'!K6+'前提と出典'!$C$38*'契約別単価'!K7)</ns0:f>
        <ns0:v>209387.85847299814</ns0:v>
      </ns0:c>
      <ns0:c r="L501" s="16">
        <ns0:f>A501*('前提と出典'!$C$36*'契約別単価'!L5+'前提と出典'!$C$37*'契約別単価'!L6+'前提と出典'!$C$38*'契約別単価'!L7)</ns0:f>
        <ns0:v>170484.3245838129</ns0:v>
      </ns0:c>
      <ns0:c r="M501" s="16">
        <ns0:f>IF(('前提と出典'!$C$36+'前提と出典'!$C$38)=0,0,IF(B501&lt;=10,'前提と出典'!B73+'前提と出典'!C73,IF(B501&lt;=100,'前提と出典'!B74+'前提と出典'!C74,IF(B501&lt;=500,'前提と出典'!B75+'前提と出典'!C75,'前提と出典'!B76+'前提と出典'!C76))))</ns0:f>
        <ns0:v>40000</ns0:v>
      </ns0:c>
      <ns0:c r="N501" s="16">
        <ns0:f>IF(('前提と出典'!$C$37+'前提と出典'!$C$38)=0,0,IF(C501&lt;=10,'前提と出典'!D73+'前提と出典'!E73,IF(C501&lt;=100,'前提と出典'!D74+'前提と出典'!E74,IF(C501&lt;=500,'前提と出典'!D75+'前提と出典'!E75,'前提と出典'!D76+'前提と出典'!E76))))</ns0:f>
        <ns0:v>56510.9346263078</ns0:v>
      </ns0:c>
      <ns0:c r="O501" s="16">
        <ns0:f>IF('前提と出典'!$C$36+'前提と出典'!$C$38=0,0,'前提と出典'!$B$4*IF('前提と出典'!$B$20=0,MAX('前提と出典'!$B$6,D501*'前提と出典'!$B$5),'前提と出典'!$B$6+D501*'前提と出典'!$B$5))</ns0:f>
        <ns0:v>493512.67039106146</ns0:v>
      </ns0:c>
      <ns0:c r="P501" s="16">
        <ns0:f>(E501+G501)*(1-'前提と出典'!$B$7)-I501-K501-M501-O501</ns0:f>
        <ns0:v>1394210.7331636008</ns0:v>
      </ns0:c>
      <ns0:c r="Q501" s="16">
        <ns0:f>(F501+H501)*(1-'前提と出典'!$B$7)-J501-L501-N501</ns0:f>
        <ns0:v>405097.39010937803</ns0:v>
      </ns0:c>
      <ns0:c r="R501" s="16">
        <ns0:f>P501-E501*'前提と出典'!$E$4</ns0:f>
        <ns0:v>1019392.2803083806</ns0:v>
      </ns0:c>
      <ns0:c r="S501" s="16">
        <ns0:f>Q501-F501*'前提と出典'!$E$4</ns0:f>
        <ns0:v>296184.7286219353</ns0:v>
      </ns0:c>
      <ns0:c r="T501" s="7">
        <ns0:f>R501+S501</ns0:f>
        <ns0:v>1315577.008930316</ns0:v>
      </ns0:c>
      <ns0:c r="U501" s="16">
        <ns0:f>P501-E501*'前提と出典'!$E$5</ns0:f>
        <ns0:v>894452.7960233073</ns0:v>
      </ns0:c>
      <ns0:c r="V501" s="16">
        <ns0:f>Q501-F501*'前提と出典'!$E$5</ns0:f>
        <ns0:v>259880.50812612096</ns0:v>
      </ns0:c>
      <ns0:c r="W501" s="7">
        <ns0:f>U501+V501</ns0:f>
        <ns0:v>1154333.3041494281</ns0:v>
      </ns0:c>
      <ns0:c r="X501" s="16">
        <ns0:f>P501-E501*'前提と出典'!$E$6</ns0:f>
        <ns0:v>769513.3117382339</ns0:v>
      </ns0:c>
      <ns0:c r="Y501" s="16">
        <ns0:f>Q501-F501*'前提と出典'!$E$6</ns0:f>
        <ns0:v>223576.28763030673</ns0:v>
      </ns0:c>
      <ns0:c r="Z501" s="7">
        <ns0:f>X501+Y501</ns0:f>
        <ns0:v>993089.5993685406</ns0:v>
      </ns0:c>
      <ns0:c r="AA501" s="7">
        <ns0:f>IF(T501&gt;=0,A501,1001)</ns0:f>
        <ns0:v>497</ns0:v>
      </ns0:c>
      <ns0:c r="AB501" s="7">
        <ns0:f>IF(T501&lt;0,A501,0)</ns0:f>
        <ns0:v>0</ns0:v>
      </ns0:c>
      <ns0:c r="AC501" s="16">
        <ns0:f>IF(AND(OR('前提と出典'!$C$36+'前提と出典'!$C$38=0,R501&gt;=0),OR('前提と出典'!$C$37+'前提と出典'!$C$38=0,S501&gt;=0)),0,A501)</ns0:f>
        <ns0:v>0</ns0:v>
      </ns0:c>
      <ns0:c r="AD501" s="7">
        <ns0:f>IF(W501&gt;=0,A501,1001)</ns0:f>
        <ns0:v>497</ns0:v>
      </ns0:c>
      <ns0:c r="AE501" s="7">
        <ns0:f>IF(W501&lt;0,A501,0)</ns0:f>
        <ns0:v>0</ns0:v>
      </ns0:c>
      <ns0:c r="AF501" s="16">
        <ns0:f>IF(AND(OR('前提と出典'!$C$36+'前提と出典'!$C$38=0,U501&gt;=0),OR('前提と出典'!$C$37+'前提と出典'!$C$38=0,V501&gt;=0)),0,A501)</ns0:f>
        <ns0:v>0</ns0:v>
      </ns0:c>
      <ns0:c r="AG501" s="7">
        <ns0:f>IF(Z501&gt;=0,A501,1001)</ns0:f>
        <ns0:v>497</ns0:v>
      </ns0:c>
      <ns0:c r="AH501" s="4">
        <ns0:f>IF(Z501&lt;0,A501,0)</ns0:f>
        <ns0:v>0</ns0:v>
      </ns0:c>
      <ns0:c r="AI501" s="12">
        <ns0:f>IF(AND(OR('前提と出典'!$C$36+'前提と出典'!$C$38=0,X501&gt;=0),OR('前提と出典'!$C$37+'前提と出典'!$C$38=0,Y501&gt;=0)),0,A501)</ns0:f>
        <ns0:v>0</ns0:v>
      </ns0:c>
    </ns0:row>
    <ns0:row r="502" ht="24" customHeight="1">
      <ns0:c r="A502" s="4" t="n">
        <ns0:v>498</ns0:v>
      </ns0:c>
      <ns0:c r="B502" s="12">
        <ns0:f>A502*('前提と出典'!$C$36+'前提と出典'!$C$38)</ns0:f>
        <ns0:v>348.59999999999997</ns0:v>
      </ns0:c>
      <ns0:c r="C502" s="12">
        <ns0:f>A502*('前提と出典'!$C$37+'前提と出典'!$C$38)</ns0:f>
        <ns0:v>298.8</ns0:v>
      </ns0:c>
      <ns0:c r="D502" s="16">
        <ns0:f>A502*('前提と出典'!$C$36*'契約別単価'!C5+'前提と出典'!$C$37*'契約別単価'!C6+'前提と出典'!$C$38*'契約別単価'!C7)</ns0:f>
        <ns0:v>3583.3743016759777</ns0:v>
      </ns0:c>
      <ns0:c r="E502" s="16">
        <ns0:f>A502*('前提と出典'!$C$36*'契約別単価'!E5+'前提と出典'!$C$37*'契約別単価'!E6+'前提と出典'!$C$38*'契約別単価'!E7)</ns0:f>
        <ns0:v>1251908.7157739748</ns0:v>
      </ns0:c>
      <ns0:c r="F502" s="16">
        <ns0:f>A502*('前提と出典'!$C$36*'契約別単価'!F5+'前提と出典'!$C$37*'契約別単価'!F6+'前提と出典'!$C$38*'契約別単価'!F7)</ns0:f>
        <ns0:v>363772.67217133817</ns0:v>
      </ns0:c>
      <ns0:c r="G502" s="16">
        <ns0:f>A502*('前提と出典'!$C$36*'契約別単価'!G5+'前提と出典'!$C$37*'契約別単価'!G6+'前提と出典'!$C$38*'契約別単価'!G7)</ns0:f>
        <ns0:v>991270.3910614525</ns0:v>
      </ns0:c>
      <ns0:c r="H502" s="16">
        <ns0:f>A502*('前提と出典'!$C$36*'契約別単価'!H5+'前提と出典'!$C$37*'契約別単価'!H6+'前提と出典'!$C$38*'契約別単価'!H7)</ns0:f>
        <ns0:v>344020.5418152213</ns0:v>
      </ns0:c>
      <ns0:c r="I502" s="16">
        <ns0:f>A502*('前提と出典'!$C$36*'契約別単価'!I5+'前提と出典'!$C$37*'契約別単価'!I6+'前提と出典'!$C$38*'契約別単価'!I7)</ns0:f>
        <ns0:v>21013.374301675973</ns0:v>
      </ns0:c>
      <ns0:c r="J502" s="16">
        <ns0:f>A502*('前提と出典'!$C$36*'契約別単価'!J5+'前提と出典'!$C$37*'契約別単価'!J6+'前提と出典'!$C$38*'契約別単価'!J7)</ns0:f>
        <ns0:v>48948.19276773068</ns0:v>
      </ns0:c>
      <ns0:c r="K502" s="16">
        <ns0:f>A502*('前提と出典'!$C$36*'契約別単価'!K5+'前提と出典'!$C$37*'契約別単価'!K6+'前提と出典'!$C$38*'契約別単価'!K7)</ns0:f>
        <ns0:v>209809.16201117318</ns0:v>
      </ns0:c>
      <ns0:c r="L502" s="16">
        <ns0:f>A502*('前提と出典'!$C$36*'契約別単価'!L5+'前提と出典'!$C$37*'契約別単価'!L6+'前提と出典'!$C$38*'契約別単価'!L7)</ns0:f>
        <ns0:v>170827.3513938407</ns0:v>
      </ns0:c>
      <ns0:c r="M502" s="16">
        <ns0:f>IF(('前提と出典'!$C$36+'前提と出典'!$C$38)=0,0,IF(B502&lt;=10,'前提と出典'!B73+'前提と出典'!C73,IF(B502&lt;=100,'前提と出典'!B74+'前提と出典'!C74,IF(B502&lt;=500,'前提と出典'!B75+'前提と出典'!C75,'前提と出典'!B76+'前提と出典'!C76))))</ns0:f>
        <ns0:v>40000</ns0:v>
      </ns0:c>
      <ns0:c r="N502" s="16">
        <ns0:f>IF(('前提と出典'!$C$37+'前提と出典'!$C$38)=0,0,IF(C502&lt;=10,'前提と出典'!D73+'前提と出典'!E73,IF(C502&lt;=100,'前提と出典'!D74+'前提と出典'!E74,IF(C502&lt;=500,'前提と出典'!D75+'前提と出典'!E75,'前提と出典'!D76+'前提と出典'!E76))))</ns0:f>
        <ns0:v>56510.9346263078</ns0:v>
      </ns0:c>
      <ns0:c r="O502" s="16">
        <ns0:f>IF('前提と出典'!$C$36+'前提と出典'!$C$38=0,0,'前提と出典'!$B$4*IF('前提と出典'!$B$20=0,MAX('前提と出典'!$B$6,D502*'前提と出典'!$B$5),'前提と出典'!$B$6+D502*'前提と出典'!$B$5))</ns0:f>
        <ns0:v>494505.65363128495</ns0:v>
      </ns0:c>
      <ns0:c r="P502" s="16">
        <ns0:f>(E502+G502)*(1-'前提と出典'!$B$7)-I502-K502-M502-O502</ns0:f>
        <ns0:v>1397096.469045218</ns0:v>
      </ns0:c>
      <ns0:c r="Q502" s="16">
        <ns0:f>(F502+H502)*(1-'前提と出典'!$B$7)-J502-L502-N502</ns0:f>
        <ns0:v>406026.17949516414</ns0:v>
      </ns0:c>
      <ns0:c r="R502" s="16">
        <ns0:f>P502-E502*'前提と出典'!$E$4</ns0:f>
        <ns0:v>1021523.8543130256</ns0:v>
      </ns0:c>
      <ns0:c r="S502" s="16">
        <ns0:f>Q502-F502*'前提と出典'!$E$4</ns0:f>
        <ns0:v>296894.37784376275</ns0:v>
      </ns0:c>
      <ns0:c r="T502" s="7">
        <ns0:f>R502+S502</ns0:f>
        <ns0:v>1318418.2321567885</ns0:v>
      </ns0:c>
      <ns0:c r="U502" s="16">
        <ns0:f>P502-E502*'前提と出典'!$E$5</ns0:f>
        <ns0:v>896332.9827356281</ns0:v>
      </ns0:c>
      <ns0:c r="V502" s="16">
        <ns0:f>Q502-F502*'前提と出典'!$E$5</ns0:f>
        <ns0:v>260517.11062662886</ns0:v>
      </ns0:c>
      <ns0:c r="W502" s="7">
        <ns0:f>U502+V502</ns0:f>
        <ns0:v>1156850.093362257</ns0:v>
      </ns0:c>
      <ns0:c r="X502" s="16">
        <ns0:f>P502-E502*'前提と出典'!$E$6</ns0:f>
        <ns0:v>771142.1111582307</ns0:v>
      </ns0:c>
      <ns0:c r="Y502" s="16">
        <ns0:f>Q502-F502*'前提と出典'!$E$6</ns0:f>
        <ns0:v>224139.84340949508</ns0:v>
      </ns0:c>
      <ns0:c r="Z502" s="7">
        <ns0:f>X502+Y502</ns0:f>
        <ns0:v>995281.9545677258</ns0:v>
      </ns0:c>
      <ns0:c r="AA502" s="7">
        <ns0:f>IF(T502&gt;=0,A502,1001)</ns0:f>
        <ns0:v>498</ns0:v>
      </ns0:c>
      <ns0:c r="AB502" s="7">
        <ns0:f>IF(T502&lt;0,A502,0)</ns0:f>
        <ns0:v>0</ns0:v>
      </ns0:c>
      <ns0:c r="AC502" s="16">
        <ns0:f>IF(AND(OR('前提と出典'!$C$36+'前提と出典'!$C$38=0,R502&gt;=0),OR('前提と出典'!$C$37+'前提と出典'!$C$38=0,S502&gt;=0)),0,A502)</ns0:f>
        <ns0:v>0</ns0:v>
      </ns0:c>
      <ns0:c r="AD502" s="7">
        <ns0:f>IF(W502&gt;=0,A502,1001)</ns0:f>
        <ns0:v>498</ns0:v>
      </ns0:c>
      <ns0:c r="AE502" s="7">
        <ns0:f>IF(W502&lt;0,A502,0)</ns0:f>
        <ns0:v>0</ns0:v>
      </ns0:c>
      <ns0:c r="AF502" s="16">
        <ns0:f>IF(AND(OR('前提と出典'!$C$36+'前提と出典'!$C$38=0,U502&gt;=0),OR('前提と出典'!$C$37+'前提と出典'!$C$38=0,V502&gt;=0)),0,A502)</ns0:f>
        <ns0:v>0</ns0:v>
      </ns0:c>
      <ns0:c r="AG502" s="7">
        <ns0:f>IF(Z502&gt;=0,A502,1001)</ns0:f>
        <ns0:v>498</ns0:v>
      </ns0:c>
      <ns0:c r="AH502" s="4">
        <ns0:f>IF(Z502&lt;0,A502,0)</ns0:f>
        <ns0:v>0</ns0:v>
      </ns0:c>
      <ns0:c r="AI502" s="12">
        <ns0:f>IF(AND(OR('前提と出典'!$C$36+'前提と出典'!$C$38=0,X502&gt;=0),OR('前提と出典'!$C$37+'前提と出典'!$C$38=0,Y502&gt;=0)),0,A502)</ns0:f>
        <ns0:v>0</ns0:v>
      </ns0:c>
    </ns0:row>
    <ns0:row r="503" ht="24" customHeight="1">
      <ns0:c r="A503" s="4" t="n">
        <ns0:v>499</ns0:v>
      </ns0:c>
      <ns0:c r="B503" s="12">
        <ns0:f>A503*('前提と出典'!$C$36+'前提と出典'!$C$38)</ns0:f>
        <ns0:v>349.29999999999995</ns0:v>
      </ns0:c>
      <ns0:c r="C503" s="12">
        <ns0:f>A503*('前提と出典'!$C$37+'前提と出典'!$C$38)</ns0:f>
        <ns0:v>299.4</ns0:v>
      </ns0:c>
      <ns0:c r="D503" s="16">
        <ns0:f>A503*('前提と出典'!$C$36*'契約別単価'!C5+'前提と出典'!$C$37*'契約別単価'!C6+'前提と出典'!$C$38*'契約別単価'!C7)</ns0:f>
        <ns0:v>3590.5698324022346</ns0:v>
      </ns0:c>
      <ns0:c r="E503" s="16">
        <ns0:f>A503*('前提と出典'!$C$36*'契約別単価'!E5+'前提と出典'!$C$37*'契約別単価'!E6+'前提と出典'!$C$38*'契約別単価'!E7)</ns0:f>
        <ns0:v>1254422.5886972158</ns0:v>
      </ns0:c>
      <ns0:c r="F503" s="16">
        <ns0:f>A503*('前提と出典'!$C$36*'契約別単価'!F5+'前提と出典'!$C$37*'契約別単価'!F6+'前提と出典'!$C$38*'契約別単価'!F7)</ns0:f>
        <ns0:v>364503.1393845336</ns0:v>
      </ns0:c>
      <ns0:c r="G503" s="16">
        <ns0:f>A503*('前提と出典'!$C$36*'契約別単価'!G5+'前提と出典'!$C$37*'契約別単価'!G6+'前提と出典'!$C$38*'契約別単価'!G7)</ns0:f>
        <ns0:v>993260.8938547486</ns0:v>
      </ns0:c>
      <ns0:c r="H503" s="16">
        <ns0:f>A503*('前提と出典'!$C$36*'契約別単価'!H5+'前提と出典'!$C$37*'契約別単価'!H6+'前提と出典'!$C$38*'契約別単価'!H7)</ns0:f>
        <ns0:v>344711.3461160551</ns0:v>
      </ns0:c>
      <ns0:c r="I503" s="16">
        <ns0:f>A503*('前提と出典'!$C$36*'契約別単価'!I5+'前提と出典'!$C$37*'契約別単価'!I6+'前提と出典'!$C$38*'契約別単価'!I7)</ns0:f>
        <ns0:v>21055.56983240223</ns0:v>
      </ns0:c>
      <ns0:c r="J503" s="16">
        <ns0:f>A503*('前提と出典'!$C$36*'契約別単価'!J5+'前提と出典'!$C$37*'契約別単価'!J6+'前提と出典'!$C$38*'契約別単価'!J7)</ns0:f>
        <ns0:v>49046.48231144098</ns0:v>
      </ns0:c>
      <ns0:c r="K503" s="16">
        <ns0:f>A503*('前提と出典'!$C$36*'契約別単価'!K5+'前提と出典'!$C$37*'契約別単価'!K6+'前提と出典'!$C$38*'契約別単価'!K7)</ns0:f>
        <ns0:v>210230.4655493482</ns0:v>
      </ns0:c>
      <ns0:c r="L503" s="16">
        <ns0:f>A503*('前提と出典'!$C$36*'契約別単価'!L5+'前提と出典'!$C$37*'契約別単価'!L6+'前提と出典'!$C$38*'契約別単価'!L7)</ns0:f>
        <ns0:v>171170.3782038685</ns0:v>
      </ns0:c>
      <ns0:c r="M503" s="16">
        <ns0:f>IF(('前提と出典'!$C$36+'前提と出典'!$C$38)=0,0,IF(B503&lt;=10,'前提と出典'!B73+'前提と出典'!C73,IF(B503&lt;=100,'前提と出典'!B74+'前提と出典'!C74,IF(B503&lt;=500,'前提と出典'!B75+'前提と出典'!C75,'前提と出典'!B76+'前提と出典'!C76))))</ns0:f>
        <ns0:v>40000</ns0:v>
      </ns0:c>
      <ns0:c r="N503" s="16">
        <ns0:f>IF(('前提と出典'!$C$37+'前提と出典'!$C$38)=0,0,IF(C503&lt;=10,'前提と出典'!D73+'前提と出典'!E73,IF(C503&lt;=100,'前提と出典'!D74+'前提と出典'!E74,IF(C503&lt;=500,'前提と出典'!D75+'前提と出典'!E75,'前提と出典'!D76+'前提と出典'!E76))))</ns0:f>
        <ns0:v>56510.9346263078</ns0:v>
      </ns0:c>
      <ns0:c r="O503" s="16">
        <ns0:f>IF('前提と出典'!$C$36+'前提と出典'!$C$38=0,0,'前提と出典'!$B$4*IF('前提と出典'!$B$20=0,MAX('前提と出典'!$B$6,D503*'前提と出典'!$B$5),'前提と出典'!$B$6+D503*'前提と出典'!$B$5))</ns0:f>
        <ns0:v>495498.6368715084</ns0:v>
      </ns0:c>
      <ns0:c r="P503" s="16">
        <ns0:f>(E503+G503)*(1-'前提と出典'!$B$7)-I503-K503-M503-O503</ns0:f>
        <ns0:v>1399982.204926835</ns0:v>
      </ns0:c>
      <ns0:c r="Q503" s="16">
        <ns0:f>(F503+H503)*(1-'前提と出典'!$B$7)-J503-L503-N503</ns0:f>
        <ns0:v>406954.96888095024</ns0:v>
      </ns0:c>
      <ns0:c r="R503" s="16">
        <ns0:f>P503-E503*'前提と出典'!$E$4</ns0:f>
        <ns0:v>1023655.4283176702</ns0:v>
      </ns0:c>
      <ns0:c r="S503" s="16">
        <ns0:f>Q503-F503*'前提と出典'!$E$4</ns0:f>
        <ns0:v>297604.02706559014</ns0:v>
      </ns0:c>
      <ns0:c r="T503" s="7">
        <ns0:f>R503+S503</ns0:f>
        <ns0:v>1321259.4553832603</ns0:v>
      </ns0:c>
      <ns0:c r="U503" s="16">
        <ns0:f>P503-E503*'前提と出典'!$E$5</ns0:f>
        <ns0:v>898213.1694479487</ns0:v>
      </ns0:c>
      <ns0:c r="V503" s="16">
        <ns0:f>Q503-F503*'前提と出典'!$E$5</ns0:f>
        <ns0:v>261153.7131271368</ns0:v>
      </ns0:c>
      <ns0:c r="W503" s="7">
        <ns0:f>U503+V503</ns0:f>
        <ns0:v>1159366.8825750854</ns0:v>
      </ns0:c>
      <ns0:c r="X503" s="16">
        <ns0:f>P503-E503*'前提と出典'!$E$6</ns0:f>
        <ns0:v>772770.9105782271</ns0:v>
      </ns0:c>
      <ns0:c r="Y503" s="16">
        <ns0:f>Q503-F503*'前提と出典'!$E$6</ns0:f>
        <ns0:v>224703.39918868348</ns0:v>
      </ns0:c>
      <ns0:c r="Z503" s="7">
        <ns0:f>X503+Y503</ns0:f>
        <ns0:v>997474.3097669106</ns0:v>
      </ns0:c>
      <ns0:c r="AA503" s="7">
        <ns0:f>IF(T503&gt;=0,A503,1001)</ns0:f>
        <ns0:v>499</ns0:v>
      </ns0:c>
      <ns0:c r="AB503" s="7">
        <ns0:f>IF(T503&lt;0,A503,0)</ns0:f>
        <ns0:v>0</ns0:v>
      </ns0:c>
      <ns0:c r="AC503" s="16">
        <ns0:f>IF(AND(OR('前提と出典'!$C$36+'前提と出典'!$C$38=0,R503&gt;=0),OR('前提と出典'!$C$37+'前提と出典'!$C$38=0,S503&gt;=0)),0,A503)</ns0:f>
        <ns0:v>0</ns0:v>
      </ns0:c>
      <ns0:c r="AD503" s="7">
        <ns0:f>IF(W503&gt;=0,A503,1001)</ns0:f>
        <ns0:v>499</ns0:v>
      </ns0:c>
      <ns0:c r="AE503" s="7">
        <ns0:f>IF(W503&lt;0,A503,0)</ns0:f>
        <ns0:v>0</ns0:v>
      </ns0:c>
      <ns0:c r="AF503" s="16">
        <ns0:f>IF(AND(OR('前提と出典'!$C$36+'前提と出典'!$C$38=0,U503&gt;=0),OR('前提と出典'!$C$37+'前提と出典'!$C$38=0,V503&gt;=0)),0,A503)</ns0:f>
        <ns0:v>0</ns0:v>
      </ns0:c>
      <ns0:c r="AG503" s="7">
        <ns0:f>IF(Z503&gt;=0,A503,1001)</ns0:f>
        <ns0:v>499</ns0:v>
      </ns0:c>
      <ns0:c r="AH503" s="4">
        <ns0:f>IF(Z503&lt;0,A503,0)</ns0:f>
        <ns0:v>0</ns0:v>
      </ns0:c>
      <ns0:c r="AI503" s="12">
        <ns0:f>IF(AND(OR('前提と出典'!$C$36+'前提と出典'!$C$38=0,X503&gt;=0),OR('前提と出典'!$C$37+'前提と出典'!$C$38=0,Y503&gt;=0)),0,A503)</ns0:f>
        <ns0:v>0</ns0:v>
      </ns0:c>
    </ns0:row>
    <ns0:row r="504" ht="24" customHeight="1">
      <ns0:c r="A504" s="4" t="n">
        <ns0:v>500</ns0:v>
      </ns0:c>
      <ns0:c r="B504" s="12">
        <ns0:f>A504*('前提と出典'!$C$36+'前提と出典'!$C$38)</ns0:f>
        <ns0:v>350</ns0:v>
      </ns0:c>
      <ns0:c r="C504" s="12">
        <ns0:f>A504*('前提と出典'!$C$37+'前提と出典'!$C$38)</ns0:f>
        <ns0:v>300</ns0:v>
      </ns0:c>
      <ns0:c r="D504" s="16">
        <ns0:f>A504*('前提と出典'!$C$36*'契約別単価'!C5+'前提と出典'!$C$37*'契約別単価'!C6+'前提と出典'!$C$38*'契約別単価'!C7)</ns0:f>
        <ns0:v>3597.7653631284916</ns0:v>
      </ns0:c>
      <ns0:c r="E504" s="16">
        <ns0:f>A504*('前提と出典'!$C$36*'契約別単価'!E5+'前提と出典'!$C$37*'契約別単価'!E6+'前提と出典'!$C$38*'契約別単価'!E7)</ns0:f>
        <ns0:v>1256936.4616204565</ns0:v>
      </ns0:c>
      <ns0:c r="F504" s="16">
        <ns0:f>A504*('前提と出典'!$C$36*'契約別単価'!F5+'前提と出典'!$C$37*'契約別単価'!F6+'前提と出典'!$C$38*'契約別単価'!F7)</ns0:f>
        <ns0:v>365233.6065977291</ns0:v>
      </ns0:c>
      <ns0:c r="G504" s="16">
        <ns0:f>A504*('前提と出典'!$C$36*'契約別単価'!G5+'前提と出典'!$C$37*'契約別単価'!G6+'前提と出典'!$C$38*'契約別単価'!G7)</ns0:f>
        <ns0:v>995251.3966480447</ns0:v>
      </ns0:c>
      <ns0:c r="H504" s="16">
        <ns0:f>A504*('前提と出典'!$C$36*'契約別単価'!H5+'前提と出典'!$C$37*'契約別単価'!H6+'前提と出典'!$C$38*'契約別単価'!H7)</ns0:f>
        <ns0:v>345402.1504168888</ns0:v>
      </ns0:c>
      <ns0:c r="I504" s="16">
        <ns0:f>A504*('前提と出典'!$C$36*'契約別単価'!I5+'前提と出典'!$C$37*'契約別単価'!I6+'前提と出典'!$C$38*'契約別単価'!I7)</ns0:f>
        <ns0:v>21097.76536312849</ns0:v>
      </ns0:c>
      <ns0:c r="J504" s="16">
        <ns0:f>A504*('前提と出典'!$C$36*'契約別単価'!J5+'前提と出典'!$C$37*'契約別単価'!J6+'前提と出典'!$C$38*'契約別単価'!J7)</ns0:f>
        <ns0:v>49144.77185515128</ns0:v>
      </ns0:c>
      <ns0:c r="K504" s="16">
        <ns0:f>A504*('前提と出典'!$C$36*'契約別単価'!K5+'前提と出典'!$C$37*'契約別単価'!K6+'前提と出典'!$C$38*'契約別単価'!K7)</ns0:f>
        <ns0:v>210651.76908752325</ns0:v>
      </ns0:c>
      <ns0:c r="L504" s="16">
        <ns0:f>A504*('前提と出典'!$C$36*'契約別単価'!L5+'前提と出典'!$C$37*'契約別単価'!L6+'前提と出典'!$C$38*'契約別単価'!L7)</ns0:f>
        <ns0:v>171513.4050138963</ns0:v>
      </ns0:c>
      <ns0:c r="M504" s="16">
        <ns0:f>IF(('前提と出典'!$C$36+'前提と出典'!$C$38)=0,0,IF(B504&lt;=10,'前提と出典'!B73+'前提と出典'!C73,IF(B504&lt;=100,'前提と出典'!B74+'前提と出典'!C74,IF(B504&lt;=500,'前提と出典'!B75+'前提と出典'!C75,'前提と出典'!B76+'前提と出典'!C76))))</ns0:f>
        <ns0:v>40000</ns0:v>
      </ns0:c>
      <ns0:c r="N504" s="16">
        <ns0:f>IF(('前提と出典'!$C$37+'前提と出典'!$C$38)=0,0,IF(C504&lt;=10,'前提と出典'!D73+'前提と出典'!E73,IF(C504&lt;=100,'前提と出典'!D74+'前提と出典'!E74,IF(C504&lt;=500,'前提と出典'!D75+'前提と出典'!E75,'前提と出典'!D76+'前提と出典'!E76))))</ns0:f>
        <ns0:v>56510.9346263078</ns0:v>
      </ns0:c>
      <ns0:c r="O504" s="16">
        <ns0:f>IF('前提と出典'!$C$36+'前提と出典'!$C$38=0,0,'前提と出典'!$B$4*IF('前提と出典'!$B$20=0,MAX('前提と出典'!$B$6,D504*'前提と出典'!$B$5),'前提と出典'!$B$6+D504*'前提と出典'!$B$5))</ns0:f>
        <ns0:v>496491.62011173187</ns0:v>
      </ns0:c>
      <ns0:c r="P504" s="16">
        <ns0:f>(E504+G504)*(1-'前提と出典'!$B$7)-I504-K504-M504-O504</ns0:f>
        <ns0:v>1402867.9408084517</ns0:v>
      </ns0:c>
      <ns0:c r="Q504" s="16">
        <ns0:f>(F504+H504)*(1-'前提と出典'!$B$7)-J504-L504-N504</ns0:f>
        <ns0:v>407883.7582667363</ns0:v>
      </ns0:c>
      <ns0:c r="R504" s="16">
        <ns0:f>P504-E504*'前提と出典'!$E$4</ns0:f>
        <ns0:v>1025787.0023223148</ns0:v>
      </ns0:c>
      <ns0:c r="S504" s="16">
        <ns0:f>Q504-F504*'前提と出典'!$E$4</ns0:f>
        <ns0:v>298313.67628741753</ns0:v>
      </ns0:c>
      <ns0:c r="T504" s="7">
        <ns0:f>R504+S504</ns0:f>
        <ns0:v>1324100.6786097323</ns0:v>
      </ns0:c>
      <ns0:c r="U504" s="16">
        <ns0:f>P504-E504*'前提と出典'!$E$5</ns0:f>
        <ns0:v>900093.3561602691</ns0:v>
      </ns0:c>
      <ns0:c r="V504" s="16">
        <ns0:f>Q504-F504*'前提と出典'!$E$5</ns0:f>
        <ns0:v>261790.31562764465</ns0:v>
      </ns0:c>
      <ns0:c r="W504" s="7">
        <ns0:f>U504+V504</ns0:f>
        <ns0:v>1161883.671787914</ns0:v>
      </ns0:c>
      <ns0:c r="X504" s="16">
        <ns0:f>P504-E504*'前提と出典'!$E$6</ns0:f>
        <ns0:v>774399.7099982235</ns0:v>
      </ns0:c>
      <ns0:c r="Y504" s="16">
        <ns0:f>Q504-F504*'前提と出典'!$E$6</ns0:f>
        <ns0:v>225266.95496787177</ns0:v>
      </ns0:c>
      <ns0:c r="Z504" s="7">
        <ns0:f>X504+Y504</ns0:f>
        <ns0:v>999666.6649660952</ns0:v>
      </ns0:c>
      <ns0:c r="AA504" s="7">
        <ns0:f>IF(T504&gt;=0,A504,1001)</ns0:f>
        <ns0:v>500</ns0:v>
      </ns0:c>
      <ns0:c r="AB504" s="7">
        <ns0:f>IF(T504&lt;0,A504,0)</ns0:f>
        <ns0:v>0</ns0:v>
      </ns0:c>
      <ns0:c r="AC504" s="16">
        <ns0:f>IF(AND(OR('前提と出典'!$C$36+'前提と出典'!$C$38=0,R504&gt;=0),OR('前提と出典'!$C$37+'前提と出典'!$C$38=0,S504&gt;=0)),0,A504)</ns0:f>
        <ns0:v>0</ns0:v>
      </ns0:c>
      <ns0:c r="AD504" s="7">
        <ns0:f>IF(W504&gt;=0,A504,1001)</ns0:f>
        <ns0:v>500</ns0:v>
      </ns0:c>
      <ns0:c r="AE504" s="7">
        <ns0:f>IF(W504&lt;0,A504,0)</ns0:f>
        <ns0:v>0</ns0:v>
      </ns0:c>
      <ns0:c r="AF504" s="16">
        <ns0:f>IF(AND(OR('前提と出典'!$C$36+'前提と出典'!$C$38=0,U504&gt;=0),OR('前提と出典'!$C$37+'前提と出典'!$C$38=0,V504&gt;=0)),0,A504)</ns0:f>
        <ns0:v>0</ns0:v>
      </ns0:c>
      <ns0:c r="AG504" s="7">
        <ns0:f>IF(Z504&gt;=0,A504,1001)</ns0:f>
        <ns0:v>500</ns0:v>
      </ns0:c>
      <ns0:c r="AH504" s="4">
        <ns0:f>IF(Z504&lt;0,A504,0)</ns0:f>
        <ns0:v>0</ns0:v>
      </ns0:c>
      <ns0:c r="AI504" s="12">
        <ns0:f>IF(AND(OR('前提と出典'!$C$36+'前提と出典'!$C$38=0,X504&gt;=0),OR('前提と出典'!$C$37+'前提と出典'!$C$38=0,Y504&gt;=0)),0,A504)</ns0:f>
        <ns0:v>0</ns0:v>
      </ns0:c>
    </ns0:row>
    <ns0:row r="505" ht="24" customHeight="1">
      <ns0:c r="A505" s="4" t="n">
        <ns0:v>501</ns0:v>
      </ns0:c>
      <ns0:c r="B505" s="12">
        <ns0:f>A505*('前提と出典'!$C$36+'前提と出典'!$C$38)</ns0:f>
        <ns0:v>350.7</ns0:v>
      </ns0:c>
      <ns0:c r="C505" s="12">
        <ns0:f>A505*('前提と出典'!$C$37+'前提と出典'!$C$38)</ns0:f>
        <ns0:v>300.59999999999997</ns0:v>
      </ns0:c>
      <ns0:c r="D505" s="16">
        <ns0:f>A505*('前提と出典'!$C$36*'契約別単価'!C5+'前提と出典'!$C$37*'契約別単価'!C6+'前提と出典'!$C$38*'契約別単価'!C7)</ns0:f>
        <ns0:v>3604.9608938547485</ns0:v>
      </ns0:c>
      <ns0:c r="E505" s="16">
        <ns0:f>A505*('前提と出典'!$C$36*'契約別単価'!E5+'前提と出典'!$C$37*'契約別単価'!E6+'前提と出典'!$C$38*'契約別単価'!E7)</ns0:f>
        <ns0:v>1259450.3345436975</ns0:v>
      </ns0:c>
      <ns0:c r="F505" s="16">
        <ns0:f>A505*('前提と出典'!$C$36*'契約別単価'!F5+'前提と出典'!$C$37*'契約別単価'!F6+'前提と出典'!$C$38*'契約別単価'!F7)</ns0:f>
        <ns0:v>365964.07381092454</ns0:v>
      </ns0:c>
      <ns0:c r="G505" s="16">
        <ns0:f>A505*('前提と出典'!$C$36*'契約別単価'!G5+'前提と出典'!$C$37*'契約別単価'!G6+'前提と出典'!$C$38*'契約別単価'!G7)</ns0:f>
        <ns0:v>997241.8994413407</ns0:v>
      </ns0:c>
      <ns0:c r="H505" s="16">
        <ns0:f>A505*('前提と出典'!$C$36*'契約別単価'!H5+'前提と出典'!$C$37*'契約別単価'!H6+'前提と出典'!$C$38*'契約別単価'!H7)</ns0:f>
        <ns0:v>346092.9547177226</ns0:v>
      </ns0:c>
      <ns0:c r="I505" s="16">
        <ns0:f>A505*('前提と出典'!$C$36*'契約別単価'!I5+'前提と出典'!$C$37*'契約別単価'!I6+'前提と出典'!$C$38*'契約別単価'!I7)</ns0:f>
        <ns0:v>21139.960893854746</ns0:v>
      </ns0:c>
      <ns0:c r="J505" s="16">
        <ns0:f>A505*('前提と出典'!$C$36*'契約別単価'!J5+'前提と出典'!$C$37*'契約別単価'!J6+'前提と出典'!$C$38*'契約別単価'!J7)</ns0:f>
        <ns0:v>49243.06139886159</ns0:v>
      </ns0:c>
      <ns0:c r="K505" s="16">
        <ns0:f>A505*('前提と出典'!$C$36*'契約別単価'!K5+'前提と出典'!$C$37*'契約別単価'!K6+'前提と出典'!$C$38*'契約別単価'!K7)</ns0:f>
        <ns0:v>211073.07262569832</ns0:v>
      </ns0:c>
      <ns0:c r="L505" s="16">
        <ns0:f>A505*('前提と出典'!$C$36*'契約別単価'!L5+'前提と出典'!$C$37*'契約別単価'!L6+'前提と出典'!$C$38*'契約別単価'!L7)</ns0:f>
        <ns0:v>171856.43182392407</ns0:v>
      </ns0:c>
      <ns0:c r="M505" s="16">
        <ns0:f>IF(('前提と出典'!$C$36+'前提と出典'!$C$38)=0,0,IF(B505&lt;=10,'前提と出典'!B73+'前提と出典'!C73,IF(B505&lt;=100,'前提と出典'!B74+'前提と出典'!C74,IF(B505&lt;=500,'前提と出典'!B75+'前提と出典'!C75,'前提と出典'!B76+'前提と出典'!C76))))</ns0:f>
        <ns0:v>40000</ns0:v>
      </ns0:c>
      <ns0:c r="N505" s="16">
        <ns0:f>IF(('前提と出典'!$C$37+'前提と出典'!$C$38)=0,0,IF(C505&lt;=10,'前提と出典'!D73+'前提と出典'!E73,IF(C505&lt;=100,'前提と出典'!D74+'前提と出典'!E74,IF(C505&lt;=500,'前提と出典'!D75+'前提と出典'!E75,'前提と出典'!D76+'前提と出典'!E76))))</ns0:f>
        <ns0:v>56510.9346263078</ns0:v>
      </ns0:c>
      <ns0:c r="O505" s="16">
        <ns0:f>IF('前提と出典'!$C$36+'前提と出典'!$C$38=0,0,'前提と出典'!$B$4*IF('前提と出典'!$B$20=0,MAX('前提と出典'!$B$6,D505*'前提と出典'!$B$5),'前提と出典'!$B$6+D505*'前提と出典'!$B$5))</ns0:f>
        <ns0:v>497484.6033519553</ns0:v>
      </ns0:c>
      <ns0:c r="P505" s="16">
        <ns0:f>(E505+G505)*(1-'前提と出典'!$B$7)-I505-K505-M505-O505</ns0:f>
        <ns0:v>1405753.6766900688</ns0:v>
      </ns0:c>
      <ns0:c r="Q505" s="16">
        <ns0:f>(F505+H505)*(1-'前提と出典'!$B$7)-J505-L505-N505</ns0:f>
        <ns0:v>408812.54765252245</ns0:v>
      </ns0:c>
      <ns0:c r="R505" s="16">
        <ns0:f>P505-E505*'前提と出典'!$E$4</ns0:f>
        <ns0:v>1027918.5763269595</ns0:v>
      </ns0:c>
      <ns0:c r="S505" s="16">
        <ns0:f>Q505-F505*'前提と出典'!$E$4</ns0:f>
        <ns0:v>299023.32550924504</ns0:v>
      </ns0:c>
      <ns0:c r="T505" s="7">
        <ns0:f>R505+S505</ns0:f>
        <ns0:v>1326941.9018362046</ns0:v>
      </ns0:c>
      <ns0:c r="U505" s="16">
        <ns0:f>P505-E505*'前提と出典'!$E$5</ns0:f>
        <ns0:v>901973.5428725898</ns0:v>
      </ns0:c>
      <ns0:c r="V505" s="16">
        <ns0:f>Q505-F505*'前提と出典'!$E$5</ns0:f>
        <ns0:v>262426.9181281526</ns0:v>
      </ns0:c>
      <ns0:c r="W505" s="7">
        <ns0:f>U505+V505</ns0:f>
        <ns0:v>1164400.4610007424</ns0:v>
      </ns0:c>
      <ns0:c r="X505" s="16">
        <ns0:f>P505-E505*'前提と出典'!$E$6</ns0:f>
        <ns0:v>776028.50941822</ns0:v>
      </ns0:c>
      <ns0:c r="Y505" s="16">
        <ns0:f>Q505-F505*'前提と出典'!$E$6</ns0:f>
        <ns0:v>225830.51074706012</ns0:v>
      </ns0:c>
      <ns0:c r="Z505" s="7">
        <ns0:f>X505+Y505</ns0:f>
        <ns0:v>1001859.0201652802</ns0:v>
      </ns0:c>
      <ns0:c r="AA505" s="7">
        <ns0:f>IF(T505&gt;=0,A505,1001)</ns0:f>
        <ns0:v>501</ns0:v>
      </ns0:c>
      <ns0:c r="AB505" s="7">
        <ns0:f>IF(T505&lt;0,A505,0)</ns0:f>
        <ns0:v>0</ns0:v>
      </ns0:c>
      <ns0:c r="AC505" s="16">
        <ns0:f>IF(AND(OR('前提と出典'!$C$36+'前提と出典'!$C$38=0,R505&gt;=0),OR('前提と出典'!$C$37+'前提と出典'!$C$38=0,S505&gt;=0)),0,A505)</ns0:f>
        <ns0:v>0</ns0:v>
      </ns0:c>
      <ns0:c r="AD505" s="7">
        <ns0:f>IF(W505&gt;=0,A505,1001)</ns0:f>
        <ns0:v>501</ns0:v>
      </ns0:c>
      <ns0:c r="AE505" s="7">
        <ns0:f>IF(W505&lt;0,A505,0)</ns0:f>
        <ns0:v>0</ns0:v>
      </ns0:c>
      <ns0:c r="AF505" s="16">
        <ns0:f>IF(AND(OR('前提と出典'!$C$36+'前提と出典'!$C$38=0,U505&gt;=0),OR('前提と出典'!$C$37+'前提と出典'!$C$38=0,V505&gt;=0)),0,A505)</ns0:f>
        <ns0:v>0</ns0:v>
      </ns0:c>
      <ns0:c r="AG505" s="7">
        <ns0:f>IF(Z505&gt;=0,A505,1001)</ns0:f>
        <ns0:v>501</ns0:v>
      </ns0:c>
      <ns0:c r="AH505" s="4">
        <ns0:f>IF(Z505&lt;0,A505,0)</ns0:f>
        <ns0:v>0</ns0:v>
      </ns0:c>
      <ns0:c r="AI505" s="12">
        <ns0:f>IF(AND(OR('前提と出典'!$C$36+'前提と出典'!$C$38=0,X505&gt;=0),OR('前提と出典'!$C$37+'前提と出典'!$C$38=0,Y505&gt;=0)),0,A505)</ns0:f>
        <ns0:v>0</ns0:v>
      </ns0:c>
    </ns0:row>
    <ns0:row r="506" ht="24" customHeight="1">
      <ns0:c r="A506" s="4" t="n">
        <ns0:v>502</ns0:v>
      </ns0:c>
      <ns0:c r="B506" s="12">
        <ns0:f>A506*('前提と出典'!$C$36+'前提と出典'!$C$38)</ns0:f>
        <ns0:v>351.4</ns0:v>
      </ns0:c>
      <ns0:c r="C506" s="12">
        <ns0:f>A506*('前提と出典'!$C$37+'前提と出典'!$C$38)</ns0:f>
        <ns0:v>301.2</ns0:v>
      </ns0:c>
      <ns0:c r="D506" s="16">
        <ns0:f>A506*('前提と出典'!$C$36*'契約別単価'!C5+'前提と出典'!$C$37*'契約別単価'!C6+'前提と出典'!$C$38*'契約別単価'!C7)</ns0:f>
        <ns0:v>3612.1564245810055</ns0:v>
      </ns0:c>
      <ns0:c r="E506" s="16">
        <ns0:f>A506*('前提と出典'!$C$36*'契約別単価'!E5+'前提と出典'!$C$37*'契約別単価'!E6+'前提と出典'!$C$38*'契約別単価'!E7)</ns0:f>
        <ns0:v>1261964.2074669385</ns0:v>
      </ns0:c>
      <ns0:c r="F506" s="16">
        <ns0:f>A506*('前提と出典'!$C$36*'契約別単価'!F5+'前提と出典'!$C$37*'契約別単価'!F6+'前提と出典'!$C$38*'契約別単価'!F7)</ns0:f>
        <ns0:v>366694.54102412</ns0:v>
      </ns0:c>
      <ns0:c r="G506" s="16">
        <ns0:f>A506*('前提と出典'!$C$36*'契約別単価'!G5+'前提と出典'!$C$37*'契約別単価'!G6+'前提と出典'!$C$38*'契約別単価'!G7)</ns0:f>
        <ns0:v>999232.4022346368</ns0:v>
      </ns0:c>
      <ns0:c r="H506" s="16">
        <ns0:f>A506*('前提と出典'!$C$36*'契約別単価'!H5+'前提と出典'!$C$37*'契約別単価'!H6+'前提と出典'!$C$38*'契約別単価'!H7)</ns0:f>
        <ns0:v>346783.7590185564</ns0:v>
      </ns0:c>
      <ns0:c r="I506" s="16">
        <ns0:f>A506*('前提と出典'!$C$36*'契約別単価'!I5+'前提と出典'!$C$37*'契約別単価'!I6+'前提と出典'!$C$38*'契約別単価'!I7)</ns0:f>
        <ns0:v>21182.156424581</ns0:v>
      </ns0:c>
      <ns0:c r="J506" s="16">
        <ns0:f>A506*('前提と出典'!$C$36*'契約別単価'!J5+'前提と出典'!$C$37*'契約別単価'!J6+'前提と出典'!$C$38*'契約別単価'!J7)</ns0:f>
        <ns0:v>49341.35094257189</ns0:v>
      </ns0:c>
      <ns0:c r="K506" s="16">
        <ns0:f>A506*('前提と出典'!$C$36*'契約別単価'!K5+'前提と出典'!$C$37*'契約別単価'!K6+'前提と出典'!$C$38*'契約別単価'!K7)</ns0:f>
        <ns0:v>211494.37616387336</ns0:v>
      </ns0:c>
      <ns0:c r="L506" s="16">
        <ns0:f>A506*('前提と出典'!$C$36*'契約別単価'!L5+'前提と出典'!$C$37*'契約別単価'!L6+'前提と出典'!$C$38*'契約別単価'!L7)</ns0:f>
        <ns0:v>172199.45863395187</ns0:v>
      </ns0:c>
      <ns0:c r="M506" s="16">
        <ns0:f>IF(('前提と出典'!$C$36+'前提と出典'!$C$38)=0,0,IF(B506&lt;=10,'前提と出典'!B73+'前提と出典'!C73,IF(B506&lt;=100,'前提と出典'!B74+'前提と出典'!C74,IF(B506&lt;=500,'前提と出典'!B75+'前提と出典'!C75,'前提と出典'!B76+'前提と出典'!C76))))</ns0:f>
        <ns0:v>40000</ns0:v>
      </ns0:c>
      <ns0:c r="N506" s="16">
        <ns0:f>IF(('前提と出典'!$C$37+'前提と出典'!$C$38)=0,0,IF(C506&lt;=10,'前提と出典'!D73+'前提と出典'!E73,IF(C506&lt;=100,'前提と出典'!D74+'前提と出典'!E74,IF(C506&lt;=500,'前提と出典'!D75+'前提と出典'!E75,'前提と出典'!D76+'前提と出典'!E76))))</ns0:f>
        <ns0:v>56510.9346263078</ns0:v>
      </ns0:c>
      <ns0:c r="O506" s="16">
        <ns0:f>IF('前提と出典'!$C$36+'前提と出典'!$C$38=0,0,'前提と出典'!$B$4*IF('前提と出典'!$B$20=0,MAX('前提と出典'!$B$6,D506*'前提と出典'!$B$5),'前提と出典'!$B$6+D506*'前提と出典'!$B$5))</ns0:f>
        <ns0:v>498477.5865921788</ns0:v>
      </ns0:c>
      <ns0:c r="P506" s="16">
        <ns0:f>(E506+G506)*(1-'前提と出典'!$B$7)-I506-K506-M506-O506</ns0:f>
        <ns0:v>1408639.4125716854</ns0:v>
      </ns0:c>
      <ns0:c r="Q506" s="16">
        <ns0:f>(F506+H506)*(1-'前提と出典'!$B$7)-J506-L506-N506</ns0:f>
        <ns0:v>409741.3370383085</ns0:v>
      </ns0:c>
      <ns0:c r="R506" s="16">
        <ns0:f>P506-E506*'前提と出典'!$E$4</ns0:f>
        <ns0:v>1030050.1503316038</ns0:v>
      </ns0:c>
      <ns0:c r="S506" s="16">
        <ns0:f>Q506-F506*'前提と出典'!$E$4</ns0:f>
        <ns0:v>299732.97473107255</ns0:v>
      </ns0:c>
      <ns0:c r="T506" s="7">
        <ns0:f>R506+S506</ns0:f>
        <ns0:v>1329783.1250626764</ns0:v>
      </ns0:c>
      <ns0:c r="U506" s="16">
        <ns0:f>P506-E506*'前提と出典'!$E$5</ns0:f>
        <ns0:v>903853.72958491</ns0:v>
      </ns0:c>
      <ns0:c r="V506" s="16">
        <ns0:f>Q506-F506*'前提と出典'!$E$5</ns0:f>
        <ns0:v>263063.52062866045</ns0:v>
      </ns0:c>
      <ns0:c r="W506" s="7">
        <ns0:f>U506+V506</ns0:f>
        <ns0:v>1166917.2502135704</ns0:v>
      </ns0:c>
      <ns0:c r="X506" s="16">
        <ns0:f>P506-E506*'前提と出典'!$E$6</ns0:f>
        <ns0:v>777657.3088382161</ns0:v>
      </ns0:c>
      <ns0:c r="Y506" s="16">
        <ns0:f>Q506-F506*'前提と出典'!$E$6</ns0:f>
        <ns0:v>226394.06652624847</ns0:v>
      </ns0:c>
      <ns0:c r="Z506" s="7">
        <ns0:f>X506+Y506</ns0:f>
        <ns0:v>1004051.3753644646</ns0:v>
      </ns0:c>
      <ns0:c r="AA506" s="7">
        <ns0:f>IF(T506&gt;=0,A506,1001)</ns0:f>
        <ns0:v>502</ns0:v>
      </ns0:c>
      <ns0:c r="AB506" s="7">
        <ns0:f>IF(T506&lt;0,A506,0)</ns0:f>
        <ns0:v>0</ns0:v>
      </ns0:c>
      <ns0:c r="AC506" s="16">
        <ns0:f>IF(AND(OR('前提と出典'!$C$36+'前提と出典'!$C$38=0,R506&gt;=0),OR('前提と出典'!$C$37+'前提と出典'!$C$38=0,S506&gt;=0)),0,A506)</ns0:f>
        <ns0:v>0</ns0:v>
      </ns0:c>
      <ns0:c r="AD506" s="7">
        <ns0:f>IF(W506&gt;=0,A506,1001)</ns0:f>
        <ns0:v>502</ns0:v>
      </ns0:c>
      <ns0:c r="AE506" s="7">
        <ns0:f>IF(W506&lt;0,A506,0)</ns0:f>
        <ns0:v>0</ns0:v>
      </ns0:c>
      <ns0:c r="AF506" s="16">
        <ns0:f>IF(AND(OR('前提と出典'!$C$36+'前提と出典'!$C$38=0,U506&gt;=0),OR('前提と出典'!$C$37+'前提と出典'!$C$38=0,V506&gt;=0)),0,A506)</ns0:f>
        <ns0:v>0</ns0:v>
      </ns0:c>
      <ns0:c r="AG506" s="7">
        <ns0:f>IF(Z506&gt;=0,A506,1001)</ns0:f>
        <ns0:v>502</ns0:v>
      </ns0:c>
      <ns0:c r="AH506" s="4">
        <ns0:f>IF(Z506&lt;0,A506,0)</ns0:f>
        <ns0:v>0</ns0:v>
      </ns0:c>
      <ns0:c r="AI506" s="12">
        <ns0:f>IF(AND(OR('前提と出典'!$C$36+'前提と出典'!$C$38=0,X506&gt;=0),OR('前提と出典'!$C$37+'前提と出典'!$C$38=0,Y506&gt;=0)),0,A506)</ns0:f>
        <ns0:v>0</ns0:v>
      </ns0:c>
    </ns0:row>
    <ns0:row r="507" ht="24" customHeight="1">
      <ns0:c r="A507" s="4" t="n">
        <ns0:v>503</ns0:v>
      </ns0:c>
      <ns0:c r="B507" s="12">
        <ns0:f>A507*('前提と出典'!$C$36+'前提と出典'!$C$38)</ns0:f>
        <ns0:v>352.09999999999997</ns0:v>
      </ns0:c>
      <ns0:c r="C507" s="12">
        <ns0:f>A507*('前提と出典'!$C$37+'前提と出典'!$C$38)</ns0:f>
        <ns0:v>301.8</ns0:v>
      </ns0:c>
      <ns0:c r="D507" s="16">
        <ns0:f>A507*('前提と出典'!$C$36*'契約別単価'!C5+'前提と出典'!$C$37*'契約別単価'!C6+'前提と出典'!$C$38*'契約別単価'!C7)</ns0:f>
        <ns0:v>3619.3519553072624</ns0:v>
      </ns0:c>
      <ns0:c r="E507" s="16">
        <ns0:f>A507*('前提と出典'!$C$36*'契約別単価'!E5+'前提と出典'!$C$37*'契約別単価'!E6+'前提と出典'!$C$38*'契約別単価'!E7)</ns0:f>
        <ns0:v>1264478.0803901793</ns0:v>
      </ns0:c>
      <ns0:c r="F507" s="16">
        <ns0:f>A507*('前提と出典'!$C$36*'契約別単価'!F5+'前提と出典'!$C$37*'契約別単価'!F6+'前提と出典'!$C$38*'契約別単価'!F7)</ns0:f>
        <ns0:v>367425.00823731546</ns0:v>
      </ns0:c>
      <ns0:c r="G507" s="16">
        <ns0:f>A507*('前提と出典'!$C$36*'契約別単価'!G5+'前提と出典'!$C$37*'契約別単価'!G6+'前提と出典'!$C$38*'契約別単価'!G7)</ns0:f>
        <ns0:v>1001222.905027933</ns0:v>
      </ns0:c>
      <ns0:c r="H507" s="16">
        <ns0:f>A507*('前提と出典'!$C$36*'契約別単価'!H5+'前提と出典'!$C$37*'契約別単価'!H6+'前提と出典'!$C$38*'契約別単価'!H7)</ns0:f>
        <ns0:v>347474.5633193902</ns0:v>
      </ns0:c>
      <ns0:c r="I507" s="16">
        <ns0:f>A507*('前提と出典'!$C$36*'契約別単価'!I5+'前提と出典'!$C$37*'契約別単価'!I6+'前提と出典'!$C$38*'契約別単価'!I7)</ns0:f>
        <ns0:v>21224.35195530726</ns0:v>
      </ns0:c>
      <ns0:c r="J507" s="16">
        <ns0:f>A507*('前提と出典'!$C$36*'契約別単価'!J5+'前提と出典'!$C$37*'契約別単価'!J6+'前提と出典'!$C$38*'契約別単価'!J7)</ns0:f>
        <ns0:v>49439.640486282195</ns0:v>
      </ns0:c>
      <ns0:c r="K507" s="16">
        <ns0:f>A507*('前提と出典'!$C$36*'契約別単価'!K5+'前提と出典'!$C$37*'契約別単価'!K6+'前提と出典'!$C$38*'契約別単価'!K7)</ns0:f>
        <ns0:v>211915.6797020484</ns0:v>
      </ns0:c>
      <ns0:c r="L507" s="16">
        <ns0:f>A507*('前提と出典'!$C$36*'契約別単価'!L5+'前提と出典'!$C$37*'契約別単価'!L6+'前提と出典'!$C$38*'契約別単価'!L7)</ns0:f>
        <ns0:v>172542.48544397968</ns0:v>
      </ns0:c>
      <ns0:c r="M507" s="16">
        <ns0:f>IF(('前提と出典'!$C$36+'前提と出典'!$C$38)=0,0,IF(B507&lt;=10,'前提と出典'!B73+'前提と出典'!C73,IF(B507&lt;=100,'前提と出典'!B74+'前提と出典'!C74,IF(B507&lt;=500,'前提と出典'!B75+'前提と出典'!C75,'前提と出典'!B76+'前提と出典'!C76))))</ns0:f>
        <ns0:v>40000</ns0:v>
      </ns0:c>
      <ns0:c r="N507" s="16">
        <ns0:f>IF(('前提と出典'!$C$37+'前提と出典'!$C$38)=0,0,IF(C507&lt;=10,'前提と出典'!D73+'前提と出典'!E73,IF(C507&lt;=100,'前提と出典'!D74+'前提と出典'!E74,IF(C507&lt;=500,'前提と出典'!D75+'前提と出典'!E75,'前提と出典'!D76+'前提と出典'!E76))))</ns0:f>
        <ns0:v>56510.9346263078</ns0:v>
      </ns0:c>
      <ns0:c r="O507" s="16">
        <ns0:f>IF('前提と出典'!$C$36+'前提と出典'!$C$38=0,0,'前提と出典'!$B$4*IF('前提と出典'!$B$20=0,MAX('前提と出典'!$B$6,D507*'前提と出典'!$B$5),'前提と出典'!$B$6+D507*'前提と出典'!$B$5))</ns0:f>
        <ns0:v>499470.5698324022</ns0:v>
      </ns0:c>
      <ns0:c r="P507" s="16">
        <ns0:f>(E507+G507)*(1-'前提と出典'!$B$7)-I507-K507-M507-O507</ns0:f>
        <ns0:v>1411525.148453302</ns0:v>
      </ns0:c>
      <ns0:c r="Q507" s="16">
        <ns0:f>(F507+H507)*(1-'前提と出典'!$B$7)-J507-L507-N507</ns0:f>
        <ns0:v>410670.12642409455</ns0:v>
      </ns0:c>
      <ns0:c r="R507" s="16">
        <ns0:f>P507-E507*'前提と出典'!$E$4</ns0:f>
        <ns0:v>1032181.7243362481</ns0:v>
      </ns0:c>
      <ns0:c r="S507" s="16">
        <ns0:f>Q507-F507*'前提と出典'!$E$4</ns0:f>
        <ns0:v>300442.6239529</ns0:v>
      </ns0:c>
      <ns0:c r="T507" s="7">
        <ns0:f>R507+S507</ns0:f>
        <ns0:v>1332624.3482891482</ns0:v>
      </ns0:c>
      <ns0:c r="U507" s="16">
        <ns0:f>P507-E507*'前提と出典'!$E$5</ns0:f>
        <ns0:v>905733.9162972302</ns0:v>
      </ns0:c>
      <ns0:c r="V507" s="16">
        <ns0:f>Q507-F507*'前提と出典'!$E$5</ns0:f>
        <ns0:v>263700.12312916835</ns0:v>
      </ns0:c>
      <ns0:c r="W507" s="7">
        <ns0:f>U507+V507</ns0:f>
        <ns0:v>1169434.0394263985</ns0:v>
      </ns0:c>
      <ns0:c r="X507" s="16">
        <ns0:f>P507-E507*'前提と出典'!$E$6</ns0:f>
        <ns0:v>779286.1082582122</ns0:v>
      </ns0:c>
      <ns0:c r="Y507" s="16">
        <ns0:f>Q507-F507*'前提と出典'!$E$6</ns0:f>
        <ns0:v>226957.62230543676</ns0:v>
      </ns0:c>
      <ns0:c r="Z507" s="7">
        <ns0:f>X507+Y507</ns0:f>
        <ns0:v>1006243.730563649</ns0:v>
      </ns0:c>
      <ns0:c r="AA507" s="7">
        <ns0:f>IF(T507&gt;=0,A507,1001)</ns0:f>
        <ns0:v>503</ns0:v>
      </ns0:c>
      <ns0:c r="AB507" s="7">
        <ns0:f>IF(T507&lt;0,A507,0)</ns0:f>
        <ns0:v>0</ns0:v>
      </ns0:c>
      <ns0:c r="AC507" s="16">
        <ns0:f>IF(AND(OR('前提と出典'!$C$36+'前提と出典'!$C$38=0,R507&gt;=0),OR('前提と出典'!$C$37+'前提と出典'!$C$38=0,S507&gt;=0)),0,A507)</ns0:f>
        <ns0:v>0</ns0:v>
      </ns0:c>
      <ns0:c r="AD507" s="7">
        <ns0:f>IF(W507&gt;=0,A507,1001)</ns0:f>
        <ns0:v>503</ns0:v>
      </ns0:c>
      <ns0:c r="AE507" s="7">
        <ns0:f>IF(W507&lt;0,A507,0)</ns0:f>
        <ns0:v>0</ns0:v>
      </ns0:c>
      <ns0:c r="AF507" s="16">
        <ns0:f>IF(AND(OR('前提と出典'!$C$36+'前提と出典'!$C$38=0,U507&gt;=0),OR('前提と出典'!$C$37+'前提と出典'!$C$38=0,V507&gt;=0)),0,A507)</ns0:f>
        <ns0:v>0</ns0:v>
      </ns0:c>
      <ns0:c r="AG507" s="7">
        <ns0:f>IF(Z507&gt;=0,A507,1001)</ns0:f>
        <ns0:v>503</ns0:v>
      </ns0:c>
      <ns0:c r="AH507" s="4">
        <ns0:f>IF(Z507&lt;0,A507,0)</ns0:f>
        <ns0:v>0</ns0:v>
      </ns0:c>
      <ns0:c r="AI507" s="12">
        <ns0:f>IF(AND(OR('前提と出典'!$C$36+'前提と出典'!$C$38=0,X507&gt;=0),OR('前提と出典'!$C$37+'前提と出典'!$C$38=0,Y507&gt;=0)),0,A507)</ns0:f>
        <ns0:v>0</ns0:v>
      </ns0:c>
    </ns0:row>
    <ns0:row r="508" ht="24" customHeight="1">
      <ns0:c r="A508" s="4" t="n">
        <ns0:v>504</ns0:v>
      </ns0:c>
      <ns0:c r="B508" s="12">
        <ns0:f>A508*('前提と出典'!$C$36+'前提と出典'!$C$38)</ns0:f>
        <ns0:v>352.79999999999995</ns0:v>
      </ns0:c>
      <ns0:c r="C508" s="12">
        <ns0:f>A508*('前提と出典'!$C$37+'前提と出典'!$C$38)</ns0:f>
        <ns0:v>302.4</ns0:v>
      </ns0:c>
      <ns0:c r="D508" s="16">
        <ns0:f>A508*('前提と出典'!$C$36*'契約別単価'!C5+'前提と出典'!$C$37*'契約別単価'!C6+'前提と出典'!$C$38*'契約別単価'!C7)</ns0:f>
        <ns0:v>3626.5474860335194</ns0:v>
      </ns0:c>
      <ns0:c r="E508" s="16">
        <ns0:f>A508*('前提と出典'!$C$36*'契約別単価'!E5+'前提と出典'!$C$37*'契約別単価'!E6+'前提と出典'!$C$38*'契約別単価'!E7)</ns0:f>
        <ns0:v>1266991.9533134203</ns0:v>
      </ns0:c>
      <ns0:c r="F508" s="16">
        <ns0:f>A508*('前提と出典'!$C$36*'契約別単価'!F5+'前提と出典'!$C$37*'契約別単価'!F6+'前提と出典'!$C$38*'契約別単価'!F7)</ns0:f>
        <ns0:v>368155.4754505109</ns0:v>
      </ns0:c>
      <ns0:c r="G508" s="16">
        <ns0:f>A508*('前提と出典'!$C$36*'契約別単価'!G5+'前提と出典'!$C$37*'契約別単価'!G6+'前提と出典'!$C$38*'契約別単価'!G7)</ns0:f>
        <ns0:v>1003213.407821229</ns0:v>
      </ns0:c>
      <ns0:c r="H508" s="16">
        <ns0:f>A508*('前提と出典'!$C$36*'契約別単価'!H5+'前提と出典'!$C$37*'契約別単価'!H6+'前提と出典'!$C$38*'契約別単価'!H7)</ns0:f>
        <ns0:v>348165.36762022396</ns0:v>
      </ns0:c>
      <ns0:c r="I508" s="16">
        <ns0:f>A508*('前提と出典'!$C$36*'契約別単価'!I5+'前提と出典'!$C$37*'契約別単価'!I6+'前提と出典'!$C$38*'契約別単価'!I7)</ns0:f>
        <ns0:v>21266.547486033516</ns0:v>
      </ns0:c>
      <ns0:c r="J508" s="16">
        <ns0:f>A508*('前提と出典'!$C$36*'契約別単価'!J5+'前提と出典'!$C$37*'契約別単価'!J6+'前提と出典'!$C$38*'契約別単価'!J7)</ns0:f>
        <ns0:v>49537.930029992494</ns0:v>
      </ns0:c>
      <ns0:c r="K508" s="16">
        <ns0:f>A508*('前提と出典'!$C$36*'契約別単価'!K5+'前提と出典'!$C$37*'契約別単価'!K6+'前提と出典'!$C$38*'契約別単価'!K7)</ns0:f>
        <ns0:v>212336.98324022346</ns0:v>
      </ns0:c>
      <ns0:c r="L508" s="16">
        <ns0:f>A508*('前提と出典'!$C$36*'契約別単価'!L5+'前提と出典'!$C$37*'契約別単価'!L6+'前提と出典'!$C$38*'契約別単価'!L7)</ns0:f>
        <ns0:v>172885.51225400745</ns0:v>
      </ns0:c>
      <ns0:c r="M508" s="16">
        <ns0:f>IF(('前提と出典'!$C$36+'前提と出典'!$C$38)=0,0,IF(B508&lt;=10,'前提と出典'!B73+'前提と出典'!C73,IF(B508&lt;=100,'前提と出典'!B74+'前提と出典'!C74,IF(B508&lt;=500,'前提と出典'!B75+'前提と出典'!C75,'前提と出典'!B76+'前提と出典'!C76))))</ns0:f>
        <ns0:v>40000</ns0:v>
      </ns0:c>
      <ns0:c r="N508" s="16">
        <ns0:f>IF(('前提と出典'!$C$37+'前提と出典'!$C$38)=0,0,IF(C508&lt;=10,'前提と出典'!D73+'前提と出典'!E73,IF(C508&lt;=100,'前提と出典'!D74+'前提と出典'!E74,IF(C508&lt;=500,'前提と出典'!D75+'前提と出典'!E75,'前提と出典'!D76+'前提と出典'!E76))))</ns0:f>
        <ns0:v>56510.9346263078</ns0:v>
      </ns0:c>
      <ns0:c r="O508" s="16">
        <ns0:f>IF('前提と出典'!$C$36+'前提と出典'!$C$38=0,0,'前提と出典'!$B$4*IF('前提と出典'!$B$20=0,MAX('前提と出典'!$B$6,D508*'前提と出典'!$B$5),'前提と出典'!$B$6+D508*'前提と出典'!$B$5))</ns0:f>
        <ns0:v>500463.55307262565</ns0:v>
      </ns0:c>
      <ns0:c r="P508" s="16">
        <ns0:f>(E508+G508)*(1-'前提と出典'!$B$7)-I508-K508-M508-O508</ns0:f>
        <ns0:v>1414410.884334919</ns0:v>
      </ns0:c>
      <ns0:c r="Q508" s="16">
        <ns0:f>(F508+H508)*(1-'前提と出典'!$B$7)-J508-L508-N508</ns0:f>
        <ns0:v>411598.9158098807</ns0:v>
      </ns0:c>
      <ns0:c r="R508" s="16">
        <ns0:f>P508-E508*'前提と出典'!$E$4</ns0:f>
        <ns0:v>1034313.298340893</ns0:v>
      </ns0:c>
      <ns0:c r="S508" s="16">
        <ns0:f>Q508-F508*'前提と出典'!$E$4</ns0:f>
        <ns0:v>301152.2731747274</ns0:v>
      </ns0:c>
      <ns0:c r="T508" s="7">
        <ns0:f>R508+S508</ns0:f>
        <ns0:v>1335465.5715156205</ns0:v>
      </ns0:c>
      <ns0:c r="U508" s="16">
        <ns0:f>P508-E508*'前提と出典'!$E$5</ns0:f>
        <ns0:v>907614.103009551</ns0:v>
      </ns0:c>
      <ns0:c r="V508" s="16">
        <ns0:f>Q508-F508*'前提と出典'!$E$5</ns0:f>
        <ns0:v>264336.7256296763</ns0:v>
      </ns0:c>
      <ns0:c r="W508" s="7">
        <ns0:f>U508+V508</ns0:f>
        <ns0:v>1171950.8286392272</ns0:v>
      </ns0:c>
      <ns0:c r="X508" s="16">
        <ns0:f>P508-E508*'前提と出典'!$E$6</ns0:f>
        <ns0:v>780914.9076782089</ns0:v>
      </ns0:c>
      <ns0:c r="Y508" s="16">
        <ns0:f>Q508-F508*'前提と出典'!$E$6</ns0:f>
        <ns0:v>227521.17808462528</ns0:v>
      </ns0:c>
      <ns0:c r="Z508" s="7">
        <ns0:f>X508+Y508</ns0:f>
        <ns0:v>1008436.0857628342</ns0:v>
      </ns0:c>
      <ns0:c r="AA508" s="7">
        <ns0:f>IF(T508&gt;=0,A508,1001)</ns0:f>
        <ns0:v>504</ns0:v>
      </ns0:c>
      <ns0:c r="AB508" s="7">
        <ns0:f>IF(T508&lt;0,A508,0)</ns0:f>
        <ns0:v>0</ns0:v>
      </ns0:c>
      <ns0:c r="AC508" s="16">
        <ns0:f>IF(AND(OR('前提と出典'!$C$36+'前提と出典'!$C$38=0,R508&gt;=0),OR('前提と出典'!$C$37+'前提と出典'!$C$38=0,S508&gt;=0)),0,A508)</ns0:f>
        <ns0:v>0</ns0:v>
      </ns0:c>
      <ns0:c r="AD508" s="7">
        <ns0:f>IF(W508&gt;=0,A508,1001)</ns0:f>
        <ns0:v>504</ns0:v>
      </ns0:c>
      <ns0:c r="AE508" s="7">
        <ns0:f>IF(W508&lt;0,A508,0)</ns0:f>
        <ns0:v>0</ns0:v>
      </ns0:c>
      <ns0:c r="AF508" s="16">
        <ns0:f>IF(AND(OR('前提と出典'!$C$36+'前提と出典'!$C$38=0,U508&gt;=0),OR('前提と出典'!$C$37+'前提と出典'!$C$38=0,V508&gt;=0)),0,A508)</ns0:f>
        <ns0:v>0</ns0:v>
      </ns0:c>
      <ns0:c r="AG508" s="7">
        <ns0:f>IF(Z508&gt;=0,A508,1001)</ns0:f>
        <ns0:v>504</ns0:v>
      </ns0:c>
      <ns0:c r="AH508" s="4">
        <ns0:f>IF(Z508&lt;0,A508,0)</ns0:f>
        <ns0:v>0</ns0:v>
      </ns0:c>
      <ns0:c r="AI508" s="12">
        <ns0:f>IF(AND(OR('前提と出典'!$C$36+'前提と出典'!$C$38=0,X508&gt;=0),OR('前提と出典'!$C$37+'前提と出典'!$C$38=0,Y508&gt;=0)),0,A508)</ns0:f>
        <ns0:v>0</ns0:v>
      </ns0:c>
    </ns0:row>
    <ns0:row r="509" ht="24" customHeight="1">
      <ns0:c r="A509" s="4" t="n">
        <ns0:v>505</ns0:v>
      </ns0:c>
      <ns0:c r="B509" s="12">
        <ns0:f>A509*('前提と出典'!$C$36+'前提と出典'!$C$38)</ns0:f>
        <ns0:v>353.5</ns0:v>
      </ns0:c>
      <ns0:c r="C509" s="12">
        <ns0:f>A509*('前提と出典'!$C$37+'前提と出典'!$C$38)</ns0:f>
        <ns0:v>303</ns0:v>
      </ns0:c>
      <ns0:c r="D509" s="16">
        <ns0:f>A509*('前提と出典'!$C$36*'契約別単価'!C5+'前提と出典'!$C$37*'契約別単価'!C6+'前提と出典'!$C$38*'契約別単価'!C7)</ns0:f>
        <ns0:v>3633.7430167597763</ns0:v>
      </ns0:c>
      <ns0:c r="E509" s="16">
        <ns0:f>A509*('前提と出典'!$C$36*'契約別単価'!E5+'前提と出典'!$C$37*'契約別単価'!E6+'前提と出典'!$C$38*'契約別単価'!E7)</ns0:f>
        <ns0:v>1269505.8262366613</ns0:v>
      </ns0:c>
      <ns0:c r="F509" s="16">
        <ns0:f>A509*('前提と出典'!$C$36*'契約別単価'!F5+'前提と出典'!$C$37*'契約別単価'!F6+'前提と出典'!$C$38*'契約別単価'!F7)</ns0:f>
        <ns0:v>368885.9426637064</ns0:v>
      </ns0:c>
      <ns0:c r="G509" s="16">
        <ns0:f>A509*('前提と出典'!$C$36*'契約別単価'!G5+'前提と出典'!$C$37*'契約別単価'!G6+'前提と出典'!$C$38*'契約別単価'!G7)</ns0:f>
        <ns0:v>1005203.9106145251</ns0:v>
      </ns0:c>
      <ns0:c r="H509" s="16">
        <ns0:f>A509*('前提と出典'!$C$36*'契約別単価'!H5+'前提と出典'!$C$37*'契約別単価'!H6+'前提と出典'!$C$38*'契約別単価'!H7)</ns0:f>
        <ns0:v>348856.17192105774</ns0:v>
      </ns0:c>
      <ns0:c r="I509" s="16">
        <ns0:f>A509*('前提と出典'!$C$36*'契約別単価'!I5+'前提と出典'!$C$37*'契約別単価'!I6+'前提と出典'!$C$38*'契約別単価'!I7)</ns0:f>
        <ns0:v>21308.743016759774</ns0:v>
      </ns0:c>
      <ns0:c r="J509" s="16">
        <ns0:f>A509*('前提と出典'!$C$36*'契約別単価'!J5+'前提と出典'!$C$37*'契約別単価'!J6+'前提と出典'!$C$38*'契約別単価'!J7)</ns0:f>
        <ns0:v>49636.219573702794</ns0:v>
      </ns0:c>
      <ns0:c r="K509" s="16">
        <ns0:f>A509*('前提と出典'!$C$36*'契約別単価'!K5+'前提と出典'!$C$37*'契約別単価'!K6+'前提と出典'!$C$38*'契約別単価'!K7)</ns0:f>
        <ns0:v>212758.2867783985</ns0:v>
      </ns0:c>
      <ns0:c r="L509" s="16">
        <ns0:f>A509*('前提と出典'!$C$36*'契約別単価'!L5+'前提と出典'!$C$37*'契約別単価'!L6+'前提と出典'!$C$38*'契約別単価'!L7)</ns0:f>
        <ns0:v>173228.53906403526</ns0:v>
      </ns0:c>
      <ns0:c r="M509" s="16">
        <ns0:f>IF(('前提と出典'!$C$36+'前提と出典'!$C$38)=0,0,IF(B509&lt;=10,'前提と出典'!B73+'前提と出典'!C73,IF(B509&lt;=100,'前提と出典'!B74+'前提と出典'!C74,IF(B509&lt;=500,'前提と出典'!B75+'前提と出典'!C75,'前提と出典'!B76+'前提と出典'!C76))))</ns0:f>
        <ns0:v>40000</ns0:v>
      </ns0:c>
      <ns0:c r="N509" s="16">
        <ns0:f>IF(('前提と出典'!$C$37+'前提と出典'!$C$38)=0,0,IF(C509&lt;=10,'前提と出典'!D73+'前提と出典'!E73,IF(C509&lt;=100,'前提と出典'!D74+'前提と出典'!E74,IF(C509&lt;=500,'前提と出典'!D75+'前提と出典'!E75,'前提と出典'!D76+'前提と出典'!E76))))</ns0:f>
        <ns0:v>56510.9346263078</ns0:v>
      </ns0:c>
      <ns0:c r="O509" s="16">
        <ns0:f>IF('前提と出典'!$C$36+'前提と出典'!$C$38=0,0,'前提と出典'!$B$4*IF('前提と出典'!$B$20=0,MAX('前提と出典'!$B$6,D509*'前提と出典'!$B$5),'前提と出典'!$B$6+D509*'前提と出典'!$B$5))</ns0:f>
        <ns0:v>501456.53631284914</ns0:v>
      </ns0:c>
      <ns0:c r="P509" s="16">
        <ns0:f>(E509+G509)*(1-'前提と出典'!$B$7)-I509-K509-M509-O509</ns0:f>
        <ns0:v>1417296.620216536</ns0:v>
      </ns0:c>
      <ns0:c r="Q509" s="16">
        <ns0:f>(F509+H509)*(1-'前提と出典'!$B$7)-J509-L509-N509</ns0:f>
        <ns0:v>412527.70519566676</ns0:v>
      </ns0:c>
      <ns0:c r="R509" s="16">
        <ns0:f>P509-E509*'前提と出典'!$E$4</ns0:f>
        <ns0:v>1036444.8723455378</ns0:v>
      </ns0:c>
      <ns0:c r="S509" s="16">
        <ns0:f>Q509-F509*'前提と出典'!$E$4</ns0:f>
        <ns0:v>301861.92239655484</ns0:v>
      </ns0:c>
      <ns0:c r="T509" s="7">
        <ns0:f>R509+S509</ns0:f>
        <ns0:v>1338306.7947420925</ns0:v>
      </ns0:c>
      <ns0:c r="U509" s="16">
        <ns0:f>P509-E509*'前提と出典'!$E$5</ns0:f>
        <ns0:v>909494.2897218716</ns0:v>
      </ns0:c>
      <ns0:c r="V509" s="16">
        <ns0:f>Q509-F509*'前提と出典'!$E$5</ns0:f>
        <ns0:v>264973.3281301842</ns0:v>
      </ns0:c>
      <ns0:c r="W509" s="7">
        <ns0:f>U509+V509</ns0:f>
        <ns0:v>1174467.617852056</ns0:v>
      </ns0:c>
      <ns0:c r="X509" s="16">
        <ns0:f>P509-E509*'前提と出典'!$E$6</ns0:f>
        <ns0:v>782543.7070982055</ns0:v>
      </ns0:c>
      <ns0:c r="Y509" s="16">
        <ns0:f>Q509-F509*'前提と出典'!$E$6</ns0:f>
        <ns0:v>228084.73386381357</ns0:v>
      </ns0:c>
      <ns0:c r="Z509" s="7">
        <ns0:f>X509+Y509</ns0:f>
        <ns0:v>1010628.440962019</ns0:v>
      </ns0:c>
      <ns0:c r="AA509" s="7">
        <ns0:f>IF(T509&gt;=0,A509,1001)</ns0:f>
        <ns0:v>505</ns0:v>
      </ns0:c>
      <ns0:c r="AB509" s="7">
        <ns0:f>IF(T509&lt;0,A509,0)</ns0:f>
        <ns0:v>0</ns0:v>
      </ns0:c>
      <ns0:c r="AC509" s="16">
        <ns0:f>IF(AND(OR('前提と出典'!$C$36+'前提と出典'!$C$38=0,R509&gt;=0),OR('前提と出典'!$C$37+'前提と出典'!$C$38=0,S509&gt;=0)),0,A509)</ns0:f>
        <ns0:v>0</ns0:v>
      </ns0:c>
      <ns0:c r="AD509" s="7">
        <ns0:f>IF(W509&gt;=0,A509,1001)</ns0:f>
        <ns0:v>505</ns0:v>
      </ns0:c>
      <ns0:c r="AE509" s="7">
        <ns0:f>IF(W509&lt;0,A509,0)</ns0:f>
        <ns0:v>0</ns0:v>
      </ns0:c>
      <ns0:c r="AF509" s="16">
        <ns0:f>IF(AND(OR('前提と出典'!$C$36+'前提と出典'!$C$38=0,U509&gt;=0),OR('前提と出典'!$C$37+'前提と出典'!$C$38=0,V509&gt;=0)),0,A509)</ns0:f>
        <ns0:v>0</ns0:v>
      </ns0:c>
      <ns0:c r="AG509" s="7">
        <ns0:f>IF(Z509&gt;=0,A509,1001)</ns0:f>
        <ns0:v>505</ns0:v>
      </ns0:c>
      <ns0:c r="AH509" s="4">
        <ns0:f>IF(Z509&lt;0,A509,0)</ns0:f>
        <ns0:v>0</ns0:v>
      </ns0:c>
      <ns0:c r="AI509" s="12">
        <ns0:f>IF(AND(OR('前提と出典'!$C$36+'前提と出典'!$C$38=0,X509&gt;=0),OR('前提と出典'!$C$37+'前提と出典'!$C$38=0,Y509&gt;=0)),0,A509)</ns0:f>
        <ns0:v>0</ns0:v>
      </ns0:c>
    </ns0:row>
    <ns0:row r="510" ht="24" customHeight="1">
      <ns0:c r="A510" s="4" t="n">
        <ns0:v>506</ns0:v>
      </ns0:c>
      <ns0:c r="B510" s="12">
        <ns0:f>A510*('前提と出典'!$C$36+'前提と出典'!$C$38)</ns0:f>
        <ns0:v>354.2</ns0:v>
      </ns0:c>
      <ns0:c r="C510" s="12">
        <ns0:f>A510*('前提と出典'!$C$37+'前提と出典'!$C$38)</ns0:f>
        <ns0:v>303.59999999999997</ns0:v>
      </ns0:c>
      <ns0:c r="D510" s="16">
        <ns0:f>A510*('前提と出典'!$C$36*'契約別単価'!C5+'前提と出典'!$C$37*'契約別単価'!C6+'前提と出典'!$C$38*'契約別単価'!C7)</ns0:f>
        <ns0:v>3640.9385474860337</ns0:v>
      </ns0:c>
      <ns0:c r="E510" s="16">
        <ns0:f>A510*('前提と出典'!$C$36*'契約別単価'!E5+'前提と出典'!$C$37*'契約別単価'!E6+'前提と出典'!$C$38*'契約別単価'!E7)</ns0:f>
        <ns0:v>1272019.699159902</ns0:v>
      </ns0:c>
      <ns0:c r="F510" s="16">
        <ns0:f>A510*('前提と出典'!$C$36*'契約別単価'!F5+'前提と出典'!$C$37*'契約別単価'!F6+'前提と出典'!$C$38*'契約別単価'!F7)</ns0:f>
        <ns0:v>369616.40987690183</ns0:v>
      </ns0:c>
      <ns0:c r="G510" s="16">
        <ns0:f>A510*('前提と出典'!$C$36*'契約別単価'!G5+'前提と出典'!$C$37*'契約別単価'!G6+'前提と出典'!$C$38*'契約別単価'!G7)</ns0:f>
        <ns0:v>1007194.4134078212</ns0:v>
      </ns0:c>
      <ns0:c r="H510" s="16">
        <ns0:f>A510*('前提と出典'!$C$36*'契約別単価'!H5+'前提と出典'!$C$37*'契約別単価'!H6+'前提と出典'!$C$38*'契約別単価'!H7)</ns0:f>
        <ns0:v>349546.9762218915</ns0:v>
      </ns0:c>
      <ns0:c r="I510" s="16">
        <ns0:f>A510*('前提と出典'!$C$36*'契約別単価'!I5+'前提と出典'!$C$37*'契約別単価'!I6+'前提と出典'!$C$38*'契約別単価'!I7)</ns0:f>
        <ns0:v>21350.93854748603</ns0:v>
      </ns0:c>
      <ns0:c r="J510" s="16">
        <ns0:f>A510*('前提と出典'!$C$36*'契約別単価'!J5+'前提と出典'!$C$37*'契約別単価'!J6+'前提と出典'!$C$38*'契約別単価'!J7)</ns0:f>
        <ns0:v>49734.5091174131</ns0:v>
      </ns0:c>
      <ns0:c r="K510" s="16">
        <ns0:f>A510*('前提と出典'!$C$36*'契約別単価'!K5+'前提と出典'!$C$37*'契約別単価'!K6+'前提と出典'!$C$38*'契約別単価'!K7)</ns0:f>
        <ns0:v>213179.59031657354</ns0:v>
      </ns0:c>
      <ns0:c r="L510" s="16">
        <ns0:f>A510*('前提と出典'!$C$36*'契約別単価'!L5+'前提と出典'!$C$37*'契約別単価'!L6+'前提と出典'!$C$38*'契約別単価'!L7)</ns0:f>
        <ns0:v>173571.56587406303</ns0:v>
      </ns0:c>
      <ns0:c r="M510" s="16">
        <ns0:f>IF(('前提と出典'!$C$36+'前提と出典'!$C$38)=0,0,IF(B510&lt;=10,'前提と出典'!B73+'前提と出典'!C73,IF(B510&lt;=100,'前提と出典'!B74+'前提と出典'!C74,IF(B510&lt;=500,'前提と出典'!B75+'前提と出典'!C75,'前提と出典'!B76+'前提と出典'!C76))))</ns0:f>
        <ns0:v>40000</ns0:v>
      </ns0:c>
      <ns0:c r="N510" s="16">
        <ns0:f>IF(('前提と出典'!$C$37+'前提と出典'!$C$38)=0,0,IF(C510&lt;=10,'前提と出典'!D73+'前提と出典'!E73,IF(C510&lt;=100,'前提と出典'!D74+'前提と出典'!E74,IF(C510&lt;=500,'前提と出典'!D75+'前提と出典'!E75,'前提と出典'!D76+'前提と出典'!E76))))</ns0:f>
        <ns0:v>56510.9346263078</ns0:v>
      </ns0:c>
      <ns0:c r="O510" s="16">
        <ns0:f>IF('前提と出典'!$C$36+'前提と出典'!$C$38=0,0,'前提と出典'!$B$4*IF('前提と出典'!$B$20=0,MAX('前提と出典'!$B$6,D510*'前提と出典'!$B$5),'前提と出典'!$B$6+D510*'前提と出典'!$B$5))</ns0:f>
        <ns0:v>502449.5195530727</ns0:v>
      </ns0:c>
      <ns0:c r="P510" s="16">
        <ns0:f>(E510+G510)*(1-'前提と出典'!$B$7)-I510-K510-M510-O510</ns0:f>
        <ns0:v>1420182.356098153</ns0:v>
      </ns0:c>
      <ns0:c r="Q510" s="16">
        <ns0:f>(F510+H510)*(1-'前提と出典'!$B$7)-J510-L510-N510</ns0:f>
        <ns0:v>413456.4945814528</ns0:v>
      </ns0:c>
      <ns0:c r="R510" s="16">
        <ns0:f>P510-E510*'前提と出典'!$E$4</ns0:f>
        <ns0:v>1038576.4463501824</ns0:v>
      </ns0:c>
      <ns0:c r="S510" s="16">
        <ns0:f>Q510-F510*'前提と出典'!$E$4</ns0:f>
        <ns0:v>302571.57161838224</ns0:v>
      </ns0:c>
      <ns0:c r="T510" s="7">
        <ns0:f>R510+S510</ns0:f>
        <ns0:v>1341148.0179685648</ns0:v>
      </ns0:c>
      <ns0:c r="U510" s="16">
        <ns0:f>P510-E510*'前提と出典'!$E$5</ns0:f>
        <ns0:v>911374.4764341922</ns0:v>
      </ns0:c>
      <ns0:c r="V510" s="16">
        <ns0:f>Q510-F510*'前提と出典'!$E$5</ns0:f>
        <ns0:v>265609.93063069205</ns0:v>
      </ns0:c>
      <ns0:c r="W510" s="7">
        <ns0:f>U510+V510</ns0:f>
        <ns0:v>1176984.4070648842</ns0:v>
      </ns0:c>
      <ns0:c r="X510" s="16">
        <ns0:f>P510-E510*'前提と出典'!$E$6</ns0:f>
        <ns0:v>784172.5065182019</ns0:v>
      </ns0:c>
      <ns0:c r="Y510" s="16">
        <ns0:f>Q510-F510*'前提と出典'!$E$6</ns0:f>
        <ns0:v>228648.28964300198</ns0:v>
      </ns0:c>
      <ns0:c r="Z510" s="7">
        <ns0:f>X510+Y510</ns0:f>
        <ns0:v>1012820.7961612039</ns0:v>
      </ns0:c>
      <ns0:c r="AA510" s="7">
        <ns0:f>IF(T510&gt;=0,A510,1001)</ns0:f>
        <ns0:v>506</ns0:v>
      </ns0:c>
      <ns0:c r="AB510" s="7">
        <ns0:f>IF(T510&lt;0,A510,0)</ns0:f>
        <ns0:v>0</ns0:v>
      </ns0:c>
      <ns0:c r="AC510" s="16">
        <ns0:f>IF(AND(OR('前提と出典'!$C$36+'前提と出典'!$C$38=0,R510&gt;=0),OR('前提と出典'!$C$37+'前提と出典'!$C$38=0,S510&gt;=0)),0,A510)</ns0:f>
        <ns0:v>0</ns0:v>
      </ns0:c>
      <ns0:c r="AD510" s="7">
        <ns0:f>IF(W510&gt;=0,A510,1001)</ns0:f>
        <ns0:v>506</ns0:v>
      </ns0:c>
      <ns0:c r="AE510" s="7">
        <ns0:f>IF(W510&lt;0,A510,0)</ns0:f>
        <ns0:v>0</ns0:v>
      </ns0:c>
      <ns0:c r="AF510" s="16">
        <ns0:f>IF(AND(OR('前提と出典'!$C$36+'前提と出典'!$C$38=0,U510&gt;=0),OR('前提と出典'!$C$37+'前提と出典'!$C$38=0,V510&gt;=0)),0,A510)</ns0:f>
        <ns0:v>0</ns0:v>
      </ns0:c>
      <ns0:c r="AG510" s="7">
        <ns0:f>IF(Z510&gt;=0,A510,1001)</ns0:f>
        <ns0:v>506</ns0:v>
      </ns0:c>
      <ns0:c r="AH510" s="4">
        <ns0:f>IF(Z510&lt;0,A510,0)</ns0:f>
        <ns0:v>0</ns0:v>
      </ns0:c>
      <ns0:c r="AI510" s="12">
        <ns0:f>IF(AND(OR('前提と出典'!$C$36+'前提と出典'!$C$38=0,X510&gt;=0),OR('前提と出典'!$C$37+'前提と出典'!$C$38=0,Y510&gt;=0)),0,A510)</ns0:f>
        <ns0:v>0</ns0:v>
      </ns0:c>
    </ns0:row>
    <ns0:row r="511" ht="24" customHeight="1">
      <ns0:c r="A511" s="4" t="n">
        <ns0:v>507</ns0:v>
      </ns0:c>
      <ns0:c r="B511" s="12">
        <ns0:f>A511*('前提と出典'!$C$36+'前提と出典'!$C$38)</ns0:f>
        <ns0:v>354.9</ns0:v>
      </ns0:c>
      <ns0:c r="C511" s="12">
        <ns0:f>A511*('前提と出典'!$C$37+'前提と出典'!$C$38)</ns0:f>
        <ns0:v>304.2</ns0:v>
      </ns0:c>
      <ns0:c r="D511" s="16">
        <ns0:f>A511*('前提と出典'!$C$36*'契約別単価'!C5+'前提と出典'!$C$37*'契約別単価'!C6+'前提と出典'!$C$38*'契約別単価'!C7)</ns0:f>
        <ns0:v>3648.1340782122907</ns0:v>
      </ns0:c>
      <ns0:c r="E511" s="16">
        <ns0:f>A511*('前提と出典'!$C$36*'契約別単価'!E5+'前提と出典'!$C$37*'契約別単価'!E6+'前提と出典'!$C$38*'契約別単価'!E7)</ns0:f>
        <ns0:v>1274533.572083143</ns0:v>
      </ns0:c>
      <ns0:c r="F511" s="16">
        <ns0:f>A511*('前提と出典'!$C$36*'契約別単価'!F5+'前提と出典'!$C$37*'契約別単価'!F6+'前提と出典'!$C$38*'契約別単価'!F7)</ns0:f>
        <ns0:v>370346.8770900973</ns0:v>
      </ns0:c>
      <ns0:c r="G511" s="16">
        <ns0:f>A511*('前提と出典'!$C$36*'契約別単価'!G5+'前提と出典'!$C$37*'契約別単価'!G6+'前提と出典'!$C$38*'契約別単価'!G7)</ns0:f>
        <ns0:v>1009184.9162011172</ns0:v>
      </ns0:c>
      <ns0:c r="H511" s="16">
        <ns0:f>A511*('前提と出典'!$C$36*'契約別単価'!H5+'前提と出典'!$C$37*'契約別単価'!H6+'前提と出典'!$C$38*'契約別単価'!H7)</ns0:f>
        <ns0:v>350237.7805227253</ns0:v>
      </ns0:c>
      <ns0:c r="I511" s="16">
        <ns0:f>A511*('前提と出典'!$C$36*'契約別単価'!I5+'前提と出典'!$C$37*'契約別単価'!I6+'前提と出典'!$C$38*'契約別単価'!I7)</ns0:f>
        <ns0:v>21393.134078212286</ns0:v>
      </ns0:c>
      <ns0:c r="J511" s="16">
        <ns0:f>A511*('前提と出典'!$C$36*'契約別単価'!J5+'前提と出典'!$C$37*'契約別単価'!J6+'前提と出典'!$C$38*'契約別単価'!J7)</ns0:f>
        <ns0:v>49832.7986611234</ns0:v>
      </ns0:c>
      <ns0:c r="K511" s="16">
        <ns0:f>A511*('前提と出典'!$C$36*'契約別単価'!K5+'前提と出典'!$C$37*'契約別単価'!K6+'前提と出典'!$C$38*'契約別単価'!K7)</ns0:f>
        <ns0:v>213600.8938547486</ns0:v>
      </ns0:c>
      <ns0:c r="L511" s="16">
        <ns0:f>A511*('前提と出典'!$C$36*'契約別単価'!L5+'前提と出典'!$C$37*'契約別単価'!L6+'前提と出典'!$C$38*'契約別単価'!L7)</ns0:f>
        <ns0:v>173914.59268409084</ns0:v>
      </ns0:c>
      <ns0:c r="M511" s="16">
        <ns0:f>IF(('前提と出典'!$C$36+'前提と出典'!$C$38)=0,0,IF(B511&lt;=10,'前提と出典'!B73+'前提と出典'!C73,IF(B511&lt;=100,'前提と出典'!B74+'前提と出典'!C74,IF(B511&lt;=500,'前提と出典'!B75+'前提と出典'!C75,'前提と出典'!B76+'前提と出典'!C76))))</ns0:f>
        <ns0:v>40000</ns0:v>
      </ns0:c>
      <ns0:c r="N511" s="16">
        <ns0:f>IF(('前提と出典'!$C$37+'前提と出典'!$C$38)=0,0,IF(C511&lt;=10,'前提と出典'!D73+'前提と出典'!E73,IF(C511&lt;=100,'前提と出典'!D74+'前提と出典'!E74,IF(C511&lt;=500,'前提と出典'!D75+'前提と出典'!E75,'前提と出典'!D76+'前提と出典'!E76))))</ns0:f>
        <ns0:v>56510.9346263078</ns0:v>
      </ns0:c>
      <ns0:c r="O511" s="16">
        <ns0:f>IF('前提と出典'!$C$36+'前提と出典'!$C$38=0,0,'前提と出典'!$B$4*IF('前提と出典'!$B$20=0,MAX('前提と出典'!$B$6,D511*'前提と出典'!$B$5),'前提と出典'!$B$6+D511*'前提と出典'!$B$5))</ns0:f>
        <ns0:v>503442.5027932961</ns0:v>
      </ns0:c>
      <ns0:c r="P511" s="16">
        <ns0:f>(E511+G511)*(1-'前提と出典'!$B$7)-I511-K511-M511-O511</ns0:f>
        <ns0:v>1423068.0919797698</ns0:v>
      </ns0:c>
      <ns0:c r="Q511" s="16">
        <ns0:f>(F511+H511)*(1-'前提と出典'!$B$7)-J511-L511-N511</ns0:f>
        <ns0:v>414385.28396723897</ns0:v>
      </ns0:c>
      <ns0:c r="R511" s="16">
        <ns0:f>P511-E511*'前提と出典'!$E$4</ns0:f>
        <ns0:v>1040708.0203548268</ns0:v>
      </ns0:c>
      <ns0:c r="S511" s="16">
        <ns0:f>Q511-F511*'前提と出典'!$E$4</ns0:f>
        <ns0:v>303281.22084020975</ns0:v>
      </ns0:c>
      <ns0:c r="T511" s="7">
        <ns0:f>R511+S511</ns0:f>
        <ns0:v>1343989.2411950366</ns0:v>
      </ns0:c>
      <ns0:c r="U511" s="16">
        <ns0:f>P511-E511*'前提と出典'!$E$5</ns0:f>
        <ns0:v>913254.6631465125</ns0:v>
      </ns0:c>
      <ns0:c r="V511" s="16">
        <ns0:f>Q511-F511*'前提と出典'!$E$5</ns0:f>
        <ns0:v>266246.5331312</ns0:v>
      </ns0:c>
      <ns0:c r="W511" s="7">
        <ns0:f>U511+V511</ns0:f>
        <ns0:v>1179501.1962777125</ns0:v>
      </ns0:c>
      <ns0:c r="X511" s="16">
        <ns0:f>P511-E511*'前提と出典'!$E$6</ns0:f>
        <ns0:v>785801.3059381981</ns0:v>
      </ns0:c>
      <ns0:c r="Y511" s="16">
        <ns0:f>Q511-F511*'前提と出典'!$E$6</ns0:f>
        <ns0:v>229211.84542219038</ns0:v>
      </ns0:c>
      <ns0:c r="Z511" s="7">
        <ns0:f>X511+Y511</ns0:f>
        <ns0:v>1015013.1513603885</ns0:v>
      </ns0:c>
      <ns0:c r="AA511" s="7">
        <ns0:f>IF(T511&gt;=0,A511,1001)</ns0:f>
        <ns0:v>507</ns0:v>
      </ns0:c>
      <ns0:c r="AB511" s="7">
        <ns0:f>IF(T511&lt;0,A511,0)</ns0:f>
        <ns0:v>0</ns0:v>
      </ns0:c>
      <ns0:c r="AC511" s="16">
        <ns0:f>IF(AND(OR('前提と出典'!$C$36+'前提と出典'!$C$38=0,R511&gt;=0),OR('前提と出典'!$C$37+'前提と出典'!$C$38=0,S511&gt;=0)),0,A511)</ns0:f>
        <ns0:v>0</ns0:v>
      </ns0:c>
      <ns0:c r="AD511" s="7">
        <ns0:f>IF(W511&gt;=0,A511,1001)</ns0:f>
        <ns0:v>507</ns0:v>
      </ns0:c>
      <ns0:c r="AE511" s="7">
        <ns0:f>IF(W511&lt;0,A511,0)</ns0:f>
        <ns0:v>0</ns0:v>
      </ns0:c>
      <ns0:c r="AF511" s="16">
        <ns0:f>IF(AND(OR('前提と出典'!$C$36+'前提と出典'!$C$38=0,U511&gt;=0),OR('前提と出典'!$C$37+'前提と出典'!$C$38=0,V511&gt;=0)),0,A511)</ns0:f>
        <ns0:v>0</ns0:v>
      </ns0:c>
      <ns0:c r="AG511" s="7">
        <ns0:f>IF(Z511&gt;=0,A511,1001)</ns0:f>
        <ns0:v>507</ns0:v>
      </ns0:c>
      <ns0:c r="AH511" s="4">
        <ns0:f>IF(Z511&lt;0,A511,0)</ns0:f>
        <ns0:v>0</ns0:v>
      </ns0:c>
      <ns0:c r="AI511" s="12">
        <ns0:f>IF(AND(OR('前提と出典'!$C$36+'前提と出典'!$C$38=0,X511&gt;=0),OR('前提と出典'!$C$37+'前提と出典'!$C$38=0,Y511&gt;=0)),0,A511)</ns0:f>
        <ns0:v>0</ns0:v>
      </ns0:c>
    </ns0:row>
    <ns0:row r="512" ht="24" customHeight="1">
      <ns0:c r="A512" s="4" t="n">
        <ns0:v>508</ns0:v>
      </ns0:c>
      <ns0:c r="B512" s="12">
        <ns0:f>A512*('前提と出典'!$C$36+'前提と出典'!$C$38)</ns0:f>
        <ns0:v>355.59999999999997</ns0:v>
      </ns0:c>
      <ns0:c r="C512" s="12">
        <ns0:f>A512*('前提と出典'!$C$37+'前提と出典'!$C$38)</ns0:f>
        <ns0:v>304.8</ns0:v>
      </ns0:c>
      <ns0:c r="D512" s="16">
        <ns0:f>A512*('前提と出典'!$C$36*'契約別単価'!C5+'前提と出典'!$C$37*'契約別単価'!C6+'前提と出典'!$C$38*'契約別単価'!C7)</ns0:f>
        <ns0:v>3655.3296089385476</ns0:v>
      </ns0:c>
      <ns0:c r="E512" s="16">
        <ns0:f>A512*('前提と出典'!$C$36*'契約別単価'!E5+'前提と出典'!$C$37*'契約別単価'!E6+'前提と出典'!$C$38*'契約別単価'!E7)</ns0:f>
        <ns0:v>1277047.4450063838</ns0:v>
      </ns0:c>
      <ns0:c r="F512" s="16">
        <ns0:f>A512*('前提と出典'!$C$36*'契約別単価'!F5+'前提と出典'!$C$37*'契約別単価'!F6+'前提と出典'!$C$38*'契約別単価'!F7)</ns0:f>
        <ns0:v>371077.34430329275</ns0:v>
      </ns0:c>
      <ns0:c r="G512" s="16">
        <ns0:f>A512*('前提と出典'!$C$36*'契約別単価'!G5+'前提と出典'!$C$37*'契約別単価'!G6+'前提と出典'!$C$38*'契約別単価'!G7)</ns0:f>
        <ns0:v>1011175.4189944133</ns0:v>
      </ns0:c>
      <ns0:c r="H512" s="16">
        <ns0:f>A512*('前提と出典'!$C$36*'契約別単価'!H5+'前提と出典'!$C$37*'契約別単価'!H6+'前提と出典'!$C$38*'契約別単価'!H7)</ns0:f>
        <ns0:v>350928.58482355904</ns0:v>
      </ns0:c>
      <ns0:c r="I512" s="16">
        <ns0:f>A512*('前提と出典'!$C$36*'契約別単価'!I5+'前提と出典'!$C$37*'契約別単価'!I6+'前提と出典'!$C$38*'契約別単価'!I7)</ns0:f>
        <ns0:v>21435.329608938544</ns0:v>
      </ns0:c>
      <ns0:c r="J512" s="16">
        <ns0:f>A512*('前提と出典'!$C$36*'契約別単価'!J5+'前提と出典'!$C$37*'契約別単価'!J6+'前提と出典'!$C$38*'契約別単価'!J7)</ns0:f>
        <ns0:v>49931.0882048337</ns0:v>
      </ns0:c>
      <ns0:c r="K512" s="16">
        <ns0:f>A512*('前提と出典'!$C$36*'契約別単価'!K5+'前提と出典'!$C$37*'契約別単価'!K6+'前提と出典'!$C$38*'契約別単価'!K7)</ns0:f>
        <ns0:v>214022.19739292364</ns0:v>
      </ns0:c>
      <ns0:c r="L512" s="16">
        <ns0:f>A512*('前提と出典'!$C$36*'契約別単価'!L5+'前提と出典'!$C$37*'契約別単価'!L6+'前提と出典'!$C$38*'契約別単価'!L7)</ns0:f>
        <ns0:v>174257.61949411864</ns0:v>
      </ns0:c>
      <ns0:c r="M512" s="16">
        <ns0:f>IF(('前提と出典'!$C$36+'前提と出典'!$C$38)=0,0,IF(B512&lt;=10,'前提と出典'!B73+'前提と出典'!C73,IF(B512&lt;=100,'前提と出典'!B74+'前提と出典'!C74,IF(B512&lt;=500,'前提と出典'!B75+'前提と出典'!C75,'前提と出典'!B76+'前提と出典'!C76))))</ns0:f>
        <ns0:v>40000</ns0:v>
      </ns0:c>
      <ns0:c r="N512" s="16">
        <ns0:f>IF(('前提と出典'!$C$37+'前提と出典'!$C$38)=0,0,IF(C512&lt;=10,'前提と出典'!D73+'前提と出典'!E73,IF(C512&lt;=100,'前提と出典'!D74+'前提と出典'!E74,IF(C512&lt;=500,'前提と出典'!D75+'前提と出典'!E75,'前提と出典'!D76+'前提と出典'!E76))))</ns0:f>
        <ns0:v>56510.9346263078</ns0:v>
      </ns0:c>
      <ns0:c r="O512" s="16">
        <ns0:f>IF('前提と出典'!$C$36+'前提と出典'!$C$38=0,0,'前提と出典'!$B$4*IF('前提と出典'!$B$20=0,MAX('前提と出典'!$B$6,D512*'前提と出典'!$B$5),'前提と出典'!$B$6+D512*'前提と出典'!$B$5))</ns0:f>
        <ns0:v>504435.48603351956</ns0:v>
      </ns0:c>
      <ns0:c r="P512" s="16">
        <ns0:f>(E512+G512)*(1-'前提と出典'!$B$7)-I512-K512-M512-O512</ns0:f>
        <ns0:v>1425953.8278613868</ns0:v>
      </ns0:c>
      <ns0:c r="Q512" s="16">
        <ns0:f>(F512+H512)*(1-'前提と出典'!$B$7)-J512-L512-N512</ns0:f>
        <ns0:v>415314.07335302496</ns0:v>
      </ns0:c>
      <ns0:c r="R512" s="16">
        <ns0:f>P512-E512*'前提と出典'!$E$4</ns0:f>
        <ns0:v>1042839.5943594717</ns0:v>
      </ns0:c>
      <ns0:c r="S512" s="16">
        <ns0:f>Q512-F512*'前提と出典'!$E$4</ns0:f>
        <ns0:v>303990.87006203725</ns0:v>
      </ns0:c>
      <ns0:c r="T512" s="7">
        <ns0:f>R512+S512</ns0:f>
        <ns0:v>1346830.4644215088</ns0:v>
      </ns0:c>
      <ns0:c r="U512" s="16">
        <ns0:f>P512-E512*'前提と出典'!$E$5</ns0:f>
        <ns0:v>915134.8498588332</ns0:v>
      </ns0:c>
      <ns0:c r="V512" s="16">
        <ns0:f>Q512-F512*'前提と出典'!$E$5</ns0:f>
        <ns0:v>266883.13563170785</ns0:v>
      </ns0:c>
      <ns0:c r="W512" s="7">
        <ns0:f>U512+V512</ns0:f>
        <ns0:v>1182017.985490541</ns0:v>
      </ns0:c>
      <ns0:c r="X512" s="16">
        <ns0:f>P512-E512*'前提と出典'!$E$6</ns0:f>
        <ns0:v>787430.1053581948</ns0:v>
      </ns0:c>
      <ns0:c r="Y512" s="16">
        <ns0:f>Q512-F512*'前提と出典'!$E$6</ns0:f>
        <ns0:v>229775.40120137855</ns0:v>
      </ns0:c>
      <ns0:c r="Z512" s="7">
        <ns0:f>X512+Y512</ns0:f>
        <ns0:v>1017205.5065595733</ns0:v>
      </ns0:c>
      <ns0:c r="AA512" s="7">
        <ns0:f>IF(T512&gt;=0,A512,1001)</ns0:f>
        <ns0:v>508</ns0:v>
      </ns0:c>
      <ns0:c r="AB512" s="7">
        <ns0:f>IF(T512&lt;0,A512,0)</ns0:f>
        <ns0:v>0</ns0:v>
      </ns0:c>
      <ns0:c r="AC512" s="16">
        <ns0:f>IF(AND(OR('前提と出典'!$C$36+'前提と出典'!$C$38=0,R512&gt;=0),OR('前提と出典'!$C$37+'前提と出典'!$C$38=0,S512&gt;=0)),0,A512)</ns0:f>
        <ns0:v>0</ns0:v>
      </ns0:c>
      <ns0:c r="AD512" s="7">
        <ns0:f>IF(W512&gt;=0,A512,1001)</ns0:f>
        <ns0:v>508</ns0:v>
      </ns0:c>
      <ns0:c r="AE512" s="7">
        <ns0:f>IF(W512&lt;0,A512,0)</ns0:f>
        <ns0:v>0</ns0:v>
      </ns0:c>
      <ns0:c r="AF512" s="16">
        <ns0:f>IF(AND(OR('前提と出典'!$C$36+'前提と出典'!$C$38=0,U512&gt;=0),OR('前提と出典'!$C$37+'前提と出典'!$C$38=0,V512&gt;=0)),0,A512)</ns0:f>
        <ns0:v>0</ns0:v>
      </ns0:c>
      <ns0:c r="AG512" s="7">
        <ns0:f>IF(Z512&gt;=0,A512,1001)</ns0:f>
        <ns0:v>508</ns0:v>
      </ns0:c>
      <ns0:c r="AH512" s="4">
        <ns0:f>IF(Z512&lt;0,A512,0)</ns0:f>
        <ns0:v>0</ns0:v>
      </ns0:c>
      <ns0:c r="AI512" s="12">
        <ns0:f>IF(AND(OR('前提と出典'!$C$36+'前提と出典'!$C$38=0,X512&gt;=0),OR('前提と出典'!$C$37+'前提と出典'!$C$38=0,Y512&gt;=0)),0,A512)</ns0:f>
        <ns0:v>0</ns0:v>
      </ns0:c>
    </ns0:row>
    <ns0:row r="513" ht="24" customHeight="1">
      <ns0:c r="A513" s="4" t="n">
        <ns0:v>509</ns0:v>
      </ns0:c>
      <ns0:c r="B513" s="12">
        <ns0:f>A513*('前提と出典'!$C$36+'前提と出典'!$C$38)</ns0:f>
        <ns0:v>356.29999999999995</ns0:v>
      </ns0:c>
      <ns0:c r="C513" s="12">
        <ns0:f>A513*('前提と出典'!$C$37+'前提と出典'!$C$38)</ns0:f>
        <ns0:v>305.4</ns0:v>
      </ns0:c>
      <ns0:c r="D513" s="16">
        <ns0:f>A513*('前提と出典'!$C$36*'契約別単価'!C5+'前提と出典'!$C$37*'契約別単価'!C6+'前提と出典'!$C$38*'契約別単価'!C7)</ns0:f>
        <ns0:v>3662.5251396648046</ns0:v>
      </ns0:c>
      <ns0:c r="E513" s="16">
        <ns0:f>A513*('前提と出典'!$C$36*'契約別単価'!E5+'前提と出典'!$C$37*'契約別単価'!E6+'前提と出典'!$C$38*'契約別単価'!E7)</ns0:f>
        <ns0:v>1279561.3179296248</ns0:v>
      </ns0:c>
      <ns0:c r="F513" s="16">
        <ns0:f>A513*('前提と出典'!$C$36*'契約別単価'!F5+'前提と出典'!$C$37*'契約別単価'!F6+'前提と出典'!$C$38*'契約別単価'!F7)</ns0:f>
        <ns0:v>371807.8115164882</ns0:v>
      </ns0:c>
      <ns0:c r="G513" s="16">
        <ns0:f>A513*('前提と出典'!$C$36*'契約別単価'!G5+'前提と出典'!$C$37*'契約別単価'!G6+'前提と出典'!$C$38*'契約別単価'!G7)</ns0:f>
        <ns0:v>1013165.9217877095</ns0:v>
      </ns0:c>
      <ns0:c r="H513" s="16">
        <ns0:f>A513*('前提と出典'!$C$36*'契約別単価'!H5+'前提と出典'!$C$37*'契約別単価'!H6+'前提と出典'!$C$38*'契約別単価'!H7)</ns0:f>
        <ns0:v>351619.3891243928</ns0:v>
      </ns0:c>
      <ns0:c r="I513" s="16">
        <ns0:f>A513*('前提と出典'!$C$36*'契約別単価'!I5+'前提と出典'!$C$37*'契約別単価'!I6+'前提と出典'!$C$38*'契約別単価'!I7)</ns0:f>
        <ns0:v>21477.525139664802</ns0:v>
      </ns0:c>
      <ns0:c r="J513" s="16">
        <ns0:f>A513*('前提と出典'!$C$36*'契約別単価'!J5+'前提と出典'!$C$37*'契約別単価'!J6+'前提と出典'!$C$38*'契約別単価'!J7)</ns0:f>
        <ns0:v>50029.37774854401</ns0:v>
      </ns0:c>
      <ns0:c r="K513" s="16">
        <ns0:f>A513*('前提と出典'!$C$36*'契約別単価'!K5+'前提と出典'!$C$37*'契約別単価'!K6+'前提と出典'!$C$38*'契約別単価'!K7)</ns0:f>
        <ns0:v>214443.50093109868</ns0:v>
      </ns0:c>
      <ns0:c r="L513" s="16">
        <ns0:f>A513*('前提と出典'!$C$36*'契約別単価'!L5+'前提と出典'!$C$37*'契約別単価'!L6+'前提と出典'!$C$38*'契約別単価'!L7)</ns0:f>
        <ns0:v>174600.64630414642</ns0:v>
      </ns0:c>
      <ns0:c r="M513" s="16">
        <ns0:f>IF(('前提と出典'!$C$36+'前提と出典'!$C$38)=0,0,IF(B513&lt;=10,'前提と出典'!B73+'前提と出典'!C73,IF(B513&lt;=100,'前提と出典'!B74+'前提と出典'!C74,IF(B513&lt;=500,'前提と出典'!B75+'前提と出典'!C75,'前提と出典'!B76+'前提と出典'!C76))))</ns0:f>
        <ns0:v>40000</ns0:v>
      </ns0:c>
      <ns0:c r="N513" s="16">
        <ns0:f>IF(('前提と出典'!$C$37+'前提と出典'!$C$38)=0,0,IF(C513&lt;=10,'前提と出典'!D73+'前提と出典'!E73,IF(C513&lt;=100,'前提と出典'!D74+'前提と出典'!E74,IF(C513&lt;=500,'前提と出典'!D75+'前提と出典'!E75,'前提と出典'!D76+'前提と出典'!E76))))</ns0:f>
        <ns0:v>56510.9346263078</ns0:v>
      </ns0:c>
      <ns0:c r="O513" s="16">
        <ns0:f>IF('前提と出典'!$C$36+'前提と出典'!$C$38=0,0,'前提と出典'!$B$4*IF('前提と出典'!$B$20=0,MAX('前提と出典'!$B$6,D513*'前提と出典'!$B$5),'前提と出典'!$B$6+D513*'前提と出典'!$B$5))</ns0:f>
        <ns0:v>505428.46927374305</ns0:v>
      </ns0:c>
      <ns0:c r="P513" s="16">
        <ns0:f>(E513+G513)*(1-'前提と出典'!$B$7)-I513-K513-M513-O513</ns0:f>
        <ns0:v>1428839.563743004</ns0:v>
      </ns0:c>
      <ns0:c r="Q513" s="16">
        <ns0:f>(F513+H513)*(1-'前提と出典'!$B$7)-J513-L513-N513</ns0:f>
        <ns0:v>416242.86273881106</ns0:v>
      </ns0:c>
      <ns0:c r="R513" s="16">
        <ns0:f>P513-E513*'前提と出典'!$E$4</ns0:f>
        <ns0:v>1044971.1683641167</ns0:v>
      </ns0:c>
      <ns0:c r="S513" s="16">
        <ns0:f>Q513-F513*'前提と出典'!$E$4</ns0:f>
        <ns0:v>304700.51928386465</ns0:v>
      </ns0:c>
      <ns0:c r="T513" s="7">
        <ns0:f>R513+S513</ns0:f>
        <ns0:v>1349671.6876479813</ns0:v>
      </ns0:c>
      <ns0:c r="U513" s="16">
        <ns0:f>P513-E513*'前提と出典'!$E$5</ns0:f>
        <ns0:v>917015.0365711541</ns0:v>
      </ns0:c>
      <ns0:c r="V513" s="16">
        <ns0:f>Q513-F513*'前提と出典'!$E$5</ns0:f>
        <ns0:v>267519.7381322158</ns0:v>
      </ns0:c>
      <ns0:c r="W513" s="7">
        <ns0:f>U513+V513</ns0:f>
        <ns0:v>1184534.77470337</ns0:v>
      </ns0:c>
      <ns0:c r="X513" s="16">
        <ns0:f>P513-E513*'前提と出典'!$E$6</ns0:f>
        <ns0:v>789058.9047781918</ns0:v>
      </ns0:c>
      <ns0:c r="Y513" s="16">
        <ns0:f>Q513-F513*'前提と出典'!$E$6</ns0:f>
        <ns0:v>230338.95698056696</ns0:v>
      </ns0:c>
      <ns0:c r="Z513" s="7">
        <ns0:f>X513+Y513</ns0:f>
        <ns0:v>1019397.8617587588</ns0:v>
      </ns0:c>
      <ns0:c r="AA513" s="7">
        <ns0:f>IF(T513&gt;=0,A513,1001)</ns0:f>
        <ns0:v>509</ns0:v>
      </ns0:c>
      <ns0:c r="AB513" s="7">
        <ns0:f>IF(T513&lt;0,A513,0)</ns0:f>
        <ns0:v>0</ns0:v>
      </ns0:c>
      <ns0:c r="AC513" s="16">
        <ns0:f>IF(AND(OR('前提と出典'!$C$36+'前提と出典'!$C$38=0,R513&gt;=0),OR('前提と出典'!$C$37+'前提と出典'!$C$38=0,S513&gt;=0)),0,A513)</ns0:f>
        <ns0:v>0</ns0:v>
      </ns0:c>
      <ns0:c r="AD513" s="7">
        <ns0:f>IF(W513&gt;=0,A513,1001)</ns0:f>
        <ns0:v>509</ns0:v>
      </ns0:c>
      <ns0:c r="AE513" s="7">
        <ns0:f>IF(W513&lt;0,A513,0)</ns0:f>
        <ns0:v>0</ns0:v>
      </ns0:c>
      <ns0:c r="AF513" s="16">
        <ns0:f>IF(AND(OR('前提と出典'!$C$36+'前提と出典'!$C$38=0,U513&gt;=0),OR('前提と出典'!$C$37+'前提と出典'!$C$38=0,V513&gt;=0)),0,A513)</ns0:f>
        <ns0:v>0</ns0:v>
      </ns0:c>
      <ns0:c r="AG513" s="7">
        <ns0:f>IF(Z513&gt;=0,A513,1001)</ns0:f>
        <ns0:v>509</ns0:v>
      </ns0:c>
      <ns0:c r="AH513" s="4">
        <ns0:f>IF(Z513&lt;0,A513,0)</ns0:f>
        <ns0:v>0</ns0:v>
      </ns0:c>
      <ns0:c r="AI513" s="12">
        <ns0:f>IF(AND(OR('前提と出典'!$C$36+'前提と出典'!$C$38=0,X513&gt;=0),OR('前提と出典'!$C$37+'前提と出典'!$C$38=0,Y513&gt;=0)),0,A513)</ns0:f>
        <ns0:v>0</ns0:v>
      </ns0:c>
    </ns0:row>
    <ns0:row r="514" ht="24" customHeight="1">
      <ns0:c r="A514" s="4" t="n">
        <ns0:v>510</ns0:v>
      </ns0:c>
      <ns0:c r="B514" s="12">
        <ns0:f>A514*('前提と出典'!$C$36+'前提と出典'!$C$38)</ns0:f>
        <ns0:v>357</ns0:v>
      </ns0:c>
      <ns0:c r="C514" s="12">
        <ns0:f>A514*('前提と出典'!$C$37+'前提と出典'!$C$38)</ns0:f>
        <ns0:v>306</ns0:v>
      </ns0:c>
      <ns0:c r="D514" s="16">
        <ns0:f>A514*('前提と出典'!$C$36*'契約別単価'!C5+'前提と出典'!$C$37*'契約別単価'!C6+'前提と出典'!$C$38*'契約別単価'!C7)</ns0:f>
        <ns0:v>3669.7206703910615</ns0:v>
      </ns0:c>
      <ns0:c r="E514" s="16">
        <ns0:f>A514*('前提と出典'!$C$36*'契約別単価'!E5+'前提と出典'!$C$37*'契約別単価'!E6+'前提と出典'!$C$38*'契約別単価'!E7)</ns0:f>
        <ns0:v>1282075.1908528658</ns0:v>
      </ns0:c>
      <ns0:c r="F514" s="16">
        <ns0:f>A514*('前提と出典'!$C$36*'契約別単価'!F5+'前提と出典'!$C$37*'契約別単価'!F6+'前提と出典'!$C$38*'契約別単価'!F7)</ns0:f>
        <ns0:v>372538.27872968366</ns0:v>
      </ns0:c>
      <ns0:c r="G514" s="16">
        <ns0:f>A514*('前提と出典'!$C$36*'契約別単価'!G5+'前提と出典'!$C$37*'契約別単価'!G6+'前提と出典'!$C$38*'契約別単価'!G7)</ns0:f>
        <ns0:v>1015156.4245810056</ns0:v>
      </ns0:c>
      <ns0:c r="H514" s="16">
        <ns0:f>A514*('前提と出典'!$C$36*'契約別単価'!H5+'前提と出典'!$C$37*'契約別単価'!H6+'前提と出典'!$C$38*'契約別単価'!H7)</ns0:f>
        <ns0:v>352310.1934252266</ns0:v>
      </ns0:c>
      <ns0:c r="I514" s="16">
        <ns0:f>A514*('前提と出典'!$C$36*'契約別単価'!I5+'前提と出典'!$C$37*'契約別単価'!I6+'前提と出典'!$C$38*'契約別単価'!I7)</ns0:f>
        <ns0:v>21519.720670391056</ns0:v>
      </ns0:c>
      <ns0:c r="J514" s="16">
        <ns0:f>A514*('前提と出典'!$C$36*'契約別単価'!J5+'前提と出典'!$C$37*'契約別単価'!J6+'前提と出典'!$C$38*'契約別単価'!J7)</ns0:f>
        <ns0:v>50127.66729225431</ns0:v>
      </ns0:c>
      <ns0:c r="K514" s="16">
        <ns0:f>A514*('前提と出典'!$C$36*'契約別単価'!K5+'前提と出典'!$C$37*'契約別単価'!K6+'前提と出典'!$C$38*'契約別単価'!K7)</ns0:f>
        <ns0:v>214864.80446927372</ns0:v>
      </ns0:c>
      <ns0:c r="L514" s="16">
        <ns0:f>A514*('前提と出典'!$C$36*'契約別単価'!L5+'前提と出典'!$C$37*'契約別単価'!L6+'前提と出典'!$C$38*'契約別単価'!L7)</ns0:f>
        <ns0:v>174943.67311417422</ns0:v>
      </ns0:c>
      <ns0:c r="M514" s="16">
        <ns0:f>IF(('前提と出典'!$C$36+'前提と出典'!$C$38)=0,0,IF(B514&lt;=10,'前提と出典'!B73+'前提と出典'!C73,IF(B514&lt;=100,'前提と出典'!B74+'前提と出典'!C74,IF(B514&lt;=500,'前提と出典'!B75+'前提と出典'!C75,'前提と出典'!B76+'前提と出典'!C76))))</ns0:f>
        <ns0:v>40000</ns0:v>
      </ns0:c>
      <ns0:c r="N514" s="16">
        <ns0:f>IF(('前提と出典'!$C$37+'前提と出典'!$C$38)=0,0,IF(C514&lt;=10,'前提と出典'!D73+'前提と出典'!E73,IF(C514&lt;=100,'前提と出典'!D74+'前提と出典'!E74,IF(C514&lt;=500,'前提と出典'!D75+'前提と出典'!E75,'前提と出典'!D76+'前提と出典'!E76))))</ns0:f>
        <ns0:v>56510.9346263078</ns0:v>
      </ns0:c>
      <ns0:c r="O514" s="16">
        <ns0:f>IF('前提と出典'!$C$36+'前提と出典'!$C$38=0,0,'前提と出典'!$B$4*IF('前提と出典'!$B$20=0,MAX('前提と出典'!$B$6,D514*'前提と出典'!$B$5),'前提と出典'!$B$6+D514*'前提と出典'!$B$5))</ns0:f>
        <ns0:v>506421.45251396653</ns0:v>
      </ns0:c>
      <ns0:c r="P514" s="16">
        <ns0:f>(E514+G514)*(1-'前提と出典'!$B$7)-I514-K514-M514-O514</ns0:f>
        <ns0:v>1431725.2996246207</ns0:v>
      </ns0:c>
      <ns0:c r="Q514" s="16">
        <ns0:f>(F514+H514)*(1-'前提と出典'!$B$7)-J514-L514-N514</ns0:f>
        <ns0:v>417171.65212459717</ns0:v>
      </ns0:c>
      <ns0:c r="R514" s="16">
        <ns0:f>P514-E514*'前提と出典'!$E$4</ns0:f>
        <ns0:v>1047102.742368761</ns0:v>
      </ns0:c>
      <ns0:c r="S514" s="16">
        <ns0:f>Q514-F514*'前提と出典'!$E$4</ns0:f>
        <ns0:v>305410.1685056921</ns0:v>
      </ns0:c>
      <ns0:c r="T514" s="7">
        <ns0:f>R514+S514</ns0:f>
        <ns0:v>1352512.9108744531</ns0:v>
      </ns0:c>
      <ns0:c r="U514" s="16">
        <ns0:f>P514-E514*'前提と出典'!$E$5</ns0:f>
        <ns0:v>918895.2232834743</ns0:v>
      </ns0:c>
      <ns0:c r="V514" s="16">
        <ns0:f>Q514-F514*'前提と出典'!$E$5</ns0:f>
        <ns0:v>268156.3406327237</ns0:v>
      </ns0:c>
      <ns0:c r="W514" s="7">
        <ns0:f>U514+V514</ns0:f>
        <ns0:v>1187051.563916198</ns0:v>
      </ns0:c>
      <ns0:c r="X514" s="16">
        <ns0:f>P514-E514*'前提と出典'!$E$6</ns0:f>
        <ns0:v>790687.7041981879</ns0:v>
      </ns0:c>
      <ns0:c r="Y514" s="16">
        <ns0:f>Q514-F514*'前提と出典'!$E$6</ns0:f>
        <ns0:v>230902.5127597553</ns0:v>
      </ns0:c>
      <ns0:c r="Z514" s="7">
        <ns0:f>X514+Y514</ns0:f>
        <ns0:v>1021590.2169579433</ns0:v>
      </ns0:c>
      <ns0:c r="AA514" s="7">
        <ns0:f>IF(T514&gt;=0,A514,1001)</ns0:f>
        <ns0:v>510</ns0:v>
      </ns0:c>
      <ns0:c r="AB514" s="7">
        <ns0:f>IF(T514&lt;0,A514,0)</ns0:f>
        <ns0:v>0</ns0:v>
      </ns0:c>
      <ns0:c r="AC514" s="16">
        <ns0:f>IF(AND(OR('前提と出典'!$C$36+'前提と出典'!$C$38=0,R514&gt;=0),OR('前提と出典'!$C$37+'前提と出典'!$C$38=0,S514&gt;=0)),0,A514)</ns0:f>
        <ns0:v>0</ns0:v>
      </ns0:c>
      <ns0:c r="AD514" s="7">
        <ns0:f>IF(W514&gt;=0,A514,1001)</ns0:f>
        <ns0:v>510</ns0:v>
      </ns0:c>
      <ns0:c r="AE514" s="7">
        <ns0:f>IF(W514&lt;0,A514,0)</ns0:f>
        <ns0:v>0</ns0:v>
      </ns0:c>
      <ns0:c r="AF514" s="16">
        <ns0:f>IF(AND(OR('前提と出典'!$C$36+'前提と出典'!$C$38=0,U514&gt;=0),OR('前提と出典'!$C$37+'前提と出典'!$C$38=0,V514&gt;=0)),0,A514)</ns0:f>
        <ns0:v>0</ns0:v>
      </ns0:c>
      <ns0:c r="AG514" s="7">
        <ns0:f>IF(Z514&gt;=0,A514,1001)</ns0:f>
        <ns0:v>510</ns0:v>
      </ns0:c>
      <ns0:c r="AH514" s="4">
        <ns0:f>IF(Z514&lt;0,A514,0)</ns0:f>
        <ns0:v>0</ns0:v>
      </ns0:c>
      <ns0:c r="AI514" s="12">
        <ns0:f>IF(AND(OR('前提と出典'!$C$36+'前提と出典'!$C$38=0,X514&gt;=0),OR('前提と出典'!$C$37+'前提と出典'!$C$38=0,Y514&gt;=0)),0,A514)</ns0:f>
        <ns0:v>0</ns0:v>
      </ns0:c>
    </ns0:row>
    <ns0:row r="515" ht="24" customHeight="1">
      <ns0:c r="A515" s="4" t="n">
        <ns0:v>511</ns0:v>
      </ns0:c>
      <ns0:c r="B515" s="12">
        <ns0:f>A515*('前提と出典'!$C$36+'前提と出典'!$C$38)</ns0:f>
        <ns0:v>357.7</ns0:v>
      </ns0:c>
      <ns0:c r="C515" s="12">
        <ns0:f>A515*('前提と出典'!$C$37+'前提と出典'!$C$38)</ns0:f>
        <ns0:v>306.59999999999997</ns0:v>
      </ns0:c>
      <ns0:c r="D515" s="16">
        <ns0:f>A515*('前提と出典'!$C$36*'契約別単価'!C5+'前提と出典'!$C$37*'契約別単価'!C6+'前提と出典'!$C$38*'契約別単価'!C7)</ns0:f>
        <ns0:v>3676.9162011173185</ns0:v>
      </ns0:c>
      <ns0:c r="E515" s="16">
        <ns0:f>A515*('前提と出典'!$C$36*'契約別単価'!E5+'前提と出典'!$C$37*'契約別単価'!E6+'前提と出典'!$C$38*'契約別単価'!E7)</ns0:f>
        <ns0:v>1284589.0637761066</ns0:v>
      </ns0:c>
      <ns0:c r="F515" s="16">
        <ns0:f>A515*('前提と出典'!$C$36*'契約別単価'!F5+'前提と出典'!$C$37*'契約別単価'!F6+'前提と出典'!$C$38*'契約別単価'!F7)</ns0:f>
        <ns0:v>373268.7459428791</ns0:v>
      </ns0:c>
      <ns0:c r="G515" s="16">
        <ns0:f>A515*('前提と出典'!$C$36*'契約別単価'!G5+'前提と出典'!$C$37*'契約別単価'!G6+'前提と出典'!$C$38*'契約別単価'!G7)</ns0:f>
        <ns0:v>1017146.9273743016</ns0:v>
      </ns0:c>
      <ns0:c r="H515" s="16">
        <ns0:f>A515*('前提と出典'!$C$36*'契約別単価'!H5+'前提と出典'!$C$37*'契約別単価'!H6+'前提と出典'!$C$38*'契約別単価'!H7)</ns0:f>
        <ns0:v>353000.9977260604</ns0:v>
      </ns0:c>
      <ns0:c r="I515" s="16">
        <ns0:f>A515*('前提と出典'!$C$36*'契約別単価'!I5+'前提と出典'!$C$37*'契約別単価'!I6+'前提と出典'!$C$38*'契約別単価'!I7)</ns0:f>
        <ns0:v>21561.916201117314</ns0:v>
      </ns0:c>
      <ns0:c r="J515" s="16">
        <ns0:f>A515*('前提と出典'!$C$36*'契約別単価'!J5+'前提と出典'!$C$37*'契約別単価'!J6+'前提と出典'!$C$38*'契約別単価'!J7)</ns0:f>
        <ns0:v>50225.956835964615</ns0:v>
      </ns0:c>
      <ns0:c r="K515" s="16">
        <ns0:f>A515*('前提と出典'!$C$36*'契約別単価'!K5+'前提と出典'!$C$37*'契約別単価'!K6+'前提と出典'!$C$38*'契約別単価'!K7)</ns0:f>
        <ns0:v>215286.10800744878</ns0:v>
      </ns0:c>
      <ns0:c r="L515" s="16">
        <ns0:f>A515*('前提と出典'!$C$36*'契約別単価'!L5+'前提と出典'!$C$37*'契約別単価'!L6+'前提と出典'!$C$38*'契約別単価'!L7)</ns0:f>
        <ns0:v>175286.699924202</ns0:v>
      </ns0:c>
      <ns0:c r="M515" s="16">
        <ns0:f>IF(('前提と出典'!$C$36+'前提と出典'!$C$38)=0,0,IF(B515&lt;=10,'前提と出典'!B73+'前提と出典'!C73,IF(B515&lt;=100,'前提と出典'!B74+'前提と出典'!C74,IF(B515&lt;=500,'前提と出典'!B75+'前提と出典'!C75,'前提と出典'!B76+'前提と出典'!C76))))</ns0:f>
        <ns0:v>40000</ns0:v>
      </ns0:c>
      <ns0:c r="N515" s="16">
        <ns0:f>IF(('前提と出典'!$C$37+'前提と出典'!$C$38)=0,0,IF(C515&lt;=10,'前提と出典'!D73+'前提と出典'!E73,IF(C515&lt;=100,'前提と出典'!D74+'前提と出典'!E74,IF(C515&lt;=500,'前提と出典'!D75+'前提と出典'!E75,'前提と出典'!D76+'前提と出典'!E76))))</ns0:f>
        <ns0:v>56510.9346263078</ns0:v>
      </ns0:c>
      <ns0:c r="O515" s="16">
        <ns0:f>IF('前提と出典'!$C$36+'前提と出典'!$C$38=0,0,'前提と出典'!$B$4*IF('前提と出典'!$B$20=0,MAX('前提と出典'!$B$6,D515*'前提と出典'!$B$5),'前提と出典'!$B$6+D515*'前提と出典'!$B$5))</ns0:f>
        <ns0:v>507414.4357541899</ns0:v>
      </ns0:c>
      <ns0:c r="P515" s="16">
        <ns0:f>(E515+G515)*(1-'前提と出典'!$B$7)-I515-K515-M515-O515</ns0:f>
        <ns0:v>1434611.0355062378</ns0:v>
      </ns0:c>
      <ns0:c r="Q515" s="16">
        <ns0:f>(F515+H515)*(1-'前提と出典'!$B$7)-J515-L515-N515</ns0:f>
        <ns0:v>418100.44151038316</ns0:v>
      </ns0:c>
      <ns0:c r="R515" s="16">
        <ns0:f>P515-E515*'前提と出典'!$E$4</ns0:f>
        <ns0:v>1049234.3163734055</ns0:v>
      </ns0:c>
      <ns0:c r="S515" s="16">
        <ns0:f>Q515-F515*'前提と出典'!$E$4</ns0:f>
        <ns0:v>306119.8177275195</ns0:v>
      </ns0:c>
      <ns0:c r="T515" s="7">
        <ns0:f>R515+S515</ns0:f>
        <ns0:v>1355354.134100925</ns0:v>
      </ns0:c>
      <ns0:c r="U515" s="16">
        <ns0:f>P515-E515*'前提と出典'!$E$5</ns0:f>
        <ns0:v>920775.409995795</ns0:v>
      </ns0:c>
      <ns0:c r="V515" s="16">
        <ns0:f>Q515-F515*'前提と出典'!$E$5</ns0:f>
        <ns0:v>268792.9431332315</ns0:v>
      </ns0:c>
      <ns0:c r="W515" s="7">
        <ns0:f>U515+V515</ns0:f>
        <ns0:v>1189568.3531290265</ns0:v>
      </ns0:c>
      <ns0:c r="X515" s="16">
        <ns0:f>P515-E515*'前提と出典'!$E$6</ns0:f>
        <ns0:v>792316.5036181842</ns0:v>
      </ns0:c>
      <ns0:c r="Y515" s="16">
        <ns0:f>Q515-F515*'前提と出典'!$E$6</ns0:f>
        <ns0:v>231466.0685389437</ns0:v>
      </ns0:c>
      <ns0:c r="Z515" s="7">
        <ns0:f>X515+Y515</ns0:f>
        <ns0:v>1023782.572157128</ns0:v>
      </ns0:c>
      <ns0:c r="AA515" s="7">
        <ns0:f>IF(T515&gt;=0,A515,1001)</ns0:f>
        <ns0:v>511</ns0:v>
      </ns0:c>
      <ns0:c r="AB515" s="7">
        <ns0:f>IF(T515&lt;0,A515,0)</ns0:f>
        <ns0:v>0</ns0:v>
      </ns0:c>
      <ns0:c r="AC515" s="16">
        <ns0:f>IF(AND(OR('前提と出典'!$C$36+'前提と出典'!$C$38=0,R515&gt;=0),OR('前提と出典'!$C$37+'前提と出典'!$C$38=0,S515&gt;=0)),0,A515)</ns0:f>
        <ns0:v>0</ns0:v>
      </ns0:c>
      <ns0:c r="AD515" s="7">
        <ns0:f>IF(W515&gt;=0,A515,1001)</ns0:f>
        <ns0:v>511</ns0:v>
      </ns0:c>
      <ns0:c r="AE515" s="7">
        <ns0:f>IF(W515&lt;0,A515,0)</ns0:f>
        <ns0:v>0</ns0:v>
      </ns0:c>
      <ns0:c r="AF515" s="16">
        <ns0:f>IF(AND(OR('前提と出典'!$C$36+'前提と出典'!$C$38=0,U515&gt;=0),OR('前提と出典'!$C$37+'前提と出典'!$C$38=0,V515&gt;=0)),0,A515)</ns0:f>
        <ns0:v>0</ns0:v>
      </ns0:c>
      <ns0:c r="AG515" s="7">
        <ns0:f>IF(Z515&gt;=0,A515,1001)</ns0:f>
        <ns0:v>511</ns0:v>
      </ns0:c>
      <ns0:c r="AH515" s="4">
        <ns0:f>IF(Z515&lt;0,A515,0)</ns0:f>
        <ns0:v>0</ns0:v>
      </ns0:c>
      <ns0:c r="AI515" s="12">
        <ns0:f>IF(AND(OR('前提と出典'!$C$36+'前提と出典'!$C$38=0,X515&gt;=0),OR('前提と出典'!$C$37+'前提と出典'!$C$38=0,Y515&gt;=0)),0,A515)</ns0:f>
        <ns0:v>0</ns0:v>
      </ns0:c>
    </ns0:row>
    <ns0:row r="516" ht="24" customHeight="1">
      <ns0:c r="A516" s="4" t="n">
        <ns0:v>512</ns0:v>
      </ns0:c>
      <ns0:c r="B516" s="12">
        <ns0:f>A516*('前提と出典'!$C$36+'前提と出典'!$C$38)</ns0:f>
        <ns0:v>358.4</ns0:v>
      </ns0:c>
      <ns0:c r="C516" s="12">
        <ns0:f>A516*('前提と出典'!$C$37+'前提と出典'!$C$38)</ns0:f>
        <ns0:v>307.2</ns0:v>
      </ns0:c>
      <ns0:c r="D516" s="16">
        <ns0:f>A516*('前提と出典'!$C$36*'契約別単価'!C5+'前提と出典'!$C$37*'契約別単価'!C6+'前提と出典'!$C$38*'契約別単価'!C7)</ns0:f>
        <ns0:v>3684.1117318435754</ns0:v>
      </ns0:c>
      <ns0:c r="E516" s="16">
        <ns0:f>A516*('前提と出典'!$C$36*'契約別単価'!E5+'前提と出典'!$C$37*'契約別単価'!E6+'前提と出典'!$C$38*'契約別単価'!E7)</ns0:f>
        <ns0:v>1287102.9366993476</ns0:v>
      </ns0:c>
      <ns0:c r="F516" s="16">
        <ns0:f>A516*('前提と出典'!$C$36*'契約別単価'!F5+'前提と出典'!$C$37*'契約別単価'!F6+'前提と出典'!$C$38*'契約別単価'!F7)</ns0:f>
        <ns0:v>373999.2131560746</ns0:v>
      </ns0:c>
      <ns0:c r="G516" s="16">
        <ns0:f>A516*('前提と出典'!$C$36*'契約別単価'!G5+'前提と出典'!$C$37*'契約別単価'!G6+'前提と出典'!$C$38*'契約別単価'!G7)</ns0:f>
        <ns0:v>1019137.4301675977</ns0:v>
      </ns0:c>
      <ns0:c r="H516" s="16">
        <ns0:f>A516*('前提と出典'!$C$36*'契約別単価'!H5+'前提と出典'!$C$37*'契約別単価'!H6+'前提と出典'!$C$38*'契約別単価'!H7)</ns0:f>
        <ns0:v>353691.8020268942</ns0:v>
      </ns0:c>
      <ns0:c r="I516" s="16">
        <ns0:f>A516*('前提と出典'!$C$36*'契約別単価'!I5+'前提と出典'!$C$37*'契約別単価'!I6+'前提と出典'!$C$38*'契約別単価'!I7)</ns0:f>
        <ns0:v>21604.11173184357</ns0:v>
      </ns0:c>
      <ns0:c r="J516" s="16">
        <ns0:f>A516*('前提と出典'!$C$36*'契約別単価'!J5+'前提と出典'!$C$37*'契約別単価'!J6+'前提と出典'!$C$38*'契約別単価'!J7)</ns0:f>
        <ns0:v>50324.246379674914</ns0:v>
      </ns0:c>
      <ns0:c r="K516" s="16">
        <ns0:f>A516*('前提と出典'!$C$36*'契約別単価'!K5+'前提と出典'!$C$37*'契約別単価'!K6+'前提と出典'!$C$38*'契約別単価'!K7)</ns0:f>
        <ns0:v>215707.41154562382</ns0:v>
      </ns0:c>
      <ns0:c r="L516" s="16">
        <ns0:f>A516*('前提と出典'!$C$36*'契約別単価'!L5+'前提と出典'!$C$37*'契約別単価'!L6+'前提と出典'!$C$38*'契約別単価'!L7)</ns0:f>
        <ns0:v>175629.7267342298</ns0:v>
      </ns0:c>
      <ns0:c r="M516" s="16">
        <ns0:f>IF(('前提と出典'!$C$36+'前提と出典'!$C$38)=0,0,IF(B516&lt;=10,'前提と出典'!B73+'前提と出典'!C73,IF(B516&lt;=100,'前提と出典'!B74+'前提と出典'!C74,IF(B516&lt;=500,'前提と出典'!B75+'前提と出典'!C75,'前提と出典'!B76+'前提と出典'!C76))))</ns0:f>
        <ns0:v>40000</ns0:v>
      </ns0:c>
      <ns0:c r="N516" s="16">
        <ns0:f>IF(('前提と出典'!$C$37+'前提と出典'!$C$38)=0,0,IF(C516&lt;=10,'前提と出典'!D73+'前提と出典'!E73,IF(C516&lt;=100,'前提と出典'!D74+'前提と出典'!E74,IF(C516&lt;=500,'前提と出典'!D75+'前提と出典'!E75,'前提と出典'!D76+'前提と出典'!E76))))</ns0:f>
        <ns0:v>56510.9346263078</ns0:v>
      </ns0:c>
      <ns0:c r="O516" s="16">
        <ns0:f>IF('前提と出典'!$C$36+'前提と出典'!$C$38=0,0,'前提と出典'!$B$4*IF('前提と出典'!$B$20=0,MAX('前提と出典'!$B$6,D516*'前提と出典'!$B$5),'前提と出典'!$B$6+D516*'前提と出典'!$B$5))</ns0:f>
        <ns0:v>508407.4189944134</ns0:v>
      </ns0:c>
      <ns0:c r="P516" s="16">
        <ns0:f>(E516+G516)*(1-'前提と出典'!$B$7)-I516-K516-M516-O516</ns0:f>
        <ns0:v>1437496.7713878546</ns0:v>
      </ns0:c>
      <ns0:c r="Q516" s="16">
        <ns0:f>(F516+H516)*(1-'前提と出典'!$B$7)-J516-L516-N516</ns0:f>
        <ns0:v>419029.2308961693</ns0:v>
      </ns0:c>
      <ns0:c r="R516" s="16">
        <ns0:f>P516-E516*'前提と出典'!$E$4</ns0:f>
        <ns0:v>1051365.89037805</ns0:v>
      </ns0:c>
      <ns0:c r="S516" s="16">
        <ns0:f>Q516-F516*'前提と出典'!$E$4</ns0:f>
        <ns0:v>306829.46694934694</ns0:v>
      </ns0:c>
      <ns0:c r="T516" s="7">
        <ns0:f>R516+S516</ns0:f>
        <ns0:v>1358195.357327397</ns0:v>
      </ns0:c>
      <ns0:c r="U516" s="16">
        <ns0:f>P516-E516*'前提と出典'!$E$5</ns0:f>
        <ns0:v>922655.5967081154</ns0:v>
      </ns0:c>
      <ns0:c r="V516" s="16">
        <ns0:f>Q516-F516*'前提と出典'!$E$5</ns0:f>
        <ns0:v>269429.54563373944</ns0:v>
      </ns0:c>
      <ns0:c r="W516" s="7">
        <ns0:f>U516+V516</ns0:f>
        <ns0:v>1192085.142341855</ns0:v>
      </ns0:c>
      <ns0:c r="X516" s="16">
        <ns0:f>P516-E516*'前提と出典'!$E$6</ns0:f>
        <ns0:v>793945.3030381806</ns0:v>
      </ns0:c>
      <ns0:c r="Y516" s="16">
        <ns0:f>Q516-F516*'前提と出典'!$E$6</ns0:f>
        <ns0:v>232029.62431813206</ns0:v>
      </ns0:c>
      <ns0:c r="Z516" s="7">
        <ns0:f>X516+Y516</ns0:f>
        <ns0:v>1025974.9273563126</ns0:v>
      </ns0:c>
      <ns0:c r="AA516" s="7">
        <ns0:f>IF(T516&gt;=0,A516,1001)</ns0:f>
        <ns0:v>512</ns0:v>
      </ns0:c>
      <ns0:c r="AB516" s="7">
        <ns0:f>IF(T516&lt;0,A516,0)</ns0:f>
        <ns0:v>0</ns0:v>
      </ns0:c>
      <ns0:c r="AC516" s="16">
        <ns0:f>IF(AND(OR('前提と出典'!$C$36+'前提と出典'!$C$38=0,R516&gt;=0),OR('前提と出典'!$C$37+'前提と出典'!$C$38=0,S516&gt;=0)),0,A516)</ns0:f>
        <ns0:v>0</ns0:v>
      </ns0:c>
      <ns0:c r="AD516" s="7">
        <ns0:f>IF(W516&gt;=0,A516,1001)</ns0:f>
        <ns0:v>512</ns0:v>
      </ns0:c>
      <ns0:c r="AE516" s="7">
        <ns0:f>IF(W516&lt;0,A516,0)</ns0:f>
        <ns0:v>0</ns0:v>
      </ns0:c>
      <ns0:c r="AF516" s="16">
        <ns0:f>IF(AND(OR('前提と出典'!$C$36+'前提と出典'!$C$38=0,U516&gt;=0),OR('前提と出典'!$C$37+'前提と出典'!$C$38=0,V516&gt;=0)),0,A516)</ns0:f>
        <ns0:v>0</ns0:v>
      </ns0:c>
      <ns0:c r="AG516" s="7">
        <ns0:f>IF(Z516&gt;=0,A516,1001)</ns0:f>
        <ns0:v>512</ns0:v>
      </ns0:c>
      <ns0:c r="AH516" s="4">
        <ns0:f>IF(Z516&lt;0,A516,0)</ns0:f>
        <ns0:v>0</ns0:v>
      </ns0:c>
      <ns0:c r="AI516" s="12">
        <ns0:f>IF(AND(OR('前提と出典'!$C$36+'前提と出典'!$C$38=0,X516&gt;=0),OR('前提と出典'!$C$37+'前提と出典'!$C$38=0,Y516&gt;=0)),0,A516)</ns0:f>
        <ns0:v>0</ns0:v>
      </ns0:c>
    </ns0:row>
    <ns0:row r="517" ht="24" customHeight="1">
      <ns0:c r="A517" s="4" t="n">
        <ns0:v>513</ns0:v>
      </ns0:c>
      <ns0:c r="B517" s="12">
        <ns0:f>A517*('前提と出典'!$C$36+'前提と出典'!$C$38)</ns0:f>
        <ns0:v>359.09999999999997</ns0:v>
      </ns0:c>
      <ns0:c r="C517" s="12">
        <ns0:f>A517*('前提と出典'!$C$37+'前提と出典'!$C$38)</ns0:f>
        <ns0:v>307.8</ns0:v>
      </ns0:c>
      <ns0:c r="D517" s="16">
        <ns0:f>A517*('前提と出典'!$C$36*'契約別単価'!C5+'前提と出典'!$C$37*'契約別単価'!C6+'前提と出典'!$C$38*'契約別単価'!C7)</ns0:f>
        <ns0:v>3691.3072625698323</ns0:v>
      </ns0:c>
      <ns0:c r="E517" s="16">
        <ns0:f>A517*('前提と出典'!$C$36*'契約別単価'!E5+'前提と出典'!$C$37*'契約別単価'!E6+'前提と出典'!$C$38*'契約別単価'!E7)</ns0:f>
        <ns0:v>1289616.8096225886</ns0:v>
      </ns0:c>
      <ns0:c r="F517" s="16">
        <ns0:f>A517*('前提と出典'!$C$36*'契約別単価'!F5+'前提と出典'!$C$37*'契約別単価'!F6+'前提と出典'!$C$38*'契約別単価'!F7)</ns0:f>
        <ns0:v>374729.68036927003</ns0:v>
      </ns0:c>
      <ns0:c r="G517" s="16">
        <ns0:f>A517*('前提と出典'!$C$36*'契約別単価'!G5+'前提と出典'!$C$37*'契約別単価'!G6+'前提と出典'!$C$38*'契約別単価'!G7)</ns0:f>
        <ns0:v>1021127.9329608938</ns0:v>
      </ns0:c>
      <ns0:c r="H517" s="16">
        <ns0:f>A517*('前提と出典'!$C$36*'契約別単価'!H5+'前提と出典'!$C$37*'契約別単価'!H6+'前提と出典'!$C$38*'契約別単価'!H7)</ns0:f>
        <ns0:v>354382.60632772796</ns0:v>
      </ns0:c>
      <ns0:c r="I517" s="16">
        <ns0:f>A517*('前提と出典'!$C$36*'契約別単価'!I5+'前提と出典'!$C$37*'契約別単価'!I6+'前提と出典'!$C$38*'契約別単価'!I7)</ns0:f>
        <ns0:v>21646.30726256983</ns0:v>
      </ns0:c>
      <ns0:c r="J517" s="16">
        <ns0:f>A517*('前提と出典'!$C$36*'契約別単価'!J5+'前提と出典'!$C$37*'契約別単価'!J6+'前提と出典'!$C$38*'契約別単価'!J7)</ns0:f>
        <ns0:v>50422.535923385214</ns0:v>
      </ns0:c>
      <ns0:c r="K517" s="16">
        <ns0:f>A517*('前提と出典'!$C$36*'契約別単価'!K5+'前提と出典'!$C$37*'契約別単価'!K6+'前提と出典'!$C$38*'契約別単価'!K7)</ns0:f>
        <ns0:v>216128.71508379886</ns0:v>
      </ns0:c>
      <ns0:c r="L517" s="16">
        <ns0:f>A517*('前提と出典'!$C$36*'契約別単価'!L5+'前提と出典'!$C$37*'契約別単価'!L6+'前提と出典'!$C$38*'契約別単価'!L7)</ns0:f>
        <ns0:v>175972.7535442576</ns0:v>
      </ns0:c>
      <ns0:c r="M517" s="16">
        <ns0:f>IF(('前提と出典'!$C$36+'前提と出典'!$C$38)=0,0,IF(B517&lt;=10,'前提と出典'!B73+'前提と出典'!C73,IF(B517&lt;=100,'前提と出典'!B74+'前提と出典'!C74,IF(B517&lt;=500,'前提と出典'!B75+'前提と出典'!C75,'前提と出典'!B76+'前提と出典'!C76))))</ns0:f>
        <ns0:v>40000</ns0:v>
      </ns0:c>
      <ns0:c r="N517" s="16">
        <ns0:f>IF(('前提と出典'!$C$37+'前提と出典'!$C$38)=0,0,IF(C517&lt;=10,'前提と出典'!D73+'前提と出典'!E73,IF(C517&lt;=100,'前提と出典'!D74+'前提と出典'!E74,IF(C517&lt;=500,'前提と出典'!D75+'前提と出典'!E75,'前提と出典'!D76+'前提と出典'!E76))))</ns0:f>
        <ns0:v>56510.9346263078</ns0:v>
      </ns0:c>
      <ns0:c r="O517" s="16">
        <ns0:f>IF('前提と出典'!$C$36+'前提と出典'!$C$38=0,0,'前提と出典'!$B$4*IF('前提と出典'!$B$20=0,MAX('前提と出典'!$B$6,D517*'前提と出典'!$B$5),'前提と出典'!$B$6+D517*'前提と出典'!$B$5))</ns0:f>
        <ns0:v>509400.4022346369</ns0:v>
      </ns0:c>
      <ns0:c r="P517" s="16">
        <ns0:f>(E517+G517)*(1-'前提と出典'!$B$7)-I517-K517-M517-O517</ns0:f>
        <ns0:v>1440382.5072694714</ns0:v>
      </ns0:c>
      <ns0:c r="Q517" s="16">
        <ns0:f>(F517+H517)*(1-'前提と出典'!$B$7)-J517-L517-N517</ns0:f>
        <ns0:v>419958.02028195537</ns0:v>
      </ns0:c>
      <ns0:c r="R517" s="16">
        <ns0:f>P517-E517*'前提と出典'!$E$4</ns0:f>
        <ns0:v>1053497.4643826948</ns0:v>
      </ns0:c>
      <ns0:c r="S517" s="16">
        <ns0:f>Q517-F517*'前提と出典'!$E$4</ns0:f>
        <ns0:v>307539.11617117445</ns0:v>
      </ns0:c>
      <ns0:c r="T517" s="7">
        <ns0:f>R517+S517</ns0:f>
        <ns0:v>1361036.5805538693</ns0:v>
      </ns0:c>
      <ns0:c r="U517" s="16">
        <ns0:f>P517-E517*'前提と出典'!$E$5</ns0:f>
        <ns0:v>924535.7834204361</ns0:v>
      </ns0:c>
      <ns0:c r="V517" s="16">
        <ns0:f>Q517-F517*'前提と出典'!$E$5</ns0:f>
        <ns0:v>270066.14813424734</ns0:v>
      </ns0:c>
      <ns0:c r="W517" s="7">
        <ns0:f>U517+V517</ns0:f>
        <ns0:v>1194601.9315546835</ns0:v>
      </ns0:c>
      <ns0:c r="X517" s="16">
        <ns0:f>P517-E517*'前提と出典'!$E$6</ns0:f>
        <ns0:v>795574.1024581771</ns0:v>
      </ns0:c>
      <ns0:c r="Y517" s="16">
        <ns0:f>Q517-F517*'前提と出典'!$E$6</ns0:f>
        <ns0:v>232593.18009732035</ns0:v>
      </ns0:c>
      <ns0:c r="Z517" s="7">
        <ns0:f>X517+Y517</ns0:f>
        <ns0:v>1028167.2825554975</ns0:v>
      </ns0:c>
      <ns0:c r="AA517" s="7">
        <ns0:f>IF(T517&gt;=0,A517,1001)</ns0:f>
        <ns0:v>513</ns0:v>
      </ns0:c>
      <ns0:c r="AB517" s="7">
        <ns0:f>IF(T517&lt;0,A517,0)</ns0:f>
        <ns0:v>0</ns0:v>
      </ns0:c>
      <ns0:c r="AC517" s="16">
        <ns0:f>IF(AND(OR('前提と出典'!$C$36+'前提と出典'!$C$38=0,R517&gt;=0),OR('前提と出典'!$C$37+'前提と出典'!$C$38=0,S517&gt;=0)),0,A517)</ns0:f>
        <ns0:v>0</ns0:v>
      </ns0:c>
      <ns0:c r="AD517" s="7">
        <ns0:f>IF(W517&gt;=0,A517,1001)</ns0:f>
        <ns0:v>513</ns0:v>
      </ns0:c>
      <ns0:c r="AE517" s="7">
        <ns0:f>IF(W517&lt;0,A517,0)</ns0:f>
        <ns0:v>0</ns0:v>
      </ns0:c>
      <ns0:c r="AF517" s="16">
        <ns0:f>IF(AND(OR('前提と出典'!$C$36+'前提と出典'!$C$38=0,U517&gt;=0),OR('前提と出典'!$C$37+'前提と出典'!$C$38=0,V517&gt;=0)),0,A517)</ns0:f>
        <ns0:v>0</ns0:v>
      </ns0:c>
      <ns0:c r="AG517" s="7">
        <ns0:f>IF(Z517&gt;=0,A517,1001)</ns0:f>
        <ns0:v>513</ns0:v>
      </ns0:c>
      <ns0:c r="AH517" s="4">
        <ns0:f>IF(Z517&lt;0,A517,0)</ns0:f>
        <ns0:v>0</ns0:v>
      </ns0:c>
      <ns0:c r="AI517" s="12">
        <ns0:f>IF(AND(OR('前提と出典'!$C$36+'前提と出典'!$C$38=0,X517&gt;=0),OR('前提と出典'!$C$37+'前提と出典'!$C$38=0,Y517&gt;=0)),0,A517)</ns0:f>
        <ns0:v>0</ns0:v>
      </ns0:c>
    </ns0:row>
    <ns0:row r="518" ht="24" customHeight="1">
      <ns0:c r="A518" s="4" t="n">
        <ns0:v>514</ns0:v>
      </ns0:c>
      <ns0:c r="B518" s="12">
        <ns0:f>A518*('前提と出典'!$C$36+'前提と出典'!$C$38)</ns0:f>
        <ns0:v>359.79999999999995</ns0:v>
      </ns0:c>
      <ns0:c r="C518" s="12">
        <ns0:f>A518*('前提と出典'!$C$37+'前提と出典'!$C$38)</ns0:f>
        <ns0:v>308.4</ns0:v>
      </ns0:c>
      <ns0:c r="D518" s="16">
        <ns0:f>A518*('前提と出典'!$C$36*'契約別単価'!C5+'前提と出典'!$C$37*'契約別単価'!C6+'前提と出典'!$C$38*'契約別単価'!C7)</ns0:f>
        <ns0:v>3698.5027932960893</ns0:v>
      </ns0:c>
      <ns0:c r="E518" s="16">
        <ns0:f>A518*('前提と出典'!$C$36*'契約別単価'!E5+'前提と出典'!$C$37*'契約別単価'!E6+'前提と出典'!$C$38*'契約別単価'!E7)</ns0:f>
        <ns0:v>1292130.6825458293</ns0:v>
      </ns0:c>
      <ns0:c r="F518" s="16">
        <ns0:f>A518*('前提と出典'!$C$36*'契約別単価'!F5+'前提と出典'!$C$37*'契約別単価'!F6+'前提と出典'!$C$38*'契約別単価'!F7)</ns0:f>
        <ns0:v>375460.1475824655</ns0:v>
      </ns0:c>
      <ns0:c r="G518" s="16">
        <ns0:f>A518*('前提と出典'!$C$36*'契約別単価'!G5+'前提と出典'!$C$37*'契約別単価'!G6+'前提と出典'!$C$38*'契約別単価'!G7)</ns0:f>
        <ns0:v>1023118.4357541898</ns0:v>
      </ns0:c>
      <ns0:c r="H518" s="16">
        <ns0:f>A518*('前提と出典'!$C$36*'契約別単価'!H5+'前提と出典'!$C$37*'契約別単価'!H6+'前提と出典'!$C$38*'契約別単価'!H7)</ns0:f>
        <ns0:v>355073.41062856175</ns0:v>
      </ns0:c>
      <ns0:c r="I518" s="16">
        <ns0:f>A518*('前提と出典'!$C$36*'契約別単価'!I5+'前提と出典'!$C$37*'契約別単価'!I6+'前提と出典'!$C$38*'契約別単価'!I7)</ns0:f>
        <ns0:v>21688.502793296087</ns0:v>
      </ns0:c>
      <ns0:c r="J518" s="16">
        <ns0:f>A518*('前提と出典'!$C$36*'契約別単価'!J5+'前提と出典'!$C$37*'契約別単価'!J6+'前提と出典'!$C$38*'契約別単価'!J7)</ns0:f>
        <ns0:v>50520.82546709552</ns0:v>
      </ns0:c>
      <ns0:c r="K518" s="16">
        <ns0:f>A518*('前提と出典'!$C$36*'契約別単価'!K5+'前提と出典'!$C$37*'契約別単価'!K6+'前提と出典'!$C$38*'契約別単価'!K7)</ns0:f>
        <ns0:v>216550.01862197393</ns0:v>
      </ns0:c>
      <ns0:c r="L518" s="16">
        <ns0:f>A518*('前提と出典'!$C$36*'契約別単価'!L5+'前提と出典'!$C$37*'契約別単価'!L6+'前提と出典'!$C$38*'契約別単価'!L7)</ns0:f>
        <ns0:v>176315.78035428538</ns0:v>
      </ns0:c>
      <ns0:c r="M518" s="16">
        <ns0:f>IF(('前提と出典'!$C$36+'前提と出典'!$C$38)=0,0,IF(B518&lt;=10,'前提と出典'!B73+'前提と出典'!C73,IF(B518&lt;=100,'前提と出典'!B74+'前提と出典'!C74,IF(B518&lt;=500,'前提と出典'!B75+'前提と出典'!C75,'前提と出典'!B76+'前提と出典'!C76))))</ns0:f>
        <ns0:v>40000</ns0:v>
      </ns0:c>
      <ns0:c r="N518" s="16">
        <ns0:f>IF(('前提と出典'!$C$37+'前提と出典'!$C$38)=0,0,IF(C518&lt;=10,'前提と出典'!D73+'前提と出典'!E73,IF(C518&lt;=100,'前提と出典'!D74+'前提と出典'!E74,IF(C518&lt;=500,'前提と出典'!D75+'前提と出典'!E75,'前提と出典'!D76+'前提と出典'!E76))))</ns0:f>
        <ns0:v>56510.9346263078</ns0:v>
      </ns0:c>
      <ns0:c r="O518" s="16">
        <ns0:f>IF('前提と出典'!$C$36+'前提と出典'!$C$38=0,0,'前提と出典'!$B$4*IF('前提と出典'!$B$20=0,MAX('前提と出典'!$B$6,D518*'前提と出典'!$B$5),'前提と出典'!$B$6+D518*'前提と出典'!$B$5))</ns0:f>
        <ns0:v>510393.3854748604</ns0:v>
      </ns0:c>
      <ns0:c r="P518" s="16">
        <ns0:f>(E518+G518)*(1-'前提と出典'!$B$7)-I518-K518-M518-O518</ns0:f>
        <ns0:v>1443268.2431510882</ns0:v>
      </ns0:c>
      <ns0:c r="Q518" s="16">
        <ns0:f>(F518+H518)*(1-'前提と出典'!$B$7)-J518-L518-N518</ns0:f>
        <ns0:v>420886.80966774153</ns0:v>
      </ns0:c>
      <ns0:c r="R518" s="16">
        <ns0:f>P518-E518*'前提と出典'!$E$4</ns0:f>
        <ns0:v>1055629.0383873396</ns0:v>
      </ns0:c>
      <ns0:c r="S518" s="16">
        <ns0:f>Q518-F518*'前提と出典'!$E$4</ns0:f>
        <ns0:v>308248.76539300184</ns0:v>
      </ns0:c>
      <ns0:c r="T518" s="7">
        <ns0:f>R518+S518</ns0:f>
        <ns0:v>1363877.8037803415</ns0:v>
      </ns0:c>
      <ns0:c r="U518" s="16">
        <ns0:f>P518-E518*'前提と出典'!$E$5</ns0:f>
        <ns0:v>926415.9701327565</ns0:v>
      </ns0:c>
      <ns0:c r="V518" s="16">
        <ns0:f>Q518-F518*'前提と出典'!$E$5</ns0:f>
        <ns0:v>270702.7506347553</ns0:v>
      </ns0:c>
      <ns0:c r="W518" s="7">
        <ns0:f>U518+V518</ns0:f>
        <ns0:v>1197118.7207675118</ns0:v>
      </ns0:c>
      <ns0:c r="X518" s="16">
        <ns0:f>P518-E518*'前提と出典'!$E$6</ns0:f>
        <ns0:v>797202.9018781735</ns0:v>
      </ns0:c>
      <ns0:c r="Y518" s="16">
        <ns0:f>Q518-F518*'前提と出典'!$E$6</ns0:f>
        <ns0:v>233156.7358765087</ns0:v>
      </ns0:c>
      <ns0:c r="Z518" s="7">
        <ns0:f>X518+Y518</ns0:f>
        <ns0:v>1030359.6377546822</ns0:v>
      </ns0:c>
      <ns0:c r="AA518" s="7">
        <ns0:f>IF(T518&gt;=0,A518,1001)</ns0:f>
        <ns0:v>514</ns0:v>
      </ns0:c>
      <ns0:c r="AB518" s="7">
        <ns0:f>IF(T518&lt;0,A518,0)</ns0:f>
        <ns0:v>0</ns0:v>
      </ns0:c>
      <ns0:c r="AC518" s="16">
        <ns0:f>IF(AND(OR('前提と出典'!$C$36+'前提と出典'!$C$38=0,R518&gt;=0),OR('前提と出典'!$C$37+'前提と出典'!$C$38=0,S518&gt;=0)),0,A518)</ns0:f>
        <ns0:v>0</ns0:v>
      </ns0:c>
      <ns0:c r="AD518" s="7">
        <ns0:f>IF(W518&gt;=0,A518,1001)</ns0:f>
        <ns0:v>514</ns0:v>
      </ns0:c>
      <ns0:c r="AE518" s="7">
        <ns0:f>IF(W518&lt;0,A518,0)</ns0:f>
        <ns0:v>0</ns0:v>
      </ns0:c>
      <ns0:c r="AF518" s="16">
        <ns0:f>IF(AND(OR('前提と出典'!$C$36+'前提と出典'!$C$38=0,U518&gt;=0),OR('前提と出典'!$C$37+'前提と出典'!$C$38=0,V518&gt;=0)),0,A518)</ns0:f>
        <ns0:v>0</ns0:v>
      </ns0:c>
      <ns0:c r="AG518" s="7">
        <ns0:f>IF(Z518&gt;=0,A518,1001)</ns0:f>
        <ns0:v>514</ns0:v>
      </ns0:c>
      <ns0:c r="AH518" s="4">
        <ns0:f>IF(Z518&lt;0,A518,0)</ns0:f>
        <ns0:v>0</ns0:v>
      </ns0:c>
      <ns0:c r="AI518" s="12">
        <ns0:f>IF(AND(OR('前提と出典'!$C$36+'前提と出典'!$C$38=0,X518&gt;=0),OR('前提と出典'!$C$37+'前提と出典'!$C$38=0,Y518&gt;=0)),0,A518)</ns0:f>
        <ns0:v>0</ns0:v>
      </ns0:c>
    </ns0:row>
    <ns0:row r="519" ht="24" customHeight="1">
      <ns0:c r="A519" s="4" t="n">
        <ns0:v>515</ns0:v>
      </ns0:c>
      <ns0:c r="B519" s="12">
        <ns0:f>A519*('前提と出典'!$C$36+'前提と出典'!$C$38)</ns0:f>
        <ns0:v>360.5</ns0:v>
      </ns0:c>
      <ns0:c r="C519" s="12">
        <ns0:f>A519*('前提と出典'!$C$37+'前提と出典'!$C$38)</ns0:f>
        <ns0:v>309</ns0:v>
      </ns0:c>
      <ns0:c r="D519" s="16">
        <ns0:f>A519*('前提と出典'!$C$36*'契約別単価'!C5+'前提と出典'!$C$37*'契約別単価'!C6+'前提と出典'!$C$38*'契約別単価'!C7)</ns0:f>
        <ns0:v>3705.6983240223462</ns0:v>
      </ns0:c>
      <ns0:c r="E519" s="16">
        <ns0:f>A519*('前提と出典'!$C$36*'契約別単価'!E5+'前提と出典'!$C$37*'契約別単価'!E6+'前提と出典'!$C$38*'契約別単価'!E7)</ns0:f>
        <ns0:v>1294644.5554690703</ns0:v>
      </ns0:c>
      <ns0:c r="F519" s="16">
        <ns0:f>A519*('前提と出典'!$C$36*'契約別単価'!F5+'前提と出典'!$C$37*'契約別単価'!F6+'前提と出典'!$C$38*'契約別単価'!F7)</ns0:f>
        <ns0:v>376190.61479566095</ns0:v>
      </ns0:c>
      <ns0:c r="G519" s="16">
        <ns0:f>A519*('前提と出典'!$C$36*'契約別単価'!G5+'前提と出典'!$C$37*'契約別単価'!G6+'前提と出典'!$C$38*'契約別単価'!G7)</ns0:f>
        <ns0:v>1025108.938547486</ns0:v>
      </ns0:c>
      <ns0:c r="H519" s="16">
        <ns0:f>A519*('前提と出典'!$C$36*'契約別単価'!H5+'前提と出典'!$C$37*'契約別単価'!H6+'前提と出典'!$C$38*'契約別単価'!H7)</ns0:f>
        <ns0:v>355764.21492939553</ns0:v>
      </ns0:c>
      <ns0:c r="I519" s="16">
        <ns0:f>A519*('前提と出典'!$C$36*'契約別単価'!I5+'前提と出典'!$C$37*'契約別単価'!I6+'前提と出典'!$C$38*'契約別単価'!I7)</ns0:f>
        <ns0:v>21730.69832402234</ns0:v>
      </ns0:c>
      <ns0:c r="J519" s="16">
        <ns0:f>A519*('前提と出典'!$C$36*'契約別単価'!J5+'前提と出典'!$C$37*'契約別単価'!J6+'前提と出典'!$C$38*'契約別単価'!J7)</ns0:f>
        <ns0:v>50619.11501080582</ns0:v>
      </ns0:c>
      <ns0:c r="K519" s="16">
        <ns0:f>A519*('前提と出典'!$C$36*'契約別単価'!K5+'前提と出典'!$C$37*'契約別単価'!K6+'前提と出典'!$C$38*'契約別単価'!K7)</ns0:f>
        <ns0:v>216971.32216014896</ns0:v>
      </ns0:c>
      <ns0:c r="L519" s="16">
        <ns0:f>A519*('前提と出典'!$C$36*'契約別単価'!L5+'前提と出典'!$C$37*'契約別単価'!L6+'前提と出典'!$C$38*'契約別単価'!L7)</ns0:f>
        <ns0:v>176658.80716431318</ns0:v>
      </ns0:c>
      <ns0:c r="M519" s="16">
        <ns0:f>IF(('前提と出典'!$C$36+'前提と出典'!$C$38)=0,0,IF(B519&lt;=10,'前提と出典'!B73+'前提と出典'!C73,IF(B519&lt;=100,'前提と出典'!B74+'前提と出典'!C74,IF(B519&lt;=500,'前提と出典'!B75+'前提と出典'!C75,'前提と出典'!B76+'前提と出典'!C76))))</ns0:f>
        <ns0:v>40000</ns0:v>
      </ns0:c>
      <ns0:c r="N519" s="16">
        <ns0:f>IF(('前提と出典'!$C$37+'前提と出典'!$C$38)=0,0,IF(C519&lt;=10,'前提と出典'!D73+'前提と出典'!E73,IF(C519&lt;=100,'前提と出典'!D74+'前提と出典'!E74,IF(C519&lt;=500,'前提と出典'!D75+'前提と出典'!E75,'前提と出典'!D76+'前提と出典'!E76))))</ns0:f>
        <ns0:v>56510.9346263078</ns0:v>
      </ns0:c>
      <ns0:c r="O519" s="16">
        <ns0:f>IF('前提と出典'!$C$36+'前提と出典'!$C$38=0,0,'前提と出典'!$B$4*IF('前提と出典'!$B$20=0,MAX('前提と出典'!$B$6,D519*'前提と出典'!$B$5),'前提と出典'!$B$6+D519*'前提と出典'!$B$5))</ns0:f>
        <ns0:v>511386.3687150838</ns0:v>
      </ns0:c>
      <ns0:c r="P519" s="16">
        <ns0:f>(E519+G519)*(1-'前提と出典'!$B$7)-I519-K519-M519-O519</ns0:f>
        <ns0:v>1446153.979032705</ns0:v>
      </ns0:c>
      <ns0:c r="Q519" s="16">
        <ns0:f>(F519+H519)*(1-'前提と出典'!$B$7)-J519-L519-N519</ns0:f>
        <ns0:v>421815.5990535276</ns0:v>
      </ns0:c>
      <ns0:c r="R519" s="16">
        <ns0:f>P519-E519*'前提と出典'!$E$4</ns0:f>
        <ns0:v>1057760.612391984</ns0:v>
      </ns0:c>
      <ns0:c r="S519" s="16">
        <ns0:f>Q519-F519*'前提と出典'!$E$4</ns0:f>
        <ns0:v>308958.41461482947</ns0:v>
      </ns0:c>
      <ns0:c r="T519" s="7">
        <ns0:f>R519+S519</ns0:f>
        <ns0:v>1366719.0270068136</ns0:v>
      </ns0:c>
      <ns0:c r="U519" s="16">
        <ns0:f>P519-E519*'前提と出典'!$E$5</ns0:f>
        <ns0:v>928296.1568450768</ns0:v>
      </ns0:c>
      <ns0:c r="V519" s="16">
        <ns0:f>Q519-F519*'前提と出典'!$E$5</ns0:f>
        <ns0:v>271339.3531352632</ns0:v>
      </ns0:c>
      <ns0:c r="W519" s="7">
        <ns0:f>U519+V519</ns0:f>
        <ns0:v>1199635.50998034</ns0:v>
      </ns0:c>
      <ns0:c r="X519" s="16">
        <ns0:f>P519-E519*'前提と出典'!$E$6</ns0:f>
        <ns0:v>798831.7012981697</ns0:v>
      </ns0:c>
      <ns0:c r="Y519" s="16">
        <ns0:f>Q519-F519*'前提と出典'!$E$6</ns0:f>
        <ns0:v>233720.29165569704</ns0:v>
      </ns0:c>
      <ns0:c r="Z519" s="7">
        <ns0:f>X519+Y519</ns0:f>
        <ns0:v>1032551.9929538667</ns0:v>
      </ns0:c>
      <ns0:c r="AA519" s="7">
        <ns0:f>IF(T519&gt;=0,A519,1001)</ns0:f>
        <ns0:v>515</ns0:v>
      </ns0:c>
      <ns0:c r="AB519" s="7">
        <ns0:f>IF(T519&lt;0,A519,0)</ns0:f>
        <ns0:v>0</ns0:v>
      </ns0:c>
      <ns0:c r="AC519" s="16">
        <ns0:f>IF(AND(OR('前提と出典'!$C$36+'前提と出典'!$C$38=0,R519&gt;=0),OR('前提と出典'!$C$37+'前提と出典'!$C$38=0,S519&gt;=0)),0,A519)</ns0:f>
        <ns0:v>0</ns0:v>
      </ns0:c>
      <ns0:c r="AD519" s="7">
        <ns0:f>IF(W519&gt;=0,A519,1001)</ns0:f>
        <ns0:v>515</ns0:v>
      </ns0:c>
      <ns0:c r="AE519" s="7">
        <ns0:f>IF(W519&lt;0,A519,0)</ns0:f>
        <ns0:v>0</ns0:v>
      </ns0:c>
      <ns0:c r="AF519" s="16">
        <ns0:f>IF(AND(OR('前提と出典'!$C$36+'前提と出典'!$C$38=0,U519&gt;=0),OR('前提と出典'!$C$37+'前提と出典'!$C$38=0,V519&gt;=0)),0,A519)</ns0:f>
        <ns0:v>0</ns0:v>
      </ns0:c>
      <ns0:c r="AG519" s="7">
        <ns0:f>IF(Z519&gt;=0,A519,1001)</ns0:f>
        <ns0:v>515</ns0:v>
      </ns0:c>
      <ns0:c r="AH519" s="4">
        <ns0:f>IF(Z519&lt;0,A519,0)</ns0:f>
        <ns0:v>0</ns0:v>
      </ns0:c>
      <ns0:c r="AI519" s="12">
        <ns0:f>IF(AND(OR('前提と出典'!$C$36+'前提と出典'!$C$38=0,X519&gt;=0),OR('前提と出典'!$C$37+'前提と出典'!$C$38=0,Y519&gt;=0)),0,A519)</ns0:f>
        <ns0:v>0</ns0:v>
      </ns0:c>
    </ns0:row>
    <ns0:row r="520" ht="24" customHeight="1">
      <ns0:c r="A520" s="4" t="n">
        <ns0:v>516</ns0:v>
      </ns0:c>
      <ns0:c r="B520" s="12">
        <ns0:f>A520*('前提と出典'!$C$36+'前提と出典'!$C$38)</ns0:f>
        <ns0:v>361.2</ns0:v>
      </ns0:c>
      <ns0:c r="C520" s="12">
        <ns0:f>A520*('前提と出典'!$C$37+'前提と出典'!$C$38)</ns0:f>
        <ns0:v>309.59999999999997</ns0:v>
      </ns0:c>
      <ns0:c r="D520" s="16">
        <ns0:f>A520*('前提と出典'!$C$36*'契約別単価'!C5+'前提と出典'!$C$37*'契約別単価'!C6+'前提と出典'!$C$38*'契約別単価'!C7)</ns0:f>
        <ns0:v>3712.893854748603</ns0:v>
      </ns0:c>
      <ns0:c r="E520" s="16">
        <ns0:f>A520*('前提と出典'!$C$36*'契約別単価'!E5+'前提と出典'!$C$37*'契約別単価'!E6+'前提と出典'!$C$38*'契約別単価'!E7)</ns0:f>
        <ns0:v>1297158.4283923113</ns0:v>
      </ns0:c>
      <ns0:c r="F520" s="16">
        <ns0:f>A520*('前提と出典'!$C$36*'契約別単価'!F5+'前提と出典'!$C$37*'契約別単価'!F6+'前提と出典'!$C$38*'契約別単価'!F7)</ns0:f>
        <ns0:v>376921.0820088564</ns0:v>
      </ns0:c>
      <ns0:c r="G520" s="16">
        <ns0:f>A520*('前提と出典'!$C$36*'契約別単価'!G5+'前提と出典'!$C$37*'契約別単価'!G6+'前提と出典'!$C$38*'契約別単価'!G7)</ns0:f>
        <ns0:v>1027099.4413407821</ns0:v>
      </ns0:c>
      <ns0:c r="H520" s="16">
        <ns0:f>A520*('前提と出典'!$C$36*'契約別単価'!H5+'前提と出典'!$C$37*'契約別単価'!H6+'前提と出典'!$C$38*'契約別単価'!H7)</ns0:f>
        <ns0:v>356455.0192302293</ns0:v>
      </ns0:c>
      <ns0:c r="I520" s="16">
        <ns0:f>A520*('前提と出典'!$C$36*'契約別単価'!I5+'前提と出典'!$C$37*'契約別単価'!I6+'前提と出典'!$C$38*'契約別単価'!I7)</ns0:f>
        <ns0:v>21772.8938547486</ns0:v>
      </ns0:c>
      <ns0:c r="J520" s="16">
        <ns0:f>A520*('前提と出典'!$C$36*'契約別単価'!J5+'前提と出典'!$C$37*'契約別単価'!J6+'前提と出典'!$C$38*'契約別単価'!J7)</ns0:f>
        <ns0:v>50717.40455451613</ns0:v>
      </ns0:c>
      <ns0:c r="K520" s="16">
        <ns0:f>A520*('前提と出典'!$C$36*'契約別単価'!K5+'前提と出典'!$C$37*'契約別単価'!K6+'前提と出典'!$C$38*'契約別単価'!K7)</ns0:f>
        <ns0:v>217392.625698324</ns0:v>
      </ns0:c>
      <ns0:c r="L520" s="16">
        <ns0:f>A520*('前提と出典'!$C$36*'契約別単価'!L5+'前提と出典'!$C$37*'契約別単価'!L6+'前提と出典'!$C$38*'契約別単価'!L7)</ns0:f>
        <ns0:v>177001.83397434096</ns0:v>
      </ns0:c>
      <ns0:c r="M520" s="16">
        <ns0:f>IF(('前提と出典'!$C$36+'前提と出典'!$C$38)=0,0,IF(B520&lt;=10,'前提と出典'!B73+'前提と出典'!C73,IF(B520&lt;=100,'前提と出典'!B74+'前提と出典'!C74,IF(B520&lt;=500,'前提と出典'!B75+'前提と出典'!C75,'前提と出典'!B76+'前提と出典'!C76))))</ns0:f>
        <ns0:v>40000</ns0:v>
      </ns0:c>
      <ns0:c r="N520" s="16">
        <ns0:f>IF(('前提と出典'!$C$37+'前提と出典'!$C$38)=0,0,IF(C520&lt;=10,'前提と出典'!D73+'前提と出典'!E73,IF(C520&lt;=100,'前提と出典'!D74+'前提と出典'!E74,IF(C520&lt;=500,'前提と出典'!D75+'前提と出典'!E75,'前提と出典'!D76+'前提と出典'!E76))))</ns0:f>
        <ns0:v>56510.9346263078</ns0:v>
      </ns0:c>
      <ns0:c r="O520" s="16">
        <ns0:f>IF('前提と出典'!$C$36+'前提と出典'!$C$38=0,0,'前提と出典'!$B$4*IF('前提と出典'!$B$20=0,MAX('前提と出典'!$B$6,D520*'前提と出典'!$B$5),'前提と出典'!$B$6+D520*'前提と出典'!$B$5))</ns0:f>
        <ns0:v>512379.35195530724</ns0:v>
      </ns0:c>
      <ns0:c r="P520" s="16">
        <ns0:f>(E520+G520)*(1-'前提と出典'!$B$7)-I520-K520-M520-O520</ns0:f>
        <ns0:v>1449039.714914322</ns0:v>
      </ns0:c>
      <ns0:c r="Q520" s="16">
        <ns0:f>(F520+H520)*(1-'前提と出典'!$B$7)-J520-L520-N520</ns0:f>
        <ns0:v>422744.3884393136</ns0:v>
      </ns0:c>
      <ns0:c r="R520" s="16">
        <ns0:f>P520-E520*'前提と出典'!$E$4</ns0:f>
        <ns0:v>1059892.1863966286</ns0:v>
      </ns0:c>
      <ns0:c r="S520" s="16">
        <ns0:f>Q520-F520*'前提と出典'!$E$4</ns0:f>
        <ns0:v>309668.06383665686</ns0:v>
      </ns0:c>
      <ns0:c r="T520" s="7">
        <ns0:f>R520+S520</ns0:f>
        <ns0:v>1369560.2502332856</ns0:v>
      </ns0:c>
      <ns0:c r="U520" s="16">
        <ns0:f>P520-E520*'前提と出典'!$E$5</ns0:f>
        <ns0:v>930176.3435573974</ns0:v>
      </ns0:c>
      <ns0:c r="V520" s="16">
        <ns0:f>Q520-F520*'前提と出典'!$E$5</ns0:f>
        <ns0:v>271975.95563577104</ns0:v>
      </ns0:c>
      <ns0:c r="W520" s="7">
        <ns0:f>U520+V520</ns0:f>
        <ns0:v>1202152.2991931685</ns0:v>
      </ns0:c>
      <ns0:c r="X520" s="16">
        <ns0:f>P520-E520*'前提と出典'!$E$6</ns0:f>
        <ns0:v>800460.5007181661</ns0:v>
      </ns0:c>
      <ns0:c r="Y520" s="16">
        <ns0:f>Q520-F520*'前提と出典'!$E$6</ns0:f>
        <ns0:v>234283.84743488545</ns0:v>
      </ns0:c>
      <ns0:c r="Z520" s="7">
        <ns0:f>X520+Y520</ns0:f>
        <ns0:v>1034744.3481530516</ns0:v>
      </ns0:c>
      <ns0:c r="AA520" s="7">
        <ns0:f>IF(T520&gt;=0,A520,1001)</ns0:f>
        <ns0:v>516</ns0:v>
      </ns0:c>
      <ns0:c r="AB520" s="7">
        <ns0:f>IF(T520&lt;0,A520,0)</ns0:f>
        <ns0:v>0</ns0:v>
      </ns0:c>
      <ns0:c r="AC520" s="16">
        <ns0:f>IF(AND(OR('前提と出典'!$C$36+'前提と出典'!$C$38=0,R520&gt;=0),OR('前提と出典'!$C$37+'前提と出典'!$C$38=0,S520&gt;=0)),0,A520)</ns0:f>
        <ns0:v>0</ns0:v>
      </ns0:c>
      <ns0:c r="AD520" s="7">
        <ns0:f>IF(W520&gt;=0,A520,1001)</ns0:f>
        <ns0:v>516</ns0:v>
      </ns0:c>
      <ns0:c r="AE520" s="7">
        <ns0:f>IF(W520&lt;0,A520,0)</ns0:f>
        <ns0:v>0</ns0:v>
      </ns0:c>
      <ns0:c r="AF520" s="16">
        <ns0:f>IF(AND(OR('前提と出典'!$C$36+'前提と出典'!$C$38=0,U520&gt;=0),OR('前提と出典'!$C$37+'前提と出典'!$C$38=0,V520&gt;=0)),0,A520)</ns0:f>
        <ns0:v>0</ns0:v>
      </ns0:c>
      <ns0:c r="AG520" s="7">
        <ns0:f>IF(Z520&gt;=0,A520,1001)</ns0:f>
        <ns0:v>516</ns0:v>
      </ns0:c>
      <ns0:c r="AH520" s="4">
        <ns0:f>IF(Z520&lt;0,A520,0)</ns0:f>
        <ns0:v>0</ns0:v>
      </ns0:c>
      <ns0:c r="AI520" s="12">
        <ns0:f>IF(AND(OR('前提と出典'!$C$36+'前提と出典'!$C$38=0,X520&gt;=0),OR('前提と出典'!$C$37+'前提と出典'!$C$38=0,Y520&gt;=0)),0,A520)</ns0:f>
        <ns0:v>0</ns0:v>
      </ns0:c>
    </ns0:row>
    <ns0:row r="521" ht="24" customHeight="1">
      <ns0:c r="A521" s="4" t="n">
        <ns0:v>517</ns0:v>
      </ns0:c>
      <ns0:c r="B521" s="12">
        <ns0:f>A521*('前提と出典'!$C$36+'前提と出典'!$C$38)</ns0:f>
        <ns0:v>361.9</ns0:v>
      </ns0:c>
      <ns0:c r="C521" s="12">
        <ns0:f>A521*('前提と出典'!$C$37+'前提と出典'!$C$38)</ns0:f>
        <ns0:v>310.2</ns0:v>
      </ns0:c>
      <ns0:c r="D521" s="16">
        <ns0:f>A521*('前提と出典'!$C$36*'契約別単価'!C5+'前提と出典'!$C$37*'契約別単価'!C6+'前提と出典'!$C$38*'契約別単価'!C7)</ns0:f>
        <ns0:v>3720.08938547486</ns0:v>
      </ns0:c>
      <ns0:c r="E521" s="16">
        <ns0:f>A521*('前提と出典'!$C$36*'契約別単価'!E5+'前提と出典'!$C$37*'契約別単価'!E6+'前提と出典'!$C$38*'契約別単価'!E7)</ns0:f>
        <ns0:v>1299672.301315552</ns0:v>
      </ns0:c>
      <ns0:c r="F521" s="16">
        <ns0:f>A521*('前提と出典'!$C$36*'契約別単価'!F5+'前提と出典'!$C$37*'契約別単価'!F6+'前提と出典'!$C$38*'契約別単価'!F7)</ns0:f>
        <ns0:v>377651.54922205186</ns0:v>
      </ns0:c>
      <ns0:c r="G521" s="16">
        <ns0:f>A521*('前提と出典'!$C$36*'契約別単価'!G5+'前提と出典'!$C$37*'契約別単価'!G6+'前提と出典'!$C$38*'契約別単価'!G7)</ns0:f>
        <ns0:v>1029089.9441340782</ns0:v>
      </ns0:c>
      <ns0:c r="H521" s="16">
        <ns0:f>A521*('前提と出典'!$C$36*'契約別単価'!H5+'前提と出典'!$C$37*'契約別単価'!H6+'前提と出典'!$C$38*'契約別単価'!H7)</ns0:f>
        <ns0:v>357145.82353106304</ns0:v>
      </ns0:c>
      <ns0:c r="I521" s="16">
        <ns0:f>A521*('前提と出典'!$C$36*'契約別単価'!I5+'前提と出典'!$C$37*'契約別単価'!I6+'前提と出典'!$C$38*'契約別単価'!I7)</ns0:f>
        <ns0:v>21815.089385474857</ns0:v>
      </ns0:c>
      <ns0:c r="J521" s="16">
        <ns0:f>A521*('前提と出典'!$C$36*'契約別単価'!J5+'前提と出典'!$C$37*'契約別単価'!J6+'前提と出典'!$C$38*'契約別単価'!J7)</ns0:f>
        <ns0:v>50815.69409822643</ns0:v>
      </ns0:c>
      <ns0:c r="K521" s="16">
        <ns0:f>A521*('前提と出典'!$C$36*'契約別単価'!K5+'前提と出典'!$C$37*'契約別単価'!K6+'前提と出典'!$C$38*'契約別単価'!K7)</ns0:f>
        <ns0:v>217813.92923649904</ns0:v>
      </ns0:c>
      <ns0:c r="L521" s="16">
        <ns0:f>A521*('前提と出典'!$C$36*'契約別単価'!L5+'前提と出典'!$C$37*'契約別単価'!L6+'前提と出典'!$C$38*'契約別単価'!L7)</ns0:f>
        <ns0:v>177344.86078436876</ns0:v>
      </ns0:c>
      <ns0:c r="M521" s="16">
        <ns0:f>IF(('前提と出典'!$C$36+'前提と出典'!$C$38)=0,0,IF(B521&lt;=10,'前提と出典'!B73+'前提と出典'!C73,IF(B521&lt;=100,'前提と出典'!B74+'前提と出典'!C74,IF(B521&lt;=500,'前提と出典'!B75+'前提と出典'!C75,'前提と出典'!B76+'前提と出典'!C76))))</ns0:f>
        <ns0:v>40000</ns0:v>
      </ns0:c>
      <ns0:c r="N521" s="16">
        <ns0:f>IF(('前提と出典'!$C$37+'前提と出典'!$C$38)=0,0,IF(C521&lt;=10,'前提と出典'!D73+'前提と出典'!E73,IF(C521&lt;=100,'前提と出典'!D74+'前提と出典'!E74,IF(C521&lt;=500,'前提と出典'!D75+'前提と出典'!E75,'前提と出典'!D76+'前提と出典'!E76))))</ns0:f>
        <ns0:v>56510.9346263078</ns0:v>
      </ns0:c>
      <ns0:c r="O521" s="16">
        <ns0:f>IF('前提と出典'!$C$36+'前提と出典'!$C$38=0,0,'前提と出典'!$B$4*IF('前提と出典'!$B$20=0,MAX('前提と出典'!$B$6,D521*'前提と出典'!$B$5),'前提と出典'!$B$6+D521*'前提と出典'!$B$5))</ns0:f>
        <ns0:v>513372.33519553073</ns0:v>
      </ns0:c>
      <ns0:c r="P521" s="16">
        <ns0:f>(E521+G521)*(1-'前提と出典'!$B$7)-I521-K521-M521-O521</ns0:f>
        <ns0:v>1451925.4507959392</ns0:v>
      </ns0:c>
      <ns0:c r="Q521" s="16">
        <ns0:f>(F521+H521)*(1-'前提と出典'!$B$7)-J521-L521-N521</ns0:f>
        <ns0:v>423673.1778250998</ns0:v>
      </ns0:c>
      <ns0:c r="R521" s="16">
        <ns0:f>P521-E521*'前提と出典'!$E$4</ns0:f>
        <ns0:v>1062023.7604012736</ns0:v>
      </ns0:c>
      <ns0:c r="S521" s="16">
        <ns0:f>Q521-F521*'前提と出典'!$E$4</ns0:f>
        <ns0:v>310377.7130584843</ns0:v>
      </ns0:c>
      <ns0:c r="T521" s="7">
        <ns0:f>R521+S521</ns0:f>
        <ns0:v>1372401.4734597579</ns0:v>
      </ns0:c>
      <ns0:c r="U521" s="16">
        <ns0:f>P521-E521*'前提と出典'!$E$5</ns0:f>
        <ns0:v>932056.5302697183</ns0:v>
      </ns0:c>
      <ns0:c r="V521" s="16">
        <ns0:f>Q521-F521*'前提と出典'!$E$5</ns0:f>
        <ns0:v>272612.558136279</ns0:v>
      </ns0:c>
      <ns0:c r="W521" s="7">
        <ns0:f>U521+V521</ns0:f>
        <ns0:v>1204669.0884059973</ns0:v>
      </ns0:c>
      <ns0:c r="X521" s="16">
        <ns0:f>P521-E521*'前提と出典'!$E$6</ns0:f>
        <ns0:v>802089.3001381631</ns0:v>
      </ns0:c>
      <ns0:c r="Y521" s="16">
        <ns0:f>Q521-F521*'前提と出典'!$E$6</ns0:f>
        <ns0:v>234847.40321407386</ns0:v>
      </ns0:c>
      <ns0:c r="Z521" s="7">
        <ns0:f>X521+Y521</ns0:f>
        <ns0:v>1036936.703352237</ns0:v>
      </ns0:c>
      <ns0:c r="AA521" s="7">
        <ns0:f>IF(T521&gt;=0,A521,1001)</ns0:f>
        <ns0:v>517</ns0:v>
      </ns0:c>
      <ns0:c r="AB521" s="7">
        <ns0:f>IF(T521&lt;0,A521,0)</ns0:f>
        <ns0:v>0</ns0:v>
      </ns0:c>
      <ns0:c r="AC521" s="16">
        <ns0:f>IF(AND(OR('前提と出典'!$C$36+'前提と出典'!$C$38=0,R521&gt;=0),OR('前提と出典'!$C$37+'前提と出典'!$C$38=0,S521&gt;=0)),0,A521)</ns0:f>
        <ns0:v>0</ns0:v>
      </ns0:c>
      <ns0:c r="AD521" s="7">
        <ns0:f>IF(W521&gt;=0,A521,1001)</ns0:f>
        <ns0:v>517</ns0:v>
      </ns0:c>
      <ns0:c r="AE521" s="7">
        <ns0:f>IF(W521&lt;0,A521,0)</ns0:f>
        <ns0:v>0</ns0:v>
      </ns0:c>
      <ns0:c r="AF521" s="16">
        <ns0:f>IF(AND(OR('前提と出典'!$C$36+'前提と出典'!$C$38=0,U521&gt;=0),OR('前提と出典'!$C$37+'前提と出典'!$C$38=0,V521&gt;=0)),0,A521)</ns0:f>
        <ns0:v>0</ns0:v>
      </ns0:c>
      <ns0:c r="AG521" s="7">
        <ns0:f>IF(Z521&gt;=0,A521,1001)</ns0:f>
        <ns0:v>517</ns0:v>
      </ns0:c>
      <ns0:c r="AH521" s="4">
        <ns0:f>IF(Z521&lt;0,A521,0)</ns0:f>
        <ns0:v>0</ns0:v>
      </ns0:c>
      <ns0:c r="AI521" s="12">
        <ns0:f>IF(AND(OR('前提と出典'!$C$36+'前提と出典'!$C$38=0,X521&gt;=0),OR('前提と出典'!$C$37+'前提と出典'!$C$38=0,Y521&gt;=0)),0,A521)</ns0:f>
        <ns0:v>0</ns0:v>
      </ns0:c>
    </ns0:row>
    <ns0:row r="522" ht="24" customHeight="1">
      <ns0:c r="A522" s="4" t="n">
        <ns0:v>518</ns0:v>
      </ns0:c>
      <ns0:c r="B522" s="12">
        <ns0:f>A522*('前提と出典'!$C$36+'前提と出典'!$C$38)</ns0:f>
        <ns0:v>362.59999999999997</ns0:v>
      </ns0:c>
      <ns0:c r="C522" s="12">
        <ns0:f>A522*('前提と出典'!$C$37+'前提と出典'!$C$38)</ns0:f>
        <ns0:v>310.8</ns0:v>
      </ns0:c>
      <ns0:c r="D522" s="16">
        <ns0:f>A522*('前提と出典'!$C$36*'契約別単価'!C5+'前提と出典'!$C$37*'契約別単価'!C6+'前提と出典'!$C$38*'契約別単価'!C7)</ns0:f>
        <ns0:v>3727.284916201117</ns0:v>
      </ns0:c>
      <ns0:c r="E522" s="16">
        <ns0:f>A522*('前提と出典'!$C$36*'契約別単価'!E5+'前提と出典'!$C$37*'契約別単価'!E6+'前提と出典'!$C$38*'契約別単価'!E7)</ns0:f>
        <ns0:v>1302186.174238793</ns0:v>
      </ns0:c>
      <ns0:c r="F522" s="16">
        <ns0:f>A522*('前提と出典'!$C$36*'契約別単価'!F5+'前提と出典'!$C$37*'契約別単価'!F6+'前提と出典'!$C$38*'契約別単価'!F7)</ns0:f>
        <ns0:v>378382.0164352473</ns0:v>
      </ns0:c>
      <ns0:c r="G522" s="16">
        <ns0:f>A522*('前提と出典'!$C$36*'契約別単価'!G5+'前提と出典'!$C$37*'契約別単価'!G6+'前提と出典'!$C$38*'契約別単価'!G7)</ns0:f>
        <ns0:v>1031080.4469273742</ns0:v>
      </ns0:c>
      <ns0:c r="H522" s="16">
        <ns0:f>A522*('前提と出典'!$C$36*'契約別単価'!H5+'前提と出典'!$C$37*'契約別単価'!H6+'前提と出典'!$C$38*'契約別単価'!H7)</ns0:f>
        <ns0:v>357836.6278318968</ns0:v>
      </ns0:c>
      <ns0:c r="I522" s="16">
        <ns0:f>A522*('前提と出典'!$C$36*'契約別単価'!I5+'前提と出典'!$C$37*'契約別単価'!I6+'前提と出典'!$C$38*'契約別単価'!I7)</ns0:f>
        <ns0:v>21857.284916201115</ns0:v>
      </ns0:c>
      <ns0:c r="J522" s="16">
        <ns0:f>A522*('前提と出典'!$C$36*'契約別単価'!J5+'前提と出典'!$C$37*'契約別単価'!J6+'前提と出典'!$C$38*'契約別単価'!J7)</ns0:f>
        <ns0:v>50913.98364193673</ns0:v>
      </ns0:c>
      <ns0:c r="K522" s="16">
        <ns0:f>A522*('前提と出典'!$C$36*'契約別単価'!K5+'前提と出典'!$C$37*'契約別単価'!K6+'前提と出典'!$C$38*'契約別単価'!K7)</ns0:f>
        <ns0:v>218235.2327746741</ns0:v>
      </ns0:c>
      <ns0:c r="L522" s="16">
        <ns0:f>A522*('前提と出典'!$C$36*'契約別単価'!L5+'前提と出典'!$C$37*'契約別単価'!L6+'前提と出典'!$C$38*'契約別単価'!L7)</ns0:f>
        <ns0:v>177687.88759439657</ns0:v>
      </ns0:c>
      <ns0:c r="M522" s="16">
        <ns0:f>IF(('前提と出典'!$C$36+'前提と出典'!$C$38)=0,0,IF(B522&lt;=10,'前提と出典'!B73+'前提と出典'!C73,IF(B522&lt;=100,'前提と出典'!B74+'前提と出典'!C74,IF(B522&lt;=500,'前提と出典'!B75+'前提と出典'!C75,'前提と出典'!B76+'前提と出典'!C76))))</ns0:f>
        <ns0:v>40000</ns0:v>
      </ns0:c>
      <ns0:c r="N522" s="16">
        <ns0:f>IF(('前提と出典'!$C$37+'前提と出典'!$C$38)=0,0,IF(C522&lt;=10,'前提と出典'!D73+'前提と出典'!E73,IF(C522&lt;=100,'前提と出典'!D74+'前提と出典'!E74,IF(C522&lt;=500,'前提と出典'!D75+'前提と出典'!E75,'前提と出典'!D76+'前提と出典'!E76))))</ns0:f>
        <ns0:v>56510.9346263078</ns0:v>
      </ns0:c>
      <ns0:c r="O522" s="16">
        <ns0:f>IF('前提と出典'!$C$36+'前提と出典'!$C$38=0,0,'前提と出典'!$B$4*IF('前提と出典'!$B$20=0,MAX('前提と出典'!$B$6,D522*'前提と出典'!$B$5),'前提と出典'!$B$6+D522*'前提と出典'!$B$5))</ns0:f>
        <ns0:v>514365.3184357542</ns0:v>
      </ns0:c>
      <ns0:c r="P522" s="16">
        <ns0:f>(E522+G522)*(1-'前提と出典'!$B$7)-I522-K522-M522-O522</ns0:f>
        <ns0:v>1454811.1866775558</ns0:v>
      </ns0:c>
      <ns0:c r="Q522" s="16">
        <ns0:f>(F522+H522)*(1-'前提と出典'!$B$7)-J522-L522-N522</ns0:f>
        <ns0:v>424601.9672108858</ns0:v>
      </ns0:c>
      <ns0:c r="R522" s="16">
        <ns0:f>P522-E522*'前提と出典'!$E$4</ns0:f>
        <ns0:v>1064155.334405918</ns0:v>
      </ns0:c>
      <ns0:c r="S522" s="16">
        <ns0:f>Q522-F522*'前提と出典'!$E$4</ns0:f>
        <ns0:v>311087.36228031165</ns0:v>
      </ns0:c>
      <ns0:c r="T522" s="7">
        <ns0:f>R522+S522</ns0:f>
        <ns0:v>1375242.6966862297</ns0:v>
      </ns0:c>
      <ns0:c r="U522" s="16">
        <ns0:f>P522-E522*'前提と出典'!$E$5</ns0:f>
        <ns0:v>933936.7169820385</ns0:v>
      </ns0:c>
      <ns0:c r="V522" s="16">
        <ns0:f>Q522-F522*'前提と出典'!$E$5</ns0:f>
        <ns0:v>273249.16063678684</ns0:v>
      </ns0:c>
      <ns0:c r="W522" s="7">
        <ns0:f>U522+V522</ns0:f>
        <ns0:v>1207185.8776188253</ns0:v>
      </ns0:c>
      <ns0:c r="X522" s="16">
        <ns0:f>P522-E522*'前提と出典'!$E$6</ns0:f>
        <ns0:v>803718.0995581592</ns0:v>
      </ns0:c>
      <ns0:c r="Y522" s="16">
        <ns0:f>Q522-F522*'前提と出典'!$E$6</ns0:f>
        <ns0:v>235410.95899326215</ns0:v>
      </ns0:c>
      <ns0:c r="Z522" s="7">
        <ns0:f>X522+Y522</ns0:f>
        <ns0:v>1039129.0585514214</ns0:v>
      </ns0:c>
      <ns0:c r="AA522" s="7">
        <ns0:f>IF(T522&gt;=0,A522,1001)</ns0:f>
        <ns0:v>518</ns0:v>
      </ns0:c>
      <ns0:c r="AB522" s="7">
        <ns0:f>IF(T522&lt;0,A522,0)</ns0:f>
        <ns0:v>0</ns0:v>
      </ns0:c>
      <ns0:c r="AC522" s="16">
        <ns0:f>IF(AND(OR('前提と出典'!$C$36+'前提と出典'!$C$38=0,R522&gt;=0),OR('前提と出典'!$C$37+'前提と出典'!$C$38=0,S522&gt;=0)),0,A522)</ns0:f>
        <ns0:v>0</ns0:v>
      </ns0:c>
      <ns0:c r="AD522" s="7">
        <ns0:f>IF(W522&gt;=0,A522,1001)</ns0:f>
        <ns0:v>518</ns0:v>
      </ns0:c>
      <ns0:c r="AE522" s="7">
        <ns0:f>IF(W522&lt;0,A522,0)</ns0:f>
        <ns0:v>0</ns0:v>
      </ns0:c>
      <ns0:c r="AF522" s="16">
        <ns0:f>IF(AND(OR('前提と出典'!$C$36+'前提と出典'!$C$38=0,U522&gt;=0),OR('前提と出典'!$C$37+'前提と出典'!$C$38=0,V522&gt;=0)),0,A522)</ns0:f>
        <ns0:v>0</ns0:v>
      </ns0:c>
      <ns0:c r="AG522" s="7">
        <ns0:f>IF(Z522&gt;=0,A522,1001)</ns0:f>
        <ns0:v>518</ns0:v>
      </ns0:c>
      <ns0:c r="AH522" s="4">
        <ns0:f>IF(Z522&lt;0,A522,0)</ns0:f>
        <ns0:v>0</ns0:v>
      </ns0:c>
      <ns0:c r="AI522" s="12">
        <ns0:f>IF(AND(OR('前提と出典'!$C$36+'前提と出典'!$C$38=0,X522&gt;=0),OR('前提と出典'!$C$37+'前提と出典'!$C$38=0,Y522&gt;=0)),0,A522)</ns0:f>
        <ns0:v>0</ns0:v>
      </ns0:c>
    </ns0:row>
    <ns0:row r="523" ht="24" customHeight="1">
      <ns0:c r="A523" s="4" t="n">
        <ns0:v>519</ns0:v>
      </ns0:c>
      <ns0:c r="B523" s="12">
        <ns0:f>A523*('前提と出典'!$C$36+'前提と出典'!$C$38)</ns0:f>
        <ns0:v>363.29999999999995</ns0:v>
      </ns0:c>
      <ns0:c r="C523" s="12">
        <ns0:f>A523*('前提と出典'!$C$37+'前提と出典'!$C$38)</ns0:f>
        <ns0:v>311.4</ns0:v>
      </ns0:c>
      <ns0:c r="D523" s="16">
        <ns0:f>A523*('前提と出典'!$C$36*'契約別単価'!C5+'前提と出典'!$C$37*'契約別単価'!C6+'前提と出典'!$C$38*'契約別単価'!C7)</ns0:f>
        <ns0:v>3734.4804469273745</ns0:v>
      </ns0:c>
      <ns0:c r="E523" s="16">
        <ns0:f>A523*('前提と出典'!$C$36*'契約別単価'!E5+'前提と出典'!$C$37*'契約別単価'!E6+'前提と出典'!$C$38*'契約別単価'!E7)</ns0:f>
        <ns0:v>1304700.0471620339</ns0:v>
      </ns0:c>
      <ns0:c r="F523" s="16">
        <ns0:f>A523*('前提と出典'!$C$36*'契約別単価'!F5+'前提と出典'!$C$37*'契約別単価'!F6+'前提と出典'!$C$38*'契約別単価'!F7)</ns0:f>
        <ns0:v>379112.4836484428</ns0:v>
      </ns0:c>
      <ns0:c r="G523" s="16">
        <ns0:f>A523*('前提と出典'!$C$36*'契約別単価'!G5+'前提と出典'!$C$37*'契約別単価'!G6+'前提と出典'!$C$38*'契約別単価'!G7)</ns0:f>
        <ns0:v>1033070.9497206704</ns0:v>
      </ns0:c>
      <ns0:c r="H523" s="16">
        <ns0:f>A523*('前提と出典'!$C$36*'契約別単価'!H5+'前提と出典'!$C$37*'契約別単価'!H6+'前提と出典'!$C$38*'契約別単価'!H7)</ns0:f>
        <ns0:v>358527.4321327306</ns0:v>
      </ns0:c>
      <ns0:c r="I523" s="16">
        <ns0:f>A523*('前提と出典'!$C$36*'契約別単価'!I5+'前提と出典'!$C$37*'契約別単価'!I6+'前提と出典'!$C$38*'契約別単価'!I7)</ns0:f>
        <ns0:v>21899.48044692737</ns0:v>
      </ns0:c>
      <ns0:c r="J523" s="16">
        <ns0:f>A523*('前提と出典'!$C$36*'契約別単価'!J5+'前提と出典'!$C$37*'契約別単価'!J6+'前提と出典'!$C$38*'契約別単価'!J7)</ns0:f>
        <ns0:v>51012.273185647035</ns0:v>
      </ns0:c>
      <ns0:c r="K523" s="16">
        <ns0:f>A523*('前提と出典'!$C$36*'契約別単価'!K5+'前提と出典'!$C$37*'契約別単価'!K6+'前提と出典'!$C$38*'契約別単価'!K7)</ns0:f>
        <ns0:v>218656.53631284914</ns0:v>
      </ns0:c>
      <ns0:c r="L523" s="16">
        <ns0:f>A523*('前提と出典'!$C$36*'契約別単価'!L5+'前提と出典'!$C$37*'契約別単価'!L6+'前提と出典'!$C$38*'契約別単価'!L7)</ns0:f>
        <ns0:v>178030.91440442434</ns0:v>
      </ns0:c>
      <ns0:c r="M523" s="16">
        <ns0:f>IF(('前提と出典'!$C$36+'前提と出典'!$C$38)=0,0,IF(B523&lt;=10,'前提と出典'!B73+'前提と出典'!C73,IF(B523&lt;=100,'前提と出典'!B74+'前提と出典'!C74,IF(B523&lt;=500,'前提と出典'!B75+'前提と出典'!C75,'前提と出典'!B76+'前提と出典'!C76))))</ns0:f>
        <ns0:v>40000</ns0:v>
      </ns0:c>
      <ns0:c r="N523" s="16">
        <ns0:f>IF(('前提と出典'!$C$37+'前提と出典'!$C$38)=0,0,IF(C523&lt;=10,'前提と出典'!D73+'前提と出典'!E73,IF(C523&lt;=100,'前提と出典'!D74+'前提と出典'!E74,IF(C523&lt;=500,'前提と出典'!D75+'前提と出典'!E75,'前提と出典'!D76+'前提と出典'!E76))))</ns0:f>
        <ns0:v>56510.9346263078</ns0:v>
      </ns0:c>
      <ns0:c r="O523" s="16">
        <ns0:f>IF('前提と出典'!$C$36+'前提と出典'!$C$38=0,0,'前提と出典'!$B$4*IF('前提と出典'!$B$20=0,MAX('前提と出典'!$B$6,D523*'前提と出典'!$B$5),'前提と出典'!$B$6+D523*'前提と出典'!$B$5))</ns0:f>
        <ns0:v>515358.30167597765</ns0:v>
      </ns0:c>
      <ns0:c r="P523" s="16">
        <ns0:f>(E523+G523)*(1-'前提と出典'!$B$7)-I523-K523-M523-O523</ns0:f>
        <ns0:v>1457696.9225591726</ns0:v>
      </ns0:c>
      <ns0:c r="Q523" s="16">
        <ns0:f>(F523+H523)*(1-'前提と出典'!$B$7)-J523-L523-N523</ns0:f>
        <ns0:v>425530.756596672</ns0:v>
      </ns0:c>
      <ns0:c r="R523" s="16">
        <ns0:f>P523-E523*'前提と出典'!$E$4</ns0:f>
        <ns0:v>1066286.9084105622</ns0:v>
      </ns0:c>
      <ns0:c r="S523" s="16">
        <ns0:f>Q523-F523*'前提と出典'!$E$4</ns0:f>
        <ns0:v>311797.01150213904</ns0:v>
      </ns0:c>
      <ns0:c r="T523" s="7">
        <ns0:f>R523+S523</ns0:f>
        <ns0:v>1378083.9199127012</ns0:v>
      </ns0:c>
      <ns0:c r="U523" s="16">
        <ns0:f>P523-E523*'前提と出典'!$E$5</ns0:f>
        <ns0:v>935816.9036943591</ns0:v>
      </ns0:c>
      <ns0:c r="V523" s="16">
        <ns0:f>Q523-F523*'前提と出典'!$E$5</ns0:f>
        <ns0:v>273885.7631372949</ns0:v>
      </ns0:c>
      <ns0:c r="W523" s="7">
        <ns0:f>U523+V523</ns0:f>
        <ns0:v>1209702.666831654</ns0:v>
      </ns0:c>
      <ns0:c r="X523" s="16">
        <ns0:f>P523-E523*'前提と出典'!$E$6</ns0:f>
        <ns0:v>805346.8989781556</ns0:v>
      </ns0:c>
      <ns0:c r="Y523" s="16">
        <ns0:f>Q523-F523*'前提と出典'!$E$6</ns0:f>
        <ns0:v>235974.51477245067</ns0:v>
      </ns0:c>
      <ns0:c r="Z523" s="7">
        <ns0:f>X523+Y523</ns0:f>
        <ns0:v>1041321.4137506062</ns0:v>
      </ns0:c>
      <ns0:c r="AA523" s="7">
        <ns0:f>IF(T523&gt;=0,A523,1001)</ns0:f>
        <ns0:v>519</ns0:v>
      </ns0:c>
      <ns0:c r="AB523" s="7">
        <ns0:f>IF(T523&lt;0,A523,0)</ns0:f>
        <ns0:v>0</ns0:v>
      </ns0:c>
      <ns0:c r="AC523" s="16">
        <ns0:f>IF(AND(OR('前提と出典'!$C$36+'前提と出典'!$C$38=0,R523&gt;=0),OR('前提と出典'!$C$37+'前提と出典'!$C$38=0,S523&gt;=0)),0,A523)</ns0:f>
        <ns0:v>0</ns0:v>
      </ns0:c>
      <ns0:c r="AD523" s="7">
        <ns0:f>IF(W523&gt;=0,A523,1001)</ns0:f>
        <ns0:v>519</ns0:v>
      </ns0:c>
      <ns0:c r="AE523" s="7">
        <ns0:f>IF(W523&lt;0,A523,0)</ns0:f>
        <ns0:v>0</ns0:v>
      </ns0:c>
      <ns0:c r="AF523" s="16">
        <ns0:f>IF(AND(OR('前提と出典'!$C$36+'前提と出典'!$C$38=0,U523&gt;=0),OR('前提と出典'!$C$37+'前提と出典'!$C$38=0,V523&gt;=0)),0,A523)</ns0:f>
        <ns0:v>0</ns0:v>
      </ns0:c>
      <ns0:c r="AG523" s="7">
        <ns0:f>IF(Z523&gt;=0,A523,1001)</ns0:f>
        <ns0:v>519</ns0:v>
      </ns0:c>
      <ns0:c r="AH523" s="4">
        <ns0:f>IF(Z523&lt;0,A523,0)</ns0:f>
        <ns0:v>0</ns0:v>
      </ns0:c>
      <ns0:c r="AI523" s="12">
        <ns0:f>IF(AND(OR('前提と出典'!$C$36+'前提と出典'!$C$38=0,X523&gt;=0),OR('前提と出典'!$C$37+'前提と出典'!$C$38=0,Y523&gt;=0)),0,A523)</ns0:f>
        <ns0:v>0</ns0:v>
      </ns0:c>
    </ns0:row>
    <ns0:row r="524" ht="24" customHeight="1">
      <ns0:c r="A524" s="4" t="n">
        <ns0:v>520</ns0:v>
      </ns0:c>
      <ns0:c r="B524" s="12">
        <ns0:f>A524*('前提と出典'!$C$36+'前提と出典'!$C$38)</ns0:f>
        <ns0:v>364</ns0:v>
      </ns0:c>
      <ns0:c r="C524" s="12">
        <ns0:f>A524*('前提と出典'!$C$37+'前提と出典'!$C$38)</ns0:f>
        <ns0:v>312</ns0:v>
      </ns0:c>
      <ns0:c r="D524" s="16">
        <ns0:f>A524*('前提と出典'!$C$36*'契約別単価'!C5+'前提と出典'!$C$37*'契約別単価'!C6+'前提と出典'!$C$38*'契約別単価'!C7)</ns0:f>
        <ns0:v>3741.6759776536314</ns0:v>
      </ns0:c>
      <ns0:c r="E524" s="16">
        <ns0:f>A524*('前提と出典'!$C$36*'契約別単価'!E5+'前提と出典'!$C$37*'契約別単価'!E6+'前提と出典'!$C$38*'契約別単価'!E7)</ns0:f>
        <ns0:v>1307213.9200852748</ns0:v>
      </ns0:c>
      <ns0:c r="F524" s="16">
        <ns0:f>A524*('前提と出典'!$C$36*'契約別単価'!F5+'前提と出典'!$C$37*'契約別単価'!F6+'前提と出典'!$C$38*'契約別単価'!F7)</ns0:f>
        <ns0:v>379842.95086163824</ns0:v>
      </ns0:c>
      <ns0:c r="G524" s="16">
        <ns0:f>A524*('前提と出典'!$C$36*'契約別単価'!G5+'前提と出典'!$C$37*'契約別単価'!G6+'前提と出典'!$C$38*'契約別単価'!G7)</ns0:f>
        <ns0:v>1035061.4525139665</ns0:v>
      </ns0:c>
      <ns0:c r="H524" s="16">
        <ns0:f>A524*('前提と出典'!$C$36*'契約別単価'!H5+'前提と出典'!$C$37*'契約別単価'!H6+'前提と出典'!$C$38*'契約別単価'!H7)</ns0:f>
        <ns0:v>359218.2364335644</ns0:v>
      </ns0:c>
      <ns0:c r="I524" s="16">
        <ns0:f>A524*('前提と出典'!$C$36*'契約別単価'!I5+'前提と出典'!$C$37*'契約別単価'!I6+'前提と出典'!$C$38*'契約別単価'!I7)</ns0:f>
        <ns0:v>21941.675977653627</ns0:v>
      </ns0:c>
      <ns0:c r="J524" s="16">
        <ns0:f>A524*('前提と出典'!$C$36*'契約別単価'!J5+'前提と出典'!$C$37*'契約別単価'!J6+'前提と出典'!$C$38*'契約別単価'!J7)</ns0:f>
        <ns0:v>51110.562729357334</ns0:v>
      </ns0:c>
      <ns0:c r="K524" s="16">
        <ns0:f>A524*('前提と出典'!$C$36*'契約別単価'!K5+'前提と出典'!$C$37*'契約別単価'!K6+'前提と出典'!$C$38*'契約別単価'!K7)</ns0:f>
        <ns0:v>219077.83985102418</ns0:v>
      </ns0:c>
      <ns0:c r="L524" s="16">
        <ns0:f>A524*('前提と出典'!$C$36*'契約別単価'!L5+'前提と出典'!$C$37*'契約別単価'!L6+'前提と出典'!$C$38*'契約別単価'!L7)</ns0:f>
        <ns0:v>178373.94121445215</ns0:v>
      </ns0:c>
      <ns0:c r="M524" s="16">
        <ns0:f>IF(('前提と出典'!$C$36+'前提と出典'!$C$38)=0,0,IF(B524&lt;=10,'前提と出典'!B73+'前提と出典'!C73,IF(B524&lt;=100,'前提と出典'!B74+'前提と出典'!C74,IF(B524&lt;=500,'前提と出典'!B75+'前提と出典'!C75,'前提と出典'!B76+'前提と出典'!C76))))</ns0:f>
        <ns0:v>40000</ns0:v>
      </ns0:c>
      <ns0:c r="N524" s="16">
        <ns0:f>IF(('前提と出典'!$C$37+'前提と出典'!$C$38)=0,0,IF(C524&lt;=10,'前提と出典'!D73+'前提と出典'!E73,IF(C524&lt;=100,'前提と出典'!D74+'前提と出典'!E74,IF(C524&lt;=500,'前提と出典'!D75+'前提と出典'!E75,'前提と出典'!D76+'前提と出典'!E76))))</ns0:f>
        <ns0:v>56510.9346263078</ns0:v>
      </ns0:c>
      <ns0:c r="O524" s="16">
        <ns0:f>IF('前提と出典'!$C$36+'前提と出典'!$C$38=0,0,'前提と出典'!$B$4*IF('前提と出典'!$B$20=0,MAX('前提と出典'!$B$6,D524*'前提と出典'!$B$5),'前提と出典'!$B$6+D524*'前提と出典'!$B$5))</ns0:f>
        <ns0:v>516351.28491620114</ns0:v>
      </ns0:c>
      <ns0:c r="P524" s="16">
        <ns0:f>(E524+G524)*(1-'前提と出典'!$B$7)-I524-K524-M524-O524</ns0:f>
        <ns0:v>1460582.65844079</ns0:v>
      </ns0:c>
      <ns0:c r="Q524" s="16">
        <ns0:f>(F524+H524)*(1-'前提と出典'!$B$7)-J524-L524-N524</ns0:f>
        <ns0:v>426459.5459824581</ns0:v>
      </ns0:c>
      <ns0:c r="R524" s="16">
        <ns0:f>P524-E524*'前提と出典'!$E$4</ns0:f>
        <ns0:v>1068418.4824152074</ns0:v>
      </ns0:c>
      <ns0:c r="S524" s="16">
        <ns0:f>Q524-F524*'前提と出典'!$E$4</ns0:f>
        <ns0:v>312506.66072396666</ns0:v>
      </ns0:c>
      <ns0:c r="T524" s="7">
        <ns0:f>R524+S524</ns0:f>
        <ns0:v>1380925.1431391742</ns0:v>
      </ns0:c>
      <ns0:c r="U524" s="16">
        <ns0:f>P524-E524*'前提と出典'!$E$5</ns0:f>
        <ns0:v>937697.09040668</ns0:v>
      </ns0:c>
      <ns0:c r="V524" s="16">
        <ns0:f>Q524-F524*'前提と出典'!$E$5</ns0:f>
        <ns0:v>274522.3656378028</ns0:v>
      </ns0:c>
      <ns0:c r="W524" s="7">
        <ns0:f>U524+V524</ns0:f>
        <ns0:v>1212219.4560444828</ns0:v>
      </ns0:c>
      <ns0:c r="X524" s="16">
        <ns0:f>P524-E524*'前提と出典'!$E$6</ns0:f>
        <ns0:v>806975.6983981526</ns0:v>
      </ns0:c>
      <ns0:c r="Y524" s="16">
        <ns0:f>Q524-F524*'前提と出典'!$E$6</ns0:f>
        <ns0:v>236538.07055163896</ns0:v>
      </ns0:c>
      <ns0:c r="Z524" s="7">
        <ns0:f>X524+Y524</ns0:f>
        <ns0:v>1043513.7689497916</ns0:v>
      </ns0:c>
      <ns0:c r="AA524" s="7">
        <ns0:f>IF(T524&gt;=0,A524,1001)</ns0:f>
        <ns0:v>520</ns0:v>
      </ns0:c>
      <ns0:c r="AB524" s="7">
        <ns0:f>IF(T524&lt;0,A524,0)</ns0:f>
        <ns0:v>0</ns0:v>
      </ns0:c>
      <ns0:c r="AC524" s="16">
        <ns0:f>IF(AND(OR('前提と出典'!$C$36+'前提と出典'!$C$38=0,R524&gt;=0),OR('前提と出典'!$C$37+'前提と出典'!$C$38=0,S524&gt;=0)),0,A524)</ns0:f>
        <ns0:v>0</ns0:v>
      </ns0:c>
      <ns0:c r="AD524" s="7">
        <ns0:f>IF(W524&gt;=0,A524,1001)</ns0:f>
        <ns0:v>520</ns0:v>
      </ns0:c>
      <ns0:c r="AE524" s="7">
        <ns0:f>IF(W524&lt;0,A524,0)</ns0:f>
        <ns0:v>0</ns0:v>
      </ns0:c>
      <ns0:c r="AF524" s="16">
        <ns0:f>IF(AND(OR('前提と出典'!$C$36+'前提と出典'!$C$38=0,U524&gt;=0),OR('前提と出典'!$C$37+'前提と出典'!$C$38=0,V524&gt;=0)),0,A524)</ns0:f>
        <ns0:v>0</ns0:v>
      </ns0:c>
      <ns0:c r="AG524" s="7">
        <ns0:f>IF(Z524&gt;=0,A524,1001)</ns0:f>
        <ns0:v>520</ns0:v>
      </ns0:c>
      <ns0:c r="AH524" s="4">
        <ns0:f>IF(Z524&lt;0,A524,0)</ns0:f>
        <ns0:v>0</ns0:v>
      </ns0:c>
      <ns0:c r="AI524" s="12">
        <ns0:f>IF(AND(OR('前提と出典'!$C$36+'前提と出典'!$C$38=0,X524&gt;=0),OR('前提と出典'!$C$37+'前提と出典'!$C$38=0,Y524&gt;=0)),0,A524)</ns0:f>
        <ns0:v>0</ns0:v>
      </ns0:c>
    </ns0:row>
    <ns0:row r="525" ht="24" customHeight="1">
      <ns0:c r="A525" s="4" t="n">
        <ns0:v>521</ns0:v>
      </ns0:c>
      <ns0:c r="B525" s="12">
        <ns0:f>A525*('前提と出典'!$C$36+'前提と出典'!$C$38)</ns0:f>
        <ns0:v>364.7</ns0:v>
      </ns0:c>
      <ns0:c r="C525" s="12">
        <ns0:f>A525*('前提と出典'!$C$37+'前提と出典'!$C$38)</ns0:f>
        <ns0:v>312.59999999999997</ns0:v>
      </ns0:c>
      <ns0:c r="D525" s="16">
        <ns0:f>A525*('前提と出典'!$C$36*'契約別単価'!C5+'前提と出典'!$C$37*'契約別単価'!C6+'前提と出典'!$C$38*'契約別単価'!C7)</ns0:f>
        <ns0:v>3748.8715083798884</ns0:v>
      </ns0:c>
      <ns0:c r="E525" s="16">
        <ns0:f>A525*('前提と出典'!$C$36*'契約別単価'!E5+'前提と出典'!$C$37*'契約別単価'!E6+'前提と出典'!$C$38*'契約別単価'!E7)</ns0:f>
        <ns0:v>1309727.7930085158</ns0:v>
      </ns0:c>
      <ns0:c r="F525" s="16">
        <ns0:f>A525*('前提と出典'!$C$36*'契約別単価'!F5+'前提と出典'!$C$37*'契約別単価'!F6+'前提と出典'!$C$38*'契約別単価'!F7)</ns0:f>
        <ns0:v>380573.4180748337</ns0:v>
      </ns0:c>
      <ns0:c r="G525" s="16">
        <ns0:f>A525*('前提と出典'!$C$36*'契約別単価'!G5+'前提と出典'!$C$37*'契約別単価'!G6+'前提と出典'!$C$38*'契約別単価'!G7)</ns0:f>
        <ns0:v>1037051.9553072625</ns0:v>
      </ns0:c>
      <ns0:c r="H525" s="16">
        <ns0:f>A525*('前提と出典'!$C$36*'契約別単価'!H5+'前提と出典'!$C$37*'契約別単価'!H6+'前提と出典'!$C$38*'契約別単価'!H7)</ns0:f>
        <ns0:v>359909.0407343982</ns0:v>
      </ns0:c>
      <ns0:c r="I525" s="16">
        <ns0:f>A525*('前提と出典'!$C$36*'契約別単価'!I5+'前提と出典'!$C$37*'契約別単価'!I6+'前提と出典'!$C$38*'契約別単価'!I7)</ns0:f>
        <ns0:v>21983.871508379885</ns0:v>
      </ns0:c>
      <ns0:c r="J525" s="16">
        <ns0:f>A525*('前提と出典'!$C$36*'契約別単価'!J5+'前提と出典'!$C$37*'契約別単価'!J6+'前提と出典'!$C$38*'契約別単価'!J7)</ns0:f>
        <ns0:v>51208.852273067634</ns0:v>
      </ns0:c>
      <ns0:c r="K525" s="16">
        <ns0:f>A525*('前提と出典'!$C$36*'契約別単価'!K5+'前提と出典'!$C$37*'契約別単価'!K6+'前提と出典'!$C$38*'契約別単価'!K7)</ns0:f>
        <ns0:v>219499.14338919925</ns0:v>
      </ns0:c>
      <ns0:c r="L525" s="16">
        <ns0:f>A525*('前提と出典'!$C$36*'契約別単価'!L5+'前提と出典'!$C$37*'契約別単価'!L6+'前提と出典'!$C$38*'契約別単価'!L7)</ns0:f>
        <ns0:v>178716.96802447992</ns0:v>
      </ns0:c>
      <ns0:c r="M525" s="16">
        <ns0:f>IF(('前提と出典'!$C$36+'前提と出典'!$C$38)=0,0,IF(B525&lt;=10,'前提と出典'!B73+'前提と出典'!C73,IF(B525&lt;=100,'前提と出典'!B74+'前提と出典'!C74,IF(B525&lt;=500,'前提と出典'!B75+'前提と出典'!C75,'前提と出典'!B76+'前提と出典'!C76))))</ns0:f>
        <ns0:v>40000</ns0:v>
      </ns0:c>
      <ns0:c r="N525" s="16">
        <ns0:f>IF(('前提と出典'!$C$37+'前提と出典'!$C$38)=0,0,IF(C525&lt;=10,'前提と出典'!D73+'前提と出典'!E73,IF(C525&lt;=100,'前提と出典'!D74+'前提と出典'!E74,IF(C525&lt;=500,'前提と出典'!D75+'前提と出典'!E75,'前提と出典'!D76+'前提と出典'!E76))))</ns0:f>
        <ns0:v>56510.9346263078</ns0:v>
      </ns0:c>
      <ns0:c r="O525" s="16">
        <ns0:f>IF('前提と出典'!$C$36+'前提と出典'!$C$38=0,0,'前提と出典'!$B$4*IF('前提と出典'!$B$20=0,MAX('前提と出典'!$B$6,D525*'前提と出典'!$B$5),'前提と出典'!$B$6+D525*'前提と出典'!$B$5))</ns0:f>
        <ns0:v>517344.26815642463</ns0:v>
      </ns0:c>
      <ns0:c r="P525" s="16">
        <ns0:f>(E525+G525)*(1-'前提と出典'!$B$7)-I525-K525-M525-O525</ns0:f>
        <ns0:v>1463468.3943224067</ns0:v>
      </ns0:c>
      <ns0:c r="Q525" s="16">
        <ns0:f>(F525+H525)*(1-'前提と出典'!$B$7)-J525-L525-N525</ns0:f>
        <ns0:v>427388.3353682441</ns0:v>
      </ns0:c>
      <ns0:c r="R525" s="16">
        <ns0:f>P525-E525*'前提と出典'!$E$4</ns0:f>
        <ns0:v>1070550.056419852</ns0:v>
      </ns0:c>
      <ns0:c r="S525" s="16">
        <ns0:f>Q525-F525*'前提と出典'!$E$4</ns0:f>
        <ns0:v>313216.30994579406</ns0:v>
      </ns0:c>
      <ns0:c r="T525" s="7">
        <ns0:f>R525+S525</ns0:f>
        <ns0:v>1383766.366365646</ns0:v>
      </ns0:c>
      <ns0:c r="U525" s="16">
        <ns0:f>P525-E525*'前提と出典'!$E$5</ns0:f>
        <ns0:v>939577.2771190004</ns0:v>
      </ns0:c>
      <ns0:c r="V525" s="16">
        <ns0:f>Q525-F525*'前提と出典'!$E$5</ns0:f>
        <ns0:v>275158.96813831065</ns0:v>
      </ns0:c>
      <ns0:c r="W525" s="7">
        <ns0:f>U525+V525</ns0:f>
        <ns0:v>1214736.245257311</ns0:v>
      </ns0:c>
      <ns0:c r="X525" s="16">
        <ns0:f>P525-E525*'前提と出典'!$E$6</ns0:f>
        <ns0:v>808604.4978181489</ns0:v>
      </ns0:c>
      <ns0:c r="Y525" s="16">
        <ns0:f>Q525-F525*'前提と出典'!$E$6</ns0:f>
        <ns0:v>237101.6263308273</ns0:v>
      </ns0:c>
      <ns0:c r="Z525" s="7">
        <ns0:f>X525+Y525</ns0:f>
        <ns0:v>1045706.1241489763</ns0:v>
      </ns0:c>
      <ns0:c r="AA525" s="7">
        <ns0:f>IF(T525&gt;=0,A525,1001)</ns0:f>
        <ns0:v>521</ns0:v>
      </ns0:c>
      <ns0:c r="AB525" s="7">
        <ns0:f>IF(T525&lt;0,A525,0)</ns0:f>
        <ns0:v>0</ns0:v>
      </ns0:c>
      <ns0:c r="AC525" s="16">
        <ns0:f>IF(AND(OR('前提と出典'!$C$36+'前提と出典'!$C$38=0,R525&gt;=0),OR('前提と出典'!$C$37+'前提と出典'!$C$38=0,S525&gt;=0)),0,A525)</ns0:f>
        <ns0:v>0</ns0:v>
      </ns0:c>
      <ns0:c r="AD525" s="7">
        <ns0:f>IF(W525&gt;=0,A525,1001)</ns0:f>
        <ns0:v>521</ns0:v>
      </ns0:c>
      <ns0:c r="AE525" s="7">
        <ns0:f>IF(W525&lt;0,A525,0)</ns0:f>
        <ns0:v>0</ns0:v>
      </ns0:c>
      <ns0:c r="AF525" s="16">
        <ns0:f>IF(AND(OR('前提と出典'!$C$36+'前提と出典'!$C$38=0,U525&gt;=0),OR('前提と出典'!$C$37+'前提と出典'!$C$38=0,V525&gt;=0)),0,A525)</ns0:f>
        <ns0:v>0</ns0:v>
      </ns0:c>
      <ns0:c r="AG525" s="7">
        <ns0:f>IF(Z525&gt;=0,A525,1001)</ns0:f>
        <ns0:v>521</ns0:v>
      </ns0:c>
      <ns0:c r="AH525" s="4">
        <ns0:f>IF(Z525&lt;0,A525,0)</ns0:f>
        <ns0:v>0</ns0:v>
      </ns0:c>
      <ns0:c r="AI525" s="12">
        <ns0:f>IF(AND(OR('前提と出典'!$C$36+'前提と出典'!$C$38=0,X525&gt;=0),OR('前提と出典'!$C$37+'前提と出典'!$C$38=0,Y525&gt;=0)),0,A525)</ns0:f>
        <ns0:v>0</ns0:v>
      </ns0:c>
    </ns0:row>
    <ns0:row r="526" ht="24" customHeight="1">
      <ns0:c r="A526" s="4" t="n">
        <ns0:v>522</ns0:v>
      </ns0:c>
      <ns0:c r="B526" s="12">
        <ns0:f>A526*('前提と出典'!$C$36+'前提と出典'!$C$38)</ns0:f>
        <ns0:v>365.4</ns0:v>
      </ns0:c>
      <ns0:c r="C526" s="12">
        <ns0:f>A526*('前提と出典'!$C$37+'前提と出典'!$C$38)</ns0:f>
        <ns0:v>313.2</ns0:v>
      </ns0:c>
      <ns0:c r="D526" s="16">
        <ns0:f>A526*('前提と出典'!$C$36*'契約別単価'!C5+'前提と出典'!$C$37*'契約別単価'!C6+'前提と出典'!$C$38*'契約別単価'!C7)</ns0:f>
        <ns0:v>3756.0670391061453</ns0:v>
      </ns0:c>
      <ns0:c r="E526" s="16">
        <ns0:f>A526*('前提と出典'!$C$36*'契約別単価'!E5+'前提と出典'!$C$37*'契約別単価'!E6+'前提と出典'!$C$38*'契約別単価'!E7)</ns0:f>
        <ns0:v>1312241.6659317566</ns0:v>
      </ns0:c>
      <ns0:c r="F526" s="16">
        <ns0:f>A526*('前提と出典'!$C$36*'契約別単価'!F5+'前提と出典'!$C$37*'契約別単価'!F6+'前提と出典'!$C$38*'契約別単価'!F7)</ns0:f>
        <ns0:v>381303.88528802915</ns0:v>
      </ns0:c>
      <ns0:c r="G526" s="16">
        <ns0:f>A526*('前提と出典'!$C$36*'契約別単価'!G5+'前提と出典'!$C$37*'契約別単価'!G6+'前提と出典'!$C$38*'契約別単価'!G7)</ns0:f>
        <ns0:v>1039042.4581005586</ns0:v>
      </ns0:c>
      <ns0:c r="H526" s="16">
        <ns0:f>A526*('前提と出典'!$C$36*'契約別単価'!H5+'前提と出典'!$C$37*'契約別単価'!H6+'前提と出典'!$C$38*'契約別単価'!H7)</ns0:f>
        <ns0:v>360599.84503523196</ns0:v>
      </ns0:c>
      <ns0:c r="I526" s="16">
        <ns0:f>A526*('前提と出典'!$C$36*'契約別単価'!I5+'前提と出典'!$C$37*'契約別単価'!I6+'前提と出典'!$C$38*'契約別単価'!I7)</ns0:f>
        <ns0:v>22026.067039106143</ns0:v>
      </ns0:c>
      <ns0:c r="J526" s="16">
        <ns0:f>A526*('前提と出典'!$C$36*'契約別単価'!J5+'前提と出典'!$C$37*'契約別単価'!J6+'前提と出典'!$C$38*'契約別単価'!J7)</ns0:f>
        <ns0:v>51307.14181677794</ns0:v>
      </ns0:c>
      <ns0:c r="K526" s="16">
        <ns0:f>A526*('前提と出典'!$C$36*'契約別単価'!K5+'前提と出典'!$C$37*'契約別単価'!K6+'前提と出典'!$C$38*'契約別単価'!K7)</ns0:f>
        <ns0:v>219920.4469273743</ns0:v>
      </ns0:c>
      <ns0:c r="L526" s="16">
        <ns0:f>A526*('前提と出典'!$C$36*'契約別単価'!L5+'前提と出典'!$C$37*'契約別単価'!L6+'前提と出典'!$C$38*'契約別単価'!L7)</ns0:f>
        <ns0:v>179059.99483450773</ns0:v>
      </ns0:c>
      <ns0:c r="M526" s="16">
        <ns0:f>IF(('前提と出典'!$C$36+'前提と出典'!$C$38)=0,0,IF(B526&lt;=10,'前提と出典'!B73+'前提と出典'!C73,IF(B526&lt;=100,'前提と出典'!B74+'前提と出典'!C74,IF(B526&lt;=500,'前提と出典'!B75+'前提と出典'!C75,'前提と出典'!B76+'前提と出典'!C76))))</ns0:f>
        <ns0:v>40000</ns0:v>
      </ns0:c>
      <ns0:c r="N526" s="16">
        <ns0:f>IF(('前提と出典'!$C$37+'前提と出典'!$C$38)=0,0,IF(C526&lt;=10,'前提と出典'!D73+'前提と出典'!E73,IF(C526&lt;=100,'前提と出典'!D74+'前提と出典'!E74,IF(C526&lt;=500,'前提と出典'!D75+'前提と出典'!E75,'前提と出典'!D76+'前提と出典'!E76))))</ns0:f>
        <ns0:v>56510.9346263078</ns0:v>
      </ns0:c>
      <ns0:c r="O526" s="16">
        <ns0:f>IF('前提と出典'!$C$36+'前提と出典'!$C$38=0,0,'前提と出典'!$B$4*IF('前提と出典'!$B$20=0,MAX('前提と出典'!$B$6,D526*'前提と出典'!$B$5),'前提と出典'!$B$6+D526*'前提と出典'!$B$5))</ns0:f>
        <ns0:v>518337.2513966481</ns0:v>
      </ns0:c>
      <ns0:c r="P526" s="16">
        <ns0:f>(E526+G526)*(1-'前提と出典'!$B$7)-I526-K526-M526-O526</ns0:f>
        <ns0:v>1466354.1302040236</ns0:v>
      </ns0:c>
      <ns0:c r="Q526" s="16">
        <ns0:f>(F526+H526)*(1-'前提と出典'!$B$7)-J526-L526-N526</ns0:f>
        <ns0:v>428317.12475403026</ns0:v>
      </ns0:c>
      <ns0:c r="R526" s="16">
        <ns0:f>P526-E526*'前提と出典'!$E$4</ns0:f>
        <ns0:v>1072681.6304244965</ns0:v>
      </ns0:c>
      <ns0:c r="S526" s="16">
        <ns0:f>Q526-F526*'前提と出典'!$E$4</ns0:f>
        <ns0:v>313925.95916762156</ns0:v>
      </ns0:c>
      <ns0:c r="T526" s="7">
        <ns0:f>R526+S526</ns0:f>
        <ns0:v>1386607.589592118</ns0:v>
      </ns0:c>
      <ns0:c r="U526" s="16">
        <ns0:f>P526-E526*'前提と出典'!$E$5</ns0:f>
        <ns0:v>941457.4638313209</ns0:v>
      </ns0:c>
      <ns0:c r="V526" s="16">
        <ns0:f>Q526-F526*'前提と出典'!$E$5</ns0:f>
        <ns0:v>275795.57063881855</ns0:v>
      </ns0:c>
      <ns0:c r="W526" s="7">
        <ns0:f>U526+V526</ns0:f>
        <ns0:v>1217253.0344701395</ns0:v>
      </ns0:c>
      <ns0:c r="X526" s="16">
        <ns0:f>P526-E526*'前提と出典'!$E$6</ns0:f>
        <ns0:v>810233.2972381453</ns0:v>
      </ns0:c>
      <ns0:c r="Y526" s="16">
        <ns0:f>Q526-F526*'前提と出典'!$E$6</ns0:f>
        <ns0:v>237665.18211001565</ns0:v>
      </ns0:c>
      <ns0:c r="Z526" s="7">
        <ns0:f>X526+Y526</ns0:f>
        <ns0:v>1047898.4793481609</ns0:v>
      </ns0:c>
      <ns0:c r="AA526" s="7">
        <ns0:f>IF(T526&gt;=0,A526,1001)</ns0:f>
        <ns0:v>522</ns0:v>
      </ns0:c>
      <ns0:c r="AB526" s="7">
        <ns0:f>IF(T526&lt;0,A526,0)</ns0:f>
        <ns0:v>0</ns0:v>
      </ns0:c>
      <ns0:c r="AC526" s="16">
        <ns0:f>IF(AND(OR('前提と出典'!$C$36+'前提と出典'!$C$38=0,R526&gt;=0),OR('前提と出典'!$C$37+'前提と出典'!$C$38=0,S526&gt;=0)),0,A526)</ns0:f>
        <ns0:v>0</ns0:v>
      </ns0:c>
      <ns0:c r="AD526" s="7">
        <ns0:f>IF(W526&gt;=0,A526,1001)</ns0:f>
        <ns0:v>522</ns0:v>
      </ns0:c>
      <ns0:c r="AE526" s="7">
        <ns0:f>IF(W526&lt;0,A526,0)</ns0:f>
        <ns0:v>0</ns0:v>
      </ns0:c>
      <ns0:c r="AF526" s="16">
        <ns0:f>IF(AND(OR('前提と出典'!$C$36+'前提と出典'!$C$38=0,U526&gt;=0),OR('前提と出典'!$C$37+'前提と出典'!$C$38=0,V526&gt;=0)),0,A526)</ns0:f>
        <ns0:v>0</ns0:v>
      </ns0:c>
      <ns0:c r="AG526" s="7">
        <ns0:f>IF(Z526&gt;=0,A526,1001)</ns0:f>
        <ns0:v>522</ns0:v>
      </ns0:c>
      <ns0:c r="AH526" s="4">
        <ns0:f>IF(Z526&lt;0,A526,0)</ns0:f>
        <ns0:v>0</ns0:v>
      </ns0:c>
      <ns0:c r="AI526" s="12">
        <ns0:f>IF(AND(OR('前提と出典'!$C$36+'前提と出典'!$C$38=0,X526&gt;=0),OR('前提と出典'!$C$37+'前提と出典'!$C$38=0,Y526&gt;=0)),0,A526)</ns0:f>
        <ns0:v>0</ns0:v>
      </ns0:c>
    </ns0:row>
    <ns0:row r="527" ht="24" customHeight="1">
      <ns0:c r="A527" s="4" t="n">
        <ns0:v>523</ns0:v>
      </ns0:c>
      <ns0:c r="B527" s="12">
        <ns0:f>A527*('前提と出典'!$C$36+'前提と出典'!$C$38)</ns0:f>
        <ns0:v>366.09999999999997</ns0:v>
      </ns0:c>
      <ns0:c r="C527" s="12">
        <ns0:f>A527*('前提と出典'!$C$37+'前提と出典'!$C$38)</ns0:f>
        <ns0:v>313.8</ns0:v>
      </ns0:c>
      <ns0:c r="D527" s="16">
        <ns0:f>A527*('前提と出典'!$C$36*'契約別単価'!C5+'前提と出典'!$C$37*'契約別単価'!C6+'前提と出典'!$C$38*'契約別単価'!C7)</ns0:f>
        <ns0:v>3763.2625698324023</ns0:v>
      </ns0:c>
      <ns0:c r="E527" s="16">
        <ns0:f>A527*('前提と出典'!$C$36*'契約別単価'!E5+'前提と出典'!$C$37*'契約別単価'!E6+'前提と出典'!$C$38*'契約別単価'!E7)</ns0:f>
        <ns0:v>1314755.5388549976</ns0:v>
      </ns0:c>
      <ns0:c r="F527" s="16">
        <ns0:f>A527*('前提と出典'!$C$36*'契約別単価'!F5+'前提と出典'!$C$37*'契約別単価'!F6+'前提と出典'!$C$38*'契約別単価'!F7)</ns0:f>
        <ns0:v>382034.3525012246</ns0:v>
      </ns0:c>
      <ns0:c r="G527" s="16">
        <ns0:f>A527*('前提と出典'!$C$36*'契約別単価'!G5+'前提と出典'!$C$37*'契約別単価'!G6+'前提と出典'!$C$38*'契約別単価'!G7)</ns0:f>
        <ns0:v>1041032.9608938547</ns0:v>
      </ns0:c>
      <ns0:c r="H527" s="16">
        <ns0:f>A527*('前提と出典'!$C$36*'契約別単価'!H5+'前提と出典'!$C$37*'契約別単価'!H6+'前提と出典'!$C$38*'契約別単価'!H7)</ns0:f>
        <ns0:v>361290.64933606575</ns0:v>
      </ns0:c>
      <ns0:c r="I527" s="16">
        <ns0:f>A527*('前提と出典'!$C$36*'契約別単価'!I5+'前提と出典'!$C$37*'契約別単価'!I6+'前提と出典'!$C$38*'契約別単価'!I7)</ns0:f>
        <ns0:v>22068.262569832397</ns0:v>
      </ns0:c>
      <ns0:c r="J527" s="16">
        <ns0:f>A527*('前提と出典'!$C$36*'契約別単価'!J5+'前提と出典'!$C$37*'契約別単価'!J6+'前提と出典'!$C$38*'契約別単価'!J7)</ns0:f>
        <ns0:v>51405.43136048824</ns0:v>
      </ns0:c>
      <ns0:c r="K527" s="16">
        <ns0:f>A527*('前提と出典'!$C$36*'契約別単価'!K5+'前提と出典'!$C$37*'契約別単価'!K6+'前提と出典'!$C$38*'契約別単価'!K7)</ns0:f>
        <ns0:v>220341.75046554932</ns0:v>
      </ns0:c>
      <ns0:c r="L527" s="16">
        <ns0:f>A527*('前提と出典'!$C$36*'契約別単価'!L5+'前提と出典'!$C$37*'契約別単価'!L6+'前提と出典'!$C$38*'契約別単価'!L7)</ns0:f>
        <ns0:v>179403.02164453553</ns0:v>
      </ns0:c>
      <ns0:c r="M527" s="16">
        <ns0:f>IF(('前提と出典'!$C$36+'前提と出典'!$C$38)=0,0,IF(B527&lt;=10,'前提と出典'!B73+'前提と出典'!C73,IF(B527&lt;=100,'前提と出典'!B74+'前提と出典'!C74,IF(B527&lt;=500,'前提と出典'!B75+'前提と出典'!C75,'前提と出典'!B76+'前提と出典'!C76))))</ns0:f>
        <ns0:v>40000</ns0:v>
      </ns0:c>
      <ns0:c r="N527" s="16">
        <ns0:f>IF(('前提と出典'!$C$37+'前提と出典'!$C$38)=0,0,IF(C527&lt;=10,'前提と出典'!D73+'前提と出典'!E73,IF(C527&lt;=100,'前提と出典'!D74+'前提と出典'!E74,IF(C527&lt;=500,'前提と出典'!D75+'前提と出典'!E75,'前提と出典'!D76+'前提と出典'!E76))))</ns0:f>
        <ns0:v>56510.9346263078</ns0:v>
      </ns0:c>
      <ns0:c r="O527" s="16">
        <ns0:f>IF('前提と出典'!$C$36+'前提と出典'!$C$38=0,0,'前提と出典'!$B$4*IF('前提と出典'!$B$20=0,MAX('前提と出典'!$B$6,D527*'前提と出典'!$B$5),'前提と出典'!$B$6+D527*'前提と出典'!$B$5))</ns0:f>
        <ns0:v>519330.23463687155</ns0:v>
      </ns0:c>
      <ns0:c r="P527" s="16">
        <ns0:f>(E527+G527)*(1-'前提と出典'!$B$7)-I527-K527-M527-O527</ns0:f>
        <ns0:v>1469239.8660856402</ns0:v>
      </ns0:c>
      <ns0:c r="Q527" s="16">
        <ns0:f>(F527+H527)*(1-'前提と出典'!$B$7)-J527-L527-N527</ns0:f>
        <ns0:v>429245.91413981636</ns0:v>
      </ns0:c>
      <ns0:c r="R527" s="16">
        <ns0:f>P527-E527*'前提と出典'!$E$4</ns0:f>
        <ns0:v>1074813.2044291408</ns0:v>
      </ns0:c>
      <ns0:c r="S527" s="16">
        <ns0:f>Q527-F527*'前提と出典'!$E$4</ns0:f>
        <ns0:v>314635.6083894489</ns0:v>
      </ns0:c>
      <ns0:c r="T527" s="7">
        <ns0:f>R527+S527</ns0:f>
        <ns0:v>1389448.8128185896</ns0:v>
      </ns0:c>
      <ns0:c r="U527" s="16">
        <ns0:f>P527-E527*'前提と出典'!$E$5</ns0:f>
        <ns0:v>943337.6505436411</ns0:v>
      </ns0:c>
      <ns0:c r="V527" s="16">
        <ns0:f>Q527-F527*'前提と出典'!$E$5</ns0:f>
        <ns0:v>276432.1731393265</ns0:v>
      </ns0:c>
      <ns0:c r="W527" s="7">
        <ns0:f>U527+V527</ns0:f>
        <ns0:v>1219769.8236829676</ns0:v>
      </ns0:c>
      <ns0:c r="X527" s="16">
        <ns0:f>P527-E527*'前提と出典'!$E$6</ns0:f>
        <ns0:v>811862.0966581414</ns0:v>
      </ns0:c>
      <ns0:c r="Y527" s="16">
        <ns0:f>Q527-F527*'前提と出典'!$E$6</ns0:f>
        <ns0:v>238228.73788920394</ns0:v>
      </ns0:c>
      <ns0:c r="Z527" s="7">
        <ns0:f>X527+Y527</ns0:f>
        <ns0:v>1050090.8345473453</ns0:v>
      </ns0:c>
      <ns0:c r="AA527" s="7">
        <ns0:f>IF(T527&gt;=0,A527,1001)</ns0:f>
        <ns0:v>523</ns0:v>
      </ns0:c>
      <ns0:c r="AB527" s="7">
        <ns0:f>IF(T527&lt;0,A527,0)</ns0:f>
        <ns0:v>0</ns0:v>
      </ns0:c>
      <ns0:c r="AC527" s="16">
        <ns0:f>IF(AND(OR('前提と出典'!$C$36+'前提と出典'!$C$38=0,R527&gt;=0),OR('前提と出典'!$C$37+'前提と出典'!$C$38=0,S527&gt;=0)),0,A527)</ns0:f>
        <ns0:v>0</ns0:v>
      </ns0:c>
      <ns0:c r="AD527" s="7">
        <ns0:f>IF(W527&gt;=0,A527,1001)</ns0:f>
        <ns0:v>523</ns0:v>
      </ns0:c>
      <ns0:c r="AE527" s="7">
        <ns0:f>IF(W527&lt;0,A527,0)</ns0:f>
        <ns0:v>0</ns0:v>
      </ns0:c>
      <ns0:c r="AF527" s="16">
        <ns0:f>IF(AND(OR('前提と出典'!$C$36+'前提と出典'!$C$38=0,U527&gt;=0),OR('前提と出典'!$C$37+'前提と出典'!$C$38=0,V527&gt;=0)),0,A527)</ns0:f>
        <ns0:v>0</ns0:v>
      </ns0:c>
      <ns0:c r="AG527" s="7">
        <ns0:f>IF(Z527&gt;=0,A527,1001)</ns0:f>
        <ns0:v>523</ns0:v>
      </ns0:c>
      <ns0:c r="AH527" s="4">
        <ns0:f>IF(Z527&lt;0,A527,0)</ns0:f>
        <ns0:v>0</ns0:v>
      </ns0:c>
      <ns0:c r="AI527" s="12">
        <ns0:f>IF(AND(OR('前提と出典'!$C$36+'前提と出典'!$C$38=0,X527&gt;=0),OR('前提と出典'!$C$37+'前提と出典'!$C$38=0,Y527&gt;=0)),0,A527)</ns0:f>
        <ns0:v>0</ns0:v>
      </ns0:c>
    </ns0:row>
    <ns0:row r="528" ht="24" customHeight="1">
      <ns0:c r="A528" s="4" t="n">
        <ns0:v>524</ns0:v>
      </ns0:c>
      <ns0:c r="B528" s="12">
        <ns0:f>A528*('前提と出典'!$C$36+'前提と出典'!$C$38)</ns0:f>
        <ns0:v>366.79999999999995</ns0:v>
      </ns0:c>
      <ns0:c r="C528" s="12">
        <ns0:f>A528*('前提と出典'!$C$37+'前提と出典'!$C$38)</ns0:f>
        <ns0:v>314.4</ns0:v>
      </ns0:c>
      <ns0:c r="D528" s="16">
        <ns0:f>A528*('前提と出典'!$C$36*'契約別単価'!C5+'前提と出典'!$C$37*'契約別単価'!C6+'前提と出典'!$C$38*'契約別単価'!C7)</ns0:f>
        <ns0:v>3770.458100558659</ns0:v>
      </ns0:c>
      <ns0:c r="E528" s="16">
        <ns0:f>A528*('前提と出典'!$C$36*'契約別単価'!E5+'前提と出典'!$C$37*'契約別単価'!E6+'前提と出典'!$C$38*'契約別単価'!E7)</ns0:f>
        <ns0:v>1317269.4117782386</ns0:v>
      </ns0:c>
      <ns0:c r="F528" s="16">
        <ns0:f>A528*('前提と出典'!$C$36*'契約別単価'!F5+'前提と出典'!$C$37*'契約別単価'!F6+'前提と出典'!$C$38*'契約別単価'!F7)</ns0:f>
        <ns0:v>382764.81971442007</ns0:v>
      </ns0:c>
      <ns0:c r="G528" s="16">
        <ns0:f>A528*('前提と出典'!$C$36*'契約別単価'!G5+'前提と出典'!$C$37*'契約別単価'!G6+'前提と出典'!$C$38*'契約別単価'!G7)</ns0:f>
        <ns0:v>1043023.4636871507</ns0:v>
      </ns0:c>
      <ns0:c r="H528" s="16">
        <ns0:f>A528*('前提と出典'!$C$36*'契約別単価'!H5+'前提と出典'!$C$37*'契約別単価'!H6+'前提と出典'!$C$38*'契約別単価'!H7)</ns0:f>
        <ns0:v>361981.45363689953</ns0:v>
      </ns0:c>
      <ns0:c r="I528" s="16">
        <ns0:f>A528*('前提と出典'!$C$36*'契約別単価'!I5+'前提と出典'!$C$37*'契約別単価'!I6+'前提と出典'!$C$38*'契約別単価'!I7)</ns0:f>
        <ns0:v>22110.458100558655</ns0:v>
      </ns0:c>
      <ns0:c r="J528" s="16">
        <ns0:f>A528*('前提と出典'!$C$36*'契約別単価'!J5+'前提と出典'!$C$37*'契約別単価'!J6+'前提と出典'!$C$38*'契約別単価'!J7)</ns0:f>
        <ns0:v>51503.72090419855</ns0:v>
      </ns0:c>
      <ns0:c r="K528" s="16">
        <ns0:f>A528*('前提と出典'!$C$36*'契約別単価'!K5+'前提と出典'!$C$37*'契約別単価'!K6+'前提と出典'!$C$38*'契約別単価'!K7)</ns0:f>
        <ns0:v>220763.0540037244</ns0:v>
      </ns0:c>
      <ns0:c r="L528" s="16">
        <ns0:f>A528*('前提と出典'!$C$36*'契約別単価'!L5+'前提と出典'!$C$37*'契約別単価'!L6+'前提と出典'!$C$38*'契約別単価'!L7)</ns0:f>
        <ns0:v>179746.0484545633</ns0:v>
      </ns0:c>
      <ns0:c r="M528" s="16">
        <ns0:f>IF(('前提と出典'!$C$36+'前提と出典'!$C$38)=0,0,IF(B528&lt;=10,'前提と出典'!B73+'前提と出典'!C73,IF(B528&lt;=100,'前提と出典'!B74+'前提と出典'!C74,IF(B528&lt;=500,'前提と出典'!B75+'前提と出典'!C75,'前提と出典'!B76+'前提と出典'!C76))))</ns0:f>
        <ns0:v>40000</ns0:v>
      </ns0:c>
      <ns0:c r="N528" s="16">
        <ns0:f>IF(('前提と出典'!$C$37+'前提と出典'!$C$38)=0,0,IF(C528&lt;=10,'前提と出典'!D73+'前提と出典'!E73,IF(C528&lt;=100,'前提と出典'!D74+'前提と出典'!E74,IF(C528&lt;=500,'前提と出典'!D75+'前提と出典'!E75,'前提と出典'!D76+'前提と出典'!E76))))</ns0:f>
        <ns0:v>56510.9346263078</ns0:v>
      </ns0:c>
      <ns0:c r="O528" s="16">
        <ns0:f>IF('前提と出典'!$C$36+'前提と出典'!$C$38=0,0,'前提と出典'!$B$4*IF('前提と出典'!$B$20=0,MAX('前提と出典'!$B$6,D528*'前提と出典'!$B$5),'前提と出典'!$B$6+D528*'前提と出典'!$B$5))</ns0:f>
        <ns0:v>520323.217877095</ns0:v>
      </ns0:c>
      <ns0:c r="P528" s="16">
        <ns0:f>(E528+G528)*(1-'前提と出典'!$B$7)-I528-K528-M528-O528</ns0:f>
        <ns0:v>1472125.6019672574</ns0:v>
      </ns0:c>
      <ns0:c r="Q528" s="16">
        <ns0:f>(F528+H528)*(1-'前提と出典'!$B$7)-J528-L528-N528</ns0:f>
        <ns0:v>430174.70352560247</ns0:v>
      </ns0:c>
      <ns0:c r="R528" s="16">
        <ns0:f>P528-E528*'前提と出典'!$E$4</ns0:f>
        <ns0:v>1076944.7784337858</ns0:v>
      </ns0:c>
      <ns0:c r="S528" s="16">
        <ns0:f>Q528-F528*'前提と出典'!$E$4</ns0:f>
        <ns0:v>315345.2576112764</ns0:v>
      </ns0:c>
      <ns0:c r="T528" s="7">
        <ns0:f>R528+S528</ns0:f>
        <ns0:v>1392290.0360450621</ns0:v>
      </ns0:c>
      <ns0:c r="U528" s="16">
        <ns0:f>P528-E528*'前提と出典'!$E$5</ns0:f>
        <ns0:v>945217.8372559618</ns0:v>
      </ns0:c>
      <ns0:c r="V528" s="16">
        <ns0:f>Q528-F528*'前提と出典'!$E$5</ns0:f>
        <ns0:v>277068.77563983446</ns0:v>
      </ns0:c>
      <ns0:c r="W528" s="7">
        <ns0:f>U528+V528</ns0:f>
        <ns0:v>1222286.6128957963</ns0:v>
      </ns0:c>
      <ns0:c r="X528" s="16">
        <ns0:f>P528-E528*'前提と出典'!$E$6</ns0:f>
        <ns0:v>813490.896078138</ns0:v>
      </ns0:c>
      <ns0:c r="Y528" s="16">
        <ns0:f>Q528-F528*'前提と出典'!$E$6</ns0:f>
        <ns0:v>238792.29366839246</ns0:v>
      </ns0:c>
      <ns0:c r="Z528" s="7">
        <ns0:f>X528+Y528</ns0:f>
        <ns0:v>1052283.1897465305</ns0:v>
      </ns0:c>
      <ns0:c r="AA528" s="7">
        <ns0:f>IF(T528&gt;=0,A528,1001)</ns0:f>
        <ns0:v>524</ns0:v>
      </ns0:c>
      <ns0:c r="AB528" s="7">
        <ns0:f>IF(T528&lt;0,A528,0)</ns0:f>
        <ns0:v>0</ns0:v>
      </ns0:c>
      <ns0:c r="AC528" s="16">
        <ns0:f>IF(AND(OR('前提と出典'!$C$36+'前提と出典'!$C$38=0,R528&gt;=0),OR('前提と出典'!$C$37+'前提と出典'!$C$38=0,S528&gt;=0)),0,A528)</ns0:f>
        <ns0:v>0</ns0:v>
      </ns0:c>
      <ns0:c r="AD528" s="7">
        <ns0:f>IF(W528&gt;=0,A528,1001)</ns0:f>
        <ns0:v>524</ns0:v>
      </ns0:c>
      <ns0:c r="AE528" s="7">
        <ns0:f>IF(W528&lt;0,A528,0)</ns0:f>
        <ns0:v>0</ns0:v>
      </ns0:c>
      <ns0:c r="AF528" s="16">
        <ns0:f>IF(AND(OR('前提と出典'!$C$36+'前提と出典'!$C$38=0,U528&gt;=0),OR('前提と出典'!$C$37+'前提と出典'!$C$38=0,V528&gt;=0)),0,A528)</ns0:f>
        <ns0:v>0</ns0:v>
      </ns0:c>
      <ns0:c r="AG528" s="7">
        <ns0:f>IF(Z528&gt;=0,A528,1001)</ns0:f>
        <ns0:v>524</ns0:v>
      </ns0:c>
      <ns0:c r="AH528" s="4">
        <ns0:f>IF(Z528&lt;0,A528,0)</ns0:f>
        <ns0:v>0</ns0:v>
      </ns0:c>
      <ns0:c r="AI528" s="12">
        <ns0:f>IF(AND(OR('前提と出典'!$C$36+'前提と出典'!$C$38=0,X528&gt;=0),OR('前提と出典'!$C$37+'前提と出典'!$C$38=0,Y528&gt;=0)),0,A528)</ns0:f>
        <ns0:v>0</ns0:v>
      </ns0:c>
    </ns0:row>
    <ns0:row r="529" ht="24" customHeight="1">
      <ns0:c r="A529" s="4" t="n">
        <ns0:v>525</ns0:v>
      </ns0:c>
      <ns0:c r="B529" s="12">
        <ns0:f>A529*('前提と出典'!$C$36+'前提と出典'!$C$38)</ns0:f>
        <ns0:v>367.5</ns0:v>
      </ns0:c>
      <ns0:c r="C529" s="12">
        <ns0:f>A529*('前提と出典'!$C$37+'前提と出典'!$C$38)</ns0:f>
        <ns0:v>315</ns0:v>
      </ns0:c>
      <ns0:c r="D529" s="16">
        <ns0:f>A529*('前提と出典'!$C$36*'契約別単価'!C5+'前提と出典'!$C$37*'契約別単価'!C6+'前提と出典'!$C$38*'契約別単価'!C7)</ns0:f>
        <ns0:v>3777.653631284916</ns0:v>
      </ns0:c>
      <ns0:c r="E529" s="16">
        <ns0:f>A529*('前提と出典'!$C$36*'契約別単価'!E5+'前提と出典'!$C$37*'契約別単価'!E6+'前提と出典'!$C$38*'契約別単価'!E7)</ns0:f>
        <ns0:v>1319783.2847014794</ns0:v>
      </ns0:c>
      <ns0:c r="F529" s="16">
        <ns0:f>A529*('前提と出典'!$C$36*'契約別単価'!F5+'前提と出典'!$C$37*'契約別単価'!F6+'前提と出典'!$C$38*'契約別単価'!F7)</ns0:f>
        <ns0:v>383495.2869276155</ns0:v>
      </ns0:c>
      <ns0:c r="G529" s="16">
        <ns0:f>A529*('前提と出典'!$C$36*'契約別単価'!G5+'前提と出典'!$C$37*'契約別単価'!G6+'前提と出典'!$C$38*'契約別単価'!G7)</ns0:f>
        <ns0:v>1045013.9664804469</ns0:v>
      </ns0:c>
      <ns0:c r="H529" s="16">
        <ns0:f>A529*('前提と出典'!$C$36*'契約別単価'!H5+'前提と出典'!$C$37*'契約別単価'!H6+'前提と出典'!$C$38*'契約別単価'!H7)</ns0:f>
        <ns0:v>362672.25793773326</ns0:v>
      </ns0:c>
      <ns0:c r="I529" s="16">
        <ns0:f>A529*('前提と出典'!$C$36*'契約別単価'!I5+'前提と出典'!$C$37*'契約別単価'!I6+'前提と出典'!$C$38*'契約別単価'!I7)</ns0:f>
        <ns0:v>22152.653631284913</ns0:v>
      </ns0:c>
      <ns0:c r="J529" s="16">
        <ns0:f>A529*('前提と出典'!$C$36*'契約別単価'!J5+'前提と出典'!$C$37*'契約別単価'!J6+'前提と出典'!$C$38*'契約別単価'!J7)</ns0:f>
        <ns0:v>51602.01044790885</ns0:v>
      </ns0:c>
      <ns0:c r="K529" s="16">
        <ns0:f>A529*('前提と出典'!$C$36*'契約別単価'!K5+'前提と出典'!$C$37*'契約別単価'!K6+'前提と出典'!$C$38*'契約別単価'!K7)</ns0:f>
        <ns0:v>221184.35754189943</ns0:v>
      </ns0:c>
      <ns0:c r="L529" s="16">
        <ns0:f>A529*('前提と出典'!$C$36*'契約別単価'!L5+'前提と出典'!$C$37*'契約別単価'!L6+'前提と出典'!$C$38*'契約別単価'!L7)</ns0:f>
        <ns0:v>180089.0752645911</ns0:v>
      </ns0:c>
      <ns0:c r="M529" s="16">
        <ns0:f>IF(('前提と出典'!$C$36+'前提と出典'!$C$38)=0,0,IF(B529&lt;=10,'前提と出典'!B73+'前提と出典'!C73,IF(B529&lt;=100,'前提と出典'!B74+'前提と出典'!C74,IF(B529&lt;=500,'前提と出典'!B75+'前提と出典'!C75,'前提と出典'!B76+'前提と出典'!C76))))</ns0:f>
        <ns0:v>40000</ns0:v>
      </ns0:c>
      <ns0:c r="N529" s="16">
        <ns0:f>IF(('前提と出典'!$C$37+'前提と出典'!$C$38)=0,0,IF(C529&lt;=10,'前提と出典'!D73+'前提と出典'!E73,IF(C529&lt;=100,'前提と出典'!D74+'前提と出典'!E74,IF(C529&lt;=500,'前提と出典'!D75+'前提と出典'!E75,'前提と出典'!D76+'前提と出典'!E76))))</ns0:f>
        <ns0:v>56510.9346263078</ns0:v>
      </ns0:c>
      <ns0:c r="O529" s="16">
        <ns0:f>IF('前提と出典'!$C$36+'前提と出典'!$C$38=0,0,'前提と出典'!$B$4*IF('前提と出典'!$B$20=0,MAX('前提と出典'!$B$6,D529*'前提と出典'!$B$5),'前提と出典'!$B$6+D529*'前提と出典'!$B$5))</ns0:f>
        <ns0:v>521316.2011173185</ns0:v>
      </ns0:c>
      <ns0:c r="P529" s="16">
        <ns0:f>(E529+G529)*(1-'前提と出典'!$B$7)-I529-K529-M529-O529</ns0:f>
        <ns0:v>1475011.3378488743</ns0:v>
      </ns0:c>
      <ns0:c r="Q529" s="16">
        <ns0:f>(F529+H529)*(1-'前提と出典'!$B$7)-J529-L529-N529</ns0:f>
        <ns0:v>431103.4929113885</ns0:v>
      </ns0:c>
      <ns0:c r="R529" s="16">
        <ns0:f>P529-E529*'前提と出典'!$E$4</ns0:f>
        <ns0:v>1079076.3524384303</ns0:v>
      </ns0:c>
      <ns0:c r="S529" s="16">
        <ns0:f>Q529-F529*'前提と出典'!$E$4</ns0:f>
        <ns0:v>316054.90683310374</ns0:v>
      </ns0:c>
      <ns0:c r="T529" s="7">
        <ns0:f>R529+S529</ns0:f>
        <ns0:v>1395131.2592715342</ns0:v>
      </ns0:c>
      <ns0:c r="U529" s="16">
        <ns0:f>P529-E529*'前提と出典'!$E$5</ns0:f>
        <ns0:v>947098.0239682825</ns0:v>
      </ns0:c>
      <ns0:c r="V529" s="16">
        <ns0:f>Q529-F529*'前提と出典'!$E$5</ns0:f>
        <ns0:v>277705.3781403423</ns0:v>
      </ns0:c>
      <ns0:c r="W529" s="7">
        <ns0:f>U529+V529</ns0:f>
        <ns0:v>1224803.4021086248</ns0:v>
      </ns0:c>
      <ns0:c r="X529" s="16">
        <ns0:f>P529-E529*'前提と出典'!$E$6</ns0:f>
        <ns0:v>815119.6954981344</ns0:v>
      </ns0:c>
      <ns0:c r="Y529" s="16">
        <ns0:f>Q529-F529*'前提と出典'!$E$6</ns0:f>
        <ns0:v>239355.84944758075</ns0:v>
      </ns0:c>
      <ns0:c r="Z529" s="7">
        <ns0:f>X529+Y529</ns0:f>
        <ns0:v>1054475.544945715</ns0:v>
      </ns0:c>
      <ns0:c r="AA529" s="7">
        <ns0:f>IF(T529&gt;=0,A529,1001)</ns0:f>
        <ns0:v>525</ns0:v>
      </ns0:c>
      <ns0:c r="AB529" s="7">
        <ns0:f>IF(T529&lt;0,A529,0)</ns0:f>
        <ns0:v>0</ns0:v>
      </ns0:c>
      <ns0:c r="AC529" s="16">
        <ns0:f>IF(AND(OR('前提と出典'!$C$36+'前提と出典'!$C$38=0,R529&gt;=0),OR('前提と出典'!$C$37+'前提と出典'!$C$38=0,S529&gt;=0)),0,A529)</ns0:f>
        <ns0:v>0</ns0:v>
      </ns0:c>
      <ns0:c r="AD529" s="7">
        <ns0:f>IF(W529&gt;=0,A529,1001)</ns0:f>
        <ns0:v>525</ns0:v>
      </ns0:c>
      <ns0:c r="AE529" s="7">
        <ns0:f>IF(W529&lt;0,A529,0)</ns0:f>
        <ns0:v>0</ns0:v>
      </ns0:c>
      <ns0:c r="AF529" s="16">
        <ns0:f>IF(AND(OR('前提と出典'!$C$36+'前提と出典'!$C$38=0,U529&gt;=0),OR('前提と出典'!$C$37+'前提と出典'!$C$38=0,V529&gt;=0)),0,A529)</ns0:f>
        <ns0:v>0</ns0:v>
      </ns0:c>
      <ns0:c r="AG529" s="7">
        <ns0:f>IF(Z529&gt;=0,A529,1001)</ns0:f>
        <ns0:v>525</ns0:v>
      </ns0:c>
      <ns0:c r="AH529" s="4">
        <ns0:f>IF(Z529&lt;0,A529,0)</ns0:f>
        <ns0:v>0</ns0:v>
      </ns0:c>
      <ns0:c r="AI529" s="12">
        <ns0:f>IF(AND(OR('前提と出典'!$C$36+'前提と出典'!$C$38=0,X529&gt;=0),OR('前提と出典'!$C$37+'前提と出典'!$C$38=0,Y529&gt;=0)),0,A529)</ns0:f>
        <ns0:v>0</ns0:v>
      </ns0:c>
    </ns0:row>
    <ns0:row r="530" ht="24" customHeight="1">
      <ns0:c r="A530" s="4" t="n">
        <ns0:v>526</ns0:v>
      </ns0:c>
      <ns0:c r="B530" s="12">
        <ns0:f>A530*('前提と出典'!$C$36+'前提と出典'!$C$38)</ns0:f>
        <ns0:v>368.2</ns0:v>
      </ns0:c>
      <ns0:c r="C530" s="12">
        <ns0:f>A530*('前提と出典'!$C$37+'前提と出典'!$C$38)</ns0:f>
        <ns0:v>315.59999999999997</ns0:v>
      </ns0:c>
      <ns0:c r="D530" s="16">
        <ns0:f>A530*('前提と出典'!$C$36*'契約別単価'!C5+'前提と出典'!$C$37*'契約別単価'!C6+'前提と出典'!$C$38*'契約別単価'!C7)</ns0:f>
        <ns0:v>3784.849162011173</ns0:v>
      </ns0:c>
      <ns0:c r="E530" s="16">
        <ns0:f>A530*('前提と出典'!$C$36*'契約別単価'!E5+'前提と出典'!$C$37*'契約別単価'!E6+'前提と出典'!$C$38*'契約別単価'!E7)</ns0:f>
        <ns0:v>1322297.1576247204</ns0:v>
      </ns0:c>
      <ns0:c r="F530" s="16">
        <ns0:f>A530*('前提と出典'!$C$36*'契約別単価'!F5+'前提と出典'!$C$37*'契約別単価'!F6+'前提と出典'!$C$38*'契約別単価'!F7)</ns0:f>
        <ns0:v>384225.754140811</ns0:v>
      </ns0:c>
      <ns0:c r="G530" s="16">
        <ns0:f>A530*('前提と出典'!$C$36*'契約別単価'!G5+'前提と出典'!$C$37*'契約別単価'!G6+'前提と出典'!$C$38*'契約別単価'!G7)</ns0:f>
        <ns0:v>1047004.469273743</ns0:v>
      </ns0:c>
      <ns0:c r="H530" s="16">
        <ns0:f>A530*('前提と出典'!$C$36*'契約別単価'!H5+'前提と出典'!$C$37*'契約別単価'!H6+'前提と出典'!$C$38*'契約別単価'!H7)</ns0:f>
        <ns0:v>363363.06223856704</ns0:v>
      </ns0:c>
      <ns0:c r="I530" s="16">
        <ns0:f>A530*('前提と出典'!$C$36*'契約別単価'!I5+'前提と出典'!$C$37*'契約別単価'!I6+'前提と出典'!$C$38*'契約別単価'!I7)</ns0:f>
        <ns0:v>22194.84916201117</ns0:v>
      </ns0:c>
      <ns0:c r="J530" s="16">
        <ns0:f>A530*('前提と出典'!$C$36*'契約別単価'!J5+'前提と出典'!$C$37*'契約別単価'!J6+'前提と出典'!$C$38*'契約別単価'!J7)</ns0:f>
        <ns0:v>51700.29999161915</ns0:v>
      </ns0:c>
      <ns0:c r="K530" s="16">
        <ns0:f>A530*('前提と出典'!$C$36*'契約別単価'!K5+'前提と出典'!$C$37*'契約別単価'!K6+'前提と出典'!$C$38*'契約別単価'!K7)</ns0:f>
        <ns0:v>221605.66108007447</ns0:v>
      </ns0:c>
      <ns0:c r="L530" s="16">
        <ns0:f>A530*('前提と出典'!$C$36*'契約別単価'!L5+'前提と出典'!$C$37*'契約別単価'!L6+'前提と出典'!$C$38*'契約別単価'!L7)</ns0:f>
        <ns0:v>180432.1020746189</ns0:v>
      </ns0:c>
      <ns0:c r="M530" s="16">
        <ns0:f>IF(('前提と出典'!$C$36+'前提と出典'!$C$38)=0,0,IF(B530&lt;=10,'前提と出典'!B73+'前提と出典'!C73,IF(B530&lt;=100,'前提と出典'!B74+'前提と出典'!C74,IF(B530&lt;=500,'前提と出典'!B75+'前提と出典'!C75,'前提と出典'!B76+'前提と出典'!C76))))</ns0:f>
        <ns0:v>40000</ns0:v>
      </ns0:c>
      <ns0:c r="N530" s="16">
        <ns0:f>IF(('前提と出典'!$C$37+'前提と出典'!$C$38)=0,0,IF(C530&lt;=10,'前提と出典'!D73+'前提と出典'!E73,IF(C530&lt;=100,'前提と出典'!D74+'前提と出典'!E74,IF(C530&lt;=500,'前提と出典'!D75+'前提と出典'!E75,'前提と出典'!D76+'前提と出典'!E76))))</ns0:f>
        <ns0:v>56510.9346263078</ns0:v>
      </ns0:c>
      <ns0:c r="O530" s="16">
        <ns0:f>IF('前提と出典'!$C$36+'前提と出典'!$C$38=0,0,'前提と出典'!$B$4*IF('前提と出典'!$B$20=0,MAX('前提と出典'!$B$6,D530*'前提と出典'!$B$5),'前提と出典'!$B$6+D530*'前提と出典'!$B$5))</ns0:f>
        <ns0:v>522309.1843575419</ns0:v>
      </ns0:c>
      <ns0:c r="P530" s="16">
        <ns0:f>(E530+G530)*(1-'前提と出典'!$B$7)-I530-K530-M530-O530</ns0:f>
        <ns0:v>1477897.073730491</ns0:v>
      </ns0:c>
      <ns0:c r="Q530" s="16">
        <ns0:f>(F530+H530)*(1-'前提と出典'!$B$7)-J530-L530-N530</ns0:f>
        <ns0:v>432032.2822971747</ns0:v>
      </ns0:c>
      <ns0:c r="R530" s="16">
        <ns0:f>P530-E530*'前提と出典'!$E$4</ns0:f>
        <ns0:v>1081207.926443075</ns0:v>
      </ns0:c>
      <ns0:c r="S530" s="16">
        <ns0:f>Q530-F530*'前提と出典'!$E$4</ns0:f>
        <ns0:v>316764.55605493125</ns0:v>
      </ns0:c>
      <ns0:c r="T530" s="7">
        <ns0:f>R530+S530</ns0:f>
        <ns0:v>1397972.4824980064</ns0:v>
      </ns0:c>
      <ns0:c r="U530" s="16">
        <ns0:f>P530-E530*'前提と出典'!$E$5</ns0:f>
        <ns0:v>948978.210680603</ns0:v>
      </ns0:c>
      <ns0:c r="V530" s="16">
        <ns0:f>Q530-F530*'前提と出典'!$E$5</ns0:f>
        <ns0:v>278341.98064085026</ns0:v>
      </ns0:c>
      <ns0:c r="W530" s="7">
        <ns0:f>U530+V530</ns0:f>
        <ns0:v>1227320.1913214533</ns0:v>
      </ns0:c>
      <ns0:c r="X530" s="16">
        <ns0:f>P530-E530*'前提と出典'!$E$6</ns0:f>
        <ns0:v>816748.4949181308</ns0:v>
      </ns0:c>
      <ns0:c r="Y530" s="16">
        <ns0:f>Q530-F530*'前提と出典'!$E$6</ns0:f>
        <ns0:v>239919.40522676916</ns0:v>
      </ns0:c>
      <ns0:c r="Z530" s="7">
        <ns0:f>X530+Y530</ns0:f>
        <ns0:v>1056667.9001449</ns0:v>
      </ns0:c>
      <ns0:c r="AA530" s="7">
        <ns0:f>IF(T530&gt;=0,A530,1001)</ns0:f>
        <ns0:v>526</ns0:v>
      </ns0:c>
      <ns0:c r="AB530" s="7">
        <ns0:f>IF(T530&lt;0,A530,0)</ns0:f>
        <ns0:v>0</ns0:v>
      </ns0:c>
      <ns0:c r="AC530" s="16">
        <ns0:f>IF(AND(OR('前提と出典'!$C$36+'前提と出典'!$C$38=0,R530&gt;=0),OR('前提と出典'!$C$37+'前提と出典'!$C$38=0,S530&gt;=0)),0,A530)</ns0:f>
        <ns0:v>0</ns0:v>
      </ns0:c>
      <ns0:c r="AD530" s="7">
        <ns0:f>IF(W530&gt;=0,A530,1001)</ns0:f>
        <ns0:v>526</ns0:v>
      </ns0:c>
      <ns0:c r="AE530" s="7">
        <ns0:f>IF(W530&lt;0,A530,0)</ns0:f>
        <ns0:v>0</ns0:v>
      </ns0:c>
      <ns0:c r="AF530" s="16">
        <ns0:f>IF(AND(OR('前提と出典'!$C$36+'前提と出典'!$C$38=0,U530&gt;=0),OR('前提と出典'!$C$37+'前提と出典'!$C$38=0,V530&gt;=0)),0,A530)</ns0:f>
        <ns0:v>0</ns0:v>
      </ns0:c>
      <ns0:c r="AG530" s="7">
        <ns0:f>IF(Z530&gt;=0,A530,1001)</ns0:f>
        <ns0:v>526</ns0:v>
      </ns0:c>
      <ns0:c r="AH530" s="4">
        <ns0:f>IF(Z530&lt;0,A530,0)</ns0:f>
        <ns0:v>0</ns0:v>
      </ns0:c>
      <ns0:c r="AI530" s="12">
        <ns0:f>IF(AND(OR('前提と出典'!$C$36+'前提と出典'!$C$38=0,X530&gt;=0),OR('前提と出典'!$C$37+'前提と出典'!$C$38=0,Y530&gt;=0)),0,A530)</ns0:f>
        <ns0:v>0</ns0:v>
      </ns0:c>
    </ns0:row>
    <ns0:row r="531" ht="24" customHeight="1">
      <ns0:c r="A531" s="4" t="n">
        <ns0:v>527</ns0:v>
      </ns0:c>
      <ns0:c r="B531" s="12">
        <ns0:f>A531*('前提と出典'!$C$36+'前提と出典'!$C$38)</ns0:f>
        <ns0:v>368.9</ns0:v>
      </ns0:c>
      <ns0:c r="C531" s="12">
        <ns0:f>A531*('前提と出典'!$C$37+'前提と出典'!$C$38)</ns0:f>
        <ns0:v>316.2</ns0:v>
      </ns0:c>
      <ns0:c r="D531" s="16">
        <ns0:f>A531*('前提と出典'!$C$36*'契約別単価'!C5+'前提と出典'!$C$37*'契約別単価'!C6+'前提と出典'!$C$38*'契約別単価'!C7)</ns0:f>
        <ns0:v>3792.04469273743</ns0:v>
      </ns0:c>
      <ns0:c r="E531" s="16">
        <ns0:f>A531*('前提と出典'!$C$36*'契約別単価'!E5+'前提と出典'!$C$37*'契約別単価'!E6+'前提と出典'!$C$38*'契約別単価'!E7)</ns0:f>
        <ns0:v>1324811.0305479614</ns0:v>
      </ns0:c>
      <ns0:c r="F531" s="16">
        <ns0:f>A531*('前提と出典'!$C$36*'契約別単価'!F5+'前提と出典'!$C$37*'契約別単価'!F6+'前提と出典'!$C$38*'契約別単価'!F7)</ns0:f>
        <ns0:v>384956.22135400644</ns0:v>
      </ns0:c>
      <ns0:c r="G531" s="16">
        <ns0:f>A531*('前提と出典'!$C$36*'契約別単価'!G5+'前提と出典'!$C$37*'契約別単価'!G6+'前提と出典'!$C$38*'契約別単価'!G7)</ns0:f>
        <ns0:v>1048994.972067039</ns0:v>
      </ns0:c>
      <ns0:c r="H531" s="16">
        <ns0:f>A531*('前提と出典'!$C$36*'契約別単価'!H5+'前提と出典'!$C$37*'契約別単価'!H6+'前提と出典'!$C$38*'契約別単価'!H7)</ns0:f>
        <ns0:v>364053.8665394008</ns0:v>
      </ns0:c>
      <ns0:c r="I531" s="16">
        <ns0:f>A531*('前提と出典'!$C$36*'契約別単価'!I5+'前提と出典'!$C$37*'契約別単価'!I6+'前提と出典'!$C$38*'契約別単価'!I7)</ns0:f>
        <ns0:v>22237.044692737425</ns0:v>
      </ns0:c>
      <ns0:c r="J531" s="16">
        <ns0:f>A531*('前提と出典'!$C$36*'契約別単価'!J5+'前提と出典'!$C$37*'契約別単価'!J6+'前提と出典'!$C$38*'契約別単価'!J7)</ns0:f>
        <ns0:v>51798.589535329455</ns0:v>
      </ns0:c>
      <ns0:c r="K531" s="16">
        <ns0:f>A531*('前提と出典'!$C$36*'契約別単価'!K5+'前提と出典'!$C$37*'契約別単価'!K6+'前提と出典'!$C$38*'契約別単価'!K7)</ns0:f>
        <ns0:v>222026.9646182495</ns0:v>
      </ns0:c>
      <ns0:c r="L531" s="16">
        <ns0:f>A531*('前提と出典'!$C$36*'契約別単価'!L5+'前提と出典'!$C$37*'契約別単価'!L6+'前提と出典'!$C$38*'契約別単価'!L7)</ns0:f>
        <ns0:v>180775.1288846467</ns0:v>
      </ns0:c>
      <ns0:c r="M531" s="16">
        <ns0:f>IF(('前提と出典'!$C$36+'前提と出典'!$C$38)=0,0,IF(B531&lt;=10,'前提と出典'!B73+'前提と出典'!C73,IF(B531&lt;=100,'前提と出典'!B74+'前提と出典'!C74,IF(B531&lt;=500,'前提と出典'!B75+'前提と出典'!C75,'前提と出典'!B76+'前提と出典'!C76))))</ns0:f>
        <ns0:v>40000</ns0:v>
      </ns0:c>
      <ns0:c r="N531" s="16">
        <ns0:f>IF(('前提と出典'!$C$37+'前提と出典'!$C$38)=0,0,IF(C531&lt;=10,'前提と出典'!D73+'前提と出典'!E73,IF(C531&lt;=100,'前提と出典'!D74+'前提と出典'!E74,IF(C531&lt;=500,'前提と出典'!D75+'前提と出典'!E75,'前提と出典'!D76+'前提と出典'!E76))))</ns0:f>
        <ns0:v>56510.9346263078</ns0:v>
      </ns0:c>
      <ns0:c r="O531" s="16">
        <ns0:f>IF('前提と出典'!$C$36+'前提と出典'!$C$38=0,0,'前提と出典'!$B$4*IF('前提と出典'!$B$20=0,MAX('前提と出典'!$B$6,D531*'前提と出典'!$B$5),'前提と出典'!$B$6+D531*'前提と出典'!$B$5))</ns0:f>
        <ns0:v>523302.1675977654</ns0:v>
      </ns0:c>
      <ns0:c r="P531" s="16">
        <ns0:f>(E531+G531)*(1-'前提と出典'!$B$7)-I531-K531-M531-O531</ns0:f>
        <ns0:v>1480782.809612108</ns0:v>
      </ns0:c>
      <ns0:c r="Q531" s="16">
        <ns0:f>(F531+H531)*(1-'前提と出典'!$B$7)-J531-L531-N531</ns0:f>
        <ns0:v>432961.0716829607</ns0:v>
      </ns0:c>
      <ns0:c r="R531" s="16">
        <ns0:f>P531-E531*'前提と出典'!$E$4</ns0:f>
        <ns0:v>1083339.5004477194</ns0:v>
      </ns0:c>
      <ns0:c r="S531" s="16">
        <ns0:f>Q531-F531*'前提と出典'!$E$4</ns0:f>
        <ns0:v>317474.20527675876</ns0:v>
      </ns0:c>
      <ns0:c r="T531" s="7">
        <ns0:f>R531+S531</ns0:f>
        <ns0:v>1400813.7057244782</ns0:v>
      </ns0:c>
      <ns0:c r="U531" s="16">
        <ns0:f>P531-E531*'前提と出典'!$E$5</ns0:f>
        <ns0:v>950858.3973929232</ns0:v>
      </ns0:c>
      <ns0:c r="V531" s="16">
        <ns0:f>Q531-F531*'前提と出典'!$E$5</ns0:f>
        <ns0:v>278978.58314135816</ns0:v>
      </ns0:c>
      <ns0:c r="W531" s="7">
        <ns0:f>U531+V531</ns0:f>
        <ns0:v>1229836.9805342813</ns0:v>
      </ns0:c>
      <ns0:c r="X531" s="16">
        <ns0:f>P531-E531*'前提と出典'!$E$6</ns0:f>
        <ns0:v>818377.2943381269</ns0:v>
      </ns0:c>
      <ns0:c r="Y531" s="16">
        <ns0:f>Q531-F531*'前提と出典'!$E$6</ns0:f>
        <ns0:v>240482.96100595762</ns0:v>
      </ns0:c>
      <ns0:c r="Z531" s="7">
        <ns0:f>X531+Y531</ns0:f>
        <ns0:v>1058860.2553440845</ns0:v>
      </ns0:c>
      <ns0:c r="AA531" s="7">
        <ns0:f>IF(T531&gt;=0,A531,1001)</ns0:f>
        <ns0:v>527</ns0:v>
      </ns0:c>
      <ns0:c r="AB531" s="7">
        <ns0:f>IF(T531&lt;0,A531,0)</ns0:f>
        <ns0:v>0</ns0:v>
      </ns0:c>
      <ns0:c r="AC531" s="16">
        <ns0:f>IF(AND(OR('前提と出典'!$C$36+'前提と出典'!$C$38=0,R531&gt;=0),OR('前提と出典'!$C$37+'前提と出典'!$C$38=0,S531&gt;=0)),0,A531)</ns0:f>
        <ns0:v>0</ns0:v>
      </ns0:c>
      <ns0:c r="AD531" s="7">
        <ns0:f>IF(W531&gt;=0,A531,1001)</ns0:f>
        <ns0:v>527</ns0:v>
      </ns0:c>
      <ns0:c r="AE531" s="7">
        <ns0:f>IF(W531&lt;0,A531,0)</ns0:f>
        <ns0:v>0</ns0:v>
      </ns0:c>
      <ns0:c r="AF531" s="16">
        <ns0:f>IF(AND(OR('前提と出典'!$C$36+'前提と出典'!$C$38=0,U531&gt;=0),OR('前提と出典'!$C$37+'前提と出典'!$C$38=0,V531&gt;=0)),0,A531)</ns0:f>
        <ns0:v>0</ns0:v>
      </ns0:c>
      <ns0:c r="AG531" s="7">
        <ns0:f>IF(Z531&gt;=0,A531,1001)</ns0:f>
        <ns0:v>527</ns0:v>
      </ns0:c>
      <ns0:c r="AH531" s="4">
        <ns0:f>IF(Z531&lt;0,A531,0)</ns0:f>
        <ns0:v>0</ns0:v>
      </ns0:c>
      <ns0:c r="AI531" s="12">
        <ns0:f>IF(AND(OR('前提と出典'!$C$36+'前提と出典'!$C$38=0,X531&gt;=0),OR('前提と出典'!$C$37+'前提と出典'!$C$38=0,Y531&gt;=0)),0,A531)</ns0:f>
        <ns0:v>0</ns0:v>
      </ns0:c>
    </ns0:row>
    <ns0:row r="532" ht="24" customHeight="1">
      <ns0:c r="A532" s="4" t="n">
        <ns0:v>528</ns0:v>
      </ns0:c>
      <ns0:c r="B532" s="12">
        <ns0:f>A532*('前提と出典'!$C$36+'前提と出典'!$C$38)</ns0:f>
        <ns0:v>369.59999999999997</ns0:v>
      </ns0:c>
      <ns0:c r="C532" s="12">
        <ns0:f>A532*('前提と出典'!$C$37+'前提と出典'!$C$38)</ns0:f>
        <ns0:v>316.8</ns0:v>
      </ns0:c>
      <ns0:c r="D532" s="16">
        <ns0:f>A532*('前提と出典'!$C$36*'契約別単価'!C5+'前提と出典'!$C$37*'契約別単価'!C6+'前提と出典'!$C$38*'契約別単価'!C7)</ns0:f>
        <ns0:v>3799.240223463687</ns0:v>
      </ns0:c>
      <ns0:c r="E532" s="16">
        <ns0:f>A532*('前提と出典'!$C$36*'契約別単価'!E5+'前提と出典'!$C$37*'契約別単価'!E6+'前提と出典'!$C$38*'契約別単価'!E7)</ns0:f>
        <ns0:v>1327324.9034712021</ns0:v>
      </ns0:c>
      <ns0:c r="F532" s="16">
        <ns0:f>A532*('前提と出典'!$C$36*'契約別単価'!F5+'前提と出典'!$C$37*'契約別単価'!F6+'前提と出典'!$C$38*'契約別単価'!F7)</ns0:f>
        <ns0:v>385686.6885672019</ns0:v>
      </ns0:c>
      <ns0:c r="G532" s="16">
        <ns0:f>A532*('前提と出典'!$C$36*'契約別単価'!G5+'前提と出典'!$C$37*'契約別単価'!G6+'前提と出典'!$C$38*'契約別単価'!G7)</ns0:f>
        <ns0:v>1050985.4748603352</ns0:v>
      </ns0:c>
      <ns0:c r="H532" s="16">
        <ns0:f>A532*('前提と出典'!$C$36*'契約別単価'!H5+'前提と出典'!$C$37*'契約別単価'!H6+'前提と出典'!$C$38*'契約別単価'!H7)</ns0:f>
        <ns0:v>364744.6708402346</ns0:v>
      </ns0:c>
      <ns0:c r="I532" s="16">
        <ns0:f>A532*('前提と出典'!$C$36*'契約別単価'!I5+'前提と出典'!$C$37*'契約別単価'!I6+'前提と出典'!$C$38*'契約別単価'!I7)</ns0:f>
        <ns0:v>22279.240223463683</ns0:v>
      </ns0:c>
      <ns0:c r="J532" s="16">
        <ns0:f>A532*('前提と出典'!$C$36*'契約別単価'!J5+'前提と出典'!$C$37*'契約別単価'!J6+'前提と出典'!$C$38*'契約別単価'!J7)</ns0:f>
        <ns0:v>51896.879079039754</ns0:v>
      </ns0:c>
      <ns0:c r="K532" s="16">
        <ns0:f>A532*('前提と出典'!$C$36*'契約別単価'!K5+'前提と出典'!$C$37*'契約別単価'!K6+'前提と出典'!$C$38*'契約別単価'!K7)</ns0:f>
        <ns0:v>222448.26815642457</ns0:v>
      </ns0:c>
      <ns0:c r="L532" s="16">
        <ns0:f>A532*('前提と出典'!$C$36*'契約別単価'!L5+'前提と出典'!$C$37*'契約別単価'!L6+'前提と出典'!$C$38*'契約別単価'!L7)</ns0:f>
        <ns0:v>181118.15569467447</ns0:v>
      </ns0:c>
      <ns0:c r="M532" s="16">
        <ns0:f>IF(('前提と出典'!$C$36+'前提と出典'!$C$38)=0,0,IF(B532&lt;=10,'前提と出典'!B73+'前提と出典'!C73,IF(B532&lt;=100,'前提と出典'!B74+'前提と出典'!C74,IF(B532&lt;=500,'前提と出典'!B75+'前提と出典'!C75,'前提と出典'!B76+'前提と出典'!C76))))</ns0:f>
        <ns0:v>40000</ns0:v>
      </ns0:c>
      <ns0:c r="N532" s="16">
        <ns0:f>IF(('前提と出典'!$C$37+'前提と出典'!$C$38)=0,0,IF(C532&lt;=10,'前提と出典'!D73+'前提と出典'!E73,IF(C532&lt;=100,'前提と出典'!D74+'前提と出典'!E74,IF(C532&lt;=500,'前提と出典'!D75+'前提と出典'!E75,'前提と出典'!D76+'前提と出典'!E76))))</ns0:f>
        <ns0:v>56510.9346263078</ns0:v>
      </ns0:c>
      <ns0:c r="O532" s="16">
        <ns0:f>IF('前提と出典'!$C$36+'前提と出典'!$C$38=0,0,'前提と出典'!$B$4*IF('前提と出典'!$B$20=0,MAX('前提と出典'!$B$6,D532*'前提と出典'!$B$5),'前提と出典'!$B$6+D532*'前提と出典'!$B$5))</ns0:f>
        <ns0:v>524295.1508379888</ns0:v>
      </ns0:c>
      <ns0:c r="P532" s="16">
        <ns0:f>(E532+G532)*(1-'前提と出典'!$B$7)-I532-K532-M532-O532</ns0:f>
        <ns0:v>1483668.545493725</ns0:v>
      </ns0:c>
      <ns0:c r="Q532" s="16">
        <ns0:f>(F532+H532)*(1-'前提と出典'!$B$7)-J532-L532-N532</ns0:f>
        <ns0:v>433889.8610687468</ns0:v>
      </ns0:c>
      <ns0:c r="R532" s="16">
        <ns0:f>P532-E532*'前提と出典'!$E$4</ns0:f>
        <ns0:v>1085471.0744523644</ns0:v>
      </ns0:c>
      <ns0:c r="S532" s="16">
        <ns0:f>Q532-F532*'前提と出典'!$E$4</ns0:f>
        <ns0:v>318183.85449858615</ns0:v>
      </ns0:c>
      <ns0:c r="T532" s="7">
        <ns0:f>R532+S532</ns0:f>
        <ns0:v>1403654.9289509505</ns0:v>
      </ns0:c>
      <ns0:c r="U532" s="16">
        <ns0:f>P532-E532*'前提と出典'!$E$5</ns0:f>
        <ns0:v>952738.5841052441</ns0:v>
      </ns0:c>
      <ns0:c r="V532" s="16">
        <ns0:f>Q532-F532*'前提と出典'!$E$5</ns0:f>
        <ns0:v>279615.185641866</ns0:v>
      </ns0:c>
      <ns0:c r="W532" s="7">
        <ns0:f>U532+V532</ns0:f>
        <ns0:v>1232353.76974711</ns0:v>
      </ns0:c>
      <ns0:c r="X532" s="16">
        <ns0:f>P532-E532*'前提と出典'!$E$6</ns0:f>
        <ns0:v>820006.0937581239</ns0:v>
      </ns0:c>
      <ns0:c r="Y532" s="16">
        <ns0:f>Q532-F532*'前提と出典'!$E$6</ns0:f>
        <ns0:v>241046.5167851459</ns0:v>
      </ns0:c>
      <ns0:c r="Z532" s="7">
        <ns0:f>X532+Y532</ns0:f>
        <ns0:v>1061052.61054327</ns0:v>
      </ns0:c>
      <ns0:c r="AA532" s="7">
        <ns0:f>IF(T532&gt;=0,A532,1001)</ns0:f>
        <ns0:v>528</ns0:v>
      </ns0:c>
      <ns0:c r="AB532" s="7">
        <ns0:f>IF(T532&lt;0,A532,0)</ns0:f>
        <ns0:v>0</ns0:v>
      </ns0:c>
      <ns0:c r="AC532" s="16">
        <ns0:f>IF(AND(OR('前提と出典'!$C$36+'前提と出典'!$C$38=0,R532&gt;=0),OR('前提と出典'!$C$37+'前提と出典'!$C$38=0,S532&gt;=0)),0,A532)</ns0:f>
        <ns0:v>0</ns0:v>
      </ns0:c>
      <ns0:c r="AD532" s="7">
        <ns0:f>IF(W532&gt;=0,A532,1001)</ns0:f>
        <ns0:v>528</ns0:v>
      </ns0:c>
      <ns0:c r="AE532" s="7">
        <ns0:f>IF(W532&lt;0,A532,0)</ns0:f>
        <ns0:v>0</ns0:v>
      </ns0:c>
      <ns0:c r="AF532" s="16">
        <ns0:f>IF(AND(OR('前提と出典'!$C$36+'前提と出典'!$C$38=0,U532&gt;=0),OR('前提と出典'!$C$37+'前提と出典'!$C$38=0,V532&gt;=0)),0,A532)</ns0:f>
        <ns0:v>0</ns0:v>
      </ns0:c>
      <ns0:c r="AG532" s="7">
        <ns0:f>IF(Z532&gt;=0,A532,1001)</ns0:f>
        <ns0:v>528</ns0:v>
      </ns0:c>
      <ns0:c r="AH532" s="4">
        <ns0:f>IF(Z532&lt;0,A532,0)</ns0:f>
        <ns0:v>0</ns0:v>
      </ns0:c>
      <ns0:c r="AI532" s="12">
        <ns0:f>IF(AND(OR('前提と出典'!$C$36+'前提と出典'!$C$38=0,X532&gt;=0),OR('前提と出典'!$C$37+'前提と出典'!$C$38=0,Y532&gt;=0)),0,A532)</ns0:f>
        <ns0:v>0</ns0:v>
      </ns0:c>
    </ns0:row>
    <ns0:row r="533" ht="24" customHeight="1">
      <ns0:c r="A533" s="4" t="n">
        <ns0:v>529</ns0:v>
      </ns0:c>
      <ns0:c r="B533" s="12">
        <ns0:f>A533*('前提と出典'!$C$36+'前提と出典'!$C$38)</ns0:f>
        <ns0:v>370.29999999999995</ns0:v>
      </ns0:c>
      <ns0:c r="C533" s="12">
        <ns0:f>A533*('前提と出典'!$C$37+'前提と出典'!$C$38)</ns0:f>
        <ns0:v>317.4</ns0:v>
      </ns0:c>
      <ns0:c r="D533" s="16">
        <ns0:f>A533*('前提と出典'!$C$36*'契約別単価'!C5+'前提と出典'!$C$37*'契約別単価'!C6+'前提と出典'!$C$38*'契約別単価'!C7)</ns0:f>
        <ns0:v>3806.435754189944</ns0:v>
      </ns0:c>
      <ns0:c r="E533" s="16">
        <ns0:f>A533*('前提と出典'!$C$36*'契約別単価'!E5+'前提と出典'!$C$37*'契約別単価'!E6+'前提と出典'!$C$38*'契約別単価'!E7)</ns0:f>
        <ns0:v>1329838.7763944431</ns0:v>
      </ns0:c>
      <ns0:c r="F533" s="16">
        <ns0:f>A533*('前提と出典'!$C$36*'契約別単価'!F5+'前提と出典'!$C$37*'契約別単価'!F6+'前提と出典'!$C$38*'契約別単価'!F7)</ns0:f>
        <ns0:v>386417.15578039736</ns0:v>
      </ns0:c>
      <ns0:c r="G533" s="16">
        <ns0:f>A533*('前提と出典'!$C$36*'契約別単価'!G5+'前提と出典'!$C$37*'契約別単価'!G6+'前提と出典'!$C$38*'契約別単価'!G7)</ns0:f>
        <ns0:v>1052975.9776536312</ns0:v>
      </ns0:c>
      <ns0:c r="H533" s="16">
        <ns0:f>A533*('前提と出典'!$C$36*'契約別単価'!H5+'前提と出典'!$C$37*'契約別単価'!H6+'前提と出典'!$C$38*'契約別単価'!H7)</ns0:f>
        <ns0:v>365435.4751410684</ns0:v>
      </ns0:c>
      <ns0:c r="I533" s="16">
        <ns0:f>A533*('前提と出典'!$C$36*'契約別単価'!I5+'前提と出典'!$C$37*'契約別単価'!I6+'前提と出典'!$C$38*'契約別単価'!I7)</ns0:f>
        <ns0:v>22321.43575418994</ns0:v>
      </ns0:c>
      <ns0:c r="J533" s="16">
        <ns0:f>A533*('前提と出典'!$C$36*'契約別単価'!J5+'前提と出典'!$C$37*'契約別単価'!J6+'前提と出典'!$C$38*'契約別単価'!J7)</ns0:f>
        <ns0:v>51995.16862275006</ns0:v>
      </ns0:c>
      <ns0:c r="K533" s="16">
        <ns0:f>A533*('前提と出典'!$C$36*'契約別単価'!K5+'前提と出典'!$C$37*'契約別単価'!K6+'前提と出典'!$C$38*'契約別単価'!K7)</ns0:f>
        <ns0:v>222869.5716945996</ns0:v>
      </ns0:c>
      <ns0:c r="L533" s="16">
        <ns0:f>A533*('前提と出典'!$C$36*'契約別単価'!L5+'前提と出典'!$C$37*'契約別単価'!L6+'前提と出典'!$C$38*'契約別単価'!L7)</ns0:f>
        <ns0:v>181461.18250470227</ns0:v>
      </ns0:c>
      <ns0:c r="M533" s="16">
        <ns0:f>IF(('前提と出典'!$C$36+'前提と出典'!$C$38)=0,0,IF(B533&lt;=10,'前提と出典'!B73+'前提と出典'!C73,IF(B533&lt;=100,'前提と出典'!B74+'前提と出典'!C74,IF(B533&lt;=500,'前提と出典'!B75+'前提と出典'!C75,'前提と出典'!B76+'前提と出典'!C76))))</ns0:f>
        <ns0:v>40000</ns0:v>
      </ns0:c>
      <ns0:c r="N533" s="16">
        <ns0:f>IF(('前提と出典'!$C$37+'前提と出典'!$C$38)=0,0,IF(C533&lt;=10,'前提と出典'!D73+'前提と出典'!E73,IF(C533&lt;=100,'前提と出典'!D74+'前提と出典'!E74,IF(C533&lt;=500,'前提と出典'!D75+'前提と出典'!E75,'前提と出典'!D76+'前提と出典'!E76))))</ns0:f>
        <ns0:v>56510.9346263078</ns0:v>
      </ns0:c>
      <ns0:c r="O533" s="16">
        <ns0:f>IF('前提と出典'!$C$36+'前提と出典'!$C$38=0,0,'前提と出典'!$B$4*IF('前提と出典'!$B$20=0,MAX('前提と出典'!$B$6,D533*'前提と出典'!$B$5),'前提と出典'!$B$6+D533*'前提と出典'!$B$5))</ns0:f>
        <ns0:v>525288.1340782123</ns0:v>
      </ns0:c>
      <ns0:c r="P533" s="16">
        <ns0:f>(E533+G533)*(1-'前提と出典'!$B$7)-I533-K533-M533-O533</ns0:f>
        <ns0:v>1486554.2813753418</ns0:v>
      </ns0:c>
      <ns0:c r="Q533" s="16">
        <ns0:f>(F533+H533)*(1-'前提と出典'!$B$7)-J533-L533-N533</ns0:f>
        <ns0:v>434818.65045453294</ns0:v>
      </ns0:c>
      <ns0:c r="R533" s="16">
        <ns0:f>P533-E533*'前提と出典'!$E$4</ns0:f>
        <ns0:v>1087602.648457009</ns0:v>
      </ns0:c>
      <ns0:c r="S533" s="16">
        <ns0:f>Q533-F533*'前提と出典'!$E$4</ns0:f>
        <ns0:v>318893.5037204138</ns0:v>
      </ns0:c>
      <ns0:c r="T533" s="7">
        <ns0:f>R533+S533</ns0:f>
        <ns0:v>1406496.1521774228</ns0:v>
      </ns0:c>
      <ns0:c r="U533" s="16">
        <ns0:f>P533-E533*'前提と出典'!$E$5</ns0:f>
        <ns0:v>954618.7708175646</ns0:v>
      </ns0:c>
      <ns0:c r="V533" s="16">
        <ns0:f>Q533-F533*'前提と出典'!$E$5</ns0:f>
        <ns0:v>280251.788142374</ns0:v>
      </ns0:c>
      <ns0:c r="W533" s="7">
        <ns0:f>U533+V533</ns0:f>
        <ns0:v>1234870.5589599386</ns0:v>
      </ns0:c>
      <ns0:c r="X533" s="16">
        <ns0:f>P533-E533*'前提と出典'!$E$6</ns0:f>
        <ns0:v>821634.8931781205</ns0:v>
      </ns0:c>
      <ns0:c r="Y533" s="16">
        <ns0:f>Q533-F533*'前提と出典'!$E$6</ns0:f>
        <ns0:v>241610.07256433426</ns0:v>
      </ns0:c>
      <ns0:c r="Z533" s="7">
        <ns0:f>X533+Y533</ns0:f>
        <ns0:v>1063244.9657424549</ns0:v>
      </ns0:c>
      <ns0:c r="AA533" s="7">
        <ns0:f>IF(T533&gt;=0,A533,1001)</ns0:f>
        <ns0:v>529</ns0:v>
      </ns0:c>
      <ns0:c r="AB533" s="7">
        <ns0:f>IF(T533&lt;0,A533,0)</ns0:f>
        <ns0:v>0</ns0:v>
      </ns0:c>
      <ns0:c r="AC533" s="16">
        <ns0:f>IF(AND(OR('前提と出典'!$C$36+'前提と出典'!$C$38=0,R533&gt;=0),OR('前提と出典'!$C$37+'前提と出典'!$C$38=0,S533&gt;=0)),0,A533)</ns0:f>
        <ns0:v>0</ns0:v>
      </ns0:c>
      <ns0:c r="AD533" s="7">
        <ns0:f>IF(W533&gt;=0,A533,1001)</ns0:f>
        <ns0:v>529</ns0:v>
      </ns0:c>
      <ns0:c r="AE533" s="7">
        <ns0:f>IF(W533&lt;0,A533,0)</ns0:f>
        <ns0:v>0</ns0:v>
      </ns0:c>
      <ns0:c r="AF533" s="16">
        <ns0:f>IF(AND(OR('前提と出典'!$C$36+'前提と出典'!$C$38=0,U533&gt;=0),OR('前提と出典'!$C$37+'前提と出典'!$C$38=0,V533&gt;=0)),0,A533)</ns0:f>
        <ns0:v>0</ns0:v>
      </ns0:c>
      <ns0:c r="AG533" s="7">
        <ns0:f>IF(Z533&gt;=0,A533,1001)</ns0:f>
        <ns0:v>529</ns0:v>
      </ns0:c>
      <ns0:c r="AH533" s="4">
        <ns0:f>IF(Z533&lt;0,A533,0)</ns0:f>
        <ns0:v>0</ns0:v>
      </ns0:c>
      <ns0:c r="AI533" s="12">
        <ns0:f>IF(AND(OR('前提と出典'!$C$36+'前提と出典'!$C$38=0,X533&gt;=0),OR('前提と出典'!$C$37+'前提と出典'!$C$38=0,Y533&gt;=0)),0,A533)</ns0:f>
        <ns0:v>0</ns0:v>
      </ns0:c>
    </ns0:row>
    <ns0:row r="534" ht="24" customHeight="1">
      <ns0:c r="A534" s="4" t="n">
        <ns0:v>530</ns0:v>
      </ns0:c>
      <ns0:c r="B534" s="12">
        <ns0:f>A534*('前提と出典'!$C$36+'前提と出典'!$C$38)</ns0:f>
        <ns0:v>371</ns0:v>
      </ns0:c>
      <ns0:c r="C534" s="12">
        <ns0:f>A534*('前提と出典'!$C$37+'前提と出典'!$C$38)</ns0:f>
        <ns0:v>318</ns0:v>
      </ns0:c>
      <ns0:c r="D534" s="16">
        <ns0:f>A534*('前提と出典'!$C$36*'契約別単価'!C5+'前提と出典'!$C$37*'契約別単価'!C6+'前提と出典'!$C$38*'契約別単価'!C7)</ns0:f>
        <ns0:v>3813.631284916201</ns0:v>
      </ns0:c>
      <ns0:c r="E534" s="16">
        <ns0:f>A534*('前提と出典'!$C$36*'契約別単価'!E5+'前提と出典'!$C$37*'契約別単価'!E6+'前提と出典'!$C$38*'契約別単価'!E7)</ns0:f>
        <ns0:v>1332352.6493176841</ns0:v>
      </ns0:c>
      <ns0:c r="F534" s="16">
        <ns0:f>A534*('前提と出典'!$C$36*'契約別単価'!F5+'前提と出典'!$C$37*'契約別単価'!F6+'前提と出典'!$C$38*'契約別単価'!F7)</ns0:f>
        <ns0:v>387147.6229935928</ns0:v>
      </ns0:c>
      <ns0:c r="G534" s="16">
        <ns0:f>A534*('前提と出典'!$C$36*'契約別単価'!G5+'前提と出典'!$C$37*'契約別単価'!G6+'前提と出典'!$C$38*'契約別単価'!G7)</ns0:f>
        <ns0:v>1054966.4804469272</ns0:v>
      </ns0:c>
      <ns0:c r="H534" s="16">
        <ns0:f>A534*('前提と出典'!$C$36*'契約別単価'!H5+'前提と出典'!$C$37*'契約別単価'!H6+'前提と出典'!$C$38*'契約別単価'!H7)</ns0:f>
        <ns0:v>366126.2794419022</ns0:v>
      </ns0:c>
      <ns0:c r="I534" s="16">
        <ns0:f>A534*('前提と出典'!$C$36*'契約別単価'!I5+'前提と出典'!$C$37*'契約別単価'!I6+'前提と出典'!$C$38*'契約別単価'!I7)</ns0:f>
        <ns0:v>22363.6312849162</ns0:v>
      </ns0:c>
      <ns0:c r="J534" s="16">
        <ns0:f>A534*('前提と出典'!$C$36*'契約別単価'!J5+'前提と出典'!$C$37*'契約別単価'!J6+'前提と出典'!$C$38*'契約別単価'!J7)</ns0:f>
        <ns0:v>52093.45816646036</ns0:v>
      </ns0:c>
      <ns0:c r="K534" s="16">
        <ns0:f>A534*('前提と出典'!$C$36*'契約別単価'!K5+'前提と出典'!$C$37*'契約別単価'!K6+'前提と出典'!$C$38*'契約別単価'!K7)</ns0:f>
        <ns0:v>223290.87523277465</ns0:v>
      </ns0:c>
      <ns0:c r="L534" s="16">
        <ns0:f>A534*('前提と出典'!$C$36*'契約別単価'!L5+'前提と出典'!$C$37*'契約別単価'!L6+'前提と出典'!$C$38*'契約別単価'!L7)</ns0:f>
        <ns0:v>181804.20931473008</ns0:v>
      </ns0:c>
      <ns0:c r="M534" s="16">
        <ns0:f>IF(('前提と出典'!$C$36+'前提と出典'!$C$38)=0,0,IF(B534&lt;=10,'前提と出典'!B73+'前提と出典'!C73,IF(B534&lt;=100,'前提と出典'!B74+'前提と出典'!C74,IF(B534&lt;=500,'前提と出典'!B75+'前提と出典'!C75,'前提と出典'!B76+'前提と出典'!C76))))</ns0:f>
        <ns0:v>40000</ns0:v>
      </ns0:c>
      <ns0:c r="N534" s="16">
        <ns0:f>IF(('前提と出典'!$C$37+'前提と出典'!$C$38)=0,0,IF(C534&lt;=10,'前提と出典'!D73+'前提と出典'!E73,IF(C534&lt;=100,'前提と出典'!D74+'前提と出典'!E74,IF(C534&lt;=500,'前提と出典'!D75+'前提と出典'!E75,'前提と出典'!D76+'前提と出典'!E76))))</ns0:f>
        <ns0:v>56510.9346263078</ns0:v>
      </ns0:c>
      <ns0:c r="O534" s="16">
        <ns0:f>IF('前提と出典'!$C$36+'前提と出典'!$C$38=0,0,'前提と出典'!$B$4*IF('前提と出典'!$B$20=0,MAX('前提と出典'!$B$6,D534*'前提と出典'!$B$5),'前提と出典'!$B$6+D534*'前提と出典'!$B$5))</ns0:f>
        <ns0:v>526281.1173184358</ns0:v>
      </ns0:c>
      <ns0:c r="P534" s="16">
        <ns0:f>(E534+G534)*(1-'前提と出典'!$B$7)-I534-K534-M534-O534</ns0:f>
        <ns0:v>1489440.0172569586</ns0:v>
      </ns0:c>
      <ns0:c r="Q534" s="16">
        <ns0:f>(F534+H534)*(1-'前提と出典'!$B$7)-J534-L534-N534</ns0:f>
        <ns0:v>435747.4398403189</ns0:v>
      </ns0:c>
      <ns0:c r="R534" s="16">
        <ns0:f>P534-E534*'前提と出典'!$E$4</ns0:f>
        <ns0:v>1089734.2224616532</ns0:v>
      </ns0:c>
      <ns0:c r="S534" s="16">
        <ns0:f>Q534-F534*'前提と出典'!$E$4</ns0:f>
        <ns0:v>319603.1529422411</ns0:v>
      </ns0:c>
      <ns0:c r="T534" s="7">
        <ns0:f>R534+S534</ns0:f>
        <ns0:v>1409337.3754038943</ns0:v>
      </ns0:c>
      <ns0:c r="U534" s="16">
        <ns0:f>P534-E534*'前提と出典'!$E$5</ns0:f>
        <ns0:v>956498.957529885</ns0:v>
      </ns0:c>
      <ns0:c r="V534" s="16">
        <ns0:f>Q534-F534*'前提と出典'!$E$5</ns0:f>
        <ns0:v>280888.3906428818</ns0:v>
      </ns0:c>
      <ns0:c r="W534" s="7">
        <ns0:f>U534+V534</ns0:f>
        <ns0:v>1237387.3481727669</ns0:v>
      </ns0:c>
      <ns0:c r="X534" s="16">
        <ns0:f>P534-E534*'前提と出典'!$E$6</ns0:f>
        <ns0:v>823263.6925981164</ns0:v>
      </ns0:c>
      <ns0:c r="Y534" s="16">
        <ns0:f>Q534-F534*'前提と出典'!$E$6</ns0:f>
        <ns0:v>242173.6283435225</ns0:v>
      </ns0:c>
      <ns0:c r="Z534" s="7">
        <ns0:f>X534+Y534</ns0:f>
        <ns0:v>1065437.320941639</ns0:v>
      </ns0:c>
      <ns0:c r="AA534" s="7">
        <ns0:f>IF(T534&gt;=0,A534,1001)</ns0:f>
        <ns0:v>530</ns0:v>
      </ns0:c>
      <ns0:c r="AB534" s="7">
        <ns0:f>IF(T534&lt;0,A534,0)</ns0:f>
        <ns0:v>0</ns0:v>
      </ns0:c>
      <ns0:c r="AC534" s="16">
        <ns0:f>IF(AND(OR('前提と出典'!$C$36+'前提と出典'!$C$38=0,R534&gt;=0),OR('前提と出典'!$C$37+'前提と出典'!$C$38=0,S534&gt;=0)),0,A534)</ns0:f>
        <ns0:v>0</ns0:v>
      </ns0:c>
      <ns0:c r="AD534" s="7">
        <ns0:f>IF(W534&gt;=0,A534,1001)</ns0:f>
        <ns0:v>530</ns0:v>
      </ns0:c>
      <ns0:c r="AE534" s="7">
        <ns0:f>IF(W534&lt;0,A534,0)</ns0:f>
        <ns0:v>0</ns0:v>
      </ns0:c>
      <ns0:c r="AF534" s="16">
        <ns0:f>IF(AND(OR('前提と出典'!$C$36+'前提と出典'!$C$38=0,U534&gt;=0),OR('前提と出典'!$C$37+'前提と出典'!$C$38=0,V534&gt;=0)),0,A534)</ns0:f>
        <ns0:v>0</ns0:v>
      </ns0:c>
      <ns0:c r="AG534" s="7">
        <ns0:f>IF(Z534&gt;=0,A534,1001)</ns0:f>
        <ns0:v>530</ns0:v>
      </ns0:c>
      <ns0:c r="AH534" s="4">
        <ns0:f>IF(Z534&lt;0,A534,0)</ns0:f>
        <ns0:v>0</ns0:v>
      </ns0:c>
      <ns0:c r="AI534" s="12">
        <ns0:f>IF(AND(OR('前提と出典'!$C$36+'前提と出典'!$C$38=0,X534&gt;=0),OR('前提と出典'!$C$37+'前提と出典'!$C$38=0,Y534&gt;=0)),0,A534)</ns0:f>
        <ns0:v>0</ns0:v>
      </ns0:c>
    </ns0:row>
    <ns0:row r="535" ht="24" customHeight="1">
      <ns0:c r="A535" s="4" t="n">
        <ns0:v>531</ns0:v>
      </ns0:c>
      <ns0:c r="B535" s="12">
        <ns0:f>A535*('前提と出典'!$C$36+'前提と出典'!$C$38)</ns0:f>
        <ns0:v>371.7</ns0:v>
      </ns0:c>
      <ns0:c r="C535" s="12">
        <ns0:f>A535*('前提と出典'!$C$37+'前提と出典'!$C$38)</ns0:f>
        <ns0:v>318.59999999999997</ns0:v>
      </ns0:c>
      <ns0:c r="D535" s="16">
        <ns0:f>A535*('前提と出典'!$C$36*'契約別単価'!C5+'前提と出典'!$C$37*'契約別単価'!C6+'前提と出典'!$C$38*'契約別単価'!C7)</ns0:f>
        <ns0:v>3820.826815642458</ns0:v>
      </ns0:c>
      <ns0:c r="E535" s="16">
        <ns0:f>A535*('前提と出典'!$C$36*'契約別単価'!E5+'前提と出典'!$C$37*'契約別単価'!E6+'前提と出典'!$C$38*'契約別単価'!E7)</ns0:f>
        <ns0:v>1334866.5222409249</ns0:v>
      </ns0:c>
      <ns0:c r="F535" s="16">
        <ns0:f>A535*('前提と出典'!$C$36*'契約別単価'!F5+'前提と出典'!$C$37*'契約別単価'!F6+'前提と出典'!$C$38*'契約別単価'!F7)</ns0:f>
        <ns0:v>387878.09020678827</ns0:v>
      </ns0:c>
      <ns0:c r="G535" s="16">
        <ns0:f>A535*('前提と出典'!$C$36*'契約別単価'!G5+'前提と出典'!$C$37*'契約別単価'!G6+'前提と出典'!$C$38*'契約別単価'!G7)</ns0:f>
        <ns0:v>1056956.9832402235</ns0:v>
      </ns0:c>
      <ns0:c r="H535" s="16">
        <ns0:f>A535*('前提と出典'!$C$36*'契約別単価'!H5+'前提と出典'!$C$37*'契約別単価'!H6+'前提と出典'!$C$38*'契約別単価'!H7)</ns0:f>
        <ns0:v>366817.08374273597</ns0:v>
      </ns0:c>
      <ns0:c r="I535" s="16">
        <ns0:f>A535*('前提と出典'!$C$36*'契約別単価'!I5+'前提と出典'!$C$37*'契約別単価'!I6+'前提と出典'!$C$38*'契約別単価'!I7)</ns0:f>
        <ns0:v>22405.826815642453</ns0:v>
      </ns0:c>
      <ns0:c r="J535" s="16">
        <ns0:f>A535*('前提と出典'!$C$36*'契約別単価'!J5+'前提と出典'!$C$37*'契約別単価'!J6+'前提と出典'!$C$38*'契約別単価'!J7)</ns0:f>
        <ns0:v>52191.74771017066</ns0:v>
      </ns0:c>
      <ns0:c r="K535" s="16">
        <ns0:f>A535*('前提と出典'!$C$36*'契約別単価'!K5+'前提と出典'!$C$37*'契約別単価'!K6+'前提と出典'!$C$38*'契約別単価'!K7)</ns0:f>
        <ns0:v>223712.17877094971</ns0:v>
      </ns0:c>
      <ns0:c r="L535" s="16">
        <ns0:f>A535*('前提と出典'!$C$36*'契約別単価'!L5+'前提と出典'!$C$37*'契約別単価'!L6+'前提と出典'!$C$38*'契約別単価'!L7)</ns0:f>
        <ns0:v>182147.23612475785</ns0:v>
      </ns0:c>
      <ns0:c r="M535" s="16">
        <ns0:f>IF(('前提と出典'!$C$36+'前提と出典'!$C$38)=0,0,IF(B535&lt;=10,'前提と出典'!B73+'前提と出典'!C73,IF(B535&lt;=100,'前提と出典'!B74+'前提と出典'!C74,IF(B535&lt;=500,'前提と出典'!B75+'前提と出典'!C75,'前提と出典'!B76+'前提と出典'!C76))))</ns0:f>
        <ns0:v>40000</ns0:v>
      </ns0:c>
      <ns0:c r="N535" s="16">
        <ns0:f>IF(('前提と出典'!$C$37+'前提と出典'!$C$38)=0,0,IF(C535&lt;=10,'前提と出典'!D73+'前提と出典'!E73,IF(C535&lt;=100,'前提と出典'!D74+'前提と出典'!E74,IF(C535&lt;=500,'前提と出典'!D75+'前提と出典'!E75,'前提と出典'!D76+'前提と出典'!E76))))</ns0:f>
        <ns0:v>56510.9346263078</ns0:v>
      </ns0:c>
      <ns0:c r="O535" s="16">
        <ns0:f>IF('前提と出典'!$C$36+'前提と出典'!$C$38=0,0,'前提と出典'!$B$4*IF('前提と出典'!$B$20=0,MAX('前提と出典'!$B$6,D535*'前提と出典'!$B$5),'前提と出典'!$B$6+D535*'前提と出典'!$B$5))</ns0:f>
        <ns0:v>527274.1005586592</ns0:v>
      </ns0:c>
      <ns0:c r="P535" s="16">
        <ns0:f>(E535+G535)*(1-'前提と出典'!$B$7)-I535-K535-M535-O535</ns0:f>
        <ns0:v>1492325.7531385755</ns0:v>
      </ns0:c>
      <ns0:c r="Q535" s="16">
        <ns0:f>(F535+H535)*(1-'前提と出典'!$B$7)-J535-L535-N535</ns0:f>
        <ns0:v>436676.22922610503</ns0:v>
      </ns0:c>
      <ns0:c r="R535" s="16">
        <ns0:f>P535-E535*'前提と出典'!$E$4</ns0:f>
        <ns0:v>1091865.796466298</ns0:v>
      </ns0:c>
      <ns0:c r="S535" s="16">
        <ns0:f>Q535-F535*'前提と出典'!$E$4</ns0:f>
        <ns0:v>320312.8021640686</ns0:v>
      </ns0:c>
      <ns0:c r="T535" s="7">
        <ns0:f>R535+S535</ns0:f>
        <ns0:v>1412178.5986303666</ns0:v>
      </ns0:c>
      <ns0:c r="U535" s="16">
        <ns0:f>P535-E535*'前提と出典'!$E$5</ns0:f>
        <ns0:v>958379.1442422055</ns0:v>
      </ns0:c>
      <ns0:c r="V535" s="16">
        <ns0:f>Q535-F535*'前提と出典'!$E$5</ns0:f>
        <ns0:v>281524.99314338976</ns0:v>
      </ns0:c>
      <ns0:c r="W535" s="7">
        <ns0:f>U535+V535</ns0:f>
        <ns0:v>1239904.1373855954</ns0:v>
      </ns0:c>
      <ns0:c r="X535" s="16">
        <ns0:f>P535-E535*'前提と出典'!$E$6</ns0:f>
        <ns0:v>824892.4920181133</ns0:v>
      </ns0:c>
      <ns0:c r="Y535" s="16">
        <ns0:f>Q535-F535*'前提と出典'!$E$6</ns0:f>
        <ns0:v>242737.1841227109</ns0:v>
      </ns0:c>
      <ns0:c r="Z535" s="7">
        <ns0:f>X535+Y535</ns0:f>
        <ns0:v>1067629.676140824</ns0:v>
      </ns0:c>
      <ns0:c r="AA535" s="7">
        <ns0:f>IF(T535&gt;=0,A535,1001)</ns0:f>
        <ns0:v>531</ns0:v>
      </ns0:c>
      <ns0:c r="AB535" s="7">
        <ns0:f>IF(T535&lt;0,A535,0)</ns0:f>
        <ns0:v>0</ns0:v>
      </ns0:c>
      <ns0:c r="AC535" s="16">
        <ns0:f>IF(AND(OR('前提と出典'!$C$36+'前提と出典'!$C$38=0,R535&gt;=0),OR('前提と出典'!$C$37+'前提と出典'!$C$38=0,S535&gt;=0)),0,A535)</ns0:f>
        <ns0:v>0</ns0:v>
      </ns0:c>
      <ns0:c r="AD535" s="7">
        <ns0:f>IF(W535&gt;=0,A535,1001)</ns0:f>
        <ns0:v>531</ns0:v>
      </ns0:c>
      <ns0:c r="AE535" s="7">
        <ns0:f>IF(W535&lt;0,A535,0)</ns0:f>
        <ns0:v>0</ns0:v>
      </ns0:c>
      <ns0:c r="AF535" s="16">
        <ns0:f>IF(AND(OR('前提と出典'!$C$36+'前提と出典'!$C$38=0,U535&gt;=0),OR('前提と出典'!$C$37+'前提と出典'!$C$38=0,V535&gt;=0)),0,A535)</ns0:f>
        <ns0:v>0</ns0:v>
      </ns0:c>
      <ns0:c r="AG535" s="7">
        <ns0:f>IF(Z535&gt;=0,A535,1001)</ns0:f>
        <ns0:v>531</ns0:v>
      </ns0:c>
      <ns0:c r="AH535" s="4">
        <ns0:f>IF(Z535&lt;0,A535,0)</ns0:f>
        <ns0:v>0</ns0:v>
      </ns0:c>
      <ns0:c r="AI535" s="12">
        <ns0:f>IF(AND(OR('前提と出典'!$C$36+'前提と出典'!$C$38=0,X535&gt;=0),OR('前提と出典'!$C$37+'前提と出典'!$C$38=0,Y535&gt;=0)),0,A535)</ns0:f>
        <ns0:v>0</ns0:v>
      </ns0:c>
    </ns0:row>
    <ns0:row r="536" ht="24" customHeight="1">
      <ns0:c r="A536" s="4" t="n">
        <ns0:v>532</ns0:v>
      </ns0:c>
      <ns0:c r="B536" s="12">
        <ns0:f>A536*('前提と出典'!$C$36+'前提と出典'!$C$38)</ns0:f>
        <ns0:v>372.4</ns0:v>
      </ns0:c>
      <ns0:c r="C536" s="12">
        <ns0:f>A536*('前提と出典'!$C$37+'前提と出典'!$C$38)</ns0:f>
        <ns0:v>319.2</ns0:v>
      </ns0:c>
      <ns0:c r="D536" s="16">
        <ns0:f>A536*('前提と出典'!$C$36*'契約別単価'!C5+'前提と出典'!$C$37*'契約別単価'!C6+'前提と出典'!$C$38*'契約別単価'!C7)</ns0:f>
        <ns0:v>3828.0223463687153</ns0:v>
      </ns0:c>
      <ns0:c r="E536" s="16">
        <ns0:f>A536*('前提と出典'!$C$36*'契約別単価'!E5+'前提と出典'!$C$37*'契約別単価'!E6+'前提と出典'!$C$38*'契約別単価'!E7)</ns0:f>
        <ns0:v>1337380.3951641659</ns0:v>
      </ns0:c>
      <ns0:c r="F536" s="16">
        <ns0:f>A536*('前提と出典'!$C$36*'契約別単価'!F5+'前提と出典'!$C$37*'契約別単価'!F6+'前提と出典'!$C$38*'契約別単価'!F7)</ns0:f>
        <ns0:v>388608.5574199837</ns0:v>
      </ns0:c>
      <ns0:c r="G536" s="16">
        <ns0:f>A536*('前提と出典'!$C$36*'契約別単価'!G5+'前提と出典'!$C$37*'契約別単価'!G6+'前提と出典'!$C$38*'契約別単価'!G7)</ns0:f>
        <ns0:v>1058947.4860335195</ns0:v>
      </ns0:c>
      <ns0:c r="H536" s="16">
        <ns0:f>A536*('前提と出典'!$C$36*'契約別単価'!H5+'前提と出典'!$C$37*'契約別単価'!H6+'前提と出典'!$C$38*'契約別単価'!H7)</ns0:f>
        <ns0:v>367507.88804356975</ns0:v>
      </ns0:c>
      <ns0:c r="I536" s="16">
        <ns0:f>A536*('前提と出典'!$C$36*'契約別単価'!I5+'前提と出典'!$C$37*'契約別単価'!I6+'前提と出典'!$C$38*'契約別単価'!I7)</ns0:f>
        <ns0:v>22448.02234636871</ns0:v>
      </ns0:c>
      <ns0:c r="J536" s="16">
        <ns0:f>A536*('前提と出典'!$C$36*'契約別単価'!J5+'前提と出典'!$C$37*'契約別単価'!J6+'前提と出典'!$C$38*'契約別単価'!J7)</ns0:f>
        <ns0:v>52290.03725388097</ns0:v>
      </ns0:c>
      <ns0:c r="K536" s="16">
        <ns0:f>A536*('前提と出典'!$C$36*'契約別単価'!K5+'前提と出典'!$C$37*'契約別単価'!K6+'前提と出典'!$C$38*'契約別単価'!K7)</ns0:f>
        <ns0:v>224133.48230912475</ns0:v>
      </ns0:c>
      <ns0:c r="L536" s="16">
        <ns0:f>A536*('前提と出典'!$C$36*'契約別単価'!L5+'前提と出典'!$C$37*'契約別単価'!L6+'前提と出典'!$C$38*'契約別単価'!L7)</ns0:f>
        <ns0:v>182490.26293478566</ns0:v>
      </ns0:c>
      <ns0:c r="M536" s="16">
        <ns0:f>IF(('前提と出典'!$C$36+'前提と出典'!$C$38)=0,0,IF(B536&lt;=10,'前提と出典'!B73+'前提と出典'!C73,IF(B536&lt;=100,'前提と出典'!B74+'前提と出典'!C74,IF(B536&lt;=500,'前提と出典'!B75+'前提と出典'!C75,'前提と出典'!B76+'前提と出典'!C76))))</ns0:f>
        <ns0:v>40000</ns0:v>
      </ns0:c>
      <ns0:c r="N536" s="16">
        <ns0:f>IF(('前提と出典'!$C$37+'前提と出典'!$C$38)=0,0,IF(C536&lt;=10,'前提と出典'!D73+'前提と出典'!E73,IF(C536&lt;=100,'前提と出典'!D74+'前提と出典'!E74,IF(C536&lt;=500,'前提と出典'!D75+'前提と出典'!E75,'前提と出典'!D76+'前提と出典'!E76))))</ns0:f>
        <ns0:v>56510.9346263078</ns0:v>
      </ns0:c>
      <ns0:c r="O536" s="16">
        <ns0:f>IF('前提と出典'!$C$36+'前提と出典'!$C$38=0,0,'前提と出典'!$B$4*IF('前提と出典'!$B$20=0,MAX('前提と出典'!$B$6,D536*'前提と出典'!$B$5),'前提と出典'!$B$6+D536*'前提と出典'!$B$5))</ns0:f>
        <ns0:v>528267.0837988827</ns0:v>
      </ns0:c>
      <ns0:c r="P536" s="16">
        <ns0:f>(E536+G536)*(1-'前提と出典'!$B$7)-I536-K536-M536-O536</ns0:f>
        <ns0:v>1495211.4890201925</ns0:v>
      </ns0:c>
      <ns0:c r="Q536" s="16">
        <ns0:f>(F536+H536)*(1-'前提と出典'!$B$7)-J536-L536-N536</ns0:f>
        <ns0:v>437605.0186118911</ns0:v>
      </ns0:c>
      <ns0:c r="R536" s="16">
        <ns0:f>P536-E536*'前提と出典'!$E$4</ns0:f>
        <ns0:v>1093997.370470943</ns0:v>
      </ns0:c>
      <ns0:c r="S536" s="16">
        <ns0:f>Q536-F536*'前提と出典'!$E$4</ns0:f>
        <ns0:v>321022.45138589595</ns0:v>
      </ns0:c>
      <ns0:c r="T536" s="7">
        <ns0:f>R536+S536</ns0:f>
        <ns0:v>1415019.821856839</ns0:v>
      </ns0:c>
      <ns0:c r="U536" s="16">
        <ns0:f>P536-E536*'前提と出典'!$E$5</ns0:f>
        <ns0:v>960259.3309545262</ns0:v>
      </ns0:c>
      <ns0:c r="V536" s="16">
        <ns0:f>Q536-F536*'前提と出典'!$E$5</ns0:f>
        <ns0:v>282161.59564389754</ns0:v>
      </ns0:c>
      <ns0:c r="W536" s="7">
        <ns0:f>U536+V536</ns0:f>
        <ns0:v>1242420.9265984236</ns0:v>
      </ns0:c>
      <ns0:c r="X536" s="16">
        <ns0:f>P536-E536*'前提と出典'!$E$6</ns0:f>
        <ns0:v>826521.2914381098</ns0:v>
      </ns0:c>
      <ns0:c r="Y536" s="16">
        <ns0:f>Q536-F536*'前提と出典'!$E$6</ns0:f>
        <ns0:v>243300.73990189924</ns0:v>
      </ns0:c>
      <ns0:c r="Z536" s="7">
        <ns0:f>X536+Y536</ns0:f>
        <ns0:v>1069822.031340009</ns0:v>
      </ns0:c>
      <ns0:c r="AA536" s="7">
        <ns0:f>IF(T536&gt;=0,A536,1001)</ns0:f>
        <ns0:v>532</ns0:v>
      </ns0:c>
      <ns0:c r="AB536" s="7">
        <ns0:f>IF(T536&lt;0,A536,0)</ns0:f>
        <ns0:v>0</ns0:v>
      </ns0:c>
      <ns0:c r="AC536" s="16">
        <ns0:f>IF(AND(OR('前提と出典'!$C$36+'前提と出典'!$C$38=0,R536&gt;=0),OR('前提と出典'!$C$37+'前提と出典'!$C$38=0,S536&gt;=0)),0,A536)</ns0:f>
        <ns0:v>0</ns0:v>
      </ns0:c>
      <ns0:c r="AD536" s="7">
        <ns0:f>IF(W536&gt;=0,A536,1001)</ns0:f>
        <ns0:v>532</ns0:v>
      </ns0:c>
      <ns0:c r="AE536" s="7">
        <ns0:f>IF(W536&lt;0,A536,0)</ns0:f>
        <ns0:v>0</ns0:v>
      </ns0:c>
      <ns0:c r="AF536" s="16">
        <ns0:f>IF(AND(OR('前提と出典'!$C$36+'前提と出典'!$C$38=0,U536&gt;=0),OR('前提と出典'!$C$37+'前提と出典'!$C$38=0,V536&gt;=0)),0,A536)</ns0:f>
        <ns0:v>0</ns0:v>
      </ns0:c>
      <ns0:c r="AG536" s="7">
        <ns0:f>IF(Z536&gt;=0,A536,1001)</ns0:f>
        <ns0:v>532</ns0:v>
      </ns0:c>
      <ns0:c r="AH536" s="4">
        <ns0:f>IF(Z536&lt;0,A536,0)</ns0:f>
        <ns0:v>0</ns0:v>
      </ns0:c>
      <ns0:c r="AI536" s="12">
        <ns0:f>IF(AND(OR('前提と出典'!$C$36+'前提と出典'!$C$38=0,X536&gt;=0),OR('前提と出典'!$C$37+'前提と出典'!$C$38=0,Y536&gt;=0)),0,A536)</ns0:f>
        <ns0:v>0</ns0:v>
      </ns0:c>
    </ns0:row>
    <ns0:row r="537" ht="24" customHeight="1">
      <ns0:c r="A537" s="4" t="n">
        <ns0:v>533</ns0:v>
      </ns0:c>
      <ns0:c r="B537" s="12">
        <ns0:f>A537*('前提と出典'!$C$36+'前提と出典'!$C$38)</ns0:f>
        <ns0:v>373.09999999999997</ns0:v>
      </ns0:c>
      <ns0:c r="C537" s="12">
        <ns0:f>A537*('前提と出典'!$C$37+'前提と出典'!$C$38)</ns0:f>
        <ns0:v>319.8</ns0:v>
      </ns0:c>
      <ns0:c r="D537" s="16">
        <ns0:f>A537*('前提と出典'!$C$36*'契約別単価'!C5+'前提と出典'!$C$37*'契約別単価'!C6+'前提と出典'!$C$38*'契約別単価'!C7)</ns0:f>
        <ns0:v>3835.217877094972</ns0:v>
      </ns0:c>
      <ns0:c r="E537" s="16">
        <ns0:f>A537*('前提と出典'!$C$36*'契約別単価'!E5+'前提と出典'!$C$37*'契約別単価'!E6+'前提と出典'!$C$38*'契約別単価'!E7)</ns0:f>
        <ns0:v>1339894.2680874066</ns0:v>
      </ns0:c>
      <ns0:c r="F537" s="16">
        <ns0:f>A537*('前提と出典'!$C$36*'契約別単価'!F5+'前提と出典'!$C$37*'契約別単価'!F6+'前提と出典'!$C$38*'契約別単価'!F7)</ns0:f>
        <ns0:v>389339.0246331792</ns0:v>
      </ns0:c>
      <ns0:c r="G537" s="16">
        <ns0:f>A537*('前提と出典'!$C$36*'契約別単価'!G5+'前提と出典'!$C$37*'契約別単価'!G6+'前提と出典'!$C$38*'契約別単価'!G7)</ns0:f>
        <ns0:v>1060937.9888268155</ns0:v>
      </ns0:c>
      <ns0:c r="H537" s="16">
        <ns0:f>A537*('前提と出典'!$C$36*'契約別単価'!H5+'前提と出典'!$C$37*'契約別単価'!H6+'前提と出典'!$C$38*'契約別単価'!H7)</ns0:f>
        <ns0:v>368198.69234440353</ns0:v>
      </ns0:c>
      <ns0:c r="I537" s="16">
        <ns0:f>A537*('前提と出典'!$C$36*'契約別単価'!I5+'前提と出典'!$C$37*'契約別単価'!I6+'前提と出典'!$C$38*'契約別単価'!I7)</ns0:f>
        <ns0:v>22490.21787709497</ns0:v>
      </ns0:c>
      <ns0:c r="J537" s="16">
        <ns0:f>A537*('前提と出典'!$C$36*'契約別単価'!J5+'前提と出典'!$C$37*'契約別単価'!J6+'前提と出典'!$C$38*'契約別単価'!J7)</ns0:f>
        <ns0:v>52388.32679759127</ns0:v>
      </ns0:c>
      <ns0:c r="K537" s="16">
        <ns0:f>A537*('前提と出典'!$C$36*'契約別単価'!K5+'前提と出典'!$C$37*'契約別単価'!K6+'前提と出典'!$C$38*'契約別単価'!K7)</ns0:f>
        <ns0:v>224554.7858472998</ns0:v>
      </ns0:c>
      <ns0:c r="L537" s="16">
        <ns0:f>A537*('前提と出典'!$C$36*'契約別単価'!L5+'前提と出典'!$C$37*'契約別単価'!L6+'前提と出典'!$C$38*'契約別単価'!L7)</ns0:f>
        <ns0:v>182833.28974481343</ns0:v>
      </ns0:c>
      <ns0:c r="M537" s="16">
        <ns0:f>IF(('前提と出典'!$C$36+'前提と出典'!$C$38)=0,0,IF(B537&lt;=10,'前提と出典'!B73+'前提と出典'!C73,IF(B537&lt;=100,'前提と出典'!B74+'前提と出典'!C74,IF(B537&lt;=500,'前提と出典'!B75+'前提と出典'!C75,'前提と出典'!B76+'前提と出典'!C76))))</ns0:f>
        <ns0:v>40000</ns0:v>
      </ns0:c>
      <ns0:c r="N537" s="16">
        <ns0:f>IF(('前提と出典'!$C$37+'前提と出典'!$C$38)=0,0,IF(C537&lt;=10,'前提と出典'!D73+'前提と出典'!E73,IF(C537&lt;=100,'前提と出典'!D74+'前提と出典'!E74,IF(C537&lt;=500,'前提と出典'!D75+'前提と出典'!E75,'前提と出典'!D76+'前提と出典'!E76))))</ns0:f>
        <ns0:v>56510.9346263078</ns0:v>
      </ns0:c>
      <ns0:c r="O537" s="16">
        <ns0:f>IF('前提と出典'!$C$36+'前提と出典'!$C$38=0,0,'前提と出典'!$B$4*IF('前提と出典'!$B$20=0,MAX('前提と出典'!$B$6,D537*'前提と出典'!$B$5),'前提と出典'!$B$6+D537*'前提と出典'!$B$5))</ns0:f>
        <ns0:v>529260.0670391062</ns0:v>
      </ns0:c>
      <ns0:c r="P537" s="16">
        <ns0:f>(E537+G537)*(1-'前提と出典'!$B$7)-I537-K537-M537-O537</ns0:f>
        <ns0:v>1498097.2249018094</ns0:v>
      </ns0:c>
      <ns0:c r="Q537" s="16">
        <ns0:f>(F537+H537)*(1-'前提と出典'!$B$7)-J537-L537-N537</ns0:f>
        <ns0:v>438533.8079976773</ns0:v>
      </ns0:c>
      <ns0:c r="R537" s="16">
        <ns0:f>P537-E537*'前提と出典'!$E$4</ns0:f>
        <ns0:v>1096128.9444755875</ns0:v>
      </ns0:c>
      <ns0:c r="S537" s="16">
        <ns0:f>Q537-F537*'前提と出典'!$E$4</ns0:f>
        <ns0:v>321732.10060772346</ns0:v>
      </ns0:c>
      <ns0:c r="T537" s="7">
        <ns0:f>R537+S537</ns0:f>
        <ns0:v>1417861.045083311</ns0:v>
      </ns0:c>
      <ns0:c r="U537" s="16">
        <ns0:f>P537-E537*'前提と出典'!$E$5</ns0:f>
        <ns0:v>962139.5176668466</ns0:v>
      </ns0:c>
      <ns0:c r="V537" s="16">
        <ns0:f>Q537-F537*'前提と出典'!$E$5</ns0:f>
        <ns0:v>282798.1981444056</ns0:v>
      </ns0:c>
      <ns0:c r="W537" s="7">
        <ns0:f>U537+V537</ns0:f>
        <ns0:v>1244937.7158112521</ns0:v>
      </ns0:c>
      <ns0:c r="X537" s="16">
        <ns0:f>P537-E537*'前提と出典'!$E$6</ns0:f>
        <ns0:v>828150.0908581062</ns0:v>
      </ns0:c>
      <ns0:c r="Y537" s="16">
        <ns0:f>Q537-F537*'前提と出典'!$E$6</ns0:f>
        <ns0:v>243864.29568108765</ns0:v>
      </ns0:c>
      <ns0:c r="Z537" s="7">
        <ns0:f>X537+Y537</ns0:f>
        <ns0:v>1072014.3865391938</ns0:v>
      </ns0:c>
      <ns0:c r="AA537" s="7">
        <ns0:f>IF(T537&gt;=0,A537,1001)</ns0:f>
        <ns0:v>533</ns0:v>
      </ns0:c>
      <ns0:c r="AB537" s="7">
        <ns0:f>IF(T537&lt;0,A537,0)</ns0:f>
        <ns0:v>0</ns0:v>
      </ns0:c>
      <ns0:c r="AC537" s="16">
        <ns0:f>IF(AND(OR('前提と出典'!$C$36+'前提と出典'!$C$38=0,R537&gt;=0),OR('前提と出典'!$C$37+'前提と出典'!$C$38=0,S537&gt;=0)),0,A537)</ns0:f>
        <ns0:v>0</ns0:v>
      </ns0:c>
      <ns0:c r="AD537" s="7">
        <ns0:f>IF(W537&gt;=0,A537,1001)</ns0:f>
        <ns0:v>533</ns0:v>
      </ns0:c>
      <ns0:c r="AE537" s="7">
        <ns0:f>IF(W537&lt;0,A537,0)</ns0:f>
        <ns0:v>0</ns0:v>
      </ns0:c>
      <ns0:c r="AF537" s="16">
        <ns0:f>IF(AND(OR('前提と出典'!$C$36+'前提と出典'!$C$38=0,U537&gt;=0),OR('前提と出典'!$C$37+'前提と出典'!$C$38=0,V537&gt;=0)),0,A537)</ns0:f>
        <ns0:v>0</ns0:v>
      </ns0:c>
      <ns0:c r="AG537" s="7">
        <ns0:f>IF(Z537&gt;=0,A537,1001)</ns0:f>
        <ns0:v>533</ns0:v>
      </ns0:c>
      <ns0:c r="AH537" s="4">
        <ns0:f>IF(Z537&lt;0,A537,0)</ns0:f>
        <ns0:v>0</ns0:v>
      </ns0:c>
      <ns0:c r="AI537" s="12">
        <ns0:f>IF(AND(OR('前提と出典'!$C$36+'前提と出典'!$C$38=0,X537&gt;=0),OR('前提と出典'!$C$37+'前提と出典'!$C$38=0,Y537&gt;=0)),0,A537)</ns0:f>
        <ns0:v>0</ns0:v>
      </ns0:c>
    </ns0:row>
    <ns0:row r="538" ht="24" customHeight="1">
      <ns0:c r="A538" s="4" t="n">
        <ns0:v>534</ns0:v>
      </ns0:c>
      <ns0:c r="B538" s="12">
        <ns0:f>A538*('前提と出典'!$C$36+'前提と出典'!$C$38)</ns0:f>
        <ns0:v>373.79999999999995</ns0:v>
      </ns0:c>
      <ns0:c r="C538" s="12">
        <ns0:f>A538*('前提と出典'!$C$37+'前提と出典'!$C$38)</ns0:f>
        <ns0:v>320.4</ns0:v>
      </ns0:c>
      <ns0:c r="D538" s="16">
        <ns0:f>A538*('前提と出典'!$C$36*'契約別単価'!C5+'前提と出典'!$C$37*'契約別単価'!C6+'前提と出典'!$C$38*'契約別単価'!C7)</ns0:f>
        <ns0:v>3842.413407821229</ns0:v>
      </ns0:c>
      <ns0:c r="E538" s="16">
        <ns0:f>A538*('前提と出典'!$C$36*'契約別単価'!E5+'前提と出典'!$C$37*'契約別単価'!E6+'前提と出典'!$C$38*'契約別単価'!E7)</ns0:f>
        <ns0:v>1342408.1410106476</ns0:v>
      </ns0:c>
      <ns0:c r="F538" s="16">
        <ns0:f>A538*('前提と出典'!$C$36*'契約別単価'!F5+'前提と出典'!$C$37*'契約別単価'!F6+'前提と出典'!$C$38*'契約別単価'!F7)</ns0:f>
        <ns0:v>390069.49184637464</ns0:v>
      </ns0:c>
      <ns0:c r="G538" s="16">
        <ns0:f>A538*('前提と出典'!$C$36*'契約別単価'!G5+'前提と出典'!$C$37*'契約別単価'!G6+'前提と出典'!$C$38*'契約別単価'!G7)</ns0:f>
        <ns0:v>1062928.4916201117</ns0:v>
      </ns0:c>
      <ns0:c r="H538" s="16">
        <ns0:f>A538*('前提と出典'!$C$36*'契約別単価'!H5+'前提と出典'!$C$37*'契約別単価'!H6+'前提と出典'!$C$38*'契約別単価'!H7)</ns0:f>
        <ns0:v>368889.49664523726</ns0:v>
      </ns0:c>
      <ns0:c r="I538" s="16">
        <ns0:f>A538*('前提と出典'!$C$36*'契約別単価'!I5+'前提と出典'!$C$37*'契約別単価'!I6+'前提と出典'!$C$38*'契約別単価'!I7)</ns0:f>
        <ns0:v>22532.413407821226</ns0:v>
      </ns0:c>
      <ns0:c r="J538" s="16">
        <ns0:f>A538*('前提と出典'!$C$36*'契約別単価'!J5+'前提と出典'!$C$37*'契約別単価'!J6+'前提と出典'!$C$38*'契約別単価'!J7)</ns0:f>
        <ns0:v>52486.61634130157</ns0:v>
      </ns0:c>
      <ns0:c r="K538" s="16">
        <ns0:f>A538*('前提と出典'!$C$36*'契約別単価'!K5+'前提と出典'!$C$37*'契約別単価'!K6+'前提と出典'!$C$38*'契約別単価'!K7)</ns0:f>
        <ns0:v>224976.08938547486</ns0:v>
      </ns0:c>
      <ns0:c r="L538" s="16">
        <ns0:f>A538*('前提と出典'!$C$36*'契約別単価'!L5+'前提と出典'!$C$37*'契約別単価'!L6+'前提と出典'!$C$38*'契約別単価'!L7)</ns0:f>
        <ns0:v>183176.31655484124</ns0:v>
      </ns0:c>
      <ns0:c r="M538" s="16">
        <ns0:f>IF(('前提と出典'!$C$36+'前提と出典'!$C$38)=0,0,IF(B538&lt;=10,'前提と出典'!B73+'前提と出典'!C73,IF(B538&lt;=100,'前提と出典'!B74+'前提と出典'!C74,IF(B538&lt;=500,'前提と出典'!B75+'前提と出典'!C75,'前提と出典'!B76+'前提と出典'!C76))))</ns0:f>
        <ns0:v>40000</ns0:v>
      </ns0:c>
      <ns0:c r="N538" s="16">
        <ns0:f>IF(('前提と出典'!$C$37+'前提と出典'!$C$38)=0,0,IF(C538&lt;=10,'前提と出典'!D73+'前提と出典'!E73,IF(C538&lt;=100,'前提と出典'!D74+'前提と出典'!E74,IF(C538&lt;=500,'前提と出典'!D75+'前提と出典'!E75,'前提と出典'!D76+'前提と出典'!E76))))</ns0:f>
        <ns0:v>56510.9346263078</ns0:v>
      </ns0:c>
      <ns0:c r="O538" s="16">
        <ns0:f>IF('前提と出典'!$C$36+'前提と出典'!$C$38=0,0,'前提と出典'!$B$4*IF('前提と出典'!$B$20=0,MAX('前提と出典'!$B$6,D538*'前提と出典'!$B$5),'前提と出典'!$B$6+D538*'前提と出典'!$B$5))</ns0:f>
        <ns0:v>530253.0502793296</ns0:v>
      </ns0:c>
      <ns0:c r="P538" s="16">
        <ns0:f>(E538+G538)*(1-'前提と出典'!$B$7)-I538-K538-M538-O538</ns0:f>
        <ns0:v>1500982.9607834262</ns0:v>
      </ns0:c>
      <ns0:c r="Q538" s="16">
        <ns0:f>(F538+H538)*(1-'前提と出典'!$B$7)-J538-L538-N538</ns0:f>
        <ns0:v>439462.5973834633</ns0:v>
      </ns0:c>
      <ns0:c r="R538" s="16">
        <ns0:f>P538-E538*'前提と出典'!$E$4</ns0:f>
        <ns0:v>1098260.518480232</ns0:v>
      </ns0:c>
      <ns0:c r="S538" s="16">
        <ns0:f>Q538-F538*'前提と出典'!$E$4</ns0:f>
        <ns0:v>322441.74982955086</ns0:v>
      </ns0:c>
      <ns0:c r="T538" s="7">
        <ns0:f>R538+S538</ns0:f>
        <ns0:v>1420702.2683097827</ns0:v>
      </ns0:c>
      <ns0:c r="U538" s="16">
        <ns0:f>P538-E538*'前提と出典'!$E$5</ns0:f>
        <ns0:v>964019.7043791671</ns0:v>
      </ns0:c>
      <ns0:c r="V538" s="16">
        <ns0:f>Q538-F538*'前提と出典'!$E$5</ns0:f>
        <ns0:v>283434.80064491346</ns0:v>
      </ns0:c>
      <ns0:c r="W538" s="7">
        <ns0:f>U538+V538</ns0:f>
        <ns0:v>1247454.5050240806</ns0:v>
      </ns0:c>
      <ns0:c r="X538" s="16">
        <ns0:f>P538-E538*'前提と出典'!$E$6</ns0:f>
        <ns0:v>829778.8902781025</ns0:v>
      </ns0:c>
      <ns0:c r="Y538" s="16">
        <ns0:f>Q538-F538*'前提と出典'!$E$6</ns0:f>
        <ns0:v>244427.85146027594</ns0:v>
      </ns0:c>
      <ns0:c r="Z538" s="7">
        <ns0:f>X538+Y538</ns0:f>
        <ns0:v>1074206.7417383785</ns0:v>
      </ns0:c>
      <ns0:c r="AA538" s="7">
        <ns0:f>IF(T538&gt;=0,A538,1001)</ns0:f>
        <ns0:v>534</ns0:v>
      </ns0:c>
      <ns0:c r="AB538" s="7">
        <ns0:f>IF(T538&lt;0,A538,0)</ns0:f>
        <ns0:v>0</ns0:v>
      </ns0:c>
      <ns0:c r="AC538" s="16">
        <ns0:f>IF(AND(OR('前提と出典'!$C$36+'前提と出典'!$C$38=0,R538&gt;=0),OR('前提と出典'!$C$37+'前提と出典'!$C$38=0,S538&gt;=0)),0,A538)</ns0:f>
        <ns0:v>0</ns0:v>
      </ns0:c>
      <ns0:c r="AD538" s="7">
        <ns0:f>IF(W538&gt;=0,A538,1001)</ns0:f>
        <ns0:v>534</ns0:v>
      </ns0:c>
      <ns0:c r="AE538" s="7">
        <ns0:f>IF(W538&lt;0,A538,0)</ns0:f>
        <ns0:v>0</ns0:v>
      </ns0:c>
      <ns0:c r="AF538" s="16">
        <ns0:f>IF(AND(OR('前提と出典'!$C$36+'前提と出典'!$C$38=0,U538&gt;=0),OR('前提と出典'!$C$37+'前提と出典'!$C$38=0,V538&gt;=0)),0,A538)</ns0:f>
        <ns0:v>0</ns0:v>
      </ns0:c>
      <ns0:c r="AG538" s="7">
        <ns0:f>IF(Z538&gt;=0,A538,1001)</ns0:f>
        <ns0:v>534</ns0:v>
      </ns0:c>
      <ns0:c r="AH538" s="4">
        <ns0:f>IF(Z538&lt;0,A538,0)</ns0:f>
        <ns0:v>0</ns0:v>
      </ns0:c>
      <ns0:c r="AI538" s="12">
        <ns0:f>IF(AND(OR('前提と出典'!$C$36+'前提と出典'!$C$38=0,X538&gt;=0),OR('前提と出典'!$C$37+'前提と出典'!$C$38=0,Y538&gt;=0)),0,A538)</ns0:f>
        <ns0:v>0</ns0:v>
      </ns0:c>
    </ns0:row>
    <ns0:row r="539" ht="24" customHeight="1">
      <ns0:c r="A539" s="4" t="n">
        <ns0:v>535</ns0:v>
      </ns0:c>
      <ns0:c r="B539" s="12">
        <ns0:f>A539*('前提と出典'!$C$36+'前提と出典'!$C$38)</ns0:f>
        <ns0:v>374.5</ns0:v>
      </ns0:c>
      <ns0:c r="C539" s="12">
        <ns0:f>A539*('前提と出典'!$C$37+'前提と出典'!$C$38)</ns0:f>
        <ns0:v>321</ns0:v>
      </ns0:c>
      <ns0:c r="D539" s="16">
        <ns0:f>A539*('前提と出典'!$C$36*'契約別単価'!C5+'前提と出典'!$C$37*'契約別単価'!C6+'前提と出典'!$C$38*'契約別単価'!C7)</ns0:f>
        <ns0:v>3849.608938547486</ns0:v>
      </ns0:c>
      <ns0:c r="E539" s="16">
        <ns0:f>A539*('前提と出典'!$C$36*'契約別単価'!E5+'前提と出典'!$C$37*'契約別単価'!E6+'前提と出典'!$C$38*'契約別単価'!E7)</ns0:f>
        <ns0:v>1344922.0139338886</ns0:v>
      </ns0:c>
      <ns0:c r="F539" s="16">
        <ns0:f>A539*('前提と出典'!$C$36*'契約別単価'!F5+'前提と出典'!$C$37*'契約別単価'!F6+'前提と出典'!$C$38*'契約別単価'!F7)</ns0:f>
        <ns0:v>390799.9590595701</ns0:v>
      </ns0:c>
      <ns0:c r="G539" s="16">
        <ns0:f>A539*('前提と出典'!$C$36*'契約別単価'!G5+'前提と出典'!$C$37*'契約別単価'!G6+'前提と出典'!$C$38*'契約別単価'!G7)</ns0:f>
        <ns0:v>1064918.9944134078</ns0:v>
      </ns0:c>
      <ns0:c r="H539" s="16">
        <ns0:f>A539*('前提と出典'!$C$36*'契約別単価'!H5+'前提と出典'!$C$37*'契約別単価'!H6+'前提と出典'!$C$38*'契約別単価'!H7)</ns0:f>
        <ns0:v>369580.30094607105</ns0:v>
      </ns0:c>
      <ns0:c r="I539" s="16">
        <ns0:f>A539*('前提と出典'!$C$36*'契約別単価'!I5+'前提と出典'!$C$37*'契約別単価'!I6+'前提と出典'!$C$38*'契約別単価'!I7)</ns0:f>
        <ns0:v>22574.60893854748</ns0:v>
      </ns0:c>
      <ns0:c r="J539" s="16">
        <ns0:f>A539*('前提と出典'!$C$36*'契約別単価'!J5+'前提と出典'!$C$37*'契約別単価'!J6+'前提と出典'!$C$38*'契約別単価'!J7)</ns0:f>
        <ns0:v>52584.905885011874</ns0:v>
      </ns0:c>
      <ns0:c r="K539" s="16">
        <ns0:f>A539*('前提と出典'!$C$36*'契約別単価'!K5+'前提と出典'!$C$37*'契約別単価'!K6+'前提と出典'!$C$38*'契約別単価'!K7)</ns0:f>
        <ns0:v>225397.3929236499</ns0:v>
      </ns0:c>
      <ns0:c r="L539" s="16">
        <ns0:f>A539*('前提と出典'!$C$36*'契約別単価'!L5+'前提と出典'!$C$37*'契約別単価'!L6+'前提と出典'!$C$38*'契約別単価'!L7)</ns0:f>
        <ns0:v>183519.34336486904</ns0:v>
      </ns0:c>
      <ns0:c r="M539" s="16">
        <ns0:f>IF(('前提と出典'!$C$36+'前提と出典'!$C$38)=0,0,IF(B539&lt;=10,'前提と出典'!B73+'前提と出典'!C73,IF(B539&lt;=100,'前提と出典'!B74+'前提と出典'!C74,IF(B539&lt;=500,'前提と出典'!B75+'前提と出典'!C75,'前提と出典'!B76+'前提と出典'!C76))))</ns0:f>
        <ns0:v>40000</ns0:v>
      </ns0:c>
      <ns0:c r="N539" s="16">
        <ns0:f>IF(('前提と出典'!$C$37+'前提と出典'!$C$38)=0,0,IF(C539&lt;=10,'前提と出典'!D73+'前提と出典'!E73,IF(C539&lt;=100,'前提と出典'!D74+'前提と出典'!E74,IF(C539&lt;=500,'前提と出典'!D75+'前提と出典'!E75,'前提と出典'!D76+'前提と出典'!E76))))</ns0:f>
        <ns0:v>56510.9346263078</ns0:v>
      </ns0:c>
      <ns0:c r="O539" s="16">
        <ns0:f>IF('前提と出典'!$C$36+'前提と出典'!$C$38=0,0,'前提と出典'!$B$4*IF('前提と出典'!$B$20=0,MAX('前提と出典'!$B$6,D539*'前提と出典'!$B$5),'前提と出典'!$B$6+D539*'前提と出典'!$B$5))</ns0:f>
        <ns0:v>531246.0335195531</ns0:v>
      </ns0:c>
      <ns0:c r="P539" s="16">
        <ns0:f>(E539+G539)*(1-'前提と出典'!$B$7)-I539-K539-M539-O539</ns0:f>
        <ns0:v>1503868.6966650428</ns0:v>
      </ns0:c>
      <ns0:c r="Q539" s="16">
        <ns0:f>(F539+H539)*(1-'前提と出典'!$B$7)-J539-L539-N539</ns0:f>
        <ns0:v>440391.38676924934</ns0:v>
      </ns0:c>
      <ns0:c r="R539" s="16">
        <ns0:f>P539-E539*'前提と出典'!$E$4</ns0:f>
        <ns0:v>1100392.0924848765</ns0:v>
      </ns0:c>
      <ns0:c r="S539" s="16">
        <ns0:f>Q539-F539*'前提と出典'!$E$4</ns0:f>
        <ns0:v>323151.39905137836</ns0:v>
      </ns0:c>
      <ns0:c r="T539" s="7">
        <ns0:f>R539+S539</ns0:f>
        <ns0:v>1423543.491536255</ns0:v>
      </ns0:c>
      <ns0:c r="U539" s="16">
        <ns0:f>P539-E539*'前提と出典'!$E$5</ns0:f>
        <ns0:v>965899.8910914873</ns0:v>
      </ns0:c>
      <ns0:c r="V539" s="16">
        <ns0:f>Q539-F539*'前提と出典'!$E$5</ns0:f>
        <ns0:v>284071.4031454213</ns0:v>
      </ns0:c>
      <ns0:c r="W539" s="7">
        <ns0:f>U539+V539</ns0:f>
        <ns0:v>1249971.2942369087</ns0:v>
      </ns0:c>
      <ns0:c r="X539" s="16">
        <ns0:f>P539-E539*'前提と出典'!$E$6</ns0:f>
        <ns0:v>831407.6896980986</ns0:v>
      </ns0:c>
      <ns0:c r="Y539" s="16">
        <ns0:f>Q539-F539*'前提と出典'!$E$6</ns0:f>
        <ns0:v>244991.40723946423</ns0:v>
      </ns0:c>
      <ns0:c r="Z539" s="7">
        <ns0:f>X539+Y539</ns0:f>
        <ns0:v>1076399.0969375628</ns0:v>
      </ns0:c>
      <ns0:c r="AA539" s="7">
        <ns0:f>IF(T539&gt;=0,A539,1001)</ns0:f>
        <ns0:v>535</ns0:v>
      </ns0:c>
      <ns0:c r="AB539" s="7">
        <ns0:f>IF(T539&lt;0,A539,0)</ns0:f>
        <ns0:v>0</ns0:v>
      </ns0:c>
      <ns0:c r="AC539" s="16">
        <ns0:f>IF(AND(OR('前提と出典'!$C$36+'前提と出典'!$C$38=0,R539&gt;=0),OR('前提と出典'!$C$37+'前提と出典'!$C$38=0,S539&gt;=0)),0,A539)</ns0:f>
        <ns0:v>0</ns0:v>
      </ns0:c>
      <ns0:c r="AD539" s="7">
        <ns0:f>IF(W539&gt;=0,A539,1001)</ns0:f>
        <ns0:v>535</ns0:v>
      </ns0:c>
      <ns0:c r="AE539" s="7">
        <ns0:f>IF(W539&lt;0,A539,0)</ns0:f>
        <ns0:v>0</ns0:v>
      </ns0:c>
      <ns0:c r="AF539" s="16">
        <ns0:f>IF(AND(OR('前提と出典'!$C$36+'前提と出典'!$C$38=0,U539&gt;=0),OR('前提と出典'!$C$37+'前提と出典'!$C$38=0,V539&gt;=0)),0,A539)</ns0:f>
        <ns0:v>0</ns0:v>
      </ns0:c>
      <ns0:c r="AG539" s="7">
        <ns0:f>IF(Z539&gt;=0,A539,1001)</ns0:f>
        <ns0:v>535</ns0:v>
      </ns0:c>
      <ns0:c r="AH539" s="4">
        <ns0:f>IF(Z539&lt;0,A539,0)</ns0:f>
        <ns0:v>0</ns0:v>
      </ns0:c>
      <ns0:c r="AI539" s="12">
        <ns0:f>IF(AND(OR('前提と出典'!$C$36+'前提と出典'!$C$38=0,X539&gt;=0),OR('前提と出典'!$C$37+'前提と出典'!$C$38=0,Y539&gt;=0)),0,A539)</ns0:f>
        <ns0:v>0</ns0:v>
      </ns0:c>
    </ns0:row>
    <ns0:row r="540" ht="24" customHeight="1">
      <ns0:c r="A540" s="4" t="n">
        <ns0:v>536</ns0:v>
      </ns0:c>
      <ns0:c r="B540" s="12">
        <ns0:f>A540*('前提と出典'!$C$36+'前提と出典'!$C$38)</ns0:f>
        <ns0:v>375.2</ns0:v>
      </ns0:c>
      <ns0:c r="C540" s="12">
        <ns0:f>A540*('前提と出典'!$C$37+'前提と出典'!$C$38)</ns0:f>
        <ns0:v>321.59999999999997</ns0:v>
      </ns0:c>
      <ns0:c r="D540" s="16">
        <ns0:f>A540*('前提と出典'!$C$36*'契約別単価'!C5+'前提と出典'!$C$37*'契約別単価'!C6+'前提と出典'!$C$38*'契約別単価'!C7)</ns0:f>
        <ns0:v>3856.804469273743</ns0:v>
      </ns0:c>
      <ns0:c r="E540" s="16">
        <ns0:f>A540*('前提と出典'!$C$36*'契約別単価'!E5+'前提と出典'!$C$37*'契約別単価'!E6+'前提と出典'!$C$38*'契約別単価'!E7)</ns0:f>
        <ns0:v>1347435.8868571294</ns0:v>
      </ns0:c>
      <ns0:c r="F540" s="16">
        <ns0:f>A540*('前提と出典'!$C$36*'契約別単価'!F5+'前提と出典'!$C$37*'契約別単価'!F6+'前提と出典'!$C$38*'契約別単価'!F7)</ns0:f>
        <ns0:v>391530.42627276556</ns0:v>
      </ns0:c>
      <ns0:c r="G540" s="16">
        <ns0:f>A540*('前提と出典'!$C$36*'契約別単価'!G5+'前提と出典'!$C$37*'契約別単価'!G6+'前提と出典'!$C$38*'契約別単価'!G7)</ns0:f>
        <ns0:v>1066909.4972067038</ns0:v>
      </ns0:c>
      <ns0:c r="H540" s="16">
        <ns0:f>A540*('前提と出典'!$C$36*'契約別単価'!H5+'前提と出典'!$C$37*'契約別単価'!H6+'前提と出典'!$C$38*'契約別単価'!H7)</ns0:f>
        <ns0:v>370271.10524690483</ns0:v>
      </ns0:c>
      <ns0:c r="I540" s="16">
        <ns0:f>A540*('前提と出典'!$C$36*'契約別単価'!I5+'前提と出典'!$C$37*'契約別単価'!I6+'前提と出典'!$C$38*'契約別単価'!I7)</ns0:f>
        <ns0:v>22616.80446927374</ns0:v>
      </ns0:c>
      <ns0:c r="J540" s="16">
        <ns0:f>A540*('前提と出典'!$C$36*'契約別単価'!J5+'前提と出典'!$C$37*'契約別単価'!J6+'前提と出典'!$C$38*'契約別単価'!J7)</ns0:f>
        <ns0:v>52683.195428722174</ns0:v>
      </ns0:c>
      <ns0:c r="K540" s="16">
        <ns0:f>A540*('前提と出典'!$C$36*'契約別単価'!K5+'前提と出典'!$C$37*'契約別単価'!K6+'前提と出典'!$C$38*'契約別単価'!K7)</ns0:f>
        <ns0:v>225818.69646182493</ns0:v>
      </ns0:c>
      <ns0:c r="L540" s="16">
        <ns0:f>A540*('前提と出典'!$C$36*'契約別単価'!L5+'前提と出典'!$C$37*'契約別単価'!L6+'前提と出典'!$C$38*'契約別単価'!L7)</ns0:f>
        <ns0:v>183862.37017489682</ns0:v>
      </ns0:c>
      <ns0:c r="M540" s="16">
        <ns0:f>IF(('前提と出典'!$C$36+'前提と出典'!$C$38)=0,0,IF(B540&lt;=10,'前提と出典'!B73+'前提と出典'!C73,IF(B540&lt;=100,'前提と出典'!B74+'前提と出典'!C74,IF(B540&lt;=500,'前提と出典'!B75+'前提と出典'!C75,'前提と出典'!B76+'前提と出典'!C76))))</ns0:f>
        <ns0:v>40000</ns0:v>
      </ns0:c>
      <ns0:c r="N540" s="16">
        <ns0:f>IF(('前提と出典'!$C$37+'前提と出典'!$C$38)=0,0,IF(C540&lt;=10,'前提と出典'!D73+'前提と出典'!E73,IF(C540&lt;=100,'前提と出典'!D74+'前提と出典'!E74,IF(C540&lt;=500,'前提と出典'!D75+'前提と出典'!E75,'前提と出典'!D76+'前提と出典'!E76))))</ns0:f>
        <ns0:v>56510.9346263078</ns0:v>
      </ns0:c>
      <ns0:c r="O540" s="16">
        <ns0:f>IF('前提と出典'!$C$36+'前提と出典'!$C$38=0,0,'前提と出典'!$B$4*IF('前提と出典'!$B$20=0,MAX('前提と出典'!$B$6,D540*'前提と出典'!$B$5),'前提と出典'!$B$6+D540*'前提と出典'!$B$5))</ns0:f>
        <ns0:v>532239.0167597765</ns0:v>
      </ns0:c>
      <ns0:c r="P540" s="16">
        <ns0:f>(E540+G540)*(1-'前提と出典'!$B$7)-I540-K540-M540-O540</ns0:f>
        <ns0:v>1506754.4325466603</ns0:v>
      </ns0:c>
      <ns0:c r="Q540" s="16">
        <ns0:f>(F540+H540)*(1-'前提と出典'!$B$7)-J540-L540-N540</ns0:f>
        <ns0:v>441320.1761550355</ns0:v>
      </ns0:c>
      <ns0:c r="R540" s="16">
        <ns0:f>P540-E540*'前提と出典'!$E$4</ns0:f>
        <ns0:v>1102523.6664895215</ns0:v>
      </ns0:c>
      <ns0:c r="S540" s="16">
        <ns0:f>Q540-F540*'前提と出典'!$E$4</ns0:f>
        <ns0:v>323861.0482732059</ns0:v>
      </ns0:c>
      <ns0:c r="T540" s="7">
        <ns0:f>R540+S540</ns0:f>
        <ns0:v>1426384.7147627273</ns0:v>
      </ns0:c>
      <ns0:c r="U540" s="16">
        <ns0:f>P540-E540*'前提と出典'!$E$5</ns0:f>
        <ns0:v>967780.0778038085</ns0:v>
      </ns0:c>
      <ns0:c r="V540" s="16">
        <ns0:f>Q540-F540*'前提と出典'!$E$5</ns0:f>
        <ns0:v>284708.00564592925</ns0:v>
      </ns0:c>
      <ns0:c r="W540" s="7">
        <ns0:f>U540+V540</ns0:f>
        <ns0:v>1252488.0834497376</ns0:v>
      </ns0:c>
      <ns0:c r="X540" s="16">
        <ns0:f>P540-E540*'前提と出典'!$E$6</ns0:f>
        <ns0:v>833036.4891180955</ns0:v>
      </ns0:c>
      <ns0:c r="Y540" s="16">
        <ns0:f>Q540-F540*'前提と出典'!$E$6</ns0:f>
        <ns0:v>245554.96301865275</ns0:v>
      </ns0:c>
      <ns0:c r="Z540" s="7">
        <ns0:f>X540+Y540</ns0:f>
        <ns0:v>1078591.4521367482</ns0:v>
      </ns0:c>
      <ns0:c r="AA540" s="7">
        <ns0:f>IF(T540&gt;=0,A540,1001)</ns0:f>
        <ns0:v>536</ns0:v>
      </ns0:c>
      <ns0:c r="AB540" s="7">
        <ns0:f>IF(T540&lt;0,A540,0)</ns0:f>
        <ns0:v>0</ns0:v>
      </ns0:c>
      <ns0:c r="AC540" s="16">
        <ns0:f>IF(AND(OR('前提と出典'!$C$36+'前提と出典'!$C$38=0,R540&gt;=0),OR('前提と出典'!$C$37+'前提と出典'!$C$38=0,S540&gt;=0)),0,A540)</ns0:f>
        <ns0:v>0</ns0:v>
      </ns0:c>
      <ns0:c r="AD540" s="7">
        <ns0:f>IF(W540&gt;=0,A540,1001)</ns0:f>
        <ns0:v>536</ns0:v>
      </ns0:c>
      <ns0:c r="AE540" s="7">
        <ns0:f>IF(W540&lt;0,A540,0)</ns0:f>
        <ns0:v>0</ns0:v>
      </ns0:c>
      <ns0:c r="AF540" s="16">
        <ns0:f>IF(AND(OR('前提と出典'!$C$36+'前提と出典'!$C$38=0,U540&gt;=0),OR('前提と出典'!$C$37+'前提と出典'!$C$38=0,V540&gt;=0)),0,A540)</ns0:f>
        <ns0:v>0</ns0:v>
      </ns0:c>
      <ns0:c r="AG540" s="7">
        <ns0:f>IF(Z540&gt;=0,A540,1001)</ns0:f>
        <ns0:v>536</ns0:v>
      </ns0:c>
      <ns0:c r="AH540" s="4">
        <ns0:f>IF(Z540&lt;0,A540,0)</ns0:f>
        <ns0:v>0</ns0:v>
      </ns0:c>
      <ns0:c r="AI540" s="12">
        <ns0:f>IF(AND(OR('前提と出典'!$C$36+'前提と出典'!$C$38=0,X540&gt;=0),OR('前提と出典'!$C$37+'前提と出典'!$C$38=0,Y540&gt;=0)),0,A540)</ns0:f>
        <ns0:v>0</ns0:v>
      </ns0:c>
    </ns0:row>
    <ns0:row r="541" ht="24" customHeight="1">
      <ns0:c r="A541" s="4" t="n">
        <ns0:v>537</ns0:v>
      </ns0:c>
      <ns0:c r="B541" s="12">
        <ns0:f>A541*('前提と出典'!$C$36+'前提と出典'!$C$38)</ns0:f>
        <ns0:v>375.9</ns0:v>
      </ns0:c>
      <ns0:c r="C541" s="12">
        <ns0:f>A541*('前提と出典'!$C$37+'前提と出典'!$C$38)</ns0:f>
        <ns0:v>322.2</ns0:v>
      </ns0:c>
      <ns0:c r="D541" s="16">
        <ns0:f>A541*('前提と出典'!$C$36*'契約別単価'!C5+'前提と出典'!$C$37*'契約別単価'!C6+'前提と出典'!$C$38*'契約別単価'!C7)</ns0:f>
        <ns0:v>3864</ns0:v>
      </ns0:c>
      <ns0:c r="E541" s="16">
        <ns0:f>A541*('前提と出典'!$C$36*'契約別単価'!E5+'前提と出典'!$C$37*'契約別単価'!E6+'前提と出典'!$C$38*'契約別単価'!E7)</ns0:f>
        <ns0:v>1349949.7597803704</ns0:v>
      </ns0:c>
      <ns0:c r="F541" s="16">
        <ns0:f>A541*('前提と出典'!$C$36*'契約別単価'!F5+'前提と出典'!$C$37*'契約別単価'!F6+'前提と出典'!$C$38*'契約別単価'!F7)</ns0:f>
        <ns0:v>392260.893485961</ns0:v>
      </ns0:c>
      <ns0:c r="G541" s="16">
        <ns0:f>A541*('前提と出典'!$C$36*'契約別単価'!G5+'前提と出典'!$C$37*'契約別単価'!G6+'前提と出典'!$C$38*'契約別単価'!G7)</ns0:f>
        <ns0:v>1068900</ns0:v>
      </ns0:c>
      <ns0:c r="H541" s="16">
        <ns0:f>A541*('前提と出典'!$C$36*'契約別単価'!H5+'前提と出典'!$C$37*'契約別単価'!H6+'前提と出典'!$C$38*'契約別単価'!H7)</ns0:f>
        <ns0:v>370961.9095477386</ns0:v>
      </ns0:c>
      <ns0:c r="I541" s="16">
        <ns0:f>A541*('前提と出典'!$C$36*'契約別単価'!I5+'前提と出典'!$C$37*'契約別単価'!I6+'前提と出典'!$C$38*'契約別単価'!I7)</ns0:f>
        <ns0:v>22658.999999999996</ns0:v>
      </ns0:c>
      <ns0:c r="J541" s="16">
        <ns0:f>A541*('前提と出典'!$C$36*'契約別単価'!J5+'前提と出典'!$C$37*'契約別単価'!J6+'前提と出典'!$C$38*'契約別単価'!J7)</ns0:f>
        <ns0:v>52781.48497243248</ns0:v>
      </ns0:c>
      <ns0:c r="K541" s="16">
        <ns0:f>A541*('前提と出典'!$C$36*'契約別単価'!K5+'前提と出典'!$C$37*'契約別単価'!K6+'前提と出典'!$C$38*'契約別単価'!K7)</ns0:f>
        <ns0:v>226239.99999999997</ns0:v>
      </ns0:c>
      <ns0:c r="L541" s="16">
        <ns0:f>A541*('前提と出典'!$C$36*'契約別単価'!L5+'前提と出典'!$C$37*'契約別単価'!L6+'前提と出典'!$C$38*'契約別単価'!L7)</ns0:f>
        <ns0:v>184205.39698492462</ns0:v>
      </ns0:c>
      <ns0:c r="M541" s="16">
        <ns0:f>IF(('前提と出典'!$C$36+'前提と出典'!$C$38)=0,0,IF(B541&lt;=10,'前提と出典'!B73+'前提と出典'!C73,IF(B541&lt;=100,'前提と出典'!B74+'前提と出典'!C74,IF(B541&lt;=500,'前提と出典'!B75+'前提と出典'!C75,'前提と出典'!B76+'前提と出典'!C76))))</ns0:f>
        <ns0:v>40000</ns0:v>
      </ns0:c>
      <ns0:c r="N541" s="16">
        <ns0:f>IF(('前提と出典'!$C$37+'前提と出典'!$C$38)=0,0,IF(C541&lt;=10,'前提と出典'!D73+'前提と出典'!E73,IF(C541&lt;=100,'前提と出典'!D74+'前提と出典'!E74,IF(C541&lt;=500,'前提と出典'!D75+'前提と出典'!E75,'前提と出典'!D76+'前提と出典'!E76))))</ns0:f>
        <ns0:v>56510.9346263078</ns0:v>
      </ns0:c>
      <ns0:c r="O541" s="16">
        <ns0:f>IF('前提と出典'!$C$36+'前提と出典'!$C$38=0,0,'前提と出典'!$B$4*IF('前提と出典'!$B$20=0,MAX('前提と出典'!$B$6,D541*'前提と出典'!$B$5),'前提と出典'!$B$6+D541*'前提と出典'!$B$5))</ns0:f>
        <ns0:v>533232</ns0:v>
      </ns0:c>
      <ns0:c r="P541" s="16">
        <ns0:f>(E541+G541)*(1-'前提と出典'!$B$7)-I541-K541-M541-O541</ns0:f>
        <ns0:v>1509640.1684282774</ns0:v>
      </ns0:c>
      <ns0:c r="Q541" s="16">
        <ns0:f>(F541+H541)*(1-'前提と出典'!$B$7)-J541-L541-N541</ns0:f>
        <ns0:v>442248.96554082143</ns0:v>
      </ns0:c>
      <ns0:c r="R541" s="16">
        <ns0:f>P541-E541*'前提と出典'!$E$4</ns0:f>
        <ns0:v>1104655.2404941663</ns0:v>
      </ns0:c>
      <ns0:c r="S541" s="16">
        <ns0:f>Q541-F541*'前提と出典'!$E$4</ns0:f>
        <ns0:v>324570.6974950332</ns0:v>
      </ns0:c>
      <ns0:c r="T541" s="7">
        <ns0:f>R541+S541</ns0:f>
        <ns0:v>1429225.9379891995</ns0:v>
      </ns0:c>
      <ns0:c r="U541" s="16">
        <ns0:f>P541-E541*'前提と出典'!$E$5</ns0:f>
        <ns0:v>969660.2645161292</ns0:v>
      </ns0:c>
      <ns0:c r="V541" s="16">
        <ns0:f>Q541-F541*'前提と出典'!$E$5</ns0:f>
        <ns0:v>285344.60814643704</ns0:v>
      </ns0:c>
      <ns0:c r="W541" s="7">
        <ns0:f>U541+V541</ns0:f>
        <ns0:v>1255004.8726625661</ns0:v>
      </ns0:c>
      <ns0:c r="X541" s="16">
        <ns0:f>P541-E541*'前提と出典'!$E$6</ns0:f>
        <ns0:v>834665.288538092</ns0:v>
      </ns0:c>
      <ns0:c r="Y541" s="16">
        <ns0:f>Q541-F541*'前提と出典'!$E$6</ns0:f>
        <ns0:v>246118.51879784098</ns0:v>
      </ns0:c>
      <ns0:c r="Z541" s="7">
        <ns0:f>X541+Y541</ns0:f>
        <ns0:v>1080783.807335933</ns0:v>
      </ns0:c>
      <ns0:c r="AA541" s="7">
        <ns0:f>IF(T541&gt;=0,A541,1001)</ns0:f>
        <ns0:v>537</ns0:v>
      </ns0:c>
      <ns0:c r="AB541" s="7">
        <ns0:f>IF(T541&lt;0,A541,0)</ns0:f>
        <ns0:v>0</ns0:v>
      </ns0:c>
      <ns0:c r="AC541" s="16">
        <ns0:f>IF(AND(OR('前提と出典'!$C$36+'前提と出典'!$C$38=0,R541&gt;=0),OR('前提と出典'!$C$37+'前提と出典'!$C$38=0,S541&gt;=0)),0,A541)</ns0:f>
        <ns0:v>0</ns0:v>
      </ns0:c>
      <ns0:c r="AD541" s="7">
        <ns0:f>IF(W541&gt;=0,A541,1001)</ns0:f>
        <ns0:v>537</ns0:v>
      </ns0:c>
      <ns0:c r="AE541" s="7">
        <ns0:f>IF(W541&lt;0,A541,0)</ns0:f>
        <ns0:v>0</ns0:v>
      </ns0:c>
      <ns0:c r="AF541" s="16">
        <ns0:f>IF(AND(OR('前提と出典'!$C$36+'前提と出典'!$C$38=0,U541&gt;=0),OR('前提と出典'!$C$37+'前提と出典'!$C$38=0,V541&gt;=0)),0,A541)</ns0:f>
        <ns0:v>0</ns0:v>
      </ns0:c>
      <ns0:c r="AG541" s="7">
        <ns0:f>IF(Z541&gt;=0,A541,1001)</ns0:f>
        <ns0:v>537</ns0:v>
      </ns0:c>
      <ns0:c r="AH541" s="4">
        <ns0:f>IF(Z541&lt;0,A541,0)</ns0:f>
        <ns0:v>0</ns0:v>
      </ns0:c>
      <ns0:c r="AI541" s="12">
        <ns0:f>IF(AND(OR('前提と出典'!$C$36+'前提と出典'!$C$38=0,X541&gt;=0),OR('前提と出典'!$C$37+'前提と出典'!$C$38=0,Y541&gt;=0)),0,A541)</ns0:f>
        <ns0:v>0</ns0:v>
      </ns0:c>
    </ns0:row>
    <ns0:row r="542" ht="24" customHeight="1">
      <ns0:c r="A542" s="4" t="n">
        <ns0:v>538</ns0:v>
      </ns0:c>
      <ns0:c r="B542" s="12">
        <ns0:f>A542*('前提と出典'!$C$36+'前提と出典'!$C$38)</ns0:f>
        <ns0:v>376.59999999999997</ns0:v>
      </ns0:c>
      <ns0:c r="C542" s="12">
        <ns0:f>A542*('前提と出典'!$C$37+'前提と出典'!$C$38)</ns0:f>
        <ns0:v>322.8</ns0:v>
      </ns0:c>
      <ns0:c r="D542" s="16">
        <ns0:f>A542*('前提と出典'!$C$36*'契約別単価'!C5+'前提と出典'!$C$37*'契約別単価'!C6+'前提と出典'!$C$38*'契約別単価'!C7)</ns0:f>
        <ns0:v>3871.195530726257</ns0:v>
      </ns0:c>
      <ns0:c r="E542" s="16">
        <ns0:f>A542*('前提と出典'!$C$36*'契約別単価'!E5+'前提と出典'!$C$37*'契約別単価'!E6+'前提と出典'!$C$38*'契約別単価'!E7)</ns0:f>
        <ns0:v>1352463.6327036114</ns0:v>
      </ns0:c>
      <ns0:c r="F542" s="16">
        <ns0:f>A542*('前提と出典'!$C$36*'契約別単価'!F5+'前提と出典'!$C$37*'契約別単価'!F6+'前提と出典'!$C$38*'契約別単価'!F7)</ns0:f>
        <ns0:v>392991.3606991565</ns0:v>
      </ns0:c>
      <ns0:c r="G542" s="16">
        <ns0:f>A542*('前提と出典'!$C$36*'契約別単価'!G5+'前提と出典'!$C$37*'契約別単価'!G6+'前提と出典'!$C$38*'契約別単価'!G7)</ns0:f>
        <ns0:v>1070890.502793296</ns0:v>
      </ns0:c>
      <ns0:c r="H542" s="16">
        <ns0:f>A542*('前提と出典'!$C$36*'契約別単価'!H5+'前提と出典'!$C$37*'契約別単価'!H6+'前提と出典'!$C$38*'契約別単価'!H7)</ns0:f>
        <ns0:v>371652.7138485724</ns0:v>
      </ns0:c>
      <ns0:c r="I542" s="16">
        <ns0:f>A542*('前提と出典'!$C$36*'契約別単価'!I5+'前提と出典'!$C$37*'契約別単価'!I6+'前提と出典'!$C$38*'契約別単価'!I7)</ns0:f>
        <ns0:v>22701.195530726254</ns0:v>
      </ns0:c>
      <ns0:c r="J542" s="16">
        <ns0:f>A542*('前提と出典'!$C$36*'契約別単価'!J5+'前提と出典'!$C$37*'契約別単価'!J6+'前提と出典'!$C$38*'契約別単価'!J7)</ns0:f>
        <ns0:v>52879.77451614278</ns0:v>
      </ns0:c>
      <ns0:c r="K542" s="16">
        <ns0:f>A542*('前提と出典'!$C$36*'契約別単価'!K5+'前提と出典'!$C$37*'契約別単価'!K6+'前提と出典'!$C$38*'契約別単価'!K7)</ns0:f>
        <ns0:v>226661.30353817504</ns0:v>
      </ns0:c>
      <ns0:c r="L542" s="16">
        <ns0:f>A542*('前提と出典'!$C$36*'契約別単価'!L5+'前提と出典'!$C$37*'契約別単価'!L6+'前提と出典'!$C$38*'契約別単価'!L7)</ns0:f>
        <ns0:v>184548.4237949524</ns0:v>
      </ns0:c>
      <ns0:c r="M542" s="16">
        <ns0:f>IF(('前提と出典'!$C$36+'前提と出典'!$C$38)=0,0,IF(B542&lt;=10,'前提と出典'!B73+'前提と出典'!C73,IF(B542&lt;=100,'前提と出典'!B74+'前提と出典'!C74,IF(B542&lt;=500,'前提と出典'!B75+'前提と出典'!C75,'前提と出典'!B76+'前提と出典'!C76))))</ns0:f>
        <ns0:v>40000</ns0:v>
      </ns0:c>
      <ns0:c r="N542" s="16">
        <ns0:f>IF(('前提と出典'!$C$37+'前提と出典'!$C$38)=0,0,IF(C542&lt;=10,'前提と出典'!D73+'前提と出典'!E73,IF(C542&lt;=100,'前提と出典'!D74+'前提と出典'!E74,IF(C542&lt;=500,'前提と出典'!D75+'前提と出典'!E75,'前提と出典'!D76+'前提と出典'!E76))))</ns0:f>
        <ns0:v>56510.9346263078</ns0:v>
      </ns0:c>
      <ns0:c r="O542" s="16">
        <ns0:f>IF('前提と出典'!$C$36+'前提と出典'!$C$38=0,0,'前提と出典'!$B$4*IF('前提と出典'!$B$20=0,MAX('前提と出典'!$B$6,D542*'前提と出典'!$B$5),'前提と出典'!$B$6+D542*'前提と出典'!$B$5))</ns0:f>
        <ns0:v>534224.9832402235</ns0:v>
      </ns0:c>
      <ns0:c r="P542" s="16">
        <ns0:f>(E542+G542)*(1-'前提と出典'!$B$7)-I542-K542-M542-O542</ns0:f>
        <ns0:v>1512525.9043098937</ns0:v>
      </ns0:c>
      <ns0:c r="Q542" s="16">
        <ns0:f>(F542+H542)*(1-'前提と出典'!$B$7)-J542-L542-N542</ns0:f>
        <ns0:v>443177.7549266077</ns0:v>
      </ns0:c>
      <ns0:c r="R542" s="16">
        <ns0:f>P542-E542*'前提と出典'!$E$4</ns0:f>
        <ns0:v>1106786.8144988106</ns0:v>
      </ns0:c>
      <ns0:c r="S542" s="16">
        <ns0:f>Q542-F542*'前提と出典'!$E$4</ns0:f>
        <ns0:v>325280.3467168607</ns0:v>
      </ns0:c>
      <ns0:c r="T542" s="7">
        <ns0:f>R542+S542</ns0:f>
        <ns0:v>1432067.1612156713</ns0:v>
      </ns0:c>
      <ns0:c r="U542" s="16">
        <ns0:f>P542-E542*'前提と出典'!$E$5</ns0:f>
        <ns0:v>971540.4512284491</ns0:v>
      </ns0:c>
      <ns0:c r="V542" s="16">
        <ns0:f>Q542-F542*'前提と出典'!$E$5</ns0:f>
        <ns0:v>285981.2106469451</ns0:v>
      </ns0:c>
      <ns0:c r="W542" s="7">
        <ns0:f>U542+V542</ns0:f>
        <ns0:v>1257521.6618753942</ns0:v>
      </ns0:c>
      <ns0:c r="X542" s="16">
        <ns0:f>P542-E542*'前提と出典'!$E$6</ns0:f>
        <ns0:v>836294.0879580881</ns0:v>
      </ns0:c>
      <ns0:c r="Y542" s="16">
        <ns0:f>Q542-F542*'前提と出典'!$E$6</ns0:f>
        <ns0:v>246682.0745770294</ns0:v>
      </ns0:c>
      <ns0:c r="Z542" s="7">
        <ns0:f>X542+Y542</ns0:f>
        <ns0:v>1082976.1625351175</ns0:v>
      </ns0:c>
      <ns0:c r="AA542" s="7">
        <ns0:f>IF(T542&gt;=0,A542,1001)</ns0:f>
        <ns0:v>538</ns0:v>
      </ns0:c>
      <ns0:c r="AB542" s="7">
        <ns0:f>IF(T542&lt;0,A542,0)</ns0:f>
        <ns0:v>0</ns0:v>
      </ns0:c>
      <ns0:c r="AC542" s="16">
        <ns0:f>IF(AND(OR('前提と出典'!$C$36+'前提と出典'!$C$38=0,R542&gt;=0),OR('前提と出典'!$C$37+'前提と出典'!$C$38=0,S542&gt;=0)),0,A542)</ns0:f>
        <ns0:v>0</ns0:v>
      </ns0:c>
      <ns0:c r="AD542" s="7">
        <ns0:f>IF(W542&gt;=0,A542,1001)</ns0:f>
        <ns0:v>538</ns0:v>
      </ns0:c>
      <ns0:c r="AE542" s="7">
        <ns0:f>IF(W542&lt;0,A542,0)</ns0:f>
        <ns0:v>0</ns0:v>
      </ns0:c>
      <ns0:c r="AF542" s="16">
        <ns0:f>IF(AND(OR('前提と出典'!$C$36+'前提と出典'!$C$38=0,U542&gt;=0),OR('前提と出典'!$C$37+'前提と出典'!$C$38=0,V542&gt;=0)),0,A542)</ns0:f>
        <ns0:v>0</ns0:v>
      </ns0:c>
      <ns0:c r="AG542" s="7">
        <ns0:f>IF(Z542&gt;=0,A542,1001)</ns0:f>
        <ns0:v>538</ns0:v>
      </ns0:c>
      <ns0:c r="AH542" s="4">
        <ns0:f>IF(Z542&lt;0,A542,0)</ns0:f>
        <ns0:v>0</ns0:v>
      </ns0:c>
      <ns0:c r="AI542" s="12">
        <ns0:f>IF(AND(OR('前提と出典'!$C$36+'前提と出典'!$C$38=0,X542&gt;=0),OR('前提と出典'!$C$37+'前提と出典'!$C$38=0,Y542&gt;=0)),0,A542)</ns0:f>
        <ns0:v>0</ns0:v>
      </ns0:c>
    </ns0:row>
    <ns0:row r="543" ht="24" customHeight="1">
      <ns0:c r="A543" s="4" t="n">
        <ns0:v>539</ns0:v>
      </ns0:c>
      <ns0:c r="B543" s="12">
        <ns0:f>A543*('前提と出典'!$C$36+'前提と出典'!$C$38)</ns0:f>
        <ns0:v>377.29999999999995</ns0:v>
      </ns0:c>
      <ns0:c r="C543" s="12">
        <ns0:f>A543*('前提と出典'!$C$37+'前提と出典'!$C$38)</ns0:f>
        <ns0:v>323.4</ns0:v>
      </ns0:c>
      <ns0:c r="D543" s="16">
        <ns0:f>A543*('前提と出典'!$C$36*'契約別単価'!C5+'前提と出典'!$C$37*'契約別単価'!C6+'前提と出典'!$C$38*'契約別単価'!C7)</ns0:f>
        <ns0:v>3878.391061452514</ns0:v>
      </ns0:c>
      <ns0:c r="E543" s="16">
        <ns0:f>A543*('前提と出典'!$C$36*'契約別単価'!E5+'前提と出典'!$C$37*'契約別単価'!E6+'前提と出典'!$C$38*'契約別単価'!E7)</ns0:f>
        <ns0:v>1354977.5056268522</ns0:v>
      </ns0:c>
      <ns0:c r="F543" s="16">
        <ns0:f>A543*('前提と出典'!$C$36*'契約別単価'!F5+'前提と出典'!$C$37*'契約別単価'!F6+'前提と出典'!$C$38*'契約別単価'!F7)</ns0:f>
        <ns0:v>393721.82791235193</ns0:v>
      </ns0:c>
      <ns0:c r="G543" s="16">
        <ns0:f>A543*('前提と出典'!$C$36*'契約別単価'!G5+'前提と出典'!$C$37*'契約別単価'!G6+'前提と出典'!$C$38*'契約別単価'!G7)</ns0:f>
        <ns0:v>1072881.005586592</ns0:v>
      </ns0:c>
      <ns0:c r="H543" s="16">
        <ns0:f>A543*('前提と出典'!$C$36*'契約別単価'!H5+'前提と出典'!$C$37*'契約別単価'!H6+'前提と出典'!$C$38*'契約別単価'!H7)</ns0:f>
        <ns0:v>372343.5181494062</ns0:v>
      </ns0:c>
      <ns0:c r="I543" s="16">
        <ns0:f>A543*('前提と出典'!$C$36*'契約別単価'!I5+'前提と出典'!$C$37*'契約別単価'!I6+'前提と出典'!$C$38*'契約別単価'!I7)</ns0:f>
        <ns0:v>22743.39106145251</ns0:v>
      </ns0:c>
      <ns0:c r="J543" s="16">
        <ns0:f>A543*('前提と出典'!$C$36*'契約別単価'!J5+'前提と出典'!$C$37*'契約別単価'!J6+'前提と出典'!$C$38*'契約別単価'!J7)</ns0:f>
        <ns0:v>52978.06405985308</ns0:v>
      </ns0:c>
      <ns0:c r="K543" s="16">
        <ns0:f>A543*('前提と出典'!$C$36*'契約別単価'!K5+'前提と出典'!$C$37*'契約別単価'!K6+'前提と出典'!$C$38*'契約別単価'!K7)</ns0:f>
        <ns0:v>227082.60707635008</ns0:v>
      </ns0:c>
      <ns0:c r="L543" s="16">
        <ns0:f>A543*('前提と出典'!$C$36*'契約別単価'!L5+'前提と出典'!$C$37*'契約別単価'!L6+'前提と出典'!$C$38*'契約別単価'!L7)</ns0:f>
        <ns0:v>184891.4506049802</ns0:v>
      </ns0:c>
      <ns0:c r="M543" s="16">
        <ns0:f>IF(('前提と出典'!$C$36+'前提と出典'!$C$38)=0,0,IF(B543&lt;=10,'前提と出典'!B73+'前提と出典'!C73,IF(B543&lt;=100,'前提と出典'!B74+'前提と出典'!C74,IF(B543&lt;=500,'前提と出典'!B75+'前提と出典'!C75,'前提と出典'!B76+'前提と出典'!C76))))</ns0:f>
        <ns0:v>40000</ns0:v>
      </ns0:c>
      <ns0:c r="N543" s="16">
        <ns0:f>IF(('前提と出典'!$C$37+'前提と出典'!$C$38)=0,0,IF(C543&lt;=10,'前提と出典'!D73+'前提と出典'!E73,IF(C543&lt;=100,'前提と出典'!D74+'前提と出典'!E74,IF(C543&lt;=500,'前提と出典'!D75+'前提と出典'!E75,'前提と出典'!D76+'前提と出典'!E76))))</ns0:f>
        <ns0:v>56510.9346263078</ns0:v>
      </ns0:c>
      <ns0:c r="O543" s="16">
        <ns0:f>IF('前提と出典'!$C$36+'前提と出典'!$C$38=0,0,'前提と出典'!$B$4*IF('前提と出典'!$B$20=0,MAX('前提と出典'!$B$6,D543*'前提と出典'!$B$5),'前提と出典'!$B$6+D543*'前提と出典'!$B$5))</ns0:f>
        <ns0:v>535217.966480447</ns0:v>
      </ns0:c>
      <ns0:c r="P543" s="16">
        <ns0:f>(E543+G543)*(1-'前提と出典'!$B$7)-I543-K543-M543-O543</ns0:f>
        <ns0:v>1515411.6401915108</ns0:v>
      </ns0:c>
      <ns0:c r="Q543" s="16">
        <ns0:f>(F543+H543)*(1-'前提と出典'!$B$7)-J543-L543-N543</ns0:f>
        <ns0:v>444106.54431239376</ns0:v>
      </ns0:c>
      <ns0:c r="R543" s="16">
        <ns0:f>P543-E543*'前提と出典'!$E$4</ns0:f>
        <ns0:v>1108918.3885034549</ns0:v>
      </ns0:c>
      <ns0:c r="S543" s="16">
        <ns0:f>Q543-F543*'前提と出典'!$E$4</ns0:f>
        <ns0:v>325989.99593868817</ns0:v>
      </ns0:c>
      <ns0:c r="T543" s="7">
        <ns0:f>R543+S543</ns0:f>
        <ns0:v>1434908.3844421431</ns0:v>
      </ns0:c>
      <ns0:c r="U543" s="16">
        <ns0:f>P543-E543*'前提と出典'!$E$5</ns0:f>
        <ns0:v>973420.6379407698</ns0:v>
      </ns0:c>
      <ns0:c r="V543" s="16">
        <ns0:f>Q543-F543*'前提と出典'!$E$5</ns0:f>
        <ns0:v>286617.813147453</ns0:v>
      </ns0:c>
      <ns0:c r="W543" s="7">
        <ns0:f>U543+V543</ns0:f>
        <ns0:v>1260038.4510882227</ns0:v>
      </ns0:c>
      <ns0:c r="X543" s="16">
        <ns0:f>P543-E543*'前提と出典'!$E$6</ns0:f>
        <ns0:v>837922.8873780845</ns0:v>
      </ns0:c>
      <ns0:c r="Y543" s="16">
        <ns0:f>Q543-F543*'前提と出典'!$E$6</ns0:f>
        <ns0:v>247245.63035621785</ns0:v>
      </ns0:c>
      <ns0:c r="Z543" s="7">
        <ns0:f>X543+Y543</ns0:f>
        <ns0:v>1085168.5177343022</ns0:v>
      </ns0:c>
      <ns0:c r="AA543" s="7">
        <ns0:f>IF(T543&gt;=0,A543,1001)</ns0:f>
        <ns0:v>539</ns0:v>
      </ns0:c>
      <ns0:c r="AB543" s="7">
        <ns0:f>IF(T543&lt;0,A543,0)</ns0:f>
        <ns0:v>0</ns0:v>
      </ns0:c>
      <ns0:c r="AC543" s="16">
        <ns0:f>IF(AND(OR('前提と出典'!$C$36+'前提と出典'!$C$38=0,R543&gt;=0),OR('前提と出典'!$C$37+'前提と出典'!$C$38=0,S543&gt;=0)),0,A543)</ns0:f>
        <ns0:v>0</ns0:v>
      </ns0:c>
      <ns0:c r="AD543" s="7">
        <ns0:f>IF(W543&gt;=0,A543,1001)</ns0:f>
        <ns0:v>539</ns0:v>
      </ns0:c>
      <ns0:c r="AE543" s="7">
        <ns0:f>IF(W543&lt;0,A543,0)</ns0:f>
        <ns0:v>0</ns0:v>
      </ns0:c>
      <ns0:c r="AF543" s="16">
        <ns0:f>IF(AND(OR('前提と出典'!$C$36+'前提と出典'!$C$38=0,U543&gt;=0),OR('前提と出典'!$C$37+'前提と出典'!$C$38=0,V543&gt;=0)),0,A543)</ns0:f>
        <ns0:v>0</ns0:v>
      </ns0:c>
      <ns0:c r="AG543" s="7">
        <ns0:f>IF(Z543&gt;=0,A543,1001)</ns0:f>
        <ns0:v>539</ns0:v>
      </ns0:c>
      <ns0:c r="AH543" s="4">
        <ns0:f>IF(Z543&lt;0,A543,0)</ns0:f>
        <ns0:v>0</ns0:v>
      </ns0:c>
      <ns0:c r="AI543" s="12">
        <ns0:f>IF(AND(OR('前提と出典'!$C$36+'前提と出典'!$C$38=0,X543&gt;=0),OR('前提と出典'!$C$37+'前提と出典'!$C$38=0,Y543&gt;=0)),0,A543)</ns0:f>
        <ns0:v>0</ns0:v>
      </ns0:c>
    </ns0:row>
    <ns0:row r="544" ht="24" customHeight="1">
      <ns0:c r="A544" s="4" t="n">
        <ns0:v>540</ns0:v>
      </ns0:c>
      <ns0:c r="B544" s="12">
        <ns0:f>A544*('前提と出典'!$C$36+'前提と出典'!$C$38)</ns0:f>
        <ns0:v>378</ns0:v>
      </ns0:c>
      <ns0:c r="C544" s="12">
        <ns0:f>A544*('前提と出典'!$C$37+'前提と出典'!$C$38)</ns0:f>
        <ns0:v>324</ns0:v>
      </ns0:c>
      <ns0:c r="D544" s="16">
        <ns0:f>A544*('前提と出典'!$C$36*'契約別単価'!C5+'前提と出典'!$C$37*'契約別単価'!C6+'前提と出典'!$C$38*'契約別単価'!C7)</ns0:f>
        <ns0:v>3885.586592178771</ns0:v>
      </ns0:c>
      <ns0:c r="E544" s="16">
        <ns0:f>A544*('前提と出典'!$C$36*'契約別単価'!E5+'前提と出典'!$C$37*'契約別単価'!E6+'前提と出典'!$C$38*'契約別単価'!E7)</ns0:f>
        <ns0:v>1357491.3785500932</ns0:v>
      </ns0:c>
      <ns0:c r="F544" s="16">
        <ns0:f>A544*('前提と出典'!$C$36*'契約別単価'!F5+'前提と出典'!$C$37*'契約別単価'!F6+'前提と出典'!$C$38*'契約別単価'!F7)</ns0:f>
        <ns0:v>394452.2951255474</ns0:v>
      </ns0:c>
      <ns0:c r="G544" s="16">
        <ns0:f>A544*('前提と出典'!$C$36*'契約別単価'!G5+'前提と出典'!$C$37*'契約別単価'!G6+'前提と出典'!$C$38*'契約別単価'!G7)</ns0:f>
        <ns0:v>1074871.5083798883</ns0:v>
      </ns0:c>
      <ns0:c r="H544" s="16">
        <ns0:f>A544*('前提と出典'!$C$36*'契約別単価'!H5+'前提と出典'!$C$37*'契約別単価'!H6+'前提と出典'!$C$38*'契約別単価'!H7)</ns0:f>
        <ns0:v>373034.32245023997</ns0:v>
      </ns0:c>
      <ns0:c r="I544" s="16">
        <ns0:f>A544*('前提と出典'!$C$36*'契約別単価'!I5+'前提と出典'!$C$37*'契約別単価'!I6+'前提と出典'!$C$38*'契約別単価'!I7)</ns0:f>
        <ns0:v>22785.586592178766</ns0:v>
      </ns0:c>
      <ns0:c r="J544" s="16">
        <ns0:f>A544*('前提と出典'!$C$36*'契約別単価'!J5+'前提と出典'!$C$37*'契約別単価'!J6+'前提と出典'!$C$38*'契約別単価'!J7)</ns0:f>
        <ns0:v>53076.35360356339</ns0:v>
      </ns0:c>
      <ns0:c r="K544" s="16">
        <ns0:f>A544*('前提と出典'!$C$36*'契約別単価'!K5+'前提と出典'!$C$37*'契約別単価'!K6+'前提と出典'!$C$38*'契約別単価'!K7)</ns0:f>
        <ns0:v>227503.9106145251</ns0:v>
      </ns0:c>
      <ns0:c r="L544" s="16">
        <ns0:f>A544*('前提と出典'!$C$36*'契約別単価'!L5+'前提と出典'!$C$37*'契約別単価'!L6+'前提と出典'!$C$38*'契約別単価'!L7)</ns0:f>
        <ns0:v>185234.477415008</ns0:v>
      </ns0:c>
      <ns0:c r="M544" s="16">
        <ns0:f>IF(('前提と出典'!$C$36+'前提と出典'!$C$38)=0,0,IF(B544&lt;=10,'前提と出典'!B73+'前提と出典'!C73,IF(B544&lt;=100,'前提と出典'!B74+'前提と出典'!C74,IF(B544&lt;=500,'前提と出典'!B75+'前提と出典'!C75,'前提と出典'!B76+'前提と出典'!C76))))</ns0:f>
        <ns0:v>40000</ns0:v>
      </ns0:c>
      <ns0:c r="N544" s="16">
        <ns0:f>IF(('前提と出典'!$C$37+'前提と出典'!$C$38)=0,0,IF(C544&lt;=10,'前提と出典'!D73+'前提と出典'!E73,IF(C544&lt;=100,'前提と出典'!D74+'前提と出典'!E74,IF(C544&lt;=500,'前提と出典'!D75+'前提と出典'!E75,'前提と出典'!D76+'前提と出典'!E76))))</ns0:f>
        <ns0:v>56510.9346263078</ns0:v>
      </ns0:c>
      <ns0:c r="O544" s="16">
        <ns0:f>IF('前提と出典'!$C$36+'前提と出典'!$C$38=0,0,'前提と出典'!$B$4*IF('前提と出典'!$B$20=0,MAX('前提と出典'!$B$6,D544*'前提と出典'!$B$5),'前提と出典'!$B$6+D544*'前提と出典'!$B$5))</ns0:f>
        <ns0:v>536210.9497206704</ns0:v>
      </ns0:c>
      <ns0:c r="P544" s="16">
        <ns0:f>(E544+G544)*(1-'前提と出典'!$B$7)-I544-K544-M544-O544</ns0:f>
        <ns0:v>1518297.3760731278</ns0:v>
      </ns0:c>
      <ns0:c r="Q544" s="16">
        <ns0:f>(F544+H544)*(1-'前提と出典'!$B$7)-J544-L544-N544</ns0:f>
        <ns0:v>445035.3336981798</ns0:v>
      </ns0:c>
      <ns0:c r="R544" s="16">
        <ns0:f>P544-E544*'前提と出典'!$E$4</ns0:f>
        <ns0:v>1111049.9625080996</ns0:v>
      </ns0:c>
      <ns0:c r="S544" s="16">
        <ns0:f>Q544-F544*'前提と出典'!$E$4</ns0:f>
        <ns0:v>326699.64516051556</ns0:v>
      </ns0:c>
      <ns0:c r="T544" s="7">
        <ns0:f>R544+S544</ns0:f>
        <ns0:v>1437749.6076686152</ns0:v>
      </ns0:c>
      <ns0:c r="U544" s="16">
        <ns0:f>P544-E544*'前提と出典'!$E$5</ns0:f>
        <ns0:v>975300.8246530906</ns0:v>
      </ns0:c>
      <ns0:c r="V544" s="16">
        <ns0:f>Q544-F544*'前提と出典'!$E$5</ns0:f>
        <ns0:v>287254.41564796085</ns0:v>
      </ns0:c>
      <ns0:c r="W544" s="7">
        <ns0:f>U544+V544</ns0:f>
        <ns0:v>1262555.2403010514</ns0:v>
      </ns0:c>
      <ns0:c r="X544" s="16">
        <ns0:f>P544-E544*'前提と出典'!$E$6</ns0:f>
        <ns0:v>839551.6867980812</ns0:v>
      </ns0:c>
      <ns0:c r="Y544" s="16">
        <ns0:f>Q544-F544*'前提と出典'!$E$6</ns0:f>
        <ns0:v>247809.18613540614</ns0:v>
      </ns0:c>
      <ns0:c r="Z544" s="7">
        <ns0:f>X544+Y544</ns0:f>
        <ns0:v>1087360.8729334874</ns0:v>
      </ns0:c>
      <ns0:c r="AA544" s="7">
        <ns0:f>IF(T544&gt;=0,A544,1001)</ns0:f>
        <ns0:v>540</ns0:v>
      </ns0:c>
      <ns0:c r="AB544" s="7">
        <ns0:f>IF(T544&lt;0,A544,0)</ns0:f>
        <ns0:v>0</ns0:v>
      </ns0:c>
      <ns0:c r="AC544" s="16">
        <ns0:f>IF(AND(OR('前提と出典'!$C$36+'前提と出典'!$C$38=0,R544&gt;=0),OR('前提と出典'!$C$37+'前提と出典'!$C$38=0,S544&gt;=0)),0,A544)</ns0:f>
        <ns0:v>0</ns0:v>
      </ns0:c>
      <ns0:c r="AD544" s="7">
        <ns0:f>IF(W544&gt;=0,A544,1001)</ns0:f>
        <ns0:v>540</ns0:v>
      </ns0:c>
      <ns0:c r="AE544" s="7">
        <ns0:f>IF(W544&lt;0,A544,0)</ns0:f>
        <ns0:v>0</ns0:v>
      </ns0:c>
      <ns0:c r="AF544" s="16">
        <ns0:f>IF(AND(OR('前提と出典'!$C$36+'前提と出典'!$C$38=0,U544&gt;=0),OR('前提と出典'!$C$37+'前提と出典'!$C$38=0,V544&gt;=0)),0,A544)</ns0:f>
        <ns0:v>0</ns0:v>
      </ns0:c>
      <ns0:c r="AG544" s="7">
        <ns0:f>IF(Z544&gt;=0,A544,1001)</ns0:f>
        <ns0:v>540</ns0:v>
      </ns0:c>
      <ns0:c r="AH544" s="4">
        <ns0:f>IF(Z544&lt;0,A544,0)</ns0:f>
        <ns0:v>0</ns0:v>
      </ns0:c>
      <ns0:c r="AI544" s="12">
        <ns0:f>IF(AND(OR('前提と出典'!$C$36+'前提と出典'!$C$38=0,X544&gt;=0),OR('前提と出典'!$C$37+'前提と出典'!$C$38=0,Y544&gt;=0)),0,A544)</ns0:f>
        <ns0:v>0</ns0:v>
      </ns0:c>
    </ns0:row>
    <ns0:row r="545" ht="24" customHeight="1">
      <ns0:c r="A545" s="4" t="n">
        <ns0:v>541</ns0:v>
      </ns0:c>
      <ns0:c r="B545" s="12">
        <ns0:f>A545*('前提と出典'!$C$36+'前提と出典'!$C$38)</ns0:f>
        <ns0:v>378.7</ns0:v>
      </ns0:c>
      <ns0:c r="C545" s="12">
        <ns0:f>A545*('前提と出典'!$C$37+'前提と出典'!$C$38)</ns0:f>
        <ns0:v>324.59999999999997</ns0:v>
      </ns0:c>
      <ns0:c r="D545" s="16">
        <ns0:f>A545*('前提と出典'!$C$36*'契約別単価'!C5+'前提と出典'!$C$37*'契約別単価'!C6+'前提と出典'!$C$38*'契約別単価'!C7)</ns0:f>
        <ns0:v>3892.782122905028</ns0:v>
      </ns0:c>
      <ns0:c r="E545" s="16">
        <ns0:f>A545*('前提と出典'!$C$36*'契約別単価'!E5+'前提と出典'!$C$37*'契約別単価'!E6+'前提と出典'!$C$38*'契約別単価'!E7)</ns0:f>
        <ns0:v>1360005.2514733342</ns0:v>
      </ns0:c>
      <ns0:c r="F545" s="16">
        <ns0:f>A545*('前提と出典'!$C$36*'契約別単価'!F5+'前提と出典'!$C$37*'契約別単価'!F6+'前提と出典'!$C$38*'契約別単価'!F7)</ns0:f>
        <ns0:v>395182.76233874285</ns0:v>
      </ns0:c>
      <ns0:c r="G545" s="16">
        <ns0:f>A545*('前提と出典'!$C$36*'契約別単価'!G5+'前提と出典'!$C$37*'契約別単価'!G6+'前提と出典'!$C$38*'契約別単価'!G7)</ns0:f>
        <ns0:v>1076862.0111731843</ns0:v>
      </ns0:c>
      <ns0:c r="H545" s="16">
        <ns0:f>A545*('前提と出典'!$C$36*'契約別単価'!H5+'前提と出典'!$C$37*'契約別単価'!H6+'前提と出典'!$C$38*'契約別単価'!H7)</ns0:f>
        <ns0:v>373725.12675107375</ns0:v>
      </ns0:c>
      <ns0:c r="I545" s="16">
        <ns0:f>A545*('前提と出典'!$C$36*'契約別単価'!I5+'前提と出典'!$C$37*'契約別単価'!I6+'前提と出典'!$C$38*'契約別単価'!I7)</ns0:f>
        <ns0:v>22827.782122905024</ns0:v>
      </ns0:c>
      <ns0:c r="J545" s="16">
        <ns0:f>A545*('前提と出典'!$C$36*'契約別単価'!J5+'前提と出典'!$C$37*'契約別単価'!J6+'前提と出典'!$C$38*'契約別単価'!J7)</ns0:f>
        <ns0:v>53174.64314727369</ns0:v>
      </ns0:c>
      <ns0:c r="K545" s="16">
        <ns0:f>A545*('前提と出典'!$C$36*'契約別単価'!K5+'前提と出典'!$C$37*'契約別単価'!K6+'前提と出典'!$C$38*'契約別単価'!K7)</ns0:f>
        <ns0:v>227925.21415270018</ns0:v>
      </ns0:c>
      <ns0:c r="L545" s="16">
        <ns0:f>A545*('前提と出典'!$C$36*'契約別単価'!L5+'前提と出典'!$C$37*'契約別単価'!L6+'前提と出典'!$C$38*'契約別単価'!L7)</ns0:f>
        <ns0:v>185577.50422503578</ns0:v>
      </ns0:c>
      <ns0:c r="M545" s="16">
        <ns0:f>IF(('前提と出典'!$C$36+'前提と出典'!$C$38)=0,0,IF(B545&lt;=10,'前提と出典'!B73+'前提と出典'!C73,IF(B545&lt;=100,'前提と出典'!B74+'前提と出典'!C74,IF(B545&lt;=500,'前提と出典'!B75+'前提と出典'!C75,'前提と出典'!B76+'前提と出典'!C76))))</ns0:f>
        <ns0:v>40000</ns0:v>
      </ns0:c>
      <ns0:c r="N545" s="16">
        <ns0:f>IF(('前提と出典'!$C$37+'前提と出典'!$C$38)=0,0,IF(C545&lt;=10,'前提と出典'!D73+'前提と出典'!E73,IF(C545&lt;=100,'前提と出典'!D74+'前提と出典'!E74,IF(C545&lt;=500,'前提と出典'!D75+'前提と出典'!E75,'前提と出典'!D76+'前提と出典'!E76))))</ns0:f>
        <ns0:v>56510.9346263078</ns0:v>
      </ns0:c>
      <ns0:c r="O545" s="16">
        <ns0:f>IF('前提と出典'!$C$36+'前提と出典'!$C$38=0,0,'前提と出典'!$B$4*IF('前提と出典'!$B$20=0,MAX('前提と出典'!$B$6,D545*'前提と出典'!$B$5),'前提と出典'!$B$6+D545*'前提と出典'!$B$5))</ns0:f>
        <ns0:v>537203.9329608938</ns0:v>
      </ns0:c>
      <ns0:c r="P545" s="16">
        <ns0:f>(E545+G545)*(1-'前提と出典'!$B$7)-I545-K545-M545-O545</ns0:f>
        <ns0:v>1521183.111954745</ns0:v>
      </ns0:c>
      <ns0:c r="Q545" s="16">
        <ns0:f>(F545+H545)*(1-'前提と出典'!$B$7)-J545-L545-N545</ns0:f>
        <ns0:v>445964.12308396597</ns0:v>
      </ns0:c>
      <ns0:c r="R545" s="16">
        <ns0:f>P545-E545*'前提と出典'!$E$4</ns0:f>
        <ns0:v>1113181.5365127446</ns0:v>
      </ns0:c>
      <ns0:c r="S545" s="16">
        <ns0:f>Q545-F545*'前提と出典'!$E$4</ns0:f>
        <ns0:v>327409.29438234307</ns0:v>
      </ns0:c>
      <ns0:c r="T545" s="7">
        <ns0:f>R545+S545</ns0:f>
        <ns0:v>1440590.8308950877</ns0:v>
      </ns0:c>
      <ns0:c r="U545" s="16">
        <ns0:f>P545-E545*'前提と出典'!$E$5</ns0:f>
        <ns0:v>977181.0113654112</ns0:v>
      </ns0:c>
      <ns0:c r="V545" s="16">
        <ns0:f>Q545-F545*'前提と出典'!$E$5</ns0:f>
        <ns0:v>287891.0181484688</ns0:v>
      </ns0:c>
      <ns0:c r="W545" s="7">
        <ns0:f>U545+V545</ns0:f>
        <ns0:v>1265072.0295138801</ns0:v>
      </ns0:c>
      <ns0:c r="X545" s="16">
        <ns0:f>P545-E545*'前提と出典'!$E$6</ns0:f>
        <ns0:v>841180.4862180777</ns0:v>
      </ns0:c>
      <ns0:c r="Y545" s="16">
        <ns0:f>Q545-F545*'前提と出典'!$E$6</ns0:f>
        <ns0:v>248372.74191459455</ns0:v>
      </ns0:c>
      <ns0:c r="Z545" s="7">
        <ns0:f>X545+Y545</ns0:f>
        <ns0:v>1089553.2281326721</ns0:v>
      </ns0:c>
      <ns0:c r="AA545" s="7">
        <ns0:f>IF(T545&gt;=0,A545,1001)</ns0:f>
        <ns0:v>541</ns0:v>
      </ns0:c>
      <ns0:c r="AB545" s="7">
        <ns0:f>IF(T545&lt;0,A545,0)</ns0:f>
        <ns0:v>0</ns0:v>
      </ns0:c>
      <ns0:c r="AC545" s="16">
        <ns0:f>IF(AND(OR('前提と出典'!$C$36+'前提と出典'!$C$38=0,R545&gt;=0),OR('前提と出典'!$C$37+'前提と出典'!$C$38=0,S545&gt;=0)),0,A545)</ns0:f>
        <ns0:v>0</ns0:v>
      </ns0:c>
      <ns0:c r="AD545" s="7">
        <ns0:f>IF(W545&gt;=0,A545,1001)</ns0:f>
        <ns0:v>541</ns0:v>
      </ns0:c>
      <ns0:c r="AE545" s="7">
        <ns0:f>IF(W545&lt;0,A545,0)</ns0:f>
        <ns0:v>0</ns0:v>
      </ns0:c>
      <ns0:c r="AF545" s="16">
        <ns0:f>IF(AND(OR('前提と出典'!$C$36+'前提と出典'!$C$38=0,U545&gt;=0),OR('前提と出典'!$C$37+'前提と出典'!$C$38=0,V545&gt;=0)),0,A545)</ns0:f>
        <ns0:v>0</ns0:v>
      </ns0:c>
      <ns0:c r="AG545" s="7">
        <ns0:f>IF(Z545&gt;=0,A545,1001)</ns0:f>
        <ns0:v>541</ns0:v>
      </ns0:c>
      <ns0:c r="AH545" s="4">
        <ns0:f>IF(Z545&lt;0,A545,0)</ns0:f>
        <ns0:v>0</ns0:v>
      </ns0:c>
      <ns0:c r="AI545" s="12">
        <ns0:f>IF(AND(OR('前提と出典'!$C$36+'前提と出典'!$C$38=0,X545&gt;=0),OR('前提と出典'!$C$37+'前提と出典'!$C$38=0,Y545&gt;=0)),0,A545)</ns0:f>
        <ns0:v>0</ns0:v>
      </ns0:c>
    </ns0:row>
    <ns0:row r="546" ht="24" customHeight="1">
      <ns0:c r="A546" s="4" t="n">
        <ns0:v>542</ns0:v>
      </ns0:c>
      <ns0:c r="B546" s="12">
        <ns0:f>A546*('前提と出典'!$C$36+'前提と出典'!$C$38)</ns0:f>
        <ns0:v>379.4</ns0:v>
      </ns0:c>
      <ns0:c r="C546" s="12">
        <ns0:f>A546*('前提と出典'!$C$37+'前提と出典'!$C$38)</ns0:f>
        <ns0:v>325.2</ns0:v>
      </ns0:c>
      <ns0:c r="D546" s="16">
        <ns0:f>A546*('前提と出典'!$C$36*'契約別単価'!C5+'前提と出典'!$C$37*'契約別単価'!C6+'前提と出典'!$C$38*'契約別単価'!C7)</ns0:f>
        <ns0:v>3899.9776536312847</ns0:v>
      </ns0:c>
      <ns0:c r="E546" s="16">
        <ns0:f>A546*('前提と出典'!$C$36*'契約別単価'!E5+'前提と出典'!$C$37*'契約別単価'!E6+'前提と出典'!$C$38*'契約別単価'!E7)</ns0:f>
        <ns0:v>1362519.124396575</ns0:v>
      </ns0:c>
      <ns0:c r="F546" s="16">
        <ns0:f>A546*('前提と出典'!$C$36*'契約別単価'!F5+'前提と出典'!$C$37*'契約別単価'!F6+'前提と出典'!$C$38*'契約別単価'!F7)</ns0:f>
        <ns0:v>395913.2295519383</ns0:v>
      </ns0:c>
      <ns0:c r="G546" s="16">
        <ns0:f>A546*('前提と出典'!$C$36*'契約別単価'!G5+'前提と出典'!$C$37*'契約別単価'!G6+'前提と出典'!$C$38*'契約別単価'!G7)</ns0:f>
        <ns0:v>1078852.5139664805</ns0:v>
      </ns0:c>
      <ns0:c r="H546" s="16">
        <ns0:f>A546*('前提と出典'!$C$36*'契約別単価'!H5+'前提と出典'!$C$37*'契約別単価'!H6+'前提と出典'!$C$38*'契約別単価'!H7)</ns0:f>
        <ns0:v>374415.9310519075</ns0:v>
      </ns0:c>
      <ns0:c r="I546" s="16">
        <ns0:f>A546*('前提と出典'!$C$36*'契約別単価'!I5+'前提と出典'!$C$37*'契約別単価'!I6+'前提と出典'!$C$38*'契約別単価'!I7)</ns0:f>
        <ns0:v>22869.977653631282</ns0:v>
      </ns0:c>
      <ns0:c r="J546" s="16">
        <ns0:f>A546*('前提と出典'!$C$36*'契約別単価'!J5+'前提と出典'!$C$37*'契約別単価'!J6+'前提と出典'!$C$38*'契約別単価'!J7)</ns0:f>
        <ns0:v>53272.932690983995</ns0:v>
      </ns0:c>
      <ns0:c r="K546" s="16">
        <ns0:f>A546*('前提と出典'!$C$36*'契約別単価'!K5+'前提と出典'!$C$37*'契約別単価'!K6+'前提と出典'!$C$38*'契約別単価'!K7)</ns0:f>
        <ns0:v>228346.51769087522</ns0:v>
      </ns0:c>
      <ns0:c r="L546" s="16">
        <ns0:f>A546*('前提と出典'!$C$36*'契約別単価'!L5+'前提と出典'!$C$37*'契約別単価'!L6+'前提と出典'!$C$38*'契約別単価'!L7)</ns0:f>
        <ns0:v>185920.53103506358</ns0:v>
      </ns0:c>
      <ns0:c r="M546" s="16">
        <ns0:f>IF(('前提と出典'!$C$36+'前提と出典'!$C$38)=0,0,IF(B546&lt;=10,'前提と出典'!B73+'前提と出典'!C73,IF(B546&lt;=100,'前提と出典'!B74+'前提と出典'!C74,IF(B546&lt;=500,'前提と出典'!B75+'前提と出典'!C75,'前提と出典'!B76+'前提と出典'!C76))))</ns0:f>
        <ns0:v>40000</ns0:v>
      </ns0:c>
      <ns0:c r="N546" s="16">
        <ns0:f>IF(('前提と出典'!$C$37+'前提と出典'!$C$38)=0,0,IF(C546&lt;=10,'前提と出典'!D73+'前提と出典'!E73,IF(C546&lt;=100,'前提と出典'!D74+'前提と出典'!E74,IF(C546&lt;=500,'前提と出典'!D75+'前提と出典'!E75,'前提と出典'!D76+'前提と出典'!E76))))</ns0:f>
        <ns0:v>56510.9346263078</ns0:v>
      </ns0:c>
      <ns0:c r="O546" s="16">
        <ns0:f>IF('前提と出典'!$C$36+'前提と出典'!$C$38=0,0,'前提と出典'!$B$4*IF('前提と出典'!$B$20=0,MAX('前提と出典'!$B$6,D546*'前提と出典'!$B$5),'前提と出典'!$B$6+D546*'前提と出典'!$B$5))</ns0:f>
        <ns0:v>538196.9162011173</ns0:v>
      </ns0:c>
      <ns0:c r="P546" s="16">
        <ns0:f>(E546+G546)*(1-'前提と出典'!$B$7)-I546-K546-M546-O546</ns0:f>
        <ns0:v>1524068.8478363617</ns0:v>
      </ns0:c>
      <ns0:c r="Q546" s="16">
        <ns0:f>(F546+H546)*(1-'前提と出典'!$B$7)-J546-L546-N546</ns0:f>
        <ns0:v>446892.9124697519</ns0:v>
      </ns0:c>
      <ns0:c r="R546" s="16">
        <ns0:f>P546-E546*'前提と出典'!$E$4</ns0:f>
        <ns0:v>1115313.1105173891</ns0:v>
      </ns0:c>
      <ns0:c r="S546" s="16">
        <ns0:f>Q546-F546*'前提と出典'!$E$4</ns0:f>
        <ns0:v>328118.94360417046</ns0:v>
      </ns0:c>
      <ns0:c r="T546" s="7">
        <ns0:f>R546+S546</ns0:f>
        <ns0:v>1443432.0541215595</ns0:v>
      </ns0:c>
      <ns0:c r="U546" s="16">
        <ns0:f>P546-E546*'前提と出典'!$E$5</ns0:f>
        <ns0:v>979061.1980777319</ns0:v>
      </ns0:c>
      <ns0:c r="V546" s="16">
        <ns0:f>Q546-F546*'前提と出典'!$E$5</ns0:f>
        <ns0:v>288527.62064897653</ns0:v>
      </ns0:c>
      <ns0:c r="W546" s="7">
        <ns0:f>U546+V546</ns0:f>
        <ns0:v>1267588.8187267084</ns0:v>
      </ns0:c>
      <ns0:c r="X546" s="16">
        <ns0:f>P546-E546*'前提と出典'!$E$6</ns0:f>
        <ns0:v>842809.2856380745</ns0:v>
      </ns0:c>
      <ns0:c r="Y546" s="16">
        <ns0:f>Q546-F546*'前提と出典'!$E$6</ns0:f>
        <ns0:v>248936.29769378272</ns0:v>
      </ns0:c>
      <ns0:c r="Z546" s="7">
        <ns0:f>X546+Y546</ns0:f>
        <ns0:v>1091745.5833318573</ns0:v>
      </ns0:c>
      <ns0:c r="AA546" s="7">
        <ns0:f>IF(T546&gt;=0,A546,1001)</ns0:f>
        <ns0:v>542</ns0:v>
      </ns0:c>
      <ns0:c r="AB546" s="7">
        <ns0:f>IF(T546&lt;0,A546,0)</ns0:f>
        <ns0:v>0</ns0:v>
      </ns0:c>
      <ns0:c r="AC546" s="16">
        <ns0:f>IF(AND(OR('前提と出典'!$C$36+'前提と出典'!$C$38=0,R546&gt;=0),OR('前提と出典'!$C$37+'前提と出典'!$C$38=0,S546&gt;=0)),0,A546)</ns0:f>
        <ns0:v>0</ns0:v>
      </ns0:c>
      <ns0:c r="AD546" s="7">
        <ns0:f>IF(W546&gt;=0,A546,1001)</ns0:f>
        <ns0:v>542</ns0:v>
      </ns0:c>
      <ns0:c r="AE546" s="7">
        <ns0:f>IF(W546&lt;0,A546,0)</ns0:f>
        <ns0:v>0</ns0:v>
      </ns0:c>
      <ns0:c r="AF546" s="16">
        <ns0:f>IF(AND(OR('前提と出典'!$C$36+'前提と出典'!$C$38=0,U546&gt;=0),OR('前提と出典'!$C$37+'前提と出典'!$C$38=0,V546&gt;=0)),0,A546)</ns0:f>
        <ns0:v>0</ns0:v>
      </ns0:c>
      <ns0:c r="AG546" s="7">
        <ns0:f>IF(Z546&gt;=0,A546,1001)</ns0:f>
        <ns0:v>542</ns0:v>
      </ns0:c>
      <ns0:c r="AH546" s="4">
        <ns0:f>IF(Z546&lt;0,A546,0)</ns0:f>
        <ns0:v>0</ns0:v>
      </ns0:c>
      <ns0:c r="AI546" s="12">
        <ns0:f>IF(AND(OR('前提と出典'!$C$36+'前提と出典'!$C$38=0,X546&gt;=0),OR('前提と出典'!$C$37+'前提と出典'!$C$38=0,Y546&gt;=0)),0,A546)</ns0:f>
        <ns0:v>0</ns0:v>
      </ns0:c>
    </ns0:row>
    <ns0:row r="547" ht="24" customHeight="1">
      <ns0:c r="A547" s="4" t="n">
        <ns0:v>543</ns0:v>
      </ns0:c>
      <ns0:c r="B547" s="12">
        <ns0:f>A547*('前提と出典'!$C$36+'前提と出典'!$C$38)</ns0:f>
        <ns0:v>380.09999999999997</ns0:v>
      </ns0:c>
      <ns0:c r="C547" s="12">
        <ns0:f>A547*('前提と出典'!$C$37+'前提と出典'!$C$38)</ns0:f>
        <ns0:v>325.8</ns0:v>
      </ns0:c>
      <ns0:c r="D547" s="16">
        <ns0:f>A547*('前提と出典'!$C$36*'契約別単価'!C5+'前提と出典'!$C$37*'契約別単価'!C6+'前提と出典'!$C$38*'契約別単価'!C7)</ns0:f>
        <ns0:v>3907.1731843575417</ns0:v>
      </ns0:c>
      <ns0:c r="E547" s="16">
        <ns0:f>A547*('前提と出典'!$C$36*'契約別単価'!E5+'前提と出典'!$C$37*'契約別単価'!E6+'前提と出典'!$C$38*'契約別単価'!E7)</ns0:f>
        <ns0:v>1365032.997319816</ns0:v>
      </ns0:c>
      <ns0:c r="F547" s="16">
        <ns0:f>A547*('前提と出典'!$C$36*'契約別単価'!F5+'前提と出典'!$C$37*'契約別単価'!F6+'前提と出典'!$C$38*'契約別単価'!F7)</ns0:f>
        <ns0:v>396643.69676513376</ns0:v>
      </ns0:c>
      <ns0:c r="G547" s="16">
        <ns0:f>A547*('前提と出典'!$C$36*'契約別単価'!G5+'前提と出典'!$C$37*'契約別単価'!G6+'前提と出典'!$C$38*'契約別単価'!G7)</ns0:f>
        <ns0:v>1080843.0167597765</ns0:v>
      </ns0:c>
      <ns0:c r="H547" s="16">
        <ns0:f>A547*('前提と出典'!$C$36*'契約別単価'!H5+'前提と出典'!$C$37*'契約別単価'!H6+'前提と出典'!$C$38*'契約別単価'!H7)</ns0:f>
        <ns0:v>375106.73535274126</ns0:v>
      </ns0:c>
      <ns0:c r="I547" s="16">
        <ns0:f>A547*('前提と出典'!$C$36*'契約別単価'!I5+'前提と出典'!$C$37*'契約別単価'!I6+'前提と出典'!$C$38*'契約別単価'!I7)</ns0:f>
        <ns0:v>22912.173184357536</ns0:v>
      </ns0:c>
      <ns0:c r="J547" s="16">
        <ns0:f>A547*('前提と出典'!$C$36*'契約別単価'!J5+'前提と出典'!$C$37*'契約別単価'!J6+'前提と出典'!$C$38*'契約別単価'!J7)</ns0:f>
        <ns0:v>53371.222234694294</ns0:v>
      </ns0:c>
      <ns0:c r="K547" s="16">
        <ns0:f>A547*('前提と出典'!$C$36*'契約別単価'!K5+'前提と出典'!$C$37*'契約別単価'!K6+'前提と出典'!$C$38*'契約別単価'!K7)</ns0:f>
        <ns0:v>228767.82122905026</ns0:v>
      </ns0:c>
      <ns0:c r="L547" s="16">
        <ns0:f>A547*('前提と出典'!$C$36*'契約別単価'!L5+'前提と出典'!$C$37*'契約別単価'!L6+'前提と出典'!$C$38*'契約別単価'!L7)</ns0:f>
        <ns0:v>186263.55784509136</ns0:v>
      </ns0:c>
      <ns0:c r="M547" s="16">
        <ns0:f>IF(('前提と出典'!$C$36+'前提と出典'!$C$38)=0,0,IF(B547&lt;=10,'前提と出典'!B73+'前提と出典'!C73,IF(B547&lt;=100,'前提と出典'!B74+'前提と出典'!C74,IF(B547&lt;=500,'前提と出典'!B75+'前提と出典'!C75,'前提と出典'!B76+'前提と出典'!C76))))</ns0:f>
        <ns0:v>40000</ns0:v>
      </ns0:c>
      <ns0:c r="N547" s="16">
        <ns0:f>IF(('前提と出典'!$C$37+'前提と出典'!$C$38)=0,0,IF(C547&lt;=10,'前提と出典'!D73+'前提と出典'!E73,IF(C547&lt;=100,'前提と出典'!D74+'前提と出典'!E74,IF(C547&lt;=500,'前提と出典'!D75+'前提と出典'!E75,'前提と出典'!D76+'前提と出典'!E76))))</ns0:f>
        <ns0:v>56510.9346263078</ns0:v>
      </ns0:c>
      <ns0:c r="O547" s="16">
        <ns0:f>IF('前提と出典'!$C$36+'前提と出典'!$C$38=0,0,'前提と出典'!$B$4*IF('前提と出典'!$B$20=0,MAX('前提と出典'!$B$6,D547*'前提と出典'!$B$5),'前提と出典'!$B$6+D547*'前提と出典'!$B$5))</ns0:f>
        <ns0:v>539189.8994413408</ns0:v>
      </ns0:c>
      <ns0:c r="P547" s="16">
        <ns0:f>(E547+G547)*(1-'前提と出典'!$B$7)-I547-K547-M547-O547</ns0:f>
        <ns0:v>1526954.583717978</ns0:v>
      </ns0:c>
      <ns0:c r="Q547" s="16">
        <ns0:f>(F547+H547)*(1-'前提と出典'!$B$7)-J547-L547-N547</ns0:f>
        <ns0:v>447821.7018555381</ns0:v>
      </ns0:c>
      <ns0:c r="R547" s="16">
        <ns0:f>P547-E547*'前提と出典'!$E$4</ns0:f>
        <ns0:v>1117444.6845220332</ns0:v>
      </ns0:c>
      <ns0:c r="S547" s="16">
        <ns0:f>Q547-F547*'前提と出典'!$E$4</ns0:f>
        <ns0:v>328828.59282599797</ns0:v>
      </ns0:c>
      <ns0:c r="T547" s="7">
        <ns0:f>R547+S547</ns0:f>
        <ns0:v>1446273.2773480313</ns0:v>
      </ns0:c>
      <ns0:c r="U547" s="16">
        <ns0:f>P547-E547*'前提と出典'!$E$5</ns0:f>
        <ns0:v>980941.3847900518</ns0:v>
      </ns0:c>
      <ns0:c r="V547" s="16">
        <ns0:f>Q547-F547*'前提と出典'!$E$5</ns0:f>
        <ns0:v>289164.2231494846</ns0:v>
      </ns0:c>
      <ns0:c r="W547" s="7">
        <ns0:f>U547+V547</ns0:f>
        <ns0:v>1270105.6079395365</ns0:v>
      </ns0:c>
      <ns0:c r="X547" s="16">
        <ns0:f>P547-E547*'前提と出典'!$E$6</ns0:f>
        <ns0:v>844438.0850580704</ns0:v>
      </ns0:c>
      <ns0:c r="Y547" s="16">
        <ns0:f>Q547-F547*'前提と出典'!$E$6</ns0:f>
        <ns0:v>249499.85347297124</ns0:v>
      </ns0:c>
      <ns0:c r="Z547" s="7">
        <ns0:f>X547+Y547</ns0:f>
        <ns0:v>1093937.9385310416</ns0:v>
      </ns0:c>
      <ns0:c r="AA547" s="7">
        <ns0:f>IF(T547&gt;=0,A547,1001)</ns0:f>
        <ns0:v>543</ns0:v>
      </ns0:c>
      <ns0:c r="AB547" s="7">
        <ns0:f>IF(T547&lt;0,A547,0)</ns0:f>
        <ns0:v>0</ns0:v>
      </ns0:c>
      <ns0:c r="AC547" s="16">
        <ns0:f>IF(AND(OR('前提と出典'!$C$36+'前提と出典'!$C$38=0,R547&gt;=0),OR('前提と出典'!$C$37+'前提と出典'!$C$38=0,S547&gt;=0)),0,A547)</ns0:f>
        <ns0:v>0</ns0:v>
      </ns0:c>
      <ns0:c r="AD547" s="7">
        <ns0:f>IF(W547&gt;=0,A547,1001)</ns0:f>
        <ns0:v>543</ns0:v>
      </ns0:c>
      <ns0:c r="AE547" s="7">
        <ns0:f>IF(W547&lt;0,A547,0)</ns0:f>
        <ns0:v>0</ns0:v>
      </ns0:c>
      <ns0:c r="AF547" s="16">
        <ns0:f>IF(AND(OR('前提と出典'!$C$36+'前提と出典'!$C$38=0,U547&gt;=0),OR('前提と出典'!$C$37+'前提と出典'!$C$38=0,V547&gt;=0)),0,A547)</ns0:f>
        <ns0:v>0</ns0:v>
      </ns0:c>
      <ns0:c r="AG547" s="7">
        <ns0:f>IF(Z547&gt;=0,A547,1001)</ns0:f>
        <ns0:v>543</ns0:v>
      </ns0:c>
      <ns0:c r="AH547" s="4">
        <ns0:f>IF(Z547&lt;0,A547,0)</ns0:f>
        <ns0:v>0</ns0:v>
      </ns0:c>
      <ns0:c r="AI547" s="12">
        <ns0:f>IF(AND(OR('前提と出典'!$C$36+'前提と出典'!$C$38=0,X547&gt;=0),OR('前提と出典'!$C$37+'前提と出典'!$C$38=0,Y547&gt;=0)),0,A547)</ns0:f>
        <ns0:v>0</ns0:v>
      </ns0:c>
    </ns0:row>
    <ns0:row r="548" ht="24" customHeight="1">
      <ns0:c r="A548" s="4" t="n">
        <ns0:v>544</ns0:v>
      </ns0:c>
      <ns0:c r="B548" s="12">
        <ns0:f>A548*('前提と出典'!$C$36+'前提と出典'!$C$38)</ns0:f>
        <ns0:v>380.79999999999995</ns0:v>
      </ns0:c>
      <ns0:c r="C548" s="12">
        <ns0:f>A548*('前提と出典'!$C$37+'前提と出典'!$C$38)</ns0:f>
        <ns0:v>326.4</ns0:v>
      </ns0:c>
      <ns0:c r="D548" s="16">
        <ns0:f>A548*('前提と出典'!$C$36*'契約別単価'!C5+'前提と出典'!$C$37*'契約別単価'!C6+'前提と出典'!$C$38*'契約別単価'!C7)</ns0:f>
        <ns0:v>3914.3687150837986</ns0:v>
      </ns0:c>
      <ns0:c r="E548" s="16">
        <ns0:f>A548*('前提と出典'!$C$36*'契約別単価'!E5+'前提と出典'!$C$37*'契約別単価'!E6+'前提と出典'!$C$38*'契約別単価'!E7)</ns0:f>
        <ns0:v>1367546.8702430567</ns0:v>
      </ns0:c>
      <ns0:c r="F548" s="16">
        <ns0:f>A548*('前提と出典'!$C$36*'契約別単価'!F5+'前提と出典'!$C$37*'契約別単価'!F6+'前提と出典'!$C$38*'契約別単価'!F7)</ns0:f>
        <ns0:v>397374.1639783292</ns0:v>
      </ns0:c>
      <ns0:c r="G548" s="16">
        <ns0:f>A548*('前提と出典'!$C$36*'契約別単価'!G5+'前提と出典'!$C$37*'契約別単価'!G6+'前提と出典'!$C$38*'契約別単価'!G7)</ns0:f>
        <ns0:v>1082833.5195530725</ns0:v>
      </ns0:c>
      <ns0:c r="H548" s="16">
        <ns0:f>A548*('前提と出典'!$C$36*'契約別単価'!H5+'前提と出典'!$C$37*'契約別単価'!H6+'前提と出典'!$C$38*'契約別単価'!H7)</ns0:f>
        <ns0:v>375797.53965357505</ns0:v>
      </ns0:c>
      <ns0:c r="I548" s="16">
        <ns0:f>A548*('前提と出典'!$C$36*'契約別単価'!I5+'前提と出典'!$C$37*'契約別単価'!I6+'前提と出典'!$C$38*'契約別単価'!I7)</ns0:f>
        <ns0:v>22954.368715083794</ns0:v>
      </ns0:c>
      <ns0:c r="J548" s="16">
        <ns0:f>A548*('前提と出典'!$C$36*'契約別単価'!J5+'前提と出典'!$C$37*'契約別単価'!J6+'前提と出典'!$C$38*'契約別単価'!J7)</ns0:f>
        <ns0:v>53469.511778404594</ns0:v>
      </ns0:c>
      <ns0:c r="K548" s="16">
        <ns0:f>A548*('前提と出典'!$C$36*'契約別単価'!K5+'前提と出典'!$C$37*'契約別単価'!K6+'前提と出典'!$C$38*'契約別単価'!K7)</ns0:f>
        <ns0:v>229189.12476722532</ns0:v>
      </ns0:c>
      <ns0:c r="L548" s="16">
        <ns0:f>A548*('前提と出典'!$C$36*'契約別単価'!L5+'前提と出典'!$C$37*'契約別単価'!L6+'前提と出典'!$C$38*'契約別単価'!L7)</ns0:f>
        <ns0:v>186606.58465511916</ns0:v>
      </ns0:c>
      <ns0:c r="M548" s="16">
        <ns0:f>IF(('前提と出典'!$C$36+'前提と出典'!$C$38)=0,0,IF(B548&lt;=10,'前提と出典'!B73+'前提と出典'!C73,IF(B548&lt;=100,'前提と出典'!B74+'前提と出典'!C74,IF(B548&lt;=500,'前提と出典'!B75+'前提と出典'!C75,'前提と出典'!B76+'前提と出典'!C76))))</ns0:f>
        <ns0:v>40000</ns0:v>
      </ns0:c>
      <ns0:c r="N548" s="16">
        <ns0:f>IF(('前提と出典'!$C$37+'前提と出典'!$C$38)=0,0,IF(C548&lt;=10,'前提と出典'!D73+'前提と出典'!E73,IF(C548&lt;=100,'前提と出典'!D74+'前提と出典'!E74,IF(C548&lt;=500,'前提と出典'!D75+'前提と出典'!E75,'前提と出典'!D76+'前提と出典'!E76))))</ns0:f>
        <ns0:v>56510.9346263078</ns0:v>
      </ns0:c>
      <ns0:c r="O548" s="16">
        <ns0:f>IF('前提と出典'!$C$36+'前提と出典'!$C$38=0,0,'前提と出典'!$B$4*IF('前提と出典'!$B$20=0,MAX('前提と出典'!$B$6,D548*'前提と出典'!$B$5),'前提と出典'!$B$6+D548*'前提と出典'!$B$5))</ns0:f>
        <ns0:v>540182.8826815642</ns0:v>
      </ns0:c>
      <ns0:c r="P548" s="16">
        <ns0:f>(E548+G548)*(1-'前提と出典'!$B$7)-I548-K548-M548-O548</ns0:f>
        <ns0:v>1529840.3195995954</ns0:v>
      </ns0:c>
      <ns0:c r="Q548" s="16">
        <ns0:f>(F548+H548)*(1-'前提と出典'!$B$7)-J548-L548-N548</ns0:f>
        <ns0:v>448750.4912413241</ns0:v>
      </ns0:c>
      <ns0:c r="R548" s="16">
        <ns0:f>P548-E548*'前提と出典'!$E$4</ns0:f>
        <ns0:v>1119576.2585266787</ns0:v>
      </ns0:c>
      <ns0:c r="S548" s="16">
        <ns0:f>Q548-F548*'前提と出典'!$E$4</ns0:f>
        <ns0:v>329538.2420478253</ns0:v>
      </ns0:c>
      <ns0:c r="T548" s="7">
        <ns0:f>R548+S548</ns0:f>
        <ns0:v>1449114.500574504</ns0:v>
      </ns0:c>
      <ns0:c r="U548" s="16">
        <ns0:f>P548-E548*'前提と出典'!$E$5</ns0:f>
        <ns0:v>982821.5715023729</ns0:v>
      </ns0:c>
      <ns0:c r="V548" s="16">
        <ns0:f>Q548-F548*'前提と出典'!$E$5</ns0:f>
        <ns0:v>289800.8256499924</ns0:v>
      </ns0:c>
      <ns0:c r="W548" s="7">
        <ns0:f>U548+V548</ns0:f>
        <ns0:v>1272622.3971523652</ns0:v>
      </ns0:c>
      <ns0:c r="X548" s="16">
        <ns0:f>P548-E548*'前提と出典'!$E$6</ns0:f>
        <ns0:v>846066.8844780673</ns0:v>
      </ns0:c>
      <ns0:c r="Y548" s="16">
        <ns0:f>Q548-F548*'前提と出典'!$E$6</ns0:f>
        <ns0:v>250063.40925215947</ns0:v>
      </ns0:c>
      <ns0:c r="Z548" s="7">
        <ns0:f>X548+Y548</ns0:f>
        <ns0:v>1096130.2937302268</ns0:v>
      </ns0:c>
      <ns0:c r="AA548" s="7">
        <ns0:f>IF(T548&gt;=0,A548,1001)</ns0:f>
        <ns0:v>544</ns0:v>
      </ns0:c>
      <ns0:c r="AB548" s="7">
        <ns0:f>IF(T548&lt;0,A548,0)</ns0:f>
        <ns0:v>0</ns0:v>
      </ns0:c>
      <ns0:c r="AC548" s="16">
        <ns0:f>IF(AND(OR('前提と出典'!$C$36+'前提と出典'!$C$38=0,R548&gt;=0),OR('前提と出典'!$C$37+'前提と出典'!$C$38=0,S548&gt;=0)),0,A548)</ns0:f>
        <ns0:v>0</ns0:v>
      </ns0:c>
      <ns0:c r="AD548" s="7">
        <ns0:f>IF(W548&gt;=0,A548,1001)</ns0:f>
        <ns0:v>544</ns0:v>
      </ns0:c>
      <ns0:c r="AE548" s="7">
        <ns0:f>IF(W548&lt;0,A548,0)</ns0:f>
        <ns0:v>0</ns0:v>
      </ns0:c>
      <ns0:c r="AF548" s="16">
        <ns0:f>IF(AND(OR('前提と出典'!$C$36+'前提と出典'!$C$38=0,U548&gt;=0),OR('前提と出典'!$C$37+'前提と出典'!$C$38=0,V548&gt;=0)),0,A548)</ns0:f>
        <ns0:v>0</ns0:v>
      </ns0:c>
      <ns0:c r="AG548" s="7">
        <ns0:f>IF(Z548&gt;=0,A548,1001)</ns0:f>
        <ns0:v>544</ns0:v>
      </ns0:c>
      <ns0:c r="AH548" s="4">
        <ns0:f>IF(Z548&lt;0,A548,0)</ns0:f>
        <ns0:v>0</ns0:v>
      </ns0:c>
      <ns0:c r="AI548" s="12">
        <ns0:f>IF(AND(OR('前提と出典'!$C$36+'前提と出典'!$C$38=0,X548&gt;=0),OR('前提と出典'!$C$37+'前提と出典'!$C$38=0,Y548&gt;=0)),0,A548)</ns0:f>
        <ns0:v>0</ns0:v>
      </ns0:c>
    </ns0:row>
    <ns0:row r="549" ht="24" customHeight="1">
      <ns0:c r="A549" s="4" t="n">
        <ns0:v>545</ns0:v>
      </ns0:c>
      <ns0:c r="B549" s="12">
        <ns0:f>A549*('前提と出典'!$C$36+'前提と出典'!$C$38)</ns0:f>
        <ns0:v>381.5</ns0:v>
      </ns0:c>
      <ns0:c r="C549" s="12">
        <ns0:f>A549*('前提と出典'!$C$37+'前提と出典'!$C$38)</ns0:f>
        <ns0:v>327</ns0:v>
      </ns0:c>
      <ns0:c r="D549" s="16">
        <ns0:f>A549*('前提と出典'!$C$36*'契約別単価'!C5+'前提と出典'!$C$37*'契約別単価'!C6+'前提と出典'!$C$38*'契約別単価'!C7)</ns0:f>
        <ns0:v>3921.564245810056</ns0:v>
      </ns0:c>
      <ns0:c r="E549" s="16">
        <ns0:f>A549*('前提と出典'!$C$36*'契約別単価'!E5+'前提と出典'!$C$37*'契約別単価'!E6+'前提と出典'!$C$38*'契約別単価'!E7)</ns0:f>
        <ns0:v>1370060.7431662977</ns0:v>
      </ns0:c>
      <ns0:c r="F549" s="16">
        <ns0:f>A549*('前提と出典'!$C$36*'契約別単価'!F5+'前提と出典'!$C$37*'契約別単価'!F6+'前提と出典'!$C$38*'契約別単価'!F7)</ns0:f>
        <ns0:v>398104.6311915247</ns0:v>
      </ns0:c>
      <ns0:c r="G549" s="16">
        <ns0:f>A549*('前提と出典'!$C$36*'契約別単価'!G5+'前提と出典'!$C$37*'契約別単価'!G6+'前提と出典'!$C$38*'契約別単価'!G7)</ns0:f>
        <ns0:v>1084824.0223463688</ns0:v>
      </ns0:c>
      <ns0:c r="H549" s="16">
        <ns0:f>A549*('前提と出典'!$C$36*'契約別単価'!H5+'前提と出典'!$C$37*'契約別単価'!H6+'前提と出典'!$C$38*'契約別単価'!H7)</ns0:f>
        <ns0:v>376488.34395440883</ns0:v>
      </ns0:c>
      <ns0:c r="I549" s="16">
        <ns0:f>A549*('前提と出典'!$C$36*'契約別単価'!I5+'前提と出典'!$C$37*'契約別単価'!I6+'前提と出典'!$C$38*'契約別単価'!I7)</ns0:f>
        <ns0:v>22996.564245810052</ns0:v>
      </ns0:c>
      <ns0:c r="J549" s="16">
        <ns0:f>A549*('前提と出典'!$C$36*'契約別単価'!J5+'前提と出典'!$C$37*'契約別単価'!J6+'前提と出典'!$C$38*'契約別単価'!J7)</ns0:f>
        <ns0:v>53567.8013221149</ns0:v>
      </ns0:c>
      <ns0:c r="K549" s="16">
        <ns0:f>A549*('前提と出典'!$C$36*'契約別単価'!K5+'前提と出典'!$C$37*'契約別単価'!K6+'前提と出典'!$C$38*'契約別単価'!K7)</ns0:f>
        <ns0:v>229610.42830540036</ns0:v>
      </ns0:c>
      <ns0:c r="L549" s="16">
        <ns0:f>A549*('前提と出典'!$C$36*'契約別単価'!L5+'前提と出典'!$C$37*'契約別単価'!L6+'前提と出典'!$C$38*'契約別単価'!L7)</ns0:f>
        <ns0:v>186949.61146514697</ns0:v>
      </ns0:c>
      <ns0:c r="M549" s="16">
        <ns0:f>IF(('前提と出典'!$C$36+'前提と出典'!$C$38)=0,0,IF(B549&lt;=10,'前提と出典'!B73+'前提と出典'!C73,IF(B549&lt;=100,'前提と出典'!B74+'前提と出典'!C74,IF(B549&lt;=500,'前提と出典'!B75+'前提と出典'!C75,'前提と出典'!B76+'前提と出典'!C76))))</ns0:f>
        <ns0:v>40000</ns0:v>
      </ns0:c>
      <ns0:c r="N549" s="16">
        <ns0:f>IF(('前提と出典'!$C$37+'前提と出典'!$C$38)=0,0,IF(C549&lt;=10,'前提と出典'!D73+'前提と出典'!E73,IF(C549&lt;=100,'前提と出典'!D74+'前提と出典'!E74,IF(C549&lt;=500,'前提と出典'!D75+'前提と出典'!E75,'前提と出典'!D76+'前提と出典'!E76))))</ns0:f>
        <ns0:v>56510.9346263078</ns0:v>
      </ns0:c>
      <ns0:c r="O549" s="16">
        <ns0:f>IF('前提と出典'!$C$36+'前提と出典'!$C$38=0,0,'前提と出典'!$B$4*IF('前提と出典'!$B$20=0,MAX('前提と出典'!$B$6,D549*'前提と出典'!$B$5),'前提と出典'!$B$6+D549*'前提と出典'!$B$5))</ns0:f>
        <ns0:v>541175.8659217878</ns0:v>
      </ns0:c>
      <ns0:c r="P549" s="16">
        <ns0:f>(E549+G549)*(1-'前提と出典'!$B$7)-I549-K549-M549-O549</ns0:f>
        <ns0:v>1532726.0554812124</ns0:v>
      </ns0:c>
      <ns0:c r="Q549" s="16">
        <ns0:f>(F549+H549)*(1-'前提と出典'!$B$7)-J549-L549-N549</ns0:f>
        <ns0:v>449679.28062711016</ns0:v>
      </ns0:c>
      <ns0:c r="R549" s="16">
        <ns0:f>P549-E549*'前提と出典'!$E$4</ns0:f>
        <ns0:v>1121707.8325313232</ns0:v>
      </ns0:c>
      <ns0:c r="S549" s="16">
        <ns0:f>Q549-F549*'前提と出典'!$E$4</ns0:f>
        <ns0:v>330247.89126965275</ns0:v>
      </ns0:c>
      <ns0:c r="T549" s="7">
        <ns0:f>R549+S549</ns0:f>
        <ns0:v>1451955.7238009758</ns0:v>
      </ns0:c>
      <ns0:c r="U549" s="16">
        <ns0:f>P549-E549*'前提と出典'!$E$5</ns0:f>
        <ns0:v>984701.7582146934</ns0:v>
      </ns0:c>
      <ns0:c r="V549" s="16">
        <ns0:f>Q549-F549*'前提と出典'!$E$5</ns0:f>
        <ns0:v>290437.4281505003</ns0:v>
      </ns0:c>
      <ns0:c r="W549" s="7">
        <ns0:f>U549+V549</ns0:f>
        <ns0:v>1275139.1863651937</ns0:v>
      </ns0:c>
      <ns0:c r="X549" s="16">
        <ns0:f>P549-E549*'前提と出典'!$E$6</ns0:f>
        <ns0:v>847695.6838980637</ns0:v>
      </ns0:c>
      <ns0:c r="Y549" s="16">
        <ns0:f>Q549-F549*'前提と出典'!$E$6</ns0:f>
        <ns0:v>250626.96503134782</ns0:v>
      </ns0:c>
      <ns0:c r="Z549" s="7">
        <ns0:f>X549+Y549</ns0:f>
        <ns0:v>1098322.6489294115</ns0:v>
      </ns0:c>
      <ns0:c r="AA549" s="7">
        <ns0:f>IF(T549&gt;=0,A549,1001)</ns0:f>
        <ns0:v>545</ns0:v>
      </ns0:c>
      <ns0:c r="AB549" s="7">
        <ns0:f>IF(T549&lt;0,A549,0)</ns0:f>
        <ns0:v>0</ns0:v>
      </ns0:c>
      <ns0:c r="AC549" s="16">
        <ns0:f>IF(AND(OR('前提と出典'!$C$36+'前提と出典'!$C$38=0,R549&gt;=0),OR('前提と出典'!$C$37+'前提と出典'!$C$38=0,S549&gt;=0)),0,A549)</ns0:f>
        <ns0:v>0</ns0:v>
      </ns0:c>
      <ns0:c r="AD549" s="7">
        <ns0:f>IF(W549&gt;=0,A549,1001)</ns0:f>
        <ns0:v>545</ns0:v>
      </ns0:c>
      <ns0:c r="AE549" s="7">
        <ns0:f>IF(W549&lt;0,A549,0)</ns0:f>
        <ns0:v>0</ns0:v>
      </ns0:c>
      <ns0:c r="AF549" s="16">
        <ns0:f>IF(AND(OR('前提と出典'!$C$36+'前提と出典'!$C$38=0,U549&gt;=0),OR('前提と出典'!$C$37+'前提と出典'!$C$38=0,V549&gt;=0)),0,A549)</ns0:f>
        <ns0:v>0</ns0:v>
      </ns0:c>
      <ns0:c r="AG549" s="7">
        <ns0:f>IF(Z549&gt;=0,A549,1001)</ns0:f>
        <ns0:v>545</ns0:v>
      </ns0:c>
      <ns0:c r="AH549" s="4">
        <ns0:f>IF(Z549&lt;0,A549,0)</ns0:f>
        <ns0:v>0</ns0:v>
      </ns0:c>
      <ns0:c r="AI549" s="12">
        <ns0:f>IF(AND(OR('前提と出典'!$C$36+'前提と出典'!$C$38=0,X549&gt;=0),OR('前提と出典'!$C$37+'前提と出典'!$C$38=0,Y549&gt;=0)),0,A549)</ns0:f>
        <ns0:v>0</ns0:v>
      </ns0:c>
    </ns0:row>
    <ns0:row r="550" ht="24" customHeight="1">
      <ns0:c r="A550" s="4" t="n">
        <ns0:v>546</ns0:v>
      </ns0:c>
      <ns0:c r="B550" s="12">
        <ns0:f>A550*('前提と出典'!$C$36+'前提と出典'!$C$38)</ns0:f>
        <ns0:v>382.2</ns0:v>
      </ns0:c>
      <ns0:c r="C550" s="12">
        <ns0:f>A550*('前提と出典'!$C$37+'前提と出典'!$C$38)</ns0:f>
        <ns0:v>327.59999999999997</ns0:v>
      </ns0:c>
      <ns0:c r="D550" s="16">
        <ns0:f>A550*('前提と出典'!$C$36*'契約別単価'!C5+'前提と出典'!$C$37*'契約別単価'!C6+'前提と出典'!$C$38*'契約別単価'!C7)</ns0:f>
        <ns0:v>3928.759776536313</ns0:v>
      </ns0:c>
      <ns0:c r="E550" s="16">
        <ns0:f>A550*('前提と出典'!$C$36*'契約別単価'!E5+'前提と出典'!$C$37*'契約別単価'!E6+'前提と出典'!$C$38*'契約別単価'!E7)</ns0:f>
        <ns0:v>1372574.6160895387</ns0:v>
      </ns0:c>
      <ns0:c r="F550" s="16">
        <ns0:f>A550*('前提と出典'!$C$36*'契約別単価'!F5+'前提と出典'!$C$37*'契約別単価'!F6+'前提と出典'!$C$38*'契約別単価'!F7)</ns0:f>
        <ns0:v>398835.09840472013</ns0:v>
      </ns0:c>
      <ns0:c r="G550" s="16">
        <ns0:f>A550*('前提と出典'!$C$36*'契約別単価'!G5+'前提と出典'!$C$37*'契約別単価'!G6+'前提と出典'!$C$38*'契約別単価'!G7)</ns0:f>
        <ns0:v>1086814.5251396648</ns0:v>
      </ns0:c>
      <ns0:c r="H550" s="16">
        <ns0:f>A550*('前提と出典'!$C$36*'契約別単価'!H5+'前提と出典'!$C$37*'契約別単価'!H6+'前提と出典'!$C$38*'契約別単価'!H7)</ns0:f>
        <ns0:v>377179.1482552426</ns0:v>
      </ns0:c>
      <ns0:c r="I550" s="16">
        <ns0:f>A550*('前提と出典'!$C$36*'契約別単価'!I5+'前提と出典'!$C$37*'契約別単価'!I6+'前提と出典'!$C$38*'契約別単価'!I7)</ns0:f>
        <ns0:v>23038.75977653631</ns0:v>
      </ns0:c>
      <ns0:c r="J550" s="16">
        <ns0:f>A550*('前提と出典'!$C$36*'契約別単価'!J5+'前提と出典'!$C$37*'契約別単価'!J6+'前提と出典'!$C$38*'契約別単価'!J7)</ns0:f>
        <ns0:v>53666.0908658252</ns0:v>
      </ns0:c>
      <ns0:c r="K550" s="16">
        <ns0:f>A550*('前提と出典'!$C$36*'契約別単価'!K5+'前提と出典'!$C$37*'契約別単価'!K6+'前提と出典'!$C$38*'契約別単価'!K7)</ns0:f>
        <ns0:v>230031.7318435754</ns0:v>
      </ns0:c>
      <ns0:c r="L550" s="16">
        <ns0:f>A550*('前提と出典'!$C$36*'契約別単価'!L5+'前提と出典'!$C$37*'契約別単価'!L6+'前提と出典'!$C$38*'契約別単価'!L7)</ns0:f>
        <ns0:v>187292.63827517474</ns0:v>
      </ns0:c>
      <ns0:c r="M550" s="16">
        <ns0:f>IF(('前提と出典'!$C$36+'前提と出典'!$C$38)=0,0,IF(B550&lt;=10,'前提と出典'!B73+'前提と出典'!C73,IF(B550&lt;=100,'前提と出典'!B74+'前提と出典'!C74,IF(B550&lt;=500,'前提と出典'!B75+'前提と出典'!C75,'前提と出典'!B76+'前提と出典'!C76))))</ns0:f>
        <ns0:v>40000</ns0:v>
      </ns0:c>
      <ns0:c r="N550" s="16">
        <ns0:f>IF(('前提と出典'!$C$37+'前提と出典'!$C$38)=0,0,IF(C550&lt;=10,'前提と出典'!D73+'前提と出典'!E73,IF(C550&lt;=100,'前提と出典'!D74+'前提と出典'!E74,IF(C550&lt;=500,'前提と出典'!D75+'前提と出典'!E75,'前提と出典'!D76+'前提と出典'!E76))))</ns0:f>
        <ns0:v>56510.9346263078</ns0:v>
      </ns0:c>
      <ns0:c r="O550" s="16">
        <ns0:f>IF('前提と出典'!$C$36+'前提と出典'!$C$38=0,0,'前提と出典'!$B$4*IF('前提と出典'!$B$20=0,MAX('前提と出典'!$B$6,D550*'前提と出典'!$B$5),'前提と出典'!$B$6+D550*'前提と出典'!$B$5))</ns0:f>
        <ns0:v>542168.8491620112</ns0:v>
      </ns0:c>
      <ns0:c r="P550" s="16">
        <ns0:f>(E550+G550)*(1-'前提と出典'!$B$7)-I550-K550-M550-O550</ns0:f>
        <ns0:v>1535611.791362829</ns0:v>
      </ns0:c>
      <ns0:c r="Q550" s="16">
        <ns0:f>(F550+H550)*(1-'前提と出典'!$B$7)-J550-L550-N550</ns0:f>
        <ns0:v>450608.0700128963</ns0:v>
      </ns0:c>
      <ns0:c r="R550" s="16">
        <ns0:f>P550-E550*'前提と出典'!$E$4</ns0:f>
        <ns0:v>1123839.4065359677</ns0:v>
      </ns0:c>
      <ns0:c r="S550" s="16">
        <ns0:f>Q550-F550*'前提と出典'!$E$4</ns0:f>
        <ns0:v>330957.54049148026</ns0:v>
      </ns0:c>
      <ns0:c r="T550" s="7">
        <ns0:f>R550+S550</ns0:f>
        <ns0:v>1454796.947027448</ns0:v>
      </ns0:c>
      <ns0:c r="U550" s="16">
        <ns0:f>P550-E550*'前提と出典'!$E$5</ns0:f>
        <ns0:v>986581.9449270137</ns0:v>
      </ns0:c>
      <ns0:c r="V550" s="16">
        <ns0:f>Q550-F550*'前提と出典'!$E$5</ns0:f>
        <ns0:v>291074.03065100824</ns0:v>
      </ns0:c>
      <ns0:c r="W550" s="7">
        <ns0:f>U550+V550</ns0:f>
        <ns0:v>1277655.975578022</ns0:v>
      </ns0:c>
      <ns0:c r="X550" s="16">
        <ns0:f>P550-E550*'前提と出典'!$E$6</ns0:f>
        <ns0:v>849324.4833180599</ns0:v>
      </ns0:c>
      <ns0:c r="Y550" s="16">
        <ns0:f>Q550-F550*'前提と出典'!$E$6</ns0:f>
        <ns0:v>251190.52081053623</ns0:v>
      </ns0:c>
      <ns0:c r="Z550" s="7">
        <ns0:f>X550+Y550</ns0:f>
        <ns0:v>1100515.0041285963</ns0:v>
      </ns0:c>
      <ns0:c r="AA550" s="7">
        <ns0:f>IF(T550&gt;=0,A550,1001)</ns0:f>
        <ns0:v>546</ns0:v>
      </ns0:c>
      <ns0:c r="AB550" s="7">
        <ns0:f>IF(T550&lt;0,A550,0)</ns0:f>
        <ns0:v>0</ns0:v>
      </ns0:c>
      <ns0:c r="AC550" s="16">
        <ns0:f>IF(AND(OR('前提と出典'!$C$36+'前提と出典'!$C$38=0,R550&gt;=0),OR('前提と出典'!$C$37+'前提と出典'!$C$38=0,S550&gt;=0)),0,A550)</ns0:f>
        <ns0:v>0</ns0:v>
      </ns0:c>
      <ns0:c r="AD550" s="7">
        <ns0:f>IF(W550&gt;=0,A550,1001)</ns0:f>
        <ns0:v>546</ns0:v>
      </ns0:c>
      <ns0:c r="AE550" s="7">
        <ns0:f>IF(W550&lt;0,A550,0)</ns0:f>
        <ns0:v>0</ns0:v>
      </ns0:c>
      <ns0:c r="AF550" s="16">
        <ns0:f>IF(AND(OR('前提と出典'!$C$36+'前提と出典'!$C$38=0,U550&gt;=0),OR('前提と出典'!$C$37+'前提と出典'!$C$38=0,V550&gt;=0)),0,A550)</ns0:f>
        <ns0:v>0</ns0:v>
      </ns0:c>
      <ns0:c r="AG550" s="7">
        <ns0:f>IF(Z550&gt;=0,A550,1001)</ns0:f>
        <ns0:v>546</ns0:v>
      </ns0:c>
      <ns0:c r="AH550" s="4">
        <ns0:f>IF(Z550&lt;0,A550,0)</ns0:f>
        <ns0:v>0</ns0:v>
      </ns0:c>
      <ns0:c r="AI550" s="12">
        <ns0:f>IF(AND(OR('前提と出典'!$C$36+'前提と出典'!$C$38=0,X550&gt;=0),OR('前提と出典'!$C$37+'前提と出典'!$C$38=0,Y550&gt;=0)),0,A550)</ns0:f>
        <ns0:v>0</ns0:v>
      </ns0:c>
    </ns0:row>
    <ns0:row r="551" ht="24" customHeight="1">
      <ns0:c r="A551" s="4" t="n">
        <ns0:v>547</ns0:v>
      </ns0:c>
      <ns0:c r="B551" s="12">
        <ns0:f>A551*('前提と出典'!$C$36+'前提と出典'!$C$38)</ns0:f>
        <ns0:v>382.9</ns0:v>
      </ns0:c>
      <ns0:c r="C551" s="12">
        <ns0:f>A551*('前提と出典'!$C$37+'前提と出典'!$C$38)</ns0:f>
        <ns0:v>328.2</ns0:v>
      </ns0:c>
      <ns0:c r="D551" s="16">
        <ns0:f>A551*('前提と出典'!$C$36*'契約別単価'!C5+'前提と出典'!$C$37*'契約別単価'!C6+'前提と出典'!$C$38*'契約別単価'!C7)</ns0:f>
        <ns0:v>3935.95530726257</ns0:v>
      </ns0:c>
      <ns0:c r="E551" s="16">
        <ns0:f>A551*('前提と出典'!$C$36*'契約別単価'!E5+'前提と出典'!$C$37*'契約別単価'!E6+'前提と出典'!$C$38*'契約別単価'!E7)</ns0:f>
        <ns0:v>1375088.4890127794</ns0:v>
      </ns0:c>
      <ns0:c r="F551" s="16">
        <ns0:f>A551*('前提と出典'!$C$36*'契約別単価'!F5+'前提と出典'!$C$37*'契約別単価'!F6+'前提と出典'!$C$38*'契約別単価'!F7)</ns0:f>
        <ns0:v>399565.5656179156</ns0:v>
      </ns0:c>
      <ns0:c r="G551" s="16">
        <ns0:f>A551*('前提と出典'!$C$36*'契約別単価'!G5+'前提と出典'!$C$37*'契約別単価'!G6+'前提と出典'!$C$38*'契約別単価'!G7)</ns0:f>
        <ns0:v>1088805.0279329608</ns0:v>
      </ns0:c>
      <ns0:c r="H551" s="16">
        <ns0:f>A551*('前提と出典'!$C$36*'契約別単価'!H5+'前提と出典'!$C$37*'契約別単価'!H6+'前提と出典'!$C$38*'契約別単価'!H7)</ns0:f>
        <ns0:v>377869.9525560764</ns0:v>
      </ns0:c>
      <ns0:c r="I551" s="16">
        <ns0:f>A551*('前提と出典'!$C$36*'契約別単価'!I5+'前提と出典'!$C$37*'契約別単価'!I6+'前提と出典'!$C$38*'契約別単価'!I7)</ns0:f>
        <ns0:v>23080.955307262568</ns0:v>
      </ns0:c>
      <ns0:c r="J551" s="16">
        <ns0:f>A551*('前提と出典'!$C$36*'契約別単価'!J5+'前提と出典'!$C$37*'契約別単価'!J6+'前提と出典'!$C$38*'契約別単価'!J7)</ns0:f>
        <ns0:v>53764.3804095355</ns0:v>
      </ns0:c>
      <ns0:c r="K551" s="16">
        <ns0:f>A551*('前提と出典'!$C$36*'契約別単価'!K5+'前提と出典'!$C$37*'契約別単価'!K6+'前提と出典'!$C$38*'契約別単価'!K7)</ns0:f>
        <ns0:v>230453.03538175044</ns0:v>
      </ns0:c>
      <ns0:c r="L551" s="16">
        <ns0:f>A551*('前提と出典'!$C$36*'契約別単価'!L5+'前提と出典'!$C$37*'契約別単価'!L6+'前提と出典'!$C$38*'契約別単価'!L7)</ns0:f>
        <ns0:v>187635.66508520255</ns0:v>
      </ns0:c>
      <ns0:c r="M551" s="16">
        <ns0:f>IF(('前提と出典'!$C$36+'前提と出典'!$C$38)=0,0,IF(B551&lt;=10,'前提と出典'!B73+'前提と出典'!C73,IF(B551&lt;=100,'前提と出典'!B74+'前提と出典'!C74,IF(B551&lt;=500,'前提と出典'!B75+'前提と出典'!C75,'前提と出典'!B76+'前提と出典'!C76))))</ns0:f>
        <ns0:v>40000</ns0:v>
      </ns0:c>
      <ns0:c r="N551" s="16">
        <ns0:f>IF(('前提と出典'!$C$37+'前提と出典'!$C$38)=0,0,IF(C551&lt;=10,'前提と出典'!D73+'前提と出典'!E73,IF(C551&lt;=100,'前提と出典'!D74+'前提と出典'!E74,IF(C551&lt;=500,'前提と出典'!D75+'前提と出典'!E75,'前提と出典'!D76+'前提と出典'!E76))))</ns0:f>
        <ns0:v>56510.9346263078</ns0:v>
      </ns0:c>
      <ns0:c r="O551" s="16">
        <ns0:f>IF('前提と出典'!$C$36+'前提と出典'!$C$38=0,0,'前提と出典'!$B$4*IF('前提と出典'!$B$20=0,MAX('前提と出典'!$B$6,D551*'前提と出典'!$B$5),'前提と出典'!$B$6+D551*'前提と出典'!$B$5))</ns0:f>
        <ns0:v>543161.8324022347</ns0:v>
      </ns0:c>
      <ns0:c r="P551" s="16">
        <ns0:f>(E551+G551)*(1-'前提と出典'!$B$7)-I551-K551-M551-O551</ns0:f>
        <ns0:v>1538497.5272444459</ns0:v>
      </ns0:c>
      <ns0:c r="Q551" s="16">
        <ns0:f>(F551+H551)*(1-'前提と出典'!$B$7)-J551-L551-N551</ns0:f>
        <ns0:v>451536.85939868237</ns0:v>
      </ns0:c>
      <ns0:c r="R551" s="16">
        <ns0:f>P551-E551*'前提と出典'!$E$4</ns0:f>
        <ns0:v>1125970.9805406122</ns0:v>
      </ns0:c>
      <ns0:c r="S551" s="16">
        <ns0:f>Q551-F551*'前提と出典'!$E$4</ns0:f>
        <ns0:v>331667.18971330766</ns0:v>
      </ns0:c>
      <ns0:c r="T551" s="7">
        <ns0:f>R551+S551</ns0:f>
        <ns0:v>1457638.17025392</ns0:v>
      </ns0:c>
      <ns0:c r="U551" s="16">
        <ns0:f>P551-E551*'前提と出典'!$E$5</ns0:f>
        <ns0:v>988462.1316393339</ns0:v>
      </ns0:c>
      <ns0:c r="V551" s="16">
        <ns0:f>Q551-F551*'前提と出典'!$E$5</ns0:f>
        <ns0:v>291710.6331515161</ns0:v>
      </ns0:c>
      <ns0:c r="W551" s="7">
        <ns0:f>U551+V551</ns0:f>
        <ns0:v>1280172.76479085</ns0:v>
      </ns0:c>
      <ns0:c r="X551" s="16">
        <ns0:f>P551-E551*'前提と出典'!$E$6</ns0:f>
        <ns0:v>850953.282738056</ns0:v>
      </ns0:c>
      <ns0:c r="Y551" s="16">
        <ns0:f>Q551-F551*'前提と出典'!$E$6</ns0:f>
        <ns0:v>251754.07658972451</ns0:v>
      </ns0:c>
      <ns0:c r="Z551" s="7">
        <ns0:f>X551+Y551</ns0:f>
        <ns0:v>1102707.3593277805</ns0:v>
      </ns0:c>
      <ns0:c r="AA551" s="7">
        <ns0:f>IF(T551&gt;=0,A551,1001)</ns0:f>
        <ns0:v>547</ns0:v>
      </ns0:c>
      <ns0:c r="AB551" s="7">
        <ns0:f>IF(T551&lt;0,A551,0)</ns0:f>
        <ns0:v>0</ns0:v>
      </ns0:c>
      <ns0:c r="AC551" s="16">
        <ns0:f>IF(AND(OR('前提と出典'!$C$36+'前提と出典'!$C$38=0,R551&gt;=0),OR('前提と出典'!$C$37+'前提と出典'!$C$38=0,S551&gt;=0)),0,A551)</ns0:f>
        <ns0:v>0</ns0:v>
      </ns0:c>
      <ns0:c r="AD551" s="7">
        <ns0:f>IF(W551&gt;=0,A551,1001)</ns0:f>
        <ns0:v>547</ns0:v>
      </ns0:c>
      <ns0:c r="AE551" s="7">
        <ns0:f>IF(W551&lt;0,A551,0)</ns0:f>
        <ns0:v>0</ns0:v>
      </ns0:c>
      <ns0:c r="AF551" s="16">
        <ns0:f>IF(AND(OR('前提と出典'!$C$36+'前提と出典'!$C$38=0,U551&gt;=0),OR('前提と出典'!$C$37+'前提と出典'!$C$38=0,V551&gt;=0)),0,A551)</ns0:f>
        <ns0:v>0</ns0:v>
      </ns0:c>
      <ns0:c r="AG551" s="7">
        <ns0:f>IF(Z551&gt;=0,A551,1001)</ns0:f>
        <ns0:v>547</ns0:v>
      </ns0:c>
      <ns0:c r="AH551" s="4">
        <ns0:f>IF(Z551&lt;0,A551,0)</ns0:f>
        <ns0:v>0</ns0:v>
      </ns0:c>
      <ns0:c r="AI551" s="12">
        <ns0:f>IF(AND(OR('前提と出典'!$C$36+'前提と出典'!$C$38=0,X551&gt;=0),OR('前提と出典'!$C$37+'前提と出典'!$C$38=0,Y551&gt;=0)),0,A551)</ns0:f>
        <ns0:v>0</ns0:v>
      </ns0:c>
    </ns0:row>
    <ns0:row r="552" ht="24" customHeight="1">
      <ns0:c r="A552" s="4" t="n">
        <ns0:v>548</ns0:v>
      </ns0:c>
      <ns0:c r="B552" s="12">
        <ns0:f>A552*('前提と出典'!$C$36+'前提と出典'!$C$38)</ns0:f>
        <ns0:v>383.59999999999997</ns0:v>
      </ns0:c>
      <ns0:c r="C552" s="12">
        <ns0:f>A552*('前提と出典'!$C$37+'前提と出典'!$C$38)</ns0:f>
        <ns0:v>328.8</ns0:v>
      </ns0:c>
      <ns0:c r="D552" s="16">
        <ns0:f>A552*('前提と出典'!$C$36*'契約別単価'!C5+'前提と出典'!$C$37*'契約別単価'!C6+'前提と出典'!$C$38*'契約別単価'!C7)</ns0:f>
        <ns0:v>3943.150837988827</ns0:v>
      </ns0:c>
      <ns0:c r="E552" s="16">
        <ns0:f>A552*('前提と出典'!$C$36*'契約別単価'!E5+'前提と出典'!$C$37*'契約別単価'!E6+'前提と出典'!$C$38*'契約別単価'!E7)</ns0:f>
        <ns0:v>1377602.3619360204</ns0:v>
      </ns0:c>
      <ns0:c r="F552" s="16">
        <ns0:f>A552*('前提と出典'!$C$36*'契約別単価'!F5+'前提と出典'!$C$37*'契約別単価'!F6+'前提と出典'!$C$38*'契約別単価'!F7)</ns0:f>
        <ns0:v>400296.03283111105</ns0:v>
      </ns0:c>
      <ns0:c r="G552" s="16">
        <ns0:f>A552*('前提と出典'!$C$36*'契約別単価'!G5+'前提と出典'!$C$37*'契約別単価'!G6+'前提と出典'!$C$38*'契約別単価'!G7)</ns0:f>
        <ns0:v>1090795.530726257</ns0:v>
      </ns0:c>
      <ns0:c r="H552" s="16">
        <ns0:f>A552*('前提と出典'!$C$36*'契約別単価'!H5+'前提と出典'!$C$37*'契約別単価'!H6+'前提と出典'!$C$38*'契約別単価'!H7)</ns0:f>
        <ns0:v>378560.7568569102</ns0:v>
      </ns0:c>
      <ns0:c r="I552" s="16">
        <ns0:f>A552*('前提と出典'!$C$36*'契約別単価'!I5+'前提と出典'!$C$37*'契約別単価'!I6+'前提と出典'!$C$38*'契約別単価'!I7)</ns0:f>
        <ns0:v>23123.150837988822</ns0:v>
      </ns0:c>
      <ns0:c r="J552" s="16">
        <ns0:f>A552*('前提と出典'!$C$36*'契約別単価'!J5+'前提と出典'!$C$37*'契約別単価'!J6+'前提と出典'!$C$38*'契約別単価'!J7)</ns0:f>
        <ns0:v>53862.66995324581</ns0:v>
      </ns0:c>
      <ns0:c r="K552" s="16">
        <ns0:f>A552*('前提と出典'!$C$36*'契約別単価'!K5+'前提と出典'!$C$37*'契約別単価'!K6+'前提と出典'!$C$38*'契約別単価'!K7)</ns0:f>
        <ns0:v>230874.3389199255</ns0:v>
      </ns0:c>
      <ns0:c r="L552" s="16">
        <ns0:f>A552*('前提と出典'!$C$36*'契約別単価'!L5+'前提と出典'!$C$37*'契約別単価'!L6+'前提と出典'!$C$38*'契約別単価'!L7)</ns0:f>
        <ns0:v>187978.69189523032</ns0:v>
      </ns0:c>
      <ns0:c r="M552" s="16">
        <ns0:f>IF(('前提と出典'!$C$36+'前提と出典'!$C$38)=0,0,IF(B552&lt;=10,'前提と出典'!B73+'前提と出典'!C73,IF(B552&lt;=100,'前提と出典'!B74+'前提と出典'!C74,IF(B552&lt;=500,'前提と出典'!B75+'前提と出典'!C75,'前提と出典'!B76+'前提と出典'!C76))))</ns0:f>
        <ns0:v>40000</ns0:v>
      </ns0:c>
      <ns0:c r="N552" s="16">
        <ns0:f>IF(('前提と出典'!$C$37+'前提と出典'!$C$38)=0,0,IF(C552&lt;=10,'前提と出典'!D73+'前提と出典'!E73,IF(C552&lt;=100,'前提と出典'!D74+'前提と出典'!E74,IF(C552&lt;=500,'前提と出典'!D75+'前提と出典'!E75,'前提と出典'!D76+'前提と出典'!E76))))</ns0:f>
        <ns0:v>56510.9346263078</ns0:v>
      </ns0:c>
      <ns0:c r="O552" s="16">
        <ns0:f>IF('前提と出典'!$C$36+'前提と出典'!$C$38=0,0,'前提と出典'!$B$4*IF('前提と出典'!$B$20=0,MAX('前提と出典'!$B$6,D552*'前提と出典'!$B$5),'前提と出典'!$B$6+D552*'前提と出典'!$B$5))</ns0:f>
        <ns0:v>544154.8156424582</ns0:v>
      </ns0:c>
      <ns0:c r="P552" s="16">
        <ns0:f>(E552+G552)*(1-'前提と出典'!$B$7)-I552-K552-M552-O552</ns0:f>
        <ns0:v>1541383.2631260627</ns0:v>
      </ns0:c>
      <ns0:c r="Q552" s="16">
        <ns0:f>(F552+H552)*(1-'前提と出典'!$B$7)-J552-L552-N552</ns0:f>
        <ns0:v>452465.6487844685</ns0:v>
      </ns0:c>
      <ns0:c r="R552" s="16">
        <ns0:f>P552-E552*'前提と出典'!$E$4</ns0:f>
        <ns0:v>1128102.5545452568</ns0:v>
      </ns0:c>
      <ns0:c r="S552" s="16">
        <ns0:f>Q552-F552*'前提と出典'!$E$4</ns0:f>
        <ns0:v>332376.8389351353</ns0:v>
      </ns0:c>
      <ns0:c r="T552" s="7">
        <ns0:f>R552+S552</ns0:f>
        <ns0:v>1460479.3934803922</ns0:v>
      </ns0:c>
      <ns0:c r="U552" s="16">
        <ns0:f>P552-E552*'前提と出典'!$E$5</ns0:f>
        <ns0:v>990342.3183516546</ns0:v>
      </ns0:c>
      <ns0:c r="V552" s="16">
        <ns0:f>Q552-F552*'前提と出典'!$E$5</ns0:f>
        <ns0:v>292347.23565202404</ns0:v>
      </ns0:c>
      <ns0:c r="W552" s="7">
        <ns0:f>U552+V552</ns0:f>
        <ns0:v>1282689.5540036787</ns0:v>
      </ns0:c>
      <ns0:c r="X552" s="16">
        <ns0:f>P552-E552*'前提と出典'!$E$6</ns0:f>
        <ns0:v>852582.0821580526</ns0:v>
      </ns0:c>
      <ns0:c r="Y552" s="16">
        <ns0:f>Q552-F552*'前提と出典'!$E$6</ns0:f>
        <ns0:v>252317.63236891304</ns0:v>
      </ns0:c>
      <ns0:c r="Z552" s="7">
        <ns0:f>X552+Y552</ns0:f>
        <ns0:v>1104899.7145269657</ns0:v>
      </ns0:c>
      <ns0:c r="AA552" s="7">
        <ns0:f>IF(T552&gt;=0,A552,1001)</ns0:f>
        <ns0:v>548</ns0:v>
      </ns0:c>
      <ns0:c r="AB552" s="7">
        <ns0:f>IF(T552&lt;0,A552,0)</ns0:f>
        <ns0:v>0</ns0:v>
      </ns0:c>
      <ns0:c r="AC552" s="16">
        <ns0:f>IF(AND(OR('前提と出典'!$C$36+'前提と出典'!$C$38=0,R552&gt;=0),OR('前提と出典'!$C$37+'前提と出典'!$C$38=0,S552&gt;=0)),0,A552)</ns0:f>
        <ns0:v>0</ns0:v>
      </ns0:c>
      <ns0:c r="AD552" s="7">
        <ns0:f>IF(W552&gt;=0,A552,1001)</ns0:f>
        <ns0:v>548</ns0:v>
      </ns0:c>
      <ns0:c r="AE552" s="7">
        <ns0:f>IF(W552&lt;0,A552,0)</ns0:f>
        <ns0:v>0</ns0:v>
      </ns0:c>
      <ns0:c r="AF552" s="16">
        <ns0:f>IF(AND(OR('前提と出典'!$C$36+'前提と出典'!$C$38=0,U552&gt;=0),OR('前提と出典'!$C$37+'前提と出典'!$C$38=0,V552&gt;=0)),0,A552)</ns0:f>
        <ns0:v>0</ns0:v>
      </ns0:c>
      <ns0:c r="AG552" s="7">
        <ns0:f>IF(Z552&gt;=0,A552,1001)</ns0:f>
        <ns0:v>548</ns0:v>
      </ns0:c>
      <ns0:c r="AH552" s="4">
        <ns0:f>IF(Z552&lt;0,A552,0)</ns0:f>
        <ns0:v>0</ns0:v>
      </ns0:c>
      <ns0:c r="AI552" s="12">
        <ns0:f>IF(AND(OR('前提と出典'!$C$36+'前提と出典'!$C$38=0,X552&gt;=0),OR('前提と出典'!$C$37+'前提と出典'!$C$38=0,Y552&gt;=0)),0,A552)</ns0:f>
        <ns0:v>0</ns0:v>
      </ns0:c>
    </ns0:row>
    <ns0:row r="553" ht="24" customHeight="1">
      <ns0:c r="A553" s="4" t="n">
        <ns0:v>549</ns0:v>
      </ns0:c>
      <ns0:c r="B553" s="12">
        <ns0:f>A553*('前提と出典'!$C$36+'前提と出典'!$C$38)</ns0:f>
        <ns0:v>384.29999999999995</ns0:v>
      </ns0:c>
      <ns0:c r="C553" s="12">
        <ns0:f>A553*('前提と出典'!$C$37+'前提と出典'!$C$38)</ns0:f>
        <ns0:v>329.4</ns0:v>
      </ns0:c>
      <ns0:c r="D553" s="16">
        <ns0:f>A553*('前提と出典'!$C$36*'契約別単価'!C5+'前提と出典'!$C$37*'契約別単価'!C6+'前提と出典'!$C$38*'契約別単価'!C7)</ns0:f>
        <ns0:v>3950.346368715084</ns0:v>
      </ns0:c>
      <ns0:c r="E553" s="16">
        <ns0:f>A553*('前提と出典'!$C$36*'契約別単価'!E5+'前提と出典'!$C$37*'契約別単価'!E6+'前提と出典'!$C$38*'契約別単価'!E7)</ns0:f>
        <ns0:v>1380116.2348592614</ns0:v>
      </ns0:c>
      <ns0:c r="F553" s="16">
        <ns0:f>A553*('前提と出典'!$C$36*'契約別単価'!F5+'前提と出典'!$C$37*'契約別単価'!F6+'前提と出典'!$C$38*'契約別単価'!F7)</ns0:f>
        <ns0:v>401026.5000443065</ns0:v>
      </ns0:c>
      <ns0:c r="G553" s="16">
        <ns0:f>A553*('前提と出典'!$C$36*'契約別単価'!G5+'前提と出典'!$C$37*'契約別単価'!G6+'前提と出典'!$C$38*'契約別単価'!G7)</ns0:f>
        <ns0:v>1092786.033519553</ns0:v>
      </ns0:c>
      <ns0:c r="H553" s="16">
        <ns0:f>A553*('前提と出典'!$C$36*'契約別単価'!H5+'前提と出典'!$C$37*'契約別単価'!H6+'前提と出典'!$C$38*'契約別単価'!H7)</ns0:f>
        <ns0:v>379251.56115774397</ns0:v>
      </ns0:c>
      <ns0:c r="I553" s="16">
        <ns0:f>A553*('前提と出典'!$C$36*'契約別単価'!I5+'前提と出典'!$C$37*'契約別単価'!I6+'前提と出典'!$C$38*'契約別単価'!I7)</ns0:f>
        <ns0:v>23165.34636871508</ns0:v>
      </ns0:c>
      <ns0:c r="J553" s="16">
        <ns0:f>A553*('前提と出典'!$C$36*'契約別単価'!J5+'前提と出典'!$C$37*'契約別単価'!J6+'前提と出典'!$C$38*'契約別単価'!J7)</ns0:f>
        <ns0:v>53960.95949695611</ns0:v>
      </ns0:c>
      <ns0:c r="K553" s="16">
        <ns0:f>A553*('前提と出典'!$C$36*'契約別単価'!K5+'前提と出典'!$C$37*'契約別単価'!K6+'前提と出典'!$C$38*'契約別単価'!K7)</ns0:f>
        <ns0:v>231295.64245810054</ns0:v>
      </ns0:c>
      <ns0:c r="L553" s="16">
        <ns0:f>A553*('前提と出典'!$C$36*'契約別単価'!L5+'前提と出典'!$C$37*'契約別単価'!L6+'前提と出典'!$C$38*'契約別単価'!L7)</ns0:f>
        <ns0:v>188321.71870525813</ns0:v>
      </ns0:c>
      <ns0:c r="M553" s="16">
        <ns0:f>IF(('前提と出典'!$C$36+'前提と出典'!$C$38)=0,0,IF(B553&lt;=10,'前提と出典'!B73+'前提と出典'!C73,IF(B553&lt;=100,'前提と出典'!B74+'前提と出典'!C74,IF(B553&lt;=500,'前提と出典'!B75+'前提と出典'!C75,'前提と出典'!B76+'前提と出典'!C76))))</ns0:f>
        <ns0:v>40000</ns0:v>
      </ns0:c>
      <ns0:c r="N553" s="16">
        <ns0:f>IF(('前提と出典'!$C$37+'前提と出典'!$C$38)=0,0,IF(C553&lt;=10,'前提と出典'!D73+'前提と出典'!E73,IF(C553&lt;=100,'前提と出典'!D74+'前提と出典'!E74,IF(C553&lt;=500,'前提と出典'!D75+'前提と出典'!E75,'前提と出典'!D76+'前提と出典'!E76))))</ns0:f>
        <ns0:v>56510.9346263078</ns0:v>
      </ns0:c>
      <ns0:c r="O553" s="16">
        <ns0:f>IF('前提と出典'!$C$36+'前提と出典'!$C$38=0,0,'前提と出典'!$B$4*IF('前提と出典'!$B$20=0,MAX('前提と出典'!$B$6,D553*'前提と出典'!$B$5),'前提と出典'!$B$6+D553*'前提と出典'!$B$5))</ns0:f>
        <ns0:v>545147.7988826815</ns0:v>
      </ns0:c>
      <ns0:c r="P553" s="16">
        <ns0:f>(E553+G553)*(1-'前提と出典'!$B$7)-I553-K553-M553-O553</ns0:f>
        <ns0:v>1544268.99900768</ns0:v>
      </ns0:c>
      <ns0:c r="Q553" s="16">
        <ns0:f>(F553+H553)*(1-'前提と出典'!$B$7)-J553-L553-N553</ns0:f>
        <ns0:v>453394.4381702546</ns0:v>
      </ns0:c>
      <ns0:c r="R553" s="16">
        <ns0:f>P553-E553*'前提と出典'!$E$4</ns0:f>
        <ns0:v>1130234.1285499018</ns0:v>
      </ns0:c>
      <ns0:c r="S553" s="16">
        <ns0:f>Q553-F553*'前提と出典'!$E$4</ns0:f>
        <ns0:v>333086.4881569627</ns0:v>
      </ns0:c>
      <ns0:c r="T553" s="7">
        <ns0:f>R553+S553</ns0:f>
        <ns0:v>1463320.6167068644</ns0:v>
      </ns0:c>
      <ns0:c r="U553" s="16">
        <ns0:f>P553-E553*'前提と出典'!$E$5</ns0:f>
        <ns0:v>992222.5050639753</ns0:v>
      </ns0:c>
      <ns0:c r="V553" s="16">
        <ns0:f>Q553-F553*'前提と出典'!$E$5</ns0:f>
        <ns0:v>292983.838152532</ns0:v>
      </ns0:c>
      <ns0:c r="W553" s="7">
        <ns0:f>U553+V553</ns0:f>
        <ns0:v>1285206.3432165072</ns0:v>
      </ns0:c>
      <ns0:c r="X553" s="16">
        <ns0:f>P553-E553*'前提と出典'!$E$6</ns0:f>
        <ns0:v>854210.8815780493</ns0:v>
      </ns0:c>
      <ns0:c r="Y553" s="16">
        <ns0:f>Q553-F553*'前提と出典'!$E$6</ns0:f>
        <ns0:v>252881.18814810133</ns0:v>
      </ns0:c>
      <ns0:c r="Z553" s="7">
        <ns0:f>X553+Y553</ns0:f>
        <ns0:v>1107092.0697261505</ns0:v>
      </ns0:c>
      <ns0:c r="AA553" s="7">
        <ns0:f>IF(T553&gt;=0,A553,1001)</ns0:f>
        <ns0:v>549</ns0:v>
      </ns0:c>
      <ns0:c r="AB553" s="7">
        <ns0:f>IF(T553&lt;0,A553,0)</ns0:f>
        <ns0:v>0</ns0:v>
      </ns0:c>
      <ns0:c r="AC553" s="16">
        <ns0:f>IF(AND(OR('前提と出典'!$C$36+'前提と出典'!$C$38=0,R553&gt;=0),OR('前提と出典'!$C$37+'前提と出典'!$C$38=0,S553&gt;=0)),0,A553)</ns0:f>
        <ns0:v>0</ns0:v>
      </ns0:c>
      <ns0:c r="AD553" s="7">
        <ns0:f>IF(W553&gt;=0,A553,1001)</ns0:f>
        <ns0:v>549</ns0:v>
      </ns0:c>
      <ns0:c r="AE553" s="7">
        <ns0:f>IF(W553&lt;0,A553,0)</ns0:f>
        <ns0:v>0</ns0:v>
      </ns0:c>
      <ns0:c r="AF553" s="16">
        <ns0:f>IF(AND(OR('前提と出典'!$C$36+'前提と出典'!$C$38=0,U553&gt;=0),OR('前提と出典'!$C$37+'前提と出典'!$C$38=0,V553&gt;=0)),0,A553)</ns0:f>
        <ns0:v>0</ns0:v>
      </ns0:c>
      <ns0:c r="AG553" s="7">
        <ns0:f>IF(Z553&gt;=0,A553,1001)</ns0:f>
        <ns0:v>549</ns0:v>
      </ns0:c>
      <ns0:c r="AH553" s="4">
        <ns0:f>IF(Z553&lt;0,A553,0)</ns0:f>
        <ns0:v>0</ns0:v>
      </ns0:c>
      <ns0:c r="AI553" s="12">
        <ns0:f>IF(AND(OR('前提と出典'!$C$36+'前提と出典'!$C$38=0,X553&gt;=0),OR('前提と出典'!$C$37+'前提と出典'!$C$38=0,Y553&gt;=0)),0,A553)</ns0:f>
        <ns0:v>0</ns0:v>
      </ns0:c>
    </ns0:row>
    <ns0:row r="554" ht="24" customHeight="1">
      <ns0:c r="A554" s="4" t="n">
        <ns0:v>550</ns0:v>
      </ns0:c>
      <ns0:c r="B554" s="12">
        <ns0:f>A554*('前提と出典'!$C$36+'前提と出典'!$C$38)</ns0:f>
        <ns0:v>385</ns0:v>
      </ns0:c>
      <ns0:c r="C554" s="12">
        <ns0:f>A554*('前提と出典'!$C$37+'前提と出典'!$C$38)</ns0:f>
        <ns0:v>330</ns0:v>
      </ns0:c>
      <ns0:c r="D554" s="16">
        <ns0:f>A554*('前提と出典'!$C$36*'契約別単価'!C5+'前提と出典'!$C$37*'契約別単価'!C6+'前提と出典'!$C$38*'契約別単価'!C7)</ns0:f>
        <ns0:v>3957.541899441341</ns0:v>
      </ns0:c>
      <ns0:c r="E554" s="16">
        <ns0:f>A554*('前提と出典'!$C$36*'契約別単価'!E5+'前提と出典'!$C$37*'契約別単価'!E6+'前提と出典'!$C$38*'契約別単価'!E7)</ns0:f>
        <ns0:v>1382630.1077825022</ns0:v>
      </ns0:c>
      <ns0:c r="F554" s="16">
        <ns0:f>A554*('前提と出典'!$C$36*'契約別単価'!F5+'前提と出典'!$C$37*'契約別単価'!F6+'前提と出典'!$C$38*'契約別単価'!F7)</ns0:f>
        <ns0:v>401756.96725750196</ns0:v>
      </ns0:c>
      <ns0:c r="G554" s="16">
        <ns0:f>A554*('前提と出典'!$C$36*'契約別単価'!G5+'前提と出典'!$C$37*'契約別単価'!G6+'前提と出典'!$C$38*'契約別単価'!G7)</ns0:f>
        <ns0:v>1094776.536312849</ns0:v>
      </ns0:c>
      <ns0:c r="H554" s="16">
        <ns0:f>A554*('前提と出典'!$C$36*'契約別単価'!H5+'前提と出典'!$C$37*'契約別単価'!H6+'前提と出典'!$C$38*'契約別単価'!H7)</ns0:f>
        <ns0:v>379942.36545857775</ns0:v>
      </ns0:c>
      <ns0:c r="I554" s="16">
        <ns0:f>A554*('前提と出典'!$C$36*'契約別単価'!I5+'前提と出典'!$C$37*'契約別単価'!I6+'前提と出典'!$C$38*'契約別単価'!I7)</ns0:f>
        <ns0:v>23207.541899441338</ns0:v>
      </ns0:c>
      <ns0:c r="J554" s="16">
        <ns0:f>A554*('前提と出典'!$C$36*'契約別単価'!J5+'前提と出典'!$C$37*'契約別単価'!J6+'前提と出典'!$C$38*'契約別単価'!J7)</ns0:f>
        <ns0:v>54059.249040666415</ns0:v>
      </ns0:c>
      <ns0:c r="K554" s="16">
        <ns0:f>A554*('前提と出典'!$C$36*'契約別単価'!K5+'前提と出典'!$C$37*'契約別単価'!K6+'前提と出典'!$C$38*'契約別単価'!K7)</ns0:f>
        <ns0:v>231716.94599627558</ns0:v>
      </ns0:c>
      <ns0:c r="L554" s="16">
        <ns0:f>A554*('前提と出典'!$C$36*'契約別単価'!L5+'前提と出典'!$C$37*'契約別単価'!L6+'前提と出典'!$C$38*'契約別単価'!L7)</ns0:f>
        <ns0:v>188664.7455152859</ns0:v>
      </ns0:c>
      <ns0:c r="M554" s="16">
        <ns0:f>IF(('前提と出典'!$C$36+'前提と出典'!$C$38)=0,0,IF(B554&lt;=10,'前提と出典'!B73+'前提と出典'!C73,IF(B554&lt;=100,'前提と出典'!B74+'前提と出典'!C74,IF(B554&lt;=500,'前提と出典'!B75+'前提と出典'!C75,'前提と出典'!B76+'前提と出典'!C76))))</ns0:f>
        <ns0:v>40000</ns0:v>
      </ns0:c>
      <ns0:c r="N554" s="16">
        <ns0:f>IF(('前提と出典'!$C$37+'前提と出典'!$C$38)=0,0,IF(C554&lt;=10,'前提と出典'!D73+'前提と出典'!E73,IF(C554&lt;=100,'前提と出典'!D74+'前提と出典'!E74,IF(C554&lt;=500,'前提と出典'!D75+'前提と出典'!E75,'前提と出典'!D76+'前提と出典'!E76))))</ns0:f>
        <ns0:v>56510.9346263078</ns0:v>
      </ns0:c>
      <ns0:c r="O554" s="16">
        <ns0:f>IF('前提と出典'!$C$36+'前提と出典'!$C$38=0,0,'前提と出典'!$B$4*IF('前提と出典'!$B$20=0,MAX('前提と出典'!$B$6,D554*'前提と出典'!$B$5),'前提と出典'!$B$6+D554*'前提と出典'!$B$5))</ns0:f>
        <ns0:v>546140.782122905</ns0:v>
      </ns0:c>
      <ns0:c r="P554" s="16">
        <ns0:f>(E554+G554)*(1-'前提と出典'!$B$7)-I554-K554-M554-O554</ns0:f>
        <ns0:v>1547154.7348892963</ns0:v>
      </ns0:c>
      <ns0:c r="Q554" s="16">
        <ns0:f>(F554+H554)*(1-'前提と出典'!$B$7)-J554-L554-N554</ns0:f>
        <ns0:v>454323.22755604074</ns0:v>
      </ns0:c>
      <ns0:c r="R554" s="16">
        <ns0:f>P554-E554*'前提と出典'!$E$4</ns0:f>
        <ns0:v>1132365.7025545458</ns0:v>
      </ns0:c>
      <ns0:c r="S554" s="16">
        <ns0:f>Q554-F554*'前提と出典'!$E$4</ns0:f>
        <ns0:v>333796.1373787902</ns0:v>
      </ns0:c>
      <ns0:c r="T554" s="7">
        <ns0:f>R554+S554</ns0:f>
        <ns0:v>1466161.839933336</ns0:v>
      </ns0:c>
      <ns0:c r="U554" s="16">
        <ns0:f>P554-E554*'前提と出典'!$E$5</ns0:f>
        <ns0:v>994102.6917762955</ns0:v>
      </ns0:c>
      <ns0:c r="V554" s="16">
        <ns0:f>Q554-F554*'前提と出典'!$E$5</ns0:f>
        <ns0:v>293620.44065303996</ns0:v>
      </ns0:c>
      <ns0:c r="W554" s="7">
        <ns0:f>U554+V554</ns0:f>
        <ns0:v>1287723.1324293355</ns0:v>
      </ns0:c>
      <ns0:c r="X554" s="16">
        <ns0:f>P554-E554*'前提と出典'!$E$6</ns0:f>
        <ns0:v>855839.6809980454</ns0:v>
      </ns0:c>
      <ns0:c r="Y554" s="16">
        <ns0:f>Q554-F554*'前提と出典'!$E$6</ns0:f>
        <ns0:v>253444.74392728973</ns0:v>
      </ns0:c>
      <ns0:c r="Z554" s="7">
        <ns0:f>X554+Y554</ns0:f>
        <ns0:v>1109284.4249253352</ns0:v>
      </ns0:c>
      <ns0:c r="AA554" s="7">
        <ns0:f>IF(T554&gt;=0,A554,1001)</ns0:f>
        <ns0:v>550</ns0:v>
      </ns0:c>
      <ns0:c r="AB554" s="7">
        <ns0:f>IF(T554&lt;0,A554,0)</ns0:f>
        <ns0:v>0</ns0:v>
      </ns0:c>
      <ns0:c r="AC554" s="16">
        <ns0:f>IF(AND(OR('前提と出典'!$C$36+'前提と出典'!$C$38=0,R554&gt;=0),OR('前提と出典'!$C$37+'前提と出典'!$C$38=0,S554&gt;=0)),0,A554)</ns0:f>
        <ns0:v>0</ns0:v>
      </ns0:c>
      <ns0:c r="AD554" s="7">
        <ns0:f>IF(W554&gt;=0,A554,1001)</ns0:f>
        <ns0:v>550</ns0:v>
      </ns0:c>
      <ns0:c r="AE554" s="7">
        <ns0:f>IF(W554&lt;0,A554,0)</ns0:f>
        <ns0:v>0</ns0:v>
      </ns0:c>
      <ns0:c r="AF554" s="16">
        <ns0:f>IF(AND(OR('前提と出典'!$C$36+'前提と出典'!$C$38=0,U554&gt;=0),OR('前提と出典'!$C$37+'前提と出典'!$C$38=0,V554&gt;=0)),0,A554)</ns0:f>
        <ns0:v>0</ns0:v>
      </ns0:c>
      <ns0:c r="AG554" s="7">
        <ns0:f>IF(Z554&gt;=0,A554,1001)</ns0:f>
        <ns0:v>550</ns0:v>
      </ns0:c>
      <ns0:c r="AH554" s="4">
        <ns0:f>IF(Z554&lt;0,A554,0)</ns0:f>
        <ns0:v>0</ns0:v>
      </ns0:c>
      <ns0:c r="AI554" s="12">
        <ns0:f>IF(AND(OR('前提と出典'!$C$36+'前提と出典'!$C$38=0,X554&gt;=0),OR('前提と出典'!$C$37+'前提と出典'!$C$38=0,Y554&gt;=0)),0,A554)</ns0:f>
        <ns0:v>0</ns0:v>
      </ns0:c>
    </ns0:row>
    <ns0:row r="555" ht="24" customHeight="1">
      <ns0:c r="A555" s="4" t="n">
        <ns0:v>551</ns0:v>
      </ns0:c>
      <ns0:c r="B555" s="12">
        <ns0:f>A555*('前提と出典'!$C$36+'前提と出典'!$C$38)</ns0:f>
        <ns0:v>385.7</ns0:v>
      </ns0:c>
      <ns0:c r="C555" s="12">
        <ns0:f>A555*('前提と出典'!$C$37+'前提と出典'!$C$38)</ns0:f>
        <ns0:v>330.59999999999997</ns0:v>
      </ns0:c>
      <ns0:c r="D555" s="16">
        <ns0:f>A555*('前提と出典'!$C$36*'契約別単価'!C5+'前提と出典'!$C$37*'契約別単価'!C6+'前提と出典'!$C$38*'契約別単価'!C7)</ns0:f>
        <ns0:v>3964.7374301675977</ns0:v>
      </ns0:c>
      <ns0:c r="E555" s="16">
        <ns0:f>A555*('前提と出典'!$C$36*'契約別単価'!E5+'前提と出典'!$C$37*'契約別単価'!E6+'前提と出典'!$C$38*'契約別単価'!E7)</ns0:f>
        <ns0:v>1385143.9807057432</ns0:v>
      </ns0:c>
      <ns0:c r="F555" s="16">
        <ns0:f>A555*('前提と出典'!$C$36*'契約別単価'!F5+'前提と出典'!$C$37*'契約別単価'!F6+'前提と出典'!$C$38*'契約別単価'!F7)</ns0:f>
        <ns0:v>402487.4344706974</ns0:v>
      </ns0:c>
      <ns0:c r="G555" s="16">
        <ns0:f>A555*('前提と出典'!$C$36*'契約別単価'!G5+'前提と出典'!$C$37*'契約別単価'!G6+'前提と出典'!$C$38*'契約別単価'!G7)</ns0:f>
        <ns0:v>1096767.0391061453</ns0:v>
      </ns0:c>
      <ns0:c r="H555" s="16">
        <ns0:f>A555*('前提と出典'!$C$36*'契約別単価'!H5+'前提と出典'!$C$37*'契約別単価'!H6+'前提と出典'!$C$38*'契約別単価'!H7)</ns0:f>
        <ns0:v>380633.1697594115</ns0:v>
      </ns0:c>
      <ns0:c r="I555" s="16">
        <ns0:f>A555*('前提と出典'!$C$36*'契約別単価'!I5+'前提と出典'!$C$37*'契約別単価'!I6+'前提と出典'!$C$38*'契約別単価'!I7)</ns0:f>
        <ns0:v>23249.737430167595</ns0:v>
      </ns0:c>
      <ns0:c r="J555" s="16">
        <ns0:f>A555*('前提と出典'!$C$36*'契約別単価'!J5+'前提と出典'!$C$37*'契約別単価'!J6+'前提と出典'!$C$38*'契約別単価'!J7)</ns0:f>
        <ns0:v>54157.538584376714</ns0:v>
      </ns0:c>
      <ns0:c r="K555" s="16">
        <ns0:f>A555*('前提と出典'!$C$36*'契約別単価'!K5+'前提と出典'!$C$37*'契約別単価'!K6+'前提と出典'!$C$38*'契約別単価'!K7)</ns0:f>
        <ns0:v>232138.24953445065</ns0:v>
      </ns0:c>
      <ns0:c r="L555" s="16">
        <ns0:f>A555*('前提と出典'!$C$36*'契約別単価'!L5+'前提と出典'!$C$37*'契約別単価'!L6+'前提と出典'!$C$38*'契約別単価'!L7)</ns0:f>
        <ns0:v>189007.7723253137</ns0:v>
      </ns0:c>
      <ns0:c r="M555" s="16">
        <ns0:f>IF(('前提と出典'!$C$36+'前提と出典'!$C$38)=0,0,IF(B555&lt;=10,'前提と出典'!B73+'前提と出典'!C73,IF(B555&lt;=100,'前提と出典'!B74+'前提と出典'!C74,IF(B555&lt;=500,'前提と出典'!B75+'前提と出典'!C75,'前提と出典'!B76+'前提と出典'!C76))))</ns0:f>
        <ns0:v>40000</ns0:v>
      </ns0:c>
      <ns0:c r="N555" s="16">
        <ns0:f>IF(('前提と出典'!$C$37+'前提と出典'!$C$38)=0,0,IF(C555&lt;=10,'前提と出典'!D73+'前提と出典'!E73,IF(C555&lt;=100,'前提と出典'!D74+'前提と出典'!E74,IF(C555&lt;=500,'前提と出典'!D75+'前提と出典'!E75,'前提と出典'!D76+'前提と出典'!E76))))</ns0:f>
        <ns0:v>56510.9346263078</ns0:v>
      </ns0:c>
      <ns0:c r="O555" s="16">
        <ns0:f>IF('前提と出典'!$C$36+'前提と出典'!$C$38=0,0,'前提と出典'!$B$4*IF('前提と出典'!$B$20=0,MAX('前提と出典'!$B$6,D555*'前提と出典'!$B$5),'前提と出典'!$B$6+D555*'前提と出典'!$B$5))</ns0:f>
        <ns0:v>547133.7653631285</ns0:v>
      </ns0:c>
      <ns0:c r="P555" s="16">
        <ns0:f>(E555+G555)*(1-'前提と出典'!$B$7)-I555-K555-M555-O555</ns0:f>
        <ns0:v>1550040.4707709136</ns0:v>
      </ns0:c>
      <ns0:c r="Q555" s="16">
        <ns0:f>(F555+H555)*(1-'前提と出典'!$B$7)-J555-L555-N555</ns0:f>
        <ns0:v>455252.01694182673</ns0:v>
      </ns0:c>
      <ns0:c r="R555" s="16">
        <ns0:f>P555-E555*'前提と出典'!$E$4</ns0:f>
        <ns0:v>1134497.2765591908</ns0:v>
      </ns0:c>
      <ns0:c r="S555" s="16">
        <ns0:f>Q555-F555*'前提と出典'!$E$4</ns0:f>
        <ns0:v>334505.7866006175</ns0:v>
      </ns0:c>
      <ns0:c r="T555" s="7">
        <ns0:f>R555+S555</ns0:f>
        <ns0:v>1469003.0631598083</ns0:v>
      </ns0:c>
      <ns0:c r="U555" s="16">
        <ns0:f>P555-E555*'前提と出典'!$E$5</ns0:f>
        <ns0:v>995982.8784886162</ns0:v>
      </ns0:c>
      <ns0:c r="V555" s="16">
        <ns0:f>Q555-F555*'前提と出典'!$E$5</ns0:f>
        <ns0:v>294257.04315354774</ns0:v>
      </ns0:c>
      <ns0:c r="W555" s="7">
        <ns0:f>U555+V555</ns0:f>
        <ns0:v>1290239.921642164</ns0:v>
      </ns0:c>
      <ns0:c r="X555" s="16">
        <ns0:f>P555-E555*'前提と出典'!$E$6</ns0:f>
        <ns0:v>857468.4804180419</ns0:v>
      </ns0:c>
      <ns0:c r="Y555" s="16">
        <ns0:f>Q555-F555*'前提と出典'!$E$6</ns0:f>
        <ns0:v>254008.29970647808</ns0:v>
      </ns0:c>
      <ns0:c r="Z555" s="7">
        <ns0:f>X555+Y555</ns0:f>
        <ns0:v>1111476.78012452</ns0:v>
      </ns0:c>
      <ns0:c r="AA555" s="7">
        <ns0:f>IF(T555&gt;=0,A555,1001)</ns0:f>
        <ns0:v>551</ns0:v>
      </ns0:c>
      <ns0:c r="AB555" s="7">
        <ns0:f>IF(T555&lt;0,A555,0)</ns0:f>
        <ns0:v>0</ns0:v>
      </ns0:c>
      <ns0:c r="AC555" s="16">
        <ns0:f>IF(AND(OR('前提と出典'!$C$36+'前提と出典'!$C$38=0,R555&gt;=0),OR('前提と出典'!$C$37+'前提と出典'!$C$38=0,S555&gt;=0)),0,A555)</ns0:f>
        <ns0:v>0</ns0:v>
      </ns0:c>
      <ns0:c r="AD555" s="7">
        <ns0:f>IF(W555&gt;=0,A555,1001)</ns0:f>
        <ns0:v>551</ns0:v>
      </ns0:c>
      <ns0:c r="AE555" s="7">
        <ns0:f>IF(W555&lt;0,A555,0)</ns0:f>
        <ns0:v>0</ns0:v>
      </ns0:c>
      <ns0:c r="AF555" s="16">
        <ns0:f>IF(AND(OR('前提と出典'!$C$36+'前提と出典'!$C$38=0,U555&gt;=0),OR('前提と出典'!$C$37+'前提と出典'!$C$38=0,V555&gt;=0)),0,A555)</ns0:f>
        <ns0:v>0</ns0:v>
      </ns0:c>
      <ns0:c r="AG555" s="7">
        <ns0:f>IF(Z555&gt;=0,A555,1001)</ns0:f>
        <ns0:v>551</ns0:v>
      </ns0:c>
      <ns0:c r="AH555" s="4">
        <ns0:f>IF(Z555&lt;0,A555,0)</ns0:f>
        <ns0:v>0</ns0:v>
      </ns0:c>
      <ns0:c r="AI555" s="12">
        <ns0:f>IF(AND(OR('前提と出典'!$C$36+'前提と出典'!$C$38=0,X555&gt;=0),OR('前提と出典'!$C$37+'前提と出典'!$C$38=0,Y555&gt;=0)),0,A555)</ns0:f>
        <ns0:v>0</ns0:v>
      </ns0:c>
    </ns0:row>
    <ns0:row r="556" ht="24" customHeight="1">
      <ns0:c r="A556" s="4" t="n">
        <ns0:v>552</ns0:v>
      </ns0:c>
      <ns0:c r="B556" s="12">
        <ns0:f>A556*('前提と出典'!$C$36+'前提と出典'!$C$38)</ns0:f>
        <ns0:v>386.4</ns0:v>
      </ns0:c>
      <ns0:c r="C556" s="12">
        <ns0:f>A556*('前提と出典'!$C$37+'前提と出典'!$C$38)</ns0:f>
        <ns0:v>331.2</ns0:v>
      </ns0:c>
      <ns0:c r="D556" s="16">
        <ns0:f>A556*('前提と出典'!$C$36*'契約別単価'!C5+'前提と出典'!$C$37*'契約別単価'!C6+'前提と出典'!$C$38*'契約別単価'!C7)</ns0:f>
        <ns0:v>3971.9329608938547</ns0:v>
      </ns0:c>
      <ns0:c r="E556" s="16">
        <ns0:f>A556*('前提と出典'!$C$36*'契約別単価'!E5+'前提と出典'!$C$37*'契約別単価'!E6+'前提と出典'!$C$38*'契約別単価'!E7)</ns0:f>
        <ns0:v>1387657.8536289842</ns0:v>
      </ns0:c>
      <ns0:c r="F556" s="16">
        <ns0:f>A556*('前提と出典'!$C$36*'契約別単価'!F5+'前提と出典'!$C$37*'契約別単価'!F6+'前提と出典'!$C$38*'契約別単価'!F7)</ns0:f>
        <ns0:v>403217.9016838929</ns0:v>
      </ns0:c>
      <ns0:c r="G556" s="16">
        <ns0:f>A556*('前提と出典'!$C$36*'契約別単価'!G5+'前提と出典'!$C$37*'契約別単価'!G6+'前提と出典'!$C$38*'契約別単価'!G7)</ns0:f>
        <ns0:v>1098757.5418994413</ns0:v>
      </ns0:c>
      <ns0:c r="H556" s="16">
        <ns0:f>A556*('前提と出典'!$C$36*'契約別単価'!H5+'前提と出典'!$C$37*'契約別単価'!H6+'前提と出典'!$C$38*'契約別単価'!H7)</ns0:f>
        <ns0:v>381323.97406024527</ns0:v>
      </ns0:c>
      <ns0:c r="I556" s="16">
        <ns0:f>A556*('前提と出典'!$C$36*'契約別単価'!I5+'前提と出典'!$C$37*'契約別単価'!I6+'前提と出典'!$C$38*'契約別単価'!I7)</ns0:f>
        <ns0:v>23291.93296089385</ns0:v>
      </ns0:c>
      <ns0:c r="J556" s="16">
        <ns0:f>A556*('前提と出典'!$C$36*'契約別単価'!J5+'前提と出典'!$C$37*'契約別単価'!J6+'前提と出典'!$C$38*'契約別単価'!J7)</ns0:f>
        <ns0:v>54255.828128087014</ns0:v>
      </ns0:c>
      <ns0:c r="K556" s="16">
        <ns0:f>A556*('前提と出典'!$C$36*'契約別単価'!K5+'前提と出典'!$C$37*'契約別単価'!K6+'前提と出典'!$C$38*'契約別単価'!K7)</ns0:f>
        <ns0:v>232559.55307262568</ns0:v>
      </ns0:c>
      <ns0:c r="L556" s="16">
        <ns0:f>A556*('前提と出典'!$C$36*'契約別単価'!L5+'前提と出典'!$C$37*'契約別単価'!L6+'前提と出典'!$C$38*'契約別単価'!L7)</ns0:f>
        <ns0:v>189350.7991353415</ns0:v>
      </ns0:c>
      <ns0:c r="M556" s="16">
        <ns0:f>IF(('前提と出典'!$C$36+'前提と出典'!$C$38)=0,0,IF(B556&lt;=10,'前提と出典'!B73+'前提と出典'!C73,IF(B556&lt;=100,'前提と出典'!B74+'前提と出典'!C74,IF(B556&lt;=500,'前提と出典'!B75+'前提と出典'!C75,'前提と出典'!B76+'前提と出典'!C76))))</ns0:f>
        <ns0:v>40000</ns0:v>
      </ns0:c>
      <ns0:c r="N556" s="16">
        <ns0:f>IF(('前提と出典'!$C$37+'前提と出典'!$C$38)=0,0,IF(C556&lt;=10,'前提と出典'!D73+'前提と出典'!E73,IF(C556&lt;=100,'前提と出典'!D74+'前提と出典'!E74,IF(C556&lt;=500,'前提と出典'!D75+'前提と出典'!E75,'前提と出典'!D76+'前提と出典'!E76))))</ns0:f>
        <ns0:v>56510.9346263078</ns0:v>
      </ns0:c>
      <ns0:c r="O556" s="16">
        <ns0:f>IF('前提と出典'!$C$36+'前提と出典'!$C$38=0,0,'前提と出典'!$B$4*IF('前提と出典'!$B$20=0,MAX('前提と出典'!$B$6,D556*'前提と出典'!$B$5),'前提と出典'!$B$6+D556*'前提と出典'!$B$5))</ns0:f>
        <ns0:v>548126.748603352</ns0:v>
      </ns0:c>
      <ns0:c r="P556" s="16">
        <ns0:f>(E556+G556)*(1-'前提と出典'!$B$7)-I556-K556-M556-O556</ns0:f>
        <ns0:v>1552926.2066525305</ns0:v>
      </ns0:c>
      <ns0:c r="Q556" s="16">
        <ns0:f>(F556+H556)*(1-'前提と出典'!$B$7)-J556-L556-N556</ns0:f>
        <ns0:v>456180.80632761284</ns0:v>
      </ns0:c>
      <ns0:c r="R556" s="16">
        <ns0:f>P556-E556*'前提と出典'!$E$4</ns0:f>
        <ns0:v>1136628.8505638354</ns0:v>
      </ns0:c>
      <ns0:c r="S556" s="16">
        <ns0:f>Q556-F556*'前提と出典'!$E$4</ns0:f>
        <ns0:v>335215.43582244497</ns0:v>
      </ns0:c>
      <ns0:c r="T556" s="7">
        <ns0:f>R556+S556</ns0:f>
        <ns0:v>1471844.2863862803</ns0:v>
      </ns0:c>
      <ns0:c r="U556" s="16">
        <ns0:f>P556-E556*'前提と出典'!$E$5</ns0:f>
        <ns0:v>997863.0652009366</ns0:v>
      </ns0:c>
      <ns0:c r="V556" s="16">
        <ns0:f>Q556-F556*'前提と出典'!$E$5</ns0:f>
        <ns0:v>294893.64565405564</ns0:v>
      </ns0:c>
      <ns0:c r="W556" s="7">
        <ns0:f>U556+V556</ns0:f>
        <ns0:v>1292756.7108549923</ns0:v>
      </ns0:c>
      <ns0:c r="X556" s="16">
        <ns0:f>P556-E556*'前提と出典'!$E$6</ns0:f>
        <ns0:v>859097.2798380383</ns0:v>
      </ns0:c>
      <ns0:c r="Y556" s="16">
        <ns0:f>Q556-F556*'前提と出典'!$E$6</ns0:f>
        <ns0:v>254571.85548566643</ns0:v>
      </ns0:c>
      <ns0:c r="Z556" s="7">
        <ns0:f>X556+Y556</ns0:f>
        <ns0:v>1113669.1353237047</ns0:v>
      </ns0:c>
      <ns0:c r="AA556" s="7">
        <ns0:f>IF(T556&gt;=0,A556,1001)</ns0:f>
        <ns0:v>552</ns0:v>
      </ns0:c>
      <ns0:c r="AB556" s="7">
        <ns0:f>IF(T556&lt;0,A556,0)</ns0:f>
        <ns0:v>0</ns0:v>
      </ns0:c>
      <ns0:c r="AC556" s="16">
        <ns0:f>IF(AND(OR('前提と出典'!$C$36+'前提と出典'!$C$38=0,R556&gt;=0),OR('前提と出典'!$C$37+'前提と出典'!$C$38=0,S556&gt;=0)),0,A556)</ns0:f>
        <ns0:v>0</ns0:v>
      </ns0:c>
      <ns0:c r="AD556" s="7">
        <ns0:f>IF(W556&gt;=0,A556,1001)</ns0:f>
        <ns0:v>552</ns0:v>
      </ns0:c>
      <ns0:c r="AE556" s="7">
        <ns0:f>IF(W556&lt;0,A556,0)</ns0:f>
        <ns0:v>0</ns0:v>
      </ns0:c>
      <ns0:c r="AF556" s="16">
        <ns0:f>IF(AND(OR('前提と出典'!$C$36+'前提と出典'!$C$38=0,U556&gt;=0),OR('前提と出典'!$C$37+'前提と出典'!$C$38=0,V556&gt;=0)),0,A556)</ns0:f>
        <ns0:v>0</ns0:v>
      </ns0:c>
      <ns0:c r="AG556" s="7">
        <ns0:f>IF(Z556&gt;=0,A556,1001)</ns0:f>
        <ns0:v>552</ns0:v>
      </ns0:c>
      <ns0:c r="AH556" s="4">
        <ns0:f>IF(Z556&lt;0,A556,0)</ns0:f>
        <ns0:v>0</ns0:v>
      </ns0:c>
      <ns0:c r="AI556" s="12">
        <ns0:f>IF(AND(OR('前提と出典'!$C$36+'前提と出典'!$C$38=0,X556&gt;=0),OR('前提と出典'!$C$37+'前提と出典'!$C$38=0,Y556&gt;=0)),0,A556)</ns0:f>
        <ns0:v>0</ns0:v>
      </ns0:c>
    </ns0:row>
    <ns0:row r="557" ht="24" customHeight="1">
      <ns0:c r="A557" s="4" t="n">
        <ns0:v>553</ns0:v>
      </ns0:c>
      <ns0:c r="B557" s="12">
        <ns0:f>A557*('前提と出典'!$C$36+'前提と出典'!$C$38)</ns0:f>
        <ns0:v>387.09999999999997</ns0:v>
      </ns0:c>
      <ns0:c r="C557" s="12">
        <ns0:f>A557*('前提と出典'!$C$37+'前提と出典'!$C$38)</ns0:f>
        <ns0:v>331.8</ns0:v>
      </ns0:c>
      <ns0:c r="D557" s="16">
        <ns0:f>A557*('前提と出典'!$C$36*'契約別単価'!C5+'前提と出典'!$C$37*'契約別単価'!C6+'前提と出典'!$C$38*'契約別単価'!C7)</ns0:f>
        <ns0:v>3979.1284916201116</ns0:v>
      </ns0:c>
      <ns0:c r="E557" s="16">
        <ns0:f>A557*('前提と出典'!$C$36*'契約別単価'!E5+'前提と出典'!$C$37*'契約別単価'!E6+'前提と出典'!$C$38*'契約別単価'!E7)</ns0:f>
        <ns0:v>1390171.726552225</ns0:v>
      </ns0:c>
      <ns0:c r="F557" s="16">
        <ns0:f>A557*('前提と出典'!$C$36*'契約別単価'!F5+'前提と出典'!$C$37*'契約別単価'!F6+'前提と出典'!$C$38*'契約別単価'!F7)</ns0:f>
        <ns0:v>403948.36889708834</ns0:v>
      </ns0:c>
      <ns0:c r="G557" s="16">
        <ns0:f>A557*('前提と出典'!$C$36*'契約別単価'!G5+'前提と出典'!$C$37*'契約別単価'!G6+'前提と出典'!$C$38*'契約別単価'!G7)</ns0:f>
        <ns0:v>1100748.0446927373</ns0:v>
      </ns0:c>
      <ns0:c r="H557" s="16">
        <ns0:f>A557*('前提と出典'!$C$36*'契約別単価'!H5+'前提と出典'!$C$37*'契約別単価'!H6+'前提と出典'!$C$38*'契約別単価'!H7)</ns0:f>
        <ns0:v>382014.77836107905</ns0:v>
      </ns0:c>
      <ns0:c r="I557" s="16">
        <ns0:f>A557*('前提と出典'!$C$36*'契約別単価'!I5+'前提と出典'!$C$37*'契約別単価'!I6+'前提と出典'!$C$38*'契約別単価'!I7)</ns0:f>
        <ns0:v>23334.128491620108</ns0:v>
      </ns0:c>
      <ns0:c r="J557" s="16">
        <ns0:f>A557*('前提と出典'!$C$36*'契約別単価'!J5+'前提と出典'!$C$37*'契約別単価'!J6+'前提と出典'!$C$38*'契約別単価'!J7)</ns0:f>
        <ns0:v>54354.11767179732</ns0:v>
      </ns0:c>
      <ns0:c r="K557" s="16">
        <ns0:f>A557*('前提と出典'!$C$36*'契約別単価'!K5+'前提と出典'!$C$37*'契約別単価'!K6+'前提と出典'!$C$38*'契約別単価'!K7)</ns0:f>
        <ns0:v>232980.85661080072</ns0:v>
      </ns0:c>
      <ns0:c r="L557" s="16">
        <ns0:f>A557*('前提と出典'!$C$36*'契約別単価'!L5+'前提と出典'!$C$37*'契約別単価'!L6+'前提と出典'!$C$38*'契約別単価'!L7)</ns0:f>
        <ns0:v>189693.8259453693</ns0:v>
      </ns0:c>
      <ns0:c r="M557" s="16">
        <ns0:f>IF(('前提と出典'!$C$36+'前提と出典'!$C$38)=0,0,IF(B557&lt;=10,'前提と出典'!B73+'前提と出典'!C73,IF(B557&lt;=100,'前提と出典'!B74+'前提と出典'!C74,IF(B557&lt;=500,'前提と出典'!B75+'前提と出典'!C75,'前提と出典'!B76+'前提と出典'!C76))))</ns0:f>
        <ns0:v>40000</ns0:v>
      </ns0:c>
      <ns0:c r="N557" s="16">
        <ns0:f>IF(('前提と出典'!$C$37+'前提と出典'!$C$38)=0,0,IF(C557&lt;=10,'前提と出典'!D73+'前提と出典'!E73,IF(C557&lt;=100,'前提と出典'!D74+'前提と出典'!E74,IF(C557&lt;=500,'前提と出典'!D75+'前提と出典'!E75,'前提と出典'!D76+'前提と出典'!E76))))</ns0:f>
        <ns0:v>56510.9346263078</ns0:v>
      </ns0:c>
      <ns0:c r="O557" s="16">
        <ns0:f>IF('前提と出典'!$C$36+'前提と出典'!$C$38=0,0,'前提と出典'!$B$4*IF('前提と出典'!$B$20=0,MAX('前提と出典'!$B$6,D557*'前提と出典'!$B$5),'前提と出典'!$B$6+D557*'前提と出典'!$B$5))</ns0:f>
        <ns0:v>549119.7318435754</ns0:v>
      </ns0:c>
      <ns0:c r="P557" s="16">
        <ns0:f>(E557+G557)*(1-'前提と出典'!$B$7)-I557-K557-M557-O557</ns0:f>
        <ns0:v>1555811.9425341473</ns0:v>
      </ns0:c>
      <ns0:c r="Q557" s="16">
        <ns0:f>(F557+H557)*(1-'前提と出典'!$B$7)-J557-L557-N557</ns0:f>
        <ns0:v>457109.59571339906</ns0:v>
      </ns0:c>
      <ns0:c r="R557" s="16">
        <ns0:f>P557-E557*'前提と出典'!$E$4</ns0:f>
        <ns0:v>1138760.4245684799</ns0:v>
      </ns0:c>
      <ns0:c r="S557" s="16">
        <ns0:f>Q557-F557*'前提と出典'!$E$4</ns0:f>
        <ns0:v>335925.0850442725</ns0:v>
      </ns0:c>
      <ns0:c r="T557" s="7">
        <ns0:f>R557+S557</ns0:f>
        <ns0:v>1474685.5096127524</ns0:v>
      </ns0:c>
      <ns0:c r="U557" s="16">
        <ns0:f>P557-E557*'前提と出典'!$E$5</ns0:f>
        <ns0:v>999743.2519132574</ns0:v>
      </ns0:c>
      <ns0:c r="V557" s="16">
        <ns0:f>Q557-F557*'前提と出典'!$E$5</ns0:f>
        <ns0:v>295530.2481545637</ns0:v>
      </ns0:c>
      <ns0:c r="W557" s="7">
        <ns0:f>U557+V557</ns0:f>
        <ns0:v>1295273.5000678212</ns0:v>
      </ns0:c>
      <ns0:c r="X557" s="16">
        <ns0:f>P557-E557*'前提と出典'!$E$6</ns0:f>
        <ns0:v>860726.0792580349</ns0:v>
      </ns0:c>
      <ns0:c r="Y557" s="16">
        <ns0:f>Q557-F557*'前提と出典'!$E$6</ns0:f>
        <ns0:v>255135.41126485483</ns0:v>
      </ns0:c>
      <ns0:c r="Z557" s="7">
        <ns0:f>X557+Y557</ns0:f>
        <ns0:v>1115861.49052289</ns0:v>
      </ns0:c>
      <ns0:c r="AA557" s="7">
        <ns0:f>IF(T557&gt;=0,A557,1001)</ns0:f>
        <ns0:v>553</ns0:v>
      </ns0:c>
      <ns0:c r="AB557" s="7">
        <ns0:f>IF(T557&lt;0,A557,0)</ns0:f>
        <ns0:v>0</ns0:v>
      </ns0:c>
      <ns0:c r="AC557" s="16">
        <ns0:f>IF(AND(OR('前提と出典'!$C$36+'前提と出典'!$C$38=0,R557&gt;=0),OR('前提と出典'!$C$37+'前提と出典'!$C$38=0,S557&gt;=0)),0,A557)</ns0:f>
        <ns0:v>0</ns0:v>
      </ns0:c>
      <ns0:c r="AD557" s="7">
        <ns0:f>IF(W557&gt;=0,A557,1001)</ns0:f>
        <ns0:v>553</ns0:v>
      </ns0:c>
      <ns0:c r="AE557" s="7">
        <ns0:f>IF(W557&lt;0,A557,0)</ns0:f>
        <ns0:v>0</ns0:v>
      </ns0:c>
      <ns0:c r="AF557" s="16">
        <ns0:f>IF(AND(OR('前提と出典'!$C$36+'前提と出典'!$C$38=0,U557&gt;=0),OR('前提と出典'!$C$37+'前提と出典'!$C$38=0,V557&gt;=0)),0,A557)</ns0:f>
        <ns0:v>0</ns0:v>
      </ns0:c>
      <ns0:c r="AG557" s="7">
        <ns0:f>IF(Z557&gt;=0,A557,1001)</ns0:f>
        <ns0:v>553</ns0:v>
      </ns0:c>
      <ns0:c r="AH557" s="4">
        <ns0:f>IF(Z557&lt;0,A557,0)</ns0:f>
        <ns0:v>0</ns0:v>
      </ns0:c>
      <ns0:c r="AI557" s="12">
        <ns0:f>IF(AND(OR('前提と出典'!$C$36+'前提と出典'!$C$38=0,X557&gt;=0),OR('前提と出典'!$C$37+'前提と出典'!$C$38=0,Y557&gt;=0)),0,A557)</ns0:f>
        <ns0:v>0</ns0:v>
      </ns0:c>
    </ns0:row>
    <ns0:row r="558" ht="24" customHeight="1">
      <ns0:c r="A558" s="4" t="n">
        <ns0:v>554</ns0:v>
      </ns0:c>
      <ns0:c r="B558" s="12">
        <ns0:f>A558*('前提と出典'!$C$36+'前提と出典'!$C$38)</ns0:f>
        <ns0:v>387.79999999999995</ns0:v>
      </ns0:c>
      <ns0:c r="C558" s="12">
        <ns0:f>A558*('前提と出典'!$C$37+'前提と出典'!$C$38)</ns0:f>
        <ns0:v>332.4</ns0:v>
      </ns0:c>
      <ns0:c r="D558" s="16">
        <ns0:f>A558*('前提と出典'!$C$36*'契約別単価'!C5+'前提と出典'!$C$37*'契約別単価'!C6+'前提と出典'!$C$38*'契約別単価'!C7)</ns0:f>
        <ns0:v>3986.3240223463686</ns0:v>
      </ns0:c>
      <ns0:c r="E558" s="16">
        <ns0:f>A558*('前提と出典'!$C$36*'契約別単価'!E5+'前提と出典'!$C$37*'契約別単価'!E6+'前提と出典'!$C$38*'契約別単価'!E7)</ns0:f>
        <ns0:v>1392685.599475466</ns0:v>
      </ns0:c>
      <ns0:c r="F558" s="16">
        <ns0:f>A558*('前提と出典'!$C$36*'契約別単価'!F5+'前提と出典'!$C$37*'契約別単価'!F6+'前提と出典'!$C$38*'契約別単価'!F7)</ns0:f>
        <ns0:v>404678.8361102838</ns0:v>
      </ns0:c>
      <ns0:c r="G558" s="16">
        <ns0:f>A558*('前提と出典'!$C$36*'契約別単価'!G5+'前提と出典'!$C$37*'契約別単価'!G6+'前提と出典'!$C$38*'契約別単価'!G7)</ns0:f>
        <ns0:v>1102738.5474860335</ns0:v>
      </ns0:c>
      <ns0:c r="H558" s="16">
        <ns0:f>A558*('前提と出典'!$C$36*'契約別単価'!H5+'前提と出典'!$C$37*'契約別単価'!H6+'前提と出典'!$C$38*'契約別単価'!H7)</ns0:f>
        <ns0:v>382705.58266191283</ns0:v>
      </ns0:c>
      <ns0:c r="I558" s="16">
        <ns0:f>A558*('前提と出典'!$C$36*'契約別単価'!I5+'前提と出典'!$C$37*'契約別単価'!I6+'前提と出典'!$C$38*'契約別単価'!I7)</ns0:f>
        <ns0:v>23376.324022346365</ns0:v>
      </ns0:c>
      <ns0:c r="J558" s="16">
        <ns0:f>A558*('前提と出典'!$C$36*'契約別単価'!J5+'前提と出典'!$C$37*'契約別単価'!J6+'前提と出典'!$C$38*'契約別単価'!J7)</ns0:f>
        <ns0:v>54452.40721550762</ns0:v>
      </ns0:c>
      <ns0:c r="K558" s="16">
        <ns0:f>A558*('前提と出典'!$C$36*'契約別単価'!K5+'前提と出典'!$C$37*'契約別単価'!K6+'前提と出典'!$C$38*'契約別単価'!K7)</ns0:f>
        <ns0:v>233402.1601489758</ns0:v>
      </ns0:c>
      <ns0:c r="L558" s="16">
        <ns0:f>A558*('前提と出典'!$C$36*'契約別単価'!L5+'前提と出典'!$C$37*'契約別単価'!L6+'前提と出典'!$C$38*'契約別単価'!L7)</ns0:f>
        <ns0:v>190036.8527553971</ns0:v>
      </ns0:c>
      <ns0:c r="M558" s="16">
        <ns0:f>IF(('前提と出典'!$C$36+'前提と出典'!$C$38)=0,0,IF(B558&lt;=10,'前提と出典'!B73+'前提と出典'!C73,IF(B558&lt;=100,'前提と出典'!B74+'前提と出典'!C74,IF(B558&lt;=500,'前提と出典'!B75+'前提と出典'!C75,'前提と出典'!B76+'前提と出典'!C76))))</ns0:f>
        <ns0:v>40000</ns0:v>
      </ns0:c>
      <ns0:c r="N558" s="16">
        <ns0:f>IF(('前提と出典'!$C$37+'前提と出典'!$C$38)=0,0,IF(C558&lt;=10,'前提と出典'!D73+'前提と出典'!E73,IF(C558&lt;=100,'前提と出典'!D74+'前提と出典'!E74,IF(C558&lt;=500,'前提と出典'!D75+'前提と出典'!E75,'前提と出典'!D76+'前提と出典'!E76))))</ns0:f>
        <ns0:v>56510.9346263078</ns0:v>
      </ns0:c>
      <ns0:c r="O558" s="16">
        <ns0:f>IF('前提と出典'!$C$36+'前提と出典'!$C$38=0,0,'前提と出典'!$B$4*IF('前提と出典'!$B$20=0,MAX('前提と出典'!$B$6,D558*'前提と出典'!$B$5),'前提と出典'!$B$6+D558*'前提と出典'!$B$5))</ns0:f>
        <ns0:v>550112.7150837989</ns0:v>
      </ns0:c>
      <ns0:c r="P558" s="16">
        <ns0:f>(E558+G558)*(1-'前提と出典'!$B$7)-I558-K558-M558-O558</ns0:f>
        <ns0:v>1558697.6784157646</ns0:v>
      </ns0:c>
      <ns0:c r="Q558" s="16">
        <ns0:f>(F558+H558)*(1-'前提と出典'!$B$7)-J558-L558-N558</ns0:f>
        <ns0:v>458038.38509918505</ns0:v>
      </ns0:c>
      <ns0:c r="R558" s="16">
        <ns0:f>P558-E558*'前提と出典'!$E$4</ns0:f>
        <ns0:v>1140891.9985731249</ns0:v>
      </ns0:c>
      <ns0:c r="S558" s="16">
        <ns0:f>Q558-F558*'前提と出典'!$E$4</ns0:f>
        <ns0:v>336634.73426609987</ns0:v>
      </ns0:c>
      <ns0:c r="T558" s="7">
        <ns0:f>R558+S558</ns0:f>
        <ns0:v>1477526.7328392249</ns0:v>
      </ns0:c>
      <ns0:c r="U558" s="16">
        <ns0:f>P558-E558*'前提と出典'!$E$5</ns0:f>
        <ns0:v>1001623.4386255783</ns0:v>
      </ns0:c>
      <ns0:c r="V558" s="16">
        <ns0:f>Q558-F558*'前提と出典'!$E$5</ns0:f>
        <ns0:v>296166.85065507155</ns0:v>
      </ns0:c>
      <ns0:c r="W558" s="7">
        <ns0:f>U558+V558</ns0:f>
        <ns0:v>1297790.2892806497</ns0:v>
      </ns0:c>
      <ns0:c r="X558" s="16">
        <ns0:f>P558-E558*'前提と出典'!$E$6</ns0:f>
        <ns0:v>862354.8786780317</ns0:v>
      </ns0:c>
      <ns0:c r="Y558" s="16">
        <ns0:f>Q558-F558*'前提と出典'!$E$6</ns0:f>
        <ns0:v>255698.96704404306</ns0:v>
      </ns0:c>
      <ns0:c r="Z558" s="7">
        <ns0:f>X558+Y558</ns0:f>
        <ns0:v>1118053.8457220749</ns0:v>
      </ns0:c>
      <ns0:c r="AA558" s="7">
        <ns0:f>IF(T558&gt;=0,A558,1001)</ns0:f>
        <ns0:v>554</ns0:v>
      </ns0:c>
      <ns0:c r="AB558" s="7">
        <ns0:f>IF(T558&lt;0,A558,0)</ns0:f>
        <ns0:v>0</ns0:v>
      </ns0:c>
      <ns0:c r="AC558" s="16">
        <ns0:f>IF(AND(OR('前提と出典'!$C$36+'前提と出典'!$C$38=0,R558&gt;=0),OR('前提と出典'!$C$37+'前提と出典'!$C$38=0,S558&gt;=0)),0,A558)</ns0:f>
        <ns0:v>0</ns0:v>
      </ns0:c>
      <ns0:c r="AD558" s="7">
        <ns0:f>IF(W558&gt;=0,A558,1001)</ns0:f>
        <ns0:v>554</ns0:v>
      </ns0:c>
      <ns0:c r="AE558" s="7">
        <ns0:f>IF(W558&lt;0,A558,0)</ns0:f>
        <ns0:v>0</ns0:v>
      </ns0:c>
      <ns0:c r="AF558" s="16">
        <ns0:f>IF(AND(OR('前提と出典'!$C$36+'前提と出典'!$C$38=0,U558&gt;=0),OR('前提と出典'!$C$37+'前提と出典'!$C$38=0,V558&gt;=0)),0,A558)</ns0:f>
        <ns0:v>0</ns0:v>
      </ns0:c>
      <ns0:c r="AG558" s="7">
        <ns0:f>IF(Z558&gt;=0,A558,1001)</ns0:f>
        <ns0:v>554</ns0:v>
      </ns0:c>
      <ns0:c r="AH558" s="4">
        <ns0:f>IF(Z558&lt;0,A558,0)</ns0:f>
        <ns0:v>0</ns0:v>
      </ns0:c>
      <ns0:c r="AI558" s="12">
        <ns0:f>IF(AND(OR('前提と出典'!$C$36+'前提と出典'!$C$38=0,X558&gt;=0),OR('前提と出典'!$C$37+'前提と出典'!$C$38=0,Y558&gt;=0)),0,A558)</ns0:f>
        <ns0:v>0</ns0:v>
      </ns0:c>
    </ns0:row>
    <ns0:row r="559" ht="24" customHeight="1">
      <ns0:c r="A559" s="4" t="n">
        <ns0:v>555</ns0:v>
      </ns0:c>
      <ns0:c r="B559" s="12">
        <ns0:f>A559*('前提と出典'!$C$36+'前提と出典'!$C$38)</ns0:f>
        <ns0:v>388.5</ns0:v>
      </ns0:c>
      <ns0:c r="C559" s="12">
        <ns0:f>A559*('前提と出典'!$C$37+'前提と出典'!$C$38)</ns0:f>
        <ns0:v>333</ns0:v>
      </ns0:c>
      <ns0:c r="D559" s="16">
        <ns0:f>A559*('前提と出典'!$C$36*'契約別単価'!C5+'前提と出典'!$C$37*'契約別単価'!C6+'前提と出典'!$C$38*'契約別単価'!C7)</ns0:f>
        <ns0:v>3993.5195530726255</ns0:v>
      </ns0:c>
      <ns0:c r="E559" s="16">
        <ns0:f>A559*('前提と出典'!$C$36*'契約別単価'!E5+'前提と出典'!$C$37*'契約別単価'!E6+'前提と出典'!$C$38*'契約別単価'!E7)</ns0:f>
        <ns0:v>1395199.472398707</ns0:v>
      </ns0:c>
      <ns0:c r="F559" s="16">
        <ns0:f>A559*('前提と出典'!$C$36*'契約別単価'!F5+'前提と出典'!$C$37*'契約別単価'!F6+'前提と出典'!$C$38*'契約別単価'!F7)</ns0:f>
        <ns0:v>405409.30332347925</ns0:v>
      </ns0:c>
      <ns0:c r="G559" s="16">
        <ns0:f>A559*('前提と出典'!$C$36*'契約別単価'!G5+'前提と出典'!$C$37*'契約別単価'!G6+'前提と出典'!$C$38*'契約別単価'!G7)</ns0:f>
        <ns0:v>1104729.0502793295</ns0:v>
      </ns0:c>
      <ns0:c r="H559" s="16">
        <ns0:f>A559*('前提と出典'!$C$36*'契約別単価'!H5+'前提と出典'!$C$37*'契約別単価'!H6+'前提と出典'!$C$38*'契約別単価'!H7)</ns0:f>
        <ns0:v>383396.3869627466</ns0:v>
      </ns0:c>
      <ns0:c r="I559" s="16">
        <ns0:f>A559*('前提と出典'!$C$36*'契約別単価'!I5+'前提と出典'!$C$37*'契約別単価'!I6+'前提と出典'!$C$38*'契約別単価'!I7)</ns0:f>
        <ns0:v>23418.519553072623</ns0:v>
      </ns0:c>
      <ns0:c r="J559" s="16">
        <ns0:f>A559*('前提と出典'!$C$36*'契約別単価'!J5+'前提と出典'!$C$37*'契約別単価'!J6+'前提と出典'!$C$38*'契約別単価'!J7)</ns0:f>
        <ns0:v>54550.69675921793</ns0:v>
      </ns0:c>
      <ns0:c r="K559" s="16">
        <ns0:f>A559*('前提と出典'!$C$36*'契約別単価'!K5+'前提と出典'!$C$37*'契約別単価'!K6+'前提と出典'!$C$38*'契約別単価'!K7)</ns0:f>
        <ns0:v>233823.46368715083</ns0:v>
      </ns0:c>
      <ns0:c r="L559" s="16">
        <ns0:f>A559*('前提と出典'!$C$36*'契約別単価'!L5+'前提と出典'!$C$37*'契約別単価'!L6+'前提と出典'!$C$38*'契約別単価'!L7)</ns0:f>
        <ns0:v>190379.87956542487</ns0:v>
      </ns0:c>
      <ns0:c r="M559" s="16">
        <ns0:f>IF(('前提と出典'!$C$36+'前提と出典'!$C$38)=0,0,IF(B559&lt;=10,'前提と出典'!B73+'前提と出典'!C73,IF(B559&lt;=100,'前提と出典'!B74+'前提と出典'!C74,IF(B559&lt;=500,'前提と出典'!B75+'前提と出典'!C75,'前提と出典'!B76+'前提と出典'!C76))))</ns0:f>
        <ns0:v>40000</ns0:v>
      </ns0:c>
      <ns0:c r="N559" s="16">
        <ns0:f>IF(('前提と出典'!$C$37+'前提と出典'!$C$38)=0,0,IF(C559&lt;=10,'前提と出典'!D73+'前提と出典'!E73,IF(C559&lt;=100,'前提と出典'!D74+'前提と出典'!E74,IF(C559&lt;=500,'前提と出典'!D75+'前提と出典'!E75,'前提と出典'!D76+'前提と出典'!E76))))</ns0:f>
        <ns0:v>56510.9346263078</ns0:v>
      </ns0:c>
      <ns0:c r="O559" s="16">
        <ns0:f>IF('前提と出典'!$C$36+'前提と出典'!$C$38=0,0,'前提と出典'!$B$4*IF('前提と出典'!$B$20=0,MAX('前提と出典'!$B$6,D559*'前提と出典'!$B$5),'前提と出典'!$B$6+D559*'前提と出典'!$B$5))</ns0:f>
        <ns0:v>551105.6983240223</ns0:v>
      </ns0:c>
      <ns0:c r="P559" s="16">
        <ns0:f>(E559+G559)*(1-'前提と出典'!$B$7)-I559-K559-M559-O559</ns0:f>
        <ns0:v>1561583.4142973814</ns0:v>
      </ns0:c>
      <ns0:c r="Q559" s="16">
        <ns0:f>(F559+H559)*(1-'前提と出典'!$B$7)-J559-L559-N559</ns0:f>
        <ns0:v>458967.1744849712</ns0:v>
      </ns0:c>
      <ns0:c r="R559" s="16">
        <ns0:f>P559-E559*'前提と出典'!$E$4</ns0:f>
        <ns0:v>1143023.5725777694</ns0:v>
      </ns0:c>
      <ns0:c r="S559" s="16">
        <ns0:f>Q559-F559*'前提と出典'!$E$4</ns0:f>
        <ns0:v>337344.3834879275</ns0:v>
      </ns0:c>
      <ns0:c r="T559" s="7">
        <ns0:f>R559+S559</ns0:f>
        <ns0:v>1480367.956065697</ns0:v>
      </ns0:c>
      <ns0:c r="U559" s="16">
        <ns0:f>P559-E559*'前提と出典'!$E$5</ns0:f>
        <ns0:v>1003503.6253378987</ns0:v>
      </ns0:c>
      <ns0:c r="V559" s="16">
        <ns0:f>Q559-F559*'前提と出典'!$E$5</ns0:f>
        <ns0:v>296803.4531555795</ns0:v>
      </ns0:c>
      <ns0:c r="W559" s="7">
        <ns0:f>U559+V559</ns0:f>
        <ns0:v>1300307.0784934782</ns0:v>
      </ns0:c>
      <ns0:c r="X559" s="16">
        <ns0:f>P559-E559*'前提と出典'!$E$6</ns0:f>
        <ns0:v>863983.6780980281</ns0:v>
      </ns0:c>
      <ns0:c r="Y559" s="16">
        <ns0:f>Q559-F559*'前提と出典'!$E$6</ns0:f>
        <ns0:v>256262.52282323147</ns0:v>
      </ns0:c>
      <ns0:c r="Z559" s="7">
        <ns0:f>X559+Y559</ns0:f>
        <ns0:v>1120246.2009212596</ns0:v>
      </ns0:c>
      <ns0:c r="AA559" s="7">
        <ns0:f>IF(T559&gt;=0,A559,1001)</ns0:f>
        <ns0:v>555</ns0:v>
      </ns0:c>
      <ns0:c r="AB559" s="7">
        <ns0:f>IF(T559&lt;0,A559,0)</ns0:f>
        <ns0:v>0</ns0:v>
      </ns0:c>
      <ns0:c r="AC559" s="16">
        <ns0:f>IF(AND(OR('前提と出典'!$C$36+'前提と出典'!$C$38=0,R559&gt;=0),OR('前提と出典'!$C$37+'前提と出典'!$C$38=0,S559&gt;=0)),0,A559)</ns0:f>
        <ns0:v>0</ns0:v>
      </ns0:c>
      <ns0:c r="AD559" s="7">
        <ns0:f>IF(W559&gt;=0,A559,1001)</ns0:f>
        <ns0:v>555</ns0:v>
      </ns0:c>
      <ns0:c r="AE559" s="7">
        <ns0:f>IF(W559&lt;0,A559,0)</ns0:f>
        <ns0:v>0</ns0:v>
      </ns0:c>
      <ns0:c r="AF559" s="16">
        <ns0:f>IF(AND(OR('前提と出典'!$C$36+'前提と出典'!$C$38=0,U559&gt;=0),OR('前提と出典'!$C$37+'前提と出典'!$C$38=0,V559&gt;=0)),0,A559)</ns0:f>
        <ns0:v>0</ns0:v>
      </ns0:c>
      <ns0:c r="AG559" s="7">
        <ns0:f>IF(Z559&gt;=0,A559,1001)</ns0:f>
        <ns0:v>555</ns0:v>
      </ns0:c>
      <ns0:c r="AH559" s="4">
        <ns0:f>IF(Z559&lt;0,A559,0)</ns0:f>
        <ns0:v>0</ns0:v>
      </ns0:c>
      <ns0:c r="AI559" s="12">
        <ns0:f>IF(AND(OR('前提と出典'!$C$36+'前提と出典'!$C$38=0,X559&gt;=0),OR('前提と出典'!$C$37+'前提と出典'!$C$38=0,Y559&gt;=0)),0,A559)</ns0:f>
        <ns0:v>0</ns0:v>
      </ns0:c>
    </ns0:row>
    <ns0:row r="560" ht="24" customHeight="1">
      <ns0:c r="A560" s="4" t="n">
        <ns0:v>556</ns0:v>
      </ns0:c>
      <ns0:c r="B560" s="12">
        <ns0:f>A560*('前提と出典'!$C$36+'前提と出典'!$C$38)</ns0:f>
        <ns0:v>389.2</ns0:v>
      </ns0:c>
      <ns0:c r="C560" s="12">
        <ns0:f>A560*('前提と出典'!$C$37+'前提と出典'!$C$38)</ns0:f>
        <ns0:v>333.59999999999997</ns0:v>
      </ns0:c>
      <ns0:c r="D560" s="16">
        <ns0:f>A560*('前提と出典'!$C$36*'契約別単価'!C5+'前提と出典'!$C$37*'契約別単価'!C6+'前提と出典'!$C$38*'契約別単価'!C7)</ns0:f>
        <ns0:v>4000.7150837988825</ns0:v>
      </ns0:c>
      <ns0:c r="E560" s="16">
        <ns0:f>A560*('前提と出典'!$C$36*'契約別単価'!E5+'前提と出典'!$C$37*'契約別単価'!E6+'前提と出典'!$C$38*'契約別単価'!E7)</ns0:f>
        <ns0:v>1397713.3453219477</ns0:v>
      </ns0:c>
      <ns0:c r="F560" s="16">
        <ns0:f>A560*('前提と出典'!$C$36*'契約別単価'!F5+'前提と出典'!$C$37*'契約別単価'!F6+'前提と出典'!$C$38*'契約別単価'!F7)</ns0:f>
        <ns0:v>406139.7705366747</ns0:v>
      </ns0:c>
      <ns0:c r="G560" s="16">
        <ns0:f>A560*('前提と出典'!$C$36*'契約別単価'!G5+'前提と出典'!$C$37*'契約別単価'!G6+'前提と出典'!$C$38*'契約別単価'!G7)</ns0:f>
        <ns0:v>1106719.5530726255</ns0:v>
      </ns0:c>
      <ns0:c r="H560" s="16">
        <ns0:f>A560*('前提と出典'!$C$36*'契約別単価'!H5+'前提と出典'!$C$37*'契約別単価'!H6+'前提と出典'!$C$38*'契約別単価'!H7)</ns0:f>
        <ns0:v>384087.1912635804</ns0:v>
      </ns0:c>
      <ns0:c r="I560" s="16">
        <ns0:f>A560*('前提と出典'!$C$36*'契約別単価'!I5+'前提と出典'!$C$37*'契約別単価'!I6+'前提と出典'!$C$38*'契約別単価'!I7)</ns0:f>
        <ns0:v>23460.715083798877</ns0:v>
      </ns0:c>
      <ns0:c r="J560" s="16">
        <ns0:f>A560*('前提と出典'!$C$36*'契約別単価'!J5+'前提と出典'!$C$37*'契約別単価'!J6+'前提と出典'!$C$38*'契約別単価'!J7)</ns0:f>
        <ns0:v>54648.98630292823</ns0:v>
      </ns0:c>
      <ns0:c r="K560" s="16">
        <ns0:f>A560*('前提と出典'!$C$36*'契約別単価'!K5+'前提と出典'!$C$37*'契約別単価'!K6+'前提と出典'!$C$38*'契約別単価'!K7)</ns0:f>
        <ns0:v>234244.76722532586</ns0:v>
      </ns0:c>
      <ns0:c r="L560" s="16">
        <ns0:f>A560*('前提と出典'!$C$36*'契約別単価'!L5+'前提と出典'!$C$37*'契約別単価'!L6+'前提と出典'!$C$38*'契約別単価'!L7)</ns0:f>
        <ns0:v>190722.90637545267</ns0:v>
      </ns0:c>
      <ns0:c r="M560" s="16">
        <ns0:f>IF(('前提と出典'!$C$36+'前提と出典'!$C$38)=0,0,IF(B560&lt;=10,'前提と出典'!B73+'前提と出典'!C73,IF(B560&lt;=100,'前提と出典'!B74+'前提と出典'!C74,IF(B560&lt;=500,'前提と出典'!B75+'前提と出典'!C75,'前提と出典'!B76+'前提と出典'!C76))))</ns0:f>
        <ns0:v>40000</ns0:v>
      </ns0:c>
      <ns0:c r="N560" s="16">
        <ns0:f>IF(('前提と出典'!$C$37+'前提と出典'!$C$38)=0,0,IF(C560&lt;=10,'前提と出典'!D73+'前提と出典'!E73,IF(C560&lt;=100,'前提と出典'!D74+'前提と出典'!E74,IF(C560&lt;=500,'前提と出典'!D75+'前提と出典'!E75,'前提と出典'!D76+'前提と出典'!E76))))</ns0:f>
        <ns0:v>56510.9346263078</ns0:v>
      </ns0:c>
      <ns0:c r="O560" s="16">
        <ns0:f>IF('前提と出典'!$C$36+'前提と出典'!$C$38=0,0,'前提と出典'!$B$4*IF('前提と出典'!$B$20=0,MAX('前提と出典'!$B$6,D560*'前提と出典'!$B$5),'前提と出典'!$B$6+D560*'前提と出典'!$B$5))</ns0:f>
        <ns0:v>552098.6815642457</ns0:v>
      </ns0:c>
      <ns0:c r="P560" s="16">
        <ns0:f>(E560+G560)*(1-'前提と出典'!$B$7)-I560-K560-M560-O560</ns0:f>
        <ns0:v>1564469.1501789982</ns0:v>
      </ns0:c>
      <ns0:c r="Q560" s="16">
        <ns0:f>(F560+H560)*(1-'前提と出典'!$B$7)-J560-L560-N560</ns0:f>
        <ns0:v>459895.96387075726</ns0:v>
      </ns0:c>
      <ns0:c r="R560" s="16">
        <ns0:f>P560-E560*'前提と出典'!$E$4</ns0:f>
        <ns0:v>1145155.146582414</ns0:v>
      </ns0:c>
      <ns0:c r="S560" s="16">
        <ns0:f>Q560-F560*'前提と出典'!$E$4</ns0:f>
        <ns0:v>338054.0327097549</ns0:v>
      </ns0:c>
      <ns0:c r="T560" s="7">
        <ns0:f>R560+S560</ns0:f>
        <ns0:v>1483209.179292169</ns0:v>
      </ns0:c>
      <ns0:c r="U560" s="16">
        <ns0:f>P560-E560*'前提と出典'!$E$5</ns0:f>
        <ns0:v>1005383.8120502193</ns0:v>
      </ns0:c>
      <ns0:c r="V560" s="16">
        <ns0:f>Q560-F560*'前提と出典'!$E$5</ns0:f>
        <ns0:v>297440.05565608735</ns0:v>
      </ns0:c>
      <ns0:c r="W560" s="7">
        <ns0:f>U560+V560</ns0:f>
        <ns0:v>1302823.8677063067</ns0:v>
      </ns0:c>
      <ns0:c r="X560" s="16">
        <ns0:f>P560-E560*'前提と出典'!$E$6</ns0:f>
        <ns0:v>865612.4775180245</ns0:v>
      </ns0:c>
      <ns0:c r="Y560" s="16">
        <ns0:f>Q560-F560*'前提と出典'!$E$6</ns0:f>
        <ns0:v>256826.07860241982</ns0:v>
      </ns0:c>
      <ns0:c r="Z560" s="7">
        <ns0:f>X560+Y560</ns0:f>
        <ns0:v>1122438.5561204443</ns0:v>
      </ns0:c>
      <ns0:c r="AA560" s="7">
        <ns0:f>IF(T560&gt;=0,A560,1001)</ns0:f>
        <ns0:v>556</ns0:v>
      </ns0:c>
      <ns0:c r="AB560" s="7">
        <ns0:f>IF(T560&lt;0,A560,0)</ns0:f>
        <ns0:v>0</ns0:v>
      </ns0:c>
      <ns0:c r="AC560" s="16">
        <ns0:f>IF(AND(OR('前提と出典'!$C$36+'前提と出典'!$C$38=0,R560&gt;=0),OR('前提と出典'!$C$37+'前提と出典'!$C$38=0,S560&gt;=0)),0,A560)</ns0:f>
        <ns0:v>0</ns0:v>
      </ns0:c>
      <ns0:c r="AD560" s="7">
        <ns0:f>IF(W560&gt;=0,A560,1001)</ns0:f>
        <ns0:v>556</ns0:v>
      </ns0:c>
      <ns0:c r="AE560" s="7">
        <ns0:f>IF(W560&lt;0,A560,0)</ns0:f>
        <ns0:v>0</ns0:v>
      </ns0:c>
      <ns0:c r="AF560" s="16">
        <ns0:f>IF(AND(OR('前提と出典'!$C$36+'前提と出典'!$C$38=0,U560&gt;=0),OR('前提と出典'!$C$37+'前提と出典'!$C$38=0,V560&gt;=0)),0,A560)</ns0:f>
        <ns0:v>0</ns0:v>
      </ns0:c>
      <ns0:c r="AG560" s="7">
        <ns0:f>IF(Z560&gt;=0,A560,1001)</ns0:f>
        <ns0:v>556</ns0:v>
      </ns0:c>
      <ns0:c r="AH560" s="4">
        <ns0:f>IF(Z560&lt;0,A560,0)</ns0:f>
        <ns0:v>0</ns0:v>
      </ns0:c>
      <ns0:c r="AI560" s="12">
        <ns0:f>IF(AND(OR('前提と出典'!$C$36+'前提と出典'!$C$38=0,X560&gt;=0),OR('前提と出典'!$C$37+'前提と出典'!$C$38=0,Y560&gt;=0)),0,A560)</ns0:f>
        <ns0:v>0</ns0:v>
      </ns0:c>
    </ns0:row>
    <ns0:row r="561" ht="24" customHeight="1">
      <ns0:c r="A561" s="4" t="n">
        <ns0:v>557</ns0:v>
      </ns0:c>
      <ns0:c r="B561" s="12">
        <ns0:f>A561*('前提と出典'!$C$36+'前提と出典'!$C$38)</ns0:f>
        <ns0:v>389.9</ns0:v>
      </ns0:c>
      <ns0:c r="C561" s="12">
        <ns0:f>A561*('前提と出典'!$C$37+'前提と出典'!$C$38)</ns0:f>
        <ns0:v>334.2</ns0:v>
      </ns0:c>
      <ns0:c r="D561" s="16">
        <ns0:f>A561*('前提と出典'!$C$36*'契約別単価'!C5+'前提と出典'!$C$37*'契約別単価'!C6+'前提と出典'!$C$38*'契約別単価'!C7)</ns0:f>
        <ns0:v>4007.91061452514</ns0:v>
      </ns0:c>
      <ns0:c r="E561" s="16">
        <ns0:f>A561*('前提と出典'!$C$36*'契約別単価'!E5+'前提と出典'!$C$37*'契約別単価'!E6+'前提と出典'!$C$38*'契約別単価'!E7)</ns0:f>
        <ns0:v>1400227.2182451887</ns0:v>
      </ns0:c>
      <ns0:c r="F561" s="16">
        <ns0:f>A561*('前提と出典'!$C$36*'契約別単価'!F5+'前提と出典'!$C$37*'契約別単価'!F6+'前提と出典'!$C$38*'契約別単価'!F7)</ns0:f>
        <ns0:v>406870.23774987017</ns0:v>
      </ns0:c>
      <ns0:c r="G561" s="16">
        <ns0:f>A561*('前提と出典'!$C$36*'契約別単価'!G5+'前提と出典'!$C$37*'契約別単価'!G6+'前提と出典'!$C$38*'契約別単価'!G7)</ns0:f>
        <ns0:v>1108710.0558659218</ns0:v>
      </ns0:c>
      <ns0:c r="H561" s="16">
        <ns0:f>A561*('前提と出典'!$C$36*'契約別単価'!H5+'前提と出典'!$C$37*'契約別単価'!H6+'前提と出典'!$C$38*'契約別単価'!H7)</ns0:f>
        <ns0:v>384777.9955644142</ns0:v>
      </ns0:c>
      <ns0:c r="I561" s="16">
        <ns0:f>A561*('前提と出典'!$C$36*'契約別単価'!I5+'前提と出典'!$C$37*'契約別単価'!I6+'前提と出典'!$C$38*'契約別単価'!I7)</ns0:f>
        <ns0:v>23502.910614525135</ns0:v>
      </ns0:c>
      <ns0:c r="J561" s="16">
        <ns0:f>A561*('前提と出典'!$C$36*'契約別単価'!J5+'前提と出典'!$C$37*'契約別単価'!J6+'前提と出典'!$C$38*'契約別単価'!J7)</ns0:f>
        <ns0:v>54747.27584663853</ns0:v>
      </ns0:c>
      <ns0:c r="K561" s="16">
        <ns0:f>A561*('前提と出典'!$C$36*'契約別単価'!K5+'前提と出典'!$C$37*'契約別単価'!K6+'前提と出典'!$C$38*'契約別単価'!K7)</ns0:f>
        <ns0:v>234666.0707635009</ns0:v>
      </ns0:c>
      <ns0:c r="L561" s="16">
        <ns0:f>A561*('前提と出典'!$C$36*'契約別単価'!L5+'前提と出典'!$C$37*'契約別単価'!L6+'前提と出典'!$C$38*'契約別単価'!L7)</ns0:f>
        <ns0:v>191065.93318548048</ns0:v>
      </ns0:c>
      <ns0:c r="M561" s="16">
        <ns0:f>IF(('前提と出典'!$C$36+'前提と出典'!$C$38)=0,0,IF(B561&lt;=10,'前提と出典'!B73+'前提と出典'!C73,IF(B561&lt;=100,'前提と出典'!B74+'前提と出典'!C74,IF(B561&lt;=500,'前提と出典'!B75+'前提と出典'!C75,'前提と出典'!B76+'前提と出典'!C76))))</ns0:f>
        <ns0:v>40000</ns0:v>
      </ns0:c>
      <ns0:c r="N561" s="16">
        <ns0:f>IF(('前提と出典'!$C$37+'前提と出典'!$C$38)=0,0,IF(C561&lt;=10,'前提と出典'!D73+'前提と出典'!E73,IF(C561&lt;=100,'前提と出典'!D74+'前提と出典'!E74,IF(C561&lt;=500,'前提と出典'!D75+'前提と出典'!E75,'前提と出典'!D76+'前提と出典'!E76))))</ns0:f>
        <ns0:v>56510.9346263078</ns0:v>
      </ns0:c>
      <ns0:c r="O561" s="16">
        <ns0:f>IF('前提と出典'!$C$36+'前提と出典'!$C$38=0,0,'前提と出典'!$B$4*IF('前提と出典'!$B$20=0,MAX('前提と出典'!$B$6,D561*'前提と出典'!$B$5),'前提と出典'!$B$6+D561*'前提と出典'!$B$5))</ns0:f>
        <ns0:v>553091.6648044693</ns0:v>
      </ns0:c>
      <ns0:c r="P561" s="16">
        <ns0:f>(E561+G561)*(1-'前提と出典'!$B$7)-I561-K561-M561-O561</ns0:f>
        <ns0:v>1567354.8860606153</ns0:v>
      </ns0:c>
      <ns0:c r="Q561" s="16">
        <ns0:f>(F561+H561)*(1-'前提と出典'!$B$7)-J561-L561-N561</ns0:f>
        <ns0:v>460824.7532565433</ns0:v>
      </ns0:c>
      <ns0:c r="R561" s="16">
        <ns0:f>P561-E561*'前提と出典'!$E$4</ns0:f>
        <ns0:v>1147286.7205870587</ns0:v>
      </ns0:c>
      <ns0:c r="S561" s="16">
        <ns0:f>Q561-F561*'前提と出典'!$E$4</ns0:f>
        <ns0:v>338763.68193158234</ns0:v>
      </ns0:c>
      <ns0:c r="T561" s="7">
        <ns0:f>R561+S561</ns0:f>
        <ns0:v>1486050.402518641</ns0:v>
      </ns0:c>
      <ns0:c r="U561" s="16">
        <ns0:f>P561-E561*'前提と出典'!$E$5</ns0:f>
        <ns0:v>1007263.9987625398</ns0:v>
      </ns0:c>
      <ns0:c r="V561" s="16">
        <ns0:f>Q561-F561*'前提と出典'!$E$5</ns0:f>
        <ns0:v>298076.65815659525</ns0:v>
      </ns0:c>
      <ns0:c r="W561" s="7">
        <ns0:f>U561+V561</ns0:f>
        <ns0:v>1305340.656919135</ns0:v>
      </ns0:c>
      <ns0:c r="X561" s="16">
        <ns0:f>P561-E561*'前提と出典'!$E$6</ns0:f>
        <ns0:v>867241.276938021</ns0:v>
      </ns0:c>
      <ns0:c r="Y561" s="16">
        <ns0:f>Q561-F561*'前提と出典'!$E$6</ns0:f>
        <ns0:v>257389.63438160822</ns0:v>
      </ns0:c>
      <ns0:c r="Z561" s="7">
        <ns0:f>X561+Y561</ns0:f>
        <ns0:v>1124630.9113196293</ns0:v>
      </ns0:c>
      <ns0:c r="AA561" s="7">
        <ns0:f>IF(T561&gt;=0,A561,1001)</ns0:f>
        <ns0:v>557</ns0:v>
      </ns0:c>
      <ns0:c r="AB561" s="7">
        <ns0:f>IF(T561&lt;0,A561,0)</ns0:f>
        <ns0:v>0</ns0:v>
      </ns0:c>
      <ns0:c r="AC561" s="16">
        <ns0:f>IF(AND(OR('前提と出典'!$C$36+'前提と出典'!$C$38=0,R561&gt;=0),OR('前提と出典'!$C$37+'前提と出典'!$C$38=0,S561&gt;=0)),0,A561)</ns0:f>
        <ns0:v>0</ns0:v>
      </ns0:c>
      <ns0:c r="AD561" s="7">
        <ns0:f>IF(W561&gt;=0,A561,1001)</ns0:f>
        <ns0:v>557</ns0:v>
      </ns0:c>
      <ns0:c r="AE561" s="7">
        <ns0:f>IF(W561&lt;0,A561,0)</ns0:f>
        <ns0:v>0</ns0:v>
      </ns0:c>
      <ns0:c r="AF561" s="16">
        <ns0:f>IF(AND(OR('前提と出典'!$C$36+'前提と出典'!$C$38=0,U561&gt;=0),OR('前提と出典'!$C$37+'前提と出典'!$C$38=0,V561&gt;=0)),0,A561)</ns0:f>
        <ns0:v>0</ns0:v>
      </ns0:c>
      <ns0:c r="AG561" s="7">
        <ns0:f>IF(Z561&gt;=0,A561,1001)</ns0:f>
        <ns0:v>557</ns0:v>
      </ns0:c>
      <ns0:c r="AH561" s="4">
        <ns0:f>IF(Z561&lt;0,A561,0)</ns0:f>
        <ns0:v>0</ns0:v>
      </ns0:c>
      <ns0:c r="AI561" s="12">
        <ns0:f>IF(AND(OR('前提と出典'!$C$36+'前提と出典'!$C$38=0,X561&gt;=0),OR('前提と出典'!$C$37+'前提と出典'!$C$38=0,Y561&gt;=0)),0,A561)</ns0:f>
        <ns0:v>0</ns0:v>
      </ns0:c>
    </ns0:row>
    <ns0:row r="562" ht="24" customHeight="1">
      <ns0:c r="A562" s="4" t="n">
        <ns0:v>558</ns0:v>
      </ns0:c>
      <ns0:c r="B562" s="12">
        <ns0:f>A562*('前提と出典'!$C$36+'前提と出典'!$C$38)</ns0:f>
        <ns0:v>390.59999999999997</ns0:v>
      </ns0:c>
      <ns0:c r="C562" s="12">
        <ns0:f>A562*('前提と出典'!$C$37+'前提と出典'!$C$38)</ns0:f>
        <ns0:v>334.8</ns0:v>
      </ns0:c>
      <ns0:c r="D562" s="16">
        <ns0:f>A562*('前提と出典'!$C$36*'契約別単価'!C5+'前提と出典'!$C$37*'契約別単価'!C6+'前提と出典'!$C$38*'契約別単価'!C7)</ns0:f>
        <ns0:v>4015.106145251397</ns0:v>
      </ns0:c>
      <ns0:c r="E562" s="16">
        <ns0:f>A562*('前提と出典'!$C$36*'契約別単価'!E5+'前提と出典'!$C$37*'契約別単価'!E6+'前提と出典'!$C$38*'契約別単価'!E7)</ns0:f>
        <ns0:v>1402741.0911684295</ns0:v>
      </ns0:c>
      <ns0:c r="F562" s="16">
        <ns0:f>A562*('前提と出典'!$C$36*'契約別単価'!F5+'前提と出典'!$C$37*'契約別単価'!F6+'前提と出典'!$C$38*'契約別単価'!F7)</ns0:f>
        <ns0:v>407600.7049630656</ns0:v>
      </ns0:c>
      <ns0:c r="G562" s="16">
        <ns0:f>A562*('前提と出典'!$C$36*'契約別単価'!G5+'前提と出典'!$C$37*'契約別単価'!G6+'前提と出典'!$C$38*'契約別単価'!G7)</ns0:f>
        <ns0:v>1110700.5586592178</ns0:v>
      </ns0:c>
      <ns0:c r="H562" s="16">
        <ns0:f>A562*('前提と出典'!$C$36*'契約別単価'!H5+'前提と出典'!$C$37*'契約別単価'!H6+'前提と出典'!$C$38*'契約別単価'!H7)</ns0:f>
        <ns0:v>385468.799865248</ns0:v>
      </ns0:c>
      <ns0:c r="I562" s="16">
        <ns0:f>A562*('前提と出典'!$C$36*'契約別単価'!I5+'前提と出典'!$C$37*'契約別単価'!I6+'前提と出典'!$C$38*'契約別単価'!I7)</ns0:f>
        <ns0:v>23545.106145251393</ns0:v>
      </ns0:c>
      <ns0:c r="J562" s="16">
        <ns0:f>A562*('前提と出典'!$C$36*'契約別単価'!J5+'前提と出典'!$C$37*'契約別単価'!J6+'前提と出典'!$C$38*'契約別単価'!J7)</ns0:f>
        <ns0:v>54845.565390348835</ns0:v>
      </ns0:c>
      <ns0:c r="K562" s="16">
        <ns0:f>A562*('前提と出典'!$C$36*'契約別単価'!K5+'前提と出典'!$C$37*'契約別単価'!K6+'前提と出典'!$C$38*'契約別単価'!K7)</ns0:f>
        <ns0:v>235087.37430167597</ns0:v>
      </ns0:c>
      <ns0:c r="L562" s="16">
        <ns0:f>A562*('前提と出典'!$C$36*'契約別単価'!L5+'前提と出典'!$C$37*'契約別単価'!L6+'前提と出典'!$C$38*'契約別単価'!L7)</ns0:f>
        <ns0:v>191408.95999550825</ns0:v>
      </ns0:c>
      <ns0:c r="M562" s="16">
        <ns0:f>IF(('前提と出典'!$C$36+'前提と出典'!$C$38)=0,0,IF(B562&lt;=10,'前提と出典'!B73+'前提と出典'!C73,IF(B562&lt;=100,'前提と出典'!B74+'前提と出典'!C74,IF(B562&lt;=500,'前提と出典'!B75+'前提と出典'!C75,'前提と出典'!B76+'前提と出典'!C76))))</ns0:f>
        <ns0:v>40000</ns0:v>
      </ns0:c>
      <ns0:c r="N562" s="16">
        <ns0:f>IF(('前提と出典'!$C$37+'前提と出典'!$C$38)=0,0,IF(C562&lt;=10,'前提と出典'!D73+'前提と出典'!E73,IF(C562&lt;=100,'前提と出典'!D74+'前提と出典'!E74,IF(C562&lt;=500,'前提と出典'!D75+'前提と出典'!E75,'前提と出典'!D76+'前提と出典'!E76))))</ns0:f>
        <ns0:v>56510.9346263078</ns0:v>
      </ns0:c>
      <ns0:c r="O562" s="16">
        <ns0:f>IF('前提と出典'!$C$36+'前提と出典'!$C$38=0,0,'前提と出典'!$B$4*IF('前提と出典'!$B$20=0,MAX('前提と出典'!$B$6,D562*'前提と出典'!$B$5),'前提と出典'!$B$6+D562*'前提と出典'!$B$5))</ns0:f>
        <ns0:v>554084.6480446928</ns0:v>
      </ns0:c>
      <ns0:c r="P562" s="16">
        <ns0:f>(E562+G562)*(1-'前提と出典'!$B$7)-I562-K562-M562-O562</ns0:f>
        <ns0:v>1570240.6219422314</ns0:v>
      </ns0:c>
      <ns0:c r="Q562" s="16">
        <ns0:f>(F562+H562)*(1-'前提と出典'!$B$7)-J562-L562-N562</ns0:f>
        <ns0:v>461753.54264232935</ns0:v>
      </ns0:c>
      <ns0:c r="R562" s="16">
        <ns0:f>P562-E562*'前提と出典'!$E$4</ns0:f>
        <ns0:v>1149418.2945917028</ns0:v>
      </ns0:c>
      <ns0:c r="S562" s="16">
        <ns0:f>Q562-F562*'前提と出典'!$E$4</ns0:f>
        <ns0:v>339473.33115340985</ns0:v>
      </ns0:c>
      <ns0:c r="T562" s="7">
        <ns0:f>R562+S562</ns0:f>
        <ns0:v>1488891.6257451125</ns0:v>
      </ns0:c>
      <ns0:c r="U562" s="16">
        <ns0:f>P562-E562*'前提と出典'!$E$5</ns0:f>
        <ns0:v>1009144.1854748598</ns0:v>
      </ns0:c>
      <ns0:c r="V562" s="16">
        <ns0:f>Q562-F562*'前提と出典'!$E$5</ns0:f>
        <ns0:v>298713.2606571031</ns0:v>
      </ns0:c>
      <ns0:c r="W562" s="7">
        <ns0:f>U562+V562</ns0:f>
        <ns0:v>1307857.4461319628</ns0:v>
      </ns0:c>
      <ns0:c r="X562" s="16">
        <ns0:f>P562-E562*'前提と出典'!$E$6</ns0:f>
        <ns0:v>868870.0763580168</ns0:v>
      </ns0:c>
      <ns0:c r="Y562" s="16">
        <ns0:f>Q562-F562*'前提と出典'!$E$6</ns0:f>
        <ns0:v>257953.1901607965</ns0:v>
      </ns0:c>
      <ns0:c r="Z562" s="7">
        <ns0:f>X562+Y562</ns0:f>
        <ns0:v>1126823.2665188133</ns0:v>
      </ns0:c>
      <ns0:c r="AA562" s="7">
        <ns0:f>IF(T562&gt;=0,A562,1001)</ns0:f>
        <ns0:v>558</ns0:v>
      </ns0:c>
      <ns0:c r="AB562" s="7">
        <ns0:f>IF(T562&lt;0,A562,0)</ns0:f>
        <ns0:v>0</ns0:v>
      </ns0:c>
      <ns0:c r="AC562" s="16">
        <ns0:f>IF(AND(OR('前提と出典'!$C$36+'前提と出典'!$C$38=0,R562&gt;=0),OR('前提と出典'!$C$37+'前提と出典'!$C$38=0,S562&gt;=0)),0,A562)</ns0:f>
        <ns0:v>0</ns0:v>
      </ns0:c>
      <ns0:c r="AD562" s="7">
        <ns0:f>IF(W562&gt;=0,A562,1001)</ns0:f>
        <ns0:v>558</ns0:v>
      </ns0:c>
      <ns0:c r="AE562" s="7">
        <ns0:f>IF(W562&lt;0,A562,0)</ns0:f>
        <ns0:v>0</ns0:v>
      </ns0:c>
      <ns0:c r="AF562" s="16">
        <ns0:f>IF(AND(OR('前提と出典'!$C$36+'前提と出典'!$C$38=0,U562&gt;=0),OR('前提と出典'!$C$37+'前提と出典'!$C$38=0,V562&gt;=0)),0,A562)</ns0:f>
        <ns0:v>0</ns0:v>
      </ns0:c>
      <ns0:c r="AG562" s="7">
        <ns0:f>IF(Z562&gt;=0,A562,1001)</ns0:f>
        <ns0:v>558</ns0:v>
      </ns0:c>
      <ns0:c r="AH562" s="4">
        <ns0:f>IF(Z562&lt;0,A562,0)</ns0:f>
        <ns0:v>0</ns0:v>
      </ns0:c>
      <ns0:c r="AI562" s="12">
        <ns0:f>IF(AND(OR('前提と出典'!$C$36+'前提と出典'!$C$38=0,X562&gt;=0),OR('前提と出典'!$C$37+'前提と出典'!$C$38=0,Y562&gt;=0)),0,A562)</ns0:f>
        <ns0:v>0</ns0:v>
      </ns0:c>
    </ns0:row>
    <ns0:row r="563" ht="24" customHeight="1">
      <ns0:c r="A563" s="4" t="n">
        <ns0:v>559</ns0:v>
      </ns0:c>
      <ns0:c r="B563" s="12">
        <ns0:f>A563*('前提と出典'!$C$36+'前提と出典'!$C$38)</ns0:f>
        <ns0:v>391.29999999999995</ns0:v>
      </ns0:c>
      <ns0:c r="C563" s="12">
        <ns0:f>A563*('前提と出典'!$C$37+'前提と出典'!$C$38)</ns0:f>
        <ns0:v>335.4</ns0:v>
      </ns0:c>
      <ns0:c r="D563" s="16">
        <ns0:f>A563*('前提と出典'!$C$36*'契約別単価'!C5+'前提と出典'!$C$37*'契約別単価'!C6+'前提と出典'!$C$38*'契約別単価'!C7)</ns0:f>
        <ns0:v>4022.3016759776538</ns0:v>
      </ns0:c>
      <ns0:c r="E563" s="16">
        <ns0:f>A563*('前提と出典'!$C$36*'契約別単価'!E5+'前提と出典'!$C$37*'契約別単価'!E6+'前提と出典'!$C$38*'契約別単価'!E7)</ns0:f>
        <ns0:v>1405254.9640916705</ns0:v>
      </ns0:c>
      <ns0:c r="F563" s="16">
        <ns0:f>A563*('前提と出典'!$C$36*'契約別単価'!F5+'前提と出典'!$C$37*'契約別単価'!F6+'前提と出典'!$C$38*'契約別単価'!F7)</ns0:f>
        <ns0:v>408331.1721762611</ns0:v>
      </ns0:c>
      <ns0:c r="G563" s="16">
        <ns0:f>A563*('前提と出典'!$C$36*'契約別単価'!G5+'前提と出典'!$C$37*'契約別単価'!G6+'前提と出典'!$C$38*'契約別単価'!G7)</ns0:f>
        <ns0:v>1112691.061452514</ns0:v>
      </ns0:c>
      <ns0:c r="H563" s="16">
        <ns0:f>A563*('前提と出典'!$C$36*'契約別単価'!H5+'前提と出典'!$C$37*'契約別単価'!H6+'前提と出典'!$C$38*'契約別単価'!H7)</ns0:f>
        <ns0:v>386159.6041660817</ns0:v>
      </ns0:c>
      <ns0:c r="I563" s="16">
        <ns0:f>A563*('前提と出典'!$C$36*'契約別単価'!I5+'前提と出典'!$C$37*'契約別単価'!I6+'前提と出典'!$C$38*'契約別単価'!I7)</ns0:f>
        <ns0:v>23587.30167597765</ns0:v>
      </ns0:c>
      <ns0:c r="J563" s="16">
        <ns0:f>A563*('前提と出典'!$C$36*'契約別単価'!J5+'前提と出典'!$C$37*'契約別単価'!J6+'前提と出典'!$C$38*'契約別単価'!J7)</ns0:f>
        <ns0:v>54943.854934059134</ns0:v>
      </ns0:c>
      <ns0:c r="K563" s="16">
        <ns0:f>A563*('前提と出典'!$C$36*'契約別単価'!K5+'前提と出典'!$C$37*'契約別単価'!K6+'前提と出典'!$C$38*'契約別単価'!K7)</ns0:f>
        <ns0:v>235508.677839851</ns0:v>
      </ns0:c>
      <ns0:c r="L563" s="16">
        <ns0:f>A563*('前提と出典'!$C$36*'契約別単価'!L5+'前提と出典'!$C$37*'契約別単価'!L6+'前提と出典'!$C$38*'契約別単価'!L7)</ns0:f>
        <ns0:v>191751.98680553606</ns0:v>
      </ns0:c>
      <ns0:c r="M563" s="16">
        <ns0:f>IF(('前提と出典'!$C$36+'前提と出典'!$C$38)=0,0,IF(B563&lt;=10,'前提と出典'!B73+'前提と出典'!C73,IF(B563&lt;=100,'前提と出典'!B74+'前提と出典'!C74,IF(B563&lt;=500,'前提と出典'!B75+'前提と出典'!C75,'前提と出典'!B76+'前提と出典'!C76))))</ns0:f>
        <ns0:v>40000</ns0:v>
      </ns0:c>
      <ns0:c r="N563" s="16">
        <ns0:f>IF(('前提と出典'!$C$37+'前提と出典'!$C$38)=0,0,IF(C563&lt;=10,'前提と出典'!D73+'前提と出典'!E73,IF(C563&lt;=100,'前提と出典'!D74+'前提と出典'!E74,IF(C563&lt;=500,'前提と出典'!D75+'前提と出典'!E75,'前提と出典'!D76+'前提と出典'!E76))))</ns0:f>
        <ns0:v>56510.9346263078</ns0:v>
      </ns0:c>
      <ns0:c r="O563" s="16">
        <ns0:f>IF('前提と出典'!$C$36+'前提と出典'!$C$38=0,0,'前提と出典'!$B$4*IF('前提と出典'!$B$20=0,MAX('前提と出典'!$B$6,D563*'前提と出典'!$B$5),'前提と出典'!$B$6+D563*'前提と出典'!$B$5))</ns0:f>
        <ns0:v>555077.6312849163</ns0:v>
      </ns0:c>
      <ns0:c r="P563" s="16">
        <ns0:f>(E563+G563)*(1-'前提と出典'!$B$7)-I563-K563-M563-O563</ns0:f>
        <ns0:v>1573126.3578238487</ns0:v>
      </ns0:c>
      <ns0:c r="Q563" s="16">
        <ns0:f>(F563+H563)*(1-'前提と出典'!$B$7)-J563-L563-N563</ns0:f>
        <ns0:v>462682.3320281155</ns0:v>
      </ns0:c>
      <ns0:c r="R563" s="16">
        <ns0:f>P563-E563*'前提と出典'!$E$4</ns0:f>
        <ns0:v>1151549.8685963475</ns0:v>
      </ns0:c>
      <ns0:c r="S563" s="16">
        <ns0:f>Q563-F563*'前提と出典'!$E$4</ns0:f>
        <ns0:v>340182.9803752372</ns0:v>
      </ns0:c>
      <ns0:c r="T563" s="7">
        <ns0:f>R563+S563</ns0:f>
        <ns0:v>1491732.8489715848</ns0:v>
      </ns0:c>
      <ns0:c r="U563" s="16">
        <ns0:f>P563-E563*'前提と出典'!$E$5</ns0:f>
        <ns0:v>1011024.3721871804</ns0:v>
      </ns0:c>
      <ns0:c r="V563" s="16">
        <ns0:f>Q563-F563*'前提と出典'!$E$5</ns0:f>
        <ns0:v>299349.8631576111</ns0:v>
      </ns0:c>
      <ns0:c r="W563" s="7">
        <ns0:f>U563+V563</ns0:f>
        <ns0:v>1310374.2353447916</ns0:v>
      </ns0:c>
      <ns0:c r="X563" s="16">
        <ns0:f>P563-E563*'前提と出典'!$E$6</ns0:f>
        <ns0:v>870498.8757780134</ns0:v>
      </ns0:c>
      <ns0:c r="Y563" s="16">
        <ns0:f>Q563-F563*'前提と出典'!$E$6</ns0:f>
        <ns0:v>258516.74593998503</ns0:v>
      </ns0:c>
      <ns0:c r="Z563" s="7">
        <ns0:f>X563+Y563</ns0:f>
        <ns0:v>1129015.6217179983</ns0:v>
      </ns0:c>
      <ns0:c r="AA563" s="7">
        <ns0:f>IF(T563&gt;=0,A563,1001)</ns0:f>
        <ns0:v>559</ns0:v>
      </ns0:c>
      <ns0:c r="AB563" s="7">
        <ns0:f>IF(T563&lt;0,A563,0)</ns0:f>
        <ns0:v>0</ns0:v>
      </ns0:c>
      <ns0:c r="AC563" s="16">
        <ns0:f>IF(AND(OR('前提と出典'!$C$36+'前提と出典'!$C$38=0,R563&gt;=0),OR('前提と出典'!$C$37+'前提と出典'!$C$38=0,S563&gt;=0)),0,A563)</ns0:f>
        <ns0:v>0</ns0:v>
      </ns0:c>
      <ns0:c r="AD563" s="7">
        <ns0:f>IF(W563&gt;=0,A563,1001)</ns0:f>
        <ns0:v>559</ns0:v>
      </ns0:c>
      <ns0:c r="AE563" s="7">
        <ns0:f>IF(W563&lt;0,A563,0)</ns0:f>
        <ns0:v>0</ns0:v>
      </ns0:c>
      <ns0:c r="AF563" s="16">
        <ns0:f>IF(AND(OR('前提と出典'!$C$36+'前提と出典'!$C$38=0,U563&gt;=0),OR('前提と出典'!$C$37+'前提と出典'!$C$38=0,V563&gt;=0)),0,A563)</ns0:f>
        <ns0:v>0</ns0:v>
      </ns0:c>
      <ns0:c r="AG563" s="7">
        <ns0:f>IF(Z563&gt;=0,A563,1001)</ns0:f>
        <ns0:v>559</ns0:v>
      </ns0:c>
      <ns0:c r="AH563" s="4">
        <ns0:f>IF(Z563&lt;0,A563,0)</ns0:f>
        <ns0:v>0</ns0:v>
      </ns0:c>
      <ns0:c r="AI563" s="12">
        <ns0:f>IF(AND(OR('前提と出典'!$C$36+'前提と出典'!$C$38=0,X563&gt;=0),OR('前提と出典'!$C$37+'前提と出典'!$C$38=0,Y563&gt;=0)),0,A563)</ns0:f>
        <ns0:v>0</ns0:v>
      </ns0:c>
    </ns0:row>
    <ns0:row r="564" ht="24" customHeight="1">
      <ns0:c r="A564" s="4" t="n">
        <ns0:v>560</ns0:v>
      </ns0:c>
      <ns0:c r="B564" s="12">
        <ns0:f>A564*('前提と出典'!$C$36+'前提と出典'!$C$38)</ns0:f>
        <ns0:v>392</ns0:v>
      </ns0:c>
      <ns0:c r="C564" s="12">
        <ns0:f>A564*('前提と出典'!$C$37+'前提と出典'!$C$38)</ns0:f>
        <ns0:v>336</ns0:v>
      </ns0:c>
      <ns0:c r="D564" s="16">
        <ns0:f>A564*('前提と出典'!$C$36*'契約別単価'!C5+'前提と出典'!$C$37*'契約別単価'!C6+'前提と出典'!$C$38*'契約別単価'!C7)</ns0:f>
        <ns0:v>4029.4972067039107</ns0:v>
      </ns0:c>
      <ns0:c r="E564" s="16">
        <ns0:f>A564*('前提と出典'!$C$36*'契約別単価'!E5+'前提と出典'!$C$37*'契約別単価'!E6+'前提と出典'!$C$38*'契約別単価'!E7)</ns0:f>
        <ns0:v>1407768.8370149115</ns0:v>
      </ns0:c>
      <ns0:c r="F564" s="16">
        <ns0:f>A564*('前提と出典'!$C$36*'契約別単価'!F5+'前提と出典'!$C$37*'契約別単価'!F6+'前提と出典'!$C$38*'契約別単価'!F7)</ns0:f>
        <ns0:v>409061.63938945654</ns0:v>
      </ns0:c>
      <ns0:c r="G564" s="16">
        <ns0:f>A564*('前提と出典'!$C$36*'契約別単価'!G5+'前提と出典'!$C$37*'契約別単価'!G6+'前提と出典'!$C$38*'契約別単価'!G7)</ns0:f>
        <ns0:v>1114681.56424581</ns0:v>
      </ns0:c>
      <ns0:c r="H564" s="16">
        <ns0:f>A564*('前提と出典'!$C$36*'契約別単価'!H5+'前提と出典'!$C$37*'契約別単価'!H6+'前提と出典'!$C$38*'契約別単価'!H7)</ns0:f>
        <ns0:v>386850.4084669155</ns0:v>
      </ns0:c>
      <ns0:c r="I564" s="16">
        <ns0:f>A564*('前提と出典'!$C$36*'契約別単価'!I5+'前提と出典'!$C$37*'契約別単価'!I6+'前提と出典'!$C$38*'契約別単価'!I7)</ns0:f>
        <ns0:v>23629.497206703905</ns0:v>
      </ns0:c>
      <ns0:c r="J564" s="16">
        <ns0:f>A564*('前提と出典'!$C$36*'契約別単価'!J5+'前提と出典'!$C$37*'契約別単価'!J6+'前提と出典'!$C$38*'契約別単価'!J7)</ns0:f>
        <ns0:v>55042.144477769434</ns0:v>
      </ns0:c>
      <ns0:c r="K564" s="16">
        <ns0:f>A564*('前提と出典'!$C$36*'契約別単価'!K5+'前提と出典'!$C$37*'契約別単価'!K6+'前提と出典'!$C$38*'契約別単価'!K7)</ns0:f>
        <ns0:v>235929.98137802604</ns0:v>
      </ns0:c>
      <ns0:c r="L564" s="16">
        <ns0:f>A564*('前提と出典'!$C$36*'契約別単価'!L5+'前提と出典'!$C$37*'契約別単価'!L6+'前提と出典'!$C$38*'契約別単価'!L7)</ns0:f>
        <ns0:v>192095.01361556383</ns0:v>
      </ns0:c>
      <ns0:c r="M564" s="16">
        <ns0:f>IF(('前提と出典'!$C$36+'前提と出典'!$C$38)=0,0,IF(B564&lt;=10,'前提と出典'!B73+'前提と出典'!C73,IF(B564&lt;=100,'前提と出典'!B74+'前提と出典'!C74,IF(B564&lt;=500,'前提と出典'!B75+'前提と出典'!C75,'前提と出典'!B76+'前提と出典'!C76))))</ns0:f>
        <ns0:v>40000</ns0:v>
      </ns0:c>
      <ns0:c r="N564" s="16">
        <ns0:f>IF(('前提と出典'!$C$37+'前提と出典'!$C$38)=0,0,IF(C564&lt;=10,'前提と出典'!D73+'前提と出典'!E73,IF(C564&lt;=100,'前提と出典'!D74+'前提と出典'!E74,IF(C564&lt;=500,'前提と出典'!D75+'前提と出典'!E75,'前提と出典'!D76+'前提と出典'!E76))))</ns0:f>
        <ns0:v>56510.9346263078</ns0:v>
      </ns0:c>
      <ns0:c r="O564" s="16">
        <ns0:f>IF('前提と出典'!$C$36+'前提と出典'!$C$38=0,0,'前提と出典'!$B$4*IF('前提と出典'!$B$20=0,MAX('前提と出典'!$B$6,D564*'前提と出典'!$B$5),'前提と出典'!$B$6+D564*'前提と出典'!$B$5))</ns0:f>
        <ns0:v>556070.6145251397</ns0:v>
      </ns0:c>
      <ns0:c r="P564" s="16">
        <ns0:f>(E564+G564)*(1-'前提と出典'!$B$7)-I564-K564-M564-O564</ns0:f>
        <ns0:v>1576012.0937054656</ns0:v>
      </ns0:c>
      <ns0:c r="Q564" s="16">
        <ns0:f>(F564+H564)*(1-'前提と出典'!$B$7)-J564-L564-N564</ns0:f>
        <ns0:v>463611.1214139017</ns0:v>
      </ns0:c>
      <ns0:c r="R564" s="16">
        <ns0:f>P564-E564*'前提と出典'!$E$4</ns0:f>
        <ns0:v>1153681.442600992</ns0:v>
      </ns0:c>
      <ns0:c r="S564" s="16">
        <ns0:f>Q564-F564*'前提と出典'!$E$4</ns0:f>
        <ns0:v>340892.6295970647</ns0:v>
      </ns0:c>
      <ns0:c r="T564" s="7">
        <ns0:f>R564+S564</ns0:f>
        <ns0:v>1494574.0721980566</ns0:v>
      </ns0:c>
      <ns0:c r="U564" s="16">
        <ns0:f>P564-E564*'前提と出典'!$E$5</ns0:f>
        <ns0:v>1012904.558899501</ns0:v>
      </ns0:c>
      <ns0:c r="V564" s="16">
        <ns0:f>Q564-F564*'前提と出典'!$E$5</ns0:f>
        <ns0:v>299986.46565811906</ns0:v>
      </ns0:c>
      <ns0:c r="W564" s="7">
        <ns0:f>U564+V564</ns0:f>
        <ns0:v>1312891.02455762</ns0:v>
      </ns0:c>
      <ns0:c r="X564" s="16">
        <ns0:f>P564-E564*'前提と出典'!$E$6</ns0:f>
        <ns0:v>872127.6751980098</ns0:v>
      </ns0:c>
      <ns0:c r="Y564" s="16">
        <ns0:f>Q564-F564*'前提と出典'!$E$6</ns0:f>
        <ns0:v>259080.30171917344</ns0:v>
      </ns0:c>
      <ns0:c r="Z564" s="7">
        <ns0:f>X564+Y564</ns0:f>
        <ns0:v>1131207.9769171833</ns0:v>
      </ns0:c>
      <ns0:c r="AA564" s="7">
        <ns0:f>IF(T564&gt;=0,A564,1001)</ns0:f>
        <ns0:v>560</ns0:v>
      </ns0:c>
      <ns0:c r="AB564" s="7">
        <ns0:f>IF(T564&lt;0,A564,0)</ns0:f>
        <ns0:v>0</ns0:v>
      </ns0:c>
      <ns0:c r="AC564" s="16">
        <ns0:f>IF(AND(OR('前提と出典'!$C$36+'前提と出典'!$C$38=0,R564&gt;=0),OR('前提と出典'!$C$37+'前提と出典'!$C$38=0,S564&gt;=0)),0,A564)</ns0:f>
        <ns0:v>0</ns0:v>
      </ns0:c>
      <ns0:c r="AD564" s="7">
        <ns0:f>IF(W564&gt;=0,A564,1001)</ns0:f>
        <ns0:v>560</ns0:v>
      </ns0:c>
      <ns0:c r="AE564" s="7">
        <ns0:f>IF(W564&lt;0,A564,0)</ns0:f>
        <ns0:v>0</ns0:v>
      </ns0:c>
      <ns0:c r="AF564" s="16">
        <ns0:f>IF(AND(OR('前提と出典'!$C$36+'前提と出典'!$C$38=0,U564&gt;=0),OR('前提と出典'!$C$37+'前提と出典'!$C$38=0,V564&gt;=0)),0,A564)</ns0:f>
        <ns0:v>0</ns0:v>
      </ns0:c>
      <ns0:c r="AG564" s="7">
        <ns0:f>IF(Z564&gt;=0,A564,1001)</ns0:f>
        <ns0:v>560</ns0:v>
      </ns0:c>
      <ns0:c r="AH564" s="4">
        <ns0:f>IF(Z564&lt;0,A564,0)</ns0:f>
        <ns0:v>0</ns0:v>
      </ns0:c>
      <ns0:c r="AI564" s="12">
        <ns0:f>IF(AND(OR('前提と出典'!$C$36+'前提と出典'!$C$38=0,X564&gt;=0),OR('前提と出典'!$C$37+'前提と出典'!$C$38=0,Y564&gt;=0)),0,A564)</ns0:f>
        <ns0:v>0</ns0:v>
      </ns0:c>
    </ns0:row>
    <ns0:row r="565" ht="24" customHeight="1">
      <ns0:c r="A565" s="4" t="n">
        <ns0:v>561</ns0:v>
      </ns0:c>
      <ns0:c r="B565" s="12">
        <ns0:f>A565*('前提と出典'!$C$36+'前提と出典'!$C$38)</ns0:f>
        <ns0:v>392.7</ns0:v>
      </ns0:c>
      <ns0:c r="C565" s="12">
        <ns0:f>A565*('前提と出典'!$C$37+'前提と出典'!$C$38)</ns0:f>
        <ns0:v>336.59999999999997</ns0:v>
      </ns0:c>
      <ns0:c r="D565" s="16">
        <ns0:f>A565*('前提と出典'!$C$36*'契約別単価'!C5+'前提と出典'!$C$37*'契約別単価'!C6+'前提と出典'!$C$38*'契約別単価'!C7)</ns0:f>
        <ns0:v>4036.6927374301677</ns0:v>
      </ns0:c>
      <ns0:c r="E565" s="16">
        <ns0:f>A565*('前提と出典'!$C$36*'契約別単価'!E5+'前提と出典'!$C$37*'契約別単価'!E6+'前提と出典'!$C$38*'契約別単価'!E7)</ns0:f>
        <ns0:v>1410282.7099381522</ns0:v>
      </ns0:c>
      <ns0:c r="F565" s="16">
        <ns0:f>A565*('前提と出典'!$C$36*'契約別単価'!F5+'前提と出典'!$C$37*'契約別単価'!F6+'前提と出典'!$C$38*'契約別単価'!F7)</ns0:f>
        <ns0:v>409792.106602652</ns0:v>
      </ns0:c>
      <ns0:c r="G565" s="16">
        <ns0:f>A565*('前提と出典'!$C$36*'契約別単価'!G5+'前提と出典'!$C$37*'契約別単価'!G6+'前提と出典'!$C$38*'契約別単価'!G7)</ns0:f>
        <ns0:v>1116672.067039106</ns0:v>
      </ns0:c>
      <ns0:c r="H565" s="16">
        <ns0:f>A565*('前提と出典'!$C$36*'契約別単価'!H5+'前提と出典'!$C$37*'契約別単価'!H6+'前提と出典'!$C$38*'契約別単価'!H7)</ns0:f>
        <ns0:v>387541.21276774927</ns0:v>
      </ns0:c>
      <ns0:c r="I565" s="16">
        <ns0:f>A565*('前提と出典'!$C$36*'契約別単価'!I5+'前提と出典'!$C$37*'契約別単価'!I6+'前提と出典'!$C$38*'契約別単価'!I7)</ns0:f>
        <ns0:v>23671.692737430163</ns0:v>
      </ns0:c>
      <ns0:c r="J565" s="16">
        <ns0:f>A565*('前提と出典'!$C$36*'契約別単価'!J5+'前提と出典'!$C$37*'契約別単価'!J6+'前提と出典'!$C$38*'契約別単価'!J7)</ns0:f>
        <ns0:v>55140.43402147974</ns0:v>
      </ns0:c>
      <ns0:c r="K565" s="16">
        <ns0:f>A565*('前提と出典'!$C$36*'契約別単価'!K5+'前提と出典'!$C$37*'契約別単価'!K6+'前提と出典'!$C$38*'契約別単価'!K7)</ns0:f>
        <ns0:v>236351.2849162011</ns0:v>
      </ns0:c>
      <ns0:c r="L565" s="16">
        <ns0:f>A565*('前提と出典'!$C$36*'契約別単価'!L5+'前提と出典'!$C$37*'契約別単価'!L6+'前提と出典'!$C$38*'契約別単価'!L7)</ns0:f>
        <ns0:v>192438.04042559164</ns0:v>
      </ns0:c>
      <ns0:c r="M565" s="16">
        <ns0:f>IF(('前提と出典'!$C$36+'前提と出典'!$C$38)=0,0,IF(B565&lt;=10,'前提と出典'!B73+'前提と出典'!C73,IF(B565&lt;=100,'前提と出典'!B74+'前提と出典'!C74,IF(B565&lt;=500,'前提と出典'!B75+'前提と出典'!C75,'前提と出典'!B76+'前提と出典'!C76))))</ns0:f>
        <ns0:v>40000</ns0:v>
      </ns0:c>
      <ns0:c r="N565" s="16">
        <ns0:f>IF(('前提と出典'!$C$37+'前提と出典'!$C$38)=0,0,IF(C565&lt;=10,'前提と出典'!D73+'前提と出典'!E73,IF(C565&lt;=100,'前提と出典'!D74+'前提と出典'!E74,IF(C565&lt;=500,'前提と出典'!D75+'前提と出典'!E75,'前提と出典'!D76+'前提と出典'!E76))))</ns0:f>
        <ns0:v>56510.9346263078</ns0:v>
      </ns0:c>
      <ns0:c r="O565" s="16">
        <ns0:f>IF('前提と出典'!$C$36+'前提と出典'!$C$38=0,0,'前提と出典'!$B$4*IF('前提と出典'!$B$20=0,MAX('前提と出典'!$B$6,D565*'前提と出典'!$B$5),'前提と出典'!$B$6+D565*'前提と出典'!$B$5))</ns0:f>
        <ns0:v>557063.5977653632</ns0:v>
      </ns0:c>
      <ns0:c r="P565" s="16">
        <ns0:f>(E565+G565)*(1-'前提と出典'!$B$7)-I565-K565-M565-O565</ns0:f>
        <ns0:v>1578897.8295870824</ns0:v>
      </ns0:c>
      <ns0:c r="Q565" s="16">
        <ns0:f>(F565+H565)*(1-'前提と出典'!$B$7)-J565-L565-N565</ns0:f>
        <ns0:v>464539.9107996876</ns0:v>
      </ns0:c>
      <ns0:c r="R565" s="16">
        <ns0:f>P565-E565*'前提と出典'!$E$4</ns0:f>
        <ns0:v>1155813.0166056366</ns0:v>
      </ns0:c>
      <ns0:c r="S565" s="16">
        <ns0:f>Q565-F565*'前提と出典'!$E$4</ns0:f>
        <ns0:v>341602.2788188921</ns0:v>
      </ns0:c>
      <ns0:c r="T565" s="7">
        <ns0:f>R565+S565</ns0:f>
        <ns0:v>1497415.2954245287</ns0:v>
      </ns0:c>
      <ns0:c r="U565" s="16">
        <ns0:f>P565-E565*'前提と出典'!$E$5</ns0:f>
        <ns0:v>1014784.7456118214</ns0:v>
      </ns0:c>
      <ns0:c r="V565" s="16">
        <ns0:f>Q565-F565*'前提と出典'!$E$5</ns0:f>
        <ns0:v>300623.0681586268</ns0:v>
      </ns0:c>
      <ns0:c r="W565" s="7">
        <ns0:f>U565+V565</ns0:f>
        <ns0:v>1315407.8137704483</ns0:v>
      </ns0:c>
      <ns0:c r="X565" s="16">
        <ns0:f>P565-E565*'前提と出典'!$E$6</ns0:f>
        <ns0:v>873756.4746180064</ns0:v>
      </ns0:c>
      <ns0:c r="Y565" s="16">
        <ns0:f>Q565-F565*'前提と出典'!$E$6</ns0:f>
        <ns0:v>259643.85749836167</ns0:v>
      </ns0:c>
      <ns0:c r="Z565" s="7">
        <ns0:f>X565+Y565</ns0:f>
        <ns0:v>1133400.332116368</ns0:v>
      </ns0:c>
      <ns0:c r="AA565" s="7">
        <ns0:f>IF(T565&gt;=0,A565,1001)</ns0:f>
        <ns0:v>561</ns0:v>
      </ns0:c>
      <ns0:c r="AB565" s="7">
        <ns0:f>IF(T565&lt;0,A565,0)</ns0:f>
        <ns0:v>0</ns0:v>
      </ns0:c>
      <ns0:c r="AC565" s="16">
        <ns0:f>IF(AND(OR('前提と出典'!$C$36+'前提と出典'!$C$38=0,R565&gt;=0),OR('前提と出典'!$C$37+'前提と出典'!$C$38=0,S565&gt;=0)),0,A565)</ns0:f>
        <ns0:v>0</ns0:v>
      </ns0:c>
      <ns0:c r="AD565" s="7">
        <ns0:f>IF(W565&gt;=0,A565,1001)</ns0:f>
        <ns0:v>561</ns0:v>
      </ns0:c>
      <ns0:c r="AE565" s="7">
        <ns0:f>IF(W565&lt;0,A565,0)</ns0:f>
        <ns0:v>0</ns0:v>
      </ns0:c>
      <ns0:c r="AF565" s="16">
        <ns0:f>IF(AND(OR('前提と出典'!$C$36+'前提と出典'!$C$38=0,U565&gt;=0),OR('前提と出典'!$C$37+'前提と出典'!$C$38=0,V565&gt;=0)),0,A565)</ns0:f>
        <ns0:v>0</ns0:v>
      </ns0:c>
      <ns0:c r="AG565" s="7">
        <ns0:f>IF(Z565&gt;=0,A565,1001)</ns0:f>
        <ns0:v>561</ns0:v>
      </ns0:c>
      <ns0:c r="AH565" s="4">
        <ns0:f>IF(Z565&lt;0,A565,0)</ns0:f>
        <ns0:v>0</ns0:v>
      </ns0:c>
      <ns0:c r="AI565" s="12">
        <ns0:f>IF(AND(OR('前提と出典'!$C$36+'前提と出典'!$C$38=0,X565&gt;=0),OR('前提と出典'!$C$37+'前提と出典'!$C$38=0,Y565&gt;=0)),0,A565)</ns0:f>
        <ns0:v>0</ns0:v>
      </ns0:c>
    </ns0:row>
    <ns0:row r="566" ht="24" customHeight="1">
      <ns0:c r="A566" s="4" t="n">
        <ns0:v>562</ns0:v>
      </ns0:c>
      <ns0:c r="B566" s="12">
        <ns0:f>A566*('前提と出典'!$C$36+'前提と出典'!$C$38)</ns0:f>
        <ns0:v>393.4</ns0:v>
      </ns0:c>
      <ns0:c r="C566" s="12">
        <ns0:f>A566*('前提と出典'!$C$37+'前提と出典'!$C$38)</ns0:f>
        <ns0:v>337.2</ns0:v>
      </ns0:c>
      <ns0:c r="D566" s="16">
        <ns0:f>A566*('前提と出典'!$C$36*'契約別単価'!C5+'前提と出典'!$C$37*'契約別単価'!C6+'前提と出典'!$C$38*'契約別単価'!C7)</ns0:f>
        <ns0:v>4043.8882681564246</ns0:v>
      </ns0:c>
      <ns0:c r="E566" s="16">
        <ns0:f>A566*('前提と出典'!$C$36*'契約別単価'!E5+'前提と出典'!$C$37*'契約別単価'!E6+'前提と出典'!$C$38*'契約別単価'!E7)</ns0:f>
        <ns0:v>1412796.5828613932</ns0:v>
      </ns0:c>
      <ns0:c r="F566" s="16">
        <ns0:f>A566*('前提と出典'!$C$36*'契約別単価'!F5+'前提と出典'!$C$37*'契約別単価'!F6+'前提と出典'!$C$38*'契約別単価'!F7)</ns0:f>
        <ns0:v>410522.57381584746</ns0:v>
      </ns0:c>
      <ns0:c r="G566" s="16">
        <ns0:f>A566*('前提と出典'!$C$36*'契約別単価'!G5+'前提と出典'!$C$37*'契約別単価'!G6+'前提と出典'!$C$38*'契約別単価'!G7)</ns0:f>
        <ns0:v>1118662.5698324023</ns0:v>
      </ns0:c>
      <ns0:c r="H566" s="16">
        <ns0:f>A566*('前提と出典'!$C$36*'契約別単価'!H5+'前提と出典'!$C$37*'契約別単価'!H6+'前提と出典'!$C$38*'契約別単価'!H7)</ns0:f>
        <ns0:v>388232.01706858305</ns0:v>
      </ns0:c>
      <ns0:c r="I566" s="16">
        <ns0:f>A566*('前提と出典'!$C$36*'契約別単価'!I5+'前提と出典'!$C$37*'契約別単価'!I6+'前提と出典'!$C$38*'契約別単価'!I7)</ns0:f>
        <ns0:v>23713.88826815642</ns0:v>
      </ns0:c>
      <ns0:c r="J566" s="16">
        <ns0:f>A566*('前提と出典'!$C$36*'契約別単価'!J5+'前提と出典'!$C$37*'契約別単価'!J6+'前提と出典'!$C$38*'契約別単価'!J7)</ns0:f>
        <ns0:v>55238.72356519004</ns0:v>
      </ns0:c>
      <ns0:c r="K566" s="16">
        <ns0:f>A566*('前提と出典'!$C$36*'契約別単価'!K5+'前提と出典'!$C$37*'契約別単価'!K6+'前提と出典'!$C$38*'契約別単価'!K7)</ns0:f>
        <ns0:v>236772.58845437615</ns0:v>
      </ns0:c>
      <ns0:c r="L566" s="16">
        <ns0:f>A566*('前提と出典'!$C$36*'契約別単価'!L5+'前提と出典'!$C$37*'契約別単価'!L6+'前提と出典'!$C$38*'契約別単価'!L7)</ns0:f>
        <ns0:v>192781.06723561944</ns0:v>
      </ns0:c>
      <ns0:c r="M566" s="16">
        <ns0:f>IF(('前提と出典'!$C$36+'前提と出典'!$C$38)=0,0,IF(B566&lt;=10,'前提と出典'!B73+'前提と出典'!C73,IF(B566&lt;=100,'前提と出典'!B74+'前提と出典'!C74,IF(B566&lt;=500,'前提と出典'!B75+'前提と出典'!C75,'前提と出典'!B76+'前提と出典'!C76))))</ns0:f>
        <ns0:v>40000</ns0:v>
      </ns0:c>
      <ns0:c r="N566" s="16">
        <ns0:f>IF(('前提と出典'!$C$37+'前提と出典'!$C$38)=0,0,IF(C566&lt;=10,'前提と出典'!D73+'前提と出典'!E73,IF(C566&lt;=100,'前提と出典'!D74+'前提と出典'!E74,IF(C566&lt;=500,'前提と出典'!D75+'前提と出典'!E75,'前提と出典'!D76+'前提と出典'!E76))))</ns0:f>
        <ns0:v>56510.9346263078</ns0:v>
      </ns0:c>
      <ns0:c r="O566" s="16">
        <ns0:f>IF('前提と出典'!$C$36+'前提と出典'!$C$38=0,0,'前提と出典'!$B$4*IF('前提と出典'!$B$20=0,MAX('前提と出典'!$B$6,D566*'前提と出典'!$B$5),'前提と出典'!$B$6+D566*'前提と出典'!$B$5))</ns0:f>
        <ns0:v>558056.5810055867</ns0:v>
      </ns0:c>
      <ns0:c r="P566" s="16">
        <ns0:f>(E566+G566)*(1-'前提と出典'!$B$7)-I566-K566-M566-O566</ns0:f>
        <ns0:v>1581783.5654686994</ns0:v>
      </ns0:c>
      <ns0:c r="Q566" s="16">
        <ns0:f>(F566+H566)*(1-'前提と出典'!$B$7)-J566-L566-N566</ns0:f>
        <ns0:v>465468.7001854738</ns0:v>
      </ns0:c>
      <ns0:c r="R566" s="16">
        <ns0:f>P566-E566*'前提と出典'!$E$4</ns0:f>
        <ns0:v>1157944.5906102816</ns0:v>
      </ns0:c>
      <ns0:c r="S566" s="16">
        <ns0:f>Q566-F566*'前提と出典'!$E$4</ns0:f>
        <ns0:v>342311.9280407197</ns0:v>
      </ns0:c>
      <ns0:c r="T566" s="7">
        <ns0:f>R566+S566</ns0:f>
        <ns0:v>1500256.5186510012</ns0:v>
      </ns0:c>
      <ns0:c r="U566" s="16">
        <ns0:f>P566-E566*'前提と出典'!$E$5</ns0:f>
        <ns0:v>1016664.9323241421</ns0:v>
      </ns0:c>
      <ns0:c r="V566" s="16">
        <ns0:f>Q566-F566*'前提と出典'!$E$5</ns0:f>
        <ns0:v>301259.67065913475</ns0:v>
      </ns0:c>
      <ns0:c r="W566" s="7">
        <ns0:f>U566+V566</ns0:f>
        <ns0:v>1317924.6029832768</ns0:v>
      </ns0:c>
      <ns0:c r="X566" s="16">
        <ns0:f>P566-E566*'前提と出典'!$E$6</ns0:f>
        <ns0:v>875385.274038003</ns0:v>
      </ns0:c>
      <ns0:c r="Y566" s="16">
        <ns0:f>Q566-F566*'前提と出典'!$E$6</ns0:f>
        <ns0:v>260207.41327755002</ns0:v>
      </ns0:c>
      <ns0:c r="Z566" s="7">
        <ns0:f>X566+Y566</ns0:f>
        <ns0:v>1135592.687315553</ns0:v>
      </ns0:c>
      <ns0:c r="AA566" s="7">
        <ns0:f>IF(T566&gt;=0,A566,1001)</ns0:f>
        <ns0:v>562</ns0:v>
      </ns0:c>
      <ns0:c r="AB566" s="7">
        <ns0:f>IF(T566&lt;0,A566,0)</ns0:f>
        <ns0:v>0</ns0:v>
      </ns0:c>
      <ns0:c r="AC566" s="16">
        <ns0:f>IF(AND(OR('前提と出典'!$C$36+'前提と出典'!$C$38=0,R566&gt;=0),OR('前提と出典'!$C$37+'前提と出典'!$C$38=0,S566&gt;=0)),0,A566)</ns0:f>
        <ns0:v>0</ns0:v>
      </ns0:c>
      <ns0:c r="AD566" s="7">
        <ns0:f>IF(W566&gt;=0,A566,1001)</ns0:f>
        <ns0:v>562</ns0:v>
      </ns0:c>
      <ns0:c r="AE566" s="7">
        <ns0:f>IF(W566&lt;0,A566,0)</ns0:f>
        <ns0:v>0</ns0:v>
      </ns0:c>
      <ns0:c r="AF566" s="16">
        <ns0:f>IF(AND(OR('前提と出典'!$C$36+'前提と出典'!$C$38=0,U566&gt;=0),OR('前提と出典'!$C$37+'前提と出典'!$C$38=0,V566&gt;=0)),0,A566)</ns0:f>
        <ns0:v>0</ns0:v>
      </ns0:c>
      <ns0:c r="AG566" s="7">
        <ns0:f>IF(Z566&gt;=0,A566,1001)</ns0:f>
        <ns0:v>562</ns0:v>
      </ns0:c>
      <ns0:c r="AH566" s="4">
        <ns0:f>IF(Z566&lt;0,A566,0)</ns0:f>
        <ns0:v>0</ns0:v>
      </ns0:c>
      <ns0:c r="AI566" s="12">
        <ns0:f>IF(AND(OR('前提と出典'!$C$36+'前提と出典'!$C$38=0,X566&gt;=0),OR('前提と出典'!$C$37+'前提と出典'!$C$38=0,Y566&gt;=0)),0,A566)</ns0:f>
        <ns0:v>0</ns0:v>
      </ns0:c>
    </ns0:row>
    <ns0:row r="567" ht="24" customHeight="1">
      <ns0:c r="A567" s="4" t="n">
        <ns0:v>563</ns0:v>
      </ns0:c>
      <ns0:c r="B567" s="12">
        <ns0:f>A567*('前提と出典'!$C$36+'前提と出典'!$C$38)</ns0:f>
        <ns0:v>394.09999999999997</ns0:v>
      </ns0:c>
      <ns0:c r="C567" s="12">
        <ns0:f>A567*('前提と出典'!$C$37+'前提と出典'!$C$38)</ns0:f>
        <ns0:v>337.8</ns0:v>
      </ns0:c>
      <ns0:c r="D567" s="16">
        <ns0:f>A567*('前提と出典'!$C$36*'契約別単価'!C5+'前提と出典'!$C$37*'契約別単価'!C6+'前提と出典'!$C$38*'契約別単価'!C7)</ns0:f>
        <ns0:v>4051.0837988826815</ns0:v>
      </ns0:c>
      <ns0:c r="E567" s="16">
        <ns0:f>A567*('前提と出典'!$C$36*'契約別単価'!E5+'前提と出典'!$C$37*'契約別単価'!E6+'前提と出典'!$C$38*'契約別単価'!E7)</ns0:f>
        <ns0:v>1415310.4557846342</ns0:v>
      </ns0:c>
      <ns0:c r="F567" s="16">
        <ns0:f>A567*('前提と出典'!$C$36*'契約別単価'!F5+'前提と出典'!$C$37*'契約別単価'!F6+'前提と出典'!$C$38*'契約別単価'!F7)</ns0:f>
        <ns0:v>411253.0410290429</ns0:v>
      </ns0:c>
      <ns0:c r="G567" s="16">
        <ns0:f>A567*('前提と出典'!$C$36*'契約別単価'!G5+'前提と出典'!$C$37*'契約別単価'!G6+'前提と出典'!$C$38*'契約別単価'!G7)</ns0:f>
        <ns0:v>1120653.0726256983</ns0:v>
      </ns0:c>
      <ns0:c r="H567" s="16">
        <ns0:f>A567*('前提と出典'!$C$36*'契約別単価'!H5+'前提と出典'!$C$37*'契約別単価'!H6+'前提と出典'!$C$38*'契約別単価'!H7)</ns0:f>
        <ns0:v>388922.82136941684</ns0:v>
      </ns0:c>
      <ns0:c r="I567" s="16">
        <ns0:f>A567*('前提と出典'!$C$36*'契約別単価'!I5+'前提と出典'!$C$37*'契約別単価'!I6+'前提と出典'!$C$38*'契約別単価'!I7)</ns0:f>
        <ns0:v>23756.08379888268</ns0:v>
      </ns0:c>
      <ns0:c r="J567" s="16">
        <ns0:f>A567*('前提と出典'!$C$36*'契約別単価'!J5+'前提と出典'!$C$37*'契約別単価'!J6+'前提と出典'!$C$38*'契約別単価'!J7)</ns0:f>
        <ns0:v>55337.01310890035</ns0:v>
      </ns0:c>
      <ns0:c r="K567" s="16">
        <ns0:f>A567*('前提と出典'!$C$36*'契約別単価'!K5+'前提と出典'!$C$37*'契約別単価'!K6+'前提と出典'!$C$38*'契約別単価'!K7)</ns0:f>
        <ns0:v>237193.8919925512</ns0:v>
      </ns0:c>
      <ns0:c r="L567" s="16">
        <ns0:f>A567*('前提と出典'!$C$36*'契約別単価'!L5+'前提と出典'!$C$37*'契約別単価'!L6+'前提と出典'!$C$38*'契約別単価'!L7)</ns0:f>
        <ns0:v>193124.09404564722</ns0:v>
      </ns0:c>
      <ns0:c r="M567" s="16">
        <ns0:f>IF(('前提と出典'!$C$36+'前提と出典'!$C$38)=0,0,IF(B567&lt;=10,'前提と出典'!B73+'前提と出典'!C73,IF(B567&lt;=100,'前提と出典'!B74+'前提と出典'!C74,IF(B567&lt;=500,'前提と出典'!B75+'前提と出典'!C75,'前提と出典'!B76+'前提と出典'!C76))))</ns0:f>
        <ns0:v>40000</ns0:v>
      </ns0:c>
      <ns0:c r="N567" s="16">
        <ns0:f>IF(('前提と出典'!$C$37+'前提と出典'!$C$38)=0,0,IF(C567&lt;=10,'前提と出典'!D73+'前提と出典'!E73,IF(C567&lt;=100,'前提と出典'!D74+'前提と出典'!E74,IF(C567&lt;=500,'前提と出典'!D75+'前提と出典'!E75,'前提と出典'!D76+'前提と出典'!E76))))</ns0:f>
        <ns0:v>56510.9346263078</ns0:v>
      </ns0:c>
      <ns0:c r="O567" s="16">
        <ns0:f>IF('前提と出典'!$C$36+'前提と出典'!$C$38=0,0,'前提と出典'!$B$4*IF('前提と出典'!$B$20=0,MAX('前提と出典'!$B$6,D567*'前提と出典'!$B$5),'前提と出典'!$B$6+D567*'前提と出典'!$B$5))</ns0:f>
        <ns0:v>559049.5642458102</ns0:v>
      </ns0:c>
      <ns0:c r="P567" s="16">
        <ns0:f>(E567+G567)*(1-'前提と出典'!$B$7)-I567-K567-M567-O567</ns0:f>
        <ns0:v>1584669.301350316</ns0:v>
      </ns0:c>
      <ns0:c r="Q567" s="16">
        <ns0:f>(F567+H567)*(1-'前提と出典'!$B$7)-J567-L567-N567</ns0:f>
        <ns0:v>466397.4895712599</ns0:v>
      </ns0:c>
      <ns0:c r="R567" s="16">
        <ns0:f>P567-E567*'前提と出典'!$E$4</ns0:f>
        <ns0:v>1160076.1646149256</ns0:v>
      </ns0:c>
      <ns0:c r="S567" s="16">
        <ns0:f>Q567-F567*'前提と出典'!$E$4</ns0:f>
        <ns0:v>343021.577262547</ns0:v>
      </ns0:c>
      <ns0:c r="T567" s="7">
        <ns0:f>R567+S567</ns0:f>
        <ns0:v>1503097.7418774725</ns0:v>
      </ns0:c>
      <ns0:c r="U567" s="16">
        <ns0:f>P567-E567*'前提と出典'!$E$5</ns0:f>
        <ns0:v>1018545.1190364623</ns0:v>
      </ns0:c>
      <ns0:c r="V567" s="16">
        <ns0:f>Q567-F567*'前提と出典'!$E$5</ns0:f>
        <ns0:v>301896.2731596427</ns0:v>
      </ns0:c>
      <ns0:c r="W567" s="7">
        <ns0:f>U567+V567</ns0:f>
        <ns0:v>1320441.3921961049</ns0:v>
      </ns0:c>
      <ns0:c r="X567" s="16">
        <ns0:f>P567-E567*'前提と出典'!$E$6</ns0:f>
        <ns0:v>877014.073457999</ns0:v>
      </ns0:c>
      <ns0:c r="Y567" s="16">
        <ns0:f>Q567-F567*'前提と出典'!$E$6</ns0:f>
        <ns0:v>260770.9690567383</ns0:v>
      </ns0:c>
      <ns0:c r="Z567" s="7">
        <ns0:f>X567+Y567</ns0:f>
        <ns0:v>1137785.0425147372</ns0:v>
      </ns0:c>
      <ns0:c r="AA567" s="7">
        <ns0:f>IF(T567&gt;=0,A567,1001)</ns0:f>
        <ns0:v>563</ns0:v>
      </ns0:c>
      <ns0:c r="AB567" s="7">
        <ns0:f>IF(T567&lt;0,A567,0)</ns0:f>
        <ns0:v>0</ns0:v>
      </ns0:c>
      <ns0:c r="AC567" s="16">
        <ns0:f>IF(AND(OR('前提と出典'!$C$36+'前提と出典'!$C$38=0,R567&gt;=0),OR('前提と出典'!$C$37+'前提と出典'!$C$38=0,S567&gt;=0)),0,A567)</ns0:f>
        <ns0:v>0</ns0:v>
      </ns0:c>
      <ns0:c r="AD567" s="7">
        <ns0:f>IF(W567&gt;=0,A567,1001)</ns0:f>
        <ns0:v>563</ns0:v>
      </ns0:c>
      <ns0:c r="AE567" s="7">
        <ns0:f>IF(W567&lt;0,A567,0)</ns0:f>
        <ns0:v>0</ns0:v>
      </ns0:c>
      <ns0:c r="AF567" s="16">
        <ns0:f>IF(AND(OR('前提と出典'!$C$36+'前提と出典'!$C$38=0,U567&gt;=0),OR('前提と出典'!$C$37+'前提と出典'!$C$38=0,V567&gt;=0)),0,A567)</ns0:f>
        <ns0:v>0</ns0:v>
      </ns0:c>
      <ns0:c r="AG567" s="7">
        <ns0:f>IF(Z567&gt;=0,A567,1001)</ns0:f>
        <ns0:v>563</ns0:v>
      </ns0:c>
      <ns0:c r="AH567" s="4">
        <ns0:f>IF(Z567&lt;0,A567,0)</ns0:f>
        <ns0:v>0</ns0:v>
      </ns0:c>
      <ns0:c r="AI567" s="12">
        <ns0:f>IF(AND(OR('前提と出典'!$C$36+'前提と出典'!$C$38=0,X567&gt;=0),OR('前提と出典'!$C$37+'前提と出典'!$C$38=0,Y567&gt;=0)),0,A567)</ns0:f>
        <ns0:v>0</ns0:v>
      </ns0:c>
    </ns0:row>
    <ns0:row r="568" ht="24" customHeight="1">
      <ns0:c r="A568" s="4" t="n">
        <ns0:v>564</ns0:v>
      </ns0:c>
      <ns0:c r="B568" s="12">
        <ns0:f>A568*('前提と出典'!$C$36+'前提と出典'!$C$38)</ns0:f>
        <ns0:v>394.79999999999995</ns0:v>
      </ns0:c>
      <ns0:c r="C568" s="12">
        <ns0:f>A568*('前提と出典'!$C$37+'前提と出典'!$C$38)</ns0:f>
        <ns0:v>338.4</ns0:v>
      </ns0:c>
      <ns0:c r="D568" s="16">
        <ns0:f>A568*('前提と出典'!$C$36*'契約別単価'!C5+'前提と出典'!$C$37*'契約別単価'!C6+'前提と出典'!$C$38*'契約別単価'!C7)</ns0:f>
        <ns0:v>4058.2793296089385</ns0:v>
      </ns0:c>
      <ns0:c r="E568" s="16">
        <ns0:f>A568*('前提と出典'!$C$36*'契約別単価'!E5+'前提と出典'!$C$37*'契約別単価'!E6+'前提と出典'!$C$38*'契約別単価'!E7)</ns0:f>
        <ns0:v>1417824.328707875</ns0:v>
      </ns0:c>
      <ns0:c r="F568" s="16">
        <ns0:f>A568*('前提と出典'!$C$36*'契約別単価'!F5+'前提と出典'!$C$37*'契約別単価'!F6+'前提と出典'!$C$38*'契約別単価'!F7)</ns0:f>
        <ns0:v>411983.50824223843</ns0:v>
      </ns0:c>
      <ns0:c r="G568" s="16">
        <ns0:f>A568*('前提と出典'!$C$36*'契約別単価'!G5+'前提と出典'!$C$37*'契約別単価'!G6+'前提と出典'!$C$38*'契約別単価'!G7)</ns0:f>
        <ns0:v>1122643.5754189943</ns0:v>
      </ns0:c>
      <ns0:c r="H568" s="16">
        <ns0:f>A568*('前提と出典'!$C$36*'契約別単価'!H5+'前提と出典'!$C$37*'契約別単価'!H6+'前提と出典'!$C$38*'契約別単価'!H7)</ns0:f>
        <ns0:v>389613.6256702506</ns0:v>
      </ns0:c>
      <ns0:c r="I568" s="16">
        <ns0:f>A568*('前提と出典'!$C$36*'契約別単価'!I5+'前提と出典'!$C$37*'契約別単価'!I6+'前提と出典'!$C$38*'契約別単価'!I7)</ns0:f>
        <ns0:v>23798.279329608933</ns0:v>
      </ns0:c>
      <ns0:c r="J568" s="16">
        <ns0:f>A568*('前提と出典'!$C$36*'契約別単価'!J5+'前提と出典'!$C$37*'契約別単価'!J6+'前提と出典'!$C$38*'契約別単価'!J7)</ns0:f>
        <ns0:v>55435.30265261065</ns0:v>
      </ns0:c>
      <ns0:c r="K568" s="16">
        <ns0:f>A568*('前提と出典'!$C$36*'契約別単価'!K5+'前提と出典'!$C$37*'契約別単価'!K6+'前提と出典'!$C$38*'契約別単価'!K7)</ns0:f>
        <ns0:v>237615.19553072625</ns0:v>
      </ns0:c>
      <ns0:c r="L568" s="16">
        <ns0:f>A568*('前提と出典'!$C$36*'契約別単価'!L5+'前提と出典'!$C$37*'契約別単価'!L6+'前提と出典'!$C$38*'契約別単価'!L7)</ns0:f>
        <ns0:v>193467.12085567502</ns0:v>
      </ns0:c>
      <ns0:c r="M568" s="16">
        <ns0:f>IF(('前提と出典'!$C$36+'前提と出典'!$C$38)=0,0,IF(B568&lt;=10,'前提と出典'!B73+'前提と出典'!C73,IF(B568&lt;=100,'前提と出典'!B74+'前提と出典'!C74,IF(B568&lt;=500,'前提と出典'!B75+'前提と出典'!C75,'前提と出典'!B76+'前提と出典'!C76))))</ns0:f>
        <ns0:v>40000</ns0:v>
      </ns0:c>
      <ns0:c r="N568" s="16">
        <ns0:f>IF(('前提と出典'!$C$37+'前提と出典'!$C$38)=0,0,IF(C568&lt;=10,'前提と出典'!D73+'前提と出典'!E73,IF(C568&lt;=100,'前提と出典'!D74+'前提と出典'!E74,IF(C568&lt;=500,'前提と出典'!D75+'前提と出典'!E75,'前提と出典'!D76+'前提と出典'!E76))))</ns0:f>
        <ns0:v>56510.9346263078</ns0:v>
      </ns0:c>
      <ns0:c r="O568" s="16">
        <ns0:f>IF('前提と出典'!$C$36+'前提と出典'!$C$38=0,0,'前提と出典'!$B$4*IF('前提と出典'!$B$20=0,MAX('前提と出典'!$B$6,D568*'前提と出典'!$B$5),'前提と出典'!$B$6+D568*'前提と出典'!$B$5))</ns0:f>
        <ns0:v>560042.5474860335</ns0:v>
      </ns0:c>
      <ns0:c r="P568" s="16">
        <ns0:f>(E568+G568)*(1-'前提と出典'!$B$7)-I568-K568-M568-O568</ns0:f>
        <ns0:v>1587555.0372319336</ns0:v>
      </ns0:c>
      <ns0:c r="Q568" s="16">
        <ns0:f>(F568+H568)*(1-'前提と出典'!$B$7)-J568-L568-N568</ns0:f>
        <ns0:v>467326.278957046</ns0:v>
      </ns0:c>
      <ns0:c r="R568" s="16">
        <ns0:f>P568-E568*'前提と出典'!$E$4</ns0:f>
        <ns0:v>1162207.7386195709</ns0:v>
      </ns0:c>
      <ns0:c r="S568" s="16">
        <ns0:f>Q568-F568*'前提と出典'!$E$4</ns0:f>
        <ns0:v>343731.22648437443</ns0:v>
      </ns0:c>
      <ns0:c r="T568" s="7">
        <ns0:f>R568+S568</ns0:f>
        <ns0:v>1505938.9651039452</ns0:v>
      </ns0:c>
      <ns0:c r="U568" s="16">
        <ns0:f>P568-E568*'前提と出典'!$E$5</ns0:f>
        <ns0:v>1020425.3057487835</ns0:v>
      </ns0:c>
      <ns0:c r="V568" s="16">
        <ns0:f>Q568-F568*'前提と出典'!$E$5</ns0:f>
        <ns0:v>302532.8756601506</ns0:v>
      </ns0:c>
      <ns0:c r="W568" s="7">
        <ns0:f>U568+V568</ns0:f>
        <ns0:v>1322958.181408934</ns0:v>
      </ns0:c>
      <ns0:c r="X568" s="16">
        <ns0:f>P568-E568*'前提と出典'!$E$6</ns0:f>
        <ns0:v>878642.8728779962</ns0:v>
      </ns0:c>
      <ns0:c r="Y568" s="16">
        <ns0:f>Q568-F568*'前提と出典'!$E$6</ns0:f>
        <ns0:v>261334.52483592683</ns0:v>
      </ns0:c>
      <ns0:c r="Z568" s="7">
        <ns0:f>X568+Y568</ns0:f>
        <ns0:v>1139977.397713923</ns0:v>
      </ns0:c>
      <ns0:c r="AA568" s="7">
        <ns0:f>IF(T568&gt;=0,A568,1001)</ns0:f>
        <ns0:v>564</ns0:v>
      </ns0:c>
      <ns0:c r="AB568" s="7">
        <ns0:f>IF(T568&lt;0,A568,0)</ns0:f>
        <ns0:v>0</ns0:v>
      </ns0:c>
      <ns0:c r="AC568" s="16">
        <ns0:f>IF(AND(OR('前提と出典'!$C$36+'前提と出典'!$C$38=0,R568&gt;=0),OR('前提と出典'!$C$37+'前提と出典'!$C$38=0,S568&gt;=0)),0,A568)</ns0:f>
        <ns0:v>0</ns0:v>
      </ns0:c>
      <ns0:c r="AD568" s="7">
        <ns0:f>IF(W568&gt;=0,A568,1001)</ns0:f>
        <ns0:v>564</ns0:v>
      </ns0:c>
      <ns0:c r="AE568" s="7">
        <ns0:f>IF(W568&lt;0,A568,0)</ns0:f>
        <ns0:v>0</ns0:v>
      </ns0:c>
      <ns0:c r="AF568" s="16">
        <ns0:f>IF(AND(OR('前提と出典'!$C$36+'前提と出典'!$C$38=0,U568&gt;=0),OR('前提と出典'!$C$37+'前提と出典'!$C$38=0,V568&gt;=0)),0,A568)</ns0:f>
        <ns0:v>0</ns0:v>
      </ns0:c>
      <ns0:c r="AG568" s="7">
        <ns0:f>IF(Z568&gt;=0,A568,1001)</ns0:f>
        <ns0:v>564</ns0:v>
      </ns0:c>
      <ns0:c r="AH568" s="4">
        <ns0:f>IF(Z568&lt;0,A568,0)</ns0:f>
        <ns0:v>0</ns0:v>
      </ns0:c>
      <ns0:c r="AI568" s="12">
        <ns0:f>IF(AND(OR('前提と出典'!$C$36+'前提と出典'!$C$38=0,X568&gt;=0),OR('前提と出典'!$C$37+'前提と出典'!$C$38=0,Y568&gt;=0)),0,A568)</ns0:f>
        <ns0:v>0</ns0:v>
      </ns0:c>
    </ns0:row>
    <ns0:row r="569" ht="24" customHeight="1">
      <ns0:c r="A569" s="4" t="n">
        <ns0:v>565</ns0:v>
      </ns0:c>
      <ns0:c r="B569" s="12">
        <ns0:f>A569*('前提と出典'!$C$36+'前提と出典'!$C$38)</ns0:f>
        <ns0:v>395.5</ns0:v>
      </ns0:c>
      <ns0:c r="C569" s="12">
        <ns0:f>A569*('前提と出典'!$C$37+'前提と出典'!$C$38)</ns0:f>
        <ns0:v>339</ns0:v>
      </ns0:c>
      <ns0:c r="D569" s="16">
        <ns0:f>A569*('前提と出典'!$C$36*'契約別単価'!C5+'前提と出典'!$C$37*'契約別単価'!C6+'前提と出典'!$C$38*'契約別単価'!C7)</ns0:f>
        <ns0:v>4065.4748603351954</ns0:v>
      </ns0:c>
      <ns0:c r="E569" s="16">
        <ns0:f>A569*('前提と出典'!$C$36*'契約別単価'!E5+'前提と出典'!$C$37*'契約別単価'!E6+'前提と出典'!$C$38*'契約別単価'!E7)</ns0:f>
        <ns0:v>1420338.201631116</ns0:v>
      </ns0:c>
      <ns0:c r="F569" s="16">
        <ns0:f>A569*('前提と出典'!$C$36*'契約別単価'!F5+'前提と出典'!$C$37*'契約別単価'!F6+'前提と出典'!$C$38*'契約別単価'!F7)</ns0:f>
        <ns0:v>412713.9754554339</ns0:v>
      </ns0:c>
      <ns0:c r="G569" s="16">
        <ns0:f>A569*('前提と出典'!$C$36*'契約別単価'!G5+'前提と出典'!$C$37*'契約別単価'!G6+'前提と出典'!$C$38*'契約別単価'!G7)</ns0:f>
        <ns0:v>1124634.0782122905</ns0:v>
      </ns0:c>
      <ns0:c r="H569" s="16">
        <ns0:f>A569*('前提と出典'!$C$36*'契約別単価'!H5+'前提と出典'!$C$37*'契約別単価'!H6+'前提と出典'!$C$38*'契約別単価'!H7)</ns0:f>
        <ns0:v>390304.4299710844</ns0:v>
      </ns0:c>
      <ns0:c r="I569" s="16">
        <ns0:f>A569*('前提と出典'!$C$36*'契約別単価'!I5+'前提と出典'!$C$37*'契約別単価'!I6+'前提と出典'!$C$38*'契約別単価'!I7)</ns0:f>
        <ns0:v>23840.47486033519</ns0:v>
      </ns0:c>
      <ns0:c r="J569" s="16">
        <ns0:f>A569*('前提と出典'!$C$36*'契約別単価'!J5+'前提と出典'!$C$37*'契約別単価'!J6+'前提と出典'!$C$38*'契約別単価'!J7)</ns0:f>
        <ns0:v>55533.59219632095</ns0:v>
      </ns0:c>
      <ns0:c r="K569" s="16">
        <ns0:f>A569*('前提と出典'!$C$36*'契約別単価'!K5+'前提と出典'!$C$37*'契約別単価'!K6+'前提と出典'!$C$38*'契約別単価'!K7)</ns0:f>
        <ns0:v>238036.4990689013</ns0:v>
      </ns0:c>
      <ns0:c r="L569" s="16">
        <ns0:f>A569*('前提と出典'!$C$36*'契約別単価'!L5+'前提と出典'!$C$37*'契約別単価'!L6+'前提と出典'!$C$38*'契約別単価'!L7)</ns0:f>
        <ns0:v>193810.1476657028</ns0:v>
      </ns0:c>
      <ns0:c r="M569" s="16">
        <ns0:f>IF(('前提と出典'!$C$36+'前提と出典'!$C$38)=0,0,IF(B569&lt;=10,'前提と出典'!B73+'前提と出典'!C73,IF(B569&lt;=100,'前提と出典'!B74+'前提と出典'!C74,IF(B569&lt;=500,'前提と出典'!B75+'前提と出典'!C75,'前提と出典'!B76+'前提と出典'!C76))))</ns0:f>
        <ns0:v>40000</ns0:v>
      </ns0:c>
      <ns0:c r="N569" s="16">
        <ns0:f>IF(('前提と出典'!$C$37+'前提と出典'!$C$38)=0,0,IF(C569&lt;=10,'前提と出典'!D73+'前提と出典'!E73,IF(C569&lt;=100,'前提と出典'!D74+'前提と出典'!E74,IF(C569&lt;=500,'前提と出典'!D75+'前提と出典'!E75,'前提と出典'!D76+'前提と出典'!E76))))</ns0:f>
        <ns0:v>56510.9346263078</ns0:v>
      </ns0:c>
      <ns0:c r="O569" s="16">
        <ns0:f>IF('前提と出典'!$C$36+'前提と出典'!$C$38=0,0,'前提と出典'!$B$4*IF('前提と出典'!$B$20=0,MAX('前提と出典'!$B$6,D569*'前提と出典'!$B$5),'前提と出典'!$B$6+D569*'前提と出典'!$B$5))</ns0:f>
        <ns0:v>561035.530726257</ns0:v>
      </ns0:c>
      <ns0:c r="P569" s="16">
        <ns0:f>(E569+G569)*(1-'前提と出典'!$B$7)-I569-K569-M569-O569</ns0:f>
        <ns0:v>1590440.7731135506</ns0:v>
      </ns0:c>
      <ns0:c r="Q569" s="16">
        <ns0:f>(F569+H569)*(1-'前提と出典'!$B$7)-J569-L569-N569</ns0:f>
        <ns0:v>468255.06834283215</ns0:v>
      </ns0:c>
      <ns0:c r="R569" s="16">
        <ns0:f>P569-E569*'前提と出典'!$E$4</ns0:f>
        <ns0:v>1164339.3126242158</ns0:v>
      </ns0:c>
      <ns0:c r="S569" s="16">
        <ns0:f>Q569-F569*'前提と出典'!$E$4</ns0:f>
        <ns0:v>344440.87570620194</ns0:v>
      </ns0:c>
      <ns0:c r="T569" s="7">
        <ns0:f>R569+S569</ns0:f>
        <ns0:v>1508780.1883304177</ns0:v>
      </ns0:c>
      <ns0:c r="U569" s="16">
        <ns0:f>P569-E569*'前提と出典'!$E$5</ns0:f>
        <ns0:v>1022305.4924611042</ns0:v>
      </ns0:c>
      <ns0:c r="V569" s="16">
        <ns0:f>Q569-F569*'前提と出典'!$E$5</ns0:f>
        <ns0:v>303169.47816065856</ns0:v>
      </ns0:c>
      <ns0:c r="W569" s="7">
        <ns0:f>U569+V569</ns0:f>
        <ns0:v>1325474.9706217628</ns0:v>
      </ns0:c>
      <ns0:c r="X569" s="16">
        <ns0:f>P569-E569*'前提と出典'!$E$6</ns0:f>
        <ns0:v>880271.6722979925</ns0:v>
      </ns0:c>
      <ns0:c r="Y569" s="16">
        <ns0:f>Q569-F569*'前提と出典'!$E$6</ns0:f>
        <ns0:v>261898.08061511524</ns0:v>
      </ns0:c>
      <ns0:c r="Z569" s="7">
        <ns0:f>X569+Y569</ns0:f>
        <ns0:v>1142169.7529131076</ns0:v>
      </ns0:c>
      <ns0:c r="AA569" s="7">
        <ns0:f>IF(T569&gt;=0,A569,1001)</ns0:f>
        <ns0:v>565</ns0:v>
      </ns0:c>
      <ns0:c r="AB569" s="7">
        <ns0:f>IF(T569&lt;0,A569,0)</ns0:f>
        <ns0:v>0</ns0:v>
      </ns0:c>
      <ns0:c r="AC569" s="16">
        <ns0:f>IF(AND(OR('前提と出典'!$C$36+'前提と出典'!$C$38=0,R569&gt;=0),OR('前提と出典'!$C$37+'前提と出典'!$C$38=0,S569&gt;=0)),0,A569)</ns0:f>
        <ns0:v>0</ns0:v>
      </ns0:c>
      <ns0:c r="AD569" s="7">
        <ns0:f>IF(W569&gt;=0,A569,1001)</ns0:f>
        <ns0:v>565</ns0:v>
      </ns0:c>
      <ns0:c r="AE569" s="7">
        <ns0:f>IF(W569&lt;0,A569,0)</ns0:f>
        <ns0:v>0</ns0:v>
      </ns0:c>
      <ns0:c r="AF569" s="16">
        <ns0:f>IF(AND(OR('前提と出典'!$C$36+'前提と出典'!$C$38=0,U569&gt;=0),OR('前提と出典'!$C$37+'前提と出典'!$C$38=0,V569&gt;=0)),0,A569)</ns0:f>
        <ns0:v>0</ns0:v>
      </ns0:c>
      <ns0:c r="AG569" s="7">
        <ns0:f>IF(Z569&gt;=0,A569,1001)</ns0:f>
        <ns0:v>565</ns0:v>
      </ns0:c>
      <ns0:c r="AH569" s="4">
        <ns0:f>IF(Z569&lt;0,A569,0)</ns0:f>
        <ns0:v>0</ns0:v>
      </ns0:c>
      <ns0:c r="AI569" s="12">
        <ns0:f>IF(AND(OR('前提と出典'!$C$36+'前提と出典'!$C$38=0,X569&gt;=0),OR('前提と出典'!$C$37+'前提と出典'!$C$38=0,Y569&gt;=0)),0,A569)</ns0:f>
        <ns0:v>0</ns0:v>
      </ns0:c>
    </ns0:row>
    <ns0:row r="570" ht="24" customHeight="1">
      <ns0:c r="A570" s="4" t="n">
        <ns0:v>566</ns0:v>
      </ns0:c>
      <ns0:c r="B570" s="12">
        <ns0:f>A570*('前提と出典'!$C$36+'前提と出典'!$C$38)</ns0:f>
        <ns0:v>396.2</ns0:v>
      </ns0:c>
      <ns0:c r="C570" s="12">
        <ns0:f>A570*('前提と出典'!$C$37+'前提と出典'!$C$38)</ns0:f>
        <ns0:v>339.59999999999997</ns0:v>
      </ns0:c>
      <ns0:c r="D570" s="16">
        <ns0:f>A570*('前提と出典'!$C$36*'契約別単価'!C5+'前提と出典'!$C$37*'契約別単価'!C6+'前提と出典'!$C$38*'契約別単価'!C7)</ns0:f>
        <ns0:v>4072.6703910614524</ns0:v>
      </ns0:c>
      <ns0:c r="E570" s="16">
        <ns0:f>A570*('前提と出典'!$C$36*'契約別単価'!E5+'前提と出典'!$C$37*'契約別単価'!E6+'前提と出典'!$C$38*'契約別単価'!E7)</ns0:f>
        <ns0:v>1422852.074554357</ns0:v>
      </ns0:c>
      <ns0:c r="F570" s="16">
        <ns0:f>A570*('前提と出典'!$C$36*'契約別単価'!F5+'前提と出典'!$C$37*'契約別単価'!F6+'前提と出典'!$C$38*'契約別単価'!F7)</ns0:f>
        <ns0:v>413444.44266862934</ns0:v>
      </ns0:c>
      <ns0:c r="G570" s="16">
        <ns0:f>A570*('前提と出典'!$C$36*'契約別単価'!G5+'前提と出典'!$C$37*'契約別単価'!G6+'前提と出典'!$C$38*'契約別単価'!G7)</ns0:f>
        <ns0:v>1126624.5810055865</ns0:v>
      </ns0:c>
      <ns0:c r="H570" s="16">
        <ns0:f>A570*('前提と出典'!$C$36*'契約別単価'!H5+'前提と出典'!$C$37*'契約別単価'!H6+'前提と出典'!$C$38*'契約別単価'!H7)</ns0:f>
        <ns0:v>390995.2342719182</ns0:v>
      </ns0:c>
      <ns0:c r="I570" s="16">
        <ns0:f>A570*('前提と出典'!$C$36*'契約別単価'!I5+'前提と出典'!$C$37*'契約別単価'!I6+'前提と出典'!$C$38*'契約別単価'!I7)</ns0:f>
        <ns0:v>23882.67039106145</ns0:v>
      </ns0:c>
      <ns0:c r="J570" s="16">
        <ns0:f>A570*('前提と出典'!$C$36*'契約別単価'!J5+'前提と出典'!$C$37*'契約別単価'!J6+'前提と出典'!$C$38*'契約別単価'!J7)</ns0:f>
        <ns0:v>55631.881740031255</ns0:v>
      </ns0:c>
      <ns0:c r="K570" s="16">
        <ns0:f>A570*('前提と出典'!$C$36*'契約別単価'!K5+'前提と出典'!$C$37*'契約別単価'!K6+'前提と出典'!$C$38*'契約別単価'!K7)</ns0:f>
        <ns0:v>238457.80260707633</ns0:v>
      </ns0:c>
      <ns0:c r="L570" s="16">
        <ns0:f>A570*('前提と出典'!$C$36*'契約別単価'!L5+'前提と出典'!$C$37*'契約別単価'!L6+'前提と出典'!$C$38*'契約別単価'!L7)</ns0:f>
        <ns0:v>194153.1744757306</ns0:v>
      </ns0:c>
      <ns0:c r="M570" s="16">
        <ns0:f>IF(('前提と出典'!$C$36+'前提と出典'!$C$38)=0,0,IF(B570&lt;=10,'前提と出典'!B73+'前提と出典'!C73,IF(B570&lt;=100,'前提と出典'!B74+'前提と出典'!C74,IF(B570&lt;=500,'前提と出典'!B75+'前提と出典'!C75,'前提と出典'!B76+'前提と出典'!C76))))</ns0:f>
        <ns0:v>40000</ns0:v>
      </ns0:c>
      <ns0:c r="N570" s="16">
        <ns0:f>IF(('前提と出典'!$C$37+'前提と出典'!$C$38)=0,0,IF(C570&lt;=10,'前提と出典'!D73+'前提と出典'!E73,IF(C570&lt;=100,'前提と出典'!D74+'前提と出典'!E74,IF(C570&lt;=500,'前提と出典'!D75+'前提と出典'!E75,'前提と出典'!D76+'前提と出典'!E76))))</ns0:f>
        <ns0:v>56510.9346263078</ns0:v>
      </ns0:c>
      <ns0:c r="O570" s="16">
        <ns0:f>IF('前提と出典'!$C$36+'前提と出典'!$C$38=0,0,'前提と出典'!$B$4*IF('前提と出典'!$B$20=0,MAX('前提と出典'!$B$6,D570*'前提と出典'!$B$5),'前提と出典'!$B$6+D570*'前提と出典'!$B$5))</ns0:f>
        <ns0:v>562028.5139664805</ns0:v>
      </ns0:c>
      <ns0:c r="P570" s="16">
        <ns0:f>(E570+G570)*(1-'前提と出典'!$B$7)-I570-K570-M570-O570</ns0:f>
        <ns0:v>1593326.5089951674</ns0:v>
      </ns0:c>
      <ns0:c r="Q570" s="16">
        <ns0:f>(F570+H570)*(1-'前提と出典'!$B$7)-J570-L570-N570</ns0:f>
        <ns0:v>469183.8577286181</ns0:v>
      </ns0:c>
      <ns0:c r="R570" s="16">
        <ns0:f>P570-E570*'前提と出典'!$E$4</ns0:f>
        <ns0:v>1166470.8866288606</ns0:v>
      </ns0:c>
      <ns0:c r="S570" s="16">
        <ns0:f>Q570-F570*'前提と出典'!$E$4</ns0:f>
        <ns0:v>345150.5249280293</ns0:v>
      </ns0:c>
      <ns0:c r="T570" s="7">
        <ns0:f>R570+S570</ns0:f>
        <ns0:v>1511621.4115568898</ns0:v>
      </ns0:c>
      <ns0:c r="U570" s="16">
        <ns0:f>P570-E570*'前提と出典'!$E$5</ns0:f>
        <ns0:v>1024185.6791734246</ns0:v>
      </ns0:c>
      <ns0:c r="V570" s="16">
        <ns0:f>Q570-F570*'前提と出典'!$E$5</ns0:f>
        <ns0:v>303806.08066116634</ns0:v>
      </ns0:c>
      <ns0:c r="W570" s="7">
        <ns0:f>U570+V570</ns0:f>
        <ns0:v>1327991.7598345908</ns0:v>
      </ns0:c>
      <ns0:c r="X570" s="16">
        <ns0:f>P570-E570*'前提と出典'!$E$6</ns0:f>
        <ns0:v>881900.4717179891</ns0:v>
      </ns0:c>
      <ns0:c r="Y570" s="16">
        <ns0:f>Q570-F570*'前提と出典'!$E$6</ns0:f>
        <ns0:v>262461.6363943035</ns0:v>
      </ns0:c>
      <ns0:c r="Z570" s="7">
        <ns0:f>X570+Y570</ns0:f>
        <ns0:v>1144362.1081122926</ns0:v>
      </ns0:c>
      <ns0:c r="AA570" s="7">
        <ns0:f>IF(T570&gt;=0,A570,1001)</ns0:f>
        <ns0:v>566</ns0:v>
      </ns0:c>
      <ns0:c r="AB570" s="7">
        <ns0:f>IF(T570&lt;0,A570,0)</ns0:f>
        <ns0:v>0</ns0:v>
      </ns0:c>
      <ns0:c r="AC570" s="16">
        <ns0:f>IF(AND(OR('前提と出典'!$C$36+'前提と出典'!$C$38=0,R570&gt;=0),OR('前提と出典'!$C$37+'前提と出典'!$C$38=0,S570&gt;=0)),0,A570)</ns0:f>
        <ns0:v>0</ns0:v>
      </ns0:c>
      <ns0:c r="AD570" s="7">
        <ns0:f>IF(W570&gt;=0,A570,1001)</ns0:f>
        <ns0:v>566</ns0:v>
      </ns0:c>
      <ns0:c r="AE570" s="7">
        <ns0:f>IF(W570&lt;0,A570,0)</ns0:f>
        <ns0:v>0</ns0:v>
      </ns0:c>
      <ns0:c r="AF570" s="16">
        <ns0:f>IF(AND(OR('前提と出典'!$C$36+'前提と出典'!$C$38=0,U570&gt;=0),OR('前提と出典'!$C$37+'前提と出典'!$C$38=0,V570&gt;=0)),0,A570)</ns0:f>
        <ns0:v>0</ns0:v>
      </ns0:c>
      <ns0:c r="AG570" s="7">
        <ns0:f>IF(Z570&gt;=0,A570,1001)</ns0:f>
        <ns0:v>566</ns0:v>
      </ns0:c>
      <ns0:c r="AH570" s="4">
        <ns0:f>IF(Z570&lt;0,A570,0)</ns0:f>
        <ns0:v>0</ns0:v>
      </ns0:c>
      <ns0:c r="AI570" s="12">
        <ns0:f>IF(AND(OR('前提と出典'!$C$36+'前提と出典'!$C$38=0,X570&gt;=0),OR('前提と出典'!$C$37+'前提と出典'!$C$38=0,Y570&gt;=0)),0,A570)</ns0:f>
        <ns0:v>0</ns0:v>
      </ns0:c>
    </ns0:row>
    <ns0:row r="571" ht="24" customHeight="1">
      <ns0:c r="A571" s="4" t="n">
        <ns0:v>567</ns0:v>
      </ns0:c>
      <ns0:c r="B571" s="12">
        <ns0:f>A571*('前提と出典'!$C$36+'前提と出典'!$C$38)</ns0:f>
        <ns0:v>396.9</ns0:v>
      </ns0:c>
      <ns0:c r="C571" s="12">
        <ns0:f>A571*('前提と出典'!$C$37+'前提と出典'!$C$38)</ns0:f>
        <ns0:v>340.2</ns0:v>
      </ns0:c>
      <ns0:c r="D571" s="16">
        <ns0:f>A571*('前提と出典'!$C$36*'契約別単価'!C5+'前提と出典'!$C$37*'契約別単価'!C6+'前提と出典'!$C$38*'契約別単価'!C7)</ns0:f>
        <ns0:v>4079.8659217877093</ns0:v>
      </ns0:c>
      <ns0:c r="E571" s="16">
        <ns0:f>A571*('前提と出典'!$C$36*'契約別単価'!E5+'前提と出典'!$C$37*'契約別単価'!E6+'前提と出典'!$C$38*'契約別単価'!E7)</ns0:f>
        <ns0:v>1425365.9474775977</ns0:v>
      </ns0:c>
      <ns0:c r="F571" s="16">
        <ns0:f>A571*('前提と出典'!$C$36*'契約別単価'!F5+'前提と出典'!$C$37*'契約別単価'!F6+'前提と出典'!$C$38*'契約別単価'!F7)</ns0:f>
        <ns0:v>414174.9098818248</ns0:v>
      </ns0:c>
      <ns0:c r="G571" s="16">
        <ns0:f>A571*('前提と出典'!$C$36*'契約別単価'!G5+'前提と出典'!$C$37*'契約別単価'!G6+'前提と出典'!$C$38*'契約別単価'!G7)</ns0:f>
        <ns0:v>1128615.0837988826</ns0:v>
      </ns0:c>
      <ns0:c r="H571" s="16">
        <ns0:f>A571*('前提と出典'!$C$36*'契約別単価'!H5+'前提と出典'!$C$37*'契約別単価'!H6+'前提と出典'!$C$38*'契約別単価'!H7)</ns0:f>
        <ns0:v>391686.038572752</ns0:v>
      </ns0:c>
      <ns0:c r="I571" s="16">
        <ns0:f>A571*('前提と出典'!$C$36*'契約別単価'!I5+'前提と出典'!$C$37*'契約別単価'!I6+'前提と出典'!$C$38*'契約別単価'!I7)</ns0:f>
        <ns0:v>23924.865921787707</ns0:v>
      </ns0:c>
      <ns0:c r="J571" s="16">
        <ns0:f>A571*('前提と出典'!$C$36*'契約別単価'!J5+'前提と出典'!$C$37*'契約別単価'!J6+'前提と出典'!$C$38*'契約別単価'!J7)</ns0:f>
        <ns0:v>55730.171283741554</ns0:v>
      </ns0:c>
      <ns0:c r="K571" s="16">
        <ns0:f>A571*('前提と出典'!$C$36*'契約別単価'!K5+'前提と出典'!$C$37*'契約別単価'!K6+'前提と出典'!$C$38*'契約別単価'!K7)</ns0:f>
        <ns0:v>238879.10614525137</ns0:v>
      </ns0:c>
      <ns0:c r="L571" s="16">
        <ns0:f>A571*('前提と出典'!$C$36*'契約別単価'!L5+'前提と出典'!$C$37*'契約別単価'!L6+'前提と出典'!$C$38*'契約別単価'!L7)</ns0:f>
        <ns0:v>194496.2012857584</ns0:v>
      </ns0:c>
      <ns0:c r="M571" s="16">
        <ns0:f>IF(('前提と出典'!$C$36+'前提と出典'!$C$38)=0,0,IF(B571&lt;=10,'前提と出典'!B73+'前提と出典'!C73,IF(B571&lt;=100,'前提と出典'!B74+'前提と出典'!C74,IF(B571&lt;=500,'前提と出典'!B75+'前提と出典'!C75,'前提と出典'!B76+'前提と出典'!C76))))</ns0:f>
        <ns0:v>40000</ns0:v>
      </ns0:c>
      <ns0:c r="N571" s="16">
        <ns0:f>IF(('前提と出典'!$C$37+'前提と出典'!$C$38)=0,0,IF(C571&lt;=10,'前提と出典'!D73+'前提と出典'!E73,IF(C571&lt;=100,'前提と出典'!D74+'前提と出典'!E74,IF(C571&lt;=500,'前提と出典'!D75+'前提と出典'!E75,'前提と出典'!D76+'前提と出典'!E76))))</ns0:f>
        <ns0:v>56510.9346263078</ns0:v>
      </ns0:c>
      <ns0:c r="O571" s="16">
        <ns0:f>IF('前提と出典'!$C$36+'前提と出典'!$C$38=0,0,'前提と出典'!$B$4*IF('前提と出典'!$B$20=0,MAX('前提と出典'!$B$6,D571*'前提と出典'!$B$5),'前提と出典'!$B$6+D571*'前提と出典'!$B$5))</ns0:f>
        <ns0:v>563021.4972067039</ns0:v>
      </ns0:c>
      <ns0:c r="P571" s="16">
        <ns0:f>(E571+G571)*(1-'前提と出典'!$B$7)-I571-K571-M571-O571</ns0:f>
        <ns0:v>1596212.2448767843</ns0:v>
      </ns0:c>
      <ns0:c r="Q571" s="16">
        <ns0:f>(F571+H571)*(1-'前提と出典'!$B$7)-J571-L571-N571</ns0:f>
        <ns0:v>470112.64711440424</ns0:v>
      </ns0:c>
      <ns0:c r="R571" s="16">
        <ns0:f>P571-E571*'前提と出典'!$E$4</ns0:f>
        <ns0:v>1168602.4606335051</ns0:v>
      </ns0:c>
      <ns0:c r="S571" s="16">
        <ns0:f>Q571-F571*'前提と出典'!$E$4</ns0:f>
        <ns0:v>345860.1741498568</ns0:v>
      </ns0:c>
      <ns0:c r="T571" s="7">
        <ns0:f>R571+S571</ns0:f>
        <ns0:v>1514462.634783362</ns0:v>
      </ns0:c>
      <ns0:c r="U571" s="16">
        <ns0:f>P571-E571*'前提と出典'!$E$5</ns0:f>
        <ns0:v>1026065.8658857452</ns0:v>
      </ns0:c>
      <ns0:c r="V571" s="16">
        <ns0:f>Q571-F571*'前提と出典'!$E$5</ns0:f>
        <ns0:v>304442.6831616743</ns0:v>
      </ns0:c>
      <ns0:c r="W571" s="7">
        <ns0:f>U571+V571</ns0:f>
        <ns0:v>1330508.5490474193</ns0:v>
      </ns0:c>
      <ns0:c r="X571" s="16">
        <ns0:f>P571-E571*'前提と出典'!$E$6</ns0:f>
        <ns0:v>883529.2711379853</ns0:v>
      </ns0:c>
      <ns0:c r="Y571" s="16">
        <ns0:f>Q571-F571*'前提と出典'!$E$6</ns0:f>
        <ns0:v>263025.1921734919</ns0:v>
      </ns0:c>
      <ns0:c r="Z571" s="7">
        <ns0:f>X571+Y571</ns0:f>
        <ns0:v>1146554.463311477</ns0:v>
      </ns0:c>
      <ns0:c r="AA571" s="7">
        <ns0:f>IF(T571&gt;=0,A571,1001)</ns0:f>
        <ns0:v>567</ns0:v>
      </ns0:c>
      <ns0:c r="AB571" s="7">
        <ns0:f>IF(T571&lt;0,A571,0)</ns0:f>
        <ns0:v>0</ns0:v>
      </ns0:c>
      <ns0:c r="AC571" s="16">
        <ns0:f>IF(AND(OR('前提と出典'!$C$36+'前提と出典'!$C$38=0,R571&gt;=0),OR('前提と出典'!$C$37+'前提と出典'!$C$38=0,S571&gt;=0)),0,A571)</ns0:f>
        <ns0:v>0</ns0:v>
      </ns0:c>
      <ns0:c r="AD571" s="7">
        <ns0:f>IF(W571&gt;=0,A571,1001)</ns0:f>
        <ns0:v>567</ns0:v>
      </ns0:c>
      <ns0:c r="AE571" s="7">
        <ns0:f>IF(W571&lt;0,A571,0)</ns0:f>
        <ns0:v>0</ns0:v>
      </ns0:c>
      <ns0:c r="AF571" s="16">
        <ns0:f>IF(AND(OR('前提と出典'!$C$36+'前提と出典'!$C$38=0,U571&gt;=0),OR('前提と出典'!$C$37+'前提と出典'!$C$38=0,V571&gt;=0)),0,A571)</ns0:f>
        <ns0:v>0</ns0:v>
      </ns0:c>
      <ns0:c r="AG571" s="7">
        <ns0:f>IF(Z571&gt;=0,A571,1001)</ns0:f>
        <ns0:v>567</ns0:v>
      </ns0:c>
      <ns0:c r="AH571" s="4">
        <ns0:f>IF(Z571&lt;0,A571,0)</ns0:f>
        <ns0:v>0</ns0:v>
      </ns0:c>
      <ns0:c r="AI571" s="12">
        <ns0:f>IF(AND(OR('前提と出典'!$C$36+'前提と出典'!$C$38=0,X571&gt;=0),OR('前提と出典'!$C$37+'前提と出典'!$C$38=0,Y571&gt;=0)),0,A571)</ns0:f>
        <ns0:v>0</ns0:v>
      </ns0:c>
    </ns0:row>
    <ns0:row r="572" ht="24" customHeight="1">
      <ns0:c r="A572" s="4" t="n">
        <ns0:v>568</ns0:v>
      </ns0:c>
      <ns0:c r="B572" s="12">
        <ns0:f>A572*('前提と出典'!$C$36+'前提と出典'!$C$38)</ns0:f>
        <ns0:v>397.59999999999997</ns0:v>
      </ns0:c>
      <ns0:c r="C572" s="12">
        <ns0:f>A572*('前提と出典'!$C$37+'前提と出典'!$C$38)</ns0:f>
        <ns0:v>340.8</ns0:v>
      </ns0:c>
      <ns0:c r="D572" s="16">
        <ns0:f>A572*('前提と出典'!$C$36*'契約別単価'!C5+'前提と出典'!$C$37*'契約別単価'!C6+'前提と出典'!$C$38*'契約別単価'!C7)</ns0:f>
        <ns0:v>4087.0614525139663</ns0:v>
      </ns0:c>
      <ns0:c r="E572" s="16">
        <ns0:f>A572*('前提と出典'!$C$36*'契約別単価'!E5+'前提と出典'!$C$37*'契約別単価'!E6+'前提と出典'!$C$38*'契約別単価'!E7)</ns0:f>
        <ns0:v>1427879.8204008387</ns0:v>
      </ns0:c>
      <ns0:c r="F572" s="16">
        <ns0:f>A572*('前提と出典'!$C$36*'契約別単価'!F5+'前提と出典'!$C$37*'契約別単価'!F6+'前提と出典'!$C$38*'契約別単価'!F7)</ns0:f>
        <ns0:v>414905.37709502026</ns0:v>
      </ns0:c>
      <ns0:c r="G572" s="16">
        <ns0:f>A572*('前提と出典'!$C$36*'契約別単価'!G5+'前提と出典'!$C$37*'契約別単価'!G6+'前提と出典'!$C$38*'契約別単価'!G7)</ns0:f>
        <ns0:v>1130605.5865921788</ns0:v>
      </ns0:c>
      <ns0:c r="H572" s="16">
        <ns0:f>A572*('前提と出典'!$C$36*'契約別単価'!H5+'前提と出典'!$C$37*'契約別単価'!H6+'前提と出典'!$C$38*'契約別単価'!H7)</ns0:f>
        <ns0:v>392376.8428735857</ns0:v>
      </ns0:c>
      <ns0:c r="I572" s="16">
        <ns0:f>A572*('前提と出典'!$C$36*'契約別単価'!I5+'前提と出典'!$C$37*'契約別単価'!I6+'前提と出典'!$C$38*'契約別単価'!I7)</ns0:f>
        <ns0:v>23967.06145251396</ns0:v>
      </ns0:c>
      <ns0:c r="J572" s="16">
        <ns0:f>A572*('前提と出典'!$C$36*'契約別単価'!J5+'前提と出典'!$C$37*'契約別単価'!J6+'前提と出典'!$C$38*'契約別単価'!J7)</ns0:f>
        <ns0:v>55828.46082745186</ns0:v>
      </ns0:c>
      <ns0:c r="K572" s="16">
        <ns0:f>A572*('前提と出典'!$C$36*'契約別単価'!K5+'前提と出典'!$C$37*'契約別単価'!K6+'前提と出典'!$C$38*'契約別単価'!K7)</ns0:f>
        <ns0:v>239300.40968342643</ns0:v>
      </ns0:c>
      <ns0:c r="L572" s="16">
        <ns0:f>A572*('前提と出典'!$C$36*'契約別単価'!L5+'前提と出典'!$C$37*'契約別単価'!L6+'前提と出典'!$C$38*'契約別単価'!L7)</ns0:f>
        <ns0:v>194839.22809578618</ns0:v>
      </ns0:c>
      <ns0:c r="M572" s="16">
        <ns0:f>IF(('前提と出典'!$C$36+'前提と出典'!$C$38)=0,0,IF(B572&lt;=10,'前提と出典'!B73+'前提と出典'!C73,IF(B572&lt;=100,'前提と出典'!B74+'前提と出典'!C74,IF(B572&lt;=500,'前提と出典'!B75+'前提と出典'!C75,'前提と出典'!B76+'前提と出典'!C76))))</ns0:f>
        <ns0:v>40000</ns0:v>
      </ns0:c>
      <ns0:c r="N572" s="16">
        <ns0:f>IF(('前提と出典'!$C$37+'前提と出典'!$C$38)=0,0,IF(C572&lt;=10,'前提と出典'!D73+'前提と出典'!E73,IF(C572&lt;=100,'前提と出典'!D74+'前提と出典'!E74,IF(C572&lt;=500,'前提と出典'!D75+'前提と出典'!E75,'前提と出典'!D76+'前提と出典'!E76))))</ns0:f>
        <ns0:v>56510.9346263078</ns0:v>
      </ns0:c>
      <ns0:c r="O572" s="16">
        <ns0:f>IF('前提と出典'!$C$36+'前提と出典'!$C$38=0,0,'前提と出典'!$B$4*IF('前提と出典'!$B$20=0,MAX('前提と出典'!$B$6,D572*'前提と出典'!$B$5),'前提と出典'!$B$6+D572*'前提と出典'!$B$5))</ns0:f>
        <ns0:v>564014.4804469274</ns0:v>
      </ns0:c>
      <ns0:c r="P572" s="16">
        <ns0:f>(E572+G572)*(1-'前提と出典'!$B$7)-I572-K572-M572-O572</ns0:f>
        <ns0:v>1599097.9807584013</ns0:v>
      </ns0:c>
      <ns0:c r="Q572" s="16">
        <ns0:f>(F572+H572)*(1-'前提と出典'!$B$7)-J572-L572-N572</ns0:f>
        <ns0:v>471041.4365001903</ns0:v>
      </ns0:c>
      <ns0:c r="R572" s="16">
        <ns0:f>P572-E572*'前提と出典'!$E$4</ns0:f>
        <ns0:v>1170734.0346381497</ns0:v>
      </ns0:c>
      <ns0:c r="S572" s="16">
        <ns0:f>Q572-F572*'前提と出典'!$E$4</ns0:f>
        <ns0:v>346569.8233716842</ns0:v>
      </ns0:c>
      <ns0:c r="T572" s="7">
        <ns0:f>R572+S572</ns0:f>
        <ns0:v>1517303.8580098338</ns0:v>
      </ns0:c>
      <ns0:c r="U572" s="16">
        <ns0:f>P572-E572*'前提と出典'!$E$5</ns0:f>
        <ns0:v>1027946.0525980658</ns0:v>
      </ns0:c>
      <ns0:c r="V572" s="16">
        <ns0:f>Q572-F572*'前提と出典'!$E$5</ns0:f>
        <ns0:v>305079.28566218214</ns0:v>
      </ns0:c>
      <ns0:c r="W572" s="7">
        <ns0:f>U572+V572</ns0:f>
        <ns0:v>1333025.3382602478</ns0:v>
      </ns0:c>
      <ns0:c r="X572" s="16">
        <ns0:f>P572-E572*'前提と出典'!$E$6</ns0:f>
        <ns0:v>885158.0705579818</ns0:v>
      </ns0:c>
      <ns0:c r="Y572" s="16">
        <ns0:f>Q572-F572*'前提と出典'!$E$6</ns0:f>
        <ns0:v>263588.74795268016</ns0:v>
      </ns0:c>
      <ns0:c r="Z572" s="7">
        <ns0:f>X572+Y572</ns0:f>
        <ns0:v>1148746.818510662</ns0:v>
      </ns0:c>
      <ns0:c r="AA572" s="7">
        <ns0:f>IF(T572&gt;=0,A572,1001)</ns0:f>
        <ns0:v>568</ns0:v>
      </ns0:c>
      <ns0:c r="AB572" s="7">
        <ns0:f>IF(T572&lt;0,A572,0)</ns0:f>
        <ns0:v>0</ns0:v>
      </ns0:c>
      <ns0:c r="AC572" s="16">
        <ns0:f>IF(AND(OR('前提と出典'!$C$36+'前提と出典'!$C$38=0,R572&gt;=0),OR('前提と出典'!$C$37+'前提と出典'!$C$38=0,S572&gt;=0)),0,A572)</ns0:f>
        <ns0:v>0</ns0:v>
      </ns0:c>
      <ns0:c r="AD572" s="7">
        <ns0:f>IF(W572&gt;=0,A572,1001)</ns0:f>
        <ns0:v>568</ns0:v>
      </ns0:c>
      <ns0:c r="AE572" s="7">
        <ns0:f>IF(W572&lt;0,A572,0)</ns0:f>
        <ns0:v>0</ns0:v>
      </ns0:c>
      <ns0:c r="AF572" s="16">
        <ns0:f>IF(AND(OR('前提と出典'!$C$36+'前提と出典'!$C$38=0,U572&gt;=0),OR('前提と出典'!$C$37+'前提と出典'!$C$38=0,V572&gt;=0)),0,A572)</ns0:f>
        <ns0:v>0</ns0:v>
      </ns0:c>
      <ns0:c r="AG572" s="7">
        <ns0:f>IF(Z572&gt;=0,A572,1001)</ns0:f>
        <ns0:v>568</ns0:v>
      </ns0:c>
      <ns0:c r="AH572" s="4">
        <ns0:f>IF(Z572&lt;0,A572,0)</ns0:f>
        <ns0:v>0</ns0:v>
      </ns0:c>
      <ns0:c r="AI572" s="12">
        <ns0:f>IF(AND(OR('前提と出典'!$C$36+'前提と出典'!$C$38=0,X572&gt;=0),OR('前提と出典'!$C$37+'前提と出典'!$C$38=0,Y572&gt;=0)),0,A572)</ns0:f>
        <ns0:v>0</ns0:v>
      </ns0:c>
    </ns0:row>
    <ns0:row r="573" ht="24" customHeight="1">
      <ns0:c r="A573" s="4" t="n">
        <ns0:v>569</ns0:v>
      </ns0:c>
      <ns0:c r="B573" s="12">
        <ns0:f>A573*('前提と出典'!$C$36+'前提と出典'!$C$38)</ns0:f>
        <ns0:v>398.29999999999995</ns0:v>
      </ns0:c>
      <ns0:c r="C573" s="12">
        <ns0:f>A573*('前提と出典'!$C$37+'前提と出典'!$C$38)</ns0:f>
        <ns0:v>341.4</ns0:v>
      </ns0:c>
      <ns0:c r="D573" s="16">
        <ns0:f>A573*('前提と出典'!$C$36*'契約別単価'!C5+'前提と出典'!$C$37*'契約別単価'!C6+'前提と出典'!$C$38*'契約別単価'!C7)</ns0:f>
        <ns0:v>4094.2569832402232</ns0:v>
      </ns0:c>
      <ns0:c r="E573" s="16">
        <ns0:f>A573*('前提と出典'!$C$36*'契約別単価'!E5+'前提と出典'!$C$37*'契約別単価'!E6+'前提と出典'!$C$38*'契約別単価'!E7)</ns0:f>
        <ns0:v>1430393.6933240797</ns0:v>
      </ns0:c>
      <ns0:c r="F573" s="16">
        <ns0:f>A573*('前提と出典'!$C$36*'契約別単価'!F5+'前提と出典'!$C$37*'契約別単価'!F6+'前提と出典'!$C$38*'契約別単価'!F7)</ns0:f>
        <ns0:v>415635.8443082157</ns0:v>
      </ns0:c>
      <ns0:c r="G573" s="16">
        <ns0:f>A573*('前提と出典'!$C$36*'契約別単価'!G5+'前提と出典'!$C$37*'契約別単価'!G6+'前提と出典'!$C$38*'契約別単価'!G7)</ns0:f>
        <ns0:v>1132596.0893854748</ns0:v>
      </ns0:c>
      <ns0:c r="H573" s="16">
        <ns0:f>A573*('前提と出典'!$C$36*'契約別単価'!H5+'前提と出典'!$C$37*'契約別単価'!H6+'前提と出典'!$C$38*'契約別単価'!H7)</ns0:f>
        <ns0:v>393067.6471744195</ns0:v>
      </ns0:c>
      <ns0:c r="I573" s="16">
        <ns0:f>A573*('前提と出典'!$C$36*'契約別単価'!I5+'前提と出典'!$C$37*'契約別単価'!I6+'前提と出典'!$C$38*'契約別単価'!I7)</ns0:f>
        <ns0:v>24009.25698324022</ns0:v>
      </ns0:c>
      <ns0:c r="J573" s="16">
        <ns0:f>A573*('前提と出典'!$C$36*'契約別単価'!J5+'前提と出典'!$C$37*'契約別単価'!J6+'前提と出典'!$C$38*'契約別単価'!J7)</ns0:f>
        <ns0:v>55926.75037116216</ns0:v>
      </ns0:c>
      <ns0:c r="K573" s="16">
        <ns0:f>A573*('前提と出典'!$C$36*'契約別単価'!K5+'前提と出典'!$C$37*'契約別単価'!K6+'前提と出典'!$C$38*'契約別単価'!K7)</ns0:f>
        <ns0:v>239721.71322160147</ns0:v>
      </ns0:c>
      <ns0:c r="L573" s="16">
        <ns0:f>A573*('前提と出典'!$C$36*'契約別単価'!L5+'前提と出典'!$C$37*'契約別単価'!L6+'前提と出典'!$C$38*'契約別単価'!L7)</ns0:f>
        <ns0:v>195182.25490581398</ns0:v>
      </ns0:c>
      <ns0:c r="M573" s="16">
        <ns0:f>IF(('前提と出典'!$C$36+'前提と出典'!$C$38)=0,0,IF(B573&lt;=10,'前提と出典'!B73+'前提と出典'!C73,IF(B573&lt;=100,'前提と出典'!B74+'前提と出典'!C74,IF(B573&lt;=500,'前提と出典'!B75+'前提と出典'!C75,'前提と出典'!B76+'前提と出典'!C76))))</ns0:f>
        <ns0:v>40000</ns0:v>
      </ns0:c>
      <ns0:c r="N573" s="16">
        <ns0:f>IF(('前提と出典'!$C$37+'前提と出典'!$C$38)=0,0,IF(C573&lt;=10,'前提と出典'!D73+'前提と出典'!E73,IF(C573&lt;=100,'前提と出典'!D74+'前提と出典'!E74,IF(C573&lt;=500,'前提と出典'!D75+'前提と出典'!E75,'前提と出典'!D76+'前提と出典'!E76))))</ns0:f>
        <ns0:v>56510.9346263078</ns0:v>
      </ns0:c>
      <ns0:c r="O573" s="16">
        <ns0:f>IF('前提と出典'!$C$36+'前提と出典'!$C$38=0,0,'前提と出典'!$B$4*IF('前提と出典'!$B$20=0,MAX('前提と出典'!$B$6,D573*'前提と出典'!$B$5),'前提と出典'!$B$6+D573*'前提と出典'!$B$5))</ns0:f>
        <ns0:v>565007.4636871509</ns0:v>
      </ns0:c>
      <ns0:c r="P573" s="16">
        <ns0:f>(E573+G573)*(1-'前提と出典'!$B$7)-I573-K573-M573-O573</ns0:f>
        <ns0:v>1601983.7166400184</ns0:v>
      </ns0:c>
      <ns0:c r="Q573" s="16">
        <ns0:f>(F573+H573)*(1-'前提と出典'!$B$7)-J573-L573-N573</ns0:f>
        <ns0:v>471970.2258859764</ns0:v>
      </ns0:c>
      <ns0:c r="R573" s="16">
        <ns0:f>P573-E573*'前提と出典'!$E$4</ns0:f>
        <ns0:v>1172865.6086427947</ns0:v>
      </ns0:c>
      <ns0:c r="S573" s="16">
        <ns0:f>Q573-F573*'前提と出典'!$E$4</ns0:f>
        <ns0:v>347279.4725935118</ns0:v>
      </ns0:c>
      <ns0:c r="T573" s="7">
        <ns0:f>R573+S573</ns0:f>
        <ns0:v>1520145.0812363066</ns0:v>
      </ns0:c>
      <ns0:c r="U573" s="16">
        <ns0:f>P573-E573*'前提と出典'!$E$5</ns0:f>
        <ns0:v>1029826.2393103865</ns0:v>
      </ns0:c>
      <ns0:c r="V573" s="16">
        <ns0:f>Q573-F573*'前提と出典'!$E$5</ns0:f>
        <ns0:v>305715.8881626901</ns0:v>
      </ns0:c>
      <ns0:c r="W573" s="7">
        <ns0:f>U573+V573</ns0:f>
        <ns0:v>1335542.1274730766</ns0:v>
      </ns0:c>
      <ns0:c r="X573" s="16">
        <ns0:f>P573-E573*'前提と出典'!$E$6</ns0:f>
        <ns0:v>886786.8699779784</ns0:v>
      </ns0:c>
      <ns0:c r="Y573" s="16">
        <ns0:f>Q573-F573*'前提と出典'!$E$6</ns0:f>
        <ns0:v>264152.3037318686</ns0:v>
      </ns0:c>
      <ns0:c r="Z573" s="7">
        <ns0:f>X573+Y573</ns0:f>
        <ns0:v>1150939.173709847</ns0:v>
      </ns0:c>
      <ns0:c r="AA573" s="7">
        <ns0:f>IF(T573&gt;=0,A573,1001)</ns0:f>
        <ns0:v>569</ns0:v>
      </ns0:c>
      <ns0:c r="AB573" s="7">
        <ns0:f>IF(T573&lt;0,A573,0)</ns0:f>
        <ns0:v>0</ns0:v>
      </ns0:c>
      <ns0:c r="AC573" s="16">
        <ns0:f>IF(AND(OR('前提と出典'!$C$36+'前提と出典'!$C$38=0,R573&gt;=0),OR('前提と出典'!$C$37+'前提と出典'!$C$38=0,S573&gt;=0)),0,A573)</ns0:f>
        <ns0:v>0</ns0:v>
      </ns0:c>
      <ns0:c r="AD573" s="7">
        <ns0:f>IF(W573&gt;=0,A573,1001)</ns0:f>
        <ns0:v>569</ns0:v>
      </ns0:c>
      <ns0:c r="AE573" s="7">
        <ns0:f>IF(W573&lt;0,A573,0)</ns0:f>
        <ns0:v>0</ns0:v>
      </ns0:c>
      <ns0:c r="AF573" s="16">
        <ns0:f>IF(AND(OR('前提と出典'!$C$36+'前提と出典'!$C$38=0,U573&gt;=0),OR('前提と出典'!$C$37+'前提と出典'!$C$38=0,V573&gt;=0)),0,A573)</ns0:f>
        <ns0:v>0</ns0:v>
      </ns0:c>
      <ns0:c r="AG573" s="7">
        <ns0:f>IF(Z573&gt;=0,A573,1001)</ns0:f>
        <ns0:v>569</ns0:v>
      </ns0:c>
      <ns0:c r="AH573" s="4">
        <ns0:f>IF(Z573&lt;0,A573,0)</ns0:f>
        <ns0:v>0</ns0:v>
      </ns0:c>
      <ns0:c r="AI573" s="12">
        <ns0:f>IF(AND(OR('前提と出典'!$C$36+'前提と出典'!$C$38=0,X573&gt;=0),OR('前提と出典'!$C$37+'前提と出典'!$C$38=0,Y573&gt;=0)),0,A573)</ns0:f>
        <ns0:v>0</ns0:v>
      </ns0:c>
    </ns0:row>
    <ns0:row r="574" ht="24" customHeight="1">
      <ns0:c r="A574" s="4" t="n">
        <ns0:v>570</ns0:v>
      </ns0:c>
      <ns0:c r="B574" s="12">
        <ns0:f>A574*('前提と出典'!$C$36+'前提と出典'!$C$38)</ns0:f>
        <ns0:v>399</ns0:v>
      </ns0:c>
      <ns0:c r="C574" s="12">
        <ns0:f>A574*('前提と出典'!$C$37+'前提と出典'!$C$38)</ns0:f>
        <ns0:v>342</ns0:v>
      </ns0:c>
      <ns0:c r="D574" s="16">
        <ns0:f>A574*('前提と出典'!$C$36*'契約別単価'!C5+'前提と出典'!$C$37*'契約別単価'!C6+'前提と出典'!$C$38*'契約別単価'!C7)</ns0:f>
        <ns0:v>4101.45251396648</ns0:v>
      </ns0:c>
      <ns0:c r="E574" s="16">
        <ns0:f>A574*('前提と出典'!$C$36*'契約別単価'!E5+'前提と出典'!$C$37*'契約別単価'!E6+'前提と出典'!$C$38*'契約別単価'!E7)</ns0:f>
        <ns0:v>1432907.5662473205</ns0:v>
      </ns0:c>
      <ns0:c r="F574" s="16">
        <ns0:f>A574*('前提と出典'!$C$36*'契約別単価'!F5+'前提と出典'!$C$37*'契約別単価'!F6+'前提と出典'!$C$38*'契約別単価'!F7)</ns0:f>
        <ns0:v>416366.3115214112</ns0:v>
      </ns0:c>
      <ns0:c r="G574" s="16">
        <ns0:f>A574*('前提と出典'!$C$36*'契約別単価'!G5+'前提と出典'!$C$37*'契約別単価'!G6+'前提と出典'!$C$38*'契約別単価'!G7)</ns0:f>
        <ns0:v>1134586.5921787708</ns0:v>
      </ns0:c>
      <ns0:c r="H574" s="16">
        <ns0:f>A574*('前提と出典'!$C$36*'契約別単価'!H5+'前提と出典'!$C$37*'契約別単価'!H6+'前提と出典'!$C$38*'契約別単価'!H7)</ns0:f>
        <ns0:v>393758.45147525327</ns0:v>
      </ns0:c>
      <ns0:c r="I574" s="16">
        <ns0:f>A574*('前提と出典'!$C$36*'契約別単価'!I5+'前提と出典'!$C$37*'契約別単価'!I6+'前提と出典'!$C$38*'契約別単価'!I7)</ns0:f>
        <ns0:v>24051.452513966477</ns0:v>
      </ns0:c>
      <ns0:c r="J574" s="16">
        <ns0:f>A574*('前提と出典'!$C$36*'契約別単価'!J5+'前提と出典'!$C$37*'契約別単価'!J6+'前提と出典'!$C$38*'契約別単価'!J7)</ns0:f>
        <ns0:v>56025.03991487246</ns0:v>
      </ns0:c>
      <ns0:c r="K574" s="16">
        <ns0:f>A574*('前提と出典'!$C$36*'契約別単価'!K5+'前提と出典'!$C$37*'契約別単価'!K6+'前提と出典'!$C$38*'契約別単価'!K7)</ns0:f>
        <ns0:v>240143.0167597765</ns0:v>
      </ns0:c>
      <ns0:c r="L574" s="16">
        <ns0:f>A574*('前提と出典'!$C$36*'契約別単価'!L5+'前提と出典'!$C$37*'契約別単価'!L6+'前提と出典'!$C$38*'契約別単価'!L7)</ns0:f>
        <ns0:v>195525.28171584176</ns0:v>
      </ns0:c>
      <ns0:c r="M574" s="16">
        <ns0:f>IF(('前提と出典'!$C$36+'前提と出典'!$C$38)=0,0,IF(B574&lt;=10,'前提と出典'!B73+'前提と出典'!C73,IF(B574&lt;=100,'前提と出典'!B74+'前提と出典'!C74,IF(B574&lt;=500,'前提と出典'!B75+'前提と出典'!C75,'前提と出典'!B76+'前提と出典'!C76))))</ns0:f>
        <ns0:v>40000</ns0:v>
      </ns0:c>
      <ns0:c r="N574" s="16">
        <ns0:f>IF(('前提と出典'!$C$37+'前提と出典'!$C$38)=0,0,IF(C574&lt;=10,'前提と出典'!D73+'前提と出典'!E73,IF(C574&lt;=100,'前提と出典'!D74+'前提と出典'!E74,IF(C574&lt;=500,'前提と出典'!D75+'前提と出典'!E75,'前提と出典'!D76+'前提と出典'!E76))))</ns0:f>
        <ns0:v>56510.9346263078</ns0:v>
      </ns0:c>
      <ns0:c r="O574" s="16">
        <ns0:f>IF('前提と出典'!$C$36+'前提と出典'!$C$38=0,0,'前提と出典'!$B$4*IF('前提と出典'!$B$20=0,MAX('前提と出典'!$B$6,D574*'前提と出典'!$B$5),'前提と出典'!$B$6+D574*'前提と出典'!$B$5))</ns0:f>
        <ns0:v>566000.4469273742</ns0:v>
      </ns0:c>
      <ns0:c r="P574" s="16">
        <ns0:f>(E574+G574)*(1-'前提と出典'!$B$7)-I574-K574-M574-O574</ns0:f>
        <ns0:v>1604869.4525216345</ns0:v>
      </ns0:c>
      <ns0:c r="Q574" s="16">
        <ns0:f>(F574+H574)*(1-'前提と出典'!$B$7)-J574-L574-N574</ns0:f>
        <ns0:v>472899.0152717625</ns0:v>
      </ns0:c>
      <ns0:c r="R574" s="16">
        <ns0:f>P574-E574*'前提と出典'!$E$4</ns0:f>
        <ns0:v>1174997.1826474385</ns0:v>
      </ns0:c>
      <ns0:c r="S574" s="16">
        <ns0:f>Q574-F574*'前提と出典'!$E$4</ns0:f>
        <ns0:v>347989.1218153392</ns0:v>
      </ns0:c>
      <ns0:c r="T574" s="7">
        <ns0:f>R574+S574</ns0:f>
        <ns0:v>1522986.3044627777</ns0:v>
      </ns0:c>
      <ns0:c r="U574" s="16">
        <ns0:f>P574-E574*'前提と出典'!$E$5</ns0:f>
        <ns0:v>1031706.4260227063</ns0:v>
      </ns0:c>
      <ns0:c r="V574" s="16">
        <ns0:f>Q574-F574*'前提と出典'!$E$5</ns0:f>
        <ns0:v>306352.49066319806</ns0:v>
      </ns0:c>
      <ns0:c r="W574" s="7">
        <ns0:f>U574+V574</ns0:f>
        <ns0:v>1338058.9166859044</ns0:v>
      </ns0:c>
      <ns0:c r="X574" s="16">
        <ns0:f>P574-E574*'前提と出典'!$E$6</ns0:f>
        <ns0:v>888415.6693979742</ns0:v>
      </ns0:c>
      <ns0:c r="Y574" s="16">
        <ns0:f>Q574-F574*'前提と出典'!$E$6</ns0:f>
        <ns0:v>264715.8595110569</ns0:v>
      </ns0:c>
      <ns0:c r="Z574" s="7">
        <ns0:f>X574+Y574</ns0:f>
        <ns0:v>1153131.528909031</ns0:v>
      </ns0:c>
      <ns0:c r="AA574" s="7">
        <ns0:f>IF(T574&gt;=0,A574,1001)</ns0:f>
        <ns0:v>570</ns0:v>
      </ns0:c>
      <ns0:c r="AB574" s="7">
        <ns0:f>IF(T574&lt;0,A574,0)</ns0:f>
        <ns0:v>0</ns0:v>
      </ns0:c>
      <ns0:c r="AC574" s="16">
        <ns0:f>IF(AND(OR('前提と出典'!$C$36+'前提と出典'!$C$38=0,R574&gt;=0),OR('前提と出典'!$C$37+'前提と出典'!$C$38=0,S574&gt;=0)),0,A574)</ns0:f>
        <ns0:v>0</ns0:v>
      </ns0:c>
      <ns0:c r="AD574" s="7">
        <ns0:f>IF(W574&gt;=0,A574,1001)</ns0:f>
        <ns0:v>570</ns0:v>
      </ns0:c>
      <ns0:c r="AE574" s="7">
        <ns0:f>IF(W574&lt;0,A574,0)</ns0:f>
        <ns0:v>0</ns0:v>
      </ns0:c>
      <ns0:c r="AF574" s="16">
        <ns0:f>IF(AND(OR('前提と出典'!$C$36+'前提と出典'!$C$38=0,U574&gt;=0),OR('前提と出典'!$C$37+'前提と出典'!$C$38=0,V574&gt;=0)),0,A574)</ns0:f>
        <ns0:v>0</ns0:v>
      </ns0:c>
      <ns0:c r="AG574" s="7">
        <ns0:f>IF(Z574&gt;=0,A574,1001)</ns0:f>
        <ns0:v>570</ns0:v>
      </ns0:c>
      <ns0:c r="AH574" s="4">
        <ns0:f>IF(Z574&lt;0,A574,0)</ns0:f>
        <ns0:v>0</ns0:v>
      </ns0:c>
      <ns0:c r="AI574" s="12">
        <ns0:f>IF(AND(OR('前提と出典'!$C$36+'前提と出典'!$C$38=0,X574&gt;=0),OR('前提と出典'!$C$37+'前提と出典'!$C$38=0,Y574&gt;=0)),0,A574)</ns0:f>
        <ns0:v>0</ns0:v>
      </ns0:c>
    </ns0:row>
    <ns0:row r="575" ht="24" customHeight="1">
      <ns0:c r="A575" s="4" t="n">
        <ns0:v>571</ns0:v>
      </ns0:c>
      <ns0:c r="B575" s="12">
        <ns0:f>A575*('前提と出典'!$C$36+'前提と出典'!$C$38)</ns0:f>
        <ns0:v>399.7</ns0:v>
      </ns0:c>
      <ns0:c r="C575" s="12">
        <ns0:f>A575*('前提と出典'!$C$37+'前提と出典'!$C$38)</ns0:f>
        <ns0:v>342.59999999999997</ns0:v>
      </ns0:c>
      <ns0:c r="D575" s="16">
        <ns0:f>A575*('前提と出典'!$C$36*'契約別単価'!C5+'前提と出典'!$C$37*'契約別単価'!C6+'前提と出典'!$C$38*'契約別単価'!C7)</ns0:f>
        <ns0:v>4108.648044692737</ns0:v>
      </ns0:c>
      <ns0:c r="E575" s="16">
        <ns0:f>A575*('前提と出典'!$C$36*'契約別単価'!E5+'前提と出典'!$C$37*'契約別単価'!E6+'前提と出典'!$C$38*'契約別単価'!E7)</ns0:f>
        <ns0:v>1435421.4391705615</ns0:v>
      </ns0:c>
      <ns0:c r="F575" s="16">
        <ns0:f>A575*('前提と出典'!$C$36*'契約別単価'!F5+'前提と出典'!$C$37*'契約別単価'!F6+'前提と出典'!$C$38*'契約別単価'!F7)</ns0:f>
        <ns0:v>417096.77873460663</ns0:v>
      </ns0:c>
      <ns0:c r="G575" s="16">
        <ns0:f>A575*('前提と出典'!$C$36*'契約別単価'!G5+'前提と出典'!$C$37*'契約別単価'!G6+'前提と出典'!$C$38*'契約別単価'!G7)</ns0:f>
        <ns0:v>1136577.094972067</ns0:v>
      </ns0:c>
      <ns0:c r="H575" s="16">
        <ns0:f>A575*('前提と出典'!$C$36*'契約別単価'!H5+'前提と出典'!$C$37*'契約別単価'!H6+'前提と出典'!$C$38*'契約別単価'!H7)</ns0:f>
        <ns0:v>394449.25577608705</ns0:v>
      </ns0:c>
      <ns0:c r="I575" s="16">
        <ns0:f>A575*('前提と出典'!$C$36*'契約別単価'!I5+'前提と出典'!$C$37*'契約別単価'!I6+'前提と出典'!$C$38*'契約別単価'!I7)</ns0:f>
        <ns0:v>24093.648044692734</ns0:v>
      </ns0:c>
      <ns0:c r="J575" s="16">
        <ns0:f>A575*('前提と出典'!$C$36*'契約別単価'!J5+'前提と出典'!$C$37*'契約別単価'!J6+'前提と出典'!$C$38*'契約別単価'!J7)</ns0:f>
        <ns0:v>56123.32945858277</ns0:v>
      </ns0:c>
      <ns0:c r="K575" s="16">
        <ns0:f>A575*('前提と出典'!$C$36*'契約別単価'!K5+'前提と出典'!$C$37*'契約別単価'!K6+'前提と出典'!$C$38*'契約別単価'!K7)</ns0:f>
        <ns0:v>240564.32029795158</ns0:v>
      </ns0:c>
      <ns0:c r="L575" s="16">
        <ns0:f>A575*('前提と出典'!$C$36*'契約別単価'!L5+'前提と出典'!$C$37*'契約別単価'!L6+'前提と出典'!$C$38*'契約別単価'!L7)</ns0:f>
        <ns0:v>195868.30852586956</ns0:v>
      </ns0:c>
      <ns0:c r="M575" s="16">
        <ns0:f>IF(('前提と出典'!$C$36+'前提と出典'!$C$38)=0,0,IF(B575&lt;=10,'前提と出典'!B73+'前提と出典'!C73,IF(B575&lt;=100,'前提と出典'!B74+'前提と出典'!C74,IF(B575&lt;=500,'前提と出典'!B75+'前提と出典'!C75,'前提と出典'!B76+'前提と出典'!C76))))</ns0:f>
        <ns0:v>40000</ns0:v>
      </ns0:c>
      <ns0:c r="N575" s="16">
        <ns0:f>IF(('前提と出典'!$C$37+'前提と出典'!$C$38)=0,0,IF(C575&lt;=10,'前提と出典'!D73+'前提と出典'!E73,IF(C575&lt;=100,'前提と出典'!D74+'前提と出典'!E74,IF(C575&lt;=500,'前提と出典'!D75+'前提と出典'!E75,'前提と出典'!D76+'前提と出典'!E76))))</ns0:f>
        <ns0:v>56510.9346263078</ns0:v>
      </ns0:c>
      <ns0:c r="O575" s="16">
        <ns0:f>IF('前提と出典'!$C$36+'前提と出典'!$C$38=0,0,'前提と出典'!$B$4*IF('前提と出典'!$B$20=0,MAX('前提と出典'!$B$6,D575*'前提と出典'!$B$5),'前提と出典'!$B$6+D575*'前提と出典'!$B$5))</ns0:f>
        <ns0:v>566993.4301675977</ns0:v>
      </ns0:c>
      <ns0:c r="P575" s="16">
        <ns0:f>(E575+G575)*(1-'前提と出典'!$B$7)-I575-K575-M575-O575</ns0:f>
        <ns0:v>1607755.1884032516</ns0:v>
      </ns0:c>
      <ns0:c r="Q575" s="16">
        <ns0:f>(F575+H575)*(1-'前提と出典'!$B$7)-J575-L575-N575</ns0:f>
        <ns0:v>473827.8046575486</ns0:v>
      </ns0:c>
      <ns0:c r="R575" s="16">
        <ns0:f>P575-E575*'前提と出典'!$E$4</ns0:f>
        <ns0:v>1177128.7566520832</ns0:v>
      </ns0:c>
      <ns0:c r="S575" s="16">
        <ns0:f>Q575-F575*'前提と出典'!$E$4</ns0:f>
        <ns0:v>348698.77103716665</ns0:v>
      </ns0:c>
      <ns0:c r="T575" s="7">
        <ns0:f>R575+S575</ns0:f>
        <ns0:v>1525827.52768925</ns0:v>
      </ns0:c>
      <ns0:c r="U575" s="16">
        <ns0:f>P575-E575*'前提と出典'!$E$5</ns0:f>
        <ns0:v>1033586.612735027</ns0:v>
      </ns0:c>
      <ns0:c r="V575" s="16">
        <ns0:f>Q575-F575*'前提と出典'!$E$5</ns0:f>
        <ns0:v>306989.09316370595</ns0:v>
      </ns0:c>
      <ns0:c r="W575" s="7">
        <ns0:f>U575+V575</ns0:f>
        <ns0:v>1340575.7058987329</ns0:v>
      </ns0:c>
      <ns0:c r="X575" s="16">
        <ns0:f>P575-E575*'前提と出典'!$E$6</ns0:f>
        <ns0:v>890044.4688179707</ns0:v>
      </ns0:c>
      <ns0:c r="Y575" s="16">
        <ns0:f>Q575-F575*'前提と出典'!$E$6</ns0:f>
        <ns0:v>265279.41529024526</ns0:v>
      </ns0:c>
      <ns0:c r="Z575" s="7">
        <ns0:f>X575+Y575</ns0:f>
        <ns0:v>1155323.884108216</ns0:v>
      </ns0:c>
      <ns0:c r="AA575" s="7">
        <ns0:f>IF(T575&gt;=0,A575,1001)</ns0:f>
        <ns0:v>571</ns0:v>
      </ns0:c>
      <ns0:c r="AB575" s="7">
        <ns0:f>IF(T575&lt;0,A575,0)</ns0:f>
        <ns0:v>0</ns0:v>
      </ns0:c>
      <ns0:c r="AC575" s="16">
        <ns0:f>IF(AND(OR('前提と出典'!$C$36+'前提と出典'!$C$38=0,R575&gt;=0),OR('前提と出典'!$C$37+'前提と出典'!$C$38=0,S575&gt;=0)),0,A575)</ns0:f>
        <ns0:v>0</ns0:v>
      </ns0:c>
      <ns0:c r="AD575" s="7">
        <ns0:f>IF(W575&gt;=0,A575,1001)</ns0:f>
        <ns0:v>571</ns0:v>
      </ns0:c>
      <ns0:c r="AE575" s="7">
        <ns0:f>IF(W575&lt;0,A575,0)</ns0:f>
        <ns0:v>0</ns0:v>
      </ns0:c>
      <ns0:c r="AF575" s="16">
        <ns0:f>IF(AND(OR('前提と出典'!$C$36+'前提と出典'!$C$38=0,U575&gt;=0),OR('前提と出典'!$C$37+'前提と出典'!$C$38=0,V575&gt;=0)),0,A575)</ns0:f>
        <ns0:v>0</ns0:v>
      </ns0:c>
      <ns0:c r="AG575" s="7">
        <ns0:f>IF(Z575&gt;=0,A575,1001)</ns0:f>
        <ns0:v>571</ns0:v>
      </ns0:c>
      <ns0:c r="AH575" s="4">
        <ns0:f>IF(Z575&lt;0,A575,0)</ns0:f>
        <ns0:v>0</ns0:v>
      </ns0:c>
      <ns0:c r="AI575" s="12">
        <ns0:f>IF(AND(OR('前提と出典'!$C$36+'前提と出典'!$C$38=0,X575&gt;=0),OR('前提と出典'!$C$37+'前提と出典'!$C$38=0,Y575&gt;=0)),0,A575)</ns0:f>
        <ns0:v>0</ns0:v>
      </ns0:c>
    </ns0:row>
    <ns0:row r="576" ht="24" customHeight="1">
      <ns0:c r="A576" s="4" t="n">
        <ns0:v>572</ns0:v>
      </ns0:c>
      <ns0:c r="B576" s="12">
        <ns0:f>A576*('前提と出典'!$C$36+'前提と出典'!$C$38)</ns0:f>
        <ns0:v>400.4</ns0:v>
      </ns0:c>
      <ns0:c r="C576" s="12">
        <ns0:f>A576*('前提と出典'!$C$37+'前提と出典'!$C$38)</ns0:f>
        <ns0:v>343.2</ns0:v>
      </ns0:c>
      <ns0:c r="D576" s="16">
        <ns0:f>A576*('前提と出典'!$C$36*'契約別単価'!C5+'前提と出典'!$C$37*'契約別単価'!C6+'前提と出典'!$C$38*'契約別単価'!C7)</ns0:f>
        <ns0:v>4115.843575418994</ns0:v>
      </ns0:c>
      <ns0:c r="E576" s="16">
        <ns0:f>A576*('前提と出典'!$C$36*'契約別単価'!E5+'前提と出典'!$C$37*'契約別単価'!E6+'前提と出典'!$C$38*'契約別単価'!E7)</ns0:f>
        <ns0:v>1437935.3120938023</ns0:v>
      </ns0:c>
      <ns0:c r="F576" s="16">
        <ns0:f>A576*('前提と出典'!$C$36*'契約別単価'!F5+'前提と出典'!$C$37*'契約別単価'!F6+'前提と出典'!$C$38*'契約別単価'!F7)</ns0:f>
        <ns0:v>417827.2459478021</ns0:v>
      </ns0:c>
      <ns0:c r="G576" s="16">
        <ns0:f>A576*('前提と出典'!$C$36*'契約別単価'!G5+'前提と出典'!$C$37*'契約別単価'!G6+'前提と出典'!$C$38*'契約別単価'!G7)</ns0:f>
        <ns0:v>1138567.597765363</ns0:v>
      </ns0:c>
      <ns0:c r="H576" s="16">
        <ns0:f>A576*('前提と出典'!$C$36*'契約別単価'!H5+'前提と出典'!$C$37*'契約別単価'!H6+'前提と出典'!$C$38*'契約別単価'!H7)</ns0:f>
        <ns0:v>395140.06007692084</ns0:v>
      </ns0:c>
      <ns0:c r="I576" s="16">
        <ns0:f>A576*('前提と出典'!$C$36*'契約別単価'!I5+'前提と出典'!$C$37*'契約別単価'!I6+'前提と出典'!$C$38*'契約別単価'!I7)</ns0:f>
        <ns0:v>24135.84357541899</ns0:v>
      </ns0:c>
      <ns0:c r="J576" s="16">
        <ns0:f>A576*('前提と出典'!$C$36*'契約別単価'!J5+'前提と出典'!$C$37*'契約別単価'!J6+'前提と出典'!$C$38*'契約別単価'!J7)</ns0:f>
        <ns0:v>56221.61900229307</ns0:v>
      </ns0:c>
      <ns0:c r="K576" s="16">
        <ns0:f>A576*('前提と出典'!$C$36*'契約別単価'!K5+'前提と出典'!$C$37*'契約別単価'!K6+'前提と出典'!$C$38*'契約別単価'!K7)</ns0:f>
        <ns0:v>240985.62383612662</ns0:v>
      </ns0:c>
      <ns0:c r="L576" s="16">
        <ns0:f>A576*('前提と出典'!$C$36*'契約別単価'!L5+'前提と出典'!$C$37*'契約別単価'!L6+'前提と出典'!$C$38*'契約別単価'!L7)</ns0:f>
        <ns0:v>196211.33533589737</ns0:v>
      </ns0:c>
      <ns0:c r="M576" s="16">
        <ns0:f>IF(('前提と出典'!$C$36+'前提と出典'!$C$38)=0,0,IF(B576&lt;=10,'前提と出典'!B73+'前提と出典'!C73,IF(B576&lt;=100,'前提と出典'!B74+'前提と出典'!C74,IF(B576&lt;=500,'前提と出典'!B75+'前提と出典'!C75,'前提と出典'!B76+'前提と出典'!C76))))</ns0:f>
        <ns0:v>40000</ns0:v>
      </ns0:c>
      <ns0:c r="N576" s="16">
        <ns0:f>IF(('前提と出典'!$C$37+'前提と出典'!$C$38)=0,0,IF(C576&lt;=10,'前提と出典'!D73+'前提と出典'!E73,IF(C576&lt;=100,'前提と出典'!D74+'前提と出典'!E74,IF(C576&lt;=500,'前提と出典'!D75+'前提と出典'!E75,'前提と出典'!D76+'前提と出典'!E76))))</ns0:f>
        <ns0:v>56510.9346263078</ns0:v>
      </ns0:c>
      <ns0:c r="O576" s="16">
        <ns0:f>IF('前提と出典'!$C$36+'前提と出典'!$C$38=0,0,'前提と出典'!$B$4*IF('前提と出典'!$B$20=0,MAX('前提と出典'!$B$6,D576*'前提と出典'!$B$5),'前提と出典'!$B$6+D576*'前提と出典'!$B$5))</ns0:f>
        <ns0:v>567986.4134078212</ns0:v>
      </ns0:c>
      <ns0:c r="P576" s="16">
        <ns0:f>(E576+G576)*(1-'前提と出典'!$B$7)-I576-K576-M576-O576</ns0:f>
        <ns0:v>1610640.9242848689</ns0:v>
      </ns0:c>
      <ns0:c r="Q576" s="16">
        <ns0:f>(F576+H576)*(1-'前提と出典'!$B$7)-J576-L576-N576</ns0:f>
        <ns0:v>474756.5940433347</ns0:v>
      </ns0:c>
      <ns0:c r="R576" s="16">
        <ns0:f>P576-E576*'前提と出典'!$E$4</ns0:f>
        <ns0:v>1179260.3306567282</ns0:v>
      </ns0:c>
      <ns0:c r="S576" s="16">
        <ns0:f>Q576-F576*'前提と出典'!$E$4</ns0:f>
        <ns0:v>349408.4202589941</ns0:v>
      </ns0:c>
      <ns0:c r="T576" s="7">
        <ns0:f>R576+S576</ns0:f>
        <ns0:v>1528668.7509157225</ns0:v>
      </ns0:c>
      <ns0:c r="U576" s="16">
        <ns0:f>P576-E576*'前提と出典'!$E$5</ns0:f>
        <ns0:v>1035466.7994473479</ns0:v>
      </ns0:c>
      <ns0:c r="V576" s="16">
        <ns0:f>Q576-F576*'前提と出典'!$E$5</ns0:f>
        <ns0:v>307625.69566421385</ns0:v>
      </ns0:c>
      <ns0:c r="W576" s="7">
        <ns0:f>U576+V576</ns0:f>
        <ns0:v>1343092.4951115618</ns0:v>
      </ns0:c>
      <ns0:c r="X576" s="16">
        <ns0:f>P576-E576*'前提と出典'!$E$6</ns0:f>
        <ns0:v>891673.2682379677</ns0:v>
      </ns0:c>
      <ns0:c r="Y576" s="16">
        <ns0:f>Q576-F576*'前提と出典'!$E$6</ns0:f>
        <ns0:v>265842.9710694337</ns0:v>
      </ns0:c>
      <ns0:c r="Z576" s="7">
        <ns0:f>X576+Y576</ns0:f>
        <ns0:v>1157516.2393074015</ns0:v>
      </ns0:c>
      <ns0:c r="AA576" s="7">
        <ns0:f>IF(T576&gt;=0,A576,1001)</ns0:f>
        <ns0:v>572</ns0:v>
      </ns0:c>
      <ns0:c r="AB576" s="7">
        <ns0:f>IF(T576&lt;0,A576,0)</ns0:f>
        <ns0:v>0</ns0:v>
      </ns0:c>
      <ns0:c r="AC576" s="16">
        <ns0:f>IF(AND(OR('前提と出典'!$C$36+'前提と出典'!$C$38=0,R576&gt;=0),OR('前提と出典'!$C$37+'前提と出典'!$C$38=0,S576&gt;=0)),0,A576)</ns0:f>
        <ns0:v>0</ns0:v>
      </ns0:c>
      <ns0:c r="AD576" s="7">
        <ns0:f>IF(W576&gt;=0,A576,1001)</ns0:f>
        <ns0:v>572</ns0:v>
      </ns0:c>
      <ns0:c r="AE576" s="7">
        <ns0:f>IF(W576&lt;0,A576,0)</ns0:f>
        <ns0:v>0</ns0:v>
      </ns0:c>
      <ns0:c r="AF576" s="16">
        <ns0:f>IF(AND(OR('前提と出典'!$C$36+'前提と出典'!$C$38=0,U576&gt;=0),OR('前提と出典'!$C$37+'前提と出典'!$C$38=0,V576&gt;=0)),0,A576)</ns0:f>
        <ns0:v>0</ns0:v>
      </ns0:c>
      <ns0:c r="AG576" s="7">
        <ns0:f>IF(Z576&gt;=0,A576,1001)</ns0:f>
        <ns0:v>572</ns0:v>
      </ns0:c>
      <ns0:c r="AH576" s="4">
        <ns0:f>IF(Z576&lt;0,A576,0)</ns0:f>
        <ns0:v>0</ns0:v>
      </ns0:c>
      <ns0:c r="AI576" s="12">
        <ns0:f>IF(AND(OR('前提と出典'!$C$36+'前提と出典'!$C$38=0,X576&gt;=0),OR('前提と出典'!$C$37+'前提と出典'!$C$38=0,Y576&gt;=0)),0,A576)</ns0:f>
        <ns0:v>0</ns0:v>
      </ns0:c>
    </ns0:row>
    <ns0:row r="577" ht="24" customHeight="1">
      <ns0:c r="A577" s="4" t="n">
        <ns0:v>573</ns0:v>
      </ns0:c>
      <ns0:c r="B577" s="12">
        <ns0:f>A577*('前提と出典'!$C$36+'前提と出典'!$C$38)</ns0:f>
        <ns0:v>401.09999999999997</ns0:v>
      </ns0:c>
      <ns0:c r="C577" s="12">
        <ns0:f>A577*('前提と出典'!$C$37+'前提と出典'!$C$38)</ns0:f>
        <ns0:v>343.8</ns0:v>
      </ns0:c>
      <ns0:c r="D577" s="16">
        <ns0:f>A577*('前提と出典'!$C$36*'契約別単価'!C5+'前提と出典'!$C$37*'契約別単価'!C6+'前提と出典'!$C$38*'契約別単価'!C7)</ns0:f>
        <ns0:v>4123.039106145251</ns0:v>
      </ns0:c>
      <ns0:c r="E577" s="16">
        <ns0:f>A577*('前提と出典'!$C$36*'契約別単価'!E5+'前提と出典'!$C$37*'契約別単価'!E6+'前提と出典'!$C$38*'契約別単価'!E7)</ns0:f>
        <ns0:v>1440449.1850170433</ns0:v>
      </ns0:c>
      <ns0:c r="F577" s="16">
        <ns0:f>A577*('前提と出典'!$C$36*'契約別単価'!F5+'前提と出典'!$C$37*'契約別単価'!F6+'前提と出典'!$C$38*'契約別単価'!F7)</ns0:f>
        <ns0:v>418557.71316099755</ns0:v>
      </ns0:c>
      <ns0:c r="G577" s="16">
        <ns0:f>A577*('前提と出典'!$C$36*'契約別単価'!G5+'前提と出典'!$C$37*'契約別単価'!G6+'前提と出典'!$C$38*'契約別単価'!G7)</ns0:f>
        <ns0:v>1140558.100558659</ns0:v>
      </ns0:c>
      <ns0:c r="H577" s="16">
        <ns0:f>A577*('前提と出典'!$C$36*'契約別単価'!H5+'前提と出典'!$C$37*'契約別単価'!H6+'前提と出典'!$C$38*'契約別単価'!H7)</ns0:f>
        <ns0:v>395830.8643777546</ns0:v>
      </ns0:c>
      <ns0:c r="I577" s="16">
        <ns0:f>A577*('前提と出典'!$C$36*'契約別単価'!I5+'前提と出典'!$C$37*'契約別単価'!I6+'前提と出典'!$C$38*'契約別単価'!I7)</ns0:f>
        <ns0:v>24178.039106145246</ns0:v>
      </ns0:c>
      <ns0:c r="J577" s="16">
        <ns0:f>A577*('前提と出典'!$C$36*'契約別単価'!J5+'前提と出典'!$C$37*'契約別単価'!J6+'前提と出典'!$C$38*'契約別単価'!J7)</ns0:f>
        <ns0:v>56319.90854600337</ns0:v>
      </ns0:c>
      <ns0:c r="K577" s="16">
        <ns0:f>A577*('前提と出典'!$C$36*'契約別単価'!K5+'前提と出典'!$C$37*'契約別単価'!K6+'前提と出典'!$C$38*'契約別単価'!K7)</ns0:f>
        <ns0:v>241406.92737430165</ns0:v>
      </ns0:c>
      <ns0:c r="L577" s="16">
        <ns0:f>A577*('前提と出典'!$C$36*'契約別単価'!L5+'前提と出典'!$C$37*'契約別単価'!L6+'前提と出典'!$C$38*'契約別単価'!L7)</ns0:f>
        <ns0:v>196554.36214592514</ns0:v>
      </ns0:c>
      <ns0:c r="M577" s="16">
        <ns0:f>IF(('前提と出典'!$C$36+'前提と出典'!$C$38)=0,0,IF(B577&lt;=10,'前提と出典'!B73+'前提と出典'!C73,IF(B577&lt;=100,'前提と出典'!B74+'前提と出典'!C74,IF(B577&lt;=500,'前提と出典'!B75+'前提と出典'!C75,'前提と出典'!B76+'前提と出典'!C76))))</ns0:f>
        <ns0:v>40000</ns0:v>
      </ns0:c>
      <ns0:c r="N577" s="16">
        <ns0:f>IF(('前提と出典'!$C$37+'前提と出典'!$C$38)=0,0,IF(C577&lt;=10,'前提と出典'!D73+'前提と出典'!E73,IF(C577&lt;=100,'前提と出典'!D74+'前提と出典'!E74,IF(C577&lt;=500,'前提と出典'!D75+'前提と出典'!E75,'前提と出典'!D76+'前提と出典'!E76))))</ns0:f>
        <ns0:v>56510.9346263078</ns0:v>
      </ns0:c>
      <ns0:c r="O577" s="16">
        <ns0:f>IF('前提と出典'!$C$36+'前提と出典'!$C$38=0,0,'前提と出典'!$B$4*IF('前提と出典'!$B$20=0,MAX('前提と出典'!$B$6,D577*'前提と出典'!$B$5),'前提と出典'!$B$6+D577*'前提と出典'!$B$5))</ns0:f>
        <ns0:v>568979.3966480447</ns0:v>
      </ns0:c>
      <ns0:c r="P577" s="16">
        <ns0:f>(E577+G577)*(1-'前提と出典'!$B$7)-I577-K577-M577-O577</ns0:f>
        <ns0:v>1613526.6601664852</ns0:v>
      </ns0:c>
      <ns0:c r="Q577" s="16">
        <ns0:f>(F577+H577)*(1-'前提と出典'!$B$7)-J577-L577-N577</ns0:f>
        <ns0:v>475685.38342912076</ns0:v>
      </ns0:c>
      <ns0:c r="R577" s="16">
        <ns0:f>P577-E577*'前提と出典'!$E$4</ns0:f>
        <ns0:v>1181391.9046613725</ns0:v>
      </ns0:c>
      <ns0:c r="S577" s="16">
        <ns0:f>Q577-F577*'前提と出典'!$E$4</ns0:f>
        <ns0:v>350118.0694808215</ns0:v>
      </ns0:c>
      <ns0:c r="T577" s="7">
        <ns0:f>R577+S577</ns0:f>
        <ns0:v>1531509.974142194</ns0:v>
      </ns0:c>
      <ns0:c r="U577" s="16">
        <ns0:f>P577-E577*'前提と出典'!$E$5</ns0:f>
        <ns0:v>1037346.9861596681</ns0:v>
      </ns0:c>
      <ns0:c r="V577" s="16">
        <ns0:f>Q577-F577*'前提と出典'!$E$5</ns0:f>
        <ns0:v>308262.2981647217</ns0:v>
      </ns0:c>
      <ns0:c r="W577" s="7">
        <ns0:f>U577+V577</ns0:f>
        <ns0:v>1345609.2843243899</ns0:v>
      </ns0:c>
      <ns0:c r="X577" s="16">
        <ns0:f>P577-E577*'前提と出典'!$E$6</ns0:f>
        <ns0:v>893302.0676579638</ns0:v>
      </ns0:c>
      <ns0:c r="Y577" s="16">
        <ns0:f>Q577-F577*'前提と出典'!$E$6</ns0:f>
        <ns0:v>266406.526848622</ns0:v>
      </ns0:c>
      <ns0:c r="Z577" s="7">
        <ns0:f>X577+Y577</ns0:f>
        <ns0:v>1159708.594506586</ns0:v>
      </ns0:c>
      <ns0:c r="AA577" s="7">
        <ns0:f>IF(T577&gt;=0,A577,1001)</ns0:f>
        <ns0:v>573</ns0:v>
      </ns0:c>
      <ns0:c r="AB577" s="7">
        <ns0:f>IF(T577&lt;0,A577,0)</ns0:f>
        <ns0:v>0</ns0:v>
      </ns0:c>
      <ns0:c r="AC577" s="16">
        <ns0:f>IF(AND(OR('前提と出典'!$C$36+'前提と出典'!$C$38=0,R577&gt;=0),OR('前提と出典'!$C$37+'前提と出典'!$C$38=0,S577&gt;=0)),0,A577)</ns0:f>
        <ns0:v>0</ns0:v>
      </ns0:c>
      <ns0:c r="AD577" s="7">
        <ns0:f>IF(W577&gt;=0,A577,1001)</ns0:f>
        <ns0:v>573</ns0:v>
      </ns0:c>
      <ns0:c r="AE577" s="7">
        <ns0:f>IF(W577&lt;0,A577,0)</ns0:f>
        <ns0:v>0</ns0:v>
      </ns0:c>
      <ns0:c r="AF577" s="16">
        <ns0:f>IF(AND(OR('前提と出典'!$C$36+'前提と出典'!$C$38=0,U577&gt;=0),OR('前提と出典'!$C$37+'前提と出典'!$C$38=0,V577&gt;=0)),0,A577)</ns0:f>
        <ns0:v>0</ns0:v>
      </ns0:c>
      <ns0:c r="AG577" s="7">
        <ns0:f>IF(Z577&gt;=0,A577,1001)</ns0:f>
        <ns0:v>573</ns0:v>
      </ns0:c>
      <ns0:c r="AH577" s="4">
        <ns0:f>IF(Z577&lt;0,A577,0)</ns0:f>
        <ns0:v>0</ns0:v>
      </ns0:c>
      <ns0:c r="AI577" s="12">
        <ns0:f>IF(AND(OR('前提と出典'!$C$36+'前提と出典'!$C$38=0,X577&gt;=0),OR('前提と出典'!$C$37+'前提と出典'!$C$38=0,Y577&gt;=0)),0,A577)</ns0:f>
        <ns0:v>0</ns0:v>
      </ns0:c>
    </ns0:row>
    <ns0:row r="578" ht="24" customHeight="1">
      <ns0:c r="A578" s="4" t="n">
        <ns0:v>574</ns0:v>
      </ns0:c>
      <ns0:c r="B578" s="12">
        <ns0:f>A578*('前提と出典'!$C$36+'前提と出典'!$C$38)</ns0:f>
        <ns0:v>401.79999999999995</ns0:v>
      </ns0:c>
      <ns0:c r="C578" s="12">
        <ns0:f>A578*('前提と出典'!$C$37+'前提と出典'!$C$38)</ns0:f>
        <ns0:v>344.4</ns0:v>
      </ns0:c>
      <ns0:c r="D578" s="16">
        <ns0:f>A578*('前提と出典'!$C$36*'契約別単価'!C5+'前提と出典'!$C$37*'契約別単価'!C6+'前提と出典'!$C$38*'契約別単価'!C7)</ns0:f>
        <ns0:v>4130.234636871508</ns0:v>
      </ns0:c>
      <ns0:c r="E578" s="16">
        <ns0:f>A578*('前提と出典'!$C$36*'契約別単価'!E5+'前提と出典'!$C$37*'契約別単価'!E6+'前提と出典'!$C$38*'契約別単価'!E7)</ns0:f>
        <ns0:v>1442963.0579402843</ns0:v>
      </ns0:c>
      <ns0:c r="F578" s="16">
        <ns0:f>A578*('前提と出典'!$C$36*'契約別単価'!F5+'前提と出典'!$C$37*'契約別単価'!F6+'前提と出典'!$C$38*'契約別単価'!F7)</ns0:f>
        <ns0:v>419288.180374193</ns0:v>
      </ns0:c>
      <ns0:c r="G578" s="16">
        <ns0:f>A578*('前提と出典'!$C$36*'契約別単価'!G5+'前提と出典'!$C$37*'契約別単価'!G6+'前提と出典'!$C$38*'契約別単価'!G7)</ns0:f>
        <ns0:v>1142548.6033519553</ns0:v>
      </ns0:c>
      <ns0:c r="H578" s="16">
        <ns0:f>A578*('前提と出典'!$C$36*'契約別単価'!H5+'前提と出典'!$C$37*'契約別単価'!H6+'前提と出典'!$C$38*'契約別単価'!H7)</ns0:f>
        <ns0:v>396521.6686785884</ns0:v>
      </ns0:c>
      <ns0:c r="I578" s="16">
        <ns0:f>A578*('前提と出典'!$C$36*'契約別単価'!I5+'前提と出典'!$C$37*'契約別単価'!I6+'前提と出典'!$C$38*'契約別単価'!I7)</ns0:f>
        <ns0:v>24220.234636871504</ns0:v>
      </ns0:c>
      <ns0:c r="J578" s="16">
        <ns0:f>A578*('前提と出典'!$C$36*'契約別単価'!J5+'前提と出典'!$C$37*'契約別単価'!J6+'前提と出典'!$C$38*'契約別単価'!J7)</ns0:f>
        <ns0:v>56418.198089713675</ns0:v>
      </ns0:c>
      <ns0:c r="K578" s="16">
        <ns0:f>A578*('前提と出典'!$C$36*'契約別単価'!K5+'前提と出典'!$C$37*'契約別単価'!K6+'前提と出典'!$C$38*'契約別単価'!K7)</ns0:f>
        <ns0:v>241828.23091247672</ns0:v>
      </ns0:c>
      <ns0:c r="L578" s="16">
        <ns0:f>A578*('前提と出典'!$C$36*'契約別単価'!L5+'前提と出典'!$C$37*'契約別単価'!L6+'前提と出典'!$C$38*'契約別単価'!L7)</ns0:f>
        <ns0:v>196897.38895595295</ns0:v>
      </ns0:c>
      <ns0:c r="M578" s="16">
        <ns0:f>IF(('前提と出典'!$C$36+'前提と出典'!$C$38)=0,0,IF(B578&lt;=10,'前提と出典'!B73+'前提と出典'!C73,IF(B578&lt;=100,'前提と出典'!B74+'前提と出典'!C74,IF(B578&lt;=500,'前提と出典'!B75+'前提と出典'!C75,'前提と出典'!B76+'前提と出典'!C76))))</ns0:f>
        <ns0:v>40000</ns0:v>
      </ns0:c>
      <ns0:c r="N578" s="16">
        <ns0:f>IF(('前提と出典'!$C$37+'前提と出典'!$C$38)=0,0,IF(C578&lt;=10,'前提と出典'!D73+'前提と出典'!E73,IF(C578&lt;=100,'前提と出典'!D74+'前提と出典'!E74,IF(C578&lt;=500,'前提と出典'!D75+'前提と出典'!E75,'前提と出典'!D76+'前提と出典'!E76))))</ns0:f>
        <ns0:v>56510.9346263078</ns0:v>
      </ns0:c>
      <ns0:c r="O578" s="16">
        <ns0:f>IF('前提と出典'!$C$36+'前提と出典'!$C$38=0,0,'前提と出典'!$B$4*IF('前提と出典'!$B$20=0,MAX('前提と出典'!$B$6,D578*'前提と出典'!$B$5),'前提と出典'!$B$6+D578*'前提と出典'!$B$5))</ns0:f>
        <ns0:v>569972.3798882681</ns0:v>
      </ns0:c>
      <ns0:c r="P578" s="16">
        <ns0:f>(E578+G578)*(1-'前提と出典'!$B$7)-I578-K578-M578-O578</ns0:f>
        <ns0:v>1616412.3960481023</ns0:v>
      </ns0:c>
      <ns0:c r="Q578" s="16">
        <ns0:f>(F578+H578)*(1-'前提と出典'!$B$7)-J578-L578-N578</ns0:f>
        <ns0:v>476614.172814907</ns0:v>
      </ns0:c>
      <ns0:c r="R578" s="16">
        <ns0:f>P578-E578*'前提と出典'!$E$4</ns0:f>
        <ns0:v>1183523.4786660173</ns0:v>
      </ns0:c>
      <ns0:c r="S578" s="16">
        <ns0:f>Q578-F578*'前提と出典'!$E$4</ns0:f>
        <ns0:v>350827.718702649</ns0:v>
      </ns0:c>
      <ns0:c r="T578" s="7">
        <ns0:f>R578+S578</ns0:f>
        <ns0:v>1534351.1973686663</ns0:v>
      </ns0:c>
      <ns0:c r="U578" s="16">
        <ns0:f>P578-E578*'前提と出典'!$E$5</ns0:f>
        <ns0:v>1039227.1728719886</ns0:v>
      </ns0:c>
      <ns0:c r="V578" s="16">
        <ns0:f>Q578-F578*'前提と出典'!$E$5</ns0:f>
        <ns0:v>308898.90066522977</ns0:v>
      </ns0:c>
      <ns0:c r="W578" s="7">
        <ns0:f>U578+V578</ns0:f>
        <ns0:v>1348126.0735372184</ns0:v>
      </ns0:c>
      <ns0:c r="X578" s="16">
        <ns0:f>P578-E578*'前提と出典'!$E$6</ns0:f>
        <ns0:v>894930.8670779603</ns0:v>
      </ns0:c>
      <ns0:c r="Y578" s="16">
        <ns0:f>Q578-F578*'前提と出典'!$E$6</ns0:f>
        <ns0:v>266970.0826278104</ns0:v>
      </ns0:c>
      <ns0:c r="Z578" s="7">
        <ns0:f>X578+Y578</ns0:f>
        <ns0:v>1161900.9497057707</ns0:v>
      </ns0:c>
      <ns0:c r="AA578" s="7">
        <ns0:f>IF(T578&gt;=0,A578,1001)</ns0:f>
        <ns0:v>574</ns0:v>
      </ns0:c>
      <ns0:c r="AB578" s="7">
        <ns0:f>IF(T578&lt;0,A578,0)</ns0:f>
        <ns0:v>0</ns0:v>
      </ns0:c>
      <ns0:c r="AC578" s="16">
        <ns0:f>IF(AND(OR('前提と出典'!$C$36+'前提と出典'!$C$38=0,R578&gt;=0),OR('前提と出典'!$C$37+'前提と出典'!$C$38=0,S578&gt;=0)),0,A578)</ns0:f>
        <ns0:v>0</ns0:v>
      </ns0:c>
      <ns0:c r="AD578" s="7">
        <ns0:f>IF(W578&gt;=0,A578,1001)</ns0:f>
        <ns0:v>574</ns0:v>
      </ns0:c>
      <ns0:c r="AE578" s="7">
        <ns0:f>IF(W578&lt;0,A578,0)</ns0:f>
        <ns0:v>0</ns0:v>
      </ns0:c>
      <ns0:c r="AF578" s="16">
        <ns0:f>IF(AND(OR('前提と出典'!$C$36+'前提と出典'!$C$38=0,U578&gt;=0),OR('前提と出典'!$C$37+'前提と出典'!$C$38=0,V578&gt;=0)),0,A578)</ns0:f>
        <ns0:v>0</ns0:v>
      </ns0:c>
      <ns0:c r="AG578" s="7">
        <ns0:f>IF(Z578&gt;=0,A578,1001)</ns0:f>
        <ns0:v>574</ns0:v>
      </ns0:c>
      <ns0:c r="AH578" s="4">
        <ns0:f>IF(Z578&lt;0,A578,0)</ns0:f>
        <ns0:v>0</ns0:v>
      </ns0:c>
      <ns0:c r="AI578" s="12">
        <ns0:f>IF(AND(OR('前提と出典'!$C$36+'前提と出典'!$C$38=0,X578&gt;=0),OR('前提と出典'!$C$37+'前提と出典'!$C$38=0,Y578&gt;=0)),0,A578)</ns0:f>
        <ns0:v>0</ns0:v>
      </ns0:c>
    </ns0:row>
    <ns0:row r="579" ht="24" customHeight="1">
      <ns0:c r="A579" s="4" t="n">
        <ns0:v>575</ns0:v>
      </ns0:c>
      <ns0:c r="B579" s="12">
        <ns0:f>A579*('前提と出典'!$C$36+'前提と出典'!$C$38)</ns0:f>
        <ns0:v>402.5</ns0:v>
      </ns0:c>
      <ns0:c r="C579" s="12">
        <ns0:f>A579*('前提と出典'!$C$37+'前提と出典'!$C$38)</ns0:f>
        <ns0:v>345</ns0:v>
      </ns0:c>
      <ns0:c r="D579" s="16">
        <ns0:f>A579*('前提と出典'!$C$36*'契約別単価'!C5+'前提と出典'!$C$37*'契約別単価'!C6+'前提と出典'!$C$38*'契約別単価'!C7)</ns0:f>
        <ns0:v>4137.430167597765</ns0:v>
      </ns0:c>
      <ns0:c r="E579" s="16">
        <ns0:f>A579*('前提と出典'!$C$36*'契約別単価'!E5+'前提と出典'!$C$37*'契約別単価'!E6+'前提と出典'!$C$38*'契約別単価'!E7)</ns0:f>
        <ns0:v>1445476.930863525</ns0:v>
      </ns0:c>
      <ns0:c r="F579" s="16">
        <ns0:f>A579*('前提と出典'!$C$36*'契約別単価'!F5+'前提と出典'!$C$37*'契約別単価'!F6+'前提と出典'!$C$38*'契約別単価'!F7)</ns0:f>
        <ns0:v>420018.64758738846</ns0:v>
      </ns0:c>
      <ns0:c r="G579" s="16">
        <ns0:f>A579*('前提と出典'!$C$36*'契約別単価'!G5+'前提と出典'!$C$37*'契約別単価'!G6+'前提と出典'!$C$38*'契約別単価'!G7)</ns0:f>
        <ns0:v>1144539.1061452513</ns0:v>
      </ns0:c>
      <ns0:c r="H579" s="16">
        <ns0:f>A579*('前提と出典'!$C$36*'契約別単価'!H5+'前提と出典'!$C$37*'契約別単価'!H6+'前提と出典'!$C$38*'契約別単価'!H7)</ns0:f>
        <ns0:v>397212.4729794222</ns0:v>
      </ns0:c>
      <ns0:c r="I579" s="16">
        <ns0:f>A579*('前提と出典'!$C$36*'契約別単価'!I5+'前提と出典'!$C$37*'契約別単価'!I6+'前提と出典'!$C$38*'契約別単価'!I7)</ns0:f>
        <ns0:v>24262.430167597762</ns0:v>
      </ns0:c>
      <ns0:c r="J579" s="16">
        <ns0:f>A579*('前提と出典'!$C$36*'契約別単価'!J5+'前提と出典'!$C$37*'契約別単価'!J6+'前提と出典'!$C$38*'契約別単価'!J7)</ns0:f>
        <ns0:v>56516.487633423974</ns0:v>
      </ns0:c>
      <ns0:c r="K579" s="16">
        <ns0:f>A579*('前提と出典'!$C$36*'契約別単価'!K5+'前提と出典'!$C$37*'契約別単価'!K6+'前提と出典'!$C$38*'契約別単価'!K7)</ns0:f>
        <ns0:v>242249.53445065176</ns0:v>
      </ns0:c>
      <ns0:c r="L579" s="16">
        <ns0:f>A579*('前提と出典'!$C$36*'契約別単価'!L5+'前提と出典'!$C$37*'契約別単価'!L6+'前提と出典'!$C$38*'契約別単価'!L7)</ns0:f>
        <ns0:v>197240.41576598072</ns0:v>
      </ns0:c>
      <ns0:c r="M579" s="16">
        <ns0:f>IF(('前提と出典'!$C$36+'前提と出典'!$C$38)=0,0,IF(B579&lt;=10,'前提と出典'!B73+'前提と出典'!C73,IF(B579&lt;=100,'前提と出典'!B74+'前提と出典'!C74,IF(B579&lt;=500,'前提と出典'!B75+'前提と出典'!C75,'前提と出典'!B76+'前提と出典'!C76))))</ns0:f>
        <ns0:v>40000</ns0:v>
      </ns0:c>
      <ns0:c r="N579" s="16">
        <ns0:f>IF(('前提と出典'!$C$37+'前提と出典'!$C$38)=0,0,IF(C579&lt;=10,'前提と出典'!D73+'前提と出典'!E73,IF(C579&lt;=100,'前提と出典'!D74+'前提と出典'!E74,IF(C579&lt;=500,'前提と出典'!D75+'前提と出典'!E75,'前提と出典'!D76+'前提と出典'!E76))))</ns0:f>
        <ns0:v>56510.9346263078</ns0:v>
      </ns0:c>
      <ns0:c r="O579" s="16">
        <ns0:f>IF('前提と出典'!$C$36+'前提と出典'!$C$38=0,0,'前提と出典'!$B$4*IF('前提と出典'!$B$20=0,MAX('前提と出典'!$B$6,D579*'前提と出典'!$B$5),'前提と出典'!$B$6+D579*'前提と出典'!$B$5))</ns0:f>
        <ns0:v>570965.3631284916</ns0:v>
      </ns0:c>
      <ns0:c r="P579" s="16">
        <ns0:f>(E579+G579)*(1-'前提と出典'!$B$7)-I579-K579-M579-O579</ns0:f>
        <ns0:v>1619298.1319297191</ns0:v>
      </ns0:c>
      <ns0:c r="Q579" s="16">
        <ns0:f>(F579+H579)*(1-'前提と出典'!$B$7)-J579-L579-N579</ns0:f>
        <ns0:v>477542.962200693</ns0:v>
      </ns0:c>
      <ns0:c r="R579" s="16">
        <ns0:f>P579-E579*'前提と出典'!$E$4</ns0:f>
        <ns0:v>1185655.0526706618</ns0:v>
      </ns0:c>
      <ns0:c r="S579" s="16">
        <ns0:f>Q579-F579*'前提と出典'!$E$4</ns0:f>
        <ns0:v>351537.3679244764</ns0:v>
      </ns0:c>
      <ns0:c r="T579" s="7">
        <ns0:f>R579+S579</ns0:f>
        <ns0:v>1537192.4205951383</ns0:v>
      </ns0:c>
      <ns0:c r="U579" s="16">
        <ns0:f>P579-E579*'前提と出典'!$E$5</ns0:f>
        <ns0:v>1041107.359584309</ns0:v>
      </ns0:c>
      <ns0:c r="V579" s="16">
        <ns0:f>Q579-F579*'前提と出典'!$E$5</ns0:f>
        <ns0:v>309535.5031657376</ns0:v>
      </ns0:c>
      <ns0:c r="W579" s="7">
        <ns0:f>U579+V579</ns0:f>
        <ns0:v>1350642.8627500467</ns0:v>
      </ns0:c>
      <ns0:c r="X579" s="16">
        <ns0:f>P579-E579*'前提と出典'!$E$6</ns0:f>
        <ns0:v>896559.6664979568</ns0:v>
      </ns0:c>
      <ns0:c r="Y579" s="16">
        <ns0:f>Q579-F579*'前提と出典'!$E$6</ns0:f>
        <ns0:v>267533.6384069987</ns0:v>
      </ns0:c>
      <ns0:c r="Z579" s="7">
        <ns0:f>X579+Y579</ns0:f>
        <ns0:v>1164093.3049049554</ns0:v>
      </ns0:c>
      <ns0:c r="AA579" s="7">
        <ns0:f>IF(T579&gt;=0,A579,1001)</ns0:f>
        <ns0:v>575</ns0:v>
      </ns0:c>
      <ns0:c r="AB579" s="7">
        <ns0:f>IF(T579&lt;0,A579,0)</ns0:f>
        <ns0:v>0</ns0:v>
      </ns0:c>
      <ns0:c r="AC579" s="16">
        <ns0:f>IF(AND(OR('前提と出典'!$C$36+'前提と出典'!$C$38=0,R579&gt;=0),OR('前提と出典'!$C$37+'前提と出典'!$C$38=0,S579&gt;=0)),0,A579)</ns0:f>
        <ns0:v>0</ns0:v>
      </ns0:c>
      <ns0:c r="AD579" s="7">
        <ns0:f>IF(W579&gt;=0,A579,1001)</ns0:f>
        <ns0:v>575</ns0:v>
      </ns0:c>
      <ns0:c r="AE579" s="7">
        <ns0:f>IF(W579&lt;0,A579,0)</ns0:f>
        <ns0:v>0</ns0:v>
      </ns0:c>
      <ns0:c r="AF579" s="16">
        <ns0:f>IF(AND(OR('前提と出典'!$C$36+'前提と出典'!$C$38=0,U579&gt;=0),OR('前提と出典'!$C$37+'前提と出典'!$C$38=0,V579&gt;=0)),0,A579)</ns0:f>
        <ns0:v>0</ns0:v>
      </ns0:c>
      <ns0:c r="AG579" s="7">
        <ns0:f>IF(Z579&gt;=0,A579,1001)</ns0:f>
        <ns0:v>575</ns0:v>
      </ns0:c>
      <ns0:c r="AH579" s="4">
        <ns0:f>IF(Z579&lt;0,A579,0)</ns0:f>
        <ns0:v>0</ns0:v>
      </ns0:c>
      <ns0:c r="AI579" s="12">
        <ns0:f>IF(AND(OR('前提と出典'!$C$36+'前提と出典'!$C$38=0,X579&gt;=0),OR('前提と出典'!$C$37+'前提と出典'!$C$38=0,Y579&gt;=0)),0,A579)</ns0:f>
        <ns0:v>0</ns0:v>
      </ns0:c>
    </ns0:row>
    <ns0:row r="580" ht="24" customHeight="1">
      <ns0:c r="A580" s="4" t="n">
        <ns0:v>576</ns0:v>
      </ns0:c>
      <ns0:c r="B580" s="12">
        <ns0:f>A580*('前提と出典'!$C$36+'前提と出典'!$C$38)</ns0:f>
        <ns0:v>403.2</ns0:v>
      </ns0:c>
      <ns0:c r="C580" s="12">
        <ns0:f>A580*('前提と出典'!$C$37+'前提と出典'!$C$38)</ns0:f>
        <ns0:v>345.59999999999997</ns0:v>
      </ns0:c>
      <ns0:c r="D580" s="16">
        <ns0:f>A580*('前提と出典'!$C$36*'契約別単価'!C5+'前提と出典'!$C$37*'契約別単価'!C6+'前提と出典'!$C$38*'契約別単価'!C7)</ns0:f>
        <ns0:v>4144.625698324022</ns0:v>
      </ns0:c>
      <ns0:c r="E580" s="16">
        <ns0:f>A580*('前提と出典'!$C$36*'契約別単価'!E5+'前提と出典'!$C$37*'契約別単価'!E6+'前提と出典'!$C$38*'契約別単価'!E7)</ns0:f>
        <ns0:v>1447990.803786766</ns0:v>
      </ns0:c>
      <ns0:c r="F580" s="16">
        <ns0:f>A580*('前提と出典'!$C$36*'契約別単価'!F5+'前提と出典'!$C$37*'契約別単価'!F6+'前提と出典'!$C$38*'契約別単価'!F7)</ns0:f>
        <ns0:v>420749.1148005839</ns0:v>
      </ns0:c>
      <ns0:c r="G580" s="16">
        <ns0:f>A580*('前提と出典'!$C$36*'契約別単価'!G5+'前提と出典'!$C$37*'契約別単価'!G6+'前提と出典'!$C$38*'契約別単価'!G7)</ns0:f>
        <ns0:v>1146529.6089385473</ns0:v>
      </ns0:c>
      <ns0:c r="H580" s="16">
        <ns0:f>A580*('前提と出典'!$C$36*'契約別単価'!H5+'前提と出典'!$C$37*'契約別単価'!H6+'前提と出典'!$C$38*'契約別単価'!H7)</ns0:f>
        <ns0:v>397903.2772802559</ns0:v>
      </ns0:c>
      <ns0:c r="I580" s="16">
        <ns0:f>A580*('前提と出典'!$C$36*'契約別単価'!I5+'前提と出典'!$C$37*'契約別単価'!I6+'前提と出典'!$C$38*'契約別単価'!I7)</ns0:f>
        <ns0:v>24304.625698324016</ns0:v>
      </ns0:c>
      <ns0:c r="J580" s="16">
        <ns0:f>A580*('前提と出典'!$C$36*'契約別単価'!J5+'前提と出典'!$C$37*'契約別単価'!J6+'前提と出典'!$C$38*'契約別単価'!J7)</ns0:f>
        <ns0:v>56614.77717713428</ns0:v>
      </ns0:c>
      <ns0:c r="K580" s="16">
        <ns0:f>A580*('前提と出典'!$C$36*'契約別単価'!K5+'前提と出典'!$C$37*'契約別単価'!K6+'前提と出典'!$C$38*'契約別単価'!K7)</ns0:f>
        <ns0:v>242670.8379888268</ns0:v>
      </ns0:c>
      <ns0:c r="L580" s="16">
        <ns0:f>A580*('前提と出典'!$C$36*'契約別単価'!L5+'前提と出典'!$C$37*'契約別単価'!L6+'前提と出典'!$C$38*'契約別単価'!L7)</ns0:f>
        <ns0:v>197583.44257600853</ns0:v>
      </ns0:c>
      <ns0:c r="M580" s="16">
        <ns0:f>IF(('前提と出典'!$C$36+'前提と出典'!$C$38)=0,0,IF(B580&lt;=10,'前提と出典'!B73+'前提と出典'!C73,IF(B580&lt;=100,'前提と出典'!B74+'前提と出典'!C74,IF(B580&lt;=500,'前提と出典'!B75+'前提と出典'!C75,'前提と出典'!B76+'前提と出典'!C76))))</ns0:f>
        <ns0:v>40000</ns0:v>
      </ns0:c>
      <ns0:c r="N580" s="16">
        <ns0:f>IF(('前提と出典'!$C$37+'前提と出典'!$C$38)=0,0,IF(C580&lt;=10,'前提と出典'!D73+'前提と出典'!E73,IF(C580&lt;=100,'前提と出典'!D74+'前提と出典'!E74,IF(C580&lt;=500,'前提と出典'!D75+'前提と出典'!E75,'前提と出典'!D76+'前提と出典'!E76))))</ns0:f>
        <ns0:v>56510.9346263078</ns0:v>
      </ns0:c>
      <ns0:c r="O580" s="16">
        <ns0:f>IF('前提と出典'!$C$36+'前提と出典'!$C$38=0,0,'前提と出典'!$B$4*IF('前提と出典'!$B$20=0,MAX('前提と出典'!$B$6,D580*'前提と出典'!$B$5),'前提と出典'!$B$6+D580*'前提と出典'!$B$5))</ns0:f>
        <ns0:v>571958.346368715</ns0:v>
      </ns0:c>
      <ns0:c r="P580" s="16">
        <ns0:f>(E580+G580)*(1-'前提と出典'!$B$7)-I580-K580-M580-O580</ns0:f>
        <ns0:v>1622183.8678113362</ns0:v>
      </ns0:c>
      <ns0:c r="Q580" s="16">
        <ns0:f>(F580+H580)*(1-'前提と出典'!$B$7)-J580-L580-N580</ns0:f>
        <ns0:v>478471.751586479</ns0:v>
      </ns0:c>
      <ns0:c r="R580" s="16">
        <ns0:f>P580-E580*'前提と出典'!$E$4</ns0:f>
        <ns0:v>1187786.6266753064</ns0:v>
      </ns0:c>
      <ns0:c r="S580" s="16">
        <ns0:f>Q580-F580*'前提と出典'!$E$4</ns0:f>
        <ns0:v>352247.0171463038</ns0:v>
      </ns0:c>
      <ns0:c r="T580" s="7">
        <ns0:f>R580+S580</ns0:f>
        <ns0:v>1540033.6438216101</ns0:v>
      </ns0:c>
      <ns0:c r="U580" s="16">
        <ns0:f>P580-E580*'前提と出典'!$E$5</ns0:f>
        <ns0:v>1042987.5462966297</ns0:v>
      </ns0:c>
      <ns0:c r="V580" s="16">
        <ns0:f>Q580-F580*'前提と出典'!$E$5</ns0:f>
        <ns0:v>310172.10566624545</ns0:v>
      </ns0:c>
      <ns0:c r="W580" s="7">
        <ns0:f>U580+V580</ns0:f>
        <ns0:v>1353159.6519628752</ns0:v>
      </ns0:c>
      <ns0:c r="X580" s="16">
        <ns0:f>P580-E580*'前提と出典'!$E$6</ns0:f>
        <ns0:v>898188.4659179534</ns0:v>
      </ns0:c>
      <ns0:c r="Y580" s="16">
        <ns0:f>Q580-F580*'前提と出典'!$E$6</ns0:f>
        <ns0:v>268097.1941861871</ns0:v>
      </ns0:c>
      <ns0:c r="Z580" s="7">
        <ns0:f>X580+Y580</ns0:f>
        <ns0:v>1166285.6601041406</ns0:v>
      </ns0:c>
      <ns0:c r="AA580" s="7">
        <ns0:f>IF(T580&gt;=0,A580,1001)</ns0:f>
        <ns0:v>576</ns0:v>
      </ns0:c>
      <ns0:c r="AB580" s="7">
        <ns0:f>IF(T580&lt;0,A580,0)</ns0:f>
        <ns0:v>0</ns0:v>
      </ns0:c>
      <ns0:c r="AC580" s="16">
        <ns0:f>IF(AND(OR('前提と出典'!$C$36+'前提と出典'!$C$38=0,R580&gt;=0),OR('前提と出典'!$C$37+'前提と出典'!$C$38=0,S580&gt;=0)),0,A580)</ns0:f>
        <ns0:v>0</ns0:v>
      </ns0:c>
      <ns0:c r="AD580" s="7">
        <ns0:f>IF(W580&gt;=0,A580,1001)</ns0:f>
        <ns0:v>576</ns0:v>
      </ns0:c>
      <ns0:c r="AE580" s="7">
        <ns0:f>IF(W580&lt;0,A580,0)</ns0:f>
        <ns0:v>0</ns0:v>
      </ns0:c>
      <ns0:c r="AF580" s="16">
        <ns0:f>IF(AND(OR('前提と出典'!$C$36+'前提と出典'!$C$38=0,U580&gt;=0),OR('前提と出典'!$C$37+'前提と出典'!$C$38=0,V580&gt;=0)),0,A580)</ns0:f>
        <ns0:v>0</ns0:v>
      </ns0:c>
      <ns0:c r="AG580" s="7">
        <ns0:f>IF(Z580&gt;=0,A580,1001)</ns0:f>
        <ns0:v>576</ns0:v>
      </ns0:c>
      <ns0:c r="AH580" s="4">
        <ns0:f>IF(Z580&lt;0,A580,0)</ns0:f>
        <ns0:v>0</ns0:v>
      </ns0:c>
      <ns0:c r="AI580" s="12">
        <ns0:f>IF(AND(OR('前提と出典'!$C$36+'前提と出典'!$C$38=0,X580&gt;=0),OR('前提と出典'!$C$37+'前提と出典'!$C$38=0,Y580&gt;=0)),0,A580)</ns0:f>
        <ns0:v>0</ns0:v>
      </ns0:c>
    </ns0:row>
    <ns0:row r="581" ht="24" customHeight="1">
      <ns0:c r="A581" s="4" t="n">
        <ns0:v>577</ns0:v>
      </ns0:c>
      <ns0:c r="B581" s="12">
        <ns0:f>A581*('前提と出典'!$C$36+'前提と出典'!$C$38)</ns0:f>
        <ns0:v>403.9</ns0:v>
      </ns0:c>
      <ns0:c r="C581" s="12">
        <ns0:f>A581*('前提と出典'!$C$37+'前提と出典'!$C$38)</ns0:f>
        <ns0:v>346.2</ns0:v>
      </ns0:c>
      <ns0:c r="D581" s="16">
        <ns0:f>A581*('前提と出典'!$C$36*'契約別単価'!C5+'前提と出典'!$C$37*'契約別単価'!C6+'前提と出典'!$C$38*'契約別単価'!C7)</ns0:f>
        <ns0:v>4151.82122905028</ns0:v>
      </ns0:c>
      <ns0:c r="E581" s="16">
        <ns0:f>A581*('前提と出典'!$C$36*'契約別単価'!E5+'前提と出典'!$C$37*'契約別単価'!E6+'前提と出典'!$C$38*'契約別単価'!E7)</ns0:f>
        <ns0:v>1450504.676710007</ns0:v>
      </ns0:c>
      <ns0:c r="F581" s="16">
        <ns0:f>A581*('前提と出典'!$C$36*'契約別単価'!F5+'前提と出典'!$C$37*'契約別単価'!F6+'前提と出典'!$C$38*'契約別単価'!F7)</ns0:f>
        <ns0:v>421479.5820137794</ns0:v>
      </ns0:c>
      <ns0:c r="G581" s="16">
        <ns0:f>A581*('前提と出典'!$C$36*'契約別単価'!G5+'前提と出典'!$C$37*'契約別単価'!G6+'前提と出典'!$C$38*'契約別単価'!G7)</ns0:f>
        <ns0:v>1148520.1117318436</ns0:v>
      </ns0:c>
      <ns0:c r="H581" s="16">
        <ns0:f>A581*('前提と出典'!$C$36*'契約別単価'!H5+'前提と出典'!$C$37*'契約別単価'!H6+'前提と出典'!$C$38*'契約別単価'!H7)</ns0:f>
        <ns0:v>398594.0815810897</ns0:v>
      </ns0:c>
      <ns0:c r="I581" s="16">
        <ns0:f>A581*('前提と出典'!$C$36*'契約別単価'!I5+'前提と出典'!$C$37*'契約別単価'!I6+'前提と出典'!$C$38*'契約別単価'!I7)</ns0:f>
        <ns0:v>24346.821229050274</ns0:v>
      </ns0:c>
      <ns0:c r="J581" s="16">
        <ns0:f>A581*('前提と出典'!$C$36*'契約別単価'!J5+'前提と出典'!$C$37*'契約別単価'!J6+'前提と出典'!$C$38*'契約別単価'!J7)</ns0:f>
        <ns0:v>56713.06672084458</ns0:v>
      </ns0:c>
      <ns0:c r="K581" s="16">
        <ns0:f>A581*('前提と出典'!$C$36*'契約別単価'!K5+'前提と出典'!$C$37*'契約別単価'!K6+'前提と出典'!$C$38*'契約別単価'!K7)</ns0:f>
        <ns0:v>243092.14152700183</ns0:v>
      </ns0:c>
      <ns0:c r="L581" s="16">
        <ns0:f>A581*('前提と出典'!$C$36*'契約別単価'!L5+'前提と出典'!$C$37*'契約別単価'!L6+'前提と出典'!$C$38*'契約別単価'!L7)</ns0:f>
        <ns0:v>197926.4693860363</ns0:v>
      </ns0:c>
      <ns0:c r="M581" s="16">
        <ns0:f>IF(('前提と出典'!$C$36+'前提と出典'!$C$38)=0,0,IF(B581&lt;=10,'前提と出典'!B73+'前提と出典'!C73,IF(B581&lt;=100,'前提と出典'!B74+'前提と出典'!C74,IF(B581&lt;=500,'前提と出典'!B75+'前提と出典'!C75,'前提と出典'!B76+'前提と出典'!C76))))</ns0:f>
        <ns0:v>40000</ns0:v>
      </ns0:c>
      <ns0:c r="N581" s="16">
        <ns0:f>IF(('前提と出典'!$C$37+'前提と出典'!$C$38)=0,0,IF(C581&lt;=10,'前提と出典'!D73+'前提と出典'!E73,IF(C581&lt;=100,'前提と出典'!D74+'前提と出典'!E74,IF(C581&lt;=500,'前提と出典'!D75+'前提と出典'!E75,'前提と出典'!D76+'前提と出典'!E76))))</ns0:f>
        <ns0:v>56510.9346263078</ns0:v>
      </ns0:c>
      <ns0:c r="O581" s="16">
        <ns0:f>IF('前提と出典'!$C$36+'前提と出典'!$C$38=0,0,'前提と出典'!$B$4*IF('前提と出典'!$B$20=0,MAX('前提と出典'!$B$6,D581*'前提と出典'!$B$5),'前提と出典'!$B$6+D581*'前提と出典'!$B$5))</ns0:f>
        <ns0:v>572951.3296089387</ns0:v>
      </ns0:c>
      <ns0:c r="P581" s="16">
        <ns0:f>(E581+G581)*(1-'前提と出典'!$B$7)-I581-K581-M581-O581</ns0:f>
        <ns0:v>1625069.6036929535</ns0:v>
      </ns0:c>
      <ns0:c r="Q581" s="16">
        <ns0:f>(F581+H581)*(1-'前提と出典'!$B$7)-J581-L581-N581</ns0:f>
        <ns0:v>479400.54097226507</ns0:v>
      </ns0:c>
      <ns0:c r="R581" s="16">
        <ns0:f>P581-E581*'前提と出典'!$E$4</ns0:f>
        <ns0:v>1189918.2006799516</ns0:v>
      </ns0:c>
      <ns0:c r="S581" s="16">
        <ns0:f>Q581-F581*'前提と出典'!$E$4</ns0:f>
        <ns0:v>352956.6663681314</ns0:v>
      </ns0:c>
      <ns0:c r="T581" s="7">
        <ns0:f>R581+S581</ns0:f>
        <ns0:v>1542874.8670480829</ns0:v>
      </ns0:c>
      <ns0:c r="U581" s="16">
        <ns0:f>P581-E581*'前提と出典'!$E$5</ns0:f>
        <ns0:v>1044867.7330089507</ns0:v>
      </ns0:c>
      <ns0:c r="V581" s="16">
        <ns0:f>Q581-F581*'前提と出典'!$E$5</ns0:f>
        <ns0:v>310808.7081667533</ns0:v>
      </ns0:c>
      <ns0:c r="W581" s="7">
        <ns0:f>U581+V581</ns0:f>
        <ns0:v>1355676.441175704</ns0:v>
      </ns0:c>
      <ns0:c r="X581" s="16">
        <ns0:f>P581-E581*'前提と出典'!$E$6</ns0:f>
        <ns0:v>899817.2653379503</ns0:v>
      </ns0:c>
      <ns0:c r="Y581" s="16">
        <ns0:f>Q581-F581*'前提と出典'!$E$6</ns0:f>
        <ns0:v>268660.7499653754</ns0:v>
      </ns0:c>
      <ns0:c r="Z581" s="7">
        <ns0:f>X581+Y581</ns0:f>
        <ns0:v>1168478.0153033258</ns0:v>
      </ns0:c>
      <ns0:c r="AA581" s="7">
        <ns0:f>IF(T581&gt;=0,A581,1001)</ns0:f>
        <ns0:v>577</ns0:v>
      </ns0:c>
      <ns0:c r="AB581" s="7">
        <ns0:f>IF(T581&lt;0,A581,0)</ns0:f>
        <ns0:v>0</ns0:v>
      </ns0:c>
      <ns0:c r="AC581" s="16">
        <ns0:f>IF(AND(OR('前提と出典'!$C$36+'前提と出典'!$C$38=0,R581&gt;=0),OR('前提と出典'!$C$37+'前提と出典'!$C$38=0,S581&gt;=0)),0,A581)</ns0:f>
        <ns0:v>0</ns0:v>
      </ns0:c>
      <ns0:c r="AD581" s="7">
        <ns0:f>IF(W581&gt;=0,A581,1001)</ns0:f>
        <ns0:v>577</ns0:v>
      </ns0:c>
      <ns0:c r="AE581" s="7">
        <ns0:f>IF(W581&lt;0,A581,0)</ns0:f>
        <ns0:v>0</ns0:v>
      </ns0:c>
      <ns0:c r="AF581" s="16">
        <ns0:f>IF(AND(OR('前提と出典'!$C$36+'前提と出典'!$C$38=0,U581&gt;=0),OR('前提と出典'!$C$37+'前提と出典'!$C$38=0,V581&gt;=0)),0,A581)</ns0:f>
        <ns0:v>0</ns0:v>
      </ns0:c>
      <ns0:c r="AG581" s="7">
        <ns0:f>IF(Z581&gt;=0,A581,1001)</ns0:f>
        <ns0:v>577</ns0:v>
      </ns0:c>
      <ns0:c r="AH581" s="4">
        <ns0:f>IF(Z581&lt;0,A581,0)</ns0:f>
        <ns0:v>0</ns0:v>
      </ns0:c>
      <ns0:c r="AI581" s="12">
        <ns0:f>IF(AND(OR('前提と出典'!$C$36+'前提と出典'!$C$38=0,X581&gt;=0),OR('前提と出典'!$C$37+'前提と出典'!$C$38=0,Y581&gt;=0)),0,A581)</ns0:f>
        <ns0:v>0</ns0:v>
      </ns0:c>
    </ns0:row>
    <ns0:row r="582" ht="24" customHeight="1">
      <ns0:c r="A582" s="4" t="n">
        <ns0:v>578</ns0:v>
      </ns0:c>
      <ns0:c r="B582" s="12">
        <ns0:f>A582*('前提と出典'!$C$36+'前提と出典'!$C$38)</ns0:f>
        <ns0:v>404.59999999999997</ns0:v>
      </ns0:c>
      <ns0:c r="C582" s="12">
        <ns0:f>A582*('前提と出典'!$C$37+'前提と出典'!$C$38)</ns0:f>
        <ns0:v>346.8</ns0:v>
      </ns0:c>
      <ns0:c r="D582" s="16">
        <ns0:f>A582*('前提と出典'!$C$36*'契約別単価'!C5+'前提と出典'!$C$37*'契約別単価'!C6+'前提と出典'!$C$38*'契約別単価'!C7)</ns0:f>
        <ns0:v>4159.016759776537</ns0:v>
      </ns0:c>
      <ns0:c r="E582" s="16">
        <ns0:f>A582*('前提と出典'!$C$36*'契約別単価'!E5+'前提と出典'!$C$37*'契約別単価'!E6+'前提と出典'!$C$38*'契約別単価'!E7)</ns0:f>
        <ns0:v>1453018.5496332478</ns0:v>
      </ns0:c>
      <ns0:c r="F582" s="16">
        <ns0:f>A582*('前提と出典'!$C$36*'契約別単価'!F5+'前提と出典'!$C$37*'契約別単価'!F6+'前提と出典'!$C$38*'契約別単価'!F7)</ns0:f>
        <ns0:v>422210.04922697484</ns0:v>
      </ns0:c>
      <ns0:c r="G582" s="16">
        <ns0:f>A582*('前提と出典'!$C$36*'契約別単価'!G5+'前提と出典'!$C$37*'契約別単価'!G6+'前提と出典'!$C$38*'契約別単価'!G7)</ns0:f>
        <ns0:v>1150510.6145251396</ns0:v>
      </ns0:c>
      <ns0:c r="H582" s="16">
        <ns0:f>A582*('前提と出典'!$C$36*'契約別単価'!H5+'前提と出典'!$C$37*'契約別単価'!H6+'前提と出典'!$C$38*'契約別単価'!H7)</ns0:f>
        <ns0:v>399284.8858819235</ns0:v>
      </ns0:c>
      <ns0:c r="I582" s="16">
        <ns0:f>A582*('前提と出典'!$C$36*'契約別単価'!I5+'前提と出典'!$C$37*'契約別単価'!I6+'前提と出典'!$C$38*'契約別単価'!I7)</ns0:f>
        <ns0:v>24389.016759776532</ns0:v>
      </ns0:c>
      <ns0:c r="J582" s="16">
        <ns0:f>A582*('前提と出典'!$C$36*'契約別単価'!J5+'前提と出典'!$C$37*'契約別単価'!J6+'前提と出典'!$C$38*'契約別単価'!J7)</ns0:f>
        <ns0:v>56811.35626455488</ns0:v>
      </ns0:c>
      <ns0:c r="K582" s="16">
        <ns0:f>A582*('前提と出典'!$C$36*'契約別単価'!K5+'前提と出典'!$C$37*'契約別単価'!K6+'前提と出典'!$C$38*'契約別単価'!K7)</ns0:f>
        <ns0:v>243513.4450651769</ns0:v>
      </ns0:c>
      <ns0:c r="L582" s="16">
        <ns0:f>A582*('前提と出典'!$C$36*'契約別単価'!L5+'前提と出典'!$C$37*'契約別単価'!L6+'前提と出典'!$C$38*'契約別単価'!L7)</ns0:f>
        <ns0:v>198269.4961960641</ns0:v>
      </ns0:c>
      <ns0:c r="M582" s="16">
        <ns0:f>IF(('前提と出典'!$C$36+'前提と出典'!$C$38)=0,0,IF(B582&lt;=10,'前提と出典'!B73+'前提と出典'!C73,IF(B582&lt;=100,'前提と出典'!B74+'前提と出典'!C74,IF(B582&lt;=500,'前提と出典'!B75+'前提と出典'!C75,'前提と出典'!B76+'前提と出典'!C76))))</ns0:f>
        <ns0:v>40000</ns0:v>
      </ns0:c>
      <ns0:c r="N582" s="16">
        <ns0:f>IF(('前提と出典'!$C$37+'前提と出典'!$C$38)=0,0,IF(C582&lt;=10,'前提と出典'!D73+'前提と出典'!E73,IF(C582&lt;=100,'前提と出典'!D74+'前提と出典'!E74,IF(C582&lt;=500,'前提と出典'!D75+'前提と出典'!E75,'前提と出典'!D76+'前提と出典'!E76))))</ns0:f>
        <ns0:v>56510.9346263078</ns0:v>
      </ns0:c>
      <ns0:c r="O582" s="16">
        <ns0:f>IF('前提と出典'!$C$36+'前提と出典'!$C$38=0,0,'前提と出典'!$B$4*IF('前提と出典'!$B$20=0,MAX('前提と出典'!$B$6,D582*'前提と出典'!$B$5),'前提と出典'!$B$6+D582*'前提と出典'!$B$5))</ns0:f>
        <ns0:v>573944.3128491621</ns0:v>
      </ns0:c>
      <ns0:c r="P582" s="16">
        <ns0:f>(E582+G582)*(1-'前提と出典'!$B$7)-I582-K582-M582-O582</ns0:f>
        <ns0:v>1627955.3395745696</ns0:v>
      </ns0:c>
      <ns0:c r="Q582" s="16">
        <ns0:f>(F582+H582)*(1-'前提と出典'!$B$7)-J582-L582-N582</ns0:f>
        <ns0:v>480329.3303580511</ns0:v>
      </ns0:c>
      <ns0:c r="R582" s="16">
        <ns0:f>P582-E582*'前提と出典'!$E$4</ns0:f>
        <ns0:v>1192049.7746845952</ns0:v>
      </ns0:c>
      <ns0:c r="S582" s="16">
        <ns0:f>Q582-F582*'前提と出典'!$E$4</ns0:f>
        <ns0:v>353666.31558995874</ns0:v>
      </ns0:c>
      <ns0:c r="T582" s="7">
        <ns0:f>R582+S582</ns0:f>
        <ns0:v>1545716.090274554</ns0:v>
      </ns0:c>
      <ns0:c r="U582" s="16">
        <ns0:f>P582-E582*'前提と出典'!$E$5</ns0:f>
        <ns0:v>1046747.9197212704</ns0:v>
      </ns0:c>
      <ns0:c r="V582" s="16">
        <ns0:f>Q582-F582*'前提と出典'!$E$5</ns0:f>
        <ns0:v>311445.3106672612</ns0:v>
      </ns0:c>
      <ns0:c r="W582" s="7">
        <ns0:f>U582+V582</ns0:f>
        <ns0:v>1358193.2303885317</ns0:v>
      </ns0:c>
      <ns0:c r="X582" s="16">
        <ns0:f>P582-E582*'前提と出典'!$E$6</ns0:f>
        <ns0:v>901446.0647579457</ns0:v>
      </ns0:c>
      <ns0:c r="Y582" s="16">
        <ns0:f>Q582-F582*'前提と出典'!$E$6</ns0:f>
        <ns0:v>269224.30574456375</ns0:v>
      </ns0:c>
      <ns0:c r="Z582" s="7">
        <ns0:f>X582+Y582</ns0:f>
        <ns0:v>1170670.3705025094</ns0:v>
      </ns0:c>
      <ns0:c r="AA582" s="7">
        <ns0:f>IF(T582&gt;=0,A582,1001)</ns0:f>
        <ns0:v>578</ns0:v>
      </ns0:c>
      <ns0:c r="AB582" s="7">
        <ns0:f>IF(T582&lt;0,A582,0)</ns0:f>
        <ns0:v>0</ns0:v>
      </ns0:c>
      <ns0:c r="AC582" s="16">
        <ns0:f>IF(AND(OR('前提と出典'!$C$36+'前提と出典'!$C$38=0,R582&gt;=0),OR('前提と出典'!$C$37+'前提と出典'!$C$38=0,S582&gt;=0)),0,A582)</ns0:f>
        <ns0:v>0</ns0:v>
      </ns0:c>
      <ns0:c r="AD582" s="7">
        <ns0:f>IF(W582&gt;=0,A582,1001)</ns0:f>
        <ns0:v>578</ns0:v>
      </ns0:c>
      <ns0:c r="AE582" s="7">
        <ns0:f>IF(W582&lt;0,A582,0)</ns0:f>
        <ns0:v>0</ns0:v>
      </ns0:c>
      <ns0:c r="AF582" s="16">
        <ns0:f>IF(AND(OR('前提と出典'!$C$36+'前提と出典'!$C$38=0,U582&gt;=0),OR('前提と出典'!$C$37+'前提と出典'!$C$38=0,V582&gt;=0)),0,A582)</ns0:f>
        <ns0:v>0</ns0:v>
      </ns0:c>
      <ns0:c r="AG582" s="7">
        <ns0:f>IF(Z582&gt;=0,A582,1001)</ns0:f>
        <ns0:v>578</ns0:v>
      </ns0:c>
      <ns0:c r="AH582" s="4">
        <ns0:f>IF(Z582&lt;0,A582,0)</ns0:f>
        <ns0:v>0</ns0:v>
      </ns0:c>
      <ns0:c r="AI582" s="12">
        <ns0:f>IF(AND(OR('前提と出典'!$C$36+'前提と出典'!$C$38=0,X582&gt;=0),OR('前提と出典'!$C$37+'前提と出典'!$C$38=0,Y582&gt;=0)),0,A582)</ns0:f>
        <ns0:v>0</ns0:v>
      </ns0:c>
    </ns0:row>
    <ns0:row r="583" ht="24" customHeight="1">
      <ns0:c r="A583" s="4" t="n">
        <ns0:v>579</ns0:v>
      </ns0:c>
      <ns0:c r="B583" s="12">
        <ns0:f>A583*('前提と出典'!$C$36+'前提と出典'!$C$38)</ns0:f>
        <ns0:v>405.29999999999995</ns0:v>
      </ns0:c>
      <ns0:c r="C583" s="12">
        <ns0:f>A583*('前提と出典'!$C$37+'前提と出典'!$C$38)</ns0:f>
        <ns0:v>347.4</ns0:v>
      </ns0:c>
      <ns0:c r="D583" s="16">
        <ns0:f>A583*('前提と出典'!$C$36*'契約別単価'!C5+'前提と出典'!$C$37*'契約別単価'!C6+'前提と出典'!$C$38*'契約別単価'!C7)</ns0:f>
        <ns0:v>4166.212290502794</ns0:v>
      </ns0:c>
      <ns0:c r="E583" s="16">
        <ns0:f>A583*('前提と出典'!$C$36*'契約別単価'!E5+'前提と出典'!$C$37*'契約別単価'!E6+'前提と出典'!$C$38*'契約別単価'!E7)</ns0:f>
        <ns0:v>1455532.4225564888</ns0:v>
      </ns0:c>
      <ns0:c r="F583" s="16">
        <ns0:f>A583*('前提と出典'!$C$36*'契約別単価'!F5+'前提と出典'!$C$37*'契約別単価'!F6+'前提と出典'!$C$38*'契約別単価'!F7)</ns0:f>
        <ns0:v>422940.5164401703</ns0:v>
      </ns0:c>
      <ns0:c r="G583" s="16">
        <ns0:f>A583*('前提と出典'!$C$36*'契約別単価'!G5+'前提と出典'!$C$37*'契約別単価'!G6+'前提と出典'!$C$38*'契約別単価'!G7)</ns0:f>
        <ns0:v>1152501.1173184358</ns0:v>
      </ns0:c>
      <ns0:c r="H583" s="16">
        <ns0:f>A583*('前提と出典'!$C$36*'契約別単価'!H5+'前提と出典'!$C$37*'契約別単価'!H6+'前提と出典'!$C$38*'契約別単価'!H7)</ns0:f>
        <ns0:v>399975.6901827573</ns0:v>
      </ns0:c>
      <ns0:c r="I583" s="16">
        <ns0:f>A583*('前提と出典'!$C$36*'契約別単価'!I5+'前提と出典'!$C$37*'契約別単価'!I6+'前提と出典'!$C$38*'契約別単価'!I7)</ns0:f>
        <ns0:v>24431.21229050279</ns0:v>
      </ns0:c>
      <ns0:c r="J583" s="16">
        <ns0:f>A583*('前提と出典'!$C$36*'契約別単価'!J5+'前提と出典'!$C$37*'契約別単価'!J6+'前提と出典'!$C$38*'契約別単価'!J7)</ns0:f>
        <ns0:v>56909.64580826519</ns0:v>
      </ns0:c>
      <ns0:c r="K583" s="16">
        <ns0:f>A583*('前提と出典'!$C$36*'契約別単価'!K5+'前提と出典'!$C$37*'契約別単価'!K6+'前提と出典'!$C$38*'契約別単価'!K7)</ns0:f>
        <ns0:v>243934.74860335194</ns0:v>
      </ns0:c>
      <ns0:c r="L583" s="16">
        <ns0:f>A583*('前提と出典'!$C$36*'契約別単価'!L5+'前提と出典'!$C$37*'契約別単価'!L6+'前提と出典'!$C$38*'契約別単価'!L7)</ns0:f>
        <ns0:v>198612.5230060919</ns0:v>
      </ns0:c>
      <ns0:c r="M583" s="16">
        <ns0:f>IF(('前提と出典'!$C$36+'前提と出典'!$C$38)=0,0,IF(B583&lt;=10,'前提と出典'!B73+'前提と出典'!C73,IF(B583&lt;=100,'前提と出典'!B74+'前提と出典'!C74,IF(B583&lt;=500,'前提と出典'!B75+'前提と出典'!C75,'前提と出典'!B76+'前提と出典'!C76))))</ns0:f>
        <ns0:v>40000</ns0:v>
      </ns0:c>
      <ns0:c r="N583" s="16">
        <ns0:f>IF(('前提と出典'!$C$37+'前提と出典'!$C$38)=0,0,IF(C583&lt;=10,'前提と出典'!D73+'前提と出典'!E73,IF(C583&lt;=100,'前提と出典'!D74+'前提と出典'!E74,IF(C583&lt;=500,'前提と出典'!D75+'前提と出典'!E75,'前提と出典'!D76+'前提と出典'!E76))))</ns0:f>
        <ns0:v>56510.9346263078</ns0:v>
      </ns0:c>
      <ns0:c r="O583" s="16">
        <ns0:f>IF('前提と出典'!$C$36+'前提と出典'!$C$38=0,0,'前提と出典'!$B$4*IF('前提と出典'!$B$20=0,MAX('前提と出典'!$B$6,D583*'前提と出典'!$B$5),'前提と出典'!$B$6+D583*'前提と出典'!$B$5))</ns0:f>
        <ns0:v>574937.2960893855</ns0:v>
      </ns0:c>
      <ns0:c r="P583" s="16">
        <ns0:f>(E583+G583)*(1-'前提と出典'!$B$7)-I583-K583-M583-O583</ns0:f>
        <ns0:v>1630841.075456187</ns0:v>
      </ns0:c>
      <ns0:c r="Q583" s="16">
        <ns0:f>(F583+H583)*(1-'前提と出典'!$B$7)-J583-L583-N583</ns0:f>
        <ns0:v>481258.11974383733</ns0:v>
      </ns0:c>
      <ns0:c r="R583" s="16">
        <ns0:f>P583-E583*'前提と出典'!$E$4</ns0:f>
        <ns0:v>1194181.34868924</ns0:v>
      </ns0:c>
      <ns0:c r="S583" s="16">
        <ns0:f>Q583-F583*'前提と出典'!$E$4</ns0:f>
        <ns0:v>354375.9648117862</ns0:v>
      </ns0:c>
      <ns0:c r="T583" s="7">
        <ns0:f>R583+S583</ns0:f>
        <ns0:v>1548557.313501026</ns0:v>
      </ns0:c>
      <ns0:c r="U583" s="16">
        <ns0:f>P583-E583*'前提と出典'!$E$5</ns0:f>
        <ns0:v>1048628.1064335913</ns0:v>
      </ns0:c>
      <ns0:c r="V583" s="16">
        <ns0:f>Q583-F583*'前提と出典'!$E$5</ns0:f>
        <ns0:v>312081.9131677692</ns0:v>
      </ns0:c>
      <ns0:c r="W583" s="7">
        <ns0:f>U583+V583</ns0:f>
        <ns0:v>1360710.0196013604</ns0:v>
      </ns0:c>
      <ns0:c r="X583" s="16">
        <ns0:f>P583-E583*'前提と出典'!$E$6</ns0:f>
        <ns0:v>903074.8641779424</ns0:v>
      </ns0:c>
      <ns0:c r="Y583" s="16">
        <ns0:f>Q583-F583*'前提と出典'!$E$6</ns0:f>
        <ns0:v>269787.8615237521</ns0:v>
      </ns0:c>
      <ns0:c r="Z583" s="7">
        <ns0:f>X583+Y583</ns0:f>
        <ns0:v>1172862.7257016944</ns0:v>
      </ns0:c>
      <ns0:c r="AA583" s="7">
        <ns0:f>IF(T583&gt;=0,A583,1001)</ns0:f>
        <ns0:v>579</ns0:v>
      </ns0:c>
      <ns0:c r="AB583" s="7">
        <ns0:f>IF(T583&lt;0,A583,0)</ns0:f>
        <ns0:v>0</ns0:v>
      </ns0:c>
      <ns0:c r="AC583" s="16">
        <ns0:f>IF(AND(OR('前提と出典'!$C$36+'前提と出典'!$C$38=0,R583&gt;=0),OR('前提と出典'!$C$37+'前提と出典'!$C$38=0,S583&gt;=0)),0,A583)</ns0:f>
        <ns0:v>0</ns0:v>
      </ns0:c>
      <ns0:c r="AD583" s="7">
        <ns0:f>IF(W583&gt;=0,A583,1001)</ns0:f>
        <ns0:v>579</ns0:v>
      </ns0:c>
      <ns0:c r="AE583" s="7">
        <ns0:f>IF(W583&lt;0,A583,0)</ns0:f>
        <ns0:v>0</ns0:v>
      </ns0:c>
      <ns0:c r="AF583" s="16">
        <ns0:f>IF(AND(OR('前提と出典'!$C$36+'前提と出典'!$C$38=0,U583&gt;=0),OR('前提と出典'!$C$37+'前提と出典'!$C$38=0,V583&gt;=0)),0,A583)</ns0:f>
        <ns0:v>0</ns0:v>
      </ns0:c>
      <ns0:c r="AG583" s="7">
        <ns0:f>IF(Z583&gt;=0,A583,1001)</ns0:f>
        <ns0:v>579</ns0:v>
      </ns0:c>
      <ns0:c r="AH583" s="4">
        <ns0:f>IF(Z583&lt;0,A583,0)</ns0:f>
        <ns0:v>0</ns0:v>
      </ns0:c>
      <ns0:c r="AI583" s="12">
        <ns0:f>IF(AND(OR('前提と出典'!$C$36+'前提と出典'!$C$38=0,X583&gt;=0),OR('前提と出典'!$C$37+'前提と出典'!$C$38=0,Y583&gt;=0)),0,A583)</ns0:f>
        <ns0:v>0</ns0:v>
      </ns0:c>
    </ns0:row>
    <ns0:row r="584" ht="24" customHeight="1">
      <ns0:c r="A584" s="4" t="n">
        <ns0:v>580</ns0:v>
      </ns0:c>
      <ns0:c r="B584" s="12">
        <ns0:f>A584*('前提と出典'!$C$36+'前提と出典'!$C$38)</ns0:f>
        <ns0:v>406</ns0:v>
      </ns0:c>
      <ns0:c r="C584" s="12">
        <ns0:f>A584*('前提と出典'!$C$37+'前提と出典'!$C$38)</ns0:f>
        <ns0:v>348</ns0:v>
      </ns0:c>
      <ns0:c r="D584" s="16">
        <ns0:f>A584*('前提と出典'!$C$36*'契約別単価'!C5+'前提と出典'!$C$37*'契約別単価'!C6+'前提と出典'!$C$38*'契約別単価'!C7)</ns0:f>
        <ns0:v>4173.407821229051</ns0:v>
      </ns0:c>
      <ns0:c r="E584" s="16">
        <ns0:f>A584*('前提と出典'!$C$36*'契約別単価'!E5+'前提と出典'!$C$37*'契約別単価'!E6+'前提と出典'!$C$38*'契約別単価'!E7)</ns0:f>
        <ns0:v>1458046.2954797298</ns0:v>
      </ns0:c>
      <ns0:c r="F584" s="16">
        <ns0:f>A584*('前提と出典'!$C$36*'契約別単価'!F5+'前提と出典'!$C$37*'契約別単価'!F6+'前提と出典'!$C$38*'契約別単価'!F7)</ns0:f>
        <ns0:v>423670.98365336575</ns0:v>
      </ns0:c>
      <ns0:c r="G584" s="16">
        <ns0:f>A584*('前提と出典'!$C$36*'契約別単価'!G5+'前提と出典'!$C$37*'契約別単価'!G6+'前提と出典'!$C$38*'契約別単価'!G7)</ns0:f>
        <ns0:v>1154491.6201117318</ns0:v>
      </ns0:c>
      <ns0:c r="H584" s="16">
        <ns0:f>A584*('前提と出典'!$C$36*'契約別単価'!H5+'前提と出典'!$C$37*'契約別単価'!H6+'前提と出典'!$C$38*'契約別単価'!H7)</ns0:f>
        <ns0:v>400666.49448359106</ns0:v>
      </ns0:c>
      <ns0:c r="I584" s="16">
        <ns0:f>A584*('前提と出典'!$C$36*'契約別単価'!I5+'前提と出典'!$C$37*'契約別単価'!I6+'前提と出典'!$C$38*'契約別単価'!I7)</ns0:f>
        <ns0:v>24473.407821229048</ns0:v>
      </ns0:c>
      <ns0:c r="J584" s="16">
        <ns0:f>A584*('前提と出典'!$C$36*'契約別単価'!J5+'前提と出典'!$C$37*'契約別単価'!J6+'前提と出典'!$C$38*'契約別単価'!J7)</ns0:f>
        <ns0:v>57007.93535197549</ns0:v>
      </ns0:c>
      <ns0:c r="K584" s="16">
        <ns0:f>A584*('前提と出典'!$C$36*'契約別単価'!K5+'前提と出典'!$C$37*'契約別単価'!K6+'前提と出典'!$C$38*'契約別単価'!K7)</ns0:f>
        <ns0:v>244356.05214152698</ns0:v>
      </ns0:c>
      <ns0:c r="L584" s="16">
        <ns0:f>A584*('前提と出典'!$C$36*'契約別単価'!L5+'前提と出典'!$C$37*'契約別単価'!L6+'前提と出典'!$C$38*'契約別単価'!L7)</ns0:f>
        <ns0:v>198955.5498161197</ns0:v>
      </ns0:c>
      <ns0:c r="M584" s="16">
        <ns0:f>IF(('前提と出典'!$C$36+'前提と出典'!$C$38)=0,0,IF(B584&lt;=10,'前提と出典'!B73+'前提と出典'!C73,IF(B584&lt;=100,'前提と出典'!B74+'前提と出典'!C74,IF(B584&lt;=500,'前提と出典'!B75+'前提と出典'!C75,'前提と出典'!B76+'前提と出典'!C76))))</ns0:f>
        <ns0:v>40000</ns0:v>
      </ns0:c>
      <ns0:c r="N584" s="16">
        <ns0:f>IF(('前提と出典'!$C$37+'前提と出典'!$C$38)=0,0,IF(C584&lt;=10,'前提と出典'!D73+'前提と出典'!E73,IF(C584&lt;=100,'前提と出典'!D74+'前提と出典'!E74,IF(C584&lt;=500,'前提と出典'!D75+'前提と出典'!E75,'前提と出典'!D76+'前提と出典'!E76))))</ns0:f>
        <ns0:v>56510.9346263078</ns0:v>
      </ns0:c>
      <ns0:c r="O584" s="16">
        <ns0:f>IF('前提と出典'!$C$36+'前提と出典'!$C$38=0,0,'前提と出典'!$B$4*IF('前提と出典'!$B$20=0,MAX('前提と出典'!$B$6,D584*'前提と出典'!$B$5),'前提と出典'!$B$6+D584*'前提と出典'!$B$5))</ns0:f>
        <ns0:v>575930.279329609</ns0:v>
      </ns0:c>
      <ns0:c r="P584" s="16">
        <ns0:f>(E584+G584)*(1-'前提と出典'!$B$7)-I584-K584-M584-O584</ns0:f>
        <ns0:v>1633726.8113378042</ns0:v>
      </ns0:c>
      <ns0:c r="Q584" s="16">
        <ns0:f>(F584+H584)*(1-'前提と出典'!$B$7)-J584-L584-N584</ns0:f>
        <ns0:v>482186.9091296233</ns0:v>
      </ns0:c>
      <ns0:c r="R584" s="16">
        <ns0:f>P584-E584*'前提と出典'!$E$4</ns0:f>
        <ns0:v>1196312.922693885</ns0:v>
      </ns0:c>
      <ns0:c r="S584" s="16">
        <ns0:f>Q584-F584*'前提と出典'!$E$4</ns0:f>
        <ns0:v>355085.6140336136</ns0:v>
      </ns0:c>
      <ns0:c r="T584" s="7">
        <ns0:f>R584+S584</ns0:f>
        <ns0:v>1551398.5367274985</ns0:v>
      </ns0:c>
      <ns0:c r="U584" s="16">
        <ns0:f>P584-E584*'前提と出典'!$E$5</ns0:f>
        <ns0:v>1050508.2931459122</ns0:v>
      </ns0:c>
      <ns0:c r="V584" s="16">
        <ns0:f>Q584-F584*'前提と出典'!$E$5</ns0:f>
        <ns0:v>312718.51566827705</ns0:v>
      </ns0:c>
      <ns0:c r="W584" s="7">
        <ns0:f>U584+V584</ns0:f>
        <ns0:v>1363226.8088141894</ns0:v>
      </ns0:c>
      <ns0:c r="X584" s="16">
        <ns0:f>P584-E584*'前提と出典'!$E$6</ns0:f>
        <ns0:v>904703.6635979392</ns0:v>
      </ns0:c>
      <ns0:c r="Y584" s="16">
        <ns0:f>Q584-F584*'前提と出典'!$E$6</ns0:f>
        <ns0:v>270351.4173029404</ns0:v>
      </ns0:c>
      <ns0:c r="Z584" s="7">
        <ns0:f>X584+Y584</ns0:f>
        <ns0:v>1175055.0809008796</ns0:v>
      </ns0:c>
      <ns0:c r="AA584" s="7">
        <ns0:f>IF(T584&gt;=0,A584,1001)</ns0:f>
        <ns0:v>580</ns0:v>
      </ns0:c>
      <ns0:c r="AB584" s="7">
        <ns0:f>IF(T584&lt;0,A584,0)</ns0:f>
        <ns0:v>0</ns0:v>
      </ns0:c>
      <ns0:c r="AC584" s="16">
        <ns0:f>IF(AND(OR('前提と出典'!$C$36+'前提と出典'!$C$38=0,R584&gt;=0),OR('前提と出典'!$C$37+'前提と出典'!$C$38=0,S584&gt;=0)),0,A584)</ns0:f>
        <ns0:v>0</ns0:v>
      </ns0:c>
      <ns0:c r="AD584" s="7">
        <ns0:f>IF(W584&gt;=0,A584,1001)</ns0:f>
        <ns0:v>580</ns0:v>
      </ns0:c>
      <ns0:c r="AE584" s="7">
        <ns0:f>IF(W584&lt;0,A584,0)</ns0:f>
        <ns0:v>0</ns0:v>
      </ns0:c>
      <ns0:c r="AF584" s="16">
        <ns0:f>IF(AND(OR('前提と出典'!$C$36+'前提と出典'!$C$38=0,U584&gt;=0),OR('前提と出典'!$C$37+'前提と出典'!$C$38=0,V584&gt;=0)),0,A584)</ns0:f>
        <ns0:v>0</ns0:v>
      </ns0:c>
      <ns0:c r="AG584" s="7">
        <ns0:f>IF(Z584&gt;=0,A584,1001)</ns0:f>
        <ns0:v>580</ns0:v>
      </ns0:c>
      <ns0:c r="AH584" s="4">
        <ns0:f>IF(Z584&lt;0,A584,0)</ns0:f>
        <ns0:v>0</ns0:v>
      </ns0:c>
      <ns0:c r="AI584" s="12">
        <ns0:f>IF(AND(OR('前提と出典'!$C$36+'前提と出典'!$C$38=0,X584&gt;=0),OR('前提と出典'!$C$37+'前提と出典'!$C$38=0,Y584&gt;=0)),0,A584)</ns0:f>
        <ns0:v>0</ns0:v>
      </ns0:c>
    </ns0:row>
    <ns0:row r="585" ht="24" customHeight="1">
      <ns0:c r="A585" s="4" t="n">
        <ns0:v>581</ns0:v>
      </ns0:c>
      <ns0:c r="B585" s="12">
        <ns0:f>A585*('前提と出典'!$C$36+'前提と出典'!$C$38)</ns0:f>
        <ns0:v>406.7</ns0:v>
      </ns0:c>
      <ns0:c r="C585" s="12">
        <ns0:f>A585*('前提と出典'!$C$37+'前提と出典'!$C$38)</ns0:f>
        <ns0:v>348.59999999999997</ns0:v>
      </ns0:c>
      <ns0:c r="D585" s="16">
        <ns0:f>A585*('前提と出典'!$C$36*'契約別単価'!C5+'前提と出典'!$C$37*'契約別単価'!C6+'前提と出典'!$C$38*'契約別単価'!C7)</ns0:f>
        <ns0:v>4180.6033519553075</ns0:v>
      </ns0:c>
      <ns0:c r="E585" s="16">
        <ns0:f>A585*('前提と出典'!$C$36*'契約別単価'!E5+'前提と出典'!$C$37*'契約別単価'!E6+'前提と出典'!$C$38*'契約別単価'!E7)</ns0:f>
        <ns0:v>1460560.1684029705</ns0:v>
      </ns0:c>
      <ns0:c r="F585" s="16">
        <ns0:f>A585*('前提と出典'!$C$36*'契約別単価'!F5+'前提と出典'!$C$37*'契約別単価'!F6+'前提と出典'!$C$38*'契約別単価'!F7)</ns0:f>
        <ns0:v>424401.4508665612</ns0:v>
      </ns0:c>
      <ns0:c r="G585" s="16">
        <ns0:f>A585*('前提と出典'!$C$36*'契約別単価'!G5+'前提と出典'!$C$37*'契約別単価'!G6+'前提と出典'!$C$38*'契約別単価'!G7)</ns0:f>
        <ns0:v>1156482.1229050278</ns0:v>
      </ns0:c>
      <ns0:c r="H585" s="16">
        <ns0:f>A585*('前提と出典'!$C$36*'契約別単価'!H5+'前提と出典'!$C$37*'契約別単価'!H6+'前提と出典'!$C$38*'契約別単価'!H7)</ns0:f>
        <ns0:v>401357.29878442484</ns0:v>
      </ns0:c>
      <ns0:c r="I585" s="16">
        <ns0:f>A585*('前提と出典'!$C$36*'契約別単価'!I5+'前提と出典'!$C$37*'契約別単価'!I6+'前提と出典'!$C$38*'契約別単価'!I7)</ns0:f>
        <ns0:v>24515.603351955302</ns0:v>
      </ns0:c>
      <ns0:c r="J585" s="16">
        <ns0:f>A585*('前提と出典'!$C$36*'契約別単価'!J5+'前提と出典'!$C$37*'契約別単価'!J6+'前提と出典'!$C$38*'契約別単価'!J7)</ns0:f>
        <ns0:v>57106.224895685795</ns0:v>
      </ns0:c>
      <ns0:c r="K585" s="16">
        <ns0:f>A585*('前提と出典'!$C$36*'契約別単価'!K5+'前提と出典'!$C$37*'契約別単価'!K6+'前提と出典'!$C$38*'契約別単価'!K7)</ns0:f>
        <ns0:v>244777.35567970204</ns0:v>
      </ns0:c>
      <ns0:c r="L585" s="16">
        <ns0:f>A585*('前提と出典'!$C$36*'契約別単価'!L5+'前提と出典'!$C$37*'契約別単価'!L6+'前提と出典'!$C$38*'契約別単価'!L7)</ns0:f>
        <ns0:v>199298.5766261475</ns0:v>
      </ns0:c>
      <ns0:c r="M585" s="16">
        <ns0:f>IF(('前提と出典'!$C$36+'前提と出典'!$C$38)=0,0,IF(B585&lt;=10,'前提と出典'!B73+'前提と出典'!C73,IF(B585&lt;=100,'前提と出典'!B74+'前提と出典'!C74,IF(B585&lt;=500,'前提と出典'!B75+'前提と出典'!C75,'前提と出典'!B76+'前提と出典'!C76))))</ns0:f>
        <ns0:v>40000</ns0:v>
      </ns0:c>
      <ns0:c r="N585" s="16">
        <ns0:f>IF(('前提と出典'!$C$37+'前提と出典'!$C$38)=0,0,IF(C585&lt;=10,'前提と出典'!D73+'前提と出典'!E73,IF(C585&lt;=100,'前提と出典'!D74+'前提と出典'!E74,IF(C585&lt;=500,'前提と出典'!D75+'前提と出典'!E75,'前提と出典'!D76+'前提と出典'!E76))))</ns0:f>
        <ns0:v>56510.9346263078</ns0:v>
      </ns0:c>
      <ns0:c r="O585" s="16">
        <ns0:f>IF('前提と出典'!$C$36+'前提と出典'!$C$38=0,0,'前提と出典'!$B$4*IF('前提と出典'!$B$20=0,MAX('前提と出典'!$B$6,D585*'前提と出典'!$B$5),'前提と出典'!$B$6+D585*'前提と出典'!$B$5))</ns0:f>
        <ns0:v>576923.2625698325</ns0:v>
      </ns0:c>
      <ns0:c r="P585" s="16">
        <ns0:f>(E585+G585)*(1-'前提と出典'!$B$7)-I585-K585-M585-O585</ns0:f>
        <ns0:v>1636612.5472194208</ns0:v>
      </ns0:c>
      <ns0:c r="Q585" s="16">
        <ns0:f>(F585+H585)*(1-'前提と出典'!$B$7)-J585-L585-N585</ns0:f>
        <ns0:v>483115.6985154095</ns0:v>
      </ns0:c>
      <ns0:c r="R585" s="16">
        <ns0:f>P585-E585*'前提と出典'!$E$4</ns0:f>
        <ns0:v>1198444.4966985295</ns0:v>
      </ns0:c>
      <ns0:c r="S585" s="16">
        <ns0:f>Q585-F585*'前提と出典'!$E$4</ns0:f>
        <ns0:v>355795.2632554411</ns0:v>
      </ns0:c>
      <ns0:c r="T585" s="7">
        <ns0:f>R585+S585</ns0:f>
        <ns0:v>1554239.7599539706</ns0:v>
      </ns0:c>
      <ns0:c r="U585" s="16">
        <ns0:f>P585-E585*'前提と出典'!$E$5</ns0:f>
        <ns0:v>1052388.4798582327</ns0:v>
      </ns0:c>
      <ns0:c r="V585" s="16">
        <ns0:f>Q585-F585*'前提と出典'!$E$5</ns0:f>
        <ns0:v>313355.118168785</ns0:v>
      </ns0:c>
      <ns0:c r="W585" s="7">
        <ns0:f>U585+V585</ns0:f>
        <ns0:v>1365743.5980270177</ns0:v>
      </ns0:c>
      <ns0:c r="X585" s="16">
        <ns0:f>P585-E585*'前提と出典'!$E$6</ns0:f>
        <ns0:v>906332.4630179353</ns0:v>
      </ns0:c>
      <ns0:c r="Y585" s="16">
        <ns0:f>Q585-F585*'前提と出典'!$E$6</ns0:f>
        <ns0:v>270914.9730821289</ns0:v>
      </ns0:c>
      <ns0:c r="Z585" s="7">
        <ns0:f>X585+Y585</ns0:f>
        <ns0:v>1177247.4361000643</ns0:v>
      </ns0:c>
      <ns0:c r="AA585" s="7">
        <ns0:f>IF(T585&gt;=0,A585,1001)</ns0:f>
        <ns0:v>581</ns0:v>
      </ns0:c>
      <ns0:c r="AB585" s="7">
        <ns0:f>IF(T585&lt;0,A585,0)</ns0:f>
        <ns0:v>0</ns0:v>
      </ns0:c>
      <ns0:c r="AC585" s="16">
        <ns0:f>IF(AND(OR('前提と出典'!$C$36+'前提と出典'!$C$38=0,R585&gt;=0),OR('前提と出典'!$C$37+'前提と出典'!$C$38=0,S585&gt;=0)),0,A585)</ns0:f>
        <ns0:v>0</ns0:v>
      </ns0:c>
      <ns0:c r="AD585" s="7">
        <ns0:f>IF(W585&gt;=0,A585,1001)</ns0:f>
        <ns0:v>581</ns0:v>
      </ns0:c>
      <ns0:c r="AE585" s="7">
        <ns0:f>IF(W585&lt;0,A585,0)</ns0:f>
        <ns0:v>0</ns0:v>
      </ns0:c>
      <ns0:c r="AF585" s="16">
        <ns0:f>IF(AND(OR('前提と出典'!$C$36+'前提と出典'!$C$38=0,U585&gt;=0),OR('前提と出典'!$C$37+'前提と出典'!$C$38=0,V585&gt;=0)),0,A585)</ns0:f>
        <ns0:v>0</ns0:v>
      </ns0:c>
      <ns0:c r="AG585" s="7">
        <ns0:f>IF(Z585&gt;=0,A585,1001)</ns0:f>
        <ns0:v>581</ns0:v>
      </ns0:c>
      <ns0:c r="AH585" s="4">
        <ns0:f>IF(Z585&lt;0,A585,0)</ns0:f>
        <ns0:v>0</ns0:v>
      </ns0:c>
      <ns0:c r="AI585" s="12">
        <ns0:f>IF(AND(OR('前提と出典'!$C$36+'前提と出典'!$C$38=0,X585&gt;=0),OR('前提と出典'!$C$37+'前提と出典'!$C$38=0,Y585&gt;=0)),0,A585)</ns0:f>
        <ns0:v>0</ns0:v>
      </ns0:c>
    </ns0:row>
    <ns0:row r="586" ht="24" customHeight="1">
      <ns0:c r="A586" s="4" t="n">
        <ns0:v>582</ns0:v>
      </ns0:c>
      <ns0:c r="B586" s="12">
        <ns0:f>A586*('前提と出典'!$C$36+'前提と出典'!$C$38)</ns0:f>
        <ns0:v>407.4</ns0:v>
      </ns0:c>
      <ns0:c r="C586" s="12">
        <ns0:f>A586*('前提と出典'!$C$37+'前提と出典'!$C$38)</ns0:f>
        <ns0:v>349.2</ns0:v>
      </ns0:c>
      <ns0:c r="D586" s="16">
        <ns0:f>A586*('前提と出典'!$C$36*'契約別単価'!C5+'前提と出典'!$C$37*'契約別単価'!C6+'前提と出典'!$C$38*'契約別単価'!C7)</ns0:f>
        <ns0:v>4187.7988826815645</ns0:v>
      </ns0:c>
      <ns0:c r="E586" s="16">
        <ns0:f>A586*('前提と出典'!$C$36*'契約別単価'!E5+'前提と出典'!$C$37*'契約別単価'!E6+'前提と出典'!$C$38*'契約別単価'!E7)</ns0:f>
        <ns0:v>1463074.0413262115</ns0:v>
      </ns0:c>
      <ns0:c r="F586" s="16">
        <ns0:f>A586*('前提と出典'!$C$36*'契約別単価'!F5+'前提と出典'!$C$37*'契約別単価'!F6+'前提と出典'!$C$38*'契約別単価'!F7)</ns0:f>
        <ns0:v>425131.91807975667</ns0:v>
      </ns0:c>
      <ns0:c r="G586" s="16">
        <ns0:f>A586*('前提と出典'!$C$36*'契約別単価'!G5+'前提と出典'!$C$37*'契約別単価'!G6+'前提と出典'!$C$38*'契約別単価'!G7)</ns0:f>
        <ns0:v>1158472.625698324</ns0:v>
      </ns0:c>
      <ns0:c r="H586" s="16">
        <ns0:f>A586*('前提と出典'!$C$36*'契約別単価'!H5+'前提と出典'!$C$37*'契約別単価'!H6+'前提と出典'!$C$38*'契約別単価'!H7)</ns0:f>
        <ns0:v>402048.1030852586</ns0:v>
      </ns0:c>
      <ns0:c r="I586" s="16">
        <ns0:f>A586*('前提と出典'!$C$36*'契約別単価'!I5+'前提と出典'!$C$37*'契約別単価'!I6+'前提と出典'!$C$38*'契約別単価'!I7)</ns0:f>
        <ns0:v>24557.79888268156</ns0:v>
      </ns0:c>
      <ns0:c r="J586" s="16">
        <ns0:f>A586*('前提と出典'!$C$36*'契約別単価'!J5+'前提と出典'!$C$37*'契約別単価'!J6+'前提と出典'!$C$38*'契約別単価'!J7)</ns0:f>
        <ns0:v>57204.514439396095</ns0:v>
      </ns0:c>
      <ns0:c r="K586" s="16">
        <ns0:f>A586*('前提と出典'!$C$36*'契約別単価'!K5+'前提と出典'!$C$37*'契約別単価'!K6+'前提と出典'!$C$38*'契約別単価'!K7)</ns0:f>
        <ns0:v>245198.65921787708</ns0:v>
      </ns0:c>
      <ns0:c r="L586" s="16">
        <ns0:f>A586*('前提と出典'!$C$36*'契約別単価'!L5+'前提と出典'!$C$37*'契約別単価'!L6+'前提と出典'!$C$38*'契約別単価'!L7)</ns0:f>
        <ns0:v>199641.60343617527</ns0:v>
      </ns0:c>
      <ns0:c r="M586" s="16">
        <ns0:f>IF(('前提と出典'!$C$36+'前提と出典'!$C$38)=0,0,IF(B586&lt;=10,'前提と出典'!B73+'前提と出典'!C73,IF(B586&lt;=100,'前提と出典'!B74+'前提と出典'!C74,IF(B586&lt;=500,'前提と出典'!B75+'前提と出典'!C75,'前提と出典'!B76+'前提と出典'!C76))))</ns0:f>
        <ns0:v>40000</ns0:v>
      </ns0:c>
      <ns0:c r="N586" s="16">
        <ns0:f>IF(('前提と出典'!$C$37+'前提と出典'!$C$38)=0,0,IF(C586&lt;=10,'前提と出典'!D73+'前提と出典'!E73,IF(C586&lt;=100,'前提と出典'!D74+'前提と出典'!E74,IF(C586&lt;=500,'前提と出典'!D75+'前提と出典'!E75,'前提と出典'!D76+'前提と出典'!E76))))</ns0:f>
        <ns0:v>56510.9346263078</ns0:v>
      </ns0:c>
      <ns0:c r="O586" s="16">
        <ns0:f>IF('前提と出典'!$C$36+'前提と出典'!$C$38=0,0,'前提と出典'!$B$4*IF('前提と出典'!$B$20=0,MAX('前提と出典'!$B$6,D586*'前提と出典'!$B$5),'前提と出典'!$B$6+D586*'前提と出典'!$B$5))</ns0:f>
        <ns0:v>577916.2458100559</ns0:v>
      </ns0:c>
      <ns0:c r="P586" s="16">
        <ns0:f>(E586+G586)*(1-'前提と出典'!$B$7)-I586-K586-M586-O586</ns0:f>
        <ns0:v>1639498.283101038</ns0:v>
      </ns0:c>
      <ns0:c r="Q586" s="16">
        <ns0:f>(F586+H586)*(1-'前提と出典'!$B$7)-J586-L586-N586</ns0:f>
        <ns0:v>484044.48790119553</ns0:v>
      </ns0:c>
      <ns0:c r="R586" s="16">
        <ns0:f>P586-E586*'前提と出典'!$E$4</ns0:f>
        <ns0:v>1200576.0707031742</ns0:v>
      </ns0:c>
      <ns0:c r="S586" s="16">
        <ns0:f>Q586-F586*'前提と出典'!$E$4</ns0:f>
        <ns0:v>356504.9124772686</ns0:v>
      </ns0:c>
      <ns0:c r="T586" s="7">
        <ns0:f>R586+S586</ns0:f>
        <ns0:v>1557080.9831804428</ns0:v>
      </ns0:c>
      <ns0:c r="U586" s="16">
        <ns0:f>P586-E586*'前提と出典'!$E$5</ns0:f>
        <ns0:v>1054268.6665705533</ns0:v>
      </ns0:c>
      <ns0:c r="V586" s="16">
        <ns0:f>Q586-F586*'前提と出典'!$E$5</ns0:f>
        <ns0:v>313991.72066929284</ns0:v>
      </ns0:c>
      <ns0:c r="W586" s="7">
        <ns0:f>U586+V586</ns0:f>
        <ns0:v>1368260.3872398462</ns0:v>
      </ns0:c>
      <ns0:c r="X586" s="16">
        <ns0:f>P586-E586*'前提と出典'!$E$6</ns0:f>
        <ns0:v>907961.262437932</ns0:v>
      </ns0:c>
      <ns0:c r="Y586" s="16">
        <ns0:f>Q586-F586*'前提と出典'!$E$6</ns0:f>
        <ns0:v>271478.5288613172</ns0:v>
      </ns0:c>
      <ns0:c r="Z586" s="7">
        <ns0:f>X586+Y586</ns0:f>
        <ns0:v>1179439.791299249</ns0:v>
      </ns0:c>
      <ns0:c r="AA586" s="7">
        <ns0:f>IF(T586&gt;=0,A586,1001)</ns0:f>
        <ns0:v>582</ns0:v>
      </ns0:c>
      <ns0:c r="AB586" s="7">
        <ns0:f>IF(T586&lt;0,A586,0)</ns0:f>
        <ns0:v>0</ns0:v>
      </ns0:c>
      <ns0:c r="AC586" s="16">
        <ns0:f>IF(AND(OR('前提と出典'!$C$36+'前提と出典'!$C$38=0,R586&gt;=0),OR('前提と出典'!$C$37+'前提と出典'!$C$38=0,S586&gt;=0)),0,A586)</ns0:f>
        <ns0:v>0</ns0:v>
      </ns0:c>
      <ns0:c r="AD586" s="7">
        <ns0:f>IF(W586&gt;=0,A586,1001)</ns0:f>
        <ns0:v>582</ns0:v>
      </ns0:c>
      <ns0:c r="AE586" s="7">
        <ns0:f>IF(W586&lt;0,A586,0)</ns0:f>
        <ns0:v>0</ns0:v>
      </ns0:c>
      <ns0:c r="AF586" s="16">
        <ns0:f>IF(AND(OR('前提と出典'!$C$36+'前提と出典'!$C$38=0,U586&gt;=0),OR('前提と出典'!$C$37+'前提と出典'!$C$38=0,V586&gt;=0)),0,A586)</ns0:f>
        <ns0:v>0</ns0:v>
      </ns0:c>
      <ns0:c r="AG586" s="7">
        <ns0:f>IF(Z586&gt;=0,A586,1001)</ns0:f>
        <ns0:v>582</ns0:v>
      </ns0:c>
      <ns0:c r="AH586" s="4">
        <ns0:f>IF(Z586&lt;0,A586,0)</ns0:f>
        <ns0:v>0</ns0:v>
      </ns0:c>
      <ns0:c r="AI586" s="12">
        <ns0:f>IF(AND(OR('前提と出典'!$C$36+'前提と出典'!$C$38=0,X586&gt;=0),OR('前提と出典'!$C$37+'前提と出典'!$C$38=0,Y586&gt;=0)),0,A586)</ns0:f>
        <ns0:v>0</ns0:v>
      </ns0:c>
    </ns0:row>
    <ns0:row r="587" ht="24" customHeight="1">
      <ns0:c r="A587" s="4" t="n">
        <ns0:v>583</ns0:v>
      </ns0:c>
      <ns0:c r="B587" s="12">
        <ns0:f>A587*('前提と出典'!$C$36+'前提と出典'!$C$38)</ns0:f>
        <ns0:v>408.09999999999997</ns0:v>
      </ns0:c>
      <ns0:c r="C587" s="12">
        <ns0:f>A587*('前提と出典'!$C$37+'前提と出典'!$C$38)</ns0:f>
        <ns0:v>349.8</ns0:v>
      </ns0:c>
      <ns0:c r="D587" s="16">
        <ns0:f>A587*('前提と出典'!$C$36*'契約別単価'!C5+'前提と出典'!$C$37*'契約別単価'!C6+'前提と出典'!$C$38*'契約別単価'!C7)</ns0:f>
        <ns0:v>4194.994413407821</ns0:v>
      </ns0:c>
      <ns0:c r="E587" s="16">
        <ns0:f>A587*('前提と出典'!$C$36*'契約別単価'!E5+'前提と出典'!$C$37*'契約別単価'!E6+'前提と出典'!$C$38*'契約別単価'!E7)</ns0:f>
        <ns0:v>1465587.9142494523</ns0:v>
      </ns0:c>
      <ns0:c r="F587" s="16">
        <ns0:f>A587*('前提と出典'!$C$36*'契約別単価'!F5+'前提と出典'!$C$37*'契約別単価'!F6+'前提と出典'!$C$38*'契約別単価'!F7)</ns0:f>
        <ns0:v>425862.3852929521</ns0:v>
      </ns0:c>
      <ns0:c r="G587" s="16">
        <ns0:f>A587*('前提と出典'!$C$36*'契約別単価'!G5+'前提と出典'!$C$37*'契約別単価'!G6+'前提と出典'!$C$38*'契約別単価'!G7)</ns0:f>
        <ns0:v>1160463.12849162</ns0:v>
      </ns0:c>
      <ns0:c r="H587" s="16">
        <ns0:f>A587*('前提と出典'!$C$36*'契約別単価'!H5+'前提と出典'!$C$37*'契約別単価'!H6+'前提と出典'!$C$38*'契約別単価'!H7)</ns0:f>
        <ns0:v>402738.9073860924</ns0:v>
      </ns0:c>
      <ns0:c r="I587" s="16">
        <ns0:f>A587*('前提と出典'!$C$36*'契約別単価'!I5+'前提と出典'!$C$37*'契約別単価'!I6+'前提と出典'!$C$38*'契約別単価'!I7)</ns0:f>
        <ns0:v>24599.994413407818</ns0:v>
      </ns0:c>
      <ns0:c r="J587" s="16">
        <ns0:f>A587*('前提と出典'!$C$36*'契約別単価'!J5+'前提と出典'!$C$37*'契約別単価'!J6+'前提と出典'!$C$38*'契約別単価'!J7)</ns0:f>
        <ns0:v>57302.803983106394</ns0:v>
      </ns0:c>
      <ns0:c r="K587" s="16">
        <ns0:f>A587*('前提と出典'!$C$36*'契約別単価'!K5+'前提と出典'!$C$37*'契約別単価'!K6+'前提と出典'!$C$38*'契約別単価'!K7)</ns0:f>
        <ns0:v>245619.96275605212</ns0:v>
      </ns0:c>
      <ns0:c r="L587" s="16">
        <ns0:f>A587*('前提と出典'!$C$36*'契約別単価'!L5+'前提と出典'!$C$37*'契約別単価'!L6+'前提と出典'!$C$38*'契約別単価'!L7)</ns0:f>
        <ns0:v>199984.63024620307</ns0:v>
      </ns0:c>
      <ns0:c r="M587" s="16">
        <ns0:f>IF(('前提と出典'!$C$36+'前提と出典'!$C$38)=0,0,IF(B587&lt;=10,'前提と出典'!B73+'前提と出典'!C73,IF(B587&lt;=100,'前提と出典'!B74+'前提と出典'!C74,IF(B587&lt;=500,'前提と出典'!B75+'前提と出典'!C75,'前提と出典'!B76+'前提と出典'!C76))))</ns0:f>
        <ns0:v>40000</ns0:v>
      </ns0:c>
      <ns0:c r="N587" s="16">
        <ns0:f>IF(('前提と出典'!$C$37+'前提と出典'!$C$38)=0,0,IF(C587&lt;=10,'前提と出典'!D73+'前提と出典'!E73,IF(C587&lt;=100,'前提と出典'!D74+'前提と出典'!E74,IF(C587&lt;=500,'前提と出典'!D75+'前提と出典'!E75,'前提と出典'!D76+'前提と出典'!E76))))</ns0:f>
        <ns0:v>56510.9346263078</ns0:v>
      </ns0:c>
      <ns0:c r="O587" s="16">
        <ns0:f>IF('前提と出典'!$C$36+'前提と出典'!$C$38=0,0,'前提と出典'!$B$4*IF('前提と出典'!$B$20=0,MAX('前提と出典'!$B$6,D587*'前提と出典'!$B$5),'前提と出典'!$B$6+D587*'前提と出典'!$B$5))</ns0:f>
        <ns0:v>578909.2290502794</ns0:v>
      </ns0:c>
      <ns0:c r="P587" s="16">
        <ns0:f>(E587+G587)*(1-'前提と出典'!$B$7)-I587-K587-M587-O587</ns0:f>
        <ns0:v>1642384.0189826544</ns0:v>
      </ns0:c>
      <ns0:c r="Q587" s="16">
        <ns0:f>(F587+H587)*(1-'前提と出典'!$B$7)-J587-L587-N587</ns0:f>
        <ns0:v>484973.2772869817</ns0:v>
      </ns0:c>
      <ns0:c r="R587" s="16">
        <ns0:f>P587-E587*'前提と出典'!$E$4</ns0:f>
        <ns0:v>1202707.6447078185</ns0:v>
      </ns0:c>
      <ns0:c r="S587" s="16">
        <ns0:f>Q587-F587*'前提と出典'!$E$4</ns0:f>
        <ns0:v>357214.5616990961</ns0:v>
      </ns0:c>
      <ns0:c r="T587" s="7">
        <ns0:f>R587+S587</ns0:f>
        <ns0:v>1559922.2064069146</ns0:v>
      </ns0:c>
      <ns0:c r="U587" s="16">
        <ns0:f>P587-E587*'前提と出典'!$E$5</ns0:f>
        <ns0:v>1056148.8532828735</ns0:v>
      </ns0:c>
      <ns0:c r="V587" s="16">
        <ns0:f>Q587-F587*'前提と出典'!$E$5</ns0:f>
        <ns0:v>314628.3231698008</ns0:v>
      </ns0:c>
      <ns0:c r="W587" s="7">
        <ns0:f>U587+V587</ns0:f>
        <ns0:v>1370777.1764526744</ns0:v>
      </ns0:c>
      <ns0:c r="X587" s="16">
        <ns0:f>P587-E587*'前提と出典'!$E$6</ns0:f>
        <ns0:v>909590.0618579283</ns0:v>
      </ns0:c>
      <ns0:c r="Y587" s="16">
        <ns0:f>Q587-F587*'前提と出典'!$E$6</ns0:f>
        <ns0:v>272042.0846405056</ns0:v>
      </ns0:c>
      <ns0:c r="Z587" s="7">
        <ns0:f>X587+Y587</ns0:f>
        <ns0:v>1181632.1464984338</ns0:v>
      </ns0:c>
      <ns0:c r="AA587" s="7">
        <ns0:f>IF(T587&gt;=0,A587,1001)</ns0:f>
        <ns0:v>583</ns0:v>
      </ns0:c>
      <ns0:c r="AB587" s="7">
        <ns0:f>IF(T587&lt;0,A587,0)</ns0:f>
        <ns0:v>0</ns0:v>
      </ns0:c>
      <ns0:c r="AC587" s="16">
        <ns0:f>IF(AND(OR('前提と出典'!$C$36+'前提と出典'!$C$38=0,R587&gt;=0),OR('前提と出典'!$C$37+'前提と出典'!$C$38=0,S587&gt;=0)),0,A587)</ns0:f>
        <ns0:v>0</ns0:v>
      </ns0:c>
      <ns0:c r="AD587" s="7">
        <ns0:f>IF(W587&gt;=0,A587,1001)</ns0:f>
        <ns0:v>583</ns0:v>
      </ns0:c>
      <ns0:c r="AE587" s="7">
        <ns0:f>IF(W587&lt;0,A587,0)</ns0:f>
        <ns0:v>0</ns0:v>
      </ns0:c>
      <ns0:c r="AF587" s="16">
        <ns0:f>IF(AND(OR('前提と出典'!$C$36+'前提と出典'!$C$38=0,U587&gt;=0),OR('前提と出典'!$C$37+'前提と出典'!$C$38=0,V587&gt;=0)),0,A587)</ns0:f>
        <ns0:v>0</ns0:v>
      </ns0:c>
      <ns0:c r="AG587" s="7">
        <ns0:f>IF(Z587&gt;=0,A587,1001)</ns0:f>
        <ns0:v>583</ns0:v>
      </ns0:c>
      <ns0:c r="AH587" s="4">
        <ns0:f>IF(Z587&lt;0,A587,0)</ns0:f>
        <ns0:v>0</ns0:v>
      </ns0:c>
      <ns0:c r="AI587" s="12">
        <ns0:f>IF(AND(OR('前提と出典'!$C$36+'前提と出典'!$C$38=0,X587&gt;=0),OR('前提と出典'!$C$37+'前提と出典'!$C$38=0,Y587&gt;=0)),0,A587)</ns0:f>
        <ns0:v>0</ns0:v>
      </ns0:c>
    </ns0:row>
    <ns0:row r="588" ht="24" customHeight="1">
      <ns0:c r="A588" s="4" t="n">
        <ns0:v>584</ns0:v>
      </ns0:c>
      <ns0:c r="B588" s="12">
        <ns0:f>A588*('前提と出典'!$C$36+'前提と出典'!$C$38)</ns0:f>
        <ns0:v>408.79999999999995</ns0:v>
      </ns0:c>
      <ns0:c r="C588" s="12">
        <ns0:f>A588*('前提と出典'!$C$37+'前提と出典'!$C$38)</ns0:f>
        <ns0:v>350.4</ns0:v>
      </ns0:c>
      <ns0:c r="D588" s="16">
        <ns0:f>A588*('前提と出典'!$C$36*'契約別単価'!C5+'前提と出典'!$C$37*'契約別単価'!C6+'前提と出典'!$C$38*'契約別単価'!C7)</ns0:f>
        <ns0:v>4202.189944134078</ns0:v>
      </ns0:c>
      <ns0:c r="E588" s="16">
        <ns0:f>A588*('前提と出典'!$C$36*'契約別単価'!E5+'前提と出典'!$C$37*'契約別単価'!E6+'前提と出典'!$C$38*'契約別単価'!E7)</ns0:f>
        <ns0:v>1468101.7871726933</ns0:v>
      </ns0:c>
      <ns0:c r="F588" s="16">
        <ns0:f>A588*('前提と出典'!$C$36*'契約別単価'!F5+'前提と出典'!$C$37*'契約別単価'!F6+'前提と出典'!$C$38*'契約別単価'!F7)</ns0:f>
        <ns0:v>426592.8525061476</ns0:v>
      </ns0:c>
      <ns0:c r="G588" s="16">
        <ns0:f>A588*('前提と出典'!$C$36*'契約別単価'!G5+'前提と出典'!$C$37*'契約別単価'!G6+'前提と出典'!$C$38*'契約別単価'!G7)</ns0:f>
        <ns0:v>1162453.631284916</ns0:v>
      </ns0:c>
      <ns0:c r="H588" s="16">
        <ns0:f>A588*('前提と出典'!$C$36*'契約別単価'!H5+'前提と出典'!$C$37*'契約別単価'!H6+'前提と出典'!$C$38*'契約別単価'!H7)</ns0:f>
        <ns0:v>403429.7116869262</ns0:v>
      </ns0:c>
      <ns0:c r="I588" s="16">
        <ns0:f>A588*('前提と出典'!$C$36*'契約別単価'!I5+'前提と出典'!$C$37*'契約別単価'!I6+'前提と出典'!$C$38*'契約別単価'!I7)</ns0:f>
        <ns0:v>24642.189944134076</ns0:v>
      </ns0:c>
      <ns0:c r="J588" s="16">
        <ns0:f>A588*('前提と出典'!$C$36*'契約別単価'!J5+'前提と出典'!$C$37*'契約別単価'!J6+'前提と出典'!$C$38*'契約別単価'!J7)</ns0:f>
        <ns0:v>57401.0935268167</ns0:v>
      </ns0:c>
      <ns0:c r="K588" s="16">
        <ns0:f>A588*('前提と出典'!$C$36*'契約別単価'!K5+'前提と出典'!$C$37*'契約別単価'!K6+'前提と出典'!$C$38*'契約別単価'!K7)</ns0:f>
        <ns0:v>246041.26629422719</ns0:v>
      </ns0:c>
      <ns0:c r="L588" s="16">
        <ns0:f>A588*('前提と出典'!$C$36*'契約別単価'!L5+'前提と出典'!$C$37*'契約別単価'!L6+'前提と出典'!$C$38*'契約別単価'!L7)</ns0:f>
        <ns0:v>200327.65705623088</ns0:v>
      </ns0:c>
      <ns0:c r="M588" s="16">
        <ns0:f>IF(('前提と出典'!$C$36+'前提と出典'!$C$38)=0,0,IF(B588&lt;=10,'前提と出典'!B73+'前提と出典'!C73,IF(B588&lt;=100,'前提と出典'!B74+'前提と出典'!C74,IF(B588&lt;=500,'前提と出典'!B75+'前提と出典'!C75,'前提と出典'!B76+'前提と出典'!C76))))</ns0:f>
        <ns0:v>40000</ns0:v>
      </ns0:c>
      <ns0:c r="N588" s="16">
        <ns0:f>IF(('前提と出典'!$C$37+'前提と出典'!$C$38)=0,0,IF(C588&lt;=10,'前提と出典'!D73+'前提と出典'!E73,IF(C588&lt;=100,'前提と出典'!D74+'前提と出典'!E74,IF(C588&lt;=500,'前提と出典'!D75+'前提と出典'!E75,'前提と出典'!D76+'前提と出典'!E76))))</ns0:f>
        <ns0:v>56510.9346263078</ns0:v>
      </ns0:c>
      <ns0:c r="O588" s="16">
        <ns0:f>IF('前提と出典'!$C$36+'前提と出典'!$C$38=0,0,'前提と出典'!$B$4*IF('前提と出典'!$B$20=0,MAX('前提と出典'!$B$6,D588*'前提と出典'!$B$5),'前提と出典'!$B$6+D588*'前提と出典'!$B$5))</ns0:f>
        <ns0:v>579902.2122905029</ns0:v>
      </ns0:c>
      <ns0:c r="P588" s="16">
        <ns0:f>(E588+G588)*(1-'前提と出典'!$B$7)-I588-K588-M588-O588</ns0:f>
        <ns0:v>1645269.7548642715</ns0:v>
      </ns0:c>
      <ns0:c r="Q588" s="16">
        <ns0:f>(F588+H588)*(1-'前提と出典'!$B$7)-J588-L588-N588</ns0:f>
        <ns0:v>485902.06667276775</ns0:v>
      </ns0:c>
      <ns0:c r="R588" s="16">
        <ns0:f>P588-E588*'前提と出典'!$E$4</ns0:f>
        <ns0:v>1204839.2187124637</ns0:v>
      </ns0:c>
      <ns0:c r="S588" s="16">
        <ns0:f>Q588-F588*'前提と出典'!$E$4</ns0:f>
        <ns0:v>357924.21092092356</ns0:v>
      </ns0:c>
      <ns0:c r="T588" s="7">
        <ns0:f>R588+S588</ns0:f>
        <ns0:v>1562763.4296333874</ns0:v>
      </ns0:c>
      <ns0:c r="U588" s="16">
        <ns0:f>P588-E588*'前提と出典'!$E$5</ns0:f>
        <ns0:v>1058029.0399951942</ns0:v>
      </ns0:c>
      <ns0:c r="V588" s="16">
        <ns0:f>Q588-F588*'前提と出典'!$E$5</ns0:f>
        <ns0:v>315264.9256703087</ns0:v>
      </ns0:c>
      <ns0:c r="W588" s="7">
        <ns0:f>U588+V588</ns0:f>
        <ns0:v>1373293.965665503</ns0:v>
      </ns0:c>
      <ns0:c r="X588" s="16">
        <ns0:f>P588-E588*'前提と出典'!$E$6</ns0:f>
        <ns0:v>911218.8612779249</ns0:v>
      </ns0:c>
      <ns0:c r="Y588" s="16">
        <ns0:f>Q588-F588*'前提と出典'!$E$6</ns0:f>
        <ns0:v>272605.6404196941</ns0:v>
      </ns0:c>
      <ns0:c r="Z588" s="7">
        <ns0:f>X588+Y588</ns0:f>
        <ns0:v>1183824.501697619</ns0:v>
      </ns0:c>
      <ns0:c r="AA588" s="7">
        <ns0:f>IF(T588&gt;=0,A588,1001)</ns0:f>
        <ns0:v>584</ns0:v>
      </ns0:c>
      <ns0:c r="AB588" s="7">
        <ns0:f>IF(T588&lt;0,A588,0)</ns0:f>
        <ns0:v>0</ns0:v>
      </ns0:c>
      <ns0:c r="AC588" s="16">
        <ns0:f>IF(AND(OR('前提と出典'!$C$36+'前提と出典'!$C$38=0,R588&gt;=0),OR('前提と出典'!$C$37+'前提と出典'!$C$38=0,S588&gt;=0)),0,A588)</ns0:f>
        <ns0:v>0</ns0:v>
      </ns0:c>
      <ns0:c r="AD588" s="7">
        <ns0:f>IF(W588&gt;=0,A588,1001)</ns0:f>
        <ns0:v>584</ns0:v>
      </ns0:c>
      <ns0:c r="AE588" s="7">
        <ns0:f>IF(W588&lt;0,A588,0)</ns0:f>
        <ns0:v>0</ns0:v>
      </ns0:c>
      <ns0:c r="AF588" s="16">
        <ns0:f>IF(AND(OR('前提と出典'!$C$36+'前提と出典'!$C$38=0,U588&gt;=0),OR('前提と出典'!$C$37+'前提と出典'!$C$38=0,V588&gt;=0)),0,A588)</ns0:f>
        <ns0:v>0</ns0:v>
      </ns0:c>
      <ns0:c r="AG588" s="7">
        <ns0:f>IF(Z588&gt;=0,A588,1001)</ns0:f>
        <ns0:v>584</ns0:v>
      </ns0:c>
      <ns0:c r="AH588" s="4">
        <ns0:f>IF(Z588&lt;0,A588,0)</ns0:f>
        <ns0:v>0</ns0:v>
      </ns0:c>
      <ns0:c r="AI588" s="12">
        <ns0:f>IF(AND(OR('前提と出典'!$C$36+'前提と出典'!$C$38=0,X588&gt;=0),OR('前提と出典'!$C$37+'前提と出典'!$C$38=0,Y588&gt;=0)),0,A588)</ns0:f>
        <ns0:v>0</ns0:v>
      </ns0:c>
    </ns0:row>
    <ns0:row r="589" ht="24" customHeight="1">
      <ns0:c r="A589" s="4" t="n">
        <ns0:v>585</ns0:v>
      </ns0:c>
      <ns0:c r="B589" s="12">
        <ns0:f>A589*('前提と出典'!$C$36+'前提と出典'!$C$38)</ns0:f>
        <ns0:v>409.5</ns0:v>
      </ns0:c>
      <ns0:c r="C589" s="12">
        <ns0:f>A589*('前提と出典'!$C$37+'前提と出典'!$C$38)</ns0:f>
        <ns0:v>351</ns0:v>
      </ns0:c>
      <ns0:c r="D589" s="16">
        <ns0:f>A589*('前提と出典'!$C$36*'契約別単価'!C5+'前提と出典'!$C$37*'契約別単価'!C6+'前提と出典'!$C$38*'契約別単価'!C7)</ns0:f>
        <ns0:v>4209.385474860335</ns0:v>
      </ns0:c>
      <ns0:c r="E589" s="16">
        <ns0:f>A589*('前提と出典'!$C$36*'契約別単価'!E5+'前提と出典'!$C$37*'契約別単価'!E6+'前提と出典'!$C$38*'契約別単価'!E7)</ns0:f>
        <ns0:v>1470615.6600959343</ns0:v>
      </ns0:c>
      <ns0:c r="F589" s="16">
        <ns0:f>A589*('前提と出典'!$C$36*'契約別単価'!F5+'前提と出典'!$C$37*'契約別単価'!F6+'前提と出典'!$C$38*'契約別単価'!F7)</ns0:f>
        <ns0:v>427323.31971934304</ns0:v>
      </ns0:c>
      <ns0:c r="G589" s="16">
        <ns0:f>A589*('前提と出典'!$C$36*'契約別単価'!G5+'前提と出典'!$C$37*'契約別単価'!G6+'前提と出典'!$C$38*'契約別単価'!G7)</ns0:f>
        <ns0:v>1164444.1340782123</ns0:v>
      </ns0:c>
      <ns0:c r="H589" s="16">
        <ns0:f>A589*('前提と出典'!$C$36*'契約別単価'!H5+'前提と出典'!$C$37*'契約別単価'!H6+'前提と出典'!$C$38*'契約別単価'!H7)</ns0:f>
        <ns0:v>404120.5159877599</ns0:v>
      </ns0:c>
      <ns0:c r="I589" s="16">
        <ns0:f>A589*('前提と出典'!$C$36*'契約別単価'!I5+'前提と出典'!$C$37*'契約別単価'!I6+'前提と出典'!$C$38*'契約別単価'!I7)</ns0:f>
        <ns0:v>24684.38547486033</ns0:v>
      </ns0:c>
      <ns0:c r="J589" s="16">
        <ns0:f>A589*('前提と出典'!$C$36*'契約別単価'!J5+'前提と出典'!$C$37*'契約別単価'!J6+'前提と出典'!$C$38*'契約別単価'!J7)</ns0:f>
        <ns0:v>57499.383070527</ns0:v>
      </ns0:c>
      <ns0:c r="K589" s="16">
        <ns0:f>A589*('前提と出典'!$C$36*'契約別単価'!K5+'前提と出典'!$C$37*'契約別単価'!K6+'前提と出典'!$C$38*'契約別単価'!K7)</ns0:f>
        <ns0:v>246462.56983240222</ns0:v>
      </ns0:c>
      <ns0:c r="L589" s="16">
        <ns0:f>A589*('前提と出典'!$C$36*'契約別単価'!L5+'前提と出典'!$C$37*'契約別単価'!L6+'前提と出典'!$C$38*'契約別単価'!L7)</ns0:f>
        <ns0:v>200670.68386625865</ns0:v>
      </ns0:c>
      <ns0:c r="M589" s="16">
        <ns0:f>IF(('前提と出典'!$C$36+'前提と出典'!$C$38)=0,0,IF(B589&lt;=10,'前提と出典'!B73+'前提と出典'!C73,IF(B589&lt;=100,'前提と出典'!B74+'前提と出典'!C74,IF(B589&lt;=500,'前提と出典'!B75+'前提と出典'!C75,'前提と出典'!B76+'前提と出典'!C76))))</ns0:f>
        <ns0:v>40000</ns0:v>
      </ns0:c>
      <ns0:c r="N589" s="16">
        <ns0:f>IF(('前提と出典'!$C$37+'前提と出典'!$C$38)=0,0,IF(C589&lt;=10,'前提と出典'!D73+'前提と出典'!E73,IF(C589&lt;=100,'前提と出典'!D74+'前提と出典'!E74,IF(C589&lt;=500,'前提と出典'!D75+'前提と出典'!E75,'前提と出典'!D76+'前提と出典'!E76))))</ns0:f>
        <ns0:v>56510.9346263078</ns0:v>
      </ns0:c>
      <ns0:c r="O589" s="16">
        <ns0:f>IF('前提と出典'!$C$36+'前提と出典'!$C$38=0,0,'前提と出典'!$B$4*IF('前提と出典'!$B$20=0,MAX('前提と出典'!$B$6,D589*'前提と出典'!$B$5),'前提と出典'!$B$6+D589*'前提と出典'!$B$5))</ns0:f>
        <ns0:v>580895.1955307262</ns0:v>
      </ns0:c>
      <ns0:c r="P589" s="16">
        <ns0:f>(E589+G589)*(1-'前提と出典'!$B$7)-I589-K589-M589-O589</ns0:f>
        <ns0:v>1648155.4907458886</ns0:v>
      </ns0:c>
      <ns0:c r="Q589" s="16">
        <ns0:f>(F589+H589)*(1-'前提と出典'!$B$7)-J589-L589-N589</ns0:f>
        <ns0:v>486830.8560585538</ns0:v>
      </ns0:c>
      <ns0:c r="R589" s="16">
        <ns0:f>P589-E589*'前提と出典'!$E$4</ns0:f>
        <ns0:v>1206970.792717108</ns0:v>
      </ns0:c>
      <ns0:c r="S589" s="16">
        <ns0:f>Q589-F589*'前提と出典'!$E$4</ns0:f>
        <ns0:v>358633.86014275084</ns0:v>
      </ns0:c>
      <ns0:c r="T589" s="7">
        <ns0:f>R589+S589</ns0:f>
        <ns0:v>1565604.652859859</ns0:v>
      </ns0:c>
      <ns0:c r="U589" s="16">
        <ns0:f>P589-E589*'前提と出典'!$E$5</ns0:f>
        <ns0:v>1059909.2267075148</ns0:v>
      </ns0:c>
      <ns0:c r="V589" s="16">
        <ns0:f>Q589-F589*'前提と出典'!$E$5</ns0:f>
        <ns0:v>315901.52817081654</ns0:v>
      </ns0:c>
      <ns0:c r="W589" s="7">
        <ns0:f>U589+V589</ns0:f>
        <ns0:v>1375810.7548783314</ns0:v>
      </ns0:c>
      <ns0:c r="X589" s="16">
        <ns0:f>P589-E589*'前提と出典'!$E$6</ns0:f>
        <ns0:v>912847.6606979215</ns0:v>
      </ns0:c>
      <ns0:c r="Y589" s="16">
        <ns0:f>Q589-F589*'前提と出典'!$E$6</ns0:f>
        <ns0:v>273169.19619888224</ns0:v>
      </ns0:c>
      <ns0:c r="Z589" s="7">
        <ns0:f>X589+Y589</ns0:f>
        <ns0:v>1186016.8568968037</ns0:v>
      </ns0:c>
      <ns0:c r="AA589" s="7">
        <ns0:f>IF(T589&gt;=0,A589,1001)</ns0:f>
        <ns0:v>585</ns0:v>
      </ns0:c>
      <ns0:c r="AB589" s="7">
        <ns0:f>IF(T589&lt;0,A589,0)</ns0:f>
        <ns0:v>0</ns0:v>
      </ns0:c>
      <ns0:c r="AC589" s="16">
        <ns0:f>IF(AND(OR('前提と出典'!$C$36+'前提と出典'!$C$38=0,R589&gt;=0),OR('前提と出典'!$C$37+'前提と出典'!$C$38=0,S589&gt;=0)),0,A589)</ns0:f>
        <ns0:v>0</ns0:v>
      </ns0:c>
      <ns0:c r="AD589" s="7">
        <ns0:f>IF(W589&gt;=0,A589,1001)</ns0:f>
        <ns0:v>585</ns0:v>
      </ns0:c>
      <ns0:c r="AE589" s="7">
        <ns0:f>IF(W589&lt;0,A589,0)</ns0:f>
        <ns0:v>0</ns0:v>
      </ns0:c>
      <ns0:c r="AF589" s="16">
        <ns0:f>IF(AND(OR('前提と出典'!$C$36+'前提と出典'!$C$38=0,U589&gt;=0),OR('前提と出典'!$C$37+'前提と出典'!$C$38=0,V589&gt;=0)),0,A589)</ns0:f>
        <ns0:v>0</ns0:v>
      </ns0:c>
      <ns0:c r="AG589" s="7">
        <ns0:f>IF(Z589&gt;=0,A589,1001)</ns0:f>
        <ns0:v>585</ns0:v>
      </ns0:c>
      <ns0:c r="AH589" s="4">
        <ns0:f>IF(Z589&lt;0,A589,0)</ns0:f>
        <ns0:v>0</ns0:v>
      </ns0:c>
      <ns0:c r="AI589" s="12">
        <ns0:f>IF(AND(OR('前提と出典'!$C$36+'前提と出典'!$C$38=0,X589&gt;=0),OR('前提と出典'!$C$37+'前提と出典'!$C$38=0,Y589&gt;=0)),0,A589)</ns0:f>
        <ns0:v>0</ns0:v>
      </ns0:c>
    </ns0:row>
    <ns0:row r="590" ht="24" customHeight="1">
      <ns0:c r="A590" s="4" t="n">
        <ns0:v>586</ns0:v>
      </ns0:c>
      <ns0:c r="B590" s="12">
        <ns0:f>A590*('前提と出典'!$C$36+'前提と出典'!$C$38)</ns0:f>
        <ns0:v>410.2</ns0:v>
      </ns0:c>
      <ns0:c r="C590" s="12">
        <ns0:f>A590*('前提と出典'!$C$37+'前提と出典'!$C$38)</ns0:f>
        <ns0:v>351.59999999999997</ns0:v>
      </ns0:c>
      <ns0:c r="D590" s="16">
        <ns0:f>A590*('前提と出典'!$C$36*'契約別単価'!C5+'前提と出典'!$C$37*'契約別単価'!C6+'前提と出典'!$C$38*'契約別単価'!C7)</ns0:f>
        <ns0:v>4216.581005586592</ns0:v>
      </ns0:c>
      <ns0:c r="E590" s="16">
        <ns0:f>A590*('前提と出典'!$C$36*'契約別単価'!E5+'前提と出典'!$C$37*'契約別単価'!E6+'前提と出典'!$C$38*'契約別単価'!E7)</ns0:f>
        <ns0:v>1473129.533019175</ns0:v>
      </ns0:c>
      <ns0:c r="F590" s="16">
        <ns0:f>A590*('前提と出典'!$C$36*'契約別単価'!F5+'前提と出典'!$C$37*'契約別単価'!F6+'前提と出典'!$C$38*'契約別単価'!F7)</ns0:f>
        <ns0:v>428053.7869325385</ns0:v>
      </ns0:c>
      <ns0:c r="G590" s="16">
        <ns0:f>A590*('前提と出典'!$C$36*'契約別単価'!G5+'前提と出典'!$C$37*'契約別単価'!G6+'前提と出典'!$C$38*'契約別単価'!G7)</ns0:f>
        <ns0:v>1166434.6368715083</ns0:v>
      </ns0:c>
      <ns0:c r="H590" s="16">
        <ns0:f>A590*('前提と出典'!$C$36*'契約別単価'!H5+'前提と出典'!$C$37*'契約別単価'!H6+'前提と出典'!$C$38*'契約別単価'!H7)</ns0:f>
        <ns0:v>404811.3202885937</ns0:v>
      </ns0:c>
      <ns0:c r="I590" s="16">
        <ns0:f>A590*('前提と出典'!$C$36*'契約別単価'!I5+'前提と出典'!$C$37*'契約別単価'!I6+'前提と出典'!$C$38*'契約別単価'!I7)</ns0:f>
        <ns0:v>24726.581005586588</ns0:v>
      </ns0:c>
      <ns0:c r="J590" s="16">
        <ns0:f>A590*('前提と出典'!$C$36*'契約別単価'!J5+'前提と出典'!$C$37*'契約別単価'!J6+'前提と出典'!$C$38*'契約別単価'!J7)</ns0:f>
        <ns0:v>57597.6726142373</ns0:v>
      </ns0:c>
      <ns0:c r="K590" s="16">
        <ns0:f>A590*('前提と出典'!$C$36*'契約別単価'!K5+'前提と出典'!$C$37*'契約別単価'!K6+'前提と出典'!$C$38*'契約別単価'!K7)</ns0:f>
        <ns0:v>246883.87337057726</ns0:v>
      </ns0:c>
      <ns0:c r="L590" s="16">
        <ns0:f>A590*('前提と出典'!$C$36*'契約別単価'!L5+'前提と出典'!$C$37*'契約別単価'!L6+'前提と出典'!$C$38*'契約別単価'!L7)</ns0:f>
        <ns0:v>201013.71067628646</ns0:v>
      </ns0:c>
      <ns0:c r="M590" s="16">
        <ns0:f>IF(('前提と出典'!$C$36+'前提と出典'!$C$38)=0,0,IF(B590&lt;=10,'前提と出典'!B73+'前提と出典'!C73,IF(B590&lt;=100,'前提と出典'!B74+'前提と出典'!C74,IF(B590&lt;=500,'前提と出典'!B75+'前提と出典'!C75,'前提と出典'!B76+'前提と出典'!C76))))</ns0:f>
        <ns0:v>40000</ns0:v>
      </ns0:c>
      <ns0:c r="N590" s="16">
        <ns0:f>IF(('前提と出典'!$C$37+'前提と出典'!$C$38)=0,0,IF(C590&lt;=10,'前提と出典'!D73+'前提と出典'!E73,IF(C590&lt;=100,'前提と出典'!D74+'前提と出典'!E74,IF(C590&lt;=500,'前提と出典'!D75+'前提と出典'!E75,'前提と出典'!D76+'前提と出典'!E76))))</ns0:f>
        <ns0:v>56510.9346263078</ns0:v>
      </ns0:c>
      <ns0:c r="O590" s="16">
        <ns0:f>IF('前提と出典'!$C$36+'前提と出典'!$C$38=0,0,'前提と出典'!$B$4*IF('前提と出典'!$B$20=0,MAX('前提と出典'!$B$6,D590*'前提と出典'!$B$5),'前提と出典'!$B$6+D590*'前提と出典'!$B$5))</ns0:f>
        <ns0:v>581888.1787709497</ns0:v>
      </ns0:c>
      <ns0:c r="P590" s="16">
        <ns0:f>(E590+G590)*(1-'前提と出典'!$B$7)-I590-K590-M590-O590</ns0:f>
        <ns0:v>1651041.226627505</ns0:v>
      </ns0:c>
      <ns0:c r="Q590" s="16">
        <ns0:f>(F590+H590)*(1-'前提と出典'!$B$7)-J590-L590-N590</ns0:f>
        <ns0:v>487759.64544433984</ns0:v>
      </ns0:c>
      <ns0:c r="R590" s="16">
        <ns0:f>P590-E590*'前提と出典'!$E$4</ns0:f>
        <ns0:v>1209102.3667217526</ns0:v>
      </ns0:c>
      <ns0:c r="S590" s="16">
        <ns0:f>Q590-F590*'前提と出典'!$E$4</ns0:f>
        <ns0:v>359343.5093645783</ns0:v>
      </ns0:c>
      <ns0:c r="T590" s="7">
        <ns0:f>R590+S590</ns0:f>
        <ns0:v>1568445.876086331</ns0:v>
      </ns0:c>
      <ns0:c r="U590" s="16">
        <ns0:f>P590-E590*'前提と出典'!$E$5</ns0:f>
        <ns0:v>1061789.4134198348</ns0:v>
      </ns0:c>
      <ns0:c r="V590" s="16">
        <ns0:f>Q590-F590*'前提と出典'!$E$5</ns0:f>
        <ns0:v>316538.13067132444</ns0:v>
      </ns0:c>
      <ns0:c r="W590" s="7">
        <ns0:f>U590+V590</ns0:f>
        <ns0:v>1378327.5440911592</ns0:v>
      </ns0:c>
      <ns0:c r="X590" s="16">
        <ns0:f>P590-E590*'前提と出典'!$E$6</ns0:f>
        <ns0:v>914476.4601179176</ns0:v>
      </ns0:c>
      <ns0:c r="Y590" s="16">
        <ns0:f>Q590-F590*'前提と出典'!$E$6</ns0:f>
        <ns0:v>273732.7519780706</ns0:v>
      </ns0:c>
      <ns0:c r="Z590" s="7">
        <ns0:f>X590+Y590</ns0:f>
        <ns0:v>1188209.2120959882</ns0:v>
      </ns0:c>
      <ns0:c r="AA590" s="7">
        <ns0:f>IF(T590&gt;=0,A590,1001)</ns0:f>
        <ns0:v>586</ns0:v>
      </ns0:c>
      <ns0:c r="AB590" s="7">
        <ns0:f>IF(T590&lt;0,A590,0)</ns0:f>
        <ns0:v>0</ns0:v>
      </ns0:c>
      <ns0:c r="AC590" s="16">
        <ns0:f>IF(AND(OR('前提と出典'!$C$36+'前提と出典'!$C$38=0,R590&gt;=0),OR('前提と出典'!$C$37+'前提と出典'!$C$38=0,S590&gt;=0)),0,A590)</ns0:f>
        <ns0:v>0</ns0:v>
      </ns0:c>
      <ns0:c r="AD590" s="7">
        <ns0:f>IF(W590&gt;=0,A590,1001)</ns0:f>
        <ns0:v>586</ns0:v>
      </ns0:c>
      <ns0:c r="AE590" s="7">
        <ns0:f>IF(W590&lt;0,A590,0)</ns0:f>
        <ns0:v>0</ns0:v>
      </ns0:c>
      <ns0:c r="AF590" s="16">
        <ns0:f>IF(AND(OR('前提と出典'!$C$36+'前提と出典'!$C$38=0,U590&gt;=0),OR('前提と出典'!$C$37+'前提と出典'!$C$38=0,V590&gt;=0)),0,A590)</ns0:f>
        <ns0:v>0</ns0:v>
      </ns0:c>
      <ns0:c r="AG590" s="7">
        <ns0:f>IF(Z590&gt;=0,A590,1001)</ns0:f>
        <ns0:v>586</ns0:v>
      </ns0:c>
      <ns0:c r="AH590" s="4">
        <ns0:f>IF(Z590&lt;0,A590,0)</ns0:f>
        <ns0:v>0</ns0:v>
      </ns0:c>
      <ns0:c r="AI590" s="12">
        <ns0:f>IF(AND(OR('前提と出典'!$C$36+'前提と出典'!$C$38=0,X590&gt;=0),OR('前提と出典'!$C$37+'前提と出典'!$C$38=0,Y590&gt;=0)),0,A590)</ns0:f>
        <ns0:v>0</ns0:v>
      </ns0:c>
    </ns0:row>
    <ns0:row r="591" ht="24" customHeight="1">
      <ns0:c r="A591" s="4" t="n">
        <ns0:v>587</ns0:v>
      </ns0:c>
      <ns0:c r="B591" s="12">
        <ns0:f>A591*('前提と出典'!$C$36+'前提と出典'!$C$38)</ns0:f>
        <ns0:v>410.9</ns0:v>
      </ns0:c>
      <ns0:c r="C591" s="12">
        <ns0:f>A591*('前提と出典'!$C$37+'前提と出典'!$C$38)</ns0:f>
        <ns0:v>352.2</ns0:v>
      </ns0:c>
      <ns0:c r="D591" s="16">
        <ns0:f>A591*('前提と出典'!$C$36*'契約別単価'!C5+'前提と出典'!$C$37*'契約別単価'!C6+'前提と出典'!$C$38*'契約別単価'!C7)</ns0:f>
        <ns0:v>4223.776536312849</ns0:v>
      </ns0:c>
      <ns0:c r="E591" s="16">
        <ns0:f>A591*('前提と出典'!$C$36*'契約別単価'!E5+'前提と出典'!$C$37*'契約別単価'!E6+'前提と出典'!$C$38*'契約別単価'!E7)</ns0:f>
        <ns0:v>1475643.405942416</ns0:v>
      </ns0:c>
      <ns0:c r="F591" s="16">
        <ns0:f>A591*('前提と出典'!$C$36*'契約別単価'!F5+'前提と出典'!$C$37*'契約別単価'!F6+'前提と出典'!$C$38*'契約別単価'!F7)</ns0:f>
        <ns0:v>428784.25414573395</ns0:v>
      </ns0:c>
      <ns0:c r="G591" s="16">
        <ns0:f>A591*('前提と出典'!$C$36*'契約別単価'!G5+'前提と出典'!$C$37*'契約別単価'!G6+'前提と出典'!$C$38*'契約別単価'!G7)</ns0:f>
        <ns0:v>1168425.1396648043</ns0:v>
      </ns0:c>
      <ns0:c r="H591" s="16">
        <ns0:f>A591*('前提と出典'!$C$36*'契約別単価'!H5+'前提と出典'!$C$37*'契約別単価'!H6+'前提と出典'!$C$38*'契約別単価'!H7)</ns0:f>
        <ns0:v>405502.1245894275</ns0:v>
      </ns0:c>
      <ns0:c r="I591" s="16">
        <ns0:f>A591*('前提と出典'!$C$36*'契約別単価'!I5+'前提と出典'!$C$37*'契約別単価'!I6+'前提と出典'!$C$38*'契約別単価'!I7)</ns0:f>
        <ns0:v>24768.776536312846</ns0:v>
      </ns0:c>
      <ns0:c r="J591" s="16">
        <ns0:f>A591*('前提と出典'!$C$36*'契約別単価'!J5+'前提と出典'!$C$37*'契約別単価'!J6+'前提と出典'!$C$38*'契約別単価'!J7)</ns0:f>
        <ns0:v>57695.96215794761</ns0:v>
      </ns0:c>
      <ns0:c r="K591" s="16">
        <ns0:f>A591*('前提と出典'!$C$36*'契約別単価'!K5+'前提と出典'!$C$37*'契約別単価'!K6+'前提と出典'!$C$38*'契約別単価'!K7)</ns0:f>
        <ns0:v>247305.1769087523</ns0:v>
      </ns0:c>
      <ns0:c r="L591" s="16">
        <ns0:f>A591*('前提と出典'!$C$36*'契約別単価'!L5+'前提と出典'!$C$37*'契約別単価'!L6+'前提と出典'!$C$38*'契約別単価'!L7)</ns0:f>
        <ns0:v>201356.73748631423</ns0:v>
      </ns0:c>
      <ns0:c r="M591" s="16">
        <ns0:f>IF(('前提と出典'!$C$36+'前提と出典'!$C$38)=0,0,IF(B591&lt;=10,'前提と出典'!B73+'前提と出典'!C73,IF(B591&lt;=100,'前提と出典'!B74+'前提と出典'!C74,IF(B591&lt;=500,'前提と出典'!B75+'前提と出典'!C75,'前提と出典'!B76+'前提と出典'!C76))))</ns0:f>
        <ns0:v>40000</ns0:v>
      </ns0:c>
      <ns0:c r="N591" s="16">
        <ns0:f>IF(('前提と出典'!$C$37+'前提と出典'!$C$38)=0,0,IF(C591&lt;=10,'前提と出典'!D73+'前提と出典'!E73,IF(C591&lt;=100,'前提と出典'!D74+'前提と出典'!E74,IF(C591&lt;=500,'前提と出典'!D75+'前提と出典'!E75,'前提と出典'!D76+'前提と出典'!E76))))</ns0:f>
        <ns0:v>56510.9346263078</ns0:v>
      </ns0:c>
      <ns0:c r="O591" s="16">
        <ns0:f>IF('前提と出典'!$C$36+'前提と出典'!$C$38=0,0,'前提と出典'!$B$4*IF('前提と出典'!$B$20=0,MAX('前提と出典'!$B$6,D591*'前提と出典'!$B$5),'前提と出典'!$B$6+D591*'前提と出典'!$B$5))</ns0:f>
        <ns0:v>582881.1620111732</ns0:v>
      </ns0:c>
      <ns0:c r="P591" s="16">
        <ns0:f>(E591+G591)*(1-'前提と出典'!$B$7)-I591-K591-M591-O591</ns0:f>
        <ns0:v>1653926.9625091222</ns0:v>
      </ns0:c>
      <ns0:c r="Q591" s="16">
        <ns0:f>(F591+H591)*(1-'前提と出典'!$B$7)-J591-L591-N591</ns0:f>
        <ns0:v>488688.4348301259</ns0:v>
      </ns0:c>
      <ns0:c r="R591" s="16">
        <ns0:f>P591-E591*'前提と出典'!$E$4</ns0:f>
        <ns0:v>1211233.9407263976</ns0:v>
      </ns0:c>
      <ns0:c r="S591" s="16">
        <ns0:f>Q591-F591*'前提と出典'!$E$4</ns0:f>
        <ns0:v>360053.1585864057</ns0:v>
      </ns0:c>
      <ns0:c r="T591" s="7">
        <ns0:f>R591+S591</ns0:f>
        <ns0:v>1571287.0993128032</ns0:v>
      </ns0:c>
      <ns0:c r="U591" s="16">
        <ns0:f>P591-E591*'前提と出典'!$E$5</ns0:f>
        <ns0:v>1063669.6001321557</ns0:v>
      </ns0:c>
      <ns0:c r="V591" s="16">
        <ns0:f>Q591-F591*'前提と出典'!$E$5</ns0:f>
        <ns0:v>317174.7331718323</ns0:v>
      </ns0:c>
      <ns0:c r="W591" s="7">
        <ns0:f>U591+V591</ns0:f>
        <ns0:v>1380844.333303988</ns0:v>
      </ns0:c>
      <ns0:c r="X591" s="16">
        <ns0:f>P591-E591*'前提と出典'!$E$6</ns0:f>
        <ns0:v>916105.2595379142</ns0:v>
      </ns0:c>
      <ns0:c r="Y591" s="16">
        <ns0:f>Q591-F591*'前提と出典'!$E$6</ns0:f>
        <ns0:v>274296.3077572589</ns0:v>
      </ns0:c>
      <ns0:c r="Z591" s="7">
        <ns0:f>X591+Y591</ns0:f>
        <ns0:v>1190401.5672951732</ns0:v>
      </ns0:c>
      <ns0:c r="AA591" s="7">
        <ns0:f>IF(T591&gt;=0,A591,1001)</ns0:f>
        <ns0:v>587</ns0:v>
      </ns0:c>
      <ns0:c r="AB591" s="7">
        <ns0:f>IF(T591&lt;0,A591,0)</ns0:f>
        <ns0:v>0</ns0:v>
      </ns0:c>
      <ns0:c r="AC591" s="16">
        <ns0:f>IF(AND(OR('前提と出典'!$C$36+'前提と出典'!$C$38=0,R591&gt;=0),OR('前提と出典'!$C$37+'前提と出典'!$C$38=0,S591&gt;=0)),0,A591)</ns0:f>
        <ns0:v>0</ns0:v>
      </ns0:c>
      <ns0:c r="AD591" s="7">
        <ns0:f>IF(W591&gt;=0,A591,1001)</ns0:f>
        <ns0:v>587</ns0:v>
      </ns0:c>
      <ns0:c r="AE591" s="7">
        <ns0:f>IF(W591&lt;0,A591,0)</ns0:f>
        <ns0:v>0</ns0:v>
      </ns0:c>
      <ns0:c r="AF591" s="16">
        <ns0:f>IF(AND(OR('前提と出典'!$C$36+'前提と出典'!$C$38=0,U591&gt;=0),OR('前提と出典'!$C$37+'前提と出典'!$C$38=0,V591&gt;=0)),0,A591)</ns0:f>
        <ns0:v>0</ns0:v>
      </ns0:c>
      <ns0:c r="AG591" s="7">
        <ns0:f>IF(Z591&gt;=0,A591,1001)</ns0:f>
        <ns0:v>587</ns0:v>
      </ns0:c>
      <ns0:c r="AH591" s="4">
        <ns0:f>IF(Z591&lt;0,A591,0)</ns0:f>
        <ns0:v>0</ns0:v>
      </ns0:c>
      <ns0:c r="AI591" s="12">
        <ns0:f>IF(AND(OR('前提と出典'!$C$36+'前提と出典'!$C$38=0,X591&gt;=0),OR('前提と出典'!$C$37+'前提と出典'!$C$38=0,Y591&gt;=0)),0,A591)</ns0:f>
        <ns0:v>0</ns0:v>
      </ns0:c>
    </ns0:row>
    <ns0:row r="592" ht="24" customHeight="1">
      <ns0:c r="A592" s="4" t="n">
        <ns0:v>588</ns0:v>
      </ns0:c>
      <ns0:c r="B592" s="12">
        <ns0:f>A592*('前提と出典'!$C$36+'前提と出典'!$C$38)</ns0:f>
        <ns0:v>411.59999999999997</ns0:v>
      </ns0:c>
      <ns0:c r="C592" s="12">
        <ns0:f>A592*('前提と出典'!$C$37+'前提と出典'!$C$38)</ns0:f>
        <ns0:v>352.8</ns0:v>
      </ns0:c>
      <ns0:c r="D592" s="16">
        <ns0:f>A592*('前提と出典'!$C$36*'契約別単価'!C5+'前提と出典'!$C$37*'契約別単価'!C6+'前提と出典'!$C$38*'契約別単価'!C7)</ns0:f>
        <ns0:v>4230.972067039106</ns0:v>
      </ns0:c>
      <ns0:c r="E592" s="16">
        <ns0:f>A592*('前提と出典'!$C$36*'契約別単価'!E5+'前提と出典'!$C$37*'契約別単価'!E6+'前提と出典'!$C$38*'契約別単価'!E7)</ns0:f>
        <ns0:v>1478157.278865657</ns0:v>
      </ns0:c>
      <ns0:c r="F592" s="16">
        <ns0:f>A592*('前提と出典'!$C$36*'契約別単価'!F5+'前提と出典'!$C$37*'契約別単価'!F6+'前提と出典'!$C$38*'契約別単価'!F7)</ns0:f>
        <ns0:v>429514.7213589294</ns0:v>
      </ns0:c>
      <ns0:c r="G592" s="16">
        <ns0:f>A592*('前提と出典'!$C$36*'契約別単価'!G5+'前提と出典'!$C$37*'契約別単価'!G6+'前提と出典'!$C$38*'契約別単価'!G7)</ns0:f>
        <ns0:v>1170415.6424581006</ns0:v>
      </ns0:c>
      <ns0:c r="H592" s="16">
        <ns0:f>A592*('前提と出典'!$C$36*'契約別単価'!H5+'前提と出典'!$C$37*'契約別単価'!H6+'前提と出典'!$C$38*'契約別単価'!H7)</ns0:f>
        <ns0:v>406192.9288902613</ns0:v>
      </ns0:c>
      <ns0:c r="I592" s="16">
        <ns0:f>A592*('前提と出典'!$C$36*'契約別単価'!I5+'前提と出典'!$C$37*'契約別単価'!I6+'前提と出典'!$C$38*'契約別単価'!I7)</ns0:f>
        <ns0:v>24810.972067039103</ns0:v>
      </ns0:c>
      <ns0:c r="J592" s="16">
        <ns0:f>A592*('前提と出典'!$C$36*'契約別単価'!J5+'前提と出典'!$C$37*'契約別単価'!J6+'前提と出典'!$C$38*'契約別単価'!J7)</ns0:f>
        <ns0:v>57794.25170165791</ns0:v>
      </ns0:c>
      <ns0:c r="K592" s="16">
        <ns0:f>A592*('前提と出典'!$C$36*'契約別単価'!K5+'前提と出典'!$C$37*'契約別単価'!K6+'前提と出典'!$C$38*'契約別単価'!K7)</ns0:f>
        <ns0:v>247726.48044692737</ns0:v>
      </ns0:c>
      <ns0:c r="L592" s="16">
        <ns0:f>A592*('前提と出典'!$C$36*'契約別単価'!L5+'前提と出典'!$C$37*'契約別単価'!L6+'前提と出典'!$C$38*'契約別単価'!L7)</ns0:f>
        <ns0:v>201699.76429634204</ns0:v>
      </ns0:c>
      <ns0:c r="M592" s="16">
        <ns0:f>IF(('前提と出典'!$C$36+'前提と出典'!$C$38)=0,0,IF(B592&lt;=10,'前提と出典'!B73+'前提と出典'!C73,IF(B592&lt;=100,'前提と出典'!B74+'前提と出典'!C74,IF(B592&lt;=500,'前提と出典'!B75+'前提と出典'!C75,'前提と出典'!B76+'前提と出典'!C76))))</ns0:f>
        <ns0:v>40000</ns0:v>
      </ns0:c>
      <ns0:c r="N592" s="16">
        <ns0:f>IF(('前提と出典'!$C$37+'前提と出典'!$C$38)=0,0,IF(C592&lt;=10,'前提と出典'!D73+'前提と出典'!E73,IF(C592&lt;=100,'前提と出典'!D74+'前提と出典'!E74,IF(C592&lt;=500,'前提と出典'!D75+'前提と出典'!E75,'前提と出典'!D76+'前提と出典'!E76))))</ns0:f>
        <ns0:v>56510.9346263078</ns0:v>
      </ns0:c>
      <ns0:c r="O592" s="16">
        <ns0:f>IF('前提と出典'!$C$36+'前提と出典'!$C$38=0,0,'前提と出典'!$B$4*IF('前提と出典'!$B$20=0,MAX('前提と出典'!$B$6,D592*'前提と出典'!$B$5),'前提と出典'!$B$6+D592*'前提と出典'!$B$5))</ns0:f>
        <ns0:v>583874.1452513967</ns0:v>
      </ns0:c>
      <ns0:c r="P592" s="16">
        <ns0:f>(E592+G592)*(1-'前提と出典'!$B$7)-I592-K592-M592-O592</ns0:f>
        <ns0:v>1656812.6983907395</ns0:v>
      </ns0:c>
      <ns0:c r="Q592" s="16">
        <ns0:f>(F592+H592)*(1-'前提と出典'!$B$7)-J592-L592-N592</ns0:f>
        <ns0:v>489617.22421591205</ns0:v>
      </ns0:c>
      <ns0:c r="R592" s="16">
        <ns0:f>P592-E592*'前提と出典'!$E$4</ns0:f>
        <ns0:v>1213365.5147310426</ns0:v>
      </ns0:c>
      <ns0:c r="S592" s="16">
        <ns0:f>Q592-F592*'前提と出典'!$E$4</ns0:f>
        <ns0:v>360762.8078082332</ns0:v>
      </ns0:c>
      <ns0:c r="T592" s="7">
        <ns0:f>R592+S592</ns0:f>
        <ns0:v>1574128.3225392757</ns0:v>
      </ns0:c>
      <ns0:c r="U592" s="16">
        <ns0:f>P592-E592*'前提と出典'!$E$5</ns0:f>
        <ns0:v>1065549.7868444766</ns0:v>
      </ns0:c>
      <ns0:c r="V592" s="16">
        <ns0:f>Q592-F592*'前提と出典'!$E$5</ns0:f>
        <ns0:v>317811.33567234024</ns0:v>
      </ns0:c>
      <ns0:c r="W592" s="7">
        <ns0:f>U592+V592</ns0:f>
        <ns0:v>1383361.122516817</ns0:v>
      </ns0:c>
      <ns0:c r="X592" s="16">
        <ns0:f>P592-E592*'前提と出典'!$E$6</ns0:f>
        <ns0:v>917734.058957911</ns0:v>
      </ns0:c>
      <ns0:c r="Y592" s="16">
        <ns0:f>Q592-F592*'前提と出典'!$E$6</ns0:f>
        <ns0:v>274859.8635364474</ns0:v>
      </ns0:c>
      <ns0:c r="Z592" s="7">
        <ns0:f>X592+Y592</ns0:f>
        <ns0:v>1192593.9224943584</ns0:v>
      </ns0:c>
      <ns0:c r="AA592" s="7">
        <ns0:f>IF(T592&gt;=0,A592,1001)</ns0:f>
        <ns0:v>588</ns0:v>
      </ns0:c>
      <ns0:c r="AB592" s="7">
        <ns0:f>IF(T592&lt;0,A592,0)</ns0:f>
        <ns0:v>0</ns0:v>
      </ns0:c>
      <ns0:c r="AC592" s="16">
        <ns0:f>IF(AND(OR('前提と出典'!$C$36+'前提と出典'!$C$38=0,R592&gt;=0),OR('前提と出典'!$C$37+'前提と出典'!$C$38=0,S592&gt;=0)),0,A592)</ns0:f>
        <ns0:v>0</ns0:v>
      </ns0:c>
      <ns0:c r="AD592" s="7">
        <ns0:f>IF(W592&gt;=0,A592,1001)</ns0:f>
        <ns0:v>588</ns0:v>
      </ns0:c>
      <ns0:c r="AE592" s="7">
        <ns0:f>IF(W592&lt;0,A592,0)</ns0:f>
        <ns0:v>0</ns0:v>
      </ns0:c>
      <ns0:c r="AF592" s="16">
        <ns0:f>IF(AND(OR('前提と出典'!$C$36+'前提と出典'!$C$38=0,U592&gt;=0),OR('前提と出典'!$C$37+'前提と出典'!$C$38=0,V592&gt;=0)),0,A592)</ns0:f>
        <ns0:v>0</ns0:v>
      </ns0:c>
      <ns0:c r="AG592" s="7">
        <ns0:f>IF(Z592&gt;=0,A592,1001)</ns0:f>
        <ns0:v>588</ns0:v>
      </ns0:c>
      <ns0:c r="AH592" s="4">
        <ns0:f>IF(Z592&lt;0,A592,0)</ns0:f>
        <ns0:v>0</ns0:v>
      </ns0:c>
      <ns0:c r="AI592" s="12">
        <ns0:f>IF(AND(OR('前提と出典'!$C$36+'前提と出典'!$C$38=0,X592&gt;=0),OR('前提と出典'!$C$37+'前提と出典'!$C$38=0,Y592&gt;=0)),0,A592)</ns0:f>
        <ns0:v>0</ns0:v>
      </ns0:c>
    </ns0:row>
    <ns0:row r="593" ht="24" customHeight="1">
      <ns0:c r="A593" s="4" t="n">
        <ns0:v>589</ns0:v>
      </ns0:c>
      <ns0:c r="B593" s="12">
        <ns0:f>A593*('前提と出典'!$C$36+'前提と出典'!$C$38)</ns0:f>
        <ns0:v>412.29999999999995</ns0:v>
      </ns0:c>
      <ns0:c r="C593" s="12">
        <ns0:f>A593*('前提と出典'!$C$37+'前提と出典'!$C$38)</ns0:f>
        <ns0:v>353.4</ns0:v>
      </ns0:c>
      <ns0:c r="D593" s="16">
        <ns0:f>A593*('前提と出典'!$C$36*'契約別単価'!C5+'前提と出典'!$C$37*'契約別単価'!C6+'前提と出典'!$C$38*'契約別単価'!C7)</ns0:f>
        <ns0:v>4238.167597765363</ns0:v>
      </ns0:c>
      <ns0:c r="E593" s="16">
        <ns0:f>A593*('前提と出典'!$C$36*'契約別単価'!E5+'前提と出典'!$C$37*'契約別単価'!E6+'前提と出典'!$C$38*'契約別単価'!E7)</ns0:f>
        <ns0:v>1480671.1517888978</ns0:v>
      </ns0:c>
      <ns0:c r="F593" s="16">
        <ns0:f>A593*('前提と出典'!$C$36*'契約別単価'!F5+'前提と出典'!$C$37*'契約別単価'!F6+'前提と出典'!$C$38*'契約別単価'!F7)</ns0:f>
        <ns0:v>430245.18857212487</ns0:v>
      </ns0:c>
      <ns0:c r="G593" s="16">
        <ns0:f>A593*('前提と出典'!$C$36*'契約別単価'!G5+'前提と出典'!$C$37*'契約別単価'!G6+'前提と出典'!$C$38*'契約別単価'!G7)</ns0:f>
        <ns0:v>1172406.1452513966</ns0:v>
      </ns0:c>
      <ns0:c r="H593" s="16">
        <ns0:f>A593*('前提と出典'!$C$36*'契約別単価'!H5+'前提と出典'!$C$37*'契約別単価'!H6+'前提と出典'!$C$38*'契約別単価'!H7)</ns0:f>
        <ns0:v>406883.73319109506</ns0:v>
      </ns0:c>
      <ns0:c r="I593" s="16">
        <ns0:f>A593*('前提と出典'!$C$36*'契約別単価'!I5+'前提と出典'!$C$37*'契約別単価'!I6+'前提と出典'!$C$38*'契約別単価'!I7)</ns0:f>
        <ns0:v>24853.167597765358</ns0:v>
      </ns0:c>
      <ns0:c r="J593" s="16">
        <ns0:f>A593*('前提と出典'!$C$36*'契約別単価'!J5+'前提と出典'!$C$37*'契約別単価'!J6+'前提と出典'!$C$38*'契約別単価'!J7)</ns0:f>
        <ns0:v>57892.541245368215</ns0:v>
      </ns0:c>
      <ns0:c r="K593" s="16">
        <ns0:f>A593*('前提と出典'!$C$36*'契約別単価'!K5+'前提と出典'!$C$37*'契約別単価'!K6+'前提と出典'!$C$38*'契約別単価'!K7)</ns0:f>
        <ns0:v>248147.7839851024</ns0:v>
      </ns0:c>
      <ns0:c r="L593" s="16">
        <ns0:f>A593*('前提と出典'!$C$36*'契約別単価'!L5+'前提と出典'!$C$37*'契約別単価'!L6+'前提と出典'!$C$38*'契約別単価'!L7)</ns0:f>
        <ns0:v>202042.79110636984</ns0:v>
      </ns0:c>
      <ns0:c r="M593" s="16">
        <ns0:f>IF(('前提と出典'!$C$36+'前提と出典'!$C$38)=0,0,IF(B593&lt;=10,'前提と出典'!B73+'前提と出典'!C73,IF(B593&lt;=100,'前提と出典'!B74+'前提と出典'!C74,IF(B593&lt;=500,'前提と出典'!B75+'前提と出典'!C75,'前提と出典'!B76+'前提と出典'!C76))))</ns0:f>
        <ns0:v>40000</ns0:v>
      </ns0:c>
      <ns0:c r="N593" s="16">
        <ns0:f>IF(('前提と出典'!$C$37+'前提と出典'!$C$38)=0,0,IF(C593&lt;=10,'前提と出典'!D73+'前提と出典'!E73,IF(C593&lt;=100,'前提と出典'!D74+'前提と出典'!E74,IF(C593&lt;=500,'前提と出典'!D75+'前提と出典'!E75,'前提と出典'!D76+'前提と出典'!E76))))</ns0:f>
        <ns0:v>56510.9346263078</ns0:v>
      </ns0:c>
      <ns0:c r="O593" s="16">
        <ns0:f>IF('前提と出典'!$C$36+'前提と出典'!$C$38=0,0,'前提と出典'!$B$4*IF('前提と出典'!$B$20=0,MAX('前提と出典'!$B$6,D593*'前提と出典'!$B$5),'前提と出典'!$B$6+D593*'前提と出典'!$B$5))</ns0:f>
        <ns0:v>584867.1284916201</ns0:v>
      </ns0:c>
      <ns0:c r="P593" s="16">
        <ns0:f>(E593+G593)*(1-'前提と出典'!$B$7)-I593-K593-M593-O593</ns0:f>
        <ns0:v>1659698.4342723559</ns0:v>
      </ns0:c>
      <ns0:c r="Q593" s="16">
        <ns0:f>(F593+H593)*(1-'前提と出典'!$B$7)-J593-L593-N593</ns0:f>
        <ns0:v>490546.01360169804</ns0:v>
      </ns0:c>
      <ns0:c r="R593" s="16">
        <ns0:f>P593-E593*'前提と出典'!$E$4</ns0:f>
        <ns0:v>1215497.0887356866</ns0:v>
      </ns0:c>
      <ns0:c r="S593" s="16">
        <ns0:f>Q593-F593*'前提と出典'!$E$4</ns0:f>
        <ns0:v>361472.4570300606</ns0:v>
      </ns0:c>
      <ns0:c r="T593" s="7">
        <ns0:f>R593+S593</ns0:f>
        <ns0:v>1576969.5457657473</ns0:v>
      </ns0:c>
      <ns0:c r="U593" s="16">
        <ns0:f>P593-E593*'前提と出典'!$E$5</ns0:f>
        <ns0:v>1067429.9735567968</ns0:v>
      </ns0:c>
      <ns0:c r="V593" s="16">
        <ns0:f>Q593-F593*'前提と出典'!$E$5</ns0:f>
        <ns0:v>318447.9381728481</ns0:v>
      </ns0:c>
      <ns0:c r="W593" s="7">
        <ns0:f>U593+V593</ns0:f>
        <ns0:v>1385877.911729645</ns0:v>
      </ns0:c>
      <ns0:c r="X593" s="16">
        <ns0:f>P593-E593*'前提と出典'!$E$6</ns0:f>
        <ns0:v>919362.8583779072</ns0:v>
      </ns0:c>
      <ns0:c r="Y593" s="16">
        <ns0:f>Q593-F593*'前提と出典'!$E$6</ns0:f>
        <ns0:v>275423.4193156357</ns0:v>
      </ns0:c>
      <ns0:c r="Z593" s="7">
        <ns0:f>X593+Y593</ns0:f>
        <ns0:v>1194786.277693543</ns0:v>
      </ns0:c>
      <ns0:c r="AA593" s="7">
        <ns0:f>IF(T593&gt;=0,A593,1001)</ns0:f>
        <ns0:v>589</ns0:v>
      </ns0:c>
      <ns0:c r="AB593" s="7">
        <ns0:f>IF(T593&lt;0,A593,0)</ns0:f>
        <ns0:v>0</ns0:v>
      </ns0:c>
      <ns0:c r="AC593" s="16">
        <ns0:f>IF(AND(OR('前提と出典'!$C$36+'前提と出典'!$C$38=0,R593&gt;=0),OR('前提と出典'!$C$37+'前提と出典'!$C$38=0,S593&gt;=0)),0,A593)</ns0:f>
        <ns0:v>0</ns0:v>
      </ns0:c>
      <ns0:c r="AD593" s="7">
        <ns0:f>IF(W593&gt;=0,A593,1001)</ns0:f>
        <ns0:v>589</ns0:v>
      </ns0:c>
      <ns0:c r="AE593" s="7">
        <ns0:f>IF(W593&lt;0,A593,0)</ns0:f>
        <ns0:v>0</ns0:v>
      </ns0:c>
      <ns0:c r="AF593" s="16">
        <ns0:f>IF(AND(OR('前提と出典'!$C$36+'前提と出典'!$C$38=0,U593&gt;=0),OR('前提と出典'!$C$37+'前提と出典'!$C$38=0,V593&gt;=0)),0,A593)</ns0:f>
        <ns0:v>0</ns0:v>
      </ns0:c>
      <ns0:c r="AG593" s="7">
        <ns0:f>IF(Z593&gt;=0,A593,1001)</ns0:f>
        <ns0:v>589</ns0:v>
      </ns0:c>
      <ns0:c r="AH593" s="4">
        <ns0:f>IF(Z593&lt;0,A593,0)</ns0:f>
        <ns0:v>0</ns0:v>
      </ns0:c>
      <ns0:c r="AI593" s="12">
        <ns0:f>IF(AND(OR('前提と出典'!$C$36+'前提と出典'!$C$38=0,X593&gt;=0),OR('前提と出典'!$C$37+'前提と出典'!$C$38=0,Y593&gt;=0)),0,A593)</ns0:f>
        <ns0:v>0</ns0:v>
      </ns0:c>
    </ns0:row>
    <ns0:row r="594" ht="24" customHeight="1">
      <ns0:c r="A594" s="4" t="n">
        <ns0:v>590</ns0:v>
      </ns0:c>
      <ns0:c r="B594" s="12">
        <ns0:f>A594*('前提と出典'!$C$36+'前提と出典'!$C$38)</ns0:f>
        <ns0:v>413</ns0:v>
      </ns0:c>
      <ns0:c r="C594" s="12">
        <ns0:f>A594*('前提と出典'!$C$37+'前提と出典'!$C$38)</ns0:f>
        <ns0:v>354</ns0:v>
      </ns0:c>
      <ns0:c r="D594" s="16">
        <ns0:f>A594*('前提と出典'!$C$36*'契約別単価'!C5+'前提と出典'!$C$37*'契約別単価'!C6+'前提と出典'!$C$38*'契約別単価'!C7)</ns0:f>
        <ns0:v>4245.36312849162</ns0:v>
      </ns0:c>
      <ns0:c r="E594" s="16">
        <ns0:f>A594*('前提と出典'!$C$36*'契約別単価'!E5+'前提と出典'!$C$37*'契約別単価'!E6+'前提と出典'!$C$38*'契約別単価'!E7)</ns0:f>
        <ns0:v>1483185.0247121388</ns0:v>
      </ns0:c>
      <ns0:c r="F594" s="16">
        <ns0:f>A594*('前提と出典'!$C$36*'契約別単価'!F5+'前提と出典'!$C$37*'契約別単価'!F6+'前提と出典'!$C$38*'契約別単価'!F7)</ns0:f>
        <ns0:v>430975.6557853203</ns0:v>
      </ns0:c>
      <ns0:c r="G594" s="16">
        <ns0:f>A594*('前提と出典'!$C$36*'契約別単価'!G5+'前提と出典'!$C$37*'契約別単価'!G6+'前提と出典'!$C$38*'契約別単価'!G7)</ns0:f>
        <ns0:v>1174396.6480446926</ns0:v>
      </ns0:c>
      <ns0:c r="H594" s="16">
        <ns0:f>A594*('前提と出典'!$C$36*'契約別単価'!H5+'前提と出典'!$C$37*'契約別単価'!H6+'前提と出典'!$C$38*'契約別単価'!H7)</ns0:f>
        <ns0:v>407574.53749192884</ns0:v>
      </ns0:c>
      <ns0:c r="I594" s="16">
        <ns0:f>A594*('前提と出典'!$C$36*'契約別単価'!I5+'前提と出典'!$C$37*'契約別単価'!I6+'前提と出典'!$C$38*'契約別単価'!I7)</ns0:f>
        <ns0:v>24895.363128491615</ns0:v>
      </ns0:c>
      <ns0:c r="J594" s="16">
        <ns0:f>A594*('前提と出典'!$C$36*'契約別単価'!J5+'前提と出典'!$C$37*'契約別単価'!J6+'前提と出典'!$C$38*'契約別単価'!J7)</ns0:f>
        <ns0:v>57990.830789078514</ns0:v>
      </ns0:c>
      <ns0:c r="K594" s="16">
        <ns0:f>A594*('前提と出典'!$C$36*'契約別単価'!K5+'前提と出典'!$C$37*'契約別単価'!K6+'前提と出典'!$C$38*'契約別単価'!K7)</ns0:f>
        <ns0:v>248569.08752327744</ns0:v>
      </ns0:c>
      <ns0:c r="L594" s="16">
        <ns0:f>A594*('前提と出典'!$C$36*'契約別単価'!L5+'前提と出典'!$C$37*'契約別単価'!L6+'前提と出典'!$C$38*'契約別単価'!L7)</ns0:f>
        <ns0:v>202385.81791639762</ns0:v>
      </ns0:c>
      <ns0:c r="M594" s="16">
        <ns0:f>IF(('前提と出典'!$C$36+'前提と出典'!$C$38)=0,0,IF(B594&lt;=10,'前提と出典'!B73+'前提と出典'!C73,IF(B594&lt;=100,'前提と出典'!B74+'前提と出典'!C74,IF(B594&lt;=500,'前提と出典'!B75+'前提と出典'!C75,'前提と出典'!B76+'前提と出典'!C76))))</ns0:f>
        <ns0:v>40000</ns0:v>
      </ns0:c>
      <ns0:c r="N594" s="16">
        <ns0:f>IF(('前提と出典'!$C$37+'前提と出典'!$C$38)=0,0,IF(C594&lt;=10,'前提と出典'!D73+'前提と出典'!E73,IF(C594&lt;=100,'前提と出典'!D74+'前提と出典'!E74,IF(C594&lt;=500,'前提と出典'!D75+'前提と出典'!E75,'前提と出典'!D76+'前提と出典'!E76))))</ns0:f>
        <ns0:v>56510.9346263078</ns0:v>
      </ns0:c>
      <ns0:c r="O594" s="16">
        <ns0:f>IF('前提と出典'!$C$36+'前提と出典'!$C$38=0,0,'前提と出典'!$B$4*IF('前提と出典'!$B$20=0,MAX('前提と出典'!$B$6,D594*'前提と出典'!$B$5),'前提と出典'!$B$6+D594*'前提と出典'!$B$5))</ns0:f>
        <ns0:v>585860.1117318436</ns0:v>
      </ns0:c>
      <ns0:c r="P594" s="16">
        <ns0:f>(E594+G594)*(1-'前提と出典'!$B$7)-I594-K594-M594-O594</ns0:f>
        <ns0:v>1662584.1701539727</ns0:v>
      </ns0:c>
      <ns0:c r="Q594" s="16">
        <ns0:f>(F594+H594)*(1-'前提と出典'!$B$7)-J594-L594-N594</ns0:f>
        <ns0:v>491474.80298748426</ns0:v>
      </ns0:c>
      <ns0:c r="R594" s="16">
        <ns0:f>P594-E594*'前提と出典'!$E$4</ns0:f>
        <ns0:v>1217628.6627403311</ns0:v>
      </ns0:c>
      <ns0:c r="S594" s="16">
        <ns0:f>Q594-F594*'前提と出典'!$E$4</ns0:f>
        <ns0:v>362182.1062518882</ns0:v>
      </ns0:c>
      <ns0:c r="T594" s="7">
        <ns0:f>R594+S594</ns0:f>
        <ns0:v>1579810.7689922194</ns0:v>
      </ns0:c>
      <ns0:c r="U594" s="16">
        <ns0:f>P594-E594*'前提と出典'!$E$5</ns0:f>
        <ns0:v>1069310.160269117</ns0:v>
      </ns0:c>
      <ns0:c r="V594" s="16">
        <ns0:f>Q594-F594*'前提と出典'!$E$5</ns0:f>
        <ns0:v>319084.54067335615</ns0:v>
      </ns0:c>
      <ns0:c r="W594" s="7">
        <ns0:f>U594+V594</ns0:f>
        <ns0:v>1388394.700942473</ns0:v>
      </ns0:c>
      <ns0:c r="X594" s="16">
        <ns0:f>P594-E594*'前提と出典'!$E$6</ns0:f>
        <ns0:v>920991.6577979033</ns0:v>
      </ns0:c>
      <ns0:c r="Y594" s="16">
        <ns0:f>Q594-F594*'前提と出典'!$E$6</ns0:f>
        <ns0:v>275986.9750948241</ns0:v>
      </ns0:c>
      <ns0:c r="Z594" s="7">
        <ns0:f>X594+Y594</ns0:f>
        <ns0:v>1196978.6328927274</ns0:v>
      </ns0:c>
      <ns0:c r="AA594" s="7">
        <ns0:f>IF(T594&gt;=0,A594,1001)</ns0:f>
        <ns0:v>590</ns0:v>
      </ns0:c>
      <ns0:c r="AB594" s="7">
        <ns0:f>IF(T594&lt;0,A594,0)</ns0:f>
        <ns0:v>0</ns0:v>
      </ns0:c>
      <ns0:c r="AC594" s="16">
        <ns0:f>IF(AND(OR('前提と出典'!$C$36+'前提と出典'!$C$38=0,R594&gt;=0),OR('前提と出典'!$C$37+'前提と出典'!$C$38=0,S594&gt;=0)),0,A594)</ns0:f>
        <ns0:v>0</ns0:v>
      </ns0:c>
      <ns0:c r="AD594" s="7">
        <ns0:f>IF(W594&gt;=0,A594,1001)</ns0:f>
        <ns0:v>590</ns0:v>
      </ns0:c>
      <ns0:c r="AE594" s="7">
        <ns0:f>IF(W594&lt;0,A594,0)</ns0:f>
        <ns0:v>0</ns0:v>
      </ns0:c>
      <ns0:c r="AF594" s="16">
        <ns0:f>IF(AND(OR('前提と出典'!$C$36+'前提と出典'!$C$38=0,U594&gt;=0),OR('前提と出典'!$C$37+'前提と出典'!$C$38=0,V594&gt;=0)),0,A594)</ns0:f>
        <ns0:v>0</ns0:v>
      </ns0:c>
      <ns0:c r="AG594" s="7">
        <ns0:f>IF(Z594&gt;=0,A594,1001)</ns0:f>
        <ns0:v>590</ns0:v>
      </ns0:c>
      <ns0:c r="AH594" s="4">
        <ns0:f>IF(Z594&lt;0,A594,0)</ns0:f>
        <ns0:v>0</ns0:v>
      </ns0:c>
      <ns0:c r="AI594" s="12">
        <ns0:f>IF(AND(OR('前提と出典'!$C$36+'前提と出典'!$C$38=0,X594&gt;=0),OR('前提と出典'!$C$37+'前提と出典'!$C$38=0,Y594&gt;=0)),0,A594)</ns0:f>
        <ns0:v>0</ns0:v>
      </ns0:c>
    </ns0:row>
    <ns0:row r="595" ht="24" customHeight="1">
      <ns0:c r="A595" s="4" t="n">
        <ns0:v>591</ns0:v>
      </ns0:c>
      <ns0:c r="B595" s="12">
        <ns0:f>A595*('前提と出典'!$C$36+'前提と出典'!$C$38)</ns0:f>
        <ns0:v>413.7</ns0:v>
      </ns0:c>
      <ns0:c r="C595" s="12">
        <ns0:f>A595*('前提と出典'!$C$37+'前提と出典'!$C$38)</ns0:f>
        <ns0:v>354.59999999999997</ns0:v>
      </ns0:c>
      <ns0:c r="D595" s="16">
        <ns0:f>A595*('前提と出典'!$C$36*'契約別単価'!C5+'前提と出典'!$C$37*'契約別単価'!C6+'前提と出典'!$C$38*'契約別単価'!C7)</ns0:f>
        <ns0:v>4252.558659217877</ns0:v>
      </ns0:c>
      <ns0:c r="E595" s="16">
        <ns0:f>A595*('前提と出典'!$C$36*'契約別単価'!E5+'前提と出典'!$C$37*'契約別単価'!E6+'前提と出典'!$C$38*'契約別単価'!E7)</ns0:f>
        <ns0:v>1485698.8976353798</ns0:v>
      </ns0:c>
      <ns0:c r="F595" s="16">
        <ns0:f>A595*('前提と出典'!$C$36*'契約別単価'!F5+'前提と出典'!$C$37*'契約別単価'!F6+'前提と出典'!$C$38*'契約別単価'!F7)</ns0:f>
        <ns0:v>431706.1229985158</ns0:v>
      </ns0:c>
      <ns0:c r="G595" s="16">
        <ns0:f>A595*('前提と出典'!$C$36*'契約別単価'!G5+'前提と出典'!$C$37*'契約別単価'!G6+'前提と出典'!$C$38*'契約別単価'!G7)</ns0:f>
        <ns0:v>1176387.1508379888</ns0:v>
      </ns0:c>
      <ns0:c r="H595" s="16">
        <ns0:f>A595*('前提と出典'!$C$36*'契約別単価'!H5+'前提と出典'!$C$37*'契約別単価'!H6+'前提と出典'!$C$38*'契約別単価'!H7)</ns0:f>
        <ns0:v>408265.3417927626</ns0:v>
      </ns0:c>
      <ns0:c r="I595" s="16">
        <ns0:f>A595*('前提と出典'!$C$36*'契約別単価'!I5+'前提と出典'!$C$37*'契約別単価'!I6+'前提と出典'!$C$38*'契約別単価'!I7)</ns0:f>
        <ns0:v>24937.558659217873</ns0:v>
      </ns0:c>
      <ns0:c r="J595" s="16">
        <ns0:f>A595*('前提と出典'!$C$36*'契約別単価'!J5+'前提と出典'!$C$37*'契約別単価'!J6+'前提と出典'!$C$38*'契約別単価'!J7)</ns0:f>
        <ns0:v>58089.120332788814</ns0:v>
      </ns0:c>
      <ns0:c r="K595" s="16">
        <ns0:f>A595*('前提と出典'!$C$36*'契約別単価'!K5+'前提と出典'!$C$37*'契約別単価'!K6+'前提と出典'!$C$38*'契約別単価'!K7)</ns0:f>
        <ns0:v>248990.3910614525</ns0:v>
      </ns0:c>
      <ns0:c r="L595" s="16">
        <ns0:f>A595*('前提と出典'!$C$36*'契約別単価'!L5+'前提と出典'!$C$37*'契約別単価'!L6+'前提と出典'!$C$38*'契約別単価'!L7)</ns0:f>
        <ns0:v>202728.84472642542</ns0:v>
      </ns0:c>
      <ns0:c r="M595" s="16">
        <ns0:f>IF(('前提と出典'!$C$36+'前提と出典'!$C$38)=0,0,IF(B595&lt;=10,'前提と出典'!B73+'前提と出典'!C73,IF(B595&lt;=100,'前提と出典'!B74+'前提と出典'!C74,IF(B595&lt;=500,'前提と出典'!B75+'前提と出典'!C75,'前提と出典'!B76+'前提と出典'!C76))))</ns0:f>
        <ns0:v>40000</ns0:v>
      </ns0:c>
      <ns0:c r="N595" s="16">
        <ns0:f>IF(('前提と出典'!$C$37+'前提と出典'!$C$38)=0,0,IF(C595&lt;=10,'前提と出典'!D73+'前提と出典'!E73,IF(C595&lt;=100,'前提と出典'!D74+'前提と出典'!E74,IF(C595&lt;=500,'前提と出典'!D75+'前提と出典'!E75,'前提と出典'!D76+'前提と出典'!E76))))</ns0:f>
        <ns0:v>56510.9346263078</ns0:v>
      </ns0:c>
      <ns0:c r="O595" s="16">
        <ns0:f>IF('前提と出典'!$C$36+'前提と出典'!$C$38=0,0,'前提と出典'!$B$4*IF('前提と出典'!$B$20=0,MAX('前提と出典'!$B$6,D595*'前提と出典'!$B$5),'前提と出典'!$B$6+D595*'前提と出典'!$B$5))</ns0:f>
        <ns0:v>586853.094972067</ns0:v>
      </ns0:c>
      <ns0:c r="P595" s="16">
        <ns0:f>(E595+G595)*(1-'前提と出典'!$B$7)-I595-K595-M595-O595</ns0:f>
        <ns0:v>1665469.9060355895</ns0:v>
      </ns0:c>
      <ns0:c r="Q595" s="16">
        <ns0:f>(F595+H595)*(1-'前提と出典'!$B$7)-J595-L595-N595</ns0:f>
        <ns0:v>492403.59237327037</ns0:v>
      </ns0:c>
      <ns0:c r="R595" s="16">
        <ns0:f>P595-E595*'前提と出典'!$E$4</ns0:f>
        <ns0:v>1219760.236744976</ns0:v>
      </ns0:c>
      <ns0:c r="S595" s="16">
        <ns0:f>Q595-F595*'前提と出典'!$E$4</ns0:f>
        <ns0:v>362891.75547371566</ns0:v>
      </ns0:c>
      <ns0:c r="T595" s="7">
        <ns0:f>R595+S595</ns0:f>
        <ns0:v>1582651.9922186916</ns0:v>
      </ns0:c>
      <ns0:c r="U595" s="16">
        <ns0:f>P595-E595*'前提と出典'!$E$5</ns0:f>
        <ns0:v>1071190.3469814376</ns0:v>
      </ns0:c>
      <ns0:c r="V595" s="16">
        <ns0:f>Q595-F595*'前提と出典'!$E$5</ns0:f>
        <ns0:v>319721.14317386405</ns0:v>
      </ns0:c>
      <ns0:c r="W595" s="7">
        <ns0:f>U595+V595</ns0:f>
        <ns0:v>1390911.4901553018</ns0:v>
      </ns0:c>
      <ns0:c r="X595" s="16">
        <ns0:f>P595-E595*'前提と出典'!$E$6</ns0:f>
        <ns0:v>922620.4572178998</ns0:v>
      </ns0:c>
      <ns0:c r="Y595" s="16">
        <ns0:f>Q595-F595*'前提と出典'!$E$6</ns0:f>
        <ns0:v>276550.53087401245</ns0:v>
      </ns0:c>
      <ns0:c r="Z595" s="7">
        <ns0:f>X595+Y595</ns0:f>
        <ns0:v>1199170.9880919124</ns0:v>
      </ns0:c>
      <ns0:c r="AA595" s="7">
        <ns0:f>IF(T595&gt;=0,A595,1001)</ns0:f>
        <ns0:v>591</ns0:v>
      </ns0:c>
      <ns0:c r="AB595" s="7">
        <ns0:f>IF(T595&lt;0,A595,0)</ns0:f>
        <ns0:v>0</ns0:v>
      </ns0:c>
      <ns0:c r="AC595" s="16">
        <ns0:f>IF(AND(OR('前提と出典'!$C$36+'前提と出典'!$C$38=0,R595&gt;=0),OR('前提と出典'!$C$37+'前提と出典'!$C$38=0,S595&gt;=0)),0,A595)</ns0:f>
        <ns0:v>0</ns0:v>
      </ns0:c>
      <ns0:c r="AD595" s="7">
        <ns0:f>IF(W595&gt;=0,A595,1001)</ns0:f>
        <ns0:v>591</ns0:v>
      </ns0:c>
      <ns0:c r="AE595" s="7">
        <ns0:f>IF(W595&lt;0,A595,0)</ns0:f>
        <ns0:v>0</ns0:v>
      </ns0:c>
      <ns0:c r="AF595" s="16">
        <ns0:f>IF(AND(OR('前提と出典'!$C$36+'前提と出典'!$C$38=0,U595&gt;=0),OR('前提と出典'!$C$37+'前提と出典'!$C$38=0,V595&gt;=0)),0,A595)</ns0:f>
        <ns0:v>0</ns0:v>
      </ns0:c>
      <ns0:c r="AG595" s="7">
        <ns0:f>IF(Z595&gt;=0,A595,1001)</ns0:f>
        <ns0:v>591</ns0:v>
      </ns0:c>
      <ns0:c r="AH595" s="4">
        <ns0:f>IF(Z595&lt;0,A595,0)</ns0:f>
        <ns0:v>0</ns0:v>
      </ns0:c>
      <ns0:c r="AI595" s="12">
        <ns0:f>IF(AND(OR('前提と出典'!$C$36+'前提と出典'!$C$38=0,X595&gt;=0),OR('前提と出典'!$C$37+'前提と出典'!$C$38=0,Y595&gt;=0)),0,A595)</ns0:f>
        <ns0:v>0</ns0:v>
      </ns0:c>
    </ns0:row>
    <ns0:row r="596" ht="24" customHeight="1">
      <ns0:c r="A596" s="4" t="n">
        <ns0:v>592</ns0:v>
      </ns0:c>
      <ns0:c r="B596" s="12">
        <ns0:f>A596*('前提と出典'!$C$36+'前提と出典'!$C$38)</ns0:f>
        <ns0:v>414.4</ns0:v>
      </ns0:c>
      <ns0:c r="C596" s="12">
        <ns0:f>A596*('前提と出典'!$C$37+'前提と出典'!$C$38)</ns0:f>
        <ns0:v>355.2</ns0:v>
      </ns0:c>
      <ns0:c r="D596" s="16">
        <ns0:f>A596*('前提と出典'!$C$36*'契約別単価'!C5+'前提と出典'!$C$37*'契約別単価'!C6+'前提と出典'!$C$38*'契約別単価'!C7)</ns0:f>
        <ns0:v>4259.754189944134</ns0:v>
      </ns0:c>
      <ns0:c r="E596" s="16">
        <ns0:f>A596*('前提と出典'!$C$36*'契約別単価'!E5+'前提と出典'!$C$37*'契約別単価'!E6+'前提と出典'!$C$38*'契約別単価'!E7)</ns0:f>
        <ns0:v>1488212.7705586206</ns0:v>
      </ns0:c>
      <ns0:c r="F596" s="16">
        <ns0:f>A596*('前提と出典'!$C$36*'契約別単価'!F5+'前提と出典'!$C$37*'契約別単価'!F6+'前提と出典'!$C$38*'契約別単価'!F7)</ns0:f>
        <ns0:v>432436.59021171124</ns0:v>
      </ns0:c>
      <ns0:c r="G596" s="16">
        <ns0:f>A596*('前提と出典'!$C$36*'契約別単価'!G5+'前提と出典'!$C$37*'契約別単価'!G6+'前提と出典'!$C$38*'契約別単価'!G7)</ns0:f>
        <ns0:v>1178377.6536312848</ns0:v>
      </ns0:c>
      <ns0:c r="H596" s="16">
        <ns0:f>A596*('前提と出典'!$C$36*'契約別単価'!H5+'前提と出典'!$C$37*'契約別単価'!H6+'前提と出典'!$C$38*'契約別単価'!H7)</ns0:f>
        <ns0:v>408956.1460935964</ns0:v>
      </ns0:c>
      <ns0:c r="I596" s="16">
        <ns0:f>A596*('前提と出典'!$C$36*'契約別単価'!I5+'前提と出典'!$C$37*'契約別単価'!I6+'前提と出典'!$C$38*'契約別単価'!I7)</ns0:f>
        <ns0:v>24979.75418994413</ns0:v>
      </ns0:c>
      <ns0:c r="J596" s="16">
        <ns0:f>A596*('前提と出典'!$C$36*'契約別単価'!J5+'前提と出典'!$C$37*'契約別単価'!J6+'前提と出典'!$C$38*'契約別単価'!J7)</ns0:f>
        <ns0:v>58187.40987649912</ns0:v>
      </ns0:c>
      <ns0:c r="K596" s="16">
        <ns0:f>A596*('前提と出典'!$C$36*'契約別単価'!K5+'前提と出典'!$C$37*'契約別単価'!K6+'前提と出典'!$C$38*'契約別単価'!K7)</ns0:f>
        <ns0:v>249411.69459962755</ns0:v>
      </ns0:c>
      <ns0:c r="L596" s="16">
        <ns0:f>A596*('前提と出典'!$C$36*'契約別単価'!L5+'前提と出典'!$C$37*'契約別単価'!L6+'前提と出典'!$C$38*'契約別単価'!L7)</ns0:f>
        <ns0:v>203071.8715364532</ns0:v>
      </ns0:c>
      <ns0:c r="M596" s="16">
        <ns0:f>IF(('前提と出典'!$C$36+'前提と出典'!$C$38)=0,0,IF(B596&lt;=10,'前提と出典'!B73+'前提と出典'!C73,IF(B596&lt;=100,'前提と出典'!B74+'前提と出典'!C74,IF(B596&lt;=500,'前提と出典'!B75+'前提と出典'!C75,'前提と出典'!B76+'前提と出典'!C76))))</ns0:f>
        <ns0:v>40000</ns0:v>
      </ns0:c>
      <ns0:c r="N596" s="16">
        <ns0:f>IF(('前提と出典'!$C$37+'前提と出典'!$C$38)=0,0,IF(C596&lt;=10,'前提と出典'!D73+'前提と出典'!E73,IF(C596&lt;=100,'前提と出典'!D74+'前提と出典'!E74,IF(C596&lt;=500,'前提と出典'!D75+'前提と出典'!E75,'前提と出典'!D76+'前提と出典'!E76))))</ns0:f>
        <ns0:v>56510.9346263078</ns0:v>
      </ns0:c>
      <ns0:c r="O596" s="16">
        <ns0:f>IF('前提と出典'!$C$36+'前提と出典'!$C$38=0,0,'前提と出典'!$B$4*IF('前提と出典'!$B$20=0,MAX('前提と出典'!$B$6,D596*'前提と出典'!$B$5),'前提と出典'!$B$6+D596*'前提と出典'!$B$5))</ns0:f>
        <ns0:v>587846.0782122905</ns0:v>
      </ns0:c>
      <ns0:c r="P596" s="16">
        <ns0:f>(E596+G596)*(1-'前提と出典'!$B$7)-I596-K596-M596-O596</ns0:f>
        <ns0:v>1668355.6419172068</ns0:v>
      </ns0:c>
      <ns0:c r="Q596" s="16">
        <ns0:f>(F596+H596)*(1-'前提と出典'!$B$7)-J596-L596-N596</ns0:f>
        <ns0:v>493332.3817590564</ns0:v>
      </ns0:c>
      <ns0:c r="R596" s="16">
        <ns0:f>P596-E596*'前提と出典'!$E$4</ns0:f>
        <ns0:v>1221891.8107496207</ns0:v>
      </ns0:c>
      <ns0:c r="S596" s="16">
        <ns0:f>Q596-F596*'前提と出典'!$E$4</ns0:f>
        <ns0:v>363601.40469554305</ns0:v>
      </ns0:c>
      <ns0:c r="T596" s="7">
        <ns0:f>R596+S596</ns0:f>
        <ns0:v>1585493.2154451637</ns0:v>
      </ns0:c>
      <ns0:c r="U596" s="16">
        <ns0:f>P596-E596*'前提と出典'!$E$5</ns0:f>
        <ns0:v>1073070.5336937585</ns0:v>
      </ns0:c>
      <ns0:c r="V596" s="16">
        <ns0:f>Q596-F596*'前提と出典'!$E$5</ns0:f>
        <ns0:v>320357.7456743719</ns0:v>
      </ns0:c>
      <ns0:c r="W596" s="7">
        <ns0:f>U596+V596</ns0:f>
        <ns0:v>1393428.2793681305</ns0:v>
      </ns0:c>
      <ns0:c r="X596" s="16">
        <ns0:f>P596-E596*'前提と出典'!$E$6</ns0:f>
        <ns0:v>924249.2566378964</ns0:v>
      </ns0:c>
      <ns0:c r="Y596" s="16">
        <ns0:f>Q596-F596*'前提と出典'!$E$6</ns0:f>
        <ns0:v>277114.08665320073</ns0:v>
      </ns0:c>
      <ns0:c r="Z596" s="7">
        <ns0:f>X596+Y596</ns0:f>
        <ns0:v>1201363.343291097</ns0:v>
      </ns0:c>
      <ns0:c r="AA596" s="7">
        <ns0:f>IF(T596&gt;=0,A596,1001)</ns0:f>
        <ns0:v>592</ns0:v>
      </ns0:c>
      <ns0:c r="AB596" s="7">
        <ns0:f>IF(T596&lt;0,A596,0)</ns0:f>
        <ns0:v>0</ns0:v>
      </ns0:c>
      <ns0:c r="AC596" s="16">
        <ns0:f>IF(AND(OR('前提と出典'!$C$36+'前提と出典'!$C$38=0,R596&gt;=0),OR('前提と出典'!$C$37+'前提と出典'!$C$38=0,S596&gt;=0)),0,A596)</ns0:f>
        <ns0:v>0</ns0:v>
      </ns0:c>
      <ns0:c r="AD596" s="7">
        <ns0:f>IF(W596&gt;=0,A596,1001)</ns0:f>
        <ns0:v>592</ns0:v>
      </ns0:c>
      <ns0:c r="AE596" s="7">
        <ns0:f>IF(W596&lt;0,A596,0)</ns0:f>
        <ns0:v>0</ns0:v>
      </ns0:c>
      <ns0:c r="AF596" s="16">
        <ns0:f>IF(AND(OR('前提と出典'!$C$36+'前提と出典'!$C$38=0,U596&gt;=0),OR('前提と出典'!$C$37+'前提と出典'!$C$38=0,V596&gt;=0)),0,A596)</ns0:f>
        <ns0:v>0</ns0:v>
      </ns0:c>
      <ns0:c r="AG596" s="7">
        <ns0:f>IF(Z596&gt;=0,A596,1001)</ns0:f>
        <ns0:v>592</ns0:v>
      </ns0:c>
      <ns0:c r="AH596" s="4">
        <ns0:f>IF(Z596&lt;0,A596,0)</ns0:f>
        <ns0:v>0</ns0:v>
      </ns0:c>
      <ns0:c r="AI596" s="12">
        <ns0:f>IF(AND(OR('前提と出典'!$C$36+'前提と出典'!$C$38=0,X596&gt;=0),OR('前提と出典'!$C$37+'前提と出典'!$C$38=0,Y596&gt;=0)),0,A596)</ns0:f>
        <ns0:v>0</ns0:v>
      </ns0:c>
    </ns0:row>
    <ns0:row r="597" ht="24" customHeight="1">
      <ns0:c r="A597" s="4" t="n">
        <ns0:v>593</ns0:v>
      </ns0:c>
      <ns0:c r="B597" s="12">
        <ns0:f>A597*('前提と出典'!$C$36+'前提と出典'!$C$38)</ns0:f>
        <ns0:v>415.09999999999997</ns0:v>
      </ns0:c>
      <ns0:c r="C597" s="12">
        <ns0:f>A597*('前提と出典'!$C$37+'前提と出典'!$C$38)</ns0:f>
        <ns0:v>355.8</ns0:v>
      </ns0:c>
      <ns0:c r="D597" s="16">
        <ns0:f>A597*('前提と出典'!$C$36*'契約別単価'!C5+'前提と出典'!$C$37*'契約別単価'!C6+'前提と出典'!$C$38*'契約別単価'!C7)</ns0:f>
        <ns0:v>4266.949720670391</ns0:v>
      </ns0:c>
      <ns0:c r="E597" s="16">
        <ns0:f>A597*('前提と出典'!$C$36*'契約別単価'!E5+'前提と出典'!$C$37*'契約別単価'!E6+'前提と出典'!$C$38*'契約別単価'!E7)</ns0:f>
        <ns0:v>1490726.6434818616</ns0:v>
      </ns0:c>
      <ns0:c r="F597" s="16">
        <ns0:f>A597*('前提と出典'!$C$36*'契約別単価'!F5+'前提と出典'!$C$37*'契約別単価'!F6+'前提と出典'!$C$38*'契約別単価'!F7)</ns0:f>
        <ns0:v>433167.0574249067</ns0:v>
      </ns0:c>
      <ns0:c r="G597" s="16">
        <ns0:f>A597*('前提と出典'!$C$36*'契約別単価'!G5+'前提と出典'!$C$37*'契約別単価'!G6+'前提と出典'!$C$38*'契約別単価'!G7)</ns0:f>
        <ns0:v>1180368.1564245808</ns0:v>
      </ns0:c>
      <ns0:c r="H597" s="16">
        <ns0:f>A597*('前提と出典'!$C$36*'契約別単価'!H5+'前提と出典'!$C$37*'契約別単価'!H6+'前提と出典'!$C$38*'契約別単価'!H7)</ns0:f>
        <ns0:v>409646.9503944302</ns0:v>
      </ns0:c>
      <ns0:c r="I597" s="16">
        <ns0:f>A597*('前提と出典'!$C$36*'契約別単価'!I5+'前提と出典'!$C$37*'契約別単価'!I6+'前提と出典'!$C$38*'契約別単価'!I7)</ns0:f>
        <ns0:v>25021.949720670385</ns0:v>
      </ns0:c>
      <ns0:c r="J597" s="16">
        <ns0:f>A597*('前提と出典'!$C$36*'契約別単価'!J5+'前提と出典'!$C$37*'契約別単価'!J6+'前提と出典'!$C$38*'契約別単価'!J7)</ns0:f>
        <ns0:v>58285.69942020942</ns0:v>
      </ns0:c>
      <ns0:c r="K597" s="16">
        <ns0:f>A597*('前提と出典'!$C$36*'契約別単価'!K5+'前提と出典'!$C$37*'契約別単価'!K6+'前提と出典'!$C$38*'契約別単価'!K7)</ns0:f>
        <ns0:v>249832.99813780258</ns0:v>
      </ns0:c>
      <ns0:c r="L597" s="16">
        <ns0:f>A597*('前提と出典'!$C$36*'契約別単価'!L5+'前提と出典'!$C$37*'契約別単価'!L6+'前提と出典'!$C$38*'契約別単価'!L7)</ns0:f>
        <ns0:v>203414.898346481</ns0:v>
      </ns0:c>
      <ns0:c r="M597" s="16">
        <ns0:f>IF(('前提と出典'!$C$36+'前提と出典'!$C$38)=0,0,IF(B597&lt;=10,'前提と出典'!B73+'前提と出典'!C73,IF(B597&lt;=100,'前提と出典'!B74+'前提と出典'!C74,IF(B597&lt;=500,'前提と出典'!B75+'前提と出典'!C75,'前提と出典'!B76+'前提と出典'!C76))))</ns0:f>
        <ns0:v>40000</ns0:v>
      </ns0:c>
      <ns0:c r="N597" s="16">
        <ns0:f>IF(('前提と出典'!$C$37+'前提と出典'!$C$38)=0,0,IF(C597&lt;=10,'前提と出典'!D73+'前提と出典'!E73,IF(C597&lt;=100,'前提と出典'!D74+'前提と出典'!E74,IF(C597&lt;=500,'前提と出典'!D75+'前提と出典'!E75,'前提と出典'!D76+'前提と出典'!E76))))</ns0:f>
        <ns0:v>56510.9346263078</ns0:v>
      </ns0:c>
      <ns0:c r="O597" s="16">
        <ns0:f>IF('前提と出典'!$C$36+'前提と出典'!$C$38=0,0,'前提と出典'!$B$4*IF('前提と出典'!$B$20=0,MAX('前提と出典'!$B$6,D597*'前提と出典'!$B$5),'前提と出典'!$B$6+D597*'前提と出典'!$B$5))</ns0:f>
        <ns0:v>588839.0614525139</ns0:v>
      </ns0:c>
      <ns0:c r="P597" s="16">
        <ns0:f>(E597+G597)*(1-'前提と出典'!$B$7)-I597-K597-M597-O597</ns0:f>
        <ns0:v>1671241.3777988234</ns0:v>
      </ns0:c>
      <ns0:c r="Q597" s="16">
        <ns0:f>(F597+H597)*(1-'前提と出典'!$B$7)-J597-L597-N597</ns0:f>
        <ns0:v>494261.1711448425</ns0:v>
      </ns0:c>
      <ns0:c r="R597" s="16">
        <ns0:f>P597-E597*'前提と出典'!$E$4</ns0:f>
        <ns0:v>1224023.3847542652</ns0:v>
      </ns0:c>
      <ns0:c r="S597" s="16">
        <ns0:f>Q597-F597*'前提と出典'!$E$4</ns0:f>
        <ns0:v>364311.0539173705</ns0:v>
      </ns0:c>
      <ns0:c r="T597" s="7">
        <ns0:f>R597+S597</ns0:f>
        <ns0:v>1588334.4386716357</ns0:v>
      </ns0:c>
      <ns0:c r="U597" s="16">
        <ns0:f>P597-E597*'前提と出典'!$E$5</ns0:f>
        <ns0:v>1074950.7204060787</ns0:v>
      </ns0:c>
      <ns0:c r="V597" s="16">
        <ns0:f>Q597-F597*'前提と出典'!$E$5</ns0:f>
        <ns0:v>320994.3481748798</ns0:v>
      </ns0:c>
      <ns0:c r="W597" s="7">
        <ns0:f>U597+V597</ns0:f>
        <ns0:v>1395945.0685809585</ns0:v>
      </ns0:c>
      <ns0:c r="X597" s="16">
        <ns0:f>P597-E597*'前提と出典'!$E$6</ns0:f>
        <ns0:v>925878.0560578926</ns0:v>
      </ns0:c>
      <ns0:c r="Y597" s="16">
        <ns0:f>Q597-F597*'前提と出典'!$E$6</ns0:f>
        <ns0:v>277677.6424323892</ns0:v>
      </ns0:c>
      <ns0:c r="Z597" s="7">
        <ns0:f>X597+Y597</ns0:f>
        <ns0:v>1203555.6984902818</ns0:v>
      </ns0:c>
      <ns0:c r="AA597" s="7">
        <ns0:f>IF(T597&gt;=0,A597,1001)</ns0:f>
        <ns0:v>593</ns0:v>
      </ns0:c>
      <ns0:c r="AB597" s="7">
        <ns0:f>IF(T597&lt;0,A597,0)</ns0:f>
        <ns0:v>0</ns0:v>
      </ns0:c>
      <ns0:c r="AC597" s="16">
        <ns0:f>IF(AND(OR('前提と出典'!$C$36+'前提と出典'!$C$38=0,R597&gt;=0),OR('前提と出典'!$C$37+'前提と出典'!$C$38=0,S597&gt;=0)),0,A597)</ns0:f>
        <ns0:v>0</ns0:v>
      </ns0:c>
      <ns0:c r="AD597" s="7">
        <ns0:f>IF(W597&gt;=0,A597,1001)</ns0:f>
        <ns0:v>593</ns0:v>
      </ns0:c>
      <ns0:c r="AE597" s="7">
        <ns0:f>IF(W597&lt;0,A597,0)</ns0:f>
        <ns0:v>0</ns0:v>
      </ns0:c>
      <ns0:c r="AF597" s="16">
        <ns0:f>IF(AND(OR('前提と出典'!$C$36+'前提と出典'!$C$38=0,U597&gt;=0),OR('前提と出典'!$C$37+'前提と出典'!$C$38=0,V597&gt;=0)),0,A597)</ns0:f>
        <ns0:v>0</ns0:v>
      </ns0:c>
      <ns0:c r="AG597" s="7">
        <ns0:f>IF(Z597&gt;=0,A597,1001)</ns0:f>
        <ns0:v>593</ns0:v>
      </ns0:c>
      <ns0:c r="AH597" s="4">
        <ns0:f>IF(Z597&lt;0,A597,0)</ns0:f>
        <ns0:v>0</ns0:v>
      </ns0:c>
      <ns0:c r="AI597" s="12">
        <ns0:f>IF(AND(OR('前提と出典'!$C$36+'前提と出典'!$C$38=0,X597&gt;=0),OR('前提と出典'!$C$37+'前提と出典'!$C$38=0,Y597&gt;=0)),0,A597)</ns0:f>
        <ns0:v>0</ns0:v>
      </ns0:c>
    </ns0:row>
    <ns0:row r="598" ht="24" customHeight="1">
      <ns0:c r="A598" s="4" t="n">
        <ns0:v>594</ns0:v>
      </ns0:c>
      <ns0:c r="B598" s="12">
        <ns0:f>A598*('前提と出典'!$C$36+'前提と出典'!$C$38)</ns0:f>
        <ns0:v>415.79999999999995</ns0:v>
      </ns0:c>
      <ns0:c r="C598" s="12">
        <ns0:f>A598*('前提と出典'!$C$37+'前提と出典'!$C$38)</ns0:f>
        <ns0:v>356.4</ns0:v>
      </ns0:c>
      <ns0:c r="D598" s="16">
        <ns0:f>A598*('前提と出典'!$C$36*'契約別単価'!C5+'前提と出典'!$C$37*'契約別単価'!C6+'前提と出典'!$C$38*'契約別単価'!C7)</ns0:f>
        <ns0:v>4274.145251396648</ns0:v>
      </ns0:c>
      <ns0:c r="E598" s="16">
        <ns0:f>A598*('前提と出典'!$C$36*'契約別単価'!E5+'前提と出典'!$C$37*'契約別単価'!E6+'前提と出典'!$C$38*'契約別単価'!E7)</ns0:f>
        <ns0:v>1493240.5164051026</ns0:v>
      </ns0:c>
      <ns0:c r="F598" s="16">
        <ns0:f>A598*('前提と出典'!$C$36*'契約別単価'!F5+'前提と出典'!$C$37*'契約別単価'!F6+'前提と出典'!$C$38*'契約別単価'!F7)</ns0:f>
        <ns0:v>433897.52463810216</ns0:v>
      </ns0:c>
      <ns0:c r="G598" s="16">
        <ns0:f>A598*('前提と出典'!$C$36*'契約別単価'!G5+'前提と出典'!$C$37*'契約別単価'!G6+'前提と出典'!$C$38*'契約別単価'!G7)</ns0:f>
        <ns0:v>1182358.659217877</ns0:v>
      </ns0:c>
      <ns0:c r="H598" s="16">
        <ns0:f>A598*('前提と出典'!$C$36*'契約別単価'!H5+'前提と出典'!$C$37*'契約別単価'!H6+'前提と出典'!$C$38*'契約別単価'!H7)</ns0:f>
        <ns0:v>410337.7546952639</ns0:v>
      </ns0:c>
      <ns0:c r="I598" s="16">
        <ns0:f>A598*('前提と出典'!$C$36*'契約別単価'!I5+'前提と出典'!$C$37*'契約別単価'!I6+'前提と出典'!$C$38*'契約別単価'!I7)</ns0:f>
        <ns0:v>25064.145251396643</ns0:v>
      </ns0:c>
      <ns0:c r="J598" s="16">
        <ns0:f>A598*('前提と出典'!$C$36*'契約別単価'!J5+'前提と出典'!$C$37*'契約別単価'!J6+'前提と出典'!$C$38*'契約別単価'!J7)</ns0:f>
        <ns0:v>58383.98896391973</ns0:v>
      </ns0:c>
      <ns0:c r="K598" s="16">
        <ns0:f>A598*('前提と出典'!$C$36*'契約別単価'!K5+'前提と出典'!$C$37*'契約別単価'!K6+'前提と出典'!$C$38*'契約別単価'!K7)</ns0:f>
        <ns0:v>250254.30167597765</ns0:v>
      </ns0:c>
      <ns0:c r="L598" s="16">
        <ns0:f>A598*('前提と出典'!$C$36*'契約別単価'!L5+'前提と出典'!$C$37*'契約別単価'!L6+'前提と出典'!$C$38*'契約別単価'!L7)</ns0:f>
        <ns0:v>203757.9251565088</ns0:v>
      </ns0:c>
      <ns0:c r="M598" s="16">
        <ns0:f>IF(('前提と出典'!$C$36+'前提と出典'!$C$38)=0,0,IF(B598&lt;=10,'前提と出典'!B73+'前提と出典'!C73,IF(B598&lt;=100,'前提と出典'!B74+'前提と出典'!C74,IF(B598&lt;=500,'前提と出典'!B75+'前提と出典'!C75,'前提と出典'!B76+'前提と出典'!C76))))</ns0:f>
        <ns0:v>40000</ns0:v>
      </ns0:c>
      <ns0:c r="N598" s="16">
        <ns0:f>IF(('前提と出典'!$C$37+'前提と出典'!$C$38)=0,0,IF(C598&lt;=10,'前提と出典'!D73+'前提と出典'!E73,IF(C598&lt;=100,'前提と出典'!D74+'前提と出典'!E74,IF(C598&lt;=500,'前提と出典'!D75+'前提と出典'!E75,'前提と出典'!D76+'前提と出典'!E76))))</ns0:f>
        <ns0:v>56510.9346263078</ns0:v>
      </ns0:c>
      <ns0:c r="O598" s="16">
        <ns0:f>IF('前提と出典'!$C$36+'前提と出典'!$C$38=0,0,'前提と出典'!$B$4*IF('前提と出典'!$B$20=0,MAX('前提と出典'!$B$6,D598*'前提と出典'!$B$5),'前提と出典'!$B$6+D598*'前提と出典'!$B$5))</ns0:f>
        <ns0:v>589832.0446927374</ns0:v>
      </ns0:c>
      <ns0:c r="P598" s="16">
        <ns0:f>(E598+G598)*(1-'前提と出典'!$B$7)-I598-K598-M598-O598</ns0:f>
        <ns0:v>1674127.1136804407</ns0:v>
      </ns0:c>
      <ns0:c r="Q598" s="16">
        <ns0:f>(F598+H598)*(1-'前提と出典'!$B$7)-J598-L598-N598</ns0:f>
        <ns0:v>495189.9605306286</ns0:v>
      </ns0:c>
      <ns0:c r="R598" s="16">
        <ns0:f>P598-E598*'前提と出典'!$E$4</ns0:f>
        <ns0:v>1226154.9587589097</ns0:v>
      </ns0:c>
      <ns0:c r="S598" s="16">
        <ns0:f>Q598-F598*'前提と出典'!$E$4</ns0:f>
        <ns0:v>365020.7031391979</ns0:v>
      </ns0:c>
      <ns0:c r="T598" s="7">
        <ns0:f>R598+S598</ns0:f>
        <ns0:v>1591175.6618981077</ns0:v>
      </ns0:c>
      <ns0:c r="U598" s="16">
        <ns0:f>P598-E598*'前提と出典'!$E$5</ns0:f>
        <ns0:v>1076830.9071183996</ns0:v>
      </ns0:c>
      <ns0:c r="V598" s="16">
        <ns0:f>Q598-F598*'前提と出典'!$E$5</ns0:f>
        <ns0:v>321630.95067538775</ns0:v>
      </ns0:c>
      <ns0:c r="W598" s="7">
        <ns0:f>U598+V598</ns0:f>
        <ns0:v>1398461.8577937875</ns0:v>
      </ns0:c>
      <ns0:c r="X598" s="16">
        <ns0:f>P598-E598*'前提と出典'!$E$6</ns0:f>
        <ns0:v>927506.8554778894</ns0:v>
      </ns0:c>
      <ns0:c r="Y598" s="16">
        <ns0:f>Q598-F598*'前提と出典'!$E$6</ns0:f>
        <ns0:v>278241.1982115775</ns0:v>
      </ns0:c>
      <ns0:c r="Z598" s="7">
        <ns0:f>X598+Y598</ns0:f>
        <ns0:v>1205748.0536894668</ns0:v>
      </ns0:c>
      <ns0:c r="AA598" s="7">
        <ns0:f>IF(T598&gt;=0,A598,1001)</ns0:f>
        <ns0:v>594</ns0:v>
      </ns0:c>
      <ns0:c r="AB598" s="7">
        <ns0:f>IF(T598&lt;0,A598,0)</ns0:f>
        <ns0:v>0</ns0:v>
      </ns0:c>
      <ns0:c r="AC598" s="16">
        <ns0:f>IF(AND(OR('前提と出典'!$C$36+'前提と出典'!$C$38=0,R598&gt;=0),OR('前提と出典'!$C$37+'前提と出典'!$C$38=0,S598&gt;=0)),0,A598)</ns0:f>
        <ns0:v>0</ns0:v>
      </ns0:c>
      <ns0:c r="AD598" s="7">
        <ns0:f>IF(W598&gt;=0,A598,1001)</ns0:f>
        <ns0:v>594</ns0:v>
      </ns0:c>
      <ns0:c r="AE598" s="7">
        <ns0:f>IF(W598&lt;0,A598,0)</ns0:f>
        <ns0:v>0</ns0:v>
      </ns0:c>
      <ns0:c r="AF598" s="16">
        <ns0:f>IF(AND(OR('前提と出典'!$C$36+'前提と出典'!$C$38=0,U598&gt;=0),OR('前提と出典'!$C$37+'前提と出典'!$C$38=0,V598&gt;=0)),0,A598)</ns0:f>
        <ns0:v>0</ns0:v>
      </ns0:c>
      <ns0:c r="AG598" s="7">
        <ns0:f>IF(Z598&gt;=0,A598,1001)</ns0:f>
        <ns0:v>594</ns0:v>
      </ns0:c>
      <ns0:c r="AH598" s="4">
        <ns0:f>IF(Z598&lt;0,A598,0)</ns0:f>
        <ns0:v>0</ns0:v>
      </ns0:c>
      <ns0:c r="AI598" s="12">
        <ns0:f>IF(AND(OR('前提と出典'!$C$36+'前提と出典'!$C$38=0,X598&gt;=0),OR('前提と出典'!$C$37+'前提と出典'!$C$38=0,Y598&gt;=0)),0,A598)</ns0:f>
        <ns0:v>0</ns0:v>
      </ns0:c>
    </ns0:row>
    <ns0:row r="599" ht="24" customHeight="1">
      <ns0:c r="A599" s="4" t="n">
        <ns0:v>595</ns0:v>
      </ns0:c>
      <ns0:c r="B599" s="12">
        <ns0:f>A599*('前提と出典'!$C$36+'前提と出典'!$C$38)</ns0:f>
        <ns0:v>416.5</ns0:v>
      </ns0:c>
      <ns0:c r="C599" s="12">
        <ns0:f>A599*('前提と出典'!$C$37+'前提と出典'!$C$38)</ns0:f>
        <ns0:v>357</ns0:v>
      </ns0:c>
      <ns0:c r="D599" s="16">
        <ns0:f>A599*('前提と出典'!$C$36*'契約別単価'!C5+'前提と出典'!$C$37*'契約別単価'!C6+'前提と出典'!$C$38*'契約別単価'!C7)</ns0:f>
        <ns0:v>4281.340782122905</ns0:v>
      </ns0:c>
      <ns0:c r="E599" s="16">
        <ns0:f>A599*('前提と出典'!$C$36*'契約別単価'!E5+'前提と出典'!$C$37*'契約別単価'!E6+'前提と出典'!$C$38*'契約別単価'!E7)</ns0:f>
        <ns0:v>1495754.3893283433</ns0:v>
      </ns0:c>
      <ns0:c r="F599" s="16">
        <ns0:f>A599*('前提と出典'!$C$36*'契約別単価'!F5+'前提と出典'!$C$37*'契約別単価'!F6+'前提と出典'!$C$38*'契約別単価'!F7)</ns0:f>
        <ns0:v>434627.9918512976</ns0:v>
      </ns0:c>
      <ns0:c r="G599" s="16">
        <ns0:f>A599*('前提と出典'!$C$36*'契約別単価'!G5+'前提と出典'!$C$37*'契約別単価'!G6+'前提と出典'!$C$38*'契約別単価'!G7)</ns0:f>
        <ns0:v>1184349.162011173</ns0:v>
      </ns0:c>
      <ns0:c r="H599" s="16">
        <ns0:f>A599*('前提と出典'!$C$36*'契約別単価'!H5+'前提と出典'!$C$37*'契約別単価'!H6+'前提と出典'!$C$38*'契約別単価'!H7)</ns0:f>
        <ns0:v>411028.5589960977</ns0:v>
      </ns0:c>
      <ns0:c r="I599" s="16">
        <ns0:f>A599*('前提と出典'!$C$36*'契約別単価'!I5+'前提と出典'!$C$37*'契約別単価'!I6+'前提と出典'!$C$38*'契約別単価'!I7)</ns0:f>
        <ns0:v>25106.3407821229</ns0:v>
      </ns0:c>
      <ns0:c r="J599" s="16">
        <ns0:f>A599*('前提と出典'!$C$36*'契約別単価'!J5+'前提と出典'!$C$37*'契約別単価'!J6+'前提と出典'!$C$38*'契約別単価'!J7)</ns0:f>
        <ns0:v>58482.27850763003</ns0:v>
      </ns0:c>
      <ns0:c r="K599" s="16">
        <ns0:f>A599*('前提と出典'!$C$36*'契約別単価'!K5+'前提と出典'!$C$37*'契約別単価'!K6+'前提と出典'!$C$38*'契約別単価'!K7)</ns0:f>
        <ns0:v>250675.6052141527</ns0:v>
      </ns0:c>
      <ns0:c r="L599" s="16">
        <ns0:f>A599*('前提と出典'!$C$36*'契約別単価'!L5+'前提と出典'!$C$37*'契約別単価'!L6+'前提と出典'!$C$38*'契約別単価'!L7)</ns0:f>
        <ns0:v>204100.95196653658</ns0:v>
      </ns0:c>
      <ns0:c r="M599" s="16">
        <ns0:f>IF(('前提と出典'!$C$36+'前提と出典'!$C$38)=0,0,IF(B599&lt;=10,'前提と出典'!B73+'前提と出典'!C73,IF(B599&lt;=100,'前提と出典'!B74+'前提と出典'!C74,IF(B599&lt;=500,'前提と出典'!B75+'前提と出典'!C75,'前提と出典'!B76+'前提と出典'!C76))))</ns0:f>
        <ns0:v>40000</ns0:v>
      </ns0:c>
      <ns0:c r="N599" s="16">
        <ns0:f>IF(('前提と出典'!$C$37+'前提と出典'!$C$38)=0,0,IF(C599&lt;=10,'前提と出典'!D73+'前提と出典'!E73,IF(C599&lt;=100,'前提と出典'!D74+'前提と出典'!E74,IF(C599&lt;=500,'前提と出典'!D75+'前提と出典'!E75,'前提と出典'!D76+'前提と出典'!E76))))</ns0:f>
        <ns0:v>56510.9346263078</ns0:v>
      </ns0:c>
      <ns0:c r="O599" s="16">
        <ns0:f>IF('前提と出典'!$C$36+'前提と出典'!$C$38=0,0,'前提と出典'!$B$4*IF('前提と出典'!$B$20=0,MAX('前提と出典'!$B$6,D599*'前提と出典'!$B$5),'前提と出典'!$B$6+D599*'前提と出典'!$B$5))</ns0:f>
        <ns0:v>590825.0279329609</ns0:v>
      </ns0:c>
      <ns0:c r="P599" s="16">
        <ns0:f>(E599+G599)*(1-'前提と出典'!$B$7)-I599-K599-M599-O599</ns0:f>
        <ns0:v>1677012.8495620573</ns0:v>
      </ns0:c>
      <ns0:c r="Q599" s="16">
        <ns0:f>(F599+H599)*(1-'前提と出典'!$B$7)-J599-L599-N599</ns0:f>
        <ns0:v>496118.74991641473</ns0:v>
      </ns0:c>
      <ns0:c r="R599" s="16">
        <ns0:f>P599-E599*'前提と出典'!$E$4</ns0:f>
        <ns0:v>1228286.5327635547</ns0:v>
      </ns0:c>
      <ns0:c r="S599" s="16">
        <ns0:f>Q599-F599*'前提と出典'!$E$4</ns0:f>
        <ns0:v>365730.3523610254</ns0:v>
      </ns0:c>
      <ns0:c r="T599" s="7">
        <ns0:f>R599+S599</ns0:f>
        <ns0:v>1594016.88512458</ns0:v>
      </ns0:c>
      <ns0:c r="U599" s="16">
        <ns0:f>P599-E599*'前提と出典'!$E$5</ns0:f>
        <ns0:v>1078711.09383072</ns0:v>
      </ns0:c>
      <ns0:c r="V599" s="16">
        <ns0:f>Q599-F599*'前提と出典'!$E$5</ns0:f>
        <ns0:v>322267.5531758957</ns0:v>
      </ns0:c>
      <ns0:c r="W599" s="7">
        <ns0:f>U599+V599</ns0:f>
        <ns0:v>1400978.6470066158</ns0:v>
      </ns0:c>
      <ns0:c r="X599" s="16">
        <ns0:f>P599-E599*'前提と出典'!$E$6</ns0:f>
        <ns0:v>929135.6548978857</ns0:v>
      </ns0:c>
      <ns0:c r="Y599" s="16">
        <ns0:f>Q599-F599*'前提と出典'!$E$6</ns0:f>
        <ns0:v>278804.7539907659</ns0:v>
      </ns0:c>
      <ns0:c r="Z599" s="7">
        <ns0:f>X599+Y599</ns0:f>
        <ns0:v>1207940.4088886515</ns0:v>
      </ns0:c>
      <ns0:c r="AA599" s="7">
        <ns0:f>IF(T599&gt;=0,A599,1001)</ns0:f>
        <ns0:v>595</ns0:v>
      </ns0:c>
      <ns0:c r="AB599" s="7">
        <ns0:f>IF(T599&lt;0,A599,0)</ns0:f>
        <ns0:v>0</ns0:v>
      </ns0:c>
      <ns0:c r="AC599" s="16">
        <ns0:f>IF(AND(OR('前提と出典'!$C$36+'前提と出典'!$C$38=0,R599&gt;=0),OR('前提と出典'!$C$37+'前提と出典'!$C$38=0,S599&gt;=0)),0,A599)</ns0:f>
        <ns0:v>0</ns0:v>
      </ns0:c>
      <ns0:c r="AD599" s="7">
        <ns0:f>IF(W599&gt;=0,A599,1001)</ns0:f>
        <ns0:v>595</ns0:v>
      </ns0:c>
      <ns0:c r="AE599" s="7">
        <ns0:f>IF(W599&lt;0,A599,0)</ns0:f>
        <ns0:v>0</ns0:v>
      </ns0:c>
      <ns0:c r="AF599" s="16">
        <ns0:f>IF(AND(OR('前提と出典'!$C$36+'前提と出典'!$C$38=0,U599&gt;=0),OR('前提と出典'!$C$37+'前提と出典'!$C$38=0,V599&gt;=0)),0,A599)</ns0:f>
        <ns0:v>0</ns0:v>
      </ns0:c>
      <ns0:c r="AG599" s="7">
        <ns0:f>IF(Z599&gt;=0,A599,1001)</ns0:f>
        <ns0:v>595</ns0:v>
      </ns0:c>
      <ns0:c r="AH599" s="4">
        <ns0:f>IF(Z599&lt;0,A599,0)</ns0:f>
        <ns0:v>0</ns0:v>
      </ns0:c>
      <ns0:c r="AI599" s="12">
        <ns0:f>IF(AND(OR('前提と出典'!$C$36+'前提と出典'!$C$38=0,X599&gt;=0),OR('前提と出典'!$C$37+'前提と出典'!$C$38=0,Y599&gt;=0)),0,A599)</ns0:f>
        <ns0:v>0</ns0:v>
      </ns0:c>
    </ns0:row>
    <ns0:row r="600" ht="24" customHeight="1">
      <ns0:c r="A600" s="4" t="n">
        <ns0:v>596</ns0:v>
      </ns0:c>
      <ns0:c r="B600" s="12">
        <ns0:f>A600*('前提と出典'!$C$36+'前提と出典'!$C$38)</ns0:f>
        <ns0:v>417.2</ns0:v>
      </ns0:c>
      <ns0:c r="C600" s="12">
        <ns0:f>A600*('前提と出典'!$C$37+'前提と出典'!$C$38)</ns0:f>
        <ns0:v>357.59999999999997</ns0:v>
      </ns0:c>
      <ns0:c r="D600" s="16">
        <ns0:f>A600*('前提と出典'!$C$36*'契約別単価'!C5+'前提と出典'!$C$37*'契約別単価'!C6+'前提と出典'!$C$38*'契約別単価'!C7)</ns0:f>
        <ns0:v>4288.536312849162</ns0:v>
      </ns0:c>
      <ns0:c r="E600" s="16">
        <ns0:f>A600*('前提と出典'!$C$36*'契約別単価'!E5+'前提と出典'!$C$37*'契約別単価'!E6+'前提と出典'!$C$38*'契約別単価'!E7)</ns0:f>
        <ns0:v>1498268.2622515843</ns0:v>
      </ns0:c>
      <ns0:c r="F600" s="16">
        <ns0:f>A600*('前提と出典'!$C$36*'契約別単価'!F5+'前提と出典'!$C$37*'契約別単価'!F6+'前提と出典'!$C$38*'契約別単価'!F7)</ns0:f>
        <ns0:v>435358.4590644931</ns0:v>
      </ns0:c>
      <ns0:c r="G600" s="16">
        <ns0:f>A600*('前提と出典'!$C$36*'契約別単価'!G5+'前提と出典'!$C$37*'契約別単価'!G6+'前提と出典'!$C$38*'契約別単価'!G7)</ns0:f>
        <ns0:v>1186339.6648044693</ns0:v>
      </ns0:c>
      <ns0:c r="H600" s="16">
        <ns0:f>A600*('前提と出典'!$C$36*'契約別単価'!H5+'前提と出典'!$C$37*'契約別単価'!H6+'前提と出典'!$C$38*'契約別単価'!H7)</ns0:f>
        <ns0:v>411719.3632969315</ns0:v>
      </ns0:c>
      <ns0:c r="I600" s="16">
        <ns0:f>A600*('前提と出典'!$C$36*'契約別単価'!I5+'前提と出典'!$C$37*'契約別単価'!I6+'前提と出典'!$C$38*'契約別単価'!I7)</ns0:f>
        <ns0:v>25148.53631284916</ns0:v>
      </ns0:c>
      <ns0:c r="J600" s="16">
        <ns0:f>A600*('前提と出典'!$C$36*'契約別単価'!J5+'前提と出典'!$C$37*'契約別単価'!J6+'前提と出典'!$C$38*'契約別単価'!J7)</ns0:f>
        <ns0:v>58580.56805134033</ns0:v>
      </ns0:c>
      <ns0:c r="K600" s="16">
        <ns0:f>A600*('前提と出典'!$C$36*'契約別単価'!K5+'前提と出典'!$C$37*'契約別単価'!K6+'前提と出典'!$C$38*'契約別単価'!K7)</ns0:f>
        <ns0:v>251096.90875232773</ns0:v>
      </ns0:c>
      <ns0:c r="L600" s="16">
        <ns0:f>A600*('前提と出典'!$C$36*'契約別単価'!L5+'前提と出典'!$C$37*'契約別単価'!L6+'前提と出典'!$C$38*'契約別単価'!L7)</ns0:f>
        <ns0:v>204443.97877656439</ns0:v>
      </ns0:c>
      <ns0:c r="M600" s="16">
        <ns0:f>IF(('前提と出典'!$C$36+'前提と出典'!$C$38)=0,0,IF(B600&lt;=10,'前提と出典'!B73+'前提と出典'!C73,IF(B600&lt;=100,'前提と出典'!B74+'前提と出典'!C74,IF(B600&lt;=500,'前提と出典'!B75+'前提と出典'!C75,'前提と出典'!B76+'前提と出典'!C76))))</ns0:f>
        <ns0:v>40000</ns0:v>
      </ns0:c>
      <ns0:c r="N600" s="16">
        <ns0:f>IF(('前提と出典'!$C$37+'前提と出典'!$C$38)=0,0,IF(C600&lt;=10,'前提と出典'!D73+'前提と出典'!E73,IF(C600&lt;=100,'前提と出典'!D74+'前提と出典'!E74,IF(C600&lt;=500,'前提と出典'!D75+'前提と出典'!E75,'前提と出典'!D76+'前提と出典'!E76))))</ns0:f>
        <ns0:v>56510.9346263078</ns0:v>
      </ns0:c>
      <ns0:c r="O600" s="16">
        <ns0:f>IF('前提と出典'!$C$36+'前提と出典'!$C$38=0,0,'前提と出典'!$B$4*IF('前提と出典'!$B$20=0,MAX('前提と出典'!$B$6,D600*'前提と出典'!$B$5),'前提と出典'!$B$6+D600*'前提と出典'!$B$5))</ns0:f>
        <ns0:v>591818.0111731844</ns0:v>
      </ns0:c>
      <ns0:c r="P600" s="16">
        <ns0:f>(E600+G600)*(1-'前提と出典'!$B$7)-I600-K600-M600-O600</ns0:f>
        <ns0:v>1679898.5854436741</ns0:v>
      </ns0:c>
      <ns0:c r="Q600" s="16">
        <ns0:f>(F600+H600)*(1-'前提と出典'!$B$7)-J600-L600-N600</ns0:f>
        <ns0:v>497047.5393022008</ns0:v>
      </ns0:c>
      <ns0:c r="R600" s="16">
        <ns0:f>P600-E600*'前提と出典'!$E$4</ns0:f>
        <ns0:v>1230418.1067681988</ns0:v>
      </ns0:c>
      <ns0:c r="S600" s="16">
        <ns0:f>Q600-F600*'前提と出典'!$E$4</ns0:f>
        <ns0:v>366440.0015828528</ns0:v>
      </ns0:c>
      <ns0:c r="T600" s="7">
        <ns0:f>R600+S600</ns0:f>
        <ns0:v>1596858.1083510516</ns0:v>
      </ns0:c>
      <ns0:c r="U600" s="16">
        <ns0:f>P600-E600*'前提と出典'!$E$5</ns0:f>
        <ns0:v>1080591.2805430405</ns0:v>
      </ns0:c>
      <ns0:c r="V600" s="16">
        <ns0:f>Q600-F600*'前提と出典'!$E$5</ns0:f>
        <ns0:v>322904.15567640355</ns0:v>
      </ns0:c>
      <ns0:c r="W600" s="7">
        <ns0:f>U600+V600</ns0:f>
        <ns0:v>1403495.436219444</ns0:v>
      </ns0:c>
      <ns0:c r="X600" s="16">
        <ns0:f>P600-E600*'前提と出典'!$E$6</ns0:f>
        <ns0:v>930764.4543178821</ns0:v>
      </ns0:c>
      <ns0:c r="Y600" s="16">
        <ns0:f>Q600-F600*'前提と出典'!$E$6</ns0:f>
        <ns0:v>279368.3097699543</ns0:v>
      </ns0:c>
      <ns0:c r="Z600" s="7">
        <ns0:f>X600+Y600</ns0:f>
        <ns0:v>1210132.7640878363</ns0:v>
      </ns0:c>
      <ns0:c r="AA600" s="7">
        <ns0:f>IF(T600&gt;=0,A600,1001)</ns0:f>
        <ns0:v>596</ns0:v>
      </ns0:c>
      <ns0:c r="AB600" s="7">
        <ns0:f>IF(T600&lt;0,A600,0)</ns0:f>
        <ns0:v>0</ns0:v>
      </ns0:c>
      <ns0:c r="AC600" s="16">
        <ns0:f>IF(AND(OR('前提と出典'!$C$36+'前提と出典'!$C$38=0,R600&gt;=0),OR('前提と出典'!$C$37+'前提と出典'!$C$38=0,S600&gt;=0)),0,A600)</ns0:f>
        <ns0:v>0</ns0:v>
      </ns0:c>
      <ns0:c r="AD600" s="7">
        <ns0:f>IF(W600&gt;=0,A600,1001)</ns0:f>
        <ns0:v>596</ns0:v>
      </ns0:c>
      <ns0:c r="AE600" s="7">
        <ns0:f>IF(W600&lt;0,A600,0)</ns0:f>
        <ns0:v>0</ns0:v>
      </ns0:c>
      <ns0:c r="AF600" s="16">
        <ns0:f>IF(AND(OR('前提と出典'!$C$36+'前提と出典'!$C$38=0,U600&gt;=0),OR('前提と出典'!$C$37+'前提と出典'!$C$38=0,V600&gt;=0)),0,A600)</ns0:f>
        <ns0:v>0</ns0:v>
      </ns0:c>
      <ns0:c r="AG600" s="7">
        <ns0:f>IF(Z600&gt;=0,A600,1001)</ns0:f>
        <ns0:v>596</ns0:v>
      </ns0:c>
      <ns0:c r="AH600" s="4">
        <ns0:f>IF(Z600&lt;0,A600,0)</ns0:f>
        <ns0:v>0</ns0:v>
      </ns0:c>
      <ns0:c r="AI600" s="12">
        <ns0:f>IF(AND(OR('前提と出典'!$C$36+'前提と出典'!$C$38=0,X600&gt;=0),OR('前提と出典'!$C$37+'前提と出典'!$C$38=0,Y600&gt;=0)),0,A600)</ns0:f>
        <ns0:v>0</ns0:v>
      </ns0:c>
    </ns0:row>
    <ns0:row r="601" ht="24" customHeight="1">
      <ns0:c r="A601" s="4" t="n">
        <ns0:v>597</ns0:v>
      </ns0:c>
      <ns0:c r="B601" s="12">
        <ns0:f>A601*('前提と出典'!$C$36+'前提と出典'!$C$38)</ns0:f>
        <ns0:v>417.9</ns0:v>
      </ns0:c>
      <ns0:c r="C601" s="12">
        <ns0:f>A601*('前提と出典'!$C$37+'前提と出典'!$C$38)</ns0:f>
        <ns0:v>358.2</ns0:v>
      </ns0:c>
      <ns0:c r="D601" s="16">
        <ns0:f>A601*('前提と出典'!$C$36*'契約別単価'!C5+'前提と出典'!$C$37*'契約別単価'!C6+'前提と出典'!$C$38*'契約別単価'!C7)</ns0:f>
        <ns0:v>4295.731843575419</ns0:v>
      </ns0:c>
      <ns0:c r="E601" s="16">
        <ns0:f>A601*('前提と出典'!$C$36*'契約別単価'!E5+'前提と出典'!$C$37*'契約別単価'!E6+'前提と出典'!$C$38*'契約別単価'!E7)</ns0:f>
        <ns0:v>1500782.135174825</ns0:v>
      </ns0:c>
      <ns0:c r="F601" s="16">
        <ns0:f>A601*('前提と出典'!$C$36*'契約別単価'!F5+'前提と出典'!$C$37*'契約別単価'!F6+'前提と出典'!$C$38*'契約別単価'!F7)</ns0:f>
        <ns0:v>436088.92627768853</ns0:v>
      </ns0:c>
      <ns0:c r="G601" s="16">
        <ns0:f>A601*('前提と出典'!$C$36*'契約別単価'!G5+'前提と出典'!$C$37*'契約別単価'!G6+'前提と出典'!$C$38*'契約別単価'!G7)</ns0:f>
        <ns0:v>1188330.1675977653</ns0:v>
      </ns0:c>
      <ns0:c r="H601" s="16">
        <ns0:f>A601*('前提と出典'!$C$36*'契約別単価'!H5+'前提と出典'!$C$37*'契約別単価'!H6+'前提と出典'!$C$38*'契約別単価'!H7)</ns0:f>
        <ns0:v>412410.1675977653</ns0:v>
      </ns0:c>
      <ns0:c r="I601" s="16">
        <ns0:f>A601*('前提と出典'!$C$36*'契約別単価'!I5+'前提と出典'!$C$37*'契約別単価'!I6+'前提と出典'!$C$38*'契約別単価'!I7)</ns0:f>
        <ns0:v>25190.731843575413</ns0:v>
      </ns0:c>
      <ns0:c r="J601" s="16">
        <ns0:f>A601*('前提と出典'!$C$36*'契約別単価'!J5+'前提と出典'!$C$37*'契約別単価'!J6+'前提と出典'!$C$38*'契約別単価'!J7)</ns0:f>
        <ns0:v>58678.857595050635</ns0:v>
      </ns0:c>
      <ns0:c r="K601" s="16">
        <ns0:f>A601*('前提と出典'!$C$36*'契約別単価'!K5+'前提と出典'!$C$37*'契約別単価'!K6+'前提と出典'!$C$38*'契約別単価'!K7)</ns0:f>
        <ns0:v>251518.21229050276</ns0:v>
      </ns0:c>
      <ns0:c r="L601" s="16">
        <ns0:f>A601*('前提と出典'!$C$36*'契約別単価'!L5+'前提と出典'!$C$37*'契約別単価'!L6+'前提と出典'!$C$38*'契約別単価'!L7)</ns0:f>
        <ns0:v>204787.00558659216</ns0:v>
      </ns0:c>
      <ns0:c r="M601" s="16">
        <ns0:f>IF(('前提と出典'!$C$36+'前提と出典'!$C$38)=0,0,IF(B601&lt;=10,'前提と出典'!B73+'前提と出典'!C73,IF(B601&lt;=100,'前提と出典'!B74+'前提と出典'!C74,IF(B601&lt;=500,'前提と出典'!B75+'前提と出典'!C75,'前提と出典'!B76+'前提と出典'!C76))))</ns0:f>
        <ns0:v>40000</ns0:v>
      </ns0:c>
      <ns0:c r="N601" s="16">
        <ns0:f>IF(('前提と出典'!$C$37+'前提と出典'!$C$38)=0,0,IF(C601&lt;=10,'前提と出典'!D73+'前提と出典'!E73,IF(C601&lt;=100,'前提と出典'!D74+'前提と出典'!E74,IF(C601&lt;=500,'前提と出典'!D75+'前提と出典'!E75,'前提と出典'!D76+'前提と出典'!E76))))</ns0:f>
        <ns0:v>56510.9346263078</ns0:v>
      </ns0:c>
      <ns0:c r="O601" s="16">
        <ns0:f>IF('前提と出典'!$C$36+'前提と出典'!$C$38=0,0,'前提と出典'!$B$4*IF('前提と出典'!$B$20=0,MAX('前提と出典'!$B$6,D601*'前提と出典'!$B$5),'前提と出典'!$B$6+D601*'前提と出典'!$B$5))</ns0:f>
        <ns0:v>592810.9944134078</ns0:v>
      </ns0:c>
      <ns0:c r="P601" s="16">
        <ns0:f>(E601+G601)*(1-'前提と出典'!$B$7)-I601-K601-M601-O601</ns0:f>
        <ns0:v>1682784.3213252912</ns0:v>
      </ns0:c>
      <ns0:c r="Q601" s="16">
        <ns0:f>(F601+H601)*(1-'前提と出典'!$B$7)-J601-L601-N601</ns0:f>
        <ns0:v>497976.32868798694</ns0:v>
      </ns0:c>
      <ns0:c r="R601" s="16">
        <ns0:f>P601-E601*'前提と出典'!$E$4</ns0:f>
        <ns0:v>1232549.6807728438</ns0:v>
      </ns0:c>
      <ns0:c r="S601" s="16">
        <ns0:f>Q601-F601*'前提と出典'!$E$4</ns0:f>
        <ns0:v>367149.6508046804</ns0:v>
      </ns0:c>
      <ns0:c r="T601" s="7">
        <ns0:f>R601+S601</ns0:f>
        <ns0:v>1599699.331577524</ns0:v>
      </ns0:c>
      <ns0:c r="U601" s="16">
        <ns0:f>P601-E601*'前提と出典'!$E$5</ns0:f>
        <ns0:v>1082471.4672553611</ns0:v>
      </ns0:c>
      <ns0:c r="V601" s="16">
        <ns0:f>Q601-F601*'前提と出典'!$E$5</ns0:f>
        <ns0:v>323540.7581769115</ns0:v>
      </ns0:c>
      <ns0:c r="W601" s="7">
        <ns0:f>U601+V601</ns0:f>
        <ns0:v>1406012.2254322725</ns0:v>
      </ns0:c>
      <ns0:c r="X601" s="16">
        <ns0:f>P601-E601*'前提と出典'!$E$6</ns0:f>
        <ns0:v>932393.2537378788</ns0:v>
      </ns0:c>
      <ns0:c r="Y601" s="16">
        <ns0:f>Q601-F601*'前提と出典'!$E$6</ns0:f>
        <ns0:v>279931.8655491427</ns0:v>
      </ns0:c>
      <ns0:c r="Z601" s="7">
        <ns0:f>X601+Y601</ns0:f>
        <ns0:v>1212325.1192870215</ns0:v>
      </ns0:c>
      <ns0:c r="AA601" s="7">
        <ns0:f>IF(T601&gt;=0,A601,1001)</ns0:f>
        <ns0:v>597</ns0:v>
      </ns0:c>
      <ns0:c r="AB601" s="7">
        <ns0:f>IF(T601&lt;0,A601,0)</ns0:f>
        <ns0:v>0</ns0:v>
      </ns0:c>
      <ns0:c r="AC601" s="16">
        <ns0:f>IF(AND(OR('前提と出典'!$C$36+'前提と出典'!$C$38=0,R601&gt;=0),OR('前提と出典'!$C$37+'前提と出典'!$C$38=0,S601&gt;=0)),0,A601)</ns0:f>
        <ns0:v>0</ns0:v>
      </ns0:c>
      <ns0:c r="AD601" s="7">
        <ns0:f>IF(W601&gt;=0,A601,1001)</ns0:f>
        <ns0:v>597</ns0:v>
      </ns0:c>
      <ns0:c r="AE601" s="7">
        <ns0:f>IF(W601&lt;0,A601,0)</ns0:f>
        <ns0:v>0</ns0:v>
      </ns0:c>
      <ns0:c r="AF601" s="16">
        <ns0:f>IF(AND(OR('前提と出典'!$C$36+'前提と出典'!$C$38=0,U601&gt;=0),OR('前提と出典'!$C$37+'前提と出典'!$C$38=0,V601&gt;=0)),0,A601)</ns0:f>
        <ns0:v>0</ns0:v>
      </ns0:c>
      <ns0:c r="AG601" s="7">
        <ns0:f>IF(Z601&gt;=0,A601,1001)</ns0:f>
        <ns0:v>597</ns0:v>
      </ns0:c>
      <ns0:c r="AH601" s="4">
        <ns0:f>IF(Z601&lt;0,A601,0)</ns0:f>
        <ns0:v>0</ns0:v>
      </ns0:c>
      <ns0:c r="AI601" s="12">
        <ns0:f>IF(AND(OR('前提と出典'!$C$36+'前提と出典'!$C$38=0,X601&gt;=0),OR('前提と出典'!$C$37+'前提と出典'!$C$38=0,Y601&gt;=0)),0,A601)</ns0:f>
        <ns0:v>0</ns0:v>
      </ns0:c>
    </ns0:row>
    <ns0:row r="602" ht="24" customHeight="1">
      <ns0:c r="A602" s="4" t="n">
        <ns0:v>598</ns0:v>
      </ns0:c>
      <ns0:c r="B602" s="12">
        <ns0:f>A602*('前提と出典'!$C$36+'前提と出典'!$C$38)</ns0:f>
        <ns0:v>418.59999999999997</ns0:v>
      </ns0:c>
      <ns0:c r="C602" s="12">
        <ns0:f>A602*('前提と出典'!$C$37+'前提と出典'!$C$38)</ns0:f>
        <ns0:v>358.8</ns0:v>
      </ns0:c>
      <ns0:c r="D602" s="16">
        <ns0:f>A602*('前提と出典'!$C$36*'契約別単価'!C5+'前提と出典'!$C$37*'契約別単価'!C6+'前提と出典'!$C$38*'契約別単価'!C7)</ns0:f>
        <ns0:v>4302.927374301676</ns0:v>
      </ns0:c>
      <ns0:c r="E602" s="16">
        <ns0:f>A602*('前提と出典'!$C$36*'契約別単価'!E5+'前提と出典'!$C$37*'契約別単価'!E6+'前提と出典'!$C$38*'契約別単価'!E7)</ns0:f>
        <ns0:v>1503296.008098066</ns0:v>
      </ns0:c>
      <ns0:c r="F602" s="16">
        <ns0:f>A602*('前提と出典'!$C$36*'契約別単価'!F5+'前提と出典'!$C$37*'契約別単価'!F6+'前提と出典'!$C$38*'契約別単価'!F7)</ns0:f>
        <ns0:v>436819.393490884</ns0:v>
      </ns0:c>
      <ns0:c r="G602" s="16">
        <ns0:f>A602*('前提と出典'!$C$36*'契約別単価'!G5+'前提と出典'!$C$37*'契約別単価'!G6+'前提と出典'!$C$38*'契約別単価'!G7)</ns0:f>
        <ns0:v>1190320.6703910613</ns0:v>
      </ns0:c>
      <ns0:c r="H602" s="16">
        <ns0:f>A602*('前提と出典'!$C$36*'契約別単価'!H5+'前提と出典'!$C$37*'契約別単価'!H6+'前提と出典'!$C$38*'契約別単価'!H7)</ns0:f>
        <ns0:v>413100.97189859906</ns0:v>
      </ns0:c>
      <ns0:c r="I602" s="16">
        <ns0:f>A602*('前提と出典'!$C$36*'契約別単価'!I5+'前提と出典'!$C$37*'契約別単価'!I6+'前提と出典'!$C$38*'契約別単価'!I7)</ns0:f>
        <ns0:v>25232.92737430167</ns0:v>
      </ns0:c>
      <ns0:c r="J602" s="16">
        <ns0:f>A602*('前提と出典'!$C$36*'契約別単価'!J5+'前提と出典'!$C$37*'契約別単価'!J6+'前提と出典'!$C$38*'契約別単価'!J7)</ns0:f>
        <ns0:v>58777.147138760934</ns0:v>
      </ns0:c>
      <ns0:c r="K602" s="16">
        <ns0:f>A602*('前提と出典'!$C$36*'契約別単価'!K5+'前提と出典'!$C$37*'契約別単価'!K6+'前提と出典'!$C$38*'契約別単価'!K7)</ns0:f>
        <ns0:v>251939.51582867783</ns0:v>
      </ns0:c>
      <ns0:c r="L602" s="16">
        <ns0:f>A602*('前提と出典'!$C$36*'契約別単価'!L5+'前提と出典'!$C$37*'契約別単価'!L6+'前提と出典'!$C$38*'契約別単価'!L7)</ns0:f>
        <ns0:v>205130.03239661996</ns0:v>
      </ns0:c>
      <ns0:c r="M602" s="16">
        <ns0:f>IF(('前提と出典'!$C$36+'前提と出典'!$C$38)=0,0,IF(B602&lt;=10,'前提と出典'!B73+'前提と出典'!C73,IF(B602&lt;=100,'前提と出典'!B74+'前提と出典'!C74,IF(B602&lt;=500,'前提と出典'!B75+'前提と出典'!C75,'前提と出典'!B76+'前提と出典'!C76))))</ns0:f>
        <ns0:v>40000</ns0:v>
      </ns0:c>
      <ns0:c r="N602" s="16">
        <ns0:f>IF(('前提と出典'!$C$37+'前提と出典'!$C$38)=0,0,IF(C602&lt;=10,'前提と出典'!D73+'前提と出典'!E73,IF(C602&lt;=100,'前提と出典'!D74+'前提と出典'!E74,IF(C602&lt;=500,'前提と出典'!D75+'前提と出典'!E75,'前提と出典'!D76+'前提と出典'!E76))))</ns0:f>
        <ns0:v>56510.9346263078</ns0:v>
      </ns0:c>
      <ns0:c r="O602" s="16">
        <ns0:f>IF('前提と出典'!$C$36+'前提と出典'!$C$38=0,0,'前提と出典'!$B$4*IF('前提と出典'!$B$20=0,MAX('前提と出典'!$B$6,D602*'前提と出典'!$B$5),'前提と出典'!$B$6+D602*'前提と出典'!$B$5))</ns0:f>
        <ns0:v>593803.9776536312</ns0:v>
      </ns0:c>
      <ns0:c r="P602" s="16">
        <ns0:f>(E602+G602)*(1-'前提と出典'!$B$7)-I602-K602-M602-O602</ns0:f>
        <ns0:v>1685670.0572069078</ns0:v>
      </ns0:c>
      <ns0:c r="Q602" s="16">
        <ns0:f>(F602+H602)*(1-'前提と出典'!$B$7)-J602-L602-N602</ns0:f>
        <ns0:v>498905.118073773</ns0:v>
      </ns0:c>
      <ns0:c r="R602" s="16">
        <ns0:f>P602-E602*'前提と出典'!$E$4</ns0:f>
        <ns0:v>1234681.254777488</ns0:v>
      </ns0:c>
      <ns0:c r="S602" s="16">
        <ns0:f>Q602-F602*'前提と出典'!$E$4</ns0:f>
        <ns0:v>367859.3000265079</ns0:v>
      </ns0:c>
      <ns0:c r="T602" s="7">
        <ns0:f>R602+S602</ns0:f>
        <ns0:v>1602540.5548039959</ns0:v>
      </ns0:c>
      <ns0:c r="U602" s="16">
        <ns0:f>P602-E602*'前提と出典'!$E$5</ns0:f>
        <ns0:v>1084351.6539676813</ns0:v>
      </ns0:c>
      <ns0:c r="V602" s="16">
        <ns0:f>Q602-F602*'前提と出典'!$E$5</ns0:f>
        <ns0:v>324177.3606774194</ns0:v>
      </ns0:c>
      <ns0:c r="W602" s="7">
        <ns0:f>U602+V602</ns0:f>
        <ns0:v>1408529.0146451008</ns0:v>
      </ns0:c>
      <ns0:c r="X602" s="16">
        <ns0:f>P602-E602*'前提と出典'!$E$6</ns0:f>
        <ns0:v>934022.0531578748</ns0:v>
      </ns0:c>
      <ns0:c r="Y602" s="16">
        <ns0:f>Q602-F602*'前提と出典'!$E$6</ns0:f>
        <ns0:v>280495.42132833105</ns0:v>
      </ns0:c>
      <ns0:c r="Z602" s="7">
        <ns0:f>X602+Y602</ns0:f>
        <ns0:v>1214517.474486206</ns0:v>
      </ns0:c>
      <ns0:c r="AA602" s="7">
        <ns0:f>IF(T602&gt;=0,A602,1001)</ns0:f>
        <ns0:v>598</ns0:v>
      </ns0:c>
      <ns0:c r="AB602" s="7">
        <ns0:f>IF(T602&lt;0,A602,0)</ns0:f>
        <ns0:v>0</ns0:v>
      </ns0:c>
      <ns0:c r="AC602" s="16">
        <ns0:f>IF(AND(OR('前提と出典'!$C$36+'前提と出典'!$C$38=0,R602&gt;=0),OR('前提と出典'!$C$37+'前提と出典'!$C$38=0,S602&gt;=0)),0,A602)</ns0:f>
        <ns0:v>0</ns0:v>
      </ns0:c>
      <ns0:c r="AD602" s="7">
        <ns0:f>IF(W602&gt;=0,A602,1001)</ns0:f>
        <ns0:v>598</ns0:v>
      </ns0:c>
      <ns0:c r="AE602" s="7">
        <ns0:f>IF(W602&lt;0,A602,0)</ns0:f>
        <ns0:v>0</ns0:v>
      </ns0:c>
      <ns0:c r="AF602" s="16">
        <ns0:f>IF(AND(OR('前提と出典'!$C$36+'前提と出典'!$C$38=0,U602&gt;=0),OR('前提と出典'!$C$37+'前提と出典'!$C$38=0,V602&gt;=0)),0,A602)</ns0:f>
        <ns0:v>0</ns0:v>
      </ns0:c>
      <ns0:c r="AG602" s="7">
        <ns0:f>IF(Z602&gt;=0,A602,1001)</ns0:f>
        <ns0:v>598</ns0:v>
      </ns0:c>
      <ns0:c r="AH602" s="4">
        <ns0:f>IF(Z602&lt;0,A602,0)</ns0:f>
        <ns0:v>0</ns0:v>
      </ns0:c>
      <ns0:c r="AI602" s="12">
        <ns0:f>IF(AND(OR('前提と出典'!$C$36+'前提と出典'!$C$38=0,X602&gt;=0),OR('前提と出典'!$C$37+'前提と出典'!$C$38=0,Y602&gt;=0)),0,A602)</ns0:f>
        <ns0:v>0</ns0:v>
      </ns0:c>
    </ns0:row>
    <ns0:row r="603" ht="24" customHeight="1">
      <ns0:c r="A603" s="4" t="n">
        <ns0:v>599</ns0:v>
      </ns0:c>
      <ns0:c r="B603" s="12">
        <ns0:f>A603*('前提と出典'!$C$36+'前提と出典'!$C$38)</ns0:f>
        <ns0:v>419.29999999999995</ns0:v>
      </ns0:c>
      <ns0:c r="C603" s="12">
        <ns0:f>A603*('前提と出典'!$C$37+'前提と出典'!$C$38)</ns0:f>
        <ns0:v>359.4</ns0:v>
      </ns0:c>
      <ns0:c r="D603" s="16">
        <ns0:f>A603*('前提と出典'!$C$36*'契約別単価'!C5+'前提と出典'!$C$37*'契約別単価'!C6+'前提と出典'!$C$38*'契約別単価'!C7)</ns0:f>
        <ns0:v>4310.122905027933</ns0:v>
      </ns0:c>
      <ns0:c r="E603" s="16">
        <ns0:f>A603*('前提と出典'!$C$36*'契約別単価'!E5+'前提と出典'!$C$37*'契約別単価'!E6+'前提と出典'!$C$38*'契約別単価'!E7)</ns0:f>
        <ns0:v>1505809.881021307</ns0:v>
      </ns0:c>
      <ns0:c r="F603" s="16">
        <ns0:f>A603*('前提と出典'!$C$36*'契約別単価'!F5+'前提と出典'!$C$37*'契約別単価'!F6+'前提と出典'!$C$38*'契約別単価'!F7)</ns0:f>
        <ns0:v>437549.86070407944</ns0:v>
      </ns0:c>
      <ns0:c r="G603" s="16">
        <ns0:f>A603*('前提と出典'!$C$36*'契約別単価'!G5+'前提と出典'!$C$37*'契約別単価'!G6+'前提と出典'!$C$38*'契約別単価'!G7)</ns0:f>
        <ns0:v>1192311.1731843576</ns0:v>
      </ns0:c>
      <ns0:c r="H603" s="16">
        <ns0:f>A603*('前提と出典'!$C$36*'契約別単価'!H5+'前提と出典'!$C$37*'契約別単価'!H6+'前提と出典'!$C$38*'契約別単価'!H7)</ns0:f>
        <ns0:v>413791.77619943285</ns0:v>
      </ns0:c>
      <ns0:c r="I603" s="16">
        <ns0:f>A603*('前提と出典'!$C$36*'契約別単価'!I5+'前提と出典'!$C$37*'契約別単価'!I6+'前提と出典'!$C$38*'契約別単価'!I7)</ns0:f>
        <ns0:v>25275.12290502793</ns0:v>
      </ns0:c>
      <ns0:c r="J603" s="16">
        <ns0:f>A603*('前提と出典'!$C$36*'契約別単価'!J5+'前提と出典'!$C$37*'契約別単価'!J6+'前提と出典'!$C$38*'契約別単価'!J7)</ns0:f>
        <ns0:v>58875.436682471234</ns0:v>
      </ns0:c>
      <ns0:c r="K603" s="16">
        <ns0:f>A603*('前提と出典'!$C$36*'契約別単価'!K5+'前提と出典'!$C$37*'契約別単価'!K6+'前提と出典'!$C$38*'契約別単価'!K7)</ns0:f>
        <ns0:v>252360.81936685287</ns0:v>
      </ns0:c>
      <ns0:c r="L603" s="16">
        <ns0:f>A603*('前提と出典'!$C$36*'契約別単価'!L5+'前提と出典'!$C$37*'契約別単価'!L6+'前提と出典'!$C$38*'契約別単価'!L7)</ns0:f>
        <ns0:v>205473.05920664774</ns0:v>
      </ns0:c>
      <ns0:c r="M603" s="16">
        <ns0:f>IF(('前提と出典'!$C$36+'前提と出典'!$C$38)=0,0,IF(B603&lt;=10,'前提と出典'!B73+'前提と出典'!C73,IF(B603&lt;=100,'前提と出典'!B74+'前提と出典'!C74,IF(B603&lt;=500,'前提と出典'!B75+'前提と出典'!C75,'前提と出典'!B76+'前提と出典'!C76))))</ns0:f>
        <ns0:v>40000</ns0:v>
      </ns0:c>
      <ns0:c r="N603" s="16">
        <ns0:f>IF(('前提と出典'!$C$37+'前提と出典'!$C$38)=0,0,IF(C603&lt;=10,'前提と出典'!D73+'前提と出典'!E73,IF(C603&lt;=100,'前提と出典'!D74+'前提と出典'!E74,IF(C603&lt;=500,'前提と出典'!D75+'前提と出典'!E75,'前提と出典'!D76+'前提と出典'!E76))))</ns0:f>
        <ns0:v>56510.9346263078</ns0:v>
      </ns0:c>
      <ns0:c r="O603" s="16">
        <ns0:f>IF('前提と出典'!$C$36+'前提と出典'!$C$38=0,0,'前提と出典'!$B$4*IF('前提と出典'!$B$20=0,MAX('前提と出典'!$B$6,D603*'前提と出典'!$B$5),'前提と出典'!$B$6+D603*'前提と出典'!$B$5))</ns0:f>
        <ns0:v>594796.9608938547</ns0:v>
      </ns0:c>
      <ns0:c r="P603" s="16">
        <ns0:f>(E603+G603)*(1-'前提と出典'!$B$7)-I603-K603-M603-O603</ns0:f>
        <ns0:v>1688555.7930885253</ns0:v>
      </ns0:c>
      <ns0:c r="Q603" s="16">
        <ns0:f>(F603+H603)*(1-'前提と出典'!$B$7)-J603-L603-N603</ns0:f>
        <ns0:v>499833.90745955904</ns0:v>
      </ns0:c>
      <ns0:c r="R603" s="16">
        <ns0:f>P603-E603*'前提と出典'!$E$4</ns0:f>
        <ns0:v>1236812.8287821326</ns0:v>
      </ns0:c>
      <ns0:c r="S603" s="16">
        <ns0:f>Q603-F603*'前提と出典'!$E$4</ns0:f>
        <ns0:v>368568.94924833527</ns0:v>
      </ns0:c>
      <ns0:c r="T603" s="7">
        <ns0:f>R603+S603</ns0:f>
        <ns0:v>1605381.778030468</ns0:v>
      </ns0:c>
      <ns0:c r="U603" s="16">
        <ns0:f>P603-E603*'前提と出典'!$E$5</ns0:f>
        <ns0:v>1086231.8406800025</ns0:v>
      </ns0:c>
      <ns0:c r="V603" s="16">
        <ns0:f>Q603-F603*'前提と出典'!$E$5</ns0:f>
        <ns0:v>324813.96317792725</ns0:v>
      </ns0:c>
      <ns0:c r="W603" s="7">
        <ns0:f>U603+V603</ns0:f>
        <ns0:v>1411045.8038579298</ns0:v>
      </ns0:c>
      <ns0:c r="X603" s="16">
        <ns0:f>P603-E603*'前提と出典'!$E$6</ns0:f>
        <ns0:v>935650.8525778719</ns0:v>
      </ns0:c>
      <ns0:c r="Y603" s="16">
        <ns0:f>Q603-F603*'前提と出典'!$E$6</ns0:f>
        <ns0:v>281058.97710751934</ns0:v>
      </ns0:c>
      <ns0:c r="Z603" s="7">
        <ns0:f>X603+Y603</ns0:f>
        <ns0:v>1216709.8296853912</ns0:v>
      </ns0:c>
      <ns0:c r="AA603" s="7">
        <ns0:f>IF(T603&gt;=0,A603,1001)</ns0:f>
        <ns0:v>599</ns0:v>
      </ns0:c>
      <ns0:c r="AB603" s="7">
        <ns0:f>IF(T603&lt;0,A603,0)</ns0:f>
        <ns0:v>0</ns0:v>
      </ns0:c>
      <ns0:c r="AC603" s="16">
        <ns0:f>IF(AND(OR('前提と出典'!$C$36+'前提と出典'!$C$38=0,R603&gt;=0),OR('前提と出典'!$C$37+'前提と出典'!$C$38=0,S603&gt;=0)),0,A603)</ns0:f>
        <ns0:v>0</ns0:v>
      </ns0:c>
      <ns0:c r="AD603" s="7">
        <ns0:f>IF(W603&gt;=0,A603,1001)</ns0:f>
        <ns0:v>599</ns0:v>
      </ns0:c>
      <ns0:c r="AE603" s="7">
        <ns0:f>IF(W603&lt;0,A603,0)</ns0:f>
        <ns0:v>0</ns0:v>
      </ns0:c>
      <ns0:c r="AF603" s="16">
        <ns0:f>IF(AND(OR('前提と出典'!$C$36+'前提と出典'!$C$38=0,U603&gt;=0),OR('前提と出典'!$C$37+'前提と出典'!$C$38=0,V603&gt;=0)),0,A603)</ns0:f>
        <ns0:v>0</ns0:v>
      </ns0:c>
      <ns0:c r="AG603" s="7">
        <ns0:f>IF(Z603&gt;=0,A603,1001)</ns0:f>
        <ns0:v>599</ns0:v>
      </ns0:c>
      <ns0:c r="AH603" s="4">
        <ns0:f>IF(Z603&lt;0,A603,0)</ns0:f>
        <ns0:v>0</ns0:v>
      </ns0:c>
      <ns0:c r="AI603" s="12">
        <ns0:f>IF(AND(OR('前提と出典'!$C$36+'前提と出典'!$C$38=0,X603&gt;=0),OR('前提と出典'!$C$37+'前提と出典'!$C$38=0,Y603&gt;=0)),0,A603)</ns0:f>
        <ns0:v>0</ns0:v>
      </ns0:c>
    </ns0:row>
    <ns0:row r="604" ht="24" customHeight="1">
      <ns0:c r="A604" s="4" t="n">
        <ns0:v>600</ns0:v>
      </ns0:c>
      <ns0:c r="B604" s="12">
        <ns0:f>A604*('前提と出典'!$C$36+'前提と出典'!$C$38)</ns0:f>
        <ns0:v>420</ns0:v>
      </ns0:c>
      <ns0:c r="C604" s="12">
        <ns0:f>A604*('前提と出典'!$C$37+'前提と出典'!$C$38)</ns0:f>
        <ns0:v>360</ns0:v>
      </ns0:c>
      <ns0:c r="D604" s="16">
        <ns0:f>A604*('前提と出典'!$C$36*'契約別単価'!C5+'前提と出典'!$C$37*'契約別単価'!C6+'前提と出典'!$C$38*'契約別単価'!C7)</ns0:f>
        <ns0:v>4317.3184357541895</ns0:v>
      </ns0:c>
      <ns0:c r="E604" s="16">
        <ns0:f>A604*('前提と出典'!$C$36*'契約別単価'!E5+'前提と出典'!$C$37*'契約別単価'!E6+'前提と出典'!$C$38*'契約別単価'!E7)</ns0:f>
        <ns0:v>1508323.7539445478</ns0:v>
      </ns0:c>
      <ns0:c r="F604" s="16">
        <ns0:f>A604*('前提と出典'!$C$36*'契約別単価'!F5+'前提と出典'!$C$37*'契約別単価'!F6+'前提と出典'!$C$38*'契約別単価'!F7)</ns0:f>
        <ns0:v>438280.3279172749</ns0:v>
      </ns0:c>
      <ns0:c r="G604" s="16">
        <ns0:f>A604*('前提と出典'!$C$36*'契約別単価'!G5+'前提と出典'!$C$37*'契約別単価'!G6+'前提と出典'!$C$38*'契約別単価'!G7)</ns0:f>
        <ns0:v>1194301.6759776536</ns0:v>
      </ns0:c>
      <ns0:c r="H604" s="16">
        <ns0:f>A604*('前提と出典'!$C$36*'契約別単価'!H5+'前提と出典'!$C$37*'契約別単価'!H6+'前提と出典'!$C$38*'契約別単価'!H7)</ns0:f>
        <ns0:v>414482.58050026663</ns0:v>
      </ns0:c>
      <ns0:c r="I604" s="16">
        <ns0:f>A604*('前提と出典'!$C$36*'契約別単価'!I5+'前提と出典'!$C$37*'契約別単価'!I6+'前提と出典'!$C$38*'契約別単価'!I7)</ns0:f>
        <ns0:v>25317.318435754187</ns0:v>
      </ns0:c>
      <ns0:c r="J604" s="16">
        <ns0:f>A604*('前提と出典'!$C$36*'契約別単価'!J5+'前提と出典'!$C$37*'契約別単価'!J6+'前提と出典'!$C$38*'契約別単価'!J7)</ns0:f>
        <ns0:v>58973.72622618154</ns0:v>
      </ns0:c>
      <ns0:c r="K604" s="16">
        <ns0:f>A604*('前提と出典'!$C$36*'契約別単価'!K5+'前提と出典'!$C$37*'契約別単価'!K6+'前提と出典'!$C$38*'契約別単価'!K7)</ns0:f>
        <ns0:v>252782.1229050279</ns0:v>
      </ns0:c>
      <ns0:c r="L604" s="16">
        <ns0:f>A604*('前提と出典'!$C$36*'契約別単価'!L5+'前提と出典'!$C$37*'契約別単価'!L6+'前提と出典'!$C$38*'契約別単価'!L7)</ns0:f>
        <ns0:v>205816.08601667554</ns0:v>
      </ns0:c>
      <ns0:c r="M604" s="16">
        <ns0:f>IF(('前提と出典'!$C$36+'前提と出典'!$C$38)=0,0,IF(B604&lt;=10,'前提と出典'!B73+'前提と出典'!C73,IF(B604&lt;=100,'前提と出典'!B74+'前提と出典'!C74,IF(B604&lt;=500,'前提と出典'!B75+'前提と出典'!C75,'前提と出典'!B76+'前提と出典'!C76))))</ns0:f>
        <ns0:v>40000</ns0:v>
      </ns0:c>
      <ns0:c r="N604" s="16">
        <ns0:f>IF(('前提と出典'!$C$37+'前提と出典'!$C$38)=0,0,IF(C604&lt;=10,'前提と出典'!D73+'前提と出典'!E73,IF(C604&lt;=100,'前提と出典'!D74+'前提と出典'!E74,IF(C604&lt;=500,'前提と出典'!D75+'前提と出典'!E75,'前提と出典'!D76+'前提と出典'!E76))))</ns0:f>
        <ns0:v>56510.9346263078</ns0:v>
      </ns0:c>
      <ns0:c r="O604" s="16">
        <ns0:f>IF('前提と出典'!$C$36+'前提と出典'!$C$38=0,0,'前提と出典'!$B$4*IF('前提と出典'!$B$20=0,MAX('前提と出典'!$B$6,D604*'前提と出典'!$B$5),'前提と出典'!$B$6+D604*'前提と出典'!$B$5))</ns0:f>
        <ns0:v>595789.9441340782</ns0:v>
      </ns0:c>
      <ns0:c r="P604" s="16">
        <ns0:f>(E604+G604)*(1-'前提と出典'!$B$7)-I604-K604-M604-O604</ns0:f>
        <ns0:v>1691441.528970142</ns0:v>
      </ns0:c>
      <ns0:c r="Q604" s="16">
        <ns0:f>(F604+H604)*(1-'前提と出典'!$B$7)-J604-L604-N604</ns0:f>
        <ns0:v>500762.6968453452</ns0:v>
      </ns0:c>
      <ns0:c r="R604" s="16">
        <ns0:f>P604-E604*'前提と出典'!$E$4</ns0:f>
        <ns0:v>1238944.4027867778</ns0:v>
      </ns0:c>
      <ns0:c r="S604" s="16">
        <ns0:f>Q604-F604*'前提と出典'!$E$4</ns0:f>
        <ns0:v>369278.5984701627</ns0:v>
      </ns0:c>
      <ns0:c r="T604" s="7">
        <ns0:f>R604+S604</ns0:f>
        <ns0:v>1608223.0012569404</ns0:v>
      </ns0:c>
      <ns0:c r="U604" s="16">
        <ns0:f>P604-E604*'前提と出典'!$E$5</ns0:f>
        <ns0:v>1088112.027392323</ns0:v>
      </ns0:c>
      <ns0:c r="V604" s="16">
        <ns0:f>Q604-F604*'前提と出典'!$E$5</ns0:f>
        <ns0:v>325450.56567843526</ns0:v>
      </ns0:c>
      <ns0:c r="W604" s="7">
        <ns0:f>U604+V604</ns0:f>
        <ns0:v>1413562.593070758</ns0:v>
      </ns0:c>
      <ns0:c r="X604" s="16">
        <ns0:f>P604-E604*'前提と出典'!$E$6</ns0:f>
        <ns0:v>937279.6519978682</ns0:v>
      </ns0:c>
      <ns0:c r="Y604" s="16">
        <ns0:f>Q604-F604*'前提と出典'!$E$6</ns0:f>
        <ns0:v>281622.5328867077</ns0:v>
      </ns0:c>
      <ns0:c r="Z604" s="7">
        <ns0:f>X604+Y604</ns0:f>
        <ns0:v>1218902.184884576</ns0:v>
      </ns0:c>
      <ns0:c r="AA604" s="7">
        <ns0:f>IF(T604&gt;=0,A604,1001)</ns0:f>
        <ns0:v>600</ns0:v>
      </ns0:c>
      <ns0:c r="AB604" s="7">
        <ns0:f>IF(T604&lt;0,A604,0)</ns0:f>
        <ns0:v>0</ns0:v>
      </ns0:c>
      <ns0:c r="AC604" s="16">
        <ns0:f>IF(AND(OR('前提と出典'!$C$36+'前提と出典'!$C$38=0,R604&gt;=0),OR('前提と出典'!$C$37+'前提と出典'!$C$38=0,S604&gt;=0)),0,A604)</ns0:f>
        <ns0:v>0</ns0:v>
      </ns0:c>
      <ns0:c r="AD604" s="7">
        <ns0:f>IF(W604&gt;=0,A604,1001)</ns0:f>
        <ns0:v>600</ns0:v>
      </ns0:c>
      <ns0:c r="AE604" s="7">
        <ns0:f>IF(W604&lt;0,A604,0)</ns0:f>
        <ns0:v>0</ns0:v>
      </ns0:c>
      <ns0:c r="AF604" s="16">
        <ns0:f>IF(AND(OR('前提と出典'!$C$36+'前提と出典'!$C$38=0,U604&gt;=0),OR('前提と出典'!$C$37+'前提と出典'!$C$38=0,V604&gt;=0)),0,A604)</ns0:f>
        <ns0:v>0</ns0:v>
      </ns0:c>
      <ns0:c r="AG604" s="7">
        <ns0:f>IF(Z604&gt;=0,A604,1001)</ns0:f>
        <ns0:v>600</ns0:v>
      </ns0:c>
      <ns0:c r="AH604" s="4">
        <ns0:f>IF(Z604&lt;0,A604,0)</ns0:f>
        <ns0:v>0</ns0:v>
      </ns0:c>
      <ns0:c r="AI604" s="12">
        <ns0:f>IF(AND(OR('前提と出典'!$C$36+'前提と出典'!$C$38=0,X604&gt;=0),OR('前提と出典'!$C$37+'前提と出典'!$C$38=0,Y604&gt;=0)),0,A604)</ns0:f>
        <ns0:v>0</ns0:v>
      </ns0:c>
    </ns0:row>
    <ns0:row r="605" ht="24" customHeight="1">
      <ns0:c r="A605" s="4" t="n">
        <ns0:v>601</ns0:v>
      </ns0:c>
      <ns0:c r="B605" s="12">
        <ns0:f>A605*('前提と出典'!$C$36+'前提と出典'!$C$38)</ns0:f>
        <ns0:v>420.7</ns0:v>
      </ns0:c>
      <ns0:c r="C605" s="12">
        <ns0:f>A605*('前提と出典'!$C$37+'前提と出典'!$C$38)</ns0:f>
        <ns0:v>360.59999999999997</ns0:v>
      </ns0:c>
      <ns0:c r="D605" s="16">
        <ns0:f>A605*('前提と出典'!$C$36*'契約別単価'!C5+'前提と出典'!$C$37*'契約別単価'!C6+'前提と出典'!$C$38*'契約別単価'!C7)</ns0:f>
        <ns0:v>4324.5139664804465</ns0:v>
      </ns0:c>
      <ns0:c r="E605" s="16">
        <ns0:f>A605*('前提と出典'!$C$36*'契約別単価'!E5+'前提と出典'!$C$37*'契約別単価'!E6+'前提と出典'!$C$38*'契約別単価'!E7)</ns0:f>
        <ns0:v>1510837.6268677888</ns0:v>
      </ns0:c>
      <ns0:c r="F605" s="16">
        <ns0:f>A605*('前提と出典'!$C$36*'契約別単価'!F5+'前提と出典'!$C$37*'契約別単価'!F6+'前提と出典'!$C$38*'契約別単価'!F7)</ns0:f>
        <ns0:v>439010.79513047036</ns0:v>
      </ns0:c>
      <ns0:c r="G605" s="16">
        <ns0:f>A605*('前提と出典'!$C$36*'契約別単価'!G5+'前提と出典'!$C$37*'契約別単価'!G6+'前提と出典'!$C$38*'契約別単価'!G7)</ns0:f>
        <ns0:v>1196292.1787709496</ns0:v>
      </ns0:c>
      <ns0:c r="H605" s="16">
        <ns0:f>A605*('前提と出典'!$C$36*'契約別単価'!H5+'前提と出典'!$C$37*'契約別単価'!H6+'前提と出典'!$C$38*'契約別単価'!H7)</ns0:f>
        <ns0:v>415173.3848011004</ns0:v>
      </ns0:c>
      <ns0:c r="I605" s="16">
        <ns0:f>A605*('前提と出典'!$C$36*'契約別単価'!I5+'前提と出典'!$C$37*'契約別単価'!I6+'前提と出典'!$C$38*'契約別単価'!I7)</ns0:f>
        <ns0:v>25359.51396648044</ns0:v>
      </ns0:c>
      <ns0:c r="J605" s="16">
        <ns0:f>A605*('前提と出典'!$C$36*'契約別単価'!J5+'前提と出典'!$C$37*'契約別単価'!J6+'前提と出典'!$C$38*'契約別単価'!J7)</ns0:f>
        <ns0:v>59072.01576989184</ns0:v>
      </ns0:c>
      <ns0:c r="K605" s="16">
        <ns0:f>A605*('前提と出典'!$C$36*'契約別単価'!K5+'前提と出典'!$C$37*'契約別単価'!K6+'前提と出典'!$C$38*'契約別単価'!K7)</ns0:f>
        <ns0:v>253203.42644320297</ns0:v>
      </ns0:c>
      <ns0:c r="L605" s="16">
        <ns0:f>A605*('前提と出典'!$C$36*'契約別単価'!L5+'前提と出典'!$C$37*'契約別単価'!L6+'前提と出典'!$C$38*'契約別単価'!L7)</ns0:f>
        <ns0:v>206159.11282670335</ns0:v>
      </ns0:c>
      <ns0:c r="M605" s="16">
        <ns0:f>IF(('前提と出典'!$C$36+'前提と出典'!$C$38)=0,0,IF(B605&lt;=10,'前提と出典'!B73+'前提と出典'!C73,IF(B605&lt;=100,'前提と出典'!B74+'前提と出典'!C74,IF(B605&lt;=500,'前提と出典'!B75+'前提と出典'!C75,'前提と出典'!B76+'前提と出典'!C76))))</ns0:f>
        <ns0:v>40000</ns0:v>
      </ns0:c>
      <ns0:c r="N605" s="16">
        <ns0:f>IF(('前提と出典'!$C$37+'前提と出典'!$C$38)=0,0,IF(C605&lt;=10,'前提と出典'!D73+'前提と出典'!E73,IF(C605&lt;=100,'前提と出典'!D74+'前提と出典'!E74,IF(C605&lt;=500,'前提と出典'!D75+'前提と出典'!E75,'前提と出典'!D76+'前提と出典'!E76))))</ns0:f>
        <ns0:v>56510.9346263078</ns0:v>
      </ns0:c>
      <ns0:c r="O605" s="16">
        <ns0:f>IF('前提と出典'!$C$36+'前提と出典'!$C$38=0,0,'前提と出典'!$B$4*IF('前提と出典'!$B$20=0,MAX('前提と出典'!$B$6,D605*'前提と出典'!$B$5),'前提と出典'!$B$6+D605*'前提と出典'!$B$5))</ns0:f>
        <ns0:v>596782.9273743016</ns0:v>
      </ns0:c>
      <ns0:c r="P605" s="16">
        <ns0:f>(E605+G605)*(1-'前提と出典'!$B$7)-I605-K605-M605-O605</ns0:f>
        <ns0:v>1694327.2648517587</ns0:v>
      </ns0:c>
      <ns0:c r="Q605" s="16">
        <ns0:f>(F605+H605)*(1-'前提と出典'!$B$7)-J605-L605-N605</ns0:f>
        <ns0:v>501691.48623113125</ns0:v>
      </ns0:c>
      <ns0:c r="R605" s="16">
        <ns0:f>P605-E605*'前提と出典'!$E$4</ns0:f>
        <ns0:v>1241075.9767914223</ns0:v>
      </ns0:c>
      <ns0:c r="S605" s="16">
        <ns0:f>Q605-F605*'前提と出典'!$E$4</ns0:f>
        <ns0:v>369988.2476919901</ns0:v>
      </ns0:c>
      <ns0:c r="T605" s="7">
        <ns0:f>R605+S605</ns0:f>
        <ns0:v>1611064.2244834125</ns0:v>
      </ns0:c>
      <ns0:c r="U605" s="16">
        <ns0:f>P605-E605*'前提と出典'!$E$5</ns0:f>
        <ns0:v>1089992.214104643</ns0:v>
      </ns0:c>
      <ns0:c r="V605" s="16">
        <ns0:f>Q605-F605*'前提と出典'!$E$5</ns0:f>
        <ns0:v>326087.1681789431</ns0:v>
      </ns0:c>
      <ns0:c r="W605" s="7">
        <ns0:f>U605+V605</ns0:f>
        <ns0:v>1416079.382283586</ns0:v>
      </ns0:c>
      <ns0:c r="X605" s="16">
        <ns0:f>P605-E605*'前提と出典'!$E$6</ns0:f>
        <ns0:v>938908.4514178644</ns0:v>
      </ns0:c>
      <ns0:c r="Y605" s="16">
        <ns0:f>Q605-F605*'前提と出典'!$E$6</ns0:f>
        <ns0:v>282186.0886658961</ns0:v>
      </ns0:c>
      <ns0:c r="Z605" s="7">
        <ns0:f>X605+Y605</ns0:f>
        <ns0:v>1221094.5400837604</ns0:v>
      </ns0:c>
      <ns0:c r="AA605" s="7">
        <ns0:f>IF(T605&gt;=0,A605,1001)</ns0:f>
        <ns0:v>601</ns0:v>
      </ns0:c>
      <ns0:c r="AB605" s="7">
        <ns0:f>IF(T605&lt;0,A605,0)</ns0:f>
        <ns0:v>0</ns0:v>
      </ns0:c>
      <ns0:c r="AC605" s="16">
        <ns0:f>IF(AND(OR('前提と出典'!$C$36+'前提と出典'!$C$38=0,R605&gt;=0),OR('前提と出典'!$C$37+'前提と出典'!$C$38=0,S605&gt;=0)),0,A605)</ns0:f>
        <ns0:v>0</ns0:v>
      </ns0:c>
      <ns0:c r="AD605" s="7">
        <ns0:f>IF(W605&gt;=0,A605,1001)</ns0:f>
        <ns0:v>601</ns0:v>
      </ns0:c>
      <ns0:c r="AE605" s="7">
        <ns0:f>IF(W605&lt;0,A605,0)</ns0:f>
        <ns0:v>0</ns0:v>
      </ns0:c>
      <ns0:c r="AF605" s="16">
        <ns0:f>IF(AND(OR('前提と出典'!$C$36+'前提と出典'!$C$38=0,U605&gt;=0),OR('前提と出典'!$C$37+'前提と出典'!$C$38=0,V605&gt;=0)),0,A605)</ns0:f>
        <ns0:v>0</ns0:v>
      </ns0:c>
      <ns0:c r="AG605" s="7">
        <ns0:f>IF(Z605&gt;=0,A605,1001)</ns0:f>
        <ns0:v>601</ns0:v>
      </ns0:c>
      <ns0:c r="AH605" s="4">
        <ns0:f>IF(Z605&lt;0,A605,0)</ns0:f>
        <ns0:v>0</ns0:v>
      </ns0:c>
      <ns0:c r="AI605" s="12">
        <ns0:f>IF(AND(OR('前提と出典'!$C$36+'前提と出典'!$C$38=0,X605&gt;=0),OR('前提と出典'!$C$37+'前提と出典'!$C$38=0,Y605&gt;=0)),0,A605)</ns0:f>
        <ns0:v>0</ns0:v>
      </ns0:c>
    </ns0:row>
    <ns0:row r="606" ht="24" customHeight="1">
      <ns0:c r="A606" s="4" t="n">
        <ns0:v>602</ns0:v>
      </ns0:c>
      <ns0:c r="B606" s="12">
        <ns0:f>A606*('前提と出典'!$C$36+'前提と出典'!$C$38)</ns0:f>
        <ns0:v>421.4</ns0:v>
      </ns0:c>
      <ns0:c r="C606" s="12">
        <ns0:f>A606*('前提と出典'!$C$37+'前提と出典'!$C$38)</ns0:f>
        <ns0:v>361.2</ns0:v>
      </ns0:c>
      <ns0:c r="D606" s="16">
        <ns0:f>A606*('前提と出典'!$C$36*'契約別単価'!C5+'前提と出典'!$C$37*'契約別単価'!C6+'前提と出典'!$C$38*'契約別単価'!C7)</ns0:f>
        <ns0:v>4331.709497206704</ns0:v>
      </ns0:c>
      <ns0:c r="E606" s="16">
        <ns0:f>A606*('前提と出典'!$C$36*'契約別単価'!E5+'前提と出典'!$C$37*'契約別単価'!E6+'前提と出典'!$C$38*'契約別単価'!E7)</ns0:f>
        <ns0:v>1513351.4997910298</ns0:v>
      </ns0:c>
      <ns0:c r="F606" s="16">
        <ns0:f>A606*('前提と出典'!$C$36*'契約別単価'!F5+'前提と出典'!$C$37*'契約別単価'!F6+'前提と出典'!$C$38*'契約別単価'!F7)</ns0:f>
        <ns0:v>439741.2623436658</ns0:v>
      </ns0:c>
      <ns0:c r="G606" s="16">
        <ns0:f>A606*('前提と出典'!$C$36*'契約別単価'!G5+'前提と出典'!$C$37*'契約別単価'!G6+'前提と出典'!$C$38*'契約別単価'!G7)</ns0:f>
        <ns0:v>1198282.6815642458</ns0:v>
      </ns0:c>
      <ns0:c r="H606" s="16">
        <ns0:f>A606*('前提と出典'!$C$36*'契約別単価'!H5+'前提と出典'!$C$37*'契約別単価'!H6+'前提と出典'!$C$38*'契約別単価'!H7)</ns0:f>
        <ns0:v>415864.18910193414</ns0:v>
      </ns0:c>
      <ns0:c r="I606" s="16">
        <ns0:f>A606*('前提と出典'!$C$36*'契約別単価'!I5+'前提と出典'!$C$37*'契約別単価'!I6+'前提と出典'!$C$38*'契約別単価'!I7)</ns0:f>
        <ns0:v>25401.7094972067</ns0:v>
      </ns0:c>
      <ns0:c r="J606" s="16">
        <ns0:f>A606*('前提と出典'!$C$36*'契約別単価'!J5+'前提と出典'!$C$37*'契約別単価'!J6+'前提と出典'!$C$38*'契約別単価'!J7)</ns0:f>
        <ns0:v>59170.30531360215</ns0:v>
      </ns0:c>
      <ns0:c r="K606" s="16">
        <ns0:f>A606*('前提と出典'!$C$36*'契約別単価'!K5+'前提と出典'!$C$37*'契約別単価'!K6+'前提と出典'!$C$38*'契約別単価'!K7)</ns0:f>
        <ns0:v>253624.729981378</ns0:v>
      </ns0:c>
      <ns0:c r="L606" s="16">
        <ns0:f>A606*('前提と出典'!$C$36*'契約別単価'!L5+'前提と出典'!$C$37*'契約別単価'!L6+'前提と出典'!$C$38*'契約別単価'!L7)</ns0:f>
        <ns0:v>206502.13963673112</ns0:v>
      </ns0:c>
      <ns0:c r="M606" s="16">
        <ns0:f>IF(('前提と出典'!$C$36+'前提と出典'!$C$38)=0,0,IF(B606&lt;=10,'前提と出典'!B73+'前提と出典'!C73,IF(B606&lt;=100,'前提と出典'!B74+'前提と出典'!C74,IF(B606&lt;=500,'前提と出典'!B75+'前提と出典'!C75,'前提と出典'!B76+'前提と出典'!C76))))</ns0:f>
        <ns0:v>40000</ns0:v>
      </ns0:c>
      <ns0:c r="N606" s="16">
        <ns0:f>IF(('前提と出典'!$C$37+'前提と出典'!$C$38)=0,0,IF(C606&lt;=10,'前提と出典'!D73+'前提と出典'!E73,IF(C606&lt;=100,'前提と出典'!D74+'前提と出典'!E74,IF(C606&lt;=500,'前提と出典'!D75+'前提と出典'!E75,'前提と出典'!D76+'前提と出典'!E76))))</ns0:f>
        <ns0:v>56510.9346263078</ns0:v>
      </ns0:c>
      <ns0:c r="O606" s="16">
        <ns0:f>IF('前提と出典'!$C$36+'前提と出典'!$C$38=0,0,'前提と出典'!$B$4*IF('前提と出典'!$B$20=0,MAX('前提と出典'!$B$6,D606*'前提と出典'!$B$5),'前提と出典'!$B$6+D606*'前提と出典'!$B$5))</ns0:f>
        <ns0:v>597775.9106145252</ns0:v>
      </ns0:c>
      <ns0:c r="P606" s="16">
        <ns0:f>(E606+G606)*(1-'前提と出典'!$B$7)-I606-K606-M606-O606</ns0:f>
        <ns0:v>1697213.000733376</ns0:v>
      </ns0:c>
      <ns0:c r="Q606" s="16">
        <ns0:f>(F606+H606)*(1-'前提と出典'!$B$7)-J606-L606-N606</ns0:f>
        <ns0:v>502620.2756169173</ns0:v>
      </ns0:c>
      <ns0:c r="R606" s="16">
        <ns0:f>P606-E606*'前提と出典'!$E$4</ns0:f>
        <ns0:v>1243207.5507960664</ns0:v>
      </ns0:c>
      <ns0:c r="S606" s="16">
        <ns0:f>Q606-F606*'前提と出典'!$E$4</ns0:f>
        <ns0:v>370697.89691381773</ns0:v>
      </ns0:c>
      <ns0:c r="T606" s="7">
        <ns0:f>R606+S606</ns0:f>
        <ns0:v>1613905.447709884</ns0:v>
      </ns0:c>
      <ns0:c r="U606" s="16">
        <ns0:f>P606-E606*'前提と出典'!$E$5</ns0:f>
        <ns0:v>1091872.400816964</ns0:v>
      </ns0:c>
      <ns0:c r="V606" s="16">
        <ns0:f>Q606-F606*'前提と出典'!$E$5</ns0:f>
        <ns0:v>326723.77067945094</ns0:v>
      </ns0:c>
      <ns0:c r="W606" s="7">
        <ns0:f>U606+V606</ns0:f>
        <ns0:v>1418596.171496415</ns0:v>
      </ns0:c>
      <ns0:c r="X606" s="16">
        <ns0:f>P606-E606*'前提と出典'!$E$6</ns0:f>
        <ns0:v>940537.2508378611</ns0:v>
      </ns0:c>
      <ns0:c r="Y606" s="16">
        <ns0:f>Q606-F606*'前提と出典'!$E$6</ns0:f>
        <ns0:v>282749.6444450844</ns0:v>
      </ns0:c>
      <ns0:c r="Z606" s="7">
        <ns0:f>X606+Y606</ns0:f>
        <ns0:v>1223286.8952829456</ns0:v>
      </ns0:c>
      <ns0:c r="AA606" s="7">
        <ns0:f>IF(T606&gt;=0,A606,1001)</ns0:f>
        <ns0:v>602</ns0:v>
      </ns0:c>
      <ns0:c r="AB606" s="7">
        <ns0:f>IF(T606&lt;0,A606,0)</ns0:f>
        <ns0:v>0</ns0:v>
      </ns0:c>
      <ns0:c r="AC606" s="16">
        <ns0:f>IF(AND(OR('前提と出典'!$C$36+'前提と出典'!$C$38=0,R606&gt;=0),OR('前提と出典'!$C$37+'前提と出典'!$C$38=0,S606&gt;=0)),0,A606)</ns0:f>
        <ns0:v>0</ns0:v>
      </ns0:c>
      <ns0:c r="AD606" s="7">
        <ns0:f>IF(W606&gt;=0,A606,1001)</ns0:f>
        <ns0:v>602</ns0:v>
      </ns0:c>
      <ns0:c r="AE606" s="7">
        <ns0:f>IF(W606&lt;0,A606,0)</ns0:f>
        <ns0:v>0</ns0:v>
      </ns0:c>
      <ns0:c r="AF606" s="16">
        <ns0:f>IF(AND(OR('前提と出典'!$C$36+'前提と出典'!$C$38=0,U606&gt;=0),OR('前提と出典'!$C$37+'前提と出典'!$C$38=0,V606&gt;=0)),0,A606)</ns0:f>
        <ns0:v>0</ns0:v>
      </ns0:c>
      <ns0:c r="AG606" s="7">
        <ns0:f>IF(Z606&gt;=0,A606,1001)</ns0:f>
        <ns0:v>602</ns0:v>
      </ns0:c>
      <ns0:c r="AH606" s="4">
        <ns0:f>IF(Z606&lt;0,A606,0)</ns0:f>
        <ns0:v>0</ns0:v>
      </ns0:c>
      <ns0:c r="AI606" s="12">
        <ns0:f>IF(AND(OR('前提と出典'!$C$36+'前提と出典'!$C$38=0,X606&gt;=0),OR('前提と出典'!$C$37+'前提と出典'!$C$38=0,Y606&gt;=0)),0,A606)</ns0:f>
        <ns0:v>0</ns0:v>
      </ns0:c>
    </ns0:row>
    <ns0:row r="607" ht="24" customHeight="1">
      <ns0:c r="A607" s="4" t="n">
        <ns0:v>603</ns0:v>
      </ns0:c>
      <ns0:c r="B607" s="12">
        <ns0:f>A607*('前提と出典'!$C$36+'前提と出典'!$C$38)</ns0:f>
        <ns0:v>422.09999999999997</ns0:v>
      </ns0:c>
      <ns0:c r="C607" s="12">
        <ns0:f>A607*('前提と出典'!$C$37+'前提と出典'!$C$38)</ns0:f>
        <ns0:v>361.8</ns0:v>
      </ns0:c>
      <ns0:c r="D607" s="16">
        <ns0:f>A607*('前提と出典'!$C$36*'契約別単価'!C5+'前提と出典'!$C$37*'契約別単価'!C6+'前提と出典'!$C$38*'契約別単価'!C7)</ns0:f>
        <ns0:v>4338.905027932961</ns0:v>
      </ns0:c>
      <ns0:c r="E607" s="16">
        <ns0:f>A607*('前提と出典'!$C$36*'契約別単価'!E5+'前提と出典'!$C$37*'契約別単価'!E6+'前提と出典'!$C$38*'契約別単価'!E7)</ns0:f>
        <ns0:v>1515865.3727142706</ns0:v>
      </ns0:c>
      <ns0:c r="F607" s="16">
        <ns0:f>A607*('前提と出典'!$C$36*'契約別単価'!F5+'前提と出典'!$C$37*'契約別単価'!F6+'前提と出典'!$C$38*'契約別単価'!F7)</ns0:f>
        <ns0:v>440471.7295568613</ns0:v>
      </ns0:c>
      <ns0:c r="G607" s="16">
        <ns0:f>A607*('前提と出典'!$C$36*'契約別単価'!G5+'前提と出典'!$C$37*'契約別単価'!G6+'前提と出典'!$C$38*'契約別単価'!G7)</ns0:f>
        <ns0:v>1200273.1843575418</ns0:v>
      </ns0:c>
      <ns0:c r="H607" s="16">
        <ns0:f>A607*('前提と出典'!$C$36*'契約別単価'!H5+'前提と出典'!$C$37*'契約別単価'!H6+'前提と出典'!$C$38*'契約別単価'!H7)</ns0:f>
        <ns0:v>416554.9934027679</ns0:v>
      </ns0:c>
      <ns0:c r="I607" s="16">
        <ns0:f>A607*('前提と出典'!$C$36*'契約別単価'!I5+'前提と出典'!$C$37*'契約別単価'!I6+'前提と出典'!$C$38*'契約別単価'!I7)</ns0:f>
        <ns0:v>25443.905027932957</ns0:v>
      </ns0:c>
      <ns0:c r="J607" s="16">
        <ns0:f>A607*('前提と出典'!$C$36*'契約別単価'!J5+'前提と出典'!$C$37*'契約別単価'!J6+'前提と出典'!$C$38*'契約別単価'!J7)</ns0:f>
        <ns0:v>59268.59485731245</ns0:v>
      </ns0:c>
      <ns0:c r="K607" s="16">
        <ns0:f>A607*('前提と出典'!$C$36*'契約別単価'!K5+'前提と出典'!$C$37*'契約別単価'!K6+'前提と出典'!$C$38*'契約別単価'!K7)</ns0:f>
        <ns0:v>254046.03351955305</ns0:v>
      </ns0:c>
      <ns0:c r="L607" s="16">
        <ns0:f>A607*('前提と出典'!$C$36*'契約別単価'!L5+'前提と出典'!$C$37*'契約別単価'!L6+'前提と出典'!$C$38*'契約別単価'!L7)</ns0:f>
        <ns0:v>206845.16644675893</ns0:v>
      </ns0:c>
      <ns0:c r="M607" s="16">
        <ns0:f>IF(('前提と出典'!$C$36+'前提と出典'!$C$38)=0,0,IF(B607&lt;=10,'前提と出典'!B73+'前提と出典'!C73,IF(B607&lt;=100,'前提と出典'!B74+'前提と出典'!C74,IF(B607&lt;=500,'前提と出典'!B75+'前提と出典'!C75,'前提と出典'!B76+'前提と出典'!C76))))</ns0:f>
        <ns0:v>40000</ns0:v>
      </ns0:c>
      <ns0:c r="N607" s="16">
        <ns0:f>IF(('前提と出典'!$C$37+'前提と出典'!$C$38)=0,0,IF(C607&lt;=10,'前提と出典'!D73+'前提と出典'!E73,IF(C607&lt;=100,'前提と出典'!D74+'前提と出典'!E74,IF(C607&lt;=500,'前提と出典'!D75+'前提と出典'!E75,'前提と出典'!D76+'前提と出典'!E76))))</ns0:f>
        <ns0:v>56510.9346263078</ns0:v>
      </ns0:c>
      <ns0:c r="O607" s="16">
        <ns0:f>IF('前提と出典'!$C$36+'前提と出典'!$C$38=0,0,'前提と出典'!$B$4*IF('前提と出典'!$B$20=0,MAX('前提と出典'!$B$6,D607*'前提と出典'!$B$5),'前提と出典'!$B$6+D607*'前提と出典'!$B$5))</ns0:f>
        <ns0:v>598768.8938547487</ns0:v>
      </ns0:c>
      <ns0:c r="P607" s="16">
        <ns0:f>(E607+G607)*(1-'前提と出典'!$B$7)-I607-K607-M607-O607</ns0:f>
        <ns0:v>1700098.7366149924</ns0:v>
      </ns0:c>
      <ns0:c r="Q607" s="16">
        <ns0:f>(F607+H607)*(1-'前提と出典'!$B$7)-J607-L607-N607</ns0:f>
        <ns0:v>503549.06500270346</ns0:v>
      </ns0:c>
      <ns0:c r="R607" s="16">
        <ns0:f>P607-E607*'前提と出典'!$E$4</ns0:f>
        <ns0:v>1245339.1248007116</ns0:v>
      </ns0:c>
      <ns0:c r="S607" s="16">
        <ns0:f>Q607-F607*'前提と出典'!$E$4</ns0:f>
        <ns0:v>371407.5461356449</ns0:v>
      </ns0:c>
      <ns0:c r="T607" s="7">
        <ns0:f>R607+S607</ns0:f>
        <ns0:v>1616746.6709363565</ns0:v>
      </ns0:c>
      <ns0:c r="U607" s="16">
        <ns0:f>P607-E607*'前提と出典'!$E$5</ns0:f>
        <ns0:v>1093752.5875292842</ns0:v>
      </ns0:c>
      <ns0:c r="V607" s="16">
        <ns0:f>Q607-F607*'前提と出典'!$E$5</ns0:f>
        <ns0:v>327360.3731799589</ns0:v>
      </ns0:c>
      <ns0:c r="W607" s="7">
        <ns0:f>U607+V607</ns0:f>
        <ns0:v>1421112.960709243</ns0:v>
      </ns0:c>
      <ns0:c r="X607" s="16">
        <ns0:f>P607-E607*'前提と出典'!$E$6</ns0:f>
        <ns0:v>942166.0502578572</ns0:v>
      </ns0:c>
      <ns0:c r="Y607" s="16">
        <ns0:f>Q607-F607*'前提と出典'!$E$6</ns0:f>
        <ns0:v>283313.2002242727</ns0:v>
      </ns0:c>
      <ns0:c r="Z607" s="7">
        <ns0:f>X607+Y607</ns0:f>
        <ns0:v>1225479.2504821299</ns0:v>
      </ns0:c>
      <ns0:c r="AA607" s="7">
        <ns0:f>IF(T607&gt;=0,A607,1001)</ns0:f>
        <ns0:v>603</ns0:v>
      </ns0:c>
      <ns0:c r="AB607" s="7">
        <ns0:f>IF(T607&lt;0,A607,0)</ns0:f>
        <ns0:v>0</ns0:v>
      </ns0:c>
      <ns0:c r="AC607" s="16">
        <ns0:f>IF(AND(OR('前提と出典'!$C$36+'前提と出典'!$C$38=0,R607&gt;=0),OR('前提と出典'!$C$37+'前提と出典'!$C$38=0,S607&gt;=0)),0,A607)</ns0:f>
        <ns0:v>0</ns0:v>
      </ns0:c>
      <ns0:c r="AD607" s="7">
        <ns0:f>IF(W607&gt;=0,A607,1001)</ns0:f>
        <ns0:v>603</ns0:v>
      </ns0:c>
      <ns0:c r="AE607" s="7">
        <ns0:f>IF(W607&lt;0,A607,0)</ns0:f>
        <ns0:v>0</ns0:v>
      </ns0:c>
      <ns0:c r="AF607" s="16">
        <ns0:f>IF(AND(OR('前提と出典'!$C$36+'前提と出典'!$C$38=0,U607&gt;=0),OR('前提と出典'!$C$37+'前提と出典'!$C$38=0,V607&gt;=0)),0,A607)</ns0:f>
        <ns0:v>0</ns0:v>
      </ns0:c>
      <ns0:c r="AG607" s="7">
        <ns0:f>IF(Z607&gt;=0,A607,1001)</ns0:f>
        <ns0:v>603</ns0:v>
      </ns0:c>
      <ns0:c r="AH607" s="4">
        <ns0:f>IF(Z607&lt;0,A607,0)</ns0:f>
        <ns0:v>0</ns0:v>
      </ns0:c>
      <ns0:c r="AI607" s="12">
        <ns0:f>IF(AND(OR('前提と出典'!$C$36+'前提と出典'!$C$38=0,X607&gt;=0),OR('前提と出典'!$C$37+'前提と出典'!$C$38=0,Y607&gt;=0)),0,A607)</ns0:f>
        <ns0:v>0</ns0:v>
      </ns0:c>
    </ns0:row>
    <ns0:row r="608" ht="24" customHeight="1">
      <ns0:c r="A608" s="4" t="n">
        <ns0:v>604</ns0:v>
      </ns0:c>
      <ns0:c r="B608" s="12">
        <ns0:f>A608*('前提と出典'!$C$36+'前提と出典'!$C$38)</ns0:f>
        <ns0:v>422.79999999999995</ns0:v>
      </ns0:c>
      <ns0:c r="C608" s="12">
        <ns0:f>A608*('前提と出典'!$C$37+'前提と出典'!$C$38)</ns0:f>
        <ns0:v>362.4</ns0:v>
      </ns0:c>
      <ns0:c r="D608" s="16">
        <ns0:f>A608*('前提と出典'!$C$36*'契約別単価'!C5+'前提と出典'!$C$37*'契約別単価'!C6+'前提と出典'!$C$38*'契約別単価'!C7)</ns0:f>
        <ns0:v>4346.100558659218</ns0:v>
      </ns0:c>
      <ns0:c r="E608" s="16">
        <ns0:f>A608*('前提と出典'!$C$36*'契約別単価'!E5+'前提と出典'!$C$37*'契約別単価'!E6+'前提と出典'!$C$38*'契約別単価'!E7)</ns0:f>
        <ns0:v>1518379.2456375116</ns0:v>
      </ns0:c>
      <ns0:c r="F608" s="16">
        <ns0:f>A608*('前提と出典'!$C$36*'契約別単価'!F5+'前提と出典'!$C$37*'契約別単価'!F6+'前提と出典'!$C$38*'契約別単価'!F7)</ns0:f>
        <ns0:v>441202.19677005673</ns0:v>
      </ns0:c>
      <ns0:c r="G608" s="16">
        <ns0:f>A608*('前提と出典'!$C$36*'契約別単価'!G5+'前提と出典'!$C$37*'契約別単価'!G6+'前提と出典'!$C$38*'契約別単価'!G7)</ns0:f>
        <ns0:v>1202263.6871508379</ns0:v>
      </ns0:c>
      <ns0:c r="H608" s="16">
        <ns0:f>A608*('前提と出典'!$C$36*'契約別単価'!H5+'前提と出典'!$C$37*'契約別単価'!H6+'前提と出典'!$C$38*'契約別単価'!H7)</ns0:f>
        <ns0:v>417245.7977036017</ns0:v>
      </ns0:c>
      <ns0:c r="I608" s="16">
        <ns0:f>A608*('前提と出典'!$C$36*'契約別単価'!I5+'前提と出典'!$C$37*'契約別単価'!I6+'前提と出典'!$C$38*'契約別単価'!I7)</ns0:f>
        <ns0:v>25486.100558659215</ns0:v>
      </ns0:c>
      <ns0:c r="J608" s="16">
        <ns0:f>A608*('前提と出典'!$C$36*'契約別単価'!J5+'前提と出典'!$C$37*'契約別単価'!J6+'前提と出典'!$C$38*'契約別単価'!J7)</ns0:f>
        <ns0:v>59366.88440102275</ns0:v>
      </ns0:c>
      <ns0:c r="K608" s="16">
        <ns0:f>A608*('前提と出典'!$C$36*'契約別単価'!K5+'前提と出典'!$C$37*'契約別単価'!K6+'前提と出典'!$C$38*'契約別単価'!K7)</ns0:f>
        <ns0:v>254467.3370577281</ns0:v>
      </ns0:c>
      <ns0:c r="L608" s="16">
        <ns0:f>A608*('前提と出典'!$C$36*'契約別単価'!L5+'前提と出典'!$C$37*'契約別単価'!L6+'前提と出典'!$C$38*'契約別単価'!L7)</ns0:f>
        <ns0:v>207188.1932567867</ns0:v>
      </ns0:c>
      <ns0:c r="M608" s="16">
        <ns0:f>IF(('前提と出典'!$C$36+'前提と出典'!$C$38)=0,0,IF(B608&lt;=10,'前提と出典'!B73+'前提と出典'!C73,IF(B608&lt;=100,'前提と出典'!B74+'前提と出典'!C74,IF(B608&lt;=500,'前提と出典'!B75+'前提と出典'!C75,'前提と出典'!B76+'前提と出典'!C76))))</ns0:f>
        <ns0:v>40000</ns0:v>
      </ns0:c>
      <ns0:c r="N608" s="16">
        <ns0:f>IF(('前提と出典'!$C$37+'前提と出典'!$C$38)=0,0,IF(C608&lt;=10,'前提と出典'!D73+'前提と出典'!E73,IF(C608&lt;=100,'前提と出典'!D74+'前提と出典'!E74,IF(C608&lt;=500,'前提と出典'!D75+'前提と出典'!E75,'前提と出典'!D76+'前提と出典'!E76))))</ns0:f>
        <ns0:v>56510.9346263078</ns0:v>
      </ns0:c>
      <ns0:c r="O608" s="16">
        <ns0:f>IF('前提と出典'!$C$36+'前提と出典'!$C$38=0,0,'前提と出典'!$B$4*IF('前提と出典'!$B$20=0,MAX('前提と出典'!$B$6,D608*'前提と出典'!$B$5),'前提と出典'!$B$6+D608*'前提と出典'!$B$5))</ns0:f>
        <ns0:v>599761.8770949722</ns0:v>
      </ns0:c>
      <ns0:c r="P608" s="16">
        <ns0:f>(E608+G608)*(1-'前提と出典'!$B$7)-I608-K608-M608-O608</ns0:f>
        <ns0:v>1702984.4724966092</ns0:v>
      </ns0:c>
      <ns0:c r="Q608" s="16">
        <ns0:f>(F608+H608)*(1-'前提と出典'!$B$7)-J608-L608-N608</ns0:f>
        <ns0:v>504477.85438848956</ns0:v>
      </ns0:c>
      <ns0:c r="R608" s="16">
        <ns0:f>P608-E608*'前提と出典'!$E$4</ns0:f>
        <ns0:v>1247470.6988053564</ns0:v>
      </ns0:c>
      <ns0:c r="S608" s="16">
        <ns0:f>Q608-F608*'前提と出典'!$E$4</ns0:f>
        <ns0:v>372117.1953574725</ns0:v>
      </ns0:c>
      <ns0:c r="T608" s="7">
        <ns0:f>R608+S608</ns0:f>
        <ns0:v>1619587.894162829</ns0:v>
      </ns0:c>
      <ns0:c r="U608" s="16">
        <ns0:f>P608-E608*'前提と出典'!$E$5</ns0:f>
        <ns0:v>1095632.7742416046</ns0:v>
      </ns0:c>
      <ns0:c r="V608" s="16">
        <ns0:f>Q608-F608*'前提と出典'!$E$5</ns0:f>
        <ns0:v>327996.97568046686</ns0:v>
      </ns0:c>
      <ns0:c r="W608" s="7">
        <ns0:f>U608+V608</ns0:f>
        <ns0:v>1423629.7499220716</ns0:v>
      </ns0:c>
      <ns0:c r="X608" s="16">
        <ns0:f>P608-E608*'前提と出典'!$E$6</ns0:f>
        <ns0:v>943794.8496778535</ns0:v>
      </ns0:c>
      <ns0:c r="Y608" s="16">
        <ns0:f>Q608-F608*'前提と出典'!$E$6</ns0:f>
        <ns0:v>283876.7560034612</ns0:v>
      </ns0:c>
      <ns0:c r="Z608" s="7">
        <ns0:f>X608+Y608</ns0:f>
        <ns0:v>1227671.6056813146</ns0:v>
      </ns0:c>
      <ns0:c r="AA608" s="7">
        <ns0:f>IF(T608&gt;=0,A608,1001)</ns0:f>
        <ns0:v>604</ns0:v>
      </ns0:c>
      <ns0:c r="AB608" s="7">
        <ns0:f>IF(T608&lt;0,A608,0)</ns0:f>
        <ns0:v>0</ns0:v>
      </ns0:c>
      <ns0:c r="AC608" s="16">
        <ns0:f>IF(AND(OR('前提と出典'!$C$36+'前提と出典'!$C$38=0,R608&gt;=0),OR('前提と出典'!$C$37+'前提と出典'!$C$38=0,S608&gt;=0)),0,A608)</ns0:f>
        <ns0:v>0</ns0:v>
      </ns0:c>
      <ns0:c r="AD608" s="7">
        <ns0:f>IF(W608&gt;=0,A608,1001)</ns0:f>
        <ns0:v>604</ns0:v>
      </ns0:c>
      <ns0:c r="AE608" s="7">
        <ns0:f>IF(W608&lt;0,A608,0)</ns0:f>
        <ns0:v>0</ns0:v>
      </ns0:c>
      <ns0:c r="AF608" s="16">
        <ns0:f>IF(AND(OR('前提と出典'!$C$36+'前提と出典'!$C$38=0,U608&gt;=0),OR('前提と出典'!$C$37+'前提と出典'!$C$38=0,V608&gt;=0)),0,A608)</ns0:f>
        <ns0:v>0</ns0:v>
      </ns0:c>
      <ns0:c r="AG608" s="7">
        <ns0:f>IF(Z608&gt;=0,A608,1001)</ns0:f>
        <ns0:v>604</ns0:v>
      </ns0:c>
      <ns0:c r="AH608" s="4">
        <ns0:f>IF(Z608&lt;0,A608,0)</ns0:f>
        <ns0:v>0</ns0:v>
      </ns0:c>
      <ns0:c r="AI608" s="12">
        <ns0:f>IF(AND(OR('前提と出典'!$C$36+'前提と出典'!$C$38=0,X608&gt;=0),OR('前提と出典'!$C$37+'前提と出典'!$C$38=0,Y608&gt;=0)),0,A608)</ns0:f>
        <ns0:v>0</ns0:v>
      </ns0:c>
    </ns0:row>
    <ns0:row r="609" ht="24" customHeight="1">
      <ns0:c r="A609" s="4" t="n">
        <ns0:v>605</ns0:v>
      </ns0:c>
      <ns0:c r="B609" s="12">
        <ns0:f>A609*('前提と出典'!$C$36+'前提と出典'!$C$38)</ns0:f>
        <ns0:v>423.5</ns0:v>
      </ns0:c>
      <ns0:c r="C609" s="12">
        <ns0:f>A609*('前提と出典'!$C$37+'前提と出典'!$C$38)</ns0:f>
        <ns0:v>363</ns0:v>
      </ns0:c>
      <ns0:c r="D609" s="16">
        <ns0:f>A609*('前提と出典'!$C$36*'契約別単価'!C5+'前提と出典'!$C$37*'契約別単価'!C6+'前提と出典'!$C$38*'契約別単価'!C7)</ns0:f>
        <ns0:v>4353.296089385475</ns0:v>
      </ns0:c>
      <ns0:c r="E609" s="16">
        <ns0:f>A609*('前提と出典'!$C$36*'契約別単価'!E5+'前提と出典'!$C$37*'契約別単価'!E6+'前提と出典'!$C$38*'契約別単価'!E7)</ns0:f>
        <ns0:v>1520893.1185607526</ns0:v>
      </ns0:c>
      <ns0:c r="F609" s="16">
        <ns0:f>A609*('前提と出典'!$C$36*'契約別単価'!F5+'前提と出典'!$C$37*'契約別単価'!F6+'前提と出典'!$C$38*'契約別単価'!F7)</ns0:f>
        <ns0:v>441932.6639832522</ns0:v>
      </ns0:c>
      <ns0:c r="G609" s="16">
        <ns0:f>A609*('前提と出典'!$C$36*'契約別単価'!G5+'前提と出典'!$C$37*'契約別単価'!G6+'前提と出典'!$C$38*'契約別単価'!G7)</ns0:f>
        <ns0:v>1204254.189944134</ns0:v>
      </ns0:c>
      <ns0:c r="H609" s="16">
        <ns0:f>A609*('前提と出典'!$C$36*'契約別単価'!H5+'前提と出典'!$C$37*'契約別単価'!H6+'前提と出典'!$C$38*'契約別単価'!H7)</ns0:f>
        <ns0:v>417936.6020044355</ns0:v>
      </ns0:c>
      <ns0:c r="I609" s="16">
        <ns0:f>A609*('前提と出典'!$C$36*'契約別単価'!I5+'前提と出典'!$C$37*'契約別単価'!I6+'前提と出典'!$C$38*'契約別単価'!I7)</ns0:f>
        <ns0:v>25528.29608938547</ns0:v>
      </ns0:c>
      <ns0:c r="J609" s="16">
        <ns0:f>A609*('前提と出典'!$C$36*'契約別単価'!J5+'前提と出典'!$C$37*'契約別単価'!J6+'前提と出典'!$C$38*'契約別単価'!J7)</ns0:f>
        <ns0:v>59465.173944733055</ns0:v>
      </ns0:c>
      <ns0:c r="K609" s="16">
        <ns0:f>A609*('前提と出典'!$C$36*'契約別単価'!K5+'前提と出典'!$C$37*'契約別単価'!K6+'前提と出典'!$C$38*'契約別単価'!K7)</ns0:f>
        <ns0:v>254888.64059590315</ns0:v>
      </ns0:c>
      <ns0:c r="L609" s="16">
        <ns0:f>A609*('前提と出典'!$C$36*'契約別単価'!L5+'前提と出典'!$C$37*'契約別単価'!L6+'前提と出典'!$C$38*'契約別単価'!L7)</ns0:f>
        <ns0:v>207531.2200668145</ns0:v>
      </ns0:c>
      <ns0:c r="M609" s="16">
        <ns0:f>IF(('前提と出典'!$C$36+'前提と出典'!$C$38)=0,0,IF(B609&lt;=10,'前提と出典'!B73+'前提と出典'!C73,IF(B609&lt;=100,'前提と出典'!B74+'前提と出典'!C74,IF(B609&lt;=500,'前提と出典'!B75+'前提と出典'!C75,'前提と出典'!B76+'前提と出典'!C76))))</ns0:f>
        <ns0:v>40000</ns0:v>
      </ns0:c>
      <ns0:c r="N609" s="16">
        <ns0:f>IF(('前提と出典'!$C$37+'前提と出典'!$C$38)=0,0,IF(C609&lt;=10,'前提と出典'!D73+'前提と出典'!E73,IF(C609&lt;=100,'前提と出典'!D74+'前提と出典'!E74,IF(C609&lt;=500,'前提と出典'!D75+'前提と出典'!E75,'前提と出典'!D76+'前提と出典'!E76))))</ns0:f>
        <ns0:v>56510.9346263078</ns0:v>
      </ns0:c>
      <ns0:c r="O609" s="16">
        <ns0:f>IF('前提と出典'!$C$36+'前提と出典'!$C$38=0,0,'前提と出典'!$B$4*IF('前提と出典'!$B$20=0,MAX('前提と出典'!$B$6,D609*'前提と出典'!$B$5),'前提と出典'!$B$6+D609*'前提と出典'!$B$5))</ns0:f>
        <ns0:v>600754.8603351956</ns0:v>
      </ns0:c>
      <ns0:c r="P609" s="16">
        <ns0:f>(E609+G609)*(1-'前提と出典'!$B$7)-I609-K609-M609-O609</ns0:f>
        <ns0:v>1705870.208378227</ns0:v>
      </ns0:c>
      <ns0:c r="Q609" s="16">
        <ns0:f>(F609+H609)*(1-'前提と出典'!$B$7)-J609-L609-N609</ns0:f>
        <ns0:v>505406.64377427567</ns0:v>
      </ns0:c>
      <ns0:c r="R609" s="16">
        <ns0:f>P609-E609*'前提と出典'!$E$4</ns0:f>
        <ns0:v>1249602.2728100014</ns0:v>
      </ns0:c>
      <ns0:c r="S609" s="16">
        <ns0:f>Q609-F609*'前提と出典'!$E$4</ns0:f>
        <ns0:v>372826.84457929997</ns0:v>
      </ns0:c>
      <ns0:c r="T609" s="7">
        <ns0:f>R609+S609</ns0:f>
        <ns0:v>1622429.1173893013</ns0:v>
      </ns0:c>
      <ns0:c r="U609" s="16">
        <ns0:f>P609-E609*'前提と出典'!$E$5</ns0:f>
        <ns0:v>1097512.9609539257</ns0:v>
      </ns0:c>
      <ns0:c r="V609" s="16">
        <ns0:f>Q609-F609*'前提と出典'!$E$5</ns0:f>
        <ns0:v>328633.57818097476</ns0:v>
      </ns0:c>
      <ns0:c r="W609" s="7">
        <ns0:f>U609+V609</ns0:f>
        <ns0:v>1426146.5391349006</ns0:v>
      </ns0:c>
      <ns0:c r="X609" s="16">
        <ns0:f>P609-E609*'前提と出典'!$E$6</ns0:f>
        <ns0:v>945423.6490978504</ns0:v>
      </ns0:c>
      <ns0:c r="Y609" s="16">
        <ns0:f>Q609-F609*'前提と出典'!$E$6</ns0:f>
        <ns0:v>284440.31178264954</ns0:v>
      </ns0:c>
      <ns0:c r="Z609" s="7">
        <ns0:f>X609+Y609</ns0:f>
        <ns0:v>1229863.9608805</ns0:v>
      </ns0:c>
      <ns0:c r="AA609" s="7">
        <ns0:f>IF(T609&gt;=0,A609,1001)</ns0:f>
        <ns0:v>605</ns0:v>
      </ns0:c>
      <ns0:c r="AB609" s="7">
        <ns0:f>IF(T609&lt;0,A609,0)</ns0:f>
        <ns0:v>0</ns0:v>
      </ns0:c>
      <ns0:c r="AC609" s="16">
        <ns0:f>IF(AND(OR('前提と出典'!$C$36+'前提と出典'!$C$38=0,R609&gt;=0),OR('前提と出典'!$C$37+'前提と出典'!$C$38=0,S609&gt;=0)),0,A609)</ns0:f>
        <ns0:v>0</ns0:v>
      </ns0:c>
      <ns0:c r="AD609" s="7">
        <ns0:f>IF(W609&gt;=0,A609,1001)</ns0:f>
        <ns0:v>605</ns0:v>
      </ns0:c>
      <ns0:c r="AE609" s="7">
        <ns0:f>IF(W609&lt;0,A609,0)</ns0:f>
        <ns0:v>0</ns0:v>
      </ns0:c>
      <ns0:c r="AF609" s="16">
        <ns0:f>IF(AND(OR('前提と出典'!$C$36+'前提と出典'!$C$38=0,U609&gt;=0),OR('前提と出典'!$C$37+'前提と出典'!$C$38=0,V609&gt;=0)),0,A609)</ns0:f>
        <ns0:v>0</ns0:v>
      </ns0:c>
      <ns0:c r="AG609" s="7">
        <ns0:f>IF(Z609&gt;=0,A609,1001)</ns0:f>
        <ns0:v>605</ns0:v>
      </ns0:c>
      <ns0:c r="AH609" s="4">
        <ns0:f>IF(Z609&lt;0,A609,0)</ns0:f>
        <ns0:v>0</ns0:v>
      </ns0:c>
      <ns0:c r="AI609" s="12">
        <ns0:f>IF(AND(OR('前提と出典'!$C$36+'前提と出典'!$C$38=0,X609&gt;=0),OR('前提と出典'!$C$37+'前提と出典'!$C$38=0,Y609&gt;=0)),0,A609)</ns0:f>
        <ns0:v>0</ns0:v>
      </ns0:c>
    </ns0:row>
    <ns0:row r="610" ht="24" customHeight="1">
      <ns0:c r="A610" s="4" t="n">
        <ns0:v>606</ns0:v>
      </ns0:c>
      <ns0:c r="B610" s="12">
        <ns0:f>A610*('前提と出典'!$C$36+'前提と出典'!$C$38)</ns0:f>
        <ns0:v>424.2</ns0:v>
      </ns0:c>
      <ns0:c r="C610" s="12">
        <ns0:f>A610*('前提と出典'!$C$37+'前提と出典'!$C$38)</ns0:f>
        <ns0:v>363.59999999999997</ns0:v>
      </ns0:c>
      <ns0:c r="D610" s="16">
        <ns0:f>A610*('前提と出典'!$C$36*'契約別単価'!C5+'前提と出典'!$C$37*'契約別単価'!C6+'前提と出典'!$C$38*'契約別単価'!C7)</ns0:f>
        <ns0:v>4360.491620111732</ns0:v>
      </ns0:c>
      <ns0:c r="E610" s="16">
        <ns0:f>A610*('前提と出典'!$C$36*'契約別単価'!E5+'前提と出典'!$C$37*'契約別単価'!E6+'前提と出典'!$C$38*'契約別単価'!E7)</ns0:f>
        <ns0:v>1523406.9914839934</ns0:v>
      </ns0:c>
      <ns0:c r="F610" s="16">
        <ns0:f>A610*('前提と出典'!$C$36*'契約別単価'!F5+'前提と出典'!$C$37*'契約別単価'!F6+'前提と出典'!$C$38*'契約別単価'!F7)</ns0:f>
        <ns0:v>442663.13119644765</ns0:v>
      </ns0:c>
      <ns0:c r="G610" s="16">
        <ns0:f>A610*('前提と出典'!$C$36*'契約別単価'!G5+'前提と出典'!$C$37*'契約別単価'!G6+'前提と出典'!$C$38*'契約別単価'!G7)</ns0:f>
        <ns0:v>1206244.69273743</ns0:v>
      </ns0:c>
      <ns0:c r="H610" s="16">
        <ns0:f>A610*('前提と出典'!$C$36*'契約別単価'!H5+'前提と出典'!$C$37*'契約別単価'!H6+'前提と出典'!$C$38*'契約別単価'!H7)</ns0:f>
        <ns0:v>418627.4063052693</ns0:v>
      </ns0:c>
      <ns0:c r="I610" s="16">
        <ns0:f>A610*('前提と出典'!$C$36*'契約別単価'!I5+'前提と出典'!$C$37*'契約別単価'!I6+'前提と出典'!$C$38*'契約別単価'!I7)</ns0:f>
        <ns0:v>25570.491620111727</ns0:v>
      </ns0:c>
      <ns0:c r="J610" s="16">
        <ns0:f>A610*('前提と出典'!$C$36*'契約別単価'!J5+'前提と出典'!$C$37*'契約別単価'!J6+'前提と出典'!$C$38*'契約別単価'!J7)</ns0:f>
        <ns0:v>59563.463488443354</ns0:v>
      </ns0:c>
      <ns0:c r="K610" s="16">
        <ns0:f>A610*('前提と出典'!$C$36*'契約別単価'!K5+'前提と出典'!$C$37*'契約別単価'!K6+'前提と出典'!$C$38*'契約別単価'!K7)</ns0:f>
        <ns0:v>255309.9441340782</ns0:v>
      </ns0:c>
      <ns0:c r="L610" s="16">
        <ns0:f>A610*('前提と出典'!$C$36*'契約別単価'!L5+'前提と出典'!$C$37*'契約別単価'!L6+'前提と出典'!$C$38*'契約別単価'!L7)</ns0:f>
        <ns0:v>207874.2468768423</ns0:v>
      </ns0:c>
      <ns0:c r="M610" s="16">
        <ns0:f>IF(('前提と出典'!$C$36+'前提と出典'!$C$38)=0,0,IF(B610&lt;=10,'前提と出典'!B73+'前提と出典'!C73,IF(B610&lt;=100,'前提と出典'!B74+'前提と出典'!C74,IF(B610&lt;=500,'前提と出典'!B75+'前提と出典'!C75,'前提と出典'!B76+'前提と出典'!C76))))</ns0:f>
        <ns0:v>40000</ns0:v>
      </ns0:c>
      <ns0:c r="N610" s="16">
        <ns0:f>IF(('前提と出典'!$C$37+'前提と出典'!$C$38)=0,0,IF(C610&lt;=10,'前提と出典'!D73+'前提と出典'!E73,IF(C610&lt;=100,'前提と出典'!D74+'前提と出典'!E74,IF(C610&lt;=500,'前提と出典'!D75+'前提と出典'!E75,'前提と出典'!D76+'前提と出典'!E76))))</ns0:f>
        <ns0:v>56510.9346263078</ns0:v>
      </ns0:c>
      <ns0:c r="O610" s="16">
        <ns0:f>IF('前提と出典'!$C$36+'前提と出典'!$C$38=0,0,'前提と出典'!$B$4*IF('前提と出典'!$B$20=0,MAX('前提と出典'!$B$6,D610*'前提と出典'!$B$5),'前提と出典'!$B$6+D610*'前提と出典'!$B$5))</ns0:f>
        <ns0:v>601747.843575419</ns0:v>
      </ns0:c>
      <ns0:c r="P610" s="16">
        <ns0:f>(E610+G610)*(1-'前提と出典'!$B$7)-I610-K610-M610-O610</ns0:f>
        <ns0:v>1708755.944259843</ns0:v>
      </ns0:c>
      <ns0:c r="Q610" s="16">
        <ns0:f>(F610+H610)*(1-'前提と出典'!$B$7)-J610-L610-N610</ns0:f>
        <ns0:v>506335.4331600616</ns0:v>
      </ns0:c>
      <ns0:c r="R610" s="16">
        <ns0:f>P610-E610*'前提と出典'!$E$4</ns0:f>
        <ns0:v>1251733.846814645</ns0:v>
      </ns0:c>
      <ns0:c r="S610" s="16">
        <ns0:f>Q610-F610*'前提と出典'!$E$4</ns0:f>
        <ns0:v>373536.4938011273</ns0:v>
      </ns0:c>
      <ns0:c r="T610" s="7">
        <ns0:f>R610+S610</ns0:f>
        <ns0:v>1625270.3406157722</ns0:v>
      </ns0:c>
      <ns0:c r="U610" s="16">
        <ns0:f>P610-E610*'前提と出典'!$E$5</ns0:f>
        <ns0:v>1099393.1476662457</ns0:v>
      </ns0:c>
      <ns0:c r="V610" s="16">
        <ns0:f>Q610-F610*'前提と出典'!$E$5</ns0:f>
        <ns0:v>329270.18068148254</ns0:v>
      </ns0:c>
      <ns0:c r="W610" s="7">
        <ns0:f>U610+V610</ns0:f>
        <ns0:v>1428663.3283477281</ns0:v>
      </ns0:c>
      <ns0:c r="X610" s="16">
        <ns0:f>P610-E610*'前提と出典'!$E$6</ns0:f>
        <ns0:v>947052.4485178463</ns0:v>
      </ns0:c>
      <ns0:c r="Y610" s="16">
        <ns0:f>Q610-F610*'前提と出典'!$E$6</ns0:f>
        <ns0:v>285003.8675618378</ns0:v>
      </ns0:c>
      <ns0:c r="Z610" s="7">
        <ns0:f>X610+Y610</ns0:f>
        <ns0:v>1232056.316079684</ns0:v>
      </ns0:c>
      <ns0:c r="AA610" s="7">
        <ns0:f>IF(T610&gt;=0,A610,1001)</ns0:f>
        <ns0:v>606</ns0:v>
      </ns0:c>
      <ns0:c r="AB610" s="7">
        <ns0:f>IF(T610&lt;0,A610,0)</ns0:f>
        <ns0:v>0</ns0:v>
      </ns0:c>
      <ns0:c r="AC610" s="16">
        <ns0:f>IF(AND(OR('前提と出典'!$C$36+'前提と出典'!$C$38=0,R610&gt;=0),OR('前提と出典'!$C$37+'前提と出典'!$C$38=0,S610&gt;=0)),0,A610)</ns0:f>
        <ns0:v>0</ns0:v>
      </ns0:c>
      <ns0:c r="AD610" s="7">
        <ns0:f>IF(W610&gt;=0,A610,1001)</ns0:f>
        <ns0:v>606</ns0:v>
      </ns0:c>
      <ns0:c r="AE610" s="7">
        <ns0:f>IF(W610&lt;0,A610,0)</ns0:f>
        <ns0:v>0</ns0:v>
      </ns0:c>
      <ns0:c r="AF610" s="16">
        <ns0:f>IF(AND(OR('前提と出典'!$C$36+'前提と出典'!$C$38=0,U610&gt;=0),OR('前提と出典'!$C$37+'前提と出典'!$C$38=0,V610&gt;=0)),0,A610)</ns0:f>
        <ns0:v>0</ns0:v>
      </ns0:c>
      <ns0:c r="AG610" s="7">
        <ns0:f>IF(Z610&gt;=0,A610,1001)</ns0:f>
        <ns0:v>606</ns0:v>
      </ns0:c>
      <ns0:c r="AH610" s="4">
        <ns0:f>IF(Z610&lt;0,A610,0)</ns0:f>
        <ns0:v>0</ns0:v>
      </ns0:c>
      <ns0:c r="AI610" s="12">
        <ns0:f>IF(AND(OR('前提と出典'!$C$36+'前提と出典'!$C$38=0,X610&gt;=0),OR('前提と出典'!$C$37+'前提と出典'!$C$38=0,Y610&gt;=0)),0,A610)</ns0:f>
        <ns0:v>0</ns0:v>
      </ns0:c>
    </ns0:row>
    <ns0:row r="611" ht="24" customHeight="1">
      <ns0:c r="A611" s="4" t="n">
        <ns0:v>607</ns0:v>
      </ns0:c>
      <ns0:c r="B611" s="12">
        <ns0:f>A611*('前提と出典'!$C$36+'前提と出典'!$C$38)</ns0:f>
        <ns0:v>424.9</ns0:v>
      </ns0:c>
      <ns0:c r="C611" s="12">
        <ns0:f>A611*('前提と出典'!$C$37+'前提と出典'!$C$38)</ns0:f>
        <ns0:v>364.2</ns0:v>
      </ns0:c>
      <ns0:c r="D611" s="16">
        <ns0:f>A611*('前提と出典'!$C$36*'契約別単価'!C5+'前提と出典'!$C$37*'契約別単価'!C6+'前提と出典'!$C$38*'契約別単価'!C7)</ns0:f>
        <ns0:v>4367.687150837989</ns0:v>
      </ns0:c>
      <ns0:c r="E611" s="16">
        <ns0:f>A611*('前提と出典'!$C$36*'契約別単価'!E5+'前提と出典'!$C$37*'契約別単価'!E6+'前提と出典'!$C$38*'契約別単価'!E7)</ns0:f>
        <ns0:v>1525920.8644072344</ns0:v>
      </ns0:c>
      <ns0:c r="F611" s="16">
        <ns0:f>A611*('前提と出典'!$C$36*'契約別単価'!F5+'前提と出典'!$C$37*'契約別単価'!F6+'前提と出典'!$C$38*'契約別単価'!F7)</ns0:f>
        <ns0:v>443393.5984096431</ns0:v>
      </ns0:c>
      <ns0:c r="G611" s="16">
        <ns0:f>A611*('前提と出典'!$C$36*'契約別単価'!G5+'前提と出典'!$C$37*'契約別単価'!G6+'前提と出典'!$C$38*'契約別単価'!G7)</ns0:f>
        <ns0:v>1208235.195530726</ns0:v>
      </ns0:c>
      <ns0:c r="H611" s="16">
        <ns0:f>A611*('前提と出典'!$C$36*'契約別単価'!H5+'前提と出典'!$C$37*'契約別単価'!H6+'前提と出典'!$C$38*'契約別単価'!H7)</ns0:f>
        <ns0:v>419318.21060610306</ns0:v>
      </ns0:c>
      <ns0:c r="I611" s="16">
        <ns0:f>A611*('前提と出典'!$C$36*'契約別単価'!I5+'前提と出典'!$C$37*'契約別単価'!I6+'前提と出典'!$C$38*'契約別単価'!I7)</ns0:f>
        <ns0:v>25612.687150837985</ns0:v>
      </ns0:c>
      <ns0:c r="J611" s="16">
        <ns0:f>A611*('前提と出典'!$C$36*'契約別単価'!J5+'前提と出典'!$C$37*'契約別単価'!J6+'前提と出典'!$C$38*'契約別単価'!J7)</ns0:f>
        <ns0:v>59661.75303215366</ns0:v>
      </ns0:c>
      <ns0:c r="K611" s="16">
        <ns0:f>A611*('前提と出典'!$C$36*'契約別単価'!K5+'前提と出典'!$C$37*'契約別単価'!K6+'前提と出典'!$C$38*'契約別単価'!K7)</ns0:f>
        <ns0:v>255731.24767225323</ns0:v>
      </ns0:c>
      <ns0:c r="L611" s="16">
        <ns0:f>A611*('前提と出典'!$C$36*'契約別単価'!L5+'前提と出典'!$C$37*'契約別単価'!L6+'前提と出典'!$C$38*'契約別単価'!L7)</ns0:f>
        <ns0:v>208217.2736868701</ns0:v>
      </ns0:c>
      <ns0:c r="M611" s="16">
        <ns0:f>IF(('前提と出典'!$C$36+'前提と出典'!$C$38)=0,0,IF(B611&lt;=10,'前提と出典'!B73+'前提と出典'!C73,IF(B611&lt;=100,'前提と出典'!B74+'前提と出典'!C74,IF(B611&lt;=500,'前提と出典'!B75+'前提と出典'!C75,'前提と出典'!B76+'前提と出典'!C76))))</ns0:f>
        <ns0:v>40000</ns0:v>
      </ns0:c>
      <ns0:c r="N611" s="16">
        <ns0:f>IF(('前提と出典'!$C$37+'前提と出典'!$C$38)=0,0,IF(C611&lt;=10,'前提と出典'!D73+'前提と出典'!E73,IF(C611&lt;=100,'前提と出典'!D74+'前提と出典'!E74,IF(C611&lt;=500,'前提と出典'!D75+'前提と出典'!E75,'前提と出典'!D76+'前提と出典'!E76))))</ns0:f>
        <ns0:v>56510.9346263078</ns0:v>
      </ns0:c>
      <ns0:c r="O611" s="16">
        <ns0:f>IF('前提と出典'!$C$36+'前提と出典'!$C$38=0,0,'前提と出典'!$B$4*IF('前提と出典'!$B$20=0,MAX('前提と出典'!$B$6,D611*'前提と出典'!$B$5),'前提と出典'!$B$6+D611*'前提と出典'!$B$5))</ns0:f>
        <ns0:v>602740.8268156425</ns0:v>
      </ns0:c>
      <ns0:c r="P611" s="16">
        <ns0:f>(E611+G611)*(1-'前提と出典'!$B$7)-I611-K611-M611-O611</ns0:f>
        <ns0:v>1711641.6801414604</ns0:v>
      </ns0:c>
      <ns0:c r="Q611" s="16">
        <ns0:f>(F611+H611)*(1-'前提と出典'!$B$7)-J611-L611-N611</ns0:f>
        <ns0:v>507264.22254584776</ns0:v>
      </ns0:c>
      <ns0:c r="R611" s="16">
        <ns0:f>P611-E611*'前提と出典'!$E$4</ns0:f>
        <ns0:v>1253865.42081929</ns0:v>
      </ns0:c>
      <ns0:c r="S611" s="16">
        <ns0:f>Q611-F611*'前提と出典'!$E$4</ns0:f>
        <ns0:v>374246.1430229548</ns0:v>
      </ns0:c>
      <ns0:c r="T611" s="7">
        <ns0:f>R611+S611</ns0:f>
        <ns0:v>1628111.563842245</ns0:v>
      </ns0:c>
      <ns0:c r="U611" s="16">
        <ns0:f>P611-E611*'前提と出典'!$E$5</ns0:f>
        <ns0:v>1101273.3343785666</ns0:v>
      </ns0:c>
      <ns0:c r="V611" s="16">
        <ns0:f>Q611-F611*'前提と出典'!$E$5</ns0:f>
        <ns0:v>329906.7831819905</ns0:v>
      </ns0:c>
      <ns0:c r="W611" s="7">
        <ns0:f>U611+V611</ns0:f>
        <ns0:v>1431180.117560557</ns0:v>
      </ns0:c>
      <ns0:c r="X611" s="16">
        <ns0:f>P611-E611*'前提と出典'!$E$6</ns0:f>
        <ns0:v>948681.2479378429</ns0:v>
      </ns0:c>
      <ns0:c r="Y611" s="16">
        <ns0:f>Q611-F611*'前提と出典'!$E$6</ns0:f>
        <ns0:v>285567.4233410262</ns0:v>
      </ns0:c>
      <ns0:c r="Z611" s="7">
        <ns0:f>X611+Y611</ns0:f>
        <ns0:v>1234248.671278869</ns0:v>
      </ns0:c>
      <ns0:c r="AA611" s="7">
        <ns0:f>IF(T611&gt;=0,A611,1001)</ns0:f>
        <ns0:v>607</ns0:v>
      </ns0:c>
      <ns0:c r="AB611" s="7">
        <ns0:f>IF(T611&lt;0,A611,0)</ns0:f>
        <ns0:v>0</ns0:v>
      </ns0:c>
      <ns0:c r="AC611" s="16">
        <ns0:f>IF(AND(OR('前提と出典'!$C$36+'前提と出典'!$C$38=0,R611&gt;=0),OR('前提と出典'!$C$37+'前提と出典'!$C$38=0,S611&gt;=0)),0,A611)</ns0:f>
        <ns0:v>0</ns0:v>
      </ns0:c>
      <ns0:c r="AD611" s="7">
        <ns0:f>IF(W611&gt;=0,A611,1001)</ns0:f>
        <ns0:v>607</ns0:v>
      </ns0:c>
      <ns0:c r="AE611" s="7">
        <ns0:f>IF(W611&lt;0,A611,0)</ns0:f>
        <ns0:v>0</ns0:v>
      </ns0:c>
      <ns0:c r="AF611" s="16">
        <ns0:f>IF(AND(OR('前提と出典'!$C$36+'前提と出典'!$C$38=0,U611&gt;=0),OR('前提と出典'!$C$37+'前提と出典'!$C$38=0,V611&gt;=0)),0,A611)</ns0:f>
        <ns0:v>0</ns0:v>
      </ns0:c>
      <ns0:c r="AG611" s="7">
        <ns0:f>IF(Z611&gt;=0,A611,1001)</ns0:f>
        <ns0:v>607</ns0:v>
      </ns0:c>
      <ns0:c r="AH611" s="4">
        <ns0:f>IF(Z611&lt;0,A611,0)</ns0:f>
        <ns0:v>0</ns0:v>
      </ns0:c>
      <ns0:c r="AI611" s="12">
        <ns0:f>IF(AND(OR('前提と出典'!$C$36+'前提と出典'!$C$38=0,X611&gt;=0),OR('前提と出典'!$C$37+'前提と出典'!$C$38=0,Y611&gt;=0)),0,A611)</ns0:f>
        <ns0:v>0</ns0:v>
      </ns0:c>
    </ns0:row>
    <ns0:row r="612" ht="24" customHeight="1">
      <ns0:c r="A612" s="4" t="n">
        <ns0:v>608</ns0:v>
      </ns0:c>
      <ns0:c r="B612" s="12">
        <ns0:f>A612*('前提と出典'!$C$36+'前提と出典'!$C$38)</ns0:f>
        <ns0:v>425.59999999999997</ns0:v>
      </ns0:c>
      <ns0:c r="C612" s="12">
        <ns0:f>A612*('前提と出典'!$C$37+'前提と出典'!$C$38)</ns0:f>
        <ns0:v>364.8</ns0:v>
      </ns0:c>
      <ns0:c r="D612" s="16">
        <ns0:f>A612*('前提と出典'!$C$36*'契約別単価'!C5+'前提と出典'!$C$37*'契約別単価'!C6+'前提と出典'!$C$38*'契約別単価'!C7)</ns0:f>
        <ns0:v>4374.882681564246</ns0:v>
      </ns0:c>
      <ns0:c r="E612" s="16">
        <ns0:f>A612*('前提と出典'!$C$36*'契約別単価'!E5+'前提と出典'!$C$37*'契約別単価'!E6+'前提と出典'!$C$38*'契約別単価'!E7)</ns0:f>
        <ns0:v>1528434.7373304754</ns0:v>
      </ns0:c>
      <ns0:c r="F612" s="16">
        <ns0:f>A612*('前提と出典'!$C$36*'契約別単価'!F5+'前提と出典'!$C$37*'契約別単価'!F6+'前提と出典'!$C$38*'契約別単価'!F7)</ns0:f>
        <ns0:v>444124.06562283856</ns0:v>
      </ns0:c>
      <ns0:c r="G612" s="16">
        <ns0:f>A612*('前提と出典'!$C$36*'契約別単価'!G5+'前提と出典'!$C$37*'契約別単価'!G6+'前提と出典'!$C$38*'契約別単価'!G7)</ns0:f>
        <ns0:v>1210225.6983240223</ns0:v>
      </ns0:c>
      <ns0:c r="H612" s="16">
        <ns0:f>A612*('前提と出典'!$C$36*'契約別単価'!H5+'前提と出典'!$C$37*'契約別単価'!H6+'前提と出典'!$C$38*'契約別単価'!H7)</ns0:f>
        <ns0:v>420009.01490693685</ns0:v>
      </ns0:c>
      <ns0:c r="I612" s="16">
        <ns0:f>A612*('前提と出典'!$C$36*'契約別単価'!I5+'前提と出典'!$C$37*'契約別単価'!I6+'前提と出典'!$C$38*'契約別単価'!I7)</ns0:f>
        <ns0:v>25654.882681564242</ns0:v>
      </ns0:c>
      <ns0:c r="J612" s="16">
        <ns0:f>A612*('前提と出典'!$C$36*'契約別単価'!J5+'前提と出典'!$C$37*'契約別単価'!J6+'前提と出典'!$C$38*'契約別単価'!J7)</ns0:f>
        <ns0:v>59760.04257586396</ns0:v>
      </ns0:c>
      <ns0:c r="K612" s="16">
        <ns0:f>A612*('前提と出典'!$C$36*'契約別単価'!K5+'前提と出典'!$C$37*'契約別単価'!K6+'前提と出典'!$C$38*'契約別単価'!K7)</ns0:f>
        <ns0:v>256152.5512104283</ns0:v>
      </ns0:c>
      <ns0:c r="L612" s="16">
        <ns0:f>A612*('前提と出典'!$C$36*'契約別単価'!L5+'前提と出典'!$C$37*'契約別単価'!L6+'前提と出典'!$C$38*'契約別単価'!L7)</ns0:f>
        <ns0:v>208560.3004968979</ns0:v>
      </ns0:c>
      <ns0:c r="M612" s="16">
        <ns0:f>IF(('前提と出典'!$C$36+'前提と出典'!$C$38)=0,0,IF(B612&lt;=10,'前提と出典'!B73+'前提と出典'!C73,IF(B612&lt;=100,'前提と出典'!B74+'前提と出典'!C74,IF(B612&lt;=500,'前提と出典'!B75+'前提と出典'!C75,'前提と出典'!B76+'前提と出典'!C76))))</ns0:f>
        <ns0:v>40000</ns0:v>
      </ns0:c>
      <ns0:c r="N612" s="16">
        <ns0:f>IF(('前提と出典'!$C$37+'前提と出典'!$C$38)=0,0,IF(C612&lt;=10,'前提と出典'!D73+'前提と出典'!E73,IF(C612&lt;=100,'前提と出典'!D74+'前提と出典'!E74,IF(C612&lt;=500,'前提と出典'!D75+'前提と出典'!E75,'前提と出典'!D76+'前提と出典'!E76))))</ns0:f>
        <ns0:v>56510.9346263078</ns0:v>
      </ns0:c>
      <ns0:c r="O612" s="16">
        <ns0:f>IF('前提と出典'!$C$36+'前提と出典'!$C$38=0,0,'前提と出典'!$B$4*IF('前提と出典'!$B$20=0,MAX('前提と出典'!$B$6,D612*'前提と出典'!$B$5),'前提と出典'!$B$6+D612*'前提と出典'!$B$5))</ns0:f>
        <ns0:v>603733.810055866</ns0:v>
      </ns0:c>
      <ns0:c r="P612" s="16">
        <ns0:f>(E612+G612)*(1-'前提と出典'!$B$7)-I612-K612-M612-O612</ns0:f>
        <ns0:v>1714527.4160230777</ns0:v>
      </ns0:c>
      <ns0:c r="Q612" s="16">
        <ns0:f>(F612+H612)*(1-'前提と出典'!$B$7)-J612-L612-N612</ns0:f>
        <ns0:v>508193.0119316338</ns0:v>
      </ns0:c>
      <ns0:c r="R612" s="16">
        <ns0:f>P612-E612*'前提と出典'!$E$4</ns0:f>
        <ns0:v>1255996.9948239345</ns0:v>
      </ns0:c>
      <ns0:c r="S612" s="16">
        <ns0:f>Q612-F612*'前提と出典'!$E$4</ns0:f>
        <ns0:v>374955.7922447822</ns0:v>
      </ns0:c>
      <ns0:c r="T612" s="7">
        <ns0:f>R612+S612</ns0:f>
        <ns0:v>1630952.7870687167</ns0:v>
      </ns0:c>
      <ns0:c r="U612" s="16">
        <ns0:f>P612-E612*'前提と出典'!$E$5</ns0:f>
        <ns0:v>1103153.5210908875</ns0:v>
      </ns0:c>
      <ns0:c r="V612" s="16">
        <ns0:f>Q612-F612*'前提と出典'!$E$5</ns0:f>
        <ns0:v>330543.38568249834</ns0:v>
      </ns0:c>
      <ns0:c r="W612" s="7">
        <ns0:f>U612+V612</ns0:f>
        <ns0:v>1433696.9067733858</ns0:v>
      </ns0:c>
      <ns0:c r="X612" s="16">
        <ns0:f>P612-E612*'前提と出典'!$E$6</ns0:f>
        <ns0:v>950310.0473578396</ns0:v>
      </ns0:c>
      <ns0:c r="Y612" s="16">
        <ns0:f>Q612-F612*'前提と出典'!$E$6</ns0:f>
        <ns0:v>286130.97912021447</ns0:v>
      </ns0:c>
      <ns0:c r="Z612" s="7">
        <ns0:f>X612+Y612</ns0:f>
        <ns0:v>1236441.026478054</ns0:v>
      </ns0:c>
      <ns0:c r="AA612" s="7">
        <ns0:f>IF(T612&gt;=0,A612,1001)</ns0:f>
        <ns0:v>608</ns0:v>
      </ns0:c>
      <ns0:c r="AB612" s="7">
        <ns0:f>IF(T612&lt;0,A612,0)</ns0:f>
        <ns0:v>0</ns0:v>
      </ns0:c>
      <ns0:c r="AC612" s="16">
        <ns0:f>IF(AND(OR('前提と出典'!$C$36+'前提と出典'!$C$38=0,R612&gt;=0),OR('前提と出典'!$C$37+'前提と出典'!$C$38=0,S612&gt;=0)),0,A612)</ns0:f>
        <ns0:v>0</ns0:v>
      </ns0:c>
      <ns0:c r="AD612" s="7">
        <ns0:f>IF(W612&gt;=0,A612,1001)</ns0:f>
        <ns0:v>608</ns0:v>
      </ns0:c>
      <ns0:c r="AE612" s="7">
        <ns0:f>IF(W612&lt;0,A612,0)</ns0:f>
        <ns0:v>0</ns0:v>
      </ns0:c>
      <ns0:c r="AF612" s="16">
        <ns0:f>IF(AND(OR('前提と出典'!$C$36+'前提と出典'!$C$38=0,U612&gt;=0),OR('前提と出典'!$C$37+'前提と出典'!$C$38=0,V612&gt;=0)),0,A612)</ns0:f>
        <ns0:v>0</ns0:v>
      </ns0:c>
      <ns0:c r="AG612" s="7">
        <ns0:f>IF(Z612&gt;=0,A612,1001)</ns0:f>
        <ns0:v>608</ns0:v>
      </ns0:c>
      <ns0:c r="AH612" s="4">
        <ns0:f>IF(Z612&lt;0,A612,0)</ns0:f>
        <ns0:v>0</ns0:v>
      </ns0:c>
      <ns0:c r="AI612" s="12">
        <ns0:f>IF(AND(OR('前提と出典'!$C$36+'前提と出典'!$C$38=0,X612&gt;=0),OR('前提と出典'!$C$37+'前提と出典'!$C$38=0,Y612&gt;=0)),0,A612)</ns0:f>
        <ns0:v>0</ns0:v>
      </ns0:c>
    </ns0:row>
    <ns0:row r="613" ht="24" customHeight="1">
      <ns0:c r="A613" s="4" t="n">
        <ns0:v>609</ns0:v>
      </ns0:c>
      <ns0:c r="B613" s="12">
        <ns0:f>A613*('前提と出典'!$C$36+'前提と出典'!$C$38)</ns0:f>
        <ns0:v>426.29999999999995</ns0:v>
      </ns0:c>
      <ns0:c r="C613" s="12">
        <ns0:f>A613*('前提と出典'!$C$37+'前提と出典'!$C$38)</ns0:f>
        <ns0:v>365.4</ns0:v>
      </ns0:c>
      <ns0:c r="D613" s="16">
        <ns0:f>A613*('前提と出典'!$C$36*'契約別単価'!C5+'前提と出典'!$C$37*'契約別単価'!C6+'前提と出典'!$C$38*'契約別単価'!C7)</ns0:f>
        <ns0:v>4382.078212290503</ns0:v>
      </ns0:c>
      <ns0:c r="E613" s="16">
        <ns0:f>A613*('前提と出典'!$C$36*'契約別単価'!E5+'前提と出典'!$C$37*'契約別単価'!E6+'前提と出典'!$C$38*'契約別単価'!E7)</ns0:f>
        <ns0:v>1530948.6102537161</ns0:v>
      </ns0:c>
      <ns0:c r="F613" s="16">
        <ns0:f>A613*('前提と出典'!$C$36*'契約別単価'!F5+'前提と出典'!$C$37*'契約別単価'!F6+'前提と出典'!$C$38*'契約別単価'!F7)</ns0:f>
        <ns0:v>444854.532836034</ns0:v>
      </ns0:c>
      <ns0:c r="G613" s="16">
        <ns0:f>A613*('前提と出典'!$C$36*'契約別単価'!G5+'前提と出典'!$C$37*'契約別単価'!G6+'前提と出典'!$C$38*'契約別単価'!G7)</ns0:f>
        <ns0:v>1212216.2011173184</ns0:v>
      </ns0:c>
      <ns0:c r="H613" s="16">
        <ns0:f>A613*('前提と出典'!$C$36*'契約別単価'!H5+'前提と出典'!$C$37*'契約別単価'!H6+'前提と出典'!$C$38*'契約別単価'!H7)</ns0:f>
        <ns0:v>420699.81920777063</ns0:v>
      </ns0:c>
      <ns0:c r="I613" s="16">
        <ns0:f>A613*('前提と出典'!$C$36*'契約別単価'!I5+'前提と出典'!$C$37*'契約別単価'!I6+'前提と出典'!$C$38*'契約別単価'!I7)</ns0:f>
        <ns0:v>25697.0782122905</ns0:v>
      </ns0:c>
      <ns0:c r="J613" s="16">
        <ns0:f>A613*('前提と出典'!$C$36*'契約別単価'!J5+'前提と出典'!$C$37*'契約別単価'!J6+'前提と出典'!$C$38*'契約別単価'!J7)</ns0:f>
        <ns0:v>59858.33211957426</ns0:v>
      </ns0:c>
      <ns0:c r="K613" s="16">
        <ns0:f>A613*('前提と出典'!$C$36*'契約別単価'!K5+'前提と出典'!$C$37*'契約別単価'!K6+'前提と出典'!$C$38*'契約別単価'!K7)</ns0:f>
        <ns0:v>256573.85474860333</ns0:v>
      </ns0:c>
      <ns0:c r="L613" s="16">
        <ns0:f>A613*('前提と出典'!$C$36*'契約別単価'!L5+'前提と出典'!$C$37*'契約別単価'!L6+'前提と出典'!$C$38*'契約別単価'!L7)</ns0:f>
        <ns0:v>208903.32730692567</ns0:v>
      </ns0:c>
      <ns0:c r="M613" s="16">
        <ns0:f>IF(('前提と出典'!$C$36+'前提と出典'!$C$38)=0,0,IF(B613&lt;=10,'前提と出典'!B73+'前提と出典'!C73,IF(B613&lt;=100,'前提と出典'!B74+'前提と出典'!C74,IF(B613&lt;=500,'前提と出典'!B75+'前提と出典'!C75,'前提と出典'!B76+'前提と出典'!C76))))</ns0:f>
        <ns0:v>40000</ns0:v>
      </ns0:c>
      <ns0:c r="N613" s="16">
        <ns0:f>IF(('前提と出典'!$C$37+'前提と出典'!$C$38)=0,0,IF(C613&lt;=10,'前提と出典'!D73+'前提と出典'!E73,IF(C613&lt;=100,'前提と出典'!D74+'前提と出典'!E74,IF(C613&lt;=500,'前提と出典'!D75+'前提と出典'!E75,'前提と出典'!D76+'前提と出典'!E76))))</ns0:f>
        <ns0:v>56510.9346263078</ns0:v>
      </ns0:c>
      <ns0:c r="O613" s="16">
        <ns0:f>IF('前提と出典'!$C$36+'前提と出典'!$C$38=0,0,'前提と出典'!$B$4*IF('前提と出典'!$B$20=0,MAX('前提と出典'!$B$6,D613*'前提と出典'!$B$5),'前提と出典'!$B$6+D613*'前提と出典'!$B$5))</ns0:f>
        <ns0:v>604726.7932960894</ns0:v>
      </ns0:c>
      <ns0:c r="P613" s="16">
        <ns0:f>(E613+G613)*(1-'前提と出典'!$B$7)-I613-K613-M613-O613</ns0:f>
        <ns0:v>1717413.1519046938</ns0:v>
      </ns0:c>
      <ns0:c r="Q613" s="16">
        <ns0:f>(F613+H613)*(1-'前提と出典'!$B$7)-J613-L613-N613</ns0:f>
        <ns0:v>509121.8013174199</ns0:v>
      </ns0:c>
      <ns0:c r="R613" s="16">
        <ns0:f>P613-E613*'前提と出典'!$E$4</ns0:f>
        <ns0:v>1258128.568828579</ns0:v>
      </ns0:c>
      <ns0:c r="S613" s="16">
        <ns0:f>Q613-F613*'前提と出典'!$E$4</ns0:f>
        <ns0:v>375665.44146660983</ns0:v>
      </ns0:c>
      <ns0:c r="T613" s="7">
        <ns0:f>R613+S613</ns0:f>
        <ns0:v>1633794.010295189</ns0:v>
      </ns0:c>
      <ns0:c r="U613" s="16">
        <ns0:f>P613-E613*'前提と出典'!$E$5</ns0:f>
        <ns0:v>1105033.7078032074</ns0:v>
      </ns0:c>
      <ns0:c r="V613" s="16">
        <ns0:f>Q613-F613*'前提と出典'!$E$5</ns0:f>
        <ns0:v>331179.9881830063</ns0:v>
      </ns0:c>
      <ns0:c r="W613" s="7">
        <ns0:f>U613+V613</ns0:f>
        <ns0:v>1436213.6959862136</ns0:v>
      </ns0:c>
      <ns0:c r="X613" s="16">
        <ns0:f>P613-E613*'前提と出典'!$E$6</ns0:f>
        <ns0:v>951938.8467778359</ns0:v>
      </ns0:c>
      <ns0:c r="Y613" s="16">
        <ns0:f>Q613-F613*'前提と出典'!$E$6</ns0:f>
        <ns0:v>286694.534899403</ns0:v>
      </ns0:c>
      <ns0:c r="Z613" s="7">
        <ns0:f>X613+Y613</ns0:f>
        <ns0:v>1238633.3816772387</ns0:v>
      </ns0:c>
      <ns0:c r="AA613" s="7">
        <ns0:f>IF(T613&gt;=0,A613,1001)</ns0:f>
        <ns0:v>609</ns0:v>
      </ns0:c>
      <ns0:c r="AB613" s="7">
        <ns0:f>IF(T613&lt;0,A613,0)</ns0:f>
        <ns0:v>0</ns0:v>
      </ns0:c>
      <ns0:c r="AC613" s="16">
        <ns0:f>IF(AND(OR('前提と出典'!$C$36+'前提と出典'!$C$38=0,R613&gt;=0),OR('前提と出典'!$C$37+'前提と出典'!$C$38=0,S613&gt;=0)),0,A613)</ns0:f>
        <ns0:v>0</ns0:v>
      </ns0:c>
      <ns0:c r="AD613" s="7">
        <ns0:f>IF(W613&gt;=0,A613,1001)</ns0:f>
        <ns0:v>609</ns0:v>
      </ns0:c>
      <ns0:c r="AE613" s="7">
        <ns0:f>IF(W613&lt;0,A613,0)</ns0:f>
        <ns0:v>0</ns0:v>
      </ns0:c>
      <ns0:c r="AF613" s="16">
        <ns0:f>IF(AND(OR('前提と出典'!$C$36+'前提と出典'!$C$38=0,U613&gt;=0),OR('前提と出典'!$C$37+'前提と出典'!$C$38=0,V613&gt;=0)),0,A613)</ns0:f>
        <ns0:v>0</ns0:v>
      </ns0:c>
      <ns0:c r="AG613" s="7">
        <ns0:f>IF(Z613&gt;=0,A613,1001)</ns0:f>
        <ns0:v>609</ns0:v>
      </ns0:c>
      <ns0:c r="AH613" s="4">
        <ns0:f>IF(Z613&lt;0,A613,0)</ns0:f>
        <ns0:v>0</ns0:v>
      </ns0:c>
      <ns0:c r="AI613" s="12">
        <ns0:f>IF(AND(OR('前提と出典'!$C$36+'前提と出典'!$C$38=0,X613&gt;=0),OR('前提と出典'!$C$37+'前提と出典'!$C$38=0,Y613&gt;=0)),0,A613)</ns0:f>
        <ns0:v>0</ns0:v>
      </ns0:c>
    </ns0:row>
    <ns0:row r="614" ht="24" customHeight="1">
      <ns0:c r="A614" s="4" t="n">
        <ns0:v>610</ns0:v>
      </ns0:c>
      <ns0:c r="B614" s="12">
        <ns0:f>A614*('前提と出典'!$C$36+'前提と出典'!$C$38)</ns0:f>
        <ns0:v>427</ns0:v>
      </ns0:c>
      <ns0:c r="C614" s="12">
        <ns0:f>A614*('前提と出典'!$C$37+'前提と出典'!$C$38)</ns0:f>
        <ns0:v>366</ns0:v>
      </ns0:c>
      <ns0:c r="D614" s="16">
        <ns0:f>A614*('前提と出典'!$C$36*'契約別単価'!C5+'前提と出典'!$C$37*'契約別単価'!C6+'前提と出典'!$C$38*'契約別単価'!C7)</ns0:f>
        <ns0:v>4389.27374301676</ns0:v>
      </ns0:c>
      <ns0:c r="E614" s="16">
        <ns0:f>A614*('前提と出典'!$C$36*'契約別単価'!E5+'前提と出典'!$C$37*'契約別単価'!E6+'前提と出典'!$C$38*'契約別単価'!E7)</ns0:f>
        <ns0:v>1533462.4831769571</ns0:v>
      </ns0:c>
      <ns0:c r="F614" s="16">
        <ns0:f>A614*('前提と出典'!$C$36*'契約別単価'!F5+'前提と出典'!$C$37*'契約別単価'!F6+'前提と出典'!$C$38*'契約別単価'!F7)</ns0:f>
        <ns0:v>445585.0000492295</ns0:v>
      </ns0:c>
      <ns0:c r="G614" s="16">
        <ns0:f>A614*('前提と出典'!$C$36*'契約別単価'!G5+'前提と出典'!$C$37*'契約別単価'!G6+'前提と出典'!$C$38*'契約別単価'!G7)</ns0:f>
        <ns0:v>1214206.7039106144</ns0:v>
      </ns0:c>
      <ns0:c r="H614" s="16">
        <ns0:f>A614*('前提と出典'!$C$36*'契約別単価'!H5+'前提と出典'!$C$37*'契約別単価'!H6+'前提と出典'!$C$38*'契約別単価'!H7)</ns0:f>
        <ns0:v>421390.6235086044</ns0:v>
      </ns0:c>
      <ns0:c r="I614" s="16">
        <ns0:f>A614*('前提と出典'!$C$36*'契約別単価'!I5+'前提と出典'!$C$37*'契約別単価'!I6+'前提と出典'!$C$38*'契約別単価'!I7)</ns0:f>
        <ns0:v>25739.273743016754</ns0:v>
      </ns0:c>
      <ns0:c r="J614" s="16">
        <ns0:f>A614*('前提と出典'!$C$36*'契約別単価'!J5+'前提と出典'!$C$37*'契約別単価'!J6+'前提と出典'!$C$38*'契約別単価'!J7)</ns0:f>
        <ns0:v>59956.62166328457</ns0:v>
      </ns0:c>
      <ns0:c r="K614" s="16">
        <ns0:f>A614*('前提と出典'!$C$36*'契約別単価'!K5+'前提と出典'!$C$37*'契約別単価'!K6+'前提と出典'!$C$38*'契約別単価'!K7)</ns0:f>
        <ns0:v>256995.15828677837</ns0:v>
      </ns0:c>
      <ns0:c r="L614" s="16">
        <ns0:f>A614*('前提と出典'!$C$36*'契約別単価'!L5+'前提と出典'!$C$37*'契約別単価'!L6+'前提と出典'!$C$38*'契約別単価'!L7)</ns0:f>
        <ns0:v>209246.35411695347</ns0:v>
      </ns0:c>
      <ns0:c r="M614" s="16">
        <ns0:f>IF(('前提と出典'!$C$36+'前提と出典'!$C$38)=0,0,IF(B614&lt;=10,'前提と出典'!B73+'前提と出典'!C73,IF(B614&lt;=100,'前提と出典'!B74+'前提と出典'!C74,IF(B614&lt;=500,'前提と出典'!B75+'前提と出典'!C75,'前提と出典'!B76+'前提と出典'!C76))))</ns0:f>
        <ns0:v>40000</ns0:v>
      </ns0:c>
      <ns0:c r="N614" s="16">
        <ns0:f>IF(('前提と出典'!$C$37+'前提と出典'!$C$38)=0,0,IF(C614&lt;=10,'前提と出典'!D73+'前提と出典'!E73,IF(C614&lt;=100,'前提と出典'!D74+'前提と出典'!E74,IF(C614&lt;=500,'前提と出典'!D75+'前提と出典'!E75,'前提と出典'!D76+'前提と出典'!E76))))</ns0:f>
        <ns0:v>56510.9346263078</ns0:v>
      </ns0:c>
      <ns0:c r="O614" s="16">
        <ns0:f>IF('前提と出典'!$C$36+'前提と出典'!$C$38=0,0,'前提と出典'!$B$4*IF('前提と出典'!$B$20=0,MAX('前提と出典'!$B$6,D614*'前提と出典'!$B$5),'前提と出典'!$B$6+D614*'前提と出典'!$B$5))</ns0:f>
        <ns0:v>605719.7765363129</ns0:v>
      </ns0:c>
      <ns0:c r="P614" s="16">
        <ns0:f>(E614+G614)*(1-'前提と出典'!$B$7)-I614-K614-M614-O614</ns0:f>
        <ns0:v>1720298.8877863106</ns0:v>
      </ns0:c>
      <ns0:c r="Q614" s="16">
        <ns0:f>(F614+H614)*(1-'前提と出典'!$B$7)-J614-L614-N614</ns0:f>
        <ns0:v>510050.59070320614</ns0:v>
      </ns0:c>
      <ns0:c r="R614" s="16">
        <ns0:f>P614-E614*'前提と出典'!$E$4</ns0:f>
        <ns0:v>1260260.142833224</ns0:v>
      </ns0:c>
      <ns0:c r="S614" s="16">
        <ns0:f>Q614-F614*'前提と出典'!$E$4</ns0:f>
        <ns0:v>376375.09068843734</ns0:v>
      </ns0:c>
      <ns0:c r="T614" s="7">
        <ns0:f>R614+S614</ns0:f>
        <ns0:v>1636635.2335216613</ns0:v>
      </ns0:c>
      <ns0:c r="U614" s="16">
        <ns0:f>P614-E614*'前提と出典'!$E$5</ns0:f>
        <ns0:v>1106913.8945155279</ns0:v>
      </ns0:c>
      <ns0:c r="V614" s="16">
        <ns0:f>Q614-F614*'前提と出典'!$E$5</ns0:f>
        <ns0:v>331816.59068351437</ns0:v>
      </ns0:c>
      <ns0:c r="W614" s="7">
        <ns0:f>U614+V614</ns0:f>
        <ns0:v>1438730.4851990421</ns0:v>
      </ns0:c>
      <ns0:c r="X614" s="16">
        <ns0:f>P614-E614*'前提と出典'!$E$6</ns0:f>
        <ns0:v>953567.6461978322</ns0:v>
      </ns0:c>
      <ns0:c r="Y614" s="16">
        <ns0:f>Q614-F614*'前提と出典'!$E$6</ns0:f>
        <ns0:v>287258.0906785914</ns0:v>
      </ns0:c>
      <ns0:c r="Z614" s="7">
        <ns0:f>X614+Y614</ns0:f>
        <ns0:v>1240825.7368764235</ns0:v>
      </ns0:c>
      <ns0:c r="AA614" s="7">
        <ns0:f>IF(T614&gt;=0,A614,1001)</ns0:f>
        <ns0:v>610</ns0:v>
      </ns0:c>
      <ns0:c r="AB614" s="7">
        <ns0:f>IF(T614&lt;0,A614,0)</ns0:f>
        <ns0:v>0</ns0:v>
      </ns0:c>
      <ns0:c r="AC614" s="16">
        <ns0:f>IF(AND(OR('前提と出典'!$C$36+'前提と出典'!$C$38=0,R614&gt;=0),OR('前提と出典'!$C$37+'前提と出典'!$C$38=0,S614&gt;=0)),0,A614)</ns0:f>
        <ns0:v>0</ns0:v>
      </ns0:c>
      <ns0:c r="AD614" s="7">
        <ns0:f>IF(W614&gt;=0,A614,1001)</ns0:f>
        <ns0:v>610</ns0:v>
      </ns0:c>
      <ns0:c r="AE614" s="7">
        <ns0:f>IF(W614&lt;0,A614,0)</ns0:f>
        <ns0:v>0</ns0:v>
      </ns0:c>
      <ns0:c r="AF614" s="16">
        <ns0:f>IF(AND(OR('前提と出典'!$C$36+'前提と出典'!$C$38=0,U614&gt;=0),OR('前提と出典'!$C$37+'前提と出典'!$C$38=0,V614&gt;=0)),0,A614)</ns0:f>
        <ns0:v>0</ns0:v>
      </ns0:c>
      <ns0:c r="AG614" s="7">
        <ns0:f>IF(Z614&gt;=0,A614,1001)</ns0:f>
        <ns0:v>610</ns0:v>
      </ns0:c>
      <ns0:c r="AH614" s="4">
        <ns0:f>IF(Z614&lt;0,A614,0)</ns0:f>
        <ns0:v>0</ns0:v>
      </ns0:c>
      <ns0:c r="AI614" s="12">
        <ns0:f>IF(AND(OR('前提と出典'!$C$36+'前提と出典'!$C$38=0,X614&gt;=0),OR('前提と出典'!$C$37+'前提と出典'!$C$38=0,Y614&gt;=0)),0,A614)</ns0:f>
        <ns0:v>0</ns0:v>
      </ns0:c>
    </ns0:row>
    <ns0:row r="615" ht="24" customHeight="1">
      <ns0:c r="A615" s="4" t="n">
        <ns0:v>611</ns0:v>
      </ns0:c>
      <ns0:c r="B615" s="12">
        <ns0:f>A615*('前提と出典'!$C$36+'前提と出典'!$C$38)</ns0:f>
        <ns0:v>427.7</ns0:v>
      </ns0:c>
      <ns0:c r="C615" s="12">
        <ns0:f>A615*('前提と出典'!$C$37+'前提と出典'!$C$38)</ns0:f>
        <ns0:v>366.59999999999997</ns0:v>
      </ns0:c>
      <ns0:c r="D615" s="16">
        <ns0:f>A615*('前提と出典'!$C$36*'契約別単価'!C5+'前提と出典'!$C$37*'契約別単価'!C6+'前提と出典'!$C$38*'契約別単価'!C7)</ns0:f>
        <ns0:v>4396.469273743017</ns0:v>
      </ns0:c>
      <ns0:c r="E615" s="16">
        <ns0:f>A615*('前提と出典'!$C$36*'契約別単価'!E5+'前提と出典'!$C$37*'契約別単価'!E6+'前提と出典'!$C$38*'契約別単価'!E7)</ns0:f>
        <ns0:v>1535976.3561001979</ns0:v>
      </ns0:c>
      <ns0:c r="F615" s="16">
        <ns0:f>A615*('前提と出典'!$C$36*'契約別単価'!F5+'前提と出典'!$C$37*'契約別単価'!F6+'前提と出典'!$C$38*'契約別単価'!F7)</ns0:f>
        <ns0:v>446315.46726242494</ns0:v>
      </ns0:c>
      <ns0:c r="G615" s="16">
        <ns0:f>A615*('前提と出典'!$C$36*'契約別単価'!G5+'前提と出典'!$C$37*'契約別単価'!G6+'前提と出典'!$C$38*'契約別単価'!G7)</ns0:f>
        <ns0:v>1216197.2067039106</ns0:v>
      </ns0:c>
      <ns0:c r="H615" s="16">
        <ns0:f>A615*('前提と出典'!$C$36*'契約別単価'!H5+'前提と出典'!$C$37*'契約別単価'!H6+'前提と出典'!$C$38*'契約別単価'!H7)</ns0:f>
        <ns0:v>422081.42780943814</ns0:v>
      </ns0:c>
      <ns0:c r="I615" s="16">
        <ns0:f>A615*('前提と出典'!$C$36*'契約別単価'!I5+'前提と出典'!$C$37*'契約別単価'!I6+'前提と出典'!$C$38*'契約別単価'!I7)</ns0:f>
        <ns0:v>25781.469273743012</ns0:v>
      </ns0:c>
      <ns0:c r="J615" s="16">
        <ns0:f>A615*('前提と出典'!$C$36*'契約別単価'!J5+'前提と出典'!$C$37*'契約別単価'!J6+'前提と出典'!$C$38*'契約別単価'!J7)</ns0:f>
        <ns0:v>60054.91120699487</ns0:v>
      </ns0:c>
      <ns0:c r="K615" s="16">
        <ns0:f>A615*('前提と出典'!$C$36*'契約別単価'!K5+'前提と出典'!$C$37*'契約別単価'!K6+'前提と出典'!$C$38*'契約別単価'!K7)</ns0:f>
        <ns0:v>257416.46182495344</ns0:v>
      </ns0:c>
      <ns0:c r="L615" s="16">
        <ns0:f>A615*('前提と出典'!$C$36*'契約別単価'!L5+'前提と出典'!$C$37*'契約別単価'!L6+'前提と出典'!$C$38*'契約別単価'!L7)</ns0:f>
        <ns0:v>209589.38092698128</ns0:v>
      </ns0:c>
      <ns0:c r="M615" s="16">
        <ns0:f>IF(('前提と出典'!$C$36+'前提と出典'!$C$38)=0,0,IF(B615&lt;=10,'前提と出典'!B73+'前提と出典'!C73,IF(B615&lt;=100,'前提と出典'!B74+'前提と出典'!C74,IF(B615&lt;=500,'前提と出典'!B75+'前提と出典'!C75,'前提と出典'!B76+'前提と出典'!C76))))</ns0:f>
        <ns0:v>40000</ns0:v>
      </ns0:c>
      <ns0:c r="N615" s="16">
        <ns0:f>IF(('前提と出典'!$C$37+'前提と出典'!$C$38)=0,0,IF(C615&lt;=10,'前提と出典'!D73+'前提と出典'!E73,IF(C615&lt;=100,'前提と出典'!D74+'前提と出典'!E74,IF(C615&lt;=500,'前提と出典'!D75+'前提と出典'!E75,'前提と出典'!D76+'前提と出典'!E76))))</ns0:f>
        <ns0:v>56510.9346263078</ns0:v>
      </ns0:c>
      <ns0:c r="O615" s="16">
        <ns0:f>IF('前提と出典'!$C$36+'前提と出典'!$C$38=0,0,'前提と出典'!$B$4*IF('前提と出典'!$B$20=0,MAX('前提と出典'!$B$6,D615*'前提と出典'!$B$5),'前提と出典'!$B$6+D615*'前提と出典'!$B$5))</ns0:f>
        <ns0:v>606712.7597765364</ns0:v>
      </ns0:c>
      <ns0:c r="P615" s="16">
        <ns0:f>(E615+G615)*(1-'前提と出典'!$B$7)-I615-K615-M615-O615</ns0:f>
        <ns0:v>1723184.623667928</ns0:v>
      </ns0:c>
      <ns0:c r="Q615" s="16">
        <ns0:f>(F615+H615)*(1-'前提と出典'!$B$7)-J615-L615-N615</ns0:f>
        <ns0:v>510979.380088992</ns0:v>
      </ns0:c>
      <ns0:c r="R615" s="16">
        <ns0:f>P615-E615*'前提と出典'!$E$4</ns0:f>
        <ns0:v>1262391.716837868</ns0:v>
      </ns0:c>
      <ns0:c r="S615" s="16">
        <ns0:f>Q615-F615*'前提と出典'!$E$4</ns0:f>
        <ns0:v>377084.73991026456</ns0:v>
      </ns0:c>
      <ns0:c r="T615" s="7">
        <ns0:f>R615+S615</ns0:f>
        <ns0:v>1639476.4567481326</ns0:v>
      </ns0:c>
      <ns0:c r="U615" s="16">
        <ns0:f>P615-E615*'前提と出典'!$E$5</ns0:f>
        <ns0:v>1108794.0812278488</ns0:v>
      </ns0:c>
      <ns0:c r="V615" s="16">
        <ns0:f>Q615-F615*'前提と出典'!$E$5</ns0:f>
        <ns0:v>332453.19318402203</ns0:v>
      </ns0:c>
      <ns0:c r="W615" s="7">
        <ns0:f>U615+V615</ns0:f>
        <ns0:v>1441247.2744118709</ns0:v>
      </ns0:c>
      <ns0:c r="X615" s="16">
        <ns0:f>P615-E615*'前提と出典'!$E$6</ns0:f>
        <ns0:v>955196.445617829</ns0:v>
      </ns0:c>
      <ns0:c r="Y615" s="16">
        <ns0:f>Q615-F615*'前提と出典'!$E$6</ns0:f>
        <ns0:v>287821.6464577795</ns0:v>
      </ns0:c>
      <ns0:c r="Z615" s="7">
        <ns0:f>X615+Y615</ns0:f>
        <ns0:v>1243018.0920756084</ns0:v>
      </ns0:c>
      <ns0:c r="AA615" s="7">
        <ns0:f>IF(T615&gt;=0,A615,1001)</ns0:f>
        <ns0:v>611</ns0:v>
      </ns0:c>
      <ns0:c r="AB615" s="7">
        <ns0:f>IF(T615&lt;0,A615,0)</ns0:f>
        <ns0:v>0</ns0:v>
      </ns0:c>
      <ns0:c r="AC615" s="16">
        <ns0:f>IF(AND(OR('前提と出典'!$C$36+'前提と出典'!$C$38=0,R615&gt;=0),OR('前提と出典'!$C$37+'前提と出典'!$C$38=0,S615&gt;=0)),0,A615)</ns0:f>
        <ns0:v>0</ns0:v>
      </ns0:c>
      <ns0:c r="AD615" s="7">
        <ns0:f>IF(W615&gt;=0,A615,1001)</ns0:f>
        <ns0:v>611</ns0:v>
      </ns0:c>
      <ns0:c r="AE615" s="7">
        <ns0:f>IF(W615&lt;0,A615,0)</ns0:f>
        <ns0:v>0</ns0:v>
      </ns0:c>
      <ns0:c r="AF615" s="16">
        <ns0:f>IF(AND(OR('前提と出典'!$C$36+'前提と出典'!$C$38=0,U615&gt;=0),OR('前提と出典'!$C$37+'前提と出典'!$C$38=0,V615&gt;=0)),0,A615)</ns0:f>
        <ns0:v>0</ns0:v>
      </ns0:c>
      <ns0:c r="AG615" s="7">
        <ns0:f>IF(Z615&gt;=0,A615,1001)</ns0:f>
        <ns0:v>611</ns0:v>
      </ns0:c>
      <ns0:c r="AH615" s="4">
        <ns0:f>IF(Z615&lt;0,A615,0)</ns0:f>
        <ns0:v>0</ns0:v>
      </ns0:c>
      <ns0:c r="AI615" s="12">
        <ns0:f>IF(AND(OR('前提と出典'!$C$36+'前提と出典'!$C$38=0,X615&gt;=0),OR('前提と出典'!$C$37+'前提と出典'!$C$38=0,Y615&gt;=0)),0,A615)</ns0:f>
        <ns0:v>0</ns0:v>
      </ns0:c>
    </ns0:row>
    <ns0:row r="616" ht="24" customHeight="1">
      <ns0:c r="A616" s="4" t="n">
        <ns0:v>612</ns0:v>
      </ns0:c>
      <ns0:c r="B616" s="12">
        <ns0:f>A616*('前提と出典'!$C$36+'前提と出典'!$C$38)</ns0:f>
        <ns0:v>428.4</ns0:v>
      </ns0:c>
      <ns0:c r="C616" s="12">
        <ns0:f>A616*('前提と出典'!$C$37+'前提と出典'!$C$38)</ns0:f>
        <ns0:v>367.2</ns0:v>
      </ns0:c>
      <ns0:c r="D616" s="16">
        <ns0:f>A616*('前提と出典'!$C$36*'契約別単価'!C5+'前提と出典'!$C$37*'契約別単価'!C6+'前提と出典'!$C$38*'契約別単価'!C7)</ns0:f>
        <ns0:v>4403.664804469274</ns0:v>
      </ns0:c>
      <ns0:c r="E616" s="16">
        <ns0:f>A616*('前提と出典'!$C$36*'契約別単価'!E5+'前提と出典'!$C$37*'契約別単価'!E6+'前提と出典'!$C$38*'契約別単価'!E7)</ns0:f>
        <ns0:v>1538490.2290234389</ns0:v>
      </ns0:c>
      <ns0:c r="F616" s="16">
        <ns0:f>A616*('前提と出典'!$C$36*'契約別単価'!F5+'前提と出典'!$C$37*'契約別単価'!F6+'前提と出典'!$C$38*'契約別単価'!F7)</ns0:f>
        <ns0:v>447045.9344756204</ns0:v>
      </ns0:c>
      <ns0:c r="G616" s="16">
        <ns0:f>A616*('前提と出典'!$C$36*'契約別単価'!G5+'前提と出典'!$C$37*'契約別単価'!G6+'前提と出典'!$C$38*'契約別単価'!G7)</ns0:f>
        <ns0:v>1218187.7094972066</ns0:v>
      </ns0:c>
      <ns0:c r="H616" s="16">
        <ns0:f>A616*('前提と出典'!$C$36*'契約別単価'!H5+'前提と出典'!$C$37*'契約別単価'!H6+'前提と出典'!$C$38*'契約別単価'!H7)</ns0:f>
        <ns0:v>422772.2321102719</ns0:v>
      </ns0:c>
      <ns0:c r="I616" s="16">
        <ns0:f>A616*('前提と出典'!$C$36*'契約別単価'!I5+'前提と出典'!$C$37*'契約別単価'!I6+'前提と出典'!$C$38*'契約別単価'!I7)</ns0:f>
        <ns0:v>25823.66480446927</ns0:v>
      </ns0:c>
      <ns0:c r="J616" s="16">
        <ns0:f>A616*('前提と出典'!$C$36*'契約別単価'!J5+'前提と出典'!$C$37*'契約別単価'!J6+'前提と出典'!$C$38*'契約別単価'!J7)</ns0:f>
        <ns0:v>60153.20075070517</ns0:v>
      </ns0:c>
      <ns0:c r="K616" s="16">
        <ns0:f>A616*('前提と出典'!$C$36*'契約別単価'!K5+'前提と出典'!$C$37*'契約別単価'!K6+'前提と出典'!$C$38*'契約別単価'!K7)</ns0:f>
        <ns0:v>257837.76536312848</ns0:v>
      </ns0:c>
      <ns0:c r="L616" s="16">
        <ns0:f>A616*('前提と出典'!$C$36*'契約別単価'!L5+'前提と出典'!$C$37*'契約別単価'!L6+'前提と出典'!$C$38*'契約別単価'!L7)</ns0:f>
        <ns0:v>209932.40773700905</ns0:v>
      </ns0:c>
      <ns0:c r="M616" s="16">
        <ns0:f>IF(('前提と出典'!$C$36+'前提と出典'!$C$38)=0,0,IF(B616&lt;=10,'前提と出典'!B73+'前提と出典'!C73,IF(B616&lt;=100,'前提と出典'!B74+'前提と出典'!C74,IF(B616&lt;=500,'前提と出典'!B75+'前提と出典'!C75,'前提と出典'!B76+'前提と出典'!C76))))</ns0:f>
        <ns0:v>40000</ns0:v>
      </ns0:c>
      <ns0:c r="N616" s="16">
        <ns0:f>IF(('前提と出典'!$C$37+'前提と出典'!$C$38)=0,0,IF(C616&lt;=10,'前提と出典'!D73+'前提と出典'!E73,IF(C616&lt;=100,'前提と出典'!D74+'前提と出典'!E74,IF(C616&lt;=500,'前提と出典'!D75+'前提と出典'!E75,'前提と出典'!D76+'前提と出典'!E76))))</ns0:f>
        <ns0:v>56510.9346263078</ns0:v>
      </ns0:c>
      <ns0:c r="O616" s="16">
        <ns0:f>IF('前提と出典'!$C$36+'前提と出典'!$C$38=0,0,'前提と出典'!$B$4*IF('前提と出典'!$B$20=0,MAX('前提と出典'!$B$6,D616*'前提と出典'!$B$5),'前提と出典'!$B$6+D616*'前提と出典'!$B$5))</ns0:f>
        <ns0:v>607705.7430167599</ns0:v>
      </ns0:c>
      <ns0:c r="P616" s="16">
        <ns0:f>(E616+G616)*(1-'前提と出典'!$B$7)-I616-K616-M616-O616</ns0:f>
        <ns0:v>1726070.359549545</ns0:v>
      </ns0:c>
      <ns0:c r="Q616" s="16">
        <ns0:f>(F616+H616)*(1-'前提と出典'!$B$7)-J616-L616-N616</ns0:f>
        <ns0:v>511908.1694747782</ns0:v>
      </ns0:c>
      <ns0:c r="R616" s="16">
        <ns0:f>P616-E616*'前提と出典'!$E$4</ns0:f>
        <ns0:v>1264523.290842513</ns0:v>
      </ns0:c>
      <ns0:c r="S616" s="16">
        <ns0:f>Q616-F616*'前提と出典'!$E$4</ns0:f>
        <ns0:v>377794.38913209207</ns0:v>
      </ns0:c>
      <ns0:c r="T616" s="7">
        <ns0:f>R616+S616</ns0:f>
        <ns0:v>1642317.679974605</ns0:v>
      </ns0:c>
      <ns0:c r="U616" s="16">
        <ns0:f>P616-E616*'前提と出典'!$E$5</ns0:f>
        <ns0:v>1110674.2679401694</ns0:v>
      </ns0:c>
      <ns0:c r="V616" s="16">
        <ns0:f>Q616-F616*'前提と出典'!$E$5</ns0:f>
        <ns0:v>333089.79568453</ns0:v>
      </ns0:c>
      <ns0:c r="W616" s="7">
        <ns0:f>U616+V616</ns0:f>
        <ns0:v>1443764.0636246994</ns0:v>
      </ns0:c>
      <ns0:c r="X616" s="16">
        <ns0:f>P616-E616*'前提と出典'!$E$6</ns0:f>
        <ns0:v>956825.2450378255</ns0:v>
      </ns0:c>
      <ns0:c r="Y616" s="16">
        <ns0:f>Q616-F616*'前提と出典'!$E$6</ns0:f>
        <ns0:v>288385.2022369679</ns0:v>
      </ns0:c>
      <ns0:c r="Z616" s="7">
        <ns0:f>X616+Y616</ns0:f>
        <ns0:v>1245210.4472747934</ns0:v>
      </ns0:c>
      <ns0:c r="AA616" s="7">
        <ns0:f>IF(T616&gt;=0,A616,1001)</ns0:f>
        <ns0:v>612</ns0:v>
      </ns0:c>
      <ns0:c r="AB616" s="7">
        <ns0:f>IF(T616&lt;0,A616,0)</ns0:f>
        <ns0:v>0</ns0:v>
      </ns0:c>
      <ns0:c r="AC616" s="16">
        <ns0:f>IF(AND(OR('前提と出典'!$C$36+'前提と出典'!$C$38=0,R616&gt;=0),OR('前提と出典'!$C$37+'前提と出典'!$C$38=0,S616&gt;=0)),0,A616)</ns0:f>
        <ns0:v>0</ns0:v>
      </ns0:c>
      <ns0:c r="AD616" s="7">
        <ns0:f>IF(W616&gt;=0,A616,1001)</ns0:f>
        <ns0:v>612</ns0:v>
      </ns0:c>
      <ns0:c r="AE616" s="7">
        <ns0:f>IF(W616&lt;0,A616,0)</ns0:f>
        <ns0:v>0</ns0:v>
      </ns0:c>
      <ns0:c r="AF616" s="16">
        <ns0:f>IF(AND(OR('前提と出典'!$C$36+'前提と出典'!$C$38=0,U616&gt;=0),OR('前提と出典'!$C$37+'前提と出典'!$C$38=0,V616&gt;=0)),0,A616)</ns0:f>
        <ns0:v>0</ns0:v>
      </ns0:c>
      <ns0:c r="AG616" s="7">
        <ns0:f>IF(Z616&gt;=0,A616,1001)</ns0:f>
        <ns0:v>612</ns0:v>
      </ns0:c>
      <ns0:c r="AH616" s="4">
        <ns0:f>IF(Z616&lt;0,A616,0)</ns0:f>
        <ns0:v>0</ns0:v>
      </ns0:c>
      <ns0:c r="AI616" s="12">
        <ns0:f>IF(AND(OR('前提と出典'!$C$36+'前提と出典'!$C$38=0,X616&gt;=0),OR('前提と出典'!$C$37+'前提と出典'!$C$38=0,Y616&gt;=0)),0,A616)</ns0:f>
        <ns0:v>0</ns0:v>
      </ns0:c>
    </ns0:row>
    <ns0:row r="617" ht="24" customHeight="1">
      <ns0:c r="A617" s="4" t="n">
        <ns0:v>613</ns0:v>
      </ns0:c>
      <ns0:c r="B617" s="12">
        <ns0:f>A617*('前提と出典'!$C$36+'前提と出典'!$C$38)</ns0:f>
        <ns0:v>429.09999999999997</ns0:v>
      </ns0:c>
      <ns0:c r="C617" s="12">
        <ns0:f>A617*('前提と出典'!$C$37+'前提と出典'!$C$38)</ns0:f>
        <ns0:v>367.8</ns0:v>
      </ns0:c>
      <ns0:c r="D617" s="16">
        <ns0:f>A617*('前提と出典'!$C$36*'契約別単価'!C5+'前提と出典'!$C$37*'契約別単価'!C6+'前提と出典'!$C$38*'契約別単価'!C7)</ns0:f>
        <ns0:v>4410.860335195531</ns0:v>
      </ns0:c>
      <ns0:c r="E617" s="16">
        <ns0:f>A617*('前提と出典'!$C$36*'契約別単価'!E5+'前提と出典'!$C$37*'契約別単価'!E6+'前提と出典'!$C$38*'契約別単価'!E7)</ns0:f>
        <ns0:v>1541004.1019466799</ns0:v>
      </ns0:c>
      <ns0:c r="F617" s="16">
        <ns0:f>A617*('前提と出典'!$C$36*'契約別単価'!F5+'前提と出典'!$C$37*'契約別単価'!F6+'前提と出典'!$C$38*'契約別単価'!F7)</ns0:f>
        <ns0:v>447776.40168881585</ns0:v>
      </ns0:c>
      <ns0:c r="G617" s="16">
        <ns0:f>A617*('前提と出典'!$C$36*'契約別単価'!G5+'前提と出典'!$C$37*'契約別単価'!G6+'前提と出典'!$C$38*'契約別単価'!G7)</ns0:f>
        <ns0:v>1220178.2122905029</ns0:v>
      </ns0:c>
      <ns0:c r="H617" s="16">
        <ns0:f>A617*('前提と出典'!$C$36*'契約別単価'!H5+'前提と出典'!$C$37*'契約別単価'!H6+'前提と出典'!$C$38*'契約別単価'!H7)</ns0:f>
        <ns0:v>423463.0364111057</ns0:v>
      </ns0:c>
      <ns0:c r="I617" s="16">
        <ns0:f>A617*('前提と出典'!$C$36*'契約別単価'!I5+'前提と出典'!$C$37*'契約別単価'!I6+'前提と出典'!$C$38*'契約別単価'!I7)</ns0:f>
        <ns0:v>25865.860335195528</ns0:v>
      </ns0:c>
      <ns0:c r="J617" s="16">
        <ns0:f>A617*('前提と出典'!$C$36*'契約別単価'!J5+'前提と出典'!$C$37*'契約別単価'!J6+'前提と出典'!$C$38*'契約別単価'!J7)</ns0:f>
        <ns0:v>60251.490294415475</ns0:v>
      </ns0:c>
      <ns0:c r="K617" s="16">
        <ns0:f>A617*('前提と出典'!$C$36*'契約別単価'!K5+'前提と出典'!$C$37*'契約別単価'!K6+'前提と出典'!$C$38*'契約別単価'!K7)</ns0:f>
        <ns0:v>258259.06890130352</ns0:v>
      </ns0:c>
      <ns0:c r="L617" s="16">
        <ns0:f>A617*('前提と出典'!$C$36*'契約別単価'!L5+'前提と出典'!$C$37*'契約別単価'!L6+'前提と出典'!$C$38*'契約別単価'!L7)</ns0:f>
        <ns0:v>210275.43454703686</ns0:v>
      </ns0:c>
      <ns0:c r="M617" s="16">
        <ns0:f>IF(('前提と出典'!$C$36+'前提と出典'!$C$38)=0,0,IF(B617&lt;=10,'前提と出典'!B73+'前提と出典'!C73,IF(B617&lt;=100,'前提と出典'!B74+'前提と出典'!C74,IF(B617&lt;=500,'前提と出典'!B75+'前提と出典'!C75,'前提と出典'!B76+'前提と出典'!C76))))</ns0:f>
        <ns0:v>40000</ns0:v>
      </ns0:c>
      <ns0:c r="N617" s="16">
        <ns0:f>IF(('前提と出典'!$C$37+'前提と出典'!$C$38)=0,0,IF(C617&lt;=10,'前提と出典'!D73+'前提と出典'!E73,IF(C617&lt;=100,'前提と出典'!D74+'前提と出典'!E74,IF(C617&lt;=500,'前提と出典'!D75+'前提と出典'!E75,'前提と出典'!D76+'前提と出典'!E76))))</ns0:f>
        <ns0:v>56510.9346263078</ns0:v>
      </ns0:c>
      <ns0:c r="O617" s="16">
        <ns0:f>IF('前提と出典'!$C$36+'前提と出典'!$C$38=0,0,'前提と出典'!$B$4*IF('前提と出典'!$B$20=0,MAX('前提と出典'!$B$6,D617*'前提と出典'!$B$5),'前提と出典'!$B$6+D617*'前提と出典'!$B$5))</ns0:f>
        <ns0:v>608698.7262569832</ns0:v>
      </ns0:c>
      <ns0:c r="P617" s="16">
        <ns0:f>(E617+G617)*(1-'前提と出典'!$B$7)-I617-K617-M617-O617</ns0:f>
        <ns0:v>1728956.095431162</ns0:v>
      </ns0:c>
      <ns0:c r="Q617" s="16">
        <ns0:f>(F617+H617)*(1-'前提と出典'!$B$7)-J617-L617-N617</ns0:f>
        <ns0:v>512836.95886056416</ns0:v>
      </ns0:c>
      <ns0:c r="R617" s="16">
        <ns0:f>P617-E617*'前提と出典'!$E$4</ns0:f>
        <ns0:v>1266654.8648471585</ns0:v>
      </ns0:c>
      <ns0:c r="S617" s="16">
        <ns0:f>Q617-F617*'前提と出典'!$E$4</ns0:f>
        <ns0:v>378504.0383539194</ns0:v>
      </ns0:c>
      <ns0:c r="T617" s="7">
        <ns0:f>R617+S617</ns0:f>
        <ns0:v>1645158.903201078</ns0:v>
      </ns0:c>
      <ns0:c r="U617" s="16">
        <ns0:f>P617-E617*'前提と出典'!$E$5</ns0:f>
        <ns0:v>1112554.45465249</ns0:v>
      </ns0:c>
      <ns0:c r="V617" s="16">
        <ns0:f>Q617-F617*'前提と出典'!$E$5</ns0:f>
        <ns0:v>333726.3981850378</ns0:v>
      </ns0:c>
      <ns0:c r="W617" s="7">
        <ns0:f>U617+V617</ns0:f>
        <ns0:v>1446280.8528375279</ns0:v>
      </ns0:c>
      <ns0:c r="X617" s="16">
        <ns0:f>P617-E617*'前提と出典'!$E$6</ns0:f>
        <ns0:v>958454.0444578222</ns0:v>
      </ns0:c>
      <ns0:c r="Y617" s="16">
        <ns0:f>Q617-F617*'前提と出典'!$E$6</ns0:f>
        <ns0:v>288948.75801615627</ns0:v>
      </ns0:c>
      <ns0:c r="Z617" s="7">
        <ns0:f>X617+Y617</ns0:f>
        <ns0:v>1247402.8024739786</ns0:v>
      </ns0:c>
      <ns0:c r="AA617" s="7">
        <ns0:f>IF(T617&gt;=0,A617,1001)</ns0:f>
        <ns0:v>613</ns0:v>
      </ns0:c>
      <ns0:c r="AB617" s="7">
        <ns0:f>IF(T617&lt;0,A617,0)</ns0:f>
        <ns0:v>0</ns0:v>
      </ns0:c>
      <ns0:c r="AC617" s="16">
        <ns0:f>IF(AND(OR('前提と出典'!$C$36+'前提と出典'!$C$38=0,R617&gt;=0),OR('前提と出典'!$C$37+'前提と出典'!$C$38=0,S617&gt;=0)),0,A617)</ns0:f>
        <ns0:v>0</ns0:v>
      </ns0:c>
      <ns0:c r="AD617" s="7">
        <ns0:f>IF(W617&gt;=0,A617,1001)</ns0:f>
        <ns0:v>613</ns0:v>
      </ns0:c>
      <ns0:c r="AE617" s="7">
        <ns0:f>IF(W617&lt;0,A617,0)</ns0:f>
        <ns0:v>0</ns0:v>
      </ns0:c>
      <ns0:c r="AF617" s="16">
        <ns0:f>IF(AND(OR('前提と出典'!$C$36+'前提と出典'!$C$38=0,U617&gt;=0),OR('前提と出典'!$C$37+'前提と出典'!$C$38=0,V617&gt;=0)),0,A617)</ns0:f>
        <ns0:v>0</ns0:v>
      </ns0:c>
      <ns0:c r="AG617" s="7">
        <ns0:f>IF(Z617&gt;=0,A617,1001)</ns0:f>
        <ns0:v>613</ns0:v>
      </ns0:c>
      <ns0:c r="AH617" s="4">
        <ns0:f>IF(Z617&lt;0,A617,0)</ns0:f>
        <ns0:v>0</ns0:v>
      </ns0:c>
      <ns0:c r="AI617" s="12">
        <ns0:f>IF(AND(OR('前提と出典'!$C$36+'前提と出典'!$C$38=0,X617&gt;=0),OR('前提と出典'!$C$37+'前提と出典'!$C$38=0,Y617&gt;=0)),0,A617)</ns0:f>
        <ns0:v>0</ns0:v>
      </ns0:c>
    </ns0:row>
    <ns0:row r="618" ht="24" customHeight="1">
      <ns0:c r="A618" s="4" t="n">
        <ns0:v>614</ns0:v>
      </ns0:c>
      <ns0:c r="B618" s="12">
        <ns0:f>A618*('前提と出典'!$C$36+'前提と出典'!$C$38)</ns0:f>
        <ns0:v>429.79999999999995</ns0:v>
      </ns0:c>
      <ns0:c r="C618" s="12">
        <ns0:f>A618*('前提と出典'!$C$37+'前提と出典'!$C$38)</ns0:f>
        <ns0:v>368.4</ns0:v>
      </ns0:c>
      <ns0:c r="D618" s="16">
        <ns0:f>A618*('前提と出典'!$C$36*'契約別単価'!C5+'前提と出典'!$C$37*'契約別単価'!C6+'前提と出典'!$C$38*'契約別単価'!C7)</ns0:f>
        <ns0:v>4418.055865921788</ns0:v>
      </ns0:c>
      <ns0:c r="E618" s="16">
        <ns0:f>A618*('前提と出典'!$C$36*'契約別単価'!E5+'前提と出典'!$C$37*'契約別単価'!E6+'前提と出典'!$C$38*'契約別単価'!E7)</ns0:f>
        <ns0:v>1543517.9748699206</ns0:v>
      </ns0:c>
      <ns0:c r="F618" s="16">
        <ns0:f>A618*('前提と出典'!$C$36*'契約別単価'!F5+'前提と出典'!$C$37*'契約別単価'!F6+'前提と出典'!$C$38*'契約別単価'!F7)</ns0:f>
        <ns0:v>448506.8689020113</ns0:v>
      </ns0:c>
      <ns0:c r="G618" s="16">
        <ns0:f>A618*('前提と出典'!$C$36*'契約別単価'!G5+'前提と出典'!$C$37*'契約別単価'!G6+'前提と出典'!$C$38*'契約別単価'!G7)</ns0:f>
        <ns0:v>1222168.7150837989</ns0:v>
      </ns0:c>
      <ns0:c r="H618" s="16">
        <ns0:f>A618*('前提と出典'!$C$36*'契約別単価'!H5+'前提と出典'!$C$37*'契約別単価'!H6+'前提と出典'!$C$38*'契約別単価'!H7)</ns0:f>
        <ns0:v>424153.8407119395</ns0:v>
      </ns0:c>
      <ns0:c r="I618" s="16">
        <ns0:f>A618*('前提と出典'!$C$36*'契約別単価'!I5+'前提と出典'!$C$37*'契約別単価'!I6+'前提と出典'!$C$38*'契約別単価'!I7)</ns0:f>
        <ns0:v>25908.055865921782</ns0:v>
      </ns0:c>
      <ns0:c r="J618" s="16">
        <ns0:f>A618*('前提と出典'!$C$36*'契約別単価'!J5+'前提と出典'!$C$37*'契約別単価'!J6+'前提と出典'!$C$38*'契約別単価'!J7)</ns0:f>
        <ns0:v>60349.779838125774</ns0:v>
      </ns0:c>
      <ns0:c r="K618" s="16">
        <ns0:f>A618*('前提と出典'!$C$36*'契約別単価'!K5+'前提と出典'!$C$37*'契約別単価'!K6+'前提と出典'!$C$38*'契約別単価'!K7)</ns0:f>
        <ns0:v>258680.37243947855</ns0:v>
      </ns0:c>
      <ns0:c r="L618" s="16">
        <ns0:f>A618*('前提と出典'!$C$36*'契約別単価'!L5+'前提と出典'!$C$37*'契約別単価'!L6+'前提と出典'!$C$38*'契約別単価'!L7)</ns0:f>
        <ns0:v>210618.46135706463</ns0:v>
      </ns0:c>
      <ns0:c r="M618" s="16">
        <ns0:f>IF(('前提と出典'!$C$36+'前提と出典'!$C$38)=0,0,IF(B618&lt;=10,'前提と出典'!B73+'前提と出典'!C73,IF(B618&lt;=100,'前提と出典'!B74+'前提と出典'!C74,IF(B618&lt;=500,'前提と出典'!B75+'前提と出典'!C75,'前提と出典'!B76+'前提と出典'!C76))))</ns0:f>
        <ns0:v>40000</ns0:v>
      </ns0:c>
      <ns0:c r="N618" s="16">
        <ns0:f>IF(('前提と出典'!$C$37+'前提と出典'!$C$38)=0,0,IF(C618&lt;=10,'前提と出典'!D73+'前提と出典'!E73,IF(C618&lt;=100,'前提と出典'!D74+'前提と出典'!E74,IF(C618&lt;=500,'前提と出典'!D75+'前提と出典'!E75,'前提と出典'!D76+'前提と出典'!E76))))</ns0:f>
        <ns0:v>56510.9346263078</ns0:v>
      </ns0:c>
      <ns0:c r="O618" s="16">
        <ns0:f>IF('前提と出典'!$C$36+'前提と出典'!$C$38=0,0,'前提と出典'!$B$4*IF('前提と出典'!$B$20=0,MAX('前提と出典'!$B$6,D618*'前提と出典'!$B$5),'前提と出典'!$B$6+D618*'前提と出典'!$B$5))</ns0:f>
        <ns0:v>609691.7094972067</ns0:v>
      </ns0:c>
      <ns0:c r="P618" s="16">
        <ns0:f>(E618+G618)*(1-'前提と出典'!$B$7)-I618-K618-M618-O618</ns0:f>
        <ns0:v>1731841.8313127784</ns0:v>
      </ns0:c>
      <ns0:c r="Q618" s="16">
        <ns0:f>(F618+H618)*(1-'前提と出典'!$B$7)-J618-L618-N618</ns0:f>
        <ns0:v>513765.74824635027</ns0:v>
      </ns0:c>
      <ns0:c r="R618" s="16">
        <ns0:f>P618-E618*'前提と出典'!$E$4</ns0:f>
        <ns0:v>1268786.4388518017</ns0:v>
      </ns0:c>
      <ns0:c r="S618" s="16">
        <ns0:f>Q618-F618*'前提と出典'!$E$4</ns0:f>
        <ns0:v>379213.6875757469</ns0:v>
      </ns0:c>
      <ns0:c r="T618" s="7">
        <ns0:f>R618+S618</ns0:f>
        <ns0:v>1648000.1264275485</ns0:v>
      </ns0:c>
      <ns0:c r="U618" s="16">
        <ns0:f>P618-E618*'前提と出典'!$E$5</ns0:f>
        <ns0:v>1114434.64136481</ns0:v>
      </ns0:c>
      <ns0:c r="V618" s="16">
        <ns0:f>Q618-F618*'前提と出典'!$E$5</ns0:f>
        <ns0:v>334363.00068554573</ns0:v>
      </ns0:c>
      <ns0:c r="W618" s="7">
        <ns0:f>U618+V618</ns0:f>
        <ns0:v>1448797.6420503557</ns0:v>
      </ns0:c>
      <ns0:c r="X618" s="16">
        <ns0:f>P618-E618*'前提と出典'!$E$6</ns0:f>
        <ns0:v>960082.8438778179</ns0:v>
      </ns0:c>
      <ns0:c r="Y618" s="16">
        <ns0:f>Q618-F618*'前提と出典'!$E$6</ns0:f>
        <ns0:v>289512.3137953447</ns0:v>
      </ns0:c>
      <ns0:c r="Z618" s="7">
        <ns0:f>X618+Y618</ns0:f>
        <ns0:v>1249595.1576731624</ns0:v>
      </ns0:c>
      <ns0:c r="AA618" s="7">
        <ns0:f>IF(T618&gt;=0,A618,1001)</ns0:f>
        <ns0:v>614</ns0:v>
      </ns0:c>
      <ns0:c r="AB618" s="7">
        <ns0:f>IF(T618&lt;0,A618,0)</ns0:f>
        <ns0:v>0</ns0:v>
      </ns0:c>
      <ns0:c r="AC618" s="16">
        <ns0:f>IF(AND(OR('前提と出典'!$C$36+'前提と出典'!$C$38=0,R618&gt;=0),OR('前提と出典'!$C$37+'前提と出典'!$C$38=0,S618&gt;=0)),0,A618)</ns0:f>
        <ns0:v>0</ns0:v>
      </ns0:c>
      <ns0:c r="AD618" s="7">
        <ns0:f>IF(W618&gt;=0,A618,1001)</ns0:f>
        <ns0:v>614</ns0:v>
      </ns0:c>
      <ns0:c r="AE618" s="7">
        <ns0:f>IF(W618&lt;0,A618,0)</ns0:f>
        <ns0:v>0</ns0:v>
      </ns0:c>
      <ns0:c r="AF618" s="16">
        <ns0:f>IF(AND(OR('前提と出典'!$C$36+'前提と出典'!$C$38=0,U618&gt;=0),OR('前提と出典'!$C$37+'前提と出典'!$C$38=0,V618&gt;=0)),0,A618)</ns0:f>
        <ns0:v>0</ns0:v>
      </ns0:c>
      <ns0:c r="AG618" s="7">
        <ns0:f>IF(Z618&gt;=0,A618,1001)</ns0:f>
        <ns0:v>614</ns0:v>
      </ns0:c>
      <ns0:c r="AH618" s="4">
        <ns0:f>IF(Z618&lt;0,A618,0)</ns0:f>
        <ns0:v>0</ns0:v>
      </ns0:c>
      <ns0:c r="AI618" s="12">
        <ns0:f>IF(AND(OR('前提と出典'!$C$36+'前提と出典'!$C$38=0,X618&gt;=0),OR('前提と出典'!$C$37+'前提と出典'!$C$38=0,Y618&gt;=0)),0,A618)</ns0:f>
        <ns0:v>0</ns0:v>
      </ns0:c>
    </ns0:row>
    <ns0:row r="619" ht="24" customHeight="1">
      <ns0:c r="A619" s="4" t="n">
        <ns0:v>615</ns0:v>
      </ns0:c>
      <ns0:c r="B619" s="12">
        <ns0:f>A619*('前提と出典'!$C$36+'前提と出典'!$C$38)</ns0:f>
        <ns0:v>430.5</ns0:v>
      </ns0:c>
      <ns0:c r="C619" s="12">
        <ns0:f>A619*('前提と出典'!$C$37+'前提と出典'!$C$38)</ns0:f>
        <ns0:v>369</ns0:v>
      </ns0:c>
      <ns0:c r="D619" s="16">
        <ns0:f>A619*('前提と出典'!$C$36*'契約別単価'!C5+'前提と出典'!$C$37*'契約別単価'!C6+'前提と出典'!$C$38*'契約別単価'!C7)</ns0:f>
        <ns0:v>4425.251396648045</ns0:v>
      </ns0:c>
      <ns0:c r="E619" s="16">
        <ns0:f>A619*('前提と出典'!$C$36*'契約別単価'!E5+'前提と出典'!$C$37*'契約別単価'!E6+'前提と出典'!$C$38*'契約別単価'!E7)</ns0:f>
        <ns0:v>1546031.8477931616</ns0:v>
      </ns0:c>
      <ns0:c r="F619" s="16">
        <ns0:f>A619*('前提と出典'!$C$36*'契約別単価'!F5+'前提と出典'!$C$37*'契約別単価'!F6+'前提と出典'!$C$38*'契約別単価'!F7)</ns0:f>
        <ns0:v>449237.33611520677</ns0:v>
      </ns0:c>
      <ns0:c r="G619" s="16">
        <ns0:f>A619*('前提と出典'!$C$36*'契約別単価'!G5+'前提と出典'!$C$37*'契約別単価'!G6+'前提と出典'!$C$38*'契約別単価'!G7)</ns0:f>
        <ns0:v>1224159.2178770949</ns0:v>
      </ns0:c>
      <ns0:c r="H619" s="16">
        <ns0:f>A619*('前提と出典'!$C$36*'契約別単価'!H5+'前提と出典'!$C$37*'契約別単価'!H6+'前提と出典'!$C$38*'契約別単価'!H7)</ns0:f>
        <ns0:v>424844.6450127733</ns0:v>
      </ns0:c>
      <ns0:c r="I619" s="16">
        <ns0:f>A619*('前提と出典'!$C$36*'契約別単価'!I5+'前提と出典'!$C$37*'契約別単価'!I6+'前提と出典'!$C$38*'契約別単価'!I7)</ns0:f>
        <ns0:v>25950.25139664804</ns0:v>
      </ns0:c>
      <ns0:c r="J619" s="16">
        <ns0:f>A619*('前提と出典'!$C$36*'契約別単価'!J5+'前提と出典'!$C$37*'契約別単価'!J6+'前提と出典'!$C$38*'契約別単価'!J7)</ns0:f>
        <ns0:v>60448.06938183608</ns0:v>
      </ns0:c>
      <ns0:c r="K619" s="16">
        <ns0:f>A619*('前提と出典'!$C$36*'契約別単価'!K5+'前提と出典'!$C$37*'契約別単価'!K6+'前提と出典'!$C$38*'契約別単価'!K7)</ns0:f>
        <ns0:v>259101.67597765362</ns0:v>
      </ns0:c>
      <ns0:c r="L619" s="16">
        <ns0:f>A619*('前提と出典'!$C$36*'契約別単価'!L5+'前提と出典'!$C$37*'契約別単価'!L6+'前提と出典'!$C$38*'契約別単価'!L7)</ns0:f>
        <ns0:v>210961.48816709244</ns0:v>
      </ns0:c>
      <ns0:c r="M619" s="16">
        <ns0:f>IF(('前提と出典'!$C$36+'前提と出典'!$C$38)=0,0,IF(B619&lt;=10,'前提と出典'!B73+'前提と出典'!C73,IF(B619&lt;=100,'前提と出典'!B74+'前提と出典'!C74,IF(B619&lt;=500,'前提と出典'!B75+'前提と出典'!C75,'前提と出典'!B76+'前提と出典'!C76))))</ns0:f>
        <ns0:v>40000</ns0:v>
      </ns0:c>
      <ns0:c r="N619" s="16">
        <ns0:f>IF(('前提と出典'!$C$37+'前提と出典'!$C$38)=0,0,IF(C619&lt;=10,'前提と出典'!D73+'前提と出典'!E73,IF(C619&lt;=100,'前提と出典'!D74+'前提と出典'!E74,IF(C619&lt;=500,'前提と出典'!D75+'前提と出典'!E75,'前提と出典'!D76+'前提と出典'!E76))))</ns0:f>
        <ns0:v>56510.9346263078</ns0:v>
      </ns0:c>
      <ns0:c r="O619" s="16">
        <ns0:f>IF('前提と出典'!$C$36+'前提と出典'!$C$38=0,0,'前提と出典'!$B$4*IF('前提と出典'!$B$20=0,MAX('前提と出典'!$B$6,D619*'前提と出典'!$B$5),'前提と出典'!$B$6+D619*'前提と出典'!$B$5))</ns0:f>
        <ns0:v>610684.6927374302</ns0:v>
      </ns0:c>
      <ns0:c r="P619" s="16">
        <ns0:f>(E619+G619)*(1-'前提と出典'!$B$7)-I619-K619-M619-O619</ns0:f>
        <ns0:v>1734727.5671943952</ns0:v>
      </ns0:c>
      <ns0:c r="Q619" s="16">
        <ns0:f>(F619+H619)*(1-'前提と出典'!$B$7)-J619-L619-N619</ns0:f>
        <ns0:v>514694.5376321364</ns0:v>
      </ns0:c>
      <ns0:c r="R619" s="16">
        <ns0:f>P619-E619*'前提と出典'!$E$4</ns0:f>
        <ns0:v>1270918.0128564471</ns0:v>
      </ns0:c>
      <ns0:c r="S619" s="16">
        <ns0:f>Q619-F619*'前提と出典'!$E$4</ns0:f>
        <ns0:v>379923.3367975744</ns0:v>
      </ns0:c>
      <ns0:c r="T619" s="7">
        <ns0:f>R619+S619</ns0:f>
        <ns0:v>1650841.3496540217</ns0:v>
      </ns0:c>
      <ns0:c r="U619" s="16">
        <ns0:f>P619-E619*'前提と出典'!$E$5</ns0:f>
        <ns0:v>1116314.8280771305</ns0:v>
      </ns0:c>
      <ns0:c r="V619" s="16">
        <ns0:f>Q619-F619*'前提と出典'!$E$5</ns0:f>
        <ns0:v>334999.6031860537</ns0:v>
      </ns0:c>
      <ns0:c r="W619" s="7">
        <ns0:f>U619+V619</ns0:f>
        <ns0:v>1451314.4312631842</ns0:v>
      </ns0:c>
      <ns0:c r="X619" s="16">
        <ns0:f>P619-E619*'前提と出典'!$E$6</ns0:f>
        <ns0:v>961711.6432978144</ns0:v>
      </ns0:c>
      <ns0:c r="Y619" s="16">
        <ns0:f>Q619-F619*'前提と出典'!$E$6</ns0:f>
        <ns0:v>290075.86957453296</ns0:v>
      </ns0:c>
      <ns0:c r="Z619" s="7">
        <ns0:f>X619+Y619</ns0:f>
        <ns0:v>1251787.5128723474</ns0:v>
      </ns0:c>
      <ns0:c r="AA619" s="7">
        <ns0:f>IF(T619&gt;=0,A619,1001)</ns0:f>
        <ns0:v>615</ns0:v>
      </ns0:c>
      <ns0:c r="AB619" s="7">
        <ns0:f>IF(T619&lt;0,A619,0)</ns0:f>
        <ns0:v>0</ns0:v>
      </ns0:c>
      <ns0:c r="AC619" s="16">
        <ns0:f>IF(AND(OR('前提と出典'!$C$36+'前提と出典'!$C$38=0,R619&gt;=0),OR('前提と出典'!$C$37+'前提と出典'!$C$38=0,S619&gt;=0)),0,A619)</ns0:f>
        <ns0:v>0</ns0:v>
      </ns0:c>
      <ns0:c r="AD619" s="7">
        <ns0:f>IF(W619&gt;=0,A619,1001)</ns0:f>
        <ns0:v>615</ns0:v>
      </ns0:c>
      <ns0:c r="AE619" s="7">
        <ns0:f>IF(W619&lt;0,A619,0)</ns0:f>
        <ns0:v>0</ns0:v>
      </ns0:c>
      <ns0:c r="AF619" s="16">
        <ns0:f>IF(AND(OR('前提と出典'!$C$36+'前提と出典'!$C$38=0,U619&gt;=0),OR('前提と出典'!$C$37+'前提と出典'!$C$38=0,V619&gt;=0)),0,A619)</ns0:f>
        <ns0:v>0</ns0:v>
      </ns0:c>
      <ns0:c r="AG619" s="7">
        <ns0:f>IF(Z619&gt;=0,A619,1001)</ns0:f>
        <ns0:v>615</ns0:v>
      </ns0:c>
      <ns0:c r="AH619" s="4">
        <ns0:f>IF(Z619&lt;0,A619,0)</ns0:f>
        <ns0:v>0</ns0:v>
      </ns0:c>
      <ns0:c r="AI619" s="12">
        <ns0:f>IF(AND(OR('前提と出典'!$C$36+'前提と出典'!$C$38=0,X619&gt;=0),OR('前提と出典'!$C$37+'前提と出典'!$C$38=0,Y619&gt;=0)),0,A619)</ns0:f>
        <ns0:v>0</ns0:v>
      </ns0:c>
    </ns0:row>
    <ns0:row r="620" ht="24" customHeight="1">
      <ns0:c r="A620" s="4" t="n">
        <ns0:v>616</ns0:v>
      </ns0:c>
      <ns0:c r="B620" s="12">
        <ns0:f>A620*('前提と出典'!$C$36+'前提と出典'!$C$38)</ns0:f>
        <ns0:v>431.2</ns0:v>
      </ns0:c>
      <ns0:c r="C620" s="12">
        <ns0:f>A620*('前提と出典'!$C$37+'前提と出典'!$C$38)</ns0:f>
        <ns0:v>369.59999999999997</ns0:v>
      </ns0:c>
      <ns0:c r="D620" s="16">
        <ns0:f>A620*('前提と出典'!$C$36*'契約別単価'!C5+'前提と出典'!$C$37*'契約別単価'!C6+'前提と出典'!$C$38*'契約別単価'!C7)</ns0:f>
        <ns0:v>4432.446927374302</ns0:v>
      </ns0:c>
      <ns0:c r="E620" s="16">
        <ns0:f>A620*('前提と出典'!$C$36*'契約別単価'!E5+'前提と出典'!$C$37*'契約別単価'!E6+'前提と出典'!$C$38*'契約別単価'!E7)</ns0:f>
        <ns0:v>1548545.7207164026</ns0:v>
      </ns0:c>
      <ns0:c r="F620" s="16">
        <ns0:f>A620*('前提と出典'!$C$36*'契約別単価'!F5+'前提と出典'!$C$37*'契約別単価'!F6+'前提と出典'!$C$38*'契約別単価'!F7)</ns0:f>
        <ns0:v>449967.8033284022</ns0:v>
      </ns0:c>
      <ns0:c r="G620" s="16">
        <ns0:f>A620*('前提と出典'!$C$36*'契約別単価'!G5+'前提と出典'!$C$37*'契約別単価'!G6+'前提と出典'!$C$38*'契約別単価'!G7)</ns0:f>
        <ns0:v>1226149.720670391</ns0:v>
      </ns0:c>
      <ns0:c r="H620" s="16">
        <ns0:f>A620*('前提と出典'!$C$36*'契約別単価'!H5+'前提と出典'!$C$37*'契約別単価'!H6+'前提と出典'!$C$38*'契約別単価'!H7)</ns0:f>
        <ns0:v>425535.44931360707</ns0:v>
      </ns0:c>
      <ns0:c r="I620" s="16">
        <ns0:f>A620*('前提と出典'!$C$36*'契約別単価'!I5+'前提と出典'!$C$37*'契約別単価'!I6+'前提と出典'!$C$38*'契約別単価'!I7)</ns0:f>
        <ns0:v>25992.446927374298</ns0:v>
      </ns0:c>
      <ns0:c r="J620" s="16">
        <ns0:f>A620*('前提と出典'!$C$36*'契約別単価'!J5+'前提と出典'!$C$37*'契約別単価'!J6+'前提と出典'!$C$38*'契約別単価'!J7)</ns0:f>
        <ns0:v>60546.35892554638</ns0:v>
      </ns0:c>
      <ns0:c r="K620" s="16">
        <ns0:f>A620*('前提と出典'!$C$36*'契約別単価'!K5+'前提と出典'!$C$37*'契約別単価'!K6+'前提と出典'!$C$38*'契約別単価'!K7)</ns0:f>
        <ns0:v>259522.97951582866</ns0:v>
      </ns0:c>
      <ns0:c r="L620" s="16">
        <ns0:f>A620*('前提と出典'!$C$36*'契約別単価'!L5+'前提と出典'!$C$37*'契約別単価'!L6+'前提と出典'!$C$38*'契約別単価'!L7)</ns0:f>
        <ns0:v>211304.51497712024</ns0:v>
      </ns0:c>
      <ns0:c r="M620" s="16">
        <ns0:f>IF(('前提と出典'!$C$36+'前提と出典'!$C$38)=0,0,IF(B620&lt;=10,'前提と出典'!B73+'前提と出典'!C73,IF(B620&lt;=100,'前提と出典'!B74+'前提と出典'!C74,IF(B620&lt;=500,'前提と出典'!B75+'前提と出典'!C75,'前提と出典'!B76+'前提と出典'!C76))))</ns0:f>
        <ns0:v>40000</ns0:v>
      </ns0:c>
      <ns0:c r="N620" s="16">
        <ns0:f>IF(('前提と出典'!$C$37+'前提と出典'!$C$38)=0,0,IF(C620&lt;=10,'前提と出典'!D73+'前提と出典'!E73,IF(C620&lt;=100,'前提と出典'!D74+'前提と出典'!E74,IF(C620&lt;=500,'前提と出典'!D75+'前提と出典'!E75,'前提と出典'!D76+'前提と出典'!E76))))</ns0:f>
        <ns0:v>56510.9346263078</ns0:v>
      </ns0:c>
      <ns0:c r="O620" s="16">
        <ns0:f>IF('前提と出典'!$C$36+'前提と出典'!$C$38=0,0,'前提と出典'!$B$4*IF('前提と出典'!$B$20=0,MAX('前提と出典'!$B$6,D620*'前提と出典'!$B$5),'前提と出典'!$B$6+D620*'前提と出典'!$B$5))</ns0:f>
        <ns0:v>611677.6759776537</ns0:v>
      </ns0:c>
      <ns0:c r="P620" s="16">
        <ns0:f>(E620+G620)*(1-'前提と出典'!$B$7)-I620-K620-M620-O620</ns0:f>
        <ns0:v>1737613.3030760125</ns0:v>
      </ns0:c>
      <ns0:c r="Q620" s="16">
        <ns0:f>(F620+H620)*(1-'前提と出典'!$B$7)-J620-L620-N620</ns0:f>
        <ns0:v>515623.32701792254</ns0:v>
      </ns0:c>
      <ns0:c r="R620" s="16">
        <ns0:f>P620-E620*'前提と出典'!$E$4</ns0:f>
        <ns0:v>1273049.5868610917</ns0:v>
      </ns0:c>
      <ns0:c r="S620" s="16">
        <ns0:f>Q620-F620*'前提と出典'!$E$4</ns0:f>
        <ns0:v>380632.9860194018</ns0:v>
      </ns0:c>
      <ns0:c r="T620" s="7">
        <ns0:f>R620+S620</ns0:f>
        <ns0:v>1653682.5728804935</ns0:v>
      </ns0:c>
      <ns0:c r="U620" s="16">
        <ns0:f>P620-E620*'前提と出典'!$E$5</ns0:f>
        <ns0:v>1118195.0147894514</ns0:v>
      </ns0:c>
      <ns0:c r="V620" s="16">
        <ns0:f>Q620-F620*'前提と出典'!$E$5</ns0:f>
        <ns0:v>335636.20568656165</ns0:v>
      </ns0:c>
      <ns0:c r="W620" s="7">
        <ns0:f>U620+V620</ns0:f>
        <ns0:v>1453831.2204760131</ns0:v>
      </ns0:c>
      <ns0:c r="X620" s="16">
        <ns0:f>P620-E620*'前提と出典'!$E$6</ns0:f>
        <ns0:v>963340.4427178112</ns0:v>
      </ns0:c>
      <ns0:c r="Y620" s="16">
        <ns0:f>Q620-F620*'前提と出典'!$E$6</ns0:f>
        <ns0:v>290639.4253537215</ns0:v>
      </ns0:c>
      <ns0:c r="Z620" s="7">
        <ns0:f>X620+Y620</ns0:f>
        <ns0:v>1253979.8680715328</ns0:v>
      </ns0:c>
      <ns0:c r="AA620" s="7">
        <ns0:f>IF(T620&gt;=0,A620,1001)</ns0:f>
        <ns0:v>616</ns0:v>
      </ns0:c>
      <ns0:c r="AB620" s="7">
        <ns0:f>IF(T620&lt;0,A620,0)</ns0:f>
        <ns0:v>0</ns0:v>
      </ns0:c>
      <ns0:c r="AC620" s="16">
        <ns0:f>IF(AND(OR('前提と出典'!$C$36+'前提と出典'!$C$38=0,R620&gt;=0),OR('前提と出典'!$C$37+'前提と出典'!$C$38=0,S620&gt;=0)),0,A620)</ns0:f>
        <ns0:v>0</ns0:v>
      </ns0:c>
      <ns0:c r="AD620" s="7">
        <ns0:f>IF(W620&gt;=0,A620,1001)</ns0:f>
        <ns0:v>616</ns0:v>
      </ns0:c>
      <ns0:c r="AE620" s="7">
        <ns0:f>IF(W620&lt;0,A620,0)</ns0:f>
        <ns0:v>0</ns0:v>
      </ns0:c>
      <ns0:c r="AF620" s="16">
        <ns0:f>IF(AND(OR('前提と出典'!$C$36+'前提と出典'!$C$38=0,U620&gt;=0),OR('前提と出典'!$C$37+'前提と出典'!$C$38=0,V620&gt;=0)),0,A620)</ns0:f>
        <ns0:v>0</ns0:v>
      </ns0:c>
      <ns0:c r="AG620" s="7">
        <ns0:f>IF(Z620&gt;=0,A620,1001)</ns0:f>
        <ns0:v>616</ns0:v>
      </ns0:c>
      <ns0:c r="AH620" s="4">
        <ns0:f>IF(Z620&lt;0,A620,0)</ns0:f>
        <ns0:v>0</ns0:v>
      </ns0:c>
      <ns0:c r="AI620" s="12">
        <ns0:f>IF(AND(OR('前提と出典'!$C$36+'前提と出典'!$C$38=0,X620&gt;=0),OR('前提と出典'!$C$37+'前提と出典'!$C$38=0,Y620&gt;=0)),0,A620)</ns0:f>
        <ns0:v>0</ns0:v>
      </ns0:c>
    </ns0:row>
    <ns0:row r="621" ht="24" customHeight="1">
      <ns0:c r="A621" s="4" t="n">
        <ns0:v>617</ns0:v>
      </ns0:c>
      <ns0:c r="B621" s="12">
        <ns0:f>A621*('前提と出典'!$C$36+'前提と出典'!$C$38)</ns0:f>
        <ns0:v>431.9</ns0:v>
      </ns0:c>
      <ns0:c r="C621" s="12">
        <ns0:f>A621*('前提と出典'!$C$37+'前提と出典'!$C$38)</ns0:f>
        <ns0:v>370.2</ns0:v>
      </ns0:c>
      <ns0:c r="D621" s="16">
        <ns0:f>A621*('前提と出典'!$C$36*'契約別単価'!C5+'前提と出典'!$C$37*'契約別単価'!C6+'前提と出典'!$C$38*'契約別単価'!C7)</ns0:f>
        <ns0:v>4439.6424581005585</ns0:v>
      </ns0:c>
      <ns0:c r="E621" s="16">
        <ns0:f>A621*('前提と出典'!$C$36*'契約別単価'!E5+'前提と出典'!$C$37*'契約別単価'!E6+'前提と出典'!$C$38*'契約別単価'!E7)</ns0:f>
        <ns0:v>1551059.5936396434</ns0:v>
      </ns0:c>
      <ns0:c r="F621" s="16">
        <ns0:f>A621*('前提と出典'!$C$36*'契約別単価'!F5+'前提と出典'!$C$37*'契約別単価'!F6+'前提と出典'!$C$38*'契約別単価'!F7)</ns0:f>
        <ns0:v>450698.2705415977</ns0:v>
      </ns0:c>
      <ns0:c r="G621" s="16">
        <ns0:f>A621*('前提と出典'!$C$36*'契約別単価'!G5+'前提と出典'!$C$37*'契約別単価'!G6+'前提と出典'!$C$38*'契約別単価'!G7)</ns0:f>
        <ns0:v>1228140.223463687</ns0:v>
      </ns0:c>
      <ns0:c r="H621" s="16">
        <ns0:f>A621*('前提と出典'!$C$36*'契約別単価'!H5+'前提と出典'!$C$37*'契約別単価'!H6+'前提と出典'!$C$38*'契約別単価'!H7)</ns0:f>
        <ns0:v>426226.25361444085</ns0:v>
      </ns0:c>
      <ns0:c r="I621" s="16">
        <ns0:f>A621*('前提と出典'!$C$36*'契約別単価'!I5+'前提と出典'!$C$37*'契約別単価'!I6+'前提と出典'!$C$38*'契約別単価'!I7)</ns0:f>
        <ns0:v>26034.642458100556</ns0:v>
      </ns0:c>
      <ns0:c r="J621" s="16">
        <ns0:f>A621*('前提と出典'!$C$36*'契約別単価'!J5+'前提と出典'!$C$37*'契約別単価'!J6+'前提と出典'!$C$38*'契約別単価'!J7)</ns0:f>
        <ns0:v>60644.64846925668</ns0:v>
      </ns0:c>
      <ns0:c r="K621" s="16">
        <ns0:f>A621*('前提と出典'!$C$36*'契約別単価'!K5+'前提と出典'!$C$37*'契約別単価'!K6+'前提と出典'!$C$38*'契約別単価'!K7)</ns0:f>
        <ns0:v>259944.2830540037</ns0:v>
      </ns0:c>
      <ns0:c r="L621" s="16">
        <ns0:f>A621*('前提と出典'!$C$36*'契約別単価'!L5+'前提と出典'!$C$37*'契約別単価'!L6+'前提と出典'!$C$38*'契約別単価'!L7)</ns0:f>
        <ns0:v>211647.54178714802</ns0:v>
      </ns0:c>
      <ns0:c r="M621" s="16">
        <ns0:f>IF(('前提と出典'!$C$36+'前提と出典'!$C$38)=0,0,IF(B621&lt;=10,'前提と出典'!B73+'前提と出典'!C73,IF(B621&lt;=100,'前提と出典'!B74+'前提と出典'!C74,IF(B621&lt;=500,'前提と出典'!B75+'前提と出典'!C75,'前提と出典'!B76+'前提と出典'!C76))))</ns0:f>
        <ns0:v>40000</ns0:v>
      </ns0:c>
      <ns0:c r="N621" s="16">
        <ns0:f>IF(('前提と出典'!$C$37+'前提と出典'!$C$38)=0,0,IF(C621&lt;=10,'前提と出典'!D73+'前提と出典'!E73,IF(C621&lt;=100,'前提と出典'!D74+'前提と出典'!E74,IF(C621&lt;=500,'前提と出典'!D75+'前提と出典'!E75,'前提と出典'!D76+'前提と出典'!E76))))</ns0:f>
        <ns0:v>56510.9346263078</ns0:v>
      </ns0:c>
      <ns0:c r="O621" s="16">
        <ns0:f>IF('前提と出典'!$C$36+'前提と出典'!$C$38=0,0,'前提と出典'!$B$4*IF('前提と出典'!$B$20=0,MAX('前提と出典'!$B$6,D621*'前提と出典'!$B$5),'前提と出典'!$B$6+D621*'前提と出典'!$B$5))</ns0:f>
        <ns0:v>612670.6592178771</ns0:v>
      </ns0:c>
      <ns0:c r="P621" s="16">
        <ns0:f>(E621+G621)*(1-'前提と出典'!$B$7)-I621-K621-M621-O621</ns0:f>
        <ns0:v>1740499.0389576294</ns0:v>
      </ns0:c>
      <ns0:c r="Q621" s="16">
        <ns0:f>(F621+H621)*(1-'前提と出典'!$B$7)-J621-L621-N621</ns0:f>
        <ns0:v>516552.1164037087</ns0:v>
      </ns0:c>
      <ns0:c r="R621" s="16">
        <ns0:f>P621-E621*'前提と出典'!$E$4</ns0:f>
        <ns0:v>1275181.1608657362</ns0:v>
      </ns0:c>
      <ns0:c r="S621" s="16">
        <ns0:f>Q621-F621*'前提と出典'!$E$4</ns0:f>
        <ns0:v>381342.63524122944</ns0:v>
      </ns0:c>
      <ns0:c r="T621" s="7">
        <ns0:f>R621+S621</ns0:f>
        <ns0:v>1656523.7961069657</ns0:v>
      </ns0:c>
      <ns0:c r="U621" s="16">
        <ns0:f>P621-E621*'前提と出典'!$E$5</ns0:f>
        <ns0:v>1120075.2015017718</ns0:v>
      </ns0:c>
      <ns0:c r="V621" s="16">
        <ns0:f>Q621-F621*'前提と出典'!$E$5</ns0:f>
        <ns0:v>336272.8081870696</ns0:v>
      </ns0:c>
      <ns0:c r="W621" s="7">
        <ns0:f>U621+V621</ns0:f>
        <ns0:v>1456348.0096888414</ns0:v>
      </ns0:c>
      <ns0:c r="X621" s="16">
        <ns0:f>P621-E621*'前提と出典'!$E$6</ns0:f>
        <ns0:v>964969.2421378077</ns0:v>
      </ns0:c>
      <ns0:c r="Y621" s="16">
        <ns0:f>Q621-F621*'前提と出典'!$E$6</ns0:f>
        <ns0:v>291202.9811329099</ns0:v>
      </ns0:c>
      <ns0:c r="Z621" s="7">
        <ns0:f>X621+Y621</ns0:f>
        <ns0:v>1256172.2232707175</ns0:v>
      </ns0:c>
      <ns0:c r="AA621" s="7">
        <ns0:f>IF(T621&gt;=0,A621,1001)</ns0:f>
        <ns0:v>617</ns0:v>
      </ns0:c>
      <ns0:c r="AB621" s="7">
        <ns0:f>IF(T621&lt;0,A621,0)</ns0:f>
        <ns0:v>0</ns0:v>
      </ns0:c>
      <ns0:c r="AC621" s="16">
        <ns0:f>IF(AND(OR('前提と出典'!$C$36+'前提と出典'!$C$38=0,R621&gt;=0),OR('前提と出典'!$C$37+'前提と出典'!$C$38=0,S621&gt;=0)),0,A621)</ns0:f>
        <ns0:v>0</ns0:v>
      </ns0:c>
      <ns0:c r="AD621" s="7">
        <ns0:f>IF(W621&gt;=0,A621,1001)</ns0:f>
        <ns0:v>617</ns0:v>
      </ns0:c>
      <ns0:c r="AE621" s="7">
        <ns0:f>IF(W621&lt;0,A621,0)</ns0:f>
        <ns0:v>0</ns0:v>
      </ns0:c>
      <ns0:c r="AF621" s="16">
        <ns0:f>IF(AND(OR('前提と出典'!$C$36+'前提と出典'!$C$38=0,U621&gt;=0),OR('前提と出典'!$C$37+'前提と出典'!$C$38=0,V621&gt;=0)),0,A621)</ns0:f>
        <ns0:v>0</ns0:v>
      </ns0:c>
      <ns0:c r="AG621" s="7">
        <ns0:f>IF(Z621&gt;=0,A621,1001)</ns0:f>
        <ns0:v>617</ns0:v>
      </ns0:c>
      <ns0:c r="AH621" s="4">
        <ns0:f>IF(Z621&lt;0,A621,0)</ns0:f>
        <ns0:v>0</ns0:v>
      </ns0:c>
      <ns0:c r="AI621" s="12">
        <ns0:f>IF(AND(OR('前提と出典'!$C$36+'前提と出典'!$C$38=0,X621&gt;=0),OR('前提と出典'!$C$37+'前提と出典'!$C$38=0,Y621&gt;=0)),0,A621)</ns0:f>
        <ns0:v>0</ns0:v>
      </ns0:c>
    </ns0:row>
    <ns0:row r="622" ht="24" customHeight="1">
      <ns0:c r="A622" s="4" t="n">
        <ns0:v>618</ns0:v>
      </ns0:c>
      <ns0:c r="B622" s="12">
        <ns0:f>A622*('前提と出典'!$C$36+'前提と出典'!$C$38)</ns0:f>
        <ns0:v>432.59999999999997</ns0:v>
      </ns0:c>
      <ns0:c r="C622" s="12">
        <ns0:f>A622*('前提と出典'!$C$37+'前提と出典'!$C$38)</ns0:f>
        <ns0:v>370.8</ns0:v>
      </ns0:c>
      <ns0:c r="D622" s="16">
        <ns0:f>A622*('前提と出典'!$C$36*'契約別単価'!C5+'前提と出典'!$C$37*'契約別単価'!C6+'前提と出典'!$C$38*'契約別単価'!C7)</ns0:f>
        <ns0:v>4446.8379888268155</ns0:v>
      </ns0:c>
      <ns0:c r="E622" s="16">
        <ns0:f>A622*('前提と出典'!$C$36*'契約別単価'!E5+'前提と出典'!$C$37*'契約別単価'!E6+'前提と出典'!$C$38*'契約別単価'!E7)</ns0:f>
        <ns0:v>1553573.4665628844</ns0:v>
      </ns0:c>
      <ns0:c r="F622" s="16">
        <ns0:f>A622*('前提と出典'!$C$36*'契約別単価'!F5+'前提と出典'!$C$37*'契約別単価'!F6+'前提と出典'!$C$38*'契約別単価'!F7)</ns0:f>
        <ns0:v>451428.73775479314</ns0:v>
      </ns0:c>
      <ns0:c r="G622" s="16">
        <ns0:f>A622*('前提と出典'!$C$36*'契約別単価'!G5+'前提と出典'!$C$37*'契約別単価'!G6+'前提と出典'!$C$38*'契約別単価'!G7)</ns0:f>
        <ns0:v>1230130.7262569831</ns0:v>
      </ns0:c>
      <ns0:c r="H622" s="16">
        <ns0:f>A622*('前提と出典'!$C$36*'契約別単価'!H5+'前提と出典'!$C$37*'契約別単価'!H6+'前提と出典'!$C$38*'契約別単価'!H7)</ns0:f>
        <ns0:v>426917.05791527464</ns0:v>
      </ns0:c>
      <ns0:c r="I622" s="16">
        <ns0:f>A622*('前提と出典'!$C$36*'契約別単価'!I5+'前提と出典'!$C$37*'契約別単価'!I6+'前提と出典'!$C$38*'契約別単価'!I7)</ns0:f>
        <ns0:v>26076.83798882681</ns0:v>
      </ns0:c>
      <ns0:c r="J622" s="16">
        <ns0:f>A622*('前提と出典'!$C$36*'契約別単価'!J5+'前提と出典'!$C$37*'契約別単価'!J6+'前提と出典'!$C$38*'契約別単価'!J7)</ns0:f>
        <ns0:v>60742.93801296699</ns0:v>
      </ns0:c>
      <ns0:c r="K622" s="16">
        <ns0:f>A622*('前提と出典'!$C$36*'契約別単価'!K5+'前提と出典'!$C$37*'契約別単価'!K6+'前提と出典'!$C$38*'契約別単価'!K7)</ns0:f>
        <ns0:v>260365.58659217876</ns0:v>
      </ns0:c>
      <ns0:c r="L622" s="16">
        <ns0:f>A622*('前提と出典'!$C$36*'契約別単価'!L5+'前提と出典'!$C$37*'契約別単価'!L6+'前提と出典'!$C$38*'契約別単価'!L7)</ns0:f>
        <ns0:v>211990.56859717582</ns0:v>
      </ns0:c>
      <ns0:c r="M622" s="16">
        <ns0:f>IF(('前提と出典'!$C$36+'前提と出典'!$C$38)=0,0,IF(B622&lt;=10,'前提と出典'!B73+'前提と出典'!C73,IF(B622&lt;=100,'前提と出典'!B74+'前提と出典'!C74,IF(B622&lt;=500,'前提と出典'!B75+'前提と出典'!C75,'前提と出典'!B76+'前提と出典'!C76))))</ns0:f>
        <ns0:v>40000</ns0:v>
      </ns0:c>
      <ns0:c r="N622" s="16">
        <ns0:f>IF(('前提と出典'!$C$37+'前提と出典'!$C$38)=0,0,IF(C622&lt;=10,'前提と出典'!D73+'前提と出典'!E73,IF(C622&lt;=100,'前提と出典'!D74+'前提と出典'!E74,IF(C622&lt;=500,'前提と出典'!D75+'前提と出典'!E75,'前提と出典'!D76+'前提と出典'!E76))))</ns0:f>
        <ns0:v>56510.9346263078</ns0:v>
      </ns0:c>
      <ns0:c r="O622" s="16">
        <ns0:f>IF('前提と出典'!$C$36+'前提と出典'!$C$38=0,0,'前提と出典'!$B$4*IF('前提と出典'!$B$20=0,MAX('前提と出典'!$B$6,D622*'前提と出典'!$B$5),'前提と出典'!$B$6+D622*'前提と出典'!$B$5))</ns0:f>
        <ns0:v>613663.6424581006</ns0:v>
      </ns0:c>
      <ns0:c r="P622" s="16">
        <ns0:f>(E622+G622)*(1-'前提と出典'!$B$7)-I622-K622-M622-O622</ns0:f>
        <ns0:v>1743384.7748392457</ns0:v>
      </ns0:c>
      <ns0:c r="Q622" s="16">
        <ns0:f>(F622+H622)*(1-'前提と出典'!$B$7)-J622-L622-N622</ns0:f>
        <ns0:v>517480.90578949463</ns0:v>
      </ns0:c>
      <ns0:c r="R622" s="16">
        <ns0:f>P622-E622*'前提と出典'!$E$4</ns0:f>
        <ns0:v>1277312.7348703805</ns0:v>
      </ns0:c>
      <ns0:c r="S622" s="16">
        <ns0:f>Q622-F622*'前提と出典'!$E$4</ns0:f>
        <ns0:v>382052.28446305677</ns0:v>
      </ns0:c>
      <ns0:c r="T622" s="7">
        <ns0:f>R622+S622</ns0:f>
        <ns0:v>1659365.0193334373</ns0:v>
      </ns0:c>
      <ns0:c r="U622" s="16">
        <ns0:f>P622-E622*'前提と出典'!$E$5</ns0:f>
        <ns0:v>1121955.3882140918</ns0:v>
      </ns0:c>
      <ns0:c r="V622" s="16">
        <ns0:f>Q622-F622*'前提と出典'!$E$5</ns0:f>
        <ns0:v>336909.4106875774</ns0:v>
      </ns0:c>
      <ns0:c r="W622" s="7">
        <ns0:f>U622+V622</ns0:f>
        <ns0:v>1458864.7989016692</ns0:v>
      </ns0:c>
      <ns0:c r="X622" s="16">
        <ns0:f>P622-E622*'前提と出典'!$E$6</ns0:f>
        <ns0:v>966598.0415578035</ns0:v>
      </ns0:c>
      <ns0:c r="Y622" s="16">
        <ns0:f>Q622-F622*'前提と出典'!$E$6</ns0:f>
        <ns0:v>291766.5369120981</ns0:v>
      </ns0:c>
      <ns0:c r="Z622" s="7">
        <ns0:f>X622+Y622</ns0:f>
        <ns0:v>1258364.5784699016</ns0:v>
      </ns0:c>
      <ns0:c r="AA622" s="7">
        <ns0:f>IF(T622&gt;=0,A622,1001)</ns0:f>
        <ns0:v>618</ns0:v>
      </ns0:c>
      <ns0:c r="AB622" s="7">
        <ns0:f>IF(T622&lt;0,A622,0)</ns0:f>
        <ns0:v>0</ns0:v>
      </ns0:c>
      <ns0:c r="AC622" s="16">
        <ns0:f>IF(AND(OR('前提と出典'!$C$36+'前提と出典'!$C$38=0,R622&gt;=0),OR('前提と出典'!$C$37+'前提と出典'!$C$38=0,S622&gt;=0)),0,A622)</ns0:f>
        <ns0:v>0</ns0:v>
      </ns0:c>
      <ns0:c r="AD622" s="7">
        <ns0:f>IF(W622&gt;=0,A622,1001)</ns0:f>
        <ns0:v>618</ns0:v>
      </ns0:c>
      <ns0:c r="AE622" s="7">
        <ns0:f>IF(W622&lt;0,A622,0)</ns0:f>
        <ns0:v>0</ns0:v>
      </ns0:c>
      <ns0:c r="AF622" s="16">
        <ns0:f>IF(AND(OR('前提と出典'!$C$36+'前提と出典'!$C$38=0,U622&gt;=0),OR('前提と出典'!$C$37+'前提と出典'!$C$38=0,V622&gt;=0)),0,A622)</ns0:f>
        <ns0:v>0</ns0:v>
      </ns0:c>
      <ns0:c r="AG622" s="7">
        <ns0:f>IF(Z622&gt;=0,A622,1001)</ns0:f>
        <ns0:v>618</ns0:v>
      </ns0:c>
      <ns0:c r="AH622" s="4">
        <ns0:f>IF(Z622&lt;0,A622,0)</ns0:f>
        <ns0:v>0</ns0:v>
      </ns0:c>
      <ns0:c r="AI622" s="12">
        <ns0:f>IF(AND(OR('前提と出典'!$C$36+'前提と出典'!$C$38=0,X622&gt;=0),OR('前提と出典'!$C$37+'前提と出典'!$C$38=0,Y622&gt;=0)),0,A622)</ns0:f>
        <ns0:v>0</ns0:v>
      </ns0:c>
    </ns0:row>
    <ns0:row r="623" ht="24" customHeight="1">
      <ns0:c r="A623" s="4" t="n">
        <ns0:v>619</ns0:v>
      </ns0:c>
      <ns0:c r="B623" s="12">
        <ns0:f>A623*('前提と出典'!$C$36+'前提と出典'!$C$38)</ns0:f>
        <ns0:v>433.29999999999995</ns0:v>
      </ns0:c>
      <ns0:c r="C623" s="12">
        <ns0:f>A623*('前提と出典'!$C$37+'前提と出典'!$C$38)</ns0:f>
        <ns0:v>371.4</ns0:v>
      </ns0:c>
      <ns0:c r="D623" s="16">
        <ns0:f>A623*('前提と出典'!$C$36*'契約別単価'!C5+'前提と出典'!$C$37*'契約別単価'!C6+'前提と出典'!$C$38*'契約別単価'!C7)</ns0:f>
        <ns0:v>4454.033519553072</ns0:v>
      </ns0:c>
      <ns0:c r="E623" s="16">
        <ns0:f>A623*('前提と出典'!$C$36*'契約別単価'!E5+'前提と出典'!$C$37*'契約別単価'!E6+'前提と出典'!$C$38*'契約別単価'!E7)</ns0:f>
        <ns0:v>1556087.3394861254</ns0:v>
      </ns0:c>
      <ns0:c r="F623" s="16">
        <ns0:f>A623*('前提と出典'!$C$36*'契約別単価'!F5+'前提と出典'!$C$37*'契約別単価'!F6+'前提と出典'!$C$38*'契約別単価'!F7)</ns0:f>
        <ns0:v>452159.2049679886</ns0:v>
      </ns0:c>
      <ns0:c r="G623" s="16">
        <ns0:f>A623*('前提と出典'!$C$36*'契約別単価'!G5+'前提と出典'!$C$37*'契約別単価'!G6+'前提と出典'!$C$38*'契約別単価'!G7)</ns0:f>
        <ns0:v>1232121.2290502794</ns0:v>
      </ns0:c>
      <ns0:c r="H623" s="16">
        <ns0:f>A623*('前提と出典'!$C$36*'契約別単価'!H5+'前提と出典'!$C$37*'契約別単価'!H6+'前提と出典'!$C$38*'契約別単価'!H7)</ns0:f>
        <ns0:v>427607.86221610836</ns0:v>
      </ns0:c>
      <ns0:c r="I623" s="16">
        <ns0:f>A623*('前提と出典'!$C$36*'契約別単価'!I5+'前提と出典'!$C$37*'契約別単価'!I6+'前提と出典'!$C$38*'契約別単価'!I7)</ns0:f>
        <ns0:v>26119.033519553068</ns0:v>
      </ns0:c>
      <ns0:c r="J623" s="16">
        <ns0:f>A623*('前提と出典'!$C$36*'契約別単価'!J5+'前提と出典'!$C$37*'契約別単価'!J6+'前提と出典'!$C$38*'契約別単価'!J7)</ns0:f>
        <ns0:v>60841.22755667729</ns0:v>
      </ns0:c>
      <ns0:c r="K623" s="16">
        <ns0:f>A623*('前提と出典'!$C$36*'契約別単価'!K5+'前提と出典'!$C$37*'契約別単価'!K6+'前提と出典'!$C$38*'契約別単価'!K7)</ns0:f>
        <ns0:v>260786.8901303538</ns0:v>
      </ns0:c>
      <ns0:c r="L623" s="16">
        <ns0:f>A623*('前提と出典'!$C$36*'契約別単価'!L5+'前提と出典'!$C$37*'契約別単価'!L6+'前提と出典'!$C$38*'契約別単価'!L7)</ns0:f>
        <ns0:v>212333.5954072036</ns0:v>
      </ns0:c>
      <ns0:c r="M623" s="16">
        <ns0:f>IF(('前提と出典'!$C$36+'前提と出典'!$C$38)=0,0,IF(B623&lt;=10,'前提と出典'!B73+'前提と出典'!C73,IF(B623&lt;=100,'前提と出典'!B74+'前提と出典'!C74,IF(B623&lt;=500,'前提と出典'!B75+'前提と出典'!C75,'前提と出典'!B76+'前提と出典'!C76))))</ns0:f>
        <ns0:v>40000</ns0:v>
      </ns0:c>
      <ns0:c r="N623" s="16">
        <ns0:f>IF(('前提と出典'!$C$37+'前提と出典'!$C$38)=0,0,IF(C623&lt;=10,'前提と出典'!D73+'前提と出典'!E73,IF(C623&lt;=100,'前提と出典'!D74+'前提と出典'!E74,IF(C623&lt;=500,'前提と出典'!D75+'前提と出典'!E75,'前提と出典'!D76+'前提と出典'!E76))))</ns0:f>
        <ns0:v>56510.9346263078</ns0:v>
      </ns0:c>
      <ns0:c r="O623" s="16">
        <ns0:f>IF('前提と出典'!$C$36+'前提と出典'!$C$38=0,0,'前提と出典'!$B$4*IF('前提と出典'!$B$20=0,MAX('前提と出典'!$B$6,D623*'前提と出典'!$B$5),'前提と出典'!$B$6+D623*'前提と出典'!$B$5))</ns0:f>
        <ns0:v>614656.6256983241</ns0:v>
      </ns0:c>
      <ns0:c r="P623" s="16">
        <ns0:f>(E623+G623)*(1-'前提と出典'!$B$7)-I623-K623-M623-O623</ns0:f>
        <ns0:v>1746270.510720863</ns0:v>
      </ns0:c>
      <ns0:c r="Q623" s="16">
        <ns0:f>(F623+H623)*(1-'前提と出典'!$B$7)-J623-L623-N623</ns0:f>
        <ns0:v>518409.6951752807</ns0:v>
      </ns0:c>
      <ns0:c r="R623" s="16">
        <ns0:f>P623-E623*'前提と出典'!$E$4</ns0:f>
        <ns0:v>1279444.3088750253</ns0:v>
      </ns0:c>
      <ns0:c r="S623" s="16">
        <ns0:f>Q623-F623*'前提と出典'!$E$4</ns0:f>
        <ns0:v>382761.93368488416</ns0:v>
      </ns0:c>
      <ns0:c r="T623" s="7">
        <ns0:f>R623+S623</ns0:f>
        <ns0:v>1662206.2425599094</ns0:v>
      </ns0:c>
      <ns0:c r="U623" s="16">
        <ns0:f>P623-E623*'前提と出典'!$E$5</ns0:f>
        <ns0:v>1123835.5749264127</ns0:v>
      </ns0:c>
      <ns0:c r="V623" s="16">
        <ns0:f>Q623-F623*'前提と出典'!$E$5</ns0:f>
        <ns0:v>337546.0131880852</ns0:v>
      </ns0:c>
      <ns0:c r="W623" s="7">
        <ns0:f>U623+V623</ns0:f>
        <ns0:v>1461381.588114498</ns0:v>
      </ns0:c>
      <ns0:c r="X623" s="16">
        <ns0:f>P623-E623*'前提と出典'!$E$6</ns0:f>
        <ns0:v>968226.8409778003</ns0:v>
      </ns0:c>
      <ns0:c r="Y623" s="16">
        <ns0:f>Q623-F623*'前提と出典'!$E$6</ns0:f>
        <ns0:v>292330.0926912864</ns0:v>
      </ns0:c>
      <ns0:c r="Z623" s="7">
        <ns0:f>X623+Y623</ns0:f>
        <ns0:v>1260556.9336690868</ns0:v>
      </ns0:c>
      <ns0:c r="AA623" s="7">
        <ns0:f>IF(T623&gt;=0,A623,1001)</ns0:f>
        <ns0:v>619</ns0:v>
      </ns0:c>
      <ns0:c r="AB623" s="7">
        <ns0:f>IF(T623&lt;0,A623,0)</ns0:f>
        <ns0:v>0</ns0:v>
      </ns0:c>
      <ns0:c r="AC623" s="16">
        <ns0:f>IF(AND(OR('前提と出典'!$C$36+'前提と出典'!$C$38=0,R623&gt;=0),OR('前提と出典'!$C$37+'前提と出典'!$C$38=0,S623&gt;=0)),0,A623)</ns0:f>
        <ns0:v>0</ns0:v>
      </ns0:c>
      <ns0:c r="AD623" s="7">
        <ns0:f>IF(W623&gt;=0,A623,1001)</ns0:f>
        <ns0:v>619</ns0:v>
      </ns0:c>
      <ns0:c r="AE623" s="7">
        <ns0:f>IF(W623&lt;0,A623,0)</ns0:f>
        <ns0:v>0</ns0:v>
      </ns0:c>
      <ns0:c r="AF623" s="16">
        <ns0:f>IF(AND(OR('前提と出典'!$C$36+'前提と出典'!$C$38=0,U623&gt;=0),OR('前提と出典'!$C$37+'前提と出典'!$C$38=0,V623&gt;=0)),0,A623)</ns0:f>
        <ns0:v>0</ns0:v>
      </ns0:c>
      <ns0:c r="AG623" s="7">
        <ns0:f>IF(Z623&gt;=0,A623,1001)</ns0:f>
        <ns0:v>619</ns0:v>
      </ns0:c>
      <ns0:c r="AH623" s="4">
        <ns0:f>IF(Z623&lt;0,A623,0)</ns0:f>
        <ns0:v>0</ns0:v>
      </ns0:c>
      <ns0:c r="AI623" s="12">
        <ns0:f>IF(AND(OR('前提と出典'!$C$36+'前提と出典'!$C$38=0,X623&gt;=0),OR('前提と出典'!$C$37+'前提と出典'!$C$38=0,Y623&gt;=0)),0,A623)</ns0:f>
        <ns0:v>0</ns0:v>
      </ns0:c>
    </ns0:row>
    <ns0:row r="624" ht="24" customHeight="1">
      <ns0:c r="A624" s="4" t="n">
        <ns0:v>620</ns0:v>
      </ns0:c>
      <ns0:c r="B624" s="12">
        <ns0:f>A624*('前提と出典'!$C$36+'前提と出典'!$C$38)</ns0:f>
        <ns0:v>434</ns0:v>
      </ns0:c>
      <ns0:c r="C624" s="12">
        <ns0:f>A624*('前提と出典'!$C$37+'前提と出典'!$C$38)</ns0:f>
        <ns0:v>372</ns0:v>
      </ns0:c>
      <ns0:c r="D624" s="16">
        <ns0:f>A624*('前提と出典'!$C$36*'契約別単価'!C5+'前提と出典'!$C$37*'契約別単価'!C6+'前提と出典'!$C$38*'契約別単価'!C7)</ns0:f>
        <ns0:v>4461.229050279329</ns0:v>
      </ns0:c>
      <ns0:c r="E624" s="16">
        <ns0:f>A624*('前提と出典'!$C$36*'契約別単価'!E5+'前提と出典'!$C$37*'契約別単価'!E6+'前提と出典'!$C$38*'契約別単価'!E7)</ns0:f>
        <ns0:v>1558601.2124093662</ns0:v>
      </ns0:c>
      <ns0:c r="F624" s="16">
        <ns0:f>A624*('前提と出典'!$C$36*'契約別単価'!F5+'前提と出典'!$C$37*'契約別単価'!F6+'前提と出典'!$C$38*'契約別単価'!F7)</ns0:f>
        <ns0:v>452889.67218118405</ns0:v>
      </ns0:c>
      <ns0:c r="G624" s="16">
        <ns0:f>A624*('前提と出典'!$C$36*'契約別単価'!G5+'前提と出典'!$C$37*'契約別単価'!G6+'前提と出典'!$C$38*'契約別単価'!G7)</ns0:f>
        <ns0:v>1234111.7318435754</ns0:v>
      </ns0:c>
      <ns0:c r="H624" s="16">
        <ns0:f>A624*('前提と出典'!$C$36*'契約別単価'!H5+'前提と出典'!$C$37*'契約別単価'!H6+'前提と出典'!$C$38*'契約別単価'!H7)</ns0:f>
        <ns0:v>428298.66651694215</ns0:v>
      </ns0:c>
      <ns0:c r="I624" s="16">
        <ns0:f>A624*('前提と出典'!$C$36*'契約別単価'!I5+'前提と出典'!$C$37*'契約別単価'!I6+'前提と出典'!$C$38*'契約別単価'!I7)</ns0:f>
        <ns0:v>26161.229050279326</ns0:v>
      </ns0:c>
      <ns0:c r="J624" s="16">
        <ns0:f>A624*('前提と出典'!$C$36*'契約別単価'!J5+'前提と出典'!$C$37*'契約別単価'!J6+'前提と出典'!$C$38*'契約別単価'!J7)</ns0:f>
        <ns0:v>60939.517100387595</ns0:v>
      </ns0:c>
      <ns0:c r="K624" s="16">
        <ns0:f>A624*('前提と出典'!$C$36*'契約別単価'!K5+'前提と出典'!$C$37*'契約別単価'!K6+'前提と出典'!$C$38*'契約別単価'!K7)</ns0:f>
        <ns0:v>261208.19366852884</ns0:v>
      </ns0:c>
      <ns0:c r="L624" s="16">
        <ns0:f>A624*('前提と出典'!$C$36*'契約別単価'!L5+'前提と出典'!$C$37*'契約別単価'!L6+'前提と出典'!$C$38*'契約別単価'!L7)</ns0:f>
        <ns0:v>212676.6222172314</ns0:v>
      </ns0:c>
      <ns0:c r="M624" s="16">
        <ns0:f>IF(('前提と出典'!$C$36+'前提と出典'!$C$38)=0,0,IF(B624&lt;=10,'前提と出典'!B73+'前提と出典'!C73,IF(B624&lt;=100,'前提と出典'!B74+'前提と出典'!C74,IF(B624&lt;=500,'前提と出典'!B75+'前提と出典'!C75,'前提と出典'!B76+'前提と出典'!C76))))</ns0:f>
        <ns0:v>40000</ns0:v>
      </ns0:c>
      <ns0:c r="N624" s="16">
        <ns0:f>IF(('前提と出典'!$C$37+'前提と出典'!$C$38)=0,0,IF(C624&lt;=10,'前提と出典'!D73+'前提と出典'!E73,IF(C624&lt;=100,'前提と出典'!D74+'前提と出典'!E74,IF(C624&lt;=500,'前提と出典'!D75+'前提と出典'!E75,'前提と出典'!D76+'前提と出典'!E76))))</ns0:f>
        <ns0:v>56510.9346263078</ns0:v>
      </ns0:c>
      <ns0:c r="O624" s="16">
        <ns0:f>IF('前提と出典'!$C$36+'前提と出典'!$C$38=0,0,'前提と出典'!$B$4*IF('前提と出典'!$B$20=0,MAX('前提と出典'!$B$6,D624*'前提と出典'!$B$5),'前提と出典'!$B$6+D624*'前提と出典'!$B$5))</ns0:f>
        <ns0:v>615649.6089385475</ns0:v>
      </ns0:c>
      <ns0:c r="P624" s="16">
        <ns0:f>(E624+G624)*(1-'前提と出典'!$B$7)-I624-K624-M624-O624</ns0:f>
        <ns0:v>1749156.2466024798</ns0:v>
      </ns0:c>
      <ns0:c r="Q624" s="16">
        <ns0:f>(F624+H624)*(1-'前提と出典'!$B$7)-J624-L624-N624</ns0:f>
        <ns0:v>519338.4845610667</ns0:v>
      </ns0:c>
      <ns0:c r="R624" s="16">
        <ns0:f>P624-E624*'前提と出典'!$E$4</ns0:f>
        <ns0:v>1281575.8828796705</ns0:v>
      </ns0:c>
      <ns0:c r="S624" s="16">
        <ns0:f>Q624-F624*'前提と出典'!$E$4</ns0:f>
        <ns0:v>383471.5829067115</ns0:v>
      </ns0:c>
      <ns0:c r="T624" s="7">
        <ns0:f>R624+S624</ns0:f>
        <ns0:v>1665047.465786382</ns0:v>
      </ns0:c>
      <ns0:c r="U624" s="16">
        <ns0:f>P624-E624*'前提と出典'!$E$5</ns0:f>
        <ns0:v>1125715.7616387333</ns0:v>
      </ns0:c>
      <ns0:c r="V624" s="16">
        <ns0:f>Q624-F624*'前提と出典'!$E$5</ns0:f>
        <ns0:v>338182.6156885931</ns0:v>
      </ns0:c>
      <ns0:c r="W624" s="7">
        <ns0:f>U624+V624</ns0:f>
        <ns0:v>1463898.3773273265</ns0:v>
      </ns0:c>
      <ns0:c r="X624" s="16">
        <ns0:f>P624-E624*'前提と出典'!$E$6</ns0:f>
        <ns0:v>969855.6403977971</ns0:v>
      </ns0:c>
      <ns0:c r="Y624" s="16">
        <ns0:f>Q624-F624*'前提と出典'!$E$6</ns0:f>
        <ns0:v>292893.64847047476</ns0:v>
      </ns0:c>
      <ns0:c r="Z624" s="7">
        <ns0:f>X624+Y624</ns0:f>
        <ns0:v>1262749.2888682717</ns0:v>
      </ns0:c>
      <ns0:c r="AA624" s="7">
        <ns0:f>IF(T624&gt;=0,A624,1001)</ns0:f>
        <ns0:v>620</ns0:v>
      </ns0:c>
      <ns0:c r="AB624" s="7">
        <ns0:f>IF(T624&lt;0,A624,0)</ns0:f>
        <ns0:v>0</ns0:v>
      </ns0:c>
      <ns0:c r="AC624" s="16">
        <ns0:f>IF(AND(OR('前提と出典'!$C$36+'前提と出典'!$C$38=0,R624&gt;=0),OR('前提と出典'!$C$37+'前提と出典'!$C$38=0,S624&gt;=0)),0,A624)</ns0:f>
        <ns0:v>0</ns0:v>
      </ns0:c>
      <ns0:c r="AD624" s="7">
        <ns0:f>IF(W624&gt;=0,A624,1001)</ns0:f>
        <ns0:v>620</ns0:v>
      </ns0:c>
      <ns0:c r="AE624" s="7">
        <ns0:f>IF(W624&lt;0,A624,0)</ns0:f>
        <ns0:v>0</ns0:v>
      </ns0:c>
      <ns0:c r="AF624" s="16">
        <ns0:f>IF(AND(OR('前提と出典'!$C$36+'前提と出典'!$C$38=0,U624&gt;=0),OR('前提と出典'!$C$37+'前提と出典'!$C$38=0,V624&gt;=0)),0,A624)</ns0:f>
        <ns0:v>0</ns0:v>
      </ns0:c>
      <ns0:c r="AG624" s="7">
        <ns0:f>IF(Z624&gt;=0,A624,1001)</ns0:f>
        <ns0:v>620</ns0:v>
      </ns0:c>
      <ns0:c r="AH624" s="4">
        <ns0:f>IF(Z624&lt;0,A624,0)</ns0:f>
        <ns0:v>0</ns0:v>
      </ns0:c>
      <ns0:c r="AI624" s="12">
        <ns0:f>IF(AND(OR('前提と出典'!$C$36+'前提と出典'!$C$38=0,X624&gt;=0),OR('前提と出典'!$C$37+'前提と出典'!$C$38=0,Y624&gt;=0)),0,A624)</ns0:f>
        <ns0:v>0</ns0:v>
      </ns0:c>
    </ns0:row>
    <ns0:row r="625" ht="24" customHeight="1">
      <ns0:c r="A625" s="4" t="n">
        <ns0:v>621</ns0:v>
      </ns0:c>
      <ns0:c r="B625" s="12">
        <ns0:f>A625*('前提と出典'!$C$36+'前提と出典'!$C$38)</ns0:f>
        <ns0:v>434.7</ns0:v>
      </ns0:c>
      <ns0:c r="C625" s="12">
        <ns0:f>A625*('前提と出典'!$C$37+'前提と出典'!$C$38)</ns0:f>
        <ns0:v>372.59999999999997</ns0:v>
      </ns0:c>
      <ns0:c r="D625" s="16">
        <ns0:f>A625*('前提と出典'!$C$36*'契約別単価'!C5+'前提と出典'!$C$37*'契約別単価'!C6+'前提と出典'!$C$38*'契約別単価'!C7)</ns0:f>
        <ns0:v>4468.424581005586</ns0:v>
      </ns0:c>
      <ns0:c r="E625" s="16">
        <ns0:f>A625*('前提と出典'!$C$36*'契約別単価'!E5+'前提と出典'!$C$37*'契約別単価'!E6+'前提と出典'!$C$38*'契約別単価'!E7)</ns0:f>
        <ns0:v>1561115.0853326072</ns0:v>
      </ns0:c>
      <ns0:c r="F625" s="16">
        <ns0:f>A625*('前提と出典'!$C$36*'契約別単価'!F5+'前提と出典'!$C$37*'契約別単価'!F6+'前提と出典'!$C$38*'契約別単価'!F7)</ns0:f>
        <ns0:v>453620.1393943795</ns0:v>
      </ns0:c>
      <ns0:c r="G625" s="16">
        <ns0:f>A625*('前提と出典'!$C$36*'契約別単価'!G5+'前提と出典'!$C$37*'契約別単価'!G6+'前提と出典'!$C$38*'契約別単価'!G7)</ns0:f>
        <ns0:v>1236102.2346368714</ns0:v>
      </ns0:c>
      <ns0:c r="H625" s="16">
        <ns0:f>A625*('前提と出典'!$C$36*'契約別単価'!H5+'前提と出典'!$C$37*'契約別単価'!H6+'前提と出典'!$C$38*'契約別単価'!H7)</ns0:f>
        <ns0:v>428989.47081777593</ns0:v>
      </ns0:c>
      <ns0:c r="I625" s="16">
        <ns0:f>A625*('前提と出典'!$C$36*'契約別単価'!I5+'前提と出典'!$C$37*'契約別単価'!I6+'前提と出典'!$C$38*'契約別単価'!I7)</ns0:f>
        <ns0:v>26203.424581005584</ns0:v>
      </ns0:c>
      <ns0:c r="J625" s="16">
        <ns0:f>A625*('前提と出典'!$C$36*'契約別単価'!J5+'前提と出典'!$C$37*'契約別単価'!J6+'前提と出典'!$C$38*'契約別単価'!J7)</ns0:f>
        <ns0:v>61037.806644097895</ns0:v>
      </ns0:c>
      <ns0:c r="K625" s="16">
        <ns0:f>A625*('前提と出典'!$C$36*'契約別単価'!K5+'前提と出典'!$C$37*'契約別単価'!K6+'前提と出典'!$C$38*'契約別単価'!K7)</ns0:f>
        <ns0:v>261629.4972067039</ns0:v>
      </ns0:c>
      <ns0:c r="L625" s="16">
        <ns0:f>A625*('前提と出典'!$C$36*'契約別単価'!L5+'前提と出典'!$C$37*'契約別単価'!L6+'前提と出典'!$C$38*'契約別単価'!L7)</ns0:f>
        <ns0:v>213019.6490272592</ns0:v>
      </ns0:c>
      <ns0:c r="M625" s="16">
        <ns0:f>IF(('前提と出典'!$C$36+'前提と出典'!$C$38)=0,0,IF(B625&lt;=10,'前提と出典'!B73+'前提と出典'!C73,IF(B625&lt;=100,'前提と出典'!B74+'前提と出典'!C74,IF(B625&lt;=500,'前提と出典'!B75+'前提と出典'!C75,'前提と出典'!B76+'前提と出典'!C76))))</ns0:f>
        <ns0:v>40000</ns0:v>
      </ns0:c>
      <ns0:c r="N625" s="16">
        <ns0:f>IF(('前提と出典'!$C$37+'前提と出典'!$C$38)=0,0,IF(C625&lt;=10,'前提と出典'!D73+'前提と出典'!E73,IF(C625&lt;=100,'前提と出典'!D74+'前提と出典'!E74,IF(C625&lt;=500,'前提と出典'!D75+'前提と出典'!E75,'前提と出典'!D76+'前提と出典'!E76))))</ns0:f>
        <ns0:v>56510.9346263078</ns0:v>
      </ns0:c>
      <ns0:c r="O625" s="16">
        <ns0:f>IF('前提と出典'!$C$36+'前提と出典'!$C$38=0,0,'前提と出典'!$B$4*IF('前提と出典'!$B$20=0,MAX('前提と出典'!$B$6,D625*'前提と出典'!$B$5),'前提と出典'!$B$6+D625*'前提と出典'!$B$5))</ns0:f>
        <ns0:v>616642.5921787709</ns0:v>
      </ns0:c>
      <ns0:c r="P625" s="16">
        <ns0:f>(E625+G625)*(1-'前提と出典'!$B$7)-I625-K625-M625-O625</ns0:f>
        <ns0:v>1752041.9824840974</ns0:v>
      </ns0:c>
      <ns0:c r="Q625" s="16">
        <ns0:f>(F625+H625)*(1-'前提と出典'!$B$7)-J625-L625-N625</ns0:f>
        <ns0:v>520267.2739468529</ns0:v>
      </ns0:c>
      <ns0:c r="R625" s="16">
        <ns0:f>P625-E625*'前提と出典'!$E$4</ns0:f>
        <ns0:v>1283707.4568843148</ns0:v>
      </ns0:c>
      <ns0:c r="S625" s="16">
        <ns0:f>Q625-F625*'前提と出典'!$E$4</ns0:f>
        <ns0:v>384181.232128539</ns0:v>
      </ns0:c>
      <ns0:c r="T625" s="7">
        <ns0:f>R625+S625</ns0:f>
        <ns0:v>1667888.689012854</ns0:v>
      </ns0:c>
      <ns0:c r="U625" s="16">
        <ns0:f>P625-E625*'前提と出典'!$E$5</ns0:f>
        <ns0:v>1127595.9483510545</ns0:v>
      </ns0:c>
      <ns0:c r="V625" s="16">
        <ns0:f>Q625-F625*'前提と出典'!$E$5</ns0:f>
        <ns0:v>338819.2181891011</ns0:v>
      </ns0:c>
      <ns0:c r="W625" s="7">
        <ns0:f>U625+V625</ns0:f>
        <ns0:v>1466415.1665401557</ns0:v>
      </ns0:c>
      <ns0:c r="X625" s="16">
        <ns0:f>P625-E625*'前提と出典'!$E$6</ns0:f>
        <ns0:v>971484.4398177936</ns0:v>
      </ns0:c>
      <ns0:c r="Y625" s="16">
        <ns0:f>Q625-F625*'前提と出典'!$E$6</ns0:f>
        <ns0:v>293457.20424966316</ns0:v>
      </ns0:c>
      <ns0:c r="Z625" s="7">
        <ns0:f>X625+Y625</ns0:f>
        <ns0:v>1264941.6440674567</ns0:v>
      </ns0:c>
      <ns0:c r="AA625" s="7">
        <ns0:f>IF(T625&gt;=0,A625,1001)</ns0:f>
        <ns0:v>621</ns0:v>
      </ns0:c>
      <ns0:c r="AB625" s="7">
        <ns0:f>IF(T625&lt;0,A625,0)</ns0:f>
        <ns0:v>0</ns0:v>
      </ns0:c>
      <ns0:c r="AC625" s="16">
        <ns0:f>IF(AND(OR('前提と出典'!$C$36+'前提と出典'!$C$38=0,R625&gt;=0),OR('前提と出典'!$C$37+'前提と出典'!$C$38=0,S625&gt;=0)),0,A625)</ns0:f>
        <ns0:v>0</ns0:v>
      </ns0:c>
      <ns0:c r="AD625" s="7">
        <ns0:f>IF(W625&gt;=0,A625,1001)</ns0:f>
        <ns0:v>621</ns0:v>
      </ns0:c>
      <ns0:c r="AE625" s="7">
        <ns0:f>IF(W625&lt;0,A625,0)</ns0:f>
        <ns0:v>0</ns0:v>
      </ns0:c>
      <ns0:c r="AF625" s="16">
        <ns0:f>IF(AND(OR('前提と出典'!$C$36+'前提と出典'!$C$38=0,U625&gt;=0),OR('前提と出典'!$C$37+'前提と出典'!$C$38=0,V625&gt;=0)),0,A625)</ns0:f>
        <ns0:v>0</ns0:v>
      </ns0:c>
      <ns0:c r="AG625" s="7">
        <ns0:f>IF(Z625&gt;=0,A625,1001)</ns0:f>
        <ns0:v>621</ns0:v>
      </ns0:c>
      <ns0:c r="AH625" s="4">
        <ns0:f>IF(Z625&lt;0,A625,0)</ns0:f>
        <ns0:v>0</ns0:v>
      </ns0:c>
      <ns0:c r="AI625" s="12">
        <ns0:f>IF(AND(OR('前提と出典'!$C$36+'前提と出典'!$C$38=0,X625&gt;=0),OR('前提と出典'!$C$37+'前提と出典'!$C$38=0,Y625&gt;=0)),0,A625)</ns0:f>
        <ns0:v>0</ns0:v>
      </ns0:c>
    </ns0:row>
    <ns0:row r="626" ht="24" customHeight="1">
      <ns0:c r="A626" s="4" t="n">
        <ns0:v>622</ns0:v>
      </ns0:c>
      <ns0:c r="B626" s="12">
        <ns0:f>A626*('前提と出典'!$C$36+'前提と出典'!$C$38)</ns0:f>
        <ns0:v>435.4</ns0:v>
      </ns0:c>
      <ns0:c r="C626" s="12">
        <ns0:f>A626*('前提と出典'!$C$37+'前提と出典'!$C$38)</ns0:f>
        <ns0:v>373.2</ns0:v>
      </ns0:c>
      <ns0:c r="D626" s="16">
        <ns0:f>A626*('前提と出典'!$C$36*'契約別単価'!C5+'前提と出典'!$C$37*'契約別単価'!C6+'前提と出典'!$C$38*'契約別単価'!C7)</ns0:f>
        <ns0:v>4475.620111731843</ns0:v>
      </ns0:c>
      <ns0:c r="E626" s="16">
        <ns0:f>A626*('前提と出典'!$C$36*'契約別単価'!E5+'前提と出典'!$C$37*'契約別単価'!E6+'前提と出典'!$C$38*'契約別単価'!E7)</ns0:f>
        <ns0:v>1563628.958255848</ns0:v>
      </ns0:c>
      <ns0:c r="F626" s="16">
        <ns0:f>A626*('前提と出典'!$C$36*'契約別単価'!F5+'前提と出典'!$C$37*'契約別単価'!F6+'前提と出典'!$C$38*'契約別単価'!F7)</ns0:f>
        <ns0:v>454350.60660757497</ns0:v>
      </ns0:c>
      <ns0:c r="G626" s="16">
        <ns0:f>A626*('前提と出典'!$C$36*'契約別単価'!G5+'前提と出典'!$C$37*'契約別単価'!G6+'前提と出典'!$C$38*'契約別単価'!G7)</ns0:f>
        <ns0:v>1238092.7374301676</ns0:v>
      </ns0:c>
      <ns0:c r="H626" s="16">
        <ns0:f>A626*('前提と出典'!$C$36*'契約別単価'!H5+'前提と出典'!$C$37*'契約別単価'!H6+'前提と出典'!$C$38*'契約別単価'!H7)</ns0:f>
        <ns0:v>429680.2751186097</ns0:v>
      </ns0:c>
      <ns0:c r="I626" s="16">
        <ns0:f>A626*('前提と出典'!$C$36*'契約別単価'!I5+'前提と出典'!$C$37*'契約別単価'!I6+'前提と出典'!$C$38*'契約別単価'!I7)</ns0:f>
        <ns0:v>26245.620111731838</ns0:v>
      </ns0:c>
      <ns0:c r="J626" s="16">
        <ns0:f>A626*('前提と出典'!$C$36*'契約別単価'!J5+'前提と出典'!$C$37*'契約別単価'!J6+'前提と出典'!$C$38*'契約別単価'!J7)</ns0:f>
        <ns0:v>61136.096187808194</ns0:v>
      </ns0:c>
      <ns0:c r="K626" s="16">
        <ns0:f>A626*('前提と出典'!$C$36*'契約別単価'!K5+'前提と出典'!$C$37*'契約別単価'!K6+'前提と出典'!$C$38*'契約別単価'!K7)</ns0:f>
        <ns0:v>262050.80074487894</ns0:v>
      </ns0:c>
      <ns0:c r="L626" s="16">
        <ns0:f>A626*('前提と出典'!$C$36*'契約別単価'!L5+'前提と出典'!$C$37*'契約別単価'!L6+'前提と出典'!$C$38*'契約別単価'!L7)</ns0:f>
        <ns0:v>213362.67583728698</ns0:v>
      </ns0:c>
      <ns0:c r="M626" s="16">
        <ns0:f>IF(('前提と出典'!$C$36+'前提と出典'!$C$38)=0,0,IF(B626&lt;=10,'前提と出典'!B73+'前提と出典'!C73,IF(B626&lt;=100,'前提と出典'!B74+'前提と出典'!C74,IF(B626&lt;=500,'前提と出典'!B75+'前提と出典'!C75,'前提と出典'!B76+'前提と出典'!C76))))</ns0:f>
        <ns0:v>40000</ns0:v>
      </ns0:c>
      <ns0:c r="N626" s="16">
        <ns0:f>IF(('前提と出典'!$C$37+'前提と出典'!$C$38)=0,0,IF(C626&lt;=10,'前提と出典'!D73+'前提と出典'!E73,IF(C626&lt;=100,'前提と出典'!D74+'前提と出典'!E74,IF(C626&lt;=500,'前提と出典'!D75+'前提と出典'!E75,'前提と出典'!D76+'前提と出典'!E76))))</ns0:f>
        <ns0:v>56510.9346263078</ns0:v>
      </ns0:c>
      <ns0:c r="O626" s="16">
        <ns0:f>IF('前提と出典'!$C$36+'前提と出典'!$C$38=0,0,'前提と出典'!$B$4*IF('前提と出典'!$B$20=0,MAX('前提と出典'!$B$6,D626*'前提と出典'!$B$5),'前提と出典'!$B$6+D626*'前提と出典'!$B$5))</ns0:f>
        <ns0:v>617635.5754189944</ns0:v>
      </ns0:c>
      <ns0:c r="P626" s="16">
        <ns0:f>(E626+G626)*(1-'前提と出典'!$B$7)-I626-K626-M626-O626</ns0:f>
        <ns0:v>1754927.7183657135</ns0:v>
      </ns0:c>
      <ns0:c r="Q626" s="16">
        <ns0:f>(F626+H626)*(1-'前提と出典'!$B$7)-J626-L626-N626</ns0:f>
        <ns0:v>521196.06333263905</ns0:v>
      </ns0:c>
      <ns0:c r="R626" s="16">
        <ns0:f>P626-E626*'前提と出典'!$E$4</ns0:f>
        <ns0:v>1285839.0308889593</ns0:v>
      </ns0:c>
      <ns0:c r="S626" s="16">
        <ns0:f>Q626-F626*'前提と出典'!$E$4</ns0:f>
        <ns0:v>384890.8813503665</ns0:v>
      </ns0:c>
      <ns0:c r="T626" s="7">
        <ns0:f>R626+S626</ns0:f>
        <ns0:v>1670729.9122393257</ns0:v>
      </ns0:c>
      <ns0:c r="U626" s="16">
        <ns0:f>P626-E626*'前提と出典'!$E$5</ns0:f>
        <ns0:v>1129476.1350633744</ns0:v>
      </ns0:c>
      <ns0:c r="V626" s="16">
        <ns0:f>Q626-F626*'前提と出典'!$E$5</ns0:f>
        <ns0:v>339455.82068960904</ns0:v>
      </ns0:c>
      <ns0:c r="W626" s="7">
        <ns0:f>U626+V626</ns0:f>
        <ns0:v>1468931.9557529835</ns0:v>
      </ns0:c>
      <ns0:c r="X626" s="16">
        <ns0:f>P626-E626*'前提と出典'!$E$6</ns0:f>
        <ns0:v>973113.2392377894</ns0:v>
      </ns0:c>
      <ns0:c r="Y626" s="16">
        <ns0:f>Q626-F626*'前提と出典'!$E$6</ns0:f>
        <ns0:v>294020.76002885157</ns0:v>
      </ns0:c>
      <ns0:c r="Z626" s="7">
        <ns0:f>X626+Y626</ns0:f>
        <ns0:v>1267133.999266641</ns0:v>
      </ns0:c>
      <ns0:c r="AA626" s="7">
        <ns0:f>IF(T626&gt;=0,A626,1001)</ns0:f>
        <ns0:v>622</ns0:v>
      </ns0:c>
      <ns0:c r="AB626" s="7">
        <ns0:f>IF(T626&lt;0,A626,0)</ns0:f>
        <ns0:v>0</ns0:v>
      </ns0:c>
      <ns0:c r="AC626" s="16">
        <ns0:f>IF(AND(OR('前提と出典'!$C$36+'前提と出典'!$C$38=0,R626&gt;=0),OR('前提と出典'!$C$37+'前提と出典'!$C$38=0,S626&gt;=0)),0,A626)</ns0:f>
        <ns0:v>0</ns0:v>
      </ns0:c>
      <ns0:c r="AD626" s="7">
        <ns0:f>IF(W626&gt;=0,A626,1001)</ns0:f>
        <ns0:v>622</ns0:v>
      </ns0:c>
      <ns0:c r="AE626" s="7">
        <ns0:f>IF(W626&lt;0,A626,0)</ns0:f>
        <ns0:v>0</ns0:v>
      </ns0:c>
      <ns0:c r="AF626" s="16">
        <ns0:f>IF(AND(OR('前提と出典'!$C$36+'前提と出典'!$C$38=0,U626&gt;=0),OR('前提と出典'!$C$37+'前提と出典'!$C$38=0,V626&gt;=0)),0,A626)</ns0:f>
        <ns0:v>0</ns0:v>
      </ns0:c>
      <ns0:c r="AG626" s="7">
        <ns0:f>IF(Z626&gt;=0,A626,1001)</ns0:f>
        <ns0:v>622</ns0:v>
      </ns0:c>
      <ns0:c r="AH626" s="4">
        <ns0:f>IF(Z626&lt;0,A626,0)</ns0:f>
        <ns0:v>0</ns0:v>
      </ns0:c>
      <ns0:c r="AI626" s="12">
        <ns0:f>IF(AND(OR('前提と出典'!$C$36+'前提と出典'!$C$38=0,X626&gt;=0),OR('前提と出典'!$C$37+'前提と出典'!$C$38=0,Y626&gt;=0)),0,A626)</ns0:f>
        <ns0:v>0</ns0:v>
      </ns0:c>
    </ns0:row>
    <ns0:row r="627" ht="24" customHeight="1">
      <ns0:c r="A627" s="4" t="n">
        <ns0:v>623</ns0:v>
      </ns0:c>
      <ns0:c r="B627" s="12">
        <ns0:f>A627*('前提と出典'!$C$36+'前提と出典'!$C$38)</ns0:f>
        <ns0:v>436.09999999999997</ns0:v>
      </ns0:c>
      <ns0:c r="C627" s="12">
        <ns0:f>A627*('前提と出典'!$C$37+'前提と出典'!$C$38)</ns0:f>
        <ns0:v>373.8</ns0:v>
      </ns0:c>
      <ns0:c r="D627" s="16">
        <ns0:f>A627*('前提と出典'!$C$36*'契約別単価'!C5+'前提と出典'!$C$37*'契約別単価'!C6+'前提と出典'!$C$38*'契約別単価'!C7)</ns0:f>
        <ns0:v>4482.8156424581</ns0:v>
      </ns0:c>
      <ns0:c r="E627" s="16">
        <ns0:f>A627*('前提と出典'!$C$36*'契約別単価'!E5+'前提と出典'!$C$37*'契約別単価'!E6+'前提と出典'!$C$38*'契約別単価'!E7)</ns0:f>
        <ns0:v>1566142.831179089</ns0:v>
      </ns0:c>
      <ns0:c r="F627" s="16">
        <ns0:f>A627*('前提と出典'!$C$36*'契約別単価'!F5+'前提と出典'!$C$37*'契約別単価'!F6+'前提と出典'!$C$38*'契約別単価'!F7)</ns0:f>
        <ns0:v>455081.0738207704</ns0:v>
      </ns0:c>
      <ns0:c r="G627" s="16">
        <ns0:f>A627*('前提と出典'!$C$36*'契約別単価'!G5+'前提と出典'!$C$37*'契約別単価'!G6+'前提と出典'!$C$38*'契約別単価'!G7)</ns0:f>
        <ns0:v>1240083.2402234636</ns0:v>
      </ns0:c>
      <ns0:c r="H627" s="16">
        <ns0:f>A627*('前提と出典'!$C$36*'契約別単価'!H5+'前提と出典'!$C$37*'契約別単価'!H6+'前提と出典'!$C$38*'契約別単価'!H7)</ns0:f>
        <ns0:v>430371.0794194435</ns0:v>
      </ns0:c>
      <ns0:c r="I627" s="16">
        <ns0:f>A627*('前提と出典'!$C$36*'契約別単価'!I5+'前提と出典'!$C$37*'契約別単価'!I6+'前提と出典'!$C$38*'契約別単価'!I7)</ns0:f>
        <ns0:v>26287.815642458096</ns0:v>
      </ns0:c>
      <ns0:c r="J627" s="16">
        <ns0:f>A627*('前提と出典'!$C$36*'契約別単価'!J5+'前提と出典'!$C$37*'契約別単価'!J6+'前提と出典'!$C$38*'契約別単価'!J7)</ns0:f>
        <ns0:v>61234.3857315185</ns0:v>
      </ns0:c>
      <ns0:c r="K627" s="16">
        <ns0:f>A627*('前提と出典'!$C$36*'契約別単価'!K5+'前提と出典'!$C$37*'契約別単価'!K6+'前提と出典'!$C$38*'契約別単価'!K7)</ns0:f>
        <ns0:v>262472.104283054</ns0:v>
      </ns0:c>
      <ns0:c r="L627" s="16">
        <ns0:f>A627*('前提と出典'!$C$36*'契約別単価'!L5+'前提と出典'!$C$37*'契約別単価'!L6+'前提と出典'!$C$38*'契約別単価'!L7)</ns0:f>
        <ns0:v>213705.70264731479</ns0:v>
      </ns0:c>
      <ns0:c r="M627" s="16">
        <ns0:f>IF(('前提と出典'!$C$36+'前提と出典'!$C$38)=0,0,IF(B627&lt;=10,'前提と出典'!B73+'前提と出典'!C73,IF(B627&lt;=100,'前提と出典'!B74+'前提と出典'!C74,IF(B627&lt;=500,'前提と出典'!B75+'前提と出典'!C75,'前提と出典'!B76+'前提と出典'!C76))))</ns0:f>
        <ns0:v>40000</ns0:v>
      </ns0:c>
      <ns0:c r="N627" s="16">
        <ns0:f>IF(('前提と出典'!$C$37+'前提と出典'!$C$38)=0,0,IF(C627&lt;=10,'前提と出典'!D73+'前提と出典'!E73,IF(C627&lt;=100,'前提と出典'!D74+'前提と出典'!E74,IF(C627&lt;=500,'前提と出典'!D75+'前提と出典'!E75,'前提と出典'!D76+'前提と出典'!E76))))</ns0:f>
        <ns0:v>56510.9346263078</ns0:v>
      </ns0:c>
      <ns0:c r="O627" s="16">
        <ns0:f>IF('前提と出典'!$C$36+'前提と出典'!$C$38=0,0,'前提と出典'!$B$4*IF('前提と出典'!$B$20=0,MAX('前提と出典'!$B$6,D627*'前提と出典'!$B$5),'前提と出典'!$B$6+D627*'前提と出典'!$B$5))</ns0:f>
        <ns0:v>618628.5586592179</ns0:v>
      </ns0:c>
      <ns0:c r="P627" s="16">
        <ns0:f>(E627+G627)*(1-'前提と出典'!$B$7)-I627-K627-M627-O627</ns0:f>
        <ns0:v>1757813.4542473308</ns0:v>
      </ns0:c>
      <ns0:c r="Q627" s="16">
        <ns0:f>(F627+H627)*(1-'前提と出典'!$B$7)-J627-L627-N627</ns0:f>
        <ns0:v>522124.8527184251</ns0:v>
      </ns0:c>
      <ns0:c r="R627" s="16">
        <ns0:f>P627-E627*'前提と出典'!$E$4</ns0:f>
        <ns0:v>1287970.6048936048</ns0:v>
      </ns0:c>
      <ns0:c r="S627" s="16">
        <ns0:f>Q627-F627*'前提と出典'!$E$4</ns0:f>
        <ns0:v>385600.530572194</ns0:v>
      </ns0:c>
      <ns0:c r="T627" s="7">
        <ns0:f>R627+S627</ns0:f>
        <ns0:v>1673571.135465799</ns0:v>
      </ns0:c>
      <ns0:c r="U627" s="16">
        <ns0:f>P627-E627*'前提と出典'!$E$5</ns0:f>
        <ns0:v>1131356.3217756953</ns0:v>
      </ns0:c>
      <ns0:c r="V627" s="16">
        <ns0:f>Q627-F627*'前提と出典'!$E$5</ns0:f>
        <ns0:v>340092.4231901169</ns0:v>
      </ns0:c>
      <ns0:c r="W627" s="7">
        <ns0:f>U627+V627</ns0:f>
        <ns0:v>1471448.7449658122</ns0:v>
      </ns0:c>
      <ns0:c r="X627" s="16">
        <ns0:f>P627-E627*'前提と出典'!$E$6</ns0:f>
        <ns0:v>974742.0386577862</ns0:v>
      </ns0:c>
      <ns0:c r="Y627" s="16">
        <ns0:f>Q627-F627*'前提と出典'!$E$6</ns0:f>
        <ns0:v>294584.31580803986</ns0:v>
      </ns0:c>
      <ns0:c r="Z627" s="7">
        <ns0:f>X627+Y627</ns0:f>
        <ns0:v>1269326.354465826</ns0:v>
      </ns0:c>
      <ns0:c r="AA627" s="7">
        <ns0:f>IF(T627&gt;=0,A627,1001)</ns0:f>
        <ns0:v>623</ns0:v>
      </ns0:c>
      <ns0:c r="AB627" s="7">
        <ns0:f>IF(T627&lt;0,A627,0)</ns0:f>
        <ns0:v>0</ns0:v>
      </ns0:c>
      <ns0:c r="AC627" s="16">
        <ns0:f>IF(AND(OR('前提と出典'!$C$36+'前提と出典'!$C$38=0,R627&gt;=0),OR('前提と出典'!$C$37+'前提と出典'!$C$38=0,S627&gt;=0)),0,A627)</ns0:f>
        <ns0:v>0</ns0:v>
      </ns0:c>
      <ns0:c r="AD627" s="7">
        <ns0:f>IF(W627&gt;=0,A627,1001)</ns0:f>
        <ns0:v>623</ns0:v>
      </ns0:c>
      <ns0:c r="AE627" s="7">
        <ns0:f>IF(W627&lt;0,A627,0)</ns0:f>
        <ns0:v>0</ns0:v>
      </ns0:c>
      <ns0:c r="AF627" s="16">
        <ns0:f>IF(AND(OR('前提と出典'!$C$36+'前提と出典'!$C$38=0,U627&gt;=0),OR('前提と出典'!$C$37+'前提と出典'!$C$38=0,V627&gt;=0)),0,A627)</ns0:f>
        <ns0:v>0</ns0:v>
      </ns0:c>
      <ns0:c r="AG627" s="7">
        <ns0:f>IF(Z627&gt;=0,A627,1001)</ns0:f>
        <ns0:v>623</ns0:v>
      </ns0:c>
      <ns0:c r="AH627" s="4">
        <ns0:f>IF(Z627&lt;0,A627,0)</ns0:f>
        <ns0:v>0</ns0:v>
      </ns0:c>
      <ns0:c r="AI627" s="12">
        <ns0:f>IF(AND(OR('前提と出典'!$C$36+'前提と出典'!$C$38=0,X627&gt;=0),OR('前提と出典'!$C$37+'前提と出典'!$C$38=0,Y627&gt;=0)),0,A627)</ns0:f>
        <ns0:v>0</ns0:v>
      </ns0:c>
    </ns0:row>
    <ns0:row r="628" ht="24" customHeight="1">
      <ns0:c r="A628" s="4" t="n">
        <ns0:v>624</ns0:v>
      </ns0:c>
      <ns0:c r="B628" s="12">
        <ns0:f>A628*('前提と出典'!$C$36+'前提と出典'!$C$38)</ns0:f>
        <ns0:v>436.79999999999995</ns0:v>
      </ns0:c>
      <ns0:c r="C628" s="12">
        <ns0:f>A628*('前提と出典'!$C$37+'前提と出典'!$C$38)</ns0:f>
        <ns0:v>374.4</ns0:v>
      </ns0:c>
      <ns0:c r="D628" s="16">
        <ns0:f>A628*('前提と出典'!$C$36*'契約別単価'!C5+'前提と出典'!$C$37*'契約別単価'!C6+'前提と出典'!$C$38*'契約別単価'!C7)</ns0:f>
        <ns0:v>4490.011173184357</ns0:v>
      </ns0:c>
      <ns0:c r="E628" s="16">
        <ns0:f>A628*('前提と出典'!$C$36*'契約別単価'!E5+'前提と出典'!$C$37*'契約別単価'!E6+'前提と出典'!$C$38*'契約別単価'!E7)</ns0:f>
        <ns0:v>1568656.70410233</ns0:v>
      </ns0:c>
      <ns0:c r="F628" s="16">
        <ns0:f>A628*('前提と出典'!$C$36*'契約別単価'!F5+'前提と出典'!$C$37*'契約別単価'!F6+'前提と出典'!$C$38*'契約別単価'!F7)</ns0:f>
        <ns0:v>455811.5410339659</ns0:v>
      </ns0:c>
      <ns0:c r="G628" s="16">
        <ns0:f>A628*('前提と出典'!$C$36*'契約別単価'!G5+'前提と出典'!$C$37*'契約別単価'!G6+'前提と出典'!$C$38*'契約別単価'!G7)</ns0:f>
        <ns0:v>1242073.7430167596</ns0:v>
      </ns0:c>
      <ns0:c r="H628" s="16">
        <ns0:f>A628*('前提と出典'!$C$36*'契約別単価'!H5+'前提と出典'!$C$37*'契約別単価'!H6+'前提と出典'!$C$38*'契約別単価'!H7)</ns0:f>
        <ns0:v>431061.8837202773</ns0:v>
      </ns0:c>
      <ns0:c r="I628" s="16">
        <ns0:f>A628*('前提と出典'!$C$36*'契約別単価'!I5+'前提と出典'!$C$37*'契約別単価'!I6+'前提と出典'!$C$38*'契約別単価'!I7)</ns0:f>
        <ns0:v>26330.011173184354</ns0:v>
      </ns0:c>
      <ns0:c r="J628" s="16">
        <ns0:f>A628*('前提と出典'!$C$36*'契約別単価'!J5+'前提と出典'!$C$37*'契約別単価'!J6+'前提と出典'!$C$38*'契約別単価'!J7)</ns0:f>
        <ns0:v>61332.6752752288</ns0:v>
      </ns0:c>
      <ns0:c r="K628" s="16">
        <ns0:f>A628*('前提と出典'!$C$36*'契約別単価'!K5+'前提と出典'!$C$37*'契約別単価'!K6+'前提と出典'!$C$38*'契約別単価'!K7)</ns0:f>
        <ns0:v>262893.407821229</ns0:v>
      </ns0:c>
      <ns0:c r="L628" s="16">
        <ns0:f>A628*('前提と出典'!$C$36*'契約別単価'!L5+'前提と出典'!$C$37*'契約別単価'!L6+'前提と出典'!$C$38*'契約別単価'!L7)</ns0:f>
        <ns0:v>214048.72945734256</ns0:v>
      </ns0:c>
      <ns0:c r="M628" s="16">
        <ns0:f>IF(('前提と出典'!$C$36+'前提と出典'!$C$38)=0,0,IF(B628&lt;=10,'前提と出典'!B73+'前提と出典'!C73,IF(B628&lt;=100,'前提と出典'!B74+'前提と出典'!C74,IF(B628&lt;=500,'前提と出典'!B75+'前提と出典'!C75,'前提と出典'!B76+'前提と出典'!C76))))</ns0:f>
        <ns0:v>40000</ns0:v>
      </ns0:c>
      <ns0:c r="N628" s="16">
        <ns0:f>IF(('前提と出典'!$C$37+'前提と出典'!$C$38)=0,0,IF(C628&lt;=10,'前提と出典'!D73+'前提と出典'!E73,IF(C628&lt;=100,'前提と出典'!D74+'前提と出典'!E74,IF(C628&lt;=500,'前提と出典'!D75+'前提と出典'!E75,'前提と出典'!D76+'前提と出典'!E76))))</ns0:f>
        <ns0:v>56510.9346263078</ns0:v>
      </ns0:c>
      <ns0:c r="O628" s="16">
        <ns0:f>IF('前提と出典'!$C$36+'前提と出典'!$C$38=0,0,'前提と出典'!$B$4*IF('前提と出典'!$B$20=0,MAX('前提と出典'!$B$6,D628*'前提と出典'!$B$5),'前提と出典'!$B$6+D628*'前提と出典'!$B$5))</ns0:f>
        <ns0:v>619621.5418994413</ns0:v>
      </ns0:c>
      <ns0:c r="P628" s="16">
        <ns0:f>(E628+G628)*(1-'前提と出典'!$B$7)-I628-K628-M628-O628</ns0:f>
        <ns0:v>1760699.190128948</ns0:v>
      </ns0:c>
      <ns0:c r="Q628" s="16">
        <ns0:f>(F628+H628)*(1-'前提と出典'!$B$7)-J628-L628-N628</ns0:f>
        <ns0:v>523053.6421042113</ns0:v>
      </ns0:c>
      <ns0:c r="R628" s="16">
        <ns0:f>P628-E628*'前提と出典'!$E$4</ns0:f>
        <ns0:v>1290102.178898249</ns0:v>
      </ns0:c>
      <ns0:c r="S628" s="16">
        <ns0:f>Q628-F628*'前提と出典'!$E$4</ns0:f>
        <ns0:v>386310.17979402153</ns0:v>
      </ns0:c>
      <ns0:c r="T628" s="7">
        <ns0:f>R628+S628</ns0:f>
        <ns0:v>1676412.3586922707</ns0:v>
      </ns0:c>
      <ns0:c r="U628" s="16">
        <ns0:f>P628-E628*'前提と出典'!$E$5</ns0:f>
        <ns0:v>1133236.5084880162</ns0:v>
      </ns0:c>
      <ns0:c r="V628" s="16">
        <ns0:f>Q628-F628*'前提と出典'!$E$5</ns0:f>
        <ns0:v>340729.02569062496</ns0:v>
      </ns0:c>
      <ns0:c r="W628" s="7">
        <ns0:f>U628+V628</ns0:f>
        <ns0:v>1473965.5341786412</ns0:v>
      </ns0:c>
      <ns0:c r="X628" s="16">
        <ns0:f>P628-E628*'前提と出典'!$E$6</ns0:f>
        <ns0:v>976370.8380777831</ns0:v>
      </ns0:c>
      <ns0:c r="Y628" s="16">
        <ns0:f>Q628-F628*'前提と出典'!$E$6</ns0:f>
        <ns0:v>295147.87158722826</ns0:v>
      </ns0:c>
      <ns0:c r="Z628" s="7">
        <ns0:f>X628+Y628</ns0:f>
        <ns0:v>1271518.7096650114</ns0:v>
      </ns0:c>
      <ns0:c r="AA628" s="7">
        <ns0:f>IF(T628&gt;=0,A628,1001)</ns0:f>
        <ns0:v>624</ns0:v>
      </ns0:c>
      <ns0:c r="AB628" s="7">
        <ns0:f>IF(T628&lt;0,A628,0)</ns0:f>
        <ns0:v>0</ns0:v>
      </ns0:c>
      <ns0:c r="AC628" s="16">
        <ns0:f>IF(AND(OR('前提と出典'!$C$36+'前提と出典'!$C$38=0,R628&gt;=0),OR('前提と出典'!$C$37+'前提と出典'!$C$38=0,S628&gt;=0)),0,A628)</ns0:f>
        <ns0:v>0</ns0:v>
      </ns0:c>
      <ns0:c r="AD628" s="7">
        <ns0:f>IF(W628&gt;=0,A628,1001)</ns0:f>
        <ns0:v>624</ns0:v>
      </ns0:c>
      <ns0:c r="AE628" s="7">
        <ns0:f>IF(W628&lt;0,A628,0)</ns0:f>
        <ns0:v>0</ns0:v>
      </ns0:c>
      <ns0:c r="AF628" s="16">
        <ns0:f>IF(AND(OR('前提と出典'!$C$36+'前提と出典'!$C$38=0,U628&gt;=0),OR('前提と出典'!$C$37+'前提と出典'!$C$38=0,V628&gt;=0)),0,A628)</ns0:f>
        <ns0:v>0</ns0:v>
      </ns0:c>
      <ns0:c r="AG628" s="7">
        <ns0:f>IF(Z628&gt;=0,A628,1001)</ns0:f>
        <ns0:v>624</ns0:v>
      </ns0:c>
      <ns0:c r="AH628" s="4">
        <ns0:f>IF(Z628&lt;0,A628,0)</ns0:f>
        <ns0:v>0</ns0:v>
      </ns0:c>
      <ns0:c r="AI628" s="12">
        <ns0:f>IF(AND(OR('前提と出典'!$C$36+'前提と出典'!$C$38=0,X628&gt;=0),OR('前提と出典'!$C$37+'前提と出典'!$C$38=0,Y628&gt;=0)),0,A628)</ns0:f>
        <ns0:v>0</ns0:v>
      </ns0:c>
    </ns0:row>
    <ns0:row r="629" ht="24" customHeight="1">
      <ns0:c r="A629" s="4" t="n">
        <ns0:v>625</ns0:v>
      </ns0:c>
      <ns0:c r="B629" s="12">
        <ns0:f>A629*('前提と出典'!$C$36+'前提と出典'!$C$38)</ns0:f>
        <ns0:v>437.5</ns0:v>
      </ns0:c>
      <ns0:c r="C629" s="12">
        <ns0:f>A629*('前提と出典'!$C$37+'前提と出典'!$C$38)</ns0:f>
        <ns0:v>375</ns0:v>
      </ns0:c>
      <ns0:c r="D629" s="16">
        <ns0:f>A629*('前提と出典'!$C$36*'契約別単価'!C5+'前提と出典'!$C$37*'契約別単価'!C6+'前提と出典'!$C$38*'契約別単価'!C7)</ns0:f>
        <ns0:v>4497.206703910614</ns0:v>
      </ns0:c>
      <ns0:c r="E629" s="16">
        <ns0:f>A629*('前提と出典'!$C$36*'契約別単価'!E5+'前提と出典'!$C$37*'契約別単価'!E6+'前提と出典'!$C$38*'契約別単価'!E7)</ns0:f>
        <ns0:v>1571170.5770255707</ns0:v>
      </ns0:c>
      <ns0:c r="F629" s="16">
        <ns0:f>A629*('前提と出典'!$C$36*'契約別単価'!F5+'前提と出典'!$C$37*'契約別単価'!F6+'前提と出典'!$C$38*'契約別単価'!F7)</ns0:f>
        <ns0:v>456542.00824716134</ns0:v>
      </ns0:c>
      <ns0:c r="G629" s="16">
        <ns0:f>A629*('前提と出典'!$C$36*'契約別単価'!G5+'前提と出典'!$C$37*'契約別単価'!G6+'前提と出典'!$C$38*'契約別単価'!G7)</ns0:f>
        <ns0:v>1244064.2458100559</ns0:v>
      </ns0:c>
      <ns0:c r="H629" s="16">
        <ns0:f>A629*('前提と出典'!$C$36*'契約別単価'!H5+'前提と出典'!$C$37*'契約別単価'!H6+'前提と出典'!$C$38*'契約別単価'!H7)</ns0:f>
        <ns0:v>431752.68802111107</ns0:v>
      </ns0:c>
      <ns0:c r="I629" s="16">
        <ns0:f>A629*('前提と出典'!$C$36*'契約別単価'!I5+'前提と出典'!$C$37*'契約別単価'!I6+'前提と出典'!$C$38*'契約別単価'!I7)</ns0:f>
        <ns0:v>26372.20670391061</ns0:v>
      </ns0:c>
      <ns0:c r="J629" s="16">
        <ns0:f>A629*('前提と出典'!$C$36*'契約別単価'!J5+'前提と出典'!$C$37*'契約別単価'!J6+'前提と出典'!$C$38*'契約別単価'!J7)</ns0:f>
        <ns0:v>61430.9648189391</ns0:v>
      </ns0:c>
      <ns0:c r="K629" s="16">
        <ns0:f>A629*('前提と出典'!$C$36*'契約別単価'!K5+'前提と出典'!$C$37*'契約別単価'!K6+'前提と出典'!$C$38*'契約別単価'!K7)</ns0:f>
        <ns0:v>263314.7113594041</ns0:v>
      </ns0:c>
      <ns0:c r="L629" s="16">
        <ns0:f>A629*('前提と出典'!$C$36*'契約別単価'!L5+'前提と出典'!$C$37*'契約別単価'!L6+'前提と出典'!$C$38*'契約別単価'!L7)</ns0:f>
        <ns0:v>214391.75626737037</ns0:v>
      </ns0:c>
      <ns0:c r="M629" s="16">
        <ns0:f>IF(('前提と出典'!$C$36+'前提と出典'!$C$38)=0,0,IF(B629&lt;=10,'前提と出典'!B73+'前提と出典'!C73,IF(B629&lt;=100,'前提と出典'!B74+'前提と出典'!C74,IF(B629&lt;=500,'前提と出典'!B75+'前提と出典'!C75,'前提と出典'!B76+'前提と出典'!C76))))</ns0:f>
        <ns0:v>40000</ns0:v>
      </ns0:c>
      <ns0:c r="N629" s="16">
        <ns0:f>IF(('前提と出典'!$C$37+'前提と出典'!$C$38)=0,0,IF(C629&lt;=10,'前提と出典'!D73+'前提と出典'!E73,IF(C629&lt;=100,'前提と出典'!D74+'前提と出典'!E74,IF(C629&lt;=500,'前提と出典'!D75+'前提と出典'!E75,'前提と出典'!D76+'前提と出典'!E76))))</ns0:f>
        <ns0:v>56510.9346263078</ns0:v>
      </ns0:c>
      <ns0:c r="O629" s="16">
        <ns0:f>IF('前提と出典'!$C$36+'前提と出典'!$C$38=0,0,'前提と出典'!$B$4*IF('前提と出典'!$B$20=0,MAX('前提と出典'!$B$6,D629*'前提と出典'!$B$5),'前提と出典'!$B$6+D629*'前提と出典'!$B$5))</ns0:f>
        <ns0:v>620614.5251396648</ns0:v>
      </ns0:c>
      <ns0:c r="P629" s="16">
        <ns0:f>(E629+G629)*(1-'前提と出典'!$B$7)-I629-K629-M629-O629</ns0:f>
        <ns0:v>1763584.9260105647</ns0:v>
      </ns0:c>
      <ns0:c r="Q629" s="16">
        <ns0:f>(F629+H629)*(1-'前提と出典'!$B$7)-J629-L629-N629</ns0:f>
        <ns0:v>523982.4314899973</ns0:v>
      </ns0:c>
      <ns0:c r="R629" s="16">
        <ns0:f>P629-E629*'前提と出典'!$E$4</ns0:f>
        <ns0:v>1292233.7529028933</ns0:v>
      </ns0:c>
      <ns0:c r="S629" s="16">
        <ns0:f>Q629-F629*'前提と出典'!$E$4</ns0:f>
        <ns0:v>387019.82901584887</ns0:v>
      </ns0:c>
      <ns0:c r="T629" s="7">
        <ns0:f>R629+S629</ns0:f>
        <ns0:v>1679253.5819187423</ns0:v>
      </ns0:c>
      <ns0:c r="U629" s="16">
        <ns0:f>P629-E629*'前提と出典'!$E$5</ns0:f>
        <ns0:v>1135116.6952003364</ns0:v>
      </ns0:c>
      <ns0:c r="V629" s="16">
        <ns0:f>Q629-F629*'前提と出典'!$E$5</ns0:f>
        <ns0:v>341365.62819113274</ns0:v>
      </ns0:c>
      <ns0:c r="W629" s="7">
        <ns0:f>U629+V629</ns0:f>
        <ns0:v>1476482.3233914692</ns0:v>
      </ns0:c>
      <ns0:c r="X629" s="16">
        <ns0:f>P629-E629*'前提と出典'!$E$6</ns0:f>
        <ns0:v>977999.6374977792</ns0:v>
      </ns0:c>
      <ns0:c r="Y629" s="16">
        <ns0:f>Q629-F629*'前提と出典'!$E$6</ns0:f>
        <ns0:v>295711.4273664166</ns0:v>
      </ns0:c>
      <ns0:c r="Z629" s="7">
        <ns0:f>X629+Y629</ns0:f>
        <ns0:v>1273711.0648641959</ns0:v>
      </ns0:c>
      <ns0:c r="AA629" s="7">
        <ns0:f>IF(T629&gt;=0,A629,1001)</ns0:f>
        <ns0:v>625</ns0:v>
      </ns0:c>
      <ns0:c r="AB629" s="7">
        <ns0:f>IF(T629&lt;0,A629,0)</ns0:f>
        <ns0:v>0</ns0:v>
      </ns0:c>
      <ns0:c r="AC629" s="16">
        <ns0:f>IF(AND(OR('前提と出典'!$C$36+'前提と出典'!$C$38=0,R629&gt;=0),OR('前提と出典'!$C$37+'前提と出典'!$C$38=0,S629&gt;=0)),0,A629)</ns0:f>
        <ns0:v>0</ns0:v>
      </ns0:c>
      <ns0:c r="AD629" s="7">
        <ns0:f>IF(W629&gt;=0,A629,1001)</ns0:f>
        <ns0:v>625</ns0:v>
      </ns0:c>
      <ns0:c r="AE629" s="7">
        <ns0:f>IF(W629&lt;0,A629,0)</ns0:f>
        <ns0:v>0</ns0:v>
      </ns0:c>
      <ns0:c r="AF629" s="16">
        <ns0:f>IF(AND(OR('前提と出典'!$C$36+'前提と出典'!$C$38=0,U629&gt;=0),OR('前提と出典'!$C$37+'前提と出典'!$C$38=0,V629&gt;=0)),0,A629)</ns0:f>
        <ns0:v>0</ns0:v>
      </ns0:c>
      <ns0:c r="AG629" s="7">
        <ns0:f>IF(Z629&gt;=0,A629,1001)</ns0:f>
        <ns0:v>625</ns0:v>
      </ns0:c>
      <ns0:c r="AH629" s="4">
        <ns0:f>IF(Z629&lt;0,A629,0)</ns0:f>
        <ns0:v>0</ns0:v>
      </ns0:c>
      <ns0:c r="AI629" s="12">
        <ns0:f>IF(AND(OR('前提と出典'!$C$36+'前提と出典'!$C$38=0,X629&gt;=0),OR('前提と出典'!$C$37+'前提と出典'!$C$38=0,Y629&gt;=0)),0,A629)</ns0:f>
        <ns0:v>0</ns0:v>
      </ns0:c>
    </ns0:row>
    <ns0:row r="630" ht="24" customHeight="1">
      <ns0:c r="A630" s="4" t="n">
        <ns0:v>626</ns0:v>
      </ns0:c>
      <ns0:c r="B630" s="12">
        <ns0:f>A630*('前提と出典'!$C$36+'前提と出典'!$C$38)</ns0:f>
        <ns0:v>438.2</ns0:v>
      </ns0:c>
      <ns0:c r="C630" s="12">
        <ns0:f>A630*('前提と出典'!$C$37+'前提と出典'!$C$38)</ns0:f>
        <ns0:v>375.59999999999997</ns0:v>
      </ns0:c>
      <ns0:c r="D630" s="16">
        <ns0:f>A630*('前提と出典'!$C$36*'契約別単価'!C5+'前提と出典'!$C$37*'契約別単価'!C6+'前提と出典'!$C$38*'契約別単価'!C7)</ns0:f>
        <ns0:v>4504.402234636871</ns0:v>
      </ns0:c>
      <ns0:c r="E630" s="16">
        <ns0:f>A630*('前提と出典'!$C$36*'契約別単価'!E5+'前提と出典'!$C$37*'契約別単価'!E6+'前提と出典'!$C$38*'契約別単価'!E7)</ns0:f>
        <ns0:v>1573684.4499488117</ns0:v>
      </ns0:c>
      <ns0:c r="F630" s="16">
        <ns0:f>A630*('前提と出典'!$C$36*'契約別単価'!F5+'前提と出典'!$C$37*'契約別単価'!F6+'前提と出典'!$C$38*'契約別単価'!F7)</ns0:f>
        <ns0:v>457272.4754603568</ns0:v>
      </ns0:c>
      <ns0:c r="G630" s="16">
        <ns0:f>A630*('前提と出典'!$C$36*'契約別単価'!G5+'前提と出典'!$C$37*'契約別単価'!G6+'前提と出典'!$C$38*'契約別単価'!G7)</ns0:f>
        <ns0:v>1246054.7486033519</ns0:v>
      </ns0:c>
      <ns0:c r="H630" s="16">
        <ns0:f>A630*('前提と出典'!$C$36*'契約別単価'!H5+'前提と出典'!$C$37*'契約別単価'!H6+'前提と出典'!$C$38*'契約別単価'!H7)</ns0:f>
        <ns0:v>432443.49232194485</ns0:v>
      </ns0:c>
      <ns0:c r="I630" s="16">
        <ns0:f>A630*('前提と出典'!$C$36*'契約別単価'!I5+'前提と出典'!$C$37*'契約別単価'!I6+'前提と出典'!$C$38*'契約別単価'!I7)</ns0:f>
        <ns0:v>26414.402234636866</ns0:v>
      </ns0:c>
      <ns0:c r="J630" s="16">
        <ns0:f>A630*('前提と出典'!$C$36*'契約別単価'!J5+'前提と出典'!$C$37*'契約別単価'!J6+'前提と出典'!$C$38*'契約別単価'!J7)</ns0:f>
        <ns0:v>61529.25436264941</ns0:v>
      </ns0:c>
      <ns0:c r="K630" s="16">
        <ns0:f>A630*('前提と出典'!$C$36*'契約別単価'!K5+'前提と出典'!$C$37*'契約別単価'!K6+'前提と出典'!$C$38*'契約別単価'!K7)</ns0:f>
        <ns0:v>263736.01489757915</ns0:v>
      </ns0:c>
      <ns0:c r="L630" s="16">
        <ns0:f>A630*('前提と出典'!$C$36*'契約別単価'!L5+'前提と出典'!$C$37*'契約別単価'!L6+'前提と出典'!$C$38*'契約別単価'!L7)</ns0:f>
        <ns0:v>214734.78307739814</ns0:v>
      </ns0:c>
      <ns0:c r="M630" s="16">
        <ns0:f>IF(('前提と出典'!$C$36+'前提と出典'!$C$38)=0,0,IF(B630&lt;=10,'前提と出典'!B73+'前提と出典'!C73,IF(B630&lt;=100,'前提と出典'!B74+'前提と出典'!C74,IF(B630&lt;=500,'前提と出典'!B75+'前提と出典'!C75,'前提と出典'!B76+'前提と出典'!C76))))</ns0:f>
        <ns0:v>40000</ns0:v>
      </ns0:c>
      <ns0:c r="N630" s="16">
        <ns0:f>IF(('前提と出典'!$C$37+'前提と出典'!$C$38)=0,0,IF(C630&lt;=10,'前提と出典'!D73+'前提と出典'!E73,IF(C630&lt;=100,'前提と出典'!D74+'前提と出典'!E74,IF(C630&lt;=500,'前提と出典'!D75+'前提と出典'!E75,'前提と出典'!D76+'前提と出典'!E76))))</ns0:f>
        <ns0:v>56510.9346263078</ns0:v>
      </ns0:c>
      <ns0:c r="O630" s="16">
        <ns0:f>IF('前提と出典'!$C$36+'前提と出典'!$C$38=0,0,'前提と出典'!$B$4*IF('前提と出典'!$B$20=0,MAX('前提と出典'!$B$6,D630*'前提と出典'!$B$5),'前提と出典'!$B$6+D630*'前提と出典'!$B$5))</ns0:f>
        <ns0:v>621607.5083798883</ns0:v>
      </ns0:c>
      <ns0:c r="P630" s="16">
        <ns0:f>(E630+G630)*(1-'前提と出典'!$B$7)-I630-K630-M630-O630</ns0:f>
        <ns0:v>1766470.6618921813</ns0:v>
      </ns0:c>
      <ns0:c r="Q630" s="16">
        <ns0:f>(F630+H630)*(1-'前提と出典'!$B$7)-J630-L630-N630</ns0:f>
        <ns0:v>524911.2208757834</ns0:v>
      </ns0:c>
      <ns0:c r="R630" s="16">
        <ns0:f>P630-E630*'前提と出典'!$E$4</ns0:f>
        <ns0:v>1294365.326907538</ns0:v>
      </ns0:c>
      <ns0:c r="S630" s="16">
        <ns0:f>Q630-F630*'前提と出典'!$E$4</ns0:f>
        <ns0:v>387729.4782376764</ns0:v>
      </ns0:c>
      <ns0:c r="T630" s="7">
        <ns0:f>R630+S630</ns0:f>
        <ns0:v>1682094.8051452145</ns0:v>
      </ns0:c>
      <ns0:c r="U630" s="16">
        <ns0:f>P630-E630*'前提と出典'!$E$5</ns0:f>
        <ns0:v>1136996.8819126566</ns0:v>
      </ns0:c>
      <ns0:c r="V630" s="16">
        <ns0:f>Q630-F630*'前提と出典'!$E$5</ns0:f>
        <ns0:v>342002.2306916407</ns0:v>
      </ns0:c>
      <ns0:c r="W630" s="7">
        <ns0:f>U630+V630</ns0:f>
        <ns0:v>1478999.1126042972</ns0:v>
      </ns0:c>
      <ns0:c r="X630" s="16">
        <ns0:f>P630-E630*'前提と出典'!$E$6</ns0:f>
        <ns0:v>979628.4369177753</ns0:v>
      </ns0:c>
      <ns0:c r="Y630" s="16">
        <ns0:f>Q630-F630*'前提と出典'!$E$6</ns0:f>
        <ns0:v>296274.983145605</ns0:v>
      </ns0:c>
      <ns0:c r="Z630" s="7">
        <ns0:f>X630+Y630</ns0:f>
        <ns0:v>1275903.4200633804</ns0:v>
      </ns0:c>
      <ns0:c r="AA630" s="7">
        <ns0:f>IF(T630&gt;=0,A630,1001)</ns0:f>
        <ns0:v>626</ns0:v>
      </ns0:c>
      <ns0:c r="AB630" s="7">
        <ns0:f>IF(T630&lt;0,A630,0)</ns0:f>
        <ns0:v>0</ns0:v>
      </ns0:c>
      <ns0:c r="AC630" s="16">
        <ns0:f>IF(AND(OR('前提と出典'!$C$36+'前提と出典'!$C$38=0,R630&gt;=0),OR('前提と出典'!$C$37+'前提と出典'!$C$38=0,S630&gt;=0)),0,A630)</ns0:f>
        <ns0:v>0</ns0:v>
      </ns0:c>
      <ns0:c r="AD630" s="7">
        <ns0:f>IF(W630&gt;=0,A630,1001)</ns0:f>
        <ns0:v>626</ns0:v>
      </ns0:c>
      <ns0:c r="AE630" s="7">
        <ns0:f>IF(W630&lt;0,A630,0)</ns0:f>
        <ns0:v>0</ns0:v>
      </ns0:c>
      <ns0:c r="AF630" s="16">
        <ns0:f>IF(AND(OR('前提と出典'!$C$36+'前提と出典'!$C$38=0,U630&gt;=0),OR('前提と出典'!$C$37+'前提と出典'!$C$38=0,V630&gt;=0)),0,A630)</ns0:f>
        <ns0:v>0</ns0:v>
      </ns0:c>
      <ns0:c r="AG630" s="7">
        <ns0:f>IF(Z630&gt;=0,A630,1001)</ns0:f>
        <ns0:v>626</ns0:v>
      </ns0:c>
      <ns0:c r="AH630" s="4">
        <ns0:f>IF(Z630&lt;0,A630,0)</ns0:f>
        <ns0:v>0</ns0:v>
      </ns0:c>
      <ns0:c r="AI630" s="12">
        <ns0:f>IF(AND(OR('前提と出典'!$C$36+'前提と出典'!$C$38=0,X630&gt;=0),OR('前提と出典'!$C$37+'前提と出典'!$C$38=0,Y630&gt;=0)),0,A630)</ns0:f>
        <ns0:v>0</ns0:v>
      </ns0:c>
    </ns0:row>
    <ns0:row r="631" ht="24" customHeight="1">
      <ns0:c r="A631" s="4" t="n">
        <ns0:v>627</ns0:v>
      </ns0:c>
      <ns0:c r="B631" s="12">
        <ns0:f>A631*('前提と出典'!$C$36+'前提と出典'!$C$38)</ns0:f>
        <ns0:v>438.9</ns0:v>
      </ns0:c>
      <ns0:c r="C631" s="12">
        <ns0:f>A631*('前提と出典'!$C$37+'前提と出典'!$C$38)</ns0:f>
        <ns0:v>376.2</ns0:v>
      </ns0:c>
      <ns0:c r="D631" s="16">
        <ns0:f>A631*('前提と出典'!$C$36*'契約別単価'!C5+'前提と出典'!$C$37*'契約別単価'!C6+'前提と出典'!$C$38*'契約別単価'!C7)</ns0:f>
        <ns0:v>4511.597765363128</ns0:v>
      </ns0:c>
      <ns0:c r="E631" s="16">
        <ns0:f>A631*('前提と出典'!$C$36*'契約別単価'!E5+'前提と出典'!$C$37*'契約別単価'!E6+'前提と出典'!$C$38*'契約別単価'!E7)</ns0:f>
        <ns0:v>1576198.3228720527</ns0:v>
      </ns0:c>
      <ns0:c r="F631" s="16">
        <ns0:f>A631*('前提と出典'!$C$36*'契約別単価'!F5+'前提と出典'!$C$37*'契約別単価'!F6+'前提と出典'!$C$38*'契約別単価'!F7)</ns0:f>
        <ns0:v>458002.94267355226</ns0:v>
      </ns0:c>
      <ns0:c r="G631" s="16">
        <ns0:f>A631*('前提と出典'!$C$36*'契約別単価'!G5+'前提と出典'!$C$37*'契約別単価'!G6+'前提と出典'!$C$38*'契約別単価'!G7)</ns0:f>
        <ns0:v>1248045.251396648</ns0:v>
      </ns0:c>
      <ns0:c r="H631" s="16">
        <ns0:f>A631*('前提と出典'!$C$36*'契約別単価'!H5+'前提と出典'!$C$37*'契約別単価'!H6+'前提と出典'!$C$38*'契約別単価'!H7)</ns0:f>
        <ns0:v>433134.29662277864</ns0:v>
      </ns0:c>
      <ns0:c r="I631" s="16">
        <ns0:f>A631*('前提と出典'!$C$36*'契約別単価'!I5+'前提と出典'!$C$37*'契約別単価'!I6+'前提と出典'!$C$38*'契約別単価'!I7)</ns0:f>
        <ns0:v>26456.597765363123</ns0:v>
      </ns0:c>
      <ns0:c r="J631" s="16">
        <ns0:f>A631*('前提と出典'!$C$36*'契約別単価'!J5+'前提と出典'!$C$37*'契約別単価'!J6+'前提と出典'!$C$38*'契約別単価'!J7)</ns0:f>
        <ns0:v>61627.54390635971</ns0:v>
      </ns0:c>
      <ns0:c r="K631" s="16">
        <ns0:f>A631*('前提と出典'!$C$36*'契約別単価'!K5+'前提と出典'!$C$37*'契約別単価'!K6+'前提と出典'!$C$38*'契約別単価'!K7)</ns0:f>
        <ns0:v>264157.31843575416</ns0:v>
      </ns0:c>
      <ns0:c r="L631" s="16">
        <ns0:f>A631*('前提と出典'!$C$36*'契約別単価'!L5+'前提と出典'!$C$37*'契約別単価'!L6+'前提と出典'!$C$38*'契約別単価'!L7)</ns0:f>
        <ns0:v>215077.80988742594</ns0:v>
      </ns0:c>
      <ns0:c r="M631" s="16">
        <ns0:f>IF(('前提と出典'!$C$36+'前提と出典'!$C$38)=0,0,IF(B631&lt;=10,'前提と出典'!B73+'前提と出典'!C73,IF(B631&lt;=100,'前提と出典'!B74+'前提と出典'!C74,IF(B631&lt;=500,'前提と出典'!B75+'前提と出典'!C75,'前提と出典'!B76+'前提と出典'!C76))))</ns0:f>
        <ns0:v>40000</ns0:v>
      </ns0:c>
      <ns0:c r="N631" s="16">
        <ns0:f>IF(('前提と出典'!$C$37+'前提と出典'!$C$38)=0,0,IF(C631&lt;=10,'前提と出典'!D73+'前提と出典'!E73,IF(C631&lt;=100,'前提と出典'!D74+'前提と出典'!E74,IF(C631&lt;=500,'前提と出典'!D75+'前提と出典'!E75,'前提と出典'!D76+'前提と出典'!E76))))</ns0:f>
        <ns0:v>56510.9346263078</ns0:v>
      </ns0:c>
      <ns0:c r="O631" s="16">
        <ns0:f>IF('前提と出典'!$C$36+'前提と出典'!$C$38=0,0,'前提と出典'!$B$4*IF('前提と出典'!$B$20=0,MAX('前提と出典'!$B$6,D631*'前提と出典'!$B$5),'前提と出典'!$B$6+D631*'前提と出典'!$B$5))</ns0:f>
        <ns0:v>622600.4916201117</ns0:v>
      </ns0:c>
      <ns0:c r="P631" s="16">
        <ns0:f>(E631+G631)*(1-'前提と出典'!$B$7)-I631-K631-M631-O631</ns0:f>
        <ns0:v>1769356.3977737983</ns0:v>
      </ns0:c>
      <ns0:c r="Q631" s="16">
        <ns0:f>(F631+H631)*(1-'前提と出典'!$B$7)-J631-L631-N631</ns0:f>
        <ns0:v>525840.0102615694</ns0:v>
      </ns0:c>
      <ns0:c r="R631" s="16">
        <ns0:f>P631-E631*'前提と出典'!$E$4</ns0:f>
        <ns0:v>1296496.9009121824</ns0:v>
      </ns0:c>
      <ns0:c r="S631" s="16">
        <ns0:f>Q631-F631*'前提と出典'!$E$4</ns0:f>
        <ns0:v>388439.1274595037</ns0:v>
      </ns0:c>
      <ns0:c r="T631" s="7">
        <ns0:f>R631+S631</ns0:f>
        <ns0:v>1684936.028371686</ns0:v>
      </ns0:c>
      <ns0:c r="U631" s="16">
        <ns0:f>P631-E631*'前提と出典'!$E$5</ns0:f>
        <ns0:v>1138877.0686249773</ns0:v>
      </ns0:c>
      <ns0:c r="V631" s="16">
        <ns0:f>Q631-F631*'前提と出典'!$E$5</ns0:f>
        <ns0:v>342638.8331921485</ns0:v>
      </ns0:c>
      <ns0:c r="W631" s="7">
        <ns0:f>U631+V631</ns0:f>
        <ns0:v>1481515.9018171257</ns0:v>
      </ns0:c>
      <ns0:c r="X631" s="16">
        <ns0:f>P631-E631*'前提と出典'!$E$6</ns0:f>
        <ns0:v>981257.2363377719</ns0:v>
      </ns0:c>
      <ns0:c r="Y631" s="16">
        <ns0:f>Q631-F631*'前提と出典'!$E$6</ns0:f>
        <ns0:v>296838.53892479325</ns0:v>
      </ns0:c>
      <ns0:c r="Z631" s="7">
        <ns0:f>X631+Y631</ns0:f>
        <ns0:v>1278095.7752625651</ns0:v>
      </ns0:c>
      <ns0:c r="AA631" s="7">
        <ns0:f>IF(T631&gt;=0,A631,1001)</ns0:f>
        <ns0:v>627</ns0:v>
      </ns0:c>
      <ns0:c r="AB631" s="7">
        <ns0:f>IF(T631&lt;0,A631,0)</ns0:f>
        <ns0:v>0</ns0:v>
      </ns0:c>
      <ns0:c r="AC631" s="16">
        <ns0:f>IF(AND(OR('前提と出典'!$C$36+'前提と出典'!$C$38=0,R631&gt;=0),OR('前提と出典'!$C$37+'前提と出典'!$C$38=0,S631&gt;=0)),0,A631)</ns0:f>
        <ns0:v>0</ns0:v>
      </ns0:c>
      <ns0:c r="AD631" s="7">
        <ns0:f>IF(W631&gt;=0,A631,1001)</ns0:f>
        <ns0:v>627</ns0:v>
      </ns0:c>
      <ns0:c r="AE631" s="7">
        <ns0:f>IF(W631&lt;0,A631,0)</ns0:f>
        <ns0:v>0</ns0:v>
      </ns0:c>
      <ns0:c r="AF631" s="16">
        <ns0:f>IF(AND(OR('前提と出典'!$C$36+'前提と出典'!$C$38=0,U631&gt;=0),OR('前提と出典'!$C$37+'前提と出典'!$C$38=0,V631&gt;=0)),0,A631)</ns0:f>
        <ns0:v>0</ns0:v>
      </ns0:c>
      <ns0:c r="AG631" s="7">
        <ns0:f>IF(Z631&gt;=0,A631,1001)</ns0:f>
        <ns0:v>627</ns0:v>
      </ns0:c>
      <ns0:c r="AH631" s="4">
        <ns0:f>IF(Z631&lt;0,A631,0)</ns0:f>
        <ns0:v>0</ns0:v>
      </ns0:c>
      <ns0:c r="AI631" s="12">
        <ns0:f>IF(AND(OR('前提と出典'!$C$36+'前提と出典'!$C$38=0,X631&gt;=0),OR('前提と出典'!$C$37+'前提と出典'!$C$38=0,Y631&gt;=0)),0,A631)</ns0:f>
        <ns0:v>0</ns0:v>
      </ns0:c>
    </ns0:row>
    <ns0:row r="632" ht="24" customHeight="1">
      <ns0:c r="A632" s="4" t="n">
        <ns0:v>628</ns0:v>
      </ns0:c>
      <ns0:c r="B632" s="12">
        <ns0:f>A632*('前提と出典'!$C$36+'前提と出典'!$C$38)</ns0:f>
        <ns0:v>439.59999999999997</ns0:v>
      </ns0:c>
      <ns0:c r="C632" s="12">
        <ns0:f>A632*('前提と出典'!$C$37+'前提と出典'!$C$38)</ns0:f>
        <ns0:v>376.8</ns0:v>
      </ns0:c>
      <ns0:c r="D632" s="16">
        <ns0:f>A632*('前提と出典'!$C$36*'契約別単価'!C5+'前提と出典'!$C$37*'契約別単価'!C6+'前提と出典'!$C$38*'契約別単価'!C7)</ns0:f>
        <ns0:v>4518.793296089386</ns0:v>
      </ns0:c>
      <ns0:c r="E632" s="16">
        <ns0:f>A632*('前提と出典'!$C$36*'契約別単価'!E5+'前提と出典'!$C$37*'契約別単価'!E6+'前提と出典'!$C$38*'契約別単価'!E7)</ns0:f>
        <ns0:v>1578712.1957952934</ns0:v>
      </ns0:c>
      <ns0:c r="F632" s="16">
        <ns0:f>A632*('前提と出典'!$C$36*'契約別単価'!F5+'前提と出典'!$C$37*'契約別単価'!F6+'前提と出典'!$C$38*'契約別単価'!F7)</ns0:f>
        <ns0:v>458733.4098867477</ns0:v>
      </ns0:c>
      <ns0:c r="G632" s="16">
        <ns0:f>A632*('前提と出典'!$C$36*'契約別単価'!G5+'前提と出典'!$C$37*'契約別単価'!G6+'前提と出典'!$C$38*'契約別単価'!G7)</ns0:f>
        <ns0:v>1250035.7541899441</ns0:v>
      </ns0:c>
      <ns0:c r="H632" s="16">
        <ns0:f>A632*('前提と出典'!$C$36*'契約別単価'!H5+'前提と出典'!$C$37*'契約別単価'!H6+'前提と出典'!$C$38*'契約別単価'!H7)</ns0:f>
        <ns0:v>433825.10092361236</ns0:v>
      </ns0:c>
      <ns0:c r="I632" s="16">
        <ns0:f>A632*('前提と出典'!$C$36*'契約別単価'!I5+'前提と出典'!$C$37*'契約別単価'!I6+'前提と出典'!$C$38*'契約別単価'!I7)</ns0:f>
        <ns0:v>26498.79329608938</ns0:v>
      </ns0:c>
      <ns0:c r="J632" s="16">
        <ns0:f>A632*('前提と出典'!$C$36*'契約別単価'!J5+'前提と出典'!$C$37*'契約別単価'!J6+'前提と出典'!$C$38*'契約別単価'!J7)</ns0:f>
        <ns0:v>61725.833450070015</ns0:v>
      </ns0:c>
      <ns0:c r="K632" s="16">
        <ns0:f>A632*('前提と出典'!$C$36*'契約別単価'!K5+'前提と出典'!$C$37*'契約別単価'!K6+'前提と出典'!$C$38*'契約別単価'!K7)</ns0:f>
        <ns0:v>264578.6219739292</ns0:v>
      </ns0:c>
      <ns0:c r="L632" s="16">
        <ns0:f>A632*('前提と出典'!$C$36*'契約別単価'!L5+'前提と出典'!$C$37*'契約別単価'!L6+'前提と出典'!$C$38*'契約別単価'!L7)</ns0:f>
        <ns0:v>215420.83669745375</ns0:v>
      </ns0:c>
      <ns0:c r="M632" s="16">
        <ns0:f>IF(('前提と出典'!$C$36+'前提と出典'!$C$38)=0,0,IF(B632&lt;=10,'前提と出典'!B73+'前提と出典'!C73,IF(B632&lt;=100,'前提と出典'!B74+'前提と出典'!C74,IF(B632&lt;=500,'前提と出典'!B75+'前提と出典'!C75,'前提と出典'!B76+'前提と出典'!C76))))</ns0:f>
        <ns0:v>40000</ns0:v>
      </ns0:c>
      <ns0:c r="N632" s="16">
        <ns0:f>IF(('前提と出典'!$C$37+'前提と出典'!$C$38)=0,0,IF(C632&lt;=10,'前提と出典'!D73+'前提と出典'!E73,IF(C632&lt;=100,'前提と出典'!D74+'前提と出典'!E74,IF(C632&lt;=500,'前提と出典'!D75+'前提と出典'!E75,'前提と出典'!D76+'前提と出典'!E76))))</ns0:f>
        <ns0:v>56510.9346263078</ns0:v>
      </ns0:c>
      <ns0:c r="O632" s="16">
        <ns0:f>IF('前提と出典'!$C$36+'前提と出典'!$C$38=0,0,'前提と出典'!$B$4*IF('前提と出典'!$B$20=0,MAX('前提と出典'!$B$6,D632*'前提と出典'!$B$5),'前提と出典'!$B$6+D632*'前提と出典'!$B$5))</ns0:f>
        <ns0:v>623593.4748603354</ns0:v>
      </ns0:c>
      <ns0:c r="P632" s="16">
        <ns0:f>(E632+G632)*(1-'前提と出典'!$B$7)-I632-K632-M632-O632</ns0:f>
        <ns0:v>1772242.1336554154</ns0:v>
      </ns0:c>
      <ns0:c r="Q632" s="16">
        <ns0:f>(F632+H632)*(1-'前提と出典'!$B$7)-J632-L632-N632</ns0:f>
        <ns0:v>526768.7996473556</ns0:v>
      </ns0:c>
      <ns0:c r="R632" s="16">
        <ns0:f>P632-E632*'前提と出典'!$E$4</ns0:f>
        <ns0:v>1298628.474916827</ns0:v>
      </ns0:c>
      <ns0:c r="S632" s="16">
        <ns0:f>Q632-F632*'前提と出典'!$E$4</ns0:f>
        <ns0:v>389148.7766813312</ns0:v>
      </ns0:c>
      <ns0:c r="T632" s="7">
        <ns0:f>R632+S632</ns0:f>
        <ns0:v>1687777.2515981582</ns0:v>
      </ns0:c>
      <ns0:c r="U632" s="16">
        <ns0:f>P632-E632*'前提と出典'!$E$5</ns0:f>
        <ns0:v>1140757.255337298</ns0:v>
      </ns0:c>
      <ns0:c r="V632" s="16">
        <ns0:f>Q632-F632*'前提と出典'!$E$5</ns0:f>
        <ns0:v>343275.43569265644</ns0:v>
      </ns0:c>
      <ns0:c r="W632" s="7">
        <ns0:f>U632+V632</ns0:f>
        <ns0:v>1484032.6910299542</ns0:v>
      </ns0:c>
      <ns0:c r="X632" s="16">
        <ns0:f>P632-E632*'前提と出典'!$E$6</ns0:f>
        <ns0:v>982886.0357577685</ns0:v>
      </ns0:c>
      <ns0:c r="Y632" s="16">
        <ns0:f>Q632-F632*'前提と出典'!$E$6</ns0:f>
        <ns0:v>297402.09470398177</ns0:v>
      </ns0:c>
      <ns0:c r="Z632" s="7">
        <ns0:f>X632+Y632</ns0:f>
        <ns0:v>1280288.1304617503</ns0:v>
      </ns0:c>
      <ns0:c r="AA632" s="7">
        <ns0:f>IF(T632&gt;=0,A632,1001)</ns0:f>
        <ns0:v>628</ns0:v>
      </ns0:c>
      <ns0:c r="AB632" s="7">
        <ns0:f>IF(T632&lt;0,A632,0)</ns0:f>
        <ns0:v>0</ns0:v>
      </ns0:c>
      <ns0:c r="AC632" s="16">
        <ns0:f>IF(AND(OR('前提と出典'!$C$36+'前提と出典'!$C$38=0,R632&gt;=0),OR('前提と出典'!$C$37+'前提と出典'!$C$38=0,S632&gt;=0)),0,A632)</ns0:f>
        <ns0:v>0</ns0:v>
      </ns0:c>
      <ns0:c r="AD632" s="7">
        <ns0:f>IF(W632&gt;=0,A632,1001)</ns0:f>
        <ns0:v>628</ns0:v>
      </ns0:c>
      <ns0:c r="AE632" s="7">
        <ns0:f>IF(W632&lt;0,A632,0)</ns0:f>
        <ns0:v>0</ns0:v>
      </ns0:c>
      <ns0:c r="AF632" s="16">
        <ns0:f>IF(AND(OR('前提と出典'!$C$36+'前提と出典'!$C$38=0,U632&gt;=0),OR('前提と出典'!$C$37+'前提と出典'!$C$38=0,V632&gt;=0)),0,A632)</ns0:f>
        <ns0:v>0</ns0:v>
      </ns0:c>
      <ns0:c r="AG632" s="7">
        <ns0:f>IF(Z632&gt;=0,A632,1001)</ns0:f>
        <ns0:v>628</ns0:v>
      </ns0:c>
      <ns0:c r="AH632" s="4">
        <ns0:f>IF(Z632&lt;0,A632,0)</ns0:f>
        <ns0:v>0</ns0:v>
      </ns0:c>
      <ns0:c r="AI632" s="12">
        <ns0:f>IF(AND(OR('前提と出典'!$C$36+'前提と出典'!$C$38=0,X632&gt;=0),OR('前提と出典'!$C$37+'前提と出典'!$C$38=0,Y632&gt;=0)),0,A632)</ns0:f>
        <ns0:v>0</ns0:v>
      </ns0:c>
    </ns0:row>
    <ns0:row r="633" ht="24" customHeight="1">
      <ns0:c r="A633" s="4" t="n">
        <ns0:v>629</ns0:v>
      </ns0:c>
      <ns0:c r="B633" s="12">
        <ns0:f>A633*('前提と出典'!$C$36+'前提と出典'!$C$38)</ns0:f>
        <ns0:v>440.29999999999995</ns0:v>
      </ns0:c>
      <ns0:c r="C633" s="12">
        <ns0:f>A633*('前提と出典'!$C$37+'前提と出典'!$C$38)</ns0:f>
        <ns0:v>377.4</ns0:v>
      </ns0:c>
      <ns0:c r="D633" s="16">
        <ns0:f>A633*('前提と出典'!$C$36*'契約別単価'!C5+'前提と出典'!$C$37*'契約別単価'!C6+'前提と出典'!$C$38*'契約別単価'!C7)</ns0:f>
        <ns0:v>4525.988826815643</ns0:v>
      </ns0:c>
      <ns0:c r="E633" s="16">
        <ns0:f>A633*('前提と出典'!$C$36*'契約別単価'!E5+'前提と出典'!$C$37*'契約別単価'!E6+'前提と出典'!$C$38*'契約別単価'!E7)</ns0:f>
        <ns0:v>1581226.0687185344</ns0:v>
      </ns0:c>
      <ns0:c r="F633" s="16">
        <ns0:f>A633*('前提と出典'!$C$36*'契約別単価'!F5+'前提と出典'!$C$37*'契約別単価'!F6+'前提と出典'!$C$38*'契約別単価'!F7)</ns0:f>
        <ns0:v>459463.8770999432</ns0:v>
      </ns0:c>
      <ns0:c r="G633" s="16">
        <ns0:f>A633*('前提と出典'!$C$36*'契約別単価'!G5+'前提と出典'!$C$37*'契約別単価'!G6+'前提と出典'!$C$38*'契約別単価'!G7)</ns0:f>
        <ns0:v>1252026.2569832401</ns0:v>
      </ns0:c>
      <ns0:c r="H633" s="16">
        <ns0:f>A633*('前提と出典'!$C$36*'契約別単価'!H5+'前提と出典'!$C$37*'契約別単価'!H6+'前提と出典'!$C$38*'契約別単価'!H7)</ns0:f>
        <ns0:v>434515.90522444615</ns0:v>
      </ns0:c>
      <ns0:c r="I633" s="16">
        <ns0:f>A633*('前提と出典'!$C$36*'契約別単価'!I5+'前提と出典'!$C$37*'契約別単価'!I6+'前提と出典'!$C$38*'契約別単価'!I7)</ns0:f>
        <ns0:v>26540.98882681564</ns0:v>
      </ns0:c>
      <ns0:c r="J633" s="16">
        <ns0:f>A633*('前提と出典'!$C$36*'契約別単価'!J5+'前提と出典'!$C$37*'契約別単価'!J6+'前提と出典'!$C$38*'契約別単価'!J7)</ns0:f>
        <ns0:v>61824.122993780315</ns0:v>
      </ns0:c>
      <ns0:c r="K633" s="16">
        <ns0:f>A633*('前提と出典'!$C$36*'契約別単価'!K5+'前提と出典'!$C$37*'契約別単価'!K6+'前提と出典'!$C$38*'契約別単価'!K7)</ns0:f>
        <ns0:v>264999.92551210424</ns0:v>
      </ns0:c>
      <ns0:c r="L633" s="16">
        <ns0:f>A633*('前提と出典'!$C$36*'契約別単価'!L5+'前提と出典'!$C$37*'契約別単価'!L6+'前提と出典'!$C$38*'契約別単価'!L7)</ns0:f>
        <ns0:v>215763.86350748152</ns0:v>
      </ns0:c>
      <ns0:c r="M633" s="16">
        <ns0:f>IF(('前提と出典'!$C$36+'前提と出典'!$C$38)=0,0,IF(B633&lt;=10,'前提と出典'!B73+'前提と出典'!C73,IF(B633&lt;=100,'前提と出典'!B74+'前提と出典'!C74,IF(B633&lt;=500,'前提と出典'!B75+'前提と出典'!C75,'前提と出典'!B76+'前提と出典'!C76))))</ns0:f>
        <ns0:v>40000</ns0:v>
      </ns0:c>
      <ns0:c r="N633" s="16">
        <ns0:f>IF(('前提と出典'!$C$37+'前提と出典'!$C$38)=0,0,IF(C633&lt;=10,'前提と出典'!D73+'前提と出典'!E73,IF(C633&lt;=100,'前提と出典'!D74+'前提と出典'!E74,IF(C633&lt;=500,'前提と出典'!D75+'前提と出典'!E75,'前提と出典'!D76+'前提と出典'!E76))))</ns0:f>
        <ns0:v>56510.9346263078</ns0:v>
      </ns0:c>
      <ns0:c r="O633" s="16">
        <ns0:f>IF('前提と出典'!$C$36+'前提と出典'!$C$38=0,0,'前提と出典'!$B$4*IF('前提と出典'!$B$20=0,MAX('前提と出典'!$B$6,D633*'前提と出典'!$B$5),'前提と出典'!$B$6+D633*'前提と出典'!$B$5))</ns0:f>
        <ns0:v>624586.4581005587</ns0:v>
      </ns0:c>
      <ns0:c r="P633" s="16">
        <ns0:f>(E633+G633)*(1-'前提と出典'!$B$7)-I633-K633-M633-O633</ns0:f>
        <ns0:v>1775127.869537032</ns0:v>
      </ns0:c>
      <ns0:c r="Q633" s="16">
        <ns0:f>(F633+H633)*(1-'前提と出典'!$B$7)-J633-L633-N633</ns0:f>
        <ns0:v>527697.5890331417</ns0:v>
      </ns0:c>
      <ns0:c r="R633" s="16">
        <ns0:f>P633-E633*'前提と出典'!$E$4</ns0:f>
        <ns0:v>1300760.048921472</ns0:v>
      </ns0:c>
      <ns0:c r="S633" s="16">
        <ns0:f>Q633-F633*'前提と出典'!$E$4</ns0:f>
        <ns0:v>389858.4259031587</ns0:v>
      </ns0:c>
      <ns0:c r="T633" s="7">
        <ns0:f>R633+S633</ns0:f>
        <ns0:v>1690618.4748246307</ns0:v>
      </ns0:c>
      <ns0:c r="U633" s="16">
        <ns0:f>P633-E633*'前提と出典'!$E$5</ns0:f>
        <ns0:v>1142637.442049618</ns0:v>
      </ns0:c>
      <ns0:c r="V633" s="16">
        <ns0:f>Q633-F633*'前提と出典'!$E$5</ns0:f>
        <ns0:v>343912.0381931644</ns0:v>
      </ns0:c>
      <ns0:c r="W633" s="7">
        <ns0:f>U633+V633</ns0:f>
        <ns0:v>1486549.4802427825</ns0:v>
      </ns0:c>
      <ns0:c r="X633" s="16">
        <ns0:f>P633-E633*'前提と出典'!$E$6</ns0:f>
        <ns0:v>984514.8351777648</ns0:v>
      </ns0:c>
      <ns0:c r="Y633" s="16">
        <ns0:f>Q633-F633*'前提と出典'!$E$6</ns0:f>
        <ns0:v>297965.6504831702</ns0:v>
      </ns0:c>
      <ns0:c r="Z633" s="7">
        <ns0:f>X633+Y633</ns0:f>
        <ns0:v>1282480.4856609348</ns0:v>
      </ns0:c>
      <ns0:c r="AA633" s="7">
        <ns0:f>IF(T633&gt;=0,A633,1001)</ns0:f>
        <ns0:v>629</ns0:v>
      </ns0:c>
      <ns0:c r="AB633" s="7">
        <ns0:f>IF(T633&lt;0,A633,0)</ns0:f>
        <ns0:v>0</ns0:v>
      </ns0:c>
      <ns0:c r="AC633" s="16">
        <ns0:f>IF(AND(OR('前提と出典'!$C$36+'前提と出典'!$C$38=0,R633&gt;=0),OR('前提と出典'!$C$37+'前提と出典'!$C$38=0,S633&gt;=0)),0,A633)</ns0:f>
        <ns0:v>0</ns0:v>
      </ns0:c>
      <ns0:c r="AD633" s="7">
        <ns0:f>IF(W633&gt;=0,A633,1001)</ns0:f>
        <ns0:v>629</ns0:v>
      </ns0:c>
      <ns0:c r="AE633" s="7">
        <ns0:f>IF(W633&lt;0,A633,0)</ns0:f>
        <ns0:v>0</ns0:v>
      </ns0:c>
      <ns0:c r="AF633" s="16">
        <ns0:f>IF(AND(OR('前提と出典'!$C$36+'前提と出典'!$C$38=0,U633&gt;=0),OR('前提と出典'!$C$37+'前提と出典'!$C$38=0,V633&gt;=0)),0,A633)</ns0:f>
        <ns0:v>0</ns0:v>
      </ns0:c>
      <ns0:c r="AG633" s="7">
        <ns0:f>IF(Z633&gt;=0,A633,1001)</ns0:f>
        <ns0:v>629</ns0:v>
      </ns0:c>
      <ns0:c r="AH633" s="4">
        <ns0:f>IF(Z633&lt;0,A633,0)</ns0:f>
        <ns0:v>0</ns0:v>
      </ns0:c>
      <ns0:c r="AI633" s="12">
        <ns0:f>IF(AND(OR('前提と出典'!$C$36+'前提と出典'!$C$38=0,X633&gt;=0),OR('前提と出典'!$C$37+'前提と出典'!$C$38=0,Y633&gt;=0)),0,A633)</ns0:f>
        <ns0:v>0</ns0:v>
      </ns0:c>
    </ns0:row>
    <ns0:row r="634" ht="24" customHeight="1">
      <ns0:c r="A634" s="4" t="n">
        <ns0:v>630</ns0:v>
      </ns0:c>
      <ns0:c r="B634" s="12">
        <ns0:f>A634*('前提と出典'!$C$36+'前提と出典'!$C$38)</ns0:f>
        <ns0:v>441</ns0:v>
      </ns0:c>
      <ns0:c r="C634" s="12">
        <ns0:f>A634*('前提と出典'!$C$37+'前提と出典'!$C$38)</ns0:f>
        <ns0:v>378</ns0:v>
      </ns0:c>
      <ns0:c r="D634" s="16">
        <ns0:f>A634*('前提と出典'!$C$36*'契約別単価'!C5+'前提と出典'!$C$37*'契約別単価'!C6+'前提と出典'!$C$38*'契約別単価'!C7)</ns0:f>
        <ns0:v>4533.1843575419</ns0:v>
      </ns0:c>
      <ns0:c r="E634" s="16">
        <ns0:f>A634*('前提と出典'!$C$36*'契約別単価'!E5+'前提と出典'!$C$37*'契約別単価'!E6+'前提と出典'!$C$38*'契約別単価'!E7)</ns0:f>
        <ns0:v>1583739.9416417754</ns0:v>
      </ns0:c>
      <ns0:c r="F634" s="16">
        <ns0:f>A634*('前提と出典'!$C$36*'契約別単価'!F5+'前提と出典'!$C$37*'契約別単価'!F6+'前提と出典'!$C$38*'契約別単価'!F7)</ns0:f>
        <ns0:v>460194.34431313863</ns0:v>
      </ns0:c>
      <ns0:c r="G634" s="16">
        <ns0:f>A634*('前提と出典'!$C$36*'契約別単価'!G5+'前提と出典'!$C$37*'契約別単価'!G6+'前提と出典'!$C$38*'契約別単価'!G7)</ns0:f>
        <ns0:v>1254016.7597765361</ns0:v>
      </ns0:c>
      <ns0:c r="H634" s="16">
        <ns0:f>A634*('前提と出典'!$C$36*'契約別単価'!H5+'前提と出典'!$C$37*'契約別単価'!H6+'前提と出典'!$C$38*'契約別単価'!H7)</ns0:f>
        <ns0:v>435206.70952527993</ns0:v>
      </ns0:c>
      <ns0:c r="I634" s="16">
        <ns0:f>A634*('前提と出典'!$C$36*'契約別単価'!I5+'前提と出典'!$C$37*'契約別単価'!I6+'前提と出典'!$C$38*'契約別単価'!I7)</ns0:f>
        <ns0:v>26583.184357541893</ns0:v>
      </ns0:c>
      <ns0:c r="J634" s="16">
        <ns0:f>A634*('前提と出典'!$C$36*'契約別単価'!J5+'前提と出典'!$C$37*'契約別単価'!J6+'前提と出典'!$C$38*'契約別単価'!J7)</ns0:f>
        <ns0:v>61922.412537490614</ns0:v>
      </ns0:c>
      <ns0:c r="K634" s="16">
        <ns0:f>A634*('前提と出典'!$C$36*'契約別単価'!K5+'前提と出典'!$C$37*'契約別単価'!K6+'前提と出典'!$C$38*'契約別単価'!K7)</ns0:f>
        <ns0:v>265421.2290502793</ns0:v>
      </ns0:c>
      <ns0:c r="L634" s="16">
        <ns0:f>A634*('前提と出典'!$C$36*'契約別単価'!L5+'前提と出典'!$C$37*'契約別単価'!L6+'前提と出典'!$C$38*'契約別単価'!L7)</ns0:f>
        <ns0:v>216106.89031750933</ns0:v>
      </ns0:c>
      <ns0:c r="M634" s="16">
        <ns0:f>IF(('前提と出典'!$C$36+'前提と出典'!$C$38)=0,0,IF(B634&lt;=10,'前提と出典'!B73+'前提と出典'!C73,IF(B634&lt;=100,'前提と出典'!B74+'前提と出典'!C74,IF(B634&lt;=500,'前提と出典'!B75+'前提と出典'!C75,'前提と出典'!B76+'前提と出典'!C76))))</ns0:f>
        <ns0:v>40000</ns0:v>
      </ns0:c>
      <ns0:c r="N634" s="16">
        <ns0:f>IF(('前提と出典'!$C$37+'前提と出典'!$C$38)=0,0,IF(C634&lt;=10,'前提と出典'!D73+'前提と出典'!E73,IF(C634&lt;=100,'前提と出典'!D74+'前提と出典'!E74,IF(C634&lt;=500,'前提と出典'!D75+'前提と出典'!E75,'前提と出典'!D76+'前提と出典'!E76))))</ns0:f>
        <ns0:v>56510.9346263078</ns0:v>
      </ns0:c>
      <ns0:c r="O634" s="16">
        <ns0:f>IF('前提と出典'!$C$36+'前提と出典'!$C$38=0,0,'前提と出典'!$B$4*IF('前提と出典'!$B$20=0,MAX('前提と出典'!$B$6,D634*'前提と出典'!$B$5),'前提と出典'!$B$6+D634*'前提と出典'!$B$5))</ns0:f>
        <ns0:v>625579.4413407822</ns0:v>
      </ns0:c>
      <ns0:c r="P634" s="16">
        <ns0:f>(E634+G634)*(1-'前提と出典'!$B$7)-I634-K634-M634-O634</ns0:f>
        <ns0:v>1778013.6054186486</ns0:v>
      </ns0:c>
      <ns0:c r="Q634" s="16">
        <ns0:f>(F634+H634)*(1-'前提と出典'!$B$7)-J634-L634-N634</ns0:f>
        <ns0:v>528626.3784189278</ns0:v>
      </ns0:c>
      <ns0:c r="R634" s="16">
        <ns0:f>P634-E634*'前提と出典'!$E$4</ns0:f>
        <ns0:v>1302891.6229261158</ns0:v>
      </ns0:c>
      <ns0:c r="S634" s="16">
        <ns0:f>Q634-F634*'前提と出典'!$E$4</ns0:f>
        <ns0:v>390568.07512498624</ns0:v>
      </ns0:c>
      <ns0:c r="T634" s="7">
        <ns0:f>R634+S634</ns0:f>
        <ns0:v>1693459.698051102</ns0:v>
      </ns0:c>
      <ns0:c r="U634" s="16">
        <ns0:f>P634-E634*'前提と出典'!$E$5</ns0:f>
        <ns0:v>1144517.6287619383</ns0:v>
      </ns0:c>
      <ns0:c r="V634" s="16">
        <ns0:f>Q634-F634*'前提と出典'!$E$5</ns0:f>
        <ns0:v>344548.64069367235</ns0:v>
      </ns0:c>
      <ns0:c r="W634" s="7">
        <ns0:f>U634+V634</ns0:f>
        <ns0:v>1489066.2694556108</ns0:v>
      </ns0:c>
      <ns0:c r="X634" s="16">
        <ns0:f>P634-E634*'前提と出典'!$E$6</ns0:f>
        <ns0:v>986143.6345977611</ns0:v>
      </ns0:c>
      <ns0:c r="Y634" s="16">
        <ns0:f>Q634-F634*'前提と出典'!$E$6</ns0:f>
        <ns0:v>298529.20626235846</ns0:v>
      </ns0:c>
      <ns0:c r="Z634" s="7">
        <ns0:f>X634+Y634</ns0:f>
        <ns0:v>1284672.8408601196</ns0:v>
      </ns0:c>
      <ns0:c r="AA634" s="7">
        <ns0:f>IF(T634&gt;=0,A634,1001)</ns0:f>
        <ns0:v>630</ns0:v>
      </ns0:c>
      <ns0:c r="AB634" s="7">
        <ns0:f>IF(T634&lt;0,A634,0)</ns0:f>
        <ns0:v>0</ns0:v>
      </ns0:c>
      <ns0:c r="AC634" s="16">
        <ns0:f>IF(AND(OR('前提と出典'!$C$36+'前提と出典'!$C$38=0,R634&gt;=0),OR('前提と出典'!$C$37+'前提と出典'!$C$38=0,S634&gt;=0)),0,A634)</ns0:f>
        <ns0:v>0</ns0:v>
      </ns0:c>
      <ns0:c r="AD634" s="7">
        <ns0:f>IF(W634&gt;=0,A634,1001)</ns0:f>
        <ns0:v>630</ns0:v>
      </ns0:c>
      <ns0:c r="AE634" s="7">
        <ns0:f>IF(W634&lt;0,A634,0)</ns0:f>
        <ns0:v>0</ns0:v>
      </ns0:c>
      <ns0:c r="AF634" s="16">
        <ns0:f>IF(AND(OR('前提と出典'!$C$36+'前提と出典'!$C$38=0,U634&gt;=0),OR('前提と出典'!$C$37+'前提と出典'!$C$38=0,V634&gt;=0)),0,A634)</ns0:f>
        <ns0:v>0</ns0:v>
      </ns0:c>
      <ns0:c r="AG634" s="7">
        <ns0:f>IF(Z634&gt;=0,A634,1001)</ns0:f>
        <ns0:v>630</ns0:v>
      </ns0:c>
      <ns0:c r="AH634" s="4">
        <ns0:f>IF(Z634&lt;0,A634,0)</ns0:f>
        <ns0:v>0</ns0:v>
      </ns0:c>
      <ns0:c r="AI634" s="12">
        <ns0:f>IF(AND(OR('前提と出典'!$C$36+'前提と出典'!$C$38=0,X634&gt;=0),OR('前提と出典'!$C$37+'前提と出典'!$C$38=0,Y634&gt;=0)),0,A634)</ns0:f>
        <ns0:v>0</ns0:v>
      </ns0:c>
    </ns0:row>
    <ns0:row r="635" ht="24" customHeight="1">
      <ns0:c r="A635" s="4" t="n">
        <ns0:v>631</ns0:v>
      </ns0:c>
      <ns0:c r="B635" s="12">
        <ns0:f>A635*('前提と出典'!$C$36+'前提と出典'!$C$38)</ns0:f>
        <ns0:v>441.7</ns0:v>
      </ns0:c>
      <ns0:c r="C635" s="12">
        <ns0:f>A635*('前提と出典'!$C$37+'前提と出典'!$C$38)</ns0:f>
        <ns0:v>378.59999999999997</ns0:v>
      </ns0:c>
      <ns0:c r="D635" s="16">
        <ns0:f>A635*('前提と出典'!$C$36*'契約別単価'!C5+'前提と出典'!$C$37*'契約別単価'!C6+'前提と出典'!$C$38*'契約別単価'!C7)</ns0:f>
        <ns0:v>4540.379888268157</ns0:v>
      </ns0:c>
      <ns0:c r="E635" s="16">
        <ns0:f>A635*('前提と出典'!$C$36*'契約別単価'!E5+'前提と出典'!$C$37*'契約別単価'!E6+'前提と出典'!$C$38*'契約別単価'!E7)</ns0:f>
        <ns0:v>1586253.8145650162</ns0:v>
      </ns0:c>
      <ns0:c r="F635" s="16">
        <ns0:f>A635*('前提と出典'!$C$36*'契約別単価'!F5+'前提と出典'!$C$37*'契約別単価'!F6+'前提と出典'!$C$38*'契約別単価'!F7)</ns0:f>
        <ns0:v>460924.8115263341</ns0:v>
      </ns0:c>
      <ns0:c r="G635" s="16">
        <ns0:f>A635*('前提と出典'!$C$36*'契約別単価'!G5+'前提と出典'!$C$37*'契約別単価'!G6+'前提と出典'!$C$38*'契約別単価'!G7)</ns0:f>
        <ns0:v>1256007.2625698324</ns0:v>
      </ns0:c>
      <ns0:c r="H635" s="16">
        <ns0:f>A635*('前提と出典'!$C$36*'契約別単価'!H5+'前提と出典'!$C$37*'契約別単価'!H6+'前提と出典'!$C$38*'契約別単価'!H7)</ns0:f>
        <ns0:v>435897.5138261137</ns0:v>
      </ns0:c>
      <ns0:c r="I635" s="16">
        <ns0:f>A635*('前提と出典'!$C$36*'契約別単価'!I5+'前提と出典'!$C$37*'契約別単価'!I6+'前提と出典'!$C$38*'契約別単価'!I7)</ns0:f>
        <ns0:v>26625.37988826815</ns0:v>
      </ns0:c>
      <ns0:c r="J635" s="16">
        <ns0:f>A635*('前提と出典'!$C$36*'契約別単価'!J5+'前提と出典'!$C$37*'契約別単価'!J6+'前提と出典'!$C$38*'契約別単価'!J7)</ns0:f>
        <ns0:v>62020.70208120092</ns0:v>
      </ns0:c>
      <ns0:c r="K635" s="16">
        <ns0:f>A635*('前提と出典'!$C$36*'契約別単価'!K5+'前提と出典'!$C$37*'契約別単価'!K6+'前提と出典'!$C$38*'契約別単価'!K7)</ns0:f>
        <ns0:v>265842.53258845437</ns0:v>
      </ns0:c>
      <ns0:c r="L635" s="16">
        <ns0:f>A635*('前提と出典'!$C$36*'契約別単価'!L5+'前提と出典'!$C$37*'契約別単価'!L6+'前提と出典'!$C$38*'契約別単価'!L7)</ns0:f>
        <ns0:v>216449.9171275371</ns0:v>
      </ns0:c>
      <ns0:c r="M635" s="16">
        <ns0:f>IF(('前提と出典'!$C$36+'前提と出典'!$C$38)=0,0,IF(B635&lt;=10,'前提と出典'!B73+'前提と出典'!C73,IF(B635&lt;=100,'前提と出典'!B74+'前提と出典'!C74,IF(B635&lt;=500,'前提と出典'!B75+'前提と出典'!C75,'前提と出典'!B76+'前提と出典'!C76))))</ns0:f>
        <ns0:v>40000</ns0:v>
      </ns0:c>
      <ns0:c r="N635" s="16">
        <ns0:f>IF(('前提と出典'!$C$37+'前提と出典'!$C$38)=0,0,IF(C635&lt;=10,'前提と出典'!D73+'前提と出典'!E73,IF(C635&lt;=100,'前提と出典'!D74+'前提と出典'!E74,IF(C635&lt;=500,'前提と出典'!D75+'前提と出典'!E75,'前提と出典'!D76+'前提と出典'!E76))))</ns0:f>
        <ns0:v>56510.9346263078</ns0:v>
      </ns0:c>
      <ns0:c r="O635" s="16">
        <ns0:f>IF('前提と出典'!$C$36+'前提と出典'!$C$38=0,0,'前提と出典'!$B$4*IF('前提と出典'!$B$20=0,MAX('前提と出典'!$B$6,D635*'前提と出典'!$B$5),'前提と出典'!$B$6+D635*'前提と出典'!$B$5))</ns0:f>
        <ns0:v>626572.4245810056</ns0:v>
      </ns0:c>
      <ns0:c r="P635" s="16">
        <ns0:f>(E635+G635)*(1-'前提と出典'!$B$7)-I635-K635-M635-O635</ns0:f>
        <ns0:v>1780899.3413002659</ns0:v>
      </ns0:c>
      <ns0:c r="Q635" s="16">
        <ns0:f>(F635+H635)*(1-'前提と出典'!$B$7)-J635-L635-N635</ns0:f>
        <ns0:v>529555.167804714</ns0:v>
      </ns0:c>
      <ns0:c r="R635" s="16">
        <ns0:f>P635-E635*'前提と出典'!$E$4</ns0:f>
        <ns0:v>1305023.196930761</ns0:v>
      </ns0:c>
      <ns0:c r="S635" s="16">
        <ns0:f>Q635-F635*'前提と出典'!$E$4</ns0:f>
        <ns0:v>391277.72434681375</ns0:v>
      </ns0:c>
      <ns0:c r="T635" s="7">
        <ns0:f>R635+S635</ns0:f>
        <ns0:v>1696300.9212775747</ns0:v>
      </ns0:c>
      <ns0:c r="U635" s="16">
        <ns0:f>P635-E635*'前提と出典'!$E$5</ns0:f>
        <ns0:v>1146397.8154742592</ns0:v>
      </ns0:c>
      <ns0:c r="V635" s="16">
        <ns0:f>Q635-F635*'前提と出典'!$E$5</ns0:f>
        <ns0:v>345185.2431941803</ns0:v>
      </ns0:c>
      <ns0:c r="W635" s="7">
        <ns0:f>U635+V635</ns0:f>
        <ns0:v>1491583.0586684395</ns0:v>
      </ns0:c>
      <ns0:c r="X635" s="16">
        <ns0:f>P635-E635*'前提と出典'!$E$6</ns0:f>
        <ns0:v>987772.4340177578</ns0:v>
      </ns0:c>
      <ns0:c r="Y635" s="16">
        <ns0:f>Q635-F635*'前提と出典'!$E$6</ns0:f>
        <ns0:v>299092.76204154687</ns0:v>
      </ns0:c>
      <ns0:c r="Z635" s="7">
        <ns0:f>X635+Y635</ns0:f>
        <ns0:v>1286865.1960593048</ns0:v>
      </ns0:c>
      <ns0:c r="AA635" s="7">
        <ns0:f>IF(T635&gt;=0,A635,1001)</ns0:f>
        <ns0:v>631</ns0:v>
      </ns0:c>
      <ns0:c r="AB635" s="7">
        <ns0:f>IF(T635&lt;0,A635,0)</ns0:f>
        <ns0:v>0</ns0:v>
      </ns0:c>
      <ns0:c r="AC635" s="16">
        <ns0:f>IF(AND(OR('前提と出典'!$C$36+'前提と出典'!$C$38=0,R635&gt;=0),OR('前提と出典'!$C$37+'前提と出典'!$C$38=0,S635&gt;=0)),0,A635)</ns0:f>
        <ns0:v>0</ns0:v>
      </ns0:c>
      <ns0:c r="AD635" s="7">
        <ns0:f>IF(W635&gt;=0,A635,1001)</ns0:f>
        <ns0:v>631</ns0:v>
      </ns0:c>
      <ns0:c r="AE635" s="7">
        <ns0:f>IF(W635&lt;0,A635,0)</ns0:f>
        <ns0:v>0</ns0:v>
      </ns0:c>
      <ns0:c r="AF635" s="16">
        <ns0:f>IF(AND(OR('前提と出典'!$C$36+'前提と出典'!$C$38=0,U635&gt;=0),OR('前提と出典'!$C$37+'前提と出典'!$C$38=0,V635&gt;=0)),0,A635)</ns0:f>
        <ns0:v>0</ns0:v>
      </ns0:c>
      <ns0:c r="AG635" s="7">
        <ns0:f>IF(Z635&gt;=0,A635,1001)</ns0:f>
        <ns0:v>631</ns0:v>
      </ns0:c>
      <ns0:c r="AH635" s="4">
        <ns0:f>IF(Z635&lt;0,A635,0)</ns0:f>
        <ns0:v>0</ns0:v>
      </ns0:c>
      <ns0:c r="AI635" s="12">
        <ns0:f>IF(AND(OR('前提と出典'!$C$36+'前提と出典'!$C$38=0,X635&gt;=0),OR('前提と出典'!$C$37+'前提と出典'!$C$38=0,Y635&gt;=0)),0,A635)</ns0:f>
        <ns0:v>0</ns0:v>
      </ns0:c>
    </ns0:row>
    <ns0:row r="636" ht="24" customHeight="1">
      <ns0:c r="A636" s="4" t="n">
        <ns0:v>632</ns0:v>
      </ns0:c>
      <ns0:c r="B636" s="12">
        <ns0:f>A636*('前提と出典'!$C$36+'前提と出典'!$C$38)</ns0:f>
        <ns0:v>442.4</ns0:v>
      </ns0:c>
      <ns0:c r="C636" s="12">
        <ns0:f>A636*('前提と出典'!$C$37+'前提と出典'!$C$38)</ns0:f>
        <ns0:v>379.2</ns0:v>
      </ns0:c>
      <ns0:c r="D636" s="16">
        <ns0:f>A636*('前提と出典'!$C$36*'契約別単価'!C5+'前提と出典'!$C$37*'契約別単価'!C6+'前提と出典'!$C$38*'契約別単価'!C7)</ns0:f>
        <ns0:v>4547.575418994414</ns0:v>
      </ns0:c>
      <ns0:c r="E636" s="16">
        <ns0:f>A636*('前提と出典'!$C$36*'契約別単価'!E5+'前提と出典'!$C$37*'契約別単価'!E6+'前提と出典'!$C$38*'契約別単価'!E7)</ns0:f>
        <ns0:v>1588767.6874882572</ns0:v>
      </ns0:c>
      <ns0:c r="F636" s="16">
        <ns0:f>A636*('前提と出典'!$C$36*'契約別単価'!F5+'前提と出典'!$C$37*'契約別単価'!F6+'前提と出典'!$C$38*'契約別単価'!F7)</ns0:f>
        <ns0:v>461655.27873952955</ns0:v>
      </ns0:c>
      <ns0:c r="G636" s="16">
        <ns0:f>A636*('前提と出典'!$C$36*'契約別単価'!G5+'前提と出典'!$C$37*'契約別単価'!G6+'前提と出典'!$C$38*'契約別単価'!G7)</ns0:f>
        <ns0:v>1257997.7653631284</ns0:v>
      </ns0:c>
      <ns0:c r="H636" s="16">
        <ns0:f>A636*('前提と出典'!$C$36*'契約別単価'!H5+'前提と出典'!$C$37*'契約別単価'!H6+'前提と出典'!$C$38*'契約別単価'!H7)</ns0:f>
        <ns0:v>436588.3181269475</ns0:v>
      </ns0:c>
      <ns0:c r="I636" s="16">
        <ns0:f>A636*('前提と出典'!$C$36*'契約別単価'!I5+'前提と出典'!$C$37*'契約別単価'!I6+'前提と出典'!$C$38*'契約別単価'!I7)</ns0:f>
        <ns0:v>26667.57541899441</ns0:v>
      </ns0:c>
      <ns0:c r="J636" s="16">
        <ns0:f>A636*('前提と出典'!$C$36*'契約別単価'!J5+'前提と出典'!$C$37*'契約別単価'!J6+'前提と出典'!$C$38*'契約別単価'!J7)</ns0:f>
        <ns0:v>62118.99162491122</ns0:v>
      </ns0:c>
      <ns0:c r="K636" s="16">
        <ns0:f>A636*('前提と出典'!$C$36*'契約別単価'!K5+'前提と出典'!$C$37*'契約別単価'!K6+'前提と出典'!$C$38*'契約別単価'!K7)</ns0:f>
        <ns0:v>266263.8361266294</ns0:v>
      </ns0:c>
      <ns0:c r="L636" s="16">
        <ns0:f>A636*('前提と出典'!$C$36*'契約別単価'!L5+'前提と出典'!$C$37*'契約別単価'!L6+'前提と出典'!$C$38*'契約別単価'!L7)</ns0:f>
        <ns0:v>216792.9439375649</ns0:v>
      </ns0:c>
      <ns0:c r="M636" s="16">
        <ns0:f>IF(('前提と出典'!$C$36+'前提と出典'!$C$38)=0,0,IF(B636&lt;=10,'前提と出典'!B73+'前提と出典'!C73,IF(B636&lt;=100,'前提と出典'!B74+'前提と出典'!C74,IF(B636&lt;=500,'前提と出典'!B75+'前提と出典'!C75,'前提と出典'!B76+'前提と出典'!C76))))</ns0:f>
        <ns0:v>40000</ns0:v>
      </ns0:c>
      <ns0:c r="N636" s="16">
        <ns0:f>IF(('前提と出典'!$C$37+'前提と出典'!$C$38)=0,0,IF(C636&lt;=10,'前提と出典'!D73+'前提と出典'!E73,IF(C636&lt;=100,'前提と出典'!D74+'前提と出典'!E74,IF(C636&lt;=500,'前提と出典'!D75+'前提と出典'!E75,'前提と出典'!D76+'前提と出典'!E76))))</ns0:f>
        <ns0:v>56510.9346263078</ns0:v>
      </ns0:c>
      <ns0:c r="O636" s="16">
        <ns0:f>IF('前提と出典'!$C$36+'前提と出典'!$C$38=0,0,'前提と出典'!$B$4*IF('前提と出典'!$B$20=0,MAX('前提と出典'!$B$6,D636*'前提と出典'!$B$5),'前提と出典'!$B$6+D636*'前提と出典'!$B$5))</ns0:f>
        <ns0:v>627565.4078212291</ns0:v>
      </ns0:c>
      <ns0:c r="P636" s="16">
        <ns0:f>(E636+G636)*(1-'前提と出典'!$B$7)-I636-K636-M636-O636</ns0:f>
        <ns0:v>1783785.0771818832</ns0:v>
      </ns0:c>
      <ns0:c r="Q636" s="16">
        <ns0:f>(F636+H636)*(1-'前提と出典'!$B$7)-J636-L636-N636</ns0:f>
        <ns0:v>530483.9571904999</ns0:v>
      </ns0:c>
      <ns0:c r="R636" s="16">
        <ns0:f>P636-E636*'前提と出典'!$E$4</ns0:f>
        <ns0:v>1307154.770935406</ns0:v>
      </ns0:c>
      <ns0:c r="S636" s="16">
        <ns0:f>Q636-F636*'前提と出典'!$E$4</ns0:f>
        <ns0:v>391987.3735686411</ns0:v>
      </ns0:c>
      <ns0:c r="T636" s="7">
        <ns0:f>R636+S636</ns0:f>
        <ns0:v>1699142.144504047</ns0:v>
      </ns0:c>
      <ns0:c r="U636" s="16">
        <ns0:f>P636-E636*'前提と出典'!$E$5</ns0:f>
        <ns0:v>1148278.00218658</ns0:v>
      </ns0:c>
      <ns0:c r="V636" s="16">
        <ns0:f>Q636-F636*'前提と出典'!$E$5</ns0:f>
        <ns0:v>345821.8456946881</ns0:v>
      </ns0:c>
      <ns0:c r="W636" s="7">
        <ns0:f>U636+V636</ns0:f>
        <ns0:v>1494099.8478812682</ns0:v>
      </ns0:c>
      <ns0:c r="X636" s="16">
        <ns0:f>P636-E636*'前提と出典'!$E$6</ns0:f>
        <ns0:v>989401.2334377548</ns0:v>
      </ns0:c>
      <ns0:c r="Y636" s="16">
        <ns0:f>Q636-F636*'前提と出典'!$E$6</ns0:f>
        <ns0:v>299656.3178207351</ns0:v>
      </ns0:c>
      <ns0:c r="Z636" s="7">
        <ns0:f>X636+Y636</ns0:f>
        <ns0:v>1289057.55125849</ns0:v>
      </ns0:c>
      <ns0:c r="AA636" s="7">
        <ns0:f>IF(T636&gt;=0,A636,1001)</ns0:f>
        <ns0:v>632</ns0:v>
      </ns0:c>
      <ns0:c r="AB636" s="7">
        <ns0:f>IF(T636&lt;0,A636,0)</ns0:f>
        <ns0:v>0</ns0:v>
      </ns0:c>
      <ns0:c r="AC636" s="16">
        <ns0:f>IF(AND(OR('前提と出典'!$C$36+'前提と出典'!$C$38=0,R636&gt;=0),OR('前提と出典'!$C$37+'前提と出典'!$C$38=0,S636&gt;=0)),0,A636)</ns0:f>
        <ns0:v>0</ns0:v>
      </ns0:c>
      <ns0:c r="AD636" s="7">
        <ns0:f>IF(W636&gt;=0,A636,1001)</ns0:f>
        <ns0:v>632</ns0:v>
      </ns0:c>
      <ns0:c r="AE636" s="7">
        <ns0:f>IF(W636&lt;0,A636,0)</ns0:f>
        <ns0:v>0</ns0:v>
      </ns0:c>
      <ns0:c r="AF636" s="16">
        <ns0:f>IF(AND(OR('前提と出典'!$C$36+'前提と出典'!$C$38=0,U636&gt;=0),OR('前提と出典'!$C$37+'前提と出典'!$C$38=0,V636&gt;=0)),0,A636)</ns0:f>
        <ns0:v>0</ns0:v>
      </ns0:c>
      <ns0:c r="AG636" s="7">
        <ns0:f>IF(Z636&gt;=0,A636,1001)</ns0:f>
        <ns0:v>632</ns0:v>
      </ns0:c>
      <ns0:c r="AH636" s="4">
        <ns0:f>IF(Z636&lt;0,A636,0)</ns0:f>
        <ns0:v>0</ns0:v>
      </ns0:c>
      <ns0:c r="AI636" s="12">
        <ns0:f>IF(AND(OR('前提と出典'!$C$36+'前提と出典'!$C$38=0,X636&gt;=0),OR('前提と出典'!$C$37+'前提と出典'!$C$38=0,Y636&gt;=0)),0,A636)</ns0:f>
        <ns0:v>0</ns0:v>
      </ns0:c>
    </ns0:row>
    <ns0:row r="637" ht="24" customHeight="1">
      <ns0:c r="A637" s="4" t="n">
        <ns0:v>633</ns0:v>
      </ns0:c>
      <ns0:c r="B637" s="12">
        <ns0:f>A637*('前提と出典'!$C$36+'前提と出典'!$C$38)</ns0:f>
        <ns0:v>443.09999999999997</ns0:v>
      </ns0:c>
      <ns0:c r="C637" s="12">
        <ns0:f>A637*('前提と出典'!$C$37+'前提と出典'!$C$38)</ns0:f>
        <ns0:v>379.8</ns0:v>
      </ns0:c>
      <ns0:c r="D637" s="16">
        <ns0:f>A637*('前提と出典'!$C$36*'契約別単価'!C5+'前提と出典'!$C$37*'契約別単価'!C6+'前提と出典'!$C$38*'契約別単価'!C7)</ns0:f>
        <ns0:v>4554.770949720671</ns0:v>
      </ns0:c>
      <ns0:c r="E637" s="16">
        <ns0:f>A637*('前提と出典'!$C$36*'契約別単価'!E5+'前提と出典'!$C$37*'契約別単価'!E6+'前提と出典'!$C$38*'契約別単価'!E7)</ns0:f>
        <ns0:v>1591281.5604114982</ns0:v>
      </ns0:c>
      <ns0:c r="F637" s="16">
        <ns0:f>A637*('前提と出典'!$C$36*'契約別単価'!F5+'前提と出典'!$C$37*'契約別単価'!F6+'前提と出典'!$C$38*'契約別単価'!F7)</ns0:f>
        <ns0:v>462385.745952725</ns0:v>
      </ns0:c>
      <ns0:c r="G637" s="16">
        <ns0:f>A637*('前提と出典'!$C$36*'契約別単価'!G5+'前提と出典'!$C$37*'契約別単価'!G6+'前提と出典'!$C$38*'契約別単価'!G7)</ns0:f>
        <ns0:v>1259988.2681564246</ns0:v>
      </ns0:c>
      <ns0:c r="H637" s="16">
        <ns0:f>A637*('前提と出典'!$C$36*'契約別単価'!H5+'前提と出典'!$C$37*'契約別単価'!H6+'前提と出典'!$C$38*'契約別単価'!H7)</ns0:f>
        <ns0:v>437279.1224277813</ns0:v>
      </ns0:c>
      <ns0:c r="I637" s="16">
        <ns0:f>A637*('前提と出典'!$C$36*'契約別単価'!I5+'前提と出典'!$C$37*'契約別単価'!I6+'前提と出典'!$C$38*'契約別単価'!I7)</ns0:f>
        <ns0:v>26709.770949720667</ns0:v>
      </ns0:c>
      <ns0:c r="J637" s="16">
        <ns0:f>A637*('前提と出典'!$C$36*'契約別単価'!J5+'前提と出典'!$C$37*'契約別単価'!J6+'前提と出典'!$C$38*'契約別単価'!J7)</ns0:f>
        <ns0:v>62217.28116862153</ns0:v>
      </ns0:c>
      <ns0:c r="K637" s="16">
        <ns0:f>A637*('前提と出典'!$C$36*'契約別単価'!K5+'前提と出典'!$C$37*'契約別単価'!K6+'前提と出典'!$C$38*'契約別単価'!K7)</ns0:f>
        <ns0:v>266685.13966480445</ns0:v>
      </ns0:c>
      <ns0:c r="L637" s="16">
        <ns0:f>A637*('前提と出典'!$C$36*'契約別単価'!L5+'前提と出典'!$C$37*'契約別単価'!L6+'前提と出典'!$C$38*'契約別単価'!L7)</ns0:f>
        <ns0:v>217135.9707475927</ns0:v>
      </ns0:c>
      <ns0:c r="M637" s="16">
        <ns0:f>IF(('前提と出典'!$C$36+'前提と出典'!$C$38)=0,0,IF(B637&lt;=10,'前提と出典'!B73+'前提と出典'!C73,IF(B637&lt;=100,'前提と出典'!B74+'前提と出典'!C74,IF(B637&lt;=500,'前提と出典'!B75+'前提と出典'!C75,'前提と出典'!B76+'前提と出典'!C76))))</ns0:f>
        <ns0:v>40000</ns0:v>
      </ns0:c>
      <ns0:c r="N637" s="16">
        <ns0:f>IF(('前提と出典'!$C$37+'前提と出典'!$C$38)=0,0,IF(C637&lt;=10,'前提と出典'!D73+'前提と出典'!E73,IF(C637&lt;=100,'前提と出典'!D74+'前提と出典'!E74,IF(C637&lt;=500,'前提と出典'!D75+'前提と出典'!E75,'前提と出典'!D76+'前提と出典'!E76))))</ns0:f>
        <ns0:v>56510.9346263078</ns0:v>
      </ns0:c>
      <ns0:c r="O637" s="16">
        <ns0:f>IF('前提と出典'!$C$36+'前提と出典'!$C$38=0,0,'前提と出典'!$B$4*IF('前提と出典'!$B$20=0,MAX('前提と出典'!$B$6,D637*'前提と出典'!$B$5),'前提と出典'!$B$6+D637*'前提と出典'!$B$5))</ns0:f>
        <ns0:v>628558.3910614526</ns0:v>
      </ns0:c>
      <ns0:c r="P637" s="16">
        <ns0:f>(E637+G637)*(1-'前提と出典'!$B$7)-I637-K637-M637-O637</ns0:f>
        <ns0:v>1786670.8130635</ns0:v>
      </ns0:c>
      <ns0:c r="Q637" s="16">
        <ns0:f>(F637+H637)*(1-'前提と出典'!$B$7)-J637-L637-N637</ns0:f>
        <ns0:v>531412.746576286</ns0:v>
      </ns0:c>
      <ns0:c r="R637" s="16">
        <ns0:f>P637-E637*'前提と出典'!$E$4</ns0:f>
        <ns0:v>1309286.34494005</ns0:v>
      </ns0:c>
      <ns0:c r="S637" s="16">
        <ns0:f>Q637-F637*'前提と出典'!$E$4</ns0:f>
        <ns0:v>392697.02279046853</ns0:v>
      </ns0:c>
      <ns0:c r="T637" s="7">
        <ns0:f>R637+S637</ns0:f>
        <ns0:v>1701983.3677305186</ns0:v>
      </ns0:c>
      <ns0:c r="U637" s="16">
        <ns0:f>P637-E637*'前提と出典'!$E$5</ns0:f>
        <ns0:v>1150158.1888989005</ns0:v>
      </ns0:c>
      <ns0:c r="V637" s="16">
        <ns0:f>Q637-F637*'前提と出典'!$E$5</ns0:f>
        <ns0:v>346458.448195196</ns0:v>
      </ns0:c>
      <ns0:c r="W637" s="7">
        <ns0:f>U637+V637</ns0:f>
        <ns0:v>1496616.6370940965</ns0:v>
      </ns0:c>
      <ns0:c r="X637" s="16">
        <ns0:f>P637-E637*'前提と出典'!$E$6</ns0:f>
        <ns0:v>991030.0328577511</ns0:v>
      </ns0:c>
      <ns0:c r="Y637" s="16">
        <ns0:f>Q637-F637*'前提と出典'!$E$6</ns0:f>
        <ns0:v>300219.87359992357</ns0:v>
      </ns0:c>
      <ns0:c r="Z637" s="7">
        <ns0:f>X637+Y637</ns0:f>
        <ns0:v>1291249.9064576747</ns0:v>
      </ns0:c>
      <ns0:c r="AA637" s="7">
        <ns0:f>IF(T637&gt;=0,A637,1001)</ns0:f>
        <ns0:v>633</ns0:v>
      </ns0:c>
      <ns0:c r="AB637" s="7">
        <ns0:f>IF(T637&lt;0,A637,0)</ns0:f>
        <ns0:v>0</ns0:v>
      </ns0:c>
      <ns0:c r="AC637" s="16">
        <ns0:f>IF(AND(OR('前提と出典'!$C$36+'前提と出典'!$C$38=0,R637&gt;=0),OR('前提と出典'!$C$37+'前提と出典'!$C$38=0,S637&gt;=0)),0,A637)</ns0:f>
        <ns0:v>0</ns0:v>
      </ns0:c>
      <ns0:c r="AD637" s="7">
        <ns0:f>IF(W637&gt;=0,A637,1001)</ns0:f>
        <ns0:v>633</ns0:v>
      </ns0:c>
      <ns0:c r="AE637" s="7">
        <ns0:f>IF(W637&lt;0,A637,0)</ns0:f>
        <ns0:v>0</ns0:v>
      </ns0:c>
      <ns0:c r="AF637" s="16">
        <ns0:f>IF(AND(OR('前提と出典'!$C$36+'前提と出典'!$C$38=0,U637&gt;=0),OR('前提と出典'!$C$37+'前提と出典'!$C$38=0,V637&gt;=0)),0,A637)</ns0:f>
        <ns0:v>0</ns0:v>
      </ns0:c>
      <ns0:c r="AG637" s="7">
        <ns0:f>IF(Z637&gt;=0,A637,1001)</ns0:f>
        <ns0:v>633</ns0:v>
      </ns0:c>
      <ns0:c r="AH637" s="4">
        <ns0:f>IF(Z637&lt;0,A637,0)</ns0:f>
        <ns0:v>0</ns0:v>
      </ns0:c>
      <ns0:c r="AI637" s="12">
        <ns0:f>IF(AND(OR('前提と出典'!$C$36+'前提と出典'!$C$38=0,X637&gt;=0),OR('前提と出典'!$C$37+'前提と出典'!$C$38=0,Y637&gt;=0)),0,A637)</ns0:f>
        <ns0:v>0</ns0:v>
      </ns0:c>
    </ns0:row>
    <ns0:row r="638" ht="24" customHeight="1">
      <ns0:c r="A638" s="4" t="n">
        <ns0:v>634</ns0:v>
      </ns0:c>
      <ns0:c r="B638" s="12">
        <ns0:f>A638*('前提と出典'!$C$36+'前提と出典'!$C$38)</ns0:f>
        <ns0:v>443.79999999999995</ns0:v>
      </ns0:c>
      <ns0:c r="C638" s="12">
        <ns0:f>A638*('前提と出典'!$C$37+'前提と出典'!$C$38)</ns0:f>
        <ns0:v>380.4</ns0:v>
      </ns0:c>
      <ns0:c r="D638" s="16">
        <ns0:f>A638*('前提と出典'!$C$36*'契約別単価'!C5+'前提と出典'!$C$37*'契約別単価'!C6+'前提と出典'!$C$38*'契約別単価'!C7)</ns0:f>
        <ns0:v>4561.966480446928</ns0:v>
      </ns0:c>
      <ns0:c r="E638" s="16">
        <ns0:f>A638*('前提と出典'!$C$36*'契約別単価'!E5+'前提と出典'!$C$37*'契約別単価'!E6+'前提と出典'!$C$38*'契約別単価'!E7)</ns0:f>
        <ns0:v>1593795.433334739</ns0:v>
      </ns0:c>
      <ns0:c r="F638" s="16">
        <ns0:f>A638*('前提と出典'!$C$36*'契約別単価'!F5+'前提と出典'!$C$37*'契約別単価'!F6+'前提と出典'!$C$38*'契約別単価'!F7)</ns0:f>
        <ns0:v>463116.21316592046</ns0:v>
      </ns0:c>
      <ns0:c r="G638" s="16">
        <ns0:f>A638*('前提と出典'!$C$36*'契約別単価'!G5+'前提と出典'!$C$37*'契約別単価'!G6+'前提と出典'!$C$38*'契約別単価'!G7)</ns0:f>
        <ns0:v>1261978.7709497206</ns0:v>
      </ns0:c>
      <ns0:c r="H638" s="16">
        <ns0:f>A638*('前提と出典'!$C$36*'契約別単価'!H5+'前提と出典'!$C$37*'契約別単価'!H6+'前提と出典'!$C$38*'契約別単価'!H7)</ns0:f>
        <ns0:v>437969.9267286151</ns0:v>
      </ns0:c>
      <ns0:c r="I638" s="16">
        <ns0:f>A638*('前提と出典'!$C$36*'契約別単価'!I5+'前提と出典'!$C$37*'契約別単価'!I6+'前提と出典'!$C$38*'契約別単価'!I7)</ns0:f>
        <ns0:v>26751.96648044692</ns0:v>
      </ns0:c>
      <ns0:c r="J638" s="16">
        <ns0:f>A638*('前提と出典'!$C$36*'契約別単価'!J5+'前提と出典'!$C$37*'契約別単価'!J6+'前提と出典'!$C$38*'契約別単価'!J7)</ns0:f>
        <ns0:v>62315.57071233183</ns0:v>
      </ns0:c>
      <ns0:c r="K638" s="16">
        <ns0:f>A638*('前提と出典'!$C$36*'契約別単価'!K5+'前提と出典'!$C$37*'契約別単価'!K6+'前提と出典'!$C$38*'契約別単価'!K7)</ns0:f>
        <ns0:v>267106.4432029795</ns0:v>
      </ns0:c>
      <ns0:c r="L638" s="16">
        <ns0:f>A638*('前提と出典'!$C$36*'契約別単価'!L5+'前提と出典'!$C$37*'契約別単価'!L6+'前提と出典'!$C$38*'契約別単価'!L7)</ns0:f>
        <ns0:v>217478.9975576205</ns0:v>
      </ns0:c>
      <ns0:c r="M638" s="16">
        <ns0:f>IF(('前提と出典'!$C$36+'前提と出典'!$C$38)=0,0,IF(B638&lt;=10,'前提と出典'!B73+'前提と出典'!C73,IF(B638&lt;=100,'前提と出典'!B74+'前提と出典'!C74,IF(B638&lt;=500,'前提と出典'!B75+'前提と出典'!C75,'前提と出典'!B76+'前提と出典'!C76))))</ns0:f>
        <ns0:v>40000</ns0:v>
      </ns0:c>
      <ns0:c r="N638" s="16">
        <ns0:f>IF(('前提と出典'!$C$37+'前提と出典'!$C$38)=0,0,IF(C638&lt;=10,'前提と出典'!D73+'前提と出典'!E73,IF(C638&lt;=100,'前提と出典'!D74+'前提と出典'!E74,IF(C638&lt;=500,'前提と出典'!D75+'前提と出典'!E75,'前提と出典'!D76+'前提と出典'!E76))))</ns0:f>
        <ns0:v>56510.9346263078</ns0:v>
      </ns0:c>
      <ns0:c r="O638" s="16">
        <ns0:f>IF('前提と出典'!$C$36+'前提と出典'!$C$38=0,0,'前提と出典'!$B$4*IF('前提と出典'!$B$20=0,MAX('前提と出典'!$B$6,D638*'前提と出典'!$B$5),'前提と出典'!$B$6+D638*'前提と出典'!$B$5))</ns0:f>
        <ns0:v>629551.374301676</ns0:v>
      </ns0:c>
      <ns0:c r="P638" s="16">
        <ns0:f>(E638+G638)*(1-'前提と出典'!$B$7)-I638-K638-M638-O638</ns0:f>
        <ns0:v>1789556.5489451166</ns0:v>
      </ns0:c>
      <ns0:c r="Q638" s="16">
        <ns0:f>(F638+H638)*(1-'前提と出典'!$B$7)-J638-L638-N638</ns0:f>
        <ns0:v>532341.5359620722</ns0:v>
      </ns0:c>
      <ns0:c r="R638" s="16">
        <ns0:f>P638-E638*'前提と出典'!$E$4</ns0:f>
        <ns0:v>1311417.9189446946</ns0:v>
      </ns0:c>
      <ns0:c r="S638" s="16">
        <ns0:f>Q638-F638*'前提と出典'!$E$4</ns0:f>
        <ns0:v>393406.6720122959</ns0:v>
      </ns0:c>
      <ns0:c r="T638" s="7">
        <ns0:f>R638+S638</ns0:f>
        <ns0:v>1704824.5909569906</ns0:v>
      </ns0:c>
      <ns0:c r="U638" s="16">
        <ns0:f>P638-E638*'前提と出典'!$E$5</ns0:f>
        <ns0:v>1152038.375611221</ns0:v>
      </ns0:c>
      <ns0:c r="V638" s="16">
        <ns0:f>Q638-F638*'前提と出典'!$E$5</ns0:f>
        <ns0:v>347095.05069570395</ns0:v>
      </ns0:c>
      <ns0:c r="W638" s="7">
        <ns0:f>U638+V638</ns0:f>
        <ns0:v>1499133.4263069248</ns0:v>
      </ns0:c>
      <ns0:c r="X638" s="16">
        <ns0:f>P638-E638*'前提と出典'!$E$6</ns0:f>
        <ns0:v>992658.832277747</ns0:v>
      </ns0:c>
      <ns0:c r="Y638" s="16">
        <ns0:f>Q638-F638*'前提と出典'!$E$6</ns0:f>
        <ns0:v>300783.42937911185</ns0:v>
      </ns0:c>
      <ns0:c r="Z638" s="7">
        <ns0:f>X638+Y638</ns0:f>
        <ns0:v>1293442.261656859</ns0:v>
      </ns0:c>
      <ns0:c r="AA638" s="7">
        <ns0:f>IF(T638&gt;=0,A638,1001)</ns0:f>
        <ns0:v>634</ns0:v>
      </ns0:c>
      <ns0:c r="AB638" s="7">
        <ns0:f>IF(T638&lt;0,A638,0)</ns0:f>
        <ns0:v>0</ns0:v>
      </ns0:c>
      <ns0:c r="AC638" s="16">
        <ns0:f>IF(AND(OR('前提と出典'!$C$36+'前提と出典'!$C$38=0,R638&gt;=0),OR('前提と出典'!$C$37+'前提と出典'!$C$38=0,S638&gt;=0)),0,A638)</ns0:f>
        <ns0:v>0</ns0:v>
      </ns0:c>
      <ns0:c r="AD638" s="7">
        <ns0:f>IF(W638&gt;=0,A638,1001)</ns0:f>
        <ns0:v>634</ns0:v>
      </ns0:c>
      <ns0:c r="AE638" s="7">
        <ns0:f>IF(W638&lt;0,A638,0)</ns0:f>
        <ns0:v>0</ns0:v>
      </ns0:c>
      <ns0:c r="AF638" s="16">
        <ns0:f>IF(AND(OR('前提と出典'!$C$36+'前提と出典'!$C$38=0,U638&gt;=0),OR('前提と出典'!$C$37+'前提と出典'!$C$38=0,V638&gt;=0)),0,A638)</ns0:f>
        <ns0:v>0</ns0:v>
      </ns0:c>
      <ns0:c r="AG638" s="7">
        <ns0:f>IF(Z638&gt;=0,A638,1001)</ns0:f>
        <ns0:v>634</ns0:v>
      </ns0:c>
      <ns0:c r="AH638" s="4">
        <ns0:f>IF(Z638&lt;0,A638,0)</ns0:f>
        <ns0:v>0</ns0:v>
      </ns0:c>
      <ns0:c r="AI638" s="12">
        <ns0:f>IF(AND(OR('前提と出典'!$C$36+'前提と出典'!$C$38=0,X638&gt;=0),OR('前提と出典'!$C$37+'前提と出典'!$C$38=0,Y638&gt;=0)),0,A638)</ns0:f>
        <ns0:v>0</ns0:v>
      </ns0:c>
    </ns0:row>
    <ns0:row r="639" ht="24" customHeight="1">
      <ns0:c r="A639" s="4" t="n">
        <ns0:v>635</ns0:v>
      </ns0:c>
      <ns0:c r="B639" s="12">
        <ns0:f>A639*('前提と出典'!$C$36+'前提と出典'!$C$38)</ns0:f>
        <ns0:v>444.5</ns0:v>
      </ns0:c>
      <ns0:c r="C639" s="12">
        <ns0:f>A639*('前提と出典'!$C$37+'前提と出典'!$C$38)</ns0:f>
        <ns0:v>381</ns0:v>
      </ns0:c>
      <ns0:c r="D639" s="16">
        <ns0:f>A639*('前提と出典'!$C$36*'契約別単価'!C5+'前提と出典'!$C$37*'契約別単価'!C6+'前提と出典'!$C$38*'契約別単価'!C7)</ns0:f>
        <ns0:v>4569.1620111731845</ns0:v>
      </ns0:c>
      <ns0:c r="E639" s="16">
        <ns0:f>A639*('前提と出典'!$C$36*'契約別単価'!E5+'前提と出典'!$C$37*'契約別単価'!E6+'前提と出典'!$C$38*'契約別単価'!E7)</ns0:f>
        <ns0:v>1596309.30625798</ns0:v>
      </ns0:c>
      <ns0:c r="F639" s="16">
        <ns0:f>A639*('前提と出典'!$C$36*'契約別単価'!F5+'前提と出典'!$C$37*'契約別単価'!F6+'前提と出典'!$C$38*'契約別単価'!F7)</ns0:f>
        <ns0:v>463846.6803791159</ns0:v>
      </ns0:c>
      <ns0:c r="G639" s="16">
        <ns0:f>A639*('前提と出典'!$C$36*'契約別単価'!G5+'前提と出典'!$C$37*'契約別単価'!G6+'前提と出典'!$C$38*'契約別単価'!G7)</ns0:f>
        <ns0:v>1263969.2737430166</ns0:v>
      </ns0:c>
      <ns0:c r="H639" s="16">
        <ns0:f>A639*('前提と出典'!$C$36*'契約別単価'!H5+'前提と出典'!$C$37*'契約別単価'!H6+'前提と出典'!$C$38*'契約別単価'!H7)</ns0:f>
        <ns0:v>438660.73102944886</ns0:v>
      </ns0:c>
      <ns0:c r="I639" s="16">
        <ns0:f>A639*('前提と出典'!$C$36*'契約別単価'!I5+'前提と出典'!$C$37*'契約別単価'!I6+'前提と出典'!$C$38*'契約別単価'!I7)</ns0:f>
        <ns0:v>26794.16201117318</ns0:v>
      </ns0:c>
      <ns0:c r="J639" s="16">
        <ns0:f>A639*('前提と出典'!$C$36*'契約別単価'!J5+'前提と出典'!$C$37*'契約別単価'!J6+'前提と出典'!$C$38*'契約別単価'!J7)</ns0:f>
        <ns0:v>62413.86025604213</ns0:v>
      </ns0:c>
      <ns0:c r="K639" s="16">
        <ns0:f>A639*('前提と出典'!$C$36*'契約別単価'!K5+'前提と出典'!$C$37*'契約別単価'!K6+'前提と出典'!$C$38*'契約別単価'!K7)</ns0:f>
        <ns0:v>267527.7467411545</ns0:v>
      </ns0:c>
      <ns0:c r="L639" s="16">
        <ns0:f>A639*('前提と出典'!$C$36*'契約別単価'!L5+'前提と出典'!$C$37*'契約別単価'!L6+'前提と出典'!$C$38*'契約別単価'!L7)</ns0:f>
        <ns0:v>217822.0243676483</ns0:v>
      </ns0:c>
      <ns0:c r="M639" s="16">
        <ns0:f>IF(('前提と出典'!$C$36+'前提と出典'!$C$38)=0,0,IF(B639&lt;=10,'前提と出典'!B73+'前提と出典'!C73,IF(B639&lt;=100,'前提と出典'!B74+'前提と出典'!C74,IF(B639&lt;=500,'前提と出典'!B75+'前提と出典'!C75,'前提と出典'!B76+'前提と出典'!C76))))</ns0:f>
        <ns0:v>40000</ns0:v>
      </ns0:c>
      <ns0:c r="N639" s="16">
        <ns0:f>IF(('前提と出典'!$C$37+'前提と出典'!$C$38)=0,0,IF(C639&lt;=10,'前提と出典'!D73+'前提と出典'!E73,IF(C639&lt;=100,'前提と出典'!D74+'前提と出典'!E74,IF(C639&lt;=500,'前提と出典'!D75+'前提と出典'!E75,'前提と出典'!D76+'前提と出典'!E76))))</ns0:f>
        <ns0:v>56510.9346263078</ns0:v>
      </ns0:c>
      <ns0:c r="O639" s="16">
        <ns0:f>IF('前提と出典'!$C$36+'前提と出典'!$C$38=0,0,'前提と出典'!$B$4*IF('前提と出典'!$B$20=0,MAX('前提と出典'!$B$6,D639*'前提と出典'!$B$5),'前提と出典'!$B$6+D639*'前提と出典'!$B$5))</ns0:f>
        <ns0:v>630544.3575418995</ns0:v>
      </ns0:c>
      <ns0:c r="P639" s="16">
        <ns0:f>(E639+G639)*(1-'前提と出典'!$B$7)-I639-K639-M639-O639</ns0:f>
        <ns0:v>1792442.2848267339</ns0:v>
      </ns0:c>
      <ns0:c r="Q639" s="16">
        <ns0:f>(F639+H639)*(1-'前提と出典'!$B$7)-J639-L639-N639</ns0:f>
        <ns0:v>533270.3253478582</ns0:v>
      </ns0:c>
      <ns0:c r="R639" s="16">
        <ns0:f>P639-E639*'前提と出典'!$E$4</ns0:f>
        <ns0:v>1313549.4929493396</ns0:v>
      </ns0:c>
      <ns0:c r="S639" s="16">
        <ns0:f>Q639-F639*'前提と出典'!$E$4</ns0:f>
        <ns0:v>394116.32123412355</ns0:v>
      </ns0:c>
      <ns0:c r="T639" s="7">
        <ns0:f>R639+S639</ns0:f>
        <ns0:v>1707665.814183463</ns0:v>
      </ns0:c>
      <ns0:c r="U639" s="16">
        <ns0:f>P639-E639*'前提と出典'!$E$5</ns0:f>
        <ns0:v>1153918.5623235418</ns0:v>
      </ns0:c>
      <ns0:c r="V639" s="16">
        <ns0:f>Q639-F639*'前提と出典'!$E$5</ns0:f>
        <ns0:v>347731.6531962119</ns0:v>
      </ns0:c>
      <ns0:c r="W639" s="7">
        <ns0:f>U639+V639</ns0:f>
        <ns0:v>1501650.2155197538</ns0:v>
      </ns0:c>
      <ns0:c r="X639" s="16">
        <ns0:f>P639-E639*'前提と出典'!$E$6</ns0:f>
        <ns0:v>994287.6316977435</ns0:v>
      </ns0:c>
      <ns0:c r="Y639" s="16">
        <ns0:f>Q639-F639*'前提と出典'!$E$6</ns0:f>
        <ns0:v>301346.98515830026</ns0:v>
      </ns0:c>
      <ns0:c r="Z639" s="7">
        <ns0:f>X639+Y639</ns0:f>
        <ns0:v>1295634.6168560437</ns0:v>
      </ns0:c>
      <ns0:c r="AA639" s="7">
        <ns0:f>IF(T639&gt;=0,A639,1001)</ns0:f>
        <ns0:v>635</ns0:v>
      </ns0:c>
      <ns0:c r="AB639" s="7">
        <ns0:f>IF(T639&lt;0,A639,0)</ns0:f>
        <ns0:v>0</ns0:v>
      </ns0:c>
      <ns0:c r="AC639" s="16">
        <ns0:f>IF(AND(OR('前提と出典'!$C$36+'前提と出典'!$C$38=0,R639&gt;=0),OR('前提と出典'!$C$37+'前提と出典'!$C$38=0,S639&gt;=0)),0,A639)</ns0:f>
        <ns0:v>0</ns0:v>
      </ns0:c>
      <ns0:c r="AD639" s="7">
        <ns0:f>IF(W639&gt;=0,A639,1001)</ns0:f>
        <ns0:v>635</ns0:v>
      </ns0:c>
      <ns0:c r="AE639" s="7">
        <ns0:f>IF(W639&lt;0,A639,0)</ns0:f>
        <ns0:v>0</ns0:v>
      </ns0:c>
      <ns0:c r="AF639" s="16">
        <ns0:f>IF(AND(OR('前提と出典'!$C$36+'前提と出典'!$C$38=0,U639&gt;=0),OR('前提と出典'!$C$37+'前提と出典'!$C$38=0,V639&gt;=0)),0,A639)</ns0:f>
        <ns0:v>0</ns0:v>
      </ns0:c>
      <ns0:c r="AG639" s="7">
        <ns0:f>IF(Z639&gt;=0,A639,1001)</ns0:f>
        <ns0:v>635</ns0:v>
      </ns0:c>
      <ns0:c r="AH639" s="4">
        <ns0:f>IF(Z639&lt;0,A639,0)</ns0:f>
        <ns0:v>0</ns0:v>
      </ns0:c>
      <ns0:c r="AI639" s="12">
        <ns0:f>IF(AND(OR('前提と出典'!$C$36+'前提と出典'!$C$38=0,X639&gt;=0),OR('前提と出典'!$C$37+'前提と出典'!$C$38=0,Y639&gt;=0)),0,A639)</ns0:f>
        <ns0:v>0</ns0:v>
      </ns0:c>
    </ns0:row>
    <ns0:row r="640" ht="24" customHeight="1">
      <ns0:c r="A640" s="4" t="n">
        <ns0:v>636</ns0:v>
      </ns0:c>
      <ns0:c r="B640" s="12">
        <ns0:f>A640*('前提と出典'!$C$36+'前提と出典'!$C$38)</ns0:f>
        <ns0:v>445.2</ns0:v>
      </ns0:c>
      <ns0:c r="C640" s="12">
        <ns0:f>A640*('前提と出典'!$C$37+'前提と出典'!$C$38)</ns0:f>
        <ns0:v>381.59999999999997</ns0:v>
      </ns0:c>
      <ns0:c r="D640" s="16">
        <ns0:f>A640*('前提と出典'!$C$36*'契約別単価'!C5+'前提と出典'!$C$37*'契約別単価'!C6+'前提と出典'!$C$38*'契約別単価'!C7)</ns0:f>
        <ns0:v>4576.3575418994415</ns0:v>
      </ns0:c>
      <ns0:c r="E640" s="16">
        <ns0:f>A640*('前提と出典'!$C$36*'契約別単価'!E5+'前提と出典'!$C$37*'契約別単価'!E6+'前提と出典'!$C$38*'契約別単価'!E7)</ns0:f>
        <ns0:v>1598823.1791812207</ns0:v>
      </ns0:c>
      <ns0:c r="F640" s="16">
        <ns0:f>A640*('前提と出典'!$C$36*'契約別単価'!F5+'前提と出典'!$C$37*'契約別単価'!F6+'前提と出典'!$C$38*'契約別単価'!F7)</ns0:f>
        <ns0:v>464577.1475923114</ns0:v>
      </ns0:c>
      <ns0:c r="G640" s="16">
        <ns0:f>A640*('前提と出典'!$C$36*'契約別単価'!G5+'前提と出典'!$C$37*'契約別単価'!G6+'前提と出典'!$C$38*'契約別単価'!G7)</ns0:f>
        <ns0:v>1265959.776536313</ns0:v>
      </ns0:c>
      <ns0:c r="H640" s="16">
        <ns0:f>A640*('前提と出典'!$C$36*'契約別単価'!H5+'前提と出典'!$C$37*'契約別単価'!H6+'前提と出典'!$C$38*'契約別単価'!H7)</ns0:f>
        <ns0:v>439351.5353302826</ns0:v>
      </ns0:c>
      <ns0:c r="I640" s="16">
        <ns0:f>A640*('前提と出典'!$C$36*'契約別単価'!I5+'前提と出典'!$C$37*'契約別単価'!I6+'前提と出典'!$C$38*'契約別単価'!I7)</ns0:f>
        <ns0:v>26836.357541899437</ns0:v>
      </ns0:c>
      <ns0:c r="J640" s="16">
        <ns0:f>A640*('前提と出典'!$C$36*'契約別単価'!J5+'前提と出典'!$C$37*'契約別単価'!J6+'前提と出典'!$C$38*'契約別単価'!J7)</ns0:f>
        <ns0:v>62512.149799752435</ns0:v>
      </ns0:c>
      <ns0:c r="K640" s="16">
        <ns0:f>A640*('前提と出典'!$C$36*'契約別単価'!K5+'前提と出典'!$C$37*'契約別単価'!K6+'前提と出典'!$C$38*'契約別単価'!K7)</ns0:f>
        <ns0:v>267949.0502793296</ns0:v>
      </ns0:c>
      <ns0:c r="L640" s="16">
        <ns0:f>A640*('前提と出典'!$C$36*'契約別単価'!L5+'前提と出典'!$C$37*'契約別単価'!L6+'前提と出典'!$C$38*'契約別単価'!L7)</ns0:f>
        <ns0:v>218165.05117767607</ns0:v>
      </ns0:c>
      <ns0:c r="M640" s="16">
        <ns0:f>IF(('前提と出典'!$C$36+'前提と出典'!$C$38)=0,0,IF(B640&lt;=10,'前提と出典'!B73+'前提と出典'!C73,IF(B640&lt;=100,'前提と出典'!B74+'前提と出典'!C74,IF(B640&lt;=500,'前提と出典'!B75+'前提と出典'!C75,'前提と出典'!B76+'前提と出典'!C76))))</ns0:f>
        <ns0:v>40000</ns0:v>
      </ns0:c>
      <ns0:c r="N640" s="16">
        <ns0:f>IF(('前提と出典'!$C$37+'前提と出典'!$C$38)=0,0,IF(C640&lt;=10,'前提と出典'!D73+'前提と出典'!E73,IF(C640&lt;=100,'前提と出典'!D74+'前提と出典'!E74,IF(C640&lt;=500,'前提と出典'!D75+'前提と出典'!E75,'前提と出典'!D76+'前提と出典'!E76))))</ns0:f>
        <ns0:v>56510.9346263078</ns0:v>
      </ns0:c>
      <ns0:c r="O640" s="16">
        <ns0:f>IF('前提と出典'!$C$36+'前提と出典'!$C$38=0,0,'前提と出典'!$B$4*IF('前提と出典'!$B$20=0,MAX('前提と出典'!$B$6,D640*'前提と出典'!$B$5),'前提と出典'!$B$6+D640*'前提と出典'!$B$5))</ns0:f>
        <ns0:v>631537.3407821229</ns0:v>
      </ns0:c>
      <ns0:c r="P640" s="16">
        <ns0:f>(E640+G640)*(1-'前提と出典'!$B$7)-I640-K640-M640-O640</ns0:f>
        <ns0:v>1795328.020708351</ns0:v>
      </ns0:c>
      <ns0:c r="Q640" s="16">
        <ns0:f>(F640+H640)*(1-'前提と出典'!$B$7)-J640-L640-N640</ns0:f>
        <ns0:v>534199.1147336444</ns0:v>
      </ns0:c>
      <ns0:c r="R640" s="16">
        <ns0:f>P640-E640*'前提と出典'!$E$4</ns0:f>
        <ns0:v>1315681.0669539843</ns0:v>
      </ns0:c>
      <ns0:c r="S640" s="16">
        <ns0:f>Q640-F640*'前提と出典'!$E$4</ns0:f>
        <ns0:v>394825.97045595094</ns0:v>
      </ns0:c>
      <ns0:c r="T640" s="7">
        <ns0:f>R640+S640</ns0:f>
        <ns0:v>1710507.0374099351</ns0:v>
      </ns0:c>
      <ns0:c r="U640" s="16">
        <ns0:f>P640-E640*'前提と出典'!$E$5</ns0:f>
        <ns0:v>1155798.7490358627</ns0:v>
      </ns0:c>
      <ns0:c r="V640" s="16">
        <ns0:f>Q640-F640*'前提と出典'!$E$5</ns0:f>
        <ns0:v>348368.25569671986</ns0:v>
      </ns0:c>
      <ns0:c r="W640" s="7">
        <ns0:f>U640+V640</ns0:f>
        <ns0:v>1504167.0047325827</ns0:v>
      </ns0:c>
      <ns0:c r="X640" s="16">
        <ns0:f>P640-E640*'前提と出典'!$E$6</ns0:f>
        <ns0:v>995916.4311177402</ns0:v>
      </ns0:c>
      <ns0:c r="Y640" s="16">
        <ns0:f>Q640-F640*'前提と出典'!$E$6</ns0:f>
        <ns0:v>301910.5409374888</ns0:v>
      </ns0:c>
      <ns0:c r="Z640" s="7">
        <ns0:f>X640+Y640</ns0:f>
        <ns0:v>1297826.972055229</ns0:v>
      </ns0:c>
      <ns0:c r="AA640" s="7">
        <ns0:f>IF(T640&gt;=0,A640,1001)</ns0:f>
        <ns0:v>636</ns0:v>
      </ns0:c>
      <ns0:c r="AB640" s="7">
        <ns0:f>IF(T640&lt;0,A640,0)</ns0:f>
        <ns0:v>0</ns0:v>
      </ns0:c>
      <ns0:c r="AC640" s="16">
        <ns0:f>IF(AND(OR('前提と出典'!$C$36+'前提と出典'!$C$38=0,R640&gt;=0),OR('前提と出典'!$C$37+'前提と出典'!$C$38=0,S640&gt;=0)),0,A640)</ns0:f>
        <ns0:v>0</ns0:v>
      </ns0:c>
      <ns0:c r="AD640" s="7">
        <ns0:f>IF(W640&gt;=0,A640,1001)</ns0:f>
        <ns0:v>636</ns0:v>
      </ns0:c>
      <ns0:c r="AE640" s="7">
        <ns0:f>IF(W640&lt;0,A640,0)</ns0:f>
        <ns0:v>0</ns0:v>
      </ns0:c>
      <ns0:c r="AF640" s="16">
        <ns0:f>IF(AND(OR('前提と出典'!$C$36+'前提と出典'!$C$38=0,U640&gt;=0),OR('前提と出典'!$C$37+'前提と出典'!$C$38=0,V640&gt;=0)),0,A640)</ns0:f>
        <ns0:v>0</ns0:v>
      </ns0:c>
      <ns0:c r="AG640" s="7">
        <ns0:f>IF(Z640&gt;=0,A640,1001)</ns0:f>
        <ns0:v>636</ns0:v>
      </ns0:c>
      <ns0:c r="AH640" s="4">
        <ns0:f>IF(Z640&lt;0,A640,0)</ns0:f>
        <ns0:v>0</ns0:v>
      </ns0:c>
      <ns0:c r="AI640" s="12">
        <ns0:f>IF(AND(OR('前提と出典'!$C$36+'前提と出典'!$C$38=0,X640&gt;=0),OR('前提と出典'!$C$37+'前提と出典'!$C$38=0,Y640&gt;=0)),0,A640)</ns0:f>
        <ns0:v>0</ns0:v>
      </ns0:c>
    </ns0:row>
    <ns0:row r="641" ht="24" customHeight="1">
      <ns0:c r="A641" s="4" t="n">
        <ns0:v>637</ns0:v>
      </ns0:c>
      <ns0:c r="B641" s="12">
        <ns0:f>A641*('前提と出典'!$C$36+'前提と出典'!$C$38)</ns0:f>
        <ns0:v>445.9</ns0:v>
      </ns0:c>
      <ns0:c r="C641" s="12">
        <ns0:f>A641*('前提と出典'!$C$37+'前提と出典'!$C$38)</ns0:f>
        <ns0:v>382.2</ns0:v>
      </ns0:c>
      <ns0:c r="D641" s="16">
        <ns0:f>A641*('前提と出典'!$C$36*'契約別単価'!C5+'前提と出典'!$C$37*'契約別単価'!C6+'前提と出典'!$C$38*'契約別単価'!C7)</ns0:f>
        <ns0:v>4583.553072625698</ns0:v>
      </ns0:c>
      <ns0:c r="E641" s="16">
        <ns0:f>A641*('前提と出典'!$C$36*'契約別単価'!E5+'前提と出典'!$C$37*'契約別単価'!E6+'前提と出典'!$C$38*'契約別単価'!E7)</ns0:f>
        <ns0:v>1601337.0521044617</ns0:v>
      </ns0:c>
      <ns0:c r="F641" s="16">
        <ns0:f>A641*('前提と出典'!$C$36*'契約別単価'!F5+'前提と出典'!$C$37*'契約別単価'!F6+'前提と出典'!$C$38*'契約別単価'!F7)</ns0:f>
        <ns0:v>465307.61480550683</ns0:v>
      </ns0:c>
      <ns0:c r="G641" s="16">
        <ns0:f>A641*('前提と出典'!$C$36*'契約別単価'!G5+'前提と出典'!$C$37*'契約別単価'!G6+'前提と出典'!$C$38*'契約別単価'!G7)</ns0:f>
        <ns0:v>1267950.279329609</ns0:v>
      </ns0:c>
      <ns0:c r="H641" s="16">
        <ns0:f>A641*('前提と出典'!$C$36*'契約別単価'!H5+'前提と出典'!$C$37*'契約別単価'!H6+'前提と出典'!$C$38*'契約別単価'!H7)</ns0:f>
        <ns0:v>440042.33963111637</ns0:v>
      </ns0:c>
      <ns0:c r="I641" s="16">
        <ns0:f>A641*('前提と出典'!$C$36*'契約別単価'!I5+'前提と出典'!$C$37*'契約別単価'!I6+'前提と出典'!$C$38*'契約別単価'!I7)</ns0:f>
        <ns0:v>26878.553072625695</ns0:v>
      </ns0:c>
      <ns0:c r="J641" s="16">
        <ns0:f>A641*('前提と出典'!$C$36*'契約別単価'!J5+'前提と出典'!$C$37*'契約別単価'!J6+'前提と出典'!$C$38*'契約別単価'!J7)</ns0:f>
        <ns0:v>62610.439343462735</ns0:v>
      </ns0:c>
      <ns0:c r="K641" s="16">
        <ns0:f>A641*('前提と出典'!$C$36*'契約別単価'!K5+'前提と出典'!$C$37*'契約別単価'!K6+'前提と出典'!$C$38*'契約別単価'!K7)</ns0:f>
        <ns0:v>268370.35381750466</ns0:v>
      </ns0:c>
      <ns0:c r="L641" s="16">
        <ns0:f>A641*('前提と出典'!$C$36*'契約別単価'!L5+'前提と出典'!$C$37*'契約別単価'!L6+'前提と出典'!$C$38*'契約別単価'!L7)</ns0:f>
        <ns0:v>218508.07798770387</ns0:v>
      </ns0:c>
      <ns0:c r="M641" s="16">
        <ns0:f>IF(('前提と出典'!$C$36+'前提と出典'!$C$38)=0,0,IF(B641&lt;=10,'前提と出典'!B73+'前提と出典'!C73,IF(B641&lt;=100,'前提と出典'!B74+'前提と出典'!C74,IF(B641&lt;=500,'前提と出典'!B75+'前提と出典'!C75,'前提と出典'!B76+'前提と出典'!C76))))</ns0:f>
        <ns0:v>40000</ns0:v>
      </ns0:c>
      <ns0:c r="N641" s="16">
        <ns0:f>IF(('前提と出典'!$C$37+'前提と出典'!$C$38)=0,0,IF(C641&lt;=10,'前提と出典'!D73+'前提と出典'!E73,IF(C641&lt;=100,'前提と出典'!D74+'前提と出典'!E74,IF(C641&lt;=500,'前提と出典'!D75+'前提と出典'!E75,'前提と出典'!D76+'前提と出典'!E76))))</ns0:f>
        <ns0:v>56510.9346263078</ns0:v>
      </ns0:c>
      <ns0:c r="O641" s="16">
        <ns0:f>IF('前提と出典'!$C$36+'前提と出典'!$C$38=0,0,'前提と出典'!$B$4*IF('前提と出典'!$B$20=0,MAX('前提と出典'!$B$6,D641*'前提と出典'!$B$5),'前提と出典'!$B$6+D641*'前提と出典'!$B$5))</ns0:f>
        <ns0:v>632530.3240223464</ns0:v>
      </ns0:c>
      <ns0:c r="P641" s="16">
        <ns0:f>(E641+G641)*(1-'前提と出典'!$B$7)-I641-K641-M641-O641</ns0:f>
        <ns0:v>1798213.7565899673</ns0:v>
      </ns0:c>
      <ns0:c r="Q641" s="16">
        <ns0:f>(F641+H641)*(1-'前提と出典'!$B$7)-J641-L641-N641</ns0:f>
        <ns0:v>535127.9041194305</ns0:v>
      </ns0:c>
      <ns0:c r="R641" s="16">
        <ns0:f>P641-E641*'前提と出典'!$E$4</ns0:f>
        <ns0:v>1317812.6409586286</ns0:v>
      </ns0:c>
      <ns0:c r="S641" s="16">
        <ns0:f>Q641-F641*'前提と出典'!$E$4</ns0:f>
        <ns0:v>395535.61967777845</ns0:v>
      </ns0:c>
      <ns0:c r="T641" s="7">
        <ns0:f>R641+S641</ns0:f>
        <ns0:v>1713348.260636407</ns0:v>
      </ns0:c>
      <ns0:c r="U641" s="16">
        <ns0:f>P641-E641*'前提と出典'!$E$5</ns0:f>
        <ns0:v>1157678.9357481827</ns0:v>
      </ns0:c>
      <ns0:c r="V641" s="16">
        <ns0:f>Q641-F641*'前提と出典'!$E$5</ns0:f>
        <ns0:v>349004.8581972277</ns0:v>
      </ns0:c>
      <ns0:c r="W641" s="7">
        <ns0:f>U641+V641</ns0:f>
        <ns0:v>1506683.7939454103</ns0:v>
      </ns0:c>
      <ns0:c r="X641" s="16">
        <ns0:f>P641-E641*'前提と出典'!$E$6</ns0:f>
        <ns0:v>997545.2305377363</ns0:v>
      </ns0:c>
      <ns0:c r="Y641" s="16">
        <ns0:f>Q641-F641*'前提と出典'!$E$6</ns0:f>
        <ns0:v>302474.0967166771</ns0:v>
      </ns0:c>
      <ns0:c r="Z641" s="7">
        <ns0:f>X641+Y641</ns0:f>
        <ns0:v>1300019.3272544134</ns0:v>
      </ns0:c>
      <ns0:c r="AA641" s="7">
        <ns0:f>IF(T641&gt;=0,A641,1001)</ns0:f>
        <ns0:v>637</ns0:v>
      </ns0:c>
      <ns0:c r="AB641" s="7">
        <ns0:f>IF(T641&lt;0,A641,0)</ns0:f>
        <ns0:v>0</ns0:v>
      </ns0:c>
      <ns0:c r="AC641" s="16">
        <ns0:f>IF(AND(OR('前提と出典'!$C$36+'前提と出典'!$C$38=0,R641&gt;=0),OR('前提と出典'!$C$37+'前提と出典'!$C$38=0,S641&gt;=0)),0,A641)</ns0:f>
        <ns0:v>0</ns0:v>
      </ns0:c>
      <ns0:c r="AD641" s="7">
        <ns0:f>IF(W641&gt;=0,A641,1001)</ns0:f>
        <ns0:v>637</ns0:v>
      </ns0:c>
      <ns0:c r="AE641" s="7">
        <ns0:f>IF(W641&lt;0,A641,0)</ns0:f>
        <ns0:v>0</ns0:v>
      </ns0:c>
      <ns0:c r="AF641" s="16">
        <ns0:f>IF(AND(OR('前提と出典'!$C$36+'前提と出典'!$C$38=0,U641&gt;=0),OR('前提と出典'!$C$37+'前提と出典'!$C$38=0,V641&gt;=0)),0,A641)</ns0:f>
        <ns0:v>0</ns0:v>
      </ns0:c>
      <ns0:c r="AG641" s="7">
        <ns0:f>IF(Z641&gt;=0,A641,1001)</ns0:f>
        <ns0:v>637</ns0:v>
      </ns0:c>
      <ns0:c r="AH641" s="4">
        <ns0:f>IF(Z641&lt;0,A641,0)</ns0:f>
        <ns0:v>0</ns0:v>
      </ns0:c>
      <ns0:c r="AI641" s="12">
        <ns0:f>IF(AND(OR('前提と出典'!$C$36+'前提と出典'!$C$38=0,X641&gt;=0),OR('前提と出典'!$C$37+'前提と出典'!$C$38=0,Y641&gt;=0)),0,A641)</ns0:f>
        <ns0:v>0</ns0:v>
      </ns0:c>
    </ns0:row>
    <ns0:row r="642" ht="24" customHeight="1">
      <ns0:c r="A642" s="4" t="n">
        <ns0:v>638</ns0:v>
      </ns0:c>
      <ns0:c r="B642" s="12">
        <ns0:f>A642*('前提と出典'!$C$36+'前提と出典'!$C$38)</ns0:f>
        <ns0:v>446.59999999999997</ns0:v>
      </ns0:c>
      <ns0:c r="C642" s="12">
        <ns0:f>A642*('前提と出典'!$C$37+'前提と出典'!$C$38)</ns0:f>
        <ns0:v>382.8</ns0:v>
      </ns0:c>
      <ns0:c r="D642" s="16">
        <ns0:f>A642*('前提と出典'!$C$36*'契約別単価'!C5+'前提と出典'!$C$37*'契約別単価'!C6+'前提と出典'!$C$38*'契約別単価'!C7)</ns0:f>
        <ns0:v>4590.748603351955</ns0:v>
      </ns0:c>
      <ns0:c r="E642" s="16">
        <ns0:f>A642*('前提と出典'!$C$36*'契約別単価'!E5+'前提と出典'!$C$37*'契約別単価'!E6+'前提と出典'!$C$38*'契約別単価'!E7)</ns0:f>
        <ns0:v>1603850.9250277027</ns0:v>
      </ns0:c>
      <ns0:c r="F642" s="16">
        <ns0:f>A642*('前提と出典'!$C$36*'契約別単価'!F5+'前提と出典'!$C$37*'契約別単価'!F6+'前提と出典'!$C$38*'契約別単価'!F7)</ns0:f>
        <ns0:v>466038.0820187023</ns0:v>
      </ns0:c>
      <ns0:c r="G642" s="16">
        <ns0:f>A642*('前提と出典'!$C$36*'契約別単価'!G5+'前提と出典'!$C$37*'契約別単価'!G6+'前提と出典'!$C$38*'契約別単価'!G7)</ns0:f>
        <ns0:v>1269940.782122905</ns0:v>
      </ns0:c>
      <ns0:c r="H642" s="16">
        <ns0:f>A642*('前提と出典'!$C$36*'契約別単価'!H5+'前提と出典'!$C$37*'契約別単価'!H6+'前提と出典'!$C$38*'契約別単価'!H7)</ns0:f>
        <ns0:v>440733.14393195015</ns0:v>
      </ns0:c>
      <ns0:c r="I642" s="16">
        <ns0:f>A642*('前提と出典'!$C$36*'契約別単価'!I5+'前提と出典'!$C$37*'契約別単価'!I6+'前提と出典'!$C$38*'契約別単価'!I7)</ns0:f>
        <ns0:v>26920.74860335195</ns0:v>
      </ns0:c>
      <ns0:c r="J642" s="16">
        <ns0:f>A642*('前提と出典'!$C$36*'契約別単価'!J5+'前提と出典'!$C$37*'契約別単価'!J6+'前提と出典'!$C$38*'契約別単価'!J7)</ns0:f>
        <ns0:v>62708.728887173034</ns0:v>
      </ns0:c>
      <ns0:c r="K642" s="16">
        <ns0:f>A642*('前提と出典'!$C$36*'契約別単価'!K5+'前提と出典'!$C$37*'契約別単価'!K6+'前提と出典'!$C$38*'契約別単価'!K7)</ns0:f>
        <ns0:v>268791.65735567966</ns0:v>
      </ns0:c>
      <ns0:c r="L642" s="16">
        <ns0:f>A642*('前提と出典'!$C$36*'契約別単価'!L5+'前提と出典'!$C$37*'契約別単価'!L6+'前提と出典'!$C$38*'契約別単価'!L7)</ns0:f>
        <ns0:v>218851.10479773168</ns0:v>
      </ns0:c>
      <ns0:c r="M642" s="16">
        <ns0:f>IF(('前提と出典'!$C$36+'前提と出典'!$C$38)=0,0,IF(B642&lt;=10,'前提と出典'!B73+'前提と出典'!C73,IF(B642&lt;=100,'前提と出典'!B74+'前提と出典'!C74,IF(B642&lt;=500,'前提と出典'!B75+'前提と出典'!C75,'前提と出典'!B76+'前提と出典'!C76))))</ns0:f>
        <ns0:v>40000</ns0:v>
      </ns0:c>
      <ns0:c r="N642" s="16">
        <ns0:f>IF(('前提と出典'!$C$37+'前提と出典'!$C$38)=0,0,IF(C642&lt;=10,'前提と出典'!D73+'前提と出典'!E73,IF(C642&lt;=100,'前提と出典'!D74+'前提と出典'!E74,IF(C642&lt;=500,'前提と出典'!D75+'前提と出典'!E75,'前提と出典'!D76+'前提と出典'!E76))))</ns0:f>
        <ns0:v>56510.9346263078</ns0:v>
      </ns0:c>
      <ns0:c r="O642" s="16">
        <ns0:f>IF('前提と出典'!$C$36+'前提と出典'!$C$38=0,0,'前提と出典'!$B$4*IF('前提と出典'!$B$20=0,MAX('前提と出典'!$B$6,D642*'前提と出典'!$B$5),'前提と出典'!$B$6+D642*'前提と出典'!$B$5))</ns0:f>
        <ns0:v>633523.3072625699</ns0:v>
      </ns0:c>
      <ns0:c r="P642" s="16">
        <ns0:f>(E642+G642)*(1-'前提と出典'!$B$7)-I642-K642-M642-O642</ns0:f>
        <ns0:v>1801099.4924715841</ns0:v>
      </ns0:c>
      <ns0:c r="Q642" s="16">
        <ns0:f>(F642+H642)*(1-'前提と出典'!$B$7)-J642-L642-N642</ns0:f>
        <ns0:v>536056.6935052165</ns0:v>
      </ns0:c>
      <ns0:c r="R642" s="16">
        <ns0:f>P642-E642*'前提と出典'!$E$4</ns0:f>
        <ns0:v>1319944.214963273</ns0:v>
      </ns0:c>
      <ns0:c r="S642" s="16">
        <ns0:f>Q642-F642*'前提と出典'!$E$4</ns0:f>
        <ns0:v>396245.2688996059</ns0:v>
      </ns0:c>
      <ns0:c r="T642" s="7">
        <ns0:f>R642+S642</ns0:f>
        <ns0:v>1716189.4838628788</ns0:v>
      </ns0:c>
      <ns0:c r="U642" s="16">
        <ns0:f>P642-E642*'前提と出典'!$E$5</ns0:f>
        <ns0:v>1159559.122460503</ns0:v>
      </ns0:c>
      <ns0:c r="V642" s="16">
        <ns0:f>Q642-F642*'前提と出典'!$E$5</ns0:f>
        <ns0:v>349641.4606977356</ns0:v>
      </ns0:c>
      <ns0:c r="W642" s="7">
        <ns0:f>U642+V642</ns0:f>
        <ns0:v>1509200.5831582386</ns0:v>
      </ns0:c>
      <ns0:c r="X642" s="16">
        <ns0:f>P642-E642*'前提と出典'!$E$6</ns0:f>
        <ns0:v>999174.0299577327</ns0:v>
      </ns0:c>
      <ns0:c r="Y642" s="16">
        <ns0:f>Q642-F642*'前提と出典'!$E$6</ns0:f>
        <ns0:v>303037.6524958654</ns0:v>
      </ns0:c>
      <ns0:c r="Z642" s="7">
        <ns0:f>X642+Y642</ns0:f>
        <ns0:v>1302211.6824535981</ns0:v>
      </ns0:c>
      <ns0:c r="AA642" s="7">
        <ns0:f>IF(T642&gt;=0,A642,1001)</ns0:f>
        <ns0:v>638</ns0:v>
      </ns0:c>
      <ns0:c r="AB642" s="7">
        <ns0:f>IF(T642&lt;0,A642,0)</ns0:f>
        <ns0:v>0</ns0:v>
      </ns0:c>
      <ns0:c r="AC642" s="16">
        <ns0:f>IF(AND(OR('前提と出典'!$C$36+'前提と出典'!$C$38=0,R642&gt;=0),OR('前提と出典'!$C$37+'前提と出典'!$C$38=0,S642&gt;=0)),0,A642)</ns0:f>
        <ns0:v>0</ns0:v>
      </ns0:c>
      <ns0:c r="AD642" s="7">
        <ns0:f>IF(W642&gt;=0,A642,1001)</ns0:f>
        <ns0:v>638</ns0:v>
      </ns0:c>
      <ns0:c r="AE642" s="7">
        <ns0:f>IF(W642&lt;0,A642,0)</ns0:f>
        <ns0:v>0</ns0:v>
      </ns0:c>
      <ns0:c r="AF642" s="16">
        <ns0:f>IF(AND(OR('前提と出典'!$C$36+'前提と出典'!$C$38=0,U642&gt;=0),OR('前提と出典'!$C$37+'前提と出典'!$C$38=0,V642&gt;=0)),0,A642)</ns0:f>
        <ns0:v>0</ns0:v>
      </ns0:c>
      <ns0:c r="AG642" s="7">
        <ns0:f>IF(Z642&gt;=0,A642,1001)</ns0:f>
        <ns0:v>638</ns0:v>
      </ns0:c>
      <ns0:c r="AH642" s="4">
        <ns0:f>IF(Z642&lt;0,A642,0)</ns0:f>
        <ns0:v>0</ns0:v>
      </ns0:c>
      <ns0:c r="AI642" s="12">
        <ns0:f>IF(AND(OR('前提と出典'!$C$36+'前提と出典'!$C$38=0,X642&gt;=0),OR('前提と出典'!$C$37+'前提と出典'!$C$38=0,Y642&gt;=0)),0,A642)</ns0:f>
        <ns0:v>0</ns0:v>
      </ns0:c>
    </ns0:row>
    <ns0:row r="643" ht="24" customHeight="1">
      <ns0:c r="A643" s="4" t="n">
        <ns0:v>639</ns0:v>
      </ns0:c>
      <ns0:c r="B643" s="12">
        <ns0:f>A643*('前提と出典'!$C$36+'前提と出典'!$C$38)</ns0:f>
        <ns0:v>447.29999999999995</ns0:v>
      </ns0:c>
      <ns0:c r="C643" s="12">
        <ns0:f>A643*('前提と出典'!$C$37+'前提と出典'!$C$38)</ns0:f>
        <ns0:v>383.4</ns0:v>
      </ns0:c>
      <ns0:c r="D643" s="16">
        <ns0:f>A643*('前提と出典'!$C$36*'契約別単価'!C5+'前提と出典'!$C$37*'契約別単価'!C6+'前提と出典'!$C$38*'契約別単価'!C7)</ns0:f>
        <ns0:v>4597.944134078212</ns0:v>
      </ns0:c>
      <ns0:c r="E643" s="16">
        <ns0:f>A643*('前提と出典'!$C$36*'契約別単価'!E5+'前提と出典'!$C$37*'契約別単価'!E6+'前提と出典'!$C$38*'契約別単価'!E7)</ns0:f>
        <ns0:v>1606364.7979509435</ns0:v>
      </ns0:c>
      <ns0:c r="F643" s="16">
        <ns0:f>A643*('前提と出典'!$C$36*'契約別単価'!F5+'前提と出典'!$C$37*'契約別単価'!F6+'前提と出典'!$C$38*'契約別単価'!F7)</ns0:f>
        <ns0:v>466768.54923189775</ns0:v>
      </ns0:c>
      <ns0:c r="G643" s="16">
        <ns0:f>A643*('前提と出典'!$C$36*'契約別単価'!G5+'前提と出典'!$C$37*'契約別単価'!G6+'前提と出典'!$C$38*'契約別単価'!G7)</ns0:f>
        <ns0:v>1271931.2849162011</ns0:v>
      </ns0:c>
      <ns0:c r="H643" s="16">
        <ns0:f>A643*('前提と出典'!$C$36*'契約別単価'!H5+'前提と出典'!$C$37*'契約別単価'!H6+'前提と出典'!$C$38*'契約別単価'!H7)</ns0:f>
        <ns0:v>441423.94823278394</ns0:v>
      </ns0:c>
      <ns0:c r="I643" s="16">
        <ns0:f>A643*('前提と出典'!$C$36*'契約別単価'!I5+'前提と出典'!$C$37*'契約別単価'!I6+'前提と出典'!$C$38*'契約別単価'!I7)</ns0:f>
        <ns0:v>26962.944134078207</ns0:v>
      </ns0:c>
      <ns0:c r="J643" s="16">
        <ns0:f>A643*('前提と出典'!$C$36*'契約別単価'!J5+'前提と出典'!$C$37*'契約別単価'!J6+'前提と出典'!$C$38*'契約別単価'!J7)</ns0:f>
        <ns0:v>62807.01843088334</ns0:v>
      </ns0:c>
      <ns0:c r="K643" s="16">
        <ns0:f>A643*('前提と出典'!$C$36*'契約別単価'!K5+'前提と出典'!$C$37*'契約別単価'!K6+'前提と出典'!$C$38*'契約別単価'!K7)</ns0:f>
        <ns0:v>269212.96089385473</ns0:v>
      </ns0:c>
      <ns0:c r="L643" s="16">
        <ns0:f>A643*('前提と出典'!$C$36*'契約別単価'!L5+'前提と出典'!$C$37*'契約別単価'!L6+'前提と出典'!$C$38*'契約別単価'!L7)</ns0:f>
        <ns0:v>219194.13160775945</ns0:v>
      </ns0:c>
      <ns0:c r="M643" s="16">
        <ns0:f>IF(('前提と出典'!$C$36+'前提と出典'!$C$38)=0,0,IF(B643&lt;=10,'前提と出典'!B73+'前提と出典'!C73,IF(B643&lt;=100,'前提と出典'!B74+'前提と出典'!C74,IF(B643&lt;=500,'前提と出典'!B75+'前提と出典'!C75,'前提と出典'!B76+'前提と出典'!C76))))</ns0:f>
        <ns0:v>40000</ns0:v>
      </ns0:c>
      <ns0:c r="N643" s="16">
        <ns0:f>IF(('前提と出典'!$C$37+'前提と出典'!$C$38)=0,0,IF(C643&lt;=10,'前提と出典'!D73+'前提と出典'!E73,IF(C643&lt;=100,'前提と出典'!D74+'前提と出典'!E74,IF(C643&lt;=500,'前提と出典'!D75+'前提と出典'!E75,'前提と出典'!D76+'前提と出典'!E76))))</ns0:f>
        <ns0:v>56510.9346263078</ns0:v>
      </ns0:c>
      <ns0:c r="O643" s="16">
        <ns0:f>IF('前提と出典'!$C$36+'前提と出典'!$C$38=0,0,'前提と出典'!$B$4*IF('前提と出典'!$B$20=0,MAX('前提と出典'!$B$6,D643*'前提と出典'!$B$5),'前提と出典'!$B$6+D643*'前提と出典'!$B$5))</ns0:f>
        <ns0:v>634516.2905027934</ns0:v>
      </ns0:c>
      <ns0:c r="P643" s="16">
        <ns0:f>(E643+G643)*(1-'前提と出典'!$B$7)-I643-K643-M643-O643</ns0:f>
        <ns0:v>1803985.2283532014</ns0:v>
      </ns0:c>
      <ns0:c r="Q643" s="16">
        <ns0:f>(F643+H643)*(1-'前提と出典'!$B$7)-J643-L643-N643</ns0:f>
        <ns0:v>536985.4828910026</ns0:v>
      </ns0:c>
      <ns0:c r="R643" s="16">
        <ns0:f>P643-E643*'前提と出典'!$E$4</ns0:f>
        <ns0:v>1322075.7889679186</ns0:v>
      </ns0:c>
      <ns0:c r="S643" s="16">
        <ns0:f>Q643-F643*'前提と出典'!$E$4</ns0:f>
        <ns0:v>396954.9181214333</ns0:v>
      </ns0:c>
      <ns0:c r="T643" s="7">
        <ns0:f>R643+S643</ns0:f>
        <ns0:v>1719030.707089352</ns0:v>
      </ns0:c>
      <ns0:c r="U643" s="16">
        <ns0:f>P643-E643*'前提と出典'!$E$5</ns0:f>
        <ns0:v>1161439.309172824</ns0:v>
      </ns0:c>
      <ns0:c r="V643" s="16">
        <ns0:f>Q643-F643*'前提と出典'!$E$5</ns0:f>
        <ns0:v>350278.06319824344</ns0:v>
      </ns0:c>
      <ns0:c r="W643" s="7">
        <ns0:f>U643+V643</ns0:f>
        <ns0:v>1511717.3723710675</ns0:v>
      </ns0:c>
      <ns0:c r="X643" s="16">
        <ns0:f>P643-E643*'前提と出典'!$E$6</ns0:f>
        <ns0:v>1000802.8293777292</ns0:v>
      </ns0:c>
      <ns0:c r="Y643" s="16">
        <ns0:f>Q643-F643*'前提と出典'!$E$6</ns0:f>
        <ns0:v>303601.2082750537</ns0:v>
      </ns0:c>
      <ns0:c r="Z643" s="7">
        <ns0:f>X643+Y643</ns0:f>
        <ns0:v>1304404.0376527829</ns0:v>
      </ns0:c>
      <ns0:c r="AA643" s="7">
        <ns0:f>IF(T643&gt;=0,A643,1001)</ns0:f>
        <ns0:v>639</ns0:v>
      </ns0:c>
      <ns0:c r="AB643" s="7">
        <ns0:f>IF(T643&lt;0,A643,0)</ns0:f>
        <ns0:v>0</ns0:v>
      </ns0:c>
      <ns0:c r="AC643" s="16">
        <ns0:f>IF(AND(OR('前提と出典'!$C$36+'前提と出典'!$C$38=0,R643&gt;=0),OR('前提と出典'!$C$37+'前提と出典'!$C$38=0,S643&gt;=0)),0,A643)</ns0:f>
        <ns0:v>0</ns0:v>
      </ns0:c>
      <ns0:c r="AD643" s="7">
        <ns0:f>IF(W643&gt;=0,A643,1001)</ns0:f>
        <ns0:v>639</ns0:v>
      </ns0:c>
      <ns0:c r="AE643" s="7">
        <ns0:f>IF(W643&lt;0,A643,0)</ns0:f>
        <ns0:v>0</ns0:v>
      </ns0:c>
      <ns0:c r="AF643" s="16">
        <ns0:f>IF(AND(OR('前提と出典'!$C$36+'前提と出典'!$C$38=0,U643&gt;=0),OR('前提と出典'!$C$37+'前提と出典'!$C$38=0,V643&gt;=0)),0,A643)</ns0:f>
        <ns0:v>0</ns0:v>
      </ns0:c>
      <ns0:c r="AG643" s="7">
        <ns0:f>IF(Z643&gt;=0,A643,1001)</ns0:f>
        <ns0:v>639</ns0:v>
      </ns0:c>
      <ns0:c r="AH643" s="4">
        <ns0:f>IF(Z643&lt;0,A643,0)</ns0:f>
        <ns0:v>0</ns0:v>
      </ns0:c>
      <ns0:c r="AI643" s="12">
        <ns0:f>IF(AND(OR('前提と出典'!$C$36+'前提と出典'!$C$38=0,X643&gt;=0),OR('前提と出典'!$C$37+'前提と出典'!$C$38=0,Y643&gt;=0)),0,A643)</ns0:f>
        <ns0:v>0</ns0:v>
      </ns0:c>
    </ns0:row>
    <ns0:row r="644" ht="24" customHeight="1">
      <ns0:c r="A644" s="4" t="n">
        <ns0:v>640</ns0:v>
      </ns0:c>
      <ns0:c r="B644" s="12">
        <ns0:f>A644*('前提と出典'!$C$36+'前提と出典'!$C$38)</ns0:f>
        <ns0:v>448</ns0:v>
      </ns0:c>
      <ns0:c r="C644" s="12">
        <ns0:f>A644*('前提と出典'!$C$37+'前提と出典'!$C$38)</ns0:f>
        <ns0:v>384</ns0:v>
      </ns0:c>
      <ns0:c r="D644" s="16">
        <ns0:f>A644*('前提と出典'!$C$36*'契約別単価'!C5+'前提と出典'!$C$37*'契約別単価'!C6+'前提と出典'!$C$38*'契約別単価'!C7)</ns0:f>
        <ns0:v>4605.139664804469</ns0:v>
      </ns0:c>
      <ns0:c r="E644" s="16">
        <ns0:f>A644*('前提と出典'!$C$36*'契約別単価'!E5+'前提と出典'!$C$37*'契約別単価'!E6+'前提と出典'!$C$38*'契約別単価'!E7)</ns0:f>
        <ns0:v>1608878.6708741845</ns0:v>
      </ns0:c>
      <ns0:c r="F644" s="16">
        <ns0:f>A644*('前提と出典'!$C$36*'契約別単価'!F5+'前提と出典'!$C$37*'契約別単価'!F6+'前提と出典'!$C$38*'契約別単価'!F7)</ns0:f>
        <ns0:v>467499.0164450932</ns0:v>
      </ns0:c>
      <ns0:c r="G644" s="16">
        <ns0:f>A644*('前提と出典'!$C$36*'契約別単価'!G5+'前提と出典'!$C$37*'契約別単価'!G6+'前提と出典'!$C$38*'契約別単価'!G7)</ns0:f>
        <ns0:v>1273921.7877094971</ns0:v>
      </ns0:c>
      <ns0:c r="H644" s="16">
        <ns0:f>A644*('前提と出典'!$C$36*'契約別単価'!H5+'前提と出典'!$C$37*'契約別単価'!H6+'前提と出典'!$C$38*'契約別単価'!H7)</ns0:f>
        <ns0:v>442114.7525336177</ns0:v>
      </ns0:c>
      <ns0:c r="I644" s="16">
        <ns0:f>A644*('前提と出典'!$C$36*'契約別単価'!I5+'前提と出典'!$C$37*'契約別単価'!I6+'前提と出典'!$C$38*'契約別単価'!I7)</ns0:f>
        <ns0:v>27005.139664804465</ns0:v>
      </ns0:c>
      <ns0:c r="J644" s="16">
        <ns0:f>A644*('前提と出典'!$C$36*'契約別単価'!J5+'前提と出典'!$C$37*'契約別単価'!J6+'前提と出典'!$C$38*'契約別単価'!J7)</ns0:f>
        <ns0:v>62905.30797459364</ns0:v>
      </ns0:c>
      <ns0:c r="K644" s="16">
        <ns0:f>A644*('前提と出典'!$C$36*'契約別単価'!K5+'前提と出典'!$C$37*'契約別単価'!K6+'前提と出典'!$C$38*'契約別単価'!K7)</ns0:f>
        <ns0:v>269634.2644320298</ns0:v>
      </ns0:c>
      <ns0:c r="L644" s="16">
        <ns0:f>A644*('前提と出典'!$C$36*'契約別単価'!L5+'前提と出典'!$C$37*'契約別単価'!L6+'前提と出典'!$C$38*'契約別単価'!L7)</ns0:f>
        <ns0:v>219537.15841778726</ns0:v>
      </ns0:c>
      <ns0:c r="M644" s="16">
        <ns0:f>IF(('前提と出典'!$C$36+'前提と出典'!$C$38)=0,0,IF(B644&lt;=10,'前提と出典'!B73+'前提と出典'!C73,IF(B644&lt;=100,'前提と出典'!B74+'前提と出典'!C74,IF(B644&lt;=500,'前提と出典'!B75+'前提と出典'!C75,'前提と出典'!B76+'前提と出典'!C76))))</ns0:f>
        <ns0:v>40000</ns0:v>
      </ns0:c>
      <ns0:c r="N644" s="16">
        <ns0:f>IF(('前提と出典'!$C$37+'前提と出典'!$C$38)=0,0,IF(C644&lt;=10,'前提と出典'!D73+'前提と出典'!E73,IF(C644&lt;=100,'前提と出典'!D74+'前提と出典'!E74,IF(C644&lt;=500,'前提と出典'!D75+'前提と出典'!E75,'前提と出典'!D76+'前提と出典'!E76))))</ns0:f>
        <ns0:v>56510.9346263078</ns0:v>
      </ns0:c>
      <ns0:c r="O644" s="16">
        <ns0:f>IF('前提と出典'!$C$36+'前提と出典'!$C$38=0,0,'前提と出典'!$B$4*IF('前提と出典'!$B$20=0,MAX('前提と出典'!$B$6,D644*'前提と出典'!$B$5),'前提と出典'!$B$6+D644*'前提と出典'!$B$5))</ns0:f>
        <ns0:v>635509.2737430168</ns0:v>
      </ns0:c>
      <ns0:c r="P644" s="16">
        <ns0:f>(E644+G644)*(1-'前提と出典'!$B$7)-I644-K644-M644-O644</ns0:f>
        <ns0:v>1806870.9642348182</ns0:v>
      </ns0:c>
      <ns0:c r="Q644" s="16">
        <ns0:f>(F644+H644)*(1-'前提と出典'!$B$7)-J644-L644-N644</ns0:f>
        <ns0:v>537914.2722767887</ns0:v>
      </ns0:c>
      <ns0:c r="R644" s="16">
        <ns0:f>P644-E644*'前提と出典'!$E$4</ns0:f>
        <ns0:v>1324207.3629725627</ns0:v>
      </ns0:c>
      <ns0:c r="S644" s="16">
        <ns0:f>Q644-F644*'前提と出典'!$E$4</ns0:f>
        <ns0:v>397664.56734326074</ns0:v>
      </ns0:c>
      <ns0:c r="T644" s="7">
        <ns0:f>R644+S644</ns0:f>
        <ns0:v>1721871.9303158233</ns0:v>
      </ns0:c>
      <ns0:c r="U644" s="16">
        <ns0:f>P644-E644*'前提と出典'!$E$5</ns0:f>
        <ns0:v>1163319.4958851445</ns0:v>
      </ns0:c>
      <ns0:c r="V644" s="16">
        <ns0:f>Q644-F644*'前提と出典'!$E$5</ns0:f>
        <ns0:v>350914.66569875146</ns0:v>
      </ns0:c>
      <ns0:c r="W644" s="7">
        <ns0:f>U644+V644</ns0:f>
        <ns0:v>1514234.1615838958</ns0:v>
      </ns0:c>
      <ns0:c r="X644" s="16">
        <ns0:f>P644-E644*'前提と出典'!$E$6</ns0:f>
        <ns0:v>1002431.6287977259</ns0:v>
      </ns0:c>
      <ns0:c r="Y644" s="16">
        <ns0:f>Q644-F644*'前提と出典'!$E$6</ns0:f>
        <ns0:v>304164.76405424206</ns0:v>
      </ns0:c>
      <ns0:c r="Z644" s="7">
        <ns0:f>X644+Y644</ns0:f>
        <ns0:v>1306596.3928519678</ns0:v>
      </ns0:c>
      <ns0:c r="AA644" s="7">
        <ns0:f>IF(T644&gt;=0,A644,1001)</ns0:f>
        <ns0:v>640</ns0:v>
      </ns0:c>
      <ns0:c r="AB644" s="7">
        <ns0:f>IF(T644&lt;0,A644,0)</ns0:f>
        <ns0:v>0</ns0:v>
      </ns0:c>
      <ns0:c r="AC644" s="16">
        <ns0:f>IF(AND(OR('前提と出典'!$C$36+'前提と出典'!$C$38=0,R644&gt;=0),OR('前提と出典'!$C$37+'前提と出典'!$C$38=0,S644&gt;=0)),0,A644)</ns0:f>
        <ns0:v>0</ns0:v>
      </ns0:c>
      <ns0:c r="AD644" s="7">
        <ns0:f>IF(W644&gt;=0,A644,1001)</ns0:f>
        <ns0:v>640</ns0:v>
      </ns0:c>
      <ns0:c r="AE644" s="7">
        <ns0:f>IF(W644&lt;0,A644,0)</ns0:f>
        <ns0:v>0</ns0:v>
      </ns0:c>
      <ns0:c r="AF644" s="16">
        <ns0:f>IF(AND(OR('前提と出典'!$C$36+'前提と出典'!$C$38=0,U644&gt;=0),OR('前提と出典'!$C$37+'前提と出典'!$C$38=0,V644&gt;=0)),0,A644)</ns0:f>
        <ns0:v>0</ns0:v>
      </ns0:c>
      <ns0:c r="AG644" s="7">
        <ns0:f>IF(Z644&gt;=0,A644,1001)</ns0:f>
        <ns0:v>640</ns0:v>
      </ns0:c>
      <ns0:c r="AH644" s="4">
        <ns0:f>IF(Z644&lt;0,A644,0)</ns0:f>
        <ns0:v>0</ns0:v>
      </ns0:c>
      <ns0:c r="AI644" s="12">
        <ns0:f>IF(AND(OR('前提と出典'!$C$36+'前提と出典'!$C$38=0,X644&gt;=0),OR('前提と出典'!$C$37+'前提と出典'!$C$38=0,Y644&gt;=0)),0,A644)</ns0:f>
        <ns0:v>0</ns0:v>
      </ns0:c>
    </ns0:row>
    <ns0:row r="645" ht="24" customHeight="1">
      <ns0:c r="A645" s="4" t="n">
        <ns0:v>641</ns0:v>
      </ns0:c>
      <ns0:c r="B645" s="12">
        <ns0:f>A645*('前提と出典'!$C$36+'前提と出典'!$C$38)</ns0:f>
        <ns0:v>448.7</ns0:v>
      </ns0:c>
      <ns0:c r="C645" s="12">
        <ns0:f>A645*('前提と出典'!$C$37+'前提と出典'!$C$38)</ns0:f>
        <ns0:v>384.59999999999997</ns0:v>
      </ns0:c>
      <ns0:c r="D645" s="16">
        <ns0:f>A645*('前提と出典'!$C$36*'契約別単価'!C5+'前提と出典'!$C$37*'契約別単価'!C6+'前提と出典'!$C$38*'契約別単価'!C7)</ns0:f>
        <ns0:v>4612.335195530726</ns0:v>
      </ns0:c>
      <ns0:c r="E645" s="16">
        <ns0:f>A645*('前提と出典'!$C$36*'契約別単価'!E5+'前提と出典'!$C$37*'契約別単価'!E6+'前提と出典'!$C$38*'契約別単価'!E7)</ns0:f>
        <ns0:v>1611392.5437974255</ns0:v>
      </ns0:c>
      <ns0:c r="F645" s="16">
        <ns0:f>A645*('前提と出典'!$C$36*'契約別単価'!F5+'前提と出典'!$C$37*'契約別単価'!F6+'前提と出典'!$C$38*'契約別単価'!F7)</ns0:f>
        <ns0:v>468229.48365828866</ns0:v>
      </ns0:c>
      <ns0:c r="G645" s="16">
        <ns0:f>A645*('前提と出典'!$C$36*'契約別単価'!G5+'前提と出典'!$C$37*'契約別単価'!G6+'前提と出典'!$C$38*'契約別単価'!G7)</ns0:f>
        <ns0:v>1275912.2905027932</ns0:v>
      </ns0:c>
      <ns0:c r="H645" s="16">
        <ns0:f>A645*('前提と出典'!$C$36*'契約別単価'!H5+'前提と出典'!$C$37*'契約別単価'!H6+'前提と出典'!$C$38*'契約別単価'!H7)</ns0:f>
        <ns0:v>442805.5568344515</ns0:v>
      </ns0:c>
      <ns0:c r="I645" s="16">
        <ns0:f>A645*('前提と出典'!$C$36*'契約別単価'!I5+'前提と出典'!$C$37*'契約別単価'!I6+'前提と出典'!$C$38*'契約別単価'!I7)</ns0:f>
        <ns0:v>27047.335195530723</ns0:v>
      </ns0:c>
      <ns0:c r="J645" s="16">
        <ns0:f>A645*('前提と出典'!$C$36*'契約別単価'!J5+'前提と出典'!$C$37*'契約別単価'!J6+'前提と出典'!$C$38*'契約別単価'!J7)</ns0:f>
        <ns0:v>63003.59751830395</ns0:v>
      </ns0:c>
      <ns0:c r="K645" s="16">
        <ns0:f>A645*('前提と出典'!$C$36*'契約別単価'!K5+'前提と出典'!$C$37*'契約別単価'!K6+'前提と出典'!$C$38*'契約別単価'!K7)</ns0:f>
        <ns0:v>270055.5679702048</ns0:v>
      </ns0:c>
      <ns0:c r="L645" s="16">
        <ns0:f>A645*('前提と出典'!$C$36*'契約別単価'!L5+'前提と出典'!$C$37*'契約別単価'!L6+'前提と出典'!$C$38*'契約別単価'!L7)</ns0:f>
        <ns0:v>219880.18522781503</ns0:v>
      </ns0:c>
      <ns0:c r="M645" s="16">
        <ns0:f>IF(('前提と出典'!$C$36+'前提と出典'!$C$38)=0,0,IF(B645&lt;=10,'前提と出典'!B73+'前提と出典'!C73,IF(B645&lt;=100,'前提と出典'!B74+'前提と出典'!C74,IF(B645&lt;=500,'前提と出典'!B75+'前提と出典'!C75,'前提と出典'!B76+'前提と出典'!C76))))</ns0:f>
        <ns0:v>40000</ns0:v>
      </ns0:c>
      <ns0:c r="N645" s="16">
        <ns0:f>IF(('前提と出典'!$C$37+'前提と出典'!$C$38)=0,0,IF(C645&lt;=10,'前提と出典'!D73+'前提と出典'!E73,IF(C645&lt;=100,'前提と出典'!D74+'前提と出典'!E74,IF(C645&lt;=500,'前提と出典'!D75+'前提と出典'!E75,'前提と出典'!D76+'前提と出典'!E76))))</ns0:f>
        <ns0:v>56510.9346263078</ns0:v>
      </ns0:c>
      <ns0:c r="O645" s="16">
        <ns0:f>IF('前提と出典'!$C$36+'前提と出典'!$C$38=0,0,'前提と出典'!$B$4*IF('前提と出典'!$B$20=0,MAX('前提と出典'!$B$6,D645*'前提と出典'!$B$5),'前提と出典'!$B$6+D645*'前提と出典'!$B$5))</ns0:f>
        <ns0:v>636502.2569832403</ns0:v>
      </ns0:c>
      <ns0:c r="P645" s="16">
        <ns0:f>(E645+G645)*(1-'前提と出典'!$B$7)-I645-K645-M645-O645</ns0:f>
        <ns0:v>1809756.700116435</ns0:v>
      </ns0:c>
      <ns0:c r="Q645" s="16">
        <ns0:f>(F645+H645)*(1-'前提と出典'!$B$7)-J645-L645-N645</ns0:f>
        <ns0:v>538843.0616625748</ns0:v>
      </ns0:c>
      <ns0:c r="R645" s="16">
        <ns0:f>P645-E645*'前提と出典'!$E$4</ns0:f>
        <ns0:v>1326338.9369772072</ns0:v>
      </ns0:c>
      <ns0:c r="S645" s="16">
        <ns0:f>Q645-F645*'前提と出典'!$E$4</ns0:f>
        <ns0:v>398374.21656508814</ns0:v>
      </ns0:c>
      <ns0:c r="T645" s="7">
        <ns0:f>R645+S645</ns0:f>
        <ns0:v>1724713.1535422953</ns0:v>
      </ns0:c>
      <ns0:c r="U645" s="16">
        <ns0:f>P645-E645*'前提と出典'!$E$5</ns0:f>
        <ns0:v>1165199.6825974649</ns0:v>
      </ns0:c>
      <ns0:c r="V645" s="16">
        <ns0:f>Q645-F645*'前提と出典'!$E$5</ns0:f>
        <ns0:v>351551.2681992593</ns0:v>
      </ns0:c>
      <ns0:c r="W645" s="7">
        <ns0:f>U645+V645</ns0:f>
        <ns0:v>1516750.9507967243</ns0:v>
      </ns0:c>
      <ns0:c r="X645" s="16">
        <ns0:f>P645-E645*'前提と出典'!$E$6</ns0:f>
        <ns0:v>1004060.4282177222</ns0:v>
      </ns0:c>
      <ns0:c r="Y645" s="16">
        <ns0:f>Q645-F645*'前提と出典'!$E$6</ns0:f>
        <ns0:v>304728.31983343046</ns0:v>
      </ns0:c>
      <ns0:c r="Z645" s="7">
        <ns0:f>X645+Y645</ns0:f>
        <ns0:v>1308788.7480511526</ns0:v>
      </ns0:c>
      <ns0:c r="AA645" s="7">
        <ns0:f>IF(T645&gt;=0,A645,1001)</ns0:f>
        <ns0:v>641</ns0:v>
      </ns0:c>
      <ns0:c r="AB645" s="7">
        <ns0:f>IF(T645&lt;0,A645,0)</ns0:f>
        <ns0:v>0</ns0:v>
      </ns0:c>
      <ns0:c r="AC645" s="16">
        <ns0:f>IF(AND(OR('前提と出典'!$C$36+'前提と出典'!$C$38=0,R645&gt;=0),OR('前提と出典'!$C$37+'前提と出典'!$C$38=0,S645&gt;=0)),0,A645)</ns0:f>
        <ns0:v>0</ns0:v>
      </ns0:c>
      <ns0:c r="AD645" s="7">
        <ns0:f>IF(W645&gt;=0,A645,1001)</ns0:f>
        <ns0:v>641</ns0:v>
      </ns0:c>
      <ns0:c r="AE645" s="7">
        <ns0:f>IF(W645&lt;0,A645,0)</ns0:f>
        <ns0:v>0</ns0:v>
      </ns0:c>
      <ns0:c r="AF645" s="16">
        <ns0:f>IF(AND(OR('前提と出典'!$C$36+'前提と出典'!$C$38=0,U645&gt;=0),OR('前提と出典'!$C$37+'前提と出典'!$C$38=0,V645&gt;=0)),0,A645)</ns0:f>
        <ns0:v>0</ns0:v>
      </ns0:c>
      <ns0:c r="AG645" s="7">
        <ns0:f>IF(Z645&gt;=0,A645,1001)</ns0:f>
        <ns0:v>641</ns0:v>
      </ns0:c>
      <ns0:c r="AH645" s="4">
        <ns0:f>IF(Z645&lt;0,A645,0)</ns0:f>
        <ns0:v>0</ns0:v>
      </ns0:c>
      <ns0:c r="AI645" s="12">
        <ns0:f>IF(AND(OR('前提と出典'!$C$36+'前提と出典'!$C$38=0,X645&gt;=0),OR('前提と出典'!$C$37+'前提と出典'!$C$38=0,Y645&gt;=0)),0,A645)</ns0:f>
        <ns0:v>0</ns0:v>
      </ns0:c>
    </ns0:row>
    <ns0:row r="646" ht="24" customHeight="1">
      <ns0:c r="A646" s="4" t="n">
        <ns0:v>642</ns0:v>
      </ns0:c>
      <ns0:c r="B646" s="12">
        <ns0:f>A646*('前提と出典'!$C$36+'前提と出典'!$C$38)</ns0:f>
        <ns0:v>449.4</ns0:v>
      </ns0:c>
      <ns0:c r="C646" s="12">
        <ns0:f>A646*('前提と出典'!$C$37+'前提と出典'!$C$38)</ns0:f>
        <ns0:v>385.2</ns0:v>
      </ns0:c>
      <ns0:c r="D646" s="16">
        <ns0:f>A646*('前提と出典'!$C$36*'契約別単価'!C5+'前提と出典'!$C$37*'契約別単価'!C6+'前提と出典'!$C$38*'契約別単価'!C7)</ns0:f>
        <ns0:v>4619.530726256983</ns0:v>
      </ns0:c>
      <ns0:c r="E646" s="16">
        <ns0:f>A646*('前提と出典'!$C$36*'契約別単価'!E5+'前提と出典'!$C$37*'契約別単価'!E6+'前提と出典'!$C$38*'契約別単価'!E7)</ns0:f>
        <ns0:v>1613906.4167206662</ns0:v>
      </ns0:c>
      <ns0:c r="F646" s="16">
        <ns0:f>A646*('前提と出典'!$C$36*'契約別単価'!F5+'前提と出典'!$C$37*'契約別単価'!F6+'前提と出典'!$C$38*'契約別単価'!F7)</ns0:f>
        <ns0:v>468959.9508714841</ns0:v>
      </ns0:c>
      <ns0:c r="G646" s="16">
        <ns0:f>A646*('前提と出典'!$C$36*'契約別単価'!G5+'前提と出典'!$C$37*'契約別単価'!G6+'前提と出典'!$C$38*'契約別単価'!G7)</ns0:f>
        <ns0:v>1277902.7932960894</ns0:v>
      </ns0:c>
      <ns0:c r="H646" s="16">
        <ns0:f>A646*('前提と出典'!$C$36*'契約別単価'!H5+'前提と出典'!$C$37*'契約別単価'!H6+'前提と出典'!$C$38*'契約別単価'!H7)</ns0:f>
        <ns0:v>443496.3611352853</ns0:v>
      </ns0:c>
      <ns0:c r="I646" s="16">
        <ns0:f>A646*('前提と出典'!$C$36*'契約別単価'!I5+'前提と出典'!$C$37*'契約別単価'!I6+'前提と出典'!$C$38*'契約別単価'!I7)</ns0:f>
        <ns0:v>27089.53072625698</ns0:v>
      </ns0:c>
      <ns0:c r="J646" s="16">
        <ns0:f>A646*('前提と出典'!$C$36*'契約別単価'!J5+'前提と出典'!$C$37*'契約別単価'!J6+'前提と出典'!$C$38*'契約別単価'!J7)</ns0:f>
        <ns0:v>63101.88706201425</ns0:v>
      </ns0:c>
      <ns0:c r="K646" s="16">
        <ns0:f>A646*('前提と出典'!$C$36*'契約別単価'!K5+'前提と出典'!$C$37*'契約別単価'!K6+'前提と出典'!$C$38*'契約別単価'!K7)</ns0:f>
        <ns0:v>270476.8715083799</ns0:v>
      </ns0:c>
      <ns0:c r="L646" s="16">
        <ns0:f>A646*('前提と出典'!$C$36*'契約別単価'!L5+'前提と出典'!$C$37*'契約別単価'!L6+'前提と出典'!$C$38*'契約別単価'!L7)</ns0:f>
        <ns0:v>220223.21203784284</ns0:v>
      </ns0:c>
      <ns0:c r="M646" s="16">
        <ns0:f>IF(('前提と出典'!$C$36+'前提と出典'!$C$38)=0,0,IF(B646&lt;=10,'前提と出典'!B73+'前提と出典'!C73,IF(B646&lt;=100,'前提と出典'!B74+'前提と出典'!C74,IF(B646&lt;=500,'前提と出典'!B75+'前提と出典'!C75,'前提と出典'!B76+'前提と出典'!C76))))</ns0:f>
        <ns0:v>40000</ns0:v>
      </ns0:c>
      <ns0:c r="N646" s="16">
        <ns0:f>IF(('前提と出典'!$C$37+'前提と出典'!$C$38)=0,0,IF(C646&lt;=10,'前提と出典'!D73+'前提と出典'!E73,IF(C646&lt;=100,'前提と出典'!D74+'前提と出典'!E74,IF(C646&lt;=500,'前提と出典'!D75+'前提と出典'!E75,'前提と出典'!D76+'前提と出典'!E76))))</ns0:f>
        <ns0:v>56510.9346263078</ns0:v>
      </ns0:c>
      <ns0:c r="O646" s="16">
        <ns0:f>IF('前提と出典'!$C$36+'前提と出典'!$C$38=0,0,'前提と出典'!$B$4*IF('前提と出典'!$B$20=0,MAX('前提と出典'!$B$6,D646*'前提と出典'!$B$5),'前提と出典'!$B$6+D646*'前提と出典'!$B$5))</ns0:f>
        <ns0:v>637495.2402234636</ns0:v>
      </ns0:c>
      <ns0:c r="P646" s="16">
        <ns0:f>(E646+G646)*(1-'前提と出典'!$B$7)-I646-K646-M646-O646</ns0:f>
        <ns0:v>1812642.435998052</ns0:v>
      </ns0:c>
      <ns0:c r="Q646" s="16">
        <ns0:f>(F646+H646)*(1-'前提と出典'!$B$7)-J646-L646-N646</ns0:f>
        <ns0:v>539771.8510483609</ns0:v>
      </ns0:c>
      <ns0:c r="R646" s="16">
        <ns0:f>P646-E646*'前提と出典'!$E$4</ns0:f>
        <ns0:v>1328470.5109818522</ns0:v>
      </ns0:c>
      <ns0:c r="S646" s="16">
        <ns0:f>Q646-F646*'前提と出典'!$E$4</ns0:f>
        <ns0:v>399083.86578691576</ns0:v>
      </ns0:c>
      <ns0:c r="T646" s="7">
        <ns0:f>R646+S646</ns0:f>
        <ns0:v>1727554.3767687678</ns0:v>
      </ns0:c>
      <ns0:c r="U646" s="16">
        <ns0:f>P646-E646*'前提と出典'!$E$5</ns0:f>
        <ns0:v>1167079.8693097853</ns0:v>
      </ns0:c>
      <ns0:c r="V646" s="16">
        <ns0:f>Q646-F646*'前提と出典'!$E$5</ns0:f>
        <ns0:v>352187.87069976726</ns0:v>
      </ns0:c>
      <ns0:c r="W646" s="7">
        <ns0:f>U646+V646</ns0:f>
        <ns0:v>1519267.7400095526</ns0:v>
      </ns0:c>
      <ns0:c r="X646" s="16">
        <ns0:f>P646-E646*'前提と出典'!$E$6</ns0:f>
        <ns0:v>1005689.2276377187</ns0:v>
      </ns0:c>
      <ns0:c r="Y646" s="16">
        <ns0:f>Q646-F646*'前提と出典'!$E$6</ns0:f>
        <ns0:v>305291.87561261887</ns0:v>
      </ns0:c>
      <ns0:c r="Z646" s="7">
        <ns0:f>X646+Y646</ns0:f>
        <ns0:v>1310981.1032503375</ns0:v>
      </ns0:c>
      <ns0:c r="AA646" s="7">
        <ns0:f>IF(T646&gt;=0,A646,1001)</ns0:f>
        <ns0:v>642</ns0:v>
      </ns0:c>
      <ns0:c r="AB646" s="7">
        <ns0:f>IF(T646&lt;0,A646,0)</ns0:f>
        <ns0:v>0</ns0:v>
      </ns0:c>
      <ns0:c r="AC646" s="16">
        <ns0:f>IF(AND(OR('前提と出典'!$C$36+'前提と出典'!$C$38=0,R646&gt;=0),OR('前提と出典'!$C$37+'前提と出典'!$C$38=0,S646&gt;=0)),0,A646)</ns0:f>
        <ns0:v>0</ns0:v>
      </ns0:c>
      <ns0:c r="AD646" s="7">
        <ns0:f>IF(W646&gt;=0,A646,1001)</ns0:f>
        <ns0:v>642</ns0:v>
      </ns0:c>
      <ns0:c r="AE646" s="7">
        <ns0:f>IF(W646&lt;0,A646,0)</ns0:f>
        <ns0:v>0</ns0:v>
      </ns0:c>
      <ns0:c r="AF646" s="16">
        <ns0:f>IF(AND(OR('前提と出典'!$C$36+'前提と出典'!$C$38=0,U646&gt;=0),OR('前提と出典'!$C$37+'前提と出典'!$C$38=0,V646&gt;=0)),0,A646)</ns0:f>
        <ns0:v>0</ns0:v>
      </ns0:c>
      <ns0:c r="AG646" s="7">
        <ns0:f>IF(Z646&gt;=0,A646,1001)</ns0:f>
        <ns0:v>642</ns0:v>
      </ns0:c>
      <ns0:c r="AH646" s="4">
        <ns0:f>IF(Z646&lt;0,A646,0)</ns0:f>
        <ns0:v>0</ns0:v>
      </ns0:c>
      <ns0:c r="AI646" s="12">
        <ns0:f>IF(AND(OR('前提と出典'!$C$36+'前提と出典'!$C$38=0,X646&gt;=0),OR('前提と出典'!$C$37+'前提と出典'!$C$38=0,Y646&gt;=0)),0,A646)</ns0:f>
        <ns0:v>0</ns0:v>
      </ns0:c>
    </ns0:row>
    <ns0:row r="647" ht="24" customHeight="1">
      <ns0:c r="A647" s="4" t="n">
        <ns0:v>643</ns0:v>
      </ns0:c>
      <ns0:c r="B647" s="12">
        <ns0:f>A647*('前提と出典'!$C$36+'前提と出典'!$C$38)</ns0:f>
        <ns0:v>450.09999999999997</ns0:v>
      </ns0:c>
      <ns0:c r="C647" s="12">
        <ns0:f>A647*('前提と出典'!$C$37+'前提と出典'!$C$38)</ns0:f>
        <ns0:v>385.8</ns0:v>
      </ns0:c>
      <ns0:c r="D647" s="16">
        <ns0:f>A647*('前提と出典'!$C$36*'契約別単価'!C5+'前提と出典'!$C$37*'契約別単価'!C6+'前提と出典'!$C$38*'契約別単価'!C7)</ns0:f>
        <ns0:v>4626.72625698324</ns0:v>
      </ns0:c>
      <ns0:c r="E647" s="16">
        <ns0:f>A647*('前提と出典'!$C$36*'契約別単価'!E5+'前提と出典'!$C$37*'契約別単価'!E6+'前提と出典'!$C$38*'契約別単価'!E7)</ns0:f>
        <ns0:v>1616420.2896439072</ns0:v>
      </ns0:c>
      <ns0:c r="F647" s="16">
        <ns0:f>A647*('前提と出典'!$C$36*'契約別単価'!F5+'前提と出典'!$C$37*'契約別単価'!F6+'前提と出典'!$C$38*'契約別単価'!F7)</ns0:f>
        <ns0:v>469690.4180846796</ns0:v>
      </ns0:c>
      <ns0:c r="G647" s="16">
        <ns0:f>A647*('前提と出典'!$C$36*'契約別単価'!G5+'前提と出典'!$C$37*'契約別単価'!G6+'前提と出典'!$C$38*'契約別単価'!G7)</ns0:f>
        <ns0:v>1279893.2960893854</ns0:v>
      </ns0:c>
      <ns0:c r="H647" s="16">
        <ns0:f>A647*('前提と出典'!$C$36*'契約別単価'!H5+'前提と出典'!$C$37*'契約別単価'!H6+'前提と出典'!$C$38*'契約別単価'!H7)</ns0:f>
        <ns0:v>444187.1654361191</ns0:v>
      </ns0:c>
      <ns0:c r="I647" s="16">
        <ns0:f>A647*('前提と出典'!$C$36*'契約別単価'!I5+'前提と出典'!$C$37*'契約別単価'!I6+'前提と出典'!$C$38*'契約別単価'!I7)</ns0:f>
        <ns0:v>27131.726256983235</ns0:v>
      </ns0:c>
      <ns0:c r="J647" s="16">
        <ns0:f>A647*('前提と出典'!$C$36*'契約別単価'!J5+'前提と出典'!$C$37*'契約別単価'!J6+'前提と出典'!$C$38*'契約別単価'!J7)</ns0:f>
        <ns0:v>63200.17660572455</ns0:v>
      </ns0:c>
      <ns0:c r="K647" s="16">
        <ns0:f>A647*('前提と出典'!$C$36*'契約別単価'!K5+'前提と出典'!$C$37*'契約別単価'!K6+'前提と出典'!$C$38*'契約別単価'!K7)</ns0:f>
        <ns0:v>270898.17504655494</ns0:v>
      </ns0:c>
      <ns0:c r="L647" s="16">
        <ns0:f>A647*('前提と出典'!$C$36*'契約別単価'!L5+'前提と出典'!$C$37*'契約別単価'!L6+'前提と出典'!$C$38*'契約別単価'!L7)</ns0:f>
        <ns0:v>220566.23884787064</ns0:v>
      </ns0:c>
      <ns0:c r="M647" s="16">
        <ns0:f>IF(('前提と出典'!$C$36+'前提と出典'!$C$38)=0,0,IF(B647&lt;=10,'前提と出典'!B73+'前提と出典'!C73,IF(B647&lt;=100,'前提と出典'!B74+'前提と出典'!C74,IF(B647&lt;=500,'前提と出典'!B75+'前提と出典'!C75,'前提と出典'!B76+'前提と出典'!C76))))</ns0:f>
        <ns0:v>40000</ns0:v>
      </ns0:c>
      <ns0:c r="N647" s="16">
        <ns0:f>IF(('前提と出典'!$C$37+'前提と出典'!$C$38)=0,0,IF(C647&lt;=10,'前提と出典'!D73+'前提と出典'!E73,IF(C647&lt;=100,'前提と出典'!D74+'前提と出典'!E74,IF(C647&lt;=500,'前提と出典'!D75+'前提と出典'!E75,'前提と出典'!D76+'前提と出典'!E76))))</ns0:f>
        <ns0:v>56510.9346263078</ns0:v>
      </ns0:c>
      <ns0:c r="O647" s="16">
        <ns0:f>IF('前提と出典'!$C$36+'前提と出典'!$C$38=0,0,'前提と出典'!$B$4*IF('前提と出典'!$B$20=0,MAX('前提と出典'!$B$6,D647*'前提と出典'!$B$5),'前提と出典'!$B$6+D647*'前提と出典'!$B$5))</ns0:f>
        <ns0:v>638488.2234636871</ns0:v>
      </ns0:c>
      <ns0:c r="P647" s="16">
        <ns0:f>(E647+G647)*(1-'前提と出典'!$B$7)-I647-K647-M647-O647</ns0:f>
        <ns0:v>1815528.1718796685</ns0:v>
      </ns0:c>
      <ns0:c r="Q647" s="16">
        <ns0:f>(F647+H647)*(1-'前提と出典'!$B$7)-J647-L647-N647</ns0:f>
        <ns0:v>540700.6404341471</ns0:v>
      </ns0:c>
      <ns0:c r="R647" s="16">
        <ns0:f>P647-E647*'前提と出典'!$E$4</ns0:f>
        <ns0:v>1330602.0849864965</ns0:v>
      </ns0:c>
      <ns0:c r="S647" s="16">
        <ns0:f>Q647-F647*'前提と出典'!$E$4</ns0:f>
        <ns0:v>399793.51500874315</ns0:v>
      </ns0:c>
      <ns0:c r="T647" s="7">
        <ns0:f>R647+S647</ns0:f>
        <ns0:v>1730395.5999952396</ns0:v>
      </ns0:c>
      <ns0:c r="U647" s="16">
        <ns0:f>P647-E647*'前提と出典'!$E$5</ns0:f>
        <ns0:v>1168960.0560221055</ns0:v>
      </ns0:c>
      <ns0:c r="V647" s="16">
        <ns0:f>Q647-F647*'前提と出典'!$E$5</ns0:f>
        <ns0:v>352824.4732002752</ns0:v>
      </ns0:c>
      <ns0:c r="W647" s="7">
        <ns0:f>U647+V647</ns0:f>
        <ns0:v>1521784.5292223808</ns0:v>
      </ns0:c>
      <ns0:c r="X647" s="16">
        <ns0:f>P647-E647*'前提と出典'!$E$6</ns0:f>
        <ns0:v>1007318.0270577155</ns0:v>
      </ns0:c>
      <ns0:c r="Y647" s="16">
        <ns0:f>Q647-F647*'前提と出典'!$E$6</ns0:f>
        <ns0:v>305855.4313918073</ns0:v>
      </ns0:c>
      <ns0:c r="Z647" s="7">
        <ns0:f>X647+Y647</ns0:f>
        <ns0:v>1313173.4584495227</ns0:v>
      </ns0:c>
      <ns0:c r="AA647" s="7">
        <ns0:f>IF(T647&gt;=0,A647,1001)</ns0:f>
        <ns0:v>643</ns0:v>
      </ns0:c>
      <ns0:c r="AB647" s="7">
        <ns0:f>IF(T647&lt;0,A647,0)</ns0:f>
        <ns0:v>0</ns0:v>
      </ns0:c>
      <ns0:c r="AC647" s="16">
        <ns0:f>IF(AND(OR('前提と出典'!$C$36+'前提と出典'!$C$38=0,R647&gt;=0),OR('前提と出典'!$C$37+'前提と出典'!$C$38=0,S647&gt;=0)),0,A647)</ns0:f>
        <ns0:v>0</ns0:v>
      </ns0:c>
      <ns0:c r="AD647" s="7">
        <ns0:f>IF(W647&gt;=0,A647,1001)</ns0:f>
        <ns0:v>643</ns0:v>
      </ns0:c>
      <ns0:c r="AE647" s="7">
        <ns0:f>IF(W647&lt;0,A647,0)</ns0:f>
        <ns0:v>0</ns0:v>
      </ns0:c>
      <ns0:c r="AF647" s="16">
        <ns0:f>IF(AND(OR('前提と出典'!$C$36+'前提と出典'!$C$38=0,U647&gt;=0),OR('前提と出典'!$C$37+'前提と出典'!$C$38=0,V647&gt;=0)),0,A647)</ns0:f>
        <ns0:v>0</ns0:v>
      </ns0:c>
      <ns0:c r="AG647" s="7">
        <ns0:f>IF(Z647&gt;=0,A647,1001)</ns0:f>
        <ns0:v>643</ns0:v>
      </ns0:c>
      <ns0:c r="AH647" s="4">
        <ns0:f>IF(Z647&lt;0,A647,0)</ns0:f>
        <ns0:v>0</ns0:v>
      </ns0:c>
      <ns0:c r="AI647" s="12">
        <ns0:f>IF(AND(OR('前提と出典'!$C$36+'前提と出典'!$C$38=0,X647&gt;=0),OR('前提と出典'!$C$37+'前提と出典'!$C$38=0,Y647&gt;=0)),0,A647)</ns0:f>
        <ns0:v>0</ns0:v>
      </ns0:c>
    </ns0:row>
    <ns0:row r="648" ht="24" customHeight="1">
      <ns0:c r="A648" s="4" t="n">
        <ns0:v>644</ns0:v>
      </ns0:c>
      <ns0:c r="B648" s="12">
        <ns0:f>A648*('前提と出典'!$C$36+'前提と出典'!$C$38)</ns0:f>
        <ns0:v>450.79999999999995</ns0:v>
      </ns0:c>
      <ns0:c r="C648" s="12">
        <ns0:f>A648*('前提と出典'!$C$37+'前提と出典'!$C$38)</ns0:f>
        <ns0:v>386.4</ns0:v>
      </ns0:c>
      <ns0:c r="D648" s="16">
        <ns0:f>A648*('前提と出典'!$C$36*'契約別単価'!C5+'前提と出典'!$C$37*'契約別単価'!C6+'前提と出典'!$C$38*'契約別単価'!C7)</ns0:f>
        <ns0:v>4633.921787709497</ns0:v>
      </ns0:c>
      <ns0:c r="E648" s="16">
        <ns0:f>A648*('前提と出典'!$C$36*'契約別単価'!E5+'前提と出典'!$C$37*'契約別単価'!E6+'前提と出典'!$C$38*'契約別単価'!E7)</ns0:f>
        <ns0:v>1618934.1625671482</ns0:v>
      </ns0:c>
      <ns0:c r="F648" s="16">
        <ns0:f>A648*('前提と出典'!$C$36*'契約別単価'!F5+'前提と出典'!$C$37*'契約別単価'!F6+'前提と出典'!$C$38*'契約別単価'!F7)</ns0:f>
        <ns0:v>470420.88529787504</ns0:v>
      </ns0:c>
      <ns0:c r="G648" s="16">
        <ns0:f>A648*('前提と出典'!$C$36*'契約別単価'!G5+'前提と出典'!$C$37*'契約別単価'!G6+'前提と出典'!$C$38*'契約別単価'!G7)</ns0:f>
        <ns0:v>1281883.7988826814</ns0:v>
      </ns0:c>
      <ns0:c r="H648" s="16">
        <ns0:f>A648*('前提と出典'!$C$36*'契約別単価'!H5+'前提と出典'!$C$37*'契約別単価'!H6+'前提と出典'!$C$38*'契約別単価'!H7)</ns0:f>
        <ns0:v>444877.96973695286</ns0:v>
      </ns0:c>
      <ns0:c r="I648" s="16">
        <ns0:f>A648*('前提と出典'!$C$36*'契約別単価'!I5+'前提と出典'!$C$37*'契約別単価'!I6+'前提と出典'!$C$38*'契約別単価'!I7)</ns0:f>
        <ns0:v>27173.921787709492</ns0:v>
      </ns0:c>
      <ns0:c r="J648" s="16">
        <ns0:f>A648*('前提と出典'!$C$36*'契約別単価'!J5+'前提と出典'!$C$37*'契約別単価'!J6+'前提と出典'!$C$38*'契約別単価'!J7)</ns0:f>
        <ns0:v>63298.466149434855</ns0:v>
      </ns0:c>
      <ns0:c r="K648" s="16">
        <ns0:f>A648*('前提と出典'!$C$36*'契約別単価'!K5+'前提と出典'!$C$37*'契約別単価'!K6+'前提と出典'!$C$38*'契約別単価'!K7)</ns0:f>
        <ns0:v>271319.47858472995</ns0:v>
      </ns0:c>
      <ns0:c r="L648" s="16">
        <ns0:f>A648*('前提と出典'!$C$36*'契約別単価'!L5+'前提と出典'!$C$37*'契約別単価'!L6+'前提と出典'!$C$38*'契約別単価'!L7)</ns0:f>
        <ns0:v>220909.26565789842</ns0:v>
      </ns0:c>
      <ns0:c r="M648" s="16">
        <ns0:f>IF(('前提と出典'!$C$36+'前提と出典'!$C$38)=0,0,IF(B648&lt;=10,'前提と出典'!B73+'前提と出典'!C73,IF(B648&lt;=100,'前提と出典'!B74+'前提と出典'!C74,IF(B648&lt;=500,'前提と出典'!B75+'前提と出典'!C75,'前提と出典'!B76+'前提と出典'!C76))))</ns0:f>
        <ns0:v>40000</ns0:v>
      </ns0:c>
      <ns0:c r="N648" s="16">
        <ns0:f>IF(('前提と出典'!$C$37+'前提と出典'!$C$38)=0,0,IF(C648&lt;=10,'前提と出典'!D73+'前提と出典'!E73,IF(C648&lt;=100,'前提と出典'!D74+'前提と出典'!E74,IF(C648&lt;=500,'前提と出典'!D75+'前提と出典'!E75,'前提と出典'!D76+'前提と出典'!E76))))</ns0:f>
        <ns0:v>56510.9346263078</ns0:v>
      </ns0:c>
      <ns0:c r="O648" s="16">
        <ns0:f>IF('前提と出典'!$C$36+'前提と出典'!$C$38=0,0,'前提と出典'!$B$4*IF('前提と出典'!$B$20=0,MAX('前提と出典'!$B$6,D648*'前提と出典'!$B$5),'前提と出典'!$B$6+D648*'前提と出典'!$B$5))</ns0:f>
        <ns0:v>639481.2067039106</ns0:v>
      </ns0:c>
      <ns0:c r="P648" s="16">
        <ns0:f>(E648+G648)*(1-'前提と出典'!$B$7)-I648-K648-M648-O648</ns0:f>
        <ns0:v>1818413.907761286</ns0:v>
      </ns0:c>
      <ns0:c r="Q648" s="16">
        <ns0:f>(F648+H648)*(1-'前提と出典'!$B$7)-J648-L648-N648</ns0:f>
        <ns0:v>541629.4298199331</ns0:v>
      </ns0:c>
      <ns0:c r="R648" s="16">
        <ns0:f>P648-E648*'前提と出典'!$E$4</ns0:f>
        <ns0:v>1332733.6589911417</ns0:v>
      </ns0:c>
      <ns0:c r="S648" s="16">
        <ns0:f>Q648-F648*'前提と出典'!$E$4</ns0:f>
        <ns0:v>400503.16423057055</ns0:v>
      </ns0:c>
      <ns0:c r="T648" s="7">
        <ns0:f>R648+S648</ns0:f>
        <ns0:v>1733236.8232217124</ns0:v>
      </ns0:c>
      <ns0:c r="U648" s="16">
        <ns0:f>P648-E648*'前提と出典'!$E$5</ns0:f>
        <ns0:v>1170840.2427344266</ns0:v>
      </ns0:c>
      <ns0:c r="V648" s="16">
        <ns0:f>Q648-F648*'前提と出典'!$E$5</ns0:f>
        <ns0:v>353461.07570078305</ns0:v>
      </ns0:c>
      <ns0:c r="W648" s="7">
        <ns0:f>U648+V648</ns0:f>
        <ns0:v>1524301.3184352098</ns0:v>
      </ns0:c>
      <ns0:c r="X648" s="16">
        <ns0:f>P648-E648*'前提と出典'!$E$6</ns0:f>
        <ns0:v>1008946.826477712</ns0:v>
      </ns0:c>
      <ns0:c r="Y648" s="16">
        <ns0:f>Q648-F648*'前提と出典'!$E$6</ns0:f>
        <ns0:v>306418.98717099556</ns0:v>
      </ns0:c>
      <ns0:c r="Z648" s="7">
        <ns0:f>X648+Y648</ns0:f>
        <ns0:v>1315365.8136487077</ns0:v>
      </ns0:c>
      <ns0:c r="AA648" s="7">
        <ns0:f>IF(T648&gt;=0,A648,1001)</ns0:f>
        <ns0:v>644</ns0:v>
      </ns0:c>
      <ns0:c r="AB648" s="7">
        <ns0:f>IF(T648&lt;0,A648,0)</ns0:f>
        <ns0:v>0</ns0:v>
      </ns0:c>
      <ns0:c r="AC648" s="16">
        <ns0:f>IF(AND(OR('前提と出典'!$C$36+'前提と出典'!$C$38=0,R648&gt;=0),OR('前提と出典'!$C$37+'前提と出典'!$C$38=0,S648&gt;=0)),0,A648)</ns0:f>
        <ns0:v>0</ns0:v>
      </ns0:c>
      <ns0:c r="AD648" s="7">
        <ns0:f>IF(W648&gt;=0,A648,1001)</ns0:f>
        <ns0:v>644</ns0:v>
      </ns0:c>
      <ns0:c r="AE648" s="7">
        <ns0:f>IF(W648&lt;0,A648,0)</ns0:f>
        <ns0:v>0</ns0:v>
      </ns0:c>
      <ns0:c r="AF648" s="16">
        <ns0:f>IF(AND(OR('前提と出典'!$C$36+'前提と出典'!$C$38=0,U648&gt;=0),OR('前提と出典'!$C$37+'前提と出典'!$C$38=0,V648&gt;=0)),0,A648)</ns0:f>
        <ns0:v>0</ns0:v>
      </ns0:c>
      <ns0:c r="AG648" s="7">
        <ns0:f>IF(Z648&gt;=0,A648,1001)</ns0:f>
        <ns0:v>644</ns0:v>
      </ns0:c>
      <ns0:c r="AH648" s="4">
        <ns0:f>IF(Z648&lt;0,A648,0)</ns0:f>
        <ns0:v>0</ns0:v>
      </ns0:c>
      <ns0:c r="AI648" s="12">
        <ns0:f>IF(AND(OR('前提と出典'!$C$36+'前提と出典'!$C$38=0,X648&gt;=0),OR('前提と出典'!$C$37+'前提と出典'!$C$38=0,Y648&gt;=0)),0,A648)</ns0:f>
        <ns0:v>0</ns0:v>
      </ns0:c>
    </ns0:row>
    <ns0:row r="649" ht="24" customHeight="1">
      <ns0:c r="A649" s="4" t="n">
        <ns0:v>645</ns0:v>
      </ns0:c>
      <ns0:c r="B649" s="12">
        <ns0:f>A649*('前提と出典'!$C$36+'前提と出典'!$C$38)</ns0:f>
        <ns0:v>451.49999999999994</ns0:v>
      </ns0:c>
      <ns0:c r="C649" s="12">
        <ns0:f>A649*('前提と出典'!$C$37+'前提と出典'!$C$38)</ns0:f>
        <ns0:v>387</ns0:v>
      </ns0:c>
      <ns0:c r="D649" s="16">
        <ns0:f>A649*('前提と出典'!$C$36*'契約別単価'!C5+'前提と出典'!$C$37*'契約別単価'!C6+'前提と出典'!$C$38*'契約別単価'!C7)</ns0:f>
        <ns0:v>4641.117318435754</ns0:v>
      </ns0:c>
      <ns0:c r="E649" s="16">
        <ns0:f>A649*('前提と出典'!$C$36*'契約別単価'!E5+'前提と出典'!$C$37*'契約別単価'!E6+'前提と出典'!$C$38*'契約別単価'!E7)</ns0:f>
        <ns0:v>1621448.035490389</ns0:v>
      </ns0:c>
      <ns0:c r="F649" s="16">
        <ns0:f>A649*('前提と出典'!$C$36*'契約別単価'!F5+'前提と出典'!$C$37*'契約別単価'!F6+'前提と出典'!$C$38*'契約別単価'!F7)</ns0:f>
        <ns0:v>471151.3525110705</ns0:v>
      </ns0:c>
      <ns0:c r="G649" s="16">
        <ns0:f>A649*('前提と出典'!$C$36*'契約別単価'!G5+'前提と出典'!$C$37*'契約別単価'!G6+'前提と出典'!$C$38*'契約別単価'!G7)</ns0:f>
        <ns0:v>1283874.3016759777</ns0:v>
      </ns0:c>
      <ns0:c r="H649" s="16">
        <ns0:f>A649*('前提と出典'!$C$36*'契約別単価'!H5+'前提と出典'!$C$37*'契約別単価'!H6+'前提と出典'!$C$38*'契約別単価'!H7)</ns0:f>
        <ns0:v>445568.7740377866</ns0:v>
      </ns0:c>
      <ns0:c r="I649" s="16">
        <ns0:f>A649*('前提と出典'!$C$36*'契約別単価'!I5+'前提と出典'!$C$37*'契約別単価'!I6+'前提と出典'!$C$38*'契約別単価'!I7)</ns0:f>
        <ns0:v>27216.11731843575</ns0:v>
      </ns0:c>
      <ns0:c r="J649" s="16">
        <ns0:f>A649*('前提と出典'!$C$36*'契約別単価'!J5+'前提と出典'!$C$37*'契約別単価'!J6+'前提と出典'!$C$38*'契約別単価'!J7)</ns0:f>
        <ns0:v>63396.755693145155</ns0:v>
      </ns0:c>
      <ns0:c r="K649" s="16">
        <ns0:f>A649*('前提と出典'!$C$36*'契約別単価'!K5+'前提と出典'!$C$37*'契約別単価'!K6+'前提と出典'!$C$38*'契約別単価'!K7)</ns0:f>
        <ns0:v>271740.782122905</ns0:v>
      </ns0:c>
      <ns0:c r="L649" s="16">
        <ns0:f>A649*('前提と出典'!$C$36*'契約別単価'!L5+'前提と出典'!$C$37*'契約別単価'!L6+'前提と出典'!$C$38*'契約別単価'!L7)</ns0:f>
        <ns0:v>221252.29246792622</ns0:v>
      </ns0:c>
      <ns0:c r="M649" s="16">
        <ns0:f>IF(('前提と出典'!$C$36+'前提と出典'!$C$38)=0,0,IF(B649&lt;=10,'前提と出典'!B73+'前提と出典'!C73,IF(B649&lt;=100,'前提と出典'!B74+'前提と出典'!C74,IF(B649&lt;=500,'前提と出典'!B75+'前提と出典'!C75,'前提と出典'!B76+'前提と出典'!C76))))</ns0:f>
        <ns0:v>40000</ns0:v>
      </ns0:c>
      <ns0:c r="N649" s="16">
        <ns0:f>IF(('前提と出典'!$C$37+'前提と出典'!$C$38)=0,0,IF(C649&lt;=10,'前提と出典'!D73+'前提と出典'!E73,IF(C649&lt;=100,'前提と出典'!D74+'前提と出典'!E74,IF(C649&lt;=500,'前提と出典'!D75+'前提と出典'!E75,'前提と出典'!D76+'前提と出典'!E76))))</ns0:f>
        <ns0:v>56510.9346263078</ns0:v>
      </ns0:c>
      <ns0:c r="O649" s="16">
        <ns0:f>IF('前提と出典'!$C$36+'前提と出典'!$C$38=0,0,'前提と出典'!$B$4*IF('前提と出典'!$B$20=0,MAX('前提と出典'!$B$6,D649*'前提と出典'!$B$5),'前提と出典'!$B$6+D649*'前提と出典'!$B$5))</ns0:f>
        <ns0:v>640474.1899441341</ns0:v>
      </ns0:c>
      <ns0:c r="P649" s="16">
        <ns0:f>(E649+G649)*(1-'前提と出典'!$B$7)-I649-K649-M649-O649</ns0:f>
        <ns0:v>1821299.6436429028</ns0:v>
      </ns0:c>
      <ns0:c r="Q649" s="16">
        <ns0:f>(F649+H649)*(1-'前提と出典'!$B$7)-J649-L649-N649</ns0:f>
        <ns0:v>542558.2192057192</ns0:v>
      </ns0:c>
      <ns0:c r="R649" s="16">
        <ns0:f>P649-E649*'前提と出典'!$E$4</ns0:f>
        <ns0:v>1334865.2329957862</ns0:v>
      </ns0:c>
      <ns0:c r="S649" s="16">
        <ns0:f>Q649-F649*'前提と出典'!$E$4</ns0:f>
        <ns0:v>401212.8134523979</ns0:v>
      </ns0:c>
      <ns0:c r="T649" s="7">
        <ns0:f>R649+S649</ns0:f>
        <ns0:v>1736078.0464481842</ns0:v>
      </ns0:c>
      <ns0:c r="U649" s="16">
        <ns0:f>P649-E649*'前提と出典'!$E$5</ns0:f>
        <ns0:v>1172720.429446747</ns0:v>
      </ns0:c>
      <ns0:c r="V649" s="16">
        <ns0:f>Q649-F649*'前提と出典'!$E$5</ns0:f>
        <ns0:v>354097.67820129095</ns0:v>
      </ns0:c>
      <ns0:c r="W649" s="7">
        <ns0:f>U649+V649</ns0:f>
        <ns0:v>1526818.107648038</ns0:v>
      </ns0:c>
      <ns0:c r="X649" s="16">
        <ns0:f>P649-E649*'前提と出典'!$E$6</ns0:f>
        <ns0:v>1010575.6258977079</ns0:v>
      </ns0:c>
      <ns0:c r="Y649" s="16">
        <ns0:f>Q649-F649*'前提と出典'!$E$6</ns0:f>
        <ns0:v>306982.5429501838</ns0:v>
      </ns0:c>
      <ns0:c r="Z649" s="7">
        <ns0:f>X649+Y649</ns0:f>
        <ns0:v>1317558.1688478917</ns0:v>
      </ns0:c>
      <ns0:c r="AA649" s="7">
        <ns0:f>IF(T649&gt;=0,A649,1001)</ns0:f>
        <ns0:v>645</ns0:v>
      </ns0:c>
      <ns0:c r="AB649" s="7">
        <ns0:f>IF(T649&lt;0,A649,0)</ns0:f>
        <ns0:v>0</ns0:v>
      </ns0:c>
      <ns0:c r="AC649" s="16">
        <ns0:f>IF(AND(OR('前提と出典'!$C$36+'前提と出典'!$C$38=0,R649&gt;=0),OR('前提と出典'!$C$37+'前提と出典'!$C$38=0,S649&gt;=0)),0,A649)</ns0:f>
        <ns0:v>0</ns0:v>
      </ns0:c>
      <ns0:c r="AD649" s="7">
        <ns0:f>IF(W649&gt;=0,A649,1001)</ns0:f>
        <ns0:v>645</ns0:v>
      </ns0:c>
      <ns0:c r="AE649" s="7">
        <ns0:f>IF(W649&lt;0,A649,0)</ns0:f>
        <ns0:v>0</ns0:v>
      </ns0:c>
      <ns0:c r="AF649" s="16">
        <ns0:f>IF(AND(OR('前提と出典'!$C$36+'前提と出典'!$C$38=0,U649&gt;=0),OR('前提と出典'!$C$37+'前提と出典'!$C$38=0,V649&gt;=0)),0,A649)</ns0:f>
        <ns0:v>0</ns0:v>
      </ns0:c>
      <ns0:c r="AG649" s="7">
        <ns0:f>IF(Z649&gt;=0,A649,1001)</ns0:f>
        <ns0:v>645</ns0:v>
      </ns0:c>
      <ns0:c r="AH649" s="4">
        <ns0:f>IF(Z649&lt;0,A649,0)</ns0:f>
        <ns0:v>0</ns0:v>
      </ns0:c>
      <ns0:c r="AI649" s="12">
        <ns0:f>IF(AND(OR('前提と出典'!$C$36+'前提と出典'!$C$38=0,X649&gt;=0),OR('前提と出典'!$C$37+'前提と出典'!$C$38=0,Y649&gt;=0)),0,A649)</ns0:f>
        <ns0:v>0</ns0:v>
      </ns0:c>
    </ns0:row>
    <ns0:row r="650" ht="24" customHeight="1">
      <ns0:c r="A650" s="4" t="n">
        <ns0:v>646</ns0:v>
      </ns0:c>
      <ns0:c r="B650" s="12">
        <ns0:f>A650*('前提と出典'!$C$36+'前提と出典'!$C$38)</ns0:f>
        <ns0:v>452.2</ns0:v>
      </ns0:c>
      <ns0:c r="C650" s="12">
        <ns0:f>A650*('前提と出典'!$C$37+'前提と出典'!$C$38)</ns0:f>
        <ns0:v>387.59999999999997</ns0:v>
      </ns0:c>
      <ns0:c r="D650" s="16">
        <ns0:f>A650*('前提と出典'!$C$36*'契約別単価'!C5+'前提と出典'!$C$37*'契約別単価'!C6+'前提と出典'!$C$38*'契約別単価'!C7)</ns0:f>
        <ns0:v>4648.312849162011</ns0:v>
      </ns0:c>
      <ns0:c r="E650" s="16">
        <ns0:f>A650*('前提と出典'!$C$36*'契約別単価'!E5+'前提と出典'!$C$37*'契約別単価'!E6+'前提と出典'!$C$38*'契約別単価'!E7)</ns0:f>
        <ns0:v>1623961.90841363</ns0:v>
      </ns0:c>
      <ns0:c r="F650" s="16">
        <ns0:f>A650*('前提と出典'!$C$36*'契約別単価'!F5+'前提と出典'!$C$37*'契約別単価'!F6+'前提と出典'!$C$38*'契約別単価'!F7)</ns0:f>
        <ns0:v>471881.81972426595</ns0:v>
      </ns0:c>
      <ns0:c r="G650" s="16">
        <ns0:f>A650*('前提と出典'!$C$36*'契約別単価'!G5+'前提と出典'!$C$37*'契約別単価'!G6+'前提と出典'!$C$38*'契約別単価'!G7)</ns0:f>
        <ns0:v>1285864.8044692737</ns0:v>
      </ns0:c>
      <ns0:c r="H650" s="16">
        <ns0:f>A650*('前提と出典'!$C$36*'契約別単価'!H5+'前提と出典'!$C$37*'契約別単価'!H6+'前提と出典'!$C$38*'契約別単価'!H7)</ns0:f>
        <ns0:v>446259.57833862037</ns0:v>
      </ns0:c>
      <ns0:c r="I650" s="16">
        <ns0:f>A650*('前提と出典'!$C$36*'契約別単価'!I5+'前提と出典'!$C$37*'契約別単価'!I6+'前提と出典'!$C$38*'契約別単価'!I7)</ns0:f>
        <ns0:v>27258.31284916201</ns0:v>
      </ns0:c>
      <ns0:c r="J650" s="16">
        <ns0:f>A650*('前提と出典'!$C$36*'契約別単価'!J5+'前提と出典'!$C$37*'契約別単価'!J6+'前提と出典'!$C$38*'契約別単価'!J7)</ns0:f>
        <ns0:v>63495.04523685546</ns0:v>
      </ns0:c>
      <ns0:c r="K650" s="16">
        <ns0:f>A650*('前提と出典'!$C$36*'契約別単価'!K5+'前提と出典'!$C$37*'契約別単価'!K6+'前提と出典'!$C$38*'契約別単価'!K7)</ns0:f>
        <ns0:v>272162.0856610801</ns0:v>
      </ns0:c>
      <ns0:c r="L650" s="16">
        <ns0:f>A650*('前提と出典'!$C$36*'契約別単価'!L5+'前提と出典'!$C$37*'契約別単価'!L6+'前提と出典'!$C$38*'契約別単価'!L7)</ns0:f>
        <ns0:v>221595.319277954</ns0:v>
      </ns0:c>
      <ns0:c r="M650" s="16">
        <ns0:f>IF(('前提と出典'!$C$36+'前提と出典'!$C$38)=0,0,IF(B650&lt;=10,'前提と出典'!B73+'前提と出典'!C73,IF(B650&lt;=100,'前提と出典'!B74+'前提と出典'!C74,IF(B650&lt;=500,'前提と出典'!B75+'前提と出典'!C75,'前提と出典'!B76+'前提と出典'!C76))))</ns0:f>
        <ns0:v>40000</ns0:v>
      </ns0:c>
      <ns0:c r="N650" s="16">
        <ns0:f>IF(('前提と出典'!$C$37+'前提と出典'!$C$38)=0,0,IF(C650&lt;=10,'前提と出典'!D73+'前提と出典'!E73,IF(C650&lt;=100,'前提と出典'!D74+'前提と出典'!E74,IF(C650&lt;=500,'前提と出典'!D75+'前提と出典'!E75,'前提と出典'!D76+'前提と出典'!E76))))</ns0:f>
        <ns0:v>56510.9346263078</ns0:v>
      </ns0:c>
      <ns0:c r="O650" s="16">
        <ns0:f>IF('前提と出典'!$C$36+'前提と出典'!$C$38=0,0,'前提と出典'!$B$4*IF('前提と出典'!$B$20=0,MAX('前提と出典'!$B$6,D650*'前提と出典'!$B$5),'前提と出典'!$B$6+D650*'前提と出典'!$B$5))</ns0:f>
        <ns0:v>641467.1731843576</ns0:v>
      </ns0:c>
      <ns0:c r="P650" s="16">
        <ns0:f>(E650+G650)*(1-'前提と出典'!$B$7)-I650-K650-M650-O650</ns0:f>
        <ns0:v>1824185.3795245187</ns0:v>
      </ns0:c>
      <ns0:c r="Q650" s="16">
        <ns0:f>(F650+H650)*(1-'前提と出典'!$B$7)-J650-L650-N650</ns0:f>
        <ns0:v>543487.008591505</ns0:v>
      </ns0:c>
      <ns0:c r="R650" s="16">
        <ns0:f>P650-E650*'前提と出典'!$E$4</ns0:f>
        <ns0:v>1336996.8070004298</ns0:v>
      </ns0:c>
      <ns0:c r="S650" s="16">
        <ns0:f>Q650-F650*'前提と出典'!$E$4</ns0:f>
        <ns0:v>401922.4626742253</ns0:v>
      </ns0:c>
      <ns0:c r="T650" s="7">
        <ns0:f>R650+S650</ns0:f>
        <ns0:v>1738919.269674655</ns0:v>
      </ns0:c>
      <ns0:c r="U650" s="16">
        <ns0:f>P650-E650*'前提と出典'!$E$5</ns0:f>
        <ns0:v>1174600.6161590666</ns0:v>
      </ns0:c>
      <ns0:c r="V650" s="16">
        <ns0:f>Q650-F650*'前提と出典'!$E$5</ns0:f>
        <ns0:v>354734.2807017987</ns0:v>
      </ns0:c>
      <ns0:c r="W650" s="7">
        <ns0:f>U650+V650</ns0:f>
        <ns0:v>1529334.8968608652</ns0:v>
      </ns0:c>
      <ns0:c r="X650" s="16">
        <ns0:f>P650-E650*'前提と出典'!$E$6</ns0:f>
        <ns0:v>1012204.4253177042</ns0:v>
      </ns0:c>
      <ns0:c r="Y650" s="16">
        <ns0:f>Q650-F650*'前提と出典'!$E$6</ns0:f>
        <ns0:v>307546.0987293721</ns0:v>
      </ns0:c>
      <ns0:c r="Z650" s="7">
        <ns0:f>X650+Y650</ns0:f>
        <ns0:v>1319750.5240470762</ns0:v>
      </ns0:c>
      <ns0:c r="AA650" s="7">
        <ns0:f>IF(T650&gt;=0,A650,1001)</ns0:f>
        <ns0:v>646</ns0:v>
      </ns0:c>
      <ns0:c r="AB650" s="7">
        <ns0:f>IF(T650&lt;0,A650,0)</ns0:f>
        <ns0:v>0</ns0:v>
      </ns0:c>
      <ns0:c r="AC650" s="16">
        <ns0:f>IF(AND(OR('前提と出典'!$C$36+'前提と出典'!$C$38=0,R650&gt;=0),OR('前提と出典'!$C$37+'前提と出典'!$C$38=0,S650&gt;=0)),0,A650)</ns0:f>
        <ns0:v>0</ns0:v>
      </ns0:c>
      <ns0:c r="AD650" s="7">
        <ns0:f>IF(W650&gt;=0,A650,1001)</ns0:f>
        <ns0:v>646</ns0:v>
      </ns0:c>
      <ns0:c r="AE650" s="7">
        <ns0:f>IF(W650&lt;0,A650,0)</ns0:f>
        <ns0:v>0</ns0:v>
      </ns0:c>
      <ns0:c r="AF650" s="16">
        <ns0:f>IF(AND(OR('前提と出典'!$C$36+'前提と出典'!$C$38=0,U650&gt;=0),OR('前提と出典'!$C$37+'前提と出典'!$C$38=0,V650&gt;=0)),0,A650)</ns0:f>
        <ns0:v>0</ns0:v>
      </ns0:c>
      <ns0:c r="AG650" s="7">
        <ns0:f>IF(Z650&gt;=0,A650,1001)</ns0:f>
        <ns0:v>646</ns0:v>
      </ns0:c>
      <ns0:c r="AH650" s="4">
        <ns0:f>IF(Z650&lt;0,A650,0)</ns0:f>
        <ns0:v>0</ns0:v>
      </ns0:c>
      <ns0:c r="AI650" s="12">
        <ns0:f>IF(AND(OR('前提と出典'!$C$36+'前提と出典'!$C$38=0,X650&gt;=0),OR('前提と出典'!$C$37+'前提と出典'!$C$38=0,Y650&gt;=0)),0,A650)</ns0:f>
        <ns0:v>0</ns0:v>
      </ns0:c>
    </ns0:row>
    <ns0:row r="651" ht="24" customHeight="1">
      <ns0:c r="A651" s="4" t="n">
        <ns0:v>647</ns0:v>
      </ns0:c>
      <ns0:c r="B651" s="12">
        <ns0:f>A651*('前提と出典'!$C$36+'前提と出典'!$C$38)</ns0:f>
        <ns0:v>452.9</ns0:v>
      </ns0:c>
      <ns0:c r="C651" s="12">
        <ns0:f>A651*('前提と出典'!$C$37+'前提と出典'!$C$38)</ns0:f>
        <ns0:v>388.2</ns0:v>
      </ns0:c>
      <ns0:c r="D651" s="16">
        <ns0:f>A651*('前提と出典'!$C$36*'契約別単価'!C5+'前提と出典'!$C$37*'契約別単価'!C6+'前提と出典'!$C$38*'契約別単価'!C7)</ns0:f>
        <ns0:v>4655.508379888268</ns0:v>
      </ns0:c>
      <ns0:c r="E651" s="16">
        <ns0:f>A651*('前提と出典'!$C$36*'契約別単価'!E5+'前提と出典'!$C$37*'契約別単価'!E6+'前提と出典'!$C$38*'契約別単価'!E7)</ns0:f>
        <ns0:v>1626475.7813368707</ns0:v>
      </ns0:c>
      <ns0:c r="F651" s="16">
        <ns0:f>A651*('前提と出典'!$C$36*'契約別単価'!F5+'前提と出典'!$C$37*'契約別単価'!F6+'前提と出典'!$C$38*'契約別単価'!F7)</ns0:f>
        <ns0:v>472612.2869374614</ns0:v>
      </ns0:c>
      <ns0:c r="G651" s="16">
        <ns0:f>A651*('前提と出典'!$C$36*'契約別単価'!G5+'前提と出典'!$C$37*'契約別単価'!G6+'前提と出典'!$C$38*'契約別単価'!G7)</ns0:f>
        <ns0:v>1287855.3072625697</ns0:v>
      </ns0:c>
      <ns0:c r="H651" s="16">
        <ns0:f>A651*('前提と出典'!$C$36*'契約別単価'!H5+'前提と出典'!$C$37*'契約別単価'!H6+'前提と出典'!$C$38*'契約別単価'!H7)</ns0:f>
        <ns0:v>446950.38263945415</ns0:v>
      </ns0:c>
      <ns0:c r="I651" s="16">
        <ns0:f>A651*('前提と出典'!$C$36*'契約別単価'!I5+'前提と出典'!$C$37*'契約別単価'!I6+'前提と出典'!$C$38*'契約別単価'!I7)</ns0:f>
        <ns0:v>27300.508379888262</ns0:v>
      </ns0:c>
      <ns0:c r="J651" s="16">
        <ns0:f>A651*('前提と出典'!$C$36*'契約別単価'!J5+'前提と出典'!$C$37*'契約別単価'!J6+'前提と出典'!$C$38*'契約別単価'!J7)</ns0:f>
        <ns0:v>63593.33478056576</ns0:v>
      </ns0:c>
      <ns0:c r="K651" s="16">
        <ns0:f>A651*('前提と出典'!$C$36*'契約別単価'!K5+'前提と出典'!$C$37*'契約別単価'!K6+'前提と出典'!$C$38*'契約別単価'!K7)</ns0:f>
        <ns0:v>272583.3891992551</ns0:v>
      </ns0:c>
      <ns0:c r="L651" s="16">
        <ns0:f>A651*('前提と出典'!$C$36*'契約別単価'!L5+'前提と出典'!$C$37*'契約別単価'!L6+'前提と出典'!$C$38*'契約別単価'!L7)</ns0:f>
        <ns0:v>221938.3460879818</ns0:v>
      </ns0:c>
      <ns0:c r="M651" s="16">
        <ns0:f>IF(('前提と出典'!$C$36+'前提と出典'!$C$38)=0,0,IF(B651&lt;=10,'前提と出典'!B73+'前提と出典'!C73,IF(B651&lt;=100,'前提と出典'!B74+'前提と出典'!C74,IF(B651&lt;=500,'前提と出典'!B75+'前提と出典'!C75,'前提と出典'!B76+'前提と出典'!C76))))</ns0:f>
        <ns0:v>40000</ns0:v>
      </ns0:c>
      <ns0:c r="N651" s="16">
        <ns0:f>IF(('前提と出典'!$C$37+'前提と出典'!$C$38)=0,0,IF(C651&lt;=10,'前提と出典'!D73+'前提と出典'!E73,IF(C651&lt;=100,'前提と出典'!D74+'前提と出典'!E74,IF(C651&lt;=500,'前提と出典'!D75+'前提と出典'!E75,'前提と出典'!D76+'前提と出典'!E76))))</ns0:f>
        <ns0:v>56510.9346263078</ns0:v>
      </ns0:c>
      <ns0:c r="O651" s="16">
        <ns0:f>IF('前提と出典'!$C$36+'前提と出典'!$C$38=0,0,'前提と出典'!$B$4*IF('前提と出典'!$B$20=0,MAX('前提と出典'!$B$6,D651*'前提と出典'!$B$5),'前提と出典'!$B$6+D651*'前提と出典'!$B$5))</ns0:f>
        <ns0:v>642460.1564245811</ns0:v>
      </ns0:c>
      <ns0:c r="P651" s="16">
        <ns0:f>(E651+G651)*(1-'前提と出典'!$B$7)-I651-K651-M651-O651</ns0:f>
        <ns0:v>1827071.1154061363</ns0:v>
      </ns0:c>
      <ns0:c r="Q651" s="16">
        <ns0:f>(F651+H651)*(1-'前提と出典'!$B$7)-J651-L651-N651</ns0:f>
        <ns0:v>544415.7979772912</ns0:v>
      </ns0:c>
      <ns0:c r="R651" s="16">
        <ns0:f>P651-E651*'前提と出典'!$E$4</ns0:f>
        <ns0:v>1339128.3810050753</ns0:v>
      </ns0:c>
      <ns0:c r="S651" s="16">
        <ns0:f>Q651-F651*'前提と出典'!$E$4</ns0:f>
        <ns0:v>402632.1118960527</ns0:v>
      </ns0:c>
      <ns0:c r="T651" s="7">
        <ns0:f>R651+S651</ns0:f>
        <ns0:v>1741760.492901128</ns0:v>
      </ns0:c>
      <ns0:c r="U651" s="16">
        <ns0:f>P651-E651*'前提と出典'!$E$5</ns0:f>
        <ns0:v>1176480.802871388</ns0:v>
      </ns0:c>
      <ns0:c r="V651" s="16">
        <ns0:f>Q651-F651*'前提と出典'!$E$5</ns0:f>
        <ns0:v>355370.8832023066</ns0:v>
      </ns0:c>
      <ns0:c r="W651" s="7">
        <ns0:f>U651+V651</ns0:f>
        <ns0:v>1531851.6860736944</ns0:v>
      </ns0:c>
      <ns0:c r="X651" s="16">
        <ns0:f>P651-E651*'前提と出典'!$E$6</ns0:f>
        <ns0:v>1013833.224737701</ns0:v>
      </ns0:c>
      <ns0:c r="Y651" s="16">
        <ns0:f>Q651-F651*'前提と出典'!$E$6</ns0:f>
        <ns0:v>308109.65450856043</ns0:v>
      </ns0:c>
      <ns0:c r="Z651" s="7">
        <ns0:f>X651+Y651</ns0:f>
        <ns0:v>1321942.8792462614</ns0:v>
      </ns0:c>
      <ns0:c r="AA651" s="7">
        <ns0:f>IF(T651&gt;=0,A651,1001)</ns0:f>
        <ns0:v>647</ns0:v>
      </ns0:c>
      <ns0:c r="AB651" s="7">
        <ns0:f>IF(T651&lt;0,A651,0)</ns0:f>
        <ns0:v>0</ns0:v>
      </ns0:c>
      <ns0:c r="AC651" s="16">
        <ns0:f>IF(AND(OR('前提と出典'!$C$36+'前提と出典'!$C$38=0,R651&gt;=0),OR('前提と出典'!$C$37+'前提と出典'!$C$38=0,S651&gt;=0)),0,A651)</ns0:f>
        <ns0:v>0</ns0:v>
      </ns0:c>
      <ns0:c r="AD651" s="7">
        <ns0:f>IF(W651&gt;=0,A651,1001)</ns0:f>
        <ns0:v>647</ns0:v>
      </ns0:c>
      <ns0:c r="AE651" s="7">
        <ns0:f>IF(W651&lt;0,A651,0)</ns0:f>
        <ns0:v>0</ns0:v>
      </ns0:c>
      <ns0:c r="AF651" s="16">
        <ns0:f>IF(AND(OR('前提と出典'!$C$36+'前提と出典'!$C$38=0,U651&gt;=0),OR('前提と出典'!$C$37+'前提と出典'!$C$38=0,V651&gt;=0)),0,A651)</ns0:f>
        <ns0:v>0</ns0:v>
      </ns0:c>
      <ns0:c r="AG651" s="7">
        <ns0:f>IF(Z651&gt;=0,A651,1001)</ns0:f>
        <ns0:v>647</ns0:v>
      </ns0:c>
      <ns0:c r="AH651" s="4">
        <ns0:f>IF(Z651&lt;0,A651,0)</ns0:f>
        <ns0:v>0</ns0:v>
      </ns0:c>
      <ns0:c r="AI651" s="12">
        <ns0:f>IF(AND(OR('前提と出典'!$C$36+'前提と出典'!$C$38=0,X651&gt;=0),OR('前提と出典'!$C$37+'前提と出典'!$C$38=0,Y651&gt;=0)),0,A651)</ns0:f>
        <ns0:v>0</ns0:v>
      </ns0:c>
    </ns0:row>
    <ns0:row r="652" ht="24" customHeight="1">
      <ns0:c r="A652" s="4" t="n">
        <ns0:v>648</ns0:v>
      </ns0:c>
      <ns0:c r="B652" s="12">
        <ns0:f>A652*('前提と出典'!$C$36+'前提と出典'!$C$38)</ns0:f>
        <ns0:v>453.59999999999997</ns0:v>
      </ns0:c>
      <ns0:c r="C652" s="12">
        <ns0:f>A652*('前提と出典'!$C$37+'前提と出典'!$C$38)</ns0:f>
        <ns0:v>388.8</ns0:v>
      </ns0:c>
      <ns0:c r="D652" s="16">
        <ns0:f>A652*('前提と出典'!$C$36*'契約別単価'!C5+'前提と出典'!$C$37*'契約別単価'!C6+'前提と出典'!$C$38*'契約別単価'!C7)</ns0:f>
        <ns0:v>4662.703910614525</ns0:v>
      </ns0:c>
      <ns0:c r="E652" s="16">
        <ns0:f>A652*('前提と出典'!$C$36*'契約別単価'!E5+'前提と出典'!$C$37*'契約別単価'!E6+'前提と出典'!$C$38*'契約別単価'!E7)</ns0:f>
        <ns0:v>1628989.6542601117</ns0:v>
      </ns0:c>
      <ns0:c r="F652" s="16">
        <ns0:f>A652*('前提と出典'!$C$36*'契約別単価'!F5+'前提と出典'!$C$37*'契約別単価'!F6+'前提と出典'!$C$38*'契約別単価'!F7)</ns0:f>
        <ns0:v>473342.75415065687</ns0:v>
      </ns0:c>
      <ns0:c r="G652" s="16">
        <ns0:f>A652*('前提と出典'!$C$36*'契約別単価'!G5+'前提と出典'!$C$37*'契約別単価'!G6+'前提と出典'!$C$38*'契約別単価'!G7)</ns0:f>
        <ns0:v>1289845.810055866</ns0:v>
      </ns0:c>
      <ns0:c r="H652" s="16">
        <ns0:f>A652*('前提と出典'!$C$36*'契約別単価'!H5+'前提と出典'!$C$37*'契約別単価'!H6+'前提と出典'!$C$38*'契約別単価'!H7)</ns0:f>
        <ns0:v>447641.18694028794</ns0:v>
      </ns0:c>
      <ns0:c r="I652" s="16">
        <ns0:f>A652*('前提と出典'!$C$36*'契約別単価'!I5+'前提と出典'!$C$37*'契約別単価'!I6+'前提と出典'!$C$38*'契約別単価'!I7)</ns0:f>
        <ns0:v>27342.70391061452</ns0:v>
      </ns0:c>
      <ns0:c r="J652" s="16">
        <ns0:f>A652*('前提と出典'!$C$36*'契約別単価'!J5+'前提と出典'!$C$37*'契約別単価'!J6+'前提と出典'!$C$38*'契約別単価'!J7)</ns0:f>
        <ns0:v>63691.62432427606</ns0:v>
      </ns0:c>
      <ns0:c r="K652" s="16">
        <ns0:f>A652*('前提と出典'!$C$36*'契約別単価'!K5+'前提と出典'!$C$37*'契約別単価'!K6+'前提と出典'!$C$38*'契約別単価'!K7)</ns0:f>
        <ns0:v>273004.69273743016</ns0:v>
      </ns0:c>
      <ns0:c r="L652" s="16">
        <ns0:f>A652*('前提と出典'!$C$36*'契約別単価'!L5+'前提と出典'!$C$37*'契約別単価'!L6+'前提と出典'!$C$38*'契約別単価'!L7)</ns0:f>
        <ns0:v>222281.37289800958</ns0:v>
      </ns0:c>
      <ns0:c r="M652" s="16">
        <ns0:f>IF(('前提と出典'!$C$36+'前提と出典'!$C$38)=0,0,IF(B652&lt;=10,'前提と出典'!B73+'前提と出典'!C73,IF(B652&lt;=100,'前提と出典'!B74+'前提と出典'!C74,IF(B652&lt;=500,'前提と出典'!B75+'前提と出典'!C75,'前提と出典'!B76+'前提と出典'!C76))))</ns0:f>
        <ns0:v>40000</ns0:v>
      </ns0:c>
      <ns0:c r="N652" s="16">
        <ns0:f>IF(('前提と出典'!$C$37+'前提と出典'!$C$38)=0,0,IF(C652&lt;=10,'前提と出典'!D73+'前提と出典'!E73,IF(C652&lt;=100,'前提と出典'!D74+'前提と出典'!E74,IF(C652&lt;=500,'前提と出典'!D75+'前提と出典'!E75,'前提と出典'!D76+'前提と出典'!E76))))</ns0:f>
        <ns0:v>56510.9346263078</ns0:v>
      </ns0:c>
      <ns0:c r="O652" s="16">
        <ns0:f>IF('前提と出典'!$C$36+'前提と出典'!$C$38=0,0,'前提と出典'!$B$4*IF('前提と出典'!$B$20=0,MAX('前提と出典'!$B$6,D652*'前提と出典'!$B$5),'前提と出典'!$B$6+D652*'前提と出典'!$B$5))</ns0:f>
        <ns0:v>643453.1396648044</ns0:v>
      </ns0:c>
      <ns0:c r="P652" s="16">
        <ns0:f>(E652+G652)*(1-'前提と出典'!$B$7)-I652-K652-M652-O652</ns0:f>
        <ns0:v>1829956.8512877536</ns0:v>
      </ns0:c>
      <ns0:c r="Q652" s="16">
        <ns0:f>(F652+H652)*(1-'前提と出典'!$B$7)-J652-L652-N652</ns0:f>
        <ns0:v>545344.5873630773</ns0:v>
      </ns0:c>
      <ns0:c r="R652" s="16">
        <ns0:f>P652-E652*'前提と出典'!$E$4</ns0:f>
        <ns0:v>1341259.9550097203</ns0:v>
      </ns0:c>
      <ns0:c r="S652" s="16">
        <ns0:f>Q652-F652*'前提と出典'!$E$4</ns0:f>
        <ns0:v>403341.76111788023</ns0:v>
      </ns0:c>
      <ns0:c r="T652" s="7">
        <ns0:f>R652+S652</ns0:f>
        <ns0:v>1744601.7161276005</ns0:v>
      </ns0:c>
      <ns0:c r="U652" s="16">
        <ns0:f>P652-E652*'前提と出典'!$E$5</ns0:f>
        <ns0:v>1178360.9895837088</ns0:v>
      </ns0:c>
      <ns0:c r="V652" s="16">
        <ns0:f>Q652-F652*'前提と出典'!$E$5</ns0:f>
        <ns0:v>356007.48570281453</ns0:v>
      </ns0:c>
      <ns0:c r="W652" s="7">
        <ns0:f>U652+V652</ns0:f>
        <ns0:v>1534368.4752865233</ns0:v>
      </ns0:c>
      <ns0:c r="X652" s="16">
        <ns0:f>P652-E652*'前提と出典'!$E$6</ns0:f>
        <ns0:v>1015462.0241576975</ns0:v>
      </ns0:c>
      <ns0:c r="Y652" s="16">
        <ns0:f>Q652-F652*'前提と出典'!$E$6</ns0:f>
        <ns0:v>308673.21028774884</ns0:v>
      </ns0:c>
      <ns0:c r="Z652" s="7">
        <ns0:f>X652+Y652</ns0:f>
        <ns0:v>1324135.2344454462</ns0:v>
      </ns0:c>
      <ns0:c r="AA652" s="7">
        <ns0:f>IF(T652&gt;=0,A652,1001)</ns0:f>
        <ns0:v>648</ns0:v>
      </ns0:c>
      <ns0:c r="AB652" s="7">
        <ns0:f>IF(T652&lt;0,A652,0)</ns0:f>
        <ns0:v>0</ns0:v>
      </ns0:c>
      <ns0:c r="AC652" s="16">
        <ns0:f>IF(AND(OR('前提と出典'!$C$36+'前提と出典'!$C$38=0,R652&gt;=0),OR('前提と出典'!$C$37+'前提と出典'!$C$38=0,S652&gt;=0)),0,A652)</ns0:f>
        <ns0:v>0</ns0:v>
      </ns0:c>
      <ns0:c r="AD652" s="7">
        <ns0:f>IF(W652&gt;=0,A652,1001)</ns0:f>
        <ns0:v>648</ns0:v>
      </ns0:c>
      <ns0:c r="AE652" s="7">
        <ns0:f>IF(W652&lt;0,A652,0)</ns0:f>
        <ns0:v>0</ns0:v>
      </ns0:c>
      <ns0:c r="AF652" s="16">
        <ns0:f>IF(AND(OR('前提と出典'!$C$36+'前提と出典'!$C$38=0,U652&gt;=0),OR('前提と出典'!$C$37+'前提と出典'!$C$38=0,V652&gt;=0)),0,A652)</ns0:f>
        <ns0:v>0</ns0:v>
      </ns0:c>
      <ns0:c r="AG652" s="7">
        <ns0:f>IF(Z652&gt;=0,A652,1001)</ns0:f>
        <ns0:v>648</ns0:v>
      </ns0:c>
      <ns0:c r="AH652" s="4">
        <ns0:f>IF(Z652&lt;0,A652,0)</ns0:f>
        <ns0:v>0</ns0:v>
      </ns0:c>
      <ns0:c r="AI652" s="12">
        <ns0:f>IF(AND(OR('前提と出典'!$C$36+'前提と出典'!$C$38=0,X652&gt;=0),OR('前提と出典'!$C$37+'前提と出典'!$C$38=0,Y652&gt;=0)),0,A652)</ns0:f>
        <ns0:v>0</ns0:v>
      </ns0:c>
    </ns0:row>
    <ns0:row r="653" ht="24" customHeight="1">
      <ns0:c r="A653" s="4" t="n">
        <ns0:v>649</ns0:v>
      </ns0:c>
      <ns0:c r="B653" s="12">
        <ns0:f>A653*('前提と出典'!$C$36+'前提と出典'!$C$38)</ns0:f>
        <ns0:v>454.29999999999995</ns0:v>
      </ns0:c>
      <ns0:c r="C653" s="12">
        <ns0:f>A653*('前提と出典'!$C$37+'前提と出典'!$C$38)</ns0:f>
        <ns0:v>389.4</ns0:v>
      </ns0:c>
      <ns0:c r="D653" s="16">
        <ns0:f>A653*('前提と出典'!$C$36*'契約別単価'!C5+'前提と出典'!$C$37*'契約別単価'!C6+'前提と出典'!$C$38*'契約別単価'!C7)</ns0:f>
        <ns0:v>4669.899441340782</ns0:v>
      </ns0:c>
      <ns0:c r="E653" s="16">
        <ns0:f>A653*('前提と出典'!$C$36*'契約別単価'!E5+'前提と出典'!$C$37*'契約別単価'!E6+'前提と出典'!$C$38*'契約別単価'!E7)</ns0:f>
        <ns0:v>1631503.5271833527</ns0:v>
      </ns0:c>
      <ns0:c r="F653" s="16">
        <ns0:f>A653*('前提と出典'!$C$36*'契約別単価'!F5+'前提と出典'!$C$37*'契約別単価'!F6+'前提と出典'!$C$38*'契約別単価'!F7)</ns0:f>
        <ns0:v>474073.2213638523</ns0:v>
      </ns0:c>
      <ns0:c r="G653" s="16">
        <ns0:f>A653*('前提と出典'!$C$36*'契約別単価'!G5+'前提と出典'!$C$37*'契約別単価'!G6+'前提と出典'!$C$38*'契約別単価'!G7)</ns0:f>
        <ns0:v>1291836.312849162</ns0:v>
      </ns0:c>
      <ns0:c r="H653" s="16">
        <ns0:f>A653*('前提と出典'!$C$36*'契約別単価'!H5+'前提と出典'!$C$37*'契約別単価'!H6+'前提と出典'!$C$38*'契約別単価'!H7)</ns0:f>
        <ns0:v>448331.9912411217</ns0:v>
      </ns0:c>
      <ns0:c r="I653" s="16">
        <ns0:f>A653*('前提と出典'!$C$36*'契約別単価'!I5+'前提と出典'!$C$37*'契約別単価'!I6+'前提と出典'!$C$38*'契約別単価'!I7)</ns0:f>
        <ns0:v>27384.899441340778</ns0:v>
      </ns0:c>
      <ns0:c r="J653" s="16">
        <ns0:f>A653*('前提と出典'!$C$36*'契約別単価'!J5+'前提と出典'!$C$37*'契約別単価'!J6+'前提と出典'!$C$38*'契約別単価'!J7)</ns0:f>
        <ns0:v>63789.91386798637</ns0:v>
      </ns0:c>
      <ns0:c r="K653" s="16">
        <ns0:f>A653*('前提と出典'!$C$36*'契約別単価'!K5+'前提と出典'!$C$37*'契約別単価'!K6+'前提と出典'!$C$38*'契約別単価'!K7)</ns0:f>
        <ns0:v>273425.99627560517</ns0:v>
      </ns0:c>
      <ns0:c r="L653" s="16">
        <ns0:f>A653*('前提と出典'!$C$36*'契約別単価'!L5+'前提と出典'!$C$37*'契約別単価'!L6+'前提と出典'!$C$38*'契約別単価'!L7)</ns0:f>
        <ns0:v>222624.39970803738</ns0:v>
      </ns0:c>
      <ns0:c r="M653" s="16">
        <ns0:f>IF(('前提と出典'!$C$36+'前提と出典'!$C$38)=0,0,IF(B653&lt;=10,'前提と出典'!B73+'前提と出典'!C73,IF(B653&lt;=100,'前提と出典'!B74+'前提と出典'!C74,IF(B653&lt;=500,'前提と出典'!B75+'前提と出典'!C75,'前提と出典'!B76+'前提と出典'!C76))))</ns0:f>
        <ns0:v>40000</ns0:v>
      </ns0:c>
      <ns0:c r="N653" s="16">
        <ns0:f>IF(('前提と出典'!$C$37+'前提と出典'!$C$38)=0,0,IF(C653&lt;=10,'前提と出典'!D73+'前提と出典'!E73,IF(C653&lt;=100,'前提と出典'!D74+'前提と出典'!E74,IF(C653&lt;=500,'前提と出典'!D75+'前提と出典'!E75,'前提と出典'!D76+'前提と出典'!E76))))</ns0:f>
        <ns0:v>56510.9346263078</ns0:v>
      </ns0:c>
      <ns0:c r="O653" s="16">
        <ns0:f>IF('前提と出典'!$C$36+'前提と出典'!$C$38=0,0,'前提と出典'!$B$4*IF('前提と出典'!$B$20=0,MAX('前提と出典'!$B$6,D653*'前提と出典'!$B$5),'前提と出典'!$B$6+D653*'前提と出典'!$B$5))</ns0:f>
        <ns0:v>644446.1229050278</ns0:v>
      </ns0:c>
      <ns0:c r="P653" s="16">
        <ns0:f>(E653+G653)*(1-'前提と出典'!$B$7)-I653-K653-M653-O653</ns0:f>
        <ns0:v>1832842.5871693706</ns0:v>
      </ns0:c>
      <ns0:c r="Q653" s="16">
        <ns0:f>(F653+H653)*(1-'前提と出典'!$B$7)-J653-L653-N653</ns0:f>
        <ns0:v>546273.3767488634</ns0:v>
      </ns0:c>
      <ns0:c r="R653" s="16">
        <ns0:f>P653-E653*'前提と出典'!$E$4</ns0:f>
        <ns0:v>1343391.5290143646</ns0:v>
      </ns0:c>
      <ns0:c r="S653" s="16">
        <ns0:f>Q653-F653*'前提と出典'!$E$4</ns0:f>
        <ns0:v>404051.4103397076</ns0:v>
      </ns0:c>
      <ns0:c r="T653" s="7">
        <ns0:f>R653+S653</ns0:f>
        <ns0:v>1747442.9393540723</ns0:v>
      </ns0:c>
      <ns0:c r="U653" s="16">
        <ns0:f>P653-E653*'前提と出典'!$E$5</ns0:f>
        <ns0:v>1180241.1762960295</ns0:v>
      </ns0:c>
      <ns0:c r="V653" s="16">
        <ns0:f>Q653-F653*'前提と出典'!$E$5</ns0:f>
        <ns0:v>356644.0882033225</ns0:v>
      </ns0:c>
      <ns0:c r="W653" s="7">
        <ns0:f>U653+V653</ns0:f>
        <ns0:v>1536885.2644993518</ns0:v>
      </ns0:c>
      <ns0:c r="X653" s="16">
        <ns0:f>P653-E653*'前提と出典'!$E$6</ns0:f>
        <ns0:v>1017090.8235776939</ns0:v>
      </ns0:c>
      <ns0:c r="Y653" s="16">
        <ns0:f>Q653-F653*'前提と出典'!$E$6</ns0:f>
        <ns0:v>309236.76606693724</ns0:v>
      </ns0:c>
      <ns0:c r="Z653" s="7">
        <ns0:f>X653+Y653</ns0:f>
        <ns0:v>1326327.5896446311</ns0:v>
      </ns0:c>
      <ns0:c r="AA653" s="7">
        <ns0:f>IF(T653&gt;=0,A653,1001)</ns0:f>
        <ns0:v>649</ns0:v>
      </ns0:c>
      <ns0:c r="AB653" s="7">
        <ns0:f>IF(T653&lt;0,A653,0)</ns0:f>
        <ns0:v>0</ns0:v>
      </ns0:c>
      <ns0:c r="AC653" s="16">
        <ns0:f>IF(AND(OR('前提と出典'!$C$36+'前提と出典'!$C$38=0,R653&gt;=0),OR('前提と出典'!$C$37+'前提と出典'!$C$38=0,S653&gt;=0)),0,A653)</ns0:f>
        <ns0:v>0</ns0:v>
      </ns0:c>
      <ns0:c r="AD653" s="7">
        <ns0:f>IF(W653&gt;=0,A653,1001)</ns0:f>
        <ns0:v>649</ns0:v>
      </ns0:c>
      <ns0:c r="AE653" s="7">
        <ns0:f>IF(W653&lt;0,A653,0)</ns0:f>
        <ns0:v>0</ns0:v>
      </ns0:c>
      <ns0:c r="AF653" s="16">
        <ns0:f>IF(AND(OR('前提と出典'!$C$36+'前提と出典'!$C$38=0,U653&gt;=0),OR('前提と出典'!$C$37+'前提と出典'!$C$38=0,V653&gt;=0)),0,A653)</ns0:f>
        <ns0:v>0</ns0:v>
      </ns0:c>
      <ns0:c r="AG653" s="7">
        <ns0:f>IF(Z653&gt;=0,A653,1001)</ns0:f>
        <ns0:v>649</ns0:v>
      </ns0:c>
      <ns0:c r="AH653" s="4">
        <ns0:f>IF(Z653&lt;0,A653,0)</ns0:f>
        <ns0:v>0</ns0:v>
      </ns0:c>
      <ns0:c r="AI653" s="12">
        <ns0:f>IF(AND(OR('前提と出典'!$C$36+'前提と出典'!$C$38=0,X653&gt;=0),OR('前提と出典'!$C$37+'前提と出典'!$C$38=0,Y653&gt;=0)),0,A653)</ns0:f>
        <ns0:v>0</ns0:v>
      </ns0:c>
    </ns0:row>
    <ns0:row r="654" ht="24" customHeight="1">
      <ns0:c r="A654" s="4" t="n">
        <ns0:v>650</ns0:v>
      </ns0:c>
      <ns0:c r="B654" s="12">
        <ns0:f>A654*('前提と出典'!$C$36+'前提と出典'!$C$38)</ns0:f>
        <ns0:v>454.99999999999994</ns0:v>
      </ns0:c>
      <ns0:c r="C654" s="12">
        <ns0:f>A654*('前提と出典'!$C$37+'前提と出典'!$C$38)</ns0:f>
        <ns0:v>390</ns0:v>
      </ns0:c>
      <ns0:c r="D654" s="16">
        <ns0:f>A654*('前提と出典'!$C$36*'契約別単価'!C5+'前提と出典'!$C$37*'契約別単価'!C6+'前提と出典'!$C$38*'契約別単価'!C7)</ns0:f>
        <ns0:v>4677.094972067039</ns0:v>
      </ns0:c>
      <ns0:c r="E654" s="16">
        <ns0:f>A654*('前提と出典'!$C$36*'契約別単価'!E5+'前提と出典'!$C$37*'契約別単価'!E6+'前提と出典'!$C$38*'契約別単価'!E7)</ns0:f>
        <ns0:v>1634017.4001065935</ns0:v>
      </ns0:c>
      <ns0:c r="F654" s="16">
        <ns0:f>A654*('前提と出典'!$C$36*'契約別単価'!F5+'前提と出典'!$C$37*'契約別単価'!F6+'前提と出典'!$C$38*'契約別単価'!F7)</ns0:f>
        <ns0:v>474803.6885770478</ns0:v>
      </ns0:c>
      <ns0:c r="G654" s="16">
        <ns0:f>A654*('前提と出典'!$C$36*'契約別単価'!G5+'前提と出典'!$C$37*'契約別単価'!G6+'前提と出典'!$C$38*'契約別単価'!G7)</ns0:f>
        <ns0:v>1293826.8156424582</ns0:v>
      </ns0:c>
      <ns0:c r="H654" s="16">
        <ns0:f>A654*('前提と出典'!$C$36*'契約別単価'!H5+'前提と出典'!$C$37*'契約別単価'!H6+'前提と出典'!$C$38*'契約別単価'!H7)</ns0:f>
        <ns0:v>449022.7955419555</ns0:v>
      </ns0:c>
      <ns0:c r="I654" s="16">
        <ns0:f>A654*('前提と出典'!$C$36*'契約別単価'!I5+'前提と出典'!$C$37*'契約別単価'!I6+'前提と出典'!$C$38*'契約別単価'!I7)</ns0:f>
        <ns0:v>27427.094972067036</ns0:v>
      </ns0:c>
      <ns0:c r="J654" s="16">
        <ns0:f>A654*('前提と出典'!$C$36*'契約別単価'!J5+'前提と出典'!$C$37*'契約別単価'!J6+'前提と出典'!$C$38*'契約別単価'!J7)</ns0:f>
        <ns0:v>63888.20341169667</ns0:v>
      </ns0:c>
      <ns0:c r="K654" s="16">
        <ns0:f>A654*('前提と出典'!$C$36*'契約別単価'!K5+'前提と出典'!$C$37*'契約別単価'!K6+'前提と出典'!$C$38*'契約別単価'!K7)</ns0:f>
        <ns0:v>273847.29981378024</ns0:v>
      </ns0:c>
      <ns0:c r="L654" s="16">
        <ns0:f>A654*('前提と出典'!$C$36*'契約別単価'!L5+'前提と出典'!$C$37*'契約別単価'!L6+'前提と出典'!$C$38*'契約別単価'!L7)</ns0:f>
        <ns0:v>222967.4265180652</ns0:v>
      </ns0:c>
      <ns0:c r="M654" s="16">
        <ns0:f>IF(('前提と出典'!$C$36+'前提と出典'!$C$38)=0,0,IF(B654&lt;=10,'前提と出典'!B73+'前提と出典'!C73,IF(B654&lt;=100,'前提と出典'!B74+'前提と出典'!C74,IF(B654&lt;=500,'前提と出典'!B75+'前提と出典'!C75,'前提と出典'!B76+'前提と出典'!C76))))</ns0:f>
        <ns0:v>40000</ns0:v>
      </ns0:c>
      <ns0:c r="N654" s="16">
        <ns0:f>IF(('前提と出典'!$C$37+'前提と出典'!$C$38)=0,0,IF(C654&lt;=10,'前提と出典'!D73+'前提と出典'!E73,IF(C654&lt;=100,'前提と出典'!D74+'前提と出典'!E74,IF(C654&lt;=500,'前提と出典'!D75+'前提と出典'!E75,'前提と出典'!D76+'前提と出典'!E76))))</ns0:f>
        <ns0:v>56510.9346263078</ns0:v>
      </ns0:c>
      <ns0:c r="O654" s="16">
        <ns0:f>IF('前提と出典'!$C$36+'前提と出典'!$C$38=0,0,'前提と出典'!$B$4*IF('前提と出典'!$B$20=0,MAX('前提と出典'!$B$6,D654*'前提と出典'!$B$5),'前提と出典'!$B$6+D654*'前提と出典'!$B$5))</ns0:f>
        <ns0:v>645439.1061452513</ns0:v>
      </ns0:c>
      <ns0:c r="P654" s="16">
        <ns0:f>(E654+G654)*(1-'前提と出典'!$B$7)-I654-K654-M654-O654</ns0:f>
        <ns0:v>1835728.323050987</ns0:v>
      </ns0:c>
      <ns0:c r="Q654" s="16">
        <ns0:f>(F654+H654)*(1-'前提と出典'!$B$7)-J654-L654-N654</ns0:f>
        <ns0:v>547202.1661346495</ns0:v>
      </ns0:c>
      <ns0:c r="R654" s="16">
        <ns0:f>P654-E654*'前提と出典'!$E$4</ns0:f>
        <ns0:v>1345523.1030190089</ns0:v>
      </ns0:c>
      <ns0:c r="S654" s="16">
        <ns0:f>Q654-F654*'前提と出典'!$E$4</ns0:f>
        <ns0:v>404761.05956153525</ns0:v>
      </ns0:c>
      <ns0:c r="T654" s="7">
        <ns0:f>R654+S654</ns0:f>
        <ns0:v>1750284.1625805441</ns0:v>
      </ns0:c>
      <ns0:c r="U654" s="16">
        <ns0:f>P654-E654*'前提と出典'!$E$5</ns0:f>
        <ns0:v>1182121.3630083497</ns0:v>
      </ns0:c>
      <ns0:c r="V654" s="16">
        <ns0:f>Q654-F654*'前提と出典'!$E$5</ns0:f>
        <ns0:v>357280.69070383045</ns0:v>
      </ns0:c>
      <ns0:c r="W654" s="7">
        <ns0:f>U654+V654</ns0:f>
        <ns0:v>1539402.0537121801</ns0:v>
      </ns0:c>
      <ns0:c r="X654" s="16">
        <ns0:f>P654-E654*'前提と出典'!$E$6</ns0:f>
        <ns0:v>1018719.62299769</ns0:v>
      </ns0:c>
      <ns0:c r="Y654" s="16">
        <ns0:f>Q654-F654*'前提と出典'!$E$6</ns0:f>
        <ns0:v>309800.32184612565</ns0:v>
      </ns0:c>
      <ns0:c r="Z654" s="7">
        <ns0:f>X654+Y654</ns0:f>
        <ns0:v>1328519.9448438156</ns0:v>
      </ns0:c>
      <ns0:c r="AA654" s="7">
        <ns0:f>IF(T654&gt;=0,A654,1001)</ns0:f>
        <ns0:v>650</ns0:v>
      </ns0:c>
      <ns0:c r="AB654" s="7">
        <ns0:f>IF(T654&lt;0,A654,0)</ns0:f>
        <ns0:v>0</ns0:v>
      </ns0:c>
      <ns0:c r="AC654" s="16">
        <ns0:f>IF(AND(OR('前提と出典'!$C$36+'前提と出典'!$C$38=0,R654&gt;=0),OR('前提と出典'!$C$37+'前提と出典'!$C$38=0,S654&gt;=0)),0,A654)</ns0:f>
        <ns0:v>0</ns0:v>
      </ns0:c>
      <ns0:c r="AD654" s="7">
        <ns0:f>IF(W654&gt;=0,A654,1001)</ns0:f>
        <ns0:v>650</ns0:v>
      </ns0:c>
      <ns0:c r="AE654" s="7">
        <ns0:f>IF(W654&lt;0,A654,0)</ns0:f>
        <ns0:v>0</ns0:v>
      </ns0:c>
      <ns0:c r="AF654" s="16">
        <ns0:f>IF(AND(OR('前提と出典'!$C$36+'前提と出典'!$C$38=0,U654&gt;=0),OR('前提と出典'!$C$37+'前提と出典'!$C$38=0,V654&gt;=0)),0,A654)</ns0:f>
        <ns0:v>0</ns0:v>
      </ns0:c>
      <ns0:c r="AG654" s="7">
        <ns0:f>IF(Z654&gt;=0,A654,1001)</ns0:f>
        <ns0:v>650</ns0:v>
      </ns0:c>
      <ns0:c r="AH654" s="4">
        <ns0:f>IF(Z654&lt;0,A654,0)</ns0:f>
        <ns0:v>0</ns0:v>
      </ns0:c>
      <ns0:c r="AI654" s="12">
        <ns0:f>IF(AND(OR('前提と出典'!$C$36+'前提と出典'!$C$38=0,X654&gt;=0),OR('前提と出典'!$C$37+'前提と出典'!$C$38=0,Y654&gt;=0)),0,A654)</ns0:f>
        <ns0:v>0</ns0:v>
      </ns0:c>
    </ns0:row>
    <ns0:row r="655" ht="24" customHeight="1">
      <ns0:c r="A655" s="4" t="n">
        <ns0:v>651</ns0:v>
      </ns0:c>
      <ns0:c r="B655" s="12">
        <ns0:f>A655*('前提と出典'!$C$36+'前提と出典'!$C$38)</ns0:f>
        <ns0:v>455.7</ns0:v>
      </ns0:c>
      <ns0:c r="C655" s="12">
        <ns0:f>A655*('前提と出典'!$C$37+'前提と出典'!$C$38)</ns0:f>
        <ns0:v>390.59999999999997</ns0:v>
      </ns0:c>
      <ns0:c r="D655" s="16">
        <ns0:f>A655*('前提と出典'!$C$36*'契約別単価'!C5+'前提と出典'!$C$37*'契約別単価'!C6+'前提と出典'!$C$38*'契約別単価'!C7)</ns0:f>
        <ns0:v>4684.290502793296</ns0:v>
      </ns0:c>
      <ns0:c r="E655" s="16">
        <ns0:f>A655*('前提と出典'!$C$36*'契約別単価'!E5+'前提と出典'!$C$37*'契約別単価'!E6+'前提と出典'!$C$38*'契約別単価'!E7)</ns0:f>
        <ns0:v>1636531.2730298345</ns0:v>
      </ns0:c>
      <ns0:c r="F655" s="16">
        <ns0:f>A655*('前提と出典'!$C$36*'契約別単価'!F5+'前提と出典'!$C$37*'契約別単価'!F6+'前提と出典'!$C$38*'契約別単価'!F7)</ns0:f>
        <ns0:v>475534.15579024324</ns0:v>
      </ns0:c>
      <ns0:c r="G655" s="16">
        <ns0:f>A655*('前提と出典'!$C$36*'契約別単価'!G5+'前提と出典'!$C$37*'契約別単価'!G6+'前提と出典'!$C$38*'契約別単価'!G7)</ns0:f>
        <ns0:v>1295817.3184357542</ns0:v>
      </ns0:c>
      <ns0:c r="H655" s="16">
        <ns0:f>A655*('前提と出典'!$C$36*'契約別単価'!H5+'前提と出典'!$C$37*'契約別単価'!H6+'前提と出典'!$C$38*'契約別単価'!H7)</ns0:f>
        <ns0:v>449713.5998427893</ns0:v>
      </ns0:c>
      <ns0:c r="I655" s="16">
        <ns0:f>A655*('前提と出典'!$C$36*'契約別単価'!I5+'前提と出典'!$C$37*'契約別単価'!I6+'前提と出典'!$C$38*'契約別単価'!I7)</ns0:f>
        <ns0:v>27469.29050279329</ns0:v>
      </ns0:c>
      <ns0:c r="J655" s="16">
        <ns0:f>A655*('前提と出典'!$C$36*'契約別単価'!J5+'前提と出典'!$C$37*'契約別単価'!J6+'前提と出典'!$C$38*'契約別単価'!J7)</ns0:f>
        <ns0:v>63986.49295540697</ns0:v>
      </ns0:c>
      <ns0:c r="K655" s="16">
        <ns0:f>A655*('前提と出典'!$C$36*'契約別単価'!K5+'前提と出典'!$C$37*'契約別単価'!K6+'前提と出典'!$C$38*'契約別単価'!K7)</ns0:f>
        <ns0:v>274268.6033519553</ns0:v>
      </ns0:c>
      <ns0:c r="L655" s="16">
        <ns0:f>A655*('前提と出典'!$C$36*'契約別単価'!L5+'前提と出典'!$C$37*'契約別単価'!L6+'前提と出典'!$C$38*'契約別単価'!L7)</ns0:f>
        <ns0:v>223310.45332809296</ns0:v>
      </ns0:c>
      <ns0:c r="M655" s="16">
        <ns0:f>IF(('前提と出典'!$C$36+'前提と出典'!$C$38)=0,0,IF(B655&lt;=10,'前提と出典'!B73+'前提と出典'!C73,IF(B655&lt;=100,'前提と出典'!B74+'前提と出典'!C74,IF(B655&lt;=500,'前提と出典'!B75+'前提と出典'!C75,'前提と出典'!B76+'前提と出典'!C76))))</ns0:f>
        <ns0:v>40000</ns0:v>
      </ns0:c>
      <ns0:c r="N655" s="16">
        <ns0:f>IF(('前提と出典'!$C$37+'前提と出典'!$C$38)=0,0,IF(C655&lt;=10,'前提と出典'!D73+'前提と出典'!E73,IF(C655&lt;=100,'前提と出典'!D74+'前提と出典'!E74,IF(C655&lt;=500,'前提と出典'!D75+'前提と出典'!E75,'前提と出典'!D76+'前提と出典'!E76))))</ns0:f>
        <ns0:v>56510.9346263078</ns0:v>
      </ns0:c>
      <ns0:c r="O655" s="16">
        <ns0:f>IF('前提と出典'!$C$36+'前提と出典'!$C$38=0,0,'前提と出典'!$B$4*IF('前提と出典'!$B$20=0,MAX('前提と出典'!$B$6,D655*'前提と出典'!$B$5),'前提と出典'!$B$6+D655*'前提と出典'!$B$5))</ns0:f>
        <ns0:v>646432.0893854748</ns0:v>
      </ns0:c>
      <ns0:c r="P655" s="16">
        <ns0:f>(E655+G655)*(1-'前提と出典'!$B$7)-I655-K655-M655-O655</ns0:f>
        <ns0:v>1838614.0589326043</ns0:v>
      </ns0:c>
      <ns0:c r="Q655" s="16">
        <ns0:f>(F655+H655)*(1-'前提と出典'!$B$7)-J655-L655-N655</ns0:f>
        <ns0:v>548130.9555204356</ns0:v>
      </ns0:c>
      <ns0:c r="R655" s="16">
        <ns0:f>P655-E655*'前提と出典'!$E$4</ns0:f>
        <ns0:v>1347654.6770236536</ns0:v>
      </ns0:c>
      <ns0:c r="S655" s="16">
        <ns0:f>Q655-F655*'前提と出典'!$E$4</ns0:f>
        <ns0:v>405470.70878336264</ns0:v>
      </ns0:c>
      <ns0:c r="T655" s="7">
        <ns0:f>R655+S655</ns0:f>
        <ns0:v>1753125.3858070164</ns0:v>
      </ns0:c>
      <ns0:c r="U655" s="16">
        <ns0:f>P655-E655*'前提と出典'!$E$5</ns0:f>
        <ns0:v>1184001.5497206703</ns0:v>
      </ns0:c>
      <ns0:c r="V655" s="16">
        <ns0:f>Q655-F655*'前提と出典'!$E$5</ns0:f>
        <ns0:v>357917.2932043383</ns0:v>
      </ns0:c>
      <ns0:c r="W655" s="7">
        <ns0:f>U655+V655</ns0:f>
        <ns0:v>1541918.8429250086</ns0:v>
      </ns0:c>
      <ns0:c r="X655" s="16">
        <ns0:f>P655-E655*'前提と出典'!$E$6</ns0:f>
        <ns0:v>1020348.422417687</ns0:v>
      </ns0:c>
      <ns0:c r="Y655" s="16">
        <ns0:f>Q655-F655*'前提と出典'!$E$6</ns0:f>
        <ns0:v>310363.87762531394</ns0:v>
      </ns0:c>
      <ns0:c r="Z655" s="7">
        <ns0:f>X655+Y655</ns0:f>
        <ns0:v>1330712.3000430008</ns0:v>
      </ns0:c>
      <ns0:c r="AA655" s="7">
        <ns0:f>IF(T655&gt;=0,A655,1001)</ns0:f>
        <ns0:v>651</ns0:v>
      </ns0:c>
      <ns0:c r="AB655" s="7">
        <ns0:f>IF(T655&lt;0,A655,0)</ns0:f>
        <ns0:v>0</ns0:v>
      </ns0:c>
      <ns0:c r="AC655" s="16">
        <ns0:f>IF(AND(OR('前提と出典'!$C$36+'前提と出典'!$C$38=0,R655&gt;=0),OR('前提と出典'!$C$37+'前提と出典'!$C$38=0,S655&gt;=0)),0,A655)</ns0:f>
        <ns0:v>0</ns0:v>
      </ns0:c>
      <ns0:c r="AD655" s="7">
        <ns0:f>IF(W655&gt;=0,A655,1001)</ns0:f>
        <ns0:v>651</ns0:v>
      </ns0:c>
      <ns0:c r="AE655" s="7">
        <ns0:f>IF(W655&lt;0,A655,0)</ns0:f>
        <ns0:v>0</ns0:v>
      </ns0:c>
      <ns0:c r="AF655" s="16">
        <ns0:f>IF(AND(OR('前提と出典'!$C$36+'前提と出典'!$C$38=0,U655&gt;=0),OR('前提と出典'!$C$37+'前提と出典'!$C$38=0,V655&gt;=0)),0,A655)</ns0:f>
        <ns0:v>0</ns0:v>
      </ns0:c>
      <ns0:c r="AG655" s="7">
        <ns0:f>IF(Z655&gt;=0,A655,1001)</ns0:f>
        <ns0:v>651</ns0:v>
      </ns0:c>
      <ns0:c r="AH655" s="4">
        <ns0:f>IF(Z655&lt;0,A655,0)</ns0:f>
        <ns0:v>0</ns0:v>
      </ns0:c>
      <ns0:c r="AI655" s="12">
        <ns0:f>IF(AND(OR('前提と出典'!$C$36+'前提と出典'!$C$38=0,X655&gt;=0),OR('前提と出典'!$C$37+'前提と出典'!$C$38=0,Y655&gt;=0)),0,A655)</ns0:f>
        <ns0:v>0</ns0:v>
      </ns0:c>
    </ns0:row>
    <ns0:row r="656" ht="24" customHeight="1">
      <ns0:c r="A656" s="4" t="n">
        <ns0:v>652</ns0:v>
      </ns0:c>
      <ns0:c r="B656" s="12">
        <ns0:f>A656*('前提と出典'!$C$36+'前提と出典'!$C$38)</ns0:f>
        <ns0:v>456.4</ns0:v>
      </ns0:c>
      <ns0:c r="C656" s="12">
        <ns0:f>A656*('前提と出典'!$C$37+'前提と出典'!$C$38)</ns0:f>
        <ns0:v>391.2</ns0:v>
      </ns0:c>
      <ns0:c r="D656" s="16">
        <ns0:f>A656*('前提と出典'!$C$36*'契約別単価'!C5+'前提と出典'!$C$37*'契約別単価'!C6+'前提と出典'!$C$38*'契約別単価'!C7)</ns0:f>
        <ns0:v>4691.486033519553</ns0:v>
      </ns0:c>
      <ns0:c r="E656" s="16">
        <ns0:f>A656*('前提と出典'!$C$36*'契約別単価'!E5+'前提と出典'!$C$37*'契約別単価'!E6+'前提と出典'!$C$38*'契約別単価'!E7)</ns0:f>
        <ns0:v>1639045.1459530755</ns0:v>
      </ns0:c>
      <ns0:c r="F656" s="16">
        <ns0:f>A656*('前提と出典'!$C$36*'契約別単価'!F5+'前提と出典'!$C$37*'契約別単価'!F6+'前提と出典'!$C$38*'契約別単価'!F7)</ns0:f>
        <ns0:v>476264.6230034387</ns0:v>
      </ns0:c>
      <ns0:c r="G656" s="16">
        <ns0:f>A656*('前提と出典'!$C$36*'契約別単価'!G5+'前提と出典'!$C$37*'契約別単価'!G6+'前提と出典'!$C$38*'契約別単価'!G7)</ns0:f>
        <ns0:v>1297807.8212290502</ns0:v>
      </ns0:c>
      <ns0:c r="H656" s="16">
        <ns0:f>A656*('前提と出典'!$C$36*'契約別単価'!H5+'前提と出典'!$C$37*'契約別単価'!H6+'前提と出典'!$C$38*'契約別単価'!H7)</ns0:f>
        <ns0:v>450404.4041436231</ns0:v>
      </ns0:c>
      <ns0:c r="I656" s="16">
        <ns0:f>A656*('前提と出典'!$C$36*'契約別単価'!I5+'前提と出典'!$C$37*'契約別単価'!I6+'前提と出典'!$C$38*'契約別単価'!I7)</ns0:f>
        <ns0:v>27511.486033519548</ns0:v>
      </ns0:c>
      <ns0:c r="J656" s="16">
        <ns0:f>A656*('前提と出典'!$C$36*'契約別単価'!J5+'前提と出典'!$C$37*'契約別単価'!J6+'前提と出典'!$C$38*'契約別単価'!J7)</ns0:f>
        <ns0:v>64084.782499117275</ns0:v>
      </ns0:c>
      <ns0:c r="K656" s="16">
        <ns0:f>A656*('前提と出典'!$C$36*'契約別単価'!K5+'前提と出典'!$C$37*'契約別単価'!K6+'前提と出典'!$C$38*'契約別単価'!K7)</ns0:f>
        <ns0:v>274689.9068901303</ns0:v>
      </ns0:c>
      <ns0:c r="L656" s="16">
        <ns0:f>A656*('前提と出典'!$C$36*'契約別単価'!L5+'前提と出典'!$C$37*'契約別単価'!L6+'前提と出典'!$C$38*'契約別単価'!L7)</ns0:f>
        <ns0:v>223653.48013812077</ns0:v>
      </ns0:c>
      <ns0:c r="M656" s="16">
        <ns0:f>IF(('前提と出典'!$C$36+'前提と出典'!$C$38)=0,0,IF(B656&lt;=10,'前提と出典'!B73+'前提と出典'!C73,IF(B656&lt;=100,'前提と出典'!B74+'前提と出典'!C74,IF(B656&lt;=500,'前提と出典'!B75+'前提と出典'!C75,'前提と出典'!B76+'前提と出典'!C76))))</ns0:f>
        <ns0:v>40000</ns0:v>
      </ns0:c>
      <ns0:c r="N656" s="16">
        <ns0:f>IF(('前提と出典'!$C$37+'前提と出典'!$C$38)=0,0,IF(C656&lt;=10,'前提と出典'!D73+'前提と出典'!E73,IF(C656&lt;=100,'前提と出典'!D74+'前提と出典'!E74,IF(C656&lt;=500,'前提と出典'!D75+'前提と出典'!E75,'前提と出典'!D76+'前提と出典'!E76))))</ns0:f>
        <ns0:v>56510.9346263078</ns0:v>
      </ns0:c>
      <ns0:c r="O656" s="16">
        <ns0:f>IF('前提と出典'!$C$36+'前提と出典'!$C$38=0,0,'前提と出典'!$B$4*IF('前提と出典'!$B$20=0,MAX('前提と出典'!$B$6,D656*'前提と出典'!$B$5),'前提と出典'!$B$6+D656*'前提と出典'!$B$5))</ns0:f>
        <ns0:v>647425.0726256983</ns0:v>
      </ns0:c>
      <ns0:c r="P656" s="16">
        <ns0:f>(E656+G656)*(1-'前提と出典'!$B$7)-I656-K656-M656-O656</ns0:f>
        <ns0:v>1841499.794814221</ns0:v>
      </ns0:c>
      <ns0:c r="Q656" s="16">
        <ns0:f>(F656+H656)*(1-'前提と出典'!$B$7)-J656-L656-N656</ns0:f>
        <ns0:v>549059.7449062217</ns0:v>
      </ns0:c>
      <ns0:c r="R656" s="16">
        <ns0:f>P656-E656*'前提と出典'!$E$4</ns0:f>
        <ns0:v>1349786.2510282984</ns0:v>
      </ns0:c>
      <ns0:c r="S656" s="16">
        <ns0:f>Q656-F656*'前提と出典'!$E$4</ns0:f>
        <ns0:v>406180.3580051901</ns0:v>
      </ns0:c>
      <ns0:c r="T656" s="7">
        <ns0:f>R656+S656</ns0:f>
        <ns0:v>1755966.6090334884</ns0:v>
      </ns0:c>
      <ns0:c r="U656" s="16">
        <ns0:f>P656-E656*'前提と出典'!$E$5</ns0:f>
        <ns0:v>1185881.736432991</ns0:v>
      </ns0:c>
      <ns0:c r="V656" s="16">
        <ns0:f>Q656-F656*'前提と出典'!$E$5</ns0:f>
        <ns0:v>358553.8957048462</ns0:v>
      </ns0:c>
      <ns0:c r="W656" s="7">
        <ns0:f>U656+V656</ns0:f>
        <ns0:v>1544435.6321378371</ns0:v>
      </ns0:c>
      <ns0:c r="X656" s="16">
        <ns0:f>P656-E656*'前提と出典'!$E$6</ns0:f>
        <ns0:v>1021977.2218376833</ns0:v>
      </ns0:c>
      <ns0:c r="Y656" s="16">
        <ns0:f>Q656-F656*'前提と出典'!$E$6</ns0:f>
        <ns0:v>310927.4334045023</ns0:v>
      </ns0:c>
      <ns0:c r="Z656" s="7">
        <ns0:f>X656+Y656</ns0:f>
        <ns0:v>1332904.6552421856</ns0:v>
      </ns0:c>
      <ns0:c r="AA656" s="7">
        <ns0:f>IF(T656&gt;=0,A656,1001)</ns0:f>
        <ns0:v>652</ns0:v>
      </ns0:c>
      <ns0:c r="AB656" s="7">
        <ns0:f>IF(T656&lt;0,A656,0)</ns0:f>
        <ns0:v>0</ns0:v>
      </ns0:c>
      <ns0:c r="AC656" s="16">
        <ns0:f>IF(AND(OR('前提と出典'!$C$36+'前提と出典'!$C$38=0,R656&gt;=0),OR('前提と出典'!$C$37+'前提と出典'!$C$38=0,S656&gt;=0)),0,A656)</ns0:f>
        <ns0:v>0</ns0:v>
      </ns0:c>
      <ns0:c r="AD656" s="7">
        <ns0:f>IF(W656&gt;=0,A656,1001)</ns0:f>
        <ns0:v>652</ns0:v>
      </ns0:c>
      <ns0:c r="AE656" s="7">
        <ns0:f>IF(W656&lt;0,A656,0)</ns0:f>
        <ns0:v>0</ns0:v>
      </ns0:c>
      <ns0:c r="AF656" s="16">
        <ns0:f>IF(AND(OR('前提と出典'!$C$36+'前提と出典'!$C$38=0,U656&gt;=0),OR('前提と出典'!$C$37+'前提と出典'!$C$38=0,V656&gt;=0)),0,A656)</ns0:f>
        <ns0:v>0</ns0:v>
      </ns0:c>
      <ns0:c r="AG656" s="7">
        <ns0:f>IF(Z656&gt;=0,A656,1001)</ns0:f>
        <ns0:v>652</ns0:v>
      </ns0:c>
      <ns0:c r="AH656" s="4">
        <ns0:f>IF(Z656&lt;0,A656,0)</ns0:f>
        <ns0:v>0</ns0:v>
      </ns0:c>
      <ns0:c r="AI656" s="12">
        <ns0:f>IF(AND(OR('前提と出典'!$C$36+'前提と出典'!$C$38=0,X656&gt;=0),OR('前提と出典'!$C$37+'前提と出典'!$C$38=0,Y656&gt;=0)),0,A656)</ns0:f>
        <ns0:v>0</ns0:v>
      </ns0:c>
    </ns0:row>
    <ns0:row r="657" ht="24" customHeight="1">
      <ns0:c r="A657" s="4" t="n">
        <ns0:v>653</ns0:v>
      </ns0:c>
      <ns0:c r="B657" s="12">
        <ns0:f>A657*('前提と出典'!$C$36+'前提と出典'!$C$38)</ns0:f>
        <ns0:v>457.09999999999997</ns0:v>
      </ns0:c>
      <ns0:c r="C657" s="12">
        <ns0:f>A657*('前提と出典'!$C$37+'前提と出典'!$C$38)</ns0:f>
        <ns0:v>391.8</ns0:v>
      </ns0:c>
      <ns0:c r="D657" s="16">
        <ns0:f>A657*('前提と出典'!$C$36*'契約別単価'!C5+'前提と出典'!$C$37*'契約別単価'!C6+'前提と出典'!$C$38*'契約別単価'!C7)</ns0:f>
        <ns0:v>4698.6815642458105</ns0:v>
      </ns0:c>
      <ns0:c r="E657" s="16">
        <ns0:f>A657*('前提と出典'!$C$36*'契約別単価'!E5+'前提と出典'!$C$37*'契約別単価'!E6+'前提と出典'!$C$38*'契約別単価'!E7)</ns0:f>
        <ns0:v>1641559.0188763163</ns0:v>
      </ns0:c>
      <ns0:c r="F657" s="16">
        <ns0:f>A657*('前提と出典'!$C$36*'契約別単価'!F5+'前提と出典'!$C$37*'契約別単価'!F6+'前提と出典'!$C$38*'契約別単価'!F7)</ns0:f>
        <ns0:v>476995.09021663415</ns0:v>
      </ns0:c>
      <ns0:c r="G657" s="16">
        <ns0:f>A657*('前提と出典'!$C$36*'契約別単価'!G5+'前提と出典'!$C$37*'契約別単価'!G6+'前提と出典'!$C$38*'契約別単価'!G7)</ns0:f>
        <ns0:v>1299798.3240223464</ns0:v>
      </ns0:c>
      <ns0:c r="H657" s="16">
        <ns0:f>A657*('前提と出典'!$C$36*'契約別単価'!H5+'前提と出典'!$C$37*'契約別単価'!H6+'前提と出典'!$C$38*'契約別単価'!H7)</ns0:f>
        <ns0:v>451095.2084444568</ns0:v>
      </ns0:c>
      <ns0:c r="I657" s="16">
        <ns0:f>A657*('前提と出典'!$C$36*'契約別単価'!I5+'前提と出典'!$C$37*'契約別単価'!I6+'前提と出典'!$C$38*'契約別単価'!I7)</ns0:f>
        <ns0:v>27553.681564245806</ns0:v>
      </ns0:c>
      <ns0:c r="J657" s="16">
        <ns0:f>A657*('前提と出典'!$C$36*'契約別単価'!J5+'前提と出典'!$C$37*'契約別単価'!J6+'前提と出典'!$C$38*'契約別単価'!J7)</ns0:f>
        <ns0:v>64183.072042827574</ns0:v>
      </ns0:c>
      <ns0:c r="K657" s="16">
        <ns0:f>A657*('前提と出典'!$C$36*'契約別単価'!K5+'前提と出典'!$C$37*'契約別単価'!K6+'前提と出典'!$C$38*'契約別単価'!K7)</ns0:f>
        <ns0:v>275111.2104283054</ns0:v>
      </ns0:c>
      <ns0:c r="L657" s="16">
        <ns0:f>A657*('前提と出典'!$C$36*'契約別単価'!L5+'前提と出典'!$C$37*'契約別単価'!L6+'前提と出典'!$C$38*'契約別単価'!L7)</ns0:f>
        <ns0:v>223996.50694814854</ns0:v>
      </ns0:c>
      <ns0:c r="M657" s="16">
        <ns0:f>IF(('前提と出典'!$C$36+'前提と出典'!$C$38)=0,0,IF(B657&lt;=10,'前提と出典'!B73+'前提と出典'!C73,IF(B657&lt;=100,'前提と出典'!B74+'前提と出典'!C74,IF(B657&lt;=500,'前提と出典'!B75+'前提と出典'!C75,'前提と出典'!B76+'前提と出典'!C76))))</ns0:f>
        <ns0:v>40000</ns0:v>
      </ns0:c>
      <ns0:c r="N657" s="16">
        <ns0:f>IF(('前提と出典'!$C$37+'前提と出典'!$C$38)=0,0,IF(C657&lt;=10,'前提と出典'!D73+'前提と出典'!E73,IF(C657&lt;=100,'前提と出典'!D74+'前提と出典'!E74,IF(C657&lt;=500,'前提と出典'!D75+'前提と出典'!E75,'前提と出典'!D76+'前提と出典'!E76))))</ns0:f>
        <ns0:v>56510.9346263078</ns0:v>
      </ns0:c>
      <ns0:c r="O657" s="16">
        <ns0:f>IF('前提と出典'!$C$36+'前提と出典'!$C$38=0,0,'前提と出典'!$B$4*IF('前提と出典'!$B$20=0,MAX('前提と出典'!$B$6,D657*'前提と出典'!$B$5),'前提と出典'!$B$6+D657*'前提と出典'!$B$5))</ns0:f>
        <ns0:v>648418.0558659219</ns0:v>
      </ns0:c>
      <ns0:c r="P657" s="16">
        <ns0:f>(E657+G657)*(1-'前提と出典'!$B$7)-I657-K657-M657-O657</ns0:f>
        <ns0:v>1844385.5306958375</ns0:v>
      </ns0:c>
      <ns0:c r="Q657" s="16">
        <ns0:f>(F657+H657)*(1-'前提と出典'!$B$7)-J657-L657-N657</ns0:f>
        <ns0:v>549988.5342920076</ns0:v>
      </ns0:c>
      <ns0:c r="R657" s="16">
        <ns0:f>P657-E657*'前提と出典'!$E$4</ns0:f>
        <ns0:v>1351917.8250329425</ns0:v>
      </ns0:c>
      <ns0:c r="S657" s="16">
        <ns0:f>Q657-F657*'前提と出典'!$E$4</ns0:f>
        <ns0:v>406890.00722701737</ns0:v>
      </ns0:c>
      <ns0:c r="T657" s="7">
        <ns0:f>R657+S657</ns0:f>
        <ns0:v>1758807.8322599598</ns0:v>
      </ns0:c>
      <ns0:c r="U657" s="16">
        <ns0:f>P657-E657*'前提と出典'!$E$5</ns0:f>
        <ns0:v>1187761.923145311</ns0:v>
      </ns0:c>
      <ns0:c r="V657" s="16">
        <ns0:f>Q657-F657*'前提と出典'!$E$5</ns0:f>
        <ns0:v>359190.4982053539</ns0:v>
      </ns0:c>
      <ns0:c r="W657" s="7">
        <ns0:f>U657+V657</ns0:f>
        <ns0:v>1546952.421350665</ns0:v>
      </ns0:c>
      <ns0:c r="X657" s="16">
        <ns0:f>P657-E657*'前提と出典'!$E$6</ns0:f>
        <ns0:v>1023606.0212576796</ns0:v>
      </ns0:c>
      <ns0:c r="Y657" s="16">
        <ns0:f>Q657-F657*'前提と出典'!$E$6</ns0:f>
        <ns0:v>311490.9891836906</ns0:v>
      </ns0:c>
      <ns0:c r="Z657" s="7">
        <ns0:f>X657+Y657</ns0:f>
        <ns0:v>1335097.01044137</ns0:v>
      </ns0:c>
      <ns0:c r="AA657" s="7">
        <ns0:f>IF(T657&gt;=0,A657,1001)</ns0:f>
        <ns0:v>653</ns0:v>
      </ns0:c>
      <ns0:c r="AB657" s="7">
        <ns0:f>IF(T657&lt;0,A657,0)</ns0:f>
        <ns0:v>0</ns0:v>
      </ns0:c>
      <ns0:c r="AC657" s="16">
        <ns0:f>IF(AND(OR('前提と出典'!$C$36+'前提と出典'!$C$38=0,R657&gt;=0),OR('前提と出典'!$C$37+'前提と出典'!$C$38=0,S657&gt;=0)),0,A657)</ns0:f>
        <ns0:v>0</ns0:v>
      </ns0:c>
      <ns0:c r="AD657" s="7">
        <ns0:f>IF(W657&gt;=0,A657,1001)</ns0:f>
        <ns0:v>653</ns0:v>
      </ns0:c>
      <ns0:c r="AE657" s="7">
        <ns0:f>IF(W657&lt;0,A657,0)</ns0:f>
        <ns0:v>0</ns0:v>
      </ns0:c>
      <ns0:c r="AF657" s="16">
        <ns0:f>IF(AND(OR('前提と出典'!$C$36+'前提と出典'!$C$38=0,U657&gt;=0),OR('前提と出典'!$C$37+'前提と出典'!$C$38=0,V657&gt;=0)),0,A657)</ns0:f>
        <ns0:v>0</ns0:v>
      </ns0:c>
      <ns0:c r="AG657" s="7">
        <ns0:f>IF(Z657&gt;=0,A657,1001)</ns0:f>
        <ns0:v>653</ns0:v>
      </ns0:c>
      <ns0:c r="AH657" s="4">
        <ns0:f>IF(Z657&lt;0,A657,0)</ns0:f>
        <ns0:v>0</ns0:v>
      </ns0:c>
      <ns0:c r="AI657" s="12">
        <ns0:f>IF(AND(OR('前提と出典'!$C$36+'前提と出典'!$C$38=0,X657&gt;=0),OR('前提と出典'!$C$37+'前提と出典'!$C$38=0,Y657&gt;=0)),0,A657)</ns0:f>
        <ns0:v>0</ns0:v>
      </ns0:c>
    </ns0:row>
    <ns0:row r="658" ht="24" customHeight="1">
      <ns0:c r="A658" s="4" t="n">
        <ns0:v>654</ns0:v>
      </ns0:c>
      <ns0:c r="B658" s="12">
        <ns0:f>A658*('前提と出典'!$C$36+'前提と出典'!$C$38)</ns0:f>
        <ns0:v>457.79999999999995</ns0:v>
      </ns0:c>
      <ns0:c r="C658" s="12">
        <ns0:f>A658*('前提と出典'!$C$37+'前提と出典'!$C$38)</ns0:f>
        <ns0:v>392.4</ns0:v>
      </ns0:c>
      <ns0:c r="D658" s="16">
        <ns0:f>A658*('前提と出典'!$C$36*'契約別単価'!C5+'前提と出典'!$C$37*'契約別単価'!C6+'前提と出典'!$C$38*'契約別単価'!C7)</ns0:f>
        <ns0:v>4705.877094972067</ns0:v>
      </ns0:c>
      <ns0:c r="E658" s="16">
        <ns0:f>A658*('前提と出典'!$C$36*'契約別単価'!E5+'前提と出典'!$C$37*'契約別単価'!E6+'前提と出典'!$C$38*'契約別単価'!E7)</ns0:f>
        <ns0:v>1644072.8917995573</ns0:v>
      </ns0:c>
      <ns0:c r="F658" s="16">
        <ns0:f>A658*('前提と出典'!$C$36*'契約別単価'!F5+'前提と出典'!$C$37*'契約別単価'!F6+'前提と出典'!$C$38*'契約別単価'!F7)</ns0:f>
        <ns0:v>477725.5574298296</ns0:v>
      </ns0:c>
      <ns0:c r="G658" s="16">
        <ns0:f>A658*('前提と出典'!$C$36*'契約別単価'!G5+'前提と出典'!$C$37*'契約別単価'!G6+'前提と出典'!$C$38*'契約別単価'!G7)</ns0:f>
        <ns0:v>1301788.8268156424</ns0:v>
      </ns0:c>
      <ns0:c r="H658" s="16">
        <ns0:f>A658*('前提と出典'!$C$36*'契約別単価'!H5+'前提と出典'!$C$37*'契約別単価'!H6+'前提と出典'!$C$38*'契約別単価'!H7)</ns0:f>
        <ns0:v>451786.0127452906</ns0:v>
      </ns0:c>
      <ns0:c r="I658" s="16">
        <ns0:f>A658*('前提と出典'!$C$36*'契約別単価'!I5+'前提と出典'!$C$37*'契約別単価'!I6+'前提と出典'!$C$38*'契約別単価'!I7)</ns0:f>
        <ns0:v>27595.877094972064</ns0:v>
      </ns0:c>
      <ns0:c r="J658" s="16">
        <ns0:f>A658*('前提と出典'!$C$36*'契約別単価'!J5+'前提と出典'!$C$37*'契約別単価'!J6+'前提と出典'!$C$38*'契約別単価'!J7)</ns0:f>
        <ns0:v>64281.36158653788</ns0:v>
      </ns0:c>
      <ns0:c r="K658" s="16">
        <ns0:f>A658*('前提と出典'!$C$36*'契約別単価'!K5+'前提と出典'!$C$37*'契約別単価'!K6+'前提と出典'!$C$38*'契約別単価'!K7)</ns0:f>
        <ns0:v>275532.51396648044</ns0:v>
      </ns0:c>
      <ns0:c r="L658" s="16">
        <ns0:f>A658*('前提と出典'!$C$36*'契約別単価'!L5+'前提と出典'!$C$37*'契約別単価'!L6+'前提と出典'!$C$38*'契約別単価'!L7)</ns0:f>
        <ns0:v>224339.53375817635</ns0:v>
      </ns0:c>
      <ns0:c r="M658" s="16">
        <ns0:f>IF(('前提と出典'!$C$36+'前提と出典'!$C$38)=0,0,IF(B658&lt;=10,'前提と出典'!B73+'前提と出典'!C73,IF(B658&lt;=100,'前提と出典'!B74+'前提と出典'!C74,IF(B658&lt;=500,'前提と出典'!B75+'前提と出典'!C75,'前提と出典'!B76+'前提と出典'!C76))))</ns0:f>
        <ns0:v>40000</ns0:v>
      </ns0:c>
      <ns0:c r="N658" s="16">
        <ns0:f>IF(('前提と出典'!$C$37+'前提と出典'!$C$38)=0,0,IF(C658&lt;=10,'前提と出典'!D73+'前提と出典'!E73,IF(C658&lt;=100,'前提と出典'!D74+'前提と出典'!E74,IF(C658&lt;=500,'前提と出典'!D75+'前提と出典'!E75,'前提と出典'!D76+'前提と出典'!E76))))</ns0:f>
        <ns0:v>56510.9346263078</ns0:v>
      </ns0:c>
      <ns0:c r="O658" s="16">
        <ns0:f>IF('前提と出典'!$C$36+'前提と出典'!$C$38=0,0,'前提と出典'!$B$4*IF('前提と出典'!$B$20=0,MAX('前提と出典'!$B$6,D658*'前提と出典'!$B$5),'前提と出典'!$B$6+D658*'前提と出典'!$B$5))</ns0:f>
        <ns0:v>649411.0391061454</ns0:v>
      </ns0:c>
      <ns0:c r="P658" s="16">
        <ns0:f>(E658+G658)*(1-'前提と出典'!$B$7)-I658-K658-M658-O658</ns0:f>
        <ns0:v>1847271.2665774547</ns0:v>
      </ns0:c>
      <ns0:c r="Q658" s="16">
        <ns0:f>(F658+H658)*(1-'前提と出典'!$B$7)-J658-L658-N658</ns0:f>
        <ns0:v>550917.3236777938</ns0:v>
      </ns0:c>
      <ns0:c r="R658" s="16">
        <ns0:f>P658-E658*'前提と出典'!$E$4</ns0:f>
        <ns0:v>1354049.3990375875</ns0:v>
      </ns0:c>
      <ns0:c r="S658" s="16">
        <ns0:f>Q658-F658*'前提と出典'!$E$4</ns0:f>
        <ns0:v>407599.6564488448</ns0:v>
      </ns0:c>
      <ns0:c r="T658" s="7">
        <ns0:f>R658+S658</ns0:f>
        <ns0:v>1761649.0554864323</ns0:v>
      </ns0:c>
      <ns0:c r="U658" s="16">
        <ns0:f>P658-E658*'前提と出典'!$E$5</ns0:f>
        <ns0:v>1189642.1098576318</ns0:v>
      </ns0:c>
      <ns0:c r="V658" s="16">
        <ns0:f>Q658-F658*'前提と出典'!$E$5</ns0:f>
        <ns0:v>359827.1007058619</ns0:v>
      </ns0:c>
      <ns0:c r="W658" s="7">
        <ns0:f>U658+V658</ns0:f>
        <ns0:v>1549469.210563494</ns0:v>
      </ns0:c>
      <ns0:c r="X658" s="16">
        <ns0:f>P658-E658*'前提と出典'!$E$6</ns0:f>
        <ns0:v>1025234.8206776757</ns0:v>
      </ns0:c>
      <ns0:c r="Y658" s="16">
        <ns0:f>Q658-F658*'前提と出典'!$E$6</ns0:f>
        <ns0:v>312054.5449628789</ns0:v>
      </ns0:c>
      <ns0:c r="Z658" s="7">
        <ns0:f>X658+Y658</ns0:f>
        <ns0:v>1337289.3656405546</ns0:v>
      </ns0:c>
      <ns0:c r="AA658" s="7">
        <ns0:f>IF(T658&gt;=0,A658,1001)</ns0:f>
        <ns0:v>654</ns0:v>
      </ns0:c>
      <ns0:c r="AB658" s="7">
        <ns0:f>IF(T658&lt;0,A658,0)</ns0:f>
        <ns0:v>0</ns0:v>
      </ns0:c>
      <ns0:c r="AC658" s="16">
        <ns0:f>IF(AND(OR('前提と出典'!$C$36+'前提と出典'!$C$38=0,R658&gt;=0),OR('前提と出典'!$C$37+'前提と出典'!$C$38=0,S658&gt;=0)),0,A658)</ns0:f>
        <ns0:v>0</ns0:v>
      </ns0:c>
      <ns0:c r="AD658" s="7">
        <ns0:f>IF(W658&gt;=0,A658,1001)</ns0:f>
        <ns0:v>654</ns0:v>
      </ns0:c>
      <ns0:c r="AE658" s="7">
        <ns0:f>IF(W658&lt;0,A658,0)</ns0:f>
        <ns0:v>0</ns0:v>
      </ns0:c>
      <ns0:c r="AF658" s="16">
        <ns0:f>IF(AND(OR('前提と出典'!$C$36+'前提と出典'!$C$38=0,U658&gt;=0),OR('前提と出典'!$C$37+'前提と出典'!$C$38=0,V658&gt;=0)),0,A658)</ns0:f>
        <ns0:v>0</ns0:v>
      </ns0:c>
      <ns0:c r="AG658" s="7">
        <ns0:f>IF(Z658&gt;=0,A658,1001)</ns0:f>
        <ns0:v>654</ns0:v>
      </ns0:c>
      <ns0:c r="AH658" s="4">
        <ns0:f>IF(Z658&lt;0,A658,0)</ns0:f>
        <ns0:v>0</ns0:v>
      </ns0:c>
      <ns0:c r="AI658" s="12">
        <ns0:f>IF(AND(OR('前提と出典'!$C$36+'前提と出典'!$C$38=0,X658&gt;=0),OR('前提と出典'!$C$37+'前提と出典'!$C$38=0,Y658&gt;=0)),0,A658)</ns0:f>
        <ns0:v>0</ns0:v>
      </ns0:c>
    </ns0:row>
    <ns0:row r="659" ht="24" customHeight="1">
      <ns0:c r="A659" s="4" t="n">
        <ns0:v>655</ns0:v>
      </ns0:c>
      <ns0:c r="B659" s="12">
        <ns0:f>A659*('前提と出典'!$C$36+'前提と出典'!$C$38)</ns0:f>
        <ns0:v>458.49999999999994</ns0:v>
      </ns0:c>
      <ns0:c r="C659" s="12">
        <ns0:f>A659*('前提と出典'!$C$37+'前提と出典'!$C$38)</ns0:f>
        <ns0:v>393</ns0:v>
      </ns0:c>
      <ns0:c r="D659" s="16">
        <ns0:f>A659*('前提と出典'!$C$36*'契約別単価'!C5+'前提と出典'!$C$37*'契約別単価'!C6+'前提と出典'!$C$38*'契約別単価'!C7)</ns0:f>
        <ns0:v>4713.072625698324</ns0:v>
      </ns0:c>
      <ns0:c r="E659" s="16">
        <ns0:f>A659*('前提と出典'!$C$36*'契約別単価'!E5+'前提と出典'!$C$37*'契約別単価'!E6+'前提と出典'!$C$38*'契約別単価'!E7)</ns0:f>
        <ns0:v>1646586.7647227983</ns0:v>
      </ns0:c>
      <ns0:c r="F659" s="16">
        <ns0:f>A659*('前提と出典'!$C$36*'契約別単価'!F5+'前提と出典'!$C$37*'契約別単価'!F6+'前提と出典'!$C$38*'契約別単価'!F7)</ns0:f>
        <ns0:v>478456.02464302507</ns0:v>
      </ns0:c>
      <ns0:c r="G659" s="16">
        <ns0:f>A659*('前提と出典'!$C$36*'契約別単価'!G5+'前提と出典'!$C$37*'契約別単価'!G6+'前提と出典'!$C$38*'契約別単価'!G7)</ns0:f>
        <ns0:v>1303779.3296089384</ns0:v>
      </ns0:c>
      <ns0:c r="H659" s="16">
        <ns0:f>A659*('前提と出典'!$C$36*'契約別単価'!H5+'前提と出典'!$C$37*'契約別単価'!H6+'前提と出典'!$C$38*'契約別単価'!H7)</ns0:f>
        <ns0:v>452476.8170461244</ns0:v>
      </ns0:c>
      <ns0:c r="I659" s="16">
        <ns0:f>A659*('前提と出典'!$C$36*'契約別単価'!I5+'前提と出典'!$C$37*'契約別単価'!I6+'前提と出典'!$C$38*'契約別単価'!I7)</ns0:f>
        <ns0:v>27638.072625698318</ns0:v>
      </ns0:c>
      <ns0:c r="J659" s="16">
        <ns0:f>A659*('前提と出典'!$C$36*'契約別単価'!J5+'前提と出典'!$C$37*'契約別単価'!J6+'前提と出典'!$C$38*'契約別単価'!J7)</ns0:f>
        <ns0:v>64379.65113024818</ns0:v>
      </ns0:c>
      <ns0:c r="K659" s="16">
        <ns0:f>A659*('前提と出典'!$C$36*'契約別単価'!K5+'前提と出典'!$C$37*'契約別単価'!K6+'前提と出典'!$C$38*'契約別単価'!K7)</ns0:f>
        <ns0:v>275953.81750465545</ns0:v>
      </ns0:c>
      <ns0:c r="L659" s="16">
        <ns0:f>A659*('前提と出典'!$C$36*'契約別単価'!L5+'前提と出典'!$C$37*'契約別単価'!L6+'前提と出典'!$C$38*'契約別単価'!L7)</ns0:f>
        <ns0:v>224682.56056820415</ns0:v>
      </ns0:c>
      <ns0:c r="M659" s="16">
        <ns0:f>IF(('前提と出典'!$C$36+'前提と出典'!$C$38)=0,0,IF(B659&lt;=10,'前提と出典'!B73+'前提と出典'!C73,IF(B659&lt;=100,'前提と出典'!B74+'前提と出典'!C74,IF(B659&lt;=500,'前提と出典'!B75+'前提と出典'!C75,'前提と出典'!B76+'前提と出典'!C76))))</ns0:f>
        <ns0:v>40000</ns0:v>
      </ns0:c>
      <ns0:c r="N659" s="16">
        <ns0:f>IF(('前提と出典'!$C$37+'前提と出典'!$C$38)=0,0,IF(C659&lt;=10,'前提と出典'!D73+'前提と出典'!E73,IF(C659&lt;=100,'前提と出典'!D74+'前提と出典'!E74,IF(C659&lt;=500,'前提と出典'!D75+'前提と出典'!E75,'前提と出典'!D76+'前提と出典'!E76))))</ns0:f>
        <ns0:v>56510.9346263078</ns0:v>
      </ns0:c>
      <ns0:c r="O659" s="16">
        <ns0:f>IF('前提と出典'!$C$36+'前提と出典'!$C$38=0,0,'前提と出典'!$B$4*IF('前提と出典'!$B$20=0,MAX('前提と出典'!$B$6,D659*'前提と出典'!$B$5),'前提と出典'!$B$6+D659*'前提と出典'!$B$5))</ns0:f>
        <ns0:v>650404.0223463689</ns0:v>
      </ns0:c>
      <ns0:c r="P659" s="16">
        <ns0:f>(E659+G659)*(1-'前提と出典'!$B$7)-I659-K659-M659-O659</ns0:f>
        <ns0:v>1850157.002459071</ns0:v>
      </ns0:c>
      <ns0:c r="Q659" s="16">
        <ns0:f>(F659+H659)*(1-'前提と出典'!$B$7)-J659-L659-N659</ns0:f>
        <ns0:v>551846.1130635799</ns0:v>
      </ns0:c>
      <ns0:c r="R659" s="16">
        <ns0:f>P659-E659*'前提と出典'!$E$4</ns0:f>
        <ns0:v>1356180.9730422315</ns0:v>
      </ns0:c>
      <ns0:c r="S659" s="16">
        <ns0:f>Q659-F659*'前提と出典'!$E$4</ns0:f>
        <ns0:v>408309.30567067233</ns0:v>
      </ns0:c>
      <ns0:c r="T659" s="7">
        <ns0:f>R659+S659</ns0:f>
        <ns0:v>1764490.2787129038</ns0:v>
      </ns0:c>
      <ns0:c r="U659" s="16">
        <ns0:f>P659-E659*'前提と出典'!$E$5</ns0:f>
        <ns0:v>1191522.2965699518</ns0:v>
      </ns0:c>
      <ns0:c r="V659" s="16">
        <ns0:f>Q659-F659*'前提と出典'!$E$5</ns0:f>
        <ns0:v>360463.7032063699</ns0:v>
      </ns0:c>
      <ns0:c r="W659" s="7">
        <ns0:f>U659+V659</ns0:f>
        <ns0:v>1551985.9997763217</ns0:v>
      </ns0:c>
      <ns0:c r="X659" s="16">
        <ns0:f>P659-E659*'前提と出典'!$E$6</ns0:f>
        <ns0:v>1026863.6200976727</ns0:v>
      </ns0:c>
      <ns0:c r="Y659" s="16">
        <ns0:f>Q659-F659*'前提と出典'!$E$6</ns0:f>
        <ns0:v>312618.1007420673</ns0:v>
      </ns0:c>
      <ns0:c r="Z659" s="7">
        <ns0:f>X659+Y659</ns0:f>
        <ns0:v>1339481.72083974</ns0:v>
      </ns0:c>
      <ns0:c r="AA659" s="7">
        <ns0:f>IF(T659&gt;=0,A659,1001)</ns0:f>
        <ns0:v>655</ns0:v>
      </ns0:c>
      <ns0:c r="AB659" s="7">
        <ns0:f>IF(T659&lt;0,A659,0)</ns0:f>
        <ns0:v>0</ns0:v>
      </ns0:c>
      <ns0:c r="AC659" s="16">
        <ns0:f>IF(AND(OR('前提と出典'!$C$36+'前提と出典'!$C$38=0,R659&gt;=0),OR('前提と出典'!$C$37+'前提と出典'!$C$38=0,S659&gt;=0)),0,A659)</ns0:f>
        <ns0:v>0</ns0:v>
      </ns0:c>
      <ns0:c r="AD659" s="7">
        <ns0:f>IF(W659&gt;=0,A659,1001)</ns0:f>
        <ns0:v>655</ns0:v>
      </ns0:c>
      <ns0:c r="AE659" s="7">
        <ns0:f>IF(W659&lt;0,A659,0)</ns0:f>
        <ns0:v>0</ns0:v>
      </ns0:c>
      <ns0:c r="AF659" s="16">
        <ns0:f>IF(AND(OR('前提と出典'!$C$36+'前提と出典'!$C$38=0,U659&gt;=0),OR('前提と出典'!$C$37+'前提と出典'!$C$38=0,V659&gt;=0)),0,A659)</ns0:f>
        <ns0:v>0</ns0:v>
      </ns0:c>
      <ns0:c r="AG659" s="7">
        <ns0:f>IF(Z659&gt;=0,A659,1001)</ns0:f>
        <ns0:v>655</ns0:v>
      </ns0:c>
      <ns0:c r="AH659" s="4">
        <ns0:f>IF(Z659&lt;0,A659,0)</ns0:f>
        <ns0:v>0</ns0:v>
      </ns0:c>
      <ns0:c r="AI659" s="12">
        <ns0:f>IF(AND(OR('前提と出典'!$C$36+'前提と出典'!$C$38=0,X659&gt;=0),OR('前提と出典'!$C$37+'前提と出典'!$C$38=0,Y659&gt;=0)),0,A659)</ns0:f>
        <ns0:v>0</ns0:v>
      </ns0:c>
    </ns0:row>
    <ns0:row r="660" ht="24" customHeight="1">
      <ns0:c r="A660" s="4" t="n">
        <ns0:v>656</ns0:v>
      </ns0:c>
      <ns0:c r="B660" s="12">
        <ns0:f>A660*('前提と出典'!$C$36+'前提と出典'!$C$38)</ns0:f>
        <ns0:v>459.2</ns0:v>
      </ns0:c>
      <ns0:c r="C660" s="12">
        <ns0:f>A660*('前提と出典'!$C$37+'前提と出典'!$C$38)</ns0:f>
        <ns0:v>393.59999999999997</ns0:v>
      </ns0:c>
      <ns0:c r="D660" s="16">
        <ns0:f>A660*('前提と出典'!$C$36*'契約別単価'!C5+'前提と出典'!$C$37*'契約別単価'!C6+'前提と出典'!$C$38*'契約別単価'!C7)</ns0:f>
        <ns0:v>4720.268156424581</ns0:v>
      </ns0:c>
      <ns0:c r="E660" s="16">
        <ns0:f>A660*('前提と出典'!$C$36*'契約別単価'!E5+'前提と出典'!$C$37*'契約別単価'!E6+'前提と出典'!$C$38*'契約別単価'!E7)</ns0:f>
        <ns0:v>1649100.637646039</ns0:v>
      </ns0:c>
      <ns0:c r="F660" s="16">
        <ns0:f>A660*('前提と出典'!$C$36*'契約別単価'!F5+'前提と出典'!$C$37*'契約別単価'!F6+'前提と出典'!$C$38*'契約別単価'!F7)</ns0:f>
        <ns0:v>479186.4918562205</ns0:v>
      </ns0:c>
      <ns0:c r="G660" s="16">
        <ns0:f>A660*('前提と出典'!$C$36*'契約別単価'!G5+'前提と出典'!$C$37*'契約別単価'!G6+'前提と出典'!$C$38*'契約別単価'!G7)</ns0:f>
        <ns0:v>1305769.8324022347</ns0:v>
      </ns0:c>
      <ns0:c r="H660" s="16">
        <ns0:f>A660*('前提と出典'!$C$36*'契約別単価'!H5+'前提と出典'!$C$37*'契約別単価'!H6+'前提と出典'!$C$38*'契約別単価'!H7)</ns0:f>
        <ns0:v>453167.62134695816</ns0:v>
      </ns0:c>
      <ns0:c r="I660" s="16">
        <ns0:f>A660*('前提と出典'!$C$36*'契約別単価'!I5+'前提と出典'!$C$37*'契約別単価'!I6+'前提と出典'!$C$38*'契約別単価'!I7)</ns0:f>
        <ns0:v>27680.268156424576</ns0:v>
      </ns0:c>
      <ns0:c r="J660" s="16">
        <ns0:f>A660*('前提と出典'!$C$36*'契約別単価'!J5+'前提と出典'!$C$37*'契約別単価'!J6+'前提と出典'!$C$38*'契約別単価'!J7)</ns0:f>
        <ns0:v>64477.94067395848</ns0:v>
      </ns0:c>
      <ns0:c r="K660" s="16">
        <ns0:f>A660*('前提と出典'!$C$36*'契約別単価'!K5+'前提と出典'!$C$37*'契約別単価'!K6+'前提と出典'!$C$38*'契約別単価'!K7)</ns0:f>
        <ns0:v>276375.1210428305</ns0:v>
      </ns0:c>
      <ns0:c r="L660" s="16">
        <ns0:f>A660*('前提と出典'!$C$36*'契約別単価'!L5+'前提と出典'!$C$37*'契約別単価'!L6+'前提と出典'!$C$38*'契約別単価'!L7)</ns0:f>
        <ns0:v>225025.58737823192</ns0:v>
      </ns0:c>
      <ns0:c r="M660" s="16">
        <ns0:f>IF(('前提と出典'!$C$36+'前提と出典'!$C$38)=0,0,IF(B660&lt;=10,'前提と出典'!B73+'前提と出典'!C73,IF(B660&lt;=100,'前提と出典'!B74+'前提と出典'!C74,IF(B660&lt;=500,'前提と出典'!B75+'前提と出典'!C75,'前提と出典'!B76+'前提と出典'!C76))))</ns0:f>
        <ns0:v>40000</ns0:v>
      </ns0:c>
      <ns0:c r="N660" s="16">
        <ns0:f>IF(('前提と出典'!$C$37+'前提と出典'!$C$38)=0,0,IF(C660&lt;=10,'前提と出典'!D73+'前提と出典'!E73,IF(C660&lt;=100,'前提と出典'!D74+'前提と出典'!E74,IF(C660&lt;=500,'前提と出典'!D75+'前提と出典'!E75,'前提と出典'!D76+'前提と出典'!E76))))</ns0:f>
        <ns0:v>56510.9346263078</ns0:v>
      </ns0:c>
      <ns0:c r="O660" s="16">
        <ns0:f>IF('前提と出典'!$C$36+'前提と出典'!$C$38=0,0,'前提と出典'!$B$4*IF('前提と出典'!$B$20=0,MAX('前提と出典'!$B$6,D660*'前提と出典'!$B$5),'前提と出典'!$B$6+D660*'前提と出典'!$B$5))</ns0:f>
        <ns0:v>651397.0055865922</ns0:v>
      </ns0:c>
      <ns0:c r="P660" s="16">
        <ns0:f>(E660+G660)*(1-'前提と出典'!$B$7)-I660-K660-M660-O660</ns0:f>
        <ns0:v>1853042.7383406886</ns0:v>
      </ns0:c>
      <ns0:c r="Q660" s="16">
        <ns0:f>(F660+H660)*(1-'前提と出典'!$B$7)-J660-L660-N660</ns0:f>
        <ns0:v>552774.9024493659</ns0:v>
      </ns0:c>
      <ns0:c r="R660" s="16">
        <ns0:f>P660-E660*'前提と出典'!$E$4</ns0:f>
        <ns0:v>1358312.5470468772</ns0:v>
      </ns0:c>
      <ns0:c r="S660" s="16">
        <ns0:f>Q660-F660*'前提と出典'!$E$4</ns0:f>
        <ns0:v>409018.95489249984</ns0:v>
      </ns0:c>
      <ns0:c r="T660" s="7">
        <ns0:f>R660+S660</ns0:f>
        <ns0:v>1767331.501939377</ns0:v>
      </ns0:c>
      <ns0:c r="U660" s="16">
        <ns0:f>P660-E660*'前提と出典'!$E$5</ns0:f>
        <ns0:v>1193402.483282273</ns0:v>
      </ns0:c>
      <ns0:c r="V660" s="16">
        <ns0:f>Q660-F660*'前提と出典'!$E$5</ns0:f>
        <ns0:v>361100.3057068777</ns0:v>
      </ns0:c>
      <ns0:c r="W660" s="7">
        <ns0:f>U660+V660</ns0:f>
        <ns0:v>1554502.7889891507</ns0:v>
      </ns0:c>
      <ns0:c r="X660" s="16">
        <ns0:f>P660-E660*'前提と出典'!$E$6</ns0:f>
        <ns0:v>1028492.4195176691</ns0:v>
      </ns0:c>
      <ns0:c r="Y660" s="16">
        <ns0:f>Q660-F660*'前提と出典'!$E$6</ns0:f>
        <ns0:v>313181.6565212556</ns0:v>
      </ns0:c>
      <ns0:c r="Z660" s="7">
        <ns0:f>X660+Y660</ns0:f>
        <ns0:v>1341674.0760389247</ns0:v>
      </ns0:c>
      <ns0:c r="AA660" s="7">
        <ns0:f>IF(T660&gt;=0,A660,1001)</ns0:f>
        <ns0:v>656</ns0:v>
      </ns0:c>
      <ns0:c r="AB660" s="7">
        <ns0:f>IF(T660&lt;0,A660,0)</ns0:f>
        <ns0:v>0</ns0:v>
      </ns0:c>
      <ns0:c r="AC660" s="16">
        <ns0:f>IF(AND(OR('前提と出典'!$C$36+'前提と出典'!$C$38=0,R660&gt;=0),OR('前提と出典'!$C$37+'前提と出典'!$C$38=0,S660&gt;=0)),0,A660)</ns0:f>
        <ns0:v>0</ns0:v>
      </ns0:c>
      <ns0:c r="AD660" s="7">
        <ns0:f>IF(W660&gt;=0,A660,1001)</ns0:f>
        <ns0:v>656</ns0:v>
      </ns0:c>
      <ns0:c r="AE660" s="7">
        <ns0:f>IF(W660&lt;0,A660,0)</ns0:f>
        <ns0:v>0</ns0:v>
      </ns0:c>
      <ns0:c r="AF660" s="16">
        <ns0:f>IF(AND(OR('前提と出典'!$C$36+'前提と出典'!$C$38=0,U660&gt;=0),OR('前提と出典'!$C$37+'前提と出典'!$C$38=0,V660&gt;=0)),0,A660)</ns0:f>
        <ns0:v>0</ns0:v>
      </ns0:c>
      <ns0:c r="AG660" s="7">
        <ns0:f>IF(Z660&gt;=0,A660,1001)</ns0:f>
        <ns0:v>656</ns0:v>
      </ns0:c>
      <ns0:c r="AH660" s="4">
        <ns0:f>IF(Z660&lt;0,A660,0)</ns0:f>
        <ns0:v>0</ns0:v>
      </ns0:c>
      <ns0:c r="AI660" s="12">
        <ns0:f>IF(AND(OR('前提と出典'!$C$36+'前提と出典'!$C$38=0,X660&gt;=0),OR('前提と出典'!$C$37+'前提と出典'!$C$38=0,Y660&gt;=0)),0,A660)</ns0:f>
        <ns0:v>0</ns0:v>
      </ns0:c>
    </ns0:row>
    <ns0:row r="661" ht="24" customHeight="1">
      <ns0:c r="A661" s="4" t="n">
        <ns0:v>657</ns0:v>
      </ns0:c>
      <ns0:c r="B661" s="12">
        <ns0:f>A661*('前提と出典'!$C$36+'前提と出典'!$C$38)</ns0:f>
        <ns0:v>459.9</ns0:v>
      </ns0:c>
      <ns0:c r="C661" s="12">
        <ns0:f>A661*('前提と出典'!$C$37+'前提と出典'!$C$38)</ns0:f>
        <ns0:v>394.2</ns0:v>
      </ns0:c>
      <ns0:c r="D661" s="16">
        <ns0:f>A661*('前提と出典'!$C$36*'契約別単価'!C5+'前提と出典'!$C$37*'契約別単価'!C6+'前提と出典'!$C$38*'契約別単価'!C7)</ns0:f>
        <ns0:v>4727.463687150838</ns0:v>
      </ns0:c>
      <ns0:c r="E661" s="16">
        <ns0:f>A661*('前提と出典'!$C$36*'契約別単価'!E5+'前提と出典'!$C$37*'契約別単価'!E6+'前提と出典'!$C$38*'契約別単価'!E7)</ns0:f>
        <ns0:v>1651614.51056928</ns0:v>
      </ns0:c>
      <ns0:c r="F661" s="16">
        <ns0:f>A661*('前提と出典'!$C$36*'契約別単価'!F5+'前提と出典'!$C$37*'契約別単価'!F6+'前提と出典'!$C$38*'契約別単価'!F7)</ns0:f>
        <ns0:v>479916.959069416</ns0:v>
      </ns0:c>
      <ns0:c r="G661" s="16">
        <ns0:f>A661*('前提と出典'!$C$36*'契約別単価'!G5+'前提と出典'!$C$37*'契約別単価'!G6+'前提と出典'!$C$38*'契約別単価'!G7)</ns0:f>
        <ns0:v>1307760.3351955307</ns0:v>
      </ns0:c>
      <ns0:c r="H661" s="16">
        <ns0:f>A661*('前提と出典'!$C$36*'契約別単価'!H5+'前提と出典'!$C$37*'契約別単価'!H6+'前提と出典'!$C$38*'契約別単価'!H7)</ns0:f>
        <ns0:v>453858.42564779194</ns0:v>
      </ns0:c>
      <ns0:c r="I661" s="16">
        <ns0:f>A661*('前提と出典'!$C$36*'契約別単価'!I5+'前提と出典'!$C$37*'契約別単価'!I6+'前提と出典'!$C$38*'契約別単価'!I7)</ns0:f>
        <ns0:v>27722.463687150834</ns0:v>
      </ns0:c>
      <ns0:c r="J661" s="16">
        <ns0:f>A661*('前提と出典'!$C$36*'契約別単価'!J5+'前提と出典'!$C$37*'契約別単価'!J6+'前提と出典'!$C$38*'契約別単価'!J7)</ns0:f>
        <ns0:v>64576.23021766879</ns0:v>
      </ns0:c>
      <ns0:c r="K661" s="16">
        <ns0:f>A661*('前提と出典'!$C$36*'契約別単価'!K5+'前提と出典'!$C$37*'契約別単価'!K6+'前提と出典'!$C$38*'契約別単価'!K7)</ns0:f>
        <ns0:v>276796.4245810056</ns0:v>
      </ns0:c>
      <ns0:c r="L661" s="16">
        <ns0:f>A661*('前提と出典'!$C$36*'契約別単価'!L5+'前提と出典'!$C$37*'契約別単価'!L6+'前提と出典'!$C$38*'契約別単価'!L7)</ns0:f>
        <ns0:v>225368.61418825973</ns0:v>
      </ns0:c>
      <ns0:c r="M661" s="16">
        <ns0:f>IF(('前提と出典'!$C$36+'前提と出典'!$C$38)=0,0,IF(B661&lt;=10,'前提と出典'!B73+'前提と出典'!C73,IF(B661&lt;=100,'前提と出典'!B74+'前提と出典'!C74,IF(B661&lt;=500,'前提と出典'!B75+'前提と出典'!C75,'前提と出典'!B76+'前提と出典'!C76))))</ns0:f>
        <ns0:v>40000</ns0:v>
      </ns0:c>
      <ns0:c r="N661" s="16">
        <ns0:f>IF(('前提と出典'!$C$37+'前提と出典'!$C$38)=0,0,IF(C661&lt;=10,'前提と出典'!D73+'前提と出典'!E73,IF(C661&lt;=100,'前提と出典'!D74+'前提と出典'!E74,IF(C661&lt;=500,'前提と出典'!D75+'前提と出典'!E75,'前提と出典'!D76+'前提と出典'!E76))))</ns0:f>
        <ns0:v>56510.9346263078</ns0:v>
      </ns0:c>
      <ns0:c r="O661" s="16">
        <ns0:f>IF('前提と出典'!$C$36+'前提と出典'!$C$38=0,0,'前提と出典'!$B$4*IF('前提と出典'!$B$20=0,MAX('前提と出典'!$B$6,D661*'前提と出典'!$B$5),'前提と出典'!$B$6+D661*'前提と出典'!$B$5))</ns0:f>
        <ns0:v>652389.9888268156</ns0:v>
      </ns0:c>
      <ns0:c r="P661" s="16">
        <ns0:f>(E661+G661)*(1-'前提と出典'!$B$7)-I661-K661-M661-O661</ns0:f>
        <ns0:v>1855928.4742223057</ns0:v>
      </ns0:c>
      <ns0:c r="Q661" s="16">
        <ns0:f>(F661+H661)*(1-'前提と出典'!$B$7)-J661-L661-N661</ns0:f>
        <ns0:v>553703.6918351521</ns0:v>
      </ns0:c>
      <ns0:c r="R661" s="16">
        <ns0:f>P661-E661*'前提と出典'!$E$4</ns0:f>
        <ns0:v>1360444.121051522</ns0:v>
      </ns0:c>
      <ns0:c r="S661" s="16">
        <ns0:f>Q661-F661*'前提と出典'!$E$4</ns0:f>
        <ns0:v>409728.60411432735</ns0:v>
      </ns0:c>
      <ns0:c r="T661" s="7">
        <ns0:f>R661+S661</ns0:f>
        <ns0:v>1770172.7251658493</ns0:v>
      </ns0:c>
      <ns0:c r="U661" s="16">
        <ns0:f>P661-E661*'前提と出典'!$E$5</ns0:f>
        <ns0:v>1195282.6699945936</ns0:v>
      </ns0:c>
      <ns0:c r="V661" s="16">
        <ns0:f>Q661-F661*'前提と出典'!$E$5</ns0:f>
        <ns0:v>361736.9082073857</ns0:v>
      </ns0:c>
      <ns0:c r="W661" s="7">
        <ns0:f>U661+V661</ns0:f>
        <ns0:v>1557019.5782019794</ns0:v>
      </ns0:c>
      <ns0:c r="X661" s="16">
        <ns0:f>P661-E661*'前提と出典'!$E$6</ns0:f>
        <ns0:v>1030121.2189376656</ns0:v>
      </ns0:c>
      <ns0:c r="Y661" s="16">
        <ns0:f>Q661-F661*'前提と出典'!$E$6</ns0:f>
        <ns0:v>313745.21230044414</ns0:v>
      </ns0:c>
      <ns0:c r="Z661" s="7">
        <ns0:f>X661+Y661</ns0:f>
        <ns0:v>1343866.4312381097</ns0:v>
      </ns0:c>
      <ns0:c r="AA661" s="7">
        <ns0:f>IF(T661&gt;=0,A661,1001)</ns0:f>
        <ns0:v>657</ns0:v>
      </ns0:c>
      <ns0:c r="AB661" s="7">
        <ns0:f>IF(T661&lt;0,A661,0)</ns0:f>
        <ns0:v>0</ns0:v>
      </ns0:c>
      <ns0:c r="AC661" s="16">
        <ns0:f>IF(AND(OR('前提と出典'!$C$36+'前提と出典'!$C$38=0,R661&gt;=0),OR('前提と出典'!$C$37+'前提と出典'!$C$38=0,S661&gt;=0)),0,A661)</ns0:f>
        <ns0:v>0</ns0:v>
      </ns0:c>
      <ns0:c r="AD661" s="7">
        <ns0:f>IF(W661&gt;=0,A661,1001)</ns0:f>
        <ns0:v>657</ns0:v>
      </ns0:c>
      <ns0:c r="AE661" s="7">
        <ns0:f>IF(W661&lt;0,A661,0)</ns0:f>
        <ns0:v>0</ns0:v>
      </ns0:c>
      <ns0:c r="AF661" s="16">
        <ns0:f>IF(AND(OR('前提と出典'!$C$36+'前提と出典'!$C$38=0,U661&gt;=0),OR('前提と出典'!$C$37+'前提と出典'!$C$38=0,V661&gt;=0)),0,A661)</ns0:f>
        <ns0:v>0</ns0:v>
      </ns0:c>
      <ns0:c r="AG661" s="7">
        <ns0:f>IF(Z661&gt;=0,A661,1001)</ns0:f>
        <ns0:v>657</ns0:v>
      </ns0:c>
      <ns0:c r="AH661" s="4">
        <ns0:f>IF(Z661&lt;0,A661,0)</ns0:f>
        <ns0:v>0</ns0:v>
      </ns0:c>
      <ns0:c r="AI661" s="12">
        <ns0:f>IF(AND(OR('前提と出典'!$C$36+'前提と出典'!$C$38=0,X661&gt;=0),OR('前提と出典'!$C$37+'前提と出典'!$C$38=0,Y661&gt;=0)),0,A661)</ns0:f>
        <ns0:v>0</ns0:v>
      </ns0:c>
    </ns0:row>
    <ns0:row r="662" ht="24" customHeight="1">
      <ns0:c r="A662" s="4" t="n">
        <ns0:v>658</ns0:v>
      </ns0:c>
      <ns0:c r="B662" s="12">
        <ns0:f>A662*('前提と出典'!$C$36+'前提と出典'!$C$38)</ns0:f>
        <ns0:v>460.59999999999997</ns0:v>
      </ns0:c>
      <ns0:c r="C662" s="12">
        <ns0:f>A662*('前提と出典'!$C$37+'前提と出典'!$C$38)</ns0:f>
        <ns0:v>394.8</ns0:v>
      </ns0:c>
      <ns0:c r="D662" s="16">
        <ns0:f>A662*('前提と出典'!$C$36*'契約別単価'!C5+'前提と出典'!$C$37*'契約別単価'!C6+'前提と出典'!$C$38*'契約別単価'!C7)</ns0:f>
        <ns0:v>4734.659217877095</ns0:v>
      </ns0:c>
      <ns0:c r="E662" s="16">
        <ns0:f>A662*('前提と出典'!$C$36*'契約別単価'!E5+'前提と出典'!$C$37*'契約別単価'!E6+'前提と出典'!$C$38*'契約別単価'!E7)</ns0:f>
        <ns0:v>1654128.383492521</ns0:v>
      </ns0:c>
      <ns0:c r="F662" s="16">
        <ns0:f>A662*('前提と出典'!$C$36*'契約別単価'!F5+'前提と出典'!$C$37*'契約別単価'!F6+'前提と出典'!$C$38*'契約別単価'!F7)</ns0:f>
        <ns0:v>480647.42628261144</ns0:v>
      </ns0:c>
      <ns0:c r="G662" s="16">
        <ns0:f>A662*('前提と出典'!$C$36*'契約別単価'!G5+'前提と出典'!$C$37*'契約別単価'!G6+'前提と出典'!$C$38*'契約別単価'!G7)</ns0:f>
        <ns0:v>1309750.8379888267</ns0:v>
      </ns0:c>
      <ns0:c r="H662" s="16">
        <ns0:f>A662*('前提と出典'!$C$36*'契約別単価'!H5+'前提と出典'!$C$37*'契約別単価'!H6+'前提と出典'!$C$38*'契約別単価'!H7)</ns0:f>
        <ns0:v>454549.2299486257</ns0:v>
      </ns0:c>
      <ns0:c r="I662" s="16">
        <ns0:f>A662*('前提と出典'!$C$36*'契約別単価'!I5+'前提と出典'!$C$37*'契約別単価'!I6+'前提と出典'!$C$38*'契約別単価'!I7)</ns0:f>
        <ns0:v>27764.65921787709</ns0:v>
      </ns0:c>
      <ns0:c r="J662" s="16">
        <ns0:f>A662*('前提と出典'!$C$36*'契約別単価'!J5+'前提と出典'!$C$37*'契約別単価'!J6+'前提と出典'!$C$38*'契約別単価'!J7)</ns0:f>
        <ns0:v>64674.51976137909</ns0:v>
      </ns0:c>
      <ns0:c r="K662" s="16">
        <ns0:f>A662*('前提と出典'!$C$36*'契約別単価'!K5+'前提と出典'!$C$37*'契約別単価'!K6+'前提と出典'!$C$38*'契約別単価'!K7)</ns0:f>
        <ns0:v>277217.7281191806</ns0:v>
      </ns0:c>
      <ns0:c r="L662" s="16">
        <ns0:f>A662*('前提と出典'!$C$36*'契約別単価'!L5+'前提と出典'!$C$37*'契約別単価'!L6+'前提と出典'!$C$38*'契約別単価'!L7)</ns0:f>
        <ns0:v>225711.6409982875</ns0:v>
      </ns0:c>
      <ns0:c r="M662" s="16">
        <ns0:f>IF(('前提と出典'!$C$36+'前提と出典'!$C$38)=0,0,IF(B662&lt;=10,'前提と出典'!B73+'前提と出典'!C73,IF(B662&lt;=100,'前提と出典'!B74+'前提と出典'!C74,IF(B662&lt;=500,'前提と出典'!B75+'前提と出典'!C75,'前提と出典'!B76+'前提と出典'!C76))))</ns0:f>
        <ns0:v>40000</ns0:v>
      </ns0:c>
      <ns0:c r="N662" s="16">
        <ns0:f>IF(('前提と出典'!$C$37+'前提と出典'!$C$38)=0,0,IF(C662&lt;=10,'前提と出典'!D73+'前提と出典'!E73,IF(C662&lt;=100,'前提と出典'!D74+'前提と出典'!E74,IF(C662&lt;=500,'前提と出典'!D75+'前提と出典'!E75,'前提と出典'!D76+'前提と出典'!E76))))</ns0:f>
        <ns0:v>56510.9346263078</ns0:v>
      </ns0:c>
      <ns0:c r="O662" s="16">
        <ns0:f>IF('前提と出典'!$C$36+'前提と出典'!$C$38=0,0,'前提と出典'!$B$4*IF('前提と出典'!$B$20=0,MAX('前提と出典'!$B$6,D662*'前提と出典'!$B$5),'前提と出典'!$B$6+D662*'前提と出典'!$B$5))</ns0:f>
        <ns0:v>653382.9720670391</ns0:v>
      </ns0:c>
      <ns0:c r="P662" s="16">
        <ns0:f>(E662+G662)*(1-'前提と出典'!$B$7)-I662-K662-M662-O662</ns0:f>
        <ns0:v>1858814.210103922</ns0:v>
      </ns0:c>
      <ns0:c r="Q662" s="16">
        <ns0:f>(F662+H662)*(1-'前提と出典'!$B$7)-J662-L662-N662</ns0:f>
        <ns0:v>554632.4812209381</ns0:v>
      </ns0:c>
      <ns0:c r="R662" s="16">
        <ns0:f>P662-E662*'前提と出典'!$E$4</ns0:f>
        <ns0:v>1362575.695056166</ns0:v>
      </ns0:c>
      <ns0:c r="S662" s="16">
        <ns0:f>Q662-F662*'前提と出典'!$E$4</ns0:f>
        <ns0:v>410438.25333615474</ns0:v>
      </ns0:c>
      <ns0:c r="T662" s="7">
        <ns0:f>R662+S662</ns0:f>
        <ns0:v>1773013.948392321</ns0:v>
      </ns0:c>
      <ns0:c r="U662" s="16">
        <ns0:f>P662-E662*'前提と出典'!$E$5</ns0:f>
        <ns0:v>1197162.8567069136</ns0:v>
      </ns0:c>
      <ns0:c r="V662" s="16">
        <ns0:f>Q662-F662*'前提と出典'!$E$5</ns0:f>
        <ns0:v>362373.5107078935</ns0:v>
      </ns0:c>
      <ns0:c r="W662" s="7">
        <ns0:f>U662+V662</ns0:f>
        <ns0:v>1559536.367414807</ns0:v>
      </ns0:c>
      <ns0:c r="X662" s="16">
        <ns0:f>P662-E662*'前提と出典'!$E$6</ns0:f>
        <ns0:v>1031750.0183576617</ns0:v>
      </ns0:c>
      <ns0:c r="Y662" s="16">
        <ns0:f>Q662-F662*'前提と出典'!$E$6</ns0:f>
        <ns0:v>314308.7680796324</ns0:v>
      </ns0:c>
      <ns0:c r="Z662" s="7">
        <ns0:f>X662+Y662</ns0:f>
        <ns0:v>1346058.786437294</ns0:v>
      </ns0:c>
      <ns0:c r="AA662" s="7">
        <ns0:f>IF(T662&gt;=0,A662,1001)</ns0:f>
        <ns0:v>658</ns0:v>
      </ns0:c>
      <ns0:c r="AB662" s="7">
        <ns0:f>IF(T662&lt;0,A662,0)</ns0:f>
        <ns0:v>0</ns0:v>
      </ns0:c>
      <ns0:c r="AC662" s="16">
        <ns0:f>IF(AND(OR('前提と出典'!$C$36+'前提と出典'!$C$38=0,R662&gt;=0),OR('前提と出典'!$C$37+'前提と出典'!$C$38=0,S662&gt;=0)),0,A662)</ns0:f>
        <ns0:v>0</ns0:v>
      </ns0:c>
      <ns0:c r="AD662" s="7">
        <ns0:f>IF(W662&gt;=0,A662,1001)</ns0:f>
        <ns0:v>658</ns0:v>
      </ns0:c>
      <ns0:c r="AE662" s="7">
        <ns0:f>IF(W662&lt;0,A662,0)</ns0:f>
        <ns0:v>0</ns0:v>
      </ns0:c>
      <ns0:c r="AF662" s="16">
        <ns0:f>IF(AND(OR('前提と出典'!$C$36+'前提と出典'!$C$38=0,U662&gt;=0),OR('前提と出典'!$C$37+'前提と出典'!$C$38=0,V662&gt;=0)),0,A662)</ns0:f>
        <ns0:v>0</ns0:v>
      </ns0:c>
      <ns0:c r="AG662" s="7">
        <ns0:f>IF(Z662&gt;=0,A662,1001)</ns0:f>
        <ns0:v>658</ns0:v>
      </ns0:c>
      <ns0:c r="AH662" s="4">
        <ns0:f>IF(Z662&lt;0,A662,0)</ns0:f>
        <ns0:v>0</ns0:v>
      </ns0:c>
      <ns0:c r="AI662" s="12">
        <ns0:f>IF(AND(OR('前提と出典'!$C$36+'前提と出典'!$C$38=0,X662&gt;=0),OR('前提と出典'!$C$37+'前提と出典'!$C$38=0,Y662&gt;=0)),0,A662)</ns0:f>
        <ns0:v>0</ns0:v>
      </ns0:c>
    </ns0:row>
    <ns0:row r="663" ht="24" customHeight="1">
      <ns0:c r="A663" s="4" t="n">
        <ns0:v>659</ns0:v>
      </ns0:c>
      <ns0:c r="B663" s="12">
        <ns0:f>A663*('前提と出典'!$C$36+'前提と出典'!$C$38)</ns0:f>
        <ns0:v>461.29999999999995</ns0:v>
      </ns0:c>
      <ns0:c r="C663" s="12">
        <ns0:f>A663*('前提と出典'!$C$37+'前提と出典'!$C$38)</ns0:f>
        <ns0:v>395.4</ns0:v>
      </ns0:c>
      <ns0:c r="D663" s="16">
        <ns0:f>A663*('前提と出典'!$C$36*'契約別単価'!C5+'前提と出典'!$C$37*'契約別単価'!C6+'前提と出典'!$C$38*'契約別単価'!C7)</ns0:f>
        <ns0:v>4741.854748603352</ns0:v>
      </ns0:c>
      <ns0:c r="E663" s="16">
        <ns0:f>A663*('前提と出典'!$C$36*'契約別単価'!E5+'前提と出典'!$C$37*'契約別単価'!E6+'前提と出典'!$C$38*'契約別単価'!E7)</ns0:f>
        <ns0:v>1656642.2564157618</ns0:v>
      </ns0:c>
      <ns0:c r="F663" s="16">
        <ns0:f>A663*('前提と出典'!$C$36*'契約別単価'!F5+'前提と出典'!$C$37*'契約別単価'!F6+'前提と出典'!$C$38*'契約別単価'!F7)</ns0:f>
        <ns0:v>481377.8934958069</ns0:v>
      </ns0:c>
      <ns0:c r="G663" s="16">
        <ns0:f>A663*('前提と出典'!$C$36*'契約別単価'!G5+'前提と出典'!$C$37*'契約別単価'!G6+'前提と出典'!$C$38*'契約別単価'!G7)</ns0:f>
        <ns0:v>1311741.340782123</ns0:v>
      </ns0:c>
      <ns0:c r="H663" s="16">
        <ns0:f>A663*('前提と出典'!$C$36*'契約別単価'!H5+'前提と出典'!$C$37*'契約別単価'!H6+'前提と出典'!$C$38*'契約別単価'!H7)</ns0:f>
        <ns0:v>455240.0342494595</ns0:v>
      </ns0:c>
      <ns0:c r="I663" s="16">
        <ns0:f>A663*('前提と出典'!$C$36*'契約別単価'!I5+'前提と出典'!$C$37*'契約別単価'!I6+'前提と出典'!$C$38*'契約別単価'!I7)</ns0:f>
        <ns0:v>27806.854748603346</ns0:v>
      </ns0:c>
      <ns0:c r="J663" s="16">
        <ns0:f>A663*('前提と出典'!$C$36*'契約別単価'!J5+'前提と出典'!$C$37*'契約別単価'!J6+'前提と出典'!$C$38*'契約別単価'!J7)</ns0:f>
        <ns0:v>64772.809305089395</ns0:v>
      </ns0:c>
      <ns0:c r="K663" s="16">
        <ns0:f>A663*('前提と出典'!$C$36*'契約別単価'!K5+'前提と出典'!$C$37*'契約別単価'!K6+'前提と出典'!$C$38*'契約別単価'!K7)</ns0:f>
        <ns0:v>277639.03165735566</ns0:v>
      </ns0:c>
      <ns0:c r="L663" s="16">
        <ns0:f>A663*('前提と出典'!$C$36*'契約別単価'!L5+'前提と出典'!$C$37*'契約別単価'!L6+'前提と出典'!$C$38*'契約別単価'!L7)</ns0:f>
        <ns0:v>226054.6678083153</ns0:v>
      </ns0:c>
      <ns0:c r="M663" s="16">
        <ns0:f>IF(('前提と出典'!$C$36+'前提と出典'!$C$38)=0,0,IF(B663&lt;=10,'前提と出典'!B73+'前提と出典'!C73,IF(B663&lt;=100,'前提と出典'!B74+'前提と出典'!C74,IF(B663&lt;=500,'前提と出典'!B75+'前提と出典'!C75,'前提と出典'!B76+'前提と出典'!C76))))</ns0:f>
        <ns0:v>40000</ns0:v>
      </ns0:c>
      <ns0:c r="N663" s="16">
        <ns0:f>IF(('前提と出典'!$C$37+'前提と出典'!$C$38)=0,0,IF(C663&lt;=10,'前提と出典'!D73+'前提と出典'!E73,IF(C663&lt;=100,'前提と出典'!D74+'前提と出典'!E74,IF(C663&lt;=500,'前提と出典'!D75+'前提と出典'!E75,'前提と出典'!D76+'前提と出典'!E76))))</ns0:f>
        <ns0:v>56510.9346263078</ns0:v>
      </ns0:c>
      <ns0:c r="O663" s="16">
        <ns0:f>IF('前提と出典'!$C$36+'前提と出典'!$C$38=0,0,'前提と出典'!$B$4*IF('前提と出典'!$B$20=0,MAX('前提と出典'!$B$6,D663*'前提と出典'!$B$5),'前提と出典'!$B$6+D663*'前提と出典'!$B$5))</ns0:f>
        <ns0:v>654375.9553072626</ns0:v>
      </ns0:c>
      <ns0:c r="P663" s="16">
        <ns0:f>(E663+G663)*(1-'前提と出典'!$B$7)-I663-K663-M663-O663</ns0:f>
        <ns0:v>1861699.945985539</ns0:v>
      </ns0:c>
      <ns0:c r="Q663" s="16">
        <ns0:f>(F663+H663)*(1-'前提と出典'!$B$7)-J663-L663-N663</ns0:f>
        <ns0:v>555561.2706067242</ns0:v>
      </ns0:c>
      <ns0:c r="R663" s="16">
        <ns0:f>P663-E663*'前提と出典'!$E$4</ns0:f>
        <ns0:v>1364707.2690608106</ns0:v>
      </ns0:c>
      <ns0:c r="S663" s="16">
        <ns0:f>Q663-F663*'前提と出典'!$E$4</ns0:f>
        <ns0:v>411147.9025579822</ns0:v>
      </ns0:c>
      <ns0:c r="T663" s="7">
        <ns0:f>R663+S663</ns0:f>
        <ns0:v>1775855.1716187927</ns0:v>
      </ns0:c>
      <ns0:c r="U663" s="16">
        <ns0:f>P663-E663*'前提と出典'!$E$5</ns0:f>
        <ns0:v>1199043.043419234</ns0:v>
      </ns0:c>
      <ns0:c r="V663" s="16">
        <ns0:f>Q663-F663*'前提と出典'!$E$5</ns0:f>
        <ns0:v>363010.1132084014</ns0:v>
      </ns0:c>
      <ns0:c r="W663" s="7">
        <ns0:f>U663+V663</ns0:f>
        <ns0:v>1562053.1566276355</ns0:v>
      </ns0:c>
      <ns0:c r="X663" s="16">
        <ns0:f>P663-E663*'前提と出典'!$E$6</ns0:f>
        <ns0:v>1033378.8177776582</ns0:v>
      </ns0:c>
      <ns0:c r="Y663" s="16">
        <ns0:f>Q663-F663*'前提と出典'!$E$6</ns0:f>
        <ns0:v>314872.3238588208</ns0:v>
      </ns0:c>
      <ns0:c r="Z663" s="7">
        <ns0:f>X663+Y663</ns0:f>
        <ns0:v>1348251.141636479</ns0:v>
      </ns0:c>
      <ns0:c r="AA663" s="7">
        <ns0:f>IF(T663&gt;=0,A663,1001)</ns0:f>
        <ns0:v>659</ns0:v>
      </ns0:c>
      <ns0:c r="AB663" s="7">
        <ns0:f>IF(T663&lt;0,A663,0)</ns0:f>
        <ns0:v>0</ns0:v>
      </ns0:c>
      <ns0:c r="AC663" s="16">
        <ns0:f>IF(AND(OR('前提と出典'!$C$36+'前提と出典'!$C$38=0,R663&gt;=0),OR('前提と出典'!$C$37+'前提と出典'!$C$38=0,S663&gt;=0)),0,A663)</ns0:f>
        <ns0:v>0</ns0:v>
      </ns0:c>
      <ns0:c r="AD663" s="7">
        <ns0:f>IF(W663&gt;=0,A663,1001)</ns0:f>
        <ns0:v>659</ns0:v>
      </ns0:c>
      <ns0:c r="AE663" s="7">
        <ns0:f>IF(W663&lt;0,A663,0)</ns0:f>
        <ns0:v>0</ns0:v>
      </ns0:c>
      <ns0:c r="AF663" s="16">
        <ns0:f>IF(AND(OR('前提と出典'!$C$36+'前提と出典'!$C$38=0,U663&gt;=0),OR('前提と出典'!$C$37+'前提と出典'!$C$38=0,V663&gt;=0)),0,A663)</ns0:f>
        <ns0:v>0</ns0:v>
      </ns0:c>
      <ns0:c r="AG663" s="7">
        <ns0:f>IF(Z663&gt;=0,A663,1001)</ns0:f>
        <ns0:v>659</ns0:v>
      </ns0:c>
      <ns0:c r="AH663" s="4">
        <ns0:f>IF(Z663&lt;0,A663,0)</ns0:f>
        <ns0:v>0</ns0:v>
      </ns0:c>
      <ns0:c r="AI663" s="12">
        <ns0:f>IF(AND(OR('前提と出典'!$C$36+'前提と出典'!$C$38=0,X663&gt;=0),OR('前提と出典'!$C$37+'前提と出典'!$C$38=0,Y663&gt;=0)),0,A663)</ns0:f>
        <ns0:v>0</ns0:v>
      </ns0:c>
    </ns0:row>
    <ns0:row r="664" ht="24" customHeight="1">
      <ns0:c r="A664" s="4" t="n">
        <ns0:v>660</ns0:v>
      </ns0:c>
      <ns0:c r="B664" s="12">
        <ns0:f>A664*('前提と出典'!$C$36+'前提と出典'!$C$38)</ns0:f>
        <ns0:v>461.99999999999994</ns0:v>
      </ns0:c>
      <ns0:c r="C664" s="12">
        <ns0:f>A664*('前提と出典'!$C$37+'前提と出典'!$C$38)</ns0:f>
        <ns0:v>396</ns0:v>
      </ns0:c>
      <ns0:c r="D664" s="16">
        <ns0:f>A664*('前提と出典'!$C$36*'契約別単価'!C5+'前提と出典'!$C$37*'契約別単価'!C6+'前提と出典'!$C$38*'契約別単価'!C7)</ns0:f>
        <ns0:v>4749.050279329609</ns0:v>
      </ns0:c>
      <ns0:c r="E664" s="16">
        <ns0:f>A664*('前提と出典'!$C$36*'契約別単価'!E5+'前提と出典'!$C$37*'契約別単価'!E6+'前提と出典'!$C$38*'契約別単価'!E7)</ns0:f>
        <ns0:v>1659156.1293390028</ns0:v>
      </ns0:c>
      <ns0:c r="F664" s="16">
        <ns0:f>A664*('前提と出典'!$C$36*'契約別単価'!F5+'前提と出典'!$C$37*'契約別単価'!F6+'前提と出典'!$C$38*'契約別単価'!F7)</ns0:f>
        <ns0:v>482108.36070900236</ns0:v>
      </ns0:c>
      <ns0:c r="G664" s="16">
        <ns0:f>A664*('前提と出典'!$C$36*'契約別単価'!G5+'前提と出典'!$C$37*'契約別単価'!G6+'前提と出典'!$C$38*'契約別単価'!G7)</ns0:f>
        <ns0:v>1313731.843575419</ns0:v>
      </ns0:c>
      <ns0:c r="H664" s="16">
        <ns0:f>A664*('前提と出典'!$C$36*'契約別単価'!H5+'前提と出典'!$C$37*'契約別単価'!H6+'前提と出典'!$C$38*'契約別単価'!H7)</ns0:f>
        <ns0:v>455930.8385502933</ns0:v>
      </ns0:c>
      <ns0:c r="I664" s="16">
        <ns0:f>A664*('前提と出典'!$C$36*'契約別単価'!I5+'前提と出典'!$C$37*'契約別単価'!I6+'前提と出典'!$C$38*'契約別単価'!I7)</ns0:f>
        <ns0:v>27849.050279329604</ns0:v>
      </ns0:c>
      <ns0:c r="J664" s="16">
        <ns0:f>A664*('前提と出典'!$C$36*'契約別単価'!J5+'前提と出典'!$C$37*'契約別単価'!J6+'前提と出典'!$C$38*'契約別単価'!J7)</ns0:f>
        <ns0:v>64871.098848799695</ns0:v>
      </ns0:c>
      <ns0:c r="K664" s="16">
        <ns0:f>A664*('前提と出典'!$C$36*'契約別単価'!K5+'前提と出典'!$C$37*'契約別単価'!K6+'前提と出典'!$C$38*'契約別単価'!K7)</ns0:f>
        <ns0:v>278060.33519553073</ns0:v>
      </ns0:c>
      <ns0:c r="L664" s="16">
        <ns0:f>A664*('前提と出典'!$C$36*'契約別単価'!L5+'前提と出典'!$C$37*'契約別単価'!L6+'前提と出典'!$C$38*'契約別単価'!L7)</ns0:f>
        <ns0:v>226397.6946183431</ns0:v>
      </ns0:c>
      <ns0:c r="M664" s="16">
        <ns0:f>IF(('前提と出典'!$C$36+'前提と出典'!$C$38)=0,0,IF(B664&lt;=10,'前提と出典'!B73+'前提と出典'!C73,IF(B664&lt;=100,'前提と出典'!B74+'前提と出典'!C74,IF(B664&lt;=500,'前提と出典'!B75+'前提と出典'!C75,'前提と出典'!B76+'前提と出典'!C76))))</ns0:f>
        <ns0:v>40000</ns0:v>
      </ns0:c>
      <ns0:c r="N664" s="16">
        <ns0:f>IF(('前提と出典'!$C$37+'前提と出典'!$C$38)=0,0,IF(C664&lt;=10,'前提と出典'!D73+'前提と出典'!E73,IF(C664&lt;=100,'前提と出典'!D74+'前提と出典'!E74,IF(C664&lt;=500,'前提と出典'!D75+'前提と出典'!E75,'前提と出典'!D76+'前提と出典'!E76))))</ns0:f>
        <ns0:v>56510.9346263078</ns0:v>
      </ns0:c>
      <ns0:c r="O664" s="16">
        <ns0:f>IF('前提と出典'!$C$36+'前提と出典'!$C$38=0,0,'前提と出典'!$B$4*IF('前提と出典'!$B$20=0,MAX('前提と出典'!$B$6,D664*'前提と出典'!$B$5),'前提と出典'!$B$6+D664*'前提と出典'!$B$5))</ns0:f>
        <ns0:v>655368.9385474861</ns0:v>
      </ns0:c>
      <ns0:c r="P664" s="16">
        <ns0:f>(E664+G664)*(1-'前提と出典'!$B$7)-I664-K664-M664-O664</ns0:f>
        <ns0:v>1864585.6818671566</ns0:v>
      </ns0:c>
      <ns0:c r="Q664" s="16">
        <ns0:f>(F664+H664)*(1-'前提と出典'!$B$7)-J664-L664-N664</ns0:f>
        <ns0:v>556490.0599925102</ns0:v>
      </ns0:c>
      <ns0:c r="R664" s="16">
        <ns0:f>P664-E664*'前提と出典'!$E$4</ns0:f>
        <ns0:v>1366838.843065456</ns0:v>
      </ns0:c>
      <ns0:c r="S664" s="16">
        <ns0:f>Q664-F664*'前提と出典'!$E$4</ns0:f>
        <ns0:v>411857.55177980964</ns0:v>
      </ns0:c>
      <ns0:c r="T664" s="7">
        <ns0:f>R664+S664</ns0:f>
        <ns0:v>1778696.3948452657</ns0:v>
      </ns0:c>
      <ns0:c r="U664" s="16">
        <ns0:f>P664-E664*'前提と出典'!$E$5</ns0:f>
        <ns0:v>1200923.2301315553</ns0:v>
      </ns0:c>
      <ns0:c r="V664" s="16">
        <ns0:f>Q664-F664*'前提と出典'!$E$5</ns0:f>
        <ns0:v>363646.7157089093</ns0:v>
      </ns0:c>
      <ns0:c r="W664" s="7">
        <ns0:f>U664+V664</ns0:f>
        <ns0:v>1564569.9458404647</ns0:v>
      </ns0:c>
      <ns0:c r="X664" s="16">
        <ns0:f>P664-E664*'前提と出典'!$E$6</ns0:f>
        <ns0:v>1035007.617197655</ns0:v>
      </ns0:c>
      <ns0:c r="Y664" s="16">
        <ns0:f>Q664-F664*'前提と出典'!$E$6</ns0:f>
        <ns0:v>315435.87963800924</ns0:v>
      </ns0:c>
      <ns0:c r="Z664" s="7">
        <ns0:f>X664+Y664</ns0:f>
        <ns0:v>1350443.4968356644</ns0:v>
      </ns0:c>
      <ns0:c r="AA664" s="7">
        <ns0:f>IF(T664&gt;=0,A664,1001)</ns0:f>
        <ns0:v>660</ns0:v>
      </ns0:c>
      <ns0:c r="AB664" s="7">
        <ns0:f>IF(T664&lt;0,A664,0)</ns0:f>
        <ns0:v>0</ns0:v>
      </ns0:c>
      <ns0:c r="AC664" s="16">
        <ns0:f>IF(AND(OR('前提と出典'!$C$36+'前提と出典'!$C$38=0,R664&gt;=0),OR('前提と出典'!$C$37+'前提と出典'!$C$38=0,S664&gt;=0)),0,A664)</ns0:f>
        <ns0:v>0</ns0:v>
      </ns0:c>
      <ns0:c r="AD664" s="7">
        <ns0:f>IF(W664&gt;=0,A664,1001)</ns0:f>
        <ns0:v>660</ns0:v>
      </ns0:c>
      <ns0:c r="AE664" s="7">
        <ns0:f>IF(W664&lt;0,A664,0)</ns0:f>
        <ns0:v>0</ns0:v>
      </ns0:c>
      <ns0:c r="AF664" s="16">
        <ns0:f>IF(AND(OR('前提と出典'!$C$36+'前提と出典'!$C$38=0,U664&gt;=0),OR('前提と出典'!$C$37+'前提と出典'!$C$38=0,V664&gt;=0)),0,A664)</ns0:f>
        <ns0:v>0</ns0:v>
      </ns0:c>
      <ns0:c r="AG664" s="7">
        <ns0:f>IF(Z664&gt;=0,A664,1001)</ns0:f>
        <ns0:v>660</ns0:v>
      </ns0:c>
      <ns0:c r="AH664" s="4">
        <ns0:f>IF(Z664&lt;0,A664,0)</ns0:f>
        <ns0:v>0</ns0:v>
      </ns0:c>
      <ns0:c r="AI664" s="12">
        <ns0:f>IF(AND(OR('前提と出典'!$C$36+'前提と出典'!$C$38=0,X664&gt;=0),OR('前提と出典'!$C$37+'前提と出典'!$C$38=0,Y664&gt;=0)),0,A664)</ns0:f>
        <ns0:v>0</ns0:v>
      </ns0:c>
    </ns0:row>
    <ns0:row r="665" ht="24" customHeight="1">
      <ns0:c r="A665" s="4" t="n">
        <ns0:v>661</ns0:v>
      </ns0:c>
      <ns0:c r="B665" s="12">
        <ns0:f>A665*('前提と出典'!$C$36+'前提と出典'!$C$38)</ns0:f>
        <ns0:v>462.7</ns0:v>
      </ns0:c>
      <ns0:c r="C665" s="12">
        <ns0:f>A665*('前提と出典'!$C$37+'前提と出典'!$C$38)</ns0:f>
        <ns0:v>396.59999999999997</ns0:v>
      </ns0:c>
      <ns0:c r="D665" s="16">
        <ns0:f>A665*('前提と出典'!$C$36*'契約別単価'!C5+'前提と出典'!$C$37*'契約別単価'!C6+'前提と出典'!$C$38*'契約別単価'!C7)</ns0:f>
        <ns0:v>4756.245810055866</ns0:v>
      </ns0:c>
      <ns0:c r="E665" s="16">
        <ns0:f>A665*('前提と出典'!$C$36*'契約別単価'!E5+'前提と出典'!$C$37*'契約別単価'!E6+'前提と出典'!$C$38*'契約別単価'!E7)</ns0:f>
        <ns0:v>1661670.0022622435</ns0:v>
      </ns0:c>
      <ns0:c r="F665" s="16">
        <ns0:f>A665*('前提と出典'!$C$36*'契約別単価'!F5+'前提と出典'!$C$37*'契約別単価'!F6+'前提と出典'!$C$38*'契約別単価'!F7)</ns0:f>
        <ns0:v>482838.8279221978</ns0:v>
      </ns0:c>
      <ns0:c r="G665" s="16">
        <ns0:f>A665*('前提と出典'!$C$36*'契約別単価'!G5+'前提と出典'!$C$37*'契約別単価'!G6+'前提と出典'!$C$38*'契約別単価'!G7)</ns0:f>
        <ns0:v>1315722.346368715</ns0:v>
      </ns0:c>
      <ns0:c r="H665" s="16">
        <ns0:f>A665*('前提と出典'!$C$36*'契約別単価'!H5+'前提と出典'!$C$37*'契約別単価'!H6+'前提と出典'!$C$38*'契約別単価'!H7)</ns0:f>
        <ns0:v>456621.6428511271</ns0:v>
      </ns0:c>
      <ns0:c r="I665" s="16">
        <ns0:f>A665*('前提と出典'!$C$36*'契約別単価'!I5+'前提と出典'!$C$37*'契約別単価'!I6+'前提と出典'!$C$38*'契約別単価'!I7)</ns0:f>
        <ns0:v>27891.24581005586</ns0:v>
      </ns0:c>
      <ns0:c r="J665" s="16">
        <ns0:f>A665*('前提と出典'!$C$36*'契約別単価'!J5+'前提と出典'!$C$37*'契約別単価'!J6+'前提と出典'!$C$38*'契約別単価'!J7)</ns0:f>
        <ns0:v>64969.388392509994</ns0:v>
      </ns0:c>
      <ns0:c r="K665" s="16">
        <ns0:f>A665*('前提と出典'!$C$36*'契約別単価'!K5+'前提と出典'!$C$37*'契約別単価'!K6+'前提と出典'!$C$38*'契約別単価'!K7)</ns0:f>
        <ns0:v>278481.63873370574</ns0:v>
      </ns0:c>
      <ns0:c r="L665" s="16">
        <ns0:f>A665*('前提と出典'!$C$36*'契約別単価'!L5+'前提と出典'!$C$37*'契約別単価'!L6+'前提と出典'!$C$38*'契約別単価'!L7)</ns0:f>
        <ns0:v>226740.7214283709</ns0:v>
      </ns0:c>
      <ns0:c r="M665" s="16">
        <ns0:f>IF(('前提と出典'!$C$36+'前提と出典'!$C$38)=0,0,IF(B665&lt;=10,'前提と出典'!B73+'前提と出典'!C73,IF(B665&lt;=100,'前提と出典'!B74+'前提と出典'!C74,IF(B665&lt;=500,'前提と出典'!B75+'前提と出典'!C75,'前提と出典'!B76+'前提と出典'!C76))))</ns0:f>
        <ns0:v>40000</ns0:v>
      </ns0:c>
      <ns0:c r="N665" s="16">
        <ns0:f>IF(('前提と出典'!$C$37+'前提と出典'!$C$38)=0,0,IF(C665&lt;=10,'前提と出典'!D73+'前提と出典'!E73,IF(C665&lt;=100,'前提と出典'!D74+'前提と出典'!E74,IF(C665&lt;=500,'前提と出典'!D75+'前提と出典'!E75,'前提と出典'!D76+'前提と出典'!E76))))</ns0:f>
        <ns0:v>56510.9346263078</ns0:v>
      </ns0:c>
      <ns0:c r="O665" s="16">
        <ns0:f>IF('前提と出典'!$C$36+'前提と出典'!$C$38=0,0,'前提と出典'!$B$4*IF('前提と出典'!$B$20=0,MAX('前提と出典'!$B$6,D665*'前提と出典'!$B$5),'前提と出典'!$B$6+D665*'前提と出典'!$B$5))</ns0:f>
        <ns0:v>656361.9217877096</ns0:v>
      </ns0:c>
      <ns0:c r="P665" s="16">
        <ns0:f>(E665+G665)*(1-'前提と出典'!$B$7)-I665-K665-M665-O665</ns0:f>
        <ns0:v>1867471.4177487728</ns0:v>
      </ns0:c>
      <ns0:c r="Q665" s="16">
        <ns0:f>(F665+H665)*(1-'前提と出典'!$B$7)-J665-L665-N665</ns0:f>
        <ns0:v>557418.8493782964</ns0:v>
      </ns0:c>
      <ns0:c r="R665" s="16">
        <ns0:f>P665-E665*'前提と出典'!$E$4</ns0:f>
        <ns0:v>1368970.4170700996</ns0:v>
      </ns0:c>
      <ns0:c r="S665" s="16">
        <ns0:f>Q665-F665*'前提と出典'!$E$4</ns0:f>
        <ns0:v>412567.20100163703</ns0:v>
      </ns0:c>
      <ns0:c r="T665" s="7">
        <ns0:f>R665+S665</ns0:f>
        <ns0:v>1781537.6180717368</ns0:v>
      </ns0:c>
      <ns0:c r="U665" s="16">
        <ns0:f>P665-E665*'前提と出典'!$E$5</ns0:f>
        <ns0:v>1202803.4168438753</ns0:v>
      </ns0:c>
      <ns0:c r="V665" s="16">
        <ns0:f>Q665-F665*'前提と出典'!$E$5</ns0:f>
        <ns0:v>364283.3182094173</ns0:v>
      </ns0:c>
      <ns0:c r="W665" s="7">
        <ns0:f>U665+V665</ns0:f>
        <ns0:v>1567086.7350532925</ns0:v>
      </ns0:c>
      <ns0:c r="X665" s="16">
        <ns0:f>P665-E665*'前提と出典'!$E$6</ns0:f>
        <ns0:v>1036636.4166176507</ns0:v>
      </ns0:c>
      <ns0:c r="Y665" s="16">
        <ns0:f>Q665-F665*'前提と出典'!$E$6</ns0:f>
        <ns0:v>315999.4354171975</ns0:v>
      </ns0:c>
      <ns0:c r="Z665" s="7">
        <ns0:f>X665+Y665</ns0:f>
        <ns0:v>1352635.8520348482</ns0:v>
      </ns0:c>
      <ns0:c r="AA665" s="7">
        <ns0:f>IF(T665&gt;=0,A665,1001)</ns0:f>
        <ns0:v>661</ns0:v>
      </ns0:c>
      <ns0:c r="AB665" s="7">
        <ns0:f>IF(T665&lt;0,A665,0)</ns0:f>
        <ns0:v>0</ns0:v>
      </ns0:c>
      <ns0:c r="AC665" s="16">
        <ns0:f>IF(AND(OR('前提と出典'!$C$36+'前提と出典'!$C$38=0,R665&gt;=0),OR('前提と出典'!$C$37+'前提と出典'!$C$38=0,S665&gt;=0)),0,A665)</ns0:f>
        <ns0:v>0</ns0:v>
      </ns0:c>
      <ns0:c r="AD665" s="7">
        <ns0:f>IF(W665&gt;=0,A665,1001)</ns0:f>
        <ns0:v>661</ns0:v>
      </ns0:c>
      <ns0:c r="AE665" s="7">
        <ns0:f>IF(W665&lt;0,A665,0)</ns0:f>
        <ns0:v>0</ns0:v>
      </ns0:c>
      <ns0:c r="AF665" s="16">
        <ns0:f>IF(AND(OR('前提と出典'!$C$36+'前提と出典'!$C$38=0,U665&gt;=0),OR('前提と出典'!$C$37+'前提と出典'!$C$38=0,V665&gt;=0)),0,A665)</ns0:f>
        <ns0:v>0</ns0:v>
      </ns0:c>
      <ns0:c r="AG665" s="7">
        <ns0:f>IF(Z665&gt;=0,A665,1001)</ns0:f>
        <ns0:v>661</ns0:v>
      </ns0:c>
      <ns0:c r="AH665" s="4">
        <ns0:f>IF(Z665&lt;0,A665,0)</ns0:f>
        <ns0:v>0</ns0:v>
      </ns0:c>
      <ns0:c r="AI665" s="12">
        <ns0:f>IF(AND(OR('前提と出典'!$C$36+'前提と出典'!$C$38=0,X665&gt;=0),OR('前提と出典'!$C$37+'前提と出典'!$C$38=0,Y665&gt;=0)),0,A665)</ns0:f>
        <ns0:v>0</ns0:v>
      </ns0:c>
    </ns0:row>
    <ns0:row r="666" ht="24" customHeight="1">
      <ns0:c r="A666" s="4" t="n">
        <ns0:v>662</ns0:v>
      </ns0:c>
      <ns0:c r="B666" s="12">
        <ns0:f>A666*('前提と出典'!$C$36+'前提と出典'!$C$38)</ns0:f>
        <ns0:v>463.4</ns0:v>
      </ns0:c>
      <ns0:c r="C666" s="12">
        <ns0:f>A666*('前提と出典'!$C$37+'前提と出典'!$C$38)</ns0:f>
        <ns0:v>397.2</ns0:v>
      </ns0:c>
      <ns0:c r="D666" s="16">
        <ns0:f>A666*('前提と出典'!$C$36*'契約別単価'!C5+'前提と出典'!$C$37*'契約別単価'!C6+'前提と出典'!$C$38*'契約別単価'!C7)</ns0:f>
        <ns0:v>4763.441340782123</ns0:v>
      </ns0:c>
      <ns0:c r="E666" s="16">
        <ns0:f>A666*('前提と出典'!$C$36*'契約別単価'!E5+'前提と出典'!$C$37*'契約別単価'!E6+'前提と出典'!$C$38*'契約別単価'!E7)</ns0:f>
        <ns0:v>1664183.8751854845</ns0:v>
      </ns0:c>
      <ns0:c r="F666" s="16">
        <ns0:f>A666*('前提と出典'!$C$36*'契約別単価'!F5+'前提と出典'!$C$37*'契約別単価'!F6+'前提と出典'!$C$38*'契約別単価'!F7)</ns0:f>
        <ns0:v>483569.2951353933</ns0:v>
      </ns0:c>
      <ns0:c r="G666" s="16">
        <ns0:f>A666*('前提と出典'!$C$36*'契約別単価'!G5+'前提と出典'!$C$37*'契約別単価'!G6+'前提と出典'!$C$38*'契約別単価'!G7)</ns0:f>
        <ns0:v>1317712.8491620112</ns0:v>
      </ns0:c>
      <ns0:c r="H666" s="16">
        <ns0:f>A666*('前提と出典'!$C$36*'契約別単価'!H5+'前提と出典'!$C$37*'契約別単価'!H6+'前提と出典'!$C$38*'契約別単価'!H7)</ns0:f>
        <ns0:v>457312.4471519608</ns0:v>
      </ns0:c>
      <ns0:c r="I666" s="16">
        <ns0:f>A666*('前提と出典'!$C$36*'契約別単価'!I5+'前提と出典'!$C$37*'契約別単価'!I6+'前提と出典'!$C$38*'契約別単価'!I7)</ns0:f>
        <ns0:v>27933.44134078212</ns0:v>
      </ns0:c>
      <ns0:c r="J666" s="16">
        <ns0:f>A666*('前提と出典'!$C$36*'契約別単価'!J5+'前提と出典'!$C$37*'契約別単価'!J6+'前提と出典'!$C$38*'契約別単価'!J7)</ns0:f>
        <ns0:v>65067.6779362203</ns0:v>
      </ns0:c>
      <ns0:c r="K666" s="16">
        <ns0:f>A666*('前提と出典'!$C$36*'契約別単価'!K5+'前提と出典'!$C$37*'契約別単価'!K6+'前提と出典'!$C$38*'契約別単価'!K7)</ns0:f>
        <ns0:v>278902.9422718808</ns0:v>
      </ns0:c>
      <ns0:c r="L666" s="16">
        <ns0:f>A666*('前提と出典'!$C$36*'契約別単価'!L5+'前提と出典'!$C$37*'契約別単価'!L6+'前提と出典'!$C$38*'契約別単価'!L7)</ns0:f>
        <ns0:v>227083.7482383987</ns0:v>
      </ns0:c>
      <ns0:c r="M666" s="16">
        <ns0:f>IF(('前提と出典'!$C$36+'前提と出典'!$C$38)=0,0,IF(B666&lt;=10,'前提と出典'!B73+'前提と出典'!C73,IF(B666&lt;=100,'前提と出典'!B74+'前提と出典'!C74,IF(B666&lt;=500,'前提と出典'!B75+'前提と出典'!C75,'前提と出典'!B76+'前提と出典'!C76))))</ns0:f>
        <ns0:v>40000</ns0:v>
      </ns0:c>
      <ns0:c r="N666" s="16">
        <ns0:f>IF(('前提と出典'!$C$37+'前提と出典'!$C$38)=0,0,IF(C666&lt;=10,'前提と出典'!D73+'前提と出典'!E73,IF(C666&lt;=100,'前提と出典'!D74+'前提と出典'!E74,IF(C666&lt;=500,'前提と出典'!D75+'前提と出典'!E75,'前提と出典'!D76+'前提と出典'!E76))))</ns0:f>
        <ns0:v>56510.9346263078</ns0:v>
      </ns0:c>
      <ns0:c r="O666" s="16">
        <ns0:f>IF('前提と出典'!$C$36+'前提と出典'!$C$38=0,0,'前提と出典'!$B$4*IF('前提と出典'!$B$20=0,MAX('前提と出典'!$B$6,D666*'前提と出典'!$B$5),'前提と出典'!$B$6+D666*'前提と出典'!$B$5))</ns0:f>
        <ns0:v>657354.9050279331</ns0:v>
      </ns0:c>
      <ns0:c r="P666" s="16">
        <ns0:f>(E666+G666)*(1-'前提と出典'!$B$7)-I666-K666-M666-O666</ns0:f>
        <ns0:v>1870357.15363039</ns0:v>
      </ns0:c>
      <ns0:c r="Q666" s="16">
        <ns0:f>(F666+H666)*(1-'前提と出典'!$B$7)-J666-L666-N666</ns0:f>
        <ns0:v>558347.6387640826</ns0:v>
      </ns0:c>
      <ns0:c r="R666" s="16">
        <ns0:f>P666-E666*'前提と出典'!$E$4</ns0:f>
        <ns0:v>1371101.9910747446</ns0:v>
      </ns0:c>
      <ns0:c r="S666" s="16">
        <ns0:f>Q666-F666*'前提と出典'!$E$4</ns0:f>
        <ns0:v>413276.85022346454</ns0:v>
      </ns0:c>
      <ns0:c r="T666" s="7">
        <ns0:f>R666+S666</ns0:f>
        <ns0:v>1784378.841298209</ns0:v>
      </ns0:c>
      <ns0:c r="U666" s="16">
        <ns0:f>P666-E666*'前提と出典'!$E$5</ns0:f>
        <ns0:v>1204683.6035561962</ns0:v>
      </ns0:c>
      <ns0:c r="V666" s="16">
        <ns0:f>Q666-F666*'前提と出典'!$E$5</ns0:f>
        <ns0:v>364919.92070992524</ns0:v>
      </ns0:c>
      <ns0:c r="W666" s="7">
        <ns0:f>U666+V666</ns0:f>
        <ns0:v>1569603.5242661214</ns0:v>
      </ns0:c>
      <ns0:c r="X666" s="16">
        <ns0:f>P666-E666*'前提と出典'!$E$6</ns0:f>
        <ns0:v>1038265.2160376474</ns0:v>
      </ns0:c>
      <ns0:c r="Y666" s="16">
        <ns0:f>Q666-F666*'前提と出典'!$E$6</ns0:f>
        <ns0:v>316562.99119638593</ns0:v>
      </ns0:c>
      <ns0:c r="Z666" s="7">
        <ns0:f>X666+Y666</ns0:f>
        <ns0:v>1354828.2072340334</ns0:v>
      </ns0:c>
      <ns0:c r="AA666" s="7">
        <ns0:f>IF(T666&gt;=0,A666,1001)</ns0:f>
        <ns0:v>662</ns0:v>
      </ns0:c>
      <ns0:c r="AB666" s="7">
        <ns0:f>IF(T666&lt;0,A666,0)</ns0:f>
        <ns0:v>0</ns0:v>
      </ns0:c>
      <ns0:c r="AC666" s="16">
        <ns0:f>IF(AND(OR('前提と出典'!$C$36+'前提と出典'!$C$38=0,R666&gt;=0),OR('前提と出典'!$C$37+'前提と出典'!$C$38=0,S666&gt;=0)),0,A666)</ns0:f>
        <ns0:v>0</ns0:v>
      </ns0:c>
      <ns0:c r="AD666" s="7">
        <ns0:f>IF(W666&gt;=0,A666,1001)</ns0:f>
        <ns0:v>662</ns0:v>
      </ns0:c>
      <ns0:c r="AE666" s="7">
        <ns0:f>IF(W666&lt;0,A666,0)</ns0:f>
        <ns0:v>0</ns0:v>
      </ns0:c>
      <ns0:c r="AF666" s="16">
        <ns0:f>IF(AND(OR('前提と出典'!$C$36+'前提と出典'!$C$38=0,U666&gt;=0),OR('前提と出典'!$C$37+'前提と出典'!$C$38=0,V666&gt;=0)),0,A666)</ns0:f>
        <ns0:v>0</ns0:v>
      </ns0:c>
      <ns0:c r="AG666" s="7">
        <ns0:f>IF(Z666&gt;=0,A666,1001)</ns0:f>
        <ns0:v>662</ns0:v>
      </ns0:c>
      <ns0:c r="AH666" s="4">
        <ns0:f>IF(Z666&lt;0,A666,0)</ns0:f>
        <ns0:v>0</ns0:v>
      </ns0:c>
      <ns0:c r="AI666" s="12">
        <ns0:f>IF(AND(OR('前提と出典'!$C$36+'前提と出典'!$C$38=0,X666&gt;=0),OR('前提と出典'!$C$37+'前提と出典'!$C$38=0,Y666&gt;=0)),0,A666)</ns0:f>
        <ns0:v>0</ns0:v>
      </ns0:c>
    </ns0:row>
    <ns0:row r="667" ht="24" customHeight="1">
      <ns0:c r="A667" s="4" t="n">
        <ns0:v>663</ns0:v>
      </ns0:c>
      <ns0:c r="B667" s="12">
        <ns0:f>A667*('前提と出典'!$C$36+'前提と出典'!$C$38)</ns0:f>
        <ns0:v>464.09999999999997</ns0:v>
      </ns0:c>
      <ns0:c r="C667" s="12">
        <ns0:f>A667*('前提と出典'!$C$37+'前提と出典'!$C$38)</ns0:f>
        <ns0:v>397.8</ns0:v>
      </ns0:c>
      <ns0:c r="D667" s="16">
        <ns0:f>A667*('前提と出典'!$C$36*'契約別単価'!C5+'前提と出典'!$C$37*'契約別単価'!C6+'前提と出典'!$C$38*'契約別単価'!C7)</ns0:f>
        <ns0:v>4770.63687150838</ns0:v>
      </ns0:c>
      <ns0:c r="E667" s="16">
        <ns0:f>A667*('前提と出典'!$C$36*'契約別単価'!E5+'前提と出典'!$C$37*'契約別単価'!E6+'前提と出典'!$C$38*'契約別単価'!E7)</ns0:f>
        <ns0:v>1666697.7481087255</ns0:v>
      </ns0:c>
      <ns0:c r="F667" s="16">
        <ns0:f>A667*('前提と出典'!$C$36*'契約別単価'!F5+'前提と出典'!$C$37*'契約別単価'!F6+'前提と出典'!$C$38*'契約別単価'!F7)</ns0:f>
        <ns0:v>484299.76234858873</ns0:v>
      </ns0:c>
      <ns0:c r="G667" s="16">
        <ns0:f>A667*('前提と出典'!$C$36*'契約別単価'!G5+'前提と出典'!$C$37*'契約別単価'!G6+'前提と出典'!$C$38*'契約別単価'!G7)</ns0:f>
        <ns0:v>1319703.3519553072</ns0:v>
      </ns0:c>
      <ns0:c r="H667" s="16">
        <ns0:f>A667*('前提と出典'!$C$36*'契約別単価'!H5+'前提と出典'!$C$37*'契約別単価'!H6+'前提と出典'!$C$38*'契約別単価'!H7)</ns0:f>
        <ns0:v>458003.2514527946</ns0:v>
      </ns0:c>
      <ns0:c r="I667" s="16">
        <ns0:f>A667*('前提と出典'!$C$36*'契約別単価'!I5+'前提と出典'!$C$37*'契約別単価'!I6+'前提と出典'!$C$38*'契約別単価'!I7)</ns0:f>
        <ns0:v>27975.636871508374</ns0:v>
      </ns0:c>
      <ns0:c r="J667" s="16">
        <ns0:f>A667*('前提と出典'!$C$36*'契約別単価'!J5+'前提と出典'!$C$37*'契約別単価'!J6+'前提と出典'!$C$38*'契約別単価'!J7)</ns0:f>
        <ns0:v>65165.9674799306</ns0:v>
      </ns0:c>
      <ns0:c r="K667" s="16">
        <ns0:f>A667*('前提と出典'!$C$36*'契約別単価'!K5+'前提と出典'!$C$37*'契約別単価'!K6+'前提と出典'!$C$38*'契約別単価'!K7)</ns0:f>
        <ns0:v>279324.2458100559</ns0:v>
      </ns0:c>
      <ns0:c r="L667" s="16">
        <ns0:f>A667*('前提と出典'!$C$36*'契約別単価'!L5+'前提と出典'!$C$37*'契約別単価'!L6+'前提と出典'!$C$38*'契約別単価'!L7)</ns0:f>
        <ns0:v>227426.77504842647</ns0:v>
      </ns0:c>
      <ns0:c r="M667" s="16">
        <ns0:f>IF(('前提と出典'!$C$36+'前提と出典'!$C$38)=0,0,IF(B667&lt;=10,'前提と出典'!B73+'前提と出典'!C73,IF(B667&lt;=100,'前提と出典'!B74+'前提と出典'!C74,IF(B667&lt;=500,'前提と出典'!B75+'前提と出典'!C75,'前提と出典'!B76+'前提と出典'!C76))))</ns0:f>
        <ns0:v>40000</ns0:v>
      </ns0:c>
      <ns0:c r="N667" s="16">
        <ns0:f>IF(('前提と出典'!$C$37+'前提と出典'!$C$38)=0,0,IF(C667&lt;=10,'前提と出典'!D73+'前提と出典'!E73,IF(C667&lt;=100,'前提と出典'!D74+'前提と出典'!E74,IF(C667&lt;=500,'前提と出典'!D75+'前提と出典'!E75,'前提と出典'!D76+'前提と出典'!E76))))</ns0:f>
        <ns0:v>56510.9346263078</ns0:v>
      </ns0:c>
      <ns0:c r="O667" s="16">
        <ns0:f>IF('前提と出典'!$C$36+'前提と出典'!$C$38=0,0,'前提と出典'!$B$4*IF('前提と出典'!$B$20=0,MAX('前提と出典'!$B$6,D667*'前提と出典'!$B$5),'前提と出典'!$B$6+D667*'前提と出典'!$B$5))</ns0:f>
        <ns0:v>658347.8882681566</ns0:v>
      </ns0:c>
      <ns0:c r="P667" s="16">
        <ns0:f>(E667+G667)*(1-'前提と出典'!$B$7)-I667-K667-M667-O667</ns0:f>
        <ns0:v>1873242.889512007</ns0:v>
      </ns0:c>
      <ns0:c r="Q667" s="16">
        <ns0:f>(F667+H667)*(1-'前提と出典'!$B$7)-J667-L667-N667</ns0:f>
        <ns0:v>559276.4281498686</ns0:v>
      </ns0:c>
      <ns0:c r="R667" s="16">
        <ns0:f>P667-E667*'前提と出典'!$E$4</ns0:f>
        <ns0:v>1373233.5650793891</ns0:v>
      </ns0:c>
      <ns0:c r="S667" s="16">
        <ns0:f>Q667-F667*'前提と出典'!$E$4</ns0:f>
        <ns0:v>413986.49944529205</ns0:v>
      </ns0:c>
      <ns0:c r="T667" s="7">
        <ns0:f>R667+S667</ns0:f>
        <ns0:v>1787220.0645246813</ns0:v>
      </ns0:c>
      <ns0:c r="U667" s="16">
        <ns0:f>P667-E667*'前提と出典'!$E$5</ns0:f>
        <ns0:v>1206563.7902685166</ns0:v>
      </ns0:c>
      <ns0:c r="V667" s="16">
        <ns0:f>Q667-F667*'前提と出典'!$E$5</ns0:f>
        <ns0:v>365556.5232104331</ns0:v>
      </ns0:c>
      <ns0:c r="W667" s="7">
        <ns0:f>U667+V667</ns0:f>
        <ns0:v>1572120.3134789497</ns0:v>
      </ns0:c>
      <ns0:c r="X667" s="16">
        <ns0:f>P667-E667*'前提と出典'!$E$6</ns0:f>
        <ns0:v>1039894.0154576438</ns0:v>
      </ns0:c>
      <ns0:c r="Y667" s="16">
        <ns0:f>Q667-F667*'前提と出典'!$E$6</ns0:f>
        <ns0:v>317126.5469755742</ns0:v>
      </ns0:c>
      <ns0:c r="Z667" s="7">
        <ns0:f>X667+Y667</ns0:f>
        <ns0:v>1357020.5624332181</ns0:v>
      </ns0:c>
      <ns0:c r="AA667" s="7">
        <ns0:f>IF(T667&gt;=0,A667,1001)</ns0:f>
        <ns0:v>663</ns0:v>
      </ns0:c>
      <ns0:c r="AB667" s="7">
        <ns0:f>IF(T667&lt;0,A667,0)</ns0:f>
        <ns0:v>0</ns0:v>
      </ns0:c>
      <ns0:c r="AC667" s="16">
        <ns0:f>IF(AND(OR('前提と出典'!$C$36+'前提と出典'!$C$38=0,R667&gt;=0),OR('前提と出典'!$C$37+'前提と出典'!$C$38=0,S667&gt;=0)),0,A667)</ns0:f>
        <ns0:v>0</ns0:v>
      </ns0:c>
      <ns0:c r="AD667" s="7">
        <ns0:f>IF(W667&gt;=0,A667,1001)</ns0:f>
        <ns0:v>663</ns0:v>
      </ns0:c>
      <ns0:c r="AE667" s="7">
        <ns0:f>IF(W667&lt;0,A667,0)</ns0:f>
        <ns0:v>0</ns0:v>
      </ns0:c>
      <ns0:c r="AF667" s="16">
        <ns0:f>IF(AND(OR('前提と出典'!$C$36+'前提と出典'!$C$38=0,U667&gt;=0),OR('前提と出典'!$C$37+'前提と出典'!$C$38=0,V667&gt;=0)),0,A667)</ns0:f>
        <ns0:v>0</ns0:v>
      </ns0:c>
      <ns0:c r="AG667" s="7">
        <ns0:f>IF(Z667&gt;=0,A667,1001)</ns0:f>
        <ns0:v>663</ns0:v>
      </ns0:c>
      <ns0:c r="AH667" s="4">
        <ns0:f>IF(Z667&lt;0,A667,0)</ns0:f>
        <ns0:v>0</ns0:v>
      </ns0:c>
      <ns0:c r="AI667" s="12">
        <ns0:f>IF(AND(OR('前提と出典'!$C$36+'前提と出典'!$C$38=0,X667&gt;=0),OR('前提と出典'!$C$37+'前提と出典'!$C$38=0,Y667&gt;=0)),0,A667)</ns0:f>
        <ns0:v>0</ns0:v>
      </ns0:c>
    </ns0:row>
    <ns0:row r="668" ht="24" customHeight="1">
      <ns0:c r="A668" s="4" t="n">
        <ns0:v>664</ns0:v>
      </ns0:c>
      <ns0:c r="B668" s="12">
        <ns0:f>A668*('前提と出典'!$C$36+'前提と出典'!$C$38)</ns0:f>
        <ns0:v>464.79999999999995</ns0:v>
      </ns0:c>
      <ns0:c r="C668" s="12">
        <ns0:f>A668*('前提と出典'!$C$37+'前提と出典'!$C$38)</ns0:f>
        <ns0:v>398.4</ns0:v>
      </ns0:c>
      <ns0:c r="D668" s="16">
        <ns0:f>A668*('前提と出典'!$C$36*'契約別単価'!C5+'前提と出典'!$C$37*'契約別単価'!C6+'前提と出典'!$C$38*'契約別単価'!C7)</ns0:f>
        <ns0:v>4777.832402234637</ns0:v>
      </ns0:c>
      <ns0:c r="E668" s="16">
        <ns0:f>A668*('前提と出典'!$C$36*'契約別単価'!E5+'前提と出典'!$C$37*'契約別単価'!E6+'前提と出典'!$C$38*'契約別単価'!E7)</ns0:f>
        <ns0:v>1669211.6210319663</ns0:v>
      </ns0:c>
      <ns0:c r="F668" s="16">
        <ns0:f>A668*('前提と出典'!$C$36*'契約別単価'!F5+'前提と出典'!$C$37*'契約別単価'!F6+'前提と出典'!$C$38*'契約別単価'!F7)</ns0:f>
        <ns0:v>485030.2295617842</ns0:v>
      </ns0:c>
      <ns0:c r="G668" s="16">
        <ns0:f>A668*('前提と出典'!$C$36*'契約別単価'!G5+'前提と出典'!$C$37*'契約別単価'!G6+'前提と出典'!$C$38*'契約別単価'!G7)</ns0:f>
        <ns0:v>1321693.8547486032</ns0:v>
      </ns0:c>
      <ns0:c r="H668" s="16">
        <ns0:f>A668*('前提と出典'!$C$36*'契約別単価'!H5+'前提と出典'!$C$37*'契約別単価'!H6+'前提と出典'!$C$38*'契約別単価'!H7)</ns0:f>
        <ns0:v>458694.0557536284</ns0:v>
      </ns0:c>
      <ns0:c r="I668" s="16">
        <ns0:f>A668*('前提と出典'!$C$36*'契約別単価'!I5+'前提と出典'!$C$37*'契約別単価'!I6+'前提と出典'!$C$38*'契約別単価'!I7)</ns0:f>
        <ns0:v>28017.83240223463</ns0:v>
      </ns0:c>
      <ns0:c r="J668" s="16">
        <ns0:f>A668*('前提と出典'!$C$36*'契約別単価'!J5+'前提と出典'!$C$37*'契約別単価'!J6+'前提と出典'!$C$38*'契約別単価'!J7)</ns0:f>
        <ns0:v>65264.2570236409</ns0:v>
      </ns0:c>
      <ns0:c r="K668" s="16">
        <ns0:f>A668*('前提と出典'!$C$36*'契約別単価'!K5+'前提と出典'!$C$37*'契約別単価'!K6+'前提と出典'!$C$38*'契約別単価'!K7)</ns0:f>
        <ns0:v>279745.5493482309</ns0:v>
      </ns0:c>
      <ns0:c r="L668" s="16">
        <ns0:f>A668*('前提と出典'!$C$36*'契約別単価'!L5+'前提と出典'!$C$37*'契約別単価'!L6+'前提と出典'!$C$38*'契約別単価'!L7)</ns0:f>
        <ns0:v>227769.80185845427</ns0:v>
      </ns0:c>
      <ns0:c r="M668" s="16">
        <ns0:f>IF(('前提と出典'!$C$36+'前提と出典'!$C$38)=0,0,IF(B668&lt;=10,'前提と出典'!B73+'前提と出典'!C73,IF(B668&lt;=100,'前提と出典'!B74+'前提と出典'!C74,IF(B668&lt;=500,'前提と出典'!B75+'前提と出典'!C75,'前提と出典'!B76+'前提と出典'!C76))))</ns0:f>
        <ns0:v>40000</ns0:v>
      </ns0:c>
      <ns0:c r="N668" s="16">
        <ns0:f>IF(('前提と出典'!$C$37+'前提と出典'!$C$38)=0,0,IF(C668&lt;=10,'前提と出典'!D73+'前提と出典'!E73,IF(C668&lt;=100,'前提と出典'!D74+'前提と出典'!E74,IF(C668&lt;=500,'前提と出典'!D75+'前提と出典'!E75,'前提と出典'!D76+'前提と出典'!E76))))</ns0:f>
        <ns0:v>56510.9346263078</ns0:v>
      </ns0:c>
      <ns0:c r="O668" s="16">
        <ns0:f>IF('前提と出典'!$C$36+'前提と出典'!$C$38=0,0,'前提と出典'!$B$4*IF('前提と出典'!$B$20=0,MAX('前提と出典'!$B$6,D668*'前提と出典'!$B$5),'前提と出典'!$B$6+D668*'前提と出典'!$B$5))</ns0:f>
        <ns0:v>659340.8715083798</ns0:v>
      </ns0:c>
      <ns0:c r="P668" s="16">
        <ns0:f>(E668+G668)*(1-'前提と出典'!$B$7)-I668-K668-M668-O668</ns0:f>
        <ns0:v>1876128.6253936235</ns0:v>
      </ns0:c>
      <ns0:c r="Q668" s="16">
        <ns0:f>(F668+H668)*(1-'前提と出典'!$B$7)-J668-L668-N668</ns0:f>
        <ns0:v>560205.2175356548</ns0:v>
      </ns0:c>
      <ns0:c r="R668" s="16">
        <ns0:f>P668-E668*'前提と出典'!$E$4</ns0:f>
        <ns0:v>1375365.1390840337</ns0:v>
      </ns0:c>
      <ns0:c r="S668" s="16">
        <ns0:f>Q668-F668*'前提と出典'!$E$4</ns0:f>
        <ns0:v>414696.14866711956</ns0:v>
      </ns0:c>
      <ns0:c r="T668" s="7">
        <ns0:f>R668+S668</ns0:f>
        <ns0:v>1790061.287751153</ns0:v>
      </ns0:c>
      <ns0:c r="U668" s="16">
        <ns0:f>P668-E668*'前提と出典'!$E$5</ns0:f>
        <ns0:v>1208443.976980837</ns0:v>
      </ns0:c>
      <ns0:c r="V668" s="16">
        <ns0:f>Q668-F668*'前提と出典'!$E$5</ns0:f>
        <ns0:v>366193.12571094115</ns0:v>
      </ns0:c>
      <ns0:c r="W668" s="7">
        <ns0:f>U668+V668</ns0:f>
        <ns0:v>1574637.1026917782</ns0:v>
      </ns0:c>
      <ns0:c r="X668" s="16">
        <ns0:f>P668-E668*'前提と出典'!$E$6</ns0:f>
        <ns0:v>1041522.8148776406</ns0:v>
      </ns0:c>
      <ns0:c r="Y668" s="16">
        <ns0:f>Q668-F668*'前提と出典'!$E$6</ns0:f>
        <ns0:v>317690.1027547626</ns0:v>
      </ns0:c>
      <ns0:c r="Z668" s="7">
        <ns0:f>X668+Y668</ns0:f>
        <ns0:v>1359212.9176324033</ns0:v>
      </ns0:c>
      <ns0:c r="AA668" s="7">
        <ns0:f>IF(T668&gt;=0,A668,1001)</ns0:f>
        <ns0:v>664</ns0:v>
      </ns0:c>
      <ns0:c r="AB668" s="7">
        <ns0:f>IF(T668&lt;0,A668,0)</ns0:f>
        <ns0:v>0</ns0:v>
      </ns0:c>
      <ns0:c r="AC668" s="16">
        <ns0:f>IF(AND(OR('前提と出典'!$C$36+'前提と出典'!$C$38=0,R668&gt;=0),OR('前提と出典'!$C$37+'前提と出典'!$C$38=0,S668&gt;=0)),0,A668)</ns0:f>
        <ns0:v>0</ns0:v>
      </ns0:c>
      <ns0:c r="AD668" s="7">
        <ns0:f>IF(W668&gt;=0,A668,1001)</ns0:f>
        <ns0:v>664</ns0:v>
      </ns0:c>
      <ns0:c r="AE668" s="7">
        <ns0:f>IF(W668&lt;0,A668,0)</ns0:f>
        <ns0:v>0</ns0:v>
      </ns0:c>
      <ns0:c r="AF668" s="16">
        <ns0:f>IF(AND(OR('前提と出典'!$C$36+'前提と出典'!$C$38=0,U668&gt;=0),OR('前提と出典'!$C$37+'前提と出典'!$C$38=0,V668&gt;=0)),0,A668)</ns0:f>
        <ns0:v>0</ns0:v>
      </ns0:c>
      <ns0:c r="AG668" s="7">
        <ns0:f>IF(Z668&gt;=0,A668,1001)</ns0:f>
        <ns0:v>664</ns0:v>
      </ns0:c>
      <ns0:c r="AH668" s="4">
        <ns0:f>IF(Z668&lt;0,A668,0)</ns0:f>
        <ns0:v>0</ns0:v>
      </ns0:c>
      <ns0:c r="AI668" s="12">
        <ns0:f>IF(AND(OR('前提と出典'!$C$36+'前提と出典'!$C$38=0,X668&gt;=0),OR('前提と出典'!$C$37+'前提と出典'!$C$38=0,Y668&gt;=0)),0,A668)</ns0:f>
        <ns0:v>0</ns0:v>
      </ns0:c>
    </ns0:row>
    <ns0:row r="669" ht="24" customHeight="1">
      <ns0:c r="A669" s="4" t="n">
        <ns0:v>665</ns0:v>
      </ns0:c>
      <ns0:c r="B669" s="12">
        <ns0:f>A669*('前提と出典'!$C$36+'前提と出典'!$C$38)</ns0:f>
        <ns0:v>465.49999999999994</ns0:v>
      </ns0:c>
      <ns0:c r="C669" s="12">
        <ns0:f>A669*('前提と出典'!$C$37+'前提と出典'!$C$38)</ns0:f>
        <ns0:v>399</ns0:v>
      </ns0:c>
      <ns0:c r="D669" s="16">
        <ns0:f>A669*('前提と出典'!$C$36*'契約別単価'!C5+'前提と出典'!$C$37*'契約別単価'!C6+'前提と出典'!$C$38*'契約別単価'!C7)</ns0:f>
        <ns0:v>4785.027932960894</ns0:v>
      </ns0:c>
      <ns0:c r="E669" s="16">
        <ns0:f>A669*('前提と出典'!$C$36*'契約別単価'!E5+'前提と出典'!$C$37*'契約別単価'!E6+'前提と出典'!$C$38*'契約別単価'!E7)</ns0:f>
        <ns0:v>1671725.4939552073</ns0:v>
      </ns0:c>
      <ns0:c r="F669" s="16">
        <ns0:f>A669*('前提と出典'!$C$36*'契約別単価'!F5+'前提と出典'!$C$37*'契約別単価'!F6+'前提と出典'!$C$38*'契約別単価'!F7)</ns0:f>
        <ns0:v>485760.69677497965</ns0:v>
      </ns0:c>
      <ns0:c r="G669" s="16">
        <ns0:f>A669*('前提と出典'!$C$36*'契約別単価'!G5+'前提と出典'!$C$37*'契約別単価'!G6+'前提と出典'!$C$38*'契約別単価'!G7)</ns0:f>
        <ns0:v>1323684.3575418994</ns0:v>
      </ns0:c>
      <ns0:c r="H669" s="16">
        <ns0:f>A669*('前提と出典'!$C$36*'契約別単価'!H5+'前提と出典'!$C$37*'契約別単価'!H6+'前提と出典'!$C$38*'契約別単価'!H7)</ns0:f>
        <ns0:v>459384.86005446216</ns0:v>
      </ns0:c>
      <ns0:c r="I669" s="16">
        <ns0:f>A669*('前提と出典'!$C$36*'契約別単価'!I5+'前提と出典'!$C$37*'契約別単価'!I6+'前提と出典'!$C$38*'契約別単価'!I7)</ns0:f>
        <ns0:v>28060.02793296089</ns0:v>
      </ns0:c>
      <ns0:c r="J669" s="16">
        <ns0:f>A669*('前提と出典'!$C$36*'契約別単価'!J5+'前提と出典'!$C$37*'契約別単価'!J6+'前提と出典'!$C$38*'契約別単価'!J7)</ns0:f>
        <ns0:v>65362.54656735121</ns0:v>
      </ns0:c>
      <ns0:c r="K669" s="16">
        <ns0:f>A669*('前提と出典'!$C$36*'契約別単価'!K5+'前提と出典'!$C$37*'契約別単価'!K6+'前提と出典'!$C$38*'契約別単価'!K7)</ns0:f>
        <ns0:v>280166.85288640595</ns0:v>
      </ns0:c>
      <ns0:c r="L669" s="16">
        <ns0:f>A669*('前提と出典'!$C$36*'契約別単価'!L5+'前提と出典'!$C$37*'契約別単価'!L6+'前提と出典'!$C$38*'契約別単価'!L7)</ns0:f>
        <ns0:v>228112.82866848208</ns0:v>
      </ns0:c>
      <ns0:c r="M669" s="16">
        <ns0:f>IF(('前提と出典'!$C$36+'前提と出典'!$C$38)=0,0,IF(B669&lt;=10,'前提と出典'!B73+'前提と出典'!C73,IF(B669&lt;=100,'前提と出典'!B74+'前提と出典'!C74,IF(B669&lt;=500,'前提と出典'!B75+'前提と出典'!C75,'前提と出典'!B76+'前提と出典'!C76))))</ns0:f>
        <ns0:v>40000</ns0:v>
      </ns0:c>
      <ns0:c r="N669" s="16">
        <ns0:f>IF(('前提と出典'!$C$37+'前提と出典'!$C$38)=0,0,IF(C669&lt;=10,'前提と出典'!D73+'前提と出典'!E73,IF(C669&lt;=100,'前提と出典'!D74+'前提と出典'!E74,IF(C669&lt;=500,'前提と出典'!D75+'前提と出典'!E75,'前提と出典'!D76+'前提と出典'!E76))))</ns0:f>
        <ns0:v>56510.9346263078</ns0:v>
      </ns0:c>
      <ns0:c r="O669" s="16">
        <ns0:f>IF('前提と出典'!$C$36+'前提と出典'!$C$38=0,0,'前提と出典'!$B$4*IF('前提と出典'!$B$20=0,MAX('前提と出典'!$B$6,D669*'前提と出典'!$B$5),'前提と出典'!$B$6+D669*'前提と出典'!$B$5))</ns0:f>
        <ns0:v>660333.8547486033</ns0:v>
      </ns0:c>
      <ns0:c r="P669" s="16">
        <ns0:f>(E669+G669)*(1-'前提と出典'!$B$7)-I669-K669-M669-O669</ns0:f>
        <ns0:v>1879014.3612752408</ns0:v>
      </ns0:c>
      <ns0:c r="Q669" s="16">
        <ns0:f>(F669+H669)*(1-'前提と出典'!$B$7)-J669-L669-N669</ns0:f>
        <ns0:v>561134.0069214408</ns0:v>
      </ns0:c>
      <ns0:c r="R669" s="16">
        <ns0:f>P669-E669*'前提と出典'!$E$4</ns0:f>
        <ns0:v>1377496.7130886787</ns0:v>
      </ns0:c>
      <ns0:c r="S669" s="16">
        <ns0:f>Q669-F669*'前提と出典'!$E$4</ns0:f>
        <ns0:v>415405.7978889469</ns0:v>
      </ns0:c>
      <ns0:c r="T669" s="7">
        <ns0:f>R669+S669</ns0:f>
        <ns0:v>1792902.5109776256</ns0:v>
      </ns0:c>
      <ns0:c r="U669" s="16">
        <ns0:f>P669-E669*'前提と出典'!$E$5</ns0:f>
        <ns0:v>1210324.163693158</ns0:v>
      </ns0:c>
      <ns0:c r="V669" s="16">
        <ns0:f>Q669-F669*'前提と出典'!$E$5</ns0:f>
        <ns0:v>366829.72821144894</ns0:v>
      </ns0:c>
      <ns0:c r="W669" s="7">
        <ns0:f>U669+V669</ns0:f>
        <ns0:v>1577153.891904607</ns0:v>
      </ns0:c>
      <ns0:c r="X669" s="16">
        <ns0:f>P669-E669*'前提と出典'!$E$6</ns0:f>
        <ns0:v>1043151.6142976371</ns0:v>
      </ns0:c>
      <ns0:c r="Y669" s="16">
        <ns0:f>Q669-F669*'前提と出典'!$E$6</ns0:f>
        <ns0:v>318253.658533951</ns0:v>
      </ns0:c>
      <ns0:c r="Z669" s="7">
        <ns0:f>X669+Y669</ns0:f>
        <ns0:v>1361405.272831588</ns0:v>
      </ns0:c>
      <ns0:c r="AA669" s="7">
        <ns0:f>IF(T669&gt;=0,A669,1001)</ns0:f>
        <ns0:v>665</ns0:v>
      </ns0:c>
      <ns0:c r="AB669" s="7">
        <ns0:f>IF(T669&lt;0,A669,0)</ns0:f>
        <ns0:v>0</ns0:v>
      </ns0:c>
      <ns0:c r="AC669" s="16">
        <ns0:f>IF(AND(OR('前提と出典'!$C$36+'前提と出典'!$C$38=0,R669&gt;=0),OR('前提と出典'!$C$37+'前提と出典'!$C$38=0,S669&gt;=0)),0,A669)</ns0:f>
        <ns0:v>0</ns0:v>
      </ns0:c>
      <ns0:c r="AD669" s="7">
        <ns0:f>IF(W669&gt;=0,A669,1001)</ns0:f>
        <ns0:v>665</ns0:v>
      </ns0:c>
      <ns0:c r="AE669" s="7">
        <ns0:f>IF(W669&lt;0,A669,0)</ns0:f>
        <ns0:v>0</ns0:v>
      </ns0:c>
      <ns0:c r="AF669" s="16">
        <ns0:f>IF(AND(OR('前提と出典'!$C$36+'前提と出典'!$C$38=0,U669&gt;=0),OR('前提と出典'!$C$37+'前提と出典'!$C$38=0,V669&gt;=0)),0,A669)</ns0:f>
        <ns0:v>0</ns0:v>
      </ns0:c>
      <ns0:c r="AG669" s="7">
        <ns0:f>IF(Z669&gt;=0,A669,1001)</ns0:f>
        <ns0:v>665</ns0:v>
      </ns0:c>
      <ns0:c r="AH669" s="4">
        <ns0:f>IF(Z669&lt;0,A669,0)</ns0:f>
        <ns0:v>0</ns0:v>
      </ns0:c>
      <ns0:c r="AI669" s="12">
        <ns0:f>IF(AND(OR('前提と出典'!$C$36+'前提と出典'!$C$38=0,X669&gt;=0),OR('前提と出典'!$C$37+'前提と出典'!$C$38=0,Y669&gt;=0)),0,A669)</ns0:f>
        <ns0:v>0</ns0:v>
      </ns0:c>
    </ns0:row>
    <ns0:row r="670" ht="24" customHeight="1">
      <ns0:c r="A670" s="4" t="n">
        <ns0:v>666</ns0:v>
      </ns0:c>
      <ns0:c r="B670" s="12">
        <ns0:f>A670*('前提と出典'!$C$36+'前提と出典'!$C$38)</ns0:f>
        <ns0:v>466.2</ns0:v>
      </ns0:c>
      <ns0:c r="C670" s="12">
        <ns0:f>A670*('前提と出典'!$C$37+'前提と出典'!$C$38)</ns0:f>
        <ns0:v>399.59999999999997</ns0:v>
      </ns0:c>
      <ns0:c r="D670" s="16">
        <ns0:f>A670*('前提と出典'!$C$36*'契約別単価'!C5+'前提と出典'!$C$37*'契約別単価'!C6+'前提と出典'!$C$38*'契約別単価'!C7)</ns0:f>
        <ns0:v>4792.223463687151</ns0:v>
      </ns0:c>
      <ns0:c r="E670" s="16">
        <ns0:f>A670*('前提と出典'!$C$36*'契約別単価'!E5+'前提と出典'!$C$37*'契約別単価'!E6+'前提と出典'!$C$38*'契約別単価'!E7)</ns0:f>
        <ns0:v>1674239.3668784483</ns0:v>
      </ns0:c>
      <ns0:c r="F670" s="16">
        <ns0:f>A670*('前提と出典'!$C$36*'契約別単価'!F5+'前提と出典'!$C$37*'契約別単価'!F6+'前提と出典'!$C$38*'契約別単価'!F7)</ns0:f>
        <ns0:v>486491.16398817516</ns0:v>
      </ns0:c>
      <ns0:c r="G670" s="16">
        <ns0:f>A670*('前提と出典'!$C$36*'契約別単価'!G5+'前提と出典'!$C$37*'契約別単価'!G6+'前提と出典'!$C$38*'契約別単価'!G7)</ns0:f>
        <ns0:v>1325674.8603351954</ns0:v>
      </ns0:c>
      <ns0:c r="H670" s="16">
        <ns0:f>A670*('前提と出典'!$C$36*'契約別単価'!H5+'前提と出典'!$C$37*'契約別単価'!H6+'前提と出典'!$C$38*'契約別単価'!H7)</ns0:f>
        <ns0:v>460075.66435529594</ns0:v>
      </ns0:c>
      <ns0:c r="I670" s="16">
        <ns0:f>A670*('前提と出典'!$C$36*'契約別単価'!I5+'前提と出典'!$C$37*'契約別単価'!I6+'前提と出典'!$C$38*'契約別単価'!I7)</ns0:f>
        <ns0:v>28102.223463687147</ns0:v>
      </ns0:c>
      <ns0:c r="J670" s="16">
        <ns0:f>A670*('前提と出典'!$C$36*'契約別単価'!J5+'前提と出典'!$C$37*'契約別単価'!J6+'前提と出典'!$C$38*'契約別単価'!J7)</ns0:f>
        <ns0:v>65460.83611106151</ns0:v>
      </ns0:c>
      <ns0:c r="K670" s="16">
        <ns0:f>A670*('前提と出典'!$C$36*'契約別単価'!K5+'前提と出典'!$C$37*'契約別単価'!K6+'前提と出典'!$C$38*'契約別単価'!K7)</ns0:f>
        <ns0:v>280588.156424581</ns0:v>
      </ns0:c>
      <ns0:c r="L670" s="16">
        <ns0:f>A670*('前提と出典'!$C$36*'契約別単価'!L5+'前提と出典'!$C$37*'契約別単価'!L6+'前提と出典'!$C$38*'契約別単価'!L7)</ns0:f>
        <ns0:v>228455.85547850985</ns0:v>
      </ns0:c>
      <ns0:c r="M670" s="16">
        <ns0:f>IF(('前提と出典'!$C$36+'前提と出典'!$C$38)=0,0,IF(B670&lt;=10,'前提と出典'!B73+'前提と出典'!C73,IF(B670&lt;=100,'前提と出典'!B74+'前提と出典'!C74,IF(B670&lt;=500,'前提と出典'!B75+'前提と出典'!C75,'前提と出典'!B76+'前提と出典'!C76))))</ns0:f>
        <ns0:v>40000</ns0:v>
      </ns0:c>
      <ns0:c r="N670" s="16">
        <ns0:f>IF(('前提と出典'!$C$37+'前提と出典'!$C$38)=0,0,IF(C670&lt;=10,'前提と出典'!D73+'前提と出典'!E73,IF(C670&lt;=100,'前提と出典'!D74+'前提と出典'!E74,IF(C670&lt;=500,'前提と出典'!D75+'前提と出典'!E75,'前提と出典'!D76+'前提と出典'!E76))))</ns0:f>
        <ns0:v>56510.9346263078</ns0:v>
      </ns0:c>
      <ns0:c r="O670" s="16">
        <ns0:f>IF('前提と出典'!$C$36+'前提と出典'!$C$38=0,0,'前提と出典'!$B$4*IF('前提と出典'!$B$20=0,MAX('前提と出典'!$B$6,D670*'前提と出典'!$B$5),'前提と出典'!$B$6+D670*'前提と出典'!$B$5))</ns0:f>
        <ns0:v>661326.8379888268</ns0:v>
      </ns0:c>
      <ns0:c r="P670" s="16">
        <ns0:f>(E670+G670)*(1-'前提と出典'!$B$7)-I670-K670-M670-O670</ns0:f>
        <ns0:v>1881900.0971568571</ns0:v>
      </ns0:c>
      <ns0:c r="Q670" s="16">
        <ns0:f>(F670+H670)*(1-'前提と出典'!$B$7)-J670-L670-N670</ns0:f>
        <ns0:v>562062.796307227</ns0:v>
      </ns0:c>
      <ns0:c r="R670" s="16">
        <ns0:f>P670-E670*'前提と出典'!$E$4</ns0:f>
        <ns0:v>1379628.2870933227</ns0:v>
      </ns0:c>
      <ns0:c r="S670" s="16">
        <ns0:f>Q670-F670*'前提と出典'!$E$4</ns0:f>
        <ns0:v>416115.4471107744</ns0:v>
      </ns0:c>
      <ns0:c r="T670" s="7">
        <ns0:f>R670+S670</ns0:f>
        <ns0:v>1795743.7342040972</ns0:v>
      </ns0:c>
      <ns0:c r="U670" s="16">
        <ns0:f>P670-E670*'前提と出典'!$E$5</ns0:f>
        <ns0:v>1212204.350405478</ns0:v>
      </ns0:c>
      <ns0:c r="V670" s="16">
        <ns0:f>Q670-F670*'前提と出典'!$E$5</ns0:f>
        <ns0:v>367466.3307119569</ns0:v>
      </ns0:c>
      <ns0:c r="W670" s="7">
        <ns0:f>U670+V670</ns0:f>
        <ns0:v>1579670.6811174348</ns0:v>
      </ns0:c>
      <ns0:c r="X670" s="16">
        <ns0:f>P670-E670*'前提と出典'!$E$6</ns0:f>
        <ns0:v>1044780.4137176332</ns0:v>
      </ns0:c>
      <ns0:c r="Y670" s="16">
        <ns0:f>Q670-F670*'前提と出典'!$E$6</ns0:f>
        <ns0:v>318817.2143131394</ns0:v>
      </ns0:c>
      <ns0:c r="Z670" s="7">
        <ns0:f>X670+Y670</ns0:f>
        <ns0:v>1363597.6280307726</ns0:v>
      </ns0:c>
      <ns0:c r="AA670" s="7">
        <ns0:f>IF(T670&gt;=0,A670,1001)</ns0:f>
        <ns0:v>666</ns0:v>
      </ns0:c>
      <ns0:c r="AB670" s="7">
        <ns0:f>IF(T670&lt;0,A670,0)</ns0:f>
        <ns0:v>0</ns0:v>
      </ns0:c>
      <ns0:c r="AC670" s="16">
        <ns0:f>IF(AND(OR('前提と出典'!$C$36+'前提と出典'!$C$38=0,R670&gt;=0),OR('前提と出典'!$C$37+'前提と出典'!$C$38=0,S670&gt;=0)),0,A670)</ns0:f>
        <ns0:v>0</ns0:v>
      </ns0:c>
      <ns0:c r="AD670" s="7">
        <ns0:f>IF(W670&gt;=0,A670,1001)</ns0:f>
        <ns0:v>666</ns0:v>
      </ns0:c>
      <ns0:c r="AE670" s="7">
        <ns0:f>IF(W670&lt;0,A670,0)</ns0:f>
        <ns0:v>0</ns0:v>
      </ns0:c>
      <ns0:c r="AF670" s="16">
        <ns0:f>IF(AND(OR('前提と出典'!$C$36+'前提と出典'!$C$38=0,U670&gt;=0),OR('前提と出典'!$C$37+'前提と出典'!$C$38=0,V670&gt;=0)),0,A670)</ns0:f>
        <ns0:v>0</ns0:v>
      </ns0:c>
      <ns0:c r="AG670" s="7">
        <ns0:f>IF(Z670&gt;=0,A670,1001)</ns0:f>
        <ns0:v>666</ns0:v>
      </ns0:c>
      <ns0:c r="AH670" s="4">
        <ns0:f>IF(Z670&lt;0,A670,0)</ns0:f>
        <ns0:v>0</ns0:v>
      </ns0:c>
      <ns0:c r="AI670" s="12">
        <ns0:f>IF(AND(OR('前提と出典'!$C$36+'前提と出典'!$C$38=0,X670&gt;=0),OR('前提と出典'!$C$37+'前提と出典'!$C$38=0,Y670&gt;=0)),0,A670)</ns0:f>
        <ns0:v>0</ns0:v>
      </ns0:c>
    </ns0:row>
    <ns0:row r="671" ht="24" customHeight="1">
      <ns0:c r="A671" s="4" t="n">
        <ns0:v>667</ns0:v>
      </ns0:c>
      <ns0:c r="B671" s="12">
        <ns0:f>A671*('前提と出典'!$C$36+'前提と出典'!$C$38)</ns0:f>
        <ns0:v>466.9</ns0:v>
      </ns0:c>
      <ns0:c r="C671" s="12">
        <ns0:f>A671*('前提と出典'!$C$37+'前提と出典'!$C$38)</ns0:f>
        <ns0:v>400.2</ns0:v>
      </ns0:c>
      <ns0:c r="D671" s="16">
        <ns0:f>A671*('前提と出典'!$C$36*'契約別単価'!C5+'前提と出典'!$C$37*'契約別単価'!C6+'前提と出典'!$C$38*'契約別単価'!C7)</ns0:f>
        <ns0:v>4799.418994413408</ns0:v>
      </ns0:c>
      <ns0:c r="E671" s="16">
        <ns0:f>A671*('前提と出典'!$C$36*'契約別単価'!E5+'前提と出典'!$C$37*'契約別単価'!E6+'前提と出典'!$C$38*'契約別単価'!E7)</ns0:f>
        <ns0:v>1676753.239801689</ns0:v>
      </ns0:c>
      <ns0:c r="F671" s="16">
        <ns0:f>A671*('前提と出典'!$C$36*'契約別単価'!F5+'前提と出典'!$C$37*'契約別単価'!F6+'前提と出典'!$C$38*'契約別単価'!F7)</ns0:f>
        <ns0:v>487221.6312013706</ns0:v>
      </ns0:c>
      <ns0:c r="G671" s="16">
        <ns0:f>A671*('前提と出典'!$C$36*'契約別単価'!G5+'前提と出典'!$C$37*'契約別単価'!G6+'前提と出典'!$C$38*'契約別単価'!G7)</ns0:f>
        <ns0:v>1327665.3631284914</ns0:v>
      </ns0:c>
      <ns0:c r="H671" s="16">
        <ns0:f>A671*('前提と出典'!$C$36*'契約別単価'!H5+'前提と出典'!$C$37*'契約別単価'!H6+'前提と出典'!$C$38*'契約別単価'!H7)</ns0:f>
        <ns0:v>460766.4686561297</ns0:v>
      </ns0:c>
      <ns0:c r="I671" s="16">
        <ns0:f>A671*('前提と出典'!$C$36*'契約別単価'!I5+'前提と出典'!$C$37*'契約別単価'!I6+'前提と出典'!$C$38*'契約別単価'!I7)</ns0:f>
        <ns0:v>28144.4189944134</ns0:v>
      </ns0:c>
      <ns0:c r="J671" s="16">
        <ns0:f>A671*('前提と出典'!$C$36*'契約別単価'!J5+'前提と出典'!$C$37*'契約別単価'!J6+'前提と出典'!$C$38*'契約別単価'!J7)</ns0:f>
        <ns0:v>65559.12565477181</ns0:v>
      </ns0:c>
      <ns0:c r="K671" s="16">
        <ns0:f>A671*('前提と出典'!$C$36*'契約別単価'!K5+'前提と出典'!$C$37*'契約別単価'!K6+'前提と出典'!$C$38*'契約別単価'!K7)</ns0:f>
        <ns0:v>281009.459962756</ns0:v>
      </ns0:c>
      <ns0:c r="L671" s="16">
        <ns0:f>A671*('前提と出典'!$C$36*'契約別単価'!L5+'前提と出典'!$C$37*'契約別単価'!L6+'前提と出典'!$C$38*'契約別単価'!L7)</ns0:f>
        <ns0:v>228798.88228853766</ns0:v>
      </ns0:c>
      <ns0:c r="M671" s="16">
        <ns0:f>IF(('前提と出典'!$C$36+'前提と出典'!$C$38)=0,0,IF(B671&lt;=10,'前提と出典'!B73+'前提と出典'!C73,IF(B671&lt;=100,'前提と出典'!B74+'前提と出典'!C74,IF(B671&lt;=500,'前提と出典'!B75+'前提と出典'!C75,'前提と出典'!B76+'前提と出典'!C76))))</ns0:f>
        <ns0:v>40000</ns0:v>
      </ns0:c>
      <ns0:c r="N671" s="16">
        <ns0:f>IF(('前提と出典'!$C$37+'前提と出典'!$C$38)=0,0,IF(C671&lt;=10,'前提と出典'!D73+'前提と出典'!E73,IF(C671&lt;=100,'前提と出典'!D74+'前提と出典'!E74,IF(C671&lt;=500,'前提と出典'!D75+'前提と出典'!E75,'前提と出典'!D76+'前提と出典'!E76))))</ns0:f>
        <ns0:v>56510.9346263078</ns0:v>
      </ns0:c>
      <ns0:c r="O671" s="16">
        <ns0:f>IF('前提と出典'!$C$36+'前提と出典'!$C$38=0,0,'前提と出典'!$B$4*IF('前提と出典'!$B$20=0,MAX('前提と出典'!$B$6,D671*'前提と出典'!$B$5),'前提と出典'!$B$6+D671*'前提と出典'!$B$5))</ns0:f>
        <ns0:v>662319.8212290503</ns0:v>
      </ns0:c>
      <ns0:c r="P671" s="16">
        <ns0:f>(E671+G671)*(1-'前提と出典'!$B$7)-I671-K671-M671-O671</ns0:f>
        <ns0:v>1884785.833038475</ns0:v>
      </ns0:c>
      <ns0:c r="Q671" s="16">
        <ns0:f>(F671+H671)*(1-'前提と出典'!$B$7)-J671-L671-N671</ns0:f>
        <ns0:v>562991.585693013</ns0:v>
      </ns0:c>
      <ns0:c r="R671" s="16">
        <ns0:f>P671-E671*'前提と出典'!$E$4</ns0:f>
        <ns0:v>1381759.8610979682</ns0:v>
      </ns0:c>
      <ns0:c r="S671" s="16">
        <ns0:f>Q671-F671*'前提と出典'!$E$4</ns0:f>
        <ns0:v>416825.09633260185</ns0:v>
      </ns0:c>
      <ns0:c r="T671" s="7">
        <ns0:f>R671+S671</ns0:f>
        <ns0:v>1798584.95743057</ns0:v>
      </ns0:c>
      <ns0:c r="U671" s="16">
        <ns0:f>P671-E671*'前提と出典'!$E$5</ns0:f>
        <ns0:v>1214084.5371177993</ns0:v>
      </ns0:c>
      <ns0:c r="V671" s="16">
        <ns0:f>Q671-F671*'前提と出典'!$E$5</ns0:f>
        <ns0:v>368102.9332124648</ns0:v>
      </ns0:c>
      <ns0:c r="W671" s="7">
        <ns0:f>U671+V671</ns0:f>
        <ns0:v>1582187.470330264</ns0:v>
      </ns0:c>
      <ns0:c r="X671" s="16">
        <ns0:f>P671-E671*'前提と出典'!$E$6</ns0:f>
        <ns0:v>1046409.21313763</ns0:v>
      </ns0:c>
      <ns0:c r="Y671" s="16">
        <ns0:f>Q671-F671*'前提と出典'!$E$6</ns0:f>
        <ns0:v>319380.77009232773</ns0:v>
      </ns0:c>
      <ns0:c r="Z671" s="7">
        <ns0:f>X671+Y671</ns0:f>
        <ns0:v>1365789.9832299578</ns0:v>
      </ns0:c>
      <ns0:c r="AA671" s="7">
        <ns0:f>IF(T671&gt;=0,A671,1001)</ns0:f>
        <ns0:v>667</ns0:v>
      </ns0:c>
      <ns0:c r="AB671" s="7">
        <ns0:f>IF(T671&lt;0,A671,0)</ns0:f>
        <ns0:v>0</ns0:v>
      </ns0:c>
      <ns0:c r="AC671" s="16">
        <ns0:f>IF(AND(OR('前提と出典'!$C$36+'前提と出典'!$C$38=0,R671&gt;=0),OR('前提と出典'!$C$37+'前提と出典'!$C$38=0,S671&gt;=0)),0,A671)</ns0:f>
        <ns0:v>0</ns0:v>
      </ns0:c>
      <ns0:c r="AD671" s="7">
        <ns0:f>IF(W671&gt;=0,A671,1001)</ns0:f>
        <ns0:v>667</ns0:v>
      </ns0:c>
      <ns0:c r="AE671" s="7">
        <ns0:f>IF(W671&lt;0,A671,0)</ns0:f>
        <ns0:v>0</ns0:v>
      </ns0:c>
      <ns0:c r="AF671" s="16">
        <ns0:f>IF(AND(OR('前提と出典'!$C$36+'前提と出典'!$C$38=0,U671&gt;=0),OR('前提と出典'!$C$37+'前提と出典'!$C$38=0,V671&gt;=0)),0,A671)</ns0:f>
        <ns0:v>0</ns0:v>
      </ns0:c>
      <ns0:c r="AG671" s="7">
        <ns0:f>IF(Z671&gt;=0,A671,1001)</ns0:f>
        <ns0:v>667</ns0:v>
      </ns0:c>
      <ns0:c r="AH671" s="4">
        <ns0:f>IF(Z671&lt;0,A671,0)</ns0:f>
        <ns0:v>0</ns0:v>
      </ns0:c>
      <ns0:c r="AI671" s="12">
        <ns0:f>IF(AND(OR('前提と出典'!$C$36+'前提と出典'!$C$38=0,X671&gt;=0),OR('前提と出典'!$C$37+'前提と出典'!$C$38=0,Y671&gt;=0)),0,A671)</ns0:f>
        <ns0:v>0</ns0:v>
      </ns0:c>
    </ns0:row>
    <ns0:row r="672" ht="24" customHeight="1">
      <ns0:c r="A672" s="4" t="n">
        <ns0:v>668</ns0:v>
      </ns0:c>
      <ns0:c r="B672" s="12">
        <ns0:f>A672*('前提と出典'!$C$36+'前提と出典'!$C$38)</ns0:f>
        <ns0:v>467.59999999999997</ns0:v>
      </ns0:c>
      <ns0:c r="C672" s="12">
        <ns0:f>A672*('前提と出典'!$C$37+'前提と出典'!$C$38)</ns0:f>
        <ns0:v>400.8</ns0:v>
      </ns0:c>
      <ns0:c r="D672" s="16">
        <ns0:f>A672*('前提と出典'!$C$36*'契約別単価'!C5+'前提と出典'!$C$37*'契約別単価'!C6+'前提と出典'!$C$38*'契約別単価'!C7)</ns0:f>
        <ns0:v>4806.614525139665</ns0:v>
      </ns0:c>
      <ns0:c r="E672" s="16">
        <ns0:f>A672*('前提と出典'!$C$36*'契約別単価'!E5+'前提と出典'!$C$37*'契約別単価'!E6+'前提と出典'!$C$38*'契約別単価'!E7)</ns0:f>
        <ns0:v>1679267.11272493</ns0:v>
      </ns0:c>
      <ns0:c r="F672" s="16">
        <ns0:f>A672*('前提と出典'!$C$36*'契約別単価'!F5+'前提と出典'!$C$37*'契約別単価'!F6+'前提と出典'!$C$38*'契約別単価'!F7)</ns0:f>
        <ns0:v>487952.0984145661</ns0:v>
      </ns0:c>
      <ns0:c r="G672" s="16">
        <ns0:f>A672*('前提と出典'!$C$36*'契約別単価'!G5+'前提と出典'!$C$37*'契約別単価'!G6+'前提と出典'!$C$38*'契約別単価'!G7)</ns0:f>
        <ns0:v>1329655.8659217877</ns0:v>
      </ns0:c>
      <ns0:c r="H672" s="16">
        <ns0:f>A672*('前提と出典'!$C$36*'契約別単価'!H5+'前提と出典'!$C$37*'契約別単価'!H6+'前提と出典'!$C$38*'契約別単価'!H7)</ns0:f>
        <ns0:v>461457.2729569635</ns0:v>
      </ns0:c>
      <ns0:c r="I672" s="16">
        <ns0:f>A672*('前提と出典'!$C$36*'契約別単価'!I5+'前提と出典'!$C$37*'契約別単価'!I6+'前提と出典'!$C$38*'契約別単価'!I7)</ns0:f>
        <ns0:v>28186.61452513966</ns0:v>
      </ns0:c>
      <ns0:c r="J672" s="16">
        <ns0:f>A672*('前提と出典'!$C$36*'契約別単価'!J5+'前提と出典'!$C$37*'契約別単価'!J6+'前提と出典'!$C$38*'契約別単価'!J7)</ns0:f>
        <ns0:v>65657.41519848212</ns0:v>
      </ns0:c>
      <ns0:c r="K672" s="16">
        <ns0:f>A672*('前提と出典'!$C$36*'契約別単価'!K5+'前提と出典'!$C$37*'契約別単価'!K6+'前提と出典'!$C$38*'契約別単価'!K7)</ns0:f>
        <ns0:v>281430.7635009311</ns0:v>
      </ns0:c>
      <ns0:c r="L672" s="16">
        <ns0:f>A672*('前提と出典'!$C$36*'契約別単価'!L5+'前提と出典'!$C$37*'契約別単価'!L6+'前提と出典'!$C$38*'契約別単価'!L7)</ns0:f>
        <ns0:v>229141.90909856543</ns0:v>
      </ns0:c>
      <ns0:c r="M672" s="16">
        <ns0:f>IF(('前提と出典'!$C$36+'前提と出典'!$C$38)=0,0,IF(B672&lt;=10,'前提と出典'!B73+'前提と出典'!C73,IF(B672&lt;=100,'前提と出典'!B74+'前提と出典'!C74,IF(B672&lt;=500,'前提と出典'!B75+'前提と出典'!C75,'前提と出典'!B76+'前提と出典'!C76))))</ns0:f>
        <ns0:v>40000</ns0:v>
      </ns0:c>
      <ns0:c r="N672" s="16">
        <ns0:f>IF(('前提と出典'!$C$37+'前提と出典'!$C$38)=0,0,IF(C672&lt;=10,'前提と出典'!D73+'前提と出典'!E73,IF(C672&lt;=100,'前提と出典'!D74+'前提と出典'!E74,IF(C672&lt;=500,'前提と出典'!D75+'前提と出典'!E75,'前提と出典'!D76+'前提と出典'!E76))))</ns0:f>
        <ns0:v>56510.9346263078</ns0:v>
      </ns0:c>
      <ns0:c r="O672" s="16">
        <ns0:f>IF('前提と出典'!$C$36+'前提と出典'!$C$38=0,0,'前提と出典'!$B$4*IF('前提と出典'!$B$20=0,MAX('前提と出典'!$B$6,D672*'前提と出典'!$B$5),'前提と出典'!$B$6+D672*'前提と出典'!$B$5))</ns0:f>
        <ns0:v>663312.8044692738</ns0:v>
      </ns0:c>
      <ns0:c r="P672" s="16">
        <ns0:f>(E672+G672)*(1-'前提と出典'!$B$7)-I672-K672-M672-O672</ns0:f>
        <ns0:v>1887671.5689200913</ns0:v>
      </ns0:c>
      <ns0:c r="Q672" s="16">
        <ns0:f>(F672+H672)*(1-'前提と出典'!$B$7)-J672-L672-N672</ns0:f>
        <ns0:v>563920.3750787991</ns0:v>
      </ns0:c>
      <ns0:c r="R672" s="16">
        <ns0:f>P672-E672*'前提と出典'!$E$4</ns0:f>
        <ns0:v>1383891.4351026122</ns0:v>
      </ns0:c>
      <ns0:c r="S672" s="16">
        <ns0:f>Q672-F672*'前提と出典'!$E$4</ns0:f>
        <ns0:v>417534.74555442925</ns0:v>
      </ns0:c>
      <ns0:c r="T672" s="7">
        <ns0:f>R672+S672</ns0:f>
        <ns0:v>1801426.1806570415</ns0:v>
      </ns0:c>
      <ns0:c r="U672" s="16">
        <ns0:f>P672-E672*'前提と出典'!$E$5</ns0:f>
        <ns0:v>1215964.7238301192</ns0:v>
      </ns0:c>
      <ns0:c r="V672" s="16">
        <ns0:f>Q672-F672*'前提と出典'!$E$5</ns0:f>
        <ns0:v>368739.53571297263</ns0:v>
      </ns0:c>
      <ns0:c r="W672" s="7">
        <ns0:f>U672+V672</ns0:f>
        <ns0:v>1584704.259543092</ns0:v>
      </ns0:c>
      <ns0:c r="X672" s="16">
        <ns0:f>P672-E672*'前提と出典'!$E$6</ns0:f>
        <ns0:v>1048038.0125576268</ns0:v>
      </ns0:c>
      <ns0:c r="Y672" s="16">
        <ns0:f>Q672-F672*'前提と出典'!$E$6</ns0:f>
        <ns0:v>319944.325871516</ns0:v>
      </ns0:c>
      <ns0:c r="Z672" s="7">
        <ns0:f>X672+Y672</ns0:f>
        <ns0:v>1367982.3384291427</ns0:v>
      </ns0:c>
      <ns0:c r="AA672" s="7">
        <ns0:f>IF(T672&gt;=0,A672,1001)</ns0:f>
        <ns0:v>668</ns0:v>
      </ns0:c>
      <ns0:c r="AB672" s="7">
        <ns0:f>IF(T672&lt;0,A672,0)</ns0:f>
        <ns0:v>0</ns0:v>
      </ns0:c>
      <ns0:c r="AC672" s="16">
        <ns0:f>IF(AND(OR('前提と出典'!$C$36+'前提と出典'!$C$38=0,R672&gt;=0),OR('前提と出典'!$C$37+'前提と出典'!$C$38=0,S672&gt;=0)),0,A672)</ns0:f>
        <ns0:v>0</ns0:v>
      </ns0:c>
      <ns0:c r="AD672" s="7">
        <ns0:f>IF(W672&gt;=0,A672,1001)</ns0:f>
        <ns0:v>668</ns0:v>
      </ns0:c>
      <ns0:c r="AE672" s="7">
        <ns0:f>IF(W672&lt;0,A672,0)</ns0:f>
        <ns0:v>0</ns0:v>
      </ns0:c>
      <ns0:c r="AF672" s="16">
        <ns0:f>IF(AND(OR('前提と出典'!$C$36+'前提と出典'!$C$38=0,U672&gt;=0),OR('前提と出典'!$C$37+'前提と出典'!$C$38=0,V672&gt;=0)),0,A672)</ns0:f>
        <ns0:v>0</ns0:v>
      </ns0:c>
      <ns0:c r="AG672" s="7">
        <ns0:f>IF(Z672&gt;=0,A672,1001)</ns0:f>
        <ns0:v>668</ns0:v>
      </ns0:c>
      <ns0:c r="AH672" s="4">
        <ns0:f>IF(Z672&lt;0,A672,0)</ns0:f>
        <ns0:v>0</ns0:v>
      </ns0:c>
      <ns0:c r="AI672" s="12">
        <ns0:f>IF(AND(OR('前提と出典'!$C$36+'前提と出典'!$C$38=0,X672&gt;=0),OR('前提と出典'!$C$37+'前提と出典'!$C$38=0,Y672&gt;=0)),0,A672)</ns0:f>
        <ns0:v>0</ns0:v>
      </ns0:c>
    </ns0:row>
    <ns0:row r="673" ht="24" customHeight="1">
      <ns0:c r="A673" s="4" t="n">
        <ns0:v>669</ns0:v>
      </ns0:c>
      <ns0:c r="B673" s="12">
        <ns0:f>A673*('前提と出典'!$C$36+'前提と出典'!$C$38)</ns0:f>
        <ns0:v>468.29999999999995</ns0:v>
      </ns0:c>
      <ns0:c r="C673" s="12">
        <ns0:f>A673*('前提と出典'!$C$37+'前提と出典'!$C$38)</ns0:f>
        <ns0:v>401.4</ns0:v>
      </ns0:c>
      <ns0:c r="D673" s="16">
        <ns0:f>A673*('前提と出典'!$C$36*'契約別単価'!C5+'前提と出典'!$C$37*'契約別単価'!C6+'前提と出典'!$C$38*'契約別単価'!C7)</ns0:f>
        <ns0:v>4813.810055865922</ns0:v>
      </ns0:c>
      <ns0:c r="E673" s="16">
        <ns0:f>A673*('前提と出典'!$C$36*'契約別単価'!E5+'前提と出典'!$C$37*'契約別単価'!E6+'前提と出典'!$C$38*'契約別単価'!E7)</ns0:f>
        <ns0:v>1681780.985648171</ns0:v>
      </ns0:c>
      <ns0:c r="F673" s="16">
        <ns0:f>A673*('前提と出典'!$C$36*'契約別単価'!F5+'前提と出典'!$C$37*'契約別単価'!F6+'前提と出典'!$C$38*'契約別単価'!F7)</ns0:f>
        <ns0:v>488682.56562776153</ns0:v>
      </ns0:c>
      <ns0:c r="G673" s="16">
        <ns0:f>A673*('前提と出典'!$C$36*'契約別単価'!G5+'前提と出典'!$C$37*'契約別単価'!G6+'前提と出典'!$C$38*'契約別単価'!G7)</ns0:f>
        <ns0:v>1331646.3687150837</ns0:v>
      </ns0:c>
      <ns0:c r="H673" s="16">
        <ns0:f>A673*('前提と出典'!$C$36*'契約別単価'!H5+'前提と出典'!$C$37*'契約別単価'!H6+'前提と出典'!$C$38*'契約別単価'!H7)</ns0:f>
        <ns0:v>462148.0772577973</ns0:v>
      </ns0:c>
      <ns0:c r="I673" s="16">
        <ns0:f>A673*('前提と出典'!$C$36*'契約別単価'!I5+'前提と出典'!$C$37*'契約別単価'!I6+'前提と出典'!$C$38*'契約別単価'!I7)</ns0:f>
        <ns0:v>28228.810055865917</ns0:v>
      </ns0:c>
      <ns0:c r="J673" s="16">
        <ns0:f>A673*('前提と出典'!$C$36*'契約別単価'!J5+'前提と出典'!$C$37*'契約別単価'!J6+'前提と出典'!$C$38*'契約別単価'!J7)</ns0:f>
        <ns0:v>65755.70474219242</ns0:v>
      </ns0:c>
      <ns0:c r="K673" s="16">
        <ns0:f>A673*('前提と出典'!$C$36*'契約別単価'!K5+'前提と出典'!$C$37*'契約別単価'!K6+'前提と出典'!$C$38*'契約別単価'!K7)</ns0:f>
        <ns0:v>281852.0670391061</ns0:v>
      </ns0:c>
      <ns0:c r="L673" s="16">
        <ns0:f>A673*('前提と出典'!$C$36*'契約別単価'!L5+'前提と出典'!$C$37*'契約別単価'!L6+'前提と出典'!$C$38*'契約別単価'!L7)</ns0:f>
        <ns0:v>229484.93590859324</ns0:v>
      </ns0:c>
      <ns0:c r="M673" s="16">
        <ns0:f>IF(('前提と出典'!$C$36+'前提と出典'!$C$38)=0,0,IF(B673&lt;=10,'前提と出典'!B73+'前提と出典'!C73,IF(B673&lt;=100,'前提と出典'!B74+'前提と出典'!C74,IF(B673&lt;=500,'前提と出典'!B75+'前提と出典'!C75,'前提と出典'!B76+'前提と出典'!C76))))</ns0:f>
        <ns0:v>40000</ns0:v>
      </ns0:c>
      <ns0:c r="N673" s="16">
        <ns0:f>IF(('前提と出典'!$C$37+'前提と出典'!$C$38)=0,0,IF(C673&lt;=10,'前提と出典'!D73+'前提と出典'!E73,IF(C673&lt;=100,'前提と出典'!D74+'前提と出典'!E74,IF(C673&lt;=500,'前提と出典'!D75+'前提と出典'!E75,'前提と出典'!D76+'前提と出典'!E76))))</ns0:f>
        <ns0:v>56510.9346263078</ns0:v>
      </ns0:c>
      <ns0:c r="O673" s="16">
        <ns0:f>IF('前提と出典'!$C$36+'前提と出典'!$C$38=0,0,'前提と出典'!$B$4*IF('前提と出典'!$B$20=0,MAX('前提と出典'!$B$6,D673*'前提と出典'!$B$5),'前提と出典'!$B$6+D673*'前提と出典'!$B$5))</ns0:f>
        <ns0:v>664305.7877094973</ns0:v>
      </ns0:c>
      <ns0:c r="P673" s="16">
        <ns0:f>(E673+G673)*(1-'前提と出典'!$B$7)-I673-K673-M673-O673</ns0:f>
        <ns0:v>1890557.304801708</ns0:v>
      </ns0:c>
      <ns0:c r="Q673" s="16">
        <ns0:f>(F673+H673)*(1-'前提と出典'!$B$7)-J673-L673-N673</ns0:f>
        <ns0:v>564849.1644645853</ns0:v>
      </ns0:c>
      <ns0:c r="R673" s="16">
        <ns0:f>P673-E673*'前提と出典'!$E$4</ns0:f>
        <ns0:v>1386023.0091072568</ns0:v>
      </ns0:c>
      <ns0:c r="S673" s="16">
        <ns0:f>Q673-F673*'前提と出典'!$E$4</ns0:f>
        <ns0:v>418244.39477625675</ns0:v>
      </ns0:c>
      <ns0:c r="T673" s="7">
        <ns0:f>R673+S673</ns0:f>
        <ns0:v>1804267.4038835135</ns0:v>
      </ns0:c>
      <ns0:c r="U673" s="16">
        <ns0:f>P673-E673*'前提と出典'!$E$5</ns0:f>
        <ns0:v>1217844.9105424397</ns0:v>
      </ns0:c>
      <ns0:c r="V673" s="16">
        <ns0:f>Q673-F673*'前提と出典'!$E$5</ns0:f>
        <ns0:v>369376.1382134806</ns0:v>
      </ns0:c>
      <ns0:c r="W673" s="7">
        <ns0:f>U673+V673</ns0:f>
        <ns0:v>1587221.0487559203</ns0:v>
      </ns0:c>
      <ns0:c r="X673" s="16">
        <ns0:f>P673-E673*'前提と出典'!$E$6</ns0:f>
        <ns0:v>1049666.811977623</ns0:v>
      </ns0:c>
      <ns0:c r="Y673" s="16">
        <ns0:f>Q673-F673*'前提と出典'!$E$6</ns0:f>
        <ns0:v>320507.8816507044</ns0:v>
      </ns0:c>
      <ns0:c r="Z673" s="7">
        <ns0:f>X673+Y673</ns0:f>
        <ns0:v>1370174.6936283275</ns0:v>
      </ns0:c>
      <ns0:c r="AA673" s="7">
        <ns0:f>IF(T673&gt;=0,A673,1001)</ns0:f>
        <ns0:v>669</ns0:v>
      </ns0:c>
      <ns0:c r="AB673" s="7">
        <ns0:f>IF(T673&lt;0,A673,0)</ns0:f>
        <ns0:v>0</ns0:v>
      </ns0:c>
      <ns0:c r="AC673" s="16">
        <ns0:f>IF(AND(OR('前提と出典'!$C$36+'前提と出典'!$C$38=0,R673&gt;=0),OR('前提と出典'!$C$37+'前提と出典'!$C$38=0,S673&gt;=0)),0,A673)</ns0:f>
        <ns0:v>0</ns0:v>
      </ns0:c>
      <ns0:c r="AD673" s="7">
        <ns0:f>IF(W673&gt;=0,A673,1001)</ns0:f>
        <ns0:v>669</ns0:v>
      </ns0:c>
      <ns0:c r="AE673" s="7">
        <ns0:f>IF(W673&lt;0,A673,0)</ns0:f>
        <ns0:v>0</ns0:v>
      </ns0:c>
      <ns0:c r="AF673" s="16">
        <ns0:f>IF(AND(OR('前提と出典'!$C$36+'前提と出典'!$C$38=0,U673&gt;=0),OR('前提と出典'!$C$37+'前提と出典'!$C$38=0,V673&gt;=0)),0,A673)</ns0:f>
        <ns0:v>0</ns0:v>
      </ns0:c>
      <ns0:c r="AG673" s="7">
        <ns0:f>IF(Z673&gt;=0,A673,1001)</ns0:f>
        <ns0:v>669</ns0:v>
      </ns0:c>
      <ns0:c r="AH673" s="4">
        <ns0:f>IF(Z673&lt;0,A673,0)</ns0:f>
        <ns0:v>0</ns0:v>
      </ns0:c>
      <ns0:c r="AI673" s="12">
        <ns0:f>IF(AND(OR('前提と出典'!$C$36+'前提と出典'!$C$38=0,X673&gt;=0),OR('前提と出典'!$C$37+'前提と出典'!$C$38=0,Y673&gt;=0)),0,A673)</ns0:f>
        <ns0:v>0</ns0:v>
      </ns0:c>
    </ns0:row>
    <ns0:row r="674" ht="24" customHeight="1">
      <ns0:c r="A674" s="4" t="n">
        <ns0:v>670</ns0:v>
      </ns0:c>
      <ns0:c r="B674" s="12">
        <ns0:f>A674*('前提と出典'!$C$36+'前提と出典'!$C$38)</ns0:f>
        <ns0:v>468.99999999999994</ns0:v>
      </ns0:c>
      <ns0:c r="C674" s="12">
        <ns0:f>A674*('前提と出典'!$C$37+'前提と出典'!$C$38)</ns0:f>
        <ns0:v>402</ns0:v>
      </ns0:c>
      <ns0:c r="D674" s="16">
        <ns0:f>A674*('前提と出典'!$C$36*'契約別単価'!C5+'前提と出典'!$C$37*'契約別単価'!C6+'前提と出典'!$C$38*'契約別単価'!C7)</ns0:f>
        <ns0:v>4821.005586592179</ns0:v>
      </ns0:c>
      <ns0:c r="E674" s="16">
        <ns0:f>A674*('前提と出典'!$C$36*'契約別単価'!E5+'前提と出典'!$C$37*'契約別単価'!E6+'前提と出典'!$C$38*'契約別単価'!E7)</ns0:f>
        <ns0:v>1684294.8585714118</ns0:v>
      </ns0:c>
      <ns0:c r="F674" s="16">
        <ns0:f>A674*('前提と出典'!$C$36*'契約別単価'!F5+'前提と出典'!$C$37*'契約別単価'!F6+'前提と出典'!$C$38*'契約別単価'!F7)</ns0:f>
        <ns0:v>489413.032840957</ns0:v>
      </ns0:c>
      <ns0:c r="G674" s="16">
        <ns0:f>A674*('前提と出典'!$C$36*'契約別単価'!G5+'前提と出典'!$C$37*'契約別単価'!G6+'前提と出典'!$C$38*'契約別単価'!G7)</ns0:f>
        <ns0:v>1333636.87150838</ns0:v>
      </ns0:c>
      <ns0:c r="H674" s="16">
        <ns0:f>A674*('前提と出典'!$C$36*'契約別単価'!H5+'前提と出典'!$C$37*'契約別単価'!H6+'前提と出典'!$C$38*'契約別単価'!H7)</ns0:f>
        <ns0:v>462838.881558631</ns0:v>
      </ns0:c>
      <ns0:c r="I674" s="16">
        <ns0:f>A674*('前提と出典'!$C$36*'契約別単価'!I5+'前提と出典'!$C$37*'契約別単価'!I6+'前提と出典'!$C$38*'契約別単価'!I7)</ns0:f>
        <ns0:v>28271.005586592175</ns0:v>
      </ns0:c>
      <ns0:c r="J674" s="16">
        <ns0:f>A674*('前提と出典'!$C$36*'契約別単価'!J5+'前提と出典'!$C$37*'契約別単価'!J6+'前提と出典'!$C$38*'契約別単価'!J7)</ns0:f>
        <ns0:v>65853.99428590272</ns0:v>
      </ns0:c>
      <ns0:c r="K674" s="16">
        <ns0:f>A674*('前提と出典'!$C$36*'契約別単価'!K5+'前提と出典'!$C$37*'契約別単価'!K6+'前提と出典'!$C$38*'契約別単価'!K7)</ns0:f>
        <ns0:v>282273.37057728117</ns0:v>
      </ns0:c>
      <ns0:c r="L674" s="16">
        <ns0:f>A674*('前提と出典'!$C$36*'契約別単価'!L5+'前提と出典'!$C$37*'契約別単価'!L6+'前提と出典'!$C$38*'契約別単価'!L7)</ns0:f>
        <ns0:v>229827.96271862104</ns0:v>
      </ns0:c>
      <ns0:c r="M674" s="16">
        <ns0:f>IF(('前提と出典'!$C$36+'前提と出典'!$C$38)=0,0,IF(B674&lt;=10,'前提と出典'!B73+'前提と出典'!C73,IF(B674&lt;=100,'前提と出典'!B74+'前提と出典'!C74,IF(B674&lt;=500,'前提と出典'!B75+'前提と出典'!C75,'前提と出典'!B76+'前提と出典'!C76))))</ns0:f>
        <ns0:v>40000</ns0:v>
      </ns0:c>
      <ns0:c r="N674" s="16">
        <ns0:f>IF(('前提と出典'!$C$37+'前提と出典'!$C$38)=0,0,IF(C674&lt;=10,'前提と出典'!D73+'前提と出典'!E73,IF(C674&lt;=100,'前提と出典'!D74+'前提と出典'!E74,IF(C674&lt;=500,'前提と出典'!D75+'前提と出典'!E75,'前提と出典'!D76+'前提と出典'!E76))))</ns0:f>
        <ns0:v>56510.9346263078</ns0:v>
      </ns0:c>
      <ns0:c r="O674" s="16">
        <ns0:f>IF('前提と出典'!$C$36+'前提と出典'!$C$38=0,0,'前提と出典'!$B$4*IF('前提と出典'!$B$20=0,MAX('前提と出典'!$B$6,D674*'前提と出典'!$B$5),'前提と出典'!$B$6+D674*'前提と出典'!$B$5))</ns0:f>
        <ns0:v>665298.7709497208</ns0:v>
      </ns0:c>
      <ns0:c r="P674" s="16">
        <ns0:f>(E674+G674)*(1-'前提と出典'!$B$7)-I674-K674-M674-O674</ns0:f>
        <ns0:v>1893443.0406833254</ns0:v>
      </ns0:c>
      <ns0:c r="Q674" s="16">
        <ns0:f>(F674+H674)*(1-'前提と出典'!$B$7)-J674-L674-N674</ns0:f>
        <ns0:v>565777.9538503713</ns0:v>
      </ns0:c>
      <ns0:c r="R674" s="16">
        <ns0:f>P674-E674*'前提と出典'!$E$4</ns0:f>
        <ns0:v>1388154.5831119018</ns0:v>
      </ns0:c>
      <ns0:c r="S674" s="16">
        <ns0:f>Q674-F674*'前提と出典'!$E$4</ns0:f>
        <ns0:v>418954.04399808426</ns0:v>
      </ns0:c>
      <ns0:c r="T674" s="7">
        <ns0:f>R674+S674</ns0:f>
        <ns0:v>1807108.627109986</ns0:v>
      </ns0:c>
      <ns0:c r="U674" s="16">
        <ns0:f>P674-E674*'前提と出典'!$E$5</ns0:f>
        <ns0:v>1219725.0972547606</ns0:v>
      </ns0:c>
      <ns0:c r="V674" s="16">
        <ns0:f>Q674-F674*'前提と出典'!$E$5</ns0:f>
        <ns0:v>370012.74071398843</ns0:v>
      </ns0:c>
      <ns0:c r="W674" s="7">
        <ns0:f>U674+V674</ns0:f>
        <ns0:v>1589737.837968749</ns0:v>
      </ns0:c>
      <ns0:c r="X674" s="16">
        <ns0:f>P674-E674*'前提と出典'!$E$6</ns0:f>
        <ns0:v>1051295.611397619</ns0:v>
      </ns0:c>
      <ns0:c r="Y674" s="16">
        <ns0:f>Q674-F674*'前提と出典'!$E$6</ns0:f>
        <ns0:v>321071.43742989283</ns0:v>
      </ns0:c>
      <ns0:c r="Z674" s="7">
        <ns0:f>X674+Y674</ns0:f>
        <ns0:v>1372367.0488275117</ns0:v>
      </ns0:c>
      <ns0:c r="AA674" s="7">
        <ns0:f>IF(T674&gt;=0,A674,1001)</ns0:f>
        <ns0:v>670</ns0:v>
      </ns0:c>
      <ns0:c r="AB674" s="7">
        <ns0:f>IF(T674&lt;0,A674,0)</ns0:f>
        <ns0:v>0</ns0:v>
      </ns0:c>
      <ns0:c r="AC674" s="16">
        <ns0:f>IF(AND(OR('前提と出典'!$C$36+'前提と出典'!$C$38=0,R674&gt;=0),OR('前提と出典'!$C$37+'前提と出典'!$C$38=0,S674&gt;=0)),0,A674)</ns0:f>
        <ns0:v>0</ns0:v>
      </ns0:c>
      <ns0:c r="AD674" s="7">
        <ns0:f>IF(W674&gt;=0,A674,1001)</ns0:f>
        <ns0:v>670</ns0:v>
      </ns0:c>
      <ns0:c r="AE674" s="7">
        <ns0:f>IF(W674&lt;0,A674,0)</ns0:f>
        <ns0:v>0</ns0:v>
      </ns0:c>
      <ns0:c r="AF674" s="16">
        <ns0:f>IF(AND(OR('前提と出典'!$C$36+'前提と出典'!$C$38=0,U674&gt;=0),OR('前提と出典'!$C$37+'前提と出典'!$C$38=0,V674&gt;=0)),0,A674)</ns0:f>
        <ns0:v>0</ns0:v>
      </ns0:c>
      <ns0:c r="AG674" s="7">
        <ns0:f>IF(Z674&gt;=0,A674,1001)</ns0:f>
        <ns0:v>670</ns0:v>
      </ns0:c>
      <ns0:c r="AH674" s="4">
        <ns0:f>IF(Z674&lt;0,A674,0)</ns0:f>
        <ns0:v>0</ns0:v>
      </ns0:c>
      <ns0:c r="AI674" s="12">
        <ns0:f>IF(AND(OR('前提と出典'!$C$36+'前提と出典'!$C$38=0,X674&gt;=0),OR('前提と出典'!$C$37+'前提と出典'!$C$38=0,Y674&gt;=0)),0,A674)</ns0:f>
        <ns0:v>0</ns0:v>
      </ns0:c>
    </ns0:row>
    <ns0:row r="675" ht="24" customHeight="1">
      <ns0:c r="A675" s="4" t="n">
        <ns0:v>671</ns0:v>
      </ns0:c>
      <ns0:c r="B675" s="12">
        <ns0:f>A675*('前提と出典'!$C$36+'前提と出典'!$C$38)</ns0:f>
        <ns0:v>469.7</ns0:v>
      </ns0:c>
      <ns0:c r="C675" s="12">
        <ns0:f>A675*('前提と出典'!$C$37+'前提と出典'!$C$38)</ns0:f>
        <ns0:v>402.59999999999997</ns0:v>
      </ns0:c>
      <ns0:c r="D675" s="16">
        <ns0:f>A675*('前提と出典'!$C$36*'契約別単価'!C5+'前提と出典'!$C$37*'契約別単価'!C6+'前提と出典'!$C$38*'契約別単価'!C7)</ns0:f>
        <ns0:v>4828.2011173184355</ns0:v>
      </ns0:c>
      <ns0:c r="E675" s="16">
        <ns0:f>A675*('前提と出典'!$C$36*'契約別単価'!E5+'前提と出典'!$C$37*'契約別単価'!E6+'前提と出典'!$C$38*'契約別単価'!E7)</ns0:f>
        <ns0:v>1686808.7314946528</ns0:v>
      </ns0:c>
      <ns0:c r="F675" s="16">
        <ns0:f>A675*('前提と出典'!$C$36*'契約別単価'!F5+'前提と出典'!$C$37*'契約別単価'!F6+'前提と出典'!$C$38*'契約別単価'!F7)</ns0:f>
        <ns0:v>490143.50005415245</ns0:v>
      </ns0:c>
      <ns0:c r="G675" s="16">
        <ns0:f>A675*('前提と出典'!$C$36*'契約別単価'!G5+'前提と出典'!$C$37*'契約別単価'!G6+'前提と出典'!$C$38*'契約別単価'!G7)</ns0:f>
        <ns0:v>1335627.374301676</ns0:v>
      </ns0:c>
      <ns0:c r="H675" s="16">
        <ns0:f>A675*('前提と出典'!$C$36*'契約別単価'!H5+'前提と出典'!$C$37*'契約別単価'!H6+'前提と出典'!$C$38*'契約別単価'!H7)</ns0:f>
        <ns0:v>463529.6858594648</ns0:v>
      </ns0:c>
      <ns0:c r="I675" s="16">
        <ns0:f>A675*('前提と出典'!$C$36*'契約別単価'!I5+'前提と出典'!$C$37*'契約別単価'!I6+'前提と出典'!$C$38*'契約別単価'!I7)</ns0:f>
        <ns0:v>28313.20111731843</ns0:v>
      </ns0:c>
      <ns0:c r="J675" s="16">
        <ns0:f>A675*('前提と出典'!$C$36*'契約別単価'!J5+'前提と出典'!$C$37*'契約別単価'!J6+'前提と出典'!$C$38*'契約別単価'!J7)</ns0:f>
        <ns0:v>65952.28382961302</ns0:v>
      </ns0:c>
      <ns0:c r="K675" s="16">
        <ns0:f>A675*('前提と出典'!$C$36*'契約別単価'!K5+'前提と出典'!$C$37*'契約別単価'!K6+'前提と出典'!$C$38*'契約別単価'!K7)</ns0:f>
        <ns0:v>282694.67411545623</ns0:v>
      </ns0:c>
      <ns0:c r="L675" s="16">
        <ns0:f>A675*('前提と出典'!$C$36*'契約別単価'!L5+'前提と出典'!$C$37*'契約別単価'!L6+'前提と出典'!$C$38*'契約別単価'!L7)</ns0:f>
        <ns0:v>230170.98952864882</ns0:v>
      </ns0:c>
      <ns0:c r="M675" s="16">
        <ns0:f>IF(('前提と出典'!$C$36+'前提と出典'!$C$38)=0,0,IF(B675&lt;=10,'前提と出典'!B73+'前提と出典'!C73,IF(B675&lt;=100,'前提と出典'!B74+'前提と出典'!C74,IF(B675&lt;=500,'前提と出典'!B75+'前提と出典'!C75,'前提と出典'!B76+'前提と出典'!C76))))</ns0:f>
        <ns0:v>40000</ns0:v>
      </ns0:c>
      <ns0:c r="N675" s="16">
        <ns0:f>IF(('前提と出典'!$C$37+'前提と出典'!$C$38)=0,0,IF(C675&lt;=10,'前提と出典'!D73+'前提と出典'!E73,IF(C675&lt;=100,'前提と出典'!D74+'前提と出典'!E74,IF(C675&lt;=500,'前提と出典'!D75+'前提と出典'!E75,'前提と出典'!D76+'前提と出典'!E76))))</ns0:f>
        <ns0:v>56510.9346263078</ns0:v>
      </ns0:c>
      <ns0:c r="O675" s="16">
        <ns0:f>IF('前提と出典'!$C$36+'前提と出典'!$C$38=0,0,'前提と出典'!$B$4*IF('前提と出典'!$B$20=0,MAX('前提と出典'!$B$6,D675*'前提と出典'!$B$5),'前提と出典'!$B$6+D675*'前提と出典'!$B$5))</ns0:f>
        <ns0:v>666291.7541899441</ns0:v>
      </ns0:c>
      <ns0:c r="P675" s="16">
        <ns0:f>(E675+G675)*(1-'前提と出典'!$B$7)-I675-K675-M675-O675</ns0:f>
        <ns0:v>1896328.776564942</ns0:v>
      </ns0:c>
      <ns0:c r="Q675" s="16">
        <ns0:f>(F675+H675)*(1-'前提と出典'!$B$7)-J675-L675-N675</ns0:f>
        <ns0:v>566706.7432361575</ns0:v>
      </ns0:c>
      <ns0:c r="R675" s="16">
        <ns0:f>P675-E675*'前提と出典'!$E$4</ns0:f>
        <ns0:v>1390286.157116546</ns0:v>
      </ns0:c>
      <ns0:c r="S675" s="16">
        <ns0:f>Q675-F675*'前提と出典'!$E$4</ns0:f>
        <ns0:v>419663.6932199118</ns0:v>
      </ns0:c>
      <ns0:c r="T675" s="7">
        <ns0:f>R675+S675</ns0:f>
        <ns0:v>1809949.8503364578</ns0:v>
      </ns0:c>
      <ns0:c r="U675" s="16">
        <ns0:f>P675-E675*'前提と出典'!$E$5</ns0:f>
        <ns0:v>1221605.2839670808</ns0:v>
      </ns0:c>
      <ns0:c r="V675" s="16">
        <ns0:f>Q675-F675*'前提と出典'!$E$5</ns0:f>
        <ns0:v>370649.3432144965</ns0:v>
      </ns0:c>
      <ns0:c r="W675" s="7">
        <ns0:f>U675+V675</ns0:f>
        <ns0:v>1592254.6271815773</ns0:v>
      </ns0:c>
      <ns0:c r="X675" s="16">
        <ns0:f>P675-E675*'前提と出典'!$E$6</ns0:f>
        <ns0:v>1052924.4108176157</ns0:v>
      </ns0:c>
      <ns0:c r="Y675" s="16">
        <ns0:f>Q675-F675*'前提と出典'!$E$6</ns0:f>
        <ns0:v>321634.99320908124</ns0:v>
      </ns0:c>
      <ns0:c r="Z675" s="7">
        <ns0:f>X675+Y675</ns0:f>
        <ns0:v>1374559.404026697</ns0:v>
      </ns0:c>
      <ns0:c r="AA675" s="7">
        <ns0:f>IF(T675&gt;=0,A675,1001)</ns0:f>
        <ns0:v>671</ns0:v>
      </ns0:c>
      <ns0:c r="AB675" s="7">
        <ns0:f>IF(T675&lt;0,A675,0)</ns0:f>
        <ns0:v>0</ns0:v>
      </ns0:c>
      <ns0:c r="AC675" s="16">
        <ns0:f>IF(AND(OR('前提と出典'!$C$36+'前提と出典'!$C$38=0,R675&gt;=0),OR('前提と出典'!$C$37+'前提と出典'!$C$38=0,S675&gt;=0)),0,A675)</ns0:f>
        <ns0:v>0</ns0:v>
      </ns0:c>
      <ns0:c r="AD675" s="7">
        <ns0:f>IF(W675&gt;=0,A675,1001)</ns0:f>
        <ns0:v>671</ns0:v>
      </ns0:c>
      <ns0:c r="AE675" s="7">
        <ns0:f>IF(W675&lt;0,A675,0)</ns0:f>
        <ns0:v>0</ns0:v>
      </ns0:c>
      <ns0:c r="AF675" s="16">
        <ns0:f>IF(AND(OR('前提と出典'!$C$36+'前提と出典'!$C$38=0,U675&gt;=0),OR('前提と出典'!$C$37+'前提と出典'!$C$38=0,V675&gt;=0)),0,A675)</ns0:f>
        <ns0:v>0</ns0:v>
      </ns0:c>
      <ns0:c r="AG675" s="7">
        <ns0:f>IF(Z675&gt;=0,A675,1001)</ns0:f>
        <ns0:v>671</ns0:v>
      </ns0:c>
      <ns0:c r="AH675" s="4">
        <ns0:f>IF(Z675&lt;0,A675,0)</ns0:f>
        <ns0:v>0</ns0:v>
      </ns0:c>
      <ns0:c r="AI675" s="12">
        <ns0:f>IF(AND(OR('前提と出典'!$C$36+'前提と出典'!$C$38=0,X675&gt;=0),OR('前提と出典'!$C$37+'前提と出典'!$C$38=0,Y675&gt;=0)),0,A675)</ns0:f>
        <ns0:v>0</ns0:v>
      </ns0:c>
    </ns0:row>
    <ns0:row r="676" ht="24" customHeight="1">
      <ns0:c r="A676" s="4" t="n">
        <ns0:v>672</ns0:v>
      </ns0:c>
      <ns0:c r="B676" s="12">
        <ns0:f>A676*('前提と出典'!$C$36+'前提と出典'!$C$38)</ns0:f>
        <ns0:v>470.4</ns0:v>
      </ns0:c>
      <ns0:c r="C676" s="12">
        <ns0:f>A676*('前提と出典'!$C$37+'前提と出典'!$C$38)</ns0:f>
        <ns0:v>403.2</ns0:v>
      </ns0:c>
      <ns0:c r="D676" s="16">
        <ns0:f>A676*('前提と出典'!$C$36*'契約別単価'!C5+'前提と出典'!$C$37*'契約別単価'!C6+'前提と出典'!$C$38*'契約別単価'!C7)</ns0:f>
        <ns0:v>4835.3966480446925</ns0:v>
      </ns0:c>
      <ns0:c r="E676" s="16">
        <ns0:f>A676*('前提と出典'!$C$36*'契約別単価'!E5+'前提と出典'!$C$37*'契約別単価'!E6+'前提と出典'!$C$38*'契約別単価'!E7)</ns0:f>
        <ns0:v>1689322.6044178936</ns0:v>
      </ns0:c>
      <ns0:c r="F676" s="16">
        <ns0:f>A676*('前提と出典'!$C$36*'契約別単価'!F5+'前提と出典'!$C$37*'契約別単価'!F6+'前提と出典'!$C$38*'契約別単価'!F7)</ns0:f>
        <ns0:v>490873.9672673479</ns0:v>
      </ns0:c>
      <ns0:c r="G676" s="16">
        <ns0:f>A676*('前提と出典'!$C$36*'契約別単価'!G5+'前提と出典'!$C$37*'契約別単価'!G6+'前提と出典'!$C$38*'契約別単価'!G7)</ns0:f>
        <ns0:v>1337617.877094972</ns0:v>
      </ns0:c>
      <ns0:c r="H676" s="16">
        <ns0:f>A676*('前提と出典'!$C$36*'契約別単価'!H5+'前提と出典'!$C$37*'契約別単価'!H6+'前提と出典'!$C$38*'契約別単価'!H7)</ns0:f>
        <ns0:v>464220.4901602986</ns0:v>
      </ns0:c>
      <ns0:c r="I676" s="16">
        <ns0:f>A676*('前提と出典'!$C$36*'契約別単価'!I5+'前提と出典'!$C$37*'契約別単価'!I6+'前提と出典'!$C$38*'契約別単価'!I7)</ns0:f>
        <ns0:v>28355.396648044687</ns0:v>
      </ns0:c>
      <ns0:c r="J676" s="16">
        <ns0:f>A676*('前提と出典'!$C$36*'契約別単価'!J5+'前提と出典'!$C$37*'契約別単価'!J6+'前提と出典'!$C$38*'契約別単価'!J7)</ns0:f>
        <ns0:v>66050.57337332332</ns0:v>
      </ns0:c>
      <ns0:c r="K676" s="16">
        <ns0:f>A676*('前提と出典'!$C$36*'契約別単価'!K5+'前提と出典'!$C$37*'契約別単価'!K6+'前提と出典'!$C$38*'契約別単価'!K7)</ns0:f>
        <ns0:v>283115.97765363124</ns0:v>
      </ns0:c>
      <ns0:c r="L676" s="16">
        <ns0:f>A676*('前提と出典'!$C$36*'契約別単価'!L5+'前提と出典'!$C$37*'契約別単価'!L6+'前提と出典'!$C$38*'契約別単価'!L7)</ns0:f>
        <ns0:v>230514.01633867662</ns0:v>
      </ns0:c>
      <ns0:c r="M676" s="16">
        <ns0:f>IF(('前提と出典'!$C$36+'前提と出典'!$C$38)=0,0,IF(B676&lt;=10,'前提と出典'!B73+'前提と出典'!C73,IF(B676&lt;=100,'前提と出典'!B74+'前提と出典'!C74,IF(B676&lt;=500,'前提と出典'!B75+'前提と出典'!C75,'前提と出典'!B76+'前提と出典'!C76))))</ns0:f>
        <ns0:v>40000</ns0:v>
      </ns0:c>
      <ns0:c r="N676" s="16">
        <ns0:f>IF(('前提と出典'!$C$37+'前提と出典'!$C$38)=0,0,IF(C676&lt;=10,'前提と出典'!D73+'前提と出典'!E73,IF(C676&lt;=100,'前提と出典'!D74+'前提と出典'!E74,IF(C676&lt;=500,'前提と出典'!D75+'前提と出典'!E75,'前提と出典'!D76+'前提と出典'!E76))))</ns0:f>
        <ns0:v>56510.9346263078</ns0:v>
      </ns0:c>
      <ns0:c r="O676" s="16">
        <ns0:f>IF('前提と出典'!$C$36+'前提と出典'!$C$38=0,0,'前提と出典'!$B$4*IF('前提と出典'!$B$20=0,MAX('前提と出典'!$B$6,D676*'前提と出典'!$B$5),'前提と出典'!$B$6+D676*'前提と出典'!$B$5))</ns0:f>
        <ns0:v>667284.7374301675</ns0:v>
      </ns0:c>
      <ns0:c r="P676" s="16">
        <ns0:f>(E676+G676)*(1-'前提と出典'!$B$7)-I676-K676-M676-O676</ns0:f>
        <ns0:v>1899214.512446559</ns0:v>
      </ns0:c>
      <ns0:c r="Q676" s="16">
        <ns0:f>(F676+H676)*(1-'前提と出典'!$B$7)-J676-L676-N676</ns0:f>
        <ns0:v>567635.5326219434</ns0:v>
      </ns0:c>
      <ns0:c r="R676" s="16">
        <ns0:f>P676-E676*'前提と出典'!$E$4</ns0:f>
        <ns0:v>1392417.7311211908</ns0:v>
      </ns0:c>
      <ns0:c r="S676" s="16">
        <ns0:f>Q676-F676*'前提と出典'!$E$4</ns0:f>
        <ns0:v>420373.3424417391</ns0:v>
      </ns0:c>
      <ns0:c r="T676" s="7">
        <ns0:f>R676+S676</ns0:f>
        <ns0:v>1812791.0735629299</ns0:v>
      </ns0:c>
      <ns0:c r="U676" s="16">
        <ns0:f>P676-E676*'前提と出典'!$E$5</ns0:f>
        <ns0:v>1223485.4706794014</ns0:v>
      </ns0:c>
      <ns0:c r="V676" s="16">
        <ns0:f>Q676-F676*'前提と出典'!$E$5</ns0:f>
        <ns0:v>371285.9457150043</ns0:v>
      </ns0:c>
      <ns0:c r="W676" s="7">
        <ns0:f>U676+V676</ns0:f>
        <ns0:v>1594771.4163944058</ns0:v>
      </ns0:c>
      <ns0:c r="X676" s="16">
        <ns0:f>P676-E676*'前提と出典'!$E$6</ns0:f>
        <ns0:v>1054553.2102376125</ns0:v>
      </ns0:c>
      <ns0:c r="Y676" s="16">
        <ns0:f>Q676-F676*'前提と出典'!$E$6</ns0:f>
        <ns0:v>322198.54898826947</ns0:v>
      </ns0:c>
      <ns0:c r="Z676" s="7">
        <ns0:f>X676+Y676</ns0:f>
        <ns0:v>1376751.759225882</ns0:v>
      </ns0:c>
      <ns0:c r="AA676" s="7">
        <ns0:f>IF(T676&gt;=0,A676,1001)</ns0:f>
        <ns0:v>672</ns0:v>
      </ns0:c>
      <ns0:c r="AB676" s="7">
        <ns0:f>IF(T676&lt;0,A676,0)</ns0:f>
        <ns0:v>0</ns0:v>
      </ns0:c>
      <ns0:c r="AC676" s="16">
        <ns0:f>IF(AND(OR('前提と出典'!$C$36+'前提と出典'!$C$38=0,R676&gt;=0),OR('前提と出典'!$C$37+'前提と出典'!$C$38=0,S676&gt;=0)),0,A676)</ns0:f>
        <ns0:v>0</ns0:v>
      </ns0:c>
      <ns0:c r="AD676" s="7">
        <ns0:f>IF(W676&gt;=0,A676,1001)</ns0:f>
        <ns0:v>672</ns0:v>
      </ns0:c>
      <ns0:c r="AE676" s="7">
        <ns0:f>IF(W676&lt;0,A676,0)</ns0:f>
        <ns0:v>0</ns0:v>
      </ns0:c>
      <ns0:c r="AF676" s="16">
        <ns0:f>IF(AND(OR('前提と出典'!$C$36+'前提と出典'!$C$38=0,U676&gt;=0),OR('前提と出典'!$C$37+'前提と出典'!$C$38=0,V676&gt;=0)),0,A676)</ns0:f>
        <ns0:v>0</ns0:v>
      </ns0:c>
      <ns0:c r="AG676" s="7">
        <ns0:f>IF(Z676&gt;=0,A676,1001)</ns0:f>
        <ns0:v>672</ns0:v>
      </ns0:c>
      <ns0:c r="AH676" s="4">
        <ns0:f>IF(Z676&lt;0,A676,0)</ns0:f>
        <ns0:v>0</ns0:v>
      </ns0:c>
      <ns0:c r="AI676" s="12">
        <ns0:f>IF(AND(OR('前提と出典'!$C$36+'前提と出典'!$C$38=0,X676&gt;=0),OR('前提と出典'!$C$37+'前提と出典'!$C$38=0,Y676&gt;=0)),0,A676)</ns0:f>
        <ns0:v>0</ns0:v>
      </ns0:c>
    </ns0:row>
    <ns0:row r="677" ht="24" customHeight="1">
      <ns0:c r="A677" s="4" t="n">
        <ns0:v>673</ns0:v>
      </ns0:c>
      <ns0:c r="B677" s="12">
        <ns0:f>A677*('前提と出典'!$C$36+'前提と出典'!$C$38)</ns0:f>
        <ns0:v>471.09999999999997</ns0:v>
      </ns0:c>
      <ns0:c r="C677" s="12">
        <ns0:f>A677*('前提と出典'!$C$37+'前提と出典'!$C$38)</ns0:f>
        <ns0:v>403.8</ns0:v>
      </ns0:c>
      <ns0:c r="D677" s="16">
        <ns0:f>A677*('前提と出典'!$C$36*'契約別単価'!C5+'前提と出典'!$C$37*'契約別単価'!C6+'前提と出典'!$C$38*'契約別単価'!C7)</ns0:f>
        <ns0:v>4842.592178770949</ns0:v>
      </ns0:c>
      <ns0:c r="E677" s="16">
        <ns0:f>A677*('前提と出典'!$C$36*'契約別単価'!E5+'前提と出典'!$C$37*'契約別単価'!E6+'前提と出典'!$C$38*'契約別単価'!E7)</ns0:f>
        <ns0:v>1691836.4773411346</ns0:v>
      </ns0:c>
      <ns0:c r="F677" s="16">
        <ns0:f>A677*('前提と出典'!$C$36*'契約別単価'!F5+'前提と出典'!$C$37*'契約別単価'!F6+'前提と出典'!$C$38*'契約別単価'!F7)</ns0:f>
        <ns0:v>491604.43448054336</ns0:v>
      </ns0:c>
      <ns0:c r="G677" s="16">
        <ns0:f>A677*('前提と出典'!$C$36*'契約別単価'!G5+'前提と出典'!$C$37*'契約別単価'!G6+'前提と出典'!$C$38*'契約別単価'!G7)</ns0:f>
        <ns0:v>1339608.3798882682</ns0:v>
      </ns0:c>
      <ns0:c r="H677" s="16">
        <ns0:f>A677*('前提と出典'!$C$36*'契約別単価'!H5+'前提と出典'!$C$37*'契約別単価'!H6+'前提と出典'!$C$38*'契約別単価'!H7)</ns0:f>
        <ns0:v>464911.2944611324</ns0:v>
      </ns0:c>
      <ns0:c r="I677" s="16">
        <ns0:f>A677*('前提と出典'!$C$36*'契約別単価'!I5+'前提と出典'!$C$37*'契約別単価'!I6+'前提と出典'!$C$38*'契約別単価'!I7)</ns0:f>
        <ns0:v>28397.592178770945</ns0:v>
      </ns0:c>
      <ns0:c r="J677" s="16">
        <ns0:f>A677*('前提と出典'!$C$36*'契約別単価'!J5+'前提と出典'!$C$37*'契約別単価'!J6+'前提と出典'!$C$38*'契約別単価'!J7)</ns0:f>
        <ns0:v>66148.86291703362</ns0:v>
      </ns0:c>
      <ns0:c r="K677" s="16">
        <ns0:f>A677*('前提と出典'!$C$36*'契約別単価'!K5+'前提と出典'!$C$37*'契約別単価'!K6+'前提と出典'!$C$38*'契約別単価'!K7)</ns0:f>
        <ns0:v>283537.2811918063</ns0:v>
      </ns0:c>
      <ns0:c r="L677" s="16">
        <ns0:f>A677*('前提と出典'!$C$36*'契約別単価'!L5+'前提と出典'!$C$37*'契約別単価'!L6+'前提と出典'!$C$38*'契約別単価'!L7)</ns0:f>
        <ns0:v>230857.0431487044</ns0:v>
      </ns0:c>
      <ns0:c r="M677" s="16">
        <ns0:f>IF(('前提と出典'!$C$36+'前提と出典'!$C$38)=0,0,IF(B677&lt;=10,'前提と出典'!B73+'前提と出典'!C73,IF(B677&lt;=100,'前提と出典'!B74+'前提と出典'!C74,IF(B677&lt;=500,'前提と出典'!B75+'前提と出典'!C75,'前提と出典'!B76+'前提と出典'!C76))))</ns0:f>
        <ns0:v>40000</ns0:v>
      </ns0:c>
      <ns0:c r="N677" s="16">
        <ns0:f>IF(('前提と出典'!$C$37+'前提と出典'!$C$38)=0,0,IF(C677&lt;=10,'前提と出典'!D73+'前提と出典'!E73,IF(C677&lt;=100,'前提と出典'!D74+'前提と出典'!E74,IF(C677&lt;=500,'前提と出典'!D75+'前提と出典'!E75,'前提と出典'!D76+'前提と出典'!E76))))</ns0:f>
        <ns0:v>56510.9346263078</ns0:v>
      </ns0:c>
      <ns0:c r="O677" s="16">
        <ns0:f>IF('前提と出典'!$C$36+'前提と出典'!$C$38=0,0,'前提と出典'!$B$4*IF('前提と出典'!$B$20=0,MAX('前提と出典'!$B$6,D677*'前提と出典'!$B$5),'前提と出典'!$B$6+D677*'前提と出典'!$B$5))</ns0:f>
        <ns0:v>668277.720670391</ns0:v>
      </ns0:c>
      <ns0:c r="P677" s="16">
        <ns0:f>(E677+G677)*(1-'前提と出典'!$B$7)-I677-K677-M677-O677</ns0:f>
        <ns0:v>1902100.2483281763</ns0:v>
      </ns0:c>
      <ns0:c r="Q677" s="16">
        <ns0:f>(F677+H677)*(1-'前提と出典'!$B$7)-J677-L677-N677</ns0:f>
        <ns0:v>568564.3220077297</ns0:v>
      </ns0:c>
      <ns0:c r="R677" s="16">
        <ns0:f>P677-E677*'前提と出典'!$E$4</ns0:f>
        <ns0:v>1394549.3051258358</ns0:v>
      </ns0:c>
      <ns0:c r="S677" s="16">
        <ns0:f>Q677-F677*'前提と出典'!$E$4</ns0:f>
        <ns0:v>421082.9916635666</ns0:v>
      </ns0:c>
      <ns0:c r="T677" s="7">
        <ns0:f>R677+S677</ns0:f>
        <ns0:v>1815632.2967894024</ns0:v>
      </ns0:c>
      <ns0:c r="U677" s="16">
        <ns0:f>P677-E677*'前提と出典'!$E$5</ns0:f>
        <ns0:v>1225365.6573917223</ns0:v>
      </ns0:c>
      <ns0:c r="V677" s="16">
        <ns0:f>Q677-F677*'前提と出典'!$E$5</ns0:f>
        <ns0:v>371922.54821551224</ns0:v>
      </ns0:c>
      <ns0:c r="W677" s="7">
        <ns0:f>U677+V677</ns0:f>
        <ns0:v>1597288.2056072345</ns0:v>
      </ns0:c>
      <ns0:c r="X677" s="16">
        <ns0:f>P677-E677*'前提と出典'!$E$6</ns0:f>
        <ns0:v>1056182.0096576083</ns0:v>
      </ns0:c>
      <ns0:c r="Y677" s="16">
        <ns0:f>Q677-F677*'前提と出典'!$E$6</ns0:f>
        <ns0:v>322762.104767458</ns0:v>
      </ns0:c>
      <ns0:c r="Z677" s="7">
        <ns0:f>X677+Y677</ns0:f>
        <ns0:v>1378944.1144250664</ns0:v>
      </ns0:c>
      <ns0:c r="AA677" s="7">
        <ns0:f>IF(T677&gt;=0,A677,1001)</ns0:f>
        <ns0:v>673</ns0:v>
      </ns0:c>
      <ns0:c r="AB677" s="7">
        <ns0:f>IF(T677&lt;0,A677,0)</ns0:f>
        <ns0:v>0</ns0:v>
      </ns0:c>
      <ns0:c r="AC677" s="16">
        <ns0:f>IF(AND(OR('前提と出典'!$C$36+'前提と出典'!$C$38=0,R677&gt;=0),OR('前提と出典'!$C$37+'前提と出典'!$C$38=0,S677&gt;=0)),0,A677)</ns0:f>
        <ns0:v>0</ns0:v>
      </ns0:c>
      <ns0:c r="AD677" s="7">
        <ns0:f>IF(W677&gt;=0,A677,1001)</ns0:f>
        <ns0:v>673</ns0:v>
      </ns0:c>
      <ns0:c r="AE677" s="7">
        <ns0:f>IF(W677&lt;0,A677,0)</ns0:f>
        <ns0:v>0</ns0:v>
      </ns0:c>
      <ns0:c r="AF677" s="16">
        <ns0:f>IF(AND(OR('前提と出典'!$C$36+'前提と出典'!$C$38=0,U677&gt;=0),OR('前提と出典'!$C$37+'前提と出典'!$C$38=0,V677&gt;=0)),0,A677)</ns0:f>
        <ns0:v>0</ns0:v>
      </ns0:c>
      <ns0:c r="AG677" s="7">
        <ns0:f>IF(Z677&gt;=0,A677,1001)</ns0:f>
        <ns0:v>673</ns0:v>
      </ns0:c>
      <ns0:c r="AH677" s="4">
        <ns0:f>IF(Z677&lt;0,A677,0)</ns0:f>
        <ns0:v>0</ns0:v>
      </ns0:c>
      <ns0:c r="AI677" s="12">
        <ns0:f>IF(AND(OR('前提と出典'!$C$36+'前提と出典'!$C$38=0,X677&gt;=0),OR('前提と出典'!$C$37+'前提と出典'!$C$38=0,Y677&gt;=0)),0,A677)</ns0:f>
        <ns0:v>0</ns0:v>
      </ns0:c>
    </ns0:row>
    <ns0:row r="678" ht="24" customHeight="1">
      <ns0:c r="A678" s="4" t="n">
        <ns0:v>674</ns0:v>
      </ns0:c>
      <ns0:c r="B678" s="12">
        <ns0:f>A678*('前提と出典'!$C$36+'前提と出典'!$C$38)</ns0:f>
        <ns0:v>471.79999999999995</ns0:v>
      </ns0:c>
      <ns0:c r="C678" s="12">
        <ns0:f>A678*('前提と出典'!$C$37+'前提と出典'!$C$38)</ns0:f>
        <ns0:v>404.4</ns0:v>
      </ns0:c>
      <ns0:c r="D678" s="16">
        <ns0:f>A678*('前提と出典'!$C$36*'契約別単価'!C5+'前提と出典'!$C$37*'契約別単価'!C6+'前提と出典'!$C$38*'契約別単価'!C7)</ns0:f>
        <ns0:v>4849.787709497206</ns0:v>
      </ns0:c>
      <ns0:c r="E678" s="16">
        <ns0:f>A678*('前提と出典'!$C$36*'契約別単価'!E5+'前提と出典'!$C$37*'契約別単価'!E6+'前提と出典'!$C$38*'契約別単価'!E7)</ns0:f>
        <ns0:v>1694350.3502643756</ns0:v>
      </ns0:c>
      <ns0:c r="F678" s="16">
        <ns0:f>A678*('前提と出典'!$C$36*'契約別単価'!F5+'前提と出典'!$C$37*'契約別単価'!F6+'前提と出典'!$C$38*'契約別単価'!F7)</ns0:f>
        <ns0:v>492334.9016937388</ns0:v>
      </ns0:c>
      <ns0:c r="G678" s="16">
        <ns0:f>A678*('前提と出典'!$C$36*'契約別単価'!G5+'前提と出典'!$C$37*'契約別単価'!G6+'前提と出典'!$C$38*'契約別単価'!G7)</ns0:f>
        <ns0:v>1341598.8826815642</ns0:v>
      </ns0:c>
      <ns0:c r="H678" s="16">
        <ns0:f>A678*('前提と出典'!$C$36*'契約別単価'!H5+'前提と出典'!$C$37*'契約別単価'!H6+'前提と出典'!$C$38*'契約別単価'!H7)</ns0:f>
        <ns0:v>465602.09876196616</ns0:v>
      </ns0:c>
      <ns0:c r="I678" s="16">
        <ns0:f>A678*('前提と出典'!$C$36*'契約別単価'!I5+'前提と出典'!$C$37*'契約別単価'!I6+'前提と出典'!$C$38*'契約別単価'!I7)</ns0:f>
        <ns0:v>28439.787709497203</ns0:v>
      </ns0:c>
      <ns0:c r="J678" s="16">
        <ns0:f>A678*('前提と出典'!$C$36*'契約別単価'!J5+'前提と出典'!$C$37*'契約別単価'!J6+'前提と出典'!$C$38*'契約別単価'!J7)</ns0:f>
        <ns0:v>66247.15246074394</ns0:v>
      </ns0:c>
      <ns0:c r="K678" s="16">
        <ns0:f>A678*('前提と出典'!$C$36*'契約別単価'!K5+'前提と出典'!$C$37*'契約別単価'!K6+'前提と出典'!$C$38*'契約別単価'!K7)</ns0:f>
        <ns0:v>283958.5847299814</ns0:v>
      </ns0:c>
      <ns0:c r="L678" s="16">
        <ns0:f>A678*('前提と出典'!$C$36*'契約別単価'!L5+'前提と出典'!$C$37*'契約別単価'!L6+'前提と出典'!$C$38*'契約別単価'!L7)</ns0:f>
        <ns0:v>231200.0699587322</ns0:v>
      </ns0:c>
      <ns0:c r="M678" s="16">
        <ns0:f>IF(('前提と出典'!$C$36+'前提と出典'!$C$38)=0,0,IF(B678&lt;=10,'前提と出典'!B73+'前提と出典'!C73,IF(B678&lt;=100,'前提と出典'!B74+'前提と出典'!C74,IF(B678&lt;=500,'前提と出典'!B75+'前提と出典'!C75,'前提と出典'!B76+'前提と出典'!C76))))</ns0:f>
        <ns0:v>40000</ns0:v>
      </ns0:c>
      <ns0:c r="N678" s="16">
        <ns0:f>IF(('前提と出典'!$C$37+'前提と出典'!$C$38)=0,0,IF(C678&lt;=10,'前提と出典'!D73+'前提と出典'!E73,IF(C678&lt;=100,'前提と出典'!D74+'前提と出典'!E74,IF(C678&lt;=500,'前提と出典'!D75+'前提と出典'!E75,'前提と出典'!D76+'前提と出典'!E76))))</ns0:f>
        <ns0:v>56510.9346263078</ns0:v>
      </ns0:c>
      <ns0:c r="O678" s="16">
        <ns0:f>IF('前提と出典'!$C$36+'前提と出典'!$C$38=0,0,'前提と出典'!$B$4*IF('前提と出典'!$B$20=0,MAX('前提と出典'!$B$6,D678*'前提と出典'!$B$5),'前提と出典'!$B$6+D678*'前提と出典'!$B$5))</ns0:f>
        <ns0:v>669270.7039106145</ns0:v>
      </ns0:c>
      <ns0:c r="P678" s="16">
        <ns0:f>(E678+G678)*(1-'前提と出典'!$B$7)-I678-K678-M678-O678</ns0:f>
        <ns0:v>1904985.9842097922</ns0:v>
      </ns0:c>
      <ns0:c r="Q678" s="16">
        <ns0:f>(F678+H678)*(1-'前提と出典'!$B$7)-J678-L678-N678</ns0:f>
        <ns0:v>569493.1113935157</ns0:v>
      </ns0:c>
      <ns0:c r="R678" s="16">
        <ns0:f>P678-E678*'前提と出典'!$E$4</ns0:f>
        <ns0:v>1396680.8791304799</ns0:v>
      </ns0:c>
      <ns0:c r="S678" s="16">
        <ns0:f>Q678-F678*'前提と出典'!$E$4</ns0:f>
        <ns0:v>421792.64088539407</ns0:v>
      </ns0:c>
      <ns0:c r="T678" s="7">
        <ns0:f>R678+S678</ns0:f>
        <ns0:v>1818473.520015874</ns0:v>
      </ns0:c>
      <ns0:c r="U678" s="16">
        <ns0:f>P678-E678*'前提と出典'!$E$5</ns0:f>
        <ns0:v>1227245.8441040418</ns0:v>
      </ns0:c>
      <ns0:c r="V678" s="16">
        <ns0:f>Q678-F678*'前提と出典'!$E$5</ns0:f>
        <ns0:v>372559.15071602014</ns0:v>
      </ns0:c>
      <ns0:c r="W678" s="7">
        <ns0:f>U678+V678</ns0:f>
        <ns0:v>1599804.994820062</ns0:v>
      </ns0:c>
      <ns0:c r="X678" s="16">
        <ns0:f>P678-E678*'前提と出典'!$E$6</ns0:f>
        <ns0:v>1057810.8090776047</ns0:v>
      </ns0:c>
      <ns0:c r="Y678" s="16">
        <ns0:f>Q678-F678*'前提と出典'!$E$6</ns0:f>
        <ns0:v>323325.66054664634</ns0:v>
      </ns0:c>
      <ns0:c r="Z678" s="7">
        <ns0:f>X678+Y678</ns0:f>
        <ns0:v>1381136.4696242511</ns0:v>
      </ns0:c>
      <ns0:c r="AA678" s="7">
        <ns0:f>IF(T678&gt;=0,A678,1001)</ns0:f>
        <ns0:v>674</ns0:v>
      </ns0:c>
      <ns0:c r="AB678" s="7">
        <ns0:f>IF(T678&lt;0,A678,0)</ns0:f>
        <ns0:v>0</ns0:v>
      </ns0:c>
      <ns0:c r="AC678" s="16">
        <ns0:f>IF(AND(OR('前提と出典'!$C$36+'前提と出典'!$C$38=0,R678&gt;=0),OR('前提と出典'!$C$37+'前提と出典'!$C$38=0,S678&gt;=0)),0,A678)</ns0:f>
        <ns0:v>0</ns0:v>
      </ns0:c>
      <ns0:c r="AD678" s="7">
        <ns0:f>IF(W678&gt;=0,A678,1001)</ns0:f>
        <ns0:v>674</ns0:v>
      </ns0:c>
      <ns0:c r="AE678" s="7">
        <ns0:f>IF(W678&lt;0,A678,0)</ns0:f>
        <ns0:v>0</ns0:v>
      </ns0:c>
      <ns0:c r="AF678" s="16">
        <ns0:f>IF(AND(OR('前提と出典'!$C$36+'前提と出典'!$C$38=0,U678&gt;=0),OR('前提と出典'!$C$37+'前提と出典'!$C$38=0,V678&gt;=0)),0,A678)</ns0:f>
        <ns0:v>0</ns0:v>
      </ns0:c>
      <ns0:c r="AG678" s="7">
        <ns0:f>IF(Z678&gt;=0,A678,1001)</ns0:f>
        <ns0:v>674</ns0:v>
      </ns0:c>
      <ns0:c r="AH678" s="4">
        <ns0:f>IF(Z678&lt;0,A678,0)</ns0:f>
        <ns0:v>0</ns0:v>
      </ns0:c>
      <ns0:c r="AI678" s="12">
        <ns0:f>IF(AND(OR('前提と出典'!$C$36+'前提と出典'!$C$38=0,X678&gt;=0),OR('前提と出典'!$C$37+'前提と出典'!$C$38=0,Y678&gt;=0)),0,A678)</ns0:f>
        <ns0:v>0</ns0:v>
      </ns0:c>
    </ns0:row>
    <ns0:row r="679" ht="24" customHeight="1">
      <ns0:c r="A679" s="4" t="n">
        <ns0:v>675</ns0:v>
      </ns0:c>
      <ns0:c r="B679" s="12">
        <ns0:f>A679*('前提と出典'!$C$36+'前提と出典'!$C$38)</ns0:f>
        <ns0:v>472.49999999999994</ns0:v>
      </ns0:c>
      <ns0:c r="C679" s="12">
        <ns0:f>A679*('前提と出典'!$C$37+'前提と出典'!$C$38)</ns0:f>
        <ns0:v>405</ns0:v>
      </ns0:c>
      <ns0:c r="D679" s="16">
        <ns0:f>A679*('前提と出典'!$C$36*'契約別単価'!C5+'前提と出典'!$C$37*'契約別単価'!C6+'前提と出典'!$C$38*'契約別単価'!C7)</ns0:f>
        <ns0:v>4856.983240223463</ns0:v>
      </ns0:c>
      <ns0:c r="E679" s="16">
        <ns0:f>A679*('前提と出典'!$C$36*'契約別単価'!E5+'前提と出典'!$C$37*'契約別単価'!E6+'前提と出典'!$C$38*'契約別単価'!E7)</ns0:f>
        <ns0:v>1696864.2231876163</ns0:v>
      </ns0:c>
      <ns0:c r="F679" s="16">
        <ns0:f>A679*('前提と出典'!$C$36*'契約別単価'!F5+'前提と出典'!$C$37*'契約別単価'!F6+'前提と出典'!$C$38*'契約別単価'!F7)</ns0:f>
        <ns0:v>493065.3689069343</ns0:v>
      </ns0:c>
      <ns0:c r="G679" s="16">
        <ns0:f>A679*('前提と出典'!$C$36*'契約別単価'!G5+'前提と出典'!$C$37*'契約別単価'!G6+'前提と出典'!$C$38*'契約別単価'!G7)</ns0:f>
        <ns0:v>1343589.3854748602</ns0:v>
      </ns0:c>
      <ns0:c r="H679" s="16">
        <ns0:f>A679*('前提と出典'!$C$36*'契約別単価'!H5+'前提と出典'!$C$37*'契約別単価'!H6+'前提と出典'!$C$38*'契約別単価'!H7)</ns0:f>
        <ns0:v>466292.90306279995</ns0:v>
      </ns0:c>
      <ns0:c r="I679" s="16">
        <ns0:f>A679*('前提と出典'!$C$36*'契約別単価'!I5+'前提と出典'!$C$37*'契約別単価'!I6+'前提と出典'!$C$38*'契約別単価'!I7)</ns0:f>
        <ns0:v>28481.98324022346</ns0:v>
      </ns0:c>
      <ns0:c r="J679" s="16">
        <ns0:f>A679*('前提と出典'!$C$36*'契約別単価'!J5+'前提と出典'!$C$37*'契約別単価'!J6+'前提と出典'!$C$38*'契約別単価'!J7)</ns0:f>
        <ns0:v>66345.44200445423</ns0:v>
      </ns0:c>
      <ns0:c r="K679" s="16">
        <ns0:f>A679*('前提と出典'!$C$36*'契約別単価'!K5+'前提と出典'!$C$37*'契約別単価'!K6+'前提と出典'!$C$38*'契約別単価'!K7)</ns0:f>
        <ns0:v>284379.8882681564</ns0:v>
      </ns0:c>
      <ns0:c r="L679" s="16">
        <ns0:f>A679*('前提と出典'!$C$36*'契約別単価'!L5+'前提と出典'!$C$37*'契約別単価'!L6+'前提と出典'!$C$38*'契約別単価'!L7)</ns0:f>
        <ns0:v>231543.09676875998</ns0:v>
      </ns0:c>
      <ns0:c r="M679" s="16">
        <ns0:f>IF(('前提と出典'!$C$36+'前提と出典'!$C$38)=0,0,IF(B679&lt;=10,'前提と出典'!B73+'前提と出典'!C73,IF(B679&lt;=100,'前提と出典'!B74+'前提と出典'!C74,IF(B679&lt;=500,'前提と出典'!B75+'前提と出典'!C75,'前提と出典'!B76+'前提と出典'!C76))))</ns0:f>
        <ns0:v>40000</ns0:v>
      </ns0:c>
      <ns0:c r="N679" s="16">
        <ns0:f>IF(('前提と出典'!$C$37+'前提と出典'!$C$38)=0,0,IF(C679&lt;=10,'前提と出典'!D73+'前提と出典'!E73,IF(C679&lt;=100,'前提と出典'!D74+'前提と出典'!E74,IF(C679&lt;=500,'前提と出典'!D75+'前提と出典'!E75,'前提と出典'!D76+'前提と出典'!E76))))</ns0:f>
        <ns0:v>56510.9346263078</ns0:v>
      </ns0:c>
      <ns0:c r="O679" s="16">
        <ns0:f>IF('前提と出典'!$C$36+'前提と出典'!$C$38=0,0,'前提と出典'!$B$4*IF('前提と出典'!$B$20=0,MAX('前提と出典'!$B$6,D679*'前提と出典'!$B$5),'前提と出典'!$B$6+D679*'前提と出典'!$B$5))</ns0:f>
        <ns0:v>670263.687150838</ns0:v>
      </ns0:c>
      <ns0:c r="P679" s="16">
        <ns0:f>(E679+G679)*(1-'前提と出典'!$B$7)-I679-K679-M679-O679</ns0:f>
        <ns0:v>1907871.7200914097</ns0:v>
      </ns0:c>
      <ns0:c r="Q679" s="16">
        <ns0:f>(F679+H679)*(1-'前提と出典'!$B$7)-J679-L679-N679</ns0:f>
        <ns0:v>570421.9007793018</ns0:v>
      </ns0:c>
      <ns0:c r="R679" s="16">
        <ns0:f>P679-E679*'前提と出典'!$E$4</ns0:f>
        <ns0:v>1398812.4531351253</ns0:v>
      </ns0:c>
      <ns0:c r="S679" s="16">
        <ns0:f>Q679-F679*'前提と出典'!$E$4</ns0:f>
        <ns0:v>422502.29010722146</ns0:v>
      </ns0:c>
      <ns0:c r="T679" s="7">
        <ns0:f>R679+S679</ns0:f>
        <ns0:v>1821314.7432423467</ns0:v>
      </ns0:c>
      <ns0:c r="U679" s="16">
        <ns0:f>P679-E679*'前提と出典'!$E$5</ns0:f>
        <ns0:v>1229126.0308163632</ns0:v>
      </ns0:c>
      <ns0:c r="V679" s="16">
        <ns0:f>Q679-F679*'前提と出典'!$E$5</ns0:f>
        <ns0:v>373195.7532165281</ns0:v>
      </ns0:c>
      <ns0:c r="W679" s="7">
        <ns0:f>U679+V679</ns0:f>
        <ns0:v>1602321.7840328913</ns0:v>
      </ns0:c>
      <ns0:c r="X679" s="16">
        <ns0:f>P679-E679*'前提と出典'!$E$6</ns0:f>
        <ns0:v>1059439.6084976015</ns0:v>
      </ns0:c>
      <ns0:c r="Y679" s="16">
        <ns0:f>Q679-F679*'前提と出典'!$E$6</ns0:f>
        <ns0:v>323889.2163258346</ns0:v>
      </ns0:c>
      <ns0:c r="Z679" s="7">
        <ns0:f>X679+Y679</ns0:f>
        <ns0:v>1383328.824823436</ns0:v>
      </ns0:c>
      <ns0:c r="AA679" s="7">
        <ns0:f>IF(T679&gt;=0,A679,1001)</ns0:f>
        <ns0:v>675</ns0:v>
      </ns0:c>
      <ns0:c r="AB679" s="7">
        <ns0:f>IF(T679&lt;0,A679,0)</ns0:f>
        <ns0:v>0</ns0:v>
      </ns0:c>
      <ns0:c r="AC679" s="16">
        <ns0:f>IF(AND(OR('前提と出典'!$C$36+'前提と出典'!$C$38=0,R679&gt;=0),OR('前提と出典'!$C$37+'前提と出典'!$C$38=0,S679&gt;=0)),0,A679)</ns0:f>
        <ns0:v>0</ns0:v>
      </ns0:c>
      <ns0:c r="AD679" s="7">
        <ns0:f>IF(W679&gt;=0,A679,1001)</ns0:f>
        <ns0:v>675</ns0:v>
      </ns0:c>
      <ns0:c r="AE679" s="7">
        <ns0:f>IF(W679&lt;0,A679,0)</ns0:f>
        <ns0:v>0</ns0:v>
      </ns0:c>
      <ns0:c r="AF679" s="16">
        <ns0:f>IF(AND(OR('前提と出典'!$C$36+'前提と出典'!$C$38=0,U679&gt;=0),OR('前提と出典'!$C$37+'前提と出典'!$C$38=0,V679&gt;=0)),0,A679)</ns0:f>
        <ns0:v>0</ns0:v>
      </ns0:c>
      <ns0:c r="AG679" s="7">
        <ns0:f>IF(Z679&gt;=0,A679,1001)</ns0:f>
        <ns0:v>675</ns0:v>
      </ns0:c>
      <ns0:c r="AH679" s="4">
        <ns0:f>IF(Z679&lt;0,A679,0)</ns0:f>
        <ns0:v>0</ns0:v>
      </ns0:c>
      <ns0:c r="AI679" s="12">
        <ns0:f>IF(AND(OR('前提と出典'!$C$36+'前提と出典'!$C$38=0,X679&gt;=0),OR('前提と出典'!$C$37+'前提と出典'!$C$38=0,Y679&gt;=0)),0,A679)</ns0:f>
        <ns0:v>0</ns0:v>
      </ns0:c>
    </ns0:row>
    <ns0:row r="680" ht="24" customHeight="1">
      <ns0:c r="A680" s="4" t="n">
        <ns0:v>676</ns0:v>
      </ns0:c>
      <ns0:c r="B680" s="12">
        <ns0:f>A680*('前提と出典'!$C$36+'前提と出典'!$C$38)</ns0:f>
        <ns0:v>473.2</ns0:v>
      </ns0:c>
      <ns0:c r="C680" s="12">
        <ns0:f>A680*('前提と出典'!$C$37+'前提と出典'!$C$38)</ns0:f>
        <ns0:v>405.59999999999997</ns0:v>
      </ns0:c>
      <ns0:c r="D680" s="16">
        <ns0:f>A680*('前提と出典'!$C$36*'契約別単価'!C5+'前提と出典'!$C$37*'契約別単価'!C6+'前提と出典'!$C$38*'契約別単価'!C7)</ns0:f>
        <ns0:v>4864.17877094972</ns0:v>
      </ns0:c>
      <ns0:c r="E680" s="16">
        <ns0:f>A680*('前提と出典'!$C$36*'契約別単価'!E5+'前提と出典'!$C$37*'契約別単価'!E6+'前提と出典'!$C$38*'契約別単価'!E7)</ns0:f>
        <ns0:v>1699378.0961108573</ns0:v>
      </ns0:c>
      <ns0:c r="F680" s="16">
        <ns0:f>A680*('前提と出典'!$C$36*'契約別単価'!F5+'前提と出典'!$C$37*'契約別単価'!F6+'前提と出典'!$C$38*'契約別単価'!F7)</ns0:f>
        <ns0:v>493795.83612012974</ns0:v>
      </ns0:c>
      <ns0:c r="G680" s="16">
        <ns0:f>A680*('前提と出典'!$C$36*'契約別単価'!G5+'前提と出典'!$C$37*'契約別単価'!G6+'前提と出典'!$C$38*'契約別単価'!G7)</ns0:f>
        <ns0:v>1345579.8882681564</ns0:v>
      </ns0:c>
      <ns0:c r="H680" s="16">
        <ns0:f>A680*('前提と出典'!$C$36*'契約別単価'!H5+'前提と出典'!$C$37*'契約別単価'!H6+'前提と出典'!$C$38*'契約別単価'!H7)</ns0:f>
        <ns0:v>466983.70736363373</ns0:v>
      </ns0:c>
      <ns0:c r="I680" s="16">
        <ns0:f>A680*('前提と出典'!$C$36*'契約別単価'!I5+'前提と出典'!$C$37*'契約別単価'!I6+'前提と出典'!$C$38*'契約別単価'!I7)</ns0:f>
        <ns0:v>28524.178770949715</ns0:v>
      </ns0:c>
      <ns0:c r="J680" s="16">
        <ns0:f>A680*('前提と出典'!$C$36*'契約別単価'!J5+'前提と出典'!$C$37*'契約別単価'!J6+'前提と出典'!$C$38*'契約別単価'!J7)</ns0:f>
        <ns0:v>66443.73154816453</ns0:v>
      </ns0:c>
      <ns0:c r="K680" s="16">
        <ns0:f>A680*('前提と出典'!$C$36*'契約別単価'!K5+'前提と出典'!$C$37*'契約別単価'!K6+'前提と出典'!$C$38*'契約別単価'!K7)</ns0:f>
        <ns0:v>284801.19180633145</ns0:v>
      </ns0:c>
      <ns0:c r="L680" s="16">
        <ns0:f>A680*('前提と出典'!$C$36*'契約別単価'!L5+'前提と出典'!$C$37*'契約別単価'!L6+'前提と出典'!$C$38*'契約別単価'!L7)</ns0:f>
        <ns0:v>231886.12357878778</ns0:v>
      </ns0:c>
      <ns0:c r="M680" s="16">
        <ns0:f>IF(('前提と出典'!$C$36+'前提と出典'!$C$38)=0,0,IF(B680&lt;=10,'前提と出典'!B73+'前提と出典'!C73,IF(B680&lt;=100,'前提と出典'!B74+'前提と出典'!C74,IF(B680&lt;=500,'前提と出典'!B75+'前提と出典'!C75,'前提と出典'!B76+'前提と出典'!C76))))</ns0:f>
        <ns0:v>40000</ns0:v>
      </ns0:c>
      <ns0:c r="N680" s="16">
        <ns0:f>IF(('前提と出典'!$C$37+'前提と出典'!$C$38)=0,0,IF(C680&lt;=10,'前提と出典'!D73+'前提と出典'!E73,IF(C680&lt;=100,'前提と出典'!D74+'前提と出典'!E74,IF(C680&lt;=500,'前提と出典'!D75+'前提と出典'!E75,'前提と出典'!D76+'前提と出典'!E76))))</ns0:f>
        <ns0:v>56510.9346263078</ns0:v>
      </ns0:c>
      <ns0:c r="O680" s="16">
        <ns0:f>IF('前提と出典'!$C$36+'前提と出典'!$C$38=0,0,'前提と出典'!$B$4*IF('前提と出典'!$B$20=0,MAX('前提と出典'!$B$6,D680*'前提と出典'!$B$5),'前提と出典'!$B$6+D680*'前提と出典'!$B$5))</ns0:f>
        <ns0:v>671256.6703910615</ns0:v>
      </ns0:c>
      <ns0:c r="P680" s="16">
        <ns0:f>(E680+G680)*(1-'前提と出典'!$B$7)-I680-K680-M680-O680</ns0:f>
        <ns0:v>1910757.4559730266</ns0:v>
      </ns0:c>
      <ns0:c r="Q680" s="16">
        <ns0:f>(F680+H680)*(1-'前提と出典'!$B$7)-J680-L680-N680</ns0:f>
        <ns0:v>571350.6901650879</ns0:v>
      </ns0:c>
      <ns0:c r="R680" s="16">
        <ns0:f>P680-E680*'前提と出典'!$E$4</ns0:f>
        <ns0:v>1400944.0271397699</ns0:v>
      </ns0:c>
      <ns0:c r="S680" s="16">
        <ns0:f>Q680-F680*'前提と出典'!$E$4</ns0:f>
        <ns0:v>423211.93932904897</ns0:v>
      </ns0:c>
      <ns0:c r="T680" s="7">
        <ns0:f>R680+S680</ns0:f>
        <ns0:v>1824155.966468819</ns0:v>
      </ns0:c>
      <ns0:c r="U680" s="16">
        <ns0:f>P680-E680*'前提と出典'!$E$5</ns0:f>
        <ns0:v>1231006.2175286836</ns0:v>
      </ns0:c>
      <ns0:c r="V680" s="16">
        <ns0:f>Q680-F680*'前提と出典'!$E$5</ns0:f>
        <ns0:v>373832.35571703606</ns0:v>
      </ns0:c>
      <ns0:c r="W680" s="7">
        <ns0:f>U680+V680</ns0:f>
        <ns0:v>1604838.5732457195</ns0:v>
      </ns0:c>
      <ns0:c r="X680" s="16">
        <ns0:f>P680-E680*'前提と出典'!$E$6</ns0:f>
        <ns0:v>1061068.4079175983</ns0:v>
      </ns0:c>
      <ns0:c r="Y680" s="16">
        <ns0:f>Q680-F680*'前提と出典'!$E$6</ns0:f>
        <ns0:v>324452.77210502303</ns0:v>
      </ns0:c>
      <ns0:c r="Z680" s="7">
        <ns0:f>X680+Y680</ns0:f>
        <ns0:v>1385521.1800226213</ns0:v>
      </ns0:c>
      <ns0:c r="AA680" s="7">
        <ns0:f>IF(T680&gt;=0,A680,1001)</ns0:f>
        <ns0:v>676</ns0:v>
      </ns0:c>
      <ns0:c r="AB680" s="7">
        <ns0:f>IF(T680&lt;0,A680,0)</ns0:f>
        <ns0:v>0</ns0:v>
      </ns0:c>
      <ns0:c r="AC680" s="16">
        <ns0:f>IF(AND(OR('前提と出典'!$C$36+'前提と出典'!$C$38=0,R680&gt;=0),OR('前提と出典'!$C$37+'前提と出典'!$C$38=0,S680&gt;=0)),0,A680)</ns0:f>
        <ns0:v>0</ns0:v>
      </ns0:c>
      <ns0:c r="AD680" s="7">
        <ns0:f>IF(W680&gt;=0,A680,1001)</ns0:f>
        <ns0:v>676</ns0:v>
      </ns0:c>
      <ns0:c r="AE680" s="7">
        <ns0:f>IF(W680&lt;0,A680,0)</ns0:f>
        <ns0:v>0</ns0:v>
      </ns0:c>
      <ns0:c r="AF680" s="16">
        <ns0:f>IF(AND(OR('前提と出典'!$C$36+'前提と出典'!$C$38=0,U680&gt;=0),OR('前提と出典'!$C$37+'前提と出典'!$C$38=0,V680&gt;=0)),0,A680)</ns0:f>
        <ns0:v>0</ns0:v>
      </ns0:c>
      <ns0:c r="AG680" s="7">
        <ns0:f>IF(Z680&gt;=0,A680,1001)</ns0:f>
        <ns0:v>676</ns0:v>
      </ns0:c>
      <ns0:c r="AH680" s="4">
        <ns0:f>IF(Z680&lt;0,A680,0)</ns0:f>
        <ns0:v>0</ns0:v>
      </ns0:c>
      <ns0:c r="AI680" s="12">
        <ns0:f>IF(AND(OR('前提と出典'!$C$36+'前提と出典'!$C$38=0,X680&gt;=0),OR('前提と出典'!$C$37+'前提と出典'!$C$38=0,Y680&gt;=0)),0,A680)</ns0:f>
        <ns0:v>0</ns0:v>
      </ns0:c>
    </ns0:row>
    <ns0:row r="681" ht="24" customHeight="1">
      <ns0:c r="A681" s="4" t="n">
        <ns0:v>677</ns0:v>
      </ns0:c>
      <ns0:c r="B681" s="12">
        <ns0:f>A681*('前提と出典'!$C$36+'前提と出典'!$C$38)</ns0:f>
        <ns0:v>473.9</ns0:v>
      </ns0:c>
      <ns0:c r="C681" s="12">
        <ns0:f>A681*('前提と出典'!$C$37+'前提と出典'!$C$38)</ns0:f>
        <ns0:v>406.2</ns0:v>
      </ns0:c>
      <ns0:c r="D681" s="16">
        <ns0:f>A681*('前提と出典'!$C$36*'契約別単価'!C5+'前提と出典'!$C$37*'契約別単価'!C6+'前提と出典'!$C$38*'契約別単価'!C7)</ns0:f>
        <ns0:v>4871.374301675977</ns0:v>
      </ns0:c>
      <ns0:c r="E681" s="16">
        <ns0:f>A681*('前提と出典'!$C$36*'契約別単価'!E5+'前提と出典'!$C$37*'契約別単価'!E6+'前提と出典'!$C$38*'契約別単価'!E7)</ns0:f>
        <ns0:v>1701891.9690340983</ns0:v>
      </ns0:c>
      <ns0:c r="F681" s="16">
        <ns0:f>A681*('前提と出典'!$C$36*'契約別単価'!F5+'前提と出典'!$C$37*'契約別単価'!F6+'前提と出典'!$C$38*'契約別単価'!F7)</ns0:f>
        <ns0:v>494526.3033333252</ns0:v>
      </ns0:c>
      <ns0:c r="G681" s="16">
        <ns0:f>A681*('前提と出典'!$C$36*'契約別単価'!G5+'前提と出典'!$C$37*'契約別単価'!G6+'前提と出典'!$C$38*'契約別単価'!G7)</ns0:f>
        <ns0:v>1347570.3910614525</ns0:v>
      </ns0:c>
      <ns0:c r="H681" s="16">
        <ns0:f>A681*('前提と出典'!$C$36*'契約別単価'!H5+'前提と出典'!$C$37*'契約別単価'!H6+'前提と出典'!$C$38*'契約別単価'!H7)</ns0:f>
        <ns0:v>467674.5116644675</ns0:v>
      </ns0:c>
      <ns0:c r="I681" s="16">
        <ns0:f>A681*('前提と出典'!$C$36*'契約別単価'!I5+'前提と出典'!$C$37*'契約別単価'!I6+'前提と出典'!$C$38*'契約別単価'!I7)</ns0:f>
        <ns0:v>28566.374301675973</ns0:v>
      </ns0:c>
      <ns0:c r="J681" s="16">
        <ns0:f>A681*('前提と出典'!$C$36*'契約別単価'!J5+'前提と出典'!$C$37*'契約別単価'!J6+'前提と出典'!$C$38*'契約別単価'!J7)</ns0:f>
        <ns0:v>66542.02109187483</ns0:v>
      </ns0:c>
      <ns0:c r="K681" s="16">
        <ns0:f>A681*('前提と出典'!$C$36*'契約別単価'!K5+'前提と出典'!$C$37*'契約別単価'!K6+'前提と出典'!$C$38*'契約別単価'!K7)</ns0:f>
        <ns0:v>285222.4953445065</ns0:v>
      </ns0:c>
      <ns0:c r="L681" s="16">
        <ns0:f>A681*('前提と出典'!$C$36*'契約別単価'!L5+'前提と出典'!$C$37*'契約別単価'!L6+'前提と出典'!$C$38*'契約別単価'!L7)</ns0:f>
        <ns0:v>232229.1503888156</ns0:v>
      </ns0:c>
      <ns0:c r="M681" s="16">
        <ns0:f>IF(('前提と出典'!$C$36+'前提と出典'!$C$38)=0,0,IF(B681&lt;=10,'前提と出典'!B73+'前提と出典'!C73,IF(B681&lt;=100,'前提と出典'!B74+'前提と出典'!C74,IF(B681&lt;=500,'前提と出典'!B75+'前提と出典'!C75,'前提と出典'!B76+'前提と出典'!C76))))</ns0:f>
        <ns0:v>40000</ns0:v>
      </ns0:c>
      <ns0:c r="N681" s="16">
        <ns0:f>IF(('前提と出典'!$C$37+'前提と出典'!$C$38)=0,0,IF(C681&lt;=10,'前提と出典'!D73+'前提と出典'!E73,IF(C681&lt;=100,'前提と出典'!D74+'前提と出典'!E74,IF(C681&lt;=500,'前提と出典'!D75+'前提と出典'!E75,'前提と出典'!D76+'前提と出典'!E76))))</ns0:f>
        <ns0:v>56510.9346263078</ns0:v>
      </ns0:c>
      <ns0:c r="O681" s="16">
        <ns0:f>IF('前提と出典'!$C$36+'前提と出典'!$C$38=0,0,'前提と出典'!$B$4*IF('前提と出典'!$B$20=0,MAX('前提と出典'!$B$6,D681*'前提と出典'!$B$5),'前提と出典'!$B$6+D681*'前提と出典'!$B$5))</ns0:f>
        <ns0:v>672249.653631285</ns0:v>
      </ns0:c>
      <ns0:c r="P681" s="16">
        <ns0:f>(E681+G681)*(1-'前提と出典'!$B$7)-I681-K681-M681-O681</ns0:f>
        <ns0:v>1913643.1918546434</ns0:v>
      </ns0:c>
      <ns0:c r="Q681" s="16">
        <ns0:f>(F681+H681)*(1-'前提と出典'!$B$7)-J681-L681-N681</ns0:f>
        <ns0:v>572279.479550874</ns0:v>
      </ns0:c>
      <ns0:c r="R681" s="16">
        <ns0:f>P681-E681*'前提と出典'!$E$4</ns0:f>
        <ns0:v>1403075.6011444135</ns0:v>
      </ns0:c>
      <ns0:c r="S681" s="16">
        <ns0:f>Q681-F681*'前提と出典'!$E$4</ns0:f>
        <ns0:v>423921.5885508765</ns0:v>
      </ns0:c>
      <ns0:c r="T681" s="7">
        <ns0:f>R681+S681</ns0:f>
        <ns0:v>1826997.1896952898</ns0:v>
      </ns0:c>
      <ns0:c r="U681" s="16">
        <ns0:f>P681-E681*'前提と出典'!$E$5</ns0:f>
        <ns0:v>1232886.404241004</ns0:v>
      </ns0:c>
      <ns0:c r="V681" s="16">
        <ns0:f>Q681-F681*'前提と出典'!$E$5</ns0:f>
        <ns0:v>374468.9582175439</ns0:v>
      </ns0:c>
      <ns0:c r="W681" s="7">
        <ns0:f>U681+V681</ns0:f>
        <ns0:v>1607355.362458548</ns0:v>
      </ns0:c>
      <ns0:c r="X681" s="16">
        <ns0:f>P681-E681*'前提と出典'!$E$6</ns0:f>
        <ns0:v>1062697.2073375946</ns0:v>
      </ns0:c>
      <ns0:c r="Y681" s="16">
        <ns0:f>Q681-F681*'前提と出典'!$E$6</ns0:f>
        <ns0:v>325016.3278842113</ns0:v>
      </ns0:c>
      <ns0:c r="Z681" s="7">
        <ns0:f>X681+Y681</ns0:f>
        <ns0:v>1387713.5352218058</ns0:v>
      </ns0:c>
      <ns0:c r="AA681" s="7">
        <ns0:f>IF(T681&gt;=0,A681,1001)</ns0:f>
        <ns0:v>677</ns0:v>
      </ns0:c>
      <ns0:c r="AB681" s="7">
        <ns0:f>IF(T681&lt;0,A681,0)</ns0:f>
        <ns0:v>0</ns0:v>
      </ns0:c>
      <ns0:c r="AC681" s="16">
        <ns0:f>IF(AND(OR('前提と出典'!$C$36+'前提と出典'!$C$38=0,R681&gt;=0),OR('前提と出典'!$C$37+'前提と出典'!$C$38=0,S681&gt;=0)),0,A681)</ns0:f>
        <ns0:v>0</ns0:v>
      </ns0:c>
      <ns0:c r="AD681" s="7">
        <ns0:f>IF(W681&gt;=0,A681,1001)</ns0:f>
        <ns0:v>677</ns0:v>
      </ns0:c>
      <ns0:c r="AE681" s="7">
        <ns0:f>IF(W681&lt;0,A681,0)</ns0:f>
        <ns0:v>0</ns0:v>
      </ns0:c>
      <ns0:c r="AF681" s="16">
        <ns0:f>IF(AND(OR('前提と出典'!$C$36+'前提と出典'!$C$38=0,U681&gt;=0),OR('前提と出典'!$C$37+'前提と出典'!$C$38=0,V681&gt;=0)),0,A681)</ns0:f>
        <ns0:v>0</ns0:v>
      </ns0:c>
      <ns0:c r="AG681" s="7">
        <ns0:f>IF(Z681&gt;=0,A681,1001)</ns0:f>
        <ns0:v>677</ns0:v>
      </ns0:c>
      <ns0:c r="AH681" s="4">
        <ns0:f>IF(Z681&lt;0,A681,0)</ns0:f>
        <ns0:v>0</ns0:v>
      </ns0:c>
      <ns0:c r="AI681" s="12">
        <ns0:f>IF(AND(OR('前提と出典'!$C$36+'前提と出典'!$C$38=0,X681&gt;=0),OR('前提と出典'!$C$37+'前提と出典'!$C$38=0,Y681&gt;=0)),0,A681)</ns0:f>
        <ns0:v>0</ns0:v>
      </ns0:c>
    </ns0:row>
    <ns0:row r="682" ht="24" customHeight="1">
      <ns0:c r="A682" s="4" t="n">
        <ns0:v>678</ns0:v>
      </ns0:c>
      <ns0:c r="B682" s="12">
        <ns0:f>A682*('前提と出典'!$C$36+'前提と出典'!$C$38)</ns0:f>
        <ns0:v>474.59999999999997</ns0:v>
      </ns0:c>
      <ns0:c r="C682" s="12">
        <ns0:f>A682*('前提と出典'!$C$37+'前提と出典'!$C$38)</ns0:f>
        <ns0:v>406.8</ns0:v>
      </ns0:c>
      <ns0:c r="D682" s="16">
        <ns0:f>A682*('前提と出典'!$C$36*'契約別単価'!C5+'前提と出典'!$C$37*'契約別単価'!C6+'前提と出典'!$C$38*'契約別単価'!C7)</ns0:f>
        <ns0:v>4878.569832402234</ns0:v>
      </ns0:c>
      <ns0:c r="E682" s="16">
        <ns0:f>A682*('前提と出典'!$C$36*'契約別単価'!E5+'前提と出典'!$C$37*'契約別単価'!E6+'前提と出典'!$C$38*'契約別単価'!E7)</ns0:f>
        <ns0:v>1704405.841957339</ns0:v>
      </ns0:c>
      <ns0:c r="F682" s="16">
        <ns0:f>A682*('前提と出典'!$C$36*'契約別単価'!F5+'前提と出典'!$C$37*'契約別単価'!F6+'前提と出典'!$C$38*'契約別単価'!F7)</ns0:f>
        <ns0:v>495256.77054652065</ns0:v>
      </ns0:c>
      <ns0:c r="G682" s="16">
        <ns0:f>A682*('前提と出典'!$C$36*'契約別単価'!G5+'前提と出典'!$C$37*'契約別単価'!G6+'前提と出典'!$C$38*'契約別単価'!G7)</ns0:f>
        <ns0:v>1349560.8938547485</ns0:v>
      </ns0:c>
      <ns0:c r="H682" s="16">
        <ns0:f>A682*('前提と出典'!$C$36*'契約別単価'!H5+'前提と出典'!$C$37*'契約別単価'!H6+'前提と出典'!$C$38*'契約別単価'!H7)</ns0:f>
        <ns0:v>468365.3159653013</ns0:v>
      </ns0:c>
      <ns0:c r="I682" s="16">
        <ns0:f>A682*('前提と出典'!$C$36*'契約別単価'!I5+'前提と出典'!$C$37*'契約別単価'!I6+'前提と出典'!$C$38*'契約別単価'!I7)</ns0:f>
        <ns0:v>28608.56983240223</ns0:v>
      </ns0:c>
      <ns0:c r="J682" s="16">
        <ns0:f>A682*('前提と出典'!$C$36*'契約別単価'!J5+'前提と出典'!$C$37*'契約別単価'!J6+'前提と出典'!$C$38*'契約別単価'!J7)</ns0:f>
        <ns0:v>66640.31063558513</ns0:v>
      </ns0:c>
      <ns0:c r="K682" s="16">
        <ns0:f>A682*('前提と出典'!$C$36*'契約別単価'!K5+'前提と出典'!$C$37*'契約別単価'!K6+'前提と出典'!$C$38*'契約別単価'!K7)</ns0:f>
        <ns0:v>285643.7988826815</ns0:v>
      </ns0:c>
      <ns0:c r="L682" s="16">
        <ns0:f>A682*('前提と出典'!$C$36*'契約別単価'!L5+'前提と出典'!$C$37*'契約別単価'!L6+'前提と出典'!$C$38*'契約別単価'!L7)</ns0:f>
        <ns0:v>232572.17719884336</ns0:v>
      </ns0:c>
      <ns0:c r="M682" s="16">
        <ns0:f>IF(('前提と出典'!$C$36+'前提と出典'!$C$38)=0,0,IF(B682&lt;=10,'前提と出典'!B73+'前提と出典'!C73,IF(B682&lt;=100,'前提と出典'!B74+'前提と出典'!C74,IF(B682&lt;=500,'前提と出典'!B75+'前提と出典'!C75,'前提と出典'!B76+'前提と出典'!C76))))</ns0:f>
        <ns0:v>40000</ns0:v>
      </ns0:c>
      <ns0:c r="N682" s="16">
        <ns0:f>IF(('前提と出典'!$C$37+'前提と出典'!$C$38)=0,0,IF(C682&lt;=10,'前提と出典'!D73+'前提と出典'!E73,IF(C682&lt;=100,'前提と出典'!D74+'前提と出典'!E74,IF(C682&lt;=500,'前提と出典'!D75+'前提と出典'!E75,'前提と出典'!D76+'前提と出典'!E76))))</ns0:f>
        <ns0:v>56510.9346263078</ns0:v>
      </ns0:c>
      <ns0:c r="O682" s="16">
        <ns0:f>IF('前提と出典'!$C$36+'前提と出典'!$C$38=0,0,'前提と出典'!$B$4*IF('前提と出典'!$B$20=0,MAX('前提と出典'!$B$6,D682*'前提と出典'!$B$5),'前提と出典'!$B$6+D682*'前提と出典'!$B$5))</ns0:f>
        <ns0:v>673242.6368715083</ns0:v>
      </ns0:c>
      <ns0:c r="P682" s="16">
        <ns0:f>(E682+G682)*(1-'前提と出典'!$B$7)-I682-K682-M682-O682</ns0:f>
        <ns0:v>1916528.9277362605</ns0:v>
      </ns0:c>
      <ns0:c r="Q682" s="16">
        <ns0:f>(F682+H682)*(1-'前提と出典'!$B$7)-J682-L682-N682</ns0:f>
        <ns0:v>573208.2689366601</ns0:v>
      </ns0:c>
      <ns0:c r="R682" s="16">
        <ns0:f>P682-E682*'前提と出典'!$E$4</ns0:f>
        <ns0:v>1405207.175149059</ns0:v>
      </ns0:c>
      <ns0:c r="S682" s="16">
        <ns0:f>Q682-F682*'前提と出典'!$E$4</ns0:f>
        <ns0:v>424631.237772704</ns0:v>
      </ns0:c>
      <ns0:c r="T682" s="7">
        <ns0:f>R682+S682</ns0:f>
        <ns0:v>1829838.412921763</ns0:v>
      </ns0:c>
      <ns0:c r="U682" s="16">
        <ns0:f>P682-E682*'前提と出典'!$E$5</ns0:f>
        <ns0:v>1234766.590953325</ns0:v>
      </ns0:c>
      <ns0:c r="V682" s="16">
        <ns0:f>Q682-F682*'前提と出典'!$E$5</ns0:f>
        <ns0:v>375105.56071805186</ns0:v>
      </ns0:c>
      <ns0:c r="W682" s="7">
        <ns0:f>U682+V682</ns0:f>
        <ns0:v>1609872.1516713768</ns0:v>
      </ns0:c>
      <ns0:c r="X682" s="16">
        <ns0:f>P682-E682*'前提と出典'!$E$6</ns0:f>
        <ns0:v>1064326.006757591</ns0:v>
      </ns0:c>
      <ns0:c r="Y682" s="16">
        <ns0:f>Q682-F682*'前提と出典'!$E$6</ns0:f>
        <ns0:v>325579.88366339984</ns0:v>
      </ns0:c>
      <ns0:c r="Z682" s="7">
        <ns0:f>X682+Y682</ns0:f>
        <ns0:v>1389905.8904209908</ns0:v>
      </ns0:c>
      <ns0:c r="AA682" s="7">
        <ns0:f>IF(T682&gt;=0,A682,1001)</ns0:f>
        <ns0:v>678</ns0:v>
      </ns0:c>
      <ns0:c r="AB682" s="7">
        <ns0:f>IF(T682&lt;0,A682,0)</ns0:f>
        <ns0:v>0</ns0:v>
      </ns0:c>
      <ns0:c r="AC682" s="16">
        <ns0:f>IF(AND(OR('前提と出典'!$C$36+'前提と出典'!$C$38=0,R682&gt;=0),OR('前提と出典'!$C$37+'前提と出典'!$C$38=0,S682&gt;=0)),0,A682)</ns0:f>
        <ns0:v>0</ns0:v>
      </ns0:c>
      <ns0:c r="AD682" s="7">
        <ns0:f>IF(W682&gt;=0,A682,1001)</ns0:f>
        <ns0:v>678</ns0:v>
      </ns0:c>
      <ns0:c r="AE682" s="7">
        <ns0:f>IF(W682&lt;0,A682,0)</ns0:f>
        <ns0:v>0</ns0:v>
      </ns0:c>
      <ns0:c r="AF682" s="16">
        <ns0:f>IF(AND(OR('前提と出典'!$C$36+'前提と出典'!$C$38=0,U682&gt;=0),OR('前提と出典'!$C$37+'前提と出典'!$C$38=0,V682&gt;=0)),0,A682)</ns0:f>
        <ns0:v>0</ns0:v>
      </ns0:c>
      <ns0:c r="AG682" s="7">
        <ns0:f>IF(Z682&gt;=0,A682,1001)</ns0:f>
        <ns0:v>678</ns0:v>
      </ns0:c>
      <ns0:c r="AH682" s="4">
        <ns0:f>IF(Z682&lt;0,A682,0)</ns0:f>
        <ns0:v>0</ns0:v>
      </ns0:c>
      <ns0:c r="AI682" s="12">
        <ns0:f>IF(AND(OR('前提と出典'!$C$36+'前提と出典'!$C$38=0,X682&gt;=0),OR('前提と出典'!$C$37+'前提と出典'!$C$38=0,Y682&gt;=0)),0,A682)</ns0:f>
        <ns0:v>0</ns0:v>
      </ns0:c>
    </ns0:row>
    <ns0:row r="683" ht="24" customHeight="1">
      <ns0:c r="A683" s="4" t="n">
        <ns0:v>679</ns0:v>
      </ns0:c>
      <ns0:c r="B683" s="12">
        <ns0:f>A683*('前提と出典'!$C$36+'前提と出典'!$C$38)</ns0:f>
        <ns0:v>475.29999999999995</ns0:v>
      </ns0:c>
      <ns0:c r="C683" s="12">
        <ns0:f>A683*('前提と出典'!$C$37+'前提と出典'!$C$38)</ns0:f>
        <ns0:v>407.4</ns0:v>
      </ns0:c>
      <ns0:c r="D683" s="16">
        <ns0:f>A683*('前提と出典'!$C$36*'契約別単価'!C5+'前提と出典'!$C$37*'契約別単価'!C6+'前提と出典'!$C$38*'契約別単価'!C7)</ns0:f>
        <ns0:v>4885.765363128492</ns0:v>
      </ns0:c>
      <ns0:c r="E683" s="16">
        <ns0:f>A683*('前提と出典'!$C$36*'契約別単価'!E5+'前提と出典'!$C$37*'契約別単価'!E6+'前提と出典'!$C$38*'契約別単価'!E7)</ns0:f>
        <ns0:v>1706919.71488058</ns0:v>
      </ns0:c>
      <ns0:c r="F683" s="16">
        <ns0:f>A683*('前提と出典'!$C$36*'契約別単価'!F5+'前提と出典'!$C$37*'契約別単価'!F6+'前提と出典'!$C$38*'契約別単価'!F7)</ns0:f>
        <ns0:v>495987.2377597161</ns0:v>
      </ns0:c>
      <ns0:c r="G683" s="16">
        <ns0:f>A683*('前提と出典'!$C$36*'契約別単価'!G5+'前提と出典'!$C$37*'契約別単価'!G6+'前提と出典'!$C$38*'契約別単価'!G7)</ns0:f>
        <ns0:v>1351551.3966480447</ns0:v>
      </ns0:c>
      <ns0:c r="H683" s="16">
        <ns0:f>A683*('前提と出典'!$C$36*'契約別単価'!H5+'前提と出典'!$C$37*'契約別単価'!H6+'前提と出典'!$C$38*'契約別単価'!H7)</ns0:f>
        <ns0:v>469056.120266135</ns0:v>
      </ns0:c>
      <ns0:c r="I683" s="16">
        <ns0:f>A683*('前提と出典'!$C$36*'契約別単価'!I5+'前提と出典'!$C$37*'契約別単価'!I6+'前提と出典'!$C$38*'契約別単価'!I7)</ns0:f>
        <ns0:v>28650.76536312849</ns0:v>
      </ns0:c>
      <ns0:c r="J683" s="16">
        <ns0:f>A683*('前提と出典'!$C$36*'契約別単価'!J5+'前提と出典'!$C$37*'契約別単価'!J6+'前提と出典'!$C$38*'契約別単価'!J7)</ns0:f>
        <ns0:v>66738.60017929545</ns0:v>
      </ns0:c>
      <ns0:c r="K683" s="16">
        <ns0:f>A683*('前提と出典'!$C$36*'契約別単価'!K5+'前提と出典'!$C$37*'契約別単価'!K6+'前提と出典'!$C$38*'契約別単価'!K7)</ns0:f>
        <ns0:v>286065.1024208566</ns0:v>
      </ns0:c>
      <ns0:c r="L683" s="16">
        <ns0:f>A683*('前提と出典'!$C$36*'契約別単価'!L5+'前提と出典'!$C$37*'契約別単価'!L6+'前提と出典'!$C$38*'契約別単価'!L7)</ns0:f>
        <ns0:v>232915.20400887117</ns0:v>
      </ns0:c>
      <ns0:c r="M683" s="16">
        <ns0:f>IF(('前提と出典'!$C$36+'前提と出典'!$C$38)=0,0,IF(B683&lt;=10,'前提と出典'!B73+'前提と出典'!C73,IF(B683&lt;=100,'前提と出典'!B74+'前提と出典'!C74,IF(B683&lt;=500,'前提と出典'!B75+'前提と出典'!C75,'前提と出典'!B76+'前提と出典'!C76))))</ns0:f>
        <ns0:v>40000</ns0:v>
      </ns0:c>
      <ns0:c r="N683" s="16">
        <ns0:f>IF(('前提と出典'!$C$37+'前提と出典'!$C$38)=0,0,IF(C683&lt;=10,'前提と出典'!D73+'前提と出典'!E73,IF(C683&lt;=100,'前提と出典'!D74+'前提と出典'!E74,IF(C683&lt;=500,'前提と出典'!D75+'前提と出典'!E75,'前提と出典'!D76+'前提と出典'!E76))))</ns0:f>
        <ns0:v>56510.9346263078</ns0:v>
      </ns0:c>
      <ns0:c r="O683" s="16">
        <ns0:f>IF('前提と出典'!$C$36+'前提と出典'!$C$38=0,0,'前提と出典'!$B$4*IF('前提と出典'!$B$20=0,MAX('前提と出典'!$B$6,D683*'前提と出典'!$B$5),'前提と出典'!$B$6+D683*'前提と出典'!$B$5))</ns0:f>
        <ns0:v>674235.620111732</ns0:v>
      </ns0:c>
      <ns0:c r="P683" s="16">
        <ns0:f>(E683+G683)*(1-'前提と出典'!$B$7)-I683-K683-M683-O683</ns0:f>
        <ns0:v>1919414.6636178773</ns0:v>
      </ns0:c>
      <ns0:c r="Q683" s="16">
        <ns0:f>(F683+H683)*(1-'前提と出典'!$B$7)-J683-L683-N683</ns0:f>
        <ns0:v>574137.0583224461</ns0:v>
      </ns0:c>
      <ns0:c r="R683" s="16">
        <ns0:f>P683-E683*'前提と出典'!$E$4</ns0:f>
        <ns0:v>1407338.7491537032</ns0:v>
      </ns0:c>
      <ns0:c r="S683" s="16">
        <ns0:f>Q683-F683*'前提と出典'!$E$4</ns0:f>
        <ns0:v>425340.8869945313</ns0:v>
      </ns0:c>
      <ns0:c r="T683" s="7">
        <ns0:f>R683+S683</ns0:f>
        <ns0:v>1832679.6361482346</ns0:v>
      </ns0:c>
      <ns0:c r="U683" s="16">
        <ns0:f>P683-E683*'前提と出典'!$E$5</ns0:f>
        <ns0:v>1236646.7776656451</ns0:v>
      </ns0:c>
      <ns0:c r="V683" s="16">
        <ns0:f>Q683-F683*'前提と出典'!$E$5</ns0:f>
        <ns0:v>375742.16321855964</ns0:v>
      </ns0:c>
      <ns0:c r="W683" s="7">
        <ns0:f>U683+V683</ns0:f>
        <ns0:v>1612388.9408842048</ns0:v>
      </ns0:c>
      <ns0:c r="X683" s="16">
        <ns0:f>P683-E683*'前提と出典'!$E$6</ns0:f>
        <ns0:v>1065954.806177587</ns0:v>
      </ns0:c>
      <ns0:c r="Y683" s="16">
        <ns0:f>Q683-F683*'前提と出典'!$E$6</ns0:f>
        <ns0:v>326143.4394425881</ns0:v>
      </ns0:c>
      <ns0:c r="Z683" s="7">
        <ns0:f>X683+Y683</ns0:f>
        <ns0:v>1392098.245620175</ns0:v>
      </ns0:c>
      <ns0:c r="AA683" s="7">
        <ns0:f>IF(T683&gt;=0,A683,1001)</ns0:f>
        <ns0:v>679</ns0:v>
      </ns0:c>
      <ns0:c r="AB683" s="7">
        <ns0:f>IF(T683&lt;0,A683,0)</ns0:f>
        <ns0:v>0</ns0:v>
      </ns0:c>
      <ns0:c r="AC683" s="16">
        <ns0:f>IF(AND(OR('前提と出典'!$C$36+'前提と出典'!$C$38=0,R683&gt;=0),OR('前提と出典'!$C$37+'前提と出典'!$C$38=0,S683&gt;=0)),0,A683)</ns0:f>
        <ns0:v>0</ns0:v>
      </ns0:c>
      <ns0:c r="AD683" s="7">
        <ns0:f>IF(W683&gt;=0,A683,1001)</ns0:f>
        <ns0:v>679</ns0:v>
      </ns0:c>
      <ns0:c r="AE683" s="7">
        <ns0:f>IF(W683&lt;0,A683,0)</ns0:f>
        <ns0:v>0</ns0:v>
      </ns0:c>
      <ns0:c r="AF683" s="16">
        <ns0:f>IF(AND(OR('前提と出典'!$C$36+'前提と出典'!$C$38=0,U683&gt;=0),OR('前提と出典'!$C$37+'前提と出典'!$C$38=0,V683&gt;=0)),0,A683)</ns0:f>
        <ns0:v>0</ns0:v>
      </ns0:c>
      <ns0:c r="AG683" s="7">
        <ns0:f>IF(Z683&gt;=0,A683,1001)</ns0:f>
        <ns0:v>679</ns0:v>
      </ns0:c>
      <ns0:c r="AH683" s="4">
        <ns0:f>IF(Z683&lt;0,A683,0)</ns0:f>
        <ns0:v>0</ns0:v>
      </ns0:c>
      <ns0:c r="AI683" s="12">
        <ns0:f>IF(AND(OR('前提と出典'!$C$36+'前提と出典'!$C$38=0,X683&gt;=0),OR('前提と出典'!$C$37+'前提と出典'!$C$38=0,Y683&gt;=0)),0,A683)</ns0:f>
        <ns0:v>0</ns0:v>
      </ns0:c>
    </ns0:row>
    <ns0:row r="684" ht="24" customHeight="1">
      <ns0:c r="A684" s="4" t="n">
        <ns0:v>680</ns0:v>
      </ns0:c>
      <ns0:c r="B684" s="12">
        <ns0:f>A684*('前提と出典'!$C$36+'前提と出典'!$C$38)</ns0:f>
        <ns0:v>475.99999999999994</ns0:v>
      </ns0:c>
      <ns0:c r="C684" s="12">
        <ns0:f>A684*('前提と出典'!$C$37+'前提と出典'!$C$38)</ns0:f>
        <ns0:v>408</ns0:v>
      </ns0:c>
      <ns0:c r="D684" s="16">
        <ns0:f>A684*('前提と出典'!$C$36*'契約別単価'!C5+'前提と出典'!$C$37*'契約別単価'!C6+'前提と出典'!$C$38*'契約別単価'!C7)</ns0:f>
        <ns0:v>4892.960893854749</ns0:v>
      </ns0:c>
      <ns0:c r="E684" s="16">
        <ns0:f>A684*('前提と出典'!$C$36*'契約別単価'!E5+'前提と出典'!$C$37*'契約別単価'!E6+'前提と出典'!$C$38*'契約別単価'!E7)</ns0:f>
        <ns0:v>1709433.587803821</ns0:v>
      </ns0:c>
      <ns0:c r="F684" s="16">
        <ns0:f>A684*('前提と出典'!$C$36*'契約別単価'!F5+'前提と出典'!$C$37*'契約別単価'!F6+'前提と出典'!$C$38*'契約別単価'!F7)</ns0:f>
        <ns0:v>496717.70497291157</ns0:v>
      </ns0:c>
      <ns0:c r="G684" s="16">
        <ns0:f>A684*('前提と出典'!$C$36*'契約別単価'!G5+'前提と出典'!$C$37*'契約別単価'!G6+'前提と出典'!$C$38*'契約別単価'!G7)</ns0:f>
        <ns0:v>1353541.8994413407</ns0:v>
      </ns0:c>
      <ns0:c r="H684" s="16">
        <ns0:f>A684*('前提と出典'!$C$36*'契約別単価'!H5+'前提と出典'!$C$37*'契約別単価'!H6+'前提と出典'!$C$38*'契約別単価'!H7)</ns0:f>
        <ns0:v>469746.9245669688</ns0:v>
      </ns0:c>
      <ns0:c r="I684" s="16">
        <ns0:f>A684*('前提と出典'!$C$36*'契約別単価'!I5+'前提と出典'!$C$37*'契約別単価'!I6+'前提と出典'!$C$38*'契約別単価'!I7)</ns0:f>
        <ns0:v>28692.960893854743</ns0:v>
      </ns0:c>
      <ns0:c r="J684" s="16">
        <ns0:f>A684*('前提と出典'!$C$36*'契約別単価'!J5+'前提と出典'!$C$37*'契約別単価'!J6+'前提と出典'!$C$38*'契約別単価'!J7)</ns0:f>
        <ns0:v>66836.88972300575</ns0:v>
      </ns0:c>
      <ns0:c r="K684" s="16">
        <ns0:f>A684*('前提と出典'!$C$36*'契約別単価'!K5+'前提と出典'!$C$37*'契約別単価'!K6+'前提と出典'!$C$38*'契約別単価'!K7)</ns0:f>
        <ns0:v>286486.40595903166</ns0:v>
      </ns0:c>
      <ns0:c r="L684" s="16">
        <ns0:f>A684*('前提と出典'!$C$36*'契約別単価'!L5+'前提と出典'!$C$37*'契約別単価'!L6+'前提と出典'!$C$38*'契約別単価'!L7)</ns0:f>
        <ns0:v>233258.23081889894</ns0:v>
      </ns0:c>
      <ns0:c r="M684" s="16">
        <ns0:f>IF(('前提と出典'!$C$36+'前提と出典'!$C$38)=0,0,IF(B684&lt;=10,'前提と出典'!B73+'前提と出典'!C73,IF(B684&lt;=100,'前提と出典'!B74+'前提と出典'!C74,IF(B684&lt;=500,'前提と出典'!B75+'前提と出典'!C75,'前提と出典'!B76+'前提と出典'!C76))))</ns0:f>
        <ns0:v>40000</ns0:v>
      </ns0:c>
      <ns0:c r="N684" s="16">
        <ns0:f>IF(('前提と出典'!$C$37+'前提と出典'!$C$38)=0,0,IF(C684&lt;=10,'前提と出典'!D73+'前提と出典'!E73,IF(C684&lt;=100,'前提と出典'!D74+'前提と出典'!E74,IF(C684&lt;=500,'前提と出典'!D75+'前提と出典'!E75,'前提と出典'!D76+'前提と出典'!E76))))</ns0:f>
        <ns0:v>56510.9346263078</ns0:v>
      </ns0:c>
      <ns0:c r="O684" s="16">
        <ns0:f>IF('前提と出典'!$C$36+'前提と出典'!$C$38=0,0,'前提と出典'!$B$4*IF('前提と出典'!$B$20=0,MAX('前提と出典'!$B$6,D684*'前提と出典'!$B$5),'前提と出典'!$B$6+D684*'前提と出典'!$B$5))</ns0:f>
        <ns0:v>675228.6033519553</ns0:v>
      </ns0:c>
      <ns0:c r="P684" s="16">
        <ns0:f>(E684+G684)*(1-'前提と出典'!$B$7)-I684-K684-M684-O684</ns0:f>
        <ns0:v>1922300.3994994946</ns0:v>
      </ns0:c>
      <ns0:c r="Q684" s="16">
        <ns0:f>(F684+H684)*(1-'前提と出典'!$B$7)-J684-L684-N684</ns0:f>
        <ns0:v>575065.8477082322</ns0:v>
      </ns0:c>
      <ns0:c r="R684" s="16">
        <ns0:f>P684-E684*'前提と出典'!$E$4</ns0:f>
        <ns0:v>1409470.3231583484</ns0:v>
      </ns0:c>
      <ns0:c r="S684" s="16">
        <ns0:f>Q684-F684*'前提と出典'!$E$4</ns0:f>
        <ns0:v>426050.5362163588</ns0:v>
      </ns0:c>
      <ns0:c r="T684" s="7">
        <ns0:f>R684+S684</ns0:f>
        <ns0:v>1835520.8593747073</ns0:v>
      </ns0:c>
      <ns0:c r="U684" s="16">
        <ns0:f>P684-E684*'前提と出典'!$E$5</ns0:f>
        <ns0:v>1238526.9643779662</ns0:v>
      </ns0:c>
      <ns0:c r="V684" s="16">
        <ns0:f>Q684-F684*'前提と出典'!$E$5</ns0:f>
        <ns0:v>376378.7657190676</ns0:v>
      </ns0:c>
      <ns0:c r="W684" s="7">
        <ns0:f>U684+V684</ns0:f>
        <ns0:v>1614905.7300970338</ns0:v>
      </ns0:c>
      <ns0:c r="X684" s="16">
        <ns0:f>P684-E684*'前提と出典'!$E$6</ns0:f>
        <ns0:v>1067583.605597584</ns0:v>
      </ns0:c>
      <ns0:c r="Y684" s="16">
        <ns0:f>Q684-F684*'前提と出典'!$E$6</ns0:f>
        <ns0:v>326706.9952217765</ns0:v>
      </ns0:c>
      <ns0:c r="Z684" s="7">
        <ns0:f>X684+Y684</ns0:f>
        <ns0:v>1394290.6008193605</ns0:v>
      </ns0:c>
      <ns0:c r="AA684" s="7">
        <ns0:f>IF(T684&gt;=0,A684,1001)</ns0:f>
        <ns0:v>680</ns0:v>
      </ns0:c>
      <ns0:c r="AB684" s="7">
        <ns0:f>IF(T684&lt;0,A684,0)</ns0:f>
        <ns0:v>0</ns0:v>
      </ns0:c>
      <ns0:c r="AC684" s="16">
        <ns0:f>IF(AND(OR('前提と出典'!$C$36+'前提と出典'!$C$38=0,R684&gt;=0),OR('前提と出典'!$C$37+'前提と出典'!$C$38=0,S684&gt;=0)),0,A684)</ns0:f>
        <ns0:v>0</ns0:v>
      </ns0:c>
      <ns0:c r="AD684" s="7">
        <ns0:f>IF(W684&gt;=0,A684,1001)</ns0:f>
        <ns0:v>680</ns0:v>
      </ns0:c>
      <ns0:c r="AE684" s="7">
        <ns0:f>IF(W684&lt;0,A684,0)</ns0:f>
        <ns0:v>0</ns0:v>
      </ns0:c>
      <ns0:c r="AF684" s="16">
        <ns0:f>IF(AND(OR('前提と出典'!$C$36+'前提と出典'!$C$38=0,U684&gt;=0),OR('前提と出典'!$C$37+'前提と出典'!$C$38=0,V684&gt;=0)),0,A684)</ns0:f>
        <ns0:v>0</ns0:v>
      </ns0:c>
      <ns0:c r="AG684" s="7">
        <ns0:f>IF(Z684&gt;=0,A684,1001)</ns0:f>
        <ns0:v>680</ns0:v>
      </ns0:c>
      <ns0:c r="AH684" s="4">
        <ns0:f>IF(Z684&lt;0,A684,0)</ns0:f>
        <ns0:v>0</ns0:v>
      </ns0:c>
      <ns0:c r="AI684" s="12">
        <ns0:f>IF(AND(OR('前提と出典'!$C$36+'前提と出典'!$C$38=0,X684&gt;=0),OR('前提と出典'!$C$37+'前提と出典'!$C$38=0,Y684&gt;=0)),0,A684)</ns0:f>
        <ns0:v>0</ns0:v>
      </ns0:c>
    </ns0:row>
    <ns0:row r="685" ht="24" customHeight="1">
      <ns0:c r="A685" s="4" t="n">
        <ns0:v>681</ns0:v>
      </ns0:c>
      <ns0:c r="B685" s="12">
        <ns0:f>A685*('前提と出典'!$C$36+'前提と出典'!$C$38)</ns0:f>
        <ns0:v>476.7</ns0:v>
      </ns0:c>
      <ns0:c r="C685" s="12">
        <ns0:f>A685*('前提と出典'!$C$37+'前提と出典'!$C$38)</ns0:f>
        <ns0:v>408.59999999999997</ns0:v>
      </ns0:c>
      <ns0:c r="D685" s="16">
        <ns0:f>A685*('前提と出典'!$C$36*'契約別単価'!C5+'前提と出典'!$C$37*'契約別単価'!C6+'前提と出典'!$C$38*'契約別単価'!C7)</ns0:f>
        <ns0:v>4900.156424581006</ns0:v>
      </ns0:c>
      <ns0:c r="E685" s="16">
        <ns0:f>A685*('前提と出典'!$C$36*'契約別単価'!E5+'前提と出典'!$C$37*'契約別単価'!E6+'前提と出典'!$C$38*'契約別単価'!E7)</ns0:f>
        <ns0:v>1711947.4607270618</ns0:v>
      </ns0:c>
      <ns0:c r="F685" s="16">
        <ns0:f>A685*('前提と出典'!$C$36*'契約別単価'!F5+'前提と出典'!$C$37*'契約別単価'!F6+'前提と出典'!$C$38*'契約別単価'!F7)</ns0:f>
        <ns0:v>497448.172186107</ns0:v>
      </ns0:c>
      <ns0:c r="G685" s="16">
        <ns0:f>A685*('前提と出典'!$C$36*'契約別単価'!G5+'前提と出典'!$C$37*'契約別単価'!G6+'前提と出典'!$C$38*'契約別単価'!G7)</ns0:f>
        <ns0:v>1355532.4022346367</ns0:v>
      </ns0:c>
      <ns0:c r="H685" s="16">
        <ns0:f>A685*('前提と出典'!$C$36*'契約別単価'!H5+'前提と出典'!$C$37*'契約別単価'!H6+'前提と出典'!$C$38*'契約別単価'!H7)</ns0:f>
        <ns0:v>470437.7288678026</ns0:v>
      </ns0:c>
      <ns0:c r="I685" s="16">
        <ns0:f>A685*('前提と出典'!$C$36*'契約別単価'!I5+'前提と出典'!$C$37*'契約別単価'!I6+'前提と出典'!$C$38*'契約別単価'!I7)</ns0:f>
        <ns0:v>28735.156424581</ns0:v>
      </ns0:c>
      <ns0:c r="J685" s="16">
        <ns0:f>A685*('前提と出典'!$C$36*'契約別単価'!J5+'前提と出典'!$C$37*'契約別単価'!J6+'前提と出典'!$C$38*'契約別単価'!J7)</ns0:f>
        <ns0:v>66935.17926671605</ns0:v>
      </ns0:c>
      <ns0:c r="K685" s="16">
        <ns0:f>A685*('前提と出典'!$C$36*'契約別単価'!K5+'前提と出典'!$C$37*'契約別単価'!K6+'前提と出典'!$C$38*'契約別単価'!K7)</ns0:f>
        <ns0:v>286907.70949720667</ns0:v>
      </ns0:c>
      <ns0:c r="L685" s="16">
        <ns0:f>A685*('前提と出典'!$C$36*'契約別単価'!L5+'前提と出典'!$C$37*'契約別単価'!L6+'前提と出典'!$C$38*'契約別単価'!L7)</ns0:f>
        <ns0:v>233601.25762892675</ns0:v>
      </ns0:c>
      <ns0:c r="M685" s="16">
        <ns0:f>IF(('前提と出典'!$C$36+'前提と出典'!$C$38)=0,0,IF(B685&lt;=10,'前提と出典'!B73+'前提と出典'!C73,IF(B685&lt;=100,'前提と出典'!B74+'前提と出典'!C74,IF(B685&lt;=500,'前提と出典'!B75+'前提と出典'!C75,'前提と出典'!B76+'前提と出典'!C76))))</ns0:f>
        <ns0:v>40000</ns0:v>
      </ns0:c>
      <ns0:c r="N685" s="16">
        <ns0:f>IF(('前提と出典'!$C$37+'前提と出典'!$C$38)=0,0,IF(C685&lt;=10,'前提と出典'!D73+'前提と出典'!E73,IF(C685&lt;=100,'前提と出典'!D74+'前提と出典'!E74,IF(C685&lt;=500,'前提と出典'!D75+'前提と出典'!E75,'前提と出典'!D76+'前提と出典'!E76))))</ns0:f>
        <ns0:v>56510.9346263078</ns0:v>
      </ns0:c>
      <ns0:c r="O685" s="16">
        <ns0:f>IF('前提と出典'!$C$36+'前提と出典'!$C$38=0,0,'前提と出典'!$B$4*IF('前提と出典'!$B$20=0,MAX('前提と出典'!$B$6,D685*'前提と出典'!$B$5),'前提と出典'!$B$6+D685*'前提と出典'!$B$5))</ns0:f>
        <ns0:v>676221.5865921788</ns0:v>
      </ns0:c>
      <ns0:c r="P685" s="16">
        <ns0:f>(E685+G685)*(1-'前提と出典'!$B$7)-I685-K685-M685-O685</ns0:f>
        <ns0:v>1925186.1353811107</ns0:v>
      </ns0:c>
      <ns0:c r="Q685" s="16">
        <ns0:f>(F685+H685)*(1-'前提と出典'!$B$7)-J685-L685-N685</ns0:f>
        <ns0:v>575994.6370940184</ns0:v>
      </ns0:c>
      <ns0:c r="R685" s="16">
        <ns0:f>P685-E685*'前提と出典'!$E$4</ns0:f>
        <ns0:v>1411601.897162992</ns0:v>
      </ns0:c>
      <ns0:c r="S685" s="16">
        <ns0:f>Q685-F685*'前提と出典'!$E$4</ns0:f>
        <ns0:v>426760.1854381863</ns0:v>
      </ns0:c>
      <ns0:c r="T685" s="7">
        <ns0:f>R685+S685</ns0:f>
        <ns0:v>1838362.0826011784</ns0:v>
      </ns0:c>
      <ns0:c r="U685" s="16">
        <ns0:f>P685-E685*'前提と出典'!$E$5</ns0:f>
        <ns0:v>1240407.151090286</ns0:v>
      </ns0:c>
      <ns0:c r="V685" s="16">
        <ns0:f>Q685-F685*'前提と出典'!$E$5</ns0:f>
        <ns0:v>377015.3682195756</ns0:v>
      </ns0:c>
      <ns0:c r="W685" s="7">
        <ns0:f>U685+V685</ns0:f>
        <ns0:v>1617422.5193098616</ns0:v>
      </ns0:c>
      <ns0:c r="X685" s="16">
        <ns0:f>P685-E685*'前提と出典'!$E$6</ns0:f>
        <ns0:v>1069212.4050175797</ns0:v>
      </ns0:c>
      <ns0:c r="Y685" s="16">
        <ns0:f>Q685-F685*'前提と出典'!$E$6</ns0:f>
        <ns0:v>327270.55100096494</ns0:v>
      </ns0:c>
      <ns0:c r="Z685" s="7">
        <ns0:f>X685+Y685</ns0:f>
        <ns0:v>1396482.9560185447</ns0:v>
      </ns0:c>
      <ns0:c r="AA685" s="7">
        <ns0:f>IF(T685&gt;=0,A685,1001)</ns0:f>
        <ns0:v>681</ns0:v>
      </ns0:c>
      <ns0:c r="AB685" s="7">
        <ns0:f>IF(T685&lt;0,A685,0)</ns0:f>
        <ns0:v>0</ns0:v>
      </ns0:c>
      <ns0:c r="AC685" s="16">
        <ns0:f>IF(AND(OR('前提と出典'!$C$36+'前提と出典'!$C$38=0,R685&gt;=0),OR('前提と出典'!$C$37+'前提と出典'!$C$38=0,S685&gt;=0)),0,A685)</ns0:f>
        <ns0:v>0</ns0:v>
      </ns0:c>
      <ns0:c r="AD685" s="7">
        <ns0:f>IF(W685&gt;=0,A685,1001)</ns0:f>
        <ns0:v>681</ns0:v>
      </ns0:c>
      <ns0:c r="AE685" s="7">
        <ns0:f>IF(W685&lt;0,A685,0)</ns0:f>
        <ns0:v>0</ns0:v>
      </ns0:c>
      <ns0:c r="AF685" s="16">
        <ns0:f>IF(AND(OR('前提と出典'!$C$36+'前提と出典'!$C$38=0,U685&gt;=0),OR('前提と出典'!$C$37+'前提と出典'!$C$38=0,V685&gt;=0)),0,A685)</ns0:f>
        <ns0:v>0</ns0:v>
      </ns0:c>
      <ns0:c r="AG685" s="7">
        <ns0:f>IF(Z685&gt;=0,A685,1001)</ns0:f>
        <ns0:v>681</ns0:v>
      </ns0:c>
      <ns0:c r="AH685" s="4">
        <ns0:f>IF(Z685&lt;0,A685,0)</ns0:f>
        <ns0:v>0</ns0:v>
      </ns0:c>
      <ns0:c r="AI685" s="12">
        <ns0:f>IF(AND(OR('前提と出典'!$C$36+'前提と出典'!$C$38=0,X685&gt;=0),OR('前提と出典'!$C$37+'前提と出典'!$C$38=0,Y685&gt;=0)),0,A685)</ns0:f>
        <ns0:v>0</ns0:v>
      </ns0:c>
    </ns0:row>
    <ns0:row r="686" ht="24" customHeight="1">
      <ns0:c r="A686" s="4" t="n">
        <ns0:v>682</ns0:v>
      </ns0:c>
      <ns0:c r="B686" s="12">
        <ns0:f>A686*('前提と出典'!$C$36+'前提と出典'!$C$38)</ns0:f>
        <ns0:v>477.4</ns0:v>
      </ns0:c>
      <ns0:c r="C686" s="12">
        <ns0:f>A686*('前提と出典'!$C$37+'前提と出典'!$C$38)</ns0:f>
        <ns0:v>409.2</ns0:v>
      </ns0:c>
      <ns0:c r="D686" s="16">
        <ns0:f>A686*('前提と出典'!$C$36*'契約別単価'!C5+'前提と出典'!$C$37*'契約別単価'!C6+'前提と出典'!$C$38*'契約別単価'!C7)</ns0:f>
        <ns0:v>4907.351955307263</ns0:v>
      </ns0:c>
      <ns0:c r="E686" s="16">
        <ns0:f>A686*('前提と出典'!$C$36*'契約別単価'!E5+'前提と出典'!$C$37*'契約別単価'!E6+'前提と出典'!$C$38*'契約別単価'!E7)</ns0:f>
        <ns0:v>1714461.3336503028</ns0:v>
      </ns0:c>
      <ns0:c r="F686" s="16">
        <ns0:f>A686*('前提と出典'!$C$36*'契約別単価'!F5+'前提と出典'!$C$37*'契約別単価'!F6+'前提と出典'!$C$38*'契約別単価'!F7)</ns0:f>
        <ns0:v>498178.6393993025</ns0:v>
      </ns0:c>
      <ns0:c r="G686" s="16">
        <ns0:f>A686*('前提と出典'!$C$36*'契約別単価'!G5+'前提と出典'!$C$37*'契約別単価'!G6+'前提と出典'!$C$38*'契約別単価'!G7)</ns0:f>
        <ns0:v>1357522.905027933</ns0:v>
      </ns0:c>
      <ns0:c r="H686" s="16">
        <ns0:f>A686*('前提と出典'!$C$36*'契約別単価'!H5+'前提と出典'!$C$37*'契約別単価'!H6+'前提と出典'!$C$38*'契約別単価'!H7)</ns0:f>
        <ns0:v>471128.5331686364</ns0:v>
      </ns0:c>
      <ns0:c r="I686" s="16">
        <ns0:f>A686*('前提と出典'!$C$36*'契約別単価'!I5+'前提と出典'!$C$37*'契約別単価'!I6+'前提と出典'!$C$38*'契約別単価'!I7)</ns0:f>
        <ns0:v>28777.35195530726</ns0:v>
      </ns0:c>
      <ns0:c r="J686" s="16">
        <ns0:f>A686*('前提と出典'!$C$36*'契約別単価'!J5+'前提と出典'!$C$37*'契約別単価'!J6+'前提と出典'!$C$38*'契約別単価'!J7)</ns0:f>
        <ns0:v>67033.46881042635</ns0:v>
      </ns0:c>
      <ns0:c r="K686" s="16">
        <ns0:f>A686*('前提と出典'!$C$36*'契約別単価'!K5+'前提と出典'!$C$37*'契約別単価'!K6+'前提と出典'!$C$38*'契約別単価'!K7)</ns0:f>
        <ns0:v>287329.01303538174</ns0:v>
      </ns0:c>
      <ns0:c r="L686" s="16">
        <ns0:f>A686*('前提と出典'!$C$36*'契約別単価'!L5+'前提と出典'!$C$37*'契約別単価'!L6+'前提と出典'!$C$38*'契約別単価'!L7)</ns0:f>
        <ns0:v>233944.28443895455</ns0:v>
      </ns0:c>
      <ns0:c r="M686" s="16">
        <ns0:f>IF(('前提と出典'!$C$36+'前提と出典'!$C$38)=0,0,IF(B686&lt;=10,'前提と出典'!B73+'前提と出典'!C73,IF(B686&lt;=100,'前提と出典'!B74+'前提と出典'!C74,IF(B686&lt;=500,'前提と出典'!B75+'前提と出典'!C75,'前提と出典'!B76+'前提と出典'!C76))))</ns0:f>
        <ns0:v>40000</ns0:v>
      </ns0:c>
      <ns0:c r="N686" s="16">
        <ns0:f>IF(('前提と出典'!$C$37+'前提と出典'!$C$38)=0,0,IF(C686&lt;=10,'前提と出典'!D73+'前提と出典'!E73,IF(C686&lt;=100,'前提と出典'!D74+'前提と出典'!E74,IF(C686&lt;=500,'前提と出典'!D75+'前提と出典'!E75,'前提と出典'!D76+'前提と出典'!E76))))</ns0:f>
        <ns0:v>56510.9346263078</ns0:v>
      </ns0:c>
      <ns0:c r="O686" s="16">
        <ns0:f>IF('前提と出典'!$C$36+'前提と出典'!$C$38=0,0,'前提と出典'!$B$4*IF('前提と出典'!$B$20=0,MAX('前提と出典'!$B$6,D686*'前提と出典'!$B$5),'前提と出典'!$B$6+D686*'前提と出典'!$B$5))</ns0:f>
        <ns0:v>677214.5698324023</ns0:v>
      </ns0:c>
      <ns0:c r="P686" s="16">
        <ns0:f>(E686+G686)*(1-'前提と出典'!$B$7)-I686-K686-M686-O686</ns0:f>
        <ns0:v>1928071.8712627278</ns0:v>
      </ns0:c>
      <ns0:c r="Q686" s="16">
        <ns0:f>(F686+H686)*(1-'前提と出典'!$B$7)-J686-L686-N686</ns0:f>
        <ns0:v>576923.4264798044</ns0:v>
      </ns0:c>
      <ns0:c r="R686" s="16">
        <ns0:f>P686-E686*'前提と出典'!$E$4</ns0:f>
        <ns0:v>1413733.471167637</ns0:v>
      </ns0:c>
      <ns0:c r="S686" s="16">
        <ns0:f>Q686-F686*'前提と出典'!$E$4</ns0:f>
        <ns0:v>427469.8346600137</ns0:v>
      </ns0:c>
      <ns0:c r="T686" s="7">
        <ns0:f>R686+S686</ns0:f>
        <ns0:v>1841203.3058276507</ns0:v>
      </ns0:c>
      <ns0:c r="U686" s="16">
        <ns0:f>P686-E686*'前提と出典'!$E$5</ns0:f>
        <ns0:v>1242287.3378026066</ns0:v>
      </ns0:c>
      <ns0:c r="V686" s="16">
        <ns0:f>Q686-F686*'前提と出典'!$E$5</ns0:f>
        <ns0:v>377651.97072008345</ns0:v>
      </ns0:c>
      <ns0:c r="W686" s="7">
        <ns0:f>U686+V686</ns0:f>
        <ns0:v>1619939.30852269</ns0:v>
      </ns0:c>
      <ns0:c r="X686" s="16">
        <ns0:f>P686-E686*'前提と出典'!$E$6</ns0:f>
        <ns0:v>1070841.2044375762</ns0:v>
      </ns0:c>
      <ns0:c r="Y686" s="16">
        <ns0:f>Q686-F686*'前提と出典'!$E$6</ns0:f>
        <ns0:v>327834.10678015323</ns0:v>
      </ns0:c>
      <ns0:c r="Z686" s="7">
        <ns0:f>X686+Y686</ns0:f>
        <ns0:v>1398675.3112177295</ns0:v>
      </ns0:c>
      <ns0:c r="AA686" s="7">
        <ns0:f>IF(T686&gt;=0,A686,1001)</ns0:f>
        <ns0:v>682</ns0:v>
      </ns0:c>
      <ns0:c r="AB686" s="7">
        <ns0:f>IF(T686&lt;0,A686,0)</ns0:f>
        <ns0:v>0</ns0:v>
      </ns0:c>
      <ns0:c r="AC686" s="16">
        <ns0:f>IF(AND(OR('前提と出典'!$C$36+'前提と出典'!$C$38=0,R686&gt;=0),OR('前提と出典'!$C$37+'前提と出典'!$C$38=0,S686&gt;=0)),0,A686)</ns0:f>
        <ns0:v>0</ns0:v>
      </ns0:c>
      <ns0:c r="AD686" s="7">
        <ns0:f>IF(W686&gt;=0,A686,1001)</ns0:f>
        <ns0:v>682</ns0:v>
      </ns0:c>
      <ns0:c r="AE686" s="7">
        <ns0:f>IF(W686&lt;0,A686,0)</ns0:f>
        <ns0:v>0</ns0:v>
      </ns0:c>
      <ns0:c r="AF686" s="16">
        <ns0:f>IF(AND(OR('前提と出典'!$C$36+'前提と出典'!$C$38=0,U686&gt;=0),OR('前提と出典'!$C$37+'前提と出典'!$C$38=0,V686&gt;=0)),0,A686)</ns0:f>
        <ns0:v>0</ns0:v>
      </ns0:c>
      <ns0:c r="AG686" s="7">
        <ns0:f>IF(Z686&gt;=0,A686,1001)</ns0:f>
        <ns0:v>682</ns0:v>
      </ns0:c>
      <ns0:c r="AH686" s="4">
        <ns0:f>IF(Z686&lt;0,A686,0)</ns0:f>
        <ns0:v>0</ns0:v>
      </ns0:c>
      <ns0:c r="AI686" s="12">
        <ns0:f>IF(AND(OR('前提と出典'!$C$36+'前提と出典'!$C$38=0,X686&gt;=0),OR('前提と出典'!$C$37+'前提と出典'!$C$38=0,Y686&gt;=0)),0,A686)</ns0:f>
        <ns0:v>0</ns0:v>
      </ns0:c>
    </ns0:row>
    <ns0:row r="687" ht="24" customHeight="1">
      <ns0:c r="A687" s="4" t="n">
        <ns0:v>683</ns0:v>
      </ns0:c>
      <ns0:c r="B687" s="12">
        <ns0:f>A687*('前提と出典'!$C$36+'前提と出典'!$C$38)</ns0:f>
        <ns0:v>478.09999999999997</ns0:v>
      </ns0:c>
      <ns0:c r="C687" s="12">
        <ns0:f>A687*('前提と出典'!$C$37+'前提と出典'!$C$38)</ns0:f>
        <ns0:v>409.8</ns0:v>
      </ns0:c>
      <ns0:c r="D687" s="16">
        <ns0:f>A687*('前提と出典'!$C$36*'契約別単価'!C5+'前提と出典'!$C$37*'契約別単価'!C6+'前提と出典'!$C$38*'契約別単価'!C7)</ns0:f>
        <ns0:v>4914.54748603352</ns0:v>
      </ns0:c>
      <ns0:c r="E687" s="16">
        <ns0:f>A687*('前提と出典'!$C$36*'契約別単価'!E5+'前提と出典'!$C$37*'契約別単価'!E6+'前提と出典'!$C$38*'契約別単価'!E7)</ns0:f>
        <ns0:v>1716975.2065735438</ns0:v>
      </ns0:c>
      <ns0:c r="F687" s="16">
        <ns0:f>A687*('前提と出典'!$C$36*'契約別単価'!F5+'前提と出典'!$C$37*'契約別単価'!F6+'前提と出典'!$C$38*'契約別単価'!F7)</ns0:f>
        <ns0:v>498909.10661249794</ns0:v>
      </ns0:c>
      <ns0:c r="G687" s="16">
        <ns0:f>A687*('前提と出典'!$C$36*'契約別単価'!G5+'前提と出典'!$C$37*'契約別単価'!G6+'前提と出典'!$C$38*'契約別単価'!G7)</ns0:f>
        <ns0:v>1359513.407821229</ns0:v>
      </ns0:c>
      <ns0:c r="H687" s="16">
        <ns0:f>A687*('前提と出典'!$C$36*'契約別単価'!H5+'前提と出典'!$C$37*'契約別単価'!H6+'前提と出典'!$C$38*'契約別単価'!H7)</ns0:f>
        <ns0:v>471819.33746947016</ns0:v>
      </ns0:c>
      <ns0:c r="I687" s="16">
        <ns0:f>A687*('前提と出典'!$C$36*'契約別単価'!I5+'前提と出典'!$C$37*'契約別単価'!I6+'前提と出典'!$C$38*'契約別単価'!I7)</ns0:f>
        <ns0:v>28819.547486033516</ns0:v>
      </ns0:c>
      <ns0:c r="J687" s="16">
        <ns0:f>A687*('前提と出典'!$C$36*'契約別単価'!J5+'前提と出典'!$C$37*'契約別単価'!J6+'前提と出典'!$C$38*'契約別単価'!J7)</ns0:f>
        <ns0:v>67131.75835413665</ns0:v>
      </ns0:c>
      <ns0:c r="K687" s="16">
        <ns0:f>A687*('前提と出典'!$C$36*'契約別単価'!K5+'前提と出典'!$C$37*'契約別単価'!K6+'前提と出典'!$C$38*'契約別単価'!K7)</ns0:f>
        <ns0:v>287750.3165735568</ns0:v>
      </ns0:c>
      <ns0:c r="L687" s="16">
        <ns0:f>A687*('前提と出典'!$C$36*'契約別単価'!L5+'前提と出典'!$C$37*'契約別単価'!L6+'前提と出典'!$C$38*'契約別単価'!L7)</ns0:f>
        <ns0:v>234287.31124898233</ns0:v>
      </ns0:c>
      <ns0:c r="M687" s="16">
        <ns0:f>IF(('前提と出典'!$C$36+'前提と出典'!$C$38)=0,0,IF(B687&lt;=10,'前提と出典'!B73+'前提と出典'!C73,IF(B687&lt;=100,'前提と出典'!B74+'前提と出典'!C74,IF(B687&lt;=500,'前提と出典'!B75+'前提と出典'!C75,'前提と出典'!B76+'前提と出典'!C76))))</ns0:f>
        <ns0:v>40000</ns0:v>
      </ns0:c>
      <ns0:c r="N687" s="16">
        <ns0:f>IF(('前提と出典'!$C$37+'前提と出典'!$C$38)=0,0,IF(C687&lt;=10,'前提と出典'!D73+'前提と出典'!E73,IF(C687&lt;=100,'前提と出典'!D74+'前提と出典'!E74,IF(C687&lt;=500,'前提と出典'!D75+'前提と出典'!E75,'前提と出典'!D76+'前提と出典'!E76))))</ns0:f>
        <ns0:v>56510.9346263078</ns0:v>
      </ns0:c>
      <ns0:c r="O687" s="16">
        <ns0:f>IF('前提と出典'!$C$36+'前提と出典'!$C$38=0,0,'前提と出典'!$B$4*IF('前提と出典'!$B$20=0,MAX('前提と出典'!$B$6,D687*'前提と出典'!$B$5),'前提と出典'!$B$6+D687*'前提と出典'!$B$5))</ns0:f>
        <ns0:v>678207.5530726258</ns0:v>
      </ns0:c>
      <ns0:c r="P687" s="16">
        <ns0:f>(E687+G687)*(1-'前提と出典'!$B$7)-I687-K687-M687-O687</ns0:f>
        <ns0:v>1930957.6071443453</ns0:v>
      </ns0:c>
      <ns0:c r="Q687" s="16">
        <ns0:f>(F687+H687)*(1-'前提と出典'!$B$7)-J687-L687-N687</ns0:f>
        <ns0:v>577852.2158655906</ns0:v>
      </ns0:c>
      <ns0:c r="R687" s="16">
        <ns0:f>P687-E687*'前提と出典'!$E$4</ns0:f>
        <ns0:v>1415865.045172282</ns0:v>
      </ns0:c>
      <ns0:c r="S687" s="16">
        <ns0:f>Q687-F687*'前提と出典'!$E$4</ns0:f>
        <ns0:v>428179.4838818412</ns0:v>
      </ns0:c>
      <ns0:c r="T687" s="7">
        <ns0:f>R687+S687</ns0:f>
        <ns0:v>1844044.5290541232</ns0:v>
      </ns0:c>
      <ns0:c r="U687" s="16">
        <ns0:f>P687-E687*'前提と出典'!$E$5</ns0:f>
        <ns0:v>1244167.5245149278</ns0:v>
      </ns0:c>
      <ns0:c r="V687" s="16">
        <ns0:f>Q687-F687*'前提と出典'!$E$5</ns0:f>
        <ns0:v>378288.5732205914</ns0:v>
      </ns0:c>
      <ns0:c r="W687" s="7">
        <ns0:f>U687+V687</ns0:f>
        <ns0:v>1622456.097735519</ns0:v>
      </ns0:c>
      <ns0:c r="X687" s="16">
        <ns0:f>P687-E687*'前提と出典'!$E$6</ns0:f>
        <ns0:v>1072470.003857573</ns0:v>
      </ns0:c>
      <ns0:c r="Y687" s="16">
        <ns0:f>Q687-F687*'前提と出典'!$E$6</ns0:f>
        <ns0:v>328397.66255934164</ns0:v>
      </ns0:c>
      <ns0:c r="Z687" s="7">
        <ns0:f>X687+Y687</ns0:f>
        <ns0:v>1400867.6664169147</ns0:v>
      </ns0:c>
      <ns0:c r="AA687" s="7">
        <ns0:f>IF(T687&gt;=0,A687,1001)</ns0:f>
        <ns0:v>683</ns0:v>
      </ns0:c>
      <ns0:c r="AB687" s="7">
        <ns0:f>IF(T687&lt;0,A687,0)</ns0:f>
        <ns0:v>0</ns0:v>
      </ns0:c>
      <ns0:c r="AC687" s="16">
        <ns0:f>IF(AND(OR('前提と出典'!$C$36+'前提と出典'!$C$38=0,R687&gt;=0),OR('前提と出典'!$C$37+'前提と出典'!$C$38=0,S687&gt;=0)),0,A687)</ns0:f>
        <ns0:v>0</ns0:v>
      </ns0:c>
      <ns0:c r="AD687" s="7">
        <ns0:f>IF(W687&gt;=0,A687,1001)</ns0:f>
        <ns0:v>683</ns0:v>
      </ns0:c>
      <ns0:c r="AE687" s="7">
        <ns0:f>IF(W687&lt;0,A687,0)</ns0:f>
        <ns0:v>0</ns0:v>
      </ns0:c>
      <ns0:c r="AF687" s="16">
        <ns0:f>IF(AND(OR('前提と出典'!$C$36+'前提と出典'!$C$38=0,U687&gt;=0),OR('前提と出典'!$C$37+'前提と出典'!$C$38=0,V687&gt;=0)),0,A687)</ns0:f>
        <ns0:v>0</ns0:v>
      </ns0:c>
      <ns0:c r="AG687" s="7">
        <ns0:f>IF(Z687&gt;=0,A687,1001)</ns0:f>
        <ns0:v>683</ns0:v>
      </ns0:c>
      <ns0:c r="AH687" s="4">
        <ns0:f>IF(Z687&lt;0,A687,0)</ns0:f>
        <ns0:v>0</ns0:v>
      </ns0:c>
      <ns0:c r="AI687" s="12">
        <ns0:f>IF(AND(OR('前提と出典'!$C$36+'前提と出典'!$C$38=0,X687&gt;=0),OR('前提と出典'!$C$37+'前提と出典'!$C$38=0,Y687&gt;=0)),0,A687)</ns0:f>
        <ns0:v>0</ns0:v>
      </ns0:c>
    </ns0:row>
    <ns0:row r="688" ht="24" customHeight="1">
      <ns0:c r="A688" s="4" t="n">
        <ns0:v>684</ns0:v>
      </ns0:c>
      <ns0:c r="B688" s="12">
        <ns0:f>A688*('前提と出典'!$C$36+'前提と出典'!$C$38)</ns0:f>
        <ns0:v>478.79999999999995</ns0:v>
      </ns0:c>
      <ns0:c r="C688" s="12">
        <ns0:f>A688*('前提と出典'!$C$37+'前提と出典'!$C$38)</ns0:f>
        <ns0:v>410.4</ns0:v>
      </ns0:c>
      <ns0:c r="D688" s="16">
        <ns0:f>A688*('前提と出典'!$C$36*'契約別単価'!C5+'前提と出典'!$C$37*'契約別単価'!C6+'前提と出典'!$C$38*'契約別単価'!C7)</ns0:f>
        <ns0:v>4921.743016759777</ns0:v>
      </ns0:c>
      <ns0:c r="E688" s="16">
        <ns0:f>A688*('前提と出典'!$C$36*'契約別単価'!E5+'前提と出典'!$C$37*'契約別単価'!E6+'前提と出典'!$C$38*'契約別単価'!E7)</ns0:f>
        <ns0:v>1719489.0794967846</ns0:v>
      </ns0:c>
      <ns0:c r="F688" s="16">
        <ns0:f>A688*('前提と出典'!$C$36*'契約別単価'!F5+'前提と出典'!$C$37*'契約別単価'!F6+'前提と出典'!$C$38*'契約別単価'!F7)</ns0:f>
        <ns0:v>499639.5738256934</ns0:v>
      </ns0:c>
      <ns0:c r="G688" s="16">
        <ns0:f>A688*('前提と出典'!$C$36*'契約別単価'!G5+'前提と出典'!$C$37*'契約別単価'!G6+'前提と出典'!$C$38*'契約別単価'!G7)</ns0:f>
        <ns0:v>1361503.910614525</ns0:v>
      </ns0:c>
      <ns0:c r="H688" s="16">
        <ns0:f>A688*('前提と出典'!$C$36*'契約別単価'!H5+'前提と出典'!$C$37*'契約別単価'!H6+'前提と出典'!$C$38*'契約別単価'!H7)</ns0:f>
        <ns0:v>472510.14177030395</ns0:v>
      </ns0:c>
      <ns0:c r="I688" s="16">
        <ns0:f>A688*('前提と出典'!$C$36*'契約別単価'!I5+'前提と出典'!$C$37*'契約別単価'!I6+'前提と出典'!$C$38*'契約別単価'!I7)</ns0:f>
        <ns0:v>28861.74301675977</ns0:v>
      </ns0:c>
      <ns0:c r="J688" s="16">
        <ns0:f>A688*('前提と出典'!$C$36*'契約別単価'!J5+'前提と出典'!$C$37*'契約別単価'!J6+'前提と出典'!$C$38*'契約別単価'!J7)</ns0:f>
        <ns0:v>67230.04789784696</ns0:v>
      </ns0:c>
      <ns0:c r="K688" s="16">
        <ns0:f>A688*('前提と出典'!$C$36*'契約別単価'!K5+'前提と出典'!$C$37*'契約別単価'!K6+'前提と出典'!$C$38*'契約別単価'!K7)</ns0:f>
        <ns0:v>288171.6201117318</ns0:v>
      </ns0:c>
      <ns0:c r="L688" s="16">
        <ns0:f>A688*('前提と出典'!$C$36*'契約別単価'!L5+'前提と出典'!$C$37*'契約別単価'!L6+'前提と出典'!$C$38*'契約別単価'!L7)</ns0:f>
        <ns0:v>234630.33805901013</ns0:v>
      </ns0:c>
      <ns0:c r="M688" s="16">
        <ns0:f>IF(('前提と出典'!$C$36+'前提と出典'!$C$38)=0,0,IF(B688&lt;=10,'前提と出典'!B73+'前提と出典'!C73,IF(B688&lt;=100,'前提と出典'!B74+'前提と出典'!C74,IF(B688&lt;=500,'前提と出典'!B75+'前提と出典'!C75,'前提と出典'!B76+'前提と出典'!C76))))</ns0:f>
        <ns0:v>40000</ns0:v>
      </ns0:c>
      <ns0:c r="N688" s="16">
        <ns0:f>IF(('前提と出典'!$C$37+'前提と出典'!$C$38)=0,0,IF(C688&lt;=10,'前提と出典'!D73+'前提と出典'!E73,IF(C688&lt;=100,'前提と出典'!D74+'前提と出典'!E74,IF(C688&lt;=500,'前提と出典'!D75+'前提と出典'!E75,'前提と出典'!D76+'前提と出典'!E76))))</ns0:f>
        <ns0:v>56510.9346263078</ns0:v>
      </ns0:c>
      <ns0:c r="O688" s="16">
        <ns0:f>IF('前提と出典'!$C$36+'前提と出典'!$C$38=0,0,'前提と出典'!$B$4*IF('前提と出典'!$B$20=0,MAX('前提と出典'!$B$6,D688*'前提と出典'!$B$5),'前提と出典'!$B$6+D688*'前提と出典'!$B$5))</ns0:f>
        <ns0:v>679200.5363128493</ns0:v>
      </ns0:c>
      <ns0:c r="P688" s="16">
        <ns0:f>(E688+G688)*(1-'前提と出典'!$B$7)-I688-K688-M688-O688</ns0:f>
        <ns0:v>1933843.3430259614</ns0:v>
      </ns0:c>
      <ns0:c r="Q688" s="16">
        <ns0:f>(F688+H688)*(1-'前提と出典'!$B$7)-J688-L688-N688</ns0:f>
        <ns0:v>578781.0052513767</ns0:v>
      </ns0:c>
      <ns0:c r="R688" s="16">
        <ns0:f>P688-E688*'前提と出典'!$E$4</ns0:f>
        <ns0:v>1417996.619176926</ns0:v>
      </ns0:c>
      <ns0:c r="S688" s="16">
        <ns0:f>Q688-F688*'前提と出典'!$E$4</ns0:f>
        <ns0:v>428889.1331036686</ns0:v>
      </ns0:c>
      <ns0:c r="T688" s="7">
        <ns0:f>R688+S688</ns0:f>
        <ns0:v>1846885.7522805948</ns0:v>
      </ns0:c>
      <ns0:c r="U688" s="16">
        <ns0:f>P688-E688*'前提と出典'!$E$5</ns0:f>
        <ns0:v>1246047.7112272475</ns0:v>
      </ns0:c>
      <ns0:c r="V688" s="16">
        <ns0:f>Q688-F688*'前提と出典'!$E$5</ns0:f>
        <ns0:v>378925.17572109925</ns0:v>
      </ns0:c>
      <ns0:c r="W688" s="7">
        <ns0:f>U688+V688</ns0:f>
        <ns0:v>1624972.8869483466</ns0:v>
      </ns0:c>
      <ns0:c r="X688" s="16">
        <ns0:f>P688-E688*'前提と出典'!$E$6</ns0:f>
        <ns0:v>1074098.803277569</ns0:v>
      </ns0:c>
      <ns0:c r="Y688" s="16">
        <ns0:f>Q688-F688*'前提と出典'!$E$6</ns0:f>
        <ns0:v>328961.2183385299</ns0:v>
      </ns0:c>
      <ns0:c r="Z688" s="7">
        <ns0:f>X688+Y688</ns0:f>
        <ns0:v>1403060.021616099</ns0:v>
      </ns0:c>
      <ns0:c r="AA688" s="7">
        <ns0:f>IF(T688&gt;=0,A688,1001)</ns0:f>
        <ns0:v>684</ns0:v>
      </ns0:c>
      <ns0:c r="AB688" s="7">
        <ns0:f>IF(T688&lt;0,A688,0)</ns0:f>
        <ns0:v>0</ns0:v>
      </ns0:c>
      <ns0:c r="AC688" s="16">
        <ns0:f>IF(AND(OR('前提と出典'!$C$36+'前提と出典'!$C$38=0,R688&gt;=0),OR('前提と出典'!$C$37+'前提と出典'!$C$38=0,S688&gt;=0)),0,A688)</ns0:f>
        <ns0:v>0</ns0:v>
      </ns0:c>
      <ns0:c r="AD688" s="7">
        <ns0:f>IF(W688&gt;=0,A688,1001)</ns0:f>
        <ns0:v>684</ns0:v>
      </ns0:c>
      <ns0:c r="AE688" s="7">
        <ns0:f>IF(W688&lt;0,A688,0)</ns0:f>
        <ns0:v>0</ns0:v>
      </ns0:c>
      <ns0:c r="AF688" s="16">
        <ns0:f>IF(AND(OR('前提と出典'!$C$36+'前提と出典'!$C$38=0,U688&gt;=0),OR('前提と出典'!$C$37+'前提と出典'!$C$38=0,V688&gt;=0)),0,A688)</ns0:f>
        <ns0:v>0</ns0:v>
      </ns0:c>
      <ns0:c r="AG688" s="7">
        <ns0:f>IF(Z688&gt;=0,A688,1001)</ns0:f>
        <ns0:v>684</ns0:v>
      </ns0:c>
      <ns0:c r="AH688" s="4">
        <ns0:f>IF(Z688&lt;0,A688,0)</ns0:f>
        <ns0:v>0</ns0:v>
      </ns0:c>
      <ns0:c r="AI688" s="12">
        <ns0:f>IF(AND(OR('前提と出典'!$C$36+'前提と出典'!$C$38=0,X688&gt;=0),OR('前提と出典'!$C$37+'前提と出典'!$C$38=0,Y688&gt;=0)),0,A688)</ns0:f>
        <ns0:v>0</ns0:v>
      </ns0:c>
    </ns0:row>
    <ns0:row r="689" ht="24" customHeight="1">
      <ns0:c r="A689" s="4" t="n">
        <ns0:v>685</ns0:v>
      </ns0:c>
      <ns0:c r="B689" s="12">
        <ns0:f>A689*('前提と出典'!$C$36+'前提と出典'!$C$38)</ns0:f>
        <ns0:v>479.49999999999994</ns0:v>
      </ns0:c>
      <ns0:c r="C689" s="12">
        <ns0:f>A689*('前提と出典'!$C$37+'前提と出典'!$C$38)</ns0:f>
        <ns0:v>411</ns0:v>
      </ns0:c>
      <ns0:c r="D689" s="16">
        <ns0:f>A689*('前提と出典'!$C$36*'契約別単価'!C5+'前提と出典'!$C$37*'契約別単価'!C6+'前提と出典'!$C$38*'契約別単価'!C7)</ns0:f>
        <ns0:v>4928.938547486034</ns0:v>
      </ns0:c>
      <ns0:c r="E689" s="16">
        <ns0:f>A689*('前提と出典'!$C$36*'契約別単価'!E5+'前提と出典'!$C$37*'契約別単価'!E6+'前提と出典'!$C$38*'契約別単価'!E7)</ns0:f>
        <ns0:v>1722002.9524200256</ns0:v>
      </ns0:c>
      <ns0:c r="F689" s="16">
        <ns0:f>A689*('前提と出典'!$C$36*'契約別単価'!F5+'前提と出典'!$C$37*'契約別単価'!F6+'前提と出典'!$C$38*'契約別単価'!F7)</ns0:f>
        <ns0:v>500370.04103888886</ns0:v>
      </ns0:c>
      <ns0:c r="G689" s="16">
        <ns0:f>A689*('前提と出典'!$C$36*'契約別単価'!G5+'前提と出典'!$C$37*'契約別単価'!G6+'前提と出典'!$C$38*'契約別単価'!G7)</ns0:f>
        <ns0:v>1363494.4134078212</ns0:v>
      </ns0:c>
      <ns0:c r="H689" s="16">
        <ns0:f>A689*('前提と出典'!$C$36*'契約別単価'!H5+'前提と出典'!$C$37*'契約別単価'!H6+'前提と出典'!$C$38*'契約別単価'!H7)</ns0:f>
        <ns0:v>473200.94607113773</ns0:v>
      </ns0:c>
      <ns0:c r="I689" s="16">
        <ns0:f>A689*('前提と出典'!$C$36*'契約別単価'!I5+'前提と出典'!$C$37*'契約別単価'!I6+'前提と出典'!$C$38*'契約別単価'!I7)</ns0:f>
        <ns0:v>28903.93854748603</ns0:v>
      </ns0:c>
      <ns0:c r="J689" s="16">
        <ns0:f>A689*('前提と出典'!$C$36*'契約別単価'!J5+'前提と出典'!$C$37*'契約別単価'!J6+'前提と出典'!$C$38*'契約別単価'!J7)</ns0:f>
        <ns0:v>67328.33744155726</ns0:v>
      </ns0:c>
      <ns0:c r="K689" s="16">
        <ns0:f>A689*('前提と出典'!$C$36*'契約別単価'!K5+'前提と出典'!$C$37*'契約別単価'!K6+'前提と出典'!$C$38*'契約別単価'!K7)</ns0:f>
        <ns0:v>288592.9236499069</ns0:v>
      </ns0:c>
      <ns0:c r="L689" s="16">
        <ns0:f>A689*('前提と出典'!$C$36*'契約別単価'!L5+'前提と出典'!$C$37*'契約別単価'!L6+'前提と出典'!$C$38*'契約別単価'!L7)</ns0:f>
        <ns0:v>234973.3648690379</ns0:v>
      </ns0:c>
      <ns0:c r="M689" s="16">
        <ns0:f>IF(('前提と出典'!$C$36+'前提と出典'!$C$38)=0,0,IF(B689&lt;=10,'前提と出典'!B73+'前提と出典'!C73,IF(B689&lt;=100,'前提と出典'!B74+'前提と出典'!C74,IF(B689&lt;=500,'前提と出典'!B75+'前提と出典'!C75,'前提と出典'!B76+'前提と出典'!C76))))</ns0:f>
        <ns0:v>40000</ns0:v>
      </ns0:c>
      <ns0:c r="N689" s="16">
        <ns0:f>IF(('前提と出典'!$C$37+'前提と出典'!$C$38)=0,0,IF(C689&lt;=10,'前提と出典'!D73+'前提と出典'!E73,IF(C689&lt;=100,'前提と出典'!D74+'前提と出典'!E74,IF(C689&lt;=500,'前提と出典'!D75+'前提と出典'!E75,'前提と出典'!D76+'前提と出典'!E76))))</ns0:f>
        <ns0:v>56510.9346263078</ns0:v>
      </ns0:c>
      <ns0:c r="O689" s="16">
        <ns0:f>IF('前提と出典'!$C$36+'前提と出典'!$C$38=0,0,'前提と出典'!$B$4*IF('前提と出典'!$B$20=0,MAX('前提と出典'!$B$6,D689*'前提と出典'!$B$5),'前提と出典'!$B$6+D689*'前提と出典'!$B$5))</ns0:f>
        <ns0:v>680193.5195530728</ns0:v>
      </ns0:c>
      <ns0:c r="P689" s="16">
        <ns0:f>(E689+G689)*(1-'前提と出典'!$B$7)-I689-K689-M689-O689</ns0:f>
        <ns0:v>1936729.078907579</ns0:v>
      </ns0:c>
      <ns0:c r="Q689" s="16">
        <ns0:f>(F689+H689)*(1-'前提と出典'!$B$7)-J689-L689-N689</ns0:f>
        <ns0:v>579709.7946371627</ns0:v>
      </ns0:c>
      <ns0:c r="R689" s="16">
        <ns0:f>P689-E689*'前提と出典'!$E$4</ns0:f>
        <ns0:v>1420128.1931815716</ns0:v>
      </ns0:c>
      <ns0:c r="S689" s="16">
        <ns0:f>Q689-F689*'前提と出典'!$E$4</ns0:f>
        <ns0:v>429598.7823254962</ns0:v>
      </ns0:c>
      <ns0:c r="T689" s="7">
        <ns0:f>R689+S689</ns0:f>
        <ns0:v>1849726.9755070677</ns0:v>
      </ns0:c>
      <ns0:c r="U689" s="16">
        <ns0:f>P689-E689*'前提と出典'!$E$5</ns0:f>
        <ns0:v>1247927.8979395686</ns0:v>
      </ns0:c>
      <ns0:c r="V689" s="16">
        <ns0:f>Q689-F689*'前提と出典'!$E$5</ns0:f>
        <ns0:v>379561.7782216072</ns0:v>
      </ns0:c>
      <ns0:c r="W689" s="7">
        <ns0:f>U689+V689</ns0:f>
        <ns0:v>1627489.6761611758</ns0:v>
      </ns0:c>
      <ns0:c r="X689" s="16">
        <ns0:f>P689-E689*'前提と出典'!$E$6</ns0:f>
        <ns0:v>1075727.6026975664</ns0:v>
      </ns0:c>
      <ns0:c r="Y689" s="16">
        <ns0:f>Q689-F689*'前提と出典'!$E$6</ns0:f>
        <ns0:v>329524.7741177182</ns0:v>
      </ns0:c>
      <ns0:c r="Z689" s="7">
        <ns0:f>X689+Y689</ns0:f>
        <ns0:v>1405252.3768152846</ns0:v>
      </ns0:c>
      <ns0:c r="AA689" s="7">
        <ns0:f>IF(T689&gt;=0,A689,1001)</ns0:f>
        <ns0:v>685</ns0:v>
      </ns0:c>
      <ns0:c r="AB689" s="7">
        <ns0:f>IF(T689&lt;0,A689,0)</ns0:f>
        <ns0:v>0</ns0:v>
      </ns0:c>
      <ns0:c r="AC689" s="16">
        <ns0:f>IF(AND(OR('前提と出典'!$C$36+'前提と出典'!$C$38=0,R689&gt;=0),OR('前提と出典'!$C$37+'前提と出典'!$C$38=0,S689&gt;=0)),0,A689)</ns0:f>
        <ns0:v>0</ns0:v>
      </ns0:c>
      <ns0:c r="AD689" s="7">
        <ns0:f>IF(W689&gt;=0,A689,1001)</ns0:f>
        <ns0:v>685</ns0:v>
      </ns0:c>
      <ns0:c r="AE689" s="7">
        <ns0:f>IF(W689&lt;0,A689,0)</ns0:f>
        <ns0:v>0</ns0:v>
      </ns0:c>
      <ns0:c r="AF689" s="16">
        <ns0:f>IF(AND(OR('前提と出典'!$C$36+'前提と出典'!$C$38=0,U689&gt;=0),OR('前提と出典'!$C$37+'前提と出典'!$C$38=0,V689&gt;=0)),0,A689)</ns0:f>
        <ns0:v>0</ns0:v>
      </ns0:c>
      <ns0:c r="AG689" s="7">
        <ns0:f>IF(Z689&gt;=0,A689,1001)</ns0:f>
        <ns0:v>685</ns0:v>
      </ns0:c>
      <ns0:c r="AH689" s="4">
        <ns0:f>IF(Z689&lt;0,A689,0)</ns0:f>
        <ns0:v>0</ns0:v>
      </ns0:c>
      <ns0:c r="AI689" s="12">
        <ns0:f>IF(AND(OR('前提と出典'!$C$36+'前提と出典'!$C$38=0,X689&gt;=0),OR('前提と出典'!$C$37+'前提と出典'!$C$38=0,Y689&gt;=0)),0,A689)</ns0:f>
        <ns0:v>0</ns0:v>
      </ns0:c>
    </ns0:row>
    <ns0:row r="690" ht="24" customHeight="1">
      <ns0:c r="A690" s="4" t="n">
        <ns0:v>686</ns0:v>
      </ns0:c>
      <ns0:c r="B690" s="12">
        <ns0:f>A690*('前提と出典'!$C$36+'前提と出典'!$C$38)</ns0:f>
        <ns0:v>480.2</ns0:v>
      </ns0:c>
      <ns0:c r="C690" s="12">
        <ns0:f>A690*('前提と出典'!$C$37+'前提と出典'!$C$38)</ns0:f>
        <ns0:v>411.59999999999997</ns0:v>
      </ns0:c>
      <ns0:c r="D690" s="16">
        <ns0:f>A690*('前提と出典'!$C$36*'契約別単価'!C5+'前提と出典'!$C$37*'契約別単価'!C6+'前提と出典'!$C$38*'契約別単価'!C7)</ns0:f>
        <ns0:v>4936.134078212291</ns0:v>
      </ns0:c>
      <ns0:c r="E690" s="16">
        <ns0:f>A690*('前提と出典'!$C$36*'契約別単価'!E5+'前提と出典'!$C$37*'契約別単価'!E6+'前提と出典'!$C$38*'契約別単価'!E7)</ns0:f>
        <ns0:v>1724516.8253432664</ns0:v>
      </ns0:c>
      <ns0:c r="F690" s="16">
        <ns0:f>A690*('前提と出典'!$C$36*'契約別単価'!F5+'前提と出典'!$C$37*'契約別単価'!F6+'前提と出典'!$C$38*'契約別単価'!F7)</ns0:f>
        <ns0:v>501100.5082520843</ns0:v>
      </ns0:c>
      <ns0:c r="G690" s="16">
        <ns0:f>A690*('前提と出典'!$C$36*'契約別単価'!G5+'前提と出典'!$C$37*'契約別単価'!G6+'前提と出典'!$C$38*'契約別単価'!G7)</ns0:f>
        <ns0:v>1365484.9162011172</ns0:v>
      </ns0:c>
      <ns0:c r="H690" s="16">
        <ns0:f>A690*('前提と出典'!$C$36*'契約別単価'!H5+'前提と出典'!$C$37*'契約別単価'!H6+'前提と出典'!$C$38*'契約別単価'!H7)</ns0:f>
        <ns0:v>473891.7503719715</ns0:v>
      </ns0:c>
      <ns0:c r="I690" s="16">
        <ns0:f>A690*('前提と出典'!$C$36*'契約別単価'!I5+'前提と出典'!$C$37*'契約別単価'!I6+'前提と出典'!$C$38*'契約別単価'!I7)</ns0:f>
        <ns0:v>28946.134078212286</ns0:v>
      </ns0:c>
      <ns0:c r="J690" s="16">
        <ns0:f>A690*('前提と出典'!$C$36*'契約別単価'!J5+'前提と出典'!$C$37*'契約別単価'!J6+'前提と出典'!$C$38*'契約別単価'!J7)</ns0:f>
        <ns0:v>67426.62698526756</ns0:v>
      </ns0:c>
      <ns0:c r="K690" s="16">
        <ns0:f>A690*('前提と出典'!$C$36*'契約別単価'!K5+'前提と出典'!$C$37*'契約別単価'!K6+'前提と出典'!$C$38*'契約別単価'!K7)</ns0:f>
        <ns0:v>289014.2271880819</ns0:v>
      </ns0:c>
      <ns0:c r="L690" s="16">
        <ns0:f>A690*('前提と出典'!$C$36*'契約別単価'!L5+'前提と出典'!$C$37*'契約別単価'!L6+'前提と出典'!$C$38*'契約別単価'!L7)</ns0:f>
        <ns0:v>235316.3916790657</ns0:v>
      </ns0:c>
      <ns0:c r="M690" s="16">
        <ns0:f>IF(('前提と出典'!$C$36+'前提と出典'!$C$38)=0,0,IF(B690&lt;=10,'前提と出典'!B73+'前提と出典'!C73,IF(B690&lt;=100,'前提と出典'!B74+'前提と出典'!C74,IF(B690&lt;=500,'前提と出典'!B75+'前提と出典'!C75,'前提と出典'!B76+'前提と出典'!C76))))</ns0:f>
        <ns0:v>40000</ns0:v>
      </ns0:c>
      <ns0:c r="N690" s="16">
        <ns0:f>IF(('前提と出典'!$C$37+'前提と出典'!$C$38)=0,0,IF(C690&lt;=10,'前提と出典'!D73+'前提と出典'!E73,IF(C690&lt;=100,'前提と出典'!D74+'前提と出典'!E74,IF(C690&lt;=500,'前提と出典'!D75+'前提と出典'!E75,'前提と出典'!D76+'前提と出典'!E76))))</ns0:f>
        <ns0:v>56510.9346263078</ns0:v>
      </ns0:c>
      <ns0:c r="O690" s="16">
        <ns0:f>IF('前提と出典'!$C$36+'前提と出典'!$C$38=0,0,'前提と出典'!$B$4*IF('前提と出典'!$B$20=0,MAX('前提と出典'!$B$6,D690*'前提と出典'!$B$5),'前提と出典'!$B$6+D690*'前提と出典'!$B$5))</ns0:f>
        <ns0:v>681186.5027932961</ns0:v>
      </ns0:c>
      <ns0:c r="P690" s="16">
        <ns0:f>(E690+G690)*(1-'前提と出典'!$B$7)-I690-K690-M690-O690</ns0:f>
        <ns0:v>1939614.8147891955</ns0:v>
      </ns0:c>
      <ns0:c r="Q690" s="16">
        <ns0:f>(F690+H690)*(1-'前提と出典'!$B$7)-J690-L690-N690</ns0:f>
        <ns0:v>580638.5840229489</ns0:v>
      </ns0:c>
      <ns0:c r="R690" s="16">
        <ns0:f>P690-E690*'前提と出典'!$E$4</ns0:f>
        <ns0:v>1422259.7671862156</ns0:v>
      </ns0:c>
      <ns0:c r="S690" s="16">
        <ns0:f>Q690-F690*'前提と出典'!$E$4</ns0:f>
        <ns0:v>430308.43154732353</ns0:v>
      </ns0:c>
      <ns0:c r="T690" s="7">
        <ns0:f>R690+S690</ns0:f>
        <ns0:v>1852568.198733539</ns0:v>
      </ns0:c>
      <ns0:c r="U690" s="16">
        <ns0:f>P690-E690*'前提と出典'!$E$5</ns0:f>
        <ns0:v>1249808.0846518888</ns0:v>
      </ns0:c>
      <ns0:c r="V690" s="16">
        <ns0:f>Q690-F690*'前提と出典'!$E$5</ns0:f>
        <ns0:v>380198.3807221151</ns0:v>
      </ns0:c>
      <ns0:c r="W690" s="7">
        <ns0:f>U690+V690</ns0:f>
        <ns0:v>1630006.4653740039</ns0:v>
      </ns0:c>
      <ns0:c r="X690" s="16">
        <ns0:f>P690-E690*'前提と出典'!$E$6</ns0:f>
        <ns0:v>1077356.4021175625</ns0:v>
      </ns0:c>
      <ns0:c r="Y690" s="16">
        <ns0:f>Q690-F690*'前提と出典'!$E$6</ns0:f>
        <ns0:v>330088.3298969067</ns0:v>
      </ns0:c>
      <ns0:c r="Z690" s="7">
        <ns0:f>X690+Y690</ns0:f>
        <ns0:v>1407444.732014469</ns0:v>
      </ns0:c>
      <ns0:c r="AA690" s="7">
        <ns0:f>IF(T690&gt;=0,A690,1001)</ns0:f>
        <ns0:v>686</ns0:v>
      </ns0:c>
      <ns0:c r="AB690" s="7">
        <ns0:f>IF(T690&lt;0,A690,0)</ns0:f>
        <ns0:v>0</ns0:v>
      </ns0:c>
      <ns0:c r="AC690" s="16">
        <ns0:f>IF(AND(OR('前提と出典'!$C$36+'前提と出典'!$C$38=0,R690&gt;=0),OR('前提と出典'!$C$37+'前提と出典'!$C$38=0,S690&gt;=0)),0,A690)</ns0:f>
        <ns0:v>0</ns0:v>
      </ns0:c>
      <ns0:c r="AD690" s="7">
        <ns0:f>IF(W690&gt;=0,A690,1001)</ns0:f>
        <ns0:v>686</ns0:v>
      </ns0:c>
      <ns0:c r="AE690" s="7">
        <ns0:f>IF(W690&lt;0,A690,0)</ns0:f>
        <ns0:v>0</ns0:v>
      </ns0:c>
      <ns0:c r="AF690" s="16">
        <ns0:f>IF(AND(OR('前提と出典'!$C$36+'前提と出典'!$C$38=0,U690&gt;=0),OR('前提と出典'!$C$37+'前提と出典'!$C$38=0,V690&gt;=0)),0,A690)</ns0:f>
        <ns0:v>0</ns0:v>
      </ns0:c>
      <ns0:c r="AG690" s="7">
        <ns0:f>IF(Z690&gt;=0,A690,1001)</ns0:f>
        <ns0:v>686</ns0:v>
      </ns0:c>
      <ns0:c r="AH690" s="4">
        <ns0:f>IF(Z690&lt;0,A690,0)</ns0:f>
        <ns0:v>0</ns0:v>
      </ns0:c>
      <ns0:c r="AI690" s="12">
        <ns0:f>IF(AND(OR('前提と出典'!$C$36+'前提と出典'!$C$38=0,X690&gt;=0),OR('前提と出典'!$C$37+'前提と出典'!$C$38=0,Y690&gt;=0)),0,A690)</ns0:f>
        <ns0:v>0</ns0:v>
      </ns0:c>
    </ns0:row>
    <ns0:row r="691" ht="24" customHeight="1">
      <ns0:c r="A691" s="4" t="n">
        <ns0:v>687</ns0:v>
      </ns0:c>
      <ns0:c r="B691" s="12">
        <ns0:f>A691*('前提と出典'!$C$36+'前提と出典'!$C$38)</ns0:f>
        <ns0:v>480.9</ns0:v>
      </ns0:c>
      <ns0:c r="C691" s="12">
        <ns0:f>A691*('前提と出典'!$C$37+'前提と出典'!$C$38)</ns0:f>
        <ns0:v>412.2</ns0:v>
      </ns0:c>
      <ns0:c r="D691" s="16">
        <ns0:f>A691*('前提と出典'!$C$36*'契約別単価'!C5+'前提と出典'!$C$37*'契約別単価'!C6+'前提と出典'!$C$38*'契約別単価'!C7)</ns0:f>
        <ns0:v>4943.329608938548</ns0:v>
      </ns0:c>
      <ns0:c r="E691" s="16">
        <ns0:f>A691*('前提と出典'!$C$36*'契約別単価'!E5+'前提と出典'!$C$37*'契約別単価'!E6+'前提と出典'!$C$38*'契約別単価'!E7)</ns0:f>
        <ns0:v>1727030.6982665074</ns0:v>
      </ns0:c>
      <ns0:c r="F691" s="16">
        <ns0:f>A691*('前提と出典'!$C$36*'契約別単価'!F5+'前提と出典'!$C$37*'契約別単価'!F6+'前提と出典'!$C$38*'契約別単価'!F7)</ns0:f>
        <ns0:v>501830.9754652798</ns0:v>
      </ns0:c>
      <ns0:c r="G691" s="16">
        <ns0:f>A691*('前提と出典'!$C$36*'契約別単価'!G5+'前提と出典'!$C$37*'契約別単価'!G6+'前提と出典'!$C$38*'契約別単価'!G7)</ns0:f>
        <ns0:v>1367475.4189944135</ns0:v>
      </ns0:c>
      <ns0:c r="H691" s="16">
        <ns0:f>A691*('前提と出典'!$C$36*'契約別単価'!H5+'前提と出典'!$C$37*'契約別単価'!H6+'前提と出典'!$C$38*'契約別単価'!H7)</ns0:f>
        <ns0:v>474582.55467280524</ns0:v>
      </ns0:c>
      <ns0:c r="I691" s="16">
        <ns0:f>A691*('前提と出典'!$C$36*'契約別単価'!I5+'前提と出典'!$C$37*'契約別単価'!I6+'前提と出典'!$C$38*'契約別単価'!I7)</ns0:f>
        <ns0:v>28988.329608938544</ns0:v>
      </ns0:c>
      <ns0:c r="J691" s="16">
        <ns0:f>A691*('前提と出典'!$C$36*'契約別単価'!J5+'前提と出典'!$C$37*'契約別単価'!J6+'前提と出典'!$C$38*'契約別単価'!J7)</ns0:f>
        <ns0:v>67524.91652897786</ns0:v>
      </ns0:c>
      <ns0:c r="K691" s="16">
        <ns0:f>A691*('前提と出典'!$C$36*'契約別単価'!K5+'前提と出典'!$C$37*'契約別単価'!K6+'前提と出典'!$C$38*'契約別単価'!K7)</ns0:f>
        <ns0:v>289435.53072625695</ns0:v>
      </ns0:c>
      <ns0:c r="L691" s="16">
        <ns0:f>A691*('前提と出典'!$C$36*'契約別単価'!L5+'前提と出典'!$C$37*'契約別単価'!L6+'前提と出典'!$C$38*'契約別単価'!L7)</ns0:f>
        <ns0:v>235659.4184890935</ns0:v>
      </ns0:c>
      <ns0:c r="M691" s="16">
        <ns0:f>IF(('前提と出典'!$C$36+'前提と出典'!$C$38)=0,0,IF(B691&lt;=10,'前提と出典'!B73+'前提と出典'!C73,IF(B691&lt;=100,'前提と出典'!B74+'前提と出典'!C74,IF(B691&lt;=500,'前提と出典'!B75+'前提と出典'!C75,'前提と出典'!B76+'前提と出典'!C76))))</ns0:f>
        <ns0:v>40000</ns0:v>
      </ns0:c>
      <ns0:c r="N691" s="16">
        <ns0:f>IF(('前提と出典'!$C$37+'前提と出典'!$C$38)=0,0,IF(C691&lt;=10,'前提と出典'!D73+'前提と出典'!E73,IF(C691&lt;=100,'前提と出典'!D74+'前提と出典'!E74,IF(C691&lt;=500,'前提と出典'!D75+'前提と出典'!E75,'前提と出典'!D76+'前提と出典'!E76))))</ns0:f>
        <ns0:v>56510.9346263078</ns0:v>
      </ns0:c>
      <ns0:c r="O691" s="16">
        <ns0:f>IF('前提と出典'!$C$36+'前提と出典'!$C$38=0,0,'前提と出典'!$B$4*IF('前提と出典'!$B$20=0,MAX('前提と出典'!$B$6,D691*'前提と出典'!$B$5),'前提と出典'!$B$6+D691*'前提と出典'!$B$5))</ns0:f>
        <ns0:v>682179.4860335196</ns0:v>
      </ns0:c>
      <ns0:c r="P691" s="16">
        <ns0:f>(E691+G691)*(1-'前提と出典'!$B$7)-I691-K691-M691-O691</ns0:f>
        <ns0:v>1942500.5506708124</ns0:v>
      </ns0:c>
      <ns0:c r="Q691" s="16">
        <ns0:f>(F691+H691)*(1-'前提と出典'!$B$7)-J691-L691-N691</ns0:f>
        <ns0:v>581567.3734087347</ns0:v>
      </ns0:c>
      <ns0:c r="R691" s="16">
        <ns0:f>P691-E691*'前提と出典'!$E$4</ns0:f>
        <ns0:v>1424391.3411908601</ns0:v>
      </ns0:c>
      <ns0:c r="S691" s="16">
        <ns0:f>Q691-F691*'前提と出典'!$E$4</ns0:f>
        <ns0:v>431018.08076915087</ns0:v>
      </ns0:c>
      <ns0:c r="T691" s="7">
        <ns0:f>R691+S691</ns0:f>
        <ns0:v>1855409.4219600111</ns0:v>
      </ns0:c>
      <ns0:c r="U691" s="16">
        <ns0:f>P691-E691*'前提と出典'!$E$5</ns0:f>
        <ns0:v>1251688.2713642092</ns0:v>
      </ns0:c>
      <ns0:c r="V691" s="16">
        <ns0:f>Q691-F691*'前提と出典'!$E$5</ns0:f>
        <ns0:v>380834.9832226228</ns0:v>
      </ns0:c>
      <ns0:c r="W691" s="7">
        <ns0:f>U691+V691</ns0:f>
        <ns0:v>1632523.2545868321</ns0:v>
      </ns0:c>
      <ns0:c r="X691" s="16">
        <ns0:f>P691-E691*'前提と出典'!$E$6</ns0:f>
        <ns0:v>1078985.2015375588</ns0:v>
      </ns0:c>
      <ns0:c r="Y691" s="16">
        <ns0:f>Q691-F691*'前提と出典'!$E$6</ns0:f>
        <ns0:v>330651.8856760949</ns0:v>
      </ns0:c>
      <ns0:c r="Z691" s="7">
        <ns0:f>X691+Y691</ns0:f>
        <ns0:v>1409637.0872136536</ns0:v>
      </ns0:c>
      <ns0:c r="AA691" s="7">
        <ns0:f>IF(T691&gt;=0,A691,1001)</ns0:f>
        <ns0:v>687</ns0:v>
      </ns0:c>
      <ns0:c r="AB691" s="7">
        <ns0:f>IF(T691&lt;0,A691,0)</ns0:f>
        <ns0:v>0</ns0:v>
      </ns0:c>
      <ns0:c r="AC691" s="16">
        <ns0:f>IF(AND(OR('前提と出典'!$C$36+'前提と出典'!$C$38=0,R691&gt;=0),OR('前提と出典'!$C$37+'前提と出典'!$C$38=0,S691&gt;=0)),0,A691)</ns0:f>
        <ns0:v>0</ns0:v>
      </ns0:c>
      <ns0:c r="AD691" s="7">
        <ns0:f>IF(W691&gt;=0,A691,1001)</ns0:f>
        <ns0:v>687</ns0:v>
      </ns0:c>
      <ns0:c r="AE691" s="7">
        <ns0:f>IF(W691&lt;0,A691,0)</ns0:f>
        <ns0:v>0</ns0:v>
      </ns0:c>
      <ns0:c r="AF691" s="16">
        <ns0:f>IF(AND(OR('前提と出典'!$C$36+'前提と出典'!$C$38=0,U691&gt;=0),OR('前提と出典'!$C$37+'前提と出典'!$C$38=0,V691&gt;=0)),0,A691)</ns0:f>
        <ns0:v>0</ns0:v>
      </ns0:c>
      <ns0:c r="AG691" s="7">
        <ns0:f>IF(Z691&gt;=0,A691,1001)</ns0:f>
        <ns0:v>687</ns0:v>
      </ns0:c>
      <ns0:c r="AH691" s="4">
        <ns0:f>IF(Z691&lt;0,A691,0)</ns0:f>
        <ns0:v>0</ns0:v>
      </ns0:c>
      <ns0:c r="AI691" s="12">
        <ns0:f>IF(AND(OR('前提と出典'!$C$36+'前提と出典'!$C$38=0,X691&gt;=0),OR('前提と出典'!$C$37+'前提と出典'!$C$38=0,Y691&gt;=0)),0,A691)</ns0:f>
        <ns0:v>0</ns0:v>
      </ns0:c>
    </ns0:row>
    <ns0:row r="692" ht="24" customHeight="1">
      <ns0:c r="A692" s="4" t="n">
        <ns0:v>688</ns0:v>
      </ns0:c>
      <ns0:c r="B692" s="12">
        <ns0:f>A692*('前提と出典'!$C$36+'前提と出典'!$C$38)</ns0:f>
        <ns0:v>481.59999999999997</ns0:v>
      </ns0:c>
      <ns0:c r="C692" s="12">
        <ns0:f>A692*('前提と出典'!$C$37+'前提と出典'!$C$38)</ns0:f>
        <ns0:v>412.8</ns0:v>
      </ns0:c>
      <ns0:c r="D692" s="16">
        <ns0:f>A692*('前提と出典'!$C$36*'契約別単価'!C5+'前提と出典'!$C$37*'契約別単価'!C6+'前提と出典'!$C$38*'契約別単価'!C7)</ns0:f>
        <ns0:v>4950.525139664805</ns0:v>
      </ns0:c>
      <ns0:c r="E692" s="16">
        <ns0:f>A692*('前提と出典'!$C$36*'契約別単価'!E5+'前提と出典'!$C$37*'契約別単価'!E6+'前提と出典'!$C$38*'契約別単価'!E7)</ns0:f>
        <ns0:v>1729544.5711897484</ns0:v>
      </ns0:c>
      <ns0:c r="F692" s="16">
        <ns0:f>A692*('前提と出典'!$C$36*'契約別単価'!F5+'前提と出典'!$C$37*'契約別単価'!F6+'前提と出典'!$C$38*'契約別単価'!F7)</ns0:f>
        <ns0:v>502561.4426784752</ns0:v>
      </ns0:c>
      <ns0:c r="G692" s="16">
        <ns0:f>A692*('前提と出典'!$C$36*'契約別単価'!G5+'前提と出典'!$C$37*'契約別単価'!G6+'前提と出典'!$C$38*'契約別単価'!G7)</ns0:f>
        <ns0:v>1369465.9217877095</ns0:v>
      </ns0:c>
      <ns0:c r="H692" s="16">
        <ns0:f>A692*('前提と出典'!$C$36*'契約別単価'!H5+'前提と出典'!$C$37*'契約別単価'!H6+'前提と出典'!$C$38*'契約別単価'!H7)</ns0:f>
        <ns0:v>475273.358973639</ns0:v>
      </ns0:c>
      <ns0:c r="I692" s="16">
        <ns0:f>A692*('前提と出典'!$C$36*'契約別単価'!I5+'前提と出典'!$C$37*'契約別単価'!I6+'前提と出典'!$C$38*'契約別単価'!I7)</ns0:f>
        <ns0:v>29030.5251396648</ns0:v>
      </ns0:c>
      <ns0:c r="J692" s="16">
        <ns0:f>A692*('前提と出典'!$C$36*'契約別単価'!J5+'前提と出典'!$C$37*'契約別単価'!J6+'前提と出典'!$C$38*'契約別単価'!J7)</ns0:f>
        <ns0:v>67623.20607268816</ns0:v>
      </ns0:c>
      <ns0:c r="K692" s="16">
        <ns0:f>A692*('前提と出典'!$C$36*'契約別単価'!K5+'前提と出典'!$C$37*'契約別単価'!K6+'前提と出典'!$C$38*'契約別単価'!K7)</ns0:f>
        <ns0:v>289856.834264432</ns0:v>
      </ns0:c>
      <ns0:c r="L692" s="16">
        <ns0:f>A692*('前提と出典'!$C$36*'契約別単価'!L5+'前提と出典'!$C$37*'契約別単価'!L6+'前提と出典'!$C$38*'契約別単価'!L7)</ns0:f>
        <ns0:v>236002.4452991213</ns0:v>
      </ns0:c>
      <ns0:c r="M692" s="16">
        <ns0:f>IF(('前提と出典'!$C$36+'前提と出典'!$C$38)=0,0,IF(B692&lt;=10,'前提と出典'!B73+'前提と出典'!C73,IF(B692&lt;=100,'前提と出典'!B74+'前提と出典'!C74,IF(B692&lt;=500,'前提と出典'!B75+'前提と出典'!C75,'前提と出典'!B76+'前提と出典'!C76))))</ns0:f>
        <ns0:v>40000</ns0:v>
      </ns0:c>
      <ns0:c r="N692" s="16">
        <ns0:f>IF(('前提と出典'!$C$37+'前提と出典'!$C$38)=0,0,IF(C692&lt;=10,'前提と出典'!D73+'前提と出典'!E73,IF(C692&lt;=100,'前提と出典'!D74+'前提と出典'!E74,IF(C692&lt;=500,'前提と出典'!D75+'前提と出典'!E75,'前提と出典'!D76+'前提と出典'!E76))))</ns0:f>
        <ns0:v>56510.9346263078</ns0:v>
      </ns0:c>
      <ns0:c r="O692" s="16">
        <ns0:f>IF('前提と出典'!$C$36+'前提と出典'!$C$38=0,0,'前提と出典'!$B$4*IF('前提と出典'!$B$20=0,MAX('前提と出典'!$B$6,D692*'前提と出典'!$B$5),'前提と出典'!$B$6+D692*'前提と出典'!$B$5))</ns0:f>
        <ns0:v>683172.469273743</ns0:v>
      </ns0:c>
      <ns0:c r="P692" s="16">
        <ns0:f>(E692+G692)*(1-'前提と出典'!$B$7)-I692-K692-M692-O692</ns0:f>
        <ns0:v>1945386.2865524297</ns0:v>
      </ns0:c>
      <ns0:c r="Q692" s="16">
        <ns0:f>(F692+H692)*(1-'前提と出典'!$B$7)-J692-L692-N692</ns0:f>
        <ns0:v>582496.1627945208</ns0:v>
      </ns0:c>
      <ns0:c r="R692" s="16">
        <ns0:f>P692-E692*'前提と出典'!$E$4</ns0:f>
        <ns0:v>1426522.9151955054</ns0:v>
      </ns0:c>
      <ns0:c r="S692" s="16">
        <ns0:f>Q692-F692*'前提と出典'!$E$4</ns0:f>
        <ns0:v>431727.72999097826</ns0:v>
      </ns0:c>
      <ns0:c r="T692" s="7">
        <ns0:f>R692+S692</ns0:f>
        <ns0:v>1858250.6451864836</ns0:v>
      </ns0:c>
      <ns0:c r="U692" s="16">
        <ns0:f>P692-E692*'前提と出典'!$E$5</ns0:f>
        <ns0:v>1253568.4580765304</ns0:v>
      </ns0:c>
      <ns0:c r="V692" s="16">
        <ns0:f>Q692-F692*'前提と出典'!$E$5</ns0:f>
        <ns0:v>381471.58572313073</ns0:v>
      </ns0:c>
      <ns0:c r="W692" s="7">
        <ns0:f>U692+V692</ns0:f>
        <ns0:v>1635040.043799661</ns0:v>
      </ns0:c>
      <ns0:c r="X692" s="16">
        <ns0:f>P692-E692*'前提と出典'!$E$6</ns0:f>
        <ns0:v>1080614.0009575558</ns0:v>
      </ns0:c>
      <ns0:c r="Y692" s="16">
        <ns0:f>Q692-F692*'前提と出典'!$E$6</ns0:f>
        <ns0:v>331215.4414552832</ns0:v>
      </ns0:c>
      <ns0:c r="Z692" s="7">
        <ns0:f>X692+Y692</ns0:f>
        <ns0:v>1411829.442412839</ns0:v>
      </ns0:c>
      <ns0:c r="AA692" s="7">
        <ns0:f>IF(T692&gt;=0,A692,1001)</ns0:f>
        <ns0:v>688</ns0:v>
      </ns0:c>
      <ns0:c r="AB692" s="7">
        <ns0:f>IF(T692&lt;0,A692,0)</ns0:f>
        <ns0:v>0</ns0:v>
      </ns0:c>
      <ns0:c r="AC692" s="16">
        <ns0:f>IF(AND(OR('前提と出典'!$C$36+'前提と出典'!$C$38=0,R692&gt;=0),OR('前提と出典'!$C$37+'前提と出典'!$C$38=0,S692&gt;=0)),0,A692)</ns0:f>
        <ns0:v>0</ns0:v>
      </ns0:c>
      <ns0:c r="AD692" s="7">
        <ns0:f>IF(W692&gt;=0,A692,1001)</ns0:f>
        <ns0:v>688</ns0:v>
      </ns0:c>
      <ns0:c r="AE692" s="7">
        <ns0:f>IF(W692&lt;0,A692,0)</ns0:f>
        <ns0:v>0</ns0:v>
      </ns0:c>
      <ns0:c r="AF692" s="16">
        <ns0:f>IF(AND(OR('前提と出典'!$C$36+'前提と出典'!$C$38=0,U692&gt;=0),OR('前提と出典'!$C$37+'前提と出典'!$C$38=0,V692&gt;=0)),0,A692)</ns0:f>
        <ns0:v>0</ns0:v>
      </ns0:c>
      <ns0:c r="AG692" s="7">
        <ns0:f>IF(Z692&gt;=0,A692,1001)</ns0:f>
        <ns0:v>688</ns0:v>
      </ns0:c>
      <ns0:c r="AH692" s="4">
        <ns0:f>IF(Z692&lt;0,A692,0)</ns0:f>
        <ns0:v>0</ns0:v>
      </ns0:c>
      <ns0:c r="AI692" s="12">
        <ns0:f>IF(AND(OR('前提と出典'!$C$36+'前提と出典'!$C$38=0,X692&gt;=0),OR('前提と出典'!$C$37+'前提と出典'!$C$38=0,Y692&gt;=0)),0,A692)</ns0:f>
        <ns0:v>0</ns0:v>
      </ns0:c>
    </ns0:row>
    <ns0:row r="693" ht="24" customHeight="1">
      <ns0:c r="A693" s="4" t="n">
        <ns0:v>689</ns0:v>
      </ns0:c>
      <ns0:c r="B693" s="12">
        <ns0:f>A693*('前提と出典'!$C$36+'前提と出典'!$C$38)</ns0:f>
        <ns0:v>482.29999999999995</ns0:v>
      </ns0:c>
      <ns0:c r="C693" s="12">
        <ns0:f>A693*('前提と出典'!$C$37+'前提と出典'!$C$38)</ns0:f>
        <ns0:v>413.4</ns0:v>
      </ns0:c>
      <ns0:c r="D693" s="16">
        <ns0:f>A693*('前提と出典'!$C$36*'契約別単価'!C5+'前提と出典'!$C$37*'契約別単価'!C6+'前提と出典'!$C$38*'契約別単価'!C7)</ns0:f>
        <ns0:v>4957.7206703910615</ns0:v>
      </ns0:c>
      <ns0:c r="E693" s="16">
        <ns0:f>A693*('前提と出典'!$C$36*'契約別単価'!E5+'前提と出典'!$C$37*'契約別単価'!E6+'前提と出典'!$C$38*'契約別単価'!E7)</ns0:f>
        <ns0:v>1732058.4441129891</ns0:v>
      </ns0:c>
      <ns0:c r="F693" s="16">
        <ns0:f>A693*('前提と出典'!$C$36*'契約別単価'!F5+'前提と出典'!$C$37*'契約別単価'!F6+'前提と出典'!$C$38*'契約別単価'!F7)</ns0:f>
        <ns0:v>503291.9098916707</ns0:v>
      </ns0:c>
      <ns0:c r="G693" s="16">
        <ns0:f>A693*('前提と出典'!$C$36*'契約別単価'!G5+'前提と出典'!$C$37*'契約別単価'!G6+'前提と出典'!$C$38*'契約別単価'!G7)</ns0:f>
        <ns0:v>1371456.4245810055</ns0:v>
      </ns0:c>
      <ns0:c r="H693" s="16">
        <ns0:f>A693*('前提と出典'!$C$36*'契約別単価'!H5+'前提と出典'!$C$37*'契約別単価'!H6+'前提と出典'!$C$38*'契約別単価'!H7)</ns0:f>
        <ns0:v>475964.1632744728</ns0:v>
      </ns0:c>
      <ns0:c r="I693" s="16">
        <ns0:f>A693*('前提と出典'!$C$36*'契約別単価'!I5+'前提と出典'!$C$37*'契約別単価'!I6+'前提と出典'!$C$38*'契約別単価'!I7)</ns0:f>
        <ns0:v>29072.720670391056</ns0:v>
      </ns0:c>
      <ns0:c r="J693" s="16">
        <ns0:f>A693*('前提と出典'!$C$36*'契約別単価'!J5+'前提と出典'!$C$37*'契約別単価'!J6+'前提と出典'!$C$38*'契約別単価'!J7)</ns0:f>
        <ns0:v>67721.49561639848</ns0:v>
      </ns0:c>
      <ns0:c r="K693" s="16">
        <ns0:f>A693*('前提と出典'!$C$36*'契約別単価'!K5+'前提と出典'!$C$37*'契約別単価'!K6+'前提と出典'!$C$38*'契約別単価'!K7)</ns0:f>
        <ns0:v>290278.13780260703</ns0:v>
      </ns0:c>
      <ns0:c r="L693" s="16">
        <ns0:f>A693*('前提と出典'!$C$36*'契約別単価'!L5+'前提と出典'!$C$37*'契約別単価'!L6+'前提と出典'!$C$38*'契約別単価'!L7)</ns0:f>
        <ns0:v>236345.4721091491</ns0:v>
      </ns0:c>
      <ns0:c r="M693" s="16">
        <ns0:f>IF(('前提と出典'!$C$36+'前提と出典'!$C$38)=0,0,IF(B693&lt;=10,'前提と出典'!B73+'前提と出典'!C73,IF(B693&lt;=100,'前提と出典'!B74+'前提と出典'!C74,IF(B693&lt;=500,'前提と出典'!B75+'前提と出典'!C75,'前提と出典'!B76+'前提と出典'!C76))))</ns0:f>
        <ns0:v>40000</ns0:v>
      </ns0:c>
      <ns0:c r="N693" s="16">
        <ns0:f>IF(('前提と出典'!$C$37+'前提と出典'!$C$38)=0,0,IF(C693&lt;=10,'前提と出典'!D73+'前提と出典'!E73,IF(C693&lt;=100,'前提と出典'!D74+'前提と出典'!E74,IF(C693&lt;=500,'前提と出典'!D75+'前提と出典'!E75,'前提と出典'!D76+'前提と出典'!E76))))</ns0:f>
        <ns0:v>56510.9346263078</ns0:v>
      </ns0:c>
      <ns0:c r="O693" s="16">
        <ns0:f>IF('前提と出典'!$C$36+'前提と出典'!$C$38=0,0,'前提と出典'!$B$4*IF('前提と出典'!$B$20=0,MAX('前提と出典'!$B$6,D693*'前提と出典'!$B$5),'前提と出典'!$B$6+D693*'前提と出典'!$B$5))</ns0:f>
        <ns0:v>684165.4525139665</ns0:v>
      </ns0:c>
      <ns0:c r="P693" s="16">
        <ns0:f>(E693+G693)*(1-'前提と出典'!$B$7)-I693-K693-M693-O693</ns0:f>
        <ns0:v>1948272.0224340465</ns0:v>
      </ns0:c>
      <ns0:c r="Q693" s="16">
        <ns0:f>(F693+H693)*(1-'前提と出典'!$B$7)-J693-L693-N693</ns0:f>
        <ns0:v>583424.9521803069</ns0:v>
      </ns0:c>
      <ns0:c r="R693" s="16">
        <ns0:f>P693-E693*'前提と出典'!$E$4</ns0:f>
        <ns0:v>1428654.4892001494</ns0:v>
      </ns0:c>
      <ns0:c r="S693" s="16">
        <ns0:f>Q693-F693*'前提と出典'!$E$4</ns0:f>
        <ns0:v>432437.37921280565</ns0:v>
      </ns0:c>
      <ns0:c r="T693" s="7">
        <ns0:f>R693+S693</ns0:f>
        <ns0:v>1861091.8684129552</ns0:v>
      </ns0:c>
      <ns0:c r="U693" s="16">
        <ns0:f>P693-E693*'前提と出典'!$E$5</ns0:f>
        <ns0:v>1255448.6447888508</ns0:v>
      </ns0:c>
      <ns0:c r="V693" s="16">
        <ns0:f>Q693-F693*'前提と出典'!$E$5</ns0:f>
        <ns0:v>382108.1882236386</ns0:v>
      </ns0:c>
      <ns0:c r="W693" s="7">
        <ns0:f>U693+V693</ns0:f>
        <ns0:v>1637556.8330124894</ns0:v>
      </ns0:c>
      <ns0:c r="X693" s="16">
        <ns0:f>P693-E693*'前提と出典'!$E$6</ns0:f>
        <ns0:v>1082242.8003775512</ns0:v>
      </ns0:c>
      <ns0:c r="Y693" s="16">
        <ns0:f>Q693-F693*'前提と出典'!$E$6</ns0:f>
        <ns0:v>331778.9972344715</ns0:v>
      </ns0:c>
      <ns0:c r="Z693" s="7">
        <ns0:f>X693+Y693</ns0:f>
        <ns0:v>1414021.7976120226</ns0:v>
      </ns0:c>
      <ns0:c r="AA693" s="7">
        <ns0:f>IF(T693&gt;=0,A693,1001)</ns0:f>
        <ns0:v>689</ns0:v>
      </ns0:c>
      <ns0:c r="AB693" s="7">
        <ns0:f>IF(T693&lt;0,A693,0)</ns0:f>
        <ns0:v>0</ns0:v>
      </ns0:c>
      <ns0:c r="AC693" s="16">
        <ns0:f>IF(AND(OR('前提と出典'!$C$36+'前提と出典'!$C$38=0,R693&gt;=0),OR('前提と出典'!$C$37+'前提と出典'!$C$38=0,S693&gt;=0)),0,A693)</ns0:f>
        <ns0:v>0</ns0:v>
      </ns0:c>
      <ns0:c r="AD693" s="7">
        <ns0:f>IF(W693&gt;=0,A693,1001)</ns0:f>
        <ns0:v>689</ns0:v>
      </ns0:c>
      <ns0:c r="AE693" s="7">
        <ns0:f>IF(W693&lt;0,A693,0)</ns0:f>
        <ns0:v>0</ns0:v>
      </ns0:c>
      <ns0:c r="AF693" s="16">
        <ns0:f>IF(AND(OR('前提と出典'!$C$36+'前提と出典'!$C$38=0,U693&gt;=0),OR('前提と出典'!$C$37+'前提と出典'!$C$38=0,V693&gt;=0)),0,A693)</ns0:f>
        <ns0:v>0</ns0:v>
      </ns0:c>
      <ns0:c r="AG693" s="7">
        <ns0:f>IF(Z693&gt;=0,A693,1001)</ns0:f>
        <ns0:v>689</ns0:v>
      </ns0:c>
      <ns0:c r="AH693" s="4">
        <ns0:f>IF(Z693&lt;0,A693,0)</ns0:f>
        <ns0:v>0</ns0:v>
      </ns0:c>
      <ns0:c r="AI693" s="12">
        <ns0:f>IF(AND(OR('前提と出典'!$C$36+'前提と出典'!$C$38=0,X693&gt;=0),OR('前提と出典'!$C$37+'前提と出典'!$C$38=0,Y693&gt;=0)),0,A693)</ns0:f>
        <ns0:v>0</ns0:v>
      </ns0:c>
    </ns0:row>
    <ns0:row r="694" ht="24" customHeight="1">
      <ns0:c r="A694" s="4" t="n">
        <ns0:v>690</ns0:v>
      </ns0:c>
      <ns0:c r="B694" s="12">
        <ns0:f>A694*('前提と出典'!$C$36+'前提と出典'!$C$38)</ns0:f>
        <ns0:v>482.99999999999994</ns0:v>
      </ns0:c>
      <ns0:c r="C694" s="12">
        <ns0:f>A694*('前提と出典'!$C$37+'前提と出典'!$C$38)</ns0:f>
        <ns0:v>414</ns0:v>
      </ns0:c>
      <ns0:c r="D694" s="16">
        <ns0:f>A694*('前提と出典'!$C$36*'契約別単価'!C5+'前提と出典'!$C$37*'契約別単価'!C6+'前提と出典'!$C$38*'契約別単価'!C7)</ns0:f>
        <ns0:v>4964.916201117318</ns0:v>
      </ns0:c>
      <ns0:c r="E694" s="16">
        <ns0:f>A694*('前提と出典'!$C$36*'契約別単価'!E5+'前提と出典'!$C$37*'契約別単価'!E6+'前提と出典'!$C$38*'契約別単価'!E7)</ns0:f>
        <ns0:v>1734572.3170362301</ns0:v>
      </ns0:c>
      <ns0:c r="F694" s="16">
        <ns0:f>A694*('前提と出典'!$C$36*'契約別単価'!F5+'前提と出典'!$C$37*'契約別単価'!F6+'前提と出典'!$C$38*'契約別単価'!F7)</ns0:f>
        <ns0:v>504022.37710486614</ns0:v>
      </ns0:c>
      <ns0:c r="G694" s="16">
        <ns0:f>A694*('前提と出典'!$C$36*'契約別単価'!G5+'前提と出典'!$C$37*'契約別単価'!G6+'前提と出典'!$C$38*'契約別単価'!G7)</ns0:f>
        <ns0:v>1373446.9273743017</ns0:v>
      </ns0:c>
      <ns0:c r="H694" s="16">
        <ns0:f>A694*('前提と出典'!$C$36*'契約別単価'!H5+'前提と出典'!$C$37*'契約別単価'!H6+'前提と出典'!$C$38*'契約別単価'!H7)</ns0:f>
        <ns0:v>476654.9675753066</ns0:v>
      </ns0:c>
      <ns0:c r="I694" s="16">
        <ns0:f>A694*('前提と出典'!$C$36*'契約別単価'!I5+'前提と出典'!$C$37*'契約別単価'!I6+'前提と出典'!$C$38*'契約別単価'!I7)</ns0:f>
        <ns0:v>29114.916201117314</ns0:v>
      </ns0:c>
      <ns0:c r="J694" s="16">
        <ns0:f>A694*('前提と出典'!$C$36*'契約別単価'!J5+'前提と出典'!$C$37*'契約別単価'!J6+'前提と出典'!$C$38*'契約別単価'!J7)</ns0:f>
        <ns0:v>67819.78516010878</ns0:v>
      </ns0:c>
      <ns0:c r="K694" s="16">
        <ns0:f>A694*('前提と出典'!$C$36*'契約別単価'!K5+'前提と出典'!$C$37*'契約別単価'!K6+'前提と出典'!$C$38*'契約別単価'!K7)</ns0:f>
        <ns0:v>290699.4413407821</ns0:v>
      </ns0:c>
      <ns0:c r="L694" s="16">
        <ns0:f>A694*('前提と出典'!$C$36*'契約別単価'!L5+'前提と出典'!$C$37*'契約別単価'!L6+'前提と出典'!$C$38*'契約別単価'!L7)</ns0:f>
        <ns0:v>236688.49891917687</ns0:v>
      </ns0:c>
      <ns0:c r="M694" s="16">
        <ns0:f>IF(('前提と出典'!$C$36+'前提と出典'!$C$38)=0,0,IF(B694&lt;=10,'前提と出典'!B73+'前提と出典'!C73,IF(B694&lt;=100,'前提と出典'!B74+'前提と出典'!C74,IF(B694&lt;=500,'前提と出典'!B75+'前提と出典'!C75,'前提と出典'!B76+'前提と出典'!C76))))</ns0:f>
        <ns0:v>40000</ns0:v>
      </ns0:c>
      <ns0:c r="N694" s="16">
        <ns0:f>IF(('前提と出典'!$C$37+'前提と出典'!$C$38)=0,0,IF(C694&lt;=10,'前提と出典'!D73+'前提と出典'!E73,IF(C694&lt;=100,'前提と出典'!D74+'前提と出典'!E74,IF(C694&lt;=500,'前提と出典'!D75+'前提と出典'!E75,'前提と出典'!D76+'前提と出典'!E76))))</ns0:f>
        <ns0:v>56510.9346263078</ns0:v>
      </ns0:c>
      <ns0:c r="O694" s="16">
        <ns0:f>IF('前提と出典'!$C$36+'前提と出典'!$C$38=0,0,'前提と出典'!$B$4*IF('前提と出典'!$B$20=0,MAX('前提と出典'!$B$6,D694*'前提と出典'!$B$5),'前提と出典'!$B$6+D694*'前提と出典'!$B$5))</ns0:f>
        <ns0:v>685158.43575419</ns0:v>
      </ns0:c>
      <ns0:c r="P694" s="16">
        <ns0:f>(E694+G694)*(1-'前提と出典'!$B$7)-I694-K694-M694-O694</ns0:f>
        <ns0:v>1951157.7583156629</ns0:v>
      </ns0:c>
      <ns0:c r="Q694" s="16">
        <ns0:f>(F694+H694)*(1-'前提と出典'!$B$7)-J694-L694-N694</ns0:f>
        <ns0:v>584353.7415660932</ns0:v>
      </ns0:c>
      <ns0:c r="R694" s="16">
        <ns0:f>P694-E694*'前提と出典'!$E$4</ns0:f>
        <ns0:v>1430786.0632047935</ns0:v>
      </ns0:c>
      <ns0:c r="S694" s="16">
        <ns0:f>Q694-F694*'前提と出典'!$E$4</ns0:f>
        <ns0:v>433147.0284346333</ns0:v>
      </ns0:c>
      <ns0:c r="T694" s="7">
        <ns0:f>R694+S694</ns0:f>
        <ns0:v>1863933.0916394268</ns0:v>
      </ns0:c>
      <ns0:c r="U694" s="16">
        <ns0:f>P694-E694*'前提と出典'!$E$5</ns0:f>
        <ns0:v>1257328.8315011708</ns0:v>
      </ns0:c>
      <ns0:c r="V694" s="16">
        <ns0:f>Q694-F694*'前提と出典'!$E$5</ns0:f>
        <ns0:v>382744.79072414665</ns0:v>
      </ns0:c>
      <ns0:c r="W694" s="7">
        <ns0:f>U694+V694</ns0:f>
        <ns0:v>1640073.6222253174</ns0:v>
      </ns0:c>
      <ns0:c r="X694" s="16">
        <ns0:f>P694-E694*'前提と出典'!$E$6</ns0:f>
        <ns0:v>1083871.5997975476</ns0:v>
      </ns0:c>
      <ns0:c r="Y694" s="16">
        <ns0:f>Q694-F694*'前提と出典'!$E$6</ns0:f>
        <ns0:v>332342.55301366</ns0:v>
      </ns0:c>
      <ns0:c r="Z694" s="7">
        <ns0:f>X694+Y694</ns0:f>
        <ns0:v>1416214.1528112076</ns0:v>
      </ns0:c>
      <ns0:c r="AA694" s="7">
        <ns0:f>IF(T694&gt;=0,A694,1001)</ns0:f>
        <ns0:v>690</ns0:v>
      </ns0:c>
      <ns0:c r="AB694" s="7">
        <ns0:f>IF(T694&lt;0,A694,0)</ns0:f>
        <ns0:v>0</ns0:v>
      </ns0:c>
      <ns0:c r="AC694" s="16">
        <ns0:f>IF(AND(OR('前提と出典'!$C$36+'前提と出典'!$C$38=0,R694&gt;=0),OR('前提と出典'!$C$37+'前提と出典'!$C$38=0,S694&gt;=0)),0,A694)</ns0:f>
        <ns0:v>0</ns0:v>
      </ns0:c>
      <ns0:c r="AD694" s="7">
        <ns0:f>IF(W694&gt;=0,A694,1001)</ns0:f>
        <ns0:v>690</ns0:v>
      </ns0:c>
      <ns0:c r="AE694" s="7">
        <ns0:f>IF(W694&lt;0,A694,0)</ns0:f>
        <ns0:v>0</ns0:v>
      </ns0:c>
      <ns0:c r="AF694" s="16">
        <ns0:f>IF(AND(OR('前提と出典'!$C$36+'前提と出典'!$C$38=0,U694&gt;=0),OR('前提と出典'!$C$37+'前提と出典'!$C$38=0,V694&gt;=0)),0,A694)</ns0:f>
        <ns0:v>0</ns0:v>
      </ns0:c>
      <ns0:c r="AG694" s="7">
        <ns0:f>IF(Z694&gt;=0,A694,1001)</ns0:f>
        <ns0:v>690</ns0:v>
      </ns0:c>
      <ns0:c r="AH694" s="4">
        <ns0:f>IF(Z694&lt;0,A694,0)</ns0:f>
        <ns0:v>0</ns0:v>
      </ns0:c>
      <ns0:c r="AI694" s="12">
        <ns0:f>IF(AND(OR('前提と出典'!$C$36+'前提と出典'!$C$38=0,X694&gt;=0),OR('前提と出典'!$C$37+'前提と出典'!$C$38=0,Y694&gt;=0)),0,A694)</ns0:f>
        <ns0:v>0</ns0:v>
      </ns0:c>
    </ns0:row>
    <ns0:row r="695" ht="24" customHeight="1">
      <ns0:c r="A695" s="4" t="n">
        <ns0:v>691</ns0:v>
      </ns0:c>
      <ns0:c r="B695" s="12">
        <ns0:f>A695*('前提と出典'!$C$36+'前提と出典'!$C$38)</ns0:f>
        <ns0:v>483.7</ns0:v>
      </ns0:c>
      <ns0:c r="C695" s="12">
        <ns0:f>A695*('前提と出典'!$C$37+'前提と出典'!$C$38)</ns0:f>
        <ns0:v>414.59999999999997</ns0:v>
      </ns0:c>
      <ns0:c r="D695" s="16">
        <ns0:f>A695*('前提と出典'!$C$36*'契約別単価'!C5+'前提と出典'!$C$37*'契約別単価'!C6+'前提と出典'!$C$38*'契約別単価'!C7)</ns0:f>
        <ns0:v>4972.111731843575</ns0:v>
      </ns0:c>
      <ns0:c r="E695" s="16">
        <ns0:f>A695*('前提と出典'!$C$36*'契約別単価'!E5+'前提と出典'!$C$37*'契約別単価'!E6+'前提と出典'!$C$38*'契約別単価'!E7)</ns0:f>
        <ns0:v>1737086.189959471</ns0:v>
      </ns0:c>
      <ns0:c r="F695" s="16">
        <ns0:f>A695*('前提と出典'!$C$36*'契約別単価'!F5+'前提と出典'!$C$37*'契約別単価'!F6+'前提と出典'!$C$38*'契約別単価'!F7)</ns0:f>
        <ns0:v>504752.8443180616</ns0:v>
      </ns0:c>
      <ns0:c r="G695" s="16">
        <ns0:f>A695*('前提と出典'!$C$36*'契約別単価'!G5+'前提と出典'!$C$37*'契約別単価'!G6+'前提と出典'!$C$38*'契約別単価'!G7)</ns0:f>
        <ns0:v>1375437.4301675977</ns0:v>
      </ns0:c>
      <ns0:c r="H695" s="16">
        <ns0:f>A695*('前提と出典'!$C$36*'契約別単価'!H5+'前提と出典'!$C$37*'契約別単価'!H6+'前提と出典'!$C$38*'契約別単価'!H7)</ns0:f>
        <ns0:v>477345.7718761404</ns0:v>
      </ns0:c>
      <ns0:c r="I695" s="16">
        <ns0:f>A695*('前提と出典'!$C$36*'契約別単価'!I5+'前提と出典'!$C$37*'契約別単価'!I6+'前提と出典'!$C$38*'契約別単価'!I7)</ns0:f>
        <ns0:v>29157.11173184357</ns0:v>
      </ns0:c>
      <ns0:c r="J695" s="16">
        <ns0:f>A695*('前提と出典'!$C$36*'契約別単価'!J5+'前提と出典'!$C$37*'契約別単価'!J6+'前提と出典'!$C$38*'契約別単価'!J7)</ns0:f>
        <ns0:v>67918.07470381907</ns0:v>
      </ns0:c>
      <ns0:c r="K695" s="16">
        <ns0:f>A695*('前提と出典'!$C$36*'契約別単価'!K5+'前提と出典'!$C$37*'契約別単価'!K6+'前提と出典'!$C$38*'契約別単価'!K7)</ns0:f>
        <ns0:v>291120.74487895716</ns0:v>
      </ns0:c>
      <ns0:c r="L695" s="16">
        <ns0:f>A695*('前提と出典'!$C$36*'契約別単価'!L5+'前提と出典'!$C$37*'契約別単価'!L6+'前提と出典'!$C$38*'契約別単価'!L7)</ns0:f>
        <ns0:v>237031.52572920467</ns0:v>
      </ns0:c>
      <ns0:c r="M695" s="16">
        <ns0:f>IF(('前提と出典'!$C$36+'前提と出典'!$C$38)=0,0,IF(B695&lt;=10,'前提と出典'!B73+'前提と出典'!C73,IF(B695&lt;=100,'前提と出典'!B74+'前提と出典'!C74,IF(B695&lt;=500,'前提と出典'!B75+'前提と出典'!C75,'前提と出典'!B76+'前提と出典'!C76))))</ns0:f>
        <ns0:v>40000</ns0:v>
      </ns0:c>
      <ns0:c r="N695" s="16">
        <ns0:f>IF(('前提と出典'!$C$37+'前提と出典'!$C$38)=0,0,IF(C695&lt;=10,'前提と出典'!D73+'前提と出典'!E73,IF(C695&lt;=100,'前提と出典'!D74+'前提と出典'!E74,IF(C695&lt;=500,'前提と出典'!D75+'前提と出典'!E75,'前提と出典'!D76+'前提と出典'!E76))))</ns0:f>
        <ns0:v>56510.9346263078</ns0:v>
      </ns0:c>
      <ns0:c r="O695" s="16">
        <ns0:f>IF('前提と出典'!$C$36+'前提と出典'!$C$38=0,0,'前提と出典'!$B$4*IF('前提と出典'!$B$20=0,MAX('前提と出典'!$B$6,D695*'前提と出典'!$B$5),'前提と出典'!$B$6+D695*'前提と出典'!$B$5))</ns0:f>
        <ns0:v>686151.4189944135</ns0:v>
      </ns0:c>
      <ns0:c r="P695" s="16">
        <ns0:f>(E695+G695)*(1-'前提と出典'!$B$7)-I695-K695-M695-O695</ns0:f>
        <ns0:v>1954043.4941972806</ns0:v>
      </ns0:c>
      <ns0:c r="Q695" s="16">
        <ns0:f>(F695+H695)*(1-'前提と出典'!$B$7)-J695-L695-N695</ns0:f>
        <ns0:v>585282.5309518791</ns0:v>
      </ns0:c>
      <ns0:c r="R695" s="16">
        <ns0:f>P695-E695*'前提と出典'!$E$4</ns0:f>
        <ns0:v>1432917.637209439</ns0:v>
      </ns0:c>
      <ns0:c r="S695" s="16">
        <ns0:f>Q695-F695*'前提と出典'!$E$4</ns0:f>
        <ns0:v>433856.67765646067</ns0:v>
      </ns0:c>
      <ns0:c r="T695" s="7">
        <ns0:f>R695+S695</ns0:f>
        <ns0:v>1866774.3148658997</ns0:v>
      </ns0:c>
      <ns0:c r="U695" s="16">
        <ns0:f>P695-E695*'前提と出典'!$E$5</ns0:f>
        <ns0:v>1259209.0182134921</ns0:v>
      </ns0:c>
      <ns0:c r="V695" s="16">
        <ns0:f>Q695-F695*'前提と出典'!$E$5</ns0:f>
        <ns0:v>383381.3932246545</ns0:v>
      </ns0:c>
      <ns0:c r="W695" s="7">
        <ns0:f>U695+V695</ns0:f>
        <ns0:v>1642590.4114381466</ns0:v>
      </ns0:c>
      <ns0:c r="X695" s="16">
        <ns0:f>P695-E695*'前提と出典'!$E$6</ns0:f>
        <ns0:v>1085500.3992175448</ns0:v>
      </ns0:c>
      <ns0:c r="Y695" s="16">
        <ns0:f>Q695-F695*'前提と出典'!$E$6</ns0:f>
        <ns0:v>332906.1087928483</ns0:v>
      </ns0:c>
      <ns0:c r="Z695" s="7">
        <ns0:f>X695+Y695</ns0:f>
        <ns0:v>1418406.508010393</ns0:v>
      </ns0:c>
      <ns0:c r="AA695" s="7">
        <ns0:f>IF(T695&gt;=0,A695,1001)</ns0:f>
        <ns0:v>691</ns0:v>
      </ns0:c>
      <ns0:c r="AB695" s="7">
        <ns0:f>IF(T695&lt;0,A695,0)</ns0:f>
        <ns0:v>0</ns0:v>
      </ns0:c>
      <ns0:c r="AC695" s="16">
        <ns0:f>IF(AND(OR('前提と出典'!$C$36+'前提と出典'!$C$38=0,R695&gt;=0),OR('前提と出典'!$C$37+'前提と出典'!$C$38=0,S695&gt;=0)),0,A695)</ns0:f>
        <ns0:v>0</ns0:v>
      </ns0:c>
      <ns0:c r="AD695" s="7">
        <ns0:f>IF(W695&gt;=0,A695,1001)</ns0:f>
        <ns0:v>691</ns0:v>
      </ns0:c>
      <ns0:c r="AE695" s="7">
        <ns0:f>IF(W695&lt;0,A695,0)</ns0:f>
        <ns0:v>0</ns0:v>
      </ns0:c>
      <ns0:c r="AF695" s="16">
        <ns0:f>IF(AND(OR('前提と出典'!$C$36+'前提と出典'!$C$38=0,U695&gt;=0),OR('前提と出典'!$C$37+'前提と出典'!$C$38=0,V695&gt;=0)),0,A695)</ns0:f>
        <ns0:v>0</ns0:v>
      </ns0:c>
      <ns0:c r="AG695" s="7">
        <ns0:f>IF(Z695&gt;=0,A695,1001)</ns0:f>
        <ns0:v>691</ns0:v>
      </ns0:c>
      <ns0:c r="AH695" s="4">
        <ns0:f>IF(Z695&lt;0,A695,0)</ns0:f>
        <ns0:v>0</ns0:v>
      </ns0:c>
      <ns0:c r="AI695" s="12">
        <ns0:f>IF(AND(OR('前提と出典'!$C$36+'前提と出典'!$C$38=0,X695&gt;=0),OR('前提と出典'!$C$37+'前提と出典'!$C$38=0,Y695&gt;=0)),0,A695)</ns0:f>
        <ns0:v>0</ns0:v>
      </ns0:c>
    </ns0:row>
    <ns0:row r="696" ht="24" customHeight="1">
      <ns0:c r="A696" s="4" t="n">
        <ns0:v>692</ns0:v>
      </ns0:c>
      <ns0:c r="B696" s="12">
        <ns0:f>A696*('前提と出典'!$C$36+'前提と出典'!$C$38)</ns0:f>
        <ns0:v>484.4</ns0:v>
      </ns0:c>
      <ns0:c r="C696" s="12">
        <ns0:f>A696*('前提と出典'!$C$37+'前提と出典'!$C$38)</ns0:f>
        <ns0:v>415.2</ns0:v>
      </ns0:c>
      <ns0:c r="D696" s="16">
        <ns0:f>A696*('前提と出典'!$C$36*'契約別単価'!C5+'前提と出典'!$C$37*'契約別単価'!C6+'前提と出典'!$C$38*'契約別単価'!C7)</ns0:f>
        <ns0:v>4979.307262569832</ns0:v>
      </ns0:c>
      <ns0:c r="E696" s="16">
        <ns0:f>A696*('前提と出典'!$C$36*'契約別単価'!E5+'前提と出典'!$C$37*'契約別単価'!E6+'前提と出典'!$C$38*'契約別単価'!E7)</ns0:f>
        <ns0:v>1739600.0628827119</ns0:v>
      </ns0:c>
      <ns0:c r="F696" s="16">
        <ns0:f>A696*('前提と出典'!$C$36*'契約別単価'!F5+'前提と出典'!$C$37*'契約別単価'!F6+'前提と出典'!$C$38*'契約別単価'!F7)</ns0:f>
        <ns0:v>505483.31153125706</ns0:v>
      </ns0:c>
      <ns0:c r="G696" s="16">
        <ns0:f>A696*('前提と出典'!$C$36*'契約別単価'!G5+'前提と出典'!$C$37*'契約別単価'!G6+'前提と出典'!$C$38*'契約別単価'!G7)</ns0:f>
        <ns0:v>1377427.9329608937</ns0:v>
      </ns0:c>
      <ns0:c r="H696" s="16">
        <ns0:f>A696*('前提と出典'!$C$36*'契約別単価'!H5+'前提と出典'!$C$37*'契約別単価'!H6+'前提と出典'!$C$38*'契約別単価'!H7)</ns0:f>
        <ns0:v>478036.57617697417</ns0:v>
      </ns0:c>
      <ns0:c r="I696" s="16">
        <ns0:f>A696*('前提と出典'!$C$36*'契約別単価'!I5+'前提と出典'!$C$37*'契約別単価'!I6+'前提と出典'!$C$38*'契約別単価'!I7)</ns0:f>
        <ns0:v>29199.307262569826</ns0:v>
      </ns0:c>
      <ns0:c r="J696" s="16">
        <ns0:f>A696*('前提と出典'!$C$36*'契約別単価'!J5+'前提と出典'!$C$37*'契約別単価'!J6+'前提と出典'!$C$38*'契約別単価'!J7)</ns0:f>
        <ns0:v>68016.36424752937</ns0:v>
      </ns0:c>
      <ns0:c r="K696" s="16">
        <ns0:f>A696*('前提と出典'!$C$36*'契約別単価'!K5+'前提と出典'!$C$37*'契約別単価'!K6+'前提と出典'!$C$38*'契約別単価'!K7)</ns0:f>
        <ns0:v>291542.0484171322</ns0:v>
      </ns0:c>
      <ns0:c r="L696" s="16">
        <ns0:f>A696*('前提と出典'!$C$36*'契約別単価'!L5+'前提と出典'!$C$37*'契約別単価'!L6+'前提と出典'!$C$38*'契約別単価'!L7)</ns0:f>
        <ns0:v>237374.55253923248</ns0:v>
      </ns0:c>
      <ns0:c r="M696" s="16">
        <ns0:f>IF(('前提と出典'!$C$36+'前提と出典'!$C$38)=0,0,IF(B696&lt;=10,'前提と出典'!B73+'前提と出典'!C73,IF(B696&lt;=100,'前提と出典'!B74+'前提と出典'!C74,IF(B696&lt;=500,'前提と出典'!B75+'前提と出典'!C75,'前提と出典'!B76+'前提と出典'!C76))))</ns0:f>
        <ns0:v>40000</ns0:v>
      </ns0:c>
      <ns0:c r="N696" s="16">
        <ns0:f>IF(('前提と出典'!$C$37+'前提と出典'!$C$38)=0,0,IF(C696&lt;=10,'前提と出典'!D73+'前提と出典'!E73,IF(C696&lt;=100,'前提と出典'!D74+'前提と出典'!E74,IF(C696&lt;=500,'前提と出典'!D75+'前提と出典'!E75,'前提と出典'!D76+'前提と出典'!E76))))</ns0:f>
        <ns0:v>56510.9346263078</ns0:v>
      </ns0:c>
      <ns0:c r="O696" s="16">
        <ns0:f>IF('前提と出典'!$C$36+'前提と出典'!$C$38=0,0,'前提と出典'!$B$4*IF('前提と出典'!$B$20=0,MAX('前提と出典'!$B$6,D696*'前提と出典'!$B$5),'前提と出典'!$B$6+D696*'前提と出典'!$B$5))</ns0:f>
        <ns0:v>687144.402234637</ns0:v>
      </ns0:c>
      <ns0:c r="P696" s="16">
        <ns0:f>(E696+G696)*(1-'前提と出典'!$B$7)-I696-K696-M696-O696</ns0:f>
        <ns0:v>1956929.230078897</ns0:v>
      </ns0:c>
      <ns0:c r="Q696" s="16">
        <ns0:f>(F696+H696)*(1-'前提と出典'!$B$7)-J696-L696-N696</ns0:f>
        <ns0:v>586211.3203376653</ns0:v>
      </ns0:c>
      <ns0:c r="R696" s="16">
        <ns0:f>P696-E696*'前提と出典'!$E$4</ns0:f>
        <ns0:v>1435049.211214083</ns0:v>
      </ns0:c>
      <ns0:c r="S696" s="16">
        <ns0:f>Q696-F696*'前提と出典'!$E$4</ns0:f>
        <ns0:v>434566.3268782881</ns0:v>
      </ns0:c>
      <ns0:c r="T696" s="7">
        <ns0:f>R696+S696</ns0:f>
        <ns0:v>1869615.538092371</ns0:v>
      </ns0:c>
      <ns0:c r="U696" s="16">
        <ns0:f>P696-E696*'前提と出典'!$E$5</ns0:f>
        <ns0:v>1261089.2049258123</ns0:v>
      </ns0:c>
      <ns0:c r="V696" s="16">
        <ns0:f>Q696-F696*'前提と出典'!$E$5</ns0:f>
        <ns0:v>384017.9957251624</ns0:v>
      </ns0:c>
      <ns0:c r="W696" s="7">
        <ns0:f>U696+V696</ns0:f>
        <ns0:v>1645107.2006509746</ns0:v>
      </ns0:c>
      <ns0:c r="X696" s="16">
        <ns0:f>P696-E696*'前提と出典'!$E$6</ns0:f>
        <ns0:v>1087129.198637541</ns0:v>
      </ns0:c>
      <ns0:c r="Y696" s="16">
        <ns0:f>Q696-F696*'前提と出典'!$E$6</ns0:f>
        <ns0:v>333469.66457203665</ns0:v>
      </ns0:c>
      <ns0:c r="Z696" s="7">
        <ns0:f>X696+Y696</ns0:f>
        <ns0:v>1420598.8632095775</ns0:v>
      </ns0:c>
      <ns0:c r="AA696" s="7">
        <ns0:f>IF(T696&gt;=0,A696,1001)</ns0:f>
        <ns0:v>692</ns0:v>
      </ns0:c>
      <ns0:c r="AB696" s="7">
        <ns0:f>IF(T696&lt;0,A696,0)</ns0:f>
        <ns0:v>0</ns0:v>
      </ns0:c>
      <ns0:c r="AC696" s="16">
        <ns0:f>IF(AND(OR('前提と出典'!$C$36+'前提と出典'!$C$38=0,R696&gt;=0),OR('前提と出典'!$C$37+'前提と出典'!$C$38=0,S696&gt;=0)),0,A696)</ns0:f>
        <ns0:v>0</ns0:v>
      </ns0:c>
      <ns0:c r="AD696" s="7">
        <ns0:f>IF(W696&gt;=0,A696,1001)</ns0:f>
        <ns0:v>692</ns0:v>
      </ns0:c>
      <ns0:c r="AE696" s="7">
        <ns0:f>IF(W696&lt;0,A696,0)</ns0:f>
        <ns0:v>0</ns0:v>
      </ns0:c>
      <ns0:c r="AF696" s="16">
        <ns0:f>IF(AND(OR('前提と出典'!$C$36+'前提と出典'!$C$38=0,U696&gt;=0),OR('前提と出典'!$C$37+'前提と出典'!$C$38=0,V696&gt;=0)),0,A696)</ns0:f>
        <ns0:v>0</ns0:v>
      </ns0:c>
      <ns0:c r="AG696" s="7">
        <ns0:f>IF(Z696&gt;=0,A696,1001)</ns0:f>
        <ns0:v>692</ns0:v>
      </ns0:c>
      <ns0:c r="AH696" s="4">
        <ns0:f>IF(Z696&lt;0,A696,0)</ns0:f>
        <ns0:v>0</ns0:v>
      </ns0:c>
      <ns0:c r="AI696" s="12">
        <ns0:f>IF(AND(OR('前提と出典'!$C$36+'前提と出典'!$C$38=0,X696&gt;=0),OR('前提と出典'!$C$37+'前提と出典'!$C$38=0,Y696&gt;=0)),0,A696)</ns0:f>
        <ns0:v>0</ns0:v>
      </ns0:c>
    </ns0:row>
    <ns0:row r="697" ht="24" customHeight="1">
      <ns0:c r="A697" s="4" t="n">
        <ns0:v>693</ns0:v>
      </ns0:c>
      <ns0:c r="B697" s="12">
        <ns0:f>A697*('前提と出典'!$C$36+'前提と出典'!$C$38)</ns0:f>
        <ns0:v>485.09999999999997</ns0:v>
      </ns0:c>
      <ns0:c r="C697" s="12">
        <ns0:f>A697*('前提と出典'!$C$37+'前提と出典'!$C$38)</ns0:f>
        <ns0:v>415.8</ns0:v>
      </ns0:c>
      <ns0:c r="D697" s="16">
        <ns0:f>A697*('前提と出典'!$C$36*'契約別単価'!C5+'前提と出典'!$C$37*'契約別単価'!C6+'前提と出典'!$C$38*'契約別単価'!C7)</ns0:f>
        <ns0:v>4986.502793296089</ns0:v>
      </ns0:c>
      <ns0:c r="E697" s="16">
        <ns0:f>A697*('前提と出典'!$C$36*'契約別単価'!E5+'前提と出典'!$C$37*'契約別単価'!E6+'前提と出典'!$C$38*'契約別単価'!E7)</ns0:f>
        <ns0:v>1742113.9358059529</ns0:v>
      </ns0:c>
      <ns0:c r="F697" s="16">
        <ns0:f>A697*('前提と出典'!$C$36*'契約別単価'!F5+'前提と出典'!$C$37*'契約別単価'!F6+'前提と出典'!$C$38*'契約別単価'!F7)</ns0:f>
        <ns0:v>506213.7787444525</ns0:v>
      </ns0:c>
      <ns0:c r="G697" s="16">
        <ns0:f>A697*('前提と出典'!$C$36*'契約別単価'!G5+'前提と出典'!$C$37*'契約別単価'!G6+'前提と出典'!$C$38*'契約別単価'!G7)</ns0:f>
        <ns0:v>1379418.43575419</ns0:v>
      </ns0:c>
      <ns0:c r="H697" s="16">
        <ns0:f>A697*('前提と出典'!$C$36*'契約別単価'!H5+'前提と出典'!$C$37*'契約別単価'!H6+'前提と出典'!$C$38*'契約別単価'!H7)</ns0:f>
        <ns0:v>478727.38047780795</ns0:v>
      </ns0:c>
      <ns0:c r="I697" s="16">
        <ns0:f>A697*('前提と出典'!$C$36*'契約別単価'!I5+'前提と出典'!$C$37*'契約別単価'!I6+'前提と出典'!$C$38*'契約別単価'!I7)</ns0:f>
        <ns0:v>29241.502793296084</ns0:v>
      </ns0:c>
      <ns0:c r="J697" s="16">
        <ns0:f>A697*('前提と出典'!$C$36*'契約別単価'!J5+'前提と出典'!$C$37*'契約別単価'!J6+'前提と出典'!$C$38*'契約別単価'!J7)</ns0:f>
        <ns0:v>68114.65379123967</ns0:v>
      </ns0:c>
      <ns0:c r="K697" s="16">
        <ns0:f>A697*('前提と出典'!$C$36*'契約別単価'!K5+'前提と出典'!$C$37*'契約別単価'!K6+'前提と出典'!$C$38*'契約別単価'!K7)</ns0:f>
        <ns0:v>291963.35195530724</ns0:v>
      </ns0:c>
      <ns0:c r="L697" s="16">
        <ns0:f>A697*('前提と出典'!$C$36*'契約別単価'!L5+'前提と出典'!$C$37*'契約別単価'!L6+'前提と出典'!$C$38*'契約別単価'!L7)</ns0:f>
        <ns0:v>237717.57934926025</ns0:v>
      </ns0:c>
      <ns0:c r="M697" s="16">
        <ns0:f>IF(('前提と出典'!$C$36+'前提と出典'!$C$38)=0,0,IF(B697&lt;=10,'前提と出典'!B73+'前提と出典'!C73,IF(B697&lt;=100,'前提と出典'!B74+'前提と出典'!C74,IF(B697&lt;=500,'前提と出典'!B75+'前提と出典'!C75,'前提と出典'!B76+'前提と出典'!C76))))</ns0:f>
        <ns0:v>40000</ns0:v>
      </ns0:c>
      <ns0:c r="N697" s="16">
        <ns0:f>IF(('前提と出典'!$C$37+'前提と出典'!$C$38)=0,0,IF(C697&lt;=10,'前提と出典'!D73+'前提と出典'!E73,IF(C697&lt;=100,'前提と出典'!D74+'前提と出典'!E74,IF(C697&lt;=500,'前提と出典'!D75+'前提と出典'!E75,'前提と出典'!D76+'前提と出典'!E76))))</ns0:f>
        <ns0:v>56510.9346263078</ns0:v>
      </ns0:c>
      <ns0:c r="O697" s="16">
        <ns0:f>IF('前提と出典'!$C$36+'前提と出典'!$C$38=0,0,'前提と出典'!$B$4*IF('前提と出典'!$B$20=0,MAX('前提と出典'!$B$6,D697*'前提と出典'!$B$5),'前提と出典'!$B$6+D697*'前提と出典'!$B$5))</ns0:f>
        <ns0:v>688137.3854748603</ns0:v>
      </ns0:c>
      <ns0:c r="P697" s="16">
        <ns0:f>(E697+G697)*(1-'前提と出典'!$B$7)-I697-K697-M697-O697</ns0:f>
        <ns0:v>1959814.9659605143</ns0:v>
      </ns0:c>
      <ns0:c r="Q697" s="16">
        <ns0:f>(F697+H697)*(1-'前提と出典'!$B$7)-J697-L697-N697</ns0:f>
        <ns0:v>587140.1097234513</ns0:v>
      </ns0:c>
      <ns0:c r="R697" s="16">
        <ns0:f>P697-E697*'前提と出典'!$E$4</ns0:f>
        <ns0:v>1437180.7852187282</ns0:v>
      </ns0:c>
      <ns0:c r="S697" s="16">
        <ns0:f>Q697-F697*'前提と出典'!$E$4</ns0:f>
        <ns0:v>435275.97610011563</ns0:v>
      </ns0:c>
      <ns0:c r="T697" s="7">
        <ns0:f>R697+S697</ns0:f>
        <ns0:v>1872456.7613188438</ns0:v>
      </ns0:c>
      <ns0:c r="U697" s="16">
        <ns0:f>P697-E697*'前提と出典'!$E$5</ns0:f>
        <ns0:v>1262969.3916381332</ns0:v>
      </ns0:c>
      <ns0:c r="V697" s="16">
        <ns0:f>Q697-F697*'前提と出典'!$E$5</ns0:f>
        <ns0:v>384654.5982256702</ns0:v>
      </ns0:c>
      <ns0:c r="W697" s="7">
        <ns0:f>U697+V697</ns0:f>
        <ns0:v>1647623.9898638034</ns0:v>
      </ns0:c>
      <ns0:c r="X697" s="16">
        <ns0:f>P697-E697*'前提と出典'!$E$6</ns0:f>
        <ns0:v>1088757.9980575377</ns0:v>
      </ns0:c>
      <ns0:c r="Y697" s="16">
        <ns0:f>Q697-F697*'前提と出典'!$E$6</ns0:f>
        <ns0:v>334033.22035122506</ns0:v>
      </ns0:c>
      <ns0:c r="Z697" s="7">
        <ns0:f>X697+Y697</ns0:f>
        <ns0:v>1422791.2184087627</ns0:v>
      </ns0:c>
      <ns0:c r="AA697" s="7">
        <ns0:f>IF(T697&gt;=0,A697,1001)</ns0:f>
        <ns0:v>693</ns0:v>
      </ns0:c>
      <ns0:c r="AB697" s="7">
        <ns0:f>IF(T697&lt;0,A697,0)</ns0:f>
        <ns0:v>0</ns0:v>
      </ns0:c>
      <ns0:c r="AC697" s="16">
        <ns0:f>IF(AND(OR('前提と出典'!$C$36+'前提と出典'!$C$38=0,R697&gt;=0),OR('前提と出典'!$C$37+'前提と出典'!$C$38=0,S697&gt;=0)),0,A697)</ns0:f>
        <ns0:v>0</ns0:v>
      </ns0:c>
      <ns0:c r="AD697" s="7">
        <ns0:f>IF(W697&gt;=0,A697,1001)</ns0:f>
        <ns0:v>693</ns0:v>
      </ns0:c>
      <ns0:c r="AE697" s="7">
        <ns0:f>IF(W697&lt;0,A697,0)</ns0:f>
        <ns0:v>0</ns0:v>
      </ns0:c>
      <ns0:c r="AF697" s="16">
        <ns0:f>IF(AND(OR('前提と出典'!$C$36+'前提と出典'!$C$38=0,U697&gt;=0),OR('前提と出典'!$C$37+'前提と出典'!$C$38=0,V697&gt;=0)),0,A697)</ns0:f>
        <ns0:v>0</ns0:v>
      </ns0:c>
      <ns0:c r="AG697" s="7">
        <ns0:f>IF(Z697&gt;=0,A697,1001)</ns0:f>
        <ns0:v>693</ns0:v>
      </ns0:c>
      <ns0:c r="AH697" s="4">
        <ns0:f>IF(Z697&lt;0,A697,0)</ns0:f>
        <ns0:v>0</ns0:v>
      </ns0:c>
      <ns0:c r="AI697" s="12">
        <ns0:f>IF(AND(OR('前提と出典'!$C$36+'前提と出典'!$C$38=0,X697&gt;=0),OR('前提と出典'!$C$37+'前提と出典'!$C$38=0,Y697&gt;=0)),0,A697)</ns0:f>
        <ns0:v>0</ns0:v>
      </ns0:c>
    </ns0:row>
    <ns0:row r="698" ht="24" customHeight="1">
      <ns0:c r="A698" s="4" t="n">
        <ns0:v>694</ns0:v>
      </ns0:c>
      <ns0:c r="B698" s="12">
        <ns0:f>A698*('前提と出典'!$C$36+'前提と出典'!$C$38)</ns0:f>
        <ns0:v>485.79999999999995</ns0:v>
      </ns0:c>
      <ns0:c r="C698" s="12">
        <ns0:f>A698*('前提と出典'!$C$37+'前提と出典'!$C$38)</ns0:f>
        <ns0:v>416.4</ns0:v>
      </ns0:c>
      <ns0:c r="D698" s="16">
        <ns0:f>A698*('前提と出典'!$C$36*'契約別単価'!C5+'前提と出典'!$C$37*'契約別単価'!C6+'前提と出典'!$C$38*'契約別単価'!C7)</ns0:f>
        <ns0:v>4993.698324022346</ns0:v>
      </ns0:c>
      <ns0:c r="E698" s="16">
        <ns0:f>A698*('前提と出典'!$C$36*'契約別単価'!E5+'前提と出典'!$C$37*'契約別単価'!E6+'前提と出典'!$C$38*'契約別単価'!E7)</ns0:f>
        <ns0:v>1744627.8087291939</ns0:v>
      </ns0:c>
      <ns0:c r="F698" s="16">
        <ns0:f>A698*('前提と出典'!$C$36*'契約別単価'!F5+'前提と出典'!$C$37*'契約別単価'!F6+'前提と出典'!$C$38*'契約別単価'!F7)</ns0:f>
        <ns0:v>506944.245957648</ns0:v>
      </ns0:c>
      <ns0:c r="G698" s="16">
        <ns0:f>A698*('前提と出典'!$C$36*'契約別単価'!G5+'前提と出典'!$C$37*'契約別単価'!G6+'前提と出典'!$C$38*'契約別単価'!G7)</ns0:f>
        <ns0:v>1381408.938547486</ns0:v>
      </ns0:c>
      <ns0:c r="H698" s="16">
        <ns0:f>A698*('前提と出典'!$C$36*'契約別単価'!H5+'前提と出典'!$C$37*'契約別単価'!H6+'前提と出典'!$C$38*'契約別単価'!H7)</ns0:f>
        <ns0:v>479418.18477864173</ns0:v>
      </ns0:c>
      <ns0:c r="I698" s="16">
        <ns0:f>A698*('前提と出典'!$C$36*'契約別単価'!I5+'前提と出典'!$C$37*'契約別単価'!I6+'前提と出典'!$C$38*'契約別単価'!I7)</ns0:f>
        <ns0:v>29283.69832402234</ns0:v>
      </ns0:c>
      <ns0:c r="J698" s="16">
        <ns0:f>A698*('前提と出典'!$C$36*'契約別単価'!J5+'前提と出典'!$C$37*'契約別単価'!J6+'前提と出典'!$C$38*'契約別単価'!J7)</ns0:f>
        <ns0:v>68212.94333494999</ns0:v>
      </ns0:c>
      <ns0:c r="K698" s="16">
        <ns0:f>A698*('前提と出典'!$C$36*'契約別単価'!K5+'前提と出典'!$C$37*'契約別単価'!K6+'前提と出典'!$C$38*'契約別単価'!K7)</ns0:f>
        <ns0:v>292384.6554934823</ns0:v>
      </ns0:c>
      <ns0:c r="L698" s="16">
        <ns0:f>A698*('前提と出典'!$C$36*'契約別単価'!L5+'前提と出典'!$C$37*'契約別単価'!L6+'前提と出典'!$C$38*'契約別単価'!L7)</ns0:f>
        <ns0:v>238060.60615928806</ns0:v>
      </ns0:c>
      <ns0:c r="M698" s="16">
        <ns0:f>IF(('前提と出典'!$C$36+'前提と出典'!$C$38)=0,0,IF(B698&lt;=10,'前提と出典'!B73+'前提と出典'!C73,IF(B698&lt;=100,'前提と出典'!B74+'前提と出典'!C74,IF(B698&lt;=500,'前提と出典'!B75+'前提と出典'!C75,'前提と出典'!B76+'前提と出典'!C76))))</ns0:f>
        <ns0:v>40000</ns0:v>
      </ns0:c>
      <ns0:c r="N698" s="16">
        <ns0:f>IF(('前提と出典'!$C$37+'前提と出典'!$C$38)=0,0,IF(C698&lt;=10,'前提と出典'!D73+'前提と出典'!E73,IF(C698&lt;=100,'前提と出典'!D74+'前提と出典'!E74,IF(C698&lt;=500,'前提と出典'!D75+'前提と出典'!E75,'前提と出典'!D76+'前提と出典'!E76))))</ns0:f>
        <ns0:v>56510.9346263078</ns0:v>
      </ns0:c>
      <ns0:c r="O698" s="16">
        <ns0:f>IF('前提と出典'!$C$36+'前提と出典'!$C$38=0,0,'前提と出典'!$B$4*IF('前提と出典'!$B$20=0,MAX('前提と出典'!$B$6,D698*'前提と出典'!$B$5),'前提と出典'!$B$6+D698*'前提と出典'!$B$5))</ns0:f>
        <ns0:v>689130.3687150838</ns0:v>
      </ns0:c>
      <ns0:c r="P698" s="16">
        <ns0:f>(E698+G698)*(1-'前提と出典'!$B$7)-I698-K698-M698-O698</ns0:f>
        <ns0:v>1962700.7018421306</ns0:v>
      </ns0:c>
      <ns0:c r="Q698" s="16">
        <ns0:f>(F698+H698)*(1-'前提と出典'!$B$7)-J698-L698-N698</ns0:f>
        <ns0:v>588068.8991092374</ns0:v>
      </ns0:c>
      <ns0:c r="R698" s="16">
        <ns0:f>P698-E698*'前提と出典'!$E$4</ns0:f>
        <ns0:v>1439312.3592233723</ns0:v>
      </ns0:c>
      <ns0:c r="S698" s="16">
        <ns0:f>Q698-F698*'前提と出典'!$E$4</ns0:f>
        <ns0:v>435985.62532194296</ns0:v>
      </ns0:c>
      <ns0:c r="T698" s="7">
        <ns0:f>R698+S698</ns0:f>
        <ns0:v>1875297.9845453152</ns0:v>
      </ns0:c>
      <ns0:c r="U698" s="16">
        <ns0:f>P698-E698*'前提と出典'!$E$5</ns0:f>
        <ns0:v>1264849.5783504532</ns0:v>
      </ns0:c>
      <ns0:c r="V698" s="16">
        <ns0:f>Q698-F698*'前提と出典'!$E$5</ns0:f>
        <ns0:v>385291.2007261781</ns0:v>
      </ns0:c>
      <ns0:c r="W698" s="7">
        <ns0:f>U698+V698</ns0:f>
        <ns0:v>1650140.7790766312</ns0:v>
      </ns0:c>
      <ns0:c r="X698" s="16">
        <ns0:f>P698-E698*'前提と出典'!$E$6</ns0:f>
        <ns0:v>1090386.7974775336</ns0:v>
      </ns0:c>
      <ns0:c r="Y698" s="16">
        <ns0:f>Q698-F698*'前提と出典'!$E$6</ns0:f>
        <ns0:v>334596.7761304134</ns0:v>
      </ns0:c>
      <ns0:c r="Z698" s="7">
        <ns0:f>X698+Y698</ns0:f>
        <ns0:v>1424983.573607947</ns0:v>
      </ns0:c>
      <ns0:c r="AA698" s="7">
        <ns0:f>IF(T698&gt;=0,A698,1001)</ns0:f>
        <ns0:v>694</ns0:v>
      </ns0:c>
      <ns0:c r="AB698" s="7">
        <ns0:f>IF(T698&lt;0,A698,0)</ns0:f>
        <ns0:v>0</ns0:v>
      </ns0:c>
      <ns0:c r="AC698" s="16">
        <ns0:f>IF(AND(OR('前提と出典'!$C$36+'前提と出典'!$C$38=0,R698&gt;=0),OR('前提と出典'!$C$37+'前提と出典'!$C$38=0,S698&gt;=0)),0,A698)</ns0:f>
        <ns0:v>0</ns0:v>
      </ns0:c>
      <ns0:c r="AD698" s="7">
        <ns0:f>IF(W698&gt;=0,A698,1001)</ns0:f>
        <ns0:v>694</ns0:v>
      </ns0:c>
      <ns0:c r="AE698" s="7">
        <ns0:f>IF(W698&lt;0,A698,0)</ns0:f>
        <ns0:v>0</ns0:v>
      </ns0:c>
      <ns0:c r="AF698" s="16">
        <ns0:f>IF(AND(OR('前提と出典'!$C$36+'前提と出典'!$C$38=0,U698&gt;=0),OR('前提と出典'!$C$37+'前提と出典'!$C$38=0,V698&gt;=0)),0,A698)</ns0:f>
        <ns0:v>0</ns0:v>
      </ns0:c>
      <ns0:c r="AG698" s="7">
        <ns0:f>IF(Z698&gt;=0,A698,1001)</ns0:f>
        <ns0:v>694</ns0:v>
      </ns0:c>
      <ns0:c r="AH698" s="4">
        <ns0:f>IF(Z698&lt;0,A698,0)</ns0:f>
        <ns0:v>0</ns0:v>
      </ns0:c>
      <ns0:c r="AI698" s="12">
        <ns0:f>IF(AND(OR('前提と出典'!$C$36+'前提と出典'!$C$38=0,X698&gt;=0),OR('前提と出典'!$C$37+'前提と出典'!$C$38=0,Y698&gt;=0)),0,A698)</ns0:f>
        <ns0:v>0</ns0:v>
      </ns0:c>
    </ns0:row>
    <ns0:row r="699" ht="24" customHeight="1">
      <ns0:c r="A699" s="4" t="n">
        <ns0:v>695</ns0:v>
      </ns0:c>
      <ns0:c r="B699" s="12">
        <ns0:f>A699*('前提と出典'!$C$36+'前提と出典'!$C$38)</ns0:f>
        <ns0:v>486.49999999999994</ns0:v>
      </ns0:c>
      <ns0:c r="C699" s="12">
        <ns0:f>A699*('前提と出典'!$C$37+'前提と出典'!$C$38)</ns0:f>
        <ns0:v>417</ns0:v>
      </ns0:c>
      <ns0:c r="D699" s="16">
        <ns0:f>A699*('前提と出典'!$C$36*'契約別単価'!C5+'前提と出典'!$C$37*'契約別単価'!C6+'前提と出典'!$C$38*'契約別単価'!C7)</ns0:f>
        <ns0:v>5000.893854748603</ns0:v>
      </ns0:c>
      <ns0:c r="E699" s="16">
        <ns0:f>A699*('前提と出典'!$C$36*'契約別単価'!E5+'前提と出典'!$C$37*'契約別単価'!E6+'前提と出典'!$C$38*'契約別単価'!E7)</ns0:f>
        <ns0:v>1747141.6816524346</ns0:v>
      </ns0:c>
      <ns0:c r="F699" s="16">
        <ns0:f>A699*('前提と出典'!$C$36*'契約別単価'!F5+'前提と出典'!$C$37*'契約別単価'!F6+'前提と出典'!$C$38*'契約別単価'!F7)</ns0:f>
        <ns0:v>507674.71317084343</ns0:v>
      </ns0:c>
      <ns0:c r="G699" s="16">
        <ns0:f>A699*('前提と出典'!$C$36*'契約別単価'!G5+'前提と出典'!$C$37*'契約別単価'!G6+'前提と出典'!$C$38*'契約別単価'!G7)</ns0:f>
        <ns0:v>1383399.441340782</ns0:v>
      </ns0:c>
      <ns0:c r="H699" s="16">
        <ns0:f>A699*('前提と出典'!$C$36*'契約別単価'!H5+'前提と出典'!$C$37*'契約別単価'!H6+'前提と出典'!$C$38*'契約別単価'!H7)</ns0:f>
        <ns0:v>480108.9890794755</ns0:v>
      </ns0:c>
      <ns0:c r="I699" s="16">
        <ns0:f>A699*('前提と出典'!$C$36*'契約別単価'!I5+'前提と出典'!$C$37*'契約別単価'!I6+'前提と出典'!$C$38*'契約別単価'!I7)</ns0:f>
        <ns0:v>29325.8938547486</ns0:v>
      </ns0:c>
      <ns0:c r="J699" s="16">
        <ns0:f>A699*('前提と出典'!$C$36*'契約別単価'!J5+'前提と出典'!$C$37*'契約別単価'!J6+'前提と出典'!$C$38*'契約別単価'!J7)</ns0:f>
        <ns0:v>68311.23287866029</ns0:v>
      </ns0:c>
      <ns0:c r="K699" s="16">
        <ns0:f>A699*('前提と出典'!$C$36*'契約別単価'!K5+'前提と出典'!$C$37*'契約別単価'!K6+'前提と出典'!$C$38*'契約別単価'!K7)</ns0:f>
        <ns0:v>292805.9590316573</ns0:v>
      </ns0:c>
      <ns0:c r="L699" s="16">
        <ns0:f>A699*('前提と出典'!$C$36*'契約別単価'!L5+'前提と出典'!$C$37*'契約別単価'!L6+'前提と出典'!$C$38*'契約別単価'!L7)</ns0:f>
        <ns0:v>238403.63296931583</ns0:v>
      </ns0:c>
      <ns0:c r="M699" s="16">
        <ns0:f>IF(('前提と出典'!$C$36+'前提と出典'!$C$38)=0,0,IF(B699&lt;=10,'前提と出典'!B73+'前提と出典'!C73,IF(B699&lt;=100,'前提と出典'!B74+'前提と出典'!C74,IF(B699&lt;=500,'前提と出典'!B75+'前提と出典'!C75,'前提と出典'!B76+'前提と出典'!C76))))</ns0:f>
        <ns0:v>40000</ns0:v>
      </ns0:c>
      <ns0:c r="N699" s="16">
        <ns0:f>IF(('前提と出典'!$C$37+'前提と出典'!$C$38)=0,0,IF(C699&lt;=10,'前提と出典'!D73+'前提と出典'!E73,IF(C699&lt;=100,'前提と出典'!D74+'前提と出典'!E74,IF(C699&lt;=500,'前提と出典'!D75+'前提と出典'!E75,'前提と出典'!D76+'前提と出典'!E76))))</ns0:f>
        <ns0:v>56510.9346263078</ns0:v>
      </ns0:c>
      <ns0:c r="O699" s="16">
        <ns0:f>IF('前提と出典'!$C$36+'前提と出典'!$C$38=0,0,'前提と出典'!$B$4*IF('前提と出典'!$B$20=0,MAX('前提と出典'!$B$6,D699*'前提と出典'!$B$5),'前提と出典'!$B$6+D699*'前提と出典'!$B$5))</ns0:f>
        <ns0:v>690123.3519553073</ns0:v>
      </ns0:c>
      <ns0:c r="P699" s="16">
        <ns0:f>(E699+G699)*(1-'前提と出典'!$B$7)-I699-K699-M699-O699</ns0:f>
        <ns0:v>1965586.437723748</ns0:v>
      </ns0:c>
      <ns0:c r="Q699" s="16">
        <ns0:f>(F699+H699)*(1-'前提と出典'!$B$7)-J699-L699-N699</ns0:f>
        <ns0:v>588997.6884950234</ns0:v>
      </ns0:c>
      <ns0:c r="R699" s="16">
        <ns0:f>P699-E699*'前提と出典'!$E$4</ns0:f>
        <ns0:v>1441443.9332280173</ns0:v>
      </ns0:c>
      <ns0:c r="S699" s="16">
        <ns0:f>Q699-F699*'前提と出典'!$E$4</ns0:f>
        <ns0:v>436695.2745437705</ns0:v>
      </ns0:c>
      <ns0:c r="T699" s="7">
        <ns0:f>R699+S699</ns0:f>
        <ns0:v>1878139.207771788</ns0:v>
      </ns0:c>
      <ns0:c r="U699" s="16">
        <ns0:f>P699-E699*'前提と出典'!$E$5</ns0:f>
        <ns0:v>1266729.765062774</ns0:v>
      </ns0:c>
      <ns0:c r="V699" s="16">
        <ns0:f>Q699-F699*'前提と出典'!$E$5</ns0:f>
        <ns0:v>385927.8032266861</ns0:v>
      </ns0:c>
      <ns0:c r="W699" s="7">
        <ns0:f>U699+V699</ns0:f>
        <ns0:v>1652657.5682894601</ns0:v>
      </ns0:c>
      <ns0:c r="X699" s="16">
        <ns0:f>P699-E699*'前提と出典'!$E$6</ns0:f>
        <ns0:v>1092015.5968975308</ns0:v>
      </ns0:c>
      <ns0:c r="Y699" s="16">
        <ns0:f>Q699-F699*'前提と出典'!$E$6</ns0:f>
        <ns0:v>335160.3319096018</ns0:v>
      </ns0:c>
      <ns0:c r="Z699" s="7">
        <ns0:f>X699+Y699</ns0:f>
        <ns0:v>1427175.9288071326</ns0:v>
      </ns0:c>
      <ns0:c r="AA699" s="7">
        <ns0:f>IF(T699&gt;=0,A699,1001)</ns0:f>
        <ns0:v>695</ns0:v>
      </ns0:c>
      <ns0:c r="AB699" s="7">
        <ns0:f>IF(T699&lt;0,A699,0)</ns0:f>
        <ns0:v>0</ns0:v>
      </ns0:c>
      <ns0:c r="AC699" s="16">
        <ns0:f>IF(AND(OR('前提と出典'!$C$36+'前提と出典'!$C$38=0,R699&gt;=0),OR('前提と出典'!$C$37+'前提と出典'!$C$38=0,S699&gt;=0)),0,A699)</ns0:f>
        <ns0:v>0</ns0:v>
      </ns0:c>
      <ns0:c r="AD699" s="7">
        <ns0:f>IF(W699&gt;=0,A699,1001)</ns0:f>
        <ns0:v>695</ns0:v>
      </ns0:c>
      <ns0:c r="AE699" s="7">
        <ns0:f>IF(W699&lt;0,A699,0)</ns0:f>
        <ns0:v>0</ns0:v>
      </ns0:c>
      <ns0:c r="AF699" s="16">
        <ns0:f>IF(AND(OR('前提と出典'!$C$36+'前提と出典'!$C$38=0,U699&gt;=0),OR('前提と出典'!$C$37+'前提と出典'!$C$38=0,V699&gt;=0)),0,A699)</ns0:f>
        <ns0:v>0</ns0:v>
      </ns0:c>
      <ns0:c r="AG699" s="7">
        <ns0:f>IF(Z699&gt;=0,A699,1001)</ns0:f>
        <ns0:v>695</ns0:v>
      </ns0:c>
      <ns0:c r="AH699" s="4">
        <ns0:f>IF(Z699&lt;0,A699,0)</ns0:f>
        <ns0:v>0</ns0:v>
      </ns0:c>
      <ns0:c r="AI699" s="12">
        <ns0:f>IF(AND(OR('前提と出典'!$C$36+'前提と出典'!$C$38=0,X699&gt;=0),OR('前提と出典'!$C$37+'前提と出典'!$C$38=0,Y699&gt;=0)),0,A699)</ns0:f>
        <ns0:v>0</ns0:v>
      </ns0:c>
    </ns0:row>
    <ns0:row r="700" ht="24" customHeight="1">
      <ns0:c r="A700" s="4" t="n">
        <ns0:v>696</ns0:v>
      </ns0:c>
      <ns0:c r="B700" s="12">
        <ns0:f>A700*('前提と出典'!$C$36+'前提と出典'!$C$38)</ns0:f>
        <ns0:v>487.2</ns0:v>
      </ns0:c>
      <ns0:c r="C700" s="12">
        <ns0:f>A700*('前提と出典'!$C$37+'前提と出典'!$C$38)</ns0:f>
        <ns0:v>417.59999999999997</ns0:v>
      </ns0:c>
      <ns0:c r="D700" s="16">
        <ns0:f>A700*('前提と出典'!$C$36*'契約別単価'!C5+'前提と出典'!$C$37*'契約別単価'!C6+'前提と出典'!$C$38*'契約別単価'!C7)</ns0:f>
        <ns0:v>5008.08938547486</ns0:v>
      </ns0:c>
      <ns0:c r="E700" s="16">
        <ns0:f>A700*('前提と出典'!$C$36*'契約別単価'!E5+'前提と出典'!$C$37*'契約別単価'!E6+'前提と出典'!$C$38*'契約別単価'!E7)</ns0:f>
        <ns0:v>1749655.5545756756</ns0:v>
      </ns0:c>
      <ns0:c r="F700" s="16">
        <ns0:f>A700*('前提と出典'!$C$36*'契約別単価'!F5+'前提と出典'!$C$37*'契約別単価'!F6+'前提と出典'!$C$38*'契約別単価'!F7)</ns0:f>
        <ns0:v>508405.1803840389</ns0:v>
      </ns0:c>
      <ns0:c r="G700" s="16">
        <ns0:f>A700*('前提と出典'!$C$36*'契約別単価'!G5+'前提と出典'!$C$37*'契約別単価'!G6+'前提と出典'!$C$38*'契約別単価'!G7)</ns0:f>
        <ns0:v>1385389.9441340782</ns0:v>
      </ns0:c>
      <ns0:c r="H700" s="16">
        <ns0:f>A700*('前提と出典'!$C$36*'契約別単価'!H5+'前提と出典'!$C$37*'契約別単価'!H6+'前提と出典'!$C$38*'契約別単価'!H7)</ns0:f>
        <ns0:v>480799.79338030925</ns0:v>
      </ns0:c>
      <ns0:c r="I700" s="16">
        <ns0:f>A700*('前提と出典'!$C$36*'契約別単価'!I5+'前提と出典'!$C$37*'契約別単価'!I6+'前提と出典'!$C$38*'契約別単価'!I7)</ns0:f>
        <ns0:v>29368.089385474854</ns0:v>
      </ns0:c>
      <ns0:c r="J700" s="16">
        <ns0:f>A700*('前提と出典'!$C$36*'契約別単価'!J5+'前提と出典'!$C$37*'契約別単価'!J6+'前提と出典'!$C$38*'契約別単価'!J7)</ns0:f>
        <ns0:v>68409.52242237059</ns0:v>
      </ns0:c>
      <ns0:c r="K700" s="16">
        <ns0:f>A700*('前提と出典'!$C$36*'契約別単価'!K5+'前提と出典'!$C$37*'契約別単価'!K6+'前提と出典'!$C$38*'契約別単価'!K7)</ns0:f>
        <ns0:v>293227.2625698324</ns0:v>
      </ns0:c>
      <ns0:c r="L700" s="16">
        <ns0:f>A700*('前提と出典'!$C$36*'契約別単価'!L5+'前提と出典'!$C$37*'契約別単価'!L6+'前提と出典'!$C$38*'契約別単価'!L7)</ns0:f>
        <ns0:v>238746.65977934364</ns0:v>
      </ns0:c>
      <ns0:c r="M700" s="16">
        <ns0:f>IF(('前提と出典'!$C$36+'前提と出典'!$C$38)=0,0,IF(B700&lt;=10,'前提と出典'!B73+'前提と出典'!C73,IF(B700&lt;=100,'前提と出典'!B74+'前提と出典'!C74,IF(B700&lt;=500,'前提と出典'!B75+'前提と出典'!C75,'前提と出典'!B76+'前提と出典'!C76))))</ns0:f>
        <ns0:v>40000</ns0:v>
      </ns0:c>
      <ns0:c r="N700" s="16">
        <ns0:f>IF(('前提と出典'!$C$37+'前提と出典'!$C$38)=0,0,IF(C700&lt;=10,'前提と出典'!D73+'前提と出典'!E73,IF(C700&lt;=100,'前提と出典'!D74+'前提と出典'!E74,IF(C700&lt;=500,'前提と出典'!D75+'前提と出典'!E75,'前提と出典'!D76+'前提と出典'!E76))))</ns0:f>
        <ns0:v>56510.9346263078</ns0:v>
      </ns0:c>
      <ns0:c r="O700" s="16">
        <ns0:f>IF('前提と出典'!$C$36+'前提と出典'!$C$38=0,0,'前提と出典'!$B$4*IF('前提と出典'!$B$20=0,MAX('前提と出典'!$B$6,D700*'前提と出典'!$B$5),'前提と出典'!$B$6+D700*'前提と出典'!$B$5))</ns0:f>
        <ns0:v>691116.3351955308</ns0:v>
      </ns0:c>
      <ns0:c r="P700" s="16">
        <ns0:f>(E700+G700)*(1-'前提と出典'!$B$7)-I700-K700-M700-O700</ns0:f>
        <ns0:v>1968472.1736053647</ns0:v>
      </ns0:c>
      <ns0:c r="Q700" s="16">
        <ns0:f>(F700+H700)*(1-'前提と出典'!$B$7)-J700-L700-N700</ns0:f>
        <ns0:v>589926.4778808095</ns0:v>
      </ns0:c>
      <ns0:c r="R700" s="16">
        <ns0:f>P700-E700*'前提と出典'!$E$4</ns0:f>
        <ns0:v>1443575.5072326628</ns0:v>
      </ns0:c>
      <ns0:c r="S700" s="16">
        <ns0:f>Q700-F700*'前提と出典'!$E$4</ns0:f>
        <ns0:v>437404.92376559786</ns0:v>
      </ns0:c>
      <ns0:c r="T700" s="7">
        <ns0:f>R700+S700</ns0:f>
        <ns0:v>1880980.4309982606</ns0:v>
      </ns0:c>
      <ns0:c r="U700" s="16">
        <ns0:f>P700-E700*'前提と出典'!$E$5</ns0:f>
        <ns0:v>1268609.9517750945</ns0:v>
      </ns0:c>
      <ns0:c r="V700" s="16">
        <ns0:f>Q700-F700*'前提と出典'!$E$5</ns0:f>
        <ns0:v>386564.4057271939</ns0:v>
      </ns0:c>
      <ns0:c r="W700" s="7">
        <ns0:f>U700+V700</ns0:f>
        <ns0:v>1655174.3575022884</ns0:v>
      </ns0:c>
      <ns0:c r="X700" s="16">
        <ns0:f>P700-E700*'前提と出典'!$E$6</ns0:f>
        <ns0:v>1093644.3963175267</ns0:v>
      </ns0:c>
      <ns0:c r="Y700" s="16">
        <ns0:f>Q700-F700*'前提と出典'!$E$6</ns0:f>
        <ns0:v>335723.88768879</ns0:v>
      </ns0:c>
      <ns0:c r="Z700" s="7">
        <ns0:f>X700+Y700</ns0:f>
        <ns0:v>1429368.2840063167</ns0:v>
      </ns0:c>
      <ns0:c r="AA700" s="7">
        <ns0:f>IF(T700&gt;=0,A700,1001)</ns0:f>
        <ns0:v>696</ns0:v>
      </ns0:c>
      <ns0:c r="AB700" s="7">
        <ns0:f>IF(T700&lt;0,A700,0)</ns0:f>
        <ns0:v>0</ns0:v>
      </ns0:c>
      <ns0:c r="AC700" s="16">
        <ns0:f>IF(AND(OR('前提と出典'!$C$36+'前提と出典'!$C$38=0,R700&gt;=0),OR('前提と出典'!$C$37+'前提と出典'!$C$38=0,S700&gt;=0)),0,A700)</ns0:f>
        <ns0:v>0</ns0:v>
      </ns0:c>
      <ns0:c r="AD700" s="7">
        <ns0:f>IF(W700&gt;=0,A700,1001)</ns0:f>
        <ns0:v>696</ns0:v>
      </ns0:c>
      <ns0:c r="AE700" s="7">
        <ns0:f>IF(W700&lt;0,A700,0)</ns0:f>
        <ns0:v>0</ns0:v>
      </ns0:c>
      <ns0:c r="AF700" s="16">
        <ns0:f>IF(AND(OR('前提と出典'!$C$36+'前提と出典'!$C$38=0,U700&gt;=0),OR('前提と出典'!$C$37+'前提と出典'!$C$38=0,V700&gt;=0)),0,A700)</ns0:f>
        <ns0:v>0</ns0:v>
      </ns0:c>
      <ns0:c r="AG700" s="7">
        <ns0:f>IF(Z700&gt;=0,A700,1001)</ns0:f>
        <ns0:v>696</ns0:v>
      </ns0:c>
      <ns0:c r="AH700" s="4">
        <ns0:f>IF(Z700&lt;0,A700,0)</ns0:f>
        <ns0:v>0</ns0:v>
      </ns0:c>
      <ns0:c r="AI700" s="12">
        <ns0:f>IF(AND(OR('前提と出典'!$C$36+'前提と出典'!$C$38=0,X700&gt;=0),OR('前提と出典'!$C$37+'前提と出典'!$C$38=0,Y700&gt;=0)),0,A700)</ns0:f>
        <ns0:v>0</ns0:v>
      </ns0:c>
    </ns0:row>
    <ns0:row r="701" ht="24" customHeight="1">
      <ns0:c r="A701" s="4" t="n">
        <ns0:v>697</ns0:v>
      </ns0:c>
      <ns0:c r="B701" s="12">
        <ns0:f>A701*('前提と出典'!$C$36+'前提と出典'!$C$38)</ns0:f>
        <ns0:v>487.9</ns0:v>
      </ns0:c>
      <ns0:c r="C701" s="12">
        <ns0:f>A701*('前提と出典'!$C$37+'前提と出典'!$C$38)</ns0:f>
        <ns0:v>418.2</ns0:v>
      </ns0:c>
      <ns0:c r="D701" s="16">
        <ns0:f>A701*('前提と出典'!$C$36*'契約別単価'!C5+'前提と出典'!$C$37*'契約別単価'!C6+'前提と出典'!$C$38*'契約別単価'!C7)</ns0:f>
        <ns0:v>5015.284916201117</ns0:v>
      </ns0:c>
      <ns0:c r="E701" s="16">
        <ns0:f>A701*('前提と出典'!$C$36*'契約別単価'!E5+'前提と出典'!$C$37*'契約別単価'!E6+'前提と出典'!$C$38*'契約別単価'!E7)</ns0:f>
        <ns0:v>1752169.4274989166</ns0:v>
      </ns0:c>
      <ns0:c r="F701" s="16">
        <ns0:f>A701*('前提と出典'!$C$36*'契約別単価'!F5+'前提と出典'!$C$37*'契約別単価'!F6+'前提と出典'!$C$38*'契約別単価'!F7)</ns0:f>
        <ns0:v>509135.64759723435</ns0:v>
      </ns0:c>
      <ns0:c r="G701" s="16">
        <ns0:f>A701*('前提と出典'!$C$36*'契約別単価'!G5+'前提と出典'!$C$37*'契約別単価'!G6+'前提と出典'!$C$38*'契約別単価'!G7)</ns0:f>
        <ns0:v>1387380.4469273742</ns0:v>
      </ns0:c>
      <ns0:c r="H701" s="16">
        <ns0:f>A701*('前提と出典'!$C$36*'契約別単価'!H5+'前提と出典'!$C$37*'契約別単価'!H6+'前提と出典'!$C$38*'契約別単価'!H7)</ns0:f>
        <ns0:v>481490.59768114303</ns0:v>
      </ns0:c>
      <ns0:c r="I701" s="16">
        <ns0:f>A701*('前提と出典'!$C$36*'契約別単価'!I5+'前提と出典'!$C$37*'契約別単価'!I6+'前提と出典'!$C$38*'契約別単価'!I7)</ns0:f>
        <ns0:v>29410.28491620111</ns0:v>
      </ns0:c>
      <ns0:c r="J701" s="16">
        <ns0:f>A701*('前提と出典'!$C$36*'契約別単価'!J5+'前提と出典'!$C$37*'契約別単価'!J6+'前提と出典'!$C$38*'契約別単価'!J7)</ns0:f>
        <ns0:v>68507.81196608089</ns0:v>
      </ns0:c>
      <ns0:c r="K701" s="16">
        <ns0:f>A701*('前提と出典'!$C$36*'契約別単価'!K5+'前提と出典'!$C$37*'契約別単価'!K6+'前提と出典'!$C$38*'契約別単価'!K7)</ns0:f>
        <ns0:v>293648.56610800745</ns0:v>
      </ns0:c>
      <ns0:c r="L701" s="16">
        <ns0:f>A701*('前提と出典'!$C$36*'契約別単価'!L5+'前提と出典'!$C$37*'契約別単価'!L6+'前提と出典'!$C$38*'契約別単価'!L7)</ns0:f>
        <ns0:v>239089.6865893714</ns0:v>
      </ns0:c>
      <ns0:c r="M701" s="16">
        <ns0:f>IF(('前提と出典'!$C$36+'前提と出典'!$C$38)=0,0,IF(B701&lt;=10,'前提と出典'!B73+'前提と出典'!C73,IF(B701&lt;=100,'前提と出典'!B74+'前提と出典'!C74,IF(B701&lt;=500,'前提と出典'!B75+'前提と出典'!C75,'前提と出典'!B76+'前提と出典'!C76))))</ns0:f>
        <ns0:v>40000</ns0:v>
      </ns0:c>
      <ns0:c r="N701" s="16">
        <ns0:f>IF(('前提と出典'!$C$37+'前提と出典'!$C$38)=0,0,IF(C701&lt;=10,'前提と出典'!D73+'前提と出典'!E73,IF(C701&lt;=100,'前提と出典'!D74+'前提と出典'!E74,IF(C701&lt;=500,'前提と出典'!D75+'前提と出典'!E75,'前提と出典'!D76+'前提と出典'!E76))))</ns0:f>
        <ns0:v>56510.9346263078</ns0:v>
      </ns0:c>
      <ns0:c r="O701" s="16">
        <ns0:f>IF('前提と出典'!$C$36+'前提と出典'!$C$38=0,0,'前提と出典'!$B$4*IF('前提と出典'!$B$20=0,MAX('前提と出典'!$B$6,D701*'前提と出典'!$B$5),'前提と出典'!$B$6+D701*'前提と出典'!$B$5))</ns0:f>
        <ns0:v>692109.3184357542</ns0:v>
      </ns0:c>
      <ns0:c r="P701" s="16">
        <ns0:f>(E701+G701)*(1-'前提と出典'!$B$7)-I701-K701-M701-O701</ns0:f>
        <ns0:v>1971357.9094869816</ns0:v>
      </ns0:c>
      <ns0:c r="Q701" s="16">
        <ns0:f>(F701+H701)*(1-'前提と出典'!$B$7)-J701-L701-N701</ns0:f>
        <ns0:v>590855.2672665956</ns0:v>
      </ns0:c>
      <ns0:c r="R701" s="16">
        <ns0:f>P701-E701*'前提と出典'!$E$4</ns0:f>
        <ns0:v>1445707.0812373068</ns0:v>
      </ns0:c>
      <ns0:c r="S701" s="16">
        <ns0:f>Q701-F701*'前提と出典'!$E$4</ns0:f>
        <ns0:v>438114.57298742526</ns0:v>
      </ns0:c>
      <ns0:c r="T701" s="7">
        <ns0:f>R701+S701</ns0:f>
        <ns0:v>1883821.654224732</ns0:v>
      </ns0:c>
      <ns0:c r="U701" s="16">
        <ns0:f>P701-E701*'前提と出典'!$E$5</ns0:f>
        <ns0:v>1270490.138487415</ns0:v>
      </ns0:c>
      <ns0:c r="V701" s="16">
        <ns0:f>Q701-F701*'前提と出典'!$E$5</ns0:f>
        <ns0:v>387201.0082277019</ns0:v>
      </ns0:c>
      <ns0:c r="W701" s="7">
        <ns0:f>U701+V701</ns0:f>
        <ns0:v>1657691.1467151167</ns0:v>
      </ns0:c>
      <ns0:c r="X701" s="16">
        <ns0:f>P701-E701*'前提と出典'!$E$6</ns0:f>
        <ns0:v>1095273.195737523</ns0:v>
      </ns0:c>
      <ns0:c r="Y701" s="16">
        <ns0:f>Q701-F701*'前提と出典'!$E$6</ns0:f>
        <ns0:v>336287.4434679785</ns0:v>
      </ns0:c>
      <ns0:c r="Z701" s="7">
        <ns0:f>X701+Y701</ns0:f>
        <ns0:v>1431560.6392055014</ns0:v>
      </ns0:c>
      <ns0:c r="AA701" s="7">
        <ns0:f>IF(T701&gt;=0,A701,1001)</ns0:f>
        <ns0:v>697</ns0:v>
      </ns0:c>
      <ns0:c r="AB701" s="7">
        <ns0:f>IF(T701&lt;0,A701,0)</ns0:f>
        <ns0:v>0</ns0:v>
      </ns0:c>
      <ns0:c r="AC701" s="16">
        <ns0:f>IF(AND(OR('前提と出典'!$C$36+'前提と出典'!$C$38=0,R701&gt;=0),OR('前提と出典'!$C$37+'前提と出典'!$C$38=0,S701&gt;=0)),0,A701)</ns0:f>
        <ns0:v>0</ns0:v>
      </ns0:c>
      <ns0:c r="AD701" s="7">
        <ns0:f>IF(W701&gt;=0,A701,1001)</ns0:f>
        <ns0:v>697</ns0:v>
      </ns0:c>
      <ns0:c r="AE701" s="7">
        <ns0:f>IF(W701&lt;0,A701,0)</ns0:f>
        <ns0:v>0</ns0:v>
      </ns0:c>
      <ns0:c r="AF701" s="16">
        <ns0:f>IF(AND(OR('前提と出典'!$C$36+'前提と出典'!$C$38=0,U701&gt;=0),OR('前提と出典'!$C$37+'前提と出典'!$C$38=0,V701&gt;=0)),0,A701)</ns0:f>
        <ns0:v>0</ns0:v>
      </ns0:c>
      <ns0:c r="AG701" s="7">
        <ns0:f>IF(Z701&gt;=0,A701,1001)</ns0:f>
        <ns0:v>697</ns0:v>
      </ns0:c>
      <ns0:c r="AH701" s="4">
        <ns0:f>IF(Z701&lt;0,A701,0)</ns0:f>
        <ns0:v>0</ns0:v>
      </ns0:c>
      <ns0:c r="AI701" s="12">
        <ns0:f>IF(AND(OR('前提と出典'!$C$36+'前提と出典'!$C$38=0,X701&gt;=0),OR('前提と出典'!$C$37+'前提と出典'!$C$38=0,Y701&gt;=0)),0,A701)</ns0:f>
        <ns0:v>0</ns0:v>
      </ns0:c>
    </ns0:row>
    <ns0:row r="702" ht="24" customHeight="1">
      <ns0:c r="A702" s="4" t="n">
        <ns0:v>698</ns0:v>
      </ns0:c>
      <ns0:c r="B702" s="12">
        <ns0:f>A702*('前提と出典'!$C$36+'前提と出典'!$C$38)</ns0:f>
        <ns0:v>488.59999999999997</ns0:v>
      </ns0:c>
      <ns0:c r="C702" s="12">
        <ns0:f>A702*('前提と出典'!$C$37+'前提と出典'!$C$38)</ns0:f>
        <ns0:v>418.8</ns0:v>
      </ns0:c>
      <ns0:c r="D702" s="16">
        <ns0:f>A702*('前提と出典'!$C$36*'契約別単価'!C5+'前提と出典'!$C$37*'契約別単価'!C6+'前提と出典'!$C$38*'契約別単価'!C7)</ns0:f>
        <ns0:v>5022.480446927374</ns0:v>
      </ns0:c>
      <ns0:c r="E702" s="16">
        <ns0:f>A702*('前提と出典'!$C$36*'契約別単価'!E5+'前提と出典'!$C$37*'契約別単価'!E6+'前提と出典'!$C$38*'契約別単価'!E7)</ns0:f>
        <ns0:v>1754683.3004221574</ns0:v>
      </ns0:c>
      <ns0:c r="F702" s="16">
        <ns0:f>A702*('前提と出典'!$C$36*'契約別単価'!F5+'前提と出典'!$C$37*'契約別単価'!F6+'前提と出典'!$C$38*'契約別単価'!F7)</ns0:f>
        <ns0:v>509866.1148104298</ns0:v>
      </ns0:c>
      <ns0:c r="G702" s="16">
        <ns0:f>A702*('前提と出典'!$C$36*'契約別単価'!G5+'前提と出典'!$C$37*'契約別単価'!G6+'前提と出典'!$C$38*'契約別単価'!G7)</ns0:f>
        <ns0:v>1389370.9497206702</ns0:v>
      </ns0:c>
      <ns0:c r="H702" s="16">
        <ns0:f>A702*('前提と出典'!$C$36*'契約別単価'!H5+'前提と出典'!$C$37*'契約別単価'!H6+'前提と出典'!$C$38*'契約別単価'!H7)</ns0:f>
        <ns0:v>482181.4019819768</ns0:v>
      </ns0:c>
      <ns0:c r="I702" s="16">
        <ns0:f>A702*('前提と出典'!$C$36*'契約別単価'!I5+'前提と出典'!$C$37*'契約別単価'!I6+'前提と出典'!$C$38*'契約別単価'!I7)</ns0:f>
        <ns0:v>29452.48044692737</ns0:v>
      </ns0:c>
      <ns0:c r="J702" s="16">
        <ns0:f>A702*('前提と出典'!$C$36*'契約別単価'!J5+'前提と出典'!$C$37*'契約別単価'!J6+'前提と出典'!$C$38*'契約別単価'!J7)</ns0:f>
        <ns0:v>68606.10150979119</ns0:v>
      </ns0:c>
      <ns0:c r="K702" s="16">
        <ns0:f>A702*('前提と出典'!$C$36*'契約別単価'!K5+'前提と出典'!$C$37*'契約別単価'!K6+'前提と出典'!$C$38*'契約別単価'!K7)</ns0:f>
        <ns0:v>294069.86964618246</ns0:v>
      </ns0:c>
      <ns0:c r="L702" s="16">
        <ns0:f>A702*('前提と出典'!$C$36*'契約別単価'!L5+'前提と出典'!$C$37*'契約別単価'!L6+'前提と出典'!$C$38*'契約別単価'!L7)</ns0:f>
        <ns0:v>239432.71339939922</ns0:v>
      </ns0:c>
      <ns0:c r="M702" s="16">
        <ns0:f>IF(('前提と出典'!$C$36+'前提と出典'!$C$38)=0,0,IF(B702&lt;=10,'前提と出典'!B73+'前提と出典'!C73,IF(B702&lt;=100,'前提と出典'!B74+'前提と出典'!C74,IF(B702&lt;=500,'前提と出典'!B75+'前提と出典'!C75,'前提と出典'!B76+'前提と出典'!C76))))</ns0:f>
        <ns0:v>40000</ns0:v>
      </ns0:c>
      <ns0:c r="N702" s="16">
        <ns0:f>IF(('前提と出典'!$C$37+'前提と出典'!$C$38)=0,0,IF(C702&lt;=10,'前提と出典'!D73+'前提と出典'!E73,IF(C702&lt;=100,'前提と出典'!D74+'前提と出典'!E74,IF(C702&lt;=500,'前提と出典'!D75+'前提と出典'!E75,'前提と出典'!D76+'前提と出典'!E76))))</ns0:f>
        <ns0:v>56510.9346263078</ns0:v>
      </ns0:c>
      <ns0:c r="O702" s="16">
        <ns0:f>IF('前提と出典'!$C$36+'前提と出典'!$C$38=0,0,'前提と出典'!$B$4*IF('前提と出典'!$B$20=0,MAX('前提と出典'!$B$6,D702*'前提と出典'!$B$5),'前提と出典'!$B$6+D702*'前提と出典'!$B$5))</ns0:f>
        <ns0:v>693102.3016759777</ns0:v>
      </ns0:c>
      <ns0:c r="P702" s="16">
        <ns0:f>(E702+G702)*(1-'前提と出典'!$B$7)-I702-K702-M702-O702</ns0:f>
        <ns0:v>1974243.6453685986</ns0:v>
      </ns0:c>
      <ns0:c r="Q702" s="16">
        <ns0:f>(F702+H702)*(1-'前提と出典'!$B$7)-J702-L702-N702</ns0:f>
        <ns0:v>591784.0566523817</ns0:v>
      </ns0:c>
      <ns0:c r="R702" s="16">
        <ns0:f>P702-E702*'前提と出典'!$E$4</ns0:f>
        <ns0:v>1447838.6552419518</ns0:v>
      </ns0:c>
      <ns0:c r="S702" s="16">
        <ns0:f>Q702-F702*'前提と出典'!$E$4</ns0:f>
        <ns0:v>438824.22220925277</ns0:v>
      </ns0:c>
      <ns0:c r="T702" s="7">
        <ns0:f>R702+S702</ns0:f>
        <ns0:v>1886662.8774512047</ns0:v>
      </ns0:c>
      <ns0:c r="U702" s="16">
        <ns0:f>P702-E702*'前提と出典'!$E$5</ns0:f>
        <ns0:v>1272370.3251997356</ns0:v>
      </ns0:c>
      <ns0:c r="V702" s="16">
        <ns0:f>Q702-F702*'前提と出典'!$E$5</ns0:f>
        <ns0:v>387837.6107282097</ns0:v>
      </ns0:c>
      <ns0:c r="W702" s="7">
        <ns0:f>U702+V702</ns0:f>
        <ns0:v>1660207.9359279452</ns0:v>
      </ns0:c>
      <ns0:c r="X702" s="16">
        <ns0:f>P702-E702*'前提と出典'!$E$6</ns0:f>
        <ns0:v>1096901.99515752</ns0:v>
      </ns0:c>
      <ns0:c r="Y702" s="16">
        <ns0:f>Q702-F702*'前提と出典'!$E$6</ns0:f>
        <ns0:v>336850.9992471668</ns0:v>
      </ns0:c>
      <ns0:c r="Z702" s="7">
        <ns0:f>X702+Y702</ns0:f>
        <ns0:v>1433752.9944046868</ns0:v>
      </ns0:c>
      <ns0:c r="AA702" s="7">
        <ns0:f>IF(T702&gt;=0,A702,1001)</ns0:f>
        <ns0:v>698</ns0:v>
      </ns0:c>
      <ns0:c r="AB702" s="7">
        <ns0:f>IF(T702&lt;0,A702,0)</ns0:f>
        <ns0:v>0</ns0:v>
      </ns0:c>
      <ns0:c r="AC702" s="16">
        <ns0:f>IF(AND(OR('前提と出典'!$C$36+'前提と出典'!$C$38=0,R702&gt;=0),OR('前提と出典'!$C$37+'前提と出典'!$C$38=0,S702&gt;=0)),0,A702)</ns0:f>
        <ns0:v>0</ns0:v>
      </ns0:c>
      <ns0:c r="AD702" s="7">
        <ns0:f>IF(W702&gt;=0,A702,1001)</ns0:f>
        <ns0:v>698</ns0:v>
      </ns0:c>
      <ns0:c r="AE702" s="7">
        <ns0:f>IF(W702&lt;0,A702,0)</ns0:f>
        <ns0:v>0</ns0:v>
      </ns0:c>
      <ns0:c r="AF702" s="16">
        <ns0:f>IF(AND(OR('前提と出典'!$C$36+'前提と出典'!$C$38=0,U702&gt;=0),OR('前提と出典'!$C$37+'前提と出典'!$C$38=0,V702&gt;=0)),0,A702)</ns0:f>
        <ns0:v>0</ns0:v>
      </ns0:c>
      <ns0:c r="AG702" s="7">
        <ns0:f>IF(Z702&gt;=0,A702,1001)</ns0:f>
        <ns0:v>698</ns0:v>
      </ns0:c>
      <ns0:c r="AH702" s="4">
        <ns0:f>IF(Z702&lt;0,A702,0)</ns0:f>
        <ns0:v>0</ns0:v>
      </ns0:c>
      <ns0:c r="AI702" s="12">
        <ns0:f>IF(AND(OR('前提と出典'!$C$36+'前提と出典'!$C$38=0,X702&gt;=0),OR('前提と出典'!$C$37+'前提と出典'!$C$38=0,Y702&gt;=0)),0,A702)</ns0:f>
        <ns0:v>0</ns0:v>
      </ns0:c>
    </ns0:row>
    <ns0:row r="703" ht="24" customHeight="1">
      <ns0:c r="A703" s="4" t="n">
        <ns0:v>699</ns0:v>
      </ns0:c>
      <ns0:c r="B703" s="12">
        <ns0:f>A703*('前提と出典'!$C$36+'前提と出典'!$C$38)</ns0:f>
        <ns0:v>489.29999999999995</ns0:v>
      </ns0:c>
      <ns0:c r="C703" s="12">
        <ns0:f>A703*('前提と出典'!$C$37+'前提と出典'!$C$38)</ns0:f>
        <ns0:v>419.4</ns0:v>
      </ns0:c>
      <ns0:c r="D703" s="16">
        <ns0:f>A703*('前提と出典'!$C$36*'契約別単価'!C5+'前提と出典'!$C$37*'契約別単価'!C6+'前提と出典'!$C$38*'契約別単価'!C7)</ns0:f>
        <ns0:v>5029.675977653631</ns0:v>
      </ns0:c>
      <ns0:c r="E703" s="16">
        <ns0:f>A703*('前提と出典'!$C$36*'契約別単価'!E5+'前提と出典'!$C$37*'契約別単価'!E6+'前提と出典'!$C$38*'契約別単価'!E7)</ns0:f>
        <ns0:v>1757197.1733453984</ns0:v>
      </ns0:c>
      <ns0:c r="F703" s="16">
        <ns0:f>A703*('前提と出典'!$C$36*'契約別単価'!F5+'前提と出典'!$C$37*'契約別単価'!F6+'前提と出典'!$C$38*'契約別単価'!F7)</ns0:f>
        <ns0:v>510596.58202362526</ns0:v>
      </ns0:c>
      <ns0:c r="G703" s="16">
        <ns0:f>A703*('前提と出典'!$C$36*'契約別単価'!G5+'前提と出典'!$C$37*'契約別単価'!G6+'前提と出典'!$C$38*'契約別単価'!G7)</ns0:f>
        <ns0:v>1391361.4525139665</ns0:v>
      </ns0:c>
      <ns0:c r="H703" s="16">
        <ns0:f>A703*('前提と出典'!$C$36*'契約別単価'!H5+'前提と出典'!$C$37*'契約別単価'!H6+'前提と出典'!$C$38*'契約別単価'!H7)</ns0:f>
        <ns0:v>482872.2062828106</ns0:v>
      </ns0:c>
      <ns0:c r="I703" s="16">
        <ns0:f>A703*('前提と出典'!$C$36*'契約別単価'!I5+'前提と出典'!$C$37*'契約別単価'!I6+'前提と出典'!$C$38*'契約別単価'!I7)</ns0:f>
        <ns0:v>29494.675977653627</ns0:v>
      </ns0:c>
      <ns0:c r="J703" s="16">
        <ns0:f>A703*('前提と出典'!$C$36*'契約別単価'!J5+'前提と出典'!$C$37*'契約別単価'!J6+'前提と出典'!$C$38*'契約別単価'!J7)</ns0:f>
        <ns0:v>68704.39105350149</ns0:v>
      </ns0:c>
      <ns0:c r="K703" s="16">
        <ns0:f>A703*('前提と出典'!$C$36*'契約別単価'!K5+'前提と出典'!$C$37*'契約別単価'!K6+'前提と出典'!$C$38*'契約別単価'!K7)</ns0:f>
        <ns0:v>294491.1731843575</ns0:v>
      </ns0:c>
      <ns0:c r="L703" s="16">
        <ns0:f>A703*('前提と出典'!$C$36*'契約別単価'!L5+'前提と出典'!$C$37*'契約別単価'!L6+'前提と出典'!$C$38*'契約別単価'!L7)</ns0:f>
        <ns0:v>239775.74020942702</ns0:v>
      </ns0:c>
      <ns0:c r="M703" s="16">
        <ns0:f>IF(('前提と出典'!$C$36+'前提と出典'!$C$38)=0,0,IF(B703&lt;=10,'前提と出典'!B73+'前提と出典'!C73,IF(B703&lt;=100,'前提と出典'!B74+'前提と出典'!C74,IF(B703&lt;=500,'前提と出典'!B75+'前提と出典'!C75,'前提と出典'!B76+'前提と出典'!C76))))</ns0:f>
        <ns0:v>40000</ns0:v>
      </ns0:c>
      <ns0:c r="N703" s="16">
        <ns0:f>IF(('前提と出典'!$C$37+'前提と出典'!$C$38)=0,0,IF(C703&lt;=10,'前提と出典'!D73+'前提と出典'!E73,IF(C703&lt;=100,'前提と出典'!D74+'前提と出典'!E74,IF(C703&lt;=500,'前提と出典'!D75+'前提と出典'!E75,'前提と出典'!D76+'前提と出典'!E76))))</ns0:f>
        <ns0:v>56510.9346263078</ns0:v>
      </ns0:c>
      <ns0:c r="O703" s="16">
        <ns0:f>IF('前提と出典'!$C$36+'前提と出典'!$C$38=0,0,'前提と出典'!$B$4*IF('前提と出典'!$B$20=0,MAX('前提と出典'!$B$6,D703*'前提と出典'!$B$5),'前提と出典'!$B$6+D703*'前提と出典'!$B$5))</ns0:f>
        <ns0:v>694095.284916201</ns0:v>
      </ns0:c>
      <ns0:c r="P703" s="16">
        <ns0:f>(E703+G703)*(1-'前提と出典'!$B$7)-I703-K703-M703-O703</ns0:f>
        <ns0:v>1977129.3812502152</ns0:v>
      </ns0:c>
      <ns0:c r="Q703" s="16">
        <ns0:f>(F703+H703)*(1-'前提と出典'!$B$7)-J703-L703-N703</ns0:f>
        <ns0:v>592712.8460381677</ns0:v>
      </ns0:c>
      <ns0:c r="R703" s="16">
        <ns0:f>P703-E703*'前提と出典'!$E$4</ns0:f>
        <ns0:v>1449970.2292465959</ns0:v>
      </ns0:c>
      <ns0:c r="S703" s="16">
        <ns0:f>Q703-F703*'前提と出典'!$E$4</ns0:f>
        <ns0:v>439533.8714310802</ns0:v>
      </ns0:c>
      <ns0:c r="T703" s="7">
        <ns0:f>R703+S703</ns0:f>
        <ns0:v>1889504.100677676</ns0:v>
      </ns0:c>
      <ns0:c r="U703" s="16">
        <ns0:f>P703-E703*'前提と出典'!$E$5</ns0:f>
        <ns0:v>1274250.5119120558</ns0:v>
      </ns0:c>
      <ns0:c r="V703" s="16">
        <ns0:f>Q703-F703*'前提と出典'!$E$5</ns0:f>
        <ns0:v>388474.2132287176</ns0:v>
      </ns0:c>
      <ns0:c r="W703" s="7">
        <ns0:f>U703+V703</ns0:f>
        <ns0:v>1662724.7251407735</ns0:v>
      </ns0:c>
      <ns0:c r="X703" s="16">
        <ns0:f>P703-E703*'前提と出典'!$E$6</ns0:f>
        <ns0:v>1098530.7945775161</ns0:v>
      </ns0:c>
      <ns0:c r="Y703" s="16">
        <ns0:f>Q703-F703*'前提と出典'!$E$6</ns0:f>
        <ns0:v>337414.55502635514</ns0:v>
      </ns0:c>
      <ns0:c r="Z703" s="7">
        <ns0:f>X703+Y703</ns0:f>
        <ns0:v>1435945.3496038713</ns0:v>
      </ns0:c>
      <ns0:c r="AA703" s="7">
        <ns0:f>IF(T703&gt;=0,A703,1001)</ns0:f>
        <ns0:v>699</ns0:v>
      </ns0:c>
      <ns0:c r="AB703" s="7">
        <ns0:f>IF(T703&lt;0,A703,0)</ns0:f>
        <ns0:v>0</ns0:v>
      </ns0:c>
      <ns0:c r="AC703" s="16">
        <ns0:f>IF(AND(OR('前提と出典'!$C$36+'前提と出典'!$C$38=0,R703&gt;=0),OR('前提と出典'!$C$37+'前提と出典'!$C$38=0,S703&gt;=0)),0,A703)</ns0:f>
        <ns0:v>0</ns0:v>
      </ns0:c>
      <ns0:c r="AD703" s="7">
        <ns0:f>IF(W703&gt;=0,A703,1001)</ns0:f>
        <ns0:v>699</ns0:v>
      </ns0:c>
      <ns0:c r="AE703" s="7">
        <ns0:f>IF(W703&lt;0,A703,0)</ns0:f>
        <ns0:v>0</ns0:v>
      </ns0:c>
      <ns0:c r="AF703" s="16">
        <ns0:f>IF(AND(OR('前提と出典'!$C$36+'前提と出典'!$C$38=0,U703&gt;=0),OR('前提と出典'!$C$37+'前提と出典'!$C$38=0,V703&gt;=0)),0,A703)</ns0:f>
        <ns0:v>0</ns0:v>
      </ns0:c>
      <ns0:c r="AG703" s="7">
        <ns0:f>IF(Z703&gt;=0,A703,1001)</ns0:f>
        <ns0:v>699</ns0:v>
      </ns0:c>
      <ns0:c r="AH703" s="4">
        <ns0:f>IF(Z703&lt;0,A703,0)</ns0:f>
        <ns0:v>0</ns0:v>
      </ns0:c>
      <ns0:c r="AI703" s="12">
        <ns0:f>IF(AND(OR('前提と出典'!$C$36+'前提と出典'!$C$38=0,X703&gt;=0),OR('前提と出典'!$C$37+'前提と出典'!$C$38=0,Y703&gt;=0)),0,A703)</ns0:f>
        <ns0:v>0</ns0:v>
      </ns0:c>
    </ns0:row>
    <ns0:row r="704" ht="24" customHeight="1">
      <ns0:c r="A704" s="4" t="n">
        <ns0:v>700</ns0:v>
      </ns0:c>
      <ns0:c r="B704" s="12">
        <ns0:f>A704*('前提と出典'!$C$36+'前提と出典'!$C$38)</ns0:f>
        <ns0:v>489.99999999999994</ns0:v>
      </ns0:c>
      <ns0:c r="C704" s="12">
        <ns0:f>A704*('前提と出典'!$C$37+'前提と出典'!$C$38)</ns0:f>
        <ns0:v>420</ns0:v>
      </ns0:c>
      <ns0:c r="D704" s="16">
        <ns0:f>A704*('前提と出典'!$C$36*'契約別単価'!C5+'前提と出典'!$C$37*'契約別単価'!C6+'前提と出典'!$C$38*'契約別単価'!C7)</ns0:f>
        <ns0:v>5036.871508379888</ns0:v>
      </ns0:c>
      <ns0:c r="E704" s="16">
        <ns0:f>A704*('前提と出典'!$C$36*'契約別単価'!E5+'前提と出典'!$C$37*'契約別単価'!E6+'前提と出典'!$C$38*'契約別単価'!E7)</ns0:f>
        <ns0:v>1759711.0462686392</ns0:v>
      </ns0:c>
      <ns0:c r="F704" s="16">
        <ns0:f>A704*('前提と出典'!$C$36*'契約別単価'!F5+'前提と出典'!$C$37*'契約別単価'!F6+'前提と出典'!$C$38*'契約別単価'!F7)</ns0:f>
        <ns0:v>511327.0492368207</ns0:v>
      </ns0:c>
      <ns0:c r="G704" s="16">
        <ns0:f>A704*('前提と出典'!$C$36*'契約別単価'!G5+'前提と出典'!$C$37*'契約別単価'!G6+'前提と出典'!$C$38*'契約別単価'!G7)</ns0:f>
        <ns0:v>1393351.9553072625</ns0:v>
      </ns0:c>
      <ns0:c r="H704" s="16">
        <ns0:f>A704*('前提と出典'!$C$36*'契約別単価'!H5+'前提と出典'!$C$37*'契約別単価'!H6+'前提と出典'!$C$38*'契約別単価'!H7)</ns0:f>
        <ns0:v>483563.0105836444</ns0:v>
      </ns0:c>
      <ns0:c r="I704" s="16">
        <ns0:f>A704*('前提と出典'!$C$36*'契約別単価'!I5+'前提と出典'!$C$37*'契約別単価'!I6+'前提と出典'!$C$38*'契約別単価'!I7)</ns0:f>
        <ns0:v>29536.87150837988</ns0:v>
      </ns0:c>
      <ns0:c r="J704" s="16">
        <ns0:f>A704*('前提と出典'!$C$36*'契約別単価'!J5+'前提と出典'!$C$37*'契約別単価'!J6+'前提と出典'!$C$38*'契約別単価'!J7)</ns0:f>
        <ns0:v>68802.6805972118</ns0:v>
      </ns0:c>
      <ns0:c r="K704" s="16">
        <ns0:f>A704*('前提と出典'!$C$36*'契約別単価'!K5+'前提と出典'!$C$37*'契約別単価'!K6+'前提と出典'!$C$38*'契約別単価'!K7)</ns0:f>
        <ns0:v>294912.4767225326</ns0:v>
      </ns0:c>
      <ns0:c r="L704" s="16">
        <ns0:f>A704*('前提と出典'!$C$36*'契約別単価'!L5+'前提と出典'!$C$37*'契約別単価'!L6+'前提と出典'!$C$38*'契約別単価'!L7)</ns0:f>
        <ns0:v>240118.7670194548</ns0:v>
      </ns0:c>
      <ns0:c r="M704" s="16">
        <ns0:f>IF(('前提と出典'!$C$36+'前提と出典'!$C$38)=0,0,IF(B704&lt;=10,'前提と出典'!B73+'前提と出典'!C73,IF(B704&lt;=100,'前提と出典'!B74+'前提と出典'!C74,IF(B704&lt;=500,'前提と出典'!B75+'前提と出典'!C75,'前提と出典'!B76+'前提と出典'!C76))))</ns0:f>
        <ns0:v>40000</ns0:v>
      </ns0:c>
      <ns0:c r="N704" s="16">
        <ns0:f>IF(('前提と出典'!$C$37+'前提と出典'!$C$38)=0,0,IF(C704&lt;=10,'前提と出典'!D73+'前提と出典'!E73,IF(C704&lt;=100,'前提と出典'!D74+'前提と出典'!E74,IF(C704&lt;=500,'前提と出典'!D75+'前提と出典'!E75,'前提と出典'!D76+'前提と出典'!E76))))</ns0:f>
        <ns0:v>56510.9346263078</ns0:v>
      </ns0:c>
      <ns0:c r="O704" s="16">
        <ns0:f>IF('前提と出典'!$C$36+'前提と出典'!$C$38=0,0,'前提と出典'!$B$4*IF('前提と出典'!$B$20=0,MAX('前提と出典'!$B$6,D704*'前提と出典'!$B$5),'前提と出典'!$B$6+D704*'前提と出典'!$B$5))</ns0:f>
        <ns0:v>695088.2681564245</ns0:v>
      </ns0:c>
      <ns0:c r="P704" s="16">
        <ns0:f>(E704+G704)*(1-'前提と出典'!$B$7)-I704-K704-M704-O704</ns0:f>
        <ns0:v>1980015.117131832</ns0:v>
      </ns0:c>
      <ns0:c r="Q704" s="16">
        <ns0:f>(F704+H704)*(1-'前提と出典'!$B$7)-J704-L704-N704</ns0:f>
        <ns0:v>593641.6354239539</ns0:v>
      </ns0:c>
      <ns0:c r="R704" s="16">
        <ns0:f>P704-E704*'前提と出典'!$E$4</ns0:f>
        <ns0:v>1452101.8032512404</ns0:v>
      </ns0:c>
      <ns0:c r="S704" s="16">
        <ns0:f>Q704-F704*'前提と出典'!$E$4</ns0:f>
        <ns0:v>440243.5206529077</ns0:v>
      </ns0:c>
      <ns0:c r="T704" s="7">
        <ns0:f>R704+S704</ns0:f>
        <ns0:v>1892345.323904148</ns0:v>
      </ns0:c>
      <ns0:c r="U704" s="16">
        <ns0:f>P704-E704*'前提と出典'!$E$5</ns0:f>
        <ns0:v>1276130.6986243762</ns0:v>
      </ns0:c>
      <ns0:c r="V704" s="16">
        <ns0:f>Q704-F704*'前提と出典'!$E$5</ns0:f>
        <ns0:v>389110.8157292256</ns0:v>
      </ns0:c>
      <ns0:c r="W704" s="7">
        <ns0:f>U704+V704</ns0:f>
        <ns0:v>1665241.5143536017</ns0:v>
      </ns0:c>
      <ns0:c r="X704" s="16">
        <ns0:f>P704-E704*'前提と出典'!$E$6</ns0:f>
        <ns0:v>1100159.5939975125</ns0:v>
      </ns0:c>
      <ns0:c r="Y704" s="16">
        <ns0:f>Q704-F704*'前提と出典'!$E$6</ns0:f>
        <ns0:v>337978.11080554355</ns0:v>
      </ns0:c>
      <ns0:c r="Z704" s="7">
        <ns0:f>X704+Y704</ns0:f>
        <ns0:v>1438137.704803056</ns0:v>
      </ns0:c>
      <ns0:c r="AA704" s="7">
        <ns0:f>IF(T704&gt;=0,A704,1001)</ns0:f>
        <ns0:v>700</ns0:v>
      </ns0:c>
      <ns0:c r="AB704" s="7">
        <ns0:f>IF(T704&lt;0,A704,0)</ns0:f>
        <ns0:v>0</ns0:v>
      </ns0:c>
      <ns0:c r="AC704" s="16">
        <ns0:f>IF(AND(OR('前提と出典'!$C$36+'前提と出典'!$C$38=0,R704&gt;=0),OR('前提と出典'!$C$37+'前提と出典'!$C$38=0,S704&gt;=0)),0,A704)</ns0:f>
        <ns0:v>0</ns0:v>
      </ns0:c>
      <ns0:c r="AD704" s="7">
        <ns0:f>IF(W704&gt;=0,A704,1001)</ns0:f>
        <ns0:v>700</ns0:v>
      </ns0:c>
      <ns0:c r="AE704" s="7">
        <ns0:f>IF(W704&lt;0,A704,0)</ns0:f>
        <ns0:v>0</ns0:v>
      </ns0:c>
      <ns0:c r="AF704" s="16">
        <ns0:f>IF(AND(OR('前提と出典'!$C$36+'前提と出典'!$C$38=0,U704&gt;=0),OR('前提と出典'!$C$37+'前提と出典'!$C$38=0,V704&gt;=0)),0,A704)</ns0:f>
        <ns0:v>0</ns0:v>
      </ns0:c>
      <ns0:c r="AG704" s="7">
        <ns0:f>IF(Z704&gt;=0,A704,1001)</ns0:f>
        <ns0:v>700</ns0:v>
      </ns0:c>
      <ns0:c r="AH704" s="4">
        <ns0:f>IF(Z704&lt;0,A704,0)</ns0:f>
        <ns0:v>0</ns0:v>
      </ns0:c>
      <ns0:c r="AI704" s="12">
        <ns0:f>IF(AND(OR('前提と出典'!$C$36+'前提と出典'!$C$38=0,X704&gt;=0),OR('前提と出典'!$C$37+'前提と出典'!$C$38=0,Y704&gt;=0)),0,A704)</ns0:f>
        <ns0:v>0</ns0:v>
      </ns0:c>
    </ns0:row>
    <ns0:row r="705" ht="24" customHeight="1">
      <ns0:c r="A705" s="4" t="n">
        <ns0:v>701</ns0:v>
      </ns0:c>
      <ns0:c r="B705" s="12">
        <ns0:f>A705*('前提と出典'!$C$36+'前提と出典'!$C$38)</ns0:f>
        <ns0:v>490.7</ns0:v>
      </ns0:c>
      <ns0:c r="C705" s="12">
        <ns0:f>A705*('前提と出典'!$C$37+'前提と出典'!$C$38)</ns0:f>
        <ns0:v>420.59999999999997</ns0:v>
      </ns0:c>
      <ns0:c r="D705" s="16">
        <ns0:f>A705*('前提と出典'!$C$36*'契約別単価'!C5+'前提と出典'!$C$37*'契約別単価'!C6+'前提と出典'!$C$38*'契約別単価'!C7)</ns0:f>
        <ns0:v>5044.067039106145</ns0:v>
      </ns0:c>
      <ns0:c r="E705" s="16">
        <ns0:f>A705*('前提と出典'!$C$36*'契約別単価'!E5+'前提と出典'!$C$37*'契約別単価'!E6+'前提と出典'!$C$38*'契約別単価'!E7)</ns0:f>
        <ns0:v>1762224.9191918802</ns0:v>
      </ns0:c>
      <ns0:c r="F705" s="16">
        <ns0:f>A705*('前提と出典'!$C$36*'契約別単価'!F5+'前提と出典'!$C$37*'契約別単価'!F6+'前提と出典'!$C$38*'契約別単価'!F7)</ns0:f>
        <ns0:v>512057.5164500162</ns0:v>
      </ns0:c>
      <ns0:c r="G705" s="16">
        <ns0:f>A705*('前提と出典'!$C$36*'契約別単価'!G5+'前提と出典'!$C$37*'契約別単価'!G6+'前提と出典'!$C$38*'契約別単価'!G7)</ns0:f>
        <ns0:v>1395342.4581005585</ns0:v>
      </ns0:c>
      <ns0:c r="H705" s="16">
        <ns0:f>A705*('前提と出典'!$C$36*'契約別単価'!H5+'前提と出典'!$C$37*'契約別単価'!H6+'前提と出典'!$C$38*'契約別単価'!H7)</ns0:f>
        <ns0:v>484253.81488447817</ns0:v>
      </ns0:c>
      <ns0:c r="I705" s="16">
        <ns0:f>A705*('前提と出典'!$C$36*'契約別単価'!I5+'前提と出典'!$C$37*'契約別単価'!I6+'前提と出典'!$C$38*'契約別単価'!I7)</ns0:f>
        <ns0:v>29579.06703910614</ns0:v>
      </ns0:c>
      <ns0:c r="J705" s="16">
        <ns0:f>A705*('前提と出典'!$C$36*'契約別単価'!J5+'前提と出典'!$C$37*'契約別単価'!J6+'前提と出典'!$C$38*'契約別単価'!J7)</ns0:f>
        <ns0:v>68900.9701409221</ns0:v>
      </ns0:c>
      <ns0:c r="K705" s="16">
        <ns0:f>A705*('前提と出典'!$C$36*'契約別単価'!K5+'前提と出典'!$C$37*'契約別単価'!K6+'前提と出典'!$C$38*'契約別単価'!K7)</ns0:f>
        <ns0:v>295333.7802607076</ns0:v>
      </ns0:c>
      <ns0:c r="L705" s="16">
        <ns0:f>A705*('前提と出典'!$C$36*'契約別単価'!L5+'前提と出典'!$C$37*'契約別単価'!L6+'前提と出典'!$C$38*'契約別単価'!L7)</ns0:f>
        <ns0:v>240461.7938294826</ns0:v>
      </ns0:c>
      <ns0:c r="M705" s="16">
        <ns0:f>IF(('前提と出典'!$C$36+'前提と出典'!$C$38)=0,0,IF(B705&lt;=10,'前提と出典'!B73+'前提と出典'!C73,IF(B705&lt;=100,'前提と出典'!B74+'前提と出典'!C74,IF(B705&lt;=500,'前提と出典'!B75+'前提と出典'!C75,'前提と出典'!B76+'前提と出典'!C76))))</ns0:f>
        <ns0:v>40000</ns0:v>
      </ns0:c>
      <ns0:c r="N705" s="16">
        <ns0:f>IF(('前提と出典'!$C$37+'前提と出典'!$C$38)=0,0,IF(C705&lt;=10,'前提と出典'!D73+'前提と出典'!E73,IF(C705&lt;=100,'前提と出典'!D74+'前提と出典'!E74,IF(C705&lt;=500,'前提と出典'!D75+'前提と出典'!E75,'前提と出典'!D76+'前提と出典'!E76))))</ns0:f>
        <ns0:v>56510.9346263078</ns0:v>
      </ns0:c>
      <ns0:c r="O705" s="16">
        <ns0:f>IF('前提と出典'!$C$36+'前提と出典'!$C$38=0,0,'前提と出典'!$B$4*IF('前提と出典'!$B$20=0,MAX('前提と出典'!$B$6,D705*'前提と出典'!$B$5),'前提と出典'!$B$6+D705*'前提と出典'!$B$5))</ns0:f>
        <ns0:v>696081.251396648</ns0:v>
      </ns0:c>
      <ns0:c r="P705" s="16">
        <ns0:f>(E705+G705)*(1-'前提と出典'!$B$7)-I705-K705-M705-O705</ns0:f>
        <ns0:v>1982900.8530134489</ns0:v>
      </ns0:c>
      <ns0:c r="Q705" s="16">
        <ns0:f>(F705+H705)*(1-'前提と出典'!$B$7)-J705-L705-N705</ns0:f>
        <ns0:v>594570.4248097399</ns0:v>
      </ns0:c>
      <ns0:c r="R705" s="16">
        <ns0:f>P705-E705*'前提と出典'!$E$4</ns0:f>
        <ns0:v>1454233.377255885</ns0:v>
      </ns0:c>
      <ns0:c r="S705" s="16">
        <ns0:f>Q705-F705*'前提と出典'!$E$4</ns0:f>
        <ns0:v>440953.16987473506</ns0:v>
      </ns0:c>
      <ns0:c r="T705" s="7">
        <ns0:f>R705+S705</ns0:f>
        <ns0:v>1895186.54713062</ns0:v>
      </ns0:c>
      <ns0:c r="U705" s="16">
        <ns0:f>P705-E705*'前提と出典'!$E$5</ns0:f>
        <ns0:v>1278010.8853366966</ns0:v>
      </ns0:c>
      <ns0:c r="V705" s="16">
        <ns0:f>Q705-F705*'前提と出典'!$E$5</ns0:f>
        <ns0:v>389747.4182297335</ns0:v>
      </ns0:c>
      <ns0:c r="W705" s="7">
        <ns0:f>U705+V705</ns0:f>
        <ns0:v>1667758.3035664302</ns0:v>
      </ns0:c>
      <ns0:c r="X705" s="16">
        <ns0:f>P705-E705*'前提と出典'!$E$6</ns0:f>
        <ns0:v>1101788.3934175088</ns0:v>
      </ns0:c>
      <ns0:c r="Y705" s="16">
        <ns0:f>Q705-F705*'前提と出典'!$E$6</ns0:f>
        <ns0:v>338541.6665847318</ns0:v>
      </ns0:c>
      <ns0:c r="Z705" s="7">
        <ns0:f>X705+Y705</ns0:f>
        <ns0:v>1440330.0600022406</ns0:v>
      </ns0:c>
      <ns0:c r="AA705" s="7">
        <ns0:f>IF(T705&gt;=0,A705,1001)</ns0:f>
        <ns0:v>701</ns0:v>
      </ns0:c>
      <ns0:c r="AB705" s="7">
        <ns0:f>IF(T705&lt;0,A705,0)</ns0:f>
        <ns0:v>0</ns0:v>
      </ns0:c>
      <ns0:c r="AC705" s="16">
        <ns0:f>IF(AND(OR('前提と出典'!$C$36+'前提と出典'!$C$38=0,R705&gt;=0),OR('前提と出典'!$C$37+'前提と出典'!$C$38=0,S705&gt;=0)),0,A705)</ns0:f>
        <ns0:v>0</ns0:v>
      </ns0:c>
      <ns0:c r="AD705" s="7">
        <ns0:f>IF(W705&gt;=0,A705,1001)</ns0:f>
        <ns0:v>701</ns0:v>
      </ns0:c>
      <ns0:c r="AE705" s="7">
        <ns0:f>IF(W705&lt;0,A705,0)</ns0:f>
        <ns0:v>0</ns0:v>
      </ns0:c>
      <ns0:c r="AF705" s="16">
        <ns0:f>IF(AND(OR('前提と出典'!$C$36+'前提と出典'!$C$38=0,U705&gt;=0),OR('前提と出典'!$C$37+'前提と出典'!$C$38=0,V705&gt;=0)),0,A705)</ns0:f>
        <ns0:v>0</ns0:v>
      </ns0:c>
      <ns0:c r="AG705" s="7">
        <ns0:f>IF(Z705&gt;=0,A705,1001)</ns0:f>
        <ns0:v>701</ns0:v>
      </ns0:c>
      <ns0:c r="AH705" s="4">
        <ns0:f>IF(Z705&lt;0,A705,0)</ns0:f>
        <ns0:v>0</ns0:v>
      </ns0:c>
      <ns0:c r="AI705" s="12">
        <ns0:f>IF(AND(OR('前提と出典'!$C$36+'前提と出典'!$C$38=0,X705&gt;=0),OR('前提と出典'!$C$37+'前提と出典'!$C$38=0,Y705&gt;=0)),0,A705)</ns0:f>
        <ns0:v>0</ns0:v>
      </ns0:c>
    </ns0:row>
    <ns0:row r="706" ht="24" customHeight="1">
      <ns0:c r="A706" s="4" t="n">
        <ns0:v>702</ns0:v>
      </ns0:c>
      <ns0:c r="B706" s="12">
        <ns0:f>A706*('前提と出典'!$C$36+'前提と出典'!$C$38)</ns0:f>
        <ns0:v>491.4</ns0:v>
      </ns0:c>
      <ns0:c r="C706" s="12">
        <ns0:f>A706*('前提と出典'!$C$37+'前提と出典'!$C$38)</ns0:f>
        <ns0:v>421.2</ns0:v>
      </ns0:c>
      <ns0:c r="D706" s="16">
        <ns0:f>A706*('前提と出典'!$C$36*'契約別単価'!C5+'前提と出典'!$C$37*'契約別単価'!C6+'前提と出典'!$C$38*'契約別単価'!C7)</ns0:f>
        <ns0:v>5051.262569832402</ns0:v>
      </ns0:c>
      <ns0:c r="E706" s="16">
        <ns0:f>A706*('前提と出典'!$C$36*'契約別単価'!E5+'前提と出典'!$C$37*'契約別単価'!E6+'前提と出典'!$C$38*'契約別単価'!E7)</ns0:f>
        <ns0:v>1764738.7921151211</ns0:v>
      </ns0:c>
      <ns0:c r="F706" s="16">
        <ns0:f>A706*('前提と出典'!$C$36*'契約別単価'!F5+'前提と出典'!$C$37*'契約別単価'!F6+'前提と出典'!$C$38*'契約別単価'!F7)</ns0:f>
        <ns0:v>512787.98366321163</ns0:v>
      </ns0:c>
      <ns0:c r="G706" s="16">
        <ns0:f>A706*('前提と出典'!$C$36*'契約別単価'!G5+'前提と出典'!$C$37*'契約別単価'!G6+'前提と出典'!$C$38*'契約別単価'!G7)</ns0:f>
        <ns0:v>1397332.9608938547</ns0:v>
      </ns0:c>
      <ns0:c r="H706" s="16">
        <ns0:f>A706*('前提と出典'!$C$36*'契約別単価'!H5+'前提と出典'!$C$37*'契約別単価'!H6+'前提と出典'!$C$38*'契約別単価'!H7)</ns0:f>
        <ns0:v>484944.61918531195</ns0:v>
      </ns0:c>
      <ns0:c r="I706" s="16">
        <ns0:f>A706*('前提と出典'!$C$36*'契約別単価'!I5+'前提と出典'!$C$37*'契約別単価'!I6+'前提と出典'!$C$38*'契約別単価'!I7)</ns0:f>
        <ns0:v>29621.262569832397</ns0:v>
      </ns0:c>
      <ns0:c r="J706" s="16">
        <ns0:f>A706*('前提と出典'!$C$36*'契約別単価'!J5+'前提と出典'!$C$37*'契約別単価'!J6+'前提と出典'!$C$38*'契約別単価'!J7)</ns0:f>
        <ns0:v>68999.2596846324</ns0:v>
      </ns0:c>
      <ns0:c r="K706" s="16">
        <ns0:f>A706*('前提と出典'!$C$36*'契約別単価'!K5+'前提と出典'!$C$37*'契約別単価'!K6+'前提と出典'!$C$38*'契約別単価'!K7)</ns0:f>
        <ns0:v>295755.08379888267</ns0:v>
      </ns0:c>
      <ns0:c r="L706" s="16">
        <ns0:f>A706*('前提と出典'!$C$36*'契約別単価'!L5+'前提と出典'!$C$37*'契約別単価'!L6+'前提と出典'!$C$38*'契約別単価'!L7)</ns0:f>
        <ns0:v>240804.82063951038</ns0:v>
      </ns0:c>
      <ns0:c r="M706" s="16">
        <ns0:f>IF(('前提と出典'!$C$36+'前提と出典'!$C$38)=0,0,IF(B706&lt;=10,'前提と出典'!B73+'前提と出典'!C73,IF(B706&lt;=100,'前提と出典'!B74+'前提と出典'!C74,IF(B706&lt;=500,'前提と出典'!B75+'前提と出典'!C75,'前提と出典'!B76+'前提と出典'!C76))))</ns0:f>
        <ns0:v>40000</ns0:v>
      </ns0:c>
      <ns0:c r="N706" s="16">
        <ns0:f>IF(('前提と出典'!$C$37+'前提と出典'!$C$38)=0,0,IF(C706&lt;=10,'前提と出典'!D73+'前提と出典'!E73,IF(C706&lt;=100,'前提と出典'!D74+'前提と出典'!E74,IF(C706&lt;=500,'前提と出典'!D75+'前提と出典'!E75,'前提と出典'!D76+'前提と出典'!E76))))</ns0:f>
        <ns0:v>56510.9346263078</ns0:v>
      </ns0:c>
      <ns0:c r="O706" s="16">
        <ns0:f>IF('前提と出典'!$C$36+'前提と出典'!$C$38=0,0,'前提と出典'!$B$4*IF('前提と出典'!$B$20=0,MAX('前提と出典'!$B$6,D706*'前提と出典'!$B$5),'前提と出典'!$B$6+D706*'前提と出典'!$B$5))</ns0:f>
        <ns0:v>697074.2346368715</ns0:v>
      </ns0:c>
      <ns0:c r="P706" s="16">
        <ns0:f>(E706+G706)*(1-'前提と出典'!$B$7)-I706-K706-M706-O706</ns0:f>
        <ns0:v>1985786.5888950657</ns0:v>
      </ns0:c>
      <ns0:c r="Q706" s="16">
        <ns0:f>(F706+H706)*(1-'前提と出典'!$B$7)-J706-L706-N706</ns0:f>
        <ns0:v>595499.2141955261</ns0:v>
      </ns0:c>
      <ns0:c r="R706" s="16">
        <ns0:f>P706-E706*'前提と出典'!$E$4</ns0:f>
        <ns0:v>1456364.9512605295</ns0:v>
      </ns0:c>
      <ns0:c r="S706" s="16">
        <ns0:f>Q706-F706*'前提と出典'!$E$4</ns0:f>
        <ns0:v>441662.81909656257</ns0:v>
      </ns0:c>
      <ns0:c r="T706" s="7">
        <ns0:f>R706+S706</ns0:f>
        <ns0:v>1898027.770357092</ns0:v>
      </ns0:c>
      <ns0:c r="U706" s="16">
        <ns0:f>P706-E706*'前提と出典'!$E$5</ns0:f>
        <ns0:v>1279891.072049017</ns0:v>
      </ns0:c>
      <ns0:c r="V706" s="16">
        <ns0:f>Q706-F706*'前提と出典'!$E$5</ns0:f>
        <ns0:v>390384.02073024143</ns0:v>
      </ns0:c>
      <ns0:c r="W706" s="7">
        <ns0:f>U706+V706</ns0:f>
        <ns0:v>1670275.0927792585</ns0:v>
      </ns0:c>
      <ns0:c r="X706" s="16">
        <ns0:f>P706-E706*'前提と出典'!$E$6</ns0:f>
        <ns0:v>1103417.1928375051</ns0:v>
      </ns0:c>
      <ns0:c r="Y706" s="16">
        <ns0:f>Q706-F706*'前提と出典'!$E$6</ns0:f>
        <ns0:v>339105.2223639203</ns0:v>
      </ns0:c>
      <ns0:c r="Z706" s="7">
        <ns0:f>X706+Y706</ns0:f>
        <ns0:v>1442522.4152014256</ns0:v>
      </ns0:c>
      <ns0:c r="AA706" s="7">
        <ns0:f>IF(T706&gt;=0,A706,1001)</ns0:f>
        <ns0:v>702</ns0:v>
      </ns0:c>
      <ns0:c r="AB706" s="7">
        <ns0:f>IF(T706&lt;0,A706,0)</ns0:f>
        <ns0:v>0</ns0:v>
      </ns0:c>
      <ns0:c r="AC706" s="16">
        <ns0:f>IF(AND(OR('前提と出典'!$C$36+'前提と出典'!$C$38=0,R706&gt;=0),OR('前提と出典'!$C$37+'前提と出典'!$C$38=0,S706&gt;=0)),0,A706)</ns0:f>
        <ns0:v>0</ns0:v>
      </ns0:c>
      <ns0:c r="AD706" s="7">
        <ns0:f>IF(W706&gt;=0,A706,1001)</ns0:f>
        <ns0:v>702</ns0:v>
      </ns0:c>
      <ns0:c r="AE706" s="7">
        <ns0:f>IF(W706&lt;0,A706,0)</ns0:f>
        <ns0:v>0</ns0:v>
      </ns0:c>
      <ns0:c r="AF706" s="16">
        <ns0:f>IF(AND(OR('前提と出典'!$C$36+'前提と出典'!$C$38=0,U706&gt;=0),OR('前提と出典'!$C$37+'前提と出典'!$C$38=0,V706&gt;=0)),0,A706)</ns0:f>
        <ns0:v>0</ns0:v>
      </ns0:c>
      <ns0:c r="AG706" s="7">
        <ns0:f>IF(Z706&gt;=0,A706,1001)</ns0:f>
        <ns0:v>702</ns0:v>
      </ns0:c>
      <ns0:c r="AH706" s="4">
        <ns0:f>IF(Z706&lt;0,A706,0)</ns0:f>
        <ns0:v>0</ns0:v>
      </ns0:c>
      <ns0:c r="AI706" s="12">
        <ns0:f>IF(AND(OR('前提と出典'!$C$36+'前提と出典'!$C$38=0,X706&gt;=0),OR('前提と出典'!$C$37+'前提と出典'!$C$38=0,Y706&gt;=0)),0,A706)</ns0:f>
        <ns0:v>0</ns0:v>
      </ns0:c>
    </ns0:row>
    <ns0:row r="707" ht="24" customHeight="1">
      <ns0:c r="A707" s="4" t="n">
        <ns0:v>703</ns0:v>
      </ns0:c>
      <ns0:c r="B707" s="12">
        <ns0:f>A707*('前提と出典'!$C$36+'前提と出典'!$C$38)</ns0:f>
        <ns0:v>492.09999999999997</ns0:v>
      </ns0:c>
      <ns0:c r="C707" s="12">
        <ns0:f>A707*('前提と出典'!$C$37+'前提と出典'!$C$38)</ns0:f>
        <ns0:v>421.8</ns0:v>
      </ns0:c>
      <ns0:c r="D707" s="16">
        <ns0:f>A707*('前提と出典'!$C$36*'契約別単価'!C5+'前提と出典'!$C$37*'契約別単価'!C6+'前提と出典'!$C$38*'契約別単価'!C7)</ns0:f>
        <ns0:v>5058.458100558659</ns0:v>
      </ns0:c>
      <ns0:c r="E707" s="16">
        <ns0:f>A707*('前提と出典'!$C$36*'契約別単価'!E5+'前提と出典'!$C$37*'契約別単価'!E6+'前提と出典'!$C$38*'契約別単価'!E7)</ns0:f>
        <ns0:v>1767252.665038362</ns0:v>
      </ns0:c>
      <ns0:c r="F707" s="16">
        <ns0:f>A707*('前提と出典'!$C$36*'契約別単価'!F5+'前提と出典'!$C$37*'契約別単価'!F6+'前提と出典'!$C$38*'契約別単価'!F7)</ns0:f>
        <ns0:v>513518.4508764071</ns0:v>
      </ns0:c>
      <ns0:c r="G707" s="16">
        <ns0:f>A707*('前提と出典'!$C$36*'契約別単価'!G5+'前提と出典'!$C$37*'契約別単価'!G6+'前提と出典'!$C$38*'契約別単価'!G7)</ns0:f>
        <ns0:v>1399323.4636871507</ns0:v>
      </ns0:c>
      <ns0:c r="H707" s="16">
        <ns0:f>A707*('前提と出典'!$C$36*'契約別単価'!H5+'前提と出典'!$C$37*'契約別単価'!H6+'前提と出典'!$C$38*'契約別単価'!H7)</ns0:f>
        <ns0:v>485635.42348614574</ns0:v>
      </ns0:c>
      <ns0:c r="I707" s="16">
        <ns0:f>A707*('前提と出典'!$C$36*'契約別単価'!I5+'前提と出典'!$C$37*'契約別単価'!I6+'前提と出典'!$C$38*'契約別単価'!I7)</ns0:f>
        <ns0:v>29663.458100558655</ns0:v>
      </ns0:c>
      <ns0:c r="J707" s="16">
        <ns0:f>A707*('前提と出典'!$C$36*'契約別単価'!J5+'前提と出典'!$C$37*'契約別単価'!J6+'前提と出典'!$C$38*'契約別単価'!J7)</ns0:f>
        <ns0:v>69097.5492283427</ns0:v>
      </ns0:c>
      <ns0:c r="K707" s="16">
        <ns0:f>A707*('前提と出典'!$C$36*'契約別単価'!K5+'前提と出典'!$C$37*'契約別単価'!K6+'前提と出典'!$C$38*'契約別単価'!K7)</ns0:f>
        <ns0:v>296176.38733705773</ns0:v>
      </ns0:c>
      <ns0:c r="L707" s="16">
        <ns0:f>A707*('前提と出典'!$C$36*'契約別単価'!L5+'前提と出典'!$C$37*'契約別単価'!L6+'前提と出典'!$C$38*'契約別単価'!L7)</ns0:f>
        <ns0:v>241147.84744953818</ns0:v>
      </ns0:c>
      <ns0:c r="M707" s="16">
        <ns0:f>IF(('前提と出典'!$C$36+'前提と出典'!$C$38)=0,0,IF(B707&lt;=10,'前提と出典'!B73+'前提と出典'!C73,IF(B707&lt;=100,'前提と出典'!B74+'前提と出典'!C74,IF(B707&lt;=500,'前提と出典'!B75+'前提と出典'!C75,'前提と出典'!B76+'前提と出典'!C76))))</ns0:f>
        <ns0:v>40000</ns0:v>
      </ns0:c>
      <ns0:c r="N707" s="16">
        <ns0:f>IF(('前提と出典'!$C$37+'前提と出典'!$C$38)=0,0,IF(C707&lt;=10,'前提と出典'!D73+'前提と出典'!E73,IF(C707&lt;=100,'前提と出典'!D74+'前提と出典'!E74,IF(C707&lt;=500,'前提と出典'!D75+'前提と出典'!E75,'前提と出典'!D76+'前提と出典'!E76))))</ns0:f>
        <ns0:v>56510.9346263078</ns0:v>
      </ns0:c>
      <ns0:c r="O707" s="16">
        <ns0:f>IF('前提と出典'!$C$36+'前提と出典'!$C$38=0,0,'前提と出典'!$B$4*IF('前提と出典'!$B$20=0,MAX('前提と出典'!$B$6,D707*'前提と出典'!$B$5),'前提と出典'!$B$6+D707*'前提と出典'!$B$5))</ns0:f>
        <ns0:v>698067.217877095</ns0:v>
      </ns0:c>
      <ns0:c r="P707" s="16">
        <ns0:f>(E707+G707)*(1-'前提と出典'!$B$7)-I707-K707-M707-O707</ns0:f>
        <ns0:v>1988672.3247766823</ns0:v>
      </ns0:c>
      <ns0:c r="Q707" s="16">
        <ns0:f>(F707+H707)*(1-'前提と出典'!$B$7)-J707-L707-N707</ns0:f>
        <ns0:v>596428.0035813121</ns0:v>
      </ns0:c>
      <ns0:c r="R707" s="16">
        <ns0:f>P707-E707*'前提と出典'!$E$4</ns0:f>
        <ns0:v>1458496.525265174</ns0:v>
      </ns0:c>
      <ns0:c r="S707" s="16">
        <ns0:f>Q707-F707*'前提と出典'!$E$4</ns0:f>
        <ns0:v>442372.4683183901</ns0:v>
      </ns0:c>
      <ns0:c r="T707" s="7">
        <ns0:f>R707+S707</ns0:f>
        <ns0:v>1900868.9935835642</ns0:v>
      </ns0:c>
      <ns0:c r="U707" s="16">
        <ns0:f>P707-E707*'前提と出典'!$E$5</ns0:f>
        <ns0:v>1281771.2587613375</ns0:v>
      </ns0:c>
      <ns0:c r="V707" s="16">
        <ns0:f>Q707-F707*'前提と出典'!$E$5</ns0:f>
        <ns0:v>391020.6232307493</ns0:v>
      </ns0:c>
      <ns0:c r="W707" s="7">
        <ns0:f>U707+V707</ns0:f>
        <ns0:v>1672791.8819920868</ns0:v>
      </ns0:c>
      <ns0:c r="X707" s="16">
        <ns0:f>P707-E707*'前提と出典'!$E$6</ns0:f>
        <ns0:v>1105045.9922575015</ns0:v>
      </ns0:c>
      <ns0:c r="Y707" s="16">
        <ns0:f>Q707-F707*'前提と出典'!$E$6</ns0:f>
        <ns0:v>339668.7781431086</ns0:v>
      </ns0:c>
      <ns0:c r="Z707" s="7">
        <ns0:f>X707+Y707</ns0:f>
        <ns0:v>1444714.77040061</ns0:v>
      </ns0:c>
      <ns0:c r="AA707" s="7">
        <ns0:f>IF(T707&gt;=0,A707,1001)</ns0:f>
        <ns0:v>703</ns0:v>
      </ns0:c>
      <ns0:c r="AB707" s="7">
        <ns0:f>IF(T707&lt;0,A707,0)</ns0:f>
        <ns0:v>0</ns0:v>
      </ns0:c>
      <ns0:c r="AC707" s="16">
        <ns0:f>IF(AND(OR('前提と出典'!$C$36+'前提と出典'!$C$38=0,R707&gt;=0),OR('前提と出典'!$C$37+'前提と出典'!$C$38=0,S707&gt;=0)),0,A707)</ns0:f>
        <ns0:v>0</ns0:v>
      </ns0:c>
      <ns0:c r="AD707" s="7">
        <ns0:f>IF(W707&gt;=0,A707,1001)</ns0:f>
        <ns0:v>703</ns0:v>
      </ns0:c>
      <ns0:c r="AE707" s="7">
        <ns0:f>IF(W707&lt;0,A707,0)</ns0:f>
        <ns0:v>0</ns0:v>
      </ns0:c>
      <ns0:c r="AF707" s="16">
        <ns0:f>IF(AND(OR('前提と出典'!$C$36+'前提と出典'!$C$38=0,U707&gt;=0),OR('前提と出典'!$C$37+'前提と出典'!$C$38=0,V707&gt;=0)),0,A707)</ns0:f>
        <ns0:v>0</ns0:v>
      </ns0:c>
      <ns0:c r="AG707" s="7">
        <ns0:f>IF(Z707&gt;=0,A707,1001)</ns0:f>
        <ns0:v>703</ns0:v>
      </ns0:c>
      <ns0:c r="AH707" s="4">
        <ns0:f>IF(Z707&lt;0,A707,0)</ns0:f>
        <ns0:v>0</ns0:v>
      </ns0:c>
      <ns0:c r="AI707" s="12">
        <ns0:f>IF(AND(OR('前提と出典'!$C$36+'前提と出典'!$C$38=0,X707&gt;=0),OR('前提と出典'!$C$37+'前提と出典'!$C$38=0,Y707&gt;=0)),0,A707)</ns0:f>
        <ns0:v>0</ns0:v>
      </ns0:c>
    </ns0:row>
    <ns0:row r="708" ht="24" customHeight="1">
      <ns0:c r="A708" s="4" t="n">
        <ns0:v>704</ns0:v>
      </ns0:c>
      <ns0:c r="B708" s="12">
        <ns0:f>A708*('前提と出典'!$C$36+'前提と出典'!$C$38)</ns0:f>
        <ns0:v>492.79999999999995</ns0:v>
      </ns0:c>
      <ns0:c r="C708" s="12">
        <ns0:f>A708*('前提と出典'!$C$37+'前提と出典'!$C$38)</ns0:f>
        <ns0:v>422.4</ns0:v>
      </ns0:c>
      <ns0:c r="D708" s="16">
        <ns0:f>A708*('前提と出典'!$C$36*'契約別単価'!C5+'前提と出典'!$C$37*'契約別単価'!C6+'前提と出典'!$C$38*'契約別単価'!C7)</ns0:f>
        <ns0:v>5065.653631284917</ns0:v>
      </ns0:c>
      <ns0:c r="E708" s="16">
        <ns0:f>A708*('前提と出典'!$C$36*'契約別単価'!E5+'前提と出典'!$C$37*'契約別単価'!E6+'前提と出典'!$C$38*'契約別単価'!E7)</ns0:f>
        <ns0:v>1769766.537961603</ns0:v>
      </ns0:c>
      <ns0:c r="F708" s="16">
        <ns0:f>A708*('前提と出典'!$C$36*'契約別単価'!F5+'前提と出典'!$C$37*'契約別単価'!F6+'前提と出典'!$C$38*'契約別単価'!F7)</ns0:f>
        <ns0:v>514248.91808960255</ns0:v>
      </ns0:c>
      <ns0:c r="G708" s="16">
        <ns0:f>A708*('前提と出典'!$C$36*'契約別単価'!G5+'前提と出典'!$C$37*'契約別単価'!G6+'前提と出典'!$C$38*'契約別単価'!G7)</ns0:f>
        <ns0:v>1401313.966480447</ns0:v>
      </ns0:c>
      <ns0:c r="H708" s="16">
        <ns0:f>A708*('前提と出典'!$C$36*'契約別単価'!H5+'前提と出典'!$C$37*'契約別単価'!H6+'前提と出典'!$C$38*'契約別単価'!H7)</ns0:f>
        <ns0:v>486326.2277869795</ns0:v>
      </ns0:c>
      <ns0:c r="I708" s="16">
        <ns0:f>A708*('前提と出典'!$C$36*'契約別単価'!I5+'前提と出典'!$C$37*'契約別単価'!I6+'前提と出典'!$C$38*'契約別単価'!I7)</ns0:f>
        <ns0:v>29705.653631284913</ns0:v>
      </ns0:c>
      <ns0:c r="J708" s="16">
        <ns0:f>A708*('前提と出典'!$C$36*'契約別単価'!J5+'前提と出典'!$C$37*'契約別単価'!J6+'前提と出典'!$C$38*'契約別単価'!J7)</ns0:f>
        <ns0:v>69195.838772053</ns0:v>
      </ns0:c>
      <ns0:c r="K708" s="16">
        <ns0:f>A708*('前提と出典'!$C$36*'契約別単価'!K5+'前提と出典'!$C$37*'契約別単価'!K6+'前提と出典'!$C$38*'契約別単価'!K7)</ns0:f>
        <ns0:v>296597.69087523274</ns0:v>
      </ns0:c>
      <ns0:c r="L708" s="16">
        <ns0:f>A708*('前提と出典'!$C$36*'契約別単価'!L5+'前提と出典'!$C$37*'契約別単価'!L6+'前提と出典'!$C$38*'契約別単価'!L7)</ns0:f>
        <ns0:v>241490.874259566</ns0:v>
      </ns0:c>
      <ns0:c r="M708" s="16">
        <ns0:f>IF(('前提と出典'!$C$36+'前提と出典'!$C$38)=0,0,IF(B708&lt;=10,'前提と出典'!B73+'前提と出典'!C73,IF(B708&lt;=100,'前提と出典'!B74+'前提と出典'!C74,IF(B708&lt;=500,'前提と出典'!B75+'前提と出典'!C75,'前提と出典'!B76+'前提と出典'!C76))))</ns0:f>
        <ns0:v>40000</ns0:v>
      </ns0:c>
      <ns0:c r="N708" s="16">
        <ns0:f>IF(('前提と出典'!$C$37+'前提と出典'!$C$38)=0,0,IF(C708&lt;=10,'前提と出典'!D73+'前提と出典'!E73,IF(C708&lt;=100,'前提と出典'!D74+'前提と出典'!E74,IF(C708&lt;=500,'前提と出典'!D75+'前提と出典'!E75,'前提と出典'!D76+'前提と出典'!E76))))</ns0:f>
        <ns0:v>56510.9346263078</ns0:v>
      </ns0:c>
      <ns0:c r="O708" s="16">
        <ns0:f>IF('前提と出典'!$C$36+'前提と出典'!$C$38=0,0,'前提と出典'!$B$4*IF('前提と出典'!$B$20=0,MAX('前提と出典'!$B$6,D708*'前提と出典'!$B$5),'前提と出典'!$B$6+D708*'前提と出典'!$B$5))</ns0:f>
        <ns0:v>699060.2011173186</ns0:v>
      </ns0:c>
      <ns0:c r="P708" s="16">
        <ns0:f>(E708+G708)*(1-'前提と出典'!$B$7)-I708-K708-M708-O708</ns0:f>
        <ns0:v>1991558.0606583</ns0:v>
      </ns0:c>
      <ns0:c r="Q708" s="16">
        <ns0:f>(F708+H708)*(1-'前提と出典'!$B$7)-J708-L708-N708</ns0:f>
        <ns0:v>597356.7929670983</ns0:v>
      </ns0:c>
      <ns0:c r="R708" s="16">
        <ns0:f>P708-E708*'前提と出典'!$E$4</ns0:f>
        <ns0:v>1460628.0992698194</ns0:v>
      </ns0:c>
      <ns0:c r="S708" s="16">
        <ns0:f>Q708-F708*'前提と出典'!$E$4</ns0:f>
        <ns0:v>443082.11754021747</ns0:v>
      </ns0:c>
      <ns0:c r="T708" s="7">
        <ns0:f>R708+S708</ns0:f>
        <ns0:v>1903710.216810037</ns0:v>
      </ns0:c>
      <ns0:c r="U708" s="16">
        <ns0:f>P708-E708*'前提と出典'!$E$5</ns0:f>
        <ns0:v>1283651.4454736589</ns0:v>
      </ns0:c>
      <ns0:c r="V708" s="16">
        <ns0:f>Q708-F708*'前提と出典'!$E$5</ns0:f>
        <ns0:v>391657.22573125723</ns0:v>
      </ns0:c>
      <ns0:c r="W708" s="7">
        <ns0:f>U708+V708</ns0:f>
        <ns0:v>1675308.6712049162</ns0:v>
      </ns0:c>
      <ns0:c r="X708" s="16">
        <ns0:f>P708-E708*'前提と出典'!$E$6</ns0:f>
        <ns0:v>1106674.7916774987</ns0:v>
      </ns0:c>
      <ns0:c r="Y708" s="16">
        <ns0:f>Q708-F708*'前提と出典'!$E$6</ns0:f>
        <ns0:v>340232.333922297</ns0:v>
      </ns0:c>
      <ns0:c r="Z708" s="7">
        <ns0:f>X708+Y708</ns0:f>
        <ns0:v>1446907.1255997957</ns0:v>
      </ns0:c>
      <ns0:c r="AA708" s="7">
        <ns0:f>IF(T708&gt;=0,A708,1001)</ns0:f>
        <ns0:v>704</ns0:v>
      </ns0:c>
      <ns0:c r="AB708" s="7">
        <ns0:f>IF(T708&lt;0,A708,0)</ns0:f>
        <ns0:v>0</ns0:v>
      </ns0:c>
      <ns0:c r="AC708" s="16">
        <ns0:f>IF(AND(OR('前提と出典'!$C$36+'前提と出典'!$C$38=0,R708&gt;=0),OR('前提と出典'!$C$37+'前提と出典'!$C$38=0,S708&gt;=0)),0,A708)</ns0:f>
        <ns0:v>0</ns0:v>
      </ns0:c>
      <ns0:c r="AD708" s="7">
        <ns0:f>IF(W708&gt;=0,A708,1001)</ns0:f>
        <ns0:v>704</ns0:v>
      </ns0:c>
      <ns0:c r="AE708" s="7">
        <ns0:f>IF(W708&lt;0,A708,0)</ns0:f>
        <ns0:v>0</ns0:v>
      </ns0:c>
      <ns0:c r="AF708" s="16">
        <ns0:f>IF(AND(OR('前提と出典'!$C$36+'前提と出典'!$C$38=0,U708&gt;=0),OR('前提と出典'!$C$37+'前提と出典'!$C$38=0,V708&gt;=0)),0,A708)</ns0:f>
        <ns0:v>0</ns0:v>
      </ns0:c>
      <ns0:c r="AG708" s="7">
        <ns0:f>IF(Z708&gt;=0,A708,1001)</ns0:f>
        <ns0:v>704</ns0:v>
      </ns0:c>
      <ns0:c r="AH708" s="4">
        <ns0:f>IF(Z708&lt;0,A708,0)</ns0:f>
        <ns0:v>0</ns0:v>
      </ns0:c>
      <ns0:c r="AI708" s="12">
        <ns0:f>IF(AND(OR('前提と出典'!$C$36+'前提と出典'!$C$38=0,X708&gt;=0),OR('前提と出典'!$C$37+'前提と出典'!$C$38=0,Y708&gt;=0)),0,A708)</ns0:f>
        <ns0:v>0</ns0:v>
      </ns0:c>
    </ns0:row>
    <ns0:row r="709" ht="24" customHeight="1">
      <ns0:c r="A709" s="4" t="n">
        <ns0:v>705</ns0:v>
      </ns0:c>
      <ns0:c r="B709" s="12">
        <ns0:f>A709*('前提と出典'!$C$36+'前提と出典'!$C$38)</ns0:f>
        <ns0:v>493.49999999999994</ns0:v>
      </ns0:c>
      <ns0:c r="C709" s="12">
        <ns0:f>A709*('前提と出典'!$C$37+'前提と出典'!$C$38)</ns0:f>
        <ns0:v>423</ns0:v>
      </ns0:c>
      <ns0:c r="D709" s="16">
        <ns0:f>A709*('前提と出典'!$C$36*'契約別単価'!C5+'前提と出典'!$C$37*'契約別単価'!C6+'前提と出典'!$C$38*'契約別単価'!C7)</ns0:f>
        <ns0:v>5072.849162011174</ns0:v>
      </ns0:c>
      <ns0:c r="E709" s="16">
        <ns0:f>A709*('前提と出典'!$C$36*'契約別単価'!E5+'前提と出典'!$C$37*'契約別単価'!E6+'前提と出典'!$C$38*'契約別単価'!E7)</ns0:f>
        <ns0:v>1772280.410884844</ns0:v>
      </ns0:c>
      <ns0:c r="F709" s="16">
        <ns0:f>A709*('前提と出典'!$C$36*'契約別単価'!F5+'前提と出典'!$C$37*'契約別単価'!F6+'前提と出典'!$C$38*'契約別単価'!F7)</ns0:f>
        <ns0:v>514979.385302798</ns0:v>
      </ns0:c>
      <ns0:c r="G709" s="16">
        <ns0:f>A709*('前提と出典'!$C$36*'契約別単価'!G5+'前提と出典'!$C$37*'契約別単価'!G6+'前提と出典'!$C$38*'契約別単価'!G7)</ns0:f>
        <ns0:v>1403304.469273743</ns0:v>
      </ns0:c>
      <ns0:c r="H709" s="16">
        <ns0:f>A709*('前提と出典'!$C$36*'契約別単価'!H5+'前提と出典'!$C$37*'契約別単価'!H6+'前提と出典'!$C$38*'契約別単価'!H7)</ns0:f>
        <ns0:v>487017.03208781325</ns0:v>
      </ns0:c>
      <ns0:c r="I709" s="16">
        <ns0:f>A709*('前提と出典'!$C$36*'契約別単価'!I5+'前提と出典'!$C$37*'契約別単価'!I6+'前提と出典'!$C$38*'契約別単価'!I7)</ns0:f>
        <ns0:v>29747.849162011167</ns0:v>
      </ns0:c>
      <ns0:c r="J709" s="16">
        <ns0:f>A709*('前提と出典'!$C$36*'契約別単価'!J5+'前提と出典'!$C$37*'契約別単価'!J6+'前提と出典'!$C$38*'契約別単価'!J7)</ns0:f>
        <ns0:v>69294.12831576332</ns0:v>
      </ns0:c>
      <ns0:c r="K709" s="16">
        <ns0:f>A709*('前提と出典'!$C$36*'契約別単価'!K5+'前提と出典'!$C$37*'契約別単価'!K6+'前提と出典'!$C$38*'契約別単価'!K7)</ns0:f>
        <ns0:v>297018.9944134078</ns0:v>
      </ns0:c>
      <ns0:c r="L709" s="16">
        <ns0:f>A709*('前提と出典'!$C$36*'契約別単価'!L5+'前提と出典'!$C$37*'契約別単価'!L6+'前提と出典'!$C$38*'契約別単価'!L7)</ns0:f>
        <ns0:v>241833.90106959376</ns0:v>
      </ns0:c>
      <ns0:c r="M709" s="16">
        <ns0:f>IF(('前提と出典'!$C$36+'前提と出典'!$C$38)=0,0,IF(B709&lt;=10,'前提と出典'!B73+'前提と出典'!C73,IF(B709&lt;=100,'前提と出典'!B74+'前提と出典'!C74,IF(B709&lt;=500,'前提と出典'!B75+'前提と出典'!C75,'前提と出典'!B76+'前提と出典'!C76))))</ns0:f>
        <ns0:v>40000</ns0:v>
      </ns0:c>
      <ns0:c r="N709" s="16">
        <ns0:f>IF(('前提と出典'!$C$37+'前提と出典'!$C$38)=0,0,IF(C709&lt;=10,'前提と出典'!D73+'前提と出典'!E73,IF(C709&lt;=100,'前提と出典'!D74+'前提と出典'!E74,IF(C709&lt;=500,'前提と出典'!D75+'前提と出典'!E75,'前提と出典'!D76+'前提と出典'!E76))))</ns0:f>
        <ns0:v>56510.9346263078</ns0:v>
      </ns0:c>
      <ns0:c r="O709" s="16">
        <ns0:f>IF('前提と出典'!$C$36+'前提と出典'!$C$38=0,0,'前提と出典'!$B$4*IF('前提と出典'!$B$20=0,MAX('前提と出典'!$B$6,D709*'前提と出典'!$B$5),'前提と出典'!$B$6+D709*'前提と出典'!$B$5))</ns0:f>
        <ns0:v>700053.184357542</ns0:v>
      </ns0:c>
      <ns0:c r="P709" s="16">
        <ns0:f>(E709+G709)*(1-'前提と出典'!$B$7)-I709-K709-M709-O709</ns0:f>
        <ns0:v>1994443.7965399174</ns0:v>
      </ns0:c>
      <ns0:c r="Q709" s="16">
        <ns0:f>(F709+H709)*(1-'前提と出典'!$B$7)-J709-L709-N709</ns0:f>
        <ns0:v>598285.5823528846</ns0:v>
      </ns0:c>
      <ns0:c r="R709" s="16">
        <ns0:f>P709-E709*'前提と出典'!$E$4</ns0:f>
        <ns0:v>1462759.6732744635</ns0:v>
      </ns0:c>
      <ns0:c r="S709" s="16">
        <ns0:f>Q709-F709*'前提と出典'!$E$4</ns0:f>
        <ns0:v>443791.7667620451</ns0:v>
      </ns0:c>
      <ns0:c r="T709" s="7">
        <ns0:f>R709+S709</ns0:f>
        <ns0:v>1906551.4400365087</ns0:v>
      </ns0:c>
      <ns0:c r="U709" s="16">
        <ns0:f>P709-E709*'前提と出典'!$E$5</ns0:f>
        <ns0:v>1285531.6321859797</ns0:v>
      </ns0:c>
      <ns0:c r="V709" s="16">
        <ns0:f>Q709-F709*'前提と出典'!$E$5</ns0:f>
        <ns0:v>392293.8282317653</ns0:v>
      </ns0:c>
      <ns0:c r="W709" s="7">
        <ns0:f>U709+V709</ns0:f>
        <ns0:v>1677825.4604177452</ns0:v>
      </ns0:c>
      <ns0:c r="X709" s="16">
        <ns0:f>P709-E709*'前提と出典'!$E$6</ns0:f>
        <ns0:v>1108303.591097495</ns0:v>
      </ns0:c>
      <ns0:c r="Y709" s="16">
        <ns0:f>Q709-F709*'前提と出典'!$E$6</ns0:f>
        <ns0:v>340795.8897014855</ns0:v>
      </ns0:c>
      <ns0:c r="Z709" s="7">
        <ns0:f>X709+Y709</ns0:f>
        <ns0:v>1449099.4807989807</ns0:v>
      </ns0:c>
      <ns0:c r="AA709" s="7">
        <ns0:f>IF(T709&gt;=0,A709,1001)</ns0:f>
        <ns0:v>705</ns0:v>
      </ns0:c>
      <ns0:c r="AB709" s="7">
        <ns0:f>IF(T709&lt;0,A709,0)</ns0:f>
        <ns0:v>0</ns0:v>
      </ns0:c>
      <ns0:c r="AC709" s="16">
        <ns0:f>IF(AND(OR('前提と出典'!$C$36+'前提と出典'!$C$38=0,R709&gt;=0),OR('前提と出典'!$C$37+'前提と出典'!$C$38=0,S709&gt;=0)),0,A709)</ns0:f>
        <ns0:v>0</ns0:v>
      </ns0:c>
      <ns0:c r="AD709" s="7">
        <ns0:f>IF(W709&gt;=0,A709,1001)</ns0:f>
        <ns0:v>705</ns0:v>
      </ns0:c>
      <ns0:c r="AE709" s="7">
        <ns0:f>IF(W709&lt;0,A709,0)</ns0:f>
        <ns0:v>0</ns0:v>
      </ns0:c>
      <ns0:c r="AF709" s="16">
        <ns0:f>IF(AND(OR('前提と出典'!$C$36+'前提と出典'!$C$38=0,U709&gt;=0),OR('前提と出典'!$C$37+'前提と出典'!$C$38=0,V709&gt;=0)),0,A709)</ns0:f>
        <ns0:v>0</ns0:v>
      </ns0:c>
      <ns0:c r="AG709" s="7">
        <ns0:f>IF(Z709&gt;=0,A709,1001)</ns0:f>
        <ns0:v>705</ns0:v>
      </ns0:c>
      <ns0:c r="AH709" s="4">
        <ns0:f>IF(Z709&lt;0,A709,0)</ns0:f>
        <ns0:v>0</ns0:v>
      </ns0:c>
      <ns0:c r="AI709" s="12">
        <ns0:f>IF(AND(OR('前提と出典'!$C$36+'前提と出典'!$C$38=0,X709&gt;=0),OR('前提と出典'!$C$37+'前提と出典'!$C$38=0,Y709&gt;=0)),0,A709)</ns0:f>
        <ns0:v>0</ns0:v>
      </ns0:c>
    </ns0:row>
    <ns0:row r="710" ht="24" customHeight="1">
      <ns0:c r="A710" s="4" t="n">
        <ns0:v>706</ns0:v>
      </ns0:c>
      <ns0:c r="B710" s="12">
        <ns0:f>A710*('前提と出典'!$C$36+'前提と出典'!$C$38)</ns0:f>
        <ns0:v>494.2</ns0:v>
      </ns0:c>
      <ns0:c r="C710" s="12">
        <ns0:f>A710*('前提と出典'!$C$37+'前提と出典'!$C$38)</ns0:f>
        <ns0:v>423.59999999999997</ns0:v>
      </ns0:c>
      <ns0:c r="D710" s="16">
        <ns0:f>A710*('前提と出典'!$C$36*'契約別単価'!C5+'前提と出典'!$C$37*'契約別単価'!C6+'前提と出典'!$C$38*'契約別単価'!C7)</ns0:f>
        <ns0:v>5080.0446927374305</ns0:v>
      </ns0:c>
      <ns0:c r="E710" s="16">
        <ns0:f>A710*('前提と出典'!$C$36*'契約別単価'!E5+'前提と出典'!$C$37*'契約別単価'!E6+'前提と出典'!$C$38*'契約別単価'!E7)</ns0:f>
        <ns0:v>1774794.2838080847</ns0:v>
      </ns0:c>
      <ns0:c r="F710" s="16">
        <ns0:f>A710*('前提と出典'!$C$36*'契約別単価'!F5+'前提と出典'!$C$37*'契約別単価'!F6+'前提と出典'!$C$38*'契約別単価'!F7)</ns0:f>
        <ns0:v>515709.85251599347</ns0:v>
      </ns0:c>
      <ns0:c r="G710" s="16">
        <ns0:f>A710*('前提と出典'!$C$36*'契約別単価'!G5+'前提と出典'!$C$37*'契約別単価'!G6+'前提と出典'!$C$38*'契約別単価'!G7)</ns0:f>
        <ns0:v>1405294.972067039</ns0:v>
      </ns0:c>
      <ns0:c r="H710" s="16">
        <ns0:f>A710*('前提と出典'!$C$36*'契約別単価'!H5+'前提と出典'!$C$37*'契約別単価'!H6+'前提と出典'!$C$38*'契約別単価'!H7)</ns0:f>
        <ns0:v>487707.83638864703</ns0:v>
      </ns0:c>
      <ns0:c r="I710" s="16">
        <ns0:f>A710*('前提と出典'!$C$36*'契約別単価'!I5+'前提と出典'!$C$37*'契約別単価'!I6+'前提と出典'!$C$38*'契約別単価'!I7)</ns0:f>
        <ns0:v>29790.044692737425</ns0:v>
      </ns0:c>
      <ns0:c r="J710" s="16">
        <ns0:f>A710*('前提と出典'!$C$36*'契約別単価'!J5+'前提と出典'!$C$37*'契約別単価'!J6+'前提と出典'!$C$38*'契約別単価'!J7)</ns0:f>
        <ns0:v>69392.41785947361</ns0:v>
      </ns0:c>
      <ns0:c r="K710" s="16">
        <ns0:f>A710*('前提と出典'!$C$36*'契約別単価'!K5+'前提と出典'!$C$37*'契約別単価'!K6+'前提と出典'!$C$38*'契約別単価'!K7)</ns0:f>
        <ns0:v>297440.2979515828</ns0:v>
      </ns0:c>
      <ns0:c r="L710" s="16">
        <ns0:f>A710*('前提と出典'!$C$36*'契約別単価'!L5+'前提と出典'!$C$37*'契約別単価'!L6+'前提と出典'!$C$38*'契約別単価'!L7)</ns0:f>
        <ns0:v>242176.92787962157</ns0:v>
      </ns0:c>
      <ns0:c r="M710" s="16">
        <ns0:f>IF(('前提と出典'!$C$36+'前提と出典'!$C$38)=0,0,IF(B710&lt;=10,'前提と出典'!B73+'前提と出典'!C73,IF(B710&lt;=100,'前提と出典'!B74+'前提と出典'!C74,IF(B710&lt;=500,'前提と出典'!B75+'前提と出典'!C75,'前提と出典'!B76+'前提と出典'!C76))))</ns0:f>
        <ns0:v>40000</ns0:v>
      </ns0:c>
      <ns0:c r="N710" s="16">
        <ns0:f>IF(('前提と出典'!$C$37+'前提と出典'!$C$38)=0,0,IF(C710&lt;=10,'前提と出典'!D73+'前提と出典'!E73,IF(C710&lt;=100,'前提と出典'!D74+'前提と出典'!E74,IF(C710&lt;=500,'前提と出典'!D75+'前提と出典'!E75,'前提と出典'!D76+'前提と出典'!E76))))</ns0:f>
        <ns0:v>56510.9346263078</ns0:v>
      </ns0:c>
      <ns0:c r="O710" s="16">
        <ns0:f>IF('前提と出典'!$C$36+'前提と出典'!$C$38=0,0,'前提と出典'!$B$4*IF('前提と出典'!$B$20=0,MAX('前提と出典'!$B$6,D710*'前提と出典'!$B$5),'前提と出典'!$B$6+D710*'前提と出典'!$B$5))</ns0:f>
        <ns0:v>701046.1675977655</ns0:v>
      </ns0:c>
      <ns0:c r="P710" s="16">
        <ns0:f>(E710+G710)*(1-'前提と出典'!$B$7)-I710-K710-M710-O710</ns0:f>
        <ns0:v>1997329.5324215335</ns0:v>
      </ns0:c>
      <ns0:c r="Q710" s="16">
        <ns0:f>(F710+H710)*(1-'前提と出典'!$B$7)-J710-L710-N710</ns0:f>
        <ns0:v>599214.3717386705</ns0:v>
      </ns0:c>
      <ns0:c r="R710" s="16">
        <ns0:f>P710-E710*'前提と出典'!$E$4</ns0:f>
        <ns0:v>1464891.247279108</ns0:v>
      </ns0:c>
      <ns0:c r="S710" s="16">
        <ns0:f>Q710-F710*'前提と出典'!$E$4</ns0:f>
        <ns0:v>444501.41598387243</ns0:v>
      </ns0:c>
      <ns0:c r="T710" s="7">
        <ns0:f>R710+S710</ns0:f>
        <ns0:v>1909392.6632629805</ns0:v>
      </ns0:c>
      <ns0:c r="U710" s="16">
        <ns0:f>P710-E710*'前提と出典'!$E$5</ns0:f>
        <ns0:v>1287411.8188982997</ns0:v>
      </ns0:c>
      <ns0:c r="V710" s="16">
        <ns0:f>Q710-F710*'前提と出典'!$E$5</ns0:f>
        <ns0:v>392930.4307322731</ns0:v>
      </ns0:c>
      <ns0:c r="W710" s="7">
        <ns0:f>U710+V710</ns0:f>
        <ns0:v>1680342.2496305727</ns0:v>
      </ns0:c>
      <ns0:c r="X710" s="16">
        <ns0:f>P710-E710*'前提と出典'!$E$6</ns0:f>
        <ns0:v>1109932.3905174914</ns0:v>
      </ns0:c>
      <ns0:c r="Y710" s="16">
        <ns0:f>Q710-F710*'前提と出典'!$E$6</ns0:f>
        <ns0:v>341359.44548067375</ns0:v>
      </ns0:c>
      <ns0:c r="Z710" s="7">
        <ns0:f>X710+Y710</ns0:f>
        <ns0:v>1451291.8359981652</ns0:v>
      </ns0:c>
      <ns0:c r="AA710" s="7">
        <ns0:f>IF(T710&gt;=0,A710,1001)</ns0:f>
        <ns0:v>706</ns0:v>
      </ns0:c>
      <ns0:c r="AB710" s="7">
        <ns0:f>IF(T710&lt;0,A710,0)</ns0:f>
        <ns0:v>0</ns0:v>
      </ns0:c>
      <ns0:c r="AC710" s="16">
        <ns0:f>IF(AND(OR('前提と出典'!$C$36+'前提と出典'!$C$38=0,R710&gt;=0),OR('前提と出典'!$C$37+'前提と出典'!$C$38=0,S710&gt;=0)),0,A710)</ns0:f>
        <ns0:v>0</ns0:v>
      </ns0:c>
      <ns0:c r="AD710" s="7">
        <ns0:f>IF(W710&gt;=0,A710,1001)</ns0:f>
        <ns0:v>706</ns0:v>
      </ns0:c>
      <ns0:c r="AE710" s="7">
        <ns0:f>IF(W710&lt;0,A710,0)</ns0:f>
        <ns0:v>0</ns0:v>
      </ns0:c>
      <ns0:c r="AF710" s="16">
        <ns0:f>IF(AND(OR('前提と出典'!$C$36+'前提と出典'!$C$38=0,U710&gt;=0),OR('前提と出典'!$C$37+'前提と出典'!$C$38=0,V710&gt;=0)),0,A710)</ns0:f>
        <ns0:v>0</ns0:v>
      </ns0:c>
      <ns0:c r="AG710" s="7">
        <ns0:f>IF(Z710&gt;=0,A710,1001)</ns0:f>
        <ns0:v>706</ns0:v>
      </ns0:c>
      <ns0:c r="AH710" s="4">
        <ns0:f>IF(Z710&lt;0,A710,0)</ns0:f>
        <ns0:v>0</ns0:v>
      </ns0:c>
      <ns0:c r="AI710" s="12">
        <ns0:f>IF(AND(OR('前提と出典'!$C$36+'前提と出典'!$C$38=0,X710&gt;=0),OR('前提と出典'!$C$37+'前提と出典'!$C$38=0,Y710&gt;=0)),0,A710)</ns0:f>
        <ns0:v>0</ns0:v>
      </ns0:c>
    </ns0:row>
    <ns0:row r="711" ht="24" customHeight="1">
      <ns0:c r="A711" s="4" t="n">
        <ns0:v>707</ns0:v>
      </ns0:c>
      <ns0:c r="B711" s="12">
        <ns0:f>A711*('前提と出典'!$C$36+'前提と出典'!$C$38)</ns0:f>
        <ns0:v>494.9</ns0:v>
      </ns0:c>
      <ns0:c r="C711" s="12">
        <ns0:f>A711*('前提と出典'!$C$37+'前提と出典'!$C$38)</ns0:f>
        <ns0:v>424.2</ns0:v>
      </ns0:c>
      <ns0:c r="D711" s="16">
        <ns0:f>A711*('前提と出典'!$C$36*'契約別単価'!C5+'前提と出典'!$C$37*'契約別単価'!C6+'前提と出典'!$C$38*'契約別単価'!C7)</ns0:f>
        <ns0:v>5087.2402234636875</ns0:v>
      </ns0:c>
      <ns0:c r="E711" s="16">
        <ns0:f>A711*('前提と出典'!$C$36*'契約別単価'!E5+'前提と出典'!$C$37*'契約別単価'!E6+'前提と出典'!$C$38*'契約別単価'!E7)</ns0:f>
        <ns0:v>1777308.1567313257</ns0:v>
      </ns0:c>
      <ns0:c r="F711" s="16">
        <ns0:f>A711*('前提と出典'!$C$36*'契約別単価'!F5+'前提と出典'!$C$37*'契約別単価'!F6+'前提と出典'!$C$38*'契約別単価'!F7)</ns0:f>
        <ns0:v>516440.3197291889</ns0:v>
      </ns0:c>
      <ns0:c r="G711" s="16">
        <ns0:f>A711*('前提と出典'!$C$36*'契約別単価'!G5+'前提と出典'!$C$37*'契約別単価'!G6+'前提と出典'!$C$38*'契約別単価'!G7)</ns0:f>
        <ns0:v>1407285.4748603352</ns0:v>
      </ns0:c>
      <ns0:c r="H711" s="16">
        <ns0:f>A711*('前提と出典'!$C$36*'契約別単価'!H5+'前提と出典'!$C$37*'契約別単価'!H6+'前提と出典'!$C$38*'契約別単価'!H7)</ns0:f>
        <ns0:v>488398.6406894808</ns0:v>
      </ns0:c>
      <ns0:c r="I711" s="16">
        <ns0:f>A711*('前提と出典'!$C$36*'契約別単価'!I5+'前提と出典'!$C$37*'契約別単価'!I6+'前提と出典'!$C$38*'契約別単価'!I7)</ns0:f>
        <ns0:v>29832.240223463683</ns0:v>
      </ns0:c>
      <ns0:c r="J711" s="16">
        <ns0:f>A711*('前提と出典'!$C$36*'契約別単価'!J5+'前提と出典'!$C$37*'契約別単価'!J6+'前提と出典'!$C$38*'契約別単価'!J7)</ns0:f>
        <ns0:v>69490.70740318391</ns0:v>
      </ns0:c>
      <ns0:c r="K711" s="16">
        <ns0:f>A711*('前提と出典'!$C$36*'契約別単価'!K5+'前提と出典'!$C$37*'契約別単価'!K6+'前提と出典'!$C$38*'契約別単価'!K7)</ns0:f>
        <ns0:v>297861.6014897579</ns0:v>
      </ns0:c>
      <ns0:c r="L711" s="16">
        <ns0:f>A711*('前提と出典'!$C$36*'契約別単価'!L5+'前提と出典'!$C$37*'契約別単価'!L6+'前提と出典'!$C$38*'契約別単価'!L7)</ns0:f>
        <ns0:v>242519.95468964934</ns0:v>
      </ns0:c>
      <ns0:c r="M711" s="16">
        <ns0:f>IF(('前提と出典'!$C$36+'前提と出典'!$C$38)=0,0,IF(B711&lt;=10,'前提と出典'!B73+'前提と出典'!C73,IF(B711&lt;=100,'前提と出典'!B74+'前提と出典'!C74,IF(B711&lt;=500,'前提と出典'!B75+'前提と出典'!C75,'前提と出典'!B76+'前提と出典'!C76))))</ns0:f>
        <ns0:v>40000</ns0:v>
      </ns0:c>
      <ns0:c r="N711" s="16">
        <ns0:f>IF(('前提と出典'!$C$37+'前提と出典'!$C$38)=0,0,IF(C711&lt;=10,'前提と出典'!D73+'前提と出典'!E73,IF(C711&lt;=100,'前提と出典'!D74+'前提と出典'!E74,IF(C711&lt;=500,'前提と出典'!D75+'前提と出典'!E75,'前提と出典'!D76+'前提と出典'!E76))))</ns0:f>
        <ns0:v>56510.9346263078</ns0:v>
      </ns0:c>
      <ns0:c r="O711" s="16">
        <ns0:f>IF('前提と出典'!$C$36+'前提と出典'!$C$38=0,0,'前提と出典'!$B$4*IF('前提と出典'!$B$20=0,MAX('前提と出典'!$B$6,D711*'前提と出典'!$B$5),'前提と出典'!$B$6+D711*'前提と出典'!$B$5))</ns0:f>
        <ns0:v>702039.1508379888</ns0:v>
      </ns0:c>
      <ns0:c r="P711" s="16">
        <ns0:f>(E711+G711)*(1-'前提と出典'!$B$7)-I711-K711-M711-O711</ns0:f>
        <ns0:v>2000215.2683031508</ns0:v>
      </ns0:c>
      <ns0:c r="Q711" s="16">
        <ns0:f>(F711+H711)*(1-'前提と出典'!$B$7)-J711-L711-N711</ns0:f>
        <ns0:v>600143.1611244567</ns0:v>
      </ns0:c>
      <ns0:c r="R711" s="16">
        <ns0:f>P711-E711*'前提と出典'!$E$4</ns0:f>
        <ns0:v>1467022.8212837528</ns0:v>
      </ns0:c>
      <ns0:c r="S711" s="16">
        <ns0:f>Q711-F711*'前提と出典'!$E$4</ns0:f>
        <ns0:v>445211.06520569994</ns0:v>
      </ns0:c>
      <ns0:c r="T711" s="7">
        <ns0:f>R711+S711</ns0:f>
        <ns0:v>1912233.8864894528</ns0:v>
      </ns0:c>
      <ns0:c r="U711" s="16">
        <ns0:f>P711-E711*'前提と出典'!$E$5</ns0:f>
        <ns0:v>1289292.0056106206</ns0:v>
      </ns0:c>
      <ns0:c r="V711" s="16">
        <ns0:f>Q711-F711*'前提と出典'!$E$5</ns0:f>
        <ns0:v>393567.03323278105</ns0:v>
      </ns0:c>
      <ns0:c r="W711" s="7">
        <ns0:f>U711+V711</ns0:f>
        <ns0:v>1682859.0388434017</ns0:v>
      </ns0:c>
      <ns0:c r="X711" s="16">
        <ns0:f>P711-E711*'前提と出典'!$E$6</ns0:f>
        <ns0:v>1111561.1899374877</ns0:v>
      </ns0:c>
      <ns0:c r="Y711" s="16">
        <ns0:f>Q711-F711*'前提と出典'!$E$6</ns0:f>
        <ns0:v>341923.00125986215</ns0:v>
      </ns0:c>
      <ns0:c r="Z711" s="7">
        <ns0:f>X711+Y711</ns0:f>
        <ns0:v>1453484.19119735</ns0:v>
      </ns0:c>
      <ns0:c r="AA711" s="7">
        <ns0:f>IF(T711&gt;=0,A711,1001)</ns0:f>
        <ns0:v>707</ns0:v>
      </ns0:c>
      <ns0:c r="AB711" s="7">
        <ns0:f>IF(T711&lt;0,A711,0)</ns0:f>
        <ns0:v>0</ns0:v>
      </ns0:c>
      <ns0:c r="AC711" s="16">
        <ns0:f>IF(AND(OR('前提と出典'!$C$36+'前提と出典'!$C$38=0,R711&gt;=0),OR('前提と出典'!$C$37+'前提と出典'!$C$38=0,S711&gt;=0)),0,A711)</ns0:f>
        <ns0:v>0</ns0:v>
      </ns0:c>
      <ns0:c r="AD711" s="7">
        <ns0:f>IF(W711&gt;=0,A711,1001)</ns0:f>
        <ns0:v>707</ns0:v>
      </ns0:c>
      <ns0:c r="AE711" s="7">
        <ns0:f>IF(W711&lt;0,A711,0)</ns0:f>
        <ns0:v>0</ns0:v>
      </ns0:c>
      <ns0:c r="AF711" s="16">
        <ns0:f>IF(AND(OR('前提と出典'!$C$36+'前提と出典'!$C$38=0,U711&gt;=0),OR('前提と出典'!$C$37+'前提と出典'!$C$38=0,V711&gt;=0)),0,A711)</ns0:f>
        <ns0:v>0</ns0:v>
      </ns0:c>
      <ns0:c r="AG711" s="7">
        <ns0:f>IF(Z711&gt;=0,A711,1001)</ns0:f>
        <ns0:v>707</ns0:v>
      </ns0:c>
      <ns0:c r="AH711" s="4">
        <ns0:f>IF(Z711&lt;0,A711,0)</ns0:f>
        <ns0:v>0</ns0:v>
      </ns0:c>
      <ns0:c r="AI711" s="12">
        <ns0:f>IF(AND(OR('前提と出典'!$C$36+'前提と出典'!$C$38=0,X711&gt;=0),OR('前提と出典'!$C$37+'前提と出典'!$C$38=0,Y711&gt;=0)),0,A711)</ns0:f>
        <ns0:v>0</ns0:v>
      </ns0:c>
    </ns0:row>
    <ns0:row r="712" ht="24" customHeight="1">
      <ns0:c r="A712" s="4" t="n">
        <ns0:v>708</ns0:v>
      </ns0:c>
      <ns0:c r="B712" s="12">
        <ns0:f>A712*('前提と出典'!$C$36+'前提と出典'!$C$38)</ns0:f>
        <ns0:v>495.59999999999997</ns0:v>
      </ns0:c>
      <ns0:c r="C712" s="12">
        <ns0:f>A712*('前提と出典'!$C$37+'前提と出典'!$C$38)</ns0:f>
        <ns0:v>424.8</ns0:v>
      </ns0:c>
      <ns0:c r="D712" s="16">
        <ns0:f>A712*('前提と出典'!$C$36*'契約別単価'!C5+'前提と出典'!$C$37*'契約別単価'!C6+'前提と出典'!$C$38*'契約別単価'!C7)</ns0:f>
        <ns0:v>5094.435754189944</ns0:v>
      </ns0:c>
      <ns0:c r="E712" s="16">
        <ns0:f>A712*('前提と出典'!$C$36*'契約別単価'!E5+'前提と出典'!$C$37*'契約別単価'!E6+'前提と出典'!$C$38*'契約別単価'!E7)</ns0:f>
        <ns0:v>1779822.0296545667</ns0:v>
      </ns0:c>
      <ns0:c r="F712" s="16">
        <ns0:f>A712*('前提と出典'!$C$36*'契約別単価'!F5+'前提と出典'!$C$37*'契約別単価'!F6+'前提と出典'!$C$38*'契約別単価'!F7)</ns0:f>
        <ns0:v>517170.7869423844</ns0:v>
      </ns0:c>
      <ns0:c r="G712" s="16">
        <ns0:f>A712*('前提と出典'!$C$36*'契約別単価'!G5+'前提と出典'!$C$37*'契約別単価'!G6+'前提と出典'!$C$38*'契約別単価'!G7)</ns0:f>
        <ns0:v>1409275.9776536312</ns0:v>
      </ns0:c>
      <ns0:c r="H712" s="16">
        <ns0:f>A712*('前提と出典'!$C$36*'契約別単価'!H5+'前提と出典'!$C$37*'契約別単価'!H6+'前提と出典'!$C$38*'契約別単価'!H7)</ns0:f>
        <ns0:v>489089.4449903146</ns0:v>
      </ns0:c>
      <ns0:c r="I712" s="16">
        <ns0:f>A712*('前提と出典'!$C$36*'契約別単価'!I5+'前提と出典'!$C$37*'契約別単価'!I6+'前提と出典'!$C$38*'契約別単価'!I7)</ns0:f>
        <ns0:v>29874.43575418994</ns0:v>
      </ns0:c>
      <ns0:c r="J712" s="16">
        <ns0:f>A712*('前提と出典'!$C$36*'契約別単価'!J5+'前提と出典'!$C$37*'契約別単価'!J6+'前提と出典'!$C$38*'契約別単価'!J7)</ns0:f>
        <ns0:v>69588.99694689421</ns0:v>
      </ns0:c>
      <ns0:c r="K712" s="16">
        <ns0:f>A712*('前提と出典'!$C$36*'契約別単価'!K5+'前提と出典'!$C$37*'契約別単価'!K6+'前提と出典'!$C$38*'契約別単価'!K7)</ns0:f>
        <ns0:v>298282.90502793295</ns0:v>
      </ns0:c>
      <ns0:c r="L712" s="16">
        <ns0:f>A712*('前提と出典'!$C$36*'契約別単価'!L5+'前提と出典'!$C$37*'契約別単価'!L6+'前提と出典'!$C$38*'契約別単価'!L7)</ns0:f>
        <ns0:v>242862.98149967715</ns0:v>
      </ns0:c>
      <ns0:c r="M712" s="16">
        <ns0:f>IF(('前提と出典'!$C$36+'前提と出典'!$C$38)=0,0,IF(B712&lt;=10,'前提と出典'!B73+'前提と出典'!C73,IF(B712&lt;=100,'前提と出典'!B74+'前提と出典'!C74,IF(B712&lt;=500,'前提と出典'!B75+'前提と出典'!C75,'前提と出典'!B76+'前提と出典'!C76))))</ns0:f>
        <ns0:v>40000</ns0:v>
      </ns0:c>
      <ns0:c r="N712" s="16">
        <ns0:f>IF(('前提と出典'!$C$37+'前提と出典'!$C$38)=0,0,IF(C712&lt;=10,'前提と出典'!D73+'前提と出典'!E73,IF(C712&lt;=100,'前提と出典'!D74+'前提と出典'!E74,IF(C712&lt;=500,'前提と出典'!D75+'前提と出典'!E75,'前提と出典'!D76+'前提と出典'!E76))))</ns0:f>
        <ns0:v>56510.9346263078</ns0:v>
      </ns0:c>
      <ns0:c r="O712" s="16">
        <ns0:f>IF('前提と出典'!$C$36+'前提と出典'!$C$38=0,0,'前提と出典'!$B$4*IF('前提と出典'!$B$20=0,MAX('前提と出典'!$B$6,D712*'前提と出典'!$B$5),'前提と出典'!$B$6+D712*'前提と出典'!$B$5))</ns0:f>
        <ns0:v>703032.1340782123</ns0:v>
      </ns0:c>
      <ns0:c r="P712" s="16">
        <ns0:f>(E712+G712)*(1-'前提と出典'!$B$7)-I712-K712-M712-O712</ns0:f>
        <ns0:v>2003101.004184768</ns0:v>
      </ns0:c>
      <ns0:c r="Q712" s="16">
        <ns0:f>(F712+H712)*(1-'前提と出典'!$B$7)-J712-L712-N712</ns0:f>
        <ns0:v>601071.9505102426</ns0:v>
      </ns0:c>
      <ns0:c r="R712" s="16">
        <ns0:f>P712-E712*'前提と出典'!$E$4</ns0:f>
        <ns0:v>1469154.3952883978</ns0:v>
      </ns0:c>
      <ns0:c r="S712" s="16">
        <ns0:f>Q712-F712*'前提と出典'!$E$4</ns0:f>
        <ns0:v>445920.7144275273</ns0:v>
      </ns0:c>
      <ns0:c r="T712" s="7">
        <ns0:f>R712+S712</ns0:f>
        <ns0:v>1915075.109715925</ns0:v>
      </ns0:c>
      <ns0:c r="U712" s="16">
        <ns0:f>P712-E712*'前提と出典'!$E$5</ns0:f>
        <ns0:v>1291172.1923229413</ns0:v>
      </ns0:c>
      <ns0:c r="V712" s="16">
        <ns0:f>Q712-F712*'前提と出典'!$E$5</ns0:f>
        <ns0:v>394203.63573328883</ns0:v>
      </ns0:c>
      <ns0:c r="W712" s="7">
        <ns0:f>U712+V712</ns0:f>
        <ns0:v>1685375.8280562302</ns0:v>
      </ns0:c>
      <ns0:c r="X712" s="16">
        <ns0:f>P712-E712*'前提と出典'!$E$6</ns0:f>
        <ns0:v>1113189.9893574847</ns0:v>
      </ns0:c>
      <ns0:c r="Y712" s="16">
        <ns0:f>Q712-F712*'前提と出典'!$E$6</ns0:f>
        <ns0:v>342486.5570390504</ns0:v>
      </ns0:c>
      <ns0:c r="Z712" s="7">
        <ns0:f>X712+Y712</ns0:f>
        <ns0:v>1455676.5463965351</ns0:v>
      </ns0:c>
      <ns0:c r="AA712" s="7">
        <ns0:f>IF(T712&gt;=0,A712,1001)</ns0:f>
        <ns0:v>708</ns0:v>
      </ns0:c>
      <ns0:c r="AB712" s="7">
        <ns0:f>IF(T712&lt;0,A712,0)</ns0:f>
        <ns0:v>0</ns0:v>
      </ns0:c>
      <ns0:c r="AC712" s="16">
        <ns0:f>IF(AND(OR('前提と出典'!$C$36+'前提と出典'!$C$38=0,R712&gt;=0),OR('前提と出典'!$C$37+'前提と出典'!$C$38=0,S712&gt;=0)),0,A712)</ns0:f>
        <ns0:v>0</ns0:v>
      </ns0:c>
      <ns0:c r="AD712" s="7">
        <ns0:f>IF(W712&gt;=0,A712,1001)</ns0:f>
        <ns0:v>708</ns0:v>
      </ns0:c>
      <ns0:c r="AE712" s="7">
        <ns0:f>IF(W712&lt;0,A712,0)</ns0:f>
        <ns0:v>0</ns0:v>
      </ns0:c>
      <ns0:c r="AF712" s="16">
        <ns0:f>IF(AND(OR('前提と出典'!$C$36+'前提と出典'!$C$38=0,U712&gt;=0),OR('前提と出典'!$C$37+'前提と出典'!$C$38=0,V712&gt;=0)),0,A712)</ns0:f>
        <ns0:v>0</ns0:v>
      </ns0:c>
      <ns0:c r="AG712" s="7">
        <ns0:f>IF(Z712&gt;=0,A712,1001)</ns0:f>
        <ns0:v>708</ns0:v>
      </ns0:c>
      <ns0:c r="AH712" s="4">
        <ns0:f>IF(Z712&lt;0,A712,0)</ns0:f>
        <ns0:v>0</ns0:v>
      </ns0:c>
      <ns0:c r="AI712" s="12">
        <ns0:f>IF(AND(OR('前提と出典'!$C$36+'前提と出典'!$C$38=0,X712&gt;=0),OR('前提と出典'!$C$37+'前提と出典'!$C$38=0,Y712&gt;=0)),0,A712)</ns0:f>
        <ns0:v>0</ns0:v>
      </ns0:c>
    </ns0:row>
    <ns0:row r="713" ht="24" customHeight="1">
      <ns0:c r="A713" s="4" t="n">
        <ns0:v>709</ns0:v>
      </ns0:c>
      <ns0:c r="B713" s="12">
        <ns0:f>A713*('前提と出典'!$C$36+'前提と出典'!$C$38)</ns0:f>
        <ns0:v>496.29999999999995</ns0:v>
      </ns0:c>
      <ns0:c r="C713" s="12">
        <ns0:f>A713*('前提と出典'!$C$37+'前提と出典'!$C$38)</ns0:f>
        <ns0:v>425.4</ns0:v>
      </ns0:c>
      <ns0:c r="D713" s="16">
        <ns0:f>A713*('前提と出典'!$C$36*'契約別単価'!C5+'前提と出典'!$C$37*'契約別単価'!C6+'前提と出典'!$C$38*'契約別単価'!C7)</ns0:f>
        <ns0:v>5101.631284916201</ns0:v>
      </ns0:c>
      <ns0:c r="E713" s="16">
        <ns0:f>A713*('前提と出典'!$C$36*'契約別単価'!E5+'前提と出典'!$C$37*'契約別単価'!E6+'前提と出典'!$C$38*'契約別単価'!E7)</ns0:f>
        <ns0:v>1782335.9025778074</ns0:v>
      </ns0:c>
      <ns0:c r="F713" s="16">
        <ns0:f>A713*('前提と出典'!$C$36*'契約別単価'!F5+'前提と出典'!$C$37*'契約別単価'!F6+'前提と出典'!$C$38*'契約別単価'!F7)</ns0:f>
        <ns0:v>517901.25415557984</ns0:v>
      </ns0:c>
      <ns0:c r="G713" s="16">
        <ns0:f>A713*('前提と出典'!$C$36*'契約別単価'!G5+'前提と出典'!$C$37*'契約別単価'!G6+'前提と出典'!$C$38*'契約別単価'!G7)</ns0:f>
        <ns0:v>1411266.4804469272</ns0:v>
      </ns0:c>
      <ns0:c r="H713" s="16">
        <ns0:f>A713*('前提と出典'!$C$36*'契約別単価'!H5+'前提と出典'!$C$37*'契約別単価'!H6+'前提と出典'!$C$38*'契約別単価'!H7)</ns0:f>
        <ns0:v>489780.2492911484</ns0:v>
      </ns0:c>
      <ns0:c r="I713" s="16">
        <ns0:f>A713*('前提と出典'!$C$36*'契約別単価'!I5+'前提と出典'!$C$37*'契約別単価'!I6+'前提と出典'!$C$38*'契約別単価'!I7)</ns0:f>
        <ns0:v>29916.631284916195</ns0:v>
      </ns0:c>
      <ns0:c r="J713" s="16">
        <ns0:f>A713*('前提と出典'!$C$36*'契約別単価'!J5+'前提と出典'!$C$37*'契約別単価'!J6+'前提と出典'!$C$38*'契約別単価'!J7)</ns0:f>
        <ns0:v>69687.28649060451</ns0:v>
      </ns0:c>
      <ns0:c r="K713" s="16">
        <ns0:f>A713*('前提と出典'!$C$36*'契約別単価'!K5+'前提と出典'!$C$37*'契約別単価'!K6+'前提と出典'!$C$38*'契約別単価'!K7)</ns0:f>
        <ns0:v>298704.20856610796</ns0:v>
      </ns0:c>
      <ns0:c r="L713" s="16">
        <ns0:f>A713*('前提と出典'!$C$36*'契約別単価'!L5+'前提と出典'!$C$37*'契約別単価'!L6+'前提と出典'!$C$38*'契約別単価'!L7)</ns0:f>
        <ns0:v>243206.00830970495</ns0:v>
      </ns0:c>
      <ns0:c r="M713" s="16">
        <ns0:f>IF(('前提と出典'!$C$36+'前提と出典'!$C$38)=0,0,IF(B713&lt;=10,'前提と出典'!B73+'前提と出典'!C73,IF(B713&lt;=100,'前提と出典'!B74+'前提と出典'!C74,IF(B713&lt;=500,'前提と出典'!B75+'前提と出典'!C75,'前提と出典'!B76+'前提と出典'!C76))))</ns0:f>
        <ns0:v>40000</ns0:v>
      </ns0:c>
      <ns0:c r="N713" s="16">
        <ns0:f>IF(('前提と出典'!$C$37+'前提と出典'!$C$38)=0,0,IF(C713&lt;=10,'前提と出典'!D73+'前提と出典'!E73,IF(C713&lt;=100,'前提と出典'!D74+'前提と出典'!E74,IF(C713&lt;=500,'前提と出典'!D75+'前提と出典'!E75,'前提と出典'!D76+'前提と出典'!E76))))</ns0:f>
        <ns0:v>56510.9346263078</ns0:v>
      </ns0:c>
      <ns0:c r="O713" s="16">
        <ns0:f>IF('前提と出典'!$C$36+'前提と出典'!$C$38=0,0,'前提と出典'!$B$4*IF('前提と出典'!$B$20=0,MAX('前提と出典'!$B$6,D713*'前提と出典'!$B$5),'前提と出典'!$B$6+D713*'前提と出典'!$B$5))</ns0:f>
        <ns0:v>704025.1173184358</ns0:v>
      </ns0:c>
      <ns0:c r="P713" s="16">
        <ns0:f>(E713+G713)*(1-'前提と出典'!$B$7)-I713-K713-M713-O713</ns0:f>
        <ns0:v>2005986.740066384</ns0:v>
      </ns0:c>
      <ns0:c r="Q713" s="16">
        <ns0:f>(F713+H713)*(1-'前提と出典'!$B$7)-J713-L713-N713</ns0:f>
        <ns0:v>602000.7398960288</ns0:v>
      </ns0:c>
      <ns0:c r="R713" s="16">
        <ns0:f>P713-E713*'前提と出典'!$E$4</ns0:f>
        <ns0:v>1471285.9692930419</ns0:v>
      </ns0:c>
      <ns0:c r="S713" s="16">
        <ns0:f>Q713-F713*'前提と出典'!$E$4</ns0:f>
        <ns0:v>446630.3636493548</ns0:v>
      </ns0:c>
      <ns0:c r="T713" s="7">
        <ns0:f>R713+S713</ns0:f>
        <ns0:v>1917916.3329423966</ns0:v>
      </ns0:c>
      <ns0:c r="U713" s="16">
        <ns0:f>P713-E713*'前提と出典'!$E$5</ns0:f>
        <ns0:v>1293052.379035261</ns0:v>
      </ns0:c>
      <ns0:c r="V713" s="16">
        <ns0:f>Q713-F713*'前提と出典'!$E$5</ns0:f>
        <ns0:v>394840.2382337968</ns0:v>
      </ns0:c>
      <ns0:c r="W713" s="7">
        <ns0:f>U713+V713</ns0:f>
        <ns0:v>1687892.6172690578</ns0:v>
      </ns0:c>
      <ns0:c r="X713" s="16">
        <ns0:f>P713-E713*'前提と出典'!$E$6</ns0:f>
        <ns0:v>1114818.7887774804</ns0:v>
      </ns0:c>
      <ns0:c r="Y713" s="16">
        <ns0:f>Q713-F713*'前提と出典'!$E$6</ns0:f>
        <ns0:v>343050.1128182388</ns0:v>
      </ns0:c>
      <ns0:c r="Z713" s="7">
        <ns0:f>X713+Y713</ns0:f>
        <ns0:v>1457868.9015957192</ns0:v>
      </ns0:c>
      <ns0:c r="AA713" s="7">
        <ns0:f>IF(T713&gt;=0,A713,1001)</ns0:f>
        <ns0:v>709</ns0:v>
      </ns0:c>
      <ns0:c r="AB713" s="7">
        <ns0:f>IF(T713&lt;0,A713,0)</ns0:f>
        <ns0:v>0</ns0:v>
      </ns0:c>
      <ns0:c r="AC713" s="16">
        <ns0:f>IF(AND(OR('前提と出典'!$C$36+'前提と出典'!$C$38=0,R713&gt;=0),OR('前提と出典'!$C$37+'前提と出典'!$C$38=0,S713&gt;=0)),0,A713)</ns0:f>
        <ns0:v>0</ns0:v>
      </ns0:c>
      <ns0:c r="AD713" s="7">
        <ns0:f>IF(W713&gt;=0,A713,1001)</ns0:f>
        <ns0:v>709</ns0:v>
      </ns0:c>
      <ns0:c r="AE713" s="7">
        <ns0:f>IF(W713&lt;0,A713,0)</ns0:f>
        <ns0:v>0</ns0:v>
      </ns0:c>
      <ns0:c r="AF713" s="16">
        <ns0:f>IF(AND(OR('前提と出典'!$C$36+'前提と出典'!$C$38=0,U713&gt;=0),OR('前提と出典'!$C$37+'前提と出典'!$C$38=0,V713&gt;=0)),0,A713)</ns0:f>
        <ns0:v>0</ns0:v>
      </ns0:c>
      <ns0:c r="AG713" s="7">
        <ns0:f>IF(Z713&gt;=0,A713,1001)</ns0:f>
        <ns0:v>709</ns0:v>
      </ns0:c>
      <ns0:c r="AH713" s="4">
        <ns0:f>IF(Z713&lt;0,A713,0)</ns0:f>
        <ns0:v>0</ns0:v>
      </ns0:c>
      <ns0:c r="AI713" s="12">
        <ns0:f>IF(AND(OR('前提と出典'!$C$36+'前提と出典'!$C$38=0,X713&gt;=0),OR('前提と出典'!$C$37+'前提と出典'!$C$38=0,Y713&gt;=0)),0,A713)</ns0:f>
        <ns0:v>0</ns0:v>
      </ns0:c>
    </ns0:row>
    <ns0:row r="714" ht="24" customHeight="1">
      <ns0:c r="A714" s="4" t="n">
        <ns0:v>710</ns0:v>
      </ns0:c>
      <ns0:c r="B714" s="12">
        <ns0:f>A714*('前提と出典'!$C$36+'前提と出典'!$C$38)</ns0:f>
        <ns0:v>496.99999999999994</ns0:v>
      </ns0:c>
      <ns0:c r="C714" s="12">
        <ns0:f>A714*('前提と出典'!$C$37+'前提と出典'!$C$38)</ns0:f>
        <ns0:v>426</ns0:v>
      </ns0:c>
      <ns0:c r="D714" s="16">
        <ns0:f>A714*('前提と出典'!$C$36*'契約別単価'!C5+'前提と出典'!$C$37*'契約別単価'!C6+'前提と出典'!$C$38*'契約別単価'!C7)</ns0:f>
        <ns0:v>5108.826815642458</ns0:v>
      </ns0:c>
      <ns0:c r="E714" s="16">
        <ns0:f>A714*('前提と出典'!$C$36*'契約別単価'!E5+'前提と出典'!$C$37*'契約別単価'!E6+'前提と出典'!$C$38*'契約別単価'!E7)</ns0:f>
        <ns0:v>1784849.7755010484</ns0:v>
      </ns0:c>
      <ns0:c r="F714" s="16">
        <ns0:f>A714*('前提と出典'!$C$36*'契約別単価'!F5+'前提と出典'!$C$37*'契約別単価'!F6+'前提と出典'!$C$38*'契約別単価'!F7)</ns0:f>
        <ns0:v>518631.7213687753</ns0:v>
      </ns0:c>
      <ns0:c r="G714" s="16">
        <ns0:f>A714*('前提と出典'!$C$36*'契約別単価'!G5+'前提と出典'!$C$37*'契約別単価'!G6+'前提と出典'!$C$38*'契約別単価'!G7)</ns0:f>
        <ns0:v>1413256.9832402235</ns0:v>
      </ns0:c>
      <ns0:c r="H714" s="16">
        <ns0:f>A714*('前提と出典'!$C$36*'契約別単価'!H5+'前提と出典'!$C$37*'契約別単価'!H6+'前提と出典'!$C$38*'契約別単価'!H7)</ns0:f>
        <ns0:v>490471.05359198217</ns0:v>
      </ns0:c>
      <ns0:c r="I714" s="16">
        <ns0:f>A714*('前提と出典'!$C$36*'契約別単価'!I5+'前提と出典'!$C$37*'契約別単価'!I6+'前提と出典'!$C$38*'契約別単価'!I7)</ns0:f>
        <ns0:v>29958.826815642453</ns0:v>
      </ns0:c>
      <ns0:c r="J714" s="16">
        <ns0:f>A714*('前提と出典'!$C$36*'契約別単価'!J5+'前提と出典'!$C$37*'契約別単価'!J6+'前提と出典'!$C$38*'契約別単価'!J7)</ns0:f>
        <ns0:v>69785.57603431483</ns0:v>
      </ns0:c>
      <ns0:c r="K714" s="16">
        <ns0:f>A714*('前提と出典'!$C$36*'契約別単価'!K5+'前提と出典'!$C$37*'契約別単価'!K6+'前提と出典'!$C$38*'契約別単価'!K7)</ns0:f>
        <ns0:v>299125.512104283</ns0:v>
      </ns0:c>
      <ns0:c r="L714" s="16">
        <ns0:f>A714*('前提と出典'!$C$36*'契約別単価'!L5+'前提と出典'!$C$37*'契約別単価'!L6+'前提と出典'!$C$38*'契約別単価'!L7)</ns0:f>
        <ns0:v>243549.03511973273</ns0:v>
      </ns0:c>
      <ns0:c r="M714" s="16">
        <ns0:f>IF(('前提と出典'!$C$36+'前提と出典'!$C$38)=0,0,IF(B714&lt;=10,'前提と出典'!B73+'前提と出典'!C73,IF(B714&lt;=100,'前提と出典'!B74+'前提と出典'!C74,IF(B714&lt;=500,'前提と出典'!B75+'前提と出典'!C75,'前提と出典'!B76+'前提と出典'!C76))))</ns0:f>
        <ns0:v>40000</ns0:v>
      </ns0:c>
      <ns0:c r="N714" s="16">
        <ns0:f>IF(('前提と出典'!$C$37+'前提と出典'!$C$38)=0,0,IF(C714&lt;=10,'前提と出典'!D73+'前提と出典'!E73,IF(C714&lt;=100,'前提と出典'!D74+'前提と出典'!E74,IF(C714&lt;=500,'前提と出典'!D75+'前提と出典'!E75,'前提と出典'!D76+'前提と出典'!E76))))</ns0:f>
        <ns0:v>56510.9346263078</ns0:v>
      </ns0:c>
      <ns0:c r="O714" s="16">
        <ns0:f>IF('前提と出典'!$C$36+'前提と出典'!$C$38=0,0,'前提と出典'!$B$4*IF('前提と出典'!$B$20=0,MAX('前提と出典'!$B$6,D714*'前提と出典'!$B$5),'前提と出典'!$B$6+D714*'前提と出典'!$B$5))</ns0:f>
        <ns0:v>705018.1005586593</ns0:v>
      </ns0:c>
      <ns0:c r="P714" s="16">
        <ns0:f>(E714+G714)*(1-'前提と出典'!$B$7)-I714-K714-M714-O714</ns0:f>
        <ns0:v>2008872.475948001</ns0:v>
      </ns0:c>
      <ns0:c r="Q714" s="16">
        <ns0:f>(F714+H714)*(1-'前提と出典'!$B$7)-J714-L714-N714</ns0:f>
        <ns0:v>602929.5292818148</ns0:v>
      </ns0:c>
      <ns0:c r="R714" s="16">
        <ns0:f>P714-E714*'前提と出典'!$E$4</ns0:f>
        <ns0:v>1473417.5432976864</ns0:v>
      </ns0:c>
      <ns0:c r="S714" s="16">
        <ns0:f>Q714-F714*'前提と出典'!$E$4</ns0:f>
        <ns0:v>447340.0128711823</ns0:v>
      </ns0:c>
      <ns0:c r="T714" s="7">
        <ns0:f>R714+S714</ns0:f>
        <ns0:v>1920757.5561688687</ns0:v>
      </ns0:c>
      <ns0:c r="U714" s="16">
        <ns0:f>P714-E714*'前提と出典'!$E$5</ns0:f>
        <ns0:v>1294932.5657475817</ns0:v>
      </ns0:c>
      <ns0:c r="V714" s="16">
        <ns0:f>Q714-F714*'前提と出典'!$E$5</ns0:f>
        <ns0:v>395476.8407343046</ns0:v>
      </ns0:c>
      <ns0:c r="W714" s="7">
        <ns0:f>U714+V714</ns0:f>
        <ns0:v>1690409.4064818863</ns0:v>
      </ns0:c>
      <ns0:c r="X714" s="16">
        <ns0:f>P714-E714*'前提と出典'!$E$6</ns0:f>
        <ns0:v>1116447.588197477</ns0:v>
      </ns0:c>
      <ns0:c r="Y714" s="16">
        <ns0:f>Q714-F714*'前提と出典'!$E$6</ns0:f>
        <ns0:v>343613.6685974272</ns0:v>
      </ns0:c>
      <ns0:c r="Z714" s="7">
        <ns0:f>X714+Y714</ns0:f>
        <ns0:v>1460061.2567949041</ns0:v>
      </ns0:c>
      <ns0:c r="AA714" s="7">
        <ns0:f>IF(T714&gt;=0,A714,1001)</ns0:f>
        <ns0:v>710</ns0:v>
      </ns0:c>
      <ns0:c r="AB714" s="7">
        <ns0:f>IF(T714&lt;0,A714,0)</ns0:f>
        <ns0:v>0</ns0:v>
      </ns0:c>
      <ns0:c r="AC714" s="16">
        <ns0:f>IF(AND(OR('前提と出典'!$C$36+'前提と出典'!$C$38=0,R714&gt;=0),OR('前提と出典'!$C$37+'前提と出典'!$C$38=0,S714&gt;=0)),0,A714)</ns0:f>
        <ns0:v>0</ns0:v>
      </ns0:c>
      <ns0:c r="AD714" s="7">
        <ns0:f>IF(W714&gt;=0,A714,1001)</ns0:f>
        <ns0:v>710</ns0:v>
      </ns0:c>
      <ns0:c r="AE714" s="7">
        <ns0:f>IF(W714&lt;0,A714,0)</ns0:f>
        <ns0:v>0</ns0:v>
      </ns0:c>
      <ns0:c r="AF714" s="16">
        <ns0:f>IF(AND(OR('前提と出典'!$C$36+'前提と出典'!$C$38=0,U714&gt;=0),OR('前提と出典'!$C$37+'前提と出典'!$C$38=0,V714&gt;=0)),0,A714)</ns0:f>
        <ns0:v>0</ns0:v>
      </ns0:c>
      <ns0:c r="AG714" s="7">
        <ns0:f>IF(Z714&gt;=0,A714,1001)</ns0:f>
        <ns0:v>710</ns0:v>
      </ns0:c>
      <ns0:c r="AH714" s="4">
        <ns0:f>IF(Z714&lt;0,A714,0)</ns0:f>
        <ns0:v>0</ns0:v>
      </ns0:c>
      <ns0:c r="AI714" s="12">
        <ns0:f>IF(AND(OR('前提と出典'!$C$36+'前提と出典'!$C$38=0,X714&gt;=0),OR('前提と出典'!$C$37+'前提と出典'!$C$38=0,Y714&gt;=0)),0,A714)</ns0:f>
        <ns0:v>0</ns0:v>
      </ns0:c>
    </ns0:row>
    <ns0:row r="715" ht="24" customHeight="1">
      <ns0:c r="A715" s="4" t="n">
        <ns0:v>711</ns0:v>
      </ns0:c>
      <ns0:c r="B715" s="12">
        <ns0:f>A715*('前提と出典'!$C$36+'前提と出典'!$C$38)</ns0:f>
        <ns0:v>497.7</ns0:v>
      </ns0:c>
      <ns0:c r="C715" s="12">
        <ns0:f>A715*('前提と出典'!$C$37+'前提と出典'!$C$38)</ns0:f>
        <ns0:v>426.59999999999997</ns0:v>
      </ns0:c>
      <ns0:c r="D715" s="16">
        <ns0:f>A715*('前提と出典'!$C$36*'契約別単価'!C5+'前提と出典'!$C$37*'契約別単価'!C6+'前提と出典'!$C$38*'契約別単価'!C7)</ns0:f>
        <ns0:v>5116.022346368715</ns0:v>
      </ns0:c>
      <ns0:c r="E715" s="16">
        <ns0:f>A715*('前提と出典'!$C$36*'契約別単価'!E5+'前提と出典'!$C$37*'契約別単価'!E6+'前提と出典'!$C$38*'契約別単価'!E7)</ns0:f>
        <ns0:v>1787363.6484242892</ns0:v>
      </ns0:c>
      <ns0:c r="F715" s="16">
        <ns0:f>A715*('前提と出典'!$C$36*'契約別単価'!F5+'前提と出典'!$C$37*'契約別単価'!F6+'前提と出典'!$C$38*'契約別単価'!F7)</ns0:f>
        <ns0:v>519362.18858197075</ns0:v>
      </ns0:c>
      <ns0:c r="G715" s="16">
        <ns0:f>A715*('前提と出典'!$C$36*'契約別単価'!G5+'前提と出典'!$C$37*'契約別単価'!G6+'前提と出典'!$C$38*'契約別単価'!G7)</ns0:f>
        <ns0:v>1415247.4860335195</ns0:v>
      </ns0:c>
      <ns0:c r="H715" s="16">
        <ns0:f>A715*('前提と出典'!$C$36*'契約別単価'!H5+'前提と出典'!$C$37*'契約別単価'!H6+'前提と出典'!$C$38*'契約別単価'!H7)</ns0:f>
        <ns0:v>491161.85789281595</ns0:v>
      </ns0:c>
      <ns0:c r="I715" s="16">
        <ns0:f>A715*('前提と出典'!$C$36*'契約別単価'!I5+'前提と出典'!$C$37*'契約別単価'!I6+'前提と出典'!$C$38*'契約別単価'!I7)</ns0:f>
        <ns0:v>30001.02234636871</ns0:v>
      </ns0:c>
      <ns0:c r="J715" s="16">
        <ns0:f>A715*('前提と出典'!$C$36*'契約別単価'!J5+'前提と出典'!$C$37*'契約別単価'!J6+'前提と出典'!$C$38*'契約別単価'!J7)</ns0:f>
        <ns0:v>69883.86557802513</ns0:v>
      </ns0:c>
      <ns0:c r="K715" s="16">
        <ns0:f>A715*('前提と出典'!$C$36*'契約別単価'!K5+'前提と出典'!$C$37*'契約別単価'!K6+'前提と出典'!$C$38*'契約別単価'!K7)</ns0:f>
        <ns0:v>299546.8156424581</ns0:v>
      </ns0:c>
      <ns0:c r="L715" s="16">
        <ns0:f>A715*('前提と出典'!$C$36*'契約別単価'!L5+'前提と出典'!$C$37*'契約別単価'!L6+'前提と出典'!$C$38*'契約別単価'!L7)</ns0:f>
        <ns0:v>243892.06192976053</ns0:v>
      </ns0:c>
      <ns0:c r="M715" s="16">
        <ns0:f>IF(('前提と出典'!$C$36+'前提と出典'!$C$38)=0,0,IF(B715&lt;=10,'前提と出典'!B73+'前提と出典'!C73,IF(B715&lt;=100,'前提と出典'!B74+'前提と出典'!C74,IF(B715&lt;=500,'前提と出典'!B75+'前提と出典'!C75,'前提と出典'!B76+'前提と出典'!C76))))</ns0:f>
        <ns0:v>40000</ns0:v>
      </ns0:c>
      <ns0:c r="N715" s="16">
        <ns0:f>IF(('前提と出典'!$C$37+'前提と出典'!$C$38)=0,0,IF(C715&lt;=10,'前提と出典'!D73+'前提と出典'!E73,IF(C715&lt;=100,'前提と出典'!D74+'前提と出典'!E74,IF(C715&lt;=500,'前提と出典'!D75+'前提と出典'!E75,'前提と出典'!D76+'前提と出典'!E76))))</ns0:f>
        <ns0:v>56510.9346263078</ns0:v>
      </ns0:c>
      <ns0:c r="O715" s="16">
        <ns0:f>IF('前提と出典'!$C$36+'前提と出典'!$C$38=0,0,'前提と出典'!$B$4*IF('前提と出典'!$B$20=0,MAX('前提と出典'!$B$6,D715*'前提と出典'!$B$5),'前提と出典'!$B$6+D715*'前提と出典'!$B$5))</ns0:f>
        <ns0:v>706011.0837988828</ns0:v>
      </ns0:c>
      <ns0:c r="P715" s="16">
        <ns0:f>(E715+G715)*(1-'前提と出典'!$B$7)-I715-K715-M715-O715</ns0:f>
        <ns0:v>2011758.2118296186</ns0:v>
      </ns0:c>
      <ns0:c r="Q715" s="16">
        <ns0:f>(F715+H715)*(1-'前提と出典'!$B$7)-J715-L715-N715</ns0:f>
        <ns0:v>603858.318667601</ns0:v>
      </ns0:c>
      <ns0:c r="R715" s="16">
        <ns0:f>P715-E715*'前提と出典'!$E$4</ns0:f>
        <ns0:v>1475549.1173023323</ns0:v>
      </ns0:c>
      <ns0:c r="S715" s="16">
        <ns0:f>Q715-F715*'前提と出典'!$E$4</ns0:f>
        <ns0:v>448049.6620930098</ns0:v>
      </ns0:c>
      <ns0:c r="T715" s="7">
        <ns0:f>R715+S715</ns0:f>
        <ns0:v>1923598.779395342</ns0:v>
      </ns0:c>
      <ns0:c r="U715" s="16">
        <ns0:f>P715-E715*'前提と出典'!$E$5</ns0:f>
        <ns0:v>1296812.7524599028</ns0:v>
      </ns0:c>
      <ns0:c r="V715" s="16">
        <ns0:f>Q715-F715*'前提と出典'!$E$5</ns0:f>
        <ns0:v>396113.4432348127</ns0:v>
      </ns0:c>
      <ns0:c r="W715" s="7">
        <ns0:f>U715+V715</ns0:f>
        <ns0:v>1692926.1956947155</ns0:v>
      </ns0:c>
      <ns0:c r="X715" s="16">
        <ns0:f>P715-E715*'前提と出典'!$E$6</ns0:f>
        <ns0:v>1118076.387617474</ns0:v>
      </ns0:c>
      <ns0:c r="Y715" s="16">
        <ns0:f>Q715-F715*'前提と出典'!$E$6</ns0:f>
        <ns0:v>344177.2243766156</ns0:v>
      </ns0:c>
      <ns0:c r="Z715" s="7">
        <ns0:f>X715+Y715</ns0:f>
        <ns0:v>1462253.6119940896</ns0:v>
      </ns0:c>
      <ns0:c r="AA715" s="7">
        <ns0:f>IF(T715&gt;=0,A715,1001)</ns0:f>
        <ns0:v>711</ns0:v>
      </ns0:c>
      <ns0:c r="AB715" s="7">
        <ns0:f>IF(T715&lt;0,A715,0)</ns0:f>
        <ns0:v>0</ns0:v>
      </ns0:c>
      <ns0:c r="AC715" s="16">
        <ns0:f>IF(AND(OR('前提と出典'!$C$36+'前提と出典'!$C$38=0,R715&gt;=0),OR('前提と出典'!$C$37+'前提と出典'!$C$38=0,S715&gt;=0)),0,A715)</ns0:f>
        <ns0:v>0</ns0:v>
      </ns0:c>
      <ns0:c r="AD715" s="7">
        <ns0:f>IF(W715&gt;=0,A715,1001)</ns0:f>
        <ns0:v>711</ns0:v>
      </ns0:c>
      <ns0:c r="AE715" s="7">
        <ns0:f>IF(W715&lt;0,A715,0)</ns0:f>
        <ns0:v>0</ns0:v>
      </ns0:c>
      <ns0:c r="AF715" s="16">
        <ns0:f>IF(AND(OR('前提と出典'!$C$36+'前提と出典'!$C$38=0,U715&gt;=0),OR('前提と出典'!$C$37+'前提と出典'!$C$38=0,V715&gt;=0)),0,A715)</ns0:f>
        <ns0:v>0</ns0:v>
      </ns0:c>
      <ns0:c r="AG715" s="7">
        <ns0:f>IF(Z715&gt;=0,A715,1001)</ns0:f>
        <ns0:v>711</ns0:v>
      </ns0:c>
      <ns0:c r="AH715" s="4">
        <ns0:f>IF(Z715&lt;0,A715,0)</ns0:f>
        <ns0:v>0</ns0:v>
      </ns0:c>
      <ns0:c r="AI715" s="12">
        <ns0:f>IF(AND(OR('前提と出典'!$C$36+'前提と出典'!$C$38=0,X715&gt;=0),OR('前提と出典'!$C$37+'前提と出典'!$C$38=0,Y715&gt;=0)),0,A715)</ns0:f>
        <ns0:v>0</ns0:v>
      </ns0:c>
    </ns0:row>
    <ns0:row r="716" ht="24" customHeight="1">
      <ns0:c r="A716" s="4" t="n">
        <ns0:v>712</ns0:v>
      </ns0:c>
      <ns0:c r="B716" s="12">
        <ns0:f>A716*('前提と出典'!$C$36+'前提と出典'!$C$38)</ns0:f>
        <ns0:v>498.4</ns0:v>
      </ns0:c>
      <ns0:c r="C716" s="12">
        <ns0:f>A716*('前提と出典'!$C$37+'前提と出典'!$C$38)</ns0:f>
        <ns0:v>427.2</ns0:v>
      </ns0:c>
      <ns0:c r="D716" s="16">
        <ns0:f>A716*('前提と出典'!$C$36*'契約別単価'!C5+'前提と出典'!$C$37*'契約別単価'!C6+'前提と出典'!$C$38*'契約別単価'!C7)</ns0:f>
        <ns0:v>5123.217877094972</ns0:v>
      </ns0:c>
      <ns0:c r="E716" s="16">
        <ns0:f>A716*('前提と出典'!$C$36*'契約別単価'!E5+'前提と出典'!$C$37*'契約別単価'!E6+'前提と出典'!$C$38*'契約別単価'!E7)</ns0:f>
        <ns0:v>1789877.5213475302</ns0:v>
      </ns0:c>
      <ns0:c r="F716" s="16">
        <ns0:f>A716*('前提と出典'!$C$36*'契約別単価'!F5+'前提と出典'!$C$37*'契約別単価'!F6+'前提と出典'!$C$38*'契約別単価'!F7)</ns0:f>
        <ns0:v>520092.6557951662</ns0:v>
      </ns0:c>
      <ns0:c r="G716" s="16">
        <ns0:f>A716*('前提と出典'!$C$36*'契約別単価'!G5+'前提と出典'!$C$37*'契約別単価'!G6+'前提と出典'!$C$38*'契約別単価'!G7)</ns0:f>
        <ns0:v>1417237.9888268155</ns0:v>
      </ns0:c>
      <ns0:c r="H716" s="16">
        <ns0:f>A716*('前提と出典'!$C$36*'契約別単価'!H5+'前提と出典'!$C$37*'契約別単価'!H6+'前提と出典'!$C$38*'契約別単価'!H7)</ns0:f>
        <ns0:v>491852.66219364974</ns0:v>
      </ns0:c>
      <ns0:c r="I716" s="16">
        <ns0:f>A716*('前提と出典'!$C$36*'契約別単価'!I5+'前提と出典'!$C$37*'契約別単価'!I6+'前提と出典'!$C$38*'契約別単価'!I7)</ns0:f>
        <ns0:v>30043.21787709497</ns0:v>
      </ns0:c>
      <ns0:c r="J716" s="16">
        <ns0:f>A716*('前提と出典'!$C$36*'契約別単価'!J5+'前提と出典'!$C$37*'契約別単価'!J6+'前提と出典'!$C$38*'契約別単価'!J7)</ns0:f>
        <ns0:v>69982.15512173543</ns0:v>
      </ns0:c>
      <ns0:c r="K716" s="16">
        <ns0:f>A716*('前提と出典'!$C$36*'契約別単価'!K5+'前提と出典'!$C$37*'契約別単価'!K6+'前提と出典'!$C$38*'契約別単価'!K7)</ns0:f>
        <ns0:v>299968.1191806331</ns0:v>
      </ns0:c>
      <ns0:c r="L716" s="16">
        <ns0:f>A716*('前提と出典'!$C$36*'契約別単価'!L5+'前提と出典'!$C$37*'契約別単価'!L6+'前提と出典'!$C$38*'契約別単価'!L7)</ns0:f>
        <ns0:v>244235.0887397883</ns0:v>
      </ns0:c>
      <ns0:c r="M716" s="16">
        <ns0:f>IF(('前提と出典'!$C$36+'前提と出典'!$C$38)=0,0,IF(B716&lt;=10,'前提と出典'!B73+'前提と出典'!C73,IF(B716&lt;=100,'前提と出典'!B74+'前提と出典'!C74,IF(B716&lt;=500,'前提と出典'!B75+'前提と出典'!C75,'前提と出典'!B76+'前提と出典'!C76))))</ns0:f>
        <ns0:v>40000</ns0:v>
      </ns0:c>
      <ns0:c r="N716" s="16">
        <ns0:f>IF(('前提と出典'!$C$37+'前提と出典'!$C$38)=0,0,IF(C716&lt;=10,'前提と出典'!D73+'前提と出典'!E73,IF(C716&lt;=100,'前提と出典'!D74+'前提と出典'!E74,IF(C716&lt;=500,'前提と出典'!D75+'前提と出典'!E75,'前提と出典'!D76+'前提と出典'!E76))))</ns0:f>
        <ns0:v>56510.9346263078</ns0:v>
      </ns0:c>
      <ns0:c r="O716" s="16">
        <ns0:f>IF('前提と出典'!$C$36+'前提と出典'!$C$38=0,0,'前提と出典'!$B$4*IF('前提と出典'!$B$20=0,MAX('前提と出典'!$B$6,D716*'前提と出典'!$B$5),'前提と出典'!$B$6+D716*'前提と出典'!$B$5))</ns0:f>
        <ns0:v>707004.0670391063</ns0:v>
      </ns0:c>
      <ns0:c r="P716" s="16">
        <ns0:f>(E716+G716)*(1-'前提と出典'!$B$7)-I716-K716-M716-O716</ns0:f>
        <ns0:v>2014643.9477112347</ns0:v>
      </ns0:c>
      <ns0:c r="Q716" s="16">
        <ns0:f>(F716+H716)*(1-'前提と出典'!$B$7)-J716-L716-N716</ns0:f>
        <ns0:v>604787.108053387</ns0:v>
      </ns0:c>
      <ns0:c r="R716" s="16">
        <ns0:f>P716-E716*'前提と出典'!$E$4</ns0:f>
        <ns0:v>1477680.691306976</ns0:v>
      </ns0:c>
      <ns0:c r="S716" s="16">
        <ns0:f>Q716-F716*'前提と出典'!$E$4</ns0:f>
        <ns0:v>448759.3113148373</ns0:v>
      </ns0:c>
      <ns0:c r="T716" s="7">
        <ns0:f>R716+S716</ns0:f>
        <ns0:v>1926440.0026218132</ns0:v>
      </ns0:c>
      <ns0:c r="U716" s="16">
        <ns0:f>P716-E716*'前提と出典'!$E$5</ns0:f>
        <ns0:v>1298692.9391722225</ns0:v>
      </ns0:c>
      <ns0:c r="V716" s="16">
        <ns0:f>Q716-F716*'前提と出典'!$E$5</ns0:f>
        <ns0:v>396750.04573532054</ns0:v>
      </ns0:c>
      <ns0:c r="W716" s="7">
        <ns0:f>U716+V716</ns0:f>
        <ns0:v>1695442.984907543</ns0:v>
      </ns0:c>
      <ns0:c r="X716" s="16">
        <ns0:f>P716-E716*'前提と出典'!$E$6</ns0:f>
        <ns0:v>1119705.1870374696</ns0:v>
      </ns0:c>
      <ns0:c r="Y716" s="16">
        <ns0:f>Q716-F716*'前提と出典'!$E$6</ns0:f>
        <ns0:v>344740.780155804</ns0:v>
      </ns0:c>
      <ns0:c r="Z716" s="7">
        <ns0:f>X716+Y716</ns0:f>
        <ns0:v>1464445.9671932736</ns0:v>
      </ns0:c>
      <ns0:c r="AA716" s="7">
        <ns0:f>IF(T716&gt;=0,A716,1001)</ns0:f>
        <ns0:v>712</ns0:v>
      </ns0:c>
      <ns0:c r="AB716" s="7">
        <ns0:f>IF(T716&lt;0,A716,0)</ns0:f>
        <ns0:v>0</ns0:v>
      </ns0:c>
      <ns0:c r="AC716" s="16">
        <ns0:f>IF(AND(OR('前提と出典'!$C$36+'前提と出典'!$C$38=0,R716&gt;=0),OR('前提と出典'!$C$37+'前提と出典'!$C$38=0,S716&gt;=0)),0,A716)</ns0:f>
        <ns0:v>0</ns0:v>
      </ns0:c>
      <ns0:c r="AD716" s="7">
        <ns0:f>IF(W716&gt;=0,A716,1001)</ns0:f>
        <ns0:v>712</ns0:v>
      </ns0:c>
      <ns0:c r="AE716" s="7">
        <ns0:f>IF(W716&lt;0,A716,0)</ns0:f>
        <ns0:v>0</ns0:v>
      </ns0:c>
      <ns0:c r="AF716" s="16">
        <ns0:f>IF(AND(OR('前提と出典'!$C$36+'前提と出典'!$C$38=0,U716&gt;=0),OR('前提と出典'!$C$37+'前提と出典'!$C$38=0,V716&gt;=0)),0,A716)</ns0:f>
        <ns0:v>0</ns0:v>
      </ns0:c>
      <ns0:c r="AG716" s="7">
        <ns0:f>IF(Z716&gt;=0,A716,1001)</ns0:f>
        <ns0:v>712</ns0:v>
      </ns0:c>
      <ns0:c r="AH716" s="4">
        <ns0:f>IF(Z716&lt;0,A716,0)</ns0:f>
        <ns0:v>0</ns0:v>
      </ns0:c>
      <ns0:c r="AI716" s="12">
        <ns0:f>IF(AND(OR('前提と出典'!$C$36+'前提と出典'!$C$38=0,X716&gt;=0),OR('前提と出典'!$C$37+'前提と出典'!$C$38=0,Y716&gt;=0)),0,A716)</ns0:f>
        <ns0:v>0</ns0:v>
      </ns0:c>
    </ns0:row>
    <ns0:row r="717" ht="24" customHeight="1">
      <ns0:c r="A717" s="4" t="n">
        <ns0:v>713</ns0:v>
      </ns0:c>
      <ns0:c r="B717" s="12">
        <ns0:f>A717*('前提と出典'!$C$36+'前提と出典'!$C$38)</ns0:f>
        <ns0:v>499.09999999999997</ns0:v>
      </ns0:c>
      <ns0:c r="C717" s="12">
        <ns0:f>A717*('前提と出典'!$C$37+'前提と出典'!$C$38)</ns0:f>
        <ns0:v>427.8</ns0:v>
      </ns0:c>
      <ns0:c r="D717" s="16">
        <ns0:f>A717*('前提と出典'!$C$36*'契約別単価'!C5+'前提と出典'!$C$37*'契約別単価'!C6+'前提と出典'!$C$38*'契約別単価'!C7)</ns0:f>
        <ns0:v>5130.413407821229</ns0:v>
      </ns0:c>
      <ns0:c r="E717" s="16">
        <ns0:f>A717*('前提と出典'!$C$36*'契約別単価'!E5+'前提と出典'!$C$37*'契約別単価'!E6+'前提と出典'!$C$38*'契約別単価'!E7)</ns0:f>
        <ns0:v>1792391.3942707712</ns0:v>
      </ns0:c>
      <ns0:c r="F717" s="16">
        <ns0:f>A717*('前提と出典'!$C$36*'契約別単価'!F5+'前提と出典'!$C$37*'契約別単価'!F6+'前提と出典'!$C$38*'契約別単価'!F7)</ns0:f>
        <ns0:v>520823.12300836167</ns0:v>
      </ns0:c>
      <ns0:c r="G717" s="16">
        <ns0:f>A717*('前提と出典'!$C$36*'契約別単価'!G5+'前提と出典'!$C$37*'契約別単価'!G6+'前提と出典'!$C$38*'契約別単価'!G7)</ns0:f>
        <ns0:v>1419228.4916201117</ns0:v>
      </ns0:c>
      <ns0:c r="H717" s="16">
        <ns0:f>A717*('前提と出典'!$C$36*'契約別単価'!H5+'前提と出典'!$C$37*'契約別単価'!H6+'前提と出典'!$C$38*'契約別単価'!H7)</ns0:f>
        <ns0:v>492543.46649448347</ns0:v>
      </ns0:c>
      <ns0:c r="I717" s="16">
        <ns0:f>A717*('前提と出典'!$C$36*'契約別単価'!I5+'前提と出典'!$C$37*'契約別単価'!I6+'前提と出典'!$C$38*'契約別単価'!I7)</ns0:f>
        <ns0:v>30085.413407821223</ns0:v>
      </ns0:c>
      <ns0:c r="J717" s="16">
        <ns0:f>A717*('前提と出典'!$C$36*'契約別単価'!J5+'前提と出典'!$C$37*'契約別単価'!J6+'前提と出典'!$C$38*'契約別単価'!J7)</ns0:f>
        <ns0:v>70080.44466544573</ns0:v>
      </ns0:c>
      <ns0:c r="K717" s="16">
        <ns0:f>A717*('前提と出典'!$C$36*'契約別単価'!K5+'前提と出典'!$C$37*'契約別単価'!K6+'前提と出典'!$C$38*'契約別単価'!K7)</ns0:f>
        <ns0:v>300389.4227188082</ns0:v>
      </ns0:c>
      <ns0:c r="L717" s="16">
        <ns0:f>A717*('前提と出典'!$C$36*'契約別単価'!L5+'前提と出典'!$C$37*'契約別単価'!L6+'前提と出典'!$C$38*'契約別単価'!L7)</ns0:f>
        <ns0:v>244578.1155498161</ns0:v>
      </ns0:c>
      <ns0:c r="M717" s="16">
        <ns0:f>IF(('前提と出典'!$C$36+'前提と出典'!$C$38)=0,0,IF(B717&lt;=10,'前提と出典'!B73+'前提と出典'!C73,IF(B717&lt;=100,'前提と出典'!B74+'前提と出典'!C74,IF(B717&lt;=500,'前提と出典'!B75+'前提と出典'!C75,'前提と出典'!B76+'前提と出典'!C76))))</ns0:f>
        <ns0:v>40000</ns0:v>
      </ns0:c>
      <ns0:c r="N717" s="16">
        <ns0:f>IF(('前提と出典'!$C$37+'前提と出典'!$C$38)=0,0,IF(C717&lt;=10,'前提と出典'!D73+'前提と出典'!E73,IF(C717&lt;=100,'前提と出典'!D74+'前提と出典'!E74,IF(C717&lt;=500,'前提と出典'!D75+'前提と出典'!E75,'前提と出典'!D76+'前提と出典'!E76))))</ns0:f>
        <ns0:v>56510.9346263078</ns0:v>
      </ns0:c>
      <ns0:c r="O717" s="16">
        <ns0:f>IF('前提と出典'!$C$36+'前提と出典'!$C$38=0,0,'前提と出典'!$B$4*IF('前提と出典'!$B$20=0,MAX('前提と出典'!$B$6,D717*'前提と出典'!$B$5),'前提と出典'!$B$6+D717*'前提と出典'!$B$5))</ns0:f>
        <ns0:v>707997.0502793296</ns0:v>
      </ns0:c>
      <ns0:c r="P717" s="16">
        <ns0:f>(E717+G717)*(1-'前提と出典'!$B$7)-I717-K717-M717-O717</ns0:f>
        <ns0:v>2017529.6835928522</ns0:v>
      </ns0:c>
      <ns0:c r="Q717" s="16">
        <ns0:f>(F717+H717)*(1-'前提と出典'!$B$7)-J717-L717-N717</ns0:f>
        <ns0:v>605715.8974391732</ns0:v>
      </ns0:c>
      <ns0:c r="R717" s="16">
        <ns0:f>P717-E717*'前提と出典'!$E$4</ns0:f>
        <ns0:v>1479812.2653116207</ns0:v>
      </ns0:c>
      <ns0:c r="S717" s="16">
        <ns0:f>Q717-F717*'前提と出典'!$E$4</ns0:f>
        <ns0:v>449468.96053666464</ns0:v>
      </ns0:c>
      <ns0:c r="T717" s="7">
        <ns0:f>R717+S717</ns0:f>
        <ns0:v>1929281.2258482852</ns0:v>
      </ns0:c>
      <ns0:c r="U717" s="16">
        <ns0:f>P717-E717*'前提と出典'!$E$5</ns0:f>
        <ns0:v>1300573.1258845436</ns0:v>
      </ns0:c>
      <ns0:c r="V717" s="16">
        <ns0:f>Q717-F717*'前提と出典'!$E$5</ns0:f>
        <ns0:v>397386.64823582844</ns0:v>
      </ns0:c>
      <ns0:c r="W717" s="7">
        <ns0:f>U717+V717</ns0:f>
        <ns0:v>1697959.774120372</ns0:v>
      </ns0:c>
      <ns0:c r="X717" s="16">
        <ns0:f>P717-E717*'前提と出典'!$E$6</ns0:f>
        <ns0:v>1121333.9864574666</ns0:v>
      </ns0:c>
      <ns0:c r="Y717" s="16">
        <ns0:f>Q717-F717*'前提と出典'!$E$6</ns0:f>
        <ns0:v>345304.33593499236</ns0:v>
      </ns0:c>
      <ns0:c r="Z717" s="7">
        <ns0:f>X717+Y717</ns0:f>
        <ns0:v>1466638.322392459</ns0:v>
      </ns0:c>
      <ns0:c r="AA717" s="7">
        <ns0:f>IF(T717&gt;=0,A717,1001)</ns0:f>
        <ns0:v>713</ns0:v>
      </ns0:c>
      <ns0:c r="AB717" s="7">
        <ns0:f>IF(T717&lt;0,A717,0)</ns0:f>
        <ns0:v>0</ns0:v>
      </ns0:c>
      <ns0:c r="AC717" s="16">
        <ns0:f>IF(AND(OR('前提と出典'!$C$36+'前提と出典'!$C$38=0,R717&gt;=0),OR('前提と出典'!$C$37+'前提と出典'!$C$38=0,S717&gt;=0)),0,A717)</ns0:f>
        <ns0:v>0</ns0:v>
      </ns0:c>
      <ns0:c r="AD717" s="7">
        <ns0:f>IF(W717&gt;=0,A717,1001)</ns0:f>
        <ns0:v>713</ns0:v>
      </ns0:c>
      <ns0:c r="AE717" s="7">
        <ns0:f>IF(W717&lt;0,A717,0)</ns0:f>
        <ns0:v>0</ns0:v>
      </ns0:c>
      <ns0:c r="AF717" s="16">
        <ns0:f>IF(AND(OR('前提と出典'!$C$36+'前提と出典'!$C$38=0,U717&gt;=0),OR('前提と出典'!$C$37+'前提と出典'!$C$38=0,V717&gt;=0)),0,A717)</ns0:f>
        <ns0:v>0</ns0:v>
      </ns0:c>
      <ns0:c r="AG717" s="7">
        <ns0:f>IF(Z717&gt;=0,A717,1001)</ns0:f>
        <ns0:v>713</ns0:v>
      </ns0:c>
      <ns0:c r="AH717" s="4">
        <ns0:f>IF(Z717&lt;0,A717,0)</ns0:f>
        <ns0:v>0</ns0:v>
      </ns0:c>
      <ns0:c r="AI717" s="12">
        <ns0:f>IF(AND(OR('前提と出典'!$C$36+'前提と出典'!$C$38=0,X717&gt;=0),OR('前提と出典'!$C$37+'前提と出典'!$C$38=0,Y717&gt;=0)),0,A717)</ns0:f>
        <ns0:v>0</ns0:v>
      </ns0:c>
    </ns0:row>
    <ns0:row r="718" ht="24" customHeight="1">
      <ns0:c r="A718" s="4" t="n">
        <ns0:v>714</ns0:v>
      </ns0:c>
      <ns0:c r="B718" s="12">
        <ns0:f>A718*('前提と出典'!$C$36+'前提と出典'!$C$38)</ns0:f>
        <ns0:v>499.79999999999995</ns0:v>
      </ns0:c>
      <ns0:c r="C718" s="12">
        <ns0:f>A718*('前提と出典'!$C$37+'前提と出典'!$C$38)</ns0:f>
        <ns0:v>428.4</ns0:v>
      </ns0:c>
      <ns0:c r="D718" s="16">
        <ns0:f>A718*('前提と出典'!$C$36*'契約別単価'!C5+'前提と出典'!$C$37*'契約別単価'!C6+'前提と出典'!$C$38*'契約別単価'!C7)</ns0:f>
        <ns0:v>5137.608938547486</ns0:v>
      </ns0:c>
      <ns0:c r="E718" s="16">
        <ns0:f>A718*('前提と出典'!$C$36*'契約別単価'!E5+'前提と出典'!$C$37*'契約別単価'!E6+'前提と出典'!$C$38*'契約別単価'!E7)</ns0:f>
        <ns0:v>1794905.267194012</ns0:v>
      </ns0:c>
      <ns0:c r="F718" s="16">
        <ns0:f>A718*('前提と出典'!$C$36*'契約別単価'!F5+'前提と出典'!$C$37*'契約別単価'!F6+'前提と出典'!$C$38*'契約別単価'!F7)</ns0:f>
        <ns0:v>521553.5902215571</ns0:v>
      </ns0:c>
      <ns0:c r="G718" s="16">
        <ns0:f>A718*('前提と出典'!$C$36*'契約別単価'!G5+'前提と出典'!$C$37*'契約別単価'!G6+'前提と出典'!$C$38*'契約別単価'!G7)</ns0:f>
        <ns0:v>1421218.9944134078</ns0:v>
      </ns0:c>
      <ns0:c r="H718" s="16">
        <ns0:f>A718*('前提と出典'!$C$36*'契約別単価'!H5+'前提と出典'!$C$37*'契約別単価'!H6+'前提と出典'!$C$38*'契約別単価'!H7)</ns0:f>
        <ns0:v>493234.27079531725</ns0:v>
      </ns0:c>
      <ns0:c r="I718" s="16">
        <ns0:f>A718*('前提と出典'!$C$36*'契約別単価'!I5+'前提と出典'!$C$37*'契約別単価'!I6+'前提と出典'!$C$38*'契約別単価'!I7)</ns0:f>
        <ns0:v>30127.60893854748</ns0:v>
      </ns0:c>
      <ns0:c r="J718" s="16">
        <ns0:f>A718*('前提と出典'!$C$36*'契約別単価'!J5+'前提と出典'!$C$37*'契約別単価'!J6+'前提と出典'!$C$38*'契約別単価'!J7)</ns0:f>
        <ns0:v>70178.73420915603</ns0:v>
      </ns0:c>
      <ns0:c r="K718" s="16">
        <ns0:f>A718*('前提と出典'!$C$36*'契約別単価'!K5+'前提と出典'!$C$37*'契約別単価'!K6+'前提と出典'!$C$38*'契約別単価'!K7)</ns0:f>
        <ns0:v>300810.72625698324</ns0:v>
      </ns0:c>
      <ns0:c r="L718" s="16">
        <ns0:f>A718*('前提と出典'!$C$36*'契約別単価'!L5+'前提と出典'!$C$37*'契約別単価'!L6+'前提と出典'!$C$38*'契約別単価'!L7)</ns0:f>
        <ns0:v>244921.1423598439</ns0:v>
      </ns0:c>
      <ns0:c r="M718" s="16">
        <ns0:f>IF(('前提と出典'!$C$36+'前提と出典'!$C$38)=0,0,IF(B718&lt;=10,'前提と出典'!B73+'前提と出典'!C73,IF(B718&lt;=100,'前提と出典'!B74+'前提と出典'!C74,IF(B718&lt;=500,'前提と出典'!B75+'前提と出典'!C75,'前提と出典'!B76+'前提と出典'!C76))))</ns0:f>
        <ns0:v>40000</ns0:v>
      </ns0:c>
      <ns0:c r="N718" s="16">
        <ns0:f>IF(('前提と出典'!$C$37+'前提と出典'!$C$38)=0,0,IF(C718&lt;=10,'前提と出典'!D73+'前提と出典'!E73,IF(C718&lt;=100,'前提と出典'!D74+'前提と出典'!E74,IF(C718&lt;=500,'前提と出典'!D75+'前提と出典'!E75,'前提と出典'!D76+'前提と出典'!E76))))</ns0:f>
        <ns0:v>56510.9346263078</ns0:v>
      </ns0:c>
      <ns0:c r="O718" s="16">
        <ns0:f>IF('前提と出典'!$C$36+'前提と出典'!$C$38=0,0,'前提と出典'!$B$4*IF('前提と出典'!$B$20=0,MAX('前提と出典'!$B$6,D718*'前提と出典'!$B$5),'前提と出典'!$B$6+D718*'前提と出典'!$B$5))</ns0:f>
        <ns0:v>708990.033519553</ns0:v>
      </ns0:c>
      <ns0:c r="P718" s="16">
        <ns0:f>(E718+G718)*(1-'前提と出典'!$B$7)-I718-K718-M718-O718</ns0:f>
        <ns0:v>2020415.419474469</ns0:v>
      </ns0:c>
      <ns0:c r="Q718" s="16">
        <ns0:f>(F718+H718)*(1-'前提と出典'!$B$7)-J718-L718-N718</ns0:f>
        <ns0:v>606644.6868249592</ns0:v>
      </ns0:c>
      <ns0:c r="R718" s="16">
        <ns0:f>P718-E718*'前提と出典'!$E$4</ns0:f>
        <ns0:v>1481943.8393162652</ns0:v>
      </ns0:c>
      <ns0:c r="S718" s="16">
        <ns0:f>Q718-F718*'前提と出典'!$E$4</ns0:f>
        <ns0:v>450178.6097584921</ns0:v>
      </ns0:c>
      <ns0:c r="T718" s="7">
        <ns0:f>R718+S718</ns0:f>
        <ns0:v>1932122.4490747573</ns0:v>
      </ns0:c>
      <ns0:c r="U718" s="16">
        <ns0:f>P718-E718*'前提と出典'!$E$5</ns0:f>
        <ns0:v>1302453.312596864</ns0:v>
      </ns0:c>
      <ns0:c r="V718" s="16">
        <ns0:f>Q718-F718*'前提と出典'!$E$5</ns0:f>
        <ns0:v>398023.25073633634</ns0:v>
      </ns0:c>
      <ns0:c r="W718" s="7">
        <ns0:f>U718+V718</ns0:f>
        <ns0:v>1700476.5633332003</ns0:v>
      </ns0:c>
      <ns0:c r="X718" s="16">
        <ns0:f>P718-E718*'前提と出典'!$E$6</ns0:f>
        <ns0:v>1122962.785877463</ns0:v>
      </ns0:c>
      <ns0:c r="Y718" s="16">
        <ns0:f>Q718-F718*'前提と出典'!$E$6</ns0:f>
        <ns0:v>345867.8917141807</ns0:v>
      </ns0:c>
      <ns0:c r="Z718" s="7">
        <ns0:f>X718+Y718</ns0:f>
        <ns0:v>1468830.6775916438</ns0:v>
      </ns0:c>
      <ns0:c r="AA718" s="7">
        <ns0:f>IF(T718&gt;=0,A718,1001)</ns0:f>
        <ns0:v>714</ns0:v>
      </ns0:c>
      <ns0:c r="AB718" s="7">
        <ns0:f>IF(T718&lt;0,A718,0)</ns0:f>
        <ns0:v>0</ns0:v>
      </ns0:c>
      <ns0:c r="AC718" s="16">
        <ns0:f>IF(AND(OR('前提と出典'!$C$36+'前提と出典'!$C$38=0,R718&gt;=0),OR('前提と出典'!$C$37+'前提と出典'!$C$38=0,S718&gt;=0)),0,A718)</ns0:f>
        <ns0:v>0</ns0:v>
      </ns0:c>
      <ns0:c r="AD718" s="7">
        <ns0:f>IF(W718&gt;=0,A718,1001)</ns0:f>
        <ns0:v>714</ns0:v>
      </ns0:c>
      <ns0:c r="AE718" s="7">
        <ns0:f>IF(W718&lt;0,A718,0)</ns0:f>
        <ns0:v>0</ns0:v>
      </ns0:c>
      <ns0:c r="AF718" s="16">
        <ns0:f>IF(AND(OR('前提と出典'!$C$36+'前提と出典'!$C$38=0,U718&gt;=0),OR('前提と出典'!$C$37+'前提と出典'!$C$38=0,V718&gt;=0)),0,A718)</ns0:f>
        <ns0:v>0</ns0:v>
      </ns0:c>
      <ns0:c r="AG718" s="7">
        <ns0:f>IF(Z718&gt;=0,A718,1001)</ns0:f>
        <ns0:v>714</ns0:v>
      </ns0:c>
      <ns0:c r="AH718" s="4">
        <ns0:f>IF(Z718&lt;0,A718,0)</ns0:f>
        <ns0:v>0</ns0:v>
      </ns0:c>
      <ns0:c r="AI718" s="12">
        <ns0:f>IF(AND(OR('前提と出典'!$C$36+'前提と出典'!$C$38=0,X718&gt;=0),OR('前提と出典'!$C$37+'前提と出典'!$C$38=0,Y718&gt;=0)),0,A718)</ns0:f>
        <ns0:v>0</ns0:v>
      </ns0:c>
    </ns0:row>
    <ns0:row r="719" ht="24" customHeight="1">
      <ns0:c r="A719" s="4" t="n">
        <ns0:v>715</ns0:v>
      </ns0:c>
      <ns0:c r="B719" s="12">
        <ns0:f>A719*('前提と出典'!$C$36+'前提と出典'!$C$38)</ns0:f>
        <ns0:v>500.49999999999994</ns0:v>
      </ns0:c>
      <ns0:c r="C719" s="12">
        <ns0:f>A719*('前提と出典'!$C$37+'前提と出典'!$C$38)</ns0:f>
        <ns0:v>429</ns0:v>
      </ns0:c>
      <ns0:c r="D719" s="16">
        <ns0:f>A719*('前提と出典'!$C$36*'契約別単価'!C5+'前提と出典'!$C$37*'契約別単価'!C6+'前提と出典'!$C$38*'契約別単価'!C7)</ns0:f>
        <ns0:v>5144.804469273743</ns0:v>
      </ns0:c>
      <ns0:c r="E719" s="16">
        <ns0:f>A719*('前提と出典'!$C$36*'契約別単価'!E5+'前提と出典'!$C$37*'契約別単価'!E6+'前提と出典'!$C$38*'契約別単価'!E7)</ns0:f>
        <ns0:v>1797419.140117253</ns0:v>
      </ns0:c>
      <ns0:c r="F719" s="16">
        <ns0:f>A719*('前提と出典'!$C$36*'契約別単価'!F5+'前提と出典'!$C$37*'契約別単価'!F6+'前提と出典'!$C$38*'契約別単価'!F7)</ns0:f>
        <ns0:v>522284.0574347526</ns0:v>
      </ns0:c>
      <ns0:c r="G719" s="16">
        <ns0:f>A719*('前提と出典'!$C$36*'契約別単価'!G5+'前提と出典'!$C$37*'契約別単価'!G6+'前提と出典'!$C$38*'契約別単価'!G7)</ns0:f>
        <ns0:v>1423209.4972067038</ns0:v>
      </ns0:c>
      <ns0:c r="H719" s="16">
        <ns0:f>A719*('前提と出典'!$C$36*'契約別単価'!H5+'前提と出典'!$C$37*'契約別単価'!H6+'前提と出典'!$C$38*'契約別単価'!H7)</ns0:f>
        <ns0:v>493925.07509615103</ns0:v>
      </ns0:c>
      <ns0:c r="I719" s="16">
        <ns0:f>A719*('前提と出典'!$C$36*'契約別単価'!I5+'前提と出典'!$C$37*'契約別単価'!I6+'前提と出典'!$C$38*'契約別単価'!I7)</ns0:f>
        <ns0:v>30169.80446927374</ns0:v>
      </ns0:c>
      <ns0:c r="J719" s="16">
        <ns0:f>A719*('前提と出典'!$C$36*'契約別単価'!J5+'前提と出典'!$C$37*'契約別単価'!J6+'前提と出典'!$C$38*'契約別単価'!J7)</ns0:f>
        <ns0:v>70277.02375286634</ns0:v>
      </ns0:c>
      <ns0:c r="K719" s="16">
        <ns0:f>A719*('前提と出典'!$C$36*'契約別単価'!K5+'前提と出典'!$C$37*'契約別単価'!K6+'前提と出典'!$C$38*'契約別単価'!K7)</ns0:f>
        <ns0:v>301232.02979515825</ns0:v>
      </ns0:c>
      <ns0:c r="L719" s="16">
        <ns0:f>A719*('前提と出典'!$C$36*'契約別単価'!L5+'前提と出典'!$C$37*'契約別単価'!L6+'前提と出典'!$C$38*'契約別単価'!L7)</ns0:f>
        <ns0:v>245264.1691698717</ns0:v>
      </ns0:c>
      <ns0:c r="M719" s="16">
        <ns0:f>IF(('前提と出典'!$C$36+'前提と出典'!$C$38)=0,0,IF(B719&lt;=10,'前提と出典'!B73+'前提と出典'!C73,IF(B719&lt;=100,'前提と出典'!B74+'前提と出典'!C74,IF(B719&lt;=500,'前提と出典'!B75+'前提と出典'!C75,'前提と出典'!B76+'前提と出典'!C76))))</ns0:f>
        <ns0:v>80000</ns0:v>
      </ns0:c>
      <ns0:c r="N719" s="16">
        <ns0:f>IF(('前提と出典'!$C$37+'前提と出典'!$C$38)=0,0,IF(C719&lt;=10,'前提と出典'!D73+'前提と出典'!E73,IF(C719&lt;=100,'前提と出典'!D74+'前提と出典'!E74,IF(C719&lt;=500,'前提と出典'!D75+'前提と出典'!E75,'前提と出典'!D76+'前提と出典'!E76))))</ns0:f>
        <ns0:v>56510.9346263078</ns0:v>
      </ns0:c>
      <ns0:c r="O719" s="16">
        <ns0:f>IF('前提と出典'!$C$36+'前提と出典'!$C$38=0,0,'前提と出典'!$B$4*IF('前提と出典'!$B$20=0,MAX('前提と出典'!$B$6,D719*'前提と出典'!$B$5),'前提と出典'!$B$6+D719*'前提と出典'!$B$5))</ns0:f>
        <ns0:v>709983.0167597765</ns0:v>
      </ns0:c>
      <ns0:c r="P719" s="16">
        <ns0:f>(E719+G719)*(1-'前提と出典'!$B$7)-I719-K719-M719-O719</ns0:f>
        <ns0:v>1983301.1553560859</ns0:v>
      </ns0:c>
      <ns0:c r="Q719" s="16">
        <ns0:f>(F719+H719)*(1-'前提と出典'!$B$7)-J719-L719-N719</ns0:f>
        <ns0:v>607573.4762107453</ns0:v>
      </ns0:c>
      <ns0:c r="R719" s="16">
        <ns0:f>P719-E719*'前提と出典'!$E$4</ns0:f>
        <ns0:v>1444075.4133209102</ns0:v>
      </ns0:c>
      <ns0:c r="S719" s="16">
        <ns0:f>Q719-F719*'前提と出典'!$E$4</ns0:f>
        <ns0:v>450888.2589803195</ns0:v>
      </ns0:c>
      <ns0:c r="T719" s="7">
        <ns0:f>R719+S719</ns0:f>
        <ns0:v>1894963.6723012296</ns0:v>
      </ns0:c>
      <ns0:c r="U719" s="16">
        <ns0:f>P719-E719*'前提と出典'!$E$5</ns0:f>
        <ns0:v>1264333.4993091845</ns0:v>
      </ns0:c>
      <ns0:c r="V719" s="16">
        <ns0:f>Q719-F719*'前提と出典'!$E$5</ns0:f>
        <ns0:v>398659.8532368443</ns0:v>
      </ns0:c>
      <ns0:c r="W719" s="7">
        <ns0:f>U719+V719</ns0:f>
        <ns0:v>1662993.3525460288</ns0:v>
      </ns0:c>
      <ns0:c r="X719" s="16">
        <ns0:f>P719-E719*'前提と出典'!$E$6</ns0:f>
        <ns0:v>1084591.5852974593</ns0:v>
      </ns0:c>
      <ns0:c r="Y719" s="16">
        <ns0:f>Q719-F719*'前提と出典'!$E$6</ns0:f>
        <ns0:v>346431.447493369</ns0:v>
      </ns0:c>
      <ns0:c r="Z719" s="7">
        <ns0:f>X719+Y719</ns0:f>
        <ns0:v>1431023.0327908283</ns0:v>
      </ns0:c>
      <ns0:c r="AA719" s="7">
        <ns0:f>IF(T719&gt;=0,A719,1001)</ns0:f>
        <ns0:v>715</ns0:v>
      </ns0:c>
      <ns0:c r="AB719" s="7">
        <ns0:f>IF(T719&lt;0,A719,0)</ns0:f>
        <ns0:v>0</ns0:v>
      </ns0:c>
      <ns0:c r="AC719" s="16">
        <ns0:f>IF(AND(OR('前提と出典'!$C$36+'前提と出典'!$C$38=0,R719&gt;=0),OR('前提と出典'!$C$37+'前提と出典'!$C$38=0,S719&gt;=0)),0,A719)</ns0:f>
        <ns0:v>0</ns0:v>
      </ns0:c>
      <ns0:c r="AD719" s="7">
        <ns0:f>IF(W719&gt;=0,A719,1001)</ns0:f>
        <ns0:v>715</ns0:v>
      </ns0:c>
      <ns0:c r="AE719" s="7">
        <ns0:f>IF(W719&lt;0,A719,0)</ns0:f>
        <ns0:v>0</ns0:v>
      </ns0:c>
      <ns0:c r="AF719" s="16">
        <ns0:f>IF(AND(OR('前提と出典'!$C$36+'前提と出典'!$C$38=0,U719&gt;=0),OR('前提と出典'!$C$37+'前提と出典'!$C$38=0,V719&gt;=0)),0,A719)</ns0:f>
        <ns0:v>0</ns0:v>
      </ns0:c>
      <ns0:c r="AG719" s="7">
        <ns0:f>IF(Z719&gt;=0,A719,1001)</ns0:f>
        <ns0:v>715</ns0:v>
      </ns0:c>
      <ns0:c r="AH719" s="4">
        <ns0:f>IF(Z719&lt;0,A719,0)</ns0:f>
        <ns0:v>0</ns0:v>
      </ns0:c>
      <ns0:c r="AI719" s="12">
        <ns0:f>IF(AND(OR('前提と出典'!$C$36+'前提と出典'!$C$38=0,X719&gt;=0),OR('前提と出典'!$C$37+'前提と出典'!$C$38=0,Y719&gt;=0)),0,A719)</ns0:f>
        <ns0:v>0</ns0:v>
      </ns0:c>
    </ns0:row>
    <ns0:row r="720" ht="24" customHeight="1">
      <ns0:c r="A720" s="4" t="n">
        <ns0:v>716</ns0:v>
      </ns0:c>
      <ns0:c r="B720" s="12">
        <ns0:f>A720*('前提と出典'!$C$36+'前提と出典'!$C$38)</ns0:f>
        <ns0:v>501.2</ns0:v>
      </ns0:c>
      <ns0:c r="C720" s="12">
        <ns0:f>A720*('前提と出典'!$C$37+'前提と出典'!$C$38)</ns0:f>
        <ns0:v>429.59999999999997</ns0:v>
      </ns0:c>
      <ns0:c r="D720" s="16">
        <ns0:f>A720*('前提と出典'!$C$36*'契約別単価'!C5+'前提と出典'!$C$37*'契約別単価'!C6+'前提と出典'!$C$38*'契約別単価'!C7)</ns0:f>
        <ns0:v>5152</ns0:v>
      </ns0:c>
      <ns0:c r="E720" s="16">
        <ns0:f>A720*('前提と出典'!$C$36*'契約別単価'!E5+'前提と出典'!$C$37*'契約別単価'!E6+'前提と出典'!$C$38*'契約別単価'!E7)</ns0:f>
        <ns0:v>1799933.013040494</ns0:v>
      </ns0:c>
      <ns0:c r="F720" s="16">
        <ns0:f>A720*('前提と出典'!$C$36*'契約別単価'!F5+'前提と出典'!$C$37*'契約別単価'!F6+'前提と出典'!$C$38*'契約別単価'!F7)</ns0:f>
        <ns0:v>523014.52464794804</ns0:v>
      </ns0:c>
      <ns0:c r="G720" s="16">
        <ns0:f>A720*('前提と出典'!$C$36*'契約別単価'!G5+'前提と出典'!$C$37*'契約別単価'!G6+'前提と出典'!$C$38*'契約別単価'!G7)</ns0:f>
        <ns0:v>1425200</ns0:v>
      </ns0:c>
      <ns0:c r="H720" s="16">
        <ns0:f>A720*('前提と出典'!$C$36*'契約別単価'!H5+'前提と出典'!$C$37*'契約別単価'!H6+'前提と出典'!$C$38*'契約別単価'!H7)</ns0:f>
        <ns0:v>494615.8793969848</ns0:v>
      </ns0:c>
      <ns0:c r="I720" s="16">
        <ns0:f>A720*('前提と出典'!$C$36*'契約別単価'!I5+'前提と出典'!$C$37*'契約別単価'!I6+'前提と出典'!$C$38*'契約別単価'!I7)</ns0:f>
        <ns0:v>30211.999999999996</ns0:v>
      </ns0:c>
      <ns0:c r="J720" s="16">
        <ns0:f>A720*('前提と出典'!$C$36*'契約別単価'!J5+'前提と出典'!$C$37*'契約別単価'!J6+'前提と出典'!$C$38*'契約別単価'!J7)</ns0:f>
        <ns0:v>70375.31329657664</ns0:v>
      </ns0:c>
      <ns0:c r="K720" s="16">
        <ns0:f>A720*('前提と出典'!$C$36*'契約別単価'!K5+'前提と出典'!$C$37*'契約別単価'!K6+'前提と出典'!$C$38*'契約別単価'!K7)</ns0:f>
        <ns0:v>301653.3333333333</ns0:v>
      </ns0:c>
      <ns0:c r="L720" s="16">
        <ns0:f>A720*('前提と出典'!$C$36*'契約別単価'!L5+'前提と出典'!$C$37*'契約別単価'!L6+'前提と出典'!$C$38*'契約別単価'!L7)</ns0:f>
        <ns0:v>245607.1959798995</ns0:v>
      </ns0:c>
      <ns0:c r="M720" s="16">
        <ns0:f>IF(('前提と出典'!$C$36+'前提と出典'!$C$38)=0,0,IF(B720&lt;=10,'前提と出典'!B73+'前提と出典'!C73,IF(B720&lt;=100,'前提と出典'!B74+'前提と出典'!C74,IF(B720&lt;=500,'前提と出典'!B75+'前提と出典'!C75,'前提と出典'!B76+'前提と出典'!C76))))</ns0:f>
        <ns0:v>80000</ns0:v>
      </ns0:c>
      <ns0:c r="N720" s="16">
        <ns0:f>IF(('前提と出典'!$C$37+'前提と出典'!$C$38)=0,0,IF(C720&lt;=10,'前提と出典'!D73+'前提と出典'!E73,IF(C720&lt;=100,'前提と出典'!D74+'前提と出典'!E74,IF(C720&lt;=500,'前提と出典'!D75+'前提と出典'!E75,'前提と出典'!D76+'前提と出典'!E76))))</ns0:f>
        <ns0:v>56510.9346263078</ns0:v>
      </ns0:c>
      <ns0:c r="O720" s="16">
        <ns0:f>IF('前提と出典'!$C$36+'前提と出典'!$C$38=0,0,'前提と出典'!$B$4*IF('前提と出典'!$B$20=0,MAX('前提と出典'!$B$6,D720*'前提と出典'!$B$5),'前提と出典'!$B$6+D720*'前提と出典'!$B$5))</ns0:f>
        <ns0:v>710976</ns0:v>
      </ns0:c>
      <ns0:c r="P720" s="16">
        <ns0:f>(E720+G720)*(1-'前提と出典'!$B$7)-I720-K720-M720-O720</ns0:f>
        <ns0:v>1986186.8912377027</ns0:v>
      </ns0:c>
      <ns0:c r="Q720" s="16">
        <ns0:f>(F720+H720)*(1-'前提と出典'!$B$7)-J720-L720-N720</ns0:f>
        <ns0:v>608502.2655965314</ns0:v>
      </ns0:c>
      <ns0:c r="R720" s="16">
        <ns0:f>P720-E720*'前提と出典'!$E$4</ns0:f>
        <ns0:v>1446206.9873255542</ns0:v>
      </ns0:c>
      <ns0:c r="S720" s="16">
        <ns0:f>Q720-F720*'前提と出典'!$E$4</ns0:f>
        <ns0:v>451597.908202147</ns0:v>
      </ns0:c>
      <ns0:c r="T720" s="7">
        <ns0:f>R720+S720</ns0:f>
        <ns0:v>1897804.8955277014</ns0:v>
      </ns0:c>
      <ns0:c r="U720" s="16">
        <ns0:f>P720-E720*'前提と出典'!$E$5</ns0:f>
        <ns0:v>1266213.6860215052</ns0:v>
      </ns0:c>
      <ns0:c r="V720" s="16">
        <ns0:f>Q720-F720*'前提と出典'!$E$5</ns0:f>
        <ns0:v>399296.45573735225</ns0:v>
      </ns0:c>
      <ns0:c r="W720" s="7">
        <ns0:f>U720+V720</ns0:f>
        <ns0:v>1665510.1417588573</ns0:v>
      </ns0:c>
      <ns0:c r="X720" s="16">
        <ns0:f>P720-E720*'前提と出典'!$E$6</ns0:f>
        <ns0:v>1086220.3847174558</ns0:v>
      </ns0:c>
      <ns0:c r="Y720" s="16">
        <ns0:f>Q720-F720*'前提と出典'!$E$6</ns0:f>
        <ns0:v>346995.0032725574</ns0:v>
      </ns0:c>
      <ns0:c r="Z720" s="7">
        <ns0:f>X720+Y720</ns0:f>
        <ns0:v>1433215.3879900132</ns0:v>
      </ns0:c>
      <ns0:c r="AA720" s="7">
        <ns0:f>IF(T720&gt;=0,A720,1001)</ns0:f>
        <ns0:v>716</ns0:v>
      </ns0:c>
      <ns0:c r="AB720" s="7">
        <ns0:f>IF(T720&lt;0,A720,0)</ns0:f>
        <ns0:v>0</ns0:v>
      </ns0:c>
      <ns0:c r="AC720" s="16">
        <ns0:f>IF(AND(OR('前提と出典'!$C$36+'前提と出典'!$C$38=0,R720&gt;=0),OR('前提と出典'!$C$37+'前提と出典'!$C$38=0,S720&gt;=0)),0,A720)</ns0:f>
        <ns0:v>0</ns0:v>
      </ns0:c>
      <ns0:c r="AD720" s="7">
        <ns0:f>IF(W720&gt;=0,A720,1001)</ns0:f>
        <ns0:v>716</ns0:v>
      </ns0:c>
      <ns0:c r="AE720" s="7">
        <ns0:f>IF(W720&lt;0,A720,0)</ns0:f>
        <ns0:v>0</ns0:v>
      </ns0:c>
      <ns0:c r="AF720" s="16">
        <ns0:f>IF(AND(OR('前提と出典'!$C$36+'前提と出典'!$C$38=0,U720&gt;=0),OR('前提と出典'!$C$37+'前提と出典'!$C$38=0,V720&gt;=0)),0,A720)</ns0:f>
        <ns0:v>0</ns0:v>
      </ns0:c>
      <ns0:c r="AG720" s="7">
        <ns0:f>IF(Z720&gt;=0,A720,1001)</ns0:f>
        <ns0:v>716</ns0:v>
      </ns0:c>
      <ns0:c r="AH720" s="4">
        <ns0:f>IF(Z720&lt;0,A720,0)</ns0:f>
        <ns0:v>0</ns0:v>
      </ns0:c>
      <ns0:c r="AI720" s="12">
        <ns0:f>IF(AND(OR('前提と出典'!$C$36+'前提と出典'!$C$38=0,X720&gt;=0),OR('前提と出典'!$C$37+'前提と出典'!$C$38=0,Y720&gt;=0)),0,A720)</ns0:f>
        <ns0:v>0</ns0:v>
      </ns0:c>
    </ns0:row>
    <ns0:row r="721" ht="24" customHeight="1">
      <ns0:c r="A721" s="4" t="n">
        <ns0:v>717</ns0:v>
      </ns0:c>
      <ns0:c r="B721" s="12">
        <ns0:f>A721*('前提と出典'!$C$36+'前提と出典'!$C$38)</ns0:f>
        <ns0:v>501.9</ns0:v>
      </ns0:c>
      <ns0:c r="C721" s="12">
        <ns0:f>A721*('前提と出典'!$C$37+'前提と出典'!$C$38)</ns0:f>
        <ns0:v>430.2</ns0:v>
      </ns0:c>
      <ns0:c r="D721" s="16">
        <ns0:f>A721*('前提と出典'!$C$36*'契約別単価'!C5+'前提と出典'!$C$37*'契約別単価'!C6+'前提と出典'!$C$38*'契約別単価'!C7)</ns0:f>
        <ns0:v>5159.195530726257</ns0:v>
      </ns0:c>
      <ns0:c r="E721" s="16">
        <ns0:f>A721*('前提と出典'!$C$36*'契約別単価'!E5+'前提と出典'!$C$37*'契約別単価'!E6+'前提と出典'!$C$38*'契約別単価'!E7)</ns0:f>
        <ns0:v>1802446.8859637347</ns0:v>
      </ns0:c>
      <ns0:c r="F721" s="16">
        <ns0:f>A721*('前提と出典'!$C$36*'契約別単価'!F5+'前提と出典'!$C$37*'契約別単価'!F6+'前提と出典'!$C$38*'契約別単価'!F7)</ns0:f>
        <ns0:v>523744.9918611435</ns0:v>
      </ns0:c>
      <ns0:c r="G721" s="16">
        <ns0:f>A721*('前提と出典'!$C$36*'契約別単価'!G5+'前提と出典'!$C$37*'契約別単価'!G6+'前提と出典'!$C$38*'契約別単価'!G7)</ns0:f>
        <ns0:v>1427190.502793296</ns0:v>
      </ns0:c>
      <ns0:c r="H721" s="16">
        <ns0:f>A721*('前提と出典'!$C$36*'契約別単価'!H5+'前提と出典'!$C$37*'契約別単価'!H6+'前提と出典'!$C$38*'契約別単価'!H7)</ns0:f>
        <ns0:v>495306.6836978186</ns0:v>
      </ns0:c>
      <ns0:c r="I721" s="16">
        <ns0:f>A721*('前提と出典'!$C$36*'契約別単価'!I5+'前提と出典'!$C$37*'契約別単価'!I6+'前提と出典'!$C$38*'契約別単価'!I7)</ns0:f>
        <ns0:v>30254.19553072625</ns0:v>
      </ns0:c>
      <ns0:c r="J721" s="16">
        <ns0:f>A721*('前提と出典'!$C$36*'契約別単価'!J5+'前提と出典'!$C$37*'契約別単価'!J6+'前提と出典'!$C$38*'契約別単価'!J7)</ns0:f>
        <ns0:v>70473.60284028694</ns0:v>
      </ns0:c>
      <ns0:c r="K721" s="16">
        <ns0:f>A721*('前提と出典'!$C$36*'契約別単価'!K5+'前提と出典'!$C$37*'契約別単価'!K6+'前提と出典'!$C$38*'契約別単価'!K7)</ns0:f>
        <ns0:v>302074.6368715084</ns0:v>
      </ns0:c>
      <ns0:c r="L721" s="16">
        <ns0:f>A721*('前提と出典'!$C$36*'契約別単価'!L5+'前提と出典'!$C$37*'契約別単価'!L6+'前提と出典'!$C$38*'契約別単価'!L7)</ns0:f>
        <ns0:v>245950.22278992727</ns0:v>
      </ns0:c>
      <ns0:c r="M721" s="16">
        <ns0:f>IF(('前提と出典'!$C$36+'前提と出典'!$C$38)=0,0,IF(B721&lt;=10,'前提と出典'!B73+'前提と出典'!C73,IF(B721&lt;=100,'前提と出典'!B74+'前提と出典'!C74,IF(B721&lt;=500,'前提と出典'!B75+'前提と出典'!C75,'前提と出典'!B76+'前提と出典'!C76))))</ns0:f>
        <ns0:v>80000</ns0:v>
      </ns0:c>
      <ns0:c r="N721" s="16">
        <ns0:f>IF(('前提と出典'!$C$37+'前提と出典'!$C$38)=0,0,IF(C721&lt;=10,'前提と出典'!D73+'前提と出典'!E73,IF(C721&lt;=100,'前提と出典'!D74+'前提と出典'!E74,IF(C721&lt;=500,'前提と出典'!D75+'前提と出典'!E75,'前提と出典'!D76+'前提と出典'!E76))))</ns0:f>
        <ns0:v>56510.9346263078</ns0:v>
      </ns0:c>
      <ns0:c r="O721" s="16">
        <ns0:f>IF('前提と出典'!$C$36+'前提と出典'!$C$38=0,0,'前提と出典'!$B$4*IF('前提と出典'!$B$20=0,MAX('前提と出典'!$B$6,D721*'前提と出典'!$B$5),'前提と出典'!$B$6+D721*'前提と出典'!$B$5))</ns0:f>
        <ns0:v>711968.9832402235</ns0:v>
      </ns0:c>
      <ns0:c r="P721" s="16">
        <ns0:f>(E721+G721)*(1-'前提と出典'!$B$7)-I721-K721-M721-O721</ns0:f>
        <ns0:v>1989072.6271193197</ns0:v>
      </ns0:c>
      <ns0:c r="Q721" s="16">
        <ns0:f>(F721+H721)*(1-'前提と出典'!$B$7)-J721-L721-N721</ns0:f>
        <ns0:v>609431.0549823175</ns0:v>
      </ns0:c>
      <ns0:c r="R721" s="16">
        <ns0:f>P721-E721*'前提と出典'!$E$4</ns0:f>
        <ns0:v>1448338.5613301992</ns0:v>
      </ns0:c>
      <ns0:c r="S721" s="16">
        <ns0:f>Q721-F721*'前提と出典'!$E$4</ns0:f>
        <ns0:v>452307.5574239745</ns0:v>
      </ns0:c>
      <ns0:c r="T721" s="7">
        <ns0:f>R721+S721</ns0:f>
        <ns0:v>1900646.1187541736</ns0:v>
      </ns0:c>
      <ns0:c r="U721" s="16">
        <ns0:f>P721-E721*'前提と出典'!$E$5</ns0:f>
        <ns0:v>1268093.8727338258</ns0:v>
      </ns0:c>
      <ns0:c r="V721" s="16">
        <ns0:f>Q721-F721*'前提と出典'!$E$5</ns0:f>
        <ns0:v>399933.0582378601</ns0:v>
      </ns0:c>
      <ns0:c r="W721" s="7">
        <ns0:f>U721+V721</ns0:f>
        <ns0:v>1668026.9309716858</ns0:v>
      </ns0:c>
      <ns0:c r="X721" s="16">
        <ns0:f>P721-E721*'前提と出典'!$E$6</ns0:f>
        <ns0:v>1087849.1841374524</ns0:v>
      </ns0:c>
      <ns0:c r="Y721" s="16">
        <ns0:f>Q721-F721*'前提と出典'!$E$6</ns0:f>
        <ns0:v>347558.5590517457</ns0:v>
      </ns0:c>
      <ns0:c r="Z721" s="7">
        <ns0:f>X721+Y721</ns0:f>
        <ns0:v>1435407.743189198</ns0:v>
      </ns0:c>
      <ns0:c r="AA721" s="7">
        <ns0:f>IF(T721&gt;=0,A721,1001)</ns0:f>
        <ns0:v>717</ns0:v>
      </ns0:c>
      <ns0:c r="AB721" s="7">
        <ns0:f>IF(T721&lt;0,A721,0)</ns0:f>
        <ns0:v>0</ns0:v>
      </ns0:c>
      <ns0:c r="AC721" s="16">
        <ns0:f>IF(AND(OR('前提と出典'!$C$36+'前提と出典'!$C$38=0,R721&gt;=0),OR('前提と出典'!$C$37+'前提と出典'!$C$38=0,S721&gt;=0)),0,A721)</ns0:f>
        <ns0:v>0</ns0:v>
      </ns0:c>
      <ns0:c r="AD721" s="7">
        <ns0:f>IF(W721&gt;=0,A721,1001)</ns0:f>
        <ns0:v>717</ns0:v>
      </ns0:c>
      <ns0:c r="AE721" s="7">
        <ns0:f>IF(W721&lt;0,A721,0)</ns0:f>
        <ns0:v>0</ns0:v>
      </ns0:c>
      <ns0:c r="AF721" s="16">
        <ns0:f>IF(AND(OR('前提と出典'!$C$36+'前提と出典'!$C$38=0,U721&gt;=0),OR('前提と出典'!$C$37+'前提と出典'!$C$38=0,V721&gt;=0)),0,A721)</ns0:f>
        <ns0:v>0</ns0:v>
      </ns0:c>
      <ns0:c r="AG721" s="7">
        <ns0:f>IF(Z721&gt;=0,A721,1001)</ns0:f>
        <ns0:v>717</ns0:v>
      </ns0:c>
      <ns0:c r="AH721" s="4">
        <ns0:f>IF(Z721&lt;0,A721,0)</ns0:f>
        <ns0:v>0</ns0:v>
      </ns0:c>
      <ns0:c r="AI721" s="12">
        <ns0:f>IF(AND(OR('前提と出典'!$C$36+'前提と出典'!$C$38=0,X721&gt;=0),OR('前提と出典'!$C$37+'前提と出典'!$C$38=0,Y721&gt;=0)),0,A721)</ns0:f>
        <ns0:v>0</ns0:v>
      </ns0:c>
    </ns0:row>
    <ns0:row r="722" ht="24" customHeight="1">
      <ns0:c r="A722" s="4" t="n">
        <ns0:v>718</ns0:v>
      </ns0:c>
      <ns0:c r="B722" s="12">
        <ns0:f>A722*('前提と出典'!$C$36+'前提と出典'!$C$38)</ns0:f>
        <ns0:v>502.59999999999997</ns0:v>
      </ns0:c>
      <ns0:c r="C722" s="12">
        <ns0:f>A722*('前提と出典'!$C$37+'前提と出典'!$C$38)</ns0:f>
        <ns0:v>430.8</ns0:v>
      </ns0:c>
      <ns0:c r="D722" s="16">
        <ns0:f>A722*('前提と出典'!$C$36*'契約別単価'!C5+'前提と出典'!$C$37*'契約別単価'!C6+'前提と出典'!$C$38*'契約別単価'!C7)</ns0:f>
        <ns0:v>5166.391061452514</ns0:v>
      </ns0:c>
      <ns0:c r="E722" s="16">
        <ns0:f>A722*('前提と出典'!$C$36*'契約別単価'!E5+'前提と出典'!$C$37*'契約別単価'!E6+'前提と出典'!$C$38*'契約別単価'!E7)</ns0:f>
        <ns0:v>1804960.7588869757</ns0:v>
      </ns0:c>
      <ns0:c r="F722" s="16">
        <ns0:f>A722*('前提と出典'!$C$36*'契約別単価'!F5+'前提と出典'!$C$37*'契約別単価'!F6+'前提と出典'!$C$38*'契約別単価'!F7)</ns0:f>
        <ns0:v>524475.459074339</ns0:v>
      </ns0:c>
      <ns0:c r="G722" s="16">
        <ns0:f>A722*('前提と出典'!$C$36*'契約別単価'!G5+'前提と出典'!$C$37*'契約別単価'!G6+'前提と出典'!$C$38*'契約別単価'!G7)</ns0:f>
        <ns0:v>1429181.005586592</ns0:v>
      </ns0:c>
      <ns0:c r="H722" s="16">
        <ns0:f>A722*('前提と出典'!$C$36*'契約別単価'!H5+'前提と出典'!$C$37*'契約別単価'!H6+'前提と出典'!$C$38*'契約別単価'!H7)</ns0:f>
        <ns0:v>495997.4879986524</ns0:v>
      </ns0:c>
      <ns0:c r="I722" s="16">
        <ns0:f>A722*('前提と出典'!$C$36*'契約別単価'!I5+'前提と出典'!$C$37*'契約別単価'!I6+'前提と出典'!$C$38*'契約別単価'!I7)</ns0:f>
        <ns0:v>30296.39106145251</ns0:v>
      </ns0:c>
      <ns0:c r="J722" s="16">
        <ns0:f>A722*('前提と出典'!$C$36*'契約別単価'!J5+'前提と出典'!$C$37*'契約別単価'!J6+'前提と出典'!$C$38*'契約別単価'!J7)</ns0:f>
        <ns0:v>70571.89238399724</ns0:v>
      </ns0:c>
      <ns0:c r="K722" s="16">
        <ns0:f>A722*('前提と出典'!$C$36*'契約別単価'!K5+'前提と出典'!$C$37*'契約別単価'!K6+'前提と出典'!$C$38*'契約別単価'!K7)</ns0:f>
        <ns0:v>302495.9404096834</ns0:v>
      </ns0:c>
      <ns0:c r="L722" s="16">
        <ns0:f>A722*('前提と出典'!$C$36*'契約別単価'!L5+'前提と出典'!$C$37*'契約別単価'!L6+'前提と出典'!$C$38*'契約別単価'!L7)</ns0:f>
        <ns0:v>246293.24959995507</ns0:v>
      </ns0:c>
      <ns0:c r="M722" s="16">
        <ns0:f>IF(('前提と出典'!$C$36+'前提と出典'!$C$38)=0,0,IF(B722&lt;=10,'前提と出典'!B73+'前提と出典'!C73,IF(B722&lt;=100,'前提と出典'!B74+'前提と出典'!C74,IF(B722&lt;=500,'前提と出典'!B75+'前提と出典'!C75,'前提と出典'!B76+'前提と出典'!C76))))</ns0:f>
        <ns0:v>80000</ns0:v>
      </ns0:c>
      <ns0:c r="N722" s="16">
        <ns0:f>IF(('前提と出典'!$C$37+'前提と出典'!$C$38)=0,0,IF(C722&lt;=10,'前提と出典'!D73+'前提と出典'!E73,IF(C722&lt;=100,'前提と出典'!D74+'前提と出典'!E74,IF(C722&lt;=500,'前提と出典'!D75+'前提と出典'!E75,'前提と出典'!D76+'前提と出典'!E76))))</ns0:f>
        <ns0:v>56510.9346263078</ns0:v>
      </ns0:c>
      <ns0:c r="O722" s="16">
        <ns0:f>IF('前提と出典'!$C$36+'前提と出典'!$C$38=0,0,'前提と出典'!$B$4*IF('前提と出典'!$B$20=0,MAX('前提と出典'!$B$6,D722*'前提と出典'!$B$5),'前提と出典'!$B$6+D722*'前提と出典'!$B$5))</ns0:f>
        <ns0:v>712961.966480447</ns0:v>
      </ns0:c>
      <ns0:c r="P722" s="16">
        <ns0:f>(E722+G722)*(1-'前提と出典'!$B$7)-I722-K722-M722-O722</ns0:f>
        <ns0:v>1991958.3630009363</ns0:v>
      </ns0:c>
      <ns0:c r="Q722" s="16">
        <ns0:f>(F722+H722)*(1-'前提と出典'!$B$7)-J722-L722-N722</ns0:f>
        <ns0:v>610359.8443681037</ns0:v>
      </ns0:c>
      <ns0:c r="R722" s="16">
        <ns0:f>P722-E722*'前提と出典'!$E$4</ns0:f>
        <ns0:v>1450470.1353348438</ns0:v>
      </ns0:c>
      <ns0:c r="S722" s="16">
        <ns0:f>Q722-F722*'前提と出典'!$E$4</ns0:f>
        <ns0:v>453017.2066458019</ns0:v>
      </ns0:c>
      <ns0:c r="T722" s="7">
        <ns0:f>R722+S722</ns0:f>
        <ns0:v>1903487.3419806457</ns0:v>
      </ns0:c>
      <ns0:c r="U722" s="16">
        <ns0:f>P722-E722*'前提と出典'!$E$5</ns0:f>
        <ns0:v>1269974.059446146</ns0:v>
      </ns0:c>
      <ns0:c r="V722" s="16">
        <ns0:f>Q722-F722*'前提と出典'!$E$5</ns0:f>
        <ns0:v>400569.66073836805</ns0:v>
      </ns0:c>
      <ns0:c r="W722" s="7">
        <ns0:f>U722+V722</ns0:f>
        <ns0:v>1670543.720184514</ns0:v>
      </ns0:c>
      <ns0:c r="X722" s="16">
        <ns0:f>P722-E722*'前提と出典'!$E$6</ns0:f>
        <ns0:v>1089477.983557448</ns0:v>
      </ns0:c>
      <ns0:c r="Y722" s="16">
        <ns0:f>Q722-F722*'前提と出典'!$E$6</ns0:f>
        <ns0:v>348122.1148309342</ns0:v>
      </ns0:c>
      <ns0:c r="Z722" s="7">
        <ns0:f>X722+Y722</ns0:f>
        <ns0:v>1437600.0983883822</ns0:v>
      </ns0:c>
      <ns0:c r="AA722" s="7">
        <ns0:f>IF(T722&gt;=0,A722,1001)</ns0:f>
        <ns0:v>718</ns0:v>
      </ns0:c>
      <ns0:c r="AB722" s="7">
        <ns0:f>IF(T722&lt;0,A722,0)</ns0:f>
        <ns0:v>0</ns0:v>
      </ns0:c>
      <ns0:c r="AC722" s="16">
        <ns0:f>IF(AND(OR('前提と出典'!$C$36+'前提と出典'!$C$38=0,R722&gt;=0),OR('前提と出典'!$C$37+'前提と出典'!$C$38=0,S722&gt;=0)),0,A722)</ns0:f>
        <ns0:v>0</ns0:v>
      </ns0:c>
      <ns0:c r="AD722" s="7">
        <ns0:f>IF(W722&gt;=0,A722,1001)</ns0:f>
        <ns0:v>718</ns0:v>
      </ns0:c>
      <ns0:c r="AE722" s="7">
        <ns0:f>IF(W722&lt;0,A722,0)</ns0:f>
        <ns0:v>0</ns0:v>
      </ns0:c>
      <ns0:c r="AF722" s="16">
        <ns0:f>IF(AND(OR('前提と出典'!$C$36+'前提と出典'!$C$38=0,U722&gt;=0),OR('前提と出典'!$C$37+'前提と出典'!$C$38=0,V722&gt;=0)),0,A722)</ns0:f>
        <ns0:v>0</ns0:v>
      </ns0:c>
      <ns0:c r="AG722" s="7">
        <ns0:f>IF(Z722&gt;=0,A722,1001)</ns0:f>
        <ns0:v>718</ns0:v>
      </ns0:c>
      <ns0:c r="AH722" s="4">
        <ns0:f>IF(Z722&lt;0,A722,0)</ns0:f>
        <ns0:v>0</ns0:v>
      </ns0:c>
      <ns0:c r="AI722" s="12">
        <ns0:f>IF(AND(OR('前提と出典'!$C$36+'前提と出典'!$C$38=0,X722&gt;=0),OR('前提と出典'!$C$37+'前提と出典'!$C$38=0,Y722&gt;=0)),0,A722)</ns0:f>
        <ns0:v>0</ns0:v>
      </ns0:c>
    </ns0:row>
    <ns0:row r="723" ht="24" customHeight="1">
      <ns0:c r="A723" s="4" t="n">
        <ns0:v>719</ns0:v>
      </ns0:c>
      <ns0:c r="B723" s="12">
        <ns0:f>A723*('前提と出典'!$C$36+'前提と出典'!$C$38)</ns0:f>
        <ns0:v>503.29999999999995</ns0:v>
      </ns0:c>
      <ns0:c r="C723" s="12">
        <ns0:f>A723*('前提と出典'!$C$37+'前提と出典'!$C$38)</ns0:f>
        <ns0:v>431.4</ns0:v>
      </ns0:c>
      <ns0:c r="D723" s="16">
        <ns0:f>A723*('前提と出典'!$C$36*'契約別単価'!C5+'前提と出典'!$C$37*'契約別単価'!C6+'前提と出典'!$C$38*'契約別単価'!C7)</ns0:f>
        <ns0:v>5173.586592178771</ns0:v>
      </ns0:c>
      <ns0:c r="E723" s="16">
        <ns0:f>A723*('前提と出典'!$C$36*'契約別単価'!E5+'前提と出典'!$C$37*'契約別単価'!E6+'前提と出典'!$C$38*'契約別単価'!E7)</ns0:f>
        <ns0:v>1807474.6318102167</ns0:v>
      </ns0:c>
      <ns0:c r="F723" s="16">
        <ns0:f>A723*('前提と出典'!$C$36*'契約別単価'!F5+'前提と出典'!$C$37*'契約別単価'!F6+'前提と出典'!$C$38*'契約別単価'!F7)</ns0:f>
        <ns0:v>525205.9262875344</ns0:v>
      </ns0:c>
      <ns0:c r="G723" s="16">
        <ns0:f>A723*('前提と出典'!$C$36*'契約別単価'!G5+'前提と出典'!$C$37*'契約別単価'!G6+'前提と出典'!$C$38*'契約別単価'!G7)</ns0:f>
        <ns0:v>1431171.5083798883</ns0:v>
      </ns0:c>
      <ns0:c r="H723" s="16">
        <ns0:f>A723*('前提と出典'!$C$36*'契約別単価'!H5+'前提と出典'!$C$37*'契約別単価'!H6+'前提と出典'!$C$38*'契約別単価'!H7)</ns0:f>
        <ns0:v>496688.2922994862</ns0:v>
      </ns0:c>
      <ns0:c r="I723" s="16">
        <ns0:f>A723*('前提と出典'!$C$36*'契約別単価'!I5+'前提と出典'!$C$37*'契約別単価'!I6+'前提と出典'!$C$38*'契約別単価'!I7)</ns0:f>
        <ns0:v>30338.586592178766</ns0:v>
      </ns0:c>
      <ns0:c r="J723" s="16">
        <ns0:f>A723*('前提と出典'!$C$36*'契約別単価'!J5+'前提と出典'!$C$37*'契約別単価'!J6+'前提と出典'!$C$38*'契約別単価'!J7)</ns0:f>
        <ns0:v>70670.18192770754</ns0:v>
      </ns0:c>
      <ns0:c r="K723" s="16">
        <ns0:f>A723*('前提と出典'!$C$36*'契約別単価'!K5+'前提と出典'!$C$37*'契約別単価'!K6+'前提と出典'!$C$38*'契約別単価'!K7)</ns0:f>
        <ns0:v>302917.24394785846</ns0:v>
      </ns0:c>
      <ns0:c r="L723" s="16">
        <ns0:f>A723*('前提と出典'!$C$36*'契約別単価'!L5+'前提と出典'!$C$37*'契約別単価'!L6+'前提と出典'!$C$38*'契約別単価'!L7)</ns0:f>
        <ns0:v>246636.27640998288</ns0:v>
      </ns0:c>
      <ns0:c r="M723" s="16">
        <ns0:f>IF(('前提と出典'!$C$36+'前提と出典'!$C$38)=0,0,IF(B723&lt;=10,'前提と出典'!B73+'前提と出典'!C73,IF(B723&lt;=100,'前提と出典'!B74+'前提と出典'!C74,IF(B723&lt;=500,'前提と出典'!B75+'前提と出典'!C75,'前提と出典'!B76+'前提と出典'!C76))))</ns0:f>
        <ns0:v>80000</ns0:v>
      </ns0:c>
      <ns0:c r="N723" s="16">
        <ns0:f>IF(('前提と出典'!$C$37+'前提と出典'!$C$38)=0,0,IF(C723&lt;=10,'前提と出典'!D73+'前提と出典'!E73,IF(C723&lt;=100,'前提と出典'!D74+'前提と出典'!E74,IF(C723&lt;=500,'前提と出典'!D75+'前提と出典'!E75,'前提と出典'!D76+'前提と出典'!E76))))</ns0:f>
        <ns0:v>56510.9346263078</ns0:v>
      </ns0:c>
      <ns0:c r="O723" s="16">
        <ns0:f>IF('前提と出典'!$C$36+'前提と出典'!$C$38=0,0,'前提と出典'!$B$4*IF('前提と出典'!$B$20=0,MAX('前提と出典'!$B$6,D723*'前提と出典'!$B$5),'前提と出典'!$B$6+D723*'前提と出典'!$B$5))</ns0:f>
        <ns0:v>713954.9497206705</ns0:v>
      </ns0:c>
      <ns0:c r="P723" s="16">
        <ns0:f>(E723+G723)*(1-'前提と出典'!$B$7)-I723-K723-M723-O723</ns0:f>
        <ns0:v>1994844.0988825539</ns0:v>
      </ns0:c>
      <ns0:c r="Q723" s="16">
        <ns0:f>(F723+H723)*(1-'前提と出典'!$B$7)-J723-L723-N723</ns0:f>
        <ns0:v>611288.6337538897</ns0:v>
      </ns0:c>
      <ns0:c r="R723" s="16">
        <ns0:f>P723-E723*'前提と出典'!$E$4</ns0:f>
        <ns0:v>1452601.7093394888</ns0:v>
      </ns0:c>
      <ns0:c r="S723" s="16">
        <ns0:f>Q723-F723*'前提と出典'!$E$4</ns0:f>
        <ns0:v>453726.85586762946</ns0:v>
      </ns0:c>
      <ns0:c r="T723" s="7">
        <ns0:f>R723+S723</ns0:f>
        <ns0:v>1906328.5652071182</ns0:v>
      </ns0:c>
      <ns0:c r="U723" s="16">
        <ns0:f>P723-E723*'前提と出典'!$E$5</ns0:f>
        <ns0:v>1271854.2461584671</ns0:v>
      </ns0:c>
      <ns0:c r="V723" s="16">
        <ns0:f>Q723-F723*'前提と出典'!$E$5</ns0:f>
        <ns0:v>401206.26323887595</ns0:v>
      </ns0:c>
      <ns0:c r="W723" s="7">
        <ns0:f>U723+V723</ns0:f>
        <ns0:v>1673060.509397343</ns0:v>
      </ns0:c>
      <ns0:c r="X723" s="16">
        <ns0:f>P723-E723*'前提と出典'!$E$6</ns0:f>
        <ns0:v>1091106.7829774455</ns0:v>
      </ns0:c>
      <ns0:c r="Y723" s="16">
        <ns0:f>Q723-F723*'前提と出典'!$E$6</ns0:f>
        <ns0:v>348685.67061012256</ns0:v>
      </ns0:c>
      <ns0:c r="Z723" s="7">
        <ns0:f>X723+Y723</ns0:f>
        <ns0:v>1439792.4535875681</ns0:v>
      </ns0:c>
      <ns0:c r="AA723" s="7">
        <ns0:f>IF(T723&gt;=0,A723,1001)</ns0:f>
        <ns0:v>719</ns0:v>
      </ns0:c>
      <ns0:c r="AB723" s="7">
        <ns0:f>IF(T723&lt;0,A723,0)</ns0:f>
        <ns0:v>0</ns0:v>
      </ns0:c>
      <ns0:c r="AC723" s="16">
        <ns0:f>IF(AND(OR('前提と出典'!$C$36+'前提と出典'!$C$38=0,R723&gt;=0),OR('前提と出典'!$C$37+'前提と出典'!$C$38=0,S723&gt;=0)),0,A723)</ns0:f>
        <ns0:v>0</ns0:v>
      </ns0:c>
      <ns0:c r="AD723" s="7">
        <ns0:f>IF(W723&gt;=0,A723,1001)</ns0:f>
        <ns0:v>719</ns0:v>
      </ns0:c>
      <ns0:c r="AE723" s="7">
        <ns0:f>IF(W723&lt;0,A723,0)</ns0:f>
        <ns0:v>0</ns0:v>
      </ns0:c>
      <ns0:c r="AF723" s="16">
        <ns0:f>IF(AND(OR('前提と出典'!$C$36+'前提と出典'!$C$38=0,U723&gt;=0),OR('前提と出典'!$C$37+'前提と出典'!$C$38=0,V723&gt;=0)),0,A723)</ns0:f>
        <ns0:v>0</ns0:v>
      </ns0:c>
      <ns0:c r="AG723" s="7">
        <ns0:f>IF(Z723&gt;=0,A723,1001)</ns0:f>
        <ns0:v>719</ns0:v>
      </ns0:c>
      <ns0:c r="AH723" s="4">
        <ns0:f>IF(Z723&lt;0,A723,0)</ns0:f>
        <ns0:v>0</ns0:v>
      </ns0:c>
      <ns0:c r="AI723" s="12">
        <ns0:f>IF(AND(OR('前提と出典'!$C$36+'前提と出典'!$C$38=0,X723&gt;=0),OR('前提と出典'!$C$37+'前提と出典'!$C$38=0,Y723&gt;=0)),0,A723)</ns0:f>
        <ns0:v>0</ns0:v>
      </ns0:c>
    </ns0:row>
    <ns0:row r="724" ht="24" customHeight="1">
      <ns0:c r="A724" s="4" t="n">
        <ns0:v>720</ns0:v>
      </ns0:c>
      <ns0:c r="B724" s="12">
        <ns0:f>A724*('前提と出典'!$C$36+'前提と出典'!$C$38)</ns0:f>
        <ns0:v>503.99999999999994</ns0:v>
      </ns0:c>
      <ns0:c r="C724" s="12">
        <ns0:f>A724*('前提と出典'!$C$37+'前提と出典'!$C$38)</ns0:f>
        <ns0:v>432</ns0:v>
      </ns0:c>
      <ns0:c r="D724" s="16">
        <ns0:f>A724*('前提と出典'!$C$36*'契約別単価'!C5+'前提と出典'!$C$37*'契約別単価'!C6+'前提と出典'!$C$38*'契約別単価'!C7)</ns0:f>
        <ns0:v>5180.782122905028</ns0:v>
      </ns0:c>
      <ns0:c r="E724" s="16">
        <ns0:f>A724*('前提と出典'!$C$36*'契約別単価'!E5+'前提と出典'!$C$37*'契約別単価'!E6+'前提と出典'!$C$38*'契約別単価'!E7)</ns0:f>
        <ns0:v>1809988.5047334575</ns0:v>
      </ns0:c>
      <ns0:c r="F724" s="16">
        <ns0:f>A724*('前提と出典'!$C$36*'契約別単価'!F5+'前提と出典'!$C$37*'契約別単価'!F6+'前提と出典'!$C$38*'契約別単価'!F7)</ns0:f>
        <ns0:v>525936.3935007299</ns0:v>
      </ns0:c>
      <ns0:c r="G724" s="16">
        <ns0:f>A724*('前提と出典'!$C$36*'契約別単価'!G5+'前提と出典'!$C$37*'契約別単価'!G6+'前提と出典'!$C$38*'契約別単価'!G7)</ns0:f>
        <ns0:v>1433162.0111731843</ns0:v>
      </ns0:c>
      <ns0:c r="H724" s="16">
        <ns0:f>A724*('前提と出典'!$C$36*'契約別単価'!H5+'前提と出典'!$C$37*'契約別単価'!H6+'前提と出典'!$C$38*'契約別単価'!H7)</ns0:f>
        <ns0:v>497379.09660031996</ns0:v>
      </ns0:c>
      <ns0:c r="I724" s="16">
        <ns0:f>A724*('前提と出典'!$C$36*'契約別単価'!I5+'前提と出典'!$C$37*'契約別単価'!I6+'前提と出典'!$C$38*'契約別単価'!I7)</ns0:f>
        <ns0:v>30380.782122905024</ns0:v>
      </ns0:c>
      <ns0:c r="J724" s="16">
        <ns0:f>A724*('前提と出典'!$C$36*'契約別単価'!J5+'前提と出典'!$C$37*'契約別単価'!J6+'前提と出典'!$C$38*'契約別単価'!J7)</ns0:f>
        <ns0:v>70768.47147141786</ns0:v>
      </ns0:c>
      <ns0:c r="K724" s="16">
        <ns0:f>A724*('前提と出典'!$C$36*'契約別単価'!K5+'前提と出典'!$C$37*'契約別単価'!K6+'前提と出典'!$C$38*'契約別単価'!K7)</ns0:f>
        <ns0:v>303338.5474860335</ns0:v>
      </ns0:c>
      <ns0:c r="L724" s="16">
        <ns0:f>A724*('前提と出典'!$C$36*'契約別単価'!L5+'前提と出典'!$C$37*'契約別単価'!L6+'前提と出典'!$C$38*'契約別単価'!L7)</ns0:f>
        <ns0:v>246979.30322001065</ns0:v>
      </ns0:c>
      <ns0:c r="M724" s="16">
        <ns0:f>IF(('前提と出典'!$C$36+'前提と出典'!$C$38)=0,0,IF(B724&lt;=10,'前提と出典'!B73+'前提と出典'!C73,IF(B724&lt;=100,'前提と出典'!B74+'前提と出典'!C74,IF(B724&lt;=500,'前提と出典'!B75+'前提と出典'!C75,'前提と出典'!B76+'前提と出典'!C76))))</ns0:f>
        <ns0:v>80000</ns0:v>
      </ns0:c>
      <ns0:c r="N724" s="16">
        <ns0:f>IF(('前提と出典'!$C$37+'前提と出典'!$C$38)=0,0,IF(C724&lt;=10,'前提と出典'!D73+'前提と出典'!E73,IF(C724&lt;=100,'前提と出典'!D74+'前提と出典'!E74,IF(C724&lt;=500,'前提と出典'!D75+'前提と出典'!E75,'前提と出典'!D76+'前提と出典'!E76))))</ns0:f>
        <ns0:v>56510.9346263078</ns0:v>
      </ns0:c>
      <ns0:c r="O724" s="16">
        <ns0:f>IF('前提と出典'!$C$36+'前提と出典'!$C$38=0,0,'前提と出典'!$B$4*IF('前提と出典'!$B$20=0,MAX('前提と出典'!$B$6,D724*'前提と出典'!$B$5),'前提と出典'!$B$6+D724*'前提と出典'!$B$5))</ns0:f>
        <ns0:v>714947.932960894</ns0:v>
      </ns0:c>
      <ns0:c r="P724" s="16">
        <ns0:f>(E724+G724)*(1-'前提と出典'!$B$7)-I724-K724-M724-O724</ns0:f>
        <ns0:v>1997729.8347641705</ns0:v>
      </ns0:c>
      <ns0:c r="Q724" s="16">
        <ns0:f>(F724+H724)*(1-'前提と出典'!$B$7)-J724-L724-N724</ns0:f>
        <ns0:v>612217.4231396758</ns0:v>
      </ns0:c>
      <ns0:c r="R724" s="16">
        <ns0:f>P724-E724*'前提と出典'!$E$4</ns0:f>
        <ns0:v>1454733.2833441328</ns0:v>
      </ns0:c>
      <ns0:c r="S724" s="16">
        <ns0:f>Q724-F724*'前提と出典'!$E$4</ns0:f>
        <ns0:v>454436.50508945686</ns0:v>
      </ns0:c>
      <ns0:c r="T724" s="7">
        <ns0:f>R724+S724</ns0:f>
        <ns0:v>1909169.7884335897</ns0:v>
      </ns0:c>
      <ns0:c r="U724" s="16">
        <ns0:f>P724-E724*'前提と出典'!$E$5</ns0:f>
        <ns0:v>1273734.4328707873</ns0:v>
      </ns0:c>
      <ns0:c r="V724" s="16">
        <ns0:f>Q724-F724*'前提と出典'!$E$5</ns0:f>
        <ns0:v>401842.8657393838</ns0:v>
      </ns0:c>
      <ns0:c r="W724" s="7">
        <ns0:f>U724+V724</ns0:f>
        <ns0:v>1675577.298610171</ns0:v>
      </ns0:c>
      <ns0:c r="X724" s="16">
        <ns0:f>P724-E724*'前提と出典'!$E$6</ns0:f>
        <ns0:v>1092735.5823974416</ns0:v>
      </ns0:c>
      <ns0:c r="Y724" s="16">
        <ns0:f>Q724-F724*'前提と出典'!$E$6</ns0:f>
        <ns0:v>349249.22638931085</ns0:v>
      </ns0:c>
      <ns0:c r="Z724" s="7">
        <ns0:f>X724+Y724</ns0:f>
        <ns0:v>1441984.8087867524</ns0:v>
      </ns0:c>
      <ns0:c r="AA724" s="7">
        <ns0:f>IF(T724&gt;=0,A724,1001)</ns0:f>
        <ns0:v>720</ns0:v>
      </ns0:c>
      <ns0:c r="AB724" s="7">
        <ns0:f>IF(T724&lt;0,A724,0)</ns0:f>
        <ns0:v>0</ns0:v>
      </ns0:c>
      <ns0:c r="AC724" s="16">
        <ns0:f>IF(AND(OR('前提と出典'!$C$36+'前提と出典'!$C$38=0,R724&gt;=0),OR('前提と出典'!$C$37+'前提と出典'!$C$38=0,S724&gt;=0)),0,A724)</ns0:f>
        <ns0:v>0</ns0:v>
      </ns0:c>
      <ns0:c r="AD724" s="7">
        <ns0:f>IF(W724&gt;=0,A724,1001)</ns0:f>
        <ns0:v>720</ns0:v>
      </ns0:c>
      <ns0:c r="AE724" s="7">
        <ns0:f>IF(W724&lt;0,A724,0)</ns0:f>
        <ns0:v>0</ns0:v>
      </ns0:c>
      <ns0:c r="AF724" s="16">
        <ns0:f>IF(AND(OR('前提と出典'!$C$36+'前提と出典'!$C$38=0,U724&gt;=0),OR('前提と出典'!$C$37+'前提と出典'!$C$38=0,V724&gt;=0)),0,A724)</ns0:f>
        <ns0:v>0</ns0:v>
      </ns0:c>
      <ns0:c r="AG724" s="7">
        <ns0:f>IF(Z724&gt;=0,A724,1001)</ns0:f>
        <ns0:v>720</ns0:v>
      </ns0:c>
      <ns0:c r="AH724" s="4">
        <ns0:f>IF(Z724&lt;0,A724,0)</ns0:f>
        <ns0:v>0</ns0:v>
      </ns0:c>
      <ns0:c r="AI724" s="12">
        <ns0:f>IF(AND(OR('前提と出典'!$C$36+'前提と出典'!$C$38=0,X724&gt;=0),OR('前提と出典'!$C$37+'前提と出典'!$C$38=0,Y724&gt;=0)),0,A724)</ns0:f>
        <ns0:v>0</ns0:v>
      </ns0:c>
    </ns0:row>
    <ns0:row r="725" ht="24" customHeight="1">
      <ns0:c r="A725" s="4" t="n">
        <ns0:v>721</ns0:v>
      </ns0:c>
      <ns0:c r="B725" s="12">
        <ns0:f>A725*('前提と出典'!$C$36+'前提と出典'!$C$38)</ns0:f>
        <ns0:v>504.7</ns0:v>
      </ns0:c>
      <ns0:c r="C725" s="12">
        <ns0:f>A725*('前提と出典'!$C$37+'前提と出典'!$C$38)</ns0:f>
        <ns0:v>432.59999999999997</ns0:v>
      </ns0:c>
      <ns0:c r="D725" s="16">
        <ns0:f>A725*('前提と出典'!$C$36*'契約別単価'!C5+'前提と出典'!$C$37*'契約別単価'!C6+'前提と出典'!$C$38*'契約別単価'!C7)</ns0:f>
        <ns0:v>5187.977653631285</ns0:v>
      </ns0:c>
      <ns0:c r="E725" s="16">
        <ns0:f>A725*('前提と出典'!$C$36*'契約別単価'!E5+'前提と出典'!$C$37*'契約別単価'!E6+'前提と出典'!$C$38*'契約別単価'!E7)</ns0:f>
        <ns0:v>1812502.3776566985</ns0:v>
      </ns0:c>
      <ns0:c r="F725" s="16">
        <ns0:f>A725*('前提と出典'!$C$36*'契約別単価'!F5+'前提と出典'!$C$37*'契約別単価'!F6+'前提と出典'!$C$38*'契約別単価'!F7)</ns0:f>
        <ns0:v>526666.8607139253</ns0:v>
      </ns0:c>
      <ns0:c r="G725" s="16">
        <ns0:f>A725*('前提と出典'!$C$36*'契約別単価'!G5+'前提と出典'!$C$37*'契約別単価'!G6+'前提と出典'!$C$38*'契約別単価'!G7)</ns0:f>
        <ns0:v>1435152.5139664803</ns0:v>
      </ns0:c>
      <ns0:c r="H725" s="16">
        <ns0:f>A725*('前提と出典'!$C$36*'契約別単価'!H5+'前提と出典'!$C$37*'契約別単価'!H6+'前提と出典'!$C$38*'契約別単価'!H7)</ns0:f>
        <ns0:v>498069.90090115374</ns0:v>
      </ns0:c>
      <ns0:c r="I725" s="16">
        <ns0:f>A725*('前提と出典'!$C$36*'契約別単価'!I5+'前提と出典'!$C$37*'契約別単価'!I6+'前提と出典'!$C$38*'契約別単価'!I7)</ns0:f>
        <ns0:v>30422.97765363128</ns0:v>
      </ns0:c>
      <ns0:c r="J725" s="16">
        <ns0:f>A725*('前提と出典'!$C$36*'契約別単価'!J5+'前提と出典'!$C$37*'契約別単価'!J6+'前提と出典'!$C$38*'契約別単価'!J7)</ns0:f>
        <ns0:v>70866.76101512816</ns0:v>
      </ns0:c>
      <ns0:c r="K725" s="16">
        <ns0:f>A725*('前提と出典'!$C$36*'契約別単価'!K5+'前提と出典'!$C$37*'契約別単価'!K6+'前提と出典'!$C$38*'契約別単価'!K7)</ns0:f>
        <ns0:v>303759.85102420853</ns0:v>
      </ns0:c>
      <ns0:c r="L725" s="16">
        <ns0:f>A725*('前提と出典'!$C$36*'契約別単価'!L5+'前提と出典'!$C$37*'契約別単価'!L6+'前提と出典'!$C$38*'契約別単価'!L7)</ns0:f>
        <ns0:v>247322.33003003846</ns0:v>
      </ns0:c>
      <ns0:c r="M725" s="16">
        <ns0:f>IF(('前提と出典'!$C$36+'前提と出典'!$C$38)=0,0,IF(B725&lt;=10,'前提と出典'!B73+'前提と出典'!C73,IF(B725&lt;=100,'前提と出典'!B74+'前提と出典'!C74,IF(B725&lt;=500,'前提と出典'!B75+'前提と出典'!C75,'前提と出典'!B76+'前提と出典'!C76))))</ns0:f>
        <ns0:v>80000</ns0:v>
      </ns0:c>
      <ns0:c r="N725" s="16">
        <ns0:f>IF(('前提と出典'!$C$37+'前提と出典'!$C$38)=0,0,IF(C725&lt;=10,'前提と出典'!D73+'前提と出典'!E73,IF(C725&lt;=100,'前提と出典'!D74+'前提と出典'!E74,IF(C725&lt;=500,'前提と出典'!D75+'前提と出典'!E75,'前提と出典'!D76+'前提と出典'!E76))))</ns0:f>
        <ns0:v>56510.9346263078</ns0:v>
      </ns0:c>
      <ns0:c r="O725" s="16">
        <ns0:f>IF('前提と出典'!$C$36+'前提と出典'!$C$38=0,0,'前提と出典'!$B$4*IF('前提と出典'!$B$20=0,MAX('前提と出典'!$B$6,D725*'前提と出典'!$B$5),'前提と出典'!$B$6+D725*'前提と出典'!$B$5))</ns0:f>
        <ns0:v>715940.9162011172</ns0:v>
      </ns0:c>
      <ns0:c r="P725" s="16">
        <ns0:f>(E725+G725)*(1-'前提と出典'!$B$7)-I725-K725-M725-O725</ns0:f>
        <ns0:v>2000615.5706457868</ns0:v>
      </ns0:c>
      <ns0:c r="Q725" s="16">
        <ns0:f>(F725+H725)*(1-'前提と出典'!$B$7)-J725-L725-N725</ns0:f>
        <ns0:v>613146.2125254619</ns0:v>
      </ns0:c>
      <ns0:c r="R725" s="16">
        <ns0:f>P725-E725*'前提と出典'!$E$4</ns0:f>
        <ns0:v>1456864.8573487771</ns0:v>
      </ns0:c>
      <ns0:c r="S725" s="16">
        <ns0:f>Q725-F725*'前提と出典'!$E$4</ns0:f>
        <ns0:v>455146.1543112843</ns0:v>
      </ns0:c>
      <ns0:c r="T725" s="7">
        <ns0:f>R725+S725</ns0:f>
        <ns0:v>1912011.0116600613</ns0:v>
      </ns0:c>
      <ns0:c r="U725" s="16">
        <ns0:f>P725-E725*'前提と出典'!$E$5</ns0:f>
        <ns0:v>1275614.6195831073</ns0:v>
      </ns0:c>
      <ns0:c r="V725" s="16">
        <ns0:f>Q725-F725*'前提と出典'!$E$5</ns0:f>
        <ns0:v>402479.4682398918</ns0:v>
      </ns0:c>
      <ns0:c r="W725" s="7">
        <ns0:f>U725+V725</ns0:f>
        <ns0:v>1678094.087822999</ns0:v>
      </ns0:c>
      <ns0:c r="X725" s="16">
        <ns0:f>P725-E725*'前提と出典'!$E$6</ns0:f>
        <ns0:v>1094364.3818174375</ns0:v>
      </ns0:c>
      <ns0:c r="Y725" s="16">
        <ns0:f>Q725-F725*'前提と出典'!$E$6</ns0:f>
        <ns0:v>349812.7821684993</ns0:v>
      </ns0:c>
      <ns0:c r="Z725" s="7">
        <ns0:f>X725+Y725</ns0:f>
        <ns0:v>1444177.163985937</ns0:v>
      </ns0:c>
      <ns0:c r="AA725" s="7">
        <ns0:f>IF(T725&gt;=0,A725,1001)</ns0:f>
        <ns0:v>721</ns0:v>
      </ns0:c>
      <ns0:c r="AB725" s="7">
        <ns0:f>IF(T725&lt;0,A725,0)</ns0:f>
        <ns0:v>0</ns0:v>
      </ns0:c>
      <ns0:c r="AC725" s="16">
        <ns0:f>IF(AND(OR('前提と出典'!$C$36+'前提と出典'!$C$38=0,R725&gt;=0),OR('前提と出典'!$C$37+'前提と出典'!$C$38=0,S725&gt;=0)),0,A725)</ns0:f>
        <ns0:v>0</ns0:v>
      </ns0:c>
      <ns0:c r="AD725" s="7">
        <ns0:f>IF(W725&gt;=0,A725,1001)</ns0:f>
        <ns0:v>721</ns0:v>
      </ns0:c>
      <ns0:c r="AE725" s="7">
        <ns0:f>IF(W725&lt;0,A725,0)</ns0:f>
        <ns0:v>0</ns0:v>
      </ns0:c>
      <ns0:c r="AF725" s="16">
        <ns0:f>IF(AND(OR('前提と出典'!$C$36+'前提と出典'!$C$38=0,U725&gt;=0),OR('前提と出典'!$C$37+'前提と出典'!$C$38=0,V725&gt;=0)),0,A725)</ns0:f>
        <ns0:v>0</ns0:v>
      </ns0:c>
      <ns0:c r="AG725" s="7">
        <ns0:f>IF(Z725&gt;=0,A725,1001)</ns0:f>
        <ns0:v>721</ns0:v>
      </ns0:c>
      <ns0:c r="AH725" s="4">
        <ns0:f>IF(Z725&lt;0,A725,0)</ns0:f>
        <ns0:v>0</ns0:v>
      </ns0:c>
      <ns0:c r="AI725" s="12">
        <ns0:f>IF(AND(OR('前提と出典'!$C$36+'前提と出典'!$C$38=0,X725&gt;=0),OR('前提と出典'!$C$37+'前提と出典'!$C$38=0,Y725&gt;=0)),0,A725)</ns0:f>
        <ns0:v>0</ns0:v>
      </ns0:c>
    </ns0:row>
    <ns0:row r="726" ht="24" customHeight="1">
      <ns0:c r="A726" s="4" t="n">
        <ns0:v>722</ns0:v>
      </ns0:c>
      <ns0:c r="B726" s="12">
        <ns0:f>A726*('前提と出典'!$C$36+'前提と出典'!$C$38)</ns0:f>
        <ns0:v>505.4</ns0:v>
      </ns0:c>
      <ns0:c r="C726" s="12">
        <ns0:f>A726*('前提と出典'!$C$37+'前提と出典'!$C$38)</ns0:f>
        <ns0:v>433.2</ns0:v>
      </ns0:c>
      <ns0:c r="D726" s="16">
        <ns0:f>A726*('前提と出典'!$C$36*'契約別単価'!C5+'前提と出典'!$C$37*'契約別単価'!C6+'前提と出典'!$C$38*'契約別単価'!C7)</ns0:f>
        <ns0:v>5195.173184357542</ns0:v>
      </ns0:c>
      <ns0:c r="E726" s="16">
        <ns0:f>A726*('前提と出典'!$C$36*'契約別単価'!E5+'前提と出典'!$C$37*'契約別単価'!E6+'前提と出典'!$C$38*'契約別単価'!E7)</ns0:f>
        <ns0:v>1815016.2505799395</ns0:v>
      </ns0:c>
      <ns0:c r="F726" s="16">
        <ns0:f>A726*('前提と出典'!$C$36*'契約別単価'!F5+'前提と出典'!$C$37*'契約別単価'!F6+'前提と出典'!$C$38*'契約別単価'!F7)</ns0:f>
        <ns0:v>527397.3279271208</ns0:v>
      </ns0:c>
      <ns0:c r="G726" s="16">
        <ns0:f>A726*('前提と出典'!$C$36*'契約別単価'!G5+'前提と出典'!$C$37*'契約別単価'!G6+'前提と出典'!$C$38*'契約別単価'!G7)</ns0:f>
        <ns0:v>1437143.0167597765</ns0:v>
      </ns0:c>
      <ns0:c r="H726" s="16">
        <ns0:f>A726*('前提と出典'!$C$36*'契約別単価'!H5+'前提と出典'!$C$37*'契約別単価'!H6+'前提と出典'!$C$38*'契約別単価'!H7)</ns0:f>
        <ns0:v>498760.70520198747</ns0:v>
      </ns0:c>
      <ns0:c r="I726" s="16">
        <ns0:f>A726*('前提と出典'!$C$36*'契約別単価'!I5+'前提と出典'!$C$37*'契約別単価'!I6+'前提と出典'!$C$38*'契約別単価'!I7)</ns0:f>
        <ns0:v>30465.173184357536</ns0:v>
      </ns0:c>
      <ns0:c r="J726" s="16">
        <ns0:f>A726*('前提と出典'!$C$36*'契約別単価'!J5+'前提と出典'!$C$37*'契約別単価'!J6+'前提と出典'!$C$38*'契約別単価'!J7)</ns0:f>
        <ns0:v>70965.05055883845</ns0:v>
      </ns0:c>
      <ns0:c r="K726" s="16">
        <ns0:f>A726*('前提と出典'!$C$36*'契約別単価'!K5+'前提と出典'!$C$37*'契約別単価'!K6+'前提と出典'!$C$38*'契約別単価'!K7)</ns0:f>
        <ns0:v>304181.1545623836</ns0:v>
      </ns0:c>
      <ns0:c r="L726" s="16">
        <ns0:f>A726*('前提と出典'!$C$36*'契約別単価'!L5+'前提と出典'!$C$37*'契約別単価'!L6+'前提と出典'!$C$38*'契約別単価'!L7)</ns0:f>
        <ns0:v>247665.35684006623</ns0:v>
      </ns0:c>
      <ns0:c r="M726" s="16">
        <ns0:f>IF(('前提と出典'!$C$36+'前提と出典'!$C$38)=0,0,IF(B726&lt;=10,'前提と出典'!B73+'前提と出典'!C73,IF(B726&lt;=100,'前提と出典'!B74+'前提と出典'!C74,IF(B726&lt;=500,'前提と出典'!B75+'前提と出典'!C75,'前提と出典'!B76+'前提と出典'!C76))))</ns0:f>
        <ns0:v>80000</ns0:v>
      </ns0:c>
      <ns0:c r="N726" s="16">
        <ns0:f>IF(('前提と出典'!$C$37+'前提と出典'!$C$38)=0,0,IF(C726&lt;=10,'前提と出典'!D73+'前提と出典'!E73,IF(C726&lt;=100,'前提と出典'!D74+'前提と出典'!E74,IF(C726&lt;=500,'前提と出典'!D75+'前提と出典'!E75,'前提と出典'!D76+'前提と出典'!E76))))</ns0:f>
        <ns0:v>56510.9346263078</ns0:v>
      </ns0:c>
      <ns0:c r="O726" s="16">
        <ns0:f>IF('前提と出典'!$C$36+'前提と出典'!$C$38=0,0,'前提と出典'!$B$4*IF('前提と出典'!$B$20=0,MAX('前提と出典'!$B$6,D726*'前提と出典'!$B$5),'前提と出典'!$B$6+D726*'前提と出典'!$B$5))</ns0:f>
        <ns0:v>716933.8994413407</ns0:v>
      </ns0:c>
      <ns0:c r="P726" s="16">
        <ns0:f>(E726+G726)*(1-'前提と出典'!$B$7)-I726-K726-M726-O726</ns0:f>
        <ns0:v>2003501.306527404</ns0:v>
      </ns0:c>
      <ns0:c r="Q726" s="16">
        <ns0:f>(F726+H726)*(1-'前提と出典'!$B$7)-J726-L726-N726</ns0:f>
        <ns0:v>614075.001911248</ns0:v>
      </ns0:c>
      <ns0:c r="R726" s="16">
        <ns0:f>P726-E726*'前提と出典'!$E$4</ns0:f>
        <ns0:v>1458996.4313534226</ns0:v>
      </ns0:c>
      <ns0:c r="S726" s="16">
        <ns0:f>Q726-F726*'前提と出典'!$E$4</ns0:f>
        <ns0:v>455855.8035331117</ns0:v>
      </ns0:c>
      <ns0:c r="T726" s="7">
        <ns0:f>R726+S726</ns0:f>
        <ns0:v>1914852.2348865343</ns0:v>
      </ns0:c>
      <ns0:c r="U726" s="16">
        <ns0:f>P726-E726*'前提と出典'!$E$5</ns0:f>
        <ns0:v>1277494.8062954284</ns0:v>
      </ns0:c>
      <ns0:c r="V726" s="16">
        <ns0:f>Q726-F726*'前提と出典'!$E$5</ns0:f>
        <ns0:v>403116.07074039965</ns0:v>
      </ns0:c>
      <ns0:c r="W726" s="7">
        <ns0:f>U726+V726</ns0:f>
        <ns0:v>1680610.877035828</ns0:v>
      </ns0:c>
      <ns0:c r="X726" s="16">
        <ns0:f>P726-E726*'前提と出典'!$E$6</ns0:f>
        <ns0:v>1095993.1812374345</ns0:v>
      </ns0:c>
      <ns0:c r="Y726" s="16">
        <ns0:f>Q726-F726*'前提と出典'!$E$6</ns0:f>
        <ns0:v>350376.3379476875</ns0:v>
      </ns0:c>
      <ns0:c r="Z726" s="7">
        <ns0:f>X726+Y726</ns0:f>
        <ns0:v>1446369.519185122</ns0:v>
      </ns0:c>
      <ns0:c r="AA726" s="7">
        <ns0:f>IF(T726&gt;=0,A726,1001)</ns0:f>
        <ns0:v>722</ns0:v>
      </ns0:c>
      <ns0:c r="AB726" s="7">
        <ns0:f>IF(T726&lt;0,A726,0)</ns0:f>
        <ns0:v>0</ns0:v>
      </ns0:c>
      <ns0:c r="AC726" s="16">
        <ns0:f>IF(AND(OR('前提と出典'!$C$36+'前提と出典'!$C$38=0,R726&gt;=0),OR('前提と出典'!$C$37+'前提と出典'!$C$38=0,S726&gt;=0)),0,A726)</ns0:f>
        <ns0:v>0</ns0:v>
      </ns0:c>
      <ns0:c r="AD726" s="7">
        <ns0:f>IF(W726&gt;=0,A726,1001)</ns0:f>
        <ns0:v>722</ns0:v>
      </ns0:c>
      <ns0:c r="AE726" s="7">
        <ns0:f>IF(W726&lt;0,A726,0)</ns0:f>
        <ns0:v>0</ns0:v>
      </ns0:c>
      <ns0:c r="AF726" s="16">
        <ns0:f>IF(AND(OR('前提と出典'!$C$36+'前提と出典'!$C$38=0,U726&gt;=0),OR('前提と出典'!$C$37+'前提と出典'!$C$38=0,V726&gt;=0)),0,A726)</ns0:f>
        <ns0:v>0</ns0:v>
      </ns0:c>
      <ns0:c r="AG726" s="7">
        <ns0:f>IF(Z726&gt;=0,A726,1001)</ns0:f>
        <ns0:v>722</ns0:v>
      </ns0:c>
      <ns0:c r="AH726" s="4">
        <ns0:f>IF(Z726&lt;0,A726,0)</ns0:f>
        <ns0:v>0</ns0:v>
      </ns0:c>
      <ns0:c r="AI726" s="12">
        <ns0:f>IF(AND(OR('前提と出典'!$C$36+'前提と出典'!$C$38=0,X726&gt;=0),OR('前提と出典'!$C$37+'前提と出典'!$C$38=0,Y726&gt;=0)),0,A726)</ns0:f>
        <ns0:v>0</ns0:v>
      </ns0:c>
    </ns0:row>
    <ns0:row r="727" ht="24" customHeight="1">
      <ns0:c r="A727" s="4" t="n">
        <ns0:v>723</ns0:v>
      </ns0:c>
      <ns0:c r="B727" s="12">
        <ns0:f>A727*('前提と出典'!$C$36+'前提と出典'!$C$38)</ns0:f>
        <ns0:v>506.09999999999997</ns0:v>
      </ns0:c>
      <ns0:c r="C727" s="12">
        <ns0:f>A727*('前提と出典'!$C$37+'前提と出典'!$C$38)</ns0:f>
        <ns0:v>433.8</ns0:v>
      </ns0:c>
      <ns0:c r="D727" s="16">
        <ns0:f>A727*('前提と出典'!$C$36*'契約別単価'!C5+'前提と出典'!$C$37*'契約別単価'!C6+'前提と出典'!$C$38*'契約別単価'!C7)</ns0:f>
        <ns0:v>5202.368715083799</ns0:v>
      </ns0:c>
      <ns0:c r="E727" s="16">
        <ns0:f>A727*('前提と出典'!$C$36*'契約別単価'!E5+'前提と出典'!$C$37*'契約別単価'!E6+'前提と出典'!$C$38*'契約別単価'!E7)</ns0:f>
        <ns0:v>1817530.1235031802</ns0:v>
      </ns0:c>
      <ns0:c r="F727" s="16">
        <ns0:f>A727*('前提と出典'!$C$36*'契約別単価'!F5+'前提と出典'!$C$37*'契約別単価'!F6+'前提と出典'!$C$38*'契約別単価'!F7)</ns0:f>
        <ns0:v>528127.7951403162</ns0:v>
      </ns0:c>
      <ns0:c r="G727" s="16">
        <ns0:f>A727*('前提と出典'!$C$36*'契約別単価'!G5+'前提と出典'!$C$37*'契約別単価'!G6+'前提と出典'!$C$38*'契約別単価'!G7)</ns0:f>
        <ns0:v>1439133.5195530725</ns0:v>
      </ns0:c>
      <ns0:c r="H727" s="16">
        <ns0:f>A727*('前提と出典'!$C$36*'契約別単価'!H5+'前提と出典'!$C$37*'契約別単価'!H6+'前提と出典'!$C$38*'契約別単価'!H7)</ns0:f>
        <ns0:v>499451.50950282125</ns0:v>
      </ns0:c>
      <ns0:c r="I727" s="16">
        <ns0:f>A727*('前提と出典'!$C$36*'契約別単価'!I5+'前提と出典'!$C$37*'契約別単価'!I6+'前提と出典'!$C$38*'契約別単価'!I7)</ns0:f>
        <ns0:v>30507.368715083794</ns0:v>
      </ns0:c>
      <ns0:c r="J727" s="16">
        <ns0:f>A727*('前提と出典'!$C$36*'契約別単価'!J5+'前提と出典'!$C$37*'契約別単価'!J6+'前提と出典'!$C$38*'契約別単価'!J7)</ns0:f>
        <ns0:v>71063.34010254875</ns0:v>
      </ns0:c>
      <ns0:c r="K727" s="16">
        <ns0:f>A727*('前提と出典'!$C$36*'契約別単価'!K5+'前提と出典'!$C$37*'契約別単価'!K6+'前提と出典'!$C$38*'契約別単価'!K7)</ns0:f>
        <ns0:v>304602.45810055867</ns0:v>
      </ns0:c>
      <ns0:c r="L727" s="16">
        <ns0:f>A727*('前提と出典'!$C$36*'契約別単価'!L5+'前提と出典'!$C$37*'契約別単価'!L6+'前提と出典'!$C$38*'契約別単価'!L7)</ns0:f>
        <ns0:v>248008.38365009404</ns0:v>
      </ns0:c>
      <ns0:c r="M727" s="16">
        <ns0:f>IF(('前提と出典'!$C$36+'前提と出典'!$C$38)=0,0,IF(B727&lt;=10,'前提と出典'!B73+'前提と出典'!C73,IF(B727&lt;=100,'前提と出典'!B74+'前提と出典'!C74,IF(B727&lt;=500,'前提と出典'!B75+'前提と出典'!C75,'前提と出典'!B76+'前提と出典'!C76))))</ns0:f>
        <ns0:v>80000</ns0:v>
      </ns0:c>
      <ns0:c r="N727" s="16">
        <ns0:f>IF(('前提と出典'!$C$37+'前提と出典'!$C$38)=0,0,IF(C727&lt;=10,'前提と出典'!D73+'前提と出典'!E73,IF(C727&lt;=100,'前提と出典'!D74+'前提と出典'!E74,IF(C727&lt;=500,'前提と出典'!D75+'前提と出典'!E75,'前提と出典'!D76+'前提と出典'!E76))))</ns0:f>
        <ns0:v>56510.9346263078</ns0:v>
      </ns0:c>
      <ns0:c r="O727" s="16">
        <ns0:f>IF('前提と出典'!$C$36+'前提と出典'!$C$38=0,0,'前提と出典'!$B$4*IF('前提と出典'!$B$20=0,MAX('前提と出典'!$B$6,D727*'前提と出典'!$B$5),'前提と出典'!$B$6+D727*'前提と出典'!$B$5))</ns0:f>
        <ns0:v>717926.8826815642</ns0:v>
      </ns0:c>
      <ns0:c r="P727" s="16">
        <ns0:f>(E727+G727)*(1-'前提と出典'!$B$7)-I727-K727-M727-O727</ns0:f>
        <ns0:v>2006387.0424090212</ns0:v>
      </ns0:c>
      <ns0:c r="Q727" s="16">
        <ns0:f>(F727+H727)*(1-'前提と出典'!$B$7)-J727-L727-N727</ns0:f>
        <ns0:v>615003.791297034</ns0:v>
      </ns0:c>
      <ns0:c r="R727" s="16">
        <ns0:f>P727-E727*'前提と出典'!$E$4</ns0:f>
        <ns0:v>1461128.005358067</ns0:v>
      </ns0:c>
      <ns0:c r="S727" s="16">
        <ns0:f>Q727-F727*'前提と出典'!$E$4</ns0:f>
        <ns0:v>456565.4527549392</ns0:v>
      </ns0:c>
      <ns0:c r="T727" s="7">
        <ns0:f>R727+S727</ns0:f>
        <ns0:v>1917693.4581130063</ns0:v>
      </ns0:c>
      <ns0:c r="U727" s="16">
        <ns0:f>P727-E727*'前提と出典'!$E$5</ns0:f>
        <ns0:v>1279374.993007749</ns0:v>
      </ns0:c>
      <ns0:c r="V727" s="16">
        <ns0:f>Q727-F727*'前提と出典'!$E$5</ns0:f>
        <ns0:v>403752.6732409075</ns0:v>
      </ns0:c>
      <ns0:c r="W727" s="7">
        <ns0:f>U727+V727</ns0:f>
        <ns0:v>1683127.6662486566</ns0:v>
      </ns0:c>
      <ns0:c r="X727" s="16">
        <ns0:f>P727-E727*'前提と出典'!$E$6</ns0:f>
        <ns0:v>1097621.980657431</ns0:v>
      </ns0:c>
      <ns0:c r="Y727" s="16">
        <ns0:f>Q727-F727*'前提と出典'!$E$6</ns0:f>
        <ns0:v>350939.8937268759</ns0:v>
      </ns0:c>
      <ns0:c r="Z727" s="7">
        <ns0:f>X727+Y727</ns0:f>
        <ns0:v>1448561.8743843068</ns0:v>
      </ns0:c>
      <ns0:c r="AA727" s="7">
        <ns0:f>IF(T727&gt;=0,A727,1001)</ns0:f>
        <ns0:v>723</ns0:v>
      </ns0:c>
      <ns0:c r="AB727" s="7">
        <ns0:f>IF(T727&lt;0,A727,0)</ns0:f>
        <ns0:v>0</ns0:v>
      </ns0:c>
      <ns0:c r="AC727" s="16">
        <ns0:f>IF(AND(OR('前提と出典'!$C$36+'前提と出典'!$C$38=0,R727&gt;=0),OR('前提と出典'!$C$37+'前提と出典'!$C$38=0,S727&gt;=0)),0,A727)</ns0:f>
        <ns0:v>0</ns0:v>
      </ns0:c>
      <ns0:c r="AD727" s="7">
        <ns0:f>IF(W727&gt;=0,A727,1001)</ns0:f>
        <ns0:v>723</ns0:v>
      </ns0:c>
      <ns0:c r="AE727" s="7">
        <ns0:f>IF(W727&lt;0,A727,0)</ns0:f>
        <ns0:v>0</ns0:v>
      </ns0:c>
      <ns0:c r="AF727" s="16">
        <ns0:f>IF(AND(OR('前提と出典'!$C$36+'前提と出典'!$C$38=0,U727&gt;=0),OR('前提と出典'!$C$37+'前提と出典'!$C$38=0,V727&gt;=0)),0,A727)</ns0:f>
        <ns0:v>0</ns0:v>
      </ns0:c>
      <ns0:c r="AG727" s="7">
        <ns0:f>IF(Z727&gt;=0,A727,1001)</ns0:f>
        <ns0:v>723</ns0:v>
      </ns0:c>
      <ns0:c r="AH727" s="4">
        <ns0:f>IF(Z727&lt;0,A727,0)</ns0:f>
        <ns0:v>0</ns0:v>
      </ns0:c>
      <ns0:c r="AI727" s="12">
        <ns0:f>IF(AND(OR('前提と出典'!$C$36+'前提と出典'!$C$38=0,X727&gt;=0),OR('前提と出典'!$C$37+'前提と出典'!$C$38=0,Y727&gt;=0)),0,A727)</ns0:f>
        <ns0:v>0</ns0:v>
      </ns0:c>
    </ns0:row>
    <ns0:row r="728" ht="24" customHeight="1">
      <ns0:c r="A728" s="4" t="n">
        <ns0:v>724</ns0:v>
      </ns0:c>
      <ns0:c r="B728" s="12">
        <ns0:f>A728*('前提と出典'!$C$36+'前提と出典'!$C$38)</ns0:f>
        <ns0:v>506.79999999999995</ns0:v>
      </ns0:c>
      <ns0:c r="C728" s="12">
        <ns0:f>A728*('前提と出典'!$C$37+'前提と出典'!$C$38)</ns0:f>
        <ns0:v>434.4</ns0:v>
      </ns0:c>
      <ns0:c r="D728" s="16">
        <ns0:f>A728*('前提と出典'!$C$36*'契約別単価'!C5+'前提と出典'!$C$37*'契約別単価'!C6+'前提と出典'!$C$38*'契約別単価'!C7)</ns0:f>
        <ns0:v>5209.564245810056</ns0:v>
      </ns0:c>
      <ns0:c r="E728" s="16">
        <ns0:f>A728*('前提と出典'!$C$36*'契約別単価'!E5+'前提と出典'!$C$37*'契約別単価'!E6+'前提と出典'!$C$38*'契約別単価'!E7)</ns0:f>
        <ns0:v>1820043.9964264212</ns0:v>
      </ns0:c>
      <ns0:c r="F728" s="16">
        <ns0:f>A728*('前提と出典'!$C$36*'契約別単価'!F5+'前提と出典'!$C$37*'契約別単価'!F6+'前提と出典'!$C$38*'契約別単価'!F7)</ns0:f>
        <ns0:v>528858.2623535118</ns0:v>
      </ns0:c>
      <ns0:c r="G728" s="16">
        <ns0:f>A728*('前提と出典'!$C$36*'契約別単価'!G5+'前提と出典'!$C$37*'契約別単価'!G6+'前提と出典'!$C$38*'契約別単価'!G7)</ns0:f>
        <ns0:v>1441124.0223463688</ns0:v>
      </ns0:c>
      <ns0:c r="H728" s="16">
        <ns0:f>A728*('前提と出典'!$C$36*'契約別単価'!H5+'前提と出典'!$C$37*'契約別単価'!H6+'前提と出典'!$C$38*'契約別単価'!H7)</ns0:f>
        <ns0:v>500142.31380365504</ns0:v>
      </ns0:c>
      <ns0:c r="I728" s="16">
        <ns0:f>A728*('前提と出典'!$C$36*'契約別単価'!I5+'前提と出典'!$C$37*'契約別単価'!I6+'前提と出典'!$C$38*'契約別単価'!I7)</ns0:f>
        <ns0:v>30549.564245810052</ns0:v>
      </ns0:c>
      <ns0:c r="J728" s="16">
        <ns0:f>A728*('前提と出典'!$C$36*'契約別単価'!J5+'前提と出典'!$C$37*'契約別単価'!J6+'前提と出典'!$C$38*'契約別単価'!J7)</ns0:f>
        <ns0:v>71161.62964625905</ns0:v>
      </ns0:c>
      <ns0:c r="K728" s="16">
        <ns0:f>A728*('前提と出典'!$C$36*'契約別単価'!K5+'前提と出典'!$C$37*'契約別単価'!K6+'前提と出典'!$C$38*'契約別単価'!K7)</ns0:f>
        <ns0:v>305023.7616387337</ns0:v>
      </ns0:c>
      <ns0:c r="L728" s="16">
        <ns0:f>A728*('前提と出典'!$C$36*'契約別単価'!L5+'前提と出典'!$C$37*'契約別単価'!L6+'前提と出典'!$C$38*'契約別単価'!L7)</ns0:f>
        <ns0:v>248351.4104601218</ns0:v>
      </ns0:c>
      <ns0:c r="M728" s="16">
        <ns0:f>IF(('前提と出典'!$C$36+'前提と出典'!$C$38)=0,0,IF(B728&lt;=10,'前提と出典'!B73+'前提と出典'!C73,IF(B728&lt;=100,'前提と出典'!B74+'前提と出典'!C74,IF(B728&lt;=500,'前提と出典'!B75+'前提と出典'!C75,'前提と出典'!B76+'前提と出典'!C76))))</ns0:f>
        <ns0:v>80000</ns0:v>
      </ns0:c>
      <ns0:c r="N728" s="16">
        <ns0:f>IF(('前提と出典'!$C$37+'前提と出典'!$C$38)=0,0,IF(C728&lt;=10,'前提と出典'!D73+'前提と出典'!E73,IF(C728&lt;=100,'前提と出典'!D74+'前提と出典'!E74,IF(C728&lt;=500,'前提と出典'!D75+'前提と出典'!E75,'前提と出典'!D76+'前提と出典'!E76))))</ns0:f>
        <ns0:v>56510.9346263078</ns0:v>
      </ns0:c>
      <ns0:c r="O728" s="16">
        <ns0:f>IF('前提と出典'!$C$36+'前提と出典'!$C$38=0,0,'前提と出典'!$B$4*IF('前提と出典'!$B$20=0,MAX('前提と出典'!$B$6,D728*'前提と出典'!$B$5),'前提と出典'!$B$6+D728*'前提と出典'!$B$5))</ns0:f>
        <ns0:v>718919.8659217877</ns0:v>
      </ns0:c>
      <ns0:c r="P728" s="16">
        <ns0:f>(E728+G728)*(1-'前提と出典'!$B$7)-I728-K728-M728-O728</ns0:f>
        <ns0:v>2009272.7782906385</ns0:v>
      </ns0:c>
      <ns0:c r="Q728" s="16">
        <ns0:f>(F728+H728)*(1-'前提と出典'!$B$7)-J728-L728-N728</ns0:f>
        <ns0:v>615932.5806828202</ns0:v>
      </ns0:c>
      <ns0:c r="R728" s="16">
        <ns0:f>P728-E728*'前提と出典'!$E$4</ns0:f>
        <ns0:v>1463259.579362712</ns0:v>
      </ns0:c>
      <ns0:c r="S728" s="16">
        <ns0:f>Q728-F728*'前提と出典'!$E$4</ns0:f>
        <ns0:v>457275.1019767667</ns0:v>
      </ns0:c>
      <ns0:c r="T728" s="7">
        <ns0:f>R728+S728</ns0:f>
        <ns0:v>1920534.6813394788</ns0:v>
      </ns0:c>
      <ns0:c r="U728" s="16">
        <ns0:f>P728-E728*'前提と出典'!$E$5</ns0:f>
        <ns0:v>1281255.17972007</ns0:v>
      </ns0:c>
      <ns0:c r="V728" s="16">
        <ns0:f>Q728-F728*'前提と出典'!$E$5</ns0:f>
        <ns0:v>404389.27574141545</ns0:v>
      </ns0:c>
      <ns0:c r="W728" s="7">
        <ns0:f>U728+V728</ns0:f>
        <ns0:v>1685644.4554614853</ns0:v>
      </ns0:c>
      <ns0:c r="X728" s="16">
        <ns0:f>P728-E728*'前提と出典'!$E$6</ns0:f>
        <ns0:v>1099250.7800774279</ns0:v>
      </ns0:c>
      <ns0:c r="Y728" s="16">
        <ns0:f>Q728-F728*'前提と出典'!$E$6</ns0:f>
        <ns0:v>351503.4495060643</ns0:v>
      </ns0:c>
      <ns0:c r="Z728" s="7">
        <ns0:f>X728+Y728</ns0:f>
        <ns0:v>1450754.229583492</ns0:v>
      </ns0:c>
      <ns0:c r="AA728" s="7">
        <ns0:f>IF(T728&gt;=0,A728,1001)</ns0:f>
        <ns0:v>724</ns0:v>
      </ns0:c>
      <ns0:c r="AB728" s="7">
        <ns0:f>IF(T728&lt;0,A728,0)</ns0:f>
        <ns0:v>0</ns0:v>
      </ns0:c>
      <ns0:c r="AC728" s="16">
        <ns0:f>IF(AND(OR('前提と出典'!$C$36+'前提と出典'!$C$38=0,R728&gt;=0),OR('前提と出典'!$C$37+'前提と出典'!$C$38=0,S728&gt;=0)),0,A728)</ns0:f>
        <ns0:v>0</ns0:v>
      </ns0:c>
      <ns0:c r="AD728" s="7">
        <ns0:f>IF(W728&gt;=0,A728,1001)</ns0:f>
        <ns0:v>724</ns0:v>
      </ns0:c>
      <ns0:c r="AE728" s="7">
        <ns0:f>IF(W728&lt;0,A728,0)</ns0:f>
        <ns0:v>0</ns0:v>
      </ns0:c>
      <ns0:c r="AF728" s="16">
        <ns0:f>IF(AND(OR('前提と出典'!$C$36+'前提と出典'!$C$38=0,U728&gt;=0),OR('前提と出典'!$C$37+'前提と出典'!$C$38=0,V728&gt;=0)),0,A728)</ns0:f>
        <ns0:v>0</ns0:v>
      </ns0:c>
      <ns0:c r="AG728" s="7">
        <ns0:f>IF(Z728&gt;=0,A728,1001)</ns0:f>
        <ns0:v>724</ns0:v>
      </ns0:c>
      <ns0:c r="AH728" s="4">
        <ns0:f>IF(Z728&lt;0,A728,0)</ns0:f>
        <ns0:v>0</ns0:v>
      </ns0:c>
      <ns0:c r="AI728" s="12">
        <ns0:f>IF(AND(OR('前提と出典'!$C$36+'前提と出典'!$C$38=0,X728&gt;=0),OR('前提と出典'!$C$37+'前提と出典'!$C$38=0,Y728&gt;=0)),0,A728)</ns0:f>
        <ns0:v>0</ns0:v>
      </ns0:c>
    </ns0:row>
    <ns0:row r="729" ht="24" customHeight="1">
      <ns0:c r="A729" s="4" t="n">
        <ns0:v>725</ns0:v>
      </ns0:c>
      <ns0:c r="B729" s="12">
        <ns0:f>A729*('前提と出典'!$C$36+'前提と出典'!$C$38)</ns0:f>
        <ns0:v>507.49999999999994</ns0:v>
      </ns0:c>
      <ns0:c r="C729" s="12">
        <ns0:f>A729*('前提と出典'!$C$37+'前提と出典'!$C$38)</ns0:f>
        <ns0:v>435</ns0:v>
      </ns0:c>
      <ns0:c r="D729" s="16">
        <ns0:f>A729*('前提と出典'!$C$36*'契約別単価'!C5+'前提と出典'!$C$37*'契約別単価'!C6+'前提と出典'!$C$38*'契約別単価'!C7)</ns0:f>
        <ns0:v>5216.7597765363125</ns0:v>
      </ns0:c>
      <ns0:c r="E729" s="16">
        <ns0:f>A729*('前提と出典'!$C$36*'契約別単価'!E5+'前提と出典'!$C$37*'契約別単価'!E6+'前提と出典'!$C$38*'契約別単価'!E7)</ns0:f>
        <ns0:v>1822557.869349662</ns0:v>
      </ns0:c>
      <ns0:c r="F729" s="16">
        <ns0:f>A729*('前提と出典'!$C$36*'契約別単価'!F5+'前提と出典'!$C$37*'契約別単価'!F6+'前提と出典'!$C$38*'契約別単価'!F7)</ns0:f>
        <ns0:v>529588.7295667072</ns0:v>
      </ns0:c>
      <ns0:c r="G729" s="16">
        <ns0:f>A729*('前提と出典'!$C$36*'契約別単価'!G5+'前提と出典'!$C$37*'契約別単価'!G6+'前提と出典'!$C$38*'契約別単価'!G7)</ns0:f>
        <ns0:v>1443114.5251396648</ns0:v>
      </ns0:c>
      <ns0:c r="H729" s="16">
        <ns0:f>A729*('前提と出典'!$C$36*'契約別単価'!H5+'前提と出典'!$C$37*'契約別単価'!H6+'前提と出典'!$C$38*'契約別単価'!H7)</ns0:f>
        <ns0:v>500833.1181044888</ns0:v>
      </ns0:c>
      <ns0:c r="I729" s="16">
        <ns0:f>A729*('前提と出典'!$C$36*'契約別単価'!I5+'前提と出典'!$C$37*'契約別単価'!I6+'前提と出典'!$C$38*'契約別単価'!I7)</ns0:f>
        <ns0:v>30591.759776536306</ns0:v>
      </ns0:c>
      <ns0:c r="J729" s="16">
        <ns0:f>A729*('前提と出典'!$C$36*'契約別単価'!J5+'前提と出典'!$C$37*'契約別単価'!J6+'前提と出典'!$C$38*'契約別単価'!J7)</ns0:f>
        <ns0:v>71259.91918996935</ns0:v>
      </ns0:c>
      <ns0:c r="K729" s="16">
        <ns0:f>A729*('前提と出典'!$C$36*'契約別単価'!K5+'前提と出典'!$C$37*'契約別単価'!K6+'前提と出典'!$C$38*'契約別単価'!K7)</ns0:f>
        <ns0:v>305445.06517690874</ns0:v>
      </ns0:c>
      <ns0:c r="L729" s="16">
        <ns0:f>A729*('前提と出典'!$C$36*'契約別単価'!L5+'前提と出典'!$C$37*'契約別単価'!L6+'前提と出典'!$C$38*'契約別単価'!L7)</ns0:f>
        <ns0:v>248694.43727014962</ns0:v>
      </ns0:c>
      <ns0:c r="M729" s="16">
        <ns0:f>IF(('前提と出典'!$C$36+'前提と出典'!$C$38)=0,0,IF(B729&lt;=10,'前提と出典'!B73+'前提と出典'!C73,IF(B729&lt;=100,'前提と出典'!B74+'前提と出典'!C74,IF(B729&lt;=500,'前提と出典'!B75+'前提と出典'!C75,'前提と出典'!B76+'前提と出典'!C76))))</ns0:f>
        <ns0:v>80000</ns0:v>
      </ns0:c>
      <ns0:c r="N729" s="16">
        <ns0:f>IF(('前提と出典'!$C$37+'前提と出典'!$C$38)=0,0,IF(C729&lt;=10,'前提と出典'!D73+'前提と出典'!E73,IF(C729&lt;=100,'前提と出典'!D74+'前提と出典'!E74,IF(C729&lt;=500,'前提と出典'!D75+'前提と出典'!E75,'前提と出典'!D76+'前提と出典'!E76))))</ns0:f>
        <ns0:v>56510.9346263078</ns0:v>
      </ns0:c>
      <ns0:c r="O729" s="16">
        <ns0:f>IF('前提と出典'!$C$36+'前提と出典'!$C$38=0,0,'前提と出典'!$B$4*IF('前提と出典'!$B$20=0,MAX('前提と出典'!$B$6,D729*'前提と出典'!$B$5),'前提と出典'!$B$6+D729*'前提と出典'!$B$5))</ns0:f>
        <ns0:v>719912.8491620112</ns0:v>
      </ns0:c>
      <ns0:c r="P729" s="16">
        <ns0:f>(E729+G729)*(1-'前提と出典'!$B$7)-I729-K729-M729-O729</ns0:f>
        <ns0:v>2012158.5141722544</ns0:v>
      </ns0:c>
      <ns0:c r="Q729" s="16">
        <ns0:f>(F729+H729)*(1-'前提と出典'!$B$7)-J729-L729-N729</ns0:f>
        <ns0:v>616861.3700686062</ns0:v>
      </ns0:c>
      <ns0:c r="R729" s="16">
        <ns0:f>P729-E729*'前提と出典'!$E$4</ns0:f>
        <ns0:v>1465391.1533673557</ns0:v>
      </ns0:c>
      <ns0:c r="S729" s="16">
        <ns0:f>Q729-F729*'前提と出典'!$E$4</ns0:f>
        <ns0:v>457984.7511985941</ns0:v>
      </ns0:c>
      <ns0:c r="T729" s="7">
        <ns0:f>R729+S729</ns0:f>
        <ns0:v>1923375.90456595</ns0:v>
      </ns0:c>
      <ns0:c r="U729" s="16">
        <ns0:f>P729-E729*'前提と出典'!$E$5</ns0:f>
        <ns0:v>1283135.3664323895</ns0:v>
      </ns0:c>
      <ns0:c r="V729" s="16">
        <ns0:f>Q729-F729*'前提と出典'!$E$5</ns0:f>
        <ns0:v>405025.8782419233</ns0:v>
      </ns0:c>
      <ns0:c r="W729" s="7">
        <ns0:f>U729+V729</ns0:f>
        <ns0:v>1688161.2446743129</ns0:v>
      </ns0:c>
      <ns0:c r="X729" s="16">
        <ns0:f>P729-E729*'前提と出典'!$E$6</ns0:f>
        <ns0:v>1100879.5794974233</ns0:v>
      </ns0:c>
      <ns0:c r="Y729" s="16">
        <ns0:f>Q729-F729*'前提と出典'!$E$6</ns0:f>
        <ns0:v>352067.0052852527</ns0:v>
      </ns0:c>
      <ns0:c r="Z729" s="7">
        <ns0:f>X729+Y729</ns0:f>
        <ns0:v>1452946.5847826758</ns0:v>
      </ns0:c>
      <ns0:c r="AA729" s="7">
        <ns0:f>IF(T729&gt;=0,A729,1001)</ns0:f>
        <ns0:v>725</ns0:v>
      </ns0:c>
      <ns0:c r="AB729" s="7">
        <ns0:f>IF(T729&lt;0,A729,0)</ns0:f>
        <ns0:v>0</ns0:v>
      </ns0:c>
      <ns0:c r="AC729" s="16">
        <ns0:f>IF(AND(OR('前提と出典'!$C$36+'前提と出典'!$C$38=0,R729&gt;=0),OR('前提と出典'!$C$37+'前提と出典'!$C$38=0,S729&gt;=0)),0,A729)</ns0:f>
        <ns0:v>0</ns0:v>
      </ns0:c>
      <ns0:c r="AD729" s="7">
        <ns0:f>IF(W729&gt;=0,A729,1001)</ns0:f>
        <ns0:v>725</ns0:v>
      </ns0:c>
      <ns0:c r="AE729" s="7">
        <ns0:f>IF(W729&lt;0,A729,0)</ns0:f>
        <ns0:v>0</ns0:v>
      </ns0:c>
      <ns0:c r="AF729" s="16">
        <ns0:f>IF(AND(OR('前提と出典'!$C$36+'前提と出典'!$C$38=0,U729&gt;=0),OR('前提と出典'!$C$37+'前提と出典'!$C$38=0,V729&gt;=0)),0,A729)</ns0:f>
        <ns0:v>0</ns0:v>
      </ns0:c>
      <ns0:c r="AG729" s="7">
        <ns0:f>IF(Z729&gt;=0,A729,1001)</ns0:f>
        <ns0:v>725</ns0:v>
      </ns0:c>
      <ns0:c r="AH729" s="4">
        <ns0:f>IF(Z729&lt;0,A729,0)</ns0:f>
        <ns0:v>0</ns0:v>
      </ns0:c>
      <ns0:c r="AI729" s="12">
        <ns0:f>IF(AND(OR('前提と出典'!$C$36+'前提と出典'!$C$38=0,X729&gt;=0),OR('前提と出典'!$C$37+'前提と出典'!$C$38=0,Y729&gt;=0)),0,A729)</ns0:f>
        <ns0:v>0</ns0:v>
      </ns0:c>
    </ns0:row>
    <ns0:row r="730" ht="24" customHeight="1">
      <ns0:c r="A730" s="4" t="n">
        <ns0:v>726</ns0:v>
      </ns0:c>
      <ns0:c r="B730" s="12">
        <ns0:f>A730*('前提と出典'!$C$36+'前提と出典'!$C$38)</ns0:f>
        <ns0:v>508.2</ns0:v>
      </ns0:c>
      <ns0:c r="C730" s="12">
        <ns0:f>A730*('前提と出典'!$C$37+'前提と出典'!$C$38)</ns0:f>
        <ns0:v>435.59999999999997</ns0:v>
      </ns0:c>
      <ns0:c r="D730" s="16">
        <ns0:f>A730*('前提と出典'!$C$36*'契約別単価'!C5+'前提と出典'!$C$37*'契約別単価'!C6+'前提と出典'!$C$38*'契約別単価'!C7)</ns0:f>
        <ns0:v>5223.9553072625695</ns0:v>
      </ns0:c>
      <ns0:c r="E730" s="16">
        <ns0:f>A730*('前提と出典'!$C$36*'契約別単価'!E5+'前提と出典'!$C$37*'契約別単価'!E6+'前提と出典'!$C$38*'契約別単価'!E7)</ns0:f>
        <ns0:v>1825071.742272903</ns0:v>
      </ns0:c>
      <ns0:c r="F730" s="16">
        <ns0:f>A730*('前提と出典'!$C$36*'契約別単価'!F5+'前提と出典'!$C$37*'契約別単価'!F6+'前提と出典'!$C$38*'契約別単価'!F7)</ns0:f>
        <ns0:v>530319.1967799027</ns0:v>
      </ns0:c>
      <ns0:c r="G730" s="16">
        <ns0:f>A730*('前提と出典'!$C$36*'契約別単価'!G5+'前提と出典'!$C$37*'契約別単価'!G6+'前提と出典'!$C$38*'契約別単価'!G7)</ns0:f>
        <ns0:v>1445105.0279329608</ns0:v>
      </ns0:c>
      <ns0:c r="H730" s="16">
        <ns0:f>A730*('前提と出典'!$C$36*'契約別単価'!H5+'前提と出典'!$C$37*'契約別単価'!H6+'前提と出典'!$C$38*'契約別単価'!H7)</ns0:f>
        <ns0:v>501523.9224053226</ns0:v>
      </ns0:c>
      <ns0:c r="I730" s="16">
        <ns0:f>A730*('前提と出典'!$C$36*'契約別単価'!I5+'前提と出典'!$C$37*'契約別単価'!I6+'前提と出典'!$C$38*'契約別単価'!I7)</ns0:f>
        <ns0:v>30633.955307262564</ns0:v>
      </ns0:c>
      <ns0:c r="J730" s="16">
        <ns0:f>A730*('前提と出典'!$C$36*'契約別単価'!J5+'前提と出典'!$C$37*'契約別単価'!J6+'前提と出典'!$C$38*'契約別単価'!J7)</ns0:f>
        <ns0:v>71358.20873367967</ns0:v>
      </ns0:c>
      <ns0:c r="K730" s="16">
        <ns0:f>A730*('前提と出典'!$C$36*'契約別単価'!K5+'前提と出典'!$C$37*'契約別単価'!K6+'前提と出典'!$C$38*'契約別単価'!K7)</ns0:f>
        <ns0:v>305866.36871508375</ns0:v>
      </ns0:c>
      <ns0:c r="L730" s="16">
        <ns0:f>A730*('前提と出典'!$C$36*'契約別単価'!L5+'前提と出典'!$C$37*'契約別単価'!L6+'前提と出典'!$C$38*'契約別単価'!L7)</ns0:f>
        <ns0:v>249037.46408017742</ns0:v>
      </ns0:c>
      <ns0:c r="M730" s="16">
        <ns0:f>IF(('前提と出典'!$C$36+'前提と出典'!$C$38)=0,0,IF(B730&lt;=10,'前提と出典'!B73+'前提と出典'!C73,IF(B730&lt;=100,'前提と出典'!B74+'前提と出典'!C74,IF(B730&lt;=500,'前提と出典'!B75+'前提と出典'!C75,'前提と出典'!B76+'前提と出典'!C76))))</ns0:f>
        <ns0:v>80000</ns0:v>
      </ns0:c>
      <ns0:c r="N730" s="16">
        <ns0:f>IF(('前提と出典'!$C$37+'前提と出典'!$C$38)=0,0,IF(C730&lt;=10,'前提と出典'!D73+'前提と出典'!E73,IF(C730&lt;=100,'前提と出典'!D74+'前提と出典'!E74,IF(C730&lt;=500,'前提と出典'!D75+'前提と出典'!E75,'前提と出典'!D76+'前提と出典'!E76))))</ns0:f>
        <ns0:v>56510.9346263078</ns0:v>
      </ns0:c>
      <ns0:c r="O730" s="16">
        <ns0:f>IF('前提と出典'!$C$36+'前提と出典'!$C$38=0,0,'前提と出典'!$B$4*IF('前提と出典'!$B$20=0,MAX('前提と出典'!$B$6,D730*'前提と出典'!$B$5),'前提と出典'!$B$6+D730*'前提と出典'!$B$5))</ns0:f>
        <ns0:v>720905.8324022347</ns0:v>
      </ns0:c>
      <ns0:c r="P730" s="16">
        <ns0:f>(E730+G730)*(1-'前提と出典'!$B$7)-I730-K730-M730-O730</ns0:f>
        <ns0:v>2015044.2500538717</ns0:v>
      </ns0:c>
      <ns0:c r="Q730" s="16">
        <ns0:f>(F730+H730)*(1-'前提と出典'!$B$7)-J730-L730-N730</ns0:f>
        <ns0:v>617790.1594543924</ns0:v>
      </ns0:c>
      <ns0:c r="R730" s="16">
        <ns0:f>P730-E730*'前提と出典'!$E$4</ns0:f>
        <ns0:v>1467522.7273720007</ns0:v>
      </ns0:c>
      <ns0:c r="S730" s="16">
        <ns0:f>Q730-F730*'前提と出典'!$E$4</ns0:f>
        <ns0:v>458694.40042042156</ns0:v>
      </ns0:c>
      <ns0:c r="T730" s="7">
        <ns0:f>R730+S730</ns0:f>
        <ns0:v>1926217.1277924222</ns0:v>
      </ns0:c>
      <ns0:c r="U730" s="16">
        <ns0:f>P730-E730*'前提と出典'!$E$5</ns0:f>
        <ns0:v>1285015.5531447104</ns0:v>
      </ns0:c>
      <ns0:c r="V730" s="16">
        <ns0:f>Q730-F730*'前提と出典'!$E$5</ns0:f>
        <ns0:v>405662.4807424313</ns0:v>
      </ns0:c>
      <ns0:c r="W730" s="7">
        <ns0:f>U730+V730</ns0:f>
        <ns0:v>1690678.0338871416</ns0:v>
      </ns0:c>
      <ns0:c r="X730" s="16">
        <ns0:f>P730-E730*'前提と出典'!$E$6</ns0:f>
        <ns0:v>1102508.37891742</ns0:v>
      </ns0:c>
      <ns0:c r="Y730" s="16">
        <ns0:f>Q730-F730*'前提と出典'!$E$6</ns0:f>
        <ns0:v>352630.56106444105</ns0:v>
      </ns0:c>
      <ns0:c r="Z730" s="7">
        <ns0:f>X730+Y730</ns0:f>
        <ns0:v>1455138.939981861</ns0:v>
      </ns0:c>
      <ns0:c r="AA730" s="7">
        <ns0:f>IF(T730&gt;=0,A730,1001)</ns0:f>
        <ns0:v>726</ns0:v>
      </ns0:c>
      <ns0:c r="AB730" s="7">
        <ns0:f>IF(T730&lt;0,A730,0)</ns0:f>
        <ns0:v>0</ns0:v>
      </ns0:c>
      <ns0:c r="AC730" s="16">
        <ns0:f>IF(AND(OR('前提と出典'!$C$36+'前提と出典'!$C$38=0,R730&gt;=0),OR('前提と出典'!$C$37+'前提と出典'!$C$38=0,S730&gt;=0)),0,A730)</ns0:f>
        <ns0:v>0</ns0:v>
      </ns0:c>
      <ns0:c r="AD730" s="7">
        <ns0:f>IF(W730&gt;=0,A730,1001)</ns0:f>
        <ns0:v>726</ns0:v>
      </ns0:c>
      <ns0:c r="AE730" s="7">
        <ns0:f>IF(W730&lt;0,A730,0)</ns0:f>
        <ns0:v>0</ns0:v>
      </ns0:c>
      <ns0:c r="AF730" s="16">
        <ns0:f>IF(AND(OR('前提と出典'!$C$36+'前提と出典'!$C$38=0,U730&gt;=0),OR('前提と出典'!$C$37+'前提と出典'!$C$38=0,V730&gt;=0)),0,A730)</ns0:f>
        <ns0:v>0</ns0:v>
      </ns0:c>
      <ns0:c r="AG730" s="7">
        <ns0:f>IF(Z730&gt;=0,A730,1001)</ns0:f>
        <ns0:v>726</ns0:v>
      </ns0:c>
      <ns0:c r="AH730" s="4">
        <ns0:f>IF(Z730&lt;0,A730,0)</ns0:f>
        <ns0:v>0</ns0:v>
      </ns0:c>
      <ns0:c r="AI730" s="12">
        <ns0:f>IF(AND(OR('前提と出典'!$C$36+'前提と出典'!$C$38=0,X730&gt;=0),OR('前提と出典'!$C$37+'前提と出典'!$C$38=0,Y730&gt;=0)),0,A730)</ns0:f>
        <ns0:v>0</ns0:v>
      </ns0:c>
    </ns0:row>
    <ns0:row r="731" ht="24" customHeight="1">
      <ns0:c r="A731" s="4" t="n">
        <ns0:v>727</ns0:v>
      </ns0:c>
      <ns0:c r="B731" s="12">
        <ns0:f>A731*('前提と出典'!$C$36+'前提と出典'!$C$38)</ns0:f>
        <ns0:v>508.9</ns0:v>
      </ns0:c>
      <ns0:c r="C731" s="12">
        <ns0:f>A731*('前提と出典'!$C$37+'前提と出典'!$C$38)</ns0:f>
        <ns0:v>436.2</ns0:v>
      </ns0:c>
      <ns0:c r="D731" s="16">
        <ns0:f>A731*('前提と出典'!$C$36*'契約別単価'!C5+'前提と出典'!$C$37*'契約別単価'!C6+'前提と出典'!$C$38*'契約別単価'!C7)</ns0:f>
        <ns0:v>5231.150837988826</ns0:v>
      </ns0:c>
      <ns0:c r="E731" s="16">
        <ns0:f>A731*('前提と出典'!$C$36*'契約別単価'!E5+'前提と出典'!$C$37*'契約別単価'!E6+'前提と出典'!$C$38*'契約別単価'!E7)</ns0:f>
        <ns0:v>1827585.615196144</ns0:v>
      </ns0:c>
      <ns0:c r="F731" s="16">
        <ns0:f>A731*('前提と出典'!$C$36*'契約別単価'!F5+'前提と出典'!$C$37*'契約別単価'!F6+'前提と出典'!$C$38*'契約別単価'!F7)</ns0:f>
        <ns0:v>531049.6639930981</ns0:v>
      </ns0:c>
      <ns0:c r="G731" s="16">
        <ns0:f>A731*('前提と出典'!$C$36*'契約別単価'!G5+'前提と出典'!$C$37*'契約別単価'!G6+'前提と出典'!$C$38*'契約別単価'!G7)</ns0:f>
        <ns0:v>1447095.530726257</ns0:v>
      </ns0:c>
      <ns0:c r="H731" s="16">
        <ns0:f>A731*('前提と出典'!$C$36*'契約別単価'!H5+'前提と出典'!$C$37*'契約別単価'!H6+'前提と出典'!$C$38*'契約別単価'!H7)</ns0:f>
        <ns0:v>502214.7267061564</ns0:v>
      </ns0:c>
      <ns0:c r="I731" s="16">
        <ns0:f>A731*('前提と出典'!$C$36*'契約別単価'!I5+'前提と出典'!$C$37*'契約別単価'!I6+'前提と出典'!$C$38*'契約別単価'!I7)</ns0:f>
        <ns0:v>30676.150837988822</ns0:v>
      </ns0:c>
      <ns0:c r="J731" s="16">
        <ns0:f>A731*('前提と出典'!$C$36*'契約別単価'!J5+'前提と出典'!$C$37*'契約別単価'!J6+'前提と出典'!$C$38*'契約別単価'!J7)</ns0:f>
        <ns0:v>71456.49827738997</ns0:v>
      </ns0:c>
      <ns0:c r="K731" s="16">
        <ns0:f>A731*('前提と出典'!$C$36*'契約別単価'!K5+'前提と出典'!$C$37*'契約別単価'!K6+'前提と出典'!$C$38*'契約別単価'!K7)</ns0:f>
        <ns0:v>306287.6722532588</ns0:v>
      </ns0:c>
      <ns0:c r="L731" s="16">
        <ns0:f>A731*('前提と出典'!$C$36*'契約別単価'!L5+'前提と出典'!$C$37*'契約別単価'!L6+'前提と出典'!$C$38*'契約別単価'!L7)</ns0:f>
        <ns0:v>249380.4908902052</ns0:v>
      </ns0:c>
      <ns0:c r="M731" s="16">
        <ns0:f>IF(('前提と出典'!$C$36+'前提と出典'!$C$38)=0,0,IF(B731&lt;=10,'前提と出典'!B73+'前提と出典'!C73,IF(B731&lt;=100,'前提と出典'!B74+'前提と出典'!C74,IF(B731&lt;=500,'前提と出典'!B75+'前提と出典'!C75,'前提と出典'!B76+'前提と出典'!C76))))</ns0:f>
        <ns0:v>80000</ns0:v>
      </ns0:c>
      <ns0:c r="N731" s="16">
        <ns0:f>IF(('前提と出典'!$C$37+'前提と出典'!$C$38)=0,0,IF(C731&lt;=10,'前提と出典'!D73+'前提と出典'!E73,IF(C731&lt;=100,'前提と出典'!D74+'前提と出典'!E74,IF(C731&lt;=500,'前提と出典'!D75+'前提と出典'!E75,'前提と出典'!D76+'前提と出典'!E76))))</ns0:f>
        <ns0:v>56510.9346263078</ns0:v>
      </ns0:c>
      <ns0:c r="O731" s="16">
        <ns0:f>IF('前提と出典'!$C$36+'前提と出典'!$C$38=0,0,'前提と出典'!$B$4*IF('前提と出典'!$B$20=0,MAX('前提と出典'!$B$6,D731*'前提と出典'!$B$5),'前提と出典'!$B$6+D731*'前提と出典'!$B$5))</ns0:f>
        <ns0:v>721898.8156424582</ns0:v>
      </ns0:c>
      <ns0:c r="P731" s="16">
        <ns0:f>(E731+G731)*(1-'前提と出典'!$B$7)-I731-K731-M731-O731</ns0:f>
        <ns0:v>2017929.9859354892</ns0:v>
      </ns0:c>
      <ns0:c r="Q731" s="16">
        <ns0:f>(F731+H731)*(1-'前提と出典'!$B$7)-J731-L731-N731</ns0:f>
        <ns0:v>618718.9488401783</ns0:v>
      </ns0:c>
      <ns0:c r="R731" s="16">
        <ns0:f>P731-E731*'前提と出典'!$E$4</ns0:f>
        <ns0:v>1469654.3013766457</ns0:v>
      </ns0:c>
      <ns0:c r="S731" s="16">
        <ns0:f>Q731-F731*'前提と出典'!$E$4</ns0:f>
        <ns0:v>459404.04964224895</ns0:v>
      </ns0:c>
      <ns0:c r="T731" s="7">
        <ns0:f>R731+S731</ns0:f>
        <ns0:v>1929058.3510188947</ns0:v>
      </ns0:c>
      <ns0:c r="U731" s="16">
        <ns0:f>P731-E731*'前提と出典'!$E$5</ns0:f>
        <ns0:v>1286895.7398570315</ns0:v>
      </ns0:c>
      <ns0:c r="V731" s="16">
        <ns0:f>Q731-F731*'前提と出典'!$E$5</ns0:f>
        <ns0:v>406299.083242939</ns0:v>
      </ns0:c>
      <ns0:c r="W731" s="7">
        <ns0:f>U731+V731</ns0:f>
        <ns0:v>1693194.8230999706</ns0:v>
      </ns0:c>
      <ns0:c r="X731" s="16">
        <ns0:f>P731-E731*'前提と出典'!$E$6</ns0:f>
        <ns0:v>1104137.178337417</ns0:v>
      </ns0:c>
      <ns0:c r="Y731" s="16">
        <ns0:f>Q731-F731*'前提と出典'!$E$6</ns0:f>
        <ns0:v>353194.11684362934</ns0:v>
      </ns0:c>
      <ns0:c r="Z731" s="7">
        <ns0:f>X731+Y731</ns0:f>
        <ns0:v>1457331.2951810465</ns0:v>
      </ns0:c>
      <ns0:c r="AA731" s="7">
        <ns0:f>IF(T731&gt;=0,A731,1001)</ns0:f>
        <ns0:v>727</ns0:v>
      </ns0:c>
      <ns0:c r="AB731" s="7">
        <ns0:f>IF(T731&lt;0,A731,0)</ns0:f>
        <ns0:v>0</ns0:v>
      </ns0:c>
      <ns0:c r="AC731" s="16">
        <ns0:f>IF(AND(OR('前提と出典'!$C$36+'前提と出典'!$C$38=0,R731&gt;=0),OR('前提と出典'!$C$37+'前提と出典'!$C$38=0,S731&gt;=0)),0,A731)</ns0:f>
        <ns0:v>0</ns0:v>
      </ns0:c>
      <ns0:c r="AD731" s="7">
        <ns0:f>IF(W731&gt;=0,A731,1001)</ns0:f>
        <ns0:v>727</ns0:v>
      </ns0:c>
      <ns0:c r="AE731" s="7">
        <ns0:f>IF(W731&lt;0,A731,0)</ns0:f>
        <ns0:v>0</ns0:v>
      </ns0:c>
      <ns0:c r="AF731" s="16">
        <ns0:f>IF(AND(OR('前提と出典'!$C$36+'前提と出典'!$C$38=0,U731&gt;=0),OR('前提と出典'!$C$37+'前提と出典'!$C$38=0,V731&gt;=0)),0,A731)</ns0:f>
        <ns0:v>0</ns0:v>
      </ns0:c>
      <ns0:c r="AG731" s="7">
        <ns0:f>IF(Z731&gt;=0,A731,1001)</ns0:f>
        <ns0:v>727</ns0:v>
      </ns0:c>
      <ns0:c r="AH731" s="4">
        <ns0:f>IF(Z731&lt;0,A731,0)</ns0:f>
        <ns0:v>0</ns0:v>
      </ns0:c>
      <ns0:c r="AI731" s="12">
        <ns0:f>IF(AND(OR('前提と出典'!$C$36+'前提と出典'!$C$38=0,X731&gt;=0),OR('前提と出典'!$C$37+'前提と出典'!$C$38=0,Y731&gt;=0)),0,A731)</ns0:f>
        <ns0:v>0</ns0:v>
      </ns0:c>
    </ns0:row>
    <ns0:row r="732" ht="24" customHeight="1">
      <ns0:c r="A732" s="4" t="n">
        <ns0:v>728</ns0:v>
      </ns0:c>
      <ns0:c r="B732" s="12">
        <ns0:f>A732*('前提と出典'!$C$36+'前提と出典'!$C$38)</ns0:f>
        <ns0:v>509.59999999999997</ns0:v>
      </ns0:c>
      <ns0:c r="C732" s="12">
        <ns0:f>A732*('前提と出典'!$C$37+'前提と出典'!$C$38)</ns0:f>
        <ns0:v>436.8</ns0:v>
      </ns0:c>
      <ns0:c r="D732" s="16">
        <ns0:f>A732*('前提と出典'!$C$36*'契約別単価'!C5+'前提と出典'!$C$37*'契約別単価'!C6+'前提と出典'!$C$38*'契約別単価'!C7)</ns0:f>
        <ns0:v>5238.346368715083</ns0:v>
      </ns0:c>
      <ns0:c r="E732" s="16">
        <ns0:f>A732*('前提と出典'!$C$36*'契約別単価'!E5+'前提と出典'!$C$37*'契約別単価'!E6+'前提と出典'!$C$38*'契約別単価'!E7)</ns0:f>
        <ns0:v>1830099.4881193847</ns0:v>
      </ns0:c>
      <ns0:c r="F732" s="16">
        <ns0:f>A732*('前提と出典'!$C$36*'契約別単価'!F5+'前提と出典'!$C$37*'契約別単価'!F6+'前提と出典'!$C$38*'契約別単価'!F7)</ns0:f>
        <ns0:v>531780.1312062936</ns0:v>
      </ns0:c>
      <ns0:c r="G732" s="16">
        <ns0:f>A732*('前提と出典'!$C$36*'契約別単価'!G5+'前提と出典'!$C$37*'契約別単価'!G6+'前提と出典'!$C$38*'契約別単価'!G7)</ns0:f>
        <ns0:v>1449086.033519553</ns0:v>
      </ns0:c>
      <ns0:c r="H732" s="16">
        <ns0:f>A732*('前提と出典'!$C$36*'契約別単価'!H5+'前提と出典'!$C$37*'契約別単価'!H6+'前提と出典'!$C$38*'契約別単価'!H7)</ns0:f>
        <ns0:v>502905.5310069902</ns0:v>
      </ns0:c>
      <ns0:c r="I732" s="16">
        <ns0:f>A732*('前提と出典'!$C$36*'契約別単価'!I5+'前提と出典'!$C$37*'契約別単価'!I6+'前提と出典'!$C$38*'契約別単価'!I7)</ns0:f>
        <ns0:v>30718.34636871508</ns0:v>
      </ns0:c>
      <ns0:c r="J732" s="16">
        <ns0:f>A732*('前提と出典'!$C$36*'契約別単価'!J5+'前提と出典'!$C$37*'契約別単価'!J6+'前提と出典'!$C$38*'契約別単価'!J7)</ns0:f>
        <ns0:v>71554.78782110027</ns0:v>
      </ns0:c>
      <ns0:c r="K732" s="16">
        <ns0:f>A732*('前提と出典'!$C$36*'契約別単価'!K5+'前提と出典'!$C$37*'契約別単価'!K6+'前提と出典'!$C$38*'契約別単価'!K7)</ns0:f>
        <ns0:v>306708.9757914339</ns0:v>
      </ns0:c>
      <ns0:c r="L732" s="16">
        <ns0:f>A732*('前提と出典'!$C$36*'契約別単価'!L5+'前提と出典'!$C$37*'契約別単価'!L6+'前提と出典'!$C$38*'契約別単価'!L7)</ns0:f>
        <ns0:v>249723.517700233</ns0:v>
      </ns0:c>
      <ns0:c r="M732" s="16">
        <ns0:f>IF(('前提と出典'!$C$36+'前提と出典'!$C$38)=0,0,IF(B732&lt;=10,'前提と出典'!B73+'前提と出典'!C73,IF(B732&lt;=100,'前提と出典'!B74+'前提と出典'!C74,IF(B732&lt;=500,'前提と出典'!B75+'前提と出典'!C75,'前提と出典'!B76+'前提と出典'!C76))))</ns0:f>
        <ns0:v>80000</ns0:v>
      </ns0:c>
      <ns0:c r="N732" s="16">
        <ns0:f>IF(('前提と出典'!$C$37+'前提と出典'!$C$38)=0,0,IF(C732&lt;=10,'前提と出典'!D73+'前提と出典'!E73,IF(C732&lt;=100,'前提と出典'!D74+'前提と出典'!E74,IF(C732&lt;=500,'前提と出典'!D75+'前提と出典'!E75,'前提と出典'!D76+'前提と出典'!E76))))</ns0:f>
        <ns0:v>56510.9346263078</ns0:v>
      </ns0:c>
      <ns0:c r="O732" s="16">
        <ns0:f>IF('前提と出典'!$C$36+'前提と出典'!$C$38=0,0,'前提と出典'!$B$4*IF('前提と出典'!$B$20=0,MAX('前提と出典'!$B$6,D732*'前提と出典'!$B$5),'前提と出典'!$B$6+D732*'前提と出典'!$B$5))</ns0:f>
        <ns0:v>722891.7988826816</ns0:v>
      </ns0:c>
      <ns0:c r="P732" s="16">
        <ns0:f>(E732+G732)*(1-'前提と出典'!$B$7)-I732-K732-M732-O732</ns0:f>
        <ns0:v>2020815.721817105</ns0:v>
      </ns0:c>
      <ns0:c r="Q732" s="16">
        <ns0:f>(F732+H732)*(1-'前提と出典'!$B$7)-J732-L732-N732</ns0:f>
        <ns0:v>619647.7382259646</ns0:v>
      </ns0:c>
      <ns0:c r="R732" s="16">
        <ns0:f>P732-E732*'前提と出典'!$E$4</ns0:f>
        <ns0:v>1471785.8753812897</ns0:v>
      </ns0:c>
      <ns0:c r="S732" s="16">
        <ns0:f>Q732-F732*'前提と出典'!$E$4</ns0:f>
        <ns0:v>460113.6988640765</ns0:v>
      </ns0:c>
      <ns0:c r="T732" s="7">
        <ns0:f>R732+S732</ns0:f>
        <ns0:v>1931899.5742453663</ns0:v>
      </ns0:c>
      <ns0:c r="U732" s="16">
        <ns0:f>P732-E732*'前提と出典'!$E$5</ns0:f>
        <ns0:v>1288775.9265693512</ns0:v>
      </ns0:c>
      <ns0:c r="V732" s="16">
        <ns0:f>Q732-F732*'前提と出典'!$E$5</ns0:f>
        <ns0:v>406935.68574344716</ns0:v>
      </ns0:c>
      <ns0:c r="W732" s="7">
        <ns0:f>U732+V732</ns0:f>
        <ns0:v>1695711.6123127984</ns0:v>
      </ns0:c>
      <ns0:c r="X732" s="16">
        <ns0:f>P732-E732*'前提と出典'!$E$6</ns0:f>
        <ns0:v>1105765.9777574127</ns0:v>
      </ns0:c>
      <ns0:c r="Y732" s="16">
        <ns0:f>Q732-F732*'前提と出典'!$E$6</ns0:f>
        <ns0:v>353757.6726228178</ns0:v>
      </ns0:c>
      <ns0:c r="Z732" s="7">
        <ns0:f>X732+Y732</ns0:f>
        <ns0:v>1459523.6503802305</ns0:v>
      </ns0:c>
      <ns0:c r="AA732" s="7">
        <ns0:f>IF(T732&gt;=0,A732,1001)</ns0:f>
        <ns0:v>728</ns0:v>
      </ns0:c>
      <ns0:c r="AB732" s="7">
        <ns0:f>IF(T732&lt;0,A732,0)</ns0:f>
        <ns0:v>0</ns0:v>
      </ns0:c>
      <ns0:c r="AC732" s="16">
        <ns0:f>IF(AND(OR('前提と出典'!$C$36+'前提と出典'!$C$38=0,R732&gt;=0),OR('前提と出典'!$C$37+'前提と出典'!$C$38=0,S732&gt;=0)),0,A732)</ns0:f>
        <ns0:v>0</ns0:v>
      </ns0:c>
      <ns0:c r="AD732" s="7">
        <ns0:f>IF(W732&gt;=0,A732,1001)</ns0:f>
        <ns0:v>728</ns0:v>
      </ns0:c>
      <ns0:c r="AE732" s="7">
        <ns0:f>IF(W732&lt;0,A732,0)</ns0:f>
        <ns0:v>0</ns0:v>
      </ns0:c>
      <ns0:c r="AF732" s="16">
        <ns0:f>IF(AND(OR('前提と出典'!$C$36+'前提と出典'!$C$38=0,U732&gt;=0),OR('前提と出典'!$C$37+'前提と出典'!$C$38=0,V732&gt;=0)),0,A732)</ns0:f>
        <ns0:v>0</ns0:v>
      </ns0:c>
      <ns0:c r="AG732" s="7">
        <ns0:f>IF(Z732&gt;=0,A732,1001)</ns0:f>
        <ns0:v>728</ns0:v>
      </ns0:c>
      <ns0:c r="AH732" s="4">
        <ns0:f>IF(Z732&lt;0,A732,0)</ns0:f>
        <ns0:v>0</ns0:v>
      </ns0:c>
      <ns0:c r="AI732" s="12">
        <ns0:f>IF(AND(OR('前提と出典'!$C$36+'前提と出典'!$C$38=0,X732&gt;=0),OR('前提と出典'!$C$37+'前提と出典'!$C$38=0,Y732&gt;=0)),0,A732)</ns0:f>
        <ns0:v>0</ns0:v>
      </ns0:c>
    </ns0:row>
    <ns0:row r="733" ht="24" customHeight="1">
      <ns0:c r="A733" s="4" t="n">
        <ns0:v>729</ns0:v>
      </ns0:c>
      <ns0:c r="B733" s="12">
        <ns0:f>A733*('前提と出典'!$C$36+'前提と出典'!$C$38)</ns0:f>
        <ns0:v>510.29999999999995</ns0:v>
      </ns0:c>
      <ns0:c r="C733" s="12">
        <ns0:f>A733*('前提と出典'!$C$37+'前提と出典'!$C$38)</ns0:f>
        <ns0:v>437.4</ns0:v>
      </ns0:c>
      <ns0:c r="D733" s="16">
        <ns0:f>A733*('前提と出典'!$C$36*'契約別単価'!C5+'前提と出典'!$C$37*'契約別単価'!C6+'前提と出典'!$C$38*'契約別単価'!C7)</ns0:f>
        <ns0:v>5245.54189944134</ns0:v>
      </ns0:c>
      <ns0:c r="E733" s="16">
        <ns0:f>A733*('前提と出典'!$C$36*'契約別単価'!E5+'前提と出典'!$C$37*'契約別単価'!E6+'前提と出典'!$C$38*'契約別単価'!E7)</ns0:f>
        <ns0:v>1832613.3610426257</ns0:v>
      </ns0:c>
      <ns0:c r="F733" s="16">
        <ns0:f>A733*('前提と出典'!$C$36*'契約別単価'!F5+'前提と出典'!$C$37*'契約別単価'!F6+'前提と出典'!$C$38*'契約別単価'!F7)</ns0:f>
        <ns0:v>532510.598419489</ns0:v>
      </ns0:c>
      <ns0:c r="G733" s="16">
        <ns0:f>A733*('前提と出典'!$C$36*'契約別単価'!G5+'前提と出典'!$C$37*'契約別単価'!G6+'前提と出典'!$C$38*'契約別単価'!G7)</ns0:f>
        <ns0:v>1451076.536312849</ns0:v>
      </ns0:c>
      <ns0:c r="H733" s="16">
        <ns0:f>A733*('前提と出典'!$C$36*'契約別単価'!H5+'前提と出典'!$C$37*'契約別単価'!H6+'前提と出典'!$C$38*'契約別単価'!H7)</ns0:f>
        <ns0:v>503596.33530782396</ns0:v>
      </ns0:c>
      <ns0:c r="I733" s="16">
        <ns0:f>A733*('前提と出典'!$C$36*'契約別単価'!I5+'前提と出典'!$C$37*'契約別単価'!I6+'前提と出典'!$C$38*'契約別単価'!I7)</ns0:f>
        <ns0:v>30760.541899441334</ns0:v>
      </ns0:c>
      <ns0:c r="J733" s="16">
        <ns0:f>A733*('前提と出典'!$C$36*'契約別単価'!J5+'前提と出典'!$C$37*'契約別単価'!J6+'前提と出典'!$C$38*'契約別単価'!J7)</ns0:f>
        <ns0:v>71653.07736481057</ns0:v>
      </ns0:c>
      <ns0:c r="K733" s="16">
        <ns0:f>A733*('前提と出典'!$C$36*'契約別単価'!K5+'前提と出典'!$C$37*'契約別単価'!K6+'前提と出典'!$C$38*'契約別単価'!K7)</ns0:f>
        <ns0:v>307130.2793296089</ns0:v>
      </ns0:c>
      <ns0:c r="L733" s="16">
        <ns0:f>A733*('前提と出典'!$C$36*'契約別単価'!L5+'前提と出典'!$C$37*'契約別単価'!L6+'前提と出典'!$C$38*'契約別単価'!L7)</ns0:f>
        <ns0:v>250066.54451026078</ns0:v>
      </ns0:c>
      <ns0:c r="M733" s="16">
        <ns0:f>IF(('前提と出典'!$C$36+'前提と出典'!$C$38)=0,0,IF(B733&lt;=10,'前提と出典'!B73+'前提と出典'!C73,IF(B733&lt;=100,'前提と出典'!B74+'前提と出典'!C74,IF(B733&lt;=500,'前提と出典'!B75+'前提と出典'!C75,'前提と出典'!B76+'前提と出典'!C76))))</ns0:f>
        <ns0:v>80000</ns0:v>
      </ns0:c>
      <ns0:c r="N733" s="16">
        <ns0:f>IF(('前提と出典'!$C$37+'前提と出典'!$C$38)=0,0,IF(C733&lt;=10,'前提と出典'!D73+'前提と出典'!E73,IF(C733&lt;=100,'前提と出典'!D74+'前提と出典'!E74,IF(C733&lt;=500,'前提と出典'!D75+'前提と出典'!E75,'前提と出典'!D76+'前提と出典'!E76))))</ns0:f>
        <ns0:v>56510.9346263078</ns0:v>
      </ns0:c>
      <ns0:c r="O733" s="16">
        <ns0:f>IF('前提と出典'!$C$36+'前提と出典'!$C$38=0,0,'前提と出典'!$B$4*IF('前提と出典'!$B$20=0,MAX('前提と出典'!$B$6,D733*'前提と出典'!$B$5),'前提と出典'!$B$6+D733*'前提と出典'!$B$5))</ns0:f>
        <ns0:v>723884.782122905</ns0:v>
      </ns0:c>
      <ns0:c r="P733" s="16">
        <ns0:f>(E733+G733)*(1-'前提と出典'!$B$7)-I733-K733-M733-O733</ns0:f>
        <ns0:v>2023701.4576987224</ns0:v>
      </ns0:c>
      <ns0:c r="Q733" s="16">
        <ns0:f>(F733+H733)*(1-'前提と出典'!$B$7)-J733-L733-N733</ns0:f>
        <ns0:v>620576.5276117505</ns0:v>
      </ns0:c>
      <ns0:c r="R733" s="16">
        <ns0:f>P733-E733*'前提と出典'!$E$4</ns0:f>
        <ns0:v>1473917.449385935</ns0:v>
      </ns0:c>
      <ns0:c r="S733" s="16">
        <ns0:f>Q733-F733*'前提と出典'!$E$4</ns0:f>
        <ns0:v>460823.3480859037</ns0:v>
      </ns0:c>
      <ns0:c r="T733" s="7">
        <ns0:f>R733+S733</ns0:f>
        <ns0:v>1934740.7974718385</ns0:v>
      </ns0:c>
      <ns0:c r="U733" s="16">
        <ns0:f>P733-E733*'前提と出典'!$E$5</ns0:f>
        <ns0:v>1290656.113281672</ns0:v>
      </ns0:c>
      <ns0:c r="V733" s="16">
        <ns0:f>Q733-F733*'前提と出典'!$E$5</ns0:f>
        <ns0:v>407572.2882439549</ns0:v>
      </ns0:c>
      <ns0:c r="W733" s="7">
        <ns0:f>U733+V733</ns0:f>
        <ns0:v>1698228.401525627</ns0:v>
      </ns0:c>
      <ns0:c r="X733" s="16">
        <ns0:f>P733-E733*'前提と出典'!$E$6</ns0:f>
        <ns0:v>1107394.7771774093</ns0:v>
      </ns0:c>
      <ns0:c r="Y733" s="16">
        <ns0:f>Q733-F733*'前提と出典'!$E$6</ns0:f>
        <ns0:v>354321.22840200586</ns0:v>
      </ns0:c>
      <ns0:c r="Z733" s="7">
        <ns0:f>X733+Y733</ns0:f>
        <ns0:v>1461716.0055794152</ns0:v>
      </ns0:c>
      <ns0:c r="AA733" s="7">
        <ns0:f>IF(T733&gt;=0,A733,1001)</ns0:f>
        <ns0:v>729</ns0:v>
      </ns0:c>
      <ns0:c r="AB733" s="7">
        <ns0:f>IF(T733&lt;0,A733,0)</ns0:f>
        <ns0:v>0</ns0:v>
      </ns0:c>
      <ns0:c r="AC733" s="16">
        <ns0:f>IF(AND(OR('前提と出典'!$C$36+'前提と出典'!$C$38=0,R733&gt;=0),OR('前提と出典'!$C$37+'前提と出典'!$C$38=0,S733&gt;=0)),0,A733)</ns0:f>
        <ns0:v>0</ns0:v>
      </ns0:c>
      <ns0:c r="AD733" s="7">
        <ns0:f>IF(W733&gt;=0,A733,1001)</ns0:f>
        <ns0:v>729</ns0:v>
      </ns0:c>
      <ns0:c r="AE733" s="7">
        <ns0:f>IF(W733&lt;0,A733,0)</ns0:f>
        <ns0:v>0</ns0:v>
      </ns0:c>
      <ns0:c r="AF733" s="16">
        <ns0:f>IF(AND(OR('前提と出典'!$C$36+'前提と出典'!$C$38=0,U733&gt;=0),OR('前提と出典'!$C$37+'前提と出典'!$C$38=0,V733&gt;=0)),0,A733)</ns0:f>
        <ns0:v>0</ns0:v>
      </ns0:c>
      <ns0:c r="AG733" s="7">
        <ns0:f>IF(Z733&gt;=0,A733,1001)</ns0:f>
        <ns0:v>729</ns0:v>
      </ns0:c>
      <ns0:c r="AH733" s="4">
        <ns0:f>IF(Z733&lt;0,A733,0)</ns0:f>
        <ns0:v>0</ns0:v>
      </ns0:c>
      <ns0:c r="AI733" s="12">
        <ns0:f>IF(AND(OR('前提と出典'!$C$36+'前提と出典'!$C$38=0,X733&gt;=0),OR('前提と出典'!$C$37+'前提と出典'!$C$38=0,Y733&gt;=0)),0,A733)</ns0:f>
        <ns0:v>0</ns0:v>
      </ns0:c>
    </ns0:row>
    <ns0:row r="734" ht="24" customHeight="1">
      <ns0:c r="A734" s="4" t="n">
        <ns0:v>730</ns0:v>
      </ns0:c>
      <ns0:c r="B734" s="12">
        <ns0:f>A734*('前提と出典'!$C$36+'前提と出典'!$C$38)</ns0:f>
        <ns0:v>510.99999999999994</ns0:v>
      </ns0:c>
      <ns0:c r="C734" s="12">
        <ns0:f>A734*('前提と出典'!$C$37+'前提と出典'!$C$38)</ns0:f>
        <ns0:v>438</ns0:v>
      </ns0:c>
      <ns0:c r="D734" s="16">
        <ns0:f>A734*('前提と出典'!$C$36*'契約別単価'!C5+'前提と出典'!$C$37*'契約別単価'!C6+'前提と出典'!$C$38*'契約別単価'!C7)</ns0:f>
        <ns0:v>5252.737430167598</ns0:v>
      </ns0:c>
      <ns0:c r="E734" s="16">
        <ns0:f>A734*('前提と出典'!$C$36*'契約別単価'!E5+'前提と出典'!$C$37*'契約別単価'!E6+'前提と出典'!$C$38*'契約別単価'!E7)</ns0:f>
        <ns0:v>1835127.2339658667</ns0:v>
      </ns0:c>
      <ns0:c r="F734" s="16">
        <ns0:f>A734*('前提と出典'!$C$36*'契約別単価'!F5+'前提と出典'!$C$37*'契約別単価'!F6+'前提と出典'!$C$38*'契約別単価'!F7)</ns0:f>
        <ns0:v>533241.0656326845</ns0:v>
      </ns0:c>
      <ns0:c r="G734" s="16">
        <ns0:f>A734*('前提と出典'!$C$36*'契約別単価'!G5+'前提と出典'!$C$37*'契約別単価'!G6+'前提と出典'!$C$38*'契約別単価'!G7)</ns0:f>
        <ns0:v>1453067.0391061453</ns0:v>
      </ns0:c>
      <ns0:c r="H734" s="16">
        <ns0:f>A734*('前提と出典'!$C$36*'契約別単価'!H5+'前提と出典'!$C$37*'契約別単価'!H6+'前提と出典'!$C$38*'契約別単価'!H7)</ns0:f>
        <ns0:v>504287.1396086577</ns0:v>
      </ns0:c>
      <ns0:c r="I734" s="16">
        <ns0:f>A734*('前提と出典'!$C$36*'契約別単価'!I5+'前提と出典'!$C$37*'契約別単価'!I6+'前提と出典'!$C$38*'契約別単価'!I7)</ns0:f>
        <ns0:v>30802.73743016759</ns0:v>
      </ns0:c>
      <ns0:c r="J734" s="16">
        <ns0:f>A734*('前提と出典'!$C$36*'契約別単価'!J5+'前提と出典'!$C$37*'契約別単価'!J6+'前提と出典'!$C$38*'契約別単価'!J7)</ns0:f>
        <ns0:v>71751.36690852087</ns0:v>
      </ns0:c>
      <ns0:c r="K734" s="16">
        <ns0:f>A734*('前提と出典'!$C$36*'契約別単価'!K5+'前提と出典'!$C$37*'契約別単価'!K6+'前提と出典'!$C$38*'契約別単価'!K7)</ns0:f>
        <ns0:v>307551.58286778396</ns0:v>
      </ns0:c>
      <ns0:c r="L734" s="16">
        <ns0:f>A734*('前提と出典'!$C$36*'契約別単価'!L5+'前提と出典'!$C$37*'契約別単価'!L6+'前提と出典'!$C$38*'契約別単価'!L7)</ns0:f>
        <ns0:v>250409.57132028858</ns0:v>
      </ns0:c>
      <ns0:c r="M734" s="16">
        <ns0:f>IF(('前提と出典'!$C$36+'前提と出典'!$C$38)=0,0,IF(B734&lt;=10,'前提と出典'!B73+'前提と出典'!C73,IF(B734&lt;=100,'前提と出典'!B74+'前提と出典'!C74,IF(B734&lt;=500,'前提と出典'!B75+'前提と出典'!C75,'前提と出典'!B76+'前提と出典'!C76))))</ns0:f>
        <ns0:v>80000</ns0:v>
      </ns0:c>
      <ns0:c r="N734" s="16">
        <ns0:f>IF(('前提と出典'!$C$37+'前提と出典'!$C$38)=0,0,IF(C734&lt;=10,'前提と出典'!D73+'前提と出典'!E73,IF(C734&lt;=100,'前提と出典'!D74+'前提と出典'!E74,IF(C734&lt;=500,'前提と出典'!D75+'前提と出典'!E75,'前提と出典'!D76+'前提と出典'!E76))))</ns0:f>
        <ns0:v>56510.9346263078</ns0:v>
      </ns0:c>
      <ns0:c r="O734" s="16">
        <ns0:f>IF('前提と出典'!$C$36+'前提と出典'!$C$38=0,0,'前提と出典'!$B$4*IF('前提と出典'!$B$20=0,MAX('前提と出典'!$B$6,D734*'前提と出典'!$B$5),'前提と出典'!$B$6+D734*'前提と出典'!$B$5))</ns0:f>
        <ns0:v>724877.7653631285</ns0:v>
      </ns0:c>
      <ns0:c r="P734" s="16">
        <ns0:f>(E734+G734)*(1-'前提と出典'!$B$7)-I734-K734-M734-O734</ns0:f>
        <ns0:v>2026587.1935803397</ns0:v>
      </ns0:c>
      <ns0:c r="Q734" s="16">
        <ns0:f>(F734+H734)*(1-'前提と出典'!$B$7)-J734-L734-N734</ns0:f>
        <ns0:v>621505.3169975367</ns0:v>
      </ns0:c>
      <ns0:c r="R734" s="16">
        <ns0:f>P734-E734*'前提と出典'!$E$4</ns0:f>
        <ns0:v>1476049.0233905795</ns0:v>
      </ns0:c>
      <ns0:c r="S734" s="16">
        <ns0:f>Q734-F734*'前提と出典'!$E$4</ns0:f>
        <ns0:v>461532.9973077313</ns0:v>
      </ns0:c>
      <ns0:c r="T734" s="7">
        <ns0:f>R734+S734</ns0:f>
        <ns0:v>1937582.0206983108</ns0:v>
      </ns0:c>
      <ns0:c r="U734" s="16">
        <ns0:f>P734-E734*'前提と出典'!$E$5</ns0:f>
        <ns0:v>1292536.2999939928</ns0:v>
      </ns0:c>
      <ns0:c r="V734" s="16">
        <ns0:f>Q734-F734*'前提と出典'!$E$5</ns0:f>
        <ns0:v>408208.89074446284</ns0:v>
      </ns0:c>
      <ns0:c r="W734" s="7">
        <ns0:f>U734+V734</ns0:f>
        <ns0:v>1700745.1907384556</ns0:v>
      </ns0:c>
      <ns0:c r="X734" s="16">
        <ns0:f>P734-E734*'前提と出典'!$E$6</ns0:f>
        <ns0:v>1109023.5765974065</ns0:v>
      </ns0:c>
      <ns0:c r="Y734" s="16">
        <ns0:f>Q734-F734*'前提と出典'!$E$6</ns0:f>
        <ns0:v>354884.7841811944</ns0:v>
      </ns0:c>
      <ns0:c r="Z734" s="7">
        <ns0:f>X734+Y734</ns0:f>
        <ns0:v>1463908.360778601</ns0:v>
      </ns0:c>
      <ns0:c r="AA734" s="7">
        <ns0:f>IF(T734&gt;=0,A734,1001)</ns0:f>
        <ns0:v>730</ns0:v>
      </ns0:c>
      <ns0:c r="AB734" s="7">
        <ns0:f>IF(T734&lt;0,A734,0)</ns0:f>
        <ns0:v>0</ns0:v>
      </ns0:c>
      <ns0:c r="AC734" s="16">
        <ns0:f>IF(AND(OR('前提と出典'!$C$36+'前提と出典'!$C$38=0,R734&gt;=0),OR('前提と出典'!$C$37+'前提と出典'!$C$38=0,S734&gt;=0)),0,A734)</ns0:f>
        <ns0:v>0</ns0:v>
      </ns0:c>
      <ns0:c r="AD734" s="7">
        <ns0:f>IF(W734&gt;=0,A734,1001)</ns0:f>
        <ns0:v>730</ns0:v>
      </ns0:c>
      <ns0:c r="AE734" s="7">
        <ns0:f>IF(W734&lt;0,A734,0)</ns0:f>
        <ns0:v>0</ns0:v>
      </ns0:c>
      <ns0:c r="AF734" s="16">
        <ns0:f>IF(AND(OR('前提と出典'!$C$36+'前提と出典'!$C$38=0,U734&gt;=0),OR('前提と出典'!$C$37+'前提と出典'!$C$38=0,V734&gt;=0)),0,A734)</ns0:f>
        <ns0:v>0</ns0:v>
      </ns0:c>
      <ns0:c r="AG734" s="7">
        <ns0:f>IF(Z734&gt;=0,A734,1001)</ns0:f>
        <ns0:v>730</ns0:v>
      </ns0:c>
      <ns0:c r="AH734" s="4">
        <ns0:f>IF(Z734&lt;0,A734,0)</ns0:f>
        <ns0:v>0</ns0:v>
      </ns0:c>
      <ns0:c r="AI734" s="12">
        <ns0:f>IF(AND(OR('前提と出典'!$C$36+'前提と出典'!$C$38=0,X734&gt;=0),OR('前提と出典'!$C$37+'前提と出典'!$C$38=0,Y734&gt;=0)),0,A734)</ns0:f>
        <ns0:v>0</ns0:v>
      </ns0:c>
    </ns0:row>
    <ns0:row r="735" ht="24" customHeight="1">
      <ns0:c r="A735" s="4" t="n">
        <ns0:v>731</ns0:v>
      </ns0:c>
      <ns0:c r="B735" s="12">
        <ns0:f>A735*('前提と出典'!$C$36+'前提と出典'!$C$38)</ns0:f>
        <ns0:v>511.7</ns0:v>
      </ns0:c>
      <ns0:c r="C735" s="12">
        <ns0:f>A735*('前提と出典'!$C$37+'前提と出典'!$C$38)</ns0:f>
        <ns0:v>438.59999999999997</ns0:v>
      </ns0:c>
      <ns0:c r="D735" s="16">
        <ns0:f>A735*('前提と出典'!$C$36*'契約別単価'!C5+'前提と出典'!$C$37*'契約別単価'!C6+'前提と出典'!$C$38*'契約別単価'!C7)</ns0:f>
        <ns0:v>5259.932960893855</ns0:v>
      </ns0:c>
      <ns0:c r="E735" s="16">
        <ns0:f>A735*('前提と出典'!$C$36*'契約別単価'!E5+'前提と出典'!$C$37*'契約別単価'!E6+'前提と出典'!$C$38*'契約別単価'!E7)</ns0:f>
        <ns0:v>1837641.1068891075</ns0:v>
      </ns0:c>
      <ns0:c r="F735" s="16">
        <ns0:f>A735*('前提と出典'!$C$36*'契約別単価'!F5+'前提と出典'!$C$37*'契約別単価'!F6+'前提と出典'!$C$38*'契約別単価'!F7)</ns0:f>
        <ns0:v>533971.5328458799</ns0:v>
      </ns0:c>
      <ns0:c r="G735" s="16">
        <ns0:f>A735*('前提と出典'!$C$36*'契約別単価'!G5+'前提と出典'!$C$37*'契約別単価'!G6+'前提と出典'!$C$38*'契約別単価'!G7)</ns0:f>
        <ns0:v>1455057.5418994413</ns0:v>
      </ns0:c>
      <ns0:c r="H735" s="16">
        <ns0:f>A735*('前提と出典'!$C$36*'契約別単価'!H5+'前提と出典'!$C$37*'契約別単価'!H6+'前提と出典'!$C$38*'契約別単価'!H7)</ns0:f>
        <ns0:v>504977.94390949147</ns0:v>
      </ns0:c>
      <ns0:c r="I735" s="16">
        <ns0:f>A735*('前提と出典'!$C$36*'契約別単価'!I5+'前提と出典'!$C$37*'契約別単価'!I6+'前提と出典'!$C$38*'契約別単価'!I7)</ns0:f>
        <ns0:v>30844.93296089385</ns0:v>
      </ns0:c>
      <ns0:c r="J735" s="16">
        <ns0:f>A735*('前提と出典'!$C$36*'契約別単価'!J5+'前提と出典'!$C$37*'契約別単価'!J6+'前提と出典'!$C$38*'契約別単価'!J7)</ns0:f>
        <ns0:v>71849.65645223118</ns0:v>
      </ns0:c>
      <ns0:c r="K735" s="16">
        <ns0:f>A735*('前提と出典'!$C$36*'契約別単価'!K5+'前提と出典'!$C$37*'契約別単価'!K6+'前提と出典'!$C$38*'契約別単価'!K7)</ns0:f>
        <ns0:v>307972.886405959</ns0:v>
      </ns0:c>
      <ns0:c r="L735" s="16">
        <ns0:f>A735*('前提と出典'!$C$36*'契約別単価'!L5+'前提と出典'!$C$37*'契約別単価'!L6+'前提と出典'!$C$38*'契約別単価'!L7)</ns0:f>
        <ns0:v>250752.5981303164</ns0:v>
      </ns0:c>
      <ns0:c r="M735" s="16">
        <ns0:f>IF(('前提と出典'!$C$36+'前提と出典'!$C$38)=0,0,IF(B735&lt;=10,'前提と出典'!B73+'前提と出典'!C73,IF(B735&lt;=100,'前提と出典'!B74+'前提と出典'!C74,IF(B735&lt;=500,'前提と出典'!B75+'前提と出典'!C75,'前提と出典'!B76+'前提と出典'!C76))))</ns0:f>
        <ns0:v>80000</ns0:v>
      </ns0:c>
      <ns0:c r="N735" s="16">
        <ns0:f>IF(('前提と出典'!$C$37+'前提と出典'!$C$38)=0,0,IF(C735&lt;=10,'前提と出典'!D73+'前提と出典'!E73,IF(C735&lt;=100,'前提と出典'!D74+'前提と出典'!E74,IF(C735&lt;=500,'前提と出典'!D75+'前提と出典'!E75,'前提と出典'!D76+'前提と出典'!E76))))</ns0:f>
        <ns0:v>56510.9346263078</ns0:v>
      </ns0:c>
      <ns0:c r="O735" s="16">
        <ns0:f>IF('前提と出典'!$C$36+'前提と出典'!$C$38=0,0,'前提と出典'!$B$4*IF('前提と出典'!$B$20=0,MAX('前提と出典'!$B$6,D735*'前提と出典'!$B$5),'前提と出典'!$B$6+D735*'前提と出典'!$B$5))</ns0:f>
        <ns0:v>725870.748603352</ns0:v>
      </ns0:c>
      <ns0:c r="P735" s="16">
        <ns0:f>(E735+G735)*(1-'前提と出典'!$B$7)-I735-K735-M735-O735</ns0:f>
        <ns0:v>2029472.9294619563</ns0:v>
      </ns0:c>
      <ns0:c r="Q735" s="16">
        <ns0:f>(F735+H735)*(1-'前提と出典'!$B$7)-J735-L735-N735</ns0:f>
        <ns0:v>622434.1063833226</ns0:v>
      </ns0:c>
      <ns0:c r="R735" s="16">
        <ns0:f>P735-E735*'前提と出典'!$E$4</ns0:f>
        <ns0:v>1478180.597395224</ns0:v>
      </ns0:c>
      <ns0:c r="S735" s="16">
        <ns0:f>Q735-F735*'前提と出典'!$E$4</ns0:f>
        <ns0:v>462242.6465295586</ns0:v>
      </ns0:c>
      <ns0:c r="T735" s="7">
        <ns0:f>R735+S735</ns0:f>
        <ns0:v>1940423.2439247826</ns0:v>
      </ns0:c>
      <ns0:c r="U735" s="16">
        <ns0:f>P735-E735*'前提と出典'!$E$5</ns0:f>
        <ns0:v>1294416.4867063132</ns0:v>
      </ns0:c>
      <ns0:c r="V735" s="16">
        <ns0:f>Q735-F735*'前提と出典'!$E$5</ns0:f>
        <ns0:v>408845.4932449707</ns0:v>
      </ns0:c>
      <ns0:c r="W735" s="7">
        <ns0:f>U735+V735</ns0:f>
        <ns0:v>1703261.979951284</ns0:v>
      </ns0:c>
      <ns0:c r="X735" s="16">
        <ns0:f>P735-E735*'前提と出典'!$E$6</ns0:f>
        <ns0:v>1110652.3760174024</ns0:v>
      </ns0:c>
      <ns0:c r="Y735" s="16">
        <ns0:f>Q735-F735*'前提と出典'!$E$6</ns0:f>
        <ns0:v>355448.33996038255</ns0:v>
      </ns0:c>
      <ns0:c r="Z735" s="7">
        <ns0:f>X735+Y735</ns0:f>
        <ns0:v>1466100.715977785</ns0:v>
      </ns0:c>
      <ns0:c r="AA735" s="7">
        <ns0:f>IF(T735&gt;=0,A735,1001)</ns0:f>
        <ns0:v>731</ns0:v>
      </ns0:c>
      <ns0:c r="AB735" s="7">
        <ns0:f>IF(T735&lt;0,A735,0)</ns0:f>
        <ns0:v>0</ns0:v>
      </ns0:c>
      <ns0:c r="AC735" s="16">
        <ns0:f>IF(AND(OR('前提と出典'!$C$36+'前提と出典'!$C$38=0,R735&gt;=0),OR('前提と出典'!$C$37+'前提と出典'!$C$38=0,S735&gt;=0)),0,A735)</ns0:f>
        <ns0:v>0</ns0:v>
      </ns0:c>
      <ns0:c r="AD735" s="7">
        <ns0:f>IF(W735&gt;=0,A735,1001)</ns0:f>
        <ns0:v>731</ns0:v>
      </ns0:c>
      <ns0:c r="AE735" s="7">
        <ns0:f>IF(W735&lt;0,A735,0)</ns0:f>
        <ns0:v>0</ns0:v>
      </ns0:c>
      <ns0:c r="AF735" s="16">
        <ns0:f>IF(AND(OR('前提と出典'!$C$36+'前提と出典'!$C$38=0,U735&gt;=0),OR('前提と出典'!$C$37+'前提と出典'!$C$38=0,V735&gt;=0)),0,A735)</ns0:f>
        <ns0:v>0</ns0:v>
      </ns0:c>
      <ns0:c r="AG735" s="7">
        <ns0:f>IF(Z735&gt;=0,A735,1001)</ns0:f>
        <ns0:v>731</ns0:v>
      </ns0:c>
      <ns0:c r="AH735" s="4">
        <ns0:f>IF(Z735&lt;0,A735,0)</ns0:f>
        <ns0:v>0</ns0:v>
      </ns0:c>
      <ns0:c r="AI735" s="12">
        <ns0:f>IF(AND(OR('前提と出典'!$C$36+'前提と出典'!$C$38=0,X735&gt;=0),OR('前提と出典'!$C$37+'前提と出典'!$C$38=0,Y735&gt;=0)),0,A735)</ns0:f>
        <ns0:v>0</ns0:v>
      </ns0:c>
    </ns0:row>
    <ns0:row r="736" ht="24" customHeight="1">
      <ns0:c r="A736" s="4" t="n">
        <ns0:v>732</ns0:v>
      </ns0:c>
      <ns0:c r="B736" s="12">
        <ns0:f>A736*('前提と出典'!$C$36+'前提と出典'!$C$38)</ns0:f>
        <ns0:v>512.4</ns0:v>
      </ns0:c>
      <ns0:c r="C736" s="12">
        <ns0:f>A736*('前提と出典'!$C$37+'前提と出典'!$C$38)</ns0:f>
        <ns0:v>439.2</ns0:v>
      </ns0:c>
      <ns0:c r="D736" s="16">
        <ns0:f>A736*('前提と出典'!$C$36*'契約別単価'!C5+'前提と出典'!$C$37*'契約別単価'!C6+'前提と出典'!$C$38*'契約別単価'!C7)</ns0:f>
        <ns0:v>5267.128491620112</ns0:v>
      </ns0:c>
      <ns0:c r="E736" s="16">
        <ns0:f>A736*('前提と出典'!$C$36*'契約別単価'!E5+'前提と出典'!$C$37*'契約別単価'!E6+'前提と出典'!$C$38*'契約別単価'!E7)</ns0:f>
        <ns0:v>1840154.9798123485</ns0:v>
      </ns0:c>
      <ns0:c r="F736" s="16">
        <ns0:f>A736*('前提と出典'!$C$36*'契約別単価'!F5+'前提と出典'!$C$37*'契約別単価'!F6+'前提と出典'!$C$38*'契約別単価'!F7)</ns0:f>
        <ns0:v>534702.0000590754</ns0:v>
      </ns0:c>
      <ns0:c r="G736" s="16">
        <ns0:f>A736*('前提と出典'!$C$36*'契約別単価'!G5+'前提と出典'!$C$37*'契約別単価'!G6+'前提と出典'!$C$38*'契約別単価'!G7)</ns0:f>
        <ns0:v>1457048.0446927373</ns0:v>
      </ns0:c>
      <ns0:c r="H736" s="16">
        <ns0:f>A736*('前提と出典'!$C$36*'契約別単価'!H5+'前提と出典'!$C$37*'契約別単価'!H6+'前提と出典'!$C$38*'契約別単価'!H7)</ns0:f>
        <ns0:v>505668.74821032526</ns0:v>
      </ns0:c>
      <ns0:c r="I736" s="16">
        <ns0:f>A736*('前提と出典'!$C$36*'契約別単価'!I5+'前提と出典'!$C$37*'契約別単価'!I6+'前提と出典'!$C$38*'契約別単価'!I7)</ns0:f>
        <ns0:v>30887.128491620108</ns0:v>
      </ns0:c>
      <ns0:c r="J736" s="16">
        <ns0:f>A736*('前提と出典'!$C$36*'契約別単価'!J5+'前提と出典'!$C$37*'契約別単価'!J6+'前提と出典'!$C$38*'契約別単価'!J7)</ns0:f>
        <ns0:v>71947.94599594148</ns0:v>
      </ns0:c>
      <ns0:c r="K736" s="16">
        <ns0:f>A736*('前提と出典'!$C$36*'契約別単価'!K5+'前提と出典'!$C$37*'契約別単価'!K6+'前提と出典'!$C$38*'契約別単価'!K7)</ns0:f>
        <ns0:v>308394.18994413404</ns0:v>
      </ns0:c>
      <ns0:c r="L736" s="16">
        <ns0:f>A736*('前提と出典'!$C$36*'契約別単価'!L5+'前提と出典'!$C$37*'契約別単価'!L6+'前提と出典'!$C$38*'契約別単価'!L7)</ns0:f>
        <ns0:v>251095.62494034416</ns0:v>
      </ns0:c>
      <ns0:c r="M736" s="16">
        <ns0:f>IF(('前提と出典'!$C$36+'前提と出典'!$C$38)=0,0,IF(B736&lt;=10,'前提と出典'!B73+'前提と出典'!C73,IF(B736&lt;=100,'前提と出典'!B74+'前提と出典'!C74,IF(B736&lt;=500,'前提と出典'!B75+'前提と出典'!C75,'前提と出典'!B76+'前提と出典'!C76))))</ns0:f>
        <ns0:v>80000</ns0:v>
      </ns0:c>
      <ns0:c r="N736" s="16">
        <ns0:f>IF(('前提と出典'!$C$37+'前提と出典'!$C$38)=0,0,IF(C736&lt;=10,'前提と出典'!D73+'前提と出典'!E73,IF(C736&lt;=100,'前提と出典'!D74+'前提と出典'!E74,IF(C736&lt;=500,'前提と出典'!D75+'前提と出典'!E75,'前提と出典'!D76+'前提と出典'!E76))))</ns0:f>
        <ns0:v>56510.9346263078</ns0:v>
      </ns0:c>
      <ns0:c r="O736" s="16">
        <ns0:f>IF('前提と出典'!$C$36+'前提と出典'!$C$38=0,0,'前提と出典'!$B$4*IF('前提と出典'!$B$20=0,MAX('前提と出典'!$B$6,D736*'前提と出典'!$B$5),'前提と出典'!$B$6+D736*'前提と出典'!$B$5))</ns0:f>
        <ns0:v>726863.7318435755</ns0:v>
      </ns0:c>
      <ns0:c r="P736" s="16">
        <ns0:f>(E736+G736)*(1-'前提と出典'!$B$7)-I736-K736-M736-O736</ns0:f>
        <ns0:v>2032358.6653435735</ns0:v>
      </ns0:c>
      <ns0:c r="Q736" s="16">
        <ns0:f>(F736+H736)*(1-'前提と出典'!$B$7)-J736-L736-N736</ns0:f>
        <ns0:v>623362.8957691088</ns0:v>
      </ns0:c>
      <ns0:c r="R736" s="16">
        <ns0:f>P736-E736*'前提と出典'!$E$4</ns0:f>
        <ns0:v>1480312.1713998686</ns0:v>
      </ns0:c>
      <ns0:c r="S736" s="16">
        <ns0:f>Q736-F736*'前提と出典'!$E$4</ns0:f>
        <ns0:v>462952.2957513862</ns0:v>
      </ns0:c>
      <ns0:c r="T736" s="7">
        <ns0:f>R736+S736</ns0:f>
        <ns0:v>1943264.4671512549</ns0:v>
      </ns0:c>
      <ns0:c r="U736" s="16">
        <ns0:f>P736-E736*'前提と出典'!$E$5</ns0:f>
        <ns0:v>1296296.673418634</ns0:v>
      </ns0:c>
      <ns0:c r="V736" s="16">
        <ns0:f>Q736-F736*'前提と出典'!$E$5</ns0:f>
        <ns0:v>409482.09574547864</ns0:v>
      </ns0:c>
      <ns0:c r="W736" s="7">
        <ns0:f>U736+V736</ns0:f>
        <ns0:v>1705778.7691641129</ns0:v>
      </ns0:c>
      <ns0:c r="X736" s="16">
        <ns0:f>P736-E736*'前提と出典'!$E$6</ns0:f>
        <ns0:v>1112281.1754373992</ns0:v>
      </ns0:c>
      <ns0:c r="Y736" s="16">
        <ns0:f>Q736-F736*'前提と出典'!$E$6</ns0:f>
        <ns0:v>356011.8957395711</ns0:v>
      </ns0:c>
      <ns0:c r="Z736" s="7">
        <ns0:f>X736+Y736</ns0:f>
        <ns0:v>1468293.0711769704</ns0:v>
      </ns0:c>
      <ns0:c r="AA736" s="7">
        <ns0:f>IF(T736&gt;=0,A736,1001)</ns0:f>
        <ns0:v>732</ns0:v>
      </ns0:c>
      <ns0:c r="AB736" s="7">
        <ns0:f>IF(T736&lt;0,A736,0)</ns0:f>
        <ns0:v>0</ns0:v>
      </ns0:c>
      <ns0:c r="AC736" s="16">
        <ns0:f>IF(AND(OR('前提と出典'!$C$36+'前提と出典'!$C$38=0,R736&gt;=0),OR('前提と出典'!$C$37+'前提と出典'!$C$38=0,S736&gt;=0)),0,A736)</ns0:f>
        <ns0:v>0</ns0:v>
      </ns0:c>
      <ns0:c r="AD736" s="7">
        <ns0:f>IF(W736&gt;=0,A736,1001)</ns0:f>
        <ns0:v>732</ns0:v>
      </ns0:c>
      <ns0:c r="AE736" s="7">
        <ns0:f>IF(W736&lt;0,A736,0)</ns0:f>
        <ns0:v>0</ns0:v>
      </ns0:c>
      <ns0:c r="AF736" s="16">
        <ns0:f>IF(AND(OR('前提と出典'!$C$36+'前提と出典'!$C$38=0,U736&gt;=0),OR('前提と出典'!$C$37+'前提と出典'!$C$38=0,V736&gt;=0)),0,A736)</ns0:f>
        <ns0:v>0</ns0:v>
      </ns0:c>
      <ns0:c r="AG736" s="7">
        <ns0:f>IF(Z736&gt;=0,A736,1001)</ns0:f>
        <ns0:v>732</ns0:v>
      </ns0:c>
      <ns0:c r="AH736" s="4">
        <ns0:f>IF(Z736&lt;0,A736,0)</ns0:f>
        <ns0:v>0</ns0:v>
      </ns0:c>
      <ns0:c r="AI736" s="12">
        <ns0:f>IF(AND(OR('前提と出典'!$C$36+'前提と出典'!$C$38=0,X736&gt;=0),OR('前提と出典'!$C$37+'前提と出典'!$C$38=0,Y736&gt;=0)),0,A736)</ns0:f>
        <ns0:v>0</ns0:v>
      </ns0:c>
    </ns0:row>
    <ns0:row r="737" ht="24" customHeight="1">
      <ns0:c r="A737" s="4" t="n">
        <ns0:v>733</ns0:v>
      </ns0:c>
      <ns0:c r="B737" s="12">
        <ns0:f>A737*('前提と出典'!$C$36+'前提と出典'!$C$38)</ns0:f>
        <ns0:v>513.1</ns0:v>
      </ns0:c>
      <ns0:c r="C737" s="12">
        <ns0:f>A737*('前提と出典'!$C$37+'前提と出典'!$C$38)</ns0:f>
        <ns0:v>439.8</ns0:v>
      </ns0:c>
      <ns0:c r="D737" s="16">
        <ns0:f>A737*('前提と出典'!$C$36*'契約別単価'!C5+'前提と出典'!$C$37*'契約別単価'!C6+'前提と出典'!$C$38*'契約別単価'!C7)</ns0:f>
        <ns0:v>5274.324022346369</ns0:v>
      </ns0:c>
      <ns0:c r="E737" s="16">
        <ns0:f>A737*('前提と出典'!$C$36*'契約別単価'!E5+'前提と出典'!$C$37*'契約別単価'!E6+'前提と出典'!$C$38*'契約別単価'!E7)</ns0:f>
        <ns0:v>1842668.8527355895</ns0:v>
      </ns0:c>
      <ns0:c r="F737" s="16">
        <ns0:f>A737*('前提と出典'!$C$36*'契約別単価'!F5+'前提と出典'!$C$37*'契約別単価'!F6+'前提と出典'!$C$38*'契約別単価'!F7)</ns0:f>
        <ns0:v>535432.4672722708</ns0:v>
      </ns0:c>
      <ns0:c r="G737" s="16">
        <ns0:f>A737*('前提と出典'!$C$36*'契約別単価'!G5+'前提と出典'!$C$37*'契約別単価'!G6+'前提と出典'!$C$38*'契約別単価'!G7)</ns0:f>
        <ns0:v>1459038.5474860335</ns0:v>
      </ns0:c>
      <ns0:c r="H737" s="16">
        <ns0:f>A737*('前提と出典'!$C$36*'契約別単価'!H5+'前提と出典'!$C$37*'契約別単価'!H6+'前提と出典'!$C$38*'契約別単価'!H7)</ns0:f>
        <ns0:v>506359.55251115904</ns0:v>
      </ns0:c>
      <ns0:c r="I737" s="16">
        <ns0:f>A737*('前提と出典'!$C$36*'契約別単価'!I5+'前提と出典'!$C$37*'契約別単価'!I6+'前提と出典'!$C$38*'契約別単価'!I7)</ns0:f>
        <ns0:v>30929.32402234636</ns0:v>
      </ns0:c>
      <ns0:c r="J737" s="16">
        <ns0:f>A737*('前提と出典'!$C$36*'契約別単価'!J5+'前提と出典'!$C$37*'契約別単価'!J6+'前提と出典'!$C$38*'契約別単価'!J7)</ns0:f>
        <ns0:v>72046.23553965178</ns0:v>
      </ns0:c>
      <ns0:c r="K737" s="16">
        <ns0:f>A737*('前提と出典'!$C$36*'契約別単価'!K5+'前提と出典'!$C$37*'契約別単価'!K6+'前提と出典'!$C$38*'契約別単価'!K7)</ns0:f>
        <ns0:v>308815.4934823091</ns0:v>
      </ns0:c>
      <ns0:c r="L737" s="16">
        <ns0:f>A737*('前提と出典'!$C$36*'契約別単価'!L5+'前提と出典'!$C$37*'契約別単価'!L6+'前提と出典'!$C$38*'契約別単価'!L7)</ns0:f>
        <ns0:v>251438.65175037197</ns0:v>
      </ns0:c>
      <ns0:c r="M737" s="16">
        <ns0:f>IF(('前提と出典'!$C$36+'前提と出典'!$C$38)=0,0,IF(B737&lt;=10,'前提と出典'!B73+'前提と出典'!C73,IF(B737&lt;=100,'前提と出典'!B74+'前提と出典'!C74,IF(B737&lt;=500,'前提と出典'!B75+'前提と出典'!C75,'前提と出典'!B76+'前提と出典'!C76))))</ns0:f>
        <ns0:v>80000</ns0:v>
      </ns0:c>
      <ns0:c r="N737" s="16">
        <ns0:f>IF(('前提と出典'!$C$37+'前提と出典'!$C$38)=0,0,IF(C737&lt;=10,'前提と出典'!D73+'前提と出典'!E73,IF(C737&lt;=100,'前提と出典'!D74+'前提と出典'!E74,IF(C737&lt;=500,'前提と出典'!D75+'前提と出典'!E75,'前提と出典'!D76+'前提と出典'!E76))))</ns0:f>
        <ns0:v>56510.9346263078</ns0:v>
      </ns0:c>
      <ns0:c r="O737" s="16">
        <ns0:f>IF('前提と出典'!$C$36+'前提と出典'!$C$38=0,0,'前提と出典'!$B$4*IF('前提と出典'!$B$20=0,MAX('前提と出典'!$B$6,D737*'前提と出典'!$B$5),'前提と出典'!$B$6+D737*'前提と出典'!$B$5))</ns0:f>
        <ns0:v>727856.715083799</ns0:v>
      </ns0:c>
      <ns0:c r="P737" s="16">
        <ns0:f>(E737+G737)*(1-'前提と出典'!$B$7)-I737-K737-M737-O737</ns0:f>
        <ns0:v>2035244.4012251908</ns0:v>
      </ns0:c>
      <ns0:c r="Q737" s="16">
        <ns0:f>(F737+H737)*(1-'前提と出典'!$B$7)-J737-L737-N737</ns0:f>
        <ns0:v>624291.6851548948</ns0:v>
      </ns0:c>
      <ns0:c r="R737" s="16">
        <ns0:f>P737-E737*'前提と出典'!$E$4</ns0:f>
        <ns0:v>1482443.745404514</ns0:v>
      </ns0:c>
      <ns0:c r="S737" s="16">
        <ns0:f>Q737-F737*'前提と出典'!$E$4</ns0:f>
        <ns0:v>463661.94497321354</ns0:v>
      </ns0:c>
      <ns0:c r="T737" s="7">
        <ns0:f>R737+S737</ns0:f>
        <ns0:v>1946105.6903777276</ns0:v>
      </ns0:c>
      <ns0:c r="U737" s="16">
        <ns0:f>P737-E737*'前提と出典'!$E$5</ns0:f>
        <ns0:v>1298176.860130955</ns0:v>
      </ns0:c>
      <ns0:c r="V737" s="16">
        <ns0:f>Q737-F737*'前提と出典'!$E$5</ns0:f>
        <ns0:v>410118.6982459864</ns0:v>
      </ns0:c>
      <ns0:c r="W737" s="7">
        <ns0:f>U737+V737</ns0:f>
        <ns0:v>1708295.5583769414</ns0:v>
      </ns0:c>
      <ns0:c r="X737" s="16">
        <ns0:f>P737-E737*'前提と出典'!$E$6</ns0:f>
        <ns0:v>1113909.9748573955</ns0:v>
      </ns0:c>
      <ns0:c r="Y737" s="16">
        <ns0:f>Q737-F737*'前提と出典'!$E$6</ns0:f>
        <ns0:v>356575.4515187593</ns0:v>
      </ns0:c>
      <ns0:c r="Z737" s="7">
        <ns0:f>X737+Y737</ns0:f>
        <ns0:v>1470485.4263761549</ns0:v>
      </ns0:c>
      <ns0:c r="AA737" s="7">
        <ns0:f>IF(T737&gt;=0,A737,1001)</ns0:f>
        <ns0:v>733</ns0:v>
      </ns0:c>
      <ns0:c r="AB737" s="7">
        <ns0:f>IF(T737&lt;0,A737,0)</ns0:f>
        <ns0:v>0</ns0:v>
      </ns0:c>
      <ns0:c r="AC737" s="16">
        <ns0:f>IF(AND(OR('前提と出典'!$C$36+'前提と出典'!$C$38=0,R737&gt;=0),OR('前提と出典'!$C$37+'前提と出典'!$C$38=0,S737&gt;=0)),0,A737)</ns0:f>
        <ns0:v>0</ns0:v>
      </ns0:c>
      <ns0:c r="AD737" s="7">
        <ns0:f>IF(W737&gt;=0,A737,1001)</ns0:f>
        <ns0:v>733</ns0:v>
      </ns0:c>
      <ns0:c r="AE737" s="7">
        <ns0:f>IF(W737&lt;0,A737,0)</ns0:f>
        <ns0:v>0</ns0:v>
      </ns0:c>
      <ns0:c r="AF737" s="16">
        <ns0:f>IF(AND(OR('前提と出典'!$C$36+'前提と出典'!$C$38=0,U737&gt;=0),OR('前提と出典'!$C$37+'前提と出典'!$C$38=0,V737&gt;=0)),0,A737)</ns0:f>
        <ns0:v>0</ns0:v>
      </ns0:c>
      <ns0:c r="AG737" s="7">
        <ns0:f>IF(Z737&gt;=0,A737,1001)</ns0:f>
        <ns0:v>733</ns0:v>
      </ns0:c>
      <ns0:c r="AH737" s="4">
        <ns0:f>IF(Z737&lt;0,A737,0)</ns0:f>
        <ns0:v>0</ns0:v>
      </ns0:c>
      <ns0:c r="AI737" s="12">
        <ns0:f>IF(AND(OR('前提と出典'!$C$36+'前提と出典'!$C$38=0,X737&gt;=0),OR('前提と出典'!$C$37+'前提と出典'!$C$38=0,Y737&gt;=0)),0,A737)</ns0:f>
        <ns0:v>0</ns0:v>
      </ns0:c>
    </ns0:row>
    <ns0:row r="738" ht="24" customHeight="1">
      <ns0:c r="A738" s="4" t="n">
        <ns0:v>734</ns0:v>
      </ns0:c>
      <ns0:c r="B738" s="12">
        <ns0:f>A738*('前提と出典'!$C$36+'前提と出典'!$C$38)</ns0:f>
        <ns0:v>513.8</ns0:v>
      </ns0:c>
      <ns0:c r="C738" s="12">
        <ns0:f>A738*('前提と出典'!$C$37+'前提と出典'!$C$38)</ns0:f>
        <ns0:v>440.4</ns0:v>
      </ns0:c>
      <ns0:c r="D738" s="16">
        <ns0:f>A738*('前提と出典'!$C$36*'契約別単価'!C5+'前提と出典'!$C$37*'契約別単価'!C6+'前提と出典'!$C$38*'契約別単価'!C7)</ns0:f>
        <ns0:v>5281.519553072626</ns0:v>
      </ns0:c>
      <ns0:c r="E738" s="16">
        <ns0:f>A738*('前提と出典'!$C$36*'契約別単価'!E5+'前提と出典'!$C$37*'契約別単価'!E6+'前提と出典'!$C$38*'契約別単価'!E7)</ns0:f>
        <ns0:v>1845182.7256588303</ns0:v>
      </ns0:c>
      <ns0:c r="F738" s="16">
        <ns0:f>A738*('前提と出典'!$C$36*'契約別単価'!F5+'前提と出典'!$C$37*'契約別単価'!F6+'前提と出典'!$C$38*'契約別単価'!F7)</ns0:f>
        <ns0:v>536162.9344854663</ns0:v>
      </ns0:c>
      <ns0:c r="G738" s="16">
        <ns0:f>A738*('前提と出典'!$C$36*'契約別単価'!G5+'前提と出典'!$C$37*'契約別単価'!G6+'前提と出典'!$C$38*'契約別単価'!G7)</ns0:f>
        <ns0:v>1461029.0502793295</ns0:v>
      </ns0:c>
      <ns0:c r="H738" s="16">
        <ns0:f>A738*('前提と出典'!$C$36*'契約別単価'!H5+'前提と出典'!$C$37*'契約別単価'!H6+'前提と出典'!$C$38*'契約別単価'!H7)</ns0:f>
        <ns0:v>507050.3568119928</ns0:v>
      </ns0:c>
      <ns0:c r="I738" s="16">
        <ns0:f>A738*('前提と出典'!$C$36*'契約別単価'!I5+'前提と出典'!$C$37*'契約別単価'!I6+'前提と出典'!$C$38*'契約別単価'!I7)</ns0:f>
        <ns0:v>30971.51955307262</ns0:v>
      </ns0:c>
      <ns0:c r="J738" s="16">
        <ns0:f>A738*('前提と出典'!$C$36*'契約別単価'!J5+'前提と出典'!$C$37*'契約別単価'!J6+'前提と出典'!$C$38*'契約別単価'!J7)</ns0:f>
        <ns0:v>72144.52508336208</ns0:v>
      </ns0:c>
      <ns0:c r="K738" s="16">
        <ns0:f>A738*('前提と出典'!$C$36*'契約別単価'!K5+'前提と出典'!$C$37*'契約別単価'!K6+'前提と出典'!$C$38*'契約別単価'!K7)</ns0:f>
        <ns0:v>309236.79702048417</ns0:v>
      </ns0:c>
      <ns0:c r="L738" s="16">
        <ns0:f>A738*('前提と出典'!$C$36*'契約別単価'!L5+'前提と出典'!$C$37*'契約別単価'!L6+'前提と出典'!$C$38*'契約別単価'!L7)</ns0:f>
        <ns0:v>251781.67856039974</ns0:v>
      </ns0:c>
      <ns0:c r="M738" s="16">
        <ns0:f>IF(('前提と出典'!$C$36+'前提と出典'!$C$38)=0,0,IF(B738&lt;=10,'前提と出典'!B73+'前提と出典'!C73,IF(B738&lt;=100,'前提と出典'!B74+'前提と出典'!C74,IF(B738&lt;=500,'前提と出典'!B75+'前提と出典'!C75,'前提と出典'!B76+'前提と出典'!C76))))</ns0:f>
        <ns0:v>80000</ns0:v>
      </ns0:c>
      <ns0:c r="N738" s="16">
        <ns0:f>IF(('前提と出典'!$C$37+'前提と出典'!$C$38)=0,0,IF(C738&lt;=10,'前提と出典'!D73+'前提と出典'!E73,IF(C738&lt;=100,'前提と出典'!D74+'前提と出典'!E74,IF(C738&lt;=500,'前提と出典'!D75+'前提と出典'!E75,'前提と出典'!D76+'前提と出典'!E76))))</ns0:f>
        <ns0:v>56510.9346263078</ns0:v>
      </ns0:c>
      <ns0:c r="O738" s="16">
        <ns0:f>IF('前提と出典'!$C$36+'前提と出典'!$C$38=0,0,'前提と出典'!$B$4*IF('前提と出典'!$B$20=0,MAX('前提と出典'!$B$6,D738*'前提と出典'!$B$5),'前提と出典'!$B$6+D738*'前提と出典'!$B$5))</ns0:f>
        <ns0:v>728849.6983240225</ns0:v>
      </ns0:c>
      <ns0:c r="P738" s="16">
        <ns0:f>(E738+G738)*(1-'前提と出典'!$B$7)-I738-K738-M738-O738</ns0:f>
        <ns0:v>2038130.1371068065</ns0:v>
      </ns0:c>
      <ns0:c r="Q738" s="16">
        <ns0:f>(F738+H738)*(1-'前提と出典'!$B$7)-J738-L738-N738</ns0:f>
        <ns0:v>625220.4745406809</ns0:v>
      </ns0:c>
      <ns0:c r="R738" s="16">
        <ns0:f>P738-E738*'前提と出典'!$E$4</ns0:f>
        <ns0:v>1484575.3194091576</ns0:v>
      </ns0:c>
      <ns0:c r="S738" s="16">
        <ns0:f>Q738-F738*'前提と出典'!$E$4</ns0:f>
        <ns0:v>464371.59419504105</ns0:v>
      </ns0:c>
      <ns0:c r="T738" s="7">
        <ns0:f>R738+S738</ns0:f>
        <ns0:v>1948946.9136041987</ns0:v>
      </ns0:c>
      <ns0:c r="U738" s="16">
        <ns0:f>P738-E738*'前提と出典'!$E$5</ns0:f>
        <ns0:v>1300057.0468432745</ns0:v>
      </ns0:c>
      <ns0:c r="V738" s="16">
        <ns0:f>Q738-F738*'前提と出典'!$E$5</ns0:f>
        <ns0:v>410755.3007464944</ns0:v>
      </ns0:c>
      <ns0:c r="W738" s="7">
        <ns0:f>U738+V738</ns0:f>
        <ns0:v>1710812.347589769</ns0:v>
      </ns0:c>
      <ns0:c r="X738" s="16">
        <ns0:f>P738-E738*'前提と出典'!$E$6</ns0:f>
        <ns0:v>1115538.7742773914</ns0:v>
      </ns0:c>
      <ns0:c r="Y738" s="16">
        <ns0:f>Q738-F738*'前提と出典'!$E$6</ns0:f>
        <ns0:v>357139.0072979477</ns0:v>
      </ns0:c>
      <ns0:c r="Z738" s="7">
        <ns0:f>X738+Y738</ns0:f>
        <ns0:v>1472677.7815753391</ns0:v>
      </ns0:c>
      <ns0:c r="AA738" s="7">
        <ns0:f>IF(T738&gt;=0,A738,1001)</ns0:f>
        <ns0:v>734</ns0:v>
      </ns0:c>
      <ns0:c r="AB738" s="7">
        <ns0:f>IF(T738&lt;0,A738,0)</ns0:f>
        <ns0:v>0</ns0:v>
      </ns0:c>
      <ns0:c r="AC738" s="16">
        <ns0:f>IF(AND(OR('前提と出典'!$C$36+'前提と出典'!$C$38=0,R738&gt;=0),OR('前提と出典'!$C$37+'前提と出典'!$C$38=0,S738&gt;=0)),0,A738)</ns0:f>
        <ns0:v>0</ns0:v>
      </ns0:c>
      <ns0:c r="AD738" s="7">
        <ns0:f>IF(W738&gt;=0,A738,1001)</ns0:f>
        <ns0:v>734</ns0:v>
      </ns0:c>
      <ns0:c r="AE738" s="7">
        <ns0:f>IF(W738&lt;0,A738,0)</ns0:f>
        <ns0:v>0</ns0:v>
      </ns0:c>
      <ns0:c r="AF738" s="16">
        <ns0:f>IF(AND(OR('前提と出典'!$C$36+'前提と出典'!$C$38=0,U738&gt;=0),OR('前提と出典'!$C$37+'前提と出典'!$C$38=0,V738&gt;=0)),0,A738)</ns0:f>
        <ns0:v>0</ns0:v>
      </ns0:c>
      <ns0:c r="AG738" s="7">
        <ns0:f>IF(Z738&gt;=0,A738,1001)</ns0:f>
        <ns0:v>734</ns0:v>
      </ns0:c>
      <ns0:c r="AH738" s="4">
        <ns0:f>IF(Z738&lt;0,A738,0)</ns0:f>
        <ns0:v>0</ns0:v>
      </ns0:c>
      <ns0:c r="AI738" s="12">
        <ns0:f>IF(AND(OR('前提と出典'!$C$36+'前提と出典'!$C$38=0,X738&gt;=0),OR('前提と出典'!$C$37+'前提と出典'!$C$38=0,Y738&gt;=0)),0,A738)</ns0:f>
        <ns0:v>0</ns0:v>
      </ns0:c>
    </ns0:row>
    <ns0:row r="739" ht="24" customHeight="1">
      <ns0:c r="A739" s="4" t="n">
        <ns0:v>735</ns0:v>
      </ns0:c>
      <ns0:c r="B739" s="12">
        <ns0:f>A739*('前提と出典'!$C$36+'前提と出典'!$C$38)</ns0:f>
        <ns0:v>514.5</ns0:v>
      </ns0:c>
      <ns0:c r="C739" s="12">
        <ns0:f>A739*('前提と出典'!$C$37+'前提と出典'!$C$38)</ns0:f>
        <ns0:v>441</ns0:v>
      </ns0:c>
      <ns0:c r="D739" s="16">
        <ns0:f>A739*('前提と出典'!$C$36*'契約別単価'!C5+'前提と出典'!$C$37*'契約別単価'!C6+'前提と出典'!$C$38*'契約別単価'!C7)</ns0:f>
        <ns0:v>5288.715083798883</ns0:v>
      </ns0:c>
      <ns0:c r="E739" s="16">
        <ns0:f>A739*('前提と出典'!$C$36*'契約別単価'!E5+'前提と出典'!$C$37*'契約別単価'!E6+'前提と出典'!$C$38*'契約別単価'!E7)</ns0:f>
        <ns0:v>1847696.5985820713</ns0:v>
      </ns0:c>
      <ns0:c r="F739" s="16">
        <ns0:f>A739*('前提と出典'!$C$36*'契約別単価'!F5+'前提と出典'!$C$37*'契約別単価'!F6+'前提と出典'!$C$38*'契約別単価'!F7)</ns0:f>
        <ns0:v>536893.4016986617</ns0:v>
      </ns0:c>
      <ns0:c r="G739" s="16">
        <ns0:f>A739*('前提と出典'!$C$36*'契約別単価'!G5+'前提と出典'!$C$37*'契約別単価'!G6+'前提と出典'!$C$38*'契約別単価'!G7)</ns0:f>
        <ns0:v>1463019.5530726255</ns0:v>
      </ns0:c>
      <ns0:c r="H739" s="16">
        <ns0:f>A739*('前提と出典'!$C$36*'契約別単価'!H5+'前提と出典'!$C$37*'契約別単価'!H6+'前提と出典'!$C$38*'契約別単価'!H7)</ns0:f>
        <ns0:v>507741.1611128266</ns0:v>
      </ns0:c>
      <ns0:c r="I739" s="16">
        <ns0:f>A739*('前提と出典'!$C$36*'契約別単価'!I5+'前提と出典'!$C$37*'契約別単価'!I6+'前提と出典'!$C$38*'契約別単価'!I7)</ns0:f>
        <ns0:v>31013.715083798877</ns0:v>
      </ns0:c>
      <ns0:c r="J739" s="16">
        <ns0:f>A739*('前提と出典'!$C$36*'契約別単価'!J5+'前提と出典'!$C$37*'契約別単価'!J6+'前提と出典'!$C$38*'契約別単価'!J7)</ns0:f>
        <ns0:v>72242.81462707238</ns0:v>
      </ns0:c>
      <ns0:c r="K739" s="16">
        <ns0:f>A739*('前提と出典'!$C$36*'契約別単価'!K5+'前提と出典'!$C$37*'契約別単価'!K6+'前提と出典'!$C$38*'契約別単価'!K7)</ns0:f>
        <ns0:v>309658.1005586592</ns0:v>
      </ns0:c>
      <ns0:c r="L739" s="16">
        <ns0:f>A739*('前提と出典'!$C$36*'契約別単価'!L5+'前提と出典'!$C$37*'契約別単価'!L6+'前提と出典'!$C$38*'契約別単価'!L7)</ns0:f>
        <ns0:v>252124.70537042755</ns0:v>
      </ns0:c>
      <ns0:c r="M739" s="16">
        <ns0:f>IF(('前提と出典'!$C$36+'前提と出典'!$C$38)=0,0,IF(B739&lt;=10,'前提と出典'!B73+'前提と出典'!C73,IF(B739&lt;=100,'前提と出典'!B74+'前提と出典'!C74,IF(B739&lt;=500,'前提と出典'!B75+'前提と出典'!C75,'前提と出典'!B76+'前提と出典'!C76))))</ns0:f>
        <ns0:v>80000</ns0:v>
      </ns0:c>
      <ns0:c r="N739" s="16">
        <ns0:f>IF(('前提と出典'!$C$37+'前提と出典'!$C$38)=0,0,IF(C739&lt;=10,'前提と出典'!D73+'前提と出典'!E73,IF(C739&lt;=100,'前提と出典'!D74+'前提と出典'!E74,IF(C739&lt;=500,'前提と出典'!D75+'前提と出典'!E75,'前提と出典'!D76+'前提と出典'!E76))))</ns0:f>
        <ns0:v>56510.9346263078</ns0:v>
      </ns0:c>
      <ns0:c r="O739" s="16">
        <ns0:f>IF('前提と出典'!$C$36+'前提と出典'!$C$38=0,0,'前提と出典'!$B$4*IF('前提と出典'!$B$20=0,MAX('前提と出典'!$B$6,D739*'前提と出典'!$B$5),'前提と出典'!$B$6+D739*'前提と出典'!$B$5))</ns0:f>
        <ns0:v>729842.681564246</ns0:v>
      </ns0:c>
      <ns0:c r="P739" s="16">
        <ns0:f>(E739+G739)*(1-'前提と出典'!$B$7)-I739-K739-M739-O739</ns0:f>
        <ns0:v>2041015.8729884243</ns0:v>
      </ns0:c>
      <ns0:c r="Q739" s="16">
        <ns0:f>(F739+H739)*(1-'前提と出典'!$B$7)-J739-L739-N739</ns0:f>
        <ns0:v>626149.2639264669</ns0:v>
      </ns0:c>
      <ns0:c r="R739" s="16">
        <ns0:f>P739-E739*'前提と出典'!$E$4</ns0:f>
        <ns0:v>1486706.893413803</ns0:v>
      </ns0:c>
      <ns0:c r="S739" s="16">
        <ns0:f>Q739-F739*'前提と出典'!$E$4</ns0:f>
        <ns0:v>465081.2434168684</ns0:v>
      </ns0:c>
      <ns0:c r="T739" s="7">
        <ns0:f>R739+S739</ns0:f>
        <ns0:v>1951788.1368306715</ns0:v>
      </ns0:c>
      <ns0:c r="U739" s="16">
        <ns0:f>P739-E739*'前提と出典'!$E$5</ns0:f>
        <ns0:v>1301937.2335555959</ns0:v>
      </ns0:c>
      <ns0:c r="V739" s="16">
        <ns0:f>Q739-F739*'前提と出典'!$E$5</ns0:f>
        <ns0:v>411391.9032470023</ns0:v>
      </ns0:c>
      <ns0:c r="W739" s="7">
        <ns0:f>U739+V739</ns0:f>
        <ns0:v>1713329.1368025981</ns0:v>
      </ns0:c>
      <ns0:c r="X739" s="16">
        <ns0:f>P739-E739*'前提と出典'!$E$6</ns0:f>
        <ns0:v>1117167.5736973886</ns0:v>
      </ns0:c>
      <ns0:c r="Y739" s="16">
        <ns0:f>Q739-F739*'前提と出典'!$E$6</ns0:f>
        <ns0:v>357702.56307713606</ns0:v>
      </ns0:c>
      <ns0:c r="Z739" s="7">
        <ns0:f>X739+Y739</ns0:f>
        <ns0:v>1474870.1367745246</ns0:v>
      </ns0:c>
      <ns0:c r="AA739" s="7">
        <ns0:f>IF(T739&gt;=0,A739,1001)</ns0:f>
        <ns0:v>735</ns0:v>
      </ns0:c>
      <ns0:c r="AB739" s="7">
        <ns0:f>IF(T739&lt;0,A739,0)</ns0:f>
        <ns0:v>0</ns0:v>
      </ns0:c>
      <ns0:c r="AC739" s="16">
        <ns0:f>IF(AND(OR('前提と出典'!$C$36+'前提と出典'!$C$38=0,R739&gt;=0),OR('前提と出典'!$C$37+'前提と出典'!$C$38=0,S739&gt;=0)),0,A739)</ns0:f>
        <ns0:v>0</ns0:v>
      </ns0:c>
      <ns0:c r="AD739" s="7">
        <ns0:f>IF(W739&gt;=0,A739,1001)</ns0:f>
        <ns0:v>735</ns0:v>
      </ns0:c>
      <ns0:c r="AE739" s="7">
        <ns0:f>IF(W739&lt;0,A739,0)</ns0:f>
        <ns0:v>0</ns0:v>
      </ns0:c>
      <ns0:c r="AF739" s="16">
        <ns0:f>IF(AND(OR('前提と出典'!$C$36+'前提と出典'!$C$38=0,U739&gt;=0),OR('前提と出典'!$C$37+'前提と出典'!$C$38=0,V739&gt;=0)),0,A739)</ns0:f>
        <ns0:v>0</ns0:v>
      </ns0:c>
      <ns0:c r="AG739" s="7">
        <ns0:f>IF(Z739&gt;=0,A739,1001)</ns0:f>
        <ns0:v>735</ns0:v>
      </ns0:c>
      <ns0:c r="AH739" s="4">
        <ns0:f>IF(Z739&lt;0,A739,0)</ns0:f>
        <ns0:v>0</ns0:v>
      </ns0:c>
      <ns0:c r="AI739" s="12">
        <ns0:f>IF(AND(OR('前提と出典'!$C$36+'前提と出典'!$C$38=0,X739&gt;=0),OR('前提と出典'!$C$37+'前提と出典'!$C$38=0,Y739&gt;=0)),0,A739)</ns0:f>
        <ns0:v>0</ns0:v>
      </ns0:c>
    </ns0:row>
    <ns0:row r="740" ht="24" customHeight="1">
      <ns0:c r="A740" s="4" t="n">
        <ns0:v>736</ns0:v>
      </ns0:c>
      <ns0:c r="B740" s="12">
        <ns0:f>A740*('前提と出典'!$C$36+'前提と出典'!$C$38)</ns0:f>
        <ns0:v>515.1999999999999</ns0:v>
      </ns0:c>
      <ns0:c r="C740" s="12">
        <ns0:f>A740*('前提と出典'!$C$37+'前提と出典'!$C$38)</ns0:f>
        <ns0:v>441.59999999999997</ns0:v>
      </ns0:c>
      <ns0:c r="D740" s="16">
        <ns0:f>A740*('前提と出典'!$C$36*'契約別単価'!C5+'前提と出典'!$C$37*'契約別単価'!C6+'前提と出典'!$C$38*'契約別単価'!C7)</ns0:f>
        <ns0:v>5295.91061452514</ns0:v>
      </ns0:c>
      <ns0:c r="E740" s="16">
        <ns0:f>A740*('前提と出典'!$C$36*'契約別単価'!E5+'前提と出典'!$C$37*'契約別単価'!E6+'前提と出典'!$C$38*'契約別単価'!E7)</ns0:f>
        <ns0:v>1850210.4715053122</ns0:v>
      </ns0:c>
      <ns0:c r="F740" s="16">
        <ns0:f>A740*('前提と出典'!$C$36*'契約別単価'!F5+'前提と出典'!$C$37*'契約別単価'!F6+'前提と出典'!$C$38*'契約別単価'!F7)</ns0:f>
        <ns0:v>537623.8689118573</ns0:v>
      </ns0:c>
      <ns0:c r="G740" s="16">
        <ns0:f>A740*('前提と出典'!$C$36*'契約別単価'!G5+'前提と出典'!$C$37*'契約別単価'!G6+'前提と出典'!$C$38*'契約別単価'!G7)</ns0:f>
        <ns0:v>1465010.0558659218</ns0:v>
      </ns0:c>
      <ns0:c r="H740" s="16">
        <ns0:f>A740*('前提と出典'!$C$36*'契約別単価'!H5+'前提と出典'!$C$37*'契約別単価'!H6+'前提と出典'!$C$38*'契約別単価'!H7)</ns0:f>
        <ns0:v>508431.9654136604</ns0:v>
      </ns0:c>
      <ns0:c r="I740" s="16">
        <ns0:f>A740*('前提と出典'!$C$36*'契約別単価'!I5+'前提と出典'!$C$37*'契約別単価'!I6+'前提と出典'!$C$38*'契約別単価'!I7)</ns0:f>
        <ns0:v>31055.910614525135</ns0:v>
      </ns0:c>
      <ns0:c r="J740" s="16">
        <ns0:f>A740*('前提と出典'!$C$36*'契約別単価'!J5+'前提と出典'!$C$37*'契約別単価'!J6+'前提と出典'!$C$38*'契約別単価'!J7)</ns0:f>
        <ns0:v>72341.1041707827</ns0:v>
      </ns0:c>
      <ns0:c r="K740" s="16">
        <ns0:f>A740*('前提と出典'!$C$36*'契約別単価'!K5+'前提と出典'!$C$37*'契約別単価'!K6+'前提と出典'!$C$38*'契約別単価'!K7)</ns0:f>
        <ns0:v>310079.40409683425</ns0:v>
      </ns0:c>
      <ns0:c r="L740" s="16">
        <ns0:f>A740*('前提と出典'!$C$36*'契約別単価'!L5+'前提と出典'!$C$37*'契約別単価'!L6+'前提と出典'!$C$38*'契約別単価'!L7)</ns0:f>
        <ns0:v>252467.73218045535</ns0:v>
      </ns0:c>
      <ns0:c r="M740" s="16">
        <ns0:f>IF(('前提と出典'!$C$36+'前提と出典'!$C$38)=0,0,IF(B740&lt;=10,'前提と出典'!B73+'前提と出典'!C73,IF(B740&lt;=100,'前提と出典'!B74+'前提と出典'!C74,IF(B740&lt;=500,'前提と出典'!B75+'前提と出典'!C75,'前提と出典'!B76+'前提と出典'!C76))))</ns0:f>
        <ns0:v>80000</ns0:v>
      </ns0:c>
      <ns0:c r="N740" s="16">
        <ns0:f>IF(('前提と出典'!$C$37+'前提と出典'!$C$38)=0,0,IF(C740&lt;=10,'前提と出典'!D73+'前提と出典'!E73,IF(C740&lt;=100,'前提と出典'!D74+'前提と出典'!E74,IF(C740&lt;=500,'前提と出典'!D75+'前提と出典'!E75,'前提と出典'!D76+'前提と出典'!E76))))</ns0:f>
        <ns0:v>56510.9346263078</ns0:v>
      </ns0:c>
      <ns0:c r="O740" s="16">
        <ns0:f>IF('前提と出典'!$C$36+'前提と出典'!$C$38=0,0,'前提と出典'!$B$4*IF('前提と出典'!$B$20=0,MAX('前提と出典'!$B$6,D740*'前提と出典'!$B$5),'前提と出典'!$B$6+D740*'前提と出典'!$B$5))</ns0:f>
        <ns0:v>730835.6648044694</ns0:v>
      </ns0:c>
      <ns0:c r="P740" s="16">
        <ns0:f>(E740+G740)*(1-'前提と出典'!$B$7)-I740-K740-M740-O740</ns0:f>
        <ns0:v>2043901.608870041</ns0:v>
      </ns0:c>
      <ns0:c r="Q740" s="16">
        <ns0:f>(F740+H740)*(1-'前提と出典'!$B$7)-J740-L740-N740</ns0:f>
        <ns0:v>627078.053312253</ns0:v>
      </ns0:c>
      <ns0:c r="R740" s="16">
        <ns0:f>P740-E740*'前提と出典'!$E$4</ns0:f>
        <ns0:v>1488838.4674184476</ns0:v>
      </ns0:c>
      <ns0:c r="S740" s="16">
        <ns0:f>Q740-F740*'前提と出典'!$E$4</ns0:f>
        <ns0:v>465790.8926386959</ns0:v>
      </ns0:c>
      <ns0:c r="T740" s="7">
        <ns0:f>R740+S740</ns0:f>
        <ns0:v>1954629.3600571435</ns0:v>
      </ns0:c>
      <ns0:c r="U740" s="16">
        <ns0:f>P740-E740*'前提と出典'!$E$5</ns0:f>
        <ns0:v>1303817.4202679163</ns0:v>
      </ns0:c>
      <ns0:c r="V740" s="16">
        <ns0:f>Q740-F740*'前提と出典'!$E$5</ns0:f>
        <ns0:v>412028.5057475101</ns0:v>
      </ns0:c>
      <ns0:c r="W740" s="7">
        <ns0:f>U740+V740</ns0:f>
        <ns0:v>1715845.9260154264</ns0:v>
      </ns0:c>
      <ns0:c r="X740" s="16">
        <ns0:f>P740-E740*'前提と出典'!$E$6</ns0:f>
        <ns0:v>1118796.373117385</ns0:v>
      </ns0:c>
      <ns0:c r="Y740" s="16">
        <ns0:f>Q740-F740*'前提と出典'!$E$6</ns0:f>
        <ns0:v>358266.11885632447</ns0:v>
      </ns0:c>
      <ns0:c r="Z740" s="7">
        <ns0:f>X740+Y740</ns0:f>
        <ns0:v>1477062.4919737093</ns0:v>
      </ns0:c>
      <ns0:c r="AA740" s="7">
        <ns0:f>IF(T740&gt;=0,A740,1001)</ns0:f>
        <ns0:v>736</ns0:v>
      </ns0:c>
      <ns0:c r="AB740" s="7">
        <ns0:f>IF(T740&lt;0,A740,0)</ns0:f>
        <ns0:v>0</ns0:v>
      </ns0:c>
      <ns0:c r="AC740" s="16">
        <ns0:f>IF(AND(OR('前提と出典'!$C$36+'前提と出典'!$C$38=0,R740&gt;=0),OR('前提と出典'!$C$37+'前提と出典'!$C$38=0,S740&gt;=0)),0,A740)</ns0:f>
        <ns0:v>0</ns0:v>
      </ns0:c>
      <ns0:c r="AD740" s="7">
        <ns0:f>IF(W740&gt;=0,A740,1001)</ns0:f>
        <ns0:v>736</ns0:v>
      </ns0:c>
      <ns0:c r="AE740" s="7">
        <ns0:f>IF(W740&lt;0,A740,0)</ns0:f>
        <ns0:v>0</ns0:v>
      </ns0:c>
      <ns0:c r="AF740" s="16">
        <ns0:f>IF(AND(OR('前提と出典'!$C$36+'前提と出典'!$C$38=0,U740&gt;=0),OR('前提と出典'!$C$37+'前提と出典'!$C$38=0,V740&gt;=0)),0,A740)</ns0:f>
        <ns0:v>0</ns0:v>
      </ns0:c>
      <ns0:c r="AG740" s="7">
        <ns0:f>IF(Z740&gt;=0,A740,1001)</ns0:f>
        <ns0:v>736</ns0:v>
      </ns0:c>
      <ns0:c r="AH740" s="4">
        <ns0:f>IF(Z740&lt;0,A740,0)</ns0:f>
        <ns0:v>0</ns0:v>
      </ns0:c>
      <ns0:c r="AI740" s="12">
        <ns0:f>IF(AND(OR('前提と出典'!$C$36+'前提と出典'!$C$38=0,X740&gt;=0),OR('前提と出典'!$C$37+'前提と出典'!$C$38=0,Y740&gt;=0)),0,A740)</ns0:f>
        <ns0:v>0</ns0:v>
      </ns0:c>
    </ns0:row>
    <ns0:row r="741" ht="24" customHeight="1">
      <ns0:c r="A741" s="4" t="n">
        <ns0:v>737</ns0:v>
      </ns0:c>
      <ns0:c r="B741" s="12">
        <ns0:f>A741*('前提と出典'!$C$36+'前提と出典'!$C$38)</ns0:f>
        <ns0:v>515.9</ns0:v>
      </ns0:c>
      <ns0:c r="C741" s="12">
        <ns0:f>A741*('前提と出典'!$C$37+'前提と出典'!$C$38)</ns0:f>
        <ns0:v>442.2</ns0:v>
      </ns0:c>
      <ns0:c r="D741" s="16">
        <ns0:f>A741*('前提と出典'!$C$36*'契約別単価'!C5+'前提と出典'!$C$37*'契約別単価'!C6+'前提と出典'!$C$38*'契約別単価'!C7)</ns0:f>
        <ns0:v>5303.106145251397</ns0:v>
      </ns0:c>
      <ns0:c r="E741" s="16">
        <ns0:f>A741*('前提と出典'!$C$36*'契約別単価'!E5+'前提と出典'!$C$37*'契約別単価'!E6+'前提と出典'!$C$38*'契約別単価'!E7)</ns0:f>
        <ns0:v>1852724.344428553</ns0:v>
      </ns0:c>
      <ns0:c r="F741" s="16">
        <ns0:f>A741*('前提と出典'!$C$36*'契約別単価'!F5+'前提と出典'!$C$37*'契約別単価'!F6+'前提と出典'!$C$38*'契約別単価'!F7)</ns0:f>
        <ns0:v>538354.3361250527</ns0:v>
      </ns0:c>
      <ns0:c r="G741" s="16">
        <ns0:f>A741*('前提と出典'!$C$36*'契約別単価'!G5+'前提と出典'!$C$37*'契約別単価'!G6+'前提と出典'!$C$38*'契約別単価'!G7)</ns0:f>
        <ns0:v>1467000.5586592178</ns0:v>
      </ns0:c>
      <ns0:c r="H741" s="16">
        <ns0:f>A741*('前提と出典'!$C$36*'契約別単価'!H5+'前提と出典'!$C$37*'契約別単価'!H6+'前提と出典'!$C$38*'契約別単価'!H7)</ns0:f>
        <ns0:v>509122.7697144942</ns0:v>
      </ns0:c>
      <ns0:c r="I741" s="16">
        <ns0:f>A741*('前提と出典'!$C$36*'契約別単価'!I5+'前提と出典'!$C$37*'契約別単価'!I6+'前提と出典'!$C$38*'契約別単価'!I7)</ns0:f>
        <ns0:v>31098.106145251393</ns0:v>
      </ns0:c>
      <ns0:c r="J741" s="16">
        <ns0:f>A741*('前提と出典'!$C$36*'契約別単価'!J5+'前提と出典'!$C$37*'契約別単価'!J6+'前提と出典'!$C$38*'契約別単価'!J7)</ns0:f>
        <ns0:v>72439.393714493</ns0:v>
      </ns0:c>
      <ns0:c r="K741" s="16">
        <ns0:f>A741*('前提と出典'!$C$36*'契約別単価'!K5+'前提と出典'!$C$37*'契約別単価'!K6+'前提と出典'!$C$38*'契約別単価'!K7)</ns0:f>
        <ns0:v>310500.7076350093</ns0:v>
      </ns0:c>
      <ns0:c r="L741" s="16">
        <ns0:f>A741*('前提と出典'!$C$36*'契約別単価'!L5+'前提と出典'!$C$37*'契約別単価'!L6+'前提と出典'!$C$38*'契約別単価'!L7)</ns0:f>
        <ns0:v>252810.75899048313</ns0:v>
      </ns0:c>
      <ns0:c r="M741" s="16">
        <ns0:f>IF(('前提と出典'!$C$36+'前提と出典'!$C$38)=0,0,IF(B741&lt;=10,'前提と出典'!B73+'前提と出典'!C73,IF(B741&lt;=100,'前提と出典'!B74+'前提と出典'!C74,IF(B741&lt;=500,'前提と出典'!B75+'前提と出典'!C75,'前提と出典'!B76+'前提と出典'!C76))))</ns0:f>
        <ns0:v>80000</ns0:v>
      </ns0:c>
      <ns0:c r="N741" s="16">
        <ns0:f>IF(('前提と出典'!$C$37+'前提と出典'!$C$38)=0,0,IF(C741&lt;=10,'前提と出典'!D73+'前提と出典'!E73,IF(C741&lt;=100,'前提と出典'!D74+'前提と出典'!E74,IF(C741&lt;=500,'前提と出典'!D75+'前提と出典'!E75,'前提と出典'!D76+'前提と出典'!E76))))</ns0:f>
        <ns0:v>56510.9346263078</ns0:v>
      </ns0:c>
      <ns0:c r="O741" s="16">
        <ns0:f>IF('前提と出典'!$C$36+'前提と出典'!$C$38=0,0,'前提と出典'!$B$4*IF('前提と出典'!$B$20=0,MAX('前提と出典'!$B$6,D741*'前提と出典'!$B$5),'前提と出典'!$B$6+D741*'前提と出典'!$B$5))</ns0:f>
        <ns0:v>731828.6480446927</ns0:v>
      </ns0:c>
      <ns0:c r="P741" s="16">
        <ns0:f>(E741+G741)*(1-'前提と出典'!$B$7)-I741-K741-M741-O741</ns0:f>
        <ns0:v>2046787.3447516575</ns0:v>
      </ns0:c>
      <ns0:c r="Q741" s="16">
        <ns0:f>(F741+H741)*(1-'前提と出典'!$B$7)-J741-L741-N741</ns0:f>
        <ns0:v>628006.8426980391</ns0:v>
      </ns0:c>
      <ns0:c r="R741" s="16">
        <ns0:f>P741-E741*'前提と出典'!$E$4</ns0:f>
        <ns0:v>1490970.0414230917</ns0:v>
      </ns0:c>
      <ns0:c r="S741" s="16">
        <ns0:f>Q741-F741*'前提と出典'!$E$4</ns0:f>
        <ns0:v>466500.5418605233</ns0:v>
      </ns0:c>
      <ns0:c r="T741" s="7">
        <ns0:f>R741+S741</ns0:f>
        <ns0:v>1957470.5832836148</ns0:v>
      </ns0:c>
      <ns0:c r="U741" s="16">
        <ns0:f>P741-E741*'前提と出典'!$E$5</ns0:f>
        <ns0:v>1305697.6069802362</ns0:v>
      </ns0:c>
      <ns0:c r="V741" s="16">
        <ns0:f>Q741-F741*'前提と出典'!$E$5</ns0:f>
        <ns0:v>412665.1082480181</ns0:v>
      </ns0:c>
      <ns0:c r="W741" s="7">
        <ns0:f>U741+V741</ns0:f>
        <ns0:v>1718362.7152282544</ns0:v>
      </ns0:c>
      <ns0:c r="X741" s="16">
        <ns0:f>P741-E741*'前提と出典'!$E$6</ns0:f>
        <ns0:v>1120425.1725373808</ns0:v>
      </ns0:c>
      <ns0:c r="Y741" s="16">
        <ns0:f>Q741-F741*'前提と出典'!$E$6</ns0:f>
        <ns0:v>358829.67463551287</ns0:v>
      </ns0:c>
      <ns0:c r="Z741" s="7">
        <ns0:f>X741+Y741</ns0:f>
        <ns0:v>1479254.8471728936</ns0:v>
      </ns0:c>
      <ns0:c r="AA741" s="7">
        <ns0:f>IF(T741&gt;=0,A741,1001)</ns0:f>
        <ns0:v>737</ns0:v>
      </ns0:c>
      <ns0:c r="AB741" s="7">
        <ns0:f>IF(T741&lt;0,A741,0)</ns0:f>
        <ns0:v>0</ns0:v>
      </ns0:c>
      <ns0:c r="AC741" s="16">
        <ns0:f>IF(AND(OR('前提と出典'!$C$36+'前提と出典'!$C$38=0,R741&gt;=0),OR('前提と出典'!$C$37+'前提と出典'!$C$38=0,S741&gt;=0)),0,A741)</ns0:f>
        <ns0:v>0</ns0:v>
      </ns0:c>
      <ns0:c r="AD741" s="7">
        <ns0:f>IF(W741&gt;=0,A741,1001)</ns0:f>
        <ns0:v>737</ns0:v>
      </ns0:c>
      <ns0:c r="AE741" s="7">
        <ns0:f>IF(W741&lt;0,A741,0)</ns0:f>
        <ns0:v>0</ns0:v>
      </ns0:c>
      <ns0:c r="AF741" s="16">
        <ns0:f>IF(AND(OR('前提と出典'!$C$36+'前提と出典'!$C$38=0,U741&gt;=0),OR('前提と出典'!$C$37+'前提と出典'!$C$38=0,V741&gt;=0)),0,A741)</ns0:f>
        <ns0:v>0</ns0:v>
      </ns0:c>
      <ns0:c r="AG741" s="7">
        <ns0:f>IF(Z741&gt;=0,A741,1001)</ns0:f>
        <ns0:v>737</ns0:v>
      </ns0:c>
      <ns0:c r="AH741" s="4">
        <ns0:f>IF(Z741&lt;0,A741,0)</ns0:f>
        <ns0:v>0</ns0:v>
      </ns0:c>
      <ns0:c r="AI741" s="12">
        <ns0:f>IF(AND(OR('前提と出典'!$C$36+'前提と出典'!$C$38=0,X741&gt;=0),OR('前提と出典'!$C$37+'前提と出典'!$C$38=0,Y741&gt;=0)),0,A741)</ns0:f>
        <ns0:v>0</ns0:v>
      </ns0:c>
    </ns0:row>
    <ns0:row r="742" ht="24" customHeight="1">
      <ns0:c r="A742" s="4" t="n">
        <ns0:v>738</ns0:v>
      </ns0:c>
      <ns0:c r="B742" s="12">
        <ns0:f>A742*('前提と出典'!$C$36+'前提と出典'!$C$38)</ns0:f>
        <ns0:v>516.6</ns0:v>
      </ns0:c>
      <ns0:c r="C742" s="12">
        <ns0:f>A742*('前提と出典'!$C$37+'前提と出典'!$C$38)</ns0:f>
        <ns0:v>442.8</ns0:v>
      </ns0:c>
      <ns0:c r="D742" s="16">
        <ns0:f>A742*('前提と出典'!$C$36*'契約別単価'!C5+'前提と出典'!$C$37*'契約別単価'!C6+'前提と出典'!$C$38*'契約別単価'!C7)</ns0:f>
        <ns0:v>5310.301675977654</ns0:v>
      </ns0:c>
      <ns0:c r="E742" s="16">
        <ns0:f>A742*('前提と出典'!$C$36*'契約別単価'!E5+'前提と出典'!$C$37*'契約別単価'!E6+'前提と出典'!$C$38*'契約別単価'!E7)</ns0:f>
        <ns0:v>1855238.217351794</ns0:v>
      </ns0:c>
      <ns0:c r="F742" s="16">
        <ns0:f>A742*('前提と出典'!$C$36*'契約別単価'!F5+'前提と出典'!$C$37*'契約別単価'!F6+'前提と出典'!$C$38*'契約別単価'!F7)</ns0:f>
        <ns0:v>539084.8033382482</ns0:v>
      </ns0:c>
      <ns0:c r="G742" s="16">
        <ns0:f>A742*('前提と出典'!$C$36*'契約別単価'!G5+'前提と出典'!$C$37*'契約別単価'!G6+'前提と出典'!$C$38*'契約別単価'!G7)</ns0:f>
        <ns0:v>1468991.0614525138</ns0:v>
      </ns0:c>
      <ns0:c r="H742" s="16">
        <ns0:f>A742*('前提と出典'!$C$36*'契約別単価'!H5+'前提と出典'!$C$37*'契約別単価'!H6+'前提と出典'!$C$38*'契約別単価'!H7)</ns0:f>
        <ns0:v>509813.57401532796</ns0:v>
      </ns0:c>
      <ns0:c r="I742" s="16">
        <ns0:f>A742*('前提と出典'!$C$36*'契約別単価'!I5+'前提と出典'!$C$37*'契約別単価'!I6+'前提と出典'!$C$38*'契約別単価'!I7)</ns0:f>
        <ns0:v>31140.301675977647</ns0:v>
      </ns0:c>
      <ns0:c r="J742" s="16">
        <ns0:f>A742*('前提と出典'!$C$36*'契約別単価'!J5+'前提と出典'!$C$37*'契約別単価'!J6+'前提と出典'!$C$38*'契約別単価'!J7)</ns0:f>
        <ns0:v>72537.6832582033</ns0:v>
      </ns0:c>
      <ns0:c r="K742" s="16">
        <ns0:f>A742*('前提と出典'!$C$36*'契約別単価'!K5+'前提と出典'!$C$37*'契約別単価'!K6+'前提と出典'!$C$38*'契約別単価'!K7)</ns0:f>
        <ns0:v>310922.0111731843</ns0:v>
      </ns0:c>
      <ns0:c r="L742" s="16">
        <ns0:f>A742*('前提と出典'!$C$36*'契約別単価'!L5+'前提と出典'!$C$37*'契約別単価'!L6+'前提と出典'!$C$38*'契約別単価'!L7)</ns0:f>
        <ns0:v>253153.78580051093</ns0:v>
      </ns0:c>
      <ns0:c r="M742" s="16">
        <ns0:f>IF(('前提と出典'!$C$36+'前提と出典'!$C$38)=0,0,IF(B742&lt;=10,'前提と出典'!B73+'前提と出典'!C73,IF(B742&lt;=100,'前提と出典'!B74+'前提と出典'!C74,IF(B742&lt;=500,'前提と出典'!B75+'前提と出典'!C75,'前提と出典'!B76+'前提と出典'!C76))))</ns0:f>
        <ns0:v>80000</ns0:v>
      </ns0:c>
      <ns0:c r="N742" s="16">
        <ns0:f>IF(('前提と出典'!$C$37+'前提と出典'!$C$38)=0,0,IF(C742&lt;=10,'前提と出典'!D73+'前提と出典'!E73,IF(C742&lt;=100,'前提と出典'!D74+'前提と出典'!E74,IF(C742&lt;=500,'前提と出典'!D75+'前提と出典'!E75,'前提と出典'!D76+'前提と出典'!E76))))</ns0:f>
        <ns0:v>56510.9346263078</ns0:v>
      </ns0:c>
      <ns0:c r="O742" s="16">
        <ns0:f>IF('前提と出典'!$C$36+'前提と出典'!$C$38=0,0,'前提と出典'!$B$4*IF('前提と出典'!$B$20=0,MAX('前提と出典'!$B$6,D742*'前提と出典'!$B$5),'前提と出典'!$B$6+D742*'前提と出典'!$B$5))</ns0:f>
        <ns0:v>732821.6312849162</ns0:v>
      </ns0:c>
      <ns0:c r="P742" s="16">
        <ns0:f>(E742+G742)*(1-'前提と出典'!$B$7)-I742-K742-M742-O742</ns0:f>
        <ns0:v>2049673.0806332743</ns0:v>
      </ns0:c>
      <ns0:c r="Q742" s="16">
        <ns0:f>(F742+H742)*(1-'前提と出典'!$B$7)-J742-L742-N742</ns0:f>
        <ns0:v>628935.6320838253</ns0:v>
      </ns0:c>
      <ns0:c r="R742" s="16">
        <ns0:f>P742-E742*'前提と出典'!$E$4</ns0:f>
        <ns0:v>1493101.6154277362</ns0:v>
      </ns0:c>
      <ns0:c r="S742" s="16">
        <ns0:f>Q742-F742*'前提と出典'!$E$4</ns0:f>
        <ns0:v>467210.1910823509</ns0:v>
      </ns0:c>
      <ns0:c r="T742" s="7">
        <ns0:f>R742+S742</ns0:f>
        <ns0:v>1960311.806510087</ns0:v>
      </ns0:c>
      <ns0:c r="U742" s="16">
        <ns0:f>P742-E742*'前提と出典'!$E$5</ns0:f>
        <ns0:v>1307577.7936925567</ns0:v>
      </ns0:c>
      <ns0:c r="V742" s="16">
        <ns0:f>Q742-F742*'前提と出典'!$E$5</ns0:f>
        <ns0:v>413301.71074852603</ns0:v>
      </ns0:c>
      <ns0:c r="W742" s="7">
        <ns0:f>U742+V742</ns0:f>
        <ns0:v>1720879.5044410827</ns0:v>
      </ns0:c>
      <ns0:c r="X742" s="16">
        <ns0:f>P742-E742*'前提と出典'!$E$6</ns0:f>
        <ns0:v>1122053.9719573776</ns0:v>
      </ns0:c>
      <ns0:c r="Y742" s="16">
        <ns0:f>Q742-F742*'前提と出典'!$E$6</ns0:f>
        <ns0:v>359393.23041470116</ns0:v>
      </ns0:c>
      <ns0:c r="Z742" s="7">
        <ns0:f>X742+Y742</ns0:f>
        <ns0:v>1481447.2023720788</ns0:v>
      </ns0:c>
      <ns0:c r="AA742" s="7">
        <ns0:f>IF(T742&gt;=0,A742,1001)</ns0:f>
        <ns0:v>738</ns0:v>
      </ns0:c>
      <ns0:c r="AB742" s="7">
        <ns0:f>IF(T742&lt;0,A742,0)</ns0:f>
        <ns0:v>0</ns0:v>
      </ns0:c>
      <ns0:c r="AC742" s="16">
        <ns0:f>IF(AND(OR('前提と出典'!$C$36+'前提と出典'!$C$38=0,R742&gt;=0),OR('前提と出典'!$C$37+'前提と出典'!$C$38=0,S742&gt;=0)),0,A742)</ns0:f>
        <ns0:v>0</ns0:v>
      </ns0:c>
      <ns0:c r="AD742" s="7">
        <ns0:f>IF(W742&gt;=0,A742,1001)</ns0:f>
        <ns0:v>738</ns0:v>
      </ns0:c>
      <ns0:c r="AE742" s="7">
        <ns0:f>IF(W742&lt;0,A742,0)</ns0:f>
        <ns0:v>0</ns0:v>
      </ns0:c>
      <ns0:c r="AF742" s="16">
        <ns0:f>IF(AND(OR('前提と出典'!$C$36+'前提と出典'!$C$38=0,U742&gt;=0),OR('前提と出典'!$C$37+'前提と出典'!$C$38=0,V742&gt;=0)),0,A742)</ns0:f>
        <ns0:v>0</ns0:v>
      </ns0:c>
      <ns0:c r="AG742" s="7">
        <ns0:f>IF(Z742&gt;=0,A742,1001)</ns0:f>
        <ns0:v>738</ns0:v>
      </ns0:c>
      <ns0:c r="AH742" s="4">
        <ns0:f>IF(Z742&lt;0,A742,0)</ns0:f>
        <ns0:v>0</ns0:v>
      </ns0:c>
      <ns0:c r="AI742" s="12">
        <ns0:f>IF(AND(OR('前提と出典'!$C$36+'前提と出典'!$C$38=0,X742&gt;=0),OR('前提と出典'!$C$37+'前提と出典'!$C$38=0,Y742&gt;=0)),0,A742)</ns0:f>
        <ns0:v>0</ns0:v>
      </ns0:c>
    </ns0:row>
    <ns0:row r="743" ht="24" customHeight="1">
      <ns0:c r="A743" s="4" t="n">
        <ns0:v>739</ns0:v>
      </ns0:c>
      <ns0:c r="B743" s="12">
        <ns0:f>A743*('前提と出典'!$C$36+'前提と出典'!$C$38)</ns0:f>
        <ns0:v>517.3</ns0:v>
      </ns0:c>
      <ns0:c r="C743" s="12">
        <ns0:f>A743*('前提と出典'!$C$37+'前提と出典'!$C$38)</ns0:f>
        <ns0:v>443.4</ns0:v>
      </ns0:c>
      <ns0:c r="D743" s="16">
        <ns0:f>A743*('前提と出典'!$C$36*'契約別単価'!C5+'前提と出典'!$C$37*'契約別単価'!C6+'前提と出典'!$C$38*'契約別単価'!C7)</ns0:f>
        <ns0:v>5317.497206703911</ns0:v>
      </ns0:c>
      <ns0:c r="E743" s="16">
        <ns0:f>A743*('前提と出典'!$C$36*'契約別単価'!E5+'前提と出典'!$C$37*'契約別単価'!E6+'前提と出典'!$C$38*'契約別単価'!E7)</ns0:f>
        <ns0:v>1857752.0902750348</ns0:v>
      </ns0:c>
      <ns0:c r="F743" s="16">
        <ns0:f>A743*('前提と出典'!$C$36*'契約別単価'!F5+'前提と出典'!$C$37*'契約別単価'!F6+'前提と出典'!$C$38*'契約別単価'!F7)</ns0:f>
        <ns0:v>539815.2705514436</ns0:v>
      </ns0:c>
      <ns0:c r="G743" s="16">
        <ns0:f>A743*('前提と出典'!$C$36*'契約別単価'!G5+'前提と出典'!$C$37*'契約別単価'!G6+'前提と出典'!$C$38*'契約別単価'!G7)</ns0:f>
        <ns0:v>1470981.56424581</ns0:v>
      </ns0:c>
      <ns0:c r="H743" s="16">
        <ns0:f>A743*('前提と出典'!$C$36*'契約別単価'!H5+'前提と出典'!$C$37*'契約別単価'!H6+'前提と出典'!$C$38*'契約別単価'!H7)</ns0:f>
        <ns0:v>510504.3783161617</ns0:v>
      </ns0:c>
      <ns0:c r="I743" s="16">
        <ns0:f>A743*('前提と出典'!$C$36*'契約別単価'!I5+'前提と出典'!$C$37*'契約別単価'!I6+'前提と出典'!$C$38*'契約別単価'!I7)</ns0:f>
        <ns0:v>31182.497206703905</ns0:v>
      </ns0:c>
      <ns0:c r="J743" s="16">
        <ns0:f>A743*('前提と出典'!$C$36*'契約別単価'!J5+'前提と出典'!$C$37*'契約別単価'!J6+'前提と出典'!$C$38*'契約別単価'!J7)</ns0:f>
        <ns0:v>72635.9728019136</ns0:v>
      </ns0:c>
      <ns0:c r="K743" s="16">
        <ns0:f>A743*('前提と出典'!$C$36*'契約別単価'!K5+'前提と出典'!$C$37*'契約別単価'!K6+'前提と出典'!$C$38*'契約別単価'!K7)</ns0:f>
        <ns0:v>311343.3147113594</ns0:v>
      </ns0:c>
      <ns0:c r="L743" s="16">
        <ns0:f>A743*('前提と出典'!$C$36*'契約別単価'!L5+'前提と出典'!$C$37*'契約別単価'!L6+'前提と出典'!$C$38*'契約別単価'!L7)</ns0:f>
        <ns0:v>253496.8126105387</ns0:v>
      </ns0:c>
      <ns0:c r="M743" s="16">
        <ns0:f>IF(('前提と出典'!$C$36+'前提と出典'!$C$38)=0,0,IF(B743&lt;=10,'前提と出典'!B73+'前提と出典'!C73,IF(B743&lt;=100,'前提と出典'!B74+'前提と出典'!C74,IF(B743&lt;=500,'前提と出典'!B75+'前提と出典'!C75,'前提と出典'!B76+'前提と出典'!C76))))</ns0:f>
        <ns0:v>80000</ns0:v>
      </ns0:c>
      <ns0:c r="N743" s="16">
        <ns0:f>IF(('前提と出典'!$C$37+'前提と出典'!$C$38)=0,0,IF(C743&lt;=10,'前提と出典'!D73+'前提と出典'!E73,IF(C743&lt;=100,'前提と出典'!D74+'前提と出典'!E74,IF(C743&lt;=500,'前提と出典'!D75+'前提と出典'!E75,'前提と出典'!D76+'前提と出典'!E76))))</ns0:f>
        <ns0:v>56510.9346263078</ns0:v>
      </ns0:c>
      <ns0:c r="O743" s="16">
        <ns0:f>IF('前提と出典'!$C$36+'前提と出典'!$C$38=0,0,'前提と出典'!$B$4*IF('前提と出典'!$B$20=0,MAX('前提と出典'!$B$6,D743*'前提と出典'!$B$5),'前提と出典'!$B$6+D743*'前提と出典'!$B$5))</ns0:f>
        <ns0:v>733814.6145251397</ns0:v>
      </ns0:c>
      <ns0:c r="P743" s="16">
        <ns0:f>(E743+G743)*(1-'前提と出典'!$B$7)-I743-K743-M743-O743</ns0:f>
        <ns0:v>2052558.8165148916</ns0:v>
      </ns0:c>
      <ns0:c r="Q743" s="16">
        <ns0:f>(F743+H743)*(1-'前提と出典'!$B$7)-J743-L743-N743</ns0:f>
        <ns0:v>629864.4214696113</ns0:v>
      </ns0:c>
      <ns0:c r="R743" s="16">
        <ns0:f>P743-E743*'前提と出典'!$E$4</ns0:f>
        <ns0:v>1495233.1894323812</ns0:v>
      </ns0:c>
      <ns0:c r="S743" s="16">
        <ns0:f>Q743-F743*'前提と出典'!$E$4</ns0:f>
        <ns0:v>467919.8403041783</ns0:v>
      </ns0:c>
      <ns0:c r="T743" s="7">
        <ns0:f>R743+S743</ns0:f>
        <ns0:v>1963153.0297365594</ns0:v>
      </ns0:c>
      <ns0:c r="U743" s="16">
        <ns0:f>P743-E743*'前提と出典'!$E$5</ns0:f>
        <ns0:v>1309457.9804048776</ns0:v>
      </ns0:c>
      <ns0:c r="V743" s="16">
        <ns0:f>Q743-F743*'前提と出典'!$E$5</ns0:f>
        <ns0:v>413938.3132490339</ns0:v>
      </ns0:c>
      <ns0:c r="W743" s="7">
        <ns0:f>U743+V743</ns0:f>
        <ns0:v>1723396.2936539114</ns0:v>
      </ns0:c>
      <ns0:c r="X743" s="16">
        <ns0:f>P743-E743*'前提と出典'!$E$6</ns0:f>
        <ns0:v>1123682.7713773744</ns0:v>
      </ns0:c>
      <ns0:c r="Y743" s="16">
        <ns0:f>Q743-F743*'前提と出典'!$E$6</ns0:f>
        <ns0:v>359956.78619388957</ns0:v>
      </ns0:c>
      <ns0:c r="Z743" s="7">
        <ns0:f>X743+Y743</ns0:f>
        <ns0:v>1483639.557571264</ns0:v>
      </ns0:c>
      <ns0:c r="AA743" s="7">
        <ns0:f>IF(T743&gt;=0,A743,1001)</ns0:f>
        <ns0:v>739</ns0:v>
      </ns0:c>
      <ns0:c r="AB743" s="7">
        <ns0:f>IF(T743&lt;0,A743,0)</ns0:f>
        <ns0:v>0</ns0:v>
      </ns0:c>
      <ns0:c r="AC743" s="16">
        <ns0:f>IF(AND(OR('前提と出典'!$C$36+'前提と出典'!$C$38=0,R743&gt;=0),OR('前提と出典'!$C$37+'前提と出典'!$C$38=0,S743&gt;=0)),0,A743)</ns0:f>
        <ns0:v>0</ns0:v>
      </ns0:c>
      <ns0:c r="AD743" s="7">
        <ns0:f>IF(W743&gt;=0,A743,1001)</ns0:f>
        <ns0:v>739</ns0:v>
      </ns0:c>
      <ns0:c r="AE743" s="7">
        <ns0:f>IF(W743&lt;0,A743,0)</ns0:f>
        <ns0:v>0</ns0:v>
      </ns0:c>
      <ns0:c r="AF743" s="16">
        <ns0:f>IF(AND(OR('前提と出典'!$C$36+'前提と出典'!$C$38=0,U743&gt;=0),OR('前提と出典'!$C$37+'前提と出典'!$C$38=0,V743&gt;=0)),0,A743)</ns0:f>
        <ns0:v>0</ns0:v>
      </ns0:c>
      <ns0:c r="AG743" s="7">
        <ns0:f>IF(Z743&gt;=0,A743,1001)</ns0:f>
        <ns0:v>739</ns0:v>
      </ns0:c>
      <ns0:c r="AH743" s="4">
        <ns0:f>IF(Z743&lt;0,A743,0)</ns0:f>
        <ns0:v>0</ns0:v>
      </ns0:c>
      <ns0:c r="AI743" s="12">
        <ns0:f>IF(AND(OR('前提と出典'!$C$36+'前提と出典'!$C$38=0,X743&gt;=0),OR('前提と出典'!$C$37+'前提と出典'!$C$38=0,Y743&gt;=0)),0,A743)</ns0:f>
        <ns0:v>0</ns0:v>
      </ns0:c>
    </ns0:row>
    <ns0:row r="744" ht="24" customHeight="1">
      <ns0:c r="A744" s="4" t="n">
        <ns0:v>740</ns0:v>
      </ns0:c>
      <ns0:c r="B744" s="12">
        <ns0:f>A744*('前提と出典'!$C$36+'前提と出典'!$C$38)</ns0:f>
        <ns0:v>518</ns0:v>
      </ns0:c>
      <ns0:c r="C744" s="12">
        <ns0:f>A744*('前提と出典'!$C$37+'前提と出典'!$C$38)</ns0:f>
        <ns0:v>444</ns0:v>
      </ns0:c>
      <ns0:c r="D744" s="16">
        <ns0:f>A744*('前提と出典'!$C$36*'契約別単価'!C5+'前提と出典'!$C$37*'契約別単価'!C6+'前提と出典'!$C$38*'契約別単価'!C7)</ns0:f>
        <ns0:v>5324.692737430168</ns0:v>
      </ns0:c>
      <ns0:c r="E744" s="16">
        <ns0:f>A744*('前提と出典'!$C$36*'契約別単価'!E5+'前提と出典'!$C$37*'契約別単価'!E6+'前提と出典'!$C$38*'契約別単価'!E7)</ns0:f>
        <ns0:v>1860265.9631982758</ns0:v>
      </ns0:c>
      <ns0:c r="F744" s="16">
        <ns0:f>A744*('前提と出典'!$C$36*'契約別単価'!F5+'前提と出典'!$C$37*'契約別単価'!F6+'前提と出典'!$C$38*'契約別単価'!F7)</ns0:f>
        <ns0:v>540545.7377646391</ns0:v>
      </ns0:c>
      <ns0:c r="G744" s="16">
        <ns0:f>A744*('前提と出典'!$C$36*'契約別単価'!G5+'前提と出典'!$C$37*'契約別単価'!G6+'前提と出典'!$C$38*'契約別単価'!G7)</ns0:f>
        <ns0:v>1472972.067039106</ns0:v>
      </ns0:c>
      <ns0:c r="H744" s="16">
        <ns0:f>A744*('前提と出典'!$C$36*'契約別単価'!H5+'前提と出典'!$C$37*'契約別単価'!H6+'前提と出典'!$C$38*'契約別単価'!H7)</ns0:f>
        <ns0:v>511195.1826169955</ns0:v>
      </ns0:c>
      <ns0:c r="I744" s="16">
        <ns0:f>A744*('前提と出典'!$C$36*'契約別単価'!I5+'前提と出典'!$C$37*'契約別単価'!I6+'前提と出典'!$C$38*'契約別単価'!I7)</ns0:f>
        <ns0:v>31224.692737430163</ns0:v>
      </ns0:c>
      <ns0:c r="J744" s="16">
        <ns0:f>A744*('前提と出典'!$C$36*'契約別単価'!J5+'前提と出典'!$C$37*'契約別単価'!J6+'前提と出典'!$C$38*'契約別単価'!J7)</ns0:f>
        <ns0:v>72734.2623456239</ns0:v>
      </ns0:c>
      <ns0:c r="K744" s="16">
        <ns0:f>A744*('前提と出典'!$C$36*'契約別単価'!K5+'前提と出典'!$C$37*'契約別単価'!K6+'前提と出典'!$C$38*'契約別単価'!K7)</ns0:f>
        <ns0:v>311764.61824953445</ns0:v>
      </ns0:c>
      <ns0:c r="L744" s="16">
        <ns0:f>A744*('前提と出典'!$C$36*'契約別単価'!L5+'前提と出典'!$C$37*'契約別単価'!L6+'前提と出典'!$C$38*'契約別単価'!L7)</ns0:f>
        <ns0:v>253839.8394205665</ns0:v>
      </ns0:c>
      <ns0:c r="M744" s="16">
        <ns0:f>IF(('前提と出典'!$C$36+'前提と出典'!$C$38)=0,0,IF(B744&lt;=10,'前提と出典'!B73+'前提と出典'!C73,IF(B744&lt;=100,'前提と出典'!B74+'前提と出典'!C74,IF(B744&lt;=500,'前提と出典'!B75+'前提と出典'!C75,'前提と出典'!B76+'前提と出典'!C76))))</ns0:f>
        <ns0:v>80000</ns0:v>
      </ns0:c>
      <ns0:c r="N744" s="16">
        <ns0:f>IF(('前提と出典'!$C$37+'前提と出典'!$C$38)=0,0,IF(C744&lt;=10,'前提と出典'!D73+'前提と出典'!E73,IF(C744&lt;=100,'前提と出典'!D74+'前提と出典'!E74,IF(C744&lt;=500,'前提と出典'!D75+'前提と出典'!E75,'前提と出典'!D76+'前提と出典'!E76))))</ns0:f>
        <ns0:v>56510.9346263078</ns0:v>
      </ns0:c>
      <ns0:c r="O744" s="16">
        <ns0:f>IF('前提と出典'!$C$36+'前提と出典'!$C$38=0,0,'前提と出典'!$B$4*IF('前提と出典'!$B$20=0,MAX('前提と出典'!$B$6,D744*'前提と出典'!$B$5),'前提と出典'!$B$6+D744*'前提と出典'!$B$5))</ns0:f>
        <ns0:v>734807.5977653632</ns0:v>
      </ns0:c>
      <ns0:c r="P744" s="16">
        <ns0:f>(E744+G744)*(1-'前提と出典'!$B$7)-I744-K744-M744-O744</ns0:f>
        <ns0:v>2055444.552396508</ns0:v>
      </ns0:c>
      <ns0:c r="Q744" s="16">
        <ns0:f>(F744+H744)*(1-'前提と出典'!$B$7)-J744-L744-N744</ns0:f>
        <ns0:v>630793.2108553974</ns0:v>
      </ns0:c>
      <ns0:c r="R744" s="16">
        <ns0:f>P744-E744*'前提と出典'!$E$4</ns0:f>
        <ns0:v>1497364.7634370252</ns0:v>
      </ns0:c>
      <ns0:c r="S744" s="16">
        <ns0:f>Q744-F744*'前提と出典'!$E$4</ns0:f>
        <ns0:v>468629.4895260057</ns0:v>
      </ns0:c>
      <ns0:c r="T744" s="7">
        <ns0:f>R744+S744</ns0:f>
        <ns0:v>1965994.252963031</ns0:v>
      </ns0:c>
      <ns0:c r="U744" s="16">
        <ns0:f>P744-E744*'前提と出典'!$E$5</ns0:f>
        <ns0:v>1311338.1671171975</ns0:v>
      </ns0:c>
      <ns0:c r="V744" s="16">
        <ns0:f>Q744-F744*'前提と出典'!$E$5</ns0:f>
        <ns0:v>414574.9157495418</ns0:v>
      </ns0:c>
      <ns0:c r="W744" s="7">
        <ns0:f>U744+V744</ns0:f>
        <ns0:v>1725913.0828667392</ns0:v>
      </ns0:c>
      <ns0:c r="X744" s="16">
        <ns0:f>P744-E744*'前提と出典'!$E$6</ns0:f>
        <ns0:v>1125311.5707973707</ns0:v>
      </ns0:c>
      <ns0:c r="Y744" s="16">
        <ns0:f>Q744-F744*'前提と出典'!$E$6</ns0:f>
        <ns0:v>360520.3419730779</ns0:v>
      </ns0:c>
      <ns0:c r="Z744" s="7">
        <ns0:f>X744+Y744</ns0:f>
        <ns0:v>1485831.9127704487</ns0:v>
      </ns0:c>
      <ns0:c r="AA744" s="7">
        <ns0:f>IF(T744&gt;=0,A744,1001)</ns0:f>
        <ns0:v>740</ns0:v>
      </ns0:c>
      <ns0:c r="AB744" s="7">
        <ns0:f>IF(T744&lt;0,A744,0)</ns0:f>
        <ns0:v>0</ns0:v>
      </ns0:c>
      <ns0:c r="AC744" s="16">
        <ns0:f>IF(AND(OR('前提と出典'!$C$36+'前提と出典'!$C$38=0,R744&gt;=0),OR('前提と出典'!$C$37+'前提と出典'!$C$38=0,S744&gt;=0)),0,A744)</ns0:f>
        <ns0:v>0</ns0:v>
      </ns0:c>
      <ns0:c r="AD744" s="7">
        <ns0:f>IF(W744&gt;=0,A744,1001)</ns0:f>
        <ns0:v>740</ns0:v>
      </ns0:c>
      <ns0:c r="AE744" s="7">
        <ns0:f>IF(W744&lt;0,A744,0)</ns0:f>
        <ns0:v>0</ns0:v>
      </ns0:c>
      <ns0:c r="AF744" s="16">
        <ns0:f>IF(AND(OR('前提と出典'!$C$36+'前提と出典'!$C$38=0,U744&gt;=0),OR('前提と出典'!$C$37+'前提と出典'!$C$38=0,V744&gt;=0)),0,A744)</ns0:f>
        <ns0:v>0</ns0:v>
      </ns0:c>
      <ns0:c r="AG744" s="7">
        <ns0:f>IF(Z744&gt;=0,A744,1001)</ns0:f>
        <ns0:v>740</ns0:v>
      </ns0:c>
      <ns0:c r="AH744" s="4">
        <ns0:f>IF(Z744&lt;0,A744,0)</ns0:f>
        <ns0:v>0</ns0:v>
      </ns0:c>
      <ns0:c r="AI744" s="12">
        <ns0:f>IF(AND(OR('前提と出典'!$C$36+'前提と出典'!$C$38=0,X744&gt;=0),OR('前提と出典'!$C$37+'前提と出典'!$C$38=0,Y744&gt;=0)),0,A744)</ns0:f>
        <ns0:v>0</ns0:v>
      </ns0:c>
    </ns0:row>
    <ns0:row r="745" ht="24" customHeight="1">
      <ns0:c r="A745" s="4" t="n">
        <ns0:v>741</ns0:v>
      </ns0:c>
      <ns0:c r="B745" s="12">
        <ns0:f>A745*('前提と出典'!$C$36+'前提と出典'!$C$38)</ns0:f>
        <ns0:v>518.6999999999999</ns0:v>
      </ns0:c>
      <ns0:c r="C745" s="12">
        <ns0:f>A745*('前提と出典'!$C$37+'前提と出典'!$C$38)</ns0:f>
        <ns0:v>444.59999999999997</ns0:v>
      </ns0:c>
      <ns0:c r="D745" s="16">
        <ns0:f>A745*('前提と出典'!$C$36*'契約別単価'!C5+'前提と出典'!$C$37*'契約別単価'!C6+'前提と出典'!$C$38*'契約別単価'!C7)</ns0:f>
        <ns0:v>5331.888268156425</ns0:v>
      </ns0:c>
      <ns0:c r="E745" s="16">
        <ns0:f>A745*('前提と出典'!$C$36*'契約別単価'!E5+'前提と出典'!$C$37*'契約別単価'!E6+'前提と出典'!$C$38*'契約別単価'!E7)</ns0:f>
        <ns0:v>1862779.8361215168</ns0:v>
      </ns0:c>
      <ns0:c r="F745" s="16">
        <ns0:f>A745*('前提と出典'!$C$36*'契約別単価'!F5+'前提と出典'!$C$37*'契約別単価'!F6+'前提と出典'!$C$38*'契約別単価'!F7)</ns0:f>
        <ns0:v>541276.2049778345</ns0:v>
      </ns0:c>
      <ns0:c r="G745" s="16">
        <ns0:f>A745*('前提と出典'!$C$36*'契約別単価'!G5+'前提と出典'!$C$37*'契約別単価'!G6+'前提と出典'!$C$38*'契約別単価'!G7)</ns0:f>
        <ns0:v>1474962.5698324023</ns0:v>
      </ns0:c>
      <ns0:c r="H745" s="16">
        <ns0:f>A745*('前提と出典'!$C$36*'契約別単価'!H5+'前提と出典'!$C$37*'契約別単価'!H6+'前提と出典'!$C$38*'契約別単価'!H7)</ns0:f>
        <ns0:v>511885.98691782926</ns0:v>
      </ns0:c>
      <ns0:c r="I745" s="16">
        <ns0:f>A745*('前提と出典'!$C$36*'契約別単価'!I5+'前提と出典'!$C$37*'契約別単価'!I6+'前提と出典'!$C$38*'契約別単価'!I7)</ns0:f>
        <ns0:v>31266.88826815642</ns0:v>
      </ns0:c>
      <ns0:c r="J745" s="16">
        <ns0:f>A745*('前提と出典'!$C$36*'契約別単価'!J5+'前提と出典'!$C$37*'契約別単価'!J6+'前提と出典'!$C$38*'契約別単価'!J7)</ns0:f>
        <ns0:v>72832.55188933421</ns0:v>
      </ns0:c>
      <ns0:c r="K745" s="16">
        <ns0:f>A745*('前提と出典'!$C$36*'契約別単価'!K5+'前提と出典'!$C$37*'契約別単価'!K6+'前提と出典'!$C$38*'契約別単価'!K7)</ns0:f>
        <ns0:v>312185.92178770946</ns0:v>
      </ns0:c>
      <ns0:c r="L745" s="16">
        <ns0:f>A745*('前提と出典'!$C$36*'契約別単価'!L5+'前提と出典'!$C$37*'契約別単価'!L6+'前提と出典'!$C$38*'契約別単価'!L7)</ns0:f>
        <ns0:v>254182.8662305943</ns0:v>
      </ns0:c>
      <ns0:c r="M745" s="16">
        <ns0:f>IF(('前提と出典'!$C$36+'前提と出典'!$C$38)=0,0,IF(B745&lt;=10,'前提と出典'!B73+'前提と出典'!C73,IF(B745&lt;=100,'前提と出典'!B74+'前提と出典'!C74,IF(B745&lt;=500,'前提と出典'!B75+'前提と出典'!C75,'前提と出典'!B76+'前提と出典'!C76))))</ns0:f>
        <ns0:v>80000</ns0:v>
      </ns0:c>
      <ns0:c r="N745" s="16">
        <ns0:f>IF(('前提と出典'!$C$37+'前提と出典'!$C$38)=0,0,IF(C745&lt;=10,'前提と出典'!D73+'前提と出典'!E73,IF(C745&lt;=100,'前提と出典'!D74+'前提と出典'!E74,IF(C745&lt;=500,'前提と出典'!D75+'前提と出典'!E75,'前提と出典'!D76+'前提と出典'!E76))))</ns0:f>
        <ns0:v>56510.9346263078</ns0:v>
      </ns0:c>
      <ns0:c r="O745" s="16">
        <ns0:f>IF('前提と出典'!$C$36+'前提と出典'!$C$38=0,0,'前提と出典'!$B$4*IF('前提と出典'!$B$20=0,MAX('前提と出典'!$B$6,D745*'前提と出典'!$B$5),'前提と出典'!$B$6+D745*'前提と出典'!$B$5))</ns0:f>
        <ns0:v>735800.5810055867</ns0:v>
      </ns0:c>
      <ns0:c r="P745" s="16">
        <ns0:f>(E745+G745)*(1-'前提と出典'!$B$7)-I745-K745-M745-O745</ns0:f>
        <ns0:v>2058330.2882781252</ns0:v>
      </ns0:c>
      <ns0:c r="Q745" s="16">
        <ns0:f>(F745+H745)*(1-'前提と出典'!$B$7)-J745-L745-N745</ns0:f>
        <ns0:v>631722.0002411834</ns0:v>
      </ns0:c>
      <ns0:c r="R745" s="16">
        <ns0:f>P745-E745*'前提と出典'!$E$4</ns0:f>
        <ns0:v>1499496.3374416702</ns0:v>
      </ns0:c>
      <ns0:c r="S745" s="16">
        <ns0:f>Q745-F745*'前提と出典'!$E$4</ns0:f>
        <ns0:v>469339.1387478331</ns0:v>
      </ns0:c>
      <ns0:c r="T745" s="7">
        <ns0:f>R745+S745</ns0:f>
        <ns0:v>1968835.4761895034</ns0:v>
      </ns0:c>
      <ns0:c r="U745" s="16">
        <ns0:f>P745-E745*'前提と出典'!$E$5</ns0:f>
        <ns0:v>1313218.3538295184</ns0:v>
      </ns0:c>
      <ns0:c r="V745" s="16">
        <ns0:f>Q745-F745*'前提と出典'!$E$5</ns0:f>
        <ns0:v>415211.5182500497</ns0:v>
      </ns0:c>
      <ns0:c r="W745" s="7">
        <ns0:f>U745+V745</ns0:f>
        <ns0:v>1728429.872079568</ns0:v>
      </ns0:c>
      <ns0:c r="X745" s="16">
        <ns0:f>P745-E745*'前提と出典'!$E$6</ns0:f>
        <ns0:v>1126940.3702173666</ns0:v>
      </ns0:c>
      <ns0:c r="Y745" s="16">
        <ns0:f>Q745-F745*'前提と出典'!$E$6</ns0:f>
        <ns0:v>361083.89775226614</ns0:v>
      </ns0:c>
      <ns0:c r="Z745" s="7">
        <ns0:f>X745+Y745</ns0:f>
        <ns0:v>1488024.2679696328</ns0:v>
      </ns0:c>
      <ns0:c r="AA745" s="7">
        <ns0:f>IF(T745&gt;=0,A745,1001)</ns0:f>
        <ns0:v>741</ns0:v>
      </ns0:c>
      <ns0:c r="AB745" s="7">
        <ns0:f>IF(T745&lt;0,A745,0)</ns0:f>
        <ns0:v>0</ns0:v>
      </ns0:c>
      <ns0:c r="AC745" s="16">
        <ns0:f>IF(AND(OR('前提と出典'!$C$36+'前提と出典'!$C$38=0,R745&gt;=0),OR('前提と出典'!$C$37+'前提と出典'!$C$38=0,S745&gt;=0)),0,A745)</ns0:f>
        <ns0:v>0</ns0:v>
      </ns0:c>
      <ns0:c r="AD745" s="7">
        <ns0:f>IF(W745&gt;=0,A745,1001)</ns0:f>
        <ns0:v>741</ns0:v>
      </ns0:c>
      <ns0:c r="AE745" s="7">
        <ns0:f>IF(W745&lt;0,A745,0)</ns0:f>
        <ns0:v>0</ns0:v>
      </ns0:c>
      <ns0:c r="AF745" s="16">
        <ns0:f>IF(AND(OR('前提と出典'!$C$36+'前提と出典'!$C$38=0,U745&gt;=0),OR('前提と出典'!$C$37+'前提と出典'!$C$38=0,V745&gt;=0)),0,A745)</ns0:f>
        <ns0:v>0</ns0:v>
      </ns0:c>
      <ns0:c r="AG745" s="7">
        <ns0:f>IF(Z745&gt;=0,A745,1001)</ns0:f>
        <ns0:v>741</ns0:v>
      </ns0:c>
      <ns0:c r="AH745" s="4">
        <ns0:f>IF(Z745&lt;0,A745,0)</ns0:f>
        <ns0:v>0</ns0:v>
      </ns0:c>
      <ns0:c r="AI745" s="12">
        <ns0:f>IF(AND(OR('前提と出典'!$C$36+'前提と出典'!$C$38=0,X745&gt;=0),OR('前提と出典'!$C$37+'前提と出典'!$C$38=0,Y745&gt;=0)),0,A745)</ns0:f>
        <ns0:v>0</ns0:v>
      </ns0:c>
    </ns0:row>
    <ns0:row r="746" ht="24" customHeight="1">
      <ns0:c r="A746" s="4" t="n">
        <ns0:v>742</ns0:v>
      </ns0:c>
      <ns0:c r="B746" s="12">
        <ns0:f>A746*('前提と出典'!$C$36+'前提と出典'!$C$38)</ns0:f>
        <ns0:v>519.4</ns0:v>
      </ns0:c>
      <ns0:c r="C746" s="12">
        <ns0:f>A746*('前提と出典'!$C$37+'前提と出典'!$C$38)</ns0:f>
        <ns0:v>445.2</ns0:v>
      </ns0:c>
      <ns0:c r="D746" s="16">
        <ns0:f>A746*('前提と出典'!$C$36*'契約別単価'!C5+'前提と出典'!$C$37*'契約別単価'!C6+'前提と出典'!$C$38*'契約別単価'!C7)</ns0:f>
        <ns0:v>5339.083798882682</ns0:v>
      </ns0:c>
      <ns0:c r="E746" s="16">
        <ns0:f>A746*('前提と出典'!$C$36*'契約別単価'!E5+'前提と出典'!$C$37*'契約別単価'!E6+'前提と出典'!$C$38*'契約別単価'!E7)</ns0:f>
        <ns0:v>1865293.7090447575</ns0:v>
      </ns0:c>
      <ns0:c r="F746" s="16">
        <ns0:f>A746*('前提と出典'!$C$36*'契約別単価'!F5+'前提と出典'!$C$37*'契約別単価'!F6+'前提と出典'!$C$38*'契約別単価'!F7)</ns0:f>
        <ns0:v>542006.67219103</ns0:v>
      </ns0:c>
      <ns0:c r="G746" s="16">
        <ns0:f>A746*('前提と出典'!$C$36*'契約別単価'!G5+'前提と出典'!$C$37*'契約別単価'!G6+'前提と出典'!$C$38*'契約別単価'!G7)</ns0:f>
        <ns0:v>1476953.0726256983</ns0:v>
      </ns0:c>
      <ns0:c r="H746" s="16">
        <ns0:f>A746*('前提と出典'!$C$36*'契約別単価'!H5+'前提と出典'!$C$37*'契約別単価'!H6+'前提と出典'!$C$38*'契約別単価'!H7)</ns0:f>
        <ns0:v>512576.79121866304</ns0:v>
      </ns0:c>
      <ns0:c r="I746" s="16">
        <ns0:f>A746*('前提と出典'!$C$36*'契約別単価'!I5+'前提と出典'!$C$37*'契約別単価'!I6+'前提と出典'!$C$38*'契約別単価'!I7)</ns0:f>
        <ns0:v>31309.083798882675</ns0:v>
      </ns0:c>
      <ns0:c r="J746" s="16">
        <ns0:f>A746*('前提と出典'!$C$36*'契約別単価'!J5+'前提と出典'!$C$37*'契約別単価'!J6+'前提と出典'!$C$38*'契約別単価'!J7)</ns0:f>
        <ns0:v>72930.84143304451</ns0:v>
      </ns0:c>
      <ns0:c r="K746" s="16">
        <ns0:f>A746*('前提と出典'!$C$36*'契約別単価'!K5+'前提と出典'!$C$37*'契約別単価'!K6+'前提と出典'!$C$38*'契約別単価'!K7)</ns0:f>
        <ns0:v>312607.22532588453</ns0:v>
      </ns0:c>
      <ns0:c r="L746" s="16">
        <ns0:f>A746*('前提と出典'!$C$36*'契約別単価'!L5+'前提と出典'!$C$37*'契約別単価'!L6+'前提と出典'!$C$38*'契約別単価'!L7)</ns0:f>
        <ns0:v>254525.8930406221</ns0:v>
      </ns0:c>
      <ns0:c r="M746" s="16">
        <ns0:f>IF(('前提と出典'!$C$36+'前提と出典'!$C$38)=0,0,IF(B746&lt;=10,'前提と出典'!B73+'前提と出典'!C73,IF(B746&lt;=100,'前提と出典'!B74+'前提と出典'!C74,IF(B746&lt;=500,'前提と出典'!B75+'前提と出典'!C75,'前提と出典'!B76+'前提と出典'!C76))))</ns0:f>
        <ns0:v>80000</ns0:v>
      </ns0:c>
      <ns0:c r="N746" s="16">
        <ns0:f>IF(('前提と出典'!$C$37+'前提と出典'!$C$38)=0,0,IF(C746&lt;=10,'前提と出典'!D73+'前提と出典'!E73,IF(C746&lt;=100,'前提と出典'!D74+'前提と出典'!E74,IF(C746&lt;=500,'前提と出典'!D75+'前提と出典'!E75,'前提と出典'!D76+'前提と出典'!E76))))</ns0:f>
        <ns0:v>56510.9346263078</ns0:v>
      </ns0:c>
      <ns0:c r="O746" s="16">
        <ns0:f>IF('前提と出典'!$C$36+'前提と出典'!$C$38=0,0,'前提と出典'!$B$4*IF('前提と出典'!$B$20=0,MAX('前提と出典'!$B$6,D746*'前提と出典'!$B$5),'前提と出典'!$B$6+D746*'前提と出典'!$B$5))</ns0:f>
        <ns0:v>736793.5642458102</ns0:v>
      </ns0:c>
      <ns0:c r="P746" s="16">
        <ns0:f>(E746+G746)*(1-'前提と出典'!$B$7)-I746-K746-M746-O746</ns0:f>
        <ns0:v>2061216.0241597425</ns0:v>
      </ns0:c>
      <ns0:c r="Q746" s="16">
        <ns0:f>(F746+H746)*(1-'前提と出典'!$B$7)-J746-L746-N746</ns0:f>
        <ns0:v>632650.7896269696</ns0:v>
      </ns0:c>
      <ns0:c r="R746" s="16">
        <ns0:f>P746-E746*'前提と出典'!$E$4</ns0:f>
        <ns0:v>1501627.9114463148</ns0:v>
      </ns0:c>
      <ns0:c r="S746" s="16">
        <ns0:f>Q746-F746*'前提と出典'!$E$4</ns0:f>
        <ns0:v>470048.7879696606</ns0:v>
      </ns0:c>
      <ns0:c r="T746" s="7">
        <ns0:f>R746+S746</ns0:f>
        <ns0:v>1971676.6994159753</ns0:v>
      </ns0:c>
      <ns0:c r="U746" s="16">
        <ns0:f>P746-E746*'前提と出典'!$E$5</ns0:f>
        <ns0:v>1315098.5405418393</ns0:v>
      </ns0:c>
      <ns0:c r="V746" s="16">
        <ns0:f>Q746-F746*'前提と出典'!$E$5</ns0:f>
        <ns0:v>415848.12075055763</ns0:v>
      </ns0:c>
      <ns0:c r="W746" s="7">
        <ns0:f>U746+V746</ns0:f>
        <ns0:v>1730946.661292397</ns0:v>
      </ns0:c>
      <ns0:c r="X746" s="16">
        <ns0:f>P746-E746*'前提と出典'!$E$6</ns0:f>
        <ns0:v>1128569.1696373639</ns0:v>
      </ns0:c>
      <ns0:c r="Y746" s="16">
        <ns0:f>Q746-F746*'前提と出典'!$E$6</ns0:f>
        <ns0:v>361647.45353145467</ns0:v>
      </ns0:c>
      <ns0:c r="Z746" s="7">
        <ns0:f>X746+Y746</ns0:f>
        <ns0:v>1490216.6231688187</ns0:v>
      </ns0:c>
      <ns0:c r="AA746" s="7">
        <ns0:f>IF(T746&gt;=0,A746,1001)</ns0:f>
        <ns0:v>742</ns0:v>
      </ns0:c>
      <ns0:c r="AB746" s="7">
        <ns0:f>IF(T746&lt;0,A746,0)</ns0:f>
        <ns0:v>0</ns0:v>
      </ns0:c>
      <ns0:c r="AC746" s="16">
        <ns0:f>IF(AND(OR('前提と出典'!$C$36+'前提と出典'!$C$38=0,R746&gt;=0),OR('前提と出典'!$C$37+'前提と出典'!$C$38=0,S746&gt;=0)),0,A746)</ns0:f>
        <ns0:v>0</ns0:v>
      </ns0:c>
      <ns0:c r="AD746" s="7">
        <ns0:f>IF(W746&gt;=0,A746,1001)</ns0:f>
        <ns0:v>742</ns0:v>
      </ns0:c>
      <ns0:c r="AE746" s="7">
        <ns0:f>IF(W746&lt;0,A746,0)</ns0:f>
        <ns0:v>0</ns0:v>
      </ns0:c>
      <ns0:c r="AF746" s="16">
        <ns0:f>IF(AND(OR('前提と出典'!$C$36+'前提と出典'!$C$38=0,U746&gt;=0),OR('前提と出典'!$C$37+'前提と出典'!$C$38=0,V746&gt;=0)),0,A746)</ns0:f>
        <ns0:v>0</ns0:v>
      </ns0:c>
      <ns0:c r="AG746" s="7">
        <ns0:f>IF(Z746&gt;=0,A746,1001)</ns0:f>
        <ns0:v>742</ns0:v>
      </ns0:c>
      <ns0:c r="AH746" s="4">
        <ns0:f>IF(Z746&lt;0,A746,0)</ns0:f>
        <ns0:v>0</ns0:v>
      </ns0:c>
      <ns0:c r="AI746" s="12">
        <ns0:f>IF(AND(OR('前提と出典'!$C$36+'前提と出典'!$C$38=0,X746&gt;=0),OR('前提と出典'!$C$37+'前提と出典'!$C$38=0,Y746&gt;=0)),0,A746)</ns0:f>
        <ns0:v>0</ns0:v>
      </ns0:c>
    </ns0:row>
    <ns0:row r="747" ht="24" customHeight="1">
      <ns0:c r="A747" s="4" t="n">
        <ns0:v>743</ns0:v>
      </ns0:c>
      <ns0:c r="B747" s="12">
        <ns0:f>A747*('前提と出典'!$C$36+'前提と出典'!$C$38)</ns0:f>
        <ns0:v>520.1</ns0:v>
      </ns0:c>
      <ns0:c r="C747" s="12">
        <ns0:f>A747*('前提と出典'!$C$37+'前提と出典'!$C$38)</ns0:f>
        <ns0:v>445.8</ns0:v>
      </ns0:c>
      <ns0:c r="D747" s="16">
        <ns0:f>A747*('前提と出典'!$C$36*'契約別単価'!C5+'前提と出典'!$C$37*'契約別単価'!C6+'前提と出典'!$C$38*'契約別単価'!C7)</ns0:f>
        <ns0:v>5346.2793296089385</ns0:v>
      </ns0:c>
      <ns0:c r="E747" s="16">
        <ns0:f>A747*('前提と出典'!$C$36*'契約別単価'!E5+'前提と出典'!$C$37*'契約別単価'!E6+'前提と出典'!$C$38*'契約別単価'!E7)</ns0:f>
        <ns0:v>1867807.5819679985</ns0:v>
      </ns0:c>
      <ns0:c r="F747" s="16">
        <ns0:f>A747*('前提と出典'!$C$36*'契約別単価'!F5+'前提と出典'!$C$37*'契約別単価'!F6+'前提と出典'!$C$38*'契約別単価'!F7)</ns0:f>
        <ns0:v>542737.1394042254</ns0:v>
      </ns0:c>
      <ns0:c r="G747" s="16">
        <ns0:f>A747*('前提と出典'!$C$36*'契約別単価'!G5+'前提と出典'!$C$37*'契約別単価'!G6+'前提と出典'!$C$38*'契約別単価'!G7)</ns0:f>
        <ns0:v>1478943.5754189943</ns0:v>
      </ns0:c>
      <ns0:c r="H747" s="16">
        <ns0:f>A747*('前提と出典'!$C$36*'契約別単価'!H5+'前提と出典'!$C$37*'契約別単価'!H6+'前提と出典'!$C$38*'契約別単価'!H7)</ns0:f>
        <ns0:v>513267.5955194968</ns0:v>
      </ns0:c>
      <ns0:c r="I747" s="16">
        <ns0:f>A747*('前提と出典'!$C$36*'契約別単価'!I5+'前提と出典'!$C$37*'契約別単価'!I6+'前提と出典'!$C$38*'契約別単価'!I7)</ns0:f>
        <ns0:v>31351.279329608933</ns0:v>
      </ns0:c>
      <ns0:c r="J747" s="16">
        <ns0:f>A747*('前提と出典'!$C$36*'契約別単価'!J5+'前提と出典'!$C$37*'契約別単価'!J6+'前提と出典'!$C$38*'契約別単価'!J7)</ns0:f>
        <ns0:v>73029.13097675481</ns0:v>
      </ns0:c>
      <ns0:c r="K747" s="16">
        <ns0:f>A747*('前提と出典'!$C$36*'契約別単価'!K5+'前提と出典'!$C$37*'契約別単価'!K6+'前提と出典'!$C$38*'契約別単価'!K7)</ns0:f>
        <ns0:v>313028.5288640596</ns0:v>
      </ns0:c>
      <ns0:c r="L747" s="16">
        <ns0:f>A747*('前提と出典'!$C$36*'契約別単価'!L5+'前提と出典'!$C$37*'契約別単価'!L6+'前提と出典'!$C$38*'契約別単価'!L7)</ns0:f>
        <ns0:v>254868.9198506499</ns0:v>
      </ns0:c>
      <ns0:c r="M747" s="16">
        <ns0:f>IF(('前提と出典'!$C$36+'前提と出典'!$C$38)=0,0,IF(B747&lt;=10,'前提と出典'!B73+'前提と出典'!C73,IF(B747&lt;=100,'前提と出典'!B74+'前提と出典'!C74,IF(B747&lt;=500,'前提と出典'!B75+'前提と出典'!C75,'前提と出典'!B76+'前提と出典'!C76))))</ns0:f>
        <ns0:v>80000</ns0:v>
      </ns0:c>
      <ns0:c r="N747" s="16">
        <ns0:f>IF(('前提と出典'!$C$37+'前提と出典'!$C$38)=0,0,IF(C747&lt;=10,'前提と出典'!D73+'前提と出典'!E73,IF(C747&lt;=100,'前提と出典'!D74+'前提と出典'!E74,IF(C747&lt;=500,'前提と出典'!D75+'前提と出典'!E75,'前提と出典'!D76+'前提と出典'!E76))))</ns0:f>
        <ns0:v>56510.9346263078</ns0:v>
      </ns0:c>
      <ns0:c r="O747" s="16">
        <ns0:f>IF('前提と出典'!$C$36+'前提と出典'!$C$38=0,0,'前提と出典'!$B$4*IF('前提と出典'!$B$20=0,MAX('前提と出典'!$B$6,D747*'前提と出典'!$B$5),'前提と出典'!$B$6+D747*'前提と出典'!$B$5))</ns0:f>
        <ns0:v>737786.5474860335</ns0:v>
      </ns0:c>
      <ns0:c r="P747" s="16">
        <ns0:f>(E747+G747)*(1-'前提と出典'!$B$7)-I747-K747-M747-O747</ns0:f>
        <ns0:v>2064101.7600413589</ns0:v>
      </ns0:c>
      <ns0:c r="Q747" s="16">
        <ns0:f>(F747+H747)*(1-'前提と出典'!$B$7)-J747-L747-N747</ns0:f>
        <ns0:v>633579.5790127557</ns0:v>
      </ns0:c>
      <ns0:c r="R747" s="16">
        <ns0:f>P747-E747*'前提と出典'!$E$4</ns0:f>
        <ns0:v>1503759.4854509595</ns0:v>
      </ns0:c>
      <ns0:c r="S747" s="16">
        <ns0:f>Q747-F747*'前提と出典'!$E$4</ns0:f>
        <ns0:v>470758.4371914881</ns0:v>
      </ns0:c>
      <ns0:c r="T747" s="7">
        <ns0:f>R747+S747</ns0:f>
        <ns0:v>1974517.9226424475</ns0:v>
      </ns0:c>
      <ns0:c r="U747" s="16">
        <ns0:f>P747-E747*'前提と出典'!$E$5</ns0:f>
        <ns0:v>1316978.7272541595</ns0:v>
      </ns0:c>
      <ns0:c r="V747" s="16">
        <ns0:f>Q747-F747*'前提と出典'!$E$5</ns0:f>
        <ns0:v>416484.7232510655</ns0:v>
      </ns0:c>
      <ns0:c r="W747" s="7">
        <ns0:f>U747+V747</ns0:f>
        <ns0:v>1733463.450505225</ns0:v>
      </ns0:c>
      <ns0:c r="X747" s="16">
        <ns0:f>P747-E747*'前提と出典'!$E$6</ns0:f>
        <ns0:v>1130197.96905736</ns0:v>
      </ns0:c>
      <ns0:c r="Y747" s="16">
        <ns0:f>Q747-F747*'前提と出典'!$E$6</ns0:f>
        <ns0:v>362211.00931064296</ns0:v>
      </ns0:c>
      <ns0:c r="Z747" s="7">
        <ns0:f>X747+Y747</ns0:f>
        <ns0:v>1492408.978368003</ns0:v>
      </ns0:c>
      <ns0:c r="AA747" s="7">
        <ns0:f>IF(T747&gt;=0,A747,1001)</ns0:f>
        <ns0:v>743</ns0:v>
      </ns0:c>
      <ns0:c r="AB747" s="7">
        <ns0:f>IF(T747&lt;0,A747,0)</ns0:f>
        <ns0:v>0</ns0:v>
      </ns0:c>
      <ns0:c r="AC747" s="16">
        <ns0:f>IF(AND(OR('前提と出典'!$C$36+'前提と出典'!$C$38=0,R747&gt;=0),OR('前提と出典'!$C$37+'前提と出典'!$C$38=0,S747&gt;=0)),0,A747)</ns0:f>
        <ns0:v>0</ns0:v>
      </ns0:c>
      <ns0:c r="AD747" s="7">
        <ns0:f>IF(W747&gt;=0,A747,1001)</ns0:f>
        <ns0:v>743</ns0:v>
      </ns0:c>
      <ns0:c r="AE747" s="7">
        <ns0:f>IF(W747&lt;0,A747,0)</ns0:f>
        <ns0:v>0</ns0:v>
      </ns0:c>
      <ns0:c r="AF747" s="16">
        <ns0:f>IF(AND(OR('前提と出典'!$C$36+'前提と出典'!$C$38=0,U747&gt;=0),OR('前提と出典'!$C$37+'前提と出典'!$C$38=0,V747&gt;=0)),0,A747)</ns0:f>
        <ns0:v>0</ns0:v>
      </ns0:c>
      <ns0:c r="AG747" s="7">
        <ns0:f>IF(Z747&gt;=0,A747,1001)</ns0:f>
        <ns0:v>743</ns0:v>
      </ns0:c>
      <ns0:c r="AH747" s="4">
        <ns0:f>IF(Z747&lt;0,A747,0)</ns0:f>
        <ns0:v>0</ns0:v>
      </ns0:c>
      <ns0:c r="AI747" s="12">
        <ns0:f>IF(AND(OR('前提と出典'!$C$36+'前提と出典'!$C$38=0,X747&gt;=0),OR('前提と出典'!$C$37+'前提と出典'!$C$38=0,Y747&gt;=0)),0,A747)</ns0:f>
        <ns0:v>0</ns0:v>
      </ns0:c>
    </ns0:row>
    <ns0:row r="748" ht="24" customHeight="1">
      <ns0:c r="A748" s="4" t="n">
        <ns0:v>744</ns0:v>
      </ns0:c>
      <ns0:c r="B748" s="12">
        <ns0:f>A748*('前提と出典'!$C$36+'前提と出典'!$C$38)</ns0:f>
        <ns0:v>520.8</ns0:v>
      </ns0:c>
      <ns0:c r="C748" s="12">
        <ns0:f>A748*('前提と出典'!$C$37+'前提と出典'!$C$38)</ns0:f>
        <ns0:v>446.4</ns0:v>
      </ns0:c>
      <ns0:c r="D748" s="16">
        <ns0:f>A748*('前提と出典'!$C$36*'契約別単価'!C5+'前提と出典'!$C$37*'契約別単価'!C6+'前提と出典'!$C$38*'契約別単価'!C7)</ns0:f>
        <ns0:v>5353.474860335195</ns0:v>
      </ns0:c>
      <ns0:c r="E748" s="16">
        <ns0:f>A748*('前提と出典'!$C$36*'契約別単価'!E5+'前提と出典'!$C$37*'契約別単価'!E6+'前提と出典'!$C$38*'契約別単価'!E7)</ns0:f>
        <ns0:v>1870321.4548912395</ns0:v>
      </ns0:c>
      <ns0:c r="F748" s="16">
        <ns0:f>A748*('前提と出典'!$C$36*'契約別単価'!F5+'前提と出典'!$C$37*'契約別単価'!F6+'前提と出典'!$C$38*'契約別単価'!F7)</ns0:f>
        <ns0:v>543467.6066174209</ns0:v>
      </ns0:c>
      <ns0:c r="G748" s="16">
        <ns0:f>A748*('前提と出典'!$C$36*'契約別単価'!G5+'前提と出典'!$C$37*'契約別単価'!G6+'前提と出典'!$C$38*'契約別単価'!G7)</ns0:f>
        <ns0:v>1480934.0782122905</ns0:v>
      </ns0:c>
      <ns0:c r="H748" s="16">
        <ns0:f>A748*('前提と出典'!$C$36*'契約別単価'!H5+'前提と出典'!$C$37*'契約別単価'!H6+'前提と出典'!$C$38*'契約別単価'!H7)</ns0:f>
        <ns0:v>513958.3998203306</ns0:v>
      </ns0:c>
      <ns0:c r="I748" s="16">
        <ns0:f>A748*('前提と出典'!$C$36*'契約別単価'!I5+'前提と出典'!$C$37*'契約別単価'!I6+'前提と出典'!$C$38*'契約別単価'!I7)</ns0:f>
        <ns0:v>31393.47486033519</ns0:v>
      </ns0:c>
      <ns0:c r="J748" s="16">
        <ns0:f>A748*('前提と出典'!$C$36*'契約別単価'!J5+'前提と出典'!$C$37*'契約別単価'!J6+'前提と出典'!$C$38*'契約別単価'!J7)</ns0:f>
        <ns0:v>73127.42052046511</ns0:v>
      </ns0:c>
      <ns0:c r="K748" s="16">
        <ns0:f>A748*('前提と出典'!$C$36*'契約別単価'!K5+'前提と出典'!$C$37*'契約別単価'!K6+'前提と出典'!$C$38*'契約別単価'!K7)</ns0:f>
        <ns0:v>313449.8324022346</ns0:v>
      </ns0:c>
      <ns0:c r="L748" s="16">
        <ns0:f>A748*('前提と出典'!$C$36*'契約別単価'!L5+'前提と出典'!$C$37*'契約別単価'!L6+'前提と出典'!$C$38*'契約別単価'!L7)</ns0:f>
        <ns0:v>255211.94666067767</ns0:v>
      </ns0:c>
      <ns0:c r="M748" s="16">
        <ns0:f>IF(('前提と出典'!$C$36+'前提と出典'!$C$38)=0,0,IF(B748&lt;=10,'前提と出典'!B73+'前提と出典'!C73,IF(B748&lt;=100,'前提と出典'!B74+'前提と出典'!C74,IF(B748&lt;=500,'前提と出典'!B75+'前提と出典'!C75,'前提と出典'!B76+'前提と出典'!C76))))</ns0:f>
        <ns0:v>80000</ns0:v>
      </ns0:c>
      <ns0:c r="N748" s="16">
        <ns0:f>IF(('前提と出典'!$C$37+'前提と出典'!$C$38)=0,0,IF(C748&lt;=10,'前提と出典'!D73+'前提と出典'!E73,IF(C748&lt;=100,'前提と出典'!D74+'前提と出典'!E74,IF(C748&lt;=500,'前提と出典'!D75+'前提と出典'!E75,'前提と出典'!D76+'前提と出典'!E76))))</ns0:f>
        <ns0:v>56510.9346263078</ns0:v>
      </ns0:c>
      <ns0:c r="O748" s="16">
        <ns0:f>IF('前提と出典'!$C$36+'前提と出典'!$C$38=0,0,'前提と出典'!$B$4*IF('前提と出典'!$B$20=0,MAX('前提と出典'!$B$6,D748*'前提と出典'!$B$5),'前提と出典'!$B$6+D748*'前提と出典'!$B$5))</ns0:f>
        <ns0:v>738779.530726257</ns0:v>
      </ns0:c>
      <ns0:c r="P748" s="16">
        <ns0:f>(E748+G748)*(1-'前提と出典'!$B$7)-I748-K748-M748-O748</ns0:f>
        <ns0:v>2066987.4959229762</ns0:v>
      </ns0:c>
      <ns0:c r="Q748" s="16">
        <ns0:f>(F748+H748)*(1-'前提と出典'!$B$7)-J748-L748-N748</ns0:f>
        <ns0:v>634508.3683985418</ns0:v>
      </ns0:c>
      <ns0:c r="R748" s="16">
        <ns0:f>P748-E748*'前提と出典'!$E$4</ns0:f>
        <ns0:v>1505891.0594556045</ns0:v>
      </ns0:c>
      <ns0:c r="S748" s="16">
        <ns0:f>Q748-F748*'前提と出典'!$E$4</ns0:f>
        <ns0:v>471468.0864133155</ns0:v>
      </ns0:c>
      <ns0:c r="T748" s="7">
        <ns0:f>R748+S748</ns0:f>
        <ns0:v>1977359.14586892</ns0:v>
      </ns0:c>
      <ns0:c r="U748" s="16">
        <ns0:f>P748-E748*'前提と出典'!$E$5</ns0:f>
        <ns0:v>1318858.9139664804</ns0:v>
      </ns0:c>
      <ns0:c r="V748" s="16">
        <ns0:f>Q748-F748*'前提と出典'!$E$5</ns0:f>
        <ns0:v>417121.32575157343</ns0:v>
      </ns0:c>
      <ns0:c r="W748" s="7">
        <ns0:f>U748+V748</ns0:f>
        <ns0:v>1735980.239718054</ns0:v>
      </ns0:c>
      <ns0:c r="X748" s="16">
        <ns0:f>P748-E748*'前提と出典'!$E$6</ns0:f>
        <ns0:v>1131826.7684773565</ns0:v>
      </ns0:c>
      <ns0:c r="Y748" s="16">
        <ns0:f>Q748-F748*'前提と出典'!$E$6</ns0:f>
        <ns0:v>362774.56508983136</ns0:v>
      </ns0:c>
      <ns0:c r="Z748" s="7">
        <ns0:f>X748+Y748</ns0:f>
        <ns0:v>1494601.333567188</ns0:v>
      </ns0:c>
      <ns0:c r="AA748" s="7">
        <ns0:f>IF(T748&gt;=0,A748,1001)</ns0:f>
        <ns0:v>744</ns0:v>
      </ns0:c>
      <ns0:c r="AB748" s="7">
        <ns0:f>IF(T748&lt;0,A748,0)</ns0:f>
        <ns0:v>0</ns0:v>
      </ns0:c>
      <ns0:c r="AC748" s="16">
        <ns0:f>IF(AND(OR('前提と出典'!$C$36+'前提と出典'!$C$38=0,R748&gt;=0),OR('前提と出典'!$C$37+'前提と出典'!$C$38=0,S748&gt;=0)),0,A748)</ns0:f>
        <ns0:v>0</ns0:v>
      </ns0:c>
      <ns0:c r="AD748" s="7">
        <ns0:f>IF(W748&gt;=0,A748,1001)</ns0:f>
        <ns0:v>744</ns0:v>
      </ns0:c>
      <ns0:c r="AE748" s="7">
        <ns0:f>IF(W748&lt;0,A748,0)</ns0:f>
        <ns0:v>0</ns0:v>
      </ns0:c>
      <ns0:c r="AF748" s="16">
        <ns0:f>IF(AND(OR('前提と出典'!$C$36+'前提と出典'!$C$38=0,U748&gt;=0),OR('前提と出典'!$C$37+'前提と出典'!$C$38=0,V748&gt;=0)),0,A748)</ns0:f>
        <ns0:v>0</ns0:v>
      </ns0:c>
      <ns0:c r="AG748" s="7">
        <ns0:f>IF(Z748&gt;=0,A748,1001)</ns0:f>
        <ns0:v>744</ns0:v>
      </ns0:c>
      <ns0:c r="AH748" s="4">
        <ns0:f>IF(Z748&lt;0,A748,0)</ns0:f>
        <ns0:v>0</ns0:v>
      </ns0:c>
      <ns0:c r="AI748" s="12">
        <ns0:f>IF(AND(OR('前提と出典'!$C$36+'前提と出典'!$C$38=0,X748&gt;=0),OR('前提と出典'!$C$37+'前提と出典'!$C$38=0,Y748&gt;=0)),0,A748)</ns0:f>
        <ns0:v>0</ns0:v>
      </ns0:c>
    </ns0:row>
    <ns0:row r="749" ht="24" customHeight="1">
      <ns0:c r="A749" s="4" t="n">
        <ns0:v>745</ns0:v>
      </ns0:c>
      <ns0:c r="B749" s="12">
        <ns0:f>A749*('前提と出典'!$C$36+'前提と出典'!$C$38)</ns0:f>
        <ns0:v>521.5</ns0:v>
      </ns0:c>
      <ns0:c r="C749" s="12">
        <ns0:f>A749*('前提と出典'!$C$37+'前提と出典'!$C$38)</ns0:f>
        <ns0:v>447</ns0:v>
      </ns0:c>
      <ns0:c r="D749" s="16">
        <ns0:f>A749*('前提と出典'!$C$36*'契約別単価'!C5+'前提と出典'!$C$37*'契約別単価'!C6+'前提と出典'!$C$38*'契約別単価'!C7)</ns0:f>
        <ns0:v>5360.670391061452</ns0:v>
      </ns0:c>
      <ns0:c r="E749" s="16">
        <ns0:f>A749*('前提と出典'!$C$36*'契約別単価'!E5+'前提と出典'!$C$37*'契約別単価'!E6+'前提と出典'!$C$38*'契約別単価'!E7)</ns0:f>
        <ns0:v>1872835.3278144803</ns0:v>
      </ns0:c>
      <ns0:c r="F749" s="16">
        <ns0:f>A749*('前提と出典'!$C$36*'契約別単価'!F5+'前提と出典'!$C$37*'契約別単価'!F6+'前提と出典'!$C$38*'契約別単価'!F7)</ns0:f>
        <ns0:v>544198.0738306163</ns0:v>
      </ns0:c>
      <ns0:c r="G749" s="16">
        <ns0:f>A749*('前提と出典'!$C$36*'契約別単価'!G5+'前提と出典'!$C$37*'契約別単価'!G6+'前提と出典'!$C$38*'契約別単価'!G7)</ns0:f>
        <ns0:v>1482924.5810055865</ns0:v>
      </ns0:c>
      <ns0:c r="H749" s="16">
        <ns0:f>A749*('前提と出典'!$C$36*'契約別単価'!H5+'前提と出典'!$C$37*'契約別単価'!H6+'前提と出典'!$C$38*'契約別単価'!H7)</ns0:f>
        <ns0:v>514649.2041211644</ns0:v>
      </ns0:c>
      <ns0:c r="I749" s="16">
        <ns0:f>A749*('前提と出典'!$C$36*'契約別単価'!I5+'前提と出典'!$C$37*'契約別単価'!I6+'前提と出典'!$C$38*'契約別単価'!I7)</ns0:f>
        <ns0:v>31435.67039106145</ns0:v>
      </ns0:c>
      <ns0:c r="J749" s="16">
        <ns0:f>A749*('前提と出典'!$C$36*'契約別単価'!J5+'前提と出典'!$C$37*'契約別単価'!J6+'前提と出典'!$C$38*'契約別単価'!J7)</ns0:f>
        <ns0:v>73225.71006417541</ns0:v>
      </ns0:c>
      <ns0:c r="K749" s="16">
        <ns0:f>A749*('前提と出典'!$C$36*'契約別単価'!K5+'前提と出典'!$C$37*'契約別単価'!K6+'前提と出典'!$C$38*'契約別単価'!K7)</ns0:f>
        <ns0:v>313871.1359404097</ns0:v>
      </ns0:c>
      <ns0:c r="L749" s="16">
        <ns0:f>A749*('前提と出典'!$C$36*'契約別単価'!L5+'前提と出典'!$C$37*'契約別単価'!L6+'前提と出典'!$C$38*'契約別単価'!L7)</ns0:f>
        <ns0:v>255554.97347070547</ns0:v>
      </ns0:c>
      <ns0:c r="M749" s="16">
        <ns0:f>IF(('前提と出典'!$C$36+'前提と出典'!$C$38)=0,0,IF(B749&lt;=10,'前提と出典'!B73+'前提と出典'!C73,IF(B749&lt;=100,'前提と出典'!B74+'前提と出典'!C74,IF(B749&lt;=500,'前提と出典'!B75+'前提と出典'!C75,'前提と出典'!B76+'前提と出典'!C76))))</ns0:f>
        <ns0:v>80000</ns0:v>
      </ns0:c>
      <ns0:c r="N749" s="16">
        <ns0:f>IF(('前提と出典'!$C$37+'前提と出典'!$C$38)=0,0,IF(C749&lt;=10,'前提と出典'!D73+'前提と出典'!E73,IF(C749&lt;=100,'前提と出典'!D74+'前提と出典'!E74,IF(C749&lt;=500,'前提と出典'!D75+'前提と出典'!E75,'前提と出典'!D76+'前提と出典'!E76))))</ns0:f>
        <ns0:v>56510.9346263078</ns0:v>
      </ns0:c>
      <ns0:c r="O749" s="16">
        <ns0:f>IF('前提と出典'!$C$36+'前提と出典'!$C$38=0,0,'前提と出典'!$B$4*IF('前提と出典'!$B$20=0,MAX('前提と出典'!$B$6,D749*'前提と出典'!$B$5),'前提と出典'!$B$6+D749*'前提と出典'!$B$5))</ns0:f>
        <ns0:v>739772.5139664805</ns0:v>
      </ns0:c>
      <ns0:c r="P749" s="16">
        <ns0:f>(E749+G749)*(1-'前提と出典'!$B$7)-I749-K749-M749-O749</ns0:f>
        <ns0:v>2069873.231804593</ns0:v>
      </ns0:c>
      <ns0:c r="Q749" s="16">
        <ns0:f>(F749+H749)*(1-'前提と出典'!$B$7)-J749-L749-N749</ns0:f>
        <ns0:v>635437.1577843281</ns0:v>
      </ns0:c>
      <ns0:c r="R749" s="16">
        <ns0:f>P749-E749*'前提と出典'!$E$4</ns0:f>
        <ns0:v>1508022.6334602486</ns0:v>
      </ns0:c>
      <ns0:c r="S749" s="16">
        <ns0:f>Q749-F749*'前提と出典'!$E$4</ns0:f>
        <ns0:v>472177.7356351431</ns0:v>
      </ns0:c>
      <ns0:c r="T749" s="7">
        <ns0:f>R749+S749</ns0:f>
        <ns0:v>1980200.3690953916</ns0:v>
      </ns0:c>
      <ns0:c r="U749" s="16">
        <ns0:f>P749-E749*'前提と出典'!$E$5</ns0:f>
        <ns0:v>1320739.1006788008</ns0:v>
      </ns0:c>
      <ns0:c r="V749" s="16">
        <ns0:f>Q749-F749*'前提と出典'!$E$5</ns0:f>
        <ns0:v>417757.9282520815</ns0:v>
      </ns0:c>
      <ns0:c r="W749" s="7">
        <ns0:f>U749+V749</ns0:f>
        <ns0:v>1738497.0289308825</ns0:v>
      </ns0:c>
      <ns0:c r="X749" s="16">
        <ns0:f>P749-E749*'前提と出典'!$E$6</ns0:f>
        <ns0:v>1133455.5678973526</ns0:v>
      </ns0:c>
      <ns0:c r="Y749" s="16">
        <ns0:f>Q749-F749*'前提と出典'!$E$6</ns0:f>
        <ns0:v>363338.1208690199</ns0:v>
      </ns0:c>
      <ns0:c r="Z749" s="7">
        <ns0:f>X749+Y749</ns0:f>
        <ns0:v>1496793.6887663724</ns0:v>
      </ns0:c>
      <ns0:c r="AA749" s="7">
        <ns0:f>IF(T749&gt;=0,A749,1001)</ns0:f>
        <ns0:v>745</ns0:v>
      </ns0:c>
      <ns0:c r="AB749" s="7">
        <ns0:f>IF(T749&lt;0,A749,0)</ns0:f>
        <ns0:v>0</ns0:v>
      </ns0:c>
      <ns0:c r="AC749" s="16">
        <ns0:f>IF(AND(OR('前提と出典'!$C$36+'前提と出典'!$C$38=0,R749&gt;=0),OR('前提と出典'!$C$37+'前提と出典'!$C$38=0,S749&gt;=0)),0,A749)</ns0:f>
        <ns0:v>0</ns0:v>
      </ns0:c>
      <ns0:c r="AD749" s="7">
        <ns0:f>IF(W749&gt;=0,A749,1001)</ns0:f>
        <ns0:v>745</ns0:v>
      </ns0:c>
      <ns0:c r="AE749" s="7">
        <ns0:f>IF(W749&lt;0,A749,0)</ns0:f>
        <ns0:v>0</ns0:v>
      </ns0:c>
      <ns0:c r="AF749" s="16">
        <ns0:f>IF(AND(OR('前提と出典'!$C$36+'前提と出典'!$C$38=0,U749&gt;=0),OR('前提と出典'!$C$37+'前提と出典'!$C$38=0,V749&gt;=0)),0,A749)</ns0:f>
        <ns0:v>0</ns0:v>
      </ns0:c>
      <ns0:c r="AG749" s="7">
        <ns0:f>IF(Z749&gt;=0,A749,1001)</ns0:f>
        <ns0:v>745</ns0:v>
      </ns0:c>
      <ns0:c r="AH749" s="4">
        <ns0:f>IF(Z749&lt;0,A749,0)</ns0:f>
        <ns0:v>0</ns0:v>
      </ns0:c>
      <ns0:c r="AI749" s="12">
        <ns0:f>IF(AND(OR('前提と出典'!$C$36+'前提と出典'!$C$38=0,X749&gt;=0),OR('前提と出典'!$C$37+'前提と出典'!$C$38=0,Y749&gt;=0)),0,A749)</ns0:f>
        <ns0:v>0</ns0:v>
      </ns0:c>
    </ns0:row>
    <ns0:row r="750" ht="24" customHeight="1">
      <ns0:c r="A750" s="4" t="n">
        <ns0:v>746</ns0:v>
      </ns0:c>
      <ns0:c r="B750" s="12">
        <ns0:f>A750*('前提と出典'!$C$36+'前提と出典'!$C$38)</ns0:f>
        <ns0:v>522.1999999999999</ns0:v>
      </ns0:c>
      <ns0:c r="C750" s="12">
        <ns0:f>A750*('前提と出典'!$C$37+'前提と出典'!$C$38)</ns0:f>
        <ns0:v>447.59999999999997</ns0:v>
      </ns0:c>
      <ns0:c r="D750" s="16">
        <ns0:f>A750*('前提と出典'!$C$36*'契約別単価'!C5+'前提と出典'!$C$37*'契約別単価'!C6+'前提と出典'!$C$38*'契約別単価'!C7)</ns0:f>
        <ns0:v>5367.865921787709</ns0:v>
      </ns0:c>
      <ns0:c r="E750" s="16">
        <ns0:f>A750*('前提と出典'!$C$36*'契約別単価'!E5+'前提と出典'!$C$37*'契約別単価'!E6+'前提と出典'!$C$38*'契約別単価'!E7)</ns0:f>
        <ns0:v>1875349.2007377213</ns0:v>
      </ns0:c>
      <ns0:c r="F750" s="16">
        <ns0:f>A750*('前提と出典'!$C$36*'契約別単価'!F5+'前提と出典'!$C$37*'契約別単価'!F6+'前提と出典'!$C$38*'契約別単価'!F7)</ns0:f>
        <ns0:v>544928.5410438118</ns0:v>
      </ns0:c>
      <ns0:c r="G750" s="16">
        <ns0:f>A750*('前提と出典'!$C$36*'契約別単価'!G5+'前提と出典'!$C$37*'契約別単価'!G6+'前提と出典'!$C$38*'契約別単価'!G7)</ns0:f>
        <ns0:v>1484915.0837988826</ns0:v>
      </ns0:c>
      <ns0:c r="H750" s="16">
        <ns0:f>A750*('前提と出典'!$C$36*'契約別単価'!H5+'前提と出典'!$C$37*'契約別単価'!H6+'前提と出典'!$C$38*'契約別単価'!H7)</ns0:f>
        <ns0:v>515340.0084219982</ns0:v>
      </ns0:c>
      <ns0:c r="I750" s="16">
        <ns0:f>A750*('前提と出典'!$C$36*'契約別単価'!I5+'前提と出典'!$C$37*'契約別単価'!I6+'前提と出典'!$C$38*'契約別単価'!I7)</ns0:f>
        <ns0:v>31477.865921787703</ns0:v>
      </ns0:c>
      <ns0:c r="J750" s="16">
        <ns0:f>A750*('前提と出典'!$C$36*'契約別単価'!J5+'前提と出典'!$C$37*'契約別単価'!J6+'前提と出典'!$C$38*'契約別単価'!J7)</ns0:f>
        <ns0:v>73323.99960788572</ns0:v>
      </ns0:c>
      <ns0:c r="K750" s="16">
        <ns0:f>A750*('前提と出典'!$C$36*'契約別単価'!K5+'前提と出典'!$C$37*'契約別単価'!K6+'前提と出典'!$C$38*'契約別単価'!K7)</ns0:f>
        <ns0:v>314292.4394785847</ns0:v>
      </ns0:c>
      <ns0:c r="L750" s="16">
        <ns0:f>A750*('前提と出典'!$C$36*'契約別単価'!L5+'前提と出典'!$C$37*'契約別単価'!L6+'前提と出典'!$C$38*'契約別単価'!L7)</ns0:f>
        <ns0:v>255898.00028073325</ns0:v>
      </ns0:c>
      <ns0:c r="M750" s="16">
        <ns0:f>IF(('前提と出典'!$C$36+'前提と出典'!$C$38)=0,0,IF(B750&lt;=10,'前提と出典'!B73+'前提と出典'!C73,IF(B750&lt;=100,'前提と出典'!B74+'前提と出典'!C74,IF(B750&lt;=500,'前提と出典'!B75+'前提と出典'!C75,'前提と出典'!B76+'前提と出典'!C76))))</ns0:f>
        <ns0:v>80000</ns0:v>
      </ns0:c>
      <ns0:c r="N750" s="16">
        <ns0:f>IF(('前提と出典'!$C$37+'前提と出典'!$C$38)=0,0,IF(C750&lt;=10,'前提と出典'!D73+'前提と出典'!E73,IF(C750&lt;=100,'前提と出典'!D74+'前提と出典'!E74,IF(C750&lt;=500,'前提と出典'!D75+'前提と出典'!E75,'前提と出典'!D76+'前提と出典'!E76))))</ns0:f>
        <ns0:v>56510.9346263078</ns0:v>
      </ns0:c>
      <ns0:c r="O750" s="16">
        <ns0:f>IF('前提と出典'!$C$36+'前提と出典'!$C$38=0,0,'前提と出典'!$B$4*IF('前提と出典'!$B$20=0,MAX('前提と出典'!$B$6,D750*'前提と出典'!$B$5),'前提と出典'!$B$6+D750*'前提と出典'!$B$5))</ns0:f>
        <ns0:v>740765.4972067039</ns0:v>
      </ns0:c>
      <ns0:c r="P750" s="16">
        <ns0:f>(E750+G750)*(1-'前提と出典'!$B$7)-I750-K750-M750-O750</ns0:f>
        <ns0:v>2072758.96768621</ns0:v>
      </ns0:c>
      <ns0:c r="Q750" s="16">
        <ns0:f>(F750+H750)*(1-'前提と出典'!$B$7)-J750-L750-N750</ns0:f>
        <ns0:v>636365.9471701141</ns0:v>
      </ns0:c>
      <ns0:c r="R750" s="16">
        <ns0:f>P750-E750*'前提と出典'!$E$4</ns0:f>
        <ns0:v>1510154.2074648933</ns0:v>
      </ns0:c>
      <ns0:c r="S750" s="16">
        <ns0:f>Q750-F750*'前提と出典'!$E$4</ns0:f>
        <ns0:v>472887.3848569705</ns0:v>
      </ns0:c>
      <ns0:c r="T750" s="7">
        <ns0:f>R750+S750</ns0:f>
        <ns0:v>1983041.5923218639</ns0:v>
      </ns0:c>
      <ns0:c r="U750" s="16">
        <ns0:f>P750-E750*'前提と出典'!$E$5</ns0:f>
        <ns0:v>1322619.2873911215</ns0:v>
      </ns0:c>
      <ns0:c r="V750" s="16">
        <ns0:f>Q750-F750*'前提と出典'!$E$5</ns0:f>
        <ns0:v>418394.53075258934</ns0:v>
      </ns0:c>
      <ns0:c r="W750" s="7">
        <ns0:f>U750+V750</ns0:f>
        <ns0:v>1741013.818143711</ns0:v>
      </ns0:c>
      <ns0:c r="X750" s="16">
        <ns0:f>P750-E750*'前提と出典'!$E$6</ns0:f>
        <ns0:v>1135084.3673173492</ns0:v>
      </ns0:c>
      <ns0:c r="Y750" s="16">
        <ns0:f>Q750-F750*'前提と出典'!$E$6</ns0:f>
        <ns0:v>363901.67664820806</ns0:v>
      </ns0:c>
      <ns0:c r="Z750" s="7">
        <ns0:f>X750+Y750</ns0:f>
        <ns0:v>1498986.0439655571</ns0:v>
      </ns0:c>
      <ns0:c r="AA750" s="7">
        <ns0:f>IF(T750&gt;=0,A750,1001)</ns0:f>
        <ns0:v>746</ns0:v>
      </ns0:c>
      <ns0:c r="AB750" s="7">
        <ns0:f>IF(T750&lt;0,A750,0)</ns0:f>
        <ns0:v>0</ns0:v>
      </ns0:c>
      <ns0:c r="AC750" s="16">
        <ns0:f>IF(AND(OR('前提と出典'!$C$36+'前提と出典'!$C$38=0,R750&gt;=0),OR('前提と出典'!$C$37+'前提と出典'!$C$38=0,S750&gt;=0)),0,A750)</ns0:f>
        <ns0:v>0</ns0:v>
      </ns0:c>
      <ns0:c r="AD750" s="7">
        <ns0:f>IF(W750&gt;=0,A750,1001)</ns0:f>
        <ns0:v>746</ns0:v>
      </ns0:c>
      <ns0:c r="AE750" s="7">
        <ns0:f>IF(W750&lt;0,A750,0)</ns0:f>
        <ns0:v>0</ns0:v>
      </ns0:c>
      <ns0:c r="AF750" s="16">
        <ns0:f>IF(AND(OR('前提と出典'!$C$36+'前提と出典'!$C$38=0,U750&gt;=0),OR('前提と出典'!$C$37+'前提と出典'!$C$38=0,V750&gt;=0)),0,A750)</ns0:f>
        <ns0:v>0</ns0:v>
      </ns0:c>
      <ns0:c r="AG750" s="7">
        <ns0:f>IF(Z750&gt;=0,A750,1001)</ns0:f>
        <ns0:v>746</ns0:v>
      </ns0:c>
      <ns0:c r="AH750" s="4">
        <ns0:f>IF(Z750&lt;0,A750,0)</ns0:f>
        <ns0:v>0</ns0:v>
      </ns0:c>
      <ns0:c r="AI750" s="12">
        <ns0:f>IF(AND(OR('前提と出典'!$C$36+'前提と出典'!$C$38=0,X750&gt;=0),OR('前提と出典'!$C$37+'前提と出典'!$C$38=0,Y750&gt;=0)),0,A750)</ns0:f>
        <ns0:v>0</ns0:v>
      </ns0:c>
    </ns0:row>
    <ns0:row r="751" ht="24" customHeight="1">
      <ns0:c r="A751" s="4" t="n">
        <ns0:v>747</ns0:v>
      </ns0:c>
      <ns0:c r="B751" s="12">
        <ns0:f>A751*('前提と出典'!$C$36+'前提と出典'!$C$38)</ns0:f>
        <ns0:v>522.9</ns0:v>
      </ns0:c>
      <ns0:c r="C751" s="12">
        <ns0:f>A751*('前提と出典'!$C$37+'前提と出典'!$C$38)</ns0:f>
        <ns0:v>448.2</ns0:v>
      </ns0:c>
      <ns0:c r="D751" s="16">
        <ns0:f>A751*('前提と出典'!$C$36*'契約別単価'!C5+'前提と出典'!$C$37*'契約別単価'!C6+'前提と出典'!$C$38*'契約別単価'!C7)</ns0:f>
        <ns0:v>5375.061452513966</ns0:v>
      </ns0:c>
      <ns0:c r="E751" s="16">
        <ns0:f>A751*('前提と出典'!$C$36*'契約別単価'!E5+'前提と出典'!$C$37*'契約別単価'!E6+'前提と出典'!$C$38*'契約別単価'!E7)</ns0:f>
        <ns0:v>1877863.0736609623</ns0:v>
      </ns0:c>
      <ns0:c r="F751" s="16">
        <ns0:f>A751*('前提と出典'!$C$36*'契約別単価'!F5+'前提と出典'!$C$37*'契約別単価'!F6+'前提と出典'!$C$38*'契約別単価'!F7)</ns0:f>
        <ns0:v>545659.0082570072</ns0:v>
      </ns0:c>
      <ns0:c r="G751" s="16">
        <ns0:f>A751*('前提と出典'!$C$36*'契約別単価'!G5+'前提と出典'!$C$37*'契約別単価'!G6+'前提と出典'!$C$38*'契約別単価'!G7)</ns0:f>
        <ns0:v>1486905.5865921788</ns0:v>
      </ns0:c>
      <ns0:c r="H751" s="16">
        <ns0:f>A751*('前提と出典'!$C$36*'契約別単価'!H5+'前提と出典'!$C$37*'契約別単価'!H6+'前提と出典'!$C$38*'契約別単価'!H7)</ns0:f>
        <ns0:v>516030.8127228319</ns0:v>
      </ns0:c>
      <ns0:c r="I751" s="16">
        <ns0:f>A751*('前提と出典'!$C$36*'契約別単価'!I5+'前提と出典'!$C$37*'契約別単価'!I6+'前提と出典'!$C$38*'契約別単価'!I7)</ns0:f>
        <ns0:v>31520.06145251396</ns0:v>
      </ns0:c>
      <ns0:c r="J751" s="16">
        <ns0:f>A751*('前提と出典'!$C$36*'契約別単価'!J5+'前提と出典'!$C$37*'契約別単価'!J6+'前提と出典'!$C$38*'契約別単価'!J7)</ns0:f>
        <ns0:v>73422.28915159602</ns0:v>
      </ns0:c>
      <ns0:c r="K751" s="16">
        <ns0:f>A751*('前提と出典'!$C$36*'契約別単価'!K5+'前提と出典'!$C$37*'契約別単価'!K6+'前提と出典'!$C$38*'契約別単価'!K7)</ns0:f>
        <ns0:v>314713.74301675975</ns0:v>
      </ns0:c>
      <ns0:c r="L751" s="16">
        <ns0:f>A751*('前提と出典'!$C$36*'契約別単価'!L5+'前提と出典'!$C$37*'契約別単価'!L6+'前提と出典'!$C$38*'契約別単価'!L7)</ns0:f>
        <ns0:v>256241.02709076105</ns0:v>
      </ns0:c>
      <ns0:c r="M751" s="16">
        <ns0:f>IF(('前提と出典'!$C$36+'前提と出典'!$C$38)=0,0,IF(B751&lt;=10,'前提と出典'!B73+'前提と出典'!C73,IF(B751&lt;=100,'前提と出典'!B74+'前提と出典'!C74,IF(B751&lt;=500,'前提と出典'!B75+'前提と出典'!C75,'前提と出典'!B76+'前提と出典'!C76))))</ns0:f>
        <ns0:v>80000</ns0:v>
      </ns0:c>
      <ns0:c r="N751" s="16">
        <ns0:f>IF(('前提と出典'!$C$37+'前提と出典'!$C$38)=0,0,IF(C751&lt;=10,'前提と出典'!D73+'前提と出典'!E73,IF(C751&lt;=100,'前提と出典'!D74+'前提と出典'!E74,IF(C751&lt;=500,'前提と出典'!D75+'前提と出典'!E75,'前提と出典'!D76+'前提と出典'!E76))))</ns0:f>
        <ns0:v>56510.9346263078</ns0:v>
      </ns0:c>
      <ns0:c r="O751" s="16">
        <ns0:f>IF('前提と出典'!$C$36+'前提と出典'!$C$38=0,0,'前提と出典'!$B$4*IF('前提と出典'!$B$20=0,MAX('前提と出典'!$B$6,D751*'前提と出典'!$B$5),'前提と出典'!$B$6+D751*'前提と出典'!$B$5))</ns0:f>
        <ns0:v>741758.4804469274</ns0:v>
      </ns0:c>
      <ns0:c r="P751" s="16">
        <ns0:f>(E751+G751)*(1-'前提と出典'!$B$7)-I751-K751-M751-O751</ns0:f>
        <ns0:v>2075644.703567827</ns0:v>
      </ns0:c>
      <ns0:c r="Q751" s="16">
        <ns0:f>(F751+H751)*(1-'前提と出典'!$B$7)-J751-L751-N751</ns0:f>
        <ns0:v>637294.7365559002</ns0:v>
      </ns0:c>
      <ns0:c r="R751" s="16">
        <ns0:f>P751-E751*'前提と出典'!$E$4</ns0:f>
        <ns0:v>1512285.7814695379</ns0:v>
      </ns0:c>
      <ns0:c r="S751" s="16">
        <ns0:f>Q751-F751*'前提と出典'!$E$4</ns0:f>
        <ns0:v>473597.034078798</ns0:v>
      </ns0:c>
      <ns0:c r="T751" s="7">
        <ns0:f>R751+S751</ns0:f>
        <ns0:v>1985882.815548336</ns0:v>
      </ns0:c>
      <ns0:c r="U751" s="16">
        <ns0:f>P751-E751*'前提と出典'!$E$5</ns0:f>
        <ns0:v>1324499.474103442</ns0:v>
      </ns0:c>
      <ns0:c r="V751" s="16">
        <ns0:f>Q751-F751*'前提と出典'!$E$5</ns0:f>
        <ns0:v>419031.13325309724</ns0:v>
      </ns0:c>
      <ns0:c r="W751" s="7">
        <ns0:f>U751+V751</ns0:f>
        <ns0:v>1743530.6073565392</ns0:v>
      </ns0:c>
      <ns0:c r="X751" s="16">
        <ns0:f>P751-E751*'前提と出典'!$E$6</ns0:f>
        <ns0:v>1136713.1667373455</ns0:v>
      </ns0:c>
      <ns0:c r="Y751" s="16">
        <ns0:f>Q751-F751*'前提と出典'!$E$6</ns0:f>
        <ns0:v>364465.2324273965</ns0:v>
      </ns0:c>
      <ns0:c r="Z751" s="7">
        <ns0:f>X751+Y751</ns0:f>
        <ns0:v>1501178.399164742</ns0:v>
      </ns0:c>
      <ns0:c r="AA751" s="7">
        <ns0:f>IF(T751&gt;=0,A751,1001)</ns0:f>
        <ns0:v>747</ns0:v>
      </ns0:c>
      <ns0:c r="AB751" s="7">
        <ns0:f>IF(T751&lt;0,A751,0)</ns0:f>
        <ns0:v>0</ns0:v>
      </ns0:c>
      <ns0:c r="AC751" s="16">
        <ns0:f>IF(AND(OR('前提と出典'!$C$36+'前提と出典'!$C$38=0,R751&gt;=0),OR('前提と出典'!$C$37+'前提と出典'!$C$38=0,S751&gt;=0)),0,A751)</ns0:f>
        <ns0:v>0</ns0:v>
      </ns0:c>
      <ns0:c r="AD751" s="7">
        <ns0:f>IF(W751&gt;=0,A751,1001)</ns0:f>
        <ns0:v>747</ns0:v>
      </ns0:c>
      <ns0:c r="AE751" s="7">
        <ns0:f>IF(W751&lt;0,A751,0)</ns0:f>
        <ns0:v>0</ns0:v>
      </ns0:c>
      <ns0:c r="AF751" s="16">
        <ns0:f>IF(AND(OR('前提と出典'!$C$36+'前提と出典'!$C$38=0,U751&gt;=0),OR('前提と出典'!$C$37+'前提と出典'!$C$38=0,V751&gt;=0)),0,A751)</ns0:f>
        <ns0:v>0</ns0:v>
      </ns0:c>
      <ns0:c r="AG751" s="7">
        <ns0:f>IF(Z751&gt;=0,A751,1001)</ns0:f>
        <ns0:v>747</ns0:v>
      </ns0:c>
      <ns0:c r="AH751" s="4">
        <ns0:f>IF(Z751&lt;0,A751,0)</ns0:f>
        <ns0:v>0</ns0:v>
      </ns0:c>
      <ns0:c r="AI751" s="12">
        <ns0:f>IF(AND(OR('前提と出典'!$C$36+'前提と出典'!$C$38=0,X751&gt;=0),OR('前提と出典'!$C$37+'前提と出典'!$C$38=0,Y751&gt;=0)),0,A751)</ns0:f>
        <ns0:v>0</ns0:v>
      </ns0:c>
    </ns0:row>
    <ns0:row r="752" ht="24" customHeight="1">
      <ns0:c r="A752" s="4" t="n">
        <ns0:v>748</ns0:v>
      </ns0:c>
      <ns0:c r="B752" s="12">
        <ns0:f>A752*('前提と出典'!$C$36+'前提と出典'!$C$38)</ns0:f>
        <ns0:v>523.6</ns0:v>
      </ns0:c>
      <ns0:c r="C752" s="12">
        <ns0:f>A752*('前提と出典'!$C$37+'前提と出典'!$C$38)</ns0:f>
        <ns0:v>448.8</ns0:v>
      </ns0:c>
      <ns0:c r="D752" s="16">
        <ns0:f>A752*('前提と出典'!$C$36*'契約別単価'!C5+'前提と出典'!$C$37*'契約別単価'!C6+'前提と出典'!$C$38*'契約別単価'!C7)</ns0:f>
        <ns0:v>5382.256983240223</ns0:v>
      </ns0:c>
      <ns0:c r="E752" s="16">
        <ns0:f>A752*('前提と出典'!$C$36*'契約別単価'!E5+'前提と出典'!$C$37*'契約別単価'!E6+'前提と出典'!$C$38*'契約別単価'!E7)</ns0:f>
        <ns0:v>1880376.946584203</ns0:v>
      </ns0:c>
      <ns0:c r="F752" s="16">
        <ns0:f>A752*('前提と出典'!$C$36*'契約別単価'!F5+'前提と出典'!$C$37*'契約別単価'!F6+'前提と出典'!$C$38*'契約別単価'!F7)</ns0:f>
        <ns0:v>546389.4754702027</ns0:v>
      </ns0:c>
      <ns0:c r="G752" s="16">
        <ns0:f>A752*('前提と出典'!$C$36*'契約別単価'!G5+'前提と出典'!$C$37*'契約別単価'!G6+'前提と出典'!$C$38*'契約別単価'!G7)</ns0:f>
        <ns0:v>1488896.0893854748</ns0:v>
      </ns0:c>
      <ns0:c r="H752" s="16">
        <ns0:f>A752*('前提と出典'!$C$36*'契約別単価'!H5+'前提と出典'!$C$37*'契約別単価'!H6+'前提と出典'!$C$38*'契約別単価'!H7)</ns0:f>
        <ns0:v>516721.6170236657</ns0:v>
      </ns0:c>
      <ns0:c r="I752" s="16">
        <ns0:f>A752*('前提と出典'!$C$36*'契約別単価'!I5+'前提と出典'!$C$37*'契約別単価'!I6+'前提と出典'!$C$38*'契約別単価'!I7)</ns0:f>
        <ns0:v>31562.25698324022</ns0:v>
      </ns0:c>
      <ns0:c r="J752" s="16">
        <ns0:f>A752*('前提と出典'!$C$36*'契約別単価'!J5+'前提と出典'!$C$37*'契約別単価'!J6+'前提と出典'!$C$38*'契約別単価'!J7)</ns0:f>
        <ns0:v>73520.57869530632</ns0:v>
      </ns0:c>
      <ns0:c r="K752" s="16">
        <ns0:f>A752*('前提と出典'!$C$36*'契約別単価'!K5+'前提と出典'!$C$37*'契約別単価'!K6+'前提と出典'!$C$38*'契約別単価'!K7)</ns0:f>
        <ns0:v>315135.0465549348</ns0:v>
      </ns0:c>
      <ns0:c r="L752" s="16">
        <ns0:f>A752*('前提と出典'!$C$36*'契約別単価'!L5+'前提と出典'!$C$37*'契約別単価'!L6+'前提と出典'!$C$38*'契約別単価'!L7)</ns0:f>
        <ns0:v>256584.05390078886</ns0:v>
      </ns0:c>
      <ns0:c r="M752" s="16">
        <ns0:f>IF(('前提と出典'!$C$36+'前提と出典'!$C$38)=0,0,IF(B752&lt;=10,'前提と出典'!B73+'前提と出典'!C73,IF(B752&lt;=100,'前提と出典'!B74+'前提と出典'!C74,IF(B752&lt;=500,'前提と出典'!B75+'前提と出典'!C75,'前提と出典'!B76+'前提と出典'!C76))))</ns0:f>
        <ns0:v>80000</ns0:v>
      </ns0:c>
      <ns0:c r="N752" s="16">
        <ns0:f>IF(('前提と出典'!$C$37+'前提と出典'!$C$38)=0,0,IF(C752&lt;=10,'前提と出典'!D73+'前提と出典'!E73,IF(C752&lt;=100,'前提と出典'!D74+'前提と出典'!E74,IF(C752&lt;=500,'前提と出典'!D75+'前提と出典'!E75,'前提と出典'!D76+'前提と出典'!E76))))</ns0:f>
        <ns0:v>56510.9346263078</ns0:v>
      </ns0:c>
      <ns0:c r="O752" s="16">
        <ns0:f>IF('前提と出典'!$C$36+'前提と出典'!$C$38=0,0,'前提と出典'!$B$4*IF('前提と出典'!$B$20=0,MAX('前提と出典'!$B$6,D752*'前提と出典'!$B$5),'前提と出典'!$B$6+D752*'前提と出典'!$B$5))</ns0:f>
        <ns0:v>742751.4636871509</ns0:v>
      </ns0:c>
      <ns0:c r="P752" s="16">
        <ns0:f>(E752+G752)*(1-'前提と出典'!$B$7)-I752-K752-M752-O752</ns0:f>
        <ns0:v>2078530.439449444</ns0:v>
      </ns0:c>
      <ns0:c r="Q752" s="16">
        <ns0:f>(F752+H752)*(1-'前提と出典'!$B$7)-J752-L752-N752</ns0:f>
        <ns0:v>638223.5259416861</ns0:v>
      </ns0:c>
      <ns0:c r="R752" s="16">
        <ns0:f>P752-E752*'前提と出典'!$E$4</ns0:f>
        <ns0:v>1514417.3554741833</ns0:v>
      </ns0:c>
      <ns0:c r="S752" s="16">
        <ns0:f>Q752-F752*'前提と出典'!$E$4</ns0:f>
        <ns0:v>474306.6833006253</ns0:v>
      </ns0:c>
      <ns0:c r="T752" s="7">
        <ns0:f>R752+S752</ns0:f>
        <ns0:v>1988724.0387748086</ns0:v>
      </ns0:c>
      <ns0:c r="U752" s="16">
        <ns0:f>P752-E752*'前提と出典'!$E$5</ns0:f>
        <ns0:v>1326379.6608157628</ns0:v>
      </ns0:c>
      <ns0:c r="V752" s="16">
        <ns0:f>Q752-F752*'前提と出典'!$E$5</ns0:f>
        <ns0:v>419667.735753605</ns0:v>
      </ns0:c>
      <ns0:c r="W752" s="7">
        <ns0:f>U752+V752</ns0:f>
        <ns0:v>1746047.396569368</ns0:v>
      </ns0:c>
      <ns0:c r="X752" s="16">
        <ns0:f>P752-E752*'前提と出典'!$E$6</ns0:f>
        <ns0:v>1138341.9661573423</ns0:v>
      </ns0:c>
      <ns0:c r="Y752" s="16">
        <ns0:f>Q752-F752*'前提と出典'!$E$6</ns0:f>
        <ns0:v>365028.78820658475</ns0:v>
      </ns0:c>
      <ns0:c r="Z752" s="7">
        <ns0:f>X752+Y752</ns0:f>
        <ns0:v>1503370.754363927</ns0:v>
      </ns0:c>
      <ns0:c r="AA752" s="7">
        <ns0:f>IF(T752&gt;=0,A752,1001)</ns0:f>
        <ns0:v>748</ns0:v>
      </ns0:c>
      <ns0:c r="AB752" s="7">
        <ns0:f>IF(T752&lt;0,A752,0)</ns0:f>
        <ns0:v>0</ns0:v>
      </ns0:c>
      <ns0:c r="AC752" s="16">
        <ns0:f>IF(AND(OR('前提と出典'!$C$36+'前提と出典'!$C$38=0,R752&gt;=0),OR('前提と出典'!$C$37+'前提と出典'!$C$38=0,S752&gt;=0)),0,A752)</ns0:f>
        <ns0:v>0</ns0:v>
      </ns0:c>
      <ns0:c r="AD752" s="7">
        <ns0:f>IF(W752&gt;=0,A752,1001)</ns0:f>
        <ns0:v>748</ns0:v>
      </ns0:c>
      <ns0:c r="AE752" s="7">
        <ns0:f>IF(W752&lt;0,A752,0)</ns0:f>
        <ns0:v>0</ns0:v>
      </ns0:c>
      <ns0:c r="AF752" s="16">
        <ns0:f>IF(AND(OR('前提と出典'!$C$36+'前提と出典'!$C$38=0,U752&gt;=0),OR('前提と出典'!$C$37+'前提と出典'!$C$38=0,V752&gt;=0)),0,A752)</ns0:f>
        <ns0:v>0</ns0:v>
      </ns0:c>
      <ns0:c r="AG752" s="7">
        <ns0:f>IF(Z752&gt;=0,A752,1001)</ns0:f>
        <ns0:v>748</ns0:v>
      </ns0:c>
      <ns0:c r="AH752" s="4">
        <ns0:f>IF(Z752&lt;0,A752,0)</ns0:f>
        <ns0:v>0</ns0:v>
      </ns0:c>
      <ns0:c r="AI752" s="12">
        <ns0:f>IF(AND(OR('前提と出典'!$C$36+'前提と出典'!$C$38=0,X752&gt;=0),OR('前提と出典'!$C$37+'前提と出典'!$C$38=0,Y752&gt;=0)),0,A752)</ns0:f>
        <ns0:v>0</ns0:v>
      </ns0:c>
    </ns0:row>
    <ns0:row r="753" ht="24" customHeight="1">
      <ns0:c r="A753" s="4" t="n">
        <ns0:v>749</ns0:v>
      </ns0:c>
      <ns0:c r="B753" s="12">
        <ns0:f>A753*('前提と出典'!$C$36+'前提と出典'!$C$38)</ns0:f>
        <ns0:v>524.3</ns0:v>
      </ns0:c>
      <ns0:c r="C753" s="12">
        <ns0:f>A753*('前提と出典'!$C$37+'前提と出典'!$C$38)</ns0:f>
        <ns0:v>449.4</ns0:v>
      </ns0:c>
      <ns0:c r="D753" s="16">
        <ns0:f>A753*('前提と出典'!$C$36*'契約別単価'!C5+'前提と出典'!$C$37*'契約別単価'!C6+'前提と出典'!$C$38*'契約別単価'!C7)</ns0:f>
        <ns0:v>5389.45251396648</ns0:v>
      </ns0:c>
      <ns0:c r="E753" s="16">
        <ns0:f>A753*('前提と出典'!$C$36*'契約別単価'!E5+'前提と出典'!$C$37*'契約別単価'!E6+'前提と出典'!$C$38*'契約別単価'!E7)</ns0:f>
        <ns0:v>1882890.819507444</ns0:v>
      </ns0:c>
      <ns0:c r="F753" s="16">
        <ns0:f>A753*('前提と出典'!$C$36*'契約別単価'!F5+'前提と出典'!$C$37*'契約別単価'!F6+'前提と出典'!$C$38*'契約別単価'!F7)</ns0:f>
        <ns0:v>547119.9426833981</ns0:v>
      </ns0:c>
      <ns0:c r="G753" s="16">
        <ns0:f>A753*('前提と出典'!$C$36*'契約別単価'!G5+'前提と出典'!$C$37*'契約別単価'!G6+'前提と出典'!$C$38*'契約別単価'!G7)</ns0:f>
        <ns0:v>1490886.5921787708</ns0:v>
      </ns0:c>
      <ns0:c r="H753" s="16">
        <ns0:f>A753*('前提と出典'!$C$36*'契約別単価'!H5+'前提と出典'!$C$37*'契約別単価'!H6+'前提と出典'!$C$38*'契約別単価'!H7)</ns0:f>
        <ns0:v>517412.4213244995</ns0:v>
      </ns0:c>
      <ns0:c r="I753" s="16">
        <ns0:f>A753*('前提と出典'!$C$36*'契約別単価'!I5+'前提と出典'!$C$37*'契約別単価'!I6+'前提と出典'!$C$38*'契約別単価'!I7)</ns0:f>
        <ns0:v>31604.452513966477</ns0:v>
      </ns0:c>
      <ns0:c r="J753" s="16">
        <ns0:f>A753*('前提と出典'!$C$36*'契約別単価'!J5+'前提と出典'!$C$37*'契約別単価'!J6+'前提と出典'!$C$38*'契約別単価'!J7)</ns0:f>
        <ns0:v>73618.86823901662</ns0:v>
      </ns0:c>
      <ns0:c r="K753" s="16">
        <ns0:f>A753*('前提と出典'!$C$36*'契約別単価'!K5+'前提と出典'!$C$37*'契約別単価'!K6+'前提と出典'!$C$38*'契約別単価'!K7)</ns0:f>
        <ns0:v>315556.3500931098</ns0:v>
      </ns0:c>
      <ns0:c r="L753" s="16">
        <ns0:f>A753*('前提と出典'!$C$36*'契約別単価'!L5+'前提と出典'!$C$37*'契約別単価'!L6+'前提と出典'!$C$38*'契約別単価'!L7)</ns0:f>
        <ns0:v>256927.08071081663</ns0:v>
      </ns0:c>
      <ns0:c r="M753" s="16">
        <ns0:f>IF(('前提と出典'!$C$36+'前提と出典'!$C$38)=0,0,IF(B753&lt;=10,'前提と出典'!B73+'前提と出典'!C73,IF(B753&lt;=100,'前提と出典'!B74+'前提と出典'!C74,IF(B753&lt;=500,'前提と出典'!B75+'前提と出典'!C75,'前提と出典'!B76+'前提と出典'!C76))))</ns0:f>
        <ns0:v>80000</ns0:v>
      </ns0:c>
      <ns0:c r="N753" s="16">
        <ns0:f>IF(('前提と出典'!$C$37+'前提と出典'!$C$38)=0,0,IF(C753&lt;=10,'前提と出典'!D73+'前提と出典'!E73,IF(C753&lt;=100,'前提と出典'!D74+'前提と出典'!E74,IF(C753&lt;=500,'前提と出典'!D75+'前提と出典'!E75,'前提と出典'!D76+'前提と出典'!E76))))</ns0:f>
        <ns0:v>56510.9346263078</ns0:v>
      </ns0:c>
      <ns0:c r="O753" s="16">
        <ns0:f>IF('前提と出典'!$C$36+'前提と出典'!$C$38=0,0,'前提と出典'!$B$4*IF('前提と出典'!$B$20=0,MAX('前提と出典'!$B$6,D753*'前提と出典'!$B$5),'前提と出典'!$B$6+D753*'前提と出典'!$B$5))</ns0:f>
        <ns0:v>743744.4469273743</ns0:v>
      </ns0:c>
      <ns0:c r="P753" s="16">
        <ns0:f>(E753+G753)*(1-'前提と出典'!$B$7)-I753-K753-M753-O753</ns0:f>
        <ns0:v>2081416.1753310603</ns0:v>
      </ns0:c>
      <ns0:c r="Q753" s="16">
        <ns0:f>(F753+H753)*(1-'前提と出典'!$B$7)-J753-L753-N753</ns0:f>
        <ns0:v>639152.3153274723</ns0:v>
      </ns0:c>
      <ns0:c r="R753" s="16">
        <ns0:f>P753-E753*'前提と出典'!$E$4</ns0:f>
        <ns0:v>1516548.9294788274</ns0:v>
      </ns0:c>
      <ns0:c r="S753" s="16">
        <ns0:f>Q753-F753*'前提と出典'!$E$4</ns0:f>
        <ns0:v>475016.3325224528</ns0:v>
      </ns0:c>
      <ns0:c r="T753" s="7">
        <ns0:f>R753+S753</ns0:f>
        <ns0:v>1991565.2620012802</ns0:v>
      </ns0:c>
      <ns0:c r="U753" s="16">
        <ns0:f>P753-E753*'前提と出典'!$E$5</ns0:f>
        <ns0:v>1328259.8475280828</ns0:v>
      </ns0:c>
      <ns0:c r="V753" s="16">
        <ns0:f>Q753-F753*'前提と出典'!$E$5</ns0:f>
        <ns0:v>420304.338254113</ns0:v>
      </ns0:c>
      <ns0:c r="W753" s="7">
        <ns0:f>U753+V753</ns0:f>
        <ns0:v>1748564.1857821958</ns0:v>
      </ns0:c>
      <ns0:c r="X753" s="16">
        <ns0:f>P753-E753*'前提と出典'!$E$6</ns0:f>
        <ns0:v>1139970.7655773382</ns0:v>
      </ns0:c>
      <ns0:c r="Y753" s="16">
        <ns0:f>Q753-F753*'前提と出典'!$E$6</ns0:f>
        <ns0:v>365592.34398577316</ns0:v>
      </ns0:c>
      <ns0:c r="Z753" s="7">
        <ns0:f>X753+Y753</ns0:f>
        <ns0:v>1505563.1095631113</ns0:v>
      </ns0:c>
      <ns0:c r="AA753" s="7">
        <ns0:f>IF(T753&gt;=0,A753,1001)</ns0:f>
        <ns0:v>749</ns0:v>
      </ns0:c>
      <ns0:c r="AB753" s="7">
        <ns0:f>IF(T753&lt;0,A753,0)</ns0:f>
        <ns0:v>0</ns0:v>
      </ns0:c>
      <ns0:c r="AC753" s="16">
        <ns0:f>IF(AND(OR('前提と出典'!$C$36+'前提と出典'!$C$38=0,R753&gt;=0),OR('前提と出典'!$C$37+'前提と出典'!$C$38=0,S753&gt;=0)),0,A753)</ns0:f>
        <ns0:v>0</ns0:v>
      </ns0:c>
      <ns0:c r="AD753" s="7">
        <ns0:f>IF(W753&gt;=0,A753,1001)</ns0:f>
        <ns0:v>749</ns0:v>
      </ns0:c>
      <ns0:c r="AE753" s="7">
        <ns0:f>IF(W753&lt;0,A753,0)</ns0:f>
        <ns0:v>0</ns0:v>
      </ns0:c>
      <ns0:c r="AF753" s="16">
        <ns0:f>IF(AND(OR('前提と出典'!$C$36+'前提と出典'!$C$38=0,U753&gt;=0),OR('前提と出典'!$C$37+'前提と出典'!$C$38=0,V753&gt;=0)),0,A753)</ns0:f>
        <ns0:v>0</ns0:v>
      </ns0:c>
      <ns0:c r="AG753" s="7">
        <ns0:f>IF(Z753&gt;=0,A753,1001)</ns0:f>
        <ns0:v>749</ns0:v>
      </ns0:c>
      <ns0:c r="AH753" s="4">
        <ns0:f>IF(Z753&lt;0,A753,0)</ns0:f>
        <ns0:v>0</ns0:v>
      </ns0:c>
      <ns0:c r="AI753" s="12">
        <ns0:f>IF(AND(OR('前提と出典'!$C$36+'前提と出典'!$C$38=0,X753&gt;=0),OR('前提と出典'!$C$37+'前提と出典'!$C$38=0,Y753&gt;=0)),0,A753)</ns0:f>
        <ns0:v>0</ns0:v>
      </ns0:c>
    </ns0:row>
    <ns0:row r="754" ht="24" customHeight="1">
      <ns0:c r="A754" s="4" t="n">
        <ns0:v>750</ns0:v>
      </ns0:c>
      <ns0:c r="B754" s="12">
        <ns0:f>A754*('前提と出典'!$C$36+'前提と出典'!$C$38)</ns0:f>
        <ns0:v>525</ns0:v>
      </ns0:c>
      <ns0:c r="C754" s="12">
        <ns0:f>A754*('前提と出典'!$C$37+'前提と出典'!$C$38)</ns0:f>
        <ns0:v>450</ns0:v>
      </ns0:c>
      <ns0:c r="D754" s="16">
        <ns0:f>A754*('前提と出典'!$C$36*'契約別単価'!C5+'前提と出典'!$C$37*'契約別単価'!C6+'前提と出典'!$C$38*'契約別単価'!C7)</ns0:f>
        <ns0:v>5396.648044692737</ns0:v>
      </ns0:c>
      <ns0:c r="E754" s="16">
        <ns0:f>A754*('前提と出典'!$C$36*'契約別単価'!E5+'前提と出典'!$C$37*'契約別単価'!E6+'前提と出典'!$C$38*'契約別単価'!E7)</ns0:f>
        <ns0:v>1885404.6924306848</ns0:v>
      </ns0:c>
      <ns0:c r="F754" s="16">
        <ns0:f>A754*('前提と出典'!$C$36*'契約別単価'!F5+'前提と出典'!$C$37*'契約別単価'!F6+'前提と出典'!$C$38*'契約別単価'!F7)</ns0:f>
        <ns0:v>547850.4098965937</ns0:v>
      </ns0:c>
      <ns0:c r="G754" s="16">
        <ns0:f>A754*('前提と出典'!$C$36*'契約別単価'!G5+'前提と出典'!$C$37*'契約別単価'!G6+'前提と出典'!$C$38*'契約別単価'!G7)</ns0:f>
        <ns0:v>1492877.094972067</ns0:v>
      </ns0:c>
      <ns0:c r="H754" s="16">
        <ns0:f>A754*('前提と出典'!$C$36*'契約別単価'!H5+'前提と出典'!$C$37*'契約別単価'!H6+'前提と出典'!$C$38*'契約別単価'!H7)</ns0:f>
        <ns0:v>518103.22562533326</ns0:v>
      </ns0:c>
      <ns0:c r="I754" s="16">
        <ns0:f>A754*('前提と出典'!$C$36*'契約別単価'!I5+'前提と出典'!$C$37*'契約別単価'!I6+'前提と出典'!$C$38*'契約別単価'!I7)</ns0:f>
        <ns0:v>31646.64804469273</ns0:v>
      </ns0:c>
      <ns0:c r="J754" s="16">
        <ns0:f>A754*('前提と出典'!$C$36*'契約別単価'!J5+'前提と出典'!$C$37*'契約別単価'!J6+'前提と出典'!$C$38*'契約別単価'!J7)</ns0:f>
        <ns0:v>73717.15778272692</ns0:v>
      </ns0:c>
      <ns0:c r="K754" s="16">
        <ns0:f>A754*('前提と出典'!$C$36*'契約別単価'!K5+'前提と出典'!$C$37*'契約別単価'!K6+'前提と出典'!$C$38*'契約別単価'!K7)</ns0:f>
        <ns0:v>315977.6536312849</ns0:v>
      </ns0:c>
      <ns0:c r="L754" s="16">
        <ns0:f>A754*('前提と出典'!$C$36*'契約別単価'!L5+'前提と出典'!$C$37*'契約別単価'!L6+'前提と出典'!$C$38*'契約別単価'!L7)</ns0:f>
        <ns0:v>257270.10752084444</ns0:v>
      </ns0:c>
      <ns0:c r="M754" s="16">
        <ns0:f>IF(('前提と出典'!$C$36+'前提と出典'!$C$38)=0,0,IF(B754&lt;=10,'前提と出典'!B73+'前提と出典'!C73,IF(B754&lt;=100,'前提と出典'!B74+'前提と出典'!C74,IF(B754&lt;=500,'前提と出典'!B75+'前提と出典'!C75,'前提と出典'!B76+'前提と出典'!C76))))</ns0:f>
        <ns0:v>80000</ns0:v>
      </ns0:c>
      <ns0:c r="N754" s="16">
        <ns0:f>IF(('前提と出典'!$C$37+'前提と出典'!$C$38)=0,0,IF(C754&lt;=10,'前提と出典'!D73+'前提と出典'!E73,IF(C754&lt;=100,'前提と出典'!D74+'前提と出典'!E74,IF(C754&lt;=500,'前提と出典'!D75+'前提と出典'!E75,'前提と出典'!D76+'前提と出典'!E76))))</ns0:f>
        <ns0:v>56510.9346263078</ns0:v>
      </ns0:c>
      <ns0:c r="O754" s="16">
        <ns0:f>IF('前提と出典'!$C$36+'前提と出典'!$C$38=0,0,'前提と出典'!$B$4*IF('前提と出典'!$B$20=0,MAX('前提と出典'!$B$6,D754*'前提と出典'!$B$5),'前提と出典'!$B$6+D754*'前提と出典'!$B$5))</ns0:f>
        <ns0:v>744737.4301675977</ns0:v>
      </ns0:c>
      <ns0:c r="P754" s="16">
        <ns0:f>(E754+G754)*(1-'前提と出典'!$B$7)-I754-K754-M754-O754</ns0:f>
        <ns0:v>2084301.9112126776</ns0:v>
      </ns0:c>
      <ns0:c r="Q754" s="16">
        <ns0:f>(F754+H754)*(1-'前提と出典'!$B$7)-J754-L754-N754</ns0:f>
        <ns0:v>640081.1047132583</ns0:v>
      </ns0:c>
      <ns0:c r="R754" s="16">
        <ns0:f>P754-E754*'前提と出典'!$E$4</ns0:f>
        <ns0:v>1518680.503483472</ns0:v>
      </ns0:c>
      <ns0:c r="S754" s="16">
        <ns0:f>Q754-F754*'前提と出典'!$E$4</ns0:f>
        <ns0:v>475725.9817442802</ns0:v>
      </ns0:c>
      <ns0:c r="T754" s="7">
        <ns0:f>R754+S754</ns0:f>
        <ns0:v>1994406.485227752</ns0:v>
      </ns0:c>
      <ns0:c r="U754" s="16">
        <ns0:f>P754-E754*'前提と出典'!$E$5</ns0:f>
        <ns0:v>1330140.0342404037</ns0:v>
      </ns0:c>
      <ns0:c r="V754" s="16">
        <ns0:f>Q754-F754*'前提と出典'!$E$5</ns0:f>
        <ns0:v>420940.9407546208</ns0:v>
      </ns0:c>
      <ns0:c r="W754" s="7">
        <ns0:f>U754+V754</ns0:f>
        <ns0:v>1751080.9749950245</ns0:v>
      </ns0:c>
      <ns0:c r="X754" s="16">
        <ns0:f>P754-E754*'前提と出典'!$E$6</ns0:f>
        <ns0:v>1141599.5649973354</ns0:v>
      </ns0:c>
      <ns0:c r="Y754" s="16">
        <ns0:f>Q754-F754*'前提と出典'!$E$6</ns0:f>
        <ns0:v>366155.89976496156</ns0:v>
      </ns0:c>
      <ns0:c r="Z754" s="7">
        <ns0:f>X754+Y754</ns0:f>
        <ns0:v>1507755.464762297</ns0:v>
      </ns0:c>
      <ns0:c r="AA754" s="7">
        <ns0:f>IF(T754&gt;=0,A754,1001)</ns0:f>
        <ns0:v>750</ns0:v>
      </ns0:c>
      <ns0:c r="AB754" s="7">
        <ns0:f>IF(T754&lt;0,A754,0)</ns0:f>
        <ns0:v>0</ns0:v>
      </ns0:c>
      <ns0:c r="AC754" s="16">
        <ns0:f>IF(AND(OR('前提と出典'!$C$36+'前提と出典'!$C$38=0,R754&gt;=0),OR('前提と出典'!$C$37+'前提と出典'!$C$38=0,S754&gt;=0)),0,A754)</ns0:f>
        <ns0:v>0</ns0:v>
      </ns0:c>
      <ns0:c r="AD754" s="7">
        <ns0:f>IF(W754&gt;=0,A754,1001)</ns0:f>
        <ns0:v>750</ns0:v>
      </ns0:c>
      <ns0:c r="AE754" s="7">
        <ns0:f>IF(W754&lt;0,A754,0)</ns0:f>
        <ns0:v>0</ns0:v>
      </ns0:c>
      <ns0:c r="AF754" s="16">
        <ns0:f>IF(AND(OR('前提と出典'!$C$36+'前提と出典'!$C$38=0,U754&gt;=0),OR('前提と出典'!$C$37+'前提と出典'!$C$38=0,V754&gt;=0)),0,A754)</ns0:f>
        <ns0:v>0</ns0:v>
      </ns0:c>
      <ns0:c r="AG754" s="7">
        <ns0:f>IF(Z754&gt;=0,A754,1001)</ns0:f>
        <ns0:v>750</ns0:v>
      </ns0:c>
      <ns0:c r="AH754" s="4">
        <ns0:f>IF(Z754&lt;0,A754,0)</ns0:f>
        <ns0:v>0</ns0:v>
      </ns0:c>
      <ns0:c r="AI754" s="12">
        <ns0:f>IF(AND(OR('前提と出典'!$C$36+'前提と出典'!$C$38=0,X754&gt;=0),OR('前提と出典'!$C$37+'前提と出典'!$C$38=0,Y754&gt;=0)),0,A754)</ns0:f>
        <ns0:v>0</ns0:v>
      </ns0:c>
    </ns0:row>
    <ns0:row r="755" ht="24" customHeight="1">
      <ns0:c r="A755" s="4" t="n">
        <ns0:v>751</ns0:v>
      </ns0:c>
      <ns0:c r="B755" s="12">
        <ns0:f>A755*('前提と出典'!$C$36+'前提と出典'!$C$38)</ns0:f>
        <ns0:v>525.6999999999999</ns0:v>
      </ns0:c>
      <ns0:c r="C755" s="12">
        <ns0:f>A755*('前提と出典'!$C$37+'前提と出典'!$C$38)</ns0:f>
        <ns0:v>450.59999999999997</ns0:v>
      </ns0:c>
      <ns0:c r="D755" s="16">
        <ns0:f>A755*('前提と出典'!$C$36*'契約別単価'!C5+'前提と出典'!$C$37*'契約別単価'!C6+'前提と出典'!$C$38*'契約別単価'!C7)</ns0:f>
        <ns0:v>5403.843575418994</ns0:v>
      </ns0:c>
      <ns0:c r="E755" s="16">
        <ns0:f>A755*('前提と出典'!$C$36*'契約別単価'!E5+'前提と出典'!$C$37*'契約別単価'!E6+'前提と出典'!$C$38*'契約別単価'!E7)</ns0:f>
        <ns0:v>1887918.5653539258</ns0:v>
      </ns0:c>
      <ns0:c r="F755" s="16">
        <ns0:f>A755*('前提と出典'!$C$36*'契約別単価'!F5+'前提と出典'!$C$37*'契約別単価'!F6+'前提と出典'!$C$38*'契約別単価'!F7)</ns0:f>
        <ns0:v>548580.877109789</ns0:v>
      </ns0:c>
      <ns0:c r="G755" s="16">
        <ns0:f>A755*('前提と出典'!$C$36*'契約別単価'!G5+'前提と出典'!$C$37*'契約別単価'!G6+'前提と出典'!$C$38*'契約別単価'!G7)</ns0:f>
        <ns0:v>1494867.597765363</ns0:v>
      </ns0:c>
      <ns0:c r="H755" s="16">
        <ns0:f>A755*('前提と出典'!$C$36*'契約別単価'!H5+'前提と出典'!$C$37*'契約別単価'!H6+'前提と出典'!$C$38*'契約別単価'!H7)</ns0:f>
        <ns0:v>518794.02992616704</ns0:v>
      </ns0:c>
      <ns0:c r="I755" s="16">
        <ns0:f>A755*('前提と出典'!$C$36*'契約別単価'!I5+'前提と出典'!$C$37*'契約別単価'!I6+'前提と出典'!$C$38*'契約別単価'!I7)</ns0:f>
        <ns0:v>31688.84357541899</ns0:v>
      </ns0:c>
      <ns0:c r="J755" s="16">
        <ns0:f>A755*('前提と出典'!$C$36*'契約別単価'!J5+'前提と出典'!$C$37*'契約別単価'!J6+'前提と出典'!$C$38*'契約別単価'!J7)</ns0:f>
        <ns0:v>73815.44732643722</ns0:v>
      </ns0:c>
      <ns0:c r="K755" s="16">
        <ns0:f>A755*('前提と出典'!$C$36*'契約別単価'!K5+'前提と出典'!$C$37*'契約別単価'!K6+'前提と出典'!$C$38*'契約別単価'!K7)</ns0:f>
        <ns0:v>316398.95716945996</ns0:v>
      </ns0:c>
      <ns0:c r="L755" s="16">
        <ns0:f>A755*('前提と出典'!$C$36*'契約別単価'!L5+'前提と出典'!$C$37*'契約別単価'!L6+'前提と出典'!$C$38*'契約別単価'!L7)</ns0:f>
        <ns0:v>257613.1343308722</ns0:v>
      </ns0:c>
      <ns0:c r="M755" s="16">
        <ns0:f>IF(('前提と出典'!$C$36+'前提と出典'!$C$38)=0,0,IF(B755&lt;=10,'前提と出典'!B73+'前提と出典'!C73,IF(B755&lt;=100,'前提と出典'!B74+'前提と出典'!C74,IF(B755&lt;=500,'前提と出典'!B75+'前提と出典'!C75,'前提と出典'!B76+'前提と出典'!C76))))</ns0:f>
        <ns0:v>80000</ns0:v>
      </ns0:c>
      <ns0:c r="N755" s="16">
        <ns0:f>IF(('前提と出典'!$C$37+'前提と出典'!$C$38)=0,0,IF(C755&lt;=10,'前提と出典'!D73+'前提と出典'!E73,IF(C755&lt;=100,'前提と出典'!D74+'前提と出典'!E74,IF(C755&lt;=500,'前提と出典'!D75+'前提と出典'!E75,'前提と出典'!D76+'前提と出典'!E76))))</ns0:f>
        <ns0:v>56510.9346263078</ns0:v>
      </ns0:c>
      <ns0:c r="O755" s="16">
        <ns0:f>IF('前提と出典'!$C$36+'前提と出典'!$C$38=0,0,'前提と出典'!$B$4*IF('前提と出典'!$B$20=0,MAX('前提と出典'!$B$6,D755*'前提と出典'!$B$5),'前提と出典'!$B$6+D755*'前提と出典'!$B$5))</ns0:f>
        <ns0:v>745730.4134078212</ns0:v>
      </ns0:c>
      <ns0:c r="P755" s="16">
        <ns0:f>(E755+G755)*(1-'前提と出典'!$B$7)-I755-K755-M755-O755</ns0:f>
        <ns0:v>2087187.6470942944</ns0:v>
      </ns0:c>
      <ns0:c r="Q755" s="16">
        <ns0:f>(F755+H755)*(1-'前提と出典'!$B$7)-J755-L755-N755</ns0:f>
        <ns0:v>641009.8940990445</ns0:v>
      </ns0:c>
      <ns0:c r="R755" s="16">
        <ns0:f>P755-E755*'前提と出典'!$E$4</ns0:f>
        <ns0:v>1520812.077488117</ns0:v>
      </ns0:c>
      <ns0:c r="S755" s="16">
        <ns0:f>Q755-F755*'前提と出典'!$E$4</ns0:f>
        <ns0:v>476435.6309661078</ns0:v>
      </ns0:c>
      <ns0:c r="T755" s="7">
        <ns0:f>R755+S755</ns0:f>
        <ns0:v>1997247.7084542247</ns0:v>
      </ns0:c>
      <ns0:c r="U755" s="16">
        <ns0:f>P755-E755*'前提と出典'!$E$5</ns0:f>
        <ns0:v>1332020.220952724</ns0:v>
      </ns0:c>
      <ns0:c r="V755" s="16">
        <ns0:f>Q755-F755*'前提と出典'!$E$5</ns0:f>
        <ns0:v>421577.5432551289</ns0:v>
      </ns0:c>
      <ns0:c r="W755" s="7">
        <ns0:f>U755+V755</ns0:f>
        <ns0:v>1753597.764207853</ns0:v>
      </ns0:c>
      <ns0:c r="X755" s="16">
        <ns0:f>P755-E755*'前提と出典'!$E$6</ns0:f>
        <ns0:v>1143228.3644173315</ns0:v>
      </ns0:c>
      <ns0:c r="Y755" s="16">
        <ns0:f>Q755-F755*'前提と出典'!$E$6</ns0:f>
        <ns0:v>366719.45554414997</ns0:v>
      </ns0:c>
      <ns0:c r="Z755" s="7">
        <ns0:f>X755+Y755</ns0:f>
        <ns0:v>1509947.8199614815</ns0:v>
      </ns0:c>
      <ns0:c r="AA755" s="7">
        <ns0:f>IF(T755&gt;=0,A755,1001)</ns0:f>
        <ns0:v>751</ns0:v>
      </ns0:c>
      <ns0:c r="AB755" s="7">
        <ns0:f>IF(T755&lt;0,A755,0)</ns0:f>
        <ns0:v>0</ns0:v>
      </ns0:c>
      <ns0:c r="AC755" s="16">
        <ns0:f>IF(AND(OR('前提と出典'!$C$36+'前提と出典'!$C$38=0,R755&gt;=0),OR('前提と出典'!$C$37+'前提と出典'!$C$38=0,S755&gt;=0)),0,A755)</ns0:f>
        <ns0:v>0</ns0:v>
      </ns0:c>
      <ns0:c r="AD755" s="7">
        <ns0:f>IF(W755&gt;=0,A755,1001)</ns0:f>
        <ns0:v>751</ns0:v>
      </ns0:c>
      <ns0:c r="AE755" s="7">
        <ns0:f>IF(W755&lt;0,A755,0)</ns0:f>
        <ns0:v>0</ns0:v>
      </ns0:c>
      <ns0:c r="AF755" s="16">
        <ns0:f>IF(AND(OR('前提と出典'!$C$36+'前提と出典'!$C$38=0,U755&gt;=0),OR('前提と出典'!$C$37+'前提と出典'!$C$38=0,V755&gt;=0)),0,A755)</ns0:f>
        <ns0:v>0</ns0:v>
      </ns0:c>
      <ns0:c r="AG755" s="7">
        <ns0:f>IF(Z755&gt;=0,A755,1001)</ns0:f>
        <ns0:v>751</ns0:v>
      </ns0:c>
      <ns0:c r="AH755" s="4">
        <ns0:f>IF(Z755&lt;0,A755,0)</ns0:f>
        <ns0:v>0</ns0:v>
      </ns0:c>
      <ns0:c r="AI755" s="12">
        <ns0:f>IF(AND(OR('前提と出典'!$C$36+'前提と出典'!$C$38=0,X755&gt;=0),OR('前提と出典'!$C$37+'前提と出典'!$C$38=0,Y755&gt;=0)),0,A755)</ns0:f>
        <ns0:v>0</ns0:v>
      </ns0:c>
    </ns0:row>
    <ns0:row r="756" ht="24" customHeight="1">
      <ns0:c r="A756" s="4" t="n">
        <ns0:v>752</ns0:v>
      </ns0:c>
      <ns0:c r="B756" s="12">
        <ns0:f>A756*('前提と出典'!$C$36+'前提と出典'!$C$38)</ns0:f>
        <ns0:v>526.4</ns0:v>
      </ns0:c>
      <ns0:c r="C756" s="12">
        <ns0:f>A756*('前提と出典'!$C$37+'前提と出典'!$C$38)</ns0:f>
        <ns0:v>451.2</ns0:v>
      </ns0:c>
      <ns0:c r="D756" s="16">
        <ns0:f>A756*('前提と出典'!$C$36*'契約別単価'!C5+'前提と出典'!$C$37*'契約別単価'!C6+'前提と出典'!$C$38*'契約別単価'!C7)</ns0:f>
        <ns0:v>5411.039106145251</ns0:v>
      </ns0:c>
      <ns0:c r="E756" s="16">
        <ns0:f>A756*('前提と出典'!$C$36*'契約別単価'!E5+'前提と出典'!$C$37*'契約別単価'!E6+'前提と出典'!$C$38*'契約別単価'!E7)</ns0:f>
        <ns0:v>1890432.4382771668</ns0:v>
      </ns0:c>
      <ns0:c r="F756" s="16">
        <ns0:f>A756*('前提と出典'!$C$36*'契約別単価'!F5+'前提と出典'!$C$37*'契約別単価'!F6+'前提と出典'!$C$38*'契約別単価'!F7)</ns0:f>
        <ns0:v>549311.3443229846</ns0:v>
      </ns0:c>
      <ns0:c r="G756" s="16">
        <ns0:f>A756*('前提と出典'!$C$36*'契約別単価'!G5+'前提と出典'!$C$37*'契約別単価'!G6+'前提と出典'!$C$38*'契約別単価'!G7)</ns0:f>
        <ns0:v>1496858.100558659</ns0:v>
      </ns0:c>
      <ns0:c r="H756" s="16">
        <ns0:f>A756*('前提と出典'!$C$36*'契約別単価'!H5+'前提と出典'!$C$37*'契約別単価'!H6+'前提と出典'!$C$38*'契約別単価'!H7)</ns0:f>
        <ns0:v>519484.8342270008</ns0:v>
      </ns0:c>
      <ns0:c r="I756" s="16">
        <ns0:f>A756*('前提と出典'!$C$36*'契約別単価'!I5+'前提と出典'!$C$37*'契約別単価'!I6+'前提と出典'!$C$38*'契約別単価'!I7)</ns0:f>
        <ns0:v>31731.039106145246</ns0:v>
      </ns0:c>
      <ns0:c r="J756" s="16">
        <ns0:f>A756*('前提と出典'!$C$36*'契約別単価'!J5+'前提と出典'!$C$37*'契約別単価'!J6+'前提と出典'!$C$38*'契約別単価'!J7)</ns0:f>
        <ns0:v>73913.73687014754</ns0:v>
      </ns0:c>
      <ns0:c r="K756" s="16">
        <ns0:f>A756*('前提と出典'!$C$36*'契約別単価'!K5+'前提と出典'!$C$37*'契約別単価'!K6+'前提と出典'!$C$38*'契約別単価'!K7)</ns0:f>
        <ns0:v>316820.26070763497</ns0:v>
      </ns0:c>
      <ns0:c r="L756" s="16">
        <ns0:f>A756*('前提と出典'!$C$36*'契約別単価'!L5+'前提と出典'!$C$37*'契約別単価'!L6+'前提と出典'!$C$38*'契約別単価'!L7)</ns0:f>
        <ns0:v>257956.16114090002</ns0:v>
      </ns0:c>
      <ns0:c r="M756" s="16">
        <ns0:f>IF(('前提と出典'!$C$36+'前提と出典'!$C$38)=0,0,IF(B756&lt;=10,'前提と出典'!B73+'前提と出典'!C73,IF(B756&lt;=100,'前提と出典'!B74+'前提と出典'!C74,IF(B756&lt;=500,'前提と出典'!B75+'前提と出典'!C75,'前提と出典'!B76+'前提と出典'!C76))))</ns0:f>
        <ns0:v>80000</ns0:v>
      </ns0:c>
      <ns0:c r="N756" s="16">
        <ns0:f>IF(('前提と出典'!$C$37+'前提と出典'!$C$38)=0,0,IF(C756&lt;=10,'前提と出典'!D73+'前提と出典'!E73,IF(C756&lt;=100,'前提と出典'!D74+'前提と出典'!E74,IF(C756&lt;=500,'前提と出典'!D75+'前提と出典'!E75,'前提と出典'!D76+'前提と出典'!E76))))</ns0:f>
        <ns0:v>56510.9346263078</ns0:v>
      </ns0:c>
      <ns0:c r="O756" s="16">
        <ns0:f>IF('前提と出典'!$C$36+'前提と出典'!$C$38=0,0,'前提と出典'!$B$4*IF('前提と出典'!$B$20=0,MAX('前提と出典'!$B$6,D756*'前提と出典'!$B$5),'前提と出典'!$B$6+D756*'前提と出典'!$B$5))</ns0:f>
        <ns0:v>746723.3966480447</ns0:v>
      </ns0:c>
      <ns0:c r="P756" s="16">
        <ns0:f>(E756+G756)*(1-'前提と出典'!$B$7)-I756-K756-M756-O756</ns0:f>
        <ns0:v>2090073.3829759113</ns0:v>
      </ns0:c>
      <ns0:c r="Q756" s="16">
        <ns0:f>(F756+H756)*(1-'前提と出典'!$B$7)-J756-L756-N756</ns0:f>
        <ns0:v>641938.6834848307</ns0:v>
      </ns0:c>
      <ns0:c r="R756" s="16">
        <ns0:f>P756-E756*'前提と出典'!$E$4</ns0:f>
        <ns0:v>1522943.6514927614</ns0:v>
      </ns0:c>
      <ns0:c r="S756" s="16">
        <ns0:f>Q756-F756*'前提と出典'!$E$4</ns0:f>
        <ns0:v>477145.28018793534</ns0:v>
      </ns0:c>
      <ns0:c r="T756" s="7">
        <ns0:f>R756+S756</ns0:f>
        <ns0:v>2000088.9316806968</ns0:v>
      </ns0:c>
      <ns0:c r="U756" s="16">
        <ns0:f>P756-E756*'前提と出典'!$E$5</ns0:f>
        <ns0:v>1333900.4076650445</ns0:v>
      </ns0:c>
      <ns0:c r="V756" s="16">
        <ns0:f>Q756-F756*'前提と出典'!$E$5</ns0:f>
        <ns0:v>422214.14575563686</ns0:v>
      </ns0:c>
      <ns0:c r="W756" s="7">
        <ns0:f>U756+V756</ns0:f>
        <ns0:v>1756114.5534206815</ns0:v>
      </ns0:c>
      <ns0:c r="X756" s="16">
        <ns0:f>P756-E756*'前提と出典'!$E$6</ns0:f>
        <ns0:v>1144857.1638373276</ns0:v>
      </ns0:c>
      <ns0:c r="Y756" s="16">
        <ns0:f>Q756-F756*'前提と出典'!$E$6</ns0:f>
        <ns0:v>367283.0113233384</ns0:v>
      </ns0:c>
      <ns0:c r="Z756" s="7">
        <ns0:f>X756+Y756</ns0:f>
        <ns0:v>1512140.175160666</ns0:v>
      </ns0:c>
      <ns0:c r="AA756" s="7">
        <ns0:f>IF(T756&gt;=0,A756,1001)</ns0:f>
        <ns0:v>752</ns0:v>
      </ns0:c>
      <ns0:c r="AB756" s="7">
        <ns0:f>IF(T756&lt;0,A756,0)</ns0:f>
        <ns0:v>0</ns0:v>
      </ns0:c>
      <ns0:c r="AC756" s="16">
        <ns0:f>IF(AND(OR('前提と出典'!$C$36+'前提と出典'!$C$38=0,R756&gt;=0),OR('前提と出典'!$C$37+'前提と出典'!$C$38=0,S756&gt;=0)),0,A756)</ns0:f>
        <ns0:v>0</ns0:v>
      </ns0:c>
      <ns0:c r="AD756" s="7">
        <ns0:f>IF(W756&gt;=0,A756,1001)</ns0:f>
        <ns0:v>752</ns0:v>
      </ns0:c>
      <ns0:c r="AE756" s="7">
        <ns0:f>IF(W756&lt;0,A756,0)</ns0:f>
        <ns0:v>0</ns0:v>
      </ns0:c>
      <ns0:c r="AF756" s="16">
        <ns0:f>IF(AND(OR('前提と出典'!$C$36+'前提と出典'!$C$38=0,U756&gt;=0),OR('前提と出典'!$C$37+'前提と出典'!$C$38=0,V756&gt;=0)),0,A756)</ns0:f>
        <ns0:v>0</ns0:v>
      </ns0:c>
      <ns0:c r="AG756" s="7">
        <ns0:f>IF(Z756&gt;=0,A756,1001)</ns0:f>
        <ns0:v>752</ns0:v>
      </ns0:c>
      <ns0:c r="AH756" s="4">
        <ns0:f>IF(Z756&lt;0,A756,0)</ns0:f>
        <ns0:v>0</ns0:v>
      </ns0:c>
      <ns0:c r="AI756" s="12">
        <ns0:f>IF(AND(OR('前提と出典'!$C$36+'前提と出典'!$C$38=0,X756&gt;=0),OR('前提と出典'!$C$37+'前提と出典'!$C$38=0,Y756&gt;=0)),0,A756)</ns0:f>
        <ns0:v>0</ns0:v>
      </ns0:c>
    </ns0:row>
    <ns0:row r="757" ht="24" customHeight="1">
      <ns0:c r="A757" s="4" t="n">
        <ns0:v>753</ns0:v>
      </ns0:c>
      <ns0:c r="B757" s="12">
        <ns0:f>A757*('前提と出典'!$C$36+'前提と出典'!$C$38)</ns0:f>
        <ns0:v>527.1</ns0:v>
      </ns0:c>
      <ns0:c r="C757" s="12">
        <ns0:f>A757*('前提と出典'!$C$37+'前提と出典'!$C$38)</ns0:f>
        <ns0:v>451.8</ns0:v>
      </ns0:c>
      <ns0:c r="D757" s="16">
        <ns0:f>A757*('前提と出典'!$C$36*'契約別単価'!C5+'前提と出典'!$C$37*'契約別単価'!C6+'前提と出典'!$C$38*'契約別単価'!C7)</ns0:f>
        <ns0:v>5418.234636871508</ns0:v>
      </ns0:c>
      <ns0:c r="E757" s="16">
        <ns0:f>A757*('前提と出典'!$C$36*'契約別単価'!E5+'前提と出典'!$C$37*'契約別単価'!E6+'前提と出典'!$C$38*'契約別単価'!E7)</ns0:f>
        <ns0:v>1892946.3112004076</ns0:v>
      </ns0:c>
      <ns0:c r="F757" s="16">
        <ns0:f>A757*('前提と出典'!$C$36*'契約別単価'!F5+'前提と出典'!$C$37*'契約別単価'!F6+'前提と出典'!$C$38*'契約別単価'!F7)</ns0:f>
        <ns0:v>550041.81153618</ns0:v>
      </ns0:c>
      <ns0:c r="G757" s="16">
        <ns0:f>A757*('前提と出典'!$C$36*'契約別単価'!G5+'前提と出典'!$C$37*'契約別単価'!G6+'前提と出典'!$C$38*'契約別単価'!G7)</ns0:f>
        <ns0:v>1498848.6033519553</ns0:v>
      </ns0:c>
      <ns0:c r="H757" s="16">
        <ns0:f>A757*('前提と出典'!$C$36*'契約別単価'!H5+'前提と出典'!$C$37*'契約別単価'!H6+'前提と出典'!$C$38*'契約別単価'!H7)</ns0:f>
        <ns0:v>520175.6385278346</ns0:v>
      </ns0:c>
      <ns0:c r="I757" s="16">
        <ns0:f>A757*('前提と出典'!$C$36*'契約別単価'!I5+'前提と出典'!$C$37*'契約別単価'!I6+'前提と出典'!$C$38*'契約別単価'!I7)</ns0:f>
        <ns0:v>31773.234636871504</ns0:v>
      </ns0:c>
      <ns0:c r="J757" s="16">
        <ns0:f>A757*('前提と出典'!$C$36*'契約別単価'!J5+'前提と出典'!$C$37*'契約別単価'!J6+'前提と出典'!$C$38*'契約別単価'!J7)</ns0:f>
        <ns0:v>74012.02641385783</ns0:v>
      </ns0:c>
      <ns0:c r="K757" s="16">
        <ns0:f>A757*('前提と出典'!$C$36*'契約別単価'!K5+'前提と出典'!$C$37*'契約別単価'!K6+'前提と出典'!$C$38*'契約別単価'!K7)</ns0:f>
        <ns0:v>317241.56424581003</ns0:v>
      </ns0:c>
      <ns0:c r="L757" s="16">
        <ns0:f>A757*('前提と出典'!$C$36*'契約別単価'!L5+'前提と出典'!$C$37*'契約別単価'!L6+'前提と出典'!$C$38*'契約別単価'!L7)</ns0:f>
        <ns0:v>258299.18795092782</ns0:v>
      </ns0:c>
      <ns0:c r="M757" s="16">
        <ns0:f>IF(('前提と出典'!$C$36+'前提と出典'!$C$38)=0,0,IF(B757&lt;=10,'前提と出典'!B73+'前提と出典'!C73,IF(B757&lt;=100,'前提と出典'!B74+'前提と出典'!C74,IF(B757&lt;=500,'前提と出典'!B75+'前提と出典'!C75,'前提と出典'!B76+'前提と出典'!C76))))</ns0:f>
        <ns0:v>80000</ns0:v>
      </ns0:c>
      <ns0:c r="N757" s="16">
        <ns0:f>IF(('前提と出典'!$C$37+'前提と出典'!$C$38)=0,0,IF(C757&lt;=10,'前提と出典'!D73+'前提と出典'!E73,IF(C757&lt;=100,'前提と出典'!D74+'前提と出典'!E74,IF(C757&lt;=500,'前提と出典'!D75+'前提と出典'!E75,'前提と出典'!D76+'前提と出典'!E76))))</ns0:f>
        <ns0:v>56510.9346263078</ns0:v>
      </ns0:c>
      <ns0:c r="O757" s="16">
        <ns0:f>IF('前提と出典'!$C$36+'前提と出典'!$C$38=0,0,'前提と出典'!$B$4*IF('前提と出典'!$B$20=0,MAX('前提と出典'!$B$6,D757*'前提と出典'!$B$5),'前提と出典'!$B$6+D757*'前提と出典'!$B$5))</ns0:f>
        <ns0:v>747716.3798882682</ns0:v>
      </ns0:c>
      <ns0:c r="P757" s="16">
        <ns0:f>(E757+G757)*(1-'前提と出典'!$B$7)-I757-K757-M757-O757</ns0:f>
        <ns0:v>2092959.118857528</ns0:v>
      </ns0:c>
      <ns0:c r="Q757" s="16">
        <ns0:f>(F757+H757)*(1-'前提と出典'!$B$7)-J757-L757-N757</ns0:f>
        <ns0:v>642867.4728706167</ns0:v>
      </ns0:c>
      <ns0:c r="R757" s="16">
        <ns0:f>P757-E757*'前提と出典'!$E$4</ns0:f>
        <ns0:v>1525075.225497406</ns0:v>
      </ns0:c>
      <ns0:c r="S757" s="16">
        <ns0:f>Q757-F757*'前提と出典'!$E$4</ns0:f>
        <ns0:v>477854.9294097626</ns0:v>
      </ns0:c>
      <ns0:c r="T757" s="7">
        <ns0:f>R757+S757</ns0:f>
        <ns0:v>2002930.1549071686</ns0:v>
      </ns0:c>
      <ns0:c r="U757" s="16">
        <ns0:f>P757-E757*'前提と出典'!$E$5</ns0:f>
        <ns0:v>1335780.594377365</ns0:v>
      </ns0:c>
      <ns0:c r="V757" s="16">
        <ns0:f>Q757-F757*'前提と出典'!$E$5</ns0:f>
        <ns0:v>422850.74825614464</ns0:v>
      </ns0:c>
      <ns0:c r="W757" s="7">
        <ns0:f>U757+V757</ns0:f>
        <ns0:v>1758631.3426335095</ns0:v>
      </ns0:c>
      <ns0:c r="X757" s="16">
        <ns0:f>P757-E757*'前提と出典'!$E$6</ns0:f>
        <ns0:v>1146485.9632573242</ns0:v>
      </ns0:c>
      <ns0:c r="Y757" s="16">
        <ns0:f>Q757-F757*'前提と出典'!$E$6</ns0:f>
        <ns0:v>367846.5671025267</ns0:v>
      </ns0:c>
      <ns0:c r="Z757" s="7">
        <ns0:f>X757+Y757</ns0:f>
        <ns0:v>1514332.530359851</ns0:v>
      </ns0:c>
      <ns0:c r="AA757" s="7">
        <ns0:f>IF(T757&gt;=0,A757,1001)</ns0:f>
        <ns0:v>753</ns0:v>
      </ns0:c>
      <ns0:c r="AB757" s="7">
        <ns0:f>IF(T757&lt;0,A757,0)</ns0:f>
        <ns0:v>0</ns0:v>
      </ns0:c>
      <ns0:c r="AC757" s="16">
        <ns0:f>IF(AND(OR('前提と出典'!$C$36+'前提と出典'!$C$38=0,R757&gt;=0),OR('前提と出典'!$C$37+'前提と出典'!$C$38=0,S757&gt;=0)),0,A757)</ns0:f>
        <ns0:v>0</ns0:v>
      </ns0:c>
      <ns0:c r="AD757" s="7">
        <ns0:f>IF(W757&gt;=0,A757,1001)</ns0:f>
        <ns0:v>753</ns0:v>
      </ns0:c>
      <ns0:c r="AE757" s="7">
        <ns0:f>IF(W757&lt;0,A757,0)</ns0:f>
        <ns0:v>0</ns0:v>
      </ns0:c>
      <ns0:c r="AF757" s="16">
        <ns0:f>IF(AND(OR('前提と出典'!$C$36+'前提と出典'!$C$38=0,U757&gt;=0),OR('前提と出典'!$C$37+'前提と出典'!$C$38=0,V757&gt;=0)),0,A757)</ns0:f>
        <ns0:v>0</ns0:v>
      </ns0:c>
      <ns0:c r="AG757" s="7">
        <ns0:f>IF(Z757&gt;=0,A757,1001)</ns0:f>
        <ns0:v>753</ns0:v>
      </ns0:c>
      <ns0:c r="AH757" s="4">
        <ns0:f>IF(Z757&lt;0,A757,0)</ns0:f>
        <ns0:v>0</ns0:v>
      </ns0:c>
      <ns0:c r="AI757" s="12">
        <ns0:f>IF(AND(OR('前提と出典'!$C$36+'前提と出典'!$C$38=0,X757&gt;=0),OR('前提と出典'!$C$37+'前提と出典'!$C$38=0,Y757&gt;=0)),0,A757)</ns0:f>
        <ns0:v>0</ns0:v>
      </ns0:c>
    </ns0:row>
    <ns0:row r="758" ht="24" customHeight="1">
      <ns0:c r="A758" s="4" t="n">
        <ns0:v>754</ns0:v>
      </ns0:c>
      <ns0:c r="B758" s="12">
        <ns0:f>A758*('前提と出典'!$C$36+'前提と出典'!$C$38)</ns0:f>
        <ns0:v>527.8</ns0:v>
      </ns0:c>
      <ns0:c r="C758" s="12">
        <ns0:f>A758*('前提と出典'!$C$37+'前提と出典'!$C$38)</ns0:f>
        <ns0:v>452.4</ns0:v>
      </ns0:c>
      <ns0:c r="D758" s="16">
        <ns0:f>A758*('前提と出典'!$C$36*'契約別単価'!C5+'前提と出典'!$C$37*'契約別単価'!C6+'前提と出典'!$C$38*'契約別単価'!C7)</ns0:f>
        <ns0:v>5425.430167597765</ns0:v>
      </ns0:c>
      <ns0:c r="E758" s="16">
        <ns0:f>A758*('前提と出典'!$C$36*'契約別単価'!E5+'前提と出典'!$C$37*'契約別単価'!E6+'前提と出典'!$C$38*'契約別単価'!E7)</ns0:f>
        <ns0:v>1895460.1841236486</ns0:v>
      </ns0:c>
      <ns0:c r="F758" s="16">
        <ns0:f>A758*('前提と出典'!$C$36*'契約別単価'!F5+'前提と出典'!$C$37*'契約別単価'!F6+'前提と出典'!$C$38*'契約別単価'!F7)</ns0:f>
        <ns0:v>550772.2787493755</ns0:v>
      </ns0:c>
      <ns0:c r="G758" s="16">
        <ns0:f>A758*('前提と出典'!$C$36*'契約別単価'!G5+'前提と出典'!$C$37*'契約別単価'!G6+'前提と出典'!$C$38*'契約別単価'!G7)</ns0:f>
        <ns0:v>1500839.1061452513</ns0:v>
      </ns0:c>
      <ns0:c r="H758" s="16">
        <ns0:f>A758*('前提と出典'!$C$36*'契約別単価'!H5+'前提と出典'!$C$37*'契約別単価'!H6+'前提と出典'!$C$38*'契約別単価'!H7)</ns0:f>
        <ns0:v>520866.4428286684</ns0:v>
      </ns0:c>
      <ns0:c r="I758" s="16">
        <ns0:f>A758*('前提と出典'!$C$36*'契約別単価'!I5+'前提と出典'!$C$37*'契約別単価'!I6+'前提と出典'!$C$38*'契約別単価'!I7)</ns0:f>
        <ns0:v>31815.43016759776</ns0:v>
      </ns0:c>
      <ns0:c r="J758" s="16">
        <ns0:f>A758*('前提と出典'!$C$36*'契約別単価'!J5+'前提と出典'!$C$37*'契約別単価'!J6+'前提と出典'!$C$38*'契約別単価'!J7)</ns0:f>
        <ns0:v>74110.31595756813</ns0:v>
      </ns0:c>
      <ns0:c r="K758" s="16">
        <ns0:f>A758*('前提と出典'!$C$36*'契約別単価'!K5+'前提と出典'!$C$37*'契約別単価'!K6+'前提と出典'!$C$38*'契約別単価'!K7)</ns0:f>
        <ns0:v>317662.8677839851</ns0:v>
      </ns0:c>
      <ns0:c r="L758" s="16">
        <ns0:f>A758*('前提と出典'!$C$36*'契約別単価'!L5+'前提と出典'!$C$37*'契約別単価'!L6+'前提と出典'!$C$38*'契約別単価'!L7)</ns0:f>
        <ns0:v>258642.2147609556</ns0:v>
      </ns0:c>
      <ns0:c r="M758" s="16">
        <ns0:f>IF(('前提と出典'!$C$36+'前提と出典'!$C$38)=0,0,IF(B758&lt;=10,'前提と出典'!B73+'前提と出典'!C73,IF(B758&lt;=100,'前提と出典'!B74+'前提と出典'!C74,IF(B758&lt;=500,'前提と出典'!B75+'前提と出典'!C75,'前提と出典'!B76+'前提と出典'!C76))))</ns0:f>
        <ns0:v>80000</ns0:v>
      </ns0:c>
      <ns0:c r="N758" s="16">
        <ns0:f>IF(('前提と出典'!$C$37+'前提と出典'!$C$38)=0,0,IF(C758&lt;=10,'前提と出典'!D73+'前提と出典'!E73,IF(C758&lt;=100,'前提と出典'!D74+'前提と出典'!E74,IF(C758&lt;=500,'前提と出典'!D75+'前提と出典'!E75,'前提と出典'!D76+'前提と出典'!E76))))</ns0:f>
        <ns0:v>56510.9346263078</ns0:v>
      </ns0:c>
      <ns0:c r="O758" s="16">
        <ns0:f>IF('前提と出典'!$C$36+'前提と出典'!$C$38=0,0,'前提と出典'!$B$4*IF('前提と出典'!$B$20=0,MAX('前提と出典'!$B$6,D758*'前提と出典'!$B$5),'前提と出典'!$B$6+D758*'前提と出典'!$B$5))</ns0:f>
        <ns0:v>748709.3631284916</ns0:v>
      </ns0:c>
      <ns0:c r="P758" s="16">
        <ns0:f>(E758+G758)*(1-'前提と出典'!$B$7)-I758-K758-M758-O758</ns0:f>
        <ns0:v>2095844.854739145</ns0:v>
      </ns0:c>
      <ns0:c r="Q758" s="16">
        <ns0:f>(F758+H758)*(1-'前提と出典'!$B$7)-J758-L758-N758</ns0:f>
        <ns0:v>643796.2622564028</ns0:v>
      </ns0:c>
      <ns0:c r="R758" s="16">
        <ns0:f>P758-E758*'前提と出典'!$E$4</ns0:f>
        <ns0:v>1527206.7995020505</ns0:v>
      </ns0:c>
      <ns0:c r="S758" s="16">
        <ns0:f>Q758-F758*'前提と出典'!$E$4</ns0:f>
        <ns0:v>478564.5786315901</ns0:v>
      </ns0:c>
      <ns0:c r="T758" s="7">
        <ns0:f>R758+S758</ns0:f>
        <ns0:v>2005771.3781336406</ns0:v>
      </ns0:c>
      <ns0:c r="U758" s="16">
        <ns0:f>P758-E758*'前提と出典'!$E$5</ns0:f>
        <ns0:v>1337660.7810896854</ns0:v>
      </ns0:c>
      <ns0:c r="V758" s="16">
        <ns0:f>Q758-F758*'前提と出典'!$E$5</ns0:f>
        <ns0:v>423487.3507566526</ns0:v>
      </ns0:c>
      <ns0:c r="W758" s="7">
        <ns0:f>U758+V758</ns0:f>
        <ns0:v>1761148.131846338</ns0:v>
      </ns0:c>
      <ns0:c r="X758" s="16">
        <ns0:f>P758-E758*'前提と出典'!$E$6</ns0:f>
        <ns0:v>1148114.7626773207</ns0:v>
      </ns0:c>
      <ns0:c r="Y758" s="16">
        <ns0:f>Q758-F758*'前提と出典'!$E$6</ns0:f>
        <ns0:v>368410.122881715</ns0:v>
      </ns0:c>
      <ns0:c r="Z758" s="7">
        <ns0:f>X758+Y758</ns0:f>
        <ns0:v>1516524.8855590357</ns0:v>
      </ns0:c>
      <ns0:c r="AA758" s="7">
        <ns0:f>IF(T758&gt;=0,A758,1001)</ns0:f>
        <ns0:v>754</ns0:v>
      </ns0:c>
      <ns0:c r="AB758" s="7">
        <ns0:f>IF(T758&lt;0,A758,0)</ns0:f>
        <ns0:v>0</ns0:v>
      </ns0:c>
      <ns0:c r="AC758" s="16">
        <ns0:f>IF(AND(OR('前提と出典'!$C$36+'前提と出典'!$C$38=0,R758&gt;=0),OR('前提と出典'!$C$37+'前提と出典'!$C$38=0,S758&gt;=0)),0,A758)</ns0:f>
        <ns0:v>0</ns0:v>
      </ns0:c>
      <ns0:c r="AD758" s="7">
        <ns0:f>IF(W758&gt;=0,A758,1001)</ns0:f>
        <ns0:v>754</ns0:v>
      </ns0:c>
      <ns0:c r="AE758" s="7">
        <ns0:f>IF(W758&lt;0,A758,0)</ns0:f>
        <ns0:v>0</ns0:v>
      </ns0:c>
      <ns0:c r="AF758" s="16">
        <ns0:f>IF(AND(OR('前提と出典'!$C$36+'前提と出典'!$C$38=0,U758&gt;=0),OR('前提と出典'!$C$37+'前提と出典'!$C$38=0,V758&gt;=0)),0,A758)</ns0:f>
        <ns0:v>0</ns0:v>
      </ns0:c>
      <ns0:c r="AG758" s="7">
        <ns0:f>IF(Z758&gt;=0,A758,1001)</ns0:f>
        <ns0:v>754</ns0:v>
      </ns0:c>
      <ns0:c r="AH758" s="4">
        <ns0:f>IF(Z758&lt;0,A758,0)</ns0:f>
        <ns0:v>0</ns0:v>
      </ns0:c>
      <ns0:c r="AI758" s="12">
        <ns0:f>IF(AND(OR('前提と出典'!$C$36+'前提と出典'!$C$38=0,X758&gt;=0),OR('前提と出典'!$C$37+'前提と出典'!$C$38=0,Y758&gt;=0)),0,A758)</ns0:f>
        <ns0:v>0</ns0:v>
      </ns0:c>
    </ns0:row>
    <ns0:row r="759" ht="24" customHeight="1">
      <ns0:c r="A759" s="4" t="n">
        <ns0:v>755</ns0:v>
      </ns0:c>
      <ns0:c r="B759" s="12">
        <ns0:f>A759*('前提と出典'!$C$36+'前提と出典'!$C$38)</ns0:f>
        <ns0:v>528.5</ns0:v>
      </ns0:c>
      <ns0:c r="C759" s="12">
        <ns0:f>A759*('前提と出典'!$C$37+'前提と出典'!$C$38)</ns0:f>
        <ns0:v>453</ns0:v>
      </ns0:c>
      <ns0:c r="D759" s="16">
        <ns0:f>A759*('前提と出典'!$C$36*'契約別単価'!C5+'前提と出典'!$C$37*'契約別単価'!C6+'前提と出典'!$C$38*'契約別単価'!C7)</ns0:f>
        <ns0:v>5432.625698324022</ns0:v>
      </ns0:c>
      <ns0:c r="E759" s="16">
        <ns0:f>A759*('前提と出典'!$C$36*'契約別単価'!E5+'前提と出典'!$C$37*'契約別単価'!E6+'前提と出典'!$C$38*'契約別単価'!E7)</ns0:f>
        <ns0:v>1897974.0570468896</ns0:v>
      </ns0:c>
      <ns0:c r="F759" s="16">
        <ns0:f>A759*('前提と出典'!$C$36*'契約別単価'!F5+'前提と出典'!$C$37*'契約別単価'!F6+'前提と出典'!$C$38*'契約別単価'!F7)</ns0:f>
        <ns0:v>551502.7459625709</ns0:v>
      </ns0:c>
      <ns0:c r="G759" s="16">
        <ns0:f>A759*('前提と出典'!$C$36*'契約別単価'!G5+'前提と出典'!$C$37*'契約別単価'!G6+'前提と出典'!$C$38*'契約別単価'!G7)</ns0:f>
        <ns0:v>1502829.6089385473</ns0:v>
      </ns0:c>
      <ns0:c r="H759" s="16">
        <ns0:f>A759*('前提と出典'!$C$36*'契約別単価'!H5+'前提と出典'!$C$37*'契約別単価'!H6+'前提と出典'!$C$38*'契約別単価'!H7)</ns0:f>
        <ns0:v>521557.2471295022</ns0:v>
      </ns0:c>
      <ns0:c r="I759" s="16">
        <ns0:f>A759*('前提と出典'!$C$36*'契約別単価'!I5+'前提と出典'!$C$37*'契約別単価'!I6+'前提と出典'!$C$38*'契約別単価'!I7)</ns0:f>
        <ns0:v>31857.625698324016</ns0:v>
      </ns0:c>
      <ns0:c r="J759" s="16">
        <ns0:f>A759*('前提と出典'!$C$36*'契約別単価'!J5+'前提と出典'!$C$37*'契約別単価'!J6+'前提と出典'!$C$38*'契約別単価'!J7)</ns0:f>
        <ns0:v>74208.60550127843</ns0:v>
      </ns0:c>
      <ns0:c r="K759" s="16">
        <ns0:f>A759*('前提と出典'!$C$36*'契約別単価'!K5+'前提と出典'!$C$37*'契約別単価'!K6+'前提と出典'!$C$38*'契約別単価'!K7)</ns0:f>
        <ns0:v>318084.1713221601</ns0:v>
      </ns0:c>
      <ns0:c r="L759" s="16">
        <ns0:f>A759*('前提と出典'!$C$36*'契約別単価'!L5+'前提と出典'!$C$37*'契約別単価'!L6+'前提と出典'!$C$38*'契約別単価'!L7)</ns0:f>
        <ns0:v>258985.2415709834</ns0:v>
      </ns0:c>
      <ns0:c r="M759" s="16">
        <ns0:f>IF(('前提と出典'!$C$36+'前提と出典'!$C$38)=0,0,IF(B759&lt;=10,'前提と出典'!B73+'前提と出典'!C73,IF(B759&lt;=100,'前提と出典'!B74+'前提と出典'!C74,IF(B759&lt;=500,'前提と出典'!B75+'前提と出典'!C75,'前提と出典'!B76+'前提と出典'!C76))))</ns0:f>
        <ns0:v>80000</ns0:v>
      </ns0:c>
      <ns0:c r="N759" s="16">
        <ns0:f>IF(('前提と出典'!$C$37+'前提と出典'!$C$38)=0,0,IF(C759&lt;=10,'前提と出典'!D73+'前提と出典'!E73,IF(C759&lt;=100,'前提と出典'!D74+'前提と出典'!E74,IF(C759&lt;=500,'前提と出典'!D75+'前提と出典'!E75,'前提と出典'!D76+'前提と出典'!E76))))</ns0:f>
        <ns0:v>56510.9346263078</ns0:v>
      </ns0:c>
      <ns0:c r="O759" s="16">
        <ns0:f>IF('前提と出典'!$C$36+'前提と出典'!$C$38=0,0,'前提と出典'!$B$4*IF('前提と出典'!$B$20=0,MAX('前提と出典'!$B$6,D759*'前提と出典'!$B$5),'前提と出典'!$B$6+D759*'前提と出典'!$B$5))</ns0:f>
        <ns0:v>749702.346368715</ns0:v>
      </ns0:c>
      <ns0:c r="P759" s="16">
        <ns0:f>(E759+G759)*(1-'前提と出典'!$B$7)-I759-K759-M759-O759</ns0:f>
        <ns0:v>2098730.5906207627</ns0:v>
      </ns0:c>
      <ns0:c r="Q759" s="16">
        <ns0:f>(F759+H759)*(1-'前提と出典'!$B$7)-J759-L759-N759</ns0:f>
        <ns0:v>644725.0516421888</ns0:v>
      </ns0:c>
      <ns0:c r="R759" s="16">
        <ns0:f>P759-E759*'前提と出典'!$E$4</ns0:f>
        <ns0:v>1529338.373506696</ns0:v>
      </ns0:c>
      <ns0:c r="S759" s="16">
        <ns0:f>Q759-F759*'前提と出典'!$E$4</ns0:f>
        <ns0:v>479274.2278534175</ns0:v>
      </ns0:c>
      <ns0:c r="T759" s="7">
        <ns0:f>R759+S759</ns0:f>
        <ns0:v>2008612.6013601134</ns0:v>
      </ns0:c>
      <ns0:c r="U759" s="16">
        <ns0:f>P759-E759*'前提と出典'!$E$5</ns0:f>
        <ns0:v>1339540.9678020068</ns0:v>
      </ns0:c>
      <ns0:c r="V759" s="16">
        <ns0:f>Q759-F759*'前提と出典'!$E$5</ns0:f>
        <ns0:v>424123.9532571605</ns0:v>
      </ns0:c>
      <ns0:c r="W759" s="7">
        <ns0:f>U759+V759</ns0:f>
        <ns0:v>1763664.9210591672</ns0:v>
      </ns0:c>
      <ns0:c r="X759" s="16">
        <ns0:f>P759-E759*'前提と出典'!$E$6</ns0:f>
        <ns0:v>1149743.562097318</ns0:v>
      </ns0:c>
      <ns0:c r="Y759" s="16">
        <ns0:f>Q759-F759*'前提と出典'!$E$6</ns0:f>
        <ns0:v>368973.67866090336</ns0:v>
      </ns0:c>
      <ns0:c r="Z759" s="7">
        <ns0:f>X759+Y759</ns0:f>
        <ns0:v>1518717.2407582214</ns0:v>
      </ns0:c>
      <ns0:c r="AA759" s="7">
        <ns0:f>IF(T759&gt;=0,A759,1001)</ns0:f>
        <ns0:v>755</ns0:v>
      </ns0:c>
      <ns0:c r="AB759" s="7">
        <ns0:f>IF(T759&lt;0,A759,0)</ns0:f>
        <ns0:v>0</ns0:v>
      </ns0:c>
      <ns0:c r="AC759" s="16">
        <ns0:f>IF(AND(OR('前提と出典'!$C$36+'前提と出典'!$C$38=0,R759&gt;=0),OR('前提と出典'!$C$37+'前提と出典'!$C$38=0,S759&gt;=0)),0,A759)</ns0:f>
        <ns0:v>0</ns0:v>
      </ns0:c>
      <ns0:c r="AD759" s="7">
        <ns0:f>IF(W759&gt;=0,A759,1001)</ns0:f>
        <ns0:v>755</ns0:v>
      </ns0:c>
      <ns0:c r="AE759" s="7">
        <ns0:f>IF(W759&lt;0,A759,0)</ns0:f>
        <ns0:v>0</ns0:v>
      </ns0:c>
      <ns0:c r="AF759" s="16">
        <ns0:f>IF(AND(OR('前提と出典'!$C$36+'前提と出典'!$C$38=0,U759&gt;=0),OR('前提と出典'!$C$37+'前提と出典'!$C$38=0,V759&gt;=0)),0,A759)</ns0:f>
        <ns0:v>0</ns0:v>
      </ns0:c>
      <ns0:c r="AG759" s="7">
        <ns0:f>IF(Z759&gt;=0,A759,1001)</ns0:f>
        <ns0:v>755</ns0:v>
      </ns0:c>
      <ns0:c r="AH759" s="4">
        <ns0:f>IF(Z759&lt;0,A759,0)</ns0:f>
        <ns0:v>0</ns0:v>
      </ns0:c>
      <ns0:c r="AI759" s="12">
        <ns0:f>IF(AND(OR('前提と出典'!$C$36+'前提と出典'!$C$38=0,X759&gt;=0),OR('前提と出典'!$C$37+'前提と出典'!$C$38=0,Y759&gt;=0)),0,A759)</ns0:f>
        <ns0:v>0</ns0:v>
      </ns0:c>
    </ns0:row>
    <ns0:row r="760" ht="24" customHeight="1">
      <ns0:c r="A760" s="4" t="n">
        <ns0:v>756</ns0:v>
      </ns0:c>
      <ns0:c r="B760" s="12">
        <ns0:f>A760*('前提と出典'!$C$36+'前提と出典'!$C$38)</ns0:f>
        <ns0:v>529.1999999999999</ns0:v>
      </ns0:c>
      <ns0:c r="C760" s="12">
        <ns0:f>A760*('前提と出典'!$C$37+'前提と出典'!$C$38)</ns0:f>
        <ns0:v>453.59999999999997</ns0:v>
      </ns0:c>
      <ns0:c r="D760" s="16">
        <ns0:f>A760*('前提と出典'!$C$36*'契約別単価'!C5+'前提と出典'!$C$37*'契約別単価'!C6+'前提と出典'!$C$38*'契約別単価'!C7)</ns0:f>
        <ns0:v>5439.82122905028</ns0:v>
      </ns0:c>
      <ns0:c r="E760" s="16">
        <ns0:f>A760*('前提と出典'!$C$36*'契約別単価'!E5+'前提と出典'!$C$37*'契約別単価'!E6+'前提と出典'!$C$38*'契約別単価'!E7)</ns0:f>
        <ns0:v>1900487.9299701303</ns0:v>
      </ns0:c>
      <ns0:c r="F760" s="16">
        <ns0:f>A760*('前提と出典'!$C$36*'契約別単価'!F5+'前提と出典'!$C$37*'契約別単価'!F6+'前提と出典'!$C$38*'契約別単価'!F7)</ns0:f>
        <ns0:v>552233.2131757664</ns0:v>
      </ns0:c>
      <ns0:c r="G760" s="16">
        <ns0:f>A760*('前提と出典'!$C$36*'契約別単価'!G5+'前提と出典'!$C$37*'契約別単価'!G6+'前提と出典'!$C$38*'契約別単価'!G7)</ns0:f>
        <ns0:v>1504820.1117318436</ns0:v>
      </ns0:c>
      <ns0:c r="H760" s="16">
        <ns0:f>A760*('前提と出典'!$C$36*'契約別単価'!H5+'前提と出典'!$C$37*'契約別単価'!H6+'前提と出典'!$C$38*'契約別単価'!H7)</ns0:f>
        <ns0:v>522248.0514303359</ns0:v>
      </ns0:c>
      <ns0:c r="I760" s="16">
        <ns0:f>A760*('前提と出典'!$C$36*'契約別単価'!I5+'前提と出典'!$C$37*'契約別単価'!I6+'前提と出典'!$C$38*'契約別単価'!I7)</ns0:f>
        <ns0:v>31899.821229050274</ns0:v>
      </ns0:c>
      <ns0:c r="J760" s="16">
        <ns0:f>A760*('前提と出典'!$C$36*'契約別単価'!J5+'前提と出典'!$C$37*'契約別単価'!J6+'前提と出典'!$C$38*'契約別単価'!J7)</ns0:f>
        <ns0:v>74306.89504498873</ns0:v>
      </ns0:c>
      <ns0:c r="K760" s="16">
        <ns0:f>A760*('前提と出典'!$C$36*'契約別単価'!K5+'前提と出典'!$C$37*'契約別単価'!K6+'前提と出典'!$C$38*'契約別単価'!K7)</ns0:f>
        <ns0:v>318505.4748603352</ns0:v>
      </ns0:c>
      <ns0:c r="L760" s="16">
        <ns0:f>A760*('前提と出典'!$C$36*'契約別単価'!L5+'前提と出典'!$C$37*'契約別単価'!L6+'前提と出典'!$C$38*'契約別単価'!L7)</ns0:f>
        <ns0:v>259328.26838101118</ns0:v>
      </ns0:c>
      <ns0:c r="M760" s="16">
        <ns0:f>IF(('前提と出典'!$C$36+'前提と出典'!$C$38)=0,0,IF(B760&lt;=10,'前提と出典'!B73+'前提と出典'!C73,IF(B760&lt;=100,'前提と出典'!B74+'前提と出典'!C74,IF(B760&lt;=500,'前提と出典'!B75+'前提と出典'!C75,'前提と出典'!B76+'前提と出典'!C76))))</ns0:f>
        <ns0:v>80000</ns0:v>
      </ns0:c>
      <ns0:c r="N760" s="16">
        <ns0:f>IF(('前提と出典'!$C$37+'前提と出典'!$C$38)=0,0,IF(C760&lt;=10,'前提と出典'!D73+'前提と出典'!E73,IF(C760&lt;=100,'前提と出典'!D74+'前提と出典'!E74,IF(C760&lt;=500,'前提と出典'!D75+'前提と出典'!E75,'前提と出典'!D76+'前提と出典'!E76))))</ns0:f>
        <ns0:v>56510.9346263078</ns0:v>
      </ns0:c>
      <ns0:c r="O760" s="16">
        <ns0:f>IF('前提と出典'!$C$36+'前提と出典'!$C$38=0,0,'前提と出典'!$B$4*IF('前提と出典'!$B$20=0,MAX('前提と出典'!$B$6,D760*'前提と出典'!$B$5),'前提と出典'!$B$6+D760*'前提と出典'!$B$5))</ns0:f>
        <ns0:v>750695.3296089387</ns0:v>
      </ns0:c>
      <ns0:c r="P760" s="16">
        <ns0:f>(E760+G760)*(1-'前提と出典'!$B$7)-I760-K760-M760-O760</ns0:f>
        <ns0:v>2101616.3265023786</ns0:v>
      </ns0:c>
      <ns0:c r="Q760" s="16">
        <ns0:f>(F760+H760)*(1-'前提と出典'!$B$7)-J760-L760-N760</ns0:f>
        <ns0:v>645653.8410279751</ns0:v>
      </ns0:c>
      <ns0:c r="R760" s="16">
        <ns0:f>P760-E760*'前提と出典'!$E$4</ns0:f>
        <ns0:v>1531469.9475113396</ns0:v>
      </ns0:c>
      <ns0:c r="S760" s="16">
        <ns0:f>Q760-F760*'前提と出典'!$E$4</ns0:f>
        <ns0:v>479983.877075245</ns0:v>
      </ns0:c>
      <ns0:c r="T760" s="7">
        <ns0:f>R760+S760</ns0:f>
        <ns0:v>2011453.8245865847</ns0:v>
      </ns0:c>
      <ns0:c r="U760" s="16">
        <ns0:f>P760-E760*'前提と出典'!$E$5</ns0:f>
        <ns0:v>1341421.1545143262</ns0:v>
      </ns0:c>
      <ns0:c r="V760" s="16">
        <ns0:f>Q760-F760*'前提と出典'!$E$5</ns0:f>
        <ns0:v>424760.55575766845</ns0:v>
      </ns0:c>
      <ns0:c r="W760" s="7">
        <ns0:f>U760+V760</ns0:f>
        <ns0:v>1766181.7102719946</ns0:v>
      </ns0:c>
      <ns0:c r="X760" s="16">
        <ns0:f>P760-E760*'前提と出典'!$E$6</ns0:f>
        <ns0:v>1151372.3615173134</ns0:v>
      </ns0:c>
      <ns0:c r="Y760" s="16">
        <ns0:f>Q760-F760*'前提と出典'!$E$6</ns0:f>
        <ns0:v>369537.23444009176</ns0:v>
      </ns0:c>
      <ns0:c r="Z760" s="7">
        <ns0:f>X760+Y760</ns0:f>
        <ns0:v>1520909.5959574052</ns0:v>
      </ns0:c>
      <ns0:c r="AA760" s="7">
        <ns0:f>IF(T760&gt;=0,A760,1001)</ns0:f>
        <ns0:v>756</ns0:v>
      </ns0:c>
      <ns0:c r="AB760" s="7">
        <ns0:f>IF(T760&lt;0,A760,0)</ns0:f>
        <ns0:v>0</ns0:v>
      </ns0:c>
      <ns0:c r="AC760" s="16">
        <ns0:f>IF(AND(OR('前提と出典'!$C$36+'前提と出典'!$C$38=0,R760&gt;=0),OR('前提と出典'!$C$37+'前提と出典'!$C$38=0,S760&gt;=0)),0,A760)</ns0:f>
        <ns0:v>0</ns0:v>
      </ns0:c>
      <ns0:c r="AD760" s="7">
        <ns0:f>IF(W760&gt;=0,A760,1001)</ns0:f>
        <ns0:v>756</ns0:v>
      </ns0:c>
      <ns0:c r="AE760" s="7">
        <ns0:f>IF(W760&lt;0,A760,0)</ns0:f>
        <ns0:v>0</ns0:v>
      </ns0:c>
      <ns0:c r="AF760" s="16">
        <ns0:f>IF(AND(OR('前提と出典'!$C$36+'前提と出典'!$C$38=0,U760&gt;=0),OR('前提と出典'!$C$37+'前提と出典'!$C$38=0,V760&gt;=0)),0,A760)</ns0:f>
        <ns0:v>0</ns0:v>
      </ns0:c>
      <ns0:c r="AG760" s="7">
        <ns0:f>IF(Z760&gt;=0,A760,1001)</ns0:f>
        <ns0:v>756</ns0:v>
      </ns0:c>
      <ns0:c r="AH760" s="4">
        <ns0:f>IF(Z760&lt;0,A760,0)</ns0:f>
        <ns0:v>0</ns0:v>
      </ns0:c>
      <ns0:c r="AI760" s="12">
        <ns0:f>IF(AND(OR('前提と出典'!$C$36+'前提と出典'!$C$38=0,X760&gt;=0),OR('前提と出典'!$C$37+'前提と出典'!$C$38=0,Y760&gt;=0)),0,A760)</ns0:f>
        <ns0:v>0</ns0:v>
      </ns0:c>
    </ns0:row>
    <ns0:row r="761" ht="24" customHeight="1">
      <ns0:c r="A761" s="4" t="n">
        <ns0:v>757</ns0:v>
      </ns0:c>
      <ns0:c r="B761" s="12">
        <ns0:f>A761*('前提と出典'!$C$36+'前提と出典'!$C$38)</ns0:f>
        <ns0:v>529.9</ns0:v>
      </ns0:c>
      <ns0:c r="C761" s="12">
        <ns0:f>A761*('前提と出典'!$C$37+'前提と出典'!$C$38)</ns0:f>
        <ns0:v>454.2</ns0:v>
      </ns0:c>
      <ns0:c r="D761" s="16">
        <ns0:f>A761*('前提と出典'!$C$36*'契約別単価'!C5+'前提と出典'!$C$37*'契約別単価'!C6+'前提と出典'!$C$38*'契約別単価'!C7)</ns0:f>
        <ns0:v>5447.016759776537</ns0:v>
      </ns0:c>
      <ns0:c r="E761" s="16">
        <ns0:f>A761*('前提と出典'!$C$36*'契約別単価'!E5+'前提と出典'!$C$37*'契約別単価'!E6+'前提と出典'!$C$38*'契約別単価'!E7)</ns0:f>
        <ns0:v>1903001.8028933713</ns0:v>
      </ns0:c>
      <ns0:c r="F761" s="16">
        <ns0:f>A761*('前提と出典'!$C$36*'契約別単価'!F5+'前提と出典'!$C$37*'契約別単価'!F6+'前提と出典'!$C$38*'契約別単価'!F7)</ns0:f>
        <ns0:v>552963.6803889618</ns0:v>
      </ns0:c>
      <ns0:c r="G761" s="16">
        <ns0:f>A761*('前提と出典'!$C$36*'契約別単価'!G5+'前提と出典'!$C$37*'契約別単価'!G6+'前提と出典'!$C$38*'契約別単価'!G7)</ns0:f>
        <ns0:v>1506810.6145251396</ns0:v>
      </ns0:c>
      <ns0:c r="H761" s="16">
        <ns0:f>A761*('前提と出典'!$C$36*'契約別単価'!H5+'前提と出典'!$C$37*'契約別単価'!H6+'前提と出典'!$C$38*'契約別単価'!H7)</ns0:f>
        <ns0:v>522938.8557311697</ns0:v>
      </ns0:c>
      <ns0:c r="I761" s="16">
        <ns0:f>A761*('前提と出典'!$C$36*'契約別単価'!I5+'前提と出典'!$C$37*'契約別単価'!I6+'前提と出典'!$C$38*'契約別単価'!I7)</ns0:f>
        <ns0:v>31942.016759776532</ns0:v>
      </ns0:c>
      <ns0:c r="J761" s="16">
        <ns0:f>A761*('前提と出典'!$C$36*'契約別単価'!J5+'前提と出典'!$C$37*'契約別単価'!J6+'前提と出典'!$C$38*'契約別単価'!J7)</ns0:f>
        <ns0:v>74405.18458869905</ns0:v>
      </ns0:c>
      <ns0:c r="K761" s="16">
        <ns0:f>A761*('前提と出典'!$C$36*'契約別単価'!K5+'前提と出典'!$C$37*'契約別単価'!K6+'前提と出典'!$C$38*'契約別単価'!K7)</ns0:f>
        <ns0:v>318926.77839851024</ns0:v>
      </ns0:c>
      <ns0:c r="L761" s="16">
        <ns0:f>A761*('前提と出典'!$C$36*'契約別単価'!L5+'前提と出典'!$C$37*'契約別単価'!L6+'前提と出典'!$C$38*'契約別単価'!L7)</ns0:f>
        <ns0:v>259671.29519103898</ns0:v>
      </ns0:c>
      <ns0:c r="M761" s="16">
        <ns0:f>IF(('前提と出典'!$C$36+'前提と出典'!$C$38)=0,0,IF(B761&lt;=10,'前提と出典'!B73+'前提と出典'!C73,IF(B761&lt;=100,'前提と出典'!B74+'前提と出典'!C74,IF(B761&lt;=500,'前提と出典'!B75+'前提と出典'!C75,'前提と出典'!B76+'前提と出典'!C76))))</ns0:f>
        <ns0:v>80000</ns0:v>
      </ns0:c>
      <ns0:c r="N761" s="16">
        <ns0:f>IF(('前提と出典'!$C$37+'前提と出典'!$C$38)=0,0,IF(C761&lt;=10,'前提と出典'!D73+'前提と出典'!E73,IF(C761&lt;=100,'前提と出典'!D74+'前提と出典'!E74,IF(C761&lt;=500,'前提と出典'!D75+'前提と出典'!E75,'前提と出典'!D76+'前提と出典'!E76))))</ns0:f>
        <ns0:v>56510.9346263078</ns0:v>
      </ns0:c>
      <ns0:c r="O761" s="16">
        <ns0:f>IF('前提と出典'!$C$36+'前提と出典'!$C$38=0,0,'前提と出典'!$B$4*IF('前提と出典'!$B$20=0,MAX('前提と出典'!$B$6,D761*'前提と出典'!$B$5),'前提と出典'!$B$6+D761*'前提と出典'!$B$5))</ns0:f>
        <ns0:v>751688.3128491621</ns0:v>
      </ns0:c>
      <ns0:c r="P761" s="16">
        <ns0:f>(E761+G761)*(1-'前提と出典'!$B$7)-I761-K761-M761-O761</ns0:f>
        <ns0:v>2104502.0623839954</ns0:v>
      </ns0:c>
      <ns0:c r="Q761" s="16">
        <ns0:f>(F761+H761)*(1-'前提と出典'!$B$7)-J761-L761-N761</ns0:f>
        <ns0:v>646582.6304137611</ns0:v>
      </ns0:c>
      <ns0:c r="R761" s="16">
        <ns0:f>P761-E761*'前提と出典'!$E$4</ns0:f>
        <ns0:v>1533601.521515984</ns0:v>
      </ns0:c>
      <ns0:c r="S761" s="16">
        <ns0:f>Q761-F761*'前提と出典'!$E$4</ns0:f>
        <ns0:v>480693.52629707265</ns0:v>
      </ns0:c>
      <ns0:c r="T761" s="7">
        <ns0:f>R761+S761</ns0:f>
        <ns0:v>2014295.0478130567</ns0:v>
      </ns0:c>
      <ns0:c r="U761" s="16">
        <ns0:f>P761-E761*'前提と出典'!$E$5</ns0:f>
        <ns0:v>1343301.3412266467</ns0:v>
      </ns0:c>
      <ns0:c r="V761" s="16">
        <ns0:f>Q761-F761*'前提と出典'!$E$5</ns0:f>
        <ns0:v>425397.1582581764</ns0:v>
      </ns0:c>
      <ns0:c r="W761" s="7">
        <ns0:f>U761+V761</ns0:f>
        <ns0:v>1768698.499484823</ns0:v>
      </ns0:c>
      <ns0:c r="X761" s="16">
        <ns0:f>P761-E761*'前提と出典'!$E$6</ns0:f>
        <ns0:v>1153001.1609373095</ns0:v>
      </ns0:c>
      <ns0:c r="Y761" s="16">
        <ns0:f>Q761-F761*'前提と出典'!$E$6</ns0:f>
        <ns0:v>370100.79021928017</ns0:v>
      </ns0:c>
      <ns0:c r="Z761" s="7">
        <ns0:f>X761+Y761</ns0:f>
        <ns0:v>1523101.9511565897</ns0:v>
      </ns0:c>
      <ns0:c r="AA761" s="7">
        <ns0:f>IF(T761&gt;=0,A761,1001)</ns0:f>
        <ns0:v>757</ns0:v>
      </ns0:c>
      <ns0:c r="AB761" s="7">
        <ns0:f>IF(T761&lt;0,A761,0)</ns0:f>
        <ns0:v>0</ns0:v>
      </ns0:c>
      <ns0:c r="AC761" s="16">
        <ns0:f>IF(AND(OR('前提と出典'!$C$36+'前提と出典'!$C$38=0,R761&gt;=0),OR('前提と出典'!$C$37+'前提と出典'!$C$38=0,S761&gt;=0)),0,A761)</ns0:f>
        <ns0:v>0</ns0:v>
      </ns0:c>
      <ns0:c r="AD761" s="7">
        <ns0:f>IF(W761&gt;=0,A761,1001)</ns0:f>
        <ns0:v>757</ns0:v>
      </ns0:c>
      <ns0:c r="AE761" s="7">
        <ns0:f>IF(W761&lt;0,A761,0)</ns0:f>
        <ns0:v>0</ns0:v>
      </ns0:c>
      <ns0:c r="AF761" s="16">
        <ns0:f>IF(AND(OR('前提と出典'!$C$36+'前提と出典'!$C$38=0,U761&gt;=0),OR('前提と出典'!$C$37+'前提と出典'!$C$38=0,V761&gt;=0)),0,A761)</ns0:f>
        <ns0:v>0</ns0:v>
      </ns0:c>
      <ns0:c r="AG761" s="7">
        <ns0:f>IF(Z761&gt;=0,A761,1001)</ns0:f>
        <ns0:v>757</ns0:v>
      </ns0:c>
      <ns0:c r="AH761" s="4">
        <ns0:f>IF(Z761&lt;0,A761,0)</ns0:f>
        <ns0:v>0</ns0:v>
      </ns0:c>
      <ns0:c r="AI761" s="12">
        <ns0:f>IF(AND(OR('前提と出典'!$C$36+'前提と出典'!$C$38=0,X761&gt;=0),OR('前提と出典'!$C$37+'前提と出典'!$C$38=0,Y761&gt;=0)),0,A761)</ns0:f>
        <ns0:v>0</ns0:v>
      </ns0:c>
    </ns0:row>
    <ns0:row r="762" ht="24" customHeight="1">
      <ns0:c r="A762" s="4" t="n">
        <ns0:v>758</ns0:v>
      </ns0:c>
      <ns0:c r="B762" s="12">
        <ns0:f>A762*('前提と出典'!$C$36+'前提と出典'!$C$38)</ns0:f>
        <ns0:v>530.6</ns0:v>
      </ns0:c>
      <ns0:c r="C762" s="12">
        <ns0:f>A762*('前提と出典'!$C$37+'前提と出典'!$C$38)</ns0:f>
        <ns0:v>454.8</ns0:v>
      </ns0:c>
      <ns0:c r="D762" s="16">
        <ns0:f>A762*('前提と出典'!$C$36*'契約別単価'!C5+'前提と出典'!$C$37*'契約別単価'!C6+'前提と出典'!$C$38*'契約別単価'!C7)</ns0:f>
        <ns0:v>5454.212290502794</ns0:v>
      </ns0:c>
      <ns0:c r="E762" s="16">
        <ns0:f>A762*('前提と出典'!$C$36*'契約別単価'!E5+'前提と出典'!$C$37*'契約別単価'!E6+'前提と出典'!$C$38*'契約別単価'!E7)</ns0:f>
        <ns0:v>1905515.6758166123</ns0:v>
      </ns0:c>
      <ns0:c r="F762" s="16">
        <ns0:f>A762*('前提と出典'!$C$36*'契約別単価'!F5+'前提と出典'!$C$37*'契約別単価'!F6+'前提と出典'!$C$38*'契約別単価'!F7)</ns0:f>
        <ns0:v>553694.1476021573</ns0:v>
      </ns0:c>
      <ns0:c r="G762" s="16">
        <ns0:f>A762*('前提と出典'!$C$36*'契約別単価'!G5+'前提と出典'!$C$37*'契約別単価'!G6+'前提と出典'!$C$38*'契約別単価'!G7)</ns0:f>
        <ns0:v>1508801.1173184356</ns0:v>
      </ns0:c>
      <ns0:c r="H762" s="16">
        <ns0:f>A762*('前提と出典'!$C$36*'契約別単価'!H5+'前提と出典'!$C$37*'契約別単価'!H6+'前提と出典'!$C$38*'契約別単価'!H7)</ns0:f>
        <ns0:v>523629.6600320035</ns0:v>
      </ns0:c>
      <ns0:c r="I762" s="16">
        <ns0:f>A762*('前提と出典'!$C$36*'契約別単価'!I5+'前提と出典'!$C$37*'契約別単価'!I6+'前提と出典'!$C$38*'契約別単価'!I7)</ns0:f>
        <ns0:v>31984.212290502786</ns0:v>
      </ns0:c>
      <ns0:c r="J762" s="16">
        <ns0:f>A762*('前提と出典'!$C$36*'契約別単価'!J5+'前提と出典'!$C$37*'契約別単価'!J6+'前提と出典'!$C$38*'契約別単価'!J7)</ns0:f>
        <ns0:v>74503.47413240935</ns0:v>
      </ns0:c>
      <ns0:c r="K762" s="16">
        <ns0:f>A762*('前提と出典'!$C$36*'契約別単価'!K5+'前提と出典'!$C$37*'契約別単価'!K6+'前提と出典'!$C$38*'契約別単価'!K7)</ns0:f>
        <ns0:v>319348.08193668525</ns0:v>
      </ns0:c>
      <ns0:c r="L762" s="16">
        <ns0:f>A762*('前提と出典'!$C$36*'契約別単価'!L5+'前提と出典'!$C$37*'契約別単価'!L6+'前提と出典'!$C$38*'契約別単価'!L7)</ns0:f>
        <ns0:v>260014.3220010668</ns0:v>
      </ns0:c>
      <ns0:c r="M762" s="16">
        <ns0:f>IF(('前提と出典'!$C$36+'前提と出典'!$C$38)=0,0,IF(B762&lt;=10,'前提と出典'!B73+'前提と出典'!C73,IF(B762&lt;=100,'前提と出典'!B74+'前提と出典'!C74,IF(B762&lt;=500,'前提と出典'!B75+'前提と出典'!C75,'前提と出典'!B76+'前提と出典'!C76))))</ns0:f>
        <ns0:v>80000</ns0:v>
      </ns0:c>
      <ns0:c r="N762" s="16">
        <ns0:f>IF(('前提と出典'!$C$37+'前提と出典'!$C$38)=0,0,IF(C762&lt;=10,'前提と出典'!D73+'前提と出典'!E73,IF(C762&lt;=100,'前提と出典'!D74+'前提と出典'!E74,IF(C762&lt;=500,'前提と出典'!D75+'前提と出典'!E75,'前提と出典'!D76+'前提と出典'!E76))))</ns0:f>
        <ns0:v>56510.9346263078</ns0:v>
      </ns0:c>
      <ns0:c r="O762" s="16">
        <ns0:f>IF('前提と出典'!$C$36+'前提と出典'!$C$38=0,0,'前提と出典'!$B$4*IF('前提と出典'!$B$20=0,MAX('前提と出典'!$B$6,D762*'前提と出典'!$B$5),'前提と出典'!$B$6+D762*'前提と出典'!$B$5))</ns0:f>
        <ns0:v>752681.2960893855</ns0:v>
      </ns0:c>
      <ns0:c r="P762" s="16">
        <ns0:f>(E762+G762)*(1-'前提と出典'!$B$7)-I762-K762-M762-O762</ns0:f>
        <ns0:v>2107387.7982656127</ns0:v>
      </ns0:c>
      <ns0:c r="Q762" s="16">
        <ns0:f>(F762+H762)*(1-'前提と出典'!$B$7)-J762-L762-N762</ns0:f>
        <ns0:v>647511.4197995472</ns0:v>
      </ns0:c>
      <ns0:c r="R762" s="16">
        <ns0:f>P762-E762*'前提と出典'!$E$4</ns0:f>
        <ns0:v>1535733.095520629</ns0:v>
      </ns0:c>
      <ns0:c r="S762" s="16">
        <ns0:f>Q762-F762*'前提と出典'!$E$4</ns0:f>
        <ns0:v>481403.1755188999</ns0:v>
      </ns0:c>
      <ns0:c r="T762" s="7">
        <ns0:f>R762+S762</ns0:f>
        <ns0:v>2017136.271039529</ns0:v>
      </ns0:c>
      <ns0:c r="U762" s="16">
        <ns0:f>P762-E762*'前提と出典'!$E$5</ns0:f>
        <ns0:v>1345181.5279389676</ns0:v>
      </ns0:c>
      <ns0:c r="V762" s="16">
        <ns0:f>Q762-F762*'前提と出典'!$E$5</ns0:f>
        <ns0:v>426033.76075868425</ns0:v>
      </ns0:c>
      <ns0:c r="W762" s="7">
        <ns0:f>U762+V762</ns0:f>
        <ns0:v>1771215.2886976518</ns0:v>
      </ns0:c>
      <ns0:c r="X762" s="16">
        <ns0:f>P762-E762*'前提と出典'!$E$6</ns0:f>
        <ns0:v>1154629.9603573065</ns0:v>
      </ns0:c>
      <ns0:c r="Y762" s="16">
        <ns0:f>Q762-F762*'前提と出典'!$E$6</ns0:f>
        <ns0:v>370664.3459984686</ns0:v>
      </ns0:c>
      <ns0:c r="Z762" s="7">
        <ns0:f>X762+Y762</ns0:f>
        <ns0:v>1525294.306355775</ns0:v>
      </ns0:c>
      <ns0:c r="AA762" s="7">
        <ns0:f>IF(T762&gt;=0,A762,1001)</ns0:f>
        <ns0:v>758</ns0:v>
      </ns0:c>
      <ns0:c r="AB762" s="7">
        <ns0:f>IF(T762&lt;0,A762,0)</ns0:f>
        <ns0:v>0</ns0:v>
      </ns0:c>
      <ns0:c r="AC762" s="16">
        <ns0:f>IF(AND(OR('前提と出典'!$C$36+'前提と出典'!$C$38=0,R762&gt;=0),OR('前提と出典'!$C$37+'前提と出典'!$C$38=0,S762&gt;=0)),0,A762)</ns0:f>
        <ns0:v>0</ns0:v>
      </ns0:c>
      <ns0:c r="AD762" s="7">
        <ns0:f>IF(W762&gt;=0,A762,1001)</ns0:f>
        <ns0:v>758</ns0:v>
      </ns0:c>
      <ns0:c r="AE762" s="7">
        <ns0:f>IF(W762&lt;0,A762,0)</ns0:f>
        <ns0:v>0</ns0:v>
      </ns0:c>
      <ns0:c r="AF762" s="16">
        <ns0:f>IF(AND(OR('前提と出典'!$C$36+'前提と出典'!$C$38=0,U762&gt;=0),OR('前提と出典'!$C$37+'前提と出典'!$C$38=0,V762&gt;=0)),0,A762)</ns0:f>
        <ns0:v>0</ns0:v>
      </ns0:c>
      <ns0:c r="AG762" s="7">
        <ns0:f>IF(Z762&gt;=0,A762,1001)</ns0:f>
        <ns0:v>758</ns0:v>
      </ns0:c>
      <ns0:c r="AH762" s="4">
        <ns0:f>IF(Z762&lt;0,A762,0)</ns0:f>
        <ns0:v>0</ns0:v>
      </ns0:c>
      <ns0:c r="AI762" s="12">
        <ns0:f>IF(AND(OR('前提と出典'!$C$36+'前提と出典'!$C$38=0,X762&gt;=0),OR('前提と出典'!$C$37+'前提と出典'!$C$38=0,Y762&gt;=0)),0,A762)</ns0:f>
        <ns0:v>0</ns0:v>
      </ns0:c>
    </ns0:row>
    <ns0:row r="763" ht="24" customHeight="1">
      <ns0:c r="A763" s="4" t="n">
        <ns0:v>759</ns0:v>
      </ns0:c>
      <ns0:c r="B763" s="12">
        <ns0:f>A763*('前提と出典'!$C$36+'前提と出典'!$C$38)</ns0:f>
        <ns0:v>531.3</ns0:v>
      </ns0:c>
      <ns0:c r="C763" s="12">
        <ns0:f>A763*('前提と出典'!$C$37+'前提と出典'!$C$38)</ns0:f>
        <ns0:v>455.4</ns0:v>
      </ns0:c>
      <ns0:c r="D763" s="16">
        <ns0:f>A763*('前提と出典'!$C$36*'契約別単価'!C5+'前提と出典'!$C$37*'契約別単価'!C6+'前提と出典'!$C$38*'契約別単価'!C7)</ns0:f>
        <ns0:v>5461.407821229051</ns0:v>
      </ns0:c>
      <ns0:c r="E763" s="16">
        <ns0:f>A763*('前提と出典'!$C$36*'契約別単価'!E5+'前提と出典'!$C$37*'契約別単価'!E6+'前提と出典'!$C$38*'契約別単価'!E7)</ns0:f>
        <ns0:v>1908029.548739853</ns0:v>
      </ns0:c>
      <ns0:c r="F763" s="16">
        <ns0:f>A763*('前提と出典'!$C$36*'契約別単価'!F5+'前提と出典'!$C$37*'契約別単価'!F6+'前提と出典'!$C$38*'契約別単価'!F7)</ns0:f>
        <ns0:v>554424.6148153527</ns0:v>
      </ns0:c>
      <ns0:c r="G763" s="16">
        <ns0:f>A763*('前提と出典'!$C$36*'契約別単価'!G5+'前提と出典'!$C$37*'契約別単価'!G6+'前提と出典'!$C$38*'契約別単価'!G7)</ns0:f>
        <ns0:v>1510791.6201117318</ns0:v>
      </ns0:c>
      <ns0:c r="H763" s="16">
        <ns0:f>A763*('前提と出典'!$C$36*'契約別単価'!H5+'前提と出典'!$C$37*'契約別単価'!H6+'前提と出典'!$C$38*'契約別単価'!H7)</ns0:f>
        <ns0:v>524320.4643328373</ns0:v>
      </ns0:c>
      <ns0:c r="I763" s="16">
        <ns0:f>A763*('前提と出典'!$C$36*'契約別単価'!I5+'前提と出典'!$C$37*'契約別単価'!I6+'前提と出典'!$C$38*'契約別単価'!I7)</ns0:f>
        <ns0:v>32026.407821229044</ns0:v>
      </ns0:c>
      <ns0:c r="J763" s="16">
        <ns0:f>A763*('前提と出典'!$C$36*'契約別単価'!J5+'前提と出典'!$C$37*'契約別単価'!J6+'前提と出典'!$C$38*'契約別単価'!J7)</ns0:f>
        <ns0:v>74601.76367611965</ns0:v>
      </ns0:c>
      <ns0:c r="K763" s="16">
        <ns0:f>A763*('前提と出典'!$C$36*'契約別単価'!K5+'前提と出典'!$C$37*'契約別単価'!K6+'前提と出典'!$C$38*'契約別単価'!K7)</ns0:f>
        <ns0:v>319769.3854748603</ns0:v>
      </ns0:c>
      <ns0:c r="L763" s="16">
        <ns0:f>A763*('前提と出典'!$C$36*'契約別単価'!L5+'前提と出典'!$C$37*'契約別単価'!L6+'前提と出典'!$C$38*'契約別単価'!L7)</ns0:f>
        <ns0:v>260357.34881109456</ns0:v>
      </ns0:c>
      <ns0:c r="M763" s="16">
        <ns0:f>IF(('前提と出典'!$C$36+'前提と出典'!$C$38)=0,0,IF(B763&lt;=10,'前提と出典'!B73+'前提と出典'!C73,IF(B763&lt;=100,'前提と出典'!B74+'前提と出典'!C74,IF(B763&lt;=500,'前提と出典'!B75+'前提と出典'!C75,'前提と出典'!B76+'前提と出典'!C76))))</ns0:f>
        <ns0:v>80000</ns0:v>
      </ns0:c>
      <ns0:c r="N763" s="16">
        <ns0:f>IF(('前提と出典'!$C$37+'前提と出典'!$C$38)=0,0,IF(C763&lt;=10,'前提と出典'!D73+'前提と出典'!E73,IF(C763&lt;=100,'前提と出典'!D74+'前提と出典'!E74,IF(C763&lt;=500,'前提と出典'!D75+'前提と出典'!E75,'前提と出典'!D76+'前提と出典'!E76))))</ns0:f>
        <ns0:v>56510.9346263078</ns0:v>
      </ns0:c>
      <ns0:c r="O763" s="16">
        <ns0:f>IF('前提と出典'!$C$36+'前提と出典'!$C$38=0,0,'前提と出典'!$B$4*IF('前提と出典'!$B$20=0,MAX('前提と出典'!$B$6,D763*'前提と出典'!$B$5),'前提と出典'!$B$6+D763*'前提と出典'!$B$5))</ns0:f>
        <ns0:v>753674.279329609</ns0:v>
      </ns0:c>
      <ns0:c r="P763" s="16">
        <ns0:f>(E763+G763)*(1-'前提と出典'!$B$7)-I763-K763-M763-O763</ns0:f>
        <ns0:v>2110273.534147229</ns0:v>
      </ns0:c>
      <ns0:c r="Q763" s="16">
        <ns0:f>(F763+H763)*(1-'前提と出典'!$B$7)-J763-L763-N763</ns0:f>
        <ns0:v>648440.2091853333</ns0:v>
      </ns0:c>
      <ns0:c r="R763" s="16">
        <ns0:f>P763-E763*'前提と出典'!$E$4</ns0:f>
        <ns0:v>1537864.6695252736</ns0:v>
      </ns0:c>
      <ns0:c r="S763" s="16">
        <ns0:f>Q763-F763*'前提と出典'!$E$4</ns0:f>
        <ns0:v>482112.82474072755</ns0:v>
      </ns0:c>
      <ns0:c r="T763" s="7">
        <ns0:f>R763+S763</ns0:f>
        <ns0:v>2019977.494266001</ns0:v>
      </ns0:c>
      <ns0:c r="U763" s="16">
        <ns0:f>P763-E763*'前提と出典'!$E$5</ns0:f>
        <ns0:v>1347061.714651288</ns0:v>
      </ns0:c>
      <ns0:c r="V763" s="16">
        <ns0:f>Q763-F763*'前提と出典'!$E$5</ns0:f>
        <ns0:v>426670.3632591922</ns0:v>
      </ns0:c>
      <ns0:c r="W763" s="7">
        <ns0:f>U763+V763</ns0:f>
        <ns0:v>1773732.07791048</ns0:v>
      </ns0:c>
      <ns0:c r="X763" s="16">
        <ns0:f>P763-E763*'前提と出典'!$E$6</ns0:f>
        <ns0:v>1156258.7597773029</ns0:v>
      </ns0:c>
      <ns0:c r="Y763" s="16">
        <ns0:f>Q763-F763*'前提と出典'!$E$6</ns0:f>
        <ns0:v>371227.901777657</ns0:v>
      </ns0:c>
      <ns0:c r="Z763" s="7">
        <ns0:f>X763+Y763</ns0:f>
        <ns0:v>1527486.6615549598</ns0:v>
      </ns0:c>
      <ns0:c r="AA763" s="7">
        <ns0:f>IF(T763&gt;=0,A763,1001)</ns0:f>
        <ns0:v>759</ns0:v>
      </ns0:c>
      <ns0:c r="AB763" s="7">
        <ns0:f>IF(T763&lt;0,A763,0)</ns0:f>
        <ns0:v>0</ns0:v>
      </ns0:c>
      <ns0:c r="AC763" s="16">
        <ns0:f>IF(AND(OR('前提と出典'!$C$36+'前提と出典'!$C$38=0,R763&gt;=0),OR('前提と出典'!$C$37+'前提と出典'!$C$38=0,S763&gt;=0)),0,A763)</ns0:f>
        <ns0:v>0</ns0:v>
      </ns0:c>
      <ns0:c r="AD763" s="7">
        <ns0:f>IF(W763&gt;=0,A763,1001)</ns0:f>
        <ns0:v>759</ns0:v>
      </ns0:c>
      <ns0:c r="AE763" s="7">
        <ns0:f>IF(W763&lt;0,A763,0)</ns0:f>
        <ns0:v>0</ns0:v>
      </ns0:c>
      <ns0:c r="AF763" s="16">
        <ns0:f>IF(AND(OR('前提と出典'!$C$36+'前提と出典'!$C$38=0,U763&gt;=0),OR('前提と出典'!$C$37+'前提と出典'!$C$38=0,V763&gt;=0)),0,A763)</ns0:f>
        <ns0:v>0</ns0:v>
      </ns0:c>
      <ns0:c r="AG763" s="7">
        <ns0:f>IF(Z763&gt;=0,A763,1001)</ns0:f>
        <ns0:v>759</ns0:v>
      </ns0:c>
      <ns0:c r="AH763" s="4">
        <ns0:f>IF(Z763&lt;0,A763,0)</ns0:f>
        <ns0:v>0</ns0:v>
      </ns0:c>
      <ns0:c r="AI763" s="12">
        <ns0:f>IF(AND(OR('前提と出典'!$C$36+'前提と出典'!$C$38=0,X763&gt;=0),OR('前提と出典'!$C$37+'前提と出典'!$C$38=0,Y763&gt;=0)),0,A763)</ns0:f>
        <ns0:v>0</ns0:v>
      </ns0:c>
    </ns0:row>
    <ns0:row r="764" ht="24" customHeight="1">
      <ns0:c r="A764" s="4" t="n">
        <ns0:v>760</ns0:v>
      </ns0:c>
      <ns0:c r="B764" s="12">
        <ns0:f>A764*('前提と出典'!$C$36+'前提と出典'!$C$38)</ns0:f>
        <ns0:v>532</ns0:v>
      </ns0:c>
      <ns0:c r="C764" s="12">
        <ns0:f>A764*('前提と出典'!$C$37+'前提と出典'!$C$38)</ns0:f>
        <ns0:v>456</ns0:v>
      </ns0:c>
      <ns0:c r="D764" s="16">
        <ns0:f>A764*('前提と出典'!$C$36*'契約別単価'!C5+'前提と出典'!$C$37*'契約別単価'!C6+'前提と出典'!$C$38*'契約別単価'!C7)</ns0:f>
        <ns0:v>5468.6033519553075</ns0:v>
      </ns0:c>
      <ns0:c r="E764" s="16">
        <ns0:f>A764*('前提と出典'!$C$36*'契約別単価'!E5+'前提と出典'!$C$37*'契約別単価'!E6+'前提と出典'!$C$38*'契約別単価'!E7)</ns0:f>
        <ns0:v>1910543.421663094</ns0:v>
      </ns0:c>
      <ns0:c r="F764" s="16">
        <ns0:f>A764*('前提と出典'!$C$36*'契約別単価'!F5+'前提と出典'!$C$37*'契約別単価'!F6+'前提と出典'!$C$38*'契約別単価'!F7)</ns0:f>
        <ns0:v>555155.0820285482</ns0:v>
      </ns0:c>
      <ns0:c r="G764" s="16">
        <ns0:f>A764*('前提と出典'!$C$36*'契約別単価'!G5+'前提と出典'!$C$37*'契約別単価'!G6+'前提と出典'!$C$38*'契約別単価'!G7)</ns0:f>
        <ns0:v>1512782.1229050278</ns0:v>
      </ns0:c>
      <ns0:c r="H764" s="16">
        <ns0:f>A764*('前提と出典'!$C$36*'契約別単価'!H5+'前提と出典'!$C$37*'契約別単価'!H6+'前提と出典'!$C$38*'契約別単価'!H7)</ns0:f>
        <ns0:v>525011.268633671</ns0:v>
      </ns0:c>
      <ns0:c r="I764" s="16">
        <ns0:f>A764*('前提と出典'!$C$36*'契約別単価'!I5+'前提と出典'!$C$37*'契約別単価'!I6+'前提と出典'!$C$38*'契約別単価'!I7)</ns0:f>
        <ns0:v>32068.603351955302</ns0:v>
      </ns0:c>
      <ns0:c r="J764" s="16">
        <ns0:f>A764*('前提と出典'!$C$36*'契約別単価'!J5+'前提と出典'!$C$37*'契約別単価'!J6+'前提と出典'!$C$38*'契約別単価'!J7)</ns0:f>
        <ns0:v>74700.05321982995</ns0:v>
      </ns0:c>
      <ns0:c r="K764" s="16">
        <ns0:f>A764*('前提と出典'!$C$36*'契約別単価'!K5+'前提と出典'!$C$37*'契約別単価'!K6+'前提と出典'!$C$38*'契約別単価'!K7)</ns0:f>
        <ns0:v>320190.6890130354</ns0:v>
      </ns0:c>
      <ns0:c r="L764" s="16">
        <ns0:f>A764*('前提と出典'!$C$36*'契約別単価'!L5+'前提と出典'!$C$37*'契約別単価'!L6+'前提と出典'!$C$38*'契約別単価'!L7)</ns0:f>
        <ns0:v>260700.37562112237</ns0:v>
      </ns0:c>
      <ns0:c r="M764" s="16">
        <ns0:f>IF(('前提と出典'!$C$36+'前提と出典'!$C$38)=0,0,IF(B764&lt;=10,'前提と出典'!B73+'前提と出典'!C73,IF(B764&lt;=100,'前提と出典'!B74+'前提と出典'!C74,IF(B764&lt;=500,'前提と出典'!B75+'前提と出典'!C75,'前提と出典'!B76+'前提と出典'!C76))))</ns0:f>
        <ns0:v>80000</ns0:v>
      </ns0:c>
      <ns0:c r="N764" s="16">
        <ns0:f>IF(('前提と出典'!$C$37+'前提と出典'!$C$38)=0,0,IF(C764&lt;=10,'前提と出典'!D73+'前提と出典'!E73,IF(C764&lt;=100,'前提と出典'!D74+'前提と出典'!E74,IF(C764&lt;=500,'前提と出典'!D75+'前提と出典'!E75,'前提と出典'!D76+'前提と出典'!E76))))</ns0:f>
        <ns0:v>56510.9346263078</ns0:v>
      </ns0:c>
      <ns0:c r="O764" s="16">
        <ns0:f>IF('前提と出典'!$C$36+'前提と出典'!$C$38=0,0,'前提と出典'!$B$4*IF('前提と出典'!$B$20=0,MAX('前提と出典'!$B$6,D764*'前提と出典'!$B$5),'前提と出典'!$B$6+D764*'前提と出典'!$B$5))</ns0:f>
        <ns0:v>754667.2625698325</ns0:v>
      </ns0:c>
      <ns0:c r="P764" s="16">
        <ns0:f>(E764+G764)*(1-'前提と出典'!$B$7)-I764-K764-M764-O764</ns0:f>
        <ns0:v>2113159.2700288463</ns0:v>
      </ns0:c>
      <ns0:c r="Q764" s="16">
        <ns0:f>(F764+H764)*(1-'前提と出典'!$B$7)-J764-L764-N764</ns0:f>
        <ns0:v>649368.9985711193</ns0:v>
      </ns0:c>
      <ns0:c r="R764" s="16">
        <ns0:f>P764-E764*'前提と出典'!$E$4</ns0:f>
        <ns0:v>1539996.2435299181</ns0:v>
      </ns0:c>
      <ns0:c r="S764" s="16">
        <ns0:f>Q764-F764*'前提と出典'!$E$4</ns0:f>
        <ns0:v>482822.47396255494</ns0:v>
      </ns0:c>
      <ns0:c r="T764" s="7">
        <ns0:f>R764+S764</ns0:f>
        <ns0:v>2022818.717492473</ns0:v>
      </ns0:c>
      <ns0:c r="U764" s="16">
        <ns0:f>P764-E764*'前提と出典'!$E$5</ns0:f>
        <ns0:v>1348941.901363609</ns0:v>
      </ns0:c>
      <ns0:c r="V764" s="16">
        <ns0:f>Q764-F764*'前提と出典'!$E$5</ns0:f>
        <ns0:v>427306.9657597</ns0:v>
      </ns0:c>
      <ns0:c r="W764" s="7">
        <ns0:f>U764+V764</ns0:f>
        <ns0:v>1776248.8671233088</ns0:v>
      </ns0:c>
      <ns0:c r="X764" s="16">
        <ns0:f>P764-E764*'前提と出典'!$E$6</ns0:f>
        <ns0:v>1157887.5591972987</ns0:v>
      </ns0:c>
      <ns0:c r="Y764" s="16">
        <ns0:f>Q764-F764*'前提と出典'!$E$6</ns0:f>
        <ns0:v>371791.4575568452</ns0:v>
      </ns0:c>
      <ns0:c r="Z764" s="7">
        <ns0:f>X764+Y764</ns0:f>
        <ns0:v>1529679.0167541439</ns0:v>
      </ns0:c>
      <ns0:c r="AA764" s="7">
        <ns0:f>IF(T764&gt;=0,A764,1001)</ns0:f>
        <ns0:v>760</ns0:v>
      </ns0:c>
      <ns0:c r="AB764" s="7">
        <ns0:f>IF(T764&lt;0,A764,0)</ns0:f>
        <ns0:v>0</ns0:v>
      </ns0:c>
      <ns0:c r="AC764" s="16">
        <ns0:f>IF(AND(OR('前提と出典'!$C$36+'前提と出典'!$C$38=0,R764&gt;=0),OR('前提と出典'!$C$37+'前提と出典'!$C$38=0,S764&gt;=0)),0,A764)</ns0:f>
        <ns0:v>0</ns0:v>
      </ns0:c>
      <ns0:c r="AD764" s="7">
        <ns0:f>IF(W764&gt;=0,A764,1001)</ns0:f>
        <ns0:v>760</ns0:v>
      </ns0:c>
      <ns0:c r="AE764" s="7">
        <ns0:f>IF(W764&lt;0,A764,0)</ns0:f>
        <ns0:v>0</ns0:v>
      </ns0:c>
      <ns0:c r="AF764" s="16">
        <ns0:f>IF(AND(OR('前提と出典'!$C$36+'前提と出典'!$C$38=0,U764&gt;=0),OR('前提と出典'!$C$37+'前提と出典'!$C$38=0,V764&gt;=0)),0,A764)</ns0:f>
        <ns0:v>0</ns0:v>
      </ns0:c>
      <ns0:c r="AG764" s="7">
        <ns0:f>IF(Z764&gt;=0,A764,1001)</ns0:f>
        <ns0:v>760</ns0:v>
      </ns0:c>
      <ns0:c r="AH764" s="4">
        <ns0:f>IF(Z764&lt;0,A764,0)</ns0:f>
        <ns0:v>0</ns0:v>
      </ns0:c>
      <ns0:c r="AI764" s="12">
        <ns0:f>IF(AND(OR('前提と出典'!$C$36+'前提と出典'!$C$38=0,X764&gt;=0),OR('前提と出典'!$C$37+'前提と出典'!$C$38=0,Y764&gt;=0)),0,A764)</ns0:f>
        <ns0:v>0</ns0:v>
      </ns0:c>
    </ns0:row>
    <ns0:row r="765" ht="24" customHeight="1">
      <ns0:c r="A765" s="4" t="n">
        <ns0:v>761</ns0:v>
      </ns0:c>
      <ns0:c r="B765" s="12">
        <ns0:f>A765*('前提と出典'!$C$36+'前提と出典'!$C$38)</ns0:f>
        <ns0:v>532.6999999999999</ns0:v>
      </ns0:c>
      <ns0:c r="C765" s="12">
        <ns0:f>A765*('前提と出典'!$C$37+'前提と出典'!$C$38)</ns0:f>
        <ns0:v>456.59999999999997</ns0:v>
      </ns0:c>
      <ns0:c r="D765" s="16">
        <ns0:f>A765*('前提と出典'!$C$36*'契約別単価'!C5+'前提と出典'!$C$37*'契約別単価'!C6+'前提と出典'!$C$38*'契約別単価'!C7)</ns0:f>
        <ns0:v>5475.7988826815645</ns0:v>
      </ns0:c>
      <ns0:c r="E765" s="16">
        <ns0:f>A765*('前提と出典'!$C$36*'契約別単価'!E5+'前提と出典'!$C$37*'契約別単価'!E6+'前提と出典'!$C$38*'契約別単価'!E7)</ns0:f>
        <ns0:v>1913057.294586335</ns0:v>
      </ns0:c>
      <ns0:c r="F765" s="16">
        <ns0:f>A765*('前提と出典'!$C$36*'契約別単価'!F5+'前提と出典'!$C$37*'契約別単価'!F6+'前提と出典'!$C$38*'契約別単価'!F7)</ns0:f>
        <ns0:v>555885.5492417436</ns0:v>
      </ns0:c>
      <ns0:c r="G765" s="16">
        <ns0:f>A765*('前提と出典'!$C$36*'契約別単価'!G5+'前提と出典'!$C$37*'契約別単価'!G6+'前提と出典'!$C$38*'契約別単価'!G7)</ns0:f>
        <ns0:v>1514772.625698324</ns0:v>
      </ns0:c>
      <ns0:c r="H765" s="16">
        <ns0:f>A765*('前提と出典'!$C$36*'契約別単価'!H5+'前提と出典'!$C$37*'契約別単価'!H6+'前提と出典'!$C$38*'契約別単価'!H7)</ns0:f>
        <ns0:v>525702.0729345048</ns0:v>
      </ns0:c>
      <ns0:c r="I765" s="16">
        <ns0:f>A765*('前提と出典'!$C$36*'契約別単価'!I5+'前提と出典'!$C$37*'契約別単価'!I6+'前提と出典'!$C$38*'契約別単価'!I7)</ns0:f>
        <ns0:v>32110.79888268156</ns0:v>
      </ns0:c>
      <ns0:c r="J765" s="16">
        <ns0:f>A765*('前提と出典'!$C$36*'契約別単価'!J5+'前提と出典'!$C$37*'契約別単価'!J6+'前提と出典'!$C$38*'契約別単価'!J7)</ns0:f>
        <ns0:v>74798.34276354025</ns0:v>
      </ns0:c>
      <ns0:c r="K765" s="16">
        <ns0:f>A765*('前提と出典'!$C$36*'契約別単価'!K5+'前提と出典'!$C$37*'契約別単価'!K6+'前提と出典'!$C$38*'契約別単価'!K7)</ns0:f>
        <ns0:v>320611.9925512104</ns0:v>
      </ns0:c>
      <ns0:c r="L765" s="16">
        <ns0:f>A765*('前提と出典'!$C$36*'契約別単価'!L5+'前提と出典'!$C$37*'契約別単価'!L6+'前提と出典'!$C$38*'契約別単価'!L7)</ns0:f>
        <ns0:v>261043.40243115014</ns0:v>
      </ns0:c>
      <ns0:c r="M765" s="16">
        <ns0:f>IF(('前提と出典'!$C$36+'前提と出典'!$C$38)=0,0,IF(B765&lt;=10,'前提と出典'!B73+'前提と出典'!C73,IF(B765&lt;=100,'前提と出典'!B74+'前提と出典'!C74,IF(B765&lt;=500,'前提と出典'!B75+'前提と出典'!C75,'前提と出典'!B76+'前提と出典'!C76))))</ns0:f>
        <ns0:v>80000</ns0:v>
      </ns0:c>
      <ns0:c r="N765" s="16">
        <ns0:f>IF(('前提と出典'!$C$37+'前提と出典'!$C$38)=0,0,IF(C765&lt;=10,'前提と出典'!D73+'前提と出典'!E73,IF(C765&lt;=100,'前提と出典'!D74+'前提と出典'!E74,IF(C765&lt;=500,'前提と出典'!D75+'前提と出典'!E75,'前提と出典'!D76+'前提と出典'!E76))))</ns0:f>
        <ns0:v>56510.9346263078</ns0:v>
      </ns0:c>
      <ns0:c r="O765" s="16">
        <ns0:f>IF('前提と出典'!$C$36+'前提と出典'!$C$38=0,0,'前提と出典'!$B$4*IF('前提と出典'!$B$20=0,MAX('前提と出典'!$B$6,D765*'前提と出典'!$B$5),'前提と出典'!$B$6+D765*'前提と出典'!$B$5))</ns0:f>
        <ns0:v>755660.245810056</ns0:v>
      </ns0:c>
      <ns0:c r="P765" s="16">
        <ns0:f>(E765+G765)*(1-'前提と出典'!$B$7)-I765-K765-M765-O765</ns0:f>
        <ns0:v>2116045.0059104636</ns0:v>
      </ns0:c>
      <ns0:c r="Q765" s="16">
        <ns0:f>(F765+H765)*(1-'前提と出典'!$B$7)-J765-L765-N765</ns0:f>
        <ns0:v>650297.7879569056</ns0:v>
      </ns0:c>
      <ns0:c r="R765" s="16">
        <ns0:f>P765-E765*'前提と出典'!$E$4</ns0:f>
        <ns0:v>1542127.8175345631</ns0:v>
      </ns0:c>
      <ns0:c r="S765" s="16">
        <ns0:f>Q765-F765*'前提と出典'!$E$4</ns0:f>
        <ns0:v>483532.12318438245</ns0:v>
      </ns0:c>
      <ns0:c r="T765" s="7">
        <ns0:f>R765+S765</ns0:f>
        <ns0:v>2025659.9407189456</ns0:v>
      </ns0:c>
      <ns0:c r="U765" s="16">
        <ns0:f>P765-E765*'前提と出典'!$E$5</ns0:f>
        <ns0:v>1350822.0880759298</ns0:v>
      </ns0:c>
      <ns0:c r="V765" s="16">
        <ns0:f>Q765-F765*'前提と出典'!$E$5</ns0:f>
        <ns0:v>427943.56826020806</ns0:v>
      </ns0:c>
      <ns0:c r="W765" s="7">
        <ns0:f>U765+V765</ns0:f>
        <ns0:v>1778765.6563361378</ns0:v>
      </ns0:c>
      <ns0:c r="X765" s="16">
        <ns0:f>P765-E765*'前提と出典'!$E$6</ns0:f>
        <ns0:v>1159516.358617296</ns0:v>
      </ns0:c>
      <ns0:c r="Y765" s="16">
        <ns0:f>Q765-F765*'前提と出典'!$E$6</ns0:f>
        <ns0:v>372355.01333603373</ns0:v>
      </ns0:c>
      <ns0:c r="Z765" s="7">
        <ns0:f>X765+Y765</ns0:f>
        <ns0:v>1531871.3719533298</ns0:v>
      </ns0:c>
      <ns0:c r="AA765" s="7">
        <ns0:f>IF(T765&gt;=0,A765,1001)</ns0:f>
        <ns0:v>761</ns0:v>
      </ns0:c>
      <ns0:c r="AB765" s="7">
        <ns0:f>IF(T765&lt;0,A765,0)</ns0:f>
        <ns0:v>0</ns0:v>
      </ns0:c>
      <ns0:c r="AC765" s="16">
        <ns0:f>IF(AND(OR('前提と出典'!$C$36+'前提と出典'!$C$38=0,R765&gt;=0),OR('前提と出典'!$C$37+'前提と出典'!$C$38=0,S765&gt;=0)),0,A765)</ns0:f>
        <ns0:v>0</ns0:v>
      </ns0:c>
      <ns0:c r="AD765" s="7">
        <ns0:f>IF(W765&gt;=0,A765,1001)</ns0:f>
        <ns0:v>761</ns0:v>
      </ns0:c>
      <ns0:c r="AE765" s="7">
        <ns0:f>IF(W765&lt;0,A765,0)</ns0:f>
        <ns0:v>0</ns0:v>
      </ns0:c>
      <ns0:c r="AF765" s="16">
        <ns0:f>IF(AND(OR('前提と出典'!$C$36+'前提と出典'!$C$38=0,U765&gt;=0),OR('前提と出典'!$C$37+'前提と出典'!$C$38=0,V765&gt;=0)),0,A765)</ns0:f>
        <ns0:v>0</ns0:v>
      </ns0:c>
      <ns0:c r="AG765" s="7">
        <ns0:f>IF(Z765&gt;=0,A765,1001)</ns0:f>
        <ns0:v>761</ns0:v>
      </ns0:c>
      <ns0:c r="AH765" s="4">
        <ns0:f>IF(Z765&lt;0,A765,0)</ns0:f>
        <ns0:v>0</ns0:v>
      </ns0:c>
      <ns0:c r="AI765" s="12">
        <ns0:f>IF(AND(OR('前提と出典'!$C$36+'前提と出典'!$C$38=0,X765&gt;=0),OR('前提と出典'!$C$37+'前提と出典'!$C$38=0,Y765&gt;=0)),0,A765)</ns0:f>
        <ns0:v>0</ns0:v>
      </ns0:c>
    </ns0:row>
    <ns0:row r="766" ht="24" customHeight="1">
      <ns0:c r="A766" s="4" t="n">
        <ns0:v>762</ns0:v>
      </ns0:c>
      <ns0:c r="B766" s="12">
        <ns0:f>A766*('前提と出典'!$C$36+'前提と出典'!$C$38)</ns0:f>
        <ns0:v>533.4</ns0:v>
      </ns0:c>
      <ns0:c r="C766" s="12">
        <ns0:f>A766*('前提と出典'!$C$37+'前提と出典'!$C$38)</ns0:f>
        <ns0:v>457.2</ns0:v>
      </ns0:c>
      <ns0:c r="D766" s="16">
        <ns0:f>A766*('前提と出典'!$C$36*'契約別単価'!C5+'前提と出典'!$C$37*'契約別単価'!C6+'前提と出典'!$C$38*'契約別単価'!C7)</ns0:f>
        <ns0:v>5482.994413407821</ns0:v>
      </ns0:c>
      <ns0:c r="E766" s="16">
        <ns0:f>A766*('前提と出典'!$C$36*'契約別単価'!E5+'前提と出典'!$C$37*'契約別単価'!E6+'前提と出典'!$C$38*'契約別単価'!E7)</ns0:f>
        <ns0:v>1915571.1675095758</ns0:v>
      </ns0:c>
      <ns0:c r="F766" s="16">
        <ns0:f>A766*('前提と出典'!$C$36*'契約別単価'!F5+'前提と出典'!$C$37*'契約別単価'!F6+'前提と出典'!$C$38*'契約別単価'!F7)</ns0:f>
        <ns0:v>556616.0164549391</ns0:v>
      </ns0:c>
      <ns0:c r="G766" s="16">
        <ns0:f>A766*('前提と出典'!$C$36*'契約別単価'!G5+'前提と出典'!$C$37*'契約別単価'!G6+'前提と出典'!$C$38*'契約別単価'!G7)</ns0:f>
        <ns0:v>1516763.12849162</ns0:v>
      </ns0:c>
      <ns0:c r="H766" s="16">
        <ns0:f>A766*('前提と出典'!$C$36*'契約別単価'!H5+'前提と出典'!$C$37*'契約別単価'!H6+'前提と出典'!$C$38*'契約別単価'!H7)</ns0:f>
        <ns0:v>526392.8772353386</ns0:v>
      </ns0:c>
      <ns0:c r="I766" s="16">
        <ns0:f>A766*('前提と出典'!$C$36*'契約別単価'!I5+'前提と出典'!$C$37*'契約別単価'!I6+'前提と出典'!$C$38*'契約別単価'!I7)</ns0:f>
        <ns0:v>32152.994413407814</ns0:v>
      </ns0:c>
      <ns0:c r="J766" s="16">
        <ns0:f>A766*('前提と出典'!$C$36*'契約別単価'!J5+'前提と出典'!$C$37*'契約別単価'!J6+'前提と出典'!$C$38*'契約別単価'!J7)</ns0:f>
        <ns0:v>74896.63230725056</ns0:v>
      </ns0:c>
      <ns0:c r="K766" s="16">
        <ns0:f>A766*('前提と出典'!$C$36*'契約別単価'!K5+'前提と出典'!$C$37*'契約別単価'!K6+'前提と出典'!$C$38*'契約別単価'!K7)</ns0:f>
        <ns0:v>321033.29608938546</ns0:v>
      </ns0:c>
      <ns0:c r="L766" s="16">
        <ns0:f>A766*('前提と出典'!$C$36*'契約別単価'!L5+'前提と出典'!$C$37*'契約別単価'!L6+'前提と出典'!$C$38*'契約別単価'!L7)</ns0:f>
        <ns0:v>261386.42924117795</ns0:v>
      </ns0:c>
      <ns0:c r="M766" s="16">
        <ns0:f>IF(('前提と出典'!$C$36+'前提と出典'!$C$38)=0,0,IF(B766&lt;=10,'前提と出典'!B73+'前提と出典'!C73,IF(B766&lt;=100,'前提と出典'!B74+'前提と出典'!C74,IF(B766&lt;=500,'前提と出典'!B75+'前提と出典'!C75,'前提と出典'!B76+'前提と出典'!C76))))</ns0:f>
        <ns0:v>80000</ns0:v>
      </ns0:c>
      <ns0:c r="N766" s="16">
        <ns0:f>IF(('前提と出典'!$C$37+'前提と出典'!$C$38)=0,0,IF(C766&lt;=10,'前提と出典'!D73+'前提と出典'!E73,IF(C766&lt;=100,'前提と出典'!D74+'前提と出典'!E74,IF(C766&lt;=500,'前提と出典'!D75+'前提と出典'!E75,'前提と出典'!D76+'前提と出典'!E76))))</ns0:f>
        <ns0:v>56510.9346263078</ns0:v>
      </ns0:c>
      <ns0:c r="O766" s="16">
        <ns0:f>IF('前提と出典'!$C$36+'前提と出典'!$C$38=0,0,'前提と出典'!$B$4*IF('前提と出典'!$B$20=0,MAX('前提と出典'!$B$6,D766*'前提と出典'!$B$5),'前提と出典'!$B$6+D766*'前提と出典'!$B$5))</ns0:f>
        <ns0:v>756653.2290502794</ns0:v>
      </ns0:c>
      <ns0:c r="P766" s="16">
        <ns0:f>(E766+G766)*(1-'前提と出典'!$B$7)-I766-K766-M766-O766</ns0:f>
        <ns0:v>2118930.74179208</ns0:v>
      </ns0:c>
      <ns0:c r="Q766" s="16">
        <ns0:f>(F766+H766)*(1-'前提と出典'!$B$7)-J766-L766-N766</ns0:f>
        <ns0:v>651226.5773426915</ns0:v>
      </ns0:c>
      <ns0:c r="R766" s="16">
        <ns0:f>P766-E766*'前提と出典'!$E$4</ns0:f>
        <ns0:v>1544259.391539207</ns0:v>
      </ns0:c>
      <ns0:c r="S766" s="16">
        <ns0:f>Q766-F766*'前提と出典'!$E$4</ns0:f>
        <ns0:v>484241.7724062097</ns0:v>
      </ns0:c>
      <ns0:c r="T766" s="7">
        <ns0:f>R766+S766</ns0:f>
        <ns0:v>2028501.1639454167</ns0:v>
      </ns0:c>
      <ns0:c r="U766" s="16">
        <ns0:f>P766-E766*'前提と出典'!$E$5</ns0:f>
        <ns0:v>1352702.2747882495</ns0:v>
      </ns0:c>
      <ns0:c r="V766" s="16">
        <ns0:f>Q766-F766*'前提と出典'!$E$5</ns0:f>
        <ns0:v>428580.17076071585</ns0:v>
      </ns0:c>
      <ns0:c r="W766" s="7">
        <ns0:f>U766+V766</ns0:f>
        <ns0:v>1781282.4455489654</ns0:v>
      </ns0:c>
      <ns0:c r="X766" s="16">
        <ns0:f>P766-E766*'前提と出典'!$E$6</ns0:f>
        <ns0:v>1161145.1580372918</ns0:v>
      </ns0:c>
      <ns0:c r="Y766" s="16">
        <ns0:f>Q766-F766*'前提と出典'!$E$6</ns0:f>
        <ns0:v>372918.56911522185</ns0:v>
      </ns0:c>
      <ns0:c r="Z766" s="7">
        <ns0:f>X766+Y766</ns0:f>
        <ns0:v>1534063.7271525138</ns0:v>
      </ns0:c>
      <ns0:c r="AA766" s="7">
        <ns0:f>IF(T766&gt;=0,A766,1001)</ns0:f>
        <ns0:v>762</ns0:v>
      </ns0:c>
      <ns0:c r="AB766" s="7">
        <ns0:f>IF(T766&lt;0,A766,0)</ns0:f>
        <ns0:v>0</ns0:v>
      </ns0:c>
      <ns0:c r="AC766" s="16">
        <ns0:f>IF(AND(OR('前提と出典'!$C$36+'前提と出典'!$C$38=0,R766&gt;=0),OR('前提と出典'!$C$37+'前提と出典'!$C$38=0,S766&gt;=0)),0,A766)</ns0:f>
        <ns0:v>0</ns0:v>
      </ns0:c>
      <ns0:c r="AD766" s="7">
        <ns0:f>IF(W766&gt;=0,A766,1001)</ns0:f>
        <ns0:v>762</ns0:v>
      </ns0:c>
      <ns0:c r="AE766" s="7">
        <ns0:f>IF(W766&lt;0,A766,0)</ns0:f>
        <ns0:v>0</ns0:v>
      </ns0:c>
      <ns0:c r="AF766" s="16">
        <ns0:f>IF(AND(OR('前提と出典'!$C$36+'前提と出典'!$C$38=0,U766&gt;=0),OR('前提と出典'!$C$37+'前提と出典'!$C$38=0,V766&gt;=0)),0,A766)</ns0:f>
        <ns0:v>0</ns0:v>
      </ns0:c>
      <ns0:c r="AG766" s="7">
        <ns0:f>IF(Z766&gt;=0,A766,1001)</ns0:f>
        <ns0:v>762</ns0:v>
      </ns0:c>
      <ns0:c r="AH766" s="4">
        <ns0:f>IF(Z766&lt;0,A766,0)</ns0:f>
        <ns0:v>0</ns0:v>
      </ns0:c>
      <ns0:c r="AI766" s="12">
        <ns0:f>IF(AND(OR('前提と出典'!$C$36+'前提と出典'!$C$38=0,X766&gt;=0),OR('前提と出典'!$C$37+'前提と出典'!$C$38=0,Y766&gt;=0)),0,A766)</ns0:f>
        <ns0:v>0</ns0:v>
      </ns0:c>
    </ns0:row>
    <ns0:row r="767" ht="24" customHeight="1">
      <ns0:c r="A767" s="4" t="n">
        <ns0:v>763</ns0:v>
      </ns0:c>
      <ns0:c r="B767" s="12">
        <ns0:f>A767*('前提と出典'!$C$36+'前提と出典'!$C$38)</ns0:f>
        <ns0:v>534.1</ns0:v>
      </ns0:c>
      <ns0:c r="C767" s="12">
        <ns0:f>A767*('前提と出典'!$C$37+'前提と出典'!$C$38)</ns0:f>
        <ns0:v>457.8</ns0:v>
      </ns0:c>
      <ns0:c r="D767" s="16">
        <ns0:f>A767*('前提と出典'!$C$36*'契約別単価'!C5+'前提と出典'!$C$37*'契約別単価'!C6+'前提と出典'!$C$38*'契約別単価'!C7)</ns0:f>
        <ns0:v>5490.189944134078</ns0:v>
      </ns0:c>
      <ns0:c r="E767" s="16">
        <ns0:f>A767*('前提と出典'!$C$36*'契約別単価'!E5+'前提と出典'!$C$37*'契約別単価'!E6+'前提と出典'!$C$38*'契約別単価'!E7)</ns0:f>
        <ns0:v>1918085.0404328168</ns0:v>
      </ns0:c>
      <ns0:c r="F767" s="16">
        <ns0:f>A767*('前提と出典'!$C$36*'契約別単価'!F5+'前提と出典'!$C$37*'契約別単価'!F6+'前提と出典'!$C$38*'契約別単価'!F7)</ns0:f>
        <ns0:v>557346.4836681345</ns0:v>
      </ns0:c>
      <ns0:c r="G767" s="16">
        <ns0:f>A767*('前提と出典'!$C$36*'契約別単価'!G5+'前提と出典'!$C$37*'契約別単価'!G6+'前提と出典'!$C$38*'契約別単価'!G7)</ns0:f>
        <ns0:v>1518753.631284916</ns0:v>
      </ns0:c>
      <ns0:c r="H767" s="16">
        <ns0:f>A767*('前提と出典'!$C$36*'契約別単価'!H5+'前提と出典'!$C$37*'契約別単価'!H6+'前提と出典'!$C$38*'契約別単価'!H7)</ns0:f>
        <ns0:v>527083.6815361724</ns0:v>
      </ns0:c>
      <ns0:c r="I767" s="16">
        <ns0:f>A767*('前提と出典'!$C$36*'契約別単価'!I5+'前提と出典'!$C$37*'契約別単価'!I6+'前提と出典'!$C$38*'契約別単価'!I7)</ns0:f>
        <ns0:v>32195.189944134072</ns0:v>
      </ns0:c>
      <ns0:c r="J767" s="16">
        <ns0:f>A767*('前提と出典'!$C$36*'契約別単価'!J5+'前提と出典'!$C$37*'契約別単価'!J6+'前提と出典'!$C$38*'契約別単価'!J7)</ns0:f>
        <ns0:v>74994.92185096086</ns0:v>
      </ns0:c>
      <ns0:c r="K767" s="16">
        <ns0:f>A767*('前提と出典'!$C$36*'契約別単価'!K5+'前提と出典'!$C$37*'契約別単価'!K6+'前提と出典'!$C$38*'契約別単価'!K7)</ns0:f>
        <ns0:v>321454.5996275605</ns0:v>
      </ns0:c>
      <ns0:c r="L767" s="16">
        <ns0:f>A767*('前提と出典'!$C$36*'契約別単価'!L5+'前提と出典'!$C$37*'契約別単価'!L6+'前提と出典'!$C$38*'契約別単価'!L7)</ns0:f>
        <ns0:v>261729.45605120575</ns0:v>
      </ns0:c>
      <ns0:c r="M767" s="16">
        <ns0:f>IF(('前提と出典'!$C$36+'前提と出典'!$C$38)=0,0,IF(B767&lt;=10,'前提と出典'!B73+'前提と出典'!C73,IF(B767&lt;=100,'前提と出典'!B74+'前提と出典'!C74,IF(B767&lt;=500,'前提と出典'!B75+'前提と出典'!C75,'前提と出典'!B76+'前提と出典'!C76))))</ns0:f>
        <ns0:v>80000</ns0:v>
      </ns0:c>
      <ns0:c r="N767" s="16">
        <ns0:f>IF(('前提と出典'!$C$37+'前提と出典'!$C$38)=0,0,IF(C767&lt;=10,'前提と出典'!D73+'前提と出典'!E73,IF(C767&lt;=100,'前提と出典'!D74+'前提と出典'!E74,IF(C767&lt;=500,'前提と出典'!D75+'前提と出典'!E75,'前提と出典'!D76+'前提と出典'!E76))))</ns0:f>
        <ns0:v>56510.9346263078</ns0:v>
      </ns0:c>
      <ns0:c r="O767" s="16">
        <ns0:f>IF('前提と出典'!$C$36+'前提と出典'!$C$38=0,0,'前提と出典'!$B$4*IF('前提と出典'!$B$20=0,MAX('前提と出典'!$B$6,D767*'前提と出典'!$B$5),'前提と出典'!$B$6+D767*'前提と出典'!$B$5))</ns0:f>
        <ns0:v>757646.2122905029</ns0:v>
      </ns0:c>
      <ns0:c r="P767" s="16">
        <ns0:f>(E767+G767)*(1-'前提と出典'!$B$7)-I767-K767-M767-O767</ns0:f>
        <ns0:v>2121816.4776736978</ns0:v>
      </ns0:c>
      <ns0:c r="Q767" s="16">
        <ns0:f>(F767+H767)*(1-'前提と出典'!$B$7)-J767-L767-N767</ns0:f>
        <ns0:v>652155.3667284776</ns0:v>
      </ns0:c>
      <ns0:c r="R767" s="16">
        <ns0:f>P767-E767*'前提と出典'!$E$4</ns0:f>
        <ns0:v>1546390.9655438524</ns0:v>
      </ns0:c>
      <ns0:c r="S767" s="16">
        <ns0:f>Q767-F767*'前提と出典'!$E$4</ns0:f>
        <ns0:v>484951.42162803723</ns0:v>
      </ns0:c>
      <ns0:c r="T767" s="7">
        <ns0:f>R767+S767</ns0:f>
        <ns0:v>2031342.3871718897</ns0:v>
      </ns0:c>
      <ns0:c r="U767" s="16">
        <ns0:f>P767-E767*'前提と出典'!$E$5</ns0:f>
        <ns0:v>1354582.4615005709</ns0:v>
      </ns0:c>
      <ns0:c r="V767" s="16">
        <ns0:f>Q767-F767*'前提と出典'!$E$5</ns0:f>
        <ns0:v>429216.7732612238</ns0:v>
      </ns0:c>
      <ns0:c r="W767" s="7">
        <ns0:f>U767+V767</ns0:f>
        <ns0:v>1783799.2347617946</ns0:v>
      </ns0:c>
      <ns0:c r="X767" s="16">
        <ns0:f>P767-E767*'前提と出典'!$E$6</ns0:f>
        <ns0:v>1162773.9574572893</ns0:v>
      </ns0:c>
      <ns0:c r="Y767" s="16">
        <ns0:f>Q767-F767*'前提と出典'!$E$6</ns0:f>
        <ns0:v>373482.1248944104</ns0:v>
      </ns0:c>
      <ns0:c r="Z767" s="7">
        <ns0:f>X767+Y767</ns0:f>
        <ns0:v>1536256.0823516997</ns0:v>
      </ns0:c>
      <ns0:c r="AA767" s="7">
        <ns0:f>IF(T767&gt;=0,A767,1001)</ns0:f>
        <ns0:v>763</ns0:v>
      </ns0:c>
      <ns0:c r="AB767" s="7">
        <ns0:f>IF(T767&lt;0,A767,0)</ns0:f>
        <ns0:v>0</ns0:v>
      </ns0:c>
      <ns0:c r="AC767" s="16">
        <ns0:f>IF(AND(OR('前提と出典'!$C$36+'前提と出典'!$C$38=0,R767&gt;=0),OR('前提と出典'!$C$37+'前提と出典'!$C$38=0,S767&gt;=0)),0,A767)</ns0:f>
        <ns0:v>0</ns0:v>
      </ns0:c>
      <ns0:c r="AD767" s="7">
        <ns0:f>IF(W767&gt;=0,A767,1001)</ns0:f>
        <ns0:v>763</ns0:v>
      </ns0:c>
      <ns0:c r="AE767" s="7">
        <ns0:f>IF(W767&lt;0,A767,0)</ns0:f>
        <ns0:v>0</ns0:v>
      </ns0:c>
      <ns0:c r="AF767" s="16">
        <ns0:f>IF(AND(OR('前提と出典'!$C$36+'前提と出典'!$C$38=0,U767&gt;=0),OR('前提と出典'!$C$37+'前提と出典'!$C$38=0,V767&gt;=0)),0,A767)</ns0:f>
        <ns0:v>0</ns0:v>
      </ns0:c>
      <ns0:c r="AG767" s="7">
        <ns0:f>IF(Z767&gt;=0,A767,1001)</ns0:f>
        <ns0:v>763</ns0:v>
      </ns0:c>
      <ns0:c r="AH767" s="4">
        <ns0:f>IF(Z767&lt;0,A767,0)</ns0:f>
        <ns0:v>0</ns0:v>
      </ns0:c>
      <ns0:c r="AI767" s="12">
        <ns0:f>IF(AND(OR('前提と出典'!$C$36+'前提と出典'!$C$38=0,X767&gt;=0),OR('前提と出典'!$C$37+'前提と出典'!$C$38=0,Y767&gt;=0)),0,A767)</ns0:f>
        <ns0:v>0</ns0:v>
      </ns0:c>
    </ns0:row>
    <ns0:row r="768" ht="24" customHeight="1">
      <ns0:c r="A768" s="4" t="n">
        <ns0:v>764</ns0:v>
      </ns0:c>
      <ns0:c r="B768" s="12">
        <ns0:f>A768*('前提と出典'!$C$36+'前提と出典'!$C$38)</ns0:f>
        <ns0:v>534.8</ns0:v>
      </ns0:c>
      <ns0:c r="C768" s="12">
        <ns0:f>A768*('前提と出典'!$C$37+'前提と出典'!$C$38)</ns0:f>
        <ns0:v>458.4</ns0:v>
      </ns0:c>
      <ns0:c r="D768" s="16">
        <ns0:f>A768*('前提と出典'!$C$36*'契約別単価'!C5+'前提と出典'!$C$37*'契約別単価'!C6+'前提と出典'!$C$38*'契約別単価'!C7)</ns0:f>
        <ns0:v>5497.385474860335</ns0:v>
      </ns0:c>
      <ns0:c r="E768" s="16">
        <ns0:f>A768*('前提と出典'!$C$36*'契約別単価'!E5+'前提と出典'!$C$37*'契約別単価'!E6+'前提と出典'!$C$38*'契約別単価'!E7)</ns0:f>
        <ns0:v>1920598.9133560576</ns0:v>
      </ns0:c>
      <ns0:c r="F768" s="16">
        <ns0:f>A768*('前提と出典'!$C$36*'契約別単価'!F5+'前提と出典'!$C$37*'契約別単価'!F6+'前提と出典'!$C$38*'契約別単価'!F7)</ns0:f>
        <ns0:v>558076.9508813301</ns0:v>
      </ns0:c>
      <ns0:c r="G768" s="16">
        <ns0:f>A768*('前提と出典'!$C$36*'契約別単価'!G5+'前提と出典'!$C$37*'契約別単価'!G6+'前提と出典'!$C$38*'契約別単価'!G7)</ns0:f>
        <ns0:v>1520744.1340782123</ns0:v>
      </ns0:c>
      <ns0:c r="H768" s="16">
        <ns0:f>A768*('前提と出典'!$C$36*'契約別単価'!H5+'前提と出典'!$C$37*'契約別単価'!H6+'前提と出典'!$C$38*'契約別単価'!H7)</ns0:f>
        <ns0:v>527774.4858370061</ns0:v>
      </ns0:c>
      <ns0:c r="I768" s="16">
        <ns0:f>A768*('前提と出典'!$C$36*'契約別単価'!I5+'前提と出典'!$C$37*'契約別単価'!I6+'前提と出典'!$C$38*'契約別単価'!I7)</ns0:f>
        <ns0:v>32237.38547486033</ns0:v>
      </ns0:c>
      <ns0:c r="J768" s="16">
        <ns0:f>A768*('前提と出典'!$C$36*'契約別単価'!J5+'前提と出典'!$C$37*'契約別単価'!J6+'前提と出典'!$C$38*'契約別単価'!J7)</ns0:f>
        <ns0:v>75093.21139467116</ns0:v>
      </ns0:c>
      <ns0:c r="K768" s="16">
        <ns0:f>A768*('前提と出典'!$C$36*'契約別単価'!K5+'前提と出典'!$C$37*'契約別単価'!K6+'前提と出典'!$C$38*'契約別単価'!K7)</ns0:f>
        <ns0:v>321875.90316573554</ns0:v>
      </ns0:c>
      <ns0:c r="L768" s="16">
        <ns0:f>A768*('前提と出典'!$C$36*'契約別単価'!L5+'前提と出典'!$C$37*'契約別単価'!L6+'前提と出典'!$C$38*'契約別単価'!L7)</ns0:f>
        <ns0:v>262072.48286123353</ns0:v>
      </ns0:c>
      <ns0:c r="M768" s="16">
        <ns0:f>IF(('前提と出典'!$C$36+'前提と出典'!$C$38)=0,0,IF(B768&lt;=10,'前提と出典'!B73+'前提と出典'!C73,IF(B768&lt;=100,'前提と出典'!B74+'前提と出典'!C74,IF(B768&lt;=500,'前提と出典'!B75+'前提と出典'!C75,'前提と出典'!B76+'前提と出典'!C76))))</ns0:f>
        <ns0:v>80000</ns0:v>
      </ns0:c>
      <ns0:c r="N768" s="16">
        <ns0:f>IF(('前提と出典'!$C$37+'前提と出典'!$C$38)=0,0,IF(C768&lt;=10,'前提と出典'!D73+'前提と出典'!E73,IF(C768&lt;=100,'前提と出典'!D74+'前提と出典'!E74,IF(C768&lt;=500,'前提と出典'!D75+'前提と出典'!E75,'前提と出典'!D76+'前提と出典'!E76))))</ns0:f>
        <ns0:v>56510.9346263078</ns0:v>
      </ns0:c>
      <ns0:c r="O768" s="16">
        <ns0:f>IF('前提と出典'!$C$36+'前提と出典'!$C$38=0,0,'前提と出典'!$B$4*IF('前提と出典'!$B$20=0,MAX('前提と出典'!$B$6,D768*'前提と出典'!$B$5),'前提と出典'!$B$6+D768*'前提と出典'!$B$5))</ns0:f>
        <ns0:v>758639.1955307263</ns0:v>
      </ns0:c>
      <ns0:c r="P768" s="16">
        <ns0:f>(E768+G768)*(1-'前提と出典'!$B$7)-I768-K768-M768-O768</ns0:f>
        <ns0:v>2124702.2135553146</ns0:v>
      </ns0:c>
      <ns0:c r="Q768" s="16">
        <ns0:f>(F768+H768)*(1-'前提と出典'!$B$7)-J768-L768-N768</ns0:f>
        <ns0:v>653084.1561142637</ns0:v>
      </ns0:c>
      <ns0:c r="R768" s="16">
        <ns0:f>P768-E768*'前提と出典'!$E$4</ns0:f>
        <ns0:v>1548522.539548497</ns0:v>
      </ns0:c>
      <ns0:c r="S768" s="16">
        <ns0:f>Q768-F768*'前提と出典'!$E$4</ns0:f>
        <ns0:v>485661.07084986486</ns0:v>
      </ns0:c>
      <ns0:c r="T768" s="7">
        <ns0:f>R768+S768</ns0:f>
        <ns0:v>2034183.610398362</ns0:v>
      </ns0:c>
      <ns0:c r="U768" s="16">
        <ns0:f>P768-E768*'前提と出典'!$E$5</ns0:f>
        <ns0:v>1356462.6482128913</ns0:v>
      </ns0:c>
      <ns0:c r="V768" s="16">
        <ns0:f>Q768-F768*'前提と出典'!$E$5</ns0:f>
        <ns0:v>429853.37576173164</ns0:v>
      </ns0:c>
      <ns0:c r="W768" s="7">
        <ns0:f>U768+V768</ns0:f>
        <ns0:v>1786316.023974623</ns0:v>
      </ns0:c>
      <ns0:c r="X768" s="16">
        <ns0:f>P768-E768*'前提と出典'!$E$6</ns0:f>
        <ns0:v>1164402.7568772854</ns0:v>
      </ns0:c>
      <ns0:c r="Y768" s="16">
        <ns0:f>Q768-F768*'前提と出典'!$E$6</ns0:f>
        <ns0:v>374045.68067359866</ns0:v>
      </ns0:c>
      <ns0:c r="Z768" s="7">
        <ns0:f>X768+Y768</ns0:f>
        <ns0:v>1538448.4375508842</ns0:v>
      </ns0:c>
      <ns0:c r="AA768" s="7">
        <ns0:f>IF(T768&gt;=0,A768,1001)</ns0:f>
        <ns0:v>764</ns0:v>
      </ns0:c>
      <ns0:c r="AB768" s="7">
        <ns0:f>IF(T768&lt;0,A768,0)</ns0:f>
        <ns0:v>0</ns0:v>
      </ns0:c>
      <ns0:c r="AC768" s="16">
        <ns0:f>IF(AND(OR('前提と出典'!$C$36+'前提と出典'!$C$38=0,R768&gt;=0),OR('前提と出典'!$C$37+'前提と出典'!$C$38=0,S768&gt;=0)),0,A768)</ns0:f>
        <ns0:v>0</ns0:v>
      </ns0:c>
      <ns0:c r="AD768" s="7">
        <ns0:f>IF(W768&gt;=0,A768,1001)</ns0:f>
        <ns0:v>764</ns0:v>
      </ns0:c>
      <ns0:c r="AE768" s="7">
        <ns0:f>IF(W768&lt;0,A768,0)</ns0:f>
        <ns0:v>0</ns0:v>
      </ns0:c>
      <ns0:c r="AF768" s="16">
        <ns0:f>IF(AND(OR('前提と出典'!$C$36+'前提と出典'!$C$38=0,U768&gt;=0),OR('前提と出典'!$C$37+'前提と出典'!$C$38=0,V768&gt;=0)),0,A768)</ns0:f>
        <ns0:v>0</ns0:v>
      </ns0:c>
      <ns0:c r="AG768" s="7">
        <ns0:f>IF(Z768&gt;=0,A768,1001)</ns0:f>
        <ns0:v>764</ns0:v>
      </ns0:c>
      <ns0:c r="AH768" s="4">
        <ns0:f>IF(Z768&lt;0,A768,0)</ns0:f>
        <ns0:v>0</ns0:v>
      </ns0:c>
      <ns0:c r="AI768" s="12">
        <ns0:f>IF(AND(OR('前提と出典'!$C$36+'前提と出典'!$C$38=0,X768&gt;=0),OR('前提と出典'!$C$37+'前提と出典'!$C$38=0,Y768&gt;=0)),0,A768)</ns0:f>
        <ns0:v>0</ns0:v>
      </ns0:c>
    </ns0:row>
    <ns0:row r="769" ht="24" customHeight="1">
      <ns0:c r="A769" s="4" t="n">
        <ns0:v>765</ns0:v>
      </ns0:c>
      <ns0:c r="B769" s="12">
        <ns0:f>A769*('前提と出典'!$C$36+'前提と出典'!$C$38)</ns0:f>
        <ns0:v>535.5</ns0:v>
      </ns0:c>
      <ns0:c r="C769" s="12">
        <ns0:f>A769*('前提と出典'!$C$37+'前提と出典'!$C$38)</ns0:f>
        <ns0:v>459</ns0:v>
      </ns0:c>
      <ns0:c r="D769" s="16">
        <ns0:f>A769*('前提と出典'!$C$36*'契約別単価'!C5+'前提と出典'!$C$37*'契約別単価'!C6+'前提と出典'!$C$38*'契約別単価'!C7)</ns0:f>
        <ns0:v>5504.581005586592</ns0:v>
      </ns0:c>
      <ns0:c r="E769" s="16">
        <ns0:f>A769*('前提と出典'!$C$36*'契約別単価'!E5+'前提と出典'!$C$37*'契約別単価'!E6+'前提と出典'!$C$38*'契約別単価'!E7)</ns0:f>
        <ns0:v>1923112.7862792986</ns0:v>
      </ns0:c>
      <ns0:c r="F769" s="16">
        <ns0:f>A769*('前提と出典'!$C$36*'契約別単価'!F5+'前提と出典'!$C$37*'契約別単価'!F6+'前提と出典'!$C$38*'契約別単価'!F7)</ns0:f>
        <ns0:v>558807.4180945255</ns0:v>
      </ns0:c>
      <ns0:c r="G769" s="16">
        <ns0:f>A769*('前提と出典'!$C$36*'契約別単価'!G5+'前提と出典'!$C$37*'契約別単価'!G6+'前提と出典'!$C$38*'契約別単価'!G7)</ns0:f>
        <ns0:v>1522734.6368715083</ns0:v>
      </ns0:c>
      <ns0:c r="H769" s="16">
        <ns0:f>A769*('前提と出典'!$C$36*'契約別単価'!H5+'前提と出典'!$C$37*'契約別単価'!H6+'前提と出典'!$C$38*'契約別単価'!H7)</ns0:f>
        <ns0:v>528465.29013784</ns0:v>
      </ns0:c>
      <ns0:c r="I769" s="16">
        <ns0:f>A769*('前提と出典'!$C$36*'契約別単価'!I5+'前提と出典'!$C$37*'契約別単価'!I6+'前提と出典'!$C$38*'契約別単価'!I7)</ns0:f>
        <ns0:v>32279.581005586588</ns0:v>
      </ns0:c>
      <ns0:c r="J769" s="16">
        <ns0:f>A769*('前提と出典'!$C$36*'契約別単価'!J5+'前提と出典'!$C$37*'契約別単価'!J6+'前提と出典'!$C$38*'契約別単価'!J7)</ns0:f>
        <ns0:v>75191.50093838146</ns0:v>
      </ns0:c>
      <ns0:c r="K769" s="16">
        <ns0:f>A769*('前提と出典'!$C$36*'契約別単価'!K5+'前提と出典'!$C$37*'契約別単価'!K6+'前提と出典'!$C$38*'契約別単価'!K7)</ns0:f>
        <ns0:v>322297.2067039106</ns0:v>
      </ns0:c>
      <ns0:c r="L769" s="16">
        <ns0:f>A769*('前提と出典'!$C$36*'契約別単価'!L5+'前提と出典'!$C$37*'契約別単価'!L6+'前提と出典'!$C$38*'契約別単価'!L7)</ns0:f>
        <ns0:v>262415.5096712613</ns0:v>
      </ns0:c>
      <ns0:c r="M769" s="16">
        <ns0:f>IF(('前提と出典'!$C$36+'前提と出典'!$C$38)=0,0,IF(B769&lt;=10,'前提と出典'!B73+'前提と出典'!C73,IF(B769&lt;=100,'前提と出典'!B74+'前提と出典'!C74,IF(B769&lt;=500,'前提と出典'!B75+'前提と出典'!C75,'前提と出典'!B76+'前提と出典'!C76))))</ns0:f>
        <ns0:v>80000</ns0:v>
      </ns0:c>
      <ns0:c r="N769" s="16">
        <ns0:f>IF(('前提と出典'!$C$37+'前提と出典'!$C$38)=0,0,IF(C769&lt;=10,'前提と出典'!D73+'前提と出典'!E73,IF(C769&lt;=100,'前提と出典'!D74+'前提と出典'!E74,IF(C769&lt;=500,'前提と出典'!D75+'前提と出典'!E75,'前提と出典'!D76+'前提と出典'!E76))))</ns0:f>
        <ns0:v>56510.9346263078</ns0:v>
      </ns0:c>
      <ns0:c r="O769" s="16">
        <ns0:f>IF('前提と出典'!$C$36+'前提と出典'!$C$38=0,0,'前提と出典'!$B$4*IF('前提と出典'!$B$20=0,MAX('前提と出典'!$B$6,D769*'前提と出典'!$B$5),'前提と出典'!$B$6+D769*'前提と出典'!$B$5))</ns0:f>
        <ns0:v>759632.1787709497</ns0:v>
      </ns0:c>
      <ns0:c r="P769" s="16">
        <ns0:f>(E769+G769)*(1-'前提と出典'!$B$7)-I769-K769-M769-O769</ns0:f>
        <ns0:v>2127587.9494369305</ns0:v>
      </ns0:c>
      <ns0:c r="Q769" s="16">
        <ns0:f>(F769+H769)*(1-'前提と出典'!$B$7)-J769-L769-N769</ns0:f>
        <ns0:v>654012.94550005</ns0:v>
      </ns0:c>
      <ns0:c r="R769" s="16">
        <ns0:f>P769-E769*'前提と出典'!$E$4</ns0:f>
        <ns0:v>1550654.1135531408</ns0:v>
      </ns0:c>
      <ns0:c r="S769" s="16">
        <ns0:f>Q769-F769*'前提と出典'!$E$4</ns0:f>
        <ns0:v>486370.72007169225</ns0:v>
      </ns0:c>
      <ns0:c r="T769" s="7">
        <ns0:f>R769+S769</ns0:f>
        <ns0:v>2037024.833624833</ns0:v>
      </ns0:c>
      <ns0:c r="U769" s="16">
        <ns0:f>P769-E769*'前提と出典'!$E$5</ns0:f>
        <ns0:v>1358342.834925211</ns0:v>
      </ns0:c>
      <ns0:c r="V769" s="16">
        <ns0:f>Q769-F769*'前提と出典'!$E$5</ns0:f>
        <ns0:v>430489.9782622397</ns0:v>
      </ns0:c>
      <ns0:c r="W769" s="7">
        <ns0:f>U769+V769</ns0:f>
        <ns0:v>1788832.8131874506</ns0:v>
      </ns0:c>
      <ns0:c r="X769" s="16">
        <ns0:f>P769-E769*'前提と出典'!$E$6</ns0:f>
        <ns0:v>1166031.5562972813</ns0:v>
      </ns0:c>
      <ns0:c r="Y769" s="16">
        <ns0:f>Q769-F769*'前提と出典'!$E$6</ns0:f>
        <ns0:v>374609.23645278707</ns0:v>
      </ns0:c>
      <ns0:c r="Z769" s="7">
        <ns0:f>X769+Y769</ns0:f>
        <ns0:v>1540640.7927500685</ns0:v>
      </ns0:c>
      <ns0:c r="AA769" s="7">
        <ns0:f>IF(T769&gt;=0,A769,1001)</ns0:f>
        <ns0:v>765</ns0:v>
      </ns0:c>
      <ns0:c r="AB769" s="7">
        <ns0:f>IF(T769&lt;0,A769,0)</ns0:f>
        <ns0:v>0</ns0:v>
      </ns0:c>
      <ns0:c r="AC769" s="16">
        <ns0:f>IF(AND(OR('前提と出典'!$C$36+'前提と出典'!$C$38=0,R769&gt;=0),OR('前提と出典'!$C$37+'前提と出典'!$C$38=0,S769&gt;=0)),0,A769)</ns0:f>
        <ns0:v>0</ns0:v>
      </ns0:c>
      <ns0:c r="AD769" s="7">
        <ns0:f>IF(W769&gt;=0,A769,1001)</ns0:f>
        <ns0:v>765</ns0:v>
      </ns0:c>
      <ns0:c r="AE769" s="7">
        <ns0:f>IF(W769&lt;0,A769,0)</ns0:f>
        <ns0:v>0</ns0:v>
      </ns0:c>
      <ns0:c r="AF769" s="16">
        <ns0:f>IF(AND(OR('前提と出典'!$C$36+'前提と出典'!$C$38=0,U769&gt;=0),OR('前提と出典'!$C$37+'前提と出典'!$C$38=0,V769&gt;=0)),0,A769)</ns0:f>
        <ns0:v>0</ns0:v>
      </ns0:c>
      <ns0:c r="AG769" s="7">
        <ns0:f>IF(Z769&gt;=0,A769,1001)</ns0:f>
        <ns0:v>765</ns0:v>
      </ns0:c>
      <ns0:c r="AH769" s="4">
        <ns0:f>IF(Z769&lt;0,A769,0)</ns0:f>
        <ns0:v>0</ns0:v>
      </ns0:c>
      <ns0:c r="AI769" s="12">
        <ns0:f>IF(AND(OR('前提と出典'!$C$36+'前提と出典'!$C$38=0,X769&gt;=0),OR('前提と出典'!$C$37+'前提と出典'!$C$38=0,Y769&gt;=0)),0,A769)</ns0:f>
        <ns0:v>0</ns0:v>
      </ns0:c>
    </ns0:row>
    <ns0:row r="770" ht="24" customHeight="1">
      <ns0:c r="A770" s="4" t="n">
        <ns0:v>766</ns0:v>
      </ns0:c>
      <ns0:c r="B770" s="12">
        <ns0:f>A770*('前提と出典'!$C$36+'前提と出典'!$C$38)</ns0:f>
        <ns0:v>536.1999999999999</ns0:v>
      </ns0:c>
      <ns0:c r="C770" s="12">
        <ns0:f>A770*('前提と出典'!$C$37+'前提と出典'!$C$38)</ns0:f>
        <ns0:v>459.59999999999997</ns0:v>
      </ns0:c>
      <ns0:c r="D770" s="16">
        <ns0:f>A770*('前提と出典'!$C$36*'契約別単価'!C5+'前提と出典'!$C$37*'契約別単価'!C6+'前提と出典'!$C$38*'契約別単価'!C7)</ns0:f>
        <ns0:v>5511.776536312849</ns0:v>
      </ns0:c>
      <ns0:c r="E770" s="16">
        <ns0:f>A770*('前提と出典'!$C$36*'契約別単価'!E5+'前提と出典'!$C$37*'契約別単価'!E6+'前提と出典'!$C$38*'契約別単価'!E7)</ns0:f>
        <ns0:v>1925626.6592025396</ns0:v>
      </ns0:c>
      <ns0:c r="F770" s="16">
        <ns0:f>A770*('前提と出典'!$C$36*'契約別単価'!F5+'前提と出典'!$C$37*'契約別単価'!F6+'前提と出典'!$C$38*'契約別単価'!F7)</ns0:f>
        <ns0:v>559537.885307721</ns0:v>
      </ns0:c>
      <ns0:c r="G770" s="16">
        <ns0:f>A770*('前提と出典'!$C$36*'契約別単価'!G5+'前提と出典'!$C$37*'契約別単価'!G6+'前提と出典'!$C$38*'契約別単価'!G7)</ns0:f>
        <ns0:v>1524725.1396648043</ns0:v>
      </ns0:c>
      <ns0:c r="H770" s="16">
        <ns0:f>A770*('前提と出典'!$C$36*'契約別単価'!H5+'前提と出典'!$C$37*'契約別単価'!H6+'前提と出典'!$C$38*'契約別単価'!H7)</ns0:f>
        <ns0:v>529156.0944386737</ns0:v>
      </ns0:c>
      <ns0:c r="I770" s="16">
        <ns0:f>A770*('前提と出典'!$C$36*'契約別単価'!I5+'前提と出典'!$C$37*'契約別単価'!I6+'前提と出典'!$C$38*'契約別単価'!I7)</ns0:f>
        <ns0:v>32321.776536312842</ns0:v>
      </ns0:c>
      <ns0:c r="J770" s="16">
        <ns0:f>A770*('前提と出典'!$C$36*'契約別単価'!J5+'前提と出典'!$C$37*'契約別単価'!J6+'前提と出典'!$C$38*'契約別単価'!J7)</ns0:f>
        <ns0:v>75289.79048209176</ns0:v>
      </ns0:c>
      <ns0:c r="K770" s="16">
        <ns0:f>A770*('前提と出典'!$C$36*'契約別単価'!K5+'前提と出典'!$C$37*'契約別単価'!K6+'前提と出典'!$C$38*'契約別単価'!K7)</ns0:f>
        <ns0:v>322718.5102420856</ns0:v>
      </ns0:c>
      <ns0:c r="L770" s="16">
        <ns0:f>A770*('前提と出典'!$C$36*'契約別単価'!L5+'前提と出典'!$C$37*'契約別単価'!L6+'前提と出典'!$C$38*'契約別単価'!L7)</ns0:f>
        <ns0:v>262758.53648128913</ns0:v>
      </ns0:c>
      <ns0:c r="M770" s="16">
        <ns0:f>IF(('前提と出典'!$C$36+'前提と出典'!$C$38)=0,0,IF(B770&lt;=10,'前提と出典'!B73+'前提と出典'!C73,IF(B770&lt;=100,'前提と出典'!B74+'前提と出典'!C74,IF(B770&lt;=500,'前提と出典'!B75+'前提と出典'!C75,'前提と出典'!B76+'前提と出典'!C76))))</ns0:f>
        <ns0:v>80000</ns0:v>
      </ns0:c>
      <ns0:c r="N770" s="16">
        <ns0:f>IF(('前提と出典'!$C$37+'前提と出典'!$C$38)=0,0,IF(C770&lt;=10,'前提と出典'!D73+'前提と出典'!E73,IF(C770&lt;=100,'前提と出典'!D74+'前提と出典'!E74,IF(C770&lt;=500,'前提と出典'!D75+'前提と出典'!E75,'前提と出典'!D76+'前提と出典'!E76))))</ns0:f>
        <ns0:v>56510.9346263078</ns0:v>
      </ns0:c>
      <ns0:c r="O770" s="16">
        <ns0:f>IF('前提と出典'!$C$36+'前提と出典'!$C$38=0,0,'前提と出典'!$B$4*IF('前提と出典'!$B$20=0,MAX('前提と出典'!$B$6,D770*'前提と出典'!$B$5),'前提と出典'!$B$6+D770*'前提と出典'!$B$5))</ns0:f>
        <ns0:v>760625.1620111732</ns0:v>
      </ns0:c>
      <ns0:c r="P770" s="16">
        <ns0:f>(E770+G770)*(1-'前提と出典'!$B$7)-I770-K770-M770-O770</ns0:f>
        <ns0:v>2130473.685318548</ns0:v>
      </ns0:c>
      <ns0:c r="Q770" s="16">
        <ns0:f>(F770+H770)*(1-'前提と出典'!$B$7)-J770-L770-N770</ns0:f>
        <ns0:v>654941.734885836</ns0:v>
      </ns0:c>
      <ns0:c r="R770" s="16">
        <ns0:f>P770-E770*'前提と出典'!$E$4</ns0:f>
        <ns0:v>1552785.6875577862</ns0:v>
      </ns0:c>
      <ns0:c r="S770" s="16">
        <ns0:f>Q770-F770*'前提と出典'!$E$4</ns0:f>
        <ns0:v>487080.36929351976</ns0:v>
      </ns0:c>
      <ns0:c r="T770" s="7">
        <ns0:f>R770+S770</ns0:f>
        <ns0:v>2039866.056851306</ns0:v>
      </ns0:c>
      <ns0:c r="U770" s="16">
        <ns0:f>P770-E770*'前提と出典'!$E$5</ns0:f>
        <ns0:v>1360223.0216375324</ns0:v>
      </ns0:c>
      <ns0:c r="V770" s="16">
        <ns0:f>Q770-F770*'前提と出典'!$E$5</ns0:f>
        <ns0:v>431126.5807627476</ns0:v>
      </ns0:c>
      <ns0:c r="W770" s="7">
        <ns0:f>U770+V770</ns0:f>
        <ns0:v>1791349.60240028</ns0:v>
      </ns0:c>
      <ns0:c r="X770" s="16">
        <ns0:f>P770-E770*'前提と出典'!$E$6</ns0:f>
        <ns0:v>1167660.355717278</ns0:v>
      </ns0:c>
      <ns0:c r="Y770" s="16">
        <ns0:f>Q770-F770*'前提と出典'!$E$6</ns0:f>
        <ns0:v>375172.79223197553</ns0:v>
      </ns0:c>
      <ns0:c r="Z770" s="7">
        <ns0:f>X770+Y770</ns0:f>
        <ns0:v>1542833.1479492537</ns0:v>
      </ns0:c>
      <ns0:c r="AA770" s="7">
        <ns0:f>IF(T770&gt;=0,A770,1001)</ns0:f>
        <ns0:v>766</ns0:v>
      </ns0:c>
      <ns0:c r="AB770" s="7">
        <ns0:f>IF(T770&lt;0,A770,0)</ns0:f>
        <ns0:v>0</ns0:v>
      </ns0:c>
      <ns0:c r="AC770" s="16">
        <ns0:f>IF(AND(OR('前提と出典'!$C$36+'前提と出典'!$C$38=0,R770&gt;=0),OR('前提と出典'!$C$37+'前提と出典'!$C$38=0,S770&gt;=0)),0,A770)</ns0:f>
        <ns0:v>0</ns0:v>
      </ns0:c>
      <ns0:c r="AD770" s="7">
        <ns0:f>IF(W770&gt;=0,A770,1001)</ns0:f>
        <ns0:v>766</ns0:v>
      </ns0:c>
      <ns0:c r="AE770" s="7">
        <ns0:f>IF(W770&lt;0,A770,0)</ns0:f>
        <ns0:v>0</ns0:v>
      </ns0:c>
      <ns0:c r="AF770" s="16">
        <ns0:f>IF(AND(OR('前提と出典'!$C$36+'前提と出典'!$C$38=0,U770&gt;=0),OR('前提と出典'!$C$37+'前提と出典'!$C$38=0,V770&gt;=0)),0,A770)</ns0:f>
        <ns0:v>0</ns0:v>
      </ns0:c>
      <ns0:c r="AG770" s="7">
        <ns0:f>IF(Z770&gt;=0,A770,1001)</ns0:f>
        <ns0:v>766</ns0:v>
      </ns0:c>
      <ns0:c r="AH770" s="4">
        <ns0:f>IF(Z770&lt;0,A770,0)</ns0:f>
        <ns0:v>0</ns0:v>
      </ns0:c>
      <ns0:c r="AI770" s="12">
        <ns0:f>IF(AND(OR('前提と出典'!$C$36+'前提と出典'!$C$38=0,X770&gt;=0),OR('前提と出典'!$C$37+'前提と出典'!$C$38=0,Y770&gt;=0)),0,A770)</ns0:f>
        <ns0:v>0</ns0:v>
      </ns0:c>
    </ns0:row>
    <ns0:row r="771" ht="24" customHeight="1">
      <ns0:c r="A771" s="4" t="n">
        <ns0:v>767</ns0:v>
      </ns0:c>
      <ns0:c r="B771" s="12">
        <ns0:f>A771*('前提と出典'!$C$36+'前提と出典'!$C$38)</ns0:f>
        <ns0:v>536.9</ns0:v>
      </ns0:c>
      <ns0:c r="C771" s="12">
        <ns0:f>A771*('前提と出典'!$C$37+'前提と出典'!$C$38)</ns0:f>
        <ns0:v>460.2</ns0:v>
      </ns0:c>
      <ns0:c r="D771" s="16">
        <ns0:f>A771*('前提と出典'!$C$36*'契約別単価'!C5+'前提と出典'!$C$37*'契約別単価'!C6+'前提と出典'!$C$38*'契約別単価'!C7)</ns0:f>
        <ns0:v>5518.972067039106</ns0:v>
      </ns0:c>
      <ns0:c r="E771" s="16">
        <ns0:f>A771*('前提と出典'!$C$36*'契約別単価'!E5+'前提と出典'!$C$37*'契約別単価'!E6+'前提と出典'!$C$38*'契約別単価'!E7)</ns0:f>
        <ns0:v>1928140.5321257804</ns0:v>
      </ns0:c>
      <ns0:c r="F771" s="16">
        <ns0:f>A771*('前提と出典'!$C$36*'契約別単価'!F5+'前提と出典'!$C$37*'契約別単価'!F6+'前提と出典'!$C$38*'契約別単価'!F7)</ns0:f>
        <ns0:v>560268.3525209164</ns0:v>
      </ns0:c>
      <ns0:c r="G771" s="16">
        <ns0:f>A771*('前提と出典'!$C$36*'契約別単価'!G5+'前提と出典'!$C$37*'契約別単価'!G6+'前提と出典'!$C$38*'契約別単価'!G7)</ns0:f>
        <ns0:v>1526715.6424581006</ns0:v>
      </ns0:c>
      <ns0:c r="H771" s="16">
        <ns0:f>A771*('前提と出典'!$C$36*'契約別単価'!H5+'前提と出典'!$C$37*'契約別単価'!H6+'前提と出典'!$C$38*'契約別単価'!H7)</ns0:f>
        <ns0:v>529846.8987395075</ns0:v>
      </ns0:c>
      <ns0:c r="I771" s="16">
        <ns0:f>A771*('前提と出典'!$C$36*'契約別単価'!I5+'前提と出典'!$C$37*'契約別単価'!I6+'前提と出典'!$C$38*'契約別単価'!I7)</ns0:f>
        <ns0:v>32363.9720670391</ns0:v>
      </ns0:c>
      <ns0:c r="J771" s="16">
        <ns0:f>A771*('前提と出典'!$C$36*'契約別単価'!J5+'前提と出典'!$C$37*'契約別単価'!J6+'前提と出典'!$C$38*'契約別単価'!J7)</ns0:f>
        <ns0:v>75388.08002580208</ns0:v>
      </ns0:c>
      <ns0:c r="K771" s="16">
        <ns0:f>A771*('前提と出典'!$C$36*'契約別単価'!K5+'前提と出典'!$C$37*'契約別単価'!K6+'前提と出典'!$C$38*'契約別単価'!K7)</ns0:f>
        <ns0:v>323139.8137802607</ns0:v>
      </ns0:c>
      <ns0:c r="L771" s="16">
        <ns0:f>A771*('前提と出典'!$C$36*'契約別単価'!L5+'前提と出典'!$C$37*'契約別単価'!L6+'前提と出典'!$C$38*'契約別単価'!L7)</ns0:f>
        <ns0:v>263101.5632913169</ns0:v>
      </ns0:c>
      <ns0:c r="M771" s="16">
        <ns0:f>IF(('前提と出典'!$C$36+'前提と出典'!$C$38)=0,0,IF(B771&lt;=10,'前提と出典'!B73+'前提と出典'!C73,IF(B771&lt;=100,'前提と出典'!B74+'前提と出典'!C74,IF(B771&lt;=500,'前提と出典'!B75+'前提と出典'!C75,'前提と出典'!B76+'前提と出典'!C76))))</ns0:f>
        <ns0:v>80000</ns0:v>
      </ns0:c>
      <ns0:c r="N771" s="16">
        <ns0:f>IF(('前提と出典'!$C$37+'前提と出典'!$C$38)=0,0,IF(C771&lt;=10,'前提と出典'!D73+'前提と出典'!E73,IF(C771&lt;=100,'前提と出典'!D74+'前提と出典'!E74,IF(C771&lt;=500,'前提と出典'!D75+'前提と出典'!E75,'前提と出典'!D76+'前提と出典'!E76))))</ns0:f>
        <ns0:v>56510.9346263078</ns0:v>
      </ns0:c>
      <ns0:c r="O771" s="16">
        <ns0:f>IF('前提と出典'!$C$36+'前提と出典'!$C$38=0,0,'前提と出典'!$B$4*IF('前提と出典'!$B$20=0,MAX('前提と出典'!$B$6,D771*'前提と出典'!$B$5),'前提と出典'!$B$6+D771*'前提と出典'!$B$5))</ns0:f>
        <ns0:v>761618.1452513967</ns0:v>
      </ns0:c>
      <ns0:c r="P771" s="16">
        <ns0:f>(E771+G771)*(1-'前提と出典'!$B$7)-I771-K771-M771-O771</ns0:f>
        <ns0:v>2133359.421200165</ns0:v>
      </ns0:c>
      <ns0:c r="Q771" s="16">
        <ns0:f>(F771+H771)*(1-'前提と出典'!$B$7)-J771-L771-N771</ns0:f>
        <ns0:v>655870.5242716221</ns0:v>
      </ns0:c>
      <ns0:c r="R771" s="16">
        <ns0:f>P771-E771*'前提と出典'!$E$4</ns0:f>
        <ns0:v>1554917.2615624308</ns0:v>
      </ns0:c>
      <ns0:c r="S771" s="16">
        <ns0:f>Q771-F771*'前提と出典'!$E$4</ns0:f>
        <ns0:v>487790.01851534704</ns0:v>
      </ns0:c>
      <ns0:c r="T771" s="7">
        <ns0:f>R771+S771</ns0:f>
        <ns0:v>2042707.2800777778</ns0:v>
      </ns0:c>
      <ns0:c r="U771" s="16">
        <ns0:f>P771-E771*'前提と出典'!$E$5</ns0:f>
        <ns0:v>1362103.2083498528</ns0:v>
      </ns0:c>
      <ns0:c r="V771" s="16">
        <ns0:f>Q771-F771*'前提と出典'!$E$5</ns0:f>
        <ns0:v>431763.18326325546</ns0:v>
      </ns0:c>
      <ns0:c r="W771" s="7">
        <ns0:f>U771+V771</ns0:f>
        <ns0:v>1793866.3916131083</ns0:v>
      </ns0:c>
      <ns0:c r="X771" s="16">
        <ns0:f>P771-E771*'前提と出典'!$E$6</ns0:f>
        <ns0:v>1169289.1551372749</ns0:v>
      </ns0:c>
      <ns0:c r="Y771" s="16">
        <ns0:f>Q771-F771*'前提と出典'!$E$6</ns0:f>
        <ns0:v>375736.3480111637</ns0:v>
      </ns0:c>
      <ns0:c r="Z771" s="7">
        <ns0:f>X771+Y771</ns0:f>
        <ns0:v>1545025.5031484386</ns0:v>
      </ns0:c>
      <ns0:c r="AA771" s="7">
        <ns0:f>IF(T771&gt;=0,A771,1001)</ns0:f>
        <ns0:v>767</ns0:v>
      </ns0:c>
      <ns0:c r="AB771" s="7">
        <ns0:f>IF(T771&lt;0,A771,0)</ns0:f>
        <ns0:v>0</ns0:v>
      </ns0:c>
      <ns0:c r="AC771" s="16">
        <ns0:f>IF(AND(OR('前提と出典'!$C$36+'前提と出典'!$C$38=0,R771&gt;=0),OR('前提と出典'!$C$37+'前提と出典'!$C$38=0,S771&gt;=0)),0,A771)</ns0:f>
        <ns0:v>0</ns0:v>
      </ns0:c>
      <ns0:c r="AD771" s="7">
        <ns0:f>IF(W771&gt;=0,A771,1001)</ns0:f>
        <ns0:v>767</ns0:v>
      </ns0:c>
      <ns0:c r="AE771" s="7">
        <ns0:f>IF(W771&lt;0,A771,0)</ns0:f>
        <ns0:v>0</ns0:v>
      </ns0:c>
      <ns0:c r="AF771" s="16">
        <ns0:f>IF(AND(OR('前提と出典'!$C$36+'前提と出典'!$C$38=0,U771&gt;=0),OR('前提と出典'!$C$37+'前提と出典'!$C$38=0,V771&gt;=0)),0,A771)</ns0:f>
        <ns0:v>0</ns0:v>
      </ns0:c>
      <ns0:c r="AG771" s="7">
        <ns0:f>IF(Z771&gt;=0,A771,1001)</ns0:f>
        <ns0:v>767</ns0:v>
      </ns0:c>
      <ns0:c r="AH771" s="4">
        <ns0:f>IF(Z771&lt;0,A771,0)</ns0:f>
        <ns0:v>0</ns0:v>
      </ns0:c>
      <ns0:c r="AI771" s="12">
        <ns0:f>IF(AND(OR('前提と出典'!$C$36+'前提と出典'!$C$38=0,X771&gt;=0),OR('前提と出典'!$C$37+'前提と出典'!$C$38=0,Y771&gt;=0)),0,A771)</ns0:f>
        <ns0:v>0</ns0:v>
      </ns0:c>
    </ns0:row>
    <ns0:row r="772" ht="24" customHeight="1">
      <ns0:c r="A772" s="4" t="n">
        <ns0:v>768</ns0:v>
      </ns0:c>
      <ns0:c r="B772" s="12">
        <ns0:f>A772*('前提と出典'!$C$36+'前提と出典'!$C$38)</ns0:f>
        <ns0:v>537.5999999999999</ns0:v>
      </ns0:c>
      <ns0:c r="C772" s="12">
        <ns0:f>A772*('前提と出典'!$C$37+'前提と出典'!$C$38)</ns0:f>
        <ns0:v>460.79999999999995</ns0:v>
      </ns0:c>
      <ns0:c r="D772" s="16">
        <ns0:f>A772*('前提と出典'!$C$36*'契約別単価'!C5+'前提と出典'!$C$37*'契約別単価'!C6+'前提と出典'!$C$38*'契約別単価'!C7)</ns0:f>
        <ns0:v>5526.167597765363</ns0:v>
      </ns0:c>
      <ns0:c r="E772" s="16">
        <ns0:f>A772*('前提と出典'!$C$36*'契約別単価'!E5+'前提と出典'!$C$37*'契約別単価'!E6+'前提と出典'!$C$38*'契約別単価'!E7)</ns0:f>
        <ns0:v>1930654.4050490214</ns0:v>
      </ns0:c>
      <ns0:c r="F772" s="16">
        <ns0:f>A772*('前提と出典'!$C$36*'契約別単価'!F5+'前提と出典'!$C$37*'契約別単価'!F6+'前提と出典'!$C$38*'契約別単価'!F7)</ns0:f>
        <ns0:v>560998.8197341119</ns0:v>
      </ns0:c>
      <ns0:c r="G772" s="16">
        <ns0:f>A772*('前提と出典'!$C$36*'契約別単価'!G5+'前提と出典'!$C$37*'契約別単価'!G6+'前提と出典'!$C$38*'契約別単価'!G7)</ns0:f>
        <ns0:v>1528706.1452513966</ns0:v>
      </ns0:c>
      <ns0:c r="H772" s="16">
        <ns0:f>A772*('前提と出典'!$C$36*'契約別単価'!H5+'前提と出典'!$C$37*'契約別単価'!H6+'前提と出典'!$C$38*'契約別単価'!H7)</ns0:f>
        <ns0:v>530537.7030403413</ns0:v>
      </ns0:c>
      <ns0:c r="I772" s="16">
        <ns0:f>A772*('前提と出典'!$C$36*'契約別単価'!I5+'前提と出典'!$C$37*'契約別単価'!I6+'前提と出典'!$C$38*'契約別単価'!I7)</ns0:f>
        <ns0:v>32406.167597765358</ns0:v>
      </ns0:c>
      <ns0:c r="J772" s="16">
        <ns0:f>A772*('前提と出典'!$C$36*'契約別単価'!J5+'前提と出典'!$C$37*'契約別単価'!J6+'前提と出典'!$C$38*'契約別単価'!J7)</ns0:f>
        <ns0:v>75486.36956951238</ns0:v>
      </ns0:c>
      <ns0:c r="K772" s="16">
        <ns0:f>A772*('前提と出典'!$C$36*'契約別単価'!K5+'前提と出典'!$C$37*'契約別単価'!K6+'前提と出典'!$C$38*'契約別単価'!K7)</ns0:f>
        <ns0:v>323561.11731843575</ns0:v>
      </ns0:c>
      <ns0:c r="L772" s="16">
        <ns0:f>A772*('前提と出典'!$C$36*'契約別単価'!L5+'前提と出典'!$C$37*'契約別単価'!L6+'前提と出典'!$C$38*'契約別単価'!L7)</ns0:f>
        <ns0:v>263444.5901013447</ns0:v>
      </ns0:c>
      <ns0:c r="M772" s="16">
        <ns0:f>IF(('前提と出典'!$C$36+'前提と出典'!$C$38)=0,0,IF(B772&lt;=10,'前提と出典'!B73+'前提と出典'!C73,IF(B772&lt;=100,'前提と出典'!B74+'前提と出典'!C74,IF(B772&lt;=500,'前提と出典'!B75+'前提と出典'!C75,'前提と出典'!B76+'前提と出典'!C76))))</ns0:f>
        <ns0:v>80000</ns0:v>
      </ns0:c>
      <ns0:c r="N772" s="16">
        <ns0:f>IF(('前提と出典'!$C$37+'前提と出典'!$C$38)=0,0,IF(C772&lt;=10,'前提と出典'!D73+'前提と出典'!E73,IF(C772&lt;=100,'前提と出典'!D74+'前提と出典'!E74,IF(C772&lt;=500,'前提と出典'!D75+'前提と出典'!E75,'前提と出典'!D76+'前提と出典'!E76))))</ns0:f>
        <ns0:v>56510.9346263078</ns0:v>
      </ns0:c>
      <ns0:c r="O772" s="16">
        <ns0:f>IF('前提と出典'!$C$36+'前提と出典'!$C$38=0,0,'前提と出典'!$B$4*IF('前提と出典'!$B$20=0,MAX('前提と出典'!$B$6,D772*'前提と出典'!$B$5),'前提と出典'!$B$6+D772*'前提と出典'!$B$5))</ns0:f>
        <ns0:v>762611.1284916202</ns0:v>
      </ns0:c>
      <ns0:c r="P772" s="16">
        <ns0:f>(E772+G772)*(1-'前提と出典'!$B$7)-I772-K772-M772-O772</ns0:f>
        <ns0:v>2136245.157081782</ns0:v>
      </ns0:c>
      <ns0:c r="Q772" s="16">
        <ns0:f>(F772+H772)*(1-'前提と出典'!$B$7)-J772-L772-N772</ns0:f>
        <ns0:v>656799.3136574081</ns0:v>
      </ns0:c>
      <ns0:c r="R772" s="16">
        <ns0:f>P772-E772*'前提と出典'!$E$4</ns0:f>
        <ns0:v>1557048.8355670753</ns0:v>
      </ns0:c>
      <ns0:c r="S772" s="16">
        <ns0:f>Q772-F772*'前提と出典'!$E$4</ns0:f>
        <ns0:v>488499.66773717455</ns0:v>
      </ns0:c>
      <ns0:c r="T772" s="7">
        <ns0:f>R772+S772</ns0:f>
        <ns0:v>2045548.5033042498</ns0:v>
      </ns0:c>
      <ns0:c r="U772" s="16">
        <ns0:f>P772-E772*'前提と出典'!$E$5</ns0:f>
        <ns0:v>1363983.3950621733</ns0:v>
      </ns0:c>
      <ns0:c r="V772" s="16">
        <ns0:f>Q772-F772*'前提と出典'!$E$5</ns0:f>
        <ns0:v>432399.7857637634</ns0:v>
      </ns0:c>
      <ns0:c r="W772" s="7">
        <ns0:f>U772+V772</ns0:f>
        <ns0:v>1796383.1808259366</ns0:v>
      </ns0:c>
      <ns0:c r="X772" s="16">
        <ns0:f>P772-E772*'前提と出典'!$E$6</ns0:f>
        <ns0:v>1170917.9545572707</ns0:v>
      </ns0:c>
      <ns0:c r="Y772" s="16">
        <ns0:f>Q772-F772*'前提と出典'!$E$6</ns0:f>
        <ns0:v>376299.9037903522</ns0:v>
      </ns0:c>
      <ns0:c r="Z772" s="7">
        <ns0:f>X772+Y772</ns0:f>
        <ns0:v>1547217.858347623</ns0:v>
      </ns0:c>
      <ns0:c r="AA772" s="7">
        <ns0:f>IF(T772&gt;=0,A772,1001)</ns0:f>
        <ns0:v>768</ns0:v>
      </ns0:c>
      <ns0:c r="AB772" s="7">
        <ns0:f>IF(T772&lt;0,A772,0)</ns0:f>
        <ns0:v>0</ns0:v>
      </ns0:c>
      <ns0:c r="AC772" s="16">
        <ns0:f>IF(AND(OR('前提と出典'!$C$36+'前提と出典'!$C$38=0,R772&gt;=0),OR('前提と出典'!$C$37+'前提と出典'!$C$38=0,S772&gt;=0)),0,A772)</ns0:f>
        <ns0:v>0</ns0:v>
      </ns0:c>
      <ns0:c r="AD772" s="7">
        <ns0:f>IF(W772&gt;=0,A772,1001)</ns0:f>
        <ns0:v>768</ns0:v>
      </ns0:c>
      <ns0:c r="AE772" s="7">
        <ns0:f>IF(W772&lt;0,A772,0)</ns0:f>
        <ns0:v>0</ns0:v>
      </ns0:c>
      <ns0:c r="AF772" s="16">
        <ns0:f>IF(AND(OR('前提と出典'!$C$36+'前提と出典'!$C$38=0,U772&gt;=0),OR('前提と出典'!$C$37+'前提と出典'!$C$38=0,V772&gt;=0)),0,A772)</ns0:f>
        <ns0:v>0</ns0:v>
      </ns0:c>
      <ns0:c r="AG772" s="7">
        <ns0:f>IF(Z772&gt;=0,A772,1001)</ns0:f>
        <ns0:v>768</ns0:v>
      </ns0:c>
      <ns0:c r="AH772" s="4">
        <ns0:f>IF(Z772&lt;0,A772,0)</ns0:f>
        <ns0:v>0</ns0:v>
      </ns0:c>
      <ns0:c r="AI772" s="12">
        <ns0:f>IF(AND(OR('前提と出典'!$C$36+'前提と出典'!$C$38=0,X772&gt;=0),OR('前提と出典'!$C$37+'前提と出典'!$C$38=0,Y772&gt;=0)),0,A772)</ns0:f>
        <ns0:v>0</ns0:v>
      </ns0:c>
    </ns0:row>
    <ns0:row r="773" ht="24" customHeight="1">
      <ns0:c r="A773" s="4" t="n">
        <ns0:v>769</ns0:v>
      </ns0:c>
      <ns0:c r="B773" s="12">
        <ns0:f>A773*('前提と出典'!$C$36+'前提と出典'!$C$38)</ns0:f>
        <ns0:v>538.3</ns0:v>
      </ns0:c>
      <ns0:c r="C773" s="12">
        <ns0:f>A773*('前提と出典'!$C$37+'前提と出典'!$C$38)</ns0:f>
        <ns0:v>461.4</ns0:v>
      </ns0:c>
      <ns0:c r="D773" s="16">
        <ns0:f>A773*('前提と出典'!$C$36*'契約別単価'!C5+'前提と出典'!$C$37*'契約別単価'!C6+'前提と出典'!$C$38*'契約別単価'!C7)</ns0:f>
        <ns0:v>5533.36312849162</ns0:v>
      </ns0:c>
      <ns0:c r="E773" s="16">
        <ns0:f>A773*('前提と出典'!$C$36*'契約別単価'!E5+'前提と出典'!$C$37*'契約別単価'!E6+'前提と出典'!$C$38*'契約別単価'!E7)</ns0:f>
        <ns0:v>1933168.2779722624</ns0:v>
      </ns0:c>
      <ns0:c r="F773" s="16">
        <ns0:f>A773*('前提と出典'!$C$36*'契約別単価'!F5+'前提と出典'!$C$37*'契約別単価'!F6+'前提と出典'!$C$38*'契約別単価'!F7)</ns0:f>
        <ns0:v>561729.2869473073</ns0:v>
      </ns0:c>
      <ns0:c r="G773" s="16">
        <ns0:f>A773*('前提と出典'!$C$36*'契約別単価'!G5+'前提と出典'!$C$37*'契約別単価'!G6+'前提と出典'!$C$38*'契約別単価'!G7)</ns0:f>
        <ns0:v>1530696.6480446926</ns0:v>
      </ns0:c>
      <ns0:c r="H773" s="16">
        <ns0:f>A773*('前提と出典'!$C$36*'契約別単価'!H5+'前提と出典'!$C$37*'契約別単価'!H6+'前提と出典'!$C$38*'契約別単価'!H7)</ns0:f>
        <ns0:v>531228.507341175</ns0:v>
      </ns0:c>
      <ns0:c r="I773" s="16">
        <ns0:f>A773*('前提と出典'!$C$36*'契約別単価'!I5+'前提と出典'!$C$37*'契約別単価'!I6+'前提と出典'!$C$38*'契約別単価'!I7)</ns0:f>
        <ns0:v>32448.363128491615</ns0:v>
      </ns0:c>
      <ns0:c r="J773" s="16">
        <ns0:f>A773*('前提と出典'!$C$36*'契約別単価'!J5+'前提と出典'!$C$37*'契約別単価'!J6+'前提と出典'!$C$38*'契約別単価'!J7)</ns0:f>
        <ns0:v>75584.65911322267</ns0:v>
      </ns0:c>
      <ns0:c r="K773" s="16">
        <ns0:f>A773*('前提と出典'!$C$36*'契約別単価'!K5+'前提と出典'!$C$37*'契約別単価'!K6+'前提と出典'!$C$38*'契約別単価'!K7)</ns0:f>
        <ns0:v>323982.42085661076</ns0:v>
      </ns0:c>
      <ns0:c r="L773" s="16">
        <ns0:f>A773*('前提と出典'!$C$36*'契約別単価'!L5+'前提と出典'!$C$37*'契約別単価'!L6+'前提と出典'!$C$38*'契約別単価'!L7)</ns0:f>
        <ns0:v>263787.6169113725</ns0:v>
      </ns0:c>
      <ns0:c r="M773" s="16">
        <ns0:f>IF(('前提と出典'!$C$36+'前提と出典'!$C$38)=0,0,IF(B773&lt;=10,'前提と出典'!B73+'前提と出典'!C73,IF(B773&lt;=100,'前提と出典'!B74+'前提と出典'!C74,IF(B773&lt;=500,'前提と出典'!B75+'前提と出典'!C75,'前提と出典'!B76+'前提と出典'!C76))))</ns0:f>
        <ns0:v>80000</ns0:v>
      </ns0:c>
      <ns0:c r="N773" s="16">
        <ns0:f>IF(('前提と出典'!$C$37+'前提と出典'!$C$38)=0,0,IF(C773&lt;=10,'前提と出典'!D73+'前提と出典'!E73,IF(C773&lt;=100,'前提と出典'!D74+'前提と出典'!E74,IF(C773&lt;=500,'前提と出典'!D75+'前提と出典'!E75,'前提と出典'!D76+'前提と出典'!E76))))</ns0:f>
        <ns0:v>56510.9346263078</ns0:v>
      </ns0:c>
      <ns0:c r="O773" s="16">
        <ns0:f>IF('前提と出典'!$C$36+'前提と出典'!$C$38=0,0,'前提と出典'!$B$4*IF('前提と出典'!$B$20=0,MAX('前提と出典'!$B$6,D773*'前提と出典'!$B$5),'前提と出典'!$B$6+D773*'前提と出典'!$B$5))</ns0:f>
        <ns0:v>763604.1117318437</ns0:v>
      </ns0:c>
      <ns0:c r="P773" s="16">
        <ns0:f>(E773+G773)*(1-'前提と出典'!$B$7)-I773-K773-M773-O773</ns0:f>
        <ns0:v>2139130.8929633982</ns0:v>
      </ns0:c>
      <ns0:c r="Q773" s="16">
        <ns0:f>(F773+H773)*(1-'前提と出典'!$B$7)-J773-L773-N773</ns0:f>
        <ns0:v>657728.1030431938</ns0:v>
      </ns0:c>
      <ns0:c r="R773" s="16">
        <ns0:f>P773-E773*'前提と出典'!$E$4</ns0:f>
        <ns0:v>1559180.4095717194</ns0:v>
      </ns0:c>
      <ns0:c r="S773" s="16">
        <ns0:f>Q773-F773*'前提と出典'!$E$4</ns0:f>
        <ns0:v>489209.3169590017</ns0:v>
      </ns0:c>
      <ns0:c r="T773" s="7">
        <ns0:f>R773+S773</ns0:f>
        <ns0:v>2048389.726530721</ns0:v>
      </ns0:c>
      <ns0:c r="U773" s="16">
        <ns0:f>P773-E773*'前提と出典'!$E$5</ns0:f>
        <ns0:v>1365863.5817744932</ns0:v>
      </ns0:c>
      <ns0:c r="V773" s="16">
        <ns0:f>Q773-F773*'前提と出典'!$E$5</ns0:f>
        <ns0:v>433036.38826427085</ns0:v>
      </ns0:c>
      <ns0:c r="W773" s="7">
        <ns0:f>U773+V773</ns0:f>
        <ns0:v>1798899.9700387642</ns0:v>
      </ns0:c>
      <ns0:c r="X773" s="16">
        <ns0:f>P773-E773*'前提と出典'!$E$6</ns0:f>
        <ns0:v>1172546.753977267</ns0:v>
      </ns0:c>
      <ns0:c r="Y773" s="16">
        <ns0:f>Q773-F773*'前提と出典'!$E$6</ns0:f>
        <ns0:v>376863.4595695402</ns0:v>
      </ns0:c>
      <ns0:c r="Z773" s="7">
        <ns0:f>X773+Y773</ns0:f>
        <ns0:v>1549410.2135468074</ns0:v>
      </ns0:c>
      <ns0:c r="AA773" s="7">
        <ns0:f>IF(T773&gt;=0,A773,1001)</ns0:f>
        <ns0:v>769</ns0:v>
      </ns0:c>
      <ns0:c r="AB773" s="7">
        <ns0:f>IF(T773&lt;0,A773,0)</ns0:f>
        <ns0:v>0</ns0:v>
      </ns0:c>
      <ns0:c r="AC773" s="16">
        <ns0:f>IF(AND(OR('前提と出典'!$C$36+'前提と出典'!$C$38=0,R773&gt;=0),OR('前提と出典'!$C$37+'前提と出典'!$C$38=0,S773&gt;=0)),0,A773)</ns0:f>
        <ns0:v>0</ns0:v>
      </ns0:c>
      <ns0:c r="AD773" s="7">
        <ns0:f>IF(W773&gt;=0,A773,1001)</ns0:f>
        <ns0:v>769</ns0:v>
      </ns0:c>
      <ns0:c r="AE773" s="7">
        <ns0:f>IF(W773&lt;0,A773,0)</ns0:f>
        <ns0:v>0</ns0:v>
      </ns0:c>
      <ns0:c r="AF773" s="16">
        <ns0:f>IF(AND(OR('前提と出典'!$C$36+'前提と出典'!$C$38=0,U773&gt;=0),OR('前提と出典'!$C$37+'前提と出典'!$C$38=0,V773&gt;=0)),0,A773)</ns0:f>
        <ns0:v>0</ns0:v>
      </ns0:c>
      <ns0:c r="AG773" s="7">
        <ns0:f>IF(Z773&gt;=0,A773,1001)</ns0:f>
        <ns0:v>769</ns0:v>
      </ns0:c>
      <ns0:c r="AH773" s="4">
        <ns0:f>IF(Z773&lt;0,A773,0)</ns0:f>
        <ns0:v>0</ns0:v>
      </ns0:c>
      <ns0:c r="AI773" s="12">
        <ns0:f>IF(AND(OR('前提と出典'!$C$36+'前提と出典'!$C$38=0,X773&gt;=0),OR('前提と出典'!$C$37+'前提と出典'!$C$38=0,Y773&gt;=0)),0,A773)</ns0:f>
        <ns0:v>0</ns0:v>
      </ns0:c>
    </ns0:row>
    <ns0:row r="774" ht="24" customHeight="1">
      <ns0:c r="A774" s="4" t="n">
        <ns0:v>770</ns0:v>
      </ns0:c>
      <ns0:c r="B774" s="12">
        <ns0:f>A774*('前提と出典'!$C$36+'前提と出典'!$C$38)</ns0:f>
        <ns0:v>539</ns0:v>
      </ns0:c>
      <ns0:c r="C774" s="12">
        <ns0:f>A774*('前提と出典'!$C$37+'前提と出典'!$C$38)</ns0:f>
        <ns0:v>462</ns0:v>
      </ns0:c>
      <ns0:c r="D774" s="16">
        <ns0:f>A774*('前提と出典'!$C$36*'契約別単価'!C5+'前提と出典'!$C$37*'契約別単価'!C6+'前提と出典'!$C$38*'契約別単価'!C7)</ns0:f>
        <ns0:v>5540.558659217877</ns0:v>
      </ns0:c>
      <ns0:c r="E774" s="16">
        <ns0:f>A774*('前提と出典'!$C$36*'契約別単価'!E5+'前提と出典'!$C$37*'契約別単価'!E6+'前提と出典'!$C$38*'契約別単価'!E7)</ns0:f>
        <ns0:v>1935682.1508955031</ns0:v>
      </ns0:c>
      <ns0:c r="F774" s="16">
        <ns0:f>A774*('前提と出典'!$C$36*'契約別単価'!F5+'前提と出典'!$C$37*'契約別単価'!F6+'前提と出典'!$C$38*'契約別単価'!F7)</ns0:f>
        <ns0:v>562459.7541605028</ns0:v>
      </ns0:c>
      <ns0:c r="G774" s="16">
        <ns0:f>A774*('前提と出典'!$C$36*'契約別単価'!G5+'前提と出典'!$C$37*'契約別単価'!G6+'前提と出典'!$C$38*'契約別単価'!G7)</ns0:f>
        <ns0:v>1532687.1508379888</ns0:v>
      </ns0:c>
      <ns0:c r="H774" s="16">
        <ns0:f>A774*('前提と出典'!$C$36*'契約別単価'!H5+'前提と出典'!$C$37*'契約別単価'!H6+'前提と出典'!$C$38*'契約別単価'!H7)</ns0:f>
        <ns0:v>531919.3116420088</ns0:v>
      </ns0:c>
      <ns0:c r="I774" s="16">
        <ns0:f>A774*('前提と出典'!$C$36*'契約別単価'!I5+'前提と出典'!$C$37*'契約別単価'!I6+'前提と出典'!$C$38*'契約別単価'!I7)</ns0:f>
        <ns0:v>32490.558659217873</ns0:v>
      </ns0:c>
      <ns0:c r="J774" s="16">
        <ns0:f>A774*('前提と出典'!$C$36*'契約別単価'!J5+'前提と出典'!$C$37*'契約別単価'!J6+'前提と出典'!$C$38*'契約別単価'!J7)</ns0:f>
        <ns0:v>75682.94865693297</ns0:v>
      </ns0:c>
      <ns0:c r="K774" s="16">
        <ns0:f>A774*('前提と出典'!$C$36*'契約別単価'!K5+'前提と出典'!$C$37*'契約別単価'!K6+'前提と出典'!$C$38*'契約別単価'!K7)</ns0:f>
        <ns0:v>324403.7243947858</ns0:v>
      </ns0:c>
      <ns0:c r="L774" s="16">
        <ns0:f>A774*('前提と出典'!$C$36*'契約別単価'!L5+'前提と出典'!$C$37*'契約別単価'!L6+'前提と出典'!$C$38*'契約別単価'!L7)</ns0:f>
        <ns0:v>264130.6437214003</ns0:v>
      </ns0:c>
      <ns0:c r="M774" s="16">
        <ns0:f>IF(('前提と出典'!$C$36+'前提と出典'!$C$38)=0,0,IF(B774&lt;=10,'前提と出典'!B73+'前提と出典'!C73,IF(B774&lt;=100,'前提と出典'!B74+'前提と出典'!C74,IF(B774&lt;=500,'前提と出典'!B75+'前提と出典'!C75,'前提と出典'!B76+'前提と出典'!C76))))</ns0:f>
        <ns0:v>80000</ns0:v>
      </ns0:c>
      <ns0:c r="N774" s="16">
        <ns0:f>IF(('前提と出典'!$C$37+'前提と出典'!$C$38)=0,0,IF(C774&lt;=10,'前提と出典'!D73+'前提と出典'!E73,IF(C774&lt;=100,'前提と出典'!D74+'前提と出典'!E74,IF(C774&lt;=500,'前提と出典'!D75+'前提と出典'!E75,'前提と出典'!D76+'前提と出典'!E76))))</ns0:f>
        <ns0:v>56510.9346263078</ns0:v>
      </ns0:c>
      <ns0:c r="O774" s="16">
        <ns0:f>IF('前提と出典'!$C$36+'前提と出典'!$C$38=0,0,'前提と出典'!$B$4*IF('前提と出典'!$B$20=0,MAX('前提と出典'!$B$6,D774*'前提と出典'!$B$5),'前提と出典'!$B$6+D774*'前提と出典'!$B$5))</ns0:f>
        <ns0:v>764597.094972067</ns0:v>
      </ns0:c>
      <ns0:c r="P774" s="16">
        <ns0:f>(E774+G774)*(1-'前提と出典'!$B$7)-I774-K774-M774-O774</ns0:f>
        <ns0:v>2142016.6288450155</ns0:v>
      </ns0:c>
      <ns0:c r="Q774" s="16">
        <ns0:f>(F774+H774)*(1-'前提と出典'!$B$7)-J774-L774-N774</ns0:f>
        <ns0:v>658656.8924289802</ns0:v>
      </ns0:c>
      <ns0:c r="R774" s="16">
        <ns0:f>P774-E774*'前提と出典'!$E$4</ns0:f>
        <ns0:v>1561311.9835763648</ns0:v>
      </ns0:c>
      <ns0:c r="S774" s="16">
        <ns0:f>Q774-F774*'前提と出典'!$E$4</ns0:f>
        <ns0:v>489918.96618082933</ns0:v>
      </ns0:c>
      <ns0:c r="T774" s="7">
        <ns0:f>R774+S774</ns0:f>
        <ns0:v>2051230.9497571941</ns0:v>
      </ns0:c>
      <ns0:c r="U774" s="16">
        <ns0:f>P774-E774*'前提と出典'!$E$5</ns0:f>
        <ns0:v>1367743.768486814</ns0:v>
      </ns0:c>
      <ns0:c r="V774" s="16">
        <ns0:f>Q774-F774*'前提と出典'!$E$5</ns0:f>
        <ns0:v>433672.99076477904</ns0:v>
      </ns0:c>
      <ns0:c r="W774" s="7">
        <ns0:f>U774+V774</ns0:f>
        <ns0:v>1801416.7592515931</ns0:v>
      </ns0:c>
      <ns0:c r="X774" s="16">
        <ns0:f>P774-E774*'前提と出典'!$E$6</ns0:f>
        <ns0:v>1174175.5533972639</ns0:v>
      </ns0:c>
      <ns0:c r="Y774" s="16">
        <ns0:f>Q774-F774*'前提と出典'!$E$6</ns0:f>
        <ns0:v>377427.01534872875</ns0:v>
      </ns0:c>
      <ns0:c r="Z774" s="7">
        <ns0:f>X774+Y774</ns0:f>
        <ns0:v>1551602.5687459926</ns0:v>
      </ns0:c>
      <ns0:c r="AA774" s="7">
        <ns0:f>IF(T774&gt;=0,A774,1001)</ns0:f>
        <ns0:v>770</ns0:v>
      </ns0:c>
      <ns0:c r="AB774" s="7">
        <ns0:f>IF(T774&lt;0,A774,0)</ns0:f>
        <ns0:v>0</ns0:v>
      </ns0:c>
      <ns0:c r="AC774" s="16">
        <ns0:f>IF(AND(OR('前提と出典'!$C$36+'前提と出典'!$C$38=0,R774&gt;=0),OR('前提と出典'!$C$37+'前提と出典'!$C$38=0,S774&gt;=0)),0,A774)</ns0:f>
        <ns0:v>0</ns0:v>
      </ns0:c>
      <ns0:c r="AD774" s="7">
        <ns0:f>IF(W774&gt;=0,A774,1001)</ns0:f>
        <ns0:v>770</ns0:v>
      </ns0:c>
      <ns0:c r="AE774" s="7">
        <ns0:f>IF(W774&lt;0,A774,0)</ns0:f>
        <ns0:v>0</ns0:v>
      </ns0:c>
      <ns0:c r="AF774" s="16">
        <ns0:f>IF(AND(OR('前提と出典'!$C$36+'前提と出典'!$C$38=0,U774&gt;=0),OR('前提と出典'!$C$37+'前提と出典'!$C$38=0,V774&gt;=0)),0,A774)</ns0:f>
        <ns0:v>0</ns0:v>
      </ns0:c>
      <ns0:c r="AG774" s="7">
        <ns0:f>IF(Z774&gt;=0,A774,1001)</ns0:f>
        <ns0:v>770</ns0:v>
      </ns0:c>
      <ns0:c r="AH774" s="4">
        <ns0:f>IF(Z774&lt;0,A774,0)</ns0:f>
        <ns0:v>0</ns0:v>
      </ns0:c>
      <ns0:c r="AI774" s="12">
        <ns0:f>IF(AND(OR('前提と出典'!$C$36+'前提と出典'!$C$38=0,X774&gt;=0),OR('前提と出典'!$C$37+'前提と出典'!$C$38=0,Y774&gt;=0)),0,A774)</ns0:f>
        <ns0:v>0</ns0:v>
      </ns0:c>
    </ns0:row>
    <ns0:row r="775" ht="24" customHeight="1">
      <ns0:c r="A775" s="4" t="n">
        <ns0:v>771</ns0:v>
      </ns0:c>
      <ns0:c r="B775" s="12">
        <ns0:f>A775*('前提と出典'!$C$36+'前提と出典'!$C$38)</ns0:f>
        <ns0:v>539.6999999999999</ns0:v>
      </ns0:c>
      <ns0:c r="C775" s="12">
        <ns0:f>A775*('前提と出典'!$C$37+'前提と出典'!$C$38)</ns0:f>
        <ns0:v>462.59999999999997</ns0:v>
      </ns0:c>
      <ns0:c r="D775" s="16">
        <ns0:f>A775*('前提と出典'!$C$36*'契約別単価'!C5+'前提と出典'!$C$37*'契約別単価'!C6+'前提と出典'!$C$38*'契約別単価'!C7)</ns0:f>
        <ns0:v>5547.754189944134</ns0:v>
      </ns0:c>
      <ns0:c r="E775" s="16">
        <ns0:f>A775*('前提と出典'!$C$36*'契約別単価'!E5+'前提と出典'!$C$37*'契約別単価'!E6+'前提と出典'!$C$38*'契約別単価'!E7)</ns0:f>
        <ns0:v>1938196.023818744</ns0:v>
      </ns0:c>
      <ns0:c r="F775" s="16">
        <ns0:f>A775*('前提と出典'!$C$36*'契約別単価'!F5+'前提と出典'!$C$37*'契約別単価'!F6+'前提と出典'!$C$38*'契約別単価'!F7)</ns0:f>
        <ns0:v>563190.2213736982</ns0:v>
      </ns0:c>
      <ns0:c r="G775" s="16">
        <ns0:f>A775*('前提と出典'!$C$36*'契約別単価'!G5+'前提と出典'!$C$37*'契約別単価'!G6+'前提と出典'!$C$38*'契約別単価'!G7)</ns0:f>
        <ns0:v>1534677.6536312848</ns0:v>
      </ns0:c>
      <ns0:c r="H775" s="16">
        <ns0:f>A775*('前提と出典'!$C$36*'契約別単価'!H5+'前提と出典'!$C$37*'契約別単価'!H6+'前提と出典'!$C$38*'契約別単価'!H7)</ns0:f>
        <ns0:v>532610.1159428426</ns0:v>
      </ns0:c>
      <ns0:c r="I775" s="16">
        <ns0:f>A775*('前提と出典'!$C$36*'契約別単価'!I5+'前提と出典'!$C$37*'契約別単価'!I6+'前提と出典'!$C$38*'契約別単価'!I7)</ns0:f>
        <ns0:v>32532.754189944128</ns0:v>
      </ns0:c>
      <ns0:c r="J775" s="16">
        <ns0:f>A775*('前提と出典'!$C$36*'契約別単価'!J5+'前提と出典'!$C$37*'契約別単価'!J6+'前提と出典'!$C$38*'契約別単価'!J7)</ns0:f>
        <ns0:v>75781.23820064327</ns0:v>
      </ns0:c>
      <ns0:c r="K775" s="16">
        <ns0:f>A775*('前提と出典'!$C$36*'契約別単価'!K5+'前提と出典'!$C$37*'契約別単価'!K6+'前提と出典'!$C$38*'契約別単価'!K7)</ns0:f>
        <ns0:v>324825.0279329609</ns0:v>
      </ns0:c>
      <ns0:c r="L775" s="16">
        <ns0:f>A775*('前提と出典'!$C$36*'契約別単価'!L5+'前提と出典'!$C$37*'契約別単価'!L6+'前提と出典'!$C$38*'契約別単価'!L7)</ns0:f>
        <ns0:v>264473.67053142807</ns0:v>
      </ns0:c>
      <ns0:c r="M775" s="16">
        <ns0:f>IF(('前提と出典'!$C$36+'前提と出典'!$C$38)=0,0,IF(B775&lt;=10,'前提と出典'!B73+'前提と出典'!C73,IF(B775&lt;=100,'前提と出典'!B74+'前提と出典'!C74,IF(B775&lt;=500,'前提と出典'!B75+'前提と出典'!C75,'前提と出典'!B76+'前提と出典'!C76))))</ns0:f>
        <ns0:v>80000</ns0:v>
      </ns0:c>
      <ns0:c r="N775" s="16">
        <ns0:f>IF(('前提と出典'!$C$37+'前提と出典'!$C$38)=0,0,IF(C775&lt;=10,'前提と出典'!D73+'前提と出典'!E73,IF(C775&lt;=100,'前提と出典'!D74+'前提と出典'!E74,IF(C775&lt;=500,'前提と出典'!D75+'前提と出典'!E75,'前提と出典'!D76+'前提と出典'!E76))))</ns0:f>
        <ns0:v>56510.9346263078</ns0:v>
      </ns0:c>
      <ns0:c r="O775" s="16">
        <ns0:f>IF('前提と出典'!$C$36+'前提と出典'!$C$38=0,0,'前提と出典'!$B$4*IF('前提と出典'!$B$20=0,MAX('前提と出典'!$B$6,D775*'前提と出典'!$B$5),'前提と出典'!$B$6+D775*'前提と出典'!$B$5))</ns0:f>
        <ns0:v>765590.0782122904</ns0:v>
      </ns0:c>
      <ns0:c r="P775" s="16">
        <ns0:f>(E775+G775)*(1-'前提と出典'!$B$7)-I775-K775-M775-O775</ns0:f>
        <ns0:v>2144902.3647266324</ns0:v>
      </ns0:c>
      <ns0:c r="Q775" s="16">
        <ns0:f>(F775+H775)*(1-'前提と出典'!$B$7)-J775-L775-N775</ns0:f>
        <ns0:v>659585.6818147663</ns0:v>
      </ns0:c>
      <ns0:c r="R775" s="16">
        <ns0:f>P775-E775*'前提と出典'!$E$4</ns0:f>
        <ns0:v>1563443.5575810093</ns0:v>
      </ns0:c>
      <ns0:c r="S775" s="16">
        <ns0:f>Q775-F775*'前提と出典'!$E$4</ns0:f>
        <ns0:v>490628.6154026567</ns0:v>
      </ns0:c>
      <ns0:c r="T775" s="7">
        <ns0:f>R775+S775</ns0:f>
        <ns0:v>2054072.172983666</ns0:v>
      </ns0:c>
      <ns0:c r="U775" s="16">
        <ns0:f>P775-E775*'前提と出典'!$E$5</ns0:f>
        <ns0:v>1369623.9551991345</ns0:v>
      </ns0:c>
      <ns0:c r="V775" s="16">
        <ns0:f>Q775-F775*'前提と出典'!$E$5</ns0:f>
        <ns0:v>434309.593265287</ns0:v>
      </ns0:c>
      <ns0:c r="W775" s="7">
        <ns0:f>U775+V775</ns0:f>
        <ns0:v>1803933.5484644216</ns0:v>
      </ns0:c>
      <ns0:c r="X775" s="16">
        <ns0:f>P775-E775*'前提と出典'!$E$6</ns0:f>
        <ns0:v>1175804.3528172607</ns0:v>
      </ns0:c>
      <ns0:c r="Y775" s="16">
        <ns0:f>Q775-F775*'前提と出典'!$E$6</ns0:f>
        <ns0:v>377990.57112791704</ns0:v>
      </ns0:c>
      <ns0:c r="Z775" s="7">
        <ns0:f>X775+Y775</ns0:f>
        <ns0:v>1553794.9239451778</ns0:v>
      </ns0:c>
      <ns0:c r="AA775" s="7">
        <ns0:f>IF(T775&gt;=0,A775,1001)</ns0:f>
        <ns0:v>771</ns0:v>
      </ns0:c>
      <ns0:c r="AB775" s="7">
        <ns0:f>IF(T775&lt;0,A775,0)</ns0:f>
        <ns0:v>0</ns0:v>
      </ns0:c>
      <ns0:c r="AC775" s="16">
        <ns0:f>IF(AND(OR('前提と出典'!$C$36+'前提と出典'!$C$38=0,R775&gt;=0),OR('前提と出典'!$C$37+'前提と出典'!$C$38=0,S775&gt;=0)),0,A775)</ns0:f>
        <ns0:v>0</ns0:v>
      </ns0:c>
      <ns0:c r="AD775" s="7">
        <ns0:f>IF(W775&gt;=0,A775,1001)</ns0:f>
        <ns0:v>771</ns0:v>
      </ns0:c>
      <ns0:c r="AE775" s="7">
        <ns0:f>IF(W775&lt;0,A775,0)</ns0:f>
        <ns0:v>0</ns0:v>
      </ns0:c>
      <ns0:c r="AF775" s="16">
        <ns0:f>IF(AND(OR('前提と出典'!$C$36+'前提と出典'!$C$38=0,U775&gt;=0),OR('前提と出典'!$C$37+'前提と出典'!$C$38=0,V775&gt;=0)),0,A775)</ns0:f>
        <ns0:v>0</ns0:v>
      </ns0:c>
      <ns0:c r="AG775" s="7">
        <ns0:f>IF(Z775&gt;=0,A775,1001)</ns0:f>
        <ns0:v>771</ns0:v>
      </ns0:c>
      <ns0:c r="AH775" s="4">
        <ns0:f>IF(Z775&lt;0,A775,0)</ns0:f>
        <ns0:v>0</ns0:v>
      </ns0:c>
      <ns0:c r="AI775" s="12">
        <ns0:f>IF(AND(OR('前提と出典'!$C$36+'前提と出典'!$C$38=0,X775&gt;=0),OR('前提と出典'!$C$37+'前提と出典'!$C$38=0,Y775&gt;=0)),0,A775)</ns0:f>
        <ns0:v>0</ns0:v>
      </ns0:c>
    </ns0:row>
    <ns0:row r="776" ht="24" customHeight="1">
      <ns0:c r="A776" s="4" t="n">
        <ns0:v>772</ns0:v>
      </ns0:c>
      <ns0:c r="B776" s="12">
        <ns0:f>A776*('前提と出典'!$C$36+'前提と出典'!$C$38)</ns0:f>
        <ns0:v>540.4</ns0:v>
      </ns0:c>
      <ns0:c r="C776" s="12">
        <ns0:f>A776*('前提と出典'!$C$37+'前提と出典'!$C$38)</ns0:f>
        <ns0:v>463.2</ns0:v>
      </ns0:c>
      <ns0:c r="D776" s="16">
        <ns0:f>A776*('前提と出典'!$C$36*'契約別単価'!C5+'前提と出典'!$C$37*'契約別単価'!C6+'前提と出典'!$C$38*'契約別単価'!C7)</ns0:f>
        <ns0:v>5554.949720670391</ns0:v>
      </ns0:c>
      <ns0:c r="E776" s="16">
        <ns0:f>A776*('前提と出典'!$C$36*'契約別単価'!E5+'前提と出典'!$C$37*'契約別単価'!E6+'前提と出典'!$C$38*'契約別単価'!E7)</ns0:f>
        <ns0:v>1940709.896741985</ns0:v>
      </ns0:c>
      <ns0:c r="F776" s="16">
        <ns0:f>A776*('前提と出典'!$C$36*'契約別単価'!F5+'前提と出典'!$C$37*'契約別単価'!F6+'前提と出典'!$C$38*'契約別単価'!F7)</ns0:f>
        <ns0:v>563920.6885868937</ns0:v>
      </ns0:c>
      <ns0:c r="G776" s="16">
        <ns0:f>A776*('前提と出典'!$C$36*'契約別単価'!G5+'前提と出典'!$C$37*'契約別単価'!G6+'前提と出典'!$C$38*'契約別単価'!G7)</ns0:f>
        <ns0:v>1536668.1564245808</ns0:v>
      </ns0:c>
      <ns0:c r="H776" s="16">
        <ns0:f>A776*('前提と出典'!$C$36*'契約別単価'!H5+'前提と出典'!$C$37*'契約別単価'!H6+'前提と出典'!$C$38*'契約別単価'!H7)</ns0:f>
        <ns0:v>533300.9202436764</ns0:v>
      </ns0:c>
      <ns0:c r="I776" s="16">
        <ns0:f>A776*('前提と出典'!$C$36*'契約別単価'!I5+'前提と出典'!$C$37*'契約別単価'!I6+'前提と出典'!$C$38*'契約別単価'!I7)</ns0:f>
        <ns0:v>32574.949720670385</ns0:v>
      </ns0:c>
      <ns0:c r="J776" s="16">
        <ns0:f>A776*('前提と出典'!$C$36*'契約別単価'!J5+'前提と出典'!$C$37*'契約別単価'!J6+'前提と出典'!$C$38*'契約別単価'!J7)</ns0:f>
        <ns0:v>75879.52774435359</ns0:v>
      </ns0:c>
      <ns0:c r="K776" s="16">
        <ns0:f>A776*('前提と出典'!$C$36*'契約別単価'!K5+'前提と出典'!$C$37*'契約別単価'!K6+'前提と出典'!$C$38*'契約別単価'!K7)</ns0:f>
        <ns0:v>325246.3314711359</ns0:v>
      </ns0:c>
      <ns0:c r="L776" s="16">
        <ns0:f>A776*('前提と出典'!$C$36*'契約別単価'!L5+'前提と出典'!$C$37*'契約別単価'!L6+'前提と出典'!$C$38*'契約別単価'!L7)</ns0:f>
        <ns0:v>264816.69734145585</ns0:v>
      </ns0:c>
      <ns0:c r="M776" s="16">
        <ns0:f>IF(('前提と出典'!$C$36+'前提と出典'!$C$38)=0,0,IF(B776&lt;=10,'前提と出典'!B73+'前提と出典'!C73,IF(B776&lt;=100,'前提と出典'!B74+'前提と出典'!C74,IF(B776&lt;=500,'前提と出典'!B75+'前提と出典'!C75,'前提と出典'!B76+'前提と出典'!C76))))</ns0:f>
        <ns0:v>80000</ns0:v>
      </ns0:c>
      <ns0:c r="N776" s="16">
        <ns0:f>IF(('前提と出典'!$C$37+'前提と出典'!$C$38)=0,0,IF(C776&lt;=10,'前提と出典'!D73+'前提と出典'!E73,IF(C776&lt;=100,'前提と出典'!D74+'前提と出典'!E74,IF(C776&lt;=500,'前提と出典'!D75+'前提と出典'!E75,'前提と出典'!D76+'前提と出典'!E76))))</ns0:f>
        <ns0:v>56510.9346263078</ns0:v>
      </ns0:c>
      <ns0:c r="O776" s="16">
        <ns0:f>IF('前提と出典'!$C$36+'前提と出典'!$C$38=0,0,'前提と出典'!$B$4*IF('前提と出典'!$B$20=0,MAX('前提と出典'!$B$6,D776*'前提と出典'!$B$5),'前提と出典'!$B$6+D776*'前提と出典'!$B$5))</ns0:f>
        <ns0:v>766583.0614525139</ns0:v>
      </ns0:c>
      <ns0:c r="P776" s="16">
        <ns0:f>(E776+G776)*(1-'前提と出典'!$B$7)-I776-K776-M776-O776</ns0:f>
        <ns0:v>2147788.100608249</ns0:v>
      </ns0:c>
      <ns0:c r="Q776" s="16">
        <ns0:f>(F776+H776)*(1-'前提と出典'!$B$7)-J776-L776-N776</ns0:f>
        <ns0:v>660514.4712005524</ns0:v>
      </ns0:c>
      <ns0:c r="R776" s="16">
        <ns0:f>P776-E776*'前提と出典'!$E$4</ns0:f>
        <ns0:v>1565575.1315856534</ns0:v>
      </ns0:c>
      <ns0:c r="S776" s="16">
        <ns0:f>Q776-F776*'前提と出典'!$E$4</ns0:f>
        <ns0:v>491338.26462448435</ns0:v>
      </ns0:c>
      <ns0:c r="T776" s="7">
        <ns0:f>R776+S776</ns0:f>
        <ns0:v>2056913.3962101378</ns0:v>
      </ns0:c>
      <ns0:c r="U776" s="16">
        <ns0:f>P776-E776*'前提と出典'!$E$5</ns0:f>
        <ns0:v>1371504.141911455</ns0:v>
      </ns0:c>
      <ns0:c r="V776" s="16">
        <ns0:f>Q776-F776*'前提と出典'!$E$5</ns0:f>
        <ns0:v>434946.19576579495</ns0:v>
      </ns0:c>
      <ns0:c r="W776" s="7">
        <ns0:f>U776+V776</ns0:f>
        <ns0:v>1806450.33767725</ns0:v>
      </ns0:c>
      <ns0:c r="X776" s="16">
        <ns0:f>P776-E776*'前提と出典'!$E$6</ns0:f>
        <ns0:v>1177433.1522372565</ns0:v>
      </ns0:c>
      <ns0:c r="Y776" s="16">
        <ns0:f>Q776-F776*'前提と出典'!$E$6</ns0:f>
        <ns0:v>378554.12690710556</ns0:v>
      </ns0:c>
      <ns0:c r="Z776" s="7">
        <ns0:f>X776+Y776</ns0:f>
        <ns0:v>1555987.279144362</ns0:v>
      </ns0:c>
      <ns0:c r="AA776" s="7">
        <ns0:f>IF(T776&gt;=0,A776,1001)</ns0:f>
        <ns0:v>772</ns0:v>
      </ns0:c>
      <ns0:c r="AB776" s="7">
        <ns0:f>IF(T776&lt;0,A776,0)</ns0:f>
        <ns0:v>0</ns0:v>
      </ns0:c>
      <ns0:c r="AC776" s="16">
        <ns0:f>IF(AND(OR('前提と出典'!$C$36+'前提と出典'!$C$38=0,R776&gt;=0),OR('前提と出典'!$C$37+'前提と出典'!$C$38=0,S776&gt;=0)),0,A776)</ns0:f>
        <ns0:v>0</ns0:v>
      </ns0:c>
      <ns0:c r="AD776" s="7">
        <ns0:f>IF(W776&gt;=0,A776,1001)</ns0:f>
        <ns0:v>772</ns0:v>
      </ns0:c>
      <ns0:c r="AE776" s="7">
        <ns0:f>IF(W776&lt;0,A776,0)</ns0:f>
        <ns0:v>0</ns0:v>
      </ns0:c>
      <ns0:c r="AF776" s="16">
        <ns0:f>IF(AND(OR('前提と出典'!$C$36+'前提と出典'!$C$38=0,U776&gt;=0),OR('前提と出典'!$C$37+'前提と出典'!$C$38=0,V776&gt;=0)),0,A776)</ns0:f>
        <ns0:v>0</ns0:v>
      </ns0:c>
      <ns0:c r="AG776" s="7">
        <ns0:f>IF(Z776&gt;=0,A776,1001)</ns0:f>
        <ns0:v>772</ns0:v>
      </ns0:c>
      <ns0:c r="AH776" s="4">
        <ns0:f>IF(Z776&lt;0,A776,0)</ns0:f>
        <ns0:v>0</ns0:v>
      </ns0:c>
      <ns0:c r="AI776" s="12">
        <ns0:f>IF(AND(OR('前提と出典'!$C$36+'前提と出典'!$C$38=0,X776&gt;=0),OR('前提と出典'!$C$37+'前提と出典'!$C$38=0,Y776&gt;=0)),0,A776)</ns0:f>
        <ns0:v>0</ns0:v>
      </ns0:c>
    </ns0:row>
    <ns0:row r="777" ht="24" customHeight="1">
      <ns0:c r="A777" s="4" t="n">
        <ns0:v>773</ns0:v>
      </ns0:c>
      <ns0:c r="B777" s="12">
        <ns0:f>A777*('前提と出典'!$C$36+'前提と出典'!$C$38)</ns0:f>
        <ns0:v>541.0999999999999</ns0:v>
      </ns0:c>
      <ns0:c r="C777" s="12">
        <ns0:f>A777*('前提と出典'!$C$37+'前提と出典'!$C$38)</ns0:f>
        <ns0:v>463.79999999999995</ns0:v>
      </ns0:c>
      <ns0:c r="D777" s="16">
        <ns0:f>A777*('前提と出典'!$C$36*'契約別単価'!C5+'前提と出典'!$C$37*'契約別単価'!C6+'前提と出典'!$C$38*'契約別単価'!C7)</ns0:f>
        <ns0:v>5562.145251396648</ns0:v>
      </ns0:c>
      <ns0:c r="E777" s="16">
        <ns0:f>A777*('前提と出典'!$C$36*'契約別単価'!E5+'前提と出典'!$C$37*'契約別単価'!E6+'前提と出典'!$C$38*'契約別単価'!E7)</ns0:f>
        <ns0:v>1943223.7696652259</ns0:v>
      </ns0:c>
      <ns0:c r="F777" s="16">
        <ns0:f>A777*('前提と出典'!$C$36*'契約別単価'!F5+'前提と出典'!$C$37*'契約別単価'!F6+'前提と出典'!$C$38*'契約別単価'!F7)</ns0:f>
        <ns0:v>564651.1558000891</ns0:v>
      </ns0:c>
      <ns0:c r="G777" s="16">
        <ns0:f>A777*('前提と出典'!$C$36*'契約別単価'!G5+'前提と出典'!$C$37*'契約別単価'!G6+'前提と出典'!$C$38*'契約別単価'!G7)</ns0:f>
        <ns0:v>1538658.659217877</ns0:v>
      </ns0:c>
      <ns0:c r="H777" s="16">
        <ns0:f>A777*('前提と出典'!$C$36*'契約別単価'!H5+'前提と出典'!$C$37*'契約別単価'!H6+'前提と出典'!$C$38*'契約別単価'!H7)</ns0:f>
        <ns0:v>533991.7245445101</ns0:v>
      </ns0:c>
      <ns0:c r="I777" s="16">
        <ns0:f>A777*('前提と出典'!$C$36*'契約別単価'!I5+'前提と出典'!$C$37*'契約別単価'!I6+'前提と出典'!$C$38*'契約別単価'!I7)</ns0:f>
        <ns0:v>32617.145251396643</ns0:v>
      </ns0:c>
      <ns0:c r="J777" s="16">
        <ns0:f>A777*('前提と出典'!$C$36*'契約別単価'!J5+'前提と出典'!$C$37*'契約別単価'!J6+'前提と出典'!$C$38*'契約別単価'!J7)</ns0:f>
        <ns0:v>75977.81728806389</ns0:v>
      </ns0:c>
      <ns0:c r="K777" s="16">
        <ns0:f>A777*('前提と出典'!$C$36*'契約別単価'!K5+'前提と出典'!$C$37*'契約別単価'!K6+'前提と出典'!$C$38*'契約別単価'!K7)</ns0:f>
        <ns0:v>325667.63500931096</ns0:v>
      </ns0:c>
      <ns0:c r="L777" s="16">
        <ns0:f>A777*('前提と出典'!$C$36*'契約別単価'!L5+'前提と出典'!$C$37*'契約別単価'!L6+'前提と出典'!$C$38*'契約別単価'!L7)</ns0:f>
        <ns0:v>265159.7241514837</ns0:v>
      </ns0:c>
      <ns0:c r="M777" s="16">
        <ns0:f>IF(('前提と出典'!$C$36+'前提と出典'!$C$38)=0,0,IF(B777&lt;=10,'前提と出典'!B73+'前提と出典'!C73,IF(B777&lt;=100,'前提と出典'!B74+'前提と出典'!C74,IF(B777&lt;=500,'前提と出典'!B75+'前提と出典'!C75,'前提と出典'!B76+'前提と出典'!C76))))</ns0:f>
        <ns0:v>80000</ns0:v>
      </ns0:c>
      <ns0:c r="N777" s="16">
        <ns0:f>IF(('前提と出典'!$C$37+'前提と出典'!$C$38)=0,0,IF(C777&lt;=10,'前提と出典'!D73+'前提と出典'!E73,IF(C777&lt;=100,'前提と出典'!D74+'前提と出典'!E74,IF(C777&lt;=500,'前提と出典'!D75+'前提と出典'!E75,'前提と出典'!D76+'前提と出典'!E76))))</ns0:f>
        <ns0:v>56510.9346263078</ns0:v>
      </ns0:c>
      <ns0:c r="O777" s="16">
        <ns0:f>IF('前提と出典'!$C$36+'前提と出典'!$C$38=0,0,'前提と出典'!$B$4*IF('前提と出典'!$B$20=0,MAX('前提と出典'!$B$6,D777*'前提と出典'!$B$5),'前提と出典'!$B$6+D777*'前提と出典'!$B$5))</ns0:f>
        <ns0:v>767576.0446927374</ns0:v>
      </ns0:c>
      <ns0:c r="P777" s="16">
        <ns0:f>(E777+G777)*(1-'前提と出典'!$B$7)-I777-K777-M777-O777</ns0:f>
        <ns0:v>2150673.8364898665</ns0:v>
      </ns0:c>
      <ns0:c r="Q777" s="16">
        <ns0:f>(F777+H777)*(1-'前提と出典'!$B$7)-J777-L777-N777</ns0:f>
        <ns0:v>661443.2605863384</ns0:v>
      </ns0:c>
      <ns0:c r="R777" s="16">
        <ns0:f>P777-E777*'前提と出典'!$E$4</ns0:f>
        <ns0:v>1567706.7055902984</ns0:v>
      </ns0:c>
      <ns0:c r="S777" s="16">
        <ns0:f>Q777-F777*'前提と出典'!$E$4</ns0:f>
        <ns0:v>492047.9138463116</ns0:v>
      </ns0:c>
      <ns0:c r="T777" s="7">
        <ns0:f>R777+S777</ns0:f>
        <ns0:v>2059754.61943661</ns0:v>
      </ns0:c>
      <ns0:c r="U777" s="16">
        <ns0:f>P777-E777*'前提と出典'!$E$5</ns0:f>
        <ns0:v>1373384.3286237759</ns0:v>
      </ns0:c>
      <ns0:c r="V777" s="16">
        <ns0:f>Q777-F777*'前提と出典'!$E$5</ns0:f>
        <ns0:v>435582.7982663026</ns0:v>
      </ns0:c>
      <ns0:c r="W777" s="7">
        <ns0:f>U777+V777</ns0:f>
        <ns0:v>1808967.1268900784</ns0:v>
      </ns0:c>
      <ns0:c r="X777" s="16">
        <ns0:f>P777-E777*'前提と出典'!$E$6</ns0:f>
        <ns0:v>1179061.9516572533</ns0:v>
      </ns0:c>
      <ns0:c r="Y777" s="16">
        <ns0:f>Q777-F777*'前提と出典'!$E$6</ns0:f>
        <ns0:v>379117.6826862937</ns0:v>
      </ns0:c>
      <ns0:c r="Z777" s="7">
        <ns0:f>X777+Y777</ns0:f>
        <ns0:v>1558179.634343547</ns0:v>
      </ns0:c>
      <ns0:c r="AA777" s="7">
        <ns0:f>IF(T777&gt;=0,A777,1001)</ns0:f>
        <ns0:v>773</ns0:v>
      </ns0:c>
      <ns0:c r="AB777" s="7">
        <ns0:f>IF(T777&lt;0,A777,0)</ns0:f>
        <ns0:v>0</ns0:v>
      </ns0:c>
      <ns0:c r="AC777" s="16">
        <ns0:f>IF(AND(OR('前提と出典'!$C$36+'前提と出典'!$C$38=0,R777&gt;=0),OR('前提と出典'!$C$37+'前提と出典'!$C$38=0,S777&gt;=0)),0,A777)</ns0:f>
        <ns0:v>0</ns0:v>
      </ns0:c>
      <ns0:c r="AD777" s="7">
        <ns0:f>IF(W777&gt;=0,A777,1001)</ns0:f>
        <ns0:v>773</ns0:v>
      </ns0:c>
      <ns0:c r="AE777" s="7">
        <ns0:f>IF(W777&lt;0,A777,0)</ns0:f>
        <ns0:v>0</ns0:v>
      </ns0:c>
      <ns0:c r="AF777" s="16">
        <ns0:f>IF(AND(OR('前提と出典'!$C$36+'前提と出典'!$C$38=0,U777&gt;=0),OR('前提と出典'!$C$37+'前提と出典'!$C$38=0,V777&gt;=0)),0,A777)</ns0:f>
        <ns0:v>0</ns0:v>
      </ns0:c>
      <ns0:c r="AG777" s="7">
        <ns0:f>IF(Z777&gt;=0,A777,1001)</ns0:f>
        <ns0:v>773</ns0:v>
      </ns0:c>
      <ns0:c r="AH777" s="4">
        <ns0:f>IF(Z777&lt;0,A777,0)</ns0:f>
        <ns0:v>0</ns0:v>
      </ns0:c>
      <ns0:c r="AI777" s="12">
        <ns0:f>IF(AND(OR('前提と出典'!$C$36+'前提と出典'!$C$38=0,X777&gt;=0),OR('前提と出典'!$C$37+'前提と出典'!$C$38=0,Y777&gt;=0)),0,A777)</ns0:f>
        <ns0:v>0</ns0:v>
      </ns0:c>
    </ns0:row>
    <ns0:row r="778" ht="24" customHeight="1">
      <ns0:c r="A778" s="4" t="n">
        <ns0:v>774</ns0:v>
      </ns0:c>
      <ns0:c r="B778" s="12">
        <ns0:f>A778*('前提と出典'!$C$36+'前提と出典'!$C$38)</ns0:f>
        <ns0:v>541.8</ns0:v>
      </ns0:c>
      <ns0:c r="C778" s="12">
        <ns0:f>A778*('前提と出典'!$C$37+'前提と出典'!$C$38)</ns0:f>
        <ns0:v>464.4</ns0:v>
      </ns0:c>
      <ns0:c r="D778" s="16">
        <ns0:f>A778*('前提と出典'!$C$36*'契約別単価'!C5+'前提と出典'!$C$37*'契約別単価'!C6+'前提と出典'!$C$38*'契約別単価'!C7)</ns0:f>
        <ns0:v>5569.340782122905</ns0:v>
      </ns0:c>
      <ns0:c r="E778" s="16">
        <ns0:f>A778*('前提と出典'!$C$36*'契約別単価'!E5+'前提と出典'!$C$37*'契約別単価'!E6+'前提と出典'!$C$38*'契約別単価'!E7)</ns0:f>
        <ns0:v>1945737.6425884669</ns0:v>
      </ns0:c>
      <ns0:c r="F778" s="16">
        <ns0:f>A778*('前提と出典'!$C$36*'契約別単価'!F5+'前提と出典'!$C$37*'契約別単価'!F6+'前提と出典'!$C$38*'契約別単価'!F7)</ns0:f>
        <ns0:v>565381.6230132846</ns0:v>
      </ns0:c>
      <ns0:c r="G778" s="16">
        <ns0:f>A778*('前提と出典'!$C$36*'契約別単価'!G5+'前提と出典'!$C$37*'契約別単価'!G6+'前提と出典'!$C$38*'契約別単価'!G7)</ns0:f>
        <ns0:v>1540649.162011173</ns0:v>
      </ns0:c>
      <ns0:c r="H778" s="16">
        <ns0:f>A778*('前提と出典'!$C$36*'契約別単価'!H5+'前提と出典'!$C$37*'契約別単価'!H6+'前提と出典'!$C$38*'契約別単価'!H7)</ns0:f>
        <ns0:v>534682.528845344</ns0:v>
      </ns0:c>
      <ns0:c r="I778" s="16">
        <ns0:f>A778*('前提と出典'!$C$36*'契約別単価'!I5+'前提と出典'!$C$37*'契約別単価'!I6+'前提と出典'!$C$38*'契約別単価'!I7)</ns0:f>
        <ns0:v>32659.3407821229</ns0:v>
      </ns0:c>
      <ns0:c r="J778" s="16">
        <ns0:f>A778*('前提と出典'!$C$36*'契約別単価'!J5+'前提と出典'!$C$37*'契約別単価'!J6+'前提と出典'!$C$38*'契約別単価'!J7)</ns0:f>
        <ns0:v>76076.10683177419</ns0:v>
      </ns0:c>
      <ns0:c r="K778" s="16">
        <ns0:f>A778*('前提と出典'!$C$36*'契約別単価'!K5+'前提と出典'!$C$37*'契約別単価'!K6+'前提と出典'!$C$38*'契約別単価'!K7)</ns0:f>
        <ns0:v>326088.93854748603</ns0:v>
      </ns0:c>
      <ns0:c r="L778" s="16">
        <ns0:f>A778*('前提と出典'!$C$36*'契約別単価'!L5+'前提と出典'!$C$37*'契約別単価'!L6+'前提と出典'!$C$38*'契約別単価'!L7)</ns0:f>
        <ns0:v>265502.75096151145</ns0:v>
      </ns0:c>
      <ns0:c r="M778" s="16">
        <ns0:f>IF(('前提と出典'!$C$36+'前提と出典'!$C$38)=0,0,IF(B778&lt;=10,'前提と出典'!B73+'前提と出典'!C73,IF(B778&lt;=100,'前提と出典'!B74+'前提と出典'!C74,IF(B778&lt;=500,'前提と出典'!B75+'前提と出典'!C75,'前提と出典'!B76+'前提と出典'!C76))))</ns0:f>
        <ns0:v>80000</ns0:v>
      </ns0:c>
      <ns0:c r="N778" s="16">
        <ns0:f>IF(('前提と出典'!$C$37+'前提と出典'!$C$38)=0,0,IF(C778&lt;=10,'前提と出典'!D73+'前提と出典'!E73,IF(C778&lt;=100,'前提と出典'!D74+'前提と出典'!E74,IF(C778&lt;=500,'前提と出典'!D75+'前提と出典'!E75,'前提と出典'!D76+'前提と出典'!E76))))</ns0:f>
        <ns0:v>56510.9346263078</ns0:v>
      </ns0:c>
      <ns0:c r="O778" s="16">
        <ns0:f>IF('前提と出典'!$C$36+'前提と出典'!$C$38=0,0,'前提と出典'!$B$4*IF('前提と出典'!$B$20=0,MAX('前提と出典'!$B$6,D778*'前提と出典'!$B$5),'前提と出典'!$B$6+D778*'前提と出典'!$B$5))</ns0:f>
        <ns0:v>768569.0279329609</ns0:v>
      </ns0:c>
      <ns0:c r="P778" s="16">
        <ns0:f>(E778+G778)*(1-'前提と出典'!$B$7)-I778-K778-M778-O778</ns0:f>
        <ns0:v>2153559.572371484</ns0:v>
      </ns0:c>
      <ns0:c r="Q778" s="16">
        <ns0:f>(F778+H778)*(1-'前提と出典'!$B$7)-J778-L778-N778</ns0:f>
        <ns0:v>662372.0499721246</ns0:v>
      </ns0:c>
      <ns0:c r="R778" s="16">
        <ns0:f>P778-E778*'前提と出典'!$E$4</ns0:f>
        <ns0:v>1569838.2795949434</ns0:v>
      </ns0:c>
      <ns0:c r="S778" s="16">
        <ns0:f>Q778-F778*'前提と出典'!$E$4</ns0:f>
        <ns0:v>492757.56306813913</ns0:v>
      </ns0:c>
      <ns0:c r="T778" s="7">
        <ns0:f>R778+S778</ns0:f>
        <ns0:v>2062595.8426630825</ns0:v>
      </ns0:c>
      <ns0:c r="U778" s="16">
        <ns0:f>P778-E778*'前提と出典'!$E$5</ns0:f>
        <ns0:v>1375264.5153360968</ns0:v>
      </ns0:c>
      <ns0:c r="V778" s="16">
        <ns0:f>Q778-F778*'前提と出典'!$E$5</ns0:f>
        <ns0:v>436219.4007668107</ns0:v>
      </ns0:c>
      <ns0:c r="W778" s="7">
        <ns0:f>U778+V778</ns0:f>
        <ns0:v>1811483.9161029074</ns0:v>
      </ns0:c>
      <ns0:c r="X778" s="16">
        <ns0:f>P778-E778*'前提と出典'!$E$6</ns0:f>
        <ns0:v>1180690.75107725</ns0:v>
      </ns0:c>
      <ns0:c r="Y778" s="16">
        <ns0:f>Q778-F778*'前提と出典'!$E$6</ns0:f>
        <ns0:v>379681.2384654823</ns0:v>
      </ns0:c>
      <ns0:c r="Z778" s="7">
        <ns0:f>X778+Y778</ns0:f>
        <ns0:v>1560371.9895427325</ns0:v>
      </ns0:c>
      <ns0:c r="AA778" s="7">
        <ns0:f>IF(T778&gt;=0,A778,1001)</ns0:f>
        <ns0:v>774</ns0:v>
      </ns0:c>
      <ns0:c r="AB778" s="7">
        <ns0:f>IF(T778&lt;0,A778,0)</ns0:f>
        <ns0:v>0</ns0:v>
      </ns0:c>
      <ns0:c r="AC778" s="16">
        <ns0:f>IF(AND(OR('前提と出典'!$C$36+'前提と出典'!$C$38=0,R778&gt;=0),OR('前提と出典'!$C$37+'前提と出典'!$C$38=0,S778&gt;=0)),0,A778)</ns0:f>
        <ns0:v>0</ns0:v>
      </ns0:c>
      <ns0:c r="AD778" s="7">
        <ns0:f>IF(W778&gt;=0,A778,1001)</ns0:f>
        <ns0:v>774</ns0:v>
      </ns0:c>
      <ns0:c r="AE778" s="7">
        <ns0:f>IF(W778&lt;0,A778,0)</ns0:f>
        <ns0:v>0</ns0:v>
      </ns0:c>
      <ns0:c r="AF778" s="16">
        <ns0:f>IF(AND(OR('前提と出典'!$C$36+'前提と出典'!$C$38=0,U778&gt;=0),OR('前提と出典'!$C$37+'前提と出典'!$C$38=0,V778&gt;=0)),0,A778)</ns0:f>
        <ns0:v>0</ns0:v>
      </ns0:c>
      <ns0:c r="AG778" s="7">
        <ns0:f>IF(Z778&gt;=0,A778,1001)</ns0:f>
        <ns0:v>774</ns0:v>
      </ns0:c>
      <ns0:c r="AH778" s="4">
        <ns0:f>IF(Z778&lt;0,A778,0)</ns0:f>
        <ns0:v>0</ns0:v>
      </ns0:c>
      <ns0:c r="AI778" s="12">
        <ns0:f>IF(AND(OR('前提と出典'!$C$36+'前提と出典'!$C$38=0,X778&gt;=0),OR('前提と出典'!$C$37+'前提と出典'!$C$38=0,Y778&gt;=0)),0,A778)</ns0:f>
        <ns0:v>0</ns0:v>
      </ns0:c>
    </ns0:row>
    <ns0:row r="779" ht="24" customHeight="1">
      <ns0:c r="A779" s="4" t="n">
        <ns0:v>775</ns0:v>
      </ns0:c>
      <ns0:c r="B779" s="12">
        <ns0:f>A779*('前提と出典'!$C$36+'前提と出典'!$C$38)</ns0:f>
        <ns0:v>542.5</ns0:v>
      </ns0:c>
      <ns0:c r="C779" s="12">
        <ns0:f>A779*('前提と出典'!$C$37+'前提と出典'!$C$38)</ns0:f>
        <ns0:v>465</ns0:v>
      </ns0:c>
      <ns0:c r="D779" s="16">
        <ns0:f>A779*('前提と出典'!$C$36*'契約別単価'!C5+'前提と出典'!$C$37*'契約別単価'!C6+'前提と出典'!$C$38*'契約別単価'!C7)</ns0:f>
        <ns0:v>5576.536312849162</ns0:v>
      </ns0:c>
      <ns0:c r="E779" s="16">
        <ns0:f>A779*('前提と出典'!$C$36*'契約別単価'!E5+'前提と出典'!$C$37*'契約別単価'!E6+'前提と出典'!$C$38*'契約別単価'!E7)</ns0:f>
        <ns0:v>1948251.5155117076</ns0:v>
      </ns0:c>
      <ns0:c r="F779" s="16">
        <ns0:f>A779*('前提と出典'!$C$36*'契約別単価'!F5+'前提と出典'!$C$37*'契約別単価'!F6+'前提と出典'!$C$38*'契約別単価'!F7)</ns0:f>
        <ns0:v>566112.09022648</ns0:v>
      </ns0:c>
      <ns0:c r="G779" s="16">
        <ns0:f>A779*('前提と出典'!$C$36*'契約別単価'!G5+'前提と出典'!$C$37*'契約別単価'!G6+'前提と出典'!$C$38*'契約別単価'!G7)</ns0:f>
        <ns0:v>1542639.664804469</ns0:v>
      </ns0:c>
      <ns0:c r="H779" s="16">
        <ns0:f>A779*('前提と出典'!$C$36*'契約別単価'!H5+'前提と出典'!$C$37*'契約別単価'!H6+'前提と出典'!$C$38*'契約別単価'!H7)</ns0:f>
        <ns0:v>535373.3331461777</ns0:v>
      </ns0:c>
      <ns0:c r="I779" s="16">
        <ns0:f>A779*('前提と出典'!$C$36*'契約別単価'!I5+'前提と出典'!$C$37*'契約別単価'!I6+'前提と出典'!$C$38*'契約別単価'!I7)</ns0:f>
        <ns0:v>32701.536312849155</ns0:v>
      </ns0:c>
      <ns0:c r="J779" s="16">
        <ns0:f>A779*('前提と出典'!$C$36*'契約別単価'!J5+'前提と出典'!$C$37*'契約別単価'!J6+'前提と出典'!$C$38*'契約別単価'!J7)</ns0:f>
        <ns0:v>76174.39637548449</ns0:v>
      </ns0:c>
      <ns0:c r="K779" s="16">
        <ns0:f>A779*('前提と出典'!$C$36*'契約別単価'!K5+'前提と出典'!$C$37*'契約別単価'!K6+'前提と出典'!$C$38*'契約別単価'!K7)</ns0:f>
        <ns0:v>326510.24208566104</ns0:v>
      </ns0:c>
      <ns0:c r="L779" s="16">
        <ns0:f>A779*('前提と出典'!$C$36*'契約別単価'!L5+'前提と出典'!$C$37*'契約別単価'!L6+'前提と出典'!$C$38*'契約別単価'!L7)</ns0:f>
        <ns0:v>265845.77777153923</ns0:v>
      </ns0:c>
      <ns0:c r="M779" s="16">
        <ns0:f>IF(('前提と出典'!$C$36+'前提と出典'!$C$38)=0,0,IF(B779&lt;=10,'前提と出典'!B73+'前提と出典'!C73,IF(B779&lt;=100,'前提と出典'!B74+'前提と出典'!C74,IF(B779&lt;=500,'前提と出典'!B75+'前提と出典'!C75,'前提と出典'!B76+'前提と出典'!C76))))</ns0:f>
        <ns0:v>80000</ns0:v>
      </ns0:c>
      <ns0:c r="N779" s="16">
        <ns0:f>IF(('前提と出典'!$C$37+'前提と出典'!$C$38)=0,0,IF(C779&lt;=10,'前提と出典'!D73+'前提と出典'!E73,IF(C779&lt;=100,'前提と出典'!D74+'前提と出典'!E74,IF(C779&lt;=500,'前提と出典'!D75+'前提と出典'!E75,'前提と出典'!D76+'前提と出典'!E76))))</ns0:f>
        <ns0:v>56510.9346263078</ns0:v>
      </ns0:c>
      <ns0:c r="O779" s="16">
        <ns0:f>IF('前提と出典'!$C$36+'前提と出典'!$C$38=0,0,'前提と出典'!$B$4*IF('前提と出典'!$B$20=0,MAX('前提と出典'!$B$6,D779*'前提と出典'!$B$5),'前提と出典'!$B$6+D779*'前提と出典'!$B$5))</ns0:f>
        <ns0:v>769562.0111731844</ns0:v>
      </ns0:c>
      <ns0:c r="P779" s="16">
        <ns0:f>(E779+G779)*(1-'前提と出典'!$B$7)-I779-K779-M779-O779</ns0:f>
        <ns0:v>2156445.3082530997</ns0:v>
      </ns0:c>
      <ns0:c r="Q779" s="16">
        <ns0:f>(F779+H779)*(1-'前提と出典'!$B$7)-J779-L779-N779</ns0:f>
        <ns0:v>663300.8393579106</ns0:v>
      </ns0:c>
      <ns0:c r="R779" s="16">
        <ns0:f>P779-E779*'前提と出典'!$E$4</ns0:f>
        <ns0:v>1571969.853599587</ns0:v>
      </ns0:c>
      <ns0:c r="S779" s="16">
        <ns0:f>Q779-F779*'前提と出典'!$E$4</ns0:f>
        <ns0:v>493467.2122899664</ns0:v>
      </ns0:c>
      <ns0:c r="T779" s="7">
        <ns0:f>R779+S779</ns0:f>
        <ns0:v>2065437.0658895534</ns0:v>
      </ns0:c>
      <ns0:c r="U779" s="16">
        <ns0:f>P779-E779*'前提と出典'!$E$5</ns0:f>
        <ns0:v>1377144.7020484167</ns0:v>
      </ns0:c>
      <ns0:c r="V779" s="16">
        <ns0:f>Q779-F779*'前提と出典'!$E$5</ns0:f>
        <ns0:v>436856.00326731853</ns0:v>
      </ns0:c>
      <ns0:c r="W779" s="7">
        <ns0:f>U779+V779</ns0:f>
        <ns0:v>1814000.7053157352</ns0:v>
      </ns0:c>
      <ns0:c r="X779" s="16">
        <ns0:f>P779-E779*'前提と出典'!$E$6</ns0:f>
        <ns0:v>1182319.550497246</ns0:v>
      </ns0:c>
      <ns0:c r="Y779" s="16">
        <ns0:f>Q779-F779*'前提と出典'!$E$6</ns0:f>
        <ns0:v>380244.7942446705</ns0:v>
      </ns0:c>
      <ns0:c r="Z779" s="7">
        <ns0:f>X779+Y779</ns0:f>
        <ns0:v>1562564.3447419165</ns0:v>
      </ns0:c>
      <ns0:c r="AA779" s="7">
        <ns0:f>IF(T779&gt;=0,A779,1001)</ns0:f>
        <ns0:v>775</ns0:v>
      </ns0:c>
      <ns0:c r="AB779" s="7">
        <ns0:f>IF(T779&lt;0,A779,0)</ns0:f>
        <ns0:v>0</ns0:v>
      </ns0:c>
      <ns0:c r="AC779" s="16">
        <ns0:f>IF(AND(OR('前提と出典'!$C$36+'前提と出典'!$C$38=0,R779&gt;=0),OR('前提と出典'!$C$37+'前提と出典'!$C$38=0,S779&gt;=0)),0,A779)</ns0:f>
        <ns0:v>0</ns0:v>
      </ns0:c>
      <ns0:c r="AD779" s="7">
        <ns0:f>IF(W779&gt;=0,A779,1001)</ns0:f>
        <ns0:v>775</ns0:v>
      </ns0:c>
      <ns0:c r="AE779" s="7">
        <ns0:f>IF(W779&lt;0,A779,0)</ns0:f>
        <ns0:v>0</ns0:v>
      </ns0:c>
      <ns0:c r="AF779" s="16">
        <ns0:f>IF(AND(OR('前提と出典'!$C$36+'前提と出典'!$C$38=0,U779&gt;=0),OR('前提と出典'!$C$37+'前提と出典'!$C$38=0,V779&gt;=0)),0,A779)</ns0:f>
        <ns0:v>0</ns0:v>
      </ns0:c>
      <ns0:c r="AG779" s="7">
        <ns0:f>IF(Z779&gt;=0,A779,1001)</ns0:f>
        <ns0:v>775</ns0:v>
      </ns0:c>
      <ns0:c r="AH779" s="4">
        <ns0:f>IF(Z779&lt;0,A779,0)</ns0:f>
        <ns0:v>0</ns0:v>
      </ns0:c>
      <ns0:c r="AI779" s="12">
        <ns0:f>IF(AND(OR('前提と出典'!$C$36+'前提と出典'!$C$38=0,X779&gt;=0),OR('前提と出典'!$C$37+'前提と出典'!$C$38=0,Y779&gt;=0)),0,A779)</ns0:f>
        <ns0:v>0</ns0:v>
      </ns0:c>
    </ns0:row>
    <ns0:row r="780" ht="24" customHeight="1">
      <ns0:c r="A780" s="4" t="n">
        <ns0:v>776</ns0:v>
      </ns0:c>
      <ns0:c r="B780" s="12">
        <ns0:f>A780*('前提と出典'!$C$36+'前提と出典'!$C$38)</ns0:f>
        <ns0:v>543.1999999999999</ns0:v>
      </ns0:c>
      <ns0:c r="C780" s="12">
        <ns0:f>A780*('前提と出典'!$C$37+'前提と出典'!$C$38)</ns0:f>
        <ns0:v>465.59999999999997</ns0:v>
      </ns0:c>
      <ns0:c r="D780" s="16">
        <ns0:f>A780*('前提と出典'!$C$36*'契約別単価'!C5+'前提と出典'!$C$37*'契約別単価'!C6+'前提と出典'!$C$38*'契約別単価'!C7)</ns0:f>
        <ns0:v>5583.731843575419</ns0:v>
      </ns0:c>
      <ns0:c r="E780" s="16">
        <ns0:f>A780*('前提と出典'!$C$36*'契約別単価'!E5+'前提と出典'!$C$37*'契約別単価'!E6+'前提と出典'!$C$38*'契約別単価'!E7)</ns0:f>
        <ns0:v>1950765.3884349486</ns0:v>
      </ns0:c>
      <ns0:c r="F780" s="16">
        <ns0:f>A780*('前提と出典'!$C$36*'契約別単価'!F5+'前提と出典'!$C$37*'契約別単価'!F6+'前提と出典'!$C$38*'契約別単価'!F7)</ns0:f>
        <ns0:v>566842.5574396756</ns0:v>
      </ns0:c>
      <ns0:c r="G780" s="16">
        <ns0:f>A780*('前提と出典'!$C$36*'契約別単価'!G5+'前提と出典'!$C$37*'契約別単価'!G6+'前提と出典'!$C$38*'契約別単価'!G7)</ns0:f>
        <ns0:v>1544630.1675977653</ns0:v>
      </ns0:c>
      <ns0:c r="H780" s="16">
        <ns0:f>A780*('前提と出典'!$C$36*'契約別単価'!H5+'前提と出典'!$C$37*'契約別単価'!H6+'前提と出典'!$C$38*'契約別単価'!H7)</ns0:f>
        <ns0:v>536064.1374470115</ns0:v>
      </ns0:c>
      <ns0:c r="I780" s="16">
        <ns0:f>A780*('前提と出典'!$C$36*'契約別単価'!I5+'前提と出典'!$C$37*'契約別単価'!I6+'前提と出典'!$C$38*'契約別単価'!I7)</ns0:f>
        <ns0:v>32743.731843575413</ns0:v>
      </ns0:c>
      <ns0:c r="J780" s="16">
        <ns0:f>A780*('前提と出典'!$C$36*'契約別単価'!J5+'前提と出典'!$C$37*'契約別単価'!J6+'前提と出典'!$C$38*'契約別単価'!J7)</ns0:f>
        <ns0:v>76272.68591919479</ns0:v>
      </ns0:c>
      <ns0:c r="K780" s="16">
        <ns0:f>A780*('前提と出典'!$C$36*'契約別単価'!K5+'前提と出典'!$C$37*'契約別単価'!K6+'前提と出典'!$C$38*'契約別単価'!K7)</ns0:f>
        <ns0:v>326931.5456238361</ns0:v>
      </ns0:c>
      <ns0:c r="L780" s="16">
        <ns0:f>A780*('前提と出典'!$C$36*'契約別単価'!L5+'前提と出典'!$C$37*'契約別単価'!L6+'前提と出典'!$C$38*'契約別単価'!L7)</ns0:f>
        <ns0:v>266188.80458156706</ns0:v>
      </ns0:c>
      <ns0:c r="M780" s="16">
        <ns0:f>IF(('前提と出典'!$C$36+'前提と出典'!$C$38)=0,0,IF(B780&lt;=10,'前提と出典'!B73+'前提と出典'!C73,IF(B780&lt;=100,'前提と出典'!B74+'前提と出典'!C74,IF(B780&lt;=500,'前提と出典'!B75+'前提と出典'!C75,'前提と出典'!B76+'前提と出典'!C76))))</ns0:f>
        <ns0:v>80000</ns0:v>
      </ns0:c>
      <ns0:c r="N780" s="16">
        <ns0:f>IF(('前提と出典'!$C$37+'前提と出典'!$C$38)=0,0,IF(C780&lt;=10,'前提と出典'!D73+'前提と出典'!E73,IF(C780&lt;=100,'前提と出典'!D74+'前提と出典'!E74,IF(C780&lt;=500,'前提と出典'!D75+'前提と出典'!E75,'前提と出典'!D76+'前提と出典'!E76))))</ns0:f>
        <ns0:v>56510.9346263078</ns0:v>
      </ns0:c>
      <ns0:c r="O780" s="16">
        <ns0:f>IF('前提と出典'!$C$36+'前提と出典'!$C$38=0,0,'前提と出典'!$B$4*IF('前提と出典'!$B$20=0,MAX('前提と出典'!$B$6,D780*'前提と出典'!$B$5),'前提と出典'!$B$6+D780*'前提と出典'!$B$5))</ns0:f>
        <ns0:v>770554.9944134079</ns0:v>
      </ns0:c>
      <ns0:c r="P780" s="16">
        <ns0:f>(E780+G780)*(1-'前提と出典'!$B$7)-I780-K780-M780-O780</ns0:f>
        <ns0:v>2159331.044134717</ns0:v>
      </ns0:c>
      <ns0:c r="Q780" s="16">
        <ns0:f>(F780+H780)*(1-'前提と出典'!$B$7)-J780-L780-N780</ns0:f>
        <ns0:v>664229.6287436967</ns0:v>
      </ns0:c>
      <ns0:c r="R780" s="16">
        <ns0:f>P780-E780*'前提と出典'!$E$4</ns0:f>
        <ns0:v>1574101.4276042324</ns0:v>
      </ns0:c>
      <ns0:c r="S780" s="16">
        <ns0:f>Q780-F780*'前提と出典'!$E$4</ns0:f>
        <ns0:v>494176.86151179404</ns0:v>
      </ns0:c>
      <ns0:c r="T780" s="7">
        <ns0:f>R780+S780</ns0:f>
        <ns0:v>2068278.2891160264</ns0:v>
      </ns0:c>
      <ns0:c r="U780" s="16">
        <ns0:f>P780-E780*'前提と出典'!$E$5</ns0:f>
        <ns0:v>1379024.8887607376</ns0:v>
      </ns0:c>
      <ns0:c r="V780" s="16">
        <ns0:f>Q780-F780*'前提と出典'!$E$5</ns0:f>
        <ns0:v>437492.60576782655</ns0:v>
      </ns0:c>
      <ns0:c r="W780" s="7">
        <ns0:f>U780+V780</ns0:f>
        <ns0:v>1816517.4945285642</ns0:v>
      </ns0:c>
      <ns0:c r="X780" s="16">
        <ns0:f>P780-E780*'前提と出典'!$E$6</ns0:f>
        <ns0:v>1183948.3499172428</ns0:v>
      </ns0:c>
      <ns0:c r="Y780" s="16">
        <ns0:f>Q780-F780*'前提と出典'!$E$6</ns0:f>
        <ns0:v>380808.35002385895</ns0:v>
      </ns0:c>
      <ns0:c r="Z780" s="7">
        <ns0:f>X780+Y780</ns0:f>
        <ns0:v>1564756.6999411017</ns0:v>
      </ns0:c>
      <ns0:c r="AA780" s="7">
        <ns0:f>IF(T780&gt;=0,A780,1001)</ns0:f>
        <ns0:v>776</ns0:v>
      </ns0:c>
      <ns0:c r="AB780" s="7">
        <ns0:f>IF(T780&lt;0,A780,0)</ns0:f>
        <ns0:v>0</ns0:v>
      </ns0:c>
      <ns0:c r="AC780" s="16">
        <ns0:f>IF(AND(OR('前提と出典'!$C$36+'前提と出典'!$C$38=0,R780&gt;=0),OR('前提と出典'!$C$37+'前提と出典'!$C$38=0,S780&gt;=0)),0,A780)</ns0:f>
        <ns0:v>0</ns0:v>
      </ns0:c>
      <ns0:c r="AD780" s="7">
        <ns0:f>IF(W780&gt;=0,A780,1001)</ns0:f>
        <ns0:v>776</ns0:v>
      </ns0:c>
      <ns0:c r="AE780" s="7">
        <ns0:f>IF(W780&lt;0,A780,0)</ns0:f>
        <ns0:v>0</ns0:v>
      </ns0:c>
      <ns0:c r="AF780" s="16">
        <ns0:f>IF(AND(OR('前提と出典'!$C$36+'前提と出典'!$C$38=0,U780&gt;=0),OR('前提と出典'!$C$37+'前提と出典'!$C$38=0,V780&gt;=0)),0,A780)</ns0:f>
        <ns0:v>0</ns0:v>
      </ns0:c>
      <ns0:c r="AG780" s="7">
        <ns0:f>IF(Z780&gt;=0,A780,1001)</ns0:f>
        <ns0:v>776</ns0:v>
      </ns0:c>
      <ns0:c r="AH780" s="4">
        <ns0:f>IF(Z780&lt;0,A780,0)</ns0:f>
        <ns0:v>0</ns0:v>
      </ns0:c>
      <ns0:c r="AI780" s="12">
        <ns0:f>IF(AND(OR('前提と出典'!$C$36+'前提と出典'!$C$38=0,X780&gt;=0),OR('前提と出典'!$C$37+'前提と出典'!$C$38=0,Y780&gt;=0)),0,A780)</ns0:f>
        <ns0:v>0</ns0:v>
      </ns0:c>
    </ns0:row>
    <ns0:row r="781" ht="24" customHeight="1">
      <ns0:c r="A781" s="4" t="n">
        <ns0:v>777</ns0:v>
      </ns0:c>
      <ns0:c r="B781" s="12">
        <ns0:f>A781*('前提と出典'!$C$36+'前提と出典'!$C$38)</ns0:f>
        <ns0:v>543.9</ns0:v>
      </ns0:c>
      <ns0:c r="C781" s="12">
        <ns0:f>A781*('前提と出典'!$C$37+'前提と出典'!$C$38)</ns0:f>
        <ns0:v>466.2</ns0:v>
      </ns0:c>
      <ns0:c r="D781" s="16">
        <ns0:f>A781*('前提と出典'!$C$36*'契約別単価'!C5+'前提と出典'!$C$37*'契約別単価'!C6+'前提と出典'!$C$38*'契約別単価'!C7)</ns0:f>
        <ns0:v>5590.927374301676</ns0:v>
      </ns0:c>
      <ns0:c r="E781" s="16">
        <ns0:f>A781*('前提と出典'!$C$36*'契約別単価'!E5+'前提と出典'!$C$37*'契約別単価'!E6+'前提と出典'!$C$38*'契約別単価'!E7)</ns0:f>
        <ns0:v>1953279.2613581896</ns0:v>
      </ns0:c>
      <ns0:c r="F781" s="16">
        <ns0:f>A781*('前提と出典'!$C$36*'契約別単価'!F5+'前提と出典'!$C$37*'契約別単価'!F6+'前提と出典'!$C$38*'契約別単価'!F7)</ns0:f>
        <ns0:v>567573.024652871</ns0:v>
      </ns0:c>
      <ns0:c r="G781" s="16">
        <ns0:f>A781*('前提と出典'!$C$36*'契約別単価'!G5+'前提と出典'!$C$37*'契約別単価'!G6+'前提と出典'!$C$38*'契約別単価'!G7)</ns0:f>
        <ns0:v>1546620.6703910613</ns0:v>
      </ns0:c>
      <ns0:c r="H781" s="16">
        <ns0:f>A781*('前提と出典'!$C$36*'契約別単価'!H5+'前提と出典'!$C$37*'契約別単価'!H6+'前提と出典'!$C$38*'契約別単価'!H7)</ns0:f>
        <ns0:v>536754.9417478453</ns0:v>
      </ns0:c>
      <ns0:c r="I781" s="16">
        <ns0:f>A781*('前提と出典'!$C$36*'契約別単価'!I5+'前提と出典'!$C$37*'契約別単価'!I6+'前提と出典'!$C$38*'契約別単価'!I7)</ns0:f>
        <ns0:v>32785.92737430167</ns0:v>
      </ns0:c>
      <ns0:c r="J781" s="16">
        <ns0:f>A781*('前提と出典'!$C$36*'契約別単価'!J5+'前提と出典'!$C$37*'契約別単価'!J6+'前提と出典'!$C$38*'契約別単価'!J7)</ns0:f>
        <ns0:v>76370.97546290509</ns0:v>
      </ns0:c>
      <ns0:c r="K781" s="16">
        <ns0:f>A781*('前提と出典'!$C$36*'契約別単価'!K5+'前提と出典'!$C$37*'契約別単価'!K6+'前提と出典'!$C$38*'契約別単価'!K7)</ns0:f>
        <ns0:v>327352.8491620112</ns0:v>
      </ns0:c>
      <ns0:c r="L781" s="16">
        <ns0:f>A781*('前提と出典'!$C$36*'契約別単価'!L5+'前提と出典'!$C$37*'契約別単価'!L6+'前提と出典'!$C$38*'契約別単価'!L7)</ns0:f>
        <ns0:v>266531.83139159484</ns0:v>
      </ns0:c>
      <ns0:c r="M781" s="16">
        <ns0:f>IF(('前提と出典'!$C$36+'前提と出典'!$C$38)=0,0,IF(B781&lt;=10,'前提と出典'!B73+'前提と出典'!C73,IF(B781&lt;=100,'前提と出典'!B74+'前提と出典'!C74,IF(B781&lt;=500,'前提と出典'!B75+'前提と出典'!C75,'前提と出典'!B76+'前提と出典'!C76))))</ns0:f>
        <ns0:v>80000</ns0:v>
      </ns0:c>
      <ns0:c r="N781" s="16">
        <ns0:f>IF(('前提と出典'!$C$37+'前提と出典'!$C$38)=0,0,IF(C781&lt;=10,'前提と出典'!D73+'前提と出典'!E73,IF(C781&lt;=100,'前提と出典'!D74+'前提と出典'!E74,IF(C781&lt;=500,'前提と出典'!D75+'前提と出典'!E75,'前提と出典'!D76+'前提と出典'!E76))))</ns0:f>
        <ns0:v>56510.9346263078</ns0:v>
      </ns0:c>
      <ns0:c r="O781" s="16">
        <ns0:f>IF('前提と出典'!$C$36+'前提と出典'!$C$38=0,0,'前提と出典'!$B$4*IF('前提と出典'!$B$20=0,MAX('前提と出典'!$B$6,D781*'前提と出典'!$B$5),'前提と出典'!$B$6+D781*'前提と出典'!$B$5))</ns0:f>
        <ns0:v>771547.9776536314</ns0:v>
      </ns0:c>
      <ns0:c r="P781" s="16">
        <ns0:f>(E781+G781)*(1-'前提と出典'!$B$7)-I781-K781-M781-O781</ns0:f>
        <ns0:v>2162216.7800163333</ns0:v>
      </ns0:c>
      <ns0:c r="Q781" s="16">
        <ns0:f>(F781+H781)*(1-'前提と出典'!$B$7)-J781-L781-N781</ns0:f>
        <ns0:v>665158.4181294827</ns0:v>
      </ns0:c>
      <ns0:c r="R781" s="16">
        <ns0:f>P781-E781*'前提と出典'!$E$4</ns0:f>
        <ns0:v>1576233.001608877</ns0:v>
      </ns0:c>
      <ns0:c r="S781" s="16">
        <ns0:f>Q781-F781*'前提と出典'!$E$4</ns0:f>
        <ns0:v>494886.5107336213</ns0:v>
      </ns0:c>
      <ns0:c r="T781" s="7">
        <ns0:f>R781+S781</ns0:f>
        <ns0:v>2071119.5123424982</ns0:v>
      </ns0:c>
      <ns0:c r="U781" s="16">
        <ns0:f>P781-E781*'前提と出典'!$E$5</ns0:f>
        <ns0:v>1380905.0754730576</ns0:v>
      </ns0:c>
      <ns0:c r="V781" s="16">
        <ns0:f>Q781-F781*'前提と出典'!$E$5</ns0:f>
        <ns0:v>438129.2082683343</ns0:v>
      </ns0:c>
      <ns0:c r="W781" s="7">
        <ns0:f>U781+V781</ns0:f>
        <ns0:v>1819034.2837413917</ns0:v>
      </ns0:c>
      <ns0:c r="X781" s="16">
        <ns0:f>P781-E781*'前提と出典'!$E$6</ns0:f>
        <ns0:v>1185577.149337239</ns0:v>
      </ns0:c>
      <ns0:c r="Y781" s="16">
        <ns0:f>Q781-F781*'前提と出典'!$E$6</ns0:f>
        <ns0:v>381371.90580304724</ns0:v>
      </ns0:c>
      <ns0:c r="Z781" s="7">
        <ns0:f>X781+Y781</ns0:f>
        <ns0:v>1566949.0551402862</ns0:v>
      </ns0:c>
      <ns0:c r="AA781" s="7">
        <ns0:f>IF(T781&gt;=0,A781,1001)</ns0:f>
        <ns0:v>777</ns0:v>
      </ns0:c>
      <ns0:c r="AB781" s="7">
        <ns0:f>IF(T781&lt;0,A781,0)</ns0:f>
        <ns0:v>0</ns0:v>
      </ns0:c>
      <ns0:c r="AC781" s="16">
        <ns0:f>IF(AND(OR('前提と出典'!$C$36+'前提と出典'!$C$38=0,R781&gt;=0),OR('前提と出典'!$C$37+'前提と出典'!$C$38=0,S781&gt;=0)),0,A781)</ns0:f>
        <ns0:v>0</ns0:v>
      </ns0:c>
      <ns0:c r="AD781" s="7">
        <ns0:f>IF(W781&gt;=0,A781,1001)</ns0:f>
        <ns0:v>777</ns0:v>
      </ns0:c>
      <ns0:c r="AE781" s="7">
        <ns0:f>IF(W781&lt;0,A781,0)</ns0:f>
        <ns0:v>0</ns0:v>
      </ns0:c>
      <ns0:c r="AF781" s="16">
        <ns0:f>IF(AND(OR('前提と出典'!$C$36+'前提と出典'!$C$38=0,U781&gt;=0),OR('前提と出典'!$C$37+'前提と出典'!$C$38=0,V781&gt;=0)),0,A781)</ns0:f>
        <ns0:v>0</ns0:v>
      </ns0:c>
      <ns0:c r="AG781" s="7">
        <ns0:f>IF(Z781&gt;=0,A781,1001)</ns0:f>
        <ns0:v>777</ns0:v>
      </ns0:c>
      <ns0:c r="AH781" s="4">
        <ns0:f>IF(Z781&lt;0,A781,0)</ns0:f>
        <ns0:v>0</ns0:v>
      </ns0:c>
      <ns0:c r="AI781" s="12">
        <ns0:f>IF(AND(OR('前提と出典'!$C$36+'前提と出典'!$C$38=0,X781&gt;=0),OR('前提と出典'!$C$37+'前提と出典'!$C$38=0,Y781&gt;=0)),0,A781)</ns0:f>
        <ns0:v>0</ns0:v>
      </ns0:c>
    </ns0:row>
    <ns0:row r="782" ht="24" customHeight="1">
      <ns0:c r="A782" s="4" t="n">
        <ns0:v>778</ns0:v>
      </ns0:c>
      <ns0:c r="B782" s="12">
        <ns0:f>A782*('前提と出典'!$C$36+'前提と出典'!$C$38)</ns0:f>
        <ns0:v>544.5999999999999</ns0:v>
      </ns0:c>
      <ns0:c r="C782" s="12">
        <ns0:f>A782*('前提と出典'!$C$37+'前提と出典'!$C$38)</ns0:f>
        <ns0:v>466.79999999999995</ns0:v>
      </ns0:c>
      <ns0:c r="D782" s="16">
        <ns0:f>A782*('前提と出典'!$C$36*'契約別単価'!C5+'前提と出典'!$C$37*'契約別単価'!C6+'前提と出典'!$C$38*'契約別単価'!C7)</ns0:f>
        <ns0:v>5598.122905027933</ns0:v>
      </ns0:c>
      <ns0:c r="E782" s="16">
        <ns0:f>A782*('前提と出典'!$C$36*'契約別単価'!E5+'前提と出典'!$C$37*'契約別単価'!E6+'前提と出典'!$C$38*'契約別単価'!E7)</ns0:f>
        <ns0:v>1955793.1342814304</ns0:v>
      </ns0:c>
      <ns0:c r="F782" s="16">
        <ns0:f>A782*('前提と出典'!$C$36*'契約別単価'!F5+'前提と出典'!$C$37*'契約別単価'!F6+'前提と出典'!$C$38*'契約別単価'!F7)</ns0:f>
        <ns0:v>568303.4918660665</ns0:v>
      </ns0:c>
      <ns0:c r="G782" s="16">
        <ns0:f>A782*('前提と出典'!$C$36*'契約別単価'!G5+'前提と出典'!$C$37*'契約別単価'!G6+'前提と出典'!$C$38*'契約別単価'!G7)</ns0:f>
        <ns0:v>1548611.1731843576</ns0:v>
      </ns0:c>
      <ns0:c r="H782" s="16">
        <ns0:f>A782*('前提と出典'!$C$36*'契約別単価'!H5+'前提と出典'!$C$37*'契約別単価'!H6+'前提と出典'!$C$38*'契約別単価'!H7)</ns0:f>
        <ns0:v>537445.746048679</ns0:v>
      </ns0:c>
      <ns0:c r="I782" s="16">
        <ns0:f>A782*('前提と出典'!$C$36*'契約別単価'!I5+'前提と出典'!$C$37*'契約別単価'!I6+'前提と出典'!$C$38*'契約別単価'!I7)</ns0:f>
        <ns0:v>32828.12290502793</ns0:v>
      </ns0:c>
      <ns0:c r="J782" s="16">
        <ns0:f>A782*('前提と出典'!$C$36*'契約別単価'!J5+'前提と出典'!$C$37*'契約別単価'!J6+'前提と出典'!$C$38*'契約別単価'!J7)</ns0:f>
        <ns0:v>76469.2650066154</ns0:v>
      </ns0:c>
      <ns0:c r="K782" s="16">
        <ns0:f>A782*('前提と出典'!$C$36*'契約別単価'!K5+'前提と出典'!$C$37*'契約別単価'!K6+'前提と出典'!$C$38*'契約別単価'!K7)</ns0:f>
        <ns0:v>327774.1527001862</ns0:v>
      </ns0:c>
      <ns0:c r="L782" s="16">
        <ns0:f>A782*('前提と出典'!$C$36*'契約別単価'!L5+'前提と出典'!$C$37*'契約別単価'!L6+'前提と出典'!$C$38*'契約別単価'!L7)</ns0:f>
        <ns0:v>266874.8582016226</ns0:v>
      </ns0:c>
      <ns0:c r="M782" s="16">
        <ns0:f>IF(('前提と出典'!$C$36+'前提と出典'!$C$38)=0,0,IF(B782&lt;=10,'前提と出典'!B73+'前提と出典'!C73,IF(B782&lt;=100,'前提と出典'!B74+'前提と出典'!C74,IF(B782&lt;=500,'前提と出典'!B75+'前提と出典'!C75,'前提と出典'!B76+'前提と出典'!C76))))</ns0:f>
        <ns0:v>80000</ns0:v>
      </ns0:c>
      <ns0:c r="N782" s="16">
        <ns0:f>IF(('前提と出典'!$C$37+'前提と出典'!$C$38)=0,0,IF(C782&lt;=10,'前提と出典'!D73+'前提と出典'!E73,IF(C782&lt;=100,'前提と出典'!D74+'前提と出典'!E74,IF(C782&lt;=500,'前提と出典'!D75+'前提と出典'!E75,'前提と出典'!D76+'前提と出典'!E76))))</ns0:f>
        <ns0:v>56510.9346263078</ns0:v>
      </ns0:c>
      <ns0:c r="O782" s="16">
        <ns0:f>IF('前提と出典'!$C$36+'前提と出典'!$C$38=0,0,'前提と出典'!$B$4*IF('前提と出典'!$B$20=0,MAX('前提と出典'!$B$6,D782*'前提と出典'!$B$5),'前提と出典'!$B$6+D782*'前提と出典'!$B$5))</ns0:f>
        <ns0:v>772540.9608938546</ns0:v>
      </ns0:c>
      <ns0:c r="P782" s="16">
        <ns0:f>(E782+G782)*(1-'前提と出典'!$B$7)-I782-K782-M782-O782</ns0:f>
        <ns0:v>2165102.5158979506</ns0:v>
      </ns0:c>
      <ns0:c r="Q782" s="16">
        <ns0:f>(F782+H782)*(1-'前提と出典'!$B$7)-J782-L782-N782</ns0:f>
        <ns0:v>666087.2075152688</ns0:v>
      </ns0:c>
      <ns0:c r="R782" s="16">
        <ns0:f>P782-E782*'前提と出典'!$E$4</ns0:f>
        <ns0:v>1578364.5756135215</ns0:v>
      </ns0:c>
      <ns0:c r="S782" s="16">
        <ns0:f>Q782-F782*'前提と出典'!$E$4</ns0:f>
        <ns0:v>495596.15995544894</ns0:v>
      </ns0:c>
      <ns0:c r="T782" s="7">
        <ns0:f>R782+S782</ns0:f>
        <ns0:v>2073960.7355689704</ns0:v>
      </ns0:c>
      <ns0:c r="U782" s="16">
        <ns0:f>P782-E782*'前提と出典'!$E$5</ns0:f>
        <ns0:v>1382785.2621853785</ns0:v>
      </ns0:c>
      <ns0:c r="V782" s="16">
        <ns0:f>Q782-F782*'前提と出典'!$E$5</ns0:f>
        <ns0:v>438765.81076884223</ns0:v>
      </ns0:c>
      <ns0:c r="W782" s="7">
        <ns0:f>U782+V782</ns0:f>
        <ns0:v>1821551.0729542207</ns0:v>
      </ns0:c>
      <ns0:c r="X782" s="16">
        <ns0:f>P782-E782*'前提と出典'!$E$6</ns0:f>
        <ns0:v>1187205.9487572354</ns0:v>
      </ns0:c>
      <ns0:c r="Y782" s="16">
        <ns0:f>Q782-F782*'前提と出典'!$E$6</ns0:f>
        <ns0:v>381935.4615822355</ns0:v>
      </ns0:c>
      <ns0:c r="Z782" s="7">
        <ns0:f>X782+Y782</ns0:f>
        <ns0:v>1569141.410339471</ns0:v>
      </ns0:c>
      <ns0:c r="AA782" s="7">
        <ns0:f>IF(T782&gt;=0,A782,1001)</ns0:f>
        <ns0:v>778</ns0:v>
      </ns0:c>
      <ns0:c r="AB782" s="7">
        <ns0:f>IF(T782&lt;0,A782,0)</ns0:f>
        <ns0:v>0</ns0:v>
      </ns0:c>
      <ns0:c r="AC782" s="16">
        <ns0:f>IF(AND(OR('前提と出典'!$C$36+'前提と出典'!$C$38=0,R782&gt;=0),OR('前提と出典'!$C$37+'前提と出典'!$C$38=0,S782&gt;=0)),0,A782)</ns0:f>
        <ns0:v>0</ns0:v>
      </ns0:c>
      <ns0:c r="AD782" s="7">
        <ns0:f>IF(W782&gt;=0,A782,1001)</ns0:f>
        <ns0:v>778</ns0:v>
      </ns0:c>
      <ns0:c r="AE782" s="7">
        <ns0:f>IF(W782&lt;0,A782,0)</ns0:f>
        <ns0:v>0</ns0:v>
      </ns0:c>
      <ns0:c r="AF782" s="16">
        <ns0:f>IF(AND(OR('前提と出典'!$C$36+'前提と出典'!$C$38=0,U782&gt;=0),OR('前提と出典'!$C$37+'前提と出典'!$C$38=0,V782&gt;=0)),0,A782)</ns0:f>
        <ns0:v>0</ns0:v>
      </ns0:c>
      <ns0:c r="AG782" s="7">
        <ns0:f>IF(Z782&gt;=0,A782,1001)</ns0:f>
        <ns0:v>778</ns0:v>
      </ns0:c>
      <ns0:c r="AH782" s="4">
        <ns0:f>IF(Z782&lt;0,A782,0)</ns0:f>
        <ns0:v>0</ns0:v>
      </ns0:c>
      <ns0:c r="AI782" s="12">
        <ns0:f>IF(AND(OR('前提と出典'!$C$36+'前提と出典'!$C$38=0,X782&gt;=0),OR('前提と出典'!$C$37+'前提と出典'!$C$38=0,Y782&gt;=0)),0,A782)</ns0:f>
        <ns0:v>0</ns0:v>
      </ns0:c>
    </ns0:row>
    <ns0:row r="783" ht="24" customHeight="1">
      <ns0:c r="A783" s="4" t="n">
        <ns0:v>779</ns0:v>
      </ns0:c>
      <ns0:c r="B783" s="12">
        <ns0:f>A783*('前提と出典'!$C$36+'前提と出典'!$C$38)</ns0:f>
        <ns0:v>545.3</ns0:v>
      </ns0:c>
      <ns0:c r="C783" s="12">
        <ns0:f>A783*('前提と出典'!$C$37+'前提と出典'!$C$38)</ns0:f>
        <ns0:v>467.4</ns0:v>
      </ns0:c>
      <ns0:c r="D783" s="16">
        <ns0:f>A783*('前提と出典'!$C$36*'契約別単価'!C5+'前提と出典'!$C$37*'契約別単価'!C6+'前提と出典'!$C$38*'契約別単価'!C7)</ns0:f>
        <ns0:v>5605.3184357541895</ns0:v>
      </ns0:c>
      <ns0:c r="E783" s="16">
        <ns0:f>A783*('前提と出典'!$C$36*'契約別単価'!E5+'前提と出典'!$C$37*'契約別単価'!E6+'前提と出典'!$C$38*'契約別単価'!E7)</ns0:f>
        <ns0:v>1958307.0072046714</ns0:v>
      </ns0:c>
      <ns0:c r="F783" s="16">
        <ns0:f>A783*('前提と出典'!$C$36*'契約別単価'!F5+'前提と出典'!$C$37*'契約別単価'!F6+'前提と出典'!$C$38*'契約別単価'!F7)</ns0:f>
        <ns0:v>569033.9590792619</ns0:v>
      </ns0:c>
      <ns0:c r="G783" s="16">
        <ns0:f>A783*('前提と出典'!$C$36*'契約別単価'!G5+'前提と出典'!$C$37*'契約別単価'!G6+'前提と出典'!$C$38*'契約別単価'!G7)</ns0:f>
        <ns0:v>1550601.6759776536</ns0:v>
      </ns0:c>
      <ns0:c r="H783" s="16">
        <ns0:f>A783*('前提と出典'!$C$36*'契約別単価'!H5+'前提と出典'!$C$37*'契約別単価'!H6+'前提と出典'!$C$38*'契約別単価'!H7)</ns0:f>
        <ns0:v>538136.5503495128</ns0:v>
      </ns0:c>
      <ns0:c r="I783" s="16">
        <ns0:f>A783*('前提と出典'!$C$36*'契約別単価'!I5+'前提と出典'!$C$37*'契約別単価'!I6+'前提と出典'!$C$38*'契約別単価'!I7)</ns0:f>
        <ns0:v>32870.31843575418</ns0:v>
      </ns0:c>
      <ns0:c r="J783" s="16">
        <ns0:f>A783*('前提と出典'!$C$36*'契約別単価'!J5+'前提と出典'!$C$37*'契約別単価'!J6+'前提と出典'!$C$38*'契約別単価'!J7)</ns0:f>
        <ns0:v>76567.5545503257</ns0:v>
      </ns0:c>
      <ns0:c r="K783" s="16">
        <ns0:f>A783*('前提と出典'!$C$36*'契約別単価'!K5+'前提と出典'!$C$37*'契約別単価'!K6+'前提と出典'!$C$38*'契約別単価'!K7)</ns0:f>
        <ns0:v>328195.45623836125</ns0:v>
      </ns0:c>
      <ns0:c r="L783" s="16">
        <ns0:f>A783*('前提と出典'!$C$36*'契約別単価'!L5+'前提と出典'!$C$37*'契約別単価'!L6+'前提と出典'!$C$38*'契約別単価'!L7)</ns0:f>
        <ns0:v>267217.88501165045</ns0:v>
      </ns0:c>
      <ns0:c r="M783" s="16">
        <ns0:f>IF(('前提と出典'!$C$36+'前提と出典'!$C$38)=0,0,IF(B783&lt;=10,'前提と出典'!B73+'前提と出典'!C73,IF(B783&lt;=100,'前提と出典'!B74+'前提と出典'!C74,IF(B783&lt;=500,'前提と出典'!B75+'前提と出典'!C75,'前提と出典'!B76+'前提と出典'!C76))))</ns0:f>
        <ns0:v>80000</ns0:v>
      </ns0:c>
      <ns0:c r="N783" s="16">
        <ns0:f>IF(('前提と出典'!$C$37+'前提と出典'!$C$38)=0,0,IF(C783&lt;=10,'前提と出典'!D73+'前提と出典'!E73,IF(C783&lt;=100,'前提と出典'!D74+'前提と出典'!E74,IF(C783&lt;=500,'前提と出典'!D75+'前提と出典'!E75,'前提と出典'!D76+'前提と出典'!E76))))</ns0:f>
        <ns0:v>56510.9346263078</ns0:v>
      </ns0:c>
      <ns0:c r="O783" s="16">
        <ns0:f>IF('前提と出典'!$C$36+'前提と出典'!$C$38=0,0,'前提と出典'!$B$4*IF('前提と出典'!$B$20=0,MAX('前提と出典'!$B$6,D783*'前提と出典'!$B$5),'前提と出典'!$B$6+D783*'前提と出典'!$B$5))</ns0:f>
        <ns0:v>773533.9441340781</ns0:v>
      </ns0:c>
      <ns0:c r="P783" s="16">
        <ns0:f>(E783+G783)*(1-'前提と出典'!$B$7)-I783-K783-M783-O783</ns0:f>
        <ns0:v>2167988.2517795684</ns0:v>
      </ns0:c>
      <ns0:c r="Q783" s="16">
        <ns0:f>(F783+H783)*(1-'前提と出典'!$B$7)-J783-L783-N783</ns0:f>
        <ns0:v>667015.9969010548</ns0:v>
      </ns0:c>
      <ns0:c r="R783" s="16">
        <ns0:f>P783-E783*'前提と出典'!$E$4</ns0:f>
        <ns0:v>1580496.149618167</ns0:v>
      </ns0:c>
      <ns0:c r="S783" s="16">
        <ns0:f>Q783-F783*'前提と出典'!$E$4</ns0:f>
        <ns0:v>496305.8091772762</ns0:v>
      </ns0:c>
      <ns0:c r="T783" s="7">
        <ns0:f>R783+S783</ns0:f>
        <ns0:v>2076801.9587954432</ns0:v>
      </ns0:c>
      <ns0:c r="U783" s="16">
        <ns0:f>P783-E783*'前提と出典'!$E$5</ns0:f>
        <ns0:v>1384665.4488976998</ns0:v>
      </ns0:c>
      <ns0:c r="V783" s="16">
        <ns0:f>Q783-F783*'前提と出典'!$E$5</ns0:f>
        <ns0:v>439402.41326935</ns0:v>
      </ns0:c>
      <ns0:c r="W783" s="7">
        <ns0:f>U783+V783</ns0:f>
        <ns0:v>1824067.86216705</ns0:v>
      </ns0:c>
      <ns0:c r="X783" s="16">
        <ns0:f>P783-E783*'前提と出典'!$E$6</ns0:f>
        <ns0:v>1188834.7481772322</ns0:v>
      </ns0:c>
      <ns0:c r="Y783" s="16">
        <ns0:f>Q783-F783*'前提と出典'!$E$6</ns0:f>
        <ns0:v>382499.0173614239</ns0:v>
      </ns0:c>
      <ns0:c r="Z783" s="7">
        <ns0:f>X783+Y783</ns0:f>
        <ns0:v>1571333.7655386562</ns0:v>
      </ns0:c>
      <ns0:c r="AA783" s="7">
        <ns0:f>IF(T783&gt;=0,A783,1001)</ns0:f>
        <ns0:v>779</ns0:v>
      </ns0:c>
      <ns0:c r="AB783" s="7">
        <ns0:f>IF(T783&lt;0,A783,0)</ns0:f>
        <ns0:v>0</ns0:v>
      </ns0:c>
      <ns0:c r="AC783" s="16">
        <ns0:f>IF(AND(OR('前提と出典'!$C$36+'前提と出典'!$C$38=0,R783&gt;=0),OR('前提と出典'!$C$37+'前提と出典'!$C$38=0,S783&gt;=0)),0,A783)</ns0:f>
        <ns0:v>0</ns0:v>
      </ns0:c>
      <ns0:c r="AD783" s="7">
        <ns0:f>IF(W783&gt;=0,A783,1001)</ns0:f>
        <ns0:v>779</ns0:v>
      </ns0:c>
      <ns0:c r="AE783" s="7">
        <ns0:f>IF(W783&lt;0,A783,0)</ns0:f>
        <ns0:v>0</ns0:v>
      </ns0:c>
      <ns0:c r="AF783" s="16">
        <ns0:f>IF(AND(OR('前提と出典'!$C$36+'前提と出典'!$C$38=0,U783&gt;=0),OR('前提と出典'!$C$37+'前提と出典'!$C$38=0,V783&gt;=0)),0,A783)</ns0:f>
        <ns0:v>0</ns0:v>
      </ns0:c>
      <ns0:c r="AG783" s="7">
        <ns0:f>IF(Z783&gt;=0,A783,1001)</ns0:f>
        <ns0:v>779</ns0:v>
      </ns0:c>
      <ns0:c r="AH783" s="4">
        <ns0:f>IF(Z783&lt;0,A783,0)</ns0:f>
        <ns0:v>0</ns0:v>
      </ns0:c>
      <ns0:c r="AI783" s="12">
        <ns0:f>IF(AND(OR('前提と出典'!$C$36+'前提と出典'!$C$38=0,X783&gt;=0),OR('前提と出典'!$C$37+'前提と出典'!$C$38=0,Y783&gt;=0)),0,A783)</ns0:f>
        <ns0:v>0</ns0:v>
      </ns0:c>
    </ns0:row>
    <ns0:row r="784" ht="24" customHeight="1">
      <ns0:c r="A784" s="4" t="n">
        <ns0:v>780</ns0:v>
      </ns0:c>
      <ns0:c r="B784" s="12">
        <ns0:f>A784*('前提と出典'!$C$36+'前提と出典'!$C$38)</ns0:f>
        <ns0:v>546</ns0:v>
      </ns0:c>
      <ns0:c r="C784" s="12">
        <ns0:f>A784*('前提と出典'!$C$37+'前提と出典'!$C$38)</ns0:f>
        <ns0:v>468</ns0:v>
      </ns0:c>
      <ns0:c r="D784" s="16">
        <ns0:f>A784*('前提と出典'!$C$36*'契約別単価'!C5+'前提と出典'!$C$37*'契約別単価'!C6+'前提と出典'!$C$38*'契約別単価'!C7)</ns0:f>
        <ns0:v>5612.5139664804465</ns0:v>
      </ns0:c>
      <ns0:c r="E784" s="16">
        <ns0:f>A784*('前提と出典'!$C$36*'契約別単価'!E5+'前提と出典'!$C$37*'契約別単価'!E6+'前提と出典'!$C$38*'契約別単価'!E7)</ns0:f>
        <ns0:v>1960820.8801279124</ns0:v>
      </ns0:c>
      <ns0:c r="F784" s="16">
        <ns0:f>A784*('前提と出典'!$C$36*'契約別単価'!F5+'前提と出典'!$C$37*'契約別単価'!F6+'前提と出典'!$C$38*'契約別単価'!F7)</ns0:f>
        <ns0:v>569764.4262924574</ns0:v>
      </ns0:c>
      <ns0:c r="G784" s="16">
        <ns0:f>A784*('前提と出典'!$C$36*'契約別単価'!G5+'前提と出典'!$C$37*'契約別単価'!G6+'前提と出典'!$C$38*'契約別単価'!G7)</ns0:f>
        <ns0:v>1552592.1787709496</ns0:v>
      </ns0:c>
      <ns0:c r="H784" s="16">
        <ns0:f>A784*('前提と出典'!$C$36*'契約別単価'!H5+'前提と出典'!$C$37*'契約別単価'!H6+'前提と出典'!$C$38*'契約別単価'!H7)</ns0:f>
        <ns0:v>538827.3546503466</ns0:v>
      </ns0:c>
      <ns0:c r="I784" s="16">
        <ns0:f>A784*('前提と出典'!$C$36*'契約別単価'!I5+'前提と出典'!$C$37*'契約別単価'!I6+'前提と出典'!$C$38*'契約別単価'!I7)</ns0:f>
        <ns0:v>32912.513966480445</ns0:v>
      </ns0:c>
      <ns0:c r="J784" s="16">
        <ns0:f>A784*('前提と出典'!$C$36*'契約別単価'!J5+'前提と出典'!$C$37*'契約別単価'!J6+'前提と出典'!$C$38*'契約別単価'!J7)</ns0:f>
        <ns0:v>76665.844094036</ns0:v>
      </ns0:c>
      <ns0:c r="K784" s="16">
        <ns0:f>A784*('前提と出典'!$C$36*'契約別単価'!K5+'前提と出典'!$C$37*'契約別単価'!K6+'前提と出典'!$C$38*'契約別単価'!K7)</ns0:f>
        <ns0:v>328616.7597765363</ns0:v>
      </ns0:c>
      <ns0:c r="L784" s="16">
        <ns0:f>A784*('前提と出典'!$C$36*'契約別単価'!L5+'前提と出典'!$C$37*'契約別単価'!L6+'前提と出典'!$C$38*'契約別単価'!L7)</ns0:f>
        <ns0:v>267560.9118216782</ns0:v>
      </ns0:c>
      <ns0:c r="M784" s="16">
        <ns0:f>IF(('前提と出典'!$C$36+'前提と出典'!$C$38)=0,0,IF(B784&lt;=10,'前提と出典'!B73+'前提と出典'!C73,IF(B784&lt;=100,'前提と出典'!B74+'前提と出典'!C74,IF(B784&lt;=500,'前提と出典'!B75+'前提と出典'!C75,'前提と出典'!B76+'前提と出典'!C76))))</ns0:f>
        <ns0:v>80000</ns0:v>
      </ns0:c>
      <ns0:c r="N784" s="16">
        <ns0:f>IF(('前提と出典'!$C$37+'前提と出典'!$C$38)=0,0,IF(C784&lt;=10,'前提と出典'!D73+'前提と出典'!E73,IF(C784&lt;=100,'前提と出典'!D74+'前提と出典'!E74,IF(C784&lt;=500,'前提と出典'!D75+'前提と出典'!E75,'前提と出典'!D76+'前提と出典'!E76))))</ns0:f>
        <ns0:v>56510.9346263078</ns0:v>
      </ns0:c>
      <ns0:c r="O784" s="16">
        <ns0:f>IF('前提と出典'!$C$36+'前提と出典'!$C$38=0,0,'前提と出典'!$B$4*IF('前提と出典'!$B$20=0,MAX('前提と出典'!$B$6,D784*'前提と出典'!$B$5),'前提と出典'!$B$6+D784*'前提と出典'!$B$5))</ns0:f>
        <ns0:v>774526.9273743016</ns0:v>
      </ns0:c>
      <ns0:c r="P784" s="16">
        <ns0:f>(E784+G784)*(1-'前提と出典'!$B$7)-I784-K784-M784-O784</ns0:f>
        <ns0:v>2170873.9876611847</ns0:v>
      </ns0:c>
      <ns0:c r="Q784" s="16">
        <ns0:f>(F784+H784)*(1-'前提と出典'!$B$7)-J784-L784-N784</ns0:f>
        <ns0:v>667944.7862868409</ns0:v>
      </ns0:c>
      <ns0:c r="R784" s="16">
        <ns0:f>P784-E784*'前提と出典'!$E$4</ns0:f>
        <ns0:v>1582627.723622811</ns0:v>
      </ns0:c>
      <ns0:c r="S784" s="16">
        <ns0:f>Q784-F784*'前提と出典'!$E$4</ns0:f>
        <ns0:v>497015.4583991037</ns0:v>
      </ns0:c>
      <ns0:c r="T784" s="7">
        <ns0:f>R784+S784</ns0:f>
        <ns0:v>2079643.1820219147</ns0:v>
      </ns0:c>
      <ns0:c r="U784" s="16">
        <ns0:f>P784-E784*'前提と出典'!$E$5</ns0:f>
        <ns0:v>1386545.6356100198</ns0:v>
      </ns0:c>
      <ns0:c r="V784" s="16">
        <ns0:f>Q784-F784*'前提と出典'!$E$5</ns0:f>
        <ns0:v>440039.015769858</ns0:v>
      </ns0:c>
      <ns0:c r="W784" s="7">
        <ns0:f>U784+V784</ns0:f>
        <ns0:v>1826584.6513798777</ns0:v>
      </ns0:c>
      <ns0:c r="X784" s="16">
        <ns0:f>P784-E784*'前提と出典'!$E$6</ns0:f>
        <ns0:v>1190463.5475972285</ns0:v>
      </ns0:c>
      <ns0:c r="Y784" s="16">
        <ns0:f>Q784-F784*'前提と出典'!$E$6</ns0:f>
        <ns0:v>383062.5731406123</ns0:v>
      </ns0:c>
      <ns0:c r="Z784" s="7">
        <ns0:f>X784+Y784</ns0:f>
        <ns0:v>1573526.120737841</ns0:v>
      </ns0:c>
      <ns0:c r="AA784" s="7">
        <ns0:f>IF(T784&gt;=0,A784,1001)</ns0:f>
        <ns0:v>780</ns0:v>
      </ns0:c>
      <ns0:c r="AB784" s="7">
        <ns0:f>IF(T784&lt;0,A784,0)</ns0:f>
        <ns0:v>0</ns0:v>
      </ns0:c>
      <ns0:c r="AC784" s="16">
        <ns0:f>IF(AND(OR('前提と出典'!$C$36+'前提と出典'!$C$38=0,R784&gt;=0),OR('前提と出典'!$C$37+'前提と出典'!$C$38=0,S784&gt;=0)),0,A784)</ns0:f>
        <ns0:v>0</ns0:v>
      </ns0:c>
      <ns0:c r="AD784" s="7">
        <ns0:f>IF(W784&gt;=0,A784,1001)</ns0:f>
        <ns0:v>780</ns0:v>
      </ns0:c>
      <ns0:c r="AE784" s="7">
        <ns0:f>IF(W784&lt;0,A784,0)</ns0:f>
        <ns0:v>0</ns0:v>
      </ns0:c>
      <ns0:c r="AF784" s="16">
        <ns0:f>IF(AND(OR('前提と出典'!$C$36+'前提と出典'!$C$38=0,U784&gt;=0),OR('前提と出典'!$C$37+'前提と出典'!$C$38=0,V784&gt;=0)),0,A784)</ns0:f>
        <ns0:v>0</ns0:v>
      </ns0:c>
      <ns0:c r="AG784" s="7">
        <ns0:f>IF(Z784&gt;=0,A784,1001)</ns0:f>
        <ns0:v>780</ns0:v>
      </ns0:c>
      <ns0:c r="AH784" s="4">
        <ns0:f>IF(Z784&lt;0,A784,0)</ns0:f>
        <ns0:v>0</ns0:v>
      </ns0:c>
      <ns0:c r="AI784" s="12">
        <ns0:f>IF(AND(OR('前提と出典'!$C$36+'前提と出典'!$C$38=0,X784&gt;=0),OR('前提と出典'!$C$37+'前提と出典'!$C$38=0,Y784&gt;=0)),0,A784)</ns0:f>
        <ns0:v>0</ns0:v>
      </ns0:c>
    </ns0:row>
    <ns0:row r="785" ht="24" customHeight="1">
      <ns0:c r="A785" s="4" t="n">
        <ns0:v>781</ns0:v>
      </ns0:c>
      <ns0:c r="B785" s="12">
        <ns0:f>A785*('前提と出典'!$C$36+'前提と出典'!$C$38)</ns0:f>
        <ns0:v>546.6999999999999</ns0:v>
      </ns0:c>
      <ns0:c r="C785" s="12">
        <ns0:f>A785*('前提と出典'!$C$37+'前提と出典'!$C$38)</ns0:f>
        <ns0:v>468.59999999999997</ns0:v>
      </ns0:c>
      <ns0:c r="D785" s="16">
        <ns0:f>A785*('前提と出典'!$C$36*'契約別単価'!C5+'前提と出典'!$C$37*'契約別単価'!C6+'前提と出典'!$C$38*'契約別単価'!C7)</ns0:f>
        <ns0:v>5619.709497206704</ns0:v>
      </ns0:c>
      <ns0:c r="E785" s="16">
        <ns0:f>A785*('前提と出典'!$C$36*'契約別単価'!E5+'前提と出典'!$C$37*'契約別単価'!E6+'前提と出典'!$C$38*'契約別単価'!E7)</ns0:f>
        <ns0:v>1963334.7530511532</ns0:v>
      </ns0:c>
      <ns0:c r="F785" s="16">
        <ns0:f>A785*('前提と出典'!$C$36*'契約別単価'!F5+'前提と出典'!$C$37*'契約別単価'!F6+'前提と出典'!$C$38*'契約別単価'!F7)</ns0:f>
        <ns0:v>570494.8935056528</ns0:v>
      </ns0:c>
      <ns0:c r="G785" s="16">
        <ns0:f>A785*('前提と出典'!$C$36*'契約別単価'!G5+'前提と出典'!$C$37*'契約別単価'!G6+'前提と出典'!$C$38*'契約別単価'!G7)</ns0:f>
        <ns0:v>1554582.6815642458</ns0:v>
      </ns0:c>
      <ns0:c r="H785" s="16">
        <ns0:f>A785*('前提と出典'!$C$36*'契約別単価'!H5+'前提と出典'!$C$37*'契約別単価'!H6+'前提と出典'!$C$38*'契約別単価'!H7)</ns0:f>
        <ns0:v>539518.1589511804</ns0:v>
      </ns0:c>
      <ns0:c r="I785" s="16">
        <ns0:f>A785*('前提と出典'!$C$36*'契約別単価'!I5+'前提と出典'!$C$37*'契約別単価'!I6+'前提と出典'!$C$38*'契約別単価'!I7)</ns0:f>
        <ns0:v>32954.7094972067</ns0:v>
      </ns0:c>
      <ns0:c r="J785" s="16">
        <ns0:f>A785*('前提と出典'!$C$36*'契約別単価'!J5+'前提と出典'!$C$37*'契約別単価'!J6+'前提と出典'!$C$38*'契約別単価'!J7)</ns0:f>
        <ns0:v>76764.1336377463</ns0:v>
      </ns0:c>
      <ns0:c r="K785" s="16">
        <ns0:f>A785*('前提と出典'!$C$36*'契約別単価'!K5+'前提と出典'!$C$37*'契約別単価'!K6+'前提と出典'!$C$38*'契約別単価'!K7)</ns0:f>
        <ns0:v>329038.0633147113</ns0:v>
      </ns0:c>
      <ns0:c r="L785" s="16">
        <ns0:f>A785*('前提と出典'!$C$36*'契約別単価'!L5+'前提と出典'!$C$37*'契約別単価'!L6+'前提と出典'!$C$38*'契約別単価'!L7)</ns0:f>
        <ns0:v>267903.938631706</ns0:v>
      </ns0:c>
      <ns0:c r="M785" s="16">
        <ns0:f>IF(('前提と出典'!$C$36+'前提と出典'!$C$38)=0,0,IF(B785&lt;=10,'前提と出典'!B73+'前提と出典'!C73,IF(B785&lt;=100,'前提と出典'!B74+'前提と出典'!C74,IF(B785&lt;=500,'前提と出典'!B75+'前提と出典'!C75,'前提と出典'!B76+'前提と出典'!C76))))</ns0:f>
        <ns0:v>80000</ns0:v>
      </ns0:c>
      <ns0:c r="N785" s="16">
        <ns0:f>IF(('前提と出典'!$C$37+'前提と出典'!$C$38)=0,0,IF(C785&lt;=10,'前提と出典'!D73+'前提と出典'!E73,IF(C785&lt;=100,'前提と出典'!D74+'前提と出典'!E74,IF(C785&lt;=500,'前提と出典'!D75+'前提と出典'!E75,'前提と出典'!D76+'前提と出典'!E76))))</ns0:f>
        <ns0:v>56510.9346263078</ns0:v>
      </ns0:c>
      <ns0:c r="O785" s="16">
        <ns0:f>IF('前提と出典'!$C$36+'前提と出典'!$C$38=0,0,'前提と出典'!$B$4*IF('前提と出典'!$B$20=0,MAX('前提と出典'!$B$6,D785*'前提と出典'!$B$5),'前提と出典'!$B$6+D785*'前提と出典'!$B$5))</ns0:f>
        <ns0:v>775519.9106145252</ns0:v>
      </ns0:c>
      <ns0:c r="P785" s="16">
        <ns0:f>(E785+G785)*(1-'前提と出典'!$B$7)-I785-K785-M785-O785</ns0:f>
        <ns0:v>2173759.723542801</ns0:v>
      </ns0:c>
      <ns0:c r="Q785" s="16">
        <ns0:f>(F785+H785)*(1-'前提と出典'!$B$7)-J785-L785-N785</ns0:f>
        <ns0:v>668873.5756726271</ns0:v>
      </ns0:c>
      <ns0:c r="R785" s="16">
        <ns0:f>P785-E785*'前提と出典'!$E$4</ns0:f>
        <ns0:v>1584759.2976274553</ns0:v>
      </ns0:c>
      <ns0:c r="S785" s="16">
        <ns0:f>Q785-F785*'前提と出典'!$E$4</ns0:f>
        <ns0:v>497725.10762093123</ns0:v>
      </ns0:c>
      <ns0:c r="T785" s="7">
        <ns0:f>R785+S785</ns0:f>
        <ns0:v>2082484.4052483866</ns0:v>
      </ns0:c>
      <ns0:c r="U785" s="16">
        <ns0:f>P785-E785*'前提と出典'!$E$5</ns0:f>
        <ns0:v>1388425.82232234</ns0:v>
      </ns0:c>
      <ns0:c r="V785" s="16">
        <ns0:f>Q785-F785*'前提と出典'!$E$5</ns0:f>
        <ns0:v>440675.6182703659</ns0:v>
      </ns0:c>
      <ns0:c r="W785" s="7">
        <ns0:f>U785+V785</ns0:f>
        <ns0:v>1829101.440592706</ns0:v>
      </ns0:c>
      <ns0:c r="X785" s="16">
        <ns0:f>P785-E785*'前提と出典'!$E$6</ns0:f>
        <ns0:v>1192092.3470172246</ns0:v>
      </ns0:c>
      <ns0:c r="Y785" s="16">
        <ns0:f>Q785-F785*'前提と出典'!$E$6</ns0:f>
        <ns0:v>383626.12891980057</ns0:v>
      </ns0:c>
      <ns0:c r="Z785" s="7">
        <ns0:f>X785+Y785</ns0:f>
        <ns0:v>1575718.4759370252</ns0:v>
      </ns0:c>
      <ns0:c r="AA785" s="7">
        <ns0:f>IF(T785&gt;=0,A785,1001)</ns0:f>
        <ns0:v>781</ns0:v>
      </ns0:c>
      <ns0:c r="AB785" s="7">
        <ns0:f>IF(T785&lt;0,A785,0)</ns0:f>
        <ns0:v>0</ns0:v>
      </ns0:c>
      <ns0:c r="AC785" s="16">
        <ns0:f>IF(AND(OR('前提と出典'!$C$36+'前提と出典'!$C$38=0,R785&gt;=0),OR('前提と出典'!$C$37+'前提と出典'!$C$38=0,S785&gt;=0)),0,A785)</ns0:f>
        <ns0:v>0</ns0:v>
      </ns0:c>
      <ns0:c r="AD785" s="7">
        <ns0:f>IF(W785&gt;=0,A785,1001)</ns0:f>
        <ns0:v>781</ns0:v>
      </ns0:c>
      <ns0:c r="AE785" s="7">
        <ns0:f>IF(W785&lt;0,A785,0)</ns0:f>
        <ns0:v>0</ns0:v>
      </ns0:c>
      <ns0:c r="AF785" s="16">
        <ns0:f>IF(AND(OR('前提と出典'!$C$36+'前提と出典'!$C$38=0,U785&gt;=0),OR('前提と出典'!$C$37+'前提と出典'!$C$38=0,V785&gt;=0)),0,A785)</ns0:f>
        <ns0:v>0</ns0:v>
      </ns0:c>
      <ns0:c r="AG785" s="7">
        <ns0:f>IF(Z785&gt;=0,A785,1001)</ns0:f>
        <ns0:v>781</ns0:v>
      </ns0:c>
      <ns0:c r="AH785" s="4">
        <ns0:f>IF(Z785&lt;0,A785,0)</ns0:f>
        <ns0:v>0</ns0:v>
      </ns0:c>
      <ns0:c r="AI785" s="12">
        <ns0:f>IF(AND(OR('前提と出典'!$C$36+'前提と出典'!$C$38=0,X785&gt;=0),OR('前提と出典'!$C$37+'前提と出典'!$C$38=0,Y785&gt;=0)),0,A785)</ns0:f>
        <ns0:v>0</ns0:v>
      </ns0:c>
    </ns0:row>
    <ns0:row r="786" ht="24" customHeight="1">
      <ns0:c r="A786" s="4" t="n">
        <ns0:v>782</ns0:v>
      </ns0:c>
      <ns0:c r="B786" s="12">
        <ns0:f>A786*('前提と出典'!$C$36+'前提と出典'!$C$38)</ns0:f>
        <ns0:v>547.4</ns0:v>
      </ns0:c>
      <ns0:c r="C786" s="12">
        <ns0:f>A786*('前提と出典'!$C$37+'前提と出典'!$C$38)</ns0:f>
        <ns0:v>469.2</ns0:v>
      </ns0:c>
      <ns0:c r="D786" s="16">
        <ns0:f>A786*('前提と出典'!$C$36*'契約別単価'!C5+'前提と出典'!$C$37*'契約別単価'!C6+'前提と出典'!$C$38*'契約別単価'!C7)</ns0:f>
        <ns0:v>5626.905027932961</ns0:v>
      </ns0:c>
      <ns0:c r="E786" s="16">
        <ns0:f>A786*('前提と出典'!$C$36*'契約別単価'!E5+'前提と出典'!$C$37*'契約別単価'!E6+'前提と出典'!$C$38*'契約別単価'!E7)</ns0:f>
        <ns0:v>1965848.6259743941</ns0:v>
      </ns0:c>
      <ns0:c r="F786" s="16">
        <ns0:f>A786*('前提と出典'!$C$36*'契約別単価'!F5+'前提と出典'!$C$37*'契約別単価'!F6+'前提と出典'!$C$38*'契約別単価'!F7)</ns0:f>
        <ns0:v>571225.3607188483</ns0:v>
      </ns0:c>
      <ns0:c r="G786" s="16">
        <ns0:f>A786*('前提と出典'!$C$36*'契約別単価'!G5+'前提と出典'!$C$37*'契約別単価'!G6+'前提と出典'!$C$38*'契約別単価'!G7)</ns0:f>
        <ns0:v>1556573.1843575418</ns0:v>
      </ns0:c>
      <ns0:c r="H786" s="16">
        <ns0:f>A786*('前提と出典'!$C$36*'契約別単価'!H5+'前提と出典'!$C$37*'契約別単価'!H6+'前提と出典'!$C$38*'契約別単価'!H7)</ns0:f>
        <ns0:v>540208.9632520141</ns0:v>
      </ns0:c>
      <ns0:c r="I786" s="16">
        <ns0:f>A786*('前提と出典'!$C$36*'契約別単価'!I5+'前提と出典'!$C$37*'契約別単価'!I6+'前提と出典'!$C$38*'契約別単価'!I7)</ns0:f>
        <ns0:v>32996.90502793295</ns0:v>
      </ns0:c>
      <ns0:c r="J786" s="16">
        <ns0:f>A786*('前提と出典'!$C$36*'契約別単価'!J5+'前提と出典'!$C$37*'契約別単価'!J6+'前提と出典'!$C$38*'契約別単価'!J7)</ns0:f>
        <ns0:v>76862.4231814566</ns0:v>
      </ns0:c>
      <ns0:c r="K786" s="16">
        <ns0:f>A786*('前提と出典'!$C$36*'契約別単価'!K5+'前提と出典'!$C$37*'契約別単価'!K6+'前提と出典'!$C$38*'契約別単価'!K7)</ns0:f>
        <ns0:v>329459.3668528864</ns0:v>
      </ns0:c>
      <ns0:c r="L786" s="16">
        <ns0:f>A786*('前提と出典'!$C$36*'契約別単価'!L5+'前提と出典'!$C$37*'契約別単価'!L6+'前提と出典'!$C$38*'契約別単価'!L7)</ns0:f>
        <ns0:v>268246.9654417338</ns0:v>
      </ns0:c>
      <ns0:c r="M786" s="16">
        <ns0:f>IF(('前提と出典'!$C$36+'前提と出典'!$C$38)=0,0,IF(B786&lt;=10,'前提と出典'!B73+'前提と出典'!C73,IF(B786&lt;=100,'前提と出典'!B74+'前提と出典'!C74,IF(B786&lt;=500,'前提と出典'!B75+'前提と出典'!C75,'前提と出典'!B76+'前提と出典'!C76))))</ns0:f>
        <ns0:v>80000</ns0:v>
      </ns0:c>
      <ns0:c r="N786" s="16">
        <ns0:f>IF(('前提と出典'!$C$37+'前提と出典'!$C$38)=0,0,IF(C786&lt;=10,'前提と出典'!D73+'前提と出典'!E73,IF(C786&lt;=100,'前提と出典'!D74+'前提と出典'!E74,IF(C786&lt;=500,'前提と出典'!D75+'前提と出典'!E75,'前提と出典'!D76+'前提と出典'!E76))))</ns0:f>
        <ns0:v>56510.9346263078</ns0:v>
      </ns0:c>
      <ns0:c r="O786" s="16">
        <ns0:f>IF('前提と出典'!$C$36+'前提と出典'!$C$38=0,0,'前提と出典'!$B$4*IF('前提と出典'!$B$20=0,MAX('前提と出典'!$B$6,D786*'前提と出典'!$B$5),'前提と出典'!$B$6+D786*'前提と出典'!$B$5))</ns0:f>
        <ns0:v>776512.8938547487</ns0:v>
      </ns0:c>
      <ns0:c r="P786" s="16">
        <ns0:f>(E786+G786)*(1-'前提と出典'!$B$7)-I786-K786-M786-O786</ns0:f>
        <ns0:v>2176645.4594244184</ns0:v>
      </ns0:c>
      <ns0:c r="Q786" s="16">
        <ns0:f>(F786+H786)*(1-'前提と出典'!$B$7)-J786-L786-N786</ns0:f>
        <ns0:v>669802.3650584132</ns0:v>
      </ns0:c>
      <ns0:c r="R786" s="16">
        <ns0:f>P786-E786*'前提と出典'!$E$4</ns0:f>
        <ns0:v>1586890.8716320999</ns0:v>
      </ns0:c>
      <ns0:c r="S786" s="16">
        <ns0:f>Q786-F786*'前提と出典'!$E$4</ns0:f>
        <ns0:v>498434.75684275874</ns0:v>
      </ns0:c>
      <ns0:c r="T786" s="7">
        <ns0:f>R786+S786</ns0:f>
        <ns0:v>2085325.6284748586</ns0:v>
      </ns0:c>
      <ns0:c r="U786" s="16">
        <ns0:f>P786-E786*'前提と出典'!$E$5</ns0:f>
        <ns0:v>1390306.0090346604</ns0:v>
      </ns0:c>
      <ns0:c r="V786" s="16">
        <ns0:f>Q786-F786*'前提と出典'!$E$5</ns0:f>
        <ns0:v>441312.2207708739</ns0:v>
      </ns0:c>
      <ns0:c r="W786" s="7">
        <ns0:f>U786+V786</ns0:f>
        <ns0:v>1831618.2298055342</ns0:v>
      </ns0:c>
      <ns0:c r="X786" s="16">
        <ns0:f>P786-E786*'前提と出典'!$E$6</ns0:f>
        <ns0:v>1193721.146437221</ns0:v>
      </ns0:c>
      <ns0:c r="Y786" s="16">
        <ns0:f>Q786-F786*'前提と出典'!$E$6</ns0:f>
        <ns0:v>384189.6846989891</ns0:v>
      </ns0:c>
      <ns0:c r="Z786" s="7">
        <ns0:f>X786+Y786</ns0:f>
        <ns0:v>1577910.8311362101</ns0:v>
      </ns0:c>
      <ns0:c r="AA786" s="7">
        <ns0:f>IF(T786&gt;=0,A786,1001)</ns0:f>
        <ns0:v>782</ns0:v>
      </ns0:c>
      <ns0:c r="AB786" s="7">
        <ns0:f>IF(T786&lt;0,A786,0)</ns0:f>
        <ns0:v>0</ns0:v>
      </ns0:c>
      <ns0:c r="AC786" s="16">
        <ns0:f>IF(AND(OR('前提と出典'!$C$36+'前提と出典'!$C$38=0,R786&gt;=0),OR('前提と出典'!$C$37+'前提と出典'!$C$38=0,S786&gt;=0)),0,A786)</ns0:f>
        <ns0:v>0</ns0:v>
      </ns0:c>
      <ns0:c r="AD786" s="7">
        <ns0:f>IF(W786&gt;=0,A786,1001)</ns0:f>
        <ns0:v>782</ns0:v>
      </ns0:c>
      <ns0:c r="AE786" s="7">
        <ns0:f>IF(W786&lt;0,A786,0)</ns0:f>
        <ns0:v>0</ns0:v>
      </ns0:c>
      <ns0:c r="AF786" s="16">
        <ns0:f>IF(AND(OR('前提と出典'!$C$36+'前提と出典'!$C$38=0,U786&gt;=0),OR('前提と出典'!$C$37+'前提と出典'!$C$38=0,V786&gt;=0)),0,A786)</ns0:f>
        <ns0:v>0</ns0:v>
      </ns0:c>
      <ns0:c r="AG786" s="7">
        <ns0:f>IF(Z786&gt;=0,A786,1001)</ns0:f>
        <ns0:v>782</ns0:v>
      </ns0:c>
      <ns0:c r="AH786" s="4">
        <ns0:f>IF(Z786&lt;0,A786,0)</ns0:f>
        <ns0:v>0</ns0:v>
      </ns0:c>
      <ns0:c r="AI786" s="12">
        <ns0:f>IF(AND(OR('前提と出典'!$C$36+'前提と出典'!$C$38=0,X786&gt;=0),OR('前提と出典'!$C$37+'前提と出典'!$C$38=0,Y786&gt;=0)),0,A786)</ns0:f>
        <ns0:v>0</ns0:v>
      </ns0:c>
    </ns0:row>
    <ns0:row r="787" ht="24" customHeight="1">
      <ns0:c r="A787" s="4" t="n">
        <ns0:v>783</ns0:v>
      </ns0:c>
      <ns0:c r="B787" s="12">
        <ns0:f>A787*('前提と出典'!$C$36+'前提と出典'!$C$38)</ns0:f>
        <ns0:v>548.0999999999999</ns0:v>
      </ns0:c>
      <ns0:c r="C787" s="12">
        <ns0:f>A787*('前提と出典'!$C$37+'前提と出典'!$C$38)</ns0:f>
        <ns0:v>469.79999999999995</ns0:v>
      </ns0:c>
      <ns0:c r="D787" s="16">
        <ns0:f>A787*('前提と出典'!$C$36*'契約別単価'!C5+'前提と出典'!$C$37*'契約別単価'!C6+'前提と出典'!$C$38*'契約別単価'!C7)</ns0:f>
        <ns0:v>5634.100558659218</ns0:v>
      </ns0:c>
      <ns0:c r="E787" s="16">
        <ns0:f>A787*('前提と出典'!$C$36*'契約別単価'!E5+'前提と出典'!$C$37*'契約別単価'!E6+'前提と出典'!$C$38*'契約別単価'!E7)</ns0:f>
        <ns0:v>1968362.4988976351</ns0:v>
      </ns0:c>
      <ns0:c r="F787" s="16">
        <ns0:f>A787*('前提と出典'!$C$36*'契約別単価'!F5+'前提と出典'!$C$37*'契約別単価'!F6+'前提と出典'!$C$38*'契約別単価'!F7)</ns0:f>
        <ns0:v>571955.8279320437</ns0:v>
      </ns0:c>
      <ns0:c r="G787" s="16">
        <ns0:f>A787*('前提と出典'!$C$36*'契約別単価'!G5+'前提と出典'!$C$37*'契約別単価'!G6+'前提と出典'!$C$38*'契約別単価'!G7)</ns0:f>
        <ns0:v>1558563.6871508379</ns0:v>
      </ns0:c>
      <ns0:c r="H787" s="16">
        <ns0:f>A787*('前提と出典'!$C$36*'契約別単価'!H5+'前提と出典'!$C$37*'契約別単価'!H6+'前提と出典'!$C$38*'契約別単価'!H7)</ns0:f>
        <ns0:v>540899.767552848</ns0:v>
      </ns0:c>
      <ns0:c r="I787" s="16">
        <ns0:f>A787*('前提と出典'!$C$36*'契約別単価'!I5+'前提と出典'!$C$37*'契約別単価'!I6+'前提と出典'!$C$38*'契約別単価'!I7)</ns0:f>
        <ns0:v>33039.100558659215</ns0:v>
      </ns0:c>
      <ns0:c r="J787" s="16">
        <ns0:f>A787*('前提と出典'!$C$36*'契約別単価'!J5+'前提と出典'!$C$37*'契約別単価'!J6+'前提と出典'!$C$38*'契約別単価'!J7)</ns0:f>
        <ns0:v>76960.71272516692</ns0:v>
      </ns0:c>
      <ns0:c r="K787" s="16">
        <ns0:f>A787*('前提と出典'!$C$36*'契約別単価'!K5+'前提と出典'!$C$37*'契約別単価'!K6+'前提と出典'!$C$38*'契約別単価'!K7)</ns0:f>
        <ns0:v>329880.6703910614</ns0:v>
      </ns0:c>
      <ns0:c r="L787" s="16">
        <ns0:f>A787*('前提と出典'!$C$36*'契約別単価'!L5+'前提と出典'!$C$37*'契約別単価'!L6+'前提と出典'!$C$38*'契約別単価'!L7)</ns0:f>
        <ns0:v>268589.9922517616</ns0:v>
      </ns0:c>
      <ns0:c r="M787" s="16">
        <ns0:f>IF(('前提と出典'!$C$36+'前提と出典'!$C$38)=0,0,IF(B787&lt;=10,'前提と出典'!B73+'前提と出典'!C73,IF(B787&lt;=100,'前提と出典'!B74+'前提と出典'!C74,IF(B787&lt;=500,'前提と出典'!B75+'前提と出典'!C75,'前提と出典'!B76+'前提と出典'!C76))))</ns0:f>
        <ns0:v>80000</ns0:v>
      </ns0:c>
      <ns0:c r="N787" s="16">
        <ns0:f>IF(('前提と出典'!$C$37+'前提と出典'!$C$38)=0,0,IF(C787&lt;=10,'前提と出典'!D73+'前提と出典'!E73,IF(C787&lt;=100,'前提と出典'!D74+'前提と出典'!E74,IF(C787&lt;=500,'前提と出典'!D75+'前提と出典'!E75,'前提と出典'!D76+'前提と出典'!E76))))</ns0:f>
        <ns0:v>56510.9346263078</ns0:v>
      </ns0:c>
      <ns0:c r="O787" s="16">
        <ns0:f>IF('前提と出典'!$C$36+'前提と出典'!$C$38=0,0,'前提と出典'!$B$4*IF('前提と出典'!$B$20=0,MAX('前提と出典'!$B$6,D787*'前提と出典'!$B$5),'前提と出典'!$B$6+D787*'前提と出典'!$B$5))</ns0:f>
        <ns0:v>777505.8770949722</ns0:v>
      </ns0:c>
      <ns0:c r="P787" s="16">
        <ns0:f>(E787+G787)*(1-'前提と出典'!$B$7)-I787-K787-M787-O787</ns0:f>
        <ns0:v>2179531.1953060357</ns0:v>
      </ns0:c>
      <ns0:c r="Q787" s="16">
        <ns0:f>(F787+H787)*(1-'前提と出典'!$B$7)-J787-L787-N787</ns0:f>
        <ns0:v>670731.1544441993</ns0:v>
      </ns0:c>
      <ns0:c r="R787" s="16">
        <ns0:f>P787-E787*'前提と出典'!$E$4</ns0:f>
        <ns0:v>1589022.4456367448</ns0:v>
      </ns0:c>
      <ns0:c r="S787" s="16">
        <ns0:f>Q787-F787*'前提と出典'!$E$4</ns0:f>
        <ns0:v>499144.40606458625</ns0:v>
      </ns0:c>
      <ns0:c r="T787" s="7">
        <ns0:f>R787+S787</ns0:f>
        <ns0:v>2088166.851701331</ns0:v>
      </ns0:c>
      <ns0:c r="U787" s="16">
        <ns0:f>P787-E787*'前提と出典'!$E$5</ns0:f>
        <ns0:v>1392186.1957469813</ns0:v>
      </ns0:c>
      <ns0:c r="V787" s="16">
        <ns0:f>Q787-F787*'前提と出典'!$E$5</ns0:f>
        <ns0:v>441948.8232713818</ns0:v>
      </ns0:c>
      <ns0:c r="W787" s="7">
        <ns0:f>U787+V787</ns0:f>
        <ns0:v>1834135.0190183632</ns0:v>
      </ns0:c>
      <ns0:c r="X787" s="16">
        <ns0:f>P787-E787*'前提と出典'!$E$6</ns0:f>
        <ns0:v>1195349.9458572178</ns0:v>
      </ns0:c>
      <ns0:c r="Y787" s="16">
        <ns0:f>Q787-F787*'前提と出典'!$E$6</ns0:f>
        <ns0:v>384753.24047817744</ns0:v>
      </ns0:c>
      <ns0:c r="Z787" s="7">
        <ns0:f>X787+Y787</ns0:f>
        <ns0:v>1580103.186335395</ns0:v>
      </ns0:c>
      <ns0:c r="AA787" s="7">
        <ns0:f>IF(T787&gt;=0,A787,1001)</ns0:f>
        <ns0:v>783</ns0:v>
      </ns0:c>
      <ns0:c r="AB787" s="7">
        <ns0:f>IF(T787&lt;0,A787,0)</ns0:f>
        <ns0:v>0</ns0:v>
      </ns0:c>
      <ns0:c r="AC787" s="16">
        <ns0:f>IF(AND(OR('前提と出典'!$C$36+'前提と出典'!$C$38=0,R787&gt;=0),OR('前提と出典'!$C$37+'前提と出典'!$C$38=0,S787&gt;=0)),0,A787)</ns0:f>
        <ns0:v>0</ns0:v>
      </ns0:c>
      <ns0:c r="AD787" s="7">
        <ns0:f>IF(W787&gt;=0,A787,1001)</ns0:f>
        <ns0:v>783</ns0:v>
      </ns0:c>
      <ns0:c r="AE787" s="7">
        <ns0:f>IF(W787&lt;0,A787,0)</ns0:f>
        <ns0:v>0</ns0:v>
      </ns0:c>
      <ns0:c r="AF787" s="16">
        <ns0:f>IF(AND(OR('前提と出典'!$C$36+'前提と出典'!$C$38=0,U787&gt;=0),OR('前提と出典'!$C$37+'前提と出典'!$C$38=0,V787&gt;=0)),0,A787)</ns0:f>
        <ns0:v>0</ns0:v>
      </ns0:c>
      <ns0:c r="AG787" s="7">
        <ns0:f>IF(Z787&gt;=0,A787,1001)</ns0:f>
        <ns0:v>783</ns0:v>
      </ns0:c>
      <ns0:c r="AH787" s="4">
        <ns0:f>IF(Z787&lt;0,A787,0)</ns0:f>
        <ns0:v>0</ns0:v>
      </ns0:c>
      <ns0:c r="AI787" s="12">
        <ns0:f>IF(AND(OR('前提と出典'!$C$36+'前提と出典'!$C$38=0,X787&gt;=0),OR('前提と出典'!$C$37+'前提と出典'!$C$38=0,Y787&gt;=0)),0,A787)</ns0:f>
        <ns0:v>0</ns0:v>
      </ns0:c>
    </ns0:row>
    <ns0:row r="788" ht="24" customHeight="1">
      <ns0:c r="A788" s="4" t="n">
        <ns0:v>784</ns0:v>
      </ns0:c>
      <ns0:c r="B788" s="12">
        <ns0:f>A788*('前提と出典'!$C$36+'前提と出典'!$C$38)</ns0:f>
        <ns0:v>548.8</ns0:v>
      </ns0:c>
      <ns0:c r="C788" s="12">
        <ns0:f>A788*('前提と出典'!$C$37+'前提と出典'!$C$38)</ns0:f>
        <ns0:v>470.4</ns0:v>
      </ns0:c>
      <ns0:c r="D788" s="16">
        <ns0:f>A788*('前提と出典'!$C$36*'契約別単価'!C5+'前提と出典'!$C$37*'契約別単価'!C6+'前提と出典'!$C$38*'契約別単価'!C7)</ns0:f>
        <ns0:v>5641.296089385475</ns0:v>
      </ns0:c>
      <ns0:c r="E788" s="16">
        <ns0:f>A788*('前提と出典'!$C$36*'契約別単価'!E5+'前提と出典'!$C$37*'契約別単価'!E6+'前提と出典'!$C$38*'契約別単価'!E7)</ns0:f>
        <ns0:v>1970876.371820876</ns0:v>
      </ns0:c>
      <ns0:c r="F788" s="16">
        <ns0:f>A788*('前提と出典'!$C$36*'契約別単価'!F5+'前提と出典'!$C$37*'契約別単価'!F6+'前提と出典'!$C$38*'契約別単価'!F7)</ns0:f>
        <ns0:v>572686.2951452392</ns0:v>
      </ns0:c>
      <ns0:c r="G788" s="16">
        <ns0:f>A788*('前提と出典'!$C$36*'契約別単価'!G5+'前提と出典'!$C$37*'契約別単価'!G6+'前提と出典'!$C$38*'契約別単価'!G7)</ns0:f>
        <ns0:v>1560554.189944134</ns0:v>
      </ns0:c>
      <ns0:c r="H788" s="16">
        <ns0:f>A788*('前提と出典'!$C$36*'契約別単価'!H5+'前提と出典'!$C$37*'契約別単価'!H6+'前提と出典'!$C$38*'契約別単価'!H7)</ns0:f>
        <ns0:v>541590.5718536817</ns0:v>
      </ns0:c>
      <ns0:c r="I788" s="16">
        <ns0:f>A788*('前提と出典'!$C$36*'契約別単価'!I5+'前提と出典'!$C$37*'契約別単価'!I6+'前提と出典'!$C$38*'契約別単価'!I7)</ns0:f>
        <ns0:v>33081.29608938547</ns0:v>
      </ns0:c>
      <ns0:c r="J788" s="16">
        <ns0:f>A788*('前提と出典'!$C$36*'契約別単価'!J5+'前提と出典'!$C$37*'契約別単価'!J6+'前提と出典'!$C$38*'契約別単価'!J7)</ns0:f>
        <ns0:v>77059.00226887722</ns0:v>
      </ns0:c>
      <ns0:c r="K788" s="16">
        <ns0:f>A788*('前提と出典'!$C$36*'契約別単価'!K5+'前提と出典'!$C$37*'契約別単価'!K6+'前提と出典'!$C$38*'契約別単価'!K7)</ns0:f>
        <ns0:v>330301.97392923647</ns0:v>
      </ns0:c>
      <ns0:c r="L788" s="16">
        <ns0:f>A788*('前提と出典'!$C$36*'契約別単価'!L5+'前提と出典'!$C$37*'契約別単価'!L6+'前提と出典'!$C$38*'契約別単価'!L7)</ns0:f>
        <ns0:v>268933.0190617894</ns0:v>
      </ns0:c>
      <ns0:c r="M788" s="16">
        <ns0:f>IF(('前提と出典'!$C$36+'前提と出典'!$C$38)=0,0,IF(B788&lt;=10,'前提と出典'!B73+'前提と出典'!C73,IF(B788&lt;=100,'前提と出典'!B74+'前提と出典'!C74,IF(B788&lt;=500,'前提と出典'!B75+'前提と出典'!C75,'前提と出典'!B76+'前提と出典'!C76))))</ns0:f>
        <ns0:v>80000</ns0:v>
      </ns0:c>
      <ns0:c r="N788" s="16">
        <ns0:f>IF(('前提と出典'!$C$37+'前提と出典'!$C$38)=0,0,IF(C788&lt;=10,'前提と出典'!D73+'前提と出典'!E73,IF(C788&lt;=100,'前提と出典'!D74+'前提と出典'!E74,IF(C788&lt;=500,'前提と出典'!D75+'前提と出典'!E75,'前提と出典'!D76+'前提と出典'!E76))))</ns0:f>
        <ns0:v>56510.9346263078</ns0:v>
      </ns0:c>
      <ns0:c r="O788" s="16">
        <ns0:f>IF('前提と出典'!$C$36+'前提と出典'!$C$38=0,0,'前提と出典'!$B$4*IF('前提と出典'!$B$20=0,MAX('前提と出典'!$B$6,D788*'前提と出典'!$B$5),'前提と出典'!$B$6+D788*'前提と出典'!$B$5))</ns0:f>
        <ns0:v>778498.8603351957</ns0:v>
      </ns0:c>
      <ns0:c r="P788" s="16">
        <ns0:f>(E788+G788)*(1-'前提と出典'!$B$7)-I788-K788-M788-O788</ns0:f>
        <ns0:v>2182416.9311876516</ns0:v>
      </ns0:c>
      <ns0:c r="Q788" s="16">
        <ns0:f>(F788+H788)*(1-'前提と出典'!$B$7)-J788-L788-N788</ns0:f>
        <ns0:v>671659.9438299853</ns0:v>
      </ns0:c>
      <ns0:c r="R788" s="16">
        <ns0:f>P788-E788*'前提と出典'!$E$4</ns0:f>
        <ns0:v>1591154.019641389</ns0:v>
      </ns0:c>
      <ns0:c r="S788" s="16">
        <ns0:f>Q788-F788*'前提と出典'!$E$4</ns0:f>
        <ns0:v>499854.0552864135</ns0:v>
      </ns0:c>
      <ns0:c r="T788" s="7">
        <ns0:f>R788+S788</ns0:f>
        <ns0:v>2091008.0749278024</ns0:v>
      </ns0:c>
      <ns0:c r="U788" s="16">
        <ns0:f>P788-E788*'前提と出典'!$E$5</ns0:f>
        <ns0:v>1394066.3824593013</ns0:v>
      </ns0:c>
      <ns0:c r="V788" s="16">
        <ns0:f>Q788-F788*'前提と出典'!$E$5</ns0:f>
        <ns0:v>442585.4257718896</ns0:v>
      </ns0:c>
      <ns0:c r="W788" s="7">
        <ns0:f>U788+V788</ns0:f>
        <ns0:v>1836651.8082311908</ns0:v>
      </ns0:c>
      <ns0:c r="X788" s="16">
        <ns0:f>P788-E788*'前提と出典'!$E$6</ns0:f>
        <ns0:v>1196978.7452772143</ns0:v>
      </ns0:c>
      <ns0:c r="Y788" s="16">
        <ns0:f>Q788-F788*'前提と出典'!$E$6</ns0:f>
        <ns0:v>385316.7962573657</ns0:v>
      </ns0:c>
      <ns0:c r="Z788" s="7">
        <ns0:f>X788+Y788</ns0:f>
        <ns0:v>1582295.54153458</ns0:v>
      </ns0:c>
      <ns0:c r="AA788" s="7">
        <ns0:f>IF(T788&gt;=0,A788,1001)</ns0:f>
        <ns0:v>784</ns0:v>
      </ns0:c>
      <ns0:c r="AB788" s="7">
        <ns0:f>IF(T788&lt;0,A788,0)</ns0:f>
        <ns0:v>0</ns0:v>
      </ns0:c>
      <ns0:c r="AC788" s="16">
        <ns0:f>IF(AND(OR('前提と出典'!$C$36+'前提と出典'!$C$38=0,R788&gt;=0),OR('前提と出典'!$C$37+'前提と出典'!$C$38=0,S788&gt;=0)),0,A788)</ns0:f>
        <ns0:v>0</ns0:v>
      </ns0:c>
      <ns0:c r="AD788" s="7">
        <ns0:f>IF(W788&gt;=0,A788,1001)</ns0:f>
        <ns0:v>784</ns0:v>
      </ns0:c>
      <ns0:c r="AE788" s="7">
        <ns0:f>IF(W788&lt;0,A788,0)</ns0:f>
        <ns0:v>0</ns0:v>
      </ns0:c>
      <ns0:c r="AF788" s="16">
        <ns0:f>IF(AND(OR('前提と出典'!$C$36+'前提と出典'!$C$38=0,U788&gt;=0),OR('前提と出典'!$C$37+'前提と出典'!$C$38=0,V788&gt;=0)),0,A788)</ns0:f>
        <ns0:v>0</ns0:v>
      </ns0:c>
      <ns0:c r="AG788" s="7">
        <ns0:f>IF(Z788&gt;=0,A788,1001)</ns0:f>
        <ns0:v>784</ns0:v>
      </ns0:c>
      <ns0:c r="AH788" s="4">
        <ns0:f>IF(Z788&lt;0,A788,0)</ns0:f>
        <ns0:v>0</ns0:v>
      </ns0:c>
      <ns0:c r="AI788" s="12">
        <ns0:f>IF(AND(OR('前提と出典'!$C$36+'前提と出典'!$C$38=0,X788&gt;=0),OR('前提と出典'!$C$37+'前提と出典'!$C$38=0,Y788&gt;=0)),0,A788)</ns0:f>
        <ns0:v>0</ns0:v>
      </ns0:c>
    </ns0:row>
    <ns0:row r="789" ht="24" customHeight="1">
      <ns0:c r="A789" s="4" t="n">
        <ns0:v>785</ns0:v>
      </ns0:c>
      <ns0:c r="B789" s="12">
        <ns0:f>A789*('前提と出典'!$C$36+'前提と出典'!$C$38)</ns0:f>
        <ns0:v>549.5</ns0:v>
      </ns0:c>
      <ns0:c r="C789" s="12">
        <ns0:f>A789*('前提と出典'!$C$37+'前提と出典'!$C$38)</ns0:f>
        <ns0:v>471</ns0:v>
      </ns0:c>
      <ns0:c r="D789" s="16">
        <ns0:f>A789*('前提と出典'!$C$36*'契約別単価'!C5+'前提と出典'!$C$37*'契約別単価'!C6+'前提と出典'!$C$38*'契約別単価'!C7)</ns0:f>
        <ns0:v>5648.491620111732</ns0:v>
      </ns0:c>
      <ns0:c r="E789" s="16">
        <ns0:f>A789*('前提と出典'!$C$36*'契約別単価'!E5+'前提と出典'!$C$37*'契約別単価'!E6+'前提と出典'!$C$38*'契約別単価'!E7)</ns0:f>
        <ns0:v>1973390.244744117</ns0:v>
      </ns0:c>
      <ns0:c r="F789" s="16">
        <ns0:f>A789*('前提と出典'!$C$36*'契約別単価'!F5+'前提と出典'!$C$37*'契約別単価'!F6+'前提と出典'!$C$38*'契約別単価'!F7)</ns0:f>
        <ns0:v>573416.7623584346</ns0:v>
      </ns0:c>
      <ns0:c r="G789" s="16">
        <ns0:f>A789*('前提と出典'!$C$36*'契約別単価'!G5+'前提と出典'!$C$37*'契約別単価'!G6+'前提と出典'!$C$38*'契約別単価'!G7)</ns0:f>
        <ns0:v>1562544.69273743</ns0:v>
      </ns0:c>
      <ns0:c r="H789" s="16">
        <ns0:f>A789*('前提と出典'!$C$36*'契約別単価'!H5+'前提と出典'!$C$37*'契約別単価'!H6+'前提と出典'!$C$38*'契約別単価'!H7)</ns0:f>
        <ns0:v>542281.3761545155</ns0:v>
      </ns0:c>
      <ns0:c r="I789" s="16">
        <ns0:f>A789*('前提と出典'!$C$36*'契約別単価'!I5+'前提と出典'!$C$37*'契約別単価'!I6+'前提と出典'!$C$38*'契約別単価'!I7)</ns0:f>
        <ns0:v>33123.49162011172</ns0:v>
      </ns0:c>
      <ns0:c r="J789" s="16">
        <ns0:f>A789*('前提と出典'!$C$36*'契約別単価'!J5+'前提と出典'!$C$37*'契約別単価'!J6+'前提と出典'!$C$38*'契約別単価'!J7)</ns0:f>
        <ns0:v>77157.29181258751</ns0:v>
      </ns0:c>
      <ns0:c r="K789" s="16">
        <ns0:f>A789*('前提と出典'!$C$36*'契約別単価'!K5+'前提と出典'!$C$37*'契約別単価'!K6+'前提と出典'!$C$38*'契約別単価'!K7)</ns0:f>
        <ns0:v>330723.27746741154</ns0:v>
      </ns0:c>
      <ns0:c r="L789" s="16">
        <ns0:f>A789*('前提と出典'!$C$36*'契約別単価'!L5+'前提と出典'!$C$37*'契約別単価'!L6+'前提と出典'!$C$38*'契約別単価'!L7)</ns0:f>
        <ns0:v>269276.04587181716</ns0:v>
      </ns0:c>
      <ns0:c r="M789" s="16">
        <ns0:f>IF(('前提と出典'!$C$36+'前提と出典'!$C$38)=0,0,IF(B789&lt;=10,'前提と出典'!B73+'前提と出典'!C73,IF(B789&lt;=100,'前提と出典'!B74+'前提と出典'!C74,IF(B789&lt;=500,'前提と出典'!B75+'前提と出典'!C75,'前提と出典'!B76+'前提と出典'!C76))))</ns0:f>
        <ns0:v>80000</ns0:v>
      </ns0:c>
      <ns0:c r="N789" s="16">
        <ns0:f>IF(('前提と出典'!$C$37+'前提と出典'!$C$38)=0,0,IF(C789&lt;=10,'前提と出典'!D73+'前提と出典'!E73,IF(C789&lt;=100,'前提と出典'!D74+'前提と出典'!E74,IF(C789&lt;=500,'前提と出典'!D75+'前提と出典'!E75,'前提と出典'!D76+'前提と出典'!E76))))</ns0:f>
        <ns0:v>56510.9346263078</ns0:v>
      </ns0:c>
      <ns0:c r="O789" s="16">
        <ns0:f>IF('前提と出典'!$C$36+'前提と出典'!$C$38=0,0,'前提と出典'!$B$4*IF('前提と出典'!$B$20=0,MAX('前提と出典'!$B$6,D789*'前提と出典'!$B$5),'前提と出典'!$B$6+D789*'前提と出典'!$B$5))</ns0:f>
        <ns0:v>779491.8435754192</ns0:v>
      </ns0:c>
      <ns0:c r="P789" s="16">
        <ns0:f>(E789+G789)*(1-'前提と出典'!$B$7)-I789-K789-M789-O789</ns0:f>
        <ns0:v>2185302.6670692684</ns0:v>
      </ns0:c>
      <ns0:c r="Q789" s="16">
        <ns0:f>(F789+H789)*(1-'前提と出典'!$B$7)-J789-L789-N789</ns0:f>
        <ns0:v>672588.7332157716</ns0:v>
      </ns0:c>
      <ns0:c r="R789" s="16">
        <ns0:f>P789-E789*'前提と出典'!$E$4</ns0:f>
        <ns0:v>1593285.5936460334</ns0:v>
      </ns0:c>
      <ns0:c r="S789" s="16">
        <ns0:f>Q789-F789*'前提と出典'!$E$4</ns0:f>
        <ns0:v>500563.70450824115</ns0:v>
      </ns0:c>
      <ns0:c r="T789" s="7">
        <ns0:f>R789+S789</ns0:f>
        <ns0:v>2093849.2981542745</ns0:v>
      </ns0:c>
      <ns0:c r="U789" s="16">
        <ns0:f>P789-E789*'前提と出典'!$E$5</ns0:f>
        <ns0:v>1395946.5691716217</ns0:v>
      </ns0:c>
      <ns0:c r="V789" s="16">
        <ns0:f>Q789-F789*'前提と出典'!$E$5</ns0:f>
        <ns0:v>443222.0282723977</ns0:v>
      </ns0:c>
      <ns0:c r="W789" s="7">
        <ns0:f>U789+V789</ns0:f>
        <ns0:v>1839168.5974440193</ns0:v>
      </ns0:c>
      <ns0:c r="X789" s="16">
        <ns0:f>P789-E789*'前提と出典'!$E$6</ns0:f>
        <ns0:v>1198607.5446972104</ns0:v>
      </ns0:c>
      <ns0:c r="Y789" s="16">
        <ns0:f>Q789-F789*'前提と出典'!$E$6</ns0:f>
        <ns0:v>385880.35203655425</ns0:v>
      </ns0:c>
      <ns0:c r="Z789" s="7">
        <ns0:f>X789+Y789</ns0:f>
        <ns0:v>1584487.8967337646</ns0:v>
      </ns0:c>
      <ns0:c r="AA789" s="7">
        <ns0:f>IF(T789&gt;=0,A789,1001)</ns0:f>
        <ns0:v>785</ns0:v>
      </ns0:c>
      <ns0:c r="AB789" s="7">
        <ns0:f>IF(T789&lt;0,A789,0)</ns0:f>
        <ns0:v>0</ns0:v>
      </ns0:c>
      <ns0:c r="AC789" s="16">
        <ns0:f>IF(AND(OR('前提と出典'!$C$36+'前提と出典'!$C$38=0,R789&gt;=0),OR('前提と出典'!$C$37+'前提と出典'!$C$38=0,S789&gt;=0)),0,A789)</ns0:f>
        <ns0:v>0</ns0:v>
      </ns0:c>
      <ns0:c r="AD789" s="7">
        <ns0:f>IF(W789&gt;=0,A789,1001)</ns0:f>
        <ns0:v>785</ns0:v>
      </ns0:c>
      <ns0:c r="AE789" s="7">
        <ns0:f>IF(W789&lt;0,A789,0)</ns0:f>
        <ns0:v>0</ns0:v>
      </ns0:c>
      <ns0:c r="AF789" s="16">
        <ns0:f>IF(AND(OR('前提と出典'!$C$36+'前提と出典'!$C$38=0,U789&gt;=0),OR('前提と出典'!$C$37+'前提と出典'!$C$38=0,V789&gt;=0)),0,A789)</ns0:f>
        <ns0:v>0</ns0:v>
      </ns0:c>
      <ns0:c r="AG789" s="7">
        <ns0:f>IF(Z789&gt;=0,A789,1001)</ns0:f>
        <ns0:v>785</ns0:v>
      </ns0:c>
      <ns0:c r="AH789" s="4">
        <ns0:f>IF(Z789&lt;0,A789,0)</ns0:f>
        <ns0:v>0</ns0:v>
      </ns0:c>
      <ns0:c r="AI789" s="12">
        <ns0:f>IF(AND(OR('前提と出典'!$C$36+'前提と出典'!$C$38=0,X789&gt;=0),OR('前提と出典'!$C$37+'前提と出典'!$C$38=0,Y789&gt;=0)),0,A789)</ns0:f>
        <ns0:v>0</ns0:v>
      </ns0:c>
    </ns0:row>
    <ns0:row r="790" ht="24" customHeight="1">
      <ns0:c r="A790" s="4" t="n">
        <ns0:v>786</ns0:v>
      </ns0:c>
      <ns0:c r="B790" s="12">
        <ns0:f>A790*('前提と出典'!$C$36+'前提と出典'!$C$38)</ns0:f>
        <ns0:v>550.1999999999999</ns0:v>
      </ns0:c>
      <ns0:c r="C790" s="12">
        <ns0:f>A790*('前提と出典'!$C$37+'前提と出典'!$C$38)</ns0:f>
        <ns0:v>471.59999999999997</ns0:v>
      </ns0:c>
      <ns0:c r="D790" s="16">
        <ns0:f>A790*('前提と出典'!$C$36*'契約別単価'!C5+'前提と出典'!$C$37*'契約別単価'!C6+'前提と出典'!$C$38*'契約別単価'!C7)</ns0:f>
        <ns0:v>5655.687150837989</ns0:v>
      </ns0:c>
      <ns0:c r="E790" s="16">
        <ns0:f>A790*('前提と出典'!$C$36*'契約別単価'!E5+'前提と出典'!$C$37*'契約別単価'!E6+'前提と出典'!$C$38*'契約別単価'!E7)</ns0:f>
        <ns0:v>1975904.117667358</ns0:v>
      </ns0:c>
      <ns0:c r="F790" s="16">
        <ns0:f>A790*('前提と出典'!$C$36*'契約別単価'!F5+'前提と出典'!$C$37*'契約別単価'!F6+'前提と出典'!$C$38*'契約別単価'!F7)</ns0:f>
        <ns0:v>574147.2295716301</ns0:v>
      </ns0:c>
      <ns0:c r="G790" s="16">
        <ns0:f>A790*('前提と出典'!$C$36*'契約別単価'!G5+'前提と出典'!$C$37*'契約別単価'!G6+'前提と出典'!$C$38*'契約別単価'!G7)</ns0:f>
        <ns0:v>1564535.195530726</ns0:v>
      </ns0:c>
      <ns0:c r="H790" s="16">
        <ns0:f>A790*('前提と出典'!$C$36*'契約別単価'!H5+'前提と出典'!$C$37*'契約別単価'!H6+'前提と出典'!$C$38*'契約別単価'!H7)</ns0:f>
        <ns0:v>542972.1804553493</ns0:v>
      </ns0:c>
      <ns0:c r="I790" s="16">
        <ns0:f>A790*('前提と出典'!$C$36*'契約別単価'!I5+'前提と出典'!$C$37*'契約別単価'!I6+'前提と出典'!$C$38*'契約別単価'!I7)</ns0:f>
        <ns0:v>33165.687150837985</ns0:v>
      </ns0:c>
      <ns0:c r="J790" s="16">
        <ns0:f>A790*('前提と出典'!$C$36*'契約別単価'!J5+'前提と出典'!$C$37*'契約別単価'!J6+'前提と出典'!$C$38*'契約別単価'!J7)</ns0:f>
        <ns0:v>77255.58135629781</ns0:v>
      </ns0:c>
      <ns0:c r="K790" s="16">
        <ns0:f>A790*('前提と出典'!$C$36*'契約別単価'!K5+'前提と出典'!$C$37*'契約別単価'!K6+'前提と出典'!$C$38*'契約別単価'!K7)</ns0:f>
        <ns0:v>331144.58100558654</ns0:v>
      </ns0:c>
      <ns0:c r="L790" s="16">
        <ns0:f>A790*('前提と出典'!$C$36*'契約別単価'!L5+'前提と出典'!$C$37*'契約別単価'!L6+'前提と出典'!$C$38*'契約別単価'!L7)</ns0:f>
        <ns0:v>269619.072681845</ns0:v>
      </ns0:c>
      <ns0:c r="M790" s="16">
        <ns0:f>IF(('前提と出典'!$C$36+'前提と出典'!$C$38)=0,0,IF(B790&lt;=10,'前提と出典'!B73+'前提と出典'!C73,IF(B790&lt;=100,'前提と出典'!B74+'前提と出典'!C74,IF(B790&lt;=500,'前提と出典'!B75+'前提と出典'!C75,'前提と出典'!B76+'前提と出典'!C76))))</ns0:f>
        <ns0:v>80000</ns0:v>
      </ns0:c>
      <ns0:c r="N790" s="16">
        <ns0:f>IF(('前提と出典'!$C$37+'前提と出典'!$C$38)=0,0,IF(C790&lt;=10,'前提と出典'!D73+'前提と出典'!E73,IF(C790&lt;=100,'前提と出典'!D74+'前提と出典'!E74,IF(C790&lt;=500,'前提と出典'!D75+'前提と出典'!E75,'前提と出典'!D76+'前提と出典'!E76))))</ns0:f>
        <ns0:v>56510.9346263078</ns0:v>
      </ns0:c>
      <ns0:c r="O790" s="16">
        <ns0:f>IF('前提と出典'!$C$36+'前提と出典'!$C$38=0,0,'前提と出典'!$B$4*IF('前提と出典'!$B$20=0,MAX('前提と出典'!$B$6,D790*'前提と出典'!$B$5),'前提と出典'!$B$6+D790*'前提と出典'!$B$5))</ns0:f>
        <ns0:v>780484.8268156424</ns0:v>
      </ns0:c>
      <ns0:c r="P790" s="16">
        <ns0:f>(E790+G790)*(1-'前提と出典'!$B$7)-I790-K790-M790-O790</ns0:f>
        <ns0:v>2188188.4029508866</ns0:v>
      </ns0:c>
      <ns0:c r="Q790" s="16">
        <ns0:f>(F790+H790)*(1-'前提と出典'!$B$7)-J790-L790-N790</ns0:f>
        <ns0:v>673517.5226015575</ns0:v>
      </ns0:c>
      <ns0:c r="R790" s="16">
        <ns0:f>P790-E790*'前提と出典'!$E$4</ns0:f>
        <ns0:v>1595417.1676506791</ns0:v>
      </ns0:c>
      <ns0:c r="S790" s="16">
        <ns0:f>Q790-F790*'前提と出典'!$E$4</ns0:f>
        <ns0:v>501273.35373006854</ns0:v>
      </ns0:c>
      <ns0:c r="T790" s="7">
        <ns0:f>R790+S790</ns0:f>
        <ns0:v>2096690.5213807477</ns0:v>
      </ns0:c>
      <ns0:c r="U790" s="16">
        <ns0:f>P790-E790*'前提と出典'!$E$5</ns0:f>
        <ns0:v>1397826.7558839433</ns0:v>
      </ns0:c>
      <ns0:c r="V790" s="16">
        <ns0:f>Q790-F790*'前提と出典'!$E$5</ns0:f>
        <ns0:v>443858.6307729055</ns0:v>
      </ns0:c>
      <ns0:c r="W790" s="7">
        <ns0:f>U790+V790</ns0:f>
        <ns0:v>1841685.3866568487</ns0:v>
      </ns0:c>
      <ns0:c r="X790" s="16">
        <ns0:f>P790-E790*'前提と出典'!$E$6</ns0:f>
        <ns0:v>1200236.3441172072</ns0:v>
      </ns0:c>
      <ns0:c r="Y790" s="16">
        <ns0:f>Q790-F790*'前提と出典'!$E$6</ns0:f>
        <ns0:v>386443.90781574236</ns0:v>
      </ns0:c>
      <ns0:c r="Z790" s="7">
        <ns0:f>X790+Y790</ns0:f>
        <ns0:v>1586680.2519329495</ns0:v>
      </ns0:c>
      <ns0:c r="AA790" s="7">
        <ns0:f>IF(T790&gt;=0,A790,1001)</ns0:f>
        <ns0:v>786</ns0:v>
      </ns0:c>
      <ns0:c r="AB790" s="7">
        <ns0:f>IF(T790&lt;0,A790,0)</ns0:f>
        <ns0:v>0</ns0:v>
      </ns0:c>
      <ns0:c r="AC790" s="16">
        <ns0:f>IF(AND(OR('前提と出典'!$C$36+'前提と出典'!$C$38=0,R790&gt;=0),OR('前提と出典'!$C$37+'前提と出典'!$C$38=0,S790&gt;=0)),0,A790)</ns0:f>
        <ns0:v>0</ns0:v>
      </ns0:c>
      <ns0:c r="AD790" s="7">
        <ns0:f>IF(W790&gt;=0,A790,1001)</ns0:f>
        <ns0:v>786</ns0:v>
      </ns0:c>
      <ns0:c r="AE790" s="7">
        <ns0:f>IF(W790&lt;0,A790,0)</ns0:f>
        <ns0:v>0</ns0:v>
      </ns0:c>
      <ns0:c r="AF790" s="16">
        <ns0:f>IF(AND(OR('前提と出典'!$C$36+'前提と出典'!$C$38=0,U790&gt;=0),OR('前提と出典'!$C$37+'前提と出典'!$C$38=0,V790&gt;=0)),0,A790)</ns0:f>
        <ns0:v>0</ns0:v>
      </ns0:c>
      <ns0:c r="AG790" s="7">
        <ns0:f>IF(Z790&gt;=0,A790,1001)</ns0:f>
        <ns0:v>786</ns0:v>
      </ns0:c>
      <ns0:c r="AH790" s="4">
        <ns0:f>IF(Z790&lt;0,A790,0)</ns0:f>
        <ns0:v>0</ns0:v>
      </ns0:c>
      <ns0:c r="AI790" s="12">
        <ns0:f>IF(AND(OR('前提と出典'!$C$36+'前提と出典'!$C$38=0,X790&gt;=0),OR('前提と出典'!$C$37+'前提と出典'!$C$38=0,Y790&gt;=0)),0,A790)</ns0:f>
        <ns0:v>0</ns0:v>
      </ns0:c>
    </ns0:row>
    <ns0:row r="791" ht="24" customHeight="1">
      <ns0:c r="A791" s="4" t="n">
        <ns0:v>787</ns0:v>
      </ns0:c>
      <ns0:c r="B791" s="12">
        <ns0:f>A791*('前提と出典'!$C$36+'前提と出典'!$C$38)</ns0:f>
        <ns0:v>550.9</ns0:v>
      </ns0:c>
      <ns0:c r="C791" s="12">
        <ns0:f>A791*('前提と出典'!$C$37+'前提と出典'!$C$38)</ns0:f>
        <ns0:v>472.2</ns0:v>
      </ns0:c>
      <ns0:c r="D791" s="16">
        <ns0:f>A791*('前提と出典'!$C$36*'契約別単価'!C5+'前提と出典'!$C$37*'契約別単価'!C6+'前提と出典'!$C$38*'契約別単価'!C7)</ns0:f>
        <ns0:v>5662.882681564246</ns0:v>
      </ns0:c>
      <ns0:c r="E791" s="16">
        <ns0:f>A791*('前提と出典'!$C$36*'契約別単価'!E5+'前提と出典'!$C$37*'契約別単価'!E6+'前提と出典'!$C$38*'契約別単価'!E7)</ns0:f>
        <ns0:v>1978417.9905905987</ns0:v>
      </ns0:c>
      <ns0:c r="F791" s="16">
        <ns0:f>A791*('前提と出典'!$C$36*'契約別単価'!F5+'前提と出典'!$C$37*'契約別単価'!F6+'前提と出典'!$C$38*'契約別単価'!F7)</ns0:f>
        <ns0:v>574877.6967848255</ns0:v>
      </ns0:c>
      <ns0:c r="G791" s="16">
        <ns0:f>A791*('前提と出典'!$C$36*'契約別単価'!G5+'前提と出典'!$C$37*'契約別単価'!G6+'前提と出典'!$C$38*'契約別単価'!G7)</ns0:f>
        <ns0:v>1566525.6983240223</ns0:v>
      </ns0:c>
      <ns0:c r="H791" s="16">
        <ns0:f>A791*('前提と出典'!$C$36*'契約別単価'!H5+'前提と出典'!$C$37*'契約別単価'!H6+'前提と出典'!$C$38*'契約別単価'!H7)</ns0:f>
        <ns0:v>543662.984756183</ns0:v>
      </ns0:c>
      <ns0:c r="I791" s="16">
        <ns0:f>A791*('前提と出典'!$C$36*'契約別単価'!I5+'前提と出典'!$C$37*'契約別単価'!I6+'前提と出典'!$C$38*'契約別単価'!I7)</ns0:f>
        <ns0:v>33207.88268156424</ns0:v>
      </ns0:c>
      <ns0:c r="J791" s="16">
        <ns0:f>A791*('前提と出典'!$C$36*'契約別単価'!J5+'前提と出典'!$C$37*'契約別単価'!J6+'前提と出典'!$C$38*'契約別単価'!J7)</ns0:f>
        <ns0:v>77353.87090000811</ns0:v>
      </ns0:c>
      <ns0:c r="K791" s="16">
        <ns0:f>A791*('前提と出典'!$C$36*'契約別単価'!K5+'前提と出典'!$C$37*'契約別単価'!K6+'前提と出典'!$C$38*'契約別単価'!K7)</ns0:f>
        <ns0:v>331565.8845437616</ns0:v>
      </ns0:c>
      <ns0:c r="L791" s="16">
        <ns0:f>A791*('前提と出典'!$C$36*'契約別単価'!L5+'前提と出典'!$C$37*'契約別単価'!L6+'前提と出典'!$C$38*'契約別単価'!L7)</ns0:f>
        <ns0:v>269962.09949187277</ns0:v>
      </ns0:c>
      <ns0:c r="M791" s="16">
        <ns0:f>IF(('前提と出典'!$C$36+'前提と出典'!$C$38)=0,0,IF(B791&lt;=10,'前提と出典'!B73+'前提と出典'!C73,IF(B791&lt;=100,'前提と出典'!B74+'前提と出典'!C74,IF(B791&lt;=500,'前提と出典'!B75+'前提と出典'!C75,'前提と出典'!B76+'前提と出典'!C76))))</ns0:f>
        <ns0:v>80000</ns0:v>
      </ns0:c>
      <ns0:c r="N791" s="16">
        <ns0:f>IF(('前提と出典'!$C$37+'前提と出典'!$C$38)=0,0,IF(C791&lt;=10,'前提と出典'!D73+'前提と出典'!E73,IF(C791&lt;=100,'前提と出典'!D74+'前提と出典'!E74,IF(C791&lt;=500,'前提と出典'!D75+'前提と出典'!E75,'前提と出典'!D76+'前提と出典'!E76))))</ns0:f>
        <ns0:v>56510.9346263078</ns0:v>
      </ns0:c>
      <ns0:c r="O791" s="16">
        <ns0:f>IF('前提と出典'!$C$36+'前提と出典'!$C$38=0,0,'前提と出典'!$B$4*IF('前提と出典'!$B$20=0,MAX('前提と出典'!$B$6,D791*'前提と出典'!$B$5),'前提と出典'!$B$6+D791*'前提と出典'!$B$5))</ns0:f>
        <ns0:v>781477.8100558659</ns0:v>
      </ns0:c>
      <ns0:c r="P791" s="16">
        <ns0:f>(E791+G791)*(1-'前提と出典'!$B$7)-I791-K791-M791-O791</ns0:f>
        <ns0:v>2191074.138832503</ns0:v>
      </ns0:c>
      <ns0:c r="Q791" s="16">
        <ns0:f>(F791+H791)*(1-'前提と出典'!$B$7)-J791-L791-N791</ns0:f>
        <ns0:v>674446.3119873435</ns0:v>
      </ns0:c>
      <ns0:c r="R791" s="16">
        <ns0:f>P791-E791*'前提と出典'!$E$4</ns0:f>
        <ns0:v>1597548.7416553237</ns0:v>
      </ns0:c>
      <ns0:c r="S791" s="16">
        <ns0:f>Q791-F791*'前提と出典'!$E$4</ns0:f>
        <ns0:v>501983.0029518958</ns0:v>
      </ns0:c>
      <ns0:c r="T791" s="7">
        <ns0:f>R791+S791</ns0:f>
        <ns0:v>2099531.7446072195</ns0:v>
      </ns0:c>
      <ns0:c r="U791" s="16">
        <ns0:f>P791-E791*'前提と出典'!$E$5</ns0:f>
        <ns0:v>1399706.9425962633</ns0:v>
      </ns0:c>
      <ns0:c r="V791" s="16">
        <ns0:f>Q791-F791*'前提と出典'!$E$5</ns0:f>
        <ns0:v>444495.2332734132</ns0:v>
      </ns0:c>
      <ns0:c r="W791" s="7">
        <ns0:f>U791+V791</ns0:f>
        <ns0:v>1844202.1758696765</ns0:v>
      </ns0:c>
      <ns0:c r="X791" s="16">
        <ns0:f>P791-E791*'前提と出典'!$E$6</ns0:f>
        <ns0:v>1201865.1435372038</ns0:v>
      </ns0:c>
      <ns0:c r="Y791" s="16">
        <ns0:f>Q791-F791*'前提と出典'!$E$6</ns0:f>
        <ns0:v>387007.46359493065</ns0:v>
      </ns0:c>
      <ns0:c r="Z791" s="7">
        <ns0:f>X791+Y791</ns0:f>
        <ns0:v>1588872.6071321345</ns0:v>
      </ns0:c>
      <ns0:c r="AA791" s="7">
        <ns0:f>IF(T791&gt;=0,A791,1001)</ns0:f>
        <ns0:v>787</ns0:v>
      </ns0:c>
      <ns0:c r="AB791" s="7">
        <ns0:f>IF(T791&lt;0,A791,0)</ns0:f>
        <ns0:v>0</ns0:v>
      </ns0:c>
      <ns0:c r="AC791" s="16">
        <ns0:f>IF(AND(OR('前提と出典'!$C$36+'前提と出典'!$C$38=0,R791&gt;=0),OR('前提と出典'!$C$37+'前提と出典'!$C$38=0,S791&gt;=0)),0,A791)</ns0:f>
        <ns0:v>0</ns0:v>
      </ns0:c>
      <ns0:c r="AD791" s="7">
        <ns0:f>IF(W791&gt;=0,A791,1001)</ns0:f>
        <ns0:v>787</ns0:v>
      </ns0:c>
      <ns0:c r="AE791" s="7">
        <ns0:f>IF(W791&lt;0,A791,0)</ns0:f>
        <ns0:v>0</ns0:v>
      </ns0:c>
      <ns0:c r="AF791" s="16">
        <ns0:f>IF(AND(OR('前提と出典'!$C$36+'前提と出典'!$C$38=0,U791&gt;=0),OR('前提と出典'!$C$37+'前提と出典'!$C$38=0,V791&gt;=0)),0,A791)</ns0:f>
        <ns0:v>0</ns0:v>
      </ns0:c>
      <ns0:c r="AG791" s="7">
        <ns0:f>IF(Z791&gt;=0,A791,1001)</ns0:f>
        <ns0:v>787</ns0:v>
      </ns0:c>
      <ns0:c r="AH791" s="4">
        <ns0:f>IF(Z791&lt;0,A791,0)</ns0:f>
        <ns0:v>0</ns0:v>
      </ns0:c>
      <ns0:c r="AI791" s="12">
        <ns0:f>IF(AND(OR('前提と出典'!$C$36+'前提と出典'!$C$38=0,X791&gt;=0),OR('前提と出典'!$C$37+'前提と出典'!$C$38=0,Y791&gt;=0)),0,A791)</ns0:f>
        <ns0:v>0</ns0:v>
      </ns0:c>
    </ns0:row>
    <ns0:row r="792" ht="24" customHeight="1">
      <ns0:c r="A792" s="4" t="n">
        <ns0:v>788</ns0:v>
      </ns0:c>
      <ns0:c r="B792" s="12">
        <ns0:f>A792*('前提と出典'!$C$36+'前提と出典'!$C$38)</ns0:f>
        <ns0:v>551.5999999999999</ns0:v>
      </ns0:c>
      <ns0:c r="C792" s="12">
        <ns0:f>A792*('前提と出典'!$C$37+'前提と出典'!$C$38)</ns0:f>
        <ns0:v>472.79999999999995</ns0:v>
      </ns0:c>
      <ns0:c r="D792" s="16">
        <ns0:f>A792*('前提と出典'!$C$36*'契約別単価'!C5+'前提と出典'!$C$37*'契約別単価'!C6+'前提と出典'!$C$38*'契約別単価'!C7)</ns0:f>
        <ns0:v>5670.078212290503</ns0:v>
      </ns0:c>
      <ns0:c r="E792" s="16">
        <ns0:f>A792*('前提と出典'!$C$36*'契約別単価'!E5+'前提と出典'!$C$37*'契約別単価'!E6+'前提と出典'!$C$38*'契約別単価'!E7)</ns0:f>
        <ns0:v>1980931.8635138397</ns0:v>
      </ns0:c>
      <ns0:c r="F792" s="16">
        <ns0:f>A792*('前提と出典'!$C$36*'契約別単価'!F5+'前提と出典'!$C$37*'契約別単価'!F6+'前提と出典'!$C$38*'契約別単価'!F7)</ns0:f>
        <ns0:v>575608.163998021</ns0:v>
      </ns0:c>
      <ns0:c r="G792" s="16">
        <ns0:f>A792*('前提と出典'!$C$36*'契約別単価'!G5+'前提と出典'!$C$37*'契約別単価'!G6+'前提と出典'!$C$38*'契約別単価'!G7)</ns0:f>
        <ns0:v>1568516.2011173184</ns0:v>
      </ns0:c>
      <ns0:c r="H792" s="16">
        <ns0:f>A792*('前提と出典'!$C$36*'契約別単価'!H5+'前提と出典'!$C$37*'契約別単価'!H6+'前提と出典'!$C$38*'契約別単価'!H7)</ns0:f>
        <ns0:v>544353.7890570168</ns0:v>
      </ns0:c>
      <ns0:c r="I792" s="16">
        <ns0:f>A792*('前提と出典'!$C$36*'契約別単価'!I5+'前提と出典'!$C$37*'契約別単価'!I6+'前提と出典'!$C$38*'契約別単価'!I7)</ns0:f>
        <ns0:v>33250.0782122905</ns0:v>
      </ns0:c>
      <ns0:c r="J792" s="16">
        <ns0:f>A792*('前提と出典'!$C$36*'契約別単価'!J5+'前提と出典'!$C$37*'契約別単価'!J6+'前提と出典'!$C$38*'契約別単価'!J7)</ns0:f>
        <ns0:v>77452.16044371843</ns0:v>
      </ns0:c>
      <ns0:c r="K792" s="16">
        <ns0:f>A792*('前提と出典'!$C$36*'契約別単価'!K5+'前提と出典'!$C$37*'契約別単価'!K6+'前提と出典'!$C$38*'契約別単価'!K7)</ns0:f>
        <ns0:v>331987.1880819367</ns0:v>
      </ns0:c>
      <ns0:c r="L792" s="16">
        <ns0:f>A792*('前提と出典'!$C$36*'契約別単価'!L5+'前提と出典'!$C$37*'契約別単価'!L6+'前提と出典'!$C$38*'契約別単価'!L7)</ns0:f>
        <ns0:v>270305.12630190054</ns0:v>
      </ns0:c>
      <ns0:c r="M792" s="16">
        <ns0:f>IF(('前提と出典'!$C$36+'前提と出典'!$C$38)=0,0,IF(B792&lt;=10,'前提と出典'!B73+'前提と出典'!C73,IF(B792&lt;=100,'前提と出典'!B74+'前提と出典'!C74,IF(B792&lt;=500,'前提と出典'!B75+'前提と出典'!C75,'前提と出典'!B76+'前提と出典'!C76))))</ns0:f>
        <ns0:v>80000</ns0:v>
      </ns0:c>
      <ns0:c r="N792" s="16">
        <ns0:f>IF(('前提と出典'!$C$37+'前提と出典'!$C$38)=0,0,IF(C792&lt;=10,'前提と出典'!D73+'前提と出典'!E73,IF(C792&lt;=100,'前提と出典'!D74+'前提と出典'!E74,IF(C792&lt;=500,'前提と出典'!D75+'前提と出典'!E75,'前提と出典'!D76+'前提と出典'!E76))))</ns0:f>
        <ns0:v>56510.9346263078</ns0:v>
      </ns0:c>
      <ns0:c r="O792" s="16">
        <ns0:f>IF('前提と出典'!$C$36+'前提と出典'!$C$38=0,0,'前提と出典'!$B$4*IF('前提と出典'!$B$20=0,MAX('前提と出典'!$B$6,D792*'前提と出典'!$B$5),'前提と出典'!$B$6+D792*'前提と出典'!$B$5))</ns0:f>
        <ns0:v>782470.7932960894</ns0:v>
      </ns0:c>
      <ns0:c r="P792" s="16">
        <ns0:f>(E792+G792)*(1-'前提と出典'!$B$7)-I792-K792-M792-O792</ns0:f>
        <ns0:v>2193959.8747141203</ns0:v>
      </ns0:c>
      <ns0:c r="Q792" s="16">
        <ns0:f>(F792+H792)*(1-'前提と出典'!$B$7)-J792-L792-N792</ns0:f>
        <ns0:v>675375.1013731298</ns0:v>
      </ns0:c>
      <ns0:c r="R792" s="16">
        <ns0:f>P792-E792*'前提と出典'!$E$4</ns0:f>
        <ns0:v>1599680.3156599682</ns0:v>
      </ns0:c>
      <ns0:c r="S792" s="16">
        <ns0:f>Q792-F792*'前提と出典'!$E$4</ns0:f>
        <ns0:v>502692.6521737233</ns0:v>
      </ns0:c>
      <ns0:c r="T792" s="7">
        <ns0:f>R792+S792</ns0:f>
        <ns0:v>2102372.9678336913</ns0:v>
      </ns0:c>
      <ns0:c r="U792" s="16">
        <ns0:f>P792-E792*'前提と出典'!$E$5</ns0:f>
        <ns0:v>1401587.1293085841</ns0:v>
      </ns0:c>
      <ns0:c r="V792" s="16">
        <ns0:f>Q792-F792*'前提と出典'!$E$5</ns0:f>
        <ns0:v>445131.8357739213</ns0:v>
      </ns0:c>
      <ns0:c r="W792" s="7">
        <ns0:f>U792+V792</ns0:f>
        <ns0:v>1846718.9650825055</ns0:v>
      </ns0:c>
      <ns0:c r="X792" s="16">
        <ns0:f>P792-E792*'前提と出典'!$E$6</ns0:f>
        <ns0:v>1203493.9429571999</ns0:v>
      </ns0:c>
      <ns0:c r="Y792" s="16">
        <ns0:f>Q792-F792*'前提と出典'!$E$6</ns0:f>
        <ns0:v>387571.0193741192</ns0:v>
      </ns0:c>
      <ns0:c r="Z792" s="7">
        <ns0:f>X792+Y792</ns0:f>
        <ns0:v>1591064.962331319</ns0:v>
      </ns0:c>
      <ns0:c r="AA792" s="7">
        <ns0:f>IF(T792&gt;=0,A792,1001)</ns0:f>
        <ns0:v>788</ns0:v>
      </ns0:c>
      <ns0:c r="AB792" s="7">
        <ns0:f>IF(T792&lt;0,A792,0)</ns0:f>
        <ns0:v>0</ns0:v>
      </ns0:c>
      <ns0:c r="AC792" s="16">
        <ns0:f>IF(AND(OR('前提と出典'!$C$36+'前提と出典'!$C$38=0,R792&gt;=0),OR('前提と出典'!$C$37+'前提と出典'!$C$38=0,S792&gt;=0)),0,A792)</ns0:f>
        <ns0:v>0</ns0:v>
      </ns0:c>
      <ns0:c r="AD792" s="7">
        <ns0:f>IF(W792&gt;=0,A792,1001)</ns0:f>
        <ns0:v>788</ns0:v>
      </ns0:c>
      <ns0:c r="AE792" s="7">
        <ns0:f>IF(W792&lt;0,A792,0)</ns0:f>
        <ns0:v>0</ns0:v>
      </ns0:c>
      <ns0:c r="AF792" s="16">
        <ns0:f>IF(AND(OR('前提と出典'!$C$36+'前提と出典'!$C$38=0,U792&gt;=0),OR('前提と出典'!$C$37+'前提と出典'!$C$38=0,V792&gt;=0)),0,A792)</ns0:f>
        <ns0:v>0</ns0:v>
      </ns0:c>
      <ns0:c r="AG792" s="7">
        <ns0:f>IF(Z792&gt;=0,A792,1001)</ns0:f>
        <ns0:v>788</ns0:v>
      </ns0:c>
      <ns0:c r="AH792" s="4">
        <ns0:f>IF(Z792&lt;0,A792,0)</ns0:f>
        <ns0:v>0</ns0:v>
      </ns0:c>
      <ns0:c r="AI792" s="12">
        <ns0:f>IF(AND(OR('前提と出典'!$C$36+'前提と出典'!$C$38=0,X792&gt;=0),OR('前提と出典'!$C$37+'前提と出典'!$C$38=0,Y792&gt;=0)),0,A792)</ns0:f>
        <ns0:v>0</ns0:v>
      </ns0:c>
    </ns0:row>
    <ns0:row r="793" ht="24" customHeight="1">
      <ns0:c r="A793" s="4" t="n">
        <ns0:v>789</ns0:v>
      </ns0:c>
      <ns0:c r="B793" s="12">
        <ns0:f>A793*('前提と出典'!$C$36+'前提と出典'!$C$38)</ns0:f>
        <ns0:v>552.3</ns0:v>
      </ns0:c>
      <ns0:c r="C793" s="12">
        <ns0:f>A793*('前提と出典'!$C$37+'前提と出典'!$C$38)</ns0:f>
        <ns0:v>473.4</ns0:v>
      </ns0:c>
      <ns0:c r="D793" s="16">
        <ns0:f>A793*('前提と出典'!$C$36*'契約別単価'!C5+'前提と出典'!$C$37*'契約別単価'!C6+'前提と出典'!$C$38*'契約別単価'!C7)</ns0:f>
        <ns0:v>5677.27374301676</ns0:v>
      </ns0:c>
      <ns0:c r="E793" s="16">
        <ns0:f>A793*('前提と出典'!$C$36*'契約別単価'!E5+'前提と出典'!$C$37*'契約別単価'!E6+'前提と出典'!$C$38*'契約別単価'!E7)</ns0:f>
        <ns0:v>1983445.7364370804</ns0:v>
      </ns0:c>
      <ns0:c r="F793" s="16">
        <ns0:f>A793*('前提と出典'!$C$36*'契約別単価'!F5+'前提と出典'!$C$37*'契約別単価'!F6+'前提と出典'!$C$38*'契約別単価'!F7)</ns0:f>
        <ns0:v>576338.6312112164</ns0:v>
      </ns0:c>
      <ns0:c r="G793" s="16">
        <ns0:f>A793*('前提と出典'!$C$36*'契約別単価'!G5+'前提と出典'!$C$37*'契約別単価'!G6+'前提と出典'!$C$38*'契約別単価'!G7)</ns0:f>
        <ns0:v>1570506.7039106144</ns0:v>
      </ns0:c>
      <ns0:c r="H793" s="16">
        <ns0:f>A793*('前提と出典'!$C$36*'契約別単価'!H5+'前提と出典'!$C$37*'契約別単価'!H6+'前提と出典'!$C$38*'契約別単価'!H7)</ns0:f>
        <ns0:v>545044.5933578506</ns0:v>
      </ns0:c>
      <ns0:c r="I793" s="16">
        <ns0:f>A793*('前提と出典'!$C$36*'契約別単価'!I5+'前提と出典'!$C$37*'契約別単価'!I6+'前提と出典'!$C$38*'契約別単価'!I7)</ns0:f>
        <ns0:v>33292.273743016754</ns0:v>
      </ns0:c>
      <ns0:c r="J793" s="16">
        <ns0:f>A793*('前提と出典'!$C$36*'契約別単価'!J5+'前提と出典'!$C$37*'契約別単価'!J6+'前提と出典'!$C$38*'契約別単価'!J7)</ns0:f>
        <ns0:v>77550.44998742873</ns0:v>
      </ns0:c>
      <ns0:c r="K793" s="16">
        <ns0:f>A793*('前提と出典'!$C$36*'契約別単価'!K5+'前提と出典'!$C$37*'契約別単価'!K6+'前提と出典'!$C$38*'契約別単価'!K7)</ns0:f>
        <ns0:v>332408.4916201117</ns0:v>
      </ns0:c>
      <ns0:c r="L793" s="16">
        <ns0:f>A793*('前提と出典'!$C$36*'契約別単価'!L5+'前提と出典'!$C$37*'契約別単価'!L6+'前提と出典'!$C$38*'契約別単価'!L7)</ns0:f>
        <ns0:v>270648.1531119283</ns0:v>
      </ns0:c>
      <ns0:c r="M793" s="16">
        <ns0:f>IF(('前提と出典'!$C$36+'前提と出典'!$C$38)=0,0,IF(B793&lt;=10,'前提と出典'!B73+'前提と出典'!C73,IF(B793&lt;=100,'前提と出典'!B74+'前提と出典'!C74,IF(B793&lt;=500,'前提と出典'!B75+'前提と出典'!C75,'前提と出典'!B76+'前提と出典'!C76))))</ns0:f>
        <ns0:v>80000</ns0:v>
      </ns0:c>
      <ns0:c r="N793" s="16">
        <ns0:f>IF(('前提と出典'!$C$37+'前提と出典'!$C$38)=0,0,IF(C793&lt;=10,'前提と出典'!D73+'前提と出典'!E73,IF(C793&lt;=100,'前提と出典'!D74+'前提と出典'!E74,IF(C793&lt;=500,'前提と出典'!D75+'前提と出典'!E75,'前提と出典'!D76+'前提と出典'!E76))))</ns0:f>
        <ns0:v>56510.9346263078</ns0:v>
      </ns0:c>
      <ns0:c r="O793" s="16">
        <ns0:f>IF('前提と出典'!$C$36+'前提と出典'!$C$38=0,0,'前提と出典'!$B$4*IF('前提と出典'!$B$20=0,MAX('前提と出典'!$B$6,D793*'前提と出典'!$B$5),'前提と出典'!$B$6+D793*'前提と出典'!$B$5))</ns0:f>
        <ns0:v>783463.7765363129</ns0:v>
      </ns0:c>
      <ns0:c r="P793" s="16">
        <ns0:f>(E793+G793)*(1-'前提と出典'!$B$7)-I793-K793-M793-O793</ns0:f>
        <ns0:v>2196845.6105957367</ns0:v>
      </ns0:c>
      <ns0:c r="Q793" s="16">
        <ns0:f>(F793+H793)*(1-'前提と出典'!$B$7)-J793-L793-N793</ns0:f>
        <ns0:v>676303.8907589156</ns0:v>
      </ns0:c>
      <ns0:c r="R793" s="16">
        <ns0:f>P793-E793*'前提と出典'!$E$4</ns0:f>
        <ns0:v>1601811.8896646127</ns0:v>
      </ns0:c>
      <ns0:c r="S793" s="16">
        <ns0:f>Q793-F793*'前提と出典'!$E$4</ns0:f>
        <ns0:v>503402.3013955506</ns0:v>
      </ns0:c>
      <ns0:c r="T793" s="7">
        <ns0:f>R793+S793</ns0:f>
        <ns0:v>2105214.191060163</ns0:v>
      </ns0:c>
      <ns0:c r="U793" s="16">
        <ns0:f>P793-E793*'前提と出典'!$E$5</ns0:f>
        <ns0:v>1403467.3160209046</ns0:v>
      </ns0:c>
      <ns0:c r="V793" s="16">
        <ns0:f>Q793-F793*'前提と出典'!$E$5</ns0:f>
        <ns0:v>445768.438274429</ns0:v>
      </ns0:c>
      <ns0:c r="W793" s="7">
        <ns0:f>U793+V793</ns0:f>
        <ns0:v>1849235.7542953335</ns0:v>
      </ns0:c>
      <ns0:c r="X793" s="16">
        <ns0:f>P793-E793*'前提と出典'!$E$6</ns0:f>
        <ns0:v>1205122.7423771964</ns0:v>
      </ns0:c>
      <ns0:c r="Y793" s="16">
        <ns0:f>Q793-F793*'前提と出典'!$E$6</ns0:f>
        <ns0:v>388134.57515330735</ns0:v>
      </ns0:c>
      <ns0:c r="Z793" s="7">
        <ns0:f>X793+Y793</ns0:f>
        <ns0:v>1593257.3175305037</ns0:v>
      </ns0:c>
      <ns0:c r="AA793" s="7">
        <ns0:f>IF(T793&gt;=0,A793,1001)</ns0:f>
        <ns0:v>789</ns0:v>
      </ns0:c>
      <ns0:c r="AB793" s="7">
        <ns0:f>IF(T793&lt;0,A793,0)</ns0:f>
        <ns0:v>0</ns0:v>
      </ns0:c>
      <ns0:c r="AC793" s="16">
        <ns0:f>IF(AND(OR('前提と出典'!$C$36+'前提と出典'!$C$38=0,R793&gt;=0),OR('前提と出典'!$C$37+'前提と出典'!$C$38=0,S793&gt;=0)),0,A793)</ns0:f>
        <ns0:v>0</ns0:v>
      </ns0:c>
      <ns0:c r="AD793" s="7">
        <ns0:f>IF(W793&gt;=0,A793,1001)</ns0:f>
        <ns0:v>789</ns0:v>
      </ns0:c>
      <ns0:c r="AE793" s="7">
        <ns0:f>IF(W793&lt;0,A793,0)</ns0:f>
        <ns0:v>0</ns0:v>
      </ns0:c>
      <ns0:c r="AF793" s="16">
        <ns0:f>IF(AND(OR('前提と出典'!$C$36+'前提と出典'!$C$38=0,U793&gt;=0),OR('前提と出典'!$C$37+'前提と出典'!$C$38=0,V793&gt;=0)),0,A793)</ns0:f>
        <ns0:v>0</ns0:v>
      </ns0:c>
      <ns0:c r="AG793" s="7">
        <ns0:f>IF(Z793&gt;=0,A793,1001)</ns0:f>
        <ns0:v>789</ns0:v>
      </ns0:c>
      <ns0:c r="AH793" s="4">
        <ns0:f>IF(Z793&lt;0,A793,0)</ns0:f>
        <ns0:v>0</ns0:v>
      </ns0:c>
      <ns0:c r="AI793" s="12">
        <ns0:f>IF(AND(OR('前提と出典'!$C$36+'前提と出典'!$C$38=0,X793&gt;=0),OR('前提と出典'!$C$37+'前提と出典'!$C$38=0,Y793&gt;=0)),0,A793)</ns0:f>
        <ns0:v>0</ns0:v>
      </ns0:c>
    </ns0:row>
    <ns0:row r="794" ht="24" customHeight="1">
      <ns0:c r="A794" s="4" t="n">
        <ns0:v>790</ns0:v>
      </ns0:c>
      <ns0:c r="B794" s="12">
        <ns0:f>A794*('前提と出典'!$C$36+'前提と出典'!$C$38)</ns0:f>
        <ns0:v>553</ns0:v>
      </ns0:c>
      <ns0:c r="C794" s="12">
        <ns0:f>A794*('前提と出典'!$C$37+'前提と出典'!$C$38)</ns0:f>
        <ns0:v>474</ns0:v>
      </ns0:c>
      <ns0:c r="D794" s="16">
        <ns0:f>A794*('前提と出典'!$C$36*'契約別単価'!C5+'前提と出典'!$C$37*'契約別単価'!C6+'前提と出典'!$C$38*'契約別単価'!C7)</ns0:f>
        <ns0:v>5684.469273743017</ns0:v>
      </ns0:c>
      <ns0:c r="E794" s="16">
        <ns0:f>A794*('前提と出典'!$C$36*'契約別単価'!E5+'前提と出典'!$C$37*'契約別単価'!E6+'前提と出典'!$C$38*'契約別単価'!E7)</ns0:f>
        <ns0:v>1985959.6093603214</ns0:v>
      </ns0:c>
      <ns0:c r="F794" s="16">
        <ns0:f>A794*('前提と出典'!$C$36*'契約別単価'!F5+'前提と出典'!$C$37*'契約別単価'!F6+'前提と出典'!$C$38*'契約別単価'!F7)</ns0:f>
        <ns0:v>577069.098424412</ns0:v>
      </ns0:c>
      <ns0:c r="G794" s="16">
        <ns0:f>A794*('前提と出典'!$C$36*'契約別単価'!G5+'前提と出典'!$C$37*'契約別単価'!G6+'前提と出典'!$C$38*'契約別単価'!G7)</ns0:f>
        <ns0:v>1572497.2067039106</ns0:v>
      </ns0:c>
      <ns0:c r="H794" s="16">
        <ns0:f>A794*('前提と出典'!$C$36*'契約別単価'!H5+'前提と出典'!$C$37*'契約別単価'!H6+'前提と出典'!$C$38*'契約別単価'!H7)</ns0:f>
        <ns0:v>545735.3976586844</ns0:v>
      </ns0:c>
      <ns0:c r="I794" s="16">
        <ns0:f>A794*('前提と出典'!$C$36*'契約別単価'!I5+'前提と出典'!$C$37*'契約別単価'!I6+'前提と出典'!$C$38*'契約別単価'!I7)</ns0:f>
        <ns0:v>33334.46927374301</ns0:v>
      </ns0:c>
      <ns0:c r="J794" s="16">
        <ns0:f>A794*('前提と出典'!$C$36*'契約別単価'!J5+'前提と出典'!$C$37*'契約別単価'!J6+'前提と出典'!$C$38*'契約別単価'!J7)</ns0:f>
        <ns0:v>77648.73953113903</ns0:v>
      </ns0:c>
      <ns0:c r="K794" s="16">
        <ns0:f>A794*('前提と出典'!$C$36*'契約別単価'!K5+'前提と出典'!$C$37*'契約別単価'!K6+'前提と出典'!$C$38*'契約別単価'!K7)</ns0:f>
        <ns0:v>332829.79515828675</ns0:v>
      </ns0:c>
      <ns0:c r="L794" s="16">
        <ns0:f>A794*('前提と出典'!$C$36*'契約別単価'!L5+'前提と出典'!$C$37*'契約別単価'!L6+'前提と出典'!$C$38*'契約別単価'!L7)</ns0:f>
        <ns0:v>270991.17992195615</ns0:v>
      </ns0:c>
      <ns0:c r="M794" s="16">
        <ns0:f>IF(('前提と出典'!$C$36+'前提と出典'!$C$38)=0,0,IF(B794&lt;=10,'前提と出典'!B73+'前提と出典'!C73,IF(B794&lt;=100,'前提と出典'!B74+'前提と出典'!C74,IF(B794&lt;=500,'前提と出典'!B75+'前提と出典'!C75,'前提と出典'!B76+'前提と出典'!C76))))</ns0:f>
        <ns0:v>80000</ns0:v>
      </ns0:c>
      <ns0:c r="N794" s="16">
        <ns0:f>IF(('前提と出典'!$C$37+'前提と出典'!$C$38)=0,0,IF(C794&lt;=10,'前提と出典'!D73+'前提と出典'!E73,IF(C794&lt;=100,'前提と出典'!D74+'前提と出典'!E74,IF(C794&lt;=500,'前提と出典'!D75+'前提と出典'!E75,'前提と出典'!D76+'前提と出典'!E76))))</ns0:f>
        <ns0:v>56510.9346263078</ns0:v>
      </ns0:c>
      <ns0:c r="O794" s="16">
        <ns0:f>IF('前提と出典'!$C$36+'前提と出典'!$C$38=0,0,'前提と出典'!$B$4*IF('前提と出典'!$B$20=0,MAX('前提と出典'!$B$6,D794*'前提と出典'!$B$5),'前提と出典'!$B$6+D794*'前提と出典'!$B$5))</ns0:f>
        <ns0:v>784456.7597765364</ns0:v>
      </ns0:c>
      <ns0:c r="P794" s="16">
        <ns0:f>(E794+G794)*(1-'前提と出典'!$B$7)-I794-K794-M794-O794</ns0:f>
        <ns0:v>2199731.3464773535</ns0:v>
      </ns0:c>
      <ns0:c r="Q794" s="16">
        <ns0:f>(F794+H794)*(1-'前提と出典'!$B$7)-J794-L794-N794</ns0:f>
        <ns0:v>677232.680144702</ns0:v>
      </ns0:c>
      <ns0:c r="R794" s="16">
        <ns0:f>P794-E794*'前提と出典'!$E$4</ns0:f>
        <ns0:v>1603943.4636692572</ns0:v>
      </ns0:c>
      <ns0:c r="S794" s="16">
        <ns0:f>Q794-F794*'前提と出典'!$E$4</ns0:f>
        <ns0:v>504111.95061737834</ns0:v>
      </ns0:c>
      <ns0:c r="T794" s="7">
        <ns0:f>R794+S794</ns0:f>
        <ns0:v>2108055.414286636</ns0:v>
      </ns0:c>
      <ns0:c r="U794" s="16">
        <ns0:f>P794-E794*'前提と出典'!$E$5</ns0:f>
        <ns0:v>1405347.502733225</ns0:v>
      </ns0:c>
      <ns0:c r="V794" s="16">
        <ns0:f>Q794-F794*'前提と出典'!$E$5</ns0:f>
        <ns0:v>446405.04077493714</ns0:v>
      </ns0:c>
      <ns0:c r="W794" s="7">
        <ns0:f>U794+V794</ns0:f>
        <ns0:v>1851752.5435081623</ns0:v>
      </ns0:c>
      <ns0:c r="X794" s="16">
        <ns0:f>P794-E794*'前提と出典'!$E$6</ns0:f>
        <ns0:v>1206751.5417971925</ns0:v>
      </ns0:c>
      <ns0:c r="Y794" s="16">
        <ns0:f>Q794-F794*'前提と出典'!$E$6</ns0:f>
        <ns0:v>388698.13093249605</ns0:v>
      </ns0:c>
      <ns0:c r="Z794" s="7">
        <ns0:f>X794+Y794</ns0:f>
        <ns0:v>1595449.6727296887</ns0:v>
      </ns0:c>
      <ns0:c r="AA794" s="7">
        <ns0:f>IF(T794&gt;=0,A794,1001)</ns0:f>
        <ns0:v>790</ns0:v>
      </ns0:c>
      <ns0:c r="AB794" s="7">
        <ns0:f>IF(T794&lt;0,A794,0)</ns0:f>
        <ns0:v>0</ns0:v>
      </ns0:c>
      <ns0:c r="AC794" s="16">
        <ns0:f>IF(AND(OR('前提と出典'!$C$36+'前提と出典'!$C$38=0,R794&gt;=0),OR('前提と出典'!$C$37+'前提と出典'!$C$38=0,S794&gt;=0)),0,A794)</ns0:f>
        <ns0:v>0</ns0:v>
      </ns0:c>
      <ns0:c r="AD794" s="7">
        <ns0:f>IF(W794&gt;=0,A794,1001)</ns0:f>
        <ns0:v>790</ns0:v>
      </ns0:c>
      <ns0:c r="AE794" s="7">
        <ns0:f>IF(W794&lt;0,A794,0)</ns0:f>
        <ns0:v>0</ns0:v>
      </ns0:c>
      <ns0:c r="AF794" s="16">
        <ns0:f>IF(AND(OR('前提と出典'!$C$36+'前提と出典'!$C$38=0,U794&gt;=0),OR('前提と出典'!$C$37+'前提と出典'!$C$38=0,V794&gt;=0)),0,A794)</ns0:f>
        <ns0:v>0</ns0:v>
      </ns0:c>
      <ns0:c r="AG794" s="7">
        <ns0:f>IF(Z794&gt;=0,A794,1001)</ns0:f>
        <ns0:v>790</ns0:v>
      </ns0:c>
      <ns0:c r="AH794" s="4">
        <ns0:f>IF(Z794&lt;0,A794,0)</ns0:f>
        <ns0:v>0</ns0:v>
      </ns0:c>
      <ns0:c r="AI794" s="12">
        <ns0:f>IF(AND(OR('前提と出典'!$C$36+'前提と出典'!$C$38=0,X794&gt;=0),OR('前提と出典'!$C$37+'前提と出典'!$C$38=0,Y794&gt;=0)),0,A794)</ns0:f>
        <ns0:v>0</ns0:v>
      </ns0:c>
    </ns0:row>
    <ns0:row r="795" ht="24" customHeight="1">
      <ns0:c r="A795" s="4" t="n">
        <ns0:v>791</ns0:v>
      </ns0:c>
      <ns0:c r="B795" s="12">
        <ns0:f>A795*('前提と出典'!$C$36+'前提と出典'!$C$38)</ns0:f>
        <ns0:v>553.6999999999999</ns0:v>
      </ns0:c>
      <ns0:c r="C795" s="12">
        <ns0:f>A795*('前提と出典'!$C$37+'前提と出典'!$C$38)</ns0:f>
        <ns0:v>474.59999999999997</ns0:v>
      </ns0:c>
      <ns0:c r="D795" s="16">
        <ns0:f>A795*('前提と出典'!$C$36*'契約別単価'!C5+'前提と出典'!$C$37*'契約別単価'!C6+'前提と出典'!$C$38*'契約別単価'!C7)</ns0:f>
        <ns0:v>5691.664804469274</ns0:v>
      </ns0:c>
      <ns0:c r="E795" s="16">
        <ns0:f>A795*('前提と出典'!$C$36*'契約別単価'!E5+'前提と出典'!$C$37*'契約別単価'!E6+'前提と出典'!$C$38*'契約別単価'!E7)</ns0:f>
        <ns0:v>1988473.4822835624</ns0:v>
      </ns0:c>
      <ns0:c r="F795" s="16">
        <ns0:f>A795*('前提と出典'!$C$36*'契約別単価'!F5+'前提と出典'!$C$37*'契約別単価'!F6+'前提と出典'!$C$38*'契約別単価'!F7)</ns0:f>
        <ns0:v>577799.5656376074</ns0:v>
      </ns0:c>
      <ns0:c r="G795" s="16">
        <ns0:f>A795*('前提と出典'!$C$36*'契約別単価'!G5+'前提と出典'!$C$37*'契約別単価'!G6+'前提と出典'!$C$38*'契約別単価'!G7)</ns0:f>
        <ns0:v>1574487.7094972066</ns0:v>
      </ns0:c>
      <ns0:c r="H795" s="16">
        <ns0:f>A795*('前提と出典'!$C$36*'契約別単価'!H5+'前提と出典'!$C$37*'契約別単価'!H6+'前提と出典'!$C$38*'契約別単価'!H7)</ns0:f>
        <ns0:v>546426.2019595181</ns0:v>
      </ns0:c>
      <ns0:c r="I795" s="16">
        <ns0:f>A795*('前提と出典'!$C$36*'契約別単価'!I5+'前提と出典'!$C$37*'契約別単価'!I6+'前提と出典'!$C$38*'契約別単価'!I7)</ns0:f>
        <ns0:v>33376.66480446927</ns0:v>
      </ns0:c>
      <ns0:c r="J795" s="16">
        <ns0:f>A795*('前提と出典'!$C$36*'契約別単価'!J5+'前提と出典'!$C$37*'契約別単価'!J6+'前提と出典'!$C$38*'契約別単価'!J7)</ns0:f>
        <ns0:v>77747.02907484933</ns0:v>
      </ns0:c>
      <ns0:c r="K795" s="16">
        <ns0:f>A795*('前提と出典'!$C$36*'契約別単価'!K5+'前提と出典'!$C$37*'契約別単価'!K6+'前提と出典'!$C$38*'契約別単価'!K7)</ns0:f>
        <ns0:v>333251.0986964618</ns0:v>
      </ns0:c>
      <ns0:c r="L795" s="16">
        <ns0:f>A795*('前提と出典'!$C$36*'契約別単価'!L5+'前提と出典'!$C$37*'契約別単価'!L6+'前提と出典'!$C$38*'契約別単価'!L7)</ns0:f>
        <ns0:v>271334.2067319839</ns0:v>
      </ns0:c>
      <ns0:c r="M795" s="16">
        <ns0:f>IF(('前提と出典'!$C$36+'前提と出典'!$C$38)=0,0,IF(B795&lt;=10,'前提と出典'!B73+'前提と出典'!C73,IF(B795&lt;=100,'前提と出典'!B74+'前提と出典'!C74,IF(B795&lt;=500,'前提と出典'!B75+'前提と出典'!C75,'前提と出典'!B76+'前提と出典'!C76))))</ns0:f>
        <ns0:v>80000</ns0:v>
      </ns0:c>
      <ns0:c r="N795" s="16">
        <ns0:f>IF(('前提と出典'!$C$37+'前提と出典'!$C$38)=0,0,IF(C795&lt;=10,'前提と出典'!D73+'前提と出典'!E73,IF(C795&lt;=100,'前提と出典'!D74+'前提と出典'!E74,IF(C795&lt;=500,'前提と出典'!D75+'前提と出典'!E75,'前提と出典'!D76+'前提と出典'!E76))))</ns0:f>
        <ns0:v>56510.9346263078</ns0:v>
      </ns0:c>
      <ns0:c r="O795" s="16">
        <ns0:f>IF('前提と出典'!$C$36+'前提と出典'!$C$38=0,0,'前提と出典'!$B$4*IF('前提と出典'!$B$20=0,MAX('前提と出典'!$B$6,D795*'前提と出典'!$B$5),'前提と出典'!$B$6+D795*'前提と出典'!$B$5))</ns0:f>
        <ns0:v>785449.7430167599</ns0:v>
      </ns0:c>
      <ns0:c r="P795" s="16">
        <ns0:f>(E795+G795)*(1-'前提と出典'!$B$7)-I795-K795-M795-O795</ns0:f>
        <ns0:v>2202617.0823589703</ns0:v>
      </ns0:c>
      <ns0:c r="Q795" s="16">
        <ns0:f>(F795+H795)*(1-'前提と出典'!$B$7)-J795-L795-N795</ns0:f>
        <ns0:v>678161.4695304878</ns0:v>
      </ns0:c>
      <ns0:c r="R795" s="16">
        <ns0:f>P795-E795*'前提と出典'!$E$4</ns0:f>
        <ns0:v>1606075.0376739018</ns0:v>
      </ns0:c>
      <ns0:c r="S795" s="16">
        <ns0:f>Q795-F795*'前提と出典'!$E$4</ns0:f>
        <ns0:v>504821.5998392056</ns0:v>
      </ns0:c>
      <ns0:c r="T795" s="7">
        <ns0:f>R795+S795</ns0:f>
        <ns0:v>2110896.6375131076</ns0:v>
      </ns0:c>
      <ns0:c r="U795" s="16">
        <ns0:f>P795-E795*'前提と出典'!$E$5</ns0:f>
        <ns0:v>1407227.6894455454</ns0:v>
      </ns0:c>
      <ns0:c r="V795" s="16">
        <ns0:f>Q795-F795*'前提と出典'!$E$5</ns0:f>
        <ns0:v>447041.64327544486</ns0:v>
      </ns0:c>
      <ns0:c r="W795" s="7">
        <ns0:f>U795+V795</ns0:f>
        <ns0:v>1854269.3327209903</ns0:v>
      </ns0:c>
      <ns0:c r="X795" s="16">
        <ns0:f>P795-E795*'前提と出典'!$E$6</ns0:f>
        <ns0:v>1208380.341217189</ns0:v>
      </ns0:c>
      <ns0:c r="Y795" s="16">
        <ns0:f>Q795-F795*'前提と出典'!$E$6</ns0:f>
        <ns0:v>389261.6867116841</ns0:v>
      </ns0:c>
      <ns0:c r="Z795" s="7">
        <ns0:f>X795+Y795</ns0:f>
        <ns0:v>1597642.0279288732</ns0:v>
      </ns0:c>
      <ns0:c r="AA795" s="7">
        <ns0:f>IF(T795&gt;=0,A795,1001)</ns0:f>
        <ns0:v>791</ns0:v>
      </ns0:c>
      <ns0:c r="AB795" s="7">
        <ns0:f>IF(T795&lt;0,A795,0)</ns0:f>
        <ns0:v>0</ns0:v>
      </ns0:c>
      <ns0:c r="AC795" s="16">
        <ns0:f>IF(AND(OR('前提と出典'!$C$36+'前提と出典'!$C$38=0,R795&gt;=0),OR('前提と出典'!$C$37+'前提と出典'!$C$38=0,S795&gt;=0)),0,A795)</ns0:f>
        <ns0:v>0</ns0:v>
      </ns0:c>
      <ns0:c r="AD795" s="7">
        <ns0:f>IF(W795&gt;=0,A795,1001)</ns0:f>
        <ns0:v>791</ns0:v>
      </ns0:c>
      <ns0:c r="AE795" s="7">
        <ns0:f>IF(W795&lt;0,A795,0)</ns0:f>
        <ns0:v>0</ns0:v>
      </ns0:c>
      <ns0:c r="AF795" s="16">
        <ns0:f>IF(AND(OR('前提と出典'!$C$36+'前提と出典'!$C$38=0,U795&gt;=0),OR('前提と出典'!$C$37+'前提と出典'!$C$38=0,V795&gt;=0)),0,A795)</ns0:f>
        <ns0:v>0</ns0:v>
      </ns0:c>
      <ns0:c r="AG795" s="7">
        <ns0:f>IF(Z795&gt;=0,A795,1001)</ns0:f>
        <ns0:v>791</ns0:v>
      </ns0:c>
      <ns0:c r="AH795" s="4">
        <ns0:f>IF(Z795&lt;0,A795,0)</ns0:f>
        <ns0:v>0</ns0:v>
      </ns0:c>
      <ns0:c r="AI795" s="12">
        <ns0:f>IF(AND(OR('前提と出典'!$C$36+'前提と出典'!$C$38=0,X795&gt;=0),OR('前提と出典'!$C$37+'前提と出典'!$C$38=0,Y795&gt;=0)),0,A795)</ns0:f>
        <ns0:v>0</ns0:v>
      </ns0:c>
    </ns0:row>
    <ns0:row r="796" ht="24" customHeight="1">
      <ns0:c r="A796" s="4" t="n">
        <ns0:v>792</ns0:v>
      </ns0:c>
      <ns0:c r="B796" s="12">
        <ns0:f>A796*('前提と出典'!$C$36+'前提と出典'!$C$38)</ns0:f>
        <ns0:v>554.4</ns0:v>
      </ns0:c>
      <ns0:c r="C796" s="12">
        <ns0:f>A796*('前提と出典'!$C$37+'前提と出典'!$C$38)</ns0:f>
        <ns0:v>475.2</ns0:v>
      </ns0:c>
      <ns0:c r="D796" s="16">
        <ns0:f>A796*('前提と出典'!$C$36*'契約別単価'!C5+'前提と出典'!$C$37*'契約別単価'!C6+'前提と出典'!$C$38*'契約別単価'!C7)</ns0:f>
        <ns0:v>5698.860335195531</ns0:v>
      </ns0:c>
      <ns0:c r="E796" s="16">
        <ns0:f>A796*('前提と出典'!$C$36*'契約別単価'!E5+'前提と出典'!$C$37*'契約別単価'!E6+'前提と出典'!$C$38*'契約別単価'!E7)</ns0:f>
        <ns0:v>1990987.3552068032</ns0:v>
      </ns0:c>
      <ns0:c r="F796" s="16">
        <ns0:f>A796*('前提と出典'!$C$36*'契約別単価'!F5+'前提と出典'!$C$37*'契約別単価'!F6+'前提と出典'!$C$38*'契約別単価'!F7)</ns0:f>
        <ns0:v>578530.0328508029</ns0:v>
      </ns0:c>
      <ns0:c r="G796" s="16">
        <ns0:f>A796*('前提と出典'!$C$36*'契約別単価'!G5+'前提と出典'!$C$37*'契約別単価'!G6+'前提と出典'!$C$38*'契約別単価'!G7)</ns0:f>
        <ns0:v>1576478.2122905026</ns0:v>
      </ns0:c>
      <ns0:c r="H796" s="16">
        <ns0:f>A796*('前提と出典'!$C$36*'契約別単価'!H5+'前提と出典'!$C$37*'契約別単価'!H6+'前提と出典'!$C$38*'契約別単価'!H7)</ns0:f>
        <ns0:v>547117.006260352</ns0:v>
      </ns0:c>
      <ns0:c r="I796" s="16">
        <ns0:f>A796*('前提と出典'!$C$36*'契約別単価'!I5+'前提と出典'!$C$37*'契約別単価'!I6+'前提と出典'!$C$38*'契約別単価'!I7)</ns0:f>
        <ns0:v>33418.860335195524</ns0:v>
      </ns0:c>
      <ns0:c r="J796" s="16">
        <ns0:f>A796*('前提と出典'!$C$36*'契約別単価'!J5+'前提と出典'!$C$37*'契約別単価'!J6+'前提と出典'!$C$38*'契約別単価'!J7)</ns0:f>
        <ns0:v>77845.31861855963</ns0:v>
      </ns0:c>
      <ns0:c r="K796" s="16">
        <ns0:f>A796*('前提と出典'!$C$36*'契約別単価'!K5+'前提と出典'!$C$37*'契約別単価'!K6+'前提と出典'!$C$38*'契約別単価'!K7)</ns0:f>
        <ns0:v>333672.40223463683</ns0:v>
      </ns0:c>
      <ns0:c r="L796" s="16">
        <ns0:f>A796*('前提と出典'!$C$36*'契約別単価'!L5+'前提と出典'!$C$37*'契約別単価'!L6+'前提と出典'!$C$38*'契約別単価'!L7)</ns0:f>
        <ns0:v>271677.2335420117</ns0:v>
      </ns0:c>
      <ns0:c r="M796" s="16">
        <ns0:f>IF(('前提と出典'!$C$36+'前提と出典'!$C$38)=0,0,IF(B796&lt;=10,'前提と出典'!B73+'前提と出典'!C73,IF(B796&lt;=100,'前提と出典'!B74+'前提と出典'!C74,IF(B796&lt;=500,'前提と出典'!B75+'前提と出典'!C75,'前提と出典'!B76+'前提と出典'!C76))))</ns0:f>
        <ns0:v>80000</ns0:v>
      </ns0:c>
      <ns0:c r="N796" s="16">
        <ns0:f>IF(('前提と出典'!$C$37+'前提と出典'!$C$38)=0,0,IF(C796&lt;=10,'前提と出典'!D73+'前提と出典'!E73,IF(C796&lt;=100,'前提と出典'!D74+'前提と出典'!E74,IF(C796&lt;=500,'前提と出典'!D75+'前提と出典'!E75,'前提と出典'!D76+'前提と出典'!E76))))</ns0:f>
        <ns0:v>56510.9346263078</ns0:v>
      </ns0:c>
      <ns0:c r="O796" s="16">
        <ns0:f>IF('前提と出典'!$C$36+'前提と出典'!$C$38=0,0,'前提と出典'!$B$4*IF('前提と出典'!$B$20=0,MAX('前提と出典'!$B$6,D796*'前提と出典'!$B$5),'前提と出典'!$B$6+D796*'前提と出典'!$B$5))</ns0:f>
        <ns0:v>786442.7262569834</ns0:v>
      </ns0:c>
      <ns0:c r="P796" s="16">
        <ns0:f>(E796+G796)*(1-'前提と出典'!$B$7)-I796-K796-M796-O796</ns0:f>
        <ns0:v>2205502.818240587</ns0:v>
      </ns0:c>
      <ns0:c r="Q796" s="16">
        <ns0:f>(F796+H796)*(1-'前提と出典'!$B$7)-J796-L796-N796</ns0:f>
        <ns0:v>679090.2589162742</ns0:v>
      </ns0:c>
      <ns0:c r="R796" s="16">
        <ns0:f>P796-E796*'前提と出典'!$E$4</ns0:f>
        <ns0:v>1608206.6116785463</ns0:v>
      </ns0:c>
      <ns0:c r="S796" s="16">
        <ns0:f>Q796-F796*'前提と出典'!$E$4</ns0:f>
        <ns0:v>505531.24906103336</ns0:v>
      </ns0:c>
      <ns0:c r="T796" s="7">
        <ns0:f>R796+S796</ns0:f>
        <ns0:v>2113737.8607395794</ns0:v>
      </ns0:c>
      <ns0:c r="U796" s="16">
        <ns0:f>P796-E796*'前提と出典'!$E$5</ns0:f>
        <ns0:v>1409107.8761578659</ns0:v>
      </ns0:c>
      <ns0:c r="V796" s="16">
        <ns0:f>Q796-F796*'前提と出典'!$E$5</ns0:f>
        <ns0:v>447678.24577595305</ns0:v>
      </ns0:c>
      <ns0:c r="W796" s="7">
        <ns0:f>U796+V796</ns0:f>
        <ns0:v>1856786.1219338188</ns0:v>
      </ns0:c>
      <ns0:c r="X796" s="16">
        <ns0:f>P796-E796*'前提と出典'!$E$6</ns0:f>
        <ns0:v>1210009.1406371854</ns0:v>
      </ns0:c>
      <ns0:c r="Y796" s="16">
        <ns0:f>Q796-F796*'前提と出典'!$E$6</ns0:f>
        <ns0:v>389825.24249087274</ns0:v>
      </ns0:c>
      <ns0:c r="Z796" s="7">
        <ns0:f>X796+Y796</ns0:f>
        <ns0:v>1599834.3831280582</ns0:v>
      </ns0:c>
      <ns0:c r="AA796" s="7">
        <ns0:f>IF(T796&gt;=0,A796,1001)</ns0:f>
        <ns0:v>792</ns0:v>
      </ns0:c>
      <ns0:c r="AB796" s="7">
        <ns0:f>IF(T796&lt;0,A796,0)</ns0:f>
        <ns0:v>0</ns0:v>
      </ns0:c>
      <ns0:c r="AC796" s="16">
        <ns0:f>IF(AND(OR('前提と出典'!$C$36+'前提と出典'!$C$38=0,R796&gt;=0),OR('前提と出典'!$C$37+'前提と出典'!$C$38=0,S796&gt;=0)),0,A796)</ns0:f>
        <ns0:v>0</ns0:v>
      </ns0:c>
      <ns0:c r="AD796" s="7">
        <ns0:f>IF(W796&gt;=0,A796,1001)</ns0:f>
        <ns0:v>792</ns0:v>
      </ns0:c>
      <ns0:c r="AE796" s="7">
        <ns0:f>IF(W796&lt;0,A796,0)</ns0:f>
        <ns0:v>0</ns0:v>
      </ns0:c>
      <ns0:c r="AF796" s="16">
        <ns0:f>IF(AND(OR('前提と出典'!$C$36+'前提と出典'!$C$38=0,U796&gt;=0),OR('前提と出典'!$C$37+'前提と出典'!$C$38=0,V796&gt;=0)),0,A796)</ns0:f>
        <ns0:v>0</ns0:v>
      </ns0:c>
      <ns0:c r="AG796" s="7">
        <ns0:f>IF(Z796&gt;=0,A796,1001)</ns0:f>
        <ns0:v>792</ns0:v>
      </ns0:c>
      <ns0:c r="AH796" s="4">
        <ns0:f>IF(Z796&lt;0,A796,0)</ns0:f>
        <ns0:v>0</ns0:v>
      </ns0:c>
      <ns0:c r="AI796" s="12">
        <ns0:f>IF(AND(OR('前提と出典'!$C$36+'前提と出典'!$C$38=0,X796&gt;=0),OR('前提と出典'!$C$37+'前提と出典'!$C$38=0,Y796&gt;=0)),0,A796)</ns0:f>
        <ns0:v>0</ns0:v>
      </ns0:c>
    </ns0:row>
    <ns0:row r="797" ht="24" customHeight="1">
      <ns0:c r="A797" s="4" t="n">
        <ns0:v>793</ns0:v>
      </ns0:c>
      <ns0:c r="B797" s="12">
        <ns0:f>A797*('前提と出典'!$C$36+'前提と出典'!$C$38)</ns0:f>
        <ns0:v>555.0999999999999</ns0:v>
      </ns0:c>
      <ns0:c r="C797" s="12">
        <ns0:f>A797*('前提と出典'!$C$37+'前提と出典'!$C$38)</ns0:f>
        <ns0:v>475.79999999999995</ns0:v>
      </ns0:c>
      <ns0:c r="D797" s="16">
        <ns0:f>A797*('前提と出典'!$C$36*'契約別単価'!C5+'前提と出典'!$C$37*'契約別単価'!C6+'前提と出典'!$C$38*'契約別単価'!C7)</ns0:f>
        <ns0:v>5706.055865921788</ns0:v>
      </ns0:c>
      <ns0:c r="E797" s="16">
        <ns0:f>A797*('前提と出典'!$C$36*'契約別単価'!E5+'前提と出典'!$C$37*'契約別単価'!E6+'前提と出典'!$C$38*'契約別単価'!E7)</ns0:f>
        <ns0:v>1993501.2281300442</ns0:v>
      </ns0:c>
      <ns0:c r="F797" s="16">
        <ns0:f>A797*('前提と出典'!$C$36*'契約別単価'!F5+'前提と出典'!$C$37*'契約別単価'!F6+'前提と出典'!$C$38*'契約別単価'!F7)</ns0:f>
        <ns0:v>579260.5000639983</ns0:v>
      </ns0:c>
      <ns0:c r="G797" s="16">
        <ns0:f>A797*('前提と出典'!$C$36*'契約別単価'!G5+'前提と出典'!$C$37*'契約別単価'!G6+'前提と出典'!$C$38*'契約別単価'!G7)</ns0:f>
        <ns0:v>1578468.7150837989</ns0:v>
      </ns0:c>
      <ns0:c r="H797" s="16">
        <ns0:f>A797*('前提と出典'!$C$36*'契約別単価'!H5+'前提と出典'!$C$37*'契約別単価'!H6+'前提と出典'!$C$38*'契約別単価'!H7)</ns0:f>
        <ns0:v>547807.8105611857</ns0:v>
      </ns0:c>
      <ns0:c r="I797" s="16">
        <ns0:f>A797*('前提と出典'!$C$36*'契約別単価'!I5+'前提と出典'!$C$37*'契約別単価'!I6+'前提と出典'!$C$38*'契約別単価'!I7)</ns0:f>
        <ns0:v>33461.05586592178</ns0:v>
      </ns0:c>
      <ns0:c r="J797" s="16">
        <ns0:f>A797*('前提と出典'!$C$36*'契約別単価'!J5+'前提と出典'!$C$37*'契約別単価'!J6+'前提と出典'!$C$38*'契約別単価'!J7)</ns0:f>
        <ns0:v>77943.60816226994</ns0:v>
      </ns0:c>
      <ns0:c r="K797" s="16">
        <ns0:f>A797*('前提と出典'!$C$36*'契約別単価'!K5+'前提と出典'!$C$37*'契約別単価'!K6+'前提と出典'!$C$38*'契約別単価'!K7)</ns0:f>
        <ns0:v>334093.7057728119</ns0:v>
      </ns0:c>
      <ns0:c r="L797" s="16">
        <ns0:f>A797*('前提と出典'!$C$36*'契約別単価'!L5+'前提と出典'!$C$37*'契約別単価'!L6+'前提と出典'!$C$38*'契約別単価'!L7)</ns0:f>
        <ns0:v>272020.26035203954</ns0:v>
      </ns0:c>
      <ns0:c r="M797" s="16">
        <ns0:f>IF(('前提と出典'!$C$36+'前提と出典'!$C$38)=0,0,IF(B797&lt;=10,'前提と出典'!B73+'前提と出典'!C73,IF(B797&lt;=100,'前提と出典'!B74+'前提と出典'!C74,IF(B797&lt;=500,'前提と出典'!B75+'前提と出典'!C75,'前提と出典'!B76+'前提と出典'!C76))))</ns0:f>
        <ns0:v>80000</ns0:v>
      </ns0:c>
      <ns0:c r="N797" s="16">
        <ns0:f>IF(('前提と出典'!$C$37+'前提と出典'!$C$38)=0,0,IF(C797&lt;=10,'前提と出典'!D73+'前提と出典'!E73,IF(C797&lt;=100,'前提と出典'!D74+'前提と出典'!E74,IF(C797&lt;=500,'前提と出典'!D75+'前提と出典'!E75,'前提と出典'!D76+'前提と出典'!E76))))</ns0:f>
        <ns0:v>56510.9346263078</ns0:v>
      </ns0:c>
      <ns0:c r="O797" s="16">
        <ns0:f>IF('前提と出典'!$C$36+'前提と出典'!$C$38=0,0,'前提と出典'!$B$4*IF('前提と出典'!$B$20=0,MAX('前提と出典'!$B$6,D797*'前提と出典'!$B$5),'前提と出典'!$B$6+D797*'前提と出典'!$B$5))</ns0:f>
        <ns0:v>787435.7094972068</ns0:v>
      </ns0:c>
      <ns0:c r="P797" s="16">
        <ns0:f>(E797+G797)*(1-'前提と出典'!$B$7)-I797-K797-M797-O797</ns0:f>
        <ns0:v>2208388.554122204</ns0:v>
      </ns0:c>
      <ns0:c r="Q797" s="16">
        <ns0:f>(F797+H797)*(1-'前提と出典'!$B$7)-J797-L797-N797</ns0:f>
        <ns0:v>680019.04830206</ns0:v>
      </ns0:c>
      <ns0:c r="R797" s="16">
        <ns0:f>P797-E797*'前提と出典'!$E$4</ns0:f>
        <ns0:v>1610338.1856831904</ns0:v>
      </ns0:c>
      <ns0:c r="S797" s="16">
        <ns0:f>Q797-F797*'前提と出典'!$E$4</ns0:f>
        <ns0:v>506240.8982828604</ns0:v>
      </ns0:c>
      <ns0:c r="T797" s="7">
        <ns0:f>R797+S797</ns0:f>
        <ns0:v>2116579.0839660508</ns0:v>
      </ns0:c>
      <ns0:c r="U797" s="16">
        <ns0:f>P797-E797*'前提と出典'!$E$5</ns0:f>
        <ns0:v>1410988.0628701863</ns0:v>
      </ns0:c>
      <ns0:c r="V797" s="16">
        <ns0:f>Q797-F797*'前提と出典'!$E$5</ns0:f>
        <ns0:v>448314.8482764606</ns0:v>
      </ns0:c>
      <ns0:c r="W797" s="7">
        <ns0:f>U797+V797</ns0:f>
        <ns0:v>1859302.9111466468</ns0:v>
      </ns0:c>
      <ns0:c r="X797" s="16">
        <ns0:f>P797-E797*'前提と出典'!$E$6</ns0:f>
        <ns0:v>1211637.9400571813</ns0:v>
      </ns0:c>
      <ns0:c r="Y797" s="16">
        <ns0:f>Q797-F797*'前提と出典'!$E$6</ns0:f>
        <ns0:v>390388.79827006086</ns0:v>
      </ns0:c>
      <ns0:c r="Z797" s="7">
        <ns0:f>X797+Y797</ns0:f>
        <ns0:v>1602026.7383272422</ns0:v>
      </ns0:c>
      <ns0:c r="AA797" s="7">
        <ns0:f>IF(T797&gt;=0,A797,1001)</ns0:f>
        <ns0:v>793</ns0:v>
      </ns0:c>
      <ns0:c r="AB797" s="7">
        <ns0:f>IF(T797&lt;0,A797,0)</ns0:f>
        <ns0:v>0</ns0:v>
      </ns0:c>
      <ns0:c r="AC797" s="16">
        <ns0:f>IF(AND(OR('前提と出典'!$C$36+'前提と出典'!$C$38=0,R797&gt;=0),OR('前提と出典'!$C$37+'前提と出典'!$C$38=0,S797&gt;=0)),0,A797)</ns0:f>
        <ns0:v>0</ns0:v>
      </ns0:c>
      <ns0:c r="AD797" s="7">
        <ns0:f>IF(W797&gt;=0,A797,1001)</ns0:f>
        <ns0:v>793</ns0:v>
      </ns0:c>
      <ns0:c r="AE797" s="7">
        <ns0:f>IF(W797&lt;0,A797,0)</ns0:f>
        <ns0:v>0</ns0:v>
      </ns0:c>
      <ns0:c r="AF797" s="16">
        <ns0:f>IF(AND(OR('前提と出典'!$C$36+'前提と出典'!$C$38=0,U797&gt;=0),OR('前提と出典'!$C$37+'前提と出典'!$C$38=0,V797&gt;=0)),0,A797)</ns0:f>
        <ns0:v>0</ns0:v>
      </ns0:c>
      <ns0:c r="AG797" s="7">
        <ns0:f>IF(Z797&gt;=0,A797,1001)</ns0:f>
        <ns0:v>793</ns0:v>
      </ns0:c>
      <ns0:c r="AH797" s="4">
        <ns0:f>IF(Z797&lt;0,A797,0)</ns0:f>
        <ns0:v>0</ns0:v>
      </ns0:c>
      <ns0:c r="AI797" s="12">
        <ns0:f>IF(AND(OR('前提と出典'!$C$36+'前提と出典'!$C$38=0,X797&gt;=0),OR('前提と出典'!$C$37+'前提と出典'!$C$38=0,Y797&gt;=0)),0,A797)</ns0:f>
        <ns0:v>0</ns0:v>
      </ns0:c>
    </ns0:row>
    <ns0:row r="798" ht="24" customHeight="1">
      <ns0:c r="A798" s="4" t="n">
        <ns0:v>794</ns0:v>
      </ns0:c>
      <ns0:c r="B798" s="12">
        <ns0:f>A798*('前提と出典'!$C$36+'前提と出典'!$C$38)</ns0:f>
        <ns0:v>555.8</ns0:v>
      </ns0:c>
      <ns0:c r="C798" s="12">
        <ns0:f>A798*('前提と出典'!$C$37+'前提と出典'!$C$38)</ns0:f>
        <ns0:v>476.4</ns0:v>
      </ns0:c>
      <ns0:c r="D798" s="16">
        <ns0:f>A798*('前提と出典'!$C$36*'契約別単価'!C5+'前提と出典'!$C$37*'契約別単価'!C6+'前提と出典'!$C$38*'契約別単価'!C7)</ns0:f>
        <ns0:v>5713.251396648045</ns0:v>
      </ns0:c>
      <ns0:c r="E798" s="16">
        <ns0:f>A798*('前提と出典'!$C$36*'契約別単価'!E5+'前提と出典'!$C$37*'契約別単価'!E6+'前提と出典'!$C$38*'契約別単価'!E7)</ns0:f>
        <ns0:v>1996015.1010532852</ns0:v>
      </ns0:c>
      <ns0:c r="F798" s="16">
        <ns0:f>A798*('前提と出典'!$C$36*'契約別単価'!F5+'前提と出典'!$C$37*'契約別単価'!F6+'前提と出典'!$C$38*'契約別単価'!F7)</ns0:f>
        <ns0:v>579990.9672771938</ns0:v>
      </ns0:c>
      <ns0:c r="G798" s="16">
        <ns0:f>A798*('前提と出典'!$C$36*'契約別単価'!G5+'前提と出典'!$C$37*'契約別単価'!G6+'前提と出典'!$C$38*'契約別単価'!G7)</ns0:f>
        <ns0:v>1580459.2178770949</ns0:v>
      </ns0:c>
      <ns0:c r="H798" s="16">
        <ns0:f>A798*('前提と出典'!$C$36*'契約別単価'!H5+'前提と出典'!$C$37*'契約別単価'!H6+'前提と出典'!$C$38*'契約別単価'!H7)</ns0:f>
        <ns0:v>548498.6148620194</ns0:v>
      </ns0:c>
      <ns0:c r="I798" s="16">
        <ns0:f>A798*('前提と出典'!$C$36*'契約別単価'!I5+'前提と出典'!$C$37*'契約別単価'!I6+'前提と出典'!$C$38*'契約別単価'!I7)</ns0:f>
        <ns0:v>33503.25139664804</ns0:v>
      </ns0:c>
      <ns0:c r="J798" s="16">
        <ns0:f>A798*('前提と出典'!$C$36*'契約別単価'!J5+'前提と出典'!$C$37*'契約別単価'!J6+'前提と出典'!$C$38*'契約別単価'!J7)</ns0:f>
        <ns0:v>78041.89770598024</ns0:v>
      </ns0:c>
      <ns0:c r="K798" s="16">
        <ns0:f>A798*('前提と出典'!$C$36*'契約別単価'!K5+'前提と出典'!$C$37*'契約別単価'!K6+'前提と出典'!$C$38*'契約別単価'!K7)</ns0:f>
        <ns0:v>334515.00931098696</ns0:v>
      </ns0:c>
      <ns0:c r="L798" s="16">
        <ns0:f>A798*('前提と出典'!$C$36*'契約別単価'!L5+'前提と出典'!$C$37*'契約別単価'!L6+'前提と出典'!$C$38*'契約別単価'!L7)</ns0:f>
        <ns0:v>272363.2871620673</ns0:v>
      </ns0:c>
      <ns0:c r="M798" s="16">
        <ns0:f>IF(('前提と出典'!$C$36+'前提と出典'!$C$38)=0,0,IF(B798&lt;=10,'前提と出典'!B73+'前提と出典'!C73,IF(B798&lt;=100,'前提と出典'!B74+'前提と出典'!C74,IF(B798&lt;=500,'前提と出典'!B75+'前提と出典'!C75,'前提と出典'!B76+'前提と出典'!C76))))</ns0:f>
        <ns0:v>80000</ns0:v>
      </ns0:c>
      <ns0:c r="N798" s="16">
        <ns0:f>IF(('前提と出典'!$C$37+'前提と出典'!$C$38)=0,0,IF(C798&lt;=10,'前提と出典'!D73+'前提と出典'!E73,IF(C798&lt;=100,'前提と出典'!D74+'前提と出典'!E74,IF(C798&lt;=500,'前提と出典'!D75+'前提と出典'!E75,'前提と出典'!D76+'前提と出典'!E76))))</ns0:f>
        <ns0:v>56510.9346263078</ns0:v>
      </ns0:c>
      <ns0:c r="O798" s="16">
        <ns0:f>IF('前提と出典'!$C$36+'前提と出典'!$C$38=0,0,'前提と出典'!$B$4*IF('前提と出典'!$B$20=0,MAX('前提と出典'!$B$6,D798*'前提と出典'!$B$5),'前提と出典'!$B$6+D798*'前提と出典'!$B$5))</ns0:f>
        <ns0:v>788428.6927374301</ns0:v>
      </ns0:c>
      <ns0:c r="P798" s="16">
        <ns0:f>(E798+G798)*(1-'前提と出典'!$B$7)-I798-K798-M798-O798</ns0:f>
        <ns0:v>2211274.2900038213</ns0:v>
      </ns0:c>
      <ns0:c r="Q798" s="16">
        <ns0:f>(F798+H798)*(1-'前提と出典'!$B$7)-J798-L798-N798</ns0:f>
        <ns0:v>680947.837687846</ns0:v>
      </ns0:c>
      <ns0:c r="R798" s="16">
        <ns0:f>P798-E798*'前提と出典'!$E$4</ns0:f>
        <ns0:v>1612469.759687836</ns0:v>
      </ns0:c>
      <ns0:c r="S798" s="16">
        <ns0:f>Q798-F798*'前提と出典'!$E$4</ns0:f>
        <ns0:v>506950.5475046879</ns0:v>
      </ns0:c>
      <ns0:c r="T798" s="7">
        <ns0:f>R798+S798</ns0:f>
        <ns0:v>2119420.307192524</ns0:v>
      </ns0:c>
      <ns0:c r="U798" s="16">
        <ns0:f>P798-E798*'前提と出典'!$E$5</ns0:f>
        <ns0:v>1412868.2495825074</ns0:v>
      </ns0:c>
      <ns0:c r="V798" s="16">
        <ns0:f>Q798-F798*'前提と出典'!$E$5</ns0:f>
        <ns0:v>448951.45077696856</ns0:v>
      </ns0:c>
      <ns0:c r="W798" s="7">
        <ns0:f>U798+V798</ns0:f>
        <ns0:v>1861819.700359476</ns0:v>
      </ns0:c>
      <ns0:c r="X798" s="16">
        <ns0:f>P798-E798*'前提と出典'!$E$6</ns0:f>
        <ns0:v>1213266.7394771788</ns0:v>
      </ns0:c>
      <ns0:c r="Y798" s="16">
        <ns0:f>Q798-F798*'前提と出典'!$E$6</ns0:f>
        <ns0:v>390952.35404924914</ns0:v>
      </ns0:c>
      <ns0:c r="Z798" s="7">
        <ns0:f>X798+Y798</ns0:f>
        <ns0:v>1604219.0935264279</ns0:v>
      </ns0:c>
      <ns0:c r="AA798" s="7">
        <ns0:f>IF(T798&gt;=0,A798,1001)</ns0:f>
        <ns0:v>794</ns0:v>
      </ns0:c>
      <ns0:c r="AB798" s="7">
        <ns0:f>IF(T798&lt;0,A798,0)</ns0:f>
        <ns0:v>0</ns0:v>
      </ns0:c>
      <ns0:c r="AC798" s="16">
        <ns0:f>IF(AND(OR('前提と出典'!$C$36+'前提と出典'!$C$38=0,R798&gt;=0),OR('前提と出典'!$C$37+'前提と出典'!$C$38=0,S798&gt;=0)),0,A798)</ns0:f>
        <ns0:v>0</ns0:v>
      </ns0:c>
      <ns0:c r="AD798" s="7">
        <ns0:f>IF(W798&gt;=0,A798,1001)</ns0:f>
        <ns0:v>794</ns0:v>
      </ns0:c>
      <ns0:c r="AE798" s="7">
        <ns0:f>IF(W798&lt;0,A798,0)</ns0:f>
        <ns0:v>0</ns0:v>
      </ns0:c>
      <ns0:c r="AF798" s="16">
        <ns0:f>IF(AND(OR('前提と出典'!$C$36+'前提と出典'!$C$38=0,U798&gt;=0),OR('前提と出典'!$C$37+'前提と出典'!$C$38=0,V798&gt;=0)),0,A798)</ns0:f>
        <ns0:v>0</ns0:v>
      </ns0:c>
      <ns0:c r="AG798" s="7">
        <ns0:f>IF(Z798&gt;=0,A798,1001)</ns0:f>
        <ns0:v>794</ns0:v>
      </ns0:c>
      <ns0:c r="AH798" s="4">
        <ns0:f>IF(Z798&lt;0,A798,0)</ns0:f>
        <ns0:v>0</ns0:v>
      </ns0:c>
      <ns0:c r="AI798" s="12">
        <ns0:f>IF(AND(OR('前提と出典'!$C$36+'前提と出典'!$C$38=0,X798&gt;=0),OR('前提と出典'!$C$37+'前提と出典'!$C$38=0,Y798&gt;=0)),0,A798)</ns0:f>
        <ns0:v>0</ns0:v>
      </ns0:c>
    </ns0:row>
    <ns0:row r="799" ht="24" customHeight="1">
      <ns0:c r="A799" s="4" t="n">
        <ns0:v>795</ns0:v>
      </ns0:c>
      <ns0:c r="B799" s="12">
        <ns0:f>A799*('前提と出典'!$C$36+'前提と出典'!$C$38)</ns0:f>
        <ns0:v>556.5</ns0:v>
      </ns0:c>
      <ns0:c r="C799" s="12">
        <ns0:f>A799*('前提と出典'!$C$37+'前提と出典'!$C$38)</ns0:f>
        <ns0:v>477</ns0:v>
      </ns0:c>
      <ns0:c r="D799" s="16">
        <ns0:f>A799*('前提と出典'!$C$36*'契約別単価'!C5+'前提と出典'!$C$37*'契約別単価'!C6+'前提と出典'!$C$38*'契約別単価'!C7)</ns0:f>
        <ns0:v>5720.446927374302</ns0:v>
      </ns0:c>
      <ns0:c r="E799" s="16">
        <ns0:f>A799*('前提と出典'!$C$36*'契約別単価'!E5+'前提と出典'!$C$37*'契約別単価'!E6+'前提と出典'!$C$38*'契約別単価'!E7)</ns0:f>
        <ns0:v>1998528.973976526</ns0:v>
      </ns0:c>
      <ns0:c r="F799" s="16">
        <ns0:f>A799*('前提と出典'!$C$36*'契約別単価'!F5+'前提と出典'!$C$37*'契約別単価'!F6+'前提と出典'!$C$38*'契約別単価'!F7)</ns0:f>
        <ns0:v>580721.4344903892</ns0:v>
      </ns0:c>
      <ns0:c r="G799" s="16">
        <ns0:f>A799*('前提と出典'!$C$36*'契約別単価'!G5+'前提と出典'!$C$37*'契約別単価'!G6+'前提と出典'!$C$38*'契約別単価'!G7)</ns0:f>
        <ns0:v>1582449.7206703909</ns0:v>
      </ns0:c>
      <ns0:c r="H799" s="16">
        <ns0:f>A799*('前提と出典'!$C$36*'契約別単価'!H5+'前提と出典'!$C$37*'契約別単価'!H6+'前提と出典'!$C$38*'契約別単価'!H7)</ns0:f>
        <ns0:v>549189.4191628533</ns0:v>
      </ns0:c>
      <ns0:c r="I799" s="16">
        <ns0:f>A799*('前提と出典'!$C$36*'契約別単価'!I5+'前提と出典'!$C$37*'契約別単価'!I6+'前提と出典'!$C$38*'契約別単価'!I7)</ns0:f>
        <ns0:v>33545.446927374294</ns0:v>
      </ns0:c>
      <ns0:c r="J799" s="16">
        <ns0:f>A799*('前提と出典'!$C$36*'契約別単価'!J5+'前提と出典'!$C$37*'契約別単価'!J6+'前提と出典'!$C$38*'契約別単価'!J7)</ns0:f>
        <ns0:v>78140.18724969054</ns0:v>
      </ns0:c>
      <ns0:c r="K799" s="16">
        <ns0:f>A799*('前提と出典'!$C$36*'契約別単価'!K5+'前提と出典'!$C$37*'契約別単価'!K6+'前提と出典'!$C$38*'契約別単価'!K7)</ns0:f>
        <ns0:v>334936.312849162</ns0:v>
      </ns0:c>
      <ns0:c r="L799" s="16">
        <ns0:f>A799*('前提と出典'!$C$36*'契約別単価'!L5+'前提と出典'!$C$37*'契約別単価'!L6+'前提と出典'!$C$38*'契約別単価'!L7)</ns0:f>
        <ns0:v>272706.3139720951</ns0:v>
      </ns0:c>
      <ns0:c r="M799" s="16">
        <ns0:f>IF(('前提と出典'!$C$36+'前提と出典'!$C$38)=0,0,IF(B799&lt;=10,'前提と出典'!B73+'前提と出典'!C73,IF(B799&lt;=100,'前提と出典'!B74+'前提と出典'!C74,IF(B799&lt;=500,'前提と出典'!B75+'前提と出典'!C75,'前提と出典'!B76+'前提と出典'!C76))))</ns0:f>
        <ns0:v>80000</ns0:v>
      </ns0:c>
      <ns0:c r="N799" s="16">
        <ns0:f>IF(('前提と出典'!$C$37+'前提と出典'!$C$38)=0,0,IF(C799&lt;=10,'前提と出典'!D73+'前提と出典'!E73,IF(C799&lt;=100,'前提と出典'!D74+'前提と出典'!E74,IF(C799&lt;=500,'前提と出典'!D75+'前提と出典'!E75,'前提と出典'!D76+'前提と出典'!E76))))</ns0:f>
        <ns0:v>56510.9346263078</ns0:v>
      </ns0:c>
      <ns0:c r="O799" s="16">
        <ns0:f>IF('前提と出典'!$C$36+'前提と出典'!$C$38=0,0,'前提と出典'!$B$4*IF('前提と出典'!$B$20=0,MAX('前提と出典'!$B$6,D799*'前提と出典'!$B$5),'前提と出典'!$B$6+D799*'前提と出典'!$B$5))</ns0:f>
        <ns0:v>789421.6759776536</ns0:v>
      </ns0:c>
      <ns0:c r="P799" s="16">
        <ns0:f>(E799+G799)*(1-'前提と出典'!$B$7)-I799-K799-M799-O799</ns0:f>
        <ns0:v>2214160.0258854376</ns0:v>
      </ns0:c>
      <ns0:c r="Q799" s="16">
        <ns0:f>(F799+H799)*(1-'前提と出典'!$B$7)-J799-L799-N799</ns0:f>
        <ns0:v>681876.6270736323</ns0:v>
      </ns0:c>
      <ns0:c r="R799" s="16">
        <ns0:f>P799-E799*'前提と出典'!$E$4</ns0:f>
        <ns0:v>1614601.33369248</ns0:v>
      </ns0:c>
      <ns0:c r="S799" s="16">
        <ns0:f>Q799-F799*'前提と出典'!$E$4</ns0:f>
        <ns0:v>507660.1967265154</ns0:v>
      </ns0:c>
      <ns0:c r="T799" s="7">
        <ns0:f>R799+S799</ns0:f>
        <ns0:v>2122261.530418996</ns0:v>
      </ns0:c>
      <ns0:c r="U799" s="16">
        <ns0:f>P799-E799*'前提と出典'!$E$5</ns0:f>
        <ns0:v>1414748.4362948274</ns0:v>
      </ns0:c>
      <ns0:c r="V799" s="16">
        <ns0:f>Q799-F799*'前提と出典'!$E$5</ns0:f>
        <ns0:v>449588.05327747663</ns0:v>
      </ns0:c>
      <ns0:c r="W799" s="7">
        <ns0:f>U799+V799</ns0:f>
        <ns0:v>1864336.489572304</ns0:v>
      </ns0:c>
      <ns0:c r="X799" s="16">
        <ns0:f>P799-E799*'前提と出典'!$E$6</ns0:f>
        <ns0:v>1214895.5388971753</ns0:v>
      </ns0:c>
      <ns0:c r="Y799" s="16">
        <ns0:f>Q799-F799*'前提と出典'!$E$6</ns0:f>
        <ns0:v>391515.90982843767</ns0:v>
      </ns0:c>
      <ns0:c r="Z799" s="7">
        <ns0:f>X799+Y799</ns0:f>
        <ns0:v>1606411.448725613</ns0:v>
      </ns0:c>
      <ns0:c r="AA799" s="7">
        <ns0:f>IF(T799&gt;=0,A799,1001)</ns0:f>
        <ns0:v>795</ns0:v>
      </ns0:c>
      <ns0:c r="AB799" s="7">
        <ns0:f>IF(T799&lt;0,A799,0)</ns0:f>
        <ns0:v>0</ns0:v>
      </ns0:c>
      <ns0:c r="AC799" s="16">
        <ns0:f>IF(AND(OR('前提と出典'!$C$36+'前提と出典'!$C$38=0,R799&gt;=0),OR('前提と出典'!$C$37+'前提と出典'!$C$38=0,S799&gt;=0)),0,A799)</ns0:f>
        <ns0:v>0</ns0:v>
      </ns0:c>
      <ns0:c r="AD799" s="7">
        <ns0:f>IF(W799&gt;=0,A799,1001)</ns0:f>
        <ns0:v>795</ns0:v>
      </ns0:c>
      <ns0:c r="AE799" s="7">
        <ns0:f>IF(W799&lt;0,A799,0)</ns0:f>
        <ns0:v>0</ns0:v>
      </ns0:c>
      <ns0:c r="AF799" s="16">
        <ns0:f>IF(AND(OR('前提と出典'!$C$36+'前提と出典'!$C$38=0,U799&gt;=0),OR('前提と出典'!$C$37+'前提と出典'!$C$38=0,V799&gt;=0)),0,A799)</ns0:f>
        <ns0:v>0</ns0:v>
      </ns0:c>
      <ns0:c r="AG799" s="7">
        <ns0:f>IF(Z799&gt;=0,A799,1001)</ns0:f>
        <ns0:v>795</ns0:v>
      </ns0:c>
      <ns0:c r="AH799" s="4">
        <ns0:f>IF(Z799&lt;0,A799,0)</ns0:f>
        <ns0:v>0</ns0:v>
      </ns0:c>
      <ns0:c r="AI799" s="12">
        <ns0:f>IF(AND(OR('前提と出典'!$C$36+'前提と出典'!$C$38=0,X799&gt;=0),OR('前提と出典'!$C$37+'前提と出典'!$C$38=0,Y799&gt;=0)),0,A799)</ns0:f>
        <ns0:v>0</ns0:v>
      </ns0:c>
    </ns0:row>
    <ns0:row r="800" ht="24" customHeight="1">
      <ns0:c r="A800" s="4" t="n">
        <ns0:v>796</ns0:v>
      </ns0:c>
      <ns0:c r="B800" s="12">
        <ns0:f>A800*('前提と出典'!$C$36+'前提と出典'!$C$38)</ns0:f>
        <ns0:v>557.1999999999999</ns0:v>
      </ns0:c>
      <ns0:c r="C800" s="12">
        <ns0:f>A800*('前提と出典'!$C$37+'前提と出典'!$C$38)</ns0:f>
        <ns0:v>477.59999999999997</ns0:v>
      </ns0:c>
      <ns0:c r="D800" s="16">
        <ns0:f>A800*('前提と出典'!$C$36*'契約別単価'!C5+'前提と出典'!$C$37*'契約別単価'!C6+'前提と出典'!$C$38*'契約別単価'!C7)</ns0:f>
        <ns0:v>5727.6424581005585</ns0:v>
      </ns0:c>
      <ns0:c r="E800" s="16">
        <ns0:f>A800*('前提と出典'!$C$36*'契約別単価'!E5+'前提と出典'!$C$37*'契約別単価'!E6+'前提と出典'!$C$38*'契約別単価'!E7)</ns0:f>
        <ns0:v>2001042.846899767</ns0:v>
      </ns0:c>
      <ns0:c r="F800" s="16">
        <ns0:f>A800*('前提と出典'!$C$36*'契約別単価'!F5+'前提と出典'!$C$37*'契約別単価'!F6+'前提と出典'!$C$38*'契約別単価'!F7)</ns0:f>
        <ns0:v>581451.9017035847</ns0:v>
      </ns0:c>
      <ns0:c r="G800" s="16">
        <ns0:f>A800*('前提と出典'!$C$36*'契約別単価'!G5+'前提と出典'!$C$37*'契約別単価'!G6+'前提と出典'!$C$38*'契約別単価'!G7)</ns0:f>
        <ns0:v>1584440.223463687</ns0:v>
      </ns0:c>
      <ns0:c r="H800" s="16">
        <ns0:f>A800*('前提と出典'!$C$36*'契約別単価'!H5+'前提と出典'!$C$37*'契約別単価'!H6+'前提と出典'!$C$38*'契約別単価'!H7)</ns0:f>
        <ns0:v>549880.223463687</ns0:v>
      </ns0:c>
      <ns0:c r="I800" s="16">
        <ns0:f>A800*('前提と出典'!$C$36*'契約別単価'!I5+'前提と出典'!$C$37*'契約別単価'!I6+'前提と出典'!$C$38*'契約別単価'!I7)</ns0:f>
        <ns0:v>33587.642458100556</ns0:v>
      </ns0:c>
      <ns0:c r="J800" s="16">
        <ns0:f>A800*('前提と出典'!$C$36*'契約別単価'!J5+'前提と出典'!$C$37*'契約別単価'!J6+'前提と出典'!$C$38*'契約別単価'!J7)</ns0:f>
        <ns0:v>78238.47679340084</ns0:v>
      </ns0:c>
      <ns0:c r="K800" s="16">
        <ns0:f>A800*('前提と出典'!$C$36*'契約別単価'!K5+'前提と出典'!$C$37*'契約別単価'!K6+'前提と出典'!$C$38*'契約別単価'!K7)</ns0:f>
        <ns0:v>335357.61638733704</ns0:v>
      </ns0:c>
      <ns0:c r="L800" s="16">
        <ns0:f>A800*('前提と出典'!$C$36*'契約別単価'!L5+'前提と出典'!$C$37*'契約別単価'!L6+'前提と出典'!$C$38*'契約別単価'!L7)</ns0:f>
        <ns0:v>273049.3407821229</ns0:v>
      </ns0:c>
      <ns0:c r="M800" s="16">
        <ns0:f>IF(('前提と出典'!$C$36+'前提と出典'!$C$38)=0,0,IF(B800&lt;=10,'前提と出典'!B73+'前提と出典'!C73,IF(B800&lt;=100,'前提と出典'!B74+'前提と出典'!C74,IF(B800&lt;=500,'前提と出典'!B75+'前提と出典'!C75,'前提と出典'!B76+'前提と出典'!C76))))</ns0:f>
        <ns0:v>80000</ns0:v>
      </ns0:c>
      <ns0:c r="N800" s="16">
        <ns0:f>IF(('前提と出典'!$C$37+'前提と出典'!$C$38)=0,0,IF(C800&lt;=10,'前提と出典'!D73+'前提と出典'!E73,IF(C800&lt;=100,'前提と出典'!D74+'前提と出典'!E74,IF(C800&lt;=500,'前提と出典'!D75+'前提と出典'!E75,'前提と出典'!D76+'前提と出典'!E76))))</ns0:f>
        <ns0:v>56510.9346263078</ns0:v>
      </ns0:c>
      <ns0:c r="O800" s="16">
        <ns0:f>IF('前提と出典'!$C$36+'前提と出典'!$C$38=0,0,'前提と出典'!$B$4*IF('前提と出典'!$B$20=0,MAX('前提と出典'!$B$6,D800*'前提と出典'!$B$5),'前提と出典'!$B$6+D800*'前提と出典'!$B$5))</ns0:f>
        <ns0:v>790414.6592178771</ns0:v>
      </ns0:c>
      <ns0:c r="P800" s="16">
        <ns0:f>(E800+G800)*(1-'前提と出典'!$B$7)-I800-K800-M800-O800</ns0:f>
        <ns0:v>2217045.761767055</ns0:v>
      </ns0:c>
      <ns0:c r="Q800" s="16">
        <ns0:f>(F800+H800)*(1-'前提と出典'!$B$7)-J800-L800-N800</ns0:f>
        <ns0:v>682805.4164594184</ns0:v>
      </ns0:c>
      <ns0:c r="R800" s="16">
        <ns0:f>P800-E800*'前提と出典'!$E$4</ns0:f>
        <ns0:v>1616732.907697125</ns0:v>
      </ns0:c>
      <ns0:c r="S800" s="16">
        <ns0:f>Q800-F800*'前提と出典'!$E$4</ns0:f>
        <ns0:v>508369.8459483428</ns0:v>
      </ns0:c>
      <ns0:c r="T800" s="7">
        <ns0:f>R800+S800</ns0:f>
        <ns0:v>2125102.753645468</ns0:v>
      </ns0:c>
      <ns0:c r="U800" s="16">
        <ns0:f>P800-E800*'前提と出典'!$E$5</ns0:f>
        <ns0:v>1416628.6230071483</ns0:v>
      </ns0:c>
      <ns0:c r="V800" s="16">
        <ns0:f>Q800-F800*'前提と出典'!$E$5</ns0:f>
        <ns0:v>450224.6557779844</ns0:v>
      </ns0:c>
      <ns0:c r="W800" s="7">
        <ns0:f>U800+V800</ns0:f>
        <ns0:v>1866853.2787851328</ns0:v>
      </ns0:c>
      <ns0:c r="X800" s="16">
        <ns0:f>P800-E800*'前提と出典'!$E$6</ns0:f>
        <ns0:v>1216524.3383171714</ns0:v>
      </ns0:c>
      <ns0:c r="Y800" s="16">
        <ns0:f>Q800-F800*'前提と出典'!$E$6</ns0:f>
        <ns0:v>392079.4656076259</ns0:v>
      </ns0:c>
      <ns0:c r="Z800" s="7">
        <ns0:f>X800+Y800</ns0:f>
        <ns0:v>1608603.8039247973</ns0:v>
      </ns0:c>
      <ns0:c r="AA800" s="7">
        <ns0:f>IF(T800&gt;=0,A800,1001)</ns0:f>
        <ns0:v>796</ns0:v>
      </ns0:c>
      <ns0:c r="AB800" s="7">
        <ns0:f>IF(T800&lt;0,A800,0)</ns0:f>
        <ns0:v>0</ns0:v>
      </ns0:c>
      <ns0:c r="AC800" s="16">
        <ns0:f>IF(AND(OR('前提と出典'!$C$36+'前提と出典'!$C$38=0,R800&gt;=0),OR('前提と出典'!$C$37+'前提と出典'!$C$38=0,S800&gt;=0)),0,A800)</ns0:f>
        <ns0:v>0</ns0:v>
      </ns0:c>
      <ns0:c r="AD800" s="7">
        <ns0:f>IF(W800&gt;=0,A800,1001)</ns0:f>
        <ns0:v>796</ns0:v>
      </ns0:c>
      <ns0:c r="AE800" s="7">
        <ns0:f>IF(W800&lt;0,A800,0)</ns0:f>
        <ns0:v>0</ns0:v>
      </ns0:c>
      <ns0:c r="AF800" s="16">
        <ns0:f>IF(AND(OR('前提と出典'!$C$36+'前提と出典'!$C$38=0,U800&gt;=0),OR('前提と出典'!$C$37+'前提と出典'!$C$38=0,V800&gt;=0)),0,A800)</ns0:f>
        <ns0:v>0</ns0:v>
      </ns0:c>
      <ns0:c r="AG800" s="7">
        <ns0:f>IF(Z800&gt;=0,A800,1001)</ns0:f>
        <ns0:v>796</ns0:v>
      </ns0:c>
      <ns0:c r="AH800" s="4">
        <ns0:f>IF(Z800&lt;0,A800,0)</ns0:f>
        <ns0:v>0</ns0:v>
      </ns0:c>
      <ns0:c r="AI800" s="12">
        <ns0:f>IF(AND(OR('前提と出典'!$C$36+'前提と出典'!$C$38=0,X800&gt;=0),OR('前提と出典'!$C$37+'前提と出典'!$C$38=0,Y800&gt;=0)),0,A800)</ns0:f>
        <ns0:v>0</ns0:v>
      </ns0:c>
    </ns0:row>
    <ns0:row r="801" ht="24" customHeight="1">
      <ns0:c r="A801" s="4" t="n">
        <ns0:v>797</ns0:v>
      </ns0:c>
      <ns0:c r="B801" s="12">
        <ns0:f>A801*('前提と出典'!$C$36+'前提と出典'!$C$38)</ns0:f>
        <ns0:v>557.9</ns0:v>
      </ns0:c>
      <ns0:c r="C801" s="12">
        <ns0:f>A801*('前提と出典'!$C$37+'前提と出典'!$C$38)</ns0:f>
        <ns0:v>478.2</ns0:v>
      </ns0:c>
      <ns0:c r="D801" s="16">
        <ns0:f>A801*('前提と出典'!$C$36*'契約別単価'!C5+'前提と出典'!$C$37*'契約別単価'!C6+'前提と出典'!$C$38*'契約別単価'!C7)</ns0:f>
        <ns0:v>5734.8379888268155</ns0:v>
      </ns0:c>
      <ns0:c r="E801" s="16">
        <ns0:f>A801*('前提と出典'!$C$36*'契約別単価'!E5+'前提と出典'!$C$37*'契約別単価'!E6+'前提と出典'!$C$38*'契約別単価'!E7)</ns0:f>
        <ns0:v>2003556.719823008</ns0:v>
      </ns0:c>
      <ns0:c r="F801" s="16">
        <ns0:f>A801*('前提と出典'!$C$36*'契約別単価'!F5+'前提と出典'!$C$37*'契約別単価'!F6+'前提と出典'!$C$38*'契約別単価'!F7)</ns0:f>
        <ns0:v>582182.3689167801</ns0:v>
      </ns0:c>
      <ns0:c r="G801" s="16">
        <ns0:f>A801*('前提と出典'!$C$36*'契約別単価'!G5+'前提と出典'!$C$37*'契約別単価'!G6+'前提と出典'!$C$38*'契約別単価'!G7)</ns0:f>
        <ns0:v>1586430.7262569831</ns0:v>
      </ns0:c>
      <ns0:c r="H801" s="16">
        <ns0:f>A801*('前提と出典'!$C$36*'契約別単価'!H5+'前提と出典'!$C$37*'契約別単価'!H6+'前提と出典'!$C$38*'契約別単価'!H7)</ns0:f>
        <ns0:v>550571.0277645208</ns0:v>
      </ns0:c>
      <ns0:c r="I801" s="16">
        <ns0:f>A801*('前提と出典'!$C$36*'契約別単価'!I5+'前提と出典'!$C$37*'契約別単価'!I6+'前提と出典'!$C$38*'契約別単価'!I7)</ns0:f>
        <ns0:v>33629.83798882681</ns0:v>
      </ns0:c>
      <ns0:c r="J801" s="16">
        <ns0:f>A801*('前提と出典'!$C$36*'契約別単価'!J5+'前提と出典'!$C$37*'契約別単価'!J6+'前提と出典'!$C$38*'契約別単価'!J7)</ns0:f>
        <ns0:v>78336.76633711114</ns0:v>
      </ns0:c>
      <ns0:c r="K801" s="16">
        <ns0:f>A801*('前提と出典'!$C$36*'契約別単価'!K5+'前提と出典'!$C$37*'契約別単価'!K6+'前提と出典'!$C$38*'契約別単価'!K7)</ns0:f>
        <ns0:v>335778.9199255121</ns0:v>
      </ns0:c>
      <ns0:c r="L801" s="16">
        <ns0:f>A801*('前提と出典'!$C$36*'契約別単価'!L5+'前提と出典'!$C$37*'契約別単価'!L6+'前提と出典'!$C$38*'契約別単価'!L7)</ns0:f>
        <ns0:v>273392.3675921507</ns0:v>
      </ns0:c>
      <ns0:c r="M801" s="16">
        <ns0:f>IF(('前提と出典'!$C$36+'前提と出典'!$C$38)=0,0,IF(B801&lt;=10,'前提と出典'!B73+'前提と出典'!C73,IF(B801&lt;=100,'前提と出典'!B74+'前提と出典'!C74,IF(B801&lt;=500,'前提と出典'!B75+'前提と出典'!C75,'前提と出典'!B76+'前提と出典'!C76))))</ns0:f>
        <ns0:v>80000</ns0:v>
      </ns0:c>
      <ns0:c r="N801" s="16">
        <ns0:f>IF(('前提と出典'!$C$37+'前提と出典'!$C$38)=0,0,IF(C801&lt;=10,'前提と出典'!D73+'前提と出典'!E73,IF(C801&lt;=100,'前提と出典'!D74+'前提と出典'!E74,IF(C801&lt;=500,'前提と出典'!D75+'前提と出典'!E75,'前提と出典'!D76+'前提と出典'!E76))))</ns0:f>
        <ns0:v>56510.9346263078</ns0:v>
      </ns0:c>
      <ns0:c r="O801" s="16">
        <ns0:f>IF('前提と出典'!$C$36+'前提と出典'!$C$38=0,0,'前提と出典'!$B$4*IF('前提と出典'!$B$20=0,MAX('前提と出典'!$B$6,D801*'前提と出典'!$B$5),'前提と出典'!$B$6+D801*'前提と出典'!$B$5))</ns0:f>
        <ns0:v>791407.6424581006</ns0:v>
      </ns0:c>
      <ns0:c r="P801" s="16">
        <ns0:f>(E801+G801)*(1-'前提と出典'!$B$7)-I801-K801-M801-O801</ns0:f>
        <ns0:v>2219931.4976486713</ns0:v>
      </ns0:c>
      <ns0:c r="Q801" s="16">
        <ns0:f>(F801+H801)*(1-'前提と出典'!$B$7)-J801-L801-N801</ns0:f>
        <ns0:v>683734.2058452044</ns0:v>
      </ns0:c>
      <ns0:c r="R801" s="16">
        <ns0:f>P801-E801*'前提と出典'!$E$4</ns0:f>
        <ns0:v>1618864.4817017692</ns0:v>
      </ns0:c>
      <ns0:c r="S801" s="16">
        <ns0:f>Q801-F801*'前提と出典'!$E$4</ns0:f>
        <ns0:v>509079.49517017044</ns0:v>
      </ns0:c>
      <ns0:c r="T801" s="7">
        <ns0:f>R801+S801</ns0:f>
        <ns0:v>2127943.9768719394</ns0:v>
      </ns0:c>
      <ns0:c r="U801" s="16">
        <ns0:f>P801-E801*'前提と出典'!$E$5</ns0:f>
        <ns0:v>1418508.8097194682</ns0:v>
      </ns0:c>
      <ns0:c r="V801" s="16">
        <ns0:f>Q801-F801*'前提と出典'!$E$5</ns0:f>
        <ns0:v>450861.2582784924</ns0:v>
      </ns0:c>
      <ns0:c r="W801" s="7">
        <ns0:f>U801+V801</ns0:f>
        <ns0:v>1869370.0679979606</ns0:v>
      </ns0:c>
      <ns0:c r="X801" s="16">
        <ns0:f>P801-E801*'前提と出典'!$E$6</ns0:f>
        <ns0:v>1218153.1377371675</ns0:v>
      </ns0:c>
      <ns0:c r="Y801" s="16">
        <ns0:f>Q801-F801*'前提と出典'!$E$6</ns0:f>
        <ns0:v>392643.0213868143</ns0:v>
      </ns0:c>
      <ns0:c r="Z801" s="7">
        <ns0:f>X801+Y801</ns0:f>
        <ns0:v>1610796.1591239818</ns0:v>
      </ns0:c>
      <ns0:c r="AA801" s="7">
        <ns0:f>IF(T801&gt;=0,A801,1001)</ns0:f>
        <ns0:v>797</ns0:v>
      </ns0:c>
      <ns0:c r="AB801" s="7">
        <ns0:f>IF(T801&lt;0,A801,0)</ns0:f>
        <ns0:v>0</ns0:v>
      </ns0:c>
      <ns0:c r="AC801" s="16">
        <ns0:f>IF(AND(OR('前提と出典'!$C$36+'前提と出典'!$C$38=0,R801&gt;=0),OR('前提と出典'!$C$37+'前提と出典'!$C$38=0,S801&gt;=0)),0,A801)</ns0:f>
        <ns0:v>0</ns0:v>
      </ns0:c>
      <ns0:c r="AD801" s="7">
        <ns0:f>IF(W801&gt;=0,A801,1001)</ns0:f>
        <ns0:v>797</ns0:v>
      </ns0:c>
      <ns0:c r="AE801" s="7">
        <ns0:f>IF(W801&lt;0,A801,0)</ns0:f>
        <ns0:v>0</ns0:v>
      </ns0:c>
      <ns0:c r="AF801" s="16">
        <ns0:f>IF(AND(OR('前提と出典'!$C$36+'前提と出典'!$C$38=0,U801&gt;=0),OR('前提と出典'!$C$37+'前提と出典'!$C$38=0,V801&gt;=0)),0,A801)</ns0:f>
        <ns0:v>0</ns0:v>
      </ns0:c>
      <ns0:c r="AG801" s="7">
        <ns0:f>IF(Z801&gt;=0,A801,1001)</ns0:f>
        <ns0:v>797</ns0:v>
      </ns0:c>
      <ns0:c r="AH801" s="4">
        <ns0:f>IF(Z801&lt;0,A801,0)</ns0:f>
        <ns0:v>0</ns0:v>
      </ns0:c>
      <ns0:c r="AI801" s="12">
        <ns0:f>IF(AND(OR('前提と出典'!$C$36+'前提と出典'!$C$38=0,X801&gt;=0),OR('前提と出典'!$C$37+'前提と出典'!$C$38=0,Y801&gt;=0)),0,A801)</ns0:f>
        <ns0:v>0</ns0:v>
      </ns0:c>
    </ns0:row>
    <ns0:row r="802" ht="24" customHeight="1">
      <ns0:c r="A802" s="4" t="n">
        <ns0:v>798</ns0:v>
      </ns0:c>
      <ns0:c r="B802" s="12">
        <ns0:f>A802*('前提と出典'!$C$36+'前提と出典'!$C$38)</ns0:f>
        <ns0:v>558.5999999999999</ns0:v>
      </ns0:c>
      <ns0:c r="C802" s="12">
        <ns0:f>A802*('前提と出典'!$C$37+'前提と出典'!$C$38)</ns0:f>
        <ns0:v>478.79999999999995</ns0:v>
      </ns0:c>
      <ns0:c r="D802" s="16">
        <ns0:f>A802*('前提と出典'!$C$36*'契約別単価'!C5+'前提と出典'!$C$37*'契約別単価'!C6+'前提と出典'!$C$38*'契約別単価'!C7)</ns0:f>
        <ns0:v>5742.033519553072</ns0:v>
      </ns0:c>
      <ns0:c r="E802" s="16">
        <ns0:f>A802*('前提と出典'!$C$36*'契約別単価'!E5+'前提と出典'!$C$37*'契約別単価'!E6+'前提と出典'!$C$38*'契約別単価'!E7)</ns0:f>
        <ns0:v>2006070.5927462487</ns0:v>
      </ns0:c>
      <ns0:c r="F802" s="16">
        <ns0:f>A802*('前提と出典'!$C$36*'契約別単価'!F5+'前提と出典'!$C$37*'契約別単価'!F6+'前提と出典'!$C$38*'契約別単価'!F7)</ns0:f>
        <ns0:v>582912.8361299756</ns0:v>
      </ns0:c>
      <ns0:c r="G802" s="16">
        <ns0:f>A802*('前提と出典'!$C$36*'契約別単価'!G5+'前提と出典'!$C$37*'契約別単価'!G6+'前提と出典'!$C$38*'契約別単価'!G7)</ns0:f>
        <ns0:v>1588421.2290502794</ns0:v>
      </ns0:c>
      <ns0:c r="H802" s="16">
        <ns0:f>A802*('前提と出典'!$C$36*'契約別単価'!H5+'前提と出典'!$C$37*'契約別単価'!H6+'前提と出典'!$C$38*'契約別単価'!H7)</ns0:f>
        <ns0:v>551261.8320653546</ns0:v>
      </ns0:c>
      <ns0:c r="I802" s="16">
        <ns0:f>A802*('前提と出典'!$C$36*'契約別単価'!I5+'前提と出典'!$C$37*'契約別単価'!I6+'前提と出典'!$C$38*'契約別単価'!I7)</ns0:f>
        <ns0:v>33672.033519553064</ns0:v>
      </ns0:c>
      <ns0:c r="J802" s="16">
        <ns0:f>A802*('前提と出典'!$C$36*'契約別単価'!J5+'前提と出典'!$C$37*'契約別単価'!J6+'前提と出典'!$C$38*'契約別単価'!J7)</ns0:f>
        <ns0:v>78435.05588082146</ns0:v>
      </ns0:c>
      <ns0:c r="K802" s="16">
        <ns0:f>A802*('前提と出典'!$C$36*'契約別単価'!K5+'前提と出典'!$C$37*'契約別単価'!K6+'前提と出典'!$C$38*'契約別単価'!K7)</ns0:f>
        <ns0:v>336200.2234636871</ns0:v>
      </ns0:c>
      <ns0:c r="L802" s="16">
        <ns0:f>A802*('前提と出典'!$C$36*'契約別単価'!L5+'前提と出典'!$C$37*'契約別単価'!L6+'前提と出典'!$C$38*'契約別単価'!L7)</ns0:f>
        <ns0:v>273735.39440217847</ns0:v>
      </ns0:c>
      <ns0:c r="M802" s="16">
        <ns0:f>IF(('前提と出典'!$C$36+'前提と出典'!$C$38)=0,0,IF(B802&lt;=10,'前提と出典'!B73+'前提と出典'!C73,IF(B802&lt;=100,'前提と出典'!B74+'前提と出典'!C74,IF(B802&lt;=500,'前提と出典'!B75+'前提と出典'!C75,'前提と出典'!B76+'前提と出典'!C76))))</ns0:f>
        <ns0:v>80000</ns0:v>
      </ns0:c>
      <ns0:c r="N802" s="16">
        <ns0:f>IF(('前提と出典'!$C$37+'前提と出典'!$C$38)=0,0,IF(C802&lt;=10,'前提と出典'!D73+'前提と出典'!E73,IF(C802&lt;=100,'前提と出典'!D74+'前提と出典'!E74,IF(C802&lt;=500,'前提と出典'!D75+'前提と出典'!E75,'前提と出典'!D76+'前提と出典'!E76))))</ns0:f>
        <ns0:v>56510.9346263078</ns0:v>
      </ns0:c>
      <ns0:c r="O802" s="16">
        <ns0:f>IF('前提と出典'!$C$36+'前提と出典'!$C$38=0,0,'前提と出典'!$B$4*IF('前提と出典'!$B$20=0,MAX('前提と出典'!$B$6,D802*'前提と出典'!$B$5),'前提と出典'!$B$6+D802*'前提と出典'!$B$5))</ns0:f>
        <ns0:v>792400.6256983241</ns0:v>
      </ns0:c>
      <ns0:c r="P802" s="16">
        <ns0:f>(E802+G802)*(1-'前提と出典'!$B$7)-I802-K802-M802-O802</ns0:f>
        <ns0:v>2222817.2335302886</ns0:v>
      </ns0:c>
      <ns0:c r="Q802" s="16">
        <ns0:f>(F802+H802)*(1-'前提と出典'!$B$7)-J802-L802-N802</ns0:f>
        <ns0:v>684662.9952309905</ns0:v>
      </ns0:c>
      <ns0:c r="R802" s="16">
        <ns0:f>P802-E802*'前提と出典'!$E$4</ns0:f>
        <ns0:v>1620996.0557064142</ns0:v>
      </ns0:c>
      <ns0:c r="S802" s="16">
        <ns0:f>Q802-F802*'前提と出典'!$E$4</ns0:f>
        <ns0:v>509789.1443919977</ns0:v>
      </ns0:c>
      <ns0:c r="T802" s="7">
        <ns0:f>R802+S802</ns0:f>
        <ns0:v>2130785.200098412</ns0:v>
      </ns0:c>
      <ns0:c r="U802" s="16">
        <ns0:f>P802-E802*'前提と出典'!$E$5</ns0:f>
        <ns0:v>1420388.9964317891</ns0:v>
      </ns0:c>
      <ns0:c r="V802" s="16">
        <ns0:f>Q802-F802*'前提と出典'!$E$5</ns0:f>
        <ns0:v>451497.8607790002</ns0:v>
      </ns0:c>
      <ns0:c r="W802" s="7">
        <ns0:f>U802+V802</ns0:f>
        <ns0:v>1871886.8572107893</ns0:v>
      </ns0:c>
      <ns0:c r="X802" s="16">
        <ns0:f>P802-E802*'前提と出典'!$E$6</ns0:f>
        <ns0:v>1219781.9371571646</ns0:v>
      </ns0:c>
      <ns0:c r="Y802" s="16">
        <ns0:f>Q802-F802*'前提と出典'!$E$6</ns0:f>
        <ns0:v>393206.5771660027</ns0:v>
      </ns0:c>
      <ns0:c r="Z802" s="7">
        <ns0:f>X802+Y802</ns0:f>
        <ns0:v>1612988.5143231673</ns0:v>
      </ns0:c>
      <ns0:c r="AA802" s="7">
        <ns0:f>IF(T802&gt;=0,A802,1001)</ns0:f>
        <ns0:v>798</ns0:v>
      </ns0:c>
      <ns0:c r="AB802" s="7">
        <ns0:f>IF(T802&lt;0,A802,0)</ns0:f>
        <ns0:v>0</ns0:v>
      </ns0:c>
      <ns0:c r="AC802" s="16">
        <ns0:f>IF(AND(OR('前提と出典'!$C$36+'前提と出典'!$C$38=0,R802&gt;=0),OR('前提と出典'!$C$37+'前提と出典'!$C$38=0,S802&gt;=0)),0,A802)</ns0:f>
        <ns0:v>0</ns0:v>
      </ns0:c>
      <ns0:c r="AD802" s="7">
        <ns0:f>IF(W802&gt;=0,A802,1001)</ns0:f>
        <ns0:v>798</ns0:v>
      </ns0:c>
      <ns0:c r="AE802" s="7">
        <ns0:f>IF(W802&lt;0,A802,0)</ns0:f>
        <ns0:v>0</ns0:v>
      </ns0:c>
      <ns0:c r="AF802" s="16">
        <ns0:f>IF(AND(OR('前提と出典'!$C$36+'前提と出典'!$C$38=0,U802&gt;=0),OR('前提と出典'!$C$37+'前提と出典'!$C$38=0,V802&gt;=0)),0,A802)</ns0:f>
        <ns0:v>0</ns0:v>
      </ns0:c>
      <ns0:c r="AG802" s="7">
        <ns0:f>IF(Z802&gt;=0,A802,1001)</ns0:f>
        <ns0:v>798</ns0:v>
      </ns0:c>
      <ns0:c r="AH802" s="4">
        <ns0:f>IF(Z802&lt;0,A802,0)</ns0:f>
        <ns0:v>0</ns0:v>
      </ns0:c>
      <ns0:c r="AI802" s="12">
        <ns0:f>IF(AND(OR('前提と出典'!$C$36+'前提と出典'!$C$38=0,X802&gt;=0),OR('前提と出典'!$C$37+'前提と出典'!$C$38=0,Y802&gt;=0)),0,A802)</ns0:f>
        <ns0:v>0</ns0:v>
      </ns0:c>
    </ns0:row>
    <ns0:row r="803" ht="24" customHeight="1">
      <ns0:c r="A803" s="4" t="n">
        <ns0:v>799</ns0:v>
      </ns0:c>
      <ns0:c r="B803" s="12">
        <ns0:f>A803*('前提と出典'!$C$36+'前提と出典'!$C$38)</ns0:f>
        <ns0:v>559.3</ns0:v>
      </ns0:c>
      <ns0:c r="C803" s="12">
        <ns0:f>A803*('前提と出典'!$C$37+'前提と出典'!$C$38)</ns0:f>
        <ns0:v>479.4</ns0:v>
      </ns0:c>
      <ns0:c r="D803" s="16">
        <ns0:f>A803*('前提と出典'!$C$36*'契約別単価'!C5+'前提と出典'!$C$37*'契約別単価'!C6+'前提と出典'!$C$38*'契約別単価'!C7)</ns0:f>
        <ns0:v>5749.229050279329</ns0:v>
      </ns0:c>
      <ns0:c r="E803" s="16">
        <ns0:f>A803*('前提と出典'!$C$36*'契約別単価'!E5+'前提と出典'!$C$37*'契約別単価'!E6+'前提と出典'!$C$38*'契約別単価'!E7)</ns0:f>
        <ns0:v>2008584.4656694897</ns0:v>
      </ns0:c>
      <ns0:c r="F803" s="16">
        <ns0:f>A803*('前提と出典'!$C$36*'契約別単価'!F5+'前提と出典'!$C$37*'契約別単価'!F6+'前提と出典'!$C$38*'契約別単価'!F7)</ns0:f>
        <ns0:v>583643.303343171</ns0:v>
      </ns0:c>
      <ns0:c r="G803" s="16">
        <ns0:f>A803*('前提と出典'!$C$36*'契約別単価'!G5+'前提と出典'!$C$37*'契約別単価'!G6+'前提と出典'!$C$38*'契約別単価'!G7)</ns0:f>
        <ns0:v>1590411.7318435754</ns0:v>
      </ns0:c>
      <ns0:c r="H803" s="16">
        <ns0:f>A803*('前提と出典'!$C$36*'契約別単価'!H5+'前提と出典'!$C$37*'契約別単価'!H6+'前提と出典'!$C$38*'契約別単価'!H7)</ns0:f>
        <ns0:v>551952.6363661884</ns0:v>
      </ns0:c>
      <ns0:c r="I803" s="16">
        <ns0:f>A803*('前提と出典'!$C$36*'契約別単価'!I5+'前提と出典'!$C$37*'契約別単価'!I6+'前提と出典'!$C$38*'契約別単価'!I7)</ns0:f>
        <ns0:v>33714.229050279326</ns0:v>
      </ns0:c>
      <ns0:c r="J803" s="16">
        <ns0:f>A803*('前提と出典'!$C$36*'契約別単価'!J5+'前提と出典'!$C$37*'契約別単価'!J6+'前提と出典'!$C$38*'契約別単価'!J7)</ns0:f>
        <ns0:v>78533.34542453176</ns0:v>
      </ns0:c>
      <ns0:c r="K803" s="16">
        <ns0:f>A803*('前提と出典'!$C$36*'契約別単価'!K5+'前提と出典'!$C$37*'契約別単価'!K6+'前提と出典'!$C$38*'契約別単価'!K7)</ns0:f>
        <ns0:v>336621.5270018622</ns0:v>
      </ns0:c>
      <ns0:c r="L803" s="16">
        <ns0:f>A803*('前提と出典'!$C$36*'契約別単価'!L5+'前提と出典'!$C$37*'契約別単価'!L6+'前提と出典'!$C$38*'契約別単価'!L7)</ns0:f>
        <ns0:v>274078.42121220625</ns0:v>
      </ns0:c>
      <ns0:c r="M803" s="16">
        <ns0:f>IF(('前提と出典'!$C$36+'前提と出典'!$C$38)=0,0,IF(B803&lt;=10,'前提と出典'!B73+'前提と出典'!C73,IF(B803&lt;=100,'前提と出典'!B74+'前提と出典'!C74,IF(B803&lt;=500,'前提と出典'!B75+'前提と出典'!C75,'前提と出典'!B76+'前提と出典'!C76))))</ns0:f>
        <ns0:v>80000</ns0:v>
      </ns0:c>
      <ns0:c r="N803" s="16">
        <ns0:f>IF(('前提と出典'!$C$37+'前提と出典'!$C$38)=0,0,IF(C803&lt;=10,'前提と出典'!D73+'前提と出典'!E73,IF(C803&lt;=100,'前提と出典'!D74+'前提と出典'!E74,IF(C803&lt;=500,'前提と出典'!D75+'前提と出典'!E75,'前提と出典'!D76+'前提と出典'!E76))))</ns0:f>
        <ns0:v>56510.9346263078</ns0:v>
      </ns0:c>
      <ns0:c r="O803" s="16">
        <ns0:f>IF('前提と出典'!$C$36+'前提と出典'!$C$38=0,0,'前提と出典'!$B$4*IF('前提と出典'!$B$20=0,MAX('前提と出典'!$B$6,D803*'前提と出典'!$B$5),'前提と出典'!$B$6+D803*'前提と出典'!$B$5))</ns0:f>
        <ns0:v>793393.6089385475</ns0:v>
      </ns0:c>
      <ns0:c r="P803" s="16">
        <ns0:f>(E803+G803)*(1-'前提と出典'!$B$7)-I803-K803-M803-O803</ns0:f>
        <ns0:v>2225702.9694119063</ns0:v>
      </ns0:c>
      <ns0:c r="Q803" s="16">
        <ns0:f>(F803+H803)*(1-'前提と出典'!$B$7)-J803-L803-N803</ns0:f>
        <ns0:v>685591.7846167766</ns0:v>
      </ns0:c>
      <ns0:c r="R803" s="16">
        <ns0:f>P803-E803*'前提と出典'!$E$4</ns0:f>
        <ns0:v>1623127.6297110592</ns0:v>
      </ns0:c>
      <ns0:c r="S803" s="16">
        <ns0:f>Q803-F803*'前提と出典'!$E$4</ns0:f>
        <ns0:v>510498.79361382534</ns0:v>
      </ns0:c>
      <ns0:c r="T803" s="7">
        <ns0:f>R803+S803</ns0:f>
        <ns0:v>2133626.4233248844</ns0:v>
      </ns0:c>
      <ns0:c r="U803" s="16">
        <ns0:f>P803-E803*'前提と出典'!$E$5</ns0:f>
        <ns0:v>1422269.1831441105</ns0:v>
      </ns0:c>
      <ns0:c r="V803" s="16">
        <ns0:f>Q803-F803*'前提と出典'!$E$5</ns0:f>
        <ns0:v>452134.46327950817</ns0:v>
      </ns0:c>
      <ns0:c r="W803" s="7">
        <ns0:f>U803+V803</ns0:f>
        <ns0:v>1874403.6464236188</ns0:v>
      </ns0:c>
      <ns0:c r="X803" s="16">
        <ns0:f>P803-E803*'前提と出典'!$E$6</ns0:f>
        <ns0:v>1221410.7365771616</ns0:v>
      </ns0:c>
      <ns0:c r="Y803" s="16">
        <ns0:f>Q803-F803*'前提と出典'!$E$6</ns0:f>
        <ns0:v>393770.1329451911</ns0:v>
      </ns0:c>
      <ns0:c r="Z803" s="7">
        <ns0:f>X803+Y803</ns0:f>
        <ns0:v>1615180.8695223527</ns0:v>
      </ns0:c>
      <ns0:c r="AA803" s="7">
        <ns0:f>IF(T803&gt;=0,A803,1001)</ns0:f>
        <ns0:v>799</ns0:v>
      </ns0:c>
      <ns0:c r="AB803" s="7">
        <ns0:f>IF(T803&lt;0,A803,0)</ns0:f>
        <ns0:v>0</ns0:v>
      </ns0:c>
      <ns0:c r="AC803" s="16">
        <ns0:f>IF(AND(OR('前提と出典'!$C$36+'前提と出典'!$C$38=0,R803&gt;=0),OR('前提と出典'!$C$37+'前提と出典'!$C$38=0,S803&gt;=0)),0,A803)</ns0:f>
        <ns0:v>0</ns0:v>
      </ns0:c>
      <ns0:c r="AD803" s="7">
        <ns0:f>IF(W803&gt;=0,A803,1001)</ns0:f>
        <ns0:v>799</ns0:v>
      </ns0:c>
      <ns0:c r="AE803" s="7">
        <ns0:f>IF(W803&lt;0,A803,0)</ns0:f>
        <ns0:v>0</ns0:v>
      </ns0:c>
      <ns0:c r="AF803" s="16">
        <ns0:f>IF(AND(OR('前提と出典'!$C$36+'前提と出典'!$C$38=0,U803&gt;=0),OR('前提と出典'!$C$37+'前提と出典'!$C$38=0,V803&gt;=0)),0,A803)</ns0:f>
        <ns0:v>0</ns0:v>
      </ns0:c>
      <ns0:c r="AG803" s="7">
        <ns0:f>IF(Z803&gt;=0,A803,1001)</ns0:f>
        <ns0:v>799</ns0:v>
      </ns0:c>
      <ns0:c r="AH803" s="4">
        <ns0:f>IF(Z803&lt;0,A803,0)</ns0:f>
        <ns0:v>0</ns0:v>
      </ns0:c>
      <ns0:c r="AI803" s="12">
        <ns0:f>IF(AND(OR('前提と出典'!$C$36+'前提と出典'!$C$38=0,X803&gt;=0),OR('前提と出典'!$C$37+'前提と出典'!$C$38=0,Y803&gt;=0)),0,A803)</ns0:f>
        <ns0:v>0</ns0:v>
      </ns0:c>
    </ns0:row>
    <ns0:row r="804" ht="24" customHeight="1">
      <ns0:c r="A804" s="4" t="n">
        <ns0:v>800</ns0:v>
      </ns0:c>
      <ns0:c r="B804" s="12">
        <ns0:f>A804*('前提と出典'!$C$36+'前提と出典'!$C$38)</ns0:f>
        <ns0:v>560</ns0:v>
      </ns0:c>
      <ns0:c r="C804" s="12">
        <ns0:f>A804*('前提と出典'!$C$37+'前提と出典'!$C$38)</ns0:f>
        <ns0:v>480</ns0:v>
      </ns0:c>
      <ns0:c r="D804" s="16">
        <ns0:f>A804*('前提と出典'!$C$36*'契約別単価'!C5+'前提と出典'!$C$37*'契約別単価'!C6+'前提と出典'!$C$38*'契約別単価'!C7)</ns0:f>
        <ns0:v>5756.424581005586</ns0:v>
      </ns0:c>
      <ns0:c r="E804" s="16">
        <ns0:f>A804*('前提と出典'!$C$36*'契約別単価'!E5+'前提と出典'!$C$37*'契約別単価'!E6+'前提と出典'!$C$38*'契約別単価'!E7)</ns0:f>
        <ns0:v>2011098.3385927305</ns0:v>
      </ns0:c>
      <ns0:c r="F804" s="16">
        <ns0:f>A804*('前提と出典'!$C$36*'契約別単価'!F5+'前提と出典'!$C$37*'契約別単価'!F6+'前提と出典'!$C$38*'契約別単価'!F7)</ns0:f>
        <ns0:v>584373.7705563665</ns0:v>
      </ns0:c>
      <ns0:c r="G804" s="16">
        <ns0:f>A804*('前提と出典'!$C$36*'契約別単価'!G5+'前提と出典'!$C$37*'契約別単価'!G6+'前提と出典'!$C$38*'契約別単価'!G7)</ns0:f>
        <ns0:v>1592402.2346368714</ns0:v>
      </ns0:c>
      <ns0:c r="H804" s="16">
        <ns0:f>A804*('前提と出典'!$C$36*'契約別単価'!H5+'前提と出典'!$C$37*'契約別単価'!H6+'前提と出典'!$C$38*'契約別単価'!H7)</ns0:f>
        <ns0:v>552643.4406670221</ns0:v>
      </ns0:c>
      <ns0:c r="I804" s="16">
        <ns0:f>A804*('前提と出典'!$C$36*'契約別単価'!I5+'前提と出典'!$C$37*'契約別単価'!I6+'前提と出典'!$C$38*'契約別単価'!I7)</ns0:f>
        <ns0:v>33756.42458100558</ns0:v>
      </ns0:c>
      <ns0:c r="J804" s="16">
        <ns0:f>A804*('前提と出典'!$C$36*'契約別単価'!J5+'前提と出典'!$C$37*'契約別単価'!J6+'前提と出典'!$C$38*'契約別単価'!J7)</ns0:f>
        <ns0:v>78631.63496824206</ns0:v>
      </ns0:c>
      <ns0:c r="K804" s="16">
        <ns0:f>A804*('前提と出典'!$C$36*'契約別単価'!K5+'前提と出典'!$C$37*'契約別単価'!K6+'前提と出典'!$C$38*'契約別単価'!K7)</ns0:f>
        <ns0:v>337042.83054003725</ns0:v>
      </ns0:c>
      <ns0:c r="L804" s="16">
        <ns0:f>A804*('前提と出典'!$C$36*'契約別単価'!L5+'前提と出典'!$C$37*'契約別単価'!L6+'前提と出典'!$C$38*'契約別単価'!L7)</ns0:f>
        <ns0:v>274421.4480222341</ns0:v>
      </ns0:c>
      <ns0:c r="M804" s="16">
        <ns0:f>IF(('前提と出典'!$C$36+'前提と出典'!$C$38)=0,0,IF(B804&lt;=10,'前提と出典'!B73+'前提と出典'!C73,IF(B804&lt;=100,'前提と出典'!B74+'前提と出典'!C74,IF(B804&lt;=500,'前提と出典'!B75+'前提と出典'!C75,'前提と出典'!B76+'前提と出典'!C76))))</ns0:f>
        <ns0:v>80000</ns0:v>
      </ns0:c>
      <ns0:c r="N804" s="16">
        <ns0:f>IF(('前提と出典'!$C$37+'前提と出典'!$C$38)=0,0,IF(C804&lt;=10,'前提と出典'!D73+'前提と出典'!E73,IF(C804&lt;=100,'前提と出典'!D74+'前提と出典'!E74,IF(C804&lt;=500,'前提と出典'!D75+'前提と出典'!E75,'前提と出典'!D76+'前提と出典'!E76))))</ns0:f>
        <ns0:v>56510.9346263078</ns0:v>
      </ns0:c>
      <ns0:c r="O804" s="16">
        <ns0:f>IF('前提と出典'!$C$36+'前提と出典'!$C$38=0,0,'前提と出典'!$B$4*IF('前提と出典'!$B$20=0,MAX('前提と出典'!$B$6,D804*'前提と出典'!$B$5),'前提と出典'!$B$6+D804*'前提と出典'!$B$5))</ns0:f>
        <ns0:v>794386.5921787709</ns0:v>
      </ns0:c>
      <ns0:c r="P804" s="16">
        <ns0:f>(E804+G804)*(1-'前提と出典'!$B$7)-I804-K804-M804-O804</ns0:f>
        <ns0:v>2228588.705293522</ns0:v>
      </ns0:c>
      <ns0:c r="Q804" s="16">
        <ns0:f>(F804+H804)*(1-'前提と出典'!$B$7)-J804-L804-N804</ns0:f>
        <ns0:v>686520.5740025626</ns0:v>
      </ns0:c>
      <ns0:c r="R804" s="16">
        <ns0:f>P804-E804*'前提と出典'!$E$4</ns0:f>
        <ns0:v>1625259.203715703</ns0:v>
      </ns0:c>
      <ns0:c r="S804" s="16">
        <ns0:f>Q804-F804*'前提と出典'!$E$4</ns0:f>
        <ns0:v>511208.44283565274</ns0:v>
      </ns0:c>
      <ns0:c r="T804" s="7">
        <ns0:f>R804+S804</ns0:f>
        <ns0:v>2136467.6465513557</ns0:v>
      </ns0:c>
      <ns0:c r="U804" s="16">
        <ns0:f>P804-E804*'前提と出典'!$E$5</ns0:f>
        <ns0:v>1424149.3698564302</ns0:v>
      </ns0:c>
      <ns0:c r="V804" s="16">
        <ns0:f>Q804-F804*'前提と出典'!$E$5</ns0:f>
        <ns0:v>452771.06578001595</ns0:v>
      </ns0:c>
      <ns0:c r="W804" s="7">
        <ns0:f>U804+V804</ns0:f>
        <ns0:v>1876920.435636446</ns0:v>
      </ns0:c>
      <ns0:c r="X804" s="16">
        <ns0:f>P804-E804*'前提と出典'!$E$6</ns0:f>
        <ns0:v>1223039.535997157</ns0:v>
      </ns0:c>
      <ns0:c r="Y804" s="16">
        <ns0:f>Q804-F804*'前提と出典'!$E$6</ns0:f>
        <ns0:v>394333.68872437935</ns0:v>
      </ns0:c>
      <ns0:c r="Z804" s="7">
        <ns0:f>X804+Y804</ns0:f>
        <ns0:v>1617373.2247215363</ns0:v>
      </ns0:c>
      <ns0:c r="AA804" s="7">
        <ns0:f>IF(T804&gt;=0,A804,1001)</ns0:f>
        <ns0:v>800</ns0:v>
      </ns0:c>
      <ns0:c r="AB804" s="7">
        <ns0:f>IF(T804&lt;0,A804,0)</ns0:f>
        <ns0:v>0</ns0:v>
      </ns0:c>
      <ns0:c r="AC804" s="16">
        <ns0:f>IF(AND(OR('前提と出典'!$C$36+'前提と出典'!$C$38=0,R804&gt;=0),OR('前提と出典'!$C$37+'前提と出典'!$C$38=0,S804&gt;=0)),0,A804)</ns0:f>
        <ns0:v>0</ns0:v>
      </ns0:c>
      <ns0:c r="AD804" s="7">
        <ns0:f>IF(W804&gt;=0,A804,1001)</ns0:f>
        <ns0:v>800</ns0:v>
      </ns0:c>
      <ns0:c r="AE804" s="7">
        <ns0:f>IF(W804&lt;0,A804,0)</ns0:f>
        <ns0:v>0</ns0:v>
      </ns0:c>
      <ns0:c r="AF804" s="16">
        <ns0:f>IF(AND(OR('前提と出典'!$C$36+'前提と出典'!$C$38=0,U804&gt;=0),OR('前提と出典'!$C$37+'前提と出典'!$C$38=0,V804&gt;=0)),0,A804)</ns0:f>
        <ns0:v>0</ns0:v>
      </ns0:c>
      <ns0:c r="AG804" s="7">
        <ns0:f>IF(Z804&gt;=0,A804,1001)</ns0:f>
        <ns0:v>800</ns0:v>
      </ns0:c>
      <ns0:c r="AH804" s="4">
        <ns0:f>IF(Z804&lt;0,A804,0)</ns0:f>
        <ns0:v>0</ns0:v>
      </ns0:c>
      <ns0:c r="AI804" s="12">
        <ns0:f>IF(AND(OR('前提と出典'!$C$36+'前提と出典'!$C$38=0,X804&gt;=0),OR('前提と出典'!$C$37+'前提と出典'!$C$38=0,Y804&gt;=0)),0,A804)</ns0:f>
        <ns0:v>0</ns0:v>
      </ns0:c>
    </ns0:row>
    <ns0:row r="805" ht="24" customHeight="1">
      <ns0:c r="A805" s="4" t="n">
        <ns0:v>801</ns0:v>
      </ns0:c>
      <ns0:c r="B805" s="12">
        <ns0:f>A805*('前提と出典'!$C$36+'前提と出典'!$C$38)</ns0:f>
        <ns0:v>560.6999999999999</ns0:v>
      </ns0:c>
      <ns0:c r="C805" s="12">
        <ns0:f>A805*('前提と出典'!$C$37+'前提と出典'!$C$38)</ns0:f>
        <ns0:v>480.59999999999997</ns0:v>
      </ns0:c>
      <ns0:c r="D805" s="16">
        <ns0:f>A805*('前提と出典'!$C$36*'契約別単価'!C5+'前提と出典'!$C$37*'契約別単価'!C6+'前提と出典'!$C$38*'契約別単価'!C7)</ns0:f>
        <ns0:v>5763.620111731843</ns0:v>
      </ns0:c>
      <ns0:c r="E805" s="16">
        <ns0:f>A805*('前提と出典'!$C$36*'契約別単価'!E5+'前提と出典'!$C$37*'契約別単価'!E6+'前提と出典'!$C$38*'契約別単価'!E7)</ns0:f>
        <ns0:v>2013612.2115159715</ns0:v>
      </ns0:c>
      <ns0:c r="F805" s="16">
        <ns0:f>A805*('前提と出典'!$C$36*'契約別単価'!F5+'前提と出典'!$C$37*'契約別単価'!F6+'前提と出典'!$C$38*'契約別単価'!F7)</ns0:f>
        <ns0:v>585104.2377695619</ns0:v>
      </ns0:c>
      <ns0:c r="G805" s="16">
        <ns0:f>A805*('前提と出典'!$C$36*'契約別単価'!G5+'前提と出典'!$C$37*'契約別単価'!G6+'前提と出典'!$C$38*'契約別単価'!G7)</ns0:f>
        <ns0:v>1594392.7374301676</ns0:v>
      </ns0:c>
      <ns0:c r="H805" s="16">
        <ns0:f>A805*('前提と出典'!$C$36*'契約別単価'!H5+'前提と出典'!$C$37*'契約別単価'!H6+'前提と出典'!$C$38*'契約別単価'!H7)</ns0:f>
        <ns0:v>553334.244967856</ns0:v>
      </ns0:c>
      <ns0:c r="I805" s="16">
        <ns0:f>A805*('前提と出典'!$C$36*'契約別単価'!I5+'前提と出典'!$C$37*'契約別単価'!I6+'前提と出典'!$C$38*'契約別単価'!I7)</ns0:f>
        <ns0:v>33798.62011173184</ns0:v>
      </ns0:c>
      <ns0:c r="J805" s="16">
        <ns0:f>A805*('前提と出典'!$C$36*'契約別単価'!J5+'前提と出典'!$C$37*'契約別単価'!J6+'前提と出典'!$C$38*'契約別単価'!J7)</ns0:f>
        <ns0:v>78729.92451195235</ns0:v>
      </ns0:c>
      <ns0:c r="K805" s="16">
        <ns0:f>A805*('前提と出典'!$C$36*'契約別単価'!K5+'前提と出典'!$C$37*'契約別単価'!K6+'前提と出典'!$C$38*'契約別単価'!K7)</ns0:f>
        <ns0:v>337464.13407821226</ns0:v>
      </ns0:c>
      <ns0:c r="L805" s="16">
        <ns0:f>A805*('前提と出典'!$C$36*'契約別単価'!L5+'前提と出典'!$C$37*'契約別単価'!L6+'前提と出典'!$C$38*'契約別単価'!L7)</ns0:f>
        <ns0:v>274764.47483226185</ns0:v>
      </ns0:c>
      <ns0:c r="M805" s="16">
        <ns0:f>IF(('前提と出典'!$C$36+'前提と出典'!$C$38)=0,0,IF(B805&lt;=10,'前提と出典'!B73+'前提と出典'!C73,IF(B805&lt;=100,'前提と出典'!B74+'前提と出典'!C74,IF(B805&lt;=500,'前提と出典'!B75+'前提と出典'!C75,'前提と出典'!B76+'前提と出典'!C76))))</ns0:f>
        <ns0:v>80000</ns0:v>
      </ns0:c>
      <ns0:c r="N805" s="16">
        <ns0:f>IF(('前提と出典'!$C$37+'前提と出典'!$C$38)=0,0,IF(C805&lt;=10,'前提と出典'!D73+'前提と出典'!E73,IF(C805&lt;=100,'前提と出典'!D74+'前提と出典'!E74,IF(C805&lt;=500,'前提と出典'!D75+'前提と出典'!E75,'前提と出典'!D76+'前提と出典'!E76))))</ns0:f>
        <ns0:v>56510.9346263078</ns0:v>
      </ns0:c>
      <ns0:c r="O805" s="16">
        <ns0:f>IF('前提と出典'!$C$36+'前提と出典'!$C$38=0,0,'前提と出典'!$B$4*IF('前提と出典'!$B$20=0,MAX('前提と出典'!$B$6,D805*'前提と出典'!$B$5),'前提と出典'!$B$6+D805*'前提と出典'!$B$5))</ns0:f>
        <ns0:v>795379.5754189944</ns0:v>
      </ns0:c>
      <ns0:c r="P805" s="16">
        <ns0:f>(E805+G805)*(1-'前提と出典'!$B$7)-I805-K805-M805-O805</ns0:f>
        <ns0:v>2231474.4411751395</ns0:v>
      </ns0:c>
      <ns0:c r="Q805" s="16">
        <ns0:f>(F805+H805)*(1-'前提と出典'!$B$7)-J805-L805-N805</ns0:f>
        <ns0:v>687449.3633883488</ns0:v>
      </ns0:c>
      <ns0:c r="R805" s="16">
        <ns0:f>P805-E805*'前提と出典'!$E$4</ns0:f>
        <ns0:v>1627390.777720348</ns0:v>
      </ns0:c>
      <ns0:c r="S805" s="16">
        <ns0:f>Q805-F805*'前提と出典'!$E$4</ns0:f>
        <ns0:v>511918.09205748024</ns0:v>
      </ns0:c>
      <ns0:c r="T805" s="7">
        <ns0:f>R805+S805</ns0:f>
        <ns0:v>2139308.8697778285</ns0:v>
      </ns0:c>
      <ns0:c r="U805" s="16">
        <ns0:f>P805-E805*'前提と出典'!$E$5</ns0:f>
        <ns0:v>1426029.556568751</ns0:v>
      </ns0:c>
      <ns0:c r="V805" s="16">
        <ns0:f>Q805-F805*'前提と出典'!$E$5</ns0:f>
        <ns0:v>453407.668280524</ns0:v>
      </ns0:c>
      <ns0:c r="W805" s="7">
        <ns0:f>U805+V805</ns0:f>
        <ns0:v>1879437.224849275</ns0:v>
      </ns0:c>
      <ns0:c r="X805" s="16">
        <ns0:f>P805-E805*'前提と出典'!$E$6</ns0:f>
        <ns0:v>1224668.3354171538</ns0:v>
      </ns0:c>
      <ns0:c r="Y805" s="16">
        <ns0:f>Q805-F805*'前提と出典'!$E$6</ns0:f>
        <ns0:v>394897.24450356787</ns0:v>
      </ns0:c>
      <ns0:c r="Z805" s="7">
        <ns0:f>X805+Y805</ns0:f>
        <ns0:v>1619565.5799207217</ns0:v>
      </ns0:c>
      <ns0:c r="AA805" s="7">
        <ns0:f>IF(T805&gt;=0,A805,1001)</ns0:f>
        <ns0:v>801</ns0:v>
      </ns0:c>
      <ns0:c r="AB805" s="7">
        <ns0:f>IF(T805&lt;0,A805,0)</ns0:f>
        <ns0:v>0</ns0:v>
      </ns0:c>
      <ns0:c r="AC805" s="16">
        <ns0:f>IF(AND(OR('前提と出典'!$C$36+'前提と出典'!$C$38=0,R805&gt;=0),OR('前提と出典'!$C$37+'前提と出典'!$C$38=0,S805&gt;=0)),0,A805)</ns0:f>
        <ns0:v>0</ns0:v>
      </ns0:c>
      <ns0:c r="AD805" s="7">
        <ns0:f>IF(W805&gt;=0,A805,1001)</ns0:f>
        <ns0:v>801</ns0:v>
      </ns0:c>
      <ns0:c r="AE805" s="7">
        <ns0:f>IF(W805&lt;0,A805,0)</ns0:f>
        <ns0:v>0</ns0:v>
      </ns0:c>
      <ns0:c r="AF805" s="16">
        <ns0:f>IF(AND(OR('前提と出典'!$C$36+'前提と出典'!$C$38=0,U805&gt;=0),OR('前提と出典'!$C$37+'前提と出典'!$C$38=0,V805&gt;=0)),0,A805)</ns0:f>
        <ns0:v>0</ns0:v>
      </ns0:c>
      <ns0:c r="AG805" s="7">
        <ns0:f>IF(Z805&gt;=0,A805,1001)</ns0:f>
        <ns0:v>801</ns0:v>
      </ns0:c>
      <ns0:c r="AH805" s="4">
        <ns0:f>IF(Z805&lt;0,A805,0)</ns0:f>
        <ns0:v>0</ns0:v>
      </ns0:c>
      <ns0:c r="AI805" s="12">
        <ns0:f>IF(AND(OR('前提と出典'!$C$36+'前提と出典'!$C$38=0,X805&gt;=0),OR('前提と出典'!$C$37+'前提と出典'!$C$38=0,Y805&gt;=0)),0,A805)</ns0:f>
        <ns0:v>0</ns0:v>
      </ns0:c>
    </ns0:row>
    <ns0:row r="806" ht="24" customHeight="1">
      <ns0:c r="A806" s="4" t="n">
        <ns0:v>802</ns0:v>
      </ns0:c>
      <ns0:c r="B806" s="12">
        <ns0:f>A806*('前提と出典'!$C$36+'前提と出典'!$C$38)</ns0:f>
        <ns0:v>561.4</ns0:v>
      </ns0:c>
      <ns0:c r="C806" s="12">
        <ns0:f>A806*('前提と出典'!$C$37+'前提と出典'!$C$38)</ns0:f>
        <ns0:v>481.2</ns0:v>
      </ns0:c>
      <ns0:c r="D806" s="16">
        <ns0:f>A806*('前提と出典'!$C$36*'契約別単価'!C5+'前提と出典'!$C$37*'契約別単価'!C6+'前提と出典'!$C$38*'契約別単価'!C7)</ns0:f>
        <ns0:v>5770.8156424581</ns0:v>
      </ns0:c>
      <ns0:c r="E806" s="16">
        <ns0:f>A806*('前提と出典'!$C$36*'契約別単価'!E5+'前提と出典'!$C$37*'契約別単価'!E6+'前提と出典'!$C$38*'契約別単価'!E7)</ns0:f>
        <ns0:v>2016126.0844392125</ns0:v>
      </ns0:c>
      <ns0:c r="F806" s="16">
        <ns0:f>A806*('前提と出典'!$C$36*'契約別単価'!F5+'前提と出典'!$C$37*'契約別単価'!F6+'前提と出典'!$C$38*'契約別単価'!F7)</ns0:f>
        <ns0:v>585834.7049827575</ns0:v>
      </ns0:c>
      <ns0:c r="G806" s="16">
        <ns0:f>A806*('前提と出典'!$C$36*'契約別単価'!G5+'前提と出典'!$C$37*'契約別単価'!G6+'前提と出典'!$C$38*'契約別単価'!G7)</ns0:f>
        <ns0:v>1596383.2402234636</ns0:v>
      </ns0:c>
      <ns0:c r="H806" s="16">
        <ns0:f>A806*('前提と出典'!$C$36*'契約別単価'!H5+'前提と出典'!$C$37*'契約別単価'!H6+'前提と出典'!$C$38*'契約別単価'!H7)</ns0:f>
        <ns0:v>554025.0492686897</ns0:v>
      </ns0:c>
      <ns0:c r="I806" s="16">
        <ns0:f>A806*('前提と出典'!$C$36*'契約別単価'!I5+'前提と出典'!$C$37*'契約別単価'!I6+'前提と出典'!$C$38*'契約別単価'!I7)</ns0:f>
        <ns0:v>33840.815642458096</ns0:v>
      </ns0:c>
      <ns0:c r="J806" s="16">
        <ns0:f>A806*('前提と出典'!$C$36*'契約別単価'!J5+'前提と出典'!$C$37*'契約別単価'!J6+'前提と出典'!$C$38*'契約別単価'!J7)</ns0:f>
        <ns0:v>78828.21405566265</ns0:v>
      </ns0:c>
      <ns0:c r="K806" s="16">
        <ns0:f>A806*('前提と出典'!$C$36*'契約別単価'!K5+'前提と出典'!$C$37*'契約別単価'!K6+'前提と出典'!$C$38*'契約別単価'!K7)</ns0:f>
        <ns0:v>337885.4376163873</ns0:v>
      </ns0:c>
      <ns0:c r="L806" s="16">
        <ns0:f>A806*('前提と出典'!$C$36*'契約別単価'!L5+'前提と出典'!$C$37*'契約別単価'!L6+'前提と出典'!$C$38*'契約別単価'!L7)</ns0:f>
        <ns0:v>275107.50164228963</ns0:v>
      </ns0:c>
      <ns0:c r="M806" s="16">
        <ns0:f>IF(('前提と出典'!$C$36+'前提と出典'!$C$38)=0,0,IF(B806&lt;=10,'前提と出典'!B73+'前提と出典'!C73,IF(B806&lt;=100,'前提と出典'!B74+'前提と出典'!C74,IF(B806&lt;=500,'前提と出典'!B75+'前提と出典'!C75,'前提と出典'!B76+'前提と出典'!C76))))</ns0:f>
        <ns0:v>80000</ns0:v>
      </ns0:c>
      <ns0:c r="N806" s="16">
        <ns0:f>IF(('前提と出典'!$C$37+'前提と出典'!$C$38)=0,0,IF(C806&lt;=10,'前提と出典'!D73+'前提と出典'!E73,IF(C806&lt;=100,'前提と出典'!D74+'前提と出典'!E74,IF(C806&lt;=500,'前提と出典'!D75+'前提と出典'!E75,'前提と出典'!D76+'前提と出典'!E76))))</ns0:f>
        <ns0:v>56510.9346263078</ns0:v>
      </ns0:c>
      <ns0:c r="O806" s="16">
        <ns0:f>IF('前提と出典'!$C$36+'前提と出典'!$C$38=0,0,'前提と出典'!$B$4*IF('前提と出典'!$B$20=0,MAX('前提と出典'!$B$6,D806*'前提と出典'!$B$5),'前提と出典'!$B$6+D806*'前提と出典'!$B$5))</ns0:f>
        <ns0:v>796372.5586592179</ns0:v>
      </ns0:c>
      <ns0:c r="P806" s="16">
        <ns0:f>(E806+G806)*(1-'前提と出典'!$B$7)-I806-K806-M806-O806</ns0:f>
        <ns0:v>2234360.177056757</ns0:v>
      </ns0:c>
      <ns0:c r="Q806" s="16">
        <ns0:f>(F806+H806)*(1-'前提と出典'!$B$7)-J806-L806-N806</ns0:f>
        <ns0:v>688378.152774135</ns0:v>
      </ns0:c>
      <ns0:c r="R806" s="16">
        <ns0:f>P806-E806*'前提と出典'!$E$4</ns0:f>
        <ns0:v>1629522.351724993</ns0:v>
      </ns0:c>
      <ns0:c r="S806" s="16">
        <ns0:f>Q806-F806*'前提と出典'!$E$4</ns0:f>
        <ns0:v>512627.74127930775</ns0:v>
      </ns0:c>
      <ns0:c r="T806" s="7">
        <ns0:f>R806+S806</ns0:f>
        <ns0:v>2142150.0930043007</ns0:v>
      </ns0:c>
      <ns0:c r="U806" s="16">
        <ns0:f>P806-E806*'前提と出典'!$E$5</ns0:f>
        <ns0:v>1427909.743281072</ns0:v>
      </ns0:c>
      <ns0:c r="V806" s="16">
        <ns0:f>Q806-F806*'前提と出典'!$E$5</ns0:f>
        <ns0:v>454044.270781032</ns0:v>
      </ns0:c>
      <ns0:c r="W806" s="7">
        <ns0:f>U806+V806</ns0:f>
        <ns0:v>1881954.014062104</ns0:v>
      </ns0:c>
      <ns0:c r="X806" s="16">
        <ns0:f>P806-E806*'前提と出典'!$E$6</ns0:f>
        <ns0:v>1226297.1348371506</ns0:v>
      </ns0:c>
      <ns0:c r="Y806" s="16">
        <ns0:f>Q806-F806*'前提と出典'!$E$6</ns0:f>
        <ns0:v>395460.80028275616</ns0:v>
      </ns0:c>
      <ns0:c r="Z806" s="7">
        <ns0:f>X806+Y806</ns0:f>
        <ns0:v>1621757.9351199067</ns0:v>
      </ns0:c>
      <ns0:c r="AA806" s="7">
        <ns0:f>IF(T806&gt;=0,A806,1001)</ns0:f>
        <ns0:v>802</ns0:v>
      </ns0:c>
      <ns0:c r="AB806" s="7">
        <ns0:f>IF(T806&lt;0,A806,0)</ns0:f>
        <ns0:v>0</ns0:v>
      </ns0:c>
      <ns0:c r="AC806" s="16">
        <ns0:f>IF(AND(OR('前提と出典'!$C$36+'前提と出典'!$C$38=0,R806&gt;=0),OR('前提と出典'!$C$37+'前提と出典'!$C$38=0,S806&gt;=0)),0,A806)</ns0:f>
        <ns0:v>0</ns0:v>
      </ns0:c>
      <ns0:c r="AD806" s="7">
        <ns0:f>IF(W806&gt;=0,A806,1001)</ns0:f>
        <ns0:v>802</ns0:v>
      </ns0:c>
      <ns0:c r="AE806" s="7">
        <ns0:f>IF(W806&lt;0,A806,0)</ns0:f>
        <ns0:v>0</ns0:v>
      </ns0:c>
      <ns0:c r="AF806" s="16">
        <ns0:f>IF(AND(OR('前提と出典'!$C$36+'前提と出典'!$C$38=0,U806&gt;=0),OR('前提と出典'!$C$37+'前提と出典'!$C$38=0,V806&gt;=0)),0,A806)</ns0:f>
        <ns0:v>0</ns0:v>
      </ns0:c>
      <ns0:c r="AG806" s="7">
        <ns0:f>IF(Z806&gt;=0,A806,1001)</ns0:f>
        <ns0:v>802</ns0:v>
      </ns0:c>
      <ns0:c r="AH806" s="4">
        <ns0:f>IF(Z806&lt;0,A806,0)</ns0:f>
        <ns0:v>0</ns0:v>
      </ns0:c>
      <ns0:c r="AI806" s="12">
        <ns0:f>IF(AND(OR('前提と出典'!$C$36+'前提と出典'!$C$38=0,X806&gt;=0),OR('前提と出典'!$C$37+'前提と出典'!$C$38=0,Y806&gt;=0)),0,A806)</ns0:f>
        <ns0:v>0</ns0:v>
      </ns0:c>
    </ns0:row>
    <ns0:row r="807" ht="24" customHeight="1">
      <ns0:c r="A807" s="4" t="n">
        <ns0:v>803</ns0:v>
      </ns0:c>
      <ns0:c r="B807" s="12">
        <ns0:f>A807*('前提と出典'!$C$36+'前提と出典'!$C$38)</ns0:f>
        <ns0:v>562.0999999999999</ns0:v>
      </ns0:c>
      <ns0:c r="C807" s="12">
        <ns0:f>A807*('前提と出典'!$C$37+'前提と出典'!$C$38)</ns0:f>
        <ns0:v>481.79999999999995</ns0:v>
      </ns0:c>
      <ns0:c r="D807" s="16">
        <ns0:f>A807*('前提と出典'!$C$36*'契約別単価'!C5+'前提と出典'!$C$37*'契約別単価'!C6+'前提と出典'!$C$38*'契約別単価'!C7)</ns0:f>
        <ns0:v>5778.011173184357</ns0:v>
      </ns0:c>
      <ns0:c r="E807" s="16">
        <ns0:f>A807*('前提と出典'!$C$36*'契約別単価'!E5+'前提と出典'!$C$37*'契約別単価'!E6+'前提と出典'!$C$38*'契約別単価'!E7)</ns0:f>
        <ns0:v>2018639.9573624532</ns0:v>
      </ns0:c>
      <ns0:c r="F807" s="16">
        <ns0:f>A807*('前提と出典'!$C$36*'契約別単価'!F5+'前提と出典'!$C$37*'契約別単価'!F6+'前提と出典'!$C$38*'契約別単価'!F7)</ns0:f>
        <ns0:v>586565.1721959529</ns0:v>
      </ns0:c>
      <ns0:c r="G807" s="16">
        <ns0:f>A807*('前提と出典'!$C$36*'契約別単価'!G5+'前提と出典'!$C$37*'契約別単価'!G6+'前提と出典'!$C$38*'契約別単価'!G7)</ns0:f>
        <ns0:v>1598373.7430167596</ns0:v>
      </ns0:c>
      <ns0:c r="H807" s="16">
        <ns0:f>A807*('前提と出典'!$C$36*'契約別単価'!H5+'前提と出典'!$C$37*'契約別単価'!H6+'前提と出典'!$C$38*'契約別単価'!H7)</ns0:f>
        <ns0:v>554715.8535695234</ns0:v>
      </ns0:c>
      <ns0:c r="I807" s="16">
        <ns0:f>A807*('前提と出典'!$C$36*'契約別単価'!I5+'前提と出典'!$C$37*'契約別単価'!I6+'前提と出典'!$C$38*'契約別単価'!I7)</ns0:f>
        <ns0:v>33883.01117318435</ns0:v>
      </ns0:c>
      <ns0:c r="J807" s="16">
        <ns0:f>A807*('前提と出典'!$C$36*'契約別単価'!J5+'前提と出典'!$C$37*'契約別単価'!J6+'前提と出典'!$C$38*'契約別単価'!J7)</ns0:f>
        <ns0:v>78926.50359937295</ns0:v>
      </ns0:c>
      <ns0:c r="K807" s="16">
        <ns0:f>A807*('前提と出典'!$C$36*'契約別単価'!K5+'前提と出典'!$C$37*'契約別単価'!K6+'前提と出典'!$C$38*'契約別単価'!K7)</ns0:f>
        <ns0:v>338306.74115456233</ns0:v>
      </ns0:c>
      <ns0:c r="L807" s="16">
        <ns0:f>A807*('前提と出典'!$C$36*'契約別単価'!L5+'前提と出典'!$C$37*'契約別単価'!L6+'前提と出典'!$C$38*'契約別単価'!L7)</ns0:f>
        <ns0:v>275450.52845231746</ns0:v>
      </ns0:c>
      <ns0:c r="M807" s="16">
        <ns0:f>IF(('前提と出典'!$C$36+'前提と出典'!$C$38)=0,0,IF(B807&lt;=10,'前提と出典'!B73+'前提と出典'!C73,IF(B807&lt;=100,'前提と出典'!B74+'前提と出典'!C74,IF(B807&lt;=500,'前提と出典'!B75+'前提と出典'!C75,'前提と出典'!B76+'前提と出典'!C76))))</ns0:f>
        <ns0:v>80000</ns0:v>
      </ns0:c>
      <ns0:c r="N807" s="16">
        <ns0:f>IF(('前提と出典'!$C$37+'前提と出典'!$C$38)=0,0,IF(C807&lt;=10,'前提と出典'!D73+'前提と出典'!E73,IF(C807&lt;=100,'前提と出典'!D74+'前提と出典'!E74,IF(C807&lt;=500,'前提と出典'!D75+'前提と出典'!E75,'前提と出典'!D76+'前提と出典'!E76))))</ns0:f>
        <ns0:v>56510.9346263078</ns0:v>
      </ns0:c>
      <ns0:c r="O807" s="16">
        <ns0:f>IF('前提と出典'!$C$36+'前提と出典'!$C$38=0,0,'前提と出典'!$B$4*IF('前提と出典'!$B$20=0,MAX('前提と出典'!$B$6,D807*'前提と出典'!$B$5),'前提と出典'!$B$6+D807*'前提と出典'!$B$5))</ns0:f>
        <ns0:v>797365.5418994413</ns0:v>
      </ns0:c>
      <ns0:c r="P807" s="16">
        <ns0:f>(E807+G807)*(1-'前提と出典'!$B$7)-I807-K807-M807-O807</ns0:f>
        <ns0:v>2237245.912938373</ns0:v>
      </ns0:c>
      <ns0:c r="Q807" s="16">
        <ns0:f>(F807+H807)*(1-'前提と出典'!$B$7)-J807-L807-N807</ns0:f>
        <ns0:v>689306.9421599209</ns0:v>
      </ns0:c>
      <ns0:c r="R807" s="16">
        <ns0:f>P807-E807*'前提と出典'!$E$4</ns0:f>
        <ns0:v>1631653.9257296375</ns0:v>
      </ns0:c>
      <ns0:c r="S807" s="16">
        <ns0:f>Q807-F807*'前提と出典'!$E$4</ns0:f>
        <ns0:v>513337.390501135</ns0:v>
      </ns0:c>
      <ns0:c r="T807" s="7">
        <ns0:f>R807+S807</ns0:f>
        <ns0:v>2144991.3162307725</ns0:v>
      </ns0:c>
      <ns0:c r="U807" s="16">
        <ns0:f>P807-E807*'前提と出典'!$E$5</ns0:f>
        <ns0:v>1429789.929993392</ns0:v>
      </ns0:c>
      <ns0:c r="V807" s="16">
        <ns0:f>Q807-F807*'前提と出典'!$E$5</ns0:f>
        <ns0:v>454680.87328153977</ns0:v>
      </ns0:c>
      <ns0:c r="W807" s="7">
        <ns0:f>U807+V807</ns0:f>
        <ns0:v>1884470.8032749319</ns0:v>
      </ns0:c>
      <ns0:c r="X807" s="16">
        <ns0:f>P807-E807*'前提と出典'!$E$6</ns0:f>
        <ns0:v>1227925.9342571464</ns0:v>
      </ns0:c>
      <ns0:c r="Y807" s="16">
        <ns0:f>Q807-F807*'前提と出典'!$E$6</ns0:f>
        <ns0:v>396024.3560619445</ns0:v>
      </ns0:c>
      <ns0:c r="Z807" s="7">
        <ns0:f>X807+Y807</ns0:f>
        <ns0:v>1623950.290319091</ns0:v>
      </ns0:c>
      <ns0:c r="AA807" s="7">
        <ns0:f>IF(T807&gt;=0,A807,1001)</ns0:f>
        <ns0:v>803</ns0:v>
      </ns0:c>
      <ns0:c r="AB807" s="7">
        <ns0:f>IF(T807&lt;0,A807,0)</ns0:f>
        <ns0:v>0</ns0:v>
      </ns0:c>
      <ns0:c r="AC807" s="16">
        <ns0:f>IF(AND(OR('前提と出典'!$C$36+'前提と出典'!$C$38=0,R807&gt;=0),OR('前提と出典'!$C$37+'前提と出典'!$C$38=0,S807&gt;=0)),0,A807)</ns0:f>
        <ns0:v>0</ns0:v>
      </ns0:c>
      <ns0:c r="AD807" s="7">
        <ns0:f>IF(W807&gt;=0,A807,1001)</ns0:f>
        <ns0:v>803</ns0:v>
      </ns0:c>
      <ns0:c r="AE807" s="7">
        <ns0:f>IF(W807&lt;0,A807,0)</ns0:f>
        <ns0:v>0</ns0:v>
      </ns0:c>
      <ns0:c r="AF807" s="16">
        <ns0:f>IF(AND(OR('前提と出典'!$C$36+'前提と出典'!$C$38=0,U807&gt;=0),OR('前提と出典'!$C$37+'前提と出典'!$C$38=0,V807&gt;=0)),0,A807)</ns0:f>
        <ns0:v>0</ns0:v>
      </ns0:c>
      <ns0:c r="AG807" s="7">
        <ns0:f>IF(Z807&gt;=0,A807,1001)</ns0:f>
        <ns0:v>803</ns0:v>
      </ns0:c>
      <ns0:c r="AH807" s="4">
        <ns0:f>IF(Z807&lt;0,A807,0)</ns0:f>
        <ns0:v>0</ns0:v>
      </ns0:c>
      <ns0:c r="AI807" s="12">
        <ns0:f>IF(AND(OR('前提と出典'!$C$36+'前提と出典'!$C$38=0,X807&gt;=0),OR('前提と出典'!$C$37+'前提と出典'!$C$38=0,Y807&gt;=0)),0,A807)</ns0:f>
        <ns0:v>0</ns0:v>
      </ns0:c>
    </ns0:row>
    <ns0:row r="808" ht="24" customHeight="1">
      <ns0:c r="A808" s="4" t="n">
        <ns0:v>804</ns0:v>
      </ns0:c>
      <ns0:c r="B808" s="12">
        <ns0:f>A808*('前提と出典'!$C$36+'前提と出典'!$C$38)</ns0:f>
        <ns0:v>562.8</ns0:v>
      </ns0:c>
      <ns0:c r="C808" s="12">
        <ns0:f>A808*('前提と出典'!$C$37+'前提と出典'!$C$38)</ns0:f>
        <ns0:v>482.4</ns0:v>
      </ns0:c>
      <ns0:c r="D808" s="16">
        <ns0:f>A808*('前提と出典'!$C$36*'契約別単価'!C5+'前提と出典'!$C$37*'契約別単価'!C6+'前提と出典'!$C$38*'契約別単価'!C7)</ns0:f>
        <ns0:v>5785.206703910614</ns0:v>
      </ns0:c>
      <ns0:c r="E808" s="16">
        <ns0:f>A808*('前提と出典'!$C$36*'契約別単価'!E5+'前提と出典'!$C$37*'契約別単価'!E6+'前提と出典'!$C$38*'契約別単価'!E7)</ns0:f>
        <ns0:v>2021153.8302856942</ns0:v>
      </ns0:c>
      <ns0:c r="F808" s="16">
        <ns0:f>A808*('前提と出典'!$C$36*'契約別単価'!F5+'前提と出典'!$C$37*'契約別単価'!F6+'前提と出典'!$C$38*'契約別単価'!F7)</ns0:f>
        <ns0:v>587295.6394091484</ns0:v>
      </ns0:c>
      <ns0:c r="G808" s="16">
        <ns0:f>A808*('前提と出典'!$C$36*'契約別単価'!G5+'前提と出典'!$C$37*'契約別単価'!G6+'前提と出典'!$C$38*'契約別単価'!G7)</ns0:f>
        <ns0:v>1600364.2458100559</ns0:v>
      </ns0:c>
      <ns0:c r="H808" s="16">
        <ns0:f>A808*('前提と出典'!$C$36*'契約別単価'!H5+'前提と出典'!$C$37*'契約別単価'!H6+'前提と出典'!$C$38*'契約別単価'!H7)</ns0:f>
        <ns0:v>555406.6578703573</ns0:v>
      </ns0:c>
      <ns0:c r="I808" s="16">
        <ns0:f>A808*('前提と出典'!$C$36*'契約別単価'!I5+'前提と出典'!$C$37*'契約別単価'!I6+'前提と出典'!$C$38*'契約別単価'!I7)</ns0:f>
        <ns0:v>33925.20670391061</ns0:v>
      </ns0:c>
      <ns0:c r="J808" s="16">
        <ns0:f>A808*('前提と出典'!$C$36*'契約別単価'!J5+'前提と出典'!$C$37*'契約別単価'!J6+'前提と出典'!$C$38*'契約別単価'!J7)</ns0:f>
        <ns0:v>79024.79314308327</ns0:v>
      </ns0:c>
      <ns0:c r="K808" s="16">
        <ns0:f>A808*('前提と出典'!$C$36*'契約別単価'!K5+'前提と出典'!$C$37*'契約別単価'!K6+'前提と出典'!$C$38*'契約別単価'!K7)</ns0:f>
        <ns0:v>338728.0446927374</ns0:v>
      </ns0:c>
      <ns0:c r="L808" s="16">
        <ns0:f>A808*('前提と出典'!$C$36*'契約別単価'!L5+'前提と出典'!$C$37*'契約別単価'!L6+'前提と出典'!$C$38*'契約別単価'!L7)</ns0:f>
        <ns0:v>275793.55526234524</ns0:v>
      </ns0:c>
      <ns0:c r="M808" s="16">
        <ns0:f>IF(('前提と出典'!$C$36+'前提と出典'!$C$38)=0,0,IF(B808&lt;=10,'前提と出典'!B73+'前提と出典'!C73,IF(B808&lt;=100,'前提と出典'!B74+'前提と出典'!C74,IF(B808&lt;=500,'前提と出典'!B75+'前提と出典'!C75,'前提と出典'!B76+'前提と出典'!C76))))</ns0:f>
        <ns0:v>80000</ns0:v>
      </ns0:c>
      <ns0:c r="N808" s="16">
        <ns0:f>IF(('前提と出典'!$C$37+'前提と出典'!$C$38)=0,0,IF(C808&lt;=10,'前提と出典'!D73+'前提と出典'!E73,IF(C808&lt;=100,'前提と出典'!D74+'前提と出典'!E74,IF(C808&lt;=500,'前提と出典'!D75+'前提と出典'!E75,'前提と出典'!D76+'前提と出典'!E76))))</ns0:f>
        <ns0:v>56510.9346263078</ns0:v>
      </ns0:c>
      <ns0:c r="O808" s="16">
        <ns0:f>IF('前提と出典'!$C$36+'前提と出典'!$C$38=0,0,'前提と出典'!$B$4*IF('前提と出典'!$B$20=0,MAX('前提と出典'!$B$6,D808*'前提と出典'!$B$5),'前提と出典'!$B$6+D808*'前提と出典'!$B$5))</ns0:f>
        <ns0:v>798358.5251396648</ns0:v>
      </ns0:c>
      <ns0:c r="P808" s="16">
        <ns0:f>(E808+G808)*(1-'前提と出典'!$B$7)-I808-K808-M808-O808</ns0:f>
        <ns0:v>2240131.64881999</ns0:v>
      </ns0:c>
      <ns0:c r="Q808" s="16">
        <ns0:f>(F808+H808)*(1-'前提と出典'!$B$7)-J808-L808-N808</ns0:f>
        <ns0:v>690235.7315457071</ns0:v>
      </ns0:c>
      <ns0:c r="R808" s="16">
        <ns0:f>P808-E808*'前提と出典'!$E$4</ns0:f>
        <ns0:v>1633785.4997342816</ns0:v>
      </ns0:c>
      <ns0:c r="S808" s="16">
        <ns0:f>Q808-F808*'前提と出典'!$E$4</ns0:f>
        <ns0:v>514047.03972296265</ns0:v>
      </ns0:c>
      <ns0:c r="T808" s="7">
        <ns0:f>R808+S808</ns0:f>
        <ns0:v>2147832.5394572443</ns0:v>
      </ns0:c>
      <ns0:c r="U808" s="16">
        <ns0:f>P808-E808*'前提と出典'!$E$5</ns0:f>
        <ns0:v>1431670.1167057124</ns0:v>
      </ns0:c>
      <ns0:c r="V808" s="16">
        <ns0:f>Q808-F808*'前提と出典'!$E$5</ns0:f>
        <ns0:v>455317.4757820477</ns0:v>
      </ns0:c>
      <ns0:c r="W808" s="7">
        <ns0:f>U808+V808</ns0:f>
        <ns0:v>1886987.5924877601</ns0:v>
      </ns0:c>
      <ns0:c r="X808" s="16">
        <ns0:f>P808-E808*'前提と出典'!$E$6</ns0:f>
        <ns0:v>1229554.7336771428</ns0:v>
      </ns0:c>
      <ns0:c r="Y808" s="16">
        <ns0:f>Q808-F808*'前提と出典'!$E$6</ns0:f>
        <ns0:v>396587.9118411329</ns0:v>
      </ns0:c>
      <ns0:c r="Z808" s="7">
        <ns0:f>X808+Y808</ns0:f>
        <ns0:v>1626142.6455182757</ns0:v>
      </ns0:c>
      <ns0:c r="AA808" s="7">
        <ns0:f>IF(T808&gt;=0,A808,1001)</ns0:f>
        <ns0:v>804</ns0:v>
      </ns0:c>
      <ns0:c r="AB808" s="7">
        <ns0:f>IF(T808&lt;0,A808,0)</ns0:f>
        <ns0:v>0</ns0:v>
      </ns0:c>
      <ns0:c r="AC808" s="16">
        <ns0:f>IF(AND(OR('前提と出典'!$C$36+'前提と出典'!$C$38=0,R808&gt;=0),OR('前提と出典'!$C$37+'前提と出典'!$C$38=0,S808&gt;=0)),0,A808)</ns0:f>
        <ns0:v>0</ns0:v>
      </ns0:c>
      <ns0:c r="AD808" s="7">
        <ns0:f>IF(W808&gt;=0,A808,1001)</ns0:f>
        <ns0:v>804</ns0:v>
      </ns0:c>
      <ns0:c r="AE808" s="7">
        <ns0:f>IF(W808&lt;0,A808,0)</ns0:f>
        <ns0:v>0</ns0:v>
      </ns0:c>
      <ns0:c r="AF808" s="16">
        <ns0:f>IF(AND(OR('前提と出典'!$C$36+'前提と出典'!$C$38=0,U808&gt;=0),OR('前提と出典'!$C$37+'前提と出典'!$C$38=0,V808&gt;=0)),0,A808)</ns0:f>
        <ns0:v>0</ns0:v>
      </ns0:c>
      <ns0:c r="AG808" s="7">
        <ns0:f>IF(Z808&gt;=0,A808,1001)</ns0:f>
        <ns0:v>804</ns0:v>
      </ns0:c>
      <ns0:c r="AH808" s="4">
        <ns0:f>IF(Z808&lt;0,A808,0)</ns0:f>
        <ns0:v>0</ns0:v>
      </ns0:c>
      <ns0:c r="AI808" s="12">
        <ns0:f>IF(AND(OR('前提と出典'!$C$36+'前提と出典'!$C$38=0,X808&gt;=0),OR('前提と出典'!$C$37+'前提と出典'!$C$38=0,Y808&gt;=0)),0,A808)</ns0:f>
        <ns0:v>0</ns0:v>
      </ns0:c>
    </ns0:row>
    <ns0:row r="809" ht="24" customHeight="1">
      <ns0:c r="A809" s="4" t="n">
        <ns0:v>805</ns0:v>
      </ns0:c>
      <ns0:c r="B809" s="12">
        <ns0:f>A809*('前提と出典'!$C$36+'前提と出典'!$C$38)</ns0:f>
        <ns0:v>563.5</ns0:v>
      </ns0:c>
      <ns0:c r="C809" s="12">
        <ns0:f>A809*('前提と出典'!$C$37+'前提と出典'!$C$38)</ns0:f>
        <ns0:v>483</ns0:v>
      </ns0:c>
      <ns0:c r="D809" s="16">
        <ns0:f>A809*('前提と出典'!$C$36*'契約別単価'!C5+'前提と出典'!$C$37*'契約別単価'!C6+'前提と出典'!$C$38*'契約別単価'!C7)</ns0:f>
        <ns0:v>5792.402234636871</ns0:v>
      </ns0:c>
      <ns0:c r="E809" s="16">
        <ns0:f>A809*('前提と出典'!$C$36*'契約別単価'!E5+'前提と出典'!$C$37*'契約別単価'!E6+'前提と出典'!$C$38*'契約別単価'!E7)</ns0:f>
        <ns0:v>2023667.7032089352</ns0:v>
      </ns0:c>
      <ns0:c r="F809" s="16">
        <ns0:f>A809*('前提と出典'!$C$36*'契約別単価'!F5+'前提と出典'!$C$37*'契約別単価'!F6+'前提と出典'!$C$38*'契約別単価'!F7)</ns0:f>
        <ns0:v>588026.1066223438</ns0:v>
      </ns0:c>
      <ns0:c r="G809" s="16">
        <ns0:f>A809*('前提と出典'!$C$36*'契約別単価'!G5+'前提と出典'!$C$37*'契約別単価'!G6+'前提と出典'!$C$38*'契約別単価'!G7)</ns0:f>
        <ns0:v>1602354.7486033519</ns0:v>
      </ns0:c>
      <ns0:c r="H809" s="16">
        <ns0:f>A809*('前提と出典'!$C$36*'契約別単価'!H5+'前提と出典'!$C$37*'契約別単価'!H6+'前提と出典'!$C$38*'契約別単価'!H7)</ns0:f>
        <ns0:v>556097.462171191</ns0:v>
      </ns0:c>
      <ns0:c r="I809" s="16">
        <ns0:f>A809*('前提と出典'!$C$36*'契約別単価'!I5+'前提と出典'!$C$37*'契約別単価'!I6+'前提と出典'!$C$38*'契約別単価'!I7)</ns0:f>
        <ns0:v>33967.402234636866</ns0:v>
      </ns0:c>
      <ns0:c r="J809" s="16">
        <ns0:f>A809*('前提と出典'!$C$36*'契約別単価'!J5+'前提と出典'!$C$37*'契約別単価'!J6+'前提と出典'!$C$38*'契約別単価'!J7)</ns0:f>
        <ns0:v>79123.08268679357</ns0:v>
      </ns0:c>
      <ns0:c r="K809" s="16">
        <ns0:f>A809*('前提と出典'!$C$36*'契約別単価'!K5+'前提と出典'!$C$37*'契約別単価'!K6+'前提と出典'!$C$38*'契約別単価'!K7)</ns0:f>
        <ns0:v>339149.34823091247</ns0:v>
      </ns0:c>
      <ns0:c r="L809" s="16">
        <ns0:f>A809*('前提と出典'!$C$36*'契約別単価'!L5+'前提と出典'!$C$37*'契約別単価'!L6+'前提と出典'!$C$38*'契約別単価'!L7)</ns0:f>
        <ns0:v>276136.582072373</ns0:v>
      </ns0:c>
      <ns0:c r="M809" s="16">
        <ns0:f>IF(('前提と出典'!$C$36+'前提と出典'!$C$38)=0,0,IF(B809&lt;=10,'前提と出典'!B73+'前提と出典'!C73,IF(B809&lt;=100,'前提と出典'!B74+'前提と出典'!C74,IF(B809&lt;=500,'前提と出典'!B75+'前提と出典'!C75,'前提と出典'!B76+'前提と出典'!C76))))</ns0:f>
        <ns0:v>80000</ns0:v>
      </ns0:c>
      <ns0:c r="N809" s="16">
        <ns0:f>IF(('前提と出典'!$C$37+'前提と出典'!$C$38)=0,0,IF(C809&lt;=10,'前提と出典'!D73+'前提と出典'!E73,IF(C809&lt;=100,'前提と出典'!D74+'前提と出典'!E74,IF(C809&lt;=500,'前提と出典'!D75+'前提と出典'!E75,'前提と出典'!D76+'前提と出典'!E76))))</ns0:f>
        <ns0:v>56510.9346263078</ns0:v>
      </ns0:c>
      <ns0:c r="O809" s="16">
        <ns0:f>IF('前提と出典'!$C$36+'前提と出典'!$C$38=0,0,'前提と出典'!$B$4*IF('前提と出典'!$B$20=0,MAX('前提と出典'!$B$6,D809*'前提と出典'!$B$5),'前提と出典'!$B$6+D809*'前提と出典'!$B$5))</ns0:f>
        <ns0:v>799351.5083798883</ns0:v>
      </ns0:c>
      <ns0:c r="P809" s="16">
        <ns0:f>(E809+G809)*(1-'前提と出典'!$B$7)-I809-K809-M809-O809</ns0:f>
        <ns0:v>2243017.3847016073</ns0:v>
      </ns0:c>
      <ns0:c r="Q809" s="16">
        <ns0:f>(F809+H809)*(1-'前提と出典'!$B$7)-J809-L809-N809</ns0:f>
        <ns0:v>691164.5209314933</ns0:v>
      </ns0:c>
      <ns0:c r="R809" s="16">
        <ns0:f>P809-E809*'前提と出典'!$E$4</ns0:f>
        <ns0:v>1635917.0737389266</ns0:v>
      </ns0:c>
      <ns0:c r="S809" s="16">
        <ns0:f>Q809-F809*'前提と出典'!$E$4</ns0:f>
        <ns0:v>514756.68894479005</ns0:v>
      </ns0:c>
      <ns0:c r="T809" s="7">
        <ns0:f>R809+S809</ns0:f>
        <ns0:v>2150673.7626837166</ns0:v>
      </ns0:c>
      <ns0:c r="U809" s="16">
        <ns0:f>P809-E809*'前提と出典'!$E$5</ns0:f>
        <ns0:v>1433550.3034180333</ns0:v>
      </ns0:c>
      <ns0:c r="V809" s="16">
        <ns0:f>Q809-F809*'前提と出典'!$E$5</ns0:f>
        <ns0:v>455954.0782825557</ns0:v>
      </ns0:c>
      <ns0:c r="W809" s="7">
        <ns0:f>U809+V809</ns0:f>
        <ns0:v>1889504.3817005889</ns0:v>
      </ns0:c>
      <ns0:c r="X809" s="16">
        <ns0:f>P809-E809*'前提と出典'!$E$6</ns0:f>
        <ns0:v>1231183.5330971396</ns0:v>
      </ns0:c>
      <ns0:c r="Y809" s="16">
        <ns0:f>Q809-F809*'前提と出典'!$E$6</ns0:f>
        <ns0:v>397151.4676203212</ns0:v>
      </ns0:c>
      <ns0:c r="Z809" s="7">
        <ns0:f>X809+Y809</ns0:f>
        <ns0:v>1628335.0007174606</ns0:v>
      </ns0:c>
      <ns0:c r="AA809" s="7">
        <ns0:f>IF(T809&gt;=0,A809,1001)</ns0:f>
        <ns0:v>805</ns0:v>
      </ns0:c>
      <ns0:c r="AB809" s="7">
        <ns0:f>IF(T809&lt;0,A809,0)</ns0:f>
        <ns0:v>0</ns0:v>
      </ns0:c>
      <ns0:c r="AC809" s="16">
        <ns0:f>IF(AND(OR('前提と出典'!$C$36+'前提と出典'!$C$38=0,R809&gt;=0),OR('前提と出典'!$C$37+'前提と出典'!$C$38=0,S809&gt;=0)),0,A809)</ns0:f>
        <ns0:v>0</ns0:v>
      </ns0:c>
      <ns0:c r="AD809" s="7">
        <ns0:f>IF(W809&gt;=0,A809,1001)</ns0:f>
        <ns0:v>805</ns0:v>
      </ns0:c>
      <ns0:c r="AE809" s="7">
        <ns0:f>IF(W809&lt;0,A809,0)</ns0:f>
        <ns0:v>0</ns0:v>
      </ns0:c>
      <ns0:c r="AF809" s="16">
        <ns0:f>IF(AND(OR('前提と出典'!$C$36+'前提と出典'!$C$38=0,U809&gt;=0),OR('前提と出典'!$C$37+'前提と出典'!$C$38=0,V809&gt;=0)),0,A809)</ns0:f>
        <ns0:v>0</ns0:v>
      </ns0:c>
      <ns0:c r="AG809" s="7">
        <ns0:f>IF(Z809&gt;=0,A809,1001)</ns0:f>
        <ns0:v>805</ns0:v>
      </ns0:c>
      <ns0:c r="AH809" s="4">
        <ns0:f>IF(Z809&lt;0,A809,0)</ns0:f>
        <ns0:v>0</ns0:v>
      </ns0:c>
      <ns0:c r="AI809" s="12">
        <ns0:f>IF(AND(OR('前提と出典'!$C$36+'前提と出典'!$C$38=0,X809&gt;=0),OR('前提と出典'!$C$37+'前提と出典'!$C$38=0,Y809&gt;=0)),0,A809)</ns0:f>
        <ns0:v>0</ns0:v>
      </ns0:c>
    </ns0:row>
    <ns0:row r="810" ht="24" customHeight="1">
      <ns0:c r="A810" s="4" t="n">
        <ns0:v>806</ns0:v>
      </ns0:c>
      <ns0:c r="B810" s="12">
        <ns0:f>A810*('前提と出典'!$C$36+'前提と出典'!$C$38)</ns0:f>
        <ns0:v>564.1999999999999</ns0:v>
      </ns0:c>
      <ns0:c r="C810" s="12">
        <ns0:f>A810*('前提と出典'!$C$37+'前提と出典'!$C$38)</ns0:f>
        <ns0:v>483.59999999999997</ns0:v>
      </ns0:c>
      <ns0:c r="D810" s="16">
        <ns0:f>A810*('前提と出典'!$C$36*'契約別単価'!C5+'前提と出典'!$C$37*'契約別単価'!C6+'前提と出典'!$C$38*'契約別単価'!C7)</ns0:f>
        <ns0:v>5799.597765363128</ns0:v>
      </ns0:c>
      <ns0:c r="E810" s="16">
        <ns0:f>A810*('前提と出典'!$C$36*'契約別単価'!E5+'前提と出典'!$C$37*'契約別単価'!E6+'前提と出典'!$C$38*'契約別単価'!E7)</ns0:f>
        <ns0:v>2026181.576132176</ns0:v>
      </ns0:c>
      <ns0:c r="F810" s="16">
        <ns0:f>A810*('前提と出典'!$C$36*'契約別単価'!F5+'前提と出典'!$C$37*'契約別単価'!F6+'前提と出典'!$C$38*'契約別単価'!F7)</ns0:f>
        <ns0:v>588756.5738355393</ns0:v>
      </ns0:c>
      <ns0:c r="G810" s="16">
        <ns0:f>A810*('前提と出典'!$C$36*'契約別単価'!G5+'前提と出典'!$C$37*'契約別単価'!G6+'前提と出典'!$C$38*'契約別単価'!G7)</ns0:f>
        <ns0:v>1604345.251396648</ns0:v>
      </ns0:c>
      <ns0:c r="H810" s="16">
        <ns0:f>A810*('前提と出典'!$C$36*'契約別単価'!H5+'前提と出典'!$C$37*'契約別単価'!H6+'前提と出典'!$C$38*'契約別単価'!H7)</ns0:f>
        <ns0:v>556788.2664720248</ns0:v>
      </ns0:c>
      <ns0:c r="I810" s="16">
        <ns0:f>A810*('前提と出典'!$C$36*'契約別単価'!I5+'前提と出典'!$C$37*'契約別単価'!I6+'前提と出典'!$C$38*'契約別単価'!I7)</ns0:f>
        <ns0:v>34009.59776536312</ns0:v>
      </ns0:c>
      <ns0:c r="J810" s="16">
        <ns0:f>A810*('前提と出典'!$C$36*'契約別単価'!J5+'前提と出典'!$C$37*'契約別単価'!J6+'前提と出典'!$C$38*'契約別単価'!J7)</ns0:f>
        <ns0:v>79221.37223050387</ns0:v>
      </ns0:c>
      <ns0:c r="K810" s="16">
        <ns0:f>A810*('前提と出典'!$C$36*'契約別単価'!K5+'前提と出典'!$C$37*'契約別単価'!K6+'前提と出典'!$C$38*'契約別単価'!K7)</ns0:f>
        <ns0:v>339570.6517690875</ns0:v>
      </ns0:c>
      <ns0:c r="L810" s="16">
        <ns0:f>A810*('前提と出典'!$C$36*'契約別単価'!L5+'前提と出典'!$C$37*'契約別単価'!L6+'前提と出典'!$C$38*'契約別単価'!L7)</ns0:f>
        <ns0:v>276479.6088824008</ns0:v>
      </ns0:c>
      <ns0:c r="M810" s="16">
        <ns0:f>IF(('前提と出典'!$C$36+'前提と出典'!$C$38)=0,0,IF(B810&lt;=10,'前提と出典'!B73+'前提と出典'!C73,IF(B810&lt;=100,'前提と出典'!B74+'前提と出典'!C74,IF(B810&lt;=500,'前提と出典'!B75+'前提と出典'!C75,'前提と出典'!B76+'前提と出典'!C76))))</ns0:f>
        <ns0:v>80000</ns0:v>
      </ns0:c>
      <ns0:c r="N810" s="16">
        <ns0:f>IF(('前提と出典'!$C$37+'前提と出典'!$C$38)=0,0,IF(C810&lt;=10,'前提と出典'!D73+'前提と出典'!E73,IF(C810&lt;=100,'前提と出典'!D74+'前提と出典'!E74,IF(C810&lt;=500,'前提と出典'!D75+'前提と出典'!E75,'前提と出典'!D76+'前提と出典'!E76))))</ns0:f>
        <ns0:v>56510.9346263078</ns0:v>
      </ns0:c>
      <ns0:c r="O810" s="16">
        <ns0:f>IF('前提と出典'!$C$36+'前提と出典'!$C$38=0,0,'前提と出典'!$B$4*IF('前提と出典'!$B$20=0,MAX('前提と出典'!$B$6,D810*'前提と出典'!$B$5),'前提と出典'!$B$6+D810*'前提と出典'!$B$5))</ns0:f>
        <ns0:v>800344.4916201117</ns0:v>
      </ns0:c>
      <ns0:c r="P810" s="16">
        <ns0:f>(E810+G810)*(1-'前提と出典'!$B$7)-I810-K810-M810-O810</ns0:f>
        <ns0:v>2245903.1205832236</ns0:v>
      </ns0:c>
      <ns0:c r="Q810" s="16">
        <ns0:f>(F810+H810)*(1-'前提と出典'!$B$7)-J810-L810-N810</ns0:f>
        <ns0:v>692093.3103172793</ns0:v>
      </ns0:c>
      <ns0:c r="R810" s="16">
        <ns0:f>P810-E810*'前提と出典'!$E$4</ns0:f>
        <ns0:v>1638048.647743571</ns0:v>
      </ns0:c>
      <ns0:c r="S810" s="16">
        <ns0:f>Q810-F810*'前提と出典'!$E$4</ns0:f>
        <ns0:v>515466.33816661756</ns0:v>
      </ns0:c>
      <ns0:c r="T810" s="7">
        <ns0:f>R810+S810</ns0:f>
        <ns0:v>2153514.9859101884</ns0:v>
      </ns0:c>
      <ns0:c r="U810" s="16">
        <ns0:f>P810-E810*'前提と出典'!$E$5</ns0:f>
        <ns0:v>1435430.4901303533</ns0:v>
      </ns0:c>
      <ns0:c r="V810" s="16">
        <ns0:f>Q810-F810*'前提と出典'!$E$5</ns0:f>
        <ns0:v>456590.68078306364</ns0:v>
      </ns0:c>
      <ns0:c r="W810" s="7">
        <ns0:f>U810+V810</ns0:f>
        <ns0:v>1892021.170913417</ns0:v>
      </ns0:c>
      <ns0:c r="X810" s="16">
        <ns0:f>P810-E810*'前提と出典'!$E$6</ns0:f>
        <ns0:v>1232812.3325171354</ns0:v>
      </ns0:c>
      <ns0:c r="Y810" s="16">
        <ns0:f>Q810-F810*'前提と出典'!$E$6</ns0:f>
        <ns0:v>397715.0233995097</ns0:v>
      </ns0:c>
      <ns0:c r="Z810" s="7">
        <ns0:f>X810+Y810</ns0:f>
        <ns0:v>1630527.3559166451</ns0:v>
      </ns0:c>
      <ns0:c r="AA810" s="7">
        <ns0:f>IF(T810&gt;=0,A810,1001)</ns0:f>
        <ns0:v>806</ns0:v>
      </ns0:c>
      <ns0:c r="AB810" s="7">
        <ns0:f>IF(T810&lt;0,A810,0)</ns0:f>
        <ns0:v>0</ns0:v>
      </ns0:c>
      <ns0:c r="AC810" s="16">
        <ns0:f>IF(AND(OR('前提と出典'!$C$36+'前提と出典'!$C$38=0,R810&gt;=0),OR('前提と出典'!$C$37+'前提と出典'!$C$38=0,S810&gt;=0)),0,A810)</ns0:f>
        <ns0:v>0</ns0:v>
      </ns0:c>
      <ns0:c r="AD810" s="7">
        <ns0:f>IF(W810&gt;=0,A810,1001)</ns0:f>
        <ns0:v>806</ns0:v>
      </ns0:c>
      <ns0:c r="AE810" s="7">
        <ns0:f>IF(W810&lt;0,A810,0)</ns0:f>
        <ns0:v>0</ns0:v>
      </ns0:c>
      <ns0:c r="AF810" s="16">
        <ns0:f>IF(AND(OR('前提と出典'!$C$36+'前提と出典'!$C$38=0,U810&gt;=0),OR('前提と出典'!$C$37+'前提と出典'!$C$38=0,V810&gt;=0)),0,A810)</ns0:f>
        <ns0:v>0</ns0:v>
      </ns0:c>
      <ns0:c r="AG810" s="7">
        <ns0:f>IF(Z810&gt;=0,A810,1001)</ns0:f>
        <ns0:v>806</ns0:v>
      </ns0:c>
      <ns0:c r="AH810" s="4">
        <ns0:f>IF(Z810&lt;0,A810,0)</ns0:f>
        <ns0:v>0</ns0:v>
      </ns0:c>
      <ns0:c r="AI810" s="12">
        <ns0:f>IF(AND(OR('前提と出典'!$C$36+'前提と出典'!$C$38=0,X810&gt;=0),OR('前提と出典'!$C$37+'前提と出典'!$C$38=0,Y810&gt;=0)),0,A810)</ns0:f>
        <ns0:v>0</ns0:v>
      </ns0:c>
    </ns0:row>
    <ns0:row r="811" ht="24" customHeight="1">
      <ns0:c r="A811" s="4" t="n">
        <ns0:v>807</ns0:v>
      </ns0:c>
      <ns0:c r="B811" s="12">
        <ns0:f>A811*('前提と出典'!$C$36+'前提と出典'!$C$38)</ns0:f>
        <ns0:v>564.9</ns0:v>
      </ns0:c>
      <ns0:c r="C811" s="12">
        <ns0:f>A811*('前提と出典'!$C$37+'前提と出典'!$C$38)</ns0:f>
        <ns0:v>484.2</ns0:v>
      </ns0:c>
      <ns0:c r="D811" s="16">
        <ns0:f>A811*('前提と出典'!$C$36*'契約別単価'!C5+'前提と出典'!$C$37*'契約別単価'!C6+'前提と出典'!$C$38*'契約別単価'!C7)</ns0:f>
        <ns0:v>5806.793296089386</ns0:v>
      </ns0:c>
      <ns0:c r="E811" s="16">
        <ns0:f>A811*('前提と出典'!$C$36*'契約別単価'!E5+'前提と出典'!$C$37*'契約別単価'!E6+'前提と出典'!$C$38*'契約別単価'!E7)</ns0:f>
        <ns0:v>2028695.449055417</ns0:v>
      </ns0:c>
      <ns0:c r="F811" s="16">
        <ns0:f>A811*('前提と出典'!$C$36*'契約別単価'!F5+'前提と出典'!$C$37*'契約別単価'!F6+'前提と出典'!$C$38*'契約別単価'!F7)</ns0:f>
        <ns0:v>589487.0410487347</ns0:v>
      </ns0:c>
      <ns0:c r="G811" s="16">
        <ns0:f>A811*('前提と出典'!$C$36*'契約別単価'!G5+'前提と出典'!$C$37*'契約別単価'!G6+'前提と出典'!$C$38*'契約別単価'!G7)</ns0:f>
        <ns0:v>1606335.7541899441</ns0:v>
      </ns0:c>
      <ns0:c r="H811" s="16">
        <ns0:f>A811*('前提と出典'!$C$36*'契約別単価'!H5+'前提と出典'!$C$37*'契約別単価'!H6+'前提と出典'!$C$38*'契約別単価'!H7)</ns0:f>
        <ns0:v>557479.0707728586</ns0:v>
      </ns0:c>
      <ns0:c r="I811" s="16">
        <ns0:f>A811*('前提と出典'!$C$36*'契約別単価'!I5+'前提と出典'!$C$37*'契約別単価'!I6+'前提と出典'!$C$38*'契約別単価'!I7)</ns0:f>
        <ns0:v>34051.79329608938</ns0:v>
      </ns0:c>
      <ns0:c r="J811" s="16">
        <ns0:f>A811*('前提と出典'!$C$36*'契約別単価'!J5+'前提と出典'!$C$37*'契約別単価'!J6+'前提と出典'!$C$38*'契約別単価'!J7)</ns0:f>
        <ns0:v>79319.66177421417</ns0:v>
      </ns0:c>
      <ns0:c r="K811" s="16">
        <ns0:f>A811*('前提と出典'!$C$36*'契約別単価'!K5+'前提と出典'!$C$37*'契約別単価'!K6+'前提と出典'!$C$38*'契約別単価'!K7)</ns0:f>
        <ns0:v>339991.95530726254</ns0:v>
      </ns0:c>
      <ns0:c r="L811" s="16">
        <ns0:f>A811*('前提と出典'!$C$36*'契約別単価'!L5+'前提と出典'!$C$37*'契約別単価'!L6+'前提と出典'!$C$38*'契約別単価'!L7)</ns0:f>
        <ns0:v>276822.6356924286</ns0:v>
      </ns0:c>
      <ns0:c r="M811" s="16">
        <ns0:f>IF(('前提と出典'!$C$36+'前提と出典'!$C$38)=0,0,IF(B811&lt;=10,'前提と出典'!B73+'前提と出典'!C73,IF(B811&lt;=100,'前提と出典'!B74+'前提と出典'!C74,IF(B811&lt;=500,'前提と出典'!B75+'前提と出典'!C75,'前提と出典'!B76+'前提と出典'!C76))))</ns0:f>
        <ns0:v>80000</ns0:v>
      </ns0:c>
      <ns0:c r="N811" s="16">
        <ns0:f>IF(('前提と出典'!$C$37+'前提と出典'!$C$38)=0,0,IF(C811&lt;=10,'前提と出典'!D73+'前提と出典'!E73,IF(C811&lt;=100,'前提と出典'!D74+'前提と出典'!E74,IF(C811&lt;=500,'前提と出典'!D75+'前提と出典'!E75,'前提と出典'!D76+'前提と出典'!E76))))</ns0:f>
        <ns0:v>56510.9346263078</ns0:v>
      </ns0:c>
      <ns0:c r="O811" s="16">
        <ns0:f>IF('前提と出典'!$C$36+'前提と出典'!$C$38=0,0,'前提と出典'!$B$4*IF('前提と出典'!$B$20=0,MAX('前提と出典'!$B$6,D811*'前提と出典'!$B$5),'前提と出典'!$B$6+D811*'前提と出典'!$B$5))</ns0:f>
        <ns0:v>801337.4748603354</ns0:v>
      </ns0:c>
      <ns0:c r="P811" s="16">
        <ns0:f>(E811+G811)*(1-'前提と出典'!$B$7)-I811-K811-M811-O811</ns0:f>
        <ns0:v>2248788.8564648414</ns0:v>
      </ns0:c>
      <ns0:c r="Q811" s="16">
        <ns0:f>(F811+H811)*(1-'前提と出典'!$B$7)-J811-L811-N811</ns0:f>
        <ns0:v>693022.0997030654</ns0:v>
      </ns0:c>
      <ns0:c r="R811" s="16">
        <ns0:f>P811-E811*'前提と出典'!$E$4</ns0:f>
        <ns0:v>1640180.221748216</ns0:v>
      </ns0:c>
      <ns0:c r="S811" s="16">
        <ns0:f>Q811-F811*'前提と出典'!$E$4</ns0:f>
        <ns0:v>516175.98738844483</ns0:v>
      </ns0:c>
      <ns0:c r="T811" s="7">
        <ns0:f>R811+S811</ns0:f>
        <ns0:v>2156356.209136661</ns0:v>
      </ns0:c>
      <ns0:c r="U811" s="16">
        <ns0:f>P811-E811*'前提と出典'!$E$5</ns0:f>
        <ns0:v>1437310.6768426746</ns0:v>
      </ns0:c>
      <ns0:c r="V811" s="16">
        <ns0:f>Q811-F811*'前提と出典'!$E$5</ns0:f>
        <ns0:v>457227.2832835714</ns0:v>
      </ns0:c>
      <ns0:c r="W811" s="7">
        <ns0:f>U811+V811</ns0:f>
        <ns0:v>1894537.960126246</ns0:v>
      </ns0:c>
      <ns0:c r="X811" s="16">
        <ns0:f>P811-E811*'前提と出典'!$E$6</ns0:f>
        <ns0:v>1234441.1319371331</ns0:v>
      </ns0:c>
      <ns0:c r="Y811" s="16">
        <ns0:f>Q811-F811*'前提と出典'!$E$6</ns0:f>
        <ns0:v>398278.57917869795</ns0:v>
      </ns0:c>
      <ns0:c r="Z811" s="7">
        <ns0:f>X811+Y811</ns0:f>
        <ns0:v>1632719.711115831</ns0:v>
      </ns0:c>
      <ns0:c r="AA811" s="7">
        <ns0:f>IF(T811&gt;=0,A811,1001)</ns0:f>
        <ns0:v>807</ns0:v>
      </ns0:c>
      <ns0:c r="AB811" s="7">
        <ns0:f>IF(T811&lt;0,A811,0)</ns0:f>
        <ns0:v>0</ns0:v>
      </ns0:c>
      <ns0:c r="AC811" s="16">
        <ns0:f>IF(AND(OR('前提と出典'!$C$36+'前提と出典'!$C$38=0,R811&gt;=0),OR('前提と出典'!$C$37+'前提と出典'!$C$38=0,S811&gt;=0)),0,A811)</ns0:f>
        <ns0:v>0</ns0:v>
      </ns0:c>
      <ns0:c r="AD811" s="7">
        <ns0:f>IF(W811&gt;=0,A811,1001)</ns0:f>
        <ns0:v>807</ns0:v>
      </ns0:c>
      <ns0:c r="AE811" s="7">
        <ns0:f>IF(W811&lt;0,A811,0)</ns0:f>
        <ns0:v>0</ns0:v>
      </ns0:c>
      <ns0:c r="AF811" s="16">
        <ns0:f>IF(AND(OR('前提と出典'!$C$36+'前提と出典'!$C$38=0,U811&gt;=0),OR('前提と出典'!$C$37+'前提と出典'!$C$38=0,V811&gt;=0)),0,A811)</ns0:f>
        <ns0:v>0</ns0:v>
      </ns0:c>
      <ns0:c r="AG811" s="7">
        <ns0:f>IF(Z811&gt;=0,A811,1001)</ns0:f>
        <ns0:v>807</ns0:v>
      </ns0:c>
      <ns0:c r="AH811" s="4">
        <ns0:f>IF(Z811&lt;0,A811,0)</ns0:f>
        <ns0:v>0</ns0:v>
      </ns0:c>
      <ns0:c r="AI811" s="12">
        <ns0:f>IF(AND(OR('前提と出典'!$C$36+'前提と出典'!$C$38=0,X811&gt;=0),OR('前提と出典'!$C$37+'前提と出典'!$C$38=0,Y811&gt;=0)),0,A811)</ns0:f>
        <ns0:v>0</ns0:v>
      </ns0:c>
    </ns0:row>
    <ns0:row r="812" ht="24" customHeight="1">
      <ns0:c r="A812" s="4" t="n">
        <ns0:v>808</ns0:v>
      </ns0:c>
      <ns0:c r="B812" s="12">
        <ns0:f>A812*('前提と出典'!$C$36+'前提と出典'!$C$38)</ns0:f>
        <ns0:v>565.5999999999999</ns0:v>
      </ns0:c>
      <ns0:c r="C812" s="12">
        <ns0:f>A812*('前提と出典'!$C$37+'前提と出典'!$C$38)</ns0:f>
        <ns0:v>484.79999999999995</ns0:v>
      </ns0:c>
      <ns0:c r="D812" s="16">
        <ns0:f>A812*('前提と出典'!$C$36*'契約別単価'!C5+'前提と出典'!$C$37*'契約別単価'!C6+'前提と出典'!$C$38*'契約別単価'!C7)</ns0:f>
        <ns0:v>5813.988826815643</ns0:v>
      </ns0:c>
      <ns0:c r="E812" s="16">
        <ns0:f>A812*('前提と出典'!$C$36*'契約別単価'!E5+'前提と出典'!$C$37*'契約別単価'!E6+'前提と出典'!$C$38*'契約別単価'!E7)</ns0:f>
        <ns0:v>2031209.321978658</ns0:v>
      </ns0:c>
      <ns0:c r="F812" s="16">
        <ns0:f>A812*('前提と出典'!$C$36*'契約別単価'!F5+'前提と出典'!$C$37*'契約別単価'!F6+'前提と出典'!$C$38*'契約別単価'!F7)</ns0:f>
        <ns0:v>590217.5082619302</ns0:v>
      </ns0:c>
      <ns0:c r="G812" s="16">
        <ns0:f>A812*('前提と出典'!$C$36*'契約別単価'!G5+'前提と出典'!$C$37*'契約別単価'!G6+'前提と出典'!$C$38*'契約別単価'!G7)</ns0:f>
        <ns0:v>1608326.2569832401</ns0:v>
      </ns0:c>
      <ns0:c r="H812" s="16">
        <ns0:f>A812*('前提と出典'!$C$36*'契約別単価'!H5+'前提と出典'!$C$37*'契約別単価'!H6+'前提と出典'!$C$38*'契約別単価'!H7)</ns0:f>
        <ns0:v>558169.8750736924</ns0:v>
      </ns0:c>
      <ns0:c r="I812" s="16">
        <ns0:f>A812*('前提と出典'!$C$36*'契約別単価'!I5+'前提と出典'!$C$37*'契約別単価'!I6+'前提と出典'!$C$38*'契約別単価'!I7)</ns0:f>
        <ns0:v>34093.988826815636</ns0:v>
      </ns0:c>
      <ns0:c r="J812" s="16">
        <ns0:f>A812*('前提と出典'!$C$36*'契約別単価'!J5+'前提と出典'!$C$37*'契約別単価'!J6+'前提と出典'!$C$38*'契約別単価'!J7)</ns0:f>
        <ns0:v>79417.95131792447</ns0:v>
      </ns0:c>
      <ns0:c r="K812" s="16">
        <ns0:f>A812*('前提と出典'!$C$36*'契約別単価'!K5+'前提と出典'!$C$37*'契約別単価'!K6+'前提と出典'!$C$38*'契約別単価'!K7)</ns0:f>
        <ns0:v>340413.2588454376</ns0:v>
      </ns0:c>
      <ns0:c r="L812" s="16">
        <ns0:f>A812*('前提と出典'!$C$36*'契約別単価'!L5+'前提と出典'!$C$37*'契約別単価'!L6+'前提と出典'!$C$38*'契約別単価'!L7)</ns0:f>
        <ns0:v>277165.6625024564</ns0:v>
      </ns0:c>
      <ns0:c r="M812" s="16">
        <ns0:f>IF(('前提と出典'!$C$36+'前提と出典'!$C$38)=0,0,IF(B812&lt;=10,'前提と出典'!B73+'前提と出典'!C73,IF(B812&lt;=100,'前提と出典'!B74+'前提と出典'!C74,IF(B812&lt;=500,'前提と出典'!B75+'前提と出典'!C75,'前提と出典'!B76+'前提と出典'!C76))))</ns0:f>
        <ns0:v>80000</ns0:v>
      </ns0:c>
      <ns0:c r="N812" s="16">
        <ns0:f>IF(('前提と出典'!$C$37+'前提と出典'!$C$38)=0,0,IF(C812&lt;=10,'前提と出典'!D73+'前提と出典'!E73,IF(C812&lt;=100,'前提と出典'!D74+'前提と出典'!E74,IF(C812&lt;=500,'前提と出典'!D75+'前提と出典'!E75,'前提と出典'!D76+'前提と出典'!E76))))</ns0:f>
        <ns0:v>56510.9346263078</ns0:v>
      </ns0:c>
      <ns0:c r="O812" s="16">
        <ns0:f>IF('前提と出典'!$C$36+'前提と出典'!$C$38=0,0,'前提と出典'!$B$4*IF('前提と出典'!$B$20=0,MAX('前提と出典'!$B$6,D812*'前提と出典'!$B$5),'前提と出典'!$B$6+D812*'前提と出典'!$B$5))</ns0:f>
        <ns0:v>802330.4581005587</ns0:v>
      </ns0:c>
      <ns0:c r="P812" s="16">
        <ns0:f>(E812+G812)*(1-'前提と出典'!$B$7)-I812-K812-M812-O812</ns0:f>
        <ns0:v>2251674.5923464578</ns0:v>
      </ns0:c>
      <ns0:c r="Q812" s="16">
        <ns0:f>(F812+H812)*(1-'前提と出典'!$B$7)-J812-L812-N812</ns0:f>
        <ns0:v>693950.8890888514</ns0:v>
      </ns0:c>
      <ns0:c r="R812" s="16">
        <ns0:f>P812-E812*'前提と出典'!$E$4</ns0:f>
        <ns0:v>1642311.7957528601</ns0:v>
      </ns0:c>
      <ns0:c r="S812" s="16">
        <ns0:f>Q812-F812*'前提と出典'!$E$4</ns0:f>
        <ns0:v>516885.63661027234</ns0:v>
      </ns0:c>
      <ns0:c r="T812" s="7">
        <ns0:f>R812+S812</ns0:f>
        <ns0:v>2159197.4323631325</ns0:v>
      </ns0:c>
      <ns0:c r="U812" s="16">
        <ns0:f>P812-E812*'前提と出典'!$E$5</ns0:f>
        <ns0:v>1439190.8635549946</ns0:v>
      </ns0:c>
      <ns0:c r="V812" s="16">
        <ns0:f>Q812-F812*'前提と出典'!$E$5</ns0:f>
        <ns0:v>457863.8857840794</ns0:v>
      </ns0:c>
      <ns0:c r="W812" s="7">
        <ns0:f>U812+V812</ns0:f>
        <ns0:v>1897054.749339074</ns0:v>
      </ns0:c>
      <ns0:c r="X812" s="16">
        <ns0:f>P812-E812*'前提と出典'!$E$6</ns0:f>
        <ns0:v>1236069.931357129</ns0:v>
      </ns0:c>
      <ns0:c r="Y812" s="16">
        <ns0:f>Q812-F812*'前提と出典'!$E$6</ns0:f>
        <ns0:v>398842.13495788636</ns0:v>
      </ns0:c>
      <ns0:c r="Z812" s="7">
        <ns0:f>X812+Y812</ns0:f>
        <ns0:v>1634912.0663150153</ns0:v>
      </ns0:c>
      <ns0:c r="AA812" s="7">
        <ns0:f>IF(T812&gt;=0,A812,1001)</ns0:f>
        <ns0:v>808</ns0:v>
      </ns0:c>
      <ns0:c r="AB812" s="7">
        <ns0:f>IF(T812&lt;0,A812,0)</ns0:f>
        <ns0:v>0</ns0:v>
      </ns0:c>
      <ns0:c r="AC812" s="16">
        <ns0:f>IF(AND(OR('前提と出典'!$C$36+'前提と出典'!$C$38=0,R812&gt;=0),OR('前提と出典'!$C$37+'前提と出典'!$C$38=0,S812&gt;=0)),0,A812)</ns0:f>
        <ns0:v>0</ns0:v>
      </ns0:c>
      <ns0:c r="AD812" s="7">
        <ns0:f>IF(W812&gt;=0,A812,1001)</ns0:f>
        <ns0:v>808</ns0:v>
      </ns0:c>
      <ns0:c r="AE812" s="7">
        <ns0:f>IF(W812&lt;0,A812,0)</ns0:f>
        <ns0:v>0</ns0:v>
      </ns0:c>
      <ns0:c r="AF812" s="16">
        <ns0:f>IF(AND(OR('前提と出典'!$C$36+'前提と出典'!$C$38=0,U812&gt;=0),OR('前提と出典'!$C$37+'前提と出典'!$C$38=0,V812&gt;=0)),0,A812)</ns0:f>
        <ns0:v>0</ns0:v>
      </ns0:c>
      <ns0:c r="AG812" s="7">
        <ns0:f>IF(Z812&gt;=0,A812,1001)</ns0:f>
        <ns0:v>808</ns0:v>
      </ns0:c>
      <ns0:c r="AH812" s="4">
        <ns0:f>IF(Z812&lt;0,A812,0)</ns0:f>
        <ns0:v>0</ns0:v>
      </ns0:c>
      <ns0:c r="AI812" s="12">
        <ns0:f>IF(AND(OR('前提と出典'!$C$36+'前提と出典'!$C$38=0,X812&gt;=0),OR('前提と出典'!$C$37+'前提と出典'!$C$38=0,Y812&gt;=0)),0,A812)</ns0:f>
        <ns0:v>0</ns0:v>
      </ns0:c>
    </ns0:row>
    <ns0:row r="813" ht="24" customHeight="1">
      <ns0:c r="A813" s="4" t="n">
        <ns0:v>809</ns0:v>
      </ns0:c>
      <ns0:c r="B813" s="12">
        <ns0:f>A813*('前提と出典'!$C$36+'前提と出典'!$C$38)</ns0:f>
        <ns0:v>566.3</ns0:v>
      </ns0:c>
      <ns0:c r="C813" s="12">
        <ns0:f>A813*('前提と出典'!$C$37+'前提と出典'!$C$38)</ns0:f>
        <ns0:v>485.4</ns0:v>
      </ns0:c>
      <ns0:c r="D813" s="16">
        <ns0:f>A813*('前提と出典'!$C$36*'契約別単価'!C5+'前提と出典'!$C$37*'契約別単価'!C6+'前提と出典'!$C$38*'契約別単価'!C7)</ns0:f>
        <ns0:v>5821.1843575419</ns0:v>
      </ns0:c>
      <ns0:c r="E813" s="16">
        <ns0:f>A813*('前提と出典'!$C$36*'契約別単価'!E5+'前提と出典'!$C$37*'契約別単価'!E6+'前提と出典'!$C$38*'契約別単価'!E7)</ns0:f>
        <ns0:v>2033723.1949018987</ns0:v>
      </ns0:c>
      <ns0:c r="F813" s="16">
        <ns0:f>A813*('前提と出典'!$C$36*'契約別単価'!F5+'前提と出典'!$C$37*'契約別単価'!F6+'前提と出典'!$C$38*'契約別単価'!F7)</ns0:f>
        <ns0:v>590947.9754751256</ns0:v>
      </ns0:c>
      <ns0:c r="G813" s="16">
        <ns0:f>A813*('前提と出典'!$C$36*'契約別単価'!G5+'前提と出典'!$C$37*'契約別単価'!G6+'前提と出典'!$C$38*'契約別単価'!G7)</ns0:f>
        <ns0:v>1610316.7597765361</ns0:v>
      </ns0:c>
      <ns0:c r="H813" s="16">
        <ns0:f>A813*('前提と出典'!$C$36*'契約別単価'!H5+'前提と出典'!$C$37*'契約別単価'!H6+'前提と出典'!$C$38*'契約別単価'!H7)</ns0:f>
        <ns0:v>558860.6793745261</ns0:v>
      </ns0:c>
      <ns0:c r="I813" s="16">
        <ns0:f>A813*('前提と出典'!$C$36*'契約別単価'!I5+'前提と出典'!$C$37*'契約別単価'!I6+'前提と出典'!$C$38*'契約別単価'!I7)</ns0:f>
        <ns0:v>34136.1843575419</ns0:v>
      </ns0:c>
      <ns0:c r="J813" s="16">
        <ns0:f>A813*('前提と出典'!$C$36*'契約別単価'!J5+'前提と出典'!$C$37*'契約別単価'!J6+'前提と出典'!$C$38*'契約別単価'!J7)</ns0:f>
        <ns0:v>79516.24086163478</ns0:v>
      </ns0:c>
      <ns0:c r="K813" s="16">
        <ns0:f>A813*('前提と出典'!$C$36*'契約別単価'!K5+'前提と出典'!$C$37*'契約別単価'!K6+'前提と出典'!$C$38*'契約別単価'!K7)</ns0:f>
        <ns0:v>340834.5623836126</ns0:v>
      </ns0:c>
      <ns0:c r="L813" s="16">
        <ns0:f>A813*('前提と出典'!$C$36*'契約別単価'!L5+'前提と出典'!$C$37*'契約別単価'!L6+'前提と出典'!$C$38*'契約別単価'!L7)</ns0:f>
        <ns0:v>277508.6893124842</ns0:v>
      </ns0:c>
      <ns0:c r="M813" s="16">
        <ns0:f>IF(('前提と出典'!$C$36+'前提と出典'!$C$38)=0,0,IF(B813&lt;=10,'前提と出典'!B73+'前提と出典'!C73,IF(B813&lt;=100,'前提と出典'!B74+'前提と出典'!C74,IF(B813&lt;=500,'前提と出典'!B75+'前提と出典'!C75,'前提と出典'!B76+'前提と出典'!C76))))</ns0:f>
        <ns0:v>80000</ns0:v>
      </ns0:c>
      <ns0:c r="N813" s="16">
        <ns0:f>IF(('前提と出典'!$C$37+'前提と出典'!$C$38)=0,0,IF(C813&lt;=10,'前提と出典'!D73+'前提と出典'!E73,IF(C813&lt;=100,'前提と出典'!D74+'前提と出典'!E74,IF(C813&lt;=500,'前提と出典'!D75+'前提と出典'!E75,'前提と出典'!D76+'前提と出典'!E76))))</ns0:f>
        <ns0:v>56510.9346263078</ns0:v>
      </ns0:c>
      <ns0:c r="O813" s="16">
        <ns0:f>IF('前提と出典'!$C$36+'前提と出典'!$C$38=0,0,'前提と出典'!$B$4*IF('前提と出典'!$B$20=0,MAX('前提と出典'!$B$6,D813*'前提と出典'!$B$5),'前提と出典'!$B$6+D813*'前提と出典'!$B$5))</ns0:f>
        <ns0:v>803323.4413407822</ns0:v>
      </ns0:c>
      <ns0:c r="P813" s="16">
        <ns0:f>(E813+G813)*(1-'前提と出典'!$B$7)-I813-K813-M813-O813</ns0:f>
        <ns0:v>2254560.328228074</ns0:v>
      </ns0:c>
      <ns0:c r="Q813" s="16">
        <ns0:f>(F813+H813)*(1-'前提と出典'!$B$7)-J813-L813-N813</ns0:f>
        <ns0:v>694879.6784746376</ns0:v>
      </ns0:c>
      <ns0:c r="R813" s="16">
        <ns0:f>P813-E813*'前提と出典'!$E$4</ns0:f>
        <ns0:v>1644443.3697575047</ns0:v>
      </ns0:c>
      <ns0:c r="S813" s="16">
        <ns0:f>Q813-F813*'前提と出典'!$E$4</ns0:f>
        <ns0:v>517595.28583209985</ns0:v>
      </ns0:c>
      <ns0:c r="T813" s="7">
        <ns0:f>R813+S813</ns0:f>
        <ns0:v>2162038.6555896048</ns0:v>
      </ns0:c>
      <ns0:c r="U813" s="16">
        <ns0:f>P813-E813*'前提と出典'!$E$5</ns0:f>
        <ns0:v>1441071.0502673145</ns0:v>
      </ns0:c>
      <ns0:c r="V813" s="16">
        <ns0:f>Q813-F813*'前提と出典'!$E$5</ns0:f>
        <ns0:v>458500.48828458734</ns0:v>
      </ns0:c>
      <ns0:c r="W813" s="7">
        <ns0:f>U813+V813</ns0:f>
        <ns0:v>1899571.538551902</ns0:v>
      </ns0:c>
      <ns0:c r="X813" s="16">
        <ns0:f>P813-E813*'前提と出典'!$E$6</ns0:f>
        <ns0:v>1237698.7307771249</ns0:v>
      </ns0:c>
      <ns0:c r="Y813" s="16">
        <ns0:f>Q813-F813*'前提と出典'!$E$6</ns0:f>
        <ns0:v>399405.6907370749</ns0:v>
      </ns0:c>
      <ns0:c r="Z813" s="7">
        <ns0:f>X813+Y813</ns0:f>
        <ns0:v>1637104.4215141998</ns0:v>
      </ns0:c>
      <ns0:c r="AA813" s="7">
        <ns0:f>IF(T813&gt;=0,A813,1001)</ns0:f>
        <ns0:v>809</ns0:v>
      </ns0:c>
      <ns0:c r="AB813" s="7">
        <ns0:f>IF(T813&lt;0,A813,0)</ns0:f>
        <ns0:v>0</ns0:v>
      </ns0:c>
      <ns0:c r="AC813" s="16">
        <ns0:f>IF(AND(OR('前提と出典'!$C$36+'前提と出典'!$C$38=0,R813&gt;=0),OR('前提と出典'!$C$37+'前提と出典'!$C$38=0,S813&gt;=0)),0,A813)</ns0:f>
        <ns0:v>0</ns0:v>
      </ns0:c>
      <ns0:c r="AD813" s="7">
        <ns0:f>IF(W813&gt;=0,A813,1001)</ns0:f>
        <ns0:v>809</ns0:v>
      </ns0:c>
      <ns0:c r="AE813" s="7">
        <ns0:f>IF(W813&lt;0,A813,0)</ns0:f>
        <ns0:v>0</ns0:v>
      </ns0:c>
      <ns0:c r="AF813" s="16">
        <ns0:f>IF(AND(OR('前提と出典'!$C$36+'前提と出典'!$C$38=0,U813&gt;=0),OR('前提と出典'!$C$37+'前提と出典'!$C$38=0,V813&gt;=0)),0,A813)</ns0:f>
        <ns0:v>0</ns0:v>
      </ns0:c>
      <ns0:c r="AG813" s="7">
        <ns0:f>IF(Z813&gt;=0,A813,1001)</ns0:f>
        <ns0:v>809</ns0:v>
      </ns0:c>
      <ns0:c r="AH813" s="4">
        <ns0:f>IF(Z813&lt;0,A813,0)</ns0:f>
        <ns0:v>0</ns0:v>
      </ns0:c>
      <ns0:c r="AI813" s="12">
        <ns0:f>IF(AND(OR('前提と出典'!$C$36+'前提と出典'!$C$38=0,X813&gt;=0),OR('前提と出典'!$C$37+'前提と出典'!$C$38=0,Y813&gt;=0)),0,A813)</ns0:f>
        <ns0:v>0</ns0:v>
      </ns0:c>
    </ns0:row>
    <ns0:row r="814" ht="24" customHeight="1">
      <ns0:c r="A814" s="4" t="n">
        <ns0:v>810</ns0:v>
      </ns0:c>
      <ns0:c r="B814" s="12">
        <ns0:f>A814*('前提と出典'!$C$36+'前提と出典'!$C$38)</ns0:f>
        <ns0:v>567</ns0:v>
      </ns0:c>
      <ns0:c r="C814" s="12">
        <ns0:f>A814*('前提と出典'!$C$37+'前提と出典'!$C$38)</ns0:f>
        <ns0:v>486</ns0:v>
      </ns0:c>
      <ns0:c r="D814" s="16">
        <ns0:f>A814*('前提と出典'!$C$36*'契約別単価'!C5+'前提と出典'!$C$37*'契約別単価'!C6+'前提と出典'!$C$38*'契約別単価'!C7)</ns0:f>
        <ns0:v>5828.379888268157</ns0:v>
      </ns0:c>
      <ns0:c r="E814" s="16">
        <ns0:f>A814*('前提と出典'!$C$36*'契約別単価'!E5+'前提と出典'!$C$37*'契約別単価'!E6+'前提と出典'!$C$38*'契約別単価'!E7)</ns0:f>
        <ns0:v>2036237.0678251397</ns0:v>
      </ns0:c>
      <ns0:c r="F814" s="16">
        <ns0:f>A814*('前提と出典'!$C$36*'契約別単価'!F5+'前提と出典'!$C$37*'契約別単価'!F6+'前提と出典'!$C$38*'契約別単価'!F7)</ns0:f>
        <ns0:v>591678.4426883211</ns0:v>
      </ns0:c>
      <ns0:c r="G814" s="16">
        <ns0:f>A814*('前提と出典'!$C$36*'契約別単価'!G5+'前提と出典'!$C$37*'契約別単価'!G6+'前提と出典'!$C$38*'契約別単価'!G7)</ns0:f>
        <ns0:v>1612307.2625698324</ns0:v>
      </ns0:c>
      <ns0:c r="H814" s="16">
        <ns0:f>A814*('前提と出典'!$C$36*'契約別単価'!H5+'前提と出典'!$C$37*'契約別単価'!H6+'前提と出典'!$C$38*'契約別単価'!H7)</ns0:f>
        <ns0:v>559551.48367536</ns0:v>
      </ns0:c>
      <ns0:c r="I814" s="16">
        <ns0:f>A814*('前提と出典'!$C$36*'契約別単価'!I5+'前提と出典'!$C$37*'契約別単価'!I6+'前提と出典'!$C$38*'契約別単価'!I7)</ns0:f>
        <ns0:v>34178.37988826815</ns0:v>
      </ns0:c>
      <ns0:c r="J814" s="16">
        <ns0:f>A814*('前提と出典'!$C$36*'契約別単価'!J5+'前提と出典'!$C$37*'契約別単価'!J6+'前提と出典'!$C$38*'契約別単価'!J7)</ns0:f>
        <ns0:v>79614.53040534508</ns0:v>
      </ns0:c>
      <ns0:c r="K814" s="16">
        <ns0:f>A814*('前提と出典'!$C$36*'契約別単価'!K5+'前提と出典'!$C$37*'契約別単価'!K6+'前提と出典'!$C$38*'契約別単価'!K7)</ns0:f>
        <ns0:v>341255.8659217877</ns0:v>
      </ns0:c>
      <ns0:c r="L814" s="16">
        <ns0:f>A814*('前提と出典'!$C$36*'契約別単価'!L5+'前提と出典'!$C$37*'契約別単価'!L6+'前提と出典'!$C$38*'契約別単価'!L7)</ns0:f>
        <ns0:v>277851.716122512</ns0:v>
      </ns0:c>
      <ns0:c r="M814" s="16">
        <ns0:f>IF(('前提と出典'!$C$36+'前提と出典'!$C$38)=0,0,IF(B814&lt;=10,'前提と出典'!B73+'前提と出典'!C73,IF(B814&lt;=100,'前提と出典'!B74+'前提と出典'!C74,IF(B814&lt;=500,'前提と出典'!B75+'前提と出典'!C75,'前提と出典'!B76+'前提と出典'!C76))))</ns0:f>
        <ns0:v>80000</ns0:v>
      </ns0:c>
      <ns0:c r="N814" s="16">
        <ns0:f>IF(('前提と出典'!$C$37+'前提と出典'!$C$38)=0,0,IF(C814&lt;=10,'前提と出典'!D73+'前提と出典'!E73,IF(C814&lt;=100,'前提と出典'!D74+'前提と出典'!E74,IF(C814&lt;=500,'前提と出典'!D75+'前提と出典'!E75,'前提と出典'!D76+'前提と出典'!E76))))</ns0:f>
        <ns0:v>56510.9346263078</ns0:v>
      </ns0:c>
      <ns0:c r="O814" s="16">
        <ns0:f>IF('前提と出典'!$C$36+'前提と出典'!$C$38=0,0,'前提と出典'!$B$4*IF('前提と出典'!$B$20=0,MAX('前提と出典'!$B$6,D814*'前提と出典'!$B$5),'前提と出典'!$B$6+D814*'前提と出典'!$B$5))</ns0:f>
        <ns0:v>804316.4245810056</ns0:v>
      </ns0:c>
      <ns0:c r="P814" s="16">
        <ns0:f>(E814+G814)*(1-'前提と出典'!$B$7)-I814-K814-M814-O814</ns0:f>
        <ns0:v>2257446.064109692</ns0:v>
      </ns0:c>
      <ns0:c r="Q814" s="16">
        <ns0:f>(F814+H814)*(1-'前提と出典'!$B$7)-J814-L814-N814</ns0:f>
        <ns0:v>695808.4678604235</ns0:v>
      </ns0:c>
      <ns0:c r="R814" s="16">
        <ns0:f>P814-E814*'前提と出典'!$E$4</ns0:f>
        <ns0:v>1646574.9437621501</ns0:v>
      </ns0:c>
      <ns0:c r="S814" s="16">
        <ns0:f>Q814-F814*'前提と出典'!$E$4</ns0:f>
        <ns0:v>518304.9350539271</ns0:v>
      </ns0:c>
      <ns0:c r="T814" s="7">
        <ns0:f>R814+S814</ns0:f>
        <ns0:v>2164879.8788160775</ns0:v>
      </ns0:c>
      <ns0:c r="U814" s="16">
        <ns0:f>P814-E814*'前提と出典'!$E$5</ns0:f>
        <ns0:v>1442951.236979636</ns0:v>
      </ns0:c>
      <ns0:c r="V814" s="16">
        <ns0:f>Q814-F814*'前提と出典'!$E$5</ns0:f>
        <ns0:v>459137.090785095</ns0:v>
      </ns0:c>
      <ns0:c r="W814" s="7">
        <ns0:f>U814+V814</ns0:f>
        <ns0:v>1902088.327764731</ns0:v>
      </ns0:c>
      <ns0:c r="X814" s="16">
        <ns0:f>P814-E814*'前提と出典'!$E$6</ns0:f>
        <ns0:v>1239327.5301971217</ns0:v>
      </ns0:c>
      <ns0:c r="Y814" s="16">
        <ns0:f>Q814-F814*'前提と出典'!$E$6</ns0:f>
        <ns0:v>399969.2465162629</ns0:v>
      </ns0:c>
      <ns0:c r="Z814" s="7">
        <ns0:f>X814+Y814</ns0:f>
        <ns0:v>1639296.7767133845</ns0:v>
      </ns0:c>
      <ns0:c r="AA814" s="7">
        <ns0:f>IF(T814&gt;=0,A814,1001)</ns0:f>
        <ns0:v>810</ns0:v>
      </ns0:c>
      <ns0:c r="AB814" s="7">
        <ns0:f>IF(T814&lt;0,A814,0)</ns0:f>
        <ns0:v>0</ns0:v>
      </ns0:c>
      <ns0:c r="AC814" s="16">
        <ns0:f>IF(AND(OR('前提と出典'!$C$36+'前提と出典'!$C$38=0,R814&gt;=0),OR('前提と出典'!$C$37+'前提と出典'!$C$38=0,S814&gt;=0)),0,A814)</ns0:f>
        <ns0:v>0</ns0:v>
      </ns0:c>
      <ns0:c r="AD814" s="7">
        <ns0:f>IF(W814&gt;=0,A814,1001)</ns0:f>
        <ns0:v>810</ns0:v>
      </ns0:c>
      <ns0:c r="AE814" s="7">
        <ns0:f>IF(W814&lt;0,A814,0)</ns0:f>
        <ns0:v>0</ns0:v>
      </ns0:c>
      <ns0:c r="AF814" s="16">
        <ns0:f>IF(AND(OR('前提と出典'!$C$36+'前提と出典'!$C$38=0,U814&gt;=0),OR('前提と出典'!$C$37+'前提と出典'!$C$38=0,V814&gt;=0)),0,A814)</ns0:f>
        <ns0:v>0</ns0:v>
      </ns0:c>
      <ns0:c r="AG814" s="7">
        <ns0:f>IF(Z814&gt;=0,A814,1001)</ns0:f>
        <ns0:v>810</ns0:v>
      </ns0:c>
      <ns0:c r="AH814" s="4">
        <ns0:f>IF(Z814&lt;0,A814,0)</ns0:f>
        <ns0:v>0</ns0:v>
      </ns0:c>
      <ns0:c r="AI814" s="12">
        <ns0:f>IF(AND(OR('前提と出典'!$C$36+'前提と出典'!$C$38=0,X814&gt;=0),OR('前提と出典'!$C$37+'前提と出典'!$C$38=0,Y814&gt;=0)),0,A814)</ns0:f>
        <ns0:v>0</ns0:v>
      </ns0:c>
    </ns0:row>
    <ns0:row r="815" ht="24" customHeight="1">
      <ns0:c r="A815" s="4" t="n">
        <ns0:v>811</ns0:v>
      </ns0:c>
      <ns0:c r="B815" s="12">
        <ns0:f>A815*('前提と出典'!$C$36+'前提と出典'!$C$38)</ns0:f>
        <ns0:v>567.6999999999999</ns0:v>
      </ns0:c>
      <ns0:c r="C815" s="12">
        <ns0:f>A815*('前提と出典'!$C$37+'前提と出典'!$C$38)</ns0:f>
        <ns0:v>486.59999999999997</ns0:v>
      </ns0:c>
      <ns0:c r="D815" s="16">
        <ns0:f>A815*('前提と出典'!$C$36*'契約別単価'!C5+'前提と出典'!$C$37*'契約別単価'!C6+'前提と出典'!$C$38*'契約別単価'!C7)</ns0:f>
        <ns0:v>5835.575418994414</ns0:v>
      </ns0:c>
      <ns0:c r="E815" s="16">
        <ns0:f>A815*('前提と出典'!$C$36*'契約別単価'!E5+'前提と出典'!$C$37*'契約別単価'!E6+'前提と出典'!$C$38*'契約別単価'!E7)</ns0:f>
        <ns0:v>2038750.9407483807</ns0:v>
      </ns0:c>
      <ns0:c r="F815" s="16">
        <ns0:f>A815*('前提と出典'!$C$36*'契約別単価'!F5+'前提と出典'!$C$37*'契約別単価'!F6+'前提と出典'!$C$38*'契約別単価'!F7)</ns0:f>
        <ns0:v>592408.9099015165</ns0:v>
      </ns0:c>
      <ns0:c r="G815" s="16">
        <ns0:f>A815*('前提と出典'!$C$36*'契約別単価'!G5+'前提と出典'!$C$37*'契約別単価'!G6+'前提と出典'!$C$38*'契約別単価'!G7)</ns0:f>
        <ns0:v>1614297.7653631284</ns0:v>
      </ns0:c>
      <ns0:c r="H815" s="16">
        <ns0:f>A815*('前提と出典'!$C$36*'契約別単価'!H5+'前提と出典'!$C$37*'契約別単価'!H6+'前提と出典'!$C$38*'契約別単価'!H7)</ns0:f>
        <ns0:v>560242.2879761937</ns0:v>
      </ns0:c>
      <ns0:c r="I815" s="16">
        <ns0:f>A815*('前提と出典'!$C$36*'契約別単価'!I5+'前提と出典'!$C$37*'契約別単価'!I6+'前提と出典'!$C$38*'契約別単価'!I7)</ns0:f>
        <ns0:v>34220.575418994405</ns0:v>
      </ns0:c>
      <ns0:c r="J815" s="16">
        <ns0:f>A815*('前提と出典'!$C$36*'契約別単価'!J5+'前提と出典'!$C$37*'契約別単価'!J6+'前提と出典'!$C$38*'契約別単価'!J7)</ns0:f>
        <ns0:v>79712.81994905538</ns0:v>
      </ns0:c>
      <ns0:c r="K815" s="16">
        <ns0:f>A815*('前提と出典'!$C$36*'契約別単価'!K5+'前提と出典'!$C$37*'契約別単価'!K6+'前提と出典'!$C$38*'契約別単価'!K7)</ns0:f>
        <ns0:v>341677.16945996275</ns0:v>
      </ns0:c>
      <ns0:c r="L815" s="16">
        <ns0:f>A815*('前提と出典'!$C$36*'契約別単価'!L5+'前提と出典'!$C$37*'契約別単価'!L6+'前提と出典'!$C$38*'契約別単価'!L7)</ns0:f>
        <ns0:v>278194.7429325398</ns0:v>
      </ns0:c>
      <ns0:c r="M815" s="16">
        <ns0:f>IF(('前提と出典'!$C$36+'前提と出典'!$C$38)=0,0,IF(B815&lt;=10,'前提と出典'!B73+'前提と出典'!C73,IF(B815&lt;=100,'前提と出典'!B74+'前提と出典'!C74,IF(B815&lt;=500,'前提と出典'!B75+'前提と出典'!C75,'前提と出典'!B76+'前提と出典'!C76))))</ns0:f>
        <ns0:v>80000</ns0:v>
      </ns0:c>
      <ns0:c r="N815" s="16">
        <ns0:f>IF(('前提と出典'!$C$37+'前提と出典'!$C$38)=0,0,IF(C815&lt;=10,'前提と出典'!D73+'前提と出典'!E73,IF(C815&lt;=100,'前提と出典'!D74+'前提と出典'!E74,IF(C815&lt;=500,'前提と出典'!D75+'前提と出典'!E75,'前提と出典'!D76+'前提と出典'!E76))))</ns0:f>
        <ns0:v>56510.9346263078</ns0:v>
      </ns0:c>
      <ns0:c r="O815" s="16">
        <ns0:f>IF('前提と出典'!$C$36+'前提と出典'!$C$38=0,0,'前提と出典'!$B$4*IF('前提と出典'!$B$20=0,MAX('前提と出典'!$B$6,D815*'前提と出典'!$B$5),'前提と出典'!$B$6+D815*'前提と出典'!$B$5))</ns0:f>
        <ns0:v>805309.4078212291</ns0:v>
      </ns0:c>
      <ns0:c r="P815" s="16">
        <ns0:f>(E815+G815)*(1-'前提と出典'!$B$7)-I815-K815-M815-O815</ns0:f>
        <ns0:v>2260331.7999913087</ns0:v>
      </ns0:c>
      <ns0:c r="Q815" s="16">
        <ns0:f>(F815+H815)*(1-'前提と出典'!$B$7)-J815-L815-N815</ns0:f>
        <ns0:v>696737.2572462098</ns0:v>
      </ns0:c>
      <ns0:c r="R815" s="16">
        <ns0:f>P815-E815*'前提と出典'!$E$4</ns0:f>
        <ns0:v>1648706.5177667947</ns0:v>
      </ns0:c>
      <ns0:c r="S815" s="16">
        <ns0:f>Q815-F815*'前提と出典'!$E$4</ns0:f>
        <ns0:v>519014.58427575475</ns0:v>
      </ns0:c>
      <ns0:c r="T815" s="7">
        <ns0:f>R815+S815</ns0:f>
        <ns0:v>2167721.1020425493</ns0:v>
      </ns0:c>
      <ns0:c r="U815" s="16">
        <ns0:f>P815-E815*'前提と出典'!$E$5</ns0:f>
        <ns0:v>1444831.4236919563</ns0:v>
      </ns0:c>
      <ns0:c r="V815" s="16">
        <ns0:f>Q815-F815*'前提と出典'!$E$5</ns0:f>
        <ns0:v>459773.6932856032</ns0:v>
      </ns0:c>
      <ns0:c r="W815" s="7">
        <ns0:f>U815+V815</ns0:f>
        <ns0:v>1904605.1169775594</ns0:v>
      </ns0:c>
      <ns0:c r="X815" s="16">
        <ns0:f>P815-E815*'前提と出典'!$E$6</ns0:f>
        <ns0:v>1240956.3296171185</ns0:v>
      </ns0:c>
      <ns0:c r="Y815" s="16">
        <ns0:f>Q815-F815*'前提と出典'!$E$6</ns0:f>
        <ns0:v>400532.8022954514</ns0:v>
      </ns0:c>
      <ns0:c r="Z815" s="7">
        <ns0:f>X815+Y815</ns0:f>
        <ns0:v>1641489.13191257</ns0:v>
      </ns0:c>
      <ns0:c r="AA815" s="7">
        <ns0:f>IF(T815&gt;=0,A815,1001)</ns0:f>
        <ns0:v>811</ns0:v>
      </ns0:c>
      <ns0:c r="AB815" s="7">
        <ns0:f>IF(T815&lt;0,A815,0)</ns0:f>
        <ns0:v>0</ns0:v>
      </ns0:c>
      <ns0:c r="AC815" s="16">
        <ns0:f>IF(AND(OR('前提と出典'!$C$36+'前提と出典'!$C$38=0,R815&gt;=0),OR('前提と出典'!$C$37+'前提と出典'!$C$38=0,S815&gt;=0)),0,A815)</ns0:f>
        <ns0:v>0</ns0:v>
      </ns0:c>
      <ns0:c r="AD815" s="7">
        <ns0:f>IF(W815&gt;=0,A815,1001)</ns0:f>
        <ns0:v>811</ns0:v>
      </ns0:c>
      <ns0:c r="AE815" s="7">
        <ns0:f>IF(W815&lt;0,A815,0)</ns0:f>
        <ns0:v>0</ns0:v>
      </ns0:c>
      <ns0:c r="AF815" s="16">
        <ns0:f>IF(AND(OR('前提と出典'!$C$36+'前提と出典'!$C$38=0,U815&gt;=0),OR('前提と出典'!$C$37+'前提と出典'!$C$38=0,V815&gt;=0)),0,A815)</ns0:f>
        <ns0:v>0</ns0:v>
      </ns0:c>
      <ns0:c r="AG815" s="7">
        <ns0:f>IF(Z815&gt;=0,A815,1001)</ns0:f>
        <ns0:v>811</ns0:v>
      </ns0:c>
      <ns0:c r="AH815" s="4">
        <ns0:f>IF(Z815&lt;0,A815,0)</ns0:f>
        <ns0:v>0</ns0:v>
      </ns0:c>
      <ns0:c r="AI815" s="12">
        <ns0:f>IF(AND(OR('前提と出典'!$C$36+'前提と出典'!$C$38=0,X815&gt;=0),OR('前提と出典'!$C$37+'前提と出典'!$C$38=0,Y815&gt;=0)),0,A815)</ns0:f>
        <ns0:v>0</ns0:v>
      </ns0:c>
    </ns0:row>
    <ns0:row r="816" ht="24" customHeight="1">
      <ns0:c r="A816" s="4" t="n">
        <ns0:v>812</ns0:v>
      </ns0:c>
      <ns0:c r="B816" s="12">
        <ns0:f>A816*('前提と出典'!$C$36+'前提と出典'!$C$38)</ns0:f>
        <ns0:v>568.4</ns0:v>
      </ns0:c>
      <ns0:c r="C816" s="12">
        <ns0:f>A816*('前提と出典'!$C$37+'前提と出典'!$C$38)</ns0:f>
        <ns0:v>487.2</ns0:v>
      </ns0:c>
      <ns0:c r="D816" s="16">
        <ns0:f>A816*('前提と出典'!$C$36*'契約別単価'!C5+'前提と出典'!$C$37*'契約別単価'!C6+'前提と出典'!$C$38*'契約別単価'!C7)</ns0:f>
        <ns0:v>5842.770949720671</ns0:v>
      </ns0:c>
      <ns0:c r="E816" s="16">
        <ns0:f>A816*('前提と出典'!$C$36*'契約別単価'!E5+'前提と出典'!$C$37*'契約別単価'!E6+'前提と出典'!$C$38*'契約別単価'!E7)</ns0:f>
        <ns0:v>2041264.8136716215</ns0:v>
      </ns0:c>
      <ns0:c r="F816" s="16">
        <ns0:f>A816*('前提と出典'!$C$36*'契約別単価'!F5+'前提と出典'!$C$37*'契約別単価'!F6+'前提と出典'!$C$38*'契約別単価'!F7)</ns0:f>
        <ns0:v>593139.377114712</ns0:v>
      </ns0:c>
      <ns0:c r="G816" s="16">
        <ns0:f>A816*('前提と出典'!$C$36*'契約別単価'!G5+'前提と出典'!$C$37*'契約別単価'!G6+'前提と出典'!$C$38*'契約別単価'!G7)</ns0:f>
        <ns0:v>1616288.2681564244</ns0:v>
      </ns0:c>
      <ns0:c r="H816" s="16">
        <ns0:f>A816*('前提と出典'!$C$36*'契約別単価'!H5+'前提と出典'!$C$37*'契約別単価'!H6+'前提と出典'!$C$38*'契約別単価'!H7)</ns0:f>
        <ns0:v>560933.0922770274</ns0:v>
      </ns0:c>
      <ns0:c r="I816" s="16">
        <ns0:f>A816*('前提と出典'!$C$36*'契約別単価'!I5+'前提と出典'!$C$37*'契約別単価'!I6+'前提と出典'!$C$38*'契約別単価'!I7)</ns0:f>
        <ns0:v>34262.77094972067</ns0:v>
      </ns0:c>
      <ns0:c r="J816" s="16">
        <ns0:f>A816*('前提と出典'!$C$36*'契約別単価'!J5+'前提と出典'!$C$37*'契約別単価'!J6+'前提と出典'!$C$38*'契約別単価'!J7)</ns0:f>
        <ns0:v>79811.10949276568</ns0:v>
      </ns0:c>
      <ns0:c r="K816" s="16">
        <ns0:f>A816*('前提と出典'!$C$36*'契約別単価'!K5+'前提と出典'!$C$37*'契約別単価'!K6+'前提と出典'!$C$38*'契約別単価'!K7)</ns0:f>
        <ns0:v>342098.47299813776</ns0:v>
      </ns0:c>
      <ns0:c r="L816" s="16">
        <ns0:f>A816*('前提と出典'!$C$36*'契約別単価'!L5+'前提と出典'!$C$37*'契約別単価'!L6+'前提と出典'!$C$38*'契約別単価'!L7)</ns0:f>
        <ns0:v>278537.76974256756</ns0:v>
      </ns0:c>
      <ns0:c r="M816" s="16">
        <ns0:f>IF(('前提と出典'!$C$36+'前提と出典'!$C$38)=0,0,IF(B816&lt;=10,'前提と出典'!B73+'前提と出典'!C73,IF(B816&lt;=100,'前提と出典'!B74+'前提と出典'!C74,IF(B816&lt;=500,'前提と出典'!B75+'前提と出典'!C75,'前提と出典'!B76+'前提と出典'!C76))))</ns0:f>
        <ns0:v>80000</ns0:v>
      </ns0:c>
      <ns0:c r="N816" s="16">
        <ns0:f>IF(('前提と出典'!$C$37+'前提と出典'!$C$38)=0,0,IF(C816&lt;=10,'前提と出典'!D73+'前提と出典'!E73,IF(C816&lt;=100,'前提と出典'!D74+'前提と出典'!E74,IF(C816&lt;=500,'前提と出典'!D75+'前提と出典'!E75,'前提と出典'!D76+'前提と出典'!E76))))</ns0:f>
        <ns0:v>56510.9346263078</ns0:v>
      </ns0:c>
      <ns0:c r="O816" s="16">
        <ns0:f>IF('前提と出典'!$C$36+'前提と出典'!$C$38=0,0,'前提と出典'!$B$4*IF('前提と出典'!$B$20=0,MAX('前提と出典'!$B$6,D816*'前提と出典'!$B$5),'前提と出典'!$B$6+D816*'前提と出典'!$B$5))</ns0:f>
        <ns0:v>806302.3910614526</ns0:v>
      </ns0:c>
      <ns0:c r="P816" s="16">
        <ns0:f>(E816+G816)*(1-'前提と出典'!$B$7)-I816-K816-M816-O816</ns0:f>
        <ns0:v>2263217.535872925</ns0:v>
      </ns0:c>
      <ns0:c r="Q816" s="16">
        <ns0:f>(F816+H816)*(1-'前提と出典'!$B$7)-J816-L816-N816</ns0:f>
        <ns0:v>697666.0466319957</ns0:v>
      </ns0:c>
      <ns0:c r="R816" s="16">
        <ns0:f>P816-E816*'前提と出典'!$E$4</ns0:f>
        <ns0:v>1650838.0917714387</ns0:v>
      </ns0:c>
      <ns0:c r="S816" s="16">
        <ns0:f>Q816-F816*'前提と出典'!$E$4</ns0:f>
        <ns0:v>519724.23349758214</ns0:v>
      </ns0:c>
      <ns0:c r="T816" s="7">
        <ns0:f>R816+S816</ns0:f>
        <ns0:v>2170562.325269021</ns0:v>
      </ns0:c>
      <ns0:c r="U816" s="16">
        <ns0:f>P816-E816*'前提と出典'!$E$5</ns0:f>
        <ns0:v>1446711.6104042763</ns0:v>
      </ns0:c>
      <ns0:c r="V816" s="16">
        <ns0:f>Q816-F816*'前提と出典'!$E$5</ns0:f>
        <ns0:v>460410.2957861109</ns0:v>
      </ns0:c>
      <ns0:c r="W816" s="7">
        <ns0:f>U816+V816</ns0:f>
        <ns0:v>1907121.9061903872</ns0:v>
      </ns0:c>
      <ns0:c r="X816" s="16">
        <ns0:f>P816-E816*'前提と出典'!$E$6</ns0:f>
        <ns0:v>1242585.1290371143</ns0:v>
      </ns0:c>
      <ns0:c r="Y816" s="16">
        <ns0:f>Q816-F816*'前提と出典'!$E$6</ns0:f>
        <ns0:v>401096.3580746397</ns0:v>
      </ns0:c>
      <ns0:c r="Z816" s="7">
        <ns0:f>X816+Y816</ns0:f>
        <ns0:v>1643681.487111754</ns0:v>
      </ns0:c>
      <ns0:c r="AA816" s="7">
        <ns0:f>IF(T816&gt;=0,A816,1001)</ns0:f>
        <ns0:v>812</ns0:v>
      </ns0:c>
      <ns0:c r="AB816" s="7">
        <ns0:f>IF(T816&lt;0,A816,0)</ns0:f>
        <ns0:v>0</ns0:v>
      </ns0:c>
      <ns0:c r="AC816" s="16">
        <ns0:f>IF(AND(OR('前提と出典'!$C$36+'前提と出典'!$C$38=0,R816&gt;=0),OR('前提と出典'!$C$37+'前提と出典'!$C$38=0,S816&gt;=0)),0,A816)</ns0:f>
        <ns0:v>0</ns0:v>
      </ns0:c>
      <ns0:c r="AD816" s="7">
        <ns0:f>IF(W816&gt;=0,A816,1001)</ns0:f>
        <ns0:v>812</ns0:v>
      </ns0:c>
      <ns0:c r="AE816" s="7">
        <ns0:f>IF(W816&lt;0,A816,0)</ns0:f>
        <ns0:v>0</ns0:v>
      </ns0:c>
      <ns0:c r="AF816" s="16">
        <ns0:f>IF(AND(OR('前提と出典'!$C$36+'前提と出典'!$C$38=0,U816&gt;=0),OR('前提と出典'!$C$37+'前提と出典'!$C$38=0,V816&gt;=0)),0,A816)</ns0:f>
        <ns0:v>0</ns0:v>
      </ns0:c>
      <ns0:c r="AG816" s="7">
        <ns0:f>IF(Z816&gt;=0,A816,1001)</ns0:f>
        <ns0:v>812</ns0:v>
      </ns0:c>
      <ns0:c r="AH816" s="4">
        <ns0:f>IF(Z816&lt;0,A816,0)</ns0:f>
        <ns0:v>0</ns0:v>
      </ns0:c>
      <ns0:c r="AI816" s="12">
        <ns0:f>IF(AND(OR('前提と出典'!$C$36+'前提と出典'!$C$38=0,X816&gt;=0),OR('前提と出典'!$C$37+'前提と出典'!$C$38=0,Y816&gt;=0)),0,A816)</ns0:f>
        <ns0:v>0</ns0:v>
      </ns0:c>
    </ns0:row>
    <ns0:row r="817" ht="24" customHeight="1">
      <ns0:c r="A817" s="4" t="n">
        <ns0:v>813</ns0:v>
      </ns0:c>
      <ns0:c r="B817" s="12">
        <ns0:f>A817*('前提と出典'!$C$36+'前提と出典'!$C$38)</ns0:f>
        <ns0:v>569.0999999999999</ns0:v>
      </ns0:c>
      <ns0:c r="C817" s="12">
        <ns0:f>A817*('前提と出典'!$C$37+'前提と出典'!$C$38)</ns0:f>
        <ns0:v>487.79999999999995</ns0:v>
      </ns0:c>
      <ns0:c r="D817" s="16">
        <ns0:f>A817*('前提と出典'!$C$36*'契約別単価'!C5+'前提と出典'!$C$37*'契約別単価'!C6+'前提と出典'!$C$38*'契約別単価'!C7)</ns0:f>
        <ns0:v>5849.966480446928</ns0:v>
      </ns0:c>
      <ns0:c r="E817" s="16">
        <ns0:f>A817*('前提と出典'!$C$36*'契約別単価'!E5+'前提と出典'!$C$37*'契約別単価'!E6+'前提と出典'!$C$38*'契約別単価'!E7)</ns0:f>
        <ns0:v>2043778.6865948625</ns0:v>
      </ns0:c>
      <ns0:c r="F817" s="16">
        <ns0:f>A817*('前提と出典'!$C$36*'契約別単価'!F5+'前提と出典'!$C$37*'契約別単価'!F6+'前提と出典'!$C$38*'契約別単価'!F7)</ns0:f>
        <ns0:v>593869.8443279074</ns0:v>
      </ns0:c>
      <ns0:c r="G817" s="16">
        <ns0:f>A817*('前提と出典'!$C$36*'契約別単価'!G5+'前提と出典'!$C$37*'契約別単価'!G6+'前提と出典'!$C$38*'契約別単価'!G7)</ns0:f>
        <ns0:v>1618278.7709497206</ns0:v>
      </ns0:c>
      <ns0:c r="H817" s="16">
        <ns0:f>A817*('前提と出典'!$C$36*'契約別単価'!H5+'前提と出典'!$C$37*'契約別単価'!H6+'前提と出典'!$C$38*'契約別単価'!H7)</ns0:f>
        <ns0:v>561623.8965778613</ns0:v>
      </ns0:c>
      <ns0:c r="I817" s="16">
        <ns0:f>A817*('前提と出典'!$C$36*'契約別単価'!I5+'前提と出典'!$C$37*'契約別単価'!I6+'前提と出典'!$C$38*'契約別単価'!I7)</ns0:f>
        <ns0:v>34304.96648044692</ns0:v>
      </ns0:c>
      <ns0:c r="J817" s="16">
        <ns0:f>A817*('前提と出典'!$C$36*'契約別単価'!J5+'前提と出典'!$C$37*'契約別単価'!J6+'前提と出典'!$C$38*'契約別単価'!J7)</ns0:f>
        <ns0:v>79909.39903647598</ns0:v>
      </ns0:c>
      <ns0:c r="K817" s="16">
        <ns0:f>A817*('前提と出典'!$C$36*'契約別単価'!K5+'前提と出典'!$C$37*'契約別単価'!K6+'前提と出典'!$C$38*'契約別単価'!K7)</ns0:f>
        <ns0:v>342519.7765363128</ns0:v>
      </ns0:c>
      <ns0:c r="L817" s="16">
        <ns0:f>A817*('前提と出典'!$C$36*'契約別単価'!L5+'前提と出典'!$C$37*'契約別単価'!L6+'前提と出典'!$C$38*'契約別単価'!L7)</ns0:f>
        <ns0:v>278880.7965525954</ns0:v>
      </ns0:c>
      <ns0:c r="M817" s="16">
        <ns0:f>IF(('前提と出典'!$C$36+'前提と出典'!$C$38)=0,0,IF(B817&lt;=10,'前提と出典'!B73+'前提と出典'!C73,IF(B817&lt;=100,'前提と出典'!B74+'前提と出典'!C74,IF(B817&lt;=500,'前提と出典'!B75+'前提と出典'!C75,'前提と出典'!B76+'前提と出典'!C76))))</ns0:f>
        <ns0:v>80000</ns0:v>
      </ns0:c>
      <ns0:c r="N817" s="16">
        <ns0:f>IF(('前提と出典'!$C$37+'前提と出典'!$C$38)=0,0,IF(C817&lt;=10,'前提と出典'!D73+'前提と出典'!E73,IF(C817&lt;=100,'前提と出典'!D74+'前提と出典'!E74,IF(C817&lt;=500,'前提と出典'!D75+'前提と出典'!E75,'前提と出典'!D76+'前提と出典'!E76))))</ns0:f>
        <ns0:v>56510.9346263078</ns0:v>
      </ns0:c>
      <ns0:c r="O817" s="16">
        <ns0:f>IF('前提と出典'!$C$36+'前提と出典'!$C$38=0,0,'前提と出典'!$B$4*IF('前提と出典'!$B$20=0,MAX('前提と出典'!$B$6,D817*'前提と出典'!$B$5),'前提と出典'!$B$6+D817*'前提と出典'!$B$5))</ns0:f>
        <ns0:v>807295.374301676</ns0:v>
      </ns0:c>
      <ns0:c r="P817" s="16">
        <ns0:f>(E817+G817)*(1-'前提と出典'!$B$7)-I817-K817-M817-O817</ns0:f>
        <ns0:v>2266103.271754542</ns0:v>
      </ns0:c>
      <ns0:c r="Q817" s="16">
        <ns0:f>(F817+H817)*(1-'前提と出典'!$B$7)-J817-L817-N817</ns0:f>
        <ns0:v>698594.8360177819</ns0:v>
      </ns0:c>
      <ns0:c r="R817" s="16">
        <ns0:f>P817-E817*'前提と出典'!$E$4</ns0:f>
        <ns0:v>1652969.6657760832</ns0:v>
      </ns0:c>
      <ns0:c r="S817" s="16">
        <ns0:f>Q817-F817*'前提と出典'!$E$4</ns0:f>
        <ns0:v>520433.88271940965</ns0:v>
      </ns0:c>
      <ns0:c r="T817" s="7">
        <ns0:f>R817+S817</ns0:f>
        <ns0:v>2173403.548495493</ns0:v>
      </ns0:c>
      <ns0:c r="U817" s="16">
        <ns0:f>P817-E817*'前提と出典'!$E$5</ns0:f>
        <ns0:v>1448591.7971165967</ns0:v>
      </ns0:c>
      <ns0:c r="V817" s="16">
        <ns0:f>Q817-F817*'前提と出典'!$E$5</ns0:f>
        <ns0:v>461046.8982866188</ns0:v>
      </ns0:c>
      <ns0:c r="W817" s="7">
        <ns0:f>U817+V817</ns0:f>
        <ns0:v>1909638.6954032155</ns0:v>
      </ns0:c>
      <ns0:c r="X817" s="16">
        <ns0:f>P817-E817*'前提と出典'!$E$6</ns0:f>
        <ns0:v>1244213.9284571107</ns0:v>
      </ns0:c>
      <ns0:c r="Y817" s="16">
        <ns0:f>Q817-F817*'前提と出典'!$E$6</ns0:f>
        <ns0:v>401659.91385382815</ns0:v>
      </ns0:c>
      <ns0:c r="Z817" s="7">
        <ns0:f>X817+Y817</ns0:f>
        <ns0:v>1645873.8423109388</ns0:v>
      </ns0:c>
      <ns0:c r="AA817" s="7">
        <ns0:f>IF(T817&gt;=0,A817,1001)</ns0:f>
        <ns0:v>813</ns0:v>
      </ns0:c>
      <ns0:c r="AB817" s="7">
        <ns0:f>IF(T817&lt;0,A817,0)</ns0:f>
        <ns0:v>0</ns0:v>
      </ns0:c>
      <ns0:c r="AC817" s="16">
        <ns0:f>IF(AND(OR('前提と出典'!$C$36+'前提と出典'!$C$38=0,R817&gt;=0),OR('前提と出典'!$C$37+'前提と出典'!$C$38=0,S817&gt;=0)),0,A817)</ns0:f>
        <ns0:v>0</ns0:v>
      </ns0:c>
      <ns0:c r="AD817" s="7">
        <ns0:f>IF(W817&gt;=0,A817,1001)</ns0:f>
        <ns0:v>813</ns0:v>
      </ns0:c>
      <ns0:c r="AE817" s="7">
        <ns0:f>IF(W817&lt;0,A817,0)</ns0:f>
        <ns0:v>0</ns0:v>
      </ns0:c>
      <ns0:c r="AF817" s="16">
        <ns0:f>IF(AND(OR('前提と出典'!$C$36+'前提と出典'!$C$38=0,U817&gt;=0),OR('前提と出典'!$C$37+'前提と出典'!$C$38=0,V817&gt;=0)),0,A817)</ns0:f>
        <ns0:v>0</ns0:v>
      </ns0:c>
      <ns0:c r="AG817" s="7">
        <ns0:f>IF(Z817&gt;=0,A817,1001)</ns0:f>
        <ns0:v>813</ns0:v>
      </ns0:c>
      <ns0:c r="AH817" s="4">
        <ns0:f>IF(Z817&lt;0,A817,0)</ns0:f>
        <ns0:v>0</ns0:v>
      </ns0:c>
      <ns0:c r="AI817" s="12">
        <ns0:f>IF(AND(OR('前提と出典'!$C$36+'前提と出典'!$C$38=0,X817&gt;=0),OR('前提と出典'!$C$37+'前提と出典'!$C$38=0,Y817&gt;=0)),0,A817)</ns0:f>
        <ns0:v>0</ns0:v>
      </ns0:c>
    </ns0:row>
    <ns0:row r="818" ht="24" customHeight="1">
      <ns0:c r="A818" s="4" t="n">
        <ns0:v>814</ns0:v>
      </ns0:c>
      <ns0:c r="B818" s="12">
        <ns0:f>A818*('前提と出典'!$C$36+'前提と出典'!$C$38)</ns0:f>
        <ns0:v>569.8</ns0:v>
      </ns0:c>
      <ns0:c r="C818" s="12">
        <ns0:f>A818*('前提と出典'!$C$37+'前提と出典'!$C$38)</ns0:f>
        <ns0:v>488.4</ns0:v>
      </ns0:c>
      <ns0:c r="D818" s="16">
        <ns0:f>A818*('前提と出典'!$C$36*'契約別単価'!C5+'前提と出典'!$C$37*'契約別単価'!C6+'前提と出典'!$C$38*'契約別単価'!C7)</ns0:f>
        <ns0:v>5857.1620111731845</ns0:v>
      </ns0:c>
      <ns0:c r="E818" s="16">
        <ns0:f>A818*('前提と出典'!$C$36*'契約別単価'!E5+'前提と出典'!$C$37*'契約別単価'!E6+'前提と出典'!$C$38*'契約別単価'!E7)</ns0:f>
        <ns0:v>2046292.5595181033</ns0:v>
      </ns0:c>
      <ns0:c r="F818" s="16">
        <ns0:f>A818*('前提と出典'!$C$36*'契約別単価'!F5+'前提と出典'!$C$37*'契約別単価'!F6+'前提と出典'!$C$38*'契約別単価'!F7)</ns0:f>
        <ns0:v>594600.311541103</ns0:v>
      </ns0:c>
      <ns0:c r="G818" s="16">
        <ns0:f>A818*('前提と出典'!$C$36*'契約別単価'!G5+'前提と出典'!$C$37*'契約別単価'!G6+'前提と出典'!$C$38*'契約別単価'!G7)</ns0:f>
        <ns0:v>1620269.2737430166</ns0:v>
      </ns0:c>
      <ns0:c r="H818" s="16">
        <ns0:f>A818*('前提と出典'!$C$36*'契約別単価'!H5+'前提と出典'!$C$37*'契約別単価'!H6+'前提と出典'!$C$38*'契約別単価'!H7)</ns0:f>
        <ns0:v>562314.700878695</ns0:v>
      </ns0:c>
      <ns0:c r="I818" s="16">
        <ns0:f>A818*('前提と出典'!$C$36*'契約別単価'!I5+'前提と出典'!$C$37*'契約別単価'!I6+'前提と出典'!$C$38*'契約別単価'!I7)</ns0:f>
        <ns0:v>34347.162011173175</ns0:v>
      </ns0:c>
      <ns0:c r="J818" s="16">
        <ns0:f>A818*('前提と出典'!$C$36*'契約別単価'!J5+'前提と出典'!$C$37*'契約別単価'!J6+'前提と出典'!$C$38*'契約別単価'!J7)</ns0:f>
        <ns0:v>80007.6885801863</ns0:v>
      </ns0:c>
      <ns0:c r="K818" s="16">
        <ns0:f>A818*('前提と出典'!$C$36*'契約別単価'!K5+'前提と出典'!$C$37*'契約別単価'!K6+'前提と出典'!$C$38*'契約別単価'!K7)</ns0:f>
        <ns0:v>342941.0800744879</ns0:v>
      </ns0:c>
      <ns0:c r="L818" s="16">
        <ns0:f>A818*('前提と出典'!$C$36*'契約別単価'!L5+'前提と出典'!$C$37*'契約別単価'!L6+'前提と出典'!$C$38*'契約別単価'!L7)</ns0:f>
        <ns0:v>279223.82336262317</ns0:v>
      </ns0:c>
      <ns0:c r="M818" s="16">
        <ns0:f>IF(('前提と出典'!$C$36+'前提と出典'!$C$38)=0,0,IF(B818&lt;=10,'前提と出典'!B73+'前提と出典'!C73,IF(B818&lt;=100,'前提と出典'!B74+'前提と出典'!C74,IF(B818&lt;=500,'前提と出典'!B75+'前提と出典'!C75,'前提と出典'!B76+'前提と出典'!C76))))</ns0:f>
        <ns0:v>80000</ns0:v>
      </ns0:c>
      <ns0:c r="N818" s="16">
        <ns0:f>IF(('前提と出典'!$C$37+'前提と出典'!$C$38)=0,0,IF(C818&lt;=10,'前提と出典'!D73+'前提と出典'!E73,IF(C818&lt;=100,'前提と出典'!D74+'前提と出典'!E74,IF(C818&lt;=500,'前提と出典'!D75+'前提と出典'!E75,'前提と出典'!D76+'前提と出典'!E76))))</ns0:f>
        <ns0:v>56510.9346263078</ns0:v>
      </ns0:c>
      <ns0:c r="O818" s="16">
        <ns0:f>IF('前提と出典'!$C$36+'前提と出典'!$C$38=0,0,'前提と出典'!$B$4*IF('前提と出典'!$B$20=0,MAX('前提と出典'!$B$6,D818*'前提と出典'!$B$5),'前提と出典'!$B$6+D818*'前提と出典'!$B$5))</ns0:f>
        <ns0:v>808288.3575418995</ns0:v>
      </ns0:c>
      <ns0:c r="P818" s="16">
        <ns0:f>(E818+G818)*(1-'前提と出典'!$B$7)-I818-K818-M818-O818</ns0:f>
        <ns0:v>2268989.0076361587</ns0:v>
      </ns0:c>
      <ns0:c r="Q818" s="16">
        <ns0:f>(F818+H818)*(1-'前提と出典'!$B$7)-J818-L818-N818</ns0:f>
        <ns0:v>699523.6254035679</ns0:v>
      </ns0:c>
      <ns0:c r="R818" s="16">
        <ns0:f>P818-E818*'前提と出典'!$E$4</ns0:f>
        <ns0:v>1655101.2397807282</ns0:v>
      </ns0:c>
      <ns0:c r="S818" s="16">
        <ns0:f>Q818-F818*'前提と出典'!$E$4</ns0:f>
        <ns0:v>521143.53194123716</ns0:v>
      </ns0:c>
      <ns0:c r="T818" s="7">
        <ns0:f>R818+S818</ns0:f>
        <ns0:v>2176244.7717219656</ns0:v>
      </ns0:c>
      <ns0:c r="U818" s="16">
        <ns0:f>P818-E818*'前提と出典'!$E$5</ns0:f>
        <ns0:v>1450471.9838289176</ns0:v>
      </ns0:c>
      <ns0:c r="V818" s="16">
        <ns0:f>Q818-F818*'前提と出典'!$E$5</ns0:f>
        <ns0:v>461683.5007871268</ns0:v>
      </ns0:c>
      <ns0:c r="W818" s="7">
        <ns0:f>U818+V818</ns0:f>
        <ns0:v>1912155.4846160444</ns0:v>
      </ns0:c>
      <ns0:c r="X818" s="16">
        <ns0:f>P818-E818*'前提と出典'!$E$6</ns0:f>
        <ns0:v>1245842.7278771074</ns0:v>
      </ns0:c>
      <ns0:c r="Y818" s="16">
        <ns0:f>Q818-F818*'前提と出典'!$E$6</ns0:f>
        <ns0:v>402223.46963301644</ns0:v>
      </ns0:c>
      <ns0:c r="Z818" s="7">
        <ns0:f>X818+Y818</ns0:f>
        <ns0:v>1648066.197510124</ns0:v>
      </ns0:c>
      <ns0:c r="AA818" s="7">
        <ns0:f>IF(T818&gt;=0,A818,1001)</ns0:f>
        <ns0:v>814</ns0:v>
      </ns0:c>
      <ns0:c r="AB818" s="7">
        <ns0:f>IF(T818&lt;0,A818,0)</ns0:f>
        <ns0:v>0</ns0:v>
      </ns0:c>
      <ns0:c r="AC818" s="16">
        <ns0:f>IF(AND(OR('前提と出典'!$C$36+'前提と出典'!$C$38=0,R818&gt;=0),OR('前提と出典'!$C$37+'前提と出典'!$C$38=0,S818&gt;=0)),0,A818)</ns0:f>
        <ns0:v>0</ns0:v>
      </ns0:c>
      <ns0:c r="AD818" s="7">
        <ns0:f>IF(W818&gt;=0,A818,1001)</ns0:f>
        <ns0:v>814</ns0:v>
      </ns0:c>
      <ns0:c r="AE818" s="7">
        <ns0:f>IF(W818&lt;0,A818,0)</ns0:f>
        <ns0:v>0</ns0:v>
      </ns0:c>
      <ns0:c r="AF818" s="16">
        <ns0:f>IF(AND(OR('前提と出典'!$C$36+'前提と出典'!$C$38=0,U818&gt;=0),OR('前提と出典'!$C$37+'前提と出典'!$C$38=0,V818&gt;=0)),0,A818)</ns0:f>
        <ns0:v>0</ns0:v>
      </ns0:c>
      <ns0:c r="AG818" s="7">
        <ns0:f>IF(Z818&gt;=0,A818,1001)</ns0:f>
        <ns0:v>814</ns0:v>
      </ns0:c>
      <ns0:c r="AH818" s="4">
        <ns0:f>IF(Z818&lt;0,A818,0)</ns0:f>
        <ns0:v>0</ns0:v>
      </ns0:c>
      <ns0:c r="AI818" s="12">
        <ns0:f>IF(AND(OR('前提と出典'!$C$36+'前提と出典'!$C$38=0,X818&gt;=0),OR('前提と出典'!$C$37+'前提と出典'!$C$38=0,Y818&gt;=0)),0,A818)</ns0:f>
        <ns0:v>0</ns0:v>
      </ns0:c>
    </ns0:row>
    <ns0:row r="819" ht="24" customHeight="1">
      <ns0:c r="A819" s="4" t="n">
        <ns0:v>815</ns0:v>
      </ns0:c>
      <ns0:c r="B819" s="12">
        <ns0:f>A819*('前提と出典'!$C$36+'前提と出典'!$C$38)</ns0:f>
        <ns0:v>570.5</ns0:v>
      </ns0:c>
      <ns0:c r="C819" s="12">
        <ns0:f>A819*('前提と出典'!$C$37+'前提と出典'!$C$38)</ns0:f>
        <ns0:v>489</ns0:v>
      </ns0:c>
      <ns0:c r="D819" s="16">
        <ns0:f>A819*('前提と出典'!$C$36*'契約別単価'!C5+'前提と出典'!$C$37*'契約別単価'!C6+'前提と出典'!$C$38*'契約別単価'!C7)</ns0:f>
        <ns0:v>5864.3575418994415</ns0:v>
      </ns0:c>
      <ns0:c r="E819" s="16">
        <ns0:f>A819*('前提と出典'!$C$36*'契約別単価'!E5+'前提と出典'!$C$37*'契約別単価'!E6+'前提と出典'!$C$38*'契約別単価'!E7)</ns0:f>
        <ns0:v>2048806.4324413443</ns0:v>
      </ns0:c>
      <ns0:c r="F819" s="16">
        <ns0:f>A819*('前提と出典'!$C$36*'契約別単価'!F5+'前提と出典'!$C$37*'契約別単価'!F6+'前提と出典'!$C$38*'契約別単価'!F7)</ns0:f>
        <ns0:v>595330.7787542983</ns0:v>
      </ns0:c>
      <ns0:c r="G819" s="16">
        <ns0:f>A819*('前提と出典'!$C$36*'契約別単価'!G5+'前提と出典'!$C$37*'契約別単価'!G6+'前提と出典'!$C$38*'契約別単価'!G7)</ns0:f>
        <ns0:v>1622259.776536313</ns0:v>
      </ns0:c>
      <ns0:c r="H819" s="16">
        <ns0:f>A819*('前提と出典'!$C$36*'契約別単価'!H5+'前提と出典'!$C$37*'契約別単価'!H6+'前提と出典'!$C$38*'契約別単価'!H7)</ns0:f>
        <ns0:v>563005.5051795288</ns0:v>
      </ns0:c>
      <ns0:c r="I819" s="16">
        <ns0:f>A819*('前提と出典'!$C$36*'契約別単価'!I5+'前提と出典'!$C$37*'契約別単価'!I6+'前提と出典'!$C$38*'契約別単価'!I7)</ns0:f>
        <ns0:v>34389.35754189944</ns0:v>
      </ns0:c>
      <ns0:c r="J819" s="16">
        <ns0:f>A819*('前提と出典'!$C$36*'契約別単価'!J5+'前提と出典'!$C$37*'契約別単価'!J6+'前提と出典'!$C$38*'契約別単価'!J7)</ns0:f>
        <ns0:v>80105.9781238966</ns0:v>
      </ns0:c>
      <ns0:c r="K819" s="16">
        <ns0:f>A819*('前提と出典'!$C$36*'契約別単価'!K5+'前提と出典'!$C$37*'契約別単価'!K6+'前提と出典'!$C$38*'契約別単価'!K7)</ns0:f>
        <ns0:v>343362.3836126629</ns0:v>
      </ns0:c>
      <ns0:c r="L819" s="16">
        <ns0:f>A819*('前提と出典'!$C$36*'契約別単価'!L5+'前提と出典'!$C$37*'契約別単価'!L6+'前提と出典'!$C$38*'契約別単価'!L7)</ns0:f>
        <ns0:v>279566.85017265094</ns0:v>
      </ns0:c>
      <ns0:c r="M819" s="16">
        <ns0:f>IF(('前提と出典'!$C$36+'前提と出典'!$C$38)=0,0,IF(B819&lt;=10,'前提と出典'!B73+'前提と出典'!C73,IF(B819&lt;=100,'前提と出典'!B74+'前提と出典'!C74,IF(B819&lt;=500,'前提と出典'!B75+'前提と出典'!C75,'前提と出典'!B76+'前提と出典'!C76))))</ns0:f>
        <ns0:v>80000</ns0:v>
      </ns0:c>
      <ns0:c r="N819" s="16">
        <ns0:f>IF(('前提と出典'!$C$37+'前提と出典'!$C$38)=0,0,IF(C819&lt;=10,'前提と出典'!D73+'前提と出典'!E73,IF(C819&lt;=100,'前提と出典'!D74+'前提と出典'!E74,IF(C819&lt;=500,'前提と出典'!D75+'前提と出典'!E75,'前提と出典'!D76+'前提と出典'!E76))))</ns0:f>
        <ns0:v>56510.9346263078</ns0:v>
      </ns0:c>
      <ns0:c r="O819" s="16">
        <ns0:f>IF('前提と出典'!$C$36+'前提と出典'!$C$38=0,0,'前提と出典'!$B$4*IF('前提と出典'!$B$20=0,MAX('前提と出典'!$B$6,D819*'前提と出典'!$B$5),'前提と出典'!$B$6+D819*'前提と出典'!$B$5))</ns0:f>
        <ns0:v>809281.3407821229</ns0:v>
      </ns0:c>
      <ns0:c r="P819" s="16">
        <ns0:f>(E819+G819)*(1-'前提と出典'!$B$7)-I819-K819-M819-O819</ns0:f>
        <ns0:v>2271874.743517776</ns0:v>
      </ns0:c>
      <ns0:c r="Q819" s="16">
        <ns0:f>(F819+H819)*(1-'前提と出典'!$B$7)-J819-L819-N819</ns0:f>
        <ns0:v>700452.4147893541</ns0:v>
      </ns0:c>
      <ns0:c r="R819" s="16">
        <ns0:f>P819-E819*'前提と出典'!$E$4</ns0:f>
        <ns0:v>1657232.813785373</ns0:v>
      </ns0:c>
      <ns0:c r="S819" s="16">
        <ns0:f>Q819-F819*'前提と出典'!$E$4</ns0:f>
        <ns0:v>521853.18116306444</ns0:v>
      </ns0:c>
      <ns0:c r="T819" s="7">
        <ns0:f>R819+S819</ns0:f>
        <ns0:v>2179085.9949484374</ns0:v>
      </ns0:c>
      <ns0:c r="U819" s="16">
        <ns0:f>P819-E819*'前提と出典'!$E$5</ns0:f>
        <ns0:v>1452352.1705412383</ns0:v>
      </ns0:c>
      <ns0:c r="V819" s="16">
        <ns0:f>Q819-F819*'前提と出典'!$E$5</ns0:f>
        <ns0:v>462320.10328763473</ns0:v>
      </ns0:c>
      <ns0:c r="W819" s="7">
        <ns0:f>U819+V819</ns0:f>
        <ns0:v>1914672.273828873</ns0:v>
      </ns0:c>
      <ns0:c r="X819" s="16">
        <ns0:f>P819-E819*'前提と出典'!$E$6</ns0:f>
        <ns0:v>1247471.527297104</ns0:v>
      </ns0:c>
      <ns0:c r="Y819" s="16">
        <ns0:f>Q819-F819*'前提と出典'!$E$6</ns0:f>
        <ns0:v>402787.02541220485</ns0:v>
      </ns0:c>
      <ns0:c r="Z819" s="7">
        <ns0:f>X819+Y819</ns0:f>
        <ns0:v>1650258.552709309</ns0:v>
      </ns0:c>
      <ns0:c r="AA819" s="7">
        <ns0:f>IF(T819&gt;=0,A819,1001)</ns0:f>
        <ns0:v>815</ns0:v>
      </ns0:c>
      <ns0:c r="AB819" s="7">
        <ns0:f>IF(T819&lt;0,A819,0)</ns0:f>
        <ns0:v>0</ns0:v>
      </ns0:c>
      <ns0:c r="AC819" s="16">
        <ns0:f>IF(AND(OR('前提と出典'!$C$36+'前提と出典'!$C$38=0,R819&gt;=0),OR('前提と出典'!$C$37+'前提と出典'!$C$38=0,S819&gt;=0)),0,A819)</ns0:f>
        <ns0:v>0</ns0:v>
      </ns0:c>
      <ns0:c r="AD819" s="7">
        <ns0:f>IF(W819&gt;=0,A819,1001)</ns0:f>
        <ns0:v>815</ns0:v>
      </ns0:c>
      <ns0:c r="AE819" s="7">
        <ns0:f>IF(W819&lt;0,A819,0)</ns0:f>
        <ns0:v>0</ns0:v>
      </ns0:c>
      <ns0:c r="AF819" s="16">
        <ns0:f>IF(AND(OR('前提と出典'!$C$36+'前提と出典'!$C$38=0,U819&gt;=0),OR('前提と出典'!$C$37+'前提と出典'!$C$38=0,V819&gt;=0)),0,A819)</ns0:f>
        <ns0:v>0</ns0:v>
      </ns0:c>
      <ns0:c r="AG819" s="7">
        <ns0:f>IF(Z819&gt;=0,A819,1001)</ns0:f>
        <ns0:v>815</ns0:v>
      </ns0:c>
      <ns0:c r="AH819" s="4">
        <ns0:f>IF(Z819&lt;0,A819,0)</ns0:f>
        <ns0:v>0</ns0:v>
      </ns0:c>
      <ns0:c r="AI819" s="12">
        <ns0:f>IF(AND(OR('前提と出典'!$C$36+'前提と出典'!$C$38=0,X819&gt;=0),OR('前提と出典'!$C$37+'前提と出典'!$C$38=0,Y819&gt;=0)),0,A819)</ns0:f>
        <ns0:v>0</ns0:v>
      </ns0:c>
    </ns0:row>
    <ns0:row r="820" ht="24" customHeight="1">
      <ns0:c r="A820" s="4" t="n">
        <ns0:v>816</ns0:v>
      </ns0:c>
      <ns0:c r="B820" s="12">
        <ns0:f>A820*('前提と出典'!$C$36+'前提と出典'!$C$38)</ns0:f>
        <ns0:v>571.1999999999999</ns0:v>
      </ns0:c>
      <ns0:c r="C820" s="12">
        <ns0:f>A820*('前提と出典'!$C$37+'前提と出典'!$C$38)</ns0:f>
        <ns0:v>489.59999999999997</ns0:v>
      </ns0:c>
      <ns0:c r="D820" s="16">
        <ns0:f>A820*('前提と出典'!$C$36*'契約別単価'!C5+'前提と出典'!$C$37*'契約別単価'!C6+'前提と出典'!$C$38*'契約別単価'!C7)</ns0:f>
        <ns0:v>5871.553072625698</ns0:v>
      </ns0:c>
      <ns0:c r="E820" s="16">
        <ns0:f>A820*('前提と出典'!$C$36*'契約別単価'!E5+'前提と出典'!$C$37*'契約別単価'!E6+'前提と出典'!$C$38*'契約別単価'!E7)</ns0:f>
        <ns0:v>2051320.3053645852</ns0:v>
      </ns0:c>
      <ns0:c r="F820" s="16">
        <ns0:f>A820*('前提と出典'!$C$36*'契約別単価'!F5+'前提と出典'!$C$37*'契約別単価'!F6+'前提と出典'!$C$38*'契約別単価'!F7)</ns0:f>
        <ns0:v>596061.2459674939</ns0:v>
      </ns0:c>
      <ns0:c r="G820" s="16">
        <ns0:f>A820*('前提と出典'!$C$36*'契約別単価'!G5+'前提と出典'!$C$37*'契約別単価'!G6+'前提と出典'!$C$38*'契約別単価'!G7)</ns0:f>
        <ns0:v>1624250.279329609</ns0:v>
      </ns0:c>
      <ns0:c r="H820" s="16">
        <ns0:f>A820*('前提と出典'!$C$36*'契約別単価'!H5+'前提と出典'!$C$37*'契約別単価'!H6+'前提と出典'!$C$38*'契約別単価'!H7)</ns0:f>
        <ns0:v>563696.3094803626</ns0:v>
      </ns0:c>
      <ns0:c r="I820" s="16">
        <ns0:f>A820*('前提と出典'!$C$36*'契約別単価'!I5+'前提と出典'!$C$37*'契約別単価'!I6+'前提と出典'!$C$38*'契約別単価'!I7)</ns0:f>
        <ns0:v>34431.55307262569</ns0:v>
      </ns0:c>
      <ns0:c r="J820" s="16">
        <ns0:f>A820*('前提と出典'!$C$36*'契約別単価'!J5+'前提と出典'!$C$37*'契約別単価'!J6+'前提と出典'!$C$38*'契約別単価'!J7)</ns0:f>
        <ns0:v>80204.2676676069</ns0:v>
      </ns0:c>
      <ns0:c r="K820" s="16">
        <ns0:f>A820*('前提と出典'!$C$36*'契約別単価'!K5+'前提と出典'!$C$37*'契約別単価'!K6+'前提と出典'!$C$38*'契約別単価'!K7)</ns0:f>
        <ns0:v>343783.68715083797</ns0:v>
      </ns0:c>
      <ns0:c r="L820" s="16">
        <ns0:f>A820*('前提と出典'!$C$36*'契約別単価'!L5+'前提と出典'!$C$37*'契約別単価'!L6+'前提と出典'!$C$38*'契約別単価'!L7)</ns0:f>
        <ns0:v>279909.8769826787</ns0:v>
      </ns0:c>
      <ns0:c r="M820" s="16">
        <ns0:f>IF(('前提と出典'!$C$36+'前提と出典'!$C$38)=0,0,IF(B820&lt;=10,'前提と出典'!B73+'前提と出典'!C73,IF(B820&lt;=100,'前提と出典'!B74+'前提と出典'!C74,IF(B820&lt;=500,'前提と出典'!B75+'前提と出典'!C75,'前提と出典'!B76+'前提と出典'!C76))))</ns0:f>
        <ns0:v>80000</ns0:v>
      </ns0:c>
      <ns0:c r="N820" s="16">
        <ns0:f>IF(('前提と出典'!$C$37+'前提と出典'!$C$38)=0,0,IF(C820&lt;=10,'前提と出典'!D73+'前提と出典'!E73,IF(C820&lt;=100,'前提と出典'!D74+'前提と出典'!E74,IF(C820&lt;=500,'前提と出典'!D75+'前提と出典'!E75,'前提と出典'!D76+'前提と出典'!E76))))</ns0:f>
        <ns0:v>56510.9346263078</ns0:v>
      </ns0:c>
      <ns0:c r="O820" s="16">
        <ns0:f>IF('前提と出典'!$C$36+'前提と出典'!$C$38=0,0,'前提と出典'!$B$4*IF('前提と出典'!$B$20=0,MAX('前提と出典'!$B$6,D820*'前提と出典'!$B$5),'前提と出典'!$B$6+D820*'前提と出典'!$B$5))</ns0:f>
        <ns0:v>810274.3240223464</ns0:v>
      </ns0:c>
      <ns0:c r="P820" s="16">
        <ns0:f>(E820+G820)*(1-'前提と出典'!$B$7)-I820-K820-M820-O820</ns0:f>
        <ns0:v>2274760.4793993933</ns0:v>
      </ns0:c>
      <ns0:c r="Q820" s="16">
        <ns0:f>(F820+H820)*(1-'前提と出典'!$B$7)-J820-L820-N820</ns0:f>
        <ns0:v>701381.2041751402</ns0:v>
      </ns0:c>
      <ns0:c r="R820" s="16">
        <ns0:f>P820-E820*'前提と出典'!$E$4</ns0:f>
        <ns0:v>1659364.3877900175</ns0:v>
      </ns0:c>
      <ns0:c r="S820" s="16">
        <ns0:f>Q820-F820*'前提と出典'!$E$4</ns0:f>
        <ns0:v>522562.83038489195</ns0:v>
      </ns0:c>
      <ns0:c r="T820" s="7">
        <ns0:f>R820+S820</ns0:f>
        <ns0:v>2181927.2181749092</ns0:v>
      </ns0:c>
      <ns0:c r="U820" s="16">
        <ns0:f>P820-E820*'前提と出典'!$E$5</ns0:f>
        <ns0:v>1454232.3572535592</ns0:v>
      </ns0:c>
      <ns0:c r="V820" s="16">
        <ns0:f>Q820-F820*'前提と出典'!$E$5</ns0:f>
        <ns0:v>462956.7057881427</ns0:v>
      </ns0:c>
      <ns0:c r="W820" s="7">
        <ns0:f>U820+V820</ns0:f>
        <ns0:v>1917189.063041702</ns0:v>
      </ns0:c>
      <ns0:c r="X820" s="16">
        <ns0:f>P820-E820*'前提と出典'!$E$6</ns0:f>
        <ns0:v>1249100.3267171003</ns0:v>
      </ns0:c>
      <ns0:c r="Y820" s="16">
        <ns0:f>Q820-F820*'前提と出典'!$E$6</ns0:f>
        <ns0:v>403350.58119139326</ns0:v>
      </ns0:c>
      <ns0:c r="Z820" s="7">
        <ns0:f>X820+Y820</ns0:f>
        <ns0:v>1652450.9079084937</ns0:v>
      </ns0:c>
      <ns0:c r="AA820" s="7">
        <ns0:f>IF(T820&gt;=0,A820,1001)</ns0:f>
        <ns0:v>816</ns0:v>
      </ns0:c>
      <ns0:c r="AB820" s="7">
        <ns0:f>IF(T820&lt;0,A820,0)</ns0:f>
        <ns0:v>0</ns0:v>
      </ns0:c>
      <ns0:c r="AC820" s="16">
        <ns0:f>IF(AND(OR('前提と出典'!$C$36+'前提と出典'!$C$38=0,R820&gt;=0),OR('前提と出典'!$C$37+'前提と出典'!$C$38=0,S820&gt;=0)),0,A820)</ns0:f>
        <ns0:v>0</ns0:v>
      </ns0:c>
      <ns0:c r="AD820" s="7">
        <ns0:f>IF(W820&gt;=0,A820,1001)</ns0:f>
        <ns0:v>816</ns0:v>
      </ns0:c>
      <ns0:c r="AE820" s="7">
        <ns0:f>IF(W820&lt;0,A820,0)</ns0:f>
        <ns0:v>0</ns0:v>
      </ns0:c>
      <ns0:c r="AF820" s="16">
        <ns0:f>IF(AND(OR('前提と出典'!$C$36+'前提と出典'!$C$38=0,U820&gt;=0),OR('前提と出典'!$C$37+'前提と出典'!$C$38=0,V820&gt;=0)),0,A820)</ns0:f>
        <ns0:v>0</ns0:v>
      </ns0:c>
      <ns0:c r="AG820" s="7">
        <ns0:f>IF(Z820&gt;=0,A820,1001)</ns0:f>
        <ns0:v>816</ns0:v>
      </ns0:c>
      <ns0:c r="AH820" s="4">
        <ns0:f>IF(Z820&lt;0,A820,0)</ns0:f>
        <ns0:v>0</ns0:v>
      </ns0:c>
      <ns0:c r="AI820" s="12">
        <ns0:f>IF(AND(OR('前提と出典'!$C$36+'前提と出典'!$C$38=0,X820&gt;=0),OR('前提と出典'!$C$37+'前提と出典'!$C$38=0,Y820&gt;=0)),0,A820)</ns0:f>
        <ns0:v>0</ns0:v>
      </ns0:c>
    </ns0:row>
    <ns0:row r="821" ht="24" customHeight="1">
      <ns0:c r="A821" s="4" t="n">
        <ns0:v>817</ns0:v>
      </ns0:c>
      <ns0:c r="B821" s="12">
        <ns0:f>A821*('前提と出典'!$C$36+'前提と出典'!$C$38)</ns0:f>
        <ns0:v>571.9</ns0:v>
      </ns0:c>
      <ns0:c r="C821" s="12">
        <ns0:f>A821*('前提と出典'!$C$37+'前提と出典'!$C$38)</ns0:f>
        <ns0:v>490.2</ns0:v>
      </ns0:c>
      <ns0:c r="D821" s="16">
        <ns0:f>A821*('前提と出典'!$C$36*'契約別単価'!C5+'前提と出典'!$C$37*'契約別単価'!C6+'前提と出典'!$C$38*'契約別単価'!C7)</ns0:f>
        <ns0:v>5878.748603351955</ns0:v>
      </ns0:c>
      <ns0:c r="E821" s="16">
        <ns0:f>A821*('前提と出典'!$C$36*'契約別単価'!E5+'前提と出典'!$C$37*'契約別単価'!E6+'前提と出典'!$C$38*'契約別単価'!E7)</ns0:f>
        <ns0:v>2053834.178287826</ns0:v>
      </ns0:c>
      <ns0:c r="F821" s="16">
        <ns0:f>A821*('前提と出典'!$C$36*'契約別単価'!F5+'前提と出典'!$C$37*'契約別単価'!F6+'前提と出典'!$C$38*'契約別単価'!F7)</ns0:f>
        <ns0:v>596791.7131806893</ns0:v>
      </ns0:c>
      <ns0:c r="G821" s="16">
        <ns0:f>A821*('前提と出典'!$C$36*'契約別単価'!G5+'前提と出典'!$C$37*'契約別単価'!G6+'前提と出典'!$C$38*'契約別単価'!G7)</ns0:f>
        <ns0:v>1626240.782122905</ns0:v>
      </ns0:c>
      <ns0:c r="H821" s="16">
        <ns0:f>A821*('前提と出典'!$C$36*'契約別単価'!H5+'前提と出典'!$C$37*'契約別単価'!H6+'前提と出典'!$C$38*'契約別単価'!H7)</ns0:f>
        <ns0:v>564387.1137811964</ns0:v>
      </ns0:c>
      <ns0:c r="I821" s="16">
        <ns0:f>A821*('前提と出典'!$C$36*'契約別単価'!I5+'前提と出典'!$C$37*'契約別単価'!I6+'前提と出典'!$C$38*'契約別単価'!I7)</ns0:f>
        <ns0:v>34473.74860335195</ns0:v>
      </ns0:c>
      <ns0:c r="J821" s="16">
        <ns0:f>A821*('前提と出典'!$C$36*'契約別単価'!J5+'前提と出典'!$C$37*'契約別単価'!J6+'前提と出典'!$C$38*'契約別単価'!J7)</ns0:f>
        <ns0:v>80302.5572113172</ns0:v>
      </ns0:c>
      <ns0:c r="K821" s="16">
        <ns0:f>A821*('前提と出典'!$C$36*'契約別単価'!K5+'前提と出典'!$C$37*'契約別単価'!K6+'前提と出典'!$C$38*'契約別単価'!K7)</ns0:f>
        <ns0:v>344204.99068901304</ns0:v>
      </ns0:c>
      <ns0:c r="L821" s="16">
        <ns0:f>A821*('前提と出典'!$C$36*'契約別単価'!L5+'前提と出典'!$C$37*'契約別単価'!L6+'前提と出典'!$C$38*'契約別単価'!L7)</ns0:f>
        <ns0:v>280252.90379270655</ns0:v>
      </ns0:c>
      <ns0:c r="M821" s="16">
        <ns0:f>IF(('前提と出典'!$C$36+'前提と出典'!$C$38)=0,0,IF(B821&lt;=10,'前提と出典'!B73+'前提と出典'!C73,IF(B821&lt;=100,'前提と出典'!B74+'前提と出典'!C74,IF(B821&lt;=500,'前提と出典'!B75+'前提と出典'!C75,'前提と出典'!B76+'前提と出典'!C76))))</ns0:f>
        <ns0:v>80000</ns0:v>
      </ns0:c>
      <ns0:c r="N821" s="16">
        <ns0:f>IF(('前提と出典'!$C$37+'前提と出典'!$C$38)=0,0,IF(C821&lt;=10,'前提と出典'!D73+'前提と出典'!E73,IF(C821&lt;=100,'前提と出典'!D74+'前提と出典'!E74,IF(C821&lt;=500,'前提と出典'!D75+'前提と出典'!E75,'前提と出典'!D76+'前提と出典'!E76))))</ns0:f>
        <ns0:v>56510.9346263078</ns0:v>
      </ns0:c>
      <ns0:c r="O821" s="16">
        <ns0:f>IF('前提と出典'!$C$36+'前提と出典'!$C$38=0,0,'前提と出典'!$B$4*IF('前提と出典'!$B$20=0,MAX('前提と出典'!$B$6,D821*'前提と出典'!$B$5),'前提と出典'!$B$6+D821*'前提と出典'!$B$5))</ns0:f>
        <ns0:v>811267.3072625699</ns0:v>
      </ns0:c>
      <ns0:c r="P821" s="16">
        <ns0:f>(E821+G821)*(1-'前提と出典'!$B$7)-I821-K821-M821-O821</ns0:f>
        <ns0:v>2277646.2152810097</ns0:v>
      </ns0:c>
      <ns0:c r="Q821" s="16">
        <ns0:f>(F821+H821)*(1-'前提と出典'!$B$7)-J821-L821-N821</ns0:f>
        <ns0:v>702309.9935609262</ns0:v>
      </ns0:c>
      <ns0:c r="R821" s="16">
        <ns0:f>P821-E821*'前提と出典'!$E$4</ns0:f>
        <ns0:v>1661495.9617946616</ns0:v>
      </ns0:c>
      <ns0:c r="S821" s="16">
        <ns0:f>Q821-F821*'前提と出典'!$E$4</ns0:f>
        <ns0:v>523272.47960671934</ns0:v>
      </ns0:c>
      <ns0:c r="T821" s="7">
        <ns0:f>R821+S821</ns0:f>
        <ns0:v>2184768.441401381</ns0:v>
      </ns0:c>
      <ns0:c r="U821" s="16">
        <ns0:f>P821-E821*'前提と出典'!$E$5</ns0:f>
        <ns0:v>1456112.5439658791</ns0:v>
      </ns0:c>
      <ns0:c r="V821" s="16">
        <ns0:f>Q821-F821*'前提と出典'!$E$5</ns0:f>
        <ns0:v>463593.30828865047</ns0:v>
      </ns0:c>
      <ns0:c r="W821" s="7">
        <ns0:f>U821+V821</ns0:f>
        <ns0:v>1919705.8522545295</ns0:v>
      </ns0:c>
      <ns0:c r="X821" s="16">
        <ns0:f>P821-E821*'前提と出典'!$E$6</ns0:f>
        <ns0:v>1250729.1261370967</ns0:v>
      </ns0:c>
      <ns0:c r="Y821" s="16">
        <ns0:f>Q821-F821*'前提と出典'!$E$6</ns0:f>
        <ns0:v>403914.1369705816</ns0:v>
      </ns0:c>
      <ns0:c r="Z821" s="7">
        <ns0:f>X821+Y821</ns0:f>
        <ns0:v>1654643.2631076784</ns0:v>
      </ns0:c>
      <ns0:c r="AA821" s="7">
        <ns0:f>IF(T821&gt;=0,A821,1001)</ns0:f>
        <ns0:v>817</ns0:v>
      </ns0:c>
      <ns0:c r="AB821" s="7">
        <ns0:f>IF(T821&lt;0,A821,0)</ns0:f>
        <ns0:v>0</ns0:v>
      </ns0:c>
      <ns0:c r="AC821" s="16">
        <ns0:f>IF(AND(OR('前提と出典'!$C$36+'前提と出典'!$C$38=0,R821&gt;=0),OR('前提と出典'!$C$37+'前提と出典'!$C$38=0,S821&gt;=0)),0,A821)</ns0:f>
        <ns0:v>0</ns0:v>
      </ns0:c>
      <ns0:c r="AD821" s="7">
        <ns0:f>IF(W821&gt;=0,A821,1001)</ns0:f>
        <ns0:v>817</ns0:v>
      </ns0:c>
      <ns0:c r="AE821" s="7">
        <ns0:f>IF(W821&lt;0,A821,0)</ns0:f>
        <ns0:v>0</ns0:v>
      </ns0:c>
      <ns0:c r="AF821" s="16">
        <ns0:f>IF(AND(OR('前提と出典'!$C$36+'前提と出典'!$C$38=0,U821&gt;=0),OR('前提と出典'!$C$37+'前提と出典'!$C$38=0,V821&gt;=0)),0,A821)</ns0:f>
        <ns0:v>0</ns0:v>
      </ns0:c>
      <ns0:c r="AG821" s="7">
        <ns0:f>IF(Z821&gt;=0,A821,1001)</ns0:f>
        <ns0:v>817</ns0:v>
      </ns0:c>
      <ns0:c r="AH821" s="4">
        <ns0:f>IF(Z821&lt;0,A821,0)</ns0:f>
        <ns0:v>0</ns0:v>
      </ns0:c>
      <ns0:c r="AI821" s="12">
        <ns0:f>IF(AND(OR('前提と出典'!$C$36+'前提と出典'!$C$38=0,X821&gt;=0),OR('前提と出典'!$C$37+'前提と出典'!$C$38=0,Y821&gt;=0)),0,A821)</ns0:f>
        <ns0:v>0</ns0:v>
      </ns0:c>
    </ns0:row>
    <ns0:row r="822" ht="24" customHeight="1">
      <ns0:c r="A822" s="4" t="n">
        <ns0:v>818</ns0:v>
      </ns0:c>
      <ns0:c r="B822" s="12">
        <ns0:f>A822*('前提と出典'!$C$36+'前提と出典'!$C$38)</ns0:f>
        <ns0:v>572.5999999999999</ns0:v>
      </ns0:c>
      <ns0:c r="C822" s="12">
        <ns0:f>A822*('前提と出典'!$C$37+'前提と出典'!$C$38)</ns0:f>
        <ns0:v>490.79999999999995</ns0:v>
      </ns0:c>
      <ns0:c r="D822" s="16">
        <ns0:f>A822*('前提と出典'!$C$36*'契約別単価'!C5+'前提と出典'!$C$37*'契約別単価'!C6+'前提と出典'!$C$38*'契約別単価'!C7)</ns0:f>
        <ns0:v>5885.944134078212</ns0:v>
      </ns0:c>
      <ns0:c r="E822" s="16">
        <ns0:f>A822*('前提と出典'!$C$36*'契約別単価'!E5+'前提と出典'!$C$37*'契約別単価'!E6+'前提と出典'!$C$38*'契約別単価'!E7)</ns0:f>
        <ns0:v>2056348.051211067</ns0:v>
      </ns0:c>
      <ns0:c r="F822" s="16">
        <ns0:f>A822*('前提と出典'!$C$36*'契約別単価'!F5+'前提と出典'!$C$37*'契約別単価'!F6+'前提と出典'!$C$38*'契約別単価'!F7)</ns0:f>
        <ns0:v>597522.1803938848</ns0:v>
      </ns0:c>
      <ns0:c r="G822" s="16">
        <ns0:f>A822*('前提と出典'!$C$36*'契約別単価'!G5+'前提と出典'!$C$37*'契約別単価'!G6+'前提と出典'!$C$38*'契約別単価'!G7)</ns0:f>
        <ns0:v>1628231.2849162011</ns0:v>
      </ns0:c>
      <ns0:c r="H822" s="16">
        <ns0:f>A822*('前提と出典'!$C$36*'契約別単価'!H5+'前提と出典'!$C$37*'契約別単価'!H6+'前提と出典'!$C$38*'契約別単価'!H7)</ns0:f>
        <ns0:v>565077.9180820301</ns0:v>
      </ns0:c>
      <ns0:c r="I822" s="16">
        <ns0:f>A822*('前提と出典'!$C$36*'契約別単価'!I5+'前提と出典'!$C$37*'契約別単価'!I6+'前提と出典'!$C$38*'契約別単価'!I7)</ns0:f>
        <ns0:v>34515.94413407821</ns0:v>
      </ns0:c>
      <ns0:c r="J822" s="16">
        <ns0:f>A822*('前提と出典'!$C$36*'契約別単価'!J5+'前提と出典'!$C$37*'契約別単価'!J6+'前提と出典'!$C$38*'契約別単価'!J7)</ns0:f>
        <ns0:v>80400.8467550275</ns0:v>
      </ns0:c>
      <ns0:c r="K822" s="16">
        <ns0:f>A822*('前提と出典'!$C$36*'契約別単価'!K5+'前提と出典'!$C$37*'契約別単価'!K6+'前提と出典'!$C$38*'契約別単価'!K7)</ns0:f>
        <ns0:v>344626.29422718805</ns0:v>
      </ns0:c>
      <ns0:c r="L822" s="16">
        <ns0:f>A822*('前提と出典'!$C$36*'契約別単価'!L5+'前提と出典'!$C$37*'契約別単価'!L6+'前提と出典'!$C$38*'契約別単価'!L7)</ns0:f>
        <ns0:v>280595.9306027343</ns0:v>
      </ns0:c>
      <ns0:c r="M822" s="16">
        <ns0:f>IF(('前提と出典'!$C$36+'前提と出典'!$C$38)=0,0,IF(B822&lt;=10,'前提と出典'!B73+'前提と出典'!C73,IF(B822&lt;=100,'前提と出典'!B74+'前提と出典'!C74,IF(B822&lt;=500,'前提と出典'!B75+'前提と出典'!C75,'前提と出典'!B76+'前提と出典'!C76))))</ns0:f>
        <ns0:v>80000</ns0:v>
      </ns0:c>
      <ns0:c r="N822" s="16">
        <ns0:f>IF(('前提と出典'!$C$37+'前提と出典'!$C$38)=0,0,IF(C822&lt;=10,'前提と出典'!D73+'前提と出典'!E73,IF(C822&lt;=100,'前提と出典'!D74+'前提と出典'!E74,IF(C822&lt;=500,'前提と出典'!D75+'前提と出典'!E75,'前提と出典'!D76+'前提と出典'!E76))))</ns0:f>
        <ns0:v>56510.9346263078</ns0:v>
      </ns0:c>
      <ns0:c r="O822" s="16">
        <ns0:f>IF('前提と出典'!$C$36+'前提と出典'!$C$38=0,0,'前提と出典'!$B$4*IF('前提と出典'!$B$20=0,MAX('前提と出典'!$B$6,D822*'前提と出典'!$B$5),'前提と出典'!$B$6+D822*'前提と出典'!$B$5))</ns0:f>
        <ns0:v>812260.2905027934</ns0:v>
      </ns0:c>
      <ns0:c r="P822" s="16">
        <ns0:f>(E822+G822)*(1-'前提と出典'!$B$7)-I822-K822-M822-O822</ns0:f>
        <ns0:v>2280531.9511626274</ns0:v>
      </ns0:c>
      <ns0:c r="Q822" s="16">
        <ns0:f>(F822+H822)*(1-'前提と出典'!$B$7)-J822-L822-N822</ns0:f>
        <ns0:v>703238.7829467123</ns0:v>
      </ns0:c>
      <ns0:c r="R822" s="16">
        <ns0:f>P822-E822*'前提と出典'!$E$4</ns0:f>
        <ns0:v>1663627.535799307</ns0:v>
      </ns0:c>
      <ns0:c r="S822" s="16">
        <ns0:f>Q822-F822*'前提と出典'!$E$4</ns0:f>
        <ns0:v>523982.12882854696</ns0:v>
      </ns0:c>
      <ns0:c r="T822" s="7">
        <ns0:f>R822+S822</ns0:f>
        <ns0:v>2187609.664627854</ns0:v>
      </ns0:c>
      <ns0:c r="U822" s="16">
        <ns0:f>P822-E822*'前提と出典'!$E$5</ns0:f>
        <ns0:v>1457992.7306782005</ns0:v>
      </ns0:c>
      <ns0:c r="V822" s="16">
        <ns0:f>Q822-F822*'前提と出典'!$E$5</ns0:f>
        <ns0:v>464229.9107891584</ns0:v>
      </ns0:c>
      <ns0:c r="W822" s="7">
        <ns0:f>U822+V822</ns0:f>
        <ns0:v>1922222.641467359</ns0:v>
      </ns0:c>
      <ns0:c r="X822" s="16">
        <ns0:f>P822-E822*'前提と出典'!$E$6</ns0:f>
        <ns0:v>1252357.925557094</ns0:v>
      </ns0:c>
      <ns0:c r="Y822" s="16">
        <ns0:f>Q822-F822*'前提と出典'!$E$6</ns0:f>
        <ns0:v>404477.6927497699</ns0:v>
      </ns0:c>
      <ns0:c r="Z822" s="7">
        <ns0:f>X822+Y822</ns0:f>
        <ns0:v>1656835.6183068638</ns0:v>
      </ns0:c>
      <ns0:c r="AA822" s="7">
        <ns0:f>IF(T822&gt;=0,A822,1001)</ns0:f>
        <ns0:v>818</ns0:v>
      </ns0:c>
      <ns0:c r="AB822" s="7">
        <ns0:f>IF(T822&lt;0,A822,0)</ns0:f>
        <ns0:v>0</ns0:v>
      </ns0:c>
      <ns0:c r="AC822" s="16">
        <ns0:f>IF(AND(OR('前提と出典'!$C$36+'前提と出典'!$C$38=0,R822&gt;=0),OR('前提と出典'!$C$37+'前提と出典'!$C$38=0,S822&gt;=0)),0,A822)</ns0:f>
        <ns0:v>0</ns0:v>
      </ns0:c>
      <ns0:c r="AD822" s="7">
        <ns0:f>IF(W822&gt;=0,A822,1001)</ns0:f>
        <ns0:v>818</ns0:v>
      </ns0:c>
      <ns0:c r="AE822" s="7">
        <ns0:f>IF(W822&lt;0,A822,0)</ns0:f>
        <ns0:v>0</ns0:v>
      </ns0:c>
      <ns0:c r="AF822" s="16">
        <ns0:f>IF(AND(OR('前提と出典'!$C$36+'前提と出典'!$C$38=0,U822&gt;=0),OR('前提と出典'!$C$37+'前提と出典'!$C$38=0,V822&gt;=0)),0,A822)</ns0:f>
        <ns0:v>0</ns0:v>
      </ns0:c>
      <ns0:c r="AG822" s="7">
        <ns0:f>IF(Z822&gt;=0,A822,1001)</ns0:f>
        <ns0:v>818</ns0:v>
      </ns0:c>
      <ns0:c r="AH822" s="4">
        <ns0:f>IF(Z822&lt;0,A822,0)</ns0:f>
        <ns0:v>0</ns0:v>
      </ns0:c>
      <ns0:c r="AI822" s="12">
        <ns0:f>IF(AND(OR('前提と出典'!$C$36+'前提と出典'!$C$38=0,X822&gt;=0),OR('前提と出典'!$C$37+'前提と出典'!$C$38=0,Y822&gt;=0)),0,A822)</ns0:f>
        <ns0:v>0</ns0:v>
      </ns0:c>
    </ns0:row>
    <ns0:row r="823" ht="24" customHeight="1">
      <ns0:c r="A823" s="4" t="n">
        <ns0:v>819</ns0:v>
      </ns0:c>
      <ns0:c r="B823" s="12">
        <ns0:f>A823*('前提と出典'!$C$36+'前提と出典'!$C$38)</ns0:f>
        <ns0:v>573.3</ns0:v>
      </ns0:c>
      <ns0:c r="C823" s="12">
        <ns0:f>A823*('前提と出典'!$C$37+'前提と出典'!$C$38)</ns0:f>
        <ns0:v>491.4</ns0:v>
      </ns0:c>
      <ns0:c r="D823" s="16">
        <ns0:f>A823*('前提と出典'!$C$36*'契約別単価'!C5+'前提と出典'!$C$37*'契約別単価'!C6+'前提と出典'!$C$38*'契約別単価'!C7)</ns0:f>
        <ns0:v>5893.139664804469</ns0:v>
      </ns0:c>
      <ns0:c r="E823" s="16">
        <ns0:f>A823*('前提と出典'!$C$36*'契約別単価'!E5+'前提と出典'!$C$37*'契約別単価'!E6+'前提と出典'!$C$38*'契約別単価'!E7)</ns0:f>
        <ns0:v>2058861.924134308</ns0:v>
      </ns0:c>
      <ns0:c r="F823" s="16">
        <ns0:f>A823*('前提と出典'!$C$36*'契約別単価'!F5+'前提と出典'!$C$37*'契約別単価'!F6+'前提と出典'!$C$38*'契約別単価'!F7)</ns0:f>
        <ns0:v>598252.6476070802</ns0:v>
      </ns0:c>
      <ns0:c r="G823" s="16">
        <ns0:f>A823*('前提と出典'!$C$36*'契約別単価'!G5+'前提と出典'!$C$37*'契約別単価'!G6+'前提と出典'!$C$38*'契約別単価'!G7)</ns0:f>
        <ns0:v>1630221.7877094971</ns0:v>
      </ns0:c>
      <ns0:c r="H823" s="16">
        <ns0:f>A823*('前提と出典'!$C$36*'契約別単価'!H5+'前提と出典'!$C$37*'契約別単価'!H6+'前提と出典'!$C$38*'契約別単価'!H7)</ns0:f>
        <ns0:v>565768.722382864</ns0:v>
      </ns0:c>
      <ns0:c r="I823" s="16">
        <ns0:f>A823*('前提と出典'!$C$36*'契約別単価'!I5+'前提と出典'!$C$37*'契約別単価'!I6+'前提と出典'!$C$38*'契約別単価'!I7)</ns0:f>
        <ns0:v>34558.13966480446</ns0:v>
      </ns0:c>
      <ns0:c r="J823" s="16">
        <ns0:f>A823*('前提と出典'!$C$36*'契約別単価'!J5+'前提と出典'!$C$37*'契約別単価'!J6+'前提と出典'!$C$38*'契約別単価'!J7)</ns0:f>
        <ns0:v>80499.13629873781</ns0:v>
      </ns0:c>
      <ns0:c r="K823" s="16">
        <ns0:f>A823*('前提と出典'!$C$36*'契約別単価'!K5+'前提と出典'!$C$37*'契約別単価'!K6+'前提と出典'!$C$38*'契約別単価'!K7)</ns0:f>
        <ns0:v>345047.5977653631</ns0:v>
      </ns0:c>
      <ns0:c r="L823" s="16">
        <ns0:f>A823*('前提と出典'!$C$36*'契約別単価'!L5+'前提と出典'!$C$37*'契約別単価'!L6+'前提と出典'!$C$38*'契約別単価'!L7)</ns0:f>
        <ns0:v>280938.9574127621</ns0:v>
      </ns0:c>
      <ns0:c r="M823" s="16">
        <ns0:f>IF(('前提と出典'!$C$36+'前提と出典'!$C$38)=0,0,IF(B823&lt;=10,'前提と出典'!B73+'前提と出典'!C73,IF(B823&lt;=100,'前提と出典'!B74+'前提と出典'!C74,IF(B823&lt;=500,'前提と出典'!B75+'前提と出典'!C75,'前提と出典'!B76+'前提と出典'!C76))))</ns0:f>
        <ns0:v>80000</ns0:v>
      </ns0:c>
      <ns0:c r="N823" s="16">
        <ns0:f>IF(('前提と出典'!$C$37+'前提と出典'!$C$38)=0,0,IF(C823&lt;=10,'前提と出典'!D73+'前提と出典'!E73,IF(C823&lt;=100,'前提と出典'!D74+'前提と出典'!E74,IF(C823&lt;=500,'前提と出典'!D75+'前提と出典'!E75,'前提と出典'!D76+'前提と出典'!E76))))</ns0:f>
        <ns0:v>56510.9346263078</ns0:v>
      </ns0:c>
      <ns0:c r="O823" s="16">
        <ns0:f>IF('前提と出典'!$C$36+'前提と出典'!$C$38=0,0,'前提と出典'!$B$4*IF('前提と出典'!$B$20=0,MAX('前提と出典'!$B$6,D823*'前提と出典'!$B$5),'前提と出典'!$B$6+D823*'前提と出典'!$B$5))</ns0:f>
        <ns0:v>813253.2737430168</ns0:v>
      </ns0:c>
      <ns0:c r="P823" s="16">
        <ns0:f>(E823+G823)*(1-'前提と出典'!$B$7)-I823-K823-M823-O823</ns0:f>
        <ns0:v>2283417.687044244</ns0:v>
      </ns0:c>
      <ns0:c r="Q823" s="16">
        <ns0:f>(F823+H823)*(1-'前提と出典'!$B$7)-J823-L823-N823</ns0:f>
        <ns0:v>704167.5723324984</ns0:v>
      </ns0:c>
      <ns0:c r="R823" s="16">
        <ns0:f>P823-E823*'前提と出典'!$E$4</ns0:f>
        <ns0:v>1665759.1098039513</ns0:v>
      </ns0:c>
      <ns0:c r="S823" s="16">
        <ns0:f>Q823-F823*'前提と出典'!$E$4</ns0:f>
        <ns0:v>524691.7780503744</ns0:v>
      </ns0:c>
      <ns0:c r="T823" s="7">
        <ns0:f>R823+S823</ns0:f>
        <ns0:v>2190450.8878543256</ns0:v>
      </ns0:c>
      <ns0:c r="U823" s="16">
        <ns0:f>P823-E823*'前提と出典'!$E$5</ns0:f>
        <ns0:v>1459872.9173905207</ns0:v>
      </ns0:c>
      <ns0:c r="V823" s="16">
        <ns0:f>Q823-F823*'前提と出典'!$E$5</ns0:f>
        <ns0:v>464866.51328966627</ns0:v>
      </ns0:c>
      <ns0:c r="W823" s="7">
        <ns0:f>U823+V823</ns0:f>
        <ns0:v>1924739.430680187</ns0:v>
      </ns0:c>
      <ns0:c r="X823" s="16">
        <ns0:f>P823-E823*'前提と出典'!$E$6</ns0:f>
        <ns0:v>1253986.7249770896</ns0:v>
      </ns0:c>
      <ns0:c r="Y823" s="16">
        <ns0:f>Q823-F823*'前提と出典'!$E$6</ns0:f>
        <ns0:v>405041.2485289583</ns0:v>
      </ns0:c>
      <ns0:c r="Z823" s="7">
        <ns0:f>X823+Y823</ns0:f>
        <ns0:v>1659027.9735060479</ns0:v>
      </ns0:c>
      <ns0:c r="AA823" s="7">
        <ns0:f>IF(T823&gt;=0,A823,1001)</ns0:f>
        <ns0:v>819</ns0:v>
      </ns0:c>
      <ns0:c r="AB823" s="7">
        <ns0:f>IF(T823&lt;0,A823,0)</ns0:f>
        <ns0:v>0</ns0:v>
      </ns0:c>
      <ns0:c r="AC823" s="16">
        <ns0:f>IF(AND(OR('前提と出典'!$C$36+'前提と出典'!$C$38=0,R823&gt;=0),OR('前提と出典'!$C$37+'前提と出典'!$C$38=0,S823&gt;=0)),0,A823)</ns0:f>
        <ns0:v>0</ns0:v>
      </ns0:c>
      <ns0:c r="AD823" s="7">
        <ns0:f>IF(W823&gt;=0,A823,1001)</ns0:f>
        <ns0:v>819</ns0:v>
      </ns0:c>
      <ns0:c r="AE823" s="7">
        <ns0:f>IF(W823&lt;0,A823,0)</ns0:f>
        <ns0:v>0</ns0:v>
      </ns0:c>
      <ns0:c r="AF823" s="16">
        <ns0:f>IF(AND(OR('前提と出典'!$C$36+'前提と出典'!$C$38=0,U823&gt;=0),OR('前提と出典'!$C$37+'前提と出典'!$C$38=0,V823&gt;=0)),0,A823)</ns0:f>
        <ns0:v>0</ns0:v>
      </ns0:c>
      <ns0:c r="AG823" s="7">
        <ns0:f>IF(Z823&gt;=0,A823,1001)</ns0:f>
        <ns0:v>819</ns0:v>
      </ns0:c>
      <ns0:c r="AH823" s="4">
        <ns0:f>IF(Z823&lt;0,A823,0)</ns0:f>
        <ns0:v>0</ns0:v>
      </ns0:c>
      <ns0:c r="AI823" s="12">
        <ns0:f>IF(AND(OR('前提と出典'!$C$36+'前提と出典'!$C$38=0,X823&gt;=0),OR('前提と出典'!$C$37+'前提と出典'!$C$38=0,Y823&gt;=0)),0,A823)</ns0:f>
        <ns0:v>0</ns0:v>
      </ns0:c>
    </ns0:row>
    <ns0:row r="824" ht="24" customHeight="1">
      <ns0:c r="A824" s="4" t="n">
        <ns0:v>820</ns0:v>
      </ns0:c>
      <ns0:c r="B824" s="12">
        <ns0:f>A824*('前提と出典'!$C$36+'前提と出典'!$C$38)</ns0:f>
        <ns0:v>574</ns0:v>
      </ns0:c>
      <ns0:c r="C824" s="12">
        <ns0:f>A824*('前提と出典'!$C$37+'前提と出典'!$C$38)</ns0:f>
        <ns0:v>492</ns0:v>
      </ns0:c>
      <ns0:c r="D824" s="16">
        <ns0:f>A824*('前提と出典'!$C$36*'契約別単価'!C5+'前提と出典'!$C$37*'契約別単価'!C6+'前提と出典'!$C$38*'契約別単価'!C7)</ns0:f>
        <ns0:v>5900.335195530726</ns0:v>
      </ns0:c>
      <ns0:c r="E824" s="16">
        <ns0:f>A824*('前提と出典'!$C$36*'契約別単価'!E5+'前提と出典'!$C$37*'契約別単価'!E6+'前提と出典'!$C$38*'契約別単価'!E7)</ns0:f>
        <ns0:v>2061375.7970575488</ns0:v>
      </ns0:c>
      <ns0:c r="F824" s="16">
        <ns0:f>A824*('前提と出典'!$C$36*'契約別単価'!F5+'前提と出典'!$C$37*'契約別単価'!F6+'前提と出典'!$C$38*'契約別単価'!F7)</ns0:f>
        <ns0:v>598983.1148202757</ns0:v>
      </ns0:c>
      <ns0:c r="G824" s="16">
        <ns0:f>A824*('前提と出典'!$C$36*'契約別単価'!G5+'前提と出典'!$C$37*'契約別単価'!G6+'前提と出典'!$C$38*'契約別単価'!G7)</ns0:f>
        <ns0:v>1632212.2905027932</ns0:v>
      </ns0:c>
      <ns0:c r="H824" s="16">
        <ns0:f>A824*('前提と出典'!$C$36*'契約別単価'!H5+'前提と出典'!$C$37*'契約別単価'!H6+'前提と出典'!$C$38*'契約別単価'!H7)</ns0:f>
        <ns0:v>566459.5266836977</ns0:v>
      </ns0:c>
      <ns0:c r="I824" s="16">
        <ns0:f>A824*('前提と出典'!$C$36*'契約別単価'!I5+'前提と出典'!$C$37*'契約別単価'!I6+'前提と出典'!$C$38*'契約別単価'!I7)</ns0:f>
        <ns0:v>34600.33519553072</ns0:v>
      </ns0:c>
      <ns0:c r="J824" s="16">
        <ns0:f>A824*('前提と出典'!$C$36*'契約別単価'!J5+'前提と出典'!$C$37*'契約別単価'!J6+'前提と出典'!$C$38*'契約別単価'!J7)</ns0:f>
        <ns0:v>80597.42584244811</ns0:v>
      </ns0:c>
      <ns0:c r="K824" s="16">
        <ns0:f>A824*('前提と出典'!$C$36*'契約別単価'!K5+'前提と出典'!$C$37*'契約別単価'!K6+'前提と出典'!$C$38*'契約別単価'!K7)</ns0:f>
        <ns0:v>345468.9013035382</ns0:v>
      </ns0:c>
      <ns0:c r="L824" s="16">
        <ns0:f>A824*('前提と出典'!$C$36*'契約別単価'!L5+'前提と出典'!$C$37*'契約別単価'!L6+'前提と出典'!$C$38*'契約別単価'!L7)</ns0:f>
        <ns0:v>281281.98422278994</ns0:v>
      </ns0:c>
      <ns0:c r="M824" s="16">
        <ns0:f>IF(('前提と出典'!$C$36+'前提と出典'!$C$38)=0,0,IF(B824&lt;=10,'前提と出典'!B73+'前提と出典'!C73,IF(B824&lt;=100,'前提と出典'!B74+'前提と出典'!C74,IF(B824&lt;=500,'前提と出典'!B75+'前提と出典'!C75,'前提と出典'!B76+'前提と出典'!C76))))</ns0:f>
        <ns0:v>80000</ns0:v>
      </ns0:c>
      <ns0:c r="N824" s="16">
        <ns0:f>IF(('前提と出典'!$C$37+'前提と出典'!$C$38)=0,0,IF(C824&lt;=10,'前提と出典'!D73+'前提と出典'!E73,IF(C824&lt;=100,'前提と出典'!D74+'前提と出典'!E74,IF(C824&lt;=500,'前提と出典'!D75+'前提と出典'!E75,'前提と出典'!D76+'前提と出典'!E76))))</ns0:f>
        <ns0:v>56510.9346263078</ns0:v>
      </ns0:c>
      <ns0:c r="O824" s="16">
        <ns0:f>IF('前提と出典'!$C$36+'前提と出典'!$C$38=0,0,'前提と出典'!$B$4*IF('前提と出典'!$B$20=0,MAX('前提と出典'!$B$6,D824*'前提と出典'!$B$5),'前提と出典'!$B$6+D824*'前提と出典'!$B$5))</ns0:f>
        <ns0:v>814246.2569832403</ns0:v>
      </ns0:c>
      <ns0:c r="P824" s="16">
        <ns0:f>(E824+G824)*(1-'前提と出典'!$B$7)-I824-K824-M824-O824</ns0:f>
        <ns0:v>2286303.4229258606</ns0:v>
      </ns0:c>
      <ns0:c r="Q824" s="16">
        <ns0:f>(F824+H824)*(1-'前提と出典'!$B$7)-J824-L824-N824</ns0:f>
        <ns0:v>705096.3617182844</ns0:v>
      </ns0:c>
      <ns0:c r="R824" s="16">
        <ns0:f>P824-E824*'前提と出典'!$E$4</ns0:f>
        <ns0:v>1667890.6838085959</ns0:v>
      </ns0:c>
      <ns0:c r="S824" s="16">
        <ns0:f>Q824-F824*'前提と出典'!$E$4</ns0:f>
        <ns0:v>525401.4272722017</ns0:v>
      </ns0:c>
      <ns0:c r="T824" s="7">
        <ns0:f>R824+S824</ns0:f>
        <ns0:v>2193292.1110807974</ns0:v>
      </ns0:c>
      <ns0:c r="U824" s="16">
        <ns0:f>P824-E824*'前提と出典'!$E$5</ns0:f>
        <ns0:v>1461753.104102841</ns0:v>
      </ns0:c>
      <ns0:c r="V824" s="16">
        <ns0:f>Q824-F824*'前提と出典'!$E$5</ns0:f>
        <ns0:v>465503.11579017417</ns0:v>
      </ns0:c>
      <ns0:c r="W824" s="7">
        <ns0:f>U824+V824</ns0:f>
        <ns0:v>1927256.2198930152</ns0:v>
      </ns0:c>
      <ns0:c r="X824" s="16">
        <ns0:f>P824-E824*'前提と出典'!$E$6</ns0:f>
        <ns0:v>1255615.5243970864</ns0:v>
      </ns0:c>
      <ns0:c r="Y824" s="16">
        <ns0:f>Q824-F824*'前提と出典'!$E$6</ns0:f>
        <ns0:v>405604.80430814665</ns0:v>
      </ns0:c>
      <ns0:c r="Z824" s="7">
        <ns0:f>X824+Y824</ns0:f>
        <ns0:v>1661220.328705233</ns0:v>
      </ns0:c>
      <ns0:c r="AA824" s="7">
        <ns0:f>IF(T824&gt;=0,A824,1001)</ns0:f>
        <ns0:v>820</ns0:v>
      </ns0:c>
      <ns0:c r="AB824" s="7">
        <ns0:f>IF(T824&lt;0,A824,0)</ns0:f>
        <ns0:v>0</ns0:v>
      </ns0:c>
      <ns0:c r="AC824" s="16">
        <ns0:f>IF(AND(OR('前提と出典'!$C$36+'前提と出典'!$C$38=0,R824&gt;=0),OR('前提と出典'!$C$37+'前提と出典'!$C$38=0,S824&gt;=0)),0,A824)</ns0:f>
        <ns0:v>0</ns0:v>
      </ns0:c>
      <ns0:c r="AD824" s="7">
        <ns0:f>IF(W824&gt;=0,A824,1001)</ns0:f>
        <ns0:v>820</ns0:v>
      </ns0:c>
      <ns0:c r="AE824" s="7">
        <ns0:f>IF(W824&lt;0,A824,0)</ns0:f>
        <ns0:v>0</ns0:v>
      </ns0:c>
      <ns0:c r="AF824" s="16">
        <ns0:f>IF(AND(OR('前提と出典'!$C$36+'前提と出典'!$C$38=0,U824&gt;=0),OR('前提と出典'!$C$37+'前提と出典'!$C$38=0,V824&gt;=0)),0,A824)</ns0:f>
        <ns0:v>0</ns0:v>
      </ns0:c>
      <ns0:c r="AG824" s="7">
        <ns0:f>IF(Z824&gt;=0,A824,1001)</ns0:f>
        <ns0:v>820</ns0:v>
      </ns0:c>
      <ns0:c r="AH824" s="4">
        <ns0:f>IF(Z824&lt;0,A824,0)</ns0:f>
        <ns0:v>0</ns0:v>
      </ns0:c>
      <ns0:c r="AI824" s="12">
        <ns0:f>IF(AND(OR('前提と出典'!$C$36+'前提と出典'!$C$38=0,X824&gt;=0),OR('前提と出典'!$C$37+'前提と出典'!$C$38=0,Y824&gt;=0)),0,A824)</ns0:f>
        <ns0:v>0</ns0:v>
      </ns0:c>
    </ns0:row>
    <ns0:row r="825" ht="24" customHeight="1">
      <ns0:c r="A825" s="4" t="n">
        <ns0:v>821</ns0:v>
      </ns0:c>
      <ns0:c r="B825" s="12">
        <ns0:f>A825*('前提と出典'!$C$36+'前提と出典'!$C$38)</ns0:f>
        <ns0:v>574.6999999999999</ns0:v>
      </ns0:c>
      <ns0:c r="C825" s="12">
        <ns0:f>A825*('前提と出典'!$C$37+'前提と出典'!$C$38)</ns0:f>
        <ns0:v>492.59999999999997</ns0:v>
      </ns0:c>
      <ns0:c r="D825" s="16">
        <ns0:f>A825*('前提と出典'!$C$36*'契約別単価'!C5+'前提と出典'!$C$37*'契約別単価'!C6+'前提と出典'!$C$38*'契約別単価'!C7)</ns0:f>
        <ns0:v>5907.530726256983</ns0:v>
      </ns0:c>
      <ns0:c r="E825" s="16">
        <ns0:f>A825*('前提と出典'!$C$36*'契約別単価'!E5+'前提と出典'!$C$37*'契約別単価'!E6+'前提と出典'!$C$38*'契約別単価'!E7)</ns0:f>
        <ns0:v>2063889.6699807898</ns0:v>
      </ns0:c>
      <ns0:c r="F825" s="16">
        <ns0:f>A825*('前提と出典'!$C$36*'契約別単価'!F5+'前提と出典'!$C$37*'契約別単価'!F6+'前提と出典'!$C$38*'契約別単価'!F7)</ns0:f>
        <ns0:v>599713.5820334712</ns0:v>
      </ns0:c>
      <ns0:c r="G825" s="16">
        <ns0:f>A825*('前提と出典'!$C$36*'契約別単価'!G5+'前提と出典'!$C$37*'契約別単価'!G6+'前提と出典'!$C$38*'契約別単価'!G7)</ns0:f>
        <ns0:v>1634202.7932960894</ns0:v>
      </ns0:c>
      <ns0:c r="H825" s="16">
        <ns0:f>A825*('前提と出典'!$C$36*'契約別単価'!H5+'前提と出典'!$C$37*'契約別単価'!H6+'前提と出典'!$C$38*'契約別単価'!H7)</ns0:f>
        <ns0:v>567150.3309845314</ns0:v>
      </ns0:c>
      <ns0:c r="I825" s="16">
        <ns0:f>A825*('前提と出典'!$C$36*'契約別単価'!I5+'前提と出典'!$C$37*'契約別単価'!I6+'前提と出典'!$C$38*'契約別単価'!I7)</ns0:f>
        <ns0:v>34642.53072625698</ns0:v>
      </ns0:c>
      <ns0:c r="J825" s="16">
        <ns0:f>A825*('前提と出典'!$C$36*'契約別単価'!J5+'前提と出典'!$C$37*'契約別単価'!J6+'前提と出典'!$C$38*'契約別単価'!J7)</ns0:f>
        <ns0:v>80695.71538615841</ns0:v>
      </ns0:c>
      <ns0:c r="K825" s="16">
        <ns0:f>A825*('前提と出典'!$C$36*'契約別単価'!K5+'前提と出典'!$C$37*'契約別単価'!K6+'前提と出典'!$C$38*'契約別単価'!K7)</ns0:f>
        <ns0:v>345890.2048417132</ns0:v>
      </ns0:c>
      <ns0:c r="L825" s="16">
        <ns0:f>A825*('前提と出典'!$C$36*'契約別単価'!L5+'前提と出典'!$C$37*'契約別単価'!L6+'前提と出典'!$C$38*'契約別単価'!L7)</ns0:f>
        <ns0:v>281625.0110328177</ns0:v>
      </ns0:c>
      <ns0:c r="M825" s="16">
        <ns0:f>IF(('前提と出典'!$C$36+'前提と出典'!$C$38)=0,0,IF(B825&lt;=10,'前提と出典'!B73+'前提と出典'!C73,IF(B825&lt;=100,'前提と出典'!B74+'前提と出典'!C74,IF(B825&lt;=500,'前提と出典'!B75+'前提と出典'!C75,'前提と出典'!B76+'前提と出典'!C76))))</ns0:f>
        <ns0:v>80000</ns0:v>
      </ns0:c>
      <ns0:c r="N825" s="16">
        <ns0:f>IF(('前提と出典'!$C$37+'前提と出典'!$C$38)=0,0,IF(C825&lt;=10,'前提と出典'!D73+'前提と出典'!E73,IF(C825&lt;=100,'前提と出典'!D74+'前提と出典'!E74,IF(C825&lt;=500,'前提と出典'!D75+'前提と出典'!E75,'前提と出典'!D76+'前提と出典'!E76))))</ns0:f>
        <ns0:v>56510.9346263078</ns0:v>
      </ns0:c>
      <ns0:c r="O825" s="16">
        <ns0:f>IF('前提と出典'!$C$36+'前提と出典'!$C$38=0,0,'前提と出典'!$B$4*IF('前提と出典'!$B$20=0,MAX('前提と出典'!$B$6,D825*'前提と出典'!$B$5),'前提と出典'!$B$6+D825*'前提と出典'!$B$5))</ns0:f>
        <ns0:v>815239.2402234637</ns0:v>
      </ns0:c>
      <ns0:c r="P825" s="16">
        <ns0:f>(E825+G825)*(1-'前提と出典'!$B$7)-I825-K825-M825-O825</ns0:f>
        <ns0:v>2289189.1588074774</ns0:v>
      </ns0:c>
      <ns0:c r="Q825" s="16">
        <ns0:f>(F825+H825)*(1-'前提と出典'!$B$7)-J825-L825-N825</ns0:f>
        <ns0:v>706025.1511040705</ns0:v>
      </ns0:c>
      <ns0:c r="R825" s="16">
        <ns0:f>P825-E825*'前提と出典'!$E$4</ns0:f>
        <ns0:v>1670022.2578132404</ns0:v>
      </ns0:c>
      <ns0:c r="S825" s="16">
        <ns0:f>Q825-F825*'前提と出典'!$E$4</ns0:f>
        <ns0:v>526111.0764940293</ns0:v>
      </ns0:c>
      <ns0:c r="T825" s="7">
        <ns0:f>R825+S825</ns0:f>
        <ns0:v>2196133.3343072697</ns0:v>
      </ns0:c>
      <ns0:c r="U825" s="16">
        <ns0:f>P825-E825*'前提と出典'!$E$5</ns0:f>
        <ns0:v>1463633.2908151615</ns0:v>
      </ns0:c>
      <ns0:c r="V825" s="16">
        <ns0:f>Q825-F825*'前提と出典'!$E$5</ns0:f>
        <ns0:v>466139.718290682</ns0:v>
      </ns0:c>
      <ns0:c r="W825" s="7">
        <ns0:f>U825+V825</ns0:f>
        <ns0:v>1929773.0091058435</ns0:v>
      </ns0:c>
      <ns0:c r="X825" s="16">
        <ns0:f>P825-E825*'前提と出典'!$E$6</ns0:f>
        <ns0:v>1257244.3238170827</ns0:v>
      </ns0:c>
      <ns0:c r="Y825" s="16">
        <ns0:f>Q825-F825*'前提と出典'!$E$6</ns0:f>
        <ns0:v>406168.36008733494</ns0:v>
      </ns0:c>
      <ns0:c r="Z825" s="7">
        <ns0:f>X825+Y825</ns0:f>
        <ns0:v>1663412.6839044176</ns0:v>
      </ns0:c>
      <ns0:c r="AA825" s="7">
        <ns0:f>IF(T825&gt;=0,A825,1001)</ns0:f>
        <ns0:v>821</ns0:v>
      </ns0:c>
      <ns0:c r="AB825" s="7">
        <ns0:f>IF(T825&lt;0,A825,0)</ns0:f>
        <ns0:v>0</ns0:v>
      </ns0:c>
      <ns0:c r="AC825" s="16">
        <ns0:f>IF(AND(OR('前提と出典'!$C$36+'前提と出典'!$C$38=0,R825&gt;=0),OR('前提と出典'!$C$37+'前提と出典'!$C$38=0,S825&gt;=0)),0,A825)</ns0:f>
        <ns0:v>0</ns0:v>
      </ns0:c>
      <ns0:c r="AD825" s="7">
        <ns0:f>IF(W825&gt;=0,A825,1001)</ns0:f>
        <ns0:v>821</ns0:v>
      </ns0:c>
      <ns0:c r="AE825" s="7">
        <ns0:f>IF(W825&lt;0,A825,0)</ns0:f>
        <ns0:v>0</ns0:v>
      </ns0:c>
      <ns0:c r="AF825" s="16">
        <ns0:f>IF(AND(OR('前提と出典'!$C$36+'前提と出典'!$C$38=0,U825&gt;=0),OR('前提と出典'!$C$37+'前提と出典'!$C$38=0,V825&gt;=0)),0,A825)</ns0:f>
        <ns0:v>0</ns0:v>
      </ns0:c>
      <ns0:c r="AG825" s="7">
        <ns0:f>IF(Z825&gt;=0,A825,1001)</ns0:f>
        <ns0:v>821</ns0:v>
      </ns0:c>
      <ns0:c r="AH825" s="4">
        <ns0:f>IF(Z825&lt;0,A825,0)</ns0:f>
        <ns0:v>0</ns0:v>
      </ns0:c>
      <ns0:c r="AI825" s="12">
        <ns0:f>IF(AND(OR('前提と出典'!$C$36+'前提と出典'!$C$38=0,X825&gt;=0),OR('前提と出典'!$C$37+'前提と出典'!$C$38=0,Y825&gt;=0)),0,A825)</ns0:f>
        <ns0:v>0</ns0:v>
      </ns0:c>
    </ns0:row>
    <ns0:row r="826" ht="24" customHeight="1">
      <ns0:c r="A826" s="4" t="n">
        <ns0:v>822</ns0:v>
      </ns0:c>
      <ns0:c r="B826" s="12">
        <ns0:f>A826*('前提と出典'!$C$36+'前提と出典'!$C$38)</ns0:f>
        <ns0:v>575.4</ns0:v>
      </ns0:c>
      <ns0:c r="C826" s="12">
        <ns0:f>A826*('前提と出典'!$C$37+'前提と出典'!$C$38)</ns0:f>
        <ns0:v>493.2</ns0:v>
      </ns0:c>
      <ns0:c r="D826" s="16">
        <ns0:f>A826*('前提と出典'!$C$36*'契約別単価'!C5+'前提と出典'!$C$37*'契約別単価'!C6+'前提と出典'!$C$38*'契約別単価'!C7)</ns0:f>
        <ns0:v>5914.72625698324</ns0:v>
      </ns0:c>
      <ns0:c r="E826" s="16">
        <ns0:f>A826*('前提と出典'!$C$36*'契約別単価'!E5+'前提と出典'!$C$37*'契約別単価'!E6+'前提と出典'!$C$38*'契約別単価'!E7)</ns0:f>
        <ns0:v>2066403.5429040308</ns0:v>
      </ns0:c>
      <ns0:c r="F826" s="16">
        <ns0:f>A826*('前提と出典'!$C$36*'契約別単価'!F5+'前提と出典'!$C$37*'契約別単価'!F6+'前提と出典'!$C$38*'契約別単価'!F7)</ns0:f>
        <ns0:v>600444.0492466666</ns0:v>
      </ns0:c>
      <ns0:c r="G826" s="16">
        <ns0:f>A826*('前提と出典'!$C$36*'契約別単価'!G5+'前提と出典'!$C$37*'契約別単価'!G6+'前提と出典'!$C$38*'契約別単価'!G7)</ns0:f>
        <ns0:v>1636193.2960893854</ns0:v>
      </ns0:c>
      <ns0:c r="H826" s="16">
        <ns0:f>A826*('前提と出典'!$C$36*'契約別単価'!H5+'前提と出典'!$C$37*'契約別単価'!H6+'前提と出典'!$C$38*'契約別単価'!H7)</ns0:f>
        <ns0:v>567841.1352853653</ns0:v>
      </ns0:c>
      <ns0:c r="I826" s="16">
        <ns0:f>A826*('前提と出典'!$C$36*'契約別単価'!I5+'前提と出典'!$C$37*'契約別単価'!I6+'前提と出典'!$C$38*'契約別単価'!I7)</ns0:f>
        <ns0:v>34684.72625698323</ns0:v>
      </ns0:c>
      <ns0:c r="J826" s="16">
        <ns0:f>A826*('前提と出典'!$C$36*'契約別単価'!J5+'前提と出典'!$C$37*'契約別単価'!J6+'前提と出典'!$C$38*'契約別単価'!J7)</ns0:f>
        <ns0:v>80794.00492986871</ns0:v>
      </ns0:c>
      <ns0:c r="K826" s="16">
        <ns0:f>A826*('前提と出典'!$C$36*'契約別単価'!K5+'前提と出典'!$C$37*'契約別単価'!K6+'前提と出典'!$C$38*'契約別単価'!K7)</ns0:f>
        <ns0:v>346311.50837988826</ns0:v>
      </ns0:c>
      <ns0:c r="L826" s="16">
        <ns0:f>A826*('前提と出典'!$C$36*'契約別単価'!L5+'前提と出典'!$C$37*'契約別単価'!L6+'前提と出典'!$C$38*'契約別単価'!L7)</ns0:f>
        <ns0:v>281968.0378428455</ns0:v>
      </ns0:c>
      <ns0:c r="M826" s="16">
        <ns0:f>IF(('前提と出典'!$C$36+'前提と出典'!$C$38)=0,0,IF(B826&lt;=10,'前提と出典'!B73+'前提と出典'!C73,IF(B826&lt;=100,'前提と出典'!B74+'前提と出典'!C74,IF(B826&lt;=500,'前提と出典'!B75+'前提と出典'!C75,'前提と出典'!B76+'前提と出典'!C76))))</ns0:f>
        <ns0:v>80000</ns0:v>
      </ns0:c>
      <ns0:c r="N826" s="16">
        <ns0:f>IF(('前提と出典'!$C$37+'前提と出典'!$C$38)=0,0,IF(C826&lt;=10,'前提と出典'!D73+'前提と出典'!E73,IF(C826&lt;=100,'前提と出典'!D74+'前提と出典'!E74,IF(C826&lt;=500,'前提と出典'!D75+'前提と出典'!E75,'前提と出典'!D76+'前提と出典'!E76))))</ns0:f>
        <ns0:v>56510.9346263078</ns0:v>
      </ns0:c>
      <ns0:c r="O826" s="16">
        <ns0:f>IF('前提と出典'!$C$36+'前提と出典'!$C$38=0,0,'前提と出典'!$B$4*IF('前提と出典'!$B$20=0,MAX('前提と出典'!$B$6,D826*'前提と出典'!$B$5),'前提と出典'!$B$6+D826*'前提と出典'!$B$5))</ns0:f>
        <ns0:v>816232.2234636871</ns0:v>
      </ns0:c>
      <ns0:c r="P826" s="16">
        <ns0:f>(E826+G826)*(1-'前提と出典'!$B$7)-I826-K826-M826-O826</ns0:f>
        <ns0:v>2292074.8946890943</ns0:v>
      </ns0:c>
      <ns0:c r="Q826" s="16">
        <ns0:f>(F826+H826)*(1-'前提と出典'!$B$7)-J826-L826-N826</ns0:f>
        <ns0:v>706953.9404898568</ns0:v>
      </ns0:c>
      <ns0:c r="R826" s="16">
        <ns0:f>P826-E826*'前提と出典'!$E$4</ns0:f>
        <ns0:v>1672153.831817885</ns0:v>
      </ns0:c>
      <ns0:c r="S826" s="16">
        <ns0:f>Q826-F826*'前提と出典'!$E$4</ns0:f>
        <ns0:v>526820.7257158568</ns0:v>
      </ns0:c>
      <ns0:c r="T826" s="7">
        <ns0:f>R826+S826</ns0:f>
        <ns0:v>2198974.557533742</ns0:v>
      </ns0:c>
      <ns0:c r="U826" s="16">
        <ns0:f>P826-E826*'前提と出典'!$E$5</ns0:f>
        <ns0:v>1465513.477527482</ns0:v>
      </ns0:c>
      <ns0:c r="V826" s="16">
        <ns0:f>Q826-F826*'前提と出典'!$E$5</ns0:f>
        <ns0:v>466776.3207911901</ns0:v>
      </ns0:c>
      <ns0:c r="W826" s="7">
        <ns0:f>U826+V826</ns0:f>
        <ns0:v>1932289.798318672</ns0:v>
      </ns0:c>
      <ns0:c r="X826" s="16">
        <ns0:f>P826-E826*'前提と出典'!$E$6</ns0:f>
        <ns0:v>1258873.123237079</ns0:v>
      </ns0:c>
      <ns0:c r="Y826" s="16">
        <ns0:f>Q826-F826*'前提と出典'!$E$6</ns0:f>
        <ns0:v>406731.91586652346</ns0:v>
      </ns0:c>
      <ns0:c r="Z826" s="7">
        <ns0:f>X826+Y826</ns0:f>
        <ns0:v>1665605.0391036025</ns0:v>
      </ns0:c>
      <ns0:c r="AA826" s="7">
        <ns0:f>IF(T826&gt;=0,A826,1001)</ns0:f>
        <ns0:v>822</ns0:v>
      </ns0:c>
      <ns0:c r="AB826" s="7">
        <ns0:f>IF(T826&lt;0,A826,0)</ns0:f>
        <ns0:v>0</ns0:v>
      </ns0:c>
      <ns0:c r="AC826" s="16">
        <ns0:f>IF(AND(OR('前提と出典'!$C$36+'前提と出典'!$C$38=0,R826&gt;=0),OR('前提と出典'!$C$37+'前提と出典'!$C$38=0,S826&gt;=0)),0,A826)</ns0:f>
        <ns0:v>0</ns0:v>
      </ns0:c>
      <ns0:c r="AD826" s="7">
        <ns0:f>IF(W826&gt;=0,A826,1001)</ns0:f>
        <ns0:v>822</ns0:v>
      </ns0:c>
      <ns0:c r="AE826" s="7">
        <ns0:f>IF(W826&lt;0,A826,0)</ns0:f>
        <ns0:v>0</ns0:v>
      </ns0:c>
      <ns0:c r="AF826" s="16">
        <ns0:f>IF(AND(OR('前提と出典'!$C$36+'前提と出典'!$C$38=0,U826&gt;=0),OR('前提と出典'!$C$37+'前提と出典'!$C$38=0,V826&gt;=0)),0,A826)</ns0:f>
        <ns0:v>0</ns0:v>
      </ns0:c>
      <ns0:c r="AG826" s="7">
        <ns0:f>IF(Z826&gt;=0,A826,1001)</ns0:f>
        <ns0:v>822</ns0:v>
      </ns0:c>
      <ns0:c r="AH826" s="4">
        <ns0:f>IF(Z826&lt;0,A826,0)</ns0:f>
        <ns0:v>0</ns0:v>
      </ns0:c>
      <ns0:c r="AI826" s="12">
        <ns0:f>IF(AND(OR('前提と出典'!$C$36+'前提と出典'!$C$38=0,X826&gt;=0),OR('前提と出典'!$C$37+'前提と出典'!$C$38=0,Y826&gt;=0)),0,A826)</ns0:f>
        <ns0:v>0</ns0:v>
      </ns0:c>
    </ns0:row>
    <ns0:row r="827" ht="24" customHeight="1">
      <ns0:c r="A827" s="4" t="n">
        <ns0:v>823</ns0:v>
      </ns0:c>
      <ns0:c r="B827" s="12">
        <ns0:f>A827*('前提と出典'!$C$36+'前提と出典'!$C$38)</ns0:f>
        <ns0:v>576.0999999999999</ns0:v>
      </ns0:c>
      <ns0:c r="C827" s="12">
        <ns0:f>A827*('前提と出典'!$C$37+'前提と出典'!$C$38)</ns0:f>
        <ns0:v>493.79999999999995</ns0:v>
      </ns0:c>
      <ns0:c r="D827" s="16">
        <ns0:f>A827*('前提と出典'!$C$36*'契約別単価'!C5+'前提と出典'!$C$37*'契約別単価'!C6+'前提と出典'!$C$38*'契約別単価'!C7)</ns0:f>
        <ns0:v>5921.921787709497</ns0:v>
      </ns0:c>
      <ns0:c r="E827" s="16">
        <ns0:f>A827*('前提と出典'!$C$36*'契約別単価'!E5+'前提と出典'!$C$37*'契約別単価'!E6+'前提と出典'!$C$38*'契約別単価'!E7)</ns0:f>
        <ns0:v>2068917.4158272715</ns0:v>
      </ns0:c>
      <ns0:c r="F827" s="16">
        <ns0:f>A827*('前提と出典'!$C$36*'契約別単価'!F5+'前提と出典'!$C$37*'契約別単価'!F6+'前提と出典'!$C$38*'契約別単価'!F7)</ns0:f>
        <ns0:v>601174.5164598621</ns0:v>
      </ns0:c>
      <ns0:c r="G827" s="16">
        <ns0:f>A827*('前提と出典'!$C$36*'契約別単価'!G5+'前提と出典'!$C$37*'契約別単価'!G6+'前提と出典'!$C$38*'契約別単価'!G7)</ns0:f>
        <ns0:v>1638183.7988826814</ns0:v>
      </ns0:c>
      <ns0:c r="H827" s="16">
        <ns0:f>A827*('前提と出典'!$C$36*'契約別単価'!H5+'前提と出典'!$C$37*'契約別単価'!H6+'前提と出典'!$C$38*'契約別単価'!H7)</ns0:f>
        <ns0:v>568531.939586199</ns0:v>
      </ns0:c>
      <ns0:c r="I827" s="16">
        <ns0:f>A827*('前提と出典'!$C$36*'契約別単価'!I5+'前提と出典'!$C$37*'契約別単価'!I6+'前提と出典'!$C$38*'契約別単価'!I7)</ns0:f>
        <ns0:v>34726.92178770949</ns0:v>
      </ns0:c>
      <ns0:c r="J827" s="16">
        <ns0:f>A827*('前提と出典'!$C$36*'契約別単価'!J5+'前提と出典'!$C$37*'契約別単価'!J6+'前提と出典'!$C$38*'契約別単価'!J7)</ns0:f>
        <ns0:v>80892.29447357901</ns0:v>
      </ns0:c>
      <ns0:c r="K827" s="16">
        <ns0:f>A827*('前提と出典'!$C$36*'契約別単価'!K5+'前提と出典'!$C$37*'契約別単価'!K6+'前提と出典'!$C$38*'契約別単価'!K7)</ns0:f>
        <ns0:v>346732.81191806326</ns0:v>
      </ns0:c>
      <ns0:c r="L827" s="16">
        <ns0:f>A827*('前提と出典'!$C$36*'契約別単価'!L5+'前提と出典'!$C$37*'契約別単価'!L6+'前提と出典'!$C$38*'契約別単価'!L7)</ns0:f>
        <ns0:v>282311.0646528733</ns0:v>
      </ns0:c>
      <ns0:c r="M827" s="16">
        <ns0:f>IF(('前提と出典'!$C$36+'前提と出典'!$C$38)=0,0,IF(B827&lt;=10,'前提と出典'!B73+'前提と出典'!C73,IF(B827&lt;=100,'前提と出典'!B74+'前提と出典'!C74,IF(B827&lt;=500,'前提と出典'!B75+'前提と出典'!C75,'前提と出典'!B76+'前提と出典'!C76))))</ns0:f>
        <ns0:v>80000</ns0:v>
      </ns0:c>
      <ns0:c r="N827" s="16">
        <ns0:f>IF(('前提と出典'!$C$37+'前提と出典'!$C$38)=0,0,IF(C827&lt;=10,'前提と出典'!D73+'前提と出典'!E73,IF(C827&lt;=100,'前提と出典'!D74+'前提と出典'!E74,IF(C827&lt;=500,'前提と出典'!D75+'前提と出典'!E75,'前提と出典'!D76+'前提と出典'!E76))))</ns0:f>
        <ns0:v>56510.9346263078</ns0:v>
      </ns0:c>
      <ns0:c r="O827" s="16">
        <ns0:f>IF('前提と出典'!$C$36+'前提と出典'!$C$38=0,0,'前提と出典'!$B$4*IF('前提と出典'!$B$20=0,MAX('前提と出典'!$B$6,D827*'前提と出典'!$B$5),'前提と出典'!$B$6+D827*'前提と出典'!$B$5))</ns0:f>
        <ns0:v>817225.2067039106</ns0:v>
      </ns0:c>
      <ns0:c r="P827" s="16">
        <ns0:f>(E827+G827)*(1-'前提と出典'!$B$7)-I827-K827-M827-O827</ns0:f>
        <ns0:v>2294960.6305707116</ns0:v>
      </ns0:c>
      <ns0:c r="Q827" s="16">
        <ns0:f>(F827+H827)*(1-'前提と出典'!$B$7)-J827-L827-N827</ns0:f>
        <ns0:v>707882.7298756428</ns0:v>
      </ns0:c>
      <ns0:c r="R827" s="16">
        <ns0:f>P827-E827*'前提と出典'!$E$4</ns0:f>
        <ns0:v>1674285.40582253</ns0:v>
      </ns0:c>
      <ns0:c r="S827" s="16">
        <ns0:f>Q827-F827*'前提と出典'!$E$4</ns0:f>
        <ns0:v>527530.3749376842</ns0:v>
      </ns0:c>
      <ns0:c r="T827" s="7">
        <ns0:f>R827+S827</ns0:f>
        <ns0:v>2201815.780760214</ns0:v>
      </ns0:c>
      <ns0:c r="U827" s="16">
        <ns0:f>P827-E827*'前提と出典'!$E$5</ns0:f>
        <ns0:v>1467393.6642398029</ns0:v>
      </ns0:c>
      <ns0:c r="V827" s="16">
        <ns0:f>Q827-F827*'前提と出典'!$E$5</ns0:f>
        <ns0:v>467412.923291698</ns0:v>
      </ns0:c>
      <ns0:c r="W827" s="7">
        <ns0:f>U827+V827</ns0:f>
        <ns0:v>1934806.587531501</ns0:v>
      </ns0:c>
      <ns0:c r="X827" s="16">
        <ns0:f>P827-E827*'前提と出典'!$E$6</ns0:f>
        <ns0:v>1260501.9226570758</ns0:v>
      </ns0:c>
      <ns0:c r="Y827" s="16">
        <ns0:f>Q827-F827*'前提と出典'!$E$6</ns0:f>
        <ns0:v>407295.4716457117</ns0:v>
      </ns0:c>
      <ns0:c r="Z827" s="7">
        <ns0:f>X827+Y827</ns0:f>
        <ns0:v>1667797.3943027875</ns0:v>
      </ns0:c>
      <ns0:c r="AA827" s="7">
        <ns0:f>IF(T827&gt;=0,A827,1001)</ns0:f>
        <ns0:v>823</ns0:v>
      </ns0:c>
      <ns0:c r="AB827" s="7">
        <ns0:f>IF(T827&lt;0,A827,0)</ns0:f>
        <ns0:v>0</ns0:v>
      </ns0:c>
      <ns0:c r="AC827" s="16">
        <ns0:f>IF(AND(OR('前提と出典'!$C$36+'前提と出典'!$C$38=0,R827&gt;=0),OR('前提と出典'!$C$37+'前提と出典'!$C$38=0,S827&gt;=0)),0,A827)</ns0:f>
        <ns0:v>0</ns0:v>
      </ns0:c>
      <ns0:c r="AD827" s="7">
        <ns0:f>IF(W827&gt;=0,A827,1001)</ns0:f>
        <ns0:v>823</ns0:v>
      </ns0:c>
      <ns0:c r="AE827" s="7">
        <ns0:f>IF(W827&lt;0,A827,0)</ns0:f>
        <ns0:v>0</ns0:v>
      </ns0:c>
      <ns0:c r="AF827" s="16">
        <ns0:f>IF(AND(OR('前提と出典'!$C$36+'前提と出典'!$C$38=0,U827&gt;=0),OR('前提と出典'!$C$37+'前提と出典'!$C$38=0,V827&gt;=0)),0,A827)</ns0:f>
        <ns0:v>0</ns0:v>
      </ns0:c>
      <ns0:c r="AG827" s="7">
        <ns0:f>IF(Z827&gt;=0,A827,1001)</ns0:f>
        <ns0:v>823</ns0:v>
      </ns0:c>
      <ns0:c r="AH827" s="4">
        <ns0:f>IF(Z827&lt;0,A827,0)</ns0:f>
        <ns0:v>0</ns0:v>
      </ns0:c>
      <ns0:c r="AI827" s="12">
        <ns0:f>IF(AND(OR('前提と出典'!$C$36+'前提と出典'!$C$38=0,X827&gt;=0),OR('前提と出典'!$C$37+'前提と出典'!$C$38=0,Y827&gt;=0)),0,A827)</ns0:f>
        <ns0:v>0</ns0:v>
      </ns0:c>
    </ns0:row>
    <ns0:row r="828" ht="24" customHeight="1">
      <ns0:c r="A828" s="4" t="n">
        <ns0:v>824</ns0:v>
      </ns0:c>
      <ns0:c r="B828" s="12">
        <ns0:f>A828*('前提と出典'!$C$36+'前提と出典'!$C$38)</ns0:f>
        <ns0:v>576.8</ns0:v>
      </ns0:c>
      <ns0:c r="C828" s="12">
        <ns0:f>A828*('前提と出典'!$C$37+'前提と出典'!$C$38)</ns0:f>
        <ns0:v>494.4</ns0:v>
      </ns0:c>
      <ns0:c r="D828" s="16">
        <ns0:f>A828*('前提と出典'!$C$36*'契約別単価'!C5+'前提と出典'!$C$37*'契約別単価'!C6+'前提と出典'!$C$38*'契約別単価'!C7)</ns0:f>
        <ns0:v>5929.117318435754</ns0:v>
      </ns0:c>
      <ns0:c r="E828" s="16">
        <ns0:f>A828*('前提と出典'!$C$36*'契約別単価'!E5+'前提と出典'!$C$37*'契約別単価'!E6+'前提と出典'!$C$38*'契約別単価'!E7)</ns0:f>
        <ns0:v>2071431.2887505125</ns0:v>
      </ns0:c>
      <ns0:c r="F828" s="16">
        <ns0:f>A828*('前提と出典'!$C$36*'契約別単価'!F5+'前提と出典'!$C$37*'契約別単価'!F6+'前提と出典'!$C$38*'契約別単価'!F7)</ns0:f>
        <ns0:v>601904.9836730575</ns0:v>
      </ns0:c>
      <ns0:c r="G828" s="16">
        <ns0:f>A828*('前提と出典'!$C$36*'契約別単価'!G5+'前提と出典'!$C$37*'契約別単価'!G6+'前提と出典'!$C$38*'契約別単価'!G7)</ns0:f>
        <ns0:v>1640174.3016759777</ns0:v>
      </ns0:c>
      <ns0:c r="H828" s="16">
        <ns0:f>A828*('前提と出典'!$C$36*'契約別単価'!H5+'前提と出典'!$C$37*'契約別単価'!H6+'前提と出典'!$C$38*'契約別単価'!H7)</ns0:f>
        <ns0:v>569222.7438870328</ns0:v>
      </ns0:c>
      <ns0:c r="I828" s="16">
        <ns0:f>A828*('前提と出典'!$C$36*'契約別単価'!I5+'前提と出典'!$C$37*'契約別単価'!I6+'前提と出典'!$C$38*'契約別単価'!I7)</ns0:f>
        <ns0:v>34769.11731843575</ns0:v>
      </ns0:c>
      <ns0:c r="J828" s="16">
        <ns0:f>A828*('前提と出典'!$C$36*'契約別単価'!J5+'前提と出典'!$C$37*'契約別単価'!J6+'前提と出典'!$C$38*'契約別単価'!J7)</ns0:f>
        <ns0:v>80990.58401728932</ns0:v>
      </ns0:c>
      <ns0:c r="K828" s="16">
        <ns0:f>A828*('前提と出典'!$C$36*'契約別単価'!K5+'前提と出典'!$C$37*'契約別単価'!K6+'前提と出典'!$C$38*'契約別単価'!K7)</ns0:f>
        <ns0:v>347154.11545623833</ns0:v>
      </ns0:c>
      <ns0:c r="L828" s="16">
        <ns0:f>A828*('前提と出典'!$C$36*'契約別単価'!L5+'前提と出典'!$C$37*'契約別単価'!L6+'前提と出典'!$C$38*'契約別単価'!L7)</ns0:f>
        <ns0:v>282654.0914629011</ns0:v>
      </ns0:c>
      <ns0:c r="M828" s="16">
        <ns0:f>IF(('前提と出典'!$C$36+'前提と出典'!$C$38)=0,0,IF(B828&lt;=10,'前提と出典'!B73+'前提と出典'!C73,IF(B828&lt;=100,'前提と出典'!B74+'前提と出典'!C74,IF(B828&lt;=500,'前提と出典'!B75+'前提と出典'!C75,'前提と出典'!B76+'前提と出典'!C76))))</ns0:f>
        <ns0:v>80000</ns0:v>
      </ns0:c>
      <ns0:c r="N828" s="16">
        <ns0:f>IF(('前提と出典'!$C$37+'前提と出典'!$C$38)=0,0,IF(C828&lt;=10,'前提と出典'!D73+'前提と出典'!E73,IF(C828&lt;=100,'前提と出典'!D74+'前提と出典'!E74,IF(C828&lt;=500,'前提と出典'!D75+'前提と出典'!E75,'前提と出典'!D76+'前提と出典'!E76))))</ns0:f>
        <ns0:v>56510.9346263078</ns0:v>
      </ns0:c>
      <ns0:c r="O828" s="16">
        <ns0:f>IF('前提と出典'!$C$36+'前提と出典'!$C$38=0,0,'前提と出典'!$B$4*IF('前提と出典'!$B$20=0,MAX('前提と出典'!$B$6,D828*'前提と出典'!$B$5),'前提と出典'!$B$6+D828*'前提と出典'!$B$5))</ns0:f>
        <ns0:v>818218.1899441341</ns0:v>
      </ns0:c>
      <ns0:c r="P828" s="16">
        <ns0:f>(E828+G828)*(1-'前提と出典'!$B$7)-I828-K828-M828-O828</ns0:f>
        <ns0:v>2297846.3664523284</ns0:v>
      </ns0:c>
      <ns0:c r="Q828" s="16">
        <ns0:f>(F828+H828)*(1-'前提と出典'!$B$7)-J828-L828-N828</ns0:f>
        <ns0:v>708811.5192614289</ns0:v>
      </ns0:c>
      <ns0:c r="R828" s="16">
        <ns0:f>P828-E828*'前提と出典'!$E$4</ns0:f>
        <ns0:v>1676416.979827175</ns0:v>
      </ns0:c>
      <ns0:c r="S828" s="16">
        <ns0:f>Q828-F828*'前提と出典'!$E$4</ns0:f>
        <ns0:v>528240.0241595116</ns0:v>
      </ns0:c>
      <ns0:c r="T828" s="7">
        <ns0:f>R828+S828</ns0:f>
        <ns0:v>2204657.0039866865</ns0:v>
      </ns0:c>
      <ns0:c r="U828" s="16">
        <ns0:f>P828-E828*'前提と出典'!$E$5</ns0:f>
        <ns0:v>1469273.8509521233</ns0:v>
      </ns0:c>
      <ns0:c r="V828" s="16">
        <ns0:f>Q828-F828*'前提と出典'!$E$5</ns0:f>
        <ns0:v>468049.5257922058</ns0:v>
      </ns0:c>
      <ns0:c r="W828" s="7">
        <ns0:f>U828+V828</ns0:f>
        <ns0:v>1937323.376744329</ns0:v>
      </ns0:c>
      <ns0:c r="X828" s="16">
        <ns0:f>P828-E828*'前提と出典'!$E$6</ns0:f>
        <ns0:v>1262130.7220770721</ns0:v>
      </ns0:c>
      <ns0:c r="Y828" s="16">
        <ns0:f>Q828-F828*'前提と出典'!$E$6</ns0:f>
        <ns0:v>407859.0274249001</ns0:v>
      </ns0:c>
      <ns0:c r="Z828" s="7">
        <ns0:f>X828+Y828</ns0:f>
        <ns0:v>1669989.7495019722</ns0:v>
      </ns0:c>
      <ns0:c r="AA828" s="7">
        <ns0:f>IF(T828&gt;=0,A828,1001)</ns0:f>
        <ns0:v>824</ns0:v>
      </ns0:c>
      <ns0:c r="AB828" s="7">
        <ns0:f>IF(T828&lt;0,A828,0)</ns0:f>
        <ns0:v>0</ns0:v>
      </ns0:c>
      <ns0:c r="AC828" s="16">
        <ns0:f>IF(AND(OR('前提と出典'!$C$36+'前提と出典'!$C$38=0,R828&gt;=0),OR('前提と出典'!$C$37+'前提と出典'!$C$38=0,S828&gt;=0)),0,A828)</ns0:f>
        <ns0:v>0</ns0:v>
      </ns0:c>
      <ns0:c r="AD828" s="7">
        <ns0:f>IF(W828&gt;=0,A828,1001)</ns0:f>
        <ns0:v>824</ns0:v>
      </ns0:c>
      <ns0:c r="AE828" s="7">
        <ns0:f>IF(W828&lt;0,A828,0)</ns0:f>
        <ns0:v>0</ns0:v>
      </ns0:c>
      <ns0:c r="AF828" s="16">
        <ns0:f>IF(AND(OR('前提と出典'!$C$36+'前提と出典'!$C$38=0,U828&gt;=0),OR('前提と出典'!$C$37+'前提と出典'!$C$38=0,V828&gt;=0)),0,A828)</ns0:f>
        <ns0:v>0</ns0:v>
      </ns0:c>
      <ns0:c r="AG828" s="7">
        <ns0:f>IF(Z828&gt;=0,A828,1001)</ns0:f>
        <ns0:v>824</ns0:v>
      </ns0:c>
      <ns0:c r="AH828" s="4">
        <ns0:f>IF(Z828&lt;0,A828,0)</ns0:f>
        <ns0:v>0</ns0:v>
      </ns0:c>
      <ns0:c r="AI828" s="12">
        <ns0:f>IF(AND(OR('前提と出典'!$C$36+'前提と出典'!$C$38=0,X828&gt;=0),OR('前提と出典'!$C$37+'前提と出典'!$C$38=0,Y828&gt;=0)),0,A828)</ns0:f>
        <ns0:v>0</ns0:v>
      </ns0:c>
    </ns0:row>
    <ns0:row r="829" ht="24" customHeight="1">
      <ns0:c r="A829" s="4" t="n">
        <ns0:v>825</ns0:v>
      </ns0:c>
      <ns0:c r="B829" s="12">
        <ns0:f>A829*('前提と出典'!$C$36+'前提と出典'!$C$38)</ns0:f>
        <ns0:v>577.5</ns0:v>
      </ns0:c>
      <ns0:c r="C829" s="12">
        <ns0:f>A829*('前提と出典'!$C$37+'前提と出典'!$C$38)</ns0:f>
        <ns0:v>495</ns0:v>
      </ns0:c>
      <ns0:c r="D829" s="16">
        <ns0:f>A829*('前提と出典'!$C$36*'契約別単価'!C5+'前提と出典'!$C$37*'契約別単価'!C6+'前提と出典'!$C$38*'契約別単価'!C7)</ns0:f>
        <ns0:v>5936.312849162011</ns0:v>
      </ns0:c>
      <ns0:c r="E829" s="16">
        <ns0:f>A829*('前提と出典'!$C$36*'契約別単価'!E5+'前提と出典'!$C$37*'契約別単価'!E6+'前提と出典'!$C$38*'契約別単価'!E7)</ns0:f>
        <ns0:v>2073945.1616737535</ns0:v>
      </ns0:c>
      <ns0:c r="F829" s="16">
        <ns0:f>A829*('前提と出典'!$C$36*'契約別単価'!F5+'前提と出典'!$C$37*'契約別単価'!F6+'前提と出典'!$C$38*'契約別単価'!F7)</ns0:f>
        <ns0:v>602635.450886253</ns0:v>
      </ns0:c>
      <ns0:c r="G829" s="16">
        <ns0:f>A829*('前提と出典'!$C$36*'契約別単価'!G5+'前提と出典'!$C$37*'契約別単価'!G6+'前提と出典'!$C$38*'契約別単価'!G7)</ns0:f>
        <ns0:v>1642164.8044692737</ns0:v>
      </ns0:c>
      <ns0:c r="H829" s="16">
        <ns0:f>A829*('前提と出典'!$C$36*'契約別単価'!H5+'前提と出典'!$C$37*'契約別単価'!H6+'前提と出典'!$C$38*'契約別単価'!H7)</ns0:f>
        <ns0:v>569913.5481878666</ns0:v>
      </ns0:c>
      <ns0:c r="I829" s="16">
        <ns0:f>A829*('前提と出典'!$C$36*'契約別単価'!I5+'前提と出典'!$C$37*'契約別単価'!I6+'前提と出典'!$C$38*'契約別単価'!I7)</ns0:f>
        <ns0:v>34811.31284916201</ns0:v>
      </ns0:c>
      <ns0:c r="J829" s="16">
        <ns0:f>A829*('前提と出典'!$C$36*'契約別単価'!J5+'前提と出典'!$C$37*'契約別単価'!J6+'前提と出典'!$C$38*'契約別単価'!J7)</ns0:f>
        <ns0:v>81088.87356099962</ns0:v>
      </ns0:c>
      <ns0:c r="K829" s="16">
        <ns0:f>A829*('前提と出典'!$C$36*'契約別単価'!K5+'前提と出典'!$C$37*'契約別単価'!K6+'前提と出典'!$C$38*'契約別単価'!K7)</ns0:f>
        <ns0:v>347575.4189944134</ns0:v>
      </ns0:c>
      <ns0:c r="L829" s="16">
        <ns0:f>A829*('前提と出典'!$C$36*'契約別単価'!L5+'前提と出典'!$C$37*'契約別単価'!L6+'前提と出典'!$C$38*'契約別単価'!L7)</ns0:f>
        <ns0:v>282997.11827292887</ns0:v>
      </ns0:c>
      <ns0:c r="M829" s="16">
        <ns0:f>IF(('前提と出典'!$C$36+'前提と出典'!$C$38)=0,0,IF(B829&lt;=10,'前提と出典'!B73+'前提と出典'!C73,IF(B829&lt;=100,'前提と出典'!B74+'前提と出典'!C74,IF(B829&lt;=500,'前提と出典'!B75+'前提と出典'!C75,'前提と出典'!B76+'前提と出典'!C76))))</ns0:f>
        <ns0:v>80000</ns0:v>
      </ns0:c>
      <ns0:c r="N829" s="16">
        <ns0:f>IF(('前提と出典'!$C$37+'前提と出典'!$C$38)=0,0,IF(C829&lt;=10,'前提と出典'!D73+'前提と出典'!E73,IF(C829&lt;=100,'前提と出典'!D74+'前提と出典'!E74,IF(C829&lt;=500,'前提と出典'!D75+'前提と出典'!E75,'前提と出典'!D76+'前提と出典'!E76))))</ns0:f>
        <ns0:v>56510.9346263078</ns0:v>
      </ns0:c>
      <ns0:c r="O829" s="16">
        <ns0:f>IF('前提と出典'!$C$36+'前提と出典'!$C$38=0,0,'前提と出典'!$B$4*IF('前提と出典'!$B$20=0,MAX('前提と出典'!$B$6,D829*'前提と出典'!$B$5),'前提と出典'!$B$6+D829*'前提と出典'!$B$5))</ns0:f>
        <ns0:v>819211.1731843576</ns0:v>
      </ns0:c>
      <ns0:c r="P829" s="16">
        <ns0:f>(E829+G829)*(1-'前提と出典'!$B$7)-I829-K829-M829-O829</ns0:f>
        <ns0:v>2300732.102333945</ns0:v>
      </ns0:c>
      <ns0:c r="Q829" s="16">
        <ns0:f>(F829+H829)*(1-'前提と出典'!$B$7)-J829-L829-N829</ns0:f>
        <ns0:v>709740.308647215</ns0:v>
      </ns0:c>
      <ns0:c r="R829" s="16">
        <ns0:f>P829-E829*'前提と出典'!$E$4</ns0:f>
        <ns0:v>1678548.5538318194</ns0:v>
      </ns0:c>
      <ns0:c r="S829" s="16">
        <ns0:f>Q829-F829*'前提と出典'!$E$4</ns0:f>
        <ns0:v>528949.6733813392</ns0:v>
      </ns0:c>
      <ns0:c r="T829" s="7">
        <ns0:f>R829+S829</ns0:f>
        <ns0:v>2207498.2272131587</ns0:v>
      </ns0:c>
      <ns0:c r="U829" s="16">
        <ns0:f>P829-E829*'前提と出典'!$E$5</ns0:f>
        <ns0:v>1471154.0376644437</ns0:v>
      </ns0:c>
      <ns0:c r="V829" s="16">
        <ns0:f>Q829-F829*'前提と出典'!$E$5</ns0:f>
        <ns0:v>468686.1282927138</ns0:v>
      </ns0:c>
      <ns0:c r="W829" s="7">
        <ns0:f>U829+V829</ns0:f>
        <ns0:v>1939840.1659571575</ns0:v>
      </ns0:c>
      <ns0:c r="X829" s="16">
        <ns0:f>P829-E829*'前提と出典'!$E$6</ns0:f>
        <ns0:v>1263759.5214970685</ns0:v>
      </ns0:c>
      <ns0:c r="Y829" s="16">
        <ns0:f>Q829-F829*'前提と出典'!$E$6</ns0:f>
        <ns0:v>408422.5832040885</ns0:v>
      </ns0:c>
      <ns0:c r="Z829" s="7">
        <ns0:f>X829+Y829</ns0:f>
        <ns0:v>1672182.104701157</ns0:v>
      </ns0:c>
      <ns0:c r="AA829" s="7">
        <ns0:f>IF(T829&gt;=0,A829,1001)</ns0:f>
        <ns0:v>825</ns0:v>
      </ns0:c>
      <ns0:c r="AB829" s="7">
        <ns0:f>IF(T829&lt;0,A829,0)</ns0:f>
        <ns0:v>0</ns0:v>
      </ns0:c>
      <ns0:c r="AC829" s="16">
        <ns0:f>IF(AND(OR('前提と出典'!$C$36+'前提と出典'!$C$38=0,R829&gt;=0),OR('前提と出典'!$C$37+'前提と出典'!$C$38=0,S829&gt;=0)),0,A829)</ns0:f>
        <ns0:v>0</ns0:v>
      </ns0:c>
      <ns0:c r="AD829" s="7">
        <ns0:f>IF(W829&gt;=0,A829,1001)</ns0:f>
        <ns0:v>825</ns0:v>
      </ns0:c>
      <ns0:c r="AE829" s="7">
        <ns0:f>IF(W829&lt;0,A829,0)</ns0:f>
        <ns0:v>0</ns0:v>
      </ns0:c>
      <ns0:c r="AF829" s="16">
        <ns0:f>IF(AND(OR('前提と出典'!$C$36+'前提と出典'!$C$38=0,U829&gt;=0),OR('前提と出典'!$C$37+'前提と出典'!$C$38=0,V829&gt;=0)),0,A829)</ns0:f>
        <ns0:v>0</ns0:v>
      </ns0:c>
      <ns0:c r="AG829" s="7">
        <ns0:f>IF(Z829&gt;=0,A829,1001)</ns0:f>
        <ns0:v>825</ns0:v>
      </ns0:c>
      <ns0:c r="AH829" s="4">
        <ns0:f>IF(Z829&lt;0,A829,0)</ns0:f>
        <ns0:v>0</ns0:v>
      </ns0:c>
      <ns0:c r="AI829" s="12">
        <ns0:f>IF(AND(OR('前提と出典'!$C$36+'前提と出典'!$C$38=0,X829&gt;=0),OR('前提と出典'!$C$37+'前提と出典'!$C$38=0,Y829&gt;=0)),0,A829)</ns0:f>
        <ns0:v>0</ns0:v>
      </ns0:c>
    </ns0:row>
    <ns0:row r="830" ht="24" customHeight="1">
      <ns0:c r="A830" s="4" t="n">
        <ns0:v>826</ns0:v>
      </ns0:c>
      <ns0:c r="B830" s="12">
        <ns0:f>A830*('前提と出典'!$C$36+'前提と出典'!$C$38)</ns0:f>
        <ns0:v>578.1999999999999</ns0:v>
      </ns0:c>
      <ns0:c r="C830" s="12">
        <ns0:f>A830*('前提と出典'!$C$37+'前提と出典'!$C$38)</ns0:f>
        <ns0:v>495.59999999999997</ns0:v>
      </ns0:c>
      <ns0:c r="D830" s="16">
        <ns0:f>A830*('前提と出典'!$C$36*'契約別単価'!C5+'前提と出典'!$C$37*'契約別単価'!C6+'前提と出典'!$C$38*'契約別単価'!C7)</ns0:f>
        <ns0:v>5943.508379888268</ns0:v>
      </ns0:c>
      <ns0:c r="E830" s="16">
        <ns0:f>A830*('前提と出典'!$C$36*'契約別単価'!E5+'前提と出典'!$C$37*'契約別単価'!E6+'前提と出典'!$C$38*'契約別単価'!E7)</ns0:f>
        <ns0:v>2076459.0345969943</ns0:v>
      </ns0:c>
      <ns0:c r="F830" s="16">
        <ns0:f>A830*('前提と出典'!$C$36*'契約別単価'!F5+'前提と出典'!$C$37*'契約別単価'!F6+'前提と出典'!$C$38*'契約別単価'!F7)</ns0:f>
        <ns0:v>603365.9180994484</ns0:v>
      </ns0:c>
      <ns0:c r="G830" s="16">
        <ns0:f>A830*('前提と出典'!$C$36*'契約別単価'!G5+'前提と出典'!$C$37*'契約別単価'!G6+'前提と出典'!$C$38*'契約別単価'!G7)</ns0:f>
        <ns0:v>1644155.3072625697</ns0:v>
      </ns0:c>
      <ns0:c r="H830" s="16">
        <ns0:f>A830*('前提と出典'!$C$36*'契約別単価'!H5+'前提と出典'!$C$37*'契約別単価'!H6+'前提と出典'!$C$38*'契約別単価'!H7)</ns0:f>
        <ns0:v>570604.3524887004</ns0:v>
      </ns0:c>
      <ns0:c r="I830" s="16">
        <ns0:f>A830*('前提と出典'!$C$36*'契約別単価'!I5+'前提と出典'!$C$37*'契約別単価'!I6+'前提と出典'!$C$38*'契約別単価'!I7)</ns0:f>
        <ns0:v>34853.50837988826</ns0:v>
      </ns0:c>
      <ns0:c r="J830" s="16">
        <ns0:f>A830*('前提と出典'!$C$36*'契約別単価'!J5+'前提と出典'!$C$37*'契約別単価'!J6+'前提と出典'!$C$38*'契約別単価'!J7)</ns0:f>
        <ns0:v>81187.16310470992</ns0:v>
      </ns0:c>
      <ns0:c r="K830" s="16">
        <ns0:f>A830*('前提と出典'!$C$36*'契約別単価'!K5+'前提と出典'!$C$37*'契約別単価'!K6+'前提と出典'!$C$38*'契約別単価'!K7)</ns0:f>
        <ns0:v>347996.7225325884</ns0:v>
      </ns0:c>
      <ns0:c r="L830" s="16">
        <ns0:f>A830*('前提と出典'!$C$36*'契約別単価'!L5+'前提と出典'!$C$37*'契約別単価'!L6+'前提と出典'!$C$38*'契約別単価'!L7)</ns0:f>
        <ns0:v>283340.14508295665</ns0:v>
      </ns0:c>
      <ns0:c r="M830" s="16">
        <ns0:f>IF(('前提と出典'!$C$36+'前提と出典'!$C$38)=0,0,IF(B830&lt;=10,'前提と出典'!B73+'前提と出典'!C73,IF(B830&lt;=100,'前提と出典'!B74+'前提と出典'!C74,IF(B830&lt;=500,'前提と出典'!B75+'前提と出典'!C75,'前提と出典'!B76+'前提と出典'!C76))))</ns0:f>
        <ns0:v>80000</ns0:v>
      </ns0:c>
      <ns0:c r="N830" s="16">
        <ns0:f>IF(('前提と出典'!$C$37+'前提と出典'!$C$38)=0,0,IF(C830&lt;=10,'前提と出典'!D73+'前提と出典'!E73,IF(C830&lt;=100,'前提と出典'!D74+'前提と出典'!E74,IF(C830&lt;=500,'前提と出典'!D75+'前提と出典'!E75,'前提と出典'!D76+'前提と出典'!E76))))</ns0:f>
        <ns0:v>56510.9346263078</ns0:v>
      </ns0:c>
      <ns0:c r="O830" s="16">
        <ns0:f>IF('前提と出典'!$C$36+'前提と出典'!$C$38=0,0,'前提と出典'!$B$4*IF('前提と出典'!$B$20=0,MAX('前提と出典'!$B$6,D830*'前提と出典'!$B$5),'前提と出典'!$B$6+D830*'前提と出典'!$B$5))</ns0:f>
        <ns0:v>820204.1564245811</ns0:v>
      </ns0:c>
      <ns0:c r="P830" s="16">
        <ns0:f>(E830+G830)*(1-'前提と出典'!$B$7)-I830-K830-M830-O830</ns0:f>
        <ns0:v>2303617.838215562</ns0:v>
      </ns0:c>
      <ns0:c r="Q830" s="16">
        <ns0:f>(F830+H830)*(1-'前提と出典'!$B$7)-J830-L830-N830</ns0:f>
        <ns0:v>710669.0980330012</ns0:v>
      </ns0:c>
      <ns0:c r="R830" s="16">
        <ns0:f>P830-E830*'前提と出典'!$E$4</ns0:f>
        <ns0:v>1680680.1278364635</ns0:v>
      </ns0:c>
      <ns0:c r="S830" s="16">
        <ns0:f>Q830-F830*'前提と出典'!$E$4</ns0:f>
        <ns0:v>529659.3226031666</ns0:v>
      </ns0:c>
      <ns0:c r="T830" s="7">
        <ns0:f>R830+S830</ns0:f>
        <ns0:v>2210339.45043963</ns0:v>
      </ns0:c>
      <ns0:c r="U830" s="16">
        <ns0:f>P830-E830*'前提と出典'!$E$5</ns0:f>
        <ns0:v>1473034.2243767641</ns0:v>
      </ns0:c>
      <ns0:c r="V830" s="16">
        <ns0:f>Q830-F830*'前提と出典'!$E$5</ns0:f>
        <ns0:v>469322.73079322174</ns0:v>
      </ns0:c>
      <ns0:c r="W830" s="7">
        <ns0:f>U830+V830</ns0:f>
        <ns0:v>1942356.955169986</ns0:v>
      </ns0:c>
      <ns0:c r="X830" s="16">
        <ns0:f>P830-E830*'前提と出典'!$E$6</ns0:f>
        <ns0:v>1265388.3209170648</ns0:v>
      </ns0:c>
      <ns0:c r="Y830" s="16">
        <ns0:f>Q830-F830*'前提と出典'!$E$6</ns0:f>
        <ns0:v>408986.1389832768</ns0:v>
      </ns0:c>
      <ns0:c r="Z830" s="7">
        <ns0:f>X830+Y830</ns0:f>
        <ns0:v>1674374.4599003415</ns0:v>
      </ns0:c>
      <ns0:c r="AA830" s="7">
        <ns0:f>IF(T830&gt;=0,A830,1001)</ns0:f>
        <ns0:v>826</ns0:v>
      </ns0:c>
      <ns0:c r="AB830" s="7">
        <ns0:f>IF(T830&lt;0,A830,0)</ns0:f>
        <ns0:v>0</ns0:v>
      </ns0:c>
      <ns0:c r="AC830" s="16">
        <ns0:f>IF(AND(OR('前提と出典'!$C$36+'前提と出典'!$C$38=0,R830&gt;=0),OR('前提と出典'!$C$37+'前提と出典'!$C$38=0,S830&gt;=0)),0,A830)</ns0:f>
        <ns0:v>0</ns0:v>
      </ns0:c>
      <ns0:c r="AD830" s="7">
        <ns0:f>IF(W830&gt;=0,A830,1001)</ns0:f>
        <ns0:v>826</ns0:v>
      </ns0:c>
      <ns0:c r="AE830" s="7">
        <ns0:f>IF(W830&lt;0,A830,0)</ns0:f>
        <ns0:v>0</ns0:v>
      </ns0:c>
      <ns0:c r="AF830" s="16">
        <ns0:f>IF(AND(OR('前提と出典'!$C$36+'前提と出典'!$C$38=0,U830&gt;=0),OR('前提と出典'!$C$37+'前提と出典'!$C$38=0,V830&gt;=0)),0,A830)</ns0:f>
        <ns0:v>0</ns0:v>
      </ns0:c>
      <ns0:c r="AG830" s="7">
        <ns0:f>IF(Z830&gt;=0,A830,1001)</ns0:f>
        <ns0:v>826</ns0:v>
      </ns0:c>
      <ns0:c r="AH830" s="4">
        <ns0:f>IF(Z830&lt;0,A830,0)</ns0:f>
        <ns0:v>0</ns0:v>
      </ns0:c>
      <ns0:c r="AI830" s="12">
        <ns0:f>IF(AND(OR('前提と出典'!$C$36+'前提と出典'!$C$38=0,X830&gt;=0),OR('前提と出典'!$C$37+'前提と出典'!$C$38=0,Y830&gt;=0)),0,A830)</ns0:f>
        <ns0:v>0</ns0:v>
      </ns0:c>
    </ns0:row>
    <ns0:row r="831" ht="24" customHeight="1">
      <ns0:c r="A831" s="4" t="n">
        <ns0:v>827</ns0:v>
      </ns0:c>
      <ns0:c r="B831" s="12">
        <ns0:f>A831*('前提と出典'!$C$36+'前提と出典'!$C$38)</ns0:f>
        <ns0:v>578.9</ns0:v>
      </ns0:c>
      <ns0:c r="C831" s="12">
        <ns0:f>A831*('前提と出典'!$C$37+'前提と出典'!$C$38)</ns0:f>
        <ns0:v>496.2</ns0:v>
      </ns0:c>
      <ns0:c r="D831" s="16">
        <ns0:f>A831*('前提と出典'!$C$36*'契約別単価'!C5+'前提と出典'!$C$37*'契約別単価'!C6+'前提と出典'!$C$38*'契約別単価'!C7)</ns0:f>
        <ns0:v>5950.703910614525</ns0:v>
      </ns0:c>
      <ns0:c r="E831" s="16">
        <ns0:f>A831*('前提と出典'!$C$36*'契約別単価'!E5+'前提と出典'!$C$37*'契約別単価'!E6+'前提と出典'!$C$38*'契約別単価'!E7)</ns0:f>
        <ns0:v>2078972.9075202353</ns0:v>
      </ns0:c>
      <ns0:c r="F831" s="16">
        <ns0:f>A831*('前提と出典'!$C$36*'契約別単価'!F5+'前提と出典'!$C$37*'契約別単価'!F6+'前提と出典'!$C$38*'契約別単価'!F7)</ns0:f>
        <ns0:v>604096.385312644</ns0:v>
      </ns0:c>
      <ns0:c r="G831" s="16">
        <ns0:f>A831*('前提と出典'!$C$36*'契約別単価'!G5+'前提と出典'!$C$37*'契約別単価'!G6+'前提と出典'!$C$38*'契約別単価'!G7)</ns0:f>
        <ns0:v>1646145.810055866</ns0:v>
      </ns0:c>
      <ns0:c r="H831" s="16">
        <ns0:f>A831*('前提と出典'!$C$36*'契約別単価'!H5+'前提と出典'!$C$37*'契約別単価'!H6+'前提と出典'!$C$38*'契約別単価'!H7)</ns0:f>
        <ns0:v>571295.1567895341</ns0:v>
      </ns0:c>
      <ns0:c r="I831" s="16">
        <ns0:f>A831*('前提と出典'!$C$36*'契約別単価'!I5+'前提と出典'!$C$37*'契約別単価'!I6+'前提と出典'!$C$38*'契約別単価'!I7)</ns0:f>
        <ns0:v>34895.70391061452</ns0:v>
      </ns0:c>
      <ns0:c r="J831" s="16">
        <ns0:f>A831*('前提と出典'!$C$36*'契約別単価'!J5+'前提と出典'!$C$37*'契約別単価'!J6+'前提と出典'!$C$38*'契約別単価'!J7)</ns0:f>
        <ns0:v>81285.45264842022</ns0:v>
      </ns0:c>
      <ns0:c r="K831" s="16">
        <ns0:f>A831*('前提と出典'!$C$36*'契約別単価'!K5+'前提と出典'!$C$37*'契約別単価'!K6+'前提と出典'!$C$38*'契約別単価'!K7)</ns0:f>
        <ns0:v>348418.0260707635</ns0:v>
      </ns0:c>
      <ns0:c r="L831" s="16">
        <ns0:f>A831*('前提と出典'!$C$36*'契約別単価'!L5+'前提と出典'!$C$37*'契約別単価'!L6+'前提と出典'!$C$38*'契約別単価'!L7)</ns0:f>
        <ns0:v>283683.1718929845</ns0:v>
      </ns0:c>
      <ns0:c r="M831" s="16">
        <ns0:f>IF(('前提と出典'!$C$36+'前提と出典'!$C$38)=0,0,IF(B831&lt;=10,'前提と出典'!B73+'前提と出典'!C73,IF(B831&lt;=100,'前提と出典'!B74+'前提と出典'!C74,IF(B831&lt;=500,'前提と出典'!B75+'前提と出典'!C75,'前提と出典'!B76+'前提と出典'!C76))))</ns0:f>
        <ns0:v>80000</ns0:v>
      </ns0:c>
      <ns0:c r="N831" s="16">
        <ns0:f>IF(('前提と出典'!$C$37+'前提と出典'!$C$38)=0,0,IF(C831&lt;=10,'前提と出典'!D73+'前提と出典'!E73,IF(C831&lt;=100,'前提と出典'!D74+'前提と出典'!E74,IF(C831&lt;=500,'前提と出典'!D75+'前提と出典'!E75,'前提と出典'!D76+'前提と出典'!E76))))</ns0:f>
        <ns0:v>56510.9346263078</ns0:v>
      </ns0:c>
      <ns0:c r="O831" s="16">
        <ns0:f>IF('前提と出典'!$C$36+'前提と出典'!$C$38=0,0,'前提と出典'!$B$4*IF('前提と出典'!$B$20=0,MAX('前提と出典'!$B$6,D831*'前提と出典'!$B$5),'前提と出典'!$B$6+D831*'前提と出典'!$B$5))</ns0:f>
        <ns0:v>821197.1396648044</ns0:v>
      </ns0:c>
      <ns0:c r="P831" s="16">
        <ns0:f>(E831+G831)*(1-'前提と出典'!$B$7)-I831-K831-M831-O831</ns0:f>
        <ns0:v>2306503.5740971793</ns0:v>
      </ns0:c>
      <ns0:c r="Q831" s="16">
        <ns0:f>(F831+H831)*(1-'前提と出典'!$B$7)-J831-L831-N831</ns0:f>
        <ns0:v>711597.8874187872</ns0:v>
      </ns0:c>
      <ns0:c r="R831" s="16">
        <ns0:f>P831-E831*'前提と出典'!$E$4</ns0:f>
        <ns0:v>1682811.701841109</ns0:v>
      </ns0:c>
      <ns0:c r="S831" s="16">
        <ns0:f>Q831-F831*'前提と出典'!$E$4</ns0:f>
        <ns0:v>530368.9718249941</ns0:v>
      </ns0:c>
      <ns0:c r="T831" s="7">
        <ns0:f>R831+S831</ns0:f>
        <ns0:v>2213180.673666103</ns0:v>
      </ns0:c>
      <ns0:c r="U831" s="16">
        <ns0:f>P831-E831*'前提と出典'!$E$5</ns0:f>
        <ns0:v>1474914.411089085</ns0:v>
      </ns0:c>
      <ns0:c r="V831" s="16">
        <ns0:f>Q831-F831*'前提と出典'!$E$5</ns0:f>
        <ns0:v>469959.3332937297</ns0:v>
      </ns0:c>
      <ns0:c r="W831" s="7">
        <ns0:f>U831+V831</ns0:f>
        <ns0:v>1944873.7443828147</ns0:v>
      </ns0:c>
      <ns0:c r="X831" s="16">
        <ns0:f>P831-E831*'前提と出典'!$E$6</ns0:f>
        <ns0:v>1267017.1203370616</ns0:v>
      </ns0:c>
      <ns0:c r="Y831" s="16">
        <ns0:f>Q831-F831*'前提と出典'!$E$6</ns0:f>
        <ns0:v>409549.69476246525</ns0:v>
      </ns0:c>
      <ns0:c r="Z831" s="7">
        <ns0:f>X831+Y831</ns0:f>
        <ns0:v>1676566.815099527</ns0:v>
      </ns0:c>
      <ns0:c r="AA831" s="7">
        <ns0:f>IF(T831&gt;=0,A831,1001)</ns0:f>
        <ns0:v>827</ns0:v>
      </ns0:c>
      <ns0:c r="AB831" s="7">
        <ns0:f>IF(T831&lt;0,A831,0)</ns0:f>
        <ns0:v>0</ns0:v>
      </ns0:c>
      <ns0:c r="AC831" s="16">
        <ns0:f>IF(AND(OR('前提と出典'!$C$36+'前提と出典'!$C$38=0,R831&gt;=0),OR('前提と出典'!$C$37+'前提と出典'!$C$38=0,S831&gt;=0)),0,A831)</ns0:f>
        <ns0:v>0</ns0:v>
      </ns0:c>
      <ns0:c r="AD831" s="7">
        <ns0:f>IF(W831&gt;=0,A831,1001)</ns0:f>
        <ns0:v>827</ns0:v>
      </ns0:c>
      <ns0:c r="AE831" s="7">
        <ns0:f>IF(W831&lt;0,A831,0)</ns0:f>
        <ns0:v>0</ns0:v>
      </ns0:c>
      <ns0:c r="AF831" s="16">
        <ns0:f>IF(AND(OR('前提と出典'!$C$36+'前提と出典'!$C$38=0,U831&gt;=0),OR('前提と出典'!$C$37+'前提と出典'!$C$38=0,V831&gt;=0)),0,A831)</ns0:f>
        <ns0:v>0</ns0:v>
      </ns0:c>
      <ns0:c r="AG831" s="7">
        <ns0:f>IF(Z831&gt;=0,A831,1001)</ns0:f>
        <ns0:v>827</ns0:v>
      </ns0:c>
      <ns0:c r="AH831" s="4">
        <ns0:f>IF(Z831&lt;0,A831,0)</ns0:f>
        <ns0:v>0</ns0:v>
      </ns0:c>
      <ns0:c r="AI831" s="12">
        <ns0:f>IF(AND(OR('前提と出典'!$C$36+'前提と出典'!$C$38=0,X831&gt;=0),OR('前提と出典'!$C$37+'前提と出典'!$C$38=0,Y831&gt;=0)),0,A831)</ns0:f>
        <ns0:v>0</ns0:v>
      </ns0:c>
    </ns0:row>
    <ns0:row r="832" ht="24" customHeight="1">
      <ns0:c r="A832" s="4" t="n">
        <ns0:v>828</ns0:v>
      </ns0:c>
      <ns0:c r="B832" s="12">
        <ns0:f>A832*('前提と出典'!$C$36+'前提と出典'!$C$38)</ns0:f>
        <ns0:v>579.5999999999999</ns0:v>
      </ns0:c>
      <ns0:c r="C832" s="12">
        <ns0:f>A832*('前提と出典'!$C$37+'前提と出典'!$C$38)</ns0:f>
        <ns0:v>496.79999999999995</ns0:v>
      </ns0:c>
      <ns0:c r="D832" s="16">
        <ns0:f>A832*('前提と出典'!$C$36*'契約別単価'!C5+'前提と出典'!$C$37*'契約別単価'!C6+'前提と出典'!$C$38*'契約別単価'!C7)</ns0:f>
        <ns0:v>5957.899441340782</ns0:v>
      </ns0:c>
      <ns0:c r="E832" s="16">
        <ns0:f>A832*('前提と出典'!$C$36*'契約別単価'!E5+'前提と出典'!$C$37*'契約別単価'!E6+'前提と出典'!$C$38*'契約別単価'!E7)</ns0:f>
        <ns0:v>2081486.780443476</ns0:v>
      </ns0:c>
      <ns0:c r="F832" s="16">
        <ns0:f>A832*('前提と出典'!$C$36*'契約別単価'!F5+'前提と出典'!$C$37*'契約別単価'!F6+'前提と出典'!$C$38*'契約別単価'!F7)</ns0:f>
        <ns0:v>604826.8525258393</ns0:v>
      </ns0:c>
      <ns0:c r="G832" s="16">
        <ns0:f>A832*('前提と出典'!$C$36*'契約別単価'!G5+'前提と出典'!$C$37*'契約別単価'!G6+'前提と出典'!$C$38*'契約別単価'!G7)</ns0:f>
        <ns0:v>1648136.312849162</ns0:v>
      </ns0:c>
      <ns0:c r="H832" s="16">
        <ns0:f>A832*('前提と出典'!$C$36*'契約別単価'!H5+'前提と出典'!$C$37*'契約別単価'!H6+'前提と出典'!$C$38*'契約別単価'!H7)</ns0:f>
        <ns0:v>571985.9610903679</ns0:v>
      </ns0:c>
      <ns0:c r="I832" s="16">
        <ns0:f>A832*('前提と出典'!$C$36*'契約別単価'!I5+'前提と出典'!$C$37*'契約別単価'!I6+'前提と出典'!$C$38*'契約別単価'!I7)</ns0:f>
        <ns0:v>34937.89944134078</ns0:v>
      </ns0:c>
      <ns0:c r="J832" s="16">
        <ns0:f>A832*('前提と出典'!$C$36*'契約別単価'!J5+'前提と出典'!$C$37*'契約別単価'!J6+'前提と出典'!$C$38*'契約別単価'!J7)</ns0:f>
        <ns0:v>81383.74219213052</ns0:v>
      </ns0:c>
      <ns0:c r="K832" s="16">
        <ns0:f>A832*('前提と出典'!$C$36*'契約別単価'!K5+'前提と出典'!$C$37*'契約別単価'!K6+'前提と出典'!$C$38*'契約別単価'!K7)</ns0:f>
        <ns0:v>348839.32960893854</ns0:v>
      </ns0:c>
      <ns0:c r="L832" s="16">
        <ns0:f>A832*('前提と出典'!$C$36*'契約別単価'!L5+'前提と出典'!$C$37*'契約別単価'!L6+'前提と出典'!$C$38*'契約別単価'!L7)</ns0:f>
        <ns0:v>284026.19870301225</ns0:v>
      </ns0:c>
      <ns0:c r="M832" s="16">
        <ns0:f>IF(('前提と出典'!$C$36+'前提と出典'!$C$38)=0,0,IF(B832&lt;=10,'前提と出典'!B73+'前提と出典'!C73,IF(B832&lt;=100,'前提と出典'!B74+'前提と出典'!C74,IF(B832&lt;=500,'前提と出典'!B75+'前提と出典'!C75,'前提と出典'!B76+'前提と出典'!C76))))</ns0:f>
        <ns0:v>80000</ns0:v>
      </ns0:c>
      <ns0:c r="N832" s="16">
        <ns0:f>IF(('前提と出典'!$C$37+'前提と出典'!$C$38)=0,0,IF(C832&lt;=10,'前提と出典'!D73+'前提と出典'!E73,IF(C832&lt;=100,'前提と出典'!D74+'前提と出典'!E74,IF(C832&lt;=500,'前提と出典'!D75+'前提と出典'!E75,'前提と出典'!D76+'前提と出典'!E76))))</ns0:f>
        <ns0:v>56510.9346263078</ns0:v>
      </ns0:c>
      <ns0:c r="O832" s="16">
        <ns0:f>IF('前提と出典'!$C$36+'前提と出典'!$C$38=0,0,'前提と出典'!$B$4*IF('前提と出典'!$B$20=0,MAX('前提と出典'!$B$6,D832*'前提と出典'!$B$5),'前提と出典'!$B$6+D832*'前提と出典'!$B$5))</ns0:f>
        <ns0:v>822190.1229050278</ns0:v>
      </ns0:c>
      <ns0:c r="P832" s="16">
        <ns0:f>(E832+G832)*(1-'前提と出典'!$B$7)-I832-K832-M832-O832</ns0:f>
        <ns0:v>2309389.3099787957</ns0:v>
      </ns0:c>
      <ns0:c r="Q832" s="16">
        <ns0:f>(F832+H832)*(1-'前提と出典'!$B$7)-J832-L832-N832</ns0:f>
        <ns0:v>712526.6768045733</ns0:v>
      </ns0:c>
      <ns0:c r="R832" s="16">
        <ns0:f>P832-E832*'前提と出典'!$E$4</ns0:f>
        <ns0:v>1684943.2758457528</ns0:v>
      </ns0:c>
      <ns0:c r="S832" s="16">
        <ns0:f>Q832-F832*'前提と出典'!$E$4</ns0:f>
        <ns0:v>531078.6210468216</ns0:v>
      </ns0:c>
      <ns0:c r="T832" s="7">
        <ns0:f>R832+S832</ns0:f>
        <ns0:v>2216021.8968925746</ns0:v>
      </ns0:c>
      <ns0:c r="U832" s="16">
        <ns0:f>P832-E832*'前提と出典'!$E$5</ns0:f>
        <ns0:v>1476794.5978014052</ns0:v>
      </ns0:c>
      <ns0:c r="V832" s="16">
        <ns0:f>Q832-F832*'前提と出典'!$E$5</ns0:f>
        <ns0:v>470595.93579423754</ns0:v>
      </ns0:c>
      <ns0:c r="W832" s="7">
        <ns0:f>U832+V832</ns0:f>
        <ns0:v>1947390.5335956428</ns0:v>
      </ns0:c>
      <ns0:c r="X832" s="16">
        <ns0:f>P832-E832*'前提と出典'!$E$6</ns0:f>
        <ns0:v>1268645.9197570572</ns0:v>
      </ns0:c>
      <ns0:c r="Y832" s="16">
        <ns0:f>Q832-F832*'前提と出典'!$E$6</ns0:f>
        <ns0:v>410113.25054165366</ns0:v>
      </ns0:c>
      <ns0:c r="Z832" s="7">
        <ns0:f>X832+Y832</ns0:f>
        <ns0:v>1678759.170298711</ns0:v>
      </ns0:c>
      <ns0:c r="AA832" s="7">
        <ns0:f>IF(T832&gt;=0,A832,1001)</ns0:f>
        <ns0:v>828</ns0:v>
      </ns0:c>
      <ns0:c r="AB832" s="7">
        <ns0:f>IF(T832&lt;0,A832,0)</ns0:f>
        <ns0:v>0</ns0:v>
      </ns0:c>
      <ns0:c r="AC832" s="16">
        <ns0:f>IF(AND(OR('前提と出典'!$C$36+'前提と出典'!$C$38=0,R832&gt;=0),OR('前提と出典'!$C$37+'前提と出典'!$C$38=0,S832&gt;=0)),0,A832)</ns0:f>
        <ns0:v>0</ns0:v>
      </ns0:c>
      <ns0:c r="AD832" s="7">
        <ns0:f>IF(W832&gt;=0,A832,1001)</ns0:f>
        <ns0:v>828</ns0:v>
      </ns0:c>
      <ns0:c r="AE832" s="7">
        <ns0:f>IF(W832&lt;0,A832,0)</ns0:f>
        <ns0:v>0</ns0:v>
      </ns0:c>
      <ns0:c r="AF832" s="16">
        <ns0:f>IF(AND(OR('前提と出典'!$C$36+'前提と出典'!$C$38=0,U832&gt;=0),OR('前提と出典'!$C$37+'前提と出典'!$C$38=0,V832&gt;=0)),0,A832)</ns0:f>
        <ns0:v>0</ns0:v>
      </ns0:c>
      <ns0:c r="AG832" s="7">
        <ns0:f>IF(Z832&gt;=0,A832,1001)</ns0:f>
        <ns0:v>828</ns0:v>
      </ns0:c>
      <ns0:c r="AH832" s="4">
        <ns0:f>IF(Z832&lt;0,A832,0)</ns0:f>
        <ns0:v>0</ns0:v>
      </ns0:c>
      <ns0:c r="AI832" s="12">
        <ns0:f>IF(AND(OR('前提と出典'!$C$36+'前提と出典'!$C$38=0,X832&gt;=0),OR('前提と出典'!$C$37+'前提と出典'!$C$38=0,Y832&gt;=0)),0,A832)</ns0:f>
        <ns0:v>0</ns0:v>
      </ns0:c>
    </ns0:row>
    <ns0:row r="833" ht="24" customHeight="1">
      <ns0:c r="A833" s="4" t="n">
        <ns0:v>829</ns0:v>
      </ns0:c>
      <ns0:c r="B833" s="12">
        <ns0:f>A833*('前提と出典'!$C$36+'前提と出典'!$C$38)</ns0:f>
        <ns0:v>580.3</ns0:v>
      </ns0:c>
      <ns0:c r="C833" s="12">
        <ns0:f>A833*('前提と出典'!$C$37+'前提と出典'!$C$38)</ns0:f>
        <ns0:v>497.4</ns0:v>
      </ns0:c>
      <ns0:c r="D833" s="16">
        <ns0:f>A833*('前提と出典'!$C$36*'契約別単価'!C5+'前提と出典'!$C$37*'契約別単価'!C6+'前提と出典'!$C$38*'契約別単価'!C7)</ns0:f>
        <ns0:v>5965.094972067039</ns0:v>
      </ns0:c>
      <ns0:c r="E833" s="16">
        <ns0:f>A833*('前提と出典'!$C$36*'契約別単価'!E5+'前提と出典'!$C$37*'契約別単価'!E6+'前提と出典'!$C$38*'契約別単価'!E7)</ns0:f>
        <ns0:v>2084000.653366717</ns0:v>
      </ns0:c>
      <ns0:c r="F833" s="16">
        <ns0:f>A833*('前提と出典'!$C$36*'契約別単価'!F5+'前提と出典'!$C$37*'契約別単価'!F6+'前提と出典'!$C$38*'契約別単価'!F7)</ns0:f>
        <ns0:v>605557.3197390349</ns0:v>
      </ns0:c>
      <ns0:c r="G833" s="16">
        <ns0:f>A833*('前提と出典'!$C$36*'契約別単価'!G5+'前提と出典'!$C$37*'契約別単価'!G6+'前提と出典'!$C$38*'契約別単価'!G7)</ns0:f>
        <ns0:v>1650126.815642458</ns0:v>
      </ns0:c>
      <ns0:c r="H833" s="16">
        <ns0:f>A833*('前提と出典'!$C$36*'契約別単価'!H5+'前提と出典'!$C$37*'契約別単価'!H6+'前提と出典'!$C$38*'契約別単価'!H7)</ns0:f>
        <ns0:v>572676.7653912017</ns0:v>
      </ns0:c>
      <ns0:c r="I833" s="16">
        <ns0:f>A833*('前提と出典'!$C$36*'契約別単価'!I5+'前提と出典'!$C$37*'契約別単価'!I6+'前提と出典'!$C$38*'契約別単価'!I7)</ns0:f>
        <ns0:v>34980.09497206703</ns0:v>
      </ns0:c>
      <ns0:c r="J833" s="16">
        <ns0:f>A833*('前提と出典'!$C$36*'契約別単価'!J5+'前提と出典'!$C$37*'契約別単価'!J6+'前提と出典'!$C$38*'契約別単価'!J7)</ns0:f>
        <ns0:v>81482.03173584082</ns0:v>
      </ns0:c>
      <ns0:c r="K833" s="16">
        <ns0:f>A833*('前提と出典'!$C$36*'契約別単価'!K5+'前提と出典'!$C$37*'契約別単価'!K6+'前提と出典'!$C$38*'契約別単価'!K7)</ns0:f>
        <ns0:v>349260.63314711355</ns0:v>
      </ns0:c>
      <ns0:c r="L833" s="16">
        <ns0:f>A833*('前提と出典'!$C$36*'契約別単価'!L5+'前提と出典'!$C$37*'契約別単価'!L6+'前提と出典'!$C$38*'契約別単価'!L7)</ns0:f>
        <ns0:v>284369.22551304003</ns0:v>
      </ns0:c>
      <ns0:c r="M833" s="16">
        <ns0:f>IF(('前提と出典'!$C$36+'前提と出典'!$C$38)=0,0,IF(B833&lt;=10,'前提と出典'!B73+'前提と出典'!C73,IF(B833&lt;=100,'前提と出典'!B74+'前提と出典'!C74,IF(B833&lt;=500,'前提と出典'!B75+'前提と出典'!C75,'前提と出典'!B76+'前提と出典'!C76))))</ns0:f>
        <ns0:v>80000</ns0:v>
      </ns0:c>
      <ns0:c r="N833" s="16">
        <ns0:f>IF(('前提と出典'!$C$37+'前提と出典'!$C$38)=0,0,IF(C833&lt;=10,'前提と出典'!D73+'前提と出典'!E73,IF(C833&lt;=100,'前提と出典'!D74+'前提と出典'!E74,IF(C833&lt;=500,'前提と出典'!D75+'前提と出典'!E75,'前提と出典'!D76+'前提と出典'!E76))))</ns0:f>
        <ns0:v>56510.9346263078</ns0:v>
      </ns0:c>
      <ns0:c r="O833" s="16">
        <ns0:f>IF('前提と出典'!$C$36+'前提と出典'!$C$38=0,0,'前提と出典'!$B$4*IF('前提と出典'!$B$20=0,MAX('前提と出典'!$B$6,D833*'前提と出典'!$B$5),'前提と出典'!$B$6+D833*'前提と出典'!$B$5))</ns0:f>
        <ns0:v>823183.1061452513</ns0:v>
      </ns0:c>
      <ns0:c r="P833" s="16">
        <ns0:f>(E833+G833)*(1-'前提と出典'!$B$7)-I833-K833-M833-O833</ns0:f>
        <ns0:v>2312275.045860413</ns0:v>
      </ns0:c>
      <ns0:c r="Q833" s="16">
        <ns0:f>(F833+H833)*(1-'前提と出典'!$B$7)-J833-L833-N833</ns0:f>
        <ns0:v>713455.4661903593</ns0:v>
      </ns0:c>
      <ns0:c r="R833" s="16">
        <ns0:f>P833-E833*'前提と出典'!$E$4</ns0:f>
        <ns0:v>1687074.8498503978</ns0:v>
      </ns0:c>
      <ns0:c r="S833" s="16">
        <ns0:f>Q833-F833*'前提と出典'!$E$4</ns0:f>
        <ns0:v>531788.2702686489</ns0:v>
      </ns0:c>
      <ns0:c r="T833" s="7">
        <ns0:f>R833+S833</ns0:f>
        <ns0:v>2218863.1201190464</ns0:v>
      </ns0:c>
      <ns0:c r="U833" s="16">
        <ns0:f>P833-E833*'前提と出典'!$E$5</ns0:f>
        <ns0:v>1478674.7845137261</ns0:v>
      </ns0:c>
      <ns0:c r="V833" s="16">
        <ns0:f>Q833-F833*'前提と出典'!$E$5</ns0:f>
        <ns0:v>471232.5382947454</ns0:v>
      </ns0:c>
      <ns0:c r="W833" s="7">
        <ns0:f>U833+V833</ns0:f>
        <ns0:v>1949907.3228084715</ns0:v>
      </ns0:c>
      <ns0:c r="X833" s="16">
        <ns0:f>P833-E833*'前提と出典'!$E$6</ns0:f>
        <ns0:v>1270274.7191770545</ns0:v>
      </ns0:c>
      <ns0:c r="Y833" s="16">
        <ns0:f>Q833-F833*'前提と出典'!$E$6</ns0:f>
        <ns0:v>410676.80632084195</ns0:v>
      </ns0:c>
      <ns0:c r="Z833" s="7">
        <ns0:f>X833+Y833</ns0:f>
        <ns0:v>1680951.5254978964</ns0:v>
      </ns0:c>
      <ns0:c r="AA833" s="7">
        <ns0:f>IF(T833&gt;=0,A833,1001)</ns0:f>
        <ns0:v>829</ns0:v>
      </ns0:c>
      <ns0:c r="AB833" s="7">
        <ns0:f>IF(T833&lt;0,A833,0)</ns0:f>
        <ns0:v>0</ns0:v>
      </ns0:c>
      <ns0:c r="AC833" s="16">
        <ns0:f>IF(AND(OR('前提と出典'!$C$36+'前提と出典'!$C$38=0,R833&gt;=0),OR('前提と出典'!$C$37+'前提と出典'!$C$38=0,S833&gt;=0)),0,A833)</ns0:f>
        <ns0:v>0</ns0:v>
      </ns0:c>
      <ns0:c r="AD833" s="7">
        <ns0:f>IF(W833&gt;=0,A833,1001)</ns0:f>
        <ns0:v>829</ns0:v>
      </ns0:c>
      <ns0:c r="AE833" s="7">
        <ns0:f>IF(W833&lt;0,A833,0)</ns0:f>
        <ns0:v>0</ns0:v>
      </ns0:c>
      <ns0:c r="AF833" s="16">
        <ns0:f>IF(AND(OR('前提と出典'!$C$36+'前提と出典'!$C$38=0,U833&gt;=0),OR('前提と出典'!$C$37+'前提と出典'!$C$38=0,V833&gt;=0)),0,A833)</ns0:f>
        <ns0:v>0</ns0:v>
      </ns0:c>
      <ns0:c r="AG833" s="7">
        <ns0:f>IF(Z833&gt;=0,A833,1001)</ns0:f>
        <ns0:v>829</ns0:v>
      </ns0:c>
      <ns0:c r="AH833" s="4">
        <ns0:f>IF(Z833&lt;0,A833,0)</ns0:f>
        <ns0:v>0</ns0:v>
      </ns0:c>
      <ns0:c r="AI833" s="12">
        <ns0:f>IF(AND(OR('前提と出典'!$C$36+'前提と出典'!$C$38=0,X833&gt;=0),OR('前提と出典'!$C$37+'前提と出典'!$C$38=0,Y833&gt;=0)),0,A833)</ns0:f>
        <ns0:v>0</ns0:v>
      </ns0:c>
    </ns0:row>
    <ns0:row r="834" ht="24" customHeight="1">
      <ns0:c r="A834" s="4" t="n">
        <ns0:v>830</ns0:v>
      </ns0:c>
      <ns0:c r="B834" s="12">
        <ns0:f>A834*('前提と出典'!$C$36+'前提と出典'!$C$38)</ns0:f>
        <ns0:v>581</ns0:v>
      </ns0:c>
      <ns0:c r="C834" s="12">
        <ns0:f>A834*('前提と出典'!$C$37+'前提と出典'!$C$38)</ns0:f>
        <ns0:v>498</ns0:v>
      </ns0:c>
      <ns0:c r="D834" s="16">
        <ns0:f>A834*('前提と出典'!$C$36*'契約別単価'!C5+'前提と出典'!$C$37*'契約別単価'!C6+'前提と出典'!$C$38*'契約別単価'!C7)</ns0:f>
        <ns0:v>5972.290502793296</ns0:v>
      </ns0:c>
      <ns0:c r="E834" s="16">
        <ns0:f>A834*('前提と出典'!$C$36*'契約別単価'!E5+'前提と出典'!$C$37*'契約別単価'!E6+'前提と出典'!$C$38*'契約別単価'!E7)</ns0:f>
        <ns0:v>2086514.526289958</ns0:v>
      </ns0:c>
      <ns0:c r="F834" s="16">
        <ns0:f>A834*('前提と出典'!$C$36*'契約別単価'!F5+'前提と出典'!$C$37*'契約別単価'!F6+'前提と出典'!$C$38*'契約別単価'!F7)</ns0:f>
        <ns0:v>606287.7869522303</ns0:v>
      </ns0:c>
      <ns0:c r="G834" s="16">
        <ns0:f>A834*('前提と出典'!$C$36*'契約別単価'!G5+'前提と出典'!$C$37*'契約別単価'!G6+'前提と出典'!$C$38*'契約別単価'!G7)</ns0:f>
        <ns0:v>1652117.3184357542</ns0:v>
      </ns0:c>
      <ns0:c r="H834" s="16">
        <ns0:f>A834*('前提と出典'!$C$36*'契約別単価'!H5+'前提と出典'!$C$37*'契約別単価'!H6+'前提と出典'!$C$38*'契約別単価'!H7)</ns0:f>
        <ns0:v>573367.5696920354</ns0:v>
      </ns0:c>
      <ns0:c r="I834" s="16">
        <ns0:f>A834*('前提と出典'!$C$36*'契約別単価'!I5+'前提と出典'!$C$37*'契約別単価'!I6+'前提と出典'!$C$38*'契約別単価'!I7)</ns0:f>
        <ns0:v>35022.29050279329</ns0:v>
      </ns0:c>
      <ns0:c r="J834" s="16">
        <ns0:f>A834*('前提と出典'!$C$36*'契約別単価'!J5+'前提と出典'!$C$37*'契約別単価'!J6+'前提と出典'!$C$38*'契約別単価'!J7)</ns0:f>
        <ns0:v>81580.32127955114</ns0:v>
      </ns0:c>
      <ns0:c r="K834" s="16">
        <ns0:f>A834*('前提と出典'!$C$36*'契約別単価'!K5+'前提と出典'!$C$37*'契約別単価'!K6+'前提と出典'!$C$38*'契約別単価'!K7)</ns0:f>
        <ns0:v>349681.9366852886</ns0:v>
      </ns0:c>
      <ns0:c r="L834" s="16">
        <ns0:f>A834*('前提と出典'!$C$36*'契約別単価'!L5+'前提と出典'!$C$37*'契約別単価'!L6+'前提と出典'!$C$38*'契約別単価'!L7)</ns0:f>
        <ns0:v>284712.25232306786</ns0:v>
      </ns0:c>
      <ns0:c r="M834" s="16">
        <ns0:f>IF(('前提と出典'!$C$36+'前提と出典'!$C$38)=0,0,IF(B834&lt;=10,'前提と出典'!B73+'前提と出典'!C73,IF(B834&lt;=100,'前提と出典'!B74+'前提と出典'!C74,IF(B834&lt;=500,'前提と出典'!B75+'前提と出典'!C75,'前提と出典'!B76+'前提と出典'!C76))))</ns0:f>
        <ns0:v>80000</ns0:v>
      </ns0:c>
      <ns0:c r="N834" s="16">
        <ns0:f>IF(('前提と出典'!$C$37+'前提と出典'!$C$38)=0,0,IF(C834&lt;=10,'前提と出典'!D73+'前提と出典'!E73,IF(C834&lt;=100,'前提と出典'!D74+'前提と出典'!E74,IF(C834&lt;=500,'前提と出典'!D75+'前提と出典'!E75,'前提と出典'!D76+'前提と出典'!E76))))</ns0:f>
        <ns0:v>56510.9346263078</ns0:v>
      </ns0:c>
      <ns0:c r="O834" s="16">
        <ns0:f>IF('前提と出典'!$C$36+'前提と出典'!$C$38=0,0,'前提と出典'!$B$4*IF('前提と出典'!$B$20=0,MAX('前提と出典'!$B$6,D834*'前提と出典'!$B$5),'前提と出典'!$B$6+D834*'前提と出典'!$B$5))</ns0:f>
        <ns0:v>824176.0893854748</ns0:v>
      </ns0:c>
      <ns0:c r="P834" s="16">
        <ns0:f>(E834+G834)*(1-'前提と出典'!$B$7)-I834-K834-M834-O834</ns0:f>
        <ns0:v>2315160.78174203</ns0:v>
      </ns0:c>
      <ns0:c r="Q834" s="16">
        <ns0:f>(F834+H834)*(1-'前提と出典'!$B$7)-J834-L834-N834</ns0:f>
        <ns0:v>714384.2555761455</ns0:v>
      </ns0:c>
      <ns0:c r="R834" s="16">
        <ns0:f>P834-E834*'前提と出典'!$E$4</ns0:f>
        <ns0:v>1689206.4238550428</ns0:v>
      </ns0:c>
      <ns0:c r="S834" s="16">
        <ns0:f>Q834-F834*'前提と出典'!$E$4</ns0:f>
        <ns0:v>532497.9194904764</ns0:v>
      </ns0:c>
      <ns0:c r="T834" s="7">
        <ns0:f>R834+S834</ns0:f>
        <ns0:v>2221704.343345519</ns0:v>
      </ns0:c>
      <ns0:c r="U834" s="16">
        <ns0:f>P834-E834*'前提と出典'!$E$5</ns0:f>
        <ns0:v>1480554.9712260466</ns0:v>
      </ns0:c>
      <ns0:c r="V834" s="16">
        <ns0:f>Q834-F834*'前提と出典'!$E$5</ns0:f>
        <ns0:v>471869.14079525333</ns0:v>
      </ns0:c>
      <ns0:c r="W834" s="7">
        <ns0:f>U834+V834</ns0:f>
        <ns0:v>1952424.1120213</ns0:v>
      </ns0:c>
      <ns0:c r="X834" s="16">
        <ns0:f>P834-E834*'前提と出典'!$E$6</ns0:f>
        <ns0:v>1271903.5185970503</ns0:v>
      </ns0:c>
      <ns0:c r="Y834" s="16">
        <ns0:f>Q834-F834*'前提と出典'!$E$6</ns0:f>
        <ns0:v>411240.3621000304</ns0:v>
      </ns0:c>
      <ns0:c r="Z834" s="7">
        <ns0:f>X834+Y834</ns0:f>
        <ns0:v>1683143.8806970809</ns0:v>
      </ns0:c>
      <ns0:c r="AA834" s="7">
        <ns0:f>IF(T834&gt;=0,A834,1001)</ns0:f>
        <ns0:v>830</ns0:v>
      </ns0:c>
      <ns0:c r="AB834" s="7">
        <ns0:f>IF(T834&lt;0,A834,0)</ns0:f>
        <ns0:v>0</ns0:v>
      </ns0:c>
      <ns0:c r="AC834" s="16">
        <ns0:f>IF(AND(OR('前提と出典'!$C$36+'前提と出典'!$C$38=0,R834&gt;=0),OR('前提と出典'!$C$37+'前提と出典'!$C$38=0,S834&gt;=0)),0,A834)</ns0:f>
        <ns0:v>0</ns0:v>
      </ns0:c>
      <ns0:c r="AD834" s="7">
        <ns0:f>IF(W834&gt;=0,A834,1001)</ns0:f>
        <ns0:v>830</ns0:v>
      </ns0:c>
      <ns0:c r="AE834" s="7">
        <ns0:f>IF(W834&lt;0,A834,0)</ns0:f>
        <ns0:v>0</ns0:v>
      </ns0:c>
      <ns0:c r="AF834" s="16">
        <ns0:f>IF(AND(OR('前提と出典'!$C$36+'前提と出典'!$C$38=0,U834&gt;=0),OR('前提と出典'!$C$37+'前提と出典'!$C$38=0,V834&gt;=0)),0,A834)</ns0:f>
        <ns0:v>0</ns0:v>
      </ns0:c>
      <ns0:c r="AG834" s="7">
        <ns0:f>IF(Z834&gt;=0,A834,1001)</ns0:f>
        <ns0:v>830</ns0:v>
      </ns0:c>
      <ns0:c r="AH834" s="4">
        <ns0:f>IF(Z834&lt;0,A834,0)</ns0:f>
        <ns0:v>0</ns0:v>
      </ns0:c>
      <ns0:c r="AI834" s="12">
        <ns0:f>IF(AND(OR('前提と出典'!$C$36+'前提と出典'!$C$38=0,X834&gt;=0),OR('前提と出典'!$C$37+'前提と出典'!$C$38=0,Y834&gt;=0)),0,A834)</ns0:f>
        <ns0:v>0</ns0:v>
      </ns0:c>
    </ns0:row>
    <ns0:row r="835" ht="24" customHeight="1">
      <ns0:c r="A835" s="4" t="n">
        <ns0:v>831</ns0:v>
      </ns0:c>
      <ns0:c r="B835" s="12">
        <ns0:f>A835*('前提と出典'!$C$36+'前提と出典'!$C$38)</ns0:f>
        <ns0:v>581.6999999999999</ns0:v>
      </ns0:c>
      <ns0:c r="C835" s="12">
        <ns0:f>A835*('前提と出典'!$C$37+'前提と出典'!$C$38)</ns0:f>
        <ns0:v>498.59999999999997</ns0:v>
      </ns0:c>
      <ns0:c r="D835" s="16">
        <ns0:f>A835*('前提と出典'!$C$36*'契約別単価'!C5+'前提と出典'!$C$37*'契約別単価'!C6+'前提と出典'!$C$38*'契約別単価'!C7)</ns0:f>
        <ns0:v>5979.486033519553</ns0:v>
      </ns0:c>
      <ns0:c r="E835" s="16">
        <ns0:f>A835*('前提と出典'!$C$36*'契約別単価'!E5+'前提と出典'!$C$37*'契約別単価'!E6+'前提と出典'!$C$38*'契約別単価'!E7)</ns0:f>
        <ns0:v>2089028.3992131988</ns0:v>
      </ns0:c>
      <ns0:c r="F835" s="16">
        <ns0:f>A835*('前提と出典'!$C$36*'契約別単価'!F5+'前提と出典'!$C$37*'契約別単価'!F6+'前提と出典'!$C$38*'契約別単価'!F7)</ns0:f>
        <ns0:v>607018.2541654258</ns0:v>
      </ns0:c>
      <ns0:c r="G835" s="16">
        <ns0:f>A835*('前提と出典'!$C$36*'契約別単価'!G5+'前提と出典'!$C$37*'契約別単価'!G6+'前提と出典'!$C$38*'契約別単価'!G7)</ns0:f>
        <ns0:v>1654107.8212290502</ns0:v>
      </ns0:c>
      <ns0:c r="H835" s="16">
        <ns0:f>A835*('前提と出典'!$C$36*'契約別単価'!H5+'前提と出典'!$C$37*'契約別単価'!H6+'前提と出典'!$C$38*'契約別単価'!H7)</ns0:f>
        <ns0:v>574058.3739928693</ns0:v>
      </ns0:c>
      <ns0:c r="I835" s="16">
        <ns0:f>A835*('前提と出典'!$C$36*'契約別単価'!I5+'前提と出典'!$C$37*'契約別単価'!I6+'前提と出典'!$C$38*'契約別単価'!I7)</ns0:f>
        <ns0:v>35064.48603351955</ns0:v>
      </ns0:c>
      <ns0:c r="J835" s="16">
        <ns0:f>A835*('前提と出典'!$C$36*'契約別単価'!J5+'前提と出典'!$C$37*'契約別単価'!J6+'前提と出典'!$C$38*'契約別単価'!J7)</ns0:f>
        <ns0:v>81678.61082326144</ns0:v>
      </ns0:c>
      <ns0:c r="K835" s="16">
        <ns0:f>A835*('前提と出典'!$C$36*'契約別単価'!K5+'前提と出典'!$C$37*'契約別単価'!K6+'前提と出典'!$C$38*'契約別単価'!K7)</ns0:f>
        <ns0:v>350103.2402234637</ns0:v>
      </ns0:c>
      <ns0:c r="L835" s="16">
        <ns0:f>A835*('前提と出典'!$C$36*'契約別単価'!L5+'前提と出典'!$C$37*'契約別単価'!L6+'前提と出典'!$C$38*'契約別単価'!L7)</ns0:f>
        <ns0:v>285055.27913309564</ns0:v>
      </ns0:c>
      <ns0:c r="M835" s="16">
        <ns0:f>IF(('前提と出典'!$C$36+'前提と出典'!$C$38)=0,0,IF(B835&lt;=10,'前提と出典'!B73+'前提と出典'!C73,IF(B835&lt;=100,'前提と出典'!B74+'前提と出典'!C74,IF(B835&lt;=500,'前提と出典'!B75+'前提と出典'!C75,'前提と出典'!B76+'前提と出典'!C76))))</ns0:f>
        <ns0:v>80000</ns0:v>
      </ns0:c>
      <ns0:c r="N835" s="16">
        <ns0:f>IF(('前提と出典'!$C$37+'前提と出典'!$C$38)=0,0,IF(C835&lt;=10,'前提と出典'!D73+'前提と出典'!E73,IF(C835&lt;=100,'前提と出典'!D74+'前提と出典'!E74,IF(C835&lt;=500,'前提と出典'!D75+'前提と出典'!E75,'前提と出典'!D76+'前提と出典'!E76))))</ns0:f>
        <ns0:v>56510.9346263078</ns0:v>
      </ns0:c>
      <ns0:c r="O835" s="16">
        <ns0:f>IF('前提と出典'!$C$36+'前提と出典'!$C$38=0,0,'前提と出典'!$B$4*IF('前提と出典'!$B$20=0,MAX('前提と出典'!$B$6,D835*'前提と出典'!$B$5),'前提と出典'!$B$6+D835*'前提と出典'!$B$5))</ns0:f>
        <ns0:v>825169.0726256983</ns0:v>
      </ns0:c>
      <ns0:c r="P835" s="16">
        <ns0:f>(E835+G835)*(1-'前提と出典'!$B$7)-I835-K835-M835-O835</ns0:f>
        <ns0:v>2318046.5176236467</ns0:v>
      </ns0:c>
      <ns0:c r="Q835" s="16">
        <ns0:f>(F835+H835)*(1-'前提と出典'!$B$7)-J835-L835-N835</ns0:f>
        <ns0:v>715313.0449619315</ns0:v>
      </ns0:c>
      <ns0:c r="R835" s="16">
        <ns0:f>P835-E835*'前提と出典'!$E$4</ns0:f>
        <ns0:v>1691337.9978596868</ns0:v>
      </ns0:c>
      <ns0:c r="S835" s="16">
        <ns0:f>Q835-F835*'前提と出典'!$E$4</ns0:f>
        <ns0:v>533207.5687123038</ns0:v>
      </ns0:c>
      <ns0:c r="T835" s="7">
        <ns0:f>R835+S835</ns0:f>
        <ns0:v>2224545.5665719905</ns0:v>
      </ns0:c>
      <ns0:c r="U835" s="16">
        <ns0:f>P835-E835*'前提と出典'!$E$5</ns0:f>
        <ns0:v>1482435.157938367</ns0:v>
      </ns0:c>
      <ns0:c r="V835" s="16">
        <ns0:f>Q835-F835*'前提と出典'!$E$5</ns0:f>
        <ns0:v>472505.7432957612</ns0:v>
      </ns0:c>
      <ns0:c r="W835" s="7">
        <ns0:f>U835+V835</ns0:f>
        <ns0:v>1954940.901234128</ns0:v>
      </ns0:c>
      <ns0:c r="X835" s="16">
        <ns0:f>P835-E835*'前提と出典'!$E$6</ns0:f>
        <ns0:v>1273532.3180170471</ns0:v>
      </ns0:c>
      <ns0:c r="Y835" s="16">
        <ns0:f>Q835-F835*'前提と出典'!$E$6</ns0:f>
        <ns0:v>411803.9178792186</ns0:v>
      </ns0:c>
      <ns0:c r="Z835" s="7">
        <ns0:f>X835+Y835</ns0:f>
        <ns0:v>1685336.2358962656</ns0:v>
      </ns0:c>
      <ns0:c r="AA835" s="7">
        <ns0:f>IF(T835&gt;=0,A835,1001)</ns0:f>
        <ns0:v>831</ns0:v>
      </ns0:c>
      <ns0:c r="AB835" s="7">
        <ns0:f>IF(T835&lt;0,A835,0)</ns0:f>
        <ns0:v>0</ns0:v>
      </ns0:c>
      <ns0:c r="AC835" s="16">
        <ns0:f>IF(AND(OR('前提と出典'!$C$36+'前提と出典'!$C$38=0,R835&gt;=0),OR('前提と出典'!$C$37+'前提と出典'!$C$38=0,S835&gt;=0)),0,A835)</ns0:f>
        <ns0:v>0</ns0:v>
      </ns0:c>
      <ns0:c r="AD835" s="7">
        <ns0:f>IF(W835&gt;=0,A835,1001)</ns0:f>
        <ns0:v>831</ns0:v>
      </ns0:c>
      <ns0:c r="AE835" s="7">
        <ns0:f>IF(W835&lt;0,A835,0)</ns0:f>
        <ns0:v>0</ns0:v>
      </ns0:c>
      <ns0:c r="AF835" s="16">
        <ns0:f>IF(AND(OR('前提と出典'!$C$36+'前提と出典'!$C$38=0,U835&gt;=0),OR('前提と出典'!$C$37+'前提と出典'!$C$38=0,V835&gt;=0)),0,A835)</ns0:f>
        <ns0:v>0</ns0:v>
      </ns0:c>
      <ns0:c r="AG835" s="7">
        <ns0:f>IF(Z835&gt;=0,A835,1001)</ns0:f>
        <ns0:v>831</ns0:v>
      </ns0:c>
      <ns0:c r="AH835" s="4">
        <ns0:f>IF(Z835&lt;0,A835,0)</ns0:f>
        <ns0:v>0</ns0:v>
      </ns0:c>
      <ns0:c r="AI835" s="12">
        <ns0:f>IF(AND(OR('前提と出典'!$C$36+'前提と出典'!$C$38=0,X835&gt;=0),OR('前提と出典'!$C$37+'前提と出典'!$C$38=0,Y835&gt;=0)),0,A835)</ns0:f>
        <ns0:v>0</ns0:v>
      </ns0:c>
    </ns0:row>
    <ns0:row r="836" ht="24" customHeight="1">
      <ns0:c r="A836" s="4" t="n">
        <ns0:v>832</ns0:v>
      </ns0:c>
      <ns0:c r="B836" s="12">
        <ns0:f>A836*('前提と出典'!$C$36+'前提と出典'!$C$38)</ns0:f>
        <ns0:v>582.4</ns0:v>
      </ns0:c>
      <ns0:c r="C836" s="12">
        <ns0:f>A836*('前提と出典'!$C$37+'前提と出典'!$C$38)</ns0:f>
        <ns0:v>499.2</ns0:v>
      </ns0:c>
      <ns0:c r="D836" s="16">
        <ns0:f>A836*('前提と出典'!$C$36*'契約別単価'!C5+'前提と出典'!$C$37*'契約別単価'!C6+'前提と出典'!$C$38*'契約別単価'!C7)</ns0:f>
        <ns0:v>5986.68156424581</ns0:v>
      </ns0:c>
      <ns0:c r="E836" s="16">
        <ns0:f>A836*('前提と出典'!$C$36*'契約別単価'!E5+'前提と出典'!$C$37*'契約別単価'!E6+'前提と出典'!$C$38*'契約別単価'!E7)</ns0:f>
        <ns0:v>2091542.2721364398</ns0:v>
      </ns0:c>
      <ns0:c r="F836" s="16">
        <ns0:f>A836*('前提と出典'!$C$36*'契約別単価'!F5+'前提と出典'!$C$37*'契約別単価'!F6+'前提と出典'!$C$38*'契約別単価'!F7)</ns0:f>
        <ns0:v>607748.7213786212</ns0:v>
      </ns0:c>
      <ns0:c r="G836" s="16">
        <ns0:f>A836*('前提と出典'!$C$36*'契約別単価'!G5+'前提と出典'!$C$37*'契約別単価'!G6+'前提と出典'!$C$38*'契約別単価'!G7)</ns0:f>
        <ns0:v>1656098.3240223462</ns0:v>
      </ns0:c>
      <ns0:c r="H836" s="16">
        <ns0:f>A836*('前提と出典'!$C$36*'契約別単価'!H5+'前提と出典'!$C$37*'契約別単価'!H6+'前提と出典'!$C$38*'契約別単価'!H7)</ns0:f>
        <ns0:v>574749.178293703</ns0:v>
      </ns0:c>
      <ns0:c r="I836" s="16">
        <ns0:f>A836*('前提と出典'!$C$36*'契約別単価'!I5+'前提と出典'!$C$37*'契約別単価'!I6+'前提と出典'!$C$38*'契約別単価'!I7)</ns0:f>
        <ns0:v>35106.6815642458</ns0:v>
      </ns0:c>
      <ns0:c r="J836" s="16">
        <ns0:f>A836*('前提と出典'!$C$36*'契約別単価'!J5+'前提と出典'!$C$37*'契約別単価'!J6+'前提と出典'!$C$38*'契約別単価'!J7)</ns0:f>
        <ns0:v>81776.90036697173</ns0:v>
      </ns0:c>
      <ns0:c r="K836" s="16">
        <ns0:f>A836*('前提と出典'!$C$36*'契約別単価'!K5+'前提と出典'!$C$37*'契約別単価'!K6+'前提と出典'!$C$38*'契約別単価'!K7)</ns0:f>
        <ns0:v>350524.5437616387</ns0:v>
      </ns0:c>
      <ns0:c r="L836" s="16">
        <ns0:f>A836*('前提と出典'!$C$36*'契約別単価'!L5+'前提と出典'!$C$37*'契約別単価'!L6+'前提と出典'!$C$38*'契約別単価'!L7)</ns0:f>
        <ns0:v>285398.3059431234</ns0:v>
      </ns0:c>
      <ns0:c r="M836" s="16">
        <ns0:f>IF(('前提と出典'!$C$36+'前提と出典'!$C$38)=0,0,IF(B836&lt;=10,'前提と出典'!B73+'前提と出典'!C73,IF(B836&lt;=100,'前提と出典'!B74+'前提と出典'!C74,IF(B836&lt;=500,'前提と出典'!B75+'前提と出典'!C75,'前提と出典'!B76+'前提と出典'!C76))))</ns0:f>
        <ns0:v>80000</ns0:v>
      </ns0:c>
      <ns0:c r="N836" s="16">
        <ns0:f>IF(('前提と出典'!$C$37+'前提と出典'!$C$38)=0,0,IF(C836&lt;=10,'前提と出典'!D73+'前提と出典'!E73,IF(C836&lt;=100,'前提と出典'!D74+'前提と出典'!E74,IF(C836&lt;=500,'前提と出典'!D75+'前提と出典'!E75,'前提と出典'!D76+'前提と出典'!E76))))</ns0:f>
        <ns0:v>56510.9346263078</ns0:v>
      </ns0:c>
      <ns0:c r="O836" s="16">
        <ns0:f>IF('前提と出典'!$C$36+'前提と出典'!$C$38=0,0,'前提と出典'!$B$4*IF('前提と出典'!$B$20=0,MAX('前提と出典'!$B$6,D836*'前提と出典'!$B$5),'前提と出典'!$B$6+D836*'前提と出典'!$B$5))</ns0:f>
        <ns0:v>826162.0558659218</ns0:v>
      </ns0:c>
      <ns0:c r="P836" s="16">
        <ns0:f>(E836+G836)*(1-'前提と出典'!$B$7)-I836-K836-M836-O836</ns0:f>
        <ns0:v>2320932.253505263</ns0:v>
      </ns0:c>
      <ns0:c r="Q836" s="16">
        <ns0:f>(F836+H836)*(1-'前提と出典'!$B$7)-J836-L836-N836</ns0:f>
        <ns0:v>716241.8343477177</ns0:v>
      </ns0:c>
      <ns0:c r="R836" s="16">
        <ns0:f>P836-E836*'前提と出典'!$E$4</ns0:f>
        <ns0:v>1693469.5718643314</ns0:v>
      </ns0:c>
      <ns0:c r="S836" s="16">
        <ns0:f>Q836-F836*'前提と出典'!$E$4</ns0:f>
        <ns0:v>533917.2179341314</ns0:v>
      </ns0:c>
      <ns0:c r="T836" s="7">
        <ns0:f>R836+S836</ns0:f>
        <ns0:v>2227386.7897984628</ns0:v>
      </ns0:c>
      <ns0:c r="U836" s="16">
        <ns0:f>P836-E836*'前提と出典'!$E$5</ns0:f>
        <ns0:v>1484315.344650687</ns0:v>
      </ns0:c>
      <ns0:c r="V836" s="16">
        <ns0:f>Q836-F836*'前提と出典'!$E$5</ns0:f>
        <ns0:v>473142.34579626925</ns0:v>
      </ns0:c>
      <ns0:c r="W836" s="7">
        <ns0:f>U836+V836</ns0:f>
        <ns0:v>1957457.690446956</ns0:v>
      </ns0:c>
      <ns0:c r="X836" s="16">
        <ns0:f>P836-E836*'前提と出典'!$E$6</ns0:f>
        <ns0:v>1275161.1174370435</ns0:v>
      </ns0:c>
      <ns0:c r="Y836" s="16">
        <ns0:f>Q836-F836*'前提と出典'!$E$6</ns0:f>
        <ns0:v>412367.4736584071</ns0:v>
      </ns0:c>
      <ns0:c r="Z836" s="7">
        <ns0:f>X836+Y836</ns0:f>
        <ns0:v>1687528.5910954506</ns0:v>
      </ns0:c>
      <ns0:c r="AA836" s="7">
        <ns0:f>IF(T836&gt;=0,A836,1001)</ns0:f>
        <ns0:v>832</ns0:v>
      </ns0:c>
      <ns0:c r="AB836" s="7">
        <ns0:f>IF(T836&lt;0,A836,0)</ns0:f>
        <ns0:v>0</ns0:v>
      </ns0:c>
      <ns0:c r="AC836" s="16">
        <ns0:f>IF(AND(OR('前提と出典'!$C$36+'前提と出典'!$C$38=0,R836&gt;=0),OR('前提と出典'!$C$37+'前提と出典'!$C$38=0,S836&gt;=0)),0,A836)</ns0:f>
        <ns0:v>0</ns0:v>
      </ns0:c>
      <ns0:c r="AD836" s="7">
        <ns0:f>IF(W836&gt;=0,A836,1001)</ns0:f>
        <ns0:v>832</ns0:v>
      </ns0:c>
      <ns0:c r="AE836" s="7">
        <ns0:f>IF(W836&lt;0,A836,0)</ns0:f>
        <ns0:v>0</ns0:v>
      </ns0:c>
      <ns0:c r="AF836" s="16">
        <ns0:f>IF(AND(OR('前提と出典'!$C$36+'前提と出典'!$C$38=0,U836&gt;=0),OR('前提と出典'!$C$37+'前提と出典'!$C$38=0,V836&gt;=0)),0,A836)</ns0:f>
        <ns0:v>0</ns0:v>
      </ns0:c>
      <ns0:c r="AG836" s="7">
        <ns0:f>IF(Z836&gt;=0,A836,1001)</ns0:f>
        <ns0:v>832</ns0:v>
      </ns0:c>
      <ns0:c r="AH836" s="4">
        <ns0:f>IF(Z836&lt;0,A836,0)</ns0:f>
        <ns0:v>0</ns0:v>
      </ns0:c>
      <ns0:c r="AI836" s="12">
        <ns0:f>IF(AND(OR('前提と出典'!$C$36+'前提と出典'!$C$38=0,X836&gt;=0),OR('前提と出典'!$C$37+'前提と出典'!$C$38=0,Y836&gt;=0)),0,A836)</ns0:f>
        <ns0:v>0</ns0:v>
      </ns0:c>
    </ns0:row>
    <ns0:row r="837" ht="24" customHeight="1">
      <ns0:c r="A837" s="4" t="n">
        <ns0:v>833</ns0:v>
      </ns0:c>
      <ns0:c r="B837" s="12">
        <ns0:f>A837*('前提と出典'!$C$36+'前提と出典'!$C$38)</ns0:f>
        <ns0:v>583.0999999999999</ns0:v>
      </ns0:c>
      <ns0:c r="C837" s="12">
        <ns0:f>A837*('前提と出典'!$C$37+'前提と出典'!$C$38)</ns0:f>
        <ns0:v>499.79999999999995</ns0:v>
      </ns0:c>
      <ns0:c r="D837" s="16">
        <ns0:f>A837*('前提と出典'!$C$36*'契約別単価'!C5+'前提と出典'!$C$37*'契約別単価'!C6+'前提と出典'!$C$38*'契約別単価'!C7)</ns0:f>
        <ns0:v>5993.877094972067</ns0:v>
      </ns0:c>
      <ns0:c r="E837" s="16">
        <ns0:f>A837*('前提と出典'!$C$36*'契約別単価'!E5+'前提と出典'!$C$37*'契約別単価'!E6+'前提と出典'!$C$38*'契約別単価'!E7)</ns0:f>
        <ns0:v>2094056.1450596808</ns0:v>
      </ns0:c>
      <ns0:c r="F837" s="16">
        <ns0:f>A837*('前提と出典'!$C$36*'契約別単価'!F5+'前提と出典'!$C$37*'契約別単価'!F6+'前提と出典'!$C$38*'契約別単価'!F7)</ns0:f>
        <ns0:v>608479.1885918167</ns0:v>
      </ns0:c>
      <ns0:c r="G837" s="16">
        <ns0:f>A837*('前提と出典'!$C$36*'契約別単価'!G5+'前提と出典'!$C$37*'契約別単価'!G6+'前提と出典'!$C$38*'契約別単価'!G7)</ns0:f>
        <ns0:v>1658088.8268156424</ns0:v>
      </ns0:c>
      <ns0:c r="H837" s="16">
        <ns0:f>A837*('前提と出典'!$C$36*'契約別単価'!H5+'前提と出典'!$C$37*'契約別単価'!H6+'前提と出典'!$C$38*'契約別単価'!H7)</ns0:f>
        <ns0:v>575439.9825945369</ns0:v>
      </ns0:c>
      <ns0:c r="I837" s="16">
        <ns0:f>A837*('前提と出典'!$C$36*'契約別単価'!I5+'前提と出典'!$C$37*'契約別単価'!I6+'前提と出典'!$C$38*'契約別単価'!I7)</ns0:f>
        <ns0:v>35148.877094972064</ns0:v>
      </ns0:c>
      <ns0:c r="J837" s="16">
        <ns0:f>A837*('前提と出典'!$C$36*'契約別単価'!J5+'前提と出典'!$C$37*'契約別単価'!J6+'前提と出典'!$C$38*'契約別単価'!J7)</ns0:f>
        <ns0:v>81875.18991068203</ns0:v>
      </ns0:c>
      <ns0:c r="K837" s="16">
        <ns0:f>A837*('前提と出典'!$C$36*'契約別単価'!K5+'前提と出典'!$C$37*'契約別単価'!K6+'前提と出典'!$C$38*'契約別単価'!K7)</ns0:f>
        <ns0:v>350945.84729981376</ns0:v>
      </ns0:c>
      <ns0:c r="L837" s="16">
        <ns0:f>A837*('前提と出典'!$C$36*'契約別単価'!L5+'前提と出典'!$C$37*'契約別単価'!L6+'前提と出典'!$C$38*'契約別単価'!L7)</ns0:f>
        <ns0:v>285741.3327531512</ns0:v>
      </ns0:c>
      <ns0:c r="M837" s="16">
        <ns0:f>IF(('前提と出典'!$C$36+'前提と出典'!$C$38)=0,0,IF(B837&lt;=10,'前提と出典'!B73+'前提と出典'!C73,IF(B837&lt;=100,'前提と出典'!B74+'前提と出典'!C74,IF(B837&lt;=500,'前提と出典'!B75+'前提と出典'!C75,'前提と出典'!B76+'前提と出典'!C76))))</ns0:f>
        <ns0:v>80000</ns0:v>
      </ns0:c>
      <ns0:c r="N837" s="16">
        <ns0:f>IF(('前提と出典'!$C$37+'前提と出典'!$C$38)=0,0,IF(C837&lt;=10,'前提と出典'!D73+'前提と出典'!E73,IF(C837&lt;=100,'前提と出典'!D74+'前提と出典'!E74,IF(C837&lt;=500,'前提と出典'!D75+'前提と出典'!E75,'前提と出典'!D76+'前提と出典'!E76))))</ns0:f>
        <ns0:v>56510.9346263078</ns0:v>
      </ns0:c>
      <ns0:c r="O837" s="16">
        <ns0:f>IF('前提と出典'!$C$36+'前提と出典'!$C$38=0,0,'前提と出典'!$B$4*IF('前提と出典'!$B$20=0,MAX('前提と出典'!$B$6,D837*'前提と出典'!$B$5),'前提と出典'!$B$6+D837*'前提と出典'!$B$5))</ns0:f>
        <ns0:v>827155.0391061454</ns0:v>
      </ns0:c>
      <ns0:c r="P837" s="16">
        <ns0:f>(E837+G837)*(1-'前提と出典'!$B$7)-I837-K837-M837-O837</ns0:f>
        <ns0:v>2323817.9893868803</ns0:v>
      </ns0:c>
      <ns0:c r="Q837" s="16">
        <ns0:f>(F837+H837)*(1-'前提と出典'!$B$7)-J837-L837-N837</ns0:f>
        <ns0:v>717170.6237335037</ns0:v>
      </ns0:c>
      <ns0:c r="R837" s="16">
        <ns0:f>P837-E837*'前提と出典'!$E$4</ns0:f>
        <ns0:v>1695601.1458689761</ns0:v>
      </ns0:c>
      <ns0:c r="S837" s="16">
        <ns0:f>Q837-F837*'前提と出典'!$E$4</ns0:f>
        <ns0:v>534626.8671559588</ns0:v>
      </ns0:c>
      <ns0:c r="T837" s="7">
        <ns0:f>R837+S837</ns0:f>
        <ns0:v>2230228.013024935</ns0:v>
      </ns0:c>
      <ns0:c r="U837" s="16">
        <ns0:f>P837-E837*'前提と出典'!$E$5</ns0:f>
        <ns0:v>1486195.531363008</ns0:v>
      </ns0:c>
      <ns0:c r="V837" s="16">
        <ns0:f>Q837-F837*'前提と出典'!$E$5</ns0:f>
        <ns0:v>473778.9482967771</ns0:v>
      </ns0:c>
      <ns0:c r="W837" s="7">
        <ns0:f>U837+V837</ns0:f>
        <ns0:v>1959974.479659785</ns0:v>
      </ns0:c>
      <ns0:c r="X837" s="16">
        <ns0:f>P837-E837*'前提と出典'!$E$6</ns0:f>
        <ns0:v>1276789.91685704</ns0:v>
      </ns0:c>
      <ns0:c r="Y837" s="16">
        <ns0:f>Q837-F837*'前提と出典'!$E$6</ns0:f>
        <ns0:v>412931.0294375954</ns0:v>
      </ns0:c>
      <ns0:c r="Z837" s="7">
        <ns0:f>X837+Y837</ns0:f>
        <ns0:v>1689720.9462946355</ns0:v>
      </ns0:c>
      <ns0:c r="AA837" s="7">
        <ns0:f>IF(T837&gt;=0,A837,1001)</ns0:f>
        <ns0:v>833</ns0:v>
      </ns0:c>
      <ns0:c r="AB837" s="7">
        <ns0:f>IF(T837&lt;0,A837,0)</ns0:f>
        <ns0:v>0</ns0:v>
      </ns0:c>
      <ns0:c r="AC837" s="16">
        <ns0:f>IF(AND(OR('前提と出典'!$C$36+'前提と出典'!$C$38=0,R837&gt;=0),OR('前提と出典'!$C$37+'前提と出典'!$C$38=0,S837&gt;=0)),0,A837)</ns0:f>
        <ns0:v>0</ns0:v>
      </ns0:c>
      <ns0:c r="AD837" s="7">
        <ns0:f>IF(W837&gt;=0,A837,1001)</ns0:f>
        <ns0:v>833</ns0:v>
      </ns0:c>
      <ns0:c r="AE837" s="7">
        <ns0:f>IF(W837&lt;0,A837,0)</ns0:f>
        <ns0:v>0</ns0:v>
      </ns0:c>
      <ns0:c r="AF837" s="16">
        <ns0:f>IF(AND(OR('前提と出典'!$C$36+'前提と出典'!$C$38=0,U837&gt;=0),OR('前提と出典'!$C$37+'前提と出典'!$C$38=0,V837&gt;=0)),0,A837)</ns0:f>
        <ns0:v>0</ns0:v>
      </ns0:c>
      <ns0:c r="AG837" s="7">
        <ns0:f>IF(Z837&gt;=0,A837,1001)</ns0:f>
        <ns0:v>833</ns0:v>
      </ns0:c>
      <ns0:c r="AH837" s="4">
        <ns0:f>IF(Z837&lt;0,A837,0)</ns0:f>
        <ns0:v>0</ns0:v>
      </ns0:c>
      <ns0:c r="AI837" s="12">
        <ns0:f>IF(AND(OR('前提と出典'!$C$36+'前提と出典'!$C$38=0,X837&gt;=0),OR('前提と出典'!$C$37+'前提と出典'!$C$38=0,Y837&gt;=0)),0,A837)</ns0:f>
        <ns0:v>0</ns0:v>
      </ns0:c>
    </ns0:row>
    <ns0:row r="838" ht="24" customHeight="1">
      <ns0:c r="A838" s="4" t="n">
        <ns0:v>834</ns0:v>
      </ns0:c>
      <ns0:c r="B838" s="12">
        <ns0:f>A838*('前提と出典'!$C$36+'前提と出典'!$C$38)</ns0:f>
        <ns0:v>583.8</ns0:v>
      </ns0:c>
      <ns0:c r="C838" s="12">
        <ns0:f>A838*('前提と出典'!$C$37+'前提と出典'!$C$38)</ns0:f>
        <ns0:v>500.4</ns0:v>
      </ns0:c>
      <ns0:c r="D838" s="16">
        <ns0:f>A838*('前提と出典'!$C$36*'契約別単価'!C5+'前提と出典'!$C$37*'契約別単価'!C6+'前提と出典'!$C$38*'契約別単価'!C7)</ns0:f>
        <ns0:v>6001.072625698324</ns0:v>
      </ns0:c>
      <ns0:c r="E838" s="16">
        <ns0:f>A838*('前提と出典'!$C$36*'契約別単価'!E5+'前提と出典'!$C$37*'契約別単価'!E6+'前提と出典'!$C$38*'契約別単価'!E7)</ns0:f>
        <ns0:v>2096570.0179829216</ns0:v>
      </ns0:c>
      <ns0:c r="F838" s="16">
        <ns0:f>A838*('前提と出典'!$C$36*'契約別単価'!F5+'前提と出典'!$C$37*'契約別単価'!F6+'前提と出典'!$C$38*'契約別単価'!F7)</ns0:f>
        <ns0:v>609209.6558050121</ns0:v>
      </ns0:c>
      <ns0:c r="G838" s="16">
        <ns0:f>A838*('前提と出典'!$C$36*'契約別単価'!G5+'前提と出典'!$C$37*'契約別単価'!G6+'前提と出典'!$C$38*'契約別単価'!G7)</ns0:f>
        <ns0:v>1660079.3296089384</ns0:v>
      </ns0:c>
      <ns0:c r="H838" s="16">
        <ns0:f>A838*('前提と出典'!$C$36*'契約別単価'!H5+'前提と出典'!$C$37*'契約別単価'!H6+'前提と出典'!$C$38*'契約別単価'!H7)</ns0:f>
        <ns0:v>576130.7868953706</ns0:v>
      </ns0:c>
      <ns0:c r="I838" s="16">
        <ns0:f>A838*('前提と出典'!$C$36*'契約別単価'!I5+'前提と出典'!$C$37*'契約別単価'!I6+'前提と出典'!$C$38*'契約別単価'!I7)</ns0:f>
        <ns0:v>35191.07262569832</ns0:v>
      </ns0:c>
      <ns0:c r="J838" s="16">
        <ns0:f>A838*('前提と出典'!$C$36*'契約別単価'!J5+'前提と出典'!$C$37*'契約別単価'!J6+'前提と出典'!$C$38*'契約別単価'!J7)</ns0:f>
        <ns0:v>81973.47945439233</ns0:v>
      </ns0:c>
      <ns0:c r="K838" s="16">
        <ns0:f>A838*('前提と出典'!$C$36*'契約別単価'!K5+'前提と出典'!$C$37*'契約別単価'!K6+'前提と出典'!$C$38*'契約別単価'!K7)</ns0:f>
        <ns0:v>351367.1508379888</ns0:v>
      </ns0:c>
      <ns0:c r="L838" s="16">
        <ns0:f>A838*('前提と出典'!$C$36*'契約別単価'!L5+'前提と出典'!$C$37*'契約別単価'!L6+'前提と出典'!$C$38*'契約別単価'!L7)</ns0:f>
        <ns0:v>286084.359563179</ns0:v>
      </ns0:c>
      <ns0:c r="M838" s="16">
        <ns0:f>IF(('前提と出典'!$C$36+'前提と出典'!$C$38)=0,0,IF(B838&lt;=10,'前提と出典'!B73+'前提と出典'!C73,IF(B838&lt;=100,'前提と出典'!B74+'前提と出典'!C74,IF(B838&lt;=500,'前提と出典'!B75+'前提と出典'!C75,'前提と出典'!B76+'前提と出典'!C76))))</ns0:f>
        <ns0:v>80000</ns0:v>
      </ns0:c>
      <ns0:c r="N838" s="16">
        <ns0:f>IF(('前提と出典'!$C$37+'前提と出典'!$C$38)=0,0,IF(C838&lt;=10,'前提と出典'!D73+'前提と出典'!E73,IF(C838&lt;=100,'前提と出典'!D74+'前提と出典'!E74,IF(C838&lt;=500,'前提と出典'!D75+'前提と出典'!E75,'前提と出典'!D76+'前提と出典'!E76))))</ns0:f>
        <ns0:v>86510.9346263078</ns0:v>
      </ns0:c>
      <ns0:c r="O838" s="16">
        <ns0:f>IF('前提と出典'!$C$36+'前提と出典'!$C$38=0,0,'前提と出典'!$B$4*IF('前提と出典'!$B$20=0,MAX('前提と出典'!$B$6,D838*'前提と出典'!$B$5),'前提と出典'!$B$6+D838*'前提と出典'!$B$5))</ns0:f>
        <ns0:v>828148.0223463689</ns0:v>
      </ns0:c>
      <ns0:c r="P838" s="16">
        <ns0:f>(E838+G838)*(1-'前提と出典'!$B$7)-I838-K838-M838-O838</ns0:f>
        <ns0:v>2326703.725268497</ns0:v>
      </ns0:c>
      <ns0:c r="Q838" s="16">
        <ns0:f>(F838+H838)*(1-'前提と出典'!$B$7)-J838-L838-N838</ns0:f>
        <ns0:v>688099.4131192899</ns0:v>
      </ns0:c>
      <ns0:c r="R838" s="16">
        <ns0:f>P838-E838*'前提と出典'!$E$4</ns0:f>
        <ns0:v>1697732.7198736202</ns0:v>
      </ns0:c>
      <ns0:c r="S838" s="16">
        <ns0:f>Q838-F838*'前提と出典'!$E$4</ns0:f>
        <ns0:v>505336.5163777862</ns0:v>
      </ns0:c>
      <ns0:c r="T838" s="7">
        <ns0:f>R838+S838</ns0:f>
        <ns0:v>2203069.2362514064</ns0:v>
      </ns0:c>
      <ns0:c r="U838" s="16">
        <ns0:f>P838-E838*'前提と出典'!$E$5</ns0:f>
        <ns0:v>1488075.7180753285</ns0:v>
      </ns0:c>
      <ns0:c r="V838" s="16">
        <ns0:f>Q838-F838*'前提と出典'!$E$5</ns0:f>
        <ns0:v>444415.55079728505</ns0:v>
      </ns0:c>
      <ns0:c r="W838" s="7">
        <ns0:f>U838+V838</ns0:f>
        <ns0:v>1932491.2688726136</ns0:v>
      </ns0:c>
      <ns0:c r="X838" s="16">
        <ns0:f>P838-E838*'前提と出典'!$E$6</ns0:f>
        <ns0:v>1278418.716277036</ns0:v>
      </ns0:c>
      <ns0:c r="Y838" s="16">
        <ns0:f>Q838-F838*'前提と出典'!$E$6</ns0:f>
        <ns0:v>383494.58521678374</ns0:v>
      </ns0:c>
      <ns0:c r="Z838" s="7">
        <ns0:f>X838+Y838</ns0:f>
        <ns0:v>1661913.3014938196</ns0:v>
      </ns0:c>
      <ns0:c r="AA838" s="7">
        <ns0:f>IF(T838&gt;=0,A838,1001)</ns0:f>
        <ns0:v>834</ns0:v>
      </ns0:c>
      <ns0:c r="AB838" s="7">
        <ns0:f>IF(T838&lt;0,A838,0)</ns0:f>
        <ns0:v>0</ns0:v>
      </ns0:c>
      <ns0:c r="AC838" s="16">
        <ns0:f>IF(AND(OR('前提と出典'!$C$36+'前提と出典'!$C$38=0,R838&gt;=0),OR('前提と出典'!$C$37+'前提と出典'!$C$38=0,S838&gt;=0)),0,A838)</ns0:f>
        <ns0:v>0</ns0:v>
      </ns0:c>
      <ns0:c r="AD838" s="7">
        <ns0:f>IF(W838&gt;=0,A838,1001)</ns0:f>
        <ns0:v>834</ns0:v>
      </ns0:c>
      <ns0:c r="AE838" s="7">
        <ns0:f>IF(W838&lt;0,A838,0)</ns0:f>
        <ns0:v>0</ns0:v>
      </ns0:c>
      <ns0:c r="AF838" s="16">
        <ns0:f>IF(AND(OR('前提と出典'!$C$36+'前提と出典'!$C$38=0,U838&gt;=0),OR('前提と出典'!$C$37+'前提と出典'!$C$38=0,V838&gt;=0)),0,A838)</ns0:f>
        <ns0:v>0</ns0:v>
      </ns0:c>
      <ns0:c r="AG838" s="7">
        <ns0:f>IF(Z838&gt;=0,A838,1001)</ns0:f>
        <ns0:v>834</ns0:v>
      </ns0:c>
      <ns0:c r="AH838" s="4">
        <ns0:f>IF(Z838&lt;0,A838,0)</ns0:f>
        <ns0:v>0</ns0:v>
      </ns0:c>
      <ns0:c r="AI838" s="12">
        <ns0:f>IF(AND(OR('前提と出典'!$C$36+'前提と出典'!$C$38=0,X838&gt;=0),OR('前提と出典'!$C$37+'前提と出典'!$C$38=0,Y838&gt;=0)),0,A838)</ns0:f>
        <ns0:v>0</ns0:v>
      </ns0:c>
    </ns0:row>
    <ns0:row r="839" ht="24" customHeight="1">
      <ns0:c r="A839" s="4" t="n">
        <ns0:v>835</ns0:v>
      </ns0:c>
      <ns0:c r="B839" s="12">
        <ns0:f>A839*('前提と出典'!$C$36+'前提と出典'!$C$38)</ns0:f>
        <ns0:v>584.5</ns0:v>
      </ns0:c>
      <ns0:c r="C839" s="12">
        <ns0:f>A839*('前提と出典'!$C$37+'前提と出典'!$C$38)</ns0:f>
        <ns0:v>501</ns0:v>
      </ns0:c>
      <ns0:c r="D839" s="16">
        <ns0:f>A839*('前提と出典'!$C$36*'契約別単価'!C5+'前提と出典'!$C$37*'契約別単価'!C6+'前提と出典'!$C$38*'契約別単価'!C7)</ns0:f>
        <ns0:v>6008.268156424581</ns0:v>
      </ns0:c>
      <ns0:c r="E839" s="16">
        <ns0:f>A839*('前提と出典'!$C$36*'契約別単価'!E5+'前提と出典'!$C$37*'契約別単価'!E6+'前提と出典'!$C$38*'契約別単価'!E7)</ns0:f>
        <ns0:v>2099083.8909061626</ns0:v>
      </ns0:c>
      <ns0:c r="F839" s="16">
        <ns0:f>A839*('前提と出典'!$C$36*'契約別単価'!F5+'前提と出典'!$C$37*'契約別単価'!F6+'前提と出典'!$C$38*'契約別単価'!F7)</ns0:f>
        <ns0:v>609940.1230182076</ns0:v>
      </ns0:c>
      <ns0:c r="G839" s="16">
        <ns0:f>A839*('前提と出典'!$C$36*'契約別単価'!G5+'前提と出典'!$C$37*'契約別単価'!G6+'前提と出典'!$C$38*'契約別単価'!G7)</ns0:f>
        <ns0:v>1662069.8324022347</ns0:v>
      </ns0:c>
      <ns0:c r="H839" s="16">
        <ns0:f>A839*('前提と出典'!$C$36*'契約別単価'!H5+'前提と出典'!$C$37*'契約別単価'!H6+'前提と出典'!$C$38*'契約別単価'!H7)</ns0:f>
        <ns0:v>576821.5911962044</ns0:v>
      </ns0:c>
      <ns0:c r="I839" s="16">
        <ns0:f>A839*('前提と出典'!$C$36*'契約別単価'!I5+'前提と出典'!$C$37*'契約別単価'!I6+'前提と出典'!$C$38*'契約別単価'!I7)</ns0:f>
        <ns0:v>35233.26815642457</ns0:v>
      </ns0:c>
      <ns0:c r="J839" s="16">
        <ns0:f>A839*('前提と出典'!$C$36*'契約別単価'!J5+'前提と出典'!$C$37*'契約別単価'!J6+'前提と出典'!$C$38*'契約別単価'!J7)</ns0:f>
        <ns0:v>82071.76899810265</ns0:v>
      </ns0:c>
      <ns0:c r="K839" s="16">
        <ns0:f>A839*('前提と出典'!$C$36*'契約別単価'!K5+'前提と出典'!$C$37*'契約別単価'!K6+'前提と出典'!$C$38*'契約別単価'!K7)</ns0:f>
        <ns0:v>351788.45437616383</ns0:v>
      </ns0:c>
      <ns0:c r="L839" s="16">
        <ns0:f>A839*('前提と出典'!$C$36*'契約別単価'!L5+'前提と出典'!$C$37*'契約別単価'!L6+'前提と出典'!$C$38*'契約別単価'!L7)</ns0:f>
        <ns0:v>286427.3863732068</ns0:v>
      </ns0:c>
      <ns0:c r="M839" s="16">
        <ns0:f>IF(('前提と出典'!$C$36+'前提と出典'!$C$38)=0,0,IF(B839&lt;=10,'前提と出典'!B73+'前提と出典'!C73,IF(B839&lt;=100,'前提と出典'!B74+'前提と出典'!C74,IF(B839&lt;=500,'前提と出典'!B75+'前提と出典'!C75,'前提と出典'!B76+'前提と出典'!C76))))</ns0:f>
        <ns0:v>80000</ns0:v>
      </ns0:c>
      <ns0:c r="N839" s="16">
        <ns0:f>IF(('前提と出典'!$C$37+'前提と出典'!$C$38)=0,0,IF(C839&lt;=10,'前提と出典'!D73+'前提と出典'!E73,IF(C839&lt;=100,'前提と出典'!D74+'前提と出典'!E74,IF(C839&lt;=500,'前提と出典'!D75+'前提と出典'!E75,'前提と出典'!D76+'前提と出典'!E76))))</ns0:f>
        <ns0:v>86510.9346263078</ns0:v>
      </ns0:c>
      <ns0:c r="O839" s="16">
        <ns0:f>IF('前提と出典'!$C$36+'前提と出典'!$C$38=0,0,'前提と出典'!$B$4*IF('前提と出典'!$B$20=0,MAX('前提と出典'!$B$6,D839*'前提と出典'!$B$5),'前提と出典'!$B$6+D839*'前提と出典'!$B$5))</ns0:f>
        <ns0:v>829141.0055865922</ns0:v>
      </ns0:c>
      <ns0:c r="P839" s="16">
        <ns0:f>(E839+G839)*(1-'前提と出典'!$B$7)-I839-K839-M839-O839</ns0:f>
        <ns0:v>2329589.4611501144</ns0:v>
      </ns0:c>
      <ns0:c r="Q839" s="16">
        <ns0:f>(F839+H839)*(1-'前提と出典'!$B$7)-J839-L839-N839</ns0:f>
        <ns0:v>689028.202505076</ns0:v>
      </ns0:c>
      <ns0:c r="R839" s="16">
        <ns0:f>P839-E839*'前提と出典'!$E$4</ns0:f>
        <ns0:v>1699864.2938782654</ns0:v>
      </ns0:c>
      <ns0:c r="S839" s="16">
        <ns0:f>Q839-F839*'前提と出典'!$E$4</ns0:f>
        <ns0:v>506046.1655996137</ns0:v>
      </ns0:c>
      <ns0:c r="T839" s="7">
        <ns0:f>R839+S839</ns0:f>
        <ns0:v>2205910.459477879</ns0:v>
      </ns0:c>
      <ns0:c r="U839" s="16">
        <ns0:f>P839-E839*'前提と出典'!$E$5</ns0:f>
        <ns0:v>1489955.9047876492</ns0:v>
      </ns0:c>
      <ns0:c r="V839" s="16">
        <ns0:f>Q839-F839*'前提と出典'!$E$5</ns0:f>
        <ns0:v>445052.1532977929</ns0:v>
      </ns0:c>
      <ns0:c r="W839" s="7">
        <ns0:f>U839+V839</ns0:f>
        <ns0:v>1935008.058085442</ns0:v>
      </ns0:c>
      <ns0:c r="X839" s="16">
        <ns0:f>P839-E839*'前提と出典'!$E$6</ns0:f>
        <ns0:v>1280047.515697033</ns0:v>
      </ns0:c>
      <ns0:c r="Y839" s="16">
        <ns0:f>Q839-F839*'前提と出典'!$E$6</ns0:f>
        <ns0:v>384058.14099597227</ns0:v>
      </ns0:c>
      <ns0:c r="Z839" s="7">
        <ns0:f>X839+Y839</ns0:f>
        <ns0:v>1664105.6566930052</ns0:v>
      </ns0:c>
      <ns0:c r="AA839" s="7">
        <ns0:f>IF(T839&gt;=0,A839,1001)</ns0:f>
        <ns0:v>835</ns0:v>
      </ns0:c>
      <ns0:c r="AB839" s="7">
        <ns0:f>IF(T839&lt;0,A839,0)</ns0:f>
        <ns0:v>0</ns0:v>
      </ns0:c>
      <ns0:c r="AC839" s="16">
        <ns0:f>IF(AND(OR('前提と出典'!$C$36+'前提と出典'!$C$38=0,R839&gt;=0),OR('前提と出典'!$C$37+'前提と出典'!$C$38=0,S839&gt;=0)),0,A839)</ns0:f>
        <ns0:v>0</ns0:v>
      </ns0:c>
      <ns0:c r="AD839" s="7">
        <ns0:f>IF(W839&gt;=0,A839,1001)</ns0:f>
        <ns0:v>835</ns0:v>
      </ns0:c>
      <ns0:c r="AE839" s="7">
        <ns0:f>IF(W839&lt;0,A839,0)</ns0:f>
        <ns0:v>0</ns0:v>
      </ns0:c>
      <ns0:c r="AF839" s="16">
        <ns0:f>IF(AND(OR('前提と出典'!$C$36+'前提と出典'!$C$38=0,U839&gt;=0),OR('前提と出典'!$C$37+'前提と出典'!$C$38=0,V839&gt;=0)),0,A839)</ns0:f>
        <ns0:v>0</ns0:v>
      </ns0:c>
      <ns0:c r="AG839" s="7">
        <ns0:f>IF(Z839&gt;=0,A839,1001)</ns0:f>
        <ns0:v>835</ns0:v>
      </ns0:c>
      <ns0:c r="AH839" s="4">
        <ns0:f>IF(Z839&lt;0,A839,0)</ns0:f>
        <ns0:v>0</ns0:v>
      </ns0:c>
      <ns0:c r="AI839" s="12">
        <ns0:f>IF(AND(OR('前提と出典'!$C$36+'前提と出典'!$C$38=0,X839&gt;=0),OR('前提と出典'!$C$37+'前提と出典'!$C$38=0,Y839&gt;=0)),0,A839)</ns0:f>
        <ns0:v>0</ns0:v>
      </ns0:c>
    </ns0:row>
    <ns0:row r="840" ht="24" customHeight="1">
      <ns0:c r="A840" s="4" t="n">
        <ns0:v>836</ns0:v>
      </ns0:c>
      <ns0:c r="B840" s="12">
        <ns0:f>A840*('前提と出典'!$C$36+'前提と出典'!$C$38)</ns0:f>
        <ns0:v>585.1999999999999</ns0:v>
      </ns0:c>
      <ns0:c r="C840" s="12">
        <ns0:f>A840*('前提と出典'!$C$37+'前提と出典'!$C$38)</ns0:f>
        <ns0:v>501.59999999999997</ns0:v>
      </ns0:c>
      <ns0:c r="D840" s="16">
        <ns0:f>A840*('前提と出典'!$C$36*'契約別単価'!C5+'前提と出典'!$C$37*'契約別単価'!C6+'前提と出典'!$C$38*'契約別単価'!C7)</ns0:f>
        <ns0:v>6015.463687150838</ns0:v>
      </ns0:c>
      <ns0:c r="E840" s="16">
        <ns0:f>A840*('前提と出典'!$C$36*'契約別単価'!E5+'前提と出典'!$C$37*'契約別単価'!E6+'前提と出典'!$C$38*'契約別単価'!E7)</ns0:f>
        <ns0:v>2101597.7638294036</ns0:v>
      </ns0:c>
      <ns0:c r="F840" s="16">
        <ns0:f>A840*('前提と出典'!$C$36*'契約別単価'!F5+'前提と出典'!$C$37*'契約別単価'!F6+'前提と出典'!$C$38*'契約別単価'!F7)</ns0:f>
        <ns0:v>610670.590231403</ns0:v>
      </ns0:c>
      <ns0:c r="G840" s="16">
        <ns0:f>A840*('前提と出典'!$C$36*'契約別単価'!G5+'前提と出典'!$C$37*'契約別単価'!G6+'前提と出典'!$C$38*'契約別単価'!G7)</ns0:f>
        <ns0:v>1664060.3351955307</ns0:v>
      </ns0:c>
      <ns0:c r="H840" s="16">
        <ns0:f>A840*('前提と出典'!$C$36*'契約別単価'!H5+'前提と出典'!$C$37*'契約別単価'!H6+'前提と出典'!$C$38*'契約別単価'!H7)</ns0:f>
        <ns0:v>577512.3954970381</ns0:v>
      </ns0:c>
      <ns0:c r="I840" s="16">
        <ns0:f>A840*('前提と出典'!$C$36*'契約別単価'!I5+'前提と出典'!$C$37*'契約別単価'!I6+'前提と出典'!$C$38*'契約別単価'!I7)</ns0:f>
        <ns0:v>35275.463687150834</ns0:v>
      </ns0:c>
      <ns0:c r="J840" s="16">
        <ns0:f>A840*('前提と出典'!$C$36*'契約別単価'!J5+'前提と出典'!$C$37*'契約別単価'!J6+'前提と出典'!$C$38*'契約別単価'!J7)</ns0:f>
        <ns0:v>82170.05854181295</ns0:v>
      </ns0:c>
      <ns0:c r="K840" s="16">
        <ns0:f>A840*('前提と出典'!$C$36*'契約別単価'!K5+'前提と出典'!$C$37*'契約別単価'!K6+'前提と出典'!$C$38*'契約別単価'!K7)</ns0:f>
        <ns0:v>352209.7579143389</ns0:v>
      </ns0:c>
      <ns0:c r="L840" s="16">
        <ns0:f>A840*('前提と出典'!$C$36*'契約別単価'!L5+'前提と出典'!$C$37*'契約別単価'!L6+'前提と出典'!$C$38*'契約別単価'!L7)</ns0:f>
        <ns0:v>286770.4131832346</ns0:v>
      </ns0:c>
      <ns0:c r="M840" s="16">
        <ns0:f>IF(('前提と出典'!$C$36+'前提と出典'!$C$38)=0,0,IF(B840&lt;=10,'前提と出典'!B73+'前提と出典'!C73,IF(B840&lt;=100,'前提と出典'!B74+'前提と出典'!C74,IF(B840&lt;=500,'前提と出典'!B75+'前提と出典'!C75,'前提と出典'!B76+'前提と出典'!C76))))</ns0:f>
        <ns0:v>80000</ns0:v>
      </ns0:c>
      <ns0:c r="N840" s="16">
        <ns0:f>IF(('前提と出典'!$C$37+'前提と出典'!$C$38)=0,0,IF(C840&lt;=10,'前提と出典'!D73+'前提と出典'!E73,IF(C840&lt;=100,'前提と出典'!D74+'前提と出典'!E74,IF(C840&lt;=500,'前提と出典'!D75+'前提と出典'!E75,'前提と出典'!D76+'前提と出典'!E76))))</ns0:f>
        <ns0:v>86510.9346263078</ns0:v>
      </ns0:c>
      <ns0:c r="O840" s="16">
        <ns0:f>IF('前提と出典'!$C$36+'前提と出典'!$C$38=0,0,'前提と出典'!$B$4*IF('前提と出典'!$B$20=0,MAX('前提と出典'!$B$6,D840*'前提と出典'!$B$5),'前提と出典'!$B$6+D840*'前提と出典'!$B$5))</ns0:f>
        <ns0:v>830133.9888268156</ns0:v>
      </ns0:c>
      <ns0:c r="P840" s="16">
        <ns0:f>(E840+G840)*(1-'前提と出典'!$B$7)-I840-K840-M840-O840</ns0:f>
        <ns0:v>2332475.1970317317</ns0:v>
      </ns0:c>
      <ns0:c r="Q840" s="16">
        <ns0:f>(F840+H840)*(1-'前提と出典'!$B$7)-J840-L840-N840</ns0:f>
        <ns0:v>689956.9918908621</ns0:v>
      </ns0:c>
      <ns0:c r="R840" s="16">
        <ns0:f>P840-E840*'前提と出典'!$E$4</ns0:f>
        <ns0:v>1701995.8678829107</ns0:v>
      </ns0:c>
      <ns0:c r="S840" s="16">
        <ns0:f>Q840-F840*'前提と出典'!$E$4</ns0:f>
        <ns0:v>506755.8148214412</ns0:v>
      </ns0:c>
      <ns0:c r="T840" s="7">
        <ns0:f>R840+S840</ns0:f>
        <ns0:v>2208751.682704352</ns0:v>
      </ns0:c>
      <ns0:c r="U840" s="16">
        <ns0:f>P840-E840*'前提と出典'!$E$5</ns0:f>
        <ns0:v>1491836.0914999703</ns0:v>
      </ns0:c>
      <ns0:c r="V840" s="16">
        <ns0:f>Q840-F840*'前提と出典'!$E$5</ns0:f>
        <ns0:v>445688.75579830096</ns0:v>
      </ns0:c>
      <ns0:c r="W840" s="7">
        <ns0:f>U840+V840</ns0:f>
        <ns0:v>1937524.8472982713</ns0:v>
      </ns0:c>
      <ns0:c r="X840" s="16">
        <ns0:f>P840-E840*'前提と出典'!$E$6</ns0:f>
        <ns0:v>1281676.31511703</ns0:v>
      </ns0:c>
      <ns0:c r="Y840" s="16">
        <ns0:f>Q840-F840*'前提と出典'!$E$6</ns0:f>
        <ns0:v>384621.69677516056</ns0:v>
      </ns0:c>
      <ns0:c r="Z840" s="7">
        <ns0:f>X840+Y840</ns0:f>
        <ns0:v>1666298.0118921904</ns0:v>
      </ns0:c>
      <ns0:c r="AA840" s="7">
        <ns0:f>IF(T840&gt;=0,A840,1001)</ns0:f>
        <ns0:v>836</ns0:v>
      </ns0:c>
      <ns0:c r="AB840" s="7">
        <ns0:f>IF(T840&lt;0,A840,0)</ns0:f>
        <ns0:v>0</ns0:v>
      </ns0:c>
      <ns0:c r="AC840" s="16">
        <ns0:f>IF(AND(OR('前提と出典'!$C$36+'前提と出典'!$C$38=0,R840&gt;=0),OR('前提と出典'!$C$37+'前提と出典'!$C$38=0,S840&gt;=0)),0,A840)</ns0:f>
        <ns0:v>0</ns0:v>
      </ns0:c>
      <ns0:c r="AD840" s="7">
        <ns0:f>IF(W840&gt;=0,A840,1001)</ns0:f>
        <ns0:v>836</ns0:v>
      </ns0:c>
      <ns0:c r="AE840" s="7">
        <ns0:f>IF(W840&lt;0,A840,0)</ns0:f>
        <ns0:v>0</ns0:v>
      </ns0:c>
      <ns0:c r="AF840" s="16">
        <ns0:f>IF(AND(OR('前提と出典'!$C$36+'前提と出典'!$C$38=0,U840&gt;=0),OR('前提と出典'!$C$37+'前提と出典'!$C$38=0,V840&gt;=0)),0,A840)</ns0:f>
        <ns0:v>0</ns0:v>
      </ns0:c>
      <ns0:c r="AG840" s="7">
        <ns0:f>IF(Z840&gt;=0,A840,1001)</ns0:f>
        <ns0:v>836</ns0:v>
      </ns0:c>
      <ns0:c r="AH840" s="4">
        <ns0:f>IF(Z840&lt;0,A840,0)</ns0:f>
        <ns0:v>0</ns0:v>
      </ns0:c>
      <ns0:c r="AI840" s="12">
        <ns0:f>IF(AND(OR('前提と出典'!$C$36+'前提と出典'!$C$38=0,X840&gt;=0),OR('前提と出典'!$C$37+'前提と出典'!$C$38=0,Y840&gt;=0)),0,A840)</ns0:f>
        <ns0:v>0</ns0:v>
      </ns0:c>
    </ns0:row>
    <ns0:row r="841" ht="24" customHeight="1">
      <ns0:c r="A841" s="4" t="n">
        <ns0:v>837</ns0:v>
      </ns0:c>
      <ns0:c r="B841" s="12">
        <ns0:f>A841*('前提と出典'!$C$36+'前提と出典'!$C$38)</ns0:f>
        <ns0:v>585.9</ns0:v>
      </ns0:c>
      <ns0:c r="C841" s="12">
        <ns0:f>A841*('前提と出典'!$C$37+'前提と出典'!$C$38)</ns0:f>
        <ns0:v>502.2</ns0:v>
      </ns0:c>
      <ns0:c r="D841" s="16">
        <ns0:f>A841*('前提と出典'!$C$36*'契約別単価'!C5+'前提と出典'!$C$37*'契約別単価'!C6+'前提と出典'!$C$38*'契約別単価'!C7)</ns0:f>
        <ns0:v>6022.659217877095</ns0:v>
      </ns0:c>
      <ns0:c r="E841" s="16">
        <ns0:f>A841*('前提と出典'!$C$36*'契約別単価'!E5+'前提と出典'!$C$37*'契約別単価'!E6+'前提と出典'!$C$38*'契約別単価'!E7)</ns0:f>
        <ns0:v>2104111.6367526446</ns0:v>
      </ns0:c>
      <ns0:c r="F841" s="16">
        <ns0:f>A841*('前提と出典'!$C$36*'契約別単価'!F5+'前提と出典'!$C$37*'契約別単価'!F6+'前提と出典'!$C$38*'契約別単価'!F7)</ns0:f>
        <ns0:v>611401.0574445985</ns0:v>
      </ns0:c>
      <ns0:c r="G841" s="16">
        <ns0:f>A841*('前提と出典'!$C$36*'契約別単価'!G5+'前提と出典'!$C$37*'契約別単価'!G6+'前提と出典'!$C$38*'契約別単価'!G7)</ns0:f>
        <ns0:v>1666050.8379888267</ns0:v>
      </ns0:c>
      <ns0:c r="H841" s="16">
        <ns0:f>A841*('前提と出典'!$C$36*'契約別単価'!H5+'前提と出典'!$C$37*'契約別単価'!H6+'前提と出典'!$C$38*'契約別単価'!H7)</ns0:f>
        <ns0:v>578203.1997978719</ns0:v>
      </ns0:c>
      <ns0:c r="I841" s="16">
        <ns0:f>A841*('前提と出典'!$C$36*'契約別単価'!I5+'前提と出典'!$C$37*'契約別単価'!I6+'前提と出典'!$C$38*'契約別単価'!I7)</ns0:f>
        <ns0:v>35317.65921787709</ns0:v>
      </ns0:c>
      <ns0:c r="J841" s="16">
        <ns0:f>A841*('前提と出典'!$C$36*'契約別単価'!J5+'前提と出典'!$C$37*'契約別単価'!J6+'前提と出典'!$C$38*'契約別単価'!J7)</ns0:f>
        <ns0:v>82268.34808552325</ns0:v>
      </ns0:c>
      <ns0:c r="K841" s="16">
        <ns0:f>A841*('前提と出典'!$C$36*'契約別単価'!K5+'前提と出典'!$C$37*'契約別単価'!K6+'前提と出典'!$C$38*'契約別単価'!K7)</ns0:f>
        <ns0:v>352631.06145251397</ns0:v>
      </ns0:c>
      <ns0:c r="L841" s="16">
        <ns0:f>A841*('前提と出典'!$C$36*'契約別単価'!L5+'前提と出典'!$C$37*'契約別単価'!L6+'前提と出典'!$C$38*'契約別単価'!L7)</ns0:f>
        <ns0:v>287113.4399932624</ns0:v>
      </ns0:c>
      <ns0:c r="M841" s="16">
        <ns0:f>IF(('前提と出典'!$C$36+'前提と出典'!$C$38)=0,0,IF(B841&lt;=10,'前提と出典'!B73+'前提と出典'!C73,IF(B841&lt;=100,'前提と出典'!B74+'前提と出典'!C74,IF(B841&lt;=500,'前提と出典'!B75+'前提と出典'!C75,'前提と出典'!B76+'前提と出典'!C76))))</ns0:f>
        <ns0:v>80000</ns0:v>
      </ns0:c>
      <ns0:c r="N841" s="16">
        <ns0:f>IF(('前提と出典'!$C$37+'前提と出典'!$C$38)=0,0,IF(C841&lt;=10,'前提と出典'!D73+'前提と出典'!E73,IF(C841&lt;=100,'前提と出典'!D74+'前提と出典'!E74,IF(C841&lt;=500,'前提と出典'!D75+'前提と出典'!E75,'前提と出典'!D76+'前提と出典'!E76))))</ns0:f>
        <ns0:v>86510.9346263078</ns0:v>
      </ns0:c>
      <ns0:c r="O841" s="16">
        <ns0:f>IF('前提と出典'!$C$36+'前提と出典'!$C$38=0,0,'前提と出典'!$B$4*IF('前提と出典'!$B$20=0,MAX('前提と出典'!$B$6,D841*'前提と出典'!$B$5),'前提と出典'!$B$6+D841*'前提と出典'!$B$5))</ns0:f>
        <ns0:v>831126.9720670391</ns0:v>
      </ns0:c>
      <ns0:c r="P841" s="16">
        <ns0:f>(E841+G841)*(1-'前提と出典'!$B$7)-I841-K841-M841-O841</ns0:f>
        <ns0:v>2335360.9329133476</ns0:v>
      </ns0:c>
      <ns0:c r="Q841" s="16">
        <ns0:f>(F841+H841)*(1-'前提と出典'!$B$7)-J841-L841-N841</ns0:f>
        <ns0:v>690885.7812766482</ns0:v>
      </ns0:c>
      <ns0:c r="R841" s="16">
        <ns0:f>P841-E841*'前提と出典'!$E$4</ns0:f>
        <ns0:v>1704127.4418875542</ns0:v>
      </ns0:c>
      <ns0:c r="S841" s="16">
        <ns0:f>Q841-F841*'前提と出典'!$E$4</ns0:f>
        <ns0:v>507465.4640432686</ns0:v>
      </ns0:c>
      <ns0:c r="T841" s="7">
        <ns0:f>R841+S841</ns0:f>
        <ns0:v>2211592.9059308227</ns0:v>
      </ns0:c>
      <ns0:c r="U841" s="16">
        <ns0:f>P841-E841*'前提と出典'!$E$5</ns0:f>
        <ns0:v>1493716.2782122898</ns0:v>
      </ns0:c>
      <ns0:c r="V841" s="16">
        <ns0:f>Q841-F841*'前提と出典'!$E$5</ns0:f>
        <ns0:v>446325.3582988088</ns0:v>
      </ns0:c>
      <ns0:c r="W841" s="7">
        <ns0:f>U841+V841</ns0:f>
        <ns0:v>1940041.6365110986</ns0:v>
      </ns0:c>
      <ns0:c r="X841" s="16">
        <ns0:f>P841-E841*'前提と出典'!$E$6</ns0:f>
        <ns0:v>1283305.1145370253</ns0:v>
      </ns0:c>
      <ns0:c r="Y841" s="16">
        <ns0:f>Q841-F841*'前提と出典'!$E$6</ns0:f>
        <ns0:v>385185.2525543489</ns0:v>
      </ns0:c>
      <ns0:c r="Z841" s="7">
        <ns0:f>X841+Y841</ns0:f>
        <ns0:v>1668490.3670913742</ns0:v>
      </ns0:c>
      <ns0:c r="AA841" s="7">
        <ns0:f>IF(T841&gt;=0,A841,1001)</ns0:f>
        <ns0:v>837</ns0:v>
      </ns0:c>
      <ns0:c r="AB841" s="7">
        <ns0:f>IF(T841&lt;0,A841,0)</ns0:f>
        <ns0:v>0</ns0:v>
      </ns0:c>
      <ns0:c r="AC841" s="16">
        <ns0:f>IF(AND(OR('前提と出典'!$C$36+'前提と出典'!$C$38=0,R841&gt;=0),OR('前提と出典'!$C$37+'前提と出典'!$C$38=0,S841&gt;=0)),0,A841)</ns0:f>
        <ns0:v>0</ns0:v>
      </ns0:c>
      <ns0:c r="AD841" s="7">
        <ns0:f>IF(W841&gt;=0,A841,1001)</ns0:f>
        <ns0:v>837</ns0:v>
      </ns0:c>
      <ns0:c r="AE841" s="7">
        <ns0:f>IF(W841&lt;0,A841,0)</ns0:f>
        <ns0:v>0</ns0:v>
      </ns0:c>
      <ns0:c r="AF841" s="16">
        <ns0:f>IF(AND(OR('前提と出典'!$C$36+'前提と出典'!$C$38=0,U841&gt;=0),OR('前提と出典'!$C$37+'前提と出典'!$C$38=0,V841&gt;=0)),0,A841)</ns0:f>
        <ns0:v>0</ns0:v>
      </ns0:c>
      <ns0:c r="AG841" s="7">
        <ns0:f>IF(Z841&gt;=0,A841,1001)</ns0:f>
        <ns0:v>837</ns0:v>
      </ns0:c>
      <ns0:c r="AH841" s="4">
        <ns0:f>IF(Z841&lt;0,A841,0)</ns0:f>
        <ns0:v>0</ns0:v>
      </ns0:c>
      <ns0:c r="AI841" s="12">
        <ns0:f>IF(AND(OR('前提と出典'!$C$36+'前提と出典'!$C$38=0,X841&gt;=0),OR('前提と出典'!$C$37+'前提と出典'!$C$38=0,Y841&gt;=0)),0,A841)</ns0:f>
        <ns0:v>0</ns0:v>
      </ns0:c>
    </ns0:row>
    <ns0:row r="842" ht="24" customHeight="1">
      <ns0:c r="A842" s="4" t="n">
        <ns0:v>838</ns0:v>
      </ns0:c>
      <ns0:c r="B842" s="12">
        <ns0:f>A842*('前提と出典'!$C$36+'前提と出典'!$C$38)</ns0:f>
        <ns0:v>586.5999999999999</ns0:v>
      </ns0:c>
      <ns0:c r="C842" s="12">
        <ns0:f>A842*('前提と出典'!$C$37+'前提と出典'!$C$38)</ns0:f>
        <ns0:v>502.79999999999995</ns0:v>
      </ns0:c>
      <ns0:c r="D842" s="16">
        <ns0:f>A842*('前提と出典'!$C$36*'契約別単価'!C5+'前提と出典'!$C$37*'契約別単価'!C6+'前提と出典'!$C$38*'契約別単価'!C7)</ns0:f>
        <ns0:v>6029.854748603352</ns0:v>
      </ns0:c>
      <ns0:c r="E842" s="16">
        <ns0:f>A842*('前提と出典'!$C$36*'契約別単価'!E5+'前提と出典'!$C$37*'契約別単価'!E6+'前提と出典'!$C$38*'契約別単価'!E7)</ns0:f>
        <ns0:v>2106625.509675885</ns0:v>
      </ns0:c>
      <ns0:c r="F842" s="16">
        <ns0:f>A842*('前提と出典'!$C$36*'契約別単価'!F5+'前提と出典'!$C$37*'契約別単価'!F6+'前提と出典'!$C$38*'契約別単価'!F7)</ns0:f>
        <ns0:v>612131.5246577939</ns0:v>
      </ns0:c>
      <ns0:c r="G842" s="16">
        <ns0:f>A842*('前提と出典'!$C$36*'契約別単価'!G5+'前提と出典'!$C$37*'契約別単価'!G6+'前提と出典'!$C$38*'契約別単価'!G7)</ns0:f>
        <ns0:v>1668041.340782123</ns0:v>
      </ns0:c>
      <ns0:c r="H842" s="16">
        <ns0:f>A842*('前提と出典'!$C$36*'契約別単価'!H5+'前提と出典'!$C$37*'契約別単価'!H6+'前提と出典'!$C$38*'契約別単価'!H7)</ns0:f>
        <ns0:v>578894.0040987057</ns0:v>
      </ns0:c>
      <ns0:c r="I842" s="16">
        <ns0:f>A842*('前提と出典'!$C$36*'契約別単価'!I5+'前提と出典'!$C$37*'契約別単価'!I6+'前提と出典'!$C$38*'契約別単価'!I7)</ns0:f>
        <ns0:v>35359.85474860335</ns0:v>
      </ns0:c>
      <ns0:c r="J842" s="16">
        <ns0:f>A842*('前提と出典'!$C$36*'契約別単価'!J5+'前提と出典'!$C$37*'契約別単価'!J6+'前提と出典'!$C$38*'契約別単価'!J7)</ns0:f>
        <ns0:v>82366.63762923355</ns0:v>
      </ns0:c>
      <ns0:c r="K842" s="16">
        <ns0:f>A842*('前提と出典'!$C$36*'契約別単価'!K5+'前提と出典'!$C$37*'契約別単価'!K6+'前提と出典'!$C$38*'契約別単価'!K7)</ns0:f>
        <ns0:v>353052.364990689</ns0:v>
      </ns0:c>
      <ns0:c r="L842" s="16">
        <ns0:f>A842*('前提と出典'!$C$36*'契約別単価'!L5+'前提と出典'!$C$37*'契約別単価'!L6+'前提と出典'!$C$38*'契約別単価'!L7)</ns0:f>
        <ns0:v>287456.4668032902</ns0:v>
      </ns0:c>
      <ns0:c r="M842" s="16">
        <ns0:f>IF(('前提と出典'!$C$36+'前提と出典'!$C$38)=0,0,IF(B842&lt;=10,'前提と出典'!B73+'前提と出典'!C73,IF(B842&lt;=100,'前提と出典'!B74+'前提と出典'!C74,IF(B842&lt;=500,'前提と出典'!B75+'前提と出典'!C75,'前提と出典'!B76+'前提と出典'!C76))))</ns0:f>
        <ns0:v>80000</ns0:v>
      </ns0:c>
      <ns0:c r="N842" s="16">
        <ns0:f>IF(('前提と出典'!$C$37+'前提と出典'!$C$38)=0,0,IF(C842&lt;=10,'前提と出典'!D73+'前提と出典'!E73,IF(C842&lt;=100,'前提と出典'!D74+'前提と出典'!E74,IF(C842&lt;=500,'前提と出典'!D75+'前提と出典'!E75,'前提と出典'!D76+'前提と出典'!E76))))</ns0:f>
        <ns0:v>86510.9346263078</ns0:v>
      </ns0:c>
      <ns0:c r="O842" s="16">
        <ns0:f>IF('前提と出典'!$C$36+'前提と出典'!$C$38=0,0,'前提と出典'!$B$4*IF('前提と出典'!$B$20=0,MAX('前提と出典'!$B$6,D842*'前提と出典'!$B$5),'前提と出典'!$B$6+D842*'前提と出典'!$B$5))</ns0:f>
        <ns0:v>832119.9553072626</ns0:v>
      </ns0:c>
      <ns0:c r="P842" s="16">
        <ns0:f>(E842+G842)*(1-'前提と出典'!$B$7)-I842-K842-M842-O842</ns0:f>
        <ns0:v>2338246.6687949654</ns0:v>
      </ns0:c>
      <ns0:c r="Q842" s="16">
        <ns0:f>(F842+H842)*(1-'前提と出典'!$B$7)-J842-L842-N842</ns0:f>
        <ns0:v>691814.5706624342</ns0:v>
      </ns0:c>
      <ns0:c r="R842" s="16">
        <ns0:f>P842-E842*'前提と出典'!$E$4</ns0:f>
        <ns0:v>1706259.0158921997</ns0:v>
      </ns0:c>
      <ns0:c r="S842" s="16">
        <ns0:f>Q842-F842*'前提と出典'!$E$4</ns0:f>
        <ns0:v>508175.113265096</ns0:v>
      </ns0:c>
      <ns0:c r="T842" s="7">
        <ns0:f>R842+S842</ns0:f>
        <ns0:v>2214434.1291572955</ns0:v>
      </ns0:c>
      <ns0:c r="U842" s="16">
        <ns0:f>P842-E842*'前提と出典'!$E$5</ns0:f>
        <ns0:v>1495596.4649246112</ns0:v>
      </ns0:c>
      <ns0:c r="V842" s="16">
        <ns0:f>Q842-F842*'前提と出典'!$E$5</ns0:f>
        <ns0:v>446961.96079931664</ns0:v>
      </ns0:c>
      <ns0:c r="W842" s="7">
        <ns0:f>U842+V842</ns0:f>
        <ns0:v>1942558.4257239278</ns0:v>
      </ns0:c>
      <ns0:c r="X842" s="16">
        <ns0:f>P842-E842*'前提と出典'!$E$6</ns0:f>
        <ns0:v>1284933.913957023</ns0:v>
      </ns0:c>
      <ns0:c r="Y842" s="16">
        <ns0:f>Q842-F842*'前提と出典'!$E$6</ns0:f>
        <ns0:v>385748.8083335373</ns0:v>
      </ns0:c>
      <ns0:c r="Z842" s="7">
        <ns0:f>X842+Y842</ns0:f>
        <ns0:v>1670682.7222905604</ns0:v>
      </ns0:c>
      <ns0:c r="AA842" s="7">
        <ns0:f>IF(T842&gt;=0,A842,1001)</ns0:f>
        <ns0:v>838</ns0:v>
      </ns0:c>
      <ns0:c r="AB842" s="7">
        <ns0:f>IF(T842&lt;0,A842,0)</ns0:f>
        <ns0:v>0</ns0:v>
      </ns0:c>
      <ns0:c r="AC842" s="16">
        <ns0:f>IF(AND(OR('前提と出典'!$C$36+'前提と出典'!$C$38=0,R842&gt;=0),OR('前提と出典'!$C$37+'前提と出典'!$C$38=0,S842&gt;=0)),0,A842)</ns0:f>
        <ns0:v>0</ns0:v>
      </ns0:c>
      <ns0:c r="AD842" s="7">
        <ns0:f>IF(W842&gt;=0,A842,1001)</ns0:f>
        <ns0:v>838</ns0:v>
      </ns0:c>
      <ns0:c r="AE842" s="7">
        <ns0:f>IF(W842&lt;0,A842,0)</ns0:f>
        <ns0:v>0</ns0:v>
      </ns0:c>
      <ns0:c r="AF842" s="16">
        <ns0:f>IF(AND(OR('前提と出典'!$C$36+'前提と出典'!$C$38=0,U842&gt;=0),OR('前提と出典'!$C$37+'前提と出典'!$C$38=0,V842&gt;=0)),0,A842)</ns0:f>
        <ns0:v>0</ns0:v>
      </ns0:c>
      <ns0:c r="AG842" s="7">
        <ns0:f>IF(Z842&gt;=0,A842,1001)</ns0:f>
        <ns0:v>838</ns0:v>
      </ns0:c>
      <ns0:c r="AH842" s="4">
        <ns0:f>IF(Z842&lt;0,A842,0)</ns0:f>
        <ns0:v>0</ns0:v>
      </ns0:c>
      <ns0:c r="AI842" s="12">
        <ns0:f>IF(AND(OR('前提と出典'!$C$36+'前提と出典'!$C$38=0,X842&gt;=0),OR('前提と出典'!$C$37+'前提と出典'!$C$38=0,Y842&gt;=0)),0,A842)</ns0:f>
        <ns0:v>0</ns0:v>
      </ns0:c>
    </ns0:row>
    <ns0:row r="843" ht="24" customHeight="1">
      <ns0:c r="A843" s="4" t="n">
        <ns0:v>839</ns0:v>
      </ns0:c>
      <ns0:c r="B843" s="12">
        <ns0:f>A843*('前提と出典'!$C$36+'前提と出典'!$C$38)</ns0:f>
        <ns0:v>587.3</ns0:v>
      </ns0:c>
      <ns0:c r="C843" s="12">
        <ns0:f>A843*('前提と出典'!$C$37+'前提と出典'!$C$38)</ns0:f>
        <ns0:v>503.4</ns0:v>
      </ns0:c>
      <ns0:c r="D843" s="16">
        <ns0:f>A843*('前提と出典'!$C$36*'契約別単価'!C5+'前提と出典'!$C$37*'契約別単価'!C6+'前提と出典'!$C$38*'契約別単価'!C7)</ns0:f>
        <ns0:v>6037.050279329609</ns0:v>
      </ns0:c>
      <ns0:c r="E843" s="16">
        <ns0:f>A843*('前提と出典'!$C$36*'契約別単価'!E5+'前提と出典'!$C$37*'契約別単価'!E6+'前提と出典'!$C$38*'契約別単価'!E7)</ns0:f>
        <ns0:v>2109139.382599126</ns0:v>
      </ns0:c>
      <ns0:c r="F843" s="16">
        <ns0:f>A843*('前提と出典'!$C$36*'契約別単価'!F5+'前提と出典'!$C$37*'契約別単価'!F6+'前提と出典'!$C$38*'契約別単価'!F7)</ns0:f>
        <ns0:v>612861.9918709894</ns0:v>
      </ns0:c>
      <ns0:c r="G843" s="16">
        <ns0:f>A843*('前提と出典'!$C$36*'契約別単価'!G5+'前提と出典'!$C$37*'契約別単価'!G6+'前提と出典'!$C$38*'契約別単価'!G7)</ns0:f>
        <ns0:v>1670031.843575419</ns0:v>
      </ns0:c>
      <ns0:c r="H843" s="16">
        <ns0:f>A843*('前提と出典'!$C$36*'契約別単価'!H5+'前提と出典'!$C$37*'契約別単価'!H6+'前提と出典'!$C$38*'契約別単価'!H7)</ns0:f>
        <ns0:v>579584.8083995394</ns0:v>
      </ns0:c>
      <ns0:c r="I843" s="16">
        <ns0:f>A843*('前提と出典'!$C$36*'契約別単価'!I5+'前提と出典'!$C$37*'契約別単価'!I6+'前提と出典'!$C$38*'契約別単価'!I7)</ns0:f>
        <ns0:v>35402.050279329604</ns0:v>
      </ns0:c>
      <ns0:c r="J843" s="16">
        <ns0:f>A843*('前提と出典'!$C$36*'契約別単価'!J5+'前提と出典'!$C$37*'契約別単価'!J6+'前提と出典'!$C$38*'契約別単価'!J7)</ns0:f>
        <ns0:v>82464.92717294385</ns0:v>
      </ns0:c>
      <ns0:c r="K843" s="16">
        <ns0:f>A843*('前提と出典'!$C$36*'契約別単価'!K5+'前提と出典'!$C$37*'契約別単価'!K6+'前提と出典'!$C$38*'契約別単価'!K7)</ns0:f>
        <ns0:v>353473.66852886404</ns0:v>
      </ns0:c>
      <ns0:c r="L843" s="16">
        <ns0:f>A843*('前提と出典'!$C$36*'契約別単価'!L5+'前提と出典'!$C$37*'契約別単価'!L6+'前提と出典'!$C$38*'契約別単価'!L7)</ns0:f>
        <ns0:v>287799.49361331796</ns0:v>
      </ns0:c>
      <ns0:c r="M843" s="16">
        <ns0:f>IF(('前提と出典'!$C$36+'前提と出典'!$C$38)=0,0,IF(B843&lt;=10,'前提と出典'!B73+'前提と出典'!C73,IF(B843&lt;=100,'前提と出典'!B74+'前提と出典'!C74,IF(B843&lt;=500,'前提と出典'!B75+'前提と出典'!C75,'前提と出典'!B76+'前提と出典'!C76))))</ns0:f>
        <ns0:v>80000</ns0:v>
      </ns0:c>
      <ns0:c r="N843" s="16">
        <ns0:f>IF(('前提と出典'!$C$37+'前提と出典'!$C$38)=0,0,IF(C843&lt;=10,'前提と出典'!D73+'前提と出典'!E73,IF(C843&lt;=100,'前提と出典'!D74+'前提と出典'!E74,IF(C843&lt;=500,'前提と出典'!D75+'前提と出典'!E75,'前提と出典'!D76+'前提と出典'!E76))))</ns0:f>
        <ns0:v>86510.9346263078</ns0:v>
      </ns0:c>
      <ns0:c r="O843" s="16">
        <ns0:f>IF('前提と出典'!$C$36+'前提と出典'!$C$38=0,0,'前提と出典'!$B$4*IF('前提と出典'!$B$20=0,MAX('前提と出典'!$B$6,D843*'前提と出典'!$B$5),'前提と出典'!$B$6+D843*'前提と出典'!$B$5))</ns0:f>
        <ns0:v>833112.9385474861</ns0:v>
      </ns0:c>
      <ns0:c r="P843" s="16">
        <ns0:f>(E843+G843)*(1-'前提と出典'!$B$7)-I843-K843-M843-O843</ns0:f>
        <ns0:v>2341132.4046765817</ns0:v>
      </ns0:c>
      <ns0:c r="Q843" s="16">
        <ns0:f>(F843+H843)*(1-'前提と出典'!$B$7)-J843-L843-N843</ns0:f>
        <ns0:v>692743.3600482204</ns0:v>
      </ns0:c>
      <ns0:c r="R843" s="16">
        <ns0:f>P843-E843*'前提と出典'!$E$4</ns0:f>
        <ns0:v>1708390.5898968438</ns0:v>
      </ns0:c>
      <ns0:c r="S843" s="16">
        <ns0:f>Q843-F843*'前提と出典'!$E$4</ns0:f>
        <ns0:v>508884.7624869236</ns0:v>
      </ns0:c>
      <ns0:c r="T843" s="7">
        <ns0:f>R843+S843</ns0:f>
        <ns0:v>2217275.3523837673</ns0:v>
      </ns0:c>
      <ns0:c r="U843" s="16">
        <ns0:f>P843-E843*'前提と出典'!$E$5</ns0:f>
        <ns0:v>1497476.651636931</ns0:v>
      </ns0:c>
      <ns0:c r="V843" s="16">
        <ns0:f>Q843-F843*'前提と出典'!$E$5</ns0:f>
        <ns0:v>447598.5632998246</ns0:v>
      </ns0:c>
      <ns0:c r="W843" s="7">
        <ns0:f>U843+V843</ns0:f>
        <ns0:v>1945075.2149367556</ns0:v>
      </ns0:c>
      <ns0:c r="X843" s="16">
        <ns0:f>P843-E843*'前提と出典'!$E$6</ns0:f>
        <ns0:v>1286562.713377019</ns0:v>
      </ns0:c>
      <ns0:c r="Y843" s="16">
        <ns0:f>Q843-F843*'前提と出典'!$E$6</ns0:f>
        <ns0:v>386312.3641127256</ns0:v>
      </ns0:c>
      <ns0:c r="Z843" s="7">
        <ns0:f>X843+Y843</ns0:f>
        <ns0:v>1672875.0774897444</ns0:v>
      </ns0:c>
      <ns0:c r="AA843" s="7">
        <ns0:f>IF(T843&gt;=0,A843,1001)</ns0:f>
        <ns0:v>839</ns0:v>
      </ns0:c>
      <ns0:c r="AB843" s="7">
        <ns0:f>IF(T843&lt;0,A843,0)</ns0:f>
        <ns0:v>0</ns0:v>
      </ns0:c>
      <ns0:c r="AC843" s="16">
        <ns0:f>IF(AND(OR('前提と出典'!$C$36+'前提と出典'!$C$38=0,R843&gt;=0),OR('前提と出典'!$C$37+'前提と出典'!$C$38=0,S843&gt;=0)),0,A843)</ns0:f>
        <ns0:v>0</ns0:v>
      </ns0:c>
      <ns0:c r="AD843" s="7">
        <ns0:f>IF(W843&gt;=0,A843,1001)</ns0:f>
        <ns0:v>839</ns0:v>
      </ns0:c>
      <ns0:c r="AE843" s="7">
        <ns0:f>IF(W843&lt;0,A843,0)</ns0:f>
        <ns0:v>0</ns0:v>
      </ns0:c>
      <ns0:c r="AF843" s="16">
        <ns0:f>IF(AND(OR('前提と出典'!$C$36+'前提と出典'!$C$38=0,U843&gt;=0),OR('前提と出典'!$C$37+'前提と出典'!$C$38=0,V843&gt;=0)),0,A843)</ns0:f>
        <ns0:v>0</ns0:v>
      </ns0:c>
      <ns0:c r="AG843" s="7">
        <ns0:f>IF(Z843&gt;=0,A843,1001)</ns0:f>
        <ns0:v>839</ns0:v>
      </ns0:c>
      <ns0:c r="AH843" s="4">
        <ns0:f>IF(Z843&lt;0,A843,0)</ns0:f>
        <ns0:v>0</ns0:v>
      </ns0:c>
      <ns0:c r="AI843" s="12">
        <ns0:f>IF(AND(OR('前提と出典'!$C$36+'前提と出典'!$C$38=0,X843&gt;=0),OR('前提と出典'!$C$37+'前提と出典'!$C$38=0,Y843&gt;=0)),0,A843)</ns0:f>
        <ns0:v>0</ns0:v>
      </ns0:c>
    </ns0:row>
    <ns0:row r="844" ht="24" customHeight="1">
      <ns0:c r="A844" s="4" t="n">
        <ns0:v>840</ns0:v>
      </ns0:c>
      <ns0:c r="B844" s="12">
        <ns0:f>A844*('前提と出典'!$C$36+'前提と出典'!$C$38)</ns0:f>
        <ns0:v>588</ns0:v>
      </ns0:c>
      <ns0:c r="C844" s="12">
        <ns0:f>A844*('前提と出典'!$C$37+'前提と出典'!$C$38)</ns0:f>
        <ns0:v>504</ns0:v>
      </ns0:c>
      <ns0:c r="D844" s="16">
        <ns0:f>A844*('前提と出典'!$C$36*'契約別単価'!C5+'前提と出典'!$C$37*'契約別単価'!C6+'前提と出典'!$C$38*'契約別単価'!C7)</ns0:f>
        <ns0:v>6044.245810055866</ns0:v>
      </ns0:c>
      <ns0:c r="E844" s="16">
        <ns0:f>A844*('前提と出典'!$C$36*'契約別単価'!E5+'前提と出典'!$C$37*'契約別単価'!E6+'前提と出典'!$C$38*'契約別単価'!E7)</ns0:f>
        <ns0:v>2111653.255522367</ns0:v>
      </ns0:c>
      <ns0:c r="F844" s="16">
        <ns0:f>A844*('前提と出典'!$C$36*'契約別単価'!F5+'前提と出典'!$C$37*'契約別単価'!F6+'前提と出典'!$C$38*'契約別単価'!F7)</ns0:f>
        <ns0:v>613592.4590841848</ns0:v>
      </ns0:c>
      <ns0:c r="G844" s="16">
        <ns0:f>A844*('前提と出典'!$C$36*'契約別単価'!G5+'前提と出典'!$C$37*'契約別単価'!G6+'前提と出典'!$C$38*'契約別単価'!G7)</ns0:f>
        <ns0:v>1672022.346368715</ns0:v>
      </ns0:c>
      <ns0:c r="H844" s="16">
        <ns0:f>A844*('前提と出典'!$C$36*'契約別単価'!H5+'前提と出典'!$C$37*'契約別単価'!H6+'前提と出典'!$C$38*'契約別単価'!H7)</ns0:f>
        <ns0:v>580275.6127003733</ns0:v>
      </ns0:c>
      <ns0:c r="I844" s="16">
        <ns0:f>A844*('前提と出典'!$C$36*'契約別単価'!I5+'前提と出典'!$C$37*'契約別単価'!I6+'前提と出典'!$C$38*'契約別単価'!I7)</ns0:f>
        <ns0:v>35444.24581005586</ns0:v>
      </ns0:c>
      <ns0:c r="J844" s="16">
        <ns0:f>A844*('前提と出典'!$C$36*'契約別単価'!J5+'前提と出典'!$C$37*'契約別単価'!J6+'前提と出典'!$C$38*'契約別単価'!J7)</ns0:f>
        <ns0:v>82563.21671665416</ns0:v>
      </ns0:c>
      <ns0:c r="K844" s="16">
        <ns0:f>A844*('前提と出典'!$C$36*'契約別単価'!K5+'前提と出典'!$C$37*'契約別単価'!K6+'前提と出典'!$C$38*'契約別単価'!K7)</ns0:f>
        <ns0:v>353894.9720670391</ns0:v>
      </ns0:c>
      <ns0:c r="L844" s="16">
        <ns0:f>A844*('前提と出典'!$C$36*'契約別単価'!L5+'前提と出典'!$C$37*'契約別単価'!L6+'前提と出典'!$C$38*'契約別単価'!L7)</ns0:f>
        <ns0:v>288142.5204233458</ns0:v>
      </ns0:c>
      <ns0:c r="M844" s="16">
        <ns0:f>IF(('前提と出典'!$C$36+'前提と出典'!$C$38)=0,0,IF(B844&lt;=10,'前提と出典'!B73+'前提と出典'!C73,IF(B844&lt;=100,'前提と出典'!B74+'前提と出典'!C74,IF(B844&lt;=500,'前提と出典'!B75+'前提と出典'!C75,'前提と出典'!B76+'前提と出典'!C76))))</ns0:f>
        <ns0:v>80000</ns0:v>
      </ns0:c>
      <ns0:c r="N844" s="16">
        <ns0:f>IF(('前提と出典'!$C$37+'前提と出典'!$C$38)=0,0,IF(C844&lt;=10,'前提と出典'!D73+'前提と出典'!E73,IF(C844&lt;=100,'前提と出典'!D74+'前提と出典'!E74,IF(C844&lt;=500,'前提と出典'!D75+'前提と出典'!E75,'前提と出典'!D76+'前提と出典'!E76))))</ns0:f>
        <ns0:v>86510.9346263078</ns0:v>
      </ns0:c>
      <ns0:c r="O844" s="16">
        <ns0:f>IF('前提と出典'!$C$36+'前提と出典'!$C$38=0,0,'前提と出典'!$B$4*IF('前提と出典'!$B$20=0,MAX('前提と出典'!$B$6,D844*'前提と出典'!$B$5),'前提と出典'!$B$6+D844*'前提と出典'!$B$5))</ns0:f>
        <ns0:v>834105.9217877096</ns0:v>
      </ns0:c>
      <ns0:c r="P844" s="16">
        <ns0:f>(E844+G844)*(1-'前提と出典'!$B$7)-I844-K844-M844-O844</ns0:f>
        <ns0:v>2344018.1405581986</ns0:v>
      </ns0:c>
      <ns0:c r="Q844" s="16">
        <ns0:f>(F844+H844)*(1-'前提と出典'!$B$7)-J844-L844-N844</ns0:f>
        <ns0:v>693672.1494340063</ns0:v>
      </ns0:c>
      <ns0:c r="R844" s="16">
        <ns0:f>P844-E844*'前提と出典'!$E$4</ns0:f>
        <ns0:v>1710522.1639014883</ns0:v>
      </ns0:c>
      <ns0:c r="S844" s="16">
        <ns0:f>Q844-F844*'前提と出典'!$E$4</ns0:f>
        <ns0:v>509594.411708751</ns0:v>
      </ns0:c>
      <ns0:c r="T844" s="7">
        <ns0:f>R844+S844</ns0:f>
        <ns0:v>2220116.575610239</ns0:v>
      </ns0:c>
      <ns0:c r="U844" s="16">
        <ns0:f>P844-E844*'前提と出典'!$E$5</ns0:f>
        <ns0:v>1499356.8383492515</ns0:v>
      </ns0:c>
      <ns0:c r="V844" s="16">
        <ns0:f>Q844-F844*'前提と出典'!$E$5</ns0:f>
        <ns0:v>448235.1658003323</ns0:v>
      </ns0:c>
      <ns0:c r="W844" s="7">
        <ns0:f>U844+V844</ns0:f>
        <ns0:v>1947592.0041495839</ns0:v>
      </ns0:c>
      <ns0:c r="X844" s="16">
        <ns0:f>P844-E844*'前提と出典'!$E$6</ns0:f>
        <ns0:v>1288191.5127970153</ns0:v>
      </ns0:c>
      <ns0:c r="Y844" s="16">
        <ns0:f>Q844-F844*'前提と出典'!$E$6</ns0:f>
        <ns0:v>386875.91989191395</ns0:v>
      </ns0:c>
      <ns0:c r="Z844" s="7">
        <ns0:f>X844+Y844</ns0:f>
        <ns0:v>1675067.4326889291</ns0:v>
      </ns0:c>
      <ns0:c r="AA844" s="7">
        <ns0:f>IF(T844&gt;=0,A844,1001)</ns0:f>
        <ns0:v>840</ns0:v>
      </ns0:c>
      <ns0:c r="AB844" s="7">
        <ns0:f>IF(T844&lt;0,A844,0)</ns0:f>
        <ns0:v>0</ns0:v>
      </ns0:c>
      <ns0:c r="AC844" s="16">
        <ns0:f>IF(AND(OR('前提と出典'!$C$36+'前提と出典'!$C$38=0,R844&gt;=0),OR('前提と出典'!$C$37+'前提と出典'!$C$38=0,S844&gt;=0)),0,A844)</ns0:f>
        <ns0:v>0</ns0:v>
      </ns0:c>
      <ns0:c r="AD844" s="7">
        <ns0:f>IF(W844&gt;=0,A844,1001)</ns0:f>
        <ns0:v>840</ns0:v>
      </ns0:c>
      <ns0:c r="AE844" s="7">
        <ns0:f>IF(W844&lt;0,A844,0)</ns0:f>
        <ns0:v>0</ns0:v>
      </ns0:c>
      <ns0:c r="AF844" s="16">
        <ns0:f>IF(AND(OR('前提と出典'!$C$36+'前提と出典'!$C$38=0,U844&gt;=0),OR('前提と出典'!$C$37+'前提と出典'!$C$38=0,V844&gt;=0)),0,A844)</ns0:f>
        <ns0:v>0</ns0:v>
      </ns0:c>
      <ns0:c r="AG844" s="7">
        <ns0:f>IF(Z844&gt;=0,A844,1001)</ns0:f>
        <ns0:v>840</ns0:v>
      </ns0:c>
      <ns0:c r="AH844" s="4">
        <ns0:f>IF(Z844&lt;0,A844,0)</ns0:f>
        <ns0:v>0</ns0:v>
      </ns0:c>
      <ns0:c r="AI844" s="12">
        <ns0:f>IF(AND(OR('前提と出典'!$C$36+'前提と出典'!$C$38=0,X844&gt;=0),OR('前提と出典'!$C$37+'前提と出典'!$C$38=0,Y844&gt;=0)),0,A844)</ns0:f>
        <ns0:v>0</ns0:v>
      </ns0:c>
    </ns0:row>
    <ns0:row r="845" ht="24" customHeight="1">
      <ns0:c r="A845" s="4" t="n">
        <ns0:v>841</ns0:v>
      </ns0:c>
      <ns0:c r="B845" s="12">
        <ns0:f>A845*('前提と出典'!$C$36+'前提と出典'!$C$38)</ns0:f>
        <ns0:v>588.6999999999999</ns0:v>
      </ns0:c>
      <ns0:c r="C845" s="12">
        <ns0:f>A845*('前提と出典'!$C$37+'前提と出典'!$C$38)</ns0:f>
        <ns0:v>504.59999999999997</ns0:v>
      </ns0:c>
      <ns0:c r="D845" s="16">
        <ns0:f>A845*('前提と出典'!$C$36*'契約別単価'!C5+'前提と出典'!$C$37*'契約別単価'!C6+'前提と出典'!$C$38*'契約別単価'!C7)</ns0:f>
        <ns0:v>6051.441340782123</ns0:v>
      </ns0:c>
      <ns0:c r="E845" s="16">
        <ns0:f>A845*('前提と出典'!$C$36*'契約別単価'!E5+'前提と出典'!$C$37*'契約別単価'!E6+'前提と出典'!$C$38*'契約別単価'!E7)</ns0:f>
        <ns0:v>2114167.128445608</ns0:v>
      </ns0:c>
      <ns0:c r="F845" s="16">
        <ns0:f>A845*('前提と出典'!$C$36*'契約別単価'!F5+'前提と出典'!$C$37*'契約別単価'!F6+'前提と出典'!$C$38*'契約別単価'!F7)</ns0:f>
        <ns0:v>614322.9262973804</ns0:v>
      </ns0:c>
      <ns0:c r="G845" s="16">
        <ns0:f>A845*('前提と出典'!$C$36*'契約別単価'!G5+'前提と出典'!$C$37*'契約別単価'!G6+'前提と出典'!$C$38*'契約別単価'!G7)</ns0:f>
        <ns0:v>1674012.8491620112</ns0:v>
      </ns0:c>
      <ns0:c r="H845" s="16">
        <ns0:f>A845*('前提と出典'!$C$36*'契約別単価'!H5+'前提と出典'!$C$37*'契約別単価'!H6+'前提と出典'!$C$38*'契約別単価'!H7)</ns0:f>
        <ns0:v>580966.417001207</ns0:v>
      </ns0:c>
      <ns0:c r="I845" s="16">
        <ns0:f>A845*('前提と出典'!$C$36*'契約別単価'!I5+'前提と出典'!$C$37*'契約別単価'!I6+'前提と出典'!$C$38*'契約別単価'!I7)</ns0:f>
        <ns0:v>35486.44134078212</ns0:v>
      </ns0:c>
      <ns0:c r="J845" s="16">
        <ns0:f>A845*('前提と出典'!$C$36*'契約別単価'!J5+'前提と出典'!$C$37*'契約別単価'!J6+'前提と出典'!$C$38*'契約別単価'!J7)</ns0:f>
        <ns0:v>82661.50626036446</ns0:v>
      </ns0:c>
      <ns0:c r="K845" s="16">
        <ns0:f>A845*('前提と出典'!$C$36*'契約別単価'!K5+'前提と出典'!$C$37*'契約別単価'!K6+'前提と出典'!$C$38*'契約別単価'!K7)</ns0:f>
        <ns0:v>354316.2756052141</ns0:v>
      </ns0:c>
      <ns0:c r="L845" s="16">
        <ns0:f>A845*('前提と出典'!$C$36*'契約別単価'!L5+'前提と出典'!$C$37*'契約別単価'!L6+'前提と出典'!$C$38*'契約別単価'!L7)</ns0:f>
        <ns0:v>288485.54723337357</ns0:v>
      </ns0:c>
      <ns0:c r="M845" s="16">
        <ns0:f>IF(('前提と出典'!$C$36+'前提と出典'!$C$38)=0,0,IF(B845&lt;=10,'前提と出典'!B73+'前提と出典'!C73,IF(B845&lt;=100,'前提と出典'!B74+'前提と出典'!C74,IF(B845&lt;=500,'前提と出典'!B75+'前提と出典'!C75,'前提と出典'!B76+'前提と出典'!C76))))</ns0:f>
        <ns0:v>80000</ns0:v>
      </ns0:c>
      <ns0:c r="N845" s="16">
        <ns0:f>IF(('前提と出典'!$C$37+'前提と出典'!$C$38)=0,0,IF(C845&lt;=10,'前提と出典'!D73+'前提と出典'!E73,IF(C845&lt;=100,'前提と出典'!D74+'前提と出典'!E74,IF(C845&lt;=500,'前提と出典'!D75+'前提と出典'!E75,'前提と出典'!D76+'前提と出典'!E76))))</ns0:f>
        <ns0:v>86510.9346263078</ns0:v>
      </ns0:c>
      <ns0:c r="O845" s="16">
        <ns0:f>IF('前提と出典'!$C$36+'前提と出典'!$C$38=0,0,'前提と出典'!$B$4*IF('前提と出典'!$B$20=0,MAX('前提と出典'!$B$6,D845*'前提と出典'!$B$5),'前提と出典'!$B$6+D845*'前提と出典'!$B$5))</ns0:f>
        <ns0:v>835098.9050279331</ns0:v>
      </ns0:c>
      <ns0:c r="P845" s="16">
        <ns0:f>(E845+G845)*(1-'前提と出典'!$B$7)-I845-K845-M845-O845</ns0:f>
        <ns0:v>2346903.8764398154</ns0:v>
      </ns0:c>
      <ns0:c r="Q845" s="16">
        <ns0:f>(F845+H845)*(1-'前提と出典'!$B$7)-J845-L845-N845</ns0:f>
        <ns0:v>694600.9388197926</ns0:v>
      </ns0:c>
      <ns0:c r="R845" s="16">
        <ns0:f>P845-E845*'前提と出典'!$E$4</ns0:f>
        <ns0:v>1712653.7379061328</ns0:v>
      </ns0:c>
      <ns0:c r="S845" s="16">
        <ns0:f>Q845-F845*'前提と出典'!$E$4</ns0:f>
        <ns0:v>510304.0609305785</ns0:v>
      </ns0:c>
      <ns0:c r="T845" s="7">
        <ns0:f>R845+S845</ns0:f>
        <ns0:v>2222957.7988367113</ns0:v>
      </ns0:c>
      <ns0:c r="U845" s="16">
        <ns0:f>P845-E845*'前提と出典'!$E$5</ns0:f>
        <ns0:v>1501237.025061572</ns0:v>
      </ns0:c>
      <ns0:c r="V845" s="16">
        <ns0:f>Q845-F845*'前提と出典'!$E$5</ns0:f>
        <ns0:v>448871.7683008404</ns0:v>
      </ns0:c>
      <ns0:c r="W845" s="7">
        <ns0:f>U845+V845</ns0:f>
        <ns0:v>1950108.7933624124</ns0:v>
      </ns0:c>
      <ns0:c r="X845" s="16">
        <ns0:f>P845-E845*'前提と出典'!$E$6</ns0:f>
        <ns0:v>1289820.3122170111</ns0:v>
      </ns0:c>
      <ns0:c r="Y845" s="16">
        <ns0:f>Q845-F845*'前提と出典'!$E$6</ns0:f>
        <ns0:v>387439.47567110235</ns0:v>
      </ns0:c>
      <ns0:c r="Z845" s="7">
        <ns0:f>X845+Y845</ns0:f>
        <ns0:v>1677259.7878881134</ns0:v>
      </ns0:c>
      <ns0:c r="AA845" s="7">
        <ns0:f>IF(T845&gt;=0,A845,1001)</ns0:f>
        <ns0:v>841</ns0:v>
      </ns0:c>
      <ns0:c r="AB845" s="7">
        <ns0:f>IF(T845&lt;0,A845,0)</ns0:f>
        <ns0:v>0</ns0:v>
      </ns0:c>
      <ns0:c r="AC845" s="16">
        <ns0:f>IF(AND(OR('前提と出典'!$C$36+'前提と出典'!$C$38=0,R845&gt;=0),OR('前提と出典'!$C$37+'前提と出典'!$C$38=0,S845&gt;=0)),0,A845)</ns0:f>
        <ns0:v>0</ns0:v>
      </ns0:c>
      <ns0:c r="AD845" s="7">
        <ns0:f>IF(W845&gt;=0,A845,1001)</ns0:f>
        <ns0:v>841</ns0:v>
      </ns0:c>
      <ns0:c r="AE845" s="7">
        <ns0:f>IF(W845&lt;0,A845,0)</ns0:f>
        <ns0:v>0</ns0:v>
      </ns0:c>
      <ns0:c r="AF845" s="16">
        <ns0:f>IF(AND(OR('前提と出典'!$C$36+'前提と出典'!$C$38=0,U845&gt;=0),OR('前提と出典'!$C$37+'前提と出典'!$C$38=0,V845&gt;=0)),0,A845)</ns0:f>
        <ns0:v>0</ns0:v>
      </ns0:c>
      <ns0:c r="AG845" s="7">
        <ns0:f>IF(Z845&gt;=0,A845,1001)</ns0:f>
        <ns0:v>841</ns0:v>
      </ns0:c>
      <ns0:c r="AH845" s="4">
        <ns0:f>IF(Z845&lt;0,A845,0)</ns0:f>
        <ns0:v>0</ns0:v>
      </ns0:c>
      <ns0:c r="AI845" s="12">
        <ns0:f>IF(AND(OR('前提と出典'!$C$36+'前提と出典'!$C$38=0,X845&gt;=0),OR('前提と出典'!$C$37+'前提と出典'!$C$38=0,Y845&gt;=0)),0,A845)</ns0:f>
        <ns0:v>0</ns0:v>
      </ns0:c>
    </ns0:row>
    <ns0:row r="846" ht="24" customHeight="1">
      <ns0:c r="A846" s="4" t="n">
        <ns0:v>842</ns0:v>
      </ns0:c>
      <ns0:c r="B846" s="12">
        <ns0:f>A846*('前提と出典'!$C$36+'前提と出典'!$C$38)</ns0:f>
        <ns0:v>589.4</ns0:v>
      </ns0:c>
      <ns0:c r="C846" s="12">
        <ns0:f>A846*('前提と出典'!$C$37+'前提と出典'!$C$38)</ns0:f>
        <ns0:v>505.2</ns0:v>
      </ns0:c>
      <ns0:c r="D846" s="16">
        <ns0:f>A846*('前提と出典'!$C$36*'契約別単価'!C5+'前提と出典'!$C$37*'契約別単価'!C6+'前提と出典'!$C$38*'契約別単価'!C7)</ns0:f>
        <ns0:v>6058.63687150838</ns0:v>
      </ns0:c>
      <ns0:c r="E846" s="16">
        <ns0:f>A846*('前提と出典'!$C$36*'契約別単価'!E5+'前提と出典'!$C$37*'契約別単価'!E6+'前提と出典'!$C$38*'契約別単価'!E7)</ns0:f>
        <ns0:v>2116681.001368849</ns0:v>
      </ns0:c>
      <ns0:c r="F846" s="16">
        <ns0:f>A846*('前提と出典'!$C$36*'契約別単価'!F5+'前提と出典'!$C$37*'契約別単価'!F6+'前提と出典'!$C$38*'契約別単価'!F7)</ns0:f>
        <ns0:v>615053.3935105758</ns0:v>
      </ns0:c>
      <ns0:c r="G846" s="16">
        <ns0:f>A846*('前提と出典'!$C$36*'契約別単価'!G5+'前提と出典'!$C$37*'契約別単価'!G6+'前提と出典'!$C$38*'契約別単価'!G7)</ns0:f>
        <ns0:v>1676003.3519553072</ns0:v>
      </ns0:c>
      <ns0:c r="H846" s="16">
        <ns0:f>A846*('前提と出典'!$C$36*'契約別単価'!H5+'前提と出典'!$C$37*'契約別単価'!H6+'前提と出典'!$C$38*'契約別単価'!H7)</ns0:f>
        <ns0:v>581657.2213020409</ns0:v>
      </ns0:c>
      <ns0:c r="I846" s="16">
        <ns0:f>A846*('前提と出典'!$C$36*'契約別単価'!I5+'前提と出典'!$C$37*'契約別単価'!I6+'前提と出典'!$C$38*'契約別単価'!I7)</ns0:f>
        <ns0:v>35528.63687150837</ns0:v>
      </ns0:c>
      <ns0:c r="J846" s="16">
        <ns0:f>A846*('前提と出典'!$C$36*'契約別単価'!J5+'前提と出典'!$C$37*'契約別単価'!J6+'前提と出典'!$C$38*'契約別単価'!J7)</ns0:f>
        <ns0:v>82759.79580407476</ns0:v>
      </ns0:c>
      <ns0:c r="K846" s="16">
        <ns0:f>A846*('前提と出典'!$C$36*'契約別単価'!K5+'前提と出典'!$C$37*'契約別単価'!K6+'前提と出典'!$C$38*'契約別単価'!K7)</ns0:f>
        <ns0:v>354737.5791433892</ns0:v>
      </ns0:c>
      <ns0:c r="L846" s="16">
        <ns0:f>A846*('前提と出典'!$C$36*'契約別単価'!L5+'前提と出典'!$C$37*'契約別単価'!L6+'前提と出典'!$C$38*'契約別単価'!L7)</ns0:f>
        <ns0:v>288828.57404340134</ns0:v>
      </ns0:c>
      <ns0:c r="M846" s="16">
        <ns0:f>IF(('前提と出典'!$C$36+'前提と出典'!$C$38)=0,0,IF(B846&lt;=10,'前提と出典'!B73+'前提と出典'!C73,IF(B846&lt;=100,'前提と出典'!B74+'前提と出典'!C74,IF(B846&lt;=500,'前提と出典'!B75+'前提と出典'!C75,'前提と出典'!B76+'前提と出典'!C76))))</ns0:f>
        <ns0:v>80000</ns0:v>
      </ns0:c>
      <ns0:c r="N846" s="16">
        <ns0:f>IF(('前提と出典'!$C$37+'前提と出典'!$C$38)=0,0,IF(C846&lt;=10,'前提と出典'!D73+'前提と出典'!E73,IF(C846&lt;=100,'前提と出典'!D74+'前提と出典'!E74,IF(C846&lt;=500,'前提と出典'!D75+'前提と出典'!E75,'前提と出典'!D76+'前提と出典'!E76))))</ns0:f>
        <ns0:v>86510.9346263078</ns0:v>
      </ns0:c>
      <ns0:c r="O846" s="16">
        <ns0:f>IF('前提と出典'!$C$36+'前提と出典'!$C$38=0,0,'前提と出典'!$B$4*IF('前提と出典'!$B$20=0,MAX('前提と出典'!$B$6,D846*'前提と出典'!$B$5),'前提と出典'!$B$6+D846*'前提と出典'!$B$5))</ns0:f>
        <ns0:v>836091.8882681566</ns0:v>
      </ns0:c>
      <ns0:c r="P846" s="16">
        <ns0:f>(E846+G846)*(1-'前提と出典'!$B$7)-I846-K846-M846-O846</ns0:f>
        <ns0:v>2349789.6123214327</ns0:v>
      </ns0:c>
      <ns0:c r="Q846" s="16">
        <ns0:f>(F846+H846)*(1-'前提と出典'!$B$7)-J846-L846-N846</ns0:f>
        <ns0:v>695529.7282055788</ns0:v>
      </ns0:c>
      <ns0:c r="R846" s="16">
        <ns0:f>P846-E846*'前提と出典'!$E$4</ns0:f>
        <ns0:v>1714785.3119107778</ns0:v>
      </ns0:c>
      <ns0:c r="S846" s="16">
        <ns0:f>Q846-F846*'前提と出典'!$E$4</ns0:f>
        <ns0:v>511013.710152406</ns0:v>
      </ns0:c>
      <ns0:c r="T846" s="7">
        <ns0:f>R846+S846</ns0:f>
        <ns0:v>2225799.0220631836</ns0:v>
      </ns0:c>
      <ns0:c r="U846" s="16">
        <ns0:f>P846-E846*'前提と出典'!$E$5</ns0:f>
        <ns0:v>1503117.2117738929</ns0:v>
      </ns0:c>
      <ns0:c r="V846" s="16">
        <ns0:f>Q846-F846*'前提と出典'!$E$5</ns0:f>
        <ns0:v>449508.3708013485</ns0:v>
      </ns0:c>
      <ns0:c r="W846" s="7">
        <ns0:f>U846+V846</ns0:f>
        <ns0:v>1952625.5825752413</ns0:v>
      </ns0:c>
      <ns0:c r="X846" s="16">
        <ns0:f>P846-E846*'前提と出典'!$E$6</ns0:f>
        <ns0:v>1291449.1116370084</ns0:v>
      </ns0:c>
      <ns0:c r="Y846" s="16">
        <ns0:f>Q846-F846*'前提と出典'!$E$6</ns0:f>
        <ns0:v>388003.03145029076</ns0:v>
      </ns0:c>
      <ns0:c r="Z846" s="7">
        <ns0:f>X846+Y846</ns0:f>
        <ns0:v>1679452.143087299</ns0:v>
      </ns0:c>
      <ns0:c r="AA846" s="7">
        <ns0:f>IF(T846&gt;=0,A846,1001)</ns0:f>
        <ns0:v>842</ns0:v>
      </ns0:c>
      <ns0:c r="AB846" s="7">
        <ns0:f>IF(T846&lt;0,A846,0)</ns0:f>
        <ns0:v>0</ns0:v>
      </ns0:c>
      <ns0:c r="AC846" s="16">
        <ns0:f>IF(AND(OR('前提と出典'!$C$36+'前提と出典'!$C$38=0,R846&gt;=0),OR('前提と出典'!$C$37+'前提と出典'!$C$38=0,S846&gt;=0)),0,A846)</ns0:f>
        <ns0:v>0</ns0:v>
      </ns0:c>
      <ns0:c r="AD846" s="7">
        <ns0:f>IF(W846&gt;=0,A846,1001)</ns0:f>
        <ns0:v>842</ns0:v>
      </ns0:c>
      <ns0:c r="AE846" s="7">
        <ns0:f>IF(W846&lt;0,A846,0)</ns0:f>
        <ns0:v>0</ns0:v>
      </ns0:c>
      <ns0:c r="AF846" s="16">
        <ns0:f>IF(AND(OR('前提と出典'!$C$36+'前提と出典'!$C$38=0,U846&gt;=0),OR('前提と出典'!$C$37+'前提と出典'!$C$38=0,V846&gt;=0)),0,A846)</ns0:f>
        <ns0:v>0</ns0:v>
      </ns0:c>
      <ns0:c r="AG846" s="7">
        <ns0:f>IF(Z846&gt;=0,A846,1001)</ns0:f>
        <ns0:v>842</ns0:v>
      </ns0:c>
      <ns0:c r="AH846" s="4">
        <ns0:f>IF(Z846&lt;0,A846,0)</ns0:f>
        <ns0:v>0</ns0:v>
      </ns0:c>
      <ns0:c r="AI846" s="12">
        <ns0:f>IF(AND(OR('前提と出典'!$C$36+'前提と出典'!$C$38=0,X846&gt;=0),OR('前提と出典'!$C$37+'前提と出典'!$C$38=0,Y846&gt;=0)),0,A846)</ns0:f>
        <ns0:v>0</ns0:v>
      </ns0:c>
    </ns0:row>
    <ns0:row r="847" ht="24" customHeight="1">
      <ns0:c r="A847" s="4" t="n">
        <ns0:v>843</ns0:v>
      </ns0:c>
      <ns0:c r="B847" s="12">
        <ns0:f>A847*('前提と出典'!$C$36+'前提と出典'!$C$38)</ns0:f>
        <ns0:v>590.0999999999999</ns0:v>
      </ns0:c>
      <ns0:c r="C847" s="12">
        <ns0:f>A847*('前提と出典'!$C$37+'前提と出典'!$C$38)</ns0:f>
        <ns0:v>505.79999999999995</ns0:v>
      </ns0:c>
      <ns0:c r="D847" s="16">
        <ns0:f>A847*('前提と出典'!$C$36*'契約別単価'!C5+'前提と出典'!$C$37*'契約別単価'!C6+'前提と出典'!$C$38*'契約別単価'!C7)</ns0:f>
        <ns0:v>6065.832402234637</ns0:v>
      </ns0:c>
      <ns0:c r="E847" s="16">
        <ns0:f>A847*('前提と出典'!$C$36*'契約別単価'!E5+'前提と出典'!$C$37*'契約別単価'!E6+'前提と出典'!$C$38*'契約別単価'!E7)</ns0:f>
        <ns0:v>2119194.87429209</ns0:v>
      </ns0:c>
      <ns0:c r="F847" s="16">
        <ns0:f>A847*('前提と出典'!$C$36*'契約別単価'!F5+'前提と出典'!$C$37*'契約別単価'!F6+'前提と出典'!$C$38*'契約別単価'!F7)</ns0:f>
        <ns0:v>615783.8607237713</ns0:v>
      </ns0:c>
      <ns0:c r="G847" s="16">
        <ns0:f>A847*('前提と出典'!$C$36*'契約別単価'!G5+'前提と出典'!$C$37*'契約別単価'!G6+'前提と出典'!$C$38*'契約別単価'!G7)</ns0:f>
        <ns0:v>1677993.8547486032</ns0:v>
      </ns0:c>
      <ns0:c r="H847" s="16">
        <ns0:f>A847*('前提と出典'!$C$36*'契約別単価'!H5+'前提と出典'!$C$37*'契約別単価'!H6+'前提と出典'!$C$38*'契約別単価'!H7)</ns0:f>
        <ns0:v>582348.0256028746</ns0:v>
      </ns0:c>
      <ns0:c r="I847" s="16">
        <ns0:f>A847*('前提と出典'!$C$36*'契約別単価'!I5+'前提と出典'!$C$37*'契約別単価'!I6+'前提と出典'!$C$38*'契約別単価'!I7)</ns0:f>
        <ns0:v>35570.83240223463</ns0:v>
      </ns0:c>
      <ns0:c r="J847" s="16">
        <ns0:f>A847*('前提と出典'!$C$36*'契約別単価'!J5+'前提と出典'!$C$37*'契約別単価'!J6+'前提と出典'!$C$38*'契約別単価'!J7)</ns0:f>
        <ns0:v>82858.08534778506</ns0:v>
      </ns0:c>
      <ns0:c r="K847" s="16">
        <ns0:f>A847*('前提と出典'!$C$36*'契約別単価'!K5+'前提と出典'!$C$37*'契約別単価'!K6+'前提と出典'!$C$38*'契約別単価'!K7)</ns0:f>
        <ns0:v>355158.8826815642</ns0:v>
      </ns0:c>
      <ns0:c r="L847" s="16">
        <ns0:f>A847*('前提と出典'!$C$36*'契約別単価'!L5+'前提と出典'!$C$37*'契約別単価'!L6+'前提と出典'!$C$38*'契約別単価'!L7)</ns0:f>
        <ns0:v>289171.6008534291</ns0:v>
      </ns0:c>
      <ns0:c r="M847" s="16">
        <ns0:f>IF(('前提と出典'!$C$36+'前提と出典'!$C$38)=0,0,IF(B847&lt;=10,'前提と出典'!B73+'前提と出典'!C73,IF(B847&lt;=100,'前提と出典'!B74+'前提と出典'!C74,IF(B847&lt;=500,'前提と出典'!B75+'前提と出典'!C75,'前提と出典'!B76+'前提と出典'!C76))))</ns0:f>
        <ns0:v>80000</ns0:v>
      </ns0:c>
      <ns0:c r="N847" s="16">
        <ns0:f>IF(('前提と出典'!$C$37+'前提と出典'!$C$38)=0,0,IF(C847&lt;=10,'前提と出典'!D73+'前提と出典'!E73,IF(C847&lt;=100,'前提と出典'!D74+'前提と出典'!E74,IF(C847&lt;=500,'前提と出典'!D75+'前提と出典'!E75,'前提と出典'!D76+'前提と出典'!E76))))</ns0:f>
        <ns0:v>86510.9346263078</ns0:v>
      </ns0:c>
      <ns0:c r="O847" s="16">
        <ns0:f>IF('前提と出典'!$C$36+'前提と出典'!$C$38=0,0,'前提と出典'!$B$4*IF('前提と出典'!$B$20=0,MAX('前提と出典'!$B$6,D847*'前提と出典'!$B$5),'前提と出典'!$B$6+D847*'前提と出典'!$B$5))</ns0:f>
        <ns0:v>837084.8715083798</ns0:v>
      </ns0:c>
      <ns0:c r="P847" s="16">
        <ns0:f>(E847+G847)*(1-'前提と出典'!$B$7)-I847-K847-M847-O847</ns0:f>
        <ns0:v>2352675.3482030504</ns0:v>
      </ns0:c>
      <ns0:c r="Q847" s="16">
        <ns0:f>(F847+H847)*(1-'前提と出典'!$B$7)-J847-L847-N847</ns0:f>
        <ns0:v>696458.5175913648</ns0:v>
      </ns0:c>
      <ns0:c r="R847" s="16">
        <ns0:f>P847-E847*'前提と出典'!$E$4</ns0:f>
        <ns0:v>1716916.8859154233</ns0:v>
      </ns0:c>
      <ns0:c r="S847" s="16">
        <ns0:f>Q847-F847*'前提と出典'!$E$4</ns0:f>
        <ns0:v>511723.3593742333</ns0:v>
      </ns0:c>
      <ns0:c r="T847" s="7">
        <ns0:f>R847+S847</ns0:f>
        <ns0:v>2228640.2452896563</ns0:v>
      </ns0:c>
      <ns0:c r="U847" s="16">
        <ns0:f>P847-E847*'前提と出典'!$E$5</ns0:f>
        <ns0:v>1504997.3984862142</ns0:v>
      </ns0:c>
      <ns0:c r="V847" s="16">
        <ns0:f>Q847-F847*'前提と出典'!$E$5</ns0:f>
        <ns0:v>450144.9733018563</ns0:v>
      </ns0:c>
      <ns0:c r="W847" s="7">
        <ns0:f>U847+V847</ns0:f>
        <ns0:v>1955142.3717880705</ns0:v>
      </ns0:c>
      <ns0:c r="X847" s="16">
        <ns0:f>P847-E847*'前提と出典'!$E$6</ns0:f>
        <ns0:v>1293077.9110570052</ns0:v>
      </ns0:c>
      <ns0:c r="Y847" s="16">
        <ns0:f>Q847-F847*'前提と出典'!$E$6</ns0:f>
        <ns0:v>388566.58722947916</ns0:v>
      </ns0:c>
      <ns0:c r="Z847" s="7">
        <ns0:f>X847+Y847</ns0:f>
        <ns0:v>1681644.4982864843</ns0:v>
      </ns0:c>
      <ns0:c r="AA847" s="7">
        <ns0:f>IF(T847&gt;=0,A847,1001)</ns0:f>
        <ns0:v>843</ns0:v>
      </ns0:c>
      <ns0:c r="AB847" s="7">
        <ns0:f>IF(T847&lt;0,A847,0)</ns0:f>
        <ns0:v>0</ns0:v>
      </ns0:c>
      <ns0:c r="AC847" s="16">
        <ns0:f>IF(AND(OR('前提と出典'!$C$36+'前提と出典'!$C$38=0,R847&gt;=0),OR('前提と出典'!$C$37+'前提と出典'!$C$38=0,S847&gt;=0)),0,A847)</ns0:f>
        <ns0:v>0</ns0:v>
      </ns0:c>
      <ns0:c r="AD847" s="7">
        <ns0:f>IF(W847&gt;=0,A847,1001)</ns0:f>
        <ns0:v>843</ns0:v>
      </ns0:c>
      <ns0:c r="AE847" s="7">
        <ns0:f>IF(W847&lt;0,A847,0)</ns0:f>
        <ns0:v>0</ns0:v>
      </ns0:c>
      <ns0:c r="AF847" s="16">
        <ns0:f>IF(AND(OR('前提と出典'!$C$36+'前提と出典'!$C$38=0,U847&gt;=0),OR('前提と出典'!$C$37+'前提と出典'!$C$38=0,V847&gt;=0)),0,A847)</ns0:f>
        <ns0:v>0</ns0:v>
      </ns0:c>
      <ns0:c r="AG847" s="7">
        <ns0:f>IF(Z847&gt;=0,A847,1001)</ns0:f>
        <ns0:v>843</ns0:v>
      </ns0:c>
      <ns0:c r="AH847" s="4">
        <ns0:f>IF(Z847&lt;0,A847,0)</ns0:f>
        <ns0:v>0</ns0:v>
      </ns0:c>
      <ns0:c r="AI847" s="12">
        <ns0:f>IF(AND(OR('前提と出典'!$C$36+'前提と出典'!$C$38=0,X847&gt;=0),OR('前提と出典'!$C$37+'前提と出典'!$C$38=0,Y847&gt;=0)),0,A847)</ns0:f>
        <ns0:v>0</ns0:v>
      </ns0:c>
    </ns0:row>
    <ns0:row r="848" ht="24" customHeight="1">
      <ns0:c r="A848" s="4" t="n">
        <ns0:v>844</ns0:v>
      </ns0:c>
      <ns0:c r="B848" s="12">
        <ns0:f>A848*('前提と出典'!$C$36+'前提と出典'!$C$38)</ns0:f>
        <ns0:v>590.8</ns0:v>
      </ns0:c>
      <ns0:c r="C848" s="12">
        <ns0:f>A848*('前提と出典'!$C$37+'前提と出典'!$C$38)</ns0:f>
        <ns0:v>506.4</ns0:v>
      </ns0:c>
      <ns0:c r="D848" s="16">
        <ns0:f>A848*('前提と出典'!$C$36*'契約別単価'!C5+'前提と出典'!$C$37*'契約別単価'!C6+'前提と出典'!$C$38*'契約別単価'!C7)</ns0:f>
        <ns0:v>6073.027932960894</ns0:v>
      </ns0:c>
      <ns0:c r="E848" s="16">
        <ns0:f>A848*('前提と出典'!$C$36*'契約別単価'!E5+'前提と出典'!$C$37*'契約別単価'!E6+'前提と出典'!$C$38*'契約別単価'!E7)</ns0:f>
        <ns0:v>2121708.7472153306</ns0:v>
      </ns0:c>
      <ns0:c r="F848" s="16">
        <ns0:f>A848*('前提と出典'!$C$36*'契約別単価'!F5+'前提と出典'!$C$37*'契約別単価'!F6+'前提と出典'!$C$38*'契約別単価'!F7)</ns0:f>
        <ns0:v>616514.3279369667</ns0:v>
      </ns0:c>
      <ns0:c r="G848" s="16">
        <ns0:f>A848*('前提と出典'!$C$36*'契約別単価'!G5+'前提と出典'!$C$37*'契約別単価'!G6+'前提と出典'!$C$38*'契約別単価'!G7)</ns0:f>
        <ns0:v>1679984.3575418994</ns0:v>
      </ns0:c>
      <ns0:c r="H848" s="16">
        <ns0:f>A848*('前提と出典'!$C$36*'契約別単価'!H5+'前提と出典'!$C$37*'契約別単価'!H6+'前提と出典'!$C$38*'契約別単価'!H7)</ns0:f>
        <ns0:v>583038.8299037084</ns0:v>
      </ns0:c>
      <ns0:c r="I848" s="16">
        <ns0:f>A848*('前提と出典'!$C$36*'契約別単価'!I5+'前提と出典'!$C$37*'契約別単価'!I6+'前提と出典'!$C$38*'契約別単価'!I7)</ns0:f>
        <ns0:v>35613.02793296089</ns0:v>
      </ns0:c>
      <ns0:c r="J848" s="16">
        <ns0:f>A848*('前提と出典'!$C$36*'契約別単価'!J5+'前提と出典'!$C$37*'契約別単価'!J6+'前提と出典'!$C$38*'契約別単価'!J7)</ns0:f>
        <ns0:v>82956.37489149536</ns0:v>
      </ns0:c>
      <ns0:c r="K848" s="16">
        <ns0:f>A848*('前提と出典'!$C$36*'契約別単価'!K5+'前提と出典'!$C$37*'契約別単価'!K6+'前提と出典'!$C$38*'契約別単価'!K7)</ns0:f>
        <ns0:v>355580.18621973926</ns0:v>
      </ns0:c>
      <ns0:c r="L848" s="16">
        <ns0:f>A848*('前提と出典'!$C$36*'契約別単価'!L5+'前提と出典'!$C$37*'契約別単価'!L6+'前提と出典'!$C$38*'契約別単価'!L7)</ns0:f>
        <ns0:v>289514.62766345695</ns0:v>
      </ns0:c>
      <ns0:c r="M848" s="16">
        <ns0:f>IF(('前提と出典'!$C$36+'前提と出典'!$C$38)=0,0,IF(B848&lt;=10,'前提と出典'!B73+'前提と出典'!C73,IF(B848&lt;=100,'前提と出典'!B74+'前提と出典'!C74,IF(B848&lt;=500,'前提と出典'!B75+'前提と出典'!C75,'前提と出典'!B76+'前提と出典'!C76))))</ns0:f>
        <ns0:v>80000</ns0:v>
      </ns0:c>
      <ns0:c r="N848" s="16">
        <ns0:f>IF(('前提と出典'!$C$37+'前提と出典'!$C$38)=0,0,IF(C848&lt;=10,'前提と出典'!D73+'前提と出典'!E73,IF(C848&lt;=100,'前提と出典'!D74+'前提と出典'!E74,IF(C848&lt;=500,'前提と出典'!D75+'前提と出典'!E75,'前提と出典'!D76+'前提と出典'!E76))))</ns0:f>
        <ns0:v>86510.9346263078</ns0:v>
      </ns0:c>
      <ns0:c r="O848" s="16">
        <ns0:f>IF('前提と出典'!$C$36+'前提と出典'!$C$38=0,0,'前提と出典'!$B$4*IF('前提と出典'!$B$20=0,MAX('前提と出典'!$B$6,D848*'前提と出典'!$B$5),'前提と出典'!$B$6+D848*'前提と出典'!$B$5))</ns0:f>
        <ns0:v>838077.8547486033</ns0:v>
      </ns0:c>
      <ns0:c r="P848" s="16">
        <ns0:f>(E848+G848)*(1-'前提と出典'!$B$7)-I848-K848-M848-O848</ns0:f>
        <ns0:v>2355561.084084666</ns0:v>
      </ns0:c>
      <ns0:c r="Q848" s="16">
        <ns0:f>(F848+H848)*(1-'前提と出典'!$B$7)-J848-L848-N848</ns0:f>
        <ns0:v>697387.3069771508</ns0:v>
      </ns0:c>
      <ns0:c r="R848" s="16">
        <ns0:f>P848-E848*'前提と出典'!$E$4</ns0:f>
        <ns0:v>1719048.4599200669</ns0:v>
      </ns0:c>
      <ns0:c r="S848" s="16">
        <ns0:f>Q848-F848*'前提と出典'!$E$4</ns0:f>
        <ns0:v>512433.0085960609</ns0:v>
      </ns0:c>
      <ns0:c r="T848" s="7">
        <ns0:f>R848+S848</ns0:f>
        <ns0:v>2231481.4685161277</ns0:v>
      </ns0:c>
      <ns0:c r="U848" s="16">
        <ns0:f>P848-E848*'前提と出典'!$E$5</ns0:f>
        <ns0:v>1506877.5851985337</ns0:v>
      </ns0:c>
      <ns0:c r="V848" s="16">
        <ns0:f>Q848-F848*'前提と出典'!$E$5</ns0:f>
        <ns0:v>450781.57580236415</ns0:v>
      </ns0:c>
      <ns0:c r="W848" s="7">
        <ns0:f>U848+V848</ns0:f>
        <ns0:v>1957659.1610008979</ns0:v>
      </ns0:c>
      <ns0:c r="X848" s="16">
        <ns0:f>P848-E848*'前提と出典'!$E$6</ns0:f>
        <ns0:v>1294706.7104770006</ns0:v>
      </ns0:c>
      <ns0:c r="Y848" s="16">
        <ns0:f>Q848-F848*'前提と出典'!$E$6</ns0:f>
        <ns0:v>389130.1430086675</ns0:v>
      </ns0:c>
      <ns0:c r="Z848" s="7">
        <ns0:f>X848+Y848</ns0:f>
        <ns0:v>1683836.853485668</ns0:v>
      </ns0:c>
      <ns0:c r="AA848" s="7">
        <ns0:f>IF(T848&gt;=0,A848,1001)</ns0:f>
        <ns0:v>844</ns0:v>
      </ns0:c>
      <ns0:c r="AB848" s="7">
        <ns0:f>IF(T848&lt;0,A848,0)</ns0:f>
        <ns0:v>0</ns0:v>
      </ns0:c>
      <ns0:c r="AC848" s="16">
        <ns0:f>IF(AND(OR('前提と出典'!$C$36+'前提と出典'!$C$38=0,R848&gt;=0),OR('前提と出典'!$C$37+'前提と出典'!$C$38=0,S848&gt;=0)),0,A848)</ns0:f>
        <ns0:v>0</ns0:v>
      </ns0:c>
      <ns0:c r="AD848" s="7">
        <ns0:f>IF(W848&gt;=0,A848,1001)</ns0:f>
        <ns0:v>844</ns0:v>
      </ns0:c>
      <ns0:c r="AE848" s="7">
        <ns0:f>IF(W848&lt;0,A848,0)</ns0:f>
        <ns0:v>0</ns0:v>
      </ns0:c>
      <ns0:c r="AF848" s="16">
        <ns0:f>IF(AND(OR('前提と出典'!$C$36+'前提と出典'!$C$38=0,U848&gt;=0),OR('前提と出典'!$C$37+'前提と出典'!$C$38=0,V848&gt;=0)),0,A848)</ns0:f>
        <ns0:v>0</ns0:v>
      </ns0:c>
      <ns0:c r="AG848" s="7">
        <ns0:f>IF(Z848&gt;=0,A848,1001)</ns0:f>
        <ns0:v>844</ns0:v>
      </ns0:c>
      <ns0:c r="AH848" s="4">
        <ns0:f>IF(Z848&lt;0,A848,0)</ns0:f>
        <ns0:v>0</ns0:v>
      </ns0:c>
      <ns0:c r="AI848" s="12">
        <ns0:f>IF(AND(OR('前提と出典'!$C$36+'前提と出典'!$C$38=0,X848&gt;=0),OR('前提と出典'!$C$37+'前提と出典'!$C$38=0,Y848&gt;=0)),0,A848)</ns0:f>
        <ns0:v>0</ns0:v>
      </ns0:c>
    </ns0:row>
    <ns0:row r="849" ht="24" customHeight="1">
      <ns0:c r="A849" s="4" t="n">
        <ns0:v>845</ns0:v>
      </ns0:c>
      <ns0:c r="B849" s="12">
        <ns0:f>A849*('前提と出典'!$C$36+'前提と出典'!$C$38)</ns0:f>
        <ns0:v>591.5</ns0:v>
      </ns0:c>
      <ns0:c r="C849" s="12">
        <ns0:f>A849*('前提と出典'!$C$37+'前提と出典'!$C$38)</ns0:f>
        <ns0:v>507</ns0:v>
      </ns0:c>
      <ns0:c r="D849" s="16">
        <ns0:f>A849*('前提と出典'!$C$36*'契約別単価'!C5+'前提と出典'!$C$37*'契約別単価'!C6+'前提と出典'!$C$38*'契約別単価'!C7)</ns0:f>
        <ns0:v>6080.223463687151</ns0:v>
      </ns0:c>
      <ns0:c r="E849" s="16">
        <ns0:f>A849*('前提と出典'!$C$36*'契約別単価'!E5+'前提と出典'!$C$37*'契約別単価'!E6+'前提と出典'!$C$38*'契約別単価'!E7)</ns0:f>
        <ns0:v>2124222.6201385716</ns0:v>
      </ns0:c>
      <ns0:c r="F849" s="16">
        <ns0:f>A849*('前提と出典'!$C$36*'契約別単価'!F5+'前提と出典'!$C$37*'契約別単価'!F6+'前提と出典'!$C$38*'契約別単価'!F7)</ns0:f>
        <ns0:v>617244.7951501622</ns0:v>
      </ns0:c>
      <ns0:c r="G849" s="16">
        <ns0:f>A849*('前提と出典'!$C$36*'契約別単価'!G5+'前提と出典'!$C$37*'契約別単価'!G6+'前提と出典'!$C$38*'契約別単価'!G7)</ns0:f>
        <ns0:v>1681974.8603351954</ns0:v>
      </ns0:c>
      <ns0:c r="H849" s="16">
        <ns0:f>A849*('前提と出典'!$C$36*'契約別単価'!H5+'前提と出典'!$C$37*'契約別単価'!H6+'前提と出典'!$C$38*'契約別単価'!H7)</ns0:f>
        <ns0:v>583729.6342045421</ns0:v>
      </ns0:c>
      <ns0:c r="I849" s="16">
        <ns0:f>A849*('前提と出典'!$C$36*'契約別単価'!I5+'前提と出典'!$C$37*'契約別単価'!I6+'前提と出典'!$C$38*'契約別単価'!I7)</ns0:f>
        <ns0:v>35655.22346368714</ns0:v>
      </ns0:c>
      <ns0:c r="J849" s="16">
        <ns0:f>A849*('前提と出典'!$C$36*'契約別単価'!J5+'前提と出典'!$C$37*'契約別単価'!J6+'前提と出典'!$C$38*'契約別単価'!J7)</ns0:f>
        <ns0:v>83054.66443520568</ns0:v>
      </ns0:c>
      <ns0:c r="K849" s="16">
        <ns0:f>A849*('前提と出典'!$C$36*'契約別単価'!K5+'前提と出典'!$C$37*'契約別単価'!K6+'前提と出典'!$C$38*'契約別単価'!K7)</ns0:f>
        <ns0:v>356001.4897579143</ns0:v>
      </ns0:c>
      <ns0:c r="L849" s="16">
        <ns0:f>A849*('前提と出典'!$C$36*'契約別単価'!L5+'前提と出典'!$C$37*'契約別単価'!L6+'前提と出典'!$C$38*'契約別単価'!L7)</ns0:f>
        <ns0:v>289857.6544734847</ns0:v>
      </ns0:c>
      <ns0:c r="M849" s="16">
        <ns0:f>IF(('前提と出典'!$C$36+'前提と出典'!$C$38)=0,0,IF(B849&lt;=10,'前提と出典'!B73+'前提と出典'!C73,IF(B849&lt;=100,'前提と出典'!B74+'前提と出典'!C74,IF(B849&lt;=500,'前提と出典'!B75+'前提と出典'!C75,'前提と出典'!B76+'前提と出典'!C76))))</ns0:f>
        <ns0:v>80000</ns0:v>
      </ns0:c>
      <ns0:c r="N849" s="16">
        <ns0:f>IF(('前提と出典'!$C$37+'前提と出典'!$C$38)=0,0,IF(C849&lt;=10,'前提と出典'!D73+'前提と出典'!E73,IF(C849&lt;=100,'前提と出典'!D74+'前提と出典'!E74,IF(C849&lt;=500,'前提と出典'!D75+'前提と出典'!E75,'前提と出典'!D76+'前提と出典'!E76))))</ns0:f>
        <ns0:v>86510.9346263078</ns0:v>
      </ns0:c>
      <ns0:c r="O849" s="16">
        <ns0:f>IF('前提と出典'!$C$36+'前提と出典'!$C$38=0,0,'前提と出典'!$B$4*IF('前提と出典'!$B$20=0,MAX('前提と出典'!$B$6,D849*'前提と出典'!$B$5),'前提と出典'!$B$6+D849*'前提と出典'!$B$5))</ns0:f>
        <ns0:v>839070.8379888268</ns0:v>
      </ns0:c>
      <ns0:c r="P849" s="16">
        <ns0:f>(E849+G849)*(1-'前提と出典'!$B$7)-I849-K849-M849-O849</ns0:f>
        <ns0:v>2358446.8199662827</ns0:v>
      </ns0:c>
      <ns0:c r="Q849" s="16">
        <ns0:f>(F849+H849)*(1-'前提と出典'!$B$7)-J849-L849-N849</ns0:f>
        <ns0:v>698316.0963629369</ns0:v>
      </ns0:c>
      <ns0:c r="R849" s="16">
        <ns0:f>P849-E849*'前提と出典'!$E$4</ns0:f>
        <ns0:v>1721180.0339247114</ns0:v>
      </ns0:c>
      <ns0:c r="S849" s="16">
        <ns0:f>Q849-F849*'前提と出典'!$E$4</ns0:f>
        <ns0:v>513142.6578178882</ns0:v>
      </ns0:c>
      <ns0:c r="T849" s="7">
        <ns0:f>R849+S849</ns0:f>
        <ns0:v>2234322.6917425995</ns0:v>
      </ns0:c>
      <ns0:c r="U849" s="16">
        <ns0:f>P849-E849*'前提と出典'!$E$5</ns0:f>
        <ns0:v>1508757.7719108541</ns0:v>
      </ns0:c>
      <ns0:c r="V849" s="16">
        <ns0:f>Q849-F849*'前提と出典'!$E$5</ns0:f>
        <ns0:v>451418.178302872</ns0:v>
      </ns0:c>
      <ns0:c r="W849" s="7">
        <ns0:f>U849+V849</ns0:f>
        <ns0:v>1960175.9502137261</ns0:v>
      </ns0:c>
      <ns0:c r="X849" s="16">
        <ns0:f>P849-E849*'前提と出典'!$E$6</ns0:f>
        <ns0:v>1296335.509896997</ns0:v>
      </ns0:c>
      <ns0:c r="Y849" s="16">
        <ns0:f>Q849-F849*'前提と出典'!$E$6</ns0:f>
        <ns0:v>389693.6987878558</ns0:v>
      </ns0:c>
      <ns0:c r="Z849" s="7">
        <ns0:f>X849+Y849</ns0:f>
        <ns0:v>1686029.2086848528</ns0:v>
      </ns0:c>
      <ns0:c r="AA849" s="7">
        <ns0:f>IF(T849&gt;=0,A849,1001)</ns0:f>
        <ns0:v>845</ns0:v>
      </ns0:c>
      <ns0:c r="AB849" s="7">
        <ns0:f>IF(T849&lt;0,A849,0)</ns0:f>
        <ns0:v>0</ns0:v>
      </ns0:c>
      <ns0:c r="AC849" s="16">
        <ns0:f>IF(AND(OR('前提と出典'!$C$36+'前提と出典'!$C$38=0,R849&gt;=0),OR('前提と出典'!$C$37+'前提と出典'!$C$38=0,S849&gt;=0)),0,A849)</ns0:f>
        <ns0:v>0</ns0:v>
      </ns0:c>
      <ns0:c r="AD849" s="7">
        <ns0:f>IF(W849&gt;=0,A849,1001)</ns0:f>
        <ns0:v>845</ns0:v>
      </ns0:c>
      <ns0:c r="AE849" s="7">
        <ns0:f>IF(W849&lt;0,A849,0)</ns0:f>
        <ns0:v>0</ns0:v>
      </ns0:c>
      <ns0:c r="AF849" s="16">
        <ns0:f>IF(AND(OR('前提と出典'!$C$36+'前提と出典'!$C$38=0,U849&gt;=0),OR('前提と出典'!$C$37+'前提と出典'!$C$38=0,V849&gt;=0)),0,A849)</ns0:f>
        <ns0:v>0</ns0:v>
      </ns0:c>
      <ns0:c r="AG849" s="7">
        <ns0:f>IF(Z849&gt;=0,A849,1001)</ns0:f>
        <ns0:v>845</ns0:v>
      </ns0:c>
      <ns0:c r="AH849" s="4">
        <ns0:f>IF(Z849&lt;0,A849,0)</ns0:f>
        <ns0:v>0</ns0:v>
      </ns0:c>
      <ns0:c r="AI849" s="12">
        <ns0:f>IF(AND(OR('前提と出典'!$C$36+'前提と出典'!$C$38=0,X849&gt;=0),OR('前提と出典'!$C$37+'前提と出典'!$C$38=0,Y849&gt;=0)),0,A849)</ns0:f>
        <ns0:v>0</ns0:v>
      </ns0:c>
    </ns0:row>
    <ns0:row r="850" ht="24" customHeight="1">
      <ns0:c r="A850" s="4" t="n">
        <ns0:v>846</ns0:v>
      </ns0:c>
      <ns0:c r="B850" s="12">
        <ns0:f>A850*('前提と出典'!$C$36+'前提と出典'!$C$38)</ns0:f>
        <ns0:v>592.1999999999999</ns0:v>
      </ns0:c>
      <ns0:c r="C850" s="12">
        <ns0:f>A850*('前提と出典'!$C$37+'前提と出典'!$C$38)</ns0:f>
        <ns0:v>507.59999999999997</ns0:v>
      </ns0:c>
      <ns0:c r="D850" s="16">
        <ns0:f>A850*('前提と出典'!$C$36*'契約別単価'!C5+'前提と出典'!$C$37*'契約別単価'!C6+'前提と出典'!$C$38*'契約別単価'!C7)</ns0:f>
        <ns0:v>6087.418994413408</ns0:v>
      </ns0:c>
      <ns0:c r="E850" s="16">
        <ns0:f>A850*('前提と出典'!$C$36*'契約別単価'!E5+'前提と出典'!$C$37*'契約別単価'!E6+'前提と出典'!$C$38*'契約別単価'!E7)</ns0:f>
        <ns0:v>2126736.4930618126</ns0:v>
      </ns0:c>
      <ns0:c r="F850" s="16">
        <ns0:f>A850*('前提と出典'!$C$36*'契約別単価'!F5+'前提と出典'!$C$37*'契約別単価'!F6+'前提と出典'!$C$38*'契約別単価'!F7)</ns0:f>
        <ns0:v>617975.2623633576</ns0:v>
      </ns0:c>
      <ns0:c r="G850" s="16">
        <ns0:f>A850*('前提と出典'!$C$36*'契約別単価'!G5+'前提と出典'!$C$37*'契約別単価'!G6+'前提と出典'!$C$38*'契約別単価'!G7)</ns0:f>
        <ns0:v>1683965.3631284914</ns0:v>
      </ns0:c>
      <ns0:c r="H850" s="16">
        <ns0:f>A850*('前提と出典'!$C$36*'契約別単価'!H5+'前提と出典'!$C$37*'契約別単価'!H6+'前提と出典'!$C$38*'契約別単価'!H7)</ns0:f>
        <ns0:v>584420.4385053759</ns0:v>
      </ns0:c>
      <ns0:c r="I850" s="16">
        <ns0:f>A850*('前提と出典'!$C$36*'契約別単価'!I5+'前提と出典'!$C$37*'契約別単価'!I6+'前提と出典'!$C$38*'契約別単価'!I7)</ns0:f>
        <ns0:v>35697.418994413405</ns0:v>
      </ns0:c>
      <ns0:c r="J850" s="16">
        <ns0:f>A850*('前提と出典'!$C$36*'契約別単価'!J5+'前提と出典'!$C$37*'契約別単価'!J6+'前提と出典'!$C$38*'契約別単価'!J7)</ns0:f>
        <ns0:v>83152.95397891598</ns0:v>
      </ns0:c>
      <ns0:c r="K850" s="16">
        <ns0:f>A850*('前提と出典'!$C$36*'契約別単価'!K5+'前提と出典'!$C$37*'契約別単価'!K6+'前提と出典'!$C$38*'契約別単価'!K7)</ns0:f>
        <ns0:v>356422.79329608934</ns0:v>
      </ns0:c>
      <ns0:c r="L850" s="16">
        <ns0:f>A850*('前提と出典'!$C$36*'契約別単価'!L5+'前提と出典'!$C$37*'契約別単価'!L6+'前提と出典'!$C$38*'契約別単価'!L7)</ns0:f>
        <ns0:v>290200.6812835125</ns0:v>
      </ns0:c>
      <ns0:c r="M850" s="16">
        <ns0:f>IF(('前提と出典'!$C$36+'前提と出典'!$C$38)=0,0,IF(B850&lt;=10,'前提と出典'!B73+'前提と出典'!C73,IF(B850&lt;=100,'前提と出典'!B74+'前提と出典'!C74,IF(B850&lt;=500,'前提と出典'!B75+'前提と出典'!C75,'前提と出典'!B76+'前提と出典'!C76))))</ns0:f>
        <ns0:v>80000</ns0:v>
      </ns0:c>
      <ns0:c r="N850" s="16">
        <ns0:f>IF(('前提と出典'!$C$37+'前提と出典'!$C$38)=0,0,IF(C850&lt;=10,'前提と出典'!D73+'前提と出典'!E73,IF(C850&lt;=100,'前提と出典'!D74+'前提と出典'!E74,IF(C850&lt;=500,'前提と出典'!D75+'前提と出典'!E75,'前提と出典'!D76+'前提と出典'!E76))))</ns0:f>
        <ns0:v>86510.9346263078</ns0:v>
      </ns0:c>
      <ns0:c r="O850" s="16">
        <ns0:f>IF('前提と出典'!$C$36+'前提と出典'!$C$38=0,0,'前提と出典'!$B$4*IF('前提と出典'!$B$20=0,MAX('前提と出典'!$B$6,D850*'前提と出典'!$B$5),'前提と出典'!$B$6+D850*'前提と出典'!$B$5))</ns0:f>
        <ns0:v>840063.8212290503</ns0:v>
      </ns0:c>
      <ns0:c r="P850" s="16">
        <ns0:f>(E850+G850)*(1-'前提と出典'!$B$7)-I850-K850-M850-O850</ns0:f>
        <ns0:v>2361332.5558479005</ns0:v>
      </ns0:c>
      <ns0:c r="Q850" s="16">
        <ns0:f>(F850+H850)*(1-'前提と出典'!$B$7)-J850-L850-N850</ns0:f>
        <ns0:v>699244.8857487228</ns0:v>
      </ns0:c>
      <ns0:c r="R850" s="16">
        <ns0:f>P850-E850*'前提と出典'!$E$4</ns0:f>
        <ns0:v>1723311.6079293569</ns0:v>
      </ns0:c>
      <ns0:c r="S850" s="16">
        <ns0:f>Q850-F850*'前提と出典'!$E$4</ns0:f>
        <ns0:v>513852.3070397156</ns0:v>
      </ns0:c>
      <ns0:c r="T850" s="7">
        <ns0:f>R850+S850</ns0:f>
        <ns0:v>2237163.9149690727</ns0:v>
      </ns0:c>
      <ns0:c r="U850" s="16">
        <ns0:f>P850-E850*'前提と出典'!$E$5</ns0:f>
        <ns0:v>1510637.9586231755</ns0:v>
      </ns0:c>
      <ns0:c r="V850" s="16">
        <ns0:f>Q850-F850*'前提と出典'!$E$5</ns0:f>
        <ns0:v>452054.78080337984</ns0:v>
      </ns0:c>
      <ns0:c r="W850" s="7">
        <ns0:f>U850+V850</ns0:f>
        <ns0:v>1962692.7394265553</ns0:v>
      </ns0:c>
      <ns0:c r="X850" s="16">
        <ns0:f>P850-E850*'前提と出典'!$E$6</ns0:f>
        <ns0:v>1297964.3093169942</ns0:v>
      </ns0:c>
      <ns0:c r="Y850" s="16">
        <ns0:f>Q850-F850*'前提と出典'!$E$6</ns0:f>
        <ns0:v>390257.2545670441</ns0:v>
      </ns0:c>
      <ns0:c r="Z850" s="7">
        <ns0:f>X850+Y850</ns0:f>
        <ns0:v>1688221.5638840382</ns0:v>
      </ns0:c>
      <ns0:c r="AA850" s="7">
        <ns0:f>IF(T850&gt;=0,A850,1001)</ns0:f>
        <ns0:v>846</ns0:v>
      </ns0:c>
      <ns0:c r="AB850" s="7">
        <ns0:f>IF(T850&lt;0,A850,0)</ns0:f>
        <ns0:v>0</ns0:v>
      </ns0:c>
      <ns0:c r="AC850" s="16">
        <ns0:f>IF(AND(OR('前提と出典'!$C$36+'前提と出典'!$C$38=0,R850&gt;=0),OR('前提と出典'!$C$37+'前提と出典'!$C$38=0,S850&gt;=0)),0,A850)</ns0:f>
        <ns0:v>0</ns0:v>
      </ns0:c>
      <ns0:c r="AD850" s="7">
        <ns0:f>IF(W850&gt;=0,A850,1001)</ns0:f>
        <ns0:v>846</ns0:v>
      </ns0:c>
      <ns0:c r="AE850" s="7">
        <ns0:f>IF(W850&lt;0,A850,0)</ns0:f>
        <ns0:v>0</ns0:v>
      </ns0:c>
      <ns0:c r="AF850" s="16">
        <ns0:f>IF(AND(OR('前提と出典'!$C$36+'前提と出典'!$C$38=0,U850&gt;=0),OR('前提と出典'!$C$37+'前提と出典'!$C$38=0,V850&gt;=0)),0,A850)</ns0:f>
        <ns0:v>0</ns0:v>
      </ns0:c>
      <ns0:c r="AG850" s="7">
        <ns0:f>IF(Z850&gt;=0,A850,1001)</ns0:f>
        <ns0:v>846</ns0:v>
      </ns0:c>
      <ns0:c r="AH850" s="4">
        <ns0:f>IF(Z850&lt;0,A850,0)</ns0:f>
        <ns0:v>0</ns0:v>
      </ns0:c>
      <ns0:c r="AI850" s="12">
        <ns0:f>IF(AND(OR('前提と出典'!$C$36+'前提と出典'!$C$38=0,X850&gt;=0),OR('前提と出典'!$C$37+'前提と出典'!$C$38=0,Y850&gt;=0)),0,A850)</ns0:f>
        <ns0:v>0</ns0:v>
      </ns0:c>
    </ns0:row>
    <ns0:row r="851" ht="24" customHeight="1">
      <ns0:c r="A851" s="4" t="n">
        <ns0:v>847</ns0:v>
      </ns0:c>
      <ns0:c r="B851" s="12">
        <ns0:f>A851*('前提と出典'!$C$36+'前提と出典'!$C$38)</ns0:f>
        <ns0:v>592.9</ns0:v>
      </ns0:c>
      <ns0:c r="C851" s="12">
        <ns0:f>A851*('前提と出典'!$C$37+'前提と出典'!$C$38)</ns0:f>
        <ns0:v>508.2</ns0:v>
      </ns0:c>
      <ns0:c r="D851" s="16">
        <ns0:f>A851*('前提と出典'!$C$36*'契約別単価'!C5+'前提と出典'!$C$37*'契約別単価'!C6+'前提と出典'!$C$38*'契約別単価'!C7)</ns0:f>
        <ns0:v>6094.614525139665</ns0:v>
      </ns0:c>
      <ns0:c r="E851" s="16">
        <ns0:f>A851*('前提と出典'!$C$36*'契約別単価'!E5+'前提と出典'!$C$37*'契約別単価'!E6+'前提と出典'!$C$38*'契約別単価'!E7)</ns0:f>
        <ns0:v>2129250.3659850536</ns0:v>
      </ns0:c>
      <ns0:c r="F851" s="16">
        <ns0:f>A851*('前提と出典'!$C$36*'契約別単価'!F5+'前提と出典'!$C$37*'契約別単価'!F6+'前提と出典'!$C$38*'契約別単価'!F7)</ns0:f>
        <ns0:v>618705.7295765531</ns0:v>
      </ns0:c>
      <ns0:c r="G851" s="16">
        <ns0:f>A851*('前提と出典'!$C$36*'契約別単価'!G5+'前提と出典'!$C$37*'契約別単価'!G6+'前提と出典'!$C$38*'契約別単価'!G7)</ns0:f>
        <ns0:v>1685955.8659217877</ns0:v>
      </ns0:c>
      <ns0:c r="H851" s="16">
        <ns0:f>A851*('前提と出典'!$C$36*'契約別単価'!H5+'前提と出典'!$C$37*'契約別単価'!H6+'前提と出典'!$C$38*'契約別単価'!H7)</ns0:f>
        <ns0:v>585111.2428062097</ns0:v>
      </ns0:c>
      <ns0:c r="I851" s="16">
        <ns0:f>A851*('前提と出典'!$C$36*'契約別単価'!I5+'前提と出典'!$C$37*'契約別単価'!I6+'前提と出典'!$C$38*'契約別単価'!I7)</ns0:f>
        <ns0:v>35739.61452513966</ns0:v>
      </ns0:c>
      <ns0:c r="J851" s="16">
        <ns0:f>A851*('前提と出典'!$C$36*'契約別単価'!J5+'前提と出典'!$C$37*'契約別単価'!J6+'前提と出典'!$C$38*'契約別単価'!J7)</ns0:f>
        <ns0:v>83251.24352262628</ns0:v>
      </ns0:c>
      <ns0:c r="K851" s="16">
        <ns0:f>A851*('前提と出典'!$C$36*'契約別単価'!K5+'前提と出典'!$C$37*'契約別単価'!K6+'前提と出典'!$C$38*'契約別単価'!K7)</ns0:f>
        <ns0:v>356844.0968342644</ns0:v>
      </ns0:c>
      <ns0:c r="L851" s="16">
        <ns0:f>A851*('前提と出典'!$C$36*'契約別単価'!L5+'前提と出典'!$C$37*'契約別単価'!L6+'前提と出典'!$C$38*'契約別単価'!L7)</ns0:f>
        <ns0:v>290543.70809354034</ns0:v>
      </ns0:c>
      <ns0:c r="M851" s="16">
        <ns0:f>IF(('前提と出典'!$C$36+'前提と出典'!$C$38)=0,0,IF(B851&lt;=10,'前提と出典'!B73+'前提と出典'!C73,IF(B851&lt;=100,'前提と出典'!B74+'前提と出典'!C74,IF(B851&lt;=500,'前提と出典'!B75+'前提と出典'!C75,'前提と出典'!B76+'前提と出典'!C76))))</ns0:f>
        <ns0:v>80000</ns0:v>
      </ns0:c>
      <ns0:c r="N851" s="16">
        <ns0:f>IF(('前提と出典'!$C$37+'前提と出典'!$C$38)=0,0,IF(C851&lt;=10,'前提と出典'!D73+'前提と出典'!E73,IF(C851&lt;=100,'前提と出典'!D74+'前提と出典'!E74,IF(C851&lt;=500,'前提と出典'!D75+'前提と出典'!E75,'前提と出典'!D76+'前提と出典'!E76))))</ns0:f>
        <ns0:v>86510.9346263078</ns0:v>
      </ns0:c>
      <ns0:c r="O851" s="16">
        <ns0:f>IF('前提と出典'!$C$36+'前提と出典'!$C$38=0,0,'前提と出典'!$B$4*IF('前提と出典'!$B$20=0,MAX('前提と出典'!$B$6,D851*'前提と出典'!$B$5),'前提と出典'!$B$6+D851*'前提と出典'!$B$5))</ns0:f>
        <ns0:v>841056.8044692738</ns0:v>
      </ns0:c>
      <ns0:c r="P851" s="16">
        <ns0:f>(E851+G851)*(1-'前提と出典'!$B$7)-I851-K851-M851-O851</ns0:f>
        <ns0:v>2364218.2917295173</ns0:v>
      </ns0:c>
      <ns0:c r="Q851" s="16">
        <ns0:f>(F851+H851)*(1-'前提と出典'!$B$7)-J851-L851-N851</ns0:f>
        <ns0:v>700173.6751345091</ns0:v>
      </ns0:c>
      <ns0:c r="R851" s="16">
        <ns0:f>P851-E851*'前提と出典'!$E$4</ns0:f>
        <ns0:v>1725443.1819340014</ns0:v>
      </ns0:c>
      <ns0:c r="S851" s="16">
        <ns0:f>Q851-F851*'前提と出典'!$E$4</ns0:f>
        <ns0:v>514561.9562615431</ns0:v>
      </ns0:c>
      <ns0:c r="T851" s="7">
        <ns0:f>R851+S851</ns0:f>
        <ns0:v>2240005.1381955445</ns0:v>
      </ns0:c>
      <ns0:c r="U851" s="16">
        <ns0:f>P851-E851*'前提と出典'!$E$5</ns0:f>
        <ns0:v>1512518.145335496</ns0:v>
      </ns0:c>
      <ns0:c r="V851" s="16">
        <ns0:f>Q851-F851*'前提と出典'!$E$5</ns0:f>
        <ns0:v>452691.3833038879</ns0:v>
      </ns0:c>
      <ns0:c r="W851" s="7">
        <ns0:f>U851+V851</ns0:f>
        <ns0:v>1965209.5286393838</ns0:v>
      </ns0:c>
      <ns0:c r="X851" s="16">
        <ns0:f>P851-E851*'前提と出典'!$E$6</ns0:f>
        <ns0:v>1299593.1087369905</ns0:v>
      </ns0:c>
      <ns0:c r="Y851" s="16">
        <ns0:f>Q851-F851*'前提と出典'!$E$6</ns0:f>
        <ns0:v>390820.81034623255</ns0:v>
      </ns0:c>
      <ns0:c r="Z851" s="7">
        <ns0:f>X851+Y851</ns0:f>
        <ns0:v>1690413.919083223</ns0:v>
      </ns0:c>
      <ns0:c r="AA851" s="7">
        <ns0:f>IF(T851&gt;=0,A851,1001)</ns0:f>
        <ns0:v>847</ns0:v>
      </ns0:c>
      <ns0:c r="AB851" s="7">
        <ns0:f>IF(T851&lt;0,A851,0)</ns0:f>
        <ns0:v>0</ns0:v>
      </ns0:c>
      <ns0:c r="AC851" s="16">
        <ns0:f>IF(AND(OR('前提と出典'!$C$36+'前提と出典'!$C$38=0,R851&gt;=0),OR('前提と出典'!$C$37+'前提と出典'!$C$38=0,S851&gt;=0)),0,A851)</ns0:f>
        <ns0:v>0</ns0:v>
      </ns0:c>
      <ns0:c r="AD851" s="7">
        <ns0:f>IF(W851&gt;=0,A851,1001)</ns0:f>
        <ns0:v>847</ns0:v>
      </ns0:c>
      <ns0:c r="AE851" s="7">
        <ns0:f>IF(W851&lt;0,A851,0)</ns0:f>
        <ns0:v>0</ns0:v>
      </ns0:c>
      <ns0:c r="AF851" s="16">
        <ns0:f>IF(AND(OR('前提と出典'!$C$36+'前提と出典'!$C$38=0,U851&gt;=0),OR('前提と出典'!$C$37+'前提と出典'!$C$38=0,V851&gt;=0)),0,A851)</ns0:f>
        <ns0:v>0</ns0:v>
      </ns0:c>
      <ns0:c r="AG851" s="7">
        <ns0:f>IF(Z851&gt;=0,A851,1001)</ns0:f>
        <ns0:v>847</ns0:v>
      </ns0:c>
      <ns0:c r="AH851" s="4">
        <ns0:f>IF(Z851&lt;0,A851,0)</ns0:f>
        <ns0:v>0</ns0:v>
      </ns0:c>
      <ns0:c r="AI851" s="12">
        <ns0:f>IF(AND(OR('前提と出典'!$C$36+'前提と出典'!$C$38=0,X851&gt;=0),OR('前提と出典'!$C$37+'前提と出典'!$C$38=0,Y851&gt;=0)),0,A851)</ns0:f>
        <ns0:v>0</ns0:v>
      </ns0:c>
    </ns0:row>
    <ns0:row r="852" ht="24" customHeight="1">
      <ns0:c r="A852" s="4" t="n">
        <ns0:v>848</ns0:v>
      </ns0:c>
      <ns0:c r="B852" s="12">
        <ns0:f>A852*('前提と出典'!$C$36+'前提と出典'!$C$38)</ns0:f>
        <ns0:v>593.5999999999999</ns0:v>
      </ns0:c>
      <ns0:c r="C852" s="12">
        <ns0:f>A852*('前提と出典'!$C$37+'前提と出典'!$C$38)</ns0:f>
        <ns0:v>508.79999999999995</ns0:v>
      </ns0:c>
      <ns0:c r="D852" s="16">
        <ns0:f>A852*('前提と出典'!$C$36*'契約別単価'!C5+'前提と出典'!$C$37*'契約別単価'!C6+'前提と出典'!$C$38*'契約別単価'!C7)</ns0:f>
        <ns0:v>6101.810055865922</ns0:v>
      </ns0:c>
      <ns0:c r="E852" s="16">
        <ns0:f>A852*('前提と出典'!$C$36*'契約別単価'!E5+'前提と出典'!$C$37*'契約別単価'!E6+'前提と出典'!$C$38*'契約別単価'!E7)</ns0:f>
        <ns0:v>2131764.2389082946</ns0:v>
      </ns0:c>
      <ns0:c r="F852" s="16">
        <ns0:f>A852*('前提と出典'!$C$36*'契約別単価'!F5+'前提と出典'!$C$37*'契約別単価'!F6+'前提と出典'!$C$38*'契約別単価'!F7)</ns0:f>
        <ns0:v>619436.1967897485</ns0:v>
      </ns0:c>
      <ns0:c r="G852" s="16">
        <ns0:f>A852*('前提と出典'!$C$36*'契約別単価'!G5+'前提と出典'!$C$37*'契約別単価'!G6+'前提と出典'!$C$38*'契約別単価'!G7)</ns0:f>
        <ns0:v>1687946.3687150837</ns0:v>
      </ns0:c>
      <ns0:c r="H852" s="16">
        <ns0:f>A852*('前提と出典'!$C$36*'契約別単価'!H5+'前提と出典'!$C$37*'契約別単価'!H6+'前提と出典'!$C$38*'契約別単価'!H7)</ns0:f>
        <ns0:v>585802.0471070434</ns0:v>
      </ns0:c>
      <ns0:c r="I852" s="16">
        <ns0:f>A852*('前提と出典'!$C$36*'契約別単価'!I5+'前提と出典'!$C$37*'契約別単価'!I6+'前提と出典'!$C$38*'契約別単価'!I7)</ns0:f>
        <ns0:v>35781.81005586591</ns0:v>
      </ns0:c>
      <ns0:c r="J852" s="16">
        <ns0:f>A852*('前提と出典'!$C$36*'契約別単価'!J5+'前提と出典'!$C$37*'契約別単価'!J6+'前提と出典'!$C$38*'契約別単価'!J7)</ns0:f>
        <ns0:v>83349.53306633657</ns0:v>
      </ns0:c>
      <ns0:c r="K852" s="16">
        <ns0:f>A852*('前提と出典'!$C$36*'契約別単価'!K5+'前提と出典'!$C$37*'契約別単価'!K6+'前提と出典'!$C$38*'契約別単価'!K7)</ns0:f>
        <ns0:v>357265.4003724395</ns0:v>
      </ns0:c>
      <ns0:c r="L852" s="16">
        <ns0:f>A852*('前提と出典'!$C$36*'契約別単価'!L5+'前提と出典'!$C$37*'契約別単価'!L6+'前提と出典'!$C$38*'契約別単価'!L7)</ns0:f>
        <ns0:v>290886.7349035681</ns0:v>
      </ns0:c>
      <ns0:c r="M852" s="16">
        <ns0:f>IF(('前提と出典'!$C$36+'前提と出典'!$C$38)=0,0,IF(B852&lt;=10,'前提と出典'!B73+'前提と出典'!C73,IF(B852&lt;=100,'前提と出典'!B74+'前提と出典'!C74,IF(B852&lt;=500,'前提と出典'!B75+'前提と出典'!C75,'前提と出典'!B76+'前提と出典'!C76))))</ns0:f>
        <ns0:v>80000</ns0:v>
      </ns0:c>
      <ns0:c r="N852" s="16">
        <ns0:f>IF(('前提と出典'!$C$37+'前提と出典'!$C$38)=0,0,IF(C852&lt;=10,'前提と出典'!D73+'前提と出典'!E73,IF(C852&lt;=100,'前提と出典'!D74+'前提と出典'!E74,IF(C852&lt;=500,'前提と出典'!D75+'前提と出典'!E75,'前提と出典'!D76+'前提と出典'!E76))))</ns0:f>
        <ns0:v>86510.9346263078</ns0:v>
      </ns0:c>
      <ns0:c r="O852" s="16">
        <ns0:f>IF('前提と出典'!$C$36+'前提と出典'!$C$38=0,0,'前提と出典'!$B$4*IF('前提と出典'!$B$20=0,MAX('前提と出典'!$B$6,D852*'前提と出典'!$B$5),'前提と出典'!$B$6+D852*'前提と出典'!$B$5))</ns0:f>
        <ns0:v>842049.7877094973</ns0:v>
      </ns0:c>
      <ns0:c r="P852" s="16">
        <ns0:f>(E852+G852)*(1-'前提と出典'!$B$7)-I852-K852-M852-O852</ns0:f>
        <ns0:v>2367104.0276111336</ns0:v>
      </ns0:c>
      <ns0:c r="Q852" s="16">
        <ns0:f>(F852+H852)*(1-'前提と出典'!$B$7)-J852-L852-N852</ns0:f>
        <ns0:v>701102.4645202949</ns0:v>
      </ns0:c>
      <ns0:c r="R852" s="16">
        <ns0:f>P852-E852*'前提と出典'!$E$4</ns0:f>
        <ns0:v>1727574.7559386455</ns0:v>
      </ns0:c>
      <ns0:c r="S852" s="16">
        <ns0:f>Q852-F852*'前提と出典'!$E$4</ns0:f>
        <ns0:v>515271.60548337037</ns0:v>
      </ns0:c>
      <ns0:c r="T852" s="7">
        <ns0:f>R852+S852</ns0:f>
        <ns0:v>2242846.361422016</ns0:v>
      </ns0:c>
      <ns0:c r="U852" s="16">
        <ns0:f>P852-E852*'前提と出典'!$E$5</ns0:f>
        <ns0:v>1514398.332047816</ns0:v>
      </ns0:c>
      <ns0:c r="V852" s="16">
        <ns0:f>Q852-F852*'前提と出典'!$E$5</ns0:f>
        <ns0:v>453327.9858043955</ns0:v>
      </ns0:c>
      <ns0:c r="W852" s="7">
        <ns0:f>U852+V852</ns0:f>
        <ns0:v>1967726.3178522114</ns0:v>
      </ns0:c>
      <ns0:c r="X852" s="16">
        <ns0:f>P852-E852*'前提と出典'!$E$6</ns0:f>
        <ns0:v>1301221.9081569863</ns0:v>
      </ns0:c>
      <ns0:c r="Y852" s="16">
        <ns0:f>Q852-F852*'前提と出典'!$E$6</ns0:f>
        <ns0:v>391384.3661254207</ns0:v>
      </ns0:c>
      <ns0:c r="Z852" s="7">
        <ns0:f>X852+Y852</ns0:f>
        <ns0:v>1692606.274282407</ns0:v>
      </ns0:c>
      <ns0:c r="AA852" s="7">
        <ns0:f>IF(T852&gt;=0,A852,1001)</ns0:f>
        <ns0:v>848</ns0:v>
      </ns0:c>
      <ns0:c r="AB852" s="7">
        <ns0:f>IF(T852&lt;0,A852,0)</ns0:f>
        <ns0:v>0</ns0:v>
      </ns0:c>
      <ns0:c r="AC852" s="16">
        <ns0:f>IF(AND(OR('前提と出典'!$C$36+'前提と出典'!$C$38=0,R852&gt;=0),OR('前提と出典'!$C$37+'前提と出典'!$C$38=0,S852&gt;=0)),0,A852)</ns0:f>
        <ns0:v>0</ns0:v>
      </ns0:c>
      <ns0:c r="AD852" s="7">
        <ns0:f>IF(W852&gt;=0,A852,1001)</ns0:f>
        <ns0:v>848</ns0:v>
      </ns0:c>
      <ns0:c r="AE852" s="7">
        <ns0:f>IF(W852&lt;0,A852,0)</ns0:f>
        <ns0:v>0</ns0:v>
      </ns0:c>
      <ns0:c r="AF852" s="16">
        <ns0:f>IF(AND(OR('前提と出典'!$C$36+'前提と出典'!$C$38=0,U852&gt;=0),OR('前提と出典'!$C$37+'前提と出典'!$C$38=0,V852&gt;=0)),0,A852)</ns0:f>
        <ns0:v>0</ns0:v>
      </ns0:c>
      <ns0:c r="AG852" s="7">
        <ns0:f>IF(Z852&gt;=0,A852,1001)</ns0:f>
        <ns0:v>848</ns0:v>
      </ns0:c>
      <ns0:c r="AH852" s="4">
        <ns0:f>IF(Z852&lt;0,A852,0)</ns0:f>
        <ns0:v>0</ns0:v>
      </ns0:c>
      <ns0:c r="AI852" s="12">
        <ns0:f>IF(AND(OR('前提と出典'!$C$36+'前提と出典'!$C$38=0,X852&gt;=0),OR('前提と出典'!$C$37+'前提と出典'!$C$38=0,Y852&gt;=0)),0,A852)</ns0:f>
        <ns0:v>0</ns0:v>
      </ns0:c>
    </ns0:row>
    <ns0:row r="853" ht="24" customHeight="1">
      <ns0:c r="A853" s="4" t="n">
        <ns0:v>849</ns0:v>
      </ns0:c>
      <ns0:c r="B853" s="12">
        <ns0:f>A853*('前提と出典'!$C$36+'前提と出典'!$C$38)</ns0:f>
        <ns0:v>594.3</ns0:v>
      </ns0:c>
      <ns0:c r="C853" s="12">
        <ns0:f>A853*('前提と出典'!$C$37+'前提と出典'!$C$38)</ns0:f>
        <ns0:v>509.4</ns0:v>
      </ns0:c>
      <ns0:c r="D853" s="16">
        <ns0:f>A853*('前提と出典'!$C$36*'契約別単価'!C5+'前提と出典'!$C$37*'契約別単価'!C6+'前提と出典'!$C$38*'契約別単価'!C7)</ns0:f>
        <ns0:v>6109.005586592179</ns0:v>
      </ns0:c>
      <ns0:c r="E853" s="16">
        <ns0:f>A853*('前提と出典'!$C$36*'契約別単価'!E5+'前提と出典'!$C$37*'契約別単価'!E6+'前提と出典'!$C$38*'契約別単価'!E7)</ns0:f>
        <ns0:v>2134278.111831535</ns0:v>
      </ns0:c>
      <ns0:c r="F853" s="16">
        <ns0:f>A853*('前提と出典'!$C$36*'契約別単価'!F5+'前提と出典'!$C$37*'契約別単価'!F6+'前提と出典'!$C$38*'契約別単価'!F7)</ns0:f>
        <ns0:v>620166.664002944</ns0:v>
      </ns0:c>
      <ns0:c r="G853" s="16">
        <ns0:f>A853*('前提と出典'!$C$36*'契約別単価'!G5+'前提と出典'!$C$37*'契約別単価'!G6+'前提と出典'!$C$38*'契約別単価'!G7)</ns0:f>
        <ns0:v>1689936.8715083797</ns0:v>
      </ns0:c>
      <ns0:c r="H853" s="16">
        <ns0:f>A853*('前提と出典'!$C$36*'契約別単価'!H5+'前提と出典'!$C$37*'契約別単価'!H6+'前提と出典'!$C$38*'契約別単価'!H7)</ns0:f>
        <ns0:v>586492.8514078773</ns0:v>
      </ns0:c>
      <ns0:c r="I853" s="16">
        <ns0:f>A853*('前提と出典'!$C$36*'契約別単価'!I5+'前提と出典'!$C$37*'契約別単価'!I6+'前提と出典'!$C$38*'契約別単価'!I7)</ns0:f>
        <ns0:v>35824.005586592175</ns0:v>
      </ns0:c>
      <ns0:c r="J853" s="16">
        <ns0:f>A853*('前提と出典'!$C$36*'契約別単価'!J5+'前提と出典'!$C$37*'契約別単価'!J6+'前提と出典'!$C$38*'契約別単価'!J7)</ns0:f>
        <ns0:v>83447.82261004687</ns0:v>
      </ns0:c>
      <ns0:c r="K853" s="16">
        <ns0:f>A853*('前提と出典'!$C$36*'契約別単価'!K5+'前提と出典'!$C$37*'契約別単価'!K6+'前提と出典'!$C$38*'契約別単価'!K7)</ns0:f>
        <ns0:v>357686.7039106145</ns0:v>
      </ns0:c>
      <ns0:c r="L853" s="16">
        <ns0:f>A853*('前提と出典'!$C$36*'契約別単価'!L5+'前提と出典'!$C$37*'契約別単価'!L6+'前提と出典'!$C$38*'契約別単価'!L7)</ns0:f>
        <ns0:v>291229.7617135959</ns0:v>
      </ns0:c>
      <ns0:c r="M853" s="16">
        <ns0:f>IF(('前提と出典'!$C$36+'前提と出典'!$C$38)=0,0,IF(B853&lt;=10,'前提と出典'!B73+'前提と出典'!C73,IF(B853&lt;=100,'前提と出典'!B74+'前提と出典'!C74,IF(B853&lt;=500,'前提と出典'!B75+'前提と出典'!C75,'前提と出典'!B76+'前提と出典'!C76))))</ns0:f>
        <ns0:v>80000</ns0:v>
      </ns0:c>
      <ns0:c r="N853" s="16">
        <ns0:f>IF(('前提と出典'!$C$37+'前提と出典'!$C$38)=0,0,IF(C853&lt;=10,'前提と出典'!D73+'前提と出典'!E73,IF(C853&lt;=100,'前提と出典'!D74+'前提と出典'!E74,IF(C853&lt;=500,'前提と出典'!D75+'前提と出典'!E75,'前提と出典'!D76+'前提と出典'!E76))))</ns0:f>
        <ns0:v>86510.9346263078</ns0:v>
      </ns0:c>
      <ns0:c r="O853" s="16">
        <ns0:f>IF('前提と出典'!$C$36+'前提と出典'!$C$38=0,0,'前提と出典'!$B$4*IF('前提と出典'!$B$20=0,MAX('前提と出典'!$B$6,D853*'前提と出典'!$B$5),'前提と出典'!$B$6+D853*'前提と出典'!$B$5))</ns0:f>
        <ns0:v>843042.7709497208</ns0:v>
      </ns0:c>
      <ns0:c r="P853" s="16">
        <ns0:f>(E853+G853)*(1-'前提と出典'!$B$7)-I853-K853-M853-O853</ns0:f>
        <ns0:v>2369989.763492751</ns0:v>
      </ns0:c>
      <ns0:c r="Q853" s="16">
        <ns0:f>(F853+H853)*(1-'前提と出典'!$B$7)-J853-L853-N853</ns0:f>
        <ns0:v>702031.2539060814</ns0:v>
      </ns0:c>
      <ns0:c r="R853" s="16">
        <ns0:f>P853-E853*'前提と出典'!$E$4</ns0:f>
        <ns0:v>1729706.3299432904</ns0:v>
      </ns0:c>
      <ns0:c r="S853" s="16">
        <ns0:f>Q853-F853*'前提と出典'!$E$4</ns0:f>
        <ns0:v>515981.2547051981</ns0:v>
      </ns0:c>
      <ns0:c r="T853" s="7">
        <ns0:f>R853+S853</ns0:f>
        <ns0:v>2245687.5846484886</ns0:v>
      </ns0:c>
      <ns0:c r="U853" s="16">
        <ns0:f>P853-E853*'前提と出典'!$E$5</ns0:f>
        <ns0:v>1516278.5187601368</ns0:v>
      </ns0:c>
      <ns0:c r="V853" s="16">
        <ns0:f>Q853-F853*'前提と出典'!$E$5</ns0:f>
        <ns0:v>453964.5883049038</ns0:v>
      </ns0:c>
      <ns0:c r="W853" s="7">
        <ns0:f>U853+V853</ns0:f>
        <ns0:v>1970243.1070650406</ns0:v>
      </ns0:c>
      <ns0:c r="X853" s="16">
        <ns0:f>P853-E853*'前提と出典'!$E$6</ns0:f>
        <ns0:v>1302850.7075769836</ns0:v>
      </ns0:c>
      <ns0:c r="Y853" s="16">
        <ns0:f>Q853-F853*'前提と出典'!$E$6</ns0:f>
        <ns0:v>391947.92190460936</ns0:v>
      </ns0:c>
      <ns0:c r="Z853" s="7">
        <ns0:f>X853+Y853</ns0:f>
        <ns0:v>1694798.629481593</ns0:v>
      </ns0:c>
      <ns0:c r="AA853" s="7">
        <ns0:f>IF(T853&gt;=0,A853,1001)</ns0:f>
        <ns0:v>849</ns0:v>
      </ns0:c>
      <ns0:c r="AB853" s="7">
        <ns0:f>IF(T853&lt;0,A853,0)</ns0:f>
        <ns0:v>0</ns0:v>
      </ns0:c>
      <ns0:c r="AC853" s="16">
        <ns0:f>IF(AND(OR('前提と出典'!$C$36+'前提と出典'!$C$38=0,R853&gt;=0),OR('前提と出典'!$C$37+'前提と出典'!$C$38=0,S853&gt;=0)),0,A853)</ns0:f>
        <ns0:v>0</ns0:v>
      </ns0:c>
      <ns0:c r="AD853" s="7">
        <ns0:f>IF(W853&gt;=0,A853,1001)</ns0:f>
        <ns0:v>849</ns0:v>
      </ns0:c>
      <ns0:c r="AE853" s="7">
        <ns0:f>IF(W853&lt;0,A853,0)</ns0:f>
        <ns0:v>0</ns0:v>
      </ns0:c>
      <ns0:c r="AF853" s="16">
        <ns0:f>IF(AND(OR('前提と出典'!$C$36+'前提と出典'!$C$38=0,U853&gt;=0),OR('前提と出典'!$C$37+'前提と出典'!$C$38=0,V853&gt;=0)),0,A853)</ns0:f>
        <ns0:v>0</ns0:v>
      </ns0:c>
      <ns0:c r="AG853" s="7">
        <ns0:f>IF(Z853&gt;=0,A853,1001)</ns0:f>
        <ns0:v>849</ns0:v>
      </ns0:c>
      <ns0:c r="AH853" s="4">
        <ns0:f>IF(Z853&lt;0,A853,0)</ns0:f>
        <ns0:v>0</ns0:v>
      </ns0:c>
      <ns0:c r="AI853" s="12">
        <ns0:f>IF(AND(OR('前提と出典'!$C$36+'前提と出典'!$C$38=0,X853&gt;=0),OR('前提と出典'!$C$37+'前提と出典'!$C$38=0,Y853&gt;=0)),0,A853)</ns0:f>
        <ns0:v>0</ns0:v>
      </ns0:c>
    </ns0:row>
    <ns0:row r="854" ht="24" customHeight="1">
      <ns0:c r="A854" s="4" t="n">
        <ns0:v>850</ns0:v>
      </ns0:c>
      <ns0:c r="B854" s="12">
        <ns0:f>A854*('前提と出典'!$C$36+'前提と出典'!$C$38)</ns0:f>
        <ns0:v>595</ns0:v>
      </ns0:c>
      <ns0:c r="C854" s="12">
        <ns0:f>A854*('前提と出典'!$C$37+'前提と出典'!$C$38)</ns0:f>
        <ns0:v>510</ns0:v>
      </ns0:c>
      <ns0:c r="D854" s="16">
        <ns0:f>A854*('前提と出典'!$C$36*'契約別単価'!C5+'前提と出典'!$C$37*'契約別単価'!C6+'前提と出典'!$C$38*'契約別単価'!C7)</ns0:f>
        <ns0:v>6116.2011173184355</ns0:v>
      </ns0:c>
      <ns0:c r="E854" s="16">
        <ns0:f>A854*('前提と出典'!$C$36*'契約別単価'!E5+'前提と出典'!$C$37*'契約別単価'!E6+'前提と出典'!$C$38*'契約別単価'!E7)</ns0:f>
        <ns0:v>2136791.984754776</ns0:v>
      </ns0:c>
      <ns0:c r="F854" s="16">
        <ns0:f>A854*('前提と出典'!$C$36*'契約別単価'!F5+'前提と出典'!$C$37*'契約別単価'!F6+'前提と出典'!$C$38*'契約別単価'!F7)</ns0:f>
        <ns0:v>620897.1312161394</ns0:v>
      </ns0:c>
      <ns0:c r="G854" s="16">
        <ns0:f>A854*('前提と出典'!$C$36*'契約別単価'!G5+'前提と出典'!$C$37*'契約別単価'!G6+'前提と出典'!$C$38*'契約別単価'!G7)</ns0:f>
        <ns0:v>1691927.374301676</ns0:v>
      </ns0:c>
      <ns0:c r="H854" s="16">
        <ns0:f>A854*('前提と出典'!$C$36*'契約別単価'!H5+'前提と出典'!$C$37*'契約別単価'!H6+'前提と出典'!$C$38*'契約別単価'!H7)</ns0:f>
        <ns0:v>587183.655708711</ns0:v>
      </ns0:c>
      <ns0:c r="I854" s="16">
        <ns0:f>A854*('前提と出典'!$C$36*'契約別単価'!I5+'前提と出典'!$C$37*'契約別単価'!I6+'前提と出典'!$C$38*'契約別単価'!I7)</ns0:f>
        <ns0:v>35866.20111731843</ns0:v>
      </ns0:c>
      <ns0:c r="J854" s="16">
        <ns0:f>A854*('前提と出典'!$C$36*'契約別単価'!J5+'前提と出典'!$C$37*'契約別単価'!J6+'前提と出典'!$C$38*'契約別単価'!J7)</ns0:f>
        <ns0:v>83546.11215375719</ns0:v>
      </ns0:c>
      <ns0:c r="K854" s="16">
        <ns0:f>A854*('前提と出典'!$C$36*'契約別単価'!K5+'前提と出典'!$C$37*'契約別単価'!K6+'前提と出典'!$C$38*'契約別単価'!K7)</ns0:f>
        <ns0:v>358108.00744878955</ns0:v>
      </ns0:c>
      <ns0:c r="L854" s="16">
        <ns0:f>A854*('前提と出典'!$C$36*'契約別単価'!L5+'前提と出典'!$C$37*'契約別単価'!L6+'前提と出典'!$C$38*'契約別単価'!L7)</ns0:f>
        <ns0:v>291572.7885236237</ns0:v>
      </ns0:c>
      <ns0:c r="M854" s="16">
        <ns0:f>IF(('前提と出典'!$C$36+'前提と出典'!$C$38)=0,0,IF(B854&lt;=10,'前提と出典'!B73+'前提と出典'!C73,IF(B854&lt;=100,'前提と出典'!B74+'前提と出典'!C74,IF(B854&lt;=500,'前提と出典'!B75+'前提と出典'!C75,'前提と出典'!B76+'前提と出典'!C76))))</ns0:f>
        <ns0:v>80000</ns0:v>
      </ns0:c>
      <ns0:c r="N854" s="16">
        <ns0:f>IF(('前提と出典'!$C$37+'前提と出典'!$C$38)=0,0,IF(C854&lt;=10,'前提と出典'!D73+'前提と出典'!E73,IF(C854&lt;=100,'前提と出典'!D74+'前提と出典'!E74,IF(C854&lt;=500,'前提と出典'!D75+'前提と出典'!E75,'前提と出典'!D76+'前提と出典'!E76))))</ns0:f>
        <ns0:v>86510.9346263078</ns0:v>
      </ns0:c>
      <ns0:c r="O854" s="16">
        <ns0:f>IF('前提と出典'!$C$36+'前提と出典'!$C$38=0,0,'前提と出典'!$B$4*IF('前提と出典'!$B$20=0,MAX('前提と出典'!$B$6,D854*'前提と出典'!$B$5),'前提と出典'!$B$6+D854*'前提と出典'!$B$5))</ns0:f>
        <ns0:v>844035.7541899442</ns0:v>
      </ns0:c>
      <ns0:c r="P854" s="16">
        <ns0:f>(E854+G854)*(1-'前提と出典'!$B$7)-I854-K854-M854-O854</ns0:f>
        <ns0:v>2372875.4993743673</ns0:v>
      </ns0:c>
      <ns0:c r="Q854" s="16">
        <ns0:f>(F854+H854)*(1-'前提と出典'!$B$7)-J854-L854-N854</ns0:f>
        <ns0:v>702960.043291867</ns0:v>
      </ns0:c>
      <ns0:c r="R854" s="16">
        <ns0:f>P854-E854*'前提と出典'!$E$4</ns0:f>
        <ns0:v>1731837.9039479345</ns0:v>
      </ns0:c>
      <ns0:c r="S854" s="16">
        <ns0:f>Q854-F854*'前提と出典'!$E$4</ns0:f>
        <ns0:v>516690.90392702515</ns0:v>
      </ns0:c>
      <ns0:c r="T854" s="7">
        <ns0:f>R854+S854</ns0:f>
        <ns0:v>2248528.80787496</ns0:v>
      </ns0:c>
      <ns0:c r="U854" s="16">
        <ns0:f>P854-E854*'前提と出典'!$E$5</ns0:f>
        <ns0:v>1518158.7054724568</ns0:v>
      </ns0:c>
      <ns0:c r="V854" s="16">
        <ns0:f>Q854-F854*'前提と出典'!$E$5</ns0:f>
        <ns0:v>454601.1908054112</ns0:v>
      </ns0:c>
      <ns0:c r="W854" s="7">
        <ns0:f>U854+V854</ns0:f>
        <ns0:v>1972759.896277868</ns0:v>
      </ns0:c>
      <ns0:c r="X854" s="16">
        <ns0:f>P854-E854*'前提と出典'!$E$6</ns0:f>
        <ns0:v>1304479.506996979</ns0:v>
      </ns0:c>
      <ns0:c r="Y854" s="16">
        <ns0:f>Q854-F854*'前提と出典'!$E$6</ns0:f>
        <ns0:v>392511.47768379725</ns0:v>
      </ns0:c>
      <ns0:c r="Z854" s="7">
        <ns0:f>X854+Y854</ns0:f>
        <ns0:v>1696990.9846807763</ns0:v>
      </ns0:c>
      <ns0:c r="AA854" s="7">
        <ns0:f>IF(T854&gt;=0,A854,1001)</ns0:f>
        <ns0:v>850</ns0:v>
      </ns0:c>
      <ns0:c r="AB854" s="7">
        <ns0:f>IF(T854&lt;0,A854,0)</ns0:f>
        <ns0:v>0</ns0:v>
      </ns0:c>
      <ns0:c r="AC854" s="16">
        <ns0:f>IF(AND(OR('前提と出典'!$C$36+'前提と出典'!$C$38=0,R854&gt;=0),OR('前提と出典'!$C$37+'前提と出典'!$C$38=0,S854&gt;=0)),0,A854)</ns0:f>
        <ns0:v>0</ns0:v>
      </ns0:c>
      <ns0:c r="AD854" s="7">
        <ns0:f>IF(W854&gt;=0,A854,1001)</ns0:f>
        <ns0:v>850</ns0:v>
      </ns0:c>
      <ns0:c r="AE854" s="7">
        <ns0:f>IF(W854&lt;0,A854,0)</ns0:f>
        <ns0:v>0</ns0:v>
      </ns0:c>
      <ns0:c r="AF854" s="16">
        <ns0:f>IF(AND(OR('前提と出典'!$C$36+'前提と出典'!$C$38=0,U854&gt;=0),OR('前提と出典'!$C$37+'前提と出典'!$C$38=0,V854&gt;=0)),0,A854)</ns0:f>
        <ns0:v>0</ns0:v>
      </ns0:c>
      <ns0:c r="AG854" s="7">
        <ns0:f>IF(Z854&gt;=0,A854,1001)</ns0:f>
        <ns0:v>850</ns0:v>
      </ns0:c>
      <ns0:c r="AH854" s="4">
        <ns0:f>IF(Z854&lt;0,A854,0)</ns0:f>
        <ns0:v>0</ns0:v>
      </ns0:c>
      <ns0:c r="AI854" s="12">
        <ns0:f>IF(AND(OR('前提と出典'!$C$36+'前提と出典'!$C$38=0,X854&gt;=0),OR('前提と出典'!$C$37+'前提と出典'!$C$38=0,Y854&gt;=0)),0,A854)</ns0:f>
        <ns0:v>0</ns0:v>
      </ns0:c>
    </ns0:row>
    <ns0:row r="855" ht="24" customHeight="1">
      <ns0:c r="A855" s="4" t="n">
        <ns0:v>851</ns0:v>
      </ns0:c>
      <ns0:c r="B855" s="12">
        <ns0:f>A855*('前提と出典'!$C$36+'前提と出典'!$C$38)</ns0:f>
        <ns0:v>595.6999999999999</ns0:v>
      </ns0:c>
      <ns0:c r="C855" s="12">
        <ns0:f>A855*('前提と出典'!$C$37+'前提と出典'!$C$38)</ns0:f>
        <ns0:v>510.59999999999997</ns0:v>
      </ns0:c>
      <ns0:c r="D855" s="16">
        <ns0:f>A855*('前提と出典'!$C$36*'契約別単価'!C5+'前提と出典'!$C$37*'契約別単価'!C6+'前提と出典'!$C$38*'契約別単価'!C7)</ns0:f>
        <ns0:v>6123.3966480446925</ns0:v>
      </ns0:c>
      <ns0:c r="E855" s="16">
        <ns0:f>A855*('前提と出典'!$C$36*'契約別単価'!E5+'前提と出典'!$C$37*'契約別単価'!E6+'前提と出典'!$C$38*'契約別単価'!E7)</ns0:f>
        <ns0:v>2139305.857678017</ns0:v>
      </ns0:c>
      <ns0:c r="F855" s="16">
        <ns0:f>A855*('前提と出典'!$C$36*'契約別単価'!F5+'前提と出典'!$C$37*'契約別単価'!F6+'前提と出典'!$C$38*'契約別単価'!F7)</ns0:f>
        <ns0:v>621627.5984293349</ns0:v>
      </ns0:c>
      <ns0:c r="G855" s="16">
        <ns0:f>A855*('前提と出典'!$C$36*'契約別単価'!G5+'前提と出典'!$C$37*'契約別単価'!G6+'前提と出典'!$C$38*'契約別単価'!G7)</ns0:f>
        <ns0:v>1693917.877094972</ns0:v>
      </ns0:c>
      <ns0:c r="H855" s="16">
        <ns0:f>A855*('前提と出典'!$C$36*'契約別単価'!H5+'前提と出典'!$C$37*'契約別単価'!H6+'前提と出典'!$C$38*'契約別単価'!H7)</ns0:f>
        <ns0:v>587874.4600095449</ns0:v>
      </ns0:c>
      <ns0:c r="I855" s="16">
        <ns0:f>A855*('前提と出典'!$C$36*'契約別単価'!I5+'前提と出典'!$C$37*'契約別単価'!I6+'前提と出典'!$C$38*'契約別単価'!I7)</ns0:f>
        <ns0:v>35908.39664804468</ns0:v>
      </ns0:c>
      <ns0:c r="J855" s="16">
        <ns0:f>A855*('前提と出典'!$C$36*'契約別単価'!J5+'前提と出典'!$C$37*'契約別単価'!J6+'前提と出典'!$C$38*'契約別単価'!J7)</ns0:f>
        <ns0:v>83644.40169746749</ns0:v>
      </ns0:c>
      <ns0:c r="K855" s="16">
        <ns0:f>A855*('前提と出典'!$C$36*'契約別単価'!K5+'前提と出典'!$C$37*'契約別単価'!K6+'前提と出典'!$C$38*'契約別単価'!K7)</ns0:f>
        <ns0:v>358529.3109869646</ns0:v>
      </ns0:c>
      <ns0:c r="L855" s="16">
        <ns0:f>A855*('前提と出典'!$C$36*'契約別単価'!L5+'前提と出典'!$C$37*'契約別単価'!L6+'前提と出典'!$C$38*'契約別単価'!L7)</ns0:f>
        <ns0:v>291915.8153336515</ns0:v>
      </ns0:c>
      <ns0:c r="M855" s="16">
        <ns0:f>IF(('前提と出典'!$C$36+'前提と出典'!$C$38)=0,0,IF(B855&lt;=10,'前提と出典'!B73+'前提と出典'!C73,IF(B855&lt;=100,'前提と出典'!B74+'前提と出典'!C74,IF(B855&lt;=500,'前提と出典'!B75+'前提と出典'!C75,'前提と出典'!B76+'前提と出典'!C76))))</ns0:f>
        <ns0:v>80000</ns0:v>
      </ns0:c>
      <ns0:c r="N855" s="16">
        <ns0:f>IF(('前提と出典'!$C$37+'前提と出典'!$C$38)=0,0,IF(C855&lt;=10,'前提と出典'!D73+'前提と出典'!E73,IF(C855&lt;=100,'前提と出典'!D74+'前提と出典'!E74,IF(C855&lt;=500,'前提と出典'!D75+'前提と出典'!E75,'前提と出典'!D76+'前提と出典'!E76))))</ns0:f>
        <ns0:v>86510.9346263078</ns0:v>
      </ns0:c>
      <ns0:c r="O855" s="16">
        <ns0:f>IF('前提と出典'!$C$36+'前提と出典'!$C$38=0,0,'前提と出典'!$B$4*IF('前提と出典'!$B$20=0,MAX('前提と出典'!$B$6,D855*'前提と出典'!$B$5),'前提と出典'!$B$6+D855*'前提と出典'!$B$5))</ns0:f>
        <ns0:v>845028.7374301676</ns0:v>
      </ns0:c>
      <ns0:c r="P855" s="16">
        <ns0:f>(E855+G855)*(1-'前提と出典'!$B$7)-I855-K855-M855-O855</ns0:f>
        <ns0:v>2375761.2352559846</ns0:v>
      </ns0:c>
      <ns0:c r="Q855" s="16">
        <ns0:f>(F855+H855)*(1-'前提と出典'!$B$7)-J855-L855-N855</ns0:f>
        <ns0:v>703888.8326776534</ns0:v>
      </ns0:c>
      <ns0:c r="R855" s="16">
        <ns0:f>P855-E855*'前提と出典'!$E$4</ns0:f>
        <ns0:v>1733969.4779525797</ns0:v>
      </ns0:c>
      <ns0:c r="S855" s="16">
        <ns0:f>Q855-F855*'前提と出典'!$E$4</ns0:f>
        <ns0:v>517400.553148853</ns0:v>
      </ns0:c>
      <ns0:c r="T855" s="7">
        <ns0:f>R855+S855</ns0:f>
        <ns0:v>2251370.0311014326</ns0:v>
      </ns0:c>
      <ns0:c r="U855" s="16">
        <ns0:f>P855-E855*'前提と出典'!$E$5</ns0:f>
        <ns0:v>1520038.892184778</ns0:v>
      </ns0:c>
      <ns0:c r="V855" s="16">
        <ns0:f>Q855-F855*'前提と出典'!$E$5</ns0:f>
        <ns0:v>455237.7933059194</ns0:v>
      </ns0:c>
      <ns0:c r="W855" s="7">
        <ns0:f>U855+V855</ns0:f>
        <ns0:v>1975276.6854906972</ns0:v>
      </ns0:c>
      <ns0:c r="X855" s="16">
        <ns0:f>P855-E855*'前提と出典'!$E$6</ns0:f>
        <ns0:v>1306108.306416976</ns0:v>
      </ns0:c>
      <ns0:c r="Y855" s="16">
        <ns0:f>Q855-F855*'前提と出典'!$E$6</ns0:f>
        <ns0:v>393075.033462986</ns0:v>
      </ns0:c>
      <ns0:c r="Z855" s="7">
        <ns0:f>X855+Y855</ns0:f>
        <ns0:v>1699183.3398799622</ns0:v>
      </ns0:c>
      <ns0:c r="AA855" s="7">
        <ns0:f>IF(T855&gt;=0,A855,1001)</ns0:f>
        <ns0:v>851</ns0:v>
      </ns0:c>
      <ns0:c r="AB855" s="7">
        <ns0:f>IF(T855&lt;0,A855,0)</ns0:f>
        <ns0:v>0</ns0:v>
      </ns0:c>
      <ns0:c r="AC855" s="16">
        <ns0:f>IF(AND(OR('前提と出典'!$C$36+'前提と出典'!$C$38=0,R855&gt;=0),OR('前提と出典'!$C$37+'前提と出典'!$C$38=0,S855&gt;=0)),0,A855)</ns0:f>
        <ns0:v>0</ns0:v>
      </ns0:c>
      <ns0:c r="AD855" s="7">
        <ns0:f>IF(W855&gt;=0,A855,1001)</ns0:f>
        <ns0:v>851</ns0:v>
      </ns0:c>
      <ns0:c r="AE855" s="7">
        <ns0:f>IF(W855&lt;0,A855,0)</ns0:f>
        <ns0:v>0</ns0:v>
      </ns0:c>
      <ns0:c r="AF855" s="16">
        <ns0:f>IF(AND(OR('前提と出典'!$C$36+'前提と出典'!$C$38=0,U855&gt;=0),OR('前提と出典'!$C$37+'前提と出典'!$C$38=0,V855&gt;=0)),0,A855)</ns0:f>
        <ns0:v>0</ns0:v>
      </ns0:c>
      <ns0:c r="AG855" s="7">
        <ns0:f>IF(Z855&gt;=0,A855,1001)</ns0:f>
        <ns0:v>851</ns0:v>
      </ns0:c>
      <ns0:c r="AH855" s="4">
        <ns0:f>IF(Z855&lt;0,A855,0)</ns0:f>
        <ns0:v>0</ns0:v>
      </ns0:c>
      <ns0:c r="AI855" s="12">
        <ns0:f>IF(AND(OR('前提と出典'!$C$36+'前提と出典'!$C$38=0,X855&gt;=0),OR('前提と出典'!$C$37+'前提と出典'!$C$38=0,Y855&gt;=0)),0,A855)</ns0:f>
        <ns0:v>0</ns0:v>
      </ns0:c>
    </ns0:row>
    <ns0:row r="856" ht="24" customHeight="1">
      <ns0:c r="A856" s="4" t="n">
        <ns0:v>852</ns0:v>
      </ns0:c>
      <ns0:c r="B856" s="12">
        <ns0:f>A856*('前提と出典'!$C$36+'前提と出典'!$C$38)</ns0:f>
        <ns0:v>596.4</ns0:v>
      </ns0:c>
      <ns0:c r="C856" s="12">
        <ns0:f>A856*('前提と出典'!$C$37+'前提と出典'!$C$38)</ns0:f>
        <ns0:v>511.2</ns0:v>
      </ns0:c>
      <ns0:c r="D856" s="16">
        <ns0:f>A856*('前提と出典'!$C$36*'契約別単価'!C5+'前提と出典'!$C$37*'契約別単価'!C6+'前提と出典'!$C$38*'契約別単価'!C7)</ns0:f>
        <ns0:v>6130.592178770949</ns0:v>
      </ns0:c>
      <ns0:c r="E856" s="16">
        <ns0:f>A856*('前提と出典'!$C$36*'契約別単価'!E5+'前提と出典'!$C$37*'契約別単価'!E6+'前提と出典'!$C$38*'契約別単価'!E7)</ns0:f>
        <ns0:v>2141819.730601258</ns0:v>
      </ns0:c>
      <ns0:c r="F856" s="16">
        <ns0:f>A856*('前提と出典'!$C$36*'契約別単価'!F5+'前提と出典'!$C$37*'契約別単価'!F6+'前提と出典'!$C$38*'契約別単価'!F7)</ns0:f>
        <ns0:v>622358.0656425303</ns0:v>
      </ns0:c>
      <ns0:c r="G856" s="16">
        <ns0:f>A856*('前提と出典'!$C$36*'契約別単価'!G5+'前提と出典'!$C$37*'契約別単価'!G6+'前提と出典'!$C$38*'契約別単価'!G7)</ns0:f>
        <ns0:v>1695908.3798882682</ns0:v>
      </ns0:c>
      <ns0:c r="H856" s="16">
        <ns0:f>A856*('前提と出典'!$C$36*'契約別単価'!H5+'前提と出典'!$C$37*'契約別単価'!H6+'前提と出典'!$C$38*'契約別単価'!H7)</ns0:f>
        <ns0:v>588565.2643103786</ns0:v>
      </ns0:c>
      <ns0:c r="I856" s="16">
        <ns0:f>A856*('前提と出典'!$C$36*'契約別単価'!I5+'前提と出典'!$C$37*'契約別単価'!I6+'前提と出典'!$C$38*'契約別単価'!I7)</ns0:f>
        <ns0:v>35950.592178770945</ns0:v>
      </ns0:c>
      <ns0:c r="J856" s="16">
        <ns0:f>A856*('前提と出典'!$C$36*'契約別単価'!J5+'前提と出典'!$C$37*'契約別単価'!J6+'前提と出典'!$C$38*'契約別単価'!J7)</ns0:f>
        <ns0:v>83742.69124117779</ns0:v>
      </ns0:c>
      <ns0:c r="K856" s="16">
        <ns0:f>A856*('前提と出典'!$C$36*'契約別単価'!K5+'前提と出典'!$C$37*'契約別単価'!K6+'前提と出典'!$C$38*'契約別単価'!K7)</ns0:f>
        <ns0:v>358950.6145251396</ns0:v>
      </ns0:c>
      <ns0:c r="L856" s="16">
        <ns0:f>A856*('前提と出典'!$C$36*'契約別単価'!L5+'前提と出典'!$C$37*'契約別単価'!L6+'前提と出典'!$C$38*'契約別単価'!L7)</ns0:f>
        <ns0:v>292258.84214367927</ns0:v>
      </ns0:c>
      <ns0:c r="M856" s="16">
        <ns0:f>IF(('前提と出典'!$C$36+'前提と出典'!$C$38)=0,0,IF(B856&lt;=10,'前提と出典'!B73+'前提と出典'!C73,IF(B856&lt;=100,'前提と出典'!B74+'前提と出典'!C74,IF(B856&lt;=500,'前提と出典'!B75+'前提と出典'!C75,'前提と出典'!B76+'前提と出典'!C76))))</ns0:f>
        <ns0:v>80000</ns0:v>
      </ns0:c>
      <ns0:c r="N856" s="16">
        <ns0:f>IF(('前提と出典'!$C$37+'前提と出典'!$C$38)=0,0,IF(C856&lt;=10,'前提と出典'!D73+'前提と出典'!E73,IF(C856&lt;=100,'前提と出典'!D74+'前提と出典'!E74,IF(C856&lt;=500,'前提と出典'!D75+'前提と出典'!E75,'前提と出典'!D76+'前提と出典'!E76))))</ns0:f>
        <ns0:v>86510.9346263078</ns0:v>
      </ns0:c>
      <ns0:c r="O856" s="16">
        <ns0:f>IF('前提と出典'!$C$36+'前提と出典'!$C$38=0,0,'前提と出典'!$B$4*IF('前提と出典'!$B$20=0,MAX('前提と出典'!$B$6,D856*'前提と出典'!$B$5),'前提と出典'!$B$6+D856*'前提と出典'!$B$5))</ns0:f>
        <ns0:v>846021.720670391</ns0:v>
      </ns0:c>
      <ns0:c r="P856" s="16">
        <ns0:f>(E856+G856)*(1-'前提と出典'!$B$7)-I856-K856-M856-O856</ns0:f>
        <ns0:v>2378646.971137602</ns0:v>
      </ns0:c>
      <ns0:c r="Q856" s="16">
        <ns0:f>(F856+H856)*(1-'前提と出典'!$B$7)-J856-L856-N856</ns0:f>
        <ns0:v>704817.6220634392</ns0:v>
      </ns0:c>
      <ns0:c r="R856" s="16">
        <ns0:f>P856-E856*'前提と出典'!$E$4</ns0:f>
        <ns0:v>1736101.0519572245</ns0:v>
      </ns0:c>
      <ns0:c r="S856" s="16">
        <ns0:f>Q856-F856*'前提と出典'!$E$4</ns0:f>
        <ns0:v>518110.20237068017</ns0:v>
      </ns0:c>
      <ns0:c r="T856" s="7">
        <ns0:f>R856+S856</ns0:f>
        <ns0:v>2254211.2543279044</ns0:v>
      </ns0:c>
      <ns0:c r="U856" s="16">
        <ns0:f>P856-E856*'前提と出典'!$E$5</ns0:f>
        <ns0:v>1521919.0788970985</ns0:v>
      </ns0:c>
      <ns0:c r="V856" s="16">
        <ns0:f>Q856-F856*'前提と出典'!$E$5</ns0:f>
        <ns0:v>455874.3958064271</ns0:v>
      </ns0:c>
      <ns0:c r="W856" s="7">
        <ns0:f>U856+V856</ns0:f>
        <ns0:v>1977793.4747035257</ns0:v>
      </ns0:c>
      <ns0:c r="X856" s="16">
        <ns0:f>P856-E856*'前提と出典'!$E$6</ns0:f>
        <ns0:v>1307737.105836973</ns0:v>
      </ns0:c>
      <ns0:c r="Y856" s="16">
        <ns0:f>Q856-F856*'前提と出典'!$E$6</ns0:f>
        <ns0:v>393638.58924217406</ns0:v>
      </ns0:c>
      <ns0:c r="Z856" s="7">
        <ns0:f>X856+Y856</ns0:f>
        <ns0:v>1701375.6950791471</ns0:v>
      </ns0:c>
      <ns0:c r="AA856" s="7">
        <ns0:f>IF(T856&gt;=0,A856,1001)</ns0:f>
        <ns0:v>852</ns0:v>
      </ns0:c>
      <ns0:c r="AB856" s="7">
        <ns0:f>IF(T856&lt;0,A856,0)</ns0:f>
        <ns0:v>0</ns0:v>
      </ns0:c>
      <ns0:c r="AC856" s="16">
        <ns0:f>IF(AND(OR('前提と出典'!$C$36+'前提と出典'!$C$38=0,R856&gt;=0),OR('前提と出典'!$C$37+'前提と出典'!$C$38=0,S856&gt;=0)),0,A856)</ns0:f>
        <ns0:v>0</ns0:v>
      </ns0:c>
      <ns0:c r="AD856" s="7">
        <ns0:f>IF(W856&gt;=0,A856,1001)</ns0:f>
        <ns0:v>852</ns0:v>
      </ns0:c>
      <ns0:c r="AE856" s="7">
        <ns0:f>IF(W856&lt;0,A856,0)</ns0:f>
        <ns0:v>0</ns0:v>
      </ns0:c>
      <ns0:c r="AF856" s="16">
        <ns0:f>IF(AND(OR('前提と出典'!$C$36+'前提と出典'!$C$38=0,U856&gt;=0),OR('前提と出典'!$C$37+'前提と出典'!$C$38=0,V856&gt;=0)),0,A856)</ns0:f>
        <ns0:v>0</ns0:v>
      </ns0:c>
      <ns0:c r="AG856" s="7">
        <ns0:f>IF(Z856&gt;=0,A856,1001)</ns0:f>
        <ns0:v>852</ns0:v>
      </ns0:c>
      <ns0:c r="AH856" s="4">
        <ns0:f>IF(Z856&lt;0,A856,0)</ns0:f>
        <ns0:v>0</ns0:v>
      </ns0:c>
      <ns0:c r="AI856" s="12">
        <ns0:f>IF(AND(OR('前提と出典'!$C$36+'前提と出典'!$C$38=0,X856&gt;=0),OR('前提と出典'!$C$37+'前提と出典'!$C$38=0,Y856&gt;=0)),0,A856)</ns0:f>
        <ns0:v>0</ns0:v>
      </ns0:c>
    </ns0:row>
    <ns0:row r="857" ht="24" customHeight="1">
      <ns0:c r="A857" s="4" t="n">
        <ns0:v>853</ns0:v>
      </ns0:c>
      <ns0:c r="B857" s="12">
        <ns0:f>A857*('前提と出典'!$C$36+'前提と出典'!$C$38)</ns0:f>
        <ns0:v>597.0999999999999</ns0:v>
      </ns0:c>
      <ns0:c r="C857" s="12">
        <ns0:f>A857*('前提と出典'!$C$37+'前提と出典'!$C$38)</ns0:f>
        <ns0:v>511.79999999999995</ns0:v>
      </ns0:c>
      <ns0:c r="D857" s="16">
        <ns0:f>A857*('前提と出典'!$C$36*'契約別単価'!C5+'前提と出典'!$C$37*'契約別単価'!C6+'前提と出典'!$C$38*'契約別単価'!C7)</ns0:f>
        <ns0:v>6137.787709497206</ns0:v>
      </ns0:c>
      <ns0:c r="E857" s="16">
        <ns0:f>A857*('前提と出典'!$C$36*'契約別単価'!E5+'前提と出典'!$C$37*'契約別単価'!E6+'前提と出典'!$C$38*'契約別単価'!E7)</ns0:f>
        <ns0:v>2144333.603524499</ns0:v>
      </ns0:c>
      <ns0:c r="F857" s="16">
        <ns0:f>A857*('前提と出典'!$C$36*'契約別単価'!F5+'前提と出典'!$C$37*'契約別単価'!F6+'前提と出典'!$C$38*'契約別単価'!F7)</ns0:f>
        <ns0:v>623088.5328557258</ns0:v>
      </ns0:c>
      <ns0:c r="G857" s="16">
        <ns0:f>A857*('前提と出典'!$C$36*'契約別単価'!G5+'前提と出典'!$C$37*'契約別単価'!G6+'前提と出典'!$C$38*'契約別単価'!G7)</ns0:f>
        <ns0:v>1697898.8826815642</ns0:v>
      </ns0:c>
      <ns0:c r="H857" s="16">
        <ns0:f>A857*('前提と出典'!$C$36*'契約別単価'!H5+'前提と出典'!$C$37*'契約別単価'!H6+'前提と出典'!$C$38*'契約別単価'!H7)</ns0:f>
        <ns0:v>589256.0686112124</ns0:v>
      </ns0:c>
      <ns0:c r="I857" s="16">
        <ns0:f>A857*('前提と出典'!$C$36*'契約別単価'!I5+'前提と出典'!$C$37*'契約別単価'!I6+'前提と出典'!$C$38*'契約別単価'!I7)</ns0:f>
        <ns0:v>35992.7877094972</ns0:v>
      </ns0:c>
      <ns0:c r="J857" s="16">
        <ns0:f>A857*('前提と出典'!$C$36*'契約別単価'!J5+'前提と出典'!$C$37*'契約別単価'!J6+'前提と出典'!$C$38*'契約別単価'!J7)</ns0:f>
        <ns0:v>83840.98078488809</ns0:v>
      </ns0:c>
      <ns0:c r="K857" s="16">
        <ns0:f>A857*('前提と出典'!$C$36*'契約別単価'!K5+'前提と出典'!$C$37*'契約別単価'!K6+'前提と出典'!$C$38*'契約別単価'!K7)</ns0:f>
        <ns0:v>359371.9180633147</ns0:v>
      </ns0:c>
      <ns0:c r="L857" s="16">
        <ns0:f>A857*('前提と出典'!$C$36*'契約別単価'!L5+'前提と出典'!$C$37*'契約別単価'!L6+'前提と出典'!$C$38*'契約別単価'!L7)</ns0:f>
        <ns0:v>292601.86895370705</ns0:v>
      </ns0:c>
      <ns0:c r="M857" s="16">
        <ns0:f>IF(('前提と出典'!$C$36+'前提と出典'!$C$38)=0,0,IF(B857&lt;=10,'前提と出典'!B73+'前提と出典'!C73,IF(B857&lt;=100,'前提と出典'!B74+'前提と出典'!C74,IF(B857&lt;=500,'前提と出典'!B75+'前提と出典'!C75,'前提と出典'!B76+'前提と出典'!C76))))</ns0:f>
        <ns0:v>80000</ns0:v>
      </ns0:c>
      <ns0:c r="N857" s="16">
        <ns0:f>IF(('前提と出典'!$C$37+'前提と出典'!$C$38)=0,0,IF(C857&lt;=10,'前提と出典'!D73+'前提と出典'!E73,IF(C857&lt;=100,'前提と出典'!D74+'前提と出典'!E74,IF(C857&lt;=500,'前提と出典'!D75+'前提と出典'!E75,'前提と出典'!D76+'前提と出典'!E76))))</ns0:f>
        <ns0:v>86510.9346263078</ns0:v>
      </ns0:c>
      <ns0:c r="O857" s="16">
        <ns0:f>IF('前提と出典'!$C$36+'前提と出典'!$C$38=0,0,'前提と出典'!$B$4*IF('前提と出典'!$B$20=0,MAX('前提と出典'!$B$6,D857*'前提と出典'!$B$5),'前提と出典'!$B$6+D857*'前提と出典'!$B$5))</ns0:f>
        <ns0:v>847014.7039106145</ns0:v>
      </ns0:c>
      <ns0:c r="P857" s="16">
        <ns0:f>(E857+G857)*(1-'前提と出典'!$B$7)-I857-K857-M857-O857</ns0:f>
        <ns0:v>2381532.7070192182</ns0:v>
      </ns0:c>
      <ns0:c r="Q857" s="16">
        <ns0:f>(F857+H857)*(1-'前提と出典'!$B$7)-J857-L857-N857</ns0:f>
        <ns0:v>705746.4114492256</ns0:v>
      </ns0:c>
      <ns0:c r="R857" s="16">
        <ns0:f>P857-E857*'前提と出典'!$E$4</ns0:f>
        <ns0:v>1738232.6259618686</ns0:v>
      </ns0:c>
      <ns0:c r="S857" s="16">
        <ns0:f>Q857-F857*'前提と出典'!$E$4</ns0:f>
        <ns0:v>518819.851592508</ns0:v>
      </ns0:c>
      <ns0:c r="T857" s="7">
        <ns0:f>R857+S857</ns0:f>
        <ns0:v>2257052.4775543767</ns0:v>
      </ns0:c>
      <ns0:c r="U857" s="16">
        <ns0:f>P857-E857*'前提と出典'!$E$5</ns0:f>
        <ns0:v>1523799.2656094185</ns0:v>
      </ns0:c>
      <ns0:c r="V857" s="16">
        <ns0:f>Q857-F857*'前提と出典'!$E$5</ns0:f>
        <ns0:v>456510.9983069353</ns0:v>
      </ns0:c>
      <ns0:c r="W857" s="7">
        <ns0:f>U857+V857</ns0:f>
        <ns0:v>1980310.2639163537</ns0:v>
      </ns0:c>
      <ns0:c r="X857" s="16">
        <ns0:f>P857-E857*'前提と出典'!$E$6</ns0:f>
        <ns0:v>1309365.905256969</ns0:v>
      </ns0:c>
      <ns0:c r="Y857" s="16">
        <ns0:f>Q857-F857*'前提と出典'!$E$6</ns0:f>
        <ns0:v>394202.1450213628</ns0:v>
      </ns0:c>
      <ns0:c r="Z857" s="7">
        <ns0:f>X857+Y857</ns0:f>
        <ns0:v>1703568.0502783316</ns0:v>
      </ns0:c>
      <ns0:c r="AA857" s="7">
        <ns0:f>IF(T857&gt;=0,A857,1001)</ns0:f>
        <ns0:v>853</ns0:v>
      </ns0:c>
      <ns0:c r="AB857" s="7">
        <ns0:f>IF(T857&lt;0,A857,0)</ns0:f>
        <ns0:v>0</ns0:v>
      </ns0:c>
      <ns0:c r="AC857" s="16">
        <ns0:f>IF(AND(OR('前提と出典'!$C$36+'前提と出典'!$C$38=0,R857&gt;=0),OR('前提と出典'!$C$37+'前提と出典'!$C$38=0,S857&gt;=0)),0,A857)</ns0:f>
        <ns0:v>0</ns0:v>
      </ns0:c>
      <ns0:c r="AD857" s="7">
        <ns0:f>IF(W857&gt;=0,A857,1001)</ns0:f>
        <ns0:v>853</ns0:v>
      </ns0:c>
      <ns0:c r="AE857" s="7">
        <ns0:f>IF(W857&lt;0,A857,0)</ns0:f>
        <ns0:v>0</ns0:v>
      </ns0:c>
      <ns0:c r="AF857" s="16">
        <ns0:f>IF(AND(OR('前提と出典'!$C$36+'前提と出典'!$C$38=0,U857&gt;=0),OR('前提と出典'!$C$37+'前提と出典'!$C$38=0,V857&gt;=0)),0,A857)</ns0:f>
        <ns0:v>0</ns0:v>
      </ns0:c>
      <ns0:c r="AG857" s="7">
        <ns0:f>IF(Z857&gt;=0,A857,1001)</ns0:f>
        <ns0:v>853</ns0:v>
      </ns0:c>
      <ns0:c r="AH857" s="4">
        <ns0:f>IF(Z857&lt;0,A857,0)</ns0:f>
        <ns0:v>0</ns0:v>
      </ns0:c>
      <ns0:c r="AI857" s="12">
        <ns0:f>IF(AND(OR('前提と出典'!$C$36+'前提と出典'!$C$38=0,X857&gt;=0),OR('前提と出典'!$C$37+'前提と出典'!$C$38=0,Y857&gt;=0)),0,A857)</ns0:f>
        <ns0:v>0</ns0:v>
      </ns0:c>
    </ns0:row>
    <ns0:row r="858" ht="24" customHeight="1">
      <ns0:c r="A858" s="4" t="n">
        <ns0:v>854</ns0:v>
      </ns0:c>
      <ns0:c r="B858" s="12">
        <ns0:f>A858*('前提と出典'!$C$36+'前提と出典'!$C$38)</ns0:f>
        <ns0:v>597.8</ns0:v>
      </ns0:c>
      <ns0:c r="C858" s="12">
        <ns0:f>A858*('前提と出典'!$C$37+'前提と出典'!$C$38)</ns0:f>
        <ns0:v>512.4</ns0:v>
      </ns0:c>
      <ns0:c r="D858" s="16">
        <ns0:f>A858*('前提と出典'!$C$36*'契約別単価'!C5+'前提と出典'!$C$37*'契約別単価'!C6+'前提と出典'!$C$38*'契約別単価'!C7)</ns0:f>
        <ns0:v>6144.983240223463</ns0:v>
      </ns0:c>
      <ns0:c r="E858" s="16">
        <ns0:f>A858*('前提と出典'!$C$36*'契約別単価'!E5+'前提と出典'!$C$37*'契約別単価'!E6+'前提と出典'!$C$38*'契約別単価'!E7)</ns0:f>
        <ns0:v>2146847.47644774</ns0:v>
      </ns0:c>
      <ns0:c r="F858" s="16">
        <ns0:f>A858*('前提と出典'!$C$36*'契約別単価'!F5+'前提と出典'!$C$37*'契約別単価'!F6+'前提と出典'!$C$38*'契約別単価'!F7)</ns0:f>
        <ns0:v>623819.0000689212</ns0:v>
      </ns0:c>
      <ns0:c r="G858" s="16">
        <ns0:f>A858*('前提と出典'!$C$36*'契約別単価'!G5+'前提と出典'!$C$37*'契約別単価'!G6+'前提と出典'!$C$38*'契約別単価'!G7)</ns0:f>
        <ns0:v>1699889.3854748602</ns0:v>
      </ns0:c>
      <ns0:c r="H858" s="16">
        <ns0:f>A858*('前提と出典'!$C$36*'契約別単価'!H5+'前提と出典'!$C$37*'契約別単価'!H6+'前提と出典'!$C$38*'契約別単価'!H7)</ns0:f>
        <ns0:v>589946.8729120462</ns0:v>
      </ns0:c>
      <ns0:c r="I858" s="16">
        <ns0:f>A858*('前提と出典'!$C$36*'契約別単価'!I5+'前提と出典'!$C$37*'契約別単価'!I6+'前提と出典'!$C$38*'契約別単価'!I7)</ns0:f>
        <ns0:v>36034.98324022346</ns0:v>
      </ns0:c>
      <ns0:c r="J858" s="16">
        <ns0:f>A858*('前提と出典'!$C$36*'契約別単価'!J5+'前提と出典'!$C$37*'契約別単価'!J6+'前提と出典'!$C$38*'契約別単価'!J7)</ns0:f>
        <ns0:v>83939.27032859839</ns0:v>
      </ns0:c>
      <ns0:c r="K858" s="16">
        <ns0:f>A858*('前提と出典'!$C$36*'契約別単価'!K5+'前提と出典'!$C$37*'契約別単価'!K6+'前提と出典'!$C$38*'契約別単価'!K7)</ns0:f>
        <ns0:v>359793.22160148976</ns0:v>
      </ns0:c>
      <ns0:c r="L858" s="16">
        <ns0:f>A858*('前提と出典'!$C$36*'契約別単価'!L5+'前提と出典'!$C$37*'契約別単価'!L6+'前提と出典'!$C$38*'契約別単価'!L7)</ns0:f>
        <ns0:v>292944.8957637349</ns0:v>
      </ns0:c>
      <ns0:c r="M858" s="16">
        <ns0:f>IF(('前提と出典'!$C$36+'前提と出典'!$C$38)=0,0,IF(B858&lt;=10,'前提と出典'!B73+'前提と出典'!C73,IF(B858&lt;=100,'前提と出典'!B74+'前提と出典'!C74,IF(B858&lt;=500,'前提と出典'!B75+'前提と出典'!C75,'前提と出典'!B76+'前提と出典'!C76))))</ns0:f>
        <ns0:v>80000</ns0:v>
      </ns0:c>
      <ns0:c r="N858" s="16">
        <ns0:f>IF(('前提と出典'!$C$37+'前提と出典'!$C$38)=0,0,IF(C858&lt;=10,'前提と出典'!D73+'前提と出典'!E73,IF(C858&lt;=100,'前提と出典'!D74+'前提と出典'!E74,IF(C858&lt;=500,'前提と出典'!D75+'前提と出典'!E75,'前提と出典'!D76+'前提と出典'!E76))))</ns0:f>
        <ns0:v>86510.9346263078</ns0:v>
      </ns0:c>
      <ns0:c r="O858" s="16">
        <ns0:f>IF('前提と出典'!$C$36+'前提と出典'!$C$38=0,0,'前提と出典'!$B$4*IF('前提と出典'!$B$20=0,MAX('前提と出典'!$B$6,D858*'前提と出典'!$B$5),'前提と出典'!$B$6+D858*'前提と出典'!$B$5))</ns0:f>
        <ns0:v>848007.687150838</ns0:v>
      </ns0:c>
      <ns0:c r="P858" s="16">
        <ns0:f>(E858+G858)*(1-'前提と出典'!$B$7)-I858-K858-M858-O858</ns0:f>
        <ns0:v>2384418.4429008355</ns0:v>
      </ns0:c>
      <ns0:c r="Q858" s="16">
        <ns0:f>(F858+H858)*(1-'前提と出典'!$B$7)-J858-L858-N858</ns0:f>
        <ns0:v>706675.2008350116</ns0:v>
      </ns0:c>
      <ns0:c r="R858" s="16">
        <ns0:f>P858-E858*'前提と出典'!$E$4</ns0:f>
        <ns0:v>1740364.1999665136</ns0:v>
      </ns0:c>
      <ns0:c r="S858" s="16">
        <ns0:f>Q858-F858*'前提と出典'!$E$4</ns0:f>
        <ns0:v>519529.5008143352</ns0:v>
      </ns0:c>
      <ns0:c r="T858" s="7">
        <ns0:f>R858+S858</ns0:f>
        <ns0:v>2259893.700780849</ns0:v>
      </ns0:c>
      <ns0:c r="U858" s="16">
        <ns0:f>P858-E858*'前提と出典'!$E$5</ns0:f>
        <ns0:v>1525679.4523217394</ns0:v>
      </ns0:c>
      <ns0:c r="V858" s="16">
        <ns0:f>Q858-F858*'前提と出典'!$E$5</ns0:f>
        <ns0:v>457147.600807443</ns0:v>
      </ns0:c>
      <ns0:c r="W858" s="7">
        <ns0:f>U858+V858</ns0:f>
        <ns0:v>1982827.0531291824</ns0:v>
      </ns0:c>
      <ns0:c r="X858" s="16">
        <ns0:f>P858-E858*'前提と出典'!$E$6</ns0:f>
        <ns0:v>1310994.7046769653</ns0:v>
      </ns0:c>
      <ns0:c r="Y858" s="16">
        <ns0:f>Q858-F858*'前提と出典'!$E$6</ns0:f>
        <ns0:v>394765.70080055104</ns0:v>
      </ns0:c>
      <ns0:c r="Z858" s="7">
        <ns0:f>X858+Y858</ns0:f>
        <ns0:v>1705760.4054775164</ns0:v>
      </ns0:c>
      <ns0:c r="AA858" s="7">
        <ns0:f>IF(T858&gt;=0,A858,1001)</ns0:f>
        <ns0:v>854</ns0:v>
      </ns0:c>
      <ns0:c r="AB858" s="7">
        <ns0:f>IF(T858&lt;0,A858,0)</ns0:f>
        <ns0:v>0</ns0:v>
      </ns0:c>
      <ns0:c r="AC858" s="16">
        <ns0:f>IF(AND(OR('前提と出典'!$C$36+'前提と出典'!$C$38=0,R858&gt;=0),OR('前提と出典'!$C$37+'前提と出典'!$C$38=0,S858&gt;=0)),0,A858)</ns0:f>
        <ns0:v>0</ns0:v>
      </ns0:c>
      <ns0:c r="AD858" s="7">
        <ns0:f>IF(W858&gt;=0,A858,1001)</ns0:f>
        <ns0:v>854</ns0:v>
      </ns0:c>
      <ns0:c r="AE858" s="7">
        <ns0:f>IF(W858&lt;0,A858,0)</ns0:f>
        <ns0:v>0</ns0:v>
      </ns0:c>
      <ns0:c r="AF858" s="16">
        <ns0:f>IF(AND(OR('前提と出典'!$C$36+'前提と出典'!$C$38=0,U858&gt;=0),OR('前提と出典'!$C$37+'前提と出典'!$C$38=0,V858&gt;=0)),0,A858)</ns0:f>
        <ns0:v>0</ns0:v>
      </ns0:c>
      <ns0:c r="AG858" s="7">
        <ns0:f>IF(Z858&gt;=0,A858,1001)</ns0:f>
        <ns0:v>854</ns0:v>
      </ns0:c>
      <ns0:c r="AH858" s="4">
        <ns0:f>IF(Z858&lt;0,A858,0)</ns0:f>
        <ns0:v>0</ns0:v>
      </ns0:c>
      <ns0:c r="AI858" s="12">
        <ns0:f>IF(AND(OR('前提と出典'!$C$36+'前提と出典'!$C$38=0,X858&gt;=0),OR('前提と出典'!$C$37+'前提と出典'!$C$38=0,Y858&gt;=0)),0,A858)</ns0:f>
        <ns0:v>0</ns0:v>
      </ns0:c>
    </ns0:row>
    <ns0:row r="859" ht="24" customHeight="1">
      <ns0:c r="A859" s="4" t="n">
        <ns0:v>855</ns0:v>
      </ns0:c>
      <ns0:c r="B859" s="12">
        <ns0:f>A859*('前提と出典'!$C$36+'前提と出典'!$C$38)</ns0:f>
        <ns0:v>598.5</ns0:v>
      </ns0:c>
      <ns0:c r="C859" s="12">
        <ns0:f>A859*('前提と出典'!$C$37+'前提と出典'!$C$38)</ns0:f>
        <ns0:v>513</ns0:v>
      </ns0:c>
      <ns0:c r="D859" s="16">
        <ns0:f>A859*('前提と出典'!$C$36*'契約別単価'!C5+'前提と出典'!$C$37*'契約別単価'!C6+'前提と出典'!$C$38*'契約別単価'!C7)</ns0:f>
        <ns0:v>6152.17877094972</ns0:v>
      </ns0:c>
      <ns0:c r="E859" s="16">
        <ns0:f>A859*('前提と出典'!$C$36*'契約別単価'!E5+'前提と出典'!$C$37*'契約別単価'!E6+'前提と出典'!$C$38*'契約別単価'!E7)</ns0:f>
        <ns0:v>2149361.3493709806</ns0:v>
      </ns0:c>
      <ns0:c r="F859" s="16">
        <ns0:f>A859*('前提と出典'!$C$36*'契約別単価'!F5+'前提と出典'!$C$37*'契約別単価'!F6+'前提と出典'!$C$38*'契約別単価'!F7)</ns0:f>
        <ns0:v>624549.4672821168</ns0:v>
      </ns0:c>
      <ns0:c r="G859" s="16">
        <ns0:f>A859*('前提と出典'!$C$36*'契約別単価'!G5+'前提と出典'!$C$37*'契約別単価'!G6+'前提と出典'!$C$38*'契約別単価'!G7)</ns0:f>
        <ns0:v>1701879.8882681564</ns0:v>
      </ns0:c>
      <ns0:c r="H859" s="16">
        <ns0:f>A859*('前提と出典'!$C$36*'契約別単価'!H5+'前提と出典'!$C$37*'契約別単価'!H6+'前提と出典'!$C$38*'契約別単価'!H7)</ns0:f>
        <ns0:v>590637.6772128799</ns0:v>
      </ns0:c>
      <ns0:c r="I859" s="16">
        <ns0:f>A859*('前提と出典'!$C$36*'契約別単価'!I5+'前提と出典'!$C$37*'契約別単価'!I6+'前提と出典'!$C$38*'契約別単価'!I7)</ns0:f>
        <ns0:v>36077.178770949715</ns0:v>
      </ns0:c>
      <ns0:c r="J859" s="16">
        <ns0:f>A859*('前提と出典'!$C$36*'契約別単価'!J5+'前提と出典'!$C$37*'契約別単価'!J6+'前提と出典'!$C$38*'契約別単価'!J7)</ns0:f>
        <ns0:v>84037.55987230869</ns0:v>
      </ns0:c>
      <ns0:c r="K859" s="16">
        <ns0:f>A859*('前提と出典'!$C$36*'契約別単価'!K5+'前提と出典'!$C$37*'契約別単価'!K6+'前提と出典'!$C$38*'契約別単価'!K7)</ns0:f>
        <ns0:v>360214.52513966477</ns0:v>
      </ns0:c>
      <ns0:c r="L859" s="16">
        <ns0:f>A859*('前提と出典'!$C$36*'契約別単価'!L5+'前提と出典'!$C$37*'契約別単価'!L6+'前提と出典'!$C$38*'契約別単価'!L7)</ns0:f>
        <ns0:v>293287.92257376265</ns0:v>
      </ns0:c>
      <ns0:c r="M859" s="16">
        <ns0:f>IF(('前提と出典'!$C$36+'前提と出典'!$C$38)=0,0,IF(B859&lt;=10,'前提と出典'!B73+'前提と出典'!C73,IF(B859&lt;=100,'前提と出典'!B74+'前提と出典'!C74,IF(B859&lt;=500,'前提と出典'!B75+'前提と出典'!C75,'前提と出典'!B76+'前提と出典'!C76))))</ns0:f>
        <ns0:v>80000</ns0:v>
      </ns0:c>
      <ns0:c r="N859" s="16">
        <ns0:f>IF(('前提と出典'!$C$37+'前提と出典'!$C$38)=0,0,IF(C859&lt;=10,'前提と出典'!D73+'前提と出典'!E73,IF(C859&lt;=100,'前提と出典'!D74+'前提と出典'!E74,IF(C859&lt;=500,'前提と出典'!D75+'前提と出典'!E75,'前提と出典'!D76+'前提と出典'!E76))))</ns0:f>
        <ns0:v>86510.9346263078</ns0:v>
      </ns0:c>
      <ns0:c r="O859" s="16">
        <ns0:f>IF('前提と出典'!$C$36+'前提と出典'!$C$38=0,0,'前提と出典'!$B$4*IF('前提と出典'!$B$20=0,MAX('前提と出典'!$B$6,D859*'前提と出典'!$B$5),'前提と出典'!$B$6+D859*'前提と出典'!$B$5))</ns0:f>
        <ns0:v>849000.6703910615</ns0:v>
      </ns0:c>
      <ns0:c r="P859" s="16">
        <ns0:f>(E859+G859)*(1-'前提と出典'!$B$7)-I859-K859-M859-O859</ns0:f>
        <ns0:v>2387304.178782452</ns0:v>
      </ns0:c>
      <ns0:c r="Q859" s="16">
        <ns0:f>(F859+H859)*(1-'前提と出典'!$B$7)-J859-L859-N859</ns0:f>
        <ns0:v>707603.9902207976</ns0:v>
      </ns0:c>
      <ns0:c r="R859" s="16">
        <ns0:f>P859-E859*'前提と出典'!$E$4</ns0:f>
        <ns0:v>1742495.773971158</ns0:v>
      </ns0:c>
      <ns0:c r="S859" s="16">
        <ns0:f>Q859-F859*'前提と出典'!$E$4</ns0:f>
        <ns0:v>520239.15003616246</ns0:v>
      </ns0:c>
      <ns0:c r="T859" s="7">
        <ns0:f>R859+S859</ns0:f>
        <ns0:v>2262734.924007321</ns0:v>
      </ns0:c>
      <ns0:c r="U859" s="16">
        <ns0:f>P859-E859*'前提と出典'!$E$5</ns0:f>
        <ns0:v>1527559.6390340598</ns0:v>
      </ns0:c>
      <ns0:c r="V859" s="16">
        <ns0:f>Q859-F859*'前提と出典'!$E$5</ns0:f>
        <ns0:v>457784.20330795087</ns0:v>
      </ns0:c>
      <ns0:c r="W859" s="7">
        <ns0:f>U859+V859</ns0:f>
        <ns0:v>1985343.8423420107</ns0:v>
      </ns0:c>
      <ns0:c r="X859" s="16">
        <ns0:f>P859-E859*'前提と出典'!$E$6</ns0:f>
        <ns0:v>1312623.504096962</ns0:v>
      </ns0:c>
      <ns0:c r="Y859" s="16">
        <ns0:f>Q859-F859*'前提と出典'!$E$6</ns0:f>
        <ns0:v>395329.2565797391</ns0:v>
      </ns0:c>
      <ns0:c r="Z859" s="7">
        <ns0:f>X859+Y859</ns0:f>
        <ns0:v>1707952.760676701</ns0:v>
      </ns0:c>
      <ns0:c r="AA859" s="7">
        <ns0:f>IF(T859&gt;=0,A859,1001)</ns0:f>
        <ns0:v>855</ns0:v>
      </ns0:c>
      <ns0:c r="AB859" s="7">
        <ns0:f>IF(T859&lt;0,A859,0)</ns0:f>
        <ns0:v>0</ns0:v>
      </ns0:c>
      <ns0:c r="AC859" s="16">
        <ns0:f>IF(AND(OR('前提と出典'!$C$36+'前提と出典'!$C$38=0,R859&gt;=0),OR('前提と出典'!$C$37+'前提と出典'!$C$38=0,S859&gt;=0)),0,A859)</ns0:f>
        <ns0:v>0</ns0:v>
      </ns0:c>
      <ns0:c r="AD859" s="7">
        <ns0:f>IF(W859&gt;=0,A859,1001)</ns0:f>
        <ns0:v>855</ns0:v>
      </ns0:c>
      <ns0:c r="AE859" s="7">
        <ns0:f>IF(W859&lt;0,A859,0)</ns0:f>
        <ns0:v>0</ns0:v>
      </ns0:c>
      <ns0:c r="AF859" s="16">
        <ns0:f>IF(AND(OR('前提と出典'!$C$36+'前提と出典'!$C$38=0,U859&gt;=0),OR('前提と出典'!$C$37+'前提と出典'!$C$38=0,V859&gt;=0)),0,A859)</ns0:f>
        <ns0:v>0</ns0:v>
      </ns0:c>
      <ns0:c r="AG859" s="7">
        <ns0:f>IF(Z859&gt;=0,A859,1001)</ns0:f>
        <ns0:v>855</ns0:v>
      </ns0:c>
      <ns0:c r="AH859" s="4">
        <ns0:f>IF(Z859&lt;0,A859,0)</ns0:f>
        <ns0:v>0</ns0:v>
      </ns0:c>
      <ns0:c r="AI859" s="12">
        <ns0:f>IF(AND(OR('前提と出典'!$C$36+'前提と出典'!$C$38=0,X859&gt;=0),OR('前提と出典'!$C$37+'前提と出典'!$C$38=0,Y859&gt;=0)),0,A859)</ns0:f>
        <ns0:v>0</ns0:v>
      </ns0:c>
    </ns0:row>
    <ns0:row r="860" ht="24" customHeight="1">
      <ns0:c r="A860" s="4" t="n">
        <ns0:v>856</ns0:v>
      </ns0:c>
      <ns0:c r="B860" s="12">
        <ns0:f>A860*('前提と出典'!$C$36+'前提と出典'!$C$38)</ns0:f>
        <ns0:v>599.1999999999999</ns0:v>
      </ns0:c>
      <ns0:c r="C860" s="12">
        <ns0:f>A860*('前提と出典'!$C$37+'前提と出典'!$C$38)</ns0:f>
        <ns0:v>513.6</ns0:v>
      </ns0:c>
      <ns0:c r="D860" s="16">
        <ns0:f>A860*('前提と出典'!$C$36*'契約別単価'!C5+'前提と出典'!$C$37*'契約別単価'!C6+'前提と出典'!$C$38*'契約別単価'!C7)</ns0:f>
        <ns0:v>6159.374301675977</ns0:v>
      </ns0:c>
      <ns0:c r="E860" s="16">
        <ns0:f>A860*('前提と出典'!$C$36*'契約別単価'!E5+'前提と出典'!$C$37*'契約別単価'!E6+'前提と出典'!$C$38*'契約別単価'!E7)</ns0:f>
        <ns0:v>2151875.2222942216</ns0:v>
      </ns0:c>
      <ns0:c r="F860" s="16">
        <ns0:f>A860*('前提と出典'!$C$36*'契約別単価'!F5+'前提と出典'!$C$37*'契約別単価'!F6+'前提と出典'!$C$38*'契約別単価'!F7)</ns0:f>
        <ns0:v>625279.9344953122</ns0:v>
      </ns0:c>
      <ns0:c r="G860" s="16">
        <ns0:f>A860*('前提と出典'!$C$36*'契約別単価'!G5+'前提と出典'!$C$37*'契約別単価'!G6+'前提と出典'!$C$38*'契約別単価'!G7)</ns0:f>
        <ns0:v>1703870.3910614525</ns0:v>
      </ns0:c>
      <ns0:c r="H860" s="16">
        <ns0:f>A860*('前提と出典'!$C$36*'契約別単価'!H5+'前提と出典'!$C$37*'契約別単価'!H6+'前提と出典'!$C$38*'契約別単価'!H7)</ns0:f>
        <ns0:v>591328.4815137137</ns0:v>
      </ns0:c>
      <ns0:c r="I860" s="16">
        <ns0:f>A860*('前提と出典'!$C$36*'契約別単価'!I5+'前提と出典'!$C$37*'契約別単価'!I6+'前提と出典'!$C$38*'契約別単価'!I7)</ns0:f>
        <ns0:v>36119.37430167597</ns0:v>
      </ns0:c>
      <ns0:c r="J860" s="16">
        <ns0:f>A860*('前提と出典'!$C$36*'契約別単価'!J5+'前提と出典'!$C$37*'契約別単価'!J6+'前提と出典'!$C$38*'契約別単価'!J7)</ns0:f>
        <ns0:v>84135.849416019</ns0:v>
      </ns0:c>
      <ns0:c r="K860" s="16">
        <ns0:f>A860*('前提と出典'!$C$36*'契約別単価'!K5+'前提と出典'!$C$37*'契約別単価'!K6+'前提と出典'!$C$38*'契約別単価'!K7)</ns0:f>
        <ns0:v>360635.82867783983</ns0:v>
      </ns0:c>
      <ns0:c r="L860" s="16">
        <ns0:f>A860*('前提と出典'!$C$36*'契約別単価'!L5+'前提と出典'!$C$37*'契約別単価'!L6+'前提と出典'!$C$38*'契約別単価'!L7)</ns0:f>
        <ns0:v>293630.94938379043</ns0:v>
      </ns0:c>
      <ns0:c r="M860" s="16">
        <ns0:f>IF(('前提と出典'!$C$36+'前提と出典'!$C$38)=0,0,IF(B860&lt;=10,'前提と出典'!B73+'前提と出典'!C73,IF(B860&lt;=100,'前提と出典'!B74+'前提と出典'!C74,IF(B860&lt;=500,'前提と出典'!B75+'前提と出典'!C75,'前提と出典'!B76+'前提と出典'!C76))))</ns0:f>
        <ns0:v>80000</ns0:v>
      </ns0:c>
      <ns0:c r="N860" s="16">
        <ns0:f>IF(('前提と出典'!$C$37+'前提と出典'!$C$38)=0,0,IF(C860&lt;=10,'前提と出典'!D73+'前提と出典'!E73,IF(C860&lt;=100,'前提と出典'!D74+'前提と出典'!E74,IF(C860&lt;=500,'前提と出典'!D75+'前提と出典'!E75,'前提と出典'!D76+'前提と出典'!E76))))</ns0:f>
        <ns0:v>86510.9346263078</ns0:v>
      </ns0:c>
      <ns0:c r="O860" s="16">
        <ns0:f>IF('前提と出典'!$C$36+'前提と出典'!$C$38=0,0,'前提と出典'!$B$4*IF('前提と出典'!$B$20=0,MAX('前提と出典'!$B$6,D860*'前提と出典'!$B$5),'前提と出典'!$B$6+D860*'前提と出典'!$B$5))</ns0:f>
        <ns0:v>849993.653631285</ns0:v>
      </ns0:c>
      <ns0:c r="P860" s="16">
        <ns0:f>(E860+G860)*(1-'前提と出典'!$B$7)-I860-K860-M860-O860</ns0:f>
        <ns0:v>2390189.914664069</ns0:v>
      </ns0:c>
      <ns0:c r="Q860" s="16">
        <ns0:f>(F860+H860)*(1-'前提と出典'!$B$7)-J860-L860-N860</ns0:f>
        <ns0:v>708532.7796065838</ns0:v>
      </ns0:c>
      <ns0:c r="R860" s="16">
        <ns0:f>P860-E860*'前提と出典'!$E$4</ns0:f>
        <ns0:v>1744627.3479758026</ns0:v>
      </ns0:c>
      <ns0:c r="S860" s="16">
        <ns0:f>Q860-F860*'前提と出典'!$E$4</ns0:f>
        <ns0:v>520948.79925799</ns0:v>
      </ns0:c>
      <ns0:c r="T860" s="7">
        <ns0:f>R860+S860</ns0:f>
        <ns0:v>2265576.1472337926</ns0:v>
      </ns0:c>
      <ns0:c r="U860" s="16">
        <ns0:f>P860-E860*'前提と出典'!$E$5</ns0:f>
        <ns0:v>1529439.8257463807</ns0:v>
      </ns0:c>
      <ns0:c r="V860" s="16">
        <ns0:f>Q860-F860*'前提と出典'!$E$5</ns0:f>
        <ns0:v>458420.80580845894</ns0:v>
      </ns0:c>
      <ns0:c r="W860" s="7">
        <ns0:f>U860+V860</ns0:f>
        <ns0:v>1987860.6315548397</ns0:v>
      </ns0:c>
      <ns0:c r="X860" s="16">
        <ns0:f>P860-E860*'前提と出典'!$E$6</ns0:f>
        <ns0:v>1314252.303516958</ns0:v>
      </ns0:c>
      <ns0:c r="Y860" s="16">
        <ns0:f>Q860-F860*'前提と出典'!$E$6</ns0:f>
        <ns0:v>395892.8123589276</ns0:v>
      </ns0:c>
      <ns0:c r="Z860" s="7">
        <ns0:f>X860+Y860</ns0:f>
        <ns0:v>1710145.1158758856</ns0:v>
      </ns0:c>
      <ns0:c r="AA860" s="7">
        <ns0:f>IF(T860&gt;=0,A860,1001)</ns0:f>
        <ns0:v>856</ns0:v>
      </ns0:c>
      <ns0:c r="AB860" s="7">
        <ns0:f>IF(T860&lt;0,A860,0)</ns0:f>
        <ns0:v>0</ns0:v>
      </ns0:c>
      <ns0:c r="AC860" s="16">
        <ns0:f>IF(AND(OR('前提と出典'!$C$36+'前提と出典'!$C$38=0,R860&gt;=0),OR('前提と出典'!$C$37+'前提と出典'!$C$38=0,S860&gt;=0)),0,A860)</ns0:f>
        <ns0:v>0</ns0:v>
      </ns0:c>
      <ns0:c r="AD860" s="7">
        <ns0:f>IF(W860&gt;=0,A860,1001)</ns0:f>
        <ns0:v>856</ns0:v>
      </ns0:c>
      <ns0:c r="AE860" s="7">
        <ns0:f>IF(W860&lt;0,A860,0)</ns0:f>
        <ns0:v>0</ns0:v>
      </ns0:c>
      <ns0:c r="AF860" s="16">
        <ns0:f>IF(AND(OR('前提と出典'!$C$36+'前提と出典'!$C$38=0,U860&gt;=0),OR('前提と出典'!$C$37+'前提と出典'!$C$38=0,V860&gt;=0)),0,A860)</ns0:f>
        <ns0:v>0</ns0:v>
      </ns0:c>
      <ns0:c r="AG860" s="7">
        <ns0:f>IF(Z860&gt;=0,A860,1001)</ns0:f>
        <ns0:v>856</ns0:v>
      </ns0:c>
      <ns0:c r="AH860" s="4">
        <ns0:f>IF(Z860&lt;0,A860,0)</ns0:f>
        <ns0:v>0</ns0:v>
      </ns0:c>
      <ns0:c r="AI860" s="12">
        <ns0:f>IF(AND(OR('前提と出典'!$C$36+'前提と出典'!$C$38=0,X860&gt;=0),OR('前提と出典'!$C$37+'前提と出典'!$C$38=0,Y860&gt;=0)),0,A860)</ns0:f>
        <ns0:v>0</ns0:v>
      </ns0:c>
    </ns0:row>
    <ns0:row r="861" ht="24" customHeight="1">
      <ns0:c r="A861" s="4" t="n">
        <ns0:v>857</ns0:v>
      </ns0:c>
      <ns0:c r="B861" s="12">
        <ns0:f>A861*('前提と出典'!$C$36+'前提と出典'!$C$38)</ns0:f>
        <ns0:v>599.9</ns0:v>
      </ns0:c>
      <ns0:c r="C861" s="12">
        <ns0:f>A861*('前提と出典'!$C$37+'前提と出典'!$C$38)</ns0:f>
        <ns0:v>514.1999999999999</ns0:v>
      </ns0:c>
      <ns0:c r="D861" s="16">
        <ns0:f>A861*('前提と出典'!$C$36*'契約別単価'!C5+'前提と出典'!$C$37*'契約別単価'!C6+'前提と出典'!$C$38*'契約別単価'!C7)</ns0:f>
        <ns0:v>6166.569832402234</ns0:v>
      </ns0:c>
      <ns0:c r="E861" s="16">
        <ns0:f>A861*('前提と出典'!$C$36*'契約別単価'!E5+'前提と出典'!$C$37*'契約別単価'!E6+'前提と出典'!$C$38*'契約別単価'!E7)</ns0:f>
        <ns0:v>2154389.0952174626</ns0:v>
      </ns0:c>
      <ns0:c r="F861" s="16">
        <ns0:f>A861*('前提と出典'!$C$36*'契約別単価'!F5+'前提と出典'!$C$37*'契約別単価'!F6+'前提と出典'!$C$38*'契約別単価'!F7)</ns0:f>
        <ns0:v>626010.4017085077</ns0:v>
      </ns0:c>
      <ns0:c r="G861" s="16">
        <ns0:f>A861*('前提と出典'!$C$36*'契約別単価'!G5+'前提と出典'!$C$37*'契約別単価'!G6+'前提と出典'!$C$38*'契約別単価'!G7)</ns0:f>
        <ns0:v>1705860.8938547485</ns0:v>
      </ns0:c>
      <ns0:c r="H861" s="16">
        <ns0:f>A861*('前提と出典'!$C$36*'契約別単価'!H5+'前提と出典'!$C$37*'契約別単価'!H6+'前提と出典'!$C$38*'契約別単価'!H7)</ns0:f>
        <ns0:v>592019.2858145474</ns0:v>
      </ns0:c>
      <ns0:c r="I861" s="16">
        <ns0:f>A861*('前提と出典'!$C$36*'契約別単価'!I5+'前提と出典'!$C$37*'契約別単価'!I6+'前提と出典'!$C$38*'契約別単価'!I7)</ns0:f>
        <ns0:v>36161.56983240223</ns0:v>
      </ns0:c>
      <ns0:c r="J861" s="16">
        <ns0:f>A861*('前提と出典'!$C$36*'契約別単価'!J5+'前提と出典'!$C$37*'契約別単価'!J6+'前提と出典'!$C$38*'契約別単価'!J7)</ns0:f>
        <ns0:v>84234.1389597293</ns0:v>
      </ns0:c>
      <ns0:c r="K861" s="16">
        <ns0:f>A861*('前提と出典'!$C$36*'契約別単価'!K5+'前提と出典'!$C$37*'契約別単価'!K6+'前提と出典'!$C$38*'契約別単価'!K7)</ns0:f>
        <ns0:v>361057.1322160149</ns0:v>
      </ns0:c>
      <ns0:c r="L861" s="16">
        <ns0:f>A861*('前提と出典'!$C$36*'契約別単価'!L5+'前提と出典'!$C$37*'契約別単価'!L6+'前提と出典'!$C$38*'契約別単価'!L7)</ns0:f>
        <ns0:v>293973.97619381826</ns0:v>
      </ns0:c>
      <ns0:c r="M861" s="16">
        <ns0:f>IF(('前提と出典'!$C$36+'前提と出典'!$C$38)=0,0,IF(B861&lt;=10,'前提と出典'!B73+'前提と出典'!C73,IF(B861&lt;=100,'前提と出典'!B74+'前提と出典'!C74,IF(B861&lt;=500,'前提と出典'!B75+'前提と出典'!C75,'前提と出典'!B76+'前提と出典'!C76))))</ns0:f>
        <ns0:v>80000</ns0:v>
      </ns0:c>
      <ns0:c r="N861" s="16">
        <ns0:f>IF(('前提と出典'!$C$37+'前提と出典'!$C$38)=0,0,IF(C861&lt;=10,'前提と出典'!D73+'前提と出典'!E73,IF(C861&lt;=100,'前提と出典'!D74+'前提と出典'!E74,IF(C861&lt;=500,'前提と出典'!D75+'前提と出典'!E75,'前提と出典'!D76+'前提と出典'!E76))))</ns0:f>
        <ns0:v>86510.9346263078</ns0:v>
      </ns0:c>
      <ns0:c r="O861" s="16">
        <ns0:f>IF('前提と出典'!$C$36+'前提と出典'!$C$38=0,0,'前提と出典'!$B$4*IF('前提と出典'!$B$20=0,MAX('前提と出典'!$B$6,D861*'前提と出典'!$B$5),'前提と出典'!$B$6+D861*'前提と出典'!$B$5))</ns0:f>
        <ns0:v>850986.6368715083</ns0:v>
      </ns0:c>
      <ns0:c r="P861" s="16">
        <ns0:f>(E861+G861)*(1-'前提と出典'!$B$7)-I861-K861-M861-O861</ns0:f>
        <ns0:v>2393075.6505456865</ns0:v>
      </ns0:c>
      <ns0:c r="Q861" s="16">
        <ns0:f>(F861+H861)*(1-'前提と出典'!$B$7)-J861-L861-N861</ns0:f>
        <ns0:v>709461.5689923698</ns0:v>
      </ns0:c>
      <ns0:c r="R861" s="16">
        <ns0:f>P861-E861*'前提と出典'!$E$4</ns0:f>
        <ns0:v>1746758.9219804471</ns0:v>
      </ns0:c>
      <ns0:c r="S861" s="16">
        <ns0:f>Q861-F861*'前提と出典'!$E$4</ns0:f>
        <ns0:v>521658.44847981737</ns0:v>
      </ns0:c>
      <ns0:c r="T861" s="7">
        <ns0:f>R861+S861</ns0:f>
        <ns0:v>2268417.3704602644</ns0:v>
      </ns0:c>
      <ns0:c r="U861" s="16">
        <ns0:f>P861-E861*'前提と出典'!$E$5</ns0:f>
        <ns0:v>1531320.0124587012</ns0:v>
      </ns0:c>
      <ns0:c r="V861" s="16">
        <ns0:f>Q861-F861*'前提と出典'!$E$5</ns0:f>
        <ns0:v>459057.40830896667</ns0:v>
      </ns0:c>
      <ns0:c r="W861" s="7">
        <ns0:f>U861+V861</ns0:f>
        <ns0:v>1990377.4207676677</ns0:v>
      </ns0:c>
      <ns0:c r="X861" s="16">
        <ns0:f>P861-E861*'前提と出典'!$E$6</ns0:f>
        <ns0:v>1315881.1029369547</ns0:v>
      </ns0:c>
      <ns0:c r="Y861" s="16">
        <ns0:f>Q861-F861*'前提と出典'!$E$6</ns0:f>
        <ns0:v>396456.36813811585</ns0:v>
      </ns0:c>
      <ns0:c r="Z861" s="7">
        <ns0:f>X861+Y861</ns0:f>
        <ns0:v>1712337.4710750706</ns0:v>
      </ns0:c>
      <ns0:c r="AA861" s="7">
        <ns0:f>IF(T861&gt;=0,A861,1001)</ns0:f>
        <ns0:v>857</ns0:v>
      </ns0:c>
      <ns0:c r="AB861" s="7">
        <ns0:f>IF(T861&lt;0,A861,0)</ns0:f>
        <ns0:v>0</ns0:v>
      </ns0:c>
      <ns0:c r="AC861" s="16">
        <ns0:f>IF(AND(OR('前提と出典'!$C$36+'前提と出典'!$C$38=0,R861&gt;=0),OR('前提と出典'!$C$37+'前提と出典'!$C$38=0,S861&gt;=0)),0,A861)</ns0:f>
        <ns0:v>0</ns0:v>
      </ns0:c>
      <ns0:c r="AD861" s="7">
        <ns0:f>IF(W861&gt;=0,A861,1001)</ns0:f>
        <ns0:v>857</ns0:v>
      </ns0:c>
      <ns0:c r="AE861" s="7">
        <ns0:f>IF(W861&lt;0,A861,0)</ns0:f>
        <ns0:v>0</ns0:v>
      </ns0:c>
      <ns0:c r="AF861" s="16">
        <ns0:f>IF(AND(OR('前提と出典'!$C$36+'前提と出典'!$C$38=0,U861&gt;=0),OR('前提と出典'!$C$37+'前提と出典'!$C$38=0,V861&gt;=0)),0,A861)</ns0:f>
        <ns0:v>0</ns0:v>
      </ns0:c>
      <ns0:c r="AG861" s="7">
        <ns0:f>IF(Z861&gt;=0,A861,1001)</ns0:f>
        <ns0:v>857</ns0:v>
      </ns0:c>
      <ns0:c r="AH861" s="4">
        <ns0:f>IF(Z861&lt;0,A861,0)</ns0:f>
        <ns0:v>0</ns0:v>
      </ns0:c>
      <ns0:c r="AI861" s="12">
        <ns0:f>IF(AND(OR('前提と出典'!$C$36+'前提と出典'!$C$38=0,X861&gt;=0),OR('前提と出典'!$C$37+'前提と出典'!$C$38=0,Y861&gt;=0)),0,A861)</ns0:f>
        <ns0:v>0</ns0:v>
      </ns0:c>
    </ns0:row>
    <ns0:row r="862" ht="24" customHeight="1">
      <ns0:c r="A862" s="4" t="n">
        <ns0:v>858</ns0:v>
      </ns0:c>
      <ns0:c r="B862" s="12">
        <ns0:f>A862*('前提と出典'!$C$36+'前提と出典'!$C$38)</ns0:f>
        <ns0:v>600.5999999999999</ns0:v>
      </ns0:c>
      <ns0:c r="C862" s="12">
        <ns0:f>A862*('前提と出典'!$C$37+'前提と出典'!$C$38)</ns0:f>
        <ns0:v>514.8</ns0:v>
      </ns0:c>
      <ns0:c r="D862" s="16">
        <ns0:f>A862*('前提と出典'!$C$36*'契約別単価'!C5+'前提と出典'!$C$37*'契約別単価'!C6+'前提と出典'!$C$38*'契約別単価'!C7)</ns0:f>
        <ns0:v>6173.765363128492</ns0:v>
      </ns0:c>
      <ns0:c r="E862" s="16">
        <ns0:f>A862*('前提と出典'!$C$36*'契約別単価'!E5+'前提と出典'!$C$37*'契約別単価'!E6+'前提と出典'!$C$38*'契約別単価'!E7)</ns0:f>
        <ns0:v>2156902.9681407036</ns0:v>
      </ns0:c>
      <ns0:c r="F862" s="16">
        <ns0:f>A862*('前提と出典'!$C$36*'契約別単価'!F5+'前提と出典'!$C$37*'契約別単価'!F6+'前提と出典'!$C$38*'契約別単価'!F7)</ns0:f>
        <ns0:v>626740.8689217031</ns0:v>
      </ns0:c>
      <ns0:c r="G862" s="16">
        <ns0:f>A862*('前提と出典'!$C$36*'契約別単価'!G5+'前提と出典'!$C$37*'契約別単価'!G6+'前提と出典'!$C$38*'契約別単価'!G7)</ns0:f>
        <ns0:v>1707851.3966480447</ns0:v>
      </ns0:c>
      <ns0:c r="H862" s="16">
        <ns0:f>A862*('前提と出典'!$C$36*'契約別単価'!H5+'前提と出典'!$C$37*'契約別単価'!H6+'前提と出典'!$C$38*'契約別単価'!H7)</ns0:f>
        <ns0:v>592710.0901153813</ns0:v>
      </ns0:c>
      <ns0:c r="I862" s="16">
        <ns0:f>A862*('前提と出典'!$C$36*'契約別単価'!I5+'前提と出典'!$C$37*'契約別単価'!I6+'前提と出典'!$C$38*'契約別単価'!I7)</ns0:f>
        <ns0:v>36203.765363128485</ns0:v>
      </ns0:c>
      <ns0:c r="J862" s="16">
        <ns0:f>A862*('前提と出典'!$C$36*'契約別単価'!J5+'前提と出典'!$C$37*'契約別単価'!J6+'前提と出典'!$C$38*'契約別単価'!J7)</ns0:f>
        <ns0:v>84332.4285034396</ns0:v>
      </ns0:c>
      <ns0:c r="K862" s="16">
        <ns0:f>A862*('前提と出典'!$C$36*'契約別単価'!K5+'前提と出典'!$C$37*'契約別単価'!K6+'前提と出典'!$C$38*'契約別単価'!K7)</ns0:f>
        <ns0:v>361478.4357541899</ns0:v>
      </ns0:c>
      <ns0:c r="L862" s="16">
        <ns0:f>A862*('前提と出典'!$C$36*'契約別単価'!L5+'前提と出典'!$C$37*'契約別単価'!L6+'前提と出典'!$C$38*'契約別単価'!L7)</ns0:f>
        <ns0:v>294317.00300384604</ns0:v>
      </ns0:c>
      <ns0:c r="M862" s="16">
        <ns0:f>IF(('前提と出典'!$C$36+'前提と出典'!$C$38)=0,0,IF(B862&lt;=10,'前提と出典'!B73+'前提と出典'!C73,IF(B862&lt;=100,'前提と出典'!B74+'前提と出典'!C74,IF(B862&lt;=500,'前提と出典'!B75+'前提と出典'!C75,'前提と出典'!B76+'前提と出典'!C76))))</ns0:f>
        <ns0:v>80000</ns0:v>
      </ns0:c>
      <ns0:c r="N862" s="16">
        <ns0:f>IF(('前提と出典'!$C$37+'前提と出典'!$C$38)=0,0,IF(C862&lt;=10,'前提と出典'!D73+'前提と出典'!E73,IF(C862&lt;=100,'前提と出典'!D74+'前提と出典'!E74,IF(C862&lt;=500,'前提と出典'!D75+'前提と出典'!E75,'前提と出典'!D76+'前提と出典'!E76))))</ns0:f>
        <ns0:v>86510.9346263078</ns0:v>
      </ns0:c>
      <ns0:c r="O862" s="16">
        <ns0:f>IF('前提と出典'!$C$36+'前提と出典'!$C$38=0,0,'前提と出典'!$B$4*IF('前提と出典'!$B$20=0,MAX('前提と出典'!$B$6,D862*'前提と出典'!$B$5),'前提と出典'!$B$6+D862*'前提と出典'!$B$5))</ns0:f>
        <ns0:v>851979.620111732</ns0:v>
      </ns0:c>
      <ns0:c r="P862" s="16">
        <ns0:f>(E862+G862)*(1-'前提と出典'!$B$7)-I862-K862-M862-O862</ns0:f>
        <ns0:v>2395961.3864273033</ns0:v>
      </ns0:c>
      <ns0:c r="Q862" s="16">
        <ns0:f>(F862+H862)*(1-'前提と出典'!$B$7)-J862-L862-N862</ns0:f>
        <ns0:v>710390.3583781559</ns0:v>
      </ns0:c>
      <ns0:c r="R862" s="16">
        <ns0:f>P862-E862*'前提と出典'!$E$4</ns0:f>
        <ns0:v>1748890.495985092</ns0:v>
      </ns0:c>
      <ns0:c r="S862" s="16">
        <ns0:f>Q862-F862*'前提と出典'!$E$4</ns0:f>
        <ns0:v>522368.097701645</ns0:v>
      </ns0:c>
      <ns0:c r="T862" s="7">
        <ns0:f>R862+S862</ns0:f>
        <ns0:v>2271258.593686737</ns0:v>
      </ns0:c>
      <ns0:c r="U862" s="16">
        <ns0:f>P862-E862*'前提と出典'!$E$5</ns0:f>
        <ns0:v>1533200.1991710218</ns0:v>
      </ns0:c>
      <ns0:c r="V862" s="16">
        <ns0:f>Q862-F862*'前提と出典'!$E$5</ns0:f>
        <ns0:v>459694.0108094746</ns0:v>
      </ns0:c>
      <ns0:c r="W862" s="7">
        <ns0:f>U862+V862</ns0:f>
        <ns0:v>1992894.2099804964</ns0:v>
      </ns0:c>
      <ns0:c r="X862" s="16">
        <ns0:f>P862-E862*'前提と出典'!$E$6</ns0:f>
        <ns0:v>1317509.9023569513</ns0:v>
      </ns0:c>
      <ns0:c r="Y862" s="16">
        <ns0:f>Q862-F862*'前提と出典'!$E$6</ns0:f>
        <ns0:v>397019.92391730426</ns0:v>
      </ns0:c>
      <ns0:c r="Z862" s="7">
        <ns0:f>X862+Y862</ns0:f>
        <ns0:v>1714529.8262742555</ns0:v>
      </ns0:c>
      <ns0:c r="AA862" s="7">
        <ns0:f>IF(T862&gt;=0,A862,1001)</ns0:f>
        <ns0:v>858</ns0:v>
      </ns0:c>
      <ns0:c r="AB862" s="7">
        <ns0:f>IF(T862&lt;0,A862,0)</ns0:f>
        <ns0:v>0</ns0:v>
      </ns0:c>
      <ns0:c r="AC862" s="16">
        <ns0:f>IF(AND(OR('前提と出典'!$C$36+'前提と出典'!$C$38=0,R862&gt;=0),OR('前提と出典'!$C$37+'前提と出典'!$C$38=0,S862&gt;=0)),0,A862)</ns0:f>
        <ns0:v>0</ns0:v>
      </ns0:c>
      <ns0:c r="AD862" s="7">
        <ns0:f>IF(W862&gt;=0,A862,1001)</ns0:f>
        <ns0:v>858</ns0:v>
      </ns0:c>
      <ns0:c r="AE862" s="7">
        <ns0:f>IF(W862&lt;0,A862,0)</ns0:f>
        <ns0:v>0</ns0:v>
      </ns0:c>
      <ns0:c r="AF862" s="16">
        <ns0:f>IF(AND(OR('前提と出典'!$C$36+'前提と出典'!$C$38=0,U862&gt;=0),OR('前提と出典'!$C$37+'前提と出典'!$C$38=0,V862&gt;=0)),0,A862)</ns0:f>
        <ns0:v>0</ns0:v>
      </ns0:c>
      <ns0:c r="AG862" s="7">
        <ns0:f>IF(Z862&gt;=0,A862,1001)</ns0:f>
        <ns0:v>858</ns0:v>
      </ns0:c>
      <ns0:c r="AH862" s="4">
        <ns0:f>IF(Z862&lt;0,A862,0)</ns0:f>
        <ns0:v>0</ns0:v>
      </ns0:c>
      <ns0:c r="AI862" s="12">
        <ns0:f>IF(AND(OR('前提と出典'!$C$36+'前提と出典'!$C$38=0,X862&gt;=0),OR('前提と出典'!$C$37+'前提と出典'!$C$38=0,Y862&gt;=0)),0,A862)</ns0:f>
        <ns0:v>0</ns0:v>
      </ns0:c>
    </ns0:row>
    <ns0:row r="863" ht="24" customHeight="1">
      <ns0:c r="A863" s="4" t="n">
        <ns0:v>859</ns0:v>
      </ns0:c>
      <ns0:c r="B863" s="12">
        <ns0:f>A863*('前提と出典'!$C$36+'前提と出典'!$C$38)</ns0:f>
        <ns0:v>601.3</ns0:v>
      </ns0:c>
      <ns0:c r="C863" s="12">
        <ns0:f>A863*('前提と出典'!$C$37+'前提と出典'!$C$38)</ns0:f>
        <ns0:v>515.4</ns0:v>
      </ns0:c>
      <ns0:c r="D863" s="16">
        <ns0:f>A863*('前提と出典'!$C$36*'契約別単価'!C5+'前提と出典'!$C$37*'契約別単価'!C6+'前提と出典'!$C$38*'契約別単価'!C7)</ns0:f>
        <ns0:v>6180.960893854749</ns0:v>
      </ns0:c>
      <ns0:c r="E863" s="16">
        <ns0:f>A863*('前提と出典'!$C$36*'契約別単価'!E5+'前提と出典'!$C$37*'契約別単価'!E6+'前提と出典'!$C$38*'契約別単価'!E7)</ns0:f>
        <ns0:v>2159416.8410639446</ns0:v>
      </ns0:c>
      <ns0:c r="F863" s="16">
        <ns0:f>A863*('前提と出典'!$C$36*'契約別単価'!F5+'前提と出典'!$C$37*'契約別単価'!F6+'前提と出典'!$C$38*'契約別単価'!F7)</ns0:f>
        <ns0:v>627471.3361348986</ns0:v>
      </ns0:c>
      <ns0:c r="G863" s="16">
        <ns0:f>A863*('前提と出典'!$C$36*'契約別単価'!G5+'前提と出典'!$C$37*'契約別単価'!G6+'前提と出典'!$C$38*'契約別単価'!G7)</ns0:f>
        <ns0:v>1709841.8994413407</ns0:v>
      </ns0:c>
      <ns0:c r="H863" s="16">
        <ns0:f>A863*('前提と出典'!$C$36*'契約別単価'!H5+'前提と出典'!$C$37*'契約別単価'!H6+'前提と出典'!$C$38*'契約別単価'!H7)</ns0:f>
        <ns0:v>593400.894416215</ns0:v>
      </ns0:c>
      <ns0:c r="I863" s="16">
        <ns0:f>A863*('前提と出典'!$C$36*'契約別単価'!I5+'前提と出典'!$C$37*'契約別単価'!I6+'前提と出典'!$C$38*'契約別単価'!I7)</ns0:f>
        <ns0:v>36245.96089385474</ns0:v>
      </ns0:c>
      <ns0:c r="J863" s="16">
        <ns0:f>A863*('前提と出典'!$C$36*'契約別単価'!J5+'前提と出典'!$C$37*'契約別単価'!J6+'前提と出典'!$C$38*'契約別単価'!J7)</ns0:f>
        <ns0:v>84430.7180471499</ns0:v>
      </ns0:c>
      <ns0:c r="K863" s="16">
        <ns0:f>A863*('前提と出典'!$C$36*'契約別単価'!K5+'前提と出典'!$C$37*'契約別単価'!K6+'前提と出典'!$C$38*'契約別単価'!K7)</ns0:f>
        <ns0:v>361899.739292365</ns0:v>
      </ns0:c>
      <ns0:c r="L863" s="16">
        <ns0:f>A863*('前提と出典'!$C$36*'契約別単価'!L5+'前提と出典'!$C$37*'契約別単価'!L6+'前提と出典'!$C$38*'契約別単価'!L7)</ns0:f>
        <ns0:v>294660.0298138738</ns0:v>
      </ns0:c>
      <ns0:c r="M863" s="16">
        <ns0:f>IF(('前提と出典'!$C$36+'前提と出典'!$C$38)=0,0,IF(B863&lt;=10,'前提と出典'!B73+'前提と出典'!C73,IF(B863&lt;=100,'前提と出典'!B74+'前提と出典'!C74,IF(B863&lt;=500,'前提と出典'!B75+'前提と出典'!C75,'前提と出典'!B76+'前提と出典'!C76))))</ns0:f>
        <ns0:v>80000</ns0:v>
      </ns0:c>
      <ns0:c r="N863" s="16">
        <ns0:f>IF(('前提と出典'!$C$37+'前提と出典'!$C$38)=0,0,IF(C863&lt;=10,'前提と出典'!D73+'前提と出典'!E73,IF(C863&lt;=100,'前提と出典'!D74+'前提と出典'!E74,IF(C863&lt;=500,'前提と出典'!D75+'前提と出典'!E75,'前提と出典'!D76+'前提と出典'!E76))))</ns0:f>
        <ns0:v>86510.9346263078</ns0:v>
      </ns0:c>
      <ns0:c r="O863" s="16">
        <ns0:f>IF('前提と出典'!$C$36+'前提と出典'!$C$38=0,0,'前提と出典'!$B$4*IF('前提と出典'!$B$20=0,MAX('前提と出典'!$B$6,D863*'前提と出典'!$B$5),'前提と出典'!$B$6+D863*'前提と出典'!$B$5))</ns0:f>
        <ns0:v>852972.6033519553</ns0:v>
      </ns0:c>
      <ns0:c r="P863" s="16">
        <ns0:f>(E863+G863)*(1-'前提と出典'!$B$7)-I863-K863-M863-O863</ns0:f>
        <ns0:v>2398847.12230892</ns0:v>
      </ns0:c>
      <ns0:c r="Q863" s="16">
        <ns0:f>(F863+H863)*(1-'前提と出典'!$B$7)-J863-L863-N863</ns0:f>
        <ns0:v>711319.1477639419</ns0:v>
      </ns0:c>
      <ns0:c r="R863" s="16">
        <ns0:f>P863-E863*'前提と出典'!$E$4</ns0:f>
        <ns0:v>1751022.0699897367</ns0:v>
      </ns0:c>
      <ns0:c r="S863" s="16">
        <ns0:f>Q863-F863*'前提と出典'!$E$4</ns0:f>
        <ns0:v>523077.74692347227</ns0:v>
      </ns0:c>
      <ns0:c r="T863" s="7">
        <ns0:f>R863+S863</ns0:f>
        <ns0:v>2274099.816913209</ns0:v>
      </ns0:c>
      <ns0:c r="U863" s="16">
        <ns0:f>P863-E863*'前提と出典'!$E$5</ns0:f>
        <ns0:v>1535080.3858833425</ns0:v>
      </ns0:c>
      <ns0:c r="V863" s="16">
        <ns0:f>Q863-F863*'前提と出典'!$E$5</ns0:f>
        <ns0:v>460330.61330998247</ns0:v>
      </ns0:c>
      <ns0:c r="W863" s="7">
        <ns0:f>U863+V863</ns0:f>
        <ns0:v>1995410.999193325</ns0:v>
      </ns0:c>
      <ns0:c r="X863" s="16">
        <ns0:f>P863-E863*'前提と出典'!$E$6</ns0:f>
        <ns0:v>1319138.7017769478</ns0:v>
      </ns0:c>
      <ns0:c r="Y863" s="16">
        <ns0:f>Q863-F863*'前提と出典'!$E$6</ns0:f>
        <ns0:v>397583.47969649266</ns0:v>
      </ns0:c>
      <ns0:c r="Z863" s="7">
        <ns0:f>X863+Y863</ns0:f>
        <ns0:v>1716722.1814734405</ns0:v>
      </ns0:c>
      <ns0:c r="AA863" s="7">
        <ns0:f>IF(T863&gt;=0,A863,1001)</ns0:f>
        <ns0:v>859</ns0:v>
      </ns0:c>
      <ns0:c r="AB863" s="7">
        <ns0:f>IF(T863&lt;0,A863,0)</ns0:f>
        <ns0:v>0</ns0:v>
      </ns0:c>
      <ns0:c r="AC863" s="16">
        <ns0:f>IF(AND(OR('前提と出典'!$C$36+'前提と出典'!$C$38=0,R863&gt;=0),OR('前提と出典'!$C$37+'前提と出典'!$C$38=0,S863&gt;=0)),0,A863)</ns0:f>
        <ns0:v>0</ns0:v>
      </ns0:c>
      <ns0:c r="AD863" s="7">
        <ns0:f>IF(W863&gt;=0,A863,1001)</ns0:f>
        <ns0:v>859</ns0:v>
      </ns0:c>
      <ns0:c r="AE863" s="7">
        <ns0:f>IF(W863&lt;0,A863,0)</ns0:f>
        <ns0:v>0</ns0:v>
      </ns0:c>
      <ns0:c r="AF863" s="16">
        <ns0:f>IF(AND(OR('前提と出典'!$C$36+'前提と出典'!$C$38=0,U863&gt;=0),OR('前提と出典'!$C$37+'前提と出典'!$C$38=0,V863&gt;=0)),0,A863)</ns0:f>
        <ns0:v>0</ns0:v>
      </ns0:c>
      <ns0:c r="AG863" s="7">
        <ns0:f>IF(Z863&gt;=0,A863,1001)</ns0:f>
        <ns0:v>859</ns0:v>
      </ns0:c>
      <ns0:c r="AH863" s="4">
        <ns0:f>IF(Z863&lt;0,A863,0)</ns0:f>
        <ns0:v>0</ns0:v>
      </ns0:c>
      <ns0:c r="AI863" s="12">
        <ns0:f>IF(AND(OR('前提と出典'!$C$36+'前提と出典'!$C$38=0,X863&gt;=0),OR('前提と出典'!$C$37+'前提と出典'!$C$38=0,Y863&gt;=0)),0,A863)</ns0:f>
        <ns0:v>0</ns0:v>
      </ns0:c>
    </ns0:row>
    <ns0:row r="864" ht="24" customHeight="1">
      <ns0:c r="A864" s="4" t="n">
        <ns0:v>860</ns0:v>
      </ns0:c>
      <ns0:c r="B864" s="12">
        <ns0:f>A864*('前提と出典'!$C$36+'前提と出典'!$C$38)</ns0:f>
        <ns0:v>602</ns0:v>
      </ns0:c>
      <ns0:c r="C864" s="12">
        <ns0:f>A864*('前提と出典'!$C$37+'前提と出典'!$C$38)</ns0:f>
        <ns0:v>516</ns0:v>
      </ns0:c>
      <ns0:c r="D864" s="16">
        <ns0:f>A864*('前提と出典'!$C$36*'契約別単価'!C5+'前提と出典'!$C$37*'契約別単価'!C6+'前提と出典'!$C$38*'契約別単価'!C7)</ns0:f>
        <ns0:v>6188.156424581006</ns0:v>
      </ns0:c>
      <ns0:c r="E864" s="16">
        <ns0:f>A864*('前提と出典'!$C$36*'契約別単価'!E5+'前提と出典'!$C$37*'契約別単価'!E6+'前提と出典'!$C$38*'契約別単価'!E7)</ns0:f>
        <ns0:v>2161930.713987185</ns0:v>
      </ns0:c>
      <ns0:c r="F864" s="16">
        <ns0:f>A864*('前提と出典'!$C$36*'契約別単価'!F5+'前提と出典'!$C$37*'契約別単価'!F6+'前提と出典'!$C$38*'契約別単価'!F7)</ns0:f>
        <ns0:v>628201.803348094</ns0:v>
      </ns0:c>
      <ns0:c r="G864" s="16">
        <ns0:f>A864*('前提と出典'!$C$36*'契約別単価'!G5+'前提と出典'!$C$37*'契約別単価'!G6+'前提と出典'!$C$38*'契約別単価'!G7)</ns0:f>
        <ns0:v>1711832.4022346367</ns0:v>
      </ns0:c>
      <ns0:c r="H864" s="16">
        <ns0:f>A864*('前提と出典'!$C$36*'契約別単価'!H5+'前提と出典'!$C$37*'契約別単価'!H6+'前提と出典'!$C$38*'契約別単価'!H7)</ns0:f>
        <ns0:v>594091.6987170489</ns0:v>
      </ns0:c>
      <ns0:c r="I864" s="16">
        <ns0:f>A864*('前提と出典'!$C$36*'契約別単価'!I5+'前提と出典'!$C$37*'契約別単価'!I6+'前提と出典'!$C$38*'契約別単価'!I7)</ns0:f>
        <ns0:v>36288.156424581</ns0:v>
      </ns0:c>
      <ns0:c r="J864" s="16">
        <ns0:f>A864*('前提と出典'!$C$36*'契約別単価'!J5+'前提と出典'!$C$37*'契約別単価'!J6+'前提と出典'!$C$38*'契約別単価'!J7)</ns0:f>
        <ns0:v>84529.0075908602</ns0:v>
      </ns0:c>
      <ns0:c r="K864" s="16">
        <ns0:f>A864*('前提と出典'!$C$36*'契約別単価'!K5+'前提と出典'!$C$37*'契約別単価'!K6+'前提と出典'!$C$38*'契約別単価'!K7)</ns0:f>
        <ns0:v>362321.04283054</ns0:v>
      </ns0:c>
      <ns0:c r="L864" s="16">
        <ns0:f>A864*('前提と出典'!$C$36*'契約別単価'!L5+'前提と出典'!$C$37*'契約別単価'!L6+'前提と出典'!$C$38*'契約別単価'!L7)</ns0:f>
        <ns0:v>295003.0566239016</ns0:v>
      </ns0:c>
      <ns0:c r="M864" s="16">
        <ns0:f>IF(('前提と出典'!$C$36+'前提と出典'!$C$38)=0,0,IF(B864&lt;=10,'前提と出典'!B73+'前提と出典'!C73,IF(B864&lt;=100,'前提と出典'!B74+'前提と出典'!C74,IF(B864&lt;=500,'前提と出典'!B75+'前提と出典'!C75,'前提と出典'!B76+'前提と出典'!C76))))</ns0:f>
        <ns0:v>80000</ns0:v>
      </ns0:c>
      <ns0:c r="N864" s="16">
        <ns0:f>IF(('前提と出典'!$C$37+'前提と出典'!$C$38)=0,0,IF(C864&lt;=10,'前提と出典'!D73+'前提と出典'!E73,IF(C864&lt;=100,'前提と出典'!D74+'前提と出典'!E74,IF(C864&lt;=500,'前提と出典'!D75+'前提と出典'!E75,'前提と出典'!D76+'前提と出典'!E76))))</ns0:f>
        <ns0:v>86510.9346263078</ns0:v>
      </ns0:c>
      <ns0:c r="O864" s="16">
        <ns0:f>IF('前提と出典'!$C$36+'前提と出典'!$C$38=0,0,'前提と出典'!$B$4*IF('前提と出典'!$B$20=0,MAX('前提と出典'!$B$6,D864*'前提と出典'!$B$5),'前提と出典'!$B$6+D864*'前提と出典'!$B$5))</ns0:f>
        <ns0:v>853965.5865921788</ns0:v>
      </ns0:c>
      <ns0:c r="P864" s="16">
        <ns0:f>(E864+G864)*(1-'前提と出典'!$B$7)-I864-K864-M864-O864</ns0:f>
        <ns0:v>2401732.8581905365</ns0:v>
      </ns0:c>
      <ns0:c r="Q864" s="16">
        <ns0:f>(F864+H864)*(1-'前提と出典'!$B$7)-J864-L864-N864</ns0:f>
        <ns0:v>712247.9371497281</ns0:v>
      </ns0:c>
      <ns0:c r="R864" s="16">
        <ns0:f>P864-E864*'前提と出典'!$E$4</ns0:f>
        <ns0:v>1753153.6439943807</ns0:v>
      </ns0:c>
      <ns0:c r="S864" s="16">
        <ns0:f>Q864-F864*'前提と出典'!$E$4</ns0:f>
        <ns0:v>523787.3961452999</ns0:v>
      </ns0:c>
      <ns0:c r="T864" s="7">
        <ns0:f>R864+S864</ns0:f>
        <ns0:v>2276941.0401396807</ns0:v>
      </ns0:c>
      <ns0:c r="U864" s="16">
        <ns0:f>P864-E864*'前提と出典'!$E$5</ns0:f>
        <ns0:v>1536960.5725956624</ns0:v>
      </ns0:c>
      <ns0:c r="V864" s="16">
        <ns0:f>Q864-F864*'前提と出典'!$E$5</ns0:f>
        <ns0:v>460967.2158104904</ns0:v>
      </ns0:c>
      <ns0:c r="W864" s="7">
        <ns0:f>U864+V864</ns0:f>
        <ns0:v>1997927.7884061527</ns0:v>
      </ns0:c>
      <ns0:c r="X864" s="16">
        <ns0:f>P864-E864*'前提と出典'!$E$6</ns0:f>
        <ns0:v>1320767.5011969442</ns0:v>
      </ns0:c>
      <ns0:c r="Y864" s="16">
        <ns0:f>Q864-F864*'前提と出典'!$E$6</ns0:f>
        <ns0:v>398147.03547568107</ns0:v>
      </ns0:c>
      <ns0:c r="Z864" s="7">
        <ns0:f>X864+Y864</ns0:f>
        <ns0:v>1718914.5366726252</ns0:v>
      </ns0:c>
      <ns0:c r="AA864" s="7">
        <ns0:f>IF(T864&gt;=0,A864,1001)</ns0:f>
        <ns0:v>860</ns0:v>
      </ns0:c>
      <ns0:c r="AB864" s="7">
        <ns0:f>IF(T864&lt;0,A864,0)</ns0:f>
        <ns0:v>0</ns0:v>
      </ns0:c>
      <ns0:c r="AC864" s="16">
        <ns0:f>IF(AND(OR('前提と出典'!$C$36+'前提と出典'!$C$38=0,R864&gt;=0),OR('前提と出典'!$C$37+'前提と出典'!$C$38=0,S864&gt;=0)),0,A864)</ns0:f>
        <ns0:v>0</ns0:v>
      </ns0:c>
      <ns0:c r="AD864" s="7">
        <ns0:f>IF(W864&gt;=0,A864,1001)</ns0:f>
        <ns0:v>860</ns0:v>
      </ns0:c>
      <ns0:c r="AE864" s="7">
        <ns0:f>IF(W864&lt;0,A864,0)</ns0:f>
        <ns0:v>0</ns0:v>
      </ns0:c>
      <ns0:c r="AF864" s="16">
        <ns0:f>IF(AND(OR('前提と出典'!$C$36+'前提と出典'!$C$38=0,U864&gt;=0),OR('前提と出典'!$C$37+'前提と出典'!$C$38=0,V864&gt;=0)),0,A864)</ns0:f>
        <ns0:v>0</ns0:v>
      </ns0:c>
      <ns0:c r="AG864" s="7">
        <ns0:f>IF(Z864&gt;=0,A864,1001)</ns0:f>
        <ns0:v>860</ns0:v>
      </ns0:c>
      <ns0:c r="AH864" s="4">
        <ns0:f>IF(Z864&lt;0,A864,0)</ns0:f>
        <ns0:v>0</ns0:v>
      </ns0:c>
      <ns0:c r="AI864" s="12">
        <ns0:f>IF(AND(OR('前提と出典'!$C$36+'前提と出典'!$C$38=0,X864&gt;=0),OR('前提と出典'!$C$37+'前提と出典'!$C$38=0,Y864&gt;=0)),0,A864)</ns0:f>
        <ns0:v>0</ns0:v>
      </ns0:c>
    </ns0:row>
    <ns0:row r="865" ht="24" customHeight="1">
      <ns0:c r="A865" s="4" t="n">
        <ns0:v>861</ns0:v>
      </ns0:c>
      <ns0:c r="B865" s="12">
        <ns0:f>A865*('前提と出典'!$C$36+'前提と出典'!$C$38)</ns0:f>
        <ns0:v>602.6999999999999</ns0:v>
      </ns0:c>
      <ns0:c r="C865" s="12">
        <ns0:f>A865*('前提と出典'!$C$37+'前提と出典'!$C$38)</ns0:f>
        <ns0:v>516.6</ns0:v>
      </ns0:c>
      <ns0:c r="D865" s="16">
        <ns0:f>A865*('前提と出典'!$C$36*'契約別単価'!C5+'前提と出典'!$C$37*'契約別単価'!C6+'前提と出典'!$C$38*'契約別単価'!C7)</ns0:f>
        <ns0:v>6195.351955307263</ns0:v>
      </ns0:c>
      <ns0:c r="E865" s="16">
        <ns0:f>A865*('前提と出典'!$C$36*'契約別単価'!E5+'前提と出典'!$C$37*'契約別単価'!E6+'前提と出典'!$C$38*'契約別単価'!E7)</ns0:f>
        <ns0:v>2164444.586910426</ns0:v>
      </ns0:c>
      <ns0:c r="F865" s="16">
        <ns0:f>A865*('前提と出典'!$C$36*'契約別単価'!F5+'前提と出典'!$C$37*'契約別単価'!F6+'前提と出典'!$C$38*'契約別単価'!F7)</ns0:f>
        <ns0:v>628932.2705612895</ns0:v>
      </ns0:c>
      <ns0:c r="G865" s="16">
        <ns0:f>A865*('前提と出典'!$C$36*'契約別単価'!G5+'前提と出典'!$C$37*'契約別単価'!G6+'前提と出典'!$C$38*'契約別単価'!G7)</ns0:f>
        <ns0:v>1713822.905027933</ns0:v>
      </ns0:c>
      <ns0:c r="H865" s="16">
        <ns0:f>A865*('前提と出典'!$C$36*'契約別単価'!H5+'前提と出典'!$C$37*'契約別単価'!H6+'前提と出典'!$C$38*'契約別単価'!H7)</ns0:f>
        <ns0:v>594782.5030178826</ns0:v>
      </ns0:c>
      <ns0:c r="I865" s="16">
        <ns0:f>A865*('前提と出典'!$C$36*'契約別単価'!I5+'前提と出典'!$C$37*'契約別単価'!I6+'前提と出典'!$C$38*'契約別単価'!I7)</ns0:f>
        <ns0:v>36330.351955307255</ns0:v>
      </ns0:c>
      <ns0:c r="J865" s="16">
        <ns0:f>A865*('前提と出典'!$C$36*'契約別単価'!J5+'前提と出典'!$C$37*'契約別単価'!J6+'前提と出典'!$C$38*'契約別単価'!J7)</ns0:f>
        <ns0:v>84627.29713457052</ns0:v>
      </ns0:c>
      <ns0:c r="K865" s="16">
        <ns0:f>A865*('前提と出典'!$C$36*'契約別単価'!K5+'前提と出典'!$C$37*'契約別単価'!K6+'前提と出典'!$C$38*'契約別単価'!K7)</ns0:f>
        <ns0:v>362742.34636871505</ns0:v>
      </ns0:c>
      <ns0:c r="L865" s="16">
        <ns0:f>A865*('前提と出典'!$C$36*'契約別単価'!L5+'前提と出典'!$C$37*'契約別単価'!L6+'前提と出典'!$C$38*'契約別単価'!L7)</ns0:f>
        <ns0:v>295346.0834339294</ns0:v>
      </ns0:c>
      <ns0:c r="M865" s="16">
        <ns0:f>IF(('前提と出典'!$C$36+'前提と出典'!$C$38)=0,0,IF(B865&lt;=10,'前提と出典'!B73+'前提と出典'!C73,IF(B865&lt;=100,'前提と出典'!B74+'前提と出典'!C74,IF(B865&lt;=500,'前提と出典'!B75+'前提と出典'!C75,'前提と出典'!B76+'前提と出典'!C76))))</ns0:f>
        <ns0:v>80000</ns0:v>
      </ns0:c>
      <ns0:c r="N865" s="16">
        <ns0:f>IF(('前提と出典'!$C$37+'前提と出典'!$C$38)=0,0,IF(C865&lt;=10,'前提と出典'!D73+'前提と出典'!E73,IF(C865&lt;=100,'前提と出典'!D74+'前提と出典'!E74,IF(C865&lt;=500,'前提と出典'!D75+'前提と出典'!E75,'前提と出典'!D76+'前提と出典'!E76))))</ns0:f>
        <ns0:v>86510.9346263078</ns0:v>
      </ns0:c>
      <ns0:c r="O865" s="16">
        <ns0:f>IF('前提と出典'!$C$36+'前提と出典'!$C$38=0,0,'前提と出典'!$B$4*IF('前提と出典'!$B$20=0,MAX('前提と出典'!$B$6,D865*'前提と出典'!$B$5),'前提と出典'!$B$6+D865*'前提と出典'!$B$5))</ns0:f>
        <ns0:v>854958.5698324023</ns0:v>
      </ns0:c>
      <ns0:c r="P865" s="16">
        <ns0:f>(E865+G865)*(1-'前提と出典'!$B$7)-I865-K865-M865-O865</ns0:f>
        <ns0:v>2404618.5940721533</ns0:v>
      </ns0:c>
      <ns0:c r="Q865" s="16">
        <ns0:f>(F865+H865)*(1-'前提と出典'!$B$7)-J865-L865-N865</ns0:f>
        <ns0:v>713176.7265355142</ns0:v>
      </ns0:c>
      <ns0:c r="R865" s="16">
        <ns0:f>P865-E865*'前提と出典'!$E$4</ns0:f>
        <ns0:v>1755285.2179990257</ns0:v>
      </ns0:c>
      <ns0:c r="S865" s="16">
        <ns0:f>Q865-F865*'前提と出典'!$E$4</ns0:f>
        <ns0:v>524497.0453671273</ns0:v>
      </ns0:c>
      <ns0:c r="T865" s="7">
        <ns0:f>R865+S865</ns0:f>
        <ns0:v>2279782.263366153</ns0:v>
      </ns0:c>
      <ns0:c r="U865" s="16">
        <ns0:f>P865-E865*'前提と出典'!$E$5</ns0:f>
        <ns0:v>1538840.7593079829</ns0:v>
      </ns0:c>
      <ns0:c r="V865" s="16">
        <ns0:f>Q865-F865*'前提と出典'!$E$5</ns0:f>
        <ns0:v>461603.8183109984</ns0:v>
      </ns0:c>
      <ns0:c r="W865" s="7">
        <ns0:f>U865+V865</ns0:f>
        <ns0:v>2000444.5776189812</ns0:v>
      </ns0:c>
      <ns0:c r="X865" s="16">
        <ns0:f>P865-E865*'前提と出典'!$E$6</ns0:f>
        <ns0:v>1322396.30061694</ns0:v>
      </ns0:c>
      <ns0:c r="Y865" s="16">
        <ns0:f>Q865-F865*'前提と出典'!$E$6</ns0:f>
        <ns0:v>398710.5912548694</ns0:v>
      </ns0:c>
      <ns0:c r="Z865" s="7">
        <ns0:f>X865+Y865</ns0:f>
        <ns0:v>1721106.8918718095</ns0:v>
      </ns0:c>
      <ns0:c r="AA865" s="7">
        <ns0:f>IF(T865&gt;=0,A865,1001)</ns0:f>
        <ns0:v>861</ns0:v>
      </ns0:c>
      <ns0:c r="AB865" s="7">
        <ns0:f>IF(T865&lt;0,A865,0)</ns0:f>
        <ns0:v>0</ns0:v>
      </ns0:c>
      <ns0:c r="AC865" s="16">
        <ns0:f>IF(AND(OR('前提と出典'!$C$36+'前提と出典'!$C$38=0,R865&gt;=0),OR('前提と出典'!$C$37+'前提と出典'!$C$38=0,S865&gt;=0)),0,A865)</ns0:f>
        <ns0:v>0</ns0:v>
      </ns0:c>
      <ns0:c r="AD865" s="7">
        <ns0:f>IF(W865&gt;=0,A865,1001)</ns0:f>
        <ns0:v>861</ns0:v>
      </ns0:c>
      <ns0:c r="AE865" s="7">
        <ns0:f>IF(W865&lt;0,A865,0)</ns0:f>
        <ns0:v>0</ns0:v>
      </ns0:c>
      <ns0:c r="AF865" s="16">
        <ns0:f>IF(AND(OR('前提と出典'!$C$36+'前提と出典'!$C$38=0,U865&gt;=0),OR('前提と出典'!$C$37+'前提と出典'!$C$38=0,V865&gt;=0)),0,A865)</ns0:f>
        <ns0:v>0</ns0:v>
      </ns0:c>
      <ns0:c r="AG865" s="7">
        <ns0:f>IF(Z865&gt;=0,A865,1001)</ns0:f>
        <ns0:v>861</ns0:v>
      </ns0:c>
      <ns0:c r="AH865" s="4">
        <ns0:f>IF(Z865&lt;0,A865,0)</ns0:f>
        <ns0:v>0</ns0:v>
      </ns0:c>
      <ns0:c r="AI865" s="12">
        <ns0:f>IF(AND(OR('前提と出典'!$C$36+'前提と出典'!$C$38=0,X865&gt;=0),OR('前提と出典'!$C$37+'前提と出典'!$C$38=0,Y865&gt;=0)),0,A865)</ns0:f>
        <ns0:v>0</ns0:v>
      </ns0:c>
    </ns0:row>
    <ns0:row r="866" ht="24" customHeight="1">
      <ns0:c r="A866" s="4" t="n">
        <ns0:v>862</ns0:v>
      </ns0:c>
      <ns0:c r="B866" s="12">
        <ns0:f>A866*('前提と出典'!$C$36+'前提と出典'!$C$38)</ns0:f>
        <ns0:v>603.4</ns0:v>
      </ns0:c>
      <ns0:c r="C866" s="12">
        <ns0:f>A866*('前提と出典'!$C$37+'前提と出典'!$C$38)</ns0:f>
        <ns0:v>517.1999999999999</ns0:v>
      </ns0:c>
      <ns0:c r="D866" s="16">
        <ns0:f>A866*('前提と出典'!$C$36*'契約別単価'!C5+'前提と出典'!$C$37*'契約別単価'!C6+'前提と出典'!$C$38*'契約別単価'!C7)</ns0:f>
        <ns0:v>6202.54748603352</ns0:v>
      </ns0:c>
      <ns0:c r="E866" s="16">
        <ns0:f>A866*('前提と出典'!$C$36*'契約別単価'!E5+'前提と出典'!$C$37*'契約別単価'!E6+'前提と出典'!$C$38*'契約別単価'!E7)</ns0:f>
        <ns0:v>2166958.459833667</ns0:v>
      </ns0:c>
      <ns0:c r="F866" s="16">
        <ns0:f>A866*('前提と出典'!$C$36*'契約別単価'!F5+'前提と出典'!$C$37*'契約別単価'!F6+'前提と出典'!$C$38*'契約別単価'!F7)</ns0:f>
        <ns0:v>629662.7377744849</ns0:v>
      </ns0:c>
      <ns0:c r="G866" s="16">
        <ns0:f>A866*('前提と出典'!$C$36*'契約別単価'!G5+'前提と出典'!$C$37*'契約別単価'!G6+'前提と出典'!$C$38*'契約別単価'!G7)</ns0:f>
        <ns0:v>1715813.407821229</ns0:v>
      </ns0:c>
      <ns0:c r="H866" s="16">
        <ns0:f>A866*('前提と出典'!$C$36*'契約別単価'!H5+'前提と出典'!$C$37*'契約別単価'!H6+'前提と出典'!$C$38*'契約別単価'!H7)</ns0:f>
        <ns0:v>595473.3073187163</ns0:v>
      </ns0:c>
      <ns0:c r="I866" s="16">
        <ns0:f>A866*('前提と出典'!$C$36*'契約別単価'!I5+'前提と出典'!$C$37*'契約別単価'!I6+'前提と出典'!$C$38*'契約別単価'!I7)</ns0:f>
        <ns0:v>36372.547486033516</ns0:v>
      </ns0:c>
      <ns0:c r="J866" s="16">
        <ns0:f>A866*('前提と出典'!$C$36*'契約別単価'!J5+'前提と出典'!$C$37*'契約別単価'!J6+'前提と出典'!$C$38*'契約別単価'!J7)</ns0:f>
        <ns0:v>84725.58667828082</ns0:v>
      </ns0:c>
      <ns0:c r="K866" s="16">
        <ns0:f>A866*('前提と出典'!$C$36*'契約別単価'!K5+'前提と出典'!$C$37*'契約別単価'!K6+'前提と出典'!$C$38*'契約別単価'!K7)</ns0:f>
        <ns0:v>363163.6499068901</ns0:v>
      </ns0:c>
      <ns0:c r="L866" s="16">
        <ns0:f>A866*('前提と出典'!$C$36*'契約別単価'!L5+'前提と出典'!$C$37*'契約別単価'!L6+'前提と出典'!$C$38*'契約別単価'!L7)</ns0:f>
        <ns0:v>295689.1102439572</ns0:v>
      </ns0:c>
      <ns0:c r="M866" s="16">
        <ns0:f>IF(('前提と出典'!$C$36+'前提と出典'!$C$38)=0,0,IF(B866&lt;=10,'前提と出典'!B73+'前提と出典'!C73,IF(B866&lt;=100,'前提と出典'!B74+'前提と出典'!C74,IF(B866&lt;=500,'前提と出典'!B75+'前提と出典'!C75,'前提と出典'!B76+'前提と出典'!C76))))</ns0:f>
        <ns0:v>80000</ns0:v>
      </ns0:c>
      <ns0:c r="N866" s="16">
        <ns0:f>IF(('前提と出典'!$C$37+'前提と出典'!$C$38)=0,0,IF(C866&lt;=10,'前提と出典'!D73+'前提と出典'!E73,IF(C866&lt;=100,'前提と出典'!D74+'前提と出典'!E74,IF(C866&lt;=500,'前提と出典'!D75+'前提と出典'!E75,'前提と出典'!D76+'前提と出典'!E76))))</ns0:f>
        <ns0:v>86510.9346263078</ns0:v>
      </ns0:c>
      <ns0:c r="O866" s="16">
        <ns0:f>IF('前提と出典'!$C$36+'前提と出典'!$C$38=0,0,'前提と出典'!$B$4*IF('前提と出典'!$B$20=0,MAX('前提と出典'!$B$6,D866*'前提と出典'!$B$5),'前提と出典'!$B$6+D866*'前提と出典'!$B$5))</ns0:f>
        <ns0:v>855951.5530726258</ns0:v>
      </ns0:c>
      <ns0:c r="P866" s="16">
        <ns0:f>(E866+G866)*(1-'前提と出典'!$B$7)-I866-K866-M866-O866</ns0:f>
        <ns0:v>2407504.329953771</ns0:v>
      </ns0:c>
      <ns0:c r="Q866" s="16">
        <ns0:f>(F866+H866)*(1-'前提と出典'!$B$7)-J866-L866-N866</ns0:f>
        <ns0:v>714105.5159212999</ns0:v>
      </ns0:c>
      <ns0:c r="R866" s="16">
        <ns0:f>P866-E866*'前提と出典'!$E$4</ns0:f>
        <ns0:v>1757416.7920036707</ns0:v>
      </ns0:c>
      <ns0:c r="S866" s="16">
        <ns0:f>Q866-F866*'前提と出典'!$E$4</ns0:f>
        <ns0:v>525206.6945889546</ns0:v>
      </ns0:c>
      <ns0:c r="T866" s="7">
        <ns0:f>R866+S866</ns0:f>
        <ns0:v>2282623.4865926253</ns0:v>
      </ns0:c>
      <ns0:c r="U866" s="16">
        <ns0:f>P866-E866*'前提と出典'!$E$5</ns0:f>
        <ns0:v>1540720.9460203042</ns0:v>
      </ns0:c>
      <ns0:c r="V866" s="16">
        <ns0:f>Q866-F866*'前提と出典'!$E$5</ns0:f>
        <ns0:v>462240.420811506</ns0:v>
      </ns0:c>
      <ns0:c r="W866" s="7">
        <ns0:f>U866+V866</ns0:f>
        <ns0:v>2002961.3668318102</ns0:v>
      </ns0:c>
      <ns0:c r="X866" s="16">
        <ns0:f>P866-E866*'前提と出典'!$E$6</ns0:f>
        <ns0:v>1324025.1000369377</ns0:v>
      </ns0:c>
      <ns0:c r="Y866" s="16">
        <ns0:f>Q866-F866*'前提と出典'!$E$6</ns0:f>
        <ns0:v>399274.1470340576</ns0:v>
      </ns0:c>
      <ns0:c r="Z866" s="7">
        <ns0:f>X866+Y866</ns0:f>
        <ns0:v>1723299.2470709954</ns0:v>
      </ns0:c>
      <ns0:c r="AA866" s="7">
        <ns0:f>IF(T866&gt;=0,A866,1001)</ns0:f>
        <ns0:v>862</ns0:v>
      </ns0:c>
      <ns0:c r="AB866" s="7">
        <ns0:f>IF(T866&lt;0,A866,0)</ns0:f>
        <ns0:v>0</ns0:v>
      </ns0:c>
      <ns0:c r="AC866" s="16">
        <ns0:f>IF(AND(OR('前提と出典'!$C$36+'前提と出典'!$C$38=0,R866&gt;=0),OR('前提と出典'!$C$37+'前提と出典'!$C$38=0,S866&gt;=0)),0,A866)</ns0:f>
        <ns0:v>0</ns0:v>
      </ns0:c>
      <ns0:c r="AD866" s="7">
        <ns0:f>IF(W866&gt;=0,A866,1001)</ns0:f>
        <ns0:v>862</ns0:v>
      </ns0:c>
      <ns0:c r="AE866" s="7">
        <ns0:f>IF(W866&lt;0,A866,0)</ns0:f>
        <ns0:v>0</ns0:v>
      </ns0:c>
      <ns0:c r="AF866" s="16">
        <ns0:f>IF(AND(OR('前提と出典'!$C$36+'前提と出典'!$C$38=0,U866&gt;=0),OR('前提と出典'!$C$37+'前提と出典'!$C$38=0,V866&gt;=0)),0,A866)</ns0:f>
        <ns0:v>0</ns0:v>
      </ns0:c>
      <ns0:c r="AG866" s="7">
        <ns0:f>IF(Z866&gt;=0,A866,1001)</ns0:f>
        <ns0:v>862</ns0:v>
      </ns0:c>
      <ns0:c r="AH866" s="4">
        <ns0:f>IF(Z866&lt;0,A866,0)</ns0:f>
        <ns0:v>0</ns0:v>
      </ns0:c>
      <ns0:c r="AI866" s="12">
        <ns0:f>IF(AND(OR('前提と出典'!$C$36+'前提と出典'!$C$38=0,X866&gt;=0),OR('前提と出典'!$C$37+'前提と出典'!$C$38=0,Y866&gt;=0)),0,A866)</ns0:f>
        <ns0:v>0</ns0:v>
      </ns0:c>
    </ns0:row>
    <ns0:row r="867" ht="24" customHeight="1">
      <ns0:c r="A867" s="4" t="n">
        <ns0:v>863</ns0:v>
      </ns0:c>
      <ns0:c r="B867" s="12">
        <ns0:f>A867*('前提と出典'!$C$36+'前提と出典'!$C$38)</ns0:f>
        <ns0:v>604.0999999999999</ns0:v>
      </ns0:c>
      <ns0:c r="C867" s="12">
        <ns0:f>A867*('前提と出典'!$C$37+'前提と出典'!$C$38)</ns0:f>
        <ns0:v>517.8</ns0:v>
      </ns0:c>
      <ns0:c r="D867" s="16">
        <ns0:f>A867*('前提と出典'!$C$36*'契約別単価'!C5+'前提と出典'!$C$37*'契約別単価'!C6+'前提と出典'!$C$38*'契約別単価'!C7)</ns0:f>
        <ns0:v>6209.743016759777</ns0:v>
      </ns0:c>
      <ns0:c r="E867" s="16">
        <ns0:f>A867*('前提と出典'!$C$36*'契約別単価'!E5+'前提と出典'!$C$37*'契約別単価'!E6+'前提と出典'!$C$38*'契約別単価'!E7)</ns0:f>
        <ns0:v>2169472.332756908</ns0:v>
      </ns0:c>
      <ns0:c r="F867" s="16">
        <ns0:f>A867*('前提と出典'!$C$36*'契約別単価'!F5+'前提と出典'!$C$37*'契約別単価'!F6+'前提と出典'!$C$38*'契約別単価'!F7)</ns0:f>
        <ns0:v>630393.2049876804</ns0:v>
      </ns0:c>
      <ns0:c r="G867" s="16">
        <ns0:f>A867*('前提と出典'!$C$36*'契約別単価'!G5+'前提と出典'!$C$37*'契約別単価'!G6+'前提と出典'!$C$38*'契約別単価'!G7)</ns0:f>
        <ns0:v>1717803.910614525</ns0:v>
      </ns0:c>
      <ns0:c r="H867" s="16">
        <ns0:f>A867*('前提と出典'!$C$36*'契約別単価'!H5+'前提と出典'!$C$37*'契約別単価'!H6+'前提と出典'!$C$38*'契約別単価'!H7)</ns0:f>
        <ns0:v>596164.1116195502</ns0:v>
      </ns0:c>
      <ns0:c r="I867" s="16">
        <ns0:f>A867*('前提と出典'!$C$36*'契約別単価'!I5+'前提と出典'!$C$37*'契約別単価'!I6+'前提と出典'!$C$38*'契約別単価'!I7)</ns0:f>
        <ns0:v>36414.74301675977</ns0:v>
      </ns0:c>
      <ns0:c r="J867" s="16">
        <ns0:f>A867*('前提と出典'!$C$36*'契約別単価'!J5+'前提と出典'!$C$37*'契約別単価'!J6+'前提と出典'!$C$38*'契約別単価'!J7)</ns0:f>
        <ns0:v>84823.87622199112</ns0:v>
      </ns0:c>
      <ns0:c r="K867" s="16">
        <ns0:f>A867*('前提と出典'!$C$36*'契約別単価'!K5+'前提と出典'!$C$37*'契約別単価'!K6+'前提と出典'!$C$38*'契約別単価'!K7)</ns0:f>
        <ns0:v>363584.9534450651</ns0:v>
      </ns0:c>
      <ns0:c r="L867" s="16">
        <ns0:f>A867*('前提と出典'!$C$36*'契約別単価'!L5+'前提と出典'!$C$37*'契約別単価'!L6+'前提と出典'!$C$38*'契約別単価'!L7)</ns0:f>
        <ns0:v>296032.137053985</ns0:v>
      </ns0:c>
      <ns0:c r="M867" s="16">
        <ns0:f>IF(('前提と出典'!$C$36+'前提と出典'!$C$38)=0,0,IF(B867&lt;=10,'前提と出典'!B73+'前提と出典'!C73,IF(B867&lt;=100,'前提と出典'!B74+'前提と出典'!C74,IF(B867&lt;=500,'前提と出典'!B75+'前提と出典'!C75,'前提と出典'!B76+'前提と出典'!C76))))</ns0:f>
        <ns0:v>80000</ns0:v>
      </ns0:c>
      <ns0:c r="N867" s="16">
        <ns0:f>IF(('前提と出典'!$C$37+'前提と出典'!$C$38)=0,0,IF(C867&lt;=10,'前提と出典'!D73+'前提と出典'!E73,IF(C867&lt;=100,'前提と出典'!D74+'前提と出典'!E74,IF(C867&lt;=500,'前提と出典'!D75+'前提と出典'!E75,'前提と出典'!D76+'前提と出典'!E76))))</ns0:f>
        <ns0:v>86510.9346263078</ns0:v>
      </ns0:c>
      <ns0:c r="O867" s="16">
        <ns0:f>IF('前提と出典'!$C$36+'前提と出典'!$C$38=0,0,'前提と出典'!$B$4*IF('前提と出典'!$B$20=0,MAX('前提と出典'!$B$6,D867*'前提と出典'!$B$5),'前提と出典'!$B$6+D867*'前提と出典'!$B$5))</ns0:f>
        <ns0:v>856944.5363128493</ns0:v>
      </ns0:c>
      <ns0:c r="P867" s="16">
        <ns0:f>(E867+G867)*(1-'前提と出典'!$B$7)-I867-K867-M867-O867</ns0:f>
        <ns0:v>2410390.065835387</ns0:v>
      </ns0:c>
      <ns0:c r="Q867" s="16">
        <ns0:f>(F867+H867)*(1-'前提と出典'!$B$7)-J867-L867-N867</ns0:f>
        <ns0:v>715034.3053070864</ns0:v>
      </ns0:c>
      <ns0:c r="R867" s="16">
        <ns0:f>P867-E867*'前提と出典'!$E$4</ns0:f>
        <ns0:v>1759548.3660083143</ns0:v>
      </ns0:c>
      <ns0:c r="S867" s="16">
        <ns0:f>Q867-F867*'前提と出典'!$E$4</ns0:f>
        <ns0:v>525916.3438107823</ns0:v>
      </ns0:c>
      <ns0:c r="T867" s="7">
        <ns0:f>R867+S867</ns0:f>
        <ns0:v>2285464.7098190966</ns0:v>
      </ns0:c>
      <ns0:c r="U867" s="16">
        <ns0:f>P867-E867*'前提と出典'!$E$5</ns0:f>
        <ns0:v>1542601.1327326237</ns0:v>
      </ns0:c>
      <ns0:c r="V867" s="16">
        <ns0:f>Q867-F867*'前提と出典'!$E$5</ns0:f>
        <ns0:v>462877.0233120143</ns0:v>
      </ns0:c>
      <ns0:c r="W867" s="7">
        <ns0:f>U867+V867</ns0:f>
        <ns0:v>2005478.156044638</ns0:v>
      </ns0:c>
      <ns0:c r="X867" s="16">
        <ns0:f>P867-E867*'前提と出典'!$E$6</ns0:f>
        <ns0:v>1325653.8994569331</ns0:v>
      </ns0:c>
      <ns0:c r="Y867" s="16">
        <ns0:f>Q867-F867*'前提と出典'!$E$6</ns0:f>
        <ns0:v>399837.7028132461</ns0:v>
      </ns0:c>
      <ns0:c r="Z867" s="7">
        <ns0:f>X867+Y867</ns0:f>
        <ns0:v>1725491.6022701792</ns0:v>
      </ns0:c>
      <ns0:c r="AA867" s="7">
        <ns0:f>IF(T867&gt;=0,A867,1001)</ns0:f>
        <ns0:v>863</ns0:v>
      </ns0:c>
      <ns0:c r="AB867" s="7">
        <ns0:f>IF(T867&lt;0,A867,0)</ns0:f>
        <ns0:v>0</ns0:v>
      </ns0:c>
      <ns0:c r="AC867" s="16">
        <ns0:f>IF(AND(OR('前提と出典'!$C$36+'前提と出典'!$C$38=0,R867&gt;=0),OR('前提と出典'!$C$37+'前提と出典'!$C$38=0,S867&gt;=0)),0,A867)</ns0:f>
        <ns0:v>0</ns0:v>
      </ns0:c>
      <ns0:c r="AD867" s="7">
        <ns0:f>IF(W867&gt;=0,A867,1001)</ns0:f>
        <ns0:v>863</ns0:v>
      </ns0:c>
      <ns0:c r="AE867" s="7">
        <ns0:f>IF(W867&lt;0,A867,0)</ns0:f>
        <ns0:v>0</ns0:v>
      </ns0:c>
      <ns0:c r="AF867" s="16">
        <ns0:f>IF(AND(OR('前提と出典'!$C$36+'前提と出典'!$C$38=0,U867&gt;=0),OR('前提と出典'!$C$37+'前提と出典'!$C$38=0,V867&gt;=0)),0,A867)</ns0:f>
        <ns0:v>0</ns0:v>
      </ns0:c>
      <ns0:c r="AG867" s="7">
        <ns0:f>IF(Z867&gt;=0,A867,1001)</ns0:f>
        <ns0:v>863</ns0:v>
      </ns0:c>
      <ns0:c r="AH867" s="4">
        <ns0:f>IF(Z867&lt;0,A867,0)</ns0:f>
        <ns0:v>0</ns0:v>
      </ns0:c>
      <ns0:c r="AI867" s="12">
        <ns0:f>IF(AND(OR('前提と出典'!$C$36+'前提と出典'!$C$38=0,X867&gt;=0),OR('前提と出典'!$C$37+'前提と出典'!$C$38=0,Y867&gt;=0)),0,A867)</ns0:f>
        <ns0:v>0</ns0:v>
      </ns0:c>
    </ns0:row>
    <ns0:row r="868" ht="24" customHeight="1">
      <ns0:c r="A868" s="4" t="n">
        <ns0:v>864</ns0:v>
      </ns0:c>
      <ns0:c r="B868" s="12">
        <ns0:f>A868*('前提と出典'!$C$36+'前提と出典'!$C$38)</ns0:f>
        <ns0:v>604.8</ns0:v>
      </ns0:c>
      <ns0:c r="C868" s="12">
        <ns0:f>A868*('前提と出典'!$C$37+'前提と出典'!$C$38)</ns0:f>
        <ns0:v>518.4</ns0:v>
      </ns0:c>
      <ns0:c r="D868" s="16">
        <ns0:f>A868*('前提と出典'!$C$36*'契約別単価'!C5+'前提と出典'!$C$37*'契約別単価'!C6+'前提と出典'!$C$38*'契約別単価'!C7)</ns0:f>
        <ns0:v>6216.938547486034</ns0:v>
      </ns0:c>
      <ns0:c r="E868" s="16">
        <ns0:f>A868*('前提と出典'!$C$36*'契約別単価'!E5+'前提と出典'!$C$37*'契約別単価'!E6+'前提と出典'!$C$38*'契約別単価'!E7)</ns0:f>
        <ns0:v>2171986.205680149</ns0:v>
      </ns0:c>
      <ns0:c r="F868" s="16">
        <ns0:f>A868*('前提と出典'!$C$36*'契約別単価'!F5+'前提と出典'!$C$37*'契約別単価'!F6+'前提と出典'!$C$38*'契約別単価'!F7)</ns0:f>
        <ns0:v>631123.6722008758</ns0:v>
      </ns0:c>
      <ns0:c r="G868" s="16">
        <ns0:f>A868*('前提と出典'!$C$36*'契約別単価'!G5+'前提と出典'!$C$37*'契約別単価'!G6+'前提と出典'!$C$38*'契約別単価'!G7)</ns0:f>
        <ns0:v>1719794.4134078212</ns0:v>
      </ns0:c>
      <ns0:c r="H868" s="16">
        <ns0:f>A868*('前提と出典'!$C$36*'契約別単価'!H5+'前提と出典'!$C$37*'契約別単価'!H6+'前提と出典'!$C$38*'契約別単価'!H7)</ns0:f>
        <ns0:v>596854.9159203839</ns0:v>
      </ns0:c>
      <ns0:c r="I868" s="16">
        <ns0:f>A868*('前提と出典'!$C$36*'契約別単価'!I5+'前提と出典'!$C$37*'契約別単価'!I6+'前提と出典'!$C$38*'契約別単価'!I7)</ns0:f>
        <ns0:v>36456.938547486025</ns0:v>
      </ns0:c>
      <ns0:c r="J868" s="16">
        <ns0:f>A868*('前提と出典'!$C$36*'契約別単価'!J5+'前提と出典'!$C$37*'契約別単価'!J6+'前提と出典'!$C$38*'契約別単価'!J7)</ns0:f>
        <ns0:v>84922.16576570141</ns0:v>
      </ns0:c>
      <ns0:c r="K868" s="16">
        <ns0:f>A868*('前提と出典'!$C$36*'契約別単価'!K5+'前提と出典'!$C$37*'契約別単価'!K6+'前提と出典'!$C$38*'契約別単価'!K7)</ns0:f>
        <ns0:v>364006.2569832402</ns0:v>
      </ns0:c>
      <ns0:c r="L868" s="16">
        <ns0:f>A868*('前提と出典'!$C$36*'契約別単価'!L5+'前提と出典'!$C$37*'契約別単価'!L6+'前提と出典'!$C$38*'契約別単価'!L7)</ns0:f>
        <ns0:v>296375.1638640128</ns0:v>
      </ns0:c>
      <ns0:c r="M868" s="16">
        <ns0:f>IF(('前提と出典'!$C$36+'前提と出典'!$C$38)=0,0,IF(B868&lt;=10,'前提と出典'!B73+'前提と出典'!C73,IF(B868&lt;=100,'前提と出典'!B74+'前提と出典'!C74,IF(B868&lt;=500,'前提と出典'!B75+'前提と出典'!C75,'前提と出典'!B76+'前提と出典'!C76))))</ns0:f>
        <ns0:v>80000</ns0:v>
      </ns0:c>
      <ns0:c r="N868" s="16">
        <ns0:f>IF(('前提と出典'!$C$37+'前提と出典'!$C$38)=0,0,IF(C868&lt;=10,'前提と出典'!D73+'前提と出典'!E73,IF(C868&lt;=100,'前提と出典'!D74+'前提と出典'!E74,IF(C868&lt;=500,'前提と出典'!D75+'前提と出典'!E75,'前提と出典'!D76+'前提と出典'!E76))))</ns0:f>
        <ns0:v>86510.9346263078</ns0:v>
      </ns0:c>
      <ns0:c r="O868" s="16">
        <ns0:f>IF('前提と出典'!$C$36+'前提と出典'!$C$38=0,0,'前提と出典'!$B$4*IF('前提と出典'!$B$20=0,MAX('前提と出典'!$B$6,D868*'前提と出典'!$B$5),'前提と出典'!$B$6+D868*'前提と出典'!$B$5))</ns0:f>
        <ns0:v>857937.5195530728</ns0:v>
      </ns0:c>
      <ns0:c r="P868" s="16">
        <ns0:f>(E868+G868)*(1-'前提と出典'!$B$7)-I868-K868-M868-O868</ns0:f>
        <ns0:v>2413275.8017170047</ns0:v>
      </ns0:c>
      <ns0:c r="Q868" s="16">
        <ns0:f>(F868+H868)*(1-'前提と出典'!$B$7)-J868-L868-N868</ns0:f>
        <ns0:v>715963.0946928721</ns0:v>
      </ns0:c>
      <ns0:c r="R868" s="16">
        <ns0:f>P868-E868*'前提と出典'!$E$4</ns0:f>
        <ns0:v>1761679.9400129602</ns0:v>
      </ns0:c>
      <ns0:c r="S868" s="16">
        <ns0:f>Q868-F868*'前提と出典'!$E$4</ns0:f>
        <ns0:v>526625.9930326093</ns0:v>
      </ns0:c>
      <ns0:c r="T868" s="7">
        <ns0:f>R868+S868</ns0:f>
        <ns0:v>2288305.93304557</ns0:v>
      </ns0:c>
      <ns0:c r="U868" s="16">
        <ns0:f>P868-E868*'前提と出典'!$E$5</ns0:f>
        <ns0:v>1544481.319444945</ns0:v>
      </ns0:c>
      <ns0:c r="V868" s="16">
        <ns0:f>Q868-F868*'前提と出典'!$E$5</ns0:f>
        <ns0:v>463513.6258125218</ns0:v>
      </ns0:c>
      <ns0:c r="W868" s="7">
        <ns0:f>U868+V868</ns0:f>
        <ns0:v>2007994.9452574668</ns0:v>
      </ns0:c>
      <ns0:c r="X868" s="16">
        <ns0:f>P868-E868*'前提と出典'!$E$6</ns0:f>
        <ns0:v>1327282.69887693</ns0:v>
      </ns0:c>
      <ns0:c r="Y868" s="16">
        <ns0:f>Q868-F868*'前提と出典'!$E$6</ns0:f>
        <ns0:v>400401.2585924342</ns0:v>
      </ns0:c>
      <ns0:c r="Z868" s="7">
        <ns0:f>X868+Y868</ns0:f>
        <ns0:v>1727683.9574693642</ns0:v>
      </ns0:c>
      <ns0:c r="AA868" s="7">
        <ns0:f>IF(T868&gt;=0,A868,1001)</ns0:f>
        <ns0:v>864</ns0:v>
      </ns0:c>
      <ns0:c r="AB868" s="7">
        <ns0:f>IF(T868&lt;0,A868,0)</ns0:f>
        <ns0:v>0</ns0:v>
      </ns0:c>
      <ns0:c r="AC868" s="16">
        <ns0:f>IF(AND(OR('前提と出典'!$C$36+'前提と出典'!$C$38=0,R868&gt;=0),OR('前提と出典'!$C$37+'前提と出典'!$C$38=0,S868&gt;=0)),0,A868)</ns0:f>
        <ns0:v>0</ns0:v>
      </ns0:c>
      <ns0:c r="AD868" s="7">
        <ns0:f>IF(W868&gt;=0,A868,1001)</ns0:f>
        <ns0:v>864</ns0:v>
      </ns0:c>
      <ns0:c r="AE868" s="7">
        <ns0:f>IF(W868&lt;0,A868,0)</ns0:f>
        <ns0:v>0</ns0:v>
      </ns0:c>
      <ns0:c r="AF868" s="16">
        <ns0:f>IF(AND(OR('前提と出典'!$C$36+'前提と出典'!$C$38=0,U868&gt;=0),OR('前提と出典'!$C$37+'前提と出典'!$C$38=0,V868&gt;=0)),0,A868)</ns0:f>
        <ns0:v>0</ns0:v>
      </ns0:c>
      <ns0:c r="AG868" s="7">
        <ns0:f>IF(Z868&gt;=0,A868,1001)</ns0:f>
        <ns0:v>864</ns0:v>
      </ns0:c>
      <ns0:c r="AH868" s="4">
        <ns0:f>IF(Z868&lt;0,A868,0)</ns0:f>
        <ns0:v>0</ns0:v>
      </ns0:c>
      <ns0:c r="AI868" s="12">
        <ns0:f>IF(AND(OR('前提と出典'!$C$36+'前提と出典'!$C$38=0,X868&gt;=0),OR('前提と出典'!$C$37+'前提と出典'!$C$38=0,Y868&gt;=0)),0,A868)</ns0:f>
        <ns0:v>0</ns0:v>
      </ns0:c>
    </ns0:row>
    <ns0:row r="869" ht="24" customHeight="1">
      <ns0:c r="A869" s="4" t="n">
        <ns0:v>865</ns0:v>
      </ns0:c>
      <ns0:c r="B869" s="12">
        <ns0:f>A869*('前提と出典'!$C$36+'前提と出典'!$C$38)</ns0:f>
        <ns0:v>605.5</ns0:v>
      </ns0:c>
      <ns0:c r="C869" s="12">
        <ns0:f>A869*('前提と出典'!$C$37+'前提と出典'!$C$38)</ns0:f>
        <ns0:v>519</ns0:v>
      </ns0:c>
      <ns0:c r="D869" s="16">
        <ns0:f>A869*('前提と出典'!$C$36*'契約別単価'!C5+'前提と出典'!$C$37*'契約別単価'!C6+'前提と出典'!$C$38*'契約別単価'!C7)</ns0:f>
        <ns0:v>6224.134078212291</ns0:v>
      </ns0:c>
      <ns0:c r="E869" s="16">
        <ns0:f>A869*('前提と出典'!$C$36*'契約別単価'!E5+'前提と出典'!$C$37*'契約別単価'!E6+'前提と出典'!$C$38*'契約別単価'!E7)</ns0:f>
        <ns0:v>2174500.07860339</ns0:v>
      </ns0:c>
      <ns0:c r="F869" s="16">
        <ns0:f>A869*('前提と出典'!$C$36*'契約別単価'!F5+'前提と出典'!$C$37*'契約別単価'!F6+'前提と出典'!$C$38*'契約別単価'!F7)</ns0:f>
        <ns0:v>631854.1394140713</ns0:v>
      </ns0:c>
      <ns0:c r="G869" s="16">
        <ns0:f>A869*('前提と出典'!$C$36*'契約別単価'!G5+'前提と出典'!$C$37*'契約別単価'!G6+'前提と出典'!$C$38*'契約別単価'!G7)</ns0:f>
        <ns0:v>1721784.9162011172</ns0:v>
      </ns0:c>
      <ns0:c r="H869" s="16">
        <ns0:f>A869*('前提と出典'!$C$36*'契約別単価'!H5+'前提と出典'!$C$37*'契約別単価'!H6+'前提と出典'!$C$38*'契約別単価'!H7)</ns0:f>
        <ns0:v>597545.7202212177</ns0:v>
      </ns0:c>
      <ns0:c r="I869" s="16">
        <ns0:f>A869*('前提と出典'!$C$36*'契約別単価'!I5+'前提と出典'!$C$37*'契約別単価'!I6+'前提と出典'!$C$38*'契約別単価'!I7)</ns0:f>
        <ns0:v>36499.134078212286</ns0:v>
      </ns0:c>
      <ns0:c r="J869" s="16">
        <ns0:f>A869*('前提と出典'!$C$36*'契約別単価'!J5+'前提と出典'!$C$37*'契約別単価'!J6+'前提と出典'!$C$38*'契約別単価'!J7)</ns0:f>
        <ns0:v>85020.45530941171</ns0:v>
      </ns0:c>
      <ns0:c r="K869" s="16">
        <ns0:f>A869*('前提と出典'!$C$36*'契約別単価'!K5+'前提と出典'!$C$37*'契約別単価'!K6+'前提と出典'!$C$38*'契約別単価'!K7)</ns0:f>
        <ns0:v>364427.56052141526</ns0:v>
      </ns0:c>
      <ns0:c r="L869" s="16">
        <ns0:f>A869*('前提と出典'!$C$36*'契約別単価'!L5+'前提と出典'!$C$37*'契約別単価'!L6+'前提と出典'!$C$38*'契約別単価'!L7)</ns0:f>
        <ns0:v>296718.1906740406</ns0:v>
      </ns0:c>
      <ns0:c r="M869" s="16">
        <ns0:f>IF(('前提と出典'!$C$36+'前提と出典'!$C$38)=0,0,IF(B869&lt;=10,'前提と出典'!B73+'前提と出典'!C73,IF(B869&lt;=100,'前提と出典'!B74+'前提と出典'!C74,IF(B869&lt;=500,'前提と出典'!B75+'前提と出典'!C75,'前提と出典'!B76+'前提と出典'!C76))))</ns0:f>
        <ns0:v>80000</ns0:v>
      </ns0:c>
      <ns0:c r="N869" s="16">
        <ns0:f>IF(('前提と出典'!$C$37+'前提と出典'!$C$38)=0,0,IF(C869&lt;=10,'前提と出典'!D73+'前提と出典'!E73,IF(C869&lt;=100,'前提と出典'!D74+'前提と出典'!E74,IF(C869&lt;=500,'前提と出典'!D75+'前提と出典'!E75,'前提と出典'!D76+'前提と出典'!E76))))</ns0:f>
        <ns0:v>86510.9346263078</ns0:v>
      </ns0:c>
      <ns0:c r="O869" s="16">
        <ns0:f>IF('前提と出典'!$C$36+'前提と出典'!$C$38=0,0,'前提と出典'!$B$4*IF('前提と出典'!$B$20=0,MAX('前提と出典'!$B$6,D869*'前提と出典'!$B$5),'前提と出典'!$B$6+D869*'前提と出典'!$B$5))</ns0:f>
        <ns0:v>858930.5027932962</ns0:v>
      </ns0:c>
      <ns0:c r="P869" s="16">
        <ns0:f>(E869+G869)*(1-'前提と出典'!$B$7)-I869-K869-M869-O869</ns0:f>
        <ns0:v>2416161.537598621</ns0:v>
      </ns0:c>
      <ns0:c r="Q869" s="16">
        <ns0:f>(F869+H869)*(1-'前提と出典'!$B$7)-J869-L869-N869</ns0:f>
        <ns0:v>716891.8840786585</ns0:v>
      </ns0:c>
      <ns0:c r="R869" s="16">
        <ns0:f>P869-E869*'前提と出典'!$E$4</ns0:f>
        <ns0:v>1763811.5140176043</ns0:v>
      </ns0:c>
      <ns0:c r="S869" s="16">
        <ns0:f>Q869-F869*'前提と出典'!$E$4</ns0:f>
        <ns0:v>527335.6422544372</ns0:v>
      </ns0:c>
      <ns0:c r="T869" s="7">
        <ns0:f>R869+S869</ns0:f>
        <ns0:v>2291147.1562720416</ns0:v>
      </ns0:c>
      <ns0:c r="U869" s="16">
        <ns0:f>P869-E869*'前提と出典'!$E$5</ns0:f>
        <ns0:v>1546361.506157265</ns0:v>
      </ns0:c>
      <ns0:c r="V869" s="16">
        <ns0:f>Q869-F869*'前提と出典'!$E$5</ns0:f>
        <ns0:v>464150.22831303</ns0:v>
      </ns0:c>
      <ns0:c r="W869" s="7">
        <ns0:f>U869+V869</ns0:f>
        <ns0:v>2010511.734470295</ns0:v>
      </ns0:c>
      <ns0:c r="X869" s="16">
        <ns0:f>P869-E869*'前提と出典'!$E$6</ns0:f>
        <ns0:v>1328911.4982969258</ns0:v>
      </ns0:c>
      <ns0:c r="Y869" s="16">
        <ns0:f>Q869-F869*'前提と出典'!$E$6</ns0:f>
        <ns0:v>400964.81437162287</ns0:v>
      </ns0:c>
      <ns0:c r="Z869" s="7">
        <ns0:f>X869+Y869</ns0:f>
        <ns0:v>1729876.3126685487</ns0:v>
      </ns0:c>
      <ns0:c r="AA869" s="7">
        <ns0:f>IF(T869&gt;=0,A869,1001)</ns0:f>
        <ns0:v>865</ns0:v>
      </ns0:c>
      <ns0:c r="AB869" s="7">
        <ns0:f>IF(T869&lt;0,A869,0)</ns0:f>
        <ns0:v>0</ns0:v>
      </ns0:c>
      <ns0:c r="AC869" s="16">
        <ns0:f>IF(AND(OR('前提と出典'!$C$36+'前提と出典'!$C$38=0,R869&gt;=0),OR('前提と出典'!$C$37+'前提と出典'!$C$38=0,S869&gt;=0)),0,A869)</ns0:f>
        <ns0:v>0</ns0:v>
      </ns0:c>
      <ns0:c r="AD869" s="7">
        <ns0:f>IF(W869&gt;=0,A869,1001)</ns0:f>
        <ns0:v>865</ns0:v>
      </ns0:c>
      <ns0:c r="AE869" s="7">
        <ns0:f>IF(W869&lt;0,A869,0)</ns0:f>
        <ns0:v>0</ns0:v>
      </ns0:c>
      <ns0:c r="AF869" s="16">
        <ns0:f>IF(AND(OR('前提と出典'!$C$36+'前提と出典'!$C$38=0,U869&gt;=0),OR('前提と出典'!$C$37+'前提と出典'!$C$38=0,V869&gt;=0)),0,A869)</ns0:f>
        <ns0:v>0</ns0:v>
      </ns0:c>
      <ns0:c r="AG869" s="7">
        <ns0:f>IF(Z869&gt;=0,A869,1001)</ns0:f>
        <ns0:v>865</ns0:v>
      </ns0:c>
      <ns0:c r="AH869" s="4">
        <ns0:f>IF(Z869&lt;0,A869,0)</ns0:f>
        <ns0:v>0</ns0:v>
      </ns0:c>
      <ns0:c r="AI869" s="12">
        <ns0:f>IF(AND(OR('前提と出典'!$C$36+'前提と出典'!$C$38=0,X869&gt;=0),OR('前提と出典'!$C$37+'前提と出典'!$C$38=0,Y869&gt;=0)),0,A869)</ns0:f>
        <ns0:v>0</ns0:v>
      </ns0:c>
    </ns0:row>
    <ns0:row r="870" ht="24" customHeight="1">
      <ns0:c r="A870" s="4" t="n">
        <ns0:v>866</ns0:v>
      </ns0:c>
      <ns0:c r="B870" s="12">
        <ns0:f>A870*('前提と出典'!$C$36+'前提と出典'!$C$38)</ns0:f>
        <ns0:v>606.1999999999999</ns0:v>
      </ns0:c>
      <ns0:c r="C870" s="12">
        <ns0:f>A870*('前提と出典'!$C$37+'前提と出典'!$C$38)</ns0:f>
        <ns0:v>519.6</ns0:v>
      </ns0:c>
      <ns0:c r="D870" s="16">
        <ns0:f>A870*('前提と出典'!$C$36*'契約別単価'!C5+'前提と出典'!$C$37*'契約別単価'!C6+'前提と出典'!$C$38*'契約別単価'!C7)</ns0:f>
        <ns0:v>6231.329608938548</ns0:v>
      </ns0:c>
      <ns0:c r="E870" s="16">
        <ns0:f>A870*('前提と出典'!$C$36*'契約別単価'!E5+'前提と出典'!$C$37*'契約別単価'!E6+'前提と出典'!$C$38*'契約別単価'!E7)</ns0:f>
        <ns0:v>2177013.9515266307</ns0:v>
      </ns0:c>
      <ns0:c r="F870" s="16">
        <ns0:f>A870*('前提と出典'!$C$36*'契約別単価'!F5+'前提と出典'!$C$37*'契約別単価'!F6+'前提と出典'!$C$38*'契約別単価'!F7)</ns0:f>
        <ns0:v>632584.6066272667</ns0:v>
      </ns0:c>
      <ns0:c r="G870" s="16">
        <ns0:f>A870*('前提と出典'!$C$36*'契約別単価'!G5+'前提と出典'!$C$37*'契約別単価'!G6+'前提と出典'!$C$38*'契約別単価'!G7)</ns0:f>
        <ns0:v>1723775.4189944132</ns0:v>
      </ns0:c>
      <ns0:c r="H870" s="16">
        <ns0:f>A870*('前提と出典'!$C$36*'契約別単価'!H5+'前提と出典'!$C$37*'契約別単価'!H6+'前提と出典'!$C$38*'契約別単価'!H7)</ns0:f>
        <ns0:v>598236.5245220514</ns0:v>
      </ns0:c>
      <ns0:c r="I870" s="16">
        <ns0:f>A870*('前提と出典'!$C$36*'契約別単価'!I5+'前提と出典'!$C$37*'契約別単価'!I6+'前提と出典'!$C$38*'契約別単価'!I7)</ns0:f>
        <ns0:v>36541.32960893854</ns0:v>
      </ns0:c>
      <ns0:c r="J870" s="16">
        <ns0:f>A870*('前提と出典'!$C$36*'契約別単価'!J5+'前提と出典'!$C$37*'契約別単価'!J6+'前提と出典'!$C$38*'契約別単価'!J7)</ns0:f>
        <ns0:v>85118.74485312203</ns0:v>
      </ns0:c>
      <ns0:c r="K870" s="16">
        <ns0:f>A870*('前提と出典'!$C$36*'契約別単価'!K5+'前提と出典'!$C$37*'契約別単価'!K6+'前提と出典'!$C$38*'契約別単価'!K7)</ns0:f>
        <ns0:v>364848.86405959027</ns0:v>
      </ns0:c>
      <ns0:c r="L870" s="16">
        <ns0:f>A870*('前提と出典'!$C$36*'契約別単価'!L5+'前提と出典'!$C$37*'契約別単価'!L6+'前提と出典'!$C$38*'契約別単価'!L7)</ns0:f>
        <ns0:v>297061.21748406836</ns0:v>
      </ns0:c>
      <ns0:c r="M870" s="16">
        <ns0:f>IF(('前提と出典'!$C$36+'前提と出典'!$C$38)=0,0,IF(B870&lt;=10,'前提と出典'!B73+'前提と出典'!C73,IF(B870&lt;=100,'前提と出典'!B74+'前提と出典'!C74,IF(B870&lt;=500,'前提と出典'!B75+'前提と出典'!C75,'前提と出典'!B76+'前提と出典'!C76))))</ns0:f>
        <ns0:v>80000</ns0:v>
      </ns0:c>
      <ns0:c r="N870" s="16">
        <ns0:f>IF(('前提と出典'!$C$37+'前提と出典'!$C$38)=0,0,IF(C870&lt;=10,'前提と出典'!D73+'前提と出典'!E73,IF(C870&lt;=100,'前提と出典'!D74+'前提と出典'!E74,IF(C870&lt;=500,'前提と出典'!D75+'前提と出典'!E75,'前提と出典'!D76+'前提と出典'!E76))))</ns0:f>
        <ns0:v>86510.9346263078</ns0:v>
      </ns0:c>
      <ns0:c r="O870" s="16">
        <ns0:f>IF('前提と出典'!$C$36+'前提と出典'!$C$38=0,0,'前提と出典'!$B$4*IF('前提と出典'!$B$20=0,MAX('前提と出典'!$B$6,D870*'前提と出典'!$B$5),'前提と出典'!$B$6+D870*'前提と出典'!$B$5))</ns0:f>
        <ns0:v>859923.4860335196</ns0:v>
      </ns0:c>
      <ns0:c r="P870" s="16">
        <ns0:f>(E870+G870)*(1-'前提と出典'!$B$7)-I870-K870-M870-O870</ns0:f>
        <ns0:v>2419047.2734802375</ns0:v>
      </ns0:c>
      <ns0:c r="Q870" s="16">
        <ns0:f>(F870+H870)*(1-'前提と出典'!$B$7)-J870-L870-N870</ns0:f>
        <ns0:v>717820.6734644445</ns0:v>
      </ns0:c>
      <ns0:c r="R870" s="16">
        <ns0:f>P870-E870*'前提と出典'!$E$4</ns0:f>
        <ns0:v>1765943.0880222484</ns0:v>
      </ns0:c>
      <ns0:c r="S870" s="16">
        <ns0:f>Q870-F870*'前提と出典'!$E$4</ns0:f>
        <ns0:v>528045.2914762645</ns0:v>
      </ns0:c>
      <ns0:c r="T870" s="7">
        <ns0:f>R870+S870</ns0:f>
        <ns0:v>2293988.379498513</ns0:v>
      </ns0:c>
      <ns0:c r="U870" s="16">
        <ns0:f>P870-E870*'前提と出典'!$E$5</ns0:f>
        <ns0:v>1548241.692869585</ns0:v>
      </ns0:c>
      <ns0:c r="V870" s="16">
        <ns0:f>Q870-F870*'前提と出典'!$E$5</ns0:f>
        <ns0:v>464786.8308135378</ns0:v>
      </ns0:c>
      <ns0:c r="W870" s="7">
        <ns0:f>U870+V870</ns0:f>
        <ns0:v>2013028.5236831228</ns0:v>
      </ns0:c>
      <ns0:c r="X870" s="16">
        <ns0:f>P870-E870*'前提と出典'!$E$6</ns0:f>
        <ns0:v>1330540.2977169221</ns0:v>
      </ns0:c>
      <ns0:c r="Y870" s="16">
        <ns0:f>Q870-F870*'前提と出典'!$E$6</ns0:f>
        <ns0:v>401528.37015081104</ns0:v>
      </ns0:c>
      <ns0:c r="Z870" s="7">
        <ns0:f>X870+Y870</ns0:f>
        <ns0:v>1732068.6678677332</ns0:v>
      </ns0:c>
      <ns0:c r="AA870" s="7">
        <ns0:f>IF(T870&gt;=0,A870,1001)</ns0:f>
        <ns0:v>866</ns0:v>
      </ns0:c>
      <ns0:c r="AB870" s="7">
        <ns0:f>IF(T870&lt;0,A870,0)</ns0:f>
        <ns0:v>0</ns0:v>
      </ns0:c>
      <ns0:c r="AC870" s="16">
        <ns0:f>IF(AND(OR('前提と出典'!$C$36+'前提と出典'!$C$38=0,R870&gt;=0),OR('前提と出典'!$C$37+'前提と出典'!$C$38=0,S870&gt;=0)),0,A870)</ns0:f>
        <ns0:v>0</ns0:v>
      </ns0:c>
      <ns0:c r="AD870" s="7">
        <ns0:f>IF(W870&gt;=0,A870,1001)</ns0:f>
        <ns0:v>866</ns0:v>
      </ns0:c>
      <ns0:c r="AE870" s="7">
        <ns0:f>IF(W870&lt;0,A870,0)</ns0:f>
        <ns0:v>0</ns0:v>
      </ns0:c>
      <ns0:c r="AF870" s="16">
        <ns0:f>IF(AND(OR('前提と出典'!$C$36+'前提と出典'!$C$38=0,U870&gt;=0),OR('前提と出典'!$C$37+'前提と出典'!$C$38=0,V870&gt;=0)),0,A870)</ns0:f>
        <ns0:v>0</ns0:v>
      </ns0:c>
      <ns0:c r="AG870" s="7">
        <ns0:f>IF(Z870&gt;=0,A870,1001)</ns0:f>
        <ns0:v>866</ns0:v>
      </ns0:c>
      <ns0:c r="AH870" s="4">
        <ns0:f>IF(Z870&lt;0,A870,0)</ns0:f>
        <ns0:v>0</ns0:v>
      </ns0:c>
      <ns0:c r="AI870" s="12">
        <ns0:f>IF(AND(OR('前提と出典'!$C$36+'前提と出典'!$C$38=0,X870&gt;=0),OR('前提と出典'!$C$37+'前提と出典'!$C$38=0,Y870&gt;=0)),0,A870)</ns0:f>
        <ns0:v>0</ns0:v>
      </ns0:c>
    </ns0:row>
    <ns0:row r="871" ht="24" customHeight="1">
      <ns0:c r="A871" s="4" t="n">
        <ns0:v>867</ns0:v>
      </ns0:c>
      <ns0:c r="B871" s="12">
        <ns0:f>A871*('前提と出典'!$C$36+'前提と出典'!$C$38)</ns0:f>
        <ns0:v>606.9</ns0:v>
      </ns0:c>
      <ns0:c r="C871" s="12">
        <ns0:f>A871*('前提と出典'!$C$37+'前提と出典'!$C$38)</ns0:f>
        <ns0:v>520.1999999999999</ns0:v>
      </ns0:c>
      <ns0:c r="D871" s="16">
        <ns0:f>A871*('前提と出典'!$C$36*'契約別単価'!C5+'前提と出典'!$C$37*'契約別単価'!C6+'前提と出典'!$C$38*'契約別単価'!C7)</ns0:f>
        <ns0:v>6238.525139664805</ns0:v>
      </ns0:c>
      <ns0:c r="E871" s="16">
        <ns0:f>A871*('前提と出典'!$C$36*'契約別単価'!E5+'前提と出典'!$C$37*'契約別単価'!E6+'前提と出典'!$C$38*'契約別単価'!E7)</ns0:f>
        <ns0:v>2179527.8244498717</ns0:v>
      </ns0:c>
      <ns0:c r="F871" s="16">
        <ns0:f>A871*('前提と出典'!$C$36*'契約別単価'!F5+'前提と出典'!$C$37*'契約別単価'!F6+'前提と出典'!$C$38*'契約別単価'!F7)</ns0:f>
        <ns0:v>633315.0738404623</ns0:v>
      </ns0:c>
      <ns0:c r="G871" s="16">
        <ns0:f>A871*('前提と出典'!$C$36*'契約別単価'!G5+'前提と出典'!$C$37*'契約別単価'!G6+'前提と出典'!$C$38*'契約別単価'!G7)</ns0:f>
        <ns0:v>1725765.9217877095</ns0:v>
      </ns0:c>
      <ns0:c r="H871" s="16">
        <ns0:f>A871*('前提と出典'!$C$36*'契約別単価'!H5+'前提と出典'!$C$37*'契約別単価'!H6+'前提と出典'!$C$38*'契約別単価'!H7)</ns0:f>
        <ns0:v>598927.3288228853</ns0:v>
      </ns0:c>
      <ns0:c r="I871" s="16">
        <ns0:f>A871*('前提と出典'!$C$36*'契約別単価'!I5+'前提と出典'!$C$37*'契約別単価'!I6+'前提と出典'!$C$38*'契約別単価'!I7)</ns0:f>
        <ns0:v>36583.5251396648</ns0:v>
      </ns0:c>
      <ns0:c r="J871" s="16">
        <ns0:f>A871*('前提と出典'!$C$36*'契約別単価'!J5+'前提と出典'!$C$37*'契約別単価'!J6+'前提と出典'!$C$38*'契約別単価'!J7)</ns0:f>
        <ns0:v>85217.03439683233</ns0:v>
      </ns0:c>
      <ns0:c r="K871" s="16">
        <ns0:f>A871*('前提と出典'!$C$36*'契約別単価'!K5+'前提と出典'!$C$37*'契約別単価'!K6+'前提と出典'!$C$38*'契約別単価'!K7)</ns0:f>
        <ns0:v>365270.16759776534</ns0:v>
      </ns0:c>
      <ns0:c r="L871" s="16">
        <ns0:f>A871*('前提と出典'!$C$36*'契約別単価'!L5+'前提と出典'!$C$37*'契約別単価'!L6+'前提と出典'!$C$38*'契約別単価'!L7)</ns0:f>
        <ns0:v>297404.2442940962</ns0:v>
      </ns0:c>
      <ns0:c r="M871" s="16">
        <ns0:f>IF(('前提と出典'!$C$36+'前提と出典'!$C$38)=0,0,IF(B871&lt;=10,'前提と出典'!B73+'前提と出典'!C73,IF(B871&lt;=100,'前提と出典'!B74+'前提と出典'!C74,IF(B871&lt;=500,'前提と出典'!B75+'前提と出典'!C75,'前提と出典'!B76+'前提と出典'!C76))))</ns0:f>
        <ns0:v>80000</ns0:v>
      </ns0:c>
      <ns0:c r="N871" s="16">
        <ns0:f>IF(('前提と出典'!$C$37+'前提と出典'!$C$38)=0,0,IF(C871&lt;=10,'前提と出典'!D73+'前提と出典'!E73,IF(C871&lt;=100,'前提と出典'!D74+'前提と出典'!E74,IF(C871&lt;=500,'前提と出典'!D75+'前提と出典'!E75,'前提と出典'!D76+'前提と出典'!E76))))</ns0:f>
        <ns0:v>86510.9346263078</ns0:v>
      </ns0:c>
      <ns0:c r="O871" s="16">
        <ns0:f>IF('前提と出典'!$C$36+'前提と出典'!$C$38=0,0,'前提と出典'!$B$4*IF('前提と出典'!$B$20=0,MAX('前提と出典'!$B$6,D871*'前提と出典'!$B$5),'前提と出典'!$B$6+D871*'前提と出典'!$B$5))</ns0:f>
        <ns0:v>860916.4692737431</ns0:v>
      </ns0:c>
      <ns0:c r="P871" s="16">
        <ns0:f>(E871+G871)*(1-'前提と出典'!$B$7)-I871-K871-M871-O871</ns0:f>
        <ns0:v>2421933.0093618548</ns0:v>
      </ns0:c>
      <ns0:c r="Q871" s="16">
        <ns0:f>(F871+H871)*(1-'前提と出典'!$B$7)-J871-L871-N871</ns0:f>
        <ns0:v>718749.4628502307</ns0:v>
      </ns0:c>
      <ns0:c r="R871" s="16">
        <ns0:f>P871-E871*'前提と出典'!$E$4</ns0:f>
        <ns0:v>1768074.6620268933</ns0:v>
      </ns0:c>
      <ns0:c r="S871" s="16">
        <ns0:f>Q871-F871*'前提と出典'!$E$4</ns0:f>
        <ns0:v>528754.9406980921</ns0:v>
      </ns0:c>
      <ns0:c r="T871" s="7">
        <ns0:f>R871+S871</ns0:f>
        <ns0:v>2296829.602724985</ns0:v>
      </ns0:c>
      <ns0:c r="U871" s="16">
        <ns0:f>P871-E871*'前提と出典'!$E$5</ns0:f>
        <ns0:v>1550121.879581906</ns0:v>
      </ns0:c>
      <ns0:c r="V871" s="16">
        <ns0:f>Q871-F871*'前提と出典'!$E$5</ns0:f>
        <ns0:v>465423.4333140459</ns0:v>
      </ns0:c>
      <ns0:c r="W871" s="7">
        <ns0:f>U871+V871</ns0:f>
        <ns0:v>2015545.3128959518</ns0:v>
      </ns0:c>
      <ns0:c r="X871" s="16">
        <ns0:f>P871-E871*'前提と出典'!$E$6</ns0:f>
        <ns0:v>1332169.0971369194</ns0:v>
      </ns0:c>
      <ns0:c r="Y871" s="16">
        <ns0:f>Q871-F871*'前提と出典'!$E$6</ns0:f>
        <ns0:v>402091.9259299996</ns0:v>
      </ns0:c>
      <ns0:c r="Z871" s="7">
        <ns0:f>X871+Y871</ns0:f>
        <ns0:v>1734261.023066919</ns0:v>
      </ns0:c>
      <ns0:c r="AA871" s="7">
        <ns0:f>IF(T871&gt;=0,A871,1001)</ns0:f>
        <ns0:v>867</ns0:v>
      </ns0:c>
      <ns0:c r="AB871" s="7">
        <ns0:f>IF(T871&lt;0,A871,0)</ns0:f>
        <ns0:v>0</ns0:v>
      </ns0:c>
      <ns0:c r="AC871" s="16">
        <ns0:f>IF(AND(OR('前提と出典'!$C$36+'前提と出典'!$C$38=0,R871&gt;=0),OR('前提と出典'!$C$37+'前提と出典'!$C$38=0,S871&gt;=0)),0,A871)</ns0:f>
        <ns0:v>0</ns0:v>
      </ns0:c>
      <ns0:c r="AD871" s="7">
        <ns0:f>IF(W871&gt;=0,A871,1001)</ns0:f>
        <ns0:v>867</ns0:v>
      </ns0:c>
      <ns0:c r="AE871" s="7">
        <ns0:f>IF(W871&lt;0,A871,0)</ns0:f>
        <ns0:v>0</ns0:v>
      </ns0:c>
      <ns0:c r="AF871" s="16">
        <ns0:f>IF(AND(OR('前提と出典'!$C$36+'前提と出典'!$C$38=0,U871&gt;=0),OR('前提と出典'!$C$37+'前提と出典'!$C$38=0,V871&gt;=0)),0,A871)</ns0:f>
        <ns0:v>0</ns0:v>
      </ns0:c>
      <ns0:c r="AG871" s="7">
        <ns0:f>IF(Z871&gt;=0,A871,1001)</ns0:f>
        <ns0:v>867</ns0:v>
      </ns0:c>
      <ns0:c r="AH871" s="4">
        <ns0:f>IF(Z871&lt;0,A871,0)</ns0:f>
        <ns0:v>0</ns0:v>
      </ns0:c>
      <ns0:c r="AI871" s="12">
        <ns0:f>IF(AND(OR('前提と出典'!$C$36+'前提と出典'!$C$38=0,X871&gt;=0),OR('前提と出典'!$C$37+'前提と出典'!$C$38=0,Y871&gt;=0)),0,A871)</ns0:f>
        <ns0:v>0</ns0:v>
      </ns0:c>
    </ns0:row>
    <ns0:row r="872" ht="24" customHeight="1">
      <ns0:c r="A872" s="4" t="n">
        <ns0:v>868</ns0:v>
      </ns0:c>
      <ns0:c r="B872" s="12">
        <ns0:f>A872*('前提と出典'!$C$36+'前提と出典'!$C$38)</ns0:f>
        <ns0:v>607.5999999999999</ns0:v>
      </ns0:c>
      <ns0:c r="C872" s="12">
        <ns0:f>A872*('前提と出典'!$C$37+'前提と出典'!$C$38)</ns0:f>
        <ns0:v>520.8</ns0:v>
      </ns0:c>
      <ns0:c r="D872" s="16">
        <ns0:f>A872*('前提と出典'!$C$36*'契約別単価'!C5+'前提と出典'!$C$37*'契約別単価'!C6+'前提と出典'!$C$38*'契約別単価'!C7)</ns0:f>
        <ns0:v>6245.7206703910615</ns0:v>
      </ns0:c>
      <ns0:c r="E872" s="16">
        <ns0:f>A872*('前提と出典'!$C$36*'契約別単価'!E5+'前提と出典'!$C$37*'契約別単価'!E6+'前提と出典'!$C$38*'契約別単価'!E7)</ns0:f>
        <ns0:v>2182041.6973731127</ns0:v>
      </ns0:c>
      <ns0:c r="F872" s="16">
        <ns0:f>A872*('前提と出典'!$C$36*'契約別単価'!F5+'前提と出典'!$C$37*'契約別単価'!F6+'前提と出典'!$C$38*'契約別単価'!F7)</ns0:f>
        <ns0:v>634045.5410536577</ns0:v>
      </ns0:c>
      <ns0:c r="G872" s="16">
        <ns0:f>A872*('前提と出典'!$C$36*'契約別単価'!G5+'前提と出典'!$C$37*'契約別単価'!G6+'前提と出典'!$C$38*'契約別単価'!G7)</ns0:f>
        <ns0:v>1727756.4245810055</ns0:v>
      </ns0:c>
      <ns0:c r="H872" s="16">
        <ns0:f>A872*('前提と出典'!$C$36*'契約別単価'!H5+'前提と出典'!$C$37*'契約別単価'!H6+'前提と出典'!$C$38*'契約別単価'!H7)</ns0:f>
        <ns0:v>599618.133123719</ns0:v>
      </ns0:c>
      <ns0:c r="I872" s="16">
        <ns0:f>A872*('前提と出典'!$C$36*'契約別単価'!I5+'前提と出典'!$C$37*'契約別単価'!I6+'前提と出典'!$C$38*'契約別単価'!I7)</ns0:f>
        <ns0:v>36625.720670391056</ns0:v>
      </ns0:c>
      <ns0:c r="J872" s="16">
        <ns0:f>A872*('前提と出典'!$C$36*'契約別単価'!J5+'前提と出典'!$C$37*'契約別単価'!J6+'前提と出典'!$C$38*'契約別単価'!J7)</ns0:f>
        <ns0:v>85315.32394054263</ns0:v>
      </ns0:c>
      <ns0:c r="K872" s="16">
        <ns0:f>A872*('前提と出典'!$C$36*'契約別単価'!K5+'前提と出典'!$C$37*'契約別単価'!K6+'前提と出典'!$C$38*'契約別単価'!K7)</ns0:f>
        <ns0:v>365691.4711359404</ns0:v>
      </ns0:c>
      <ns0:c r="L872" s="16">
        <ns0:f>A872*('前提と出典'!$C$36*'契約別単価'!L5+'前提と出典'!$C$37*'契約別単価'!L6+'前提と出典'!$C$38*'契約別単価'!L7)</ns0:f>
        <ns0:v>297747.27110412397</ns0:v>
      </ns0:c>
      <ns0:c r="M872" s="16">
        <ns0:f>IF(('前提と出典'!$C$36+'前提と出典'!$C$38)=0,0,IF(B872&lt;=10,'前提と出典'!B73+'前提と出典'!C73,IF(B872&lt;=100,'前提と出典'!B74+'前提と出典'!C74,IF(B872&lt;=500,'前提と出典'!B75+'前提と出典'!C75,'前提と出典'!B76+'前提と出典'!C76))))</ns0:f>
        <ns0:v>80000</ns0:v>
      </ns0:c>
      <ns0:c r="N872" s="16">
        <ns0:f>IF(('前提と出典'!$C$37+'前提と出典'!$C$38)=0,0,IF(C872&lt;=10,'前提と出典'!D73+'前提と出典'!E73,IF(C872&lt;=100,'前提と出典'!D74+'前提と出典'!E74,IF(C872&lt;=500,'前提と出典'!D75+'前提と出典'!E75,'前提と出典'!D76+'前提と出典'!E76))))</ns0:f>
        <ns0:v>86510.9346263078</ns0:v>
      </ns0:c>
      <ns0:c r="O872" s="16">
        <ns0:f>IF('前提と出典'!$C$36+'前提と出典'!$C$38=0,0,'前提と出典'!$B$4*IF('前提と出典'!$B$20=0,MAX('前提と出典'!$B$6,D872*'前提と出典'!$B$5),'前提と出典'!$B$6+D872*'前提と出典'!$B$5))</ns0:f>
        <ns0:v>861909.4525139665</ns0:v>
      </ns0:c>
      <ns0:c r="P872" s="16">
        <ns0:f>(E872+G872)*(1-'前提と出典'!$B$7)-I872-K872-M872-O872</ns0:f>
        <ns0:v>2424818.7452434716</ns0:v>
      </ns0:c>
      <ns0:c r="Q872" s="16">
        <ns0:f>(F872+H872)*(1-'前提と出典'!$B$7)-J872-L872-N872</ns0:f>
        <ns0:v>719678.2522360166</ns0:v>
      </ns0:c>
      <ns0:c r="R872" s="16">
        <ns0:f>P872-E872*'前提と出典'!$E$4</ns0:f>
        <ns0:v>1770206.236031538</ns0:v>
      </ns0:c>
      <ns0:c r="S872" s="16">
        <ns0:f>Q872-F872*'前提と出典'!$E$4</ns0:f>
        <ns0:v>529464.5899199194</ns0:v>
      </ns0:c>
      <ns0:c r="T872" s="7">
        <ns0:f>R872+S872</ns0:f>
        <ns0:v>2299670.8259514575</ns0:v>
      </ns0:c>
      <ns0:c r="U872" s="16">
        <ns0:f>P872-E872*'前提と出典'!$E$5</ns0:f>
        <ns0:v>1552002.0662942266</ns0:v>
      </ns0:c>
      <ns0:c r="V872" s="16">
        <ns0:f>Q872-F872*'前提と出典'!$E$5</ns0:f>
        <ns0:v>466060.0358145535</ns0:v>
      </ns0:c>
      <ns0:c r="W872" s="7">
        <ns0:f>U872+V872</ns0:f>
        <ns0:v>2018062.10210878</ns0:v>
      </ns0:c>
      <ns0:c r="X872" s="16">
        <ns0:f>P872-E872*'前提と出典'!$E$6</ns0:f>
        <ns0:v>1333797.8965569155</ns0:v>
      </ns0:c>
      <ns0:c r="Y872" s="16">
        <ns0:f>Q872-F872*'前提と出典'!$E$6</ns0:f>
        <ns0:v>402655.4817091878</ns0:v>
      </ns0:c>
      <ns0:c r="Z872" s="7">
        <ns0:f>X872+Y872</ns0:f>
        <ns0:v>1736453.3782661033</ns0:v>
      </ns0:c>
      <ns0:c r="AA872" s="7">
        <ns0:f>IF(T872&gt;=0,A872,1001)</ns0:f>
        <ns0:v>868</ns0:v>
      </ns0:c>
      <ns0:c r="AB872" s="7">
        <ns0:f>IF(T872&lt;0,A872,0)</ns0:f>
        <ns0:v>0</ns0:v>
      </ns0:c>
      <ns0:c r="AC872" s="16">
        <ns0:f>IF(AND(OR('前提と出典'!$C$36+'前提と出典'!$C$38=0,R872&gt;=0),OR('前提と出典'!$C$37+'前提と出典'!$C$38=0,S872&gt;=0)),0,A872)</ns0:f>
        <ns0:v>0</ns0:v>
      </ns0:c>
      <ns0:c r="AD872" s="7">
        <ns0:f>IF(W872&gt;=0,A872,1001)</ns0:f>
        <ns0:v>868</ns0:v>
      </ns0:c>
      <ns0:c r="AE872" s="7">
        <ns0:f>IF(W872&lt;0,A872,0)</ns0:f>
        <ns0:v>0</ns0:v>
      </ns0:c>
      <ns0:c r="AF872" s="16">
        <ns0:f>IF(AND(OR('前提と出典'!$C$36+'前提と出典'!$C$38=0,U872&gt;=0),OR('前提と出典'!$C$37+'前提と出典'!$C$38=0,V872&gt;=0)),0,A872)</ns0:f>
        <ns0:v>0</ns0:v>
      </ns0:c>
      <ns0:c r="AG872" s="7">
        <ns0:f>IF(Z872&gt;=0,A872,1001)</ns0:f>
        <ns0:v>868</ns0:v>
      </ns0:c>
      <ns0:c r="AH872" s="4">
        <ns0:f>IF(Z872&lt;0,A872,0)</ns0:f>
        <ns0:v>0</ns0:v>
      </ns0:c>
      <ns0:c r="AI872" s="12">
        <ns0:f>IF(AND(OR('前提と出典'!$C$36+'前提と出典'!$C$38=0,X872&gt;=0),OR('前提と出典'!$C$37+'前提と出典'!$C$38=0,Y872&gt;=0)),0,A872)</ns0:f>
        <ns0:v>0</ns0:v>
      </ns0:c>
    </ns0:row>
    <ns0:row r="873" ht="24" customHeight="1">
      <ns0:c r="A873" s="4" t="n">
        <ns0:v>869</ns0:v>
      </ns0:c>
      <ns0:c r="B873" s="12">
        <ns0:f>A873*('前提と出典'!$C$36+'前提と出典'!$C$38)</ns0:f>
        <ns0:v>608.3</ns0:v>
      </ns0:c>
      <ns0:c r="C873" s="12">
        <ns0:f>A873*('前提と出典'!$C$37+'前提と出典'!$C$38)</ns0:f>
        <ns0:v>521.4</ns0:v>
      </ns0:c>
      <ns0:c r="D873" s="16">
        <ns0:f>A873*('前提と出典'!$C$36*'契約別単価'!C5+'前提と出典'!$C$37*'契約別単価'!C6+'前提と出典'!$C$38*'契約別単価'!C7)</ns0:f>
        <ns0:v>6252.916201117318</ns0:v>
      </ns0:c>
      <ns0:c r="E873" s="16">
        <ns0:f>A873*('前提と出典'!$C$36*'契約別単価'!E5+'前提と出典'!$C$37*'契約別単価'!E6+'前提と出典'!$C$38*'契約別単価'!E7)</ns0:f>
        <ns0:v>2184555.5702963537</ns0:v>
      </ns0:c>
      <ns0:c r="F873" s="16">
        <ns0:f>A873*('前提と出典'!$C$36*'契約別単価'!F5+'前提と出典'!$C$37*'契約別単価'!F6+'前提と出典'!$C$38*'契約別単価'!F7)</ns0:f>
        <ns0:v>634776.0082668532</ns0:v>
      </ns0:c>
      <ns0:c r="G873" s="16">
        <ns0:f>A873*('前提と出典'!$C$36*'契約別単価'!G5+'前提と出典'!$C$37*'契約別単価'!G6+'前提と出典'!$C$38*'契約別単価'!G7)</ns0:f>
        <ns0:v>1729746.9273743017</ns0:v>
      </ns0:c>
      <ns0:c r="H873" s="16">
        <ns0:f>A873*('前提と出典'!$C$36*'契約別単価'!H5+'前提と出典'!$C$37*'契約別単価'!H6+'前提と出典'!$C$38*'契約別単価'!H7)</ns0:f>
        <ns0:v>600308.9374245529</ns0:v>
      </ns0:c>
      <ns0:c r="I873" s="16">
        <ns0:f>A873*('前提と出典'!$C$36*'契約別単価'!I5+'前提と出典'!$C$37*'契約別単価'!I6+'前提と出典'!$C$38*'契約別単価'!I7)</ns0:f>
        <ns0:v>36667.91620111731</ns0:v>
      </ns0:c>
      <ns0:c r="J873" s="16">
        <ns0:f>A873*('前提と出典'!$C$36*'契約別単価'!J5+'前提と出典'!$C$37*'契約別単価'!J6+'前提と出典'!$C$38*'契約別単価'!J7)</ns0:f>
        <ns0:v>85413.61348425293</ns0:v>
      </ns0:c>
      <ns0:c r="K873" s="16">
        <ns0:f>A873*('前提と出典'!$C$36*'契約別単価'!K5+'前提と出典'!$C$37*'契約別単価'!K6+'前提と出典'!$C$38*'契約別単価'!K7)</ns0:f>
        <ns0:v>366112.7746741154</ns0:v>
      </ns0:c>
      <ns0:c r="L873" s="16">
        <ns0:f>A873*('前提と出典'!$C$36*'契約別単価'!L5+'前提と出典'!$C$37*'契約別単価'!L6+'前提と出典'!$C$38*'契約別単価'!L7)</ns0:f>
        <ns0:v>298090.29791415174</ns0:v>
      </ns0:c>
      <ns0:c r="M873" s="16">
        <ns0:f>IF(('前提と出典'!$C$36+'前提と出典'!$C$38)=0,0,IF(B873&lt;=10,'前提と出典'!B73+'前提と出典'!C73,IF(B873&lt;=100,'前提と出典'!B74+'前提と出典'!C74,IF(B873&lt;=500,'前提と出典'!B75+'前提と出典'!C75,'前提と出典'!B76+'前提と出典'!C76))))</ns0:f>
        <ns0:v>80000</ns0:v>
      </ns0:c>
      <ns0:c r="N873" s="16">
        <ns0:f>IF(('前提と出典'!$C$37+'前提と出典'!$C$38)=0,0,IF(C873&lt;=10,'前提と出典'!D73+'前提と出典'!E73,IF(C873&lt;=100,'前提と出典'!D74+'前提と出典'!E74,IF(C873&lt;=500,'前提と出典'!D75+'前提と出典'!E75,'前提と出典'!D76+'前提と出典'!E76))))</ns0:f>
        <ns0:v>86510.9346263078</ns0:v>
      </ns0:c>
      <ns0:c r="O873" s="16">
        <ns0:f>IF('前提と出典'!$C$36+'前提と出典'!$C$38=0,0,'前提と出典'!$B$4*IF('前提と出典'!$B$20=0,MAX('前提と出典'!$B$6,D873*'前提と出典'!$B$5),'前提と出典'!$B$6+D873*'前提と出典'!$B$5))</ns0:f>
        <ns0:v>862902.43575419</ns0:v>
      </ns0:c>
      <ns0:c r="P873" s="16">
        <ns0:f>(E873+G873)*(1-'前提と出典'!$B$7)-I873-K873-M873-O873</ns0:f>
        <ns0:v>2427704.481125089</ns0:v>
      </ns0:c>
      <ns0:c r="Q873" s="16">
        <ns0:f>(F873+H873)*(1-'前提と出典'!$B$7)-J873-L873-N873</ns0:f>
        <ns0:v>720607.0416218028</ns0:v>
      </ns0:c>
      <ns0:c r="R873" s="16">
        <ns0:f>P873-E873*'前提と出典'!$E$4</ns0:f>
        <ns0:v>1772337.810036183</ns0:v>
      </ns0:c>
      <ns0:c r="S873" s="16">
        <ns0:f>Q873-F873*'前提と出典'!$E$4</ns0:f>
        <ns0:v>530174.2391417469</ns0:v>
      </ns0:c>
      <ns0:c r="T873" s="7">
        <ns0:f>R873+S873</ns0:f>
        <ns0:v>2302512.0491779298</ns0:v>
      </ns0:c>
      <ns0:c r="U873" s="16">
        <ns0:f>P873-E873*'前提と出典'!$E$5</ns0:f>
        <ns0:v>1553882.2530065475</ns0:v>
      </ns0:c>
      <ns0:c r="V873" s="16">
        <ns0:f>Q873-F873*'前提と出典'!$E$5</ns0:f>
        <ns0:v>466696.6383150616</ns0:v>
      </ns0:c>
      <ns0:c r="W873" s="7">
        <ns0:f>U873+V873</ns0:f>
        <ns0:v>2020578.891321609</ns0:v>
      </ns0:c>
      <ns0:c r="X873" s="16">
        <ns0:f>P873-E873*'前提と出典'!$E$6</ns0:f>
        <ns0:v>1335426.6959769123</ns0:v>
      </ns0:c>
      <ns0:c r="Y873" s="16">
        <ns0:f>Q873-F873*'前提と出典'!$E$6</ns0:f>
        <ns0:v>403219.0374883763</ns0:v>
      </ns0:c>
      <ns0:c r="Z873" s="7">
        <ns0:f>X873+Y873</ns0:f>
        <ns0:v>1738645.7334652885</ns0:v>
      </ns0:c>
      <ns0:c r="AA873" s="7">
        <ns0:f>IF(T873&gt;=0,A873,1001)</ns0:f>
        <ns0:v>869</ns0:v>
      </ns0:c>
      <ns0:c r="AB873" s="7">
        <ns0:f>IF(T873&lt;0,A873,0)</ns0:f>
        <ns0:v>0</ns0:v>
      </ns0:c>
      <ns0:c r="AC873" s="16">
        <ns0:f>IF(AND(OR('前提と出典'!$C$36+'前提と出典'!$C$38=0,R873&gt;=0),OR('前提と出典'!$C$37+'前提と出典'!$C$38=0,S873&gt;=0)),0,A873)</ns0:f>
        <ns0:v>0</ns0:v>
      </ns0:c>
      <ns0:c r="AD873" s="7">
        <ns0:f>IF(W873&gt;=0,A873,1001)</ns0:f>
        <ns0:v>869</ns0:v>
      </ns0:c>
      <ns0:c r="AE873" s="7">
        <ns0:f>IF(W873&lt;0,A873,0)</ns0:f>
        <ns0:v>0</ns0:v>
      </ns0:c>
      <ns0:c r="AF873" s="16">
        <ns0:f>IF(AND(OR('前提と出典'!$C$36+'前提と出典'!$C$38=0,U873&gt;=0),OR('前提と出典'!$C$37+'前提と出典'!$C$38=0,V873&gt;=0)),0,A873)</ns0:f>
        <ns0:v>0</ns0:v>
      </ns0:c>
      <ns0:c r="AG873" s="7">
        <ns0:f>IF(Z873&gt;=0,A873,1001)</ns0:f>
        <ns0:v>869</ns0:v>
      </ns0:c>
      <ns0:c r="AH873" s="4">
        <ns0:f>IF(Z873&lt;0,A873,0)</ns0:f>
        <ns0:v>0</ns0:v>
      </ns0:c>
      <ns0:c r="AI873" s="12">
        <ns0:f>IF(AND(OR('前提と出典'!$C$36+'前提と出典'!$C$38=0,X873&gt;=0),OR('前提と出典'!$C$37+'前提と出典'!$C$38=0,Y873&gt;=0)),0,A873)</ns0:f>
        <ns0:v>0</ns0:v>
      </ns0:c>
    </ns0:row>
    <ns0:row r="874" ht="24" customHeight="1">
      <ns0:c r="A874" s="4" t="n">
        <ns0:v>870</ns0:v>
      </ns0:c>
      <ns0:c r="B874" s="12">
        <ns0:f>A874*('前提と出典'!$C$36+'前提と出典'!$C$38)</ns0:f>
        <ns0:v>609</ns0:v>
      </ns0:c>
      <ns0:c r="C874" s="12">
        <ns0:f>A874*('前提と出典'!$C$37+'前提と出典'!$C$38)</ns0:f>
        <ns0:v>522</ns0:v>
      </ns0:c>
      <ns0:c r="D874" s="16">
        <ns0:f>A874*('前提と出典'!$C$36*'契約別単価'!C5+'前提と出典'!$C$37*'契約別単価'!C6+'前提と出典'!$C$38*'契約別単価'!C7)</ns0:f>
        <ns0:v>6260.111731843575</ns0:v>
      </ns0:c>
      <ns0:c r="E874" s="16">
        <ns0:f>A874*('前提と出典'!$C$36*'契約別単価'!E5+'前提と出典'!$C$37*'契約別単価'!E6+'前提と出典'!$C$38*'契約別単価'!E7)</ns0:f>
        <ns0:v>2187069.4432195947</ns0:v>
      </ns0:c>
      <ns0:c r="F874" s="16">
        <ns0:f>A874*('前提と出典'!$C$36*'契約別単価'!F5+'前提と出典'!$C$37*'契約別単価'!F6+'前提と出典'!$C$38*'契約別単価'!F7)</ns0:f>
        <ns0:v>635506.4754800486</ns0:v>
      </ns0:c>
      <ns0:c r="G874" s="16">
        <ns0:f>A874*('前提と出典'!$C$36*'契約別単価'!G5+'前提と出典'!$C$37*'契約別単価'!G6+'前提と出典'!$C$38*'契約別単価'!G7)</ns0:f>
        <ns0:v>1731737.4301675977</ns0:v>
      </ns0:c>
      <ns0:c r="H874" s="16">
        <ns0:f>A874*('前提と出典'!$C$36*'契約別単価'!H5+'前提と出典'!$C$37*'契約別単価'!H6+'前提と出典'!$C$38*'契約別単価'!H7)</ns0:f>
        <ns0:v>600999.7417253866</ns0:v>
      </ns0:c>
      <ns0:c r="I874" s="16">
        <ns0:f>A874*('前提と出典'!$C$36*'契約別単価'!I5+'前提と出典'!$C$37*'契約別単価'!I6+'前提と出典'!$C$38*'契約別単価'!I7)</ns0:f>
        <ns0:v>36710.11173184357</ns0:v>
      </ns0:c>
      <ns0:c r="J874" s="16">
        <ns0:f>A874*('前提と出典'!$C$36*'契約別単価'!J5+'前提と出典'!$C$37*'契約別単価'!J6+'前提と出典'!$C$38*'契約別単価'!J7)</ns0:f>
        <ns0:v>85511.90302796323</ns0:v>
      </ns0:c>
      <ns0:c r="K874" s="16">
        <ns0:f>A874*('前提と出典'!$C$36*'契約別単価'!K5+'前提と出典'!$C$37*'契約別単価'!K6+'前提と出典'!$C$38*'契約別単価'!K7)</ns0:f>
        <ns0:v>366534.0782122905</ns0:v>
      </ns0:c>
      <ns0:c r="L874" s="16">
        <ns0:f>A874*('前提と出典'!$C$36*'契約別単価'!L5+'前提と出典'!$C$37*'契約別単価'!L6+'前提と出典'!$C$38*'契約別単価'!L7)</ns0:f>
        <ns0:v>298433.3247241795</ns0:v>
      </ns0:c>
      <ns0:c r="M874" s="16">
        <ns0:f>IF(('前提と出典'!$C$36+'前提と出典'!$C$38)=0,0,IF(B874&lt;=10,'前提と出典'!B73+'前提と出典'!C73,IF(B874&lt;=100,'前提と出典'!B74+'前提と出典'!C74,IF(B874&lt;=500,'前提と出典'!B75+'前提と出典'!C75,'前提と出典'!B76+'前提と出典'!C76))))</ns0:f>
        <ns0:v>80000</ns0:v>
      </ns0:c>
      <ns0:c r="N874" s="16">
        <ns0:f>IF(('前提と出典'!$C$37+'前提と出典'!$C$38)=0,0,IF(C874&lt;=10,'前提と出典'!D73+'前提と出典'!E73,IF(C874&lt;=100,'前提と出典'!D74+'前提と出典'!E74,IF(C874&lt;=500,'前提と出典'!D75+'前提と出典'!E75,'前提と出典'!D76+'前提と出典'!E76))))</ns0:f>
        <ns0:v>86510.9346263078</ns0:v>
      </ns0:c>
      <ns0:c r="O874" s="16">
        <ns0:f>IF('前提と出典'!$C$36+'前提と出典'!$C$38=0,0,'前提と出典'!$B$4*IF('前提と出典'!$B$20=0,MAX('前提と出典'!$B$6,D874*'前提と出典'!$B$5),'前提と出典'!$B$6+D874*'前提と出典'!$B$5))</ns0:f>
        <ns0:v>863895.4189944135</ns0:v>
      </ns0:c>
      <ns0:c r="P874" s="16">
        <ns0:f>(E874+G874)*(1-'前提と出典'!$B$7)-I874-K874-M874-O874</ns0:f>
        <ns0:v>2430590.2170067057</ns0:v>
      </ns0:c>
      <ns0:c r="Q874" s="16">
        <ns0:f>(F874+H874)*(1-'前提と出典'!$B$7)-J874-L874-N874</ns0:f>
        <ns0:v>721535.8310075889</ns0:v>
      </ns0:c>
      <ns0:c r="R874" s="16">
        <ns0:f>P874-E874*'前提と出典'!$E$4</ns0:f>
        <ns0:v>1774469.3840408276</ns0:v>
      </ns0:c>
      <ns0:c r="S874" s="16">
        <ns0:f>Q874-F874*'前提と出典'!$E$4</ns0:f>
        <ns0:v>530883.8883635742</ns0:v>
      </ns0:c>
      <ns0:c r="T874" s="7">
        <ns0:f>R874+S874</ns0:f>
        <ns0:v>2305353.2724044016</ns0:v>
      </ns0:c>
      <ns0:c r="U874" s="16">
        <ns0:f>P874-E874*'前提と出典'!$E$5</ns0:f>
        <ns0:v>1555762.439718868</ns0:v>
      </ns0:c>
      <ns0:c r="V874" s="16">
        <ns0:f>Q874-F874*'前提と出典'!$E$5</ns0:f>
        <ns0:v>467333.2408155694</ns0:v>
      </ns0:c>
      <ns0:c r="W874" s="7">
        <ns0:f>U874+V874</ns0:f>
        <ns0:v>2023095.6805344373</ns0:v>
      </ns0:c>
      <ns0:c r="X874" s="16">
        <ns0:f>P874-E874*'前提と出典'!$E$6</ns0:f>
        <ns0:v>1337055.4953969086</ns0:v>
      </ns0:c>
      <ns0:c r="Y874" s="16">
        <ns0:f>Q874-F874*'前提と出典'!$E$6</ns0:f>
        <ns0:v>403782.5932675646</ns0:v>
      </ns0:c>
      <ns0:c r="Z874" s="7">
        <ns0:f>X874+Y874</ns0:f>
        <ns0:v>1740838.0886644733</ns0:v>
      </ns0:c>
      <ns0:c r="AA874" s="7">
        <ns0:f>IF(T874&gt;=0,A874,1001)</ns0:f>
        <ns0:v>870</ns0:v>
      </ns0:c>
      <ns0:c r="AB874" s="7">
        <ns0:f>IF(T874&lt;0,A874,0)</ns0:f>
        <ns0:v>0</ns0:v>
      </ns0:c>
      <ns0:c r="AC874" s="16">
        <ns0:f>IF(AND(OR('前提と出典'!$C$36+'前提と出典'!$C$38=0,R874&gt;=0),OR('前提と出典'!$C$37+'前提と出典'!$C$38=0,S874&gt;=0)),0,A874)</ns0:f>
        <ns0:v>0</ns0:v>
      </ns0:c>
      <ns0:c r="AD874" s="7">
        <ns0:f>IF(W874&gt;=0,A874,1001)</ns0:f>
        <ns0:v>870</ns0:v>
      </ns0:c>
      <ns0:c r="AE874" s="7">
        <ns0:f>IF(W874&lt;0,A874,0)</ns0:f>
        <ns0:v>0</ns0:v>
      </ns0:c>
      <ns0:c r="AF874" s="16">
        <ns0:f>IF(AND(OR('前提と出典'!$C$36+'前提と出典'!$C$38=0,U874&gt;=0),OR('前提と出典'!$C$37+'前提と出典'!$C$38=0,V874&gt;=0)),0,A874)</ns0:f>
        <ns0:v>0</ns0:v>
      </ns0:c>
      <ns0:c r="AG874" s="7">
        <ns0:f>IF(Z874&gt;=0,A874,1001)</ns0:f>
        <ns0:v>870</ns0:v>
      </ns0:c>
      <ns0:c r="AH874" s="4">
        <ns0:f>IF(Z874&lt;0,A874,0)</ns0:f>
        <ns0:v>0</ns0:v>
      </ns0:c>
      <ns0:c r="AI874" s="12">
        <ns0:f>IF(AND(OR('前提と出典'!$C$36+'前提と出典'!$C$38=0,X874&gt;=0),OR('前提と出典'!$C$37+'前提と出典'!$C$38=0,Y874&gt;=0)),0,A874)</ns0:f>
        <ns0:v>0</ns0:v>
      </ns0:c>
    </ns0:row>
    <ns0:row r="875" ht="24" customHeight="1">
      <ns0:c r="A875" s="4" t="n">
        <ns0:v>871</ns0:v>
      </ns0:c>
      <ns0:c r="B875" s="12">
        <ns0:f>A875*('前提と出典'!$C$36+'前提と出典'!$C$38)</ns0:f>
        <ns0:v>609.6999999999999</ns0:v>
      </ns0:c>
      <ns0:c r="C875" s="12">
        <ns0:f>A875*('前提と出典'!$C$37+'前提と出典'!$C$38)</ns0:f>
        <ns0:v>522.6</ns0:v>
      </ns0:c>
      <ns0:c r="D875" s="16">
        <ns0:f>A875*('前提と出典'!$C$36*'契約別単価'!C5+'前提と出典'!$C$37*'契約別単価'!C6+'前提と出典'!$C$38*'契約別単価'!C7)</ns0:f>
        <ns0:v>6267.307262569832</ns0:v>
      </ns0:c>
      <ns0:c r="E875" s="16">
        <ns0:f>A875*('前提と出典'!$C$36*'契約別単価'!E5+'前提と出典'!$C$37*'契約別単価'!E6+'前提と出典'!$C$38*'契約別単価'!E7)</ns0:f>
        <ns0:v>2189583.316142835</ns0:v>
      </ns0:c>
      <ns0:c r="F875" s="16">
        <ns0:f>A875*('前提と出典'!$C$36*'契約別単価'!F5+'前提と出典'!$C$37*'契約別単価'!F6+'前提と出典'!$C$38*'契約別単価'!F7)</ns0:f>
        <ns0:v>636236.9426932441</ns0:v>
      </ns0:c>
      <ns0:c r="G875" s="16">
        <ns0:f>A875*('前提と出典'!$C$36*'契約別単価'!G5+'前提と出典'!$C$37*'契約別単価'!G6+'前提と出典'!$C$38*'契約別単価'!G7)</ns0:f>
        <ns0:v>1733727.9329608937</ns0:v>
      </ns0:c>
      <ns0:c r="H875" s="16">
        <ns0:f>A875*('前提と出典'!$C$36*'契約別単価'!H5+'前提と出典'!$C$37*'契約別単価'!H6+'前提と出典'!$C$38*'契約別単価'!H7)</ns0:f>
        <ns0:v>601690.5460262203</ns0:v>
      </ns0:c>
      <ns0:c r="I875" s="16">
        <ns0:f>A875*('前提と出典'!$C$36*'契約別単価'!I5+'前提と出典'!$C$37*'契約別単価'!I6+'前提と出典'!$C$38*'契約別単価'!I7)</ns0:f>
        <ns0:v>36752.307262569826</ns0:v>
      </ns0:c>
      <ns0:c r="J875" s="16">
        <ns0:f>A875*('前提と出典'!$C$36*'契約別単価'!J5+'前提と出典'!$C$37*'契約別単価'!J6+'前提と出典'!$C$38*'契約別単価'!J7)</ns0:f>
        <ns0:v>85610.19257167354</ns0:v>
      </ns0:c>
      <ns0:c r="K875" s="16">
        <ns0:f>A875*('前提と出典'!$C$36*'契約別単価'!K5+'前提と出典'!$C$37*'契約別単価'!K6+'前提と出典'!$C$38*'契約別単価'!K7)</ns0:f>
        <ns0:v>366955.38175046555</ns0:v>
      </ns0:c>
      <ns0:c r="L875" s="16">
        <ns0:f>A875*('前提と出典'!$C$36*'契約別単価'!L5+'前提と出典'!$C$37*'契約別単価'!L6+'前提と出典'!$C$38*'契約別単価'!L7)</ns0:f>
        <ns0:v>298776.35153420735</ns0:v>
      </ns0:c>
      <ns0:c r="M875" s="16">
        <ns0:f>IF(('前提と出典'!$C$36+'前提と出典'!$C$38)=0,0,IF(B875&lt;=10,'前提と出典'!B73+'前提と出典'!C73,IF(B875&lt;=100,'前提と出典'!B74+'前提と出典'!C74,IF(B875&lt;=500,'前提と出典'!B75+'前提と出典'!C75,'前提と出典'!B76+'前提と出典'!C76))))</ns0:f>
        <ns0:v>80000</ns0:v>
      </ns0:c>
      <ns0:c r="N875" s="16">
        <ns0:f>IF(('前提と出典'!$C$37+'前提と出典'!$C$38)=0,0,IF(C875&lt;=10,'前提と出典'!D73+'前提と出典'!E73,IF(C875&lt;=100,'前提と出典'!D74+'前提と出典'!E74,IF(C875&lt;=500,'前提と出典'!D75+'前提と出典'!E75,'前提と出典'!D76+'前提と出典'!E76))))</ns0:f>
        <ns0:v>86510.9346263078</ns0:v>
      </ns0:c>
      <ns0:c r="O875" s="16">
        <ns0:f>IF('前提と出典'!$C$36+'前提と出典'!$C$38=0,0,'前提と出典'!$B$4*IF('前提と出典'!$B$20=0,MAX('前提と出典'!$B$6,D875*'前提と出典'!$B$5),'前提と出典'!$B$6+D875*'前提と出典'!$B$5))</ns0:f>
        <ns0:v>864888.402234637</ns0:v>
      </ns0:c>
      <ns0:c r="P875" s="16">
        <ns0:f>(E875+G875)*(1-'前提と出典'!$B$7)-I875-K875-M875-O875</ns0:f>
        <ns0:v>2433475.9528883225</ns0:v>
      </ns0:c>
      <ns0:c r="Q875" s="16">
        <ns0:f>(F875+H875)*(1-'前提と出典'!$B$7)-J875-L875-N875</ns0:f>
        <ns0:v>722464.6203933748</ns0:v>
      </ns0:c>
      <ns0:c r="R875" s="16">
        <ns0:f>P875-E875*'前提と出典'!$E$4</ns0:f>
        <ns0:v>1776600.9580454717</ns0:v>
      </ns0:c>
      <ns0:c r="S875" s="16">
        <ns0:f>Q875-F875*'前提と出典'!$E$4</ns0:f>
        <ns0:v>531593.5375854016</ns0:v>
      </ns0:c>
      <ns0:c r="T875" s="7">
        <ns0:f>R875+S875</ns0:f>
        <ns0:v>2308194.4956308734</ns0:v>
      </ns0:c>
      <ns0:c r="U875" s="16">
        <ns0:f>P875-E875*'前提と出典'!$E$5</ns0:f>
        <ns0:v>1557642.6264311883</ns0:v>
      </ns0:c>
      <ns0:c r="V875" s="16">
        <ns0:f>Q875-F875*'前提と出典'!$E$5</ns0:f>
        <ns0:v>467969.84331607714</ns0:v>
      </ns0:c>
      <ns0:c r="W875" s="7">
        <ns0:f>U875+V875</ns0:f>
        <ns0:v>2025612.4697472653</ns0:v>
      </ns0:c>
      <ns0:c r="X875" s="16">
        <ns0:f>P875-E875*'前提と出典'!$E$6</ns0:f>
        <ns0:v>1338684.294816905</ns0:v>
      </ns0:c>
      <ns0:c r="Y875" s="16">
        <ns0:f>Q875-F875*'前提と出典'!$E$6</ns0:f>
        <ns0:v>404346.1490467527</ns0:v>
      </ns0:c>
      <ns0:c r="Z875" s="7">
        <ns0:f>X875+Y875</ns0:f>
        <ns0:v>1743030.4438636578</ns0:v>
      </ns0:c>
      <ns0:c r="AA875" s="7">
        <ns0:f>IF(T875&gt;=0,A875,1001)</ns0:f>
        <ns0:v>871</ns0:v>
      </ns0:c>
      <ns0:c r="AB875" s="7">
        <ns0:f>IF(T875&lt;0,A875,0)</ns0:f>
        <ns0:v>0</ns0:v>
      </ns0:c>
      <ns0:c r="AC875" s="16">
        <ns0:f>IF(AND(OR('前提と出典'!$C$36+'前提と出典'!$C$38=0,R875&gt;=0),OR('前提と出典'!$C$37+'前提と出典'!$C$38=0,S875&gt;=0)),0,A875)</ns0:f>
        <ns0:v>0</ns0:v>
      </ns0:c>
      <ns0:c r="AD875" s="7">
        <ns0:f>IF(W875&gt;=0,A875,1001)</ns0:f>
        <ns0:v>871</ns0:v>
      </ns0:c>
      <ns0:c r="AE875" s="7">
        <ns0:f>IF(W875&lt;0,A875,0)</ns0:f>
        <ns0:v>0</ns0:v>
      </ns0:c>
      <ns0:c r="AF875" s="16">
        <ns0:f>IF(AND(OR('前提と出典'!$C$36+'前提と出典'!$C$38=0,U875&gt;=0),OR('前提と出典'!$C$37+'前提と出典'!$C$38=0,V875&gt;=0)),0,A875)</ns0:f>
        <ns0:v>0</ns0:v>
      </ns0:c>
      <ns0:c r="AG875" s="7">
        <ns0:f>IF(Z875&gt;=0,A875,1001)</ns0:f>
        <ns0:v>871</ns0:v>
      </ns0:c>
      <ns0:c r="AH875" s="4">
        <ns0:f>IF(Z875&lt;0,A875,0)</ns0:f>
        <ns0:v>0</ns0:v>
      </ns0:c>
      <ns0:c r="AI875" s="12">
        <ns0:f>IF(AND(OR('前提と出典'!$C$36+'前提と出典'!$C$38=0,X875&gt;=0),OR('前提と出典'!$C$37+'前提と出典'!$C$38=0,Y875&gt;=0)),0,A875)</ns0:f>
        <ns0:v>0</ns0:v>
      </ns0:c>
    </ns0:row>
    <ns0:row r="876" ht="24" customHeight="1">
      <ns0:c r="A876" s="4" t="n">
        <ns0:v>872</ns0:v>
      </ns0:c>
      <ns0:c r="B876" s="12">
        <ns0:f>A876*('前提と出典'!$C$36+'前提と出典'!$C$38)</ns0:f>
        <ns0:v>610.4</ns0:v>
      </ns0:c>
      <ns0:c r="C876" s="12">
        <ns0:f>A876*('前提と出典'!$C$37+'前提と出典'!$C$38)</ns0:f>
        <ns0:v>523.1999999999999</ns0:v>
      </ns0:c>
      <ns0:c r="D876" s="16">
        <ns0:f>A876*('前提と出典'!$C$36*'契約別単価'!C5+'前提と出典'!$C$37*'契約別単価'!C6+'前提と出典'!$C$38*'契約別単価'!C7)</ns0:f>
        <ns0:v>6274.502793296089</ns0:v>
      </ns0:c>
      <ns0:c r="E876" s="16">
        <ns0:f>A876*('前提と出典'!$C$36*'契約別単価'!E5+'前提と出典'!$C$37*'契約別単価'!E6+'前提と出典'!$C$38*'契約別単価'!E7)</ns0:f>
        <ns0:v>2192097.189066076</ns0:v>
      </ns0:c>
      <ns0:c r="F876" s="16">
        <ns0:f>A876*('前提と出典'!$C$36*'契約別単価'!F5+'前提と出典'!$C$37*'契約別単価'!F6+'前提と出典'!$C$38*'契約別単価'!F7)</ns0:f>
        <ns0:v>636967.4099064395</ns0:v>
      </ns0:c>
      <ns0:c r="G876" s="16">
        <ns0:f>A876*('前提と出典'!$C$36*'契約別単価'!G5+'前提と出典'!$C$37*'契約別単価'!G6+'前提と出典'!$C$38*'契約別単価'!G7)</ns0:f>
        <ns0:v>1735718.43575419</ns0:v>
      </ns0:c>
      <ns0:c r="H876" s="16">
        <ns0:f>A876*('前提と出典'!$C$36*'契約別単価'!H5+'前提と出典'!$C$37*'契約別単価'!H6+'前提と出典'!$C$38*'契約別単価'!H7)</ns0:f>
        <ns0:v>602381.3503270542</ns0:v>
      </ns0:c>
      <ns0:c r="I876" s="16">
        <ns0:f>A876*('前提と出典'!$C$36*'契約別単価'!I5+'前提と出典'!$C$37*'契約別単価'!I6+'前提と出典'!$C$38*'契約別単価'!I7)</ns0:f>
        <ns0:v>36794.50279329608</ns0:v>
      </ns0:c>
      <ns0:c r="J876" s="16">
        <ns0:f>A876*('前提と出典'!$C$36*'契約別単価'!J5+'前提と出典'!$C$37*'契約別単価'!J6+'前提と出典'!$C$38*'契約別単価'!J7)</ns0:f>
        <ns0:v>85708.48211538384</ns0:v>
      </ns0:c>
      <ns0:c r="K876" s="16">
        <ns0:f>A876*('前提と出典'!$C$36*'契約別単価'!K5+'前提と出典'!$C$37*'契約別単価'!K6+'前提と出典'!$C$38*'契約別単価'!K7)</ns0:f>
        <ns0:v>367376.68528864055</ns0:v>
      </ns0:c>
      <ns0:c r="L876" s="16">
        <ns0:f>A876*('前提と出典'!$C$36*'契約別単価'!L5+'前提と出典'!$C$37*'契約別単価'!L6+'前提と出典'!$C$38*'契約別単価'!L7)</ns0:f>
        <ns0:v>299119.3783442351</ns0:v>
      </ns0:c>
      <ns0:c r="M876" s="16">
        <ns0:f>IF(('前提と出典'!$C$36+'前提と出典'!$C$38)=0,0,IF(B876&lt;=10,'前提と出典'!B73+'前提と出典'!C73,IF(B876&lt;=100,'前提と出典'!B74+'前提と出典'!C74,IF(B876&lt;=500,'前提と出典'!B75+'前提と出典'!C75,'前提と出典'!B76+'前提と出典'!C76))))</ns0:f>
        <ns0:v>80000</ns0:v>
      </ns0:c>
      <ns0:c r="N876" s="16">
        <ns0:f>IF(('前提と出典'!$C$37+'前提と出典'!$C$38)=0,0,IF(C876&lt;=10,'前提と出典'!D73+'前提と出典'!E73,IF(C876&lt;=100,'前提と出典'!D74+'前提と出典'!E74,IF(C876&lt;=500,'前提と出典'!D75+'前提と出典'!E75,'前提と出典'!D76+'前提と出典'!E76))))</ns0:f>
        <ns0:v>86510.9346263078</ns0:v>
      </ns0:c>
      <ns0:c r="O876" s="16">
        <ns0:f>IF('前提と出典'!$C$36+'前提と出典'!$C$38=0,0,'前提と出典'!$B$4*IF('前提と出典'!$B$20=0,MAX('前提と出典'!$B$6,D876*'前提と出典'!$B$5),'前提と出典'!$B$6+D876*'前提と出典'!$B$5))</ns0:f>
        <ns0:v>865881.3854748603</ns0:v>
      </ns0:c>
      <ns0:c r="P876" s="16">
        <ns0:f>(E876+G876)*(1-'前提と出典'!$B$7)-I876-K876-M876-O876</ns0:f>
        <ns0:v>2436361.6887699394</ns0:v>
      </ns0:c>
      <ns0:c r="Q876" s="16">
        <ns0:f>(F876+H876)*(1-'前提と出典'!$B$7)-J876-L876-N876</ns0:f>
        <ns0:v>723393.409779161</ns0:v>
      </ns0:c>
      <ns0:c r="R876" s="16">
        <ns0:f>P876-E876*'前提と出典'!$E$4</ns0:f>
        <ns0:v>1778732.5320501165</ns0:v>
      </ns0:c>
      <ns0:c r="S876" s="16">
        <ns0:f>Q876-F876*'前提と出典'!$E$4</ns0:f>
        <ns0:v>532303.1868072292</ns0:v>
      </ns0:c>
      <ns0:c r="T876" s="7">
        <ns0:f>R876+S876</ns0:f>
        <ns0:v>2311035.7188573456</ns0:v>
      </ns0:c>
      <ns0:c r="U876" s="16">
        <ns0:f>P876-E876*'前提と出典'!$E$5</ns0:f>
        <ns0:v>1559522.813143509</ns0:v>
      </ns0:c>
      <ns0:c r="V876" s="16">
        <ns0:f>Q876-F876*'前提と出典'!$E$5</ns0:f>
        <ns0:v>468606.4458165852</ns0:v>
      </ns0:c>
      <ns0:c r="W876" s="7">
        <ns0:f>U876+V876</ns0:f>
        <ns0:v>2028129.2589600943</ns0:v>
      </ns0:c>
      <ns0:c r="X876" s="16">
        <ns0:f>P876-E876*'前提と出典'!$E$6</ns0:f>
        <ns0:v>1340313.094236901</ns0:v>
      </ns0:c>
      <ns0:c r="Y876" s="16">
        <ns0:f>Q876-F876*'前提と出典'!$E$6</ns0:f>
        <ns0:v>404909.70482594124</ns0:v>
      </ns0:c>
      <ns0:c r="Z876" s="7">
        <ns0:f>X876+Y876</ns0:f>
        <ns0:v>1745222.7990628423</ns0:v>
      </ns0:c>
      <ns0:c r="AA876" s="7">
        <ns0:f>IF(T876&gt;=0,A876,1001)</ns0:f>
        <ns0:v>872</ns0:v>
      </ns0:c>
      <ns0:c r="AB876" s="7">
        <ns0:f>IF(T876&lt;0,A876,0)</ns0:f>
        <ns0:v>0</ns0:v>
      </ns0:c>
      <ns0:c r="AC876" s="16">
        <ns0:f>IF(AND(OR('前提と出典'!$C$36+'前提と出典'!$C$38=0,R876&gt;=0),OR('前提と出典'!$C$37+'前提と出典'!$C$38=0,S876&gt;=0)),0,A876)</ns0:f>
        <ns0:v>0</ns0:v>
      </ns0:c>
      <ns0:c r="AD876" s="7">
        <ns0:f>IF(W876&gt;=0,A876,1001)</ns0:f>
        <ns0:v>872</ns0:v>
      </ns0:c>
      <ns0:c r="AE876" s="7">
        <ns0:f>IF(W876&lt;0,A876,0)</ns0:f>
        <ns0:v>0</ns0:v>
      </ns0:c>
      <ns0:c r="AF876" s="16">
        <ns0:f>IF(AND(OR('前提と出典'!$C$36+'前提と出典'!$C$38=0,U876&gt;=0),OR('前提と出典'!$C$37+'前提と出典'!$C$38=0,V876&gt;=0)),0,A876)</ns0:f>
        <ns0:v>0</ns0:v>
      </ns0:c>
      <ns0:c r="AG876" s="7">
        <ns0:f>IF(Z876&gt;=0,A876,1001)</ns0:f>
        <ns0:v>872</ns0:v>
      </ns0:c>
      <ns0:c r="AH876" s="4">
        <ns0:f>IF(Z876&lt;0,A876,0)</ns0:f>
        <ns0:v>0</ns0:v>
      </ns0:c>
      <ns0:c r="AI876" s="12">
        <ns0:f>IF(AND(OR('前提と出典'!$C$36+'前提と出典'!$C$38=0,X876&gt;=0),OR('前提と出典'!$C$37+'前提と出典'!$C$38=0,Y876&gt;=0)),0,A876)</ns0:f>
        <ns0:v>0</ns0:v>
      </ns0:c>
    </ns0:row>
    <ns0:row r="877" ht="24" customHeight="1">
      <ns0:c r="A877" s="4" t="n">
        <ns0:v>873</ns0:v>
      </ns0:c>
      <ns0:c r="B877" s="12">
        <ns0:f>A877*('前提と出典'!$C$36+'前提と出典'!$C$38)</ns0:f>
        <ns0:v>611.0999999999999</ns0:v>
      </ns0:c>
      <ns0:c r="C877" s="12">
        <ns0:f>A877*('前提と出典'!$C$37+'前提と出典'!$C$38)</ns0:f>
        <ns0:v>523.8</ns0:v>
      </ns0:c>
      <ns0:c r="D877" s="16">
        <ns0:f>A877*('前提と出典'!$C$36*'契約別単価'!C5+'前提と出典'!$C$37*'契約別単価'!C6+'前提と出典'!$C$38*'契約別単価'!C7)</ns0:f>
        <ns0:v>6281.698324022346</ns0:v>
      </ns0:c>
      <ns0:c r="E877" s="16">
        <ns0:f>A877*('前提と出典'!$C$36*'契約別単価'!E5+'前提と出典'!$C$37*'契約別単価'!E6+'前提と出典'!$C$38*'契約別単価'!E7)</ns0:f>
        <ns0:v>2194611.061989317</ns0:v>
      </ns0:c>
      <ns0:c r="F877" s="16">
        <ns0:f>A877*('前提と出典'!$C$36*'契約別単価'!F5+'前提と出典'!$C$37*'契約別単価'!F6+'前提と出典'!$C$38*'契約別単価'!F7)</ns0:f>
        <ns0:v>637697.877119635</ns0:v>
      </ns0:c>
      <ns0:c r="G877" s="16">
        <ns0:f>A877*('前提と出典'!$C$36*'契約別単価'!G5+'前提と出典'!$C$37*'契約別単価'!G6+'前提と出典'!$C$38*'契約別単価'!G7)</ns0:f>
        <ns0:v>1737708.938547486</ns0:v>
      </ns0:c>
      <ns0:c r="H877" s="16">
        <ns0:f>A877*('前提と出典'!$C$36*'契約別単価'!H5+'前提と出典'!$C$37*'契約別単価'!H6+'前提と出典'!$C$38*'契約別単価'!H7)</ns0:f>
        <ns0:v>603072.1546278879</ns0:v>
      </ns0:c>
      <ns0:c r="I877" s="16">
        <ns0:f>A877*('前提と出典'!$C$36*'契約別単価'!I5+'前提と出典'!$C$37*'契約別単価'!I6+'前提と出典'!$C$38*'契約別単価'!I7)</ns0:f>
        <ns0:v>36836.69832402234</ns0:v>
      </ns0:c>
      <ns0:c r="J877" s="16">
        <ns0:f>A877*('前提と出典'!$C$36*'契約別単価'!J5+'前提と出典'!$C$37*'契約別単価'!J6+'前提と出典'!$C$38*'契約別単価'!J7)</ns0:f>
        <ns0:v>85806.77165909414</ns0:v>
      </ns0:c>
      <ns0:c r="K877" s="16">
        <ns0:f>A877*('前提と出典'!$C$36*'契約別単価'!K5+'前提と出典'!$C$37*'契約別単価'!K6+'前提と出典'!$C$38*'契約別単価'!K7)</ns0:f>
        <ns0:v>367797.9888268156</ns0:v>
      </ns0:c>
      <ns0:c r="L877" s="16">
        <ns0:f>A877*('前提と出典'!$C$36*'契約別単価'!L5+'前提と出典'!$C$37*'契約別単価'!L6+'前提と出典'!$C$38*'契約別単価'!L7)</ns0:f>
        <ns0:v>299462.4051542629</ns0:v>
      </ns0:c>
      <ns0:c r="M877" s="16">
        <ns0:f>IF(('前提と出典'!$C$36+'前提と出典'!$C$38)=0,0,IF(B877&lt;=10,'前提と出典'!B73+'前提と出典'!C73,IF(B877&lt;=100,'前提と出典'!B74+'前提と出典'!C74,IF(B877&lt;=500,'前提と出典'!B75+'前提と出典'!C75,'前提と出典'!B76+'前提と出典'!C76))))</ns0:f>
        <ns0:v>80000</ns0:v>
      </ns0:c>
      <ns0:c r="N877" s="16">
        <ns0:f>IF(('前提と出典'!$C$37+'前提と出典'!$C$38)=0,0,IF(C877&lt;=10,'前提と出典'!D73+'前提と出典'!E73,IF(C877&lt;=100,'前提と出典'!D74+'前提と出典'!E74,IF(C877&lt;=500,'前提と出典'!D75+'前提と出典'!E75,'前提と出典'!D76+'前提と出典'!E76))))</ns0:f>
        <ns0:v>86510.9346263078</ns0:v>
      </ns0:c>
      <ns0:c r="O877" s="16">
        <ns0:f>IF('前提と出典'!$C$36+'前提と出典'!$C$38=0,0,'前提と出典'!$B$4*IF('前提と出典'!$B$20=0,MAX('前提と出典'!$B$6,D877*'前提と出典'!$B$5),'前提と出典'!$B$6+D877*'前提と出典'!$B$5))</ns0:f>
        <ns0:v>866874.3687150838</ns0:v>
      </ns0:c>
      <ns0:c r="P877" s="16">
        <ns0:f>(E877+G877)*(1-'前提と出典'!$B$7)-I877-K877-M877-O877</ns0:f>
        <ns0:v>2439247.4246515566</ns0:v>
      </ns0:c>
      <ns0:c r="Q877" s="16">
        <ns0:f>(F877+H877)*(1-'前提と出典'!$B$7)-J877-L877-N877</ns0:f>
        <ns0:v>724322.1991649471</ns0:v>
      </ns0:c>
      <ns0:c r="R877" s="16">
        <ns0:f>P877-E877*'前提と出典'!$E$4</ns0:f>
        <ns0:v>1780864.1060547614</ns0:v>
      </ns0:c>
      <ns0:c r="S877" s="16">
        <ns0:f>Q877-F877*'前提と出典'!$E$4</ns0:f>
        <ns0:v>533012.8360290566</ns0:v>
      </ns0:c>
      <ns0:c r="T877" s="7">
        <ns0:f>R877+S877</ns0:f>
        <ns0:v>2313876.942083818</ns0:v>
      </ns0:c>
      <ns0:c r="U877" s="16">
        <ns0:f>P877-E877*'前提と出典'!$E$5</ns0:f>
        <ns0:v>1561402.9998558299</ns0:v>
      </ns0:c>
      <ns0:c r="V877" s="16">
        <ns0:f>Q877-F877*'前提と出典'!$E$5</ns0:f>
        <ns0:v>469243.04831709317</ns0:v>
      </ns0:c>
      <ns0:c r="W877" s="7">
        <ns0:f>U877+V877</ns0:f>
        <ns0:v>2030646.048172923</ns0:v>
      </ns0:c>
      <ns0:c r="X877" s="16">
        <ns0:f>P877-E877*'前提と出典'!$E$6</ns0:f>
        <ns0:v>1341941.8936568983</ns0:v>
      </ns0:c>
      <ns0:c r="Y877" s="16">
        <ns0:f>Q877-F877*'前提と出典'!$E$6</ns0:f>
        <ns0:v>405473.26060512965</ns0:v>
      </ns0:c>
      <ns0:c r="Z877" s="7">
        <ns0:f>X877+Y877</ns0:f>
        <ns0:v>1747415.154262028</ns0:v>
      </ns0:c>
      <ns0:c r="AA877" s="7">
        <ns0:f>IF(T877&gt;=0,A877,1001)</ns0:f>
        <ns0:v>873</ns0:v>
      </ns0:c>
      <ns0:c r="AB877" s="7">
        <ns0:f>IF(T877&lt;0,A877,0)</ns0:f>
        <ns0:v>0</ns0:v>
      </ns0:c>
      <ns0:c r="AC877" s="16">
        <ns0:f>IF(AND(OR('前提と出典'!$C$36+'前提と出典'!$C$38=0,R877&gt;=0),OR('前提と出典'!$C$37+'前提と出典'!$C$38=0,S877&gt;=0)),0,A877)</ns0:f>
        <ns0:v>0</ns0:v>
      </ns0:c>
      <ns0:c r="AD877" s="7">
        <ns0:f>IF(W877&gt;=0,A877,1001)</ns0:f>
        <ns0:v>873</ns0:v>
      </ns0:c>
      <ns0:c r="AE877" s="7">
        <ns0:f>IF(W877&lt;0,A877,0)</ns0:f>
        <ns0:v>0</ns0:v>
      </ns0:c>
      <ns0:c r="AF877" s="16">
        <ns0:f>IF(AND(OR('前提と出典'!$C$36+'前提と出典'!$C$38=0,U877&gt;=0),OR('前提と出典'!$C$37+'前提と出典'!$C$38=0,V877&gt;=0)),0,A877)</ns0:f>
        <ns0:v>0</ns0:v>
      </ns0:c>
      <ns0:c r="AG877" s="7">
        <ns0:f>IF(Z877&gt;=0,A877,1001)</ns0:f>
        <ns0:v>873</ns0:v>
      </ns0:c>
      <ns0:c r="AH877" s="4">
        <ns0:f>IF(Z877&lt;0,A877,0)</ns0:f>
        <ns0:v>0</ns0:v>
      </ns0:c>
      <ns0:c r="AI877" s="12">
        <ns0:f>IF(AND(OR('前提と出典'!$C$36+'前提と出典'!$C$38=0,X877&gt;=0),OR('前提と出典'!$C$37+'前提と出典'!$C$38=0,Y877&gt;=0)),0,A877)</ns0:f>
        <ns0:v>0</ns0:v>
      </ns0:c>
    </ns0:row>
    <ns0:row r="878" ht="24" customHeight="1">
      <ns0:c r="A878" s="4" t="n">
        <ns0:v>874</ns0:v>
      </ns0:c>
      <ns0:c r="B878" s="12">
        <ns0:f>A878*('前提と出典'!$C$36+'前提と出典'!$C$38)</ns0:f>
        <ns0:v>611.8</ns0:v>
      </ns0:c>
      <ns0:c r="C878" s="12">
        <ns0:f>A878*('前提と出典'!$C$37+'前提と出典'!$C$38)</ns0:f>
        <ns0:v>524.4</ns0:v>
      </ns0:c>
      <ns0:c r="D878" s="16">
        <ns0:f>A878*('前提と出典'!$C$36*'契約別単価'!C5+'前提と出典'!$C$37*'契約別単価'!C6+'前提と出典'!$C$38*'契約別単価'!C7)</ns0:f>
        <ns0:v>6288.893854748603</ns0:v>
      </ns0:c>
      <ns0:c r="E878" s="16">
        <ns0:f>A878*('前提と出典'!$C$36*'契約別単価'!E5+'前提と出典'!$C$37*'契約別単価'!E6+'前提と出典'!$C$38*'契約別単価'!E7)</ns0:f>
        <ns0:v>2197124.934912558</ns0:v>
      </ns0:c>
      <ns0:c r="F878" s="16">
        <ns0:f>A878*('前提と出典'!$C$36*'契約別単価'!F5+'前提と出典'!$C$37*'契約別単価'!F6+'前提と出典'!$C$38*'契約別単価'!F7)</ns0:f>
        <ns0:v>638428.3443328304</ns0:v>
      </ns0:c>
      <ns0:c r="G878" s="16">
        <ns0:f>A878*('前提と出典'!$C$36*'契約別単価'!G5+'前提と出典'!$C$37*'契約別単価'!G6+'前提と出典'!$C$38*'契約別単価'!G7)</ns0:f>
        <ns0:v>1739699.441340782</ns0:v>
      </ns0:c>
      <ns0:c r="H878" s="16">
        <ns0:f>A878*('前提と出典'!$C$36*'契約別単価'!H5+'前提と出典'!$C$37*'契約別単価'!H6+'前提と出典'!$C$38*'契約別単価'!H7)</ns0:f>
        <ns0:v>603762.9589287217</ns0:v>
      </ns0:c>
      <ns0:c r="I878" s="16">
        <ns0:f>A878*('前提と出典'!$C$36*'契約別単価'!I5+'前提と出典'!$C$37*'契約別単価'!I6+'前提と出典'!$C$38*'契約別単価'!I7)</ns0:f>
        <ns0:v>36878.893854748596</ns0:v>
      </ns0:c>
      <ns0:c r="J878" s="16">
        <ns0:f>A878*('前提と出典'!$C$36*'契約別単価'!J5+'前提と出典'!$C$37*'契約別単価'!J6+'前提と出典'!$C$38*'契約別単価'!J7)</ns0:f>
        <ns0:v>85905.06120280444</ns0:v>
      </ns0:c>
      <ns0:c r="K878" s="16">
        <ns0:f>A878*('前提と出典'!$C$36*'契約別単価'!K5+'前提と出典'!$C$37*'契約別単価'!K6+'前提と出典'!$C$38*'契約別単価'!K7)</ns0:f>
        <ns0:v>368219.2923649907</ns0:v>
      </ns0:c>
      <ns0:c r="L878" s="16">
        <ns0:f>A878*('前提と出典'!$C$36*'契約別単価'!L5+'前提と出典'!$C$37*'契約別単価'!L6+'前提と出典'!$C$38*'契約別単価'!L7)</ns0:f>
        <ns0:v>299805.43196429074</ns0:v>
      </ns0:c>
      <ns0:c r="M878" s="16">
        <ns0:f>IF(('前提と出典'!$C$36+'前提と出典'!$C$38)=0,0,IF(B878&lt;=10,'前提と出典'!B73+'前提と出典'!C73,IF(B878&lt;=100,'前提と出典'!B74+'前提と出典'!C74,IF(B878&lt;=500,'前提と出典'!B75+'前提と出典'!C75,'前提と出典'!B76+'前提と出典'!C76))))</ns0:f>
        <ns0:v>80000</ns0:v>
      </ns0:c>
      <ns0:c r="N878" s="16">
        <ns0:f>IF(('前提と出典'!$C$37+'前提と出典'!$C$38)=0,0,IF(C878&lt;=10,'前提と出典'!D73+'前提と出典'!E73,IF(C878&lt;=100,'前提と出典'!D74+'前提と出典'!E74,IF(C878&lt;=500,'前提と出典'!D75+'前提と出典'!E75,'前提と出典'!D76+'前提と出典'!E76))))</ns0:f>
        <ns0:v>86510.9346263078</ns0:v>
      </ns0:c>
      <ns0:c r="O878" s="16">
        <ns0:f>IF('前提と出典'!$C$36+'前提と出典'!$C$38=0,0,'前提と出典'!$B$4*IF('前提と出典'!$B$20=0,MAX('前提と出典'!$B$6,D878*'前提と出典'!$B$5),'前提と出典'!$B$6+D878*'前提と出典'!$B$5))</ns0:f>
        <ns0:v>867867.3519553073</ns0:v>
      </ns0:c>
      <ns0:c r="P878" s="16">
        <ns0:f>(E878+G878)*(1-'前提と出典'!$B$7)-I878-K878-M878-O878</ns0:f>
        <ns0:v>2442133.1605331735</ns0:v>
      </ns0:c>
      <ns0:c r="Q878" s="16">
        <ns0:f>(F878+H878)*(1-'前提と出典'!$B$7)-J878-L878-N878</ns0:f>
        <ns0:v>725250.9885507332</ns0:v>
      </ns0:c>
      <ns0:c r="R878" s="16">
        <ns0:f>P878-E878*'前提と出典'!$E$4</ns0:f>
        <ns0:v>1782995.680059406</ns0:v>
      </ns0:c>
      <ns0:c r="S878" s="16">
        <ns0:f>Q878-F878*'前提と出典'!$E$4</ns0:f>
        <ns0:v>533722.485250884</ns0:v>
      </ns0:c>
      <ns0:c r="T878" s="7">
        <ns0:f>R878+S878</ns0:f>
        <ns0:v>2316718.1653102897</ns0:v>
      </ns0:c>
      <ns0:c r="U878" s="16">
        <ns0:f>P878-E878*'前提と出典'!$E$5</ns0:f>
        <ns0:v>1563283.1865681503</ns0:v>
      </ns0:c>
      <ns0:c r="V878" s="16">
        <ns0:f>Q878-F878*'前提と出典'!$E$5</ns0:f>
        <ns0:v>469879.650817601</ns0:v>
      </ns0:c>
      <ns0:c r="W878" s="7">
        <ns0:f>U878+V878</ns0:f>
        <ns0:v>2033162.8373857513</ns0:v>
      </ns0:c>
      <ns0:c r="X878" s="16">
        <ns0:f>P878-E878*'前提と出典'!$E$6</ns0:f>
        <ns0:v>1343570.6930768946</ns0:v>
      </ns0:c>
      <ns0:c r="Y878" s="16">
        <ns0:f>Q878-F878*'前提と出典'!$E$6</ns0:f>
        <ns0:v>406036.8163843179</ns0:v>
      </ns0:c>
      <ns0:c r="Z878" s="7">
        <ns0:f>X878+Y878</ns0:f>
        <ns0:v>1749607.5094612124</ns0:v>
      </ns0:c>
      <ns0:c r="AA878" s="7">
        <ns0:f>IF(T878&gt;=0,A878,1001)</ns0:f>
        <ns0:v>874</ns0:v>
      </ns0:c>
      <ns0:c r="AB878" s="7">
        <ns0:f>IF(T878&lt;0,A878,0)</ns0:f>
        <ns0:v>0</ns0:v>
      </ns0:c>
      <ns0:c r="AC878" s="16">
        <ns0:f>IF(AND(OR('前提と出典'!$C$36+'前提と出典'!$C$38=0,R878&gt;=0),OR('前提と出典'!$C$37+'前提と出典'!$C$38=0,S878&gt;=0)),0,A878)</ns0:f>
        <ns0:v>0</ns0:v>
      </ns0:c>
      <ns0:c r="AD878" s="7">
        <ns0:f>IF(W878&gt;=0,A878,1001)</ns0:f>
        <ns0:v>874</ns0:v>
      </ns0:c>
      <ns0:c r="AE878" s="7">
        <ns0:f>IF(W878&lt;0,A878,0)</ns0:f>
        <ns0:v>0</ns0:v>
      </ns0:c>
      <ns0:c r="AF878" s="16">
        <ns0:f>IF(AND(OR('前提と出典'!$C$36+'前提と出典'!$C$38=0,U878&gt;=0),OR('前提と出典'!$C$37+'前提と出典'!$C$38=0,V878&gt;=0)),0,A878)</ns0:f>
        <ns0:v>0</ns0:v>
      </ns0:c>
      <ns0:c r="AG878" s="7">
        <ns0:f>IF(Z878&gt;=0,A878,1001)</ns0:f>
        <ns0:v>874</ns0:v>
      </ns0:c>
      <ns0:c r="AH878" s="4">
        <ns0:f>IF(Z878&lt;0,A878,0)</ns0:f>
        <ns0:v>0</ns0:v>
      </ns0:c>
      <ns0:c r="AI878" s="12">
        <ns0:f>IF(AND(OR('前提と出典'!$C$36+'前提と出典'!$C$38=0,X878&gt;=0),OR('前提と出典'!$C$37+'前提と出典'!$C$38=0,Y878&gt;=0)),0,A878)</ns0:f>
        <ns0:v>0</ns0:v>
      </ns0:c>
    </ns0:row>
    <ns0:row r="879" ht="24" customHeight="1">
      <ns0:c r="A879" s="4" t="n">
        <ns0:v>875</ns0:v>
      </ns0:c>
      <ns0:c r="B879" s="12">
        <ns0:f>A879*('前提と出典'!$C$36+'前提と出典'!$C$38)</ns0:f>
        <ns0:v>612.5</ns0:v>
      </ns0:c>
      <ns0:c r="C879" s="12">
        <ns0:f>A879*('前提と出典'!$C$37+'前提と出典'!$C$38)</ns0:f>
        <ns0:v>525</ns0:v>
      </ns0:c>
      <ns0:c r="D879" s="16">
        <ns0:f>A879*('前提と出典'!$C$36*'契約別単価'!C5+'前提と出典'!$C$37*'契約別単価'!C6+'前提と出典'!$C$38*'契約別単価'!C7)</ns0:f>
        <ns0:v>6296.08938547486</ns0:v>
      </ns0:c>
      <ns0:c r="E879" s="16">
        <ns0:f>A879*('前提と出典'!$C$36*'契約別単価'!E5+'前提と出典'!$C$37*'契約別単価'!E6+'前提と出典'!$C$38*'契約別単価'!E7)</ns0:f>
        <ns0:v>2199638.807835799</ns0:v>
      </ns0:c>
      <ns0:c r="F879" s="16">
        <ns0:f>A879*('前提と出典'!$C$36*'契約別単価'!F5+'前提と出典'!$C$37*'契約別単価'!F6+'前提と出典'!$C$38*'契約別単価'!F7)</ns0:f>
        <ns0:v>639158.8115460259</ns0:v>
      </ns0:c>
      <ns0:c r="G879" s="16">
        <ns0:f>A879*('前提と出典'!$C$36*'契約別単価'!G5+'前提と出典'!$C$37*'契約別単価'!G6+'前提と出典'!$C$38*'契約別単価'!G7)</ns0:f>
        <ns0:v>1741689.9441340782</ns0:v>
      </ns0:c>
      <ns0:c r="H879" s="16">
        <ns0:f>A879*('前提と出典'!$C$36*'契約別単価'!H5+'前提と出典'!$C$37*'契約別単価'!H6+'前提と出典'!$C$38*'契約別単価'!H7)</ns0:f>
        <ns0:v>604453.7632295555</ns0:v>
      </ns0:c>
      <ns0:c r="I879" s="16">
        <ns0:f>A879*('前提と出典'!$C$36*'契約別単価'!I5+'前提と出典'!$C$37*'契約別単価'!I6+'前提と出典'!$C$38*'契約別単価'!I7)</ns0:f>
        <ns0:v>36921.08938547486</ns0:v>
      </ns0:c>
      <ns0:c r="J879" s="16">
        <ns0:f>A879*('前提と出典'!$C$36*'契約別単価'!J5+'前提と出典'!$C$37*'契約別単価'!J6+'前提と出典'!$C$38*'契約別単価'!J7)</ns0:f>
        <ns0:v>86003.35074651474</ns0:v>
      </ns0:c>
      <ns0:c r="K879" s="16">
        <ns0:f>A879*('前提と出典'!$C$36*'契約別単価'!K5+'前提と出典'!$C$37*'契約別単価'!K6+'前提と出典'!$C$38*'契約別単価'!K7)</ns0:f>
        <ns0:v>368640.5959031657</ns0:v>
      </ns0:c>
      <ns0:c r="L879" s="16">
        <ns0:f>A879*('前提と出典'!$C$36*'契約別単価'!L5+'前提と出典'!$C$37*'契約別単価'!L6+'前提と出典'!$C$38*'契約別単価'!L7)</ns0:f>
        <ns0:v>300148.4587743185</ns0:v>
      </ns0:c>
      <ns0:c r="M879" s="16">
        <ns0:f>IF(('前提と出典'!$C$36+'前提と出典'!$C$38)=0,0,IF(B879&lt;=10,'前提と出典'!B73+'前提と出典'!C73,IF(B879&lt;=100,'前提と出典'!B74+'前提と出典'!C74,IF(B879&lt;=500,'前提と出典'!B75+'前提と出典'!C75,'前提と出典'!B76+'前提と出典'!C76))))</ns0:f>
        <ns0:v>80000</ns0:v>
      </ns0:c>
      <ns0:c r="N879" s="16">
        <ns0:f>IF(('前提と出典'!$C$37+'前提と出典'!$C$38)=0,0,IF(C879&lt;=10,'前提と出典'!D73+'前提と出典'!E73,IF(C879&lt;=100,'前提と出典'!D74+'前提と出典'!E74,IF(C879&lt;=500,'前提と出典'!D75+'前提と出典'!E75,'前提と出典'!D76+'前提と出典'!E76))))</ns0:f>
        <ns0:v>86510.9346263078</ns0:v>
      </ns0:c>
      <ns0:c r="O879" s="16">
        <ns0:f>IF('前提と出典'!$C$36+'前提と出典'!$C$38=0,0,'前提と出典'!$B$4*IF('前提と出典'!$B$20=0,MAX('前提と出典'!$B$6,D879*'前提と出典'!$B$5),'前提と出典'!$B$6+D879*'前提と出典'!$B$5))</ns0:f>
        <ns0:v>868860.3351955308</ns0:v>
      </ns0:c>
      <ns0:c r="P879" s="16">
        <ns0:f>(E879+G879)*(1-'前提と出典'!$B$7)-I879-K879-M879-O879</ns0:f>
        <ns0:v>2445018.896414791</ns0:v>
      </ns0:c>
      <ns0:c r="Q879" s="16">
        <ns0:f>(F879+H879)*(1-'前提と出典'!$B$7)-J879-L879-N879</ns0:f>
        <ns0:v>726179.7779365192</ns0:v>
      </ns0:c>
      <ns0:c r="R879" s="16">
        <ns0:f>P879-E879*'前提と出典'!$E$4</ns0:f>
        <ns0:v>1785127.254064051</ns0:v>
      </ns0:c>
      <ns0:c r="S879" s="16">
        <ns0:f>Q879-F879*'前提と出典'!$E$4</ns0:f>
        <ns0:v>534432.1344727117</ns0:v>
      </ns0:c>
      <ns0:c r="T879" s="7">
        <ns0:f>R879+S879</ns0:f>
        <ns0:v>2319559.3885367624</ns0:v>
      </ns0:c>
      <ns0:c r="U879" s="16">
        <ns0:f>P879-E879*'前提と出典'!$E$5</ns0:f>
        <ns0:v>1565163.3732804712</ns0:v>
      </ns0:c>
      <ns0:c r="V879" s="16">
        <ns0:f>Q879-F879*'前提と出典'!$E$5</ns0:f>
        <ns0:v>470516.25331810885</ns0:v>
      </ns0:c>
      <ns0:c r="W879" s="7">
        <ns0:f>U879+V879</ns0:f>
        <ns0:v>2035679.62659858</ns0:v>
      </ns0:c>
      <ns0:c r="X879" s="16">
        <ns0:f>P879-E879*'前提と出典'!$E$6</ns0:f>
        <ns0:v>1345199.4924968914</ns0:v>
      </ns0:c>
      <ns0:c r="Y879" s="16">
        <ns0:f>Q879-F879*'前提と出典'!$E$6</ns0:f>
        <ns0:v>406600.3721635064</ns0:v>
      </ns0:c>
      <ns0:c r="Z879" s="7">
        <ns0:f>X879+Y879</ns0:f>
        <ns0:v>1751799.8646603979</ns0:v>
      </ns0:c>
      <ns0:c r="AA879" s="7">
        <ns0:f>IF(T879&gt;=0,A879,1001)</ns0:f>
        <ns0:v>875</ns0:v>
      </ns0:c>
      <ns0:c r="AB879" s="7">
        <ns0:f>IF(T879&lt;0,A879,0)</ns0:f>
        <ns0:v>0</ns0:v>
      </ns0:c>
      <ns0:c r="AC879" s="16">
        <ns0:f>IF(AND(OR('前提と出典'!$C$36+'前提と出典'!$C$38=0,R879&gt;=0),OR('前提と出典'!$C$37+'前提と出典'!$C$38=0,S879&gt;=0)),0,A879)</ns0:f>
        <ns0:v>0</ns0:v>
      </ns0:c>
      <ns0:c r="AD879" s="7">
        <ns0:f>IF(W879&gt;=0,A879,1001)</ns0:f>
        <ns0:v>875</ns0:v>
      </ns0:c>
      <ns0:c r="AE879" s="7">
        <ns0:f>IF(W879&lt;0,A879,0)</ns0:f>
        <ns0:v>0</ns0:v>
      </ns0:c>
      <ns0:c r="AF879" s="16">
        <ns0:f>IF(AND(OR('前提と出典'!$C$36+'前提と出典'!$C$38=0,U879&gt;=0),OR('前提と出典'!$C$37+'前提と出典'!$C$38=0,V879&gt;=0)),0,A879)</ns0:f>
        <ns0:v>0</ns0:v>
      </ns0:c>
      <ns0:c r="AG879" s="7">
        <ns0:f>IF(Z879&gt;=0,A879,1001)</ns0:f>
        <ns0:v>875</ns0:v>
      </ns0:c>
      <ns0:c r="AH879" s="4">
        <ns0:f>IF(Z879&lt;0,A879,0)</ns0:f>
        <ns0:v>0</ns0:v>
      </ns0:c>
      <ns0:c r="AI879" s="12">
        <ns0:f>IF(AND(OR('前提と出典'!$C$36+'前提と出典'!$C$38=0,X879&gt;=0),OR('前提と出典'!$C$37+'前提と出典'!$C$38=0,Y879&gt;=0)),0,A879)</ns0:f>
        <ns0:v>0</ns0:v>
      </ns0:c>
    </ns0:row>
    <ns0:row r="880" ht="24" customHeight="1">
      <ns0:c r="A880" s="4" t="n">
        <ns0:v>876</ns0:v>
      </ns0:c>
      <ns0:c r="B880" s="12">
        <ns0:f>A880*('前提と出典'!$C$36+'前提と出典'!$C$38)</ns0:f>
        <ns0:v>613.1999999999999</ns0:v>
      </ns0:c>
      <ns0:c r="C880" s="12">
        <ns0:f>A880*('前提と出典'!$C$37+'前提と出典'!$C$38)</ns0:f>
        <ns0:v>525.6</ns0:v>
      </ns0:c>
      <ns0:c r="D880" s="16">
        <ns0:f>A880*('前提と出典'!$C$36*'契約別単価'!C5+'前提と出典'!$C$37*'契約別単価'!C6+'前提と出典'!$C$38*'契約別単価'!C7)</ns0:f>
        <ns0:v>6303.284916201117</ns0:v>
      </ns0:c>
      <ns0:c r="E880" s="16">
        <ns0:f>A880*('前提と出典'!$C$36*'契約別単価'!E5+'前提と出典'!$C$37*'契約別単価'!E6+'前提と出典'!$C$38*'契約別単価'!E7)</ns0:f>
        <ns0:v>2202152.68075904</ns0:v>
      </ns0:c>
      <ns0:c r="F880" s="16">
        <ns0:f>A880*('前提と出典'!$C$36*'契約別単価'!F5+'前提と出典'!$C$37*'契約別単価'!F6+'前提と出典'!$C$38*'契約別単価'!F7)</ns0:f>
        <ns0:v>639889.2787592213</ns0:v>
      </ns0:c>
      <ns0:c r="G880" s="16">
        <ns0:f>A880*('前提と出典'!$C$36*'契約別単価'!G5+'前提と出典'!$C$37*'契約別単価'!G6+'前提と出典'!$C$38*'契約別単価'!G7)</ns0:f>
        <ns0:v>1743680.4469273742</ns0:v>
      </ns0:c>
      <ns0:c r="H880" s="16">
        <ns0:f>A880*('前提と出典'!$C$36*'契約別単価'!H5+'前提と出典'!$C$37*'契約別単価'!H6+'前提と出典'!$C$38*'契約別単価'!H7)</ns0:f>
        <ns0:v>605144.5675303893</ns0:v>
      </ns0:c>
      <ns0:c r="I880" s="16">
        <ns0:f>A880*('前提と出典'!$C$36*'契約別単価'!I5+'前提と出典'!$C$37*'契約別単価'!I6+'前提と出典'!$C$38*'契約別単価'!I7)</ns0:f>
        <ns0:v>36963.28491620111</ns0:v>
      </ns0:c>
      <ns0:c r="J880" s="16">
        <ns0:f>A880*('前提と出典'!$C$36*'契約別単価'!J5+'前提と出典'!$C$37*'契約別単価'!J6+'前提と出典'!$C$38*'契約別単価'!J7)</ns0:f>
        <ns0:v>86101.64029022506</ns0:v>
      </ns0:c>
      <ns0:c r="K880" s="16">
        <ns0:f>A880*('前提と出典'!$C$36*'契約別単価'!K5+'前提と出典'!$C$37*'契約別単価'!K6+'前提と出典'!$C$38*'契約別単価'!K7)</ns0:f>
        <ns0:v>369061.89944134076</ns0:v>
      </ns0:c>
      <ns0:c r="L880" s="16">
        <ns0:f>A880*('前提と出典'!$C$36*'契約別単価'!L5+'前提と出典'!$C$37*'契約別単価'!L6+'前提と出典'!$C$38*'契約別単価'!L7)</ns0:f>
        <ns0:v>300491.4855843463</ns0:v>
      </ns0:c>
      <ns0:c r="M880" s="16">
        <ns0:f>IF(('前提と出典'!$C$36+'前提と出典'!$C$38)=0,0,IF(B880&lt;=10,'前提と出典'!B73+'前提と出典'!C73,IF(B880&lt;=100,'前提と出典'!B74+'前提と出典'!C74,IF(B880&lt;=500,'前提と出典'!B75+'前提と出典'!C75,'前提と出典'!B76+'前提と出典'!C76))))</ns0:f>
        <ns0:v>80000</ns0:v>
      </ns0:c>
      <ns0:c r="N880" s="16">
        <ns0:f>IF(('前提と出典'!$C$37+'前提と出典'!$C$38)=0,0,IF(C880&lt;=10,'前提と出典'!D73+'前提と出典'!E73,IF(C880&lt;=100,'前提と出典'!D74+'前提と出典'!E74,IF(C880&lt;=500,'前提と出典'!D75+'前提と出典'!E75,'前提と出典'!D76+'前提と出典'!E76))))</ns0:f>
        <ns0:v>86510.9346263078</ns0:v>
      </ns0:c>
      <ns0:c r="O880" s="16">
        <ns0:f>IF('前提と出典'!$C$36+'前提と出典'!$C$38=0,0,'前提と出典'!$B$4*IF('前提と出典'!$B$20=0,MAX('前提と出典'!$B$6,D880*'前提と出典'!$B$5),'前提と出典'!$B$6+D880*'前提と出典'!$B$5))</ns0:f>
        <ns0:v>869853.3184357542</ns0:v>
      </ns0:c>
      <ns0:c r="P880" s="16">
        <ns0:f>(E880+G880)*(1-'前提と出典'!$B$7)-I880-K880-M880-O880</ns0:f>
        <ns0:v>2447904.632296407</ns0:v>
      </ns0:c>
      <ns0:c r="Q880" s="16">
        <ns0:f>(F880+H880)*(1-'前提と出典'!$B$7)-J880-L880-N880</ns0:f>
        <ns0:v>727108.5673223054</ns0:v>
      </ns0:c>
      <ns0:c r="R880" s="16">
        <ns0:f>P880-E880*'前提と出典'!$E$4</ns0:f>
        <ns0:v>1787258.828068695</ns0:v>
      </ns0:c>
      <ns0:c r="S880" s="16">
        <ns0:f>Q880-F880*'前提と出典'!$E$4</ns0:f>
        <ns0:v>535141.783694539</ns0:v>
      </ns0:c>
      <ns0:c r="T880" s="7">
        <ns0:f>R880+S880</ns0:f>
        <ns0:v>2322400.6117632343</ns0:v>
      </ns0:c>
      <ns0:c r="U880" s="16">
        <ns0:f>P880-E880*'前提と出典'!$E$5</ns0:f>
        <ns0:v>1567043.5599927912</ns0:v>
      </ns0:c>
      <ns0:c r="V880" s="16">
        <ns0:f>Q880-F880*'前提と出典'!$E$5</ns0:f>
        <ns0:v>471152.8558186169</ns0:v>
      </ns0:c>
      <ns0:c r="W880" s="7">
        <ns0:f>U880+V880</ns0:f>
        <ns0:v>2038196.415811408</ns0:v>
      </ns0:c>
      <ns0:c r="X880" s="16">
        <ns0:f>P880-E880*'前提と出典'!$E$6</ns0:f>
        <ns0:v>1346828.2919168873</ns0:v>
      </ns0:c>
      <ns0:c r="Y880" s="16">
        <ns0:f>Q880-F880*'前提と出典'!$E$6</ns0:f>
        <ns0:v>407163.9279426947</ns0:v>
      </ns0:c>
      <ns0:c r="Z880" s="7">
        <ns0:f>X880+Y880</ns0:f>
        <ns0:v>1753992.219859582</ns0:v>
      </ns0:c>
      <ns0:c r="AA880" s="7">
        <ns0:f>IF(T880&gt;=0,A880,1001)</ns0:f>
        <ns0:v>876</ns0:v>
      </ns0:c>
      <ns0:c r="AB880" s="7">
        <ns0:f>IF(T880&lt;0,A880,0)</ns0:f>
        <ns0:v>0</ns0:v>
      </ns0:c>
      <ns0:c r="AC880" s="16">
        <ns0:f>IF(AND(OR('前提と出典'!$C$36+'前提と出典'!$C$38=0,R880&gt;=0),OR('前提と出典'!$C$37+'前提と出典'!$C$38=0,S880&gt;=0)),0,A880)</ns0:f>
        <ns0:v>0</ns0:v>
      </ns0:c>
      <ns0:c r="AD880" s="7">
        <ns0:f>IF(W880&gt;=0,A880,1001)</ns0:f>
        <ns0:v>876</ns0:v>
      </ns0:c>
      <ns0:c r="AE880" s="7">
        <ns0:f>IF(W880&lt;0,A880,0)</ns0:f>
        <ns0:v>0</ns0:v>
      </ns0:c>
      <ns0:c r="AF880" s="16">
        <ns0:f>IF(AND(OR('前提と出典'!$C$36+'前提と出典'!$C$38=0,U880&gt;=0),OR('前提と出典'!$C$37+'前提と出典'!$C$38=0,V880&gt;=0)),0,A880)</ns0:f>
        <ns0:v>0</ns0:v>
      </ns0:c>
      <ns0:c r="AG880" s="7">
        <ns0:f>IF(Z880&gt;=0,A880,1001)</ns0:f>
        <ns0:v>876</ns0:v>
      </ns0:c>
      <ns0:c r="AH880" s="4">
        <ns0:f>IF(Z880&lt;0,A880,0)</ns0:f>
        <ns0:v>0</ns0:v>
      </ns0:c>
      <ns0:c r="AI880" s="12">
        <ns0:f>IF(AND(OR('前提と出典'!$C$36+'前提と出典'!$C$38=0,X880&gt;=0),OR('前提と出典'!$C$37+'前提と出典'!$C$38=0,Y880&gt;=0)),0,A880)</ns0:f>
        <ns0:v>0</ns0:v>
      </ns0:c>
    </ns0:row>
    <ns0:row r="881" ht="24" customHeight="1">
      <ns0:c r="A881" s="4" t="n">
        <ns0:v>877</ns0:v>
      </ns0:c>
      <ns0:c r="B881" s="12">
        <ns0:f>A881*('前提と出典'!$C$36+'前提と出典'!$C$38)</ns0:f>
        <ns0:v>613.9</ns0:v>
      </ns0:c>
      <ns0:c r="C881" s="12">
        <ns0:f>A881*('前提と出典'!$C$37+'前提と出典'!$C$38)</ns0:f>
        <ns0:v>526.1999999999999</ns0:v>
      </ns0:c>
      <ns0:c r="D881" s="16">
        <ns0:f>A881*('前提と出典'!$C$36*'契約別単価'!C5+'前提と出典'!$C$37*'契約別単価'!C6+'前提と出典'!$C$38*'契約別単価'!C7)</ns0:f>
        <ns0:v>6310.480446927374</ns0:v>
      </ns0:c>
      <ns0:c r="E881" s="16">
        <ns0:f>A881*('前提と出典'!$C$36*'契約別単価'!E5+'前提と出典'!$C$37*'契約別単価'!E6+'前提と出典'!$C$38*'契約別単価'!E7)</ns0:f>
        <ns0:v>2204666.5536822807</ns0:v>
      </ns0:c>
      <ns0:c r="F881" s="16">
        <ns0:f>A881*('前提と出典'!$C$36*'契約別単価'!F5+'前提と出典'!$C$37*'契約別単価'!F6+'前提と出典'!$C$38*'契約別単価'!F7)</ns0:f>
        <ns0:v>640619.7459724168</ns0:v>
      </ns0:c>
      <ns0:c r="G881" s="16">
        <ns0:f>A881*('前提と出典'!$C$36*'契約別単価'!G5+'前提と出典'!$C$37*'契約別単価'!G6+'前提と出典'!$C$38*'契約別単価'!G7)</ns0:f>
        <ns0:v>1745670.9497206702</ns0:v>
      </ns0:c>
      <ns0:c r="H881" s="16">
        <ns0:f>A881*('前提と出典'!$C$36*'契約別単価'!H5+'前提と出典'!$C$37*'契約別単価'!H6+'前提と出典'!$C$38*'契約別単価'!H7)</ns0:f>
        <ns0:v>605835.371831223</ns0:v>
      </ns0:c>
      <ns0:c r="I881" s="16">
        <ns0:f>A881*('前提と出典'!$C$36*'契約別単価'!I5+'前提と出典'!$C$37*'契約別単価'!I6+'前提と出典'!$C$38*'契約別単価'!I7)</ns0:f>
        <ns0:v>37005.480446927366</ns0:v>
      </ns0:c>
      <ns0:c r="J881" s="16">
        <ns0:f>A881*('前提と出典'!$C$36*'契約別単価'!J5+'前提と出典'!$C$37*'契約別単価'!J6+'前提と出典'!$C$38*'契約別単価'!J7)</ns0:f>
        <ns0:v>86199.92983393536</ns0:v>
      </ns0:c>
      <ns0:c r="K881" s="16">
        <ns0:f>A881*('前提と出典'!$C$36*'契約別単価'!K5+'前提と出典'!$C$37*'契約別単価'!K6+'前提と出典'!$C$38*'契約別単価'!K7)</ns0:f>
        <ns0:v>369483.20297951583</ns0:v>
      </ns0:c>
      <ns0:c r="L881" s="16">
        <ns0:f>A881*('前提と出典'!$C$36*'契約別単価'!L5+'前提と出典'!$C$37*'契約別単価'!L6+'前提と出典'!$C$38*'契約別単価'!L7)</ns0:f>
        <ns0:v>300834.5123943741</ns0:v>
      </ns0:c>
      <ns0:c r="M881" s="16">
        <ns0:f>IF(('前提と出典'!$C$36+'前提と出典'!$C$38)=0,0,IF(B881&lt;=10,'前提と出典'!B73+'前提と出典'!C73,IF(B881&lt;=100,'前提と出典'!B74+'前提と出典'!C74,IF(B881&lt;=500,'前提と出典'!B75+'前提と出典'!C75,'前提と出典'!B76+'前提と出典'!C76))))</ns0:f>
        <ns0:v>80000</ns0:v>
      </ns0:c>
      <ns0:c r="N881" s="16">
        <ns0:f>IF(('前提と出典'!$C$37+'前提と出典'!$C$38)=0,0,IF(C881&lt;=10,'前提と出典'!D73+'前提と出典'!E73,IF(C881&lt;=100,'前提と出典'!D74+'前提と出典'!E74,IF(C881&lt;=500,'前提と出典'!D75+'前提と出典'!E75,'前提と出典'!D76+'前提と出典'!E76))))</ns0:f>
        <ns0:v>86510.9346263078</ns0:v>
      </ns0:c>
      <ns0:c r="O881" s="16">
        <ns0:f>IF('前提と出典'!$C$36+'前提と出典'!$C$38=0,0,'前提と出典'!$B$4*IF('前提と出典'!$B$20=0,MAX('前提と出典'!$B$6,D881*'前提と出典'!$B$5),'前提と出典'!$B$6+D881*'前提と出典'!$B$5))</ns0:f>
        <ns0:v>870846.3016759777</ns0:v>
      </ns0:c>
      <ns0:c r="P881" s="16">
        <ns0:f>(E881+G881)*(1-'前提と出典'!$B$7)-I881-K881-M881-O881</ns0:f>
        <ns0:v>2450790.3681780244</ns0:v>
      </ns0:c>
      <ns0:c r="Q881" s="16">
        <ns0:f>(F881+H881)*(1-'前提と出典'!$B$7)-J881-L881-N881</ns0:f>
        <ns0:v>728037.3567080915</ns0:v>
      </ns0:c>
      <ns0:c r="R881" s="16">
        <ns0:f>P881-E881*'前提と出典'!$E$4</ns0:f>
        <ns0:v>1789390.40207334</ns0:v>
      </ns0:c>
      <ns0:c r="S881" s="16">
        <ns0:f>Q881-F881*'前提と出典'!$E$4</ns0:f>
        <ns0:v>535851.4329163665</ns0:v>
      </ns0:c>
      <ns0:c r="T881" s="7">
        <ns0:f>R881+S881</ns0:f>
        <ns0:v>2325241.8349897065</ns0:v>
      </ns0:c>
      <ns0:c r="U881" s="16">
        <ns0:f>P881-E881*'前提と出典'!$E$5</ns0:f>
        <ns0:v>1568923.746705112</ns0:v>
      </ns0:c>
      <ns0:c r="V881" s="16">
        <ns0:f>Q881-F881*'前提と出典'!$E$5</ns0:f>
        <ns0:v>471789.45831912477</ns0:v>
      </ns0:c>
      <ns0:c r="W881" s="7">
        <ns0:f>U881+V881</ns0:f>
        <ns0:v>2040713.2050242368</ns0:v>
      </ns0:c>
      <ns0:c r="X881" s="16">
        <ns0:f>P881-E881*'前提と出典'!$E$6</ns0:f>
        <ns0:v>1348457.091336884</ns0:v>
      </ns0:c>
      <ns0:c r="Y881" s="16">
        <ns0:f>Q881-F881*'前提と出典'!$E$6</ns0:f>
        <ns0:v>407727.48372188304</ns0:v>
      </ns0:c>
      <ns0:c r="Z881" s="7">
        <ns0:f>X881+Y881</ns0:f>
        <ns0:v>1756184.575058767</ns0:v>
      </ns0:c>
      <ns0:c r="AA881" s="7">
        <ns0:f>IF(T881&gt;=0,A881,1001)</ns0:f>
        <ns0:v>877</ns0:v>
      </ns0:c>
      <ns0:c r="AB881" s="7">
        <ns0:f>IF(T881&lt;0,A881,0)</ns0:f>
        <ns0:v>0</ns0:v>
      </ns0:c>
      <ns0:c r="AC881" s="16">
        <ns0:f>IF(AND(OR('前提と出典'!$C$36+'前提と出典'!$C$38=0,R881&gt;=0),OR('前提と出典'!$C$37+'前提と出典'!$C$38=0,S881&gt;=0)),0,A881)</ns0:f>
        <ns0:v>0</ns0:v>
      </ns0:c>
      <ns0:c r="AD881" s="7">
        <ns0:f>IF(W881&gt;=0,A881,1001)</ns0:f>
        <ns0:v>877</ns0:v>
      </ns0:c>
      <ns0:c r="AE881" s="7">
        <ns0:f>IF(W881&lt;0,A881,0)</ns0:f>
        <ns0:v>0</ns0:v>
      </ns0:c>
      <ns0:c r="AF881" s="16">
        <ns0:f>IF(AND(OR('前提と出典'!$C$36+'前提と出典'!$C$38=0,U881&gt;=0),OR('前提と出典'!$C$37+'前提と出典'!$C$38=0,V881&gt;=0)),0,A881)</ns0:f>
        <ns0:v>0</ns0:v>
      </ns0:c>
      <ns0:c r="AG881" s="7">
        <ns0:f>IF(Z881&gt;=0,A881,1001)</ns0:f>
        <ns0:v>877</ns0:v>
      </ns0:c>
      <ns0:c r="AH881" s="4">
        <ns0:f>IF(Z881&lt;0,A881,0)</ns0:f>
        <ns0:v>0</ns0:v>
      </ns0:c>
      <ns0:c r="AI881" s="12">
        <ns0:f>IF(AND(OR('前提と出典'!$C$36+'前提と出典'!$C$38=0,X881&gt;=0),OR('前提と出典'!$C$37+'前提と出典'!$C$38=0,Y881&gt;=0)),0,A881)</ns0:f>
        <ns0:v>0</ns0:v>
      </ns0:c>
    </ns0:row>
    <ns0:row r="882" ht="24" customHeight="1">
      <ns0:c r="A882" s="4" t="n">
        <ns0:v>878</ns0:v>
      </ns0:c>
      <ns0:c r="B882" s="12">
        <ns0:f>A882*('前提と出典'!$C$36+'前提と出典'!$C$38)</ns0:f>
        <ns0:v>614.5999999999999</ns0:v>
      </ns0:c>
      <ns0:c r="C882" s="12">
        <ns0:f>A882*('前提と出典'!$C$37+'前提と出典'!$C$38)</ns0:f>
        <ns0:v>526.8</ns0:v>
      </ns0:c>
      <ns0:c r="D882" s="16">
        <ns0:f>A882*('前提と出典'!$C$36*'契約別単価'!C5+'前提と出典'!$C$37*'契約別単価'!C6+'前提と出典'!$C$38*'契約別単価'!C7)</ns0:f>
        <ns0:v>6317.675977653631</ns0:v>
      </ns0:c>
      <ns0:c r="E882" s="16">
        <ns0:f>A882*('前提と出典'!$C$36*'契約別単価'!E5+'前提と出典'!$C$37*'契約別単価'!E6+'前提と出典'!$C$38*'契約別単価'!E7)</ns0:f>
        <ns0:v>2207180.4266055217</ns0:v>
      </ns0:c>
      <ns0:c r="F882" s="16">
        <ns0:f>A882*('前提と出典'!$C$36*'契約別単価'!F5+'前提と出典'!$C$37*'契約別単価'!F6+'前提と出典'!$C$38*'契約別単価'!F7)</ns0:f>
        <ns0:v>641350.2131856122</ns0:v>
      </ns0:c>
      <ns0:c r="G882" s="16">
        <ns0:f>A882*('前提と出典'!$C$36*'契約別単価'!G5+'前提と出典'!$C$37*'契約別単価'!G6+'前提と出典'!$C$38*'契約別単価'!G7)</ns0:f>
        <ns0:v>1747661.4525139665</ns0:v>
      </ns0:c>
      <ns0:c r="H882" s="16">
        <ns0:f>A882*('前提と出典'!$C$36*'契約別単価'!H5+'前提と出典'!$C$37*'契約別単価'!H6+'前提と出典'!$C$38*'契約別単価'!H7)</ns0:f>
        <ns0:v>606526.1761320569</ns0:v>
      </ns0:c>
      <ns0:c r="I882" s="16">
        <ns0:f>A882*('前提と出典'!$C$36*'契約別単価'!I5+'前提と出典'!$C$37*'契約別単価'!I6+'前提と出典'!$C$38*'契約別単価'!I7)</ns0:f>
        <ns0:v>37047.67597765363</ns0:v>
      </ns0:c>
      <ns0:c r="J882" s="16">
        <ns0:f>A882*('前提と出典'!$C$36*'契約別単価'!J5+'前提と出典'!$C$37*'契約別単価'!J6+'前提と出典'!$C$38*'契約別単価'!J7)</ns0:f>
        <ns0:v>86298.21937764566</ns0:v>
      </ns0:c>
      <ns0:c r="K882" s="16">
        <ns0:f>A882*('前提と出典'!$C$36*'契約別単価'!K5+'前提と出典'!$C$37*'契約別単価'!K6+'前提と出典'!$C$38*'契約別単価'!K7)</ns0:f>
        <ns0:v>369904.50651769084</ns0:v>
      </ns0:c>
      <ns0:c r="L882" s="16">
        <ns0:f>A882*('前提と出典'!$C$36*'契約別単価'!L5+'前提と出典'!$C$37*'契約別単価'!L6+'前提と出典'!$C$38*'契約別単価'!L7)</ns0:f>
        <ns0:v>301177.5392044019</ns0:v>
      </ns0:c>
      <ns0:c r="M882" s="16">
        <ns0:f>IF(('前提と出典'!$C$36+'前提と出典'!$C$38)=0,0,IF(B882&lt;=10,'前提と出典'!B73+'前提と出典'!C73,IF(B882&lt;=100,'前提と出典'!B74+'前提と出典'!C74,IF(B882&lt;=500,'前提と出典'!B75+'前提と出典'!C75,'前提と出典'!B76+'前提と出典'!C76))))</ns0:f>
        <ns0:v>80000</ns0:v>
      </ns0:c>
      <ns0:c r="N882" s="16">
        <ns0:f>IF(('前提と出典'!$C$37+'前提と出典'!$C$38)=0,0,IF(C882&lt;=10,'前提と出典'!D73+'前提と出典'!E73,IF(C882&lt;=100,'前提と出典'!D74+'前提と出典'!E74,IF(C882&lt;=500,'前提と出典'!D75+'前提と出典'!E75,'前提と出典'!D76+'前提と出典'!E76))))</ns0:f>
        <ns0:v>86510.9346263078</ns0:v>
      </ns0:c>
      <ns0:c r="O882" s="16">
        <ns0:f>IF('前提と出典'!$C$36+'前提と出典'!$C$38=0,0,'前提と出典'!$B$4*IF('前提と出典'!$B$20=0,MAX('前提と出典'!$B$6,D882*'前提と出典'!$B$5),'前提と出典'!$B$6+D882*'前提と出典'!$B$5))</ns0:f>
        <ns0:v>871839.2849162011</ns0:v>
      </ns0:c>
      <ns0:c r="P882" s="16">
        <ns0:f>(E882+G882)*(1-'前提と出典'!$B$7)-I882-K882-M882-O882</ns0:f>
        <ns0:v>2453676.1040596412</ns0:v>
      </ns0:c>
      <ns0:c r="Q882" s="16">
        <ns0:f>(F882+H882)*(1-'前提と出典'!$B$7)-J882-L882-N882</ns0:f>
        <ns0:v>728966.1460938776</ns0:v>
      </ns0:c>
      <ns0:c r="R882" s="16">
        <ns0:f>P882-E882*'前提と出典'!$E$4</ns0:f>
        <ns0:v>1791521.9760779846</ns0:v>
      </ns0:c>
      <ns0:c r="S882" s="16">
        <ns0:f>Q882-F882*'前提と出典'!$E$4</ns0:f>
        <ns0:v>536561.0821381939</ns0:v>
      </ns0:c>
      <ns0:c r="T882" s="7">
        <ns0:f>R882+S882</ns0:f>
        <ns0:v>2328083.0582161783</ns0:v>
      </ns0:c>
      <ns0:c r="U882" s="16">
        <ns0:f>P882-E882*'前提と出典'!$E$5</ns0:f>
        <ns0:v>1570803.9334174325</ns0:v>
      </ns0:c>
      <ns0:c r="V882" s="16">
        <ns0:f>Q882-F882*'前提と出典'!$E$5</ns0:f>
        <ns0:v>472426.0608196327</ns0:v>
      </ns0:c>
      <ns0:c r="W882" s="7">
        <ns0:f>U882+V882</ns0:f>
        <ns0:v>2043229.9942370653</ns0:v>
      </ns0:c>
      <ns0:c r="X882" s="16">
        <ns0:f>P882-E882*'前提と出典'!$E$6</ns0:f>
        <ns0:v>1350085.8907568804</ns0:v>
      </ns0:c>
      <ns0:c r="Y882" s="16">
        <ns0:f>Q882-F882*'前提と出典'!$E$6</ns0:f>
        <ns0:v>408291.03950107156</ns0:v>
      </ns0:c>
      <ns0:c r="Z882" s="7">
        <ns0:f>X882+Y882</ns0:f>
        <ns0:v>1758376.9302579518</ns0:v>
      </ns0:c>
      <ns0:c r="AA882" s="7">
        <ns0:f>IF(T882&gt;=0,A882,1001)</ns0:f>
        <ns0:v>878</ns0:v>
      </ns0:c>
      <ns0:c r="AB882" s="7">
        <ns0:f>IF(T882&lt;0,A882,0)</ns0:f>
        <ns0:v>0</ns0:v>
      </ns0:c>
      <ns0:c r="AC882" s="16">
        <ns0:f>IF(AND(OR('前提と出典'!$C$36+'前提と出典'!$C$38=0,R882&gt;=0),OR('前提と出典'!$C$37+'前提と出典'!$C$38=0,S882&gt;=0)),0,A882)</ns0:f>
        <ns0:v>0</ns0:v>
      </ns0:c>
      <ns0:c r="AD882" s="7">
        <ns0:f>IF(W882&gt;=0,A882,1001)</ns0:f>
        <ns0:v>878</ns0:v>
      </ns0:c>
      <ns0:c r="AE882" s="7">
        <ns0:f>IF(W882&lt;0,A882,0)</ns0:f>
        <ns0:v>0</ns0:v>
      </ns0:c>
      <ns0:c r="AF882" s="16">
        <ns0:f>IF(AND(OR('前提と出典'!$C$36+'前提と出典'!$C$38=0,U882&gt;=0),OR('前提と出典'!$C$37+'前提と出典'!$C$38=0,V882&gt;=0)),0,A882)</ns0:f>
        <ns0:v>0</ns0:v>
      </ns0:c>
      <ns0:c r="AG882" s="7">
        <ns0:f>IF(Z882&gt;=0,A882,1001)</ns0:f>
        <ns0:v>878</ns0:v>
      </ns0:c>
      <ns0:c r="AH882" s="4">
        <ns0:f>IF(Z882&lt;0,A882,0)</ns0:f>
        <ns0:v>0</ns0:v>
      </ns0:c>
      <ns0:c r="AI882" s="12">
        <ns0:f>IF(AND(OR('前提と出典'!$C$36+'前提と出典'!$C$38=0,X882&gt;=0),OR('前提と出典'!$C$37+'前提と出典'!$C$38=0,Y882&gt;=0)),0,A882)</ns0:f>
        <ns0:v>0</ns0:v>
      </ns0:c>
    </ns0:row>
    <ns0:row r="883" ht="24" customHeight="1">
      <ns0:c r="A883" s="4" t="n">
        <ns0:v>879</ns0:v>
      </ns0:c>
      <ns0:c r="B883" s="12">
        <ns0:f>A883*('前提と出典'!$C$36+'前提と出典'!$C$38)</ns0:f>
        <ns0:v>615.3</ns0:v>
      </ns0:c>
      <ns0:c r="C883" s="12">
        <ns0:f>A883*('前提と出典'!$C$37+'前提と出典'!$C$38)</ns0:f>
        <ns0:v>527.4</ns0:v>
      </ns0:c>
      <ns0:c r="D883" s="16">
        <ns0:f>A883*('前提と出典'!$C$36*'契約別単価'!C5+'前提と出典'!$C$37*'契約別単価'!C6+'前提と出典'!$C$38*'契約別単価'!C7)</ns0:f>
        <ns0:v>6324.871508379888</ns0:v>
      </ns0:c>
      <ns0:c r="E883" s="16">
        <ns0:f>A883*('前提と出典'!$C$36*'契約別単価'!E5+'前提と出典'!$C$37*'契約別単価'!E6+'前提と出典'!$C$38*'契約別単価'!E7)</ns0:f>
        <ns0:v>2209694.2995287627</ns0:v>
      </ns0:c>
      <ns0:c r="F883" s="16">
        <ns0:f>A883*('前提と出典'!$C$36*'契約別単価'!F5+'前提と出典'!$C$37*'契約別単価'!F6+'前提と出典'!$C$38*'契約別単価'!F7)</ns0:f>
        <ns0:v>642080.6803988077</ns0:v>
      </ns0:c>
      <ns0:c r="G883" s="16">
        <ns0:f>A883*('前提と出典'!$C$36*'契約別単価'!G5+'前提と出典'!$C$37*'契約別単価'!G6+'前提と出典'!$C$38*'契約別単価'!G7)</ns0:f>
        <ns0:v>1749651.9553072625</ns0:v>
      </ns0:c>
      <ns0:c r="H883" s="16">
        <ns0:f>A883*('前提と出典'!$C$36*'契約別単価'!H5+'前提と出典'!$C$37*'契約別単価'!H6+'前提と出典'!$C$38*'契約別単価'!H7)</ns0:f>
        <ns0:v>607216.9804328906</ns0:v>
      </ns0:c>
      <ns0:c r="I883" s="16">
        <ns0:f>A883*('前提と出典'!$C$36*'契約別単価'!I5+'前提と出典'!$C$37*'契約別単価'!I6+'前提と出典'!$C$38*'契約別単価'!I7)</ns0:f>
        <ns0:v>37089.87150837988</ns0:v>
      </ns0:c>
      <ns0:c r="J883" s="16">
        <ns0:f>A883*('前提と出典'!$C$36*'契約別単価'!J5+'前提と出典'!$C$37*'契約別単価'!J6+'前提と出典'!$C$38*'契約別単価'!J7)</ns0:f>
        <ns0:v>86396.50892135595</ns0:v>
      </ns0:c>
      <ns0:c r="K883" s="16">
        <ns0:f>A883*('前提と出典'!$C$36*'契約別単価'!K5+'前提と出典'!$C$37*'契約別単価'!K6+'前提と出典'!$C$38*'契約別単価'!K7)</ns0:f>
        <ns0:v>370325.8100558659</ns0:v>
      </ns0:c>
      <ns0:c r="L883" s="16">
        <ns0:f>A883*('前提と出典'!$C$36*'契約別単価'!L5+'前提と出典'!$C$37*'契約別単価'!L6+'前提と出典'!$C$38*'契約別単価'!L7)</ns0:f>
        <ns0:v>301520.56601442967</ns0:v>
      </ns0:c>
      <ns0:c r="M883" s="16">
        <ns0:f>IF(('前提と出典'!$C$36+'前提と出典'!$C$38)=0,0,IF(B883&lt;=10,'前提と出典'!B73+'前提と出典'!C73,IF(B883&lt;=100,'前提と出典'!B74+'前提と出典'!C74,IF(B883&lt;=500,'前提と出典'!B75+'前提と出典'!C75,'前提と出典'!B76+'前提と出典'!C76))))</ns0:f>
        <ns0:v>80000</ns0:v>
      </ns0:c>
      <ns0:c r="N883" s="16">
        <ns0:f>IF(('前提と出典'!$C$37+'前提と出典'!$C$38)=0,0,IF(C883&lt;=10,'前提と出典'!D73+'前提と出典'!E73,IF(C883&lt;=100,'前提と出典'!D74+'前提と出典'!E74,IF(C883&lt;=500,'前提と出典'!D75+'前提と出典'!E75,'前提と出典'!D76+'前提と出典'!E76))))</ns0:f>
        <ns0:v>86510.9346263078</ns0:v>
      </ns0:c>
      <ns0:c r="O883" s="16">
        <ns0:f>IF('前提と出典'!$C$36+'前提と出典'!$C$38=0,0,'前提と出典'!$B$4*IF('前提と出典'!$B$20=0,MAX('前提と出典'!$B$6,D883*'前提と出典'!$B$5),'前提と出典'!$B$6+D883*'前提と出典'!$B$5))</ns0:f>
        <ns0:v>872832.2681564245</ns0:v>
      </ns0:c>
      <ns0:c r="P883" s="16">
        <ns0:f>(E883+G883)*(1-'前提と出典'!$B$7)-I883-K883-M883-O883</ns0:f>
        <ns0:v>2456561.8399412576</ns0:v>
      </ns0:c>
      <ns0:c r="Q883" s="16">
        <ns0:f>(F883+H883)*(1-'前提と出典'!$B$7)-J883-L883-N883</ns0:f>
        <ns0:v>729894.9354796637</ns0:v>
      </ns0:c>
      <ns0:c r="R883" s="16">
        <ns0:f>P883-E883*'前提と出典'!$E$4</ns0:f>
        <ns0:v>1793653.550082629</ns0:v>
      </ns0:c>
      <ns0:c r="S883" s="16">
        <ns0:f>Q883-F883*'前提と出典'!$E$4</ns0:f>
        <ns0:v>537270.7313600214</ns0:v>
      </ns0:c>
      <ns0:c r="T883" s="7">
        <ns0:f>R883+S883</ns0:f>
        <ns0:v>2330924.2814426506</ns0:v>
      </ns0:c>
      <ns0:c r="U883" s="16">
        <ns0:f>P883-E883*'前提と出典'!$E$5</ns0:f>
        <ns0:v>1572684.1201297524</ns0:v>
      </ns0:c>
      <ns0:c r="V883" s="16">
        <ns0:f>Q883-F883*'前提と出典'!$E$5</ns0:f>
        <ns0:v>473062.66332014056</ns0:v>
      </ns0:c>
      <ns0:c r="W883" s="7">
        <ns0:f>U883+V883</ns0:f>
        <ns0:v>2045746.783449893</ns0:v>
      </ns0:c>
      <ns0:c r="X883" s="16">
        <ns0:f>P883-E883*'前提と出典'!$E$6</ns0:f>
        <ns0:v>1351714.6901768763</ns0:v>
      </ns0:c>
      <ns0:c r="Y883" s="16">
        <ns0:f>Q883-F883*'前提と出典'!$E$6</ns0:f>
        <ns0:v>408854.59528025973</ns0:v>
      </ns0:c>
      <ns0:c r="Z883" s="7">
        <ns0:f>X883+Y883</ns0:f>
        <ns0:v>1760569.285457136</ns0:v>
      </ns0:c>
      <ns0:c r="AA883" s="7">
        <ns0:f>IF(T883&gt;=0,A883,1001)</ns0:f>
        <ns0:v>879</ns0:v>
      </ns0:c>
      <ns0:c r="AB883" s="7">
        <ns0:f>IF(T883&lt;0,A883,0)</ns0:f>
        <ns0:v>0</ns0:v>
      </ns0:c>
      <ns0:c r="AC883" s="16">
        <ns0:f>IF(AND(OR('前提と出典'!$C$36+'前提と出典'!$C$38=0,R883&gt;=0),OR('前提と出典'!$C$37+'前提と出典'!$C$38=0,S883&gt;=0)),0,A883)</ns0:f>
        <ns0:v>0</ns0:v>
      </ns0:c>
      <ns0:c r="AD883" s="7">
        <ns0:f>IF(W883&gt;=0,A883,1001)</ns0:f>
        <ns0:v>879</ns0:v>
      </ns0:c>
      <ns0:c r="AE883" s="7">
        <ns0:f>IF(W883&lt;0,A883,0)</ns0:f>
        <ns0:v>0</ns0:v>
      </ns0:c>
      <ns0:c r="AF883" s="16">
        <ns0:f>IF(AND(OR('前提と出典'!$C$36+'前提と出典'!$C$38=0,U883&gt;=0),OR('前提と出典'!$C$37+'前提と出典'!$C$38=0,V883&gt;=0)),0,A883)</ns0:f>
        <ns0:v>0</ns0:v>
      </ns0:c>
      <ns0:c r="AG883" s="7">
        <ns0:f>IF(Z883&gt;=0,A883,1001)</ns0:f>
        <ns0:v>879</ns0:v>
      </ns0:c>
      <ns0:c r="AH883" s="4">
        <ns0:f>IF(Z883&lt;0,A883,0)</ns0:f>
        <ns0:v>0</ns0:v>
      </ns0:c>
      <ns0:c r="AI883" s="12">
        <ns0:f>IF(AND(OR('前提と出典'!$C$36+'前提と出典'!$C$38=0,X883&gt;=0),OR('前提と出典'!$C$37+'前提と出典'!$C$38=0,Y883&gt;=0)),0,A883)</ns0:f>
        <ns0:v>0</ns0:v>
      </ns0:c>
    </ns0:row>
    <ns0:row r="884" ht="24" customHeight="1">
      <ns0:c r="A884" s="4" t="n">
        <ns0:v>880</ns0:v>
      </ns0:c>
      <ns0:c r="B884" s="12">
        <ns0:f>A884*('前提と出典'!$C$36+'前提と出典'!$C$38)</ns0:f>
        <ns0:v>616</ns0:v>
      </ns0:c>
      <ns0:c r="C884" s="12">
        <ns0:f>A884*('前提と出典'!$C$37+'前提と出典'!$C$38)</ns0:f>
        <ns0:v>528</ns0:v>
      </ns0:c>
      <ns0:c r="D884" s="16">
        <ns0:f>A884*('前提と出典'!$C$36*'契約別単価'!C5+'前提と出典'!$C$37*'契約別単価'!C6+'前提と出典'!$C$38*'契約別単価'!C7)</ns0:f>
        <ns0:v>6332.067039106145</ns0:v>
      </ns0:c>
      <ns0:c r="E884" s="16">
        <ns0:f>A884*('前提と出典'!$C$36*'契約別単価'!E5+'前提と出典'!$C$37*'契約別単価'!E6+'前提と出典'!$C$38*'契約別単価'!E7)</ns0:f>
        <ns0:v>2212208.1724520037</ns0:v>
      </ns0:c>
      <ns0:c r="F884" s="16">
        <ns0:f>A884*('前提と出典'!$C$36*'契約別単価'!F5+'前提と出典'!$C$37*'契約別単価'!F6+'前提と出典'!$C$38*'契約別単価'!F7)</ns0:f>
        <ns0:v>642811.1476120031</ns0:v>
      </ns0:c>
      <ns0:c r="G884" s="16">
        <ns0:f>A884*('前提と出典'!$C$36*'契約別単価'!G5+'前提と出典'!$C$37*'契約別単価'!G6+'前提と出典'!$C$38*'契約別単価'!G7)</ns0:f>
        <ns0:v>1751642.4581005585</ns0:v>
      </ns0:c>
      <ns0:c r="H884" s="16">
        <ns0:f>A884*('前提と出典'!$C$36*'契約別単価'!H5+'前提と出典'!$C$37*'契約別単価'!H6+'前提と出典'!$C$38*'契約別単価'!H7)</ns0:f>
        <ns0:v>607907.7847337243</ns0:v>
      </ns0:c>
      <ns0:c r="I884" s="16">
        <ns0:f>A884*('前提と出典'!$C$36*'契約別単価'!I5+'前提と出典'!$C$37*'契約別単価'!I6+'前提と出典'!$C$38*'契約別単価'!I7)</ns0:f>
        <ns0:v>37132.067039106136</ns0:v>
      </ns0:c>
      <ns0:c r="J884" s="16">
        <ns0:f>A884*('前提と出典'!$C$36*'契約別単価'!J5+'前提と出典'!$C$37*'契約別単価'!J6+'前提と出典'!$C$38*'契約別単価'!J7)</ns0:f>
        <ns0:v>86494.79846506625</ns0:v>
      </ns0:c>
      <ns0:c r="K884" s="16">
        <ns0:f>A884*('前提と出典'!$C$36*'契約別単価'!K5+'前提と出典'!$C$37*'契約別単価'!K6+'前提と出典'!$C$38*'契約別単価'!K7)</ns0:f>
        <ns0:v>370747.1135940409</ns0:v>
      </ns0:c>
      <ns0:c r="L884" s="16">
        <ns0:f>A884*('前提と出典'!$C$36*'契約別単価'!L5+'前提と出典'!$C$37*'契約別単価'!L6+'前提と出典'!$C$38*'契約別単価'!L7)</ns0:f>
        <ns0:v>301863.59282445745</ns0:v>
      </ns0:c>
      <ns0:c r="M884" s="16">
        <ns0:f>IF(('前提と出典'!$C$36+'前提と出典'!$C$38)=0,0,IF(B884&lt;=10,'前提と出典'!B73+'前提と出典'!C73,IF(B884&lt;=100,'前提と出典'!B74+'前提と出典'!C74,IF(B884&lt;=500,'前提と出典'!B75+'前提と出典'!C75,'前提と出典'!B76+'前提と出典'!C76))))</ns0:f>
        <ns0:v>80000</ns0:v>
      </ns0:c>
      <ns0:c r="N884" s="16">
        <ns0:f>IF(('前提と出典'!$C$37+'前提と出典'!$C$38)=0,0,IF(C884&lt;=10,'前提と出典'!D73+'前提と出典'!E73,IF(C884&lt;=100,'前提と出典'!D74+'前提と出典'!E74,IF(C884&lt;=500,'前提と出典'!D75+'前提と出典'!E75,'前提と出典'!D76+'前提と出典'!E76))))</ns0:f>
        <ns0:v>86510.9346263078</ns0:v>
      </ns0:c>
      <ns0:c r="O884" s="16">
        <ns0:f>IF('前提と出典'!$C$36+'前提と出典'!$C$38=0,0,'前提と出典'!$B$4*IF('前提と出典'!$B$20=0,MAX('前提と出典'!$B$6,D884*'前提と出典'!$B$5),'前提と出典'!$B$6+D884*'前提と出典'!$B$5))</ns0:f>
        <ns0:v>873825.251396648</ns0:v>
      </ns0:c>
      <ns0:c r="P884" s="16">
        <ns0:f>(E884+G884)*(1-'前提と出典'!$B$7)-I884-K884-M884-O884</ns0:f>
        <ns0:v>2459447.575822875</ns0:v>
      </ns0:c>
      <ns0:c r="Q884" s="16">
        <ns0:f>(F884+H884)*(1-'前提と出典'!$B$7)-J884-L884-N884</ns0:f>
        <ns0:v>730823.7248654498</ns0:v>
      </ns0:c>
      <ns0:c r="R884" s="16">
        <ns0:f>P884-E884*'前提と出典'!$E$4</ns0:f>
        <ns0:v>1795785.124087274</ns0:v>
      </ns0:c>
      <ns0:c r="S884" s="16">
        <ns0:f>Q884-F884*'前提と出典'!$E$4</ns0:f>
        <ns0:v>537980.3805818488</ns0:v>
      </ns0:c>
      <ns0:c r="T884" s="7">
        <ns0:f>R884+S884</ns0:f>
        <ns0:v>2333765.504669123</ns0:v>
      </ns0:c>
      <ns0:c r="U884" s="16">
        <ns0:f>P884-E884*'前提と出典'!$E$5</ns0:f>
        <ns0:v>1574564.3068420733</ns0:v>
      </ns0:c>
      <ns0:c r="V884" s="16">
        <ns0:f>Q884-F884*'前提と出典'!$E$5</ns0:f>
        <ns0:v>473699.2658206485</ns0:v>
      </ns0:c>
      <ns0:c r="W884" s="7">
        <ns0:f>U884+V884</ns0:f>
        <ns0:v>2048263.5726627219</ns0:v>
      </ns0:c>
      <ns0:c r="X884" s="16">
        <ns0:f>P884-E884*'前提と出典'!$E$6</ns0:f>
        <ns0:v>1353343.489596873</ns0:v>
      </ns0:c>
      <ns0:c r="Y884" s="16">
        <ns0:f>Q884-F884*'前提と出典'!$E$6</ns0:f>
        <ns0:v>409418.15105944825</ns0:v>
      </ns0:c>
      <ns0:c r="Z884" s="7">
        <ns0:f>X884+Y884</ns0:f>
        <ns0:v>1762761.6406563213</ns0:v>
      </ns0:c>
      <ns0:c r="AA884" s="7">
        <ns0:f>IF(T884&gt;=0,A884,1001)</ns0:f>
        <ns0:v>880</ns0:v>
      </ns0:c>
      <ns0:c r="AB884" s="7">
        <ns0:f>IF(T884&lt;0,A884,0)</ns0:f>
        <ns0:v>0</ns0:v>
      </ns0:c>
      <ns0:c r="AC884" s="16">
        <ns0:f>IF(AND(OR('前提と出典'!$C$36+'前提と出典'!$C$38=0,R884&gt;=0),OR('前提と出典'!$C$37+'前提と出典'!$C$38=0,S884&gt;=0)),0,A884)</ns0:f>
        <ns0:v>0</ns0:v>
      </ns0:c>
      <ns0:c r="AD884" s="7">
        <ns0:f>IF(W884&gt;=0,A884,1001)</ns0:f>
        <ns0:v>880</ns0:v>
      </ns0:c>
      <ns0:c r="AE884" s="7">
        <ns0:f>IF(W884&lt;0,A884,0)</ns0:f>
        <ns0:v>0</ns0:v>
      </ns0:c>
      <ns0:c r="AF884" s="16">
        <ns0:f>IF(AND(OR('前提と出典'!$C$36+'前提と出典'!$C$38=0,U884&gt;=0),OR('前提と出典'!$C$37+'前提と出典'!$C$38=0,V884&gt;=0)),0,A884)</ns0:f>
        <ns0:v>0</ns0:v>
      </ns0:c>
      <ns0:c r="AG884" s="7">
        <ns0:f>IF(Z884&gt;=0,A884,1001)</ns0:f>
        <ns0:v>880</ns0:v>
      </ns0:c>
      <ns0:c r="AH884" s="4">
        <ns0:f>IF(Z884&lt;0,A884,0)</ns0:f>
        <ns0:v>0</ns0:v>
      </ns0:c>
      <ns0:c r="AI884" s="12">
        <ns0:f>IF(AND(OR('前提と出典'!$C$36+'前提と出典'!$C$38=0,X884&gt;=0),OR('前提と出典'!$C$37+'前提と出典'!$C$38=0,Y884&gt;=0)),0,A884)</ns0:f>
        <ns0:v>0</ns0:v>
      </ns0:c>
    </ns0:row>
    <ns0:row r="885" ht="24" customHeight="1">
      <ns0:c r="A885" s="4" t="n">
        <ns0:v>881</ns0:v>
      </ns0:c>
      <ns0:c r="B885" s="12">
        <ns0:f>A885*('前提と出典'!$C$36+'前提と出典'!$C$38)</ns0:f>
        <ns0:v>616.6999999999999</ns0:v>
      </ns0:c>
      <ns0:c r="C885" s="12">
        <ns0:f>A885*('前提と出典'!$C$37+'前提と出典'!$C$38)</ns0:f>
        <ns0:v>528.6</ns0:v>
      </ns0:c>
      <ns0:c r="D885" s="16">
        <ns0:f>A885*('前提と出典'!$C$36*'契約別単価'!C5+'前提と出典'!$C$37*'契約別単価'!C6+'前提と出典'!$C$38*'契約別単価'!C7)</ns0:f>
        <ns0:v>6339.262569832402</ns0:v>
      </ns0:c>
      <ns0:c r="E885" s="16">
        <ns0:f>A885*('前提と出典'!$C$36*'契約別単価'!E5+'前提と出典'!$C$37*'契約別単価'!E6+'前提と出典'!$C$38*'契約別単価'!E7)</ns0:f>
        <ns0:v>2214722.0453752447</ns0:v>
      </ns0:c>
      <ns0:c r="F885" s="16">
        <ns0:f>A885*('前提と出典'!$C$36*'契約別単価'!F5+'前提と出典'!$C$37*'契約別単価'!F6+'前提と出典'!$C$38*'契約別単価'!F7)</ns0:f>
        <ns0:v>643541.6148251987</ns0:v>
      </ns0:c>
      <ns0:c r="G885" s="16">
        <ns0:f>A885*('前提と出典'!$C$36*'契約別単価'!G5+'前提と出典'!$C$37*'契約別単価'!G6+'前提と出典'!$C$38*'契約別単価'!G7)</ns0:f>
        <ns0:v>1753632.9608938547</ns0:v>
      </ns0:c>
      <ns0:c r="H885" s="16">
        <ns0:f>A885*('前提と出典'!$C$36*'契約別単価'!H5+'前提と出典'!$C$37*'契約別単価'!H6+'前提と出典'!$C$38*'契約別単価'!H7)</ns0:f>
        <ns0:v>608598.5890345582</ns0:v>
      </ns0:c>
      <ns0:c r="I885" s="16">
        <ns0:f>A885*('前提と出典'!$C$36*'契約別単価'!I5+'前提と出典'!$C$37*'契約別単価'!I6+'前提と出典'!$C$38*'契約別単価'!I7)</ns0:f>
        <ns0:v>37174.2625698324</ns0:v>
      </ns0:c>
      <ns0:c r="J885" s="16">
        <ns0:f>A885*('前提と出典'!$C$36*'契約別単価'!J5+'前提と出典'!$C$37*'契約別単価'!J6+'前提と出典'!$C$38*'契約別単価'!J7)</ns0:f>
        <ns0:v>86593.08800877655</ns0:v>
      </ns0:c>
      <ns0:c r="K885" s="16">
        <ns0:f>A885*('前提と出典'!$C$36*'契約別単価'!K5+'前提と出典'!$C$37*'契約別単価'!K6+'前提と出典'!$C$38*'契約別単価'!K7)</ns0:f>
        <ns0:v>371168.417132216</ns0:v>
      </ns0:c>
      <ns0:c r="L885" s="16">
        <ns0:f>A885*('前提と出典'!$C$36*'契約別単価'!L5+'前提と出典'!$C$37*'契約別単価'!L6+'前提と出典'!$C$38*'契約別単価'!L7)</ns0:f>
        <ns0:v>302206.6196344853</ns0:v>
      </ns0:c>
      <ns0:c r="M885" s="16">
        <ns0:f>IF(('前提と出典'!$C$36+'前提と出典'!$C$38)=0,0,IF(B885&lt;=10,'前提と出典'!B73+'前提と出典'!C73,IF(B885&lt;=100,'前提と出典'!B74+'前提と出典'!C74,IF(B885&lt;=500,'前提と出典'!B75+'前提と出典'!C75,'前提と出典'!B76+'前提と出典'!C76))))</ns0:f>
        <ns0:v>80000</ns0:v>
      </ns0:c>
      <ns0:c r="N885" s="16">
        <ns0:f>IF(('前提と出典'!$C$37+'前提と出典'!$C$38)=0,0,IF(C885&lt;=10,'前提と出典'!D73+'前提と出典'!E73,IF(C885&lt;=100,'前提と出典'!D74+'前提と出典'!E74,IF(C885&lt;=500,'前提と出典'!D75+'前提と出典'!E75,'前提と出典'!D76+'前提と出典'!E76))))</ns0:f>
        <ns0:v>86510.9346263078</ns0:v>
      </ns0:c>
      <ns0:c r="O885" s="16">
        <ns0:f>IF('前提と出典'!$C$36+'前提と出典'!$C$38=0,0,'前提と出典'!$B$4*IF('前提と出典'!$B$20=0,MAX('前提と出典'!$B$6,D885*'前提と出典'!$B$5),'前提と出典'!$B$6+D885*'前提と出典'!$B$5))</ns0:f>
        <ns0:v>874818.2346368715</ns0:v>
      </ns0:c>
      <ns0:c r="P885" s="16">
        <ns0:f>(E885+G885)*(1-'前提と出典'!$B$7)-I885-K885-M885-O885</ns0:f>
        <ns0:v>2462333.3117044913</ns0:v>
      </ns0:c>
      <ns0:c r="Q885" s="16">
        <ns0:f>(F885+H885)*(1-'前提と出典'!$B$7)-J885-L885-N885</ns0:f>
        <ns0:v>731752.5142512359</ns0:v>
      </ns0:c>
      <ns0:c r="R885" s="16">
        <ns0:f>P885-E885*'前提と出典'!$E$4</ns0:f>
        <ns0:v>1797916.6980919177</ns0:v>
      </ns0:c>
      <ns0:c r="S885" s="16">
        <ns0:f>Q885-F885*'前提と出典'!$E$4</ns0:f>
        <ns0:v>538690.0298036763</ns0:v>
      </ns0:c>
      <ns0:c r="T885" s="7">
        <ns0:f>R885+S885</ns0:f>
        <ns0:v>2336606.727895594</ns0:v>
      </ns0:c>
      <ns0:c r="U885" s="16">
        <ns0:f>P885-E885*'前提と出典'!$E$5</ns0:f>
        <ns0:v>1576444.4935543933</ns0:v>
      </ns0:c>
      <ns0:c r="V885" s="16">
        <ns0:f>Q885-F885*'前提と出典'!$E$5</ns0:f>
        <ns0:v>474335.86832115636</ns0:v>
      </ns0:c>
      <ns0:c r="W885" s="7">
        <ns0:f>U885+V885</ns0:f>
        <ns0:v>2050780.3618755497</ns0:v>
      </ns0:c>
      <ns0:c r="X885" s="16">
        <ns0:f>P885-E885*'前提と出典'!$E$6</ns0:f>
        <ns0:v>1354972.289016869</ns0:v>
      </ns0:c>
      <ns0:c r="Y885" s="16">
        <ns0:f>Q885-F885*'前提と出典'!$E$6</ns0:f>
        <ns0:v>409981.7068386365</ns0:v>
      </ns0:c>
      <ns0:c r="Z885" s="7">
        <ns0:f>X885+Y885</ns0:f>
        <ns0:v>1764953.9958555053</ns0:v>
      </ns0:c>
      <ns0:c r="AA885" s="7">
        <ns0:f>IF(T885&gt;=0,A885,1001)</ns0:f>
        <ns0:v>881</ns0:v>
      </ns0:c>
      <ns0:c r="AB885" s="7">
        <ns0:f>IF(T885&lt;0,A885,0)</ns0:f>
        <ns0:v>0</ns0:v>
      </ns0:c>
      <ns0:c r="AC885" s="16">
        <ns0:f>IF(AND(OR('前提と出典'!$C$36+'前提と出典'!$C$38=0,R885&gt;=0),OR('前提と出典'!$C$37+'前提と出典'!$C$38=0,S885&gt;=0)),0,A885)</ns0:f>
        <ns0:v>0</ns0:v>
      </ns0:c>
      <ns0:c r="AD885" s="7">
        <ns0:f>IF(W885&gt;=0,A885,1001)</ns0:f>
        <ns0:v>881</ns0:v>
      </ns0:c>
      <ns0:c r="AE885" s="7">
        <ns0:f>IF(W885&lt;0,A885,0)</ns0:f>
        <ns0:v>0</ns0:v>
      </ns0:c>
      <ns0:c r="AF885" s="16">
        <ns0:f>IF(AND(OR('前提と出典'!$C$36+'前提と出典'!$C$38=0,U885&gt;=0),OR('前提と出典'!$C$37+'前提と出典'!$C$38=0,V885&gt;=0)),0,A885)</ns0:f>
        <ns0:v>0</ns0:v>
      </ns0:c>
      <ns0:c r="AG885" s="7">
        <ns0:f>IF(Z885&gt;=0,A885,1001)</ns0:f>
        <ns0:v>881</ns0:v>
      </ns0:c>
      <ns0:c r="AH885" s="4">
        <ns0:f>IF(Z885&lt;0,A885,0)</ns0:f>
        <ns0:v>0</ns0:v>
      </ns0:c>
      <ns0:c r="AI885" s="12">
        <ns0:f>IF(AND(OR('前提と出典'!$C$36+'前提と出典'!$C$38=0,X885&gt;=0),OR('前提と出典'!$C$37+'前提と出典'!$C$38=0,Y885&gt;=0)),0,A885)</ns0:f>
        <ns0:v>0</ns0:v>
      </ns0:c>
    </ns0:row>
    <ns0:row r="886" ht="24" customHeight="1">
      <ns0:c r="A886" s="4" t="n">
        <ns0:v>882</ns0:v>
      </ns0:c>
      <ns0:c r="B886" s="12">
        <ns0:f>A886*('前提と出典'!$C$36+'前提と出典'!$C$38)</ns0:f>
        <ns0:v>617.4</ns0:v>
      </ns0:c>
      <ns0:c r="C886" s="12">
        <ns0:f>A886*('前提と出典'!$C$37+'前提と出典'!$C$38)</ns0:f>
        <ns0:v>529.1999999999999</ns0:v>
      </ns0:c>
      <ns0:c r="D886" s="16">
        <ns0:f>A886*('前提と出典'!$C$36*'契約別単価'!C5+'前提と出典'!$C$37*'契約別単価'!C6+'前提と出典'!$C$38*'契約別単価'!C7)</ns0:f>
        <ns0:v>6346.458100558659</ns0:v>
      </ns0:c>
      <ns0:c r="E886" s="16">
        <ns0:f>A886*('前提と出典'!$C$36*'契約別単価'!E5+'前提と出典'!$C$37*'契約別単価'!E6+'前提と出典'!$C$38*'契約別単価'!E7)</ns0:f>
        <ns0:v>2217235.9182984857</ns0:v>
      </ns0:c>
      <ns0:c r="F886" s="16">
        <ns0:f>A886*('前提と出典'!$C$36*'契約別単価'!F5+'前提と出典'!$C$37*'契約別単価'!F6+'前提と出典'!$C$38*'契約別単価'!F7)</ns0:f>
        <ns0:v>644272.0820383941</ns0:v>
      </ns0:c>
      <ns0:c r="G886" s="16">
        <ns0:f>A886*('前提と出典'!$C$36*'契約別単価'!G5+'前提と出典'!$C$37*'契約別単価'!G6+'前提と出典'!$C$38*'契約別単価'!G7)</ns0:f>
        <ns0:v>1755623.4636871507</ns0:v>
      </ns0:c>
      <ns0:c r="H886" s="16">
        <ns0:f>A886*('前提と出典'!$C$36*'契約別単価'!H5+'前提と出典'!$C$37*'契約別単価'!H6+'前提と出典'!$C$38*'契約別単価'!H7)</ns0:f>
        <ns0:v>609289.3933353919</ns0:v>
      </ns0:c>
      <ns0:c r="I886" s="16">
        <ns0:f>A886*('前提と出典'!$C$36*'契約別単価'!I5+'前提と出典'!$C$37*'契約別単価'!I6+'前提と出典'!$C$38*'契約別単価'!I7)</ns0:f>
        <ns0:v>37216.45810055865</ns0:v>
      </ns0:c>
      <ns0:c r="J886" s="16">
        <ns0:f>A886*('前提と出典'!$C$36*'契約別単価'!J5+'前提と出典'!$C$37*'契約別単価'!J6+'前提と出典'!$C$38*'契約別単価'!J7)</ns0:f>
        <ns0:v>86691.37755248687</ns0:v>
      </ns0:c>
      <ns0:c r="K886" s="16">
        <ns0:f>A886*('前提と出典'!$C$36*'契約別単価'!K5+'前提と出典'!$C$37*'契約別単価'!K6+'前提と出典'!$C$38*'契約別単価'!K7)</ns0:f>
        <ns0:v>371589.72067039105</ns0:v>
      </ns0:c>
      <ns0:c r="L886" s="16">
        <ns0:f>A886*('前提と出典'!$C$36*'契約別単価'!L5+'前提と出典'!$C$37*'契約別単価'!L6+'前提と出典'!$C$38*'契約別単価'!L7)</ns0:f>
        <ns0:v>302549.64644451306</ns0:v>
      </ns0:c>
      <ns0:c r="M886" s="16">
        <ns0:f>IF(('前提と出典'!$C$36+'前提と出典'!$C$38)=0,0,IF(B886&lt;=10,'前提と出典'!B73+'前提と出典'!C73,IF(B886&lt;=100,'前提と出典'!B74+'前提と出典'!C74,IF(B886&lt;=500,'前提と出典'!B75+'前提と出典'!C75,'前提と出典'!B76+'前提と出典'!C76))))</ns0:f>
        <ns0:v>80000</ns0:v>
      </ns0:c>
      <ns0:c r="N886" s="16">
        <ns0:f>IF(('前提と出典'!$C$37+'前提と出典'!$C$38)=0,0,IF(C886&lt;=10,'前提と出典'!D73+'前提と出典'!E73,IF(C886&lt;=100,'前提と出典'!D74+'前提と出典'!E74,IF(C886&lt;=500,'前提と出典'!D75+'前提と出典'!E75,'前提と出典'!D76+'前提と出典'!E76))))</ns0:f>
        <ns0:v>86510.9346263078</ns0:v>
      </ns0:c>
      <ns0:c r="O886" s="16">
        <ns0:f>IF('前提と出典'!$C$36+'前提と出典'!$C$38=0,0,'前提と出典'!$B$4*IF('前提と出典'!$B$20=0,MAX('前提と出典'!$B$6,D886*'前提と出典'!$B$5),'前提と出典'!$B$6+D886*'前提と出典'!$B$5))</ns0:f>
        <ns0:v>875811.217877095</ns0:v>
      </ns0:c>
      <ns0:c r="P886" s="16">
        <ns0:f>(E886+G886)*(1-'前提と出典'!$B$7)-I886-K886-M886-O886</ns0:f>
        <ns0:v>2465219.047586109</ns0:v>
      </ns0:c>
      <ns0:c r="Q886" s="16">
        <ns0:f>(F886+H886)*(1-'前提と出典'!$B$7)-J886-L886-N886</ns0:f>
        <ns0:v>732681.303637022</ns0:v>
      </ns0:c>
      <ns0:c r="R886" s="16">
        <ns0:f>P886-E886*'前提と出典'!$E$4</ns0:f>
        <ns0:v>1800048.2720965636</ns0:v>
      </ns0:c>
      <ns0:c r="S886" s="16">
        <ns0:f>Q886-F886*'前提と出典'!$E$4</ns0:f>
        <ns0:v>539399.6790255038</ns0:v>
      </ns0:c>
      <ns0:c r="T886" s="7">
        <ns0:f>R886+S886</ns0:f>
        <ns0:v>2339447.9511220674</ns0:v>
      </ns0:c>
      <ns0:c r="U886" s="16">
        <ns0:f>P886-E886*'前提と出典'!$E$5</ns0:f>
        <ns0:v>1578324.6802667147</ns0:v>
      </ns0:c>
      <ns0:c r="V886" s="16">
        <ns0:f>Q886-F886*'前提と出典'!$E$5</ns0:f>
        <ns0:v>474972.47082166444</ns0:v>
      </ns0:c>
      <ns0:c r="W886" s="7">
        <ns0:f>U886+V886</ns0:f>
        <ns0:v>2053297.151088379</ns0:v>
      </ns0:c>
      <ns0:c r="X886" s="16">
        <ns0:f>P886-E886*'前提と出典'!$E$6</ns0:f>
        <ns0:v>1356601.0884368662</ns0:v>
      </ns0:c>
      <ns0:c r="Y886" s="16">
        <ns0:f>Q886-F886*'前提と出典'!$E$6</ns0:f>
        <ns0:v>410545.2626178249</ns0:v>
      </ns0:c>
      <ns0:c r="Z886" s="7">
        <ns0:f>X886+Y886</ns0:f>
        <ns0:v>1767146.351054691</ns0:v>
      </ns0:c>
      <ns0:c r="AA886" s="7">
        <ns0:f>IF(T886&gt;=0,A886,1001)</ns0:f>
        <ns0:v>882</ns0:v>
      </ns0:c>
      <ns0:c r="AB886" s="7">
        <ns0:f>IF(T886&lt;0,A886,0)</ns0:f>
        <ns0:v>0</ns0:v>
      </ns0:c>
      <ns0:c r="AC886" s="16">
        <ns0:f>IF(AND(OR('前提と出典'!$C$36+'前提と出典'!$C$38=0,R886&gt;=0),OR('前提と出典'!$C$37+'前提と出典'!$C$38=0,S886&gt;=0)),0,A886)</ns0:f>
        <ns0:v>0</ns0:v>
      </ns0:c>
      <ns0:c r="AD886" s="7">
        <ns0:f>IF(W886&gt;=0,A886,1001)</ns0:f>
        <ns0:v>882</ns0:v>
      </ns0:c>
      <ns0:c r="AE886" s="7">
        <ns0:f>IF(W886&lt;0,A886,0)</ns0:f>
        <ns0:v>0</ns0:v>
      </ns0:c>
      <ns0:c r="AF886" s="16">
        <ns0:f>IF(AND(OR('前提と出典'!$C$36+'前提と出典'!$C$38=0,U886&gt;=0),OR('前提と出典'!$C$37+'前提と出典'!$C$38=0,V886&gt;=0)),0,A886)</ns0:f>
        <ns0:v>0</ns0:v>
      </ns0:c>
      <ns0:c r="AG886" s="7">
        <ns0:f>IF(Z886&gt;=0,A886,1001)</ns0:f>
        <ns0:v>882</ns0:v>
      </ns0:c>
      <ns0:c r="AH886" s="4">
        <ns0:f>IF(Z886&lt;0,A886,0)</ns0:f>
        <ns0:v>0</ns0:v>
      </ns0:c>
      <ns0:c r="AI886" s="12">
        <ns0:f>IF(AND(OR('前提と出典'!$C$36+'前提と出典'!$C$38=0,X886&gt;=0),OR('前提と出典'!$C$37+'前提と出典'!$C$38=0,Y886&gt;=0)),0,A886)</ns0:f>
        <ns0:v>0</ns0:v>
      </ns0:c>
    </ns0:row>
    <ns0:row r="887" ht="24" customHeight="1">
      <ns0:c r="A887" s="4" t="n">
        <ns0:v>883</ns0:v>
      </ns0:c>
      <ns0:c r="B887" s="12">
        <ns0:f>A887*('前提と出典'!$C$36+'前提と出典'!$C$38)</ns0:f>
        <ns0:v>618.0999999999999</ns0:v>
      </ns0:c>
      <ns0:c r="C887" s="12">
        <ns0:f>A887*('前提と出典'!$C$37+'前提と出典'!$C$38)</ns0:f>
        <ns0:v>529.8</ns0:v>
      </ns0:c>
      <ns0:c r="D887" s="16">
        <ns0:f>A887*('前提と出典'!$C$36*'契約別単価'!C5+'前提と出典'!$C$37*'契約別単価'!C6+'前提と出典'!$C$38*'契約別単価'!C7)</ns0:f>
        <ns0:v>6353.653631284916</ns0:v>
      </ns0:c>
      <ns0:c r="E887" s="16">
        <ns0:f>A887*('前提と出典'!$C$36*'契約別単価'!E5+'前提と出典'!$C$37*'契約別単価'!E6+'前提と出典'!$C$38*'契約別単価'!E7)</ns0:f>
        <ns0:v>2219749.791221726</ns0:v>
      </ns0:c>
      <ns0:c r="F887" s="16">
        <ns0:f>A887*('前提と出典'!$C$36*'契約別単価'!F5+'前提と出典'!$C$37*'契約別単価'!F6+'前提と出典'!$C$38*'契約別単価'!F7)</ns0:f>
        <ns0:v>645002.5492515896</ns0:v>
      </ns0:c>
      <ns0:c r="G887" s="16">
        <ns0:f>A887*('前提と出典'!$C$36*'契約別単価'!G5+'前提と出典'!$C$37*'契約別単価'!G6+'前提と出典'!$C$38*'契約別単価'!G7)</ns0:f>
        <ns0:v>1757613.9664804467</ns0:v>
      </ns0:c>
      <ns0:c r="H887" s="16">
        <ns0:f>A887*('前提と出典'!$C$36*'契約別単価'!H5+'前提と出典'!$C$37*'契約別単価'!H6+'前提と出典'!$C$38*'契約別単価'!H7)</ns0:f>
        <ns0:v>609980.1976362257</ns0:v>
      </ns0:c>
      <ns0:c r="I887" s="16">
        <ns0:f>A887*('前提と出典'!$C$36*'契約別単価'!I5+'前提と出典'!$C$37*'契約別単価'!I6+'前提と出典'!$C$38*'契約別単価'!I7)</ns0:f>
        <ns0:v>37258.65363128491</ns0:v>
      </ns0:c>
      <ns0:c r="J887" s="16">
        <ns0:f>A887*('前提と出典'!$C$36*'契約別単価'!J5+'前提と出典'!$C$37*'契約別単価'!J6+'前提と出典'!$C$38*'契約別単価'!J7)</ns0:f>
        <ns0:v>86789.66709619717</ns0:v>
      </ns0:c>
      <ns0:c r="K887" s="16">
        <ns0:f>A887*('前提と出典'!$C$36*'契約別単価'!K5+'前提と出典'!$C$37*'契約別単価'!K6+'前提と出典'!$C$38*'契約別単価'!K7)</ns0:f>
        <ns0:v>372011.02420856606</ns0:v>
      </ns0:c>
      <ns0:c r="L887" s="16">
        <ns0:f>A887*('前提と出典'!$C$36*'契約別単価'!L5+'前提と出典'!$C$37*'契約別単価'!L6+'前提と出典'!$C$38*'契約別単価'!L7)</ns0:f>
        <ns0:v>302892.67325454083</ns0:v>
      </ns0:c>
      <ns0:c r="M887" s="16">
        <ns0:f>IF(('前提と出典'!$C$36+'前提と出典'!$C$38)=0,0,IF(B887&lt;=10,'前提と出典'!B73+'前提と出典'!C73,IF(B887&lt;=100,'前提と出典'!B74+'前提と出典'!C74,IF(B887&lt;=500,'前提と出典'!B75+'前提と出典'!C75,'前提と出典'!B76+'前提と出典'!C76))))</ns0:f>
        <ns0:v>80000</ns0:v>
      </ns0:c>
      <ns0:c r="N887" s="16">
        <ns0:f>IF(('前提と出典'!$C$37+'前提と出典'!$C$38)=0,0,IF(C887&lt;=10,'前提と出典'!D73+'前提と出典'!E73,IF(C887&lt;=100,'前提と出典'!D74+'前提と出典'!E74,IF(C887&lt;=500,'前提と出典'!D75+'前提と出典'!E75,'前提と出典'!D76+'前提と出典'!E76))))</ns0:f>
        <ns0:v>86510.9346263078</ns0:v>
      </ns0:c>
      <ns0:c r="O887" s="16">
        <ns0:f>IF('前提と出典'!$C$36+'前提と出典'!$C$38=0,0,'前提と出典'!$B$4*IF('前提と出典'!$B$20=0,MAX('前提と出典'!$B$6,D887*'前提と出典'!$B$5),'前提と出典'!$B$6+D887*'前提と出典'!$B$5))</ns0:f>
        <ns0:v>876804.2011173185</ns0:v>
      </ns0:c>
      <ns0:c r="P887" s="16">
        <ns0:f>(E887+G887)*(1-'前提と出典'!$B$7)-I887-K887-M887-O887</ns0:f>
        <ns0:v>2468104.783467725</ns0:v>
      </ns0:c>
      <ns0:c r="Q887" s="16">
        <ns0:f>(F887+H887)*(1-'前提と出典'!$B$7)-J887-L887-N887</ns0:f>
        <ns0:v>733610.0930228081</ns0:v>
      </ns0:c>
      <ns0:c r="R887" s="16">
        <ns0:f>P887-E887*'前提と出典'!$E$4</ns0:f>
        <ns0:v>1802179.8461012072</ns0:v>
      </ns0:c>
      <ns0:c r="S887" s="16">
        <ns0:f>Q887-F887*'前提と出典'!$E$4</ns0:f>
        <ns0:v>540109.3282473311</ns0:v>
      </ns0:c>
      <ns0:c r="T887" s="7">
        <ns0:f>R887+S887</ns0:f>
        <ns0:v>2342289.1743485383</ns0:v>
      </ns0:c>
      <ns0:c r="U887" s="16">
        <ns0:f>P887-E887*'前提と出典'!$E$5</ns0:f>
        <ns0:v>1580204.8669790346</ns0:v>
      </ns0:c>
      <ns0:c r="V887" s="16">
        <ns0:f>Q887-F887*'前提と出典'!$E$5</ns0:f>
        <ns0:v>475609.0733221723</ns0:v>
      </ns0:c>
      <ns0:c r="W887" s="7">
        <ns0:f>U887+V887</ns0:f>
        <ns0:v>2055813.940301207</ns0:v>
      </ns0:c>
      <ns0:c r="X887" s="16">
        <ns0:f>P887-E887*'前提と出典'!$E$6</ns0:f>
        <ns0:v>1358229.8878568616</ns0:v>
      </ns0:c>
      <ns0:c r="Y887" s="16">
        <ns0:f>Q887-F887*'前提と出典'!$E$6</ns0:f>
        <ns0:v>411108.8183970133</ns0:v>
      </ns0:c>
      <ns0:c r="Z887" s="7">
        <ns0:f>X887+Y887</ns0:f>
        <ns0:v>1769338.7062538748</ns0:v>
      </ns0:c>
      <ns0:c r="AA887" s="7">
        <ns0:f>IF(T887&gt;=0,A887,1001)</ns0:f>
        <ns0:v>883</ns0:v>
      </ns0:c>
      <ns0:c r="AB887" s="7">
        <ns0:f>IF(T887&lt;0,A887,0)</ns0:f>
        <ns0:v>0</ns0:v>
      </ns0:c>
      <ns0:c r="AC887" s="16">
        <ns0:f>IF(AND(OR('前提と出典'!$C$36+'前提と出典'!$C$38=0,R887&gt;=0),OR('前提と出典'!$C$37+'前提と出典'!$C$38=0,S887&gt;=0)),0,A887)</ns0:f>
        <ns0:v>0</ns0:v>
      </ns0:c>
      <ns0:c r="AD887" s="7">
        <ns0:f>IF(W887&gt;=0,A887,1001)</ns0:f>
        <ns0:v>883</ns0:v>
      </ns0:c>
      <ns0:c r="AE887" s="7">
        <ns0:f>IF(W887&lt;0,A887,0)</ns0:f>
        <ns0:v>0</ns0:v>
      </ns0:c>
      <ns0:c r="AF887" s="16">
        <ns0:f>IF(AND(OR('前提と出典'!$C$36+'前提と出典'!$C$38=0,U887&gt;=0),OR('前提と出典'!$C$37+'前提と出典'!$C$38=0,V887&gt;=0)),0,A887)</ns0:f>
        <ns0:v>0</ns0:v>
      </ns0:c>
      <ns0:c r="AG887" s="7">
        <ns0:f>IF(Z887&gt;=0,A887,1001)</ns0:f>
        <ns0:v>883</ns0:v>
      </ns0:c>
      <ns0:c r="AH887" s="4">
        <ns0:f>IF(Z887&lt;0,A887,0)</ns0:f>
        <ns0:v>0</ns0:v>
      </ns0:c>
      <ns0:c r="AI887" s="12">
        <ns0:f>IF(AND(OR('前提と出典'!$C$36+'前提と出典'!$C$38=0,X887&gt;=0),OR('前提と出典'!$C$37+'前提と出典'!$C$38=0,Y887&gt;=0)),0,A887)</ns0:f>
        <ns0:v>0</ns0:v>
      </ns0:c>
    </ns0:row>
    <ns0:row r="888" ht="24" customHeight="1">
      <ns0:c r="A888" s="4" t="n">
        <ns0:v>884</ns0:v>
      </ns0:c>
      <ns0:c r="B888" s="12">
        <ns0:f>A888*('前提と出典'!$C$36+'前提と出典'!$C$38)</ns0:f>
        <ns0:v>618.8</ns0:v>
      </ns0:c>
      <ns0:c r="C888" s="12">
        <ns0:f>A888*('前提と出典'!$C$37+'前提と出典'!$C$38)</ns0:f>
        <ns0:v>530.4</ns0:v>
      </ns0:c>
      <ns0:c r="D888" s="16">
        <ns0:f>A888*('前提と出典'!$C$36*'契約別単価'!C5+'前提と出典'!$C$37*'契約別単価'!C6+'前提と出典'!$C$38*'契約別単価'!C7)</ns0:f>
        <ns0:v>6360.849162011174</ns0:v>
      </ns0:c>
      <ns0:c r="E888" s="16">
        <ns0:f>A888*('前提と出典'!$C$36*'契約別単価'!E5+'前提と出典'!$C$37*'契約別単価'!E6+'前提と出典'!$C$38*'契約別単価'!E7)</ns0:f>
        <ns0:v>2222263.664144967</ns0:v>
      </ns0:c>
      <ns0:c r="F888" s="16">
        <ns0:f>A888*('前提と出典'!$C$36*'契約別単価'!F5+'前提と出典'!$C$37*'契約別単価'!F6+'前提と出典'!$C$38*'契約別単価'!F7)</ns0:f>
        <ns0:v>645733.016464785</ns0:v>
      </ns0:c>
      <ns0:c r="G888" s="16">
        <ns0:f>A888*('前提と出典'!$C$36*'契約別単価'!G5+'前提と出典'!$C$37*'契約別単価'!G6+'前提と出典'!$C$38*'契約別単価'!G7)</ns0:f>
        <ns0:v>1759604.469273743</ns0:v>
      </ns0:c>
      <ns0:c r="H888" s="16">
        <ns0:f>A888*('前提と出典'!$C$36*'契約別単価'!H5+'前提と出典'!$C$37*'契約別単価'!H6+'前提と出典'!$C$38*'契約別単価'!H7)</ns0:f>
        <ns0:v>610671.0019370595</ns0:v>
      </ns0:c>
      <ns0:c r="I888" s="16">
        <ns0:f>A888*('前提と出典'!$C$36*'契約別単価'!I5+'前提と出典'!$C$37*'契約別単価'!I6+'前提と出典'!$C$38*'契約別単価'!I7)</ns0:f>
        <ns0:v>37300.84916201117</ns0:v>
      </ns0:c>
      <ns0:c r="J888" s="16">
        <ns0:f>A888*('前提と出典'!$C$36*'契約別単価'!J5+'前提と出典'!$C$37*'契約別単価'!J6+'前提と出典'!$C$38*'契約別単価'!J7)</ns0:f>
        <ns0:v>86887.95663990747</ns0:v>
      </ns0:c>
      <ns0:c r="K888" s="16">
        <ns0:f>A888*('前提と出典'!$C$36*'契約別単価'!K5+'前提と出典'!$C$37*'契約別単価'!K6+'前提と出典'!$C$38*'契約別単価'!K7)</ns0:f>
        <ns0:v>372432.3277467411</ns0:v>
      </ns0:c>
      <ns0:c r="L888" s="16">
        <ns0:f>A888*('前提と出典'!$C$36*'契約別単価'!L5+'前提と出典'!$C$37*'契約別単価'!L6+'前提と出典'!$C$38*'契約別単価'!L7)</ns0:f>
        <ns0:v>303235.70006456866</ns0:v>
      </ns0:c>
      <ns0:c r="M888" s="16">
        <ns0:f>IF(('前提と出典'!$C$36+'前提と出典'!$C$38)=0,0,IF(B888&lt;=10,'前提と出典'!B73+'前提と出典'!C73,IF(B888&lt;=100,'前提と出典'!B74+'前提と出典'!C74,IF(B888&lt;=500,'前提と出典'!B75+'前提と出典'!C75,'前提と出典'!B76+'前提と出典'!C76))))</ns0:f>
        <ns0:v>80000</ns0:v>
      </ns0:c>
      <ns0:c r="N888" s="16">
        <ns0:f>IF(('前提と出典'!$C$37+'前提と出典'!$C$38)=0,0,IF(C888&lt;=10,'前提と出典'!D73+'前提と出典'!E73,IF(C888&lt;=100,'前提と出典'!D74+'前提と出典'!E74,IF(C888&lt;=500,'前提と出典'!D75+'前提と出典'!E75,'前提と出典'!D76+'前提と出典'!E76))))</ns0:f>
        <ns0:v>86510.9346263078</ns0:v>
      </ns0:c>
      <ns0:c r="O888" s="16">
        <ns0:f>IF('前提と出典'!$C$36+'前提と出典'!$C$38=0,0,'前提と出典'!$B$4*IF('前提と出典'!$B$20=0,MAX('前提と出典'!$B$6,D888*'前提と出典'!$B$5),'前提と出典'!$B$6+D888*'前提と出典'!$B$5))</ns0:f>
        <ns0:v>877797.184357542</ns0:v>
      </ns0:c>
      <ns0:c r="P888" s="16">
        <ns0:f>(E888+G888)*(1-'前提と出典'!$B$7)-I888-K888-M888-O888</ns0:f>
        <ns0:v>2470990.519349342</ns0:v>
      </ns0:c>
      <ns0:c r="Q888" s="16">
        <ns0:f>(F888+H888)*(1-'前提と出典'!$B$7)-J888-L888-N888</ns0:f>
        <ns0:v>734538.8824085941</ns0:v>
      </ns0:c>
      <ns0:c r="R888" s="16">
        <ns0:f>P888-E888*'前提と出典'!$E$4</ns0:f>
        <ns0:v>1804311.4201058522</ns0:v>
      </ns0:c>
      <ns0:c r="S888" s="16">
        <ns0:f>Q888-F888*'前提と出典'!$E$4</ns0:f>
        <ns0:v>540818.9774691587</ns0:v>
      </ns0:c>
      <ns0:c r="T888" s="7">
        <ns0:f>R888+S888</ns0:f>
        <ns0:v>2345130.397575011</ns0:v>
      </ns0:c>
      <ns0:c r="U888" s="16">
        <ns0:f>P888-E888*'前提と出典'!$E$5</ns0:f>
        <ns0:v>1582085.0536913555</ns0:v>
      </ns0:c>
      <ns0:c r="V888" s="16">
        <ns0:f>Q888-F888*'前提と出典'!$E$5</ns0:f>
        <ns0:v>476245.6758226801</ns0:v>
      </ns0:c>
      <ns0:c r="W888" s="7">
        <ns0:f>U888+V888</ns0:f>
        <ns0:v>2058330.7295140356</ns0:v>
      </ns0:c>
      <ns0:c r="X888" s="16">
        <ns0:f>P888-E888*'前提と出典'!$E$6</ns0:f>
        <ns0:v>1359858.6872768588</ns0:v>
      </ns0:c>
      <ns0:c r="Y888" s="16">
        <ns0:f>Q888-F888*'前提と出典'!$E$6</ns0:f>
        <ns0:v>411672.37417620164</ns0:v>
      </ns0:c>
      <ns0:c r="Z888" s="7">
        <ns0:f>X888+Y888</ns0:f>
        <ns0:v>1771531.0614530605</ns0:v>
      </ns0:c>
      <ns0:c r="AA888" s="7">
        <ns0:f>IF(T888&gt;=0,A888,1001)</ns0:f>
        <ns0:v>884</ns0:v>
      </ns0:c>
      <ns0:c r="AB888" s="7">
        <ns0:f>IF(T888&lt;0,A888,0)</ns0:f>
        <ns0:v>0</ns0:v>
      </ns0:c>
      <ns0:c r="AC888" s="16">
        <ns0:f>IF(AND(OR('前提と出典'!$C$36+'前提と出典'!$C$38=0,R888&gt;=0),OR('前提と出典'!$C$37+'前提と出典'!$C$38=0,S888&gt;=0)),0,A888)</ns0:f>
        <ns0:v>0</ns0:v>
      </ns0:c>
      <ns0:c r="AD888" s="7">
        <ns0:f>IF(W888&gt;=0,A888,1001)</ns0:f>
        <ns0:v>884</ns0:v>
      </ns0:c>
      <ns0:c r="AE888" s="7">
        <ns0:f>IF(W888&lt;0,A888,0)</ns0:f>
        <ns0:v>0</ns0:v>
      </ns0:c>
      <ns0:c r="AF888" s="16">
        <ns0:f>IF(AND(OR('前提と出典'!$C$36+'前提と出典'!$C$38=0,U888&gt;=0),OR('前提と出典'!$C$37+'前提と出典'!$C$38=0,V888&gt;=0)),0,A888)</ns0:f>
        <ns0:v>0</ns0:v>
      </ns0:c>
      <ns0:c r="AG888" s="7">
        <ns0:f>IF(Z888&gt;=0,A888,1001)</ns0:f>
        <ns0:v>884</ns0:v>
      </ns0:c>
      <ns0:c r="AH888" s="4">
        <ns0:f>IF(Z888&lt;0,A888,0)</ns0:f>
        <ns0:v>0</ns0:v>
      </ns0:c>
      <ns0:c r="AI888" s="12">
        <ns0:f>IF(AND(OR('前提と出典'!$C$36+'前提と出典'!$C$38=0,X888&gt;=0),OR('前提と出典'!$C$37+'前提と出典'!$C$38=0,Y888&gt;=0)),0,A888)</ns0:f>
        <ns0:v>0</ns0:v>
      </ns0:c>
    </ns0:row>
    <ns0:row r="889" ht="24" customHeight="1">
      <ns0:c r="A889" s="4" t="n">
        <ns0:v>885</ns0:v>
      </ns0:c>
      <ns0:c r="B889" s="12">
        <ns0:f>A889*('前提と出典'!$C$36+'前提と出典'!$C$38)</ns0:f>
        <ns0:v>619.5</ns0:v>
      </ns0:c>
      <ns0:c r="C889" s="12">
        <ns0:f>A889*('前提と出典'!$C$37+'前提と出典'!$C$38)</ns0:f>
        <ns0:v>531</ns0:v>
      </ns0:c>
      <ns0:c r="D889" s="16">
        <ns0:f>A889*('前提と出典'!$C$36*'契約別単価'!C5+'前提と出典'!$C$37*'契約別単価'!C6+'前提と出典'!$C$38*'契約別単価'!C7)</ns0:f>
        <ns0:v>6368.0446927374305</ns0:v>
      </ns0:c>
      <ns0:c r="E889" s="16">
        <ns0:f>A889*('前提と出典'!$C$36*'契約別単価'!E5+'前提と出典'!$C$37*'契約別単価'!E6+'前提と出典'!$C$38*'契約別単価'!E7)</ns0:f>
        <ns0:v>2224777.537068208</ns0:v>
      </ns0:c>
      <ns0:c r="F889" s="16">
        <ns0:f>A889*('前提と出典'!$C$36*'契約別単価'!F5+'前提と出典'!$C$37*'契約別単価'!F6+'前提と出典'!$C$38*'契約別単価'!F7)</ns0:f>
        <ns0:v>646463.4836779805</ns0:v>
      </ns0:c>
      <ns0:c r="G889" s="16">
        <ns0:f>A889*('前提と出典'!$C$36*'契約別単価'!G5+'前提と出典'!$C$37*'契約別単価'!G6+'前提と出典'!$C$38*'契約別単価'!G7)</ns0:f>
        <ns0:v>1761594.972067039</ns0:v>
      </ns0:c>
      <ns0:c r="H889" s="16">
        <ns0:f>A889*('前提と出典'!$C$36*'契約別単価'!H5+'前提と出典'!$C$37*'契約別単価'!H6+'前提と出典'!$C$38*'契約別単価'!H7)</ns0:f>
        <ns0:v>611361.8062378933</ns0:v>
      </ns0:c>
      <ns0:c r="I889" s="16">
        <ns0:f>A889*('前提と出典'!$C$36*'契約別単価'!I5+'前提と出典'!$C$37*'契約別単価'!I6+'前提と出典'!$C$38*'契約別単価'!I7)</ns0:f>
        <ns0:v>37343.04469273742</ns0:v>
      </ns0:c>
      <ns0:c r="J889" s="16">
        <ns0:f>A889*('前提と出典'!$C$36*'契約別単価'!J5+'前提と出典'!$C$37*'契約別単価'!J6+'前提と出典'!$C$38*'契約別単価'!J7)</ns0:f>
        <ns0:v>86986.24618361777</ns0:v>
      </ns0:c>
      <ns0:c r="K889" s="16">
        <ns0:f>A889*('前提と出典'!$C$36*'契約別単価'!K5+'前提と出典'!$C$37*'契約別単価'!K6+'前提と出典'!$C$38*'契約別単価'!K7)</ns0:f>
        <ns0:v>372853.6312849162</ns0:v>
      </ns0:c>
      <ns0:c r="L889" s="16">
        <ns0:f>A889*('前提と出典'!$C$36*'契約別単価'!L5+'前提と出典'!$C$37*'契約別単価'!L6+'前提と出典'!$C$38*'契約別単価'!L7)</ns0:f>
        <ns0:v>303578.72687459644</ns0:v>
      </ns0:c>
      <ns0:c r="M889" s="16">
        <ns0:f>IF(('前提と出典'!$C$36+'前提と出典'!$C$38)=0,0,IF(B889&lt;=10,'前提と出典'!B73+'前提と出典'!C73,IF(B889&lt;=100,'前提と出典'!B74+'前提と出典'!C74,IF(B889&lt;=500,'前提と出典'!B75+'前提と出典'!C75,'前提と出典'!B76+'前提と出典'!C76))))</ns0:f>
        <ns0:v>80000</ns0:v>
      </ns0:c>
      <ns0:c r="N889" s="16">
        <ns0:f>IF(('前提と出典'!$C$37+'前提と出典'!$C$38)=0,0,IF(C889&lt;=10,'前提と出典'!D73+'前提と出典'!E73,IF(C889&lt;=100,'前提と出典'!D74+'前提と出典'!E74,IF(C889&lt;=500,'前提と出典'!D75+'前提と出典'!E75,'前提と出典'!D76+'前提と出典'!E76))))</ns0:f>
        <ns0:v>86510.9346263078</ns0:v>
      </ns0:c>
      <ns0:c r="O889" s="16">
        <ns0:f>IF('前提と出典'!$C$36+'前提と出典'!$C$38=0,0,'前提と出典'!$B$4*IF('前提と出典'!$B$20=0,MAX('前提と出典'!$B$6,D889*'前提と出典'!$B$5),'前提と出典'!$B$6+D889*'前提と出典'!$B$5))</ns0:f>
        <ns0:v>878790.1675977655</ns0:v>
      </ns0:c>
      <ns0:c r="P889" s="16">
        <ns0:f>(E889+G889)*(1-'前提と出典'!$B$7)-I889-K889-M889-O889</ns0:f>
        <ns0:v>2473876.2552309595</ns0:v>
      </ns0:c>
      <ns0:c r="Q889" s="16">
        <ns0:f>(F889+H889)*(1-'前提と出典'!$B$7)-J889-L889-N889</ns0:f>
        <ns0:v>735467.6717943802</ns0:v>
      </ns0:c>
      <ns0:c r="R889" s="16">
        <ns0:f>P889-E889*'前提と出典'!$E$4</ns0:f>
        <ns0:v>1806442.9941104967</ns0:v>
      </ns0:c>
      <ns0:c r="S889" s="16">
        <ns0:f>Q889-F889*'前提と出典'!$E$4</ns0:f>
        <ns0:v>541528.6266909861</ns0:v>
      </ns0:c>
      <ns0:c r="T889" s="7">
        <ns0:f>R889+S889</ns0:f>
        <ns0:v>2347971.620801483</ns0:v>
      </ns0:c>
      <ns0:c r="U889" s="16">
        <ns0:f>P889-E889*'前提と出典'!$E$5</ns0:f>
        <ns0:v>1583965.240403676</ns0:v>
      </ns0:c>
      <ns0:c r="V889" s="16">
        <ns0:f>Q889-F889*'前提と出典'!$E$5</ns0:f>
        <ns0:v>476882.27832318796</ns0:v>
      </ns0:c>
      <ns0:c r="W889" s="7">
        <ns0:f>U889+V889</ns0:f>
        <ns0:v>2060847.518726864</ns0:v>
      </ns0:c>
      <ns0:c r="X889" s="16">
        <ns0:f>P889-E889*'前提と出典'!$E$6</ns0:f>
        <ns0:v>1361487.4866968547</ns0:v>
      </ns0:c>
      <ns0:c r="Y889" s="16">
        <ns0:f>Q889-F889*'前提と出典'!$E$6</ns0:f>
        <ns0:v>412235.92995539005</ns0:v>
      </ns0:c>
      <ns0:c r="Z889" s="7">
        <ns0:f>X889+Y889</ns0:f>
        <ns0:v>1773723.4166522447</ns0:v>
      </ns0:c>
      <ns0:c r="AA889" s="7">
        <ns0:f>IF(T889&gt;=0,A889,1001)</ns0:f>
        <ns0:v>885</ns0:v>
      </ns0:c>
      <ns0:c r="AB889" s="7">
        <ns0:f>IF(T889&lt;0,A889,0)</ns0:f>
        <ns0:v>0</ns0:v>
      </ns0:c>
      <ns0:c r="AC889" s="16">
        <ns0:f>IF(AND(OR('前提と出典'!$C$36+'前提と出典'!$C$38=0,R889&gt;=0),OR('前提と出典'!$C$37+'前提と出典'!$C$38=0,S889&gt;=0)),0,A889)</ns0:f>
        <ns0:v>0</ns0:v>
      </ns0:c>
      <ns0:c r="AD889" s="7">
        <ns0:f>IF(W889&gt;=0,A889,1001)</ns0:f>
        <ns0:v>885</ns0:v>
      </ns0:c>
      <ns0:c r="AE889" s="7">
        <ns0:f>IF(W889&lt;0,A889,0)</ns0:f>
        <ns0:v>0</ns0:v>
      </ns0:c>
      <ns0:c r="AF889" s="16">
        <ns0:f>IF(AND(OR('前提と出典'!$C$36+'前提と出典'!$C$38=0,U889&gt;=0),OR('前提と出典'!$C$37+'前提と出典'!$C$38=0,V889&gt;=0)),0,A889)</ns0:f>
        <ns0:v>0</ns0:v>
      </ns0:c>
      <ns0:c r="AG889" s="7">
        <ns0:f>IF(Z889&gt;=0,A889,1001)</ns0:f>
        <ns0:v>885</ns0:v>
      </ns0:c>
      <ns0:c r="AH889" s="4">
        <ns0:f>IF(Z889&lt;0,A889,0)</ns0:f>
        <ns0:v>0</ns0:v>
      </ns0:c>
      <ns0:c r="AI889" s="12">
        <ns0:f>IF(AND(OR('前提と出典'!$C$36+'前提と出典'!$C$38=0,X889&gt;=0),OR('前提と出典'!$C$37+'前提と出典'!$C$38=0,Y889&gt;=0)),0,A889)</ns0:f>
        <ns0:v>0</ns0:v>
      </ns0:c>
    </ns0:row>
    <ns0:row r="890" ht="24" customHeight="1">
      <ns0:c r="A890" s="4" t="n">
        <ns0:v>886</ns0:v>
      </ns0:c>
      <ns0:c r="B890" s="12">
        <ns0:f>A890*('前提と出典'!$C$36+'前提と出典'!$C$38)</ns0:f>
        <ns0:v>620.1999999999999</ns0:v>
      </ns0:c>
      <ns0:c r="C890" s="12">
        <ns0:f>A890*('前提と出典'!$C$37+'前提と出典'!$C$38)</ns0:f>
        <ns0:v>531.6</ns0:v>
      </ns0:c>
      <ns0:c r="D890" s="16">
        <ns0:f>A890*('前提と出典'!$C$36*'契約別単価'!C5+'前提と出典'!$C$37*'契約別単価'!C6+'前提と出典'!$C$38*'契約別単価'!C7)</ns0:f>
        <ns0:v>6375.2402234636875</ns0:v>
      </ns0:c>
      <ns0:c r="E890" s="16">
        <ns0:f>A890*('前提と出典'!$C$36*'契約別単価'!E5+'前提と出典'!$C$37*'契約別単価'!E6+'前提と出典'!$C$38*'契約別単価'!E7)</ns0:f>
        <ns0:v>2227291.409991449</ns0:v>
      </ns0:c>
      <ns0:c r="F890" s="16">
        <ns0:f>A890*('前提と出典'!$C$36*'契約別単価'!F5+'前提と出典'!$C$37*'契約別単価'!F6+'前提と出典'!$C$38*'契約別単価'!F7)</ns0:f>
        <ns0:v>647193.9508911759</ns0:v>
      </ns0:c>
      <ns0:c r="G890" s="16">
        <ns0:f>A890*('前提と出典'!$C$36*'契約別単価'!G5+'前提と出典'!$C$37*'契約別単価'!G6+'前提と出典'!$C$38*'契約別単価'!G7)</ns0:f>
        <ns0:v>1763585.474860335</ns0:v>
      </ns0:c>
      <ns0:c r="H890" s="16">
        <ns0:f>A890*('前提と出典'!$C$36*'契約別単価'!H5+'前提と出典'!$C$37*'契約別単価'!H6+'前提と出典'!$C$38*'契約別単価'!H7)</ns0:f>
        <ns0:v>612052.610538727</ns0:v>
      </ns0:c>
      <ns0:c r="I890" s="16">
        <ns0:f>A890*('前提と出典'!$C$36*'契約別単価'!I5+'前提と出典'!$C$37*'契約別単価'!I6+'前提と出典'!$C$38*'契約別単価'!I7)</ns0:f>
        <ns0:v>37385.24022346368</ns0:v>
      </ns0:c>
      <ns0:c r="J890" s="16">
        <ns0:f>A890*('前提と出典'!$C$36*'契約別単価'!J5+'前提と出典'!$C$37*'契約別単価'!J6+'前提と出典'!$C$38*'契約別単価'!J7)</ns0:f>
        <ns0:v>87084.53572732807</ns0:v>
      </ns0:c>
      <ns0:c r="K890" s="16">
        <ns0:f>A890*('前提と出典'!$C$36*'契約別単価'!K5+'前提と出典'!$C$37*'契約別単価'!K6+'前提と出典'!$C$38*'契約別単価'!K7)</ns0:f>
        <ns0:v>373274.9348230912</ns0:v>
      </ns0:c>
      <ns0:c r="L890" s="16">
        <ns0:f>A890*('前提と出典'!$C$36*'契約別単価'!L5+'前提と出典'!$C$37*'契約別単価'!L6+'前提と出典'!$C$38*'契約別単価'!L7)</ns0:f>
        <ns0:v>303921.7536846242</ns0:v>
      </ns0:c>
      <ns0:c r="M890" s="16">
        <ns0:f>IF(('前提と出典'!$C$36+'前提と出典'!$C$38)=0,0,IF(B890&lt;=10,'前提と出典'!B73+'前提と出典'!C73,IF(B890&lt;=100,'前提と出典'!B74+'前提と出典'!C74,IF(B890&lt;=500,'前提と出典'!B75+'前提と出典'!C75,'前提と出典'!B76+'前提と出典'!C76))))</ns0:f>
        <ns0:v>80000</ns0:v>
      </ns0:c>
      <ns0:c r="N890" s="16">
        <ns0:f>IF(('前提と出典'!$C$37+'前提と出典'!$C$38)=0,0,IF(C890&lt;=10,'前提と出典'!D73+'前提と出典'!E73,IF(C890&lt;=100,'前提と出典'!D74+'前提と出典'!E74,IF(C890&lt;=500,'前提と出典'!D75+'前提と出典'!E75,'前提と出典'!D76+'前提と出典'!E76))))</ns0:f>
        <ns0:v>86510.9346263078</ns0:v>
      </ns0:c>
      <ns0:c r="O890" s="16">
        <ns0:f>IF('前提と出典'!$C$36+'前提と出典'!$C$38=0,0,'前提と出典'!$B$4*IF('前提と出典'!$B$20=0,MAX('前提と出典'!$B$6,D890*'前提と出典'!$B$5),'前提と出典'!$B$6+D890*'前提と出典'!$B$5))</ns0:f>
        <ns0:v>879783.150837989</ns0:v>
      </ns0:c>
      <ns0:c r="P890" s="16">
        <ns0:f>(E890+G890)*(1-'前提と出典'!$B$7)-I890-K890-M890-O890</ns0:f>
        <ns0:v>2476761.991112577</ns0:v>
      </ns0:c>
      <ns0:c r="Q890" s="16">
        <ns0:f>(F890+H890)*(1-'前提と出典'!$B$7)-J890-L890-N890</ns0:f>
        <ns0:v>736396.4611801663</ns0:v>
      </ns0:c>
      <ns0:c r="R890" s="16">
        <ns0:f>P890-E890*'前提と出典'!$E$4</ns0:f>
        <ns0:v>1808574.5681151417</ns0:v>
      </ns0:c>
      <ns0:c r="S890" s="16">
        <ns0:f>Q890-F890*'前提と出典'!$E$4</ns0:f>
        <ns0:v>542238.2759128136</ns0:v>
      </ns0:c>
      <ns0:c r="T890" s="7">
        <ns0:f>R890+S890</ns0:f>
        <ns0:v>2350812.844027955</ns0:v>
      </ns0:c>
      <ns0:c r="U890" s="16">
        <ns0:f>P890-E890*'前提と出典'!$E$5</ns0:f>
        <ns0:v>1585845.4271159968</ns0:v>
      </ns0:c>
      <ns0:c r="V890" s="16">
        <ns0:f>Q890-F890*'前提と出典'!$E$5</ns0:f>
        <ns0:v>477518.88082369603</ns0:v>
      </ns0:c>
      <ns0:c r="W890" s="7">
        <ns0:f>U890+V890</ns0:f>
        <ns0:v>2063364.3079396929</ns0:v>
      </ns0:c>
      <ns0:c r="X890" s="16">
        <ns0:f>P890-E890*'前提と出典'!$E$6</ns0:f>
        <ns0:v>1363116.286116852</ns0:v>
      </ns0:c>
      <ns0:c r="Y890" s="16">
        <ns0:f>Q890-F890*'前提と出典'!$E$6</ns0:f>
        <ns0:v>412799.48573457845</ns0:v>
      </ns0:c>
      <ns0:c r="Z890" s="7">
        <ns0:f>X890+Y890</ns0:f>
        <ns0:v>1775915.7718514304</ns0:v>
      </ns0:c>
      <ns0:c r="AA890" s="7">
        <ns0:f>IF(T890&gt;=0,A890,1001)</ns0:f>
        <ns0:v>886</ns0:v>
      </ns0:c>
      <ns0:c r="AB890" s="7">
        <ns0:f>IF(T890&lt;0,A890,0)</ns0:f>
        <ns0:v>0</ns0:v>
      </ns0:c>
      <ns0:c r="AC890" s="16">
        <ns0:f>IF(AND(OR('前提と出典'!$C$36+'前提と出典'!$C$38=0,R890&gt;=0),OR('前提と出典'!$C$37+'前提と出典'!$C$38=0,S890&gt;=0)),0,A890)</ns0:f>
        <ns0:v>0</ns0:v>
      </ns0:c>
      <ns0:c r="AD890" s="7">
        <ns0:f>IF(W890&gt;=0,A890,1001)</ns0:f>
        <ns0:v>886</ns0:v>
      </ns0:c>
      <ns0:c r="AE890" s="7">
        <ns0:f>IF(W890&lt;0,A890,0)</ns0:f>
        <ns0:v>0</ns0:v>
      </ns0:c>
      <ns0:c r="AF890" s="16">
        <ns0:f>IF(AND(OR('前提と出典'!$C$36+'前提と出典'!$C$38=0,U890&gt;=0),OR('前提と出典'!$C$37+'前提と出典'!$C$38=0,V890&gt;=0)),0,A890)</ns0:f>
        <ns0:v>0</ns0:v>
      </ns0:c>
      <ns0:c r="AG890" s="7">
        <ns0:f>IF(Z890&gt;=0,A890,1001)</ns0:f>
        <ns0:v>886</ns0:v>
      </ns0:c>
      <ns0:c r="AH890" s="4">
        <ns0:f>IF(Z890&lt;0,A890,0)</ns0:f>
        <ns0:v>0</ns0:v>
      </ns0:c>
      <ns0:c r="AI890" s="12">
        <ns0:f>IF(AND(OR('前提と出典'!$C$36+'前提と出典'!$C$38=0,X890&gt;=0),OR('前提と出典'!$C$37+'前提と出典'!$C$38=0,Y890&gt;=0)),0,A890)</ns0:f>
        <ns0:v>0</ns0:v>
      </ns0:c>
    </ns0:row>
    <ns0:row r="891" ht="24" customHeight="1">
      <ns0:c r="A891" s="4" t="n">
        <ns0:v>887</ns0:v>
      </ns0:c>
      <ns0:c r="B891" s="12">
        <ns0:f>A891*('前提と出典'!$C$36+'前提と出典'!$C$38)</ns0:f>
        <ns0:v>620.9</ns0:v>
      </ns0:c>
      <ns0:c r="C891" s="12">
        <ns0:f>A891*('前提と出典'!$C$37+'前提と出典'!$C$38)</ns0:f>
        <ns0:v>532.1999999999999</ns0:v>
      </ns0:c>
      <ns0:c r="D891" s="16">
        <ns0:f>A891*('前提と出典'!$C$36*'契約別単価'!C5+'前提と出典'!$C$37*'契約別単価'!C6+'前提と出典'!$C$38*'契約別単価'!C7)</ns0:f>
        <ns0:v>6382.435754189944</ns0:v>
      </ns0:c>
      <ns0:c r="E891" s="16">
        <ns0:f>A891*('前提と出典'!$C$36*'契約別単価'!E5+'前提と出典'!$C$37*'契約別単価'!E6+'前提と出典'!$C$38*'契約別単価'!E7)</ns0:f>
        <ns0:v>2229805.28291469</ns0:v>
      </ns0:c>
      <ns0:c r="F891" s="16">
        <ns0:f>A891*('前提と出典'!$C$36*'契約別単価'!F5+'前提と出典'!$C$37*'契約別単価'!F6+'前提と出典'!$C$38*'契約別単価'!F7)</ns0:f>
        <ns0:v>647924.4181043714</ns0:v>
      </ns0:c>
      <ns0:c r="G891" s="16">
        <ns0:f>A891*('前提と出典'!$C$36*'契約別単価'!G5+'前提と出典'!$C$37*'契約別単価'!G6+'前提と出典'!$C$38*'契約別単価'!G7)</ns0:f>
        <ns0:v>1765575.9776536312</ns0:v>
      </ns0:c>
      <ns0:c r="H891" s="16">
        <ns0:f>A891*('前提と出典'!$C$36*'契約別単価'!H5+'前提と出典'!$C$37*'契約別単価'!H6+'前提と出典'!$C$38*'契約別単価'!H7)</ns0:f>
        <ns0:v>612743.4148395609</ns0:v>
      </ns0:c>
      <ns0:c r="I891" s="16">
        <ns0:f>A891*('前提と出典'!$C$36*'契約別単価'!I5+'前提と出典'!$C$37*'契約別単価'!I6+'前提と出典'!$C$38*'契約別単価'!I7)</ns0:f>
        <ns0:v>37427.43575418994</ns0:v>
      </ns0:c>
      <ns0:c r="J891" s="16">
        <ns0:f>A891*('前提と出典'!$C$36*'契約別単価'!J5+'前提と出典'!$C$37*'契約別単価'!J6+'前提と出典'!$C$38*'契約別単価'!J7)</ns0:f>
        <ns0:v>87182.82527103838</ns0:v>
      </ns0:c>
      <ns0:c r="K891" s="16">
        <ns0:f>A891*('前提と出典'!$C$36*'契約別単価'!K5+'前提と出典'!$C$37*'契約別単価'!K6+'前提と出典'!$C$38*'契約別単価'!K7)</ns0:f>
        <ns0:v>373696.23836126627</ns0:v>
      </ns0:c>
      <ns0:c r="L891" s="16">
        <ns0:f>A891*('前提と出典'!$C$36*'契約別単価'!L5+'前提と出典'!$C$37*'契約別単価'!L6+'前提と出典'!$C$38*'契約別単価'!L7)</ns0:f>
        <ns0:v>304264.780494652</ns0:v>
      </ns0:c>
      <ns0:c r="M891" s="16">
        <ns0:f>IF(('前提と出典'!$C$36+'前提と出典'!$C$38)=0,0,IF(B891&lt;=10,'前提と出典'!B73+'前提と出典'!C73,IF(B891&lt;=100,'前提と出典'!B74+'前提と出典'!C74,IF(B891&lt;=500,'前提と出典'!B75+'前提と出典'!C75,'前提と出典'!B76+'前提と出典'!C76))))</ns0:f>
        <ns0:v>80000</ns0:v>
      </ns0:c>
      <ns0:c r="N891" s="16">
        <ns0:f>IF(('前提と出典'!$C$37+'前提と出典'!$C$38)=0,0,IF(C891&lt;=10,'前提と出典'!D73+'前提と出典'!E73,IF(C891&lt;=100,'前提と出典'!D74+'前提と出典'!E74,IF(C891&lt;=500,'前提と出典'!D75+'前提と出典'!E75,'前提と出典'!D76+'前提と出典'!E76))))</ns0:f>
        <ns0:v>86510.9346263078</ns0:v>
      </ns0:c>
      <ns0:c r="O891" s="16">
        <ns0:f>IF('前提と出典'!$C$36+'前提と出典'!$C$38=0,0,'前提と出典'!$B$4*IF('前提と出典'!$B$20=0,MAX('前提と出典'!$B$6,D891*'前提と出典'!$B$5),'前提と出典'!$B$6+D891*'前提と出典'!$B$5))</ns0:f>
        <ns0:v>880776.1340782123</ns0:v>
      </ns0:c>
      <ns0:c r="P891" s="16">
        <ns0:f>(E891+G891)*(1-'前提と出典'!$B$7)-I891-K891-M891-O891</ns0:f>
        <ns0:v>2479647.7269941936</ns0:v>
      </ns0:c>
      <ns0:c r="Q891" s="16">
        <ns0:f>(F891+H891)*(1-'前提と出典'!$B$7)-J891-L891-N891</ns0:f>
        <ns0:v>737325.2505659526</ns0:v>
      </ns0:c>
      <ns0:c r="R891" s="16">
        <ns0:f>P891-E891*'前提と出典'!$E$4</ns0:f>
        <ns0:v>1810706.142119787</ns0:v>
      </ns0:c>
      <ns0:c r="S891" s="16">
        <ns0:f>Q891-F891*'前提と出典'!$E$4</ns0:f>
        <ns0:v>542947.925134641</ns0:v>
      </ns0:c>
      <ns0:c r="T891" s="7">
        <ns0:f>R891+S891</ns0:f>
        <ns0:v>2353654.067254428</ns0:v>
      </ns0:c>
      <ns0:c r="U891" s="16">
        <ns0:f>P891-E891*'前提と出典'!$E$5</ns0:f>
        <ns0:v>1587725.6138283175</ns0:v>
      </ns0:c>
      <ns0:c r="V891" s="16">
        <ns0:f>Q891-F891*'前提と出典'!$E$5</ns0:f>
        <ns0:v>478155.483324204</ns0:v>
      </ns0:c>
      <ns0:c r="W891" s="7">
        <ns0:f>U891+V891</ns0:f>
        <ns0:v>2065881.0971525214</ns0:v>
      </ns0:c>
      <ns0:c r="X891" s="16">
        <ns0:f>P891-E891*'前提と出典'!$E$6</ns0:f>
        <ns0:v>1364745.085536848</ns0:v>
      </ns0:c>
      <ns0:c r="Y891" s="16">
        <ns0:f>Q891-F891*'前提と出典'!$E$6</ns0:f>
        <ns0:v>413363.04151376674</ns0:v>
      </ns0:c>
      <ns0:c r="Z891" s="7">
        <ns0:f>X891+Y891</ns0:f>
        <ns0:v>1778108.127050615</ns0:v>
      </ns0:c>
      <ns0:c r="AA891" s="7">
        <ns0:f>IF(T891&gt;=0,A891,1001)</ns0:f>
        <ns0:v>887</ns0:v>
      </ns0:c>
      <ns0:c r="AB891" s="7">
        <ns0:f>IF(T891&lt;0,A891,0)</ns0:f>
        <ns0:v>0</ns0:v>
      </ns0:c>
      <ns0:c r="AC891" s="16">
        <ns0:f>IF(AND(OR('前提と出典'!$C$36+'前提と出典'!$C$38=0,R891&gt;=0),OR('前提と出典'!$C$37+'前提と出典'!$C$38=0,S891&gt;=0)),0,A891)</ns0:f>
        <ns0:v>0</ns0:v>
      </ns0:c>
      <ns0:c r="AD891" s="7">
        <ns0:f>IF(W891&gt;=0,A891,1001)</ns0:f>
        <ns0:v>887</ns0:v>
      </ns0:c>
      <ns0:c r="AE891" s="7">
        <ns0:f>IF(W891&lt;0,A891,0)</ns0:f>
        <ns0:v>0</ns0:v>
      </ns0:c>
      <ns0:c r="AF891" s="16">
        <ns0:f>IF(AND(OR('前提と出典'!$C$36+'前提と出典'!$C$38=0,U891&gt;=0),OR('前提と出典'!$C$37+'前提と出典'!$C$38=0,V891&gt;=0)),0,A891)</ns0:f>
        <ns0:v>0</ns0:v>
      </ns0:c>
      <ns0:c r="AG891" s="7">
        <ns0:f>IF(Z891&gt;=0,A891,1001)</ns0:f>
        <ns0:v>887</ns0:v>
      </ns0:c>
      <ns0:c r="AH891" s="4">
        <ns0:f>IF(Z891&lt;0,A891,0)</ns0:f>
        <ns0:v>0</ns0:v>
      </ns0:c>
      <ns0:c r="AI891" s="12">
        <ns0:f>IF(AND(OR('前提と出典'!$C$36+'前提と出典'!$C$38=0,X891&gt;=0),OR('前提と出典'!$C$37+'前提と出典'!$C$38=0,Y891&gt;=0)),0,A891)</ns0:f>
        <ns0:v>0</ns0:v>
      </ns0:c>
    </ns0:row>
    <ns0:row r="892" ht="24" customHeight="1">
      <ns0:c r="A892" s="4" t="n">
        <ns0:v>888</ns0:v>
      </ns0:c>
      <ns0:c r="B892" s="12">
        <ns0:f>A892*('前提と出典'!$C$36+'前提と出典'!$C$38)</ns0:f>
        <ns0:v>621.5999999999999</ns0:v>
      </ns0:c>
      <ns0:c r="C892" s="12">
        <ns0:f>A892*('前提と出典'!$C$37+'前提と出典'!$C$38)</ns0:f>
        <ns0:v>532.8</ns0:v>
      </ns0:c>
      <ns0:c r="D892" s="16">
        <ns0:f>A892*('前提と出典'!$C$36*'契約別単価'!C5+'前提と出典'!$C$37*'契約別単価'!C6+'前提と出典'!$C$38*'契約別単価'!C7)</ns0:f>
        <ns0:v>6389.631284916201</ns0:v>
      </ns0:c>
      <ns0:c r="E892" s="16">
        <ns0:f>A892*('前提と出典'!$C$36*'契約別単価'!E5+'前提と出典'!$C$37*'契約別単価'!E6+'前提と出典'!$C$38*'契約別単価'!E7)</ns0:f>
        <ns0:v>2232319.1558379307</ns0:v>
      </ns0:c>
      <ns0:c r="F892" s="16">
        <ns0:f>A892*('前提と出典'!$C$36*'契約別単価'!F5+'前提と出典'!$C$37*'契約別単価'!F6+'前提と出典'!$C$38*'契約別単価'!F7)</ns0:f>
        <ns0:v>648654.8853175668</ns0:v>
      </ns0:c>
      <ns0:c r="G892" s="16">
        <ns0:f>A892*('前提と出典'!$C$36*'契約別単価'!G5+'前提と出典'!$C$37*'契約別単価'!G6+'前提と出典'!$C$38*'契約別単価'!G7)</ns0:f>
        <ns0:v>1767566.4804469272</ns0:v>
      </ns0:c>
      <ns0:c r="H892" s="16">
        <ns0:f>A892*('前提と出典'!$C$36*'契約別単価'!H5+'前提と出典'!$C$37*'契約別単価'!H6+'前提と出典'!$C$38*'契約別単価'!H7)</ns0:f>
        <ns0:v>613434.2191403946</ns0:v>
      </ns0:c>
      <ns0:c r="I892" s="16">
        <ns0:f>A892*('前提と出典'!$C$36*'契約別単価'!I5+'前提と出典'!$C$37*'契約別単価'!I6+'前提と出典'!$C$38*'契約別単価'!I7)</ns0:f>
        <ns0:v>37469.63128491619</ns0:v>
      </ns0:c>
      <ns0:c r="J892" s="16">
        <ns0:f>A892*('前提と出典'!$C$36*'契約別単価'!J5+'前提と出典'!$C$37*'契約別単価'!J6+'前提と出典'!$C$38*'契約別単価'!J7)</ns0:f>
        <ns0:v>87281.11481474868</ns0:v>
      </ns0:c>
      <ns0:c r="K892" s="16">
        <ns0:f>A892*('前提と出典'!$C$36*'契約別単価'!K5+'前提と出典'!$C$37*'契約別単価'!K6+'前提と出典'!$C$38*'契約別単価'!K7)</ns0:f>
        <ns0:v>374117.54189944133</ns0:v>
      </ns0:c>
      <ns0:c r="L892" s="16">
        <ns0:f>A892*('前提と出典'!$C$36*'契約別単価'!L5+'前提と出典'!$C$37*'契約別単価'!L6+'前提と出典'!$C$38*'契約別単価'!L7)</ns0:f>
        <ns0:v>304607.8073046798</ns0:v>
      </ns0:c>
      <ns0:c r="M892" s="16">
        <ns0:f>IF(('前提と出典'!$C$36+'前提と出典'!$C$38)=0,0,IF(B892&lt;=10,'前提と出典'!B73+'前提と出典'!C73,IF(B892&lt;=100,'前提と出典'!B74+'前提と出典'!C74,IF(B892&lt;=500,'前提と出典'!B75+'前提と出典'!C75,'前提と出典'!B76+'前提と出典'!C76))))</ns0:f>
        <ns0:v>80000</ns0:v>
      </ns0:c>
      <ns0:c r="N892" s="16">
        <ns0:f>IF(('前提と出典'!$C$37+'前提と出典'!$C$38)=0,0,IF(C892&lt;=10,'前提と出典'!D73+'前提と出典'!E73,IF(C892&lt;=100,'前提と出典'!D74+'前提と出典'!E74,IF(C892&lt;=500,'前提と出典'!D75+'前提と出典'!E75,'前提と出典'!D76+'前提と出典'!E76))))</ns0:f>
        <ns0:v>86510.9346263078</ns0:v>
      </ns0:c>
      <ns0:c r="O892" s="16">
        <ns0:f>IF('前提と出典'!$C$36+'前提と出典'!$C$38=0,0,'前提と出典'!$B$4*IF('前提と出典'!$B$20=0,MAX('前提と出典'!$B$6,D892*'前提と出典'!$B$5),'前提と出典'!$B$6+D892*'前提と出典'!$B$5))</ns0:f>
        <ns0:v>881769.1173184358</ns0:v>
      </ns0:c>
      <ns0:c r="P892" s="16">
        <ns0:f>(E892+G892)*(1-'前提と出典'!$B$7)-I892-K892-M892-O892</ns0:f>
        <ns0:v>2482533.4628758095</ns0:v>
      </ns0:c>
      <ns0:c r="Q892" s="16">
        <ns0:f>(F892+H892)*(1-'前提と出典'!$B$7)-J892-L892-N892</ns0:f>
        <ns0:v>738254.0399517384</ns0:v>
      </ns0:c>
      <ns0:c r="R892" s="16">
        <ns0:f>P892-E892*'前提と出典'!$E$4</ns0:f>
        <ns0:v>1812837.7161244305</ns0:v>
      </ns0:c>
      <ns0:c r="S892" s="16">
        <ns0:f>Q892-F892*'前提と出典'!$E$4</ns0:f>
        <ns0:v>543657.5743564684</ns0:v>
      </ns0:c>
      <ns0:c r="T892" s="7">
        <ns0:f>R892+S892</ns0:f>
        <ns0:v>2356495.2904808987</ns0:v>
      </ns0:c>
      <ns0:c r="U892" s="16">
        <ns0:f>P892-E892*'前提と出典'!$E$5</ns0:f>
        <ns0:v>1589605.8005406375</ns0:v>
      </ns0:c>
      <ns0:c r="V892" s="16">
        <ns0:f>Q892-F892*'前提と出典'!$E$5</ns0:f>
        <ns0:v>478792.0858247117</ns0:v>
      </ns0:c>
      <ns0:c r="W892" s="7">
        <ns0:f>U892+V892</ns0:f>
        <ns0:v>2068397.8863653492</ns0:v>
      </ns0:c>
      <ns0:c r="X892" s="16">
        <ns0:f>P892-E892*'前提と出典'!$E$6</ns0:f>
        <ns0:v>1366373.8849568444</ns0:v>
      </ns0:c>
      <ns0:c r="Y892" s="16">
        <ns0:f>Q892-F892*'前提と出典'!$E$6</ns0:f>
        <ns0:v>413926.5972929551</ns0:v>
      </ns0:c>
      <ns0:c r="Z892" s="7">
        <ns0:f>X892+Y892</ns0:f>
        <ns0:v>1780300.4822497994</ns0:v>
      </ns0:c>
      <ns0:c r="AA892" s="7">
        <ns0:f>IF(T892&gt;=0,A892,1001)</ns0:f>
        <ns0:v>888</ns0:v>
      </ns0:c>
      <ns0:c r="AB892" s="7">
        <ns0:f>IF(T892&lt;0,A892,0)</ns0:f>
        <ns0:v>0</ns0:v>
      </ns0:c>
      <ns0:c r="AC892" s="16">
        <ns0:f>IF(AND(OR('前提と出典'!$C$36+'前提と出典'!$C$38=0,R892&gt;=0),OR('前提と出典'!$C$37+'前提と出典'!$C$38=0,S892&gt;=0)),0,A892)</ns0:f>
        <ns0:v>0</ns0:v>
      </ns0:c>
      <ns0:c r="AD892" s="7">
        <ns0:f>IF(W892&gt;=0,A892,1001)</ns0:f>
        <ns0:v>888</ns0:v>
      </ns0:c>
      <ns0:c r="AE892" s="7">
        <ns0:f>IF(W892&lt;0,A892,0)</ns0:f>
        <ns0:v>0</ns0:v>
      </ns0:c>
      <ns0:c r="AF892" s="16">
        <ns0:f>IF(AND(OR('前提と出典'!$C$36+'前提と出典'!$C$38=0,U892&gt;=0),OR('前提と出典'!$C$37+'前提と出典'!$C$38=0,V892&gt;=0)),0,A892)</ns0:f>
        <ns0:v>0</ns0:v>
      </ns0:c>
      <ns0:c r="AG892" s="7">
        <ns0:f>IF(Z892&gt;=0,A892,1001)</ns0:f>
        <ns0:v>888</ns0:v>
      </ns0:c>
      <ns0:c r="AH892" s="4">
        <ns0:f>IF(Z892&lt;0,A892,0)</ns0:f>
        <ns0:v>0</ns0:v>
      </ns0:c>
      <ns0:c r="AI892" s="12">
        <ns0:f>IF(AND(OR('前提と出典'!$C$36+'前提と出典'!$C$38=0,X892&gt;=0),OR('前提と出典'!$C$37+'前提と出典'!$C$38=0,Y892&gt;=0)),0,A892)</ns0:f>
        <ns0:v>0</ns0:v>
      </ns0:c>
    </ns0:row>
    <ns0:row r="893" ht="24" customHeight="1">
      <ns0:c r="A893" s="4" t="n">
        <ns0:v>889</ns0:v>
      </ns0:c>
      <ns0:c r="B893" s="12">
        <ns0:f>A893*('前提と出典'!$C$36+'前提と出典'!$C$38)</ns0:f>
        <ns0:v>622.3</ns0:v>
      </ns0:c>
      <ns0:c r="C893" s="12">
        <ns0:f>A893*('前提と出典'!$C$37+'前提と出典'!$C$38)</ns0:f>
        <ns0:v>533.4</ns0:v>
      </ns0:c>
      <ns0:c r="D893" s="16">
        <ns0:f>A893*('前提と出典'!$C$36*'契約別単価'!C5+'前提と出典'!$C$37*'契約別単価'!C6+'前提と出典'!$C$38*'契約別単価'!C7)</ns0:f>
        <ns0:v>6396.826815642458</ns0:v>
      </ns0:c>
      <ns0:c r="E893" s="16">
        <ns0:f>A893*('前提と出典'!$C$36*'契約別単価'!E5+'前提と出典'!$C$37*'契約別単価'!E6+'前提と出典'!$C$38*'契約別単価'!E7)</ns0:f>
        <ns0:v>2234833.0287611717</ns0:v>
      </ns0:c>
      <ns0:c r="F893" s="16">
        <ns0:f>A893*('前提と出典'!$C$36*'契約別単価'!F5+'前提と出典'!$C$37*'契約別単価'!F6+'前提と出典'!$C$38*'契約別単価'!F7)</ns0:f>
        <ns0:v>649385.3525307623</ns0:v>
      </ns0:c>
      <ns0:c r="G893" s="16">
        <ns0:f>A893*('前提と出典'!$C$36*'契約別単価'!G5+'前提と出典'!$C$37*'契約別単価'!G6+'前提と出典'!$C$38*'契約別単価'!G7)</ns0:f>
        <ns0:v>1769556.9832402235</ns0:v>
      </ns0:c>
      <ns0:c r="H893" s="16">
        <ns0:f>A893*('前提と出典'!$C$36*'契約別単価'!H5+'前提と出典'!$C$37*'契約別単価'!H6+'前提と出典'!$C$38*'契約別単価'!H7)</ns0:f>
        <ns0:v>614125.0234412283</ns0:v>
      </ns0:c>
      <ns0:c r="I893" s="16">
        <ns0:f>A893*('前提と出典'!$C$36*'契約別単価'!I5+'前提と出典'!$C$37*'契約別単価'!I6+'前提と出典'!$C$38*'契約別単価'!I7)</ns0:f>
        <ns0:v>37511.82681564245</ns0:v>
      </ns0:c>
      <ns0:c r="J893" s="16">
        <ns0:f>A893*('前提と出典'!$C$36*'契約別単価'!J5+'前提と出典'!$C$37*'契約別単価'!J6+'前提と出典'!$C$38*'契約別単価'!J7)</ns0:f>
        <ns0:v>87379.40435845898</ns0:v>
      </ns0:c>
      <ns0:c r="K893" s="16">
        <ns0:f>A893*('前提と出典'!$C$36*'契約別単価'!K5+'前提と出典'!$C$37*'契約別単価'!K6+'前提と出典'!$C$38*'契約別単価'!K7)</ns0:f>
        <ns0:v>374538.84543761634</ns0:v>
      </ns0:c>
      <ns0:c r="L893" s="16">
        <ns0:f>A893*('前提と出典'!$C$36*'契約別単価'!L5+'前提と出典'!$C$37*'契約別単価'!L6+'前提と出典'!$C$38*'契約別単価'!L7)</ns0:f>
        <ns0:v>304950.8341147076</ns0:v>
      </ns0:c>
      <ns0:c r="M893" s="16">
        <ns0:f>IF(('前提と出典'!$C$36+'前提と出典'!$C$38)=0,0,IF(B893&lt;=10,'前提と出典'!B73+'前提と出典'!C73,IF(B893&lt;=100,'前提と出典'!B74+'前提と出典'!C74,IF(B893&lt;=500,'前提と出典'!B75+'前提と出典'!C75,'前提と出典'!B76+'前提と出典'!C76))))</ns0:f>
        <ns0:v>80000</ns0:v>
      </ns0:c>
      <ns0:c r="N893" s="16">
        <ns0:f>IF(('前提と出典'!$C$37+'前提と出典'!$C$38)=0,0,IF(C893&lt;=10,'前提と出典'!D73+'前提と出典'!E73,IF(C893&lt;=100,'前提と出典'!D74+'前提と出典'!E74,IF(C893&lt;=500,'前提と出典'!D75+'前提と出典'!E75,'前提と出典'!D76+'前提と出典'!E76))))</ns0:f>
        <ns0:v>86510.9346263078</ns0:v>
      </ns0:c>
      <ns0:c r="O893" s="16">
        <ns0:f>IF('前提と出典'!$C$36+'前提と出典'!$C$38=0,0,'前提と出典'!$B$4*IF('前提と出典'!$B$20=0,MAX('前提と出典'!$B$6,D893*'前提と出典'!$B$5),'前提と出典'!$B$6+D893*'前提と出典'!$B$5))</ns0:f>
        <ns0:v>882762.1005586593</ns0:v>
      </ns0:c>
      <ns0:c r="P893" s="16">
        <ns0:f>(E893+G893)*(1-'前提と出典'!$B$7)-I893-K893-M893-O893</ns0:f>
        <ns0:v>2485419.198757427</ns0:v>
      </ns0:c>
      <ns0:c r="Q893" s="16">
        <ns0:f>(F893+H893)*(1-'前提と出典'!$B$7)-J893-L893-N893</ns0:f>
        <ns0:v>739182.8293375247</ns0:v>
      </ns0:c>
      <ns0:c r="R893" s="16">
        <ns0:f>P893-E893*'前提と出典'!$E$4</ns0:f>
        <ns0:v>1814969.2901290755</ns0:v>
      </ns0:c>
      <ns0:c r="S893" s="16">
        <ns0:f>Q893-F893*'前提と出典'!$E$4</ns0:f>
        <ns0:v>544367.2235782961</ns0:v>
      </ns0:c>
      <ns0:c r="T893" s="7">
        <ns0:f>R893+S893</ns0:f>
        <ns0:v>2359336.5137073714</ns0:v>
      </ns0:c>
      <ns0:c r="U893" s="16">
        <ns0:f>P893-E893*'前提と出典'!$E$5</ns0:f>
        <ns0:v>1591485.987252958</ns0:v>
      </ns0:c>
      <ns0:c r="V893" s="16">
        <ns0:f>Q893-F893*'前提と出典'!$E$5</ns0:f>
        <ns0:v>479428.6883252198</ns0:v>
      </ns0:c>
      <ns0:c r="W893" s="7">
        <ns0:f>U893+V893</ns0:f>
        <ns0:v>2070914.6755781777</ns0:v>
      </ns0:c>
      <ns0:c r="X893" s="16">
        <ns0:f>P893-E893*'前提と出典'!$E$6</ns0:f>
        <ns0:v>1368002.6843768412</ns0:v>
      </ns0:c>
      <ns0:c r="Y893" s="16">
        <ns0:f>Q893-F893*'前提と出典'!$E$6</ns0:f>
        <ns0:v>414490.1530721435</ns0:v>
      </ns0:c>
      <ns0:c r="Z893" s="7">
        <ns0:f>X893+Y893</ns0:f>
        <ns0:v>1782492.8374489846</ns0:v>
      </ns0:c>
      <ns0:c r="AA893" s="7">
        <ns0:f>IF(T893&gt;=0,A893,1001)</ns0:f>
        <ns0:v>889</ns0:v>
      </ns0:c>
      <ns0:c r="AB893" s="7">
        <ns0:f>IF(T893&lt;0,A893,0)</ns0:f>
        <ns0:v>0</ns0:v>
      </ns0:c>
      <ns0:c r="AC893" s="16">
        <ns0:f>IF(AND(OR('前提と出典'!$C$36+'前提と出典'!$C$38=0,R893&gt;=0),OR('前提と出典'!$C$37+'前提と出典'!$C$38=0,S893&gt;=0)),0,A893)</ns0:f>
        <ns0:v>0</ns0:v>
      </ns0:c>
      <ns0:c r="AD893" s="7">
        <ns0:f>IF(W893&gt;=0,A893,1001)</ns0:f>
        <ns0:v>889</ns0:v>
      </ns0:c>
      <ns0:c r="AE893" s="7">
        <ns0:f>IF(W893&lt;0,A893,0)</ns0:f>
        <ns0:v>0</ns0:v>
      </ns0:c>
      <ns0:c r="AF893" s="16">
        <ns0:f>IF(AND(OR('前提と出典'!$C$36+'前提と出典'!$C$38=0,U893&gt;=0),OR('前提と出典'!$C$37+'前提と出典'!$C$38=0,V893&gt;=0)),0,A893)</ns0:f>
        <ns0:v>0</ns0:v>
      </ns0:c>
      <ns0:c r="AG893" s="7">
        <ns0:f>IF(Z893&gt;=0,A893,1001)</ns0:f>
        <ns0:v>889</ns0:v>
      </ns0:c>
      <ns0:c r="AH893" s="4">
        <ns0:f>IF(Z893&lt;0,A893,0)</ns0:f>
        <ns0:v>0</ns0:v>
      </ns0:c>
      <ns0:c r="AI893" s="12">
        <ns0:f>IF(AND(OR('前提と出典'!$C$36+'前提と出典'!$C$38=0,X893&gt;=0),OR('前提と出典'!$C$37+'前提と出典'!$C$38=0,Y893&gt;=0)),0,A893)</ns0:f>
        <ns0:v>0</ns0:v>
      </ns0:c>
    </ns0:row>
    <ns0:row r="894" ht="24" customHeight="1">
      <ns0:c r="A894" s="4" t="n">
        <ns0:v>890</ns0:v>
      </ns0:c>
      <ns0:c r="B894" s="12">
        <ns0:f>A894*('前提と出典'!$C$36+'前提と出典'!$C$38)</ns0:f>
        <ns0:v>623</ns0:v>
      </ns0:c>
      <ns0:c r="C894" s="12">
        <ns0:f>A894*('前提と出典'!$C$37+'前提と出典'!$C$38)</ns0:f>
        <ns0:v>534</ns0:v>
      </ns0:c>
      <ns0:c r="D894" s="16">
        <ns0:f>A894*('前提と出典'!$C$36*'契約別単価'!C5+'前提と出典'!$C$37*'契約別単価'!C6+'前提と出典'!$C$38*'契約別単価'!C7)</ns0:f>
        <ns0:v>6404.022346368715</ns0:v>
      </ns0:c>
      <ns0:c r="E894" s="16">
        <ns0:f>A894*('前提と出典'!$C$36*'契約別単価'!E5+'前提と出典'!$C$37*'契約別単価'!E6+'前提と出典'!$C$38*'契約別単価'!E7)</ns0:f>
        <ns0:v>2237346.9016844127</ns0:v>
      </ns0:c>
      <ns0:c r="F894" s="16">
        <ns0:f>A894*('前提と出典'!$C$36*'契約別単価'!F5+'前提と出典'!$C$37*'契約別単価'!F6+'前提と出典'!$C$38*'契約別単価'!F7)</ns0:f>
        <ns0:v>650115.8197439577</ns0:v>
      </ns0:c>
      <ns0:c r="G894" s="16">
        <ns0:f>A894*('前提と出典'!$C$36*'契約別単価'!G5+'前提と出典'!$C$37*'契約別単価'!G6+'前提と出典'!$C$38*'契約別単価'!G7)</ns0:f>
        <ns0:v>1771547.4860335195</ns0:v>
      </ns0:c>
      <ns0:c r="H894" s="16">
        <ns0:f>A894*('前提と出典'!$C$36*'契約別単価'!H5+'前提と出典'!$C$37*'契約別単価'!H6+'前提と出典'!$C$38*'契約別単価'!H7)</ns0:f>
        <ns0:v>614815.8277420622</ns0:v>
      </ns0:c>
      <ns0:c r="I894" s="16">
        <ns0:f>A894*('前提と出典'!$C$36*'契約別単価'!I5+'前提と出典'!$C$37*'契約別単価'!I6+'前提と出典'!$C$38*'契約別単価'!I7)</ns0:f>
        <ns0:v>37554.02234636871</ns0:v>
      </ns0:c>
      <ns0:c r="J894" s="16">
        <ns0:f>A894*('前提と出典'!$C$36*'契約別単価'!J5+'前提と出典'!$C$37*'契約別単価'!J6+'前提と出典'!$C$38*'契約別単価'!J7)</ns0:f>
        <ns0:v>87477.69390216928</ns0:v>
      </ns0:c>
      <ns0:c r="K894" s="16">
        <ns0:f>A894*('前提と出典'!$C$36*'契約別単価'!K5+'前提と出典'!$C$37*'契約別単価'!K6+'前提と出典'!$C$38*'契約別単価'!K7)</ns0:f>
        <ns0:v>374960.1489757914</ns0:v>
      </ns0:c>
      <ns0:c r="L894" s="16">
        <ns0:f>A894*('前提と出典'!$C$36*'契約別単価'!L5+'前提と出典'!$C$37*'契約別単価'!L6+'前提と出典'!$C$38*'契約別単価'!L7)</ns0:f>
        <ns0:v>305293.8609247354</ns0:v>
      </ns0:c>
      <ns0:c r="M894" s="16">
        <ns0:f>IF(('前提と出典'!$C$36+'前提と出典'!$C$38)=0,0,IF(B894&lt;=10,'前提と出典'!B73+'前提と出典'!C73,IF(B894&lt;=100,'前提と出典'!B74+'前提と出典'!C74,IF(B894&lt;=500,'前提と出典'!B75+'前提と出典'!C75,'前提と出典'!B76+'前提と出典'!C76))))</ns0:f>
        <ns0:v>80000</ns0:v>
      </ns0:c>
      <ns0:c r="N894" s="16">
        <ns0:f>IF(('前提と出典'!$C$37+'前提と出典'!$C$38)=0,0,IF(C894&lt;=10,'前提と出典'!D73+'前提と出典'!E73,IF(C894&lt;=100,'前提と出典'!D74+'前提と出典'!E74,IF(C894&lt;=500,'前提と出典'!D75+'前提と出典'!E75,'前提と出典'!D76+'前提と出典'!E76))))</ns0:f>
        <ns0:v>86510.9346263078</ns0:v>
      </ns0:c>
      <ns0:c r="O894" s="16">
        <ns0:f>IF('前提と出典'!$C$36+'前提と出典'!$C$38=0,0,'前提と出典'!$B$4*IF('前提と出典'!$B$20=0,MAX('前提と出典'!$B$6,D894*'前提と出典'!$B$5),'前提と出典'!$B$6+D894*'前提と出典'!$B$5))</ns0:f>
        <ns0:v>883755.0837988828</ns0:v>
      </ns0:c>
      <ns0:c r="P894" s="16">
        <ns0:f>(E894+G894)*(1-'前提と出典'!$B$7)-I894-K894-M894-O894</ns0:f>
        <ns0:v>2488304.934639044</ns0:v>
      </ns0:c>
      <ns0:c r="Q894" s="16">
        <ns0:f>(F894+H894)*(1-'前提と出典'!$B$7)-J894-L894-N894</ns0:f>
        <ns0:v>740111.6187233108</ns0:v>
      </ns0:c>
      <ns0:c r="R894" s="16">
        <ns0:f>P894-E894*'前提と出典'!$E$4</ns0:f>
        <ns0:v>1817100.8641337205</ns0:v>
      </ns0:c>
      <ns0:c r="S894" s="16">
        <ns0:f>Q894-F894*'前提と出典'!$E$4</ns0:f>
        <ns0:v>545076.8728001234</ns0:v>
      </ns0:c>
      <ns0:c r="T894" s="7">
        <ns0:f>R894+S894</ns0:f>
        <ns0:v>2362177.736933844</ns0:v>
      </ns0:c>
      <ns0:c r="U894" s="16">
        <ns0:f>P894-E894*'前提と出典'!$E$5</ns0:f>
        <ns0:v>1593366.1739652792</ns0:v>
      </ns0:c>
      <ns0:c r="V894" s="16">
        <ns0:f>Q894-F894*'前提と出典'!$E$5</ns0:f>
        <ns0:v>480065.2908257276</ns0:v>
      </ns0:c>
      <ns0:c r="W894" s="7">
        <ns0:f>U894+V894</ns0:f>
        <ns0:v>2073431.4647910069</ns0:v>
      </ns0:c>
      <ns0:c r="X894" s="16">
        <ns0:f>P894-E894*'前提と出典'!$E$6</ns0:f>
        <ns0:v>1369631.483796838</ns0:v>
      </ns0:c>
      <ns0:c r="Y894" s="16">
        <ns0:f>Q894-F894*'前提と出典'!$E$6</ns0:f>
        <ns0:v>415053.7088513318</ns0:v>
      </ns0:c>
      <ns0:c r="Z894" s="7">
        <ns0:f>X894+Y894</ns0:f>
        <ns0:v>1784685.1926481698</ns0:v>
      </ns0:c>
      <ns0:c r="AA894" s="7">
        <ns0:f>IF(T894&gt;=0,A894,1001)</ns0:f>
        <ns0:v>890</ns0:v>
      </ns0:c>
      <ns0:c r="AB894" s="7">
        <ns0:f>IF(T894&lt;0,A894,0)</ns0:f>
        <ns0:v>0</ns0:v>
      </ns0:c>
      <ns0:c r="AC894" s="16">
        <ns0:f>IF(AND(OR('前提と出典'!$C$36+'前提と出典'!$C$38=0,R894&gt;=0),OR('前提と出典'!$C$37+'前提と出典'!$C$38=0,S894&gt;=0)),0,A894)</ns0:f>
        <ns0:v>0</ns0:v>
      </ns0:c>
      <ns0:c r="AD894" s="7">
        <ns0:f>IF(W894&gt;=0,A894,1001)</ns0:f>
        <ns0:v>890</ns0:v>
      </ns0:c>
      <ns0:c r="AE894" s="7">
        <ns0:f>IF(W894&lt;0,A894,0)</ns0:f>
        <ns0:v>0</ns0:v>
      </ns0:c>
      <ns0:c r="AF894" s="16">
        <ns0:f>IF(AND(OR('前提と出典'!$C$36+'前提と出典'!$C$38=0,U894&gt;=0),OR('前提と出典'!$C$37+'前提と出典'!$C$38=0,V894&gt;=0)),0,A894)</ns0:f>
        <ns0:v>0</ns0:v>
      </ns0:c>
      <ns0:c r="AG894" s="7">
        <ns0:f>IF(Z894&gt;=0,A894,1001)</ns0:f>
        <ns0:v>890</ns0:v>
      </ns0:c>
      <ns0:c r="AH894" s="4">
        <ns0:f>IF(Z894&lt;0,A894,0)</ns0:f>
        <ns0:v>0</ns0:v>
      </ns0:c>
      <ns0:c r="AI894" s="12">
        <ns0:f>IF(AND(OR('前提と出典'!$C$36+'前提と出典'!$C$38=0,X894&gt;=0),OR('前提と出典'!$C$37+'前提と出典'!$C$38=0,Y894&gt;=0)),0,A894)</ns0:f>
        <ns0:v>0</ns0:v>
      </ns0:c>
    </ns0:row>
    <ns0:row r="895" ht="24" customHeight="1">
      <ns0:c r="A895" s="4" t="n">
        <ns0:v>891</ns0:v>
      </ns0:c>
      <ns0:c r="B895" s="12">
        <ns0:f>A895*('前提と出典'!$C$36+'前提と出典'!$C$38)</ns0:f>
        <ns0:v>623.6999999999999</ns0:v>
      </ns0:c>
      <ns0:c r="C895" s="12">
        <ns0:f>A895*('前提と出典'!$C$37+'前提と出典'!$C$38)</ns0:f>
        <ns0:v>534.6</ns0:v>
      </ns0:c>
      <ns0:c r="D895" s="16">
        <ns0:f>A895*('前提と出典'!$C$36*'契約別単価'!C5+'前提と出典'!$C$37*'契約別単価'!C6+'前提と出典'!$C$38*'契約別単価'!C7)</ns0:f>
        <ns0:v>6411.217877094972</ns0:v>
      </ns0:c>
      <ns0:c r="E895" s="16">
        <ns0:f>A895*('前提と出典'!$C$36*'契約別単価'!E5+'前提と出典'!$C$37*'契約別単価'!E6+'前提と出典'!$C$38*'契約別単価'!E7)</ns0:f>
        <ns0:v>2239860.7746076537</ns0:v>
      </ns0:c>
      <ns0:c r="F895" s="16">
        <ns0:f>A895*('前提と出典'!$C$36*'契約別単価'!F5+'前提と出典'!$C$37*'契約別単価'!F6+'前提と出典'!$C$38*'契約別単価'!F7)</ns0:f>
        <ns0:v>650846.2869571532</ns0:v>
      </ns0:c>
      <ns0:c r="G895" s="16">
        <ns0:f>A895*('前提と出典'!$C$36*'契約別単価'!G5+'前提と出典'!$C$37*'契約別単価'!G6+'前提と出典'!$C$38*'契約別単価'!G7)</ns0:f>
        <ns0:v>1773537.9888268155</ns0:v>
      </ns0:c>
      <ns0:c r="H895" s="16">
        <ns0:f>A895*('前提と出典'!$C$36*'契約別単価'!H5+'前提と出典'!$C$37*'契約別単価'!H6+'前提と出典'!$C$38*'契約別単価'!H7)</ns0:f>
        <ns0:v>615506.6320428959</ns0:v>
      </ns0:c>
      <ns0:c r="I895" s="16">
        <ns0:f>A895*('前提と出典'!$C$36*'契約別単価'!I5+'前提と出典'!$C$37*'契約別単価'!I6+'前提と出典'!$C$38*'契約別単価'!I7)</ns0:f>
        <ns0:v>37596.21787709497</ns0:v>
      </ns0:c>
      <ns0:c r="J895" s="16">
        <ns0:f>A895*('前提と出典'!$C$36*'契約別単価'!J5+'前提と出典'!$C$37*'契約別単価'!J6+'前提と出典'!$C$38*'契約別単価'!J7)</ns0:f>
        <ns0:v>87575.98344587958</ns0:v>
      </ns0:c>
      <ns0:c r="K895" s="16">
        <ns0:f>A895*('前提と出典'!$C$36*'契約別単価'!K5+'前提と出典'!$C$37*'契約別単価'!K6+'前提と出典'!$C$38*'契約別単価'!K7)</ns0:f>
        <ns0:v>375381.4525139665</ns0:v>
      </ns0:c>
      <ns0:c r="L895" s="16">
        <ns0:f>A895*('前提と出典'!$C$36*'契約別単価'!L5+'前提と出典'!$C$37*'契約別単価'!L6+'前提と出典'!$C$38*'契約別単価'!L7)</ns0:f>
        <ns0:v>305636.8877347632</ns0:v>
      </ns0:c>
      <ns0:c r="M895" s="16">
        <ns0:f>IF(('前提と出典'!$C$36+'前提と出典'!$C$38)=0,0,IF(B895&lt;=10,'前提と出典'!B73+'前提と出典'!C73,IF(B895&lt;=100,'前提と出典'!B74+'前提と出典'!C74,IF(B895&lt;=500,'前提と出典'!B75+'前提と出典'!C75,'前提と出典'!B76+'前提と出典'!C76))))</ns0:f>
        <ns0:v>80000</ns0:v>
      </ns0:c>
      <ns0:c r="N895" s="16">
        <ns0:f>IF(('前提と出典'!$C$37+'前提と出典'!$C$38)=0,0,IF(C895&lt;=10,'前提と出典'!D73+'前提と出典'!E73,IF(C895&lt;=100,'前提と出典'!D74+'前提と出典'!E74,IF(C895&lt;=500,'前提と出典'!D75+'前提と出典'!E75,'前提と出典'!D76+'前提と出典'!E76))))</ns0:f>
        <ns0:v>86510.9346263078</ns0:v>
      </ns0:c>
      <ns0:c r="O895" s="16">
        <ns0:f>IF('前提と出典'!$C$36+'前提と出典'!$C$38=0,0,'前提と出典'!$B$4*IF('前提と出典'!$B$20=0,MAX('前提と出典'!$B$6,D895*'前提と出典'!$B$5),'前提と出典'!$B$6+D895*'前提と出典'!$B$5))</ns0:f>
        <ns0:v>884748.0670391063</ns0:v>
      </ns0:c>
      <ns0:c r="P895" s="16">
        <ns0:f>(E895+G895)*(1-'前提と出典'!$B$7)-I895-K895-M895-O895</ns0:f>
        <ns0:v>2491190.6705206605</ns0:v>
      </ns0:c>
      <ns0:c r="Q895" s="16">
        <ns0:f>(F895+H895)*(1-'前提と出典'!$B$7)-J895-L895-N895</ns0:f>
        <ns0:v>741040.4081090968</ns0:v>
      </ns0:c>
      <ns0:c r="R895" s="16">
        <ns0:f>P895-E895*'前提と出典'!$E$4</ns0:f>
        <ns0:v>1819232.4381383646</ns0:v>
      </ns0:c>
      <ns0:c r="S895" s="16">
        <ns0:f>Q895-F895*'前提と出典'!$E$4</ns0:f>
        <ns0:v>545786.5220219509</ns0:v>
      </ns0:c>
      <ns0:c r="T895" s="7">
        <ns0:f>R895+S895</ns0:f>
        <ns0:v>2365018.9601603155</ns0:v>
      </ns0:c>
      <ns0:c r="U895" s="16">
        <ns0:f>P895-E895*'前提と出典'!$E$5</ns0:f>
        <ns0:v>1595246.3606775987</ns0:v>
      </ns0:c>
      <ns0:c r="V895" s="16">
        <ns0:f>Q895-F895*'前提と出典'!$E$5</ns0:f>
        <ns0:v>480701.89332623547</ns0:v>
      </ns0:c>
      <ns0:c r="W895" s="7">
        <ns0:f>U895+V895</ns0:f>
        <ns0:v>2075948.2540038342</ns0:v>
      </ns0:c>
      <ns0:c r="X895" s="16">
        <ns0:f>P895-E895*'前提と出典'!$E$6</ns0:f>
        <ns0:v>1371260.2832168338</ns0:v>
      </ns0:c>
      <ns0:c r="Y895" s="16">
        <ns0:f>Q895-F895*'前提と出典'!$E$6</ns0:f>
        <ns0:v>415617.26463052025</ns0:v>
      </ns0:c>
      <ns0:c r="Z895" s="7">
        <ns0:f>X895+Y895</ns0:f>
        <ns0:v>1786877.547847354</ns0:v>
      </ns0:c>
      <ns0:c r="AA895" s="7">
        <ns0:f>IF(T895&gt;=0,A895,1001)</ns0:f>
        <ns0:v>891</ns0:v>
      </ns0:c>
      <ns0:c r="AB895" s="7">
        <ns0:f>IF(T895&lt;0,A895,0)</ns0:f>
        <ns0:v>0</ns0:v>
      </ns0:c>
      <ns0:c r="AC895" s="16">
        <ns0:f>IF(AND(OR('前提と出典'!$C$36+'前提と出典'!$C$38=0,R895&gt;=0),OR('前提と出典'!$C$37+'前提と出典'!$C$38=0,S895&gt;=0)),0,A895)</ns0:f>
        <ns0:v>0</ns0:v>
      </ns0:c>
      <ns0:c r="AD895" s="7">
        <ns0:f>IF(W895&gt;=0,A895,1001)</ns0:f>
        <ns0:v>891</ns0:v>
      </ns0:c>
      <ns0:c r="AE895" s="7">
        <ns0:f>IF(W895&lt;0,A895,0)</ns0:f>
        <ns0:v>0</ns0:v>
      </ns0:c>
      <ns0:c r="AF895" s="16">
        <ns0:f>IF(AND(OR('前提と出典'!$C$36+'前提と出典'!$C$38=0,U895&gt;=0),OR('前提と出典'!$C$37+'前提と出典'!$C$38=0,V895&gt;=0)),0,A895)</ns0:f>
        <ns0:v>0</ns0:v>
      </ns0:c>
      <ns0:c r="AG895" s="7">
        <ns0:f>IF(Z895&gt;=0,A895,1001)</ns0:f>
        <ns0:v>891</ns0:v>
      </ns0:c>
      <ns0:c r="AH895" s="4">
        <ns0:f>IF(Z895&lt;0,A895,0)</ns0:f>
        <ns0:v>0</ns0:v>
      </ns0:c>
      <ns0:c r="AI895" s="12">
        <ns0:f>IF(AND(OR('前提と出典'!$C$36+'前提と出典'!$C$38=0,X895&gt;=0),OR('前提と出典'!$C$37+'前提と出典'!$C$38=0,Y895&gt;=0)),0,A895)</ns0:f>
        <ns0:v>0</ns0:v>
      </ns0:c>
    </ns0:row>
    <ns0:row r="896" ht="24" customHeight="1">
      <ns0:c r="A896" s="4" t="n">
        <ns0:v>892</ns0:v>
      </ns0:c>
      <ns0:c r="B896" s="12">
        <ns0:f>A896*('前提と出典'!$C$36+'前提と出典'!$C$38)</ns0:f>
        <ns0:v>624.4</ns0:v>
      </ns0:c>
      <ns0:c r="C896" s="12">
        <ns0:f>A896*('前提と出典'!$C$37+'前提と出典'!$C$38)</ns0:f>
        <ns0:v>535.1999999999999</ns0:v>
      </ns0:c>
      <ns0:c r="D896" s="16">
        <ns0:f>A896*('前提と出典'!$C$36*'契約別単価'!C5+'前提と出典'!$C$37*'契約別単価'!C6+'前提と出典'!$C$38*'契約別単価'!C7)</ns0:f>
        <ns0:v>6418.413407821229</ns0:v>
      </ns0:c>
      <ns0:c r="E896" s="16">
        <ns0:f>A896*('前提と出典'!$C$36*'契約別単価'!E5+'前提と出典'!$C$37*'契約別単価'!E6+'前提と出典'!$C$38*'契約別単価'!E7)</ns0:f>
        <ns0:v>2242374.6475308947</ns0:v>
      </ns0:c>
      <ns0:c r="F896" s="16">
        <ns0:f>A896*('前提と出典'!$C$36*'契約別単価'!F5+'前提と出典'!$C$37*'契約別単価'!F6+'前提と出典'!$C$38*'契約別単価'!F7)</ns0:f>
        <ns0:v>651576.7541703486</ns0:v>
      </ns0:c>
      <ns0:c r="G896" s="16">
        <ns0:f>A896*('前提と出典'!$C$36*'契約別単価'!G5+'前提と出典'!$C$37*'契約別単価'!G6+'前提と出典'!$C$38*'契約別単価'!G7)</ns0:f>
        <ns0:v>1775528.4916201117</ns0:v>
      </ns0:c>
      <ns0:c r="H896" s="16">
        <ns0:f>A896*('前提と出典'!$C$36*'契約別単価'!H5+'前提と出典'!$C$37*'契約別単価'!H6+'前提と出典'!$C$38*'契約別単価'!H7)</ns0:f>
        <ns0:v>616197.4363437297</ns0:v>
      </ns0:c>
      <ns0:c r="I896" s="16">
        <ns0:f>A896*('前提と出典'!$C$36*'契約別単価'!I5+'前提と出典'!$C$37*'契約別単価'!I6+'前提と出典'!$C$38*'契約別単価'!I7)</ns0:f>
        <ns0:v>37638.41340782122</ns0:v>
      </ns0:c>
      <ns0:c r="J896" s="16">
        <ns0:f>A896*('前提と出典'!$C$36*'契約別単価'!J5+'前提と出典'!$C$37*'契約別単価'!J6+'前提と出典'!$C$38*'契約別単価'!J7)</ns0:f>
        <ns0:v>87674.2729895899</ns0:v>
      </ns0:c>
      <ns0:c r="K896" s="16">
        <ns0:f>A896*('前提と出典'!$C$36*'契約別単価'!K5+'前提と出典'!$C$37*'契約別単価'!K6+'前提と出典'!$C$38*'契約別単価'!K7)</ns0:f>
        <ns0:v>375802.7560521415</ns0:v>
      </ns0:c>
      <ns0:c r="L896" s="16">
        <ns0:f>A896*('前提と出典'!$C$36*'契約別単価'!L5+'前提と出典'!$C$37*'契約別単価'!L6+'前提と出典'!$C$38*'契約別単価'!L7)</ns0:f>
        <ns0:v>305979.914544791</ns0:v>
      </ns0:c>
      <ns0:c r="M896" s="16">
        <ns0:f>IF(('前提と出典'!$C$36+'前提と出典'!$C$38)=0,0,IF(B896&lt;=10,'前提と出典'!B73+'前提と出典'!C73,IF(B896&lt;=100,'前提と出典'!B74+'前提と出典'!C74,IF(B896&lt;=500,'前提と出典'!B75+'前提と出典'!C75,'前提と出典'!B76+'前提と出典'!C76))))</ns0:f>
        <ns0:v>80000</ns0:v>
      </ns0:c>
      <ns0:c r="N896" s="16">
        <ns0:f>IF(('前提と出典'!$C$37+'前提と出典'!$C$38)=0,0,IF(C896&lt;=10,'前提と出典'!D73+'前提と出典'!E73,IF(C896&lt;=100,'前提と出典'!D74+'前提と出典'!E74,IF(C896&lt;=500,'前提と出典'!D75+'前提と出典'!E75,'前提と出典'!D76+'前提と出典'!E76))))</ns0:f>
        <ns0:v>86510.9346263078</ns0:v>
      </ns0:c>
      <ns0:c r="O896" s="16">
        <ns0:f>IF('前提と出典'!$C$36+'前提と出典'!$C$38=0,0,'前提と出典'!$B$4*IF('前提と出典'!$B$20=0,MAX('前提と出典'!$B$6,D896*'前提と出典'!$B$5),'前提と出典'!$B$6+D896*'前提と出典'!$B$5))</ns0:f>
        <ns0:v>885741.0502793296</ns0:v>
      </ns0:c>
      <ns0:c r="P896" s="16">
        <ns0:f>(E896+G896)*(1-'前提と出典'!$B$7)-I896-K896-M896-O896</ns0:f>
        <ns0:v>2494076.4064022778</ns0:v>
      </ns0:c>
      <ns0:c r="Q896" s="16">
        <ns0:f>(F896+H896)*(1-'前提と出典'!$B$7)-J896-L896-N896</ns0:f>
        <ns0:v>741969.197494883</ns0:v>
      </ns0:c>
      <ns0:c r="R896" s="16">
        <ns0:f>P896-E896*'前提と出典'!$E$4</ns0:f>
        <ns0:v>1821364.0121430093</ns0:v>
      </ns0:c>
      <ns0:c r="S896" s="16">
        <ns0:f>Q896-F896*'前提と出典'!$E$4</ns0:f>
        <ns0:v>546496.1712437782</ns0:v>
      </ns0:c>
      <ns0:c r="T896" s="7">
        <ns0:f>R896+S896</ns0:f>
        <ns0:v>2367860.183386788</ns0:v>
      </ns0:c>
      <ns0:c r="U896" s="16">
        <ns0:f>P896-E896*'前提と出典'!$E$5</ns0:f>
        <ns0:v>1597126.5473899199</ns0:v>
      </ns0:c>
      <ns0:c r="V896" s="16">
        <ns0:f>Q896-F896*'前提と出典'!$E$5</ns0:f>
        <ns0:v>481338.49582674354</ns0:v>
      </ns0:c>
      <ns0:c r="W896" s="7">
        <ns0:f>U896+V896</ns0:f>
        <ns0:v>2078465.0432166634</ns0:v>
      </ns0:c>
      <ns0:c r="X896" s="16">
        <ns0:f>P896-E896*'前提と出典'!$E$6</ns0:f>
        <ns0:v>1372889.0826368304</ns0:v>
      </ns0:c>
      <ns0:c r="Y896" s="16">
        <ns0:f>Q896-F896*'前提と出典'!$E$6</ns0:f>
        <ns0:v>416180.82040970866</ns0:v>
      </ns0:c>
      <ns0:c r="Z896" s="7">
        <ns0:f>X896+Y896</ns0:f>
        <ns0:v>1789069.903046539</ns0:v>
      </ns0:c>
      <ns0:c r="AA896" s="7">
        <ns0:f>IF(T896&gt;=0,A896,1001)</ns0:f>
        <ns0:v>892</ns0:v>
      </ns0:c>
      <ns0:c r="AB896" s="7">
        <ns0:f>IF(T896&lt;0,A896,0)</ns0:f>
        <ns0:v>0</ns0:v>
      </ns0:c>
      <ns0:c r="AC896" s="16">
        <ns0:f>IF(AND(OR('前提と出典'!$C$36+'前提と出典'!$C$38=0,R896&gt;=0),OR('前提と出典'!$C$37+'前提と出典'!$C$38=0,S896&gt;=0)),0,A896)</ns0:f>
        <ns0:v>0</ns0:v>
      </ns0:c>
      <ns0:c r="AD896" s="7">
        <ns0:f>IF(W896&gt;=0,A896,1001)</ns0:f>
        <ns0:v>892</ns0:v>
      </ns0:c>
      <ns0:c r="AE896" s="7">
        <ns0:f>IF(W896&lt;0,A896,0)</ns0:f>
        <ns0:v>0</ns0:v>
      </ns0:c>
      <ns0:c r="AF896" s="16">
        <ns0:f>IF(AND(OR('前提と出典'!$C$36+'前提と出典'!$C$38=0,U896&gt;=0),OR('前提と出典'!$C$37+'前提と出典'!$C$38=0,V896&gt;=0)),0,A896)</ns0:f>
        <ns0:v>0</ns0:v>
      </ns0:c>
      <ns0:c r="AG896" s="7">
        <ns0:f>IF(Z896&gt;=0,A896,1001)</ns0:f>
        <ns0:v>892</ns0:v>
      </ns0:c>
      <ns0:c r="AH896" s="4">
        <ns0:f>IF(Z896&lt;0,A896,0)</ns0:f>
        <ns0:v>0</ns0:v>
      </ns0:c>
      <ns0:c r="AI896" s="12">
        <ns0:f>IF(AND(OR('前提と出典'!$C$36+'前提と出典'!$C$38=0,X896&gt;=0),OR('前提と出典'!$C$37+'前提と出典'!$C$38=0,Y896&gt;=0)),0,A896)</ns0:f>
        <ns0:v>0</ns0:v>
      </ns0:c>
    </ns0:row>
    <ns0:row r="897" ht="24" customHeight="1">
      <ns0:c r="A897" s="4" t="n">
        <ns0:v>893</ns0:v>
      </ns0:c>
      <ns0:c r="B897" s="12">
        <ns0:f>A897*('前提と出典'!$C$36+'前提と出典'!$C$38)</ns0:f>
        <ns0:v>625.0999999999999</ns0:v>
      </ns0:c>
      <ns0:c r="C897" s="12">
        <ns0:f>A897*('前提と出典'!$C$37+'前提と出典'!$C$38)</ns0:f>
        <ns0:v>535.8</ns0:v>
      </ns0:c>
      <ns0:c r="D897" s="16">
        <ns0:f>A897*('前提と出典'!$C$36*'契約別単価'!C5+'前提と出典'!$C$37*'契約別単価'!C6+'前提と出典'!$C$38*'契約別単価'!C7)</ns0:f>
        <ns0:v>6425.608938547486</ns0:v>
      </ns0:c>
      <ns0:c r="E897" s="16">
        <ns0:f>A897*('前提と出典'!$C$36*'契約別単価'!E5+'前提と出典'!$C$37*'契約別単価'!E6+'前提と出典'!$C$38*'契約別単価'!E7)</ns0:f>
        <ns0:v>2244888.5204541357</ns0:v>
      </ns0:c>
      <ns0:c r="F897" s="16">
        <ns0:f>A897*('前提と出典'!$C$36*'契約別単価'!F5+'前提と出典'!$C$37*'契約別単価'!F6+'前提と出典'!$C$38*'契約別単価'!F7)</ns0:f>
        <ns0:v>652307.2213835442</ns0:v>
      </ns0:c>
      <ns0:c r="G897" s="16">
        <ns0:f>A897*('前提と出典'!$C$36*'契約別単価'!G5+'前提と出典'!$C$37*'契約別単価'!G6+'前提と出典'!$C$38*'契約別単価'!G7)</ns0:f>
        <ns0:v>1777518.9944134078</ns0:v>
      </ns0:c>
      <ns0:c r="H897" s="16">
        <ns0:f>A897*('前提と出典'!$C$36*'契約別単価'!H5+'前提と出典'!$C$37*'契約別単価'!H6+'前提と出典'!$C$38*'契約別単価'!H7)</ns0:f>
        <ns0:v>616888.2406445635</ns0:v>
      </ns0:c>
      <ns0:c r="I897" s="16">
        <ns0:f>A897*('前提と出典'!$C$36*'契約別単価'!I5+'前提と出典'!$C$37*'契約別単価'!I6+'前提と出典'!$C$38*'契約別単価'!I7)</ns0:f>
        <ns0:v>37680.60893854748</ns0:v>
      </ns0:c>
      <ns0:c r="J897" s="16">
        <ns0:f>A897*('前提と出典'!$C$36*'契約別単価'!J5+'前提と出典'!$C$37*'契約別単価'!J6+'前提と出典'!$C$38*'契約別単価'!J7)</ns0:f>
        <ns0:v>87772.5625333002</ns0:v>
      </ns0:c>
      <ns0:c r="K897" s="16">
        <ns0:f>A897*('前提と出典'!$C$36*'契約別単価'!K5+'前提と出典'!$C$37*'契約別単価'!K6+'前提と出典'!$C$38*'契約別単価'!K7)</ns0:f>
        <ns0:v>376224.05959031655</ns0:v>
      </ns0:c>
      <ns0:c r="L897" s="16">
        <ns0:f>A897*('前提と出典'!$C$36*'契約別単価'!L5+'前提と出典'!$C$37*'契約別単価'!L6+'前提と出典'!$C$38*'契約別単価'!L7)</ns0:f>
        <ns0:v>306322.94135481876</ns0:v>
      </ns0:c>
      <ns0:c r="M897" s="16">
        <ns0:f>IF(('前提と出典'!$C$36+'前提と出典'!$C$38)=0,0,IF(B897&lt;=10,'前提と出典'!B73+'前提と出典'!C73,IF(B897&lt;=100,'前提と出典'!B74+'前提と出典'!C74,IF(B897&lt;=500,'前提と出典'!B75+'前提と出典'!C75,'前提と出典'!B76+'前提と出典'!C76))))</ns0:f>
        <ns0:v>80000</ns0:v>
      </ns0:c>
      <ns0:c r="N897" s="16">
        <ns0:f>IF(('前提と出典'!$C$37+'前提と出典'!$C$38)=0,0,IF(C897&lt;=10,'前提と出典'!D73+'前提と出典'!E73,IF(C897&lt;=100,'前提と出典'!D74+'前提と出典'!E74,IF(C897&lt;=500,'前提と出典'!D75+'前提と出典'!E75,'前提と出典'!D76+'前提と出典'!E76))))</ns0:f>
        <ns0:v>86510.9346263078</ns0:v>
      </ns0:c>
      <ns0:c r="O897" s="16">
        <ns0:f>IF('前提と出典'!$C$36+'前提と出典'!$C$38=0,0,'前提と出典'!$B$4*IF('前提と出典'!$B$20=0,MAX('前提と出典'!$B$6,D897*'前提と出典'!$B$5),'前提と出典'!$B$6+D897*'前提と出典'!$B$5))</ns0:f>
        <ns0:v>886734.033519553</ns0:v>
      </ns0:c>
      <ns0:c r="P897" s="16">
        <ns0:f>(E897+G897)*(1-'前提と出典'!$B$7)-I897-K897-M897-O897</ns0:f>
        <ns0:v>2496962.142283895</ns0:v>
      </ns0:c>
      <ns0:c r="Q897" s="16">
        <ns0:f>(F897+H897)*(1-'前提と出典'!$B$7)-J897-L897-N897</ns0:f>
        <ns0:v>742897.9868806689</ns0:v>
      </ns0:c>
      <ns0:c r="R897" s="16">
        <ns0:f>P897-E897*'前提と出典'!$E$4</ns0:f>
        <ns0:v>1823495.5861476543</ns0:v>
      </ns0:c>
      <ns0:c r="S897" s="16">
        <ns0:f>Q897-F897*'前提と出典'!$E$4</ns0:f>
        <ns0:v>547205.8204656058</ns0:v>
      </ns0:c>
      <ns0:c r="T897" s="7">
        <ns0:f>R897+S897</ns0:f>
        <ns0:v>2370701.40661326</ns0:v>
      </ns0:c>
      <ns0:c r="U897" s="16">
        <ns0:f>P897-E897*'前提と出典'!$E$5</ns0:f>
        <ns0:v>1599006.7341022408</ns0:v>
      </ns0:c>
      <ns0:c r="V897" s="16">
        <ns0:f>Q897-F897*'前提と出典'!$E$5</ns0:f>
        <ns0:v>481975.09832725127</ns0:v>
      </ns0:c>
      <ns0:c r="W897" s="7">
        <ns0:f>U897+V897</ns0:f>
        <ns0:v>2080981.832429492</ns0:v>
      </ns0:c>
      <ns0:c r="X897" s="16">
        <ns0:f>P897-E897*'前提と出典'!$E$6</ns0:f>
        <ns0:v>1374517.8820568272</ns0:v>
      </ns0:c>
      <ns0:c r="Y897" s="16">
        <ns0:f>Q897-F897*'前提と出典'!$E$6</ns0:f>
        <ns0:v>416744.37618889695</ns0:v>
      </ns0:c>
      <ns0:c r="Z897" s="7">
        <ns0:f>X897+Y897</ns0:f>
        <ns0:v>1791262.2582457243</ns0:v>
      </ns0:c>
      <ns0:c r="AA897" s="7">
        <ns0:f>IF(T897&gt;=0,A897,1001)</ns0:f>
        <ns0:v>893</ns0:v>
      </ns0:c>
      <ns0:c r="AB897" s="7">
        <ns0:f>IF(T897&lt;0,A897,0)</ns0:f>
        <ns0:v>0</ns0:v>
      </ns0:c>
      <ns0:c r="AC897" s="16">
        <ns0:f>IF(AND(OR('前提と出典'!$C$36+'前提と出典'!$C$38=0,R897&gt;=0),OR('前提と出典'!$C$37+'前提と出典'!$C$38=0,S897&gt;=0)),0,A897)</ns0:f>
        <ns0:v>0</ns0:v>
      </ns0:c>
      <ns0:c r="AD897" s="7">
        <ns0:f>IF(W897&gt;=0,A897,1001)</ns0:f>
        <ns0:v>893</ns0:v>
      </ns0:c>
      <ns0:c r="AE897" s="7">
        <ns0:f>IF(W897&lt;0,A897,0)</ns0:f>
        <ns0:v>0</ns0:v>
      </ns0:c>
      <ns0:c r="AF897" s="16">
        <ns0:f>IF(AND(OR('前提と出典'!$C$36+'前提と出典'!$C$38=0,U897&gt;=0),OR('前提と出典'!$C$37+'前提と出典'!$C$38=0,V897&gt;=0)),0,A897)</ns0:f>
        <ns0:v>0</ns0:v>
      </ns0:c>
      <ns0:c r="AG897" s="7">
        <ns0:f>IF(Z897&gt;=0,A897,1001)</ns0:f>
        <ns0:v>893</ns0:v>
      </ns0:c>
      <ns0:c r="AH897" s="4">
        <ns0:f>IF(Z897&lt;0,A897,0)</ns0:f>
        <ns0:v>0</ns0:v>
      </ns0:c>
      <ns0:c r="AI897" s="12">
        <ns0:f>IF(AND(OR('前提と出典'!$C$36+'前提と出典'!$C$38=0,X897&gt;=0),OR('前提と出典'!$C$37+'前提と出典'!$C$38=0,Y897&gt;=0)),0,A897)</ns0:f>
        <ns0:v>0</ns0:v>
      </ns0:c>
    </ns0:row>
    <ns0:row r="898" ht="24" customHeight="1">
      <ns0:c r="A898" s="4" t="n">
        <ns0:v>894</ns0:v>
      </ns0:c>
      <ns0:c r="B898" s="12">
        <ns0:f>A898*('前提と出典'!$C$36+'前提と出典'!$C$38)</ns0:f>
        <ns0:v>625.8</ns0:v>
      </ns0:c>
      <ns0:c r="C898" s="12">
        <ns0:f>A898*('前提と出典'!$C$37+'前提と出典'!$C$38)</ns0:f>
        <ns0:v>536.4</ns0:v>
      </ns0:c>
      <ns0:c r="D898" s="16">
        <ns0:f>A898*('前提と出典'!$C$36*'契約別単価'!C5+'前提と出典'!$C$37*'契約別単価'!C6+'前提と出典'!$C$38*'契約別単価'!C7)</ns0:f>
        <ns0:v>6432.804469273743</ns0:v>
      </ns0:c>
      <ns0:c r="E898" s="16">
        <ns0:f>A898*('前提と出典'!$C$36*'契約別単価'!E5+'前提と出典'!$C$37*'契約別単価'!E6+'前提と出典'!$C$38*'契約別単価'!E7)</ns0:f>
        <ns0:v>2247402.3933773763</ns0:v>
      </ns0:c>
      <ns0:c r="F898" s="16">
        <ns0:f>A898*('前提と出典'!$C$36*'契約別単価'!F5+'前提と出典'!$C$37*'契約別単価'!F6+'前提と出典'!$C$38*'契約別単価'!F7)</ns0:f>
        <ns0:v>653037.6885967396</ns0:v>
      </ns0:c>
      <ns0:c r="G898" s="16">
        <ns0:f>A898*('前提と出典'!$C$36*'契約別単価'!G5+'前提と出典'!$C$37*'契約別単価'!G6+'前提と出典'!$C$38*'契約別単価'!G7)</ns0:f>
        <ns0:v>1779509.4972067038</ns0:v>
      </ns0:c>
      <ns0:c r="H898" s="16">
        <ns0:f>A898*('前提と出典'!$C$36*'契約別単価'!H5+'前提と出典'!$C$37*'契約別単価'!H6+'前提と出典'!$C$38*'契約別単価'!H7)</ns0:f>
        <ns0:v>617579.0449453973</ns0:v>
      </ns0:c>
      <ns0:c r="I898" s="16">
        <ns0:f>A898*('前提と出典'!$C$36*'契約別単価'!I5+'前提と出典'!$C$37*'契約別単価'!I6+'前提と出典'!$C$38*'契約別単価'!I7)</ns0:f>
        <ns0:v>37722.80446927374</ns0:v>
      </ns0:c>
      <ns0:c r="J898" s="16">
        <ns0:f>A898*('前提と出典'!$C$36*'契約別単価'!J5+'前提と出典'!$C$37*'契約別単価'!J6+'前提と出典'!$C$38*'契約別単価'!J7)</ns0:f>
        <ns0:v>87870.8520770105</ns0:v>
      </ns0:c>
      <ns0:c r="K898" s="16">
        <ns0:f>A898*('前提と出典'!$C$36*'契約別単価'!K5+'前提と出典'!$C$37*'契約別単価'!K6+'前提と出典'!$C$38*'契約別単価'!K7)</ns0:f>
        <ns0:v>376645.3631284916</ns0:v>
      </ns0:c>
      <ns0:c r="L898" s="16">
        <ns0:f>A898*('前提と出典'!$C$36*'契約別単価'!L5+'前提と出典'!$C$37*'契約別単価'!L6+'前提と出典'!$C$38*'契約別単価'!L7)</ns0:f>
        <ns0:v>306665.9681648466</ns0:v>
      </ns0:c>
      <ns0:c r="M898" s="16">
        <ns0:f>IF(('前提と出典'!$C$36+'前提と出典'!$C$38)=0,0,IF(B898&lt;=10,'前提と出典'!B73+'前提と出典'!C73,IF(B898&lt;=100,'前提と出典'!B74+'前提と出典'!C74,IF(B898&lt;=500,'前提と出典'!B75+'前提と出典'!C75,'前提と出典'!B76+'前提と出典'!C76))))</ns0:f>
        <ns0:v>80000</ns0:v>
      </ns0:c>
      <ns0:c r="N898" s="16">
        <ns0:f>IF(('前提と出典'!$C$37+'前提と出典'!$C$38)=0,0,IF(C898&lt;=10,'前提と出典'!D73+'前提と出典'!E73,IF(C898&lt;=100,'前提と出典'!D74+'前提と出典'!E74,IF(C898&lt;=500,'前提と出典'!D75+'前提と出典'!E75,'前提と出典'!D76+'前提と出典'!E76))))</ns0:f>
        <ns0:v>86510.9346263078</ns0:v>
      </ns0:c>
      <ns0:c r="O898" s="16">
        <ns0:f>IF('前提と出典'!$C$36+'前提と出典'!$C$38=0,0,'前提と出典'!$B$4*IF('前提と出典'!$B$20=0,MAX('前提と出典'!$B$6,D898*'前提と出典'!$B$5),'前提と出典'!$B$6+D898*'前提と出典'!$B$5))</ns0:f>
        <ns0:v>887727.0167597765</ns0:v>
      </ns0:c>
      <ns0:c r="P898" s="16">
        <ns0:f>(E898+G898)*(1-'前提と出典'!$B$7)-I898-K898-M898-O898</ns0:f>
        <ns0:v>2499847.878165511</ns0:v>
      </ns0:c>
      <ns0:c r="Q898" s="16">
        <ns0:f>(F898+H898)*(1-'前提と出典'!$B$7)-J898-L898-N898</ns0:f>
        <ns0:v>743826.7762664551</ns0:v>
      </ns0:c>
      <ns0:c r="R898" s="16">
        <ns0:f>P898-E898*'前提と出典'!$E$4</ns0:f>
        <ns0:v>1825627.160152298</ns0:v>
      </ns0:c>
      <ns0:c r="S898" s="16">
        <ns0:f>Q898-F898*'前提と出典'!$E$4</ns0:f>
        <ns0:v>547915.4696874334</ns0:v>
      </ns0:c>
      <ns0:c r="T898" s="7">
        <ns0:f>R898+S898</ns0:f>
        <ns0:v>2373542.6298397314</ns0:v>
      </ns0:c>
      <ns0:c r="U898" s="16">
        <ns0:f>P898-E898*'前提と出典'!$E$5</ns0:f>
        <ns0:v>1600886.9208145603</ns0:v>
      </ns0:c>
      <ns0:c r="V898" s="16">
        <ns0:f>Q898-F898*'前提と出典'!$E$5</ns0:f>
        <ns0:v>482611.7008277592</ns0:v>
      </ns0:c>
      <ns0:c r="W898" s="7">
        <ns0:f>U898+V898</ns0:f>
        <ns0:v>2083498.6216423195</ns0:v>
      </ns0:c>
      <ns0:c r="X898" s="16">
        <ns0:f>P898-E898*'前提と出典'!$E$6</ns0:f>
        <ns0:v>1376146.681476823</ns0:v>
      </ns0:c>
      <ns0:c r="Y898" s="16">
        <ns0:f>Q898-F898*'前提と出典'!$E$6</ns0:f>
        <ns0:v>417307.9319680854</ns0:v>
      </ns0:c>
      <ns0:c r="Z898" s="7">
        <ns0:f>X898+Y898</ns0:f>
        <ns0:v>1793454.6134449085</ns0:v>
      </ns0:c>
      <ns0:c r="AA898" s="7">
        <ns0:f>IF(T898&gt;=0,A898,1001)</ns0:f>
        <ns0:v>894</ns0:v>
      </ns0:c>
      <ns0:c r="AB898" s="7">
        <ns0:f>IF(T898&lt;0,A898,0)</ns0:f>
        <ns0:v>0</ns0:v>
      </ns0:c>
      <ns0:c r="AC898" s="16">
        <ns0:f>IF(AND(OR('前提と出典'!$C$36+'前提と出典'!$C$38=0,R898&gt;=0),OR('前提と出典'!$C$37+'前提と出典'!$C$38=0,S898&gt;=0)),0,A898)</ns0:f>
        <ns0:v>0</ns0:v>
      </ns0:c>
      <ns0:c r="AD898" s="7">
        <ns0:f>IF(W898&gt;=0,A898,1001)</ns0:f>
        <ns0:v>894</ns0:v>
      </ns0:c>
      <ns0:c r="AE898" s="7">
        <ns0:f>IF(W898&lt;0,A898,0)</ns0:f>
        <ns0:v>0</ns0:v>
      </ns0:c>
      <ns0:c r="AF898" s="16">
        <ns0:f>IF(AND(OR('前提と出典'!$C$36+'前提と出典'!$C$38=0,U898&gt;=0),OR('前提と出典'!$C$37+'前提と出典'!$C$38=0,V898&gt;=0)),0,A898)</ns0:f>
        <ns0:v>0</ns0:v>
      </ns0:c>
      <ns0:c r="AG898" s="7">
        <ns0:f>IF(Z898&gt;=0,A898,1001)</ns0:f>
        <ns0:v>894</ns0:v>
      </ns0:c>
      <ns0:c r="AH898" s="4">
        <ns0:f>IF(Z898&lt;0,A898,0)</ns0:f>
        <ns0:v>0</ns0:v>
      </ns0:c>
      <ns0:c r="AI898" s="12">
        <ns0:f>IF(AND(OR('前提と出典'!$C$36+'前提と出典'!$C$38=0,X898&gt;=0),OR('前提と出典'!$C$37+'前提と出典'!$C$38=0,Y898&gt;=0)),0,A898)</ns0:f>
        <ns0:v>0</ns0:v>
      </ns0:c>
    </ns0:row>
    <ns0:row r="899" ht="24" customHeight="1">
      <ns0:c r="A899" s="4" t="n">
        <ns0:v>895</ns0:v>
      </ns0:c>
      <ns0:c r="B899" s="12">
        <ns0:f>A899*('前提と出典'!$C$36+'前提と出典'!$C$38)</ns0:f>
        <ns0:v>626.5</ns0:v>
      </ns0:c>
      <ns0:c r="C899" s="12">
        <ns0:f>A899*('前提と出典'!$C$37+'前提と出典'!$C$38)</ns0:f>
        <ns0:v>537</ns0:v>
      </ns0:c>
      <ns0:c r="D899" s="16">
        <ns0:f>A899*('前提と出典'!$C$36*'契約別単価'!C5+'前提と出典'!$C$37*'契約別単価'!C6+'前提と出典'!$C$38*'契約別単価'!C7)</ns0:f>
        <ns0:v>6440</ns0:v>
      </ns0:c>
      <ns0:c r="E899" s="16">
        <ns0:f>A899*('前提と出典'!$C$36*'契約別単価'!E5+'前提と出典'!$C$37*'契約別単価'!E6+'前提と出典'!$C$38*'契約別単価'!E7)</ns0:f>
        <ns0:v>2249916.2663006173</ns0:v>
      </ns0:c>
      <ns0:c r="F899" s="16">
        <ns0:f>A899*('前提と出典'!$C$36*'契約別単価'!F5+'前提と出典'!$C$37*'契約別単価'!F6+'前提と出典'!$C$38*'契約別単価'!F7)</ns0:f>
        <ns0:v>653768.1558099351</ns0:v>
      </ns0:c>
      <ns0:c r="G899" s="16">
        <ns0:f>A899*('前提と出典'!$C$36*'契約別単価'!G5+'前提と出典'!$C$37*'契約別単価'!G6+'前提と出典'!$C$38*'契約別単価'!G7)</ns0:f>
        <ns0:v>1781500</ns0:v>
      </ns0:c>
      <ns0:c r="H899" s="16">
        <ns0:f>A899*('前提と出典'!$C$36*'契約別単価'!H5+'前提と出典'!$C$37*'契約別単価'!H6+'前提と出典'!$C$38*'契約別単価'!H7)</ns0:f>
        <ns0:v>618269.849246231</ns0:v>
      </ns0:c>
      <ns0:c r="I899" s="16">
        <ns0:f>A899*('前提と出典'!$C$36*'契約別単価'!I5+'前提と出典'!$C$37*'契約別単価'!I6+'前提と出典'!$C$38*'契約別単価'!I7)</ns0:f>
        <ns0:v>37764.99999999999</ns0:v>
      </ns0:c>
      <ns0:c r="J899" s="16">
        <ns0:f>A899*('前提と出典'!$C$36*'契約別単価'!J5+'前提と出典'!$C$37*'契約別単価'!J6+'前提と出典'!$C$38*'契約別単価'!J7)</ns0:f>
        <ns0:v>87969.1416207208</ns0:v>
      </ns0:c>
      <ns0:c r="K899" s="16">
        <ns0:f>A899*('前提と出典'!$C$36*'契約別単価'!K5+'前提と出典'!$C$37*'契約別単価'!K6+'前提と出典'!$C$38*'契約別単価'!K7)</ns0:f>
        <ns0:v>377066.6666666666</ns0:v>
      </ns0:c>
      <ns0:c r="L899" s="16">
        <ns0:f>A899*('前提と出典'!$C$36*'契約別単価'!L5+'前提と出典'!$C$37*'契約別単価'!L6+'前提と出典'!$C$38*'契約別単価'!L7)</ns0:f>
        <ns0:v>307008.99497487437</ns0:v>
      </ns0:c>
      <ns0:c r="M899" s="16">
        <ns0:f>IF(('前提と出典'!$C$36+'前提と出典'!$C$38)=0,0,IF(B899&lt;=10,'前提と出典'!B73+'前提と出典'!C73,IF(B899&lt;=100,'前提と出典'!B74+'前提と出典'!C74,IF(B899&lt;=500,'前提と出典'!B75+'前提と出典'!C75,'前提と出典'!B76+'前提と出典'!C76))))</ns0:f>
        <ns0:v>80000</ns0:v>
      </ns0:c>
      <ns0:c r="N899" s="16">
        <ns0:f>IF(('前提と出典'!$C$37+'前提と出典'!$C$38)=0,0,IF(C899&lt;=10,'前提と出典'!D73+'前提と出典'!E73,IF(C899&lt;=100,'前提と出典'!D74+'前提と出典'!E74,IF(C899&lt;=500,'前提と出典'!D75+'前提と出典'!E75,'前提と出典'!D76+'前提と出典'!E76))))</ns0:f>
        <ns0:v>86510.9346263078</ns0:v>
      </ns0:c>
      <ns0:c r="O899" s="16">
        <ns0:f>IF('前提と出典'!$C$36+'前提と出典'!$C$38=0,0,'前提と出典'!$B$4*IF('前提と出典'!$B$20=0,MAX('前提と出典'!$B$6,D899*'前提と出典'!$B$5),'前提と出典'!$B$6+D899*'前提と出典'!$B$5))</ns0:f>
        <ns0:v>888720</ns0:v>
      </ns0:c>
      <ns0:c r="P899" s="16">
        <ns0:f>(E899+G899)*(1-'前提と出典'!$B$7)-I899-K899-M899-O899</ns0:f>
        <ns0:v>2502733.6140471287</ns0:v>
      </ns0:c>
      <ns0:c r="Q899" s="16">
        <ns0:f>(F899+H899)*(1-'前提と出典'!$B$7)-J899-L899-N899</ns0:f>
        <ns0:v>744755.5656522411</ns0:v>
      </ns0:c>
      <ns0:c r="R899" s="16">
        <ns0:f>P899-E899*'前提と出典'!$E$4</ns0:f>
        <ns0:v>1827758.7341569434</ns0:v>
      </ns0:c>
      <ns0:c r="S899" s="16">
        <ns0:f>Q899-F899*'前提と出典'!$E$4</ns0:f>
        <ns0:v>548625.1189092605</ns0:v>
      </ns0:c>
      <ns0:c r="T899" s="7">
        <ns0:f>R899+S899</ns0:f>
        <ns0:v>2376383.853066204</ns0:v>
      </ns0:c>
      <ns0:c r="U899" s="16">
        <ns0:f>P899-E899*'前提と出典'!$E$5</ns0:f>
        <ns0:v>1602767.1075268816</ns0:v>
      </ns0:c>
      <ns0:c r="V899" s="16">
        <ns0:f>Q899-F899*'前提と出典'!$E$5</ns0:f>
        <ns0:v>483248.30332826707</ns0:v>
      </ns0:c>
      <ns0:c r="W899" s="7">
        <ns0:f>U899+V899</ns0:f>
        <ns0:v>2086015.4108551487</ns0:v>
      </ns0:c>
      <ns0:c r="X899" s="16">
        <ns0:f>P899-E899*'前提と出典'!$E$6</ns0:f>
        <ns0:v>1377775.4808968198</ns0:v>
      </ns0:c>
      <ns0:c r="Y899" s="16">
        <ns0:f>Q899-F899*'前提と出典'!$E$6</ns0:f>
        <ns0:v>417871.48774727347</ns0:v>
      </ns0:c>
      <ns0:c r="Z899" s="7">
        <ns0:f>X899+Y899</ns0:f>
        <ns0:v>1795646.9686440933</ns0:v>
      </ns0:c>
      <ns0:c r="AA899" s="7">
        <ns0:f>IF(T899&gt;=0,A899,1001)</ns0:f>
        <ns0:v>895</ns0:v>
      </ns0:c>
      <ns0:c r="AB899" s="7">
        <ns0:f>IF(T899&lt;0,A899,0)</ns0:f>
        <ns0:v>0</ns0:v>
      </ns0:c>
      <ns0:c r="AC899" s="16">
        <ns0:f>IF(AND(OR('前提と出典'!$C$36+'前提と出典'!$C$38=0,R899&gt;=0),OR('前提と出典'!$C$37+'前提と出典'!$C$38=0,S899&gt;=0)),0,A899)</ns0:f>
        <ns0:v>0</ns0:v>
      </ns0:c>
      <ns0:c r="AD899" s="7">
        <ns0:f>IF(W899&gt;=0,A899,1001)</ns0:f>
        <ns0:v>895</ns0:v>
      </ns0:c>
      <ns0:c r="AE899" s="7">
        <ns0:f>IF(W899&lt;0,A899,0)</ns0:f>
        <ns0:v>0</ns0:v>
      </ns0:c>
      <ns0:c r="AF899" s="16">
        <ns0:f>IF(AND(OR('前提と出典'!$C$36+'前提と出典'!$C$38=0,U899&gt;=0),OR('前提と出典'!$C$37+'前提と出典'!$C$38=0,V899&gt;=0)),0,A899)</ns0:f>
        <ns0:v>0</ns0:v>
      </ns0:c>
      <ns0:c r="AG899" s="7">
        <ns0:f>IF(Z899&gt;=0,A899,1001)</ns0:f>
        <ns0:v>895</ns0:v>
      </ns0:c>
      <ns0:c r="AH899" s="4">
        <ns0:f>IF(Z899&lt;0,A899,0)</ns0:f>
        <ns0:v>0</ns0:v>
      </ns0:c>
      <ns0:c r="AI899" s="12">
        <ns0:f>IF(AND(OR('前提と出典'!$C$36+'前提と出典'!$C$38=0,X899&gt;=0),OR('前提と出典'!$C$37+'前提と出典'!$C$38=0,Y899&gt;=0)),0,A899)</ns0:f>
        <ns0:v>0</ns0:v>
      </ns0:c>
    </ns0:row>
    <ns0:row r="900" ht="24" customHeight="1">
      <ns0:c r="A900" s="4" t="n">
        <ns0:v>896</ns0:v>
      </ns0:c>
      <ns0:c r="B900" s="12">
        <ns0:f>A900*('前提と出典'!$C$36+'前提と出典'!$C$38)</ns0:f>
        <ns0:v>627.1999999999999</ns0:v>
      </ns0:c>
      <ns0:c r="C900" s="12">
        <ns0:f>A900*('前提と出典'!$C$37+'前提と出典'!$C$38)</ns0:f>
        <ns0:v>537.6</ns0:v>
      </ns0:c>
      <ns0:c r="D900" s="16">
        <ns0:f>A900*('前提と出典'!$C$36*'契約別単価'!C5+'前提と出典'!$C$37*'契約別単価'!C6+'前提と出典'!$C$38*'契約別単価'!C7)</ns0:f>
        <ns0:v>6447.195530726257</ns0:v>
      </ns0:c>
      <ns0:c r="E900" s="16">
        <ns0:f>A900*('前提と出典'!$C$36*'契約別単価'!E5+'前提と出典'!$C$37*'契約別単価'!E6+'前提と出典'!$C$38*'契約別単価'!E7)</ns0:f>
        <ns0:v>2252430.1392238582</ns0:v>
      </ns0:c>
      <ns0:c r="F900" s="16">
        <ns0:f>A900*('前提と出典'!$C$36*'契約別単価'!F5+'前提と出典'!$C$37*'契約別単価'!F6+'前提と出典'!$C$38*'契約別単価'!F7)</ns0:f>
        <ns0:v>654498.6230231305</ns0:v>
      </ns0:c>
      <ns0:c r="G900" s="16">
        <ns0:f>A900*('前提と出典'!$C$36*'契約別単価'!G5+'前提と出典'!$C$37*'契約別単価'!G6+'前提と出典'!$C$38*'契約別単価'!G7)</ns0:f>
        <ns0:v>1783490.502793296</ns0:v>
      </ns0:c>
      <ns0:c r="H900" s="16">
        <ns0:f>A900*('前提と出典'!$C$36*'契約別単価'!H5+'前提と出典'!$C$37*'契約別単価'!H6+'前提と出典'!$C$38*'契約別単価'!H7)</ns0:f>
        <ns0:v>618960.6535470649</ns0:v>
      </ns0:c>
      <ns0:c r="I900" s="16">
        <ns0:f>A900*('前提と出典'!$C$36*'契約別単価'!I5+'前提と出典'!$C$37*'契約別単価'!I6+'前提と出典'!$C$38*'契約別単価'!I7)</ns0:f>
        <ns0:v>37807.195530726254</ns0:v>
      </ns0:c>
      <ns0:c r="J900" s="16">
        <ns0:f>A900*('前提と出典'!$C$36*'契約別単価'!J5+'前提と出典'!$C$37*'契約別単価'!J6+'前提と出典'!$C$38*'契約別単価'!J7)</ns0:f>
        <ns0:v>88067.4311644311</ns0:v>
      </ns0:c>
      <ns0:c r="K900" s="16">
        <ns0:f>A900*('前提と出典'!$C$36*'契約別単価'!K5+'前提と出典'!$C$37*'契約別単価'!K6+'前提と出典'!$C$38*'契約別単価'!K7)</ns0:f>
        <ns0:v>377487.9702048417</ns0:v>
      </ns0:c>
      <ns0:c r="L900" s="16">
        <ns0:f>A900*('前提と出典'!$C$36*'契約別単価'!L5+'前提と出典'!$C$37*'契約別単価'!L6+'前提と出典'!$C$38*'契約別単価'!L7)</ns0:f>
        <ns0:v>307352.02178490214</ns0:v>
      </ns0:c>
      <ns0:c r="M900" s="16">
        <ns0:f>IF(('前提と出典'!$C$36+'前提と出典'!$C$38)=0,0,IF(B900&lt;=10,'前提と出典'!B73+'前提と出典'!C73,IF(B900&lt;=100,'前提と出典'!B74+'前提と出典'!C74,IF(B900&lt;=500,'前提と出典'!B75+'前提と出典'!C75,'前提と出典'!B76+'前提と出典'!C76))))</ns0:f>
        <ns0:v>80000</ns0:v>
      </ns0:c>
      <ns0:c r="N900" s="16">
        <ns0:f>IF(('前提と出典'!$C$37+'前提と出典'!$C$38)=0,0,IF(C900&lt;=10,'前提と出典'!D73+'前提と出典'!E73,IF(C900&lt;=100,'前提と出典'!D74+'前提と出典'!E74,IF(C900&lt;=500,'前提と出典'!D75+'前提と出典'!E75,'前提と出典'!D76+'前提と出典'!E76))))</ns0:f>
        <ns0:v>86510.9346263078</ns0:v>
      </ns0:c>
      <ns0:c r="O900" s="16">
        <ns0:f>IF('前提と出典'!$C$36+'前提と出典'!$C$38=0,0,'前提と出典'!$B$4*IF('前提と出典'!$B$20=0,MAX('前提と出典'!$B$6,D900*'前提と出典'!$B$5),'前提と出典'!$B$6+D900*'前提と出典'!$B$5))</ns0:f>
        <ns0:v>889712.9832402235</ns0:v>
      </ns0:c>
      <ns0:c r="P900" s="16">
        <ns0:f>(E900+G900)*(1-'前提と出典'!$B$7)-I900-K900-M900-O900</ns0:f>
        <ns0:v>2505619.349928745</ns0:v>
      </ns0:c>
      <ns0:c r="Q900" s="16">
        <ns0:f>(F900+H900)*(1-'前提と出典'!$B$7)-J900-L900-N900</ns0:f>
        <ns0:v>745684.3550380273</ns0:v>
      </ns0:c>
      <ns0:c r="R900" s="16">
        <ns0:f>P900-E900*'前提と出典'!$E$4</ns0:f>
        <ns0:v>1829890.3081615875</ns0:v>
      </ns0:c>
      <ns0:c r="S900" s="16">
        <ns0:f>Q900-F900*'前提と出典'!$E$4</ns0:f>
        <ns0:v>549334.7681310882</ns0:v>
      </ns0:c>
      <ns0:c r="T900" s="7">
        <ns0:f>R900+S900</ns0:f>
        <ns0:v>2379225.076292676</ns0:v>
      </ns0:c>
      <ns0:c r="U900" s="16">
        <ns0:f>P900-E900*'前提と出典'!$E$5</ns0:f>
        <ns0:v>1604647.2942392016</ns0:v>
      </ns0:c>
      <ns0:c r="V900" s="16">
        <ns0:f>Q900-F900*'前提と出典'!$E$5</ns0:f>
        <ns0:v>483884.90582877514</ns0:v>
      </ns0:c>
      <ns0:c r="W900" s="7">
        <ns0:f>U900+V900</ns0:f>
        <ns0:v>2088532.2000679767</ns0:v>
      </ns0:c>
      <ns0:c r="X900" s="16">
        <ns0:f>P900-E900*'前提と出典'!$E$6</ns0:f>
        <ns0:v>1379404.2803168157</ns0:v>
      </ns0:c>
      <ns0:c r="Y900" s="16">
        <ns0:f>Q900-F900*'前提と出典'!$E$6</ns0:f>
        <ns0:v>418435.043526462</ns0:v>
      </ns0:c>
      <ns0:c r="Z900" s="7">
        <ns0:f>X900+Y900</ns0:f>
        <ns0:v>1797839.3238432778</ns0:v>
      </ns0:c>
      <ns0:c r="AA900" s="7">
        <ns0:f>IF(T900&gt;=0,A900,1001)</ns0:f>
        <ns0:v>896</ns0:v>
      </ns0:c>
      <ns0:c r="AB900" s="7">
        <ns0:f>IF(T900&lt;0,A900,0)</ns0:f>
        <ns0:v>0</ns0:v>
      </ns0:c>
      <ns0:c r="AC900" s="16">
        <ns0:f>IF(AND(OR('前提と出典'!$C$36+'前提と出典'!$C$38=0,R900&gt;=0),OR('前提と出典'!$C$37+'前提と出典'!$C$38=0,S900&gt;=0)),0,A900)</ns0:f>
        <ns0:v>0</ns0:v>
      </ns0:c>
      <ns0:c r="AD900" s="7">
        <ns0:f>IF(W900&gt;=0,A900,1001)</ns0:f>
        <ns0:v>896</ns0:v>
      </ns0:c>
      <ns0:c r="AE900" s="7">
        <ns0:f>IF(W900&lt;0,A900,0)</ns0:f>
        <ns0:v>0</ns0:v>
      </ns0:c>
      <ns0:c r="AF900" s="16">
        <ns0:f>IF(AND(OR('前提と出典'!$C$36+'前提と出典'!$C$38=0,U900&gt;=0),OR('前提と出典'!$C$37+'前提と出典'!$C$38=0,V900&gt;=0)),0,A900)</ns0:f>
        <ns0:v>0</ns0:v>
      </ns0:c>
      <ns0:c r="AG900" s="7">
        <ns0:f>IF(Z900&gt;=0,A900,1001)</ns0:f>
        <ns0:v>896</ns0:v>
      </ns0:c>
      <ns0:c r="AH900" s="4">
        <ns0:f>IF(Z900&lt;0,A900,0)</ns0:f>
        <ns0:v>0</ns0:v>
      </ns0:c>
      <ns0:c r="AI900" s="12">
        <ns0:f>IF(AND(OR('前提と出典'!$C$36+'前提と出典'!$C$38=0,X900&gt;=0),OR('前提と出典'!$C$37+'前提と出典'!$C$38=0,Y900&gt;=0)),0,A900)</ns0:f>
        <ns0:v>0</ns0:v>
      </ns0:c>
    </ns0:row>
    <ns0:row r="901" ht="24" customHeight="1">
      <ns0:c r="A901" s="4" t="n">
        <ns0:v>897</ns0:v>
      </ns0:c>
      <ns0:c r="B901" s="12">
        <ns0:f>A901*('前提と出典'!$C$36+'前提と出典'!$C$38)</ns0:f>
        <ns0:v>627.9</ns0:v>
      </ns0:c>
      <ns0:c r="C901" s="12">
        <ns0:f>A901*('前提と出典'!$C$37+'前提と出典'!$C$38)</ns0:f>
        <ns0:v>538.1999999999999</ns0:v>
      </ns0:c>
      <ns0:c r="D901" s="16">
        <ns0:f>A901*('前提と出典'!$C$36*'契約別単価'!C5+'前提と出典'!$C$37*'契約別単価'!C6+'前提と出典'!$C$38*'契約別単価'!C7)</ns0:f>
        <ns0:v>6454.391061452514</ns0:v>
      </ns0:c>
      <ns0:c r="E901" s="16">
        <ns0:f>A901*('前提と出典'!$C$36*'契約別単価'!E5+'前提と出典'!$C$37*'契約別単価'!E6+'前提と出典'!$C$38*'契約別単価'!E7)</ns0:f>
        <ns0:v>2254944.0121470992</ns0:v>
      </ns0:c>
      <ns0:c r="F901" s="16">
        <ns0:f>A901*('前提と出典'!$C$36*'契約別単価'!F5+'前提と出典'!$C$37*'契約別単価'!F6+'前提と出典'!$C$38*'契約別単価'!F7)</ns0:f>
        <ns0:v>655229.090236326</ns0:v>
      </ns0:c>
      <ns0:c r="G901" s="16">
        <ns0:f>A901*('前提と出典'!$C$36*'契約別単価'!G5+'前提と出典'!$C$37*'契約別単価'!G6+'前提と出典'!$C$38*'契約別単価'!G7)</ns0:f>
        <ns0:v>1785481.005586592</ns0:v>
      </ns0:c>
      <ns0:c r="H901" s="16">
        <ns0:f>A901*('前提と出典'!$C$36*'契約別単価'!H5+'前提と出典'!$C$37*'契約別単価'!H6+'前提と出典'!$C$38*'契約別単価'!H7)</ns0:f>
        <ns0:v>619651.4578478986</ns0:v>
      </ns0:c>
      <ns0:c r="I901" s="16">
        <ns0:f>A901*('前提と出典'!$C$36*'契約別単価'!I5+'前提と出典'!$C$37*'契約別単価'!I6+'前提と出典'!$C$38*'契約別単価'!I7)</ns0:f>
        <ns0:v>37849.39106145251</ns0:v>
      </ns0:c>
      <ns0:c r="J901" s="16">
        <ns0:f>A901*('前提と出典'!$C$36*'契約別単価'!J5+'前提と出典'!$C$37*'契約別単価'!J6+'前提と出典'!$C$38*'契約別単価'!J7)</ns0:f>
        <ns0:v>88165.72070814141</ns0:v>
      </ns0:c>
      <ns0:c r="K901" s="16">
        <ns0:f>A901*('前提と出典'!$C$36*'契約別単価'!K5+'前提と出典'!$C$37*'契約別単価'!K6+'前提と出典'!$C$38*'契約別単価'!K7)</ns0:f>
        <ns0:v>377909.27374301676</ns0:v>
      </ns0:c>
      <ns0:c r="L901" s="16">
        <ns0:f>A901*('前提と出典'!$C$36*'契約別単価'!L5+'前提と出典'!$C$37*'契約別単価'!L6+'前提と出典'!$C$38*'契約別単価'!L7)</ns0:f>
        <ns0:v>307695.0485949299</ns0:v>
      </ns0:c>
      <ns0:c r="M901" s="16">
        <ns0:f>IF(('前提と出典'!$C$36+'前提と出典'!$C$38)=0,0,IF(B901&lt;=10,'前提と出典'!B73+'前提と出典'!C73,IF(B901&lt;=100,'前提と出典'!B74+'前提と出典'!C74,IF(B901&lt;=500,'前提と出典'!B75+'前提と出典'!C75,'前提と出典'!B76+'前提と出典'!C76))))</ns0:f>
        <ns0:v>80000</ns0:v>
      </ns0:c>
      <ns0:c r="N901" s="16">
        <ns0:f>IF(('前提と出典'!$C$37+'前提と出典'!$C$38)=0,0,IF(C901&lt;=10,'前提と出典'!D73+'前提と出典'!E73,IF(C901&lt;=100,'前提と出典'!D74+'前提と出典'!E74,IF(C901&lt;=500,'前提と出典'!D75+'前提と出典'!E75,'前提と出典'!D76+'前提と出典'!E76))))</ns0:f>
        <ns0:v>86510.9346263078</ns0:v>
      </ns0:c>
      <ns0:c r="O901" s="16">
        <ns0:f>IF('前提と出典'!$C$36+'前提と出典'!$C$38=0,0,'前提と出典'!$B$4*IF('前提と出典'!$B$20=0,MAX('前提と出典'!$B$6,D901*'前提と出典'!$B$5),'前提と出典'!$B$6+D901*'前提と出典'!$B$5))</ns0:f>
        <ns0:v>890705.966480447</ns0:v>
      </ns0:c>
      <ns0:c r="P901" s="16">
        <ns0:f>(E901+G901)*(1-'前提と出典'!$B$7)-I901-K901-M901-O901</ns0:f>
        <ns0:v>2508505.085810362</ns0:v>
      </ns0:c>
      <ns0:c r="Q901" s="16">
        <ns0:f>(F901+H901)*(1-'前提と出典'!$B$7)-J901-L901-N901</ns0:f>
        <ns0:v>746613.1444238133</ns0:v>
      </ns0:c>
      <ns0:c r="R901" s="16">
        <ns0:f>P901-E901*'前提と出典'!$E$4</ns0:f>
        <ns0:v>1832021.882166232</ns0:v>
      </ns0:c>
      <ns0:c r="S901" s="16">
        <ns0:f>Q901-F901*'前提と出典'!$E$4</ns0:f>
        <ns0:v>550044.4173529155</ns0:v>
      </ns0:c>
      <ns0:c r="T901" s="7">
        <ns0:f>R901+S901</ns0:f>
        <ns0:v>2382066.2995191477</ns0:v>
      </ns0:c>
      <ns0:c r="U901" s="16">
        <ns0:f>P901-E901*'前提と出典'!$E$5</ns0:f>
        <ns0:v>1606527.480951522</ns0:v>
      </ns0:c>
      <ns0:c r="V901" s="16">
        <ns0:f>Q901-F901*'前提と出典'!$E$5</ns0:f>
        <ns0:v>484521.508329283</ns0:v>
      </ns0:c>
      <ns0:c r="W901" s="7">
        <ns0:f>U901+V901</ns0:f>
        <ns0:v>2091048.989280805</ns0:v>
      </ns0:c>
      <ns0:c r="X901" s="16">
        <ns0:f>P901-E901*'前提と出典'!$E$6</ns0:f>
        <ns0:v>1381033.0797368125</ns0:v>
      </ns0:c>
      <ns0:c r="Y901" s="16">
        <ns0:f>Q901-F901*'前提と出典'!$E$6</ns0:f>
        <ns0:v>418998.5993056503</ns0:v>
      </ns0:c>
      <ns0:c r="Z901" s="7">
        <ns0:f>X901+Y901</ns0:f>
        <ns0:v>1800031.6790424627</ns0:v>
      </ns0:c>
      <ns0:c r="AA901" s="7">
        <ns0:f>IF(T901&gt;=0,A901,1001)</ns0:f>
        <ns0:v>897</ns0:v>
      </ns0:c>
      <ns0:c r="AB901" s="7">
        <ns0:f>IF(T901&lt;0,A901,0)</ns0:f>
        <ns0:v>0</ns0:v>
      </ns0:c>
      <ns0:c r="AC901" s="16">
        <ns0:f>IF(AND(OR('前提と出典'!$C$36+'前提と出典'!$C$38=0,R901&gt;=0),OR('前提と出典'!$C$37+'前提と出典'!$C$38=0,S901&gt;=0)),0,A901)</ns0:f>
        <ns0:v>0</ns0:v>
      </ns0:c>
      <ns0:c r="AD901" s="7">
        <ns0:f>IF(W901&gt;=0,A901,1001)</ns0:f>
        <ns0:v>897</ns0:v>
      </ns0:c>
      <ns0:c r="AE901" s="7">
        <ns0:f>IF(W901&lt;0,A901,0)</ns0:f>
        <ns0:v>0</ns0:v>
      </ns0:c>
      <ns0:c r="AF901" s="16">
        <ns0:f>IF(AND(OR('前提と出典'!$C$36+'前提と出典'!$C$38=0,U901&gt;=0),OR('前提と出典'!$C$37+'前提と出典'!$C$38=0,V901&gt;=0)),0,A901)</ns0:f>
        <ns0:v>0</ns0:v>
      </ns0:c>
      <ns0:c r="AG901" s="7">
        <ns0:f>IF(Z901&gt;=0,A901,1001)</ns0:f>
        <ns0:v>897</ns0:v>
      </ns0:c>
      <ns0:c r="AH901" s="4">
        <ns0:f>IF(Z901&lt;0,A901,0)</ns0:f>
        <ns0:v>0</ns0:v>
      </ns0:c>
      <ns0:c r="AI901" s="12">
        <ns0:f>IF(AND(OR('前提と出典'!$C$36+'前提と出典'!$C$38=0,X901&gt;=0),OR('前提と出典'!$C$37+'前提と出典'!$C$38=0,Y901&gt;=0)),0,A901)</ns0:f>
        <ns0:v>0</ns0:v>
      </ns0:c>
    </ns0:row>
    <ns0:row r="902" ht="24" customHeight="1">
      <ns0:c r="A902" s="4" t="n">
        <ns0:v>898</ns0:v>
      </ns0:c>
      <ns0:c r="B902" s="12">
        <ns0:f>A902*('前提と出典'!$C$36+'前提と出典'!$C$38)</ns0:f>
        <ns0:v>628.5999999999999</ns0:v>
      </ns0:c>
      <ns0:c r="C902" s="12">
        <ns0:f>A902*('前提と出典'!$C$37+'前提と出典'!$C$38)</ns0:f>
        <ns0:v>538.8</ns0:v>
      </ns0:c>
      <ns0:c r="D902" s="16">
        <ns0:f>A902*('前提と出典'!$C$36*'契約別単価'!C5+'前提と出典'!$C$37*'契約別単価'!C6+'前提と出典'!$C$38*'契約別単価'!C7)</ns0:f>
        <ns0:v>6461.586592178771</ns0:v>
      </ns0:c>
      <ns0:c r="E902" s="16">
        <ns0:f>A902*('前提と出典'!$C$36*'契約別単価'!E5+'前提と出典'!$C$37*'契約別単価'!E6+'前提と出典'!$C$38*'契約別単価'!E7)</ns0:f>
        <ns0:v>2257457.8850703402</ns0:v>
      </ns0:c>
      <ns0:c r="F902" s="16">
        <ns0:f>A902*('前提と出典'!$C$36*'契約別単価'!F5+'前提と出典'!$C$37*'契約別単価'!F6+'前提と出典'!$C$38*'契約別単価'!F7)</ns0:f>
        <ns0:v>655959.5574495214</ns0:v>
      </ns0:c>
      <ns0:c r="G902" s="16">
        <ns0:f>A902*('前提と出典'!$C$36*'契約別単価'!G5+'前提と出典'!$C$37*'契約別単価'!G6+'前提と出典'!$C$38*'契約別単価'!G7)</ns0:f>
        <ns0:v>1787471.5083798883</ns0:v>
      </ns0:c>
      <ns0:c r="H902" s="16">
        <ns0:f>A902*('前提と出典'!$C$36*'契約別単価'!H5+'前提と出典'!$C$37*'契約別単価'!H6+'前提と出典'!$C$38*'契約別単価'!H7)</ns0:f>
        <ns0:v>620342.2621487323</ns0:v>
      </ns0:c>
      <ns0:c r="I902" s="16">
        <ns0:f>A902*('前提と出典'!$C$36*'契約別単価'!I5+'前提と出典'!$C$37*'契約別単価'!I6+'前提と出典'!$C$38*'契約別単価'!I7)</ns0:f>
        <ns0:v>37891.58659217876</ns0:v>
      </ns0:c>
      <ns0:c r="J902" s="16">
        <ns0:f>A902*('前提と出典'!$C$36*'契約別単価'!J5+'前提と出典'!$C$37*'契約別単価'!J6+'前提と出典'!$C$38*'契約別単価'!J7)</ns0:f>
        <ns0:v>88264.01025185171</ns0:v>
      </ns0:c>
      <ns0:c r="K902" s="16">
        <ns0:f>A902*('前提と出典'!$C$36*'契約別単価'!K5+'前提と出典'!$C$37*'契約別単価'!K6+'前提と出典'!$C$38*'契約別単価'!K7)</ns0:f>
        <ns0:v>378330.57728119177</ns0:v>
      </ns0:c>
      <ns0:c r="L902" s="16">
        <ns0:f>A902*('前提と出典'!$C$36*'契約別単価'!L5+'前提と出典'!$C$37*'契約別単価'!L6+'前提と出典'!$C$38*'契約別単価'!L7)</ns0:f>
        <ns0:v>308038.07540495775</ns0:v>
      </ns0:c>
      <ns0:c r="M902" s="16">
        <ns0:f>IF(('前提と出典'!$C$36+'前提と出典'!$C$38)=0,0,IF(B902&lt;=10,'前提と出典'!B73+'前提と出典'!C73,IF(B902&lt;=100,'前提と出典'!B74+'前提と出典'!C74,IF(B902&lt;=500,'前提と出典'!B75+'前提と出典'!C75,'前提と出典'!B76+'前提と出典'!C76))))</ns0:f>
        <ns0:v>80000</ns0:v>
      </ns0:c>
      <ns0:c r="N902" s="16">
        <ns0:f>IF(('前提と出典'!$C$37+'前提と出典'!$C$38)=0,0,IF(C902&lt;=10,'前提と出典'!D73+'前提と出典'!E73,IF(C902&lt;=100,'前提と出典'!D74+'前提と出典'!E74,IF(C902&lt;=500,'前提と出典'!D75+'前提と出典'!E75,'前提と出典'!D76+'前提と出典'!E76))))</ns0:f>
        <ns0:v>86510.9346263078</ns0:v>
      </ns0:c>
      <ns0:c r="O902" s="16">
        <ns0:f>IF('前提と出典'!$C$36+'前提と出典'!$C$38=0,0,'前提と出典'!$B$4*IF('前提と出典'!$B$20=0,MAX('前提と出典'!$B$6,D902*'前提と出典'!$B$5),'前提と出典'!$B$6+D902*'前提と出典'!$B$5))</ns0:f>
        <ns0:v>891698.9497206705</ns0:v>
      </ns0:c>
      <ns0:c r="P902" s="16">
        <ns0:f>(E902+G902)*(1-'前提と出典'!$B$7)-I902-K902-M902-O902</ns0:f>
        <ns0:v>2511390.821691979</ns0:v>
      </ns0:c>
      <ns0:c r="Q902" s="16">
        <ns0:f>(F902+H902)*(1-'前提と出典'!$B$7)-J902-L902-N902</ns0:f>
        <ns0:v>747541.9338095994</ns0:v>
      </ns0:c>
      <ns0:c r="R902" s="16">
        <ns0:f>P902-E902*'前提と出典'!$E$4</ns0:f>
        <ns0:v>1834153.456170877</ns0:v>
      </ns0:c>
      <ns0:c r="S902" s="16">
        <ns0:f>Q902-F902*'前提と出典'!$E$4</ns0:f>
        <ns0:v>550754.066574743</ns0:v>
      </ns0:c>
      <ns0:c r="T902" s="7">
        <ns0:f>R902+S902</ns0:f>
        <ns0:v>2384907.52274562</ns0:v>
      </ns0:c>
      <ns0:c r="U902" s="16">
        <ns0:f>P902-E902*'前提と出典'!$E$5</ns0:f>
        <ns0:v>1608407.667663843</ns0:v>
      </ns0:c>
      <ns0:c r="V902" s="16">
        <ns0:f>Q902-F902*'前提と出典'!$E$5</ns0:f>
        <ns0:v>485158.1108297908</ns0:v>
      </ns0:c>
      <ns0:c r="W902" s="7">
        <ns0:f>U902+V902</ns0:f>
        <ns0:v>2093565.7784936337</ns0:v>
      </ns0:c>
      <ns0:c r="X902" s="16">
        <ns0:f>P902-E902*'前提と出典'!$E$6</ns0:f>
        <ns0:v>1382661.8791568088</ns0:v>
      </ns0:c>
      <ns0:c r="Y902" s="16">
        <ns0:f>Q902-F902*'前提と出典'!$E$6</ns0:f>
        <ns0:v>419562.1550848386</ns0:v>
      </ns0:c>
      <ns0:c r="Z902" s="7">
        <ns0:f>X902+Y902</ns0:f>
        <ns0:v>1802224.0342416475</ns0:v>
      </ns0:c>
      <ns0:c r="AA902" s="7">
        <ns0:f>IF(T902&gt;=0,A902,1001)</ns0:f>
        <ns0:v>898</ns0:v>
      </ns0:c>
      <ns0:c r="AB902" s="7">
        <ns0:f>IF(T902&lt;0,A902,0)</ns0:f>
        <ns0:v>0</ns0:v>
      </ns0:c>
      <ns0:c r="AC902" s="16">
        <ns0:f>IF(AND(OR('前提と出典'!$C$36+'前提と出典'!$C$38=0,R902&gt;=0),OR('前提と出典'!$C$37+'前提と出典'!$C$38=0,S902&gt;=0)),0,A902)</ns0:f>
        <ns0:v>0</ns0:v>
      </ns0:c>
      <ns0:c r="AD902" s="7">
        <ns0:f>IF(W902&gt;=0,A902,1001)</ns0:f>
        <ns0:v>898</ns0:v>
      </ns0:c>
      <ns0:c r="AE902" s="7">
        <ns0:f>IF(W902&lt;0,A902,0)</ns0:f>
        <ns0:v>0</ns0:v>
      </ns0:c>
      <ns0:c r="AF902" s="16">
        <ns0:f>IF(AND(OR('前提と出典'!$C$36+'前提と出典'!$C$38=0,U902&gt;=0),OR('前提と出典'!$C$37+'前提と出典'!$C$38=0,V902&gt;=0)),0,A902)</ns0:f>
        <ns0:v>0</ns0:v>
      </ns0:c>
      <ns0:c r="AG902" s="7">
        <ns0:f>IF(Z902&gt;=0,A902,1001)</ns0:f>
        <ns0:v>898</ns0:v>
      </ns0:c>
      <ns0:c r="AH902" s="4">
        <ns0:f>IF(Z902&lt;0,A902,0)</ns0:f>
        <ns0:v>0</ns0:v>
      </ns0:c>
      <ns0:c r="AI902" s="12">
        <ns0:f>IF(AND(OR('前提と出典'!$C$36+'前提と出典'!$C$38=0,X902&gt;=0),OR('前提と出典'!$C$37+'前提と出典'!$C$38=0,Y902&gt;=0)),0,A902)</ns0:f>
        <ns0:v>0</ns0:v>
      </ns0:c>
    </ns0:row>
    <ns0:row r="903" ht="24" customHeight="1">
      <ns0:c r="A903" s="4" t="n">
        <ns0:v>899</ns0:v>
      </ns0:c>
      <ns0:c r="B903" s="12">
        <ns0:f>A903*('前提と出典'!$C$36+'前提と出典'!$C$38)</ns0:f>
        <ns0:v>629.3</ns0:v>
      </ns0:c>
      <ns0:c r="C903" s="12">
        <ns0:f>A903*('前提と出典'!$C$37+'前提と出典'!$C$38)</ns0:f>
        <ns0:v>539.4</ns0:v>
      </ns0:c>
      <ns0:c r="D903" s="16">
        <ns0:f>A903*('前提と出典'!$C$36*'契約別単価'!C5+'前提と出典'!$C$37*'契約別単価'!C6+'前提と出典'!$C$38*'契約別単価'!C7)</ns0:f>
        <ns0:v>6468.782122905028</ns0:v>
      </ns0:c>
      <ns0:c r="E903" s="16">
        <ns0:f>A903*('前提と出典'!$C$36*'契約別単価'!E5+'前提と出典'!$C$37*'契約別単価'!E6+'前提と出典'!$C$38*'契約別単価'!E7)</ns0:f>
        <ns0:v>2259971.757993581</ns0:v>
      </ns0:c>
      <ns0:c r="F903" s="16">
        <ns0:f>A903*('前提と出典'!$C$36*'契約別単価'!F5+'前提と出典'!$C$37*'契約別単価'!F6+'前提と出典'!$C$38*'契約別単価'!F7)</ns0:f>
        <ns0:v>656690.0246627169</ns0:v>
      </ns0:c>
      <ns0:c r="G903" s="16">
        <ns0:f>A903*('前提と出典'!$C$36*'契約別単価'!G5+'前提と出典'!$C$37*'契約別単価'!G6+'前提と出典'!$C$38*'契約別単価'!G7)</ns0:f>
        <ns0:v>1789462.0111731843</ns0:v>
      </ns0:c>
      <ns0:c r="H903" s="16">
        <ns0:f>A903*('前提と出典'!$C$36*'契約別単価'!H5+'前提と出典'!$C$37*'契約別単価'!H6+'前提と出典'!$C$38*'契約別単価'!H7)</ns0:f>
        <ns0:v>621033.0664495662</ns0:v>
      </ns0:c>
      <ns0:c r="I903" s="16">
        <ns0:f>A903*('前提と出典'!$C$36*'契約別単価'!I5+'前提と出典'!$C$37*'契約別単価'!I6+'前提と出典'!$C$38*'契約別単価'!I7)</ns0:f>
        <ns0:v>37933.782122905024</ns0:v>
      </ns0:c>
      <ns0:c r="J903" s="16">
        <ns0:f>A903*('前提と出典'!$C$36*'契約別単価'!J5+'前提と出典'!$C$37*'契約別単価'!J6+'前提と出典'!$C$38*'契約別単価'!J7)</ns0:f>
        <ns0:v>88362.29979556201</ns0:v>
      </ns0:c>
      <ns0:c r="K903" s="16">
        <ns0:f>A903*('前提と出典'!$C$36*'契約別単価'!K5+'前提と出典'!$C$37*'契約別単価'!K6+'前提と出典'!$C$38*'契約別単価'!K7)</ns0:f>
        <ns0:v>378751.88081936684</ns0:v>
      </ns0:c>
      <ns0:c r="L903" s="16">
        <ns0:f>A903*('前提と出典'!$C$36*'契約別単価'!L5+'前提と出典'!$C$37*'契約別単価'!L6+'前提と出典'!$C$38*'契約別単価'!L7)</ns0:f>
        <ns0:v>308381.1022149855</ns0:v>
      </ns0:c>
      <ns0:c r="M903" s="16">
        <ns0:f>IF(('前提と出典'!$C$36+'前提と出典'!$C$38)=0,0,IF(B903&lt;=10,'前提と出典'!B73+'前提と出典'!C73,IF(B903&lt;=100,'前提と出典'!B74+'前提と出典'!C74,IF(B903&lt;=500,'前提と出典'!B75+'前提と出典'!C75,'前提と出典'!B76+'前提と出典'!C76))))</ns0:f>
        <ns0:v>80000</ns0:v>
      </ns0:c>
      <ns0:c r="N903" s="16">
        <ns0:f>IF(('前提と出典'!$C$37+'前提と出典'!$C$38)=0,0,IF(C903&lt;=10,'前提と出典'!D73+'前提と出典'!E73,IF(C903&lt;=100,'前提と出典'!D74+'前提と出典'!E74,IF(C903&lt;=500,'前提と出典'!D75+'前提と出典'!E75,'前提と出典'!D76+'前提と出典'!E76))))</ns0:f>
        <ns0:v>86510.9346263078</ns0:v>
      </ns0:c>
      <ns0:c r="O903" s="16">
        <ns0:f>IF('前提と出典'!$C$36+'前提と出典'!$C$38=0,0,'前提と出典'!$B$4*IF('前提と出典'!$B$20=0,MAX('前提と出典'!$B$6,D903*'前提と出典'!$B$5),'前提と出典'!$B$6+D903*'前提と出典'!$B$5))</ns0:f>
        <ns0:v>892691.932960894</ns0:v>
      </ns0:c>
      <ns0:c r="P903" s="16">
        <ns0:f>(E903+G903)*(1-'前提と出典'!$B$7)-I903-K903-M903-O903</ns0:f>
        <ns0:v>2514276.5575735955</ns0:v>
      </ns0:c>
      <ns0:c r="Q903" s="16">
        <ns0:f>(F903+H903)*(1-'前提と出典'!$B$7)-J903-L903-N903</ns0:f>
        <ns0:v>748470.7231953855</ns0:v>
      </ns0:c>
      <ns0:c r="R903" s="16">
        <ns0:f>P903-E903*'前提と出典'!$E$4</ns0:f>
        <ns0:v>1836285.0301755215</ns0:v>
      </ns0:c>
      <ns0:c r="S903" s="16">
        <ns0:f>Q903-F903*'前提と出典'!$E$4</ns0:f>
        <ns0:v>551463.7157965704</ns0:v>
      </ns0:c>
      <ns0:c r="T903" s="7">
        <ns0:f>R903+S903</ns0:f>
        <ns0:v>2387748.745972092</ns0:v>
      </ns0:c>
      <ns0:c r="U903" s="16">
        <ns0:f>P903-E903*'前提と出典'!$E$5</ns0:f>
        <ns0:v>1610287.8543761633</ns0:v>
      </ns0:c>
      <ns0:c r="V903" s="16">
        <ns0:f>Q903-F903*'前提と出典'!$E$5</ns0:f>
        <ns0:v>485794.7133302988</ns0:v>
      </ns0:c>
      <ns0:c r="W903" s="7">
        <ns0:f>U903+V903</ns0:f>
        <ns0:v>2096082.567706462</ns0:v>
      </ns0:c>
      <ns0:c r="X903" s="16">
        <ns0:f>P903-E903*'前提と出典'!$E$6</ns0:f>
        <ns0:v>1384290.6785768052</ns0:v>
      </ns0:c>
      <ns0:c r="Y903" s="16">
        <ns0:f>Q903-F903*'前提と出典'!$E$6</ns0:f>
        <ns0:v>420125.71086402715</ns0:v>
      </ns0:c>
      <ns0:c r="Z903" s="7">
        <ns0:f>X903+Y903</ns0:f>
        <ns0:v>1804416.3894408322</ns0:v>
      </ns0:c>
      <ns0:c r="AA903" s="7">
        <ns0:f>IF(T903&gt;=0,A903,1001)</ns0:f>
        <ns0:v>899</ns0:v>
      </ns0:c>
      <ns0:c r="AB903" s="7">
        <ns0:f>IF(T903&lt;0,A903,0)</ns0:f>
        <ns0:v>0</ns0:v>
      </ns0:c>
      <ns0:c r="AC903" s="16">
        <ns0:f>IF(AND(OR('前提と出典'!$C$36+'前提と出典'!$C$38=0,R903&gt;=0),OR('前提と出典'!$C$37+'前提と出典'!$C$38=0,S903&gt;=0)),0,A903)</ns0:f>
        <ns0:v>0</ns0:v>
      </ns0:c>
      <ns0:c r="AD903" s="7">
        <ns0:f>IF(W903&gt;=0,A903,1001)</ns0:f>
        <ns0:v>899</ns0:v>
      </ns0:c>
      <ns0:c r="AE903" s="7">
        <ns0:f>IF(W903&lt;0,A903,0)</ns0:f>
        <ns0:v>0</ns0:v>
      </ns0:c>
      <ns0:c r="AF903" s="16">
        <ns0:f>IF(AND(OR('前提と出典'!$C$36+'前提と出典'!$C$38=0,U903&gt;=0),OR('前提と出典'!$C$37+'前提と出典'!$C$38=0,V903&gt;=0)),0,A903)</ns0:f>
        <ns0:v>0</ns0:v>
      </ns0:c>
      <ns0:c r="AG903" s="7">
        <ns0:f>IF(Z903&gt;=0,A903,1001)</ns0:f>
        <ns0:v>899</ns0:v>
      </ns0:c>
      <ns0:c r="AH903" s="4">
        <ns0:f>IF(Z903&lt;0,A903,0)</ns0:f>
        <ns0:v>0</ns0:v>
      </ns0:c>
      <ns0:c r="AI903" s="12">
        <ns0:f>IF(AND(OR('前提と出典'!$C$36+'前提と出典'!$C$38=0,X903&gt;=0),OR('前提と出典'!$C$37+'前提と出典'!$C$38=0,Y903&gt;=0)),0,A903)</ns0:f>
        <ns0:v>0</ns0:v>
      </ns0:c>
    </ns0:row>
    <ns0:row r="904" ht="24" customHeight="1">
      <ns0:c r="A904" s="4" t="n">
        <ns0:v>900</ns0:v>
      </ns0:c>
      <ns0:c r="B904" s="12">
        <ns0:f>A904*('前提と出典'!$C$36+'前提と出典'!$C$38)</ns0:f>
        <ns0:v>630</ns0:v>
      </ns0:c>
      <ns0:c r="C904" s="12">
        <ns0:f>A904*('前提と出典'!$C$37+'前提と出典'!$C$38)</ns0:f>
        <ns0:v>540</ns0:v>
      </ns0:c>
      <ns0:c r="D904" s="16">
        <ns0:f>A904*('前提と出典'!$C$36*'契約別単価'!C5+'前提と出典'!$C$37*'契約別単価'!C6+'前提と出典'!$C$38*'契約別単価'!C7)</ns0:f>
        <ns0:v>6475.977653631285</ns0:v>
      </ns0:c>
      <ns0:c r="E904" s="16">
        <ns0:f>A904*('前提と出典'!$C$36*'契約別単価'!E5+'前提と出典'!$C$37*'契約別単価'!E6+'前提と出典'!$C$38*'契約別単価'!E7)</ns0:f>
        <ns0:v>2262485.630916822</ns0:v>
      </ns0:c>
      <ns0:c r="F904" s="16">
        <ns0:f>A904*('前提と出典'!$C$36*'契約別単価'!F5+'前提と出典'!$C$37*'契約別単価'!F6+'前提と出典'!$C$38*'契約別単価'!F7)</ns0:f>
        <ns0:v>657420.4918759123</ns0:v>
      </ns0:c>
      <ns0:c r="G904" s="16">
        <ns0:f>A904*('前提と出典'!$C$36*'契約別単価'!G5+'前提と出典'!$C$37*'契約別単価'!G6+'前提と出典'!$C$38*'契約別単価'!G7)</ns0:f>
        <ns0:v>1791452.5139664803</ns0:v>
      </ns0:c>
      <ns0:c r="H904" s="16">
        <ns0:f>A904*('前提と出典'!$C$36*'契約別単価'!H5+'前提と出典'!$C$37*'契約別単価'!H6+'前提と出典'!$C$38*'契約別単価'!H7)</ns0:f>
        <ns0:v>621723.8707503999</ns0:v>
      </ns0:c>
      <ns0:c r="I904" s="16">
        <ns0:f>A904*('前提と出典'!$C$36*'契約別単価'!I5+'前提と出典'!$C$37*'契約別単価'!I6+'前提と出典'!$C$38*'契約別単価'!I7)</ns0:f>
        <ns0:v>37975.97765363128</ns0:v>
      </ns0:c>
      <ns0:c r="J904" s="16">
        <ns0:f>A904*('前提と出典'!$C$36*'契約別単価'!J5+'前提と出典'!$C$37*'契約別単価'!J6+'前提と出典'!$C$38*'契約別単価'!J7)</ns0:f>
        <ns0:v>88460.58933927231</ns0:v>
      </ns0:c>
      <ns0:c r="K904" s="16">
        <ns0:f>A904*('前提と出典'!$C$36*'契約別単価'!K5+'前提と出典'!$C$37*'契約別単価'!K6+'前提と出典'!$C$38*'契約別単価'!K7)</ns0:f>
        <ns0:v>379173.18435754185</ns0:v>
      </ns0:c>
      <ns0:c r="L904" s="16">
        <ns0:f>A904*('前提と出典'!$C$36*'契約別単価'!L5+'前提と出典'!$C$37*'契約別単価'!L6+'前提と出典'!$C$38*'契約別単価'!L7)</ns0:f>
        <ns0:v>308724.1290250133</ns0:v>
      </ns0:c>
      <ns0:c r="M904" s="16">
        <ns0:f>IF(('前提と出典'!$C$36+'前提と出典'!$C$38)=0,0,IF(B904&lt;=10,'前提と出典'!B73+'前提と出典'!C73,IF(B904&lt;=100,'前提と出典'!B74+'前提と出典'!C74,IF(B904&lt;=500,'前提と出典'!B75+'前提と出典'!C75,'前提と出典'!B76+'前提と出典'!C76))))</ns0:f>
        <ns0:v>80000</ns0:v>
      </ns0:c>
      <ns0:c r="N904" s="16">
        <ns0:f>IF(('前提と出典'!$C$37+'前提と出典'!$C$38)=0,0,IF(C904&lt;=10,'前提と出典'!D73+'前提と出典'!E73,IF(C904&lt;=100,'前提と出典'!D74+'前提と出典'!E74,IF(C904&lt;=500,'前提と出典'!D75+'前提と出典'!E75,'前提と出典'!D76+'前提と出典'!E76))))</ns0:f>
        <ns0:v>86510.9346263078</ns0:v>
      </ns0:c>
      <ns0:c r="O904" s="16">
        <ns0:f>IF('前提と出典'!$C$36+'前提と出典'!$C$38=0,0,'前提と出典'!$B$4*IF('前提と出典'!$B$20=0,MAX('前提と出典'!$B$6,D904*'前提と出典'!$B$5),'前提と出典'!$B$6+D904*'前提と出典'!$B$5))</ns0:f>
        <ns0:v>893684.9162011172</ns0:v>
      </ns0:c>
      <ns0:c r="P904" s="16">
        <ns0:f>(E904+G904)*(1-'前提と出典'!$B$7)-I904-K904-M904-O904</ns0:f>
        <ns0:v>2517162.2934552133</ns0:v>
      </ns0:c>
      <ns0:c r="Q904" s="16">
        <ns0:f>(F904+H904)*(1-'前提と出典'!$B$7)-J904-L904-N904</ns0:f>
        <ns0:v>749399.5125811715</ns0:v>
      </ns0:c>
      <ns0:c r="R904" s="16">
        <ns0:f>P904-E904*'前提と出典'!$E$4</ns0:f>
        <ns0:v>1838416.6041801667</ns0:v>
      </ns0:c>
      <ns0:c r="S904" s="16">
        <ns0:f>Q904-F904*'前提と出典'!$E$4</ns0:f>
        <ns0:v>552173.3650183979</ns0:v>
      </ns0:c>
      <ns0:c r="T904" s="7">
        <ns0:f>R904+S904</ns0:f>
        <ns0:v>2390589.9691985645</ns0:v>
      </ns0:c>
      <ns0:c r="U904" s="16">
        <ns0:f>P904-E904*'前提と出典'!$E$5</ns0:f>
        <ns0:v>1612168.0410884845</ns0:v>
      </ns0:c>
      <ns0:c r="V904" s="16">
        <ns0:f>Q904-F904*'前提と出典'!$E$5</ns0:f>
        <ns0:v>486431.3158308066</ns0:v>
      </ns0:c>
      <ns0:c r="W904" s="7">
        <ns0:f>U904+V904</ns0:f>
        <ns0:v>2098599.356919291</ns0:v>
      </ns0:c>
      <ns0:c r="X904" s="16">
        <ns0:f>P904-E904*'前提と出典'!$E$6</ns0:f>
        <ns0:v>1385919.4779968022</ns0:v>
      </ns0:c>
      <ns0:c r="Y904" s="16">
        <ns0:f>Q904-F904*'前提と出典'!$E$6</ns0:f>
        <ns0:v>420689.26664321544</ns0:v>
      </ns0:c>
      <ns0:c r="Z904" s="7">
        <ns0:f>X904+Y904</ns0:f>
        <ns0:v>1806608.7446400176</ns0:v>
      </ns0:c>
      <ns0:c r="AA904" s="7">
        <ns0:f>IF(T904&gt;=0,A904,1001)</ns0:f>
        <ns0:v>900</ns0:v>
      </ns0:c>
      <ns0:c r="AB904" s="7">
        <ns0:f>IF(T904&lt;0,A904,0)</ns0:f>
        <ns0:v>0</ns0:v>
      </ns0:c>
      <ns0:c r="AC904" s="16">
        <ns0:f>IF(AND(OR('前提と出典'!$C$36+'前提と出典'!$C$38=0,R904&gt;=0),OR('前提と出典'!$C$37+'前提と出典'!$C$38=0,S904&gt;=0)),0,A904)</ns0:f>
        <ns0:v>0</ns0:v>
      </ns0:c>
      <ns0:c r="AD904" s="7">
        <ns0:f>IF(W904&gt;=0,A904,1001)</ns0:f>
        <ns0:v>900</ns0:v>
      </ns0:c>
      <ns0:c r="AE904" s="7">
        <ns0:f>IF(W904&lt;0,A904,0)</ns0:f>
        <ns0:v>0</ns0:v>
      </ns0:c>
      <ns0:c r="AF904" s="16">
        <ns0:f>IF(AND(OR('前提と出典'!$C$36+'前提と出典'!$C$38=0,U904&gt;=0),OR('前提と出典'!$C$37+'前提と出典'!$C$38=0,V904&gt;=0)),0,A904)</ns0:f>
        <ns0:v>0</ns0:v>
      </ns0:c>
      <ns0:c r="AG904" s="7">
        <ns0:f>IF(Z904&gt;=0,A904,1001)</ns0:f>
        <ns0:v>900</ns0:v>
      </ns0:c>
      <ns0:c r="AH904" s="4">
        <ns0:f>IF(Z904&lt;0,A904,0)</ns0:f>
        <ns0:v>0</ns0:v>
      </ns0:c>
      <ns0:c r="AI904" s="12">
        <ns0:f>IF(AND(OR('前提と出典'!$C$36+'前提と出典'!$C$38=0,X904&gt;=0),OR('前提と出典'!$C$37+'前提と出典'!$C$38=0,Y904&gt;=0)),0,A904)</ns0:f>
        <ns0:v>0</ns0:v>
      </ns0:c>
    </ns0:row>
    <ns0:row r="905" ht="24" customHeight="1">
      <ns0:c r="A905" s="4" t="n">
        <ns0:v>901</ns0:v>
      </ns0:c>
      <ns0:c r="B905" s="12">
        <ns0:f>A905*('前提と出典'!$C$36+'前提と出典'!$C$38)</ns0:f>
        <ns0:v>630.6999999999999</ns0:v>
      </ns0:c>
      <ns0:c r="C905" s="12">
        <ns0:f>A905*('前提と出典'!$C$37+'前提と出典'!$C$38)</ns0:f>
        <ns0:v>540.6</ns0:v>
      </ns0:c>
      <ns0:c r="D905" s="16">
        <ns0:f>A905*('前提と出典'!$C$36*'契約別単価'!C5+'前提と出典'!$C$37*'契約別単価'!C6+'前提と出典'!$C$38*'契約別単価'!C7)</ns0:f>
        <ns0:v>6483.173184357542</ns0:v>
      </ns0:c>
      <ns0:c r="E905" s="16">
        <ns0:f>A905*('前提と出典'!$C$36*'契約別単価'!E5+'前提と出典'!$C$37*'契約別単価'!E6+'前提と出典'!$C$38*'契約別単価'!E7)</ns0:f>
        <ns0:v>2264999.503840063</ns0:v>
      </ns0:c>
      <ns0:c r="F905" s="16">
        <ns0:f>A905*('前提と出典'!$C$36*'契約別単価'!F5+'前提と出典'!$C$37*'契約別単価'!F6+'前提と出典'!$C$38*'契約別単価'!F7)</ns0:f>
        <ns0:v>658150.9590891078</ns0:v>
      </ns0:c>
      <ns0:c r="G905" s="16">
        <ns0:f>A905*('前提と出典'!$C$36*'契約別単価'!G5+'前提と出典'!$C$37*'契約別単価'!G6+'前提と出典'!$C$38*'契約別単価'!G7)</ns0:f>
        <ns0:v>1793443.0167597765</ns0:v>
      </ns0:c>
      <ns0:c r="H905" s="16">
        <ns0:f>A905*('前提と出典'!$C$36*'契約別単価'!H5+'前提と出典'!$C$37*'契約別単価'!H6+'前提と出典'!$C$38*'契約別単価'!H7)</ns0:f>
        <ns0:v>622414.6750512337</ns0:v>
      </ns0:c>
      <ns0:c r="I905" s="16">
        <ns0:f>A905*('前提と出典'!$C$36*'契約別単価'!I5+'前提と出典'!$C$37*'契約別単価'!I6+'前提と出典'!$C$38*'契約別単価'!I7)</ns0:f>
        <ns0:v>38018.17318435753</ns0:v>
      </ns0:c>
      <ns0:c r="J905" s="16">
        <ns0:f>A905*('前提と出典'!$C$36*'契約別単価'!J5+'前提と出典'!$C$37*'契約別単価'!J6+'前提と出典'!$C$38*'契約別単価'!J7)</ns0:f>
        <ns0:v>88558.87888298261</ns0:v>
      </ns0:c>
      <ns0:c r="K905" s="16">
        <ns0:f>A905*('前提と出典'!$C$36*'契約別単価'!K5+'前提と出典'!$C$37*'契約別単価'!K6+'前提と出典'!$C$38*'契約別単価'!K7)</ns0:f>
        <ns0:v>379594.4878957169</ns0:v>
      </ns0:c>
      <ns0:c r="L905" s="16">
        <ns0:f>A905*('前提と出典'!$C$36*'契約別単価'!L5+'前提と出典'!$C$37*'契約別単価'!L6+'前提と出典'!$C$38*'契約別単価'!L7)</ns0:f>
        <ns0:v>309067.15583504114</ns0:v>
      </ns0:c>
      <ns0:c r="M905" s="16">
        <ns0:f>IF(('前提と出典'!$C$36+'前提と出典'!$C$38)=0,0,IF(B905&lt;=10,'前提と出典'!B73+'前提と出典'!C73,IF(B905&lt;=100,'前提と出典'!B74+'前提と出典'!C74,IF(B905&lt;=500,'前提と出典'!B75+'前提と出典'!C75,'前提と出典'!B76+'前提と出典'!C76))))</ns0:f>
        <ns0:v>80000</ns0:v>
      </ns0:c>
      <ns0:c r="N905" s="16">
        <ns0:f>IF(('前提と出典'!$C$37+'前提と出典'!$C$38)=0,0,IF(C905&lt;=10,'前提と出典'!D73+'前提と出典'!E73,IF(C905&lt;=100,'前提と出典'!D74+'前提と出典'!E74,IF(C905&lt;=500,'前提と出典'!D75+'前提と出典'!E75,'前提と出典'!D76+'前提と出典'!E76))))</ns0:f>
        <ns0:v>86510.9346263078</ns0:v>
      </ns0:c>
      <ns0:c r="O905" s="16">
        <ns0:f>IF('前提と出典'!$C$36+'前提と出典'!$C$38=0,0,'前提と出典'!$B$4*IF('前提と出典'!$B$20=0,MAX('前提と出典'!$B$6,D905*'前提と出典'!$B$5),'前提と出典'!$B$6+D905*'前提と出典'!$B$5))</ns0:f>
        <ns0:v>894677.8994413407</ns0:v>
      </ns0:c>
      <ns0:c r="P905" s="16">
        <ns0:f>(E905+G905)*(1-'前提と出典'!$B$7)-I905-K905-M905-O905</ns0:f>
        <ns0:v>2520048.02933683</ns0:v>
      </ns0:c>
      <ns0:c r="Q905" s="16">
        <ns0:f>(F905+H905)*(1-'前提と出典'!$B$7)-J905-L905-N905</ns0:f>
        <ns0:v>750328.3019669577</ns0:v>
      </ns0:c>
      <ns0:c r="R905" s="16">
        <ns0:f>P905-E905*'前提と出典'!$E$4</ns0:f>
        <ns0:v>1840548.1781848113</ns0:v>
      </ns0:c>
      <ns0:c r="S905" s="16">
        <ns0:f>Q905-F905*'前提と出典'!$E$4</ns0:f>
        <ns0:v>552883.0142402253</ns0:v>
      </ns0:c>
      <ns0:c r="T905" s="7">
        <ns0:f>R905+S905</ns0:f>
        <ns0:v>2393431.192425037</ns0:v>
      </ns0:c>
      <ns0:c r="U905" s="16">
        <ns0:f>P905-E905*'前提と出典'!$E$5</ns0:f>
        <ns0:v>1614048.227800805</ns0:v>
      </ns0:c>
      <ns0:c r="V905" s="16">
        <ns0:f>Q905-F905*'前提と出典'!$E$5</ns0:f>
        <ns0:v>487067.9183313146</ns0:v>
      </ns0:c>
      <ns0:c r="W905" s="7">
        <ns0:f>U905+V905</ns0:f>
        <ns0:v>2101116.1461321195</ns0:v>
      </ns0:c>
      <ns0:c r="X905" s="16">
        <ns0:f>P905-E905*'前提と出典'!$E$6</ns0:f>
        <ns0:v>1387548.2774167985</ns0:v>
      </ns0:c>
      <ns0:c r="Y905" s="16">
        <ns0:f>Q905-F905*'前提と出典'!$E$6</ns0:f>
        <ns0:v>421252.8224224038</ns0:v>
      </ns0:c>
      <ns0:c r="Z905" s="7">
        <ns0:f>X905+Y905</ns0:f>
        <ns0:v>1808801.0998392024</ns0:v>
      </ns0:c>
      <ns0:c r="AA905" s="7">
        <ns0:f>IF(T905&gt;=0,A905,1001)</ns0:f>
        <ns0:v>901</ns0:v>
      </ns0:c>
      <ns0:c r="AB905" s="7">
        <ns0:f>IF(T905&lt;0,A905,0)</ns0:f>
        <ns0:v>0</ns0:v>
      </ns0:c>
      <ns0:c r="AC905" s="16">
        <ns0:f>IF(AND(OR('前提と出典'!$C$36+'前提と出典'!$C$38=0,R905&gt;=0),OR('前提と出典'!$C$37+'前提と出典'!$C$38=0,S905&gt;=0)),0,A905)</ns0:f>
        <ns0:v>0</ns0:v>
      </ns0:c>
      <ns0:c r="AD905" s="7">
        <ns0:f>IF(W905&gt;=0,A905,1001)</ns0:f>
        <ns0:v>901</ns0:v>
      </ns0:c>
      <ns0:c r="AE905" s="7">
        <ns0:f>IF(W905&lt;0,A905,0)</ns0:f>
        <ns0:v>0</ns0:v>
      </ns0:c>
      <ns0:c r="AF905" s="16">
        <ns0:f>IF(AND(OR('前提と出典'!$C$36+'前提と出典'!$C$38=0,U905&gt;=0),OR('前提と出典'!$C$37+'前提と出典'!$C$38=0,V905&gt;=0)),0,A905)</ns0:f>
        <ns0:v>0</ns0:v>
      </ns0:c>
      <ns0:c r="AG905" s="7">
        <ns0:f>IF(Z905&gt;=0,A905,1001)</ns0:f>
        <ns0:v>901</ns0:v>
      </ns0:c>
      <ns0:c r="AH905" s="4">
        <ns0:f>IF(Z905&lt;0,A905,0)</ns0:f>
        <ns0:v>0</ns0:v>
      </ns0:c>
      <ns0:c r="AI905" s="12">
        <ns0:f>IF(AND(OR('前提と出典'!$C$36+'前提と出典'!$C$38=0,X905&gt;=0),OR('前提と出典'!$C$37+'前提と出典'!$C$38=0,Y905&gt;=0)),0,A905)</ns0:f>
        <ns0:v>0</ns0:v>
      </ns0:c>
    </ns0:row>
    <ns0:row r="906" ht="24" customHeight="1">
      <ns0:c r="A906" s="4" t="n">
        <ns0:v>902</ns0:v>
      </ns0:c>
      <ns0:c r="B906" s="12">
        <ns0:f>A906*('前提と出典'!$C$36+'前提と出典'!$C$38)</ns0:f>
        <ns0:v>631.4</ns0:v>
      </ns0:c>
      <ns0:c r="C906" s="12">
        <ns0:f>A906*('前提と出典'!$C$37+'前提と出典'!$C$38)</ns0:f>
        <ns0:v>541.1999999999999</ns0:v>
      </ns0:c>
      <ns0:c r="D906" s="16">
        <ns0:f>A906*('前提と出典'!$C$36*'契約別単価'!C5+'前提と出典'!$C$37*'契約別単価'!C6+'前提と出典'!$C$38*'契約別単価'!C7)</ns0:f>
        <ns0:v>6490.368715083799</ns0:v>
      </ns0:c>
      <ns0:c r="E906" s="16">
        <ns0:f>A906*('前提と出典'!$C$36*'契約別単価'!E5+'前提と出典'!$C$37*'契約別単価'!E6+'前提と出典'!$C$38*'契約別単価'!E7)</ns0:f>
        <ns0:v>2267513.3767633038</ns0:v>
      </ns0:c>
      <ns0:c r="F906" s="16">
        <ns0:f>A906*('前提と出典'!$C$36*'契約別単価'!F5+'前提と出典'!$C$37*'契約別単価'!F6+'前提と出典'!$C$38*'契約別単価'!F7)</ns0:f>
        <ns0:v>658881.4263023032</ns0:v>
      </ns0:c>
      <ns0:c r="G906" s="16">
        <ns0:f>A906*('前提と出典'!$C$36*'契約別単価'!G5+'前提と出典'!$C$37*'契約別単価'!G6+'前提と出典'!$C$38*'契約別単価'!G7)</ns0:f>
        <ns0:v>1795433.5195530725</ns0:v>
      </ns0:c>
      <ns0:c r="H906" s="16">
        <ns0:f>A906*('前提と出典'!$C$36*'契約別単価'!H5+'前提と出典'!$C$37*'契約別単価'!H6+'前提と出典'!$C$38*'契約別単価'!H7)</ns0:f>
        <ns0:v>623105.4793520675</ns0:v>
      </ns0:c>
      <ns0:c r="I906" s="16">
        <ns0:f>A906*('前提と出典'!$C$36*'契約別単価'!I5+'前提と出典'!$C$37*'契約別単価'!I6+'前提と出典'!$C$38*'契約別単価'!I7)</ns0:f>
        <ns0:v>38060.368715083794</ns0:v>
      </ns0:c>
      <ns0:c r="J906" s="16">
        <ns0:f>A906*('前提と出典'!$C$36*'契約別単価'!J5+'前提と出典'!$C$37*'契約別単価'!J6+'前提と出典'!$C$38*'契約別単価'!J7)</ns0:f>
        <ns0:v>88657.16842669292</ns0:v>
      </ns0:c>
      <ns0:c r="K906" s="16">
        <ns0:f>A906*('前提と出典'!$C$36*'契約別単価'!K5+'前提と出典'!$C$37*'契約別単価'!K6+'前提と出典'!$C$38*'契約別単価'!K7)</ns0:f>
        <ns0:v>380015.791433892</ns0:v>
      </ns0:c>
      <ns0:c r="L906" s="16">
        <ns0:f>A906*('前提と出典'!$C$36*'契約別単価'!L5+'前提と出典'!$C$37*'契約別単価'!L6+'前提と出典'!$C$38*'契約別単価'!L7)</ns0:f>
        <ns0:v>309410.1826450689</ns0:v>
      </ns0:c>
      <ns0:c r="M906" s="16">
        <ns0:f>IF(('前提と出典'!$C$36+'前提と出典'!$C$38)=0,0,IF(B906&lt;=10,'前提と出典'!B73+'前提と出典'!C73,IF(B906&lt;=100,'前提と出典'!B74+'前提と出典'!C74,IF(B906&lt;=500,'前提と出典'!B75+'前提と出典'!C75,'前提と出典'!B76+'前提と出典'!C76))))</ns0:f>
        <ns0:v>80000</ns0:v>
      </ns0:c>
      <ns0:c r="N906" s="16">
        <ns0:f>IF(('前提と出典'!$C$37+'前提と出典'!$C$38)=0,0,IF(C906&lt;=10,'前提と出典'!D73+'前提と出典'!E73,IF(C906&lt;=100,'前提と出典'!D74+'前提と出典'!E74,IF(C906&lt;=500,'前提と出典'!D75+'前提と出典'!E75,'前提と出典'!D76+'前提と出典'!E76))))</ns0:f>
        <ns0:v>86510.9346263078</ns0:v>
      </ns0:c>
      <ns0:c r="O906" s="16">
        <ns0:f>IF('前提と出典'!$C$36+'前提と出典'!$C$38=0,0,'前提と出典'!$B$4*IF('前提と出典'!$B$20=0,MAX('前提と出典'!$B$6,D906*'前提と出典'!$B$5),'前提と出典'!$B$6+D906*'前提と出典'!$B$5))</ns0:f>
        <ns0:v>895670.8826815642</ns0:v>
      </ns0:c>
      <ns0:c r="P906" s="16">
        <ns0:f>(E906+G906)*(1-'前提と出典'!$B$7)-I906-K906-M906-O906</ns0:f>
        <ns0:v>2522933.765218447</ns0:v>
      </ns0:c>
      <ns0:c r="Q906" s="16">
        <ns0:f>(F906+H906)*(1-'前提と出典'!$B$7)-J906-L906-N906</ns0:f>
        <ns0:v>751257.0913527438</ns0:v>
      </ns0:c>
      <ns0:c r="R906" s="16">
        <ns0:f>P906-E906*'前提と出典'!$E$4</ns0:f>
        <ns0:v>1842679.7521894558</ns0:v>
      </ns0:c>
      <ns0:c r="S906" s="16">
        <ns0:f>Q906-F906*'前提と出典'!$E$4</ns0:f>
        <ns0:v>553592.6634620528</ns0:v>
      </ns0:c>
      <ns0:c r="T906" s="7">
        <ns0:f>R906+S906</ns0:f>
        <ns0:v>2396272.4156515086</ns0:v>
      </ns0:c>
      <ns0:c r="U906" s="16">
        <ns0:f>P906-E906*'前提と出典'!$E$5</ns0:f>
        <ns0:v>1615928.4145131253</ns0:v>
      </ns0:c>
      <ns0:c r="V906" s="16">
        <ns0:f>Q906-F906*'前提と出典'!$E$5</ns0:f>
        <ns0:v>487704.5208318224</ns0:v>
      </ns0:c>
      <ns0:c r="W906" s="7">
        <ns0:f>U906+V906</ns0:f>
        <ns0:v>2103632.9353449475</ns0:v>
      </ns0:c>
      <ns0:c r="X906" s="16">
        <ns0:f>P906-E906*'前提と出典'!$E$6</ns0:f>
        <ns0:v>1389177.0768367948</ns0:v>
      </ns0:c>
      <ns0:c r="Y906" s="16">
        <ns0:f>Q906-F906*'前提と出典'!$E$6</ns0:f>
        <ns0:v>421816.3782015922</ns0:v>
      </ns0:c>
      <ns0:c r="Z906" s="7">
        <ns0:f>X906+Y906</ns0:f>
        <ns0:v>1810993.455038387</ns0:v>
      </ns0:c>
      <ns0:c r="AA906" s="7">
        <ns0:f>IF(T906&gt;=0,A906,1001)</ns0:f>
        <ns0:v>902</ns0:v>
      </ns0:c>
      <ns0:c r="AB906" s="7">
        <ns0:f>IF(T906&lt;0,A906,0)</ns0:f>
        <ns0:v>0</ns0:v>
      </ns0:c>
      <ns0:c r="AC906" s="16">
        <ns0:f>IF(AND(OR('前提と出典'!$C$36+'前提と出典'!$C$38=0,R906&gt;=0),OR('前提と出典'!$C$37+'前提と出典'!$C$38=0,S906&gt;=0)),0,A906)</ns0:f>
        <ns0:v>0</ns0:v>
      </ns0:c>
      <ns0:c r="AD906" s="7">
        <ns0:f>IF(W906&gt;=0,A906,1001)</ns0:f>
        <ns0:v>902</ns0:v>
      </ns0:c>
      <ns0:c r="AE906" s="7">
        <ns0:f>IF(W906&lt;0,A906,0)</ns0:f>
        <ns0:v>0</ns0:v>
      </ns0:c>
      <ns0:c r="AF906" s="16">
        <ns0:f>IF(AND(OR('前提と出典'!$C$36+'前提と出典'!$C$38=0,U906&gt;=0),OR('前提と出典'!$C$37+'前提と出典'!$C$38=0,V906&gt;=0)),0,A906)</ns0:f>
        <ns0:v>0</ns0:v>
      </ns0:c>
      <ns0:c r="AG906" s="7">
        <ns0:f>IF(Z906&gt;=0,A906,1001)</ns0:f>
        <ns0:v>902</ns0:v>
      </ns0:c>
      <ns0:c r="AH906" s="4">
        <ns0:f>IF(Z906&lt;0,A906,0)</ns0:f>
        <ns0:v>0</ns0:v>
      </ns0:c>
      <ns0:c r="AI906" s="12">
        <ns0:f>IF(AND(OR('前提と出典'!$C$36+'前提と出典'!$C$38=0,X906&gt;=0),OR('前提と出典'!$C$37+'前提と出典'!$C$38=0,Y906&gt;=0)),0,A906)</ns0:f>
        <ns0:v>0</ns0:v>
      </ns0:c>
    </ns0:row>
    <ns0:row r="907" ht="24" customHeight="1">
      <ns0:c r="A907" s="4" t="n">
        <ns0:v>903</ns0:v>
      </ns0:c>
      <ns0:c r="B907" s="12">
        <ns0:f>A907*('前提と出典'!$C$36+'前提と出典'!$C$38)</ns0:f>
        <ns0:v>632.0999999999999</ns0:v>
      </ns0:c>
      <ns0:c r="C907" s="12">
        <ns0:f>A907*('前提と出典'!$C$37+'前提と出典'!$C$38)</ns0:f>
        <ns0:v>541.8</ns0:v>
      </ns0:c>
      <ns0:c r="D907" s="16">
        <ns0:f>A907*('前提と出典'!$C$36*'契約別単価'!C5+'前提と出典'!$C$37*'契約別単価'!C6+'前提と出典'!$C$38*'契約別単価'!C7)</ns0:f>
        <ns0:v>6497.564245810056</ns0:v>
      </ns0:c>
      <ns0:c r="E907" s="16">
        <ns0:f>A907*('前提と出典'!$C$36*'契約別単価'!E5+'前提と出典'!$C$37*'契約別単価'!E6+'前提と出典'!$C$38*'契約別単価'!E7)</ns0:f>
        <ns0:v>2270027.2496865448</ns0:v>
      </ns0:c>
      <ns0:c r="F907" s="16">
        <ns0:f>A907*('前提と出典'!$C$36*'契約別単価'!F5+'前提と出典'!$C$37*'契約別単価'!F6+'前提と出典'!$C$38*'契約別単価'!F7)</ns0:f>
        <ns0:v>659611.8935154987</ns0:v>
      </ns0:c>
      <ns0:c r="G907" s="16">
        <ns0:f>A907*('前提と出典'!$C$36*'契約別単価'!G5+'前提と出典'!$C$37*'契約別単価'!G6+'前提と出典'!$C$38*'契約別単価'!G7)</ns0:f>
        <ns0:v>1797424.0223463685</ns0:v>
      </ns0:c>
      <ns0:c r="H907" s="16">
        <ns0:f>A907*('前提と出典'!$C$36*'契約別単価'!H5+'前提と出典'!$C$37*'契約別単価'!H6+'前提と出典'!$C$38*'契約別単価'!H7)</ns0:f>
        <ns0:v>623796.2836529013</ns0:v>
      </ns0:c>
      <ns0:c r="I907" s="16">
        <ns0:f>A907*('前提と出典'!$C$36*'契約別単価'!I5+'前提と出典'!$C$37*'契約別単価'!I6+'前提と出典'!$C$38*'契約別単価'!I7)</ns0:f>
        <ns0:v>38102.56424581005</ns0:v>
      </ns0:c>
      <ns0:c r="J907" s="16">
        <ns0:f>A907*('前提と出典'!$C$36*'契約別単価'!J5+'前提と出典'!$C$37*'契約別単価'!J6+'前提と出典'!$C$38*'契約別単価'!J7)</ns0:f>
        <ns0:v>88755.45797040322</ns0:v>
      </ns0:c>
      <ns0:c r="K907" s="16">
        <ns0:f>A907*('前提と出典'!$C$36*'契約別単価'!K5+'前提と出典'!$C$37*'契約別単価'!K6+'前提と出典'!$C$38*'契約別単価'!K7)</ns0:f>
        <ns0:v>380437.094972067</ns0:v>
      </ns0:c>
      <ns0:c r="L907" s="16">
        <ns0:f>A907*('前提と出典'!$C$36*'契約別単価'!L5+'前提と出典'!$C$37*'契約別単価'!L6+'前提と出典'!$C$38*'契約別単価'!L7)</ns0:f>
        <ns0:v>309753.2094550967</ns0:v>
      </ns0:c>
      <ns0:c r="M907" s="16">
        <ns0:f>IF(('前提と出典'!$C$36+'前提と出典'!$C$38)=0,0,IF(B907&lt;=10,'前提と出典'!B73+'前提と出典'!C73,IF(B907&lt;=100,'前提と出典'!B74+'前提と出典'!C74,IF(B907&lt;=500,'前提と出典'!B75+'前提と出典'!C75,'前提と出典'!B76+'前提と出典'!C76))))</ns0:f>
        <ns0:v>80000</ns0:v>
      </ns0:c>
      <ns0:c r="N907" s="16">
        <ns0:f>IF(('前提と出典'!$C$37+'前提と出典'!$C$38)=0,0,IF(C907&lt;=10,'前提と出典'!D73+'前提と出典'!E73,IF(C907&lt;=100,'前提と出典'!D74+'前提と出典'!E74,IF(C907&lt;=500,'前提と出典'!D75+'前提と出典'!E75,'前提と出典'!D76+'前提と出典'!E76))))</ns0:f>
        <ns0:v>86510.9346263078</ns0:v>
      </ns0:c>
      <ns0:c r="O907" s="16">
        <ns0:f>IF('前提と出典'!$C$36+'前提と出典'!$C$38=0,0,'前提と出典'!$B$4*IF('前提と出典'!$B$20=0,MAX('前提と出典'!$B$6,D907*'前提と出典'!$B$5),'前提と出典'!$B$6+D907*'前提と出典'!$B$5))</ns0:f>
        <ns0:v>896663.8659217877</ns0:v>
      </ns0:c>
      <ns0:c r="P907" s="16">
        <ns0:f>(E907+G907)*(1-'前提と出典'!$B$7)-I907-K907-M907-O907</ns0:f>
        <ns0:v>2525819.501100064</ns0:v>
      </ns0:c>
      <ns0:c r="Q907" s="16">
        <ns0:f>(F907+H907)*(1-'前提と出典'!$B$7)-J907-L907-N907</ns0:f>
        <ns0:v>752185.8807385298</ns0:v>
      </ns0:c>
      <ns0:c r="R907" s="16">
        <ns0:f>P907-E907*'前提と出典'!$E$4</ns0:f>
        <ns0:v>1844811.3261941003</ns0:v>
      </ns0:c>
      <ns0:c r="S907" s="16">
        <ns0:f>Q907-F907*'前提と出典'!$E$4</ns0:f>
        <ns0:v>554302.3126838803</ns0:v>
      </ns0:c>
      <ns0:c r="T907" s="7">
        <ns0:f>R907+S907</ns0:f>
        <ns0:v>2399113.6388779804</ns0:v>
      </ns0:c>
      <ns0:c r="U907" s="16">
        <ns0:f>P907-E907*'前提と出典'!$E$5</ns0:f>
        <ns0:v>1617808.6012254457</ns0:v>
      </ns0:c>
      <ns0:c r="V907" s="16">
        <ns0:f>Q907-F907*'前提と出典'!$E$5</ns0:f>
        <ns0:v>488341.12333233026</ns0:v>
      </ns0:c>
      <ns0:c r="W907" s="7">
        <ns0:f>U907+V907</ns0:f>
        <ns0:v>2106149.724557776</ns0:v>
      </ns0:c>
      <ns0:c r="X907" s="16">
        <ns0:f>P907-E907*'前提と出典'!$E$6</ns0:f>
        <ns0:v>1390805.8762567912</ns0:v>
      </ns0:c>
      <ns0:c r="Y907" s="16">
        <ns0:f>Q907-F907*'前提と出典'!$E$6</ns0:f>
        <ns0:v>422379.9339807805</ns0:v>
      </ns0:c>
      <ns0:c r="Z907" s="7">
        <ns0:f>X907+Y907</ns0:f>
        <ns0:v>1813185.8102375716</ns0:v>
      </ns0:c>
      <ns0:c r="AA907" s="7">
        <ns0:f>IF(T907&gt;=0,A907,1001)</ns0:f>
        <ns0:v>903</ns0:v>
      </ns0:c>
      <ns0:c r="AB907" s="7">
        <ns0:f>IF(T907&lt;0,A907,0)</ns0:f>
        <ns0:v>0</ns0:v>
      </ns0:c>
      <ns0:c r="AC907" s="16">
        <ns0:f>IF(AND(OR('前提と出典'!$C$36+'前提と出典'!$C$38=0,R907&gt;=0),OR('前提と出典'!$C$37+'前提と出典'!$C$38=0,S907&gt;=0)),0,A907)</ns0:f>
        <ns0:v>0</ns0:v>
      </ns0:c>
      <ns0:c r="AD907" s="7">
        <ns0:f>IF(W907&gt;=0,A907,1001)</ns0:f>
        <ns0:v>903</ns0:v>
      </ns0:c>
      <ns0:c r="AE907" s="7">
        <ns0:f>IF(W907&lt;0,A907,0)</ns0:f>
        <ns0:v>0</ns0:v>
      </ns0:c>
      <ns0:c r="AF907" s="16">
        <ns0:f>IF(AND(OR('前提と出典'!$C$36+'前提と出典'!$C$38=0,U907&gt;=0),OR('前提と出典'!$C$37+'前提と出典'!$C$38=0,V907&gt;=0)),0,A907)</ns0:f>
        <ns0:v>0</ns0:v>
      </ns0:c>
      <ns0:c r="AG907" s="7">
        <ns0:f>IF(Z907&gt;=0,A907,1001)</ns0:f>
        <ns0:v>903</ns0:v>
      </ns0:c>
      <ns0:c r="AH907" s="4">
        <ns0:f>IF(Z907&lt;0,A907,0)</ns0:f>
        <ns0:v>0</ns0:v>
      </ns0:c>
      <ns0:c r="AI907" s="12">
        <ns0:f>IF(AND(OR('前提と出典'!$C$36+'前提と出典'!$C$38=0,X907&gt;=0),OR('前提と出典'!$C$37+'前提と出典'!$C$38=0,Y907&gt;=0)),0,A907)</ns0:f>
        <ns0:v>0</ns0:v>
      </ns0:c>
    </ns0:row>
    <ns0:row r="908" ht="24" customHeight="1">
      <ns0:c r="A908" s="4" t="n">
        <ns0:v>904</ns0:v>
      </ns0:c>
      <ns0:c r="B908" s="12">
        <ns0:f>A908*('前提と出典'!$C$36+'前提と出典'!$C$38)</ns0:f>
        <ns0:v>632.8</ns0:v>
      </ns0:c>
      <ns0:c r="C908" s="12">
        <ns0:f>A908*('前提と出典'!$C$37+'前提と出典'!$C$38)</ns0:f>
        <ns0:v>542.4</ns0:v>
      </ns0:c>
      <ns0:c r="D908" s="16">
        <ns0:f>A908*('前提と出典'!$C$36*'契約別単価'!C5+'前提と出典'!$C$37*'契約別単価'!C6+'前提と出典'!$C$38*'契約別単価'!C7)</ns0:f>
        <ns0:v>6504.7597765363125</ns0:v>
      </ns0:c>
      <ns0:c r="E908" s="16">
        <ns0:f>A908*('前提と出典'!$C$36*'契約別単価'!E5+'前提と出典'!$C$37*'契約別単価'!E6+'前提と出典'!$C$38*'契約別単価'!E7)</ns0:f>
        <ns0:v>2272541.1226097858</ns0:v>
      </ns0:c>
      <ns0:c r="F908" s="16">
        <ns0:f>A908*('前提と出典'!$C$36*'契約別単価'!F5+'前提と出典'!$C$37*'契約別単価'!F6+'前提と出典'!$C$38*'契約別単価'!F7)</ns0:f>
        <ns0:v>660342.3607286941</ns0:v>
      </ns0:c>
      <ns0:c r="G908" s="16">
        <ns0:f>A908*('前提と出典'!$C$36*'契約別単価'!G5+'前提と出典'!$C$37*'契約別単価'!G6+'前提と出典'!$C$38*'契約別単価'!G7)</ns0:f>
        <ns0:v>1799414.5251396648</ns0:v>
      </ns0:c>
      <ns0:c r="H908" s="16">
        <ns0:f>A908*('前提と出典'!$C$36*'契約別単価'!H5+'前提と出典'!$C$37*'契約別単価'!H6+'前提と出典'!$C$38*'契約別単価'!H7)</ns0:f>
        <ns0:v>624487.087953735</ns0:v>
      </ns0:c>
      <ns0:c r="I908" s="16">
        <ns0:f>A908*('前提と出典'!$C$36*'契約別単価'!I5+'前提と出典'!$C$37*'契約別単価'!I6+'前提と出典'!$C$38*'契約別単価'!I7)</ns0:f>
        <ns0:v>38144.75977653631</ns0:v>
      </ns0:c>
      <ns0:c r="J908" s="16">
        <ns0:f>A908*('前提と出典'!$C$36*'契約別単価'!J5+'前提と出典'!$C$37*'契約別単価'!J6+'前提と出典'!$C$38*'契約別単価'!J7)</ns0:f>
        <ns0:v>88853.74751411352</ns0:v>
      </ns0:c>
      <ns0:c r="K908" s="16">
        <ns0:f>A908*('前提と出典'!$C$36*'契約別単価'!K5+'前提と出典'!$C$37*'契約別単価'!K6+'前提と出典'!$C$38*'契約別単価'!K7)</ns0:f>
        <ns0:v>380858.39851024206</ns0:v>
      </ns0:c>
      <ns0:c r="L908" s="16">
        <ns0:f>A908*('前提と出典'!$C$36*'契約別単価'!L5+'前提と出典'!$C$37*'契約別単価'!L6+'前提と出典'!$C$38*'契約別単価'!L7)</ns0:f>
        <ns0:v>310096.23626512446</ns0:v>
      </ns0:c>
      <ns0:c r="M908" s="16">
        <ns0:f>IF(('前提と出典'!$C$36+'前提と出典'!$C$38)=0,0,IF(B908&lt;=10,'前提と出典'!B73+'前提と出典'!C73,IF(B908&lt;=100,'前提と出典'!B74+'前提と出典'!C74,IF(B908&lt;=500,'前提と出典'!B75+'前提と出典'!C75,'前提と出典'!B76+'前提と出典'!C76))))</ns0:f>
        <ns0:v>80000</ns0:v>
      </ns0:c>
      <ns0:c r="N908" s="16">
        <ns0:f>IF(('前提と出典'!$C$37+'前提と出典'!$C$38)=0,0,IF(C908&lt;=10,'前提と出典'!D73+'前提と出典'!E73,IF(C908&lt;=100,'前提と出典'!D74+'前提と出典'!E74,IF(C908&lt;=500,'前提と出典'!D75+'前提と出典'!E75,'前提と出典'!D76+'前提と出典'!E76))))</ns0:f>
        <ns0:v>86510.9346263078</ns0:v>
      </ns0:c>
      <ns0:c r="O908" s="16">
        <ns0:f>IF('前提と出典'!$C$36+'前提と出典'!$C$38=0,0,'前提と出典'!$B$4*IF('前提と出典'!$B$20=0,MAX('前提と出典'!$B$6,D908*'前提と出典'!$B$5),'前提と出典'!$B$6+D908*'前提と出典'!$B$5))</ns0:f>
        <ns0:v>897656.8491620112</ns0:v>
      </ns0:c>
      <ns0:c r="P908" s="16">
        <ns0:f>(E908+G908)*(1-'前提と出典'!$B$7)-I908-K908-M908-O908</ns0:f>
        <ns0:v>2528705.236981681</ns0:v>
      </ns0:c>
      <ns0:c r="Q908" s="16">
        <ns0:f>(F908+H908)*(1-'前提と出典'!$B$7)-J908-L908-N908</ns0:f>
        <ns0:v>753114.670124316</ns0:v>
      </ns0:c>
      <ns0:c r="R908" s="16">
        <ns0:f>P908-E908*'前提と出典'!$E$4</ns0:f>
        <ns0:v>1846942.9001987453</ns0:v>
      </ns0:c>
      <ns0:c r="S908" s="16">
        <ns0:f>Q908-F908*'前提と出典'!$E$4</ns0:f>
        <ns0:v>555011.9619057076</ns0:v>
      </ns0:c>
      <ns0:c r="T908" s="7">
        <ns0:f>R908+S908</ns0:f>
        <ns0:v>2401954.862104453</ns0:v>
      </ns0:c>
      <ns0:c r="U908" s="16">
        <ns0:f>P908-E908*'前提と出典'!$E$5</ns0:f>
        <ns0:v>1619688.7879377666</ns0:v>
      </ns0:c>
      <ns0:c r="V908" s="16">
        <ns0:f>Q908-F908*'前提と出典'!$E$5</ns0:f>
        <ns0:v>488977.72583283833</ns0:v>
      </ns0:c>
      <ns0:c r="W908" s="7">
        <ns0:f>U908+V908</ns0:f>
        <ns0:v>2108666.513770605</ns0:v>
      </ns0:c>
      <ns0:c r="X908" s="16">
        <ns0:f>P908-E908*'前提と出典'!$E$6</ns0:f>
        <ns0:v>1392434.675676788</ns0:v>
      </ns0:c>
      <ns0:c r="Y908" s="16">
        <ns0:f>Q908-F908*'前提と出典'!$E$6</ns0:f>
        <ns0:v>422943.4897599689</ns0:v>
      </ns0:c>
      <ns0:c r="Z908" s="7">
        <ns0:f>X908+Y908</ns0:f>
        <ns0:v>1815378.1654367568</ns0:v>
      </ns0:c>
      <ns0:c r="AA908" s="7">
        <ns0:f>IF(T908&gt;=0,A908,1001)</ns0:f>
        <ns0:v>904</ns0:v>
      </ns0:c>
      <ns0:c r="AB908" s="7">
        <ns0:f>IF(T908&lt;0,A908,0)</ns0:f>
        <ns0:v>0</ns0:v>
      </ns0:c>
      <ns0:c r="AC908" s="16">
        <ns0:f>IF(AND(OR('前提と出典'!$C$36+'前提と出典'!$C$38=0,R908&gt;=0),OR('前提と出典'!$C$37+'前提と出典'!$C$38=0,S908&gt;=0)),0,A908)</ns0:f>
        <ns0:v>0</ns0:v>
      </ns0:c>
      <ns0:c r="AD908" s="7">
        <ns0:f>IF(W908&gt;=0,A908,1001)</ns0:f>
        <ns0:v>904</ns0:v>
      </ns0:c>
      <ns0:c r="AE908" s="7">
        <ns0:f>IF(W908&lt;0,A908,0)</ns0:f>
        <ns0:v>0</ns0:v>
      </ns0:c>
      <ns0:c r="AF908" s="16">
        <ns0:f>IF(AND(OR('前提と出典'!$C$36+'前提と出典'!$C$38=0,U908&gt;=0),OR('前提と出典'!$C$37+'前提と出典'!$C$38=0,V908&gt;=0)),0,A908)</ns0:f>
        <ns0:v>0</ns0:v>
      </ns0:c>
      <ns0:c r="AG908" s="7">
        <ns0:f>IF(Z908&gt;=0,A908,1001)</ns0:f>
        <ns0:v>904</ns0:v>
      </ns0:c>
      <ns0:c r="AH908" s="4">
        <ns0:f>IF(Z908&lt;0,A908,0)</ns0:f>
        <ns0:v>0</ns0:v>
      </ns0:c>
      <ns0:c r="AI908" s="12">
        <ns0:f>IF(AND(OR('前提と出典'!$C$36+'前提と出典'!$C$38=0,X908&gt;=0),OR('前提と出典'!$C$37+'前提と出典'!$C$38=0,Y908&gt;=0)),0,A908)</ns0:f>
        <ns0:v>0</ns0:v>
      </ns0:c>
    </ns0:row>
    <ns0:row r="909" ht="24" customHeight="1">
      <ns0:c r="A909" s="4" t="n">
        <ns0:v>905</ns0:v>
      </ns0:c>
      <ns0:c r="B909" s="12">
        <ns0:f>A909*('前提と出典'!$C$36+'前提と出典'!$C$38)</ns0:f>
        <ns0:v>633.5</ns0:v>
      </ns0:c>
      <ns0:c r="C909" s="12">
        <ns0:f>A909*('前提と出典'!$C$37+'前提と出典'!$C$38)</ns0:f>
        <ns0:v>543</ns0:v>
      </ns0:c>
      <ns0:c r="D909" s="16">
        <ns0:f>A909*('前提と出典'!$C$36*'契約別単価'!C5+'前提と出典'!$C$37*'契約別単価'!C6+'前提と出典'!$C$38*'契約別単価'!C7)</ns0:f>
        <ns0:v>6511.9553072625695</ns0:v>
      </ns0:c>
      <ns0:c r="E909" s="16">
        <ns0:f>A909*('前提と出典'!$C$36*'契約別単価'!E5+'前提と出典'!$C$37*'契約別単価'!E6+'前提と出典'!$C$38*'契約別単価'!E7)</ns0:f>
        <ns0:v>2275054.9955330263</ns0:v>
      </ns0:c>
      <ns0:c r="F909" s="16">
        <ns0:f>A909*('前提と出典'!$C$36*'契約別単価'!F5+'前提と出典'!$C$37*'契約別単価'!F6+'前提と出典'!$C$38*'契約別単価'!F7)</ns0:f>
        <ns0:v>661072.8279418896</ns0:v>
      </ns0:c>
      <ns0:c r="G909" s="16">
        <ns0:f>A909*('前提と出典'!$C$36*'契約別単価'!G5+'前提と出典'!$C$37*'契約別単価'!G6+'前提と出典'!$C$38*'契約別単価'!G7)</ns0:f>
        <ns0:v>1801405.0279329608</ns0:v>
      </ns0:c>
      <ns0:c r="H909" s="16">
        <ns0:f>A909*('前提と出典'!$C$36*'契約別単価'!H5+'前提と出典'!$C$37*'契約別単価'!H6+'前提と出典'!$C$38*'契約別単価'!H7)</ns0:f>
        <ns0:v>625177.8922545688</ns0:v>
      </ns0:c>
      <ns0:c r="I909" s="16">
        <ns0:f>A909*('前提と出典'!$C$36*'契約別単価'!I5+'前提と出典'!$C$37*'契約別単価'!I6+'前提と出典'!$C$38*'契約別単価'!I7)</ns0:f>
        <ns0:v>38186.955307262564</ns0:v>
      </ns0:c>
      <ns0:c r="J909" s="16">
        <ns0:f>A909*('前提と出典'!$C$36*'契約別単価'!J5+'前提と出典'!$C$37*'契約別単価'!J6+'前提と出典'!$C$38*'契約別単価'!J7)</ns0:f>
        <ns0:v>88952.03705782382</ns0:v>
      </ns0:c>
      <ns0:c r="K909" s="16">
        <ns0:f>A909*('前提と出典'!$C$36*'契約別単価'!K5+'前提と出典'!$C$37*'契約別単価'!K6+'前提と出典'!$C$38*'契約別単価'!K7)</ns0:f>
        <ns0:v>381279.7020484171</ns0:v>
      </ns0:c>
      <ns0:c r="L909" s="16">
        <ns0:f>A909*('前提と出典'!$C$36*'契約別単価'!L5+'前提と出典'!$C$37*'契約別単価'!L6+'前提と出典'!$C$38*'契約別単価'!L7)</ns0:f>
        <ns0:v>310439.2630751523</ns0:v>
      </ns0:c>
      <ns0:c r="M909" s="16">
        <ns0:f>IF(('前提と出典'!$C$36+'前提と出典'!$C$38)=0,0,IF(B909&lt;=10,'前提と出典'!B73+'前提と出典'!C73,IF(B909&lt;=100,'前提と出典'!B74+'前提と出典'!C74,IF(B909&lt;=500,'前提と出典'!B75+'前提と出典'!C75,'前提と出典'!B76+'前提と出典'!C76))))</ns0:f>
        <ns0:v>80000</ns0:v>
      </ns0:c>
      <ns0:c r="N909" s="16">
        <ns0:f>IF(('前提と出典'!$C$37+'前提と出典'!$C$38)=0,0,IF(C909&lt;=10,'前提と出典'!D73+'前提と出典'!E73,IF(C909&lt;=100,'前提と出典'!D74+'前提と出典'!E74,IF(C909&lt;=500,'前提と出典'!D75+'前提と出典'!E75,'前提と出典'!D76+'前提と出典'!E76))))</ns0:f>
        <ns0:v>86510.9346263078</ns0:v>
      </ns0:c>
      <ns0:c r="O909" s="16">
        <ns0:f>IF('前提と出典'!$C$36+'前提と出典'!$C$38=0,0,'前提と出典'!$B$4*IF('前提と出典'!$B$20=0,MAX('前提と出典'!$B$6,D909*'前提と出典'!$B$5),'前提と出典'!$B$6+D909*'前提と出典'!$B$5))</ns0:f>
        <ns0:v>898649.8324022347</ns0:v>
      </ns0:c>
      <ns0:c r="P909" s="16">
        <ns0:f>(E909+G909)*(1-'前提と出典'!$B$7)-I909-K909-M909-O909</ns0:f>
        <ns0:v>2531590.972863297</ns0:v>
      </ns0:c>
      <ns0:c r="Q909" s="16">
        <ns0:f>(F909+H909)*(1-'前提と出典'!$B$7)-J909-L909-N909</ns0:f>
        <ns0:v>754043.459510102</ns0:v>
      </ns0:c>
      <ns0:c r="R909" s="16">
        <ns0:f>P909-E909*'前提と出典'!$E$4</ns0:f>
        <ns0:v>1849074.4742033898</ns0:v>
      </ns0:c>
      <ns0:c r="S909" s="16">
        <ns0:f>Q909-F909*'前提と出典'!$E$4</ns0:f>
        <ns0:v>555721.6111275352</ns0:v>
      </ns0:c>
      <ns0:c r="T909" s="7">
        <ns0:f>R909+S909</ns0:f>
        <ns0:v>2404796.085330925</ns0:v>
      </ns0:c>
      <ns0:c r="U909" s="16">
        <ns0:f>P909-E909*'前提と出典'!$E$5</ns0:f>
        <ns0:v>1621568.9746500866</ns0:v>
      </ns0:c>
      <ns0:c r="V909" s="16">
        <ns0:f>Q909-F909*'前提と出典'!$E$5</ns0:f>
        <ns0:v>489614.3283333462</ns0:v>
      </ns0:c>
      <ns0:c r="W909" s="7">
        <ns0:f>U909+V909</ns0:f>
        <ns0:v>2111183.302983433</ns0:v>
      </ns0:c>
      <ns0:c r="X909" s="16">
        <ns0:f>P909-E909*'前提と出典'!$E$6</ns0:f>
        <ns0:v>1394063.4750967843</ns0:v>
      </ns0:c>
      <ns0:c r="Y909" s="16">
        <ns0:f>Q909-F909*'前提と出典'!$E$6</ns0:f>
        <ns0:v>423507.04553915723</ns0:v>
      </ns0:c>
      <ns0:c r="Z909" s="7">
        <ns0:f>X909+Y909</ns0:f>
        <ns0:v>1817570.5206359415</ns0:v>
      </ns0:c>
      <ns0:c r="AA909" s="7">
        <ns0:f>IF(T909&gt;=0,A909,1001)</ns0:f>
        <ns0:v>905</ns0:v>
      </ns0:c>
      <ns0:c r="AB909" s="7">
        <ns0:f>IF(T909&lt;0,A909,0)</ns0:f>
        <ns0:v>0</ns0:v>
      </ns0:c>
      <ns0:c r="AC909" s="16">
        <ns0:f>IF(AND(OR('前提と出典'!$C$36+'前提と出典'!$C$38=0,R909&gt;=0),OR('前提と出典'!$C$37+'前提と出典'!$C$38=0,S909&gt;=0)),0,A909)</ns0:f>
        <ns0:v>0</ns0:v>
      </ns0:c>
      <ns0:c r="AD909" s="7">
        <ns0:f>IF(W909&gt;=0,A909,1001)</ns0:f>
        <ns0:v>905</ns0:v>
      </ns0:c>
      <ns0:c r="AE909" s="7">
        <ns0:f>IF(W909&lt;0,A909,0)</ns0:f>
        <ns0:v>0</ns0:v>
      </ns0:c>
      <ns0:c r="AF909" s="16">
        <ns0:f>IF(AND(OR('前提と出典'!$C$36+'前提と出典'!$C$38=0,U909&gt;=0),OR('前提と出典'!$C$37+'前提と出典'!$C$38=0,V909&gt;=0)),0,A909)</ns0:f>
        <ns0:v>0</ns0:v>
      </ns0:c>
      <ns0:c r="AG909" s="7">
        <ns0:f>IF(Z909&gt;=0,A909,1001)</ns0:f>
        <ns0:v>905</ns0:v>
      </ns0:c>
      <ns0:c r="AH909" s="4">
        <ns0:f>IF(Z909&lt;0,A909,0)</ns0:f>
        <ns0:v>0</ns0:v>
      </ns0:c>
      <ns0:c r="AI909" s="12">
        <ns0:f>IF(AND(OR('前提と出典'!$C$36+'前提と出典'!$C$38=0,X909&gt;=0),OR('前提と出典'!$C$37+'前提と出典'!$C$38=0,Y909&gt;=0)),0,A909)</ns0:f>
        <ns0:v>0</ns0:v>
      </ns0:c>
    </ns0:row>
    <ns0:row r="910" ht="24" customHeight="1">
      <ns0:c r="A910" s="4" t="n">
        <ns0:v>906</ns0:v>
      </ns0:c>
      <ns0:c r="B910" s="12">
        <ns0:f>A910*('前提と出典'!$C$36+'前提と出典'!$C$38)</ns0:f>
        <ns0:v>634.1999999999999</ns0:v>
      </ns0:c>
      <ns0:c r="C910" s="12">
        <ns0:f>A910*('前提と出典'!$C$37+'前提と出典'!$C$38)</ns0:f>
        <ns0:v>543.6</ns0:v>
      </ns0:c>
      <ns0:c r="D910" s="16">
        <ns0:f>A910*('前提と出典'!$C$36*'契約別単価'!C5+'前提と出典'!$C$37*'契約別単価'!C6+'前提と出典'!$C$38*'契約別単価'!C7)</ns0:f>
        <ns0:v>6519.150837988826</ns0:v>
      </ns0:c>
      <ns0:c r="E910" s="16">
        <ns0:f>A910*('前提と出典'!$C$36*'契約別単価'!E5+'前提と出典'!$C$37*'契約別単価'!E6+'前提と出典'!$C$38*'契約別単価'!E7)</ns0:f>
        <ns0:v>2277568.8684562673</ns0:v>
      </ns0:c>
      <ns0:c r="F910" s="16">
        <ns0:f>A910*('前提と出典'!$C$36*'契約別単価'!F5+'前提と出典'!$C$37*'契約別単価'!F6+'前提と出典'!$C$38*'契約別単価'!F7)</ns0:f>
        <ns0:v>661803.295155085</ns0:v>
      </ns0:c>
      <ns0:c r="G910" s="16">
        <ns0:f>A910*('前提と出典'!$C$36*'契約別単価'!G5+'前提と出典'!$C$37*'契約別単価'!G6+'前提と出典'!$C$38*'契約別単価'!G7)</ns0:f>
        <ns0:v>1803395.530726257</ns0:v>
      </ns0:c>
      <ns0:c r="H910" s="16">
        <ns0:f>A910*('前提と出典'!$C$36*'契約別単価'!H5+'前提と出典'!$C$37*'契約別単価'!H6+'前提と出典'!$C$38*'契約別単価'!H7)</ns0:f>
        <ns0:v>625868.6965554026</ns0:v>
      </ns0:c>
      <ns0:c r="I910" s="16">
        <ns0:f>A910*('前提と出典'!$C$36*'契約別単価'!I5+'前提と出典'!$C$37*'契約別単価'!I6+'前提と出典'!$C$38*'契約別単価'!I7)</ns0:f>
        <ns0:v>38229.15083798882</ns0:v>
      </ns0:c>
      <ns0:c r="J910" s="16">
        <ns0:f>A910*('前提と出典'!$C$36*'契約別単価'!J5+'前提と出典'!$C$37*'契約別単価'!J6+'前提と出典'!$C$38*'契約別単価'!J7)</ns0:f>
        <ns0:v>89050.32660153412</ns0:v>
      </ns0:c>
      <ns0:c r="K910" s="16">
        <ns0:f>A910*('前提と出典'!$C$36*'契約別単価'!K5+'前提と出典'!$C$37*'契約別単価'!K6+'前提と出典'!$C$38*'契約別単価'!K7)</ns0:f>
        <ns0:v>381701.00558659213</ns0:v>
      </ns0:c>
      <ns0:c r="L910" s="16">
        <ns0:f>A910*('前提と出典'!$C$36*'契約別単価'!L5+'前提と出典'!$C$37*'契約別単価'!L6+'前提と出典'!$C$38*'契約別単価'!L7)</ns0:f>
        <ns0:v>310782.2898851801</ns0:v>
      </ns0:c>
      <ns0:c r="M910" s="16">
        <ns0:f>IF(('前提と出典'!$C$36+'前提と出典'!$C$38)=0,0,IF(B910&lt;=10,'前提と出典'!B73+'前提と出典'!C73,IF(B910&lt;=100,'前提と出典'!B74+'前提と出典'!C74,IF(B910&lt;=500,'前提と出典'!B75+'前提と出典'!C75,'前提と出典'!B76+'前提と出典'!C76))))</ns0:f>
        <ns0:v>80000</ns0:v>
      </ns0:c>
      <ns0:c r="N910" s="16">
        <ns0:f>IF(('前提と出典'!$C$37+'前提と出典'!$C$38)=0,0,IF(C910&lt;=10,'前提と出典'!D73+'前提と出典'!E73,IF(C910&lt;=100,'前提と出典'!D74+'前提と出典'!E74,IF(C910&lt;=500,'前提と出典'!D75+'前提と出典'!E75,'前提と出典'!D76+'前提と出典'!E76))))</ns0:f>
        <ns0:v>86510.9346263078</ns0:v>
      </ns0:c>
      <ns0:c r="O910" s="16">
        <ns0:f>IF('前提と出典'!$C$36+'前提と出典'!$C$38=0,0,'前提と出典'!$B$4*IF('前提と出典'!$B$20=0,MAX('前提と出典'!$B$6,D910*'前提と出典'!$B$5),'前提と出典'!$B$6+D910*'前提と出典'!$B$5))</ns0:f>
        <ns0:v>899642.8156424582</ns0:v>
      </ns0:c>
      <ns0:c r="P910" s="16">
        <ns0:f>(E910+G910)*(1-'前提と出典'!$B$7)-I910-K910-M910-O910</ns0:f>
        <ns0:v>2534476.708744915</ns0:v>
      </ns0:c>
      <ns0:c r="Q910" s="16">
        <ns0:f>(F910+H910)*(1-'前提と出典'!$B$7)-J910-L910-N910</ns0:f>
        <ns0:v>754972.2488958882</ns0:v>
      </ns0:c>
      <ns0:c r="R910" s="16">
        <ns0:f>P910-E910*'前提と出典'!$E$4</ns0:f>
        <ns0:v>1851206.0482080348</ns0:v>
      </ns0:c>
      <ns0:c r="S910" s="16">
        <ns0:f>Q910-F910*'前提と出典'!$E$4</ns0:f>
        <ns0:v>556431.2603493626</ns0:v>
      </ns0:c>
      <ns0:c r="T910" s="7">
        <ns0:f>R910+S910</ns0:f>
        <ns0:v>2407637.3085573977</ns0:v>
      </ns0:c>
      <ns0:c r="U910" s="16">
        <ns0:f>P910-E910*'前提と出典'!$E$5</ns0:f>
        <ns0:v>1623449.161362408</ns0:v>
      </ns0:c>
      <ns0:c r="V910" s="16">
        <ns0:f>Q910-F910*'前提と出典'!$E$5</ns0:f>
        <ns0:v>490250.93083385425</ns0:v>
      </ns0:c>
      <ns0:c r="W910" s="7">
        <ns0:f>U910+V910</ns0:f>
        <ns0:v>2113700.0921962624</ns0:v>
      </ns0:c>
      <ns0:c r="X910" s="16">
        <ns0:f>P910-E910*'前提と出典'!$E$6</ns0:f>
        <ns0:v>1395692.2745167816</ns0:v>
      </ns0:c>
      <ns0:c r="Y910" s="16">
        <ns0:f>Q910-F910*'前提と出典'!$E$6</ns0:f>
        <ns0:v>424070.60131834564</ns0:v>
      </ns0:c>
      <ns0:c r="Z910" s="7">
        <ns0:f>X910+Y910</ns0:f>
        <ns0:v>1819762.8758351272</ns0:v>
      </ns0:c>
      <ns0:c r="AA910" s="7">
        <ns0:f>IF(T910&gt;=0,A910,1001)</ns0:f>
        <ns0:v>906</ns0:v>
      </ns0:c>
      <ns0:c r="AB910" s="7">
        <ns0:f>IF(T910&lt;0,A910,0)</ns0:f>
        <ns0:v>0</ns0:v>
      </ns0:c>
      <ns0:c r="AC910" s="16">
        <ns0:f>IF(AND(OR('前提と出典'!$C$36+'前提と出典'!$C$38=0,R910&gt;=0),OR('前提と出典'!$C$37+'前提と出典'!$C$38=0,S910&gt;=0)),0,A910)</ns0:f>
        <ns0:v>0</ns0:v>
      </ns0:c>
      <ns0:c r="AD910" s="7">
        <ns0:f>IF(W910&gt;=0,A910,1001)</ns0:f>
        <ns0:v>906</ns0:v>
      </ns0:c>
      <ns0:c r="AE910" s="7">
        <ns0:f>IF(W910&lt;0,A910,0)</ns0:f>
        <ns0:v>0</ns0:v>
      </ns0:c>
      <ns0:c r="AF910" s="16">
        <ns0:f>IF(AND(OR('前提と出典'!$C$36+'前提と出典'!$C$38=0,U910&gt;=0),OR('前提と出典'!$C$37+'前提と出典'!$C$38=0,V910&gt;=0)),0,A910)</ns0:f>
        <ns0:v>0</ns0:v>
      </ns0:c>
      <ns0:c r="AG910" s="7">
        <ns0:f>IF(Z910&gt;=0,A910,1001)</ns0:f>
        <ns0:v>906</ns0:v>
      </ns0:c>
      <ns0:c r="AH910" s="4">
        <ns0:f>IF(Z910&lt;0,A910,0)</ns0:f>
        <ns0:v>0</ns0:v>
      </ns0:c>
      <ns0:c r="AI910" s="12">
        <ns0:f>IF(AND(OR('前提と出典'!$C$36+'前提と出典'!$C$38=0,X910&gt;=0),OR('前提と出典'!$C$37+'前提と出典'!$C$38=0,Y910&gt;=0)),0,A910)</ns0:f>
        <ns0:v>0</ns0:v>
      </ns0:c>
    </ns0:row>
    <ns0:row r="911" ht="24" customHeight="1">
      <ns0:c r="A911" s="4" t="n">
        <ns0:v>907</ns0:v>
      </ns0:c>
      <ns0:c r="B911" s="12">
        <ns0:f>A911*('前提と出典'!$C$36+'前提と出典'!$C$38)</ns0:f>
        <ns0:v>634.9</ns0:v>
      </ns0:c>
      <ns0:c r="C911" s="12">
        <ns0:f>A911*('前提と出典'!$C$37+'前提と出典'!$C$38)</ns0:f>
        <ns0:v>544.1999999999999</ns0:v>
      </ns0:c>
      <ns0:c r="D911" s="16">
        <ns0:f>A911*('前提と出典'!$C$36*'契約別単価'!C5+'前提と出典'!$C$37*'契約別単価'!C6+'前提と出典'!$C$38*'契約別単価'!C7)</ns0:f>
        <ns0:v>6526.346368715083</ns0:v>
      </ns0:c>
      <ns0:c r="E911" s="16">
        <ns0:f>A911*('前提と出典'!$C$36*'契約別単価'!E5+'前提と出典'!$C$37*'契約別単価'!E6+'前提と出典'!$C$38*'契約別単価'!E7)</ns0:f>
        <ns0:v>2280082.7413795083</ns0:v>
      </ns0:c>
      <ns0:c r="F911" s="16">
        <ns0:f>A911*('前提と出典'!$C$36*'契約別単価'!F5+'前提と出典'!$C$37*'契約別単価'!F6+'前提と出典'!$C$38*'契約別単価'!F7)</ns0:f>
        <ns0:v>662533.7623682806</ns0:v>
      </ns0:c>
      <ns0:c r="G911" s="16">
        <ns0:f>A911*('前提と出典'!$C$36*'契約別単価'!G5+'前提と出典'!$C$37*'契約別単価'!G6+'前提と出典'!$C$38*'契約別単価'!G7)</ns0:f>
        <ns0:v>1805386.033519553</ns0:v>
      </ns0:c>
      <ns0:c r="H911" s="16">
        <ns0:f>A911*('前提と出典'!$C$36*'契約別単価'!H5+'前提と出典'!$C$37*'契約別単価'!H6+'前提と出典'!$C$38*'契約別単価'!H7)</ns0:f>
        <ns0:v>626559.5008562363</ns0:v>
      </ns0:c>
      <ns0:c r="I911" s="16">
        <ns0:f>A911*('前提と出典'!$C$36*'契約別単価'!I5+'前提と出典'!$C$37*'契約別単価'!I6+'前提と出典'!$C$38*'契約別単価'!I7)</ns0:f>
        <ns0:v>38271.34636871508</ns0:v>
      </ns0:c>
      <ns0:c r="J911" s="16">
        <ns0:f>A911*('前提と出典'!$C$36*'契約別単価'!J5+'前提と出典'!$C$37*'契約別単価'!J6+'前提と出典'!$C$38*'契約別単価'!J7)</ns0:f>
        <ns0:v>89148.61614524442</ns0:v>
      </ns0:c>
      <ns0:c r="K911" s="16">
        <ns0:f>A911*('前提と出典'!$C$36*'契約別単価'!K5+'前提と出典'!$C$37*'契約別単価'!K6+'前提と出典'!$C$38*'契約別単価'!K7)</ns0:f>
        <ns0:v>382122.3091247672</ns0:v>
      </ns0:c>
      <ns0:c r="L911" s="16">
        <ns0:f>A911*('前提と出典'!$C$36*'契約別単価'!L5+'前提と出典'!$C$37*'契約別単価'!L6+'前提と出典'!$C$38*'契約別単価'!L7)</ns0:f>
        <ns0:v>311125.31669520785</ns0:v>
      </ns0:c>
      <ns0:c r="M911" s="16">
        <ns0:f>IF(('前提と出典'!$C$36+'前提と出典'!$C$38)=0,0,IF(B911&lt;=10,'前提と出典'!B73+'前提と出典'!C73,IF(B911&lt;=100,'前提と出典'!B74+'前提と出典'!C74,IF(B911&lt;=500,'前提と出典'!B75+'前提と出典'!C75,'前提と出典'!B76+'前提と出典'!C76))))</ns0:f>
        <ns0:v>80000</ns0:v>
      </ns0:c>
      <ns0:c r="N911" s="16">
        <ns0:f>IF(('前提と出典'!$C$37+'前提と出典'!$C$38)=0,0,IF(C911&lt;=10,'前提と出典'!D73+'前提と出典'!E73,IF(C911&lt;=100,'前提と出典'!D74+'前提と出典'!E74,IF(C911&lt;=500,'前提と出典'!D75+'前提と出典'!E75,'前提と出典'!D76+'前提と出典'!E76))))</ns0:f>
        <ns0:v>86510.9346263078</ns0:v>
      </ns0:c>
      <ns0:c r="O911" s="16">
        <ns0:f>IF('前提と出典'!$C$36+'前提と出典'!$C$38=0,0,'前提と出典'!$B$4*IF('前提と出典'!$B$20=0,MAX('前提と出典'!$B$6,D911*'前提と出典'!$B$5),'前提と出典'!$B$6+D911*'前提と出典'!$B$5))</ns0:f>
        <ns0:v>900635.7988826816</ns0:v>
      </ns0:c>
      <ns0:c r="P911" s="16">
        <ns0:f>(E911+G911)*(1-'前提と出典'!$B$7)-I911-K911-M911-O911</ns0:f>
        <ns0:v>2537362.4446265306</ns0:v>
      </ns0:c>
      <ns0:c r="Q911" s="16">
        <ns0:f>(F911+H911)*(1-'前提と出典'!$B$7)-J911-L911-N911</ns0:f>
        <ns0:v>755901.0382816743</ns0:v>
      </ns0:c>
      <ns0:c r="R911" s="16">
        <ns0:f>P911-E911*'前提と出典'!$E$4</ns0:f>
        <ns0:v>1853337.6222126784</ns0:v>
      </ns0:c>
      <ns0:c r="S911" s="16">
        <ns0:f>Q911-F911*'前提と出典'!$E$4</ns0:f>
        <ns0:v>557140.9095711901</ns0:v>
      </ns0:c>
      <ns0:c r="T911" s="7">
        <ns0:f>R911+S911</ns0:f>
        <ns0:v>2410478.5317838686</ns0:v>
      </ns0:c>
      <ns0:c r="U911" s="16">
        <ns0:f>P911-E911*'前提と出典'!$E$5</ns0:f>
        <ns0:v>1625329.3480747275</ns0:v>
      </ns0:c>
      <ns0:c r="V911" s="16">
        <ns0:f>Q911-F911*'前提と出典'!$E$5</ns0:f>
        <ns0:v>490887.5333343621</ns0:v>
      </ns0:c>
      <ns0:c r="W911" s="7">
        <ns0:f>U911+V911</ns0:f>
        <ns0:v>2116216.8814090895</ns0:v>
      </ns0:c>
      <ns0:c r="X911" s="16">
        <ns0:f>P911-E911*'前提と出典'!$E$6</ns0:f>
        <ns0:v>1397321.073936777</ns0:v>
      </ns0:c>
      <ns0:c r="Y911" s="16">
        <ns0:f>Q911-F911*'前提と出典'!$E$6</ns0:f>
        <ns0:v>424634.15709753404</ns0:v>
      </ns0:c>
      <ns0:c r="Z911" s="7">
        <ns0:f>X911+Y911</ns0:f>
        <ns0:v>1821955.231034311</ns0:v>
      </ns0:c>
      <ns0:c r="AA911" s="7">
        <ns0:f>IF(T911&gt;=0,A911,1001)</ns0:f>
        <ns0:v>907</ns0:v>
      </ns0:c>
      <ns0:c r="AB911" s="7">
        <ns0:f>IF(T911&lt;0,A911,0)</ns0:f>
        <ns0:v>0</ns0:v>
      </ns0:c>
      <ns0:c r="AC911" s="16">
        <ns0:f>IF(AND(OR('前提と出典'!$C$36+'前提と出典'!$C$38=0,R911&gt;=0),OR('前提と出典'!$C$37+'前提と出典'!$C$38=0,S911&gt;=0)),0,A911)</ns0:f>
        <ns0:v>0</ns0:v>
      </ns0:c>
      <ns0:c r="AD911" s="7">
        <ns0:f>IF(W911&gt;=0,A911,1001)</ns0:f>
        <ns0:v>907</ns0:v>
      </ns0:c>
      <ns0:c r="AE911" s="7">
        <ns0:f>IF(W911&lt;0,A911,0)</ns0:f>
        <ns0:v>0</ns0:v>
      </ns0:c>
      <ns0:c r="AF911" s="16">
        <ns0:f>IF(AND(OR('前提と出典'!$C$36+'前提と出典'!$C$38=0,U911&gt;=0),OR('前提と出典'!$C$37+'前提と出典'!$C$38=0,V911&gt;=0)),0,A911)</ns0:f>
        <ns0:v>0</ns0:v>
      </ns0:c>
      <ns0:c r="AG911" s="7">
        <ns0:f>IF(Z911&gt;=0,A911,1001)</ns0:f>
        <ns0:v>907</ns0:v>
      </ns0:c>
      <ns0:c r="AH911" s="4">
        <ns0:f>IF(Z911&lt;0,A911,0)</ns0:f>
        <ns0:v>0</ns0:v>
      </ns0:c>
      <ns0:c r="AI911" s="12">
        <ns0:f>IF(AND(OR('前提と出典'!$C$36+'前提と出典'!$C$38=0,X911&gt;=0),OR('前提と出典'!$C$37+'前提と出典'!$C$38=0,Y911&gt;=0)),0,A911)</ns0:f>
        <ns0:v>0</ns0:v>
      </ns0:c>
    </ns0:row>
    <ns0:row r="912" ht="24" customHeight="1">
      <ns0:c r="A912" s="4" t="n">
        <ns0:v>908</ns0:v>
      </ns0:c>
      <ns0:c r="B912" s="12">
        <ns0:f>A912*('前提と出典'!$C$36+'前提と出典'!$C$38)</ns0:f>
        <ns0:v>635.5999999999999</ns0:v>
      </ns0:c>
      <ns0:c r="C912" s="12">
        <ns0:f>A912*('前提と出典'!$C$37+'前提と出典'!$C$38)</ns0:f>
        <ns0:v>544.8</ns0:v>
      </ns0:c>
      <ns0:c r="D912" s="16">
        <ns0:f>A912*('前提と出典'!$C$36*'契約別単価'!C5+'前提と出典'!$C$37*'契約別単価'!C6+'前提と出典'!$C$38*'契約別単価'!C7)</ns0:f>
        <ns0:v>6533.54189944134</ns0:v>
      </ns0:c>
      <ns0:c r="E912" s="16">
        <ns0:f>A912*('前提と出典'!$C$36*'契約別単価'!E5+'前提と出典'!$C$37*'契約別単価'!E6+'前提と出典'!$C$38*'契約別単価'!E7)</ns0:f>
        <ns0:v>2282596.6143027493</ns0:v>
      </ns0:c>
      <ns0:c r="F912" s="16">
        <ns0:f>A912*('前提と出典'!$C$36*'契約別単価'!F5+'前提と出典'!$C$37*'契約別単価'!F6+'前提と出典'!$C$38*'契約別単価'!F7)</ns0:f>
        <ns0:v>663264.229581476</ns0:v>
      </ns0:c>
      <ns0:c r="G912" s="16">
        <ns0:f>A912*('前提と出典'!$C$36*'契約別単価'!G5+'前提と出典'!$C$37*'契約別単価'!G6+'前提と出典'!$C$38*'契約別単価'!G7)</ns0:f>
        <ns0:v>1807376.536312849</ns0:v>
      </ns0:c>
      <ns0:c r="H912" s="16">
        <ns0:f>A912*('前提と出典'!$C$36*'契約別単価'!H5+'前提と出典'!$C$37*'契約別単価'!H6+'前提と出典'!$C$38*'契約別単価'!H7)</ns0:f>
        <ns0:v>627250.3051570702</ns0:v>
      </ns0:c>
      <ns0:c r="I912" s="16">
        <ns0:f>A912*('前提と出典'!$C$36*'契約別単価'!I5+'前提と出典'!$C$37*'契約別単価'!I6+'前提と出典'!$C$38*'契約別単価'!I7)</ns0:f>
        <ns0:v>38313.541899441334</ns0:v>
      </ns0:c>
      <ns0:c r="J912" s="16">
        <ns0:f>A912*('前提と出典'!$C$36*'契約別単価'!J5+'前提と出典'!$C$37*'契約別単価'!J6+'前提と出典'!$C$38*'契約別単価'!J7)</ns0:f>
        <ns0:v>89246.90568895474</ns0:v>
      </ns0:c>
      <ns0:c r="K912" s="16">
        <ns0:f>A912*('前提と出典'!$C$36*'契約別単価'!K5+'前提と出典'!$C$37*'契約別単価'!K6+'前提と出典'!$C$38*'契約別単価'!K7)</ns0:f>
        <ns0:v>382543.61266294227</ns0:v>
      </ns0:c>
      <ns0:c r="L912" s="16">
        <ns0:f>A912*('前提と出典'!$C$36*'契約別単価'!L5+'前提と出典'!$C$37*'契約別単価'!L6+'前提と出典'!$C$38*'契約別単価'!L7)</ns0:f>
        <ns0:v>311468.3435052357</ns0:v>
      </ns0:c>
      <ns0:c r="M912" s="16">
        <ns0:f>IF(('前提と出典'!$C$36+'前提と出典'!$C$38)=0,0,IF(B912&lt;=10,'前提と出典'!B73+'前提と出典'!C73,IF(B912&lt;=100,'前提と出典'!B74+'前提と出典'!C74,IF(B912&lt;=500,'前提と出典'!B75+'前提と出典'!C75,'前提と出典'!B76+'前提と出典'!C76))))</ns0:f>
        <ns0:v>80000</ns0:v>
      </ns0:c>
      <ns0:c r="N912" s="16">
        <ns0:f>IF(('前提と出典'!$C$37+'前提と出典'!$C$38)=0,0,IF(C912&lt;=10,'前提と出典'!D73+'前提と出典'!E73,IF(C912&lt;=100,'前提と出典'!D74+'前提と出典'!E74,IF(C912&lt;=500,'前提と出典'!D75+'前提と出典'!E75,'前提と出典'!D76+'前提と出典'!E76))))</ns0:f>
        <ns0:v>86510.9346263078</ns0:v>
      </ns0:c>
      <ns0:c r="O912" s="16">
        <ns0:f>IF('前提と出典'!$C$36+'前提と出典'!$C$38=0,0,'前提と出典'!$B$4*IF('前提と出典'!$B$20=0,MAX('前提と出典'!$B$6,D912*'前提と出典'!$B$5),'前提と出典'!$B$6+D912*'前提と出典'!$B$5))</ns0:f>
        <ns0:v>901628.782122905</ns0:v>
      </ns0:c>
      <ns0:c r="P912" s="16">
        <ns0:f>(E912+G912)*(1-'前提と出典'!$B$7)-I912-K912-M912-O912</ns0:f>
        <ns0:v>2540248.1805081484</ns0:v>
      </ns0:c>
      <ns0:c r="Q912" s="16">
        <ns0:f>(F912+H912)*(1-'前提と出典'!$B$7)-J912-L912-N912</ns0:f>
        <ns0:v>756829.8276674603</ns0:v>
      </ns0:c>
      <ns0:c r="R912" s="16">
        <ns0:f>P912-E912*'前提と出典'!$E$4</ns0:f>
        <ns0:v>1855469.1962173237</ns0:v>
      </ns0:c>
      <ns0:c r="S912" s="16">
        <ns0:f>Q912-F912*'前提と出典'!$E$4</ns0:f>
        <ns0:v>557850.5587930176</ns0:v>
      </ns0:c>
      <ns0:c r="T912" s="7">
        <ns0:f>R912+S912</ns0:f>
        <ns0:v>2413319.7550103413</ns0:v>
      </ns0:c>
      <ns0:c r="U912" s="16">
        <ns0:f>P912-E912*'前提と出典'!$E$5</ns0:f>
        <ns0:v>1627209.5347870486</ns0:v>
      </ns0:c>
      <ns0:c r="V912" s="16">
        <ns0:f>Q912-F912*'前提と出典'!$E$5</ns0:f>
        <ns0:v>491524.1358348699</ns0:v>
      </ns0:c>
      <ns0:c r="W912" s="7">
        <ns0:f>U912+V912</ns0:f>
        <ns0:v>2118733.6706219185</ns0:v>
      </ns0:c>
      <ns0:c r="X912" s="16">
        <ns0:f>P912-E912*'前提と出典'!$E$6</ns0:f>
        <ns0:v>1398949.873356774</ns0:v>
      </ns0:c>
      <ns0:c r="Y912" s="16">
        <ns0:f>Q912-F912*'前提と出典'!$E$6</ns0:f>
        <ns0:v>425197.7128767224</ns0:v>
      </ns0:c>
      <ns0:c r="Z912" s="7">
        <ns0:f>X912+Y912</ns0:f>
        <ns0:v>1824147.5862334964</ns0:v>
      </ns0:c>
      <ns0:c r="AA912" s="7">
        <ns0:f>IF(T912&gt;=0,A912,1001)</ns0:f>
        <ns0:v>908</ns0:v>
      </ns0:c>
      <ns0:c r="AB912" s="7">
        <ns0:f>IF(T912&lt;0,A912,0)</ns0:f>
        <ns0:v>0</ns0:v>
      </ns0:c>
      <ns0:c r="AC912" s="16">
        <ns0:f>IF(AND(OR('前提と出典'!$C$36+'前提と出典'!$C$38=0,R912&gt;=0),OR('前提と出典'!$C$37+'前提と出典'!$C$38=0,S912&gt;=0)),0,A912)</ns0:f>
        <ns0:v>0</ns0:v>
      </ns0:c>
      <ns0:c r="AD912" s="7">
        <ns0:f>IF(W912&gt;=0,A912,1001)</ns0:f>
        <ns0:v>908</ns0:v>
      </ns0:c>
      <ns0:c r="AE912" s="7">
        <ns0:f>IF(W912&lt;0,A912,0)</ns0:f>
        <ns0:v>0</ns0:v>
      </ns0:c>
      <ns0:c r="AF912" s="16">
        <ns0:f>IF(AND(OR('前提と出典'!$C$36+'前提と出典'!$C$38=0,U912&gt;=0),OR('前提と出典'!$C$37+'前提と出典'!$C$38=0,V912&gt;=0)),0,A912)</ns0:f>
        <ns0:v>0</ns0:v>
      </ns0:c>
      <ns0:c r="AG912" s="7">
        <ns0:f>IF(Z912&gt;=0,A912,1001)</ns0:f>
        <ns0:v>908</ns0:v>
      </ns0:c>
      <ns0:c r="AH912" s="4">
        <ns0:f>IF(Z912&lt;0,A912,0)</ns0:f>
        <ns0:v>0</ns0:v>
      </ns0:c>
      <ns0:c r="AI912" s="12">
        <ns0:f>IF(AND(OR('前提と出典'!$C$36+'前提と出典'!$C$38=0,X912&gt;=0),OR('前提と出典'!$C$37+'前提と出典'!$C$38=0,Y912&gt;=0)),0,A912)</ns0:f>
        <ns0:v>0</ns0:v>
      </ns0:c>
    </ns0:row>
    <ns0:row r="913" ht="24" customHeight="1">
      <ns0:c r="A913" s="4" t="n">
        <ns0:v>909</ns0:v>
      </ns0:c>
      <ns0:c r="B913" s="12">
        <ns0:f>A913*('前提と出典'!$C$36+'前提と出典'!$C$38)</ns0:f>
        <ns0:v>636.3</ns0:v>
      </ns0:c>
      <ns0:c r="C913" s="12">
        <ns0:f>A913*('前提と出典'!$C$37+'前提と出典'!$C$38)</ns0:f>
        <ns0:v>545.4</ns0:v>
      </ns0:c>
      <ns0:c r="D913" s="16">
        <ns0:f>A913*('前提と出典'!$C$36*'契約別単価'!C5+'前提と出典'!$C$37*'契約別単価'!C6+'前提と出典'!$C$38*'契約別単価'!C7)</ns0:f>
        <ns0:v>6540.737430167598</ns0:v>
      </ns0:c>
      <ns0:c r="E913" s="16">
        <ns0:f>A913*('前提と出典'!$C$36*'契約別単価'!E5+'前提と出典'!$C$37*'契約別単価'!E6+'前提と出典'!$C$38*'契約別単価'!E7)</ns0:f>
        <ns0:v>2285110.4872259903</ns0:v>
      </ns0:c>
      <ns0:c r="F913" s="16">
        <ns0:f>A913*('前提と出典'!$C$36*'契約別単価'!F5+'前提と出典'!$C$37*'契約別単価'!F6+'前提と出典'!$C$38*'契約別単価'!F7)</ns0:f>
        <ns0:v>663994.6967946715</ns0:v>
      </ns0:c>
      <ns0:c r="G913" s="16">
        <ns0:f>A913*('前提と出典'!$C$36*'契約別単価'!G5+'前提と出典'!$C$37*'契約別単価'!G6+'前提と出典'!$C$38*'契約別単価'!G7)</ns0:f>
        <ns0:v>1809367.0391061453</ns0:v>
      </ns0:c>
      <ns0:c r="H913" s="16">
        <ns0:f>A913*('前提と出典'!$C$36*'契約別単価'!H5+'前提と出典'!$C$37*'契約別単価'!H6+'前提と出典'!$C$38*'契約別単価'!H7)</ns0:f>
        <ns0:v>627941.1094579039</ns0:v>
      </ns0:c>
      <ns0:c r="I913" s="16">
        <ns0:f>A913*('前提と出典'!$C$36*'契約別単価'!I5+'前提と出典'!$C$37*'契約別単価'!I6+'前提と出典'!$C$38*'契約別単価'!I7)</ns0:f>
        <ns0:v>38355.73743016759</ns0:v>
      </ns0:c>
      <ns0:c r="J913" s="16">
        <ns0:f>A913*('前提と出典'!$C$36*'契約別単価'!J5+'前提と出典'!$C$37*'契約別単価'!J6+'前提と出典'!$C$38*'契約別単価'!J7)</ns0:f>
        <ns0:v>89345.19523266504</ns0:v>
      </ns0:c>
      <ns0:c r="K913" s="16">
        <ns0:f>A913*('前提と出典'!$C$36*'契約別単価'!K5+'前提と出典'!$C$37*'契約別単価'!K6+'前提と出典'!$C$38*'契約別単価'!K7)</ns0:f>
        <ns0:v>382964.9162011173</ns0:v>
      </ns0:c>
      <ns0:c r="L913" s="16">
        <ns0:f>A913*('前提と出典'!$C$36*'契約別単価'!L5+'前提と出典'!$C$37*'契約別単価'!L6+'前提と出典'!$C$38*'契約別単価'!L7)</ns0:f>
        <ns0:v>311811.37031526346</ns0:v>
      </ns0:c>
      <ns0:c r="M913" s="16">
        <ns0:f>IF(('前提と出典'!$C$36+'前提と出典'!$C$38)=0,0,IF(B913&lt;=10,'前提と出典'!B73+'前提と出典'!C73,IF(B913&lt;=100,'前提と出典'!B74+'前提と出典'!C74,IF(B913&lt;=500,'前提と出典'!B75+'前提と出典'!C75,'前提と出典'!B76+'前提と出典'!C76))))</ns0:f>
        <ns0:v>80000</ns0:v>
      </ns0:c>
      <ns0:c r="N913" s="16">
        <ns0:f>IF(('前提と出典'!$C$37+'前提と出典'!$C$38)=0,0,IF(C913&lt;=10,'前提と出典'!D73+'前提と出典'!E73,IF(C913&lt;=100,'前提と出典'!D74+'前提と出典'!E74,IF(C913&lt;=500,'前提と出典'!D75+'前提と出典'!E75,'前提と出典'!D76+'前提と出典'!E76))))</ns0:f>
        <ns0:v>86510.9346263078</ns0:v>
      </ns0:c>
      <ns0:c r="O913" s="16">
        <ns0:f>IF('前提と出典'!$C$36+'前提と出典'!$C$38=0,0,'前提と出典'!$B$4*IF('前提と出典'!$B$20=0,MAX('前提と出典'!$B$6,D913*'前提と出典'!$B$5),'前提と出典'!$B$6+D913*'前提と出典'!$B$5))</ns0:f>
        <ns0:v>902621.7653631285</ns0:v>
      </ns0:c>
      <ns0:c r="P913" s="16">
        <ns0:f>(E913+G913)*(1-'前提と出典'!$B$7)-I913-K913-M913-O913</ns0:f>
        <ns0:v>2543133.916389765</ns0:v>
      </ns0:c>
      <ns0:c r="Q913" s="16">
        <ns0:f>(F913+H913)*(1-'前提と出典'!$B$7)-J913-L913-N913</ns0:f>
        <ns0:v>757758.6170532464</ns0:v>
      </ns0:c>
      <ns0:c r="R913" s="16">
        <ns0:f>P913-E913*'前提と出典'!$E$4</ns0:f>
        <ns0:v>1857600.7702219682</ns0:v>
      </ns0:c>
      <ns0:c r="S913" s="16">
        <ns0:f>Q913-F913*'前提と出典'!$E$4</ns0:f>
        <ns0:v>558560.2080148449</ns0:v>
      </ns0:c>
      <ns0:c r="T913" s="7">
        <ns0:f>R913+S913</ns0:f>
        <ns0:v>2416160.978236813</ns0:v>
      </ns0:c>
      <ns0:c r="U913" s="16">
        <ns0:f>P913-E913*'前提と出典'!$E$5</ns0:f>
        <ns0:v>1629089.721499369</ns0:v>
      </ns0:c>
      <ns0:c r="V913" s="16">
        <ns0:f>Q913-F913*'前提と出典'!$E$5</ns0:f>
        <ns0:v>492160.73833537777</ns0:v>
      </ns0:c>
      <ns0:c r="W913" s="7">
        <ns0:f>U913+V913</ns0:f>
        <ns0:v>2121250.459834747</ns0:v>
      </ns0:c>
      <ns0:c r="X913" s="16">
        <ns0:f>P913-E913*'前提と出典'!$E$6</ns0:f>
        <ns0:v>1400578.6727767698</ns0:v>
      </ns0:c>
      <ns0:c r="Y913" s="16">
        <ns0:f>Q913-F913*'前提と出典'!$E$6</ns0:f>
        <ns0:v>425761.2686559107</ns0:v>
      </ns0:c>
      <ns0:c r="Z913" s="7">
        <ns0:f>X913+Y913</ns0:f>
        <ns0:v>1826339.9414326805</ns0:v>
      </ns0:c>
      <ns0:c r="AA913" s="7">
        <ns0:f>IF(T913&gt;=0,A913,1001)</ns0:f>
        <ns0:v>909</ns0:v>
      </ns0:c>
      <ns0:c r="AB913" s="7">
        <ns0:f>IF(T913&lt;0,A913,0)</ns0:f>
        <ns0:v>0</ns0:v>
      </ns0:c>
      <ns0:c r="AC913" s="16">
        <ns0:f>IF(AND(OR('前提と出典'!$C$36+'前提と出典'!$C$38=0,R913&gt;=0),OR('前提と出典'!$C$37+'前提と出典'!$C$38=0,S913&gt;=0)),0,A913)</ns0:f>
        <ns0:v>0</ns0:v>
      </ns0:c>
      <ns0:c r="AD913" s="7">
        <ns0:f>IF(W913&gt;=0,A913,1001)</ns0:f>
        <ns0:v>909</ns0:v>
      </ns0:c>
      <ns0:c r="AE913" s="7">
        <ns0:f>IF(W913&lt;0,A913,0)</ns0:f>
        <ns0:v>0</ns0:v>
      </ns0:c>
      <ns0:c r="AF913" s="16">
        <ns0:f>IF(AND(OR('前提と出典'!$C$36+'前提と出典'!$C$38=0,U913&gt;=0),OR('前提と出典'!$C$37+'前提と出典'!$C$38=0,V913&gt;=0)),0,A913)</ns0:f>
        <ns0:v>0</ns0:v>
      </ns0:c>
      <ns0:c r="AG913" s="7">
        <ns0:f>IF(Z913&gt;=0,A913,1001)</ns0:f>
        <ns0:v>909</ns0:v>
      </ns0:c>
      <ns0:c r="AH913" s="4">
        <ns0:f>IF(Z913&lt;0,A913,0)</ns0:f>
        <ns0:v>0</ns0:v>
      </ns0:c>
      <ns0:c r="AI913" s="12">
        <ns0:f>IF(AND(OR('前提と出典'!$C$36+'前提と出典'!$C$38=0,X913&gt;=0),OR('前提と出典'!$C$37+'前提と出典'!$C$38=0,Y913&gt;=0)),0,A913)</ns0:f>
        <ns0:v>0</ns0:v>
      </ns0:c>
    </ns0:row>
    <ns0:row r="914" ht="24" customHeight="1">
      <ns0:c r="A914" s="4" t="n">
        <ns0:v>910</ns0:v>
      </ns0:c>
      <ns0:c r="B914" s="12">
        <ns0:f>A914*('前提と出典'!$C$36+'前提と出典'!$C$38)</ns0:f>
        <ns0:v>637</ns0:v>
      </ns0:c>
      <ns0:c r="C914" s="12">
        <ns0:f>A914*('前提と出典'!$C$37+'前提と出典'!$C$38)</ns0:f>
        <ns0:v>546</ns0:v>
      </ns0:c>
      <ns0:c r="D914" s="16">
        <ns0:f>A914*('前提と出典'!$C$36*'契約別単価'!C5+'前提と出典'!$C$37*'契約別単価'!C6+'前提と出典'!$C$38*'契約別単価'!C7)</ns0:f>
        <ns0:v>6547.932960893855</ns0:v>
      </ns0:c>
      <ns0:c r="E914" s="16">
        <ns0:f>A914*('前提と出典'!$C$36*'契約別単価'!E5+'前提と出典'!$C$37*'契約別単価'!E6+'前提と出典'!$C$38*'契約別単価'!E7)</ns0:f>
        <ns0:v>2287624.360149231</ns0:v>
      </ns0:c>
      <ns0:c r="F914" s="16">
        <ns0:f>A914*('前提と出典'!$C$36*'契約別単価'!F5+'前提と出典'!$C$37*'契約別単価'!F6+'前提と出典'!$C$38*'契約別単価'!F7)</ns0:f>
        <ns0:v>664725.1640078669</ns0:v>
      </ns0:c>
      <ns0:c r="G914" s="16">
        <ns0:f>A914*('前提と出典'!$C$36*'契約別単価'!G5+'前提と出典'!$C$37*'契約別単価'!G6+'前提と出典'!$C$38*'契約別単価'!G7)</ns0:f>
        <ns0:v>1811357.5418994413</ns0:v>
      </ns0:c>
      <ns0:c r="H914" s="16">
        <ns0:f>A914*('前提と出典'!$C$36*'契約別単価'!H5+'前提と出典'!$C$37*'契約別単価'!H6+'前提と出典'!$C$38*'契約別単価'!H7)</ns0:f>
        <ns0:v>628631.9137587377</ns0:v>
      </ns0:c>
      <ns0:c r="I914" s="16">
        <ns0:f>A914*('前提と出典'!$C$36*'契約別単価'!I5+'前提と出典'!$C$37*'契約別単価'!I6+'前提と出典'!$C$38*'契約別単価'!I7)</ns0:f>
        <ns0:v>38397.93296089385</ns0:v>
      </ns0:c>
      <ns0:c r="J914" s="16">
        <ns0:f>A914*('前提と出典'!$C$36*'契約別単価'!J5+'前提と出典'!$C$37*'契約別単価'!J6+'前提と出典'!$C$38*'契約別単価'!J7)</ns0:f>
        <ns0:v>89443.48477637534</ns0:v>
      </ns0:c>
      <ns0:c r="K914" s="16">
        <ns0:f>A914*('前提と出典'!$C$36*'契約別単価'!K5+'前提と出典'!$C$37*'契約別単価'!K6+'前提と出典'!$C$38*'契約別単価'!K7)</ns0:f>
        <ns0:v>383386.21973929234</ns0:v>
      </ns0:c>
      <ns0:c r="L914" s="16">
        <ns0:f>A914*('前提と出典'!$C$36*'契約別単価'!L5+'前提と出典'!$C$37*'契約別単価'!L6+'前提と出典'!$C$38*'契約別単価'!L7)</ns0:f>
        <ns0:v>312154.39712529123</ns0:v>
      </ns0:c>
      <ns0:c r="M914" s="16">
        <ns0:f>IF(('前提と出典'!$C$36+'前提と出典'!$C$38)=0,0,IF(B914&lt;=10,'前提と出典'!B73+'前提と出典'!C73,IF(B914&lt;=100,'前提と出典'!B74+'前提と出典'!C74,IF(B914&lt;=500,'前提と出典'!B75+'前提と出典'!C75,'前提と出典'!B76+'前提と出典'!C76))))</ns0:f>
        <ns0:v>80000</ns0:v>
      </ns0:c>
      <ns0:c r="N914" s="16">
        <ns0:f>IF(('前提と出典'!$C$37+'前提と出典'!$C$38)=0,0,IF(C914&lt;=10,'前提と出典'!D73+'前提と出典'!E73,IF(C914&lt;=100,'前提と出典'!D74+'前提と出典'!E74,IF(C914&lt;=500,'前提と出典'!D75+'前提と出典'!E75,'前提と出典'!D76+'前提と出典'!E76))))</ns0:f>
        <ns0:v>86510.9346263078</ns0:v>
      </ns0:c>
      <ns0:c r="O914" s="16">
        <ns0:f>IF('前提と出典'!$C$36+'前提と出典'!$C$38=0,0,'前提と出典'!$B$4*IF('前提と出典'!$B$20=0,MAX('前提と出典'!$B$6,D914*'前提と出典'!$B$5),'前提と出典'!$B$6+D914*'前提と出典'!$B$5))</ns0:f>
        <ns0:v>903614.748603352</ns0:v>
      </ns0:c>
      <ns0:c r="P914" s="16">
        <ns0:f>(E914+G914)*(1-'前提と出典'!$B$7)-I914-K914-M914-O914</ns0:f>
        <ns0:v>2546019.6522713816</ns0:v>
      </ns0:c>
      <ns0:c r="Q914" s="16">
        <ns0:f>(F914+H914)*(1-'前提と出典'!$B$7)-J914-L914-N914</ns0:f>
        <ns0:v>758687.4064390326</ns0:v>
      </ns0:c>
      <ns0:c r="R914" s="16">
        <ns0:f>P914-E914*'前提と出典'!$E$4</ns0:f>
        <ns0:v>1859732.3442266122</ns0:v>
      </ns0:c>
      <ns0:c r="S914" s="16">
        <ns0:f>Q914-F914*'前提と出典'!$E$4</ns0:f>
        <ns0:v>559269.8572366727</ns0:v>
      </ns0:c>
      <ns0:c r="T914" s="7">
        <ns0:f>R914+S914</ns0:f>
        <ns0:v>2419002.201463285</ns0:v>
      </ns0:c>
      <ns0:c r="U914" s="16">
        <ns0:f>P914-E914*'前提と出典'!$E$5</ns0:f>
        <ns0:v>1630969.908211689</ns0:v>
      </ns0:c>
      <ns0:c r="V914" s="16">
        <ns0:f>Q914-F914*'前提と出典'!$E$5</ns0:f>
        <ns0:v>492797.34083588584</ns0:v>
      </ns0:c>
      <ns0:c r="W914" s="7">
        <ns0:f>U914+V914</ns0:f>
        <ns0:v>2123767.2490475746</ns0:v>
      </ns0:c>
      <ns0:c r="X914" s="16">
        <ns0:f>P914-E914*'前提と出典'!$E$6</ns0:f>
        <ns0:v>1402207.4721967662</ns0:v>
      </ns0:c>
      <ns0:c r="Y914" s="16">
        <ns0:f>Q914-F914*'前提と出典'!$E$6</ns0:f>
        <ns0:v>426324.8244350992</ns0:v>
      </ns0:c>
      <ns0:c r="Z914" s="7">
        <ns0:f>X914+Y914</ns0:f>
        <ns0:v>1828532.2966318654</ns0:v>
      </ns0:c>
      <ns0:c r="AA914" s="7">
        <ns0:f>IF(T914&gt;=0,A914,1001)</ns0:f>
        <ns0:v>910</ns0:v>
      </ns0:c>
      <ns0:c r="AB914" s="7">
        <ns0:f>IF(T914&lt;0,A914,0)</ns0:f>
        <ns0:v>0</ns0:v>
      </ns0:c>
      <ns0:c r="AC914" s="16">
        <ns0:f>IF(AND(OR('前提と出典'!$C$36+'前提と出典'!$C$38=0,R914&gt;=0),OR('前提と出典'!$C$37+'前提と出典'!$C$38=0,S914&gt;=0)),0,A914)</ns0:f>
        <ns0:v>0</ns0:v>
      </ns0:c>
      <ns0:c r="AD914" s="7">
        <ns0:f>IF(W914&gt;=0,A914,1001)</ns0:f>
        <ns0:v>910</ns0:v>
      </ns0:c>
      <ns0:c r="AE914" s="7">
        <ns0:f>IF(W914&lt;0,A914,0)</ns0:f>
        <ns0:v>0</ns0:v>
      </ns0:c>
      <ns0:c r="AF914" s="16">
        <ns0:f>IF(AND(OR('前提と出典'!$C$36+'前提と出典'!$C$38=0,U914&gt;=0),OR('前提と出典'!$C$37+'前提と出典'!$C$38=0,V914&gt;=0)),0,A914)</ns0:f>
        <ns0:v>0</ns0:v>
      </ns0:c>
      <ns0:c r="AG914" s="7">
        <ns0:f>IF(Z914&gt;=0,A914,1001)</ns0:f>
        <ns0:v>910</ns0:v>
      </ns0:c>
      <ns0:c r="AH914" s="4">
        <ns0:f>IF(Z914&lt;0,A914,0)</ns0:f>
        <ns0:v>0</ns0:v>
      </ns0:c>
      <ns0:c r="AI914" s="12">
        <ns0:f>IF(AND(OR('前提と出典'!$C$36+'前提と出典'!$C$38=0,X914&gt;=0),OR('前提と出典'!$C$37+'前提と出典'!$C$38=0,Y914&gt;=0)),0,A914)</ns0:f>
        <ns0:v>0</ns0:v>
      </ns0:c>
    </ns0:row>
    <ns0:row r="915" ht="24" customHeight="1">
      <ns0:c r="A915" s="4" t="n">
        <ns0:v>911</ns0:v>
      </ns0:c>
      <ns0:c r="B915" s="12">
        <ns0:f>A915*('前提と出典'!$C$36+'前提と出典'!$C$38)</ns0:f>
        <ns0:v>637.6999999999999</ns0:v>
      </ns0:c>
      <ns0:c r="C915" s="12">
        <ns0:f>A915*('前提と出典'!$C$37+'前提と出典'!$C$38)</ns0:f>
        <ns0:v>546.6</ns0:v>
      </ns0:c>
      <ns0:c r="D915" s="16">
        <ns0:f>A915*('前提と出典'!$C$36*'契約別単価'!C5+'前提と出典'!$C$37*'契約別単価'!C6+'前提と出典'!$C$38*'契約別単価'!C7)</ns0:f>
        <ns0:v>6555.128491620112</ns0:v>
      </ns0:c>
      <ns0:c r="E915" s="16">
        <ns0:f>A915*('前提と出典'!$C$36*'契約別単価'!E5+'前提と出典'!$C$37*'契約別単価'!E6+'前提と出典'!$C$38*'契約別単価'!E7)</ns0:f>
        <ns0:v>2290138.233072472</ns0:v>
      </ns0:c>
      <ns0:c r="F915" s="16">
        <ns0:f>A915*('前提と出典'!$C$36*'契約別単価'!F5+'前提と出典'!$C$37*'契約別単価'!F6+'前提と出典'!$C$38*'契約別単価'!F7)</ns0:f>
        <ns0:v>665455.6312210624</ns0:v>
      </ns0:c>
      <ns0:c r="G915" s="16">
        <ns0:f>A915*('前提と出典'!$C$36*'契約別単価'!G5+'前提と出典'!$C$37*'契約別単価'!G6+'前提と出典'!$C$38*'契約別単価'!G7)</ns0:f>
        <ns0:v>1813348.0446927373</ns0:v>
      </ns0:c>
      <ns0:c r="H915" s="16">
        <ns0:f>A915*('前提と出典'!$C$36*'契約別単価'!H5+'前提と出典'!$C$37*'契約別単価'!H6+'前提と出典'!$C$38*'契約別単価'!H7)</ns0:f>
        <ns0:v>629322.7180595715</ns0:v>
      </ns0:c>
      <ns0:c r="I915" s="16">
        <ns0:f>A915*('前提と出典'!$C$36*'契約別単価'!I5+'前提と出典'!$C$37*'契約別単価'!I6+'前提と出典'!$C$38*'契約別単価'!I7)</ns0:f>
        <ns0:v>38440.128491620104</ns0:v>
      </ns0:c>
      <ns0:c r="J915" s="16">
        <ns0:f>A915*('前提と出典'!$C$36*'契約別単価'!J5+'前提と出典'!$C$37*'契約別単価'!J6+'前提と出典'!$C$38*'契約別単価'!J7)</ns0:f>
        <ns0:v>89541.77432008563</ns0:v>
      </ns0:c>
      <ns0:c r="K915" s="16">
        <ns0:f>A915*('前提と出典'!$C$36*'契約別単価'!K5+'前提と出典'!$C$37*'契約別単価'!K6+'前提と出典'!$C$38*'契約別単価'!K7)</ns0:f>
        <ns0:v>383807.5232774674</ns0:v>
      </ns0:c>
      <ns0:c r="L915" s="16">
        <ns0:f>A915*('前提と出典'!$C$36*'契約別単価'!L5+'前提と出典'!$C$37*'契約別単価'!L6+'前提と出典'!$C$38*'契約別単価'!L7)</ns0:f>
        <ns0:v>312497.42393531906</ns0:v>
      </ns0:c>
      <ns0:c r="M915" s="16">
        <ns0:f>IF(('前提と出典'!$C$36+'前提と出典'!$C$38)=0,0,IF(B915&lt;=10,'前提と出典'!B73+'前提と出典'!C73,IF(B915&lt;=100,'前提と出典'!B74+'前提と出典'!C74,IF(B915&lt;=500,'前提と出典'!B75+'前提と出典'!C75,'前提と出典'!B76+'前提と出典'!C76))))</ns0:f>
        <ns0:v>80000</ns0:v>
      </ns0:c>
      <ns0:c r="N915" s="16">
        <ns0:f>IF(('前提と出典'!$C$37+'前提と出典'!$C$38)=0,0,IF(C915&lt;=10,'前提と出典'!D73+'前提と出典'!E73,IF(C915&lt;=100,'前提と出典'!D74+'前提と出典'!E74,IF(C915&lt;=500,'前提と出典'!D75+'前提と出典'!E75,'前提と出典'!D76+'前提と出典'!E76))))</ns0:f>
        <ns0:v>86510.9346263078</ns0:v>
      </ns0:c>
      <ns0:c r="O915" s="16">
        <ns0:f>IF('前提と出典'!$C$36+'前提と出典'!$C$38=0,0,'前提と出典'!$B$4*IF('前提と出典'!$B$20=0,MAX('前提と出典'!$B$6,D915*'前提と出典'!$B$5),'前提と出典'!$B$6+D915*'前提と出典'!$B$5))</ns0:f>
        <ns0:v>904607.7318435755</ns0:v>
      </ns0:c>
      <ns0:c r="P915" s="16">
        <ns0:f>(E915+G915)*(1-'前提と出典'!$B$7)-I915-K915-M915-O915</ns0:f>
        <ns0:v>2548905.388152999</ns0:v>
      </ns0:c>
      <ns0:c r="Q915" s="16">
        <ns0:f>(F915+H915)*(1-'前提と出典'!$B$7)-J915-L915-N915</ns0:f>
        <ns0:v>759616.1958248185</ns0:v>
      </ns0:c>
      <ns0:c r="R915" s="16">
        <ns0:f>P915-E915*'前提と出典'!$E$4</ns0:f>
        <ns0:v>1861863.9182312568</ns0:v>
      </ns0:c>
      <ns0:c r="S915" s="16">
        <ns0:f>Q915-F915*'前提と出典'!$E$4</ns0:f>
        <ns0:v>559979.5064584998</ns0:v>
      </ns0:c>
      <ns0:c r="T915" s="7">
        <ns0:f>R915+S915</ns0:f>
        <ns0:v>2421843.4246897567</ns0:v>
      </ns0:c>
      <ns0:c r="U915" s="16">
        <ns0:f>P915-E915*'前提と出典'!$E$5</ns0:f>
        <ns0:v>1632850.0949240099</ns0:v>
      </ns0:c>
      <ns0:c r="V915" s="16">
        <ns0:f>Q915-F915*'前提と出典'!$E$5</ns0:f>
        <ns0:v>493433.94333639357</ns0:v>
      </ns0:c>
      <ns0:c r="W915" s="7">
        <ns0:f>U915+V915</ns0:f>
        <ns0:v>2126284.0382604036</ns0:v>
      </ns0:c>
      <ns0:c r="X915" s="16">
        <ns0:f>P915-E915*'前提と出典'!$E$6</ns0:f>
        <ns0:v>1403836.2716167625</ns0:v>
      </ns0:c>
      <ns0:c r="Y915" s="16">
        <ns0:f>Q915-F915*'前提と出典'!$E$6</ns0:f>
        <ns0:v>426888.3802142873</ns0:v>
      </ns0:c>
      <ns0:c r="Z915" s="7">
        <ns0:f>X915+Y915</ns0:f>
        <ns0:v>1830724.65183105</ns0:v>
      </ns0:c>
      <ns0:c r="AA915" s="7">
        <ns0:f>IF(T915&gt;=0,A915,1001)</ns0:f>
        <ns0:v>911</ns0:v>
      </ns0:c>
      <ns0:c r="AB915" s="7">
        <ns0:f>IF(T915&lt;0,A915,0)</ns0:f>
        <ns0:v>0</ns0:v>
      </ns0:c>
      <ns0:c r="AC915" s="16">
        <ns0:f>IF(AND(OR('前提と出典'!$C$36+'前提と出典'!$C$38=0,R915&gt;=0),OR('前提と出典'!$C$37+'前提と出典'!$C$38=0,S915&gt;=0)),0,A915)</ns0:f>
        <ns0:v>0</ns0:v>
      </ns0:c>
      <ns0:c r="AD915" s="7">
        <ns0:f>IF(W915&gt;=0,A915,1001)</ns0:f>
        <ns0:v>911</ns0:v>
      </ns0:c>
      <ns0:c r="AE915" s="7">
        <ns0:f>IF(W915&lt;0,A915,0)</ns0:f>
        <ns0:v>0</ns0:v>
      </ns0:c>
      <ns0:c r="AF915" s="16">
        <ns0:f>IF(AND(OR('前提と出典'!$C$36+'前提と出典'!$C$38=0,U915&gt;=0),OR('前提と出典'!$C$37+'前提と出典'!$C$38=0,V915&gt;=0)),0,A915)</ns0:f>
        <ns0:v>0</ns0:v>
      </ns0:c>
      <ns0:c r="AG915" s="7">
        <ns0:f>IF(Z915&gt;=0,A915,1001)</ns0:f>
        <ns0:v>911</ns0:v>
      </ns0:c>
      <ns0:c r="AH915" s="4">
        <ns0:f>IF(Z915&lt;0,A915,0)</ns0:f>
        <ns0:v>0</ns0:v>
      </ns0:c>
      <ns0:c r="AI915" s="12">
        <ns0:f>IF(AND(OR('前提と出典'!$C$36+'前提と出典'!$C$38=0,X915&gt;=0),OR('前提と出典'!$C$37+'前提と出典'!$C$38=0,Y915&gt;=0)),0,A915)</ns0:f>
        <ns0:v>0</ns0:v>
      </ns0:c>
    </ns0:row>
    <ns0:row r="916" ht="24" customHeight="1">
      <ns0:c r="A916" s="4" t="n">
        <ns0:v>912</ns0:v>
      </ns0:c>
      <ns0:c r="B916" s="12">
        <ns0:f>A916*('前提と出典'!$C$36+'前提と出典'!$C$38)</ns0:f>
        <ns0:v>638.4</ns0:v>
      </ns0:c>
      <ns0:c r="C916" s="12">
        <ns0:f>A916*('前提と出典'!$C$37+'前提と出典'!$C$38)</ns0:f>
        <ns0:v>547.1999999999999</ns0:v>
      </ns0:c>
      <ns0:c r="D916" s="16">
        <ns0:f>A916*('前提と出典'!$C$36*'契約別単価'!C5+'前提と出典'!$C$37*'契約別単価'!C6+'前提と出典'!$C$38*'契約別単価'!C7)</ns0:f>
        <ns0:v>6562.324022346369</ns0:v>
      </ns0:c>
      <ns0:c r="E916" s="16">
        <ns0:f>A916*('前提と出典'!$C$36*'契約別単価'!E5+'前提と出典'!$C$37*'契約別単価'!E6+'前提と出典'!$C$38*'契約別単価'!E7)</ns0:f>
        <ns0:v>2292652.105995713</ns0:v>
      </ns0:c>
      <ns0:c r="F916" s="16">
        <ns0:f>A916*('前提と出典'!$C$36*'契約別単価'!F5+'前提と出典'!$C$37*'契約別単価'!F6+'前提と出典'!$C$38*'契約別単価'!F7)</ns0:f>
        <ns0:v>666186.0984342578</ns0:v>
      </ns0:c>
      <ns0:c r="G916" s="16">
        <ns0:f>A916*('前提と出典'!$C$36*'契約別単価'!G5+'前提と出典'!$C$37*'契約別単価'!G6+'前提と出典'!$C$38*'契約別単価'!G7)</ns0:f>
        <ns0:v>1815338.5474860335</ns0:v>
      </ns0:c>
      <ns0:c r="H916" s="16">
        <ns0:f>A916*('前提と出典'!$C$36*'契約別単価'!H5+'前提と出典'!$C$37*'契約別単価'!H6+'前提と出典'!$C$38*'契約別単価'!H7)</ns0:f>
        <ns0:v>630013.5223604053</ns0:v>
      </ns0:c>
      <ns0:c r="I916" s="16">
        <ns0:f>A916*('前提と出典'!$C$36*'契約別単価'!I5+'前提と出典'!$C$37*'契約別単価'!I6+'前提と出典'!$C$38*'契約別単価'!I7)</ns0:f>
        <ns0:v>38482.324022346365</ns0:v>
      </ns0:c>
      <ns0:c r="J916" s="16">
        <ns0:f>A916*('前提と出典'!$C$36*'契約別単価'!J5+'前提と出典'!$C$37*'契約別単価'!J6+'前提と出典'!$C$38*'契約別単価'!J7)</ns0:f>
        <ns0:v>89640.06386379593</ns0:v>
      </ns0:c>
      <ns0:c r="K916" s="16">
        <ns0:f>A916*('前提と出典'!$C$36*'契約別単価'!K5+'前提と出典'!$C$37*'契約別単価'!K6+'前提と出典'!$C$38*'契約別単価'!K7)</ns0:f>
        <ns0:v>384228.8268156424</ns0:v>
      </ns0:c>
      <ns0:c r="L916" s="16">
        <ns0:f>A916*('前提と出典'!$C$36*'契約別単価'!L5+'前提と出典'!$C$37*'契約別単価'!L6+'前提と出典'!$C$38*'契約別単価'!L7)</ns0:f>
        <ns0:v>312840.45074534684</ns0:v>
      </ns0:c>
      <ns0:c r="M916" s="16">
        <ns0:f>IF(('前提と出典'!$C$36+'前提と出典'!$C$38)=0,0,IF(B916&lt;=10,'前提と出典'!B73+'前提と出典'!C73,IF(B916&lt;=100,'前提と出典'!B74+'前提と出典'!C74,IF(B916&lt;=500,'前提と出典'!B75+'前提と出典'!C75,'前提と出典'!B76+'前提と出典'!C76))))</ns0:f>
        <ns0:v>80000</ns0:v>
      </ns0:c>
      <ns0:c r="N916" s="16">
        <ns0:f>IF(('前提と出典'!$C$37+'前提と出典'!$C$38)=0,0,IF(C916&lt;=10,'前提と出典'!D73+'前提と出典'!E73,IF(C916&lt;=100,'前提と出典'!D74+'前提と出典'!E74,IF(C916&lt;=500,'前提と出典'!D75+'前提と出典'!E75,'前提と出典'!D76+'前提と出典'!E76))))</ns0:f>
        <ns0:v>86510.9346263078</ns0:v>
      </ns0:c>
      <ns0:c r="O916" s="16">
        <ns0:f>IF('前提と出典'!$C$36+'前提と出典'!$C$38=0,0,'前提と出典'!$B$4*IF('前提と出典'!$B$20=0,MAX('前提と出典'!$B$6,D916*'前提と出典'!$B$5),'前提と出典'!$B$6+D916*'前提と出典'!$B$5))</ns0:f>
        <ns0:v>905600.715083799</ns0:v>
      </ns0:c>
      <ns0:c r="P916" s="16">
        <ns0:f>(E916+G916)*(1-'前提と出典'!$B$7)-I916-K916-M916-O916</ns0:f>
        <ns0:v>2551791.124034616</ns0:v>
      </ns0:c>
      <ns0:c r="Q916" s="16">
        <ns0:f>(F916+H916)*(1-'前提と出典'!$B$7)-J916-L916-N916</ns0:f>
        <ns0:v>760544.9852106047</ns0:v>
      </ns0:c>
      <ns0:c r="R916" s="16">
        <ns0:f>P916-E916*'前提と出典'!$E$4</ns0:f>
        <ns0:v>1863995.4922359018</ns0:v>
      </ns0:c>
      <ns0:c r="S916" s="16">
        <ns0:f>Q916-F916*'前提と出典'!$E$4</ns0:f>
        <ns0:v>560689.1556803276</ns0:v>
      </ns0:c>
      <ns0:c r="T916" s="7">
        <ns0:f>R916+S916</ns0:f>
        <ns0:v>2424684.6479162294</ns0:v>
      </ns0:c>
      <ns0:c r="U916" s="16">
        <ns0:f>P916-E916*'前提と出典'!$E$5</ns0:f>
        <ns0:v>1634730.2816363308</ns0:v>
      </ns0:c>
      <ns0:c r="V916" s="16">
        <ns0:f>Q916-F916*'前提と出典'!$E$5</ns0:f>
        <ns0:v>494070.5458369015</ns0:v>
      </ns0:c>
      <ns0:c r="W916" s="7">
        <ns0:f>U916+V916</ns0:f>
        <ns0:v>2128800.8274732325</ns0:v>
      </ns0:c>
      <ns0:c r="X916" s="16">
        <ns0:f>P916-E916*'前提と出典'!$E$6</ns0:f>
        <ns0:v>1405465.0710367593</ns0:v>
      </ns0:c>
      <ns0:c r="Y916" s="16">
        <ns0:f>Q916-F916*'前提と出典'!$E$6</ns0:f>
        <ns0:v>427451.93599347584</ns0:v>
      </ns0:c>
      <ns0:c r="Z916" s="7">
        <ns0:f>X916+Y916</ns0:f>
        <ns0:v>1832917.0070302351</ns0:v>
      </ns0:c>
      <ns0:c r="AA916" s="7">
        <ns0:f>IF(T916&gt;=0,A916,1001)</ns0:f>
        <ns0:v>912</ns0:v>
      </ns0:c>
      <ns0:c r="AB916" s="7">
        <ns0:f>IF(T916&lt;0,A916,0)</ns0:f>
        <ns0:v>0</ns0:v>
      </ns0:c>
      <ns0:c r="AC916" s="16">
        <ns0:f>IF(AND(OR('前提と出典'!$C$36+'前提と出典'!$C$38=0,R916&gt;=0),OR('前提と出典'!$C$37+'前提と出典'!$C$38=0,S916&gt;=0)),0,A916)</ns0:f>
        <ns0:v>0</ns0:v>
      </ns0:c>
      <ns0:c r="AD916" s="7">
        <ns0:f>IF(W916&gt;=0,A916,1001)</ns0:f>
        <ns0:v>912</ns0:v>
      </ns0:c>
      <ns0:c r="AE916" s="7">
        <ns0:f>IF(W916&lt;0,A916,0)</ns0:f>
        <ns0:v>0</ns0:v>
      </ns0:c>
      <ns0:c r="AF916" s="16">
        <ns0:f>IF(AND(OR('前提と出典'!$C$36+'前提と出典'!$C$38=0,U916&gt;=0),OR('前提と出典'!$C$37+'前提と出典'!$C$38=0,V916&gt;=0)),0,A916)</ns0:f>
        <ns0:v>0</ns0:v>
      </ns0:c>
      <ns0:c r="AG916" s="7">
        <ns0:f>IF(Z916&gt;=0,A916,1001)</ns0:f>
        <ns0:v>912</ns0:v>
      </ns0:c>
      <ns0:c r="AH916" s="4">
        <ns0:f>IF(Z916&lt;0,A916,0)</ns0:f>
        <ns0:v>0</ns0:v>
      </ns0:c>
      <ns0:c r="AI916" s="12">
        <ns0:f>IF(AND(OR('前提と出典'!$C$36+'前提と出典'!$C$38=0,X916&gt;=0),OR('前提と出典'!$C$37+'前提と出典'!$C$38=0,Y916&gt;=0)),0,A916)</ns0:f>
        <ns0:v>0</ns0:v>
      </ns0:c>
    </ns0:row>
    <ns0:row r="917" ht="24" customHeight="1">
      <ns0:c r="A917" s="4" t="n">
        <ns0:v>913</ns0:v>
      </ns0:c>
      <ns0:c r="B917" s="12">
        <ns0:f>A917*('前提と出典'!$C$36+'前提と出典'!$C$38)</ns0:f>
        <ns0:v>639.0999999999999</ns0:v>
      </ns0:c>
      <ns0:c r="C917" s="12">
        <ns0:f>A917*('前提と出典'!$C$37+'前提と出典'!$C$38)</ns0:f>
        <ns0:v>547.8</ns0:v>
      </ns0:c>
      <ns0:c r="D917" s="16">
        <ns0:f>A917*('前提と出典'!$C$36*'契約別単価'!C5+'前提と出典'!$C$37*'契約別単価'!C6+'前提と出典'!$C$38*'契約別単価'!C7)</ns0:f>
        <ns0:v>6569.519553072626</ns0:v>
      </ns0:c>
      <ns0:c r="E917" s="16">
        <ns0:f>A917*('前提と出典'!$C$36*'契約別単価'!E5+'前提と出典'!$C$37*'契約別単価'!E6+'前提と出典'!$C$38*'契約別単価'!E7)</ns0:f>
        <ns0:v>2295165.978918954</ns0:v>
      </ns0:c>
      <ns0:c r="F917" s="16">
        <ns0:f>A917*('前提と出典'!$C$36*'契約別単価'!F5+'前提と出典'!$C$37*'契約別単価'!F6+'前提と出典'!$C$38*'契約別単価'!F7)</ns0:f>
        <ns0:v>666916.5656474533</ns0:v>
      </ns0:c>
      <ns0:c r="G917" s="16">
        <ns0:f>A917*('前提と出典'!$C$36*'契約別単価'!G5+'前提と出典'!$C$37*'契約別単価'!G6+'前提と出典'!$C$38*'契約別単価'!G7)</ns0:f>
        <ns0:v>1817329.0502793295</ns0:v>
      </ns0:c>
      <ns0:c r="H917" s="16">
        <ns0:f>A917*('前提と出典'!$C$36*'契約別単価'!H5+'前提と出典'!$C$37*'契約別単価'!H6+'前提と出典'!$C$38*'契約別単価'!H7)</ns0:f>
        <ns0:v>630704.326661239</ns0:v>
      </ns0:c>
      <ns0:c r="I917" s="16">
        <ns0:f>A917*('前提と出典'!$C$36*'契約別単価'!I5+'前提と出典'!$C$37*'契約別単価'!I6+'前提と出典'!$C$38*'契約別単価'!I7)</ns0:f>
        <ns0:v>38524.51955307262</ns0:v>
      </ns0:c>
      <ns0:c r="J917" s="16">
        <ns0:f>A917*('前提と出典'!$C$36*'契約別単価'!J5+'前提と出典'!$C$37*'契約別単価'!J6+'前提と出典'!$C$38*'契約別単価'!J7)</ns0:f>
        <ns0:v>89738.35340750625</ns0:v>
      </ns0:c>
      <ns0:c r="K917" s="16">
        <ns0:f>A917*('前提と出典'!$C$36*'契約別単価'!K5+'前提と出典'!$C$37*'契約別単価'!K6+'前提と出典'!$C$38*'契約別単価'!K7)</ns0:f>
        <ns0:v>384650.1303538175</ns0:v>
      </ns0:c>
      <ns0:c r="L917" s="16">
        <ns0:f>A917*('前提と出典'!$C$36*'契約別単価'!L5+'前提と出典'!$C$37*'契約別単価'!L6+'前提と出典'!$C$38*'契約別単価'!L7)</ns0:f>
        <ns0:v>313183.4775553746</ns0:v>
      </ns0:c>
      <ns0:c r="M917" s="16">
        <ns0:f>IF(('前提と出典'!$C$36+'前提と出典'!$C$38)=0,0,IF(B917&lt;=10,'前提と出典'!B73+'前提と出典'!C73,IF(B917&lt;=100,'前提と出典'!B74+'前提と出典'!C74,IF(B917&lt;=500,'前提と出典'!B75+'前提と出典'!C75,'前提と出典'!B76+'前提と出典'!C76))))</ns0:f>
        <ns0:v>80000</ns0:v>
      </ns0:c>
      <ns0:c r="N917" s="16">
        <ns0:f>IF(('前提と出典'!$C$37+'前提と出典'!$C$38)=0,0,IF(C917&lt;=10,'前提と出典'!D73+'前提と出典'!E73,IF(C917&lt;=100,'前提と出典'!D74+'前提と出典'!E74,IF(C917&lt;=500,'前提と出典'!D75+'前提と出典'!E75,'前提と出典'!D76+'前提と出典'!E76))))</ns0:f>
        <ns0:v>86510.9346263078</ns0:v>
      </ns0:c>
      <ns0:c r="O917" s="16">
        <ns0:f>IF('前提と出典'!$C$36+'前提と出典'!$C$38=0,0,'前提と出典'!$B$4*IF('前提と出典'!$B$20=0,MAX('前提と出典'!$B$6,D917*'前提と出典'!$B$5),'前提と出典'!$B$6+D917*'前提と出典'!$B$5))</ns0:f>
        <ns0:v>906593.6983240225</ns0:v>
      </ns0:c>
      <ns0:c r="P917" s="16">
        <ns0:f>(E917+G917)*(1-'前提と出典'!$B$7)-I917-K917-M917-O917</ns0:f>
        <ns0:v>2554676.8599162335</ns0:v>
      </ns0:c>
      <ns0:c r="Q917" s="16">
        <ns0:f>(F917+H917)*(1-'前提と出典'!$B$7)-J917-L917-N917</ns0:f>
        <ns0:v>761473.7745963908</ns0:v>
      </ns0:c>
      <ns0:c r="R917" s="16">
        <ns0:f>P917-E917*'前提と出典'!$E$4</ns0:f>
        <ns0:v>1866127.0662405468</ns0:v>
      </ns0:c>
      <ns0:c r="S917" s="16">
        <ns0:f>Q917-F917*'前提と出典'!$E$4</ns0:f>
        <ns0:v>561398.8049021548</ns0:v>
      </ns0:c>
      <ns0:c r="T917" s="7">
        <ns0:f>R917+S917</ns0:f>
        <ns0:v>2427525.8711427017</ns0:v>
      </ns0:c>
      <ns0:c r="U917" s="16">
        <ns0:f>P917-E917*'前提と出典'!$E$5</ns0:f>
        <ns0:v>1636610.4683486517</ns0:v>
      </ns0:c>
      <ns0:c r="V917" s="16">
        <ns0:f>Q917-F917*'前提と出典'!$E$5</ns0:f>
        <ns0:v>494707.1483374095</ns0:v>
      </ns0:c>
      <ns0:c r="W917" s="7">
        <ns0:f>U917+V917</ns0:f>
        <ns0:v>2131317.616686061</ns0:v>
      </ns0:c>
      <ns0:c r="X917" s="16">
        <ns0:f>P917-E917*'前提と出典'!$E$6</ns0:f>
        <ns0:v>1407093.8704567556</ns0:v>
      </ns0:c>
      <ns0:c r="Y917" s="16">
        <ns0:f>Q917-F917*'前提と出典'!$E$6</ns0:f>
        <ns0:v>428015.49177266425</ns0:v>
      </ns0:c>
      <ns0:c r="Z917" s="7">
        <ns0:f>X917+Y917</ns0:f>
        <ns0:v>1835109.3622294199</ns0:v>
      </ns0:c>
      <ns0:c r="AA917" s="7">
        <ns0:f>IF(T917&gt;=0,A917,1001)</ns0:f>
        <ns0:v>913</ns0:v>
      </ns0:c>
      <ns0:c r="AB917" s="7">
        <ns0:f>IF(T917&lt;0,A917,0)</ns0:f>
        <ns0:v>0</ns0:v>
      </ns0:c>
      <ns0:c r="AC917" s="16">
        <ns0:f>IF(AND(OR('前提と出典'!$C$36+'前提と出典'!$C$38=0,R917&gt;=0),OR('前提と出典'!$C$37+'前提と出典'!$C$38=0,S917&gt;=0)),0,A917)</ns0:f>
        <ns0:v>0</ns0:v>
      </ns0:c>
      <ns0:c r="AD917" s="7">
        <ns0:f>IF(W917&gt;=0,A917,1001)</ns0:f>
        <ns0:v>913</ns0:v>
      </ns0:c>
      <ns0:c r="AE917" s="7">
        <ns0:f>IF(W917&lt;0,A917,0)</ns0:f>
        <ns0:v>0</ns0:v>
      </ns0:c>
      <ns0:c r="AF917" s="16">
        <ns0:f>IF(AND(OR('前提と出典'!$C$36+'前提と出典'!$C$38=0,U917&gt;=0),OR('前提と出典'!$C$37+'前提と出典'!$C$38=0,V917&gt;=0)),0,A917)</ns0:f>
        <ns0:v>0</ns0:v>
      </ns0:c>
      <ns0:c r="AG917" s="7">
        <ns0:f>IF(Z917&gt;=0,A917,1001)</ns0:f>
        <ns0:v>913</ns0:v>
      </ns0:c>
      <ns0:c r="AH917" s="4">
        <ns0:f>IF(Z917&lt;0,A917,0)</ns0:f>
        <ns0:v>0</ns0:v>
      </ns0:c>
      <ns0:c r="AI917" s="12">
        <ns0:f>IF(AND(OR('前提と出典'!$C$36+'前提と出典'!$C$38=0,X917&gt;=0),OR('前提と出典'!$C$37+'前提と出典'!$C$38=0,Y917&gt;=0)),0,A917)</ns0:f>
        <ns0:v>0</ns0:v>
      </ns0:c>
    </ns0:row>
    <ns0:row r="918" ht="24" customHeight="1">
      <ns0:c r="A918" s="4" t="n">
        <ns0:v>914</ns0:v>
      </ns0:c>
      <ns0:c r="B918" s="12">
        <ns0:f>A918*('前提と出典'!$C$36+'前提と出典'!$C$38)</ns0:f>
        <ns0:v>639.8</ns0:v>
      </ns0:c>
      <ns0:c r="C918" s="12">
        <ns0:f>A918*('前提と出典'!$C$37+'前提と出典'!$C$38)</ns0:f>
        <ns0:v>548.4</ns0:v>
      </ns0:c>
      <ns0:c r="D918" s="16">
        <ns0:f>A918*('前提と出典'!$C$36*'契約別単価'!C5+'前提と出典'!$C$37*'契約別単価'!C6+'前提と出典'!$C$38*'契約別単価'!C7)</ns0:f>
        <ns0:v>6576.715083798883</ns0:v>
      </ns0:c>
      <ns0:c r="E918" s="16">
        <ns0:f>A918*('前提と出典'!$C$36*'契約別単価'!E5+'前提と出典'!$C$37*'契約別単価'!E6+'前提と出典'!$C$38*'契約別単価'!E7)</ns0:f>
        <ns0:v>2297679.851842195</ns0:v>
      </ns0:c>
      <ns0:c r="F918" s="16">
        <ns0:f>A918*('前提と出典'!$C$36*'契約別単価'!F5+'前提と出典'!$C$37*'契約別単価'!F6+'前提と出典'!$C$38*'契約別単価'!F7)</ns0:f>
        <ns0:v>667647.0328606487</ns0:v>
      </ns0:c>
      <ns0:c r="G918" s="16">
        <ns0:f>A918*('前提と出典'!$C$36*'契約別単価'!G5+'前提と出典'!$C$37*'契約別単価'!G6+'前提と出典'!$C$38*'契約別単価'!G7)</ns0:f>
        <ns0:v>1819319.5530726255</ns0:v>
      </ns0:c>
      <ns0:c r="H918" s="16">
        <ns0:f>A918*('前提と出典'!$C$36*'契約別単価'!H5+'前提と出典'!$C$37*'契約別単価'!H6+'前提と出典'!$C$38*'契約別単価'!H7)</ns0:f>
        <ns0:v>631395.1309620728</ns0:v>
      </ns0:c>
      <ns0:c r="I918" s="16">
        <ns0:f>A918*('前提と出典'!$C$36*'契約別単価'!I5+'前提と出典'!$C$37*'契約別単価'!I6+'前提と出典'!$C$38*'契約別単価'!I7)</ns0:f>
        <ns0:v>38566.715083798874</ns0:v>
      </ns0:c>
      <ns0:c r="J918" s="16">
        <ns0:f>A918*('前提と出典'!$C$36*'契約別単価'!J5+'前提と出典'!$C$37*'契約別単価'!J6+'前提と出典'!$C$38*'契約別単価'!J7)</ns0:f>
        <ns0:v>89836.64295121655</ns0:v>
      </ns0:c>
      <ns0:c r="K918" s="16">
        <ns0:f>A918*('前提と出典'!$C$36*'契約別単価'!K5+'前提と出典'!$C$37*'契約別単価'!K6+'前提と出典'!$C$38*'契約別単価'!K7)</ns0:f>
        <ns0:v>385071.43389199255</ns0:v>
      </ns0:c>
      <ns0:c r="L918" s="16">
        <ns0:f>A918*('前提と出典'!$C$36*'契約別単価'!L5+'前提と出典'!$C$37*'契約別単価'!L6+'前提と出典'!$C$38*'契約別単価'!L7)</ns0:f>
        <ns0:v>313526.5043654024</ns0:v>
      </ns0:c>
      <ns0:c r="M918" s="16">
        <ns0:f>IF(('前提と出典'!$C$36+'前提と出典'!$C$38)=0,0,IF(B918&lt;=10,'前提と出典'!B73+'前提と出典'!C73,IF(B918&lt;=100,'前提と出典'!B74+'前提と出典'!C74,IF(B918&lt;=500,'前提と出典'!B75+'前提と出典'!C75,'前提と出典'!B76+'前提と出典'!C76))))</ns0:f>
        <ns0:v>80000</ns0:v>
      </ns0:c>
      <ns0:c r="N918" s="16">
        <ns0:f>IF(('前提と出典'!$C$37+'前提と出典'!$C$38)=0,0,IF(C918&lt;=10,'前提と出典'!D73+'前提と出典'!E73,IF(C918&lt;=100,'前提と出典'!D74+'前提と出典'!E74,IF(C918&lt;=500,'前提と出典'!D75+'前提と出典'!E75,'前提と出典'!D76+'前提と出典'!E76))))</ns0:f>
        <ns0:v>86510.9346263078</ns0:v>
      </ns0:c>
      <ns0:c r="O918" s="16">
        <ns0:f>IF('前提と出典'!$C$36+'前提と出典'!$C$38=0,0,'前提と出典'!$B$4*IF('前提と出典'!$B$20=0,MAX('前提と出典'!$B$6,D918*'前提と出典'!$B$5),'前提と出典'!$B$6+D918*'前提と出典'!$B$5))</ns0:f>
        <ns0:v>907586.681564246</ns0:v>
      </ns0:c>
      <ns0:c r="P918" s="16">
        <ns0:f>(E918+G918)*(1-'前提と出典'!$B$7)-I918-K918-M918-O918</ns0:f>
        <ns0:v>2557562.59579785</ns0:v>
      </ns0:c>
      <ns0:c r="Q918" s="16">
        <ns0:f>(F918+H918)*(1-'前提と出典'!$B$7)-J918-L918-N918</ns0:f>
        <ns0:v>762402.5639821767</ns0:v>
      </ns0:c>
      <ns0:c r="R918" s="16">
        <ns0:f>P918-E918*'前提と出典'!$E$4</ns0:f>
        <ns0:v>1868258.6402451913</ns0:v>
      </ns0:c>
      <ns0:c r="S918" s="16">
        <ns0:f>Q918-F918*'前提と出典'!$E$4</ns0:f>
        <ns0:v>562108.4541239821</ns0:v>
      </ns0:c>
      <ns0:c r="T918" s="7">
        <ns0:f>R918+S918</ns0:f>
        <ns0:v>2430367.0943691735</ns0:v>
      </ns0:c>
      <ns0:c r="U918" s="16">
        <ns0:f>P918-E918*'前提と出典'!$E$5</ns0:f>
        <ns0:v>1638490.655060972</ns0:v>
      </ns0:c>
      <ns0:c r="V918" s="16">
        <ns0:f>Q918-F918*'前提と出典'!$E$5</ns0:f>
        <ns0:v>495343.7508379172</ns0:v>
      </ns0:c>
      <ns0:c r="W918" s="7">
        <ns0:f>U918+V918</ns0:f>
        <ns0:v>2133834.4058988895</ns0:v>
      </ns0:c>
      <ns0:c r="X918" s="16">
        <ns0:f>P918-E918*'前提と出典'!$E$6</ns0:f>
        <ns0:v>1408722.6698767524</ns0:v>
      </ns0:c>
      <ns0:c r="Y918" s="16">
        <ns0:f>Q918-F918*'前提と出典'!$E$6</ns0:f>
        <ns0:v>428579.0475518523</ns0:v>
      </ns0:c>
      <ns0:c r="Z918" s="7">
        <ns0:f>X918+Y918</ns0:f>
        <ns0:v>1837301.7174286046</ns0:v>
      </ns0:c>
      <ns0:c r="AA918" s="7">
        <ns0:f>IF(T918&gt;=0,A918,1001)</ns0:f>
        <ns0:v>914</ns0:v>
      </ns0:c>
      <ns0:c r="AB918" s="7">
        <ns0:f>IF(T918&lt;0,A918,0)</ns0:f>
        <ns0:v>0</ns0:v>
      </ns0:c>
      <ns0:c r="AC918" s="16">
        <ns0:f>IF(AND(OR('前提と出典'!$C$36+'前提と出典'!$C$38=0,R918&gt;=0),OR('前提と出典'!$C$37+'前提と出典'!$C$38=0,S918&gt;=0)),0,A918)</ns0:f>
        <ns0:v>0</ns0:v>
      </ns0:c>
      <ns0:c r="AD918" s="7">
        <ns0:f>IF(W918&gt;=0,A918,1001)</ns0:f>
        <ns0:v>914</ns0:v>
      </ns0:c>
      <ns0:c r="AE918" s="7">
        <ns0:f>IF(W918&lt;0,A918,0)</ns0:f>
        <ns0:v>0</ns0:v>
      </ns0:c>
      <ns0:c r="AF918" s="16">
        <ns0:f>IF(AND(OR('前提と出典'!$C$36+'前提と出典'!$C$38=0,U918&gt;=0),OR('前提と出典'!$C$37+'前提と出典'!$C$38=0,V918&gt;=0)),0,A918)</ns0:f>
        <ns0:v>0</ns0:v>
      </ns0:c>
      <ns0:c r="AG918" s="7">
        <ns0:f>IF(Z918&gt;=0,A918,1001)</ns0:f>
        <ns0:v>914</ns0:v>
      </ns0:c>
      <ns0:c r="AH918" s="4">
        <ns0:f>IF(Z918&lt;0,A918,0)</ns0:f>
        <ns0:v>0</ns0:v>
      </ns0:c>
      <ns0:c r="AI918" s="12">
        <ns0:f>IF(AND(OR('前提と出典'!$C$36+'前提と出典'!$C$38=0,X918&gt;=0),OR('前提と出典'!$C$37+'前提と出典'!$C$38=0,Y918&gt;=0)),0,A918)</ns0:f>
        <ns0:v>0</ns0:v>
      </ns0:c>
    </ns0:row>
    <ns0:row r="919" ht="24" customHeight="1">
      <ns0:c r="A919" s="4" t="n">
        <ns0:v>915</ns0:v>
      </ns0:c>
      <ns0:c r="B919" s="12">
        <ns0:f>A919*('前提と出典'!$C$36+'前提と出典'!$C$38)</ns0:f>
        <ns0:v>640.5</ns0:v>
      </ns0:c>
      <ns0:c r="C919" s="12">
        <ns0:f>A919*('前提と出典'!$C$37+'前提と出典'!$C$38)</ns0:f>
        <ns0:v>549</ns0:v>
      </ns0:c>
      <ns0:c r="D919" s="16">
        <ns0:f>A919*('前提と出典'!$C$36*'契約別単価'!C5+'前提と出典'!$C$37*'契約別単価'!C6+'前提と出典'!$C$38*'契約別単価'!C7)</ns0:f>
        <ns0:v>6583.91061452514</ns0:v>
      </ns0:c>
      <ns0:c r="E919" s="16">
        <ns0:f>A919*('前提と出典'!$C$36*'契約別単価'!E5+'前提と出典'!$C$37*'契約別単価'!E6+'前提と出典'!$C$38*'契約別単価'!E7)</ns0:f>
        <ns0:v>2300193.724765436</ns0:v>
      </ns0:c>
      <ns0:c r="F919" s="16">
        <ns0:f>A919*('前提と出典'!$C$36*'契約別単価'!F5+'前提と出典'!$C$37*'契約別単価'!F6+'前提と出典'!$C$38*'契約別単価'!F7)</ns0:f>
        <ns0:v>668377.5000738442</ns0:v>
      </ns0:c>
      <ns0:c r="G919" s="16">
        <ns0:f>A919*('前提と出典'!$C$36*'契約別単価'!G5+'前提と出典'!$C$37*'契約別単価'!G6+'前提と出典'!$C$38*'契約別単価'!G7)</ns0:f>
        <ns0:v>1821310.0558659218</ns0:v>
      </ns0:c>
      <ns0:c r="H919" s="16">
        <ns0:f>A919*('前提と出典'!$C$36*'契約別単価'!H5+'前提と出典'!$C$37*'契約別単価'!H6+'前提と出典'!$C$38*'契約別単価'!H7)</ns0:f>
        <ns0:v>632085.9352629066</ns0:v>
      </ns0:c>
      <ns0:c r="I919" s="16">
        <ns0:f>A919*('前提と出典'!$C$36*'契約別単価'!I5+'前提と出典'!$C$37*'契約別単価'!I6+'前提と出典'!$C$38*'契約別単価'!I7)</ns0:f>
        <ns0:v>38608.910614525135</ns0:v>
      </ns0:c>
      <ns0:c r="J919" s="16">
        <ns0:f>A919*('前提と出典'!$C$36*'契約別単価'!J5+'前提と出典'!$C$37*'契約別単価'!J6+'前提と出典'!$C$38*'契約別単価'!J7)</ns0:f>
        <ns0:v>89934.93249492685</ns0:v>
      </ns0:c>
      <ns0:c r="K919" s="16">
        <ns0:f>A919*('前提と出典'!$C$36*'契約別単価'!K5+'前提と出典'!$C$37*'契約別単価'!K6+'前提と出典'!$C$38*'契約別単価'!K7)</ns0:f>
        <ns0:v>385492.73743016756</ns0:v>
      </ns0:c>
      <ns0:c r="L919" s="16">
        <ns0:f>A919*('前提と出典'!$C$36*'契約別単価'!L5+'前提と出典'!$C$37*'契約別単価'!L6+'前提と出典'!$C$38*'契約別単価'!L7)</ns0:f>
        <ns0:v>313869.5311754302</ns0:v>
      </ns0:c>
      <ns0:c r="M919" s="16">
        <ns0:f>IF(('前提と出典'!$C$36+'前提と出典'!$C$38)=0,0,IF(B919&lt;=10,'前提と出典'!B73+'前提と出典'!C73,IF(B919&lt;=100,'前提と出典'!B74+'前提と出典'!C74,IF(B919&lt;=500,'前提と出典'!B75+'前提と出典'!C75,'前提と出典'!B76+'前提と出典'!C76))))</ns0:f>
        <ns0:v>80000</ns0:v>
      </ns0:c>
      <ns0:c r="N919" s="16">
        <ns0:f>IF(('前提と出典'!$C$37+'前提と出典'!$C$38)=0,0,IF(C919&lt;=10,'前提と出典'!D73+'前提と出典'!E73,IF(C919&lt;=100,'前提と出典'!D74+'前提と出典'!E74,IF(C919&lt;=500,'前提と出典'!D75+'前提と出典'!E75,'前提と出典'!D76+'前提と出典'!E76))))</ns0:f>
        <ns0:v>86510.9346263078</ns0:v>
      </ns0:c>
      <ns0:c r="O919" s="16">
        <ns0:f>IF('前提と出典'!$C$36+'前提と出典'!$C$38=0,0,'前提と出典'!$B$4*IF('前提と出典'!$B$20=0,MAX('前提と出典'!$B$6,D919*'前提と出典'!$B$5),'前提と出典'!$B$6+D919*'前提と出典'!$B$5))</ns0:f>
        <ns0:v>908579.6648044694</ns0:v>
      </ns0:c>
      <ns0:c r="P919" s="16">
        <ns0:f>(E919+G919)*(1-'前提と出典'!$B$7)-I919-K919-M919-O919</ns0:f>
        <ns0:v>2560448.331679467</ns0:v>
      </ns0:c>
      <ns0:c r="Q919" s="16">
        <ns0:f>(F919+H919)*(1-'前提と出典'!$B$7)-J919-L919-N919</ns0:f>
        <ns0:v>763331.353367963</ns0:v>
      </ns0:c>
      <ns0:c r="R919" s="16">
        <ns0:f>P919-E919*'前提と出典'!$E$4</ns0:f>
        <ns0:v>1870390.2142498363</ns0:v>
      </ns0:c>
      <ns0:c r="S919" s="16">
        <ns0:f>Q919-F919*'前提と出典'!$E$4</ns0:f>
        <ns0:v>562818.1033458095</ns0:v>
      </ns0:c>
      <ns0:c r="T919" s="7">
        <ns0:f>R919+S919</ns0:f>
        <ns0:v>2433208.317595646</ns0:v>
      </ns0:c>
      <ns0:c r="U919" s="16">
        <ns0:f>P919-E919*'前提と出典'!$E$5</ns0:f>
        <ns0:v>1640370.841773293</ns0:v>
      </ns0:c>
      <ns0:c r="V919" s="16">
        <ns0:f>Q919-F919*'前提と出典'!$E$5</ns0:f>
        <ns0:v>495980.3533384253</ns0:v>
      </ns0:c>
      <ns0:c r="W919" s="7">
        <ns0:f>U919+V919</ns0:f>
        <ns0:v>2136351.195111718</ns0:v>
      </ns0:c>
      <ns0:c r="X919" s="16">
        <ns0:f>P919-E919*'前提と出典'!$E$6</ns0:f>
        <ns0:v>1410351.4692967492</ns0:v>
      </ns0:c>
      <ns0:c r="Y919" s="16">
        <ns0:f>Q919-F919*'前提と出典'!$E$6</ns0:f>
        <ns0:v>429142.603331041</ns0:v>
      </ns0:c>
      <ns0:c r="Z919" s="7">
        <ns0:f>X919+Y919</ns0:f>
        <ns0:v>1839494.0726277903</ns0:v>
      </ns0:c>
      <ns0:c r="AA919" s="7">
        <ns0:f>IF(T919&gt;=0,A919,1001)</ns0:f>
        <ns0:v>915</ns0:v>
      </ns0:c>
      <ns0:c r="AB919" s="7">
        <ns0:f>IF(T919&lt;0,A919,0)</ns0:f>
        <ns0:v>0</ns0:v>
      </ns0:c>
      <ns0:c r="AC919" s="16">
        <ns0:f>IF(AND(OR('前提と出典'!$C$36+'前提と出典'!$C$38=0,R919&gt;=0),OR('前提と出典'!$C$37+'前提と出典'!$C$38=0,S919&gt;=0)),0,A919)</ns0:f>
        <ns0:v>0</ns0:v>
      </ns0:c>
      <ns0:c r="AD919" s="7">
        <ns0:f>IF(W919&gt;=0,A919,1001)</ns0:f>
        <ns0:v>915</ns0:v>
      </ns0:c>
      <ns0:c r="AE919" s="7">
        <ns0:f>IF(W919&lt;0,A919,0)</ns0:f>
        <ns0:v>0</ns0:v>
      </ns0:c>
      <ns0:c r="AF919" s="16">
        <ns0:f>IF(AND(OR('前提と出典'!$C$36+'前提と出典'!$C$38=0,U919&gt;=0),OR('前提と出典'!$C$37+'前提と出典'!$C$38=0,V919&gt;=0)),0,A919)</ns0:f>
        <ns0:v>0</ns0:v>
      </ns0:c>
      <ns0:c r="AG919" s="7">
        <ns0:f>IF(Z919&gt;=0,A919,1001)</ns0:f>
        <ns0:v>915</ns0:v>
      </ns0:c>
      <ns0:c r="AH919" s="4">
        <ns0:f>IF(Z919&lt;0,A919,0)</ns0:f>
        <ns0:v>0</ns0:v>
      </ns0:c>
      <ns0:c r="AI919" s="12">
        <ns0:f>IF(AND(OR('前提と出典'!$C$36+'前提と出典'!$C$38=0,X919&gt;=0),OR('前提と出典'!$C$37+'前提と出典'!$C$38=0,Y919&gt;=0)),0,A919)</ns0:f>
        <ns0:v>0</ns0:v>
      </ns0:c>
    </ns0:row>
    <ns0:row r="920" ht="24" customHeight="1">
      <ns0:c r="A920" s="4" t="n">
        <ns0:v>916</ns0:v>
      </ns0:c>
      <ns0:c r="B920" s="12">
        <ns0:f>A920*('前提と出典'!$C$36+'前提と出典'!$C$38)</ns0:f>
        <ns0:v>641.1999999999999</ns0:v>
      </ns0:c>
      <ns0:c r="C920" s="12">
        <ns0:f>A920*('前提と出典'!$C$37+'前提と出典'!$C$38)</ns0:f>
        <ns0:v>549.6</ns0:v>
      </ns0:c>
      <ns0:c r="D920" s="16">
        <ns0:f>A920*('前提と出典'!$C$36*'契約別単価'!C5+'前提と出典'!$C$37*'契約別単価'!C6+'前提と出典'!$C$38*'契約別単価'!C7)</ns0:f>
        <ns0:v>6591.106145251397</ns0:v>
      </ns0:c>
      <ns0:c r="E920" s="16">
        <ns0:f>A920*('前提と出典'!$C$36*'契約別単価'!E5+'前提と出典'!$C$37*'契約別単価'!E6+'前提と出典'!$C$38*'契約別単価'!E7)</ns0:f>
        <ns0:v>2302707.5976886763</ns0:v>
      </ns0:c>
      <ns0:c r="F920" s="16">
        <ns0:f>A920*('前提と出典'!$C$36*'契約別単価'!F5+'前提と出典'!$C$37*'契約別単価'!F6+'前提と出典'!$C$38*'契約別単価'!F7)</ns0:f>
        <ns0:v>669107.9672870396</ns0:v>
      </ns0:c>
      <ns0:c r="G920" s="16">
        <ns0:f>A920*('前提と出典'!$C$36*'契約別単価'!G5+'前提と出典'!$C$37*'契約別単価'!G6+'前提と出典'!$C$38*'契約別単価'!G7)</ns0:f>
        <ns0:v>1823300.5586592178</ns0:v>
      </ns0:c>
      <ns0:c r="H920" s="16">
        <ns0:f>A920*('前提と出典'!$C$36*'契約別単価'!H5+'前提と出典'!$C$37*'契約別単価'!H6+'前提と出典'!$C$38*'契約別単価'!H7)</ns0:f>
        <ns0:v>632776.7395637403</ns0:v>
      </ns0:c>
      <ns0:c r="I920" s="16">
        <ns0:f>A920*('前提と出典'!$C$36*'契約別単価'!I5+'前提と出典'!$C$37*'契約別単価'!I6+'前提と出典'!$C$38*'契約別単価'!I7)</ns0:f>
        <ns0:v>38651.10614525139</ns0:v>
      </ns0:c>
      <ns0:c r="J920" s="16">
        <ns0:f>A920*('前提と出典'!$C$36*'契約別単価'!J5+'前提と出典'!$C$37*'契約別単価'!J6+'前提と出典'!$C$38*'契約別単価'!J7)</ns0:f>
        <ns0:v>90033.22203863715</ns0:v>
      </ns0:c>
      <ns0:c r="K920" s="16">
        <ns0:f>A920*('前提と出典'!$C$36*'契約別単価'!K5+'前提と出典'!$C$37*'契約別単価'!K6+'前提と出典'!$C$38*'契約別単価'!K7)</ns0:f>
        <ns0:v>385914.0409683426</ns0:v>
      </ns0:c>
      <ns0:c r="L920" s="16">
        <ns0:f>A920*('前提と出典'!$C$36*'契約別単価'!L5+'前提と出典'!$C$37*'契約別単価'!L6+'前提と出典'!$C$38*'契約別単価'!L7)</ns0:f>
        <ns0:v>314212.557985458</ns0:v>
      </ns0:c>
      <ns0:c r="M920" s="16">
        <ns0:f>IF(('前提と出典'!$C$36+'前提と出典'!$C$38)=0,0,IF(B920&lt;=10,'前提と出典'!B73+'前提と出典'!C73,IF(B920&lt;=100,'前提と出典'!B74+'前提と出典'!C74,IF(B920&lt;=500,'前提と出典'!B75+'前提と出典'!C75,'前提と出典'!B76+'前提と出典'!C76))))</ns0:f>
        <ns0:v>80000</ns0:v>
      </ns0:c>
      <ns0:c r="N920" s="16">
        <ns0:f>IF(('前提と出典'!$C$37+'前提と出典'!$C$38)=0,0,IF(C920&lt;=10,'前提と出典'!D73+'前提と出典'!E73,IF(C920&lt;=100,'前提と出典'!D74+'前提と出典'!E74,IF(C920&lt;=500,'前提と出典'!D75+'前提と出典'!E75,'前提と出典'!D76+'前提と出典'!E76))))</ns0:f>
        <ns0:v>86510.9346263078</ns0:v>
      </ns0:c>
      <ns0:c r="O920" s="16">
        <ns0:f>IF('前提と出典'!$C$36+'前提と出典'!$C$38=0,0,'前提と出典'!$B$4*IF('前提と出典'!$B$20=0,MAX('前提と出典'!$B$6,D920*'前提と出典'!$B$5),'前提と出典'!$B$6+D920*'前提と出典'!$B$5))</ns0:f>
        <ns0:v>909572.6480446927</ns0:v>
      </ns0:c>
      <ns0:c r="P920" s="16">
        <ns0:f>(E920+G920)*(1-'前提と出典'!$B$7)-I920-K920-M920-O920</ns0:f>
        <ns0:v>2563334.067561083</ns0:v>
      </ns0:c>
      <ns0:c r="Q920" s="16">
        <ns0:f>(F920+H920)*(1-'前提と出典'!$B$7)-J920-L920-N920</ns0:f>
        <ns0:v>764260.1427537489</ns0:v>
      </ns0:c>
      <ns0:c r="R920" s="16">
        <ns0:f>P920-E920*'前提と出典'!$E$4</ns0:f>
        <ns0:v>1872521.7882544803</ns0:v>
      </ns0:c>
      <ns0:c r="S920" s="16">
        <ns0:f>Q920-F920*'前提と出典'!$E$4</ns0:f>
        <ns0:v>563527.752567637</ns0:v>
      </ns0:c>
      <ns0:c r="T920" s="7">
        <ns0:f>R920+S920</ns0:f>
        <ns0:v>2436049.5408221176</ns0:v>
      </ns0:c>
      <ns0:c r="U920" s="16">
        <ns0:f>P920-E920*'前提と出典'!$E$5</ns0:f>
        <ns0:v>1642251.0284856125</ns0:v>
      </ns0:c>
      <ns0:c r="V920" s="16">
        <ns0:f>Q920-F920*'前提と出典'!$E$5</ns0:f>
        <ns0:v>496616.9558389331</ns0:v>
      </ns0:c>
      <ns0:c r="W920" s="7">
        <ns0:f>U920+V920</ns0:f>
        <ns0:v>2138867.9843245456</ns0:v>
      </ns0:c>
      <ns0:c r="X920" s="16">
        <ns0:f>P920-E920*'前提と出典'!$E$6</ns0:f>
        <ns0:v>1411980.2687167446</ns0:v>
      </ns0:c>
      <ns0:c r="Y920" s="16">
        <ns0:f>Q920-F920*'前提と出典'!$E$6</ns0:f>
        <ns0:v>429706.15911022905</ns0:v>
      </ns0:c>
      <ns0:c r="Z920" s="7">
        <ns0:f>X920+Y920</ns0:f>
        <ns0:v>1841686.4278269736</ns0:v>
      </ns0:c>
      <ns0:c r="AA920" s="7">
        <ns0:f>IF(T920&gt;=0,A920,1001)</ns0:f>
        <ns0:v>916</ns0:v>
      </ns0:c>
      <ns0:c r="AB920" s="7">
        <ns0:f>IF(T920&lt;0,A920,0)</ns0:f>
        <ns0:v>0</ns0:v>
      </ns0:c>
      <ns0:c r="AC920" s="16">
        <ns0:f>IF(AND(OR('前提と出典'!$C$36+'前提と出典'!$C$38=0,R920&gt;=0),OR('前提と出典'!$C$37+'前提と出典'!$C$38=0,S920&gt;=0)),0,A920)</ns0:f>
        <ns0:v>0</ns0:v>
      </ns0:c>
      <ns0:c r="AD920" s="7">
        <ns0:f>IF(W920&gt;=0,A920,1001)</ns0:f>
        <ns0:v>916</ns0:v>
      </ns0:c>
      <ns0:c r="AE920" s="7">
        <ns0:f>IF(W920&lt;0,A920,0)</ns0:f>
        <ns0:v>0</ns0:v>
      </ns0:c>
      <ns0:c r="AF920" s="16">
        <ns0:f>IF(AND(OR('前提と出典'!$C$36+'前提と出典'!$C$38=0,U920&gt;=0),OR('前提と出典'!$C$37+'前提と出典'!$C$38=0,V920&gt;=0)),0,A920)</ns0:f>
        <ns0:v>0</ns0:v>
      </ns0:c>
      <ns0:c r="AG920" s="7">
        <ns0:f>IF(Z920&gt;=0,A920,1001)</ns0:f>
        <ns0:v>916</ns0:v>
      </ns0:c>
      <ns0:c r="AH920" s="4">
        <ns0:f>IF(Z920&lt;0,A920,0)</ns0:f>
        <ns0:v>0</ns0:v>
      </ns0:c>
      <ns0:c r="AI920" s="12">
        <ns0:f>IF(AND(OR('前提と出典'!$C$36+'前提と出典'!$C$38=0,X920&gt;=0),OR('前提と出典'!$C$37+'前提と出典'!$C$38=0,Y920&gt;=0)),0,A920)</ns0:f>
        <ns0:v>0</ns0:v>
      </ns0:c>
    </ns0:row>
    <ns0:row r="921" ht="24" customHeight="1">
      <ns0:c r="A921" s="4" t="n">
        <ns0:v>917</ns0:v>
      </ns0:c>
      <ns0:c r="B921" s="12">
        <ns0:f>A921*('前提と出典'!$C$36+'前提と出典'!$C$38)</ns0:f>
        <ns0:v>641.9</ns0:v>
      </ns0:c>
      <ns0:c r="C921" s="12">
        <ns0:f>A921*('前提と出典'!$C$37+'前提と出典'!$C$38)</ns0:f>
        <ns0:v>550.1999999999999</ns0:v>
      </ns0:c>
      <ns0:c r="D921" s="16">
        <ns0:f>A921*('前提と出典'!$C$36*'契約別単価'!C5+'前提と出典'!$C$37*'契約別単価'!C6+'前提と出典'!$C$38*'契約別単価'!C7)</ns0:f>
        <ns0:v>6598.301675977654</ns0:v>
      </ns0:c>
      <ns0:c r="E921" s="16">
        <ns0:f>A921*('前提と出典'!$C$36*'契約別単価'!E5+'前提と出典'!$C$37*'契約別単価'!E6+'前提と出典'!$C$38*'契約別単価'!E7)</ns0:f>
        <ns0:v>2305221.4706119173</ns0:v>
      </ns0:c>
      <ns0:c r="F921" s="16">
        <ns0:f>A921*('前提と出典'!$C$36*'契約別単価'!F5+'前提と出典'!$C$37*'契約別単価'!F6+'前提と出典'!$C$38*'契約別単価'!F7)</ns0:f>
        <ns0:v>669838.4345002351</ns0:v>
      </ns0:c>
      <ns0:c r="G921" s="16">
        <ns0:f>A921*('前提と出典'!$C$36*'契約別単価'!G5+'前提と出典'!$C$37*'契約別単価'!G6+'前提と出典'!$C$38*'契約別単価'!G7)</ns0:f>
        <ns0:v>1825291.0614525138</ns0:v>
      </ns0:c>
      <ns0:c r="H921" s="16">
        <ns0:f>A921*('前提と出典'!$C$36*'契約別単価'!H5+'前提と出典'!$C$37*'契約別単価'!H6+'前提と出典'!$C$38*'契約別単価'!H7)</ns0:f>
        <ns0:v>633467.5438645742</ns0:v>
      </ns0:c>
      <ns0:c r="I921" s="16">
        <ns0:f>A921*('前提と出典'!$C$36*'契約別単価'!I5+'前提と出典'!$C$37*'契約別単価'!I6+'前提と出典'!$C$38*'契約別単価'!I7)</ns0:f>
        <ns0:v>38693.301675977644</ns0:v>
      </ns0:c>
      <ns0:c r="J921" s="16">
        <ns0:f>A921*('前提と出典'!$C$36*'契約別単価'!J5+'前提と出典'!$C$37*'契約別単価'!J6+'前提と出典'!$C$38*'契約別単価'!J7)</ns0:f>
        <ns0:v>90131.51158234745</ns0:v>
      </ns0:c>
      <ns0:c r="K921" s="16">
        <ns0:f>A921*('前提と出典'!$C$36*'契約別単価'!K5+'前提と出典'!$C$37*'契約別単価'!K6+'前提と出典'!$C$38*'契約別単価'!K7)</ns0:f>
        <ns0:v>386335.3445065177</ns0:v>
      </ns0:c>
      <ns0:c r="L921" s="16">
        <ns0:f>A921*('前提と出典'!$C$36*'契約別単価'!L5+'前提と出典'!$C$37*'契約別単価'!L6+'前提と出典'!$C$38*'契約別単価'!L7)</ns0:f>
        <ns0:v>314555.5847954858</ns0:v>
      </ns0:c>
      <ns0:c r="M921" s="16">
        <ns0:f>IF(('前提と出典'!$C$36+'前提と出典'!$C$38)=0,0,IF(B921&lt;=10,'前提と出典'!B73+'前提と出典'!C73,IF(B921&lt;=100,'前提と出典'!B74+'前提と出典'!C74,IF(B921&lt;=500,'前提と出典'!B75+'前提と出典'!C75,'前提と出典'!B76+'前提と出典'!C76))))</ns0:f>
        <ns0:v>80000</ns0:v>
      </ns0:c>
      <ns0:c r="N921" s="16">
        <ns0:f>IF(('前提と出典'!$C$37+'前提と出典'!$C$38)=0,0,IF(C921&lt;=10,'前提と出典'!D73+'前提と出典'!E73,IF(C921&lt;=100,'前提と出典'!D74+'前提と出典'!E74,IF(C921&lt;=500,'前提と出典'!D75+'前提と出典'!E75,'前提と出典'!D76+'前提と出典'!E76))))</ns0:f>
        <ns0:v>86510.9346263078</ns0:v>
      </ns0:c>
      <ns0:c r="O921" s="16">
        <ns0:f>IF('前提と出典'!$C$36+'前提と出典'!$C$38=0,0,'前提と出典'!$B$4*IF('前提と出典'!$B$20=0,MAX('前提と出典'!$B$6,D921*'前提と出典'!$B$5),'前提と出典'!$B$6+D921*'前提と出典'!$B$5))</ns0:f>
        <ns0:v>910565.6312849162</ns0:v>
      </ns0:c>
      <ns0:c r="P921" s="16">
        <ns0:f>(E921+G921)*(1-'前提と出典'!$B$7)-I921-K921-M921-O921</ns0:f>
        <ns0:v>2566219.8034427003</ns0:v>
      </ns0:c>
      <ns0:c r="Q921" s="16">
        <ns0:f>(F921+H921)*(1-'前提と出典'!$B$7)-J921-L921-N921</ns0:f>
        <ns0:v>765188.9321395352</ns0:v>
      </ns0:c>
      <ns0:c r="R921" s="16">
        <ns0:f>P921-E921*'前提と出典'!$E$4</ns0:f>
        <ns0:v>1874653.3622591249</ns0:v>
      </ns0:c>
      <ns0:c r="S921" s="16">
        <ns0:f>Q921-F921*'前提と出典'!$E$4</ns0:f>
        <ns0:v>564237.4017894648</ns0:v>
      </ns0:c>
      <ns0:c r="T921" s="7">
        <ns0:f>R921+S921</ns0:f>
        <ns0:v>2438890.7640485894</ns0:v>
      </ns0:c>
      <ns0:c r="U921" s="16">
        <ns0:f>P921-E921*'前提と出典'!$E$5</ns0:f>
        <ns0:v>1644131.2151979334</ns0:v>
      </ns0:c>
      <ns0:c r="V921" s="16">
        <ns0:f>Q921-F921*'前提と出典'!$E$5</ns0:f>
        <ns0:v>497253.5583394412</ns0:v>
      </ns0:c>
      <ns0:c r="W921" s="7">
        <ns0:f>U921+V921</ns0:f>
        <ns0:v>2141384.7735373746</ns0:v>
      </ns0:c>
      <ns0:c r="X921" s="16">
        <ns0:f>P921-E921*'前提と出典'!$E$6</ns0:f>
        <ns0:v>1413609.0681367419</ns0:v>
      </ns0:c>
      <ns0:c r="Y921" s="16">
        <ns0:f>Q921-F921*'前提と出典'!$E$6</ns0:f>
        <ns0:v>430269.7148894177</ns0:v>
      </ns0:c>
      <ns0:c r="Z921" s="7">
        <ns0:f>X921+Y921</ns0:f>
        <ns0:v>1843878.7830261595</ns0:v>
      </ns0:c>
      <ns0:c r="AA921" s="7">
        <ns0:f>IF(T921&gt;=0,A921,1001)</ns0:f>
        <ns0:v>917</ns0:v>
      </ns0:c>
      <ns0:c r="AB921" s="7">
        <ns0:f>IF(T921&lt;0,A921,0)</ns0:f>
        <ns0:v>0</ns0:v>
      </ns0:c>
      <ns0:c r="AC921" s="16">
        <ns0:f>IF(AND(OR('前提と出典'!$C$36+'前提と出典'!$C$38=0,R921&gt;=0),OR('前提と出典'!$C$37+'前提と出典'!$C$38=0,S921&gt;=0)),0,A921)</ns0:f>
        <ns0:v>0</ns0:v>
      </ns0:c>
      <ns0:c r="AD921" s="7">
        <ns0:f>IF(W921&gt;=0,A921,1001)</ns0:f>
        <ns0:v>917</ns0:v>
      </ns0:c>
      <ns0:c r="AE921" s="7">
        <ns0:f>IF(W921&lt;0,A921,0)</ns0:f>
        <ns0:v>0</ns0:v>
      </ns0:c>
      <ns0:c r="AF921" s="16">
        <ns0:f>IF(AND(OR('前提と出典'!$C$36+'前提と出典'!$C$38=0,U921&gt;=0),OR('前提と出典'!$C$37+'前提と出典'!$C$38=0,V921&gt;=0)),0,A921)</ns0:f>
        <ns0:v>0</ns0:v>
      </ns0:c>
      <ns0:c r="AG921" s="7">
        <ns0:f>IF(Z921&gt;=0,A921,1001)</ns0:f>
        <ns0:v>917</ns0:v>
      </ns0:c>
      <ns0:c r="AH921" s="4">
        <ns0:f>IF(Z921&lt;0,A921,0)</ns0:f>
        <ns0:v>0</ns0:v>
      </ns0:c>
      <ns0:c r="AI921" s="12">
        <ns0:f>IF(AND(OR('前提と出典'!$C$36+'前提と出典'!$C$38=0,X921&gt;=0),OR('前提と出典'!$C$37+'前提と出典'!$C$38=0,Y921&gt;=0)),0,A921)</ns0:f>
        <ns0:v>0</ns0:v>
      </ns0:c>
    </ns0:row>
    <ns0:row r="922" ht="24" customHeight="1">
      <ns0:c r="A922" s="4" t="n">
        <ns0:v>918</ns0:v>
      </ns0:c>
      <ns0:c r="B922" s="12">
        <ns0:f>A922*('前提と出典'!$C$36+'前提と出典'!$C$38)</ns0:f>
        <ns0:v>642.5999999999999</ns0:v>
      </ns0:c>
      <ns0:c r="C922" s="12">
        <ns0:f>A922*('前提と出典'!$C$37+'前提と出典'!$C$38)</ns0:f>
        <ns0:v>550.8</ns0:v>
      </ns0:c>
      <ns0:c r="D922" s="16">
        <ns0:f>A922*('前提と出典'!$C$36*'契約別単価'!C5+'前提と出典'!$C$37*'契約別単価'!C6+'前提と出典'!$C$38*'契約別単価'!C7)</ns0:f>
        <ns0:v>6605.497206703911</ns0:v>
      </ns0:c>
      <ns0:c r="E922" s="16">
        <ns0:f>A922*('前提と出典'!$C$36*'契約別単価'!E5+'前提と出典'!$C$37*'契約別単価'!E6+'前提と出典'!$C$38*'契約別単価'!E7)</ns0:f>
        <ns0:v>2307735.3435351583</ns0:v>
      </ns0:c>
      <ns0:c r="F922" s="16">
        <ns0:f>A922*('前提と出典'!$C$36*'契約別単価'!F5+'前提と出典'!$C$37*'契約別単価'!F6+'前提と出典'!$C$38*'契約別単価'!F7)</ns0:f>
        <ns0:v>670568.9017134305</ns0:v>
      </ns0:c>
      <ns0:c r="G922" s="16">
        <ns0:f>A922*('前提と出典'!$C$36*'契約別単価'!G5+'前提と出典'!$C$37*'契約別単価'!G6+'前提と出典'!$C$38*'契約別単価'!G7)</ns0:f>
        <ns0:v>1827281.56424581</ns0:v>
      </ns0:c>
      <ns0:c r="H922" s="16">
        <ns0:f>A922*('前提と出典'!$C$36*'契約別単価'!H5+'前提と出典'!$C$37*'契約別単価'!H6+'前提と出典'!$C$38*'契約別単価'!H7)</ns0:f>
        <ns0:v>634158.3481654079</ns0:v>
      </ns0:c>
      <ns0:c r="I922" s="16">
        <ns0:f>A922*('前提と出典'!$C$36*'契約別単価'!I5+'前提と出典'!$C$37*'契約別単価'!I6+'前提と出典'!$C$38*'契約別単価'!I7)</ns0:f>
        <ns0:v>38735.497206703905</ns0:v>
      </ns0:c>
      <ns0:c r="J922" s="16">
        <ns0:f>A922*('前提と出典'!$C$36*'契約別単価'!J5+'前提と出典'!$C$37*'契約別単価'!J6+'前提と出典'!$C$38*'契約別単価'!J7)</ns0:f>
        <ns0:v>90229.80112605776</ns0:v>
      </ns0:c>
      <ns0:c r="K922" s="16">
        <ns0:f>A922*('前提と出典'!$C$36*'契約別単価'!K5+'前提と出典'!$C$37*'契約別単価'!K6+'前提と出典'!$C$38*'契約別単価'!K7)</ns0:f>
        <ns0:v>386756.6480446927</ns0:v>
      </ns0:c>
      <ns0:c r="L922" s="16">
        <ns0:f>A922*('前提と出典'!$C$36*'契約別単価'!L5+'前提と出典'!$C$37*'契約別単価'!L6+'前提と出典'!$C$38*'契約別単価'!L7)</ns0:f>
        <ns0:v>314898.6116055136</ns0:v>
      </ns0:c>
      <ns0:c r="M922" s="16">
        <ns0:f>IF(('前提と出典'!$C$36+'前提と出典'!$C$38)=0,0,IF(B922&lt;=10,'前提と出典'!B73+'前提と出典'!C73,IF(B922&lt;=100,'前提と出典'!B74+'前提と出典'!C74,IF(B922&lt;=500,'前提と出典'!B75+'前提と出典'!C75,'前提と出典'!B76+'前提と出典'!C76))))</ns0:f>
        <ns0:v>80000</ns0:v>
      </ns0:c>
      <ns0:c r="N922" s="16">
        <ns0:f>IF(('前提と出典'!$C$37+'前提と出典'!$C$38)=0,0,IF(C922&lt;=10,'前提と出典'!D73+'前提と出典'!E73,IF(C922&lt;=100,'前提と出典'!D74+'前提と出典'!E74,IF(C922&lt;=500,'前提と出典'!D75+'前提と出典'!E75,'前提と出典'!D76+'前提と出典'!E76))))</ns0:f>
        <ns0:v>86510.9346263078</ns0:v>
      </ns0:c>
      <ns0:c r="O922" s="16">
        <ns0:f>IF('前提と出典'!$C$36+'前提と出典'!$C$38=0,0,'前提と出典'!$B$4*IF('前提と出典'!$B$20=0,MAX('前提と出典'!$B$6,D922*'前提と出典'!$B$5),'前提と出典'!$B$6+D922*'前提と出典'!$B$5))</ns0:f>
        <ns0:v>911558.6145251397</ns0:v>
      </ns0:c>
      <ns0:c r="P922" s="16">
        <ns0:f>(E922+G922)*(1-'前提と出典'!$B$7)-I922-K922-M922-O922</ns0:f>
        <ns0:v>2569105.539324317</ns0:v>
      </ns0:c>
      <ns0:c r="Q922" s="16">
        <ns0:f>(F922+H922)*(1-'前提と出典'!$B$7)-J922-L922-N922</ns0:f>
        <ns0:v>766117.7215253211</ns0:v>
      </ns0:c>
      <ns0:c r="R922" s="16">
        <ns0:f>P922-E922*'前提と出典'!$E$4</ns0:f>
        <ns0:v>1876784.9362637699</ns0:v>
      </ns0:c>
      <ns0:c r="S922" s="16">
        <ns0:f>Q922-F922*'前提と出典'!$E$4</ns0:f>
        <ns0:v>564947.0510112918</ns0:v>
      </ns0:c>
      <ns0:c r="T922" s="7">
        <ns0:f>R922+S922</ns0:f>
        <ns0:v>2441731.9872750617</ns0:v>
      </ns0:c>
      <ns0:c r="U922" s="16">
        <ns0:f>P922-E922*'前提と出典'!$E$5</ns0:f>
        <ns0:v>1646011.4019102538</ns0:v>
      </ns0:c>
      <ns0:c r="V922" s="16">
        <ns0:f>Q922-F922*'前提と出典'!$E$5</ns0:f>
        <ns0:v>497890.1608399489</ns0:v>
      </ns0:c>
      <ns0:c r="W922" s="7">
        <ns0:f>U922+V922</ns0:f>
        <ns0:v>2143901.5627502026</ns0:v>
      </ns0:c>
      <ns0:c r="X922" s="16">
        <ns0:f>P922-E922*'前提と出典'!$E$6</ns0:f>
        <ns0:v>1415237.8675567377</ns0:v>
      </ns0:c>
      <ns0:c r="Y922" s="16">
        <ns0:f>Q922-F922*'前提と出典'!$E$6</ns0:f>
        <ns0:v>430833.2706686059</ns0:v>
      </ns0:c>
      <ns0:c r="Z922" s="7">
        <ns0:f>X922+Y922</ns0:f>
        <ns0:v>1846071.1382253435</ns0:v>
      </ns0:c>
      <ns0:c r="AA922" s="7">
        <ns0:f>IF(T922&gt;=0,A922,1001)</ns0:f>
        <ns0:v>918</ns0:v>
      </ns0:c>
      <ns0:c r="AB922" s="7">
        <ns0:f>IF(T922&lt;0,A922,0)</ns0:f>
        <ns0:v>0</ns0:v>
      </ns0:c>
      <ns0:c r="AC922" s="16">
        <ns0:f>IF(AND(OR('前提と出典'!$C$36+'前提と出典'!$C$38=0,R922&gt;=0),OR('前提と出典'!$C$37+'前提と出典'!$C$38=0,S922&gt;=0)),0,A922)</ns0:f>
        <ns0:v>0</ns0:v>
      </ns0:c>
      <ns0:c r="AD922" s="7">
        <ns0:f>IF(W922&gt;=0,A922,1001)</ns0:f>
        <ns0:v>918</ns0:v>
      </ns0:c>
      <ns0:c r="AE922" s="7">
        <ns0:f>IF(W922&lt;0,A922,0)</ns0:f>
        <ns0:v>0</ns0:v>
      </ns0:c>
      <ns0:c r="AF922" s="16">
        <ns0:f>IF(AND(OR('前提と出典'!$C$36+'前提と出典'!$C$38=0,U922&gt;=0),OR('前提と出典'!$C$37+'前提と出典'!$C$38=0,V922&gt;=0)),0,A922)</ns0:f>
        <ns0:v>0</ns0:v>
      </ns0:c>
      <ns0:c r="AG922" s="7">
        <ns0:f>IF(Z922&gt;=0,A922,1001)</ns0:f>
        <ns0:v>918</ns0:v>
      </ns0:c>
      <ns0:c r="AH922" s="4">
        <ns0:f>IF(Z922&lt;0,A922,0)</ns0:f>
        <ns0:v>0</ns0:v>
      </ns0:c>
      <ns0:c r="AI922" s="12">
        <ns0:f>IF(AND(OR('前提と出典'!$C$36+'前提と出典'!$C$38=0,X922&gt;=0),OR('前提と出典'!$C$37+'前提と出典'!$C$38=0,Y922&gt;=0)),0,A922)</ns0:f>
        <ns0:v>0</ns0:v>
      </ns0:c>
    </ns0:row>
    <ns0:row r="923" ht="24" customHeight="1">
      <ns0:c r="A923" s="4" t="n">
        <ns0:v>919</ns0:v>
      </ns0:c>
      <ns0:c r="B923" s="12">
        <ns0:f>A923*('前提と出典'!$C$36+'前提と出典'!$C$38)</ns0:f>
        <ns0:v>643.3</ns0:v>
      </ns0:c>
      <ns0:c r="C923" s="12">
        <ns0:f>A923*('前提と出典'!$C$37+'前提と出典'!$C$38)</ns0:f>
        <ns0:v>551.4</ns0:v>
      </ns0:c>
      <ns0:c r="D923" s="16">
        <ns0:f>A923*('前提と出典'!$C$36*'契約別単価'!C5+'前提と出典'!$C$37*'契約別単価'!C6+'前提と出典'!$C$38*'契約別単価'!C7)</ns0:f>
        <ns0:v>6612.692737430168</ns0:v>
      </ns0:c>
      <ns0:c r="E923" s="16">
        <ns0:f>A923*('前提と出典'!$C$36*'契約別単価'!E5+'前提と出典'!$C$37*'契約別単価'!E6+'前提と出典'!$C$38*'契約別単価'!E7)</ns0:f>
        <ns0:v>2310249.2164583993</ns0:v>
      </ns0:c>
      <ns0:c r="F923" s="16">
        <ns0:f>A923*('前提と出典'!$C$36*'契約別単価'!F5+'前提と出典'!$C$37*'契約別単価'!F6+'前提と出典'!$C$38*'契約別単価'!F7)</ns0:f>
        <ns0:v>671299.368926626</ns0:v>
      </ns0:c>
      <ns0:c r="G923" s="16">
        <ns0:f>A923*('前提と出典'!$C$36*'契約別単価'!G5+'前提と出典'!$C$37*'契約別単価'!G6+'前提と出典'!$C$38*'契約別単価'!G7)</ns0:f>
        <ns0:v>1829272.067039106</ns0:v>
      </ns0:c>
      <ns0:c r="H923" s="16">
        <ns0:f>A923*('前提と出典'!$C$36*'契約別単価'!H5+'前提と出典'!$C$37*'契約別単価'!H6+'前提と出典'!$C$38*'契約別単価'!H7)</ns0:f>
        <ns0:v>634849.1524662417</ns0:v>
      </ns0:c>
      <ns0:c r="I923" s="16">
        <ns0:f>A923*('前提と出典'!$C$36*'契約別単価'!I5+'前提と出典'!$C$37*'契約別単価'!I6+'前提と出典'!$C$38*'契約別単価'!I7)</ns0:f>
        <ns0:v>38777.69273743016</ns0:v>
      </ns0:c>
      <ns0:c r="J923" s="16">
        <ns0:f>A923*('前提と出典'!$C$36*'契約別単価'!J5+'前提と出典'!$C$37*'契約別単価'!J6+'前提と出典'!$C$38*'契約別単価'!J7)</ns0:f>
        <ns0:v>90328.09066976806</ns0:v>
      </ns0:c>
      <ns0:c r="K923" s="16">
        <ns0:f>A923*('前提と出典'!$C$36*'契約別単価'!K5+'前提と出典'!$C$37*'契約別単価'!K6+'前提と出典'!$C$38*'契約別単価'!K7)</ns0:f>
        <ns0:v>387177.95158286777</ns0:v>
      </ns0:c>
      <ns0:c r="L923" s="16">
        <ns0:f>A923*('前提と出典'!$C$36*'契約別単価'!L5+'前提と出典'!$C$37*'契約別単価'!L6+'前提と出典'!$C$38*'契約別単価'!L7)</ns0:f>
        <ns0:v>315241.6384155414</ns0:v>
      </ns0:c>
      <ns0:c r="M923" s="16">
        <ns0:f>IF(('前提と出典'!$C$36+'前提と出典'!$C$38)=0,0,IF(B923&lt;=10,'前提と出典'!B73+'前提と出典'!C73,IF(B923&lt;=100,'前提と出典'!B74+'前提と出典'!C74,IF(B923&lt;=500,'前提と出典'!B75+'前提と出典'!C75,'前提と出典'!B76+'前提と出典'!C76))))</ns0:f>
        <ns0:v>80000</ns0:v>
      </ns0:c>
      <ns0:c r="N923" s="16">
        <ns0:f>IF(('前提と出典'!$C$37+'前提と出典'!$C$38)=0,0,IF(C923&lt;=10,'前提と出典'!D73+'前提と出典'!E73,IF(C923&lt;=100,'前提と出典'!D74+'前提と出典'!E74,IF(C923&lt;=500,'前提と出典'!D75+'前提と出典'!E75,'前提と出典'!D76+'前提と出典'!E76))))</ns0:f>
        <ns0:v>86510.9346263078</ns0:v>
      </ns0:c>
      <ns0:c r="O923" s="16">
        <ns0:f>IF('前提と出典'!$C$36+'前提と出典'!$C$38=0,0,'前提と出典'!$B$4*IF('前提と出典'!$B$20=0,MAX('前提と出典'!$B$6,D923*'前提と出典'!$B$5),'前提と出典'!$B$6+D923*'前提と出典'!$B$5))</ns0:f>
        <ns0:v>912551.5977653632</ns0:v>
      </ns0:c>
      <ns0:c r="P923" s="16">
        <ns0:f>(E923+G923)*(1-'前提と出典'!$B$7)-I923-K923-M923-O923</ns0:f>
        <ns0:v>2571991.275205934</ns0:v>
      </ns0:c>
      <ns0:c r="Q923" s="16">
        <ns0:f>(F923+H923)*(1-'前提と出典'!$B$7)-J923-L923-N923</ns0:f>
        <ns0:v>767046.5109111074</ns0:v>
      </ns0:c>
      <ns0:c r="R923" s="16">
        <ns0:f>P923-E923*'前提と出典'!$E$4</ns0:f>
        <ns0:v>1878916.5102684144</ns0:v>
      </ns0:c>
      <ns0:c r="S923" s="16">
        <ns0:f>Q923-F923*'前提と出典'!$E$4</ns0:f>
        <ns0:v>565656.7002331198</ns0:v>
      </ns0:c>
      <ns0:c r="T923" s="7">
        <ns0:f>R923+S923</ns0:f>
        <ns0:v>2444573.210501534</ns0:v>
      </ns0:c>
      <ns0:c r="U923" s="16">
        <ns0:f>P923-E923*'前提と出典'!$E$5</ns0:f>
        <ns0:v>1647891.5886225742</ns0:v>
      </ns0:c>
      <ns0:c r="V923" s="16">
        <ns0:f>Q923-F923*'前提と出典'!$E$5</ns0:f>
        <ns0:v>498526.763340457</ns0:v>
      </ns0:c>
      <ns0:c r="W923" s="7">
        <ns0:f>U923+V923</ns0:f>
        <ns0:v>2146418.351963031</ns0:v>
      </ns0:c>
      <ns0:c r="X923" s="16">
        <ns0:f>P923-E923*'前提と出典'!$E$6</ns0:f>
        <ns0:v>1416866.666976734</ns0:v>
      </ns0:c>
      <ns0:c r="Y923" s="16">
        <ns0:f>Q923-F923*'前提と出典'!$E$6</ns0:f>
        <ns0:v>431396.82644779433</ns0:v>
      </ns0:c>
      <ns0:c r="Z923" s="7">
        <ns0:f>X923+Y923</ns0:f>
        <ns0:v>1848263.4934245283</ns0:v>
      </ns0:c>
      <ns0:c r="AA923" s="7">
        <ns0:f>IF(T923&gt;=0,A923,1001)</ns0:f>
        <ns0:v>919</ns0:v>
      </ns0:c>
      <ns0:c r="AB923" s="7">
        <ns0:f>IF(T923&lt;0,A923,0)</ns0:f>
        <ns0:v>0</ns0:v>
      </ns0:c>
      <ns0:c r="AC923" s="16">
        <ns0:f>IF(AND(OR('前提と出典'!$C$36+'前提と出典'!$C$38=0,R923&gt;=0),OR('前提と出典'!$C$37+'前提と出典'!$C$38=0,S923&gt;=0)),0,A923)</ns0:f>
        <ns0:v>0</ns0:v>
      </ns0:c>
      <ns0:c r="AD923" s="7">
        <ns0:f>IF(W923&gt;=0,A923,1001)</ns0:f>
        <ns0:v>919</ns0:v>
      </ns0:c>
      <ns0:c r="AE923" s="7">
        <ns0:f>IF(W923&lt;0,A923,0)</ns0:f>
        <ns0:v>0</ns0:v>
      </ns0:c>
      <ns0:c r="AF923" s="16">
        <ns0:f>IF(AND(OR('前提と出典'!$C$36+'前提と出典'!$C$38=0,U923&gt;=0),OR('前提と出典'!$C$37+'前提と出典'!$C$38=0,V923&gt;=0)),0,A923)</ns0:f>
        <ns0:v>0</ns0:v>
      </ns0:c>
      <ns0:c r="AG923" s="7">
        <ns0:f>IF(Z923&gt;=0,A923,1001)</ns0:f>
        <ns0:v>919</ns0:v>
      </ns0:c>
      <ns0:c r="AH923" s="4">
        <ns0:f>IF(Z923&lt;0,A923,0)</ns0:f>
        <ns0:v>0</ns0:v>
      </ns0:c>
      <ns0:c r="AI923" s="12">
        <ns0:f>IF(AND(OR('前提と出典'!$C$36+'前提と出典'!$C$38=0,X923&gt;=0),OR('前提と出典'!$C$37+'前提と出典'!$C$38=0,Y923&gt;=0)),0,A923)</ns0:f>
        <ns0:v>0</ns0:v>
      </ns0:c>
    </ns0:row>
    <ns0:row r="924" ht="24" customHeight="1">
      <ns0:c r="A924" s="4" t="n">
        <ns0:v>920</ns0:v>
      </ns0:c>
      <ns0:c r="B924" s="12">
        <ns0:f>A924*('前提と出典'!$C$36+'前提と出典'!$C$38)</ns0:f>
        <ns0:v>644</ns0:v>
      </ns0:c>
      <ns0:c r="C924" s="12">
        <ns0:f>A924*('前提と出典'!$C$37+'前提と出典'!$C$38)</ns0:f>
        <ns0:v>552</ns0:v>
      </ns0:c>
      <ns0:c r="D924" s="16">
        <ns0:f>A924*('前提と出典'!$C$36*'契約別単価'!C5+'前提と出典'!$C$37*'契約別単価'!C6+'前提と出典'!$C$38*'契約別単価'!C7)</ns0:f>
        <ns0:v>6619.888268156425</ns0:v>
      </ns0:c>
      <ns0:c r="E924" s="16">
        <ns0:f>A924*('前提と出典'!$C$36*'契約別単価'!E5+'前提と出典'!$C$37*'契約別単価'!E6+'前提と出典'!$C$38*'契約別単価'!E7)</ns0:f>
        <ns0:v>2312763.0893816403</ns0:v>
      </ns0:c>
      <ns0:c r="F924" s="16">
        <ns0:f>A924*('前提と出典'!$C$36*'契約別単価'!F5+'前提と出典'!$C$37*'契約別単価'!F6+'前提と出典'!$C$38*'契約別単価'!F7)</ns0:f>
        <ns0:v>672029.8361398214</ns0:v>
      </ns0:c>
      <ns0:c r="G924" s="16">
        <ns0:f>A924*('前提と出典'!$C$36*'契約別単価'!G5+'前提と出典'!$C$37*'契約別単価'!G6+'前提と出典'!$C$38*'契約別単価'!G7)</ns0:f>
        <ns0:v>1831262.569832402</ns0:v>
      </ns0:c>
      <ns0:c r="H924" s="16">
        <ns0:f>A924*('前提と出典'!$C$36*'契約別単価'!H5+'前提と出典'!$C$37*'契約別単価'!H6+'前提と出典'!$C$38*'契約別単価'!H7)</ns0:f>
        <ns0:v>635539.9567670755</ns0:v>
      </ns0:c>
      <ns0:c r="I924" s="16">
        <ns0:f>A924*('前提と出典'!$C$36*'契約別単価'!I5+'前提と出典'!$C$37*'契約別単価'!I6+'前提と出典'!$C$38*'契約別単価'!I7)</ns0:f>
        <ns0:v>38819.88826815642</ns0:v>
      </ns0:c>
      <ns0:c r="J924" s="16">
        <ns0:f>A924*('前提と出典'!$C$36*'契約別単価'!J5+'前提と出典'!$C$37*'契約別単価'!J6+'前提と出典'!$C$38*'契約別単価'!J7)</ns0:f>
        <ns0:v>90426.38021347836</ns0:v>
      </ns0:c>
      <ns0:c r="K924" s="16">
        <ns0:f>A924*('前提と出典'!$C$36*'契約別単価'!K5+'前提と出典'!$C$37*'契約別単価'!K6+'前提と出典'!$C$38*'契約別単価'!K7)</ns0:f>
        <ns0:v>387599.2551210428</ns0:v>
      </ns0:c>
      <ns0:c r="L924" s="16">
        <ns0:f>A924*('前提と出典'!$C$36*'契約別単価'!L5+'前提と出典'!$C$37*'契約別単価'!L6+'前提と出典'!$C$38*'契約別単価'!L7)</ns0:f>
        <ns0:v>315584.66522556916</ns0:v>
      </ns0:c>
      <ns0:c r="M924" s="16">
        <ns0:f>IF(('前提と出典'!$C$36+'前提と出典'!$C$38)=0,0,IF(B924&lt;=10,'前提と出典'!B73+'前提と出典'!C73,IF(B924&lt;=100,'前提と出典'!B74+'前提と出典'!C74,IF(B924&lt;=500,'前提と出典'!B75+'前提と出典'!C75,'前提と出典'!B76+'前提と出典'!C76))))</ns0:f>
        <ns0:v>80000</ns0:v>
      </ns0:c>
      <ns0:c r="N924" s="16">
        <ns0:f>IF(('前提と出典'!$C$37+'前提と出典'!$C$38)=0,0,IF(C924&lt;=10,'前提と出典'!D73+'前提と出典'!E73,IF(C924&lt;=100,'前提と出典'!D74+'前提と出典'!E74,IF(C924&lt;=500,'前提と出典'!D75+'前提と出典'!E75,'前提と出典'!D76+'前提と出典'!E76))))</ns0:f>
        <ns0:v>86510.9346263078</ns0:v>
      </ns0:c>
      <ns0:c r="O924" s="16">
        <ns0:f>IF('前提と出典'!$C$36+'前提と出典'!$C$38=0,0,'前提と出典'!$B$4*IF('前提と出典'!$B$20=0,MAX('前提と出典'!$B$6,D924*'前提と出典'!$B$5),'前提と出典'!$B$6+D924*'前提と出典'!$B$5))</ns0:f>
        <ns0:v>913544.5810055867</ns0:v>
      </ns0:c>
      <ns0:c r="P924" s="16">
        <ns0:f>(E924+G924)*(1-'前提と出典'!$B$7)-I924-K924-M924-O924</ns0:f>
        <ns0:v>2574877.0110875503</ns0:v>
      </ns0:c>
      <ns0:c r="Q924" s="16">
        <ns0:f>(F924+H924)*(1-'前提と出典'!$B$7)-J924-L924-N924</ns0:f>
        <ns0:v>767975.3002968933</ns0:v>
      </ns0:c>
      <ns0:c r="R924" s="16">
        <ns0:f>P924-E924*'前提と出典'!$E$4</ns0:f>
        <ns0:v>1881048.0842730585</ns0:v>
      </ns0:c>
      <ns0:c r="S924" s="16">
        <ns0:f>Q924-F924*'前提と出典'!$E$4</ns0:f>
        <ns0:v>566366.3494549468</ns0:v>
      </ns0:c>
      <ns0:c r="T924" s="7">
        <ns0:f>R924+S924</ns0:f>
        <ns0:v>2447414.4337280053</ns0:v>
      </ns0:c>
      <ns0:c r="U924" s="16">
        <ns0:f>P924-E924*'前提と出典'!$E$5</ns0:f>
        <ns0:v>1649771.7753348942</ns0:v>
      </ns0:c>
      <ns0:c r="V924" s="16">
        <ns0:f>Q924-F924*'前提と出典'!$E$5</ns0:f>
        <ns0:v>499163.3658409647</ns0:v>
      </ns0:c>
      <ns0:c r="W924" s="7">
        <ns0:f>U924+V924</ns0:f>
        <ns0:v>2148935.1411758587</ns0:v>
      </ns0:c>
      <ns0:c r="X924" s="16">
        <ns0:f>P924-E924*'前提と出典'!$E$6</ns0:f>
        <ns0:v>1418495.46639673</ns0:v>
      </ns0:c>
      <ns0:c r="Y924" s="16">
        <ns0:f>Q924-F924*'前提と出典'!$E$6</ns0:f>
        <ns0:v>431960.3822269826</ns0:v>
      </ns0:c>
      <ns0:c r="Z924" s="7">
        <ns0:f>X924+Y924</ns0:f>
        <ns0:v>1850455.8486237125</ns0:v>
      </ns0:c>
      <ns0:c r="AA924" s="7">
        <ns0:f>IF(T924&gt;=0,A924,1001)</ns0:f>
        <ns0:v>920</ns0:v>
      </ns0:c>
      <ns0:c r="AB924" s="7">
        <ns0:f>IF(T924&lt;0,A924,0)</ns0:f>
        <ns0:v>0</ns0:v>
      </ns0:c>
      <ns0:c r="AC924" s="16">
        <ns0:f>IF(AND(OR('前提と出典'!$C$36+'前提と出典'!$C$38=0,R924&gt;=0),OR('前提と出典'!$C$37+'前提と出典'!$C$38=0,S924&gt;=0)),0,A924)</ns0:f>
        <ns0:v>0</ns0:v>
      </ns0:c>
      <ns0:c r="AD924" s="7">
        <ns0:f>IF(W924&gt;=0,A924,1001)</ns0:f>
        <ns0:v>920</ns0:v>
      </ns0:c>
      <ns0:c r="AE924" s="7">
        <ns0:f>IF(W924&lt;0,A924,0)</ns0:f>
        <ns0:v>0</ns0:v>
      </ns0:c>
      <ns0:c r="AF924" s="16">
        <ns0:f>IF(AND(OR('前提と出典'!$C$36+'前提と出典'!$C$38=0,U924&gt;=0),OR('前提と出典'!$C$37+'前提と出典'!$C$38=0,V924&gt;=0)),0,A924)</ns0:f>
        <ns0:v>0</ns0:v>
      </ns0:c>
      <ns0:c r="AG924" s="7">
        <ns0:f>IF(Z924&gt;=0,A924,1001)</ns0:f>
        <ns0:v>920</ns0:v>
      </ns0:c>
      <ns0:c r="AH924" s="4">
        <ns0:f>IF(Z924&lt;0,A924,0)</ns0:f>
        <ns0:v>0</ns0:v>
      </ns0:c>
      <ns0:c r="AI924" s="12">
        <ns0:f>IF(AND(OR('前提と出典'!$C$36+'前提と出典'!$C$38=0,X924&gt;=0),OR('前提と出典'!$C$37+'前提と出典'!$C$38=0,Y924&gt;=0)),0,A924)</ns0:f>
        <ns0:v>0</ns0:v>
      </ns0:c>
    </ns0:row>
    <ns0:row r="925" ht="24" customHeight="1">
      <ns0:c r="A925" s="4" t="n">
        <ns0:v>921</ns0:v>
      </ns0:c>
      <ns0:c r="B925" s="12">
        <ns0:f>A925*('前提と出典'!$C$36+'前提と出典'!$C$38)</ns0:f>
        <ns0:v>644.6999999999999</ns0:v>
      </ns0:c>
      <ns0:c r="C925" s="12">
        <ns0:f>A925*('前提と出典'!$C$37+'前提と出典'!$C$38)</ns0:f>
        <ns0:v>552.6</ns0:v>
      </ns0:c>
      <ns0:c r="D925" s="16">
        <ns0:f>A925*('前提と出典'!$C$36*'契約別単価'!C5+'前提と出典'!$C$37*'契約別単価'!C6+'前提と出典'!$C$38*'契約別単価'!C7)</ns0:f>
        <ns0:v>6627.083798882682</ns0:v>
      </ns0:c>
      <ns0:c r="E925" s="16">
        <ns0:f>A925*('前提と出典'!$C$36*'契約別単価'!E5+'前提と出典'!$C$37*'契約別単価'!E6+'前提と出典'!$C$38*'契約別単価'!E7)</ns0:f>
        <ns0:v>2315276.9623048813</ns0:v>
      </ns0:c>
      <ns0:c r="F925" s="16">
        <ns0:f>A925*('前提と出典'!$C$36*'契約別単価'!F5+'前提と出典'!$C$37*'契約別単価'!F6+'前提と出典'!$C$38*'契約別単価'!F7)</ns0:f>
        <ns0:v>672760.303353017</ns0:v>
      </ns0:c>
      <ns0:c r="G925" s="16">
        <ns0:f>A925*('前提と出典'!$C$36*'契約別単価'!G5+'前提と出典'!$C$37*'契約別単価'!G6+'前提と出典'!$C$38*'契約別単価'!G7)</ns0:f>
        <ns0:v>1833253.0726256983</ns0:v>
      </ns0:c>
      <ns0:c r="H925" s="16">
        <ns0:f>A925*('前提と出典'!$C$36*'契約別単価'!H5+'前提と出典'!$C$37*'契約別単価'!H6+'前提と出典'!$C$38*'契約別単価'!H7)</ns0:f>
        <ns0:v>636230.7610679093</ns0:v>
      </ns0:c>
      <ns0:c r="I925" s="16">
        <ns0:f>A925*('前提と出典'!$C$36*'契約別単価'!I5+'前提と出典'!$C$37*'契約別単価'!I6+'前提と出典'!$C$38*'契約別単価'!I7)</ns0:f>
        <ns0:v>38862.083798882675</ns0:v>
      </ns0:c>
      <ns0:c r="J925" s="16">
        <ns0:f>A925*('前提と出典'!$C$36*'契約別単価'!J5+'前提と出典'!$C$37*'契約別単価'!J6+'前提と出典'!$C$38*'契約別単価'!J7)</ns0:f>
        <ns0:v>90524.66975718866</ns0:v>
      </ns0:c>
      <ns0:c r="K925" s="16">
        <ns0:f>A925*('前提と出典'!$C$36*'契約別単価'!K5+'前提と出典'!$C$37*'契約別単価'!K6+'前提と出典'!$C$38*'契約別単価'!K7)</ns0:f>
        <ns0:v>388020.55865921784</ns0:v>
      </ns0:c>
      <ns0:c r="L925" s="16">
        <ns0:f>A925*('前提と出典'!$C$36*'契約別単価'!L5+'前提と出典'!$C$37*'契約別単価'!L6+'前提と出典'!$C$38*'契約別単価'!L7)</ns0:f>
        <ns0:v>315927.692035597</ns0:v>
      </ns0:c>
      <ns0:c r="M925" s="16">
        <ns0:f>IF(('前提と出典'!$C$36+'前提と出典'!$C$38)=0,0,IF(B925&lt;=10,'前提と出典'!B73+'前提と出典'!C73,IF(B925&lt;=100,'前提と出典'!B74+'前提と出典'!C74,IF(B925&lt;=500,'前提と出典'!B75+'前提と出典'!C75,'前提と出典'!B76+'前提と出典'!C76))))</ns0:f>
        <ns0:v>80000</ns0:v>
      </ns0:c>
      <ns0:c r="N925" s="16">
        <ns0:f>IF(('前提と出典'!$C$37+'前提と出典'!$C$38)=0,0,IF(C925&lt;=10,'前提と出典'!D73+'前提と出典'!E73,IF(C925&lt;=100,'前提と出典'!D74+'前提と出典'!E74,IF(C925&lt;=500,'前提と出典'!D75+'前提と出典'!E75,'前提と出典'!D76+'前提と出典'!E76))))</ns0:f>
        <ns0:v>86510.9346263078</ns0:v>
      </ns0:c>
      <ns0:c r="O925" s="16">
        <ns0:f>IF('前提と出典'!$C$36+'前提と出典'!$C$38=0,0,'前提と出典'!$B$4*IF('前提と出典'!$B$20=0,MAX('前提と出典'!$B$6,D925*'前提と出典'!$B$5),'前提と出典'!$B$6+D925*'前提と出典'!$B$5))</ns0:f>
        <ns0:v>914537.5642458102</ns0:v>
      </ns0:c>
      <ns0:c r="P925" s="16">
        <ns0:f>(E925+G925)*(1-'前提と出典'!$B$7)-I925-K925-M925-O925</ns0:f>
        <ns0:v>2577762.746969168</ns0:v>
      </ns0:c>
      <ns0:c r="Q925" s="16">
        <ns0:f>(F925+H925)*(1-'前提と出典'!$B$7)-J925-L925-N925</ns0:f>
        <ns0:v>768904.0896826796</ns0:v>
      </ns0:c>
      <ns0:c r="R925" s="16">
        <ns0:f>P925-E925*'前提と出典'!$E$4</ns0:f>
        <ns0:v>1883179.6582777034</ns0:v>
      </ns0:c>
      <ns0:c r="S925" s="16">
        <ns0:f>Q925-F925*'前提と出典'!$E$4</ns0:f>
        <ns0:v>567075.9986767746</ns0:v>
      </ns0:c>
      <ns0:c r="T925" s="7">
        <ns0:f>R925+S925</ns0:f>
        <ns0:v>2450255.656954478</ns0:v>
      </ns0:c>
      <ns0:c r="U925" s="16">
        <ns0:f>P925-E925*'前提と出典'!$E$5</ns0:f>
        <ns0:v>1651651.9620472156</ns0:v>
      </ns0:c>
      <ns0:c r="V925" s="16">
        <ns0:f>Q925-F925*'前提と出典'!$E$5</ns0:f>
        <ns0:v>499799.9683414728</ns0:v>
      </ns0:c>
      <ns0:c r="W925" s="7">
        <ns0:f>U925+V925</ns0:f>
        <ns0:v>2151451.930388688</ns0:v>
      </ns0:c>
      <ns0:c r="X925" s="16">
        <ns0:f>P925-E925*'前提と出典'!$E$6</ns0:f>
        <ns0:v>1420124.2658167277</ns0:v>
      </ns0:c>
      <ns0:c r="Y925" s="16">
        <ns0:f>Q925-F925*'前提と出典'!$E$6</ns0:f>
        <ns0:v>432523.9380061711</ns0:v>
      </ns0:c>
      <ns0:c r="Z925" s="7">
        <ns0:f>X925+Y925</ns0:f>
        <ns0:v>1852648.2038228987</ns0:v>
      </ns0:c>
      <ns0:c r="AA925" s="7">
        <ns0:f>IF(T925&gt;=0,A925,1001)</ns0:f>
        <ns0:v>921</ns0:v>
      </ns0:c>
      <ns0:c r="AB925" s="7">
        <ns0:f>IF(T925&lt;0,A925,0)</ns0:f>
        <ns0:v>0</ns0:v>
      </ns0:c>
      <ns0:c r="AC925" s="16">
        <ns0:f>IF(AND(OR('前提と出典'!$C$36+'前提と出典'!$C$38=0,R925&gt;=0),OR('前提と出典'!$C$37+'前提と出典'!$C$38=0,S925&gt;=0)),0,A925)</ns0:f>
        <ns0:v>0</ns0:v>
      </ns0:c>
      <ns0:c r="AD925" s="7">
        <ns0:f>IF(W925&gt;=0,A925,1001)</ns0:f>
        <ns0:v>921</ns0:v>
      </ns0:c>
      <ns0:c r="AE925" s="7">
        <ns0:f>IF(W925&lt;0,A925,0)</ns0:f>
        <ns0:v>0</ns0:v>
      </ns0:c>
      <ns0:c r="AF925" s="16">
        <ns0:f>IF(AND(OR('前提と出典'!$C$36+'前提と出典'!$C$38=0,U925&gt;=0),OR('前提と出典'!$C$37+'前提と出典'!$C$38=0,V925&gt;=0)),0,A925)</ns0:f>
        <ns0:v>0</ns0:v>
      </ns0:c>
      <ns0:c r="AG925" s="7">
        <ns0:f>IF(Z925&gt;=0,A925,1001)</ns0:f>
        <ns0:v>921</ns0:v>
      </ns0:c>
      <ns0:c r="AH925" s="4">
        <ns0:f>IF(Z925&lt;0,A925,0)</ns0:f>
        <ns0:v>0</ns0:v>
      </ns0:c>
      <ns0:c r="AI925" s="12">
        <ns0:f>IF(AND(OR('前提と出典'!$C$36+'前提と出典'!$C$38=0,X925&gt;=0),OR('前提と出典'!$C$37+'前提と出典'!$C$38=0,Y925&gt;=0)),0,A925)</ns0:f>
        <ns0:v>0</ns0:v>
      </ns0:c>
    </ns0:row>
    <ns0:row r="926" ht="24" customHeight="1">
      <ns0:c r="A926" s="4" t="n">
        <ns0:v>922</ns0:v>
      </ns0:c>
      <ns0:c r="B926" s="12">
        <ns0:f>A926*('前提と出典'!$C$36+'前提と出典'!$C$38)</ns0:f>
        <ns0:v>645.4</ns0:v>
      </ns0:c>
      <ns0:c r="C926" s="12">
        <ns0:f>A926*('前提と出典'!$C$37+'前提と出典'!$C$38)</ns0:f>
        <ns0:v>553.1999999999999</ns0:v>
      </ns0:c>
      <ns0:c r="D926" s="16">
        <ns0:f>A926*('前提と出典'!$C$36*'契約別単価'!C5+'前提と出典'!$C$37*'契約別単価'!C6+'前提と出典'!$C$38*'契約別単価'!C7)</ns0:f>
        <ns0:v>6634.2793296089385</ns0:v>
      </ns0:c>
      <ns0:c r="E926" s="16">
        <ns0:f>A926*('前提と出典'!$C$36*'契約別単価'!E5+'前提と出典'!$C$37*'契約別単価'!E6+'前提と出典'!$C$38*'契約別単価'!E7)</ns0:f>
        <ns0:v>2317790.835228122</ns0:v>
      </ns0:c>
      <ns0:c r="F926" s="16">
        <ns0:f>A926*('前提と出典'!$C$36*'契約別単価'!F5+'前提と出典'!$C$37*'契約別単価'!F6+'前提と出典'!$C$38*'契約別単価'!F7)</ns0:f>
        <ns0:v>673490.7705662125</ns0:v>
      </ns0:c>
      <ns0:c r="G926" s="16">
        <ns0:f>A926*('前提と出典'!$C$36*'契約別単価'!G5+'前提と出典'!$C$37*'契約別単価'!G6+'前提と出典'!$C$38*'契約別単価'!G7)</ns0:f>
        <ns0:v>1835243.5754189943</ns0:v>
      </ns0:c>
      <ns0:c r="H926" s="16">
        <ns0:f>A926*('前提と出典'!$C$36*'契約別単価'!H5+'前提と出典'!$C$37*'契約別単価'!H6+'前提と出典'!$C$38*'契約別単価'!H7)</ns0:f>
        <ns0:v>636921.565368743</ns0:v>
      </ns0:c>
      <ns0:c r="I926" s="16">
        <ns0:f>A926*('前提と出典'!$C$36*'契約別単価'!I5+'前提と出典'!$C$37*'契約別単価'!I6+'前提と出典'!$C$38*'契約別単価'!I7)</ns0:f>
        <ns0:v>38904.27932960893</ns0:v>
      </ns0:c>
      <ns0:c r="J926" s="16">
        <ns0:f>A926*('前提と出典'!$C$36*'契約別単価'!J5+'前提と出典'!$C$37*'契約別単価'!J6+'前提と出典'!$C$38*'契約別単価'!J7)</ns0:f>
        <ns0:v>90622.95930089896</ns0:v>
      </ns0:c>
      <ns0:c r="K926" s="16">
        <ns0:f>A926*('前提と出典'!$C$36*'契約別単価'!K5+'前提と出典'!$C$37*'契約別単価'!K6+'前提と出典'!$C$38*'契約別単価'!K7)</ns0:f>
        <ns0:v>388441.8621973929</ns0:v>
      </ns0:c>
      <ns0:c r="L926" s="16">
        <ns0:f>A926*('前提と出典'!$C$36*'契約別単価'!L5+'前提と出典'!$C$37*'契約別単価'!L6+'前提と出典'!$C$38*'契約別単価'!L7)</ns0:f>
        <ns0:v>316270.71884562477</ns0:v>
      </ns0:c>
      <ns0:c r="M926" s="16">
        <ns0:f>IF(('前提と出典'!$C$36+'前提と出典'!$C$38)=0,0,IF(B926&lt;=10,'前提と出典'!B73+'前提と出典'!C73,IF(B926&lt;=100,'前提と出典'!B74+'前提と出典'!C74,IF(B926&lt;=500,'前提と出典'!B75+'前提と出典'!C75,'前提と出典'!B76+'前提と出典'!C76))))</ns0:f>
        <ns0:v>80000</ns0:v>
      </ns0:c>
      <ns0:c r="N926" s="16">
        <ns0:f>IF(('前提と出典'!$C$37+'前提と出典'!$C$38)=0,0,IF(C926&lt;=10,'前提と出典'!D73+'前提と出典'!E73,IF(C926&lt;=100,'前提と出典'!D74+'前提と出典'!E74,IF(C926&lt;=500,'前提と出典'!D75+'前提と出典'!E75,'前提と出典'!D76+'前提と出典'!E76))))</ns0:f>
        <ns0:v>86510.9346263078</ns0:v>
      </ns0:c>
      <ns0:c r="O926" s="16">
        <ns0:f>IF('前提と出典'!$C$36+'前提と出典'!$C$38=0,0,'前提と出典'!$B$4*IF('前提と出典'!$B$20=0,MAX('前提と出典'!$B$6,D926*'前提と出典'!$B$5),'前提と出典'!$B$6+D926*'前提と出典'!$B$5))</ns0:f>
        <ns0:v>915530.5474860336</ns0:v>
      </ns0:c>
      <ns0:c r="P926" s="16">
        <ns0:f>(E926+G926)*(1-'前提と出典'!$B$7)-I926-K926-M926-O926</ns0:f>
        <ns0:v>2580648.482850784</ns0:v>
      </ns0:c>
      <ns0:c r="Q926" s="16">
        <ns0:f>(F926+H926)*(1-'前提と出典'!$B$7)-J926-L926-N926</ns0:f>
        <ns0:v>769832.8790684657</ns0:v>
      </ns0:c>
      <ns0:c r="R926" s="16">
        <ns0:f>P926-E926*'前提と出典'!$E$4</ns0:f>
        <ns0:v>1885311.2322823475</ns0:v>
      </ns0:c>
      <ns0:c r="S926" s="16">
        <ns0:f>Q926-F926*'前提と出典'!$E$4</ns0:f>
        <ns0:v>567785.6478986018</ns0:v>
      </ns0:c>
      <ns0:c r="T926" s="7">
        <ns0:f>R926+S926</ns0:f>
        <ns0:v>2453096.8801809493</ns0:v>
      </ns0:c>
      <ns0:c r="U926" s="16">
        <ns0:f>P926-E926*'前提と出典'!$E$5</ns0:f>
        <ns0:v>1653532.148759535</ns0:v>
      </ns0:c>
      <ns0:c r="V926" s="16">
        <ns0:f>Q926-F926*'前提と出典'!$E$5</ns0:f>
        <ns0:v>500436.57084198063</ns0:v>
      </ns0:c>
      <ns0:c r="W926" s="7">
        <ns0:f>U926+V926</ns0:f>
        <ns0:v>2153968.7196015157</ns0:v>
      </ns0:c>
      <ns0:c r="X926" s="16">
        <ns0:f>P926-E926*'前提と出典'!$E$6</ns0:f>
        <ns0:v>1421753.065236723</ns0:v>
      </ns0:c>
      <ns0:c r="Y926" s="16">
        <ns0:f>Q926-F926*'前提と出典'!$E$6</ns0:f>
        <ns0:v>433087.4937853595</ns0:v>
      </ns0:c>
      <ns0:c r="Z926" s="7">
        <ns0:f>X926+Y926</ns0:f>
        <ns0:v>1854840.5590220825</ns0:v>
      </ns0:c>
      <ns0:c r="AA926" s="7">
        <ns0:f>IF(T926&gt;=0,A926,1001)</ns0:f>
        <ns0:v>922</ns0:v>
      </ns0:c>
      <ns0:c r="AB926" s="7">
        <ns0:f>IF(T926&lt;0,A926,0)</ns0:f>
        <ns0:v>0</ns0:v>
      </ns0:c>
      <ns0:c r="AC926" s="16">
        <ns0:f>IF(AND(OR('前提と出典'!$C$36+'前提と出典'!$C$38=0,R926&gt;=0),OR('前提と出典'!$C$37+'前提と出典'!$C$38=0,S926&gt;=0)),0,A926)</ns0:f>
        <ns0:v>0</ns0:v>
      </ns0:c>
      <ns0:c r="AD926" s="7">
        <ns0:f>IF(W926&gt;=0,A926,1001)</ns0:f>
        <ns0:v>922</ns0:v>
      </ns0:c>
      <ns0:c r="AE926" s="7">
        <ns0:f>IF(W926&lt;0,A926,0)</ns0:f>
        <ns0:v>0</ns0:v>
      </ns0:c>
      <ns0:c r="AF926" s="16">
        <ns0:f>IF(AND(OR('前提と出典'!$C$36+'前提と出典'!$C$38=0,U926&gt;=0),OR('前提と出典'!$C$37+'前提と出典'!$C$38=0,V926&gt;=0)),0,A926)</ns0:f>
        <ns0:v>0</ns0:v>
      </ns0:c>
      <ns0:c r="AG926" s="7">
        <ns0:f>IF(Z926&gt;=0,A926,1001)</ns0:f>
        <ns0:v>922</ns0:v>
      </ns0:c>
      <ns0:c r="AH926" s="4">
        <ns0:f>IF(Z926&lt;0,A926,0)</ns0:f>
        <ns0:v>0</ns0:v>
      </ns0:c>
      <ns0:c r="AI926" s="12">
        <ns0:f>IF(AND(OR('前提と出典'!$C$36+'前提と出典'!$C$38=0,X926&gt;=0),OR('前提と出典'!$C$37+'前提と出典'!$C$38=0,Y926&gt;=0)),0,A926)</ns0:f>
        <ns0:v>0</ns0:v>
      </ns0:c>
    </ns0:row>
    <ns0:row r="927" ht="24" customHeight="1">
      <ns0:c r="A927" s="4" t="n">
        <ns0:v>923</ns0:v>
      </ns0:c>
      <ns0:c r="B927" s="12">
        <ns0:f>A927*('前提と出典'!$C$36+'前提と出典'!$C$38)</ns0:f>
        <ns0:v>646.0999999999999</ns0:v>
      </ns0:c>
      <ns0:c r="C927" s="12">
        <ns0:f>A927*('前提と出典'!$C$37+'前提と出典'!$C$38)</ns0:f>
        <ns0:v>553.8</ns0:v>
      </ns0:c>
      <ns0:c r="D927" s="16">
        <ns0:f>A927*('前提と出典'!$C$36*'契約別単価'!C5+'前提と出典'!$C$37*'契約別単価'!C6+'前提と出典'!$C$38*'契約別単価'!C7)</ns0:f>
        <ns0:v>6641.474860335195</ns0:v>
      </ns0:c>
      <ns0:c r="E927" s="16">
        <ns0:f>A927*('前提と出典'!$C$36*'契約別単価'!E5+'前提と出典'!$C$37*'契約別単価'!E6+'前提と出典'!$C$38*'契約別単価'!E7)</ns0:f>
        <ns0:v>2320304.708151363</ns0:v>
      </ns0:c>
      <ns0:c r="F927" s="16">
        <ns0:f>A927*('前提と出典'!$C$36*'契約別単価'!F5+'前提と出典'!$C$37*'契約別単価'!F6+'前提と出典'!$C$38*'契約別単価'!F7)</ns0:f>
        <ns0:v>674221.2377794079</ns0:v>
      </ns0:c>
      <ns0:c r="G927" s="16">
        <ns0:f>A927*('前提と出典'!$C$36*'契約別単価'!G5+'前提と出典'!$C$37*'契約別単価'!G6+'前提と出典'!$C$38*'契約別単価'!G7)</ns0:f>
        <ns0:v>1837234.0782122903</ns0:v>
      </ns0:c>
      <ns0:c r="H927" s="16">
        <ns0:f>A927*('前提と出典'!$C$36*'契約別単価'!H5+'前提と出典'!$C$37*'契約別単価'!H6+'前提と出典'!$C$38*'契約別単価'!H7)</ns0:f>
        <ns0:v>637612.3696695768</ns0:v>
      </ns0:c>
      <ns0:c r="I927" s="16">
        <ns0:f>A927*('前提と出典'!$C$36*'契約別単価'!I5+'前提と出典'!$C$37*'契約別単価'!I6+'前提と出典'!$C$38*'契約別単価'!I7)</ns0:f>
        <ns0:v>38946.47486033519</ns0:v>
      </ns0:c>
      <ns0:c r="J927" s="16">
        <ns0:f>A927*('前提と出典'!$C$36*'契約別単価'!J5+'前提と出典'!$C$37*'契約別単価'!J6+'前提と出典'!$C$38*'契約別単価'!J7)</ns0:f>
        <ns0:v>90721.24884460928</ns0:v>
      </ns0:c>
      <ns0:c r="K927" s="16">
        <ns0:f>A927*('前提と出典'!$C$36*'契約別単価'!K5+'前提と出典'!$C$37*'契約別単価'!K6+'前提と出典'!$C$38*'契約別単価'!K7)</ns0:f>
        <ns0:v>388863.1657355679</ns0:v>
      </ns0:c>
      <ns0:c r="L927" s="16">
        <ns0:f>A927*('前提と出典'!$C$36*'契約別単価'!L5+'前提と出典'!$C$37*'契約別単価'!L6+'前提と出典'!$C$38*'契約別単価'!L7)</ns0:f>
        <ns0:v>316613.74565565254</ns0:v>
      </ns0:c>
      <ns0:c r="M927" s="16">
        <ns0:f>IF(('前提と出典'!$C$36+'前提と出典'!$C$38)=0,0,IF(B927&lt;=10,'前提と出典'!B73+'前提と出典'!C73,IF(B927&lt;=100,'前提と出典'!B74+'前提と出典'!C74,IF(B927&lt;=500,'前提と出典'!B75+'前提と出典'!C75,'前提と出典'!B76+'前提と出典'!C76))))</ns0:f>
        <ns0:v>80000</ns0:v>
      </ns0:c>
      <ns0:c r="N927" s="16">
        <ns0:f>IF(('前提と出典'!$C$37+'前提と出典'!$C$38)=0,0,IF(C927&lt;=10,'前提と出典'!D73+'前提と出典'!E73,IF(C927&lt;=100,'前提と出典'!D74+'前提と出典'!E74,IF(C927&lt;=500,'前提と出典'!D75+'前提と出典'!E75,'前提と出典'!D76+'前提と出典'!E76))))</ns0:f>
        <ns0:v>86510.9346263078</ns0:v>
      </ns0:c>
      <ns0:c r="O927" s="16">
        <ns0:f>IF('前提と出典'!$C$36+'前提と出典'!$C$38=0,0,'前提と出典'!$B$4*IF('前提と出典'!$B$20=0,MAX('前提と出典'!$B$6,D927*'前提と出典'!$B$5),'前提と出典'!$B$6+D927*'前提と出典'!$B$5))</ns0:f>
        <ns0:v>916523.530726257</ns0:v>
      </ns0:c>
      <ns0:c r="P927" s="16">
        <ns0:f>(E927+G927)*(1-'前提と出典'!$B$7)-I927-K927-M927-O927</ns0:f>
        <ns0:v>2583534.218732401</ns0:v>
      </ns0:c>
      <ns0:c r="Q927" s="16">
        <ns0:f>(F927+H927)*(1-'前提と出典'!$B$7)-J927-L927-N927</ns0:f>
        <ns0:v>770761.6684542517</ns0:v>
      </ns0:c>
      <ns0:c r="R927" s="16">
        <ns0:f>P927-E927*'前提と出典'!$E$4</ns0:f>
        <ns0:v>1887442.8062869923</ns0:v>
      </ns0:c>
      <ns0:c r="S927" s="16">
        <ns0:f>Q927-F927*'前提と出典'!$E$4</ns0:f>
        <ns0:v>568495.2971204293</ns0:v>
      </ns0:c>
      <ns0:c r="T927" s="7">
        <ns0:f>R927+S927</ns0:f>
        <ns0:v>2455938.1034074216</ns0:v>
      </ns0:c>
      <ns0:c r="U927" s="16">
        <ns0:f>P927-E927*'前提と出典'!$E$5</ns0:f>
        <ns0:v>1655412.3354718557</ns0:v>
      </ns0:c>
      <ns0:c r="V927" s="16">
        <ns0:f>Q927-F927*'前提と出典'!$E$5</ns0:f>
        <ns0:v>501073.1733424885</ns0:v>
      </ns0:c>
      <ns0:c r="W927" s="7">
        <ns0:f>U927+V927</ns0:f>
        <ns0:v>2156485.508814344</ns0:v>
      </ns0:c>
      <ns0:c r="X927" s="16">
        <ns0:f>P927-E927*'前提と出典'!$E$6</ns0:f>
        <ns0:v>1423381.8646567196</ns0:v>
      </ns0:c>
      <ns0:c r="Y927" s="16">
        <ns0:f>Q927-F927*'前提と出典'!$E$6</ns0:f>
        <ns0:v>433651.0495645478</ns0:v>
      </ns0:c>
      <ns0:c r="Z927" s="7">
        <ns0:f>X927+Y927</ns0:f>
        <ns0:v>1857032.9142212674</ns0:v>
      </ns0:c>
      <ns0:c r="AA927" s="7">
        <ns0:f>IF(T927&gt;=0,A927,1001)</ns0:f>
        <ns0:v>923</ns0:v>
      </ns0:c>
      <ns0:c r="AB927" s="7">
        <ns0:f>IF(T927&lt;0,A927,0)</ns0:f>
        <ns0:v>0</ns0:v>
      </ns0:c>
      <ns0:c r="AC927" s="16">
        <ns0:f>IF(AND(OR('前提と出典'!$C$36+'前提と出典'!$C$38=0,R927&gt;=0),OR('前提と出典'!$C$37+'前提と出典'!$C$38=0,S927&gt;=0)),0,A927)</ns0:f>
        <ns0:v>0</ns0:v>
      </ns0:c>
      <ns0:c r="AD927" s="7">
        <ns0:f>IF(W927&gt;=0,A927,1001)</ns0:f>
        <ns0:v>923</ns0:v>
      </ns0:c>
      <ns0:c r="AE927" s="7">
        <ns0:f>IF(W927&lt;0,A927,0)</ns0:f>
        <ns0:v>0</ns0:v>
      </ns0:c>
      <ns0:c r="AF927" s="16">
        <ns0:f>IF(AND(OR('前提と出典'!$C$36+'前提と出典'!$C$38=0,U927&gt;=0),OR('前提と出典'!$C$37+'前提と出典'!$C$38=0,V927&gt;=0)),0,A927)</ns0:f>
        <ns0:v>0</ns0:v>
      </ns0:c>
      <ns0:c r="AG927" s="7">
        <ns0:f>IF(Z927&gt;=0,A927,1001)</ns0:f>
        <ns0:v>923</ns0:v>
      </ns0:c>
      <ns0:c r="AH927" s="4">
        <ns0:f>IF(Z927&lt;0,A927,0)</ns0:f>
        <ns0:v>0</ns0:v>
      </ns0:c>
      <ns0:c r="AI927" s="12">
        <ns0:f>IF(AND(OR('前提と出典'!$C$36+'前提と出典'!$C$38=0,X927&gt;=0),OR('前提と出典'!$C$37+'前提と出典'!$C$38=0,Y927&gt;=0)),0,A927)</ns0:f>
        <ns0:v>0</ns0:v>
      </ns0:c>
    </ns0:row>
    <ns0:row r="928" ht="24" customHeight="1">
      <ns0:c r="A928" s="4" t="n">
        <ns0:v>924</ns0:v>
      </ns0:c>
      <ns0:c r="B928" s="12">
        <ns0:f>A928*('前提と出典'!$C$36+'前提と出典'!$C$38)</ns0:f>
        <ns0:v>646.8</ns0:v>
      </ns0:c>
      <ns0:c r="C928" s="12">
        <ns0:f>A928*('前提と出典'!$C$37+'前提と出典'!$C$38)</ns0:f>
        <ns0:v>554.4</ns0:v>
      </ns0:c>
      <ns0:c r="D928" s="16">
        <ns0:f>A928*('前提と出典'!$C$36*'契約別単価'!C5+'前提と出典'!$C$37*'契約別単価'!C6+'前提と出典'!$C$38*'契約別単価'!C7)</ns0:f>
        <ns0:v>6648.670391061452</ns0:v>
      </ns0:c>
      <ns0:c r="E928" s="16">
        <ns0:f>A928*('前提と出典'!$C$36*'契約別単価'!E5+'前提と出典'!$C$37*'契約別単価'!E6+'前提と出典'!$C$38*'契約別単価'!E7)</ns0:f>
        <ns0:v>2322818.581074604</ns0:v>
      </ns0:c>
      <ns0:c r="F928" s="16">
        <ns0:f>A928*('前提と出典'!$C$36*'契約別単価'!F5+'前提と出典'!$C$37*'契約別単価'!F6+'前提と出典'!$C$38*'契約別単価'!F7)</ns0:f>
        <ns0:v>674951.7049926034</ns0:v>
      </ns0:c>
      <ns0:c r="G928" s="16">
        <ns0:f>A928*('前提と出典'!$C$36*'契約別単価'!G5+'前提と出典'!$C$37*'契約別単価'!G6+'前提と出典'!$C$38*'契約別単価'!G7)</ns0:f>
        <ns0:v>1839224.5810055865</ns0:v>
      </ns0:c>
      <ns0:c r="H928" s="16">
        <ns0:f>A928*('前提と出典'!$C$36*'契約別単価'!H5+'前提と出典'!$C$37*'契約別単価'!H6+'前提と出典'!$C$38*'契約別単価'!H7)</ns0:f>
        <ns0:v>638303.1739704106</ns0:v>
      </ns0:c>
      <ns0:c r="I928" s="16">
        <ns0:f>A928*('前提と出典'!$C$36*'契約別単価'!I5+'前提と出典'!$C$37*'契約別単価'!I6+'前提と出典'!$C$38*'契約別単価'!I7)</ns0:f>
        <ns0:v>38988.670391061445</ns0:v>
      </ns0:c>
      <ns0:c r="J928" s="16">
        <ns0:f>A928*('前提と出典'!$C$36*'契約別単価'!J5+'前提と出典'!$C$37*'契約別単価'!J6+'前提と出典'!$C$38*'契約別単価'!J7)</ns0:f>
        <ns0:v>90819.53838831958</ns0:v>
      </ns0:c>
      <ns0:c r="K928" s="16">
        <ns0:f>A928*('前提と出典'!$C$36*'契約別単価'!K5+'前提と出典'!$C$37*'契約別単価'!K6+'前提と出典'!$C$38*'契約別単価'!K7)</ns0:f>
        <ns0:v>389284.469273743</ns0:v>
      </ns0:c>
      <ns0:c r="L928" s="16">
        <ns0:f>A928*('前提と出典'!$C$36*'契約別単価'!L5+'前提と出典'!$C$37*'契約別単価'!L6+'前提と出典'!$C$38*'契約別単価'!L7)</ns0:f>
        <ns0:v>316956.7724656803</ns0:v>
      </ns0:c>
      <ns0:c r="M928" s="16">
        <ns0:f>IF(('前提と出典'!$C$36+'前提と出典'!$C$38)=0,0,IF(B928&lt;=10,'前提と出典'!B73+'前提と出典'!C73,IF(B928&lt;=100,'前提と出典'!B74+'前提と出典'!C74,IF(B928&lt;=500,'前提と出典'!B75+'前提と出典'!C75,'前提と出典'!B76+'前提と出典'!C76))))</ns0:f>
        <ns0:v>80000</ns0:v>
      </ns0:c>
      <ns0:c r="N928" s="16">
        <ns0:f>IF(('前提と出典'!$C$37+'前提と出典'!$C$38)=0,0,IF(C928&lt;=10,'前提と出典'!D73+'前提と出典'!E73,IF(C928&lt;=100,'前提と出典'!D74+'前提と出典'!E74,IF(C928&lt;=500,'前提と出典'!D75+'前提と出典'!E75,'前提と出典'!D76+'前提と出典'!E76))))</ns0:f>
        <ns0:v>86510.9346263078</ns0:v>
      </ns0:c>
      <ns0:c r="O928" s="16">
        <ns0:f>IF('前提と出典'!$C$36+'前提と出典'!$C$38=0,0,'前提と出典'!$B$4*IF('前提と出典'!$B$20=0,MAX('前提と出典'!$B$6,D928*'前提と出典'!$B$5),'前提と出典'!$B$6+D928*'前提と出典'!$B$5))</ns0:f>
        <ns0:v>917516.5139664805</ns0:v>
      </ns0:c>
      <ns0:c r="P928" s="16">
        <ns0:f>(E928+G928)*(1-'前提と出典'!$B$7)-I928-K928-M928-O928</ns0:f>
        <ns0:v>2586419.9546140186</ns0:v>
      </ns0:c>
      <ns0:c r="Q928" s="16">
        <ns0:f>(F928+H928)*(1-'前提と出典'!$B$7)-J928-L928-N928</ns0:f>
        <ns0:v>771690.457840038</ns0:v>
      </ns0:c>
      <ns0:c r="R928" s="16">
        <ns0:f>P928-E928*'前提と出典'!$E$4</ns0:f>
        <ns0:v>1889574.3802916377</ns0:v>
      </ns0:c>
      <ns0:c r="S928" s="16">
        <ns0:f>Q928-F928*'前提と出典'!$E$4</ns0:f>
        <ns0:v>569204.9463422571</ns0:v>
      </ns0:c>
      <ns0:c r="T928" s="7">
        <ns0:f>R928+S928</ns0:f>
        <ns0:v>2458779.326633895</ns0:v>
      </ns0:c>
      <ns0:c r="U928" s="16">
        <ns0:f>P928-E928*'前提と出典'!$E$5</ns0:f>
        <ns0:v>1657292.522184177</ns0:v>
      </ns0:c>
      <ns0:c r="V928" s="16">
        <ns0:f>Q928-F928*'前提と出典'!$E$5</ns0:f>
        <ns0:v>501709.77584299655</ns0:v>
      </ns0:c>
      <ns0:c r="W928" s="7">
        <ns0:f>U928+V928</ns0:f>
        <ns0:v>2159002.2980271736</ns0:v>
      </ns0:c>
      <ns0:c r="X928" s="16">
        <ns0:f>P928-E928*'前提と出典'!$E$6</ns0:f>
        <ns0:v>1425010.6640767164</ns0:v>
      </ns0:c>
      <ns0:c r="Y928" s="16">
        <ns0:f>Q928-F928*'前提と出典'!$E$6</ns0:f>
        <ns0:v>434214.6053437362</ns0:v>
      </ns0:c>
      <ns0:c r="Z928" s="7">
        <ns0:f>X928+Y928</ns0:f>
        <ns0:v>1859225.2694204526</ns0:v>
      </ns0:c>
      <ns0:c r="AA928" s="7">
        <ns0:f>IF(T928&gt;=0,A928,1001)</ns0:f>
        <ns0:v>924</ns0:v>
      </ns0:c>
      <ns0:c r="AB928" s="7">
        <ns0:f>IF(T928&lt;0,A928,0)</ns0:f>
        <ns0:v>0</ns0:v>
      </ns0:c>
      <ns0:c r="AC928" s="16">
        <ns0:f>IF(AND(OR('前提と出典'!$C$36+'前提と出典'!$C$38=0,R928&gt;=0),OR('前提と出典'!$C$37+'前提と出典'!$C$38=0,S928&gt;=0)),0,A928)</ns0:f>
        <ns0:v>0</ns0:v>
      </ns0:c>
      <ns0:c r="AD928" s="7">
        <ns0:f>IF(W928&gt;=0,A928,1001)</ns0:f>
        <ns0:v>924</ns0:v>
      </ns0:c>
      <ns0:c r="AE928" s="7">
        <ns0:f>IF(W928&lt;0,A928,0)</ns0:f>
        <ns0:v>0</ns0:v>
      </ns0:c>
      <ns0:c r="AF928" s="16">
        <ns0:f>IF(AND(OR('前提と出典'!$C$36+'前提と出典'!$C$38=0,U928&gt;=0),OR('前提と出典'!$C$37+'前提と出典'!$C$38=0,V928&gt;=0)),0,A928)</ns0:f>
        <ns0:v>0</ns0:v>
      </ns0:c>
      <ns0:c r="AG928" s="7">
        <ns0:f>IF(Z928&gt;=0,A928,1001)</ns0:f>
        <ns0:v>924</ns0:v>
      </ns0:c>
      <ns0:c r="AH928" s="4">
        <ns0:f>IF(Z928&lt;0,A928,0)</ns0:f>
        <ns0:v>0</ns0:v>
      </ns0:c>
      <ns0:c r="AI928" s="12">
        <ns0:f>IF(AND(OR('前提と出典'!$C$36+'前提と出典'!$C$38=0,X928&gt;=0),OR('前提と出典'!$C$37+'前提と出典'!$C$38=0,Y928&gt;=0)),0,A928)</ns0:f>
        <ns0:v>0</ns0:v>
      </ns0:c>
    </ns0:row>
    <ns0:row r="929" ht="24" customHeight="1">
      <ns0:c r="A929" s="4" t="n">
        <ns0:v>925</ns0:v>
      </ns0:c>
      <ns0:c r="B929" s="12">
        <ns0:f>A929*('前提と出典'!$C$36+'前提と出典'!$C$38)</ns0:f>
        <ns0:v>647.5</ns0:v>
      </ns0:c>
      <ns0:c r="C929" s="12">
        <ns0:f>A929*('前提と出典'!$C$37+'前提と出典'!$C$38)</ns0:f>
        <ns0:v>555</ns0:v>
      </ns0:c>
      <ns0:c r="D929" s="16">
        <ns0:f>A929*('前提と出典'!$C$36*'契約別単価'!C5+'前提と出典'!$C$37*'契約別単価'!C6+'前提と出典'!$C$38*'契約別単価'!C7)</ns0:f>
        <ns0:v>6655.865921787709</ns0:v>
      </ns0:c>
      <ns0:c r="E929" s="16">
        <ns0:f>A929*('前提と出典'!$C$36*'契約別単価'!E5+'前提と出典'!$C$37*'契約別単価'!E6+'前提と出典'!$C$38*'契約別単価'!E7)</ns0:f>
        <ns0:v>2325332.453997845</ns0:v>
      </ns0:c>
      <ns0:c r="F929" s="16">
        <ns0:f>A929*('前提と出典'!$C$36*'契約別単価'!F5+'前提と出典'!$C$37*'契約別単価'!F6+'前提と出典'!$C$38*'契約別単価'!F7)</ns0:f>
        <ns0:v>675682.1722057988</ns0:v>
      </ns0:c>
      <ns0:c r="G929" s="16">
        <ns0:f>A929*('前提と出典'!$C$36*'契約別単価'!G5+'前提と出典'!$C$37*'契約別単価'!G6+'前提と出典'!$C$38*'契約別単価'!G7)</ns0:f>
        <ns0:v>1841215.0837988826</ns0:v>
      </ns0:c>
      <ns0:c r="H929" s="16">
        <ns0:f>A929*('前提と出典'!$C$36*'契約別単価'!H5+'前提と出典'!$C$37*'契約別単価'!H6+'前提と出典'!$C$38*'契約別単価'!H7)</ns0:f>
        <ns0:v>638993.9782712443</ns0:v>
      </ns0:c>
      <ns0:c r="I929" s="16">
        <ns0:f>A929*('前提と出典'!$C$36*'契約別単価'!I5+'前提と出典'!$C$37*'契約別単価'!I6+'前提と出典'!$C$38*'契約別単価'!I7)</ns0:f>
        <ns0:v>39030.8659217877</ns0:v>
      </ns0:c>
      <ns0:c r="J929" s="16">
        <ns0:f>A929*('前提と出典'!$C$36*'契約別単価'!J5+'前提と出典'!$C$37*'契約別単価'!J6+'前提と出典'!$C$38*'契約別単価'!J7)</ns0:f>
        <ns0:v>90917.82793202988</ns0:v>
      </ns0:c>
      <ns0:c r="K929" s="16">
        <ns0:f>A929*('前提と出典'!$C$36*'契約別単価'!K5+'前提と出典'!$C$37*'契約別単価'!K6+'前提と出典'!$C$38*'契約別単価'!K7)</ns0:f>
        <ns0:v>389705.77281191805</ns0:v>
      </ns0:c>
      <ns0:c r="L929" s="16">
        <ns0:f>A929*('前提と出典'!$C$36*'契約別単価'!L5+'前提と出典'!$C$37*'契約別単価'!L6+'前提と出典'!$C$38*'契約別単価'!L7)</ns0:f>
        <ns0:v>317299.79927570815</ns0:v>
      </ns0:c>
      <ns0:c r="M929" s="16">
        <ns0:f>IF(('前提と出典'!$C$36+'前提と出典'!$C$38)=0,0,IF(B929&lt;=10,'前提と出典'!B73+'前提と出典'!C73,IF(B929&lt;=100,'前提と出典'!B74+'前提と出典'!C74,IF(B929&lt;=500,'前提と出典'!B75+'前提と出典'!C75,'前提と出典'!B76+'前提と出典'!C76))))</ns0:f>
        <ns0:v>80000</ns0:v>
      </ns0:c>
      <ns0:c r="N929" s="16">
        <ns0:f>IF(('前提と出典'!$C$37+'前提と出典'!$C$38)=0,0,IF(C929&lt;=10,'前提と出典'!D73+'前提と出典'!E73,IF(C929&lt;=100,'前提と出典'!D74+'前提と出典'!E74,IF(C929&lt;=500,'前提と出典'!D75+'前提と出典'!E75,'前提と出典'!D76+'前提と出典'!E76))))</ns0:f>
        <ns0:v>86510.9346263078</ns0:v>
      </ns0:c>
      <ns0:c r="O929" s="16">
        <ns0:f>IF('前提と出典'!$C$36+'前提と出典'!$C$38=0,0,'前提と出典'!$B$4*IF('前提と出典'!$B$20=0,MAX('前提と出典'!$B$6,D929*'前提と出典'!$B$5),'前提と出典'!$B$6+D929*'前提と出典'!$B$5))</ns0:f>
        <ns0:v>918509.4972067039</ns0:v>
      </ns0:c>
      <ns0:c r="P929" s="16">
        <ns0:f>(E929+G929)*(1-'前提と出典'!$B$7)-I929-K929-M929-O929</ns0:f>
        <ns0:v>2589305.6904956354</ns0:v>
      </ns0:c>
      <ns0:c r="Q929" s="16">
        <ns0:f>(F929+H929)*(1-'前提と出典'!$B$7)-J929-L929-N929</ns0:f>
        <ns0:v>772619.2472258238</ns0:v>
      </ns0:c>
      <ns0:c r="R929" s="16">
        <ns0:f>P929-E929*'前提と出典'!$E$4</ns0:f>
        <ns0:v>1891705.954296282</ns0:v>
      </ns0:c>
      <ns0:c r="S929" s="16">
        <ns0:f>Q929-F929*'前提と出典'!$E$4</ns0:f>
        <ns0:v>569914.595564084</ns0:v>
      </ns0:c>
      <ns0:c r="T929" s="7">
        <ns0:f>R929+S929</ns0:f>
        <ns0:v>2461620.549860366</ns0:v>
      </ns0:c>
      <ns0:c r="U929" s="16">
        <ns0:f>P929-E929*'前提と出典'!$E$5</ns0:f>
        <ns0:v>1659172.7088964973</ns0:v>
      </ns0:c>
      <ns0:c r="V929" s="16">
        <ns0:f>Q929-F929*'前提と出典'!$E$5</ns0:f>
        <ns0:v>502346.3783435043</ns0:v>
      </ns0:c>
      <ns0:c r="W929" s="7">
        <ns0:f>U929+V929</ns0:f>
        <ns0:v>2161519.0872400017</ns0:v>
      </ns0:c>
      <ns0:c r="X929" s="16">
        <ns0:f>P929-E929*'前提と出典'!$E$6</ns0:f>
        <ns0:v>1426639.463496713</ns0:v>
      </ns0:c>
      <ns0:c r="Y929" s="16">
        <ns0:f>Q929-F929*'前提と出典'!$E$6</ns0:f>
        <ns0:v>434778.1611229244</ns0:v>
      </ns0:c>
      <ns0:c r="Z929" s="7">
        <ns0:f>X929+Y929</ns0:f>
        <ns0:v>1861417.6246196374</ns0:v>
      </ns0:c>
      <ns0:c r="AA929" s="7">
        <ns0:f>IF(T929&gt;=0,A929,1001)</ns0:f>
        <ns0:v>925</ns0:v>
      </ns0:c>
      <ns0:c r="AB929" s="7">
        <ns0:f>IF(T929&lt;0,A929,0)</ns0:f>
        <ns0:v>0</ns0:v>
      </ns0:c>
      <ns0:c r="AC929" s="16">
        <ns0:f>IF(AND(OR('前提と出典'!$C$36+'前提と出典'!$C$38=0,R929&gt;=0),OR('前提と出典'!$C$37+'前提と出典'!$C$38=0,S929&gt;=0)),0,A929)</ns0:f>
        <ns0:v>0</ns0:v>
      </ns0:c>
      <ns0:c r="AD929" s="7">
        <ns0:f>IF(W929&gt;=0,A929,1001)</ns0:f>
        <ns0:v>925</ns0:v>
      </ns0:c>
      <ns0:c r="AE929" s="7">
        <ns0:f>IF(W929&lt;0,A929,0)</ns0:f>
        <ns0:v>0</ns0:v>
      </ns0:c>
      <ns0:c r="AF929" s="16">
        <ns0:f>IF(AND(OR('前提と出典'!$C$36+'前提と出典'!$C$38=0,U929&gt;=0),OR('前提と出典'!$C$37+'前提と出典'!$C$38=0,V929&gt;=0)),0,A929)</ns0:f>
        <ns0:v>0</ns0:v>
      </ns0:c>
      <ns0:c r="AG929" s="7">
        <ns0:f>IF(Z929&gt;=0,A929,1001)</ns0:f>
        <ns0:v>925</ns0:v>
      </ns0:c>
      <ns0:c r="AH929" s="4">
        <ns0:f>IF(Z929&lt;0,A929,0)</ns0:f>
        <ns0:v>0</ns0:v>
      </ns0:c>
      <ns0:c r="AI929" s="12">
        <ns0:f>IF(AND(OR('前提と出典'!$C$36+'前提と出典'!$C$38=0,X929&gt;=0),OR('前提と出典'!$C$37+'前提と出典'!$C$38=0,Y929&gt;=0)),0,A929)</ns0:f>
        <ns0:v>0</ns0:v>
      </ns0:c>
    </ns0:row>
    <ns0:row r="930" ht="24" customHeight="1">
      <ns0:c r="A930" s="4" t="n">
        <ns0:v>926</ns0:v>
      </ns0:c>
      <ns0:c r="B930" s="12">
        <ns0:f>A930*('前提と出典'!$C$36+'前提と出典'!$C$38)</ns0:f>
        <ns0:v>648.1999999999999</ns0:v>
      </ns0:c>
      <ns0:c r="C930" s="12">
        <ns0:f>A930*('前提と出典'!$C$37+'前提と出典'!$C$38)</ns0:f>
        <ns0:v>555.6</ns0:v>
      </ns0:c>
      <ns0:c r="D930" s="16">
        <ns0:f>A930*('前提と出典'!$C$36*'契約別単価'!C5+'前提と出典'!$C$37*'契約別単価'!C6+'前提と出典'!$C$38*'契約別単価'!C7)</ns0:f>
        <ns0:v>6663.061452513966</ns0:v>
      </ns0:c>
      <ns0:c r="E930" s="16">
        <ns0:f>A930*('前提と出典'!$C$36*'契約別単価'!E5+'前提と出典'!$C$37*'契約別単価'!E6+'前提と出典'!$C$38*'契約別単価'!E7)</ns0:f>
        <ns0:v>2327846.326921086</ns0:v>
      </ns0:c>
      <ns0:c r="F930" s="16">
        <ns0:f>A930*('前提と出典'!$C$36*'契約別単価'!F5+'前提と出典'!$C$37*'契約別単価'!F6+'前提と出典'!$C$38*'契約別単価'!F7)</ns0:f>
        <ns0:v>676412.6394189943</ns0:v>
      </ns0:c>
      <ns0:c r="G930" s="16">
        <ns0:f>A930*('前提と出典'!$C$36*'契約別単価'!G5+'前提と出典'!$C$37*'契約別単価'!G6+'前提と出典'!$C$38*'契約別単価'!G7)</ns0:f>
        <ns0:v>1843205.5865921788</ns0:v>
      </ns0:c>
      <ns0:c r="H930" s="16">
        <ns0:f>A930*('前提と出典'!$C$36*'契約別単価'!H5+'前提と出典'!$C$37*'契約別単価'!H6+'前提と出典'!$C$38*'契約別単価'!H7)</ns0:f>
        <ns0:v>639684.7825720782</ns0:v>
      </ns0:c>
      <ns0:c r="I930" s="16">
        <ns0:f>A930*('前提と出典'!$C$36*'契約別単価'!I5+'前提と出典'!$C$37*'契約別単価'!I6+'前提と出典'!$C$38*'契約別単価'!I7)</ns0:f>
        <ns0:v>39073.06145251396</ns0:v>
      </ns0:c>
      <ns0:c r="J930" s="16">
        <ns0:f>A930*('前提と出典'!$C$36*'契約別単価'!J5+'前提と出典'!$C$37*'契約別単価'!J6+'前提と出典'!$C$38*'契約別単価'!J7)</ns0:f>
        <ns0:v>91016.11747574017</ns0:v>
      </ns0:c>
      <ns0:c r="K930" s="16">
        <ns0:f>A930*('前提と出典'!$C$36*'契約別単価'!K5+'前提と出典'!$C$37*'契約別単価'!K6+'前提と出典'!$C$38*'契約別単価'!K7)</ns0:f>
        <ns0:v>390127.07635009306</ns0:v>
      </ns0:c>
      <ns0:c r="L930" s="16">
        <ns0:f>A930*('前提と出典'!$C$36*'契約別単価'!L5+'前提と出典'!$C$37*'契約別単価'!L6+'前提と出典'!$C$38*'契約別単価'!L7)</ns0:f>
        <ns0:v>317642.8260857359</ns0:v>
      </ns0:c>
      <ns0:c r="M930" s="16">
        <ns0:f>IF(('前提と出典'!$C$36+'前提と出典'!$C$38)=0,0,IF(B930&lt;=10,'前提と出典'!B73+'前提と出典'!C73,IF(B930&lt;=100,'前提と出典'!B74+'前提と出典'!C74,IF(B930&lt;=500,'前提と出典'!B75+'前提と出典'!C75,'前提と出典'!B76+'前提と出典'!C76))))</ns0:f>
        <ns0:v>80000</ns0:v>
      </ns0:c>
      <ns0:c r="N930" s="16">
        <ns0:f>IF(('前提と出典'!$C$37+'前提と出典'!$C$38)=0,0,IF(C930&lt;=10,'前提と出典'!D73+'前提と出典'!E73,IF(C930&lt;=100,'前提と出典'!D74+'前提と出典'!E74,IF(C930&lt;=500,'前提と出典'!D75+'前提と出典'!E75,'前提と出典'!D76+'前提と出典'!E76))))</ns0:f>
        <ns0:v>86510.9346263078</ns0:v>
      </ns0:c>
      <ns0:c r="O930" s="16">
        <ns0:f>IF('前提と出典'!$C$36+'前提と出典'!$C$38=0,0,'前提と出典'!$B$4*IF('前提と出典'!$B$20=0,MAX('前提と出典'!$B$6,D930*'前提と出典'!$B$5),'前提と出典'!$B$6+D930*'前提と出典'!$B$5))</ns0:f>
        <ns0:v>919502.4804469274</ns0:v>
      </ns0:c>
      <ns0:c r="P930" s="16">
        <ns0:f>(E930+G930)*(1-'前提と出典'!$B$7)-I930-K930-M930-O930</ns0:f>
        <ns0:v>2592191.426377253</ns0:v>
      </ns0:c>
      <ns0:c r="Q930" s="16">
        <ns0:f>(F930+H930)*(1-'前提と出典'!$B$7)-J930-L930-N930</ns0:f>
        <ns0:v>773548.0366116101</ns0:v>
      </ns0:c>
      <ns0:c r="R930" s="16">
        <ns0:f>P930-E930*'前提と出典'!$E$4</ns0:f>
        <ns0:v>1893837.5283009275</ns0:v>
      </ns0:c>
      <ns0:c r="S930" s="16">
        <ns0:f>Q930-F930*'前提と出典'!$E$4</ns0:f>
        <ns0:v>570624.244785912</ns0:v>
      </ns0:c>
      <ns0:c r="T930" s="7">
        <ns0:f>R930+S930</ns0:f>
        <ns0:v>2464461.7730868394</ns0:v>
      </ns0:c>
      <ns0:c r="U930" s="16">
        <ns0:f>P930-E930*'前提と出典'!$E$5</ns0:f>
        <ns0:v>1661052.8956088186</ns0:v>
      </ns0:c>
      <ns0:c r="V930" s="16">
        <ns0:f>Q930-F930*'前提と出典'!$E$5</ns0:f>
        <ns0:v>502982.98084401235</ns0:v>
      </ns0:c>
      <ns0:c r="W930" s="7">
        <ns0:f>U930+V930</ns0:f>
        <ns0:v>2164035.876452831</ns0:v>
      </ns0:c>
      <ns0:c r="X930" s="16">
        <ns0:f>P930-E930*'前提と出典'!$E$6</ns0:f>
        <ns0:v>1428268.2629167102</ns0:v>
      </ns0:c>
      <ns0:c r="Y930" s="16">
        <ns0:f>Q930-F930*'前提と出典'!$E$6</ns0:f>
        <ns0:v>435341.71690211294</ns0:v>
      </ns0:c>
      <ns0:c r="Z930" s="7">
        <ns0:f>X930+Y930</ns0:f>
        <ns0:v>1863609.9798188233</ns0:v>
      </ns0:c>
      <ns0:c r="AA930" s="7">
        <ns0:f>IF(T930&gt;=0,A930,1001)</ns0:f>
        <ns0:v>926</ns0:v>
      </ns0:c>
      <ns0:c r="AB930" s="7">
        <ns0:f>IF(T930&lt;0,A930,0)</ns0:f>
        <ns0:v>0</ns0:v>
      </ns0:c>
      <ns0:c r="AC930" s="16">
        <ns0:f>IF(AND(OR('前提と出典'!$C$36+'前提と出典'!$C$38=0,R930&gt;=0),OR('前提と出典'!$C$37+'前提と出典'!$C$38=0,S930&gt;=0)),0,A930)</ns0:f>
        <ns0:v>0</ns0:v>
      </ns0:c>
      <ns0:c r="AD930" s="7">
        <ns0:f>IF(W930&gt;=0,A930,1001)</ns0:f>
        <ns0:v>926</ns0:v>
      </ns0:c>
      <ns0:c r="AE930" s="7">
        <ns0:f>IF(W930&lt;0,A930,0)</ns0:f>
        <ns0:v>0</ns0:v>
      </ns0:c>
      <ns0:c r="AF930" s="16">
        <ns0:f>IF(AND(OR('前提と出典'!$C$36+'前提と出典'!$C$38=0,U930&gt;=0),OR('前提と出典'!$C$37+'前提と出典'!$C$38=0,V930&gt;=0)),0,A930)</ns0:f>
        <ns0:v>0</ns0:v>
      </ns0:c>
      <ns0:c r="AG930" s="7">
        <ns0:f>IF(Z930&gt;=0,A930,1001)</ns0:f>
        <ns0:v>926</ns0:v>
      </ns0:c>
      <ns0:c r="AH930" s="4">
        <ns0:f>IF(Z930&lt;0,A930,0)</ns0:f>
        <ns0:v>0</ns0:v>
      </ns0:c>
      <ns0:c r="AI930" s="12">
        <ns0:f>IF(AND(OR('前提と出典'!$C$36+'前提と出典'!$C$38=0,X930&gt;=0),OR('前提と出典'!$C$37+'前提と出典'!$C$38=0,Y930&gt;=0)),0,A930)</ns0:f>
        <ns0:v>0</ns0:v>
      </ns0:c>
    </ns0:row>
    <ns0:row r="931" ht="24" customHeight="1">
      <ns0:c r="A931" s="4" t="n">
        <ns0:v>927</ns0:v>
      </ns0:c>
      <ns0:c r="B931" s="12">
        <ns0:f>A931*('前提と出典'!$C$36+'前提と出典'!$C$38)</ns0:f>
        <ns0:v>648.9</ns0:v>
      </ns0:c>
      <ns0:c r="C931" s="12">
        <ns0:f>A931*('前提と出典'!$C$37+'前提と出典'!$C$38)</ns0:f>
        <ns0:v>556.1999999999999</ns0:v>
      </ns0:c>
      <ns0:c r="D931" s="16">
        <ns0:f>A931*('前提と出典'!$C$36*'契約別単価'!C5+'前提と出典'!$C$37*'契約別単価'!C6+'前提と出典'!$C$38*'契約別単価'!C7)</ns0:f>
        <ns0:v>6670.256983240223</ns0:v>
      </ns0:c>
      <ns0:c r="E931" s="16">
        <ns0:f>A931*('前提と出典'!$C$36*'契約別単価'!E5+'前提と出典'!$C$37*'契約別単価'!E6+'前提と出典'!$C$38*'契約別単価'!E7)</ns0:f>
        <ns0:v>2330360.1998443264</ns0:v>
      </ns0:c>
      <ns0:c r="F931" s="16">
        <ns0:f>A931*('前提と出典'!$C$36*'契約別単価'!F5+'前提と出典'!$C$37*'契約別単価'!F6+'前提と出典'!$C$38*'契約別単価'!F7)</ns0:f>
        <ns0:v>677143.1066321897</ns0:v>
      </ns0:c>
      <ns0:c r="G931" s="16">
        <ns0:f>A931*('前提と出典'!$C$36*'契約別単価'!G5+'前提と出典'!$C$37*'契約別単価'!G6+'前提と出典'!$C$38*'契約別単価'!G7)</ns0:f>
        <ns0:v>1845196.0893854748</ns0:v>
      </ns0:c>
      <ns0:c r="H931" s="16">
        <ns0:f>A931*('前提と出典'!$C$36*'契約別単価'!H5+'前提と出典'!$C$37*'契約別単価'!H6+'前提と出典'!$C$38*'契約別単価'!H7)</ns0:f>
        <ns0:v>640375.5868729119</ns0:v>
      </ns0:c>
      <ns0:c r="I931" s="16">
        <ns0:f>A931*('前提と出典'!$C$36*'契約別単価'!I5+'前提と出典'!$C$37*'契約別単価'!I6+'前提と出典'!$C$38*'契約別単価'!I7)</ns0:f>
        <ns0:v>39115.256983240215</ns0:v>
      </ns0:c>
      <ns0:c r="J931" s="16">
        <ns0:f>A931*('前提と出典'!$C$36*'契約別単価'!J5+'前提と出典'!$C$37*'契約別単価'!J6+'前提と出典'!$C$38*'契約別単価'!J7)</ns0:f>
        <ns0:v>91114.40701945047</ns0:v>
      </ns0:c>
      <ns0:c r="K931" s="16">
        <ns0:f>A931*('前提と出典'!$C$36*'契約別単価'!K5+'前提と出典'!$C$37*'契約別単価'!K6+'前提と出典'!$C$38*'契約別単価'!K7)</ns0:f>
        <ns0:v>390548.37988826813</ns0:v>
      </ns0:c>
      <ns0:c r="L931" s="16">
        <ns0:f>A931*('前提と出典'!$C$36*'契約別単価'!L5+'前提と出典'!$C$37*'契約別単価'!L6+'前提と出典'!$C$38*'契約別単価'!L7)</ns0:f>
        <ns0:v>317985.8528957637</ns0:v>
      </ns0:c>
      <ns0:c r="M931" s="16">
        <ns0:f>IF(('前提と出典'!$C$36+'前提と出典'!$C$38)=0,0,IF(B931&lt;=10,'前提と出典'!B73+'前提と出典'!C73,IF(B931&lt;=100,'前提と出典'!B74+'前提と出典'!C74,IF(B931&lt;=500,'前提と出典'!B75+'前提と出典'!C75,'前提と出典'!B76+'前提と出典'!C76))))</ns0:f>
        <ns0:v>80000</ns0:v>
      </ns0:c>
      <ns0:c r="N931" s="16">
        <ns0:f>IF(('前提と出典'!$C$37+'前提と出典'!$C$38)=0,0,IF(C931&lt;=10,'前提と出典'!D73+'前提と出典'!E73,IF(C931&lt;=100,'前提と出典'!D74+'前提と出典'!E74,IF(C931&lt;=500,'前提と出典'!D75+'前提と出典'!E75,'前提と出典'!D76+'前提と出典'!E76))))</ns0:f>
        <ns0:v>86510.9346263078</ns0:v>
      </ns0:c>
      <ns0:c r="O931" s="16">
        <ns0:f>IF('前提と出典'!$C$36+'前提と出典'!$C$38=0,0,'前提と出典'!$B$4*IF('前提と出典'!$B$20=0,MAX('前提と出典'!$B$6,D931*'前提と出典'!$B$5),'前提と出典'!$B$6+D931*'前提と出典'!$B$5))</ns0:f>
        <ns0:v>920495.4636871509</ns0:v>
      </ns0:c>
      <ns0:c r="P931" s="16">
        <ns0:f>(E931+G931)*(1-'前提と出典'!$B$7)-I931-K931-M931-O931</ns0:f>
        <ns0:v>2595077.162258869</ns0:v>
      </ns0:c>
      <ns0:c r="Q931" s="16">
        <ns0:f>(F931+H931)*(1-'前提と出典'!$B$7)-J931-L931-N931</ns0:f>
        <ns0:v>774476.8259973961</ns0:v>
      </ns0:c>
      <ns0:c r="R931" s="16">
        <ns0:f>P931-E931*'前提と出典'!$E$4</ns0:f>
        <ns0:v>1895969.102305571</ns0:v>
      </ns0:c>
      <ns0:c r="S931" s="16">
        <ns0:f>Q931-F931*'前提と出典'!$E$4</ns0:f>
        <ns0:v>571333.894007739</ns0:v>
      </ns0:c>
      <ns0:c r="T931" s="7">
        <ns0:f>R931+S931</ns0:f>
        <ns0:v>2467302.99631331</ns0:v>
      </ns0:c>
      <ns0:c r="U931" s="16">
        <ns0:f>P931-E931*'前提と出典'!$E$5</ns0:f>
        <ns0:v>1662933.0823211386</ns0:v>
      </ns0:c>
      <ns0:c r="V931" s="16">
        <ns0:f>Q931-F931*'前提と出典'!$E$5</ns0:f>
        <ns0:v>503619.5833445202</ns0:v>
      </ns0:c>
      <ns0:c r="W931" s="7">
        <ns0:f>U931+V931</ns0:f>
        <ns0:v>2166552.6656656587</ns0:v>
      </ns0:c>
      <ns0:c r="X931" s="16">
        <ns0:f>P931-E931*'前提と出典'!$E$6</ns0:f>
        <ns0:v>1429897.0623367056</ns0:v>
      </ns0:c>
      <ns0:c r="Y931" s="16">
        <ns0:f>Q931-F931*'前提と出典'!$E$6</ns0:f>
        <ns0:v>435905.2726813011</ns0:v>
      </ns0:c>
      <ns0:c r="Z931" s="7">
        <ns0:f>X931+Y931</ns0:f>
        <ns0:v>1865802.3350180066</ns0:v>
      </ns0:c>
      <ns0:c r="AA931" s="7">
        <ns0:f>IF(T931&gt;=0,A931,1001)</ns0:f>
        <ns0:v>927</ns0:v>
      </ns0:c>
      <ns0:c r="AB931" s="7">
        <ns0:f>IF(T931&lt;0,A931,0)</ns0:f>
        <ns0:v>0</ns0:v>
      </ns0:c>
      <ns0:c r="AC931" s="16">
        <ns0:f>IF(AND(OR('前提と出典'!$C$36+'前提と出典'!$C$38=0,R931&gt;=0),OR('前提と出典'!$C$37+'前提と出典'!$C$38=0,S931&gt;=0)),0,A931)</ns0:f>
        <ns0:v>0</ns0:v>
      </ns0:c>
      <ns0:c r="AD931" s="7">
        <ns0:f>IF(W931&gt;=0,A931,1001)</ns0:f>
        <ns0:v>927</ns0:v>
      </ns0:c>
      <ns0:c r="AE931" s="7">
        <ns0:f>IF(W931&lt;0,A931,0)</ns0:f>
        <ns0:v>0</ns0:v>
      </ns0:c>
      <ns0:c r="AF931" s="16">
        <ns0:f>IF(AND(OR('前提と出典'!$C$36+'前提と出典'!$C$38=0,U931&gt;=0),OR('前提と出典'!$C$37+'前提と出典'!$C$38=0,V931&gt;=0)),0,A931)</ns0:f>
        <ns0:v>0</ns0:v>
      </ns0:c>
      <ns0:c r="AG931" s="7">
        <ns0:f>IF(Z931&gt;=0,A931,1001)</ns0:f>
        <ns0:v>927</ns0:v>
      </ns0:c>
      <ns0:c r="AH931" s="4">
        <ns0:f>IF(Z931&lt;0,A931,0)</ns0:f>
        <ns0:v>0</ns0:v>
      </ns0:c>
      <ns0:c r="AI931" s="12">
        <ns0:f>IF(AND(OR('前提と出典'!$C$36+'前提と出典'!$C$38=0,X931&gt;=0),OR('前提と出典'!$C$37+'前提と出典'!$C$38=0,Y931&gt;=0)),0,A931)</ns0:f>
        <ns0:v>0</ns0:v>
      </ns0:c>
    </ns0:row>
    <ns0:row r="932" ht="24" customHeight="1">
      <ns0:c r="A932" s="4" t="n">
        <ns0:v>928</ns0:v>
      </ns0:c>
      <ns0:c r="B932" s="12">
        <ns0:f>A932*('前提と出典'!$C$36+'前提と出典'!$C$38)</ns0:f>
        <ns0:v>649.5999999999999</ns0:v>
      </ns0:c>
      <ns0:c r="C932" s="12">
        <ns0:f>A932*('前提と出典'!$C$37+'前提と出典'!$C$38)</ns0:f>
        <ns0:v>556.8</ns0:v>
      </ns0:c>
      <ns0:c r="D932" s="16">
        <ns0:f>A932*('前提と出典'!$C$36*'契約別単価'!C5+'前提と出典'!$C$37*'契約別単価'!C6+'前提と出典'!$C$38*'契約別単価'!C7)</ns0:f>
        <ns0:v>6677.45251396648</ns0:v>
      </ns0:c>
      <ns0:c r="E932" s="16">
        <ns0:f>A932*('前提と出典'!$C$36*'契約別単価'!E5+'前提と出典'!$C$37*'契約別単価'!E6+'前提と出典'!$C$38*'契約別単価'!E7)</ns0:f>
        <ns0:v>2332874.0727675674</ns0:v>
      </ns0:c>
      <ns0:c r="F932" s="16">
        <ns0:f>A932*('前提と出典'!$C$36*'契約別単価'!F5+'前提と出典'!$C$37*'契約別単価'!F6+'前提と出典'!$C$38*'契約別単価'!F7)</ns0:f>
        <ns0:v>677873.5738453852</ns0:v>
      </ns0:c>
      <ns0:c r="G932" s="16">
        <ns0:f>A932*('前提と出典'!$C$36*'契約別単価'!G5+'前提と出典'!$C$37*'契約別単価'!G6+'前提と出典'!$C$38*'契約別単価'!G7)</ns0:f>
        <ns0:v>1847186.5921787708</ns0:v>
      </ns0:c>
      <ns0:c r="H932" s="16">
        <ns0:f>A932*('前提と出典'!$C$36*'契約別単価'!H5+'前提と出典'!$C$37*'契約別単価'!H6+'前提と出典'!$C$38*'契約別単価'!H7)</ns0:f>
        <ns0:v>641066.3911737457</ns0:v>
      </ns0:c>
      <ns0:c r="I932" s="16">
        <ns0:f>A932*('前提と出典'!$C$36*'契約別単価'!I5+'前提と出典'!$C$37*'契約別単価'!I6+'前提と出典'!$C$38*'契約別単価'!I7)</ns0:f>
        <ns0:v>39157.45251396648</ns0:v>
      </ns0:c>
      <ns0:c r="J932" s="16">
        <ns0:f>A932*('前提と出典'!$C$36*'契約別単価'!J5+'前提と出典'!$C$37*'契約別単価'!J6+'前提と出典'!$C$38*'契約別単価'!J7)</ns0:f>
        <ns0:v>91212.69656316079</ns0:v>
      </ns0:c>
      <ns0:c r="K932" s="16">
        <ns0:f>A932*('前提と出典'!$C$36*'契約別単価'!K5+'前提と出典'!$C$37*'契約別単価'!K6+'前提と出典'!$C$38*'契約別単価'!K7)</ns0:f>
        <ns0:v>390969.6834264432</ns0:v>
      </ns0:c>
      <ns0:c r="L932" s="16">
        <ns0:f>A932*('前提と出典'!$C$36*'契約別単価'!L5+'前提と出典'!$C$37*'契約別単価'!L6+'前提と出典'!$C$38*'契約別単価'!L7)</ns0:f>
        <ns0:v>318328.87970579154</ns0:v>
      </ns0:c>
      <ns0:c r="M932" s="16">
        <ns0:f>IF(('前提と出典'!$C$36+'前提と出典'!$C$38)=0,0,IF(B932&lt;=10,'前提と出典'!B73+'前提と出典'!C73,IF(B932&lt;=100,'前提と出典'!B74+'前提と出典'!C74,IF(B932&lt;=500,'前提と出典'!B75+'前提と出典'!C75,'前提と出典'!B76+'前提と出典'!C76))))</ns0:f>
        <ns0:v>80000</ns0:v>
      </ns0:c>
      <ns0:c r="N932" s="16">
        <ns0:f>IF(('前提と出典'!$C$37+'前提と出典'!$C$38)=0,0,IF(C932&lt;=10,'前提と出典'!D73+'前提と出典'!E73,IF(C932&lt;=100,'前提と出典'!D74+'前提と出典'!E74,IF(C932&lt;=500,'前提と出典'!D75+'前提と出典'!E75,'前提と出典'!D76+'前提と出典'!E76))))</ns0:f>
        <ns0:v>86510.9346263078</ns0:v>
      </ns0:c>
      <ns0:c r="O932" s="16">
        <ns0:f>IF('前提と出典'!$C$36+'前提と出典'!$C$38=0,0,'前提と出典'!$B$4*IF('前提と出典'!$B$20=0,MAX('前提と出典'!$B$6,D932*'前提と出典'!$B$5),'前提と出典'!$B$6+D932*'前提と出典'!$B$5))</ns0:f>
        <ns0:v>921488.4469273743</ns0:v>
      </ns0:c>
      <ns0:c r="P932" s="16">
        <ns0:f>(E932+G932)*(1-'前提と出典'!$B$7)-I932-K932-M932-O932</ns0:f>
        <ns0:v>2597962.8981404863</ns0:v>
      </ns0:c>
      <ns0:c r="Q932" s="16">
        <ns0:f>(F932+H932)*(1-'前提と出典'!$B$7)-J932-L932-N932</ns0:f>
        <ns0:v>775405.6153831822</ns0:v>
      </ns0:c>
      <ns0:c r="R932" s="16">
        <ns0:f>P932-E932*'前提と出典'!$E$4</ns0:f>
        <ns0:v>1898100.6763102156</ns0:v>
      </ns0:c>
      <ns0:c r="S932" s="16">
        <ns0:f>Q932-F932*'前提と出典'!$E$4</ns0:f>
        <ns0:v>572043.5432295667</ns0:v>
      </ns0:c>
      <ns0:c r="T932" s="7">
        <ns0:f>R932+S932</ns0:f>
        <ns0:v>2470144.219539782</ns0:v>
      </ns0:c>
      <ns0:c r="U932" s="16">
        <ns0:f>P932-E932*'前提と出典'!$E$5</ns0:f>
        <ns0:v>1664813.2690334595</ns0:v>
      </ns0:c>
      <ns0:c r="V932" s="16">
        <ns0:f>Q932-F932*'前提と出典'!$E$5</ns0:f>
        <ns0:v>504256.18584502814</ns0:v>
      </ns0:c>
      <ns0:c r="W932" s="7">
        <ns0:f>U932+V932</ns0:f>
        <ns0:v>2169069.4548784876</ns0:v>
      </ns0:c>
      <ns0:c r="X932" s="16">
        <ns0:f>P932-E932*'前提と出典'!$E$6</ns0:f>
        <ns0:v>1431525.8617567024</ns0:v>
      </ns0:c>
      <ns0:c r="Y932" s="16">
        <ns0:f>Q932-F932*'前提と出典'!$E$6</ns0:f>
        <ns0:v>436468.8284604897</ns0:v>
      </ns0:c>
      <ns0:c r="Z932" s="7">
        <ns0:f>X932+Y932</ns0:f>
        <ns0:v>1867994.690217192</ns0:v>
      </ns0:c>
      <ns0:c r="AA932" s="7">
        <ns0:f>IF(T932&gt;=0,A932,1001)</ns0:f>
        <ns0:v>928</ns0:v>
      </ns0:c>
      <ns0:c r="AB932" s="7">
        <ns0:f>IF(T932&lt;0,A932,0)</ns0:f>
        <ns0:v>0</ns0:v>
      </ns0:c>
      <ns0:c r="AC932" s="16">
        <ns0:f>IF(AND(OR('前提と出典'!$C$36+'前提と出典'!$C$38=0,R932&gt;=0),OR('前提と出典'!$C$37+'前提と出典'!$C$38=0,S932&gt;=0)),0,A932)</ns0:f>
        <ns0:v>0</ns0:v>
      </ns0:c>
      <ns0:c r="AD932" s="7">
        <ns0:f>IF(W932&gt;=0,A932,1001)</ns0:f>
        <ns0:v>928</ns0:v>
      </ns0:c>
      <ns0:c r="AE932" s="7">
        <ns0:f>IF(W932&lt;0,A932,0)</ns0:f>
        <ns0:v>0</ns0:v>
      </ns0:c>
      <ns0:c r="AF932" s="16">
        <ns0:f>IF(AND(OR('前提と出典'!$C$36+'前提と出典'!$C$38=0,U932&gt;=0),OR('前提と出典'!$C$37+'前提と出典'!$C$38=0,V932&gt;=0)),0,A932)</ns0:f>
        <ns0:v>0</ns0:v>
      </ns0:c>
      <ns0:c r="AG932" s="7">
        <ns0:f>IF(Z932&gt;=0,A932,1001)</ns0:f>
        <ns0:v>928</ns0:v>
      </ns0:c>
      <ns0:c r="AH932" s="4">
        <ns0:f>IF(Z932&lt;0,A932,0)</ns0:f>
        <ns0:v>0</ns0:v>
      </ns0:c>
      <ns0:c r="AI932" s="12">
        <ns0:f>IF(AND(OR('前提と出典'!$C$36+'前提と出典'!$C$38=0,X932&gt;=0),OR('前提と出典'!$C$37+'前提と出典'!$C$38=0,Y932&gt;=0)),0,A932)</ns0:f>
        <ns0:v>0</ns0:v>
      </ns0:c>
    </ns0:row>
    <ns0:row r="933" ht="24" customHeight="1">
      <ns0:c r="A933" s="4" t="n">
        <ns0:v>929</ns0:v>
      </ns0:c>
      <ns0:c r="B933" s="12">
        <ns0:f>A933*('前提と出典'!$C$36+'前提と出典'!$C$38)</ns0:f>
        <ns0:v>650.3</ns0:v>
      </ns0:c>
      <ns0:c r="C933" s="12">
        <ns0:f>A933*('前提と出典'!$C$37+'前提と出典'!$C$38)</ns0:f>
        <ns0:v>557.4</ns0:v>
      </ns0:c>
      <ns0:c r="D933" s="16">
        <ns0:f>A933*('前提と出典'!$C$36*'契約別単価'!C5+'前提と出典'!$C$37*'契約別単価'!C6+'前提と出典'!$C$38*'契約別単価'!C7)</ns0:f>
        <ns0:v>6684.648044692737</ns0:v>
      </ns0:c>
      <ns0:c r="E933" s="16">
        <ns0:f>A933*('前提と出典'!$C$36*'契約別単価'!E5+'前提と出典'!$C$37*'契約別単価'!E6+'前提と出典'!$C$38*'契約別単価'!E7)</ns0:f>
        <ns0:v>2335387.9456908084</ns0:v>
      </ns0:c>
      <ns0:c r="F933" s="16">
        <ns0:f>A933*('前提と出典'!$C$36*'契約別単価'!F5+'前提と出典'!$C$37*'契約別単価'!F6+'前提と出典'!$C$38*'契約別単価'!F7)</ns0:f>
        <ns0:v>678604.0410585806</ns0:v>
      </ns0:c>
      <ns0:c r="G933" s="16">
        <ns0:f>A933*('前提と出典'!$C$36*'契約別単価'!G5+'前提と出典'!$C$37*'契約別単価'!G6+'前提と出典'!$C$38*'契約別単価'!G7)</ns0:f>
        <ns0:v>1849177.094972067</ns0:v>
      </ns0:c>
      <ns0:c r="H933" s="16">
        <ns0:f>A933*('前提と出典'!$C$36*'契約別単価'!H5+'前提と出典'!$C$37*'契約別単価'!H6+'前提と出典'!$C$38*'契約別単価'!H7)</ns0:f>
        <ns0:v>641757.1954745795</ns0:v>
      </ns0:c>
      <ns0:c r="I933" s="16">
        <ns0:f>A933*('前提と出典'!$C$36*'契約別単価'!I5+'前提と出典'!$C$37*'契約別単価'!I6+'前提と出典'!$C$38*'契約別単価'!I7)</ns0:f>
        <ns0:v>39199.64804469273</ns0:v>
      </ns0:c>
      <ns0:c r="J933" s="16">
        <ns0:f>A933*('前提と出典'!$C$36*'契約別単価'!J5+'前提と出典'!$C$37*'契約別単価'!J6+'前提と出典'!$C$38*'契約別単価'!J7)</ns0:f>
        <ns0:v>91310.98610687109</ns0:v>
      </ns0:c>
      <ns0:c r="K933" s="16">
        <ns0:f>A933*('前提と出典'!$C$36*'契約別単価'!K5+'前提と出典'!$C$37*'契約別単価'!K6+'前提と出典'!$C$38*'契約別単価'!K7)</ns0:f>
        <ns0:v>391390.9869646182</ns0:v>
      </ns0:c>
      <ns0:c r="L933" s="16">
        <ns0:f>A933*('前提と出典'!$C$36*'契約別単価'!L5+'前提と出典'!$C$37*'契約別単価'!L6+'前提と出典'!$C$38*'契約別単価'!L7)</ns0:f>
        <ns0:v>318671.9065158193</ns0:v>
      </ns0:c>
      <ns0:c r="M933" s="16">
        <ns0:f>IF(('前提と出典'!$C$36+'前提と出典'!$C$38)=0,0,IF(B933&lt;=10,'前提と出典'!B73+'前提と出典'!C73,IF(B933&lt;=100,'前提と出典'!B74+'前提と出典'!C74,IF(B933&lt;=500,'前提と出典'!B75+'前提と出典'!C75,'前提と出典'!B76+'前提と出典'!C76))))</ns0:f>
        <ns0:v>80000</ns0:v>
      </ns0:c>
      <ns0:c r="N933" s="16">
        <ns0:f>IF(('前提と出典'!$C$37+'前提と出典'!$C$38)=0,0,IF(C933&lt;=10,'前提と出典'!D73+'前提と出典'!E73,IF(C933&lt;=100,'前提と出典'!D74+'前提と出典'!E74,IF(C933&lt;=500,'前提と出典'!D75+'前提と出典'!E75,'前提と出典'!D76+'前提と出典'!E76))))</ns0:f>
        <ns0:v>86510.9346263078</ns0:v>
      </ns0:c>
      <ns0:c r="O933" s="16">
        <ns0:f>IF('前提と出典'!$C$36+'前提と出典'!$C$38=0,0,'前提と出典'!$B$4*IF('前提と出典'!$B$20=0,MAX('前提と出典'!$B$6,D933*'前提と出典'!$B$5),'前提と出典'!$B$6+D933*'前提と出典'!$B$5))</ns0:f>
        <ns0:v>922481.4301675977</ns0:v>
      </ns0:c>
      <ns0:c r="P933" s="16">
        <ns0:f>(E933+G933)*(1-'前提と出典'!$B$7)-I933-K933-M933-O933</ns0:f>
        <ns0:v>2600848.634022103</ns0:v>
      </ns0:c>
      <ns0:c r="Q933" s="16">
        <ns0:f>(F933+H933)*(1-'前提と出典'!$B$7)-J933-L933-N933</ns0:f>
        <ns0:v>776334.4047689682</ns0:v>
      </ns0:c>
      <ns0:c r="R933" s="16">
        <ns0:f>P933-E933*'前提と出典'!$E$4</ns0:f>
        <ns0:v>1900232.2503148606</ns0:v>
      </ns0:c>
      <ns0:c r="S933" s="16">
        <ns0:f>Q933-F933*'前提と出典'!$E$4</ns0:f>
        <ns0:v>572753.1924513939</ns0:v>
      </ns0:c>
      <ns0:c r="T933" s="7">
        <ns0:f>R933+S933</ns0:f>
        <ns0:v>2472985.442766255</ns0:v>
      </ns0:c>
      <ns0:c r="U933" s="16">
        <ns0:f>P933-E933*'前提と出典'!$E$5</ns0:f>
        <ns0:v>1666693.45574578</ns0:v>
      </ns0:c>
      <ns0:c r="V933" s="16">
        <ns0:f>Q933-F933*'前提と出典'!$E$5</ns0:f>
        <ns0:v>504892.788345536</ns0:v>
      </ns0:c>
      <ns0:c r="W933" s="7">
        <ns0:f>U933+V933</ns0:f>
        <ns0:v>2171586.244091316</ns0:v>
      </ns0:c>
      <ns0:c r="X933" s="16">
        <ns0:f>P933-E933*'前提と出典'!$E$6</ns0:f>
        <ns0:v>1433154.6611766987</ns0:v>
      </ns0:c>
      <ns0:c r="Y933" s="16">
        <ns0:f>Q933-F933*'前提と出典'!$E$6</ns0:f>
        <ns0:v>437032.38423967786</ns0:v>
      </ns0:c>
      <ns0:c r="Z933" s="7">
        <ns0:f>X933+Y933</ns0:f>
        <ns0:v>1870187.0454163766</ns0:v>
      </ns0:c>
      <ns0:c r="AA933" s="7">
        <ns0:f>IF(T933&gt;=0,A933,1001)</ns0:f>
        <ns0:v>929</ns0:v>
      </ns0:c>
      <ns0:c r="AB933" s="7">
        <ns0:f>IF(T933&lt;0,A933,0)</ns0:f>
        <ns0:v>0</ns0:v>
      </ns0:c>
      <ns0:c r="AC933" s="16">
        <ns0:f>IF(AND(OR('前提と出典'!$C$36+'前提と出典'!$C$38=0,R933&gt;=0),OR('前提と出典'!$C$37+'前提と出典'!$C$38=0,S933&gt;=0)),0,A933)</ns0:f>
        <ns0:v>0</ns0:v>
      </ns0:c>
      <ns0:c r="AD933" s="7">
        <ns0:f>IF(W933&gt;=0,A933,1001)</ns0:f>
        <ns0:v>929</ns0:v>
      </ns0:c>
      <ns0:c r="AE933" s="7">
        <ns0:f>IF(W933&lt;0,A933,0)</ns0:f>
        <ns0:v>0</ns0:v>
      </ns0:c>
      <ns0:c r="AF933" s="16">
        <ns0:f>IF(AND(OR('前提と出典'!$C$36+'前提と出典'!$C$38=0,U933&gt;=0),OR('前提と出典'!$C$37+'前提と出典'!$C$38=0,V933&gt;=0)),0,A933)</ns0:f>
        <ns0:v>0</ns0:v>
      </ns0:c>
      <ns0:c r="AG933" s="7">
        <ns0:f>IF(Z933&gt;=0,A933,1001)</ns0:f>
        <ns0:v>929</ns0:v>
      </ns0:c>
      <ns0:c r="AH933" s="4">
        <ns0:f>IF(Z933&lt;0,A933,0)</ns0:f>
        <ns0:v>0</ns0:v>
      </ns0:c>
      <ns0:c r="AI933" s="12">
        <ns0:f>IF(AND(OR('前提と出典'!$C$36+'前提と出典'!$C$38=0,X933&gt;=0),OR('前提と出典'!$C$37+'前提と出典'!$C$38=0,Y933&gt;=0)),0,A933)</ns0:f>
        <ns0:v>0</ns0:v>
      </ns0:c>
    </ns0:row>
    <ns0:row r="934" ht="24" customHeight="1">
      <ns0:c r="A934" s="4" t="n">
        <ns0:v>930</ns0:v>
      </ns0:c>
      <ns0:c r="B934" s="12">
        <ns0:f>A934*('前提と出典'!$C$36+'前提と出典'!$C$38)</ns0:f>
        <ns0:v>651</ns0:v>
      </ns0:c>
      <ns0:c r="C934" s="12">
        <ns0:f>A934*('前提と出典'!$C$37+'前提と出典'!$C$38)</ns0:f>
        <ns0:v>558</ns0:v>
      </ns0:c>
      <ns0:c r="D934" s="16">
        <ns0:f>A934*('前提と出典'!$C$36*'契約別単価'!C5+'前提と出典'!$C$37*'契約別単価'!C6+'前提と出典'!$C$38*'契約別単価'!C7)</ns0:f>
        <ns0:v>6691.843575418994</ns0:v>
      </ns0:c>
      <ns0:c r="E934" s="16">
        <ns0:f>A934*('前提と出典'!$C$36*'契約別単価'!E5+'前提と出典'!$C$37*'契約別単価'!E6+'前提と出典'!$C$38*'契約別単価'!E7)</ns0:f>
        <ns0:v>2337901.8186140493</ns0:v>
      </ns0:c>
      <ns0:c r="F934" s="16">
        <ns0:f>A934*('前提と出典'!$C$36*'契約別単価'!F5+'前提と出典'!$C$37*'契約別単価'!F6+'前提と出典'!$C$38*'契約別単価'!F7)</ns0:f>
        <ns0:v>679334.5082717761</ns0:v>
      </ns0:c>
      <ns0:c r="G934" s="16">
        <ns0:f>A934*('前提と出典'!$C$36*'契約別単価'!G5+'前提と出典'!$C$37*'契約別単価'!G6+'前提と出典'!$C$38*'契約別単価'!G7)</ns0:f>
        <ns0:v>1851167.597765363</ns0:v>
      </ns0:c>
      <ns0:c r="H934" s="16">
        <ns0:f>A934*('前提と出典'!$C$36*'契約別単価'!H5+'前提と出典'!$C$37*'契約別単価'!H6+'前提と出典'!$C$38*'契約別単価'!H7)</ns0:f>
        <ns0:v>642447.9997754133</ns0:v>
      </ns0:c>
      <ns0:c r="I934" s="16">
        <ns0:f>A934*('前提と出典'!$C$36*'契約別単価'!I5+'前提と出典'!$C$37*'契約別単価'!I6+'前提と出典'!$C$38*'契約別単価'!I7)</ns0:f>
        <ns0:v>39241.843575418985</ns0:v>
      </ns0:c>
      <ns0:c r="J934" s="16">
        <ns0:f>A934*('前提と出典'!$C$36*'契約別単価'!J5+'前提と出典'!$C$37*'契約別単価'!J6+'前提と出典'!$C$38*'契約別単価'!J7)</ns0:f>
        <ns0:v>91409.27565058139</ns0:v>
      </ns0:c>
      <ns0:c r="K934" s="16">
        <ns0:f>A934*('前提と出典'!$C$36*'契約別単価'!K5+'前提と出典'!$C$37*'契約別単価'!K6+'前提と出典'!$C$38*'契約別単価'!K7)</ns0:f>
        <ns0:v>391812.2905027933</ns0:v>
      </ns0:c>
      <ns0:c r="L934" s="16">
        <ns0:f>A934*('前提と出典'!$C$36*'契約別単価'!L5+'前提と出典'!$C$37*'契約別単価'!L6+'前提と出典'!$C$38*'契約別単価'!L7)</ns0:f>
        <ns0:v>319014.9333258471</ns0:v>
      </ns0:c>
      <ns0:c r="M934" s="16">
        <ns0:f>IF(('前提と出典'!$C$36+'前提と出典'!$C$38)=0,0,IF(B934&lt;=10,'前提と出典'!B73+'前提と出典'!C73,IF(B934&lt;=100,'前提と出典'!B74+'前提と出典'!C74,IF(B934&lt;=500,'前提と出典'!B75+'前提と出典'!C75,'前提と出典'!B76+'前提と出典'!C76))))</ns0:f>
        <ns0:v>80000</ns0:v>
      </ns0:c>
      <ns0:c r="N934" s="16">
        <ns0:f>IF(('前提と出典'!$C$37+'前提と出典'!$C$38)=0,0,IF(C934&lt;=10,'前提と出典'!D73+'前提と出典'!E73,IF(C934&lt;=100,'前提と出典'!D74+'前提と出典'!E74,IF(C934&lt;=500,'前提と出典'!D75+'前提と出典'!E75,'前提と出典'!D76+'前提と出典'!E76))))</ns0:f>
        <ns0:v>86510.9346263078</ns0:v>
      </ns0:c>
      <ns0:c r="O934" s="16">
        <ns0:f>IF('前提と出典'!$C$36+'前提と出典'!$C$38=0,0,'前提と出典'!$B$4*IF('前提と出典'!$B$20=0,MAX('前提と出典'!$B$6,D934*'前提と出典'!$B$5),'前提と出典'!$B$6+D934*'前提と出典'!$B$5))</ns0:f>
        <ns0:v>923474.4134078212</ns0:v>
      </ns0:c>
      <ns0:c r="P934" s="16">
        <ns0:f>(E934+G934)*(1-'前提と出典'!$B$7)-I934-K934-M934-O934</ns0:f>
        <ns0:v>2603734.3699037204</ns0:v>
      </ns0:c>
      <ns0:c r="Q934" s="16">
        <ns0:f>(F934+H934)*(1-'前提と出典'!$B$7)-J934-L934-N934</ns0:f>
        <ns0:v>777263.1941547545</ns0:v>
      </ns0:c>
      <ns0:c r="R934" s="16">
        <ns0:f>P934-E934*'前提と出典'!$E$4</ns0:f>
        <ns0:v>1902363.8243195056</ns0:v>
      </ns0:c>
      <ns0:c r="S934" s="16">
        <ns0:f>Q934-F934*'前提と出典'!$E$4</ns0:f>
        <ns0:v>573462.8416732217</ns0:v>
      </ns0:c>
      <ns0:c r="T934" s="7">
        <ns0:f>R934+S934</ns0:f>
        <ns0:v>2475826.6659927275</ns0:v>
      </ns0:c>
      <ns0:c r="U934" s="16">
        <ns0:f>P934-E934*'前提と出典'!$E$5</ns0:f>
        <ns0:v>1668573.6424581008</ns0:v>
      </ns0:c>
      <ns0:c r="V934" s="16">
        <ns0:f>Q934-F934*'前提と出典'!$E$5</ns0:f>
        <ns0:v>505529.39084604406</ns0:v>
      </ns0:c>
      <ns0:c r="W934" s="7">
        <ns0:f>U934+V934</ns0:f>
        <ns0:v>2174103.0333041446</ns0:v>
      </ns0:c>
      <ns0:c r="X934" s="16">
        <ns0:f>P934-E934*'前提と出典'!$E$6</ns0:f>
        <ns0:v>1434783.460596696</ns0:v>
      </ns0:c>
      <ns0:c r="Y934" s="16">
        <ns0:f>Q934-F934*'前提と出典'!$E$6</ns0:f>
        <ns0:v>437595.9400188664</ns0:v>
      </ns0:c>
      <ns0:c r="Z934" s="7">
        <ns0:f>X934+Y934</ns0:f>
        <ns0:v>1872379.4006155625</ns0:v>
      </ns0:c>
      <ns0:c r="AA934" s="7">
        <ns0:f>IF(T934&gt;=0,A934,1001)</ns0:f>
        <ns0:v>930</ns0:v>
      </ns0:c>
      <ns0:c r="AB934" s="7">
        <ns0:f>IF(T934&lt;0,A934,0)</ns0:f>
        <ns0:v>0</ns0:v>
      </ns0:c>
      <ns0:c r="AC934" s="16">
        <ns0:f>IF(AND(OR('前提と出典'!$C$36+'前提と出典'!$C$38=0,R934&gt;=0),OR('前提と出典'!$C$37+'前提と出典'!$C$38=0,S934&gt;=0)),0,A934)</ns0:f>
        <ns0:v>0</ns0:v>
      </ns0:c>
      <ns0:c r="AD934" s="7">
        <ns0:f>IF(W934&gt;=0,A934,1001)</ns0:f>
        <ns0:v>930</ns0:v>
      </ns0:c>
      <ns0:c r="AE934" s="7">
        <ns0:f>IF(W934&lt;0,A934,0)</ns0:f>
        <ns0:v>0</ns0:v>
      </ns0:c>
      <ns0:c r="AF934" s="16">
        <ns0:f>IF(AND(OR('前提と出典'!$C$36+'前提と出典'!$C$38=0,U934&gt;=0),OR('前提と出典'!$C$37+'前提と出典'!$C$38=0,V934&gt;=0)),0,A934)</ns0:f>
        <ns0:v>0</ns0:v>
      </ns0:c>
      <ns0:c r="AG934" s="7">
        <ns0:f>IF(Z934&gt;=0,A934,1001)</ns0:f>
        <ns0:v>930</ns0:v>
      </ns0:c>
      <ns0:c r="AH934" s="4">
        <ns0:f>IF(Z934&lt;0,A934,0)</ns0:f>
        <ns0:v>0</ns0:v>
      </ns0:c>
      <ns0:c r="AI934" s="12">
        <ns0:f>IF(AND(OR('前提と出典'!$C$36+'前提と出典'!$C$38=0,X934&gt;=0),OR('前提と出典'!$C$37+'前提と出典'!$C$38=0,Y934&gt;=0)),0,A934)</ns0:f>
        <ns0:v>0</ns0:v>
      </ns0:c>
    </ns0:row>
    <ns0:row r="935" ht="24" customHeight="1">
      <ns0:c r="A935" s="4" t="n">
        <ns0:v>931</ns0:v>
      </ns0:c>
      <ns0:c r="B935" s="12">
        <ns0:f>A935*('前提と出典'!$C$36+'前提と出典'!$C$38)</ns0:f>
        <ns0:v>651.6999999999999</ns0:v>
      </ns0:c>
      <ns0:c r="C935" s="12">
        <ns0:f>A935*('前提と出典'!$C$37+'前提と出典'!$C$38)</ns0:f>
        <ns0:v>558.6</ns0:v>
      </ns0:c>
      <ns0:c r="D935" s="16">
        <ns0:f>A935*('前提と出典'!$C$36*'契約別単価'!C5+'前提と出典'!$C$37*'契約別単価'!C6+'前提と出典'!$C$38*'契約別単価'!C7)</ns0:f>
        <ns0:v>6699.039106145251</ns0:v>
      </ns0:c>
      <ns0:c r="E935" s="16">
        <ns0:f>A935*('前提と出典'!$C$36*'契約別単価'!E5+'前提と出典'!$C$37*'契約別単価'!E6+'前提と出典'!$C$38*'契約別単価'!E7)</ns0:f>
        <ns0:v>2340415.6915372903</ns0:v>
      </ns0:c>
      <ns0:c r="F935" s="16">
        <ns0:f>A935*('前提と出典'!$C$36*'契約別単価'!F5+'前提と出典'!$C$37*'契約別単価'!F6+'前提と出典'!$C$38*'契約別単価'!F7)</ns0:f>
        <ns0:v>680064.9754849715</ns0:v>
      </ns0:c>
      <ns0:c r="G935" s="16">
        <ns0:f>A935*('前提と出典'!$C$36*'契約別単価'!G5+'前提と出典'!$C$37*'契約別単価'!G6+'前提と出典'!$C$38*'契約別単価'!G7)</ns0:f>
        <ns0:v>1853158.100558659</ns0:v>
      </ns0:c>
      <ns0:c r="H935" s="16">
        <ns0:f>A935*('前提と出典'!$C$36*'契約別単価'!H5+'前提と出典'!$C$37*'契約別単価'!H6+'前提と出典'!$C$38*'契約別単価'!H7)</ns0:f>
        <ns0:v>643138.804076247</ns0:v>
      </ns0:c>
      <ns0:c r="I935" s="16">
        <ns0:f>A935*('前提と出典'!$C$36*'契約別単価'!I5+'前提と出典'!$C$37*'契約別単価'!I6+'前提と出典'!$C$38*'契約別単価'!I7)</ns0:f>
        <ns0:v>39284.03910614525</ns0:v>
      </ns0:c>
      <ns0:c r="J935" s="16">
        <ns0:f>A935*('前提と出典'!$C$36*'契約別単価'!J5+'前提と出典'!$C$37*'契約別単価'!J6+'前提と出典'!$C$38*'契約別単価'!J7)</ns0:f>
        <ns0:v>91507.56519429169</ns0:v>
      </ns0:c>
      <ns0:c r="K935" s="16">
        <ns0:f>A935*('前提と出典'!$C$36*'契約別単価'!K5+'前提と出典'!$C$37*'契約別単価'!K6+'前提と出典'!$C$38*'契約別単価'!K7)</ns0:f>
        <ns0:v>392233.59404096834</ns0:v>
      </ns0:c>
      <ns0:c r="L935" s="16">
        <ns0:f>A935*('前提と出典'!$C$36*'契約別単価'!L5+'前提と出典'!$C$37*'契約別単価'!L6+'前提と出典'!$C$38*'契約別単価'!L7)</ns0:f>
        <ns0:v>319357.96013587486</ns0:v>
      </ns0:c>
      <ns0:c r="M935" s="16">
        <ns0:f>IF(('前提と出典'!$C$36+'前提と出典'!$C$38)=0,0,IF(B935&lt;=10,'前提と出典'!B73+'前提と出典'!C73,IF(B935&lt;=100,'前提と出典'!B74+'前提と出典'!C74,IF(B935&lt;=500,'前提と出典'!B75+'前提と出典'!C75,'前提と出典'!B76+'前提と出典'!C76))))</ns0:f>
        <ns0:v>80000</ns0:v>
      </ns0:c>
      <ns0:c r="N935" s="16">
        <ns0:f>IF(('前提と出典'!$C$37+'前提と出典'!$C$38)=0,0,IF(C935&lt;=10,'前提と出典'!D73+'前提と出典'!E73,IF(C935&lt;=100,'前提と出典'!D74+'前提と出典'!E74,IF(C935&lt;=500,'前提と出典'!D75+'前提と出典'!E75,'前提と出典'!D76+'前提と出典'!E76))))</ns0:f>
        <ns0:v>86510.9346263078</ns0:v>
      </ns0:c>
      <ns0:c r="O935" s="16">
        <ns0:f>IF('前提と出典'!$C$36+'前提と出典'!$C$38=0,0,'前提と出典'!$B$4*IF('前提と出典'!$B$20=0,MAX('前提と出典'!$B$6,D935*'前提と出典'!$B$5),'前提と出典'!$B$6+D935*'前提と出典'!$B$5))</ns0:f>
        <ns0:v>924467.3966480447</ns0:v>
      </ns0:c>
      <ns0:c r="P935" s="16">
        <ns0:f>(E935+G935)*(1-'前提と出典'!$B$7)-I935-K935-M935-O935</ns0:f>
        <ns0:v>2606620.1057853373</ns0:v>
      </ns0:c>
      <ns0:c r="Q935" s="16">
        <ns0:f>(F935+H935)*(1-'前提と出典'!$B$7)-J935-L935-N935</ns0:f>
        <ns0:v>778191.9835405403</ns0:v>
      </ns0:c>
      <ns0:c r="R935" s="16">
        <ns0:f>P935-E935*'前提と出典'!$E$4</ns0:f>
        <ns0:v>1904495.3983241501</ns0:v>
      </ns0:c>
      <ns0:c r="S935" s="16">
        <ns0:f>Q935-F935*'前提と出典'!$E$4</ns0:f>
        <ns0:v>574172.490895049</ns0:v>
      </ns0:c>
      <ns0:c r="T935" s="7">
        <ns0:f>R935+S935</ns0:f>
        <ns0:v>2478667.8892191993</ns0:v>
      </ns0:c>
      <ns0:c r="U935" s="16">
        <ns0:f>P935-E935*'前提と出典'!$E$5</ns0:f>
        <ns0:v>1670453.8291704212</ns0:v>
      </ns0:c>
      <ns0:c r="V935" s="16">
        <ns0:f>Q935-F935*'前提と出典'!$E$5</ns0:f>
        <ns0:v>506165.99334655167</ns0:v>
      </ns0:c>
      <ns0:c r="W935" s="7">
        <ns0:f>U935+V935</ns0:f>
        <ns0:v>2176619.822516973</ns0:v>
      </ns0:c>
      <ns0:c r="X935" s="16">
        <ns0:f>P935-E935*'前提と出典'!$E$6</ns0:f>
        <ns0:v>1436412.2600166923</ns0:v>
      </ns0:c>
      <ns0:c r="Y935" s="16">
        <ns0:f>Q935-F935*'前提と出典'!$E$6</ns0:f>
        <ns0:v>438159.4957980546</ns0:v>
      </ns0:c>
      <ns0:c r="Z935" s="7">
        <ns0:f>X935+Y935</ns0:f>
        <ns0:v>1874571.755814747</ns0:v>
      </ns0:c>
      <ns0:c r="AA935" s="7">
        <ns0:f>IF(T935&gt;=0,A935,1001)</ns0:f>
        <ns0:v>931</ns0:v>
      </ns0:c>
      <ns0:c r="AB935" s="7">
        <ns0:f>IF(T935&lt;0,A935,0)</ns0:f>
        <ns0:v>0</ns0:v>
      </ns0:c>
      <ns0:c r="AC935" s="16">
        <ns0:f>IF(AND(OR('前提と出典'!$C$36+'前提と出典'!$C$38=0,R935&gt;=0),OR('前提と出典'!$C$37+'前提と出典'!$C$38=0,S935&gt;=0)),0,A935)</ns0:f>
        <ns0:v>0</ns0:v>
      </ns0:c>
      <ns0:c r="AD935" s="7">
        <ns0:f>IF(W935&gt;=0,A935,1001)</ns0:f>
        <ns0:v>931</ns0:v>
      </ns0:c>
      <ns0:c r="AE935" s="7">
        <ns0:f>IF(W935&lt;0,A935,0)</ns0:f>
        <ns0:v>0</ns0:v>
      </ns0:c>
      <ns0:c r="AF935" s="16">
        <ns0:f>IF(AND(OR('前提と出典'!$C$36+'前提と出典'!$C$38=0,U935&gt;=0),OR('前提と出典'!$C$37+'前提と出典'!$C$38=0,V935&gt;=0)),0,A935)</ns0:f>
        <ns0:v>0</ns0:v>
      </ns0:c>
      <ns0:c r="AG935" s="7">
        <ns0:f>IF(Z935&gt;=0,A935,1001)</ns0:f>
        <ns0:v>931</ns0:v>
      </ns0:c>
      <ns0:c r="AH935" s="4">
        <ns0:f>IF(Z935&lt;0,A935,0)</ns0:f>
        <ns0:v>0</ns0:v>
      </ns0:c>
      <ns0:c r="AI935" s="12">
        <ns0:f>IF(AND(OR('前提と出典'!$C$36+'前提と出典'!$C$38=0,X935&gt;=0),OR('前提と出典'!$C$37+'前提と出典'!$C$38=0,Y935&gt;=0)),0,A935)</ns0:f>
        <ns0:v>0</ns0:v>
      </ns0:c>
    </ns0:row>
    <ns0:row r="936" ht="24" customHeight="1">
      <ns0:c r="A936" s="4" t="n">
        <ns0:v>932</ns0:v>
      </ns0:c>
      <ns0:c r="B936" s="12">
        <ns0:f>A936*('前提と出典'!$C$36+'前提と出典'!$C$38)</ns0:f>
        <ns0:v>652.4</ns0:v>
      </ns0:c>
      <ns0:c r="C936" s="12">
        <ns0:f>A936*('前提と出典'!$C$37+'前提と出典'!$C$38)</ns0:f>
        <ns0:v>559.1999999999999</ns0:v>
      </ns0:c>
      <ns0:c r="D936" s="16">
        <ns0:f>A936*('前提と出典'!$C$36*'契約別単価'!C5+'前提と出典'!$C$37*'契約別単価'!C6+'前提と出典'!$C$38*'契約別単価'!C7)</ns0:f>
        <ns0:v>6706.234636871508</ns0:v>
      </ns0:c>
      <ns0:c r="E936" s="16">
        <ns0:f>A936*('前提と出典'!$C$36*'契約別単価'!E5+'前提と出典'!$C$37*'契約別単価'!E6+'前提と出典'!$C$38*'契約別単価'!E7)</ns0:f>
        <ns0:v>2342929.5644605313</ns0:v>
      </ns0:c>
      <ns0:c r="F936" s="16">
        <ns0:f>A936*('前提と出典'!$C$36*'契約別単価'!F5+'前提と出典'!$C$37*'契約別単価'!F6+'前提と出典'!$C$38*'契約別単価'!F7)</ns0:f>
        <ns0:v>680795.442698167</ns0:v>
      </ns0:c>
      <ns0:c r="G936" s="16">
        <ns0:f>A936*('前提と出典'!$C$36*'契約別単価'!G5+'前提と出典'!$C$37*'契約別単価'!G6+'前提と出典'!$C$38*'契約別単価'!G7)</ns0:f>
        <ns0:v>1855148.6033519553</ns0:v>
      </ns0:c>
      <ns0:c r="H936" s="16">
        <ns0:f>A936*('前提と出典'!$C$36*'契約別単価'!H5+'前提と出典'!$C$37*'契約別単価'!H6+'前提と出典'!$C$38*'契約別単価'!H7)</ns0:f>
        <ns0:v>643829.6083770808</ns0:v>
      </ns0:c>
      <ns0:c r="I936" s="16">
        <ns0:f>A936*('前提と出典'!$C$36*'契約別単価'!I5+'前提と出典'!$C$37*'契約別単価'!I6+'前提と出典'!$C$38*'契約別単価'!I7)</ns0:f>
        <ns0:v>39326.2346368715</ns0:v>
      </ns0:c>
      <ns0:c r="J936" s="16">
        <ns0:f>A936*('前提と出典'!$C$36*'契約別単価'!J5+'前提と出典'!$C$37*'契約別単価'!J6+'前提と出典'!$C$38*'契約別単価'!J7)</ns0:f>
        <ns0:v>91605.85473800199</ns0:v>
      </ns0:c>
      <ns0:c r="K936" s="16">
        <ns0:f>A936*('前提と出典'!$C$36*'契約別単価'!K5+'前提と出典'!$C$37*'契約別単価'!K6+'前提と出典'!$C$38*'契約別単価'!K7)</ns0:f>
        <ns0:v>392654.89757914335</ns0:v>
      </ns0:c>
      <ns0:c r="L936" s="16">
        <ns0:f>A936*('前提と出典'!$C$36*'契約別単価'!L5+'前提と出典'!$C$37*'契約別単価'!L6+'前提と出典'!$C$38*'契約別単価'!L7)</ns0:f>
        <ns0:v>319700.9869459027</ns0:v>
      </ns0:c>
      <ns0:c r="M936" s="16">
        <ns0:f>IF(('前提と出典'!$C$36+'前提と出典'!$C$38)=0,0,IF(B936&lt;=10,'前提と出典'!B73+'前提と出典'!C73,IF(B936&lt;=100,'前提と出典'!B74+'前提と出典'!C74,IF(B936&lt;=500,'前提と出典'!B75+'前提と出典'!C75,'前提と出典'!B76+'前提と出典'!C76))))</ns0:f>
        <ns0:v>80000</ns0:v>
      </ns0:c>
      <ns0:c r="N936" s="16">
        <ns0:f>IF(('前提と出典'!$C$37+'前提と出典'!$C$38)=0,0,IF(C936&lt;=10,'前提と出典'!D73+'前提と出典'!E73,IF(C936&lt;=100,'前提と出典'!D74+'前提と出典'!E74,IF(C936&lt;=500,'前提と出典'!D75+'前提と出典'!E75,'前提と出典'!D76+'前提と出典'!E76))))</ns0:f>
        <ns0:v>86510.9346263078</ns0:v>
      </ns0:c>
      <ns0:c r="O936" s="16">
        <ns0:f>IF('前提と出典'!$C$36+'前提と出典'!$C$38=0,0,'前提と出典'!$B$4*IF('前提と出典'!$B$20=0,MAX('前提と出典'!$B$6,D936*'前提と出典'!$B$5),'前提と出典'!$B$6+D936*'前提と出典'!$B$5))</ns0:f>
        <ns0:v>925460.3798882682</ns0:v>
      </ns0:c>
      <ns0:c r="P936" s="16">
        <ns0:f>(E936+G936)*(1-'前提と出典'!$B$7)-I936-K936-M936-O936</ns0:f>
        <ns0:v>2609505.8416669546</ns0:v>
      </ns0:c>
      <ns0:c r="Q936" s="16">
        <ns0:f>(F936+H936)*(1-'前提と出典'!$B$7)-J936-L936-N936</ns0:f>
        <ns0:v>779120.7729263264</ns0:v>
      </ns0:c>
      <ns0:c r="R936" s="16">
        <ns0:f>P936-E936*'前提と出典'!$E$4</ns0:f>
        <ns0:v>1906626.9723287951</ns0:v>
      </ns0:c>
      <ns0:c r="S936" s="16">
        <ns0:f>Q936-F936*'前提と出典'!$E$4</ns0:f>
        <ns0:v>574882.1401168762</ns0:v>
      </ns0:c>
      <ns0:c r="T936" s="7">
        <ns0:f>R936+S936</ns0:f>
        <ns0:v>2481509.112445671</ns0:v>
      </ns0:c>
      <ns0:c r="U936" s="16">
        <ns0:f>P936-E936*'前提と出典'!$E$5</ns0:f>
        <ns0:v>1672334.0158827421</ns0:v>
      </ns0:c>
      <ns0:c r="V936" s="16">
        <ns0:f>Q936-F936*'前提と出典'!$E$5</ns0:f>
        <ns0:v>506802.5958470596</ns0:v>
      </ns0:c>
      <ns0:c r="W936" s="7">
        <ns0:f>U936+V936</ns0:f>
        <ns0:v>2179136.6117298016</ns0:v>
      </ns0:c>
      <ns0:c r="X936" s="16">
        <ns0:f>P936-E936*'前提と出典'!$E$6</ns0:f>
        <ns0:v>1438041.0594366891</ns0:v>
      </ns0:c>
      <ns0:c r="Y936" s="16">
        <ns0:f>Q936-F936*'前提と出典'!$E$6</ns0:f>
        <ns0:v>438723.0515772429</ns0:v>
      </ns0:c>
      <ns0:c r="Z936" s="7">
        <ns0:f>X936+Y936</ns0:f>
        <ns0:v>1876764.1110139322</ns0:v>
      </ns0:c>
      <ns0:c r="AA936" s="7">
        <ns0:f>IF(T936&gt;=0,A936,1001)</ns0:f>
        <ns0:v>932</ns0:v>
      </ns0:c>
      <ns0:c r="AB936" s="7">
        <ns0:f>IF(T936&lt;0,A936,0)</ns0:f>
        <ns0:v>0</ns0:v>
      </ns0:c>
      <ns0:c r="AC936" s="16">
        <ns0:f>IF(AND(OR('前提と出典'!$C$36+'前提と出典'!$C$38=0,R936&gt;=0),OR('前提と出典'!$C$37+'前提と出典'!$C$38=0,S936&gt;=0)),0,A936)</ns0:f>
        <ns0:v>0</ns0:v>
      </ns0:c>
      <ns0:c r="AD936" s="7">
        <ns0:f>IF(W936&gt;=0,A936,1001)</ns0:f>
        <ns0:v>932</ns0:v>
      </ns0:c>
      <ns0:c r="AE936" s="7">
        <ns0:f>IF(W936&lt;0,A936,0)</ns0:f>
        <ns0:v>0</ns0:v>
      </ns0:c>
      <ns0:c r="AF936" s="16">
        <ns0:f>IF(AND(OR('前提と出典'!$C$36+'前提と出典'!$C$38=0,U936&gt;=0),OR('前提と出典'!$C$37+'前提と出典'!$C$38=0,V936&gt;=0)),0,A936)</ns0:f>
        <ns0:v>0</ns0:v>
      </ns0:c>
      <ns0:c r="AG936" s="7">
        <ns0:f>IF(Z936&gt;=0,A936,1001)</ns0:f>
        <ns0:v>932</ns0:v>
      </ns0:c>
      <ns0:c r="AH936" s="4">
        <ns0:f>IF(Z936&lt;0,A936,0)</ns0:f>
        <ns0:v>0</ns0:v>
      </ns0:c>
      <ns0:c r="AI936" s="12">
        <ns0:f>IF(AND(OR('前提と出典'!$C$36+'前提と出典'!$C$38=0,X936&gt;=0),OR('前提と出典'!$C$37+'前提と出典'!$C$38=0,Y936&gt;=0)),0,A936)</ns0:f>
        <ns0:v>0</ns0:v>
      </ns0:c>
    </ns0:row>
    <ns0:row r="937" ht="24" customHeight="1">
      <ns0:c r="A937" s="4" t="n">
        <ns0:v>933</ns0:v>
      </ns0:c>
      <ns0:c r="B937" s="12">
        <ns0:f>A937*('前提と出典'!$C$36+'前提と出典'!$C$38)</ns0:f>
        <ns0:v>653.0999999999999</ns0:v>
      </ns0:c>
      <ns0:c r="C937" s="12">
        <ns0:f>A937*('前提と出典'!$C$37+'前提と出典'!$C$38)</ns0:f>
        <ns0:v>559.8</ns0:v>
      </ns0:c>
      <ns0:c r="D937" s="16">
        <ns0:f>A937*('前提と出典'!$C$36*'契約別単価'!C5+'前提と出典'!$C$37*'契約別単価'!C6+'前提と出典'!$C$38*'契約別単価'!C7)</ns0:f>
        <ns0:v>6713.430167597765</ns0:v>
      </ns0:c>
      <ns0:c r="E937" s="16">
        <ns0:f>A937*('前提と出典'!$C$36*'契約別単価'!E5+'前提と出典'!$C$37*'契約別単価'!E6+'前提と出典'!$C$38*'契約別単価'!E7)</ns0:f>
        <ns0:v>2345443.437383772</ns0:v>
      </ns0:c>
      <ns0:c r="F937" s="16">
        <ns0:f>A937*('前提と出典'!$C$36*'契約別単価'!F5+'前提と出典'!$C$37*'契約別単価'!F6+'前提と出典'!$C$38*'契約別単価'!F7)</ns0:f>
        <ns0:v>681525.9099113625</ns0:v>
      </ns0:c>
      <ns0:c r="G937" s="16">
        <ns0:f>A937*('前提と出典'!$C$36*'契約別単価'!G5+'前提と出典'!$C$37*'契約別単価'!G6+'前提と出典'!$C$38*'契約別単価'!G7)</ns0:f>
        <ns0:v>1857139.1061452513</ns0:v>
      </ns0:c>
      <ns0:c r="H937" s="16">
        <ns0:f>A937*('前提と出典'!$C$36*'契約別単価'!H5+'前提と出典'!$C$37*'契約別単価'!H6+'前提と出典'!$C$38*'契約別単価'!H7)</ns0:f>
        <ns0:v>644520.4126779146</ns0:v>
      </ns0:c>
      <ns0:c r="I937" s="16">
        <ns0:f>A937*('前提と出典'!$C$36*'契約別単価'!I5+'前提と出典'!$C$37*'契約別単価'!I6+'前提と出典'!$C$38*'契約別単価'!I7)</ns0:f>
        <ns0:v>39368.43016759776</ns0:v>
      </ns0:c>
      <ns0:c r="J937" s="16">
        <ns0:f>A937*('前提と出典'!$C$36*'契約別単価'!J5+'前提と出典'!$C$37*'契約別単価'!J6+'前提と出典'!$C$38*'契約別単価'!J7)</ns0:f>
        <ns0:v>91704.14428171229</ns0:v>
      </ns0:c>
      <ns0:c r="K937" s="16">
        <ns0:f>A937*('前提と出典'!$C$36*'契約別単価'!K5+'前提と出典'!$C$37*'契約別単価'!K6+'前提と出典'!$C$38*'契約別単価'!K7)</ns0:f>
        <ns0:v>393076.2011173184</ns0:v>
      </ns0:c>
      <ns0:c r="L937" s="16">
        <ns0:f>A937*('前提と出典'!$C$36*'契約別単価'!L5+'前提と出典'!$C$37*'契約別単価'!L6+'前提と出典'!$C$38*'契約別単価'!L7)</ns0:f>
        <ns0:v>320044.0137559305</ns0:v>
      </ns0:c>
      <ns0:c r="M937" s="16">
        <ns0:f>IF(('前提と出典'!$C$36+'前提と出典'!$C$38)=0,0,IF(B937&lt;=10,'前提と出典'!B73+'前提と出典'!C73,IF(B937&lt;=100,'前提と出典'!B74+'前提と出典'!C74,IF(B937&lt;=500,'前提と出典'!B75+'前提と出典'!C75,'前提と出典'!B76+'前提と出典'!C76))))</ns0:f>
        <ns0:v>80000</ns0:v>
      </ns0:c>
      <ns0:c r="N937" s="16">
        <ns0:f>IF(('前提と出典'!$C$37+'前提と出典'!$C$38)=0,0,IF(C937&lt;=10,'前提と出典'!D73+'前提と出典'!E73,IF(C937&lt;=100,'前提と出典'!D74+'前提と出典'!E74,IF(C937&lt;=500,'前提と出典'!D75+'前提と出典'!E75,'前提と出典'!D76+'前提と出典'!E76))))</ns0:f>
        <ns0:v>86510.9346263078</ns0:v>
      </ns0:c>
      <ns0:c r="O937" s="16">
        <ns0:f>IF('前提と出典'!$C$36+'前提と出典'!$C$38=0,0,'前提と出典'!$B$4*IF('前提と出典'!$B$20=0,MAX('前提と出典'!$B$6,D937*'前提と出典'!$B$5),'前提と出典'!$B$6+D937*'前提と出典'!$B$5))</ns0:f>
        <ns0:v>926453.3631284916</ns0:v>
      </ns0:c>
      <ns0:c r="P937" s="16">
        <ns0:f>(E937+G937)*(1-'前提と出典'!$B$7)-I937-K937-M937-O937</ns0:f>
        <ns0:v>2612391.5775485705</ns0:v>
      </ns0:c>
      <ns0:c r="Q937" s="16">
        <ns0:f>(F937+H937)*(1-'前提と出典'!$B$7)-J937-L937-N937</ns0:f>
        <ns0:v>780049.5623121124</ns0:v>
      </ns0:c>
      <ns0:c r="R937" s="16">
        <ns0:f>P937-E937*'前提と出典'!$E$4</ns0:f>
        <ns0:v>1908758.5463334392</ns0:v>
      </ns0:c>
      <ns0:c r="S937" s="16">
        <ns0:f>Q937-F937*'前提と出典'!$E$4</ns0:f>
        <ns0:v>575591.789338704</ns0:v>
      </ns0:c>
      <ns0:c r="T937" s="7">
        <ns0:f>R937+S937</ns0:f>
        <ns0:v>2484350.335672143</ns0:v>
      </ns0:c>
      <ns0:c r="U937" s="16">
        <ns0:f>P937-E937*'前提と出典'!$E$5</ns0:f>
        <ns0:v>1674214.2025950616</ns0:v>
      </ns0:c>
      <ns0:c r="V937" s="16">
        <ns0:f>Q937-F937*'前提と出典'!$E$5</ns0:f>
        <ns0:v>507439.19834756746</ns0:v>
      </ns0:c>
      <ns0:c r="W937" s="7">
        <ns0:f>U937+V937</ns0:f>
        <ns0:v>2181653.400942629</ns0:v>
      </ns0:c>
      <ns0:c r="X937" s="16">
        <ns0:f>P937-E937*'前提と出典'!$E$6</ns0:f>
        <ns0:v>1439669.8588566845</ns0:v>
      </ns0:c>
      <ns0:c r="Y937" s="16">
        <ns0:f>Q937-F937*'前提と出典'!$E$6</ns0:f>
        <ns0:v>439286.6073564313</ns0:v>
      </ns0:c>
      <ns0:c r="Z937" s="7">
        <ns0:f>X937+Y937</ns0:f>
        <ns0:v>1878956.466213116</ns0:v>
      </ns0:c>
      <ns0:c r="AA937" s="7">
        <ns0:f>IF(T937&gt;=0,A937,1001)</ns0:f>
        <ns0:v>933</ns0:v>
      </ns0:c>
      <ns0:c r="AB937" s="7">
        <ns0:f>IF(T937&lt;0,A937,0)</ns0:f>
        <ns0:v>0</ns0:v>
      </ns0:c>
      <ns0:c r="AC937" s="16">
        <ns0:f>IF(AND(OR('前提と出典'!$C$36+'前提と出典'!$C$38=0,R937&gt;=0),OR('前提と出典'!$C$37+'前提と出典'!$C$38=0,S937&gt;=0)),0,A937)</ns0:f>
        <ns0:v>0</ns0:v>
      </ns0:c>
      <ns0:c r="AD937" s="7">
        <ns0:f>IF(W937&gt;=0,A937,1001)</ns0:f>
        <ns0:v>933</ns0:v>
      </ns0:c>
      <ns0:c r="AE937" s="7">
        <ns0:f>IF(W937&lt;0,A937,0)</ns0:f>
        <ns0:v>0</ns0:v>
      </ns0:c>
      <ns0:c r="AF937" s="16">
        <ns0:f>IF(AND(OR('前提と出典'!$C$36+'前提と出典'!$C$38=0,U937&gt;=0),OR('前提と出典'!$C$37+'前提と出典'!$C$38=0,V937&gt;=0)),0,A937)</ns0:f>
        <ns0:v>0</ns0:v>
      </ns0:c>
      <ns0:c r="AG937" s="7">
        <ns0:f>IF(Z937&gt;=0,A937,1001)</ns0:f>
        <ns0:v>933</ns0:v>
      </ns0:c>
      <ns0:c r="AH937" s="4">
        <ns0:f>IF(Z937&lt;0,A937,0)</ns0:f>
        <ns0:v>0</ns0:v>
      </ns0:c>
      <ns0:c r="AI937" s="12">
        <ns0:f>IF(AND(OR('前提と出典'!$C$36+'前提と出典'!$C$38=0,X937&gt;=0),OR('前提と出典'!$C$37+'前提と出典'!$C$38=0,Y937&gt;=0)),0,A937)</ns0:f>
        <ns0:v>0</ns0:v>
      </ns0:c>
    </ns0:row>
    <ns0:row r="938" ht="24" customHeight="1">
      <ns0:c r="A938" s="4" t="n">
        <ns0:v>934</ns0:v>
      </ns0:c>
      <ns0:c r="B938" s="12">
        <ns0:f>A938*('前提と出典'!$C$36+'前提と出典'!$C$38)</ns0:f>
        <ns0:v>653.8</ns0:v>
      </ns0:c>
      <ns0:c r="C938" s="12">
        <ns0:f>A938*('前提と出典'!$C$37+'前提と出典'!$C$38)</ns0:f>
        <ns0:v>560.4</ns0:v>
      </ns0:c>
      <ns0:c r="D938" s="16">
        <ns0:f>A938*('前提と出典'!$C$36*'契約別単価'!C5+'前提と出典'!$C$37*'契約別単価'!C6+'前提と出典'!$C$38*'契約別単価'!C7)</ns0:f>
        <ns0:v>6720.625698324022</ns0:v>
      </ns0:c>
      <ns0:c r="E938" s="16">
        <ns0:f>A938*('前提と出典'!$C$36*'契約別単価'!E5+'前提と出典'!$C$37*'契約別単価'!E6+'前提と出典'!$C$38*'契約別単価'!E7)</ns0:f>
        <ns0:v>2347957.310307013</ns0:v>
      </ns0:c>
      <ns0:c r="F938" s="16">
        <ns0:f>A938*('前提と出典'!$C$36*'契約別単価'!F5+'前提と出典'!$C$37*'契約別単価'!F6+'前提と出典'!$C$38*'契約別単価'!F7)</ns0:f>
        <ns0:v>682256.377124558</ns0:v>
      </ns0:c>
      <ns0:c r="G938" s="16">
        <ns0:f>A938*('前提と出典'!$C$36*'契約別単価'!G5+'前提と出典'!$C$37*'契約別単価'!G6+'前提と出典'!$C$38*'契約別単価'!G7)</ns0:f>
        <ns0:v>1859129.6089385473</ns0:v>
      </ns0:c>
      <ns0:c r="H938" s="16">
        <ns0:f>A938*('前提と出典'!$C$36*'契約別単価'!H5+'前提と出典'!$C$37*'契約別単価'!H6+'前提と出典'!$C$38*'契約別単価'!H7)</ns0:f>
        <ns0:v>645211.2169787483</ns0:v>
      </ns0:c>
      <ns0:c r="I938" s="16">
        <ns0:f>A938*('前提と出典'!$C$36*'契約別単価'!I5+'前提と出典'!$C$37*'契約別単価'!I6+'前提と出典'!$C$38*'契約別単価'!I7)</ns0:f>
        <ns0:v>39410.62569832402</ns0:v>
      </ns0:c>
      <ns0:c r="J938" s="16">
        <ns0:f>A938*('前提と出典'!$C$36*'契約別単価'!J5+'前提と出典'!$C$37*'契約別単価'!J6+'前提と出典'!$C$38*'契約別単価'!J7)</ns0:f>
        <ns0:v>91802.4338254226</ns0:v>
      </ns0:c>
      <ns0:c r="K938" s="16">
        <ns0:f>A938*('前提と出典'!$C$36*'契約別単価'!K5+'前提と出典'!$C$37*'契約別単価'!K6+'前提と出典'!$C$38*'契約別単価'!K7)</ns0:f>
        <ns0:v>393497.5046554935</ns0:v>
      </ns0:c>
      <ns0:c r="L938" s="16">
        <ns0:f>A938*('前提と出典'!$C$36*'契約別単価'!L5+'前提と出典'!$C$37*'契約別単価'!L6+'前提と出典'!$C$38*'契約別単価'!L7)</ns0:f>
        <ns0:v>320387.04056595825</ns0:v>
      </ns0:c>
      <ns0:c r="M938" s="16">
        <ns0:f>IF(('前提と出典'!$C$36+'前提と出典'!$C$38)=0,0,IF(B938&lt;=10,'前提と出典'!B73+'前提と出典'!C73,IF(B938&lt;=100,'前提と出典'!B74+'前提と出典'!C74,IF(B938&lt;=500,'前提と出典'!B75+'前提と出典'!C75,'前提と出典'!B76+'前提と出典'!C76))))</ns0:f>
        <ns0:v>80000</ns0:v>
      </ns0:c>
      <ns0:c r="N938" s="16">
        <ns0:f>IF(('前提と出典'!$C$37+'前提と出典'!$C$38)=0,0,IF(C938&lt;=10,'前提と出典'!D73+'前提と出典'!E73,IF(C938&lt;=100,'前提と出典'!D74+'前提と出典'!E74,IF(C938&lt;=500,'前提と出典'!D75+'前提と出典'!E75,'前提と出典'!D76+'前提と出典'!E76))))</ns0:f>
        <ns0:v>86510.9346263078</ns0:v>
      </ns0:c>
      <ns0:c r="O938" s="16">
        <ns0:f>IF('前提と出典'!$C$36+'前提と出典'!$C$38=0,0,'前提と出典'!$B$4*IF('前提と出典'!$B$20=0,MAX('前提と出典'!$B$6,D938*'前提と出典'!$B$5),'前提と出典'!$B$6+D938*'前提と出典'!$B$5))</ns0:f>
        <ns0:v>927446.346368715</ns0:v>
      </ns0:c>
      <ns0:c r="P938" s="16">
        <ns0:f>(E938+G938)*(1-'前提と出典'!$B$7)-I938-K938-M938-O938</ns0:f>
        <ns0:v>2615277.3134301873</ns0:v>
      </ns0:c>
      <ns0:c r="Q938" s="16">
        <ns0:f>(F938+H938)*(1-'前提と出典'!$B$7)-J938-L938-N938</ns0:f>
        <ns0:v>780978.3516978987</ns0:v>
      </ns0:c>
      <ns0:c r="R938" s="16">
        <ns0:f>P938-E938*'前提と出典'!$E$4</ns0:f>
        <ns0:v>1910890.1203380832</ns0:v>
      </ns0:c>
      <ns0:c r="S938" s="16">
        <ns0:f>Q938-F938*'前提と出典'!$E$4</ns0:f>
        <ns0:v>576301.4385605312</ns0:v>
      </ns0:c>
      <ns0:c r="T938" s="7">
        <ns0:f>R938+S938</ns0:f>
        <ns0:v>2487191.5588986147</ns0:v>
      </ns0:c>
      <ns0:c r="U938" s="16">
        <ns0:f>P938-E938*'前提と出典'!$E$5</ns0:f>
        <ns0:v>1676094.389307382</ns0:v>
      </ns0:c>
      <ns0:c r="V938" s="16">
        <ns0:f>Q938-F938*'前提と出典'!$E$5</ns0:f>
        <ns0:v>508075.8008480754</ns0:v>
      </ns0:c>
      <ns0:c r="W938" s="7">
        <ns0:f>U938+V938</ns0:f>
        <ns0:v>2184170.1901554577</ns0:v>
      </ns0:c>
      <ns0:c r="X938" s="16">
        <ns0:f>P938-E938*'前提と出典'!$E$6</ns0:f>
        <ns0:v>1441298.6582766809</ns0:v>
      </ns0:c>
      <ns0:c r="Y938" s="16">
        <ns0:f>Q938-F938*'前提と出典'!$E$6</ns0:f>
        <ns0:v>439850.1631356196</ns0:v>
      </ns0:c>
      <ns0:c r="Z938" s="7">
        <ns0:f>X938+Y938</ns0:f>
        <ns0:v>1881148.8214123005</ns0:v>
      </ns0:c>
      <ns0:c r="AA938" s="7">
        <ns0:f>IF(T938&gt;=0,A938,1001)</ns0:f>
        <ns0:v>934</ns0:v>
      </ns0:c>
      <ns0:c r="AB938" s="7">
        <ns0:f>IF(T938&lt;0,A938,0)</ns0:f>
        <ns0:v>0</ns0:v>
      </ns0:c>
      <ns0:c r="AC938" s="16">
        <ns0:f>IF(AND(OR('前提と出典'!$C$36+'前提と出典'!$C$38=0,R938&gt;=0),OR('前提と出典'!$C$37+'前提と出典'!$C$38=0,S938&gt;=0)),0,A938)</ns0:f>
        <ns0:v>0</ns0:v>
      </ns0:c>
      <ns0:c r="AD938" s="7">
        <ns0:f>IF(W938&gt;=0,A938,1001)</ns0:f>
        <ns0:v>934</ns0:v>
      </ns0:c>
      <ns0:c r="AE938" s="7">
        <ns0:f>IF(W938&lt;0,A938,0)</ns0:f>
        <ns0:v>0</ns0:v>
      </ns0:c>
      <ns0:c r="AF938" s="16">
        <ns0:f>IF(AND(OR('前提と出典'!$C$36+'前提と出典'!$C$38=0,U938&gt;=0),OR('前提と出典'!$C$37+'前提と出典'!$C$38=0,V938&gt;=0)),0,A938)</ns0:f>
        <ns0:v>0</ns0:v>
      </ns0:c>
      <ns0:c r="AG938" s="7">
        <ns0:f>IF(Z938&gt;=0,A938,1001)</ns0:f>
        <ns0:v>934</ns0:v>
      </ns0:c>
      <ns0:c r="AH938" s="4">
        <ns0:f>IF(Z938&lt;0,A938,0)</ns0:f>
        <ns0:v>0</ns0:v>
      </ns0:c>
      <ns0:c r="AI938" s="12">
        <ns0:f>IF(AND(OR('前提と出典'!$C$36+'前提と出典'!$C$38=0,X938&gt;=0),OR('前提と出典'!$C$37+'前提と出典'!$C$38=0,Y938&gt;=0)),0,A938)</ns0:f>
        <ns0:v>0</ns0:v>
      </ns0:c>
    </ns0:row>
    <ns0:row r="939" ht="24" customHeight="1">
      <ns0:c r="A939" s="4" t="n">
        <ns0:v>935</ns0:v>
      </ns0:c>
      <ns0:c r="B939" s="12">
        <ns0:f>A939*('前提と出典'!$C$36+'前提と出典'!$C$38)</ns0:f>
        <ns0:v>654.5</ns0:v>
      </ns0:c>
      <ns0:c r="C939" s="12">
        <ns0:f>A939*('前提と出典'!$C$37+'前提と出典'!$C$38)</ns0:f>
        <ns0:v>561</ns0:v>
      </ns0:c>
      <ns0:c r="D939" s="16">
        <ns0:f>A939*('前提と出典'!$C$36*'契約別単価'!C5+'前提と出典'!$C$37*'契約別単価'!C6+'前提と出典'!$C$38*'契約別単価'!C7)</ns0:f>
        <ns0:v>6727.82122905028</ns0:v>
      </ns0:c>
      <ns0:c r="E939" s="16">
        <ns0:f>A939*('前提と出典'!$C$36*'契約別単価'!E5+'前提と出典'!$C$37*'契約別単価'!E6+'前提と出典'!$C$38*'契約別単価'!E7)</ns0:f>
        <ns0:v>2350471.183230254</ns0:v>
      </ns0:c>
      <ns0:c r="F939" s="16">
        <ns0:f>A939*('前提と出典'!$C$36*'契約別単価'!F5+'前提と出典'!$C$37*'契約別単価'!F6+'前提と出典'!$C$38*'契約別単価'!F7)</ns0:f>
        <ns0:v>682986.8443377534</ns0:v>
      </ns0:c>
      <ns0:c r="G939" s="16">
        <ns0:f>A939*('前提と出典'!$C$36*'契約別単価'!G5+'前提と出典'!$C$37*'契約別単価'!G6+'前提と出典'!$C$38*'契約別単価'!G7)</ns0:f>
        <ns0:v>1861120.1117318436</ns0:v>
      </ns0:c>
      <ns0:c r="H939" s="16">
        <ns0:f>A939*('前提と出典'!$C$36*'契約別単価'!H5+'前提と出典'!$C$37*'契約別単価'!H6+'前提と出典'!$C$38*'契約別単価'!H7)</ns0:f>
        <ns0:v>645902.0212795822</ns0:v>
      </ns0:c>
      <ns0:c r="I939" s="16">
        <ns0:f>A939*('前提と出典'!$C$36*'契約別単価'!I5+'前提と出典'!$C$37*'契約別単価'!I6+'前提と出典'!$C$38*'契約別単価'!I7)</ns0:f>
        <ns0:v>39452.82122905027</ns0:v>
      </ns0:c>
      <ns0:c r="J939" s="16">
        <ns0:f>A939*('前提と出典'!$C$36*'契約別単価'!J5+'前提と出典'!$C$37*'契約別単価'!J6+'前提と出典'!$C$38*'契約別単価'!J7)</ns0:f>
        <ns0:v>91900.7233691329</ns0:v>
      </ns0:c>
      <ns0:c r="K939" s="16">
        <ns0:f>A939*('前提と出典'!$C$36*'契約別単価'!K5+'前提と出典'!$C$37*'契約別単価'!K6+'前提と出典'!$C$38*'契約別単価'!K7)</ns0:f>
        <ns0:v>393918.8081936685</ns0:v>
      </ns0:c>
      <ns0:c r="L939" s="16">
        <ns0:f>A939*('前提と出典'!$C$36*'契約別単価'!L5+'前提と出典'!$C$37*'契約別単価'!L6+'前提と出典'!$C$38*'契約別単価'!L7)</ns0:f>
        <ns0:v>320730.0673759861</ns0:v>
      </ns0:c>
      <ns0:c r="M939" s="16">
        <ns0:f>IF(('前提と出典'!$C$36+'前提と出典'!$C$38)=0,0,IF(B939&lt;=10,'前提と出典'!B73+'前提と出典'!C73,IF(B939&lt;=100,'前提と出典'!B74+'前提と出典'!C74,IF(B939&lt;=500,'前提と出典'!B75+'前提と出典'!C75,'前提と出典'!B76+'前提と出典'!C76))))</ns0:f>
        <ns0:v>80000</ns0:v>
      </ns0:c>
      <ns0:c r="N939" s="16">
        <ns0:f>IF(('前提と出典'!$C$37+'前提と出典'!$C$38)=0,0,IF(C939&lt;=10,'前提と出典'!D73+'前提と出典'!E73,IF(C939&lt;=100,'前提と出典'!D74+'前提と出典'!E74,IF(C939&lt;=500,'前提と出典'!D75+'前提と出典'!E75,'前提と出典'!D76+'前提と出典'!E76))))</ns0:f>
        <ns0:v>86510.9346263078</ns0:v>
      </ns0:c>
      <ns0:c r="O939" s="16">
        <ns0:f>IF('前提と出典'!$C$36+'前提と出典'!$C$38=0,0,'前提と出典'!$B$4*IF('前提と出典'!$B$20=0,MAX('前提と出典'!$B$6,D939*'前提と出典'!$B$5),'前提と出典'!$B$6+D939*'前提と出典'!$B$5))</ns0:f>
        <ns0:v>928439.3296089387</ns0:v>
      </ns0:c>
      <ns0:c r="P939" s="16">
        <ns0:f>(E939+G939)*(1-'前提と出典'!$B$7)-I939-K939-M939-O939</ns0:f>
        <ns0:v>2618163.049311804</ns0:v>
      </ns0:c>
      <ns0:c r="Q939" s="16">
        <ns0:f>(F939+H939)*(1-'前提と出典'!$B$7)-J939-L939-N939</ns0:f>
        <ns0:v>781907.1410836846</ns0:v>
      </ns0:c>
      <ns0:c r="R939" s="16">
        <ns0:f>P939-E939*'前提と出典'!$E$4</ns0:f>
        <ns0:v>1913021.6943427278</ns0:v>
      </ns0:c>
      <ns0:c r="S939" s="16">
        <ns0:f>Q939-F939*'前提と出典'!$E$4</ns0:f>
        <ns0:v>577011.0877823585</ns0:v>
      </ns0:c>
      <ns0:c r="T939" s="7">
        <ns0:f>R939+S939</ns0:f>
        <ns0:v>2490032.7821250865</ns0:v>
      </ns0:c>
      <ns0:c r="U939" s="16">
        <ns0:f>P939-E939*'前提と出典'!$E$5</ns0:f>
        <ns0:v>1677974.5760197025</ns0:v>
      </ns0:c>
      <ns0:c r="V939" s="16">
        <ns0:f>Q939-F939*'前提と出典'!$E$5</ns0:f>
        <ns0:v>508712.40334858326</ns0:v>
      </ns0:c>
      <ns0:c r="W939" s="7">
        <ns0:f>U939+V939</ns0:f>
        <ns0:v>2186686.9793682857</ns0:v>
      </ns0:c>
      <ns0:c r="X939" s="16">
        <ns0:f>P939-E939*'前提と出典'!$E$6</ns0:f>
        <ns0:v>1442927.4576966772</ns0:v>
      </ns0:c>
      <ns0:c r="Y939" s="16">
        <ns0:f>Q939-F939*'前提と出典'!$E$6</ns0:f>
        <ns0:v>440413.7189148078</ns0:v>
      </ns0:c>
      <ns0:c r="Z939" s="7">
        <ns0:f>X939+Y939</ns0:f>
        <ns0:v>1883341.176611485</ns0:v>
      </ns0:c>
      <ns0:c r="AA939" s="7">
        <ns0:f>IF(T939&gt;=0,A939,1001)</ns0:f>
        <ns0:v>935</ns0:v>
      </ns0:c>
      <ns0:c r="AB939" s="7">
        <ns0:f>IF(T939&lt;0,A939,0)</ns0:f>
        <ns0:v>0</ns0:v>
      </ns0:c>
      <ns0:c r="AC939" s="16">
        <ns0:f>IF(AND(OR('前提と出典'!$C$36+'前提と出典'!$C$38=0,R939&gt;=0),OR('前提と出典'!$C$37+'前提と出典'!$C$38=0,S939&gt;=0)),0,A939)</ns0:f>
        <ns0:v>0</ns0:v>
      </ns0:c>
      <ns0:c r="AD939" s="7">
        <ns0:f>IF(W939&gt;=0,A939,1001)</ns0:f>
        <ns0:v>935</ns0:v>
      </ns0:c>
      <ns0:c r="AE939" s="7">
        <ns0:f>IF(W939&lt;0,A939,0)</ns0:f>
        <ns0:v>0</ns0:v>
      </ns0:c>
      <ns0:c r="AF939" s="16">
        <ns0:f>IF(AND(OR('前提と出典'!$C$36+'前提と出典'!$C$38=0,U939&gt;=0),OR('前提と出典'!$C$37+'前提と出典'!$C$38=0,V939&gt;=0)),0,A939)</ns0:f>
        <ns0:v>0</ns0:v>
      </ns0:c>
      <ns0:c r="AG939" s="7">
        <ns0:f>IF(Z939&gt;=0,A939,1001)</ns0:f>
        <ns0:v>935</ns0:v>
      </ns0:c>
      <ns0:c r="AH939" s="4">
        <ns0:f>IF(Z939&lt;0,A939,0)</ns0:f>
        <ns0:v>0</ns0:v>
      </ns0:c>
      <ns0:c r="AI939" s="12">
        <ns0:f>IF(AND(OR('前提と出典'!$C$36+'前提と出典'!$C$38=0,X939&gt;=0),OR('前提と出典'!$C$37+'前提と出典'!$C$38=0,Y939&gt;=0)),0,A939)</ns0:f>
        <ns0:v>0</ns0:v>
      </ns0:c>
    </ns0:row>
    <ns0:row r="940" ht="24" customHeight="1">
      <ns0:c r="A940" s="4" t="n">
        <ns0:v>936</ns0:v>
      </ns0:c>
      <ns0:c r="B940" s="12">
        <ns0:f>A940*('前提と出典'!$C$36+'前提と出典'!$C$38)</ns0:f>
        <ns0:v>655.1999999999999</ns0:v>
      </ns0:c>
      <ns0:c r="C940" s="12">
        <ns0:f>A940*('前提と出典'!$C$37+'前提と出典'!$C$38)</ns0:f>
        <ns0:v>561.6</ns0:v>
      </ns0:c>
      <ns0:c r="D940" s="16">
        <ns0:f>A940*('前提と出典'!$C$36*'契約別単価'!C5+'前提と出典'!$C$37*'契約別単価'!C6+'前提と出典'!$C$38*'契約別単価'!C7)</ns0:f>
        <ns0:v>6735.016759776537</ns0:v>
      </ns0:c>
      <ns0:c r="E940" s="16">
        <ns0:f>A940*('前提と出典'!$C$36*'契約別単価'!E5+'前提と出典'!$C$37*'契約別単価'!E6+'前提と出典'!$C$38*'契約別単価'!E7)</ns0:f>
        <ns0:v>2352985.056153495</ns0:v>
      </ns0:c>
      <ns0:c r="F940" s="16">
        <ns0:f>A940*('前提と出典'!$C$36*'契約別単価'!F5+'前提と出典'!$C$37*'契約別単価'!F6+'前提と出典'!$C$38*'契約別単価'!F7)</ns0:f>
        <ns0:v>683717.3115509489</ns0:v>
      </ns0:c>
      <ns0:c r="G940" s="16">
        <ns0:f>A940*('前提と出典'!$C$36*'契約別単価'!G5+'前提と出典'!$C$37*'契約別単価'!G6+'前提と出典'!$C$38*'契約別単価'!G7)</ns0:f>
        <ns0:v>1863110.6145251396</ns0:v>
      </ns0:c>
      <ns0:c r="H940" s="16">
        <ns0:f>A940*('前提と出典'!$C$36*'契約別単価'!H5+'前提と出典'!$C$37*'契約別単価'!H6+'前提と出典'!$C$38*'契約別単価'!H7)</ns0:f>
        <ns0:v>646592.8255804159</ns0:v>
      </ns0:c>
      <ns0:c r="I940" s="16">
        <ns0:f>A940*('前提と出典'!$C$36*'契約別単価'!I5+'前提と出典'!$C$37*'契約別単価'!I6+'前提と出典'!$C$38*'契約別単価'!I7)</ns0:f>
        <ns0:v>39495.01675977653</ns0:v>
      </ns0:c>
      <ns0:c r="J940" s="16">
        <ns0:f>A940*('前提と出典'!$C$36*'契約別単価'!J5+'前提と出典'!$C$37*'契約別単価'!J6+'前提と出典'!$C$38*'契約別単価'!J7)</ns0:f>
        <ns0:v>91999.0129128432</ns0:v>
      </ns0:c>
      <ns0:c r="K940" s="16">
        <ns0:f>A940*('前提と出典'!$C$36*'契約別単価'!K5+'前提と出典'!$C$37*'契約別単価'!K6+'前提と出典'!$C$38*'契約別単価'!K7)</ns0:f>
        <ns0:v>394340.11173184356</ns0:v>
      </ns0:c>
      <ns0:c r="L940" s="16">
        <ns0:f>A940*('前提と出典'!$C$36*'契約別単価'!L5+'前提と出典'!$C$37*'契約別単価'!L6+'前提と出典'!$C$38*'契約別単価'!L7)</ns0:f>
        <ns0:v>321073.09418601386</ns0:v>
      </ns0:c>
      <ns0:c r="M940" s="16">
        <ns0:f>IF(('前提と出典'!$C$36+'前提と出典'!$C$38)=0,0,IF(B940&lt;=10,'前提と出典'!B73+'前提と出典'!C73,IF(B940&lt;=100,'前提と出典'!B74+'前提と出典'!C74,IF(B940&lt;=500,'前提と出典'!B75+'前提と出典'!C75,'前提と出典'!B76+'前提と出典'!C76))))</ns0:f>
        <ns0:v>80000</ns0:v>
      </ns0:c>
      <ns0:c r="N940" s="16">
        <ns0:f>IF(('前提と出典'!$C$37+'前提と出典'!$C$38)=0,0,IF(C940&lt;=10,'前提と出典'!D73+'前提と出典'!E73,IF(C940&lt;=100,'前提と出典'!D74+'前提と出典'!E74,IF(C940&lt;=500,'前提と出典'!D75+'前提と出典'!E75,'前提と出典'!D76+'前提と出典'!E76))))</ns0:f>
        <ns0:v>86510.9346263078</ns0:v>
      </ns0:c>
      <ns0:c r="O940" s="16">
        <ns0:f>IF('前提と出典'!$C$36+'前提と出典'!$C$38=0,0,'前提と出典'!$B$4*IF('前提と出典'!$B$20=0,MAX('前提と出典'!$B$6,D940*'前提と出典'!$B$5),'前提と出典'!$B$6+D940*'前提と出典'!$B$5))</ns0:f>
        <ns0:v>929432.3128491621</ns0:v>
      </ns0:c>
      <ns0:c r="P940" s="16">
        <ns0:f>(E940+G940)*(1-'前提と出典'!$B$7)-I940-K940-M940-O940</ns0:f>
        <ns0:v>2621048.785193421</ns0:v>
      </ns0:c>
      <ns0:c r="Q940" s="16">
        <ns0:f>(F940+H940)*(1-'前提と出典'!$B$7)-J940-L940-N940</ns0:f>
        <ns0:v>782835.9304694709</ns0:v>
      </ns0:c>
      <ns0:c r="R940" s="16">
        <ns0:f>P940-E940*'前提と出典'!$E$4</ns0:f>
        <ns0:v>1915153.2683473723</ns0:v>
      </ns0:c>
      <ns0:c r="S940" s="16">
        <ns0:f>Q940-F940*'前提と出典'!$E$4</ns0:f>
        <ns0:v>577720.737004186</ns0:v>
      </ns0:c>
      <ns0:c r="T940" s="7">
        <ns0:f>R940+S940</ns0:f>
        <ns0:v>2492874.0053515583</ns0:v>
      </ns0:c>
      <ns0:c r="U940" s="16">
        <ns0:f>P940-E940*'前提と出典'!$E$5</ns0:f>
        <ns0:v>1679854.762732023</ns0:v>
      </ns0:c>
      <ns0:c r="V940" s="16">
        <ns0:f>Q940-F940*'前提と出典'!$E$5</ns0:f>
        <ns0:v>509349.00584909134</ns0:v>
      </ns0:c>
      <ns0:c r="W940" s="7">
        <ns0:f>U940+V940</ns0:f>
        <ns0:v>2189203.7685811142</ns0:v>
      </ns0:c>
      <ns0:c r="X940" s="16">
        <ns0:f>P940-E940*'前提と出典'!$E$6</ns0:f>
        <ns0:v>1444556.2571166735</ns0:v>
      </ns0:c>
      <ns0:c r="Y940" s="16">
        <ns0:f>Q940-F940*'前提と出典'!$E$6</ns0:f>
        <ns0:v>440977.2746939964</ns0:v>
      </ns0:c>
      <ns0:c r="Z940" s="7">
        <ns0:f>X940+Y940</ns0:f>
        <ns0:v>1885533.53181067</ns0:v>
      </ns0:c>
      <ns0:c r="AA940" s="7">
        <ns0:f>IF(T940&gt;=0,A940,1001)</ns0:f>
        <ns0:v>936</ns0:v>
      </ns0:c>
      <ns0:c r="AB940" s="7">
        <ns0:f>IF(T940&lt;0,A940,0)</ns0:f>
        <ns0:v>0</ns0:v>
      </ns0:c>
      <ns0:c r="AC940" s="16">
        <ns0:f>IF(AND(OR('前提と出典'!$C$36+'前提と出典'!$C$38=0,R940&gt;=0),OR('前提と出典'!$C$37+'前提と出典'!$C$38=0,S940&gt;=0)),0,A940)</ns0:f>
        <ns0:v>0</ns0:v>
      </ns0:c>
      <ns0:c r="AD940" s="7">
        <ns0:f>IF(W940&gt;=0,A940,1001)</ns0:f>
        <ns0:v>936</ns0:v>
      </ns0:c>
      <ns0:c r="AE940" s="7">
        <ns0:f>IF(W940&lt;0,A940,0)</ns0:f>
        <ns0:v>0</ns0:v>
      </ns0:c>
      <ns0:c r="AF940" s="16">
        <ns0:f>IF(AND(OR('前提と出典'!$C$36+'前提と出典'!$C$38=0,U940&gt;=0),OR('前提と出典'!$C$37+'前提と出典'!$C$38=0,V940&gt;=0)),0,A940)</ns0:f>
        <ns0:v>0</ns0:v>
      </ns0:c>
      <ns0:c r="AG940" s="7">
        <ns0:f>IF(Z940&gt;=0,A940,1001)</ns0:f>
        <ns0:v>936</ns0:v>
      </ns0:c>
      <ns0:c r="AH940" s="4">
        <ns0:f>IF(Z940&lt;0,A940,0)</ns0:f>
        <ns0:v>0</ns0:v>
      </ns0:c>
      <ns0:c r="AI940" s="12">
        <ns0:f>IF(AND(OR('前提と出典'!$C$36+'前提と出典'!$C$38=0,X940&gt;=0),OR('前提と出典'!$C$37+'前提と出典'!$C$38=0,Y940&gt;=0)),0,A940)</ns0:f>
        <ns0:v>0</ns0:v>
      </ns0:c>
    </ns0:row>
    <ns0:row r="941" ht="24" customHeight="1">
      <ns0:c r="A941" s="4" t="n">
        <ns0:v>937</ns0:v>
      </ns0:c>
      <ns0:c r="B941" s="12">
        <ns0:f>A941*('前提と出典'!$C$36+'前提と出典'!$C$38)</ns0:f>
        <ns0:v>655.9</ns0:v>
      </ns0:c>
      <ns0:c r="C941" s="12">
        <ns0:f>A941*('前提と出典'!$C$37+'前提と出典'!$C$38)</ns0:f>
        <ns0:v>562.1999999999999</ns0:v>
      </ns0:c>
      <ns0:c r="D941" s="16">
        <ns0:f>A941*('前提と出典'!$C$36*'契約別単価'!C5+'前提と出典'!$C$37*'契約別単価'!C6+'前提と出典'!$C$38*'契約別単価'!C7)</ns0:f>
        <ns0:v>6742.212290502794</ns0:v>
      </ns0:c>
      <ns0:c r="E941" s="16">
        <ns0:f>A941*('前提と出典'!$C$36*'契約別単価'!E5+'前提と出典'!$C$37*'契約別単価'!E6+'前提と出典'!$C$38*'契約別単価'!E7)</ns0:f>
        <ns0:v>2355498.929076736</ns0:v>
      </ns0:c>
      <ns0:c r="F941" s="16">
        <ns0:f>A941*('前提と出典'!$C$36*'契約別単価'!F5+'前提と出典'!$C$37*'契約別単価'!F6+'前提と出典'!$C$38*'契約別単価'!F7)</ns0:f>
        <ns0:v>684447.7787641443</ns0:v>
      </ns0:c>
      <ns0:c r="G941" s="16">
        <ns0:f>A941*('前提と出典'!$C$36*'契約別単価'!G5+'前提と出典'!$C$37*'契約別単価'!G6+'前提と出典'!$C$38*'契約別単価'!G7)</ns0:f>
        <ns0:v>1865101.1173184356</ns0:v>
      </ns0:c>
      <ns0:c r="H941" s="16">
        <ns0:f>A941*('前提と出典'!$C$36*'契約別単価'!H5+'前提と出典'!$C$37*'契約別単価'!H6+'前提と出典'!$C$38*'契約別単価'!H7)</ns0:f>
        <ns0:v>647283.6298812497</ns0:v>
      </ns0:c>
      <ns0:c r="I941" s="16">
        <ns0:f>A941*('前提と出典'!$C$36*'契約別単価'!I5+'前提と出典'!$C$37*'契約別単価'!I6+'前提と出典'!$C$38*'契約別単価'!I7)</ns0:f>
        <ns0:v>39537.212290502786</ns0:v>
      </ns0:c>
      <ns0:c r="J941" s="16">
        <ns0:f>A941*('前提と出典'!$C$36*'契約別単価'!J5+'前提と出典'!$C$37*'契約別単価'!J6+'前提と出典'!$C$38*'契約別単価'!J7)</ns0:f>
        <ns0:v>92097.3024565535</ns0:v>
      </ns0:c>
      <ns0:c r="K941" s="16">
        <ns0:f>A941*('前提と出典'!$C$36*'契約別単価'!K5+'前提と出典'!$C$37*'契約別単価'!K6+'前提と出典'!$C$38*'契約別単価'!K7)</ns0:f>
        <ns0:v>394761.4152700186</ns0:v>
      </ns0:c>
      <ns0:c r="L941" s="16">
        <ns0:f>A941*('前提と出典'!$C$36*'契約別単価'!L5+'前提と出典'!$C$37*'契約別単価'!L6+'前提と出典'!$C$38*'契約別単価'!L7)</ns0:f>
        <ns0:v>321416.12099604163</ns0:v>
      </ns0:c>
      <ns0:c r="M941" s="16">
        <ns0:f>IF(('前提と出典'!$C$36+'前提と出典'!$C$38)=0,0,IF(B941&lt;=10,'前提と出典'!B73+'前提と出典'!C73,IF(B941&lt;=100,'前提と出典'!B74+'前提と出典'!C74,IF(B941&lt;=500,'前提と出典'!B75+'前提と出典'!C75,'前提と出典'!B76+'前提と出典'!C76))))</ns0:f>
        <ns0:v>80000</ns0:v>
      </ns0:c>
      <ns0:c r="N941" s="16">
        <ns0:f>IF(('前提と出典'!$C$37+'前提と出典'!$C$38)=0,0,IF(C941&lt;=10,'前提と出典'!D73+'前提と出典'!E73,IF(C941&lt;=100,'前提と出典'!D74+'前提と出典'!E74,IF(C941&lt;=500,'前提と出典'!D75+'前提と出典'!E75,'前提と出典'!D76+'前提と出典'!E76))))</ns0:f>
        <ns0:v>86510.9346263078</ns0:v>
      </ns0:c>
      <ns0:c r="O941" s="16">
        <ns0:f>IF('前提と出典'!$C$36+'前提と出典'!$C$38=0,0,'前提と出典'!$B$4*IF('前提と出典'!$B$20=0,MAX('前提と出典'!$B$6,D941*'前提と出典'!$B$5),'前提と出典'!$B$6+D941*'前提と出典'!$B$5))</ns0:f>
        <ns0:v>930425.2960893855</ns0:v>
      </ns0:c>
      <ns0:c r="P941" s="16">
        <ns0:f>(E941+G941)*(1-'前提と出典'!$B$7)-I941-K941-M941-O941</ns0:f>
        <ns0:v>2623934.5210750387</ns0:v>
      </ns0:c>
      <ns0:c r="Q941" s="16">
        <ns0:f>(F941+H941)*(1-'前提と出典'!$B$7)-J941-L941-N941</ns0:f>
        <ns0:v>783764.7198552568</ns0:v>
      </ns0:c>
      <ns0:c r="R941" s="16">
        <ns0:f>P941-E941*'前提と出典'!$E$4</ns0:f>
        <ns0:v>1917284.8423520178</ns0:v>
      </ns0:c>
      <ns0:c r="S941" s="16">
        <ns0:f>Q941-F941*'前提と出典'!$E$4</ns0:f>
        <ns0:v>578430.3862260135</ns0:v>
      </ns0:c>
      <ns0:c r="T941" s="7">
        <ns0:f>R941+S941</ns0:f>
        <ns0:v>2495715.228578031</ns0:v>
      </ns0:c>
      <ns0:c r="U941" s="16">
        <ns0:f>P941-E941*'前提と出典'!$E$5</ns0:f>
        <ns0:v>1681734.9494443443</ns0:v>
      </ns0:c>
      <ns0:c r="V941" s="16">
        <ns0:f>Q941-F941*'前提と出典'!$E$5</ns0:f>
        <ns0:v>509985.6083495992</ns0:v>
      </ns0:c>
      <ns0:c r="W941" s="7">
        <ns0:f>U941+V941</ns0:f>
        <ns0:v>2191720.557793943</ns0:v>
      </ns0:c>
      <ns0:c r="X941" s="16">
        <ns0:f>P941-E941*'前提と出典'!$E$6</ns0:f>
        <ns0:v>1446185.0565366708</ns0:v>
      </ns0:c>
      <ns0:c r="Y941" s="16">
        <ns0:f>Q941-F941*'前提と出典'!$E$6</ns0:f>
        <ns0:v>441540.8304731848</ns0:v>
      </ns0:c>
      <ns0:c r="Z941" s="7">
        <ns0:f>X941+Y941</ns0:f>
        <ns0:v>1887725.8870098556</ns0:v>
      </ns0:c>
      <ns0:c r="AA941" s="7">
        <ns0:f>IF(T941&gt;=0,A941,1001)</ns0:f>
        <ns0:v>937</ns0:v>
      </ns0:c>
      <ns0:c r="AB941" s="7">
        <ns0:f>IF(T941&lt;0,A941,0)</ns0:f>
        <ns0:v>0</ns0:v>
      </ns0:c>
      <ns0:c r="AC941" s="16">
        <ns0:f>IF(AND(OR('前提と出典'!$C$36+'前提と出典'!$C$38=0,R941&gt;=0),OR('前提と出典'!$C$37+'前提と出典'!$C$38=0,S941&gt;=0)),0,A941)</ns0:f>
        <ns0:v>0</ns0:v>
      </ns0:c>
      <ns0:c r="AD941" s="7">
        <ns0:f>IF(W941&gt;=0,A941,1001)</ns0:f>
        <ns0:v>937</ns0:v>
      </ns0:c>
      <ns0:c r="AE941" s="7">
        <ns0:f>IF(W941&lt;0,A941,0)</ns0:f>
        <ns0:v>0</ns0:v>
      </ns0:c>
      <ns0:c r="AF941" s="16">
        <ns0:f>IF(AND(OR('前提と出典'!$C$36+'前提と出典'!$C$38=0,U941&gt;=0),OR('前提と出典'!$C$37+'前提と出典'!$C$38=0,V941&gt;=0)),0,A941)</ns0:f>
        <ns0:v>0</ns0:v>
      </ns0:c>
      <ns0:c r="AG941" s="7">
        <ns0:f>IF(Z941&gt;=0,A941,1001)</ns0:f>
        <ns0:v>937</ns0:v>
      </ns0:c>
      <ns0:c r="AH941" s="4">
        <ns0:f>IF(Z941&lt;0,A941,0)</ns0:f>
        <ns0:v>0</ns0:v>
      </ns0:c>
      <ns0:c r="AI941" s="12">
        <ns0:f>IF(AND(OR('前提と出典'!$C$36+'前提と出典'!$C$38=0,X941&gt;=0),OR('前提と出典'!$C$37+'前提と出典'!$C$38=0,Y941&gt;=0)),0,A941)</ns0:f>
        <ns0:v>0</ns0:v>
      </ns0:c>
    </ns0:row>
    <ns0:row r="942" ht="24" customHeight="1">
      <ns0:c r="A942" s="4" t="n">
        <ns0:v>938</ns0:v>
      </ns0:c>
      <ns0:c r="B942" s="12">
        <ns0:f>A942*('前提と出典'!$C$36+'前提と出典'!$C$38)</ns0:f>
        <ns0:v>656.5999999999999</ns0:v>
      </ns0:c>
      <ns0:c r="C942" s="12">
        <ns0:f>A942*('前提と出典'!$C$37+'前提と出典'!$C$38)</ns0:f>
        <ns0:v>562.8</ns0:v>
      </ns0:c>
      <ns0:c r="D942" s="16">
        <ns0:f>A942*('前提と出典'!$C$36*'契約別単価'!C5+'前提と出典'!$C$37*'契約別単価'!C6+'前提と出典'!$C$38*'契約別単価'!C7)</ns0:f>
        <ns0:v>6749.407821229051</ns0:v>
      </ns0:c>
      <ns0:c r="E942" s="16">
        <ns0:f>A942*('前提と出典'!$C$36*'契約別単価'!E5+'前提と出典'!$C$37*'契約別単価'!E6+'前提と出典'!$C$38*'契約別単価'!E7)</ns0:f>
        <ns0:v>2358012.8019999764</ns0:v>
      </ns0:c>
      <ns0:c r="F942" s="16">
        <ns0:f>A942*('前提と出典'!$C$36*'契約別単価'!F5+'前提と出典'!$C$37*'契約別単価'!F6+'前提と出典'!$C$38*'契約別単価'!F7)</ns0:f>
        <ns0:v>685178.2459773398</ns0:v>
      </ns0:c>
      <ns0:c r="G942" s="16">
        <ns0:f>A942*('前提と出典'!$C$36*'契約別単価'!G5+'前提と出典'!$C$37*'契約別単価'!G6+'前提と出典'!$C$38*'契約別単価'!G7)</ns0:f>
        <ns0:v>1867091.6201117318</ns0:v>
      </ns0:c>
      <ns0:c r="H942" s="16">
        <ns0:f>A942*('前提と出典'!$C$36*'契約別単価'!H5+'前提と出典'!$C$37*'契約別単価'!H6+'前提と出典'!$C$38*'契約別単価'!H7)</ns0:f>
        <ns0:v>647974.4341820835</ns0:v>
      </ns0:c>
      <ns0:c r="I942" s="16">
        <ns0:f>A942*('前提と出典'!$C$36*'契約別単価'!I5+'前提と出典'!$C$37*'契約別単価'!I6+'前提と出典'!$C$38*'契約別単価'!I7)</ns0:f>
        <ns0:v>39579.40782122904</ns0:v>
      </ns0:c>
      <ns0:c r="J942" s="16">
        <ns0:f>A942*('前提と出典'!$C$36*'契約別単価'!J5+'前提と出典'!$C$37*'契約別単価'!J6+'前提と出典'!$C$38*'契約別単価'!J7)</ns0:f>
        <ns0:v>92195.5920002638</ns0:v>
      </ns0:c>
      <ns0:c r="K942" s="16">
        <ns0:f>A942*('前提と出典'!$C$36*'契約別単価'!K5+'前提と出典'!$C$37*'契約別単価'!K6+'前提と出典'!$C$38*'契約別単価'!K7)</ns0:f>
        <ns0:v>395182.71880819363</ns0:v>
      </ns0:c>
      <ns0:c r="L942" s="16">
        <ns0:f>A942*('前提と出典'!$C$36*'契約別単価'!L5+'前提と出典'!$C$37*'契約別単価'!L6+'前提と出典'!$C$38*'契約別単価'!L7)</ns0:f>
        <ns0:v>321759.14780606946</ns0:v>
      </ns0:c>
      <ns0:c r="M942" s="16">
        <ns0:f>IF(('前提と出典'!$C$36+'前提と出典'!$C$38)=0,0,IF(B942&lt;=10,'前提と出典'!B73+'前提と出典'!C73,IF(B942&lt;=100,'前提と出典'!B74+'前提と出典'!C74,IF(B942&lt;=500,'前提と出典'!B75+'前提と出典'!C75,'前提と出典'!B76+'前提と出典'!C76))))</ns0:f>
        <ns0:v>80000</ns0:v>
      </ns0:c>
      <ns0:c r="N942" s="16">
        <ns0:f>IF(('前提と出典'!$C$37+'前提と出典'!$C$38)=0,0,IF(C942&lt;=10,'前提と出典'!D73+'前提と出典'!E73,IF(C942&lt;=100,'前提と出典'!D74+'前提と出典'!E74,IF(C942&lt;=500,'前提と出典'!D75+'前提と出典'!E75,'前提と出典'!D76+'前提と出典'!E76))))</ns0:f>
        <ns0:v>86510.9346263078</ns0:v>
      </ns0:c>
      <ns0:c r="O942" s="16">
        <ns0:f>IF('前提と出典'!$C$36+'前提と出典'!$C$38=0,0,'前提と出典'!$B$4*IF('前提と出典'!$B$20=0,MAX('前提と出典'!$B$6,D942*'前提と出典'!$B$5),'前提と出典'!$B$6+D942*'前提と出典'!$B$5))</ns0:f>
        <ns0:v>931418.279329609</ns0:v>
      </ns0:c>
      <ns0:c r="P942" s="16">
        <ns0:f>(E942+G942)*(1-'前提と出典'!$B$7)-I942-K942-M942-O942</ns0:f>
        <ns0:v>2626820.2569566555</ns0:v>
      </ns0:c>
      <ns0:c r="Q942" s="16">
        <ns0:f>(F942+H942)*(1-'前提と出典'!$B$7)-J942-L942-N942</ns0:f>
        <ns0:v>784693.5092410431</ns0:v>
      </ns0:c>
      <ns0:c r="R942" s="16">
        <ns0:f>P942-E942*'前提と出典'!$E$4</ns0:f>
        <ns0:v>1919416.4163566623</ns0:v>
      </ns0:c>
      <ns0:c r="S942" s="16">
        <ns0:f>Q942-F942*'前提と出典'!$E$4</ns0:f>
        <ns0:v>579140.0354478412</ns0:v>
      </ns0:c>
      <ns0:c r="T942" s="7">
        <ns0:f>R942+S942</ns0:f>
        <ns0:v>2498556.4518045033</ns0:v>
      </ns0:c>
      <ns0:c r="U942" s="16">
        <ns0:f>P942-E942*'前提と出典'!$E$5</ns0:f>
        <ns0:v>1683615.1361566647</ns0:v>
      </ns0:c>
      <ns0:c r="V942" s="16">
        <ns0:f>Q942-F942*'前提と出典'!$E$5</ns0:f>
        <ns0:v>510622.21085010713</ns0:v>
      </ns0:c>
      <ns0:c r="W942" s="7">
        <ns0:f>U942+V942</ns0:f>
        <ns0:v>2194237.3470067717</ns0:v>
      </ns0:c>
      <ns0:c r="X942" s="16">
        <ns0:f>P942-E942*'前提と出典'!$E$6</ns0:f>
        <ns0:v>1447813.8559566666</ns0:v>
      </ns0:c>
      <ns0:c r="Y942" s="16">
        <ns0:f>Q942-F942*'前提と出典'!$E$6</ns0:f>
        <ns0:v>442104.3862523731</ns0:v>
      </ns0:c>
      <ns0:c r="Z942" s="7">
        <ns0:f>X942+Y942</ns0:f>
        <ns0:v>1889918.2422090396</ns0:v>
      </ns0:c>
      <ns0:c r="AA942" s="7">
        <ns0:f>IF(T942&gt;=0,A942,1001)</ns0:f>
        <ns0:v>938</ns0:v>
      </ns0:c>
      <ns0:c r="AB942" s="7">
        <ns0:f>IF(T942&lt;0,A942,0)</ns0:f>
        <ns0:v>0</ns0:v>
      </ns0:c>
      <ns0:c r="AC942" s="16">
        <ns0:f>IF(AND(OR('前提と出典'!$C$36+'前提と出典'!$C$38=0,R942&gt;=0),OR('前提と出典'!$C$37+'前提と出典'!$C$38=0,S942&gt;=0)),0,A942)</ns0:f>
        <ns0:v>0</ns0:v>
      </ns0:c>
      <ns0:c r="AD942" s="7">
        <ns0:f>IF(W942&gt;=0,A942,1001)</ns0:f>
        <ns0:v>938</ns0:v>
      </ns0:c>
      <ns0:c r="AE942" s="7">
        <ns0:f>IF(W942&lt;0,A942,0)</ns0:f>
        <ns0:v>0</ns0:v>
      </ns0:c>
      <ns0:c r="AF942" s="16">
        <ns0:f>IF(AND(OR('前提と出典'!$C$36+'前提と出典'!$C$38=0,U942&gt;=0),OR('前提と出典'!$C$37+'前提と出典'!$C$38=0,V942&gt;=0)),0,A942)</ns0:f>
        <ns0:v>0</ns0:v>
      </ns0:c>
      <ns0:c r="AG942" s="7">
        <ns0:f>IF(Z942&gt;=0,A942,1001)</ns0:f>
        <ns0:v>938</ns0:v>
      </ns0:c>
      <ns0:c r="AH942" s="4">
        <ns0:f>IF(Z942&lt;0,A942,0)</ns0:f>
        <ns0:v>0</ns0:v>
      </ns0:c>
      <ns0:c r="AI942" s="12">
        <ns0:f>IF(AND(OR('前提と出典'!$C$36+'前提と出典'!$C$38=0,X942&gt;=0),OR('前提と出典'!$C$37+'前提と出典'!$C$38=0,Y942&gt;=0)),0,A942)</ns0:f>
        <ns0:v>0</ns0:v>
      </ns0:c>
    </ns0:row>
    <ns0:row r="943" ht="24" customHeight="1">
      <ns0:c r="A943" s="4" t="n">
        <ns0:v>939</ns0:v>
      </ns0:c>
      <ns0:c r="B943" s="12">
        <ns0:f>A943*('前提と出典'!$C$36+'前提と出典'!$C$38)</ns0:f>
        <ns0:v>657.3</ns0:v>
      </ns0:c>
      <ns0:c r="C943" s="12">
        <ns0:f>A943*('前提と出典'!$C$37+'前提と出典'!$C$38)</ns0:f>
        <ns0:v>563.4</ns0:v>
      </ns0:c>
      <ns0:c r="D943" s="16">
        <ns0:f>A943*('前提と出典'!$C$36*'契約別単価'!C5+'前提と出典'!$C$37*'契約別単価'!C6+'前提と出典'!$C$38*'契約別単価'!C7)</ns0:f>
        <ns0:v>6756.6033519553075</ns0:v>
      </ns0:c>
      <ns0:c r="E943" s="16">
        <ns0:f>A943*('前提と出典'!$C$36*'契約別単価'!E5+'前提と出典'!$C$37*'契約別単価'!E6+'前提と出典'!$C$38*'契約別単価'!E7)</ns0:f>
        <ns0:v>2360526.6749232174</ns0:v>
      </ns0:c>
      <ns0:c r="F943" s="16">
        <ns0:f>A943*('前提と出典'!$C$36*'契約別単価'!F5+'前提と出典'!$C$37*'契約別単価'!F6+'前提と出典'!$C$38*'契約別単価'!F7)</ns0:f>
        <ns0:v>685908.7131905352</ns0:v>
      </ns0:c>
      <ns0:c r="G943" s="16">
        <ns0:f>A943*('前提と出典'!$C$36*'契約別単価'!G5+'前提と出典'!$C$37*'契約別単価'!G6+'前提と出典'!$C$38*'契約別単価'!G7)</ns0:f>
        <ns0:v>1869082.1229050278</ns0:v>
      </ns0:c>
      <ns0:c r="H943" s="16">
        <ns0:f>A943*('前提と出典'!$C$36*'契約別単価'!H5+'前提と出典'!$C$37*'契約別単価'!H6+'前提と出典'!$C$38*'契約別単価'!H7)</ns0:f>
        <ns0:v>648665.2384829172</ns0:v>
      </ns0:c>
      <ns0:c r="I943" s="16">
        <ns0:f>A943*('前提と出典'!$C$36*'契約別単価'!I5+'前提と出典'!$C$37*'契約別単価'!I6+'前提と出典'!$C$38*'契約別単価'!I7)</ns0:f>
        <ns0:v>39621.6033519553</ns0:v>
      </ns0:c>
      <ns0:c r="J943" s="16">
        <ns0:f>A943*('前提と出典'!$C$36*'契約別単価'!J5+'前提と出典'!$C$37*'契約別単価'!J6+'前提と出典'!$C$38*'契約別単価'!J7)</ns0:f>
        <ns0:v>92293.88154397412</ns0:v>
      </ns0:c>
      <ns0:c r="K943" s="16">
        <ns0:f>A943*('前提と出典'!$C$36*'契約別単価'!K5+'前提と出典'!$C$37*'契約別単価'!K6+'前提と出典'!$C$38*'契約別単価'!K7)</ns0:f>
        <ns0:v>395604.0223463687</ns0:v>
      </ns0:c>
      <ns0:c r="L943" s="16">
        <ns0:f>A943*('前提と出典'!$C$36*'契約別単価'!L5+'前提と出典'!$C$37*'契約別単価'!L6+'前提と出典'!$C$38*'契約別単価'!L7)</ns0:f>
        <ns0:v>322102.17461609724</ns0:v>
      </ns0:c>
      <ns0:c r="M943" s="16">
        <ns0:f>IF(('前提と出典'!$C$36+'前提と出典'!$C$38)=0,0,IF(B943&lt;=10,'前提と出典'!B73+'前提と出典'!C73,IF(B943&lt;=100,'前提と出典'!B74+'前提と出典'!C74,IF(B943&lt;=500,'前提と出典'!B75+'前提と出典'!C75,'前提と出典'!B76+'前提と出典'!C76))))</ns0:f>
        <ns0:v>80000</ns0:v>
      </ns0:c>
      <ns0:c r="N943" s="16">
        <ns0:f>IF(('前提と出典'!$C$37+'前提と出典'!$C$38)=0,0,IF(C943&lt;=10,'前提と出典'!D73+'前提と出典'!E73,IF(C943&lt;=100,'前提と出典'!D74+'前提と出典'!E74,IF(C943&lt;=500,'前提と出典'!D75+'前提と出典'!E75,'前提と出典'!D76+'前提と出典'!E76))))</ns0:f>
        <ns0:v>86510.9346263078</ns0:v>
      </ns0:c>
      <ns0:c r="O943" s="16">
        <ns0:f>IF('前提と出典'!$C$36+'前提と出典'!$C$38=0,0,'前提と出典'!$B$4*IF('前提と出典'!$B$20=0,MAX('前提と出典'!$B$6,D943*'前提と出典'!$B$5),'前提と出典'!$B$6+D943*'前提と出典'!$B$5))</ns0:f>
        <ns0:v>932411.2625698325</ns0:v>
      </ns0:c>
      <ns0:c r="P943" s="16">
        <ns0:f>(E943+G943)*(1-'前提と出典'!$B$7)-I943-K943-M943-O943</ns0:f>
        <ns0:v>2629705.992838272</ns0:v>
      </ns0:c>
      <ns0:c r="Q943" s="16">
        <ns0:f>(F943+H943)*(1-'前提と出典'!$B$7)-J943-L943-N943</ns0:f>
        <ns0:v>785622.2986268288</ns0:v>
      </ns0:c>
      <ns0:c r="R943" s="16">
        <ns0:f>P943-E943*'前提と出典'!$E$4</ns0:f>
        <ns0:v>1921547.9903613068</ns0:v>
      </ns0:c>
      <ns0:c r="S943" s="16">
        <ns0:f>Q943-F943*'前提と出典'!$E$4</ns0:f>
        <ns0:v>579849.6846696681</ns0:v>
      </ns0:c>
      <ns0:c r="T943" s="7">
        <ns0:f>R943+S943</ns0:f>
        <ns0:v>2501397.6750309747</ns0:v>
      </ns0:c>
      <ns0:c r="U943" s="16">
        <ns0:f>P943-E943*'前提と出典'!$E$5</ns0:f>
        <ns0:v>1685495.3228689851</ns0:v>
      </ns0:c>
      <ns0:c r="V943" s="16">
        <ns0:f>Q943-F943*'前提と出典'!$E$5</ns0:f>
        <ns0:v>511258.81335061474</ns0:v>
      </ns0:c>
      <ns0:c r="W943" s="7">
        <ns0:f>U943+V943</ns0:f>
        <ns0:v>2196754.1362195997</ns0:v>
      </ns0:c>
      <ns0:c r="X943" s="16">
        <ns0:f>P943-E943*'前提と出典'!$E$6</ns0:f>
        <ns0:v>1449442.6553766634</ns0:v>
      </ns0:c>
      <ns0:c r="Y943" s="16">
        <ns0:f>Q943-F943*'前提と出典'!$E$6</ns0:f>
        <ns0:v>442667.9420315613</ns0:v>
      </ns0:c>
      <ns0:c r="Z943" s="7">
        <ns0:f>X943+Y943</ns0:f>
        <ns0:v>1892110.5974082248</ns0:v>
      </ns0:c>
      <ns0:c r="AA943" s="7">
        <ns0:f>IF(T943&gt;=0,A943,1001)</ns0:f>
        <ns0:v>939</ns0:v>
      </ns0:c>
      <ns0:c r="AB943" s="7">
        <ns0:f>IF(T943&lt;0,A943,0)</ns0:f>
        <ns0:v>0</ns0:v>
      </ns0:c>
      <ns0:c r="AC943" s="16">
        <ns0:f>IF(AND(OR('前提と出典'!$C$36+'前提と出典'!$C$38=0,R943&gt;=0),OR('前提と出典'!$C$37+'前提と出典'!$C$38=0,S943&gt;=0)),0,A943)</ns0:f>
        <ns0:v>0</ns0:v>
      </ns0:c>
      <ns0:c r="AD943" s="7">
        <ns0:f>IF(W943&gt;=0,A943,1001)</ns0:f>
        <ns0:v>939</ns0:v>
      </ns0:c>
      <ns0:c r="AE943" s="7">
        <ns0:f>IF(W943&lt;0,A943,0)</ns0:f>
        <ns0:v>0</ns0:v>
      </ns0:c>
      <ns0:c r="AF943" s="16">
        <ns0:f>IF(AND(OR('前提と出典'!$C$36+'前提と出典'!$C$38=0,U943&gt;=0),OR('前提と出典'!$C$37+'前提と出典'!$C$38=0,V943&gt;=0)),0,A943)</ns0:f>
        <ns0:v>0</ns0:v>
      </ns0:c>
      <ns0:c r="AG943" s="7">
        <ns0:f>IF(Z943&gt;=0,A943,1001)</ns0:f>
        <ns0:v>939</ns0:v>
      </ns0:c>
      <ns0:c r="AH943" s="4">
        <ns0:f>IF(Z943&lt;0,A943,0)</ns0:f>
        <ns0:v>0</ns0:v>
      </ns0:c>
      <ns0:c r="AI943" s="12">
        <ns0:f>IF(AND(OR('前提と出典'!$C$36+'前提と出典'!$C$38=0,X943&gt;=0),OR('前提と出典'!$C$37+'前提と出典'!$C$38=0,Y943&gt;=0)),0,A943)</ns0:f>
        <ns0:v>0</ns0:v>
      </ns0:c>
    </ns0:row>
    <ns0:row r="944" ht="24" customHeight="1">
      <ns0:c r="A944" s="4" t="n">
        <ns0:v>940</ns0:v>
      </ns0:c>
      <ns0:c r="B944" s="12">
        <ns0:f>A944*('前提と出典'!$C$36+'前提と出典'!$C$38)</ns0:f>
        <ns0:v>658</ns0:v>
      </ns0:c>
      <ns0:c r="C944" s="12">
        <ns0:f>A944*('前提と出典'!$C$37+'前提と出典'!$C$38)</ns0:f>
        <ns0:v>564</ns0:v>
      </ns0:c>
      <ns0:c r="D944" s="16">
        <ns0:f>A944*('前提と出典'!$C$36*'契約別単価'!C5+'前提と出典'!$C$37*'契約別単価'!C6+'前提と出典'!$C$38*'契約別単価'!C7)</ns0:f>
        <ns0:v>6763.7988826815645</ns0:v>
      </ns0:c>
      <ns0:c r="E944" s="16">
        <ns0:f>A944*('前提と出典'!$C$36*'契約別単価'!E5+'前提と出典'!$C$37*'契約別単価'!E6+'前提と出典'!$C$38*'契約別単価'!E7)</ns0:f>
        <ns0:v>2363040.5478464584</ns0:v>
      </ns0:c>
      <ns0:c r="F944" s="16">
        <ns0:f>A944*('前提と出典'!$C$36*'契約別単価'!F5+'前提と出典'!$C$37*'契約別単価'!F6+'前提と出典'!$C$38*'契約別単価'!F7)</ns0:f>
        <ns0:v>686639.1804037307</ns0:v>
      </ns0:c>
      <ns0:c r="G944" s="16">
        <ns0:f>A944*('前提と出典'!$C$36*'契約別単価'!G5+'前提と出典'!$C$37*'契約別単価'!G6+'前提と出典'!$C$38*'契約別単価'!G7)</ns0:f>
        <ns0:v>1871072.6256983238</ns0:v>
      </ns0:c>
      <ns0:c r="H944" s="16">
        <ns0:f>A944*('前提と出典'!$C$36*'契約別単価'!H5+'前提と出典'!$C$37*'契約別単価'!H6+'前提と出典'!$C$38*'契約別単価'!H7)</ns0:f>
        <ns0:v>649356.042783751</ns0:v>
      </ns0:c>
      <ns0:c r="I944" s="16">
        <ns0:f>A944*('前提と出典'!$C$36*'契約別単価'!I5+'前提と出典'!$C$37*'契約別単価'!I6+'前提と出典'!$C$38*'契約別単価'!I7)</ns0:f>
        <ns0:v>39663.798882681556</ns0:v>
      </ns0:c>
      <ns0:c r="J944" s="16">
        <ns0:f>A944*('前提と出典'!$C$36*'契約別単価'!J5+'前提と出典'!$C$37*'契約別単価'!J6+'前提と出典'!$C$38*'契約別単価'!J7)</ns0:f>
        <ns0:v>92392.17108768442</ns0:v>
      </ns0:c>
      <ns0:c r="K944" s="16">
        <ns0:f>A944*('前提と出典'!$C$36*'契約別単価'!K5+'前提と出典'!$C$37*'契約別単価'!K6+'前提と出典'!$C$38*'契約別単価'!K7)</ns0:f>
        <ns0:v>396025.3258845437</ns0:v>
      </ns0:c>
      <ns0:c r="L944" s="16">
        <ns0:f>A944*('前提と出典'!$C$36*'契約別単価'!L5+'前提と出典'!$C$37*'契約別単価'!L6+'前提と出典'!$C$38*'契約別単価'!L7)</ns0:f>
        <ns0:v>322445.201426125</ns0:v>
      </ns0:c>
      <ns0:c r="M944" s="16">
        <ns0:f>IF(('前提と出典'!$C$36+'前提と出典'!$C$38)=0,0,IF(B944&lt;=10,'前提と出典'!B73+'前提と出典'!C73,IF(B944&lt;=100,'前提と出典'!B74+'前提と出典'!C74,IF(B944&lt;=500,'前提と出典'!B75+'前提と出典'!C75,'前提と出典'!B76+'前提と出典'!C76))))</ns0:f>
        <ns0:v>80000</ns0:v>
      </ns0:c>
      <ns0:c r="N944" s="16">
        <ns0:f>IF(('前提と出典'!$C$37+'前提と出典'!$C$38)=0,0,IF(C944&lt;=10,'前提と出典'!D73+'前提と出典'!E73,IF(C944&lt;=100,'前提と出典'!D74+'前提と出典'!E74,IF(C944&lt;=500,'前提と出典'!D75+'前提と出典'!E75,'前提と出典'!D76+'前提と出典'!E76))))</ns0:f>
        <ns0:v>86510.9346263078</ns0:v>
      </ns0:c>
      <ns0:c r="O944" s="16">
        <ns0:f>IF('前提と出典'!$C$36+'前提と出典'!$C$38=0,0,'前提と出典'!$B$4*IF('前提と出典'!$B$20=0,MAX('前提と出典'!$B$6,D944*'前提と出典'!$B$5),'前提と出典'!$B$6+D944*'前提と出典'!$B$5))</ns0:f>
        <ns0:v>933404.245810056</ns0:v>
      </ns0:c>
      <ns0:c r="P944" s="16">
        <ns0:f>(E944+G944)*(1-'前提と出典'!$B$7)-I944-K944-M944-O944</ns0:f>
        <ns0:v>2632591.728719889</ns0:v>
      </ns0:c>
      <ns0:c r="Q944" s="16">
        <ns0:f>(F944+H944)*(1-'前提と出典'!$B$7)-J944-L944-N944</ns0:f>
        <ns0:v>786551.0880126151</ns0:v>
      </ns0:c>
      <ns0:c r="R944" s="16">
        <ns0:f>P944-E944*'前提と出典'!$E$4</ns0:f>
        <ns0:v>1923679.5643659513</ns0:v>
      </ns0:c>
      <ns0:c r="S944" s="16">
        <ns0:f>Q944-F944*'前提と出典'!$E$4</ns0:f>
        <ns0:v>580559.3338914961</ns0:v>
      </ns0:c>
      <ns0:c r="T944" s="7">
        <ns0:f>R944+S944</ns0:f>
        <ns0:v>2504238.8982574474</ns0:v>
      </ns0:c>
      <ns0:c r="U944" s="16">
        <ns0:f>P944-E944*'前提と出典'!$E$5</ns0:f>
        <ns0:v>1687375.5095813056</ns0:v>
      </ns0:c>
      <ns0:c r="V944" s="16">
        <ns0:f>Q944-F944*'前提と出典'!$E$5</ns0:f>
        <ns0:v>511895.4158511228</ns0:v>
      </ns0:c>
      <ns0:c r="W944" s="7">
        <ns0:f>U944+V944</ns0:f>
        <ns0:v>2199270.9254324283</ns0:v>
      </ns0:c>
      <ns0:c r="X944" s="16">
        <ns0:f>P944-E944*'前提と出典'!$E$6</ns0:f>
        <ns0:v>1451071.4547966593</ns0:v>
      </ns0:c>
      <ns0:c r="Y944" s="16">
        <ns0:f>Q944-F944*'前提と出典'!$E$6</ns0:f>
        <ns0:v>443231.4978107497</ns0:v>
      </ns0:c>
      <ns0:c r="Z944" s="7">
        <ns0:f>X944+Y944</ns0:f>
        <ns0:v>1894302.952607409</ns0:v>
      </ns0:c>
      <ns0:c r="AA944" s="7">
        <ns0:f>IF(T944&gt;=0,A944,1001)</ns0:f>
        <ns0:v>940</ns0:v>
      </ns0:c>
      <ns0:c r="AB944" s="7">
        <ns0:f>IF(T944&lt;0,A944,0)</ns0:f>
        <ns0:v>0</ns0:v>
      </ns0:c>
      <ns0:c r="AC944" s="16">
        <ns0:f>IF(AND(OR('前提と出典'!$C$36+'前提と出典'!$C$38=0,R944&gt;=0),OR('前提と出典'!$C$37+'前提と出典'!$C$38=0,S944&gt;=0)),0,A944)</ns0:f>
        <ns0:v>0</ns0:v>
      </ns0:c>
      <ns0:c r="AD944" s="7">
        <ns0:f>IF(W944&gt;=0,A944,1001)</ns0:f>
        <ns0:v>940</ns0:v>
      </ns0:c>
      <ns0:c r="AE944" s="7">
        <ns0:f>IF(W944&lt;0,A944,0)</ns0:f>
        <ns0:v>0</ns0:v>
      </ns0:c>
      <ns0:c r="AF944" s="16">
        <ns0:f>IF(AND(OR('前提と出典'!$C$36+'前提と出典'!$C$38=0,U944&gt;=0),OR('前提と出典'!$C$37+'前提と出典'!$C$38=0,V944&gt;=0)),0,A944)</ns0:f>
        <ns0:v>0</ns0:v>
      </ns0:c>
      <ns0:c r="AG944" s="7">
        <ns0:f>IF(Z944&gt;=0,A944,1001)</ns0:f>
        <ns0:v>940</ns0:v>
      </ns0:c>
      <ns0:c r="AH944" s="4">
        <ns0:f>IF(Z944&lt;0,A944,0)</ns0:f>
        <ns0:v>0</ns0:v>
      </ns0:c>
      <ns0:c r="AI944" s="12">
        <ns0:f>IF(AND(OR('前提と出典'!$C$36+'前提と出典'!$C$38=0,X944&gt;=0),OR('前提と出典'!$C$37+'前提と出典'!$C$38=0,Y944&gt;=0)),0,A944)</ns0:f>
        <ns0:v>0</ns0:v>
      </ns0:c>
    </ns0:row>
    <ns0:row r="945" ht="24" customHeight="1">
      <ns0:c r="A945" s="4" t="n">
        <ns0:v>941</ns0:v>
      </ns0:c>
      <ns0:c r="B945" s="12">
        <ns0:f>A945*('前提と出典'!$C$36+'前提と出典'!$C$38)</ns0:f>
        <ns0:v>658.6999999999999</ns0:v>
      </ns0:c>
      <ns0:c r="C945" s="12">
        <ns0:f>A945*('前提と出典'!$C$37+'前提と出典'!$C$38)</ns0:f>
        <ns0:v>564.6</ns0:v>
      </ns0:c>
      <ns0:c r="D945" s="16">
        <ns0:f>A945*('前提と出典'!$C$36*'契約別単価'!C5+'前提と出典'!$C$37*'契約別単価'!C6+'前提と出典'!$C$38*'契約別単価'!C7)</ns0:f>
        <ns0:v>6770.994413407821</ns0:v>
      </ns0:c>
      <ns0:c r="E945" s="16">
        <ns0:f>A945*('前提と出典'!$C$36*'契約別単価'!E5+'前提と出典'!$C$37*'契約別単価'!E6+'前提と出典'!$C$38*'契約別単価'!E7)</ns0:f>
        <ns0:v>2365554.4207696994</ns0:v>
      </ns0:c>
      <ns0:c r="F945" s="16">
        <ns0:f>A945*('前提と出典'!$C$36*'契約別単価'!F5+'前提と出典'!$C$37*'契約別単価'!F6+'前提と出典'!$C$38*'契約別単価'!F7)</ns0:f>
        <ns0:v>687369.6476169261</ns0:v>
      </ns0:c>
      <ns0:c r="G945" s="16">
        <ns0:f>A945*('前提と出典'!$C$36*'契約別単価'!G5+'前提と出典'!$C$37*'契約別単価'!G6+'前提と出典'!$C$38*'契約別単価'!G7)</ns0:f>
        <ns0:v>1873063.12849162</ns0:v>
      </ns0:c>
      <ns0:c r="H945" s="16">
        <ns0:f>A945*('前提と出典'!$C$36*'契約別単価'!H5+'前提と出典'!$C$37*'契約別単価'!H6+'前提と出典'!$C$38*'契約別単価'!H7)</ns0:f>
        <ns0:v>650046.8470845848</ns0:v>
      </ns0:c>
      <ns0:c r="I945" s="16">
        <ns0:f>A945*('前提と出典'!$C$36*'契約別単価'!I5+'前提と出典'!$C$37*'契約別単価'!I6+'前提と出典'!$C$38*'契約別単価'!I7)</ns0:f>
        <ns0:v>39705.99441340782</ns0:v>
      </ns0:c>
      <ns0:c r="J945" s="16">
        <ns0:f>A945*('前提と出典'!$C$36*'契約別単価'!J5+'前提と出典'!$C$37*'契約別単価'!J6+'前提と出典'!$C$38*'契約別単価'!J7)</ns0:f>
        <ns0:v>92490.46063139472</ns0:v>
      </ns0:c>
      <ns0:c r="K945" s="16">
        <ns0:f>A945*('前提と出典'!$C$36*'契約別単価'!K5+'前提と出典'!$C$37*'契約別単価'!K6+'前提と出典'!$C$38*'契約別単価'!K7)</ns0:f>
        <ns0:v>396446.6294227188</ns0:v>
      </ns0:c>
      <ns0:c r="L945" s="16">
        <ns0:f>A945*('前提と出典'!$C$36*'契約別単価'!L5+'前提と出典'!$C$37*'契約別単価'!L6+'前提と出典'!$C$38*'契約別単価'!L7)</ns0:f>
        <ns0:v>322788.2282361528</ns0:v>
      </ns0:c>
      <ns0:c r="M945" s="16">
        <ns0:f>IF(('前提と出典'!$C$36+'前提と出典'!$C$38)=0,0,IF(B945&lt;=10,'前提と出典'!B73+'前提と出典'!C73,IF(B945&lt;=100,'前提と出典'!B74+'前提と出典'!C74,IF(B945&lt;=500,'前提と出典'!B75+'前提と出典'!C75,'前提と出典'!B76+'前提と出典'!C76))))</ns0:f>
        <ns0:v>80000</ns0:v>
      </ns0:c>
      <ns0:c r="N945" s="16">
        <ns0:f>IF(('前提と出典'!$C$37+'前提と出典'!$C$38)=0,0,IF(C945&lt;=10,'前提と出典'!D73+'前提と出典'!E73,IF(C945&lt;=100,'前提と出典'!D74+'前提と出典'!E74,IF(C945&lt;=500,'前提と出典'!D75+'前提と出典'!E75,'前提と出典'!D76+'前提と出典'!E76))))</ns0:f>
        <ns0:v>86510.9346263078</ns0:v>
      </ns0:c>
      <ns0:c r="O945" s="16">
        <ns0:f>IF('前提と出典'!$C$36+'前提と出典'!$C$38=0,0,'前提と出典'!$B$4*IF('前提と出典'!$B$20=0,MAX('前提と出典'!$B$6,D945*'前提と出典'!$B$5),'前提と出典'!$B$6+D945*'前提と出典'!$B$5))</ns0:f>
        <ns0:v>934397.2290502794</ns0:v>
      </ns0:c>
      <ns0:c r="P945" s="16">
        <ns0:f>(E945+G945)*(1-'前提と出典'!$B$7)-I945-K945-M945-O945</ns0:f>
        <ns0:v>2635477.464601506</ns0:v>
      </ns0:c>
      <ns0:c r="Q945" s="16">
        <ns0:f>(F945+H945)*(1-'前提と出典'!$B$7)-J945-L945-N945</ns0:f>
        <ns0:v>787479.877398401</ns0:v>
      </ns0:c>
      <ns0:c r="R945" s="16">
        <ns0:f>P945-E945*'前提と出典'!$E$4</ns0:f>
        <ns0:v>1925811.138370596</ns0:v>
      </ns0:c>
      <ns0:c r="S945" s="16">
        <ns0:f>Q945-F945*'前提と出典'!$E$4</ns0:f>
        <ns0:v>581268.9831133231</ns0:v>
      </ns0:c>
      <ns0:c r="T945" s="7">
        <ns0:f>R945+S945</ns0:f>
        <ns0:v>2507080.121483919</ns0:v>
      </ns0:c>
      <ns0:c r="U945" s="16">
        <ns0:f>P945-E945*'前提と出典'!$E$5</ns0:f>
        <ns0:v>1689255.6962936262</ns0:v>
      </ns0:c>
      <ns0:c r="V945" s="16">
        <ns0:f>Q945-F945*'前提と出典'!$E$5</ns0:f>
        <ns0:v>512532.01835163054</ns0:v>
      </ns0:c>
      <ns0:c r="W945" s="7">
        <ns0:f>U945+V945</ns0:f>
        <ns0:v>2201787.7146452568</ns0:v>
      </ns0:c>
      <ns0:c r="X945" s="16">
        <ns0:f>P945-E945*'前提と出典'!$E$6</ns0:f>
        <ns0:v>1452700.2542166563</ns0:v>
      </ns0:c>
      <ns0:c r="Y945" s="16">
        <ns0:f>Q945-F945*'前提と出典'!$E$6</ns0:f>
        <ns0:v>443795.053589938</ns0:v>
      </ns0:c>
      <ns0:c r="Z945" s="7">
        <ns0:f>X945+Y945</ns0:f>
        <ns0:v>1896495.3078065943</ns0:v>
      </ns0:c>
      <ns0:c r="AA945" s="7">
        <ns0:f>IF(T945&gt;=0,A945,1001)</ns0:f>
        <ns0:v>941</ns0:v>
      </ns0:c>
      <ns0:c r="AB945" s="7">
        <ns0:f>IF(T945&lt;0,A945,0)</ns0:f>
        <ns0:v>0</ns0:v>
      </ns0:c>
      <ns0:c r="AC945" s="16">
        <ns0:f>IF(AND(OR('前提と出典'!$C$36+'前提と出典'!$C$38=0,R945&gt;=0),OR('前提と出典'!$C$37+'前提と出典'!$C$38=0,S945&gt;=0)),0,A945)</ns0:f>
        <ns0:v>0</ns0:v>
      </ns0:c>
      <ns0:c r="AD945" s="7">
        <ns0:f>IF(W945&gt;=0,A945,1001)</ns0:f>
        <ns0:v>941</ns0:v>
      </ns0:c>
      <ns0:c r="AE945" s="7">
        <ns0:f>IF(W945&lt;0,A945,0)</ns0:f>
        <ns0:v>0</ns0:v>
      </ns0:c>
      <ns0:c r="AF945" s="16">
        <ns0:f>IF(AND(OR('前提と出典'!$C$36+'前提と出典'!$C$38=0,U945&gt;=0),OR('前提と出典'!$C$37+'前提と出典'!$C$38=0,V945&gt;=0)),0,A945)</ns0:f>
        <ns0:v>0</ns0:v>
      </ns0:c>
      <ns0:c r="AG945" s="7">
        <ns0:f>IF(Z945&gt;=0,A945,1001)</ns0:f>
        <ns0:v>941</ns0:v>
      </ns0:c>
      <ns0:c r="AH945" s="4">
        <ns0:f>IF(Z945&lt;0,A945,0)</ns0:f>
        <ns0:v>0</ns0:v>
      </ns0:c>
      <ns0:c r="AI945" s="12">
        <ns0:f>IF(AND(OR('前提と出典'!$C$36+'前提と出典'!$C$38=0,X945&gt;=0),OR('前提と出典'!$C$37+'前提と出典'!$C$38=0,Y945&gt;=0)),0,A945)</ns0:f>
        <ns0:v>0</ns0:v>
      </ns0:c>
    </ns0:row>
    <ns0:row r="946" ht="24" customHeight="1">
      <ns0:c r="A946" s="4" t="n">
        <ns0:v>942</ns0:v>
      </ns0:c>
      <ns0:c r="B946" s="12">
        <ns0:f>A946*('前提と出典'!$C$36+'前提と出典'!$C$38)</ns0:f>
        <ns0:v>659.4</ns0:v>
      </ns0:c>
      <ns0:c r="C946" s="12">
        <ns0:f>A946*('前提と出典'!$C$37+'前提と出典'!$C$38)</ns0:f>
        <ns0:v>565.1999999999999</ns0:v>
      </ns0:c>
      <ns0:c r="D946" s="16">
        <ns0:f>A946*('前提と出典'!$C$36*'契約別単価'!C5+'前提と出典'!$C$37*'契約別単価'!C6+'前提と出典'!$C$38*'契約別単価'!C7)</ns0:f>
        <ns0:v>6778.189944134078</ns0:v>
      </ns0:c>
      <ns0:c r="E946" s="16">
        <ns0:f>A946*('前提と出典'!$C$36*'契約別単価'!E5+'前提と出典'!$C$37*'契約別単価'!E6+'前提と出典'!$C$38*'契約別単価'!E7)</ns0:f>
        <ns0:v>2368068.2936929404</ns0:v>
      </ns0:c>
      <ns0:c r="F946" s="16">
        <ns0:f>A946*('前提と出典'!$C$36*'契約別単価'!F5+'前提と出典'!$C$37*'契約別単価'!F6+'前提と出典'!$C$38*'契約別単価'!F7)</ns0:f>
        <ns0:v>688100.1148301216</ns0:v>
      </ns0:c>
      <ns0:c r="G946" s="16">
        <ns0:f>A946*('前提と出典'!$C$36*'契約別単価'!G5+'前提と出典'!$C$37*'契約別単価'!G6+'前提と出典'!$C$38*'契約別単価'!G7)</ns0:f>
        <ns0:v>1875053.631284916</ns0:v>
      </ns0:c>
      <ns0:c r="H946" s="16">
        <ns0:f>A946*('前提と出典'!$C$36*'契約別単価'!H5+'前提と出典'!$C$37*'契約別単価'!H6+'前提と出典'!$C$38*'契約別単価'!H7)</ns0:f>
        <ns0:v>650737.6513854186</ns0:v>
      </ns0:c>
      <ns0:c r="I946" s="16">
        <ns0:f>A946*('前提と出典'!$C$36*'契約別単価'!I5+'前提と出典'!$C$37*'契約別単価'!I6+'前提と出典'!$C$38*'契約別単価'!I7)</ns0:f>
        <ns0:v>39748.18994413407</ns0:v>
      </ns0:c>
      <ns0:c r="J946" s="16">
        <ns0:f>A946*('前提と出典'!$C$36*'契約別単価'!J5+'前提と出典'!$C$37*'契約別単価'!J6+'前提と出典'!$C$38*'契約別単価'!J7)</ns0:f>
        <ns0:v>92588.75017510501</ns0:v>
      </ns0:c>
      <ns0:c r="K946" s="16">
        <ns0:f>A946*('前提と出典'!$C$36*'契約別単価'!K5+'前提と出典'!$C$37*'契約別単価'!K6+'前提と出典'!$C$38*'契約別単価'!K7)</ns0:f>
        <ns0:v>396867.93296089384</ns0:v>
      </ns0:c>
      <ns0:c r="L946" s="16">
        <ns0:f>A946*('前提と出典'!$C$36*'契約別単価'!L5+'前提と出典'!$C$37*'契約別単価'!L6+'前提と出典'!$C$38*'契約別単価'!L7)</ns0:f>
        <ns0:v>323131.2550461806</ns0:v>
      </ns0:c>
      <ns0:c r="M946" s="16">
        <ns0:f>IF(('前提と出典'!$C$36+'前提と出典'!$C$38)=0,0,IF(B946&lt;=10,'前提と出典'!B73+'前提と出典'!C73,IF(B946&lt;=100,'前提と出典'!B74+'前提と出典'!C74,IF(B946&lt;=500,'前提と出典'!B75+'前提と出典'!C75,'前提と出典'!B76+'前提と出典'!C76))))</ns0:f>
        <ns0:v>80000</ns0:v>
      </ns0:c>
      <ns0:c r="N946" s="16">
        <ns0:f>IF(('前提と出典'!$C$37+'前提と出典'!$C$38)=0,0,IF(C946&lt;=10,'前提と出典'!D73+'前提と出典'!E73,IF(C946&lt;=100,'前提と出典'!D74+'前提と出典'!E74,IF(C946&lt;=500,'前提と出典'!D75+'前提と出典'!E75,'前提と出典'!D76+'前提と出典'!E76))))</ns0:f>
        <ns0:v>86510.9346263078</ns0:v>
      </ns0:c>
      <ns0:c r="O946" s="16">
        <ns0:f>IF('前提と出典'!$C$36+'前提と出典'!$C$38=0,0,'前提と出典'!$B$4*IF('前提と出典'!$B$20=0,MAX('前提と出典'!$B$6,D946*'前提と出典'!$B$5),'前提と出典'!$B$6+D946*'前提と出典'!$B$5))</ns0:f>
        <ns0:v>935390.2122905029</ns0:v>
      </ns0:c>
      <ns0:c r="P946" s="16">
        <ns0:f>(E946+G946)*(1-'前提と出典'!$B$7)-I946-K946-M946-O946</ns0:f>
        <ns0:v>2638363.2004831233</ns0:v>
      </ns0:c>
      <ns0:c r="Q946" s="16">
        <ns0:f>(F946+H946)*(1-'前提と出典'!$B$7)-J946-L946-N946</ns0:f>
        <ns0:v>788408.6667841873</ns0:v>
      </ns0:c>
      <ns0:c r="R946" s="16">
        <ns0:f>P946-E946*'前提と出典'!$E$4</ns0:f>
        <ns0:v>1927942.712375241</ns0:v>
      </ns0:c>
      <ns0:c r="S946" s="16">
        <ns0:f>Q946-F946*'前提と出典'!$E$4</ns0:f>
        <ns0:v>581978.6323351508</ns0:v>
      </ns0:c>
      <ns0:c r="T946" s="7">
        <ns0:f>R946+S946</ns0:f>
        <ns0:v>2509921.344710392</ns0:v>
      </ns0:c>
      <ns0:c r="U946" s="16">
        <ns0:f>P946-E946*'前提と出典'!$E$5</ns0:f>
        <ns0:v>1691135.883005947</ns0:v>
      </ns0:c>
      <ns0:c r="V946" s="16">
        <ns0:f>Q946-F946*'前提と出典'!$E$5</ns0:f>
        <ns0:v>513168.6208521386</ns0:v>
      </ns0:c>
      <ns0:c r="W946" s="7">
        <ns0:f>U946+V946</ns0:f>
        <ns0:v>2204304.5038580857</ns0:v>
      </ns0:c>
      <ns0:c r="X946" s="16">
        <ns0:f>P946-E946*'前提と出典'!$E$6</ns0:f>
        <ns0:v>1454329.0536366527</ns0:v>
      </ns0:c>
      <ns0:c r="Y946" s="16">
        <ns0:f>Q946-F946*'前提と出典'!$E$6</ns0:f>
        <ns0:v>444358.6093691264</ns0:v>
      </ns0:c>
      <ns0:c r="Z946" s="7">
        <ns0:f>X946+Y946</ns0:f>
        <ns0:v>1898687.663005779</ns0:v>
      </ns0:c>
      <ns0:c r="AA946" s="7">
        <ns0:f>IF(T946&gt;=0,A946,1001)</ns0:f>
        <ns0:v>942</ns0:v>
      </ns0:c>
      <ns0:c r="AB946" s="7">
        <ns0:f>IF(T946&lt;0,A946,0)</ns0:f>
        <ns0:v>0</ns0:v>
      </ns0:c>
      <ns0:c r="AC946" s="16">
        <ns0:f>IF(AND(OR('前提と出典'!$C$36+'前提と出典'!$C$38=0,R946&gt;=0),OR('前提と出典'!$C$37+'前提と出典'!$C$38=0,S946&gt;=0)),0,A946)</ns0:f>
        <ns0:v>0</ns0:v>
      </ns0:c>
      <ns0:c r="AD946" s="7">
        <ns0:f>IF(W946&gt;=0,A946,1001)</ns0:f>
        <ns0:v>942</ns0:v>
      </ns0:c>
      <ns0:c r="AE946" s="7">
        <ns0:f>IF(W946&lt;0,A946,0)</ns0:f>
        <ns0:v>0</ns0:v>
      </ns0:c>
      <ns0:c r="AF946" s="16">
        <ns0:f>IF(AND(OR('前提と出典'!$C$36+'前提と出典'!$C$38=0,U946&gt;=0),OR('前提と出典'!$C$37+'前提と出典'!$C$38=0,V946&gt;=0)),0,A946)</ns0:f>
        <ns0:v>0</ns0:v>
      </ns0:c>
      <ns0:c r="AG946" s="7">
        <ns0:f>IF(Z946&gt;=0,A946,1001)</ns0:f>
        <ns0:v>942</ns0:v>
      </ns0:c>
      <ns0:c r="AH946" s="4">
        <ns0:f>IF(Z946&lt;0,A946,0)</ns0:f>
        <ns0:v>0</ns0:v>
      </ns0:c>
      <ns0:c r="AI946" s="12">
        <ns0:f>IF(AND(OR('前提と出典'!$C$36+'前提と出典'!$C$38=0,X946&gt;=0),OR('前提と出典'!$C$37+'前提と出典'!$C$38=0,Y946&gt;=0)),0,A946)</ns0:f>
        <ns0:v>0</ns0:v>
      </ns0:c>
    </ns0:row>
    <ns0:row r="947" ht="24" customHeight="1">
      <ns0:c r="A947" s="4" t="n">
        <ns0:v>943</ns0:v>
      </ns0:c>
      <ns0:c r="B947" s="12">
        <ns0:f>A947*('前提と出典'!$C$36+'前提と出典'!$C$38)</ns0:f>
        <ns0:v>660.0999999999999</ns0:v>
      </ns0:c>
      <ns0:c r="C947" s="12">
        <ns0:f>A947*('前提と出典'!$C$37+'前提と出典'!$C$38)</ns0:f>
        <ns0:v>565.8</ns0:v>
      </ns0:c>
      <ns0:c r="D947" s="16">
        <ns0:f>A947*('前提と出典'!$C$36*'契約別単価'!C5+'前提と出典'!$C$37*'契約別単価'!C6+'前提と出典'!$C$38*'契約別単価'!C7)</ns0:f>
        <ns0:v>6785.385474860335</ns0:v>
      </ns0:c>
      <ns0:c r="E947" s="16">
        <ns0:f>A947*('前提と出典'!$C$36*'契約別単価'!E5+'前提と出典'!$C$37*'契約別単価'!E6+'前提と出典'!$C$38*'契約別単価'!E7)</ns0:f>
        <ns0:v>2370582.1666161814</ns0:v>
      </ns0:c>
      <ns0:c r="F947" s="16">
        <ns0:f>A947*('前提と出典'!$C$36*'契約別単価'!F5+'前提と出典'!$C$37*'契約別単価'!F6+'前提と出典'!$C$38*'契約別単価'!F7)</ns0:f>
        <ns0:v>688830.582043317</ns0:v>
      </ns0:c>
      <ns0:c r="G947" s="16">
        <ns0:f>A947*('前提と出典'!$C$36*'契約別単価'!G5+'前提と出典'!$C$37*'契約別単価'!G6+'前提と出典'!$C$38*'契約別単価'!G7)</ns0:f>
        <ns0:v>1877044.1340782123</ns0:v>
      </ns0:c>
      <ns0:c r="H947" s="16">
        <ns0:f>A947*('前提と出典'!$C$36*'契約別単価'!H5+'前提と出典'!$C$37*'契約別単価'!H6+'前提と出典'!$C$38*'契約別単価'!H7)</ns0:f>
        <ns0:v>651428.4556862523</ns0:v>
      </ns0:c>
      <ns0:c r="I947" s="16">
        <ns0:f>A947*('前提と出典'!$C$36*'契約別単価'!I5+'前提と出典'!$C$37*'契約別単価'!I6+'前提と出典'!$C$38*'契約別単価'!I7)</ns0:f>
        <ns0:v>39790.385474860326</ns0:v>
      </ns0:c>
      <ns0:c r="J947" s="16">
        <ns0:f>A947*('前提と出典'!$C$36*'契約別単価'!J5+'前提と出典'!$C$37*'契約別単価'!J6+'前提と出典'!$C$38*'契約別単価'!J7)</ns0:f>
        <ns0:v>92687.03971881531</ns0:v>
      </ns0:c>
      <ns0:c r="K947" s="16">
        <ns0:f>A947*('前提と出典'!$C$36*'契約別単価'!K5+'前提と出典'!$C$37*'契約別単価'!K6+'前提と出典'!$C$38*'契約別単価'!K7)</ns0:f>
        <ns0:v>397289.23649906885</ns0:v>
      </ns0:c>
      <ns0:c r="L947" s="16">
        <ns0:f>A947*('前提と出典'!$C$36*'契約別単価'!L5+'前提と出典'!$C$37*'契約別単価'!L6+'前提と出典'!$C$38*'契約別単価'!L7)</ns0:f>
        <ns0:v>323474.2818562084</ns0:v>
      </ns0:c>
      <ns0:c r="M947" s="16">
        <ns0:f>IF(('前提と出典'!$C$36+'前提と出典'!$C$38)=0,0,IF(B947&lt;=10,'前提と出典'!B73+'前提と出典'!C73,IF(B947&lt;=100,'前提と出典'!B74+'前提と出典'!C74,IF(B947&lt;=500,'前提と出典'!B75+'前提と出典'!C75,'前提と出典'!B76+'前提と出典'!C76))))</ns0:f>
        <ns0:v>80000</ns0:v>
      </ns0:c>
      <ns0:c r="N947" s="16">
        <ns0:f>IF(('前提と出典'!$C$37+'前提と出典'!$C$38)=0,0,IF(C947&lt;=10,'前提と出典'!D73+'前提と出典'!E73,IF(C947&lt;=100,'前提と出典'!D74+'前提と出典'!E74,IF(C947&lt;=500,'前提と出典'!D75+'前提と出典'!E75,'前提と出典'!D76+'前提と出典'!E76))))</ns0:f>
        <ns0:v>86510.9346263078</ns0:v>
      </ns0:c>
      <ns0:c r="O947" s="16">
        <ns0:f>IF('前提と出典'!$C$36+'前提と出典'!$C$38=0,0,'前提と出典'!$B$4*IF('前提と出典'!$B$20=0,MAX('前提と出典'!$B$6,D947*'前提と出典'!$B$5),'前提と出典'!$B$6+D947*'前提と出典'!$B$5))</ns0:f>
        <ns0:v>936383.1955307263</ns0:v>
      </ns0:c>
      <ns0:c r="P947" s="16">
        <ns0:f>(E947+G947)*(1-'前提と出典'!$B$7)-I947-K947-M947-O947</ns0:f>
        <ns0:v>2641248.9363647406</ns0:v>
      </ns0:c>
      <ns0:c r="Q947" s="16">
        <ns0:f>(F947+H947)*(1-'前提と出典'!$B$7)-J947-L947-N947</ns0:f>
        <ns0:v>789337.4561699731</ns0:v>
      </ns0:c>
      <ns0:c r="R947" s="16">
        <ns0:f>P947-E947*'前提と出典'!$E$4</ns0:f>
        <ns0:v>1930074.286379886</ns0:v>
      </ns0:c>
      <ns0:c r="S947" s="16">
        <ns0:f>Q947-F947*'前提と出典'!$E$4</ns0:f>
        <ns0:v>582688.2815569784</ns0:v>
      </ns0:c>
      <ns0:c r="T947" s="7">
        <ns0:f>R947+S947</ns0:f>
        <ns0:v>2512762.5679368647</ns0:v>
      </ns0:c>
      <ns0:c r="U947" s="16">
        <ns0:f>P947-E947*'前提と出典'!$E$5</ns0:f>
        <ns0:v>1693016.069718268</ns0:v>
      </ns0:c>
      <ns0:c r="V947" s="16">
        <ns0:f>Q947-F947*'前提と出典'!$E$5</ns0:f>
        <ns0:v>513805.2233526462</ns0:v>
      </ns0:c>
      <ns0:c r="W947" s="7">
        <ns0:f>U947+V947</ns0:f>
        <ns0:v>2206821.293070914</ns0:v>
      </ns0:c>
      <ns0:c r="X947" s="16">
        <ns0:f>P947-E947*'前提と出典'!$E$6</ns0:f>
        <ns0:v>1455957.85305665</ns0:v>
      </ns0:c>
      <ns0:c r="Y947" s="16">
        <ns0:f>Q947-F947*'前提と出典'!$E$6</ns0:f>
        <ns0:v>444922.16514831455</ns0:v>
      </ns0:c>
      <ns0:c r="Z947" s="7">
        <ns0:f>X947+Y947</ns0:f>
        <ns0:v>1900880.0182049645</ns0:v>
      </ns0:c>
      <ns0:c r="AA947" s="7">
        <ns0:f>IF(T947&gt;=0,A947,1001)</ns0:f>
        <ns0:v>943</ns0:v>
      </ns0:c>
      <ns0:c r="AB947" s="7">
        <ns0:f>IF(T947&lt;0,A947,0)</ns0:f>
        <ns0:v>0</ns0:v>
      </ns0:c>
      <ns0:c r="AC947" s="16">
        <ns0:f>IF(AND(OR('前提と出典'!$C$36+'前提と出典'!$C$38=0,R947&gt;=0),OR('前提と出典'!$C$37+'前提と出典'!$C$38=0,S947&gt;=0)),0,A947)</ns0:f>
        <ns0:v>0</ns0:v>
      </ns0:c>
      <ns0:c r="AD947" s="7">
        <ns0:f>IF(W947&gt;=0,A947,1001)</ns0:f>
        <ns0:v>943</ns0:v>
      </ns0:c>
      <ns0:c r="AE947" s="7">
        <ns0:f>IF(W947&lt;0,A947,0)</ns0:f>
        <ns0:v>0</ns0:v>
      </ns0:c>
      <ns0:c r="AF947" s="16">
        <ns0:f>IF(AND(OR('前提と出典'!$C$36+'前提と出典'!$C$38=0,U947&gt;=0),OR('前提と出典'!$C$37+'前提と出典'!$C$38=0,V947&gt;=0)),0,A947)</ns0:f>
        <ns0:v>0</ns0:v>
      </ns0:c>
      <ns0:c r="AG947" s="7">
        <ns0:f>IF(Z947&gt;=0,A947,1001)</ns0:f>
        <ns0:v>943</ns0:v>
      </ns0:c>
      <ns0:c r="AH947" s="4">
        <ns0:f>IF(Z947&lt;0,A947,0)</ns0:f>
        <ns0:v>0</ns0:v>
      </ns0:c>
      <ns0:c r="AI947" s="12">
        <ns0:f>IF(AND(OR('前提と出典'!$C$36+'前提と出典'!$C$38=0,X947&gt;=0),OR('前提と出典'!$C$37+'前提と出典'!$C$38=0,Y947&gt;=0)),0,A947)</ns0:f>
        <ns0:v>0</ns0:v>
      </ns0:c>
    </ns0:row>
    <ns0:row r="948" ht="24" customHeight="1">
      <ns0:c r="A948" s="4" t="n">
        <ns0:v>944</ns0:v>
      </ns0:c>
      <ns0:c r="B948" s="12">
        <ns0:f>A948*('前提と出典'!$C$36+'前提と出典'!$C$38)</ns0:f>
        <ns0:v>660.8</ns0:v>
      </ns0:c>
      <ns0:c r="C948" s="12">
        <ns0:f>A948*('前提と出典'!$C$37+'前提と出典'!$C$38)</ns0:f>
        <ns0:v>566.4</ns0:v>
      </ns0:c>
      <ns0:c r="D948" s="16">
        <ns0:f>A948*('前提と出典'!$C$36*'契約別単価'!C5+'前提と出典'!$C$37*'契約別単価'!C6+'前提と出典'!$C$38*'契約別単価'!C7)</ns0:f>
        <ns0:v>6792.581005586592</ns0:v>
      </ns0:c>
      <ns0:c r="E948" s="16">
        <ns0:f>A948*('前提と出典'!$C$36*'契約別単価'!E5+'前提と出典'!$C$37*'契約別単価'!E6+'前提と出典'!$C$38*'契約別単価'!E7)</ns0:f>
        <ns0:v>2373096.039539422</ns0:v>
      </ns0:c>
      <ns0:c r="F948" s="16">
        <ns0:f>A948*('前提と出典'!$C$36*'契約別単価'!F5+'前提と出典'!$C$37*'契約別単価'!F6+'前提と出典'!$C$38*'契約別単価'!F7)</ns0:f>
        <ns0:v>689561.0492565125</ns0:v>
      </ns0:c>
      <ns0:c r="G948" s="16">
        <ns0:f>A948*('前提と出典'!$C$36*'契約別単価'!G5+'前提と出典'!$C$37*'契約別単価'!G6+'前提と出典'!$C$38*'契約別単価'!G7)</ns0:f>
        <ns0:v>1879034.6368715083</ns0:v>
      </ns0:c>
      <ns0:c r="H948" s="16">
        <ns0:f>A948*('前提と出典'!$C$36*'契約別単価'!H5+'前提と出典'!$C$37*'契約別単価'!H6+'前提と出典'!$C$38*'契約別単価'!H7)</ns0:f>
        <ns0:v>652119.2599870862</ns0:v>
      </ns0:c>
      <ns0:c r="I948" s="16">
        <ns0:f>A948*('前提と出典'!$C$36*'契約別単価'!I5+'前提と出典'!$C$37*'契約別単価'!I6+'前提と出典'!$C$38*'契約別単価'!I7)</ns0:f>
        <ns0:v>39832.58100558659</ns0:v>
      </ns0:c>
      <ns0:c r="J948" s="16">
        <ns0:f>A948*('前提と出典'!$C$36*'契約別単価'!J5+'前提と出典'!$C$37*'契約別単価'!J6+'前提と出典'!$C$38*'契約別単価'!J7)</ns0:f>
        <ns0:v>92785.32926252563</ns0:v>
      </ns0:c>
      <ns0:c r="K948" s="16">
        <ns0:f>A948*('前提と出典'!$C$36*'契約別単価'!K5+'前提と出典'!$C$37*'契約別単価'!K6+'前提と出典'!$C$38*'契約別単価'!K7)</ns0:f>
        <ns0:v>397710.5400372439</ns0:v>
      </ns0:c>
      <ns0:c r="L948" s="16">
        <ns0:f>A948*('前提と出典'!$C$36*'契約別単価'!L5+'前提と出典'!$C$37*'契約別単価'!L6+'前提と出典'!$C$38*'契約別単価'!L7)</ns0:f>
        <ns0:v>323817.3086662362</ns0:v>
      </ns0:c>
      <ns0:c r="M948" s="16">
        <ns0:f>IF(('前提と出典'!$C$36+'前提と出典'!$C$38)=0,0,IF(B948&lt;=10,'前提と出典'!B73+'前提と出典'!C73,IF(B948&lt;=100,'前提と出典'!B74+'前提と出典'!C74,IF(B948&lt;=500,'前提と出典'!B75+'前提と出典'!C75,'前提と出典'!B76+'前提と出典'!C76))))</ns0:f>
        <ns0:v>80000</ns0:v>
      </ns0:c>
      <ns0:c r="N948" s="16">
        <ns0:f>IF(('前提と出典'!$C$37+'前提と出典'!$C$38)=0,0,IF(C948&lt;=10,'前提と出典'!D73+'前提と出典'!E73,IF(C948&lt;=100,'前提と出典'!D74+'前提と出典'!E74,IF(C948&lt;=500,'前提と出典'!D75+'前提と出典'!E75,'前提と出典'!D76+'前提と出典'!E76))))</ns0:f>
        <ns0:v>86510.9346263078</ns0:v>
      </ns0:c>
      <ns0:c r="O948" s="16">
        <ns0:f>IF('前提と出典'!$C$36+'前提と出典'!$C$38=0,0,'前提と出典'!$B$4*IF('前提と出典'!$B$20=0,MAX('前提と出典'!$B$6,D948*'前提と出典'!$B$5),'前提と出典'!$B$6+D948*'前提と出典'!$B$5))</ns0:f>
        <ns0:v>937376.1787709497</ns0:v>
      </ns0:c>
      <ns0:c r="P948" s="16">
        <ns0:f>(E948+G948)*(1-'前提と出典'!$B$7)-I948-K948-M948-O948</ns0:f>
        <ns0:v>2644134.6722463565</ns0:v>
      </ns0:c>
      <ns0:c r="Q948" s="16">
        <ns0:f>(F948+H948)*(1-'前提と出典'!$B$7)-J948-L948-N948</ns0:f>
        <ns0:v>790266.2455557596</ns0:v>
      </ns0:c>
      <ns0:c r="R948" s="16">
        <ns0:f>P948-E948*'前提と出典'!$E$4</ns0:f>
        <ns0:v>1932205.86038453</ns0:v>
      </ns0:c>
      <ns0:c r="S948" s="16">
        <ns0:f>Q948-F948*'前提と出典'!$E$4</ns0:f>
        <ns0:v>583397.9307788059</ns0:v>
      </ns0:c>
      <ns0:c r="T948" s="7">
        <ns0:f>R948+S948</ns0:f>
        <ns0:v>2515603.7911633356</ns0:v>
      </ns0:c>
      <ns0:c r="U948" s="16">
        <ns0:f>P948-E948*'前提と出典'!$E$5</ns0:f>
        <ns0:v>1694896.2564305877</ns0:v>
      </ns0:c>
      <ns0:c r="V948" s="16">
        <ns0:f>Q948-F948*'前提と出典'!$E$5</ns0:f>
        <ns0:v>514441.8258531545</ns0:v>
      </ns0:c>
      <ns0:c r="W948" s="7">
        <ns0:f>U948+V948</ns0:f>
        <ns0:v>2209338.0822837423</ns0:v>
      </ns0:c>
      <ns0:c r="X948" s="16">
        <ns0:f>P948-E948*'前提と出典'!$E$6</ns0:f>
        <ns0:v>1457586.6524766455</ns0:v>
      </ns0:c>
      <ns0:c r="Y948" s="16">
        <ns0:f>Q948-F948*'前提と出典'!$E$6</ns0:f>
        <ns0:v>445485.7209275034</ns0:v>
      </ns0:c>
      <ns0:c r="Z948" s="7">
        <ns0:f>X948+Y948</ns0:f>
        <ns0:v>1903072.373404149</ns0:v>
      </ns0:c>
      <ns0:c r="AA948" s="7">
        <ns0:f>IF(T948&gt;=0,A948,1001)</ns0:f>
        <ns0:v>944</ns0:v>
      </ns0:c>
      <ns0:c r="AB948" s="7">
        <ns0:f>IF(T948&lt;0,A948,0)</ns0:f>
        <ns0:v>0</ns0:v>
      </ns0:c>
      <ns0:c r="AC948" s="16">
        <ns0:f>IF(AND(OR('前提と出典'!$C$36+'前提と出典'!$C$38=0,R948&gt;=0),OR('前提と出典'!$C$37+'前提と出典'!$C$38=0,S948&gt;=0)),0,A948)</ns0:f>
        <ns0:v>0</ns0:v>
      </ns0:c>
      <ns0:c r="AD948" s="7">
        <ns0:f>IF(W948&gt;=0,A948,1001)</ns0:f>
        <ns0:v>944</ns0:v>
      </ns0:c>
      <ns0:c r="AE948" s="7">
        <ns0:f>IF(W948&lt;0,A948,0)</ns0:f>
        <ns0:v>0</ns0:v>
      </ns0:c>
      <ns0:c r="AF948" s="16">
        <ns0:f>IF(AND(OR('前提と出典'!$C$36+'前提と出典'!$C$38=0,U948&gt;=0),OR('前提と出典'!$C$37+'前提と出典'!$C$38=0,V948&gt;=0)),0,A948)</ns0:f>
        <ns0:v>0</ns0:v>
      </ns0:c>
      <ns0:c r="AG948" s="7">
        <ns0:f>IF(Z948&gt;=0,A948,1001)</ns0:f>
        <ns0:v>944</ns0:v>
      </ns0:c>
      <ns0:c r="AH948" s="4">
        <ns0:f>IF(Z948&lt;0,A948,0)</ns0:f>
        <ns0:v>0</ns0:v>
      </ns0:c>
      <ns0:c r="AI948" s="12">
        <ns0:f>IF(AND(OR('前提と出典'!$C$36+'前提と出典'!$C$38=0,X948&gt;=0),OR('前提と出典'!$C$37+'前提と出典'!$C$38=0,Y948&gt;=0)),0,A948)</ns0:f>
        <ns0:v>0</ns0:v>
      </ns0:c>
    </ns0:row>
    <ns0:row r="949" ht="24" customHeight="1">
      <ns0:c r="A949" s="4" t="n">
        <ns0:v>945</ns0:v>
      </ns0:c>
      <ns0:c r="B949" s="12">
        <ns0:f>A949*('前提と出典'!$C$36+'前提と出典'!$C$38)</ns0:f>
        <ns0:v>661.5</ns0:v>
      </ns0:c>
      <ns0:c r="C949" s="12">
        <ns0:f>A949*('前提と出典'!$C$37+'前提と出典'!$C$38)</ns0:f>
        <ns0:v>567</ns0:v>
      </ns0:c>
      <ns0:c r="D949" s="16">
        <ns0:f>A949*('前提と出典'!$C$36*'契約別単価'!C5+'前提と出典'!$C$37*'契約別単価'!C6+'前提と出典'!$C$38*'契約別単価'!C7)</ns0:f>
        <ns0:v>6799.776536312849</ns0:v>
      </ns0:c>
      <ns0:c r="E949" s="16">
        <ns0:f>A949*('前提と出典'!$C$36*'契約別単価'!E5+'前提と出典'!$C$37*'契約別単価'!E6+'前提と出典'!$C$38*'契約別単価'!E7)</ns0:f>
        <ns0:v>2375609.912462663</ns0:v>
      </ns0:c>
      <ns0:c r="F949" s="16">
        <ns0:f>A949*('前提と出典'!$C$36*'契約別単価'!F5+'前提と出典'!$C$37*'契約別単価'!F6+'前提と出典'!$C$38*'契約別単価'!F7)</ns0:f>
        <ns0:v>690291.516469708</ns0:v>
      </ns0:c>
      <ns0:c r="G949" s="16">
        <ns0:f>A949*('前提と出典'!$C$36*'契約別単価'!G5+'前提と出典'!$C$37*'契約別単価'!G6+'前提と出典'!$C$38*'契約別単価'!G7)</ns0:f>
        <ns0:v>1881025.1396648043</ns0:v>
      </ns0:c>
      <ns0:c r="H949" s="16">
        <ns0:f>A949*('前提と出典'!$C$36*'契約別単価'!H5+'前提と出典'!$C$37*'契約別単価'!H6+'前提と出典'!$C$38*'契約別単価'!H7)</ns0:f>
        <ns0:v>652810.0642879199</ns0:v>
      </ns0:c>
      <ns0:c r="I949" s="16">
        <ns0:f>A949*('前提と出典'!$C$36*'契約別単価'!I5+'前提と出典'!$C$37*'契約別単価'!I6+'前提と出典'!$C$38*'契約別単価'!I7)</ns0:f>
        <ns0:v>39874.77653631284</ns0:v>
      </ns0:c>
      <ns0:c r="J949" s="16">
        <ns0:f>A949*('前提と出典'!$C$36*'契約別単価'!J5+'前提と出典'!$C$37*'契約別単価'!J6+'前提と出典'!$C$38*'契約別単価'!J7)</ns0:f>
        <ns0:v>92883.61880623593</ns0:v>
      </ns0:c>
      <ns0:c r="K949" s="16">
        <ns0:f>A949*('前提と出典'!$C$36*'契約別単価'!K5+'前提と出典'!$C$37*'契約別単価'!K6+'前提と出典'!$C$38*'契約別単価'!K7)</ns0:f>
        <ns0:v>398131.843575419</ns0:v>
      </ns0:c>
      <ns0:c r="L949" s="16">
        <ns0:f>A949*('前提と出典'!$C$36*'契約別単価'!L5+'前提と出典'!$C$37*'契約別単価'!L6+'前提と出典'!$C$38*'契約別単価'!L7)</ns0:f>
        <ns0:v>324160.335476264</ns0:v>
      </ns0:c>
      <ns0:c r="M949" s="16">
        <ns0:f>IF(('前提と出典'!$C$36+'前提と出典'!$C$38)=0,0,IF(B949&lt;=10,'前提と出典'!B73+'前提と出典'!C73,IF(B949&lt;=100,'前提と出典'!B74+'前提と出典'!C74,IF(B949&lt;=500,'前提と出典'!B75+'前提と出典'!C75,'前提と出典'!B76+'前提と出典'!C76))))</ns0:f>
        <ns0:v>80000</ns0:v>
      </ns0:c>
      <ns0:c r="N949" s="16">
        <ns0:f>IF(('前提と出典'!$C$37+'前提と出典'!$C$38)=0,0,IF(C949&lt;=10,'前提と出典'!D73+'前提と出典'!E73,IF(C949&lt;=100,'前提と出典'!D74+'前提と出典'!E74,IF(C949&lt;=500,'前提と出典'!D75+'前提と出典'!E75,'前提と出典'!D76+'前提と出典'!E76))))</ns0:f>
        <ns0:v>86510.9346263078</ns0:v>
      </ns0:c>
      <ns0:c r="O949" s="16">
        <ns0:f>IF('前提と出典'!$C$36+'前提と出典'!$C$38=0,0,'前提と出典'!$B$4*IF('前提と出典'!$B$20=0,MAX('前提と出典'!$B$6,D949*'前提と出典'!$B$5),'前提と出典'!$B$6+D949*'前提と出典'!$B$5))</ns0:f>
        <ns0:v>938369.1620111732</ns0:v>
      </ns0:c>
      <ns0:c r="P949" s="16">
        <ns0:f>(E949+G949)*(1-'前提と出典'!$B$7)-I949-K949-M949-O949</ns0:f>
        <ns0:v>2647020.408127974</ns0:v>
      </ns0:c>
      <ns0:c r="Q949" s="16">
        <ns0:f>(F949+H949)*(1-'前提と出典'!$B$7)-J949-L949-N949</ns0:f>
        <ns0:v>791195.0349415455</ns0:v>
      </ns0:c>
      <ns0:c r="R949" s="16">
        <ns0:f>P949-E949*'前提と出典'!$E$4</ns0:f>
        <ns0:v>1934337.434389175</ns0:v>
      </ns0:c>
      <ns0:c r="S949" s="16">
        <ns0:f>Q949-F949*'前提と出典'!$E$4</ns0:f>
        <ns0:v>584107.580000633</ns0:v>
      </ns0:c>
      <ns0:c r="T949" s="7">
        <ns0:f>R949+S949</ns0:f>
        <ns0:v>2518445.014389808</ns0:v>
      </ns0:c>
      <ns0:c r="U949" s="16">
        <ns0:f>P949-E949*'前提と出典'!$E$5</ns0:f>
        <ns0:v>1696776.4431429086</ns0:v>
      </ns0:c>
      <ns0:c r="V949" s="16">
        <ns0:f>Q949-F949*'前提と出典'!$E$5</ns0:f>
        <ns0:v>515078.42835366225</ns0:v>
      </ns0:c>
      <ns0:c r="W949" s="7">
        <ns0:f>U949+V949</ns0:f>
        <ns0:v>2211854.8714965708</ns0:v>
      </ns0:c>
      <ns0:c r="X949" s="16">
        <ns0:f>P949-E949*'前提と出典'!$E$6</ns0:f>
        <ns0:v>1459215.4518966423</ns0:v>
      </ns0:c>
      <ns0:c r="Y949" s="16">
        <ns0:f>Q949-F949*'前提と出典'!$E$6</ns0:f>
        <ns0:v>446049.27670669137</ns0:v>
      </ns0:c>
      <ns0:c r="Z949" s="7">
        <ns0:f>X949+Y949</ns0:f>
        <ns0:v>1905264.7286033337</ns0:v>
      </ns0:c>
      <ns0:c r="AA949" s="7">
        <ns0:f>IF(T949&gt;=0,A949,1001)</ns0:f>
        <ns0:v>945</ns0:v>
      </ns0:c>
      <ns0:c r="AB949" s="7">
        <ns0:f>IF(T949&lt;0,A949,0)</ns0:f>
        <ns0:v>0</ns0:v>
      </ns0:c>
      <ns0:c r="AC949" s="16">
        <ns0:f>IF(AND(OR('前提と出典'!$C$36+'前提と出典'!$C$38=0,R949&gt;=0),OR('前提と出典'!$C$37+'前提と出典'!$C$38=0,S949&gt;=0)),0,A949)</ns0:f>
        <ns0:v>0</ns0:v>
      </ns0:c>
      <ns0:c r="AD949" s="7">
        <ns0:f>IF(W949&gt;=0,A949,1001)</ns0:f>
        <ns0:v>945</ns0:v>
      </ns0:c>
      <ns0:c r="AE949" s="7">
        <ns0:f>IF(W949&lt;0,A949,0)</ns0:f>
        <ns0:v>0</ns0:v>
      </ns0:c>
      <ns0:c r="AF949" s="16">
        <ns0:f>IF(AND(OR('前提と出典'!$C$36+'前提と出典'!$C$38=0,U949&gt;=0),OR('前提と出典'!$C$37+'前提と出典'!$C$38=0,V949&gt;=0)),0,A949)</ns0:f>
        <ns0:v>0</ns0:v>
      </ns0:c>
      <ns0:c r="AG949" s="7">
        <ns0:f>IF(Z949&gt;=0,A949,1001)</ns0:f>
        <ns0:v>945</ns0:v>
      </ns0:c>
      <ns0:c r="AH949" s="4">
        <ns0:f>IF(Z949&lt;0,A949,0)</ns0:f>
        <ns0:v>0</ns0:v>
      </ns0:c>
      <ns0:c r="AI949" s="12">
        <ns0:f>IF(AND(OR('前提と出典'!$C$36+'前提と出典'!$C$38=0,X949&gt;=0),OR('前提と出典'!$C$37+'前提と出典'!$C$38=0,Y949&gt;=0)),0,A949)</ns0:f>
        <ns0:v>0</ns0:v>
      </ns0:c>
    </ns0:row>
    <ns0:row r="950" ht="24" customHeight="1">
      <ns0:c r="A950" s="4" t="n">
        <ns0:v>946</ns0:v>
      </ns0:c>
      <ns0:c r="B950" s="12">
        <ns0:f>A950*('前提と出典'!$C$36+'前提と出典'!$C$38)</ns0:f>
        <ns0:v>662.1999999999999</ns0:v>
      </ns0:c>
      <ns0:c r="C950" s="12">
        <ns0:f>A950*('前提と出典'!$C$37+'前提と出典'!$C$38)</ns0:f>
        <ns0:v>567.6</ns0:v>
      </ns0:c>
      <ns0:c r="D950" s="16">
        <ns0:f>A950*('前提と出典'!$C$36*'契約別単価'!C5+'前提と出典'!$C$37*'契約別単価'!C6+'前提と出典'!$C$38*'契約別単価'!C7)</ns0:f>
        <ns0:v>6806.972067039106</ns0:v>
      </ns0:c>
      <ns0:c r="E950" s="16">
        <ns0:f>A950*('前提と出典'!$C$36*'契約別単価'!E5+'前提と出典'!$C$37*'契約別単価'!E6+'前提と出典'!$C$38*'契約別単価'!E7)</ns0:f>
        <ns0:v>2378123.785385904</ns0:v>
      </ns0:c>
      <ns0:c r="F950" s="16">
        <ns0:f>A950*('前提と出典'!$C$36*'契約別単価'!F5+'前提と出典'!$C$37*'契約別単価'!F6+'前提と出典'!$C$38*'契約別単価'!F7)</ns0:f>
        <ns0:v>691021.9836829035</ns0:v>
      </ns0:c>
      <ns0:c r="G950" s="16">
        <ns0:f>A950*('前提と出典'!$C$36*'契約別単価'!G5+'前提と出典'!$C$37*'契約別単価'!G6+'前提と出典'!$C$38*'契約別単価'!G7)</ns0:f>
        <ns0:v>1883015.6424581006</ns0:v>
      </ns0:c>
      <ns0:c r="H950" s="16">
        <ns0:f>A950*('前提と出典'!$C$36*'契約別単価'!H5+'前提と出典'!$C$37*'契約別単価'!H6+'前提と出典'!$C$38*'契約別単価'!H7)</ns0:f>
        <ns0:v>653500.8685887537</ns0:v>
      </ns0:c>
      <ns0:c r="I950" s="16">
        <ns0:f>A950*('前提と出典'!$C$36*'契約別単価'!I5+'前提と出典'!$C$37*'契約別単価'!I6+'前提と出典'!$C$38*'契約別単価'!I7)</ns0:f>
        <ns0:v>39916.972067039096</ns0:v>
      </ns0:c>
      <ns0:c r="J950" s="16">
        <ns0:f>A950*('前提と出典'!$C$36*'契約別単価'!J5+'前提と出典'!$C$37*'契約別単価'!J6+'前提と出典'!$C$38*'契約別単価'!J7)</ns0:f>
        <ns0:v>92981.90834994623</ns0:v>
      </ns0:c>
      <ns0:c r="K950" s="16">
        <ns0:f>A950*('前提と出典'!$C$36*'契約別単価'!K5+'前提と出典'!$C$37*'契約別単価'!K6+'前提と出典'!$C$38*'契約別単価'!K7)</ns0:f>
        <ns0:v>398553.147113594</ns0:v>
      </ns0:c>
      <ns0:c r="L950" s="16">
        <ns0:f>A950*('前提と出典'!$C$36*'契約別単価'!L5+'前提と出典'!$C$37*'契約別単価'!L6+'前提と出典'!$C$38*'契約別単価'!L7)</ns0:f>
        <ns0:v>324503.3622862918</ns0:v>
      </ns0:c>
      <ns0:c r="M950" s="16">
        <ns0:f>IF(('前提と出典'!$C$36+'前提と出典'!$C$38)=0,0,IF(B950&lt;=10,'前提と出典'!B73+'前提と出典'!C73,IF(B950&lt;=100,'前提と出典'!B74+'前提と出典'!C74,IF(B950&lt;=500,'前提と出典'!B75+'前提と出典'!C75,'前提と出典'!B76+'前提と出典'!C76))))</ns0:f>
        <ns0:v>80000</ns0:v>
      </ns0:c>
      <ns0:c r="N950" s="16">
        <ns0:f>IF(('前提と出典'!$C$37+'前提と出典'!$C$38)=0,0,IF(C950&lt;=10,'前提と出典'!D73+'前提と出典'!E73,IF(C950&lt;=100,'前提と出典'!D74+'前提と出典'!E74,IF(C950&lt;=500,'前提と出典'!D75+'前提と出典'!E75,'前提と出典'!D76+'前提と出典'!E76))))</ns0:f>
        <ns0:v>86510.9346263078</ns0:v>
      </ns0:c>
      <ns0:c r="O950" s="16">
        <ns0:f>IF('前提と出典'!$C$36+'前提と出典'!$C$38=0,0,'前提と出典'!$B$4*IF('前提と出典'!$B$20=0,MAX('前提と出典'!$B$6,D950*'前提と出典'!$B$5),'前提と出典'!$B$6+D950*'前提と出典'!$B$5))</ns0:f>
        <ns0:v>939362.1452513967</ns0:v>
      </ns0:c>
      <ns0:c r="P950" s="16">
        <ns0:f>(E950+G950)*(1-'前提と出典'!$B$7)-I950-K950-M950-O950</ns0:f>
        <ns0:v>2649906.1440095906</ns0:v>
      </ns0:c>
      <ns0:c r="Q950" s="16">
        <ns0:f>(F950+H950)*(1-'前提と出典'!$B$7)-J950-L950-N950</ns0:f>
        <ns0:v>792123.8243273316</ns0:v>
      </ns0:c>
      <ns0:c r="R950" s="16">
        <ns0:f>P950-E950*'前提と出典'!$E$4</ns0:f>
        <ns0:v>1936469.00839382</ns0:v>
      </ns0:c>
      <ns0:c r="S950" s="16">
        <ns0:f>Q950-F950*'前提と出典'!$E$4</ns0:f>
        <ns0:v>584817.2292224605</ns0:v>
      </ns0:c>
      <ns0:c r="T950" s="7">
        <ns0:f>R950+S950</ns0:f>
        <ns0:v>2521286.2376162806</ns0:v>
      </ns0:c>
      <ns0:c r="U950" s="16">
        <ns0:f>P950-E950*'前提と出典'!$E$5</ns0:f>
        <ns0:v>1698656.629855229</ns0:v>
      </ns0:c>
      <ns0:c r="V950" s="16">
        <ns0:f>Q950-F950*'前提と出典'!$E$5</ns0:f>
        <ns0:v>515715.0308541702</ns0:v>
      </ns0:c>
      <ns0:c r="W950" s="7">
        <ns0:f>U950+V950</ns0:f>
        <ns0:v>2214371.6607093993</ns0:v>
      </ns0:c>
      <ns0:c r="X950" s="16">
        <ns0:f>P950-E950*'前提と出典'!$E$6</ns0:f>
        <ns0:v>1460844.2513166391</ns0:v>
      </ns0:c>
      <ns0:c r="Y950" s="16">
        <ns0:f>Q950-F950*'前提と出典'!$E$6</ns0:f>
        <ns0:v>446612.83248588</ns0:v>
      </ns0:c>
      <ns0:c r="Z950" s="7">
        <ns0:f>X950+Y950</ns0:f>
        <ns0:v>1907457.0838025191</ns0:v>
      </ns0:c>
      <ns0:c r="AA950" s="7">
        <ns0:f>IF(T950&gt;=0,A950,1001)</ns0:f>
        <ns0:v>946</ns0:v>
      </ns0:c>
      <ns0:c r="AB950" s="7">
        <ns0:f>IF(T950&lt;0,A950,0)</ns0:f>
        <ns0:v>0</ns0:v>
      </ns0:c>
      <ns0:c r="AC950" s="16">
        <ns0:f>IF(AND(OR('前提と出典'!$C$36+'前提と出典'!$C$38=0,R950&gt;=0),OR('前提と出典'!$C$37+'前提と出典'!$C$38=0,S950&gt;=0)),0,A950)</ns0:f>
        <ns0:v>0</ns0:v>
      </ns0:c>
      <ns0:c r="AD950" s="7">
        <ns0:f>IF(W950&gt;=0,A950,1001)</ns0:f>
        <ns0:v>946</ns0:v>
      </ns0:c>
      <ns0:c r="AE950" s="7">
        <ns0:f>IF(W950&lt;0,A950,0)</ns0:f>
        <ns0:v>0</ns0:v>
      </ns0:c>
      <ns0:c r="AF950" s="16">
        <ns0:f>IF(AND(OR('前提と出典'!$C$36+'前提と出典'!$C$38=0,U950&gt;=0),OR('前提と出典'!$C$37+'前提と出典'!$C$38=0,V950&gt;=0)),0,A950)</ns0:f>
        <ns0:v>0</ns0:v>
      </ns0:c>
      <ns0:c r="AG950" s="7">
        <ns0:f>IF(Z950&gt;=0,A950,1001)</ns0:f>
        <ns0:v>946</ns0:v>
      </ns0:c>
      <ns0:c r="AH950" s="4">
        <ns0:f>IF(Z950&lt;0,A950,0)</ns0:f>
        <ns0:v>0</ns0:v>
      </ns0:c>
      <ns0:c r="AI950" s="12">
        <ns0:f>IF(AND(OR('前提と出典'!$C$36+'前提と出典'!$C$38=0,X950&gt;=0),OR('前提と出典'!$C$37+'前提と出典'!$C$38=0,Y950&gt;=0)),0,A950)</ns0:f>
        <ns0:v>0</ns0:v>
      </ns0:c>
    </ns0:row>
    <ns0:row r="951" ht="24" customHeight="1">
      <ns0:c r="A951" s="4" t="n">
        <ns0:v>947</ns0:v>
      </ns0:c>
      <ns0:c r="B951" s="12">
        <ns0:f>A951*('前提と出典'!$C$36+'前提と出典'!$C$38)</ns0:f>
        <ns0:v>662.9</ns0:v>
      </ns0:c>
      <ns0:c r="C951" s="12">
        <ns0:f>A951*('前提と出典'!$C$37+'前提と出典'!$C$38)</ns0:f>
        <ns0:v>568.1999999999999</ns0:v>
      </ns0:c>
      <ns0:c r="D951" s="16">
        <ns0:f>A951*('前提と出典'!$C$36*'契約別単価'!C5+'前提と出典'!$C$37*'契約別単価'!C6+'前提と出典'!$C$38*'契約別単価'!C7)</ns0:f>
        <ns0:v>6814.167597765363</ns0:v>
      </ns0:c>
      <ns0:c r="E951" s="16">
        <ns0:f>A951*('前提と出典'!$C$36*'契約別単価'!E5+'前提と出典'!$C$37*'契約別単価'!E6+'前提と出典'!$C$38*'契約別単価'!E7)</ns0:f>
        <ns0:v>2380637.658309145</ns0:v>
      </ns0:c>
      <ns0:c r="F951" s="16">
        <ns0:f>A951*('前提と出典'!$C$36*'契約別単価'!F5+'前提と出典'!$C$37*'契約別単価'!F6+'前提と出典'!$C$38*'契約別単価'!F7)</ns0:f>
        <ns0:v>691752.4508960989</ns0:v>
      </ns0:c>
      <ns0:c r="G951" s="16">
        <ns0:f>A951*('前提と出典'!$C$36*'契約別単価'!G5+'前提と出典'!$C$37*'契約別単価'!G6+'前提と出典'!$C$38*'契約別単価'!G7)</ns0:f>
        <ns0:v>1885006.1452513966</ns0:v>
      </ns0:c>
      <ns0:c r="H951" s="16">
        <ns0:f>A951*('前提と出典'!$C$36*'契約別単価'!H5+'前提と出典'!$C$37*'契約別単価'!H6+'前提と出典'!$C$38*'契約別単価'!H7)</ns0:f>
        <ns0:v>654191.6728895875</ns0:v>
      </ns0:c>
      <ns0:c r="I951" s="16">
        <ns0:f>A951*('前提と出典'!$C$36*'契約別単価'!I5+'前提と出典'!$C$37*'契約別単価'!I6+'前提と出典'!$C$38*'契約別単価'!I7)</ns0:f>
        <ns0:v>39959.16759776536</ns0:v>
      </ns0:c>
      <ns0:c r="J951" s="16">
        <ns0:f>A951*('前提と出典'!$C$36*'契約別単価'!J5+'前提と出典'!$C$37*'契約別単価'!J6+'前提と出典'!$C$38*'契約別単価'!J7)</ns0:f>
        <ns0:v>93080.19789365653</ns0:v>
      </ns0:c>
      <ns0:c r="K951" s="16">
        <ns0:f>A951*('前提と出典'!$C$36*'契約別単価'!K5+'前提と出典'!$C$37*'契約別単価'!K6+'前提と出典'!$C$38*'契約別単価'!K7)</ns0:f>
        <ns0:v>398974.45065176906</ns0:v>
      </ns0:c>
      <ns0:c r="L951" s="16">
        <ns0:f>A951*('前提と出典'!$C$36*'契約別単価'!L5+'前提と出典'!$C$37*'契約別単価'!L6+'前提と出典'!$C$38*'契約別単価'!L7)</ns0:f>
        <ns0:v>324846.38909631956</ns0:v>
      </ns0:c>
      <ns0:c r="M951" s="16">
        <ns0:f>IF(('前提と出典'!$C$36+'前提と出典'!$C$38)=0,0,IF(B951&lt;=10,'前提と出典'!B73+'前提と出典'!C73,IF(B951&lt;=100,'前提と出典'!B74+'前提と出典'!C74,IF(B951&lt;=500,'前提と出典'!B75+'前提と出典'!C75,'前提と出典'!B76+'前提と出典'!C76))))</ns0:f>
        <ns0:v>80000</ns0:v>
      </ns0:c>
      <ns0:c r="N951" s="16">
        <ns0:f>IF(('前提と出典'!$C$37+'前提と出典'!$C$38)=0,0,IF(C951&lt;=10,'前提と出典'!D73+'前提と出典'!E73,IF(C951&lt;=100,'前提と出典'!D74+'前提と出典'!E74,IF(C951&lt;=500,'前提と出典'!D75+'前提と出典'!E75,'前提と出典'!D76+'前提と出典'!E76))))</ns0:f>
        <ns0:v>86510.9346263078</ns0:v>
      </ns0:c>
      <ns0:c r="O951" s="16">
        <ns0:f>IF('前提と出典'!$C$36+'前提と出典'!$C$38=0,0,'前提と出典'!$B$4*IF('前提と出典'!$B$20=0,MAX('前提と出典'!$B$6,D951*'前提と出典'!$B$5),'前提と出典'!$B$6+D951*'前提と出典'!$B$5))</ns0:f>
        <ns0:v>940355.1284916202</ns0:v>
      </ns0:c>
      <ns0:c r="P951" s="16">
        <ns0:f>(E951+G951)*(1-'前提と出典'!$B$7)-I951-K951-M951-O951</ns0:f>
        <ns0:v>2652791.879891208</ns0:v>
      </ns0:c>
      <ns0:c r="Q951" s="16">
        <ns0:f>(F951+H951)*(1-'前提と出典'!$B$7)-J951-L951-N951</ns0:f>
        <ns0:v>793052.6137131175</ns0:v>
      </ns0:c>
      <ns0:c r="R951" s="16">
        <ns0:f>P951-E951*'前提と出典'!$E$4</ns0:f>
        <ns0:v>1938600.5823984644</ns0:v>
      </ns0:c>
      <ns0:c r="S951" s="16">
        <ns0:f>Q951-F951*'前提と出典'!$E$4</ns0:f>
        <ns0:v>585526.878444288</ns0:v>
      </ns0:c>
      <ns0:c r="T951" s="7">
        <ns0:f>R951+S951</ns0:f>
        <ns0:v>2524127.4608427524</ns0:v>
      </ns0:c>
      <ns0:c r="U951" s="16">
        <ns0:f>P951-E951*'前提と出典'!$E$5</ns0:f>
        <ns0:v>1700536.81656755</ns0:v>
      </ns0:c>
      <ns0:c r="V951" s="16">
        <ns0:f>Q951-F951*'前提と出典'!$E$5</ns0:f>
        <ns0:v>516351.63335467805</ns0:v>
      </ns0:c>
      <ns0:c r="W951" s="7">
        <ns0:f>U951+V951</ns0:f>
        <ns0:v>2216888.449922228</ns0:v>
      </ns0:c>
      <ns0:c r="X951" s="16">
        <ns0:f>P951-E951*'前提と出典'!$E$6</ns0:f>
        <ns0:v>1462473.0507366355</ns0:v>
      </ns0:c>
      <ns0:c r="Y951" s="16">
        <ns0:f>Q951-F951*'前提と出典'!$E$6</ns0:f>
        <ns0:v>447176.3882650682</ns0:v>
      </ns0:c>
      <ns0:c r="Z951" s="7">
        <ns0:f>X951+Y951</ns0:f>
        <ns0:v>1909649.4390017036</ns0:v>
      </ns0:c>
      <ns0:c r="AA951" s="7">
        <ns0:f>IF(T951&gt;=0,A951,1001)</ns0:f>
        <ns0:v>947</ns0:v>
      </ns0:c>
      <ns0:c r="AB951" s="7">
        <ns0:f>IF(T951&lt;0,A951,0)</ns0:f>
        <ns0:v>0</ns0:v>
      </ns0:c>
      <ns0:c r="AC951" s="16">
        <ns0:f>IF(AND(OR('前提と出典'!$C$36+'前提と出典'!$C$38=0,R951&gt;=0),OR('前提と出典'!$C$37+'前提と出典'!$C$38=0,S951&gt;=0)),0,A951)</ns0:f>
        <ns0:v>0</ns0:v>
      </ns0:c>
      <ns0:c r="AD951" s="7">
        <ns0:f>IF(W951&gt;=0,A951,1001)</ns0:f>
        <ns0:v>947</ns0:v>
      </ns0:c>
      <ns0:c r="AE951" s="7">
        <ns0:f>IF(W951&lt;0,A951,0)</ns0:f>
        <ns0:v>0</ns0:v>
      </ns0:c>
      <ns0:c r="AF951" s="16">
        <ns0:f>IF(AND(OR('前提と出典'!$C$36+'前提と出典'!$C$38=0,U951&gt;=0),OR('前提と出典'!$C$37+'前提と出典'!$C$38=0,V951&gt;=0)),0,A951)</ns0:f>
        <ns0:v>0</ns0:v>
      </ns0:c>
      <ns0:c r="AG951" s="7">
        <ns0:f>IF(Z951&gt;=0,A951,1001)</ns0:f>
        <ns0:v>947</ns0:v>
      </ns0:c>
      <ns0:c r="AH951" s="4">
        <ns0:f>IF(Z951&lt;0,A951,0)</ns0:f>
        <ns0:v>0</ns0:v>
      </ns0:c>
      <ns0:c r="AI951" s="12">
        <ns0:f>IF(AND(OR('前提と出典'!$C$36+'前提と出典'!$C$38=0,X951&gt;=0),OR('前提と出典'!$C$37+'前提と出典'!$C$38=0,Y951&gt;=0)),0,A951)</ns0:f>
        <ns0:v>0</ns0:v>
      </ns0:c>
    </ns0:row>
    <ns0:row r="952" ht="24" customHeight="1">
      <ns0:c r="A952" s="4" t="n">
        <ns0:v>948</ns0:v>
      </ns0:c>
      <ns0:c r="B952" s="12">
        <ns0:f>A952*('前提と出典'!$C$36+'前提と出典'!$C$38)</ns0:f>
        <ns0:v>663.5999999999999</ns0:v>
      </ns0:c>
      <ns0:c r="C952" s="12">
        <ns0:f>A952*('前提と出典'!$C$37+'前提と出典'!$C$38)</ns0:f>
        <ns0:v>568.8</ns0:v>
      </ns0:c>
      <ns0:c r="D952" s="16">
        <ns0:f>A952*('前提と出典'!$C$36*'契約別単価'!C5+'前提と出典'!$C$37*'契約別単価'!C6+'前提と出典'!$C$38*'契約別単価'!C7)</ns0:f>
        <ns0:v>6821.36312849162</ns0:v>
      </ns0:c>
      <ns0:c r="E952" s="16">
        <ns0:f>A952*('前提と出典'!$C$36*'契約別単価'!E5+'前提と出典'!$C$37*'契約別単価'!E6+'前提と出典'!$C$38*'契約別単価'!E7)</ns0:f>
        <ns0:v>2383151.531232386</ns0:v>
      </ns0:c>
      <ns0:c r="F952" s="16">
        <ns0:f>A952*('前提と出典'!$C$36*'契約別単価'!F5+'前提と出典'!$C$37*'契約別単価'!F6+'前提と出典'!$C$38*'契約別単価'!F7)</ns0:f>
        <ns0:v>692482.9181092944</ns0:v>
      </ns0:c>
      <ns0:c r="G952" s="16">
        <ns0:f>A952*('前提と出典'!$C$36*'契約別単価'!G5+'前提と出典'!$C$37*'契約別単価'!G6+'前提と出典'!$C$38*'契約別単価'!G7)</ns0:f>
        <ns0:v>1886996.6480446926</ns0:v>
      </ns0:c>
      <ns0:c r="H952" s="16">
        <ns0:f>A952*('前提と出典'!$C$36*'契約別単価'!H5+'前提と出典'!$C$37*'契約別単価'!H6+'前提と出典'!$C$38*'契約別単価'!H7)</ns0:f>
        <ns0:v>654882.4771904212</ns0:v>
      </ns0:c>
      <ns0:c r="I952" s="16">
        <ns0:f>A952*('前提と出典'!$C$36*'契約別単価'!I5+'前提と出典'!$C$37*'契約別単価'!I6+'前提と出典'!$C$38*'契約別単価'!I7)</ns0:f>
        <ns0:v>40001.36312849161</ns0:v>
      </ns0:c>
      <ns0:c r="J952" s="16">
        <ns0:f>A952*('前提と出典'!$C$36*'契約別単価'!J5+'前提と出典'!$C$37*'契約別単価'!J6+'前提と出典'!$C$38*'契約別単価'!J7)</ns0:f>
        <ns0:v>93178.48743736683</ns0:v>
      </ns0:c>
      <ns0:c r="K952" s="16">
        <ns0:f>A952*('前提と出典'!$C$36*'契約別単価'!K5+'前提と出典'!$C$37*'契約別単価'!K6+'前提と出典'!$C$38*'契約別単価'!K7)</ns0:f>
        <ns0:v>399395.7541899441</ns0:v>
      </ns0:c>
      <ns0:c r="L952" s="16">
        <ns0:f>A952*('前提と出典'!$C$36*'契約別単価'!L5+'前提と出典'!$C$37*'契約別単価'!L6+'前提と出典'!$C$38*'契約別単価'!L7)</ns0:f>
        <ns0:v>325189.4159063474</ns0:v>
      </ns0:c>
      <ns0:c r="M952" s="16">
        <ns0:f>IF(('前提と出典'!$C$36+'前提と出典'!$C$38)=0,0,IF(B952&lt;=10,'前提と出典'!B73+'前提と出典'!C73,IF(B952&lt;=100,'前提と出典'!B74+'前提と出典'!C74,IF(B952&lt;=500,'前提と出典'!B75+'前提と出典'!C75,'前提と出典'!B76+'前提と出典'!C76))))</ns0:f>
        <ns0:v>80000</ns0:v>
      </ns0:c>
      <ns0:c r="N952" s="16">
        <ns0:f>IF(('前提と出典'!$C$37+'前提と出典'!$C$38)=0,0,IF(C952&lt;=10,'前提と出典'!D73+'前提と出典'!E73,IF(C952&lt;=100,'前提と出典'!D74+'前提と出典'!E74,IF(C952&lt;=500,'前提と出典'!D75+'前提と出典'!E75,'前提と出典'!D76+'前提と出典'!E76))))</ns0:f>
        <ns0:v>86510.9346263078</ns0:v>
      </ns0:c>
      <ns0:c r="O952" s="16">
        <ns0:f>IF('前提と出典'!$C$36+'前提と出典'!$C$38=0,0,'前提と出典'!$B$4*IF('前提と出典'!$B$20=0,MAX('前提と出典'!$B$6,D952*'前提と出典'!$B$5),'前提と出典'!$B$6+D952*'前提と出典'!$B$5))</ns0:f>
        <ns0:v>941348.1117318437</ns0:v>
      </ns0:c>
      <ns0:c r="P952" s="16">
        <ns0:f>(E952+G952)*(1-'前提と出典'!$B$7)-I952-K952-M952-O952</ns0:f>
        <ns0:v>2655677.6157728243</ns0:v>
      </ns0:c>
      <ns0:c r="Q952" s="16">
        <ns0:f>(F952+H952)*(1-'前提と出典'!$B$7)-J952-L952-N952</ns0:f>
        <ns0:v>793981.4030989036</ns0:v>
      </ns0:c>
      <ns0:c r="R952" s="16">
        <ns0:f>P952-E952*'前提と出典'!$E$4</ns0:f>
        <ns0:v>1940732.156403108</ns0:v>
      </ns0:c>
      <ns0:c r="S952" s="16">
        <ns0:f>Q952-F952*'前提と出典'!$E$4</ns0:f>
        <ns0:v>586236.5276661152</ns0:v>
      </ns0:c>
      <ns0:c r="T952" s="7">
        <ns0:f>R952+S952</ns0:f>
        <ns0:v>2526968.6840692232</ns0:v>
      </ns0:c>
      <ns0:c r="U952" s="16">
        <ns0:f>P952-E952*'前提と出典'!$E$5</ns0:f>
        <ns0:v>1702417.00327987</ns0:v>
      </ns0:c>
      <ns0:c r="V952" s="16">
        <ns0:f>Q952-F952*'前提と出典'!$E$5</ns0:f>
        <ns0:v>516988.2358551859</ns0:v>
      </ns0:c>
      <ns0:c r="W952" s="7">
        <ns0:f>U952+V952</ns0:f>
        <ns0:v>2219405.239135056</ns0:v>
      </ns0:c>
      <ns0:c r="X952" s="16">
        <ns0:f>P952-E952*'前提と出典'!$E$6</ns0:f>
        <ns0:v>1464101.8501566309</ns0:v>
      </ns0:c>
      <ns0:c r="Y952" s="16">
        <ns0:f>Q952-F952*'前提と出典'!$E$6</ns0:f>
        <ns0:v>447739.94404425635</ns0:v>
      </ns0:c>
      <ns0:c r="Z952" s="7">
        <ns0:f>X952+Y952</ns0:f>
        <ns0:v>1911841.7942008872</ns0:v>
      </ns0:c>
      <ns0:c r="AA952" s="7">
        <ns0:f>IF(T952&gt;=0,A952,1001)</ns0:f>
        <ns0:v>948</ns0:v>
      </ns0:c>
      <ns0:c r="AB952" s="7">
        <ns0:f>IF(T952&lt;0,A952,0)</ns0:f>
        <ns0:v>0</ns0:v>
      </ns0:c>
      <ns0:c r="AC952" s="16">
        <ns0:f>IF(AND(OR('前提と出典'!$C$36+'前提と出典'!$C$38=0,R952&gt;=0),OR('前提と出典'!$C$37+'前提と出典'!$C$38=0,S952&gt;=0)),0,A952)</ns0:f>
        <ns0:v>0</ns0:v>
      </ns0:c>
      <ns0:c r="AD952" s="7">
        <ns0:f>IF(W952&gt;=0,A952,1001)</ns0:f>
        <ns0:v>948</ns0:v>
      </ns0:c>
      <ns0:c r="AE952" s="7">
        <ns0:f>IF(W952&lt;0,A952,0)</ns0:f>
        <ns0:v>0</ns0:v>
      </ns0:c>
      <ns0:c r="AF952" s="16">
        <ns0:f>IF(AND(OR('前提と出典'!$C$36+'前提と出典'!$C$38=0,U952&gt;=0),OR('前提と出典'!$C$37+'前提と出典'!$C$38=0,V952&gt;=0)),0,A952)</ns0:f>
        <ns0:v>0</ns0:v>
      </ns0:c>
      <ns0:c r="AG952" s="7">
        <ns0:f>IF(Z952&gt;=0,A952,1001)</ns0:f>
        <ns0:v>948</ns0:v>
      </ns0:c>
      <ns0:c r="AH952" s="4">
        <ns0:f>IF(Z952&lt;0,A952,0)</ns0:f>
        <ns0:v>0</ns0:v>
      </ns0:c>
      <ns0:c r="AI952" s="12">
        <ns0:f>IF(AND(OR('前提と出典'!$C$36+'前提と出典'!$C$38=0,X952&gt;=0),OR('前提と出典'!$C$37+'前提と出典'!$C$38=0,Y952&gt;=0)),0,A952)</ns0:f>
        <ns0:v>0</ns0:v>
      </ns0:c>
    </ns0:row>
    <ns0:row r="953" ht="24" customHeight="1">
      <ns0:c r="A953" s="4" t="n">
        <ns0:v>949</ns0:v>
      </ns0:c>
      <ns0:c r="B953" s="12">
        <ns0:f>A953*('前提と出典'!$C$36+'前提と出典'!$C$38)</ns0:f>
        <ns0:v>664.3</ns0:v>
      </ns0:c>
      <ns0:c r="C953" s="12">
        <ns0:f>A953*('前提と出典'!$C$37+'前提と出典'!$C$38)</ns0:f>
        <ns0:v>569.4</ns0:v>
      </ns0:c>
      <ns0:c r="D953" s="16">
        <ns0:f>A953*('前提と出典'!$C$36*'契約別単価'!C5+'前提と出典'!$C$37*'契約別単価'!C6+'前提と出典'!$C$38*'契約別単価'!C7)</ns0:f>
        <ns0:v>6828.558659217877</ns0:v>
      </ns0:c>
      <ns0:c r="E953" s="16">
        <ns0:f>A953*('前提と出典'!$C$36*'契約別単価'!E5+'前提と出典'!$C$37*'契約別単価'!E6+'前提と出典'!$C$38*'契約別単価'!E7)</ns0:f>
        <ns0:v>2385665.4041556264</ns0:v>
      </ns0:c>
      <ns0:c r="F953" s="16">
        <ns0:f>A953*('前提と出典'!$C$36*'契約別単価'!F5+'前提と出典'!$C$37*'契約別単価'!F6+'前提と出典'!$C$38*'契約別単価'!F7)</ns0:f>
        <ns0:v>693213.3853224898</ns0:v>
      </ns0:c>
      <ns0:c r="G953" s="16">
        <ns0:f>A953*('前提と出典'!$C$36*'契約別単価'!G5+'前提と出典'!$C$37*'契約別単価'!G6+'前提と出典'!$C$38*'契約別単価'!G7)</ns0:f>
        <ns0:v>1888987.1508379888</ns0:v>
      </ns0:c>
      <ns0:c r="H953" s="16">
        <ns0:f>A953*('前提と出典'!$C$36*'契約別単価'!H5+'前提と出典'!$C$37*'契約別単価'!H6+'前提と出典'!$C$38*'契約別単価'!H7)</ns0:f>
        <ns0:v>655573.281491255</ns0:v>
      </ns0:c>
      <ns0:c r="I953" s="16">
        <ns0:f>A953*('前提と出典'!$C$36*'契約別単価'!I5+'前提と出典'!$C$37*'契約別単価'!I6+'前提と出典'!$C$38*'契約別単価'!I7)</ns0:f>
        <ns0:v>40043.55865921787</ns0:v>
      </ns0:c>
      <ns0:c r="J953" s="16">
        <ns0:f>A953*('前提と出典'!$C$36*'契約別単価'!J5+'前提と出典'!$C$37*'契約別単価'!J6+'前提と出典'!$C$38*'契約別単価'!J7)</ns0:f>
        <ns0:v>93276.77698107714</ns0:v>
      </ns0:c>
      <ns0:c r="K953" s="16">
        <ns0:f>A953*('前提と出典'!$C$36*'契約別単価'!K5+'前提と出典'!$C$37*'契約別単価'!K6+'前提と出典'!$C$38*'契約別単価'!K7)</ns0:f>
        <ns0:v>399817.05772811914</ns0:v>
      </ns0:c>
      <ns0:c r="L953" s="16">
        <ns0:f>A953*('前提と出典'!$C$36*'契約別単価'!L5+'前提と出典'!$C$37*'契約別単価'!L6+'前提と出典'!$C$38*'契約別単価'!L7)</ns0:f>
        <ns0:v>325532.44271637517</ns0:v>
      </ns0:c>
      <ns0:c r="M953" s="16">
        <ns0:f>IF(('前提と出典'!$C$36+'前提と出典'!$C$38)=0,0,IF(B953&lt;=10,'前提と出典'!B73+'前提と出典'!C73,IF(B953&lt;=100,'前提と出典'!B74+'前提と出典'!C74,IF(B953&lt;=500,'前提と出典'!B75+'前提と出典'!C75,'前提と出典'!B76+'前提と出典'!C76))))</ns0:f>
        <ns0:v>80000</ns0:v>
      </ns0:c>
      <ns0:c r="N953" s="16">
        <ns0:f>IF(('前提と出典'!$C$37+'前提と出典'!$C$38)=0,0,IF(C953&lt;=10,'前提と出典'!D73+'前提と出典'!E73,IF(C953&lt;=100,'前提と出典'!D74+'前提と出典'!E74,IF(C953&lt;=500,'前提と出典'!D75+'前提と出典'!E75,'前提と出典'!D76+'前提と出典'!E76))))</ns0:f>
        <ns0:v>86510.9346263078</ns0:v>
      </ns0:c>
      <ns0:c r="O953" s="16">
        <ns0:f>IF('前提と出典'!$C$36+'前提と出典'!$C$38=0,0,'前提と出典'!$B$4*IF('前提と出典'!$B$20=0,MAX('前提と出典'!$B$6,D953*'前提と出典'!$B$5),'前提と出典'!$B$6+D953*'前提と出典'!$B$5))</ns0:f>
        <ns0:v>942341.094972067</ns0:v>
      </ns0:c>
      <ns0:c r="P953" s="16">
        <ns0:f>(E953+G953)*(1-'前提と出典'!$B$7)-I953-K953-M953-O953</ns0:f>
        <ns0:v>2658563.351654441</ns0:v>
      </ns0:c>
      <ns0:c r="Q953" s="16">
        <ns0:f>(F953+H953)*(1-'前提と出典'!$B$7)-J953-L953-N953</ns0:f>
        <ns0:v>794910.1924846896</ns0:v>
      </ns0:c>
      <ns0:c r="R953" s="16">
        <ns0:f>P953-E953*'前提と出典'!$E$4</ns0:f>
        <ns0:v>1942863.730407753</ns0:v>
      </ns0:c>
      <ns0:c r="S953" s="16">
        <ns0:f>Q953-F953*'前提と出典'!$E$4</ns0:f>
        <ns0:v>586946.1768879427</ns0:v>
      </ns0:c>
      <ns0:c r="T953" s="7">
        <ns0:f>R953+S953</ns0:f>
        <ns0:v>2529809.9072956955</ns0:v>
      </ns0:c>
      <ns0:c r="U953" s="16">
        <ns0:f>P953-E953*'前提と出典'!$E$5</ns0:f>
        <ns0:v>1704297.1899921903</ns0:v>
      </ns0:c>
      <ns0:c r="V953" s="16">
        <ns0:f>Q953-F953*'前提と出典'!$E$5</ns0:f>
        <ns0:v>517624.83835569373</ns0:v>
      </ns0:c>
      <ns0:c r="W953" s="7">
        <ns0:f>U953+V953</ns0:f>
        <ns0:v>2221922.0283478843</ns0:v>
      </ns0:c>
      <ns0:c r="X953" s="16">
        <ns0:f>P953-E953*'前提と出典'!$E$6</ns0:f>
        <ns0:v>1465730.6495766276</ns0:v>
      </ns0:c>
      <ns0:c r="Y953" s="16">
        <ns0:f>Q953-F953*'前提と出典'!$E$6</ns0:f>
        <ns0:v>448303.49982344476</ns0:v>
      </ns0:c>
      <ns0:c r="Z953" s="7">
        <ns0:f>X953+Y953</ns0:f>
        <ns0:v>1914034.1494000724</ns0:v>
      </ns0:c>
      <ns0:c r="AA953" s="7">
        <ns0:f>IF(T953&gt;=0,A953,1001)</ns0:f>
        <ns0:v>949</ns0:v>
      </ns0:c>
      <ns0:c r="AB953" s="7">
        <ns0:f>IF(T953&lt;0,A953,0)</ns0:f>
        <ns0:v>0</ns0:v>
      </ns0:c>
      <ns0:c r="AC953" s="16">
        <ns0:f>IF(AND(OR('前提と出典'!$C$36+'前提と出典'!$C$38=0,R953&gt;=0),OR('前提と出典'!$C$37+'前提と出典'!$C$38=0,S953&gt;=0)),0,A953)</ns0:f>
        <ns0:v>0</ns0:v>
      </ns0:c>
      <ns0:c r="AD953" s="7">
        <ns0:f>IF(W953&gt;=0,A953,1001)</ns0:f>
        <ns0:v>949</ns0:v>
      </ns0:c>
      <ns0:c r="AE953" s="7">
        <ns0:f>IF(W953&lt;0,A953,0)</ns0:f>
        <ns0:v>0</ns0:v>
      </ns0:c>
      <ns0:c r="AF953" s="16">
        <ns0:f>IF(AND(OR('前提と出典'!$C$36+'前提と出典'!$C$38=0,U953&gt;=0),OR('前提と出典'!$C$37+'前提と出典'!$C$38=0,V953&gt;=0)),0,A953)</ns0:f>
        <ns0:v>0</ns0:v>
      </ns0:c>
      <ns0:c r="AG953" s="7">
        <ns0:f>IF(Z953&gt;=0,A953,1001)</ns0:f>
        <ns0:v>949</ns0:v>
      </ns0:c>
      <ns0:c r="AH953" s="4">
        <ns0:f>IF(Z953&lt;0,A953,0)</ns0:f>
        <ns0:v>0</ns0:v>
      </ns0:c>
      <ns0:c r="AI953" s="12">
        <ns0:f>IF(AND(OR('前提と出典'!$C$36+'前提と出典'!$C$38=0,X953&gt;=0),OR('前提と出典'!$C$37+'前提と出典'!$C$38=0,Y953&gt;=0)),0,A953)</ns0:f>
        <ns0:v>0</ns0:v>
      </ns0:c>
    </ns0:row>
    <ns0:row r="954" ht="24" customHeight="1">
      <ns0:c r="A954" s="4" t="n">
        <ns0:v>950</ns0:v>
      </ns0:c>
      <ns0:c r="B954" s="12">
        <ns0:f>A954*('前提と出典'!$C$36+'前提と出典'!$C$38)</ns0:f>
        <ns0:v>665</ns0:v>
      </ns0:c>
      <ns0:c r="C954" s="12">
        <ns0:f>A954*('前提と出典'!$C$37+'前提と出典'!$C$38)</ns0:f>
        <ns0:v>570</ns0:v>
      </ns0:c>
      <ns0:c r="D954" s="16">
        <ns0:f>A954*('前提と出典'!$C$36*'契約別単価'!C5+'前提と出典'!$C$37*'契約別単価'!C6+'前提と出典'!$C$38*'契約別単価'!C7)</ns0:f>
        <ns0:v>6835.754189944134</ns0:v>
      </ns0:c>
      <ns0:c r="E954" s="16">
        <ns0:f>A954*('前提と出典'!$C$36*'契約別単価'!E5+'前提と出典'!$C$37*'契約別単価'!E6+'前提と出典'!$C$38*'契約別単価'!E7)</ns0:f>
        <ns0:v>2388179.2770788674</ns0:v>
      </ns0:c>
      <ns0:c r="F954" s="16">
        <ns0:f>A954*('前提と出典'!$C$36*'契約別単価'!F5+'前提と出典'!$C$37*'契約別単価'!F6+'前提と出典'!$C$38*'契約別単価'!F7)</ns0:f>
        <ns0:v>693943.8525356853</ns0:v>
      </ns0:c>
      <ns0:c r="G954" s="16">
        <ns0:f>A954*('前提と出典'!$C$36*'契約別単価'!G5+'前提と出典'!$C$37*'契約別単価'!G6+'前提と出典'!$C$38*'契約別単価'!G7)</ns0:f>
        <ns0:v>1890977.6536312848</ns0:v>
      </ns0:c>
      <ns0:c r="H954" s="16">
        <ns0:f>A954*('前提と出典'!$C$36*'契約別単価'!H5+'前提と出典'!$C$37*'契約別単価'!H6+'前提と出典'!$C$38*'契約別単価'!H7)</ns0:f>
        <ns0:v>656264.0857920888</ns0:v>
      </ns0:c>
      <ns0:c r="I954" s="16">
        <ns0:f>A954*('前提と出典'!$C$36*'契約別単価'!I5+'前提と出典'!$C$37*'契約別単価'!I6+'前提と出典'!$C$38*'契約別単価'!I7)</ns0:f>
        <ns0:v>40085.75418994413</ns0:v>
      </ns0:c>
      <ns0:c r="J954" s="16">
        <ns0:f>A954*('前提と出典'!$C$36*'契約別単価'!J5+'前提と出典'!$C$37*'契約別単価'!J6+'前提と出典'!$C$38*'契約別単価'!J7)</ns0:f>
        <ns0:v>93375.06652478744</ns0:v>
      </ns0:c>
      <ns0:c r="K954" s="16">
        <ns0:f>A954*('前提と出典'!$C$36*'契約別単価'!K5+'前提と出典'!$C$37*'契約別単価'!K6+'前提と出典'!$C$38*'契約別単価'!K7)</ns0:f>
        <ns0:v>400238.3612662942</ns0:v>
      </ns0:c>
      <ns0:c r="L954" s="16">
        <ns0:f>A954*('前提と出典'!$C$36*'契約別単価'!L5+'前提と出典'!$C$37*'契約別単価'!L6+'前提と出典'!$C$38*'契約別単価'!L7)</ns0:f>
        <ns0:v>325875.46952640294</ns0:v>
      </ns0:c>
      <ns0:c r="M954" s="16">
        <ns0:f>IF(('前提と出典'!$C$36+'前提と出典'!$C$38)=0,0,IF(B954&lt;=10,'前提と出典'!B73+'前提と出典'!C73,IF(B954&lt;=100,'前提と出典'!B74+'前提と出典'!C74,IF(B954&lt;=500,'前提と出典'!B75+'前提と出典'!C75,'前提と出典'!B76+'前提と出典'!C76))))</ns0:f>
        <ns0:v>80000</ns0:v>
      </ns0:c>
      <ns0:c r="N954" s="16">
        <ns0:f>IF(('前提と出典'!$C$37+'前提と出典'!$C$38)=0,0,IF(C954&lt;=10,'前提と出典'!D73+'前提と出典'!E73,IF(C954&lt;=100,'前提と出典'!D74+'前提と出典'!E74,IF(C954&lt;=500,'前提と出典'!D75+'前提と出典'!E75,'前提と出典'!D76+'前提と出典'!E76))))</ns0:f>
        <ns0:v>86510.9346263078</ns0:v>
      </ns0:c>
      <ns0:c r="O954" s="16">
        <ns0:f>IF('前提と出典'!$C$36+'前提と出典'!$C$38=0,0,'前提と出典'!$B$4*IF('前提と出典'!$B$20=0,MAX('前提と出典'!$B$6,D954*'前提と出典'!$B$5),'前提と出典'!$B$6+D954*'前提と出典'!$B$5))</ns0:f>
        <ns0:v>943334.0782122905</ns0:v>
      </ns0:c>
      <ns0:c r="P954" s="16">
        <ns0:f>(E954+G954)*(1-'前提と出典'!$B$7)-I954-K954-M954-O954</ns0:f>
        <ns0:v>2661449.0875360575</ns0:v>
      </ns0:c>
      <ns0:c r="Q954" s="16">
        <ns0:f>(F954+H954)*(1-'前提と出典'!$B$7)-J954-L954-N954</ns0:f>
        <ns0:v>795838.9818704759</ns0:v>
      </ns0:c>
      <ns0:c r="R954" s="16">
        <ns0:f>P954-E954*'前提と出典'!$E$4</ns0:f>
        <ns0:v>1944995.3044123976</ns0:v>
      </ns0:c>
      <ns0:c r="S954" s="16">
        <ns0:f>Q954-F954*'前提と出典'!$E$4</ns0:f>
        <ns0:v>587655.8261097705</ns0:v>
      </ns0:c>
      <ns0:c r="T954" s="7">
        <ns0:f>R954+S954</ns0:f>
        <ns0:v>2532651.1305221682</ns0:v>
      </ns0:c>
      <ns0:c r="U954" s="16">
        <ns0:f>P954-E954*'前提と出典'!$E$5</ns0:f>
        <ns0:v>1706177.3767045103</ns0:v>
      </ns0:c>
      <ns0:c r="V954" s="16">
        <ns0:f>Q954-F954*'前提と出典'!$E$5</ns0:f>
        <ns0:v>518261.4408562018</ns0:v>
      </ns0:c>
      <ns0:c r="W954" s="7">
        <ns0:f>U954+V954</ns0:f>
        <ns0:v>2224438.817560712</ns0:v>
      </ns0:c>
      <ns0:c r="X954" s="16">
        <ns0:f>P954-E954*'前提と出典'!$E$6</ns0:f>
        <ns0:v>1467359.448996624</ns0:v>
      </ns0:c>
      <ns0:c r="Y954" s="16">
        <ns0:f>Q954-F954*'前提と出典'!$E$6</ns0:f>
        <ns0:v>448867.05560263316</ns0:v>
      </ns0:c>
      <ns0:c r="Z954" s="7">
        <ns0:f>X954+Y954</ns0:f>
        <ns0:v>1916226.5045992571</ns0:v>
      </ns0:c>
      <ns0:c r="AA954" s="7">
        <ns0:f>IF(T954&gt;=0,A954,1001)</ns0:f>
        <ns0:v>950</ns0:v>
      </ns0:c>
      <ns0:c r="AB954" s="7">
        <ns0:f>IF(T954&lt;0,A954,0)</ns0:f>
        <ns0:v>0</ns0:v>
      </ns0:c>
      <ns0:c r="AC954" s="16">
        <ns0:f>IF(AND(OR('前提と出典'!$C$36+'前提と出典'!$C$38=0,R954&gt;=0),OR('前提と出典'!$C$37+'前提と出典'!$C$38=0,S954&gt;=0)),0,A954)</ns0:f>
        <ns0:v>0</ns0:v>
      </ns0:c>
      <ns0:c r="AD954" s="7">
        <ns0:f>IF(W954&gt;=0,A954,1001)</ns0:f>
        <ns0:v>950</ns0:v>
      </ns0:c>
      <ns0:c r="AE954" s="7">
        <ns0:f>IF(W954&lt;0,A954,0)</ns0:f>
        <ns0:v>0</ns0:v>
      </ns0:c>
      <ns0:c r="AF954" s="16">
        <ns0:f>IF(AND(OR('前提と出典'!$C$36+'前提と出典'!$C$38=0,U954&gt;=0),OR('前提と出典'!$C$37+'前提と出典'!$C$38=0,V954&gt;=0)),0,A954)</ns0:f>
        <ns0:v>0</ns0:v>
      </ns0:c>
      <ns0:c r="AG954" s="7">
        <ns0:f>IF(Z954&gt;=0,A954,1001)</ns0:f>
        <ns0:v>950</ns0:v>
      </ns0:c>
      <ns0:c r="AH954" s="4">
        <ns0:f>IF(Z954&lt;0,A954,0)</ns0:f>
        <ns0:v>0</ns0:v>
      </ns0:c>
      <ns0:c r="AI954" s="12">
        <ns0:f>IF(AND(OR('前提と出典'!$C$36+'前提と出典'!$C$38=0,X954&gt;=0),OR('前提と出典'!$C$37+'前提と出典'!$C$38=0,Y954&gt;=0)),0,A954)</ns0:f>
        <ns0:v>0</ns0:v>
      </ns0:c>
    </ns0:row>
    <ns0:row r="955" ht="24" customHeight="1">
      <ns0:c r="A955" s="4" t="n">
        <ns0:v>951</ns0:v>
      </ns0:c>
      <ns0:c r="B955" s="12">
        <ns0:f>A955*('前提と出典'!$C$36+'前提と出典'!$C$38)</ns0:f>
        <ns0:v>665.6999999999999</ns0:v>
      </ns0:c>
      <ns0:c r="C955" s="12">
        <ns0:f>A955*('前提と出典'!$C$37+'前提と出典'!$C$38)</ns0:f>
        <ns0:v>570.6</ns0:v>
      </ns0:c>
      <ns0:c r="D955" s="16">
        <ns0:f>A955*('前提と出典'!$C$36*'契約別単価'!C5+'前提と出典'!$C$37*'契約別単価'!C6+'前提と出典'!$C$38*'契約別単価'!C7)</ns0:f>
        <ns0:v>6842.949720670391</ns0:v>
      </ns0:c>
      <ns0:c r="E955" s="16">
        <ns0:f>A955*('前提と出典'!$C$36*'契約別単価'!E5+'前提と出典'!$C$37*'契約別単価'!E6+'前提と出典'!$C$38*'契約別単価'!E7)</ns0:f>
        <ns0:v>2390693.1500021084</ns0:v>
      </ns0:c>
      <ns0:c r="F955" s="16">
        <ns0:f>A955*('前提と出典'!$C$36*'契約別単価'!F5+'前提と出典'!$C$37*'契約別単価'!F6+'前提と出典'!$C$38*'契約別単価'!F7)</ns0:f>
        <ns0:v>694674.3197488807</ns0:v>
      </ns0:c>
      <ns0:c r="G955" s="16">
        <ns0:f>A955*('前提と出典'!$C$36*'契約別単価'!G5+'前提と出典'!$C$37*'契約別単価'!G6+'前提と出典'!$C$38*'契約別単価'!G7)</ns0:f>
        <ns0:v>1892968.1564245808</ns0:v>
      </ns0:c>
      <ns0:c r="H955" s="16">
        <ns0:f>A955*('前提と出典'!$C$36*'契約別単価'!H5+'前提と出典'!$C$37*'契約別単価'!H6+'前提と出典'!$C$38*'契約別単価'!H7)</ns0:f>
        <ns0:v>656954.8900929226</ns0:v>
      </ns0:c>
      <ns0:c r="I955" s="16">
        <ns0:f>A955*('前提と出典'!$C$36*'契約別単価'!I5+'前提と出典'!$C$37*'契約別単価'!I6+'前提と出典'!$C$38*'契約別単価'!I7)</ns0:f>
        <ns0:v>40127.94972067038</ns0:v>
      </ns0:c>
      <ns0:c r="J955" s="16">
        <ns0:f>A955*('前提と出典'!$C$36*'契約別単価'!J5+'前提と出典'!$C$37*'契約別単価'!J6+'前提と出典'!$C$38*'契約別単価'!J7)</ns0:f>
        <ns0:v>93473.35606849774</ns0:v>
      </ns0:c>
      <ns0:c r="K955" s="16">
        <ns0:f>A955*('前提と出典'!$C$36*'契約別単価'!K5+'前提と出典'!$C$37*'契約別単価'!K6+'前提と出典'!$C$38*'契約別単価'!K7)</ns0:f>
        <ns0:v>400659.66480446927</ns0:v>
      </ns0:c>
      <ns0:c r="L955" s="16">
        <ns0:f>A955*('前提と出典'!$C$36*'契約別単価'!L5+'前提と出典'!$C$37*'契約別単価'!L6+'前提と出典'!$C$38*'契約別単価'!L7)</ns0:f>
        <ns0:v>326218.4963364307</ns0:v>
      </ns0:c>
      <ns0:c r="M955" s="16">
        <ns0:f>IF(('前提と出典'!$C$36+'前提と出典'!$C$38)=0,0,IF(B955&lt;=10,'前提と出典'!B73+'前提と出典'!C73,IF(B955&lt;=100,'前提と出典'!B74+'前提と出典'!C74,IF(B955&lt;=500,'前提と出典'!B75+'前提と出典'!C75,'前提と出典'!B76+'前提と出典'!C76))))</ns0:f>
        <ns0:v>80000</ns0:v>
      </ns0:c>
      <ns0:c r="N955" s="16">
        <ns0:f>IF(('前提と出典'!$C$37+'前提と出典'!$C$38)=0,0,IF(C955&lt;=10,'前提と出典'!D73+'前提と出典'!E73,IF(C955&lt;=100,'前提と出典'!D74+'前提と出典'!E74,IF(C955&lt;=500,'前提と出典'!D75+'前提と出典'!E75,'前提と出典'!D76+'前提と出典'!E76))))</ns0:f>
        <ns0:v>86510.9346263078</ns0:v>
      </ns0:c>
      <ns0:c r="O955" s="16">
        <ns0:f>IF('前提と出典'!$C$36+'前提と出典'!$C$38=0,0,'前提と出典'!$B$4*IF('前提と出典'!$B$20=0,MAX('前提と出典'!$B$6,D955*'前提と出典'!$B$5),'前提と出典'!$B$6+D955*'前提と出典'!$B$5))</ns0:f>
        <ns0:v>944327.0614525139</ns0:v>
      </ns0:c>
      <ns0:c r="P955" s="16">
        <ns0:f>(E955+G955)*(1-'前提と出典'!$B$7)-I955-K955-M955-O955</ns0:f>
        <ns0:v>2664334.8234176743</ns0:v>
      </ns0:c>
      <ns0:c r="Q955" s="16">
        <ns0:f>(F955+H955)*(1-'前提と出典'!$B$7)-J955-L955-N955</ns0:f>
        <ns0:v>796767.771256262</ns0:v>
      </ns0:c>
      <ns0:c r="R955" s="16">
        <ns0:f>P955-E955*'前提と出典'!$E$4</ns0:f>
        <ns0:v>1947126.8784170416</ns0:v>
      </ns0:c>
      <ns0:c r="S955" s="16">
        <ns0:f>Q955-F955*'前提と出典'!$E$4</ns0:f>
        <ns0:v>588365.4753315977</ns0:v>
      </ns0:c>
      <ns0:c r="T955" s="7">
        <ns0:f>R955+S955</ns0:f>
        <ns0:v>2535492.353748639</ns0:v>
      </ns0:c>
      <ns0:c r="U955" s="16">
        <ns0:f>P955-E955*'前提と出典'!$E$5</ns0:f>
        <ns0:v>1708057.5634168307</ns0:v>
      </ns0:c>
      <ns0:c r="V955" s="16">
        <ns0:f>Q955-F955*'前提と出典'!$E$5</ns0:f>
        <ns0:v>518898.04335670965</ns0:v>
      </ns0:c>
      <ns0:c r="W955" s="7">
        <ns0:f>U955+V955</ns0:f>
        <ns0:v>2226955.6067735404</ns0:v>
      </ns0:c>
      <ns0:c r="X955" s="16">
        <ns0:f>P955-E955*'前提と出典'!$E$6</ns0:f>
        <ns0:v>1468988.2484166198</ns0:v>
      </ns0:c>
      <ns0:c r="Y955" s="16">
        <ns0:f>Q955-F955*'前提と出典'!$E$6</ns0:f>
        <ns0:v>449430.61138182157</ns0:v>
      </ns0:c>
      <ns0:c r="Z955" s="7">
        <ns0:f>X955+Y955</ns0:f>
        <ns0:v>1918418.8597984414</ns0:v>
      </ns0:c>
      <ns0:c r="AA955" s="7">
        <ns0:f>IF(T955&gt;=0,A955,1001)</ns0:f>
        <ns0:v>951</ns0:v>
      </ns0:c>
      <ns0:c r="AB955" s="7">
        <ns0:f>IF(T955&lt;0,A955,0)</ns0:f>
        <ns0:v>0</ns0:v>
      </ns0:c>
      <ns0:c r="AC955" s="16">
        <ns0:f>IF(AND(OR('前提と出典'!$C$36+'前提と出典'!$C$38=0,R955&gt;=0),OR('前提と出典'!$C$37+'前提と出典'!$C$38=0,S955&gt;=0)),0,A955)</ns0:f>
        <ns0:v>0</ns0:v>
      </ns0:c>
      <ns0:c r="AD955" s="7">
        <ns0:f>IF(W955&gt;=0,A955,1001)</ns0:f>
        <ns0:v>951</ns0:v>
      </ns0:c>
      <ns0:c r="AE955" s="7">
        <ns0:f>IF(W955&lt;0,A955,0)</ns0:f>
        <ns0:v>0</ns0:v>
      </ns0:c>
      <ns0:c r="AF955" s="16">
        <ns0:f>IF(AND(OR('前提と出典'!$C$36+'前提と出典'!$C$38=0,U955&gt;=0),OR('前提と出典'!$C$37+'前提と出典'!$C$38=0,V955&gt;=0)),0,A955)</ns0:f>
        <ns0:v>0</ns0:v>
      </ns0:c>
      <ns0:c r="AG955" s="7">
        <ns0:f>IF(Z955&gt;=0,A955,1001)</ns0:f>
        <ns0:v>951</ns0:v>
      </ns0:c>
      <ns0:c r="AH955" s="4">
        <ns0:f>IF(Z955&lt;0,A955,0)</ns0:f>
        <ns0:v>0</ns0:v>
      </ns0:c>
      <ns0:c r="AI955" s="12">
        <ns0:f>IF(AND(OR('前提と出典'!$C$36+'前提と出典'!$C$38=0,X955&gt;=0),OR('前提と出典'!$C$37+'前提と出典'!$C$38=0,Y955&gt;=0)),0,A955)</ns0:f>
        <ns0:v>0</ns0:v>
      </ns0:c>
    </ns0:row>
    <ns0:row r="956" ht="24" customHeight="1">
      <ns0:c r="A956" s="4" t="n">
        <ns0:v>952</ns0:v>
      </ns0:c>
      <ns0:c r="B956" s="12">
        <ns0:f>A956*('前提と出典'!$C$36+'前提と出典'!$C$38)</ns0:f>
        <ns0:v>666.4</ns0:v>
      </ns0:c>
      <ns0:c r="C956" s="12">
        <ns0:f>A956*('前提と出典'!$C$37+'前提と出典'!$C$38)</ns0:f>
        <ns0:v>571.1999999999999</ns0:v>
      </ns0:c>
      <ns0:c r="D956" s="16">
        <ns0:f>A956*('前提と出典'!$C$36*'契約別単価'!C5+'前提と出典'!$C$37*'契約別単価'!C6+'前提と出典'!$C$38*'契約別単価'!C7)</ns0:f>
        <ns0:v>6850.145251396648</ns0:v>
      </ns0:c>
      <ns0:c r="E956" s="16">
        <ns0:f>A956*('前提と出典'!$C$36*'契約別単価'!E5+'前提と出典'!$C$37*'契約別単価'!E6+'前提と出典'!$C$38*'契約別単価'!E7)</ns0:f>
        <ns0:v>2393207.0229253494</ns0:v>
      </ns0:c>
      <ns0:c r="F956" s="16">
        <ns0:f>A956*('前提と出典'!$C$36*'契約別単価'!F5+'前提と出典'!$C$37*'契約別単価'!F6+'前提と出典'!$C$38*'契約別単価'!F7)</ns0:f>
        <ns0:v>695404.7869620762</ns0:v>
      </ns0:c>
      <ns0:c r="G956" s="16">
        <ns0:f>A956*('前提と出典'!$C$36*'契約別単価'!G5+'前提と出典'!$C$37*'契約別単価'!G6+'前提と出典'!$C$38*'契約別単価'!G7)</ns0:f>
        <ns0:v>1894958.659217877</ns0:v>
      </ns0:c>
      <ns0:c r="H956" s="16">
        <ns0:f>A956*('前提と出典'!$C$36*'契約別単価'!H5+'前提と出典'!$C$37*'契約別単価'!H6+'前提と出典'!$C$38*'契約別単価'!H7)</ns0:f>
        <ns0:v>657645.6943937563</ns0:v>
      </ns0:c>
      <ns0:c r="I956" s="16">
        <ns0:f>A956*('前提と出典'!$C$36*'契約別単価'!I5+'前提と出典'!$C$37*'契約別単価'!I6+'前提と出典'!$C$38*'契約別単価'!I7)</ns0:f>
        <ns0:v>40170.14525139664</ns0:v>
      </ns0:c>
      <ns0:c r="J956" s="16">
        <ns0:f>A956*('前提と出典'!$C$36*'契約別単価'!J5+'前提と出典'!$C$37*'契約別単価'!J6+'前提と出典'!$C$38*'契約別単価'!J7)</ns0:f>
        <ns0:v>93571.64561220804</ns0:v>
      </ns0:c>
      <ns0:c r="K956" s="16">
        <ns0:f>A956*('前提と出典'!$C$36*'契約別単価'!K5+'前提と出典'!$C$37*'契約別単価'!K6+'前提と出典'!$C$38*'契約別単価'!K7)</ns0:f>
        <ns0:v>401080.9683426443</ns0:v>
      </ns0:c>
      <ns0:c r="L956" s="16">
        <ns0:f>A956*('前提と出典'!$C$36*'契約別単価'!L5+'前提と出典'!$C$37*'契約別単価'!L6+'前提と出典'!$C$38*'契約別単価'!L7)</ns0:f>
        <ns0:v>326561.52314645855</ns0:v>
      </ns0:c>
      <ns0:c r="M956" s="16">
        <ns0:f>IF(('前提と出典'!$C$36+'前提と出典'!$C$38)=0,0,IF(B956&lt;=10,'前提と出典'!B73+'前提と出典'!C73,IF(B956&lt;=100,'前提と出典'!B74+'前提と出典'!C74,IF(B956&lt;=500,'前提と出典'!B75+'前提と出典'!C75,'前提と出典'!B76+'前提と出典'!C76))))</ns0:f>
        <ns0:v>80000</ns0:v>
      </ns0:c>
      <ns0:c r="N956" s="16">
        <ns0:f>IF(('前提と出典'!$C$37+'前提と出典'!$C$38)=0,0,IF(C956&lt;=10,'前提と出典'!D73+'前提と出典'!E73,IF(C956&lt;=100,'前提と出典'!D74+'前提と出典'!E74,IF(C956&lt;=500,'前提と出典'!D75+'前提と出典'!E75,'前提と出典'!D76+'前提と出典'!E76))))</ns0:f>
        <ns0:v>86510.9346263078</ns0:v>
      </ns0:c>
      <ns0:c r="O956" s="16">
        <ns0:f>IF('前提と出典'!$C$36+'前提と出典'!$C$38=0,0,'前提と出典'!$B$4*IF('前提と出典'!$B$20=0,MAX('前提と出典'!$B$6,D956*'前提と出典'!$B$5),'前提と出典'!$B$6+D956*'前提と出典'!$B$5))</ns0:f>
        <ns0:v>945320.0446927374</ns0:v>
      </ns0:c>
      <ns0:c r="P956" s="16">
        <ns0:f>(E956+G956)*(1-'前提と出典'!$B$7)-I956-K956-M956-O956</ns0:f>
        <ns0:v>2667220.559299292</ns0:v>
      </ns0:c>
      <ns0:c r="Q956" s="16">
        <ns0:f>(F956+H956)*(1-'前提と出典'!$B$7)-J956-L956-N956</ns0:f>
        <ns0:v>797696.560642048</ns0:v>
      </ns0:c>
      <ns0:c r="R956" s="16">
        <ns0:f>P956-E956*'前提と出典'!$E$4</ns0:f>
        <ns0:v>1949258.452421687</ns0:v>
      </ns0:c>
      <ns0:c r="S956" s="16">
        <ns0:f>Q956-F956*'前提と出典'!$E$4</ns0:f>
        <ns0:v>589075.1245534252</ns0:v>
      </ns0:c>
      <ns0:c r="T956" s="7">
        <ns0:f>R956+S956</ns0:f>
        <ns0:v>2538333.5769751123</ns0:v>
      </ns0:c>
      <ns0:c r="U956" s="16">
        <ns0:f>P956-E956*'前提と出典'!$E$5</ns0:f>
        <ns0:v>1709937.750129152</ns0:v>
      </ns0:c>
      <ns0:c r="V956" s="16">
        <ns0:f>Q956-F956*'前提と出典'!$E$5</ns0:f>
        <ns0:v>519534.6458572175</ns0:v>
      </ns0:c>
      <ns0:c r="W956" s="7">
        <ns0:f>U956+V956</ns0:f>
        <ns0:v>2229472.39598637</ns0:v>
      </ns0:c>
      <ns0:c r="X956" s="16">
        <ns0:f>P956-E956*'前提と出典'!$E$6</ns0:f>
        <ns0:v>1470617.0478366176</ns0:v>
      </ns0:c>
      <ns0:c r="Y956" s="16">
        <ns0:f>Q956-F956*'前提と出典'!$E$6</ns0:f>
        <ns0:v>449994.16716101</ns0:v>
      </ns0:c>
      <ns0:c r="Z956" s="7">
        <ns0:f>X956+Y956</ns0:f>
        <ns0:v>1920611.2149976275</ns0:v>
      </ns0:c>
      <ns0:c r="AA956" s="7">
        <ns0:f>IF(T956&gt;=0,A956,1001)</ns0:f>
        <ns0:v>952</ns0:v>
      </ns0:c>
      <ns0:c r="AB956" s="7">
        <ns0:f>IF(T956&lt;0,A956,0)</ns0:f>
        <ns0:v>0</ns0:v>
      </ns0:c>
      <ns0:c r="AC956" s="16">
        <ns0:f>IF(AND(OR('前提と出典'!$C$36+'前提と出典'!$C$38=0,R956&gt;=0),OR('前提と出典'!$C$37+'前提と出典'!$C$38=0,S956&gt;=0)),0,A956)</ns0:f>
        <ns0:v>0</ns0:v>
      </ns0:c>
      <ns0:c r="AD956" s="7">
        <ns0:f>IF(W956&gt;=0,A956,1001)</ns0:f>
        <ns0:v>952</ns0:v>
      </ns0:c>
      <ns0:c r="AE956" s="7">
        <ns0:f>IF(W956&lt;0,A956,0)</ns0:f>
        <ns0:v>0</ns0:v>
      </ns0:c>
      <ns0:c r="AF956" s="16">
        <ns0:f>IF(AND(OR('前提と出典'!$C$36+'前提と出典'!$C$38=0,U956&gt;=0),OR('前提と出典'!$C$37+'前提と出典'!$C$38=0,V956&gt;=0)),0,A956)</ns0:f>
        <ns0:v>0</ns0:v>
      </ns0:c>
      <ns0:c r="AG956" s="7">
        <ns0:f>IF(Z956&gt;=0,A956,1001)</ns0:f>
        <ns0:v>952</ns0:v>
      </ns0:c>
      <ns0:c r="AH956" s="4">
        <ns0:f>IF(Z956&lt;0,A956,0)</ns0:f>
        <ns0:v>0</ns0:v>
      </ns0:c>
      <ns0:c r="AI956" s="12">
        <ns0:f>IF(AND(OR('前提と出典'!$C$36+'前提と出典'!$C$38=0,X956&gt;=0),OR('前提と出典'!$C$37+'前提と出典'!$C$38=0,Y956&gt;=0)),0,A956)</ns0:f>
        <ns0:v>0</ns0:v>
      </ns0:c>
    </ns0:row>
    <ns0:row r="957" ht="24" customHeight="1">
      <ns0:c r="A957" s="4" t="n">
        <ns0:v>953</ns0:v>
      </ns0:c>
      <ns0:c r="B957" s="12">
        <ns0:f>A957*('前提と出典'!$C$36+'前提と出典'!$C$38)</ns0:f>
        <ns0:v>667.0999999999999</ns0:v>
      </ns0:c>
      <ns0:c r="C957" s="12">
        <ns0:f>A957*('前提と出典'!$C$37+'前提と出典'!$C$38)</ns0:f>
        <ns0:v>571.8</ns0:v>
      </ns0:c>
      <ns0:c r="D957" s="16">
        <ns0:f>A957*('前提と出典'!$C$36*'契約別単価'!C5+'前提と出典'!$C$37*'契約別単価'!C6+'前提と出典'!$C$38*'契約別単価'!C7)</ns0:f>
        <ns0:v>6857.340782122905</ns0:v>
      </ns0:c>
      <ns0:c r="E957" s="16">
        <ns0:f>A957*('前提と出典'!$C$36*'契約別単価'!E5+'前提と出典'!$C$37*'契約別単価'!E6+'前提と出典'!$C$38*'契約別単価'!E7)</ns0:f>
        <ns0:v>2395720.8958485904</ns0:v>
      </ns0:c>
      <ns0:c r="F957" s="16">
        <ns0:f>A957*('前提と出典'!$C$36*'契約別単価'!F5+'前提と出典'!$C$37*'契約別単価'!F6+'前提と出典'!$C$38*'契約別単価'!F7)</ns0:f>
        <ns0:v>696135.2541752716</ns0:v>
      </ns0:c>
      <ns0:c r="G957" s="16">
        <ns0:f>A957*('前提と出典'!$C$36*'契約別単価'!G5+'前提と出典'!$C$37*'契約別単価'!G6+'前提と出典'!$C$38*'契約別単価'!G7)</ns0:f>
        <ns0:v>1896949.162011173</ns0:v>
      </ns0:c>
      <ns0:c r="H957" s="16">
        <ns0:f>A957*('前提と出典'!$C$36*'契約別単価'!H5+'前提と出典'!$C$37*'契約別単価'!H6+'前提と出典'!$C$38*'契約別単価'!H7)</ns0:f>
        <ns0:v>658336.4986945902</ns0:v>
      </ns0:c>
      <ns0:c r="I957" s="16">
        <ns0:f>A957*('前提と出典'!$C$36*'契約別単価'!I5+'前提と出典'!$C$37*'契約別単価'!I6+'前提と出典'!$C$38*'契約別単価'!I7)</ns0:f>
        <ns0:v>40212.3407821229</ns0:v>
      </ns0:c>
      <ns0:c r="J957" s="16">
        <ns0:f>A957*('前提と出典'!$C$36*'契約別単価'!J5+'前提と出典'!$C$37*'契約別単価'!J6+'前提と出典'!$C$38*'契約別単価'!J7)</ns0:f>
        <ns0:v>93669.93515591834</ns0:v>
      </ns0:c>
      <ns0:c r="K957" s="16">
        <ns0:f>A957*('前提と出典'!$C$36*'契約別単価'!K5+'前提と出典'!$C$37*'契約別単価'!K6+'前提と出典'!$C$38*'契約別単価'!K7)</ns0:f>
        <ns0:v>401502.27188081935</ns0:v>
      </ns0:c>
      <ns0:c r="L957" s="16">
        <ns0:f>A957*('前提と出典'!$C$36*'契約別単価'!L5+'前提と出典'!$C$37*'契約別単価'!L6+'前提と出典'!$C$38*'契約別単価'!L7)</ns0:f>
        <ns0:v>326904.5499564863</ns0:v>
      </ns0:c>
      <ns0:c r="M957" s="16">
        <ns0:f>IF(('前提と出典'!$C$36+'前提と出典'!$C$38)=0,0,IF(B957&lt;=10,'前提と出典'!B73+'前提と出典'!C73,IF(B957&lt;=100,'前提と出典'!B74+'前提と出典'!C74,IF(B957&lt;=500,'前提と出典'!B75+'前提と出典'!C75,'前提と出典'!B76+'前提と出典'!C76))))</ns0:f>
        <ns0:v>80000</ns0:v>
      </ns0:c>
      <ns0:c r="N957" s="16">
        <ns0:f>IF(('前提と出典'!$C$37+'前提と出典'!$C$38)=0,0,IF(C957&lt;=10,'前提と出典'!D73+'前提と出典'!E73,IF(C957&lt;=100,'前提と出典'!D74+'前提と出典'!E74,IF(C957&lt;=500,'前提と出典'!D75+'前提と出典'!E75,'前提と出典'!D76+'前提と出典'!E76))))</ns0:f>
        <ns0:v>86510.9346263078</ns0:v>
      </ns0:c>
      <ns0:c r="O957" s="16">
        <ns0:f>IF('前提と出典'!$C$36+'前提と出典'!$C$38=0,0,'前提と出典'!$B$4*IF('前提と出典'!$B$20=0,MAX('前提と出典'!$B$6,D957*'前提と出典'!$B$5),'前提と出典'!$B$6+D957*'前提と出典'!$B$5))</ns0:f>
        <ns0:v>946313.0279329609</ns0:v>
      </ns0:c>
      <ns0:c r="P957" s="16">
        <ns0:f>(E957+G957)*(1-'前提と出典'!$B$7)-I957-K957-M957-O957</ns0:f>
        <ns0:v>2670106.295180909</ns0:v>
      </ns0:c>
      <ns0:c r="Q957" s="16">
        <ns0:f>(F957+H957)*(1-'前提と出典'!$B$7)-J957-L957-N957</ns0:f>
        <ns0:v>798625.3500278341</ns0:v>
      </ns0:c>
      <ns0:c r="R957" s="16">
        <ns0:f>P957-E957*'前提と出典'!$E$4</ns0:f>
        <ns0:v>1951390.0264263316</ns0:v>
      </ns0:c>
      <ns0:c r="S957" s="16">
        <ns0:f>Q957-F957*'前提と出典'!$E$4</ns0:f>
        <ns0:v>589784.7737752525</ns0:v>
      </ns0:c>
      <ns0:c r="T957" s="7">
        <ns0:f>R957+S957</ns0:f>
        <ns0:v>2541174.800201584</ns0:v>
      </ns0:c>
      <ns0:c r="U957" s="16">
        <ns0:f>P957-E957*'前提と出典'!$E$5</ns0:f>
        <ns0:v>1711817.9368414725</ns0:v>
      </ns0:c>
      <ns0:c r="V957" s="16">
        <ns0:f>Q957-F957*'前提と出典'!$E$5</ns0:f>
        <ns0:v>520171.24835772545</ns0:v>
      </ns0:c>
      <ns0:c r="W957" s="7">
        <ns0:f>U957+V957</ns0:f>
        <ns0:v>2231989.185199198</ns0:v>
      </ns0:c>
      <ns0:c r="X957" s="16">
        <ns0:f>P957-E957*'前提と出典'!$E$6</ns0:f>
        <ns0:v>1472245.8472566134</ns0:v>
      </ns0:c>
      <ns0:c r="Y957" s="16">
        <ns0:f>Q957-F957*'前提と出典'!$E$6</ns0:f>
        <ns0:v>450557.7229401984</ns0:v>
      </ns0:c>
      <ns0:c r="Z957" s="7">
        <ns0:f>X957+Y957</ns0:f>
        <ns0:v>1922803.5701968118</ns0:v>
      </ns0:c>
      <ns0:c r="AA957" s="7">
        <ns0:f>IF(T957&gt;=0,A957,1001)</ns0:f>
        <ns0:v>953</ns0:v>
      </ns0:c>
      <ns0:c r="AB957" s="7">
        <ns0:f>IF(T957&lt;0,A957,0)</ns0:f>
        <ns0:v>0</ns0:v>
      </ns0:c>
      <ns0:c r="AC957" s="16">
        <ns0:f>IF(AND(OR('前提と出典'!$C$36+'前提と出典'!$C$38=0,R957&gt;=0),OR('前提と出典'!$C$37+'前提と出典'!$C$38=0,S957&gt;=0)),0,A957)</ns0:f>
        <ns0:v>0</ns0:v>
      </ns0:c>
      <ns0:c r="AD957" s="7">
        <ns0:f>IF(W957&gt;=0,A957,1001)</ns0:f>
        <ns0:v>953</ns0:v>
      </ns0:c>
      <ns0:c r="AE957" s="7">
        <ns0:f>IF(W957&lt;0,A957,0)</ns0:f>
        <ns0:v>0</ns0:v>
      </ns0:c>
      <ns0:c r="AF957" s="16">
        <ns0:f>IF(AND(OR('前提と出典'!$C$36+'前提と出典'!$C$38=0,U957&gt;=0),OR('前提と出典'!$C$37+'前提と出典'!$C$38=0,V957&gt;=0)),0,A957)</ns0:f>
        <ns0:v>0</ns0:v>
      </ns0:c>
      <ns0:c r="AG957" s="7">
        <ns0:f>IF(Z957&gt;=0,A957,1001)</ns0:f>
        <ns0:v>953</ns0:v>
      </ns0:c>
      <ns0:c r="AH957" s="4">
        <ns0:f>IF(Z957&lt;0,A957,0)</ns0:f>
        <ns0:v>0</ns0:v>
      </ns0:c>
      <ns0:c r="AI957" s="12">
        <ns0:f>IF(AND(OR('前提と出典'!$C$36+'前提と出典'!$C$38=0,X957&gt;=0),OR('前提と出典'!$C$37+'前提と出典'!$C$38=0,Y957&gt;=0)),0,A957)</ns0:f>
        <ns0:v>0</ns0:v>
      </ns0:c>
    </ns0:row>
    <ns0:row r="958" ht="24" customHeight="1">
      <ns0:c r="A958" s="4" t="n">
        <ns0:v>954</ns0:v>
      </ns0:c>
      <ns0:c r="B958" s="12">
        <ns0:f>A958*('前提と出典'!$C$36+'前提と出典'!$C$38)</ns0:f>
        <ns0:v>667.8</ns0:v>
      </ns0:c>
      <ns0:c r="C958" s="12">
        <ns0:f>A958*('前提と出典'!$C$37+'前提と出典'!$C$38)</ns0:f>
        <ns0:v>572.4</ns0:v>
      </ns0:c>
      <ns0:c r="D958" s="16">
        <ns0:f>A958*('前提と出典'!$C$36*'契約別単価'!C5+'前提と出典'!$C$37*'契約別単価'!C6+'前提と出典'!$C$38*'契約別単価'!C7)</ns0:f>
        <ns0:v>6864.536312849162</ns0:v>
      </ns0:c>
      <ns0:c r="E958" s="16">
        <ns0:f>A958*('前提と出典'!$C$36*'契約別単価'!E5+'前提と出典'!$C$37*'契約別単価'!E6+'前提と出典'!$C$38*'契約別単価'!E7)</ns0:f>
        <ns0:v>2398234.7687718314</ns0:v>
      </ns0:c>
      <ns0:c r="F958" s="16">
        <ns0:f>A958*('前提と出典'!$C$36*'契約別単価'!F5+'前提と出典'!$C$37*'契約別単価'!F6+'前提と出典'!$C$38*'契約別単価'!F7)</ns0:f>
        <ns0:v>696865.7213884671</ns0:v>
      </ns0:c>
      <ns0:c r="G958" s="16">
        <ns0:f>A958*('前提と出典'!$C$36*'契約別単価'!G5+'前提と出典'!$C$37*'契約別単価'!G6+'前提と出典'!$C$38*'契約別単価'!G7)</ns0:f>
        <ns0:v>1898939.664804469</ns0:v>
      </ns0:c>
      <ns0:c r="H958" s="16">
        <ns0:f>A958*('前提と出典'!$C$36*'契約別単価'!H5+'前提と出典'!$C$37*'契約別単価'!H6+'前提と出典'!$C$38*'契約別単価'!H7)</ns0:f>
        <ns0:v>659027.3029954239</ns0:v>
      </ns0:c>
      <ns0:c r="I958" s="16">
        <ns0:f>A958*('前提と出典'!$C$36*'契約別単価'!I5+'前提と出典'!$C$37*'契約別単価'!I6+'前提と出典'!$C$38*'契約別単価'!I7)</ns0:f>
        <ns0:v>40254.53631284915</ns0:v>
      </ns0:c>
      <ns0:c r="J958" s="16">
        <ns0:f>A958*('前提と出典'!$C$36*'契約別単価'!J5+'前提と出典'!$C$37*'契約別単価'!J6+'前提と出典'!$C$38*'契約別単価'!J7)</ns0:f>
        <ns0:v>93768.22469962866</ns0:v>
      </ns0:c>
      <ns0:c r="K958" s="16">
        <ns0:f>A958*('前提と出典'!$C$36*'契約別単価'!K5+'前提と出典'!$C$37*'契約別単価'!K6+'前提と出典'!$C$38*'契約別単価'!K7)</ns0:f>
        <ns0:v>401923.5754189944</ns0:v>
      </ns0:c>
      <ns0:c r="L958" s="16">
        <ns0:f>A958*('前提と出典'!$C$36*'契約別単価'!L5+'前提と出典'!$C$37*'契約別単価'!L6+'前提と出典'!$C$38*'契約別単価'!L7)</ns0:f>
        <ns0:v>327247.5767665141</ns0:v>
      </ns0:c>
      <ns0:c r="M958" s="16">
        <ns0:f>IF(('前提と出典'!$C$36+'前提と出典'!$C$38)=0,0,IF(B958&lt;=10,'前提と出典'!B73+'前提と出典'!C73,IF(B958&lt;=100,'前提と出典'!B74+'前提と出典'!C74,IF(B958&lt;=500,'前提と出典'!B75+'前提と出典'!C75,'前提と出典'!B76+'前提と出典'!C76))))</ns0:f>
        <ns0:v>80000</ns0:v>
      </ns0:c>
      <ns0:c r="N958" s="16">
        <ns0:f>IF(('前提と出典'!$C$37+'前提と出典'!$C$38)=0,0,IF(C958&lt;=10,'前提と出典'!D73+'前提と出典'!E73,IF(C958&lt;=100,'前提と出典'!D74+'前提と出典'!E74,IF(C958&lt;=500,'前提と出典'!D75+'前提と出典'!E75,'前提と出典'!D76+'前提と出典'!E76))))</ns0:f>
        <ns0:v>86510.9346263078</ns0:v>
      </ns0:c>
      <ns0:c r="O958" s="16">
        <ns0:f>IF('前提と出典'!$C$36+'前提と出典'!$C$38=0,0,'前提と出典'!$B$4*IF('前提と出典'!$B$20=0,MAX('前提と出典'!$B$6,D958*'前提と出典'!$B$5),'前提と出典'!$B$6+D958*'前提と出典'!$B$5))</ns0:f>
        <ns0:v>947306.0111731844</ns0:v>
      </ns0:c>
      <ns0:c r="P958" s="16">
        <ns0:f>(E958+G958)*(1-'前提と出典'!$B$7)-I958-K958-M958-O958</ns0:f>
        <ns0:v>2672992.0310625257</ns0:v>
      </ns0:c>
      <ns0:c r="Q958" s="16">
        <ns0:f>(F958+H958)*(1-'前提と出典'!$B$7)-J958-L958-N958</ns0:f>
        <ns0:v>799554.1394136201</ns0:v>
      </ns0:c>
      <ns0:c r="R958" s="16">
        <ns0:f>P958-E958*'前提と出典'!$E$4</ns0:f>
        <ns0:v>1953521.6004309761</ns0:v>
      </ns0:c>
      <ns0:c r="S958" s="16">
        <ns0:f>Q958-F958*'前提と出典'!$E$4</ns0:f>
        <ns0:v>590494.4229970803</ns0:v>
      </ns0:c>
      <ns0:c r="T958" s="7">
        <ns0:f>R958+S958</ns0:f>
        <ns0:v>2544016.0234280564</ns0:v>
      </ns0:c>
      <ns0:c r="U958" s="16">
        <ns0:f>P958-E958*'前提と出典'!$E$5</ns0:f>
        <ns0:v>1713698.123553793</ns0:v>
      </ns0:c>
      <ns0:c r="V958" s="16">
        <ns0:f>Q958-F958*'前提と出典'!$E$5</ns0:f>
        <ns0:v>520807.8508582333</ns0:v>
      </ns0:c>
      <ns0:c r="W958" s="7">
        <ns0:f>U958+V958</ns0:f>
        <ns0:v>2234505.9744120263</ns0:v>
      </ns0:c>
      <ns0:c r="X958" s="16">
        <ns0:f>P958-E958*'前提と出典'!$E$6</ns0:f>
        <ns0:v>1473874.6466766102</ns0:v>
      </ns0:c>
      <ns0:c r="Y958" s="16">
        <ns0:f>Q958-F958*'前提と出典'!$E$6</ns0:f>
        <ns0:v>451121.27871938667</ns0:v>
      </ns0:c>
      <ns0:c r="Z958" s="7">
        <ns0:f>X958+Y958</ns0:f>
        <ns0:v>1924995.9253959968</ns0:v>
      </ns0:c>
      <ns0:c r="AA958" s="7">
        <ns0:f>IF(T958&gt;=0,A958,1001)</ns0:f>
        <ns0:v>954</ns0:v>
      </ns0:c>
      <ns0:c r="AB958" s="7">
        <ns0:f>IF(T958&lt;0,A958,0)</ns0:f>
        <ns0:v>0</ns0:v>
      </ns0:c>
      <ns0:c r="AC958" s="16">
        <ns0:f>IF(AND(OR('前提と出典'!$C$36+'前提と出典'!$C$38=0,R958&gt;=0),OR('前提と出典'!$C$37+'前提と出典'!$C$38=0,S958&gt;=0)),0,A958)</ns0:f>
        <ns0:v>0</ns0:v>
      </ns0:c>
      <ns0:c r="AD958" s="7">
        <ns0:f>IF(W958&gt;=0,A958,1001)</ns0:f>
        <ns0:v>954</ns0:v>
      </ns0:c>
      <ns0:c r="AE958" s="7">
        <ns0:f>IF(W958&lt;0,A958,0)</ns0:f>
        <ns0:v>0</ns0:v>
      </ns0:c>
      <ns0:c r="AF958" s="16">
        <ns0:f>IF(AND(OR('前提と出典'!$C$36+'前提と出典'!$C$38=0,U958&gt;=0),OR('前提と出典'!$C$37+'前提と出典'!$C$38=0,V958&gt;=0)),0,A958)</ns0:f>
        <ns0:v>0</ns0:v>
      </ns0:c>
      <ns0:c r="AG958" s="7">
        <ns0:f>IF(Z958&gt;=0,A958,1001)</ns0:f>
        <ns0:v>954</ns0:v>
      </ns0:c>
      <ns0:c r="AH958" s="4">
        <ns0:f>IF(Z958&lt;0,A958,0)</ns0:f>
        <ns0:v>0</ns0:v>
      </ns0:c>
      <ns0:c r="AI958" s="12">
        <ns0:f>IF(AND(OR('前提と出典'!$C$36+'前提と出典'!$C$38=0,X958&gt;=0),OR('前提と出典'!$C$37+'前提と出典'!$C$38=0,Y958&gt;=0)),0,A958)</ns0:f>
        <ns0:v>0</ns0:v>
      </ns0:c>
    </ns0:row>
    <ns0:row r="959" ht="24" customHeight="1">
      <ns0:c r="A959" s="4" t="n">
        <ns0:v>955</ns0:v>
      </ns0:c>
      <ns0:c r="B959" s="12">
        <ns0:f>A959*('前提と出典'!$C$36+'前提と出典'!$C$38)</ns0:f>
        <ns0:v>668.5</ns0:v>
      </ns0:c>
      <ns0:c r="C959" s="12">
        <ns0:f>A959*('前提と出典'!$C$37+'前提と出典'!$C$38)</ns0:f>
        <ns0:v>573</ns0:v>
      </ns0:c>
      <ns0:c r="D959" s="16">
        <ns0:f>A959*('前提と出典'!$C$36*'契約別単価'!C5+'前提と出典'!$C$37*'契約別単価'!C6+'前提と出典'!$C$38*'契約別単価'!C7)</ns0:f>
        <ns0:v>6871.731843575419</ns0:v>
      </ns0:c>
      <ns0:c r="E959" s="16">
        <ns0:f>A959*('前提と出典'!$C$36*'契約別単価'!E5+'前提と出典'!$C$37*'契約別単価'!E6+'前提と出典'!$C$38*'契約別単価'!E7)</ns0:f>
        <ns0:v>2400748.641695072</ns0:v>
      </ns0:c>
      <ns0:c r="F959" s="16">
        <ns0:f>A959*('前提と出典'!$C$36*'契約別単価'!F5+'前提と出典'!$C$37*'契約別単価'!F6+'前提と出典'!$C$38*'契約別単価'!F7)</ns0:f>
        <ns0:v>697596.1886016625</ns0:v>
      </ns0:c>
      <ns0:c r="G959" s="16">
        <ns0:f>A959*('前提と出典'!$C$36*'契約別単価'!G5+'前提と出典'!$C$37*'契約別単価'!G6+'前提と出典'!$C$38*'契約別単価'!G7)</ns0:f>
        <ns0:v>1900930.1675977653</ns0:v>
      </ns0:c>
      <ns0:c r="H959" s="16">
        <ns0:f>A959*('前提と出典'!$C$36*'契約別単価'!H5+'前提と出典'!$C$37*'契約別単価'!H6+'前提と出典'!$C$38*'契約別単価'!H7)</ns0:f>
        <ns0:v>659718.1072962577</ns0:v>
      </ns0:c>
      <ns0:c r="I959" s="16">
        <ns0:f>A959*('前提と出典'!$C$36*'契約別単価'!I5+'前提と出典'!$C$37*'契約別単価'!I6+'前提と出典'!$C$38*'契約別単価'!I7)</ns0:f>
        <ns0:v>40296.73184357541</ns0:v>
      </ns0:c>
      <ns0:c r="J959" s="16">
        <ns0:f>A959*('前提と出典'!$C$36*'契約別単価'!J5+'前提と出典'!$C$37*'契約別単価'!J6+'前提と出典'!$C$38*'契約別単価'!J7)</ns0:f>
        <ns0:v>93866.51424333896</ns0:v>
      </ns0:c>
      <ns0:c r="K959" s="16">
        <ns0:f>A959*('前提と出典'!$C$36*'契約別単価'!K5+'前提と出典'!$C$37*'契約別単価'!K6+'前提と出典'!$C$38*'契約別単価'!K7)</ns0:f>
        <ns0:v>402344.8789571694</ns0:v>
      </ns0:c>
      <ns0:c r="L959" s="16">
        <ns0:f>A959*('前提と出典'!$C$36*'契約別単価'!L5+'前提と出典'!$C$37*'契約別単価'!L6+'前提と出典'!$C$38*'契約別単価'!L7)</ns0:f>
        <ns0:v>327590.60357654194</ns0:v>
      </ns0:c>
      <ns0:c r="M959" s="16">
        <ns0:f>IF(('前提と出典'!$C$36+'前提と出典'!$C$38)=0,0,IF(B959&lt;=10,'前提と出典'!B73+'前提と出典'!C73,IF(B959&lt;=100,'前提と出典'!B74+'前提と出典'!C74,IF(B959&lt;=500,'前提と出典'!B75+'前提と出典'!C75,'前提と出典'!B76+'前提と出典'!C76))))</ns0:f>
        <ns0:v>80000</ns0:v>
      </ns0:c>
      <ns0:c r="N959" s="16">
        <ns0:f>IF(('前提と出典'!$C$37+'前提と出典'!$C$38)=0,0,IF(C959&lt;=10,'前提と出典'!D73+'前提と出典'!E73,IF(C959&lt;=100,'前提と出典'!D74+'前提と出典'!E74,IF(C959&lt;=500,'前提と出典'!D75+'前提と出典'!E75,'前提と出典'!D76+'前提と出典'!E76))))</ns0:f>
        <ns0:v>86510.9346263078</ns0:v>
      </ns0:c>
      <ns0:c r="O959" s="16">
        <ns0:f>IF('前提と出典'!$C$36+'前提と出典'!$C$38=0,0,'前提と出典'!$B$4*IF('前提と出典'!$B$20=0,MAX('前提と出典'!$B$6,D959*'前提と出典'!$B$5),'前提と出典'!$B$6+D959*'前提と出典'!$B$5))</ns0:f>
        <ns0:v>948298.9944134079</ns0:v>
      </ns0:c>
      <ns0:c r="P959" s="16">
        <ns0:f>(E959+G959)*(1-'前提と出典'!$B$7)-I959-K959-M959-O959</ns0:f>
        <ns0:v>2675877.766944142</ns0:v>
      </ns0:c>
      <ns0:c r="Q959" s="16">
        <ns0:f>(F959+H959)*(1-'前提と出典'!$B$7)-J959-L959-N959</ns0:f>
        <ns0:v>800482.9287994063</ns0:v>
      </ns0:c>
      <ns0:c r="R959" s="16">
        <ns0:f>P959-E959*'前提と出典'!$E$4</ns0:f>
        <ns0:v>1955653.1744356207</ns0:v>
      </ns0:c>
      <ns0:c r="S959" s="16">
        <ns0:f>Q959-F959*'前提と出典'!$E$4</ns0:f>
        <ns0:v>591204.0722189078</ns0:v>
      </ns0:c>
      <ns0:c r="T959" s="7">
        <ns0:f>R959+S959</ns0:f>
        <ns0:v>2546857.246654528</ns0:v>
      </ns0:c>
      <ns0:c r="U959" s="16">
        <ns0:f>P959-E959*'前提と出典'!$E$5</ns0:f>
        <ns0:v>1715578.3102661134</ns0:v>
      </ns0:c>
      <ns0:c r="V959" s="16">
        <ns0:f>Q959-F959*'前提と出典'!$E$5</ns0:f>
        <ns0:v>521444.45335874124</ns0:v>
      </ns0:c>
      <ns0:c r="W959" s="7">
        <ns0:f>U959+V959</ns0:f>
        <ns0:v>2237022.7636248544</ns0:v>
      </ns0:c>
      <ns0:c r="X959" s="16">
        <ns0:f>P959-E959*'前提と出典'!$E$6</ns0:f>
        <ns0:v>1475503.446096606</ns0:v>
      </ns0:c>
      <ns0:c r="Y959" s="16">
        <ns0:f>Q959-F959*'前提と出典'!$E$6</ns0:f>
        <ns0:v>451684.8344985752</ns0:v>
      </ns0:c>
      <ns0:c r="Z959" s="7">
        <ns0:f>X959+Y959</ns0:f>
        <ns0:v>1927188.2805951813</ns0:v>
      </ns0:c>
      <ns0:c r="AA959" s="7">
        <ns0:f>IF(T959&gt;=0,A959,1001)</ns0:f>
        <ns0:v>955</ns0:v>
      </ns0:c>
      <ns0:c r="AB959" s="7">
        <ns0:f>IF(T959&lt;0,A959,0)</ns0:f>
        <ns0:v>0</ns0:v>
      </ns0:c>
      <ns0:c r="AC959" s="16">
        <ns0:f>IF(AND(OR('前提と出典'!$C$36+'前提と出典'!$C$38=0,R959&gt;=0),OR('前提と出典'!$C$37+'前提と出典'!$C$38=0,S959&gt;=0)),0,A959)</ns0:f>
        <ns0:v>0</ns0:v>
      </ns0:c>
      <ns0:c r="AD959" s="7">
        <ns0:f>IF(W959&gt;=0,A959,1001)</ns0:f>
        <ns0:v>955</ns0:v>
      </ns0:c>
      <ns0:c r="AE959" s="7">
        <ns0:f>IF(W959&lt;0,A959,0)</ns0:f>
        <ns0:v>0</ns0:v>
      </ns0:c>
      <ns0:c r="AF959" s="16">
        <ns0:f>IF(AND(OR('前提と出典'!$C$36+'前提と出典'!$C$38=0,U959&gt;=0),OR('前提と出典'!$C$37+'前提と出典'!$C$38=0,V959&gt;=0)),0,A959)</ns0:f>
        <ns0:v>0</ns0:v>
      </ns0:c>
      <ns0:c r="AG959" s="7">
        <ns0:f>IF(Z959&gt;=0,A959,1001)</ns0:f>
        <ns0:v>955</ns0:v>
      </ns0:c>
      <ns0:c r="AH959" s="4">
        <ns0:f>IF(Z959&lt;0,A959,0)</ns0:f>
        <ns0:v>0</ns0:v>
      </ns0:c>
      <ns0:c r="AI959" s="12">
        <ns0:f>IF(AND(OR('前提と出典'!$C$36+'前提と出典'!$C$38=0,X959&gt;=0),OR('前提と出典'!$C$37+'前提と出典'!$C$38=0,Y959&gt;=0)),0,A959)</ns0:f>
        <ns0:v>0</ns0:v>
      </ns0:c>
    </ns0:row>
    <ns0:row r="960" ht="24" customHeight="1">
      <ns0:c r="A960" s="4" t="n">
        <ns0:v>956</ns0:v>
      </ns0:c>
      <ns0:c r="B960" s="12">
        <ns0:f>A960*('前提と出典'!$C$36+'前提と出典'!$C$38)</ns0:f>
        <ns0:v>669.1999999999999</ns0:v>
      </ns0:c>
      <ns0:c r="C960" s="12">
        <ns0:f>A960*('前提と出典'!$C$37+'前提と出典'!$C$38)</ns0:f>
        <ns0:v>573.6</ns0:v>
      </ns0:c>
      <ns0:c r="D960" s="16">
        <ns0:f>A960*('前提と出典'!$C$36*'契約別単価'!C5+'前提と出典'!$C$37*'契約別単価'!C6+'前提と出典'!$C$38*'契約別単価'!C7)</ns0:f>
        <ns0:v>6878.927374301676</ns0:v>
      </ns0:c>
      <ns0:c r="E960" s="16">
        <ns0:f>A960*('前提と出典'!$C$36*'契約別単価'!E5+'前提と出典'!$C$37*'契約別単価'!E6+'前提と出典'!$C$38*'契約別単価'!E7)</ns0:f>
        <ns0:v>2403262.514618313</ns0:v>
      </ns0:c>
      <ns0:c r="F960" s="16">
        <ns0:f>A960*('前提と出典'!$C$36*'契約別単価'!F5+'前提と出典'!$C$37*'契約別単価'!F6+'前提と出典'!$C$38*'契約別単価'!F7)</ns0:f>
        <ns0:v>698326.655814858</ns0:v>
      </ns0:c>
      <ns0:c r="G960" s="16">
        <ns0:f>A960*('前提と出典'!$C$36*'契約別単価'!G5+'前提と出典'!$C$37*'契約別単価'!G6+'前提と出典'!$C$38*'契約別単価'!G7)</ns0:f>
        <ns0:v>1902920.6703910613</ns0:v>
      </ns0:c>
      <ns0:c r="H960" s="16">
        <ns0:f>A960*('前提と出典'!$C$36*'契約別単価'!H5+'前提と出典'!$C$37*'契約別単価'!H6+'前提と出典'!$C$38*'契約別単価'!H7)</ns0:f>
        <ns0:v>660408.9115970915</ns0:v>
      </ns0:c>
      <ns0:c r="I960" s="16">
        <ns0:f>A960*('前提と出典'!$C$36*'契約別単価'!I5+'前提と出典'!$C$37*'契約別単価'!I6+'前提と出典'!$C$38*'契約別単価'!I7)</ns0:f>
        <ns0:v>40338.92737430167</ns0:v>
      </ns0:c>
      <ns0:c r="J960" s="16">
        <ns0:f>A960*('前提と出典'!$C$36*'契約別単価'!J5+'前提と出典'!$C$37*'契約別単価'!J6+'前提と出典'!$C$38*'契約別単価'!J7)</ns0:f>
        <ns0:v>93964.80378704926</ns0:v>
      </ns0:c>
      <ns0:c r="K960" s="16">
        <ns0:f>A960*('前提と出典'!$C$36*'契約別単価'!K5+'前提と出典'!$C$37*'契約別単価'!K6+'前提と出典'!$C$38*'契約別単価'!K7)</ns0:f>
        <ns0:v>402766.1824953445</ns0:v>
      </ns0:c>
      <ns0:c r="L960" s="16">
        <ns0:f>A960*('前提と出典'!$C$36*'契約別単価'!L5+'前提と出典'!$C$37*'契約別単価'!L6+'前提と出典'!$C$38*'契約別単価'!L7)</ns0:f>
        <ns0:v>327933.6303865697</ns0:v>
      </ns0:c>
      <ns0:c r="M960" s="16">
        <ns0:f>IF(('前提と出典'!$C$36+'前提と出典'!$C$38)=0,0,IF(B960&lt;=10,'前提と出典'!B73+'前提と出典'!C73,IF(B960&lt;=100,'前提と出典'!B74+'前提と出典'!C74,IF(B960&lt;=500,'前提と出典'!B75+'前提と出典'!C75,'前提と出典'!B76+'前提と出典'!C76))))</ns0:f>
        <ns0:v>80000</ns0:v>
      </ns0:c>
      <ns0:c r="N960" s="16">
        <ns0:f>IF(('前提と出典'!$C$37+'前提と出典'!$C$38)=0,0,IF(C960&lt;=10,'前提と出典'!D73+'前提と出典'!E73,IF(C960&lt;=100,'前提と出典'!D74+'前提と出典'!E74,IF(C960&lt;=500,'前提と出典'!D75+'前提と出典'!E75,'前提と出典'!D76+'前提と出典'!E76))))</ns0:f>
        <ns0:v>86510.9346263078</ns0:v>
      </ns0:c>
      <ns0:c r="O960" s="16">
        <ns0:f>IF('前提と出典'!$C$36+'前提と出典'!$C$38=0,0,'前提と出典'!$B$4*IF('前提と出典'!$B$20=0,MAX('前提と出典'!$B$6,D960*'前提と出典'!$B$5),'前提と出典'!$B$6+D960*'前提と出典'!$B$5))</ns0:f>
        <ns0:v>949291.9776536314</ns0:v>
      </ns0:c>
      <ns0:c r="P960" s="16">
        <ns0:f>(E960+G960)*(1-'前提と出典'!$B$7)-I960-K960-M960-O960</ns0:f>
        <ns0:v>2678763.5028257594</ns0:v>
      </ns0:c>
      <ns0:c r="Q960" s="16">
        <ns0:f>(F960+H960)*(1-'前提と出典'!$B$7)-J960-L960-N960</ns0:f>
        <ns0:v>801411.7181851923</ns0:v>
      </ns0:c>
      <ns0:c r="R960" s="16">
        <ns0:f>P960-E960*'前提と出典'!$E$4</ns0:f>
        <ns0:v>1957784.7484402657</ns0:v>
      </ns0:c>
      <ns0:c r="S960" s="16">
        <ns0:f>Q960-F960*'前提と出典'!$E$4</ns0:f>
        <ns0:v>591913.721440735</ns0:v>
      </ns0:c>
      <ns0:c r="T960" s="7">
        <ns0:f>R960+S960</ns0:f>
        <ns0:v>2549698.469881001</ns0:v>
      </ns0:c>
      <ns0:c r="U960" s="16">
        <ns0:f>P960-E960*'前提と出典'!$E$5</ns0:f>
        <ns0:v>1717458.4969784343</ns0:v>
      </ns0:c>
      <ns0:c r="V960" s="16">
        <ns0:f>Q960-F960*'前提と出典'!$E$5</ns0:f>
        <ns0:v>522081.0558592491</ns0:v>
      </ns0:c>
      <ns0:c r="W960" s="7">
        <ns0:f>U960+V960</ns0:f>
        <ns0:v>2239539.5528376834</ns0:v>
      </ns0:c>
      <ns0:c r="X960" s="16">
        <ns0:f>P960-E960*'前提と出典'!$E$6</ns0:f>
        <ns0:v>1477132.2455166029</ns0:v>
      </ns0:c>
      <ns0:c r="Y960" s="16">
        <ns0:f>Q960-F960*'前提と出典'!$E$6</ns0:f>
        <ns0:v>452248.39027776336</ns0:v>
      </ns0:c>
      <ns0:c r="Z960" s="7">
        <ns0:f>X960+Y960</ns0:f>
        <ns0:v>1929380.6357943662</ns0:v>
      </ns0:c>
      <ns0:c r="AA960" s="7">
        <ns0:f>IF(T960&gt;=0,A960,1001)</ns0:f>
        <ns0:v>956</ns0:v>
      </ns0:c>
      <ns0:c r="AB960" s="7">
        <ns0:f>IF(T960&lt;0,A960,0)</ns0:f>
        <ns0:v>0</ns0:v>
      </ns0:c>
      <ns0:c r="AC960" s="16">
        <ns0:f>IF(AND(OR('前提と出典'!$C$36+'前提と出典'!$C$38=0,R960&gt;=0),OR('前提と出典'!$C$37+'前提と出典'!$C$38=0,S960&gt;=0)),0,A960)</ns0:f>
        <ns0:v>0</ns0:v>
      </ns0:c>
      <ns0:c r="AD960" s="7">
        <ns0:f>IF(W960&gt;=0,A960,1001)</ns0:f>
        <ns0:v>956</ns0:v>
      </ns0:c>
      <ns0:c r="AE960" s="7">
        <ns0:f>IF(W960&lt;0,A960,0)</ns0:f>
        <ns0:v>0</ns0:v>
      </ns0:c>
      <ns0:c r="AF960" s="16">
        <ns0:f>IF(AND(OR('前提と出典'!$C$36+'前提と出典'!$C$38=0,U960&gt;=0),OR('前提と出典'!$C$37+'前提と出典'!$C$38=0,V960&gt;=0)),0,A960)</ns0:f>
        <ns0:v>0</ns0:v>
      </ns0:c>
      <ns0:c r="AG960" s="7">
        <ns0:f>IF(Z960&gt;=0,A960,1001)</ns0:f>
        <ns0:v>956</ns0:v>
      </ns0:c>
      <ns0:c r="AH960" s="4">
        <ns0:f>IF(Z960&lt;0,A960,0)</ns0:f>
        <ns0:v>0</ns0:v>
      </ns0:c>
      <ns0:c r="AI960" s="12">
        <ns0:f>IF(AND(OR('前提と出典'!$C$36+'前提と出典'!$C$38=0,X960&gt;=0),OR('前提と出典'!$C$37+'前提と出典'!$C$38=0,Y960&gt;=0)),0,A960)</ns0:f>
        <ns0:v>0</ns0:v>
      </ns0:c>
    </ns0:row>
    <ns0:row r="961" ht="24" customHeight="1">
      <ns0:c r="A961" s="4" t="n">
        <ns0:v>957</ns0:v>
      </ns0:c>
      <ns0:c r="B961" s="12">
        <ns0:f>A961*('前提と出典'!$C$36+'前提と出典'!$C$38)</ns0:f>
        <ns0:v>669.9</ns0:v>
      </ns0:c>
      <ns0:c r="C961" s="12">
        <ns0:f>A961*('前提と出典'!$C$37+'前提と出典'!$C$38)</ns0:f>
        <ns0:v>574.1999999999999</ns0:v>
      </ns0:c>
      <ns0:c r="D961" s="16">
        <ns0:f>A961*('前提と出典'!$C$36*'契約別単価'!C5+'前提と出典'!$C$37*'契約別単価'!C6+'前提と出典'!$C$38*'契約別単価'!C7)</ns0:f>
        <ns0:v>6886.122905027933</ns0:v>
      </ns0:c>
      <ns0:c r="E961" s="16">
        <ns0:f>A961*('前提と出典'!$C$36*'契約別単価'!E5+'前提と出典'!$C$37*'契約別単価'!E6+'前提と出典'!$C$38*'契約別単価'!E7)</ns0:f>
        <ns0:v>2405776.387541554</ns0:v>
      </ns0:c>
      <ns0:c r="F961" s="16">
        <ns0:f>A961*('前提と出典'!$C$36*'契約別単価'!F5+'前提と出典'!$C$37*'契約別単価'!F6+'前提と出典'!$C$38*'契約別単価'!F7)</ns0:f>
        <ns0:v>699057.1230280534</ns0:v>
      </ns0:c>
      <ns0:c r="G961" s="16">
        <ns0:f>A961*('前提と出典'!$C$36*'契約別単価'!G5+'前提と出典'!$C$37*'契約別単価'!G6+'前提と出典'!$C$38*'契約別単価'!G7)</ns0:f>
        <ns0:v>1904911.1731843574</ns0:v>
      </ns0:c>
      <ns0:c r="H961" s="16">
        <ns0:f>A961*('前提と出典'!$C$36*'契約別単価'!H5+'前提と出典'!$C$37*'契約別単価'!H6+'前提と出典'!$C$38*'契約別単価'!H7)</ns0:f>
        <ns0:v>661099.7158979252</ns0:v>
      </ns0:c>
      <ns0:c r="I961" s="16">
        <ns0:f>A961*('前提と出典'!$C$36*'契約別単価'!I5+'前提と出典'!$C$37*'契約別単価'!I6+'前提と出典'!$C$38*'契約別単価'!I7)</ns0:f>
        <ns0:v>40381.12290502793</ns0:v>
      </ns0:c>
      <ns0:c r="J961" s="16">
        <ns0:f>A961*('前提と出典'!$C$36*'契約別単価'!J5+'前提と出典'!$C$37*'契約別単価'!J6+'前提と出典'!$C$38*'契約別単価'!J7)</ns0:f>
        <ns0:v>94063.09333075956</ns0:v>
      </ns0:c>
      <ns0:c r="K961" s="16">
        <ns0:f>A961*('前提と出典'!$C$36*'契約別単価'!K5+'前提と出典'!$C$37*'契約別単価'!K6+'前提と出典'!$C$38*'契約別単価'!K7)</ns0:f>
        <ns0:v>403187.4860335195</ns0:v>
      </ns0:c>
      <ns0:c r="L961" s="16">
        <ns0:f>A961*('前提と出典'!$C$36*'契約別単価'!L5+'前提と出典'!$C$37*'契約別単価'!L6+'前提と出典'!$C$38*'契約別単価'!L7)</ns0:f>
        <ns0:v>328276.6571965975</ns0:v>
      </ns0:c>
      <ns0:c r="M961" s="16">
        <ns0:f>IF(('前提と出典'!$C$36+'前提と出典'!$C$38)=0,0,IF(B961&lt;=10,'前提と出典'!B73+'前提と出典'!C73,IF(B961&lt;=100,'前提と出典'!B74+'前提と出典'!C74,IF(B961&lt;=500,'前提と出典'!B75+'前提と出典'!C75,'前提と出典'!B76+'前提と出典'!C76))))</ns0:f>
        <ns0:v>80000</ns0:v>
      </ns0:c>
      <ns0:c r="N961" s="16">
        <ns0:f>IF(('前提と出典'!$C$37+'前提と出典'!$C$38)=0,0,IF(C961&lt;=10,'前提と出典'!D73+'前提と出典'!E73,IF(C961&lt;=100,'前提と出典'!D74+'前提と出典'!E74,IF(C961&lt;=500,'前提と出典'!D75+'前提と出典'!E75,'前提と出典'!D76+'前提と出典'!E76))))</ns0:f>
        <ns0:v>86510.9346263078</ns0:v>
      </ns0:c>
      <ns0:c r="O961" s="16">
        <ns0:f>IF('前提と出典'!$C$36+'前提と出典'!$C$38=0,0,'前提と出典'!$B$4*IF('前提と出典'!$B$20=0,MAX('前提と出典'!$B$6,D961*'前提と出典'!$B$5),'前提と出典'!$B$6+D961*'前提と出典'!$B$5))</ns0:f>
        <ns0:v>950284.9608938548</ns0:v>
      </ns0:c>
      <ns0:c r="P961" s="16">
        <ns0:f>(E961+G961)*(1-'前提と出典'!$B$7)-I961-K961-M961-O961</ns0:f>
        <ns0:v>2681649.2387073766</ns0:v>
      </ns0:c>
      <ns0:c r="Q961" s="16">
        <ns0:f>(F961+H961)*(1-'前提と出典'!$B$7)-J961-L961-N961</ns0:f>
        <ns0:v>802340.5075709785</ns0:v>
      </ns0:c>
      <ns0:c r="R961" s="16">
        <ns0:f>P961-E961*'前提と出典'!$E$4</ns0:f>
        <ns0:v>1959916.3224449106</ns0:v>
      </ns0:c>
      <ns0:c r="S961" s="16">
        <ns0:f>Q961-F961*'前提と出典'!$E$4</ns0:f>
        <ns0:v>592623.3706625628</ns0:v>
      </ns0:c>
      <ns0:c r="T961" s="7">
        <ns0:f>R961+S961</ns0:f>
        <ns0:v>2552539.6931074737</ns0:v>
      </ns0:c>
      <ns0:c r="U961" s="16">
        <ns0:f>P961-E961*'前提と出典'!$E$5</ns0:f>
        <ns0:v>1719338.6836907552</ns0:v>
      </ns0:c>
      <ns0:c r="V961" s="16">
        <ns0:f>Q961-F961*'前提と出典'!$E$5</ns0:f>
        <ns0:v>522717.65835975716</ns0:v>
      </ns0:c>
      <ns0:c r="W961" s="7">
        <ns0:f>U961+V961</ns0:f>
        <ns0:v>2242056.3420505123</ns0:v>
      </ns0:c>
      <ns0:c r="X961" s="16">
        <ns0:f>P961-E961*'前提と出典'!$E$6</ns0:f>
        <ns0:v>1478761.0449365997</ns0:v>
      </ns0:c>
      <ns0:c r="Y961" s="16">
        <ns0:f>Q961-F961*'前提と出典'!$E$6</ns0:f>
        <ns0:v>452811.94605695177</ns0:v>
      </ns0:c>
      <ns0:c r="Z961" s="7">
        <ns0:f>X961+Y961</ns0:f>
        <ns0:v>1931572.9909935514</ns0:v>
      </ns0:c>
      <ns0:c r="AA961" s="7">
        <ns0:f>IF(T961&gt;=0,A961,1001)</ns0:f>
        <ns0:v>957</ns0:v>
      </ns0:c>
      <ns0:c r="AB961" s="7">
        <ns0:f>IF(T961&lt;0,A961,0)</ns0:f>
        <ns0:v>0</ns0:v>
      </ns0:c>
      <ns0:c r="AC961" s="16">
        <ns0:f>IF(AND(OR('前提と出典'!$C$36+'前提と出典'!$C$38=0,R961&gt;=0),OR('前提と出典'!$C$37+'前提と出典'!$C$38=0,S961&gt;=0)),0,A961)</ns0:f>
        <ns0:v>0</ns0:v>
      </ns0:c>
      <ns0:c r="AD961" s="7">
        <ns0:f>IF(W961&gt;=0,A961,1001)</ns0:f>
        <ns0:v>957</ns0:v>
      </ns0:c>
      <ns0:c r="AE961" s="7">
        <ns0:f>IF(W961&lt;0,A961,0)</ns0:f>
        <ns0:v>0</ns0:v>
      </ns0:c>
      <ns0:c r="AF961" s="16">
        <ns0:f>IF(AND(OR('前提と出典'!$C$36+'前提と出典'!$C$38=0,U961&gt;=0),OR('前提と出典'!$C$37+'前提と出典'!$C$38=0,V961&gt;=0)),0,A961)</ns0:f>
        <ns0:v>0</ns0:v>
      </ns0:c>
      <ns0:c r="AG961" s="7">
        <ns0:f>IF(Z961&gt;=0,A961,1001)</ns0:f>
        <ns0:v>957</ns0:v>
      </ns0:c>
      <ns0:c r="AH961" s="4">
        <ns0:f>IF(Z961&lt;0,A961,0)</ns0:f>
        <ns0:v>0</ns0:v>
      </ns0:c>
      <ns0:c r="AI961" s="12">
        <ns0:f>IF(AND(OR('前提と出典'!$C$36+'前提と出典'!$C$38=0,X961&gt;=0),OR('前提と出典'!$C$37+'前提と出典'!$C$38=0,Y961&gt;=0)),0,A961)</ns0:f>
        <ns0:v>0</ns0:v>
      </ns0:c>
    </ns0:row>
    <ns0:row r="962" ht="24" customHeight="1">
      <ns0:c r="A962" s="4" t="n">
        <ns0:v>958</ns0:v>
      </ns0:c>
      <ns0:c r="B962" s="12">
        <ns0:f>A962*('前提と出典'!$C$36+'前提と出典'!$C$38)</ns0:f>
        <ns0:v>670.5999999999999</ns0:v>
      </ns0:c>
      <ns0:c r="C962" s="12">
        <ns0:f>A962*('前提と出典'!$C$37+'前提と出典'!$C$38)</ns0:f>
        <ns0:v>574.8</ns0:v>
      </ns0:c>
      <ns0:c r="D962" s="16">
        <ns0:f>A962*('前提と出典'!$C$36*'契約別単価'!C5+'前提と出典'!$C$37*'契約別単価'!C6+'前提と出典'!$C$38*'契約別単価'!C7)</ns0:f>
        <ns0:v>6893.3184357541895</ns0:v>
      </ns0:c>
      <ns0:c r="E962" s="16">
        <ns0:f>A962*('前提と出典'!$C$36*'契約別単価'!E5+'前提と出典'!$C$37*'契約別単価'!E6+'前提と出典'!$C$38*'契約別単価'!E7)</ns0:f>
        <ns0:v>2408290.260464795</ns0:v>
      </ns0:c>
      <ns0:c r="F962" s="16">
        <ns0:f>A962*('前提と出典'!$C$36*'契約別単価'!F5+'前提と出典'!$C$37*'契約別単価'!F6+'前提と出典'!$C$38*'契約別単価'!F7)</ns0:f>
        <ns0:v>699787.590241249</ns0:v>
      </ns0:c>
      <ns0:c r="G962" s="16">
        <ns0:f>A962*('前提と出典'!$C$36*'契約別単価'!G5+'前提と出典'!$C$37*'契約別単価'!G6+'前提と出典'!$C$38*'契約別単価'!G7)</ns0:f>
        <ns0:v>1906901.6759776536</ns0:v>
      </ns0:c>
      <ns0:c r="H962" s="16">
        <ns0:f>A962*('前提と出典'!$C$36*'契約別単価'!H5+'前提と出典'!$C$37*'契約別単価'!H6+'前提と出典'!$C$38*'契約別単価'!H7)</ns0:f>
        <ns0:v>661790.520198759</ns0:v>
      </ns0:c>
      <ns0:c r="I962" s="16">
        <ns0:f>A962*('前提と出典'!$C$36*'契約別単価'!I5+'前提と出典'!$C$37*'契約別単価'!I6+'前提と出典'!$C$38*'契約別単価'!I7)</ns0:f>
        <ns0:v>40423.31843575418</ns0:v>
      </ns0:c>
      <ns0:c r="J962" s="16">
        <ns0:f>A962*('前提と出典'!$C$36*'契約別単価'!J5+'前提と出典'!$C$37*'契約別単価'!J6+'前提と出典'!$C$38*'契約別単価'!J7)</ns0:f>
        <ns0:v>94161.38287446985</ns0:v>
      </ns0:c>
      <ns0:c r="K962" s="16">
        <ns0:f>A962*('前提と出典'!$C$36*'契約別単価'!K5+'前提と出典'!$C$37*'契約別単価'!K6+'前提と出典'!$C$38*'契約別単価'!K7)</ns0:f>
        <ns0:v>403608.78957169456</ns0:v>
      </ns0:c>
      <ns0:c r="L962" s="16">
        <ns0:f>A962*('前提と出典'!$C$36*'契約別単価'!L5+'前提と出典'!$C$37*'契約別単価'!L6+'前提と出典'!$C$38*'契約別単価'!L7)</ns0:f>
        <ns0:v>328619.68400662526</ns0:v>
      </ns0:c>
      <ns0:c r="M962" s="16">
        <ns0:f>IF(('前提と出典'!$C$36+'前提と出典'!$C$38)=0,0,IF(B962&lt;=10,'前提と出典'!B73+'前提と出典'!C73,IF(B962&lt;=100,'前提と出典'!B74+'前提と出典'!C74,IF(B962&lt;=500,'前提と出典'!B75+'前提と出典'!C75,'前提と出典'!B76+'前提と出典'!C76))))</ns0:f>
        <ns0:v>80000</ns0:v>
      </ns0:c>
      <ns0:c r="N962" s="16">
        <ns0:f>IF(('前提と出典'!$C$37+'前提と出典'!$C$38)=0,0,IF(C962&lt;=10,'前提と出典'!D73+'前提と出典'!E73,IF(C962&lt;=100,'前提と出典'!D74+'前提と出典'!E74,IF(C962&lt;=500,'前提と出典'!D75+'前提と出典'!E75,'前提と出典'!D76+'前提と出典'!E76))))</ns0:f>
        <ns0:v>86510.9346263078</ns0:v>
      </ns0:c>
      <ns0:c r="O962" s="16">
        <ns0:f>IF('前提と出典'!$C$36+'前提と出典'!$C$38=0,0,'前提と出典'!$B$4*IF('前提と出典'!$B$20=0,MAX('前提と出典'!$B$6,D962*'前提と出典'!$B$5),'前提と出典'!$B$6+D962*'前提と出典'!$B$5))</ns0:f>
        <ns0:v>951277.9441340781</ns0:v>
      </ns0:c>
      <ns0:c r="P962" s="16">
        <ns0:f>(E962+G962)*(1-'前提と出典'!$B$7)-I962-K962-M962-O962</ns0:f>
        <ns0:v>2684534.974588994</ns0:v>
      </ns0:c>
      <ns0:c r="Q962" s="16">
        <ns0:f>(F962+H962)*(1-'前提と出典'!$B$7)-J962-L962-N962</ns0:f>
        <ns0:v>803269.2969567648</ns0:v>
      </ns0:c>
      <ns0:c r="R962" s="16">
        <ns0:f>P962-E962*'前提と出典'!$E$4</ns0:f>
        <ns0:v>1962047.8964495556</ns0:v>
      </ns0:c>
      <ns0:c r="S962" s="16">
        <ns0:f>Q962-F962*'前提と出典'!$E$4</ns0:f>
        <ns0:v>593333.01988439</ns0:v>
      </ns0:c>
      <ns0:c r="T962" s="7">
        <ns0:f>R962+S962</ns0:f>
        <ns0:v>2555380.9163339455</ns0:v>
      </ns0:c>
      <ns0:c r="U962" s="16">
        <ns0:f>P962-E962*'前提と出典'!$E$5</ns0:f>
        <ns0:v>1721218.870403076</ns0:v>
      </ns0:c>
      <ns0:c r="V962" s="16">
        <ns0:f>Q962-F962*'前提と出典'!$E$5</ns0:f>
        <ns0:v>523354.26086026523</ns0:v>
      </ns0:c>
      <ns0:c r="W962" s="7">
        <ns0:f>U962+V962</ns0:f>
        <ns0:v>2244573.1312633413</ns0:v>
      </ns0:c>
      <ns0:c r="X962" s="16">
        <ns0:f>P962-E962*'前提と出典'!$E$6</ns0:f>
        <ns0:v>1480389.8443565965</ns0:v>
      </ns0:c>
      <ns0:c r="Y962" s="16">
        <ns0:f>Q962-F962*'前提と出典'!$E$6</ns0:f>
        <ns0:v>453375.5018361402</ns0:v>
      </ns0:c>
      <ns0:c r="Z962" s="7">
        <ns0:f>X962+Y962</ns0:f>
        <ns0:v>1933765.3461927366</ns0:v>
      </ns0:c>
      <ns0:c r="AA962" s="7">
        <ns0:f>IF(T962&gt;=0,A962,1001)</ns0:f>
        <ns0:v>958</ns0:v>
      </ns0:c>
      <ns0:c r="AB962" s="7">
        <ns0:f>IF(T962&lt;0,A962,0)</ns0:f>
        <ns0:v>0</ns0:v>
      </ns0:c>
      <ns0:c r="AC962" s="16">
        <ns0:f>IF(AND(OR('前提と出典'!$C$36+'前提と出典'!$C$38=0,R962&gt;=0),OR('前提と出典'!$C$37+'前提と出典'!$C$38=0,S962&gt;=0)),0,A962)</ns0:f>
        <ns0:v>0</ns0:v>
      </ns0:c>
      <ns0:c r="AD962" s="7">
        <ns0:f>IF(W962&gt;=0,A962,1001)</ns0:f>
        <ns0:v>958</ns0:v>
      </ns0:c>
      <ns0:c r="AE962" s="7">
        <ns0:f>IF(W962&lt;0,A962,0)</ns0:f>
        <ns0:v>0</ns0:v>
      </ns0:c>
      <ns0:c r="AF962" s="16">
        <ns0:f>IF(AND(OR('前提と出典'!$C$36+'前提と出典'!$C$38=0,U962&gt;=0),OR('前提と出典'!$C$37+'前提と出典'!$C$38=0,V962&gt;=0)),0,A962)</ns0:f>
        <ns0:v>0</ns0:v>
      </ns0:c>
      <ns0:c r="AG962" s="7">
        <ns0:f>IF(Z962&gt;=0,A962,1001)</ns0:f>
        <ns0:v>958</ns0:v>
      </ns0:c>
      <ns0:c r="AH962" s="4">
        <ns0:f>IF(Z962&lt;0,A962,0)</ns0:f>
        <ns0:v>0</ns0:v>
      </ns0:c>
      <ns0:c r="AI962" s="12">
        <ns0:f>IF(AND(OR('前提と出典'!$C$36+'前提と出典'!$C$38=0,X962&gt;=0),OR('前提と出典'!$C$37+'前提と出典'!$C$38=0,Y962&gt;=0)),0,A962)</ns0:f>
        <ns0:v>0</ns0:v>
      </ns0:c>
    </ns0:row>
    <ns0:row r="963" ht="24" customHeight="1">
      <ns0:c r="A963" s="4" t="n">
        <ns0:v>959</ns0:v>
      </ns0:c>
      <ns0:c r="B963" s="12">
        <ns0:f>A963*('前提と出典'!$C$36+'前提と出典'!$C$38)</ns0:f>
        <ns0:v>671.3</ns0:v>
      </ns0:c>
      <ns0:c r="C963" s="12">
        <ns0:f>A963*('前提と出典'!$C$37+'前提と出典'!$C$38)</ns0:f>
        <ns0:v>575.4</ns0:v>
      </ns0:c>
      <ns0:c r="D963" s="16">
        <ns0:f>A963*('前提と出典'!$C$36*'契約別単価'!C5+'前提と出典'!$C$37*'契約別単価'!C6+'前提と出典'!$C$38*'契約別単価'!C7)</ns0:f>
        <ns0:v>6900.5139664804465</ns0:v>
      </ns0:c>
      <ns0:c r="E963" s="16">
        <ns0:f>A963*('前提と出典'!$C$36*'契約別単価'!E5+'前提と出典'!$C$37*'契約別単価'!E6+'前提と出典'!$C$38*'契約別単価'!E7)</ns0:f>
        <ns0:v>2410804.133388036</ns0:v>
      </ns0:c>
      <ns0:c r="F963" s="16">
        <ns0:f>A963*('前提と出典'!$C$36*'契約別単価'!F5+'前提と出典'!$C$37*'契約別単価'!F6+'前提と出典'!$C$38*'契約別単価'!F7)</ns0:f>
        <ns0:v>700518.0574544444</ns0:v>
      </ns0:c>
      <ns0:c r="G963" s="16">
        <ns0:f>A963*('前提と出典'!$C$36*'契約別単価'!G5+'前提と出典'!$C$37*'契約別単価'!G6+'前提と出典'!$C$38*'契約別単価'!G7)</ns0:f>
        <ns0:v>1908892.1787709496</ns0:v>
      </ns0:c>
      <ns0:c r="H963" s="16">
        <ns0:f>A963*('前提と出典'!$C$36*'契約別単価'!H5+'前提と出典'!$C$37*'契約別単価'!H6+'前提と出典'!$C$38*'契約別単価'!H7)</ns0:f>
        <ns0:v>662481.3244995928</ns0:v>
      </ns0:c>
      <ns0:c r="I963" s="16">
        <ns0:f>A963*('前提と出典'!$C$36*'契約別単価'!I5+'前提と出典'!$C$37*'契約別単価'!I6+'前提と出典'!$C$38*'契約別単価'!I7)</ns0:f>
        <ns0:v>40465.51396648044</ns0:v>
      </ns0:c>
      <ns0:c r="J963" s="16">
        <ns0:f>A963*('前提と出典'!$C$36*'契約別単価'!J5+'前提と出典'!$C$37*'契約別単価'!J6+'前提と出典'!$C$38*'契約別単価'!J7)</ns0:f>
        <ns0:v>94259.67241818015</ns0:v>
      </ns0:c>
      <ns0:c r="K963" s="16">
        <ns0:f>A963*('前提と出典'!$C$36*'契約別単価'!K5+'前提と出典'!$C$37*'契約別単価'!K6+'前提と出典'!$C$38*'契約別単価'!K7)</ns0:f>
        <ns0:v>404030.09310986963</ns0:v>
      </ns0:c>
      <ns0:c r="L963" s="16">
        <ns0:f>A963*('前提と出典'!$C$36*'契約別単価'!L5+'前提と出典'!$C$37*'契約別単価'!L6+'前提と出典'!$C$38*'契約別単価'!L7)</ns0:f>
        <ns0:v>328962.7108166531</ns0:v>
      </ns0:c>
      <ns0:c r="M963" s="16">
        <ns0:f>IF(('前提と出典'!$C$36+'前提と出典'!$C$38)=0,0,IF(B963&lt;=10,'前提と出典'!B73+'前提と出典'!C73,IF(B963&lt;=100,'前提と出典'!B74+'前提と出典'!C74,IF(B963&lt;=500,'前提と出典'!B75+'前提と出典'!C75,'前提と出典'!B76+'前提と出典'!C76))))</ns0:f>
        <ns0:v>80000</ns0:v>
      </ns0:c>
      <ns0:c r="N963" s="16">
        <ns0:f>IF(('前提と出典'!$C$37+'前提と出典'!$C$38)=0,0,IF(C963&lt;=10,'前提と出典'!D73+'前提と出典'!E73,IF(C963&lt;=100,'前提と出典'!D74+'前提と出典'!E74,IF(C963&lt;=500,'前提と出典'!D75+'前提と出典'!E75,'前提と出典'!D76+'前提と出典'!E76))))</ns0:f>
        <ns0:v>86510.9346263078</ns0:v>
      </ns0:c>
      <ns0:c r="O963" s="16">
        <ns0:f>IF('前提と出典'!$C$36+'前提と出典'!$C$38=0,0,'前提と出典'!$B$4*IF('前提と出典'!$B$20=0,MAX('前提と出典'!$B$6,D963*'前提と出典'!$B$5),'前提と出典'!$B$6+D963*'前提と出典'!$B$5))</ns0:f>
        <ns0:v>952270.9273743016</ns0:v>
      </ns0:c>
      <ns0:c r="P963" s="16">
        <ns0:f>(E963+G963)*(1-'前提と出典'!$B$7)-I963-K963-M963-O963</ns0:f>
        <ns0:v>2687420.71047061</ns0:v>
      </ns0:c>
      <ns0:c r="Q963" s="16">
        <ns0:f>(F963+H963)*(1-'前提と出典'!$B$7)-J963-L963-N963</ns0:f>
        <ns0:v>804198.0863425507</ns0:v>
      </ns0:c>
      <ns0:c r="R963" s="16">
        <ns0:f>P963-E963*'前提と出典'!$E$4</ns0:f>
        <ns0:v>1964179.4704541992</ns0:v>
      </ns0:c>
      <ns0:c r="S963" s="16">
        <ns0:f>Q963-F963*'前提と出典'!$E$4</ns0:f>
        <ns0:v>594042.6691062175</ns0:v>
      </ns0:c>
      <ns0:c r="T963" s="7">
        <ns0:f>R963+S963</ns0:f>
        <ns0:v>2558222.139560417</ns0:v>
      </ns0:c>
      <ns0:c r="U963" s="16">
        <ns0:f>P963-E963*'前提と出典'!$E$5</ns0:f>
        <ns0:v>1723099.0571153956</ns0:v>
      </ns0:c>
      <ns0:c r="V963" s="16">
        <ns0:f>Q963-F963*'前提と出典'!$E$5</ns0:f>
        <ns0:v>523990.86336077296</ns0:v>
      </ns0:c>
      <ns0:c r="W963" s="7">
        <ns0:f>U963+V963</ns0:f>
        <ns0:v>2247089.9204761684</ns0:v>
      </ns0:c>
      <ns0:c r="X963" s="16">
        <ns0:f>P963-E963*'前提と出典'!$E$6</ns0:f>
        <ns0:v>1482018.6437765919</ns0:v>
      </ns0:c>
      <ns0:c r="Y963" s="16">
        <ns0:f>Q963-F963*'前提と出典'!$E$6</ns0:f>
        <ns0:v>453939.05761532846</ns0:v>
      </ns0:c>
      <ns0:c r="Z963" s="7">
        <ns0:f>X963+Y963</ns0:f>
        <ns0:v>1935957.7013919204</ns0:v>
      </ns0:c>
      <ns0:c r="AA963" s="7">
        <ns0:f>IF(T963&gt;=0,A963,1001)</ns0:f>
        <ns0:v>959</ns0:v>
      </ns0:c>
      <ns0:c r="AB963" s="7">
        <ns0:f>IF(T963&lt;0,A963,0)</ns0:f>
        <ns0:v>0</ns0:v>
      </ns0:c>
      <ns0:c r="AC963" s="16">
        <ns0:f>IF(AND(OR('前提と出典'!$C$36+'前提と出典'!$C$38=0,R963&gt;=0),OR('前提と出典'!$C$37+'前提と出典'!$C$38=0,S963&gt;=0)),0,A963)</ns0:f>
        <ns0:v>0</ns0:v>
      </ns0:c>
      <ns0:c r="AD963" s="7">
        <ns0:f>IF(W963&gt;=0,A963,1001)</ns0:f>
        <ns0:v>959</ns0:v>
      </ns0:c>
      <ns0:c r="AE963" s="7">
        <ns0:f>IF(W963&lt;0,A963,0)</ns0:f>
        <ns0:v>0</ns0:v>
      </ns0:c>
      <ns0:c r="AF963" s="16">
        <ns0:f>IF(AND(OR('前提と出典'!$C$36+'前提と出典'!$C$38=0,U963&gt;=0),OR('前提と出典'!$C$37+'前提と出典'!$C$38=0,V963&gt;=0)),0,A963)</ns0:f>
        <ns0:v>0</ns0:v>
      </ns0:c>
      <ns0:c r="AG963" s="7">
        <ns0:f>IF(Z963&gt;=0,A963,1001)</ns0:f>
        <ns0:v>959</ns0:v>
      </ns0:c>
      <ns0:c r="AH963" s="4">
        <ns0:f>IF(Z963&lt;0,A963,0)</ns0:f>
        <ns0:v>0</ns0:v>
      </ns0:c>
      <ns0:c r="AI963" s="12">
        <ns0:f>IF(AND(OR('前提と出典'!$C$36+'前提と出典'!$C$38=0,X963&gt;=0),OR('前提と出典'!$C$37+'前提と出典'!$C$38=0,Y963&gt;=0)),0,A963)</ns0:f>
        <ns0:v>0</ns0:v>
      </ns0:c>
    </ns0:row>
    <ns0:row r="964" ht="24" customHeight="1">
      <ns0:c r="A964" s="4" t="n">
        <ns0:v>960</ns0:v>
      </ns0:c>
      <ns0:c r="B964" s="12">
        <ns0:f>A964*('前提と出典'!$C$36+'前提と出典'!$C$38)</ns0:f>
        <ns0:v>672</ns0:v>
      </ns0:c>
      <ns0:c r="C964" s="12">
        <ns0:f>A964*('前提と出典'!$C$37+'前提と出典'!$C$38)</ns0:f>
        <ns0:v>576</ns0:v>
      </ns0:c>
      <ns0:c r="D964" s="16">
        <ns0:f>A964*('前提と出典'!$C$36*'契約別単価'!C5+'前提と出典'!$C$37*'契約別単価'!C6+'前提と出典'!$C$38*'契約別単価'!C7)</ns0:f>
        <ns0:v>6907.709497206704</ns0:v>
      </ns0:c>
      <ns0:c r="E964" s="16">
        <ns0:f>A964*('前提と出典'!$C$36*'契約別単価'!E5+'前提と出典'!$C$37*'契約別単価'!E6+'前提と出典'!$C$38*'契約別単価'!E7)</ns0:f>
        <ns0:v>2413318.006311277</ns0:v>
      </ns0:c>
      <ns0:c r="F964" s="16">
        <ns0:f>A964*('前提と出典'!$C$36*'契約別単価'!F5+'前提と出典'!$C$37*'契約別単価'!F6+'前提と出典'!$C$38*'契約別単価'!F7)</ns0:f>
        <ns0:v>701248.5246676399</ns0:v>
      </ns0:c>
      <ns0:c r="G964" s="16">
        <ns0:f>A964*('前提と出典'!$C$36*'契約別単価'!G5+'前提と出典'!$C$37*'契約別単価'!G6+'前提と出典'!$C$38*'契約別単価'!G7)</ns0:f>
        <ns0:v>1910882.6815642458</ns0:v>
      </ns0:c>
      <ns0:c r="H964" s="16">
        <ns0:f>A964*('前提と出典'!$C$36*'契約別単価'!H5+'前提と出典'!$C$37*'契約別単価'!H6+'前提と出典'!$C$38*'契約別単価'!H7)</ns0:f>
        <ns0:v>663172.1288004266</ns0:v>
      </ns0:c>
      <ns0:c r="I964" s="16">
        <ns0:f>A964*('前提と出典'!$C$36*'契約別単価'!I5+'前提と出典'!$C$37*'契約別単価'!I6+'前提と出典'!$C$38*'契約別単価'!I7)</ns0:f>
        <ns0:v>40507.7094972067</ns0:v>
      </ns0:c>
      <ns0:c r="J964" s="16">
        <ns0:f>A964*('前提と出典'!$C$36*'契約別単価'!J5+'前提と出典'!$C$37*'契約別単価'!J6+'前提と出典'!$C$38*'契約別単価'!J7)</ns0:f>
        <ns0:v>94357.96196189047</ns0:v>
      </ns0:c>
      <ns0:c r="K964" s="16">
        <ns0:f>A964*('前提と出典'!$C$36*'契約別単価'!K5+'前提と出典'!$C$37*'契約別単価'!K6+'前提と出典'!$C$38*'契約別単価'!K7)</ns0:f>
        <ns0:v>404451.39664804464</ns0:v>
      </ns0:c>
      <ns0:c r="L964" s="16">
        <ns0:f>A964*('前提と出典'!$C$36*'契約別単価'!L5+'前提と出典'!$C$37*'契約別単価'!L6+'前提と出典'!$C$38*'契約別単価'!L7)</ns0:f>
        <ns0:v>329305.7376266809</ns0:v>
      </ns0:c>
      <ns0:c r="M964" s="16">
        <ns0:f>IF(('前提と出典'!$C$36+'前提と出典'!$C$38)=0,0,IF(B964&lt;=10,'前提と出典'!B73+'前提と出典'!C73,IF(B964&lt;=100,'前提と出典'!B74+'前提と出典'!C74,IF(B964&lt;=500,'前提と出典'!B75+'前提と出典'!C75,'前提と出典'!B76+'前提と出典'!C76))))</ns0:f>
        <ns0:v>80000</ns0:v>
      </ns0:c>
      <ns0:c r="N964" s="16">
        <ns0:f>IF(('前提と出典'!$C$37+'前提と出典'!$C$38)=0,0,IF(C964&lt;=10,'前提と出典'!D73+'前提と出典'!E73,IF(C964&lt;=100,'前提と出典'!D74+'前提と出典'!E74,IF(C964&lt;=500,'前提と出典'!D75+'前提と出典'!E75,'前提と出典'!D76+'前提と出典'!E76))))</ns0:f>
        <ns0:v>86510.9346263078</ns0:v>
      </ns0:c>
      <ns0:c r="O964" s="16">
        <ns0:f>IF('前提と出典'!$C$36+'前提と出典'!$C$38=0,0,'前提と出典'!$B$4*IF('前提と出典'!$B$20=0,MAX('前提と出典'!$B$6,D964*'前提と出典'!$B$5),'前提と出典'!$B$6+D964*'前提と出典'!$B$5))</ns0:f>
        <ns0:v>953263.9106145252</ns0:v>
      </ns0:c>
      <ns0:c r="P964" s="16">
        <ns0:f>(E964+G964)*(1-'前提と出典'!$B$7)-I964-K964-M964-O964</ns0:f>
        <ns0:v>2690306.446352227</ns0:v>
      </ns0:c>
      <ns0:c r="Q964" s="16">
        <ns0:f>(F964+H964)*(1-'前提と出典'!$B$7)-J964-L964-N964</ns0:f>
        <ns0:v>805126.8757283369</ns0:v>
      </ns0:c>
      <ns0:c r="R964" s="16">
        <ns0:f>P964-E964*'前提と出典'!$E$4</ns0:f>
        <ns0:v>1966311.044458844</ns0:v>
      </ns0:c>
      <ns0:c r="S964" s="16">
        <ns0:f>Q964-F964*'前提と出典'!$E$4</ns0:f>
        <ns0:v>594752.3183280447</ns0:v>
      </ns0:c>
      <ns0:c r="T964" s="7">
        <ns0:f>R964+S964</ns0:f>
        <ns0:v>2561063.3627868886</ns0:v>
      </ns0:c>
      <ns0:c r="U964" s="16">
        <ns0:f>P964-E964*'前提と出典'!$E$5</ns0:f>
        <ns0:v>1724979.2438277162</ns0:v>
      </ns0:c>
      <ns0:c r="V964" s="16">
        <ns0:f>Q964-F964*'前提と出典'!$E$5</ns0:f>
        <ns0:v>524627.4658612809</ns0:v>
      </ns0:c>
      <ns0:c r="W964" s="7">
        <ns0:f>U964+V964</ns0:f>
        <ns0:v>2249606.709688997</ns0:v>
      </ns0:c>
      <ns0:c r="X964" s="16">
        <ns0:f>P964-E964*'前提と出典'!$E$6</ns0:f>
        <ns0:v>1483647.4431965884</ns0:v>
      </ns0:c>
      <ns0:c r="Y964" s="16">
        <ns0:f>Q964-F964*'前提と出典'!$E$6</ns0:f>
        <ns0:v>454502.613394517</ns0:v>
      </ns0:c>
      <ns0:c r="Z964" s="7">
        <ns0:f>X964+Y964</ns0:f>
        <ns0:v>1938150.0565911054</ns0:v>
      </ns0:c>
      <ns0:c r="AA964" s="7">
        <ns0:f>IF(T964&gt;=0,A964,1001)</ns0:f>
        <ns0:v>960</ns0:v>
      </ns0:c>
      <ns0:c r="AB964" s="7">
        <ns0:f>IF(T964&lt;0,A964,0)</ns0:f>
        <ns0:v>0</ns0:v>
      </ns0:c>
      <ns0:c r="AC964" s="16">
        <ns0:f>IF(AND(OR('前提と出典'!$C$36+'前提と出典'!$C$38=0,R964&gt;=0),OR('前提と出典'!$C$37+'前提と出典'!$C$38=0,S964&gt;=0)),0,A964)</ns0:f>
        <ns0:v>0</ns0:v>
      </ns0:c>
      <ns0:c r="AD964" s="7">
        <ns0:f>IF(W964&gt;=0,A964,1001)</ns0:f>
        <ns0:v>960</ns0:v>
      </ns0:c>
      <ns0:c r="AE964" s="7">
        <ns0:f>IF(W964&lt;0,A964,0)</ns0:f>
        <ns0:v>0</ns0:v>
      </ns0:c>
      <ns0:c r="AF964" s="16">
        <ns0:f>IF(AND(OR('前提と出典'!$C$36+'前提と出典'!$C$38=0,U964&gt;=0),OR('前提と出典'!$C$37+'前提と出典'!$C$38=0,V964&gt;=0)),0,A964)</ns0:f>
        <ns0:v>0</ns0:v>
      </ns0:c>
      <ns0:c r="AG964" s="7">
        <ns0:f>IF(Z964&gt;=0,A964,1001)</ns0:f>
        <ns0:v>960</ns0:v>
      </ns0:c>
      <ns0:c r="AH964" s="4">
        <ns0:f>IF(Z964&lt;0,A964,0)</ns0:f>
        <ns0:v>0</ns0:v>
      </ns0:c>
      <ns0:c r="AI964" s="12">
        <ns0:f>IF(AND(OR('前提と出典'!$C$36+'前提と出典'!$C$38=0,X964&gt;=0),OR('前提と出典'!$C$37+'前提と出典'!$C$38=0,Y964&gt;=0)),0,A964)</ns0:f>
        <ns0:v>0</ns0:v>
      </ns0:c>
    </ns0:row>
    <ns0:row r="965" ht="24" customHeight="1">
      <ns0:c r="A965" s="4" t="n">
        <ns0:v>961</ns0:v>
      </ns0:c>
      <ns0:c r="B965" s="12">
        <ns0:f>A965*('前提と出典'!$C$36+'前提と出典'!$C$38)</ns0:f>
        <ns0:v>672.6999999999999</ns0:v>
      </ns0:c>
      <ns0:c r="C965" s="12">
        <ns0:f>A965*('前提と出典'!$C$37+'前提と出典'!$C$38)</ns0:f>
        <ns0:v>576.6</ns0:v>
      </ns0:c>
      <ns0:c r="D965" s="16">
        <ns0:f>A965*('前提と出典'!$C$36*'契約別単価'!C5+'前提と出典'!$C$37*'契約別単価'!C6+'前提と出典'!$C$38*'契約別単価'!C7)</ns0:f>
        <ns0:v>6914.905027932961</ns0:v>
      </ns0:c>
      <ns0:c r="E965" s="16">
        <ns0:f>A965*('前提と出典'!$C$36*'契約別単価'!E5+'前提と出典'!$C$37*'契約別単価'!E6+'前提と出典'!$C$38*'契約別単価'!E7)</ns0:f>
        <ns0:v>2415831.8792345175</ns0:v>
      </ns0:c>
      <ns0:c r="F965" s="16">
        <ns0:f>A965*('前提と出典'!$C$36*'契約別単価'!F5+'前提と出典'!$C$37*'契約別単価'!F6+'前提と出典'!$C$38*'契約別単価'!F7)</ns0:f>
        <ns0:v>701978.9918808353</ns0:v>
      </ns0:c>
      <ns0:c r="G965" s="16">
        <ns0:f>A965*('前提と出典'!$C$36*'契約別単価'!G5+'前提と出典'!$C$37*'契約別単価'!G6+'前提と出典'!$C$38*'契約別単価'!G7)</ns0:f>
        <ns0:v>1912873.1843575418</ns0:v>
      </ns0:c>
      <ns0:c r="H965" s="16">
        <ns0:f>A965*('前提と出典'!$C$36*'契約別単価'!H5+'前提と出典'!$C$37*'契約別単価'!H6+'前提と出典'!$C$38*'契約別単価'!H7)</ns0:f>
        <ns0:v>663862.9331012603</ns0:v>
      </ns0:c>
      <ns0:c r="I965" s="16">
        <ns0:f>A965*('前提と出典'!$C$36*'契約別単価'!I5+'前提と出典'!$C$37*'契約別単価'!I6+'前提と出典'!$C$38*'契約別単価'!I7)</ns0:f>
        <ns0:v>40549.90502793295</ns0:v>
      </ns0:c>
      <ns0:c r="J965" s="16">
        <ns0:f>A965*('前提と出典'!$C$36*'契約別単価'!J5+'前提と出典'!$C$37*'契約別単価'!J6+'前提と出典'!$C$38*'契約別単価'!J7)</ns0:f>
        <ns0:v>94456.25150560077</ns0:v>
      </ns0:c>
      <ns0:c r="K965" s="16">
        <ns0:f>A965*('前提と出典'!$C$36*'契約別単価'!K5+'前提と出典'!$C$37*'契約別単価'!K6+'前提と出典'!$C$38*'契約別単価'!K7)</ns0:f>
        <ns0:v>404872.7001862197</ns0:v>
      </ns0:c>
      <ns0:c r="L965" s="16">
        <ns0:f>A965*('前提と出典'!$C$36*'契約別単価'!L5+'前提と出典'!$C$37*'契約別単価'!L6+'前提と出典'!$C$38*'契約別単価'!L7)</ns0:f>
        <ns0:v>329648.76443670865</ns0:v>
      </ns0:c>
      <ns0:c r="M965" s="16">
        <ns0:f>IF(('前提と出典'!$C$36+'前提と出典'!$C$38)=0,0,IF(B965&lt;=10,'前提と出典'!B73+'前提と出典'!C73,IF(B965&lt;=100,'前提と出典'!B74+'前提と出典'!C74,IF(B965&lt;=500,'前提と出典'!B75+'前提と出典'!C75,'前提と出典'!B76+'前提と出典'!C76))))</ns0:f>
        <ns0:v>80000</ns0:v>
      </ns0:c>
      <ns0:c r="N965" s="16">
        <ns0:f>IF(('前提と出典'!$C$37+'前提と出典'!$C$38)=0,0,IF(C965&lt;=10,'前提と出典'!D73+'前提と出典'!E73,IF(C965&lt;=100,'前提と出典'!D74+'前提と出典'!E74,IF(C965&lt;=500,'前提と出典'!D75+'前提と出典'!E75,'前提と出典'!D76+'前提と出典'!E76))))</ns0:f>
        <ns0:v>86510.9346263078</ns0:v>
      </ns0:c>
      <ns0:c r="O965" s="16">
        <ns0:f>IF('前提と出典'!$C$36+'前提と出典'!$C$38=0,0,'前提と出典'!$B$4*IF('前提と出典'!$B$20=0,MAX('前提と出典'!$B$6,D965*'前提と出典'!$B$5),'前提と出典'!$B$6+D965*'前提と出典'!$B$5))</ns0:f>
        <ns0:v>954256.8938547487</ns0:v>
      </ns0:c>
      <ns0:c r="P965" s="16">
        <ns0:f>(E965+G965)*(1-'前提と出典'!$B$7)-I965-K965-M965-O965</ns0:f>
        <ns0:v>2693192.182233844</ns0:v>
      </ns0:c>
      <ns0:c r="Q965" s="16">
        <ns0:f>(F965+H965)*(1-'前提と出典'!$B$7)-J965-L965-N965</ns0:f>
        <ns0:v>806055.6651141229</ns0:v>
      </ns0:c>
      <ns0:c r="R965" s="16">
        <ns0:f>P965-E965*'前提と出典'!$E$4</ns0:f>
        <ns0:v>1968442.618463489</ns0:v>
      </ns0:c>
      <ns0:c r="S965" s="16">
        <ns0:f>Q965-F965*'前提と出典'!$E$4</ns0:f>
        <ns0:v>595461.9675498725</ns0:v>
      </ns0:c>
      <ns0:c r="T965" s="7">
        <ns0:f>R965+S965</ns0:f>
        <ns0:v>2563904.5860133613</ns0:v>
      </ns0:c>
      <ns0:c r="U965" s="16">
        <ns0:f>P965-E965*'前提と出典'!$E$5</ns0:f>
        <ns0:v>1726859.430540037</ns0:v>
      </ns0:c>
      <ns0:c r="V965" s="16">
        <ns0:f>Q965-F965*'前提と出典'!$E$5</ns0:f>
        <ns0:v>525264.0683617888</ns0:v>
      </ns0:c>
      <ns0:c r="W965" s="7">
        <ns0:f>U965+V965</ns0:f>
        <ns0:v>2252123.498901826</ns0:v>
      </ns0:c>
      <ns0:c r="X965" s="16">
        <ns0:f>P965-E965*'前提と出典'!$E$6</ns0:f>
        <ns0:v>1485276.2426165857</ns0:v>
      </ns0:c>
      <ns0:c r="Y965" s="16">
        <ns0:f>Q965-F965*'前提と出典'!$E$6</ns0:f>
        <ns0:v>455066.1691737053</ns0:v>
      </ns0:c>
      <ns0:c r="Z965" s="7">
        <ns0:f>X965+Y965</ns0:f>
        <ns0:v>1940342.4117902908</ns0:v>
      </ns0:c>
      <ns0:c r="AA965" s="7">
        <ns0:f>IF(T965&gt;=0,A965,1001)</ns0:f>
        <ns0:v>961</ns0:v>
      </ns0:c>
      <ns0:c r="AB965" s="7">
        <ns0:f>IF(T965&lt;0,A965,0)</ns0:f>
        <ns0:v>0</ns0:v>
      </ns0:c>
      <ns0:c r="AC965" s="16">
        <ns0:f>IF(AND(OR('前提と出典'!$C$36+'前提と出典'!$C$38=0,R965&gt;=0),OR('前提と出典'!$C$37+'前提と出典'!$C$38=0,S965&gt;=0)),0,A965)</ns0:f>
        <ns0:v>0</ns0:v>
      </ns0:c>
      <ns0:c r="AD965" s="7">
        <ns0:f>IF(W965&gt;=0,A965,1001)</ns0:f>
        <ns0:v>961</ns0:v>
      </ns0:c>
      <ns0:c r="AE965" s="7">
        <ns0:f>IF(W965&lt;0,A965,0)</ns0:f>
        <ns0:v>0</ns0:v>
      </ns0:c>
      <ns0:c r="AF965" s="16">
        <ns0:f>IF(AND(OR('前提と出典'!$C$36+'前提と出典'!$C$38=0,U965&gt;=0),OR('前提と出典'!$C$37+'前提と出典'!$C$38=0,V965&gt;=0)),0,A965)</ns0:f>
        <ns0:v>0</ns0:v>
      </ns0:c>
      <ns0:c r="AG965" s="7">
        <ns0:f>IF(Z965&gt;=0,A965,1001)</ns0:f>
        <ns0:v>961</ns0:v>
      </ns0:c>
      <ns0:c r="AH965" s="4">
        <ns0:f>IF(Z965&lt;0,A965,0)</ns0:f>
        <ns0:v>0</ns0:v>
      </ns0:c>
      <ns0:c r="AI965" s="12">
        <ns0:f>IF(AND(OR('前提と出典'!$C$36+'前提と出典'!$C$38=0,X965&gt;=0),OR('前提と出典'!$C$37+'前提と出典'!$C$38=0,Y965&gt;=0)),0,A965)</ns0:f>
        <ns0:v>0</ns0:v>
      </ns0:c>
    </ns0:row>
    <ns0:row r="966" ht="24" customHeight="1">
      <ns0:c r="A966" s="4" t="n">
        <ns0:v>962</ns0:v>
      </ns0:c>
      <ns0:c r="B966" s="12">
        <ns0:f>A966*('前提と出典'!$C$36+'前提と出典'!$C$38)</ns0:f>
        <ns0:v>673.4</ns0:v>
      </ns0:c>
      <ns0:c r="C966" s="12">
        <ns0:f>A966*('前提と出典'!$C$37+'前提と出典'!$C$38)</ns0:f>
        <ns0:v>577.1999999999999</ns0:v>
      </ns0:c>
      <ns0:c r="D966" s="16">
        <ns0:f>A966*('前提と出典'!$C$36*'契約別単価'!C5+'前提と出典'!$C$37*'契約別単価'!C6+'前提と出典'!$C$38*'契約別単価'!C7)</ns0:f>
        <ns0:v>6922.100558659218</ns0:v>
      </ns0:c>
      <ns0:c r="E966" s="16">
        <ns0:f>A966*('前提と出典'!$C$36*'契約別単価'!E5+'前提と出典'!$C$37*'契約別単価'!E6+'前提と出典'!$C$38*'契約別単価'!E7)</ns0:f>
        <ns0:v>2418345.7521577585</ns0:v>
      </ns0:c>
      <ns0:c r="F966" s="16">
        <ns0:f>A966*('前提と出典'!$C$36*'契約別単価'!F5+'前提と出典'!$C$37*'契約別単価'!F6+'前提と出典'!$C$38*'契約別単価'!F7)</ns0:f>
        <ns0:v>702709.4590940308</ns0:v>
      </ns0:c>
      <ns0:c r="G966" s="16">
        <ns0:f>A966*('前提と出典'!$C$36*'契約別単価'!G5+'前提と出典'!$C$37*'契約別単価'!G6+'前提と出典'!$C$38*'契約別単価'!G7)</ns0:f>
        <ns0:v>1914863.6871508379</ns0:v>
      </ns0:c>
      <ns0:c r="H966" s="16">
        <ns0:f>A966*('前提と出典'!$C$36*'契約別単価'!H5+'前提と出典'!$C$37*'契約別単価'!H6+'前提と出典'!$C$38*'契約別単価'!H7)</ns0:f>
        <ns0:v>664553.7374020942</ns0:v>
      </ns0:c>
      <ns0:c r="I966" s="16">
        <ns0:f>A966*('前提と出典'!$C$36*'契約別単価'!I5+'前提と出典'!$C$37*'契約別単価'!I6+'前提と出典'!$C$38*'契約別単価'!I7)</ns0:f>
        <ns0:v>40592.100558659215</ns0:v>
      </ns0:c>
      <ns0:c r="J966" s="16">
        <ns0:f>A966*('前提と出典'!$C$36*'契約別単価'!J5+'前提と出典'!$C$37*'契約別単価'!J6+'前提と出典'!$C$38*'契約別単価'!J7)</ns0:f>
        <ns0:v>94554.54104931107</ns0:v>
      </ns0:c>
      <ns0:c r="K966" s="16">
        <ns0:f>A966*('前提と出典'!$C$36*'契約別単価'!K5+'前提と出典'!$C$37*'契約別単価'!K6+'前提と出典'!$C$38*'契約別単価'!K7)</ns0:f>
        <ns0:v>405294.0037243948</ns0:v>
      </ns0:c>
      <ns0:c r="L966" s="16">
        <ns0:f>A966*('前提と出典'!$C$36*'契約別単価'!L5+'前提と出典'!$C$37*'契約別単価'!L6+'前提と出典'!$C$38*'契約別単価'!L7)</ns0:f>
        <ns0:v>329991.7912467365</ns0:v>
      </ns0:c>
      <ns0:c r="M966" s="16">
        <ns0:f>IF(('前提と出典'!$C$36+'前提と出典'!$C$38)=0,0,IF(B966&lt;=10,'前提と出典'!B73+'前提と出典'!C73,IF(B966&lt;=100,'前提と出典'!B74+'前提と出典'!C74,IF(B966&lt;=500,'前提と出典'!B75+'前提と出典'!C75,'前提と出典'!B76+'前提と出典'!C76))))</ns0:f>
        <ns0:v>80000</ns0:v>
      </ns0:c>
      <ns0:c r="N966" s="16">
        <ns0:f>IF(('前提と出典'!$C$37+'前提と出典'!$C$38)=0,0,IF(C966&lt;=10,'前提と出典'!D73+'前提と出典'!E73,IF(C966&lt;=100,'前提と出典'!D74+'前提と出典'!E74,IF(C966&lt;=500,'前提と出典'!D75+'前提と出典'!E75,'前提と出典'!D76+'前提と出典'!E76))))</ns0:f>
        <ns0:v>86510.9346263078</ns0:v>
      </ns0:c>
      <ns0:c r="O966" s="16">
        <ns0:f>IF('前提と出典'!$C$36+'前提と出典'!$C$38=0,0,'前提と出典'!$B$4*IF('前提と出典'!$B$20=0,MAX('前提と出典'!$B$6,D966*'前提と出典'!$B$5),'前提と出典'!$B$6+D966*'前提と出典'!$B$5))</ns0:f>
        <ns0:v>955249.8770949722</ns0:v>
      </ns0:c>
      <ns0:c r="P966" s="16">
        <ns0:f>(E966+G966)*(1-'前提と出典'!$B$7)-I966-K966-M966-O966</ns0:f>
        <ns0:v>2696077.9181154612</ns0:v>
      </ns0:c>
      <ns0:c r="Q966" s="16">
        <ns0:f>(F966+H966)*(1-'前提と出典'!$B$7)-J966-L966-N966</ns0:f>
        <ns0:v>806984.454499909</ns0:v>
      </ns0:c>
      <ns0:c r="R966" s="16">
        <ns0:f>P966-E966*'前提と出典'!$E$4</ns0:f>
        <ns0:v>1970574.1924681335</ns0:v>
      </ns0:c>
      <ns0:c r="S966" s="16">
        <ns0:f>Q966-F966*'前提と出典'!$E$4</ns0:f>
        <ns0:v>596171.6167716996</ns0:v>
      </ns0:c>
      <ns0:c r="T966" s="7">
        <ns0:f>R966+S966</ns0:f>
        <ns0:v>2566745.809239833</ns0:v>
      </ns0:c>
      <ns0:c r="U966" s="16">
        <ns0:f>P966-E966*'前提と出典'!$E$5</ns0:f>
        <ns0:v>1728739.6172523575</ns0:v>
      </ns0:c>
      <ns0:c r="V966" s="16">
        <ns0:f>Q966-F966*'前提と出典'!$E$5</ns0:f>
        <ns0:v>525900.6708622966</ns0:v>
      </ns0:c>
      <ns0:c r="W966" s="7">
        <ns0:f>U966+V966</ns0:f>
        <ns0:v>2254640.288114654</ns0:v>
      </ns0:c>
      <ns0:c r="X966" s="16">
        <ns0:f>P966-E966*'前提と出典'!$E$6</ns0:f>
        <ns0:v>1486905.0420365816</ns0:v>
      </ns0:c>
      <ns0:c r="Y966" s="16">
        <ns0:f>Q966-F966*'前提と出典'!$E$6</ns0:f>
        <ns0:v>455629.72495289356</ns0:v>
      </ns0:c>
      <ns0:c r="Z966" s="7">
        <ns0:f>X966+Y966</ns0:f>
        <ns0:v>1942534.766989475</ns0:v>
      </ns0:c>
      <ns0:c r="AA966" s="7">
        <ns0:f>IF(T966&gt;=0,A966,1001)</ns0:f>
        <ns0:v>962</ns0:v>
      </ns0:c>
      <ns0:c r="AB966" s="7">
        <ns0:f>IF(T966&lt;0,A966,0)</ns0:f>
        <ns0:v>0</ns0:v>
      </ns0:c>
      <ns0:c r="AC966" s="16">
        <ns0:f>IF(AND(OR('前提と出典'!$C$36+'前提と出典'!$C$38=0,R966&gt;=0),OR('前提と出典'!$C$37+'前提と出典'!$C$38=0,S966&gt;=0)),0,A966)</ns0:f>
        <ns0:v>0</ns0:v>
      </ns0:c>
      <ns0:c r="AD966" s="7">
        <ns0:f>IF(W966&gt;=0,A966,1001)</ns0:f>
        <ns0:v>962</ns0:v>
      </ns0:c>
      <ns0:c r="AE966" s="7">
        <ns0:f>IF(W966&lt;0,A966,0)</ns0:f>
        <ns0:v>0</ns0:v>
      </ns0:c>
      <ns0:c r="AF966" s="16">
        <ns0:f>IF(AND(OR('前提と出典'!$C$36+'前提と出典'!$C$38=0,U966&gt;=0),OR('前提と出典'!$C$37+'前提と出典'!$C$38=0,V966&gt;=0)),0,A966)</ns0:f>
        <ns0:v>0</ns0:v>
      </ns0:c>
      <ns0:c r="AG966" s="7">
        <ns0:f>IF(Z966&gt;=0,A966,1001)</ns0:f>
        <ns0:v>962</ns0:v>
      </ns0:c>
      <ns0:c r="AH966" s="4">
        <ns0:f>IF(Z966&lt;0,A966,0)</ns0:f>
        <ns0:v>0</ns0:v>
      </ns0:c>
      <ns0:c r="AI966" s="12">
        <ns0:f>IF(AND(OR('前提と出典'!$C$36+'前提と出典'!$C$38=0,X966&gt;=0),OR('前提と出典'!$C$37+'前提と出典'!$C$38=0,Y966&gt;=0)),0,A966)</ns0:f>
        <ns0:v>0</ns0:v>
      </ns0:c>
    </ns0:row>
    <ns0:row r="967" ht="24" customHeight="1">
      <ns0:c r="A967" s="4" t="n">
        <ns0:v>963</ns0:v>
      </ns0:c>
      <ns0:c r="B967" s="12">
        <ns0:f>A967*('前提と出典'!$C$36+'前提と出典'!$C$38)</ns0:f>
        <ns0:v>674.0999999999999</ns0:v>
      </ns0:c>
      <ns0:c r="C967" s="12">
        <ns0:f>A967*('前提と出典'!$C$37+'前提と出典'!$C$38)</ns0:f>
        <ns0:v>577.8</ns0:v>
      </ns0:c>
      <ns0:c r="D967" s="16">
        <ns0:f>A967*('前提と出典'!$C$36*'契約別単価'!C5+'前提と出典'!$C$37*'契約別単価'!C6+'前提と出典'!$C$38*'契約別単価'!C7)</ns0:f>
        <ns0:v>6929.296089385475</ns0:v>
      </ns0:c>
      <ns0:c r="E967" s="16">
        <ns0:f>A967*('前提と出典'!$C$36*'契約別単価'!E5+'前提と出典'!$C$37*'契約別単価'!E6+'前提と出典'!$C$38*'契約別単価'!E7)</ns0:f>
        <ns0:v>2420859.6250809995</ns0:v>
      </ns0:c>
      <ns0:c r="F967" s="16">
        <ns0:f>A967*('前提と出典'!$C$36*'契約別単価'!F5+'前提と出典'!$C$37*'契約別単価'!F6+'前提と出典'!$C$38*'契約別単価'!F7)</ns0:f>
        <ns0:v>703439.9263072262</ns0:v>
      </ns0:c>
      <ns0:c r="G967" s="16">
        <ns0:f>A967*('前提と出典'!$C$36*'契約別単価'!G5+'前提と出典'!$C$37*'契約別単価'!G6+'前提と出典'!$C$38*'契約別単価'!G7)</ns0:f>
        <ns0:v>1916854.189944134</ns0:v>
      </ns0:c>
      <ns0:c r="H967" s="16">
        <ns0:f>A967*('前提と出典'!$C$36*'契約別単価'!H5+'前提と出典'!$C$37*'契約別単価'!H6+'前提と出典'!$C$38*'契約別単価'!H7)</ns0:f>
        <ns0:v>665244.5417029279</ns0:v>
      </ns0:c>
      <ns0:c r="I967" s="16">
        <ns0:f>A967*('前提と出典'!$C$36*'契約別単価'!I5+'前提と出典'!$C$37*'契約別単価'!I6+'前提と出典'!$C$38*'契約別単価'!I7)</ns0:f>
        <ns0:v>40634.29608938547</ns0:v>
      </ns0:c>
      <ns0:c r="J967" s="16">
        <ns0:f>A967*('前提と出典'!$C$36*'契約別単価'!J5+'前提と出典'!$C$37*'契約別単価'!J6+'前提と出典'!$C$38*'契約別単価'!J7)</ns0:f>
        <ns0:v>94652.83059302137</ns0:v>
      </ns0:c>
      <ns0:c r="K967" s="16">
        <ns0:f>A967*('前提と出典'!$C$36*'契約別単価'!K5+'前提と出典'!$C$37*'契約別単価'!K6+'前提と出典'!$C$38*'契約別単価'!K7)</ns0:f>
        <ns0:v>405715.3072625698</ns0:v>
      </ns0:c>
      <ns0:c r="L967" s="16">
        <ns0:f>A967*('前提と出典'!$C$36*'契約別単価'!L5+'前提と出典'!$C$37*'契約別単価'!L6+'前提と出典'!$C$38*'契約別単価'!L7)</ns0:f>
        <ns0:v>330334.81805676426</ns0:v>
      </ns0:c>
      <ns0:c r="M967" s="16">
        <ns0:f>IF(('前提と出典'!$C$36+'前提と出典'!$C$38)=0,0,IF(B967&lt;=10,'前提と出典'!B73+'前提と出典'!C73,IF(B967&lt;=100,'前提と出典'!B74+'前提と出典'!C74,IF(B967&lt;=500,'前提と出典'!B75+'前提と出典'!C75,'前提と出典'!B76+'前提と出典'!C76))))</ns0:f>
        <ns0:v>80000</ns0:v>
      </ns0:c>
      <ns0:c r="N967" s="16">
        <ns0:f>IF(('前提と出典'!$C$37+'前提と出典'!$C$38)=0,0,IF(C967&lt;=10,'前提と出典'!D73+'前提と出典'!E73,IF(C967&lt;=100,'前提と出典'!D74+'前提と出典'!E74,IF(C967&lt;=500,'前提と出典'!D75+'前提と出典'!E75,'前提と出典'!D76+'前提と出典'!E76))))</ns0:f>
        <ns0:v>86510.9346263078</ns0:v>
      </ns0:c>
      <ns0:c r="O967" s="16">
        <ns0:f>IF('前提と出典'!$C$36+'前提と出典'!$C$38=0,0,'前提と出典'!$B$4*IF('前提と出典'!$B$20=0,MAX('前提と出典'!$B$6,D967*'前提と出典'!$B$5),'前提と出典'!$B$6+D967*'前提と出典'!$B$5))</ns0:f>
        <ns0:v>956242.8603351957</ns0:v>
      </ns0:c>
      <ns0:c r="P967" s="16">
        <ns0:f>(E967+G967)*(1-'前提と出典'!$B$7)-I967-K967-M967-O967</ns0:f>
        <ns0:v>2698963.6539970785</ns0:v>
      </ns0:c>
      <ns0:c r="Q967" s="16">
        <ns0:f>(F967+H967)*(1-'前提と出典'!$B$7)-J967-L967-N967</ns0:f>
        <ns0:v>807913.2438856952</ns0:v>
      </ns0:c>
      <ns0:c r="R967" s="16">
        <ns0:f>P967-E967*'前提と出典'!$E$4</ns0:f>
        <ns0:v>1972705.7664727785</ns0:v>
      </ns0:c>
      <ns0:c r="S967" s="16">
        <ns0:f>Q967-F967*'前提と出典'!$E$4</ns0:f>
        <ns0:v>596881.2659935271</ns0:v>
      </ns0:c>
      <ns0:c r="T967" s="7">
        <ns0:f>R967+S967</ns0:f>
        <ns0:v>2569587.0324663054</ns0:v>
      </ns0:c>
      <ns0:c r="U967" s="16">
        <ns0:f>P967-E967*'前提と出典'!$E$5</ns0:f>
        <ns0:v>1730619.8039646784</ns0:v>
      </ns0:c>
      <ns0:c r="V967" s="16">
        <ns0:f>Q967-F967*'前提と出典'!$E$5</ns0:f>
        <ns0:v>526537.2733628047</ns0:v>
      </ns0:c>
      <ns0:c r="W967" s="7">
        <ns0:f>U967+V967</ns0:f>
        <ns0:v>2257157.0773274833</ns0:v>
      </ns0:c>
      <ns0:c r="X967" s="16">
        <ns0:f>P967-E967*'前提と出典'!$E$6</ns0:f>
        <ns0:v>1488533.8414565788</ns0:v>
      </ns0:c>
      <ns0:c r="Y967" s="16">
        <ns0:f>Q967-F967*'前提と出典'!$E$6</ns0:f>
        <ns0:v>456193.2807320822</ns0:v>
      </ns0:c>
      <ns0:c r="Z967" s="7">
        <ns0:f>X967+Y967</ns0:f>
        <ns0:v>1944727.122188661</ns0:v>
      </ns0:c>
      <ns0:c r="AA967" s="7">
        <ns0:f>IF(T967&gt;=0,A967,1001)</ns0:f>
        <ns0:v>963</ns0:v>
      </ns0:c>
      <ns0:c r="AB967" s="7">
        <ns0:f>IF(T967&lt;0,A967,0)</ns0:f>
        <ns0:v>0</ns0:v>
      </ns0:c>
      <ns0:c r="AC967" s="16">
        <ns0:f>IF(AND(OR('前提と出典'!$C$36+'前提と出典'!$C$38=0,R967&gt;=0),OR('前提と出典'!$C$37+'前提と出典'!$C$38=0,S967&gt;=0)),0,A967)</ns0:f>
        <ns0:v>0</ns0:v>
      </ns0:c>
      <ns0:c r="AD967" s="7">
        <ns0:f>IF(W967&gt;=0,A967,1001)</ns0:f>
        <ns0:v>963</ns0:v>
      </ns0:c>
      <ns0:c r="AE967" s="7">
        <ns0:f>IF(W967&lt;0,A967,0)</ns0:f>
        <ns0:v>0</ns0:v>
      </ns0:c>
      <ns0:c r="AF967" s="16">
        <ns0:f>IF(AND(OR('前提と出典'!$C$36+'前提と出典'!$C$38=0,U967&gt;=0),OR('前提と出典'!$C$37+'前提と出典'!$C$38=0,V967&gt;=0)),0,A967)</ns0:f>
        <ns0:v>0</ns0:v>
      </ns0:c>
      <ns0:c r="AG967" s="7">
        <ns0:f>IF(Z967&gt;=0,A967,1001)</ns0:f>
        <ns0:v>963</ns0:v>
      </ns0:c>
      <ns0:c r="AH967" s="4">
        <ns0:f>IF(Z967&lt;0,A967,0)</ns0:f>
        <ns0:v>0</ns0:v>
      </ns0:c>
      <ns0:c r="AI967" s="12">
        <ns0:f>IF(AND(OR('前提と出典'!$C$36+'前提と出典'!$C$38=0,X967&gt;=0),OR('前提と出典'!$C$37+'前提と出典'!$C$38=0,Y967&gt;=0)),0,A967)</ns0:f>
        <ns0:v>0</ns0:v>
      </ns0:c>
    </ns0:row>
    <ns0:row r="968" ht="24" customHeight="1">
      <ns0:c r="A968" s="4" t="n">
        <ns0:v>964</ns0:v>
      </ns0:c>
      <ns0:c r="B968" s="12">
        <ns0:f>A968*('前提と出典'!$C$36+'前提と出典'!$C$38)</ns0:f>
        <ns0:v>674.8</ns0:v>
      </ns0:c>
      <ns0:c r="C968" s="12">
        <ns0:f>A968*('前提と出典'!$C$37+'前提と出典'!$C$38)</ns0:f>
        <ns0:v>578.4</ns0:v>
      </ns0:c>
      <ns0:c r="D968" s="16">
        <ns0:f>A968*('前提と出典'!$C$36*'契約別単価'!C5+'前提と出典'!$C$37*'契約別単価'!C6+'前提と出典'!$C$38*'契約別単価'!C7)</ns0:f>
        <ns0:v>6936.491620111732</ns0:v>
      </ns0:c>
      <ns0:c r="E968" s="16">
        <ns0:f>A968*('前提と出典'!$C$36*'契約別単価'!E5+'前提と出典'!$C$37*'契約別単価'!E6+'前提と出典'!$C$38*'契約別単価'!E7)</ns0:f>
        <ns0:v>2423373.4980042404</ns0:v>
      </ns0:c>
      <ns0:c r="F968" s="16">
        <ns0:f>A968*('前提と出典'!$C$36*'契約別単価'!F5+'前提と出典'!$C$37*'契約別単価'!F6+'前提と出典'!$C$38*'契約別単価'!F7)</ns0:f>
        <ns0:v>704170.3935204217</ns0:v>
      </ns0:c>
      <ns0:c r="G968" s="16">
        <ns0:f>A968*('前提と出典'!$C$36*'契約別単価'!G5+'前提と出典'!$C$37*'契約別単価'!G6+'前提と出典'!$C$38*'契約別単価'!G7)</ns0:f>
        <ns0:v>1918844.69273743</ns0:v>
      </ns0:c>
      <ns0:c r="H968" s="16">
        <ns0:f>A968*('前提と出典'!$C$36*'契約別単価'!H5+'前提と出典'!$C$37*'契約別単価'!H6+'前提と出典'!$C$38*'契約別単価'!H7)</ns0:f>
        <ns0:v>665935.3460037617</ns0:v>
      </ns0:c>
      <ns0:c r="I968" s="16">
        <ns0:f>A968*('前提と出典'!$C$36*'契約別単価'!I5+'前提と出典'!$C$37*'契約別単価'!I6+'前提と出典'!$C$38*'契約別単価'!I7)</ns0:f>
        <ns0:v>40676.49162011172</ns0:v>
      </ns0:c>
      <ns0:c r="J968" s="16">
        <ns0:f>A968*('前提と出典'!$C$36*'契約別単価'!J5+'前提と出典'!$C$37*'契約別単価'!J6+'前提と出典'!$C$38*'契約別単価'!J7)</ns0:f>
        <ns0:v>94751.12013673167</ns0:v>
      </ns0:c>
      <ns0:c r="K968" s="16">
        <ns0:f>A968*('前提と出典'!$C$36*'契約別単価'!K5+'前提と出典'!$C$37*'契約別単価'!K6+'前提と出典'!$C$38*'契約別単価'!K7)</ns0:f>
        <ns0:v>406136.61080074485</ns0:v>
      </ns0:c>
      <ns0:c r="L968" s="16">
        <ns0:f>A968*('前提と出典'!$C$36*'契約別単価'!L5+'前提と出典'!$C$37*'契約別単価'!L6+'前提と出典'!$C$38*'契約別単価'!L7)</ns0:f>
        <ns0:v>330677.84486679203</ns0:v>
      </ns0:c>
      <ns0:c r="M968" s="16">
        <ns0:f>IF(('前提と出典'!$C$36+'前提と出典'!$C$38)=0,0,IF(B968&lt;=10,'前提と出典'!B73+'前提と出典'!C73,IF(B968&lt;=100,'前提と出典'!B74+'前提と出典'!C74,IF(B968&lt;=500,'前提と出典'!B75+'前提と出典'!C75,'前提と出典'!B76+'前提と出典'!C76))))</ns0:f>
        <ns0:v>80000</ns0:v>
      </ns0:c>
      <ns0:c r="N968" s="16">
        <ns0:f>IF(('前提と出典'!$C$37+'前提と出典'!$C$38)=0,0,IF(C968&lt;=10,'前提と出典'!D73+'前提と出典'!E73,IF(C968&lt;=100,'前提と出典'!D74+'前提と出典'!E74,IF(C968&lt;=500,'前提と出典'!D75+'前提と出典'!E75,'前提と出典'!D76+'前提と出典'!E76))))</ns0:f>
        <ns0:v>86510.9346263078</ns0:v>
      </ns0:c>
      <ns0:c r="O968" s="16">
        <ns0:f>IF('前提と出典'!$C$36+'前提と出典'!$C$38=0,0,'前提と出典'!$B$4*IF('前提と出典'!$B$20=0,MAX('前提と出典'!$B$6,D968*'前提と出典'!$B$5),'前提と出典'!$B$6+D968*'前提と出典'!$B$5))</ns0:f>
        <ns0:v>957235.8435754192</ns0:v>
      </ns0:c>
      <ns0:c r="P968" s="16">
        <ns0:f>(E968+G968)*(1-'前提と出典'!$B$7)-I968-K968-M968-O968</ns0:f>
        <ns0:v>2701849.389878694</ns0:v>
      </ns0:c>
      <ns0:c r="Q968" s="16">
        <ns0:f>(F968+H968)*(1-'前提と出典'!$B$7)-J968-L968-N968</ns0:f>
        <ns0:v>808842.0332714813</ns0:v>
      </ns0:c>
      <ns0:c r="R968" s="16">
        <ns0:f>P968-E968*'前提と出典'!$E$4</ns0:f>
        <ns0:v>1974837.340477422</ns0:v>
      </ns0:c>
      <ns0:c r="S968" s="16">
        <ns0:f>Q968-F968*'前提と出典'!$E$4</ns0:f>
        <ns0:v>597590.9152153549</ns0:v>
      </ns0:c>
      <ns0:c r="T968" s="7">
        <ns0:f>R968+S968</ns0:f>
        <ns0:v>2572428.255692777</ns0:v>
      </ns0:c>
      <ns0:c r="U968" s="16">
        <ns0:f>P968-E968*'前提と出典'!$E$5</ns0:f>
        <ns0:v>1732499.990676998</ns0:v>
      </ns0:c>
      <ns0:c r="V968" s="16">
        <ns0:f>Q968-F968*'前提と出典'!$E$5</ns0:f>
        <ns0:v>527173.8758633125</ns0:v>
      </ns0:c>
      <ns0:c r="W968" s="7">
        <ns0:f>U968+V968</ns0:f>
        <ns0:v>2259673.8665403104</ns0:v>
      </ns0:c>
      <ns0:c r="X968" s="16">
        <ns0:f>P968-E968*'前提と出典'!$E$6</ns0:f>
        <ns0:v>1490162.6408765737</ns0:v>
      </ns0:c>
      <ns0:c r="Y968" s="16">
        <ns0:f>Q968-F968*'前提と出典'!$E$6</ns0:f>
        <ns0:v>456756.8365112704</ns0:v>
      </ns0:c>
      <ns0:c r="Z968" s="7">
        <ns0:f>X968+Y968</ns0:f>
        <ns0:v>1946919.4773878441</ns0:v>
      </ns0:c>
      <ns0:c r="AA968" s="7">
        <ns0:f>IF(T968&gt;=0,A968,1001)</ns0:f>
        <ns0:v>964</ns0:v>
      </ns0:c>
      <ns0:c r="AB968" s="7">
        <ns0:f>IF(T968&lt;0,A968,0)</ns0:f>
        <ns0:v>0</ns0:v>
      </ns0:c>
      <ns0:c r="AC968" s="16">
        <ns0:f>IF(AND(OR('前提と出典'!$C$36+'前提と出典'!$C$38=0,R968&gt;=0),OR('前提と出典'!$C$37+'前提と出典'!$C$38=0,S968&gt;=0)),0,A968)</ns0:f>
        <ns0:v>0</ns0:v>
      </ns0:c>
      <ns0:c r="AD968" s="7">
        <ns0:f>IF(W968&gt;=0,A968,1001)</ns0:f>
        <ns0:v>964</ns0:v>
      </ns0:c>
      <ns0:c r="AE968" s="7">
        <ns0:f>IF(W968&lt;0,A968,0)</ns0:f>
        <ns0:v>0</ns0:v>
      </ns0:c>
      <ns0:c r="AF968" s="16">
        <ns0:f>IF(AND(OR('前提と出典'!$C$36+'前提と出典'!$C$38=0,U968&gt;=0),OR('前提と出典'!$C$37+'前提と出典'!$C$38=0,V968&gt;=0)),0,A968)</ns0:f>
        <ns0:v>0</ns0:v>
      </ns0:c>
      <ns0:c r="AG968" s="7">
        <ns0:f>IF(Z968&gt;=0,A968,1001)</ns0:f>
        <ns0:v>964</ns0:v>
      </ns0:c>
      <ns0:c r="AH968" s="4">
        <ns0:f>IF(Z968&lt;0,A968,0)</ns0:f>
        <ns0:v>0</ns0:v>
      </ns0:c>
      <ns0:c r="AI968" s="12">
        <ns0:f>IF(AND(OR('前提と出典'!$C$36+'前提と出典'!$C$38=0,X968&gt;=0),OR('前提と出典'!$C$37+'前提と出典'!$C$38=0,Y968&gt;=0)),0,A968)</ns0:f>
        <ns0:v>0</ns0:v>
      </ns0:c>
    </ns0:row>
    <ns0:row r="969" ht="24" customHeight="1">
      <ns0:c r="A969" s="4" t="n">
        <ns0:v>965</ns0:v>
      </ns0:c>
      <ns0:c r="B969" s="12">
        <ns0:f>A969*('前提と出典'!$C$36+'前提と出典'!$C$38)</ns0:f>
        <ns0:v>675.5</ns0:v>
      </ns0:c>
      <ns0:c r="C969" s="12">
        <ns0:f>A969*('前提と出典'!$C$37+'前提と出典'!$C$38)</ns0:f>
        <ns0:v>579</ns0:v>
      </ns0:c>
      <ns0:c r="D969" s="16">
        <ns0:f>A969*('前提と出典'!$C$36*'契約別単価'!C5+'前提と出典'!$C$37*'契約別単価'!C6+'前提と出典'!$C$38*'契約別単価'!C7)</ns0:f>
        <ns0:v>6943.687150837989</ns0:v>
      </ns0:c>
      <ns0:c r="E969" s="16">
        <ns0:f>A969*('前提と出典'!$C$36*'契約別単価'!E5+'前提と出典'!$C$37*'契約別単価'!E6+'前提と出典'!$C$38*'契約別単価'!E7)</ns0:f>
        <ns0:v>2425887.3709274814</ns0:v>
      </ns0:c>
      <ns0:c r="F969" s="16">
        <ns0:f>A969*('前提と出典'!$C$36*'契約別単価'!F5+'前提と出典'!$C$37*'契約別単価'!F6+'前提と出典'!$C$38*'契約別単価'!F7)</ns0:f>
        <ns0:v>704900.8607336171</ns0:v>
      </ns0:c>
      <ns0:c r="G969" s="16">
        <ns0:f>A969*('前提と出典'!$C$36*'契約別単価'!G5+'前提と出典'!$C$37*'契約別単価'!G6+'前提と出典'!$C$38*'契約別単価'!G7)</ns0:f>
        <ns0:v>1920835.195530726</ns0:v>
      </ns0:c>
      <ns0:c r="H969" s="16">
        <ns0:f>A969*('前提と出典'!$C$36*'契約別単価'!H5+'前提と出典'!$C$37*'契約別単価'!H6+'前提と出典'!$C$38*'契約別単価'!H7)</ns0:f>
        <ns0:v>666626.1503045955</ns0:v>
      </ns0:c>
      <ns0:c r="I969" s="16">
        <ns0:f>A969*('前提と出典'!$C$36*'契約別単価'!I5+'前提と出典'!$C$37*'契約別単価'!I6+'前提と出典'!$C$38*'契約別単価'!I7)</ns0:f>
        <ns0:v>40718.687150837985</ns0:v>
      </ns0:c>
      <ns0:c r="J969" s="16">
        <ns0:f>A969*('前提と出典'!$C$36*'契約別単価'!J5+'前提と出典'!$C$37*'契約別単価'!J6+'前提と出典'!$C$38*'契約別単価'!J7)</ns0:f>
        <ns0:v>94849.40968044198</ns0:v>
      </ns0:c>
      <ns0:c r="K969" s="16">
        <ns0:f>A969*('前提と出典'!$C$36*'契約別単価'!K5+'前提と出典'!$C$37*'契約別単価'!K6+'前提と出典'!$C$38*'契約別単価'!K7)</ns0:f>
        <ns0:v>406557.9143389199</ns0:v>
      </ns0:c>
      <ns0:c r="L969" s="16">
        <ns0:f>A969*('前提と出典'!$C$36*'契約別単価'!L5+'前提と出典'!$C$37*'契約別単価'!L6+'前提と出典'!$C$38*'契約別単価'!L7)</ns0:f>
        <ns0:v>331020.87167681986</ns0:v>
      </ns0:c>
      <ns0:c r="M969" s="16">
        <ns0:f>IF(('前提と出典'!$C$36+'前提と出典'!$C$38)=0,0,IF(B969&lt;=10,'前提と出典'!B73+'前提と出典'!C73,IF(B969&lt;=100,'前提と出典'!B74+'前提と出典'!C74,IF(B969&lt;=500,'前提と出典'!B75+'前提と出典'!C75,'前提と出典'!B76+'前提と出典'!C76))))</ns0:f>
        <ns0:v>80000</ns0:v>
      </ns0:c>
      <ns0:c r="N969" s="16">
        <ns0:f>IF(('前提と出典'!$C$37+'前提と出典'!$C$38)=0,0,IF(C969&lt;=10,'前提と出典'!D73+'前提と出典'!E73,IF(C969&lt;=100,'前提と出典'!D74+'前提と出典'!E74,IF(C969&lt;=500,'前提と出典'!D75+'前提と出典'!E75,'前提と出典'!D76+'前提と出典'!E76))))</ns0:f>
        <ns0:v>86510.9346263078</ns0:v>
      </ns0:c>
      <ns0:c r="O969" s="16">
        <ns0:f>IF('前提と出典'!$C$36+'前提と出典'!$C$38=0,0,'前提と出典'!$B$4*IF('前提と出典'!$B$20=0,MAX('前提と出典'!$B$6,D969*'前提と出典'!$B$5),'前提と出典'!$B$6+D969*'前提と出典'!$B$5))</ns0:f>
        <ns0:v>958228.8268156424</ns0:v>
      </ns0:c>
      <ns0:c r="P969" s="16">
        <ns0:f>(E969+G969)*(1-'前提と出典'!$B$7)-I969-K969-M969-O969</ns0:f>
        <ns0:v>2704735.125760312</ns0:v>
      </ns0:c>
      <ns0:c r="Q969" s="16">
        <ns0:f>(F969+H969)*(1-'前提と出典'!$B$7)-J969-L969-N969</ns0:f>
        <ns0:v>809770.8226572674</ns0:v>
      </ns0:c>
      <ns0:c r="R969" s="16">
        <ns0:f>P969-E969*'前提と出典'!$E$4</ns0:f>
        <ns0:v>1976968.9144820678</ns0:v>
      </ns0:c>
      <ns0:c r="S969" s="16">
        <ns0:f>Q969-F969*'前提と出典'!$E$4</ns0:f>
        <ns0:v>598300.5644371822</ns0:v>
      </ns0:c>
      <ns0:c r="T969" s="7">
        <ns0:f>R969+S969</ns0:f>
        <ns0:v>2575269.47891925</ns0:v>
      </ns0:c>
      <ns0:c r="U969" s="16">
        <ns0:f>P969-E969*'前提と出典'!$E$5</ns0:f>
        <ns0:v>1734380.1773893195</ns0:v>
      </ns0:c>
      <ns0:c r="V969" s="16">
        <ns0:f>Q969-F969*'前提と出典'!$E$5</ns0:f>
        <ns0:v>527810.4783638206</ns0:v>
      </ns0:c>
      <ns0:c r="W969" s="7">
        <ns0:f>U969+V969</ns0:f>
        <ns0:v>2262190.6557531403</ns0:v>
      </ns0:c>
      <ns0:c r="X969" s="16">
        <ns0:f>P969-E969*'前提と出典'!$E$6</ns0:f>
        <ns0:v>1491791.4402965717</ns0:v>
      </ns0:c>
      <ns0:c r="Y969" s="16">
        <ns0:f>Q969-F969*'前提と出典'!$E$6</ns0:f>
        <ns0:v>457320.3922904588</ns0:v>
      </ns0:c>
      <ns0:c r="Z969" s="7">
        <ns0:f>X969+Y969</ns0:f>
        <ns0:v>1949111.8325870305</ns0:v>
      </ns0:c>
      <ns0:c r="AA969" s="7">
        <ns0:f>IF(T969&gt;=0,A969,1001)</ns0:f>
        <ns0:v>965</ns0:v>
      </ns0:c>
      <ns0:c r="AB969" s="7">
        <ns0:f>IF(T969&lt;0,A969,0)</ns0:f>
        <ns0:v>0</ns0:v>
      </ns0:c>
      <ns0:c r="AC969" s="16">
        <ns0:f>IF(AND(OR('前提と出典'!$C$36+'前提と出典'!$C$38=0,R969&gt;=0),OR('前提と出典'!$C$37+'前提と出典'!$C$38=0,S969&gt;=0)),0,A969)</ns0:f>
        <ns0:v>0</ns0:v>
      </ns0:c>
      <ns0:c r="AD969" s="7">
        <ns0:f>IF(W969&gt;=0,A969,1001)</ns0:f>
        <ns0:v>965</ns0:v>
      </ns0:c>
      <ns0:c r="AE969" s="7">
        <ns0:f>IF(W969&lt;0,A969,0)</ns0:f>
        <ns0:v>0</ns0:v>
      </ns0:c>
      <ns0:c r="AF969" s="16">
        <ns0:f>IF(AND(OR('前提と出典'!$C$36+'前提と出典'!$C$38=0,U969&gt;=0),OR('前提と出典'!$C$37+'前提と出典'!$C$38=0,V969&gt;=0)),0,A969)</ns0:f>
        <ns0:v>0</ns0:v>
      </ns0:c>
      <ns0:c r="AG969" s="7">
        <ns0:f>IF(Z969&gt;=0,A969,1001)</ns0:f>
        <ns0:v>965</ns0:v>
      </ns0:c>
      <ns0:c r="AH969" s="4">
        <ns0:f>IF(Z969&lt;0,A969,0)</ns0:f>
        <ns0:v>0</ns0:v>
      </ns0:c>
      <ns0:c r="AI969" s="12">
        <ns0:f>IF(AND(OR('前提と出典'!$C$36+'前提と出典'!$C$38=0,X969&gt;=0),OR('前提と出典'!$C$37+'前提と出典'!$C$38=0,Y969&gt;=0)),0,A969)</ns0:f>
        <ns0:v>0</ns0:v>
      </ns0:c>
    </ns0:row>
    <ns0:row r="970" ht="24" customHeight="1">
      <ns0:c r="A970" s="4" t="n">
        <ns0:v>966</ns0:v>
      </ns0:c>
      <ns0:c r="B970" s="12">
        <ns0:f>A970*('前提と出典'!$C$36+'前提と出典'!$C$38)</ns0:f>
        <ns0:v>676.1999999999999</ns0:v>
      </ns0:c>
      <ns0:c r="C970" s="12">
        <ns0:f>A970*('前提と出典'!$C$37+'前提と出典'!$C$38)</ns0:f>
        <ns0:v>579.6</ns0:v>
      </ns0:c>
      <ns0:c r="D970" s="16">
        <ns0:f>A970*('前提と出典'!$C$36*'契約別単価'!C5+'前提と出典'!$C$37*'契約別単価'!C6+'前提と出典'!$C$38*'契約別単価'!C7)</ns0:f>
        <ns0:v>6950.882681564246</ns0:v>
      </ns0:c>
      <ns0:c r="E970" s="16">
        <ns0:f>A970*('前提と出典'!$C$36*'契約別単価'!E5+'前提と出典'!$C$37*'契約別単価'!E6+'前提と出典'!$C$38*'契約別単価'!E7)</ns0:f>
        <ns0:v>2428401.243850722</ns0:v>
      </ns0:c>
      <ns0:c r="F970" s="16">
        <ns0:f>A970*('前提と出典'!$C$36*'契約別単価'!F5+'前提と出典'!$C$37*'契約別単価'!F6+'前提と出典'!$C$38*'契約別単価'!F7)</ns0:f>
        <ns0:v>705631.3279468126</ns0:v>
      </ns0:c>
      <ns0:c r="G970" s="16">
        <ns0:f>A970*('前提と出典'!$C$36*'契約別単価'!G5+'前提と出典'!$C$37*'契約別単価'!G6+'前提と出典'!$C$38*'契約別単価'!G7)</ns0:f>
        <ns0:v>1922825.6983240223</ns0:v>
      </ns0:c>
      <ns0:c r="H970" s="16">
        <ns0:f>A970*('前提と出典'!$C$36*'契約別単価'!H5+'前提と出典'!$C$37*'契約別単価'!H6+'前提と出典'!$C$38*'契約別単価'!H7)</ns0:f>
        <ns0:v>667316.9546054292</ns0:v>
      </ns0:c>
      <ns0:c r="I970" s="16">
        <ns0:f>A970*('前提と出典'!$C$36*'契約別単価'!I5+'前提と出典'!$C$37*'契約別単価'!I6+'前提と出典'!$C$38*'契約別単価'!I7)</ns0:f>
        <ns0:v>40760.88268156424</ns0:v>
      </ns0:c>
      <ns0:c r="J970" s="16">
        <ns0:f>A970*('前提と出典'!$C$36*'契約別単価'!J5+'前提と出典'!$C$37*'契約別単価'!J6+'前提と出典'!$C$38*'契約別単価'!J7)</ns0:f>
        <ns0:v>94947.69922415228</ns0:v>
      </ns0:c>
      <ns0:c r="K970" s="16">
        <ns0:f>A970*('前提と出典'!$C$36*'契約別単価'!K5+'前提と出典'!$C$37*'契約別単価'!K6+'前提と出典'!$C$38*'契約別単価'!K7)</ns0:f>
        <ns0:v>406979.2178770949</ns0:v>
      </ns0:c>
      <ns0:c r="L970" s="16">
        <ns0:f>A970*('前提と出典'!$C$36*'契約別単価'!L5+'前提と出典'!$C$37*'契約別単価'!L6+'前提と出典'!$C$38*'契約別単価'!L7)</ns0:f>
        <ns0:v>331363.89848684764</ns0:v>
      </ns0:c>
      <ns0:c r="M970" s="16">
        <ns0:f>IF(('前提と出典'!$C$36+'前提と出典'!$C$38)=0,0,IF(B970&lt;=10,'前提と出典'!B73+'前提と出典'!C73,IF(B970&lt;=100,'前提と出典'!B74+'前提と出典'!C74,IF(B970&lt;=500,'前提と出典'!B75+'前提と出典'!C75,'前提と出典'!B76+'前提と出典'!C76))))</ns0:f>
        <ns0:v>80000</ns0:v>
      </ns0:c>
      <ns0:c r="N970" s="16">
        <ns0:f>IF(('前提と出典'!$C$37+'前提と出典'!$C$38)=0,0,IF(C970&lt;=10,'前提と出典'!D73+'前提と出典'!E73,IF(C970&lt;=100,'前提と出典'!D74+'前提と出典'!E74,IF(C970&lt;=500,'前提と出典'!D75+'前提と出典'!E75,'前提と出典'!D76+'前提と出典'!E76))))</ns0:f>
        <ns0:v>86510.9346263078</ns0:v>
      </ns0:c>
      <ns0:c r="O970" s="16">
        <ns0:f>IF('前提と出典'!$C$36+'前提と出典'!$C$38=0,0,'前提と出典'!$B$4*IF('前提と出典'!$B$20=0,MAX('前提と出典'!$B$6,D970*'前提と出典'!$B$5),'前提と出典'!$B$6+D970*'前提と出典'!$B$5))</ns0:f>
        <ns0:v>959221.8100558659</ns0:v>
      </ns0:c>
      <ns0:c r="P970" s="16">
        <ns0:f>(E970+G970)*(1-'前提と出典'!$B$7)-I970-K970-M970-O970</ns0:f>
        <ns0:v>2707620.8616419276</ns0:v>
      </ns0:c>
      <ns0:c r="Q970" s="16">
        <ns0:f>(F970+H970)*(1-'前提と出典'!$B$7)-J970-L970-N970</ns0:f>
        <ns0:v>810699.6120430535</ns0:v>
      </ns0:c>
      <ns0:c r="R970" s="16">
        <ns0:f>P970-E970*'前提と出典'!$E$4</ns0:f>
        <ns0:v>1979100.488486711</ns0:v>
      </ns0:c>
      <ns0:c r="S970" s="16">
        <ns0:f>Q970-F970*'前提と出典'!$E$4</ns0:f>
        <ns0:v>599010.2136590097</ns0:v>
      </ns0:c>
      <ns0:c r="T970" s="7">
        <ns0:f>R970+S970</ns0:f>
        <ns0:v>2578110.702145721</ns0:v>
      </ns0:c>
      <ns0:c r="U970" s="16">
        <ns0:f>P970-E970*'前提と出典'!$E$5</ns0:f>
        <ns0:v>1736260.364101639</ns0:v>
      </ns0:c>
      <ns0:c r="V970" s="16">
        <ns0:f>Q970-F970*'前提と出典'!$E$5</ns0:f>
        <ns0:v>528447.0808643284</ns0:v>
      </ns0:c>
      <ns0:c r="W970" s="7">
        <ns0:f>U970+V970</ns0:f>
        <ns0:v>2264707.4449659674</ns0:v>
      </ns0:c>
      <ns0:c r="X970" s="16">
        <ns0:f>P970-E970*'前提と出典'!$E$6</ns0:f>
        <ns0:v>1493420.2397165666</ns0:v>
      </ns0:c>
      <ns0:c r="Y970" s="16">
        <ns0:f>Q970-F970*'前提と出典'!$E$6</ns0:f>
        <ns0:v>457883.9480696471</ns0:v>
      </ns0:c>
      <ns0:c r="Z970" s="7">
        <ns0:f>X970+Y970</ns0:f>
        <ns0:v>1951304.1877862136</ns0:v>
      </ns0:c>
      <ns0:c r="AA970" s="7">
        <ns0:f>IF(T970&gt;=0,A970,1001)</ns0:f>
        <ns0:v>966</ns0:v>
      </ns0:c>
      <ns0:c r="AB970" s="7">
        <ns0:f>IF(T970&lt;0,A970,0)</ns0:f>
        <ns0:v>0</ns0:v>
      </ns0:c>
      <ns0:c r="AC970" s="16">
        <ns0:f>IF(AND(OR('前提と出典'!$C$36+'前提と出典'!$C$38=0,R970&gt;=0),OR('前提と出典'!$C$37+'前提と出典'!$C$38=0,S970&gt;=0)),0,A970)</ns0:f>
        <ns0:v>0</ns0:v>
      </ns0:c>
      <ns0:c r="AD970" s="7">
        <ns0:f>IF(W970&gt;=0,A970,1001)</ns0:f>
        <ns0:v>966</ns0:v>
      </ns0:c>
      <ns0:c r="AE970" s="7">
        <ns0:f>IF(W970&lt;0,A970,0)</ns0:f>
        <ns0:v>0</ns0:v>
      </ns0:c>
      <ns0:c r="AF970" s="16">
        <ns0:f>IF(AND(OR('前提と出典'!$C$36+'前提と出典'!$C$38=0,U970&gt;=0),OR('前提と出典'!$C$37+'前提と出典'!$C$38=0,V970&gt;=0)),0,A970)</ns0:f>
        <ns0:v>0</ns0:v>
      </ns0:c>
      <ns0:c r="AG970" s="7">
        <ns0:f>IF(Z970&gt;=0,A970,1001)</ns0:f>
        <ns0:v>966</ns0:v>
      </ns0:c>
      <ns0:c r="AH970" s="4">
        <ns0:f>IF(Z970&lt;0,A970,0)</ns0:f>
        <ns0:v>0</ns0:v>
      </ns0:c>
      <ns0:c r="AI970" s="12">
        <ns0:f>IF(AND(OR('前提と出典'!$C$36+'前提と出典'!$C$38=0,X970&gt;=0),OR('前提と出典'!$C$37+'前提と出典'!$C$38=0,Y970&gt;=0)),0,A970)</ns0:f>
        <ns0:v>0</ns0:v>
      </ns0:c>
    </ns0:row>
    <ns0:row r="971" ht="24" customHeight="1">
      <ns0:c r="A971" s="4" t="n">
        <ns0:v>967</ns0:v>
      </ns0:c>
      <ns0:c r="B971" s="12">
        <ns0:f>A971*('前提と出典'!$C$36+'前提と出典'!$C$38)</ns0:f>
        <ns0:v>676.9</ns0:v>
      </ns0:c>
      <ns0:c r="C971" s="12">
        <ns0:f>A971*('前提と出典'!$C$37+'前提と出典'!$C$38)</ns0:f>
        <ns0:v>580.1999999999999</ns0:v>
      </ns0:c>
      <ns0:c r="D971" s="16">
        <ns0:f>A971*('前提と出典'!$C$36*'契約別単価'!C5+'前提と出典'!$C$37*'契約別単価'!C6+'前提と出典'!$C$38*'契約別単価'!C7)</ns0:f>
        <ns0:v>6958.078212290503</ns0:v>
      </ns0:c>
      <ns0:c r="E971" s="16">
        <ns0:f>A971*('前提と出典'!$C$36*'契約別単価'!E5+'前提と出典'!$C$37*'契約別単価'!E6+'前提と出典'!$C$38*'契約別単価'!E7)</ns0:f>
        <ns0:v>2430915.116773963</ns0:v>
      </ns0:c>
      <ns0:c r="F971" s="16">
        <ns0:f>A971*('前提と出典'!$C$36*'契約別単価'!F5+'前提と出典'!$C$37*'契約別単価'!F6+'前提と出典'!$C$38*'契約別単価'!F7)</ns0:f>
        <ns0:v>706361.795160008</ns0:v>
      </ns0:c>
      <ns0:c r="G971" s="16">
        <ns0:f>A971*('前提と出典'!$C$36*'契約別単価'!G5+'前提と出典'!$C$37*'契約別単価'!G6+'前提と出典'!$C$38*'契約別単価'!G7)</ns0:f>
        <ns0:v>1924816.2011173184</ns0:v>
      </ns0:c>
      <ns0:c r="H971" s="16">
        <ns0:f>A971*('前提と出典'!$C$36*'契約別単価'!H5+'前提と出典'!$C$37*'契約別単価'!H6+'前提と出典'!$C$38*'契約別単価'!H7)</ns0:f>
        <ns0:v>668007.758906263</ns0:v>
      </ns0:c>
      <ns0:c r="I971" s="16">
        <ns0:f>A971*('前提と出典'!$C$36*'契約別単価'!I5+'前提と出典'!$C$37*'契約別単価'!I6+'前提と出典'!$C$38*'契約別単価'!I7)</ns0:f>
        <ns0:v>40803.07821229049</ns0:v>
      </ns0:c>
      <ns0:c r="J971" s="16">
        <ns0:f>A971*('前提と出典'!$C$36*'契約別単価'!J5+'前提と出典'!$C$37*'契約別単価'!J6+'前提と出典'!$C$38*'契約別単価'!J7)</ns0:f>
        <ns0:v>95045.98876786258</ns0:v>
      </ns0:c>
      <ns0:c r="K971" s="16">
        <ns0:f>A971*('前提と出典'!$C$36*'契約別単価'!K5+'前提と出典'!$C$37*'契約別単価'!K6+'前提と出典'!$C$38*'契約別単価'!K7)</ns0:f>
        <ns0:v>407400.52141527</ns0:v>
      </ns0:c>
      <ns0:c r="L971" s="16">
        <ns0:f>A971*('前提と出典'!$C$36*'契約別単価'!L5+'前提と出典'!$C$37*'契約別単価'!L6+'前提と出典'!$C$38*'契約別単価'!L7)</ns0:f>
        <ns0:v>331706.9252968754</ns0:v>
      </ns0:c>
      <ns0:c r="M971" s="16">
        <ns0:f>IF(('前提と出典'!$C$36+'前提と出典'!$C$38)=0,0,IF(B971&lt;=10,'前提と出典'!B73+'前提と出典'!C73,IF(B971&lt;=100,'前提と出典'!B74+'前提と出典'!C74,IF(B971&lt;=500,'前提と出典'!B75+'前提と出典'!C75,'前提と出典'!B76+'前提と出典'!C76))))</ns0:f>
        <ns0:v>80000</ns0:v>
      </ns0:c>
      <ns0:c r="N971" s="16">
        <ns0:f>IF(('前提と出典'!$C$37+'前提と出典'!$C$38)=0,0,IF(C971&lt;=10,'前提と出典'!D73+'前提と出典'!E73,IF(C971&lt;=100,'前提と出典'!D74+'前提と出典'!E74,IF(C971&lt;=500,'前提と出典'!D75+'前提と出典'!E75,'前提と出典'!D76+'前提と出典'!E76))))</ns0:f>
        <ns0:v>86510.9346263078</ns0:v>
      </ns0:c>
      <ns0:c r="O971" s="16">
        <ns0:f>IF('前提と出典'!$C$36+'前提と出典'!$C$38=0,0,'前提と出典'!$B$4*IF('前提と出典'!$B$20=0,MAX('前提と出典'!$B$6,D971*'前提と出典'!$B$5),'前提と出典'!$B$6+D971*'前提と出典'!$B$5))</ns0:f>
        <ns0:v>960214.7932960894</ns0:v>
      </ns0:c>
      <ns0:c r="P971" s="16">
        <ns0:f>(E971+G971)*(1-'前提と出典'!$B$7)-I971-K971-M971-O971</ns0:f>
        <ns0:v>2710506.597523545</ns0:v>
      </ns0:c>
      <ns0:c r="Q971" s="16">
        <ns0:f>(F971+H971)*(1-'前提と出典'!$B$7)-J971-L971-N971</ns0:f>
        <ns0:v>811628.4014288397</ns0:v>
      </ns0:c>
      <ns0:c r="R971" s="16">
        <ns0:f>P971-E971*'前提と出典'!$E$4</ns0:f>
        <ns0:v>1981232.062491356</ns0:v>
      </ns0:c>
      <ns0:c r="S971" s="16">
        <ns0:f>Q971-F971*'前提と出典'!$E$4</ns0:f>
        <ns0:v>599719.8628808369</ns0:v>
      </ns0:c>
      <ns0:c r="T971" s="7">
        <ns0:f>R971+S971</ns0:f>
        <ns0:v>2580951.9253721926</ns0:v>
      </ns0:c>
      <ns0:c r="U971" s="16">
        <ns0:f>P971-E971*'前提と出典'!$E$5</ns0:f>
        <ns0:v>1738140.55081396</ns0:v>
      </ns0:c>
      <ns0:c r="V971" s="16">
        <ns0:f>Q971-F971*'前提と出典'!$E$5</ns0:f>
        <ns0:v>529083.6833648364</ns0:v>
      </ns0:c>
      <ns0:c r="W971" s="7">
        <ns0:f>U971+V971</ns0:f>
        <ns0:v>2267224.2341787964</ns0:v>
      </ns0:c>
      <ns0:c r="X971" s="16">
        <ns0:f>P971-E971*'前提と出典'!$E$6</ns0:f>
        <ns0:v>1495049.0391365634</ns0:v>
      </ns0:c>
      <ns0:c r="Y971" s="16">
        <ns0:f>Q971-F971*'前提と出典'!$E$6</ns0:f>
        <ns0:v>458447.5038488355</ns0:v>
      </ns0:c>
      <ns0:c r="Z971" s="7">
        <ns0:f>X971+Y971</ns0:f>
        <ns0:v>1953496.5429853988</ns0:v>
      </ns0:c>
      <ns0:c r="AA971" s="7">
        <ns0:f>IF(T971&gt;=0,A971,1001)</ns0:f>
        <ns0:v>967</ns0:v>
      </ns0:c>
      <ns0:c r="AB971" s="7">
        <ns0:f>IF(T971&lt;0,A971,0)</ns0:f>
        <ns0:v>0</ns0:v>
      </ns0:c>
      <ns0:c r="AC971" s="16">
        <ns0:f>IF(AND(OR('前提と出典'!$C$36+'前提と出典'!$C$38=0,R971&gt;=0),OR('前提と出典'!$C$37+'前提と出典'!$C$38=0,S971&gt;=0)),0,A971)</ns0:f>
        <ns0:v>0</ns0:v>
      </ns0:c>
      <ns0:c r="AD971" s="7">
        <ns0:f>IF(W971&gt;=0,A971,1001)</ns0:f>
        <ns0:v>967</ns0:v>
      </ns0:c>
      <ns0:c r="AE971" s="7">
        <ns0:f>IF(W971&lt;0,A971,0)</ns0:f>
        <ns0:v>0</ns0:v>
      </ns0:c>
      <ns0:c r="AF971" s="16">
        <ns0:f>IF(AND(OR('前提と出典'!$C$36+'前提と出典'!$C$38=0,U971&gt;=0),OR('前提と出典'!$C$37+'前提と出典'!$C$38=0,V971&gt;=0)),0,A971)</ns0:f>
        <ns0:v>0</ns0:v>
      </ns0:c>
      <ns0:c r="AG971" s="7">
        <ns0:f>IF(Z971&gt;=0,A971,1001)</ns0:f>
        <ns0:v>967</ns0:v>
      </ns0:c>
      <ns0:c r="AH971" s="4">
        <ns0:f>IF(Z971&lt;0,A971,0)</ns0:f>
        <ns0:v>0</ns0:v>
      </ns0:c>
      <ns0:c r="AI971" s="12">
        <ns0:f>IF(AND(OR('前提と出典'!$C$36+'前提と出典'!$C$38=0,X971&gt;=0),OR('前提と出典'!$C$37+'前提と出典'!$C$38=0,Y971&gt;=0)),0,A971)</ns0:f>
        <ns0:v>0</ns0:v>
      </ns0:c>
    </ns0:row>
    <ns0:row r="972" ht="24" customHeight="1">
      <ns0:c r="A972" s="4" t="n">
        <ns0:v>968</ns0:v>
      </ns0:c>
      <ns0:c r="B972" s="12">
        <ns0:f>A972*('前提と出典'!$C$36+'前提と出典'!$C$38)</ns0:f>
        <ns0:v>677.5999999999999</ns0:v>
      </ns0:c>
      <ns0:c r="C972" s="12">
        <ns0:f>A972*('前提と出典'!$C$37+'前提と出典'!$C$38)</ns0:f>
        <ns0:v>580.8</ns0:v>
      </ns0:c>
      <ns0:c r="D972" s="16">
        <ns0:f>A972*('前提と出典'!$C$36*'契約別単価'!C5+'前提と出典'!$C$37*'契約別単価'!C6+'前提と出典'!$C$38*'契約別単価'!C7)</ns0:f>
        <ns0:v>6965.27374301676</ns0:v>
      </ns0:c>
      <ns0:c r="E972" s="16">
        <ns0:f>A972*('前提と出典'!$C$36*'契約別単価'!E5+'前提と出典'!$C$37*'契約別単価'!E6+'前提と出典'!$C$38*'契約別単価'!E7)</ns0:f>
        <ns0:v>2433428.989697204</ns0:v>
      </ns0:c>
      <ns0:c r="F972" s="16">
        <ns0:f>A972*('前提と出典'!$C$36*'契約別単価'!F5+'前提と出典'!$C$37*'契約別単価'!F6+'前提と出典'!$C$38*'契約別単価'!F7)</ns0:f>
        <ns0:v>707092.2623732035</ns0:v>
      </ns0:c>
      <ns0:c r="G972" s="16">
        <ns0:f>A972*('前提と出典'!$C$36*'契約別単価'!G5+'前提と出典'!$C$37*'契約別単価'!G6+'前提と出典'!$C$38*'契約別単価'!G7)</ns0:f>
        <ns0:v>1926806.7039106144</ns0:v>
      </ns0:c>
      <ns0:c r="H972" s="16">
        <ns0:f>A972*('前提と出典'!$C$36*'契約別単価'!H5+'前提と出典'!$C$37*'契約別単価'!H6+'前提と出典'!$C$38*'契約別単価'!H7)</ns0:f>
        <ns0:v>668698.5632070968</ns0:v>
      </ns0:c>
      <ns0:c r="I972" s="16">
        <ns0:f>A972*('前提と出典'!$C$36*'契約別単価'!I5+'前提と出典'!$C$37*'契約別単価'!I6+'前提と出典'!$C$38*'契約別単価'!I7)</ns0:f>
        <ns0:v>40845.273743016754</ns0:v>
      </ns0:c>
      <ns0:c r="J972" s="16">
        <ns0:f>A972*('前提と出典'!$C$36*'契約別単価'!J5+'前提と出典'!$C$37*'契約別単価'!J6+'前提と出典'!$C$38*'契約別単価'!J7)</ns0:f>
        <ns0:v>95144.27831157288</ns0:v>
      </ns0:c>
      <ns0:c r="K972" s="16">
        <ns0:f>A972*('前提と出典'!$C$36*'契約別単価'!K5+'前提と出典'!$C$37*'契約別単価'!K6+'前提と出典'!$C$38*'契約別単価'!K7)</ns0:f>
        <ns0:v>407821.82495344506</ns0:v>
      </ns0:c>
      <ns0:c r="L972" s="16">
        <ns0:f>A972*('前提と出典'!$C$36*'契約別単価'!L5+'前提と出典'!$C$37*'契約別単価'!L6+'前提と出典'!$C$38*'契約別単価'!L7)</ns0:f>
        <ns0:v>332049.9521069032</ns0:v>
      </ns0:c>
      <ns0:c r="M972" s="16">
        <ns0:f>IF(('前提と出典'!$C$36+'前提と出典'!$C$38)=0,0,IF(B972&lt;=10,'前提と出典'!B73+'前提と出典'!C73,IF(B972&lt;=100,'前提と出典'!B74+'前提と出典'!C74,IF(B972&lt;=500,'前提と出典'!B75+'前提と出典'!C75,'前提と出典'!B76+'前提と出典'!C76))))</ns0:f>
        <ns0:v>80000</ns0:v>
      </ns0:c>
      <ns0:c r="N972" s="16">
        <ns0:f>IF(('前提と出典'!$C$37+'前提と出典'!$C$38)=0,0,IF(C972&lt;=10,'前提と出典'!D73+'前提と出典'!E73,IF(C972&lt;=100,'前提と出典'!D74+'前提と出典'!E74,IF(C972&lt;=500,'前提と出典'!D75+'前提と出典'!E75,'前提と出典'!D76+'前提と出典'!E76))))</ns0:f>
        <ns0:v>86510.9346263078</ns0:v>
      </ns0:c>
      <ns0:c r="O972" s="16">
        <ns0:f>IF('前提と出典'!$C$36+'前提と出典'!$C$38=0,0,'前提と出典'!$B$4*IF('前提と出典'!$B$20=0,MAX('前提と出典'!$B$6,D972*'前提と出典'!$B$5),'前提と出典'!$B$6+D972*'前提と出典'!$B$5))</ns0:f>
        <ns0:v>961207.7765363129</ns0:v>
      </ns0:c>
      <ns0:c r="P972" s="16">
        <ns0:f>(E972+G972)*(1-'前提と出典'!$B$7)-I972-K972-M972-O972</ns0:f>
        <ns0:v>2713392.333405162</ns0:v>
      </ns0:c>
      <ns0:c r="Q972" s="16">
        <ns0:f>(F972+H972)*(1-'前提と出典'!$B$7)-J972-L972-N972</ns0:f>
        <ns0:v>812557.1908146257</ns0:v>
      </ns0:c>
      <ns0:c r="R972" s="16">
        <ns0:f>P972-E972*'前提と出典'!$E$4</ns0:f>
        <ns0:v>1983363.636496001</ns0:v>
      </ns0:c>
      <ns0:c r="S972" s="16">
        <ns0:f>Q972-F972*'前提と出典'!$E$4</ns0:f>
        <ns0:v>600429.5121026647</ns0:v>
      </ns0:c>
      <ns0:c r="T972" s="7">
        <ns0:f>R972+S972</ns0:f>
        <ns0:v>2583793.1485986654</ns0:v>
      </ns0:c>
      <ns0:c r="U972" s="16">
        <ns0:f>P972-E972*'前提と出典'!$E$5</ns0:f>
        <ns0:v>1740020.7375262808</ns0:v>
      </ns0:c>
      <ns0:c r="V972" s="16">
        <ns0:f>Q972-F972*'前提と出典'!$E$5</ns0:f>
        <ns0:v>529720.2858653443</ns0:v>
      </ns0:c>
      <ns0:c r="W972" s="7">
        <ns0:f>U972+V972</ns0:f>
        <ns0:v>2269741.023391625</ns0:v>
      </ns0:c>
      <ns0:c r="X972" s="16">
        <ns0:f>P972-E972*'前提と出典'!$E$6</ns0:f>
        <ns0:v>1496677.8385565602</ns0:v>
      </ns0:c>
      <ns0:c r="Y972" s="16">
        <ns0:f>Q972-F972*'前提と出典'!$E$6</ns0:f>
        <ns0:v>459011.059628024</ns0:v>
      </ns0:c>
      <ns0:c r="Z972" s="7">
        <ns0:f>X972+Y972</ns0:f>
        <ns0:v>1955688.8981845842</ns0:v>
      </ns0:c>
      <ns0:c r="AA972" s="7">
        <ns0:f>IF(T972&gt;=0,A972,1001)</ns0:f>
        <ns0:v>968</ns0:v>
      </ns0:c>
      <ns0:c r="AB972" s="7">
        <ns0:f>IF(T972&lt;0,A972,0)</ns0:f>
        <ns0:v>0</ns0:v>
      </ns0:c>
      <ns0:c r="AC972" s="16">
        <ns0:f>IF(AND(OR('前提と出典'!$C$36+'前提と出典'!$C$38=0,R972&gt;=0),OR('前提と出典'!$C$37+'前提と出典'!$C$38=0,S972&gt;=0)),0,A972)</ns0:f>
        <ns0:v>0</ns0:v>
      </ns0:c>
      <ns0:c r="AD972" s="7">
        <ns0:f>IF(W972&gt;=0,A972,1001)</ns0:f>
        <ns0:v>968</ns0:v>
      </ns0:c>
      <ns0:c r="AE972" s="7">
        <ns0:f>IF(W972&lt;0,A972,0)</ns0:f>
        <ns0:v>0</ns0:v>
      </ns0:c>
      <ns0:c r="AF972" s="16">
        <ns0:f>IF(AND(OR('前提と出典'!$C$36+'前提と出典'!$C$38=0,U972&gt;=0),OR('前提と出典'!$C$37+'前提と出典'!$C$38=0,V972&gt;=0)),0,A972)</ns0:f>
        <ns0:v>0</ns0:v>
      </ns0:c>
      <ns0:c r="AG972" s="7">
        <ns0:f>IF(Z972&gt;=0,A972,1001)</ns0:f>
        <ns0:v>968</ns0:v>
      </ns0:c>
      <ns0:c r="AH972" s="4">
        <ns0:f>IF(Z972&lt;0,A972,0)</ns0:f>
        <ns0:v>0</ns0:v>
      </ns0:c>
      <ns0:c r="AI972" s="12">
        <ns0:f>IF(AND(OR('前提と出典'!$C$36+'前提と出典'!$C$38=0,X972&gt;=0),OR('前提と出典'!$C$37+'前提と出典'!$C$38=0,Y972&gt;=0)),0,A972)</ns0:f>
        <ns0:v>0</ns0:v>
      </ns0:c>
    </ns0:row>
    <ns0:row r="973" ht="24" customHeight="1">
      <ns0:c r="A973" s="4" t="n">
        <ns0:v>969</ns0:v>
      </ns0:c>
      <ns0:c r="B973" s="12">
        <ns0:f>A973*('前提と出典'!$C$36+'前提と出典'!$C$38)</ns0:f>
        <ns0:v>678.3</ns0:v>
      </ns0:c>
      <ns0:c r="C973" s="12">
        <ns0:f>A973*('前提と出典'!$C$37+'前提と出典'!$C$38)</ns0:f>
        <ns0:v>581.4</ns0:v>
      </ns0:c>
      <ns0:c r="D973" s="16">
        <ns0:f>A973*('前提と出典'!$C$36*'契約別単価'!C5+'前提と出典'!$C$37*'契約別単価'!C6+'前提と出典'!$C$38*'契約別単価'!C7)</ns0:f>
        <ns0:v>6972.469273743017</ns0:v>
      </ns0:c>
      <ns0:c r="E973" s="16">
        <ns0:f>A973*('前提と出典'!$C$36*'契約別単価'!E5+'前提と出典'!$C$37*'契約別単価'!E6+'前提と出典'!$C$38*'契約別単価'!E7)</ns0:f>
        <ns0:v>2435942.862620445</ns0:v>
      </ns0:c>
      <ns0:c r="F973" s="16">
        <ns0:f>A973*('前提と出典'!$C$36*'契約別単価'!F5+'前提と出典'!$C$37*'契約別単価'!F6+'前提と出典'!$C$38*'契約別単価'!F7)</ns0:f>
        <ns0:v>707822.7295863989</ns0:v>
      </ns0:c>
      <ns0:c r="G973" s="16">
        <ns0:f>A973*('前提と出典'!$C$36*'契約別単価'!G5+'前提と出典'!$C$37*'契約別単価'!G6+'前提と出典'!$C$38*'契約別単価'!G7)</ns0:f>
        <ns0:v>1928797.2067039106</ns0:v>
      </ns0:c>
      <ns0:c r="H973" s="16">
        <ns0:f>A973*('前提と出典'!$C$36*'契約別単価'!H5+'前提と出典'!$C$37*'契約別単価'!H6+'前提と出典'!$C$38*'契約別単価'!H7)</ns0:f>
        <ns0:v>669389.3675079306</ns0:v>
      </ns0:c>
      <ns0:c r="I973" s="16">
        <ns0:f>A973*('前提と出典'!$C$36*'契約別単価'!I5+'前提と出典'!$C$37*'契約別単価'!I6+'前提と出典'!$C$38*'契約別単価'!I7)</ns0:f>
        <ns0:v>40887.46927374301</ns0:v>
      </ns0:c>
      <ns0:c r="J973" s="16">
        <ns0:f>A973*('前提と出典'!$C$36*'契約別単価'!J5+'前提と出典'!$C$37*'契約別単価'!J6+'前提と出典'!$C$38*'契約別単価'!J7)</ns0:f>
        <ns0:v>95242.56785528318</ns0:v>
      </ns0:c>
      <ns0:c r="K973" s="16">
        <ns0:f>A973*('前提と出典'!$C$36*'契約別単価'!K5+'前提と出典'!$C$37*'契約別単価'!K6+'前提と出典'!$C$38*'契約別単価'!K7)</ns0:f>
        <ns0:v>408243.12849162007</ns0:v>
      </ns0:c>
      <ns0:c r="L973" s="16">
        <ns0:f>A973*('前提と出典'!$C$36*'契約別単価'!L5+'前提と出典'!$C$37*'契約別単価'!L6+'前提と出典'!$C$38*'契約別単価'!L7)</ns0:f>
        <ns0:v>332392.978916931</ns0:v>
      </ns0:c>
      <ns0:c r="M973" s="16">
        <ns0:f>IF(('前提と出典'!$C$36+'前提と出典'!$C$38)=0,0,IF(B973&lt;=10,'前提と出典'!B73+'前提と出典'!C73,IF(B973&lt;=100,'前提と出典'!B74+'前提と出典'!C74,IF(B973&lt;=500,'前提と出典'!B75+'前提と出典'!C75,'前提と出典'!B76+'前提と出典'!C76))))</ns0:f>
        <ns0:v>80000</ns0:v>
      </ns0:c>
      <ns0:c r="N973" s="16">
        <ns0:f>IF(('前提と出典'!$C$37+'前提と出典'!$C$38)=0,0,IF(C973&lt;=10,'前提と出典'!D73+'前提と出典'!E73,IF(C973&lt;=100,'前提と出典'!D74+'前提と出典'!E74,IF(C973&lt;=500,'前提と出典'!D75+'前提と出典'!E75,'前提と出典'!D76+'前提と出典'!E76))))</ns0:f>
        <ns0:v>86510.9346263078</ns0:v>
      </ns0:c>
      <ns0:c r="O973" s="16">
        <ns0:f>IF('前提と出典'!$C$36+'前提と出典'!$C$38=0,0,'前提と出典'!$B$4*IF('前提と出典'!$B$20=0,MAX('前提と出典'!$B$6,D973*'前提と出典'!$B$5),'前提と出典'!$B$6+D973*'前提と出典'!$B$5))</ns0:f>
        <ns0:v>962200.7597765364</ns0:v>
      </ns0:c>
      <ns0:c r="P973" s="16">
        <ns0:f>(E973+G973)*(1-'前提と出典'!$B$7)-I973-K973-M973-O973</ns0:f>
        <ns0:v>2716278.0692867795</ns0:v>
      </ns0:c>
      <ns0:c r="Q973" s="16">
        <ns0:f>(F973+H973)*(1-'前提と出典'!$B$7)-J973-L973-N973</ns0:f>
        <ns0:v>813485.9802004118</ns0:v>
      </ns0:c>
      <ns0:c r="R973" s="16">
        <ns0:f>P973-E973*'前提と出典'!$E$4</ns0:f>
        <ns0:v>1985495.2105006455</ns0:v>
      </ns0:c>
      <ns0:c r="S973" s="16">
        <ns0:f>Q973-F973*'前提と出典'!$E$4</ns0:f>
        <ns0:v>601139.1613244922</ns0:v>
      </ns0:c>
      <ns0:c r="T973" s="7">
        <ns0:f>R973+S973</ns0:f>
        <ns0:v>2586634.3718251376</ns0:v>
      </ns0:c>
      <ns0:c r="U973" s="16">
        <ns0:f>P973-E973*'前提と出典'!$E$5</ns0:f>
        <ns0:v>1741900.9242386012</ns0:v>
      </ns0:c>
      <ns0:c r="V973" s="16">
        <ns0:f>Q973-F973*'前提と出典'!$E$5</ns0:f>
        <ns0:v>530356.8883658522</ns0:v>
      </ns0:c>
      <ns0:c r="W973" s="7">
        <ns0:f>U973+V973</ns0:f>
        <ns0:v>2272257.8126044534</ns0:v>
      </ns0:c>
      <ns0:c r="X973" s="16">
        <ns0:f>P973-E973*'前提と出典'!$E$6</ns0:f>
        <ns0:v>1498306.6379765566</ns0:v>
      </ns0:c>
      <ns0:c r="Y973" s="16">
        <ns0:f>Q973-F973*'前提と出典'!$E$6</ns0:f>
        <ns0:v>459574.6154072122</ns0:v>
      </ns0:c>
      <ns0:c r="Z973" s="7">
        <ns0:f>X973+Y973</ns0:f>
        <ns0:v>1957881.2533837687</ns0:v>
      </ns0:c>
      <ns0:c r="AA973" s="7">
        <ns0:f>IF(T973&gt;=0,A973,1001)</ns0:f>
        <ns0:v>969</ns0:v>
      </ns0:c>
      <ns0:c r="AB973" s="7">
        <ns0:f>IF(T973&lt;0,A973,0)</ns0:f>
        <ns0:v>0</ns0:v>
      </ns0:c>
      <ns0:c r="AC973" s="16">
        <ns0:f>IF(AND(OR('前提と出典'!$C$36+'前提と出典'!$C$38=0,R973&gt;=0),OR('前提と出典'!$C$37+'前提と出典'!$C$38=0,S973&gt;=0)),0,A973)</ns0:f>
        <ns0:v>0</ns0:v>
      </ns0:c>
      <ns0:c r="AD973" s="7">
        <ns0:f>IF(W973&gt;=0,A973,1001)</ns0:f>
        <ns0:v>969</ns0:v>
      </ns0:c>
      <ns0:c r="AE973" s="7">
        <ns0:f>IF(W973&lt;0,A973,0)</ns0:f>
        <ns0:v>0</ns0:v>
      </ns0:c>
      <ns0:c r="AF973" s="16">
        <ns0:f>IF(AND(OR('前提と出典'!$C$36+'前提と出典'!$C$38=0,U973&gt;=0),OR('前提と出典'!$C$37+'前提と出典'!$C$38=0,V973&gt;=0)),0,A973)</ns0:f>
        <ns0:v>0</ns0:v>
      </ns0:c>
      <ns0:c r="AG973" s="7">
        <ns0:f>IF(Z973&gt;=0,A973,1001)</ns0:f>
        <ns0:v>969</ns0:v>
      </ns0:c>
      <ns0:c r="AH973" s="4">
        <ns0:f>IF(Z973&lt;0,A973,0)</ns0:f>
        <ns0:v>0</ns0:v>
      </ns0:c>
      <ns0:c r="AI973" s="12">
        <ns0:f>IF(AND(OR('前提と出典'!$C$36+'前提と出典'!$C$38=0,X973&gt;=0),OR('前提と出典'!$C$37+'前提と出典'!$C$38=0,Y973&gt;=0)),0,A973)</ns0:f>
        <ns0:v>0</ns0:v>
      </ns0:c>
    </ns0:row>
    <ns0:row r="974" ht="24" customHeight="1">
      <ns0:c r="A974" s="4" t="n">
        <ns0:v>970</ns0:v>
      </ns0:c>
      <ns0:c r="B974" s="12">
        <ns0:f>A974*('前提と出典'!$C$36+'前提と出典'!$C$38)</ns0:f>
        <ns0:v>679</ns0:v>
      </ns0:c>
      <ns0:c r="C974" s="12">
        <ns0:f>A974*('前提と出典'!$C$37+'前提と出典'!$C$38)</ns0:f>
        <ns0:v>582</ns0:v>
      </ns0:c>
      <ns0:c r="D974" s="16">
        <ns0:f>A974*('前提と出典'!$C$36*'契約別単価'!C5+'前提と出典'!$C$37*'契約別単価'!C6+'前提と出典'!$C$38*'契約別単価'!C7)</ns0:f>
        <ns0:v>6979.664804469274</ns0:v>
      </ns0:c>
      <ns0:c r="E974" s="16">
        <ns0:f>A974*('前提と出典'!$C$36*'契約別単価'!E5+'前提と出典'!$C$37*'契約別単価'!E6+'前提と出典'!$C$38*'契約別単価'!E7)</ns0:f>
        <ns0:v>2438456.735543686</ns0:v>
      </ns0:c>
      <ns0:c r="F974" s="16">
        <ns0:f>A974*('前提と出典'!$C$36*'契約別単価'!F5+'前提と出典'!$C$37*'契約別単価'!F6+'前提と出典'!$C$38*'契約別単価'!F7)</ns0:f>
        <ns0:v>708553.1967995944</ns0:v>
      </ns0:c>
      <ns0:c r="G974" s="16">
        <ns0:f>A974*('前提と出典'!$C$36*'契約別単価'!G5+'前提と出典'!$C$37*'契約別単価'!G6+'前提と出典'!$C$38*'契約別単価'!G7)</ns0:f>
        <ns0:v>1930787.7094972066</ns0:v>
      </ns0:c>
      <ns0:c r="H974" s="16">
        <ns0:f>A974*('前提と出典'!$C$36*'契約別単価'!H5+'前提と出典'!$C$37*'契約別単価'!H6+'前提と出典'!$C$38*'契約別単価'!H7)</ns0:f>
        <ns0:v>670080.1718087643</ns0:v>
      </ns0:c>
      <ns0:c r="I974" s="16">
        <ns0:f>A974*('前提と出典'!$C$36*'契約別単価'!I5+'前提と出典'!$C$37*'契約別単価'!I6+'前提と出典'!$C$38*'契約別単価'!I7)</ns0:f>
        <ns0:v>40929.66480446927</ns0:v>
      </ns0:c>
      <ns0:c r="J974" s="16">
        <ns0:f>A974*('前提と出典'!$C$36*'契約別単価'!J5+'前提と出典'!$C$37*'契約別単価'!J6+'前提と出典'!$C$38*'契約別単価'!J7)</ns0:f>
        <ns0:v>95340.8573989935</ns0:v>
      </ns0:c>
      <ns0:c r="K974" s="16">
        <ns0:f>A974*('前提と出典'!$C$36*'契約別単価'!K5+'前提と出典'!$C$37*'契約別単価'!K6+'前提と出典'!$C$38*'契約別単価'!K7)</ns0:f>
        <ns0:v>408664.43202979513</ns0:v>
      </ns0:c>
      <ns0:c r="L974" s="16">
        <ns0:f>A974*('前提と出典'!$C$36*'契約別単価'!L5+'前提と出典'!$C$37*'契約別単価'!L6+'前提と出典'!$C$38*'契約別単価'!L7)</ns0:f>
        <ns0:v>332736.0057269588</ns0:v>
      </ns0:c>
      <ns0:c r="M974" s="16">
        <ns0:f>IF(('前提と出典'!$C$36+'前提と出典'!$C$38)=0,0,IF(B974&lt;=10,'前提と出典'!B73+'前提と出典'!C73,IF(B974&lt;=100,'前提と出典'!B74+'前提と出典'!C74,IF(B974&lt;=500,'前提と出典'!B75+'前提と出典'!C75,'前提と出典'!B76+'前提と出典'!C76))))</ns0:f>
        <ns0:v>80000</ns0:v>
      </ns0:c>
      <ns0:c r="N974" s="16">
        <ns0:f>IF(('前提と出典'!$C$37+'前提と出典'!$C$38)=0,0,IF(C974&lt;=10,'前提と出典'!D73+'前提と出典'!E73,IF(C974&lt;=100,'前提と出典'!D74+'前提と出典'!E74,IF(C974&lt;=500,'前提と出典'!D75+'前提と出典'!E75,'前提と出典'!D76+'前提と出典'!E76))))</ns0:f>
        <ns0:v>86510.9346263078</ns0:v>
      </ns0:c>
      <ns0:c r="O974" s="16">
        <ns0:f>IF('前提と出典'!$C$36+'前提と出典'!$C$38=0,0,'前提と出典'!$B$4*IF('前提と出典'!$B$20=0,MAX('前提と出典'!$B$6,D974*'前提と出典'!$B$5),'前提と出典'!$B$6+D974*'前提と出典'!$B$5))</ns0:f>
        <ns0:v>963193.7430167599</ns0:v>
      </ns0:c>
      <ns0:c r="P974" s="16">
        <ns0:f>(E974+G974)*(1-'前提と出典'!$B$7)-I974-K974-M974-O974</ns0:f>
        <ns0:v>2719163.805168397</ns0:v>
      </ns0:c>
      <ns0:c r="Q974" s="16">
        <ns0:f>(F974+H974)*(1-'前提と出典'!$B$7)-J974-L974-N974</ns0:f>
        <ns0:v>814414.7695861978</ns0:v>
      </ns0:c>
      <ns0:c r="R974" s="16">
        <ns0:f>P974-E974*'前提と出典'!$E$4</ns0:f>
        <ns0:v>1987626.784505291</ns0:v>
      </ns0:c>
      <ns0:c r="S974" s="16">
        <ns0:f>Q974-F974*'前提と出典'!$E$4</ns0:f>
        <ns0:v>601848.8105463195</ns0:v>
      </ns0:c>
      <ns0:c r="T974" s="7">
        <ns0:f>R974+S974</ns0:f>
        <ns0:v>2589475.5950516104</ns0:v>
      </ns0:c>
      <ns0:c r="U974" s="16">
        <ns0:f>P974-E974*'前提と出典'!$E$5</ns0:f>
        <ns0:v>1743781.1109509226</ns0:v>
      </ns0:c>
      <ns0:c r="V974" s="16">
        <ns0:f>Q974-F974*'前提と出典'!$E$5</ns0:f>
        <ns0:v>530993.49086636</ns0:v>
      </ns0:c>
      <ns0:c r="W974" s="7">
        <ns0:f>U974+V974</ns0:f>
        <ns0:v>2274774.601817283</ns0:v>
      </ns0:c>
      <ns0:c r="X974" s="16">
        <ns0:f>P974-E974*'前提と出典'!$E$6</ns0:f>
        <ns0:v>1499935.4373965533</ns0:v>
      </ns0:c>
      <ns0:c r="Y974" s="16">
        <ns0:f>Q974-F974*'前提と出典'!$E$6</ns0:f>
        <ns0:v>460138.1711864006</ns0:v>
      </ns0:c>
      <ns0:c r="Z974" s="7">
        <ns0:f>X974+Y974</ns0:f>
        <ns0:v>1960073.608582954</ns0:v>
      </ns0:c>
      <ns0:c r="AA974" s="7">
        <ns0:f>IF(T974&gt;=0,A974,1001)</ns0:f>
        <ns0:v>970</ns0:v>
      </ns0:c>
      <ns0:c r="AB974" s="7">
        <ns0:f>IF(T974&lt;0,A974,0)</ns0:f>
        <ns0:v>0</ns0:v>
      </ns0:c>
      <ns0:c r="AC974" s="16">
        <ns0:f>IF(AND(OR('前提と出典'!$C$36+'前提と出典'!$C$38=0,R974&gt;=0),OR('前提と出典'!$C$37+'前提と出典'!$C$38=0,S974&gt;=0)),0,A974)</ns0:f>
        <ns0:v>0</ns0:v>
      </ns0:c>
      <ns0:c r="AD974" s="7">
        <ns0:f>IF(W974&gt;=0,A974,1001)</ns0:f>
        <ns0:v>970</ns0:v>
      </ns0:c>
      <ns0:c r="AE974" s="7">
        <ns0:f>IF(W974&lt;0,A974,0)</ns0:f>
        <ns0:v>0</ns0:v>
      </ns0:c>
      <ns0:c r="AF974" s="16">
        <ns0:f>IF(AND(OR('前提と出典'!$C$36+'前提と出典'!$C$38=0,U974&gt;=0),OR('前提と出典'!$C$37+'前提と出典'!$C$38=0,V974&gt;=0)),0,A974)</ns0:f>
        <ns0:v>0</ns0:v>
      </ns0:c>
      <ns0:c r="AG974" s="7">
        <ns0:f>IF(Z974&gt;=0,A974,1001)</ns0:f>
        <ns0:v>970</ns0:v>
      </ns0:c>
      <ns0:c r="AH974" s="4">
        <ns0:f>IF(Z974&lt;0,A974,0)</ns0:f>
        <ns0:v>0</ns0:v>
      </ns0:c>
      <ns0:c r="AI974" s="12">
        <ns0:f>IF(AND(OR('前提と出典'!$C$36+'前提と出典'!$C$38=0,X974&gt;=0),OR('前提と出典'!$C$37+'前提と出典'!$C$38=0,Y974&gt;=0)),0,A974)</ns0:f>
        <ns0:v>0</ns0:v>
      </ns0:c>
    </ns0:row>
    <ns0:row r="975" ht="24" customHeight="1">
      <ns0:c r="A975" s="4" t="n">
        <ns0:v>971</ns0:v>
      </ns0:c>
      <ns0:c r="B975" s="12">
        <ns0:f>A975*('前提と出典'!$C$36+'前提と出典'!$C$38)</ns0:f>
        <ns0:v>679.6999999999999</ns0:v>
      </ns0:c>
      <ns0:c r="C975" s="12">
        <ns0:f>A975*('前提と出典'!$C$37+'前提と出典'!$C$38)</ns0:f>
        <ns0:v>582.6</ns0:v>
      </ns0:c>
      <ns0:c r="D975" s="16">
        <ns0:f>A975*('前提と出典'!$C$36*'契約別単価'!C5+'前提と出典'!$C$37*'契約別単価'!C6+'前提と出典'!$C$38*'契約別単価'!C7)</ns0:f>
        <ns0:v>6986.860335195531</ns0:v>
      </ns0:c>
      <ns0:c r="E975" s="16">
        <ns0:f>A975*('前提と出典'!$C$36*'契約別単価'!E5+'前提と出典'!$C$37*'契約別単価'!E6+'前提と出典'!$C$38*'契約別単価'!E7)</ns0:f>
        <ns0:v>2440970.608466927</ns0:v>
      </ns0:c>
      <ns0:c r="F975" s="16">
        <ns0:f>A975*('前提と出典'!$C$36*'契約別単価'!F5+'前提と出典'!$C$37*'契約別単価'!F6+'前提と出典'!$C$38*'契約別単価'!F7)</ns0:f>
        <ns0:v>709283.6640127898</ns0:v>
      </ns0:c>
      <ns0:c r="G975" s="16">
        <ns0:f>A975*('前提と出典'!$C$36*'契約別単価'!G5+'前提と出典'!$C$37*'契約別単価'!G6+'前提と出典'!$C$38*'契約別単価'!G7)</ns0:f>
        <ns0:v>1932778.2122905026</ns0:v>
      </ns0:c>
      <ns0:c r="H975" s="16">
        <ns0:f>A975*('前提と出典'!$C$36*'契約別単価'!H5+'前提と出典'!$C$37*'契約別単価'!H6+'前提と出典'!$C$38*'契約別単価'!H7)</ns0:f>
        <ns0:v>670770.9761095982</ns0:v>
      </ns0:c>
      <ns0:c r="I975" s="16">
        <ns0:f>A975*('前提と出典'!$C$36*'契約別単価'!I5+'前提と出典'!$C$37*'契約別単価'!I6+'前提と出典'!$C$38*'契約別単価'!I7)</ns0:f>
        <ns0:v>40971.860335195524</ns0:v>
      </ns0:c>
      <ns0:c r="J975" s="16">
        <ns0:f>A975*('前提と出典'!$C$36*'契約別単価'!J5+'前提と出典'!$C$37*'契約別単価'!J6+'前提と出典'!$C$38*'契約別単価'!J7)</ns0:f>
        <ns0:v>95439.1469427038</ns0:v>
      </ns0:c>
      <ns0:c r="K975" s="16">
        <ns0:f>A975*('前提と出典'!$C$36*'契約別単価'!K5+'前提と出典'!$C$37*'契約別単価'!K6+'前提と出典'!$C$38*'契約別単価'!K7)</ns0:f>
        <ns0:v>409085.7355679702</ns0:v>
      </ns0:c>
      <ns0:c r="L975" s="16">
        <ns0:f>A975*('前提と出典'!$C$36*'契約別単価'!L5+'前提と出典'!$C$37*'契約別単価'!L6+'前提と出典'!$C$38*'契約別単価'!L7)</ns0:f>
        <ns0:v>333079.0325369866</ns0:v>
      </ns0:c>
      <ns0:c r="M975" s="16">
        <ns0:f>IF(('前提と出典'!$C$36+'前提と出典'!$C$38)=0,0,IF(B975&lt;=10,'前提と出典'!B73+'前提と出典'!C73,IF(B975&lt;=100,'前提と出典'!B74+'前提と出典'!C74,IF(B975&lt;=500,'前提と出典'!B75+'前提と出典'!C75,'前提と出典'!B76+'前提と出典'!C76))))</ns0:f>
        <ns0:v>80000</ns0:v>
      </ns0:c>
      <ns0:c r="N975" s="16">
        <ns0:f>IF(('前提と出典'!$C$37+'前提と出典'!$C$38)=0,0,IF(C975&lt;=10,'前提と出典'!D73+'前提と出典'!E73,IF(C975&lt;=100,'前提と出典'!D74+'前提と出典'!E74,IF(C975&lt;=500,'前提と出典'!D75+'前提と出典'!E75,'前提と出典'!D76+'前提と出典'!E76))))</ns0:f>
        <ns0:v>86510.9346263078</ns0:v>
      </ns0:c>
      <ns0:c r="O975" s="16">
        <ns0:f>IF('前提と出典'!$C$36+'前提と出典'!$C$38=0,0,'前提と出典'!$B$4*IF('前提と出典'!$B$20=0,MAX('前提と出典'!$B$6,D975*'前提と出典'!$B$5),'前提と出典'!$B$6+D975*'前提と出典'!$B$5))</ns0:f>
        <ns0:v>964186.7262569834</ns0:v>
      </ns0:c>
      <ns0:c r="P975" s="16">
        <ns0:f>(E975+G975)*(1-'前提と出典'!$B$7)-I975-K975-M975-O975</ns0:f>
        <ns0:v>2722049.541050014</ns0:v>
      </ns0:c>
      <ns0:c r="Q975" s="16">
        <ns0:f>(F975+H975)*(1-'前提と出典'!$B$7)-J975-L975-N975</ns0:f>
        <ns0:v>815343.5589719838</ns0:v>
      </ns0:c>
      <ns0:c r="R975" s="16">
        <ns0:f>P975-E975*'前提と出典'!$E$4</ns0:f>
        <ns0:v>1989758.3585099354</ns0:v>
      </ns0:c>
      <ns0:c r="S975" s="16">
        <ns0:f>Q975-F975*'前提と出典'!$E$4</ns0:f>
        <ns0:v>602558.4597681472</ns0:v>
      </ns0:c>
      <ns0:c r="T975" s="7">
        <ns0:f>R975+S975</ns0:f>
        <ns0:v>2592316.8182780826</ns0:v>
      </ns0:c>
      <ns0:c r="U975" s="16">
        <ns0:f>P975-E975*'前提と出典'!$E$5</ns0:f>
        <ns0:v>1745661.297663243</ns0:v>
      </ns0:c>
      <ns0:c r="V975" s="16">
        <ns0:f>Q975-F975*'前提と出典'!$E$5</ns0:f>
        <ns0:v>531630.0933668679</ns0:v>
      </ns0:c>
      <ns0:c r="W975" s="7">
        <ns0:f>U975+V975</ns0:f>
        <ns0:v>2277291.391030111</ns0:v>
      </ns0:c>
      <ns0:c r="X975" s="16">
        <ns0:f>P975-E975*'前提と出典'!$E$6</ns0:f>
        <ns0:v>1501564.2368165501</ns0:v>
      </ns0:c>
      <ns0:c r="Y975" s="16">
        <ns0:f>Q975-F975*'前提と出典'!$E$6</ns0:f>
        <ns0:v>460701.726965589</ns0:v>
      </ns0:c>
      <ns0:c r="Z975" s="7">
        <ns0:f>X975+Y975</ns0:f>
        <ns0:v>1962265.9637821391</ns0:v>
      </ns0:c>
      <ns0:c r="AA975" s="7">
        <ns0:f>IF(T975&gt;=0,A975,1001)</ns0:f>
        <ns0:v>971</ns0:v>
      </ns0:c>
      <ns0:c r="AB975" s="7">
        <ns0:f>IF(T975&lt;0,A975,0)</ns0:f>
        <ns0:v>0</ns0:v>
      </ns0:c>
      <ns0:c r="AC975" s="16">
        <ns0:f>IF(AND(OR('前提と出典'!$C$36+'前提と出典'!$C$38=0,R975&gt;=0),OR('前提と出典'!$C$37+'前提と出典'!$C$38=0,S975&gt;=0)),0,A975)</ns0:f>
        <ns0:v>0</ns0:v>
      </ns0:c>
      <ns0:c r="AD975" s="7">
        <ns0:f>IF(W975&gt;=0,A975,1001)</ns0:f>
        <ns0:v>971</ns0:v>
      </ns0:c>
      <ns0:c r="AE975" s="7">
        <ns0:f>IF(W975&lt;0,A975,0)</ns0:f>
        <ns0:v>0</ns0:v>
      </ns0:c>
      <ns0:c r="AF975" s="16">
        <ns0:f>IF(AND(OR('前提と出典'!$C$36+'前提と出典'!$C$38=0,U975&gt;=0),OR('前提と出典'!$C$37+'前提と出典'!$C$38=0,V975&gt;=0)),0,A975)</ns0:f>
        <ns0:v>0</ns0:v>
      </ns0:c>
      <ns0:c r="AG975" s="7">
        <ns0:f>IF(Z975&gt;=0,A975,1001)</ns0:f>
        <ns0:v>971</ns0:v>
      </ns0:c>
      <ns0:c r="AH975" s="4">
        <ns0:f>IF(Z975&lt;0,A975,0)</ns0:f>
        <ns0:v>0</ns0:v>
      </ns0:c>
      <ns0:c r="AI975" s="12">
        <ns0:f>IF(AND(OR('前提と出典'!$C$36+'前提と出典'!$C$38=0,X975&gt;=0),OR('前提と出典'!$C$37+'前提と出典'!$C$38=0,Y975&gt;=0)),0,A975)</ns0:f>
        <ns0:v>0</ns0:v>
      </ns0:c>
    </ns0:row>
    <ns0:row r="976" ht="24" customHeight="1">
      <ns0:c r="A976" s="4" t="n">
        <ns0:v>972</ns0:v>
      </ns0:c>
      <ns0:c r="B976" s="12">
        <ns0:f>A976*('前提と出典'!$C$36+'前提と出典'!$C$38)</ns0:f>
        <ns0:v>680.4</ns0:v>
      </ns0:c>
      <ns0:c r="C976" s="12">
        <ns0:f>A976*('前提と出典'!$C$37+'前提と出典'!$C$38)</ns0:f>
        <ns0:v>583.1999999999999</ns0:v>
      </ns0:c>
      <ns0:c r="D976" s="16">
        <ns0:f>A976*('前提と出典'!$C$36*'契約別単価'!C5+'前提と出典'!$C$37*'契約別単価'!C6+'前提と出典'!$C$38*'契約別単価'!C7)</ns0:f>
        <ns0:v>6994.055865921788</ns0:v>
      </ns0:c>
      <ns0:c r="E976" s="16">
        <ns0:f>A976*('前提と出典'!$C$36*'契約別単価'!E5+'前提と出典'!$C$37*'契約別単価'!E6+'前提と出典'!$C$38*'契約別単価'!E7)</ns0:f>
        <ns0:v>2443484.4813901675</ns0:v>
      </ns0:c>
      <ns0:c r="F976" s="16">
        <ns0:f>A976*('前提と出典'!$C$36*'契約別単価'!F5+'前提と出典'!$C$37*'契約別単価'!F6+'前提と出典'!$C$38*'契約別単価'!F7)</ns0:f>
        <ns0:v>710014.1312259854</ns0:v>
      </ns0:c>
      <ns0:c r="G976" s="16">
        <ns0:f>A976*('前提と出典'!$C$36*'契約別単価'!G5+'前提と出典'!$C$37*'契約別単価'!G6+'前提と出典'!$C$38*'契約別単価'!G7)</ns0:f>
        <ns0:v>1934768.7150837989</ns0:v>
      </ns0:c>
      <ns0:c r="H976" s="16">
        <ns0:f>A976*('前提と出典'!$C$36*'契約別単価'!H5+'前提と出典'!$C$37*'契約別単価'!H6+'前提と出典'!$C$38*'契約別単価'!H7)</ns0:f>
        <ns0:v>671461.7804104319</ns0:v>
      </ns0:c>
      <ns0:c r="I976" s="16">
        <ns0:f>A976*('前提と出典'!$C$36*'契約別単価'!I5+'前提と出典'!$C$37*'契約別単価'!I6+'前提と出典'!$C$38*'契約別単価'!I7)</ns0:f>
        <ns0:v>41014.05586592178</ns0:v>
      </ns0:c>
      <ns0:c r="J976" s="16">
        <ns0:f>A976*('前提と出典'!$C$36*'契約別単価'!J5+'前提と出典'!$C$37*'契約別単価'!J6+'前提と出典'!$C$38*'契約別単価'!J7)</ns0:f>
        <ns0:v>95537.4364864141</ns0:v>
      </ns0:c>
      <ns0:c r="K976" s="16">
        <ns0:f>A976*('前提と出典'!$C$36*'契約別単価'!K5+'前提と出典'!$C$37*'契約別単価'!K6+'前提と出典'!$C$38*'契約別単価'!K7)</ns0:f>
        <ns0:v>409507.0391061452</ns0:v>
      </ns0:c>
      <ns0:c r="L976" s="16">
        <ns0:f>A976*('前提と出典'!$C$36*'契約別単価'!L5+'前提と出典'!$C$37*'契約別単価'!L6+'前提と出典'!$C$38*'契約別単価'!L7)</ns0:f>
        <ns0:v>333422.0593470144</ns0:v>
      </ns0:c>
      <ns0:c r="M976" s="16">
        <ns0:f>IF(('前提と出典'!$C$36+'前提と出典'!$C$38)=0,0,IF(B976&lt;=10,'前提と出典'!B73+'前提と出典'!C73,IF(B976&lt;=100,'前提と出典'!B74+'前提と出典'!C74,IF(B976&lt;=500,'前提と出典'!B75+'前提と出典'!C75,'前提と出典'!B76+'前提と出典'!C76))))</ns0:f>
        <ns0:v>80000</ns0:v>
      </ns0:c>
      <ns0:c r="N976" s="16">
        <ns0:f>IF(('前提と出典'!$C$37+'前提と出典'!$C$38)=0,0,IF(C976&lt;=10,'前提と出典'!D73+'前提と出典'!E73,IF(C976&lt;=100,'前提と出典'!D74+'前提と出典'!E74,IF(C976&lt;=500,'前提と出典'!D75+'前提と出典'!E75,'前提と出典'!D76+'前提と出典'!E76))))</ns0:f>
        <ns0:v>86510.9346263078</ns0:v>
      </ns0:c>
      <ns0:c r="O976" s="16">
        <ns0:f>IF('前提と出典'!$C$36+'前提と出典'!$C$38=0,0,'前提と出典'!$B$4*IF('前提と出典'!$B$20=0,MAX('前提と出典'!$B$6,D976*'前提と出典'!$B$5),'前提と出典'!$B$6+D976*'前提と出典'!$B$5))</ns0:f>
        <ns0:v>965179.7094972068</ns0:v>
      </ns0:c>
      <ns0:c r="P976" s="16">
        <ns0:f>(E976+G976)*(1-'前提と出典'!$B$7)-I976-K976-M976-O976</ns0:f>
        <ns0:v>2724935.27693163</ns0:v>
      </ns0:c>
      <ns0:c r="Q976" s="16">
        <ns0:f>(F976+H976)*(1-'前提と出典'!$B$7)-J976-L976-N976</ns0:f>
        <ns0:v>816272.3483577699</ns0:v>
      </ns0:c>
      <ns0:c r="R976" s="16">
        <ns0:f>P976-E976*'前提と出典'!$E$4</ns0:f>
        <ns0:v>1991889.9325145795</ns0:v>
      </ns0:c>
      <ns0:c r="S976" s="16">
        <ns0:f>Q976-F976*'前提と出典'!$E$4</ns0:f>
        <ns0:v>603268.1089899744</ns0:v>
      </ns0:c>
      <ns0:c r="T976" s="7">
        <ns0:f>R976+S976</ns0:f>
        <ns0:v>2595158.041504554</ns0:v>
      </ns0:c>
      <ns0:c r="U976" s="16">
        <ns0:f>P976-E976*'前提と出典'!$E$5</ns0:f>
        <ns0:v>1747541.484375563</ns0:v>
      </ns0:c>
      <ns0:c r="V976" s="16">
        <ns0:f>Q976-F976*'前提と出典'!$E$5</ns0:f>
        <ns0:v>532266.6958673758</ns0:v>
      </ns0:c>
      <ns0:c r="W976" s="7">
        <ns0:f>U976+V976</ns0:f>
        <ns0:v>2279808.180242939</ns0:v>
      </ns0:c>
      <ns0:c r="X976" s="16">
        <ns0:f>P976-E976*'前提と出典'!$E$6</ns0:f>
        <ns0:v>1503193.0362365465</ns0:v>
      </ns0:c>
      <ns0:c r="Y976" s="16">
        <ns0:f>Q976-F976*'前提と出典'!$E$6</ns0:f>
        <ns0:v>461265.2827447773</ns0:v>
      </ns0:c>
      <ns0:c r="Z976" s="7">
        <ns0:f>X976+Y976</ns0:f>
        <ns0:v>1964458.3189813239</ns0:v>
      </ns0:c>
      <ns0:c r="AA976" s="7">
        <ns0:f>IF(T976&gt;=0,A976,1001)</ns0:f>
        <ns0:v>972</ns0:v>
      </ns0:c>
      <ns0:c r="AB976" s="7">
        <ns0:f>IF(T976&lt;0,A976,0)</ns0:f>
        <ns0:v>0</ns0:v>
      </ns0:c>
      <ns0:c r="AC976" s="16">
        <ns0:f>IF(AND(OR('前提と出典'!$C$36+'前提と出典'!$C$38=0,R976&gt;=0),OR('前提と出典'!$C$37+'前提と出典'!$C$38=0,S976&gt;=0)),0,A976)</ns0:f>
        <ns0:v>0</ns0:v>
      </ns0:c>
      <ns0:c r="AD976" s="7">
        <ns0:f>IF(W976&gt;=0,A976,1001)</ns0:f>
        <ns0:v>972</ns0:v>
      </ns0:c>
      <ns0:c r="AE976" s="7">
        <ns0:f>IF(W976&lt;0,A976,0)</ns0:f>
        <ns0:v>0</ns0:v>
      </ns0:c>
      <ns0:c r="AF976" s="16">
        <ns0:f>IF(AND(OR('前提と出典'!$C$36+'前提と出典'!$C$38=0,U976&gt;=0),OR('前提と出典'!$C$37+'前提と出典'!$C$38=0,V976&gt;=0)),0,A976)</ns0:f>
        <ns0:v>0</ns0:v>
      </ns0:c>
      <ns0:c r="AG976" s="7">
        <ns0:f>IF(Z976&gt;=0,A976,1001)</ns0:f>
        <ns0:v>972</ns0:v>
      </ns0:c>
      <ns0:c r="AH976" s="4">
        <ns0:f>IF(Z976&lt;0,A976,0)</ns0:f>
        <ns0:v>0</ns0:v>
      </ns0:c>
      <ns0:c r="AI976" s="12">
        <ns0:f>IF(AND(OR('前提と出典'!$C$36+'前提と出典'!$C$38=0,X976&gt;=0),OR('前提と出典'!$C$37+'前提と出典'!$C$38=0,Y976&gt;=0)),0,A976)</ns0:f>
        <ns0:v>0</ns0:v>
      </ns0:c>
    </ns0:row>
    <ns0:row r="977" ht="24" customHeight="1">
      <ns0:c r="A977" s="4" t="n">
        <ns0:v>973</ns0:v>
      </ns0:c>
      <ns0:c r="B977" s="12">
        <ns0:f>A977*('前提と出典'!$C$36+'前提と出典'!$C$38)</ns0:f>
        <ns0:v>681.0999999999999</ns0:v>
      </ns0:c>
      <ns0:c r="C977" s="12">
        <ns0:f>A977*('前提と出典'!$C$37+'前提と出典'!$C$38)</ns0:f>
        <ns0:v>583.8</ns0:v>
      </ns0:c>
      <ns0:c r="D977" s="16">
        <ns0:f>A977*('前提と出典'!$C$36*'契約別単価'!C5+'前提と出典'!$C$37*'契約別単価'!C6+'前提と出典'!$C$38*'契約別単価'!C7)</ns0:f>
        <ns0:v>7001.251396648045</ns0:v>
      </ns0:c>
      <ns0:c r="E977" s="16">
        <ns0:f>A977*('前提と出典'!$C$36*'契約別単価'!E5+'前提と出典'!$C$37*'契約別単価'!E6+'前提と出典'!$C$38*'契約別単価'!E7)</ns0:f>
        <ns0:v>2445998.3543134085</ns0:v>
      </ns0:c>
      <ns0:c r="F977" s="16">
        <ns0:f>A977*('前提と出典'!$C$36*'契約別単価'!F5+'前提と出典'!$C$37*'契約別単価'!F6+'前提と出典'!$C$38*'契約別単価'!F7)</ns0:f>
        <ns0:v>710744.5984391808</ns0:v>
      </ns0:c>
      <ns0:c r="G977" s="16">
        <ns0:f>A977*('前提と出典'!$C$36*'契約別単価'!G5+'前提と出典'!$C$37*'契約別単価'!G6+'前提と出典'!$C$38*'契約別単価'!G7)</ns0:f>
        <ns0:v>1936759.2178770949</ns0:v>
      </ns0:c>
      <ns0:c r="H977" s="16">
        <ns0:f>A977*('前提と出典'!$C$36*'契約別単価'!H5+'前提と出典'!$C$37*'契約別単価'!H6+'前提と出典'!$C$38*'契約別単価'!H7)</ns0:f>
        <ns0:v>672152.5847112656</ns0:v>
      </ns0:c>
      <ns0:c r="I977" s="16">
        <ns0:f>A977*('前提と出典'!$C$36*'契約別単価'!I5+'前提と出典'!$C$37*'契約別単価'!I6+'前提と出典'!$C$38*'契約別単価'!I7)</ns0:f>
        <ns0:v>41056.25139664804</ns0:v>
      </ns0:c>
      <ns0:c r="J977" s="16">
        <ns0:f>A977*('前提と出典'!$C$36*'契約別単価'!J5+'前提と出典'!$C$37*'契約別単価'!J6+'前提と出典'!$C$38*'契約別単価'!J7)</ns0:f>
        <ns0:v>95635.7260301244</ns0:v>
      </ns0:c>
      <ns0:c r="K977" s="16">
        <ns0:f>A977*('前提と出典'!$C$36*'契約別単価'!K5+'前提と出典'!$C$37*'契約別単価'!K6+'前提と出典'!$C$38*'契約別単価'!K7)</ns0:f>
        <ns0:v>409928.3426443203</ns0:v>
      </ns0:c>
      <ns0:c r="L977" s="16">
        <ns0:f>A977*('前提と出典'!$C$36*'契約別単価'!L5+'前提と出典'!$C$37*'契約別単価'!L6+'前提と出典'!$C$38*'契約別単価'!L7)</ns0:f>
        <ns0:v>333765.0861570422</ns0:v>
      </ns0:c>
      <ns0:c r="M977" s="16">
        <ns0:f>IF(('前提と出典'!$C$36+'前提と出典'!$C$38)=0,0,IF(B977&lt;=10,'前提と出典'!B73+'前提と出典'!C73,IF(B977&lt;=100,'前提と出典'!B74+'前提と出典'!C74,IF(B977&lt;=500,'前提と出典'!B75+'前提と出典'!C75,'前提と出典'!B76+'前提と出典'!C76))))</ns0:f>
        <ns0:v>80000</ns0:v>
      </ns0:c>
      <ns0:c r="N977" s="16">
        <ns0:f>IF(('前提と出典'!$C$37+'前提と出典'!$C$38)=0,0,IF(C977&lt;=10,'前提と出典'!D73+'前提と出典'!E73,IF(C977&lt;=100,'前提と出典'!D74+'前提と出典'!E74,IF(C977&lt;=500,'前提と出典'!D75+'前提と出典'!E75,'前提と出典'!D76+'前提と出典'!E76))))</ns0:f>
        <ns0:v>86510.9346263078</ns0:v>
      </ns0:c>
      <ns0:c r="O977" s="16">
        <ns0:f>IF('前提と出典'!$C$36+'前提と出典'!$C$38=0,0,'前提と出典'!$B$4*IF('前提と出典'!$B$20=0,MAX('前提と出典'!$B$6,D977*'前提と出典'!$B$5),'前提と出典'!$B$6+D977*'前提と出典'!$B$5))</ns0:f>
        <ns0:v>966172.6927374302</ns0:v>
      </ns0:c>
      <ns0:c r="P977" s="16">
        <ns0:f>(E977+G977)*(1-'前提と出典'!$B$7)-I977-K977-M977-O977</ns0:f>
        <ns0:v>2727821.012813247</ns0:v>
      </ns0:c>
      <ns0:c r="Q977" s="16">
        <ns0:f>(F977+H977)*(1-'前提と出典'!$B$7)-J977-L977-N977</ns0:f>
        <ns0:v>817201.1377435559</ns0:v>
      </ns0:c>
      <ns0:c r="R977" s="16">
        <ns0:f>P977-E977*'前提と出典'!$E$4</ns0:f>
        <ns0:v>1994021.5065192245</ns0:v>
      </ns0:c>
      <ns0:c r="S977" s="16">
        <ns0:f>Q977-F977*'前提と出典'!$E$4</ns0:f>
        <ns0:v>603977.7582118019</ns0:v>
      </ns0:c>
      <ns0:c r="T977" s="7">
        <ns0:f>R977+S977</ns0:f>
        <ns0:v>2597999.2647310263</ns0:v>
      </ns0:c>
      <ns0:c r="U977" s="16">
        <ns0:f>P977-E977*'前提と出典'!$E$5</ns0:f>
        <ns0:v>1749421.6710878834</ns0:v>
      </ns0:c>
      <ns0:c r="V977" s="16">
        <ns0:f>Q977-F977*'前提と出典'!$E$5</ns0:f>
        <ns0:v>532903.2983678837</ns0:v>
      </ns0:c>
      <ns0:c r="W977" s="7">
        <ns0:f>U977+V977</ns0:f>
        <ns0:v>2282324.969455767</ns0:v>
      </ns0:c>
      <ns0:c r="X977" s="16">
        <ns0:f>P977-E977*'前提と出典'!$E$6</ns0:f>
        <ns0:v>1504821.8356565423</ns0:v>
      </ns0:c>
      <ns0:c r="Y977" s="16">
        <ns0:f>Q977-F977*'前提と出典'!$E$6</ns0:f>
        <ns0:v>461828.8385239657</ns0:v>
      </ns0:c>
      <ns0:c r="Z977" s="7">
        <ns0:f>X977+Y977</ns0:f>
        <ns0:v>1966650.6741805081</ns0:v>
      </ns0:c>
      <ns0:c r="AA977" s="7">
        <ns0:f>IF(T977&gt;=0,A977,1001)</ns0:f>
        <ns0:v>973</ns0:v>
      </ns0:c>
      <ns0:c r="AB977" s="7">
        <ns0:f>IF(T977&lt;0,A977,0)</ns0:f>
        <ns0:v>0</ns0:v>
      </ns0:c>
      <ns0:c r="AC977" s="16">
        <ns0:f>IF(AND(OR('前提と出典'!$C$36+'前提と出典'!$C$38=0,R977&gt;=0),OR('前提と出典'!$C$37+'前提と出典'!$C$38=0,S977&gt;=0)),0,A977)</ns0:f>
        <ns0:v>0</ns0:v>
      </ns0:c>
      <ns0:c r="AD977" s="7">
        <ns0:f>IF(W977&gt;=0,A977,1001)</ns0:f>
        <ns0:v>973</ns0:v>
      </ns0:c>
      <ns0:c r="AE977" s="7">
        <ns0:f>IF(W977&lt;0,A977,0)</ns0:f>
        <ns0:v>0</ns0:v>
      </ns0:c>
      <ns0:c r="AF977" s="16">
        <ns0:f>IF(AND(OR('前提と出典'!$C$36+'前提と出典'!$C$38=0,U977&gt;=0),OR('前提と出典'!$C$37+'前提と出典'!$C$38=0,V977&gt;=0)),0,A977)</ns0:f>
        <ns0:v>0</ns0:v>
      </ns0:c>
      <ns0:c r="AG977" s="7">
        <ns0:f>IF(Z977&gt;=0,A977,1001)</ns0:f>
        <ns0:v>973</ns0:v>
      </ns0:c>
      <ns0:c r="AH977" s="4">
        <ns0:f>IF(Z977&lt;0,A977,0)</ns0:f>
        <ns0:v>0</ns0:v>
      </ns0:c>
      <ns0:c r="AI977" s="12">
        <ns0:f>IF(AND(OR('前提と出典'!$C$36+'前提と出典'!$C$38=0,X977&gt;=0),OR('前提と出典'!$C$37+'前提と出典'!$C$38=0,Y977&gt;=0)),0,A977)</ns0:f>
        <ns0:v>0</ns0:v>
      </ns0:c>
    </ns0:row>
    <ns0:row r="978" ht="24" customHeight="1">
      <ns0:c r="A978" s="4" t="n">
        <ns0:v>974</ns0:v>
      </ns0:c>
      <ns0:c r="B978" s="12">
        <ns0:f>A978*('前提と出典'!$C$36+'前提と出典'!$C$38)</ns0:f>
        <ns0:v>681.8</ns0:v>
      </ns0:c>
      <ns0:c r="C978" s="12">
        <ns0:f>A978*('前提と出典'!$C$37+'前提と出典'!$C$38)</ns0:f>
        <ns0:v>584.4</ns0:v>
      </ns0:c>
      <ns0:c r="D978" s="16">
        <ns0:f>A978*('前提と出典'!$C$36*'契約別単価'!C5+'前提と出典'!$C$37*'契約別単価'!C6+'前提と出典'!$C$38*'契約別単価'!C7)</ns0:f>
        <ns0:v>7008.446927374302</ns0:v>
      </ns0:c>
      <ns0:c r="E978" s="16">
        <ns0:f>A978*('前提と出典'!$C$36*'契約別単価'!E5+'前提と出典'!$C$37*'契約別単価'!E6+'前提と出典'!$C$38*'契約別単価'!E7)</ns0:f>
        <ns0:v>2448512.2272366495</ns0:v>
      </ns0:c>
      <ns0:c r="F978" s="16">
        <ns0:f>A978*('前提と出典'!$C$36*'契約別単価'!F5+'前提と出典'!$C$37*'契約別単価'!F6+'前提と出典'!$C$38*'契約別単価'!F7)</ns0:f>
        <ns0:v>711475.0656523763</ns0:v>
      </ns0:c>
      <ns0:c r="G978" s="16">
        <ns0:f>A978*('前提と出典'!$C$36*'契約別単価'!G5+'前提と出典'!$C$37*'契約別単価'!G6+'前提と出典'!$C$38*'契約別単価'!G7)</ns0:f>
        <ns0:v>1938749.7206703909</ns0:v>
      </ns0:c>
      <ns0:c r="H978" s="16">
        <ns0:f>A978*('前提と出典'!$C$36*'契約別単価'!H5+'前提と出典'!$C$37*'契約別単価'!H6+'前提と出典'!$C$38*'契約別単価'!H7)</ns0:f>
        <ns0:v>672843.3890120995</ns0:v>
      </ns0:c>
      <ns0:c r="I978" s="16">
        <ns0:f>A978*('前提と出典'!$C$36*'契約別単価'!I5+'前提と出典'!$C$37*'契約別単価'!I6+'前提と出典'!$C$38*'契約別単価'!I7)</ns0:f>
        <ns0:v>41098.446927374294</ns0:v>
      </ns0:c>
      <ns0:c r="J978" s="16">
        <ns0:f>A978*('前提と出典'!$C$36*'契約別単価'!J5+'前提と出典'!$C$37*'契約別単価'!J6+'前提と出典'!$C$38*'契約別単価'!J7)</ns0:f>
        <ns0:v>95734.0155738347</ns0:v>
      </ns0:c>
      <ns0:c r="K978" s="16">
        <ns0:f>A978*('前提と出典'!$C$36*'契約別単価'!K5+'前提と出典'!$C$37*'契約別単価'!K6+'前提と出典'!$C$38*'契約別単価'!K7)</ns0:f>
        <ns0:v>410349.64618249534</ns0:v>
      </ns0:c>
      <ns0:c r="L978" s="16">
        <ns0:f>A978*('前提と出典'!$C$36*'契約別単価'!L5+'前提と出典'!$C$37*'契約別単価'!L6+'前提と出典'!$C$38*'契約別単価'!L7)</ns0:f>
        <ns0:v>334108.11296706996</ns0:v>
      </ns0:c>
      <ns0:c r="M978" s="16">
        <ns0:f>IF(('前提と出典'!$C$36+'前提と出典'!$C$38)=0,0,IF(B978&lt;=10,'前提と出典'!B73+'前提と出典'!C73,IF(B978&lt;=100,'前提と出典'!B74+'前提と出典'!C74,IF(B978&lt;=500,'前提と出典'!B75+'前提と出典'!C75,'前提と出典'!B76+'前提と出典'!C76))))</ns0:f>
        <ns0:v>80000</ns0:v>
      </ns0:c>
      <ns0:c r="N978" s="16">
        <ns0:f>IF(('前提と出典'!$C$37+'前提と出典'!$C$38)=0,0,IF(C978&lt;=10,'前提と出典'!D73+'前提と出典'!E73,IF(C978&lt;=100,'前提と出典'!D74+'前提と出典'!E74,IF(C978&lt;=500,'前提と出典'!D75+'前提と出典'!E75,'前提と出典'!D76+'前提と出典'!E76))))</ns0:f>
        <ns0:v>86510.9346263078</ns0:v>
      </ns0:c>
      <ns0:c r="O978" s="16">
        <ns0:f>IF('前提と出典'!$C$36+'前提と出典'!$C$38=0,0,'前提と出典'!$B$4*IF('前提と出典'!$B$20=0,MAX('前提と出典'!$B$6,D978*'前提と出典'!$B$5),'前提と出典'!$B$6+D978*'前提と出典'!$B$5))</ns0:f>
        <ns0:v>967165.6759776536</ns0:v>
      </ns0:c>
      <ns0:c r="P978" s="16">
        <ns0:f>(E978+G978)*(1-'前提と出典'!$B$7)-I978-K978-M978-O978</ns0:f>
        <ns0:v>2730706.748694863</ns0:v>
      </ns0:c>
      <ns0:c r="Q978" s="16">
        <ns0:f>(F978+H978)*(1-'前提と出典'!$B$7)-J978-L978-N978</ns0:f>
        <ns0:v>818129.927129342</ns0:v>
      </ns0:c>
      <ns0:c r="R978" s="16">
        <ns0:f>P978-E978*'前提と出典'!$E$4</ns0:f>
        <ns0:v>1996153.0805238683</ns0:v>
      </ns0:c>
      <ns0:c r="S978" s="16">
        <ns0:f>Q978-F978*'前提と出典'!$E$4</ns0:f>
        <ns0:v>604687.4074336292</ns0:v>
      </ns0:c>
      <ns0:c r="T978" s="7">
        <ns0:f>R978+S978</ns0:f>
        <ns0:v>2600840.4879574976</ns0:v>
      </ns0:c>
      <ns0:c r="U978" s="16">
        <ns0:f>P978-E978*'前提と出典'!$E$5</ns0:f>
        <ns0:v>1751301.8578002036</ns0:v>
      </ns0:c>
      <ns0:c r="V978" s="16">
        <ns0:f>Q978-F978*'前提と出典'!$E$5</ns0:f>
        <ns0:v>533539.9008683915</ns0:v>
      </ns0:c>
      <ns0:c r="W978" s="7">
        <ns0:f>U978+V978</ns0:f>
        <ns0:v>2284841.758668595</ns0:v>
      </ns0:c>
      <ns0:c r="X978" s="16">
        <ns0:f>P978-E978*'前提と出典'!$E$6</ns0:f>
        <ns0:v>1506450.635076539</ns0:v>
      </ns0:c>
      <ns0:c r="Y978" s="16">
        <ns0:f>Q978-F978*'前提と出典'!$E$6</ns0:f>
        <ns0:v>462392.3943031541</ns0:v>
      </ns0:c>
      <ns0:c r="Z978" s="7">
        <ns0:f>X978+Y978</ns0:f>
        <ns0:v>1968843.0293796929</ns0:v>
      </ns0:c>
      <ns0:c r="AA978" s="7">
        <ns0:f>IF(T978&gt;=0,A978,1001)</ns0:f>
        <ns0:v>974</ns0:v>
      </ns0:c>
      <ns0:c r="AB978" s="7">
        <ns0:f>IF(T978&lt;0,A978,0)</ns0:f>
        <ns0:v>0</ns0:v>
      </ns0:c>
      <ns0:c r="AC978" s="16">
        <ns0:f>IF(AND(OR('前提と出典'!$C$36+'前提と出典'!$C$38=0,R978&gt;=0),OR('前提と出典'!$C$37+'前提と出典'!$C$38=0,S978&gt;=0)),0,A978)</ns0:f>
        <ns0:v>0</ns0:v>
      </ns0:c>
      <ns0:c r="AD978" s="7">
        <ns0:f>IF(W978&gt;=0,A978,1001)</ns0:f>
        <ns0:v>974</ns0:v>
      </ns0:c>
      <ns0:c r="AE978" s="7">
        <ns0:f>IF(W978&lt;0,A978,0)</ns0:f>
        <ns0:v>0</ns0:v>
      </ns0:c>
      <ns0:c r="AF978" s="16">
        <ns0:f>IF(AND(OR('前提と出典'!$C$36+'前提と出典'!$C$38=0,U978&gt;=0),OR('前提と出典'!$C$37+'前提と出典'!$C$38=0,V978&gt;=0)),0,A978)</ns0:f>
        <ns0:v>0</ns0:v>
      </ns0:c>
      <ns0:c r="AG978" s="7">
        <ns0:f>IF(Z978&gt;=0,A978,1001)</ns0:f>
        <ns0:v>974</ns0:v>
      </ns0:c>
      <ns0:c r="AH978" s="4">
        <ns0:f>IF(Z978&lt;0,A978,0)</ns0:f>
        <ns0:v>0</ns0:v>
      </ns0:c>
      <ns0:c r="AI978" s="12">
        <ns0:f>IF(AND(OR('前提と出典'!$C$36+'前提と出典'!$C$38=0,X978&gt;=0),OR('前提と出典'!$C$37+'前提と出典'!$C$38=0,Y978&gt;=0)),0,A978)</ns0:f>
        <ns0:v>0</ns0:v>
      </ns0:c>
    </ns0:row>
    <ns0:row r="979" ht="24" customHeight="1">
      <ns0:c r="A979" s="4" t="n">
        <ns0:v>975</ns0:v>
      </ns0:c>
      <ns0:c r="B979" s="12">
        <ns0:f>A979*('前提と出典'!$C$36+'前提と出典'!$C$38)</ns0:f>
        <ns0:v>682.5</ns0:v>
      </ns0:c>
      <ns0:c r="C979" s="12">
        <ns0:f>A979*('前提と出典'!$C$37+'前提と出典'!$C$38)</ns0:f>
        <ns0:v>585</ns0:v>
      </ns0:c>
      <ns0:c r="D979" s="16">
        <ns0:f>A979*('前提と出典'!$C$36*'契約別単価'!C5+'前提と出典'!$C$37*'契約別単価'!C6+'前提と出典'!$C$38*'契約別単価'!C7)</ns0:f>
        <ns0:v>7015.6424581005585</ns0:v>
      </ns0:c>
      <ns0:c r="E979" s="16">
        <ns0:f>A979*('前提と出典'!$C$36*'契約別単価'!E5+'前提と出典'!$C$37*'契約別単価'!E6+'前提と出典'!$C$38*'契約別単価'!E7)</ns0:f>
        <ns0:v>2451026.1001598905</ns0:v>
      </ns0:c>
      <ns0:c r="F979" s="16">
        <ns0:f>A979*('前提と出典'!$C$36*'契約別単価'!F5+'前提と出典'!$C$37*'契約別単価'!F6+'前提と出典'!$C$38*'契約別単価'!F7)</ns0:f>
        <ns0:v>712205.5328655717</ns0:v>
      </ns0:c>
      <ns0:c r="G979" s="16">
        <ns0:f>A979*('前提と出典'!$C$36*'契約別単価'!G5+'前提と出典'!$C$37*'契約別単価'!G6+'前提と出典'!$C$38*'契約別単価'!G7)</ns0:f>
        <ns0:v>1940740.223463687</ns0:v>
      </ns0:c>
      <ns0:c r="H979" s="16">
        <ns0:f>A979*('前提と出典'!$C$36*'契約別単価'!H5+'前提と出典'!$C$37*'契約別単価'!H6+'前提と出典'!$C$38*'契約別単価'!H7)</ns0:f>
        <ns0:v>673534.1933129332</ns0:v>
      </ns0:c>
      <ns0:c r="I979" s="16">
        <ns0:f>A979*('前提と出典'!$C$36*'契約別単価'!I5+'前提と出典'!$C$37*'契約別単価'!I6+'前提と出典'!$C$38*'契約別単価'!I7)</ns0:f>
        <ns0:v>41140.64245810055</ns0:v>
      </ns0:c>
      <ns0:c r="J979" s="16">
        <ns0:f>A979*('前提と出典'!$C$36*'契約別単価'!J5+'前提と出典'!$C$37*'契約別単価'!J6+'前提と出典'!$C$38*'契約別単価'!J7)</ns0:f>
        <ns0:v>95832.30511754501</ns0:v>
      </ns0:c>
      <ns0:c r="K979" s="16">
        <ns0:f>A979*('前提と出典'!$C$36*'契約別単価'!K5+'前提と出典'!$C$37*'契約別単価'!K6+'前提と出典'!$C$38*'契約別単価'!K7)</ns0:f>
        <ns0:v>410770.94972067035</ns0:v>
      </ns0:c>
      <ns0:c r="L979" s="16">
        <ns0:f>A979*('前提と出典'!$C$36*'契約別単価'!L5+'前提と出典'!$C$37*'契約別単価'!L6+'前提と出典'!$C$38*'契約別単価'!L7)</ns0:f>
        <ns0:v>334451.1397770978</ns0:v>
      </ns0:c>
      <ns0:c r="M979" s="16">
        <ns0:f>IF(('前提と出典'!$C$36+'前提と出典'!$C$38)=0,0,IF(B979&lt;=10,'前提と出典'!B73+'前提と出典'!C73,IF(B979&lt;=100,'前提と出典'!B74+'前提と出典'!C74,IF(B979&lt;=500,'前提と出典'!B75+'前提と出典'!C75,'前提と出典'!B76+'前提と出典'!C76))))</ns0:f>
        <ns0:v>80000</ns0:v>
      </ns0:c>
      <ns0:c r="N979" s="16">
        <ns0:f>IF(('前提と出典'!$C$37+'前提と出典'!$C$38)=0,0,IF(C979&lt;=10,'前提と出典'!D73+'前提と出典'!E73,IF(C979&lt;=100,'前提と出典'!D74+'前提と出典'!E74,IF(C979&lt;=500,'前提と出典'!D75+'前提と出典'!E75,'前提と出典'!D76+'前提と出典'!E76))))</ns0:f>
        <ns0:v>86510.9346263078</ns0:v>
      </ns0:c>
      <ns0:c r="O979" s="16">
        <ns0:f>IF('前提と出典'!$C$36+'前提と出典'!$C$38=0,0,'前提と出典'!$B$4*IF('前提と出典'!$B$20=0,MAX('前提と出典'!$B$6,D979*'前提と出典'!$B$5),'前提と出典'!$B$6+D979*'前提と出典'!$B$5))</ns0:f>
        <ns0:v>968158.6592178771</ns0:v>
      </ns0:c>
      <ns0:c r="P979" s="16">
        <ns0:f>(E979+G979)*(1-'前提と出典'!$B$7)-I979-K979-M979-O979</ns0:f>
        <ns0:v>2733592.4845764805</ns0:v>
      </ns0:c>
      <ns0:c r="Q979" s="16">
        <ns0:f>(F979+H979)*(1-'前提と出典'!$B$7)-J979-L979-N979</ns0:f>
        <ns0:v>819058.7165151282</ns0:v>
      </ns0:c>
      <ns0:c r="R979" s="16">
        <ns0:f>P979-E979*'前提と出典'!$E$4</ns0:f>
        <ns0:v>1998284.6545285138</ns0:v>
      </ns0:c>
      <ns0:c r="S979" s="16">
        <ns0:f>Q979-F979*'前提と出典'!$E$4</ns0:f>
        <ns0:v>605397.0566554568</ns0:v>
      </ns0:c>
      <ns0:c r="T979" s="7">
        <ns0:f>R979+S979</ns0:f>
        <ns0:v>2603681.711183971</ns0:v>
      </ns0:c>
      <ns0:c r="U979" s="16">
        <ns0:f>P979-E979*'前提と出典'!$E$5</ns0:f>
        <ns0:v>1753182.0445125245</ns0:v>
      </ns0:c>
      <ns0:c r="V979" s="16">
        <ns0:f>Q979-F979*'前提と出典'!$E$5</ns0:f>
        <ns0:v>534176.5033688995</ns0:v>
      </ns0:c>
      <ns0:c r="W979" s="7">
        <ns0:f>U979+V979</ns0:f>
        <ns0:v>2287358.547881424</ns0:v>
      </ns0:c>
      <ns0:c r="X979" s="16">
        <ns0:f>P979-E979*'前提と出典'!$E$6</ns0:f>
        <ns0:v>1508079.4344965352</ns0:v>
      </ns0:c>
      <ns0:c r="Y979" s="16">
        <ns0:f>Q979-F979*'前提と出典'!$E$6</ns0:f>
        <ns0:v>462955.9500823424</ns0:v>
      </ns0:c>
      <ns0:c r="Z979" s="7">
        <ns0:f>X979+Y979</ns0:f>
        <ns0:v>1971035.3845788776</ns0:v>
      </ns0:c>
      <ns0:c r="AA979" s="7">
        <ns0:f>IF(T979&gt;=0,A979,1001)</ns0:f>
        <ns0:v>975</ns0:v>
      </ns0:c>
      <ns0:c r="AB979" s="7">
        <ns0:f>IF(T979&lt;0,A979,0)</ns0:f>
        <ns0:v>0</ns0:v>
      </ns0:c>
      <ns0:c r="AC979" s="16">
        <ns0:f>IF(AND(OR('前提と出典'!$C$36+'前提と出典'!$C$38=0,R979&gt;=0),OR('前提と出典'!$C$37+'前提と出典'!$C$38=0,S979&gt;=0)),0,A979)</ns0:f>
        <ns0:v>0</ns0:v>
      </ns0:c>
      <ns0:c r="AD979" s="7">
        <ns0:f>IF(W979&gt;=0,A979,1001)</ns0:f>
        <ns0:v>975</ns0:v>
      </ns0:c>
      <ns0:c r="AE979" s="7">
        <ns0:f>IF(W979&lt;0,A979,0)</ns0:f>
        <ns0:v>0</ns0:v>
      </ns0:c>
      <ns0:c r="AF979" s="16">
        <ns0:f>IF(AND(OR('前提と出典'!$C$36+'前提と出典'!$C$38=0,U979&gt;=0),OR('前提と出典'!$C$37+'前提と出典'!$C$38=0,V979&gt;=0)),0,A979)</ns0:f>
        <ns0:v>0</ns0:v>
      </ns0:c>
      <ns0:c r="AG979" s="7">
        <ns0:f>IF(Z979&gt;=0,A979,1001)</ns0:f>
        <ns0:v>975</ns0:v>
      </ns0:c>
      <ns0:c r="AH979" s="4">
        <ns0:f>IF(Z979&lt;0,A979,0)</ns0:f>
        <ns0:v>0</ns0:v>
      </ns0:c>
      <ns0:c r="AI979" s="12">
        <ns0:f>IF(AND(OR('前提と出典'!$C$36+'前提と出典'!$C$38=0,X979&gt;=0),OR('前提と出典'!$C$37+'前提と出典'!$C$38=0,Y979&gt;=0)),0,A979)</ns0:f>
        <ns0:v>0</ns0:v>
      </ns0:c>
    </ns0:row>
    <ns0:row r="980" ht="24" customHeight="1">
      <ns0:c r="A980" s="4" t="n">
        <ns0:v>976</ns0:v>
      </ns0:c>
      <ns0:c r="B980" s="12">
        <ns0:f>A980*('前提と出典'!$C$36+'前提と出典'!$C$38)</ns0:f>
        <ns0:v>683.1999999999999</ns0:v>
      </ns0:c>
      <ns0:c r="C980" s="12">
        <ns0:f>A980*('前提と出典'!$C$37+'前提と出典'!$C$38)</ns0:f>
        <ns0:v>585.6</ns0:v>
      </ns0:c>
      <ns0:c r="D980" s="16">
        <ns0:f>A980*('前提と出典'!$C$36*'契約別単価'!C5+'前提と出典'!$C$37*'契約別単価'!C6+'前提と出典'!$C$38*'契約別単価'!C7)</ns0:f>
        <ns0:v>7022.8379888268155</ns0:v>
      </ns0:c>
      <ns0:c r="E980" s="16">
        <ns0:f>A980*('前提と出典'!$C$36*'契約別単価'!E5+'前提と出典'!$C$37*'契約別単価'!E6+'前提と出典'!$C$38*'契約別単価'!E7)</ns0:f>
        <ns0:v>2453539.9730831315</ns0:v>
      </ns0:c>
      <ns0:c r="F980" s="16">
        <ns0:f>A980*('前提と出典'!$C$36*'契約別単価'!F5+'前提と出典'!$C$37*'契約別単価'!F6+'前提と出典'!$C$38*'契約別単価'!F7)</ns0:f>
        <ns0:v>712936.0000787672</ns0:v>
      </ns0:c>
      <ns0:c r="G980" s="16">
        <ns0:f>A980*('前提と出典'!$C$36*'契約別単価'!G5+'前提と出典'!$C$37*'契約別単価'!G6+'前提と出典'!$C$38*'契約別単価'!G7)</ns0:f>
        <ns0:v>1942730.7262569831</ns0:v>
      </ns0:c>
      <ns0:c r="H980" s="16">
        <ns0:f>A980*('前提と出典'!$C$36*'契約別単価'!H5+'前提と出典'!$C$37*'契約別単価'!H6+'前提と出典'!$C$38*'契約別単価'!H7)</ns0:f>
        <ns0:v>674224.997613767</ns0:v>
      </ns0:c>
      <ns0:c r="I980" s="16">
        <ns0:f>A980*('前提と出典'!$C$36*'契約別単価'!I5+'前提と出典'!$C$37*'契約別単価'!I6+'前提と出典'!$C$38*'契約別単価'!I7)</ns0:f>
        <ns0:v>41182.83798882681</ns0:v>
      </ns0:c>
      <ns0:c r="J980" s="16">
        <ns0:f>A980*('前提と出典'!$C$36*'契約別単価'!J5+'前提と出典'!$C$37*'契約別単価'!J6+'前提と出典'!$C$38*'契約別単価'!J7)</ns0:f>
        <ns0:v>95930.59466125531</ns0:v>
      </ns0:c>
      <ns0:c r="K980" s="16">
        <ns0:f>A980*('前提と出典'!$C$36*'契約別単価'!K5+'前提と出典'!$C$37*'契約別単価'!K6+'前提と出典'!$C$38*'契約別単価'!K7)</ns0:f>
        <ns0:v>411192.2532588454</ns0:v>
      </ns0:c>
      <ns0:c r="L980" s="16">
        <ns0:f>A980*('前提と出典'!$C$36*'契約別単価'!L5+'前提と出典'!$C$37*'契約別単価'!L6+'前提と出典'!$C$38*'契約別単価'!L7)</ns0:f>
        <ns0:v>334794.16658712557</ns0:v>
      </ns0:c>
      <ns0:c r="M980" s="16">
        <ns0:f>IF(('前提と出典'!$C$36+'前提と出典'!$C$38)=0,0,IF(B980&lt;=10,'前提と出典'!B73+'前提と出典'!C73,IF(B980&lt;=100,'前提と出典'!B74+'前提と出典'!C74,IF(B980&lt;=500,'前提と出典'!B75+'前提と出典'!C75,'前提と出典'!B76+'前提と出典'!C76))))</ns0:f>
        <ns0:v>80000</ns0:v>
      </ns0:c>
      <ns0:c r="N980" s="16">
        <ns0:f>IF(('前提と出典'!$C$37+'前提と出典'!$C$38)=0,0,IF(C980&lt;=10,'前提と出典'!D73+'前提と出典'!E73,IF(C980&lt;=100,'前提と出典'!D74+'前提と出典'!E74,IF(C980&lt;=500,'前提と出典'!D75+'前提と出典'!E75,'前提と出典'!D76+'前提と出典'!E76))))</ns0:f>
        <ns0:v>86510.9346263078</ns0:v>
      </ns0:c>
      <ns0:c r="O980" s="16">
        <ns0:f>IF('前提と出典'!$C$36+'前提と出典'!$C$38=0,0,'前提と出典'!$B$4*IF('前提と出典'!$B$20=0,MAX('前提と出典'!$B$6,D980*'前提と出典'!$B$5),'前提と出典'!$B$6+D980*'前提と出典'!$B$5))</ns0:f>
        <ns0:v>969151.6424581006</ns0:v>
      </ns0:c>
      <ns0:c r="P980" s="16">
        <ns0:f>(E980+G980)*(1-'前提と出典'!$B$7)-I980-K980-M980-O980</ns0:f>
        <ns0:v>2736478.2204580978</ns0:v>
      </ns0:c>
      <ns0:c r="Q980" s="16">
        <ns0:f>(F980+H980)*(1-'前提と出典'!$B$7)-J980-L980-N980</ns0:f>
        <ns0:v>819987.5059009142</ns0:v>
      </ns0:c>
      <ns0:c r="R980" s="16">
        <ns0:f>P980-E980*'前提と出典'!$E$4</ns0:f>
        <ns0:v>2000416.2285331578</ns0:v>
      </ns0:c>
      <ns0:c r="S980" s="16">
        <ns0:f>Q980-F980*'前提と出典'!$E$4</ns0:f>
        <ns0:v>606106.705877284</ns0:v>
      </ns0:c>
      <ns0:c r="T980" s="7">
        <ns0:f>R980+S980</ns0:f>
        <ns0:v>2606522.9344104417</ns0:v>
      </ns0:c>
      <ns0:c r="U980" s="16">
        <ns0:f>P980-E980*'前提と出典'!$E$5</ns0:f>
        <ns0:v>1755062.231224845</ns0:v>
      </ns0:c>
      <ns0:c r="V980" s="16">
        <ns0:f>Q980-F980*'前提と出典'!$E$5</ns0:f>
        <ns0:v>534813.1058694073</ns0:v>
      </ns0:c>
      <ns0:c r="W980" s="7">
        <ns0:f>U980+V980</ns0:f>
        <ns0:v>2289875.337094252</ns0:v>
      </ns0:c>
      <ns0:c r="X980" s="16">
        <ns0:f>P980-E980*'前提と出典'!$E$6</ns0:f>
        <ns0:v>1509708.233916532</ns0:v>
      </ns0:c>
      <ns0:c r="Y980" s="16">
        <ns0:f>Q980-F980*'前提と出典'!$E$6</ns0:f>
        <ns0:v>463519.5058615308</ns0:v>
      </ns0:c>
      <ns0:c r="Z980" s="7">
        <ns0:f>X980+Y980</ns0:f>
        <ns0:v>1973227.7397780628</ns0:v>
      </ns0:c>
      <ns0:c r="AA980" s="7">
        <ns0:f>IF(T980&gt;=0,A980,1001)</ns0:f>
        <ns0:v>976</ns0:v>
      </ns0:c>
      <ns0:c r="AB980" s="7">
        <ns0:f>IF(T980&lt;0,A980,0)</ns0:f>
        <ns0:v>0</ns0:v>
      </ns0:c>
      <ns0:c r="AC980" s="16">
        <ns0:f>IF(AND(OR('前提と出典'!$C$36+'前提と出典'!$C$38=0,R980&gt;=0),OR('前提と出典'!$C$37+'前提と出典'!$C$38=0,S980&gt;=0)),0,A980)</ns0:f>
        <ns0:v>0</ns0:v>
      </ns0:c>
      <ns0:c r="AD980" s="7">
        <ns0:f>IF(W980&gt;=0,A980,1001)</ns0:f>
        <ns0:v>976</ns0:v>
      </ns0:c>
      <ns0:c r="AE980" s="7">
        <ns0:f>IF(W980&lt;0,A980,0)</ns0:f>
        <ns0:v>0</ns0:v>
      </ns0:c>
      <ns0:c r="AF980" s="16">
        <ns0:f>IF(AND(OR('前提と出典'!$C$36+'前提と出典'!$C$38=0,U980&gt;=0),OR('前提と出典'!$C$37+'前提と出典'!$C$38=0,V980&gt;=0)),0,A980)</ns0:f>
        <ns0:v>0</ns0:v>
      </ns0:c>
      <ns0:c r="AG980" s="7">
        <ns0:f>IF(Z980&gt;=0,A980,1001)</ns0:f>
        <ns0:v>976</ns0:v>
      </ns0:c>
      <ns0:c r="AH980" s="4">
        <ns0:f>IF(Z980&lt;0,A980,0)</ns0:f>
        <ns0:v>0</ns0:v>
      </ns0:c>
      <ns0:c r="AI980" s="12">
        <ns0:f>IF(AND(OR('前提と出典'!$C$36+'前提と出典'!$C$38=0,X980&gt;=0),OR('前提と出典'!$C$37+'前提と出典'!$C$38=0,Y980&gt;=0)),0,A980)</ns0:f>
        <ns0:v>0</ns0:v>
      </ns0:c>
    </ns0:row>
    <ns0:row r="981" ht="24" customHeight="1">
      <ns0:c r="A981" s="4" t="n">
        <ns0:v>977</ns0:v>
      </ns0:c>
      <ns0:c r="B981" s="12">
        <ns0:f>A981*('前提と出典'!$C$36+'前提と出典'!$C$38)</ns0:f>
        <ns0:v>683.9</ns0:v>
      </ns0:c>
      <ns0:c r="C981" s="12">
        <ns0:f>A981*('前提と出典'!$C$37+'前提と出典'!$C$38)</ns0:f>
        <ns0:v>586.1999999999999</ns0:v>
      </ns0:c>
      <ns0:c r="D981" s="16">
        <ns0:f>A981*('前提と出典'!$C$36*'契約別単価'!C5+'前提と出典'!$C$37*'契約別単価'!C6+'前提と出典'!$C$38*'契約別単価'!C7)</ns0:f>
        <ns0:v>7030.033519553072</ns0:v>
      </ns0:c>
      <ns0:c r="E981" s="16">
        <ns0:f>A981*('前提と出典'!$C$36*'契約別単価'!E5+'前提と出典'!$C$37*'契約別単価'!E6+'前提と出典'!$C$38*'契約別単価'!E7)</ns0:f>
        <ns0:v>2456053.846006372</ns0:v>
      </ns0:c>
      <ns0:c r="F981" s="16">
        <ns0:f>A981*('前提と出典'!$C$36*'契約別単価'!F5+'前提と出典'!$C$37*'契約別単価'!F6+'前提と出典'!$C$38*'契約別単価'!F7)</ns0:f>
        <ns0:v>713666.4672919626</ns0:v>
      </ns0:c>
      <ns0:c r="G981" s="16">
        <ns0:f>A981*('前提と出典'!$C$36*'契約別単価'!G5+'前提と出典'!$C$37*'契約別単価'!G6+'前提と出典'!$C$38*'契約別単価'!G7)</ns0:f>
        <ns0:v>1944721.2290502791</ns0:v>
      </ns0:c>
      <ns0:c r="H981" s="16">
        <ns0:f>A981*('前提と出典'!$C$36*'契約別単価'!H5+'前提と出典'!$C$37*'契約別単価'!H6+'前提と出典'!$C$38*'契約別単価'!H7)</ns0:f>
        <ns0:v>674915.8019146008</ns0:v>
      </ns0:c>
      <ns0:c r="I981" s="16">
        <ns0:f>A981*('前提と出典'!$C$36*'契約別単価'!I5+'前提と出典'!$C$37*'契約別単価'!I6+'前提と出典'!$C$38*'契約別単価'!I7)</ns0:f>
        <ns0:v>41225.033519553064</ns0:v>
      </ns0:c>
      <ns0:c r="J981" s="16">
        <ns0:f>A981*('前提と出典'!$C$36*'契約別単価'!J5+'前提と出典'!$C$37*'契約別単価'!J6+'前提と出典'!$C$38*'契約別単価'!J7)</ns0:f>
        <ns0:v>96028.88420496561</ns0:v>
      </ns0:c>
      <ns0:c r="K981" s="16">
        <ns0:f>A981*('前提と出典'!$C$36*'契約別単価'!K5+'前提と出典'!$C$37*'契約別単価'!K6+'前提と出典'!$C$38*'契約別単価'!K7)</ns0:f>
        <ns0:v>411613.5567970204</ns0:v>
      </ns0:c>
      <ns0:c r="L981" s="16">
        <ns0:f>A981*('前提と出典'!$C$36*'契約別単価'!L5+'前提と出典'!$C$37*'契約別単価'!L6+'前提と出典'!$C$38*'契約別単価'!L7)</ns0:f>
        <ns0:v>335137.19339715334</ns0:v>
      </ns0:c>
      <ns0:c r="M981" s="16">
        <ns0:f>IF(('前提と出典'!$C$36+'前提と出典'!$C$38)=0,0,IF(B981&lt;=10,'前提と出典'!B73+'前提と出典'!C73,IF(B981&lt;=100,'前提と出典'!B74+'前提と出典'!C74,IF(B981&lt;=500,'前提と出典'!B75+'前提と出典'!C75,'前提と出典'!B76+'前提と出典'!C76))))</ns0:f>
        <ns0:v>80000</ns0:v>
      </ns0:c>
      <ns0:c r="N981" s="16">
        <ns0:f>IF(('前提と出典'!$C$37+'前提と出典'!$C$38)=0,0,IF(C981&lt;=10,'前提と出典'!D73+'前提と出典'!E73,IF(C981&lt;=100,'前提と出典'!D74+'前提と出典'!E74,IF(C981&lt;=500,'前提と出典'!D75+'前提と出典'!E75,'前提と出典'!D76+'前提と出典'!E76))))</ns0:f>
        <ns0:v>86510.9346263078</ns0:v>
      </ns0:c>
      <ns0:c r="O981" s="16">
        <ns0:f>IF('前提と出典'!$C$36+'前提と出典'!$C$38=0,0,'前提と出典'!$B$4*IF('前提と出典'!$B$20=0,MAX('前提と出典'!$B$6,D981*'前提と出典'!$B$5),'前提と出典'!$B$6+D981*'前提と出典'!$B$5))</ns0:f>
        <ns0:v>970144.6256983241</ns0:v>
      </ns0:c>
      <ns0:c r="P981" s="16">
        <ns0:f>(E981+G981)*(1-'前提と出典'!$B$7)-I981-K981-M981-O981</ns0:f>
        <ns0:v>2739363.956339714</ns0:v>
      </ns0:c>
      <ns0:c r="Q981" s="16">
        <ns0:f>(F981+H981)*(1-'前提と出典'!$B$7)-J981-L981-N981</ns0:f>
        <ns0:v>820916.2952867004</ns0:v>
      </ns0:c>
      <ns0:c r="R981" s="16">
        <ns0:f>P981-E981*'前提と出典'!$E$4</ns0:f>
        <ns0:v>2002547.8025378028</ns0:v>
      </ns0:c>
      <ns0:c r="S981" s="16">
        <ns0:f>Q981-F981*'前提と出典'!$E$4</ns0:f>
        <ns0:v>606816.3550991116</ns0:v>
      </ns0:c>
      <ns0:c r="T981" s="7">
        <ns0:f>R981+S981</ns0:f>
        <ns0:v>2609364.1576369144</ns0:v>
      </ns0:c>
      <ns0:c r="U981" s="16">
        <ns0:f>P981-E981*'前提と出典'!$E$5</ns0:f>
        <ns0:v>1756942.4179371654</ns0:v>
      </ns0:c>
      <ns0:c r="V981" s="16">
        <ns0:f>Q981-F981*'前提と出典'!$E$5</ns0:f>
        <ns0:v>535449.7083699154</ns0:v>
      </ns0:c>
      <ns0:c r="W981" s="7">
        <ns0:f>U981+V981</ns0:f>
        <ns0:v>2292392.1263070805</ns0:v>
      </ns0:c>
      <ns0:c r="X981" s="16">
        <ns0:f>P981-E981*'前提と出典'!$E$6</ns0:f>
        <ns0:v>1511337.0333365283</ns0:v>
      </ns0:c>
      <ns0:c r="Y981" s="16">
        <ns0:f>Q981-F981*'前提と出典'!$E$6</ns0:f>
        <ns0:v>464083.0616407192</ns0:v>
      </ns0:c>
      <ns0:c r="Z981" s="7">
        <ns0:f>X981+Y981</ns0:f>
        <ns0:v>1975420.0949772475</ns0:v>
      </ns0:c>
      <ns0:c r="AA981" s="7">
        <ns0:f>IF(T981&gt;=0,A981,1001)</ns0:f>
        <ns0:v>977</ns0:v>
      </ns0:c>
      <ns0:c r="AB981" s="7">
        <ns0:f>IF(T981&lt;0,A981,0)</ns0:f>
        <ns0:v>0</ns0:v>
      </ns0:c>
      <ns0:c r="AC981" s="16">
        <ns0:f>IF(AND(OR('前提と出典'!$C$36+'前提と出典'!$C$38=0,R981&gt;=0),OR('前提と出典'!$C$37+'前提と出典'!$C$38=0,S981&gt;=0)),0,A981)</ns0:f>
        <ns0:v>0</ns0:v>
      </ns0:c>
      <ns0:c r="AD981" s="7">
        <ns0:f>IF(W981&gt;=0,A981,1001)</ns0:f>
        <ns0:v>977</ns0:v>
      </ns0:c>
      <ns0:c r="AE981" s="7">
        <ns0:f>IF(W981&lt;0,A981,0)</ns0:f>
        <ns0:v>0</ns0:v>
      </ns0:c>
      <ns0:c r="AF981" s="16">
        <ns0:f>IF(AND(OR('前提と出典'!$C$36+'前提と出典'!$C$38=0,U981&gt;=0),OR('前提と出典'!$C$37+'前提と出典'!$C$38=0,V981&gt;=0)),0,A981)</ns0:f>
        <ns0:v>0</ns0:v>
      </ns0:c>
      <ns0:c r="AG981" s="7">
        <ns0:f>IF(Z981&gt;=0,A981,1001)</ns0:f>
        <ns0:v>977</ns0:v>
      </ns0:c>
      <ns0:c r="AH981" s="4">
        <ns0:f>IF(Z981&lt;0,A981,0)</ns0:f>
        <ns0:v>0</ns0:v>
      </ns0:c>
      <ns0:c r="AI981" s="12">
        <ns0:f>IF(AND(OR('前提と出典'!$C$36+'前提と出典'!$C$38=0,X981&gt;=0),OR('前提と出典'!$C$37+'前提と出典'!$C$38=0,Y981&gt;=0)),0,A981)</ns0:f>
        <ns0:v>0</ns0:v>
      </ns0:c>
    </ns0:row>
    <ns0:row r="982" ht="24" customHeight="1">
      <ns0:c r="A982" s="4" t="n">
        <ns0:v>978</ns0:v>
      </ns0:c>
      <ns0:c r="B982" s="12">
        <ns0:f>A982*('前提と出典'!$C$36+'前提と出典'!$C$38)</ns0:f>
        <ns0:v>684.5999999999999</ns0:v>
      </ns0:c>
      <ns0:c r="C982" s="12">
        <ns0:f>A982*('前提と出典'!$C$37+'前提と出典'!$C$38)</ns0:f>
        <ns0:v>586.8</ns0:v>
      </ns0:c>
      <ns0:c r="D982" s="16">
        <ns0:f>A982*('前提と出典'!$C$36*'契約別単価'!C5+'前提と出典'!$C$37*'契約別単価'!C6+'前提と出典'!$C$38*'契約別単価'!C7)</ns0:f>
        <ns0:v>7037.229050279329</ns0:v>
      </ns0:c>
      <ns0:c r="E982" s="16">
        <ns0:f>A982*('前提と出典'!$C$36*'契約別単価'!E5+'前提と出典'!$C$37*'契約別単価'!E6+'前提と出典'!$C$38*'契約別単価'!E7)</ns0:f>
        <ns0:v>2458567.718929613</ns0:v>
      </ns0:c>
      <ns0:c r="F982" s="16">
        <ns0:f>A982*('前提と出典'!$C$36*'契約別単価'!F5+'前提と出典'!$C$37*'契約別単価'!F6+'前提と出典'!$C$38*'契約別単価'!F7)</ns0:f>
        <ns0:v>714396.9345051581</ns0:v>
      </ns0:c>
      <ns0:c r="G982" s="16">
        <ns0:f>A982*('前提と出典'!$C$36*'契約別単価'!G5+'前提と出典'!$C$37*'契約別単価'!G6+'前提と出典'!$C$38*'契約別単価'!G7)</ns0:f>
        <ns0:v>1946711.7318435754</ns0:v>
      </ns0:c>
      <ns0:c r="H982" s="16">
        <ns0:f>A982*('前提と出典'!$C$36*'契約別単価'!H5+'前提と出典'!$C$37*'契約別単価'!H6+'前提と出典'!$C$38*'契約別単価'!H7)</ns0:f>
        <ns0:v>675606.6062154346</ns0:v>
      </ns0:c>
      <ns0:c r="I982" s="16">
        <ns0:f>A982*('前提と出典'!$C$36*'契約別単価'!I5+'前提と出典'!$C$37*'契約別単価'!I6+'前提と出典'!$C$38*'契約別単価'!I7)</ns0:f>
        <ns0:v>41267.229050279326</ns0:v>
      </ns0:c>
      <ns0:c r="J982" s="16">
        <ns0:f>A982*('前提と出典'!$C$36*'契約別単価'!J5+'前提と出典'!$C$37*'契約別単価'!J6+'前提と出典'!$C$38*'契約別単価'!J7)</ns0:f>
        <ns0:v>96127.17374867591</ns0:v>
      </ns0:c>
      <ns0:c r="K982" s="16">
        <ns0:f>A982*('前提と出典'!$C$36*'契約別単価'!K5+'前提と出典'!$C$37*'契約別単価'!K6+'前提と出典'!$C$38*'契約別単価'!K7)</ns0:f>
        <ns0:v>412034.8603351955</ns0:v>
      </ns0:c>
      <ns0:c r="L982" s="16">
        <ns0:f>A982*('前提と出典'!$C$36*'契約別単価'!L5+'前提と出典'!$C$37*'契約別単価'!L6+'前提と出典'!$C$38*'契約別単価'!L7)</ns0:f>
        <ns0:v>335480.2202071811</ns0:v>
      </ns0:c>
      <ns0:c r="M982" s="16">
        <ns0:f>IF(('前提と出典'!$C$36+'前提と出典'!$C$38)=0,0,IF(B982&lt;=10,'前提と出典'!B73+'前提と出典'!C73,IF(B982&lt;=100,'前提と出典'!B74+'前提と出典'!C74,IF(B982&lt;=500,'前提と出典'!B75+'前提と出典'!C75,'前提と出典'!B76+'前提と出典'!C76))))</ns0:f>
        <ns0:v>80000</ns0:v>
      </ns0:c>
      <ns0:c r="N982" s="16">
        <ns0:f>IF(('前提と出典'!$C$37+'前提と出典'!$C$38)=0,0,IF(C982&lt;=10,'前提と出典'!D73+'前提と出典'!E73,IF(C982&lt;=100,'前提と出典'!D74+'前提と出典'!E74,IF(C982&lt;=500,'前提と出典'!D75+'前提と出典'!E75,'前提と出典'!D76+'前提と出典'!E76))))</ns0:f>
        <ns0:v>86510.9346263078</ns0:v>
      </ns0:c>
      <ns0:c r="O982" s="16">
        <ns0:f>IF('前提と出典'!$C$36+'前提と出典'!$C$38=0,0,'前提と出典'!$B$4*IF('前提と出典'!$B$20=0,MAX('前提と出典'!$B$6,D982*'前提と出典'!$B$5),'前提と出典'!$B$6+D982*'前提と出典'!$B$5))</ns0:f>
        <ns0:v>971137.6089385475</ns0:v>
      </ns0:c>
      <ns0:c r="P982" s="16">
        <ns0:f>(E982+G982)*(1-'前提と出典'!$B$7)-I982-K982-M982-O982</ns0:f>
        <ns0:v>2742249.692221332</ns0:v>
      </ns0:c>
      <ns0:c r="Q982" s="16">
        <ns0:f>(F982+H982)*(1-'前提と出典'!$B$7)-J982-L982-N982</ns0:f>
        <ns0:v>821845.0846724866</ns0:v>
      </ns0:c>
      <ns0:c r="R982" s="16">
        <ns0:f>P982-E982*'前提と出典'!$E$4</ns0:f>
        <ns0:v>2004679.3765424483</ns0:v>
      </ns0:c>
      <ns0:c r="S982" s="16">
        <ns0:f>Q982-F982*'前提と出典'!$E$4</ns0:f>
        <ns0:v>607526.0043209393</ns0:v>
      </ns0:c>
      <ns0:c r="T982" s="7">
        <ns0:f>R982+S982</ns0:f>
        <ns0:v>2612205.3808633876</ns0:v>
      </ns0:c>
      <ns0:c r="U982" s="16">
        <ns0:f>P982-E982*'前提と出典'!$E$5</ns0:f>
        <ns0:v>1758822.6046494867</ns0:v>
      </ns0:c>
      <ns0:c r="V982" s="16">
        <ns0:f>Q982-F982*'前提と出典'!$E$5</ns0:f>
        <ns0:v>536086.3108704234</ns0:v>
      </ns0:c>
      <ns0:c r="W982" s="7">
        <ns0:f>U982+V982</ns0:f>
        <ns0:v>2294908.91551991</ns0:v>
      </ns0:c>
      <ns0:c r="X982" s="16">
        <ns0:f>P982-E982*'前提と出典'!$E$6</ns0:f>
        <ns0:v>1512965.8327565256</ns0:v>
      </ns0:c>
      <ns0:c r="Y982" s="16">
        <ns0:f>Q982-F982*'前提と出典'!$E$6</ns0:f>
        <ns0:v>464646.6174199076</ns0:v>
      </ns0:c>
      <ns0:c r="Z982" s="7">
        <ns0:f>X982+Y982</ns0:f>
        <ns0:v>1977612.4501764332</ns0:v>
      </ns0:c>
      <ns0:c r="AA982" s="7">
        <ns0:f>IF(T982&gt;=0,A982,1001)</ns0:f>
        <ns0:v>978</ns0:v>
      </ns0:c>
      <ns0:c r="AB982" s="7">
        <ns0:f>IF(T982&lt;0,A982,0)</ns0:f>
        <ns0:v>0</ns0:v>
      </ns0:c>
      <ns0:c r="AC982" s="16">
        <ns0:f>IF(AND(OR('前提と出典'!$C$36+'前提と出典'!$C$38=0,R982&gt;=0),OR('前提と出典'!$C$37+'前提と出典'!$C$38=0,S982&gt;=0)),0,A982)</ns0:f>
        <ns0:v>0</ns0:v>
      </ns0:c>
      <ns0:c r="AD982" s="7">
        <ns0:f>IF(W982&gt;=0,A982,1001)</ns0:f>
        <ns0:v>978</ns0:v>
      </ns0:c>
      <ns0:c r="AE982" s="7">
        <ns0:f>IF(W982&lt;0,A982,0)</ns0:f>
        <ns0:v>0</ns0:v>
      </ns0:c>
      <ns0:c r="AF982" s="16">
        <ns0:f>IF(AND(OR('前提と出典'!$C$36+'前提と出典'!$C$38=0,U982&gt;=0),OR('前提と出典'!$C$37+'前提と出典'!$C$38=0,V982&gt;=0)),0,A982)</ns0:f>
        <ns0:v>0</ns0:v>
      </ns0:c>
      <ns0:c r="AG982" s="7">
        <ns0:f>IF(Z982&gt;=0,A982,1001)</ns0:f>
        <ns0:v>978</ns0:v>
      </ns0:c>
      <ns0:c r="AH982" s="4">
        <ns0:f>IF(Z982&lt;0,A982,0)</ns0:f>
        <ns0:v>0</ns0:v>
      </ns0:c>
      <ns0:c r="AI982" s="12">
        <ns0:f>IF(AND(OR('前提と出典'!$C$36+'前提と出典'!$C$38=0,X982&gt;=0),OR('前提と出典'!$C$37+'前提と出典'!$C$38=0,Y982&gt;=0)),0,A982)</ns0:f>
        <ns0:v>0</ns0:v>
      </ns0:c>
    </ns0:row>
    <ns0:row r="983" ht="24" customHeight="1">
      <ns0:c r="A983" s="4" t="n">
        <ns0:v>979</ns0:v>
      </ns0:c>
      <ns0:c r="B983" s="12">
        <ns0:f>A983*('前提と出典'!$C$36+'前提と出典'!$C$38)</ns0:f>
        <ns0:v>685.3</ns0:v>
      </ns0:c>
      <ns0:c r="C983" s="12">
        <ns0:f>A983*('前提と出典'!$C$37+'前提と出典'!$C$38)</ns0:f>
        <ns0:v>587.4</ns0:v>
      </ns0:c>
      <ns0:c r="D983" s="16">
        <ns0:f>A983*('前提と出典'!$C$36*'契約別単価'!C5+'前提と出典'!$C$37*'契約別単価'!C6+'前提と出典'!$C$38*'契約別単価'!C7)</ns0:f>
        <ns0:v>7044.424581005586</ns0:v>
      </ns0:c>
      <ns0:c r="E983" s="16">
        <ns0:f>A983*('前提と出典'!$C$36*'契約別単価'!E5+'前提と出典'!$C$37*'契約別単価'!E6+'前提と出典'!$C$38*'契約別単価'!E7)</ns0:f>
        <ns0:v>2461081.591852854</ns0:v>
      </ns0:c>
      <ns0:c r="F983" s="16">
        <ns0:f>A983*('前提と出典'!$C$36*'契約別単価'!F5+'前提と出典'!$C$37*'契約別単価'!F6+'前提と出典'!$C$38*'契約別単価'!F7)</ns0:f>
        <ns0:v>715127.4017183535</ns0:v>
      </ns0:c>
      <ns0:c r="G983" s="16">
        <ns0:f>A983*('前提と出典'!$C$36*'契約別単価'!G5+'前提と出典'!$C$37*'契約別単価'!G6+'前提と出典'!$C$38*'契約別単価'!G7)</ns0:f>
        <ns0:v>1948702.2346368714</ns0:v>
      </ns0:c>
      <ns0:c r="H983" s="16">
        <ns0:f>A983*('前提と出典'!$C$36*'契約別単価'!H5+'前提と出典'!$C$37*'契約別単価'!H6+'前提と出典'!$C$38*'契約別単価'!H7)</ns0:f>
        <ns0:v>676297.4105162683</ns0:v>
      </ns0:c>
      <ns0:c r="I983" s="16">
        <ns0:f>A983*('前提と出典'!$C$36*'契約別単価'!I5+'前提と出典'!$C$37*'契約別単価'!I6+'前提と出典'!$C$38*'契約別単価'!I7)</ns0:f>
        <ns0:v>41309.42458100558</ns0:v>
      </ns0:c>
      <ns0:c r="J983" s="16">
        <ns0:f>A983*('前提と出典'!$C$36*'契約別単価'!J5+'前提と出典'!$C$37*'契約別単価'!J6+'前提と出典'!$C$38*'契約別単価'!J7)</ns0:f>
        <ns0:v>96225.46329238621</ns0:v>
      </ns0:c>
      <ns0:c r="K983" s="16">
        <ns0:f>A983*('前提と出典'!$C$36*'契約別単価'!K5+'前提と出典'!$C$37*'契約別単価'!K6+'前提と出典'!$C$38*'契約別単価'!K7)</ns0:f>
        <ns0:v>412456.16387337056</ns0:v>
      </ns0:c>
      <ns0:c r="L983" s="16">
        <ns0:f>A983*('前提と出典'!$C$36*'契約別単価'!L5+'前提と出典'!$C$37*'契約別単価'!L6+'前提と出典'!$C$38*'契約別単価'!L7)</ns0:f>
        <ns0:v>335823.24701720895</ns0:v>
      </ns0:c>
      <ns0:c r="M983" s="16">
        <ns0:f>IF(('前提と出典'!$C$36+'前提と出典'!$C$38)=0,0,IF(B983&lt;=10,'前提と出典'!B73+'前提と出典'!C73,IF(B983&lt;=100,'前提と出典'!B74+'前提と出典'!C74,IF(B983&lt;=500,'前提と出典'!B75+'前提と出典'!C75,'前提と出典'!B76+'前提と出典'!C76))))</ns0:f>
        <ns0:v>80000</ns0:v>
      </ns0:c>
      <ns0:c r="N983" s="16">
        <ns0:f>IF(('前提と出典'!$C$37+'前提と出典'!$C$38)=0,0,IF(C983&lt;=10,'前提と出典'!D73+'前提と出典'!E73,IF(C983&lt;=100,'前提と出典'!D74+'前提と出典'!E74,IF(C983&lt;=500,'前提と出典'!D75+'前提と出典'!E75,'前提と出典'!D76+'前提と出典'!E76))))</ns0:f>
        <ns0:v>86510.9346263078</ns0:v>
      </ns0:c>
      <ns0:c r="O983" s="16">
        <ns0:f>IF('前提と出典'!$C$36+'前提と出典'!$C$38=0,0,'前提と出典'!$B$4*IF('前提と出典'!$B$20=0,MAX('前提と出典'!$B$6,D983*'前提と出典'!$B$5),'前提と出典'!$B$6+D983*'前提と出典'!$B$5))</ns0:f>
        <ns0:v>972130.592178771</ns0:v>
      </ns0:c>
      <ns0:c r="P983" s="16">
        <ns0:f>(E983+G983)*(1-'前提と出典'!$B$7)-I983-K983-M983-O983</ns0:f>
        <ns0:v>2745135.4281029473</ns0:v>
      </ns0:c>
      <ns0:c r="Q983" s="16">
        <ns0:f>(F983+H983)*(1-'前提と出典'!$B$7)-J983-L983-N983</ns0:f>
        <ns0:v>822773.8740582727</ns0:v>
      </ns0:c>
      <ns0:c r="R983" s="16">
        <ns0:f>P983-E983*'前提と出典'!$E$4</ns0:f>
        <ns0:v>2006810.9505470914</ns0:v>
      </ns0:c>
      <ns0:c r="S983" s="16">
        <ns0:f>Q983-F983*'前提と出典'!$E$4</ns0:f>
        <ns0:v>608235.6535427666</ns0:v>
      </ns0:c>
      <ns0:c r="T983" s="7">
        <ns0:f>R983+S983</ns0:f>
        <ns0:v>2615046.604089858</ns0:v>
      </ns0:c>
      <ns0:c r="U983" s="16">
        <ns0:f>P983-E983*'前提と出典'!$E$5</ns0:f>
        <ns0:v>1760702.7913618058</ns0:v>
      </ns0:c>
      <ns0:c r="V983" s="16">
        <ns0:f>Q983-F983*'前提と出典'!$E$5</ns0:f>
        <ns0:v>536722.9133709313</ns0:v>
      </ns0:c>
      <ns0:c r="W983" s="7">
        <ns0:f>U983+V983</ns0:f>
        <ns0:v>2297425.704732737</ns0:v>
      </ns0:c>
      <ns0:c r="X983" s="16">
        <ns0:f>P983-E983*'前提と出典'!$E$6</ns0:f>
        <ns0:v>1514594.6321765205</ns0:v>
      </ns0:c>
      <ns0:c r="Y983" s="16">
        <ns0:f>Q983-F983*'前提と出典'!$E$6</ns0:f>
        <ns0:v>465210.173199096</ns0:v>
      </ns0:c>
      <ns0:c r="Z983" s="7">
        <ns0:f>X983+Y983</ns0:f>
        <ns0:v>1979804.8053756165</ns0:v>
      </ns0:c>
      <ns0:c r="AA983" s="7">
        <ns0:f>IF(T983&gt;=0,A983,1001)</ns0:f>
        <ns0:v>979</ns0:v>
      </ns0:c>
      <ns0:c r="AB983" s="7">
        <ns0:f>IF(T983&lt;0,A983,0)</ns0:f>
        <ns0:v>0</ns0:v>
      </ns0:c>
      <ns0:c r="AC983" s="16">
        <ns0:f>IF(AND(OR('前提と出典'!$C$36+'前提と出典'!$C$38=0,R983&gt;=0),OR('前提と出典'!$C$37+'前提と出典'!$C$38=0,S983&gt;=0)),0,A983)</ns0:f>
        <ns0:v>0</ns0:v>
      </ns0:c>
      <ns0:c r="AD983" s="7">
        <ns0:f>IF(W983&gt;=0,A983,1001)</ns0:f>
        <ns0:v>979</ns0:v>
      </ns0:c>
      <ns0:c r="AE983" s="7">
        <ns0:f>IF(W983&lt;0,A983,0)</ns0:f>
        <ns0:v>0</ns0:v>
      </ns0:c>
      <ns0:c r="AF983" s="16">
        <ns0:f>IF(AND(OR('前提と出典'!$C$36+'前提と出典'!$C$38=0,U983&gt;=0),OR('前提と出典'!$C$37+'前提と出典'!$C$38=0,V983&gt;=0)),0,A983)</ns0:f>
        <ns0:v>0</ns0:v>
      </ns0:c>
      <ns0:c r="AG983" s="7">
        <ns0:f>IF(Z983&gt;=0,A983,1001)</ns0:f>
        <ns0:v>979</ns0:v>
      </ns0:c>
      <ns0:c r="AH983" s="4">
        <ns0:f>IF(Z983&lt;0,A983,0)</ns0:f>
        <ns0:v>0</ns0:v>
      </ns0:c>
      <ns0:c r="AI983" s="12">
        <ns0:f>IF(AND(OR('前提と出典'!$C$36+'前提と出典'!$C$38=0,X983&gt;=0),OR('前提と出典'!$C$37+'前提と出典'!$C$38=0,Y983&gt;=0)),0,A983)</ns0:f>
        <ns0:v>0</ns0:v>
      </ns0:c>
    </ns0:row>
    <ns0:row r="984" ht="24" customHeight="1">
      <ns0:c r="A984" s="4" t="n">
        <ns0:v>980</ns0:v>
      </ns0:c>
      <ns0:c r="B984" s="12">
        <ns0:f>A984*('前提と出典'!$C$36+'前提と出典'!$C$38)</ns0:f>
        <ns0:v>686</ns0:v>
      </ns0:c>
      <ns0:c r="C984" s="12">
        <ns0:f>A984*('前提と出典'!$C$37+'前提と出典'!$C$38)</ns0:f>
        <ns0:v>588</ns0:v>
      </ns0:c>
      <ns0:c r="D984" s="16">
        <ns0:f>A984*('前提と出典'!$C$36*'契約別単価'!C5+'前提と出典'!$C$37*'契約別単価'!C6+'前提と出典'!$C$38*'契約別単価'!C7)</ns0:f>
        <ns0:v>7051.620111731843</ns0:v>
      </ns0:c>
      <ns0:c r="E984" s="16">
        <ns0:f>A984*('前提と出典'!$C$36*'契約別単価'!E5+'前提と出典'!$C$37*'契約別単価'!E6+'前提と出典'!$C$38*'契約別単価'!E7)</ns0:f>
        <ns0:v>2463595.464776095</ns0:v>
      </ns0:c>
      <ns0:c r="F984" s="16">
        <ns0:f>A984*('前提と出典'!$C$36*'契約別単価'!F5+'前提と出典'!$C$37*'契約別単価'!F6+'前提と出典'!$C$38*'契約別単価'!F7)</ns0:f>
        <ns0:v>715857.868931549</ns0:v>
      </ns0:c>
      <ns0:c r="G984" s="16">
        <ns0:f>A984*('前提と出典'!$C$36*'契約別単価'!G5+'前提と出典'!$C$37*'契約別単価'!G6+'前提と出典'!$C$38*'契約別単価'!G7)</ns0:f>
        <ns0:v>1950692.7374301676</ns0:v>
      </ns0:c>
      <ns0:c r="H984" s="16">
        <ns0:f>A984*('前提と出典'!$C$36*'契約別単価'!H5+'前提と出典'!$C$37*'契約別単価'!H6+'前提と出典'!$C$38*'契約別単価'!H7)</ns0:f>
        <ns0:v>676988.2148171022</ns0:v>
      </ns0:c>
      <ns0:c r="I984" s="16">
        <ns0:f>A984*('前提と出典'!$C$36*'契約別単価'!I5+'前提と出典'!$C$37*'契約別単価'!I6+'前提と出典'!$C$38*'契約別単価'!I7)</ns0:f>
        <ns0:v>41351.620111731834</ns0:v>
      </ns0:c>
      <ns0:c r="J984" s="16">
        <ns0:f>A984*('前提と出典'!$C$36*'契約別単価'!J5+'前提と出典'!$C$37*'契約別単価'!J6+'前提と出典'!$C$38*'契約別単価'!J7)</ns0:f>
        <ns0:v>96323.75283609652</ns0:v>
      </ns0:c>
      <ns0:c r="K984" s="16">
        <ns0:f>A984*('前提と出典'!$C$36*'契約別単価'!K5+'前提と出典'!$C$37*'契約別単価'!K6+'前提と出典'!$C$38*'契約別単価'!K7)</ns0:f>
        <ns0:v>412877.4674115456</ns0:v>
      </ns0:c>
      <ns0:c r="L984" s="16">
        <ns0:f>A984*('前提と出典'!$C$36*'契約別単価'!L5+'前提と出典'!$C$37*'契約別単価'!L6+'前提と出典'!$C$38*'契約別単価'!L7)</ns0:f>
        <ns0:v>336166.2738272367</ns0:v>
      </ns0:c>
      <ns0:c r="M984" s="16">
        <ns0:f>IF(('前提と出典'!$C$36+'前提と出典'!$C$38)=0,0,IF(B984&lt;=10,'前提と出典'!B73+'前提と出典'!C73,IF(B984&lt;=100,'前提と出典'!B74+'前提と出典'!C74,IF(B984&lt;=500,'前提と出典'!B75+'前提と出典'!C75,'前提と出典'!B76+'前提と出典'!C76))))</ns0:f>
        <ns0:v>80000</ns0:v>
      </ns0:c>
      <ns0:c r="N984" s="16">
        <ns0:f>IF(('前提と出典'!$C$37+'前提と出典'!$C$38)=0,0,IF(C984&lt;=10,'前提と出典'!D73+'前提と出典'!E73,IF(C984&lt;=100,'前提と出典'!D74+'前提と出典'!E74,IF(C984&lt;=500,'前提と出典'!D75+'前提と出典'!E75,'前提と出典'!D76+'前提と出典'!E76))))</ns0:f>
        <ns0:v>86510.9346263078</ns0:v>
      </ns0:c>
      <ns0:c r="O984" s="16">
        <ns0:f>IF('前提と出典'!$C$36+'前提と出典'!$C$38=0,0,'前提と出典'!$B$4*IF('前提と出典'!$B$20=0,MAX('前提と出典'!$B$6,D984*'前提と出典'!$B$5),'前提と出典'!$B$6+D984*'前提と出典'!$B$5))</ns0:f>
        <ns0:v>973123.5754189944</ns0:v>
      </ns0:c>
      <ns0:c r="P984" s="16">
        <ns0:f>(E984+G984)*(1-'前提と出典'!$B$7)-I984-K984-M984-O984</ns0:f>
        <ns0:v>2748021.163984565</ns0:v>
      </ns0:c>
      <ns0:c r="Q984" s="16">
        <ns0:f>(F984+H984)*(1-'前提と出典'!$B$7)-J984-L984-N984</ns0:f>
        <ns0:v>823702.6634440586</ns0:v>
      </ns0:c>
      <ns0:c r="R984" s="16">
        <ns0:f>P984-E984*'前提と出典'!$E$4</ns0:f>
        <ns0:v>2008942.5245517367</ns0:v>
      </ns0:c>
      <ns0:c r="S984" s="16">
        <ns0:f>Q984-F984*'前提と出典'!$E$4</ns0:f>
        <ns0:v>608945.302764594</ns0:v>
      </ns0:c>
      <ns0:c r="T984" s="7">
        <ns0:f>R984+S984</ns0:f>
        <ns0:v>2617887.8273163307</ns0:v>
      </ns0:c>
      <ns0:c r="U984" s="16">
        <ns0:f>P984-E984*'前提と出典'!$E$5</ns0:f>
        <ns0:v>1762582.9780741269</ns0:v>
      </ns0:c>
      <ns0:c r="V984" s="16">
        <ns0:f>Q984-F984*'前提と出典'!$E$5</ns0:f>
        <ns0:v>537359.515871439</ns0:v>
      </ns0:c>
      <ns0:c r="W984" s="7">
        <ns0:f>U984+V984</ns0:f>
        <ns0:v>2299942.493945566</ns0:v>
      </ns0:c>
      <ns0:c r="X984" s="16">
        <ns0:f>P984-E984*'前提と出典'!$E$6</ns0:f>
        <ns0:v>1516223.4315965176</ns0:v>
      </ns0:c>
      <ns0:c r="Y984" s="16">
        <ns0:f>Q984-F984*'前提と出典'!$E$6</ns0:f>
        <ns0:v>465773.72897828405</ns0:v>
      </ns0:c>
      <ns0:c r="Z984" s="7">
        <ns0:f>X984+Y984</ns0:f>
        <ns0:v>1981997.1605748017</ns0:v>
      </ns0:c>
      <ns0:c r="AA984" s="7">
        <ns0:f>IF(T984&gt;=0,A984,1001)</ns0:f>
        <ns0:v>980</ns0:v>
      </ns0:c>
      <ns0:c r="AB984" s="7">
        <ns0:f>IF(T984&lt;0,A984,0)</ns0:f>
        <ns0:v>0</ns0:v>
      </ns0:c>
      <ns0:c r="AC984" s="16">
        <ns0:f>IF(AND(OR('前提と出典'!$C$36+'前提と出典'!$C$38=0,R984&gt;=0),OR('前提と出典'!$C$37+'前提と出典'!$C$38=0,S984&gt;=0)),0,A984)</ns0:f>
        <ns0:v>0</ns0:v>
      </ns0:c>
      <ns0:c r="AD984" s="7">
        <ns0:f>IF(W984&gt;=0,A984,1001)</ns0:f>
        <ns0:v>980</ns0:v>
      </ns0:c>
      <ns0:c r="AE984" s="7">
        <ns0:f>IF(W984&lt;0,A984,0)</ns0:f>
        <ns0:v>0</ns0:v>
      </ns0:c>
      <ns0:c r="AF984" s="16">
        <ns0:f>IF(AND(OR('前提と出典'!$C$36+'前提と出典'!$C$38=0,U984&gt;=0),OR('前提と出典'!$C$37+'前提と出典'!$C$38=0,V984&gt;=0)),0,A984)</ns0:f>
        <ns0:v>0</ns0:v>
      </ns0:c>
      <ns0:c r="AG984" s="7">
        <ns0:f>IF(Z984&gt;=0,A984,1001)</ns0:f>
        <ns0:v>980</ns0:v>
      </ns0:c>
      <ns0:c r="AH984" s="4">
        <ns0:f>IF(Z984&lt;0,A984,0)</ns0:f>
        <ns0:v>0</ns0:v>
      </ns0:c>
      <ns0:c r="AI984" s="12">
        <ns0:f>IF(AND(OR('前提と出典'!$C$36+'前提と出典'!$C$38=0,X984&gt;=0),OR('前提と出典'!$C$37+'前提と出典'!$C$38=0,Y984&gt;=0)),0,A984)</ns0:f>
        <ns0:v>0</ns0:v>
      </ns0:c>
    </ns0:row>
    <ns0:row r="985" ht="24" customHeight="1">
      <ns0:c r="A985" s="4" t="n">
        <ns0:v>981</ns0:v>
      </ns0:c>
      <ns0:c r="B985" s="12">
        <ns0:f>A985*('前提と出典'!$C$36+'前提と出典'!$C$38)</ns0:f>
        <ns0:v>686.6999999999999</ns0:v>
      </ns0:c>
      <ns0:c r="C985" s="12">
        <ns0:f>A985*('前提と出典'!$C$37+'前提と出典'!$C$38)</ns0:f>
        <ns0:v>588.6</ns0:v>
      </ns0:c>
      <ns0:c r="D985" s="16">
        <ns0:f>A985*('前提と出典'!$C$36*'契約別単価'!C5+'前提と出典'!$C$37*'契約別単価'!C6+'前提と出典'!$C$38*'契約別単価'!C7)</ns0:f>
        <ns0:v>7058.8156424581</ns0:v>
      </ns0:c>
      <ns0:c r="E985" s="16">
        <ns0:f>A985*('前提と出典'!$C$36*'契約別単価'!E5+'前提と出典'!$C$37*'契約別単価'!E6+'前提と出典'!$C$38*'契約別単価'!E7)</ns0:f>
        <ns0:v>2466109.337699336</ns0:v>
      </ns0:c>
      <ns0:c r="F985" s="16">
        <ns0:f>A985*('前提と出典'!$C$36*'契約別単価'!F5+'前提と出典'!$C$37*'契約別単価'!F6+'前提と出典'!$C$38*'契約別単価'!F7)</ns0:f>
        <ns0:v>716588.3361447444</ns0:v>
      </ns0:c>
      <ns0:c r="G985" s="16">
        <ns0:f>A985*('前提と出典'!$C$36*'契約別単価'!G5+'前提と出典'!$C$37*'契約別単価'!G6+'前提と出典'!$C$38*'契約別単価'!G7)</ns0:f>
        <ns0:v>1952683.2402234636</ns0:v>
      </ns0:c>
      <ns0:c r="H985" s="16">
        <ns0:f>A985*('前提と出典'!$C$36*'契約別単価'!H5+'前提と出典'!$C$37*'契約別単価'!H6+'前提と出典'!$C$38*'契約別単価'!H7)</ns0:f>
        <ns0:v>677679.0191179359</ns0:v>
      </ns0:c>
      <ns0:c r="I985" s="16">
        <ns0:f>A985*('前提と出典'!$C$36*'契約別単価'!I5+'前提と出典'!$C$37*'契約別単価'!I6+'前提と出典'!$C$38*'契約別単価'!I7)</ns0:f>
        <ns0:v>41393.815642458096</ns0:v>
      </ns0:c>
      <ns0:c r="J985" s="16">
        <ns0:f>A985*('前提と出典'!$C$36*'契約別単価'!J5+'前提と出典'!$C$37*'契約別単価'!J6+'前提と出典'!$C$38*'契約別単価'!J7)</ns0:f>
        <ns0:v>96422.04237980682</ns0:v>
      </ns0:c>
      <ns0:c r="K985" s="16">
        <ns0:f>A985*('前提と出典'!$C$36*'契約別単価'!K5+'前提と出典'!$C$37*'契約別単価'!K6+'前提と出典'!$C$38*'契約別単価'!K7)</ns0:f>
        <ns0:v>413298.77094972064</ns0:v>
      </ns0:c>
      <ns0:c r="L985" s="16">
        <ns0:f>A985*('前提と出典'!$C$36*'契約別単価'!L5+'前提と出典'!$C$37*'契約別単価'!L6+'前提と出典'!$C$38*'契約別単価'!L7)</ns0:f>
        <ns0:v>336509.3006372645</ns0:v>
      </ns0:c>
      <ns0:c r="M985" s="16">
        <ns0:f>IF(('前提と出典'!$C$36+'前提と出典'!$C$38)=0,0,IF(B985&lt;=10,'前提と出典'!B73+'前提と出典'!C73,IF(B985&lt;=100,'前提と出典'!B74+'前提と出典'!C74,IF(B985&lt;=500,'前提と出典'!B75+'前提と出典'!C75,'前提と出典'!B76+'前提と出典'!C76))))</ns0:f>
        <ns0:v>80000</ns0:v>
      </ns0:c>
      <ns0:c r="N985" s="16">
        <ns0:f>IF(('前提と出典'!$C$37+'前提と出典'!$C$38)=0,0,IF(C985&lt;=10,'前提と出典'!D73+'前提と出典'!E73,IF(C985&lt;=100,'前提と出典'!D74+'前提と出典'!E74,IF(C985&lt;=500,'前提と出典'!D75+'前提と出典'!E75,'前提と出典'!D76+'前提と出典'!E76))))</ns0:f>
        <ns0:v>86510.9346263078</ns0:v>
      </ns0:c>
      <ns0:c r="O985" s="16">
        <ns0:f>IF('前提と出典'!$C$36+'前提と出典'!$C$38=0,0,'前提と出典'!$B$4*IF('前提と出典'!$B$20=0,MAX('前提と出典'!$B$6,D985*'前提と出典'!$B$5),'前提と出典'!$B$6+D985*'前提と出典'!$B$5))</ns0:f>
        <ns0:v>974116.5586592179</ns0:v>
      </ns0:c>
      <ns0:c r="P985" s="16">
        <ns0:f>(E985+G985)*(1-'前提と出典'!$B$7)-I985-K985-M985-O985</ns0:f>
        <ns0:v>2750906.899866183</ns0:v>
      </ns0:c>
      <ns0:c r="Q985" s="16">
        <ns0:f>(F985+H985)*(1-'前提と出典'!$B$7)-J985-L985-N985</ns0:f>
        <ns0:v>824631.4528298446</ns0:v>
      </ns0:c>
      <ns0:c r="R985" s="16">
        <ns0:f>P985-E985*'前提と出典'!$E$4</ns0:f>
        <ns0:v>2011074.098556382</ns0:v>
      </ns0:c>
      <ns0:c r="S985" s="16">
        <ns0:f>Q985-F985*'前提と出典'!$E$4</ns0:f>
        <ns0:v>609654.9519864212</ns0:v>
      </ns0:c>
      <ns0:c r="T985" s="7">
        <ns0:f>R985+S985</ns0:f>
        <ns0:v>2620729.0505428035</ns0:v>
      </ns0:c>
      <ns0:c r="U985" s="16">
        <ns0:f>P985-E985*'前提と出典'!$E$5</ns0:f>
        <ns0:v>1764463.1647864482</ns0:v>
      </ns0:c>
      <ns0:c r="V985" s="16">
        <ns0:f>Q985-F985*'前提と出典'!$E$5</ns0:f>
        <ns0:v>537996.1183719469</ns0:v>
      </ns0:c>
      <ns0:c r="W985" s="7">
        <ns0:f>U985+V985</ns0:f>
        <ns0:v>2302459.283158395</ns0:v>
      </ns0:c>
      <ns0:c r="X985" s="16">
        <ns0:f>P985-E985*'前提と出典'!$E$6</ns0:f>
        <ns0:v>1517852.2310165144</ns0:v>
      </ns0:c>
      <ns0:c r="Y985" s="16">
        <ns0:f>Q985-F985*'前提と出典'!$E$6</ns0:f>
        <ns0:v>466337.2847574726</ns0:v>
      </ns0:c>
      <ns0:c r="Z985" s="7">
        <ns0:f>X985+Y985</ns0:f>
        <ns0:v>1984189.515773987</ns0:v>
      </ns0:c>
      <ns0:c r="AA985" s="7">
        <ns0:f>IF(T985&gt;=0,A985,1001)</ns0:f>
        <ns0:v>981</ns0:v>
      </ns0:c>
      <ns0:c r="AB985" s="7">
        <ns0:f>IF(T985&lt;0,A985,0)</ns0:f>
        <ns0:v>0</ns0:v>
      </ns0:c>
      <ns0:c r="AC985" s="16">
        <ns0:f>IF(AND(OR('前提と出典'!$C$36+'前提と出典'!$C$38=0,R985&gt;=0),OR('前提と出典'!$C$37+'前提と出典'!$C$38=0,S985&gt;=0)),0,A985)</ns0:f>
        <ns0:v>0</ns0:v>
      </ns0:c>
      <ns0:c r="AD985" s="7">
        <ns0:f>IF(W985&gt;=0,A985,1001)</ns0:f>
        <ns0:v>981</ns0:v>
      </ns0:c>
      <ns0:c r="AE985" s="7">
        <ns0:f>IF(W985&lt;0,A985,0)</ns0:f>
        <ns0:v>0</ns0:v>
      </ns0:c>
      <ns0:c r="AF985" s="16">
        <ns0:f>IF(AND(OR('前提と出典'!$C$36+'前提と出典'!$C$38=0,U985&gt;=0),OR('前提と出典'!$C$37+'前提と出典'!$C$38=0,V985&gt;=0)),0,A985)</ns0:f>
        <ns0:v>0</ns0:v>
      </ns0:c>
      <ns0:c r="AG985" s="7">
        <ns0:f>IF(Z985&gt;=0,A985,1001)</ns0:f>
        <ns0:v>981</ns0:v>
      </ns0:c>
      <ns0:c r="AH985" s="4">
        <ns0:f>IF(Z985&lt;0,A985,0)</ns0:f>
        <ns0:v>0</ns0:v>
      </ns0:c>
      <ns0:c r="AI985" s="12">
        <ns0:f>IF(AND(OR('前提と出典'!$C$36+'前提と出典'!$C$38=0,X985&gt;=0),OR('前提と出典'!$C$37+'前提と出典'!$C$38=0,Y985&gt;=0)),0,A985)</ns0:f>
        <ns0:v>0</ns0:v>
      </ns0:c>
    </ns0:row>
    <ns0:row r="986" ht="24" customHeight="1">
      <ns0:c r="A986" s="4" t="n">
        <ns0:v>982</ns0:v>
      </ns0:c>
      <ns0:c r="B986" s="12">
        <ns0:f>A986*('前提と出典'!$C$36+'前提と出典'!$C$38)</ns0:f>
        <ns0:v>687.4</ns0:v>
      </ns0:c>
      <ns0:c r="C986" s="12">
        <ns0:f>A986*('前提と出典'!$C$37+'前提と出典'!$C$38)</ns0:f>
        <ns0:v>589.1999999999999</ns0:v>
      </ns0:c>
      <ns0:c r="D986" s="16">
        <ns0:f>A986*('前提と出典'!$C$36*'契約別単価'!C5+'前提と出典'!$C$37*'契約別単価'!C6+'前提と出典'!$C$38*'契約別単価'!C7)</ns0:f>
        <ns0:v>7066.011173184357</ns0:v>
      </ns0:c>
      <ns0:c r="E986" s="16">
        <ns0:f>A986*('前提と出典'!$C$36*'契約別単価'!E5+'前提と出典'!$C$37*'契約別単価'!E6+'前提と出典'!$C$38*'契約別単価'!E7)</ns0:f>
        <ns0:v>2468623.210622577</ns0:v>
      </ns0:c>
      <ns0:c r="F986" s="16">
        <ns0:f>A986*('前提と出典'!$C$36*'契約別単価'!F5+'前提と出典'!$C$37*'契約別単価'!F6+'前提と出典'!$C$38*'契約別単価'!F7)</ns0:f>
        <ns0:v>717318.8033579399</ns0:v>
      </ns0:c>
      <ns0:c r="G986" s="16">
        <ns0:f>A986*('前提と出典'!$C$36*'契約別単価'!G5+'前提と出典'!$C$37*'契約別単価'!G6+'前提と出典'!$C$38*'契約別単価'!G7)</ns0:f>
        <ns0:v>1954673.7430167596</ns0:v>
      </ns0:c>
      <ns0:c r="H986" s="16">
        <ns0:f>A986*('前提と出典'!$C$36*'契約別単価'!H5+'前提と出典'!$C$37*'契約別単価'!H6+'前提と出典'!$C$38*'契約別単価'!H7)</ns0:f>
        <ns0:v>678369.8234187696</ns0:v>
      </ns0:c>
      <ns0:c r="I986" s="16">
        <ns0:f>A986*('前提と出典'!$C$36*'契約別単価'!I5+'前提と出典'!$C$37*'契約別単価'!I6+'前提と出典'!$C$38*'契約別単価'!I7)</ns0:f>
        <ns0:v>41436.01117318435</ns0:v>
      </ns0:c>
      <ns0:c r="J986" s="16">
        <ns0:f>A986*('前提と出典'!$C$36*'契約別単価'!J5+'前提と出典'!$C$37*'契約別単価'!J6+'前提と出典'!$C$38*'契約別単価'!J7)</ns0:f>
        <ns0:v>96520.33192351712</ns0:v>
      </ns0:c>
      <ns0:c r="K986" s="16">
        <ns0:f>A986*('前提と出典'!$C$36*'契約別単価'!K5+'前提と出典'!$C$37*'契約別単価'!K6+'前提と出典'!$C$38*'契約別単価'!K7)</ns0:f>
        <ns0:v>413720.0744878957</ns0:v>
      </ns0:c>
      <ns0:c r="L986" s="16">
        <ns0:f>A986*('前提と出典'!$C$36*'契約別単価'!L5+'前提と出典'!$C$37*'契約別単価'!L6+'前提と出典'!$C$38*'契約別単価'!L7)</ns0:f>
        <ns0:v>336852.32744729234</ns0:v>
      </ns0:c>
      <ns0:c r="M986" s="16">
        <ns0:f>IF(('前提と出典'!$C$36+'前提と出典'!$C$38)=0,0,IF(B986&lt;=10,'前提と出典'!B73+'前提と出典'!C73,IF(B986&lt;=100,'前提と出典'!B74+'前提と出典'!C74,IF(B986&lt;=500,'前提と出典'!B75+'前提と出典'!C75,'前提と出典'!B76+'前提と出典'!C76))))</ns0:f>
        <ns0:v>80000</ns0:v>
      </ns0:c>
      <ns0:c r="N986" s="16">
        <ns0:f>IF(('前提と出典'!$C$37+'前提と出典'!$C$38)=0,0,IF(C986&lt;=10,'前提と出典'!D73+'前提と出典'!E73,IF(C986&lt;=100,'前提と出典'!D74+'前提と出典'!E74,IF(C986&lt;=500,'前提と出典'!D75+'前提と出典'!E75,'前提と出典'!D76+'前提と出典'!E76))))</ns0:f>
        <ns0:v>86510.9346263078</ns0:v>
      </ns0:c>
      <ns0:c r="O986" s="16">
        <ns0:f>IF('前提と出典'!$C$36+'前提と出典'!$C$38=0,0,'前提と出典'!$B$4*IF('前提と出典'!$B$20=0,MAX('前提と出典'!$B$6,D986*'前提と出典'!$B$5),'前提と出典'!$B$6+D986*'前提と出典'!$B$5))</ns0:f>
        <ns0:v>975109.5418994413</ns0:v>
      </ns0:c>
      <ns0:c r="P986" s="16">
        <ns0:f>(E986+G986)*(1-'前提と出典'!$B$7)-I986-K986-M986-O986</ns0:f>
        <ns0:v>2753792.635747799</ns0:v>
      </ns0:c>
      <ns0:c r="Q986" s="16">
        <ns0:f>(F986+H986)*(1-'前提と出典'!$B$7)-J986-L986-N986</ns0:f>
        <ns0:v>825560.2422156308</ns0:v>
      </ns0:c>
      <ns0:c r="R986" s="16">
        <ns0:f>P986-E986*'前提と出典'!$E$4</ns0:f>
        <ns0:v>2013205.6725610262</ns0:v>
      </ns0:c>
      <ns0:c r="S986" s="16">
        <ns0:f>Q986-F986*'前提と出典'!$E$4</ns0:f>
        <ns0:v>610364.6012082489</ns0:v>
      </ns0:c>
      <ns0:c r="T986" s="7">
        <ns0:f>R986+S986</ns0:f>
        <ns0:v>2623570.2737692753</ns0:v>
      </ns0:c>
      <ns0:c r="U986" s="16">
        <ns0:f>P986-E986*'前提と出典'!$E$5</ns0:f>
        <ns0:v>1766343.3514987682</ns0:v>
      </ns0:c>
      <ns0:c r="V986" s="16">
        <ns0:f>Q986-F986*'前提と出典'!$E$5</ns0:f>
        <ns0:v>538632.7208724548</ns0:v>
      </ns0:c>
      <ns0:c r="W986" s="7">
        <ns0:f>U986+V986</ns0:f>
        <ns0:v>2304976.072371223</ns0:v>
      </ns0:c>
      <ns0:c r="X986" s="16">
        <ns0:f>P986-E986*'前提と出典'!$E$6</ns0:f>
        <ns0:v>1519481.0304365107</ns0:v>
      </ns0:c>
      <ns0:c r="Y986" s="16">
        <ns0:f>Q986-F986*'前提と出典'!$E$6</ns0:f>
        <ns0:v>466900.840536661</ns0:v>
      </ns0:c>
      <ns0:c r="Z986" s="7">
        <ns0:f>X986+Y986</ns0:f>
        <ns0:v>1986381.8709731717</ns0:v>
      </ns0:c>
      <ns0:c r="AA986" s="7">
        <ns0:f>IF(T986&gt;=0,A986,1001)</ns0:f>
        <ns0:v>982</ns0:v>
      </ns0:c>
      <ns0:c r="AB986" s="7">
        <ns0:f>IF(T986&lt;0,A986,0)</ns0:f>
        <ns0:v>0</ns0:v>
      </ns0:c>
      <ns0:c r="AC986" s="16">
        <ns0:f>IF(AND(OR('前提と出典'!$C$36+'前提と出典'!$C$38=0,R986&gt;=0),OR('前提と出典'!$C$37+'前提と出典'!$C$38=0,S986&gt;=0)),0,A986)</ns0:f>
        <ns0:v>0</ns0:v>
      </ns0:c>
      <ns0:c r="AD986" s="7">
        <ns0:f>IF(W986&gt;=0,A986,1001)</ns0:f>
        <ns0:v>982</ns0:v>
      </ns0:c>
      <ns0:c r="AE986" s="7">
        <ns0:f>IF(W986&lt;0,A986,0)</ns0:f>
        <ns0:v>0</ns0:v>
      </ns0:c>
      <ns0:c r="AF986" s="16">
        <ns0:f>IF(AND(OR('前提と出典'!$C$36+'前提と出典'!$C$38=0,U986&gt;=0),OR('前提と出典'!$C$37+'前提と出典'!$C$38=0,V986&gt;=0)),0,A986)</ns0:f>
        <ns0:v>0</ns0:v>
      </ns0:c>
      <ns0:c r="AG986" s="7">
        <ns0:f>IF(Z986&gt;=0,A986,1001)</ns0:f>
        <ns0:v>982</ns0:v>
      </ns0:c>
      <ns0:c r="AH986" s="4">
        <ns0:f>IF(Z986&lt;0,A986,0)</ns0:f>
        <ns0:v>0</ns0:v>
      </ns0:c>
      <ns0:c r="AI986" s="12">
        <ns0:f>IF(AND(OR('前提と出典'!$C$36+'前提と出典'!$C$38=0,X986&gt;=0),OR('前提と出典'!$C$37+'前提と出典'!$C$38=0,Y986&gt;=0)),0,A986)</ns0:f>
        <ns0:v>0</ns0:v>
      </ns0:c>
    </ns0:row>
    <ns0:row r="987" ht="24" customHeight="1">
      <ns0:c r="A987" s="4" t="n">
        <ns0:v>983</ns0:v>
      </ns0:c>
      <ns0:c r="B987" s="12">
        <ns0:f>A987*('前提と出典'!$C$36+'前提と出典'!$C$38)</ns0:f>
        <ns0:v>688.0999999999999</ns0:v>
      </ns0:c>
      <ns0:c r="C987" s="12">
        <ns0:f>A987*('前提と出典'!$C$37+'前提と出典'!$C$38)</ns0:f>
        <ns0:v>589.8</ns0:v>
      </ns0:c>
      <ns0:c r="D987" s="16">
        <ns0:f>A987*('前提と出典'!$C$36*'契約別単価'!C5+'前提と出典'!$C$37*'契約別単価'!C6+'前提と出典'!$C$38*'契約別単価'!C7)</ns0:f>
        <ns0:v>7073.206703910614</ns0:v>
      </ns0:c>
      <ns0:c r="E987" s="16">
        <ns0:f>A987*('前提と出典'!$C$36*'契約別単価'!E5+'前提と出典'!$C$37*'契約別単価'!E6+'前提と出典'!$C$38*'契約別単価'!E7)</ns0:f>
        <ns0:v>2471137.0835458175</ns0:v>
      </ns0:c>
      <ns0:c r="F987" s="16">
        <ns0:f>A987*('前提と出典'!$C$36*'契約別単価'!F5+'前提と出典'!$C$37*'契約別単価'!F6+'前提と出典'!$C$38*'契約別単価'!F7)</ns0:f>
        <ns0:v>718049.2705711353</ns0:v>
      </ns0:c>
      <ns0:c r="G987" s="16">
        <ns0:f>A987*('前提と出典'!$C$36*'契約別単価'!G5+'前提と出典'!$C$37*'契約別単価'!G6+'前提と出典'!$C$38*'契約別単価'!G7)</ns0:f>
        <ns0:v>1956664.2458100559</ns0:v>
      </ns0:c>
      <ns0:c r="H987" s="16">
        <ns0:f>A987*('前提と出典'!$C$36*'契約別単価'!H5+'前提と出典'!$C$37*'契約別単価'!H6+'前提と出典'!$C$38*'契約別単価'!H7)</ns0:f>
        <ns0:v>679060.6277196035</ns0:v>
      </ns0:c>
      <ns0:c r="I987" s="16">
        <ns0:f>A987*('前提と出典'!$C$36*'契約別単価'!I5+'前提と出典'!$C$37*'契約別単価'!I6+'前提と出典'!$C$38*'契約別単価'!I7)</ns0:f>
        <ns0:v>41478.206703910604</ns0:v>
      </ns0:c>
      <ns0:c r="J987" s="16">
        <ns0:f>A987*('前提と出典'!$C$36*'契約別単価'!J5+'前提と出典'!$C$37*'契約別単価'!J6+'前提と出典'!$C$38*'契約別単価'!J7)</ns0:f>
        <ns0:v>96618.62146722742</ns0:v>
      </ns0:c>
      <ns0:c r="K987" s="16">
        <ns0:f>A987*('前提と出典'!$C$36*'契約別単価'!K5+'前提と出典'!$C$37*'契約別単価'!K6+'前提と出典'!$C$38*'契約別単価'!K7)</ns0:f>
        <ns0:v>414141.3780260707</ns0:v>
      </ns0:c>
      <ns0:c r="L987" s="16">
        <ns0:f>A987*('前提と出典'!$C$36*'契約別単価'!L5+'前提と出典'!$C$37*'契約別単価'!L6+'前提と出典'!$C$38*'契約別単価'!L7)</ns0:f>
        <ns0:v>337195.3542573201</ns0:v>
      </ns0:c>
      <ns0:c r="M987" s="16">
        <ns0:f>IF(('前提と出典'!$C$36+'前提と出典'!$C$38)=0,0,IF(B987&lt;=10,'前提と出典'!B73+'前提と出典'!C73,IF(B987&lt;=100,'前提と出典'!B74+'前提と出典'!C74,IF(B987&lt;=500,'前提と出典'!B75+'前提と出典'!C75,'前提と出典'!B76+'前提と出典'!C76))))</ns0:f>
        <ns0:v>80000</ns0:v>
      </ns0:c>
      <ns0:c r="N987" s="16">
        <ns0:f>IF(('前提と出典'!$C$37+'前提と出典'!$C$38)=0,0,IF(C987&lt;=10,'前提と出典'!D73+'前提と出典'!E73,IF(C987&lt;=100,'前提と出典'!D74+'前提と出典'!E74,IF(C987&lt;=500,'前提と出典'!D75+'前提と出典'!E75,'前提と出典'!D76+'前提と出典'!E76))))</ns0:f>
        <ns0:v>86510.9346263078</ns0:v>
      </ns0:c>
      <ns0:c r="O987" s="16">
        <ns0:f>IF('前提と出典'!$C$36+'前提と出典'!$C$38=0,0,'前提と出典'!$B$4*IF('前提と出典'!$B$20=0,MAX('前提と出典'!$B$6,D987*'前提と出典'!$B$5),'前提と出典'!$B$6+D987*'前提と出典'!$B$5))</ns0:f>
        <ns0:v>976102.5251396648</ns0:v>
      </ns0:c>
      <ns0:c r="P987" s="16">
        <ns0:f>(E987+G987)*(1-'前提と出典'!$B$7)-I987-K987-M987-O987</ns0:f>
        <ns0:v>2756678.371629416</ns0:v>
      </ns0:c>
      <ns0:c r="Q987" s="16">
        <ns0:f>(F987+H987)*(1-'前提と出典'!$B$7)-J987-L987-N987</ns0:f>
        <ns0:v>826489.0316014169</ns0:v>
      </ns0:c>
      <ns0:c r="R987" s="16">
        <ns0:f>P987-E987*'前提と出典'!$E$4</ns0:f>
        <ns0:v>2015337.2465656707</ns0:v>
      </ns0:c>
      <ns0:c r="S987" s="16">
        <ns0:f>Q987-F987*'前提と出典'!$E$4</ns0:f>
        <ns0:v>611074.2504300764</ns0:v>
      </ns0:c>
      <ns0:c r="T987" s="7">
        <ns0:f>R987+S987</ns0:f>
        <ns0:v>2626411.496995747</ns0:v>
      </ns0:c>
      <ns0:c r="U987" s="16">
        <ns0:f>P987-E987*'前提と出典'!$E$5</ns0:f>
        <ns0:v>1768223.538211089</ns0:v>
      </ns0:c>
      <ns0:c r="V987" s="16">
        <ns0:f>Q987-F987*'前提と出典'!$E$5</ns0:f>
        <ns0:v>539269.3233729627</ns0:v>
      </ns0:c>
      <ns0:c r="W987" s="7">
        <ns0:f>U987+V987</ns0:f>
        <ns0:v>2307492.8615840515</ns0:v>
      </ns0:c>
      <ns0:c r="X987" s="16">
        <ns0:f>P987-E987*'前提と出典'!$E$6</ns0:f>
        <ns0:v>1521109.8298565075</ns0:v>
      </ns0:c>
      <ns0:c r="Y987" s="16">
        <ns0:f>Q987-F987*'前提と出典'!$E$6</ns0:f>
        <ns0:v>467464.39631584915</ns0:v>
      </ns0:c>
      <ns0:c r="Z987" s="7">
        <ns0:f>X987+Y987</ns0:f>
        <ns0:v>1988574.2261723566</ns0:v>
      </ns0:c>
      <ns0:c r="AA987" s="7">
        <ns0:f>IF(T987&gt;=0,A987,1001)</ns0:f>
        <ns0:v>983</ns0:v>
      </ns0:c>
      <ns0:c r="AB987" s="7">
        <ns0:f>IF(T987&lt;0,A987,0)</ns0:f>
        <ns0:v>0</ns0:v>
      </ns0:c>
      <ns0:c r="AC987" s="16">
        <ns0:f>IF(AND(OR('前提と出典'!$C$36+'前提と出典'!$C$38=0,R987&gt;=0),OR('前提と出典'!$C$37+'前提と出典'!$C$38=0,S987&gt;=0)),0,A987)</ns0:f>
        <ns0:v>0</ns0:v>
      </ns0:c>
      <ns0:c r="AD987" s="7">
        <ns0:f>IF(W987&gt;=0,A987,1001)</ns0:f>
        <ns0:v>983</ns0:v>
      </ns0:c>
      <ns0:c r="AE987" s="7">
        <ns0:f>IF(W987&lt;0,A987,0)</ns0:f>
        <ns0:v>0</ns0:v>
      </ns0:c>
      <ns0:c r="AF987" s="16">
        <ns0:f>IF(AND(OR('前提と出典'!$C$36+'前提と出典'!$C$38=0,U987&gt;=0),OR('前提と出典'!$C$37+'前提と出典'!$C$38=0,V987&gt;=0)),0,A987)</ns0:f>
        <ns0:v>0</ns0:v>
      </ns0:c>
      <ns0:c r="AG987" s="7">
        <ns0:f>IF(Z987&gt;=0,A987,1001)</ns0:f>
        <ns0:v>983</ns0:v>
      </ns0:c>
      <ns0:c r="AH987" s="4">
        <ns0:f>IF(Z987&lt;0,A987,0)</ns0:f>
        <ns0:v>0</ns0:v>
      </ns0:c>
      <ns0:c r="AI987" s="12">
        <ns0:f>IF(AND(OR('前提と出典'!$C$36+'前提と出典'!$C$38=0,X987&gt;=0),OR('前提と出典'!$C$37+'前提と出典'!$C$38=0,Y987&gt;=0)),0,A987)</ns0:f>
        <ns0:v>0</ns0:v>
      </ns0:c>
    </ns0:row>
    <ns0:row r="988" ht="24" customHeight="1">
      <ns0:c r="A988" s="4" t="n">
        <ns0:v>984</ns0:v>
      </ns0:c>
      <ns0:c r="B988" s="12">
        <ns0:f>A988*('前提と出典'!$C$36+'前提と出典'!$C$38)</ns0:f>
        <ns0:v>688.8</ns0:v>
      </ns0:c>
      <ns0:c r="C988" s="12">
        <ns0:f>A988*('前提と出典'!$C$37+'前提と出典'!$C$38)</ns0:f>
        <ns0:v>590.4</ns0:v>
      </ns0:c>
      <ns0:c r="D988" s="16">
        <ns0:f>A988*('前提と出典'!$C$36*'契約別単価'!C5+'前提と出典'!$C$37*'契約別単価'!C6+'前提と出典'!$C$38*'契約別単価'!C7)</ns0:f>
        <ns0:v>7080.402234636871</ns0:v>
      </ns0:c>
      <ns0:c r="E988" s="16">
        <ns0:f>A988*('前提と出典'!$C$36*'契約別単価'!E5+'前提と出典'!$C$37*'契約別単価'!E6+'前提と出典'!$C$38*'契約別単価'!E7)</ns0:f>
        <ns0:v>2473650.9564690585</ns0:v>
      </ns0:c>
      <ns0:c r="F988" s="16">
        <ns0:f>A988*('前提と出典'!$C$36*'契約別単価'!F5+'前提と出典'!$C$37*'契約別単価'!F6+'前提と出典'!$C$38*'契約別単価'!F7)</ns0:f>
        <ns0:v>718779.7377843308</ns0:v>
      </ns0:c>
      <ns0:c r="G988" s="16">
        <ns0:f>A988*('前提と出典'!$C$36*'契約別単価'!G5+'前提と出典'!$C$37*'契約別単価'!G6+'前提と出典'!$C$38*'契約別単価'!G7)</ns0:f>
        <ns0:v>1958654.7486033519</ns0:v>
      </ns0:c>
      <ns0:c r="H988" s="16">
        <ns0:f>A988*('前提と出典'!$C$36*'契約別単価'!H5+'前提と出典'!$C$37*'契約別単価'!H6+'前提と出典'!$C$38*'契約別単価'!H7)</ns0:f>
        <ns0:v>679751.4320204372</ns0:v>
      </ns0:c>
      <ns0:c r="I988" s="16">
        <ns0:f>A988*('前提と出典'!$C$36*'契約別単価'!I5+'前提と出典'!$C$37*'契約別単価'!I6+'前提と出典'!$C$38*'契約別単価'!I7)</ns0:f>
        <ns0:v>41520.402234636866</ns0:v>
      </ns0:c>
      <ns0:c r="J988" s="16">
        <ns0:f>A988*('前提と出典'!$C$36*'契約別単価'!J5+'前提と出典'!$C$37*'契約別単価'!J6+'前提と出典'!$C$38*'契約別単価'!J7)</ns0:f>
        <ns0:v>96716.91101093772</ns0:v>
      </ns0:c>
      <ns0:c r="K988" s="16">
        <ns0:f>A988*('前提と出典'!$C$36*'契約別単価'!K5+'前提と出典'!$C$37*'契約別単価'!K6+'前提と出典'!$C$38*'契約別単価'!K7)</ns0:f>
        <ns0:v>414562.6815642458</ns0:v>
      </ns0:c>
      <ns0:c r="L988" s="16">
        <ns0:f>A988*('前提と出典'!$C$36*'契約別単価'!L5+'前提と出典'!$C$37*'契約別単価'!L6+'前提と出典'!$C$38*'契約別単価'!L7)</ns0:f>
        <ns0:v>337538.3810673479</ns0:v>
      </ns0:c>
      <ns0:c r="M988" s="16">
        <ns0:f>IF(('前提と出典'!$C$36+'前提と出典'!$C$38)=0,0,IF(B988&lt;=10,'前提と出典'!B73+'前提と出典'!C73,IF(B988&lt;=100,'前提と出典'!B74+'前提と出典'!C74,IF(B988&lt;=500,'前提と出典'!B75+'前提と出典'!C75,'前提と出典'!B76+'前提と出典'!C76))))</ns0:f>
        <ns0:v>80000</ns0:v>
      </ns0:c>
      <ns0:c r="N988" s="16">
        <ns0:f>IF(('前提と出典'!$C$37+'前提と出典'!$C$38)=0,0,IF(C988&lt;=10,'前提と出典'!D73+'前提と出典'!E73,IF(C988&lt;=100,'前提と出典'!D74+'前提と出典'!E74,IF(C988&lt;=500,'前提と出典'!D75+'前提と出典'!E75,'前提と出典'!D76+'前提と出典'!E76))))</ns0:f>
        <ns0:v>86510.9346263078</ns0:v>
      </ns0:c>
      <ns0:c r="O988" s="16">
        <ns0:f>IF('前提と出典'!$C$36+'前提と出典'!$C$38=0,0,'前提と出典'!$B$4*IF('前提と出典'!$B$20=0,MAX('前提と出典'!$B$6,D988*'前提と出典'!$B$5),'前提と出典'!$B$6+D988*'前提と出典'!$B$5))</ns0:f>
        <ns0:v>977095.5083798883</ns0:v>
      </ns0:c>
      <ns0:c r="P988" s="16">
        <ns0:f>(E988+G988)*(1-'前提と出典'!$B$7)-I988-K988-M988-O988</ns0:f>
        <ns0:v>2759564.107511033</ns0:v>
      </ns0:c>
      <ns0:c r="Q988" s="16">
        <ns0:f>(F988+H988)*(1-'前提と出典'!$B$7)-J988-L988-N988</ns0:f>
        <ns0:v>827417.8209872029</ns0:v>
      </ns0:c>
      <ns0:c r="R988" s="16">
        <ns0:f>P988-E988*'前提と出典'!$E$4</ns0:f>
        <ns0:v>2017468.8205703152</ns0:v>
      </ns0:c>
      <ns0:c r="S988" s="16">
        <ns0:f>Q988-F988*'前提と出典'!$E$4</ns0:f>
        <ns0:v>611783.8996519037</ns0:v>
      </ns0:c>
      <ns0:c r="T988" s="7">
        <ns0:f>R988+S988</ns0:f>
        <ns0:v>2629252.720222219</ns0:v>
      </ns0:c>
      <ns0:c r="U988" s="16">
        <ns0:f>P988-E988*'前提と出典'!$E$5</ns0:f>
        <ns0:v>1770103.7249234095</ns0:v>
      </ns0:c>
      <ns0:c r="V988" s="16">
        <ns0:f>Q988-F988*'前提と出典'!$E$5</ns0:f>
        <ns0:v>539905.9258734705</ns0:v>
      </ns0:c>
      <ns0:c r="W988" s="7">
        <ns0:f>U988+V988</ns0:f>
        <ns0:v>2310009.65079688</ns0:v>
      </ns0:c>
      <ns0:c r="X988" s="16">
        <ns0:f>P988-E988*'前提と出典'!$E$6</ns0:f>
        <ns0:v>1522738.6292765033</ns0:v>
      </ns0:c>
      <ns0:c r="Y988" s="16">
        <ns0:f>Q988-F988*'前提と出典'!$E$6</ns0:f>
        <ns0:v>468027.9520950378</ns0:v>
      </ns0:c>
      <ns0:c r="Z988" s="7">
        <ns0:f>X988+Y988</ns0:f>
        <ns0:v>1990766.5813715411</ns0:v>
      </ns0:c>
      <ns0:c r="AA988" s="7">
        <ns0:f>IF(T988&gt;=0,A988,1001)</ns0:f>
        <ns0:v>984</ns0:v>
      </ns0:c>
      <ns0:c r="AB988" s="7">
        <ns0:f>IF(T988&lt;0,A988,0)</ns0:f>
        <ns0:v>0</ns0:v>
      </ns0:c>
      <ns0:c r="AC988" s="16">
        <ns0:f>IF(AND(OR('前提と出典'!$C$36+'前提と出典'!$C$38=0,R988&gt;=0),OR('前提と出典'!$C$37+'前提と出典'!$C$38=0,S988&gt;=0)),0,A988)</ns0:f>
        <ns0:v>0</ns0:v>
      </ns0:c>
      <ns0:c r="AD988" s="7">
        <ns0:f>IF(W988&gt;=0,A988,1001)</ns0:f>
        <ns0:v>984</ns0:v>
      </ns0:c>
      <ns0:c r="AE988" s="7">
        <ns0:f>IF(W988&lt;0,A988,0)</ns0:f>
        <ns0:v>0</ns0:v>
      </ns0:c>
      <ns0:c r="AF988" s="16">
        <ns0:f>IF(AND(OR('前提と出典'!$C$36+'前提と出典'!$C$38=0,U988&gt;=0),OR('前提と出典'!$C$37+'前提と出典'!$C$38=0,V988&gt;=0)),0,A988)</ns0:f>
        <ns0:v>0</ns0:v>
      </ns0:c>
      <ns0:c r="AG988" s="7">
        <ns0:f>IF(Z988&gt;=0,A988,1001)</ns0:f>
        <ns0:v>984</ns0:v>
      </ns0:c>
      <ns0:c r="AH988" s="4">
        <ns0:f>IF(Z988&lt;0,A988,0)</ns0:f>
        <ns0:v>0</ns0:v>
      </ns0:c>
      <ns0:c r="AI988" s="12">
        <ns0:f>IF(AND(OR('前提と出典'!$C$36+'前提と出典'!$C$38=0,X988&gt;=0),OR('前提と出典'!$C$37+'前提と出典'!$C$38=0,Y988&gt;=0)),0,A988)</ns0:f>
        <ns0:v>0</ns0:v>
      </ns0:c>
    </ns0:row>
    <ns0:row r="989" ht="24" customHeight="1">
      <ns0:c r="A989" s="4" t="n">
        <ns0:v>985</ns0:v>
      </ns0:c>
      <ns0:c r="B989" s="12">
        <ns0:f>A989*('前提と出典'!$C$36+'前提と出典'!$C$38)</ns0:f>
        <ns0:v>689.5</ns0:v>
      </ns0:c>
      <ns0:c r="C989" s="12">
        <ns0:f>A989*('前提と出典'!$C$37+'前提と出典'!$C$38)</ns0:f>
        <ns0:v>591</ns0:v>
      </ns0:c>
      <ns0:c r="D989" s="16">
        <ns0:f>A989*('前提と出典'!$C$36*'契約別単価'!C5+'前提と出典'!$C$37*'契約別単価'!C6+'前提と出典'!$C$38*'契約別単価'!C7)</ns0:f>
        <ns0:v>7087.597765363128</ns0:v>
      </ns0:c>
      <ns0:c r="E989" s="16">
        <ns0:f>A989*('前提と出典'!$C$36*'契約別単価'!E5+'前提と出典'!$C$37*'契約別単価'!E6+'前提と出典'!$C$38*'契約別単価'!E7)</ns0:f>
        <ns0:v>2476164.8293922995</ns0:v>
      </ns0:c>
      <ns0:c r="F989" s="16">
        <ns0:f>A989*('前提と出典'!$C$36*'契約別単価'!F5+'前提と出典'!$C$37*'契約別単価'!F6+'前提と出典'!$C$38*'契約別単価'!F7)</ns0:f>
        <ns0:v>719510.2049975262</ns0:v>
      </ns0:c>
      <ns0:c r="G989" s="16">
        <ns0:f>A989*('前提と出典'!$C$36*'契約別単価'!G5+'前提と出典'!$C$37*'契約別単価'!G6+'前提と出典'!$C$38*'契約別単価'!G7)</ns0:f>
        <ns0:v>1960645.251396648</ns0:v>
      </ns0:c>
      <ns0:c r="H989" s="16">
        <ns0:f>A989*('前提と出典'!$C$36*'契約別単価'!H5+'前提と出典'!$C$37*'契約別単価'!H6+'前提と出典'!$C$38*'契約別単価'!H7)</ns0:f>
        <ns0:v>680442.236321271</ns0:v>
      </ns0:c>
      <ns0:c r="I989" s="16">
        <ns0:f>A989*('前提と出典'!$C$36*'契約別単価'!I5+'前提と出典'!$C$37*'契約別単価'!I6+'前提と出典'!$C$38*'契約別単価'!I7)</ns0:f>
        <ns0:v>41562.59776536312</ns0:v>
      </ns0:c>
      <ns0:c r="J989" s="16">
        <ns0:f>A989*('前提と出典'!$C$36*'契約別単価'!J5+'前提と出典'!$C$37*'契約別単価'!J6+'前提と出典'!$C$38*'契約別単価'!J7)</ns0:f>
        <ns0:v>96815.20055464802</ns0:v>
      </ns0:c>
      <ns0:c r="K989" s="16">
        <ns0:f>A989*('前提と出典'!$C$36*'契約別単価'!K5+'前提と出典'!$C$37*'契約別単価'!K6+'前提と出典'!$C$38*'契約別単価'!K7)</ns0:f>
        <ns0:v>414983.98510242085</ns0:v>
      </ns0:c>
      <ns0:c r="L989" s="16">
        <ns0:f>A989*('前提と出典'!$C$36*'契約別単価'!L5+'前提と出典'!$C$37*'契約別単価'!L6+'前提と出典'!$C$38*'契約別単価'!L7)</ns0:f>
        <ns0:v>337881.40787737566</ns0:v>
      </ns0:c>
      <ns0:c r="M989" s="16">
        <ns0:f>IF(('前提と出典'!$C$36+'前提と出典'!$C$38)=0,0,IF(B989&lt;=10,'前提と出典'!B73+'前提と出典'!C73,IF(B989&lt;=100,'前提と出典'!B74+'前提と出典'!C74,IF(B989&lt;=500,'前提と出典'!B75+'前提と出典'!C75,'前提と出典'!B76+'前提と出典'!C76))))</ns0:f>
        <ns0:v>80000</ns0:v>
      </ns0:c>
      <ns0:c r="N989" s="16">
        <ns0:f>IF(('前提と出典'!$C$37+'前提と出典'!$C$38)=0,0,IF(C989&lt;=10,'前提と出典'!D73+'前提と出典'!E73,IF(C989&lt;=100,'前提と出典'!D74+'前提と出典'!E74,IF(C989&lt;=500,'前提と出典'!D75+'前提と出典'!E75,'前提と出典'!D76+'前提と出典'!E76))))</ns0:f>
        <ns0:v>86510.9346263078</ns0:v>
      </ns0:c>
      <ns0:c r="O989" s="16">
        <ns0:f>IF('前提と出典'!$C$36+'前提と出典'!$C$38=0,0,'前提と出典'!$B$4*IF('前提と出典'!$B$20=0,MAX('前提と出典'!$B$6,D989*'前提と出典'!$B$5),'前提と出典'!$B$6+D989*'前提と出典'!$B$5))</ns0:f>
        <ns0:v>978088.4916201117</ns0:v>
      </ns0:c>
      <ns0:c r="P989" s="16">
        <ns0:f>(E989+G989)*(1-'前提と出典'!$B$7)-I989-K989-M989-O989</ns0:f>
        <ns0:v>2762449.8433926497</ns0:v>
      </ns0:c>
      <ns0:c r="Q989" s="16">
        <ns0:f>(F989+H989)*(1-'前提と出典'!$B$7)-J989-L989-N989</ns0:f>
        <ns0:v>828346.6103729893</ns0:v>
      </ns0:c>
      <ns0:c r="R989" s="16">
        <ns0:f>P989-E989*'前提と出典'!$E$4</ns0:f>
        <ns0:v>2019600.3945749598</ns0:v>
      </ns0:c>
      <ns0:c r="S989" s="16">
        <ns0:f>Q989-F989*'前提と出典'!$E$4</ns0:f>
        <ns0:v>612493.5488737314</ns0:v>
      </ns0:c>
      <ns0:c r="T989" s="7">
        <ns0:f>R989+S989</ns0:f>
        <ns0:v>2632093.943448691</ns0:v>
      </ns0:c>
      <ns0:c r="U989" s="16">
        <ns0:f>P989-E989*'前提と出典'!$E$5</ns0:f>
        <ns0:v>1771983.91163573</ns0:v>
      </ns0:c>
      <ns0:c r="V989" s="16">
        <ns0:f>Q989-F989*'前提と出典'!$E$5</ns0:f>
        <ns0:v>540542.5283739788</ns0:v>
      </ns0:c>
      <ns0:c r="W989" s="7">
        <ns0:f>U989+V989</ns0:f>
        <ns0:v>2312526.4400097085</ns0:v>
      </ns0:c>
      <ns0:c r="X989" s="16">
        <ns0:f>P989-E989*'前提と出典'!$E$6</ns0:f>
        <ns0:v>1524367.4286965001</ns0:v>
      </ns0:c>
      <ns0:c r="Y989" s="16">
        <ns0:f>Q989-F989*'前提と出典'!$E$6</ns0:f>
        <ns0:v>468591.50787422596</ns0:v>
      </ns0:c>
      <ns0:c r="Z989" s="7">
        <ns0:f>X989+Y989</ns0:f>
        <ns0:v>1992958.936570726</ns0:v>
      </ns0:c>
      <ns0:c r="AA989" s="7">
        <ns0:f>IF(T989&gt;=0,A989,1001)</ns0:f>
        <ns0:v>985</ns0:v>
      </ns0:c>
      <ns0:c r="AB989" s="7">
        <ns0:f>IF(T989&lt;0,A989,0)</ns0:f>
        <ns0:v>0</ns0:v>
      </ns0:c>
      <ns0:c r="AC989" s="16">
        <ns0:f>IF(AND(OR('前提と出典'!$C$36+'前提と出典'!$C$38=0,R989&gt;=0),OR('前提と出典'!$C$37+'前提と出典'!$C$38=0,S989&gt;=0)),0,A989)</ns0:f>
        <ns0:v>0</ns0:v>
      </ns0:c>
      <ns0:c r="AD989" s="7">
        <ns0:f>IF(W989&gt;=0,A989,1001)</ns0:f>
        <ns0:v>985</ns0:v>
      </ns0:c>
      <ns0:c r="AE989" s="7">
        <ns0:f>IF(W989&lt;0,A989,0)</ns0:f>
        <ns0:v>0</ns0:v>
      </ns0:c>
      <ns0:c r="AF989" s="16">
        <ns0:f>IF(AND(OR('前提と出典'!$C$36+'前提と出典'!$C$38=0,U989&gt;=0),OR('前提と出典'!$C$37+'前提と出典'!$C$38=0,V989&gt;=0)),0,A989)</ns0:f>
        <ns0:v>0</ns0:v>
      </ns0:c>
      <ns0:c r="AG989" s="7">
        <ns0:f>IF(Z989&gt;=0,A989,1001)</ns0:f>
        <ns0:v>985</ns0:v>
      </ns0:c>
      <ns0:c r="AH989" s="4">
        <ns0:f>IF(Z989&lt;0,A989,0)</ns0:f>
        <ns0:v>0</ns0:v>
      </ns0:c>
      <ns0:c r="AI989" s="12">
        <ns0:f>IF(AND(OR('前提と出典'!$C$36+'前提と出典'!$C$38=0,X989&gt;=0),OR('前提と出典'!$C$37+'前提と出典'!$C$38=0,Y989&gt;=0)),0,A989)</ns0:f>
        <ns0:v>0</ns0:v>
      </ns0:c>
    </ns0:row>
    <ns0:row r="990" ht="24" customHeight="1">
      <ns0:c r="A990" s="4" t="n">
        <ns0:v>986</ns0:v>
      </ns0:c>
      <ns0:c r="B990" s="12">
        <ns0:f>A990*('前提と出典'!$C$36+'前提と出典'!$C$38)</ns0:f>
        <ns0:v>690.1999999999999</ns0:v>
      </ns0:c>
      <ns0:c r="C990" s="12">
        <ns0:f>A990*('前提と出典'!$C$37+'前提と出典'!$C$38)</ns0:f>
        <ns0:v>591.6</ns0:v>
      </ns0:c>
      <ns0:c r="D990" s="16">
        <ns0:f>A990*('前提と出典'!$C$36*'契約別単価'!C5+'前提と出典'!$C$37*'契約別単価'!C6+'前提と出典'!$C$38*'契約別単価'!C7)</ns0:f>
        <ns0:v>7094.793296089386</ns0:v>
      </ns0:c>
      <ns0:c r="E990" s="16">
        <ns0:f>A990*('前提と出典'!$C$36*'契約別単価'!E5+'前提と出典'!$C$37*'契約別単価'!E6+'前提と出典'!$C$38*'契約別単価'!E7)</ns0:f>
        <ns0:v>2478678.7023155405</ns0:v>
      </ns0:c>
      <ns0:c r="F990" s="16">
        <ns0:f>A990*('前提と出典'!$C$36*'契約別単価'!F5+'前提と出典'!$C$37*'契約別単価'!F6+'前提と出典'!$C$38*'契約別単価'!F7)</ns0:f>
        <ns0:v>720240.6722107218</ns0:v>
      </ns0:c>
      <ns0:c r="G990" s="16">
        <ns0:f>A990*('前提と出典'!$C$36*'契約別単価'!G5+'前提と出典'!$C$37*'契約別単価'!G6+'前提と出典'!$C$38*'契約別単価'!G7)</ns0:f>
        <ns0:v>1962635.7541899441</ns0:v>
      </ns0:c>
      <ns0:c r="H990" s="16">
        <ns0:f>A990*('前提と出典'!$C$36*'契約別単価'!H5+'前提と出典'!$C$37*'契約別単価'!H6+'前提と出典'!$C$38*'契約別単価'!H7)</ns0:f>
        <ns0:v>681133.0406221048</ns0:v>
      </ns0:c>
      <ns0:c r="I990" s="16">
        <ns0:f>A990*('前提と出典'!$C$36*'契約別単価'!I5+'前提と出典'!$C$37*'契約別単価'!I6+'前提と出典'!$C$38*'契約別単価'!I7)</ns0:f>
        <ns0:v>41604.79329608938</ns0:v>
      </ns0:c>
      <ns0:c r="J990" s="16">
        <ns0:f>A990*('前提と出典'!$C$36*'契約別単価'!J5+'前提と出典'!$C$37*'契約別単価'!J6+'前提と出典'!$C$38*'契約別単価'!J7)</ns0:f>
        <ns0:v>96913.49009835834</ns0:v>
      </ns0:c>
      <ns0:c r="K990" s="16">
        <ns0:f>A990*('前提と出典'!$C$36*'契約別単価'!K5+'前提と出典'!$C$37*'契約別単価'!K6+'前提と出典'!$C$38*'契約別単価'!K7)</ns0:f>
        <ns0:v>415405.28864059586</ns0:v>
      </ns0:c>
      <ns0:c r="L990" s="16">
        <ns0:f>A990*('前提と出典'!$C$36*'契約別単価'!L5+'前提と出典'!$C$37*'契約別単価'!L6+'前提と出典'!$C$38*'契約別単価'!L7)</ns0:f>
        <ns0:v>338224.4346874035</ns0:v>
      </ns0:c>
      <ns0:c r="M990" s="16">
        <ns0:f>IF(('前提と出典'!$C$36+'前提と出典'!$C$38)=0,0,IF(B990&lt;=10,'前提と出典'!B73+'前提と出典'!C73,IF(B990&lt;=100,'前提と出典'!B74+'前提と出典'!C74,IF(B990&lt;=500,'前提と出典'!B75+'前提と出典'!C75,'前提と出典'!B76+'前提と出典'!C76))))</ns0:f>
        <ns0:v>80000</ns0:v>
      </ns0:c>
      <ns0:c r="N990" s="16">
        <ns0:f>IF(('前提と出典'!$C$37+'前提と出典'!$C$38)=0,0,IF(C990&lt;=10,'前提と出典'!D73+'前提と出典'!E73,IF(C990&lt;=100,'前提と出典'!D74+'前提と出典'!E74,IF(C990&lt;=500,'前提と出典'!D75+'前提と出典'!E75,'前提と出典'!D76+'前提と出典'!E76))))</ns0:f>
        <ns0:v>86510.9346263078</ns0:v>
      </ns0:c>
      <ns0:c r="O990" s="16">
        <ns0:f>IF('前提と出典'!$C$36+'前提と出典'!$C$38=0,0,'前提と出典'!$B$4*IF('前提と出典'!$B$20=0,MAX('前提と出典'!$B$6,D990*'前提と出典'!$B$5),'前提と出典'!$B$6+D990*'前提と出典'!$B$5))</ns0:f>
        <ns0:v>979081.4748603354</ns0:v>
      </ns0:c>
      <ns0:c r="P990" s="16">
        <ns0:f>(E990+G990)*(1-'前提と出典'!$B$7)-I990-K990-M990-O990</ns0:f>
        <ns0:v>2765335.579274267</ns0:v>
      </ns0:c>
      <ns0:c r="Q990" s="16">
        <ns0:f>(F990+H990)*(1-'前提と出典'!$B$7)-J990-L990-N990</ns0:f>
        <ns0:v>829275.3997587754</ns0:v>
      </ns0:c>
      <ns0:c r="R990" s="16">
        <ns0:f>P990-E990*'前提と出典'!$E$4</ns0:f>
        <ns0:v>2021731.9685796048</ns0:v>
      </ns0:c>
      <ns0:c r="S990" s="16">
        <ns0:f>Q990-F990*'前提と出典'!$E$4</ns0:f>
        <ns0:v>613203.1980955587</ns0:v>
      </ns0:c>
      <ns0:c r="T990" s="7">
        <ns0:f>R990+S990</ns0:f>
        <ns0:v>2634935.1666751634</ns0:v>
      </ns0:c>
      <ns0:c r="U990" s="16">
        <ns0:f>P990-E990*'前提と出典'!$E$5</ns0:f>
        <ns0:v>1773864.0983480508</ns0:v>
      </ns0:c>
      <ns0:c r="V990" s="16">
        <ns0:f>Q990-F990*'前提と出典'!$E$5</ns0:f>
        <ns0:v>541179.1308744866</ns0:v>
      </ns0:c>
      <ns0:c r="W990" s="7">
        <ns0:f>U990+V990</ns0:f>
        <ns0:v>2315043.2292225375</ns0:v>
      </ns0:c>
      <ns0:c r="X990" s="16">
        <ns0:f>P990-E990*'前提と出典'!$E$6</ns0:f>
        <ns0:v>1525996.2281164965</ns0:v>
      </ns0:c>
      <ns0:c r="Y990" s="16">
        <ns0:f>Q990-F990*'前提と出典'!$E$6</ns0:f>
        <ns0:v>469155.06365341437</ns0:v>
      </ns0:c>
      <ns0:c r="Z990" s="7">
        <ns0:f>X990+Y990</ns0:f>
        <ns0:v>1995151.2917699108</ns0:v>
      </ns0:c>
      <ns0:c r="AA990" s="7">
        <ns0:f>IF(T990&gt;=0,A990,1001)</ns0:f>
        <ns0:v>986</ns0:v>
      </ns0:c>
      <ns0:c r="AB990" s="7">
        <ns0:f>IF(T990&lt;0,A990,0)</ns0:f>
        <ns0:v>0</ns0:v>
      </ns0:c>
      <ns0:c r="AC990" s="16">
        <ns0:f>IF(AND(OR('前提と出典'!$C$36+'前提と出典'!$C$38=0,R990&gt;=0),OR('前提と出典'!$C$37+'前提と出典'!$C$38=0,S990&gt;=0)),0,A990)</ns0:f>
        <ns0:v>0</ns0:v>
      </ns0:c>
      <ns0:c r="AD990" s="7">
        <ns0:f>IF(W990&gt;=0,A990,1001)</ns0:f>
        <ns0:v>986</ns0:v>
      </ns0:c>
      <ns0:c r="AE990" s="7">
        <ns0:f>IF(W990&lt;0,A990,0)</ns0:f>
        <ns0:v>0</ns0:v>
      </ns0:c>
      <ns0:c r="AF990" s="16">
        <ns0:f>IF(AND(OR('前提と出典'!$C$36+'前提と出典'!$C$38=0,U990&gt;=0),OR('前提と出典'!$C$37+'前提と出典'!$C$38=0,V990&gt;=0)),0,A990)</ns0:f>
        <ns0:v>0</ns0:v>
      </ns0:c>
      <ns0:c r="AG990" s="7">
        <ns0:f>IF(Z990&gt;=0,A990,1001)</ns0:f>
        <ns0:v>986</ns0:v>
      </ns0:c>
      <ns0:c r="AH990" s="4">
        <ns0:f>IF(Z990&lt;0,A990,0)</ns0:f>
        <ns0:v>0</ns0:v>
      </ns0:c>
      <ns0:c r="AI990" s="12">
        <ns0:f>IF(AND(OR('前提と出典'!$C$36+'前提と出典'!$C$38=0,X990&gt;=0),OR('前提と出典'!$C$37+'前提と出典'!$C$38=0,Y990&gt;=0)),0,A990)</ns0:f>
        <ns0:v>0</ns0:v>
      </ns0:c>
    </ns0:row>
    <ns0:row r="991" ht="24" customHeight="1">
      <ns0:c r="A991" s="4" t="n">
        <ns0:v>987</ns0:v>
      </ns0:c>
      <ns0:c r="B991" s="12">
        <ns0:f>A991*('前提と出典'!$C$36+'前提と出典'!$C$38)</ns0:f>
        <ns0:v>690.9</ns0:v>
      </ns0:c>
      <ns0:c r="C991" s="12">
        <ns0:f>A991*('前提と出典'!$C$37+'前提と出典'!$C$38)</ns0:f>
        <ns0:v>592.1999999999999</ns0:v>
      </ns0:c>
      <ns0:c r="D991" s="16">
        <ns0:f>A991*('前提と出典'!$C$36*'契約別単価'!C5+'前提と出典'!$C$37*'契約別単価'!C6+'前提と出典'!$C$38*'契約別単価'!C7)</ns0:f>
        <ns0:v>7101.988826815643</ns0:v>
      </ns0:c>
      <ns0:c r="E991" s="16">
        <ns0:f>A991*('前提と出典'!$C$36*'契約別単価'!E5+'前提と出典'!$C$37*'契約別単価'!E6+'前提と出典'!$C$38*'契約別単価'!E7)</ns0:f>
        <ns0:v>2481192.5752387815</ns0:v>
      </ns0:c>
      <ns0:c r="F991" s="16">
        <ns0:f>A991*('前提と出典'!$C$36*'契約別単価'!F5+'前提と出典'!$C$37*'契約別単価'!F6+'前提と出典'!$C$38*'契約別単価'!F7)</ns0:f>
        <ns0:v>720971.1394239172</ns0:v>
      </ns0:c>
      <ns0:c r="G991" s="16">
        <ns0:f>A991*('前提と出典'!$C$36*'契約別単価'!G5+'前提と出典'!$C$37*'契約別単価'!G6+'前提と出典'!$C$38*'契約別単価'!G7)</ns0:f>
        <ns0:v>1964626.2569832401</ns0:v>
      </ns0:c>
      <ns0:c r="H991" s="16">
        <ns0:f>A991*('前提と出典'!$C$36*'契約別単価'!H5+'前提と出典'!$C$37*'契約別単価'!H6+'前提と出典'!$C$38*'契約別単価'!H7)</ns0:f>
        <ns0:v>681823.8449229386</ns0:v>
      </ns0:c>
      <ns0:c r="I991" s="16">
        <ns0:f>A991*('前提と出典'!$C$36*'契約別単価'!I5+'前提と出典'!$C$37*'契約別単価'!I6+'前提と出典'!$C$38*'契約別単価'!I7)</ns0:f>
        <ns0:v>41646.988826815636</ns0:v>
      </ns0:c>
      <ns0:c r="J991" s="16">
        <ns0:f>A991*('前提と出典'!$C$36*'契約別単価'!J5+'前提と出典'!$C$37*'契約別単価'!J6+'前提と出典'!$C$38*'契約別単価'!J7)</ns0:f>
        <ns0:v>97011.77964206864</ns0:v>
      </ns0:c>
      <ns0:c r="K991" s="16">
        <ns0:f>A991*('前提と出典'!$C$36*'契約別単価'!K5+'前提と出典'!$C$37*'契約別単価'!K6+'前提と出典'!$C$38*'契約別単価'!K7)</ns0:f>
        <ns0:v>415826.5921787709</ns0:v>
      </ns0:c>
      <ns0:c r="L991" s="16">
        <ns0:f>A991*('前提と出典'!$C$36*'契約別単価'!L5+'前提と出典'!$C$37*'契約別単価'!L6+'前提と出典'!$C$38*'契約別単価'!L7)</ns0:f>
        <ns0:v>338567.4614974313</ns0:v>
      </ns0:c>
      <ns0:c r="M991" s="16">
        <ns0:f>IF(('前提と出典'!$C$36+'前提と出典'!$C$38)=0,0,IF(B991&lt;=10,'前提と出典'!B73+'前提と出典'!C73,IF(B991&lt;=100,'前提と出典'!B74+'前提と出典'!C74,IF(B991&lt;=500,'前提と出典'!B75+'前提と出典'!C75,'前提と出典'!B76+'前提と出典'!C76))))</ns0:f>
        <ns0:v>80000</ns0:v>
      </ns0:c>
      <ns0:c r="N991" s="16">
        <ns0:f>IF(('前提と出典'!$C$37+'前提と出典'!$C$38)=0,0,IF(C991&lt;=10,'前提と出典'!D73+'前提と出典'!E73,IF(C991&lt;=100,'前提と出典'!D74+'前提と出典'!E74,IF(C991&lt;=500,'前提と出典'!D75+'前提と出典'!E75,'前提と出典'!D76+'前提と出典'!E76))))</ns0:f>
        <ns0:v>86510.9346263078</ns0:v>
      </ns0:c>
      <ns0:c r="O991" s="16">
        <ns0:f>IF('前提と出典'!$C$36+'前提と出典'!$C$38=0,0,'前提と出典'!$B$4*IF('前提と出典'!$B$20=0,MAX('前提と出典'!$B$6,D991*'前提と出典'!$B$5),'前提と出典'!$B$6+D991*'前提と出典'!$B$5))</ns0:f>
        <ns0:v>980074.4581005588</ns0:v>
      </ns0:c>
      <ns0:c r="P991" s="16">
        <ns0:f>(E991+G991)*(1-'前提と出典'!$B$7)-I991-K991-M991-O991</ns0:f>
        <ns0:v>2768221.3151558843</ns0:v>
      </ns0:c>
      <ns0:c r="Q991" s="16">
        <ns0:f>(F991+H991)*(1-'前提と出典'!$B$7)-J991-L991-N991</ns0:f>
        <ns0:v>830204.1891445613</ns0:v>
      </ns0:c>
      <ns0:c r="R991" s="16">
        <ns0:f>P991-E991*'前提と出典'!$E$4</ns0:f>
        <ns0:v>2023863.5425842497</ns0:v>
      </ns0:c>
      <ns0:c r="S991" s="16">
        <ns0:f>Q991-F991*'前提と出典'!$E$4</ns0:f>
        <ns0:v>613912.8473173862</ns0:v>
      </ns0:c>
      <ns0:c r="T991" s="7">
        <ns0:f>R991+S991</ns0:f>
        <ns0:v>2637776.389901636</ns0:v>
      </ns0:c>
      <ns0:c r="U991" s="16">
        <ns0:f>P991-E991*'前提と出典'!$E$5</ns0:f>
        <ns0:v>1775744.2850603717</ns0:v>
      </ns0:c>
      <ns0:c r="V991" s="16">
        <ns0:f>Q991-F991*'前提と出典'!$E$5</ns0:f>
        <ns0:v>541815.7333749945</ns0:v>
      </ns0:c>
      <ns0:c r="W991" s="7">
        <ns0:f>U991+V991</ns0:f>
        <ns0:v>2317560.0184353665</ns0:v>
      </ns0:c>
      <ns0:c r="X991" s="16">
        <ns0:f>P991-E991*'前提と出典'!$E$6</ns0:f>
        <ns0:v>1527625.0275364937</ns0:v>
      </ns0:c>
      <ns0:c r="Y991" s="16">
        <ns0:f>Q991-F991*'前提と出典'!$E$6</ns0:f>
        <ns0:v>469718.6194326028</ns0:v>
      </ns0:c>
      <ns0:c r="Z991" s="7">
        <ns0:f>X991+Y991</ns0:f>
        <ns0:v>1997343.6469690965</ns0:v>
      </ns0:c>
      <ns0:c r="AA991" s="7">
        <ns0:f>IF(T991&gt;=0,A991,1001)</ns0:f>
        <ns0:v>987</ns0:v>
      </ns0:c>
      <ns0:c r="AB991" s="7">
        <ns0:f>IF(T991&lt;0,A991,0)</ns0:f>
        <ns0:v>0</ns0:v>
      </ns0:c>
      <ns0:c r="AC991" s="16">
        <ns0:f>IF(AND(OR('前提と出典'!$C$36+'前提と出典'!$C$38=0,R991&gt;=0),OR('前提と出典'!$C$37+'前提と出典'!$C$38=0,S991&gt;=0)),0,A991)</ns0:f>
        <ns0:v>0</ns0:v>
      </ns0:c>
      <ns0:c r="AD991" s="7">
        <ns0:f>IF(W991&gt;=0,A991,1001)</ns0:f>
        <ns0:v>987</ns0:v>
      </ns0:c>
      <ns0:c r="AE991" s="7">
        <ns0:f>IF(W991&lt;0,A991,0)</ns0:f>
        <ns0:v>0</ns0:v>
      </ns0:c>
      <ns0:c r="AF991" s="16">
        <ns0:f>IF(AND(OR('前提と出典'!$C$36+'前提と出典'!$C$38=0,U991&gt;=0),OR('前提と出典'!$C$37+'前提と出典'!$C$38=0,V991&gt;=0)),0,A991)</ns0:f>
        <ns0:v>0</ns0:v>
      </ns0:c>
      <ns0:c r="AG991" s="7">
        <ns0:f>IF(Z991&gt;=0,A991,1001)</ns0:f>
        <ns0:v>987</ns0:v>
      </ns0:c>
      <ns0:c r="AH991" s="4">
        <ns0:f>IF(Z991&lt;0,A991,0)</ns0:f>
        <ns0:v>0</ns0:v>
      </ns0:c>
      <ns0:c r="AI991" s="12">
        <ns0:f>IF(AND(OR('前提と出典'!$C$36+'前提と出典'!$C$38=0,X991&gt;=0),OR('前提と出典'!$C$37+'前提と出典'!$C$38=0,Y991&gt;=0)),0,A991)</ns0:f>
        <ns0:v>0</ns0:v>
      </ns0:c>
    </ns0:row>
    <ns0:row r="992" ht="24" customHeight="1">
      <ns0:c r="A992" s="4" t="n">
        <ns0:v>988</ns0:v>
      </ns0:c>
      <ns0:c r="B992" s="12">
        <ns0:f>A992*('前提と出典'!$C$36+'前提と出典'!$C$38)</ns0:f>
        <ns0:v>691.5999999999999</ns0:v>
      </ns0:c>
      <ns0:c r="C992" s="12">
        <ns0:f>A992*('前提と出典'!$C$37+'前提と出典'!$C$38)</ns0:f>
        <ns0:v>592.8</ns0:v>
      </ns0:c>
      <ns0:c r="D992" s="16">
        <ns0:f>A992*('前提と出典'!$C$36*'契約別単価'!C5+'前提と出典'!$C$37*'契約別単価'!C6+'前提と出典'!$C$38*'契約別単価'!C7)</ns0:f>
        <ns0:v>7109.1843575419</ns0:v>
      </ns0:c>
      <ns0:c r="E992" s="16">
        <ns0:f>A992*('前提と出典'!$C$36*'契約別単価'!E5+'前提と出典'!$C$37*'契約別単価'!E6+'前提と出典'!$C$38*'契約別単価'!E7)</ns0:f>
        <ns0:v>2483706.448162022</ns0:v>
      </ns0:c>
      <ns0:c r="F992" s="16">
        <ns0:f>A992*('前提と出典'!$C$36*'契約別単価'!F5+'前提と出典'!$C$37*'契約別単価'!F6+'前提と出典'!$C$38*'契約別単価'!F7)</ns0:f>
        <ns0:v>721701.6066371127</ns0:v>
      </ns0:c>
      <ns0:c r="G992" s="16">
        <ns0:f>A992*('前提と出典'!$C$36*'契約別単価'!G5+'前提と出典'!$C$37*'契約別単価'!G6+'前提と出典'!$C$38*'契約別単価'!G7)</ns0:f>
        <ns0:v>1966616.7597765361</ns0:v>
      </ns0:c>
      <ns0:c r="H992" s="16">
        <ns0:f>A992*('前提と出典'!$C$36*'契約別単価'!H5+'前提と出典'!$C$37*'契約別単価'!H6+'前提と出典'!$C$38*'契約別単価'!H7)</ns0:f>
        <ns0:v>682514.6492237723</ns0:v>
      </ns0:c>
      <ns0:c r="I992" s="16">
        <ns0:f>A992*('前提と出典'!$C$36*'契約別単価'!I5+'前提と出典'!$C$37*'契約別単価'!I6+'前提と出典'!$C$38*'契約別単価'!I7)</ns0:f>
        <ns0:v>41689.18435754189</ns0:v>
      </ns0:c>
      <ns0:c r="J992" s="16">
        <ns0:f>A992*('前提と出典'!$C$36*'契約別単価'!J5+'前提と出典'!$C$37*'契約別単価'!J6+'前提と出典'!$C$38*'契約別単価'!J7)</ns0:f>
        <ns0:v>97110.06918577894</ns0:v>
      </ns0:c>
      <ns0:c r="K992" s="16">
        <ns0:f>A992*('前提と出典'!$C$36*'契約別単価'!K5+'前提と出典'!$C$37*'契約別単価'!K6+'前提と出典'!$C$38*'契約別単価'!K7)</ns0:f>
        <ns0:v>416247.895716946</ns0:v>
      </ns0:c>
      <ns0:c r="L992" s="16">
        <ns0:f>A992*('前提と出典'!$C$36*'契約別単価'!L5+'前提と出典'!$C$37*'契約別単価'!L6+'前提と出典'!$C$38*'契約別単価'!L7)</ns0:f>
        <ns0:v>338910.48830745905</ns0:v>
      </ns0:c>
      <ns0:c r="M992" s="16">
        <ns0:f>IF(('前提と出典'!$C$36+'前提と出典'!$C$38)=0,0,IF(B992&lt;=10,'前提と出典'!B73+'前提と出典'!C73,IF(B992&lt;=100,'前提と出典'!B74+'前提と出典'!C74,IF(B992&lt;=500,'前提と出典'!B75+'前提と出典'!C75,'前提と出典'!B76+'前提と出典'!C76))))</ns0:f>
        <ns0:v>80000</ns0:v>
      </ns0:c>
      <ns0:c r="N992" s="16">
        <ns0:f>IF(('前提と出典'!$C$37+'前提と出典'!$C$38)=0,0,IF(C992&lt;=10,'前提と出典'!D73+'前提と出典'!E73,IF(C992&lt;=100,'前提と出典'!D74+'前提と出典'!E74,IF(C992&lt;=500,'前提と出典'!D75+'前提と出典'!E75,'前提と出典'!D76+'前提と出典'!E76))))</ns0:f>
        <ns0:v>86510.9346263078</ns0:v>
      </ns0:c>
      <ns0:c r="O992" s="16">
        <ns0:f>IF('前提と出典'!$C$36+'前提と出典'!$C$38=0,0,'前提と出典'!$B$4*IF('前提と出典'!$B$20=0,MAX('前提と出典'!$B$6,D992*'前提と出典'!$B$5),'前提と出典'!$B$6+D992*'前提と出典'!$B$5))</ns0:f>
        <ns0:v>981067.4413407822</ns0:v>
      </ns0:c>
      <ns0:c r="P992" s="16">
        <ns0:f>(E992+G992)*(1-'前提と出典'!$B$7)-I992-K992-M992-O992</ns0:f>
        <ns0:v>2771107.0510375</ns0:v>
      </ns0:c>
      <ns0:c r="Q992" s="16">
        <ns0:f>(F992+H992)*(1-'前提と出典'!$B$7)-J992-L992-N992</ns0:f>
        <ns0:v>831132.9785303476</ns0:v>
      </ns0:c>
      <ns0:c r="R992" s="16">
        <ns0:f>P992-E992*'前提と出典'!$E$4</ns0:f>
        <ns0:v>2025995.1165888938</ns0:v>
      </ns0:c>
      <ns0:c r="S992" s="16">
        <ns0:f>Q992-F992*'前提と出典'!$E$4</ns0:f>
        <ns0:v>614622.4965392135</ns0:v>
      </ns0:c>
      <ns0:c r="T992" s="7">
        <ns0:f>R992+S992</ns0:f>
        <ns0:v>2640617.613128107</ns0:v>
      </ns0:c>
      <ns0:c r="U992" s="16">
        <ns0:f>P992-E992*'前提と出典'!$E$5</ns0:f>
        <ns0:v>1777624.4717726912</ns0:v>
      </ns0:c>
      <ns0:c r="V992" s="16">
        <ns0:f>Q992-F992*'前提と出典'!$E$5</ns0:f>
        <ns0:v>542452.3358755026</ns0:v>
      </ns0:c>
      <ns0:c r="W992" s="7">
        <ns0:f>U992+V992</ns0:f>
        <ns0:v>2320076.807648194</ns0:v>
      </ns0:c>
      <ns0:c r="X992" s="16">
        <ns0:f>P992-E992*'前提と出典'!$E$6</ns0:f>
        <ns0:v>1529253.8269564891</ns0:v>
      </ns0:c>
      <ns0:c r="Y992" s="16">
        <ns0:f>Q992-F992*'前提と出典'!$E$6</ns0:f>
        <ns0:v>470282.17521179107</ns0:v>
      </ns0:c>
      <ns0:c r="Z992" s="7">
        <ns0:f>X992+Y992</ns0:f>
        <ns0:v>1999536.00216828</ns0:v>
      </ns0:c>
      <ns0:c r="AA992" s="7">
        <ns0:f>IF(T992&gt;=0,A992,1001)</ns0:f>
        <ns0:v>988</ns0:v>
      </ns0:c>
      <ns0:c r="AB992" s="7">
        <ns0:f>IF(T992&lt;0,A992,0)</ns0:f>
        <ns0:v>0</ns0:v>
      </ns0:c>
      <ns0:c r="AC992" s="16">
        <ns0:f>IF(AND(OR('前提と出典'!$C$36+'前提と出典'!$C$38=0,R992&gt;=0),OR('前提と出典'!$C$37+'前提と出典'!$C$38=0,S992&gt;=0)),0,A992)</ns0:f>
        <ns0:v>0</ns0:v>
      </ns0:c>
      <ns0:c r="AD992" s="7">
        <ns0:f>IF(W992&gt;=0,A992,1001)</ns0:f>
        <ns0:v>988</ns0:v>
      </ns0:c>
      <ns0:c r="AE992" s="7">
        <ns0:f>IF(W992&lt;0,A992,0)</ns0:f>
        <ns0:v>0</ns0:v>
      </ns0:c>
      <ns0:c r="AF992" s="16">
        <ns0:f>IF(AND(OR('前提と出典'!$C$36+'前提と出典'!$C$38=0,U992&gt;=0),OR('前提と出典'!$C$37+'前提と出典'!$C$38=0,V992&gt;=0)),0,A992)</ns0:f>
        <ns0:v>0</ns0:v>
      </ns0:c>
      <ns0:c r="AG992" s="7">
        <ns0:f>IF(Z992&gt;=0,A992,1001)</ns0:f>
        <ns0:v>988</ns0:v>
      </ns0:c>
      <ns0:c r="AH992" s="4">
        <ns0:f>IF(Z992&lt;0,A992,0)</ns0:f>
        <ns0:v>0</ns0:v>
      </ns0:c>
      <ns0:c r="AI992" s="12">
        <ns0:f>IF(AND(OR('前提と出典'!$C$36+'前提と出典'!$C$38=0,X992&gt;=0),OR('前提と出典'!$C$37+'前提と出典'!$C$38=0,Y992&gt;=0)),0,A992)</ns0:f>
        <ns0:v>0</ns0:v>
      </ns0:c>
    </ns0:row>
    <ns0:row r="993" ht="24" customHeight="1">
      <ns0:c r="A993" s="4" t="n">
        <ns0:v>989</ns0:v>
      </ns0:c>
      <ns0:c r="B993" s="12">
        <ns0:f>A993*('前提と出典'!$C$36+'前提と出典'!$C$38)</ns0:f>
        <ns0:v>692.3</ns0:v>
      </ns0:c>
      <ns0:c r="C993" s="12">
        <ns0:f>A993*('前提と出典'!$C$37+'前提と出典'!$C$38)</ns0:f>
        <ns0:v>593.4</ns0:v>
      </ns0:c>
      <ns0:c r="D993" s="16">
        <ns0:f>A993*('前提と出典'!$C$36*'契約別単価'!C5+'前提と出典'!$C$37*'契約別単価'!C6+'前提と出典'!$C$38*'契約別単価'!C7)</ns0:f>
        <ns0:v>7116.379888268157</ns0:v>
      </ns0:c>
      <ns0:c r="E993" s="16">
        <ns0:f>A993*('前提と出典'!$C$36*'契約別単価'!E5+'前提と出典'!$C$37*'契約別単価'!E6+'前提と出典'!$C$38*'契約別単価'!E7)</ns0:f>
        <ns0:v>2486220.321085263</ns0:v>
      </ns0:c>
      <ns0:c r="F993" s="16">
        <ns0:f>A993*('前提と出典'!$C$36*'契約別単価'!F5+'前提と出典'!$C$37*'契約別単価'!F6+'前提と出典'!$C$38*'契約別単価'!F7)</ns0:f>
        <ns0:v>722432.0738503081</ns0:v>
      </ns0:c>
      <ns0:c r="G993" s="16">
        <ns0:f>A993*('前提と出典'!$C$36*'契約別単価'!G5+'前提と出典'!$C$37*'契約別単価'!G6+'前提と出典'!$C$38*'契約別単価'!G7)</ns0:f>
        <ns0:v>1968607.2625698324</ns0:v>
      </ns0:c>
      <ns0:c r="H993" s="16">
        <ns0:f>A993*('前提と出典'!$C$36*'契約別単価'!H5+'前提と出典'!$C$37*'契約別単価'!H6+'前提と出典'!$C$38*'契約別単価'!H7)</ns0:f>
        <ns0:v>683205.4535246062</ns0:v>
      </ns0:c>
      <ns0:c r="I993" s="16">
        <ns0:f>A993*('前提と出典'!$C$36*'契約別単価'!I5+'前提と出典'!$C$37*'契約別単価'!I6+'前提と出典'!$C$38*'契約別単価'!I7)</ns0:f>
        <ns0:v>41731.37988826815</ns0:v>
      </ns0:c>
      <ns0:c r="J993" s="16">
        <ns0:f>A993*('前提と出典'!$C$36*'契約別単価'!J5+'前提と出典'!$C$37*'契約別単価'!J6+'前提と出典'!$C$38*'契約別単価'!J7)</ns0:f>
        <ns0:v>97208.35872948923</ns0:v>
      </ns0:c>
      <ns0:c r="K993" s="16">
        <ns0:f>A993*('前提と出典'!$C$36*'契約別単価'!K5+'前提と出典'!$C$37*'契約別単価'!K6+'前提と出典'!$C$38*'契約別単価'!K7)</ns0:f>
        <ns0:v>416669.199255121</ns0:v>
      </ns0:c>
      <ns0:c r="L993" s="16">
        <ns0:f>A993*('前提と出典'!$C$36*'契約別単価'!L5+'前提と出典'!$C$37*'契約別単価'!L6+'前提と出典'!$C$38*'契約別単価'!L7)</ns0:f>
        <ns0:v>339253.5151174869</ns0:v>
      </ns0:c>
      <ns0:c r="M993" s="16">
        <ns0:f>IF(('前提と出典'!$C$36+'前提と出典'!$C$38)=0,0,IF(B993&lt;=10,'前提と出典'!B73+'前提と出典'!C73,IF(B993&lt;=100,'前提と出典'!B74+'前提と出典'!C74,IF(B993&lt;=500,'前提と出典'!B75+'前提と出典'!C75,'前提と出典'!B76+'前提と出典'!C76))))</ns0:f>
        <ns0:v>80000</ns0:v>
      </ns0:c>
      <ns0:c r="N993" s="16">
        <ns0:f>IF(('前提と出典'!$C$37+'前提と出典'!$C$38)=0,0,IF(C993&lt;=10,'前提と出典'!D73+'前提と出典'!E73,IF(C993&lt;=100,'前提と出典'!D74+'前提と出典'!E74,IF(C993&lt;=500,'前提と出典'!D75+'前提と出典'!E75,'前提と出典'!D76+'前提と出典'!E76))))</ns0:f>
        <ns0:v>86510.9346263078</ns0:v>
      </ns0:c>
      <ns0:c r="O993" s="16">
        <ns0:f>IF('前提と出典'!$C$36+'前提と出典'!$C$38=0,0,'前提と出典'!$B$4*IF('前提と出典'!$B$20=0,MAX('前提と出典'!$B$6,D993*'前提と出典'!$B$5),'前提と出典'!$B$6+D993*'前提と出典'!$B$5))</ns0:f>
        <ns0:v>982060.4245810057</ns0:v>
      </ns0:c>
      <ns0:c r="P993" s="16">
        <ns0:f>(E993+G993)*(1-'前提と出典'!$B$7)-I993-K993-M993-O993</ns0:f>
        <ns0:v>2773992.7869191174</ns0:v>
      </ns0:c>
      <ns0:c r="Q993" s="16">
        <ns0:f>(F993+H993)*(1-'前提と出典'!$B$7)-J993-L993-N993</ns0:f>
        <ns0:v>832061.7679161336</ns0:v>
      </ns0:c>
      <ns0:c r="R993" s="16">
        <ns0:f>P993-E993*'前提と出典'!$E$4</ns0:f>
        <ns0:v>2028126.6905935383</ns0:v>
      </ns0:c>
      <ns0:c r="S993" s="16">
        <ns0:f>Q993-F993*'前提と出典'!$E$4</ns0:f>
        <ns0:v>615332.1457610412</ns0:v>
      </ns0:c>
      <ns0:c r="T993" s="7">
        <ns0:f>R993+S993</ns0:f>
        <ns0:v>2643458.83635458</ns0:v>
      </ns0:c>
      <ns0:c r="U993" s="16">
        <ns0:f>P993-E993*'前提と出典'!$E$5</ns0:f>
        <ns0:v>1779504.6584850121</ns0:v>
      </ns0:c>
      <ns0:c r="V993" s="16">
        <ns0:f>Q993-F993*'前提と出典'!$E$5</ns0:f>
        <ns0:v>543088.9383760104</ns0:v>
      </ns0:c>
      <ns0:c r="W993" s="7">
        <ns0:f>U993+V993</ns0:f>
        <ns0:v>2322593.5968610225</ns0:v>
      </ns0:c>
      <ns0:c r="X993" s="16">
        <ns0:f>P993-E993*'前提と出典'!$E$6</ns0:f>
        <ns0:v>1530882.626376486</ns0:v>
      </ns0:c>
      <ns0:c r="Y993" s="16">
        <ns0:f>Q993-F993*'前提と出典'!$E$6</ns0:f>
        <ns0:v>470845.7309909796</ns0:v>
      </ns0:c>
      <ns0:c r="Z993" s="7">
        <ns0:f>X993+Y993</ns0:f>
        <ns0:v>2001728.3573674655</ns0:v>
      </ns0:c>
      <ns0:c r="AA993" s="7">
        <ns0:f>IF(T993&gt;=0,A993,1001)</ns0:f>
        <ns0:v>989</ns0:v>
      </ns0:c>
      <ns0:c r="AB993" s="7">
        <ns0:f>IF(T993&lt;0,A993,0)</ns0:f>
        <ns0:v>0</ns0:v>
      </ns0:c>
      <ns0:c r="AC993" s="16">
        <ns0:f>IF(AND(OR('前提と出典'!$C$36+'前提と出典'!$C$38=0,R993&gt;=0),OR('前提と出典'!$C$37+'前提と出典'!$C$38=0,S993&gt;=0)),0,A993)</ns0:f>
        <ns0:v>0</ns0:v>
      </ns0:c>
      <ns0:c r="AD993" s="7">
        <ns0:f>IF(W993&gt;=0,A993,1001)</ns0:f>
        <ns0:v>989</ns0:v>
      </ns0:c>
      <ns0:c r="AE993" s="7">
        <ns0:f>IF(W993&lt;0,A993,0)</ns0:f>
        <ns0:v>0</ns0:v>
      </ns0:c>
      <ns0:c r="AF993" s="16">
        <ns0:f>IF(AND(OR('前提と出典'!$C$36+'前提と出典'!$C$38=0,U993&gt;=0),OR('前提と出典'!$C$37+'前提と出典'!$C$38=0,V993&gt;=0)),0,A993)</ns0:f>
        <ns0:v>0</ns0:v>
      </ns0:c>
      <ns0:c r="AG993" s="7">
        <ns0:f>IF(Z993&gt;=0,A993,1001)</ns0:f>
        <ns0:v>989</ns0:v>
      </ns0:c>
      <ns0:c r="AH993" s="4">
        <ns0:f>IF(Z993&lt;0,A993,0)</ns0:f>
        <ns0:v>0</ns0:v>
      </ns0:c>
      <ns0:c r="AI993" s="12">
        <ns0:f>IF(AND(OR('前提と出典'!$C$36+'前提と出典'!$C$38=0,X993&gt;=0),OR('前提と出典'!$C$37+'前提と出典'!$C$38=0,Y993&gt;=0)),0,A993)</ns0:f>
        <ns0:v>0</ns0:v>
      </ns0:c>
    </ns0:row>
    <ns0:row r="994" ht="24" customHeight="1">
      <ns0:c r="A994" s="4" t="n">
        <ns0:v>990</ns0:v>
      </ns0:c>
      <ns0:c r="B994" s="12">
        <ns0:f>A994*('前提と出典'!$C$36+'前提と出典'!$C$38)</ns0:f>
        <ns0:v>693</ns0:v>
      </ns0:c>
      <ns0:c r="C994" s="12">
        <ns0:f>A994*('前提と出典'!$C$37+'前提と出典'!$C$38)</ns0:f>
        <ns0:v>594</ns0:v>
      </ns0:c>
      <ns0:c r="D994" s="16">
        <ns0:f>A994*('前提と出典'!$C$36*'契約別単価'!C5+'前提と出典'!$C$37*'契約別単価'!C6+'前提と出典'!$C$38*'契約別単価'!C7)</ns0:f>
        <ns0:v>7123.575418994414</ns0:v>
      </ns0:c>
      <ns0:c r="E994" s="16">
        <ns0:f>A994*('前提と出典'!$C$36*'契約別単価'!E5+'前提と出典'!$C$37*'契約別単価'!E6+'前提と出典'!$C$38*'契約別単価'!E7)</ns0:f>
        <ns0:v>2488734.194008504</ns0:v>
      </ns0:c>
      <ns0:c r="F994" s="16">
        <ns0:f>A994*('前提と出典'!$C$36*'契約別単価'!F5+'前提と出典'!$C$37*'契約別単価'!F6+'前提と出典'!$C$38*'契約別単価'!F7)</ns0:f>
        <ns0:v>723162.5410635036</ns0:v>
      </ns0:c>
      <ns0:c r="G994" s="16">
        <ns0:f>A994*('前提と出典'!$C$36*'契約別単価'!G5+'前提と出典'!$C$37*'契約別単価'!G6+'前提と出典'!$C$38*'契約別単価'!G7)</ns0:f>
        <ns0:v>1970597.7653631284</ns0:v>
      </ns0:c>
      <ns0:c r="H994" s="16">
        <ns0:f>A994*('前提と出典'!$C$36*'契約別単価'!H5+'前提と出典'!$C$37*'契約別単価'!H6+'前提と出典'!$C$38*'契約別単価'!H7)</ns0:f>
        <ns0:v>683896.2578254399</ns0:v>
      </ns0:c>
      <ns0:c r="I994" s="16">
        <ns0:f>A994*('前提と出典'!$C$36*'契約別単価'!I5+'前提と出典'!$C$37*'契約別単価'!I6+'前提と出典'!$C$38*'契約別単価'!I7)</ns0:f>
        <ns0:v>41773.575418994405</ns0:v>
      </ns0:c>
      <ns0:c r="J994" s="16">
        <ns0:f>A994*('前提と出典'!$C$36*'契約別単価'!J5+'前提と出典'!$C$37*'契約別単価'!J6+'前提と出典'!$C$38*'契約別単価'!J7)</ns0:f>
        <ns0:v>97306.64827319953</ns0:v>
      </ns0:c>
      <ns0:c r="K994" s="16">
        <ns0:f>A994*('前提と出典'!$C$36*'契約別単価'!K5+'前提と出典'!$C$37*'契約別単価'!K6+'前提と出典'!$C$38*'契約別単価'!K7)</ns0:f>
        <ns0:v>417090.50279329607</ns0:v>
      </ns0:c>
      <ns0:c r="L994" s="16">
        <ns0:f>A994*('前提と出典'!$C$36*'契約別単価'!L5+'前提と出典'!$C$37*'契約別単価'!L6+'前提と出典'!$C$38*'契約別単価'!L7)</ns0:f>
        <ns0:v>339596.54192751466</ns0:v>
      </ns0:c>
      <ns0:c r="M994" s="16">
        <ns0:f>IF(('前提と出典'!$C$36+'前提と出典'!$C$38)=0,0,IF(B994&lt;=10,'前提と出典'!B73+'前提と出典'!C73,IF(B994&lt;=100,'前提と出典'!B74+'前提と出典'!C74,IF(B994&lt;=500,'前提と出典'!B75+'前提と出典'!C75,'前提と出典'!B76+'前提と出典'!C76))))</ns0:f>
        <ns0:v>80000</ns0:v>
      </ns0:c>
      <ns0:c r="N994" s="16">
        <ns0:f>IF(('前提と出典'!$C$37+'前提と出典'!$C$38)=0,0,IF(C994&lt;=10,'前提と出典'!D73+'前提と出典'!E73,IF(C994&lt;=100,'前提と出典'!D74+'前提と出典'!E74,IF(C994&lt;=500,'前提と出典'!D75+'前提と出典'!E75,'前提と出典'!D76+'前提と出典'!E76))))</ns0:f>
        <ns0:v>86510.9346263078</ns0:v>
      </ns0:c>
      <ns0:c r="O994" s="16">
        <ns0:f>IF('前提と出典'!$C$36+'前提と出典'!$C$38=0,0,'前提と出典'!$B$4*IF('前提と出典'!$B$20=0,MAX('前提と出典'!$B$6,D994*'前提と出典'!$B$5),'前提と出典'!$B$6+D994*'前提と出典'!$B$5))</ns0:f>
        <ns0:v>983053.4078212291</ns0:v>
      </ns0:c>
      <ns0:c r="P994" s="16">
        <ns0:f>(E994+G994)*(1-'前提と出典'!$B$7)-I994-K994-M994-O994</ns0:f>
        <ns0:v>2776878.5228007333</ns0:v>
      </ns0:c>
      <ns0:c r="Q994" s="16">
        <ns0:f>(F994+H994)*(1-'前提と出典'!$B$7)-J994-L994-N994</ns0:f>
        <ns0:v>832990.5573019197</ns0:v>
      </ns0:c>
      <ns0:c r="R994" s="16">
        <ns0:f>P994-E994*'前提と出典'!$E$4</ns0:f>
        <ns0:v>2030258.2645981824</ns0:v>
      </ns0:c>
      <ns0:c r="S994" s="16">
        <ns0:f>Q994-F994*'前提と出典'!$E$4</ns0:f>
        <ns0:v>616041.7949828685</ns0:v>
      </ns0:c>
      <ns0:c r="T994" s="7">
        <ns0:f>R994+S994</ns0:f>
        <ns0:v>2646300.0595810506</ns0:v>
      </ns0:c>
      <ns0:c r="U994" s="16">
        <ns0:f>P994-E994*'前提と出典'!$E$5</ns0:f>
        <ns0:v>1781384.8451973316</ns0:v>
      </ns0:c>
      <ns0:c r="V994" s="16">
        <ns0:f>Q994-F994*'前提と出典'!$E$5</ns0:f>
        <ns0:v>543725.5408765182</ns0:v>
      </ns0:c>
      <ns0:c r="W994" s="7">
        <ns0:f>U994+V994</ns0:f>
        <ns0:v>2325110.38607385</ns0:v>
      </ns0:c>
      <ns0:c r="X994" s="16">
        <ns0:f>P994-E994*'前提と出典'!$E$6</ns0:f>
        <ns0:v>1532511.4257964813</ns0:v>
      </ns0:c>
      <ns0:c r="Y994" s="16">
        <ns0:f>Q994-F994*'前提と出典'!$E$6</ns0:f>
        <ns0:v>471409.28677016776</ns0:v>
      </ns0:c>
      <ns0:c r="Z994" s="7">
        <ns0:f>X994+Y994</ns0:f>
        <ns0:v>2003920.712566649</ns0:v>
      </ns0:c>
      <ns0:c r="AA994" s="7">
        <ns0:f>IF(T994&gt;=0,A994,1001)</ns0:f>
        <ns0:v>990</ns0:v>
      </ns0:c>
      <ns0:c r="AB994" s="7">
        <ns0:f>IF(T994&lt;0,A994,0)</ns0:f>
        <ns0:v>0</ns0:v>
      </ns0:c>
      <ns0:c r="AC994" s="16">
        <ns0:f>IF(AND(OR('前提と出典'!$C$36+'前提と出典'!$C$38=0,R994&gt;=0),OR('前提と出典'!$C$37+'前提と出典'!$C$38=0,S994&gt;=0)),0,A994)</ns0:f>
        <ns0:v>0</ns0:v>
      </ns0:c>
      <ns0:c r="AD994" s="7">
        <ns0:f>IF(W994&gt;=0,A994,1001)</ns0:f>
        <ns0:v>990</ns0:v>
      </ns0:c>
      <ns0:c r="AE994" s="7">
        <ns0:f>IF(W994&lt;0,A994,0)</ns0:f>
        <ns0:v>0</ns0:v>
      </ns0:c>
      <ns0:c r="AF994" s="16">
        <ns0:f>IF(AND(OR('前提と出典'!$C$36+'前提と出典'!$C$38=0,U994&gt;=0),OR('前提と出典'!$C$37+'前提と出典'!$C$38=0,V994&gt;=0)),0,A994)</ns0:f>
        <ns0:v>0</ns0:v>
      </ns0:c>
      <ns0:c r="AG994" s="7">
        <ns0:f>IF(Z994&gt;=0,A994,1001)</ns0:f>
        <ns0:v>990</ns0:v>
      </ns0:c>
      <ns0:c r="AH994" s="4">
        <ns0:f>IF(Z994&lt;0,A994,0)</ns0:f>
        <ns0:v>0</ns0:v>
      </ns0:c>
      <ns0:c r="AI994" s="12">
        <ns0:f>IF(AND(OR('前提と出典'!$C$36+'前提と出典'!$C$38=0,X994&gt;=0),OR('前提と出典'!$C$37+'前提と出典'!$C$38=0,Y994&gt;=0)),0,A994)</ns0:f>
        <ns0:v>0</ns0:v>
      </ns0:c>
    </ns0:row>
    <ns0:row r="995" ht="24" customHeight="1">
      <ns0:c r="A995" s="4" t="n">
        <ns0:v>991</ns0:v>
      </ns0:c>
      <ns0:c r="B995" s="12">
        <ns0:f>A995*('前提と出典'!$C$36+'前提と出典'!$C$38)</ns0:f>
        <ns0:v>693.6999999999999</ns0:v>
      </ns0:c>
      <ns0:c r="C995" s="12">
        <ns0:f>A995*('前提と出典'!$C$37+'前提と出典'!$C$38)</ns0:f>
        <ns0:v>594.6</ns0:v>
      </ns0:c>
      <ns0:c r="D995" s="16">
        <ns0:f>A995*('前提と出典'!$C$36*'契約別単価'!C5+'前提と出典'!$C$37*'契約別単価'!C6+'前提と出典'!$C$38*'契約別単価'!C7)</ns0:f>
        <ns0:v>7130.770949720671</ns0:v>
      </ns0:c>
      <ns0:c r="E995" s="16">
        <ns0:f>A995*('前提と出典'!$C$36*'契約別単価'!E5+'前提と出典'!$C$37*'契約別単価'!E6+'前提と出典'!$C$38*'契約別単価'!E7)</ns0:f>
        <ns0:v>2491248.066931745</ns0:v>
      </ns0:c>
      <ns0:c r="F995" s="16">
        <ns0:f>A995*('前提と出典'!$C$36*'契約別単価'!F5+'前提と出典'!$C$37*'契約別単価'!F6+'前提と出典'!$C$38*'契約別単価'!F7)</ns0:f>
        <ns0:v>723893.008276699</ns0:v>
      </ns0:c>
      <ns0:c r="G995" s="16">
        <ns0:f>A995*('前提と出典'!$C$36*'契約別単価'!G5+'前提と出典'!$C$37*'契約別単価'!G6+'前提と出典'!$C$38*'契約別単価'!G7)</ns0:f>
        <ns0:v>1972588.2681564244</ns0:v>
      </ns0:c>
      <ns0:c r="H995" s="16">
        <ns0:f>A995*('前提と出典'!$C$36*'契約別単価'!H5+'前提と出典'!$C$37*'契約別単価'!H6+'前提と出典'!$C$38*'契約別単価'!H7)</ns0:f>
        <ns0:v>684587.0621262736</ns0:v>
      </ns0:c>
      <ns0:c r="I995" s="16">
        <ns0:f>A995*('前提と出典'!$C$36*'契約別単価'!I5+'前提と出典'!$C$37*'契約別単価'!I6+'前提と出典'!$C$38*'契約別単価'!I7)</ns0:f>
        <ns0:v>41815.77094972066</ns0:v>
      </ns0:c>
      <ns0:c r="J995" s="16">
        <ns0:f>A995*('前提と出典'!$C$36*'契約別単価'!J5+'前提と出典'!$C$37*'契約別単価'!J6+'前提と出典'!$C$38*'契約別単価'!J7)</ns0:f>
        <ns0:v>97404.93781690985</ns0:v>
      </ns0:c>
      <ns0:c r="K995" s="16">
        <ns0:f>A995*('前提と出典'!$C$36*'契約別単価'!K5+'前提と出典'!$C$37*'契約別単価'!K6+'前提と出典'!$C$38*'契約別単価'!K7)</ns0:f>
        <ns0:v>417511.80633147113</ns0:v>
      </ns0:c>
      <ns0:c r="L995" s="16">
        <ns0:f>A995*('前提と出典'!$C$36*'契約別単価'!L5+'前提と出典'!$C$37*'契約別単価'!L6+'前提と出典'!$C$38*'契約別単価'!L7)</ns0:f>
        <ns0:v>339939.56873754243</ns0:v>
      </ns0:c>
      <ns0:c r="M995" s="16">
        <ns0:f>IF(('前提と出典'!$C$36+'前提と出典'!$C$38)=0,0,IF(B995&lt;=10,'前提と出典'!B73+'前提と出典'!C73,IF(B995&lt;=100,'前提と出典'!B74+'前提と出典'!C74,IF(B995&lt;=500,'前提と出典'!B75+'前提と出典'!C75,'前提と出典'!B76+'前提と出典'!C76))))</ns0:f>
        <ns0:v>80000</ns0:v>
      </ns0:c>
      <ns0:c r="N995" s="16">
        <ns0:f>IF(('前提と出典'!$C$37+'前提と出典'!$C$38)=0,0,IF(C995&lt;=10,'前提と出典'!D73+'前提と出典'!E73,IF(C995&lt;=100,'前提と出典'!D74+'前提と出典'!E74,IF(C995&lt;=500,'前提と出典'!D75+'前提と出典'!E75,'前提と出典'!D76+'前提と出典'!E76))))</ns0:f>
        <ns0:v>86510.9346263078</ns0:v>
      </ns0:c>
      <ns0:c r="O995" s="16">
        <ns0:f>IF('前提と出典'!$C$36+'前提と出典'!$C$38=0,0,'前提と出典'!$B$4*IF('前提と出典'!$B$20=0,MAX('前提と出典'!$B$6,D995*'前提と出典'!$B$5),'前提と出典'!$B$6+D995*'前提と出典'!$B$5))</ns0:f>
        <ns0:v>984046.3910614526</ns0:v>
      </ns0:c>
      <ns0:c r="P995" s="16">
        <ns0:f>(E995+G995)*(1-'前提と出典'!$B$7)-I995-K995-M995-O995</ns0:f>
        <ns0:v>2779764.2586823506</ns0:v>
      </ns0:c>
      <ns0:c r="Q995" s="16">
        <ns0:f>(F995+H995)*(1-'前提と出典'!$B$7)-J995-L995-N995</ns0:f>
        <ns0:v>833919.3466877055</ns0:v>
      </ns0:c>
      <ns0:c r="R995" s="16">
        <ns0:f>P995-E995*'前提と出典'!$E$4</ns0:f>
        <ns0:v>2032389.838602827</ns0:v>
      </ns0:c>
      <ns0:c r="S995" s="16">
        <ns0:f>Q995-F995*'前提と出典'!$E$4</ns0:f>
        <ns0:v>616751.4442046958</ns0:v>
      </ns0:c>
      <ns0:c r="T995" s="7">
        <ns0:f>R995+S995</ns0:f>
        <ns0:v>2649141.2828075225</ns0:v>
      </ns0:c>
      <ns0:c r="U995" s="16">
        <ns0:f>P995-E995*'前提と出典'!$E$5</ns0:f>
        <ns0:v>1783265.0319096525</ns0:v>
      </ns0:c>
      <ns0:c r="V995" s="16">
        <ns0:f>Q995-F995*'前提と出典'!$E$5</ns0:f>
        <ns0:v>544362.1433770258</ns0:v>
      </ns0:c>
      <ns0:c r="W995" s="7">
        <ns0:f>U995+V995</ns0:f>
        <ns0:v>2327627.1752866786</ns0:v>
      </ns0:c>
      <ns0:c r="X995" s="16">
        <ns0:f>P995-E995*'前提と出典'!$E$6</ns0:f>
        <ns0:v>1534140.225216478</ns0:v>
      </ns0:c>
      <ns0:c r="Y995" s="16">
        <ns0:f>Q995-F995*'前提と出典'!$E$6</ns0:f>
        <ns0:v>471972.84254935593</ns0:v>
      </ns0:c>
      <ns0:c r="Z995" s="7">
        <ns0:f>X995+Y995</ns0:f>
        <ns0:v>2006113.067765834</ns0:v>
      </ns0:c>
      <ns0:c r="AA995" s="7">
        <ns0:f>IF(T995&gt;=0,A995,1001)</ns0:f>
        <ns0:v>991</ns0:v>
      </ns0:c>
      <ns0:c r="AB995" s="7">
        <ns0:f>IF(T995&lt;0,A995,0)</ns0:f>
        <ns0:v>0</ns0:v>
      </ns0:c>
      <ns0:c r="AC995" s="16">
        <ns0:f>IF(AND(OR('前提と出典'!$C$36+'前提と出典'!$C$38=0,R995&gt;=0),OR('前提と出典'!$C$37+'前提と出典'!$C$38=0,S995&gt;=0)),0,A995)</ns0:f>
        <ns0:v>0</ns0:v>
      </ns0:c>
      <ns0:c r="AD995" s="7">
        <ns0:f>IF(W995&gt;=0,A995,1001)</ns0:f>
        <ns0:v>991</ns0:v>
      </ns0:c>
      <ns0:c r="AE995" s="7">
        <ns0:f>IF(W995&lt;0,A995,0)</ns0:f>
        <ns0:v>0</ns0:v>
      </ns0:c>
      <ns0:c r="AF995" s="16">
        <ns0:f>IF(AND(OR('前提と出典'!$C$36+'前提と出典'!$C$38=0,U995&gt;=0),OR('前提と出典'!$C$37+'前提と出典'!$C$38=0,V995&gt;=0)),0,A995)</ns0:f>
        <ns0:v>0</ns0:v>
      </ns0:c>
      <ns0:c r="AG995" s="7">
        <ns0:f>IF(Z995&gt;=0,A995,1001)</ns0:f>
        <ns0:v>991</ns0:v>
      </ns0:c>
      <ns0:c r="AH995" s="4">
        <ns0:f>IF(Z995&lt;0,A995,0)</ns0:f>
        <ns0:v>0</ns0:v>
      </ns0:c>
      <ns0:c r="AI995" s="12">
        <ns0:f>IF(AND(OR('前提と出典'!$C$36+'前提と出典'!$C$38=0,X995&gt;=0),OR('前提と出典'!$C$37+'前提と出典'!$C$38=0,Y995&gt;=0)),0,A995)</ns0:f>
        <ns0:v>0</ns0:v>
      </ns0:c>
    </ns0:row>
    <ns0:row r="996" ht="24" customHeight="1">
      <ns0:c r="A996" s="4" t="n">
        <ns0:v>992</ns0:v>
      </ns0:c>
      <ns0:c r="B996" s="12">
        <ns0:f>A996*('前提と出典'!$C$36+'前提と出典'!$C$38)</ns0:f>
        <ns0:v>694.4</ns0:v>
      </ns0:c>
      <ns0:c r="C996" s="12">
        <ns0:f>A996*('前提と出典'!$C$37+'前提と出典'!$C$38)</ns0:f>
        <ns0:v>595.1999999999999</ns0:v>
      </ns0:c>
      <ns0:c r="D996" s="16">
        <ns0:f>A996*('前提と出典'!$C$36*'契約別単価'!C5+'前提と出典'!$C$37*'契約別単価'!C6+'前提と出典'!$C$38*'契約別単価'!C7)</ns0:f>
        <ns0:v>7137.966480446928</ns0:v>
      </ns0:c>
      <ns0:c r="E996" s="16">
        <ns0:f>A996*('前提と出典'!$C$36*'契約別単価'!E5+'前提と出典'!$C$37*'契約別単価'!E6+'前提と出典'!$C$38*'契約別単価'!E7)</ns0:f>
        <ns0:v>2493761.939854986</ns0:v>
      </ns0:c>
      <ns0:c r="F996" s="16">
        <ns0:f>A996*('前提と出典'!$C$36*'契約別単価'!F5+'前提と出典'!$C$37*'契約別単価'!F6+'前提と出典'!$C$38*'契約別単価'!F7)</ns0:f>
        <ns0:v>724623.4754898945</ns0:v>
      </ns0:c>
      <ns0:c r="G996" s="16">
        <ns0:f>A996*('前提と出典'!$C$36*'契約別単価'!G5+'前提と出典'!$C$37*'契約別単価'!G6+'前提と出典'!$C$38*'契約別単価'!G7)</ns0:f>
        <ns0:v>1974578.7709497206</ns0:v>
      </ns0:c>
      <ns0:c r="H996" s="16">
        <ns0:f>A996*('前提と出典'!$C$36*'契約別単価'!H5+'前提と出典'!$C$37*'契約別単価'!H6+'前提と出典'!$C$38*'契約別単価'!H7)</ns0:f>
        <ns0:v>685277.8664271075</ns0:v>
      </ns0:c>
      <ns0:c r="I996" s="16">
        <ns0:f>A996*('前提と出典'!$C$36*'契約別単価'!I5+'前提と出典'!$C$37*'契約別単価'!I6+'前提と出典'!$C$38*'契約別単価'!I7)</ns0:f>
        <ns0:v>41857.96648044692</ns0:v>
      </ns0:c>
      <ns0:c r="J996" s="16">
        <ns0:f>A996*('前提と出典'!$C$36*'契約別単価'!J5+'前提と出典'!$C$37*'契約別単価'!J6+'前提と出典'!$C$38*'契約別単価'!J7)</ns0:f>
        <ns0:v>97503.22736062015</ns0:v>
      </ns0:c>
      <ns0:c r="K996" s="16">
        <ns0:f>A996*('前提と出典'!$C$36*'契約別単価'!K5+'前提と出典'!$C$37*'契約別単価'!K6+'前提と出典'!$C$38*'契約別単価'!K7)</ns0:f>
        <ns0:v>417933.10986964614</ns0:v>
      </ns0:c>
      <ns0:c r="L996" s="16">
        <ns0:f>A996*('前提と出典'!$C$36*'契約別単価'!L5+'前提と出典'!$C$37*'契約別単価'!L6+'前提と出典'!$C$38*'契約別単価'!L7)</ns0:f>
        <ns0:v>340282.59554757026</ns0:v>
      </ns0:c>
      <ns0:c r="M996" s="16">
        <ns0:f>IF(('前提と出典'!$C$36+'前提と出典'!$C$38)=0,0,IF(B996&lt;=10,'前提と出典'!B73+'前提と出典'!C73,IF(B996&lt;=100,'前提と出典'!B74+'前提と出典'!C74,IF(B996&lt;=500,'前提と出典'!B75+'前提と出典'!C75,'前提と出典'!B76+'前提と出典'!C76))))</ns0:f>
        <ns0:v>80000</ns0:v>
      </ns0:c>
      <ns0:c r="N996" s="16">
        <ns0:f>IF(('前提と出典'!$C$37+'前提と出典'!$C$38)=0,0,IF(C996&lt;=10,'前提と出典'!D73+'前提と出典'!E73,IF(C996&lt;=100,'前提と出典'!D74+'前提と出典'!E74,IF(C996&lt;=500,'前提と出典'!D75+'前提と出典'!E75,'前提と出典'!D76+'前提と出典'!E76))))</ns0:f>
        <ns0:v>86510.9346263078</ns0:v>
      </ns0:c>
      <ns0:c r="O996" s="16">
        <ns0:f>IF('前提と出典'!$C$36+'前提と出典'!$C$38=0,0,'前提と出典'!$B$4*IF('前提と出典'!$B$20=0,MAX('前提と出典'!$B$6,D996*'前提と出典'!$B$5),'前提と出典'!$B$6+D996*'前提と出典'!$B$5))</ns0:f>
        <ns0:v>985039.374301676</ns0:v>
      </ns0:c>
      <ns0:c r="P996" s="16">
        <ns0:f>(E996+G996)*(1-'前提と出典'!$B$7)-I996-K996-M996-O996</ns0:f>
        <ns0:v>2782649.994563968</ns0:v>
      </ns0:c>
      <ns0:c r="Q996" s="16">
        <ns0:f>(F996+H996)*(1-'前提と出典'!$B$7)-J996-L996-N996</ns0:f>
        <ns0:v>834848.1360734918</ns0:v>
      </ns0:c>
      <ns0:c r="R996" s="16">
        <ns0:f>P996-E996*'前提と出典'!$E$4</ns0:f>
        <ns0:v>2034521.412607472</ns0:v>
      </ns0:c>
      <ns0:c r="S996" s="16">
        <ns0:f>Q996-F996*'前提と出典'!$E$4</ns0:f>
        <ns0:v>617461.0934265236</ns0:v>
      </ns0:c>
      <ns0:c r="T996" s="7">
        <ns0:f>R996+S996</ns0:f>
        <ns0:v>2651982.5060339957</ns0:v>
      </ns0:c>
      <ns0:c r="U996" s="16">
        <ns0:f>P996-E996*'前提と出典'!$E$5</ns0:f>
        <ns0:v>1785145.2186219734</ns0:v>
      </ns0:c>
      <ns0:c r="V996" s="16">
        <ns0:f>Q996-F996*'前提と出典'!$E$5</ns0:f>
        <ns0:v>544998.745877534</ns0:v>
      </ns0:c>
      <ns0:c r="W996" s="7">
        <ns0:f>U996+V996</ns0:f>
        <ns0:v>2330143.9644995076</ns0:v>
      </ns0:c>
      <ns0:c r="X996" s="16">
        <ns0:f>P996-E996*'前提と出典'!$E$6</ns0:f>
        <ns0:v>1535769.024636475</ns0:v>
      </ns0:c>
      <ns0:c r="Y996" s="16">
        <ns0:f>Q996-F996*'前提と出典'!$E$6</ns0:f>
        <ns0:v>472536.3983285446</ns0:v>
      </ns0:c>
      <ns0:c r="Z996" s="7">
        <ns0:f>X996+Y996</ns0:f>
        <ns0:v>2008305.4229650195</ns0:v>
      </ns0:c>
      <ns0:c r="AA996" s="7">
        <ns0:f>IF(T996&gt;=0,A996,1001)</ns0:f>
        <ns0:v>992</ns0:v>
      </ns0:c>
      <ns0:c r="AB996" s="7">
        <ns0:f>IF(T996&lt;0,A996,0)</ns0:f>
        <ns0:v>0</ns0:v>
      </ns0:c>
      <ns0:c r="AC996" s="16">
        <ns0:f>IF(AND(OR('前提と出典'!$C$36+'前提と出典'!$C$38=0,R996&gt;=0),OR('前提と出典'!$C$37+'前提と出典'!$C$38=0,S996&gt;=0)),0,A996)</ns0:f>
        <ns0:v>0</ns0:v>
      </ns0:c>
      <ns0:c r="AD996" s="7">
        <ns0:f>IF(W996&gt;=0,A996,1001)</ns0:f>
        <ns0:v>992</ns0:v>
      </ns0:c>
      <ns0:c r="AE996" s="7">
        <ns0:f>IF(W996&lt;0,A996,0)</ns0:f>
        <ns0:v>0</ns0:v>
      </ns0:c>
      <ns0:c r="AF996" s="16">
        <ns0:f>IF(AND(OR('前提と出典'!$C$36+'前提と出典'!$C$38=0,U996&gt;=0),OR('前提と出典'!$C$37+'前提と出典'!$C$38=0,V996&gt;=0)),0,A996)</ns0:f>
        <ns0:v>0</ns0:v>
      </ns0:c>
      <ns0:c r="AG996" s="7">
        <ns0:f>IF(Z996&gt;=0,A996,1001)</ns0:f>
        <ns0:v>992</ns0:v>
      </ns0:c>
      <ns0:c r="AH996" s="4">
        <ns0:f>IF(Z996&lt;0,A996,0)</ns0:f>
        <ns0:v>0</ns0:v>
      </ns0:c>
      <ns0:c r="AI996" s="12">
        <ns0:f>IF(AND(OR('前提と出典'!$C$36+'前提と出典'!$C$38=0,X996&gt;=0),OR('前提と出典'!$C$37+'前提と出典'!$C$38=0,Y996&gt;=0)),0,A996)</ns0:f>
        <ns0:v>0</ns0:v>
      </ns0:c>
    </ns0:row>
    <ns0:row r="997" ht="24" customHeight="1">
      <ns0:c r="A997" s="4" t="n">
        <ns0:v>993</ns0:v>
      </ns0:c>
      <ns0:c r="B997" s="12">
        <ns0:f>A997*('前提と出典'!$C$36+'前提と出典'!$C$38)</ns0:f>
        <ns0:v>695.0999999999999</ns0:v>
      </ns0:c>
      <ns0:c r="C997" s="12">
        <ns0:f>A997*('前提と出典'!$C$37+'前提と出典'!$C$38)</ns0:f>
        <ns0:v>595.8</ns0:v>
      </ns0:c>
      <ns0:c r="D997" s="16">
        <ns0:f>A997*('前提と出典'!$C$36*'契約別単価'!C5+'前提と出典'!$C$37*'契約別単価'!C6+'前提と出典'!$C$38*'契約別単価'!C7)</ns0:f>
        <ns0:v>7145.1620111731845</ns0:v>
      </ns0:c>
      <ns0:c r="E997" s="16">
        <ns0:f>A997*('前提と出典'!$C$36*'契約別単価'!E5+'前提と出典'!$C$37*'契約別単価'!E6+'前提と出典'!$C$38*'契約別単価'!E7)</ns0:f>
        <ns0:v>2496275.812778227</ns0:v>
      </ns0:c>
      <ns0:c r="F997" s="16">
        <ns0:f>A997*('前提と出典'!$C$36*'契約別単価'!F5+'前提と出典'!$C$37*'契約別単価'!F6+'前提と出典'!$C$38*'契約別単価'!F7)</ns0:f>
        <ns0:v>725353.9427030899</ns0:v>
      </ns0:c>
      <ns0:c r="G997" s="16">
        <ns0:f>A997*('前提と出典'!$C$36*'契約別単価'!G5+'前提と出典'!$C$37*'契約別単価'!G6+'前提と出典'!$C$38*'契約別単価'!G7)</ns0:f>
        <ns0:v>1976569.2737430166</ns0:v>
      </ns0:c>
      <ns0:c r="H997" s="16">
        <ns0:f>A997*('前提と出典'!$C$36*'契約別単価'!H5+'前提と出典'!$C$37*'契約別単価'!H6+'前提と出典'!$C$38*'契約別単価'!H7)</ns0:f>
        <ns0:v>685968.6707279412</ns0:v>
      </ns0:c>
      <ns0:c r="I997" s="16">
        <ns0:f>A997*('前提と出典'!$C$36*'契約別単価'!I5+'前提と出典'!$C$37*'契約別単価'!I6+'前提と出典'!$C$38*'契約別単価'!I7)</ns0:f>
        <ns0:v>41900.162011173175</ns0:v>
      </ns0:c>
      <ns0:c r="J997" s="16">
        <ns0:f>A997*('前提と出典'!$C$36*'契約別単価'!J5+'前提と出典'!$C$37*'契約別単価'!J6+'前提と出典'!$C$38*'契約別単価'!J7)</ns0:f>
        <ns0:v>97601.51690433045</ns0:v>
      </ns0:c>
      <ns0:c r="K997" s="16">
        <ns0:f>A997*('前提と出典'!$C$36*'契約別単価'!K5+'前提と出典'!$C$37*'契約別単価'!K6+'前提と出典'!$C$38*'契約別単価'!K7)</ns0:f>
        <ns0:v>418354.4134078212</ns0:v>
      </ns0:c>
      <ns0:c r="L997" s="16">
        <ns0:f>A997*('前提と出典'!$C$36*'契約別単価'!L5+'前提と出典'!$C$37*'契約別単価'!L6+'前提と出典'!$C$38*'契約別単価'!L7)</ns0:f>
        <ns0:v>340625.62235759804</ns0:v>
      </ns0:c>
      <ns0:c r="M997" s="16">
        <ns0:f>IF(('前提と出典'!$C$36+'前提と出典'!$C$38)=0,0,IF(B997&lt;=10,'前提と出典'!B73+'前提と出典'!C73,IF(B997&lt;=100,'前提と出典'!B74+'前提と出典'!C74,IF(B997&lt;=500,'前提と出典'!B75+'前提と出典'!C75,'前提と出典'!B76+'前提と出典'!C76))))</ns0:f>
        <ns0:v>80000</ns0:v>
      </ns0:c>
      <ns0:c r="N997" s="16">
        <ns0:f>IF(('前提と出典'!$C$37+'前提と出典'!$C$38)=0,0,IF(C997&lt;=10,'前提と出典'!D73+'前提と出典'!E73,IF(C997&lt;=100,'前提と出典'!D74+'前提と出典'!E74,IF(C997&lt;=500,'前提と出典'!D75+'前提と出典'!E75,'前提と出典'!D76+'前提と出典'!E76))))</ns0:f>
        <ns0:v>86510.9346263078</ns0:v>
      </ns0:c>
      <ns0:c r="O997" s="16">
        <ns0:f>IF('前提と出典'!$C$36+'前提と出典'!$C$38=0,0,'前提と出典'!$B$4*IF('前提と出典'!$B$20=0,MAX('前提と出典'!$B$6,D997*'前提と出典'!$B$5),'前提と出典'!$B$6+D997*'前提と出典'!$B$5))</ns0:f>
        <ns0:v>986032.3575418995</ns0:v>
      </ns0:c>
      <ns0:c r="P997" s="16">
        <ns0:f>(E997+G997)*(1-'前提と出典'!$B$7)-I997-K997-M997-O997</ns0:f>
        <ns0:v>2785535.7304455847</ns0:v>
      </ns0:c>
      <ns0:c r="Q997" s="16">
        <ns0:f>(F997+H997)*(1-'前提と出典'!$B$7)-J997-L997-N997</ns0:f>
        <ns0:v>835776.9254592776</ns0:v>
      </ns0:c>
      <ns0:c r="R997" s="16">
        <ns0:f>P997-E997*'前提と出典'!$E$4</ns0:f>
        <ns0:v>2036652.9866121165</ns0:v>
      </ns0:c>
      <ns0:c r="S997" s="16">
        <ns0:f>Q997-F997*'前提と出典'!$E$4</ns0:f>
        <ns0:v>618170.7426483507</ns0:v>
      </ns0:c>
      <ns0:c r="T997" s="7">
        <ns0:f>R997+S997</ns0:f>
        <ns0:v>2654823.729260467</ns0:v>
      </ns0:c>
      <ns0:c r="U997" s="16">
        <ns0:f>P997-E997*'前提と出典'!$E$5</ns0:f>
        <ns0:v>1787025.4053342938</ns0:v>
      </ns0:c>
      <ns0:c r="V997" s="16">
        <ns0:f>Q997-F997*'前提と出典'!$E$5</ns0:f>
        <ns0:v>545635.3483780416</ns0:v>
      </ns0:c>
      <ns0:c r="W997" s="7">
        <ns0:f>U997+V997</ns0:f>
        <ns0:v>2332660.7537123356</ns0:v>
      </ns0:c>
      <ns0:c r="X997" s="16">
        <ns0:f>P997-E997*'前提と出典'!$E$6</ns0:f>
        <ns0:v>1537397.8240564712</ns0:v>
      </ns0:c>
      <ns0:c r="Y997" s="16">
        <ns0:f>Q997-F997*'前提と出典'!$E$6</ns0:f>
        <ns0:v>473099.9541077326</ns0:v>
      </ns0:c>
      <ns0:c r="Z997" s="7">
        <ns0:f>X997+Y997</ns0:f>
        <ns0:v>2010497.7781642037</ns0:v>
      </ns0:c>
      <ns0:c r="AA997" s="7">
        <ns0:f>IF(T997&gt;=0,A997,1001)</ns0:f>
        <ns0:v>993</ns0:v>
      </ns0:c>
      <ns0:c r="AB997" s="7">
        <ns0:f>IF(T997&lt;0,A997,0)</ns0:f>
        <ns0:v>0</ns0:v>
      </ns0:c>
      <ns0:c r="AC997" s="16">
        <ns0:f>IF(AND(OR('前提と出典'!$C$36+'前提と出典'!$C$38=0,R997&gt;=0),OR('前提と出典'!$C$37+'前提と出典'!$C$38=0,S997&gt;=0)),0,A997)</ns0:f>
        <ns0:v>0</ns0:v>
      </ns0:c>
      <ns0:c r="AD997" s="7">
        <ns0:f>IF(W997&gt;=0,A997,1001)</ns0:f>
        <ns0:v>993</ns0:v>
      </ns0:c>
      <ns0:c r="AE997" s="7">
        <ns0:f>IF(W997&lt;0,A997,0)</ns0:f>
        <ns0:v>0</ns0:v>
      </ns0:c>
      <ns0:c r="AF997" s="16">
        <ns0:f>IF(AND(OR('前提と出典'!$C$36+'前提と出典'!$C$38=0,U997&gt;=0),OR('前提と出典'!$C$37+'前提と出典'!$C$38=0,V997&gt;=0)),0,A997)</ns0:f>
        <ns0:v>0</ns0:v>
      </ns0:c>
      <ns0:c r="AG997" s="7">
        <ns0:f>IF(Z997&gt;=0,A997,1001)</ns0:f>
        <ns0:v>993</ns0:v>
      </ns0:c>
      <ns0:c r="AH997" s="4">
        <ns0:f>IF(Z997&lt;0,A997,0)</ns0:f>
        <ns0:v>0</ns0:v>
      </ns0:c>
      <ns0:c r="AI997" s="12">
        <ns0:f>IF(AND(OR('前提と出典'!$C$36+'前提と出典'!$C$38=0,X997&gt;=0),OR('前提と出典'!$C$37+'前提と出典'!$C$38=0,Y997&gt;=0)),0,A997)</ns0:f>
        <ns0:v>0</ns0:v>
      </ns0:c>
    </ns0:row>
    <ns0:row r="998" ht="24" customHeight="1">
      <ns0:c r="A998" s="4" t="n">
        <ns0:v>994</ns0:v>
      </ns0:c>
      <ns0:c r="B998" s="12">
        <ns0:f>A998*('前提と出典'!$C$36+'前提と出典'!$C$38)</ns0:f>
        <ns0:v>695.8</ns0:v>
      </ns0:c>
      <ns0:c r="C998" s="12">
        <ns0:f>A998*('前提と出典'!$C$37+'前提と出典'!$C$38)</ns0:f>
        <ns0:v>596.4</ns0:v>
      </ns0:c>
      <ns0:c r="D998" s="16">
        <ns0:f>A998*('前提と出典'!$C$36*'契約別単価'!C5+'前提と出典'!$C$37*'契約別単価'!C6+'前提と出典'!$C$38*'契約別単価'!C7)</ns0:f>
        <ns0:v>7152.3575418994415</ns0:v>
      </ns0:c>
      <ns0:c r="E998" s="16">
        <ns0:f>A998*('前提と出典'!$C$36*'契約別単価'!E5+'前提と出典'!$C$37*'契約別単価'!E6+'前提と出典'!$C$38*'契約別単価'!E7)</ns0:f>
        <ns0:v>2498789.6857014676</ns0:v>
      </ns0:c>
      <ns0:c r="F998" s="16">
        <ns0:f>A998*('前提と出典'!$C$36*'契約別単価'!F5+'前提と出典'!$C$37*'契約別単価'!F6+'前提と出典'!$C$38*'契約別単価'!F7)</ns0:f>
        <ns0:v>726084.4099162854</ns0:v>
      </ns0:c>
      <ns0:c r="G998" s="16">
        <ns0:f>A998*('前提と出典'!$C$36*'契約別単価'!G5+'前提と出典'!$C$37*'契約別単価'!G6+'前提と出典'!$C$38*'契約別単価'!G7)</ns0:f>
        <ns0:v>1978559.7765363127</ns0:v>
      </ns0:c>
      <ns0:c r="H998" s="16">
        <ns0:f>A998*('前提と出典'!$C$36*'契約別単価'!H5+'前提と出典'!$C$37*'契約別単価'!H6+'前提と出典'!$C$38*'契約別単価'!H7)</ns0:f>
        <ns0:v>686659.475028775</ns0:v>
      </ns0:c>
      <ns0:c r="I998" s="16">
        <ns0:f>A998*('前提と出典'!$C$36*'契約別単価'!I5+'前提と出典'!$C$37*'契約別単価'!I6+'前提と出典'!$C$38*'契約別単価'!I7)</ns0:f>
        <ns0:v>41942.35754189944</ns0:v>
      </ns0:c>
      <ns0:c r="J998" s="16">
        <ns0:f>A998*('前提と出典'!$C$36*'契約別単価'!J5+'前提と出典'!$C$37*'契約別単価'!J6+'前提と出典'!$C$38*'契約別単価'!J7)</ns0:f>
        <ns0:v>97699.80644804075</ns0:v>
      </ns0:c>
      <ns0:c r="K998" s="16">
        <ns0:f>A998*('前提と出典'!$C$36*'契約別単価'!K5+'前提と出典'!$C$37*'契約別単価'!K6+'前提と出典'!$C$38*'契約別単価'!K7)</ns0:f>
        <ns0:v>418775.7169459963</ns0:v>
      </ns0:c>
      <ns0:c r="L998" s="16">
        <ns0:f>A998*('前提と出典'!$C$36*'契約別単価'!L5+'前提と出典'!$C$37*'契約別単価'!L6+'前提と出典'!$C$38*'契約別単価'!L7)</ns0:f>
        <ns0:v>340968.6491676258</ns0:v>
      </ns0:c>
      <ns0:c r="M998" s="16">
        <ns0:f>IF(('前提と出典'!$C$36+'前提と出典'!$C$38)=0,0,IF(B998&lt;=10,'前提と出典'!B73+'前提と出典'!C73,IF(B998&lt;=100,'前提と出典'!B74+'前提と出典'!C74,IF(B998&lt;=500,'前提と出典'!B75+'前提と出典'!C75,'前提と出典'!B76+'前提と出典'!C76))))</ns0:f>
        <ns0:v>80000</ns0:v>
      </ns0:c>
      <ns0:c r="N998" s="16">
        <ns0:f>IF(('前提と出典'!$C$37+'前提と出典'!$C$38)=0,0,IF(C998&lt;=10,'前提と出典'!D73+'前提と出典'!E73,IF(C998&lt;=100,'前提と出典'!D74+'前提と出典'!E74,IF(C998&lt;=500,'前提と出典'!D75+'前提と出典'!E75,'前提と出典'!D76+'前提と出典'!E76))))</ns0:f>
        <ns0:v>86510.9346263078</ns0:v>
      </ns0:c>
      <ns0:c r="O998" s="16">
        <ns0:f>IF('前提と出典'!$C$36+'前提と出典'!$C$38=0,0,'前提と出典'!$B$4*IF('前提と出典'!$B$20=0,MAX('前提と出典'!$B$6,D998*'前提と出典'!$B$5),'前提と出典'!$B$6+D998*'前提と出典'!$B$5))</ns0:f>
        <ns0:v>987025.3407821229</ns0:v>
      </ns0:c>
      <ns0:c r="P998" s="16">
        <ns0:f>(E998+G998)*(1-'前提と出典'!$B$7)-I998-K998-M998-O998</ns0:f>
        <ns0:v>2788421.4663272016</ns0:v>
      </ns0:c>
      <ns0:c r="Q998" s="16">
        <ns0:f>(F998+H998)*(1-'前提と出典'!$B$7)-J998-L998-N998</ns0:f>
        <ns0:v>836705.7148450639</ns0:v>
      </ns0:c>
      <ns0:c r="R998" s="16">
        <ns0:f>P998-E998*'前提と出典'!$E$4</ns0:f>
        <ns0:v>2038784.5606167612</ns0:v>
      </ns0:c>
      <ns0:c r="S998" s="16">
        <ns0:f>Q998-F998*'前提と出典'!$E$4</ns0:f>
        <ns0:v>618880.3918701784</ns0:v>
      </ns0:c>
      <ns0:c r="T998" s="7">
        <ns0:f>R998+S998</ns0:f>
        <ns0:v>2657664.9524869397</ns0:v>
      </ns0:c>
      <ns0:c r="U998" s="16">
        <ns0:f>P998-E998*'前提と出典'!$E$5</ns0:f>
        <ns0:v>1788905.5920466145</ns0:v>
      </ns0:c>
      <ns0:c r="V998" s="16">
        <ns0:f>Q998-F998*'前提と出典'!$E$5</ns0:f>
        <ns0:v>546271.9508785497</ns0:v>
      </ns0:c>
      <ns0:c r="W998" s="7">
        <ns0:f>U998+V998</ns0:f>
        <ns0:v>2335177.542925164</ns0:v>
      </ns0:c>
      <ns0:c r="X998" s="16">
        <ns0:f>P998-E998*'前提と出典'!$E$6</ns0:f>
        <ns0:v>1539026.6234764678</ns0:v>
      </ns0:c>
      <ns0:c r="Y998" s="16">
        <ns0:f>Q998-F998*'前提と出典'!$E$6</ns0:f>
        <ns0:v>473663.50988692127</ns0:v>
      </ns0:c>
      <ns0:c r="Z998" s="7">
        <ns0:f>X998+Y998</ns0:f>
        <ns0:v>2012690.133363389</ns0:v>
      </ns0:c>
      <ns0:c r="AA998" s="7">
        <ns0:f>IF(T998&gt;=0,A998,1001)</ns0:f>
        <ns0:v>994</ns0:v>
      </ns0:c>
      <ns0:c r="AB998" s="7">
        <ns0:f>IF(T998&lt;0,A998,0)</ns0:f>
        <ns0:v>0</ns0:v>
      </ns0:c>
      <ns0:c r="AC998" s="16">
        <ns0:f>IF(AND(OR('前提と出典'!$C$36+'前提と出典'!$C$38=0,R998&gt;=0),OR('前提と出典'!$C$37+'前提と出典'!$C$38=0,S998&gt;=0)),0,A998)</ns0:f>
        <ns0:v>0</ns0:v>
      </ns0:c>
      <ns0:c r="AD998" s="7">
        <ns0:f>IF(W998&gt;=0,A998,1001)</ns0:f>
        <ns0:v>994</ns0:v>
      </ns0:c>
      <ns0:c r="AE998" s="7">
        <ns0:f>IF(W998&lt;0,A998,0)</ns0:f>
        <ns0:v>0</ns0:v>
      </ns0:c>
      <ns0:c r="AF998" s="16">
        <ns0:f>IF(AND(OR('前提と出典'!$C$36+'前提と出典'!$C$38=0,U998&gt;=0),OR('前提と出典'!$C$37+'前提と出典'!$C$38=0,V998&gt;=0)),0,A998)</ns0:f>
        <ns0:v>0</ns0:v>
      </ns0:c>
      <ns0:c r="AG998" s="7">
        <ns0:f>IF(Z998&gt;=0,A998,1001)</ns0:f>
        <ns0:v>994</ns0:v>
      </ns0:c>
      <ns0:c r="AH998" s="4">
        <ns0:f>IF(Z998&lt;0,A998,0)</ns0:f>
        <ns0:v>0</ns0:v>
      </ns0:c>
      <ns0:c r="AI998" s="12">
        <ns0:f>IF(AND(OR('前提と出典'!$C$36+'前提と出典'!$C$38=0,X998&gt;=0),OR('前提と出典'!$C$37+'前提と出典'!$C$38=0,Y998&gt;=0)),0,A998)</ns0:f>
        <ns0:v>0</ns0:v>
      </ns0:c>
    </ns0:row>
    <ns0:row r="999" ht="24" customHeight="1">
      <ns0:c r="A999" s="4" t="n">
        <ns0:v>995</ns0:v>
      </ns0:c>
      <ns0:c r="B999" s="12">
        <ns0:f>A999*('前提と出典'!$C$36+'前提と出典'!$C$38)</ns0:f>
        <ns0:v>696.5</ns0:v>
      </ns0:c>
      <ns0:c r="C999" s="12">
        <ns0:f>A999*('前提と出典'!$C$37+'前提と出典'!$C$38)</ns0:f>
        <ns0:v>597</ns0:v>
      </ns0:c>
      <ns0:c r="D999" s="16">
        <ns0:f>A999*('前提と出典'!$C$36*'契約別単価'!C5+'前提と出典'!$C$37*'契約別単価'!C6+'前提と出典'!$C$38*'契約別単価'!C7)</ns0:f>
        <ns0:v>7159.553072625698</ns0:v>
      </ns0:c>
      <ns0:c r="E999" s="16">
        <ns0:f>A999*('前提と出典'!$C$36*'契約別単価'!E5+'前提と出典'!$C$37*'契約別単価'!E6+'前提と出典'!$C$38*'契約別単価'!E7)</ns0:f>
        <ns0:v>2501303.5586247086</ns0:v>
      </ns0:c>
      <ns0:c r="F999" s="16">
        <ns0:f>A999*('前提と出典'!$C$36*'契約別単価'!F5+'前提と出典'!$C$37*'契約別単価'!F6+'前提と出典'!$C$38*'契約別単価'!F7)</ns0:f>
        <ns0:v>726814.8771294808</ns0:v>
      </ns0:c>
      <ns0:c r="G999" s="16">
        <ns0:f>A999*('前提と出典'!$C$36*'契約別単価'!G5+'前提と出典'!$C$37*'契約別単価'!G6+'前提と出典'!$C$38*'契約別単価'!G7)</ns0:f>
        <ns0:v>1980550.279329609</ns0:v>
      </ns0:c>
      <ns0:c r="H999" s="16">
        <ns0:f>A999*('前提と出典'!$C$36*'契約別単価'!H5+'前提と出典'!$C$37*'契約別単価'!H6+'前提と出典'!$C$38*'契約別単価'!H7)</ns0:f>
        <ns0:v>687350.2793296088</ns0:v>
      </ns0:c>
      <ns0:c r="I999" s="16">
        <ns0:f>A999*('前提と出典'!$C$36*'契約別単価'!I5+'前提と出典'!$C$37*'契約別単価'!I6+'前提と出典'!$C$38*'契約別単価'!I7)</ns0:f>
        <ns0:v>41984.55307262569</ns0:v>
      </ns0:c>
      <ns0:c r="J999" s="16">
        <ns0:f>A999*('前提と出典'!$C$36*'契約別単価'!J5+'前提と出典'!$C$37*'契約別単価'!J6+'前提と出典'!$C$38*'契約別単価'!J7)</ns0:f>
        <ns0:v>97798.09599175105</ns0:v>
      </ns0:c>
      <ns0:c r="K999" s="16">
        <ns0:f>A999*('前提と出典'!$C$36*'契約別単価'!K5+'前提と出典'!$C$37*'契約別単価'!K6+'前提と出典'!$C$38*'契約別単価'!K7)</ns0:f>
        <ns0:v>419197.0204841713</ns0:v>
      </ns0:c>
      <ns0:c r="L999" s="16">
        <ns0:f>A999*('前提と出典'!$C$36*'契約別単価'!L5+'前提と出典'!$C$37*'契約別単価'!L6+'前提と出典'!$C$38*'契約別単価'!L7)</ns0:f>
        <ns0:v>341311.6759776536</ns0:v>
      </ns0:c>
      <ns0:c r="M999" s="16">
        <ns0:f>IF(('前提と出典'!$C$36+'前提と出典'!$C$38)=0,0,IF(B999&lt;=10,'前提と出典'!B73+'前提と出典'!C73,IF(B999&lt;=100,'前提と出典'!B74+'前提と出典'!C74,IF(B999&lt;=500,'前提と出典'!B75+'前提と出典'!C75,'前提と出典'!B76+'前提と出典'!C76))))</ns0:f>
        <ns0:v>80000</ns0:v>
      </ns0:c>
      <ns0:c r="N999" s="16">
        <ns0:f>IF(('前提と出典'!$C$37+'前提と出典'!$C$38)=0,0,IF(C999&lt;=10,'前提と出典'!D73+'前提と出典'!E73,IF(C999&lt;=100,'前提と出典'!D74+'前提と出典'!E74,IF(C999&lt;=500,'前提と出典'!D75+'前提と出典'!E75,'前提と出典'!D76+'前提と出典'!E76))))</ns0:f>
        <ns0:v>86510.9346263078</ns0:v>
      </ns0:c>
      <ns0:c r="O999" s="16">
        <ns0:f>IF('前提と出典'!$C$36+'前提と出典'!$C$38=0,0,'前提と出典'!$B$4*IF('前提と出典'!$B$20=0,MAX('前提と出典'!$B$6,D999*'前提と出典'!$B$5),'前提と出典'!$B$6+D999*'前提と出典'!$B$5))</ns0:f>
        <ns0:v>988018.3240223464</ns0:v>
      </ns0:c>
      <ns0:c r="P999" s="16">
        <ns0:f>(E999+G999)*(1-'前提と出典'!$B$7)-I999-K999-M999-O999</ns0:f>
        <ns0:v>2791307.2022088184</ns0:v>
      </ns0:c>
      <ns0:c r="Q999" s="16">
        <ns0:f>(F999+H999)*(1-'前提と出典'!$B$7)-J999-L999-N999</ns0:f>
        <ns0:v>837634.5042308501</ns0:v>
      </ns0:c>
      <ns0:c r="R999" s="16">
        <ns0:f>P999-E999*'前提と出典'!$E$4</ns0:f>
        <ns0:v>2040916.1346214057</ns0:v>
      </ns0:c>
      <ns0:c r="S999" s="16">
        <ns0:f>Q999-F999*'前提と出典'!$E$4</ns0:f>
        <ns0:v>619590.0410920059</ns0:v>
      </ns0:c>
      <ns0:c r="T999" s="7">
        <ns0:f>R999+S999</ns0:f>
        <ns0:v>2660506.1757134115</ns0:v>
      </ns0:c>
      <ns0:c r="U999" s="16">
        <ns0:f>P999-E999*'前提と出典'!$E$5</ns0:f>
        <ns0:v>1790785.778758935</ns0:v>
      </ns0:c>
      <ns0:c r="V999" s="16">
        <ns0:f>Q999-F999*'前提と出典'!$E$5</ns0:f>
        <ns0:v>546908.5533790578</ns0:v>
      </ns0:c>
      <ns0:c r="W999" s="7">
        <ns0:f>U999+V999</ns0:f>
        <ns0:v>2337694.3321379926</ns0:v>
      </ns0:c>
      <ns0:c r="X999" s="16">
        <ns0:f>P999-E999*'前提と出典'!$E$6</ns0:f>
        <ns0:v>1540655.4228964637</ns0:v>
      </ns0:c>
      <ns0:c r="Y999" s="16">
        <ns0:f>Q999-F999*'前提と出典'!$E$6</ns0:f>
        <ns0:v>474227.06566610956</ns0:v>
      </ns0:c>
      <ns0:c r="Z999" s="7">
        <ns0:f>X999+Y999</ns0:f>
        <ns0:v>2014882.4885625732</ns0:v>
      </ns0:c>
      <ns0:c r="AA999" s="7">
        <ns0:f>IF(T999&gt;=0,A999,1001)</ns0:f>
        <ns0:v>995</ns0:v>
      </ns0:c>
      <ns0:c r="AB999" s="7">
        <ns0:f>IF(T999&lt;0,A999,0)</ns0:f>
        <ns0:v>0</ns0:v>
      </ns0:c>
      <ns0:c r="AC999" s="16">
        <ns0:f>IF(AND(OR('前提と出典'!$C$36+'前提と出典'!$C$38=0,R999&gt;=0),OR('前提と出典'!$C$37+'前提と出典'!$C$38=0,S999&gt;=0)),0,A999)</ns0:f>
        <ns0:v>0</ns0:v>
      </ns0:c>
      <ns0:c r="AD999" s="7">
        <ns0:f>IF(W999&gt;=0,A999,1001)</ns0:f>
        <ns0:v>995</ns0:v>
      </ns0:c>
      <ns0:c r="AE999" s="7">
        <ns0:f>IF(W999&lt;0,A999,0)</ns0:f>
        <ns0:v>0</ns0:v>
      </ns0:c>
      <ns0:c r="AF999" s="16">
        <ns0:f>IF(AND(OR('前提と出典'!$C$36+'前提と出典'!$C$38=0,U999&gt;=0),OR('前提と出典'!$C$37+'前提と出典'!$C$38=0,V999&gt;=0)),0,A999)</ns0:f>
        <ns0:v>0</ns0:v>
      </ns0:c>
      <ns0:c r="AG999" s="7">
        <ns0:f>IF(Z999&gt;=0,A999,1001)</ns0:f>
        <ns0:v>995</ns0:v>
      </ns0:c>
      <ns0:c r="AH999" s="4">
        <ns0:f>IF(Z999&lt;0,A999,0)</ns0:f>
        <ns0:v>0</ns0:v>
      </ns0:c>
      <ns0:c r="AI999" s="12">
        <ns0:f>IF(AND(OR('前提と出典'!$C$36+'前提と出典'!$C$38=0,X999&gt;=0),OR('前提と出典'!$C$37+'前提と出典'!$C$38=0,Y999&gt;=0)),0,A999)</ns0:f>
        <ns0:v>0</ns0:v>
      </ns0:c>
    </ns0:row>
    <ns0:row r="1000" ht="24" customHeight="1">
      <ns0:c r="A1000" s="4" t="n">
        <ns0:v>996</ns0:v>
      </ns0:c>
      <ns0:c r="B1000" s="12">
        <ns0:f>A1000*('前提と出典'!$C$36+'前提と出典'!$C$38)</ns0:f>
        <ns0:v>697.1999999999999</ns0:v>
      </ns0:c>
      <ns0:c r="C1000" s="12">
        <ns0:f>A1000*('前提と出典'!$C$37+'前提と出典'!$C$38)</ns0:f>
        <ns0:v>597.6</ns0:v>
      </ns0:c>
      <ns0:c r="D1000" s="16">
        <ns0:f>A1000*('前提と出典'!$C$36*'契約別単価'!C5+'前提と出典'!$C$37*'契約別単価'!C6+'前提と出典'!$C$38*'契約別単価'!C7)</ns0:f>
        <ns0:v>7166.748603351955</ns0:v>
      </ns0:c>
      <ns0:c r="E1000" s="16">
        <ns0:f>A1000*('前提と出典'!$C$36*'契約別単価'!E5+'前提と出典'!$C$37*'契約別単価'!E6+'前提と出典'!$C$38*'契約別単価'!E7)</ns0:f>
        <ns0:v>2503817.4315479496</ns0:v>
      </ns0:c>
      <ns0:c r="F1000" s="16">
        <ns0:f>A1000*('前提と出典'!$C$36*'契約別単価'!F5+'前提と出典'!$C$37*'契約別単価'!F6+'前提と出典'!$C$38*'契約別単価'!F7)</ns0:f>
        <ns0:v>727545.3443426763</ns0:v>
      </ns0:c>
      <ns0:c r="G1000" s="16">
        <ns0:f>A1000*('前提と出典'!$C$36*'契約別単価'!G5+'前提と出典'!$C$37*'契約別単価'!G6+'前提と出典'!$C$38*'契約別単価'!G7)</ns0:f>
        <ns0:v>1982540.782122905</ns0:v>
      </ns0:c>
      <ns0:c r="H1000" s="16">
        <ns0:f>A1000*('前提と出典'!$C$36*'契約別単価'!H5+'前提と出典'!$C$37*'契約別単価'!H6+'前提と出典'!$C$38*'契約別単価'!H7)</ns0:f>
        <ns0:v>688041.0836304426</ns0:v>
      </ns0:c>
      <ns0:c r="I1000" s="16">
        <ns0:f>A1000*('前提と出典'!$C$36*'契約別単価'!I5+'前提と出典'!$C$37*'契約別単価'!I6+'前提と出典'!$C$38*'契約別単価'!I7)</ns0:f>
        <ns0:v>42026.748603351945</ns0:v>
      </ns0:c>
      <ns0:c r="J1000" s="16">
        <ns0:f>A1000*('前提と出典'!$C$36*'契約別単価'!J5+'前提と出典'!$C$37*'契約別単価'!J6+'前提と出典'!$C$38*'契約別単価'!J7)</ns0:f>
        <ns0:v>97896.38553546136</ns0:v>
      </ns0:c>
      <ns0:c r="K1000" s="16">
        <ns0:f>A1000*('前提と出典'!$C$36*'契約別単価'!K5+'前提と出典'!$C$37*'契約別単価'!K6+'前提と出典'!$C$38*'契約別単価'!K7)</ns0:f>
        <ns0:v>419618.32402234635</ns0:v>
      </ns0:c>
      <ns0:c r="L1000" s="16">
        <ns0:f>A1000*('前提と出典'!$C$36*'契約別単価'!L5+'前提と出典'!$C$37*'契約別単価'!L6+'前提と出典'!$C$38*'契約別単価'!L7)</ns0:f>
        <ns0:v>341654.7027876814</ns0:v>
      </ns0:c>
      <ns0:c r="M1000" s="16">
        <ns0:f>IF(('前提と出典'!$C$36+'前提と出典'!$C$38)=0,0,IF(B1000&lt;=10,'前提と出典'!B73+'前提と出典'!C73,IF(B1000&lt;=100,'前提と出典'!B74+'前提と出典'!C74,IF(B1000&lt;=500,'前提と出典'!B75+'前提と出典'!C75,'前提と出典'!B76+'前提と出典'!C76))))</ns0:f>
        <ns0:v>80000</ns0:v>
      </ns0:c>
      <ns0:c r="N1000" s="16">
        <ns0:f>IF(('前提と出典'!$C$37+'前提と出典'!$C$38)=0,0,IF(C1000&lt;=10,'前提と出典'!D73+'前提と出典'!E73,IF(C1000&lt;=100,'前提と出典'!D74+'前提と出典'!E74,IF(C1000&lt;=500,'前提と出典'!D75+'前提と出典'!E75,'前提と出典'!D76+'前提と出典'!E76))))</ns0:f>
        <ns0:v>86510.9346263078</ns0:v>
      </ns0:c>
      <ns0:c r="O1000" s="16">
        <ns0:f>IF('前提と出典'!$C$36+'前提と出典'!$C$38=0,0,'前提と出典'!$B$4*IF('前提と出典'!$B$20=0,MAX('前提と出典'!$B$6,D1000*'前提と出典'!$B$5),'前提と出典'!$B$6+D1000*'前提と出典'!$B$5))</ns0:f>
        <ns0:v>989011.3072625699</ns0:v>
      </ns0:c>
      <ns0:c r="P1000" s="16">
        <ns0:f>(E1000+G1000)*(1-'前提と出典'!$B$7)-I1000-K1000-M1000-O1000</ns0:f>
        <ns0:v>2794192.938090436</ns0:v>
      </ns0:c>
      <ns0:c r="Q1000" s="16">
        <ns0:f>(F1000+H1000)*(1-'前提と出典'!$B$7)-J1000-L1000-N1000</ns0:f>
        <ns0:v>838563.2936166361</ns0:v>
      </ns0:c>
      <ns0:c r="R1000" s="16">
        <ns0:f>P1000-E1000*'前提と出典'!$E$4</ns0:f>
        <ns0:v>2043047.7086260512</ns0:v>
      </ns0:c>
      <ns0:c r="S1000" s="16">
        <ns0:f>Q1000-F1000*'前提と出典'!$E$4</ns0:f>
        <ns0:v>620299.6903138333</ns0:v>
      </ns0:c>
      <ns0:c r="T1000" s="7">
        <ns0:f>R1000+S1000</ns0:f>
        <ns0:v>2663347.3989398843</ns0:v>
      </ns0:c>
      <ns0:c r="U1000" s="16">
        <ns0:f>P1000-E1000*'前提と出典'!$E$5</ns0:f>
        <ns0:v>1792665.9654712563</ns0:v>
      </ns0:c>
      <ns0:c r="V1000" s="16">
        <ns0:f>Q1000-F1000*'前提と出典'!$E$5</ns0:f>
        <ns0:v>547545.1558795655</ns0:v>
      </ns0:c>
      <ns0:c r="W1000" s="7">
        <ns0:f>U1000+V1000</ns0:f>
        <ns0:v>2340211.121350822</ns0:v>
      </ns0:c>
      <ns0:c r="X1000" s="16">
        <ns0:f>P1000-E1000*'前提と出典'!$E$6</ns0:f>
        <ns0:v>1542284.2223164614</ns0:v>
      </ns0:c>
      <ns0:c r="Y1000" s="16">
        <ns0:f>Q1000-F1000*'前提と出典'!$E$6</ns0:f>
        <ns0:v>474790.62144529796</ns0:v>
      </ns0:c>
      <ns0:c r="Z1000" s="7">
        <ns0:f>X1000+Y1000</ns0:f>
        <ns0:v>2017074.8437617593</ns0:v>
      </ns0:c>
      <ns0:c r="AA1000" s="7">
        <ns0:f>IF(T1000&gt;=0,A1000,1001)</ns0:f>
        <ns0:v>996</ns0:v>
      </ns0:c>
      <ns0:c r="AB1000" s="7">
        <ns0:f>IF(T1000&lt;0,A1000,0)</ns0:f>
        <ns0:v>0</ns0:v>
      </ns0:c>
      <ns0:c r="AC1000" s="16">
        <ns0:f>IF(AND(OR('前提と出典'!$C$36+'前提と出典'!$C$38=0,R1000&gt;=0),OR('前提と出典'!$C$37+'前提と出典'!$C$38=0,S1000&gt;=0)),0,A1000)</ns0:f>
        <ns0:v>0</ns0:v>
      </ns0:c>
      <ns0:c r="AD1000" s="7">
        <ns0:f>IF(W1000&gt;=0,A1000,1001)</ns0:f>
        <ns0:v>996</ns0:v>
      </ns0:c>
      <ns0:c r="AE1000" s="7">
        <ns0:f>IF(W1000&lt;0,A1000,0)</ns0:f>
        <ns0:v>0</ns0:v>
      </ns0:c>
      <ns0:c r="AF1000" s="16">
        <ns0:f>IF(AND(OR('前提と出典'!$C$36+'前提と出典'!$C$38=0,U1000&gt;=0),OR('前提と出典'!$C$37+'前提と出典'!$C$38=0,V1000&gt;=0)),0,A1000)</ns0:f>
        <ns0:v>0</ns0:v>
      </ns0:c>
      <ns0:c r="AG1000" s="7">
        <ns0:f>IF(Z1000&gt;=0,A1000,1001)</ns0:f>
        <ns0:v>996</ns0:v>
      </ns0:c>
      <ns0:c r="AH1000" s="4">
        <ns0:f>IF(Z1000&lt;0,A1000,0)</ns0:f>
        <ns0:v>0</ns0:v>
      </ns0:c>
      <ns0:c r="AI1000" s="12">
        <ns0:f>IF(AND(OR('前提と出典'!$C$36+'前提と出典'!$C$38=0,X1000&gt;=0),OR('前提と出典'!$C$37+'前提と出典'!$C$38=0,Y1000&gt;=0)),0,A1000)</ns0:f>
        <ns0:v>0</ns0:v>
      </ns0:c>
    </ns0:row>
    <ns0:row r="1001" ht="24" customHeight="1">
      <ns0:c r="A1001" s="4" t="n">
        <ns0:v>997</ns0:v>
      </ns0:c>
      <ns0:c r="B1001" s="12">
        <ns0:f>A1001*('前提と出典'!$C$36+'前提と出典'!$C$38)</ns0:f>
        <ns0:v>697.9</ns0:v>
      </ns0:c>
      <ns0:c r="C1001" s="12">
        <ns0:f>A1001*('前提と出典'!$C$37+'前提と出典'!$C$38)</ns0:f>
        <ns0:v>598.1999999999999</ns0:v>
      </ns0:c>
      <ns0:c r="D1001" s="16">
        <ns0:f>A1001*('前提と出典'!$C$36*'契約別単価'!C5+'前提と出典'!$C$37*'契約別単価'!C6+'前提と出典'!$C$38*'契約別単価'!C7)</ns0:f>
        <ns0:v>7173.944134078212</ns0:v>
      </ns0:c>
      <ns0:c r="E1001" s="16">
        <ns0:f>A1001*('前提と出典'!$C$36*'契約別単価'!E5+'前提と出典'!$C$37*'契約別単価'!E6+'前提と出典'!$C$38*'契約別単価'!E7)</ns0:f>
        <ns0:v>2506331.3044711906</ns0:v>
      </ns0:c>
      <ns0:c r="F1001" s="16">
        <ns0:f>A1001*('前提と出典'!$C$36*'契約別単価'!F5+'前提と出典'!$C$37*'契約別単価'!F6+'前提と出典'!$C$38*'契約別単価'!F7)</ns0:f>
        <ns0:v>728275.8115558717</ns0:v>
      </ns0:c>
      <ns0:c r="G1001" s="16">
        <ns0:f>A1001*('前提と出典'!$C$36*'契約別単価'!G5+'前提と出典'!$C$37*'契約別単価'!G6+'前提と出典'!$C$38*'契約別単価'!G7)</ns0:f>
        <ns0:v>1984531.2849162011</ns0:v>
      </ns0:c>
      <ns0:c r="H1001" s="16">
        <ns0:f>A1001*('前提と出典'!$C$36*'契約別単価'!H5+'前提と出典'!$C$37*'契約別単価'!H6+'前提と出典'!$C$38*'契約別単価'!H7)</ns0:f>
        <ns0:v>688731.8879312763</ns0:v>
      </ns0:c>
      <ns0:c r="I1001" s="16">
        <ns0:f>A1001*('前提と出典'!$C$36*'契約別単価'!I5+'前提と出典'!$C$37*'契約別単価'!I6+'前提と出典'!$C$38*'契約別単価'!I7)</ns0:f>
        <ns0:v>42068.94413407821</ns0:v>
      </ns0:c>
      <ns0:c r="J1001" s="16">
        <ns0:f>A1001*('前提と出典'!$C$36*'契約別単価'!J5+'前提と出典'!$C$37*'契約別単価'!J6+'前提と出典'!$C$38*'契約別単価'!J7)</ns0:f>
        <ns0:v>97994.67507917166</ns0:v>
      </ns0:c>
      <ns0:c r="K1001" s="16">
        <ns0:f>A1001*('前提と出典'!$C$36*'契約別単価'!K5+'前提と出典'!$C$37*'契約別単価'!K6+'前提と出典'!$C$38*'契約別単価'!K7)</ns0:f>
        <ns0:v>420039.62756052136</ns0:v>
      </ns0:c>
      <ns0:c r="L1001" s="16">
        <ns0:f>A1001*('前提と出典'!$C$36*'契約別単価'!L5+'前提と出典'!$C$37*'契約別単価'!L6+'前提と出典'!$C$38*'契約別単価'!L7)</ns0:f>
        <ns0:v>341997.7295977092</ns0:v>
      </ns0:c>
      <ns0:c r="M1001" s="16">
        <ns0:f>IF(('前提と出典'!$C$36+'前提と出典'!$C$38)=0,0,IF(B1001&lt;=10,'前提と出典'!B73+'前提と出典'!C73,IF(B1001&lt;=100,'前提と出典'!B74+'前提と出典'!C74,IF(B1001&lt;=500,'前提と出典'!B75+'前提と出典'!C75,'前提と出典'!B76+'前提と出典'!C76))))</ns0:f>
        <ns0:v>80000</ns0:v>
      </ns0:c>
      <ns0:c r="N1001" s="16">
        <ns0:f>IF(('前提と出典'!$C$37+'前提と出典'!$C$38)=0,0,IF(C1001&lt;=10,'前提と出典'!D73+'前提と出典'!E73,IF(C1001&lt;=100,'前提と出典'!D74+'前提と出典'!E74,IF(C1001&lt;=500,'前提と出典'!D75+'前提と出典'!E75,'前提と出典'!D76+'前提と出典'!E76))))</ns0:f>
        <ns0:v>86510.9346263078</ns0:v>
      </ns0:c>
      <ns0:c r="O1001" s="16">
        <ns0:f>IF('前提と出典'!$C$36+'前提と出典'!$C$38=0,0,'前提と出典'!$B$4*IF('前提と出典'!$B$20=0,MAX('前提と出典'!$B$6,D1001*'前提と出典'!$B$5),'前提と出典'!$B$6+D1001*'前提と出典'!$B$5))</ns0:f>
        <ns0:v>990004.2905027934</ns0:v>
      </ns0:c>
      <ns0:c r="P1001" s="16">
        <ns0:f>(E1001+G1001)*(1-'前提と出典'!$B$7)-I1001-K1001-M1001-O1001</ns0:f>
        <ns0:v>2797078.673972053</ns0:v>
      </ns0:c>
      <ns0:c r="Q1001" s="16">
        <ns0:f>(F1001+H1001)*(1-'前提と出典'!$B$7)-J1001-L1001-N1001</ns0:f>
        <ns0:v>839492.083002422</ns0:v>
      </ns0:c>
      <ns0:c r="R1001" s="16">
        <ns0:f>P1001-E1001*'前提と出典'!$E$4</ns0:f>
        <ns0:v>2045179.2826306957</ns0:v>
      </ns0:c>
      <ns0:c r="S1001" s="16">
        <ns0:f>Q1001-F1001*'前提と出典'!$E$4</ns0:f>
        <ns0:v>621009.3395356606</ns0:v>
      </ns0:c>
      <ns0:c r="T1001" s="7">
        <ns0:f>R1001+S1001</ns0:f>
        <ns0:v>2666188.622166356</ns0:v>
      </ns0:c>
      <ns0:c r="U1001" s="16">
        <ns0:f>P1001-E1001*'前提と出典'!$E$5</ns0:f>
        <ns0:v>1794546.1521835767</ns0:v>
      </ns0:c>
      <ns0:c r="V1001" s="16">
        <ns0:f>Q1001-F1001*'前提と出典'!$E$5</ns0:f>
        <ns0:v>548181.7583800734</ns0:v>
      </ns0:c>
      <ns0:c r="W1001" s="7">
        <ns0:f>U1001+V1001</ns0:f>
        <ns0:v>2342727.91056365</ns0:v>
      </ns0:c>
      <ns0:c r="X1001" s="16">
        <ns0:f>P1001-E1001*'前提と出典'!$E$6</ns0:f>
        <ns0:v>1543913.0217364572</ns0:v>
      </ns0:c>
      <ns0:c r="Y1001" s="16">
        <ns0:f>Q1001-F1001*'前提と出典'!$E$6</ns0:f>
        <ns0:v>475354.17722448613</ns0:v>
      </ns0:c>
      <ns0:c r="Z1001" s="7">
        <ns0:f>X1001+Y1001</ns0:f>
        <ns0:v>2019267.1989609434</ns0:v>
      </ns0:c>
      <ns0:c r="AA1001" s="7">
        <ns0:f>IF(T1001&gt;=0,A1001,1001)</ns0:f>
        <ns0:v>997</ns0:v>
      </ns0:c>
      <ns0:c r="AB1001" s="7">
        <ns0:f>IF(T1001&lt;0,A1001,0)</ns0:f>
        <ns0:v>0</ns0:v>
      </ns0:c>
      <ns0:c r="AC1001" s="16">
        <ns0:f>IF(AND(OR('前提と出典'!$C$36+'前提と出典'!$C$38=0,R1001&gt;=0),OR('前提と出典'!$C$37+'前提と出典'!$C$38=0,S1001&gt;=0)),0,A1001)</ns0:f>
        <ns0:v>0</ns0:v>
      </ns0:c>
      <ns0:c r="AD1001" s="7">
        <ns0:f>IF(W1001&gt;=0,A1001,1001)</ns0:f>
        <ns0:v>997</ns0:v>
      </ns0:c>
      <ns0:c r="AE1001" s="7">
        <ns0:f>IF(W1001&lt;0,A1001,0)</ns0:f>
        <ns0:v>0</ns0:v>
      </ns0:c>
      <ns0:c r="AF1001" s="16">
        <ns0:f>IF(AND(OR('前提と出典'!$C$36+'前提と出典'!$C$38=0,U1001&gt;=0),OR('前提と出典'!$C$37+'前提と出典'!$C$38=0,V1001&gt;=0)),0,A1001)</ns0:f>
        <ns0:v>0</ns0:v>
      </ns0:c>
      <ns0:c r="AG1001" s="7">
        <ns0:f>IF(Z1001&gt;=0,A1001,1001)</ns0:f>
        <ns0:v>997</ns0:v>
      </ns0:c>
      <ns0:c r="AH1001" s="4">
        <ns0:f>IF(Z1001&lt;0,A1001,0)</ns0:f>
        <ns0:v>0</ns0:v>
      </ns0:c>
      <ns0:c r="AI1001" s="12">
        <ns0:f>IF(AND(OR('前提と出典'!$C$36+'前提と出典'!$C$38=0,X1001&gt;=0),OR('前提と出典'!$C$37+'前提と出典'!$C$38=0,Y1001&gt;=0)),0,A1001)</ns0:f>
        <ns0:v>0</ns0:v>
      </ns0:c>
    </ns0:row>
    <ns0:row r="1002" ht="24" customHeight="1">
      <ns0:c r="A1002" s="4" t="n">
        <ns0:v>998</ns0:v>
      </ns0:c>
      <ns0:c r="B1002" s="12">
        <ns0:f>A1002*('前提と出典'!$C$36+'前提と出典'!$C$38)</ns0:f>
        <ns0:v>698.5999999999999</ns0:v>
      </ns0:c>
      <ns0:c r="C1002" s="12">
        <ns0:f>A1002*('前提と出典'!$C$37+'前提と出典'!$C$38)</ns0:f>
        <ns0:v>598.8</ns0:v>
      </ns0:c>
      <ns0:c r="D1002" s="16">
        <ns0:f>A1002*('前提と出典'!$C$36*'契約別単価'!C5+'前提と出典'!$C$37*'契約別単価'!C6+'前提と出典'!$C$38*'契約別単価'!C7)</ns0:f>
        <ns0:v>7181.139664804469</ns0:v>
      </ns0:c>
      <ns0:c r="E1002" s="16">
        <ns0:f>A1002*('前提と出典'!$C$36*'契約別単価'!E5+'前提と出典'!$C$37*'契約別単価'!E6+'前提と出典'!$C$38*'契約別単価'!E7)</ns0:f>
        <ns0:v>2508845.1773944316</ns0:v>
      </ns0:c>
      <ns0:c r="F1002" s="16">
        <ns0:f>A1002*('前提と出典'!$C$36*'契約別単価'!F5+'前提と出典'!$C$37*'契約別単価'!F6+'前提と出典'!$C$38*'契約別単価'!F7)</ns0:f>
        <ns0:v>729006.2787690673</ns0:v>
      </ns0:c>
      <ns0:c r="G1002" s="16">
        <ns0:f>A1002*('前提と出典'!$C$36*'契約別単価'!G5+'前提と出典'!$C$37*'契約別単価'!G6+'前提と出典'!$C$38*'契約別単価'!G7)</ns0:f>
        <ns0:v>1986521.7877094971</ns0:v>
      </ns0:c>
      <ns0:c r="H1002" s="16">
        <ns0:f>A1002*('前提と出典'!$C$36*'契約別単価'!H5+'前提と出典'!$C$37*'契約別単価'!H6+'前提と出典'!$C$38*'契約別単価'!H7)</ns0:f>
        <ns0:v>689422.6922321102</ns0:v>
      </ns0:c>
      <ns0:c r="I1002" s="16">
        <ns0:f>A1002*('前提と出典'!$C$36*'契約別単価'!I5+'前提と出典'!$C$37*'契約別単価'!I6+'前提と出典'!$C$38*'契約別単価'!I7)</ns0:f>
        <ns0:v>42111.13966480446</ns0:v>
      </ns0:c>
      <ns0:c r="J1002" s="16">
        <ns0:f>A1002*('前提と出典'!$C$36*'契約別単価'!J5+'前提と出典'!$C$37*'契約別単価'!J6+'前提と出典'!$C$38*'契約別単価'!J7)</ns0:f>
        <ns0:v>98092.96462288196</ns0:v>
      </ns0:c>
      <ns0:c r="K1002" s="16">
        <ns0:f>A1002*('前提と出典'!$C$36*'契約別単価'!K5+'前提と出典'!$C$37*'契約別単価'!K6+'前提と出典'!$C$38*'契約別単価'!K7)</ns0:f>
        <ns0:v>420460.9310986964</ns0:v>
      </ns0:c>
      <ns0:c r="L1002" s="16">
        <ns0:f>A1002*('前提と出典'!$C$36*'契約別単価'!L5+'前提と出典'!$C$37*'契約別単価'!L6+'前提と出典'!$C$38*'契約別単価'!L7)</ns0:f>
        <ns0:v>342340.756407737</ns0:v>
      </ns0:c>
      <ns0:c r="M1002" s="16">
        <ns0:f>IF(('前提と出典'!$C$36+'前提と出典'!$C$38)=0,0,IF(B1002&lt;=10,'前提と出典'!B73+'前提と出典'!C73,IF(B1002&lt;=100,'前提と出典'!B74+'前提と出典'!C74,IF(B1002&lt;=500,'前提と出典'!B75+'前提と出典'!C75,'前提と出典'!B76+'前提と出典'!C76))))</ns0:f>
        <ns0:v>80000</ns0:v>
      </ns0:c>
      <ns0:c r="N1002" s="16">
        <ns0:f>IF(('前提と出典'!$C$37+'前提と出典'!$C$38)=0,0,IF(C1002&lt;=10,'前提と出典'!D73+'前提と出典'!E73,IF(C1002&lt;=100,'前提と出典'!D74+'前提と出典'!E74,IF(C1002&lt;=500,'前提と出典'!D75+'前提と出典'!E75,'前提と出典'!D76+'前提と出典'!E76))))</ns0:f>
        <ns0:v>86510.9346263078</ns0:v>
      </ns0:c>
      <ns0:c r="O1002" s="16">
        <ns0:f>IF('前提と出典'!$C$36+'前提と出典'!$C$38=0,0,'前提と出典'!$B$4*IF('前提と出典'!$B$20=0,MAX('前提と出典'!$B$6,D1002*'前提と出典'!$B$5),'前提と出典'!$B$6+D1002*'前提と出典'!$B$5))</ns0:f>
        <ns0:v>990997.2737430168</ns0:v>
      </ns0:c>
      <ns0:c r="P1002" s="16">
        <ns0:f>(E1002+G1002)*(1-'前提と出典'!$B$7)-I1002-K1002-M1002-O1002</ns0:f>
        <ns0:v>2799964.40985367</ns0:v>
      </ns0:c>
      <ns0:c r="Q1002" s="16">
        <ns0:f>(F1002+H1002)*(1-'前提と出典'!$B$7)-J1002-L1002-N1002</ns0:f>
        <ns0:v>840420.8723882083</ns0:v>
      </ns0:c>
      <ns0:c r="R1002" s="16">
        <ns0:f>P1002-E1002*'前提と出典'!$E$4</ns0:f>
        <ns0:v>2047310.8566353405</ns0:v>
      </ns0:c>
      <ns0:c r="S1002" s="16">
        <ns0:f>Q1002-F1002*'前提と出典'!$E$4</ns0:f>
        <ns0:v>621718.9887574881</ns0:v>
      </ns0:c>
      <ns0:c r="T1002" s="7">
        <ns0:f>R1002+S1002</ns0:f>
        <ns0:v>2669029.845392829</ns0:v>
      </ns0:c>
      <ns0:c r="U1002" s="16">
        <ns0:f>P1002-E1002*'前提と出典'!$E$5</ns0:f>
        <ns0:v>1796426.3388958974</ns0:v>
      </ns0:c>
      <ns0:c r="V1002" s="16">
        <ns0:f>Q1002-F1002*'前提と出典'!$E$5</ns0:f>
        <ns0:v>548818.3608805814</ns0:v>
      </ns0:c>
      <ns0:c r="W1002" s="7">
        <ns0:f>U1002+V1002</ns0:f>
        <ns0:v>2345244.699776479</ns0:v>
      </ns0:c>
      <ns0:c r="X1002" s="16">
        <ns0:f>P1002-E1002*'前提と出典'!$E$6</ns0:f>
        <ns0:v>1545541.8211564543</ns0:v>
      </ns0:c>
      <ns0:c r="Y1002" s="16">
        <ns0:f>Q1002-F1002*'前提と出典'!$E$6</ns0:f>
        <ns0:v>475917.7330036748</ns0:v>
      </ns0:c>
      <ns0:c r="Z1002" s="7">
        <ns0:f>X1002+Y1002</ns0:f>
        <ns0:v>2021459.554160129</ns0:v>
      </ns0:c>
      <ns0:c r="AA1002" s="7">
        <ns0:f>IF(T1002&gt;=0,A1002,1001)</ns0:f>
        <ns0:v>998</ns0:v>
      </ns0:c>
      <ns0:c r="AB1002" s="7">
        <ns0:f>IF(T1002&lt;0,A1002,0)</ns0:f>
        <ns0:v>0</ns0:v>
      </ns0:c>
      <ns0:c r="AC1002" s="16">
        <ns0:f>IF(AND(OR('前提と出典'!$C$36+'前提と出典'!$C$38=0,R1002&gt;=0),OR('前提と出典'!$C$37+'前提と出典'!$C$38=0,S1002&gt;=0)),0,A1002)</ns0:f>
        <ns0:v>0</ns0:v>
      </ns0:c>
      <ns0:c r="AD1002" s="7">
        <ns0:f>IF(W1002&gt;=0,A1002,1001)</ns0:f>
        <ns0:v>998</ns0:v>
      </ns0:c>
      <ns0:c r="AE1002" s="7">
        <ns0:f>IF(W1002&lt;0,A1002,0)</ns0:f>
        <ns0:v>0</ns0:v>
      </ns0:c>
      <ns0:c r="AF1002" s="16">
        <ns0:f>IF(AND(OR('前提と出典'!$C$36+'前提と出典'!$C$38=0,U1002&gt;=0),OR('前提と出典'!$C$37+'前提と出典'!$C$38=0,V1002&gt;=0)),0,A1002)</ns0:f>
        <ns0:v>0</ns0:v>
      </ns0:c>
      <ns0:c r="AG1002" s="7">
        <ns0:f>IF(Z1002&gt;=0,A1002,1001)</ns0:f>
        <ns0:v>998</ns0:v>
      </ns0:c>
      <ns0:c r="AH1002" s="4">
        <ns0:f>IF(Z1002&lt;0,A1002,0)</ns0:f>
        <ns0:v>0</ns0:v>
      </ns0:c>
      <ns0:c r="AI1002" s="12">
        <ns0:f>IF(AND(OR('前提と出典'!$C$36+'前提と出典'!$C$38=0,X1002&gt;=0),OR('前提と出典'!$C$37+'前提と出典'!$C$38=0,Y1002&gt;=0)),0,A1002)</ns0:f>
        <ns0:v>0</ns0:v>
      </ns0:c>
    </ns0:row>
    <ns0:row r="1003" ht="24" customHeight="1">
      <ns0:c r="A1003" s="4" t="n">
        <ns0:v>999</ns0:v>
      </ns0:c>
      <ns0:c r="B1003" s="12">
        <ns0:f>A1003*('前提と出典'!$C$36+'前提と出典'!$C$38)</ns0:f>
        <ns0:v>699.3</ns0:v>
      </ns0:c>
      <ns0:c r="C1003" s="12">
        <ns0:f>A1003*('前提と出典'!$C$37+'前提と出典'!$C$38)</ns0:f>
        <ns0:v>599.4</ns0:v>
      </ns0:c>
      <ns0:c r="D1003" s="16">
        <ns0:f>A1003*('前提と出典'!$C$36*'契約別単価'!C5+'前提と出典'!$C$37*'契約別単価'!C6+'前提と出典'!$C$38*'契約別単価'!C7)</ns0:f>
        <ns0:v>7188.335195530726</ns0:v>
      </ns0:c>
      <ns0:c r="E1003" s="16">
        <ns0:f>A1003*('前提と出典'!$C$36*'契約別単価'!E5+'前提と出典'!$C$37*'契約別単価'!E6+'前提と出典'!$C$38*'契約別単価'!E7)</ns0:f>
        <ns0:v>2511359.050317672</ns0:v>
      </ns0:c>
      <ns0:c r="F1003" s="16">
        <ns0:f>A1003*('前提と出典'!$C$36*'契約別単価'!F5+'前提と出典'!$C$37*'契約別単価'!F6+'前提と出典'!$C$38*'契約別単価'!F7)</ns0:f>
        <ns0:v>729736.7459822627</ns0:v>
      </ns0:c>
      <ns0:c r="G1003" s="16">
        <ns0:f>A1003*('前提と出典'!$C$36*'契約別単価'!G5+'前提と出典'!$C$37*'契約別単価'!G6+'前提と出典'!$C$38*'契約別単価'!G7)</ns0:f>
        <ns0:v>1988512.2905027932</ns0:v>
      </ns0:c>
      <ns0:c r="H1003" s="16">
        <ns0:f>A1003*('前提と出典'!$C$36*'契約別単価'!H5+'前提と出典'!$C$37*'契約別単価'!H6+'前提と出典'!$C$38*'契約別単価'!H7)</ns0:f>
        <ns0:v>690113.4965329439</ns0:v>
      </ns0:c>
      <ns0:c r="I1003" s="16">
        <ns0:f>A1003*('前提と出典'!$C$36*'契約別単価'!I5+'前提と出典'!$C$37*'契約別単価'!I6+'前提と出典'!$C$38*'契約別単価'!I7)</ns0:f>
        <ns0:v>42153.33519553072</ns0:v>
      </ns0:c>
      <ns0:c r="J1003" s="16">
        <ns0:f>A1003*('前提と出典'!$C$36*'契約別単価'!J5+'前提と出典'!$C$37*'契約別単価'!J6+'前提と出典'!$C$38*'契約別単価'!J7)</ns0:f>
        <ns0:v>98191.25416659226</ns0:v>
      </ns0:c>
      <ns0:c r="K1003" s="16">
        <ns0:f>A1003*('前提と出典'!$C$36*'契約別単価'!K5+'前提と出典'!$C$37*'契約別単価'!K6+'前提と出典'!$C$38*'契約別単価'!K7)</ns0:f>
        <ns0:v>420882.2346368715</ns0:v>
      </ns0:c>
      <ns0:c r="L1003" s="16">
        <ns0:f>A1003*('前提と出典'!$C$36*'契約別単価'!L5+'前提と出典'!$C$37*'契約別単価'!L6+'前提と出典'!$C$38*'契約別単価'!L7)</ns0:f>
        <ns0:v>342683.7832177648</ns0:v>
      </ns0:c>
      <ns0:c r="M1003" s="16">
        <ns0:f>IF(('前提と出典'!$C$36+'前提と出典'!$C$38)=0,0,IF(B1003&lt;=10,'前提と出典'!B73+'前提と出典'!C73,IF(B1003&lt;=100,'前提と出典'!B74+'前提と出典'!C74,IF(B1003&lt;=500,'前提と出典'!B75+'前提と出典'!C75,'前提と出典'!B76+'前提と出典'!C76))))</ns0:f>
        <ns0:v>80000</ns0:v>
      </ns0:c>
      <ns0:c r="N1003" s="16">
        <ns0:f>IF(('前提と出典'!$C$37+'前提と出典'!$C$38)=0,0,IF(C1003&lt;=10,'前提と出典'!D73+'前提と出典'!E73,IF(C1003&lt;=100,'前提と出典'!D74+'前提と出典'!E74,IF(C1003&lt;=500,'前提と出典'!D75+'前提と出典'!E75,'前提と出典'!D76+'前提と出典'!E76))))</ns0:f>
        <ns0:v>86510.9346263078</ns0:v>
      </ns0:c>
      <ns0:c r="O1003" s="16">
        <ns0:f>IF('前提と出典'!$C$36+'前提と出典'!$C$38=0,0,'前提と出典'!$B$4*IF('前提と出典'!$B$20=0,MAX('前提と出典'!$B$6,D1003*'前提と出典'!$B$5),'前提と出典'!$B$6+D1003*'前提と出典'!$B$5))</ns0:f>
        <ns0:v>991990.2569832403</ns0:v>
      </ns0:c>
      <ns0:c r="P1003" s="16">
        <ns0:f>(E1003+G1003)*(1-'前提と出典'!$B$7)-I1003-K1003-M1003-O1003</ns0:f>
        <ns0:v>2802850.145735286</ns0:v>
      </ns0:c>
      <ns0:c r="Q1003" s="16">
        <ns0:f>(F1003+H1003)*(1-'前提と出典'!$B$7)-J1003-L1003-N1003</ns0:f>
        <ns0:v>841349.6617739943</ns0:v>
      </ns0:c>
      <ns0:c r="R1003" s="16">
        <ns0:f>P1003-E1003*'前提と出典'!$E$4</ns0:f>
        <ns0:v>2049442.4306399846</ns0:v>
      </ns0:c>
      <ns0:c r="S1003" s="16">
        <ns0:f>Q1003-F1003*'前提と出典'!$E$4</ns0:f>
        <ns0:v>622428.6379793157</ns0:v>
      </ns0:c>
      <ns0:c r="T1003" s="7">
        <ns0:f>R1003+S1003</ns0:f>
        <ns0:v>2671871.0686193</ns0:v>
      </ns0:c>
      <ns0:c r="U1003" s="16">
        <ns0:f>P1003-E1003*'前提と出典'!$E$5</ns0:f>
        <ns0:v>1798306.5256082173</ns0:v>
      </ns0:c>
      <ns0:c r="V1003" s="16">
        <ns0:f>Q1003-F1003*'前提と出典'!$E$5</ns0:f>
        <ns0:v>549454.9633810893</ns0:v>
      </ns0:c>
      <ns0:c r="W1003" s="7">
        <ns0:f>U1003+V1003</ns0:f>
        <ns0:v>2347761.4889893066</ns0:v>
      </ns0:c>
      <ns0:c r="X1003" s="16">
        <ns0:f>P1003-E1003*'前提と出典'!$E$6</ns0:f>
        <ns0:v>1547170.6205764501</ns0:v>
      </ns0:c>
      <ns0:c r="Y1003" s="16">
        <ns0:f>Q1003-F1003*'前提と出典'!$E$6</ns0:f>
        <ns0:v>476481.28878286283</ns0:v>
      </ns0:c>
      <ns0:c r="Z1003" s="7">
        <ns0:f>X1003+Y1003</ns0:f>
        <ns0:v>2023651.909359313</ns0:v>
      </ns0:c>
      <ns0:c r="AA1003" s="7">
        <ns0:f>IF(T1003&gt;=0,A1003,1001)</ns0:f>
        <ns0:v>999</ns0:v>
      </ns0:c>
      <ns0:c r="AB1003" s="7">
        <ns0:f>IF(T1003&lt;0,A1003,0)</ns0:f>
        <ns0:v>0</ns0:v>
      </ns0:c>
      <ns0:c r="AC1003" s="16">
        <ns0:f>IF(AND(OR('前提と出典'!$C$36+'前提と出典'!$C$38=0,R1003&gt;=0),OR('前提と出典'!$C$37+'前提と出典'!$C$38=0,S1003&gt;=0)),0,A1003)</ns0:f>
        <ns0:v>0</ns0:v>
      </ns0:c>
      <ns0:c r="AD1003" s="7">
        <ns0:f>IF(W1003&gt;=0,A1003,1001)</ns0:f>
        <ns0:v>999</ns0:v>
      </ns0:c>
      <ns0:c r="AE1003" s="7">
        <ns0:f>IF(W1003&lt;0,A1003,0)</ns0:f>
        <ns0:v>0</ns0:v>
      </ns0:c>
      <ns0:c r="AF1003" s="16">
        <ns0:f>IF(AND(OR('前提と出典'!$C$36+'前提と出典'!$C$38=0,U1003&gt;=0),OR('前提と出典'!$C$37+'前提と出典'!$C$38=0,V1003&gt;=0)),0,A1003)</ns0:f>
        <ns0:v>0</ns0:v>
      </ns0:c>
      <ns0:c r="AG1003" s="7">
        <ns0:f>IF(Z1003&gt;=0,A1003,1001)</ns0:f>
        <ns0:v>999</ns0:v>
      </ns0:c>
      <ns0:c r="AH1003" s="4">
        <ns0:f>IF(Z1003&lt;0,A1003,0)</ns0:f>
        <ns0:v>0</ns0:v>
      </ns0:c>
      <ns0:c r="AI1003" s="12">
        <ns0:f>IF(AND(OR('前提と出典'!$C$36+'前提と出典'!$C$38=0,X1003&gt;=0),OR('前提と出典'!$C$37+'前提と出典'!$C$38=0,Y1003&gt;=0)),0,A1003)</ns0:f>
        <ns0:v>0</ns0:v>
      </ns0:c>
    </ns0:row>
    <ns0:row r="1004" ht="24" customHeight="1">
      <ns0:c r="A1004" s="4" t="n">
        <ns0:v>1000</ns0:v>
      </ns0:c>
      <ns0:c r="B1004" s="12">
        <ns0:f>A1004*('前提と出典'!$C$36+'前提と出典'!$C$38)</ns0:f>
        <ns0:v>700</ns0:v>
      </ns0:c>
      <ns0:c r="C1004" s="12">
        <ns0:f>A1004*('前提と出典'!$C$37+'前提と出典'!$C$38)</ns0:f>
        <ns0:v>600</ns0:v>
      </ns0:c>
      <ns0:c r="D1004" s="16">
        <ns0:f>A1004*('前提と出典'!$C$36*'契約別単価'!C5+'前提と出典'!$C$37*'契約別単価'!C6+'前提と出典'!$C$38*'契約別単価'!C7)</ns0:f>
        <ns0:v>7195.530726256983</ns0:v>
      </ns0:c>
      <ns0:c r="E1004" s="16">
        <ns0:f>A1004*('前提と出典'!$C$36*'契約別単価'!E5+'前提と出典'!$C$37*'契約別単価'!E6+'前提と出典'!$C$38*'契約別単価'!E7)</ns0:f>
        <ns0:v>2513872.923240913</ns0:v>
      </ns0:c>
      <ns0:c r="F1004" s="16">
        <ns0:f>A1004*('前提と出典'!$C$36*'契約別単価'!F5+'前提と出典'!$C$37*'契約別単価'!F6+'前提と出典'!$C$38*'契約別単価'!F7)</ns0:f>
        <ns0:v>730467.2131954582</ns0:v>
      </ns0:c>
      <ns0:c r="G1004" s="16">
        <ns0:f>A1004*('前提と出典'!$C$36*'契約別単価'!G5+'前提と出典'!$C$37*'契約別単価'!G6+'前提と出典'!$C$38*'契約別単価'!G7)</ns0:f>
        <ns0:v>1990502.7932960894</ns0:v>
      </ns0:c>
      <ns0:c r="H1004" s="16">
        <ns0:f>A1004*('前提と出典'!$C$36*'契約別単価'!H5+'前提と出典'!$C$37*'契約別単価'!H6+'前提と出典'!$C$38*'契約別単価'!H7)</ns0:f>
        <ns0:v>690804.3008337776</ns0:v>
      </ns0:c>
      <ns0:c r="I1004" s="16">
        <ns0:f>A1004*('前提と出典'!$C$36*'契約別単価'!I5+'前提と出典'!$C$37*'契約別単価'!I6+'前提と出典'!$C$38*'契約別単価'!I7)</ns0:f>
        <ns0:v>42195.53072625698</ns0:v>
      </ns0:c>
      <ns0:c r="J1004" s="16">
        <ns0:f>A1004*('前提と出典'!$C$36*'契約別単価'!J5+'前提と出典'!$C$37*'契約別単価'!J6+'前提と出典'!$C$38*'契約別単価'!J7)</ns0:f>
        <ns0:v>98289.54371030256</ns0:v>
      </ns0:c>
      <ns0:c r="K1004" s="16">
        <ns0:f>A1004*('前提と出典'!$C$36*'契約別単価'!K5+'前提と出典'!$C$37*'契約別単価'!K6+'前提と出典'!$C$38*'契約別単価'!K7)</ns0:f>
        <ns0:v>421303.5381750465</ns0:v>
      </ns0:c>
      <ns0:c r="L1004" s="16">
        <ns0:f>A1004*('前提と出典'!$C$36*'契約別単価'!L5+'前提と出典'!$C$37*'契約別単価'!L6+'前提と出典'!$C$38*'契約別単価'!L7)</ns0:f>
        <ns0:v>343026.8100277926</ns0:v>
      </ns0:c>
      <ns0:c r="M1004" s="16">
        <ns0:f>IF(('前提と出典'!$C$36+'前提と出典'!$C$38)=0,0,IF(B1004&lt;=10,'前提と出典'!B73+'前提と出典'!C73,IF(B1004&lt;=100,'前提と出典'!B74+'前提と出典'!C74,IF(B1004&lt;=500,'前提と出典'!B75+'前提と出典'!C75,'前提と出典'!B76+'前提と出典'!C76))))</ns0:f>
        <ns0:v>80000</ns0:v>
      </ns0:c>
      <ns0:c r="N1004" s="16">
        <ns0:f>IF(('前提と出典'!$C$37+'前提と出典'!$C$38)=0,0,IF(C1004&lt;=10,'前提と出典'!D73+'前提と出典'!E73,IF(C1004&lt;=100,'前提と出典'!D74+'前提と出典'!E74,IF(C1004&lt;=500,'前提と出典'!D75+'前提と出典'!E75,'前提と出典'!D76+'前提と出典'!E76))))</ns0:f>
        <ns0:v>86510.9346263078</ns0:v>
      </ns0:c>
      <ns0:c r="O1004" s="16">
        <ns0:f>IF('前提と出典'!$C$36+'前提と出典'!$C$38=0,0,'前提と出典'!$B$4*IF('前提と出典'!$B$20=0,MAX('前提と出典'!$B$6,D1004*'前提と出典'!$B$5),'前提と出典'!$B$6+D1004*'前提と出典'!$B$5))</ns0:f>
        <ns0:v>992983.2402234637</ns0:v>
      </ns0:c>
      <ns0:c r="P1004" s="16">
        <ns0:f>(E1004+G1004)*(1-'前提と出典'!$B$7)-I1004-K1004-M1004-O1004</ns0:f>
        <ns0:v>2805735.8816169035</ns0:v>
      </ns0:c>
      <ns0:c r="Q1004" s="16">
        <ns0:f>(F1004+H1004)*(1-'前提と出典'!$B$7)-J1004-L1004-N1004</ns0:f>
        <ns0:v>842278.4511597804</ns0:v>
      </ns0:c>
      <ns0:c r="R1004" s="16">
        <ns0:f>P1004-E1004*'前提と出典'!$E$4</ns0:f>
        <ns0:v>2051574.0046446295</ns0:v>
      </ns0:c>
      <ns0:c r="S1004" s="16">
        <ns0:f>Q1004-F1004*'前提と出典'!$E$4</ns0:f>
        <ns0:v>623138.2872011429</ns0:v>
      </ns0:c>
      <ns0:c r="T1004" s="7">
        <ns0:f>R1004+S1004</ns0:f>
        <ns0:v>2674712.2918457724</ns0:v>
      </ns0:c>
      <ns0:c r="U1004" s="16">
        <ns0:f>P1004-E1004*'前提と出典'!$E$5</ns0:f>
        <ns0:v>1800186.7123205382</ns0:v>
      </ns0:c>
      <ns0:c r="V1004" s="16">
        <ns0:f>Q1004-F1004*'前提と出典'!$E$5</ns0:f>
        <ns0:v>550091.5658815971</ns0:v>
      </ns0:c>
      <ns0:c r="W1004" s="7">
        <ns0:f>U1004+V1004</ns0:f>
        <ns0:v>2350278.278202135</ns0:v>
      </ns0:c>
      <ns0:c r="X1004" s="16">
        <ns0:f>P1004-E1004*'前提と出典'!$E$6</ns0:f>
        <ns0:v>1548799.419996447</ns0:v>
      </ns0:c>
      <ns0:c r="Y1004" s="16">
        <ns0:f>Q1004-F1004*'前提と出典'!$E$6</ns0:f>
        <ns0:v>477044.84456205135</ns0:v>
      </ns0:c>
      <ns0:c r="Z1004" s="7">
        <ns0:f>X1004+Y1004</ns0:f>
        <ns0:v>2025844.2645584983</ns0:v>
      </ns0:c>
      <ns0:c r="AA1004" s="7">
        <ns0:f>IF(T1004&gt;=0,A1004,1001)</ns0:f>
        <ns0:v>1000</ns0:v>
      </ns0:c>
      <ns0:c r="AB1004" s="7">
        <ns0:f>IF(T1004&lt;0,A1004,0)</ns0:f>
        <ns0:v>0</ns0:v>
      </ns0:c>
      <ns0:c r="AC1004" s="16">
        <ns0:f>IF(AND(OR('前提と出典'!$C$36+'前提と出典'!$C$38=0,R1004&gt;=0),OR('前提と出典'!$C$37+'前提と出典'!$C$38=0,S1004&gt;=0)),0,A1004)</ns0:f>
        <ns0:v>0</ns0:v>
      </ns0:c>
      <ns0:c r="AD1004" s="7">
        <ns0:f>IF(W1004&gt;=0,A1004,1001)</ns0:f>
        <ns0:v>1000</ns0:v>
      </ns0:c>
      <ns0:c r="AE1004" s="7">
        <ns0:f>IF(W1004&lt;0,A1004,0)</ns0:f>
        <ns0:v>0</ns0:v>
      </ns0:c>
      <ns0:c r="AF1004" s="16">
        <ns0:f>IF(AND(OR('前提と出典'!$C$36+'前提と出典'!$C$38=0,U1004&gt;=0),OR('前提と出典'!$C$37+'前提と出典'!$C$38=0,V1004&gt;=0)),0,A1004)</ns0:f>
        <ns0:v>0</ns0:v>
      </ns0:c>
      <ns0:c r="AG1004" s="7">
        <ns0:f>IF(Z1004&gt;=0,A1004,1001)</ns0:f>
        <ns0:v>1000</ns0:v>
      </ns0:c>
      <ns0:c r="AH1004" s="4">
        <ns0:f>IF(Z1004&lt;0,A1004,0)</ns0:f>
        <ns0:v>0</ns0:v>
      </ns0:c>
      <ns0:c r="AI1004" s="12">
        <ns0:f>IF(AND(OR('前提と出典'!$C$36+'前提と出典'!$C$38=0,X1004&gt;=0),OR('前提と出典'!$C$37+'前提と出典'!$C$38=0,Y1004&gt;=0)),0,A1004)</ns0:f>
        <ns0:v>0</ns0:v>
      </ns0:c>
    </ns0:row>
    <ns0:row r="1005" ht="24" customHeight="1">
      <ns0:c r="D1005" s="17" t="n"/>
      <ns0:c r="E1005" s="17" t="n"/>
      <ns0:c r="F1005" s="17" t="n"/>
      <ns0:c r="G1005" s="17" t="n"/>
      <ns0:c r="H1005" s="17" t="n"/>
      <ns0:c r="I1005" s="17" t="n"/>
      <ns0:c r="J1005" s="17" t="n"/>
      <ns0:c r="K1005" s="17" t="n"/>
      <ns0:c r="L1005" s="17" t="n"/>
      <ns0:c r="M1005" s="17" t="n"/>
      <ns0:c r="N1005" s="17" t="n"/>
      <ns0:c r="O1005" s="17" t="n"/>
      <ns0:c r="P1005" s="17" t="n"/>
      <ns0:c r="Q1005" s="17" t="n"/>
      <ns0:c r="R1005" s="17" t="n"/>
      <ns0:c r="S1005" s="17" t="n"/>
      <ns0:c r="T1005" s="17" t="n"/>
      <ns0:c r="U1005" s="17" t="n"/>
      <ns0:c r="V1005" s="17" t="n"/>
      <ns0:c r="W1005" s="17" t="n"/>
      <ns0:c r="X1005" s="17" t="n"/>
      <ns0:c r="Y1005" s="17" t="n"/>
      <ns0:c r="Z1005" s="17" t="n"/>
      <ns0:c r="AA1005" s="17" t="n"/>
      <ns0:c r="AB1005" s="17" t="n"/>
      <ns0:c r="AC1005" s="17" t="n"/>
      <ns0:c r="AD1005" s="17" t="n"/>
      <ns0:c r="AE1005" s="17" t="n"/>
      <ns0:c r="AF1005" s="17" t="n"/>
      <ns0:c r="AG1005" s="17" t="n"/>
    </ns0:row>
    <ns0:row r="1006" ht="24" customHeight="1">
      <ns0:c r="D1006" s="17" t="n"/>
      <ns0:c r="E1006" s="17" t="n"/>
      <ns0:c r="F1006" s="17" t="n"/>
      <ns0:c r="G1006" s="17" t="n"/>
      <ns0:c r="H1006" s="17" t="n"/>
      <ns0:c r="I1006" s="17" t="n"/>
      <ns0:c r="J1006" s="17" t="n"/>
      <ns0:c r="K1006" s="17" t="n"/>
      <ns0:c r="L1006" s="17" t="n"/>
      <ns0:c r="M1006" s="17" t="n"/>
      <ns0:c r="N1006" s="17" t="n"/>
      <ns0:c r="O1006" s="17" t="n"/>
      <ns0:c r="P1006" s="17" t="n"/>
      <ns0:c r="Q1006" s="17" t="n"/>
      <ns0:c r="R1006" s="17" t="n"/>
      <ns0:c r="S1006" s="17" t="n"/>
      <ns0:c r="T1006" s="17" t="n"/>
      <ns0:c r="U1006" s="17" t="n"/>
      <ns0:c r="V1006" s="17" t="n"/>
      <ns0:c r="W1006" s="17" t="n"/>
      <ns0:c r="X1006" s="17" t="n"/>
      <ns0:c r="Y1006" s="17" t="n"/>
      <ns0:c r="Z1006" s="17" t="n"/>
      <ns0:c r="AA1006" s="17" t="n"/>
      <ns0:c r="AB1006" s="17" t="n"/>
      <ns0:c r="AC1006" s="17" t="n"/>
      <ns0:c r="AD1006" s="17" t="n"/>
      <ns0:c r="AE1006" s="17" t="n"/>
      <ns0:c r="AF1006" s="17" t="n"/>
      <ns0:c r="AG1006" s="17" t="n"/>
    </ns0:row>
    <ns0:row r="1007" ht="24" customHeight="1">
      <ns0:c r="D1007" s="17" t="n"/>
      <ns0:c r="E1007" s="17" t="n"/>
      <ns0:c r="F1007" s="17" t="n"/>
      <ns0:c r="G1007" s="17" t="n"/>
      <ns0:c r="H1007" s="17" t="n"/>
      <ns0:c r="I1007" s="17" t="n"/>
      <ns0:c r="J1007" s="17" t="n"/>
      <ns0:c r="K1007" s="17" t="n"/>
      <ns0:c r="L1007" s="17" t="n"/>
      <ns0:c r="M1007" s="17" t="n"/>
      <ns0:c r="N1007" s="17" t="n"/>
      <ns0:c r="O1007" s="17" t="n"/>
      <ns0:c r="P1007" s="17" t="n"/>
      <ns0:c r="Q1007" s="17" t="n"/>
      <ns0:c r="R1007" s="17" t="n"/>
      <ns0:c r="S1007" s="17" t="n"/>
      <ns0:c r="T1007" s="17" t="n"/>
      <ns0:c r="U1007" s="17" t="n"/>
      <ns0:c r="V1007" s="17" t="n"/>
      <ns0:c r="W1007" s="17" t="n"/>
      <ns0:c r="X1007" s="17" t="n"/>
      <ns0:c r="Y1007" s="17" t="n"/>
      <ns0:c r="Z1007" s="17" t="n"/>
      <ns0:c r="AA1007" s="17" t="n"/>
      <ns0:c r="AB1007" s="17" t="n"/>
      <ns0:c r="AC1007" s="17" t="n"/>
      <ns0:c r="AD1007" s="17" t="n"/>
      <ns0:c r="AE1007" s="17" t="n"/>
      <ns0:c r="AF1007" s="17" t="n"/>
      <ns0:c r="AG1007" s="17" t="n"/>
    </ns0:row>
    <ns0:row r="1008" ht="24" customHeight="1">
      <ns0:c r="D1008" s="17" t="n"/>
      <ns0:c r="E1008" s="17" t="n"/>
      <ns0:c r="F1008" s="17" t="n"/>
      <ns0:c r="G1008" s="17" t="n"/>
      <ns0:c r="H1008" s="17" t="n"/>
      <ns0:c r="I1008" s="17" t="n"/>
      <ns0:c r="J1008" s="17" t="n"/>
      <ns0:c r="K1008" s="17" t="n"/>
      <ns0:c r="L1008" s="17" t="n"/>
      <ns0:c r="M1008" s="17" t="n"/>
      <ns0:c r="N1008" s="17" t="n"/>
      <ns0:c r="O1008" s="17" t="n"/>
      <ns0:c r="P1008" s="17" t="n"/>
      <ns0:c r="Q1008" s="17" t="n"/>
      <ns0:c r="R1008" s="17" t="n"/>
      <ns0:c r="S1008" s="17" t="n"/>
      <ns0:c r="T1008" s="17" t="n"/>
      <ns0:c r="U1008" s="17" t="n"/>
      <ns0:c r="V1008" s="17" t="n"/>
      <ns0:c r="W1008" s="17" t="n"/>
      <ns0:c r="X1008" s="17" t="n"/>
      <ns0:c r="Y1008" s="17" t="n"/>
      <ns0:c r="Z1008" s="17" t="n"/>
      <ns0:c r="AA1008" s="17" t="n"/>
      <ns0:c r="AB1008" s="17" t="n"/>
      <ns0:c r="AC1008" s="17" t="n"/>
      <ns0:c r="AD1008" s="17" t="n"/>
      <ns0:c r="AE1008" s="17" t="n"/>
      <ns0:c r="AF1008" s="17" t="n"/>
      <ns0:c r="AG1008" s="17" t="n"/>
    </ns0:row>
    <ns0:row r="1009" ht="24" customHeight="1">
      <ns0:c r="D1009" s="17" t="n"/>
      <ns0:c r="E1009" s="17" t="n"/>
      <ns0:c r="F1009" s="17" t="n"/>
      <ns0:c r="G1009" s="17" t="n"/>
      <ns0:c r="H1009" s="17" t="n"/>
      <ns0:c r="I1009" s="17" t="n"/>
      <ns0:c r="J1009" s="17" t="n"/>
      <ns0:c r="K1009" s="17" t="n"/>
      <ns0:c r="L1009" s="17" t="n"/>
      <ns0:c r="M1009" s="17" t="n"/>
      <ns0:c r="N1009" s="17" t="n"/>
      <ns0:c r="O1009" s="17" t="n"/>
      <ns0:c r="P1009" s="17" t="n"/>
      <ns0:c r="Q1009" s="17" t="n"/>
      <ns0:c r="R1009" s="17" t="n"/>
      <ns0:c r="S1009" s="17" t="n"/>
      <ns0:c r="T1009" s="17" t="n"/>
      <ns0:c r="U1009" s="17" t="n"/>
      <ns0:c r="V1009" s="17" t="n"/>
      <ns0:c r="W1009" s="17" t="n"/>
      <ns0:c r="X1009" s="17" t="n"/>
      <ns0:c r="Y1009" s="17" t="n"/>
      <ns0:c r="Z1009" s="17" t="n"/>
      <ns0:c r="AA1009" s="17" t="n"/>
      <ns0:c r="AB1009" s="17" t="n"/>
      <ns0:c r="AC1009" s="17" t="n"/>
      <ns0:c r="AD1009" s="17" t="n"/>
      <ns0:c r="AE1009" s="17" t="n"/>
      <ns0:c r="AF1009" s="17" t="n"/>
      <ns0:c r="AG1009" s="17" t="n"/>
    </ns0:row>
    <ns0:row r="1010" ht="24" customHeight="1">
      <ns0:c r="D1010" s="17" t="n"/>
      <ns0:c r="E1010" s="17" t="n"/>
      <ns0:c r="F1010" s="17" t="n"/>
      <ns0:c r="G1010" s="17" t="n"/>
      <ns0:c r="H1010" s="17" t="n"/>
      <ns0:c r="I1010" s="17" t="n"/>
      <ns0:c r="J1010" s="17" t="n"/>
      <ns0:c r="K1010" s="17" t="n"/>
      <ns0:c r="L1010" s="17" t="n"/>
      <ns0:c r="M1010" s="17" t="n"/>
      <ns0:c r="N1010" s="17" t="n"/>
      <ns0:c r="O1010" s="17" t="n"/>
      <ns0:c r="P1010" s="17" t="n"/>
      <ns0:c r="Q1010" s="17" t="n"/>
      <ns0:c r="R1010" s="17" t="n"/>
      <ns0:c r="S1010" s="17" t="n"/>
      <ns0:c r="T1010" s="17" t="n"/>
      <ns0:c r="U1010" s="17" t="n"/>
      <ns0:c r="V1010" s="17" t="n"/>
      <ns0:c r="W1010" s="17" t="n"/>
      <ns0:c r="X1010" s="17" t="n"/>
      <ns0:c r="Y1010" s="17" t="n"/>
      <ns0:c r="Z1010" s="17" t="n"/>
      <ns0:c r="AA1010" s="17" t="n"/>
      <ns0:c r="AB1010" s="17" t="n"/>
      <ns0:c r="AC1010" s="17" t="n"/>
      <ns0:c r="AD1010" s="17" t="n"/>
      <ns0:c r="AE1010" s="17" t="n"/>
      <ns0:c r="AF1010" s="17" t="n"/>
      <ns0:c r="AG1010" s="17" t="n"/>
    </ns0:row>
    <ns0:row r="1011" ht="24" customHeight="1">
      <ns0:c r="D1011" s="17" t="n"/>
      <ns0:c r="E1011" s="17" t="n"/>
      <ns0:c r="F1011" s="17" t="n"/>
      <ns0:c r="G1011" s="17" t="n"/>
      <ns0:c r="H1011" s="17" t="n"/>
      <ns0:c r="I1011" s="17" t="n"/>
      <ns0:c r="J1011" s="17" t="n"/>
      <ns0:c r="K1011" s="17" t="n"/>
      <ns0:c r="L1011" s="17" t="n"/>
      <ns0:c r="M1011" s="17" t="n"/>
      <ns0:c r="N1011" s="17" t="n"/>
      <ns0:c r="O1011" s="17" t="n"/>
      <ns0:c r="P1011" s="17" t="n"/>
      <ns0:c r="Q1011" s="17" t="n"/>
      <ns0:c r="R1011" s="17" t="n"/>
      <ns0:c r="S1011" s="17" t="n"/>
      <ns0:c r="T1011" s="17" t="n"/>
      <ns0:c r="U1011" s="17" t="n"/>
      <ns0:c r="V1011" s="17" t="n"/>
      <ns0:c r="W1011" s="17" t="n"/>
      <ns0:c r="X1011" s="17" t="n"/>
      <ns0:c r="Y1011" s="17" t="n"/>
      <ns0:c r="Z1011" s="17" t="n"/>
      <ns0:c r="AA1011" s="17" t="n"/>
      <ns0:c r="AB1011" s="17" t="n"/>
      <ns0:c r="AC1011" s="17" t="n"/>
      <ns0:c r="AD1011" s="17" t="n"/>
      <ns0:c r="AE1011" s="17" t="n"/>
      <ns0:c r="AF1011" s="17" t="n"/>
      <ns0:c r="AG1011" s="17" t="n"/>
    </ns0:row>
    <ns0:row r="1012" ht="24" customHeight="1">
      <ns0:c r="D1012" s="17" t="n"/>
      <ns0:c r="E1012" s="17" t="n"/>
      <ns0:c r="F1012" s="17" t="n"/>
      <ns0:c r="G1012" s="17" t="n"/>
      <ns0:c r="H1012" s="17" t="n"/>
      <ns0:c r="I1012" s="17" t="n"/>
      <ns0:c r="J1012" s="17" t="n"/>
      <ns0:c r="K1012" s="17" t="n"/>
      <ns0:c r="L1012" s="17" t="n"/>
      <ns0:c r="M1012" s="17" t="n"/>
      <ns0:c r="N1012" s="17" t="n"/>
      <ns0:c r="O1012" s="17" t="n"/>
      <ns0:c r="P1012" s="17" t="n"/>
      <ns0:c r="Q1012" s="17" t="n"/>
      <ns0:c r="R1012" s="17" t="n"/>
      <ns0:c r="S1012" s="17" t="n"/>
      <ns0:c r="T1012" s="17" t="n"/>
      <ns0:c r="U1012" s="17" t="n"/>
      <ns0:c r="V1012" s="17" t="n"/>
      <ns0:c r="W1012" s="17" t="n"/>
      <ns0:c r="X1012" s="17" t="n"/>
      <ns0:c r="Y1012" s="17" t="n"/>
      <ns0:c r="Z1012" s="17" t="n"/>
      <ns0:c r="AA1012" s="17" t="n"/>
      <ns0:c r="AB1012" s="17" t="n"/>
      <ns0:c r="AC1012" s="17" t="n"/>
      <ns0:c r="AD1012" s="17" t="n"/>
      <ns0:c r="AE1012" s="17" t="n"/>
      <ns0:c r="AF1012" s="17" t="n"/>
      <ns0:c r="AG1012" s="17" t="n"/>
    </ns0:row>
    <ns0:row r="1013" ht="24" customHeight="1">
      <ns0:c r="D1013" s="17" t="n"/>
      <ns0:c r="E1013" s="17" t="n"/>
      <ns0:c r="F1013" s="17" t="n"/>
      <ns0:c r="G1013" s="17" t="n"/>
      <ns0:c r="H1013" s="17" t="n"/>
      <ns0:c r="I1013" s="17" t="n"/>
      <ns0:c r="J1013" s="17" t="n"/>
      <ns0:c r="K1013" s="17" t="n"/>
      <ns0:c r="L1013" s="17" t="n"/>
      <ns0:c r="M1013" s="17" t="n"/>
      <ns0:c r="N1013" s="17" t="n"/>
      <ns0:c r="O1013" s="17" t="n"/>
      <ns0:c r="P1013" s="17" t="n"/>
      <ns0:c r="Q1013" s="17" t="n"/>
      <ns0:c r="R1013" s="17" t="n"/>
      <ns0:c r="S1013" s="17" t="n"/>
      <ns0:c r="T1013" s="17" t="n"/>
      <ns0:c r="U1013" s="17" t="n"/>
      <ns0:c r="V1013" s="17" t="n"/>
      <ns0:c r="W1013" s="17" t="n"/>
      <ns0:c r="X1013" s="17" t="n"/>
      <ns0:c r="Y1013" s="17" t="n"/>
      <ns0:c r="Z1013" s="17" t="n"/>
      <ns0:c r="AA1013" s="17" t="n"/>
      <ns0:c r="AB1013" s="17" t="n"/>
      <ns0:c r="AC1013" s="17" t="n"/>
      <ns0:c r="AD1013" s="17" t="n"/>
      <ns0:c r="AE1013" s="17" t="n"/>
      <ns0:c r="AF1013" s="17" t="n"/>
      <ns0:c r="AG1013" s="17" t="n"/>
    </ns0:row>
    <ns0:row r="1014" ht="24" customHeight="1">
      <ns0:c r="D1014" s="17" t="n"/>
      <ns0:c r="E1014" s="17" t="n"/>
      <ns0:c r="F1014" s="17" t="n"/>
      <ns0:c r="G1014" s="17" t="n"/>
      <ns0:c r="H1014" s="17" t="n"/>
      <ns0:c r="I1014" s="17" t="n"/>
      <ns0:c r="J1014" s="17" t="n"/>
      <ns0:c r="K1014" s="17" t="n"/>
      <ns0:c r="L1014" s="17" t="n"/>
      <ns0:c r="M1014" s="17" t="n"/>
      <ns0:c r="N1014" s="17" t="n"/>
      <ns0:c r="O1014" s="17" t="n"/>
      <ns0:c r="P1014" s="17" t="n"/>
      <ns0:c r="Q1014" s="17" t="n"/>
      <ns0:c r="R1014" s="17" t="n"/>
      <ns0:c r="S1014" s="17" t="n"/>
      <ns0:c r="T1014" s="17" t="n"/>
      <ns0:c r="U1014" s="17" t="n"/>
      <ns0:c r="V1014" s="17" t="n"/>
      <ns0:c r="W1014" s="17" t="n"/>
      <ns0:c r="X1014" s="17" t="n"/>
      <ns0:c r="Y1014" s="17" t="n"/>
      <ns0:c r="Z1014" s="17" t="n"/>
      <ns0:c r="AA1014" s="17" t="n"/>
      <ns0:c r="AB1014" s="17" t="n"/>
      <ns0:c r="AC1014" s="17" t="n"/>
      <ns0:c r="AD1014" s="17" t="n"/>
      <ns0:c r="AE1014" s="17" t="n"/>
      <ns0:c r="AF1014" s="17" t="n"/>
      <ns0:c r="AG1014" s="17" t="n"/>
    </ns0:row>
    <ns0:row r="1015" ht="24" customHeight="1">
      <ns0:c r="D1015" s="17" t="n"/>
      <ns0:c r="E1015" s="17" t="n"/>
      <ns0:c r="F1015" s="17" t="n"/>
      <ns0:c r="G1015" s="17" t="n"/>
      <ns0:c r="H1015" s="17" t="n"/>
      <ns0:c r="I1015" s="17" t="n"/>
      <ns0:c r="J1015" s="17" t="n"/>
      <ns0:c r="K1015" s="17" t="n"/>
      <ns0:c r="L1015" s="17" t="n"/>
      <ns0:c r="M1015" s="17" t="n"/>
      <ns0:c r="N1015" s="17" t="n"/>
      <ns0:c r="O1015" s="17" t="n"/>
      <ns0:c r="P1015" s="17" t="n"/>
      <ns0:c r="Q1015" s="17" t="n"/>
      <ns0:c r="R1015" s="17" t="n"/>
      <ns0:c r="S1015" s="17" t="n"/>
      <ns0:c r="T1015" s="17" t="n"/>
      <ns0:c r="U1015" s="17" t="n"/>
      <ns0:c r="V1015" s="17" t="n"/>
      <ns0:c r="W1015" s="17" t="n"/>
      <ns0:c r="X1015" s="17" t="n"/>
      <ns0:c r="Y1015" s="17" t="n"/>
      <ns0:c r="Z1015" s="17" t="n"/>
      <ns0:c r="AA1015" s="17" t="n"/>
      <ns0:c r="AB1015" s="17" t="n"/>
      <ns0:c r="AC1015" s="17" t="n"/>
      <ns0:c r="AD1015" s="17" t="n"/>
      <ns0:c r="AE1015" s="17" t="n"/>
      <ns0:c r="AF1015" s="17" t="n"/>
      <ns0:c r="AG1015" s="17" t="n"/>
    </ns0:row>
    <ns0:row r="1016" ht="24" customHeight="1">
      <ns0:c r="D1016" s="17" t="n"/>
      <ns0:c r="E1016" s="17" t="n"/>
      <ns0:c r="F1016" s="17" t="n"/>
      <ns0:c r="G1016" s="17" t="n"/>
      <ns0:c r="H1016" s="17" t="n"/>
      <ns0:c r="I1016" s="17" t="n"/>
      <ns0:c r="J1016" s="17" t="n"/>
      <ns0:c r="K1016" s="17" t="n"/>
      <ns0:c r="L1016" s="17" t="n"/>
      <ns0:c r="M1016" s="17" t="n"/>
      <ns0:c r="N1016" s="17" t="n"/>
      <ns0:c r="O1016" s="17" t="n"/>
      <ns0:c r="P1016" s="17" t="n"/>
      <ns0:c r="Q1016" s="17" t="n"/>
      <ns0:c r="R1016" s="17" t="n"/>
      <ns0:c r="S1016" s="17" t="n"/>
      <ns0:c r="T1016" s="17" t="n"/>
      <ns0:c r="U1016" s="17" t="n"/>
      <ns0:c r="V1016" s="17" t="n"/>
      <ns0:c r="W1016" s="17" t="n"/>
      <ns0:c r="X1016" s="17" t="n"/>
      <ns0:c r="Y1016" s="17" t="n"/>
      <ns0:c r="Z1016" s="17" t="n"/>
      <ns0:c r="AA1016" s="17" t="n"/>
      <ns0:c r="AB1016" s="17" t="n"/>
      <ns0:c r="AC1016" s="17" t="n"/>
      <ns0:c r="AD1016" s="17" t="n"/>
      <ns0:c r="AE1016" s="17" t="n"/>
      <ns0:c r="AF1016" s="17" t="n"/>
      <ns0:c r="AG1016" s="17" t="n"/>
    </ns0:row>
    <ns0:row r="1017" ht="24" customHeight="1">
      <ns0:c r="D1017" s="17" t="n"/>
      <ns0:c r="E1017" s="17" t="n"/>
      <ns0:c r="F1017" s="17" t="n"/>
      <ns0:c r="G1017" s="17" t="n"/>
      <ns0:c r="H1017" s="17" t="n"/>
      <ns0:c r="I1017" s="17" t="n"/>
      <ns0:c r="J1017" s="17" t="n"/>
      <ns0:c r="K1017" s="17" t="n"/>
      <ns0:c r="L1017" s="17" t="n"/>
      <ns0:c r="M1017" s="17" t="n"/>
      <ns0:c r="N1017" s="17" t="n"/>
      <ns0:c r="O1017" s="17" t="n"/>
      <ns0:c r="P1017" s="17" t="n"/>
      <ns0:c r="Q1017" s="17" t="n"/>
      <ns0:c r="R1017" s="17" t="n"/>
      <ns0:c r="S1017" s="17" t="n"/>
      <ns0:c r="T1017" s="17" t="n"/>
      <ns0:c r="U1017" s="17" t="n"/>
      <ns0:c r="V1017" s="17" t="n"/>
      <ns0:c r="W1017" s="17" t="n"/>
      <ns0:c r="X1017" s="17" t="n"/>
      <ns0:c r="Y1017" s="17" t="n"/>
      <ns0:c r="Z1017" s="17" t="n"/>
      <ns0:c r="AA1017" s="17" t="n"/>
      <ns0:c r="AB1017" s="17" t="n"/>
      <ns0:c r="AC1017" s="17" t="n"/>
      <ns0:c r="AD1017" s="17" t="n"/>
      <ns0:c r="AE1017" s="17" t="n"/>
      <ns0:c r="AF1017" s="17" t="n"/>
      <ns0:c r="AG1017" s="17" t="n"/>
    </ns0:row>
    <ns0:row r="1018" ht="24" customHeight="1">
      <ns0:c r="D1018" s="17" t="n"/>
      <ns0:c r="E1018" s="17" t="n"/>
      <ns0:c r="F1018" s="17" t="n"/>
      <ns0:c r="G1018" s="17" t="n"/>
      <ns0:c r="H1018" s="17" t="n"/>
      <ns0:c r="I1018" s="17" t="n"/>
      <ns0:c r="J1018" s="17" t="n"/>
      <ns0:c r="K1018" s="17" t="n"/>
      <ns0:c r="L1018" s="17" t="n"/>
      <ns0:c r="M1018" s="17" t="n"/>
      <ns0:c r="N1018" s="17" t="n"/>
      <ns0:c r="O1018" s="17" t="n"/>
      <ns0:c r="P1018" s="17" t="n"/>
      <ns0:c r="Q1018" s="17" t="n"/>
      <ns0:c r="R1018" s="17" t="n"/>
      <ns0:c r="S1018" s="17" t="n"/>
      <ns0:c r="T1018" s="17" t="n"/>
      <ns0:c r="U1018" s="17" t="n"/>
      <ns0:c r="V1018" s="17" t="n"/>
      <ns0:c r="W1018" s="17" t="n"/>
      <ns0:c r="X1018" s="17" t="n"/>
      <ns0:c r="Y1018" s="17" t="n"/>
      <ns0:c r="Z1018" s="17" t="n"/>
      <ns0:c r="AA1018" s="17" t="n"/>
      <ns0:c r="AB1018" s="17" t="n"/>
      <ns0:c r="AC1018" s="17" t="n"/>
      <ns0:c r="AD1018" s="17" t="n"/>
      <ns0:c r="AE1018" s="17" t="n"/>
      <ns0:c r="AF1018" s="17" t="n"/>
      <ns0:c r="AG1018" s="17" t="n"/>
    </ns0:row>
    <ns0:row r="1019" ht="24" customHeight="1">
      <ns0:c r="D1019" s="17" t="n"/>
      <ns0:c r="E1019" s="17" t="n"/>
      <ns0:c r="F1019" s="17" t="n"/>
      <ns0:c r="G1019" s="17" t="n"/>
      <ns0:c r="H1019" s="17" t="n"/>
      <ns0:c r="I1019" s="17" t="n"/>
      <ns0:c r="J1019" s="17" t="n"/>
      <ns0:c r="K1019" s="17" t="n"/>
      <ns0:c r="L1019" s="17" t="n"/>
      <ns0:c r="M1019" s="17" t="n"/>
      <ns0:c r="N1019" s="17" t="n"/>
      <ns0:c r="O1019" s="17" t="n"/>
      <ns0:c r="P1019" s="17" t="n"/>
      <ns0:c r="Q1019" s="17" t="n"/>
      <ns0:c r="R1019" s="17" t="n"/>
      <ns0:c r="S1019" s="17" t="n"/>
      <ns0:c r="T1019" s="17" t="n"/>
      <ns0:c r="U1019" s="17" t="n"/>
      <ns0:c r="V1019" s="17" t="n"/>
      <ns0:c r="W1019" s="17" t="n"/>
      <ns0:c r="X1019" s="17" t="n"/>
      <ns0:c r="Y1019" s="17" t="n"/>
      <ns0:c r="Z1019" s="17" t="n"/>
      <ns0:c r="AA1019" s="17" t="n"/>
      <ns0:c r="AB1019" s="17" t="n"/>
      <ns0:c r="AC1019" s="17" t="n"/>
      <ns0:c r="AD1019" s="17" t="n"/>
      <ns0:c r="AE1019" s="17" t="n"/>
      <ns0:c r="AF1019" s="17" t="n"/>
      <ns0:c r="AG1019" s="17" t="n"/>
    </ns0:row>
    <ns0:row r="1020" ht="24" customHeight="1">
      <ns0:c r="D1020" s="17" t="n"/>
      <ns0:c r="E1020" s="17" t="n"/>
      <ns0:c r="F1020" s="17" t="n"/>
      <ns0:c r="G1020" s="17" t="n"/>
      <ns0:c r="H1020" s="17" t="n"/>
      <ns0:c r="I1020" s="17" t="n"/>
      <ns0:c r="J1020" s="17" t="n"/>
      <ns0:c r="K1020" s="17" t="n"/>
      <ns0:c r="L1020" s="17" t="n"/>
      <ns0:c r="M1020" s="17" t="n"/>
      <ns0:c r="N1020" s="17" t="n"/>
      <ns0:c r="O1020" s="17" t="n"/>
      <ns0:c r="P1020" s="17" t="n"/>
      <ns0:c r="Q1020" s="17" t="n"/>
      <ns0:c r="R1020" s="17" t="n"/>
      <ns0:c r="S1020" s="17" t="n"/>
      <ns0:c r="T1020" s="17" t="n"/>
      <ns0:c r="U1020" s="17" t="n"/>
      <ns0:c r="V1020" s="17" t="n"/>
      <ns0:c r="W1020" s="17" t="n"/>
      <ns0:c r="X1020" s="17" t="n"/>
      <ns0:c r="Y1020" s="17" t="n"/>
      <ns0:c r="Z1020" s="17" t="n"/>
      <ns0:c r="AA1020" s="17" t="n"/>
      <ns0:c r="AB1020" s="17" t="n"/>
      <ns0:c r="AC1020" s="17" t="n"/>
      <ns0:c r="AD1020" s="17" t="n"/>
      <ns0:c r="AE1020" s="17" t="n"/>
      <ns0:c r="AF1020" s="17" t="n"/>
      <ns0:c r="AG1020" s="17" t="n"/>
    </ns0:row>
    <ns0:row r="1021" ht="24" customHeight="1">
      <ns0:c r="D1021" s="17" t="n"/>
      <ns0:c r="E1021" s="17" t="n"/>
      <ns0:c r="F1021" s="17" t="n"/>
      <ns0:c r="G1021" s="17" t="n"/>
      <ns0:c r="H1021" s="17" t="n"/>
      <ns0:c r="I1021" s="17" t="n"/>
      <ns0:c r="J1021" s="17" t="n"/>
      <ns0:c r="K1021" s="17" t="n"/>
      <ns0:c r="L1021" s="17" t="n"/>
      <ns0:c r="M1021" s="17" t="n"/>
      <ns0:c r="N1021" s="17" t="n"/>
      <ns0:c r="O1021" s="17" t="n"/>
      <ns0:c r="P1021" s="17" t="n"/>
      <ns0:c r="Q1021" s="17" t="n"/>
      <ns0:c r="R1021" s="17" t="n"/>
      <ns0:c r="S1021" s="17" t="n"/>
      <ns0:c r="T1021" s="17" t="n"/>
      <ns0:c r="U1021" s="17" t="n"/>
      <ns0:c r="V1021" s="17" t="n"/>
      <ns0:c r="W1021" s="17" t="n"/>
      <ns0:c r="X1021" s="17" t="n"/>
      <ns0:c r="Y1021" s="17" t="n"/>
      <ns0:c r="Z1021" s="17" t="n"/>
      <ns0:c r="AA1021" s="17" t="n"/>
      <ns0:c r="AB1021" s="17" t="n"/>
      <ns0:c r="AC1021" s="17" t="n"/>
      <ns0:c r="AD1021" s="17" t="n"/>
      <ns0:c r="AE1021" s="17" t="n"/>
      <ns0:c r="AF1021" s="17" t="n"/>
      <ns0:c r="AG1021" s="17" t="n"/>
    </ns0:row>
    <ns0:row r="1022" ht="24" customHeight="1">
      <ns0:c r="D1022" s="17" t="n"/>
      <ns0:c r="E1022" s="17" t="n"/>
      <ns0:c r="F1022" s="17" t="n"/>
      <ns0:c r="G1022" s="17" t="n"/>
      <ns0:c r="H1022" s="17" t="n"/>
      <ns0:c r="I1022" s="17" t="n"/>
      <ns0:c r="J1022" s="17" t="n"/>
      <ns0:c r="K1022" s="17" t="n"/>
      <ns0:c r="L1022" s="17" t="n"/>
      <ns0:c r="M1022" s="17" t="n"/>
      <ns0:c r="N1022" s="17" t="n"/>
      <ns0:c r="O1022" s="17" t="n"/>
      <ns0:c r="P1022" s="17" t="n"/>
      <ns0:c r="Q1022" s="17" t="n"/>
      <ns0:c r="R1022" s="17" t="n"/>
      <ns0:c r="S1022" s="17" t="n"/>
      <ns0:c r="T1022" s="17" t="n"/>
      <ns0:c r="U1022" s="17" t="n"/>
      <ns0:c r="V1022" s="17" t="n"/>
      <ns0:c r="W1022" s="17" t="n"/>
      <ns0:c r="X1022" s="17" t="n"/>
      <ns0:c r="Y1022" s="17" t="n"/>
      <ns0:c r="Z1022" s="17" t="n"/>
      <ns0:c r="AA1022" s="17" t="n"/>
      <ns0:c r="AB1022" s="17" t="n"/>
      <ns0:c r="AC1022" s="17" t="n"/>
      <ns0:c r="AD1022" s="17" t="n"/>
      <ns0:c r="AE1022" s="17" t="n"/>
      <ns0:c r="AF1022" s="17" t="n"/>
      <ns0:c r="AG1022" s="17" t="n"/>
    </ns0:row>
    <ns0:row r="1023" ht="24" customHeight="1">
      <ns0:c r="D1023" s="17" t="n"/>
      <ns0:c r="E1023" s="17" t="n"/>
      <ns0:c r="F1023" s="17" t="n"/>
      <ns0:c r="G1023" s="17" t="n"/>
      <ns0:c r="H1023" s="17" t="n"/>
      <ns0:c r="I1023" s="17" t="n"/>
      <ns0:c r="J1023" s="17" t="n"/>
      <ns0:c r="K1023" s="17" t="n"/>
      <ns0:c r="L1023" s="17" t="n"/>
      <ns0:c r="M1023" s="17" t="n"/>
      <ns0:c r="N1023" s="17" t="n"/>
      <ns0:c r="O1023" s="17" t="n"/>
      <ns0:c r="P1023" s="17" t="n"/>
      <ns0:c r="Q1023" s="17" t="n"/>
      <ns0:c r="R1023" s="17" t="n"/>
      <ns0:c r="S1023" s="17" t="n"/>
      <ns0:c r="T1023" s="17" t="n"/>
      <ns0:c r="U1023" s="17" t="n"/>
      <ns0:c r="V1023" s="17" t="n"/>
      <ns0:c r="W1023" s="17" t="n"/>
      <ns0:c r="X1023" s="17" t="n"/>
      <ns0:c r="Y1023" s="17" t="n"/>
      <ns0:c r="Z1023" s="17" t="n"/>
      <ns0:c r="AA1023" s="17" t="n"/>
      <ns0:c r="AB1023" s="17" t="n"/>
      <ns0:c r="AC1023" s="17" t="n"/>
      <ns0:c r="AD1023" s="17" t="n"/>
      <ns0:c r="AE1023" s="17" t="n"/>
      <ns0:c r="AF1023" s="17" t="n"/>
      <ns0:c r="AG1023" s="17" t="n"/>
    </ns0:row>
    <ns0:row r="1024" ht="24" customHeight="1">
      <ns0:c r="D1024" s="17" t="n"/>
      <ns0:c r="E1024" s="17" t="n"/>
      <ns0:c r="F1024" s="17" t="n"/>
      <ns0:c r="G1024" s="17" t="n"/>
      <ns0:c r="H1024" s="17" t="n"/>
      <ns0:c r="I1024" s="17" t="n"/>
      <ns0:c r="J1024" s="17" t="n"/>
      <ns0:c r="K1024" s="17" t="n"/>
      <ns0:c r="L1024" s="17" t="n"/>
      <ns0:c r="M1024" s="17" t="n"/>
      <ns0:c r="N1024" s="17" t="n"/>
      <ns0:c r="O1024" s="17" t="n"/>
      <ns0:c r="P1024" s="17" t="n"/>
      <ns0:c r="Q1024" s="17" t="n"/>
      <ns0:c r="R1024" s="17" t="n"/>
      <ns0:c r="S1024" s="17" t="n"/>
      <ns0:c r="T1024" s="17" t="n"/>
      <ns0:c r="U1024" s="17" t="n"/>
      <ns0:c r="V1024" s="17" t="n"/>
      <ns0:c r="W1024" s="17" t="n"/>
      <ns0:c r="X1024" s="17" t="n"/>
      <ns0:c r="Y1024" s="17" t="n"/>
      <ns0:c r="Z1024" s="17" t="n"/>
      <ns0:c r="AA1024" s="17" t="n"/>
      <ns0:c r="AB1024" s="17" t="n"/>
      <ns0:c r="AC1024" s="17" t="n"/>
      <ns0:c r="AD1024" s="17" t="n"/>
      <ns0:c r="AE1024" s="17" t="n"/>
      <ns0:c r="AF1024" s="17" t="n"/>
      <ns0:c r="AG1024" s="17" t="n"/>
    </ns0:row>
    <ns0:row r="1025" ht="24" customHeight="1">
      <ns0:c r="D1025" s="17" t="n"/>
      <ns0:c r="E1025" s="17" t="n"/>
      <ns0:c r="F1025" s="17" t="n"/>
      <ns0:c r="G1025" s="17" t="n"/>
      <ns0:c r="H1025" s="17" t="n"/>
      <ns0:c r="I1025" s="17" t="n"/>
      <ns0:c r="J1025" s="17" t="n"/>
      <ns0:c r="K1025" s="17" t="n"/>
      <ns0:c r="L1025" s="17" t="n"/>
      <ns0:c r="M1025" s="17" t="n"/>
      <ns0:c r="N1025" s="17" t="n"/>
      <ns0:c r="O1025" s="17" t="n"/>
      <ns0:c r="P1025" s="17" t="n"/>
      <ns0:c r="Q1025" s="17" t="n"/>
      <ns0:c r="R1025" s="17" t="n"/>
      <ns0:c r="S1025" s="17" t="n"/>
      <ns0:c r="T1025" s="17" t="n"/>
      <ns0:c r="U1025" s="17" t="n"/>
      <ns0:c r="V1025" s="17" t="n"/>
      <ns0:c r="W1025" s="17" t="n"/>
      <ns0:c r="X1025" s="17" t="n"/>
      <ns0:c r="Y1025" s="17" t="n"/>
      <ns0:c r="Z1025" s="17" t="n"/>
      <ns0:c r="AA1025" s="17" t="n"/>
      <ns0:c r="AB1025" s="17" t="n"/>
      <ns0:c r="AC1025" s="17" t="n"/>
      <ns0:c r="AD1025" s="17" t="n"/>
      <ns0:c r="AE1025" s="17" t="n"/>
      <ns0:c r="AF1025" s="17" t="n"/>
      <ns0:c r="AG1025" s="17" t="n"/>
    </ns0:row>
    <ns0:row r="1026" ht="24" customHeight="1">
      <ns0:c r="D1026" s="17" t="n"/>
      <ns0:c r="E1026" s="17" t="n"/>
      <ns0:c r="F1026" s="17" t="n"/>
      <ns0:c r="G1026" s="17" t="n"/>
      <ns0:c r="H1026" s="17" t="n"/>
      <ns0:c r="I1026" s="17" t="n"/>
      <ns0:c r="J1026" s="17" t="n"/>
      <ns0:c r="K1026" s="17" t="n"/>
      <ns0:c r="L1026" s="17" t="n"/>
      <ns0:c r="M1026" s="17" t="n"/>
      <ns0:c r="N1026" s="17" t="n"/>
      <ns0:c r="O1026" s="17" t="n"/>
      <ns0:c r="P1026" s="17" t="n"/>
      <ns0:c r="Q1026" s="17" t="n"/>
      <ns0:c r="R1026" s="17" t="n"/>
      <ns0:c r="S1026" s="17" t="n"/>
      <ns0:c r="T1026" s="17" t="n"/>
      <ns0:c r="U1026" s="17" t="n"/>
      <ns0:c r="V1026" s="17" t="n"/>
      <ns0:c r="W1026" s="17" t="n"/>
      <ns0:c r="X1026" s="17" t="n"/>
      <ns0:c r="Y1026" s="17" t="n"/>
      <ns0:c r="Z1026" s="17" t="n"/>
      <ns0:c r="AA1026" s="17" t="n"/>
      <ns0:c r="AB1026" s="17" t="n"/>
      <ns0:c r="AC1026" s="17" t="n"/>
      <ns0:c r="AD1026" s="17" t="n"/>
      <ns0:c r="AE1026" s="17" t="n"/>
      <ns0:c r="AF1026" s="17" t="n"/>
      <ns0:c r="AG1026" s="17" t="n"/>
    </ns0:row>
    <ns0:row r="1027" ht="24" customHeight="1">
      <ns0:c r="D1027" s="17" t="n"/>
      <ns0:c r="E1027" s="17" t="n"/>
      <ns0:c r="F1027" s="17" t="n"/>
      <ns0:c r="G1027" s="17" t="n"/>
      <ns0:c r="H1027" s="17" t="n"/>
      <ns0:c r="I1027" s="17" t="n"/>
      <ns0:c r="J1027" s="17" t="n"/>
      <ns0:c r="K1027" s="17" t="n"/>
      <ns0:c r="L1027" s="17" t="n"/>
      <ns0:c r="M1027" s="17" t="n"/>
      <ns0:c r="N1027" s="17" t="n"/>
      <ns0:c r="O1027" s="17" t="n"/>
      <ns0:c r="P1027" s="17" t="n"/>
      <ns0:c r="Q1027" s="17" t="n"/>
      <ns0:c r="R1027" s="17" t="n"/>
      <ns0:c r="S1027" s="17" t="n"/>
      <ns0:c r="T1027" s="17" t="n"/>
      <ns0:c r="U1027" s="17" t="n"/>
      <ns0:c r="V1027" s="17" t="n"/>
      <ns0:c r="W1027" s="17" t="n"/>
      <ns0:c r="X1027" s="17" t="n"/>
      <ns0:c r="Y1027" s="17" t="n"/>
      <ns0:c r="Z1027" s="17" t="n"/>
      <ns0:c r="AA1027" s="17" t="n"/>
      <ns0:c r="AB1027" s="17" t="n"/>
      <ns0:c r="AC1027" s="17" t="n"/>
      <ns0:c r="AD1027" s="17" t="n"/>
      <ns0:c r="AE1027" s="17" t="n"/>
      <ns0:c r="AF1027" s="17" t="n"/>
      <ns0:c r="AG1027" s="17" t="n"/>
    </ns0:row>
    <ns0:row r="1028" ht="24" customHeight="1">
      <ns0:c r="D1028" s="17" t="n"/>
      <ns0:c r="E1028" s="17" t="n"/>
      <ns0:c r="F1028" s="17" t="n"/>
      <ns0:c r="G1028" s="17" t="n"/>
      <ns0:c r="H1028" s="17" t="n"/>
      <ns0:c r="I1028" s="17" t="n"/>
      <ns0:c r="J1028" s="17" t="n"/>
      <ns0:c r="K1028" s="17" t="n"/>
      <ns0:c r="L1028" s="17" t="n"/>
      <ns0:c r="M1028" s="17" t="n"/>
      <ns0:c r="N1028" s="17" t="n"/>
      <ns0:c r="O1028" s="17" t="n"/>
      <ns0:c r="P1028" s="17" t="n"/>
      <ns0:c r="Q1028" s="17" t="n"/>
      <ns0:c r="R1028" s="17" t="n"/>
      <ns0:c r="S1028" s="17" t="n"/>
      <ns0:c r="T1028" s="17" t="n"/>
      <ns0:c r="U1028" s="17" t="n"/>
      <ns0:c r="V1028" s="17" t="n"/>
      <ns0:c r="W1028" s="17" t="n"/>
      <ns0:c r="X1028" s="17" t="n"/>
      <ns0:c r="Y1028" s="17" t="n"/>
      <ns0:c r="Z1028" s="17" t="n"/>
      <ns0:c r="AA1028" s="17" t="n"/>
      <ns0:c r="AB1028" s="17" t="n"/>
      <ns0:c r="AC1028" s="17" t="n"/>
      <ns0:c r="AD1028" s="17" t="n"/>
      <ns0:c r="AE1028" s="17" t="n"/>
      <ns0:c r="AF1028" s="17" t="n"/>
      <ns0:c r="AG1028" s="17" t="n"/>
    </ns0:row>
    <ns0:row r="1029" ht="24" customHeight="1">
      <ns0:c r="D1029" s="17" t="n"/>
      <ns0:c r="E1029" s="17" t="n"/>
      <ns0:c r="F1029" s="17" t="n"/>
      <ns0:c r="G1029" s="17" t="n"/>
      <ns0:c r="H1029" s="17" t="n"/>
      <ns0:c r="I1029" s="17" t="n"/>
      <ns0:c r="J1029" s="17" t="n"/>
      <ns0:c r="K1029" s="17" t="n"/>
      <ns0:c r="L1029" s="17" t="n"/>
      <ns0:c r="M1029" s="17" t="n"/>
      <ns0:c r="N1029" s="17" t="n"/>
      <ns0:c r="O1029" s="17" t="n"/>
      <ns0:c r="P1029" s="17" t="n"/>
      <ns0:c r="Q1029" s="17" t="n"/>
      <ns0:c r="R1029" s="17" t="n"/>
      <ns0:c r="S1029" s="17" t="n"/>
      <ns0:c r="T1029" s="17" t="n"/>
      <ns0:c r="U1029" s="17" t="n"/>
      <ns0:c r="V1029" s="17" t="n"/>
      <ns0:c r="W1029" s="17" t="n"/>
      <ns0:c r="X1029" s="17" t="n"/>
      <ns0:c r="Y1029" s="17" t="n"/>
      <ns0:c r="Z1029" s="17" t="n"/>
      <ns0:c r="AA1029" s="17" t="n"/>
      <ns0:c r="AB1029" s="17" t="n"/>
      <ns0:c r="AC1029" s="17" t="n"/>
      <ns0:c r="AD1029" s="17" t="n"/>
      <ns0:c r="AE1029" s="17" t="n"/>
      <ns0:c r="AF1029" s="17" t="n"/>
      <ns0:c r="AG1029" s="17" t="n"/>
    </ns0:row>
    <ns0:row r="1030" ht="24" customHeight="1">
      <ns0:c r="D1030" s="17" t="n"/>
      <ns0:c r="E1030" s="17" t="n"/>
      <ns0:c r="F1030" s="17" t="n"/>
      <ns0:c r="G1030" s="17" t="n"/>
      <ns0:c r="H1030" s="17" t="n"/>
      <ns0:c r="I1030" s="17" t="n"/>
      <ns0:c r="J1030" s="17" t="n"/>
      <ns0:c r="K1030" s="17" t="n"/>
      <ns0:c r="L1030" s="17" t="n"/>
      <ns0:c r="M1030" s="17" t="n"/>
      <ns0:c r="N1030" s="17" t="n"/>
      <ns0:c r="O1030" s="17" t="n"/>
      <ns0:c r="P1030" s="17" t="n"/>
      <ns0:c r="Q1030" s="17" t="n"/>
      <ns0:c r="R1030" s="17" t="n"/>
      <ns0:c r="S1030" s="17" t="n"/>
      <ns0:c r="T1030" s="17" t="n"/>
      <ns0:c r="U1030" s="17" t="n"/>
      <ns0:c r="V1030" s="17" t="n"/>
      <ns0:c r="W1030" s="17" t="n"/>
      <ns0:c r="X1030" s="17" t="n"/>
      <ns0:c r="Y1030" s="17" t="n"/>
      <ns0:c r="Z1030" s="17" t="n"/>
      <ns0:c r="AA1030" s="17" t="n"/>
      <ns0:c r="AB1030" s="17" t="n"/>
      <ns0:c r="AC1030" s="17" t="n"/>
      <ns0:c r="AD1030" s="17" t="n"/>
      <ns0:c r="AE1030" s="17" t="n"/>
      <ns0:c r="AF1030" s="17" t="n"/>
      <ns0:c r="AG1030" s="17" t="n"/>
    </ns0:row>
    <ns0:row r="1031" ht="24" customHeight="1">
      <ns0:c r="D1031" s="17" t="n"/>
      <ns0:c r="E1031" s="17" t="n"/>
      <ns0:c r="F1031" s="17" t="n"/>
      <ns0:c r="G1031" s="17" t="n"/>
      <ns0:c r="H1031" s="17" t="n"/>
      <ns0:c r="I1031" s="17" t="n"/>
      <ns0:c r="J1031" s="17" t="n"/>
      <ns0:c r="K1031" s="17" t="n"/>
      <ns0:c r="L1031" s="17" t="n"/>
      <ns0:c r="M1031" s="17" t="n"/>
      <ns0:c r="N1031" s="17" t="n"/>
      <ns0:c r="O1031" s="17" t="n"/>
      <ns0:c r="P1031" s="17" t="n"/>
      <ns0:c r="Q1031" s="17" t="n"/>
      <ns0:c r="R1031" s="17" t="n"/>
      <ns0:c r="S1031" s="17" t="n"/>
      <ns0:c r="T1031" s="17" t="n"/>
      <ns0:c r="U1031" s="17" t="n"/>
      <ns0:c r="V1031" s="17" t="n"/>
      <ns0:c r="W1031" s="17" t="n"/>
      <ns0:c r="X1031" s="17" t="n"/>
      <ns0:c r="Y1031" s="17" t="n"/>
      <ns0:c r="Z1031" s="17" t="n"/>
      <ns0:c r="AA1031" s="17" t="n"/>
      <ns0:c r="AB1031" s="17" t="n"/>
      <ns0:c r="AC1031" s="17" t="n"/>
      <ns0:c r="AD1031" s="17" t="n"/>
      <ns0:c r="AE1031" s="17" t="n"/>
      <ns0:c r="AF1031" s="17" t="n"/>
      <ns0:c r="AG1031" s="17" t="n"/>
    </ns0:row>
    <ns0:row r="1032" ht="24" customHeight="1">
      <ns0:c r="D1032" s="17" t="n"/>
      <ns0:c r="E1032" s="17" t="n"/>
      <ns0:c r="F1032" s="17" t="n"/>
      <ns0:c r="G1032" s="17" t="n"/>
      <ns0:c r="H1032" s="17" t="n"/>
      <ns0:c r="I1032" s="17" t="n"/>
      <ns0:c r="J1032" s="17" t="n"/>
      <ns0:c r="K1032" s="17" t="n"/>
      <ns0:c r="L1032" s="17" t="n"/>
      <ns0:c r="M1032" s="17" t="n"/>
      <ns0:c r="N1032" s="17" t="n"/>
      <ns0:c r="O1032" s="17" t="n"/>
      <ns0:c r="P1032" s="17" t="n"/>
      <ns0:c r="Q1032" s="17" t="n"/>
      <ns0:c r="R1032" s="17" t="n"/>
      <ns0:c r="S1032" s="17" t="n"/>
      <ns0:c r="T1032" s="17" t="n"/>
      <ns0:c r="U1032" s="17" t="n"/>
      <ns0:c r="V1032" s="17" t="n"/>
      <ns0:c r="W1032" s="17" t="n"/>
      <ns0:c r="X1032" s="17" t="n"/>
      <ns0:c r="Y1032" s="17" t="n"/>
      <ns0:c r="Z1032" s="17" t="n"/>
      <ns0:c r="AA1032" s="17" t="n"/>
      <ns0:c r="AB1032" s="17" t="n"/>
      <ns0:c r="AC1032" s="17" t="n"/>
      <ns0:c r="AD1032" s="17" t="n"/>
      <ns0:c r="AE1032" s="17" t="n"/>
      <ns0:c r="AF1032" s="17" t="n"/>
      <ns0:c r="AG1032" s="17" t="n"/>
    </ns0:row>
    <ns0:row r="1033" ht="24" customHeight="1">
      <ns0:c r="D1033" s="17" t="n"/>
      <ns0:c r="E1033" s="17" t="n"/>
      <ns0:c r="F1033" s="17" t="n"/>
      <ns0:c r="G1033" s="17" t="n"/>
      <ns0:c r="H1033" s="17" t="n"/>
      <ns0:c r="I1033" s="17" t="n"/>
      <ns0:c r="J1033" s="17" t="n"/>
      <ns0:c r="K1033" s="17" t="n"/>
      <ns0:c r="L1033" s="17" t="n"/>
      <ns0:c r="M1033" s="17" t="n"/>
      <ns0:c r="N1033" s="17" t="n"/>
      <ns0:c r="O1033" s="17" t="n"/>
      <ns0:c r="P1033" s="17" t="n"/>
      <ns0:c r="Q1033" s="17" t="n"/>
      <ns0:c r="R1033" s="17" t="n"/>
      <ns0:c r="S1033" s="17" t="n"/>
      <ns0:c r="T1033" s="17" t="n"/>
      <ns0:c r="U1033" s="17" t="n"/>
      <ns0:c r="V1033" s="17" t="n"/>
      <ns0:c r="W1033" s="17" t="n"/>
      <ns0:c r="X1033" s="17" t="n"/>
      <ns0:c r="Y1033" s="17" t="n"/>
      <ns0:c r="Z1033" s="17" t="n"/>
      <ns0:c r="AA1033" s="17" t="n"/>
      <ns0:c r="AB1033" s="17" t="n"/>
      <ns0:c r="AC1033" s="17" t="n"/>
      <ns0:c r="AD1033" s="17" t="n"/>
      <ns0:c r="AE1033" s="17" t="n"/>
      <ns0:c r="AF1033" s="17" t="n"/>
      <ns0:c r="AG1033" s="17" t="n"/>
    </ns0:row>
    <ns0:row r="1034" ht="24" customHeight="1">
      <ns0:c r="D1034" s="17" t="n"/>
      <ns0:c r="E1034" s="17" t="n"/>
      <ns0:c r="F1034" s="17" t="n"/>
      <ns0:c r="G1034" s="17" t="n"/>
      <ns0:c r="H1034" s="17" t="n"/>
      <ns0:c r="I1034" s="17" t="n"/>
      <ns0:c r="J1034" s="17" t="n"/>
      <ns0:c r="K1034" s="17" t="n"/>
      <ns0:c r="L1034" s="17" t="n"/>
      <ns0:c r="M1034" s="17" t="n"/>
      <ns0:c r="N1034" s="17" t="n"/>
      <ns0:c r="O1034" s="17" t="n"/>
      <ns0:c r="P1034" s="17" t="n"/>
      <ns0:c r="Q1034" s="17" t="n"/>
      <ns0:c r="R1034" s="17" t="n"/>
      <ns0:c r="S1034" s="17" t="n"/>
      <ns0:c r="T1034" s="17" t="n"/>
      <ns0:c r="U1034" s="17" t="n"/>
      <ns0:c r="V1034" s="17" t="n"/>
      <ns0:c r="W1034" s="17" t="n"/>
      <ns0:c r="X1034" s="17" t="n"/>
      <ns0:c r="Y1034" s="17" t="n"/>
      <ns0:c r="Z1034" s="17" t="n"/>
      <ns0:c r="AA1034" s="17" t="n"/>
      <ns0:c r="AB1034" s="17" t="n"/>
      <ns0:c r="AC1034" s="17" t="n"/>
      <ns0:c r="AD1034" s="17" t="n"/>
      <ns0:c r="AE1034" s="17" t="n"/>
      <ns0:c r="AF1034" s="17" t="n"/>
      <ns0:c r="AG1034" s="17" t="n"/>
    </ns0:row>
    <ns0:row r="1035" ht="24" customHeight="1">
      <ns0:c r="D1035" s="17" t="n"/>
      <ns0:c r="E1035" s="17" t="n"/>
      <ns0:c r="F1035" s="17" t="n"/>
      <ns0:c r="G1035" s="17" t="n"/>
      <ns0:c r="H1035" s="17" t="n"/>
      <ns0:c r="I1035" s="17" t="n"/>
      <ns0:c r="J1035" s="17" t="n"/>
      <ns0:c r="K1035" s="17" t="n"/>
      <ns0:c r="L1035" s="17" t="n"/>
      <ns0:c r="M1035" s="17" t="n"/>
      <ns0:c r="N1035" s="17" t="n"/>
      <ns0:c r="O1035" s="17" t="n"/>
      <ns0:c r="P1035" s="17" t="n"/>
      <ns0:c r="Q1035" s="17" t="n"/>
      <ns0:c r="R1035" s="17" t="n"/>
      <ns0:c r="S1035" s="17" t="n"/>
      <ns0:c r="T1035" s="17" t="n"/>
      <ns0:c r="U1035" s="17" t="n"/>
      <ns0:c r="V1035" s="17" t="n"/>
      <ns0:c r="W1035" s="17" t="n"/>
      <ns0:c r="X1035" s="17" t="n"/>
      <ns0:c r="Y1035" s="17" t="n"/>
      <ns0:c r="Z1035" s="17" t="n"/>
      <ns0:c r="AA1035" s="17" t="n"/>
      <ns0:c r="AB1035" s="17" t="n"/>
      <ns0:c r="AC1035" s="17" t="n"/>
      <ns0:c r="AD1035" s="17" t="n"/>
      <ns0:c r="AE1035" s="17" t="n"/>
      <ns0:c r="AF1035" s="17" t="n"/>
      <ns0:c r="AG1035" s="17" t="n"/>
    </ns0:row>
    <ns0:row r="1036" ht="24" customHeight="1">
      <ns0:c r="D1036" s="17" t="n"/>
      <ns0:c r="E1036" s="17" t="n"/>
      <ns0:c r="F1036" s="17" t="n"/>
      <ns0:c r="G1036" s="17" t="n"/>
      <ns0:c r="H1036" s="17" t="n"/>
      <ns0:c r="I1036" s="17" t="n"/>
      <ns0:c r="J1036" s="17" t="n"/>
      <ns0:c r="K1036" s="17" t="n"/>
      <ns0:c r="L1036" s="17" t="n"/>
      <ns0:c r="M1036" s="17" t="n"/>
      <ns0:c r="N1036" s="17" t="n"/>
      <ns0:c r="O1036" s="17" t="n"/>
      <ns0:c r="P1036" s="17" t="n"/>
      <ns0:c r="Q1036" s="17" t="n"/>
      <ns0:c r="R1036" s="17" t="n"/>
      <ns0:c r="S1036" s="17" t="n"/>
      <ns0:c r="T1036" s="17" t="n"/>
      <ns0:c r="U1036" s="17" t="n"/>
      <ns0:c r="V1036" s="17" t="n"/>
      <ns0:c r="W1036" s="17" t="n"/>
      <ns0:c r="X1036" s="17" t="n"/>
      <ns0:c r="Y1036" s="17" t="n"/>
      <ns0:c r="Z1036" s="17" t="n"/>
      <ns0:c r="AA1036" s="17" t="n"/>
      <ns0:c r="AB1036" s="17" t="n"/>
      <ns0:c r="AC1036" s="17" t="n"/>
      <ns0:c r="AD1036" s="17" t="n"/>
      <ns0:c r="AE1036" s="17" t="n"/>
      <ns0:c r="AF1036" s="17" t="n"/>
      <ns0:c r="AG1036" s="17" t="n"/>
    </ns0:row>
    <ns0:row r="1037" ht="24" customHeight="1">
      <ns0:c r="D1037" s="17" t="n"/>
      <ns0:c r="E1037" s="17" t="n"/>
      <ns0:c r="F1037" s="17" t="n"/>
      <ns0:c r="G1037" s="17" t="n"/>
      <ns0:c r="H1037" s="17" t="n"/>
      <ns0:c r="I1037" s="17" t="n"/>
      <ns0:c r="J1037" s="17" t="n"/>
      <ns0:c r="K1037" s="17" t="n"/>
      <ns0:c r="L1037" s="17" t="n"/>
      <ns0:c r="M1037" s="17" t="n"/>
      <ns0:c r="N1037" s="17" t="n"/>
      <ns0:c r="O1037" s="17" t="n"/>
      <ns0:c r="P1037" s="17" t="n"/>
      <ns0:c r="Q1037" s="17" t="n"/>
      <ns0:c r="R1037" s="17" t="n"/>
      <ns0:c r="S1037" s="17" t="n"/>
      <ns0:c r="T1037" s="17" t="n"/>
      <ns0:c r="U1037" s="17" t="n"/>
      <ns0:c r="V1037" s="17" t="n"/>
      <ns0:c r="W1037" s="17" t="n"/>
      <ns0:c r="X1037" s="17" t="n"/>
      <ns0:c r="Y1037" s="17" t="n"/>
      <ns0:c r="Z1037" s="17" t="n"/>
      <ns0:c r="AA1037" s="17" t="n"/>
      <ns0:c r="AB1037" s="17" t="n"/>
      <ns0:c r="AC1037" s="17" t="n"/>
      <ns0:c r="AD1037" s="17" t="n"/>
      <ns0:c r="AE1037" s="17" t="n"/>
      <ns0:c r="AF1037" s="17" t="n"/>
      <ns0:c r="AG1037" s="17" t="n"/>
    </ns0:row>
    <ns0:row r="1038" ht="24" customHeight="1">
      <ns0:c r="D1038" s="17" t="n"/>
      <ns0:c r="E1038" s="17" t="n"/>
      <ns0:c r="F1038" s="17" t="n"/>
      <ns0:c r="G1038" s="17" t="n"/>
      <ns0:c r="H1038" s="17" t="n"/>
      <ns0:c r="I1038" s="17" t="n"/>
      <ns0:c r="J1038" s="17" t="n"/>
      <ns0:c r="K1038" s="17" t="n"/>
      <ns0:c r="L1038" s="17" t="n"/>
      <ns0:c r="M1038" s="17" t="n"/>
      <ns0:c r="N1038" s="17" t="n"/>
      <ns0:c r="O1038" s="17" t="n"/>
      <ns0:c r="P1038" s="17" t="n"/>
      <ns0:c r="Q1038" s="17" t="n"/>
      <ns0:c r="R1038" s="17" t="n"/>
      <ns0:c r="S1038" s="17" t="n"/>
      <ns0:c r="T1038" s="17" t="n"/>
      <ns0:c r="U1038" s="17" t="n"/>
      <ns0:c r="V1038" s="17" t="n"/>
      <ns0:c r="W1038" s="17" t="n"/>
      <ns0:c r="X1038" s="17" t="n"/>
      <ns0:c r="Y1038" s="17" t="n"/>
      <ns0:c r="Z1038" s="17" t="n"/>
      <ns0:c r="AA1038" s="17" t="n"/>
      <ns0:c r="AB1038" s="17" t="n"/>
      <ns0:c r="AC1038" s="17" t="n"/>
      <ns0:c r="AD1038" s="17" t="n"/>
      <ns0:c r="AE1038" s="17" t="n"/>
      <ns0:c r="AF1038" s="17" t="n"/>
      <ns0:c r="AG1038" s="17" t="n"/>
    </ns0:row>
    <ns0:row r="1039" ht="24" customHeight="1">
      <ns0:c r="D1039" s="17" t="n"/>
      <ns0:c r="E1039" s="17" t="n"/>
      <ns0:c r="F1039" s="17" t="n"/>
      <ns0:c r="G1039" s="17" t="n"/>
      <ns0:c r="H1039" s="17" t="n"/>
      <ns0:c r="I1039" s="17" t="n"/>
      <ns0:c r="J1039" s="17" t="n"/>
      <ns0:c r="K1039" s="17" t="n"/>
      <ns0:c r="L1039" s="17" t="n"/>
      <ns0:c r="M1039" s="17" t="n"/>
      <ns0:c r="N1039" s="17" t="n"/>
      <ns0:c r="O1039" s="17" t="n"/>
      <ns0:c r="P1039" s="17" t="n"/>
      <ns0:c r="Q1039" s="17" t="n"/>
      <ns0:c r="R1039" s="17" t="n"/>
      <ns0:c r="S1039" s="17" t="n"/>
      <ns0:c r="T1039" s="17" t="n"/>
      <ns0:c r="U1039" s="17" t="n"/>
      <ns0:c r="V1039" s="17" t="n"/>
      <ns0:c r="W1039" s="17" t="n"/>
      <ns0:c r="X1039" s="17" t="n"/>
      <ns0:c r="Y1039" s="17" t="n"/>
      <ns0:c r="Z1039" s="17" t="n"/>
      <ns0:c r="AA1039" s="17" t="n"/>
      <ns0:c r="AB1039" s="17" t="n"/>
      <ns0:c r="AC1039" s="17" t="n"/>
      <ns0:c r="AD1039" s="17" t="n"/>
      <ns0:c r="AE1039" s="17" t="n"/>
      <ns0:c r="AF1039" s="17" t="n"/>
      <ns0:c r="AG1039" s="17" t="n"/>
    </ns0:row>
    <ns0:row r="1040" ht="24" customHeight="1">
      <ns0:c r="D1040" s="17" t="n"/>
      <ns0:c r="E1040" s="17" t="n"/>
      <ns0:c r="F1040" s="17" t="n"/>
      <ns0:c r="G1040" s="17" t="n"/>
      <ns0:c r="H1040" s="17" t="n"/>
      <ns0:c r="I1040" s="17" t="n"/>
      <ns0:c r="J1040" s="17" t="n"/>
      <ns0:c r="K1040" s="17" t="n"/>
      <ns0:c r="L1040" s="17" t="n"/>
      <ns0:c r="M1040" s="17" t="n"/>
      <ns0:c r="N1040" s="17" t="n"/>
      <ns0:c r="O1040" s="17" t="n"/>
      <ns0:c r="P1040" s="17" t="n"/>
      <ns0:c r="Q1040" s="17" t="n"/>
      <ns0:c r="R1040" s="17" t="n"/>
      <ns0:c r="S1040" s="17" t="n"/>
      <ns0:c r="T1040" s="17" t="n"/>
      <ns0:c r="U1040" s="17" t="n"/>
      <ns0:c r="V1040" s="17" t="n"/>
      <ns0:c r="W1040" s="17" t="n"/>
      <ns0:c r="X1040" s="17" t="n"/>
      <ns0:c r="Y1040" s="17" t="n"/>
      <ns0:c r="Z1040" s="17" t="n"/>
      <ns0:c r="AA1040" s="17" t="n"/>
      <ns0:c r="AB1040" s="17" t="n"/>
      <ns0:c r="AC1040" s="17" t="n"/>
      <ns0:c r="AD1040" s="17" t="n"/>
      <ns0:c r="AE1040" s="17" t="n"/>
      <ns0:c r="AF1040" s="17" t="n"/>
      <ns0:c r="AG1040" s="17" t="n"/>
    </ns0:row>
    <ns0:row r="1041" ht="24" customHeight="1">
      <ns0:c r="D1041" s="17" t="n"/>
      <ns0:c r="E1041" s="17" t="n"/>
      <ns0:c r="F1041" s="17" t="n"/>
      <ns0:c r="G1041" s="17" t="n"/>
      <ns0:c r="H1041" s="17" t="n"/>
      <ns0:c r="I1041" s="17" t="n"/>
      <ns0:c r="J1041" s="17" t="n"/>
      <ns0:c r="K1041" s="17" t="n"/>
      <ns0:c r="L1041" s="17" t="n"/>
      <ns0:c r="M1041" s="17" t="n"/>
      <ns0:c r="N1041" s="17" t="n"/>
      <ns0:c r="O1041" s="17" t="n"/>
      <ns0:c r="P1041" s="17" t="n"/>
      <ns0:c r="Q1041" s="17" t="n"/>
      <ns0:c r="R1041" s="17" t="n"/>
      <ns0:c r="S1041" s="17" t="n"/>
      <ns0:c r="T1041" s="17" t="n"/>
      <ns0:c r="U1041" s="17" t="n"/>
      <ns0:c r="V1041" s="17" t="n"/>
      <ns0:c r="W1041" s="17" t="n"/>
      <ns0:c r="X1041" s="17" t="n"/>
      <ns0:c r="Y1041" s="17" t="n"/>
      <ns0:c r="Z1041" s="17" t="n"/>
      <ns0:c r="AA1041" s="17" t="n"/>
      <ns0:c r="AB1041" s="17" t="n"/>
      <ns0:c r="AC1041" s="17" t="n"/>
      <ns0:c r="AD1041" s="17" t="n"/>
      <ns0:c r="AE1041" s="17" t="n"/>
      <ns0:c r="AF1041" s="17" t="n"/>
      <ns0:c r="AG1041" s="17" t="n"/>
    </ns0:row>
    <ns0:row r="1042" ht="24" customHeight="1">
      <ns0:c r="D1042" s="17" t="n"/>
      <ns0:c r="E1042" s="17" t="n"/>
      <ns0:c r="F1042" s="17" t="n"/>
      <ns0:c r="G1042" s="17" t="n"/>
      <ns0:c r="H1042" s="17" t="n"/>
      <ns0:c r="I1042" s="17" t="n"/>
      <ns0:c r="J1042" s="17" t="n"/>
      <ns0:c r="K1042" s="17" t="n"/>
      <ns0:c r="L1042" s="17" t="n"/>
      <ns0:c r="M1042" s="17" t="n"/>
      <ns0:c r="N1042" s="17" t="n"/>
      <ns0:c r="O1042" s="17" t="n"/>
      <ns0:c r="P1042" s="17" t="n"/>
      <ns0:c r="Q1042" s="17" t="n"/>
      <ns0:c r="R1042" s="17" t="n"/>
      <ns0:c r="S1042" s="17" t="n"/>
      <ns0:c r="T1042" s="17" t="n"/>
      <ns0:c r="U1042" s="17" t="n"/>
      <ns0:c r="V1042" s="17" t="n"/>
      <ns0:c r="W1042" s="17" t="n"/>
      <ns0:c r="X1042" s="17" t="n"/>
      <ns0:c r="Y1042" s="17" t="n"/>
      <ns0:c r="Z1042" s="17" t="n"/>
      <ns0:c r="AA1042" s="17" t="n"/>
      <ns0:c r="AB1042" s="17" t="n"/>
      <ns0:c r="AC1042" s="17" t="n"/>
      <ns0:c r="AD1042" s="17" t="n"/>
      <ns0:c r="AE1042" s="17" t="n"/>
      <ns0:c r="AF1042" s="17" t="n"/>
      <ns0:c r="AG1042" s="17" t="n"/>
    </ns0:row>
    <ns0:row r="1043" ht="24" customHeight="1">
      <ns0:c r="D1043" s="17" t="n"/>
      <ns0:c r="E1043" s="17" t="n"/>
      <ns0:c r="F1043" s="17" t="n"/>
      <ns0:c r="G1043" s="17" t="n"/>
      <ns0:c r="H1043" s="17" t="n"/>
      <ns0:c r="I1043" s="17" t="n"/>
      <ns0:c r="J1043" s="17" t="n"/>
      <ns0:c r="K1043" s="17" t="n"/>
      <ns0:c r="L1043" s="17" t="n"/>
      <ns0:c r="M1043" s="17" t="n"/>
      <ns0:c r="N1043" s="17" t="n"/>
      <ns0:c r="O1043" s="17" t="n"/>
      <ns0:c r="P1043" s="17" t="n"/>
      <ns0:c r="Q1043" s="17" t="n"/>
      <ns0:c r="R1043" s="17" t="n"/>
      <ns0:c r="S1043" s="17" t="n"/>
      <ns0:c r="T1043" s="17" t="n"/>
      <ns0:c r="U1043" s="17" t="n"/>
      <ns0:c r="V1043" s="17" t="n"/>
      <ns0:c r="W1043" s="17" t="n"/>
      <ns0:c r="X1043" s="17" t="n"/>
      <ns0:c r="Y1043" s="17" t="n"/>
      <ns0:c r="Z1043" s="17" t="n"/>
      <ns0:c r="AA1043" s="17" t="n"/>
      <ns0:c r="AB1043" s="17" t="n"/>
      <ns0:c r="AC1043" s="17" t="n"/>
      <ns0:c r="AD1043" s="17" t="n"/>
      <ns0:c r="AE1043" s="17" t="n"/>
      <ns0:c r="AF1043" s="17" t="n"/>
      <ns0:c r="AG1043" s="17" t="n"/>
    </ns0:row>
    <ns0:row r="1044" ht="24" customHeight="1">
      <ns0:c r="D1044" s="17" t="n"/>
      <ns0:c r="E1044" s="17" t="n"/>
      <ns0:c r="F1044" s="17" t="n"/>
      <ns0:c r="G1044" s="17" t="n"/>
      <ns0:c r="H1044" s="17" t="n"/>
      <ns0:c r="I1044" s="17" t="n"/>
      <ns0:c r="J1044" s="17" t="n"/>
      <ns0:c r="K1044" s="17" t="n"/>
      <ns0:c r="L1044" s="17" t="n"/>
      <ns0:c r="M1044" s="17" t="n"/>
      <ns0:c r="N1044" s="17" t="n"/>
      <ns0:c r="O1044" s="17" t="n"/>
      <ns0:c r="P1044" s="17" t="n"/>
      <ns0:c r="Q1044" s="17" t="n"/>
      <ns0:c r="R1044" s="17" t="n"/>
      <ns0:c r="S1044" s="17" t="n"/>
      <ns0:c r="T1044" s="17" t="n"/>
      <ns0:c r="U1044" s="17" t="n"/>
      <ns0:c r="V1044" s="17" t="n"/>
      <ns0:c r="W1044" s="17" t="n"/>
      <ns0:c r="X1044" s="17" t="n"/>
      <ns0:c r="Y1044" s="17" t="n"/>
      <ns0:c r="Z1044" s="17" t="n"/>
      <ns0:c r="AA1044" s="17" t="n"/>
      <ns0:c r="AB1044" s="17" t="n"/>
      <ns0:c r="AC1044" s="17" t="n"/>
      <ns0:c r="AD1044" s="17" t="n"/>
      <ns0:c r="AE1044" s="17" t="n"/>
      <ns0:c r="AF1044" s="17" t="n"/>
      <ns0:c r="AG1044" s="17" t="n"/>
    </ns0:row>
    <ns0:row r="1045" ht="24" customHeight="1">
      <ns0:c r="D1045" s="17" t="n"/>
      <ns0:c r="E1045" s="17" t="n"/>
      <ns0:c r="F1045" s="17" t="n"/>
      <ns0:c r="G1045" s="17" t="n"/>
      <ns0:c r="H1045" s="17" t="n"/>
      <ns0:c r="I1045" s="17" t="n"/>
      <ns0:c r="J1045" s="17" t="n"/>
      <ns0:c r="K1045" s="17" t="n"/>
      <ns0:c r="L1045" s="17" t="n"/>
      <ns0:c r="M1045" s="17" t="n"/>
      <ns0:c r="N1045" s="17" t="n"/>
      <ns0:c r="O1045" s="17" t="n"/>
      <ns0:c r="P1045" s="17" t="n"/>
      <ns0:c r="Q1045" s="17" t="n"/>
      <ns0:c r="R1045" s="17" t="n"/>
      <ns0:c r="S1045" s="17" t="n"/>
      <ns0:c r="T1045" s="17" t="n"/>
      <ns0:c r="U1045" s="17" t="n"/>
      <ns0:c r="V1045" s="17" t="n"/>
      <ns0:c r="W1045" s="17" t="n"/>
      <ns0:c r="X1045" s="17" t="n"/>
      <ns0:c r="Y1045" s="17" t="n"/>
      <ns0:c r="Z1045" s="17" t="n"/>
      <ns0:c r="AA1045" s="17" t="n"/>
      <ns0:c r="AB1045" s="17" t="n"/>
      <ns0:c r="AC1045" s="17" t="n"/>
      <ns0:c r="AD1045" s="17" t="n"/>
      <ns0:c r="AE1045" s="17" t="n"/>
      <ns0:c r="AF1045" s="17" t="n"/>
      <ns0:c r="AG1045" s="17" t="n"/>
    </ns0:row>
    <ns0:row r="1046" ht="24" customHeight="1">
      <ns0:c r="D1046" s="17" t="n"/>
      <ns0:c r="E1046" s="17" t="n"/>
      <ns0:c r="F1046" s="17" t="n"/>
      <ns0:c r="G1046" s="17" t="n"/>
      <ns0:c r="H1046" s="17" t="n"/>
      <ns0:c r="I1046" s="17" t="n"/>
      <ns0:c r="J1046" s="17" t="n"/>
      <ns0:c r="K1046" s="17" t="n"/>
      <ns0:c r="L1046" s="17" t="n"/>
      <ns0:c r="M1046" s="17" t="n"/>
      <ns0:c r="N1046" s="17" t="n"/>
      <ns0:c r="O1046" s="17" t="n"/>
      <ns0:c r="P1046" s="17" t="n"/>
      <ns0:c r="Q1046" s="17" t="n"/>
      <ns0:c r="R1046" s="17" t="n"/>
      <ns0:c r="S1046" s="17" t="n"/>
      <ns0:c r="T1046" s="17" t="n"/>
      <ns0:c r="U1046" s="17" t="n"/>
      <ns0:c r="V1046" s="17" t="n"/>
      <ns0:c r="W1046" s="17" t="n"/>
      <ns0:c r="X1046" s="17" t="n"/>
      <ns0:c r="Y1046" s="17" t="n"/>
      <ns0:c r="Z1046" s="17" t="n"/>
      <ns0:c r="AA1046" s="17" t="n"/>
      <ns0:c r="AB1046" s="17" t="n"/>
      <ns0:c r="AC1046" s="17" t="n"/>
      <ns0:c r="AD1046" s="17" t="n"/>
      <ns0:c r="AE1046" s="17" t="n"/>
      <ns0:c r="AF1046" s="17" t="n"/>
      <ns0:c r="AG1046" s="17" t="n"/>
    </ns0:row>
    <ns0:row r="1047" ht="24" customHeight="1">
      <ns0:c r="D1047" s="17" t="n"/>
      <ns0:c r="E1047" s="17" t="n"/>
      <ns0:c r="F1047" s="17" t="n"/>
      <ns0:c r="G1047" s="17" t="n"/>
      <ns0:c r="H1047" s="17" t="n"/>
      <ns0:c r="I1047" s="17" t="n"/>
      <ns0:c r="J1047" s="17" t="n"/>
      <ns0:c r="K1047" s="17" t="n"/>
      <ns0:c r="L1047" s="17" t="n"/>
      <ns0:c r="M1047" s="17" t="n"/>
      <ns0:c r="N1047" s="17" t="n"/>
      <ns0:c r="O1047" s="17" t="n"/>
      <ns0:c r="P1047" s="17" t="n"/>
      <ns0:c r="Q1047" s="17" t="n"/>
      <ns0:c r="R1047" s="17" t="n"/>
      <ns0:c r="S1047" s="17" t="n"/>
      <ns0:c r="T1047" s="17" t="n"/>
      <ns0:c r="U1047" s="17" t="n"/>
      <ns0:c r="V1047" s="17" t="n"/>
      <ns0:c r="W1047" s="17" t="n"/>
      <ns0:c r="X1047" s="17" t="n"/>
      <ns0:c r="Y1047" s="17" t="n"/>
      <ns0:c r="Z1047" s="17" t="n"/>
      <ns0:c r="AA1047" s="17" t="n"/>
      <ns0:c r="AB1047" s="17" t="n"/>
      <ns0:c r="AC1047" s="17" t="n"/>
      <ns0:c r="AD1047" s="17" t="n"/>
      <ns0:c r="AE1047" s="17" t="n"/>
      <ns0:c r="AF1047" s="17" t="n"/>
      <ns0:c r="AG1047" s="17" t="n"/>
    </ns0:row>
    <ns0:row r="1048" ht="24" customHeight="1">
      <ns0:c r="D1048" s="17" t="n"/>
      <ns0:c r="E1048" s="17" t="n"/>
      <ns0:c r="F1048" s="17" t="n"/>
      <ns0:c r="G1048" s="17" t="n"/>
      <ns0:c r="H1048" s="17" t="n"/>
      <ns0:c r="I1048" s="17" t="n"/>
      <ns0:c r="J1048" s="17" t="n"/>
      <ns0:c r="K1048" s="17" t="n"/>
      <ns0:c r="L1048" s="17" t="n"/>
      <ns0:c r="M1048" s="17" t="n"/>
      <ns0:c r="N1048" s="17" t="n"/>
      <ns0:c r="O1048" s="17" t="n"/>
      <ns0:c r="P1048" s="17" t="n"/>
      <ns0:c r="Q1048" s="17" t="n"/>
      <ns0:c r="R1048" s="17" t="n"/>
      <ns0:c r="S1048" s="17" t="n"/>
      <ns0:c r="T1048" s="17" t="n"/>
      <ns0:c r="U1048" s="17" t="n"/>
      <ns0:c r="V1048" s="17" t="n"/>
      <ns0:c r="W1048" s="17" t="n"/>
      <ns0:c r="X1048" s="17" t="n"/>
      <ns0:c r="Y1048" s="17" t="n"/>
      <ns0:c r="Z1048" s="17" t="n"/>
      <ns0:c r="AA1048" s="17" t="n"/>
      <ns0:c r="AB1048" s="17" t="n"/>
      <ns0:c r="AC1048" s="17" t="n"/>
      <ns0:c r="AD1048" s="17" t="n"/>
      <ns0:c r="AE1048" s="17" t="n"/>
      <ns0:c r="AF1048" s="17" t="n"/>
      <ns0:c r="AG1048" s="17" t="n"/>
    </ns0:row>
    <ns0:row r="1049" ht="24" customHeight="1">
      <ns0:c r="D1049" s="17" t="n"/>
      <ns0:c r="E1049" s="17" t="n"/>
      <ns0:c r="F1049" s="17" t="n"/>
      <ns0:c r="G1049" s="17" t="n"/>
      <ns0:c r="H1049" s="17" t="n"/>
      <ns0:c r="I1049" s="17" t="n"/>
      <ns0:c r="J1049" s="17" t="n"/>
      <ns0:c r="K1049" s="17" t="n"/>
      <ns0:c r="L1049" s="17" t="n"/>
      <ns0:c r="M1049" s="17" t="n"/>
      <ns0:c r="N1049" s="17" t="n"/>
      <ns0:c r="O1049" s="17" t="n"/>
      <ns0:c r="P1049" s="17" t="n"/>
      <ns0:c r="Q1049" s="17" t="n"/>
      <ns0:c r="R1049" s="17" t="n"/>
      <ns0:c r="S1049" s="17" t="n"/>
      <ns0:c r="T1049" s="17" t="n"/>
      <ns0:c r="U1049" s="17" t="n"/>
      <ns0:c r="V1049" s="17" t="n"/>
      <ns0:c r="W1049" s="17" t="n"/>
      <ns0:c r="X1049" s="17" t="n"/>
      <ns0:c r="Y1049" s="17" t="n"/>
      <ns0:c r="Z1049" s="17" t="n"/>
      <ns0:c r="AA1049" s="17" t="n"/>
      <ns0:c r="AB1049" s="17" t="n"/>
      <ns0:c r="AC1049" s="17" t="n"/>
      <ns0:c r="AD1049" s="17" t="n"/>
      <ns0:c r="AE1049" s="17" t="n"/>
      <ns0:c r="AF1049" s="17" t="n"/>
      <ns0:c r="AG1049" s="17" t="n"/>
    </ns0:row>
    <ns0:row r="1050" ht="24" customHeight="1">
      <ns0:c r="D1050" s="17" t="n"/>
      <ns0:c r="E1050" s="17" t="n"/>
      <ns0:c r="F1050" s="17" t="n"/>
      <ns0:c r="G1050" s="17" t="n"/>
      <ns0:c r="H1050" s="17" t="n"/>
      <ns0:c r="I1050" s="17" t="n"/>
      <ns0:c r="J1050" s="17" t="n"/>
      <ns0:c r="K1050" s="17" t="n"/>
      <ns0:c r="L1050" s="17" t="n"/>
      <ns0:c r="M1050" s="17" t="n"/>
      <ns0:c r="N1050" s="17" t="n"/>
      <ns0:c r="O1050" s="17" t="n"/>
      <ns0:c r="P1050" s="17" t="n"/>
      <ns0:c r="Q1050" s="17" t="n"/>
      <ns0:c r="R1050" s="17" t="n"/>
      <ns0:c r="S1050" s="17" t="n"/>
      <ns0:c r="T1050" s="17" t="n"/>
      <ns0:c r="U1050" s="17" t="n"/>
      <ns0:c r="V1050" s="17" t="n"/>
      <ns0:c r="W1050" s="17" t="n"/>
      <ns0:c r="X1050" s="17" t="n"/>
      <ns0:c r="Y1050" s="17" t="n"/>
      <ns0:c r="Z1050" s="17" t="n"/>
      <ns0:c r="AA1050" s="17" t="n"/>
      <ns0:c r="AB1050" s="17" t="n"/>
      <ns0:c r="AC1050" s="17" t="n"/>
      <ns0:c r="AD1050" s="17" t="n"/>
      <ns0:c r="AE1050" s="17" t="n"/>
      <ns0:c r="AF1050" s="17" t="n"/>
      <ns0:c r="AG1050" s="17" t="n"/>
    </ns0:row>
    <ns0:row r="1051" ht="24" customHeight="1">
      <ns0:c r="D1051" s="17" t="n"/>
      <ns0:c r="E1051" s="17" t="n"/>
      <ns0:c r="F1051" s="17" t="n"/>
      <ns0:c r="G1051" s="17" t="n"/>
      <ns0:c r="H1051" s="17" t="n"/>
      <ns0:c r="I1051" s="17" t="n"/>
      <ns0:c r="J1051" s="17" t="n"/>
      <ns0:c r="K1051" s="17" t="n"/>
      <ns0:c r="L1051" s="17" t="n"/>
      <ns0:c r="M1051" s="17" t="n"/>
      <ns0:c r="N1051" s="17" t="n"/>
      <ns0:c r="O1051" s="17" t="n"/>
      <ns0:c r="P1051" s="17" t="n"/>
      <ns0:c r="Q1051" s="17" t="n"/>
      <ns0:c r="R1051" s="17" t="n"/>
      <ns0:c r="S1051" s="17" t="n"/>
      <ns0:c r="T1051" s="17" t="n"/>
      <ns0:c r="U1051" s="17" t="n"/>
      <ns0:c r="V1051" s="17" t="n"/>
      <ns0:c r="W1051" s="17" t="n"/>
      <ns0:c r="X1051" s="17" t="n"/>
      <ns0:c r="Y1051" s="17" t="n"/>
      <ns0:c r="Z1051" s="17" t="n"/>
      <ns0:c r="AA1051" s="17" t="n"/>
      <ns0:c r="AB1051" s="17" t="n"/>
      <ns0:c r="AC1051" s="17" t="n"/>
      <ns0:c r="AD1051" s="17" t="n"/>
      <ns0:c r="AE1051" s="17" t="n"/>
      <ns0:c r="AF1051" s="17" t="n"/>
      <ns0:c r="AG1051" s="17" t="n"/>
    </ns0:row>
    <ns0:row r="1052" ht="24" customHeight="1">
      <ns0:c r="D1052" s="17" t="n"/>
      <ns0:c r="E1052" s="17" t="n"/>
      <ns0:c r="F1052" s="17" t="n"/>
      <ns0:c r="G1052" s="17" t="n"/>
      <ns0:c r="H1052" s="17" t="n"/>
      <ns0:c r="I1052" s="17" t="n"/>
      <ns0:c r="J1052" s="17" t="n"/>
      <ns0:c r="K1052" s="17" t="n"/>
      <ns0:c r="L1052" s="17" t="n"/>
      <ns0:c r="M1052" s="17" t="n"/>
      <ns0:c r="N1052" s="17" t="n"/>
      <ns0:c r="O1052" s="17" t="n"/>
      <ns0:c r="P1052" s="17" t="n"/>
      <ns0:c r="Q1052" s="17" t="n"/>
      <ns0:c r="R1052" s="17" t="n"/>
      <ns0:c r="S1052" s="17" t="n"/>
      <ns0:c r="T1052" s="17" t="n"/>
      <ns0:c r="U1052" s="17" t="n"/>
      <ns0:c r="V1052" s="17" t="n"/>
      <ns0:c r="W1052" s="17" t="n"/>
      <ns0:c r="X1052" s="17" t="n"/>
      <ns0:c r="Y1052" s="17" t="n"/>
      <ns0:c r="Z1052" s="17" t="n"/>
      <ns0:c r="AA1052" s="17" t="n"/>
      <ns0:c r="AB1052" s="17" t="n"/>
      <ns0:c r="AC1052" s="17" t="n"/>
      <ns0:c r="AD1052" s="17" t="n"/>
      <ns0:c r="AE1052" s="17" t="n"/>
      <ns0:c r="AF1052" s="17" t="n"/>
      <ns0:c r="AG1052" s="17" t="n"/>
    </ns0:row>
    <ns0:row r="1053" ht="24" customHeight="1">
      <ns0:c r="D1053" s="17" t="n"/>
      <ns0:c r="E1053" s="17" t="n"/>
      <ns0:c r="F1053" s="17" t="n"/>
      <ns0:c r="G1053" s="17" t="n"/>
      <ns0:c r="H1053" s="17" t="n"/>
      <ns0:c r="I1053" s="17" t="n"/>
      <ns0:c r="J1053" s="17" t="n"/>
      <ns0:c r="K1053" s="17" t="n"/>
      <ns0:c r="L1053" s="17" t="n"/>
      <ns0:c r="M1053" s="17" t="n"/>
      <ns0:c r="N1053" s="17" t="n"/>
      <ns0:c r="O1053" s="17" t="n"/>
      <ns0:c r="P1053" s="17" t="n"/>
      <ns0:c r="Q1053" s="17" t="n"/>
      <ns0:c r="R1053" s="17" t="n"/>
      <ns0:c r="S1053" s="17" t="n"/>
      <ns0:c r="T1053" s="17" t="n"/>
      <ns0:c r="U1053" s="17" t="n"/>
      <ns0:c r="V1053" s="17" t="n"/>
      <ns0:c r="W1053" s="17" t="n"/>
      <ns0:c r="X1053" s="17" t="n"/>
      <ns0:c r="Y1053" s="17" t="n"/>
      <ns0:c r="Z1053" s="17" t="n"/>
      <ns0:c r="AA1053" s="17" t="n"/>
      <ns0:c r="AB1053" s="17" t="n"/>
      <ns0:c r="AC1053" s="17" t="n"/>
      <ns0:c r="AD1053" s="17" t="n"/>
      <ns0:c r="AE1053" s="17" t="n"/>
      <ns0:c r="AF1053" s="17" t="n"/>
      <ns0:c r="AG1053" s="17" t="n"/>
    </ns0:row>
    <ns0:row r="1054" ht="24" customHeight="1">
      <ns0:c r="D1054" s="17" t="n"/>
      <ns0:c r="E1054" s="17" t="n"/>
      <ns0:c r="F1054" s="17" t="n"/>
      <ns0:c r="G1054" s="17" t="n"/>
      <ns0:c r="H1054" s="17" t="n"/>
      <ns0:c r="I1054" s="17" t="n"/>
      <ns0:c r="J1054" s="17" t="n"/>
      <ns0:c r="K1054" s="17" t="n"/>
      <ns0:c r="L1054" s="17" t="n"/>
      <ns0:c r="M1054" s="17" t="n"/>
      <ns0:c r="N1054" s="17" t="n"/>
      <ns0:c r="O1054" s="17" t="n"/>
      <ns0:c r="P1054" s="17" t="n"/>
      <ns0:c r="Q1054" s="17" t="n"/>
      <ns0:c r="R1054" s="17" t="n"/>
      <ns0:c r="S1054" s="17" t="n"/>
      <ns0:c r="T1054" s="17" t="n"/>
      <ns0:c r="U1054" s="17" t="n"/>
      <ns0:c r="V1054" s="17" t="n"/>
      <ns0:c r="W1054" s="17" t="n"/>
      <ns0:c r="X1054" s="17" t="n"/>
      <ns0:c r="Y1054" s="17" t="n"/>
      <ns0:c r="Z1054" s="17" t="n"/>
      <ns0:c r="AA1054" s="17" t="n"/>
      <ns0:c r="AB1054" s="17" t="n"/>
      <ns0:c r="AC1054" s="17" t="n"/>
      <ns0:c r="AD1054" s="17" t="n"/>
      <ns0:c r="AE1054" s="17" t="n"/>
      <ns0:c r="AF1054" s="17" t="n"/>
      <ns0:c r="AG1054" s="17" t="n"/>
    </ns0:row>
    <ns0:row r="1055" ht="24" customHeight="1">
      <ns0:c r="D1055" s="17" t="n"/>
      <ns0:c r="E1055" s="17" t="n"/>
      <ns0:c r="F1055" s="17" t="n"/>
      <ns0:c r="G1055" s="17" t="n"/>
      <ns0:c r="H1055" s="17" t="n"/>
      <ns0:c r="I1055" s="17" t="n"/>
      <ns0:c r="J1055" s="17" t="n"/>
      <ns0:c r="K1055" s="17" t="n"/>
      <ns0:c r="L1055" s="17" t="n"/>
      <ns0:c r="M1055" s="17" t="n"/>
      <ns0:c r="N1055" s="17" t="n"/>
      <ns0:c r="O1055" s="17" t="n"/>
      <ns0:c r="P1055" s="17" t="n"/>
      <ns0:c r="Q1055" s="17" t="n"/>
      <ns0:c r="R1055" s="17" t="n"/>
      <ns0:c r="S1055" s="17" t="n"/>
      <ns0:c r="T1055" s="17" t="n"/>
      <ns0:c r="U1055" s="17" t="n"/>
      <ns0:c r="V1055" s="17" t="n"/>
      <ns0:c r="W1055" s="17" t="n"/>
      <ns0:c r="X1055" s="17" t="n"/>
      <ns0:c r="Y1055" s="17" t="n"/>
      <ns0:c r="Z1055" s="17" t="n"/>
      <ns0:c r="AA1055" s="17" t="n"/>
      <ns0:c r="AB1055" s="17" t="n"/>
      <ns0:c r="AC1055" s="17" t="n"/>
      <ns0:c r="AD1055" s="17" t="n"/>
      <ns0:c r="AE1055" s="17" t="n"/>
      <ns0:c r="AF1055" s="17" t="n"/>
      <ns0:c r="AG1055" s="17" t="n"/>
    </ns0:row>
    <ns0:row r="1056" ht="24" customHeight="1">
      <ns0:c r="D1056" s="17" t="n"/>
      <ns0:c r="E1056" s="17" t="n"/>
      <ns0:c r="F1056" s="17" t="n"/>
      <ns0:c r="G1056" s="17" t="n"/>
      <ns0:c r="H1056" s="17" t="n"/>
      <ns0:c r="I1056" s="17" t="n"/>
      <ns0:c r="J1056" s="17" t="n"/>
      <ns0:c r="K1056" s="17" t="n"/>
      <ns0:c r="L1056" s="17" t="n"/>
      <ns0:c r="M1056" s="17" t="n"/>
      <ns0:c r="N1056" s="17" t="n"/>
      <ns0:c r="O1056" s="17" t="n"/>
      <ns0:c r="P1056" s="17" t="n"/>
      <ns0:c r="Q1056" s="17" t="n"/>
      <ns0:c r="R1056" s="17" t="n"/>
      <ns0:c r="S1056" s="17" t="n"/>
      <ns0:c r="T1056" s="17" t="n"/>
      <ns0:c r="U1056" s="17" t="n"/>
      <ns0:c r="V1056" s="17" t="n"/>
      <ns0:c r="W1056" s="17" t="n"/>
      <ns0:c r="X1056" s="17" t="n"/>
      <ns0:c r="Y1056" s="17" t="n"/>
      <ns0:c r="Z1056" s="17" t="n"/>
      <ns0:c r="AA1056" s="17" t="n"/>
      <ns0:c r="AB1056" s="17" t="n"/>
      <ns0:c r="AC1056" s="17" t="n"/>
      <ns0:c r="AD1056" s="17" t="n"/>
      <ns0:c r="AE1056" s="17" t="n"/>
      <ns0:c r="AF1056" s="17" t="n"/>
      <ns0:c r="AG1056" s="17" t="n"/>
    </ns0:row>
    <ns0:row r="1057" ht="24" customHeight="1">
      <ns0:c r="D1057" s="17" t="n"/>
      <ns0:c r="E1057" s="17" t="n"/>
      <ns0:c r="F1057" s="17" t="n"/>
      <ns0:c r="G1057" s="17" t="n"/>
      <ns0:c r="H1057" s="17" t="n"/>
      <ns0:c r="I1057" s="17" t="n"/>
      <ns0:c r="J1057" s="17" t="n"/>
      <ns0:c r="K1057" s="17" t="n"/>
      <ns0:c r="L1057" s="17" t="n"/>
      <ns0:c r="M1057" s="17" t="n"/>
      <ns0:c r="N1057" s="17" t="n"/>
      <ns0:c r="O1057" s="17" t="n"/>
      <ns0:c r="P1057" s="17" t="n"/>
      <ns0:c r="Q1057" s="17" t="n"/>
      <ns0:c r="R1057" s="17" t="n"/>
      <ns0:c r="S1057" s="17" t="n"/>
      <ns0:c r="T1057" s="17" t="n"/>
      <ns0:c r="U1057" s="17" t="n"/>
      <ns0:c r="V1057" s="17" t="n"/>
      <ns0:c r="W1057" s="17" t="n"/>
      <ns0:c r="X1057" s="17" t="n"/>
      <ns0:c r="Y1057" s="17" t="n"/>
      <ns0:c r="Z1057" s="17" t="n"/>
      <ns0:c r="AA1057" s="17" t="n"/>
      <ns0:c r="AB1057" s="17" t="n"/>
      <ns0:c r="AC1057" s="17" t="n"/>
      <ns0:c r="AD1057" s="17" t="n"/>
      <ns0:c r="AE1057" s="17" t="n"/>
      <ns0:c r="AF1057" s="17" t="n"/>
      <ns0:c r="AG1057" s="17" t="n"/>
    </ns0:row>
    <ns0:row r="1058" ht="24" customHeight="1">
      <ns0:c r="D1058" s="17" t="n"/>
      <ns0:c r="E1058" s="17" t="n"/>
      <ns0:c r="F1058" s="17" t="n"/>
      <ns0:c r="G1058" s="17" t="n"/>
      <ns0:c r="H1058" s="17" t="n"/>
      <ns0:c r="I1058" s="17" t="n"/>
      <ns0:c r="J1058" s="17" t="n"/>
      <ns0:c r="K1058" s="17" t="n"/>
      <ns0:c r="L1058" s="17" t="n"/>
      <ns0:c r="M1058" s="17" t="n"/>
      <ns0:c r="N1058" s="17" t="n"/>
      <ns0:c r="O1058" s="17" t="n"/>
      <ns0:c r="P1058" s="17" t="n"/>
      <ns0:c r="Q1058" s="17" t="n"/>
      <ns0:c r="R1058" s="17" t="n"/>
      <ns0:c r="S1058" s="17" t="n"/>
      <ns0:c r="T1058" s="17" t="n"/>
      <ns0:c r="U1058" s="17" t="n"/>
      <ns0:c r="V1058" s="17" t="n"/>
      <ns0:c r="W1058" s="17" t="n"/>
      <ns0:c r="X1058" s="17" t="n"/>
      <ns0:c r="Y1058" s="17" t="n"/>
      <ns0:c r="Z1058" s="17" t="n"/>
      <ns0:c r="AA1058" s="17" t="n"/>
      <ns0:c r="AB1058" s="17" t="n"/>
      <ns0:c r="AC1058" s="17" t="n"/>
      <ns0:c r="AD1058" s="17" t="n"/>
      <ns0:c r="AE1058" s="17" t="n"/>
      <ns0:c r="AF1058" s="17" t="n"/>
      <ns0:c r="AG1058" s="17" t="n"/>
    </ns0:row>
    <ns0:row r="1059" ht="24" customHeight="1">
      <ns0:c r="D1059" s="17" t="n"/>
      <ns0:c r="E1059" s="17" t="n"/>
      <ns0:c r="F1059" s="17" t="n"/>
      <ns0:c r="G1059" s="17" t="n"/>
      <ns0:c r="H1059" s="17" t="n"/>
      <ns0:c r="I1059" s="17" t="n"/>
      <ns0:c r="J1059" s="17" t="n"/>
      <ns0:c r="K1059" s="17" t="n"/>
      <ns0:c r="L1059" s="17" t="n"/>
      <ns0:c r="M1059" s="17" t="n"/>
      <ns0:c r="N1059" s="17" t="n"/>
      <ns0:c r="O1059" s="17" t="n"/>
      <ns0:c r="P1059" s="17" t="n"/>
      <ns0:c r="Q1059" s="17" t="n"/>
      <ns0:c r="R1059" s="17" t="n"/>
      <ns0:c r="S1059" s="17" t="n"/>
      <ns0:c r="T1059" s="17" t="n"/>
      <ns0:c r="U1059" s="17" t="n"/>
      <ns0:c r="V1059" s="17" t="n"/>
      <ns0:c r="W1059" s="17" t="n"/>
      <ns0:c r="X1059" s="17" t="n"/>
      <ns0:c r="Y1059" s="17" t="n"/>
      <ns0:c r="Z1059" s="17" t="n"/>
      <ns0:c r="AA1059" s="17" t="n"/>
      <ns0:c r="AB1059" s="17" t="n"/>
      <ns0:c r="AC1059" s="17" t="n"/>
      <ns0:c r="AD1059" s="17" t="n"/>
      <ns0:c r="AE1059" s="17" t="n"/>
      <ns0:c r="AF1059" s="17" t="n"/>
      <ns0:c r="AG1059" s="17" t="n"/>
    </ns0:row>
    <ns0:row r="1060" ht="24" customHeight="1">
      <ns0:c r="D1060" s="17" t="n"/>
      <ns0:c r="E1060" s="17" t="n"/>
      <ns0:c r="F1060" s="17" t="n"/>
      <ns0:c r="G1060" s="17" t="n"/>
      <ns0:c r="H1060" s="17" t="n"/>
      <ns0:c r="I1060" s="17" t="n"/>
      <ns0:c r="J1060" s="17" t="n"/>
      <ns0:c r="K1060" s="17" t="n"/>
      <ns0:c r="L1060" s="17" t="n"/>
      <ns0:c r="M1060" s="17" t="n"/>
      <ns0:c r="N1060" s="17" t="n"/>
      <ns0:c r="O1060" s="17" t="n"/>
      <ns0:c r="P1060" s="17" t="n"/>
      <ns0:c r="Q1060" s="17" t="n"/>
      <ns0:c r="R1060" s="17" t="n"/>
      <ns0:c r="S1060" s="17" t="n"/>
      <ns0:c r="T1060" s="17" t="n"/>
      <ns0:c r="U1060" s="17" t="n"/>
      <ns0:c r="V1060" s="17" t="n"/>
      <ns0:c r="W1060" s="17" t="n"/>
      <ns0:c r="X1060" s="17" t="n"/>
      <ns0:c r="Y1060" s="17" t="n"/>
      <ns0:c r="Z1060" s="17" t="n"/>
      <ns0:c r="AA1060" s="17" t="n"/>
      <ns0:c r="AB1060" s="17" t="n"/>
      <ns0:c r="AC1060" s="17" t="n"/>
      <ns0:c r="AD1060" s="17" t="n"/>
      <ns0:c r="AE1060" s="17" t="n"/>
      <ns0:c r="AF1060" s="17" t="n"/>
      <ns0:c r="AG1060" s="17" t="n"/>
    </ns0:row>
    <ns0:row r="1061" ht="24" customHeight="1">
      <ns0:c r="D1061" s="17" t="n"/>
      <ns0:c r="E1061" s="17" t="n"/>
      <ns0:c r="F1061" s="17" t="n"/>
      <ns0:c r="G1061" s="17" t="n"/>
      <ns0:c r="H1061" s="17" t="n"/>
      <ns0:c r="I1061" s="17" t="n"/>
      <ns0:c r="J1061" s="17" t="n"/>
      <ns0:c r="K1061" s="17" t="n"/>
      <ns0:c r="L1061" s="17" t="n"/>
      <ns0:c r="M1061" s="17" t="n"/>
      <ns0:c r="N1061" s="17" t="n"/>
      <ns0:c r="O1061" s="17" t="n"/>
      <ns0:c r="P1061" s="17" t="n"/>
      <ns0:c r="Q1061" s="17" t="n"/>
      <ns0:c r="R1061" s="17" t="n"/>
      <ns0:c r="S1061" s="17" t="n"/>
      <ns0:c r="T1061" s="17" t="n"/>
      <ns0:c r="U1061" s="17" t="n"/>
      <ns0:c r="V1061" s="17" t="n"/>
      <ns0:c r="W1061" s="17" t="n"/>
      <ns0:c r="X1061" s="17" t="n"/>
      <ns0:c r="Y1061" s="17" t="n"/>
      <ns0:c r="Z1061" s="17" t="n"/>
      <ns0:c r="AA1061" s="17" t="n"/>
      <ns0:c r="AB1061" s="17" t="n"/>
      <ns0:c r="AC1061" s="17" t="n"/>
      <ns0:c r="AD1061" s="17" t="n"/>
      <ns0:c r="AE1061" s="17" t="n"/>
      <ns0:c r="AF1061" s="17" t="n"/>
      <ns0:c r="AG1061" s="17" t="n"/>
    </ns0:row>
    <ns0:row r="1062" ht="24" customHeight="1">
      <ns0:c r="D1062" s="17" t="n"/>
      <ns0:c r="E1062" s="17" t="n"/>
      <ns0:c r="F1062" s="17" t="n"/>
      <ns0:c r="G1062" s="17" t="n"/>
      <ns0:c r="H1062" s="17" t="n"/>
      <ns0:c r="I1062" s="17" t="n"/>
      <ns0:c r="J1062" s="17" t="n"/>
      <ns0:c r="K1062" s="17" t="n"/>
      <ns0:c r="L1062" s="17" t="n"/>
      <ns0:c r="M1062" s="17" t="n"/>
      <ns0:c r="N1062" s="17" t="n"/>
      <ns0:c r="O1062" s="17" t="n"/>
      <ns0:c r="P1062" s="17" t="n"/>
      <ns0:c r="Q1062" s="17" t="n"/>
      <ns0:c r="R1062" s="17" t="n"/>
      <ns0:c r="S1062" s="17" t="n"/>
      <ns0:c r="T1062" s="17" t="n"/>
      <ns0:c r="U1062" s="17" t="n"/>
      <ns0:c r="V1062" s="17" t="n"/>
      <ns0:c r="W1062" s="17" t="n"/>
      <ns0:c r="X1062" s="17" t="n"/>
      <ns0:c r="Y1062" s="17" t="n"/>
      <ns0:c r="Z1062" s="17" t="n"/>
      <ns0:c r="AA1062" s="17" t="n"/>
      <ns0:c r="AB1062" s="17" t="n"/>
      <ns0:c r="AC1062" s="17" t="n"/>
      <ns0:c r="AD1062" s="17" t="n"/>
      <ns0:c r="AE1062" s="17" t="n"/>
      <ns0:c r="AF1062" s="17" t="n"/>
      <ns0:c r="AG1062" s="17" t="n"/>
    </ns0:row>
    <ns0:row r="1063" ht="24" customHeight="1">
      <ns0:c r="D1063" s="17" t="n"/>
      <ns0:c r="E1063" s="17" t="n"/>
      <ns0:c r="F1063" s="17" t="n"/>
      <ns0:c r="G1063" s="17" t="n"/>
      <ns0:c r="H1063" s="17" t="n"/>
      <ns0:c r="I1063" s="17" t="n"/>
      <ns0:c r="J1063" s="17" t="n"/>
      <ns0:c r="K1063" s="17" t="n"/>
      <ns0:c r="L1063" s="17" t="n"/>
      <ns0:c r="M1063" s="17" t="n"/>
      <ns0:c r="N1063" s="17" t="n"/>
      <ns0:c r="O1063" s="17" t="n"/>
      <ns0:c r="P1063" s="17" t="n"/>
      <ns0:c r="Q1063" s="17" t="n"/>
      <ns0:c r="R1063" s="17" t="n"/>
      <ns0:c r="S1063" s="17" t="n"/>
      <ns0:c r="T1063" s="17" t="n"/>
      <ns0:c r="U1063" s="17" t="n"/>
      <ns0:c r="V1063" s="17" t="n"/>
      <ns0:c r="W1063" s="17" t="n"/>
      <ns0:c r="X1063" s="17" t="n"/>
      <ns0:c r="Y1063" s="17" t="n"/>
      <ns0:c r="Z1063" s="17" t="n"/>
      <ns0:c r="AA1063" s="17" t="n"/>
      <ns0:c r="AB1063" s="17" t="n"/>
      <ns0:c r="AC1063" s="17" t="n"/>
      <ns0:c r="AD1063" s="17" t="n"/>
      <ns0:c r="AE1063" s="17" t="n"/>
      <ns0:c r="AF1063" s="17" t="n"/>
      <ns0:c r="AG1063" s="17" t="n"/>
    </ns0:row>
    <ns0:row r="1064" ht="24" customHeight="1">
      <ns0:c r="D1064" s="17" t="n"/>
      <ns0:c r="E1064" s="17" t="n"/>
      <ns0:c r="F1064" s="17" t="n"/>
      <ns0:c r="G1064" s="17" t="n"/>
      <ns0:c r="H1064" s="17" t="n"/>
      <ns0:c r="I1064" s="17" t="n"/>
      <ns0:c r="J1064" s="17" t="n"/>
      <ns0:c r="K1064" s="17" t="n"/>
      <ns0:c r="L1064" s="17" t="n"/>
      <ns0:c r="M1064" s="17" t="n"/>
      <ns0:c r="N1064" s="17" t="n"/>
      <ns0:c r="O1064" s="17" t="n"/>
      <ns0:c r="P1064" s="17" t="n"/>
      <ns0:c r="Q1064" s="17" t="n"/>
      <ns0:c r="R1064" s="17" t="n"/>
      <ns0:c r="S1064" s="17" t="n"/>
      <ns0:c r="T1064" s="17" t="n"/>
      <ns0:c r="U1064" s="17" t="n"/>
      <ns0:c r="V1064" s="17" t="n"/>
      <ns0:c r="W1064" s="17" t="n"/>
      <ns0:c r="X1064" s="17" t="n"/>
      <ns0:c r="Y1064" s="17" t="n"/>
      <ns0:c r="Z1064" s="17" t="n"/>
      <ns0:c r="AA1064" s="17" t="n"/>
      <ns0:c r="AB1064" s="17" t="n"/>
      <ns0:c r="AC1064" s="17" t="n"/>
      <ns0:c r="AD1064" s="17" t="n"/>
      <ns0:c r="AE1064" s="17" t="n"/>
      <ns0:c r="AF1064" s="17" t="n"/>
      <ns0:c r="AG1064" s="17" t="n"/>
    </ns0:row>
    <ns0:row r="1065" ht="24" customHeight="1">
      <ns0:c r="D1065" s="17" t="n"/>
      <ns0:c r="E1065" s="17" t="n"/>
      <ns0:c r="F1065" s="17" t="n"/>
      <ns0:c r="G1065" s="17" t="n"/>
      <ns0:c r="H1065" s="17" t="n"/>
      <ns0:c r="I1065" s="17" t="n"/>
      <ns0:c r="J1065" s="17" t="n"/>
      <ns0:c r="K1065" s="17" t="n"/>
      <ns0:c r="L1065" s="17" t="n"/>
      <ns0:c r="M1065" s="17" t="n"/>
      <ns0:c r="N1065" s="17" t="n"/>
      <ns0:c r="O1065" s="17" t="n"/>
      <ns0:c r="P1065" s="17" t="n"/>
      <ns0:c r="Q1065" s="17" t="n"/>
      <ns0:c r="R1065" s="17" t="n"/>
      <ns0:c r="S1065" s="17" t="n"/>
      <ns0:c r="T1065" s="17" t="n"/>
      <ns0:c r="U1065" s="17" t="n"/>
      <ns0:c r="V1065" s="17" t="n"/>
      <ns0:c r="W1065" s="17" t="n"/>
      <ns0:c r="X1065" s="17" t="n"/>
      <ns0:c r="Y1065" s="17" t="n"/>
      <ns0:c r="Z1065" s="17" t="n"/>
      <ns0:c r="AA1065" s="17" t="n"/>
      <ns0:c r="AB1065" s="17" t="n"/>
      <ns0:c r="AC1065" s="17" t="n"/>
      <ns0:c r="AD1065" s="17" t="n"/>
      <ns0:c r="AE1065" s="17" t="n"/>
      <ns0:c r="AF1065" s="17" t="n"/>
      <ns0:c r="AG1065" s="17" t="n"/>
    </ns0:row>
    <ns0:row r="1066" ht="24" customHeight="1">
      <ns0:c r="D1066" s="17" t="n"/>
      <ns0:c r="E1066" s="17" t="n"/>
      <ns0:c r="F1066" s="17" t="n"/>
      <ns0:c r="G1066" s="17" t="n"/>
      <ns0:c r="H1066" s="17" t="n"/>
      <ns0:c r="I1066" s="17" t="n"/>
      <ns0:c r="J1066" s="17" t="n"/>
      <ns0:c r="K1066" s="17" t="n"/>
      <ns0:c r="L1066" s="17" t="n"/>
      <ns0:c r="M1066" s="17" t="n"/>
      <ns0:c r="N1066" s="17" t="n"/>
      <ns0:c r="O1066" s="17" t="n"/>
      <ns0:c r="P1066" s="17" t="n"/>
      <ns0:c r="Q1066" s="17" t="n"/>
      <ns0:c r="R1066" s="17" t="n"/>
      <ns0:c r="S1066" s="17" t="n"/>
      <ns0:c r="T1066" s="17" t="n"/>
      <ns0:c r="U1066" s="17" t="n"/>
      <ns0:c r="V1066" s="17" t="n"/>
      <ns0:c r="W1066" s="17" t="n"/>
      <ns0:c r="X1066" s="17" t="n"/>
      <ns0:c r="Y1066" s="17" t="n"/>
      <ns0:c r="Z1066" s="17" t="n"/>
      <ns0:c r="AA1066" s="17" t="n"/>
      <ns0:c r="AB1066" s="17" t="n"/>
      <ns0:c r="AC1066" s="17" t="n"/>
      <ns0:c r="AD1066" s="17" t="n"/>
      <ns0:c r="AE1066" s="17" t="n"/>
      <ns0:c r="AF1066" s="17" t="n"/>
      <ns0:c r="AG1066" s="17" t="n"/>
    </ns0:row>
    <ns0:row r="1067" ht="24" customHeight="1">
      <ns0:c r="D1067" s="17" t="n"/>
      <ns0:c r="E1067" s="17" t="n"/>
      <ns0:c r="F1067" s="17" t="n"/>
      <ns0:c r="G1067" s="17" t="n"/>
      <ns0:c r="H1067" s="17" t="n"/>
      <ns0:c r="I1067" s="17" t="n"/>
      <ns0:c r="J1067" s="17" t="n"/>
      <ns0:c r="K1067" s="17" t="n"/>
      <ns0:c r="L1067" s="17" t="n"/>
      <ns0:c r="M1067" s="17" t="n"/>
      <ns0:c r="N1067" s="17" t="n"/>
      <ns0:c r="O1067" s="17" t="n"/>
      <ns0:c r="P1067" s="17" t="n"/>
      <ns0:c r="Q1067" s="17" t="n"/>
      <ns0:c r="R1067" s="17" t="n"/>
      <ns0:c r="S1067" s="17" t="n"/>
      <ns0:c r="T1067" s="17" t="n"/>
      <ns0:c r="U1067" s="17" t="n"/>
      <ns0:c r="V1067" s="17" t="n"/>
      <ns0:c r="W1067" s="17" t="n"/>
      <ns0:c r="X1067" s="17" t="n"/>
      <ns0:c r="Y1067" s="17" t="n"/>
      <ns0:c r="Z1067" s="17" t="n"/>
      <ns0:c r="AA1067" s="17" t="n"/>
      <ns0:c r="AB1067" s="17" t="n"/>
      <ns0:c r="AC1067" s="17" t="n"/>
      <ns0:c r="AD1067" s="17" t="n"/>
      <ns0:c r="AE1067" s="17" t="n"/>
      <ns0:c r="AF1067" s="17" t="n"/>
      <ns0:c r="AG1067" s="17" t="n"/>
    </ns0:row>
    <ns0:row r="1068" ht="24" customHeight="1">
      <ns0:c r="D1068" s="17" t="n"/>
      <ns0:c r="E1068" s="17" t="n"/>
      <ns0:c r="F1068" s="17" t="n"/>
      <ns0:c r="G1068" s="17" t="n"/>
      <ns0:c r="H1068" s="17" t="n"/>
      <ns0:c r="I1068" s="17" t="n"/>
      <ns0:c r="J1068" s="17" t="n"/>
      <ns0:c r="K1068" s="17" t="n"/>
      <ns0:c r="L1068" s="17" t="n"/>
      <ns0:c r="M1068" s="17" t="n"/>
      <ns0:c r="N1068" s="17" t="n"/>
      <ns0:c r="O1068" s="17" t="n"/>
      <ns0:c r="P1068" s="17" t="n"/>
      <ns0:c r="Q1068" s="17" t="n"/>
      <ns0:c r="R1068" s="17" t="n"/>
      <ns0:c r="S1068" s="17" t="n"/>
      <ns0:c r="T1068" s="17" t="n"/>
      <ns0:c r="U1068" s="17" t="n"/>
      <ns0:c r="V1068" s="17" t="n"/>
      <ns0:c r="W1068" s="17" t="n"/>
      <ns0:c r="X1068" s="17" t="n"/>
      <ns0:c r="Y1068" s="17" t="n"/>
      <ns0:c r="Z1068" s="17" t="n"/>
      <ns0:c r="AA1068" s="17" t="n"/>
      <ns0:c r="AB1068" s="17" t="n"/>
      <ns0:c r="AC1068" s="17" t="n"/>
      <ns0:c r="AD1068" s="17" t="n"/>
      <ns0:c r="AE1068" s="17" t="n"/>
      <ns0:c r="AF1068" s="17" t="n"/>
      <ns0:c r="AG1068" s="17" t="n"/>
    </ns0:row>
    <ns0:row r="1069" ht="24" customHeight="1">
      <ns0:c r="D1069" s="17" t="n"/>
      <ns0:c r="E1069" s="17" t="n"/>
      <ns0:c r="F1069" s="17" t="n"/>
      <ns0:c r="G1069" s="17" t="n"/>
      <ns0:c r="H1069" s="17" t="n"/>
      <ns0:c r="I1069" s="17" t="n"/>
      <ns0:c r="J1069" s="17" t="n"/>
      <ns0:c r="K1069" s="17" t="n"/>
      <ns0:c r="L1069" s="17" t="n"/>
      <ns0:c r="M1069" s="17" t="n"/>
      <ns0:c r="N1069" s="17" t="n"/>
      <ns0:c r="O1069" s="17" t="n"/>
      <ns0:c r="P1069" s="17" t="n"/>
      <ns0:c r="Q1069" s="17" t="n"/>
      <ns0:c r="R1069" s="17" t="n"/>
      <ns0:c r="S1069" s="17" t="n"/>
      <ns0:c r="T1069" s="17" t="n"/>
      <ns0:c r="U1069" s="17" t="n"/>
      <ns0:c r="V1069" s="17" t="n"/>
      <ns0:c r="W1069" s="17" t="n"/>
      <ns0:c r="X1069" s="17" t="n"/>
      <ns0:c r="Y1069" s="17" t="n"/>
      <ns0:c r="Z1069" s="17" t="n"/>
      <ns0:c r="AA1069" s="17" t="n"/>
      <ns0:c r="AB1069" s="17" t="n"/>
      <ns0:c r="AC1069" s="17" t="n"/>
      <ns0:c r="AD1069" s="17" t="n"/>
      <ns0:c r="AE1069" s="17" t="n"/>
      <ns0:c r="AF1069" s="17" t="n"/>
      <ns0:c r="AG1069" s="17" t="n"/>
    </ns0:row>
    <ns0:row r="1070" ht="24" customHeight="1">
      <ns0:c r="D1070" s="17" t="n"/>
      <ns0:c r="E1070" s="17" t="n"/>
      <ns0:c r="F1070" s="17" t="n"/>
      <ns0:c r="G1070" s="17" t="n"/>
      <ns0:c r="H1070" s="17" t="n"/>
      <ns0:c r="I1070" s="17" t="n"/>
      <ns0:c r="J1070" s="17" t="n"/>
      <ns0:c r="K1070" s="17" t="n"/>
      <ns0:c r="L1070" s="17" t="n"/>
      <ns0:c r="M1070" s="17" t="n"/>
      <ns0:c r="N1070" s="17" t="n"/>
      <ns0:c r="O1070" s="17" t="n"/>
      <ns0:c r="P1070" s="17" t="n"/>
      <ns0:c r="Q1070" s="17" t="n"/>
      <ns0:c r="R1070" s="17" t="n"/>
      <ns0:c r="S1070" s="17" t="n"/>
      <ns0:c r="T1070" s="17" t="n"/>
      <ns0:c r="U1070" s="17" t="n"/>
      <ns0:c r="V1070" s="17" t="n"/>
      <ns0:c r="W1070" s="17" t="n"/>
      <ns0:c r="X1070" s="17" t="n"/>
      <ns0:c r="Y1070" s="17" t="n"/>
      <ns0:c r="Z1070" s="17" t="n"/>
      <ns0:c r="AA1070" s="17" t="n"/>
      <ns0:c r="AB1070" s="17" t="n"/>
      <ns0:c r="AC1070" s="17" t="n"/>
      <ns0:c r="AD1070" s="17" t="n"/>
      <ns0:c r="AE1070" s="17" t="n"/>
      <ns0:c r="AF1070" s="17" t="n"/>
      <ns0:c r="AG1070" s="17" t="n"/>
    </ns0:row>
    <ns0:row r="1071" ht="24" customHeight="1">
      <ns0:c r="D1071" s="17" t="n"/>
      <ns0:c r="E1071" s="17" t="n"/>
      <ns0:c r="F1071" s="17" t="n"/>
      <ns0:c r="G1071" s="17" t="n"/>
      <ns0:c r="H1071" s="17" t="n"/>
      <ns0:c r="I1071" s="17" t="n"/>
      <ns0:c r="J1071" s="17" t="n"/>
      <ns0:c r="K1071" s="17" t="n"/>
      <ns0:c r="L1071" s="17" t="n"/>
      <ns0:c r="M1071" s="17" t="n"/>
      <ns0:c r="N1071" s="17" t="n"/>
      <ns0:c r="O1071" s="17" t="n"/>
      <ns0:c r="P1071" s="17" t="n"/>
      <ns0:c r="Q1071" s="17" t="n"/>
      <ns0:c r="R1071" s="17" t="n"/>
      <ns0:c r="S1071" s="17" t="n"/>
      <ns0:c r="T1071" s="17" t="n"/>
      <ns0:c r="U1071" s="17" t="n"/>
      <ns0:c r="V1071" s="17" t="n"/>
      <ns0:c r="W1071" s="17" t="n"/>
      <ns0:c r="X1071" s="17" t="n"/>
      <ns0:c r="Y1071" s="17" t="n"/>
      <ns0:c r="Z1071" s="17" t="n"/>
      <ns0:c r="AA1071" s="17" t="n"/>
      <ns0:c r="AB1071" s="17" t="n"/>
      <ns0:c r="AC1071" s="17" t="n"/>
      <ns0:c r="AD1071" s="17" t="n"/>
      <ns0:c r="AE1071" s="17" t="n"/>
      <ns0:c r="AF1071" s="17" t="n"/>
      <ns0:c r="AG1071" s="17" t="n"/>
    </ns0:row>
    <ns0:row r="1072" ht="24" customHeight="1">
      <ns0:c r="D1072" s="17" t="n"/>
      <ns0:c r="E1072" s="17" t="n"/>
      <ns0:c r="F1072" s="17" t="n"/>
      <ns0:c r="G1072" s="17" t="n"/>
      <ns0:c r="H1072" s="17" t="n"/>
      <ns0:c r="I1072" s="17" t="n"/>
      <ns0:c r="J1072" s="17" t="n"/>
      <ns0:c r="K1072" s="17" t="n"/>
      <ns0:c r="L1072" s="17" t="n"/>
      <ns0:c r="M1072" s="17" t="n"/>
      <ns0:c r="N1072" s="17" t="n"/>
      <ns0:c r="O1072" s="17" t="n"/>
      <ns0:c r="P1072" s="17" t="n"/>
      <ns0:c r="Q1072" s="17" t="n"/>
      <ns0:c r="R1072" s="17" t="n"/>
      <ns0:c r="S1072" s="17" t="n"/>
      <ns0:c r="T1072" s="17" t="n"/>
      <ns0:c r="U1072" s="17" t="n"/>
      <ns0:c r="V1072" s="17" t="n"/>
      <ns0:c r="W1072" s="17" t="n"/>
      <ns0:c r="X1072" s="17" t="n"/>
      <ns0:c r="Y1072" s="17" t="n"/>
      <ns0:c r="Z1072" s="17" t="n"/>
      <ns0:c r="AA1072" s="17" t="n"/>
      <ns0:c r="AB1072" s="17" t="n"/>
      <ns0:c r="AC1072" s="17" t="n"/>
      <ns0:c r="AD1072" s="17" t="n"/>
      <ns0:c r="AE1072" s="17" t="n"/>
      <ns0:c r="AF1072" s="17" t="n"/>
      <ns0:c r="AG1072" s="17" t="n"/>
    </ns0:row>
    <ns0:row r="1073" ht="24" customHeight="1">
      <ns0:c r="D1073" s="17" t="n"/>
      <ns0:c r="E1073" s="17" t="n"/>
      <ns0:c r="F1073" s="17" t="n"/>
      <ns0:c r="G1073" s="17" t="n"/>
      <ns0:c r="H1073" s="17" t="n"/>
      <ns0:c r="I1073" s="17" t="n"/>
      <ns0:c r="J1073" s="17" t="n"/>
      <ns0:c r="K1073" s="17" t="n"/>
      <ns0:c r="L1073" s="17" t="n"/>
      <ns0:c r="M1073" s="17" t="n"/>
      <ns0:c r="N1073" s="17" t="n"/>
      <ns0:c r="O1073" s="17" t="n"/>
      <ns0:c r="P1073" s="17" t="n"/>
      <ns0:c r="Q1073" s="17" t="n"/>
      <ns0:c r="R1073" s="17" t="n"/>
      <ns0:c r="S1073" s="17" t="n"/>
      <ns0:c r="T1073" s="17" t="n"/>
      <ns0:c r="U1073" s="17" t="n"/>
      <ns0:c r="V1073" s="17" t="n"/>
      <ns0:c r="W1073" s="17" t="n"/>
      <ns0:c r="X1073" s="17" t="n"/>
      <ns0:c r="Y1073" s="17" t="n"/>
      <ns0:c r="Z1073" s="17" t="n"/>
      <ns0:c r="AA1073" s="17" t="n"/>
      <ns0:c r="AB1073" s="17" t="n"/>
      <ns0:c r="AC1073" s="17" t="n"/>
      <ns0:c r="AD1073" s="17" t="n"/>
      <ns0:c r="AE1073" s="17" t="n"/>
      <ns0:c r="AF1073" s="17" t="n"/>
      <ns0:c r="AG1073" s="17" t="n"/>
    </ns0:row>
    <ns0:row r="1074" ht="24" customHeight="1">
      <ns0:c r="D1074" s="17" t="n"/>
      <ns0:c r="E1074" s="17" t="n"/>
      <ns0:c r="F1074" s="17" t="n"/>
      <ns0:c r="G1074" s="17" t="n"/>
      <ns0:c r="H1074" s="17" t="n"/>
      <ns0:c r="I1074" s="17" t="n"/>
      <ns0:c r="J1074" s="17" t="n"/>
      <ns0:c r="K1074" s="17" t="n"/>
      <ns0:c r="L1074" s="17" t="n"/>
      <ns0:c r="M1074" s="17" t="n"/>
      <ns0:c r="N1074" s="17" t="n"/>
      <ns0:c r="O1074" s="17" t="n"/>
      <ns0:c r="P1074" s="17" t="n"/>
      <ns0:c r="Q1074" s="17" t="n"/>
      <ns0:c r="R1074" s="17" t="n"/>
      <ns0:c r="S1074" s="17" t="n"/>
      <ns0:c r="T1074" s="17" t="n"/>
      <ns0:c r="U1074" s="17" t="n"/>
      <ns0:c r="V1074" s="17" t="n"/>
      <ns0:c r="W1074" s="17" t="n"/>
      <ns0:c r="X1074" s="17" t="n"/>
      <ns0:c r="Y1074" s="17" t="n"/>
      <ns0:c r="Z1074" s="17" t="n"/>
      <ns0:c r="AA1074" s="17" t="n"/>
      <ns0:c r="AB1074" s="17" t="n"/>
      <ns0:c r="AC1074" s="17" t="n"/>
      <ns0:c r="AD1074" s="17" t="n"/>
      <ns0:c r="AE1074" s="17" t="n"/>
      <ns0:c r="AF1074" s="17" t="n"/>
      <ns0:c r="AG1074" s="17" t="n"/>
    </ns0:row>
    <ns0:row r="1075" ht="24" customHeight="1">
      <ns0:c r="D1075" s="17" t="n"/>
      <ns0:c r="E1075" s="17" t="n"/>
      <ns0:c r="F1075" s="17" t="n"/>
      <ns0:c r="G1075" s="17" t="n"/>
      <ns0:c r="H1075" s="17" t="n"/>
      <ns0:c r="I1075" s="17" t="n"/>
      <ns0:c r="J1075" s="17" t="n"/>
      <ns0:c r="K1075" s="17" t="n"/>
      <ns0:c r="L1075" s="17" t="n"/>
      <ns0:c r="M1075" s="17" t="n"/>
      <ns0:c r="N1075" s="17" t="n"/>
      <ns0:c r="O1075" s="17" t="n"/>
      <ns0:c r="P1075" s="17" t="n"/>
      <ns0:c r="Q1075" s="17" t="n"/>
      <ns0:c r="R1075" s="17" t="n"/>
      <ns0:c r="S1075" s="17" t="n"/>
      <ns0:c r="T1075" s="17" t="n"/>
      <ns0:c r="U1075" s="17" t="n"/>
      <ns0:c r="V1075" s="17" t="n"/>
      <ns0:c r="W1075" s="17" t="n"/>
      <ns0:c r="X1075" s="17" t="n"/>
      <ns0:c r="Y1075" s="17" t="n"/>
      <ns0:c r="Z1075" s="17" t="n"/>
      <ns0:c r="AA1075" s="17" t="n"/>
      <ns0:c r="AB1075" s="17" t="n"/>
      <ns0:c r="AC1075" s="17" t="n"/>
      <ns0:c r="AD1075" s="17" t="n"/>
      <ns0:c r="AE1075" s="17" t="n"/>
      <ns0:c r="AF1075" s="17" t="n"/>
      <ns0:c r="AG1075" s="17" t="n"/>
    </ns0:row>
    <ns0:row r="1076" ht="24" customHeight="1">
      <ns0:c r="D1076" s="17" t="n"/>
      <ns0:c r="E1076" s="17" t="n"/>
      <ns0:c r="F1076" s="17" t="n"/>
      <ns0:c r="G1076" s="17" t="n"/>
      <ns0:c r="H1076" s="17" t="n"/>
      <ns0:c r="I1076" s="17" t="n"/>
      <ns0:c r="J1076" s="17" t="n"/>
      <ns0:c r="K1076" s="17" t="n"/>
      <ns0:c r="L1076" s="17" t="n"/>
      <ns0:c r="M1076" s="17" t="n"/>
      <ns0:c r="N1076" s="17" t="n"/>
      <ns0:c r="O1076" s="17" t="n"/>
      <ns0:c r="P1076" s="17" t="n"/>
      <ns0:c r="Q1076" s="17" t="n"/>
      <ns0:c r="R1076" s="17" t="n"/>
      <ns0:c r="S1076" s="17" t="n"/>
      <ns0:c r="T1076" s="17" t="n"/>
      <ns0:c r="U1076" s="17" t="n"/>
      <ns0:c r="V1076" s="17" t="n"/>
      <ns0:c r="W1076" s="17" t="n"/>
      <ns0:c r="X1076" s="17" t="n"/>
      <ns0:c r="Y1076" s="17" t="n"/>
      <ns0:c r="Z1076" s="17" t="n"/>
      <ns0:c r="AA1076" s="17" t="n"/>
      <ns0:c r="AB1076" s="17" t="n"/>
      <ns0:c r="AC1076" s="17" t="n"/>
      <ns0:c r="AD1076" s="17" t="n"/>
      <ns0:c r="AE1076" s="17" t="n"/>
      <ns0:c r="AF1076" s="17" t="n"/>
      <ns0:c r="AG1076" s="17" t="n"/>
    </ns0:row>
    <ns0:row r="1077" ht="24" customHeight="1">
      <ns0:c r="D1077" s="17" t="n"/>
      <ns0:c r="E1077" s="17" t="n"/>
      <ns0:c r="F1077" s="17" t="n"/>
      <ns0:c r="G1077" s="17" t="n"/>
      <ns0:c r="H1077" s="17" t="n"/>
      <ns0:c r="I1077" s="17" t="n"/>
      <ns0:c r="J1077" s="17" t="n"/>
      <ns0:c r="K1077" s="17" t="n"/>
      <ns0:c r="L1077" s="17" t="n"/>
      <ns0:c r="M1077" s="17" t="n"/>
      <ns0:c r="N1077" s="17" t="n"/>
      <ns0:c r="O1077" s="17" t="n"/>
      <ns0:c r="P1077" s="17" t="n"/>
      <ns0:c r="Q1077" s="17" t="n"/>
      <ns0:c r="R1077" s="17" t="n"/>
      <ns0:c r="S1077" s="17" t="n"/>
      <ns0:c r="T1077" s="17" t="n"/>
      <ns0:c r="U1077" s="17" t="n"/>
      <ns0:c r="V1077" s="17" t="n"/>
      <ns0:c r="W1077" s="17" t="n"/>
      <ns0:c r="X1077" s="17" t="n"/>
      <ns0:c r="Y1077" s="17" t="n"/>
      <ns0:c r="Z1077" s="17" t="n"/>
      <ns0:c r="AA1077" s="17" t="n"/>
      <ns0:c r="AB1077" s="17" t="n"/>
      <ns0:c r="AC1077" s="17" t="n"/>
      <ns0:c r="AD1077" s="17" t="n"/>
      <ns0:c r="AE1077" s="17" t="n"/>
      <ns0:c r="AF1077" s="17" t="n"/>
      <ns0:c r="AG1077" s="17" t="n"/>
    </ns0:row>
    <ns0:row r="1078" ht="24" customHeight="1">
      <ns0:c r="D1078" s="17" t="n"/>
      <ns0:c r="E1078" s="17" t="n"/>
      <ns0:c r="F1078" s="17" t="n"/>
      <ns0:c r="G1078" s="17" t="n"/>
      <ns0:c r="H1078" s="17" t="n"/>
      <ns0:c r="I1078" s="17" t="n"/>
      <ns0:c r="J1078" s="17" t="n"/>
      <ns0:c r="K1078" s="17" t="n"/>
      <ns0:c r="L1078" s="17" t="n"/>
      <ns0:c r="M1078" s="17" t="n"/>
      <ns0:c r="N1078" s="17" t="n"/>
      <ns0:c r="O1078" s="17" t="n"/>
      <ns0:c r="P1078" s="17" t="n"/>
      <ns0:c r="Q1078" s="17" t="n"/>
      <ns0:c r="R1078" s="17" t="n"/>
      <ns0:c r="S1078" s="17" t="n"/>
      <ns0:c r="T1078" s="17" t="n"/>
      <ns0:c r="U1078" s="17" t="n"/>
      <ns0:c r="V1078" s="17" t="n"/>
      <ns0:c r="W1078" s="17" t="n"/>
      <ns0:c r="X1078" s="17" t="n"/>
      <ns0:c r="Y1078" s="17" t="n"/>
      <ns0:c r="Z1078" s="17" t="n"/>
      <ns0:c r="AA1078" s="17" t="n"/>
      <ns0:c r="AB1078" s="17" t="n"/>
      <ns0:c r="AC1078" s="17" t="n"/>
      <ns0:c r="AD1078" s="17" t="n"/>
      <ns0:c r="AE1078" s="17" t="n"/>
      <ns0:c r="AF1078" s="17" t="n"/>
      <ns0:c r="AG1078" s="17" t="n"/>
    </ns0:row>
    <ns0:row r="1079" ht="24" customHeight="1">
      <ns0:c r="D1079" s="17" t="n"/>
      <ns0:c r="E1079" s="17" t="n"/>
      <ns0:c r="F1079" s="17" t="n"/>
      <ns0:c r="G1079" s="17" t="n"/>
      <ns0:c r="H1079" s="17" t="n"/>
      <ns0:c r="I1079" s="17" t="n"/>
      <ns0:c r="J1079" s="17" t="n"/>
      <ns0:c r="K1079" s="17" t="n"/>
      <ns0:c r="L1079" s="17" t="n"/>
      <ns0:c r="M1079" s="17" t="n"/>
      <ns0:c r="N1079" s="17" t="n"/>
      <ns0:c r="O1079" s="17" t="n"/>
      <ns0:c r="P1079" s="17" t="n"/>
      <ns0:c r="Q1079" s="17" t="n"/>
      <ns0:c r="R1079" s="17" t="n"/>
      <ns0:c r="S1079" s="17" t="n"/>
      <ns0:c r="T1079" s="17" t="n"/>
      <ns0:c r="U1079" s="17" t="n"/>
      <ns0:c r="V1079" s="17" t="n"/>
      <ns0:c r="W1079" s="17" t="n"/>
      <ns0:c r="X1079" s="17" t="n"/>
      <ns0:c r="Y1079" s="17" t="n"/>
      <ns0:c r="Z1079" s="17" t="n"/>
      <ns0:c r="AA1079" s="17" t="n"/>
      <ns0:c r="AB1079" s="17" t="n"/>
      <ns0:c r="AC1079" s="17" t="n"/>
      <ns0:c r="AD1079" s="17" t="n"/>
      <ns0:c r="AE1079" s="17" t="n"/>
      <ns0:c r="AF1079" s="17" t="n"/>
      <ns0:c r="AG1079" s="17" t="n"/>
    </ns0:row>
    <ns0:row r="1080" ht="24" customHeight="1">
      <ns0:c r="D1080" s="17" t="n"/>
      <ns0:c r="E1080" s="17" t="n"/>
      <ns0:c r="F1080" s="17" t="n"/>
      <ns0:c r="G1080" s="17" t="n"/>
      <ns0:c r="H1080" s="17" t="n"/>
      <ns0:c r="I1080" s="17" t="n"/>
      <ns0:c r="J1080" s="17" t="n"/>
      <ns0:c r="K1080" s="17" t="n"/>
      <ns0:c r="L1080" s="17" t="n"/>
      <ns0:c r="M1080" s="17" t="n"/>
      <ns0:c r="N1080" s="17" t="n"/>
      <ns0:c r="O1080" s="17" t="n"/>
      <ns0:c r="P1080" s="17" t="n"/>
      <ns0:c r="Q1080" s="17" t="n"/>
      <ns0:c r="R1080" s="17" t="n"/>
      <ns0:c r="S1080" s="17" t="n"/>
      <ns0:c r="T1080" s="17" t="n"/>
      <ns0:c r="U1080" s="17" t="n"/>
      <ns0:c r="V1080" s="17" t="n"/>
      <ns0:c r="W1080" s="17" t="n"/>
      <ns0:c r="X1080" s="17" t="n"/>
      <ns0:c r="Y1080" s="17" t="n"/>
      <ns0:c r="Z1080" s="17" t="n"/>
      <ns0:c r="AA1080" s="17" t="n"/>
      <ns0:c r="AB1080" s="17" t="n"/>
      <ns0:c r="AC1080" s="17" t="n"/>
      <ns0:c r="AD1080" s="17" t="n"/>
      <ns0:c r="AE1080" s="17" t="n"/>
      <ns0:c r="AF1080" s="17" t="n"/>
      <ns0:c r="AG1080" s="17" t="n"/>
    </ns0:row>
    <ns0:row r="1081" ht="24" customHeight="1">
      <ns0:c r="D1081" s="17" t="n"/>
      <ns0:c r="E1081" s="17" t="n"/>
      <ns0:c r="F1081" s="17" t="n"/>
      <ns0:c r="G1081" s="17" t="n"/>
      <ns0:c r="H1081" s="17" t="n"/>
      <ns0:c r="I1081" s="17" t="n"/>
      <ns0:c r="J1081" s="17" t="n"/>
      <ns0:c r="K1081" s="17" t="n"/>
      <ns0:c r="L1081" s="17" t="n"/>
      <ns0:c r="M1081" s="17" t="n"/>
      <ns0:c r="N1081" s="17" t="n"/>
      <ns0:c r="O1081" s="17" t="n"/>
      <ns0:c r="P1081" s="17" t="n"/>
      <ns0:c r="Q1081" s="17" t="n"/>
      <ns0:c r="R1081" s="17" t="n"/>
      <ns0:c r="S1081" s="17" t="n"/>
      <ns0:c r="T1081" s="17" t="n"/>
      <ns0:c r="U1081" s="17" t="n"/>
      <ns0:c r="V1081" s="17" t="n"/>
      <ns0:c r="W1081" s="17" t="n"/>
      <ns0:c r="X1081" s="17" t="n"/>
      <ns0:c r="Y1081" s="17" t="n"/>
      <ns0:c r="Z1081" s="17" t="n"/>
      <ns0:c r="AA1081" s="17" t="n"/>
      <ns0:c r="AB1081" s="17" t="n"/>
      <ns0:c r="AC1081" s="17" t="n"/>
      <ns0:c r="AD1081" s="17" t="n"/>
      <ns0:c r="AE1081" s="17" t="n"/>
      <ns0:c r="AF1081" s="17" t="n"/>
      <ns0:c r="AG1081" s="17" t="n"/>
    </ns0:row>
    <ns0:row r="1082" ht="24" customHeight="1">
      <ns0:c r="D1082" s="17" t="n"/>
      <ns0:c r="E1082" s="17" t="n"/>
      <ns0:c r="F1082" s="17" t="n"/>
      <ns0:c r="G1082" s="17" t="n"/>
      <ns0:c r="H1082" s="17" t="n"/>
      <ns0:c r="I1082" s="17" t="n"/>
      <ns0:c r="J1082" s="17" t="n"/>
      <ns0:c r="K1082" s="17" t="n"/>
      <ns0:c r="L1082" s="17" t="n"/>
      <ns0:c r="M1082" s="17" t="n"/>
      <ns0:c r="N1082" s="17" t="n"/>
      <ns0:c r="O1082" s="17" t="n"/>
      <ns0:c r="P1082" s="17" t="n"/>
      <ns0:c r="Q1082" s="17" t="n"/>
      <ns0:c r="R1082" s="17" t="n"/>
      <ns0:c r="S1082" s="17" t="n"/>
      <ns0:c r="T1082" s="17" t="n"/>
      <ns0:c r="U1082" s="17" t="n"/>
      <ns0:c r="V1082" s="17" t="n"/>
      <ns0:c r="W1082" s="17" t="n"/>
      <ns0:c r="X1082" s="17" t="n"/>
      <ns0:c r="Y1082" s="17" t="n"/>
      <ns0:c r="Z1082" s="17" t="n"/>
      <ns0:c r="AA1082" s="17" t="n"/>
      <ns0:c r="AB1082" s="17" t="n"/>
      <ns0:c r="AC1082" s="17" t="n"/>
      <ns0:c r="AD1082" s="17" t="n"/>
      <ns0:c r="AE1082" s="17" t="n"/>
      <ns0:c r="AF1082" s="17" t="n"/>
      <ns0:c r="AG1082" s="17" t="n"/>
    </ns0:row>
    <ns0:row r="1083" ht="24" customHeight="1">
      <ns0:c r="D1083" s="17" t="n"/>
      <ns0:c r="E1083" s="17" t="n"/>
      <ns0:c r="F1083" s="17" t="n"/>
      <ns0:c r="G1083" s="17" t="n"/>
      <ns0:c r="H1083" s="17" t="n"/>
      <ns0:c r="I1083" s="17" t="n"/>
      <ns0:c r="J1083" s="17" t="n"/>
      <ns0:c r="K1083" s="17" t="n"/>
      <ns0:c r="L1083" s="17" t="n"/>
      <ns0:c r="M1083" s="17" t="n"/>
      <ns0:c r="N1083" s="17" t="n"/>
      <ns0:c r="O1083" s="17" t="n"/>
      <ns0:c r="P1083" s="17" t="n"/>
      <ns0:c r="Q1083" s="17" t="n"/>
      <ns0:c r="R1083" s="17" t="n"/>
      <ns0:c r="S1083" s="17" t="n"/>
      <ns0:c r="T1083" s="17" t="n"/>
      <ns0:c r="U1083" s="17" t="n"/>
      <ns0:c r="V1083" s="17" t="n"/>
      <ns0:c r="W1083" s="17" t="n"/>
      <ns0:c r="X1083" s="17" t="n"/>
      <ns0:c r="Y1083" s="17" t="n"/>
      <ns0:c r="Z1083" s="17" t="n"/>
      <ns0:c r="AA1083" s="17" t="n"/>
      <ns0:c r="AB1083" s="17" t="n"/>
      <ns0:c r="AC1083" s="17" t="n"/>
      <ns0:c r="AD1083" s="17" t="n"/>
      <ns0:c r="AE1083" s="17" t="n"/>
      <ns0:c r="AF1083" s="17" t="n"/>
      <ns0:c r="AG1083" s="17" t="n"/>
    </ns0:row>
    <ns0:row r="1084" ht="24" customHeight="1">
      <ns0:c r="D1084" s="17" t="n"/>
      <ns0:c r="E1084" s="17" t="n"/>
      <ns0:c r="F1084" s="17" t="n"/>
      <ns0:c r="G1084" s="17" t="n"/>
      <ns0:c r="H1084" s="17" t="n"/>
      <ns0:c r="I1084" s="17" t="n"/>
      <ns0:c r="J1084" s="17" t="n"/>
      <ns0:c r="K1084" s="17" t="n"/>
      <ns0:c r="L1084" s="17" t="n"/>
      <ns0:c r="M1084" s="17" t="n"/>
      <ns0:c r="N1084" s="17" t="n"/>
      <ns0:c r="O1084" s="17" t="n"/>
      <ns0:c r="P1084" s="17" t="n"/>
      <ns0:c r="Q1084" s="17" t="n"/>
      <ns0:c r="R1084" s="17" t="n"/>
      <ns0:c r="S1084" s="17" t="n"/>
      <ns0:c r="T1084" s="17" t="n"/>
      <ns0:c r="U1084" s="17" t="n"/>
      <ns0:c r="V1084" s="17" t="n"/>
      <ns0:c r="W1084" s="17" t="n"/>
      <ns0:c r="X1084" s="17" t="n"/>
      <ns0:c r="Y1084" s="17" t="n"/>
      <ns0:c r="Z1084" s="17" t="n"/>
      <ns0:c r="AA1084" s="17" t="n"/>
      <ns0:c r="AB1084" s="17" t="n"/>
      <ns0:c r="AC1084" s="17" t="n"/>
      <ns0:c r="AD1084" s="17" t="n"/>
      <ns0:c r="AE1084" s="17" t="n"/>
      <ns0:c r="AF1084" s="17" t="n"/>
      <ns0:c r="AG1084" s="17" t="n"/>
    </ns0:row>
    <ns0:row r="1085" ht="24" customHeight="1">
      <ns0:c r="D1085" s="17" t="n"/>
      <ns0:c r="E1085" s="17" t="n"/>
      <ns0:c r="F1085" s="17" t="n"/>
      <ns0:c r="G1085" s="17" t="n"/>
      <ns0:c r="H1085" s="17" t="n"/>
      <ns0:c r="I1085" s="17" t="n"/>
      <ns0:c r="J1085" s="17" t="n"/>
      <ns0:c r="K1085" s="17" t="n"/>
      <ns0:c r="L1085" s="17" t="n"/>
      <ns0:c r="M1085" s="17" t="n"/>
      <ns0:c r="N1085" s="17" t="n"/>
      <ns0:c r="O1085" s="17" t="n"/>
      <ns0:c r="P1085" s="17" t="n"/>
      <ns0:c r="Q1085" s="17" t="n"/>
      <ns0:c r="R1085" s="17" t="n"/>
      <ns0:c r="S1085" s="17" t="n"/>
      <ns0:c r="T1085" s="17" t="n"/>
      <ns0:c r="U1085" s="17" t="n"/>
      <ns0:c r="V1085" s="17" t="n"/>
      <ns0:c r="W1085" s="17" t="n"/>
      <ns0:c r="X1085" s="17" t="n"/>
      <ns0:c r="Y1085" s="17" t="n"/>
      <ns0:c r="Z1085" s="17" t="n"/>
      <ns0:c r="AA1085" s="17" t="n"/>
      <ns0:c r="AB1085" s="17" t="n"/>
      <ns0:c r="AC1085" s="17" t="n"/>
      <ns0:c r="AD1085" s="17" t="n"/>
      <ns0:c r="AE1085" s="17" t="n"/>
      <ns0:c r="AF1085" s="17" t="n"/>
      <ns0:c r="AG1085" s="17" t="n"/>
    </ns0:row>
    <ns0:row r="1086" ht="24" customHeight="1">
      <ns0:c r="D1086" s="17" t="n"/>
      <ns0:c r="E1086" s="17" t="n"/>
      <ns0:c r="F1086" s="17" t="n"/>
      <ns0:c r="G1086" s="17" t="n"/>
      <ns0:c r="H1086" s="17" t="n"/>
      <ns0:c r="I1086" s="17" t="n"/>
      <ns0:c r="J1086" s="17" t="n"/>
      <ns0:c r="K1086" s="17" t="n"/>
      <ns0:c r="L1086" s="17" t="n"/>
      <ns0:c r="M1086" s="17" t="n"/>
      <ns0:c r="N1086" s="17" t="n"/>
      <ns0:c r="O1086" s="17" t="n"/>
      <ns0:c r="P1086" s="17" t="n"/>
      <ns0:c r="Q1086" s="17" t="n"/>
      <ns0:c r="R1086" s="17" t="n"/>
      <ns0:c r="S1086" s="17" t="n"/>
      <ns0:c r="T1086" s="17" t="n"/>
      <ns0:c r="U1086" s="17" t="n"/>
      <ns0:c r="V1086" s="17" t="n"/>
      <ns0:c r="W1086" s="17" t="n"/>
      <ns0:c r="X1086" s="17" t="n"/>
      <ns0:c r="Y1086" s="17" t="n"/>
      <ns0:c r="Z1086" s="17" t="n"/>
      <ns0:c r="AA1086" s="17" t="n"/>
      <ns0:c r="AB1086" s="17" t="n"/>
      <ns0:c r="AC1086" s="17" t="n"/>
      <ns0:c r="AD1086" s="17" t="n"/>
      <ns0:c r="AE1086" s="17" t="n"/>
      <ns0:c r="AF1086" s="17" t="n"/>
      <ns0:c r="AG1086" s="17" t="n"/>
    </ns0:row>
    <ns0:row r="1087" ht="24" customHeight="1">
      <ns0:c r="D1087" s="17" t="n"/>
      <ns0:c r="E1087" s="17" t="n"/>
      <ns0:c r="F1087" s="17" t="n"/>
      <ns0:c r="G1087" s="17" t="n"/>
      <ns0:c r="H1087" s="17" t="n"/>
      <ns0:c r="I1087" s="17" t="n"/>
      <ns0:c r="J1087" s="17" t="n"/>
      <ns0:c r="K1087" s="17" t="n"/>
      <ns0:c r="L1087" s="17" t="n"/>
      <ns0:c r="M1087" s="17" t="n"/>
      <ns0:c r="N1087" s="17" t="n"/>
      <ns0:c r="O1087" s="17" t="n"/>
      <ns0:c r="P1087" s="17" t="n"/>
      <ns0:c r="Q1087" s="17" t="n"/>
      <ns0:c r="R1087" s="17" t="n"/>
      <ns0:c r="S1087" s="17" t="n"/>
      <ns0:c r="T1087" s="17" t="n"/>
      <ns0:c r="U1087" s="17" t="n"/>
      <ns0:c r="V1087" s="17" t="n"/>
      <ns0:c r="W1087" s="17" t="n"/>
      <ns0:c r="X1087" s="17" t="n"/>
      <ns0:c r="Y1087" s="17" t="n"/>
      <ns0:c r="Z1087" s="17" t="n"/>
      <ns0:c r="AA1087" s="17" t="n"/>
      <ns0:c r="AB1087" s="17" t="n"/>
      <ns0:c r="AC1087" s="17" t="n"/>
      <ns0:c r="AD1087" s="17" t="n"/>
      <ns0:c r="AE1087" s="17" t="n"/>
      <ns0:c r="AF1087" s="17" t="n"/>
      <ns0:c r="AG1087" s="17" t="n"/>
    </ns0:row>
    <ns0:row r="1088" ht="24" customHeight="1">
      <ns0:c r="D1088" s="17" t="n"/>
      <ns0:c r="E1088" s="17" t="n"/>
      <ns0:c r="F1088" s="17" t="n"/>
      <ns0:c r="G1088" s="17" t="n"/>
      <ns0:c r="H1088" s="17" t="n"/>
      <ns0:c r="I1088" s="17" t="n"/>
      <ns0:c r="J1088" s="17" t="n"/>
      <ns0:c r="K1088" s="17" t="n"/>
      <ns0:c r="L1088" s="17" t="n"/>
      <ns0:c r="M1088" s="17" t="n"/>
      <ns0:c r="N1088" s="17" t="n"/>
      <ns0:c r="O1088" s="17" t="n"/>
      <ns0:c r="P1088" s="17" t="n"/>
      <ns0:c r="Q1088" s="17" t="n"/>
      <ns0:c r="R1088" s="17" t="n"/>
      <ns0:c r="S1088" s="17" t="n"/>
      <ns0:c r="T1088" s="17" t="n"/>
      <ns0:c r="U1088" s="17" t="n"/>
      <ns0:c r="V1088" s="17" t="n"/>
      <ns0:c r="W1088" s="17" t="n"/>
      <ns0:c r="X1088" s="17" t="n"/>
      <ns0:c r="Y1088" s="17" t="n"/>
      <ns0:c r="Z1088" s="17" t="n"/>
      <ns0:c r="AA1088" s="17" t="n"/>
      <ns0:c r="AB1088" s="17" t="n"/>
      <ns0:c r="AC1088" s="17" t="n"/>
      <ns0:c r="AD1088" s="17" t="n"/>
      <ns0:c r="AE1088" s="17" t="n"/>
      <ns0:c r="AF1088" s="17" t="n"/>
      <ns0:c r="AG1088" s="17" t="n"/>
    </ns0:row>
    <ns0:row r="1089" ht="24" customHeight="1">
      <ns0:c r="D1089" s="17" t="n"/>
      <ns0:c r="E1089" s="17" t="n"/>
      <ns0:c r="F1089" s="17" t="n"/>
      <ns0:c r="G1089" s="17" t="n"/>
      <ns0:c r="H1089" s="17" t="n"/>
      <ns0:c r="I1089" s="17" t="n"/>
      <ns0:c r="J1089" s="17" t="n"/>
      <ns0:c r="K1089" s="17" t="n"/>
      <ns0:c r="L1089" s="17" t="n"/>
      <ns0:c r="M1089" s="17" t="n"/>
      <ns0:c r="N1089" s="17" t="n"/>
      <ns0:c r="O1089" s="17" t="n"/>
      <ns0:c r="P1089" s="17" t="n"/>
      <ns0:c r="Q1089" s="17" t="n"/>
      <ns0:c r="R1089" s="17" t="n"/>
      <ns0:c r="S1089" s="17" t="n"/>
      <ns0:c r="T1089" s="17" t="n"/>
      <ns0:c r="U1089" s="17" t="n"/>
      <ns0:c r="V1089" s="17" t="n"/>
      <ns0:c r="W1089" s="17" t="n"/>
      <ns0:c r="X1089" s="17" t="n"/>
      <ns0:c r="Y1089" s="17" t="n"/>
      <ns0:c r="Z1089" s="17" t="n"/>
      <ns0:c r="AA1089" s="17" t="n"/>
      <ns0:c r="AB1089" s="17" t="n"/>
      <ns0:c r="AC1089" s="17" t="n"/>
      <ns0:c r="AD1089" s="17" t="n"/>
      <ns0:c r="AE1089" s="17" t="n"/>
      <ns0:c r="AF1089" s="17" t="n"/>
      <ns0:c r="AG1089" s="17" t="n"/>
    </ns0:row>
    <ns0:row r="1090" ht="24" customHeight="1">
      <ns0:c r="D1090" s="17" t="n"/>
      <ns0:c r="E1090" s="17" t="n"/>
      <ns0:c r="F1090" s="17" t="n"/>
      <ns0:c r="G1090" s="17" t="n"/>
      <ns0:c r="H1090" s="17" t="n"/>
      <ns0:c r="I1090" s="17" t="n"/>
      <ns0:c r="J1090" s="17" t="n"/>
      <ns0:c r="K1090" s="17" t="n"/>
      <ns0:c r="L1090" s="17" t="n"/>
      <ns0:c r="M1090" s="17" t="n"/>
      <ns0:c r="N1090" s="17" t="n"/>
      <ns0:c r="O1090" s="17" t="n"/>
      <ns0:c r="P1090" s="17" t="n"/>
      <ns0:c r="Q1090" s="17" t="n"/>
      <ns0:c r="R1090" s="17" t="n"/>
      <ns0:c r="S1090" s="17" t="n"/>
      <ns0:c r="T1090" s="17" t="n"/>
      <ns0:c r="U1090" s="17" t="n"/>
      <ns0:c r="V1090" s="17" t="n"/>
      <ns0:c r="W1090" s="17" t="n"/>
      <ns0:c r="X1090" s="17" t="n"/>
      <ns0:c r="Y1090" s="17" t="n"/>
      <ns0:c r="Z1090" s="17" t="n"/>
      <ns0:c r="AA1090" s="17" t="n"/>
      <ns0:c r="AB1090" s="17" t="n"/>
      <ns0:c r="AC1090" s="17" t="n"/>
      <ns0:c r="AD1090" s="17" t="n"/>
      <ns0:c r="AE1090" s="17" t="n"/>
      <ns0:c r="AF1090" s="17" t="n"/>
      <ns0:c r="AG1090" s="17" t="n"/>
    </ns0:row>
    <ns0:row r="1091" ht="24" customHeight="1">
      <ns0:c r="D1091" s="17" t="n"/>
      <ns0:c r="E1091" s="17" t="n"/>
      <ns0:c r="F1091" s="17" t="n"/>
      <ns0:c r="G1091" s="17" t="n"/>
      <ns0:c r="H1091" s="17" t="n"/>
      <ns0:c r="I1091" s="17" t="n"/>
      <ns0:c r="J1091" s="17" t="n"/>
      <ns0:c r="K1091" s="17" t="n"/>
      <ns0:c r="L1091" s="17" t="n"/>
      <ns0:c r="M1091" s="17" t="n"/>
      <ns0:c r="N1091" s="17" t="n"/>
      <ns0:c r="O1091" s="17" t="n"/>
      <ns0:c r="P1091" s="17" t="n"/>
      <ns0:c r="Q1091" s="17" t="n"/>
      <ns0:c r="R1091" s="17" t="n"/>
      <ns0:c r="S1091" s="17" t="n"/>
      <ns0:c r="T1091" s="17" t="n"/>
      <ns0:c r="U1091" s="17" t="n"/>
      <ns0:c r="V1091" s="17" t="n"/>
      <ns0:c r="W1091" s="17" t="n"/>
      <ns0:c r="X1091" s="17" t="n"/>
      <ns0:c r="Y1091" s="17" t="n"/>
      <ns0:c r="Z1091" s="17" t="n"/>
      <ns0:c r="AA1091" s="17" t="n"/>
      <ns0:c r="AB1091" s="17" t="n"/>
      <ns0:c r="AC1091" s="17" t="n"/>
      <ns0:c r="AD1091" s="17" t="n"/>
      <ns0:c r="AE1091" s="17" t="n"/>
      <ns0:c r="AF1091" s="17" t="n"/>
      <ns0:c r="AG1091" s="17" t="n"/>
    </ns0:row>
    <ns0:row r="1092" ht="24" customHeight="1">
      <ns0:c r="D1092" s="17" t="n"/>
      <ns0:c r="E1092" s="17" t="n"/>
      <ns0:c r="F1092" s="17" t="n"/>
      <ns0:c r="G1092" s="17" t="n"/>
      <ns0:c r="H1092" s="17" t="n"/>
      <ns0:c r="I1092" s="17" t="n"/>
      <ns0:c r="J1092" s="17" t="n"/>
      <ns0:c r="K1092" s="17" t="n"/>
      <ns0:c r="L1092" s="17" t="n"/>
      <ns0:c r="M1092" s="17" t="n"/>
      <ns0:c r="N1092" s="17" t="n"/>
      <ns0:c r="O1092" s="17" t="n"/>
      <ns0:c r="P1092" s="17" t="n"/>
      <ns0:c r="Q1092" s="17" t="n"/>
      <ns0:c r="R1092" s="17" t="n"/>
      <ns0:c r="S1092" s="17" t="n"/>
      <ns0:c r="T1092" s="17" t="n"/>
      <ns0:c r="U1092" s="17" t="n"/>
      <ns0:c r="V1092" s="17" t="n"/>
      <ns0:c r="W1092" s="17" t="n"/>
      <ns0:c r="X1092" s="17" t="n"/>
      <ns0:c r="Y1092" s="17" t="n"/>
      <ns0:c r="Z1092" s="17" t="n"/>
      <ns0:c r="AA1092" s="17" t="n"/>
      <ns0:c r="AB1092" s="17" t="n"/>
      <ns0:c r="AC1092" s="17" t="n"/>
      <ns0:c r="AD1092" s="17" t="n"/>
      <ns0:c r="AE1092" s="17" t="n"/>
      <ns0:c r="AF1092" s="17" t="n"/>
      <ns0:c r="AG1092" s="17" t="n"/>
    </ns0:row>
    <ns0:row r="1093" ht="24" customHeight="1">
      <ns0:c r="D1093" s="17" t="n"/>
      <ns0:c r="E1093" s="17" t="n"/>
      <ns0:c r="F1093" s="17" t="n"/>
      <ns0:c r="G1093" s="17" t="n"/>
      <ns0:c r="H1093" s="17" t="n"/>
      <ns0:c r="I1093" s="17" t="n"/>
      <ns0:c r="J1093" s="17" t="n"/>
      <ns0:c r="K1093" s="17" t="n"/>
      <ns0:c r="L1093" s="17" t="n"/>
      <ns0:c r="M1093" s="17" t="n"/>
      <ns0:c r="N1093" s="17" t="n"/>
      <ns0:c r="O1093" s="17" t="n"/>
      <ns0:c r="P1093" s="17" t="n"/>
      <ns0:c r="Q1093" s="17" t="n"/>
      <ns0:c r="R1093" s="17" t="n"/>
      <ns0:c r="S1093" s="17" t="n"/>
      <ns0:c r="T1093" s="17" t="n"/>
      <ns0:c r="U1093" s="17" t="n"/>
      <ns0:c r="V1093" s="17" t="n"/>
      <ns0:c r="W1093" s="17" t="n"/>
      <ns0:c r="X1093" s="17" t="n"/>
      <ns0:c r="Y1093" s="17" t="n"/>
      <ns0:c r="Z1093" s="17" t="n"/>
      <ns0:c r="AA1093" s="17" t="n"/>
      <ns0:c r="AB1093" s="17" t="n"/>
      <ns0:c r="AC1093" s="17" t="n"/>
      <ns0:c r="AD1093" s="17" t="n"/>
      <ns0:c r="AE1093" s="17" t="n"/>
      <ns0:c r="AF1093" s="17" t="n"/>
      <ns0:c r="AG1093" s="17" t="n"/>
    </ns0:row>
    <ns0:row r="1094" ht="24" customHeight="1">
      <ns0:c r="D1094" s="17" t="n"/>
      <ns0:c r="E1094" s="17" t="n"/>
      <ns0:c r="F1094" s="17" t="n"/>
      <ns0:c r="G1094" s="17" t="n"/>
      <ns0:c r="H1094" s="17" t="n"/>
      <ns0:c r="I1094" s="17" t="n"/>
      <ns0:c r="J1094" s="17" t="n"/>
      <ns0:c r="K1094" s="17" t="n"/>
      <ns0:c r="L1094" s="17" t="n"/>
      <ns0:c r="M1094" s="17" t="n"/>
      <ns0:c r="N1094" s="17" t="n"/>
      <ns0:c r="O1094" s="17" t="n"/>
      <ns0:c r="P1094" s="17" t="n"/>
      <ns0:c r="Q1094" s="17" t="n"/>
      <ns0:c r="R1094" s="17" t="n"/>
      <ns0:c r="S1094" s="17" t="n"/>
      <ns0:c r="T1094" s="17" t="n"/>
      <ns0:c r="U1094" s="17" t="n"/>
      <ns0:c r="V1094" s="17" t="n"/>
      <ns0:c r="W1094" s="17" t="n"/>
      <ns0:c r="X1094" s="17" t="n"/>
      <ns0:c r="Y1094" s="17" t="n"/>
      <ns0:c r="Z1094" s="17" t="n"/>
      <ns0:c r="AA1094" s="17" t="n"/>
      <ns0:c r="AB1094" s="17" t="n"/>
      <ns0:c r="AC1094" s="17" t="n"/>
      <ns0:c r="AD1094" s="17" t="n"/>
      <ns0:c r="AE1094" s="17" t="n"/>
      <ns0:c r="AF1094" s="17" t="n"/>
      <ns0:c r="AG1094" s="17" t="n"/>
    </ns0:row>
    <ns0:row r="1095" ht="24" customHeight="1">
      <ns0:c r="D1095" s="17" t="n"/>
      <ns0:c r="E1095" s="17" t="n"/>
      <ns0:c r="F1095" s="17" t="n"/>
      <ns0:c r="G1095" s="17" t="n"/>
      <ns0:c r="H1095" s="17" t="n"/>
      <ns0:c r="I1095" s="17" t="n"/>
      <ns0:c r="J1095" s="17" t="n"/>
      <ns0:c r="K1095" s="17" t="n"/>
      <ns0:c r="L1095" s="17" t="n"/>
      <ns0:c r="M1095" s="17" t="n"/>
      <ns0:c r="N1095" s="17" t="n"/>
      <ns0:c r="O1095" s="17" t="n"/>
      <ns0:c r="P1095" s="17" t="n"/>
      <ns0:c r="Q1095" s="17" t="n"/>
      <ns0:c r="R1095" s="17" t="n"/>
      <ns0:c r="S1095" s="17" t="n"/>
      <ns0:c r="T1095" s="17" t="n"/>
      <ns0:c r="U1095" s="17" t="n"/>
      <ns0:c r="V1095" s="17" t="n"/>
      <ns0:c r="W1095" s="17" t="n"/>
      <ns0:c r="X1095" s="17" t="n"/>
      <ns0:c r="Y1095" s="17" t="n"/>
      <ns0:c r="Z1095" s="17" t="n"/>
      <ns0:c r="AA1095" s="17" t="n"/>
      <ns0:c r="AB1095" s="17" t="n"/>
      <ns0:c r="AC1095" s="17" t="n"/>
      <ns0:c r="AD1095" s="17" t="n"/>
      <ns0:c r="AE1095" s="17" t="n"/>
      <ns0:c r="AF1095" s="17" t="n"/>
      <ns0:c r="AG1095" s="17" t="n"/>
    </ns0:row>
    <ns0:row r="1096" ht="24" customHeight="1">
      <ns0:c r="D1096" s="17" t="n"/>
      <ns0:c r="E1096" s="17" t="n"/>
      <ns0:c r="F1096" s="17" t="n"/>
      <ns0:c r="G1096" s="17" t="n"/>
      <ns0:c r="H1096" s="17" t="n"/>
      <ns0:c r="I1096" s="17" t="n"/>
      <ns0:c r="J1096" s="17" t="n"/>
      <ns0:c r="K1096" s="17" t="n"/>
      <ns0:c r="L1096" s="17" t="n"/>
      <ns0:c r="M1096" s="17" t="n"/>
      <ns0:c r="N1096" s="17" t="n"/>
      <ns0:c r="O1096" s="17" t="n"/>
      <ns0:c r="P1096" s="17" t="n"/>
      <ns0:c r="Q1096" s="17" t="n"/>
      <ns0:c r="R1096" s="17" t="n"/>
      <ns0:c r="S1096" s="17" t="n"/>
      <ns0:c r="T1096" s="17" t="n"/>
      <ns0:c r="U1096" s="17" t="n"/>
      <ns0:c r="V1096" s="17" t="n"/>
      <ns0:c r="W1096" s="17" t="n"/>
      <ns0:c r="X1096" s="17" t="n"/>
      <ns0:c r="Y1096" s="17" t="n"/>
      <ns0:c r="Z1096" s="17" t="n"/>
      <ns0:c r="AA1096" s="17" t="n"/>
      <ns0:c r="AB1096" s="17" t="n"/>
      <ns0:c r="AC1096" s="17" t="n"/>
      <ns0:c r="AD1096" s="17" t="n"/>
      <ns0:c r="AE1096" s="17" t="n"/>
      <ns0:c r="AF1096" s="17" t="n"/>
      <ns0:c r="AG1096" s="17" t="n"/>
    </ns0:row>
    <ns0:row r="1097" ht="24" customHeight="1">
      <ns0:c r="D1097" s="17" t="n"/>
      <ns0:c r="E1097" s="17" t="n"/>
      <ns0:c r="F1097" s="17" t="n"/>
      <ns0:c r="G1097" s="17" t="n"/>
      <ns0:c r="H1097" s="17" t="n"/>
      <ns0:c r="I1097" s="17" t="n"/>
      <ns0:c r="J1097" s="17" t="n"/>
      <ns0:c r="K1097" s="17" t="n"/>
      <ns0:c r="L1097" s="17" t="n"/>
      <ns0:c r="M1097" s="17" t="n"/>
      <ns0:c r="N1097" s="17" t="n"/>
      <ns0:c r="O1097" s="17" t="n"/>
      <ns0:c r="P1097" s="17" t="n"/>
      <ns0:c r="Q1097" s="17" t="n"/>
      <ns0:c r="R1097" s="17" t="n"/>
      <ns0:c r="S1097" s="17" t="n"/>
      <ns0:c r="T1097" s="17" t="n"/>
      <ns0:c r="U1097" s="17" t="n"/>
      <ns0:c r="V1097" s="17" t="n"/>
      <ns0:c r="W1097" s="17" t="n"/>
      <ns0:c r="X1097" s="17" t="n"/>
      <ns0:c r="Y1097" s="17" t="n"/>
      <ns0:c r="Z1097" s="17" t="n"/>
      <ns0:c r="AA1097" s="17" t="n"/>
      <ns0:c r="AB1097" s="17" t="n"/>
      <ns0:c r="AC1097" s="17" t="n"/>
      <ns0:c r="AD1097" s="17" t="n"/>
      <ns0:c r="AE1097" s="17" t="n"/>
      <ns0:c r="AF1097" s="17" t="n"/>
      <ns0:c r="AG1097" s="17" t="n"/>
    </ns0:row>
    <ns0:row r="1098" ht="24" customHeight="1">
      <ns0:c r="D1098" s="17" t="n"/>
      <ns0:c r="E1098" s="17" t="n"/>
      <ns0:c r="F1098" s="17" t="n"/>
      <ns0:c r="G1098" s="17" t="n"/>
      <ns0:c r="H1098" s="17" t="n"/>
      <ns0:c r="I1098" s="17" t="n"/>
      <ns0:c r="J1098" s="17" t="n"/>
      <ns0:c r="K1098" s="17" t="n"/>
      <ns0:c r="L1098" s="17" t="n"/>
      <ns0:c r="M1098" s="17" t="n"/>
      <ns0:c r="N1098" s="17" t="n"/>
      <ns0:c r="O1098" s="17" t="n"/>
      <ns0:c r="P1098" s="17" t="n"/>
      <ns0:c r="Q1098" s="17" t="n"/>
      <ns0:c r="R1098" s="17" t="n"/>
      <ns0:c r="S1098" s="17" t="n"/>
      <ns0:c r="T1098" s="17" t="n"/>
      <ns0:c r="U1098" s="17" t="n"/>
      <ns0:c r="V1098" s="17" t="n"/>
      <ns0:c r="W1098" s="17" t="n"/>
      <ns0:c r="X1098" s="17" t="n"/>
      <ns0:c r="Y1098" s="17" t="n"/>
      <ns0:c r="Z1098" s="17" t="n"/>
      <ns0:c r="AA1098" s="17" t="n"/>
      <ns0:c r="AB1098" s="17" t="n"/>
      <ns0:c r="AC1098" s="17" t="n"/>
      <ns0:c r="AD1098" s="17" t="n"/>
      <ns0:c r="AE1098" s="17" t="n"/>
      <ns0:c r="AF1098" s="17" t="n"/>
      <ns0:c r="AG1098" s="17" t="n"/>
    </ns0:row>
    <ns0:row r="1099" ht="24" customHeight="1">
      <ns0:c r="D1099" s="17" t="n"/>
      <ns0:c r="E1099" s="17" t="n"/>
      <ns0:c r="F1099" s="17" t="n"/>
      <ns0:c r="G1099" s="17" t="n"/>
      <ns0:c r="H1099" s="17" t="n"/>
      <ns0:c r="I1099" s="17" t="n"/>
      <ns0:c r="J1099" s="17" t="n"/>
      <ns0:c r="K1099" s="17" t="n"/>
      <ns0:c r="L1099" s="17" t="n"/>
      <ns0:c r="M1099" s="17" t="n"/>
      <ns0:c r="N1099" s="17" t="n"/>
      <ns0:c r="O1099" s="17" t="n"/>
      <ns0:c r="P1099" s="17" t="n"/>
      <ns0:c r="Q1099" s="17" t="n"/>
      <ns0:c r="R1099" s="17" t="n"/>
      <ns0:c r="S1099" s="17" t="n"/>
      <ns0:c r="T1099" s="17" t="n"/>
      <ns0:c r="U1099" s="17" t="n"/>
      <ns0:c r="V1099" s="17" t="n"/>
      <ns0:c r="W1099" s="17" t="n"/>
      <ns0:c r="X1099" s="17" t="n"/>
      <ns0:c r="Y1099" s="17" t="n"/>
      <ns0:c r="Z1099" s="17" t="n"/>
      <ns0:c r="AA1099" s="17" t="n"/>
      <ns0:c r="AB1099" s="17" t="n"/>
      <ns0:c r="AC1099" s="17" t="n"/>
      <ns0:c r="AD1099" s="17" t="n"/>
      <ns0:c r="AE1099" s="17" t="n"/>
      <ns0:c r="AF1099" s="17" t="n"/>
      <ns0:c r="AG1099" s="17" t="n"/>
    </ns0:row>
    <ns0:row r="1100" ht="24" customHeight="1">
      <ns0:c r="D1100" s="17" t="n"/>
      <ns0:c r="E1100" s="17" t="n"/>
      <ns0:c r="F1100" s="17" t="n"/>
      <ns0:c r="G1100" s="17" t="n"/>
      <ns0:c r="H1100" s="17" t="n"/>
      <ns0:c r="I1100" s="17" t="n"/>
      <ns0:c r="J1100" s="17" t="n"/>
      <ns0:c r="K1100" s="17" t="n"/>
      <ns0:c r="L1100" s="17" t="n"/>
      <ns0:c r="M1100" s="17" t="n"/>
      <ns0:c r="N1100" s="17" t="n"/>
      <ns0:c r="O1100" s="17" t="n"/>
      <ns0:c r="P1100" s="17" t="n"/>
      <ns0:c r="Q1100" s="17" t="n"/>
      <ns0:c r="R1100" s="17" t="n"/>
      <ns0:c r="S1100" s="17" t="n"/>
      <ns0:c r="T1100" s="17" t="n"/>
      <ns0:c r="U1100" s="17" t="n"/>
      <ns0:c r="V1100" s="17" t="n"/>
      <ns0:c r="W1100" s="17" t="n"/>
      <ns0:c r="X1100" s="17" t="n"/>
      <ns0:c r="Y1100" s="17" t="n"/>
      <ns0:c r="Z1100" s="17" t="n"/>
      <ns0:c r="AA1100" s="17" t="n"/>
      <ns0:c r="AB1100" s="17" t="n"/>
      <ns0:c r="AC1100" s="17" t="n"/>
      <ns0:c r="AD1100" s="17" t="n"/>
      <ns0:c r="AE1100" s="17" t="n"/>
      <ns0:c r="AF1100" s="17" t="n"/>
      <ns0:c r="AG1100" s="17" t="n"/>
    </ns0:row>
  </ns0:sheetData>
  <ns0:mergeCells count="2">
    <ns0:mergeCell ref="A1:I1"/>
    <ns0:mergeCell ref="A2:I2"/>
  </ns0:mergeCells>
  <ns0:conditionalFormatting sqref="R5:Z1004">
    <ns0:cfRule type="cellIs" priority="1" operator="lessThan" dxfId="0">
      <ns0:formula>0</ns0:formula>
    </ns0:cfRule>
  </ns0:conditionalFormatting>
  <ns0:pageMargins left="0.75" right="0.75" top="1" bottom="1" header="0.5" footer="0.5"/>
</ns0:worksheet>
</file>

<file path=xl/worksheets/sheet6.xml><?xml version="1.0" encoding="utf-8"?>
<ns0:worksheet xmlns:ns0="http://schemas.openxmlformats.org/spreadsheetml/2006/main">
  <ns0:sheetPr>
    <ns0:outlinePr summaryBelow="1" summaryRight="1"/>
    <ns0:pageSetUpPr/>
  </ns0:sheetPr>
  <ns0:dimension ref="A1:AM1100"/>
  <ns0:sheetViews>
    <ns0:sheetView showGridLines="0" workbookViewId="0">
      <ns0:selection activeCell="A1" sqref="A1"/>
    </ns0:sheetView>
  </ns0:sheetViews>
  <ns0:sheetFormatPr baseColWidth="8" defaultRowHeight="15"/>
  <ns0:cols>
    <ns0:col width="19" customWidth="1" min="1" max="1"/>
    <ns0:col width="19" customWidth="1" min="2" max="2"/>
    <ns0:col width="19" customWidth="1" min="3" max="3"/>
    <ns0:col width="19" customWidth="1" min="4" max="4"/>
    <ns0:col width="19" customWidth="1" min="5" max="5"/>
    <ns0:col width="19" customWidth="1" min="6" max="6"/>
    <ns0:col width="19" customWidth="1" min="7" max="7"/>
    <ns0:col width="19" customWidth="1" min="8" max="8"/>
    <ns0:col width="19" customWidth="1" min="9" max="9"/>
    <ns0:col width="19" customWidth="1" min="10" max="10"/>
    <ns0:col width="19" customWidth="1" min="11" max="11"/>
    <ns0:col width="19" customWidth="1" min="12" max="12"/>
    <ns0:col width="19" customWidth="1" min="13" max="13"/>
    <ns0:col width="19" customWidth="1" min="14" max="14"/>
    <ns0:col width="19" customWidth="1" min="15" max="15"/>
    <ns0:col width="19" customWidth="1" min="16" max="16"/>
    <ns0:col width="19" customWidth="1" min="17" max="17"/>
    <ns0:col width="19" customWidth="1" min="18" max="18"/>
    <ns0:col width="19" customWidth="1" min="19" max="19"/>
    <ns0:col width="19" customWidth="1" min="20" max="20"/>
    <ns0:col width="19" customWidth="1" min="21" max="21"/>
    <ns0:col width="19" customWidth="1" min="22" max="22"/>
    <ns0:col width="19" customWidth="1" min="23" max="23"/>
    <ns0:col width="19" customWidth="1" min="24" max="24"/>
    <ns0:col width="19" customWidth="1" min="25" max="25"/>
    <ns0:col width="19" customWidth="1" min="26" max="26"/>
    <ns0:col width="19" customWidth="1" min="27" max="27"/>
    <ns0:col width="19" customWidth="1" min="28" max="28"/>
    <ns0:col width="19" customWidth="1" min="29" max="29"/>
    <ns0:col width="19" customWidth="1" min="30" max="30"/>
    <ns0:col width="19" customWidth="1" min="31" max="31"/>
    <ns0:col width="19" customWidth="1" min="32" max="32"/>
    <ns0:col width="19" customWidth="1" min="33" max="33"/>
    <ns0:col width="19" customWidth="1" min="34" max="34"/>
    <ns0:col width="19" customWidth="1" min="35" max="35"/>
    <ns0:col width="19" customWidth="1" min="36" max="36"/>
    <ns0:col width="19" customWidth="1" min="37" max="37"/>
    <ns0:col width="19" customWidth="1" min="38" max="38"/>
    <ns0:col width="19" customWidth="1" min="39" max="39"/>
  </ns0:cols>
  <ns0:sheetData>
    <ns0:row r="1" ht="32" customHeight="1">
      <ns0:c r="A1" s="1" t="inlineStr">
        <ns0:is>
          <ns0:t>初期赤字・累積回収（36か月）</ns0:t>
        </ns0:is>
      </ns0:c>
    </ns0:row>
    <ns0:row r="2" ht="48" customHeight="1">
      <ns0:c r="A2" s="2" t="inlineStr">
        <ns0:is>
          <ns0:t>開始0社、各月新規・解約を反映。初期投資空欄なら未算入。営業/導入/事故/税/入金時差は除外。</ns0:t>
        </ns0:is>
      </ns0:c>
    </ns0:row>
    <ns0:row r="3" ht="24" customHeight="1"/>
    <ns0:row r="4" ht="42" customHeight="1">
      <ns0:c r="A4" s="5" t="inlineStr">
        <ns0:is>
          <ns0:t>月</ns0:t>
        </ns0:is>
      </ns0:c>
      <ns0:c r="B4" s="5" t="inlineStr">
        <ns0:is>
          <ns0:t>会社数</ns0:t>
        </ns0:is>
      </ns0:c>
      <ns0:c r="C4" s="5" t="inlineStr">
        <ns0:is>
          <ns0:t>Guard社数</ns0:t>
        </ns0:is>
      </ns0:c>
      <ns0:c r="D4" s="5" t="inlineStr">
        <ns0:is>
          <ns0:t>Send社数</ns0:t>
        </ns0:is>
      </ns0:c>
      <ns0:c r="E4" s="5" t="inlineStr">
        <ns0:is>
          <ns0:t>総PC</ns0:t>
        </ns0:is>
      </ns0:c>
      <ns0:c r="F4" s="5" t="inlineStr">
        <ns0:is>
          <ns0:t>G基本</ns0:t>
        </ns0:is>
      </ns0:c>
      <ns0:c r="G4" s="5" t="inlineStr">
        <ns0:is>
          <ns0:t>S基本</ns0:t>
        </ns0:is>
      </ns0:c>
      <ns0:c r="H4" s="5" t="inlineStr">
        <ns0:is>
          <ns0:t>G従量</ns0:t>
        </ns0:is>
      </ns0:c>
      <ns0:c r="I4" s="5" t="inlineStr">
        <ns0:is>
          <ns0:t>S従量</ns0:t>
        </ns0:is>
      </ns0:c>
      <ns0:c r="J4" s="5" t="inlineStr">
        <ns0:is>
          <ns0:t>G変動infra</ns0:t>
        </ns0:is>
      </ns0:c>
      <ns0:c r="K4" s="5" t="inlineStr">
        <ns0:is>
          <ns0:t>S変動infra</ns0:t>
        </ns0:is>
      </ns0:c>
      <ns0:c r="L4" s="5" t="inlineStr">
        <ns0:is>
          <ns0:t>Gsupport</ns0:t>
        </ns0:is>
      </ns0:c>
      <ns0:c r="M4" s="5" t="inlineStr">
        <ns0:is>
          <ns0:t>Ssupport</ns0:t>
        </ns0:is>
      </ns0:c>
      <ns0:c r="N4" s="5" t="inlineStr">
        <ns0:is>
          <ns0:t>G固定</ns0:t>
        </ns0:is>
      </ns0:c>
      <ns0:c r="O4" s="5" t="inlineStr">
        <ns0:is>
          <ns0:t>S固定</ns0:t>
        </ns0:is>
      </ns0:c>
      <ns0:c r="P4" s="5" t="inlineStr">
        <ns0:is>
          <ns0:t>DNS</ns0:t>
        </ns0:is>
      </ns0:c>
      <ns0:c r="Q4" s="5" t="inlineStr">
        <ns0:is>
          <ns0:t>G配分前</ns0:t>
        </ns0:is>
      </ns0:c>
      <ns0:c r="R4" s="5" t="inlineStr">
        <ns0:is>
          <ns0:t>S配分前</ns0:t>
        </ns0:is>
      </ns0:c>
      <ns0:c r="S4" s="5" t="inlineStr">
        <ns0:is>
          <ns0:t>G・率1</ns0:t>
        </ns0:is>
      </ns0:c>
      <ns0:c r="T4" s="5" t="inlineStr">
        <ns0:is>
          <ns0:t>S・率1</ns0:t>
        </ns0:is>
      </ns0:c>
      <ns0:c r="U4" s="5" t="inlineStr">
        <ns0:is>
          <ns0:t>合計・率1</ns0:t>
        </ns0:is>
      </ns0:c>
      <ns0:c r="V4" s="5" t="inlineStr">
        <ns0:is>
          <ns0:t>G・率2</ns0:t>
        </ns0:is>
      </ns0:c>
      <ns0:c r="W4" s="5" t="inlineStr">
        <ns0:is>
          <ns0:t>S・率2</ns0:t>
        </ns0:is>
      </ns0:c>
      <ns0:c r="X4" s="5" t="inlineStr">
        <ns0:is>
          <ns0:t>合計・率2</ns0:t>
        </ns0:is>
      </ns0:c>
      <ns0:c r="Y4" s="5" t="inlineStr">
        <ns0:is>
          <ns0:t>G・率3</ns0:t>
        </ns0:is>
      </ns0:c>
      <ns0:c r="Z4" s="5" t="inlineStr">
        <ns0:is>
          <ns0:t>S・率3</ns0:t>
        </ns0:is>
      </ns0:c>
      <ns0:c r="AA4" s="5" t="inlineStr">
        <ns0:is>
          <ns0:t>合計・率3</ns0:t>
        </ns0:is>
      </ns0:c>
      <ns0:c r="AB4" s="5" t="inlineStr">
        <ns0:is>
          <ns0:t>累積・率1</ns0:t>
        </ns0:is>
      </ns0:c>
      <ns0:c r="AC4" s="5" t="inlineStr">
        <ns0:is>
          <ns0:t>累積・率2</ns0:t>
        </ns0:is>
      </ns0:c>
      <ns0:c r="AD4" s="5" t="inlineStr">
        <ns0:is>
          <ns0:t>累積・率3</ns0:t>
        </ns0:is>
      </ns0:c>
      <ns0:c r="AE4" s="5" t="inlineStr">
        <ns0:is>
          <ns0:t>資金谷・率1</ns0:t>
        </ns0:is>
      </ns0:c>
      <ns0:c r="AF4" s="5" t="inlineStr">
        <ns0:is>
          <ns0:t>資金谷・率2</ns0:t>
        </ns0:is>
      </ns0:c>
      <ns0:c r="AG4" s="5" t="inlineStr">
        <ns0:is>
          <ns0:t>資金谷・率3</ns0:t>
        </ns0:is>
      </ns0:c>
      <ns0:c r="AH4" s="5" t="inlineStr">
        <ns0:is>
          <ns0:t>単黒・率1月</ns0:t>
        </ns0:is>
      </ns0:c>
      <ns0:c r="AI4" s="5" t="inlineStr">
        <ns0:is>
          <ns0:t>累回・率1月</ns0:t>
        </ns0:is>
      </ns0:c>
      <ns0:c r="AJ4" s="5" t="inlineStr">
        <ns0:is>
          <ns0:t>単黒・率2月</ns0:t>
        </ns0:is>
      </ns0:c>
      <ns0:c r="AK4" s="5" t="inlineStr">
        <ns0:is>
          <ns0:t>累回・率2月</ns0:t>
        </ns0:is>
      </ns0:c>
      <ns0:c r="AL4" s="5" t="inlineStr">
        <ns0:is>
          <ns0:t>単黒・率3月</ns0:t>
        </ns0:is>
      </ns0:c>
      <ns0:c r="AM4" s="5" t="inlineStr">
        <ns0:is>
          <ns0:t>累回・率3月</ns0:t>
        </ns0:is>
      </ns0:c>
    </ns0:row>
    <ns0:row r="5" ht="24" customHeight="1">
      <ns0:c r="A5" s="4" t="n">
        <ns0:v>1</ns0:v>
      </ns0:c>
      <ns0:c r="B5" s="12">
        <ns0:f>'前提と出典'!$B$30</ns0:f>
        <ns0:v>3</ns0:v>
      </ns0:c>
      <ns0:c r="C5" s="12">
        <ns0:f>B5*('前提と出典'!$C$36+'前提と出典'!$C$38)</ns0:f>
        <ns0:v>2.0999999999999996</ns0:v>
      </ns0:c>
      <ns0:c r="D5" s="16">
        <ns0:f>B5*('前提と出典'!$C$37+'前提と出典'!$C$38)</ns0:f>
        <ns0:v>1.7999999999999998</ns0:v>
      </ns0:c>
      <ns0:c r="E5" s="16">
        <ns0:f>B5*('前提と出典'!$C$36*'契約別単価'!C5+'前提と出典'!$C$37*'契約別単価'!C6+'前提と出典'!$C$38*'契約別単価'!C7)</ns0:f>
        <ns0:v>21.58659217877095</ns0:v>
      </ns0:c>
      <ns0:c r="F5" s="16">
        <ns0:f>B5*('前提と出典'!$C$36*'契約別単価'!E5+'前提と出典'!$C$37*'契約別単価'!E6+'前提と出典'!$C$38*'契約別単価'!E7)</ns0:f>
        <ns0:v>7541.61876972274</ns0:v>
      </ns0:c>
      <ns0:c r="G5" s="16">
        <ns0:f>B5*('前提と出典'!$C$36*'契約別単価'!F5+'前提と出典'!$C$37*'契約別単価'!F6+'前提と出典'!$C$38*'契約別単価'!F7)</ns0:f>
        <ns0:v>2191.4016395863746</ns0:v>
      </ns0:c>
      <ns0:c r="H5" s="16">
        <ns0:f>B5*('前提と出典'!$C$36*'契約別単価'!G5+'前提と出典'!$C$37*'契約別単価'!G6+'前提と出典'!$C$38*'契約別単価'!G7)</ns0:f>
        <ns0:v>5971.508379888268</ns0:v>
      </ns0:c>
      <ns0:c r="I5" s="16">
        <ns0:f>B5*('前提と出典'!$C$36*'契約別単価'!H5+'前提と出典'!$C$37*'契約別単価'!H6+'前提と出典'!$C$38*'契約別単価'!H7)</ns0:f>
        <ns0:v>2072.412902501333</ns0:v>
      </ns0:c>
      <ns0:c r="J5" s="16">
        <ns0:f>B5*('前提と出典'!$C$36*'契約別単価'!I5+'前提と出典'!$C$37*'契約別単価'!I6+'前提と出典'!$C$38*'契約別単価'!I7)</ns0:f>
        <ns0:v>126.58659217877093</ns0:v>
      </ns0:c>
      <ns0:c r="K5" s="16">
        <ns0:f>B5*('前提と出典'!$C$36*'契約別単価'!J5+'前提と出典'!$C$37*'契約別単価'!J6+'前提と出典'!$C$38*'契約別単価'!J7)</ns0:f>
        <ns0:v>294.8686311309077</ns0:v>
      </ns0:c>
      <ns0:c r="L5" s="16">
        <ns0:f>B5*('前提と出典'!$C$36*'契約別単価'!K5+'前提と出典'!$C$37*'契約別単価'!K6+'前提と出典'!$C$38*'契約別単価'!K7)</ns0:f>
        <ns0:v>1263.9106145251396</ns0:v>
      </ns0:c>
      <ns0:c r="M5" s="16">
        <ns0:f>B5*('前提と出典'!$C$36*'契約別単価'!L5+'前提と出典'!$C$37*'契約別単価'!L6+'前提と出典'!$C$38*'契約別単価'!L7)</ns0:f>
        <ns0:v>1029.0804300833777</ns0:v>
      </ns0:c>
      <ns0:c r="N5" s="16">
        <ns0:f>IF(('前提と出典'!$C$36+'前提と出典'!$C$38)=0,0,IF(C5&lt;=10,'前提と出典'!B73+'前提と出典'!C73,IF(C5&lt;=100,'前提と出典'!B74+'前提と出典'!C74,IF(C5&lt;=500,'前提と出典'!B75+'前提と出典'!C75,'前提と出典'!B76+'前提と出典'!C76))))</ns0:f>
        <ns0:v>10000</ns0:v>
      </ns0:c>
      <ns0:c r="O5" s="16">
        <ns0:f>IF(('前提と出典'!$C$37+'前提と出典'!$C$38)=0,0,IF(D5&lt;=10,'前提と出典'!D73+'前提と出典'!E73,IF(D5&lt;=100,'前提と出典'!D74+'前提と出典'!E74,IF(D5&lt;=500,'前提と出典'!D75+'前提と出典'!E75,'前提と出典'!D76+'前提と出典'!E76))))</ns0:f>
        <ns0:v>30010.934626307797</ns0:v>
      </ns0:c>
      <ns0:c r="P5" s="16">
        <ns0:f>IF('前提と出典'!$C$36+'前提と出典'!$C$38=0,0,'前提と出典'!$B$4*IF('前提と出典'!$B$20=0,MAX('前提と出典'!$B$6,E5*'前提と出典'!$B$5),'前提と出典'!$B$6+E5*'前提と出典'!$B$5))</ns0:f>
        <ns0:v>22500</ns0:v>
      </ns0:c>
      <ns0:c r="Q5" s="16">
        <ns0:f>(F5+H5)*(1-'前提と出典'!$B$7)-J5-L5-N5-P5</ns0:f>
        <ns0:v>-20863.842634478897</ns0:v>
      </ns0:c>
      <ns0:c r="R5" s="16">
        <ns0:f>(G5+I5)*(1-'前提と出典'!$B$7)-K5-M5-O5</ns0:f>
        <ns0:v>-27224.56646894953</ns0:v>
      </ns0:c>
      <ns0:c r="S5" s="16">
        <ns0:f>Q5-F5*'前提と出典'!$E$4</ns0:f>
        <ns0:v>-23126.32826539572</ns0:v>
      </ns0:c>
      <ns0:c r="T5" s="16">
        <ns0:f>R5-G5*'前提と出典'!$E$4</ns0:f>
        <ns0:v>-27881.986960825445</ns0:v>
      </ns0:c>
      <ns0:c r="U5" s="7">
        <ns0:f>S5+T5</ns0:f>
        <ns0:v>-51008.315226221166</ns0:v>
      </ns0:c>
      <ns0:c r="V5" s="16">
        <ns0:f>Q5-F5*'前提と出典'!$E$5</ns0:f>
        <ns0:v>-23880.490142367995</ns0:v>
      </ns0:c>
      <ns0:c r="W5" s="16">
        <ns0:f>R5-G5*'前提と出典'!$E$5</ns0:f>
        <ns0:v>-28101.12712478408</ns0:v>
      </ns0:c>
      <ns0:c r="X5" s="7">
        <ns0:f>V5+W5</ns0:f>
        <ns0:v>-51981.617267152076</ns0:v>
      </ns0:c>
      <ns0:c r="Y5" s="16">
        <ns0:f>Q5-F5*'前提と出典'!$E$6</ns0:f>
        <ns0:v>-24634.65201934027</ns0:v>
      </ns0:c>
      <ns0:c r="Z5" s="16">
        <ns0:f>R5-G5*'前提と出典'!$E$6</ns0:f>
        <ns0:v>-28320.267288742718</ns0:v>
      </ns0:c>
      <ns0:c r="AA5" s="7">
        <ns0:f>Y5+Z5</ns0:f>
        <ns0:v>-52954.91930808299</ns0:v>
      </ns0:c>
      <ns0:c r="AB5" s="16">
        <ns0:f>U5-IF('前提と出典'!$B$32="",0,'前提と出典'!$B$32)</ns0:f>
        <ns0:v>-51008.315226221166</ns0:v>
      </ns0:c>
      <ns0:c r="AC5" s="16">
        <ns0:f>X5-IF('前提と出典'!$B$32="",0,'前提と出典'!$B$32)</ns0:f>
        <ns0:v>-51981.617267152076</ns0:v>
      </ns0:c>
      <ns0:c r="AD5" s="16">
        <ns0:f>AA5-IF('前提と出典'!$B$32="",0,'前提と出典'!$B$32)</ns0:f>
        <ns0:v>-52954.91930808299</ns0:v>
      </ns0:c>
      <ns0:c r="AE5" s="7">
        <ns0:f>MAX(0,-MIN($AB$5:AB5))</ns0:f>
        <ns0:v>51008.315226221166</ns0:v>
      </ns0:c>
      <ns0:c r="AF5" s="7">
        <ns0:f>MAX(0,-MIN($AC$5:AC5))</ns0:f>
        <ns0:v>51981.617267152076</ns0:v>
      </ns0:c>
      <ns0:c r="AG5" s="7">
        <ns0:f>MAX(0,-MIN($AD$5:AD5))</ns0:f>
        <ns0:v>52954.91930808299</ns0:v>
      </ns0:c>
      <ns0:c r="AH5" s="4">
        <ns0:f>IF(U5&gt;=0,A5,37)</ns0:f>
        <ns0:v>37</ns0:v>
      </ns0:c>
      <ns0:c r="AI5" s="4">
        <ns0:f>IF(AB5&gt;=0,A5,37)</ns0:f>
        <ns0:v>37</ns0:v>
      </ns0:c>
      <ns0:c r="AJ5" s="4">
        <ns0:f>IF(X5&gt;=0,A5,37)</ns0:f>
        <ns0:v>37</ns0:v>
      </ns0:c>
      <ns0:c r="AK5" s="4">
        <ns0:f>IF(AC5&gt;=0,A5,37)</ns0:f>
        <ns0:v>37</ns0:v>
      </ns0:c>
      <ns0:c r="AL5" s="4">
        <ns0:f>IF(AA5&gt;=0,A5,37)</ns0:f>
        <ns0:v>37</ns0:v>
      </ns0:c>
      <ns0:c r="AM5" s="4">
        <ns0:f>IF(AD5&gt;=0,A5,37)</ns0:f>
        <ns0:v>37</ns0:v>
      </ns0:c>
    </ns0:row>
    <ns0:row r="6" ht="24" customHeight="1">
      <ns0:c r="A6" s="4" t="n">
        <ns0:v>2</ns0:v>
      </ns0:c>
      <ns0:c r="B6" s="12">
        <ns0:f>B5*(1-'前提と出典'!$B$31)+'前提と出典'!$B$30</ns0:f>
        <ns0:v>6</ns0:v>
      </ns0:c>
      <ns0:c r="C6" s="12">
        <ns0:f>B6*('前提と出典'!$C$36+'前提と出典'!$C$38)</ns0:f>
        <ns0:v>4.199999999999999</ns0:v>
      </ns0:c>
      <ns0:c r="D6" s="16">
        <ns0:f>B6*('前提と出典'!$C$37+'前提と出典'!$C$38)</ns0:f>
        <ns0:v>3.5999999999999996</ns0:v>
      </ns0:c>
      <ns0:c r="E6" s="16">
        <ns0:f>B6*('前提と出典'!$C$36*'契約別単価'!C5+'前提と出典'!$C$37*'契約別単価'!C6+'前提と出典'!$C$38*'契約別単価'!C7)</ns0:f>
        <ns0:v>43.1731843575419</ns0:v>
      </ns0:c>
      <ns0:c r="F6" s="16">
        <ns0:f>B6*('前提と出典'!$C$36*'契約別単価'!E5+'前提と出典'!$C$37*'契約別単価'!E6+'前提と出典'!$C$38*'契約別単価'!E7)</ns0:f>
        <ns0:v>15083.23753944548</ns0:v>
      </ns0:c>
      <ns0:c r="G6" s="16">
        <ns0:f>B6*('前提と出典'!$C$36*'契約別単価'!F5+'前提と出典'!$C$37*'契約別単価'!F6+'前提と出典'!$C$38*'契約別単価'!F7)</ns0:f>
        <ns0:v>4382.803279172749</ns0:v>
      </ns0:c>
      <ns0:c r="H6" s="16">
        <ns0:f>B6*('前提と出典'!$C$36*'契約別単価'!G5+'前提と出典'!$C$37*'契約別単価'!G6+'前提と出典'!$C$38*'契約別単価'!G7)</ns0:f>
        <ns0:v>11943.016759776536</ns0:v>
      </ns0:c>
      <ns0:c r="I6" s="16">
        <ns0:f>B6*('前提と出典'!$C$36*'契約別単価'!H5+'前提と出典'!$C$37*'契約別単価'!H6+'前提と出典'!$C$38*'契約別単価'!H7)</ns0:f>
        <ns0:v>4144.825805002666</ns0:v>
      </ns0:c>
      <ns0:c r="J6" s="16">
        <ns0:f>B6*('前提と出典'!$C$36*'契約別単価'!I5+'前提と出典'!$C$37*'契約別単価'!I6+'前提と出典'!$C$38*'契約別単価'!I7)</ns0:f>
        <ns0:v>253.17318435754186</ns0:v>
      </ns0:c>
      <ns0:c r="K6" s="16">
        <ns0:f>B6*('前提と出典'!$C$36*'契約別単価'!J5+'前提と出典'!$C$37*'契約別単価'!J6+'前提と出典'!$C$38*'契約別単価'!J7)</ns0:f>
        <ns0:v>589.7372622618154</ns0:v>
      </ns0:c>
      <ns0:c r="L6" s="16">
        <ns0:f>B6*('前提と出典'!$C$36*'契約別単価'!K5+'前提と出典'!$C$37*'契約別単価'!K6+'前提と出典'!$C$38*'契約別単価'!K7)</ns0:f>
        <ns0:v>2527.8212290502793</ns0:v>
      </ns0:c>
      <ns0:c r="M6" s="16">
        <ns0:f>B6*('前提と出典'!$C$36*'契約別単価'!L5+'前提と出典'!$C$37*'契約別単価'!L6+'前提と出典'!$C$38*'契約別単価'!L7)</ns0:f>
        <ns0:v>2058.1608601667554</ns0:v>
      </ns0:c>
      <ns0:c r="N6" s="16">
        <ns0:f>IF(('前提と出典'!$C$36+'前提と出典'!$C$38)=0,0,IF(C6&lt;=10,'前提と出典'!B73+'前提と出典'!C73,IF(C6&lt;=100,'前提と出典'!B74+'前提と出典'!C74,IF(C6&lt;=500,'前提と出典'!B75+'前提と出典'!C75,'前提と出典'!B76+'前提と出典'!C76))))</ns0:f>
        <ns0:v>10000</ns0:v>
      </ns0:c>
      <ns0:c r="O6" s="16">
        <ns0:f>IF(('前提と出典'!$C$37+'前提と出典'!$C$38)=0,0,IF(D6&lt;=10,'前提と出典'!D73+'前提と出典'!E73,IF(D6&lt;=100,'前提と出典'!D74+'前提と出典'!E74,IF(D6&lt;=500,'前提と出典'!D75+'前提と出典'!E75,'前提と出典'!D76+'前提と出典'!E76))))</ns0:f>
        <ns0:v>30010.934626307797</ns0:v>
      </ns0:c>
      <ns0:c r="P6" s="16">
        <ns0:f>IF('前提と出典'!$C$36+'前提と出典'!$C$38=0,0,'前提と出典'!$B$4*IF('前提と出典'!$B$20=0,MAX('前提と出典'!$B$6,E6*'前提と出典'!$B$5),'前提と出典'!$B$6+E6*'前提と出典'!$B$5))</ns0:f>
        <ns0:v>22500</ns0:v>
      </ns0:c>
      <ns0:c r="Q6" s="16">
        <ns0:f>(F6+H6)*(1-'前提と出典'!$B$7)-J6-L6-N6-P6</ns0:f>
        <ns0:v>-9227.685268957797</ns0:v>
      </ns0:c>
      <ns0:c r="R6" s="16">
        <ns0:f>(G6+I6)*(1-'前提と出典'!$B$7)-K6-M6-O6</ns0:f>
        <ns0:v>-24438.198311591266</ns0:v>
      </ns0:c>
      <ns0:c r="S6" s="16">
        <ns0:f>Q6-F6*'前提と出典'!$E$4</ns0:f>
        <ns0:v>-13752.656530791442</ns0:v>
      </ns0:c>
      <ns0:c r="T6" s="16">
        <ns0:f>R6-G6*'前提と出典'!$E$4</ns0:f>
        <ns0:v>-25753.039295343093</ns0:v>
      </ns0:c>
      <ns0:c r="U6" s="7">
        <ns0:f>S6+T6</ns0:f>
        <ns0:v>-39505.695826134535</ns0:v>
      </ns0:c>
      <ns0:c r="V6" s="16">
        <ns0:f>Q6-F6*'前提と出典'!$E$5</ns0:f>
        <ns0:v>-15260.98028473599</ns0:v>
      </ns0:c>
      <ns0:c r="W6" s="16">
        <ns0:f>R6-G6*'前提と出典'!$E$5</ns0:f>
        <ns0:v>-26191.319623260366</ns0:v>
      </ns0:c>
      <ns0:c r="X6" s="7">
        <ns0:f>V6+W6</ns0:f>
        <ns0:v>-41452.299907996356</ns0:v>
      </ns0:c>
      <ns0:c r="Y6" s="16">
        <ns0:f>Q6-F6*'前提と出典'!$E$6</ns0:f>
        <ns0:v>-16769.304038680537</ns0:v>
      </ns0:c>
      <ns0:c r="Z6" s="16">
        <ns0:f>R6-G6*'前提と出典'!$E$6</ns0:f>
        <ns0:v>-26629.59995117764</ns0:v>
      </ns0:c>
      <ns0:c r="AA6" s="7">
        <ns0:f>Y6+Z6</ns0:f>
        <ns0:v>-43398.903989858176</ns0:v>
      </ns0:c>
      <ns0:c r="AB6" s="7">
        <ns0:f>AB5+U6</ns0:f>
        <ns0:v>-90514.0110523557</ns0:v>
      </ns0:c>
      <ns0:c r="AC6" s="7">
        <ns0:f>AC5+X6</ns0:f>
        <ns0:v>-93433.91717514844</ns0:v>
      </ns0:c>
      <ns0:c r="AD6" s="7">
        <ns0:f>AD5+AA6</ns0:f>
        <ns0:v>-96353.82329794116</ns0:v>
      </ns0:c>
      <ns0:c r="AE6" s="7">
        <ns0:f>MAX(0,-MIN($AB$5:AB6))</ns0:f>
        <ns0:v>90514.0110523557</ns0:v>
      </ns0:c>
      <ns0:c r="AF6" s="7">
        <ns0:f>MAX(0,-MIN($AC$5:AC6))</ns0:f>
        <ns0:v>93433.91717514844</ns0:v>
      </ns0:c>
      <ns0:c r="AG6" s="7">
        <ns0:f>MAX(0,-MIN($AD$5:AD6))</ns0:f>
        <ns0:v>96353.82329794116</ns0:v>
      </ns0:c>
      <ns0:c r="AH6" s="4">
        <ns0:f>IF(U6&gt;=0,A6,37)</ns0:f>
        <ns0:v>37</ns0:v>
      </ns0:c>
      <ns0:c r="AI6" s="4">
        <ns0:f>IF(AB6&gt;=0,A6,37)</ns0:f>
        <ns0:v>37</ns0:v>
      </ns0:c>
      <ns0:c r="AJ6" s="4">
        <ns0:f>IF(X6&gt;=0,A6,37)</ns0:f>
        <ns0:v>37</ns0:v>
      </ns0:c>
      <ns0:c r="AK6" s="4">
        <ns0:f>IF(AC6&gt;=0,A6,37)</ns0:f>
        <ns0:v>37</ns0:v>
      </ns0:c>
      <ns0:c r="AL6" s="4">
        <ns0:f>IF(AA6&gt;=0,A6,37)</ns0:f>
        <ns0:v>37</ns0:v>
      </ns0:c>
      <ns0:c r="AM6" s="4">
        <ns0:f>IF(AD6&gt;=0,A6,37)</ns0:f>
        <ns0:v>37</ns0:v>
      </ns0:c>
    </ns0:row>
    <ns0:row r="7" ht="24" customHeight="1">
      <ns0:c r="A7" s="4" t="n">
        <ns0:v>3</ns0:v>
      </ns0:c>
      <ns0:c r="B7" s="12">
        <ns0:f>B6*(1-'前提と出典'!$B$31)+'前提と出典'!$B$30</ns0:f>
        <ns0:v>9</ns0:v>
      </ns0:c>
      <ns0:c r="C7" s="12">
        <ns0:f>B7*('前提と出典'!$C$36+'前提と出典'!$C$38)</ns0:f>
        <ns0:v>6.3</ns0:v>
      </ns0:c>
      <ns0:c r="D7" s="16">
        <ns0:f>B7*('前提と出典'!$C$37+'前提と出典'!$C$38)</ns0:f>
        <ns0:v>5.3999999999999995</ns0:v>
      </ns0:c>
      <ns0:c r="E7" s="16">
        <ns0:f>B7*('前提と出典'!$C$36*'契約別単価'!C5+'前提と出典'!$C$37*'契約別単価'!C6+'前提と出典'!$C$38*'契約別単価'!C7)</ns0:f>
        <ns0:v>64.75977653631284</ns0:v>
      </ns0:c>
      <ns0:c r="F7" s="16">
        <ns0:f>B7*('前提と出典'!$C$36*'契約別単価'!E5+'前提と出典'!$C$37*'契約別単価'!E6+'前提と出典'!$C$38*'契約別単価'!E7)</ns0:f>
        <ns0:v>22624.85630916822</ns0:v>
      </ns0:c>
      <ns0:c r="G7" s="16">
        <ns0:f>B7*('前提と出典'!$C$36*'契約別単価'!F5+'前提と出典'!$C$37*'契約別単価'!F6+'前提と出典'!$C$38*'契約別単価'!F7)</ns0:f>
        <ns0:v>6574.204918759124</ns0:v>
      </ns0:c>
      <ns0:c r="H7" s="16">
        <ns0:f>B7*('前提と出典'!$C$36*'契約別単価'!G5+'前提と出典'!$C$37*'契約別単価'!G6+'前提と出典'!$C$38*'契約別単価'!G7)</ns0:f>
        <ns0:v>17914.525139664802</ns0:v>
      </ns0:c>
      <ns0:c r="I7" s="16">
        <ns0:f>B7*('前提と出典'!$C$36*'契約別単価'!H5+'前提と出典'!$C$37*'契約別単価'!H6+'前提と出典'!$C$38*'契約別単価'!H7)</ns0:f>
        <ns0:v>6217.238707503999</ns0:v>
      </ns0:c>
      <ns0:c r="J7" s="16">
        <ns0:f>B7*('前提と出典'!$C$36*'契約別単価'!I5+'前提と出典'!$C$37*'契約別単価'!I6+'前提と出典'!$C$38*'契約別単価'!I7)</ns0:f>
        <ns0:v>379.75977653631276</ns0:v>
      </ns0:c>
      <ns0:c r="K7" s="16">
        <ns0:f>B7*('前提と出典'!$C$36*'契約別単価'!J5+'前提と出典'!$C$37*'契約別単価'!J6+'前提と出典'!$C$38*'契約別単価'!J7)</ns0:f>
        <ns0:v>884.6058933927231</ns0:v>
      </ns0:c>
      <ns0:c r="L7" s="16">
        <ns0:f>B7*('前提と出典'!$C$36*'契約別単価'!K5+'前提と出典'!$C$37*'契約別単価'!K6+'前提と出典'!$C$38*'契約別単価'!K7)</ns0:f>
        <ns0:v>3791.7318435754187</ns0:v>
      </ns0:c>
      <ns0:c r="M7" s="16">
        <ns0:f>B7*('前提と出典'!$C$36*'契約別単価'!L5+'前提と出典'!$C$37*'契約別単価'!L6+'前提と出典'!$C$38*'契約別単価'!L7)</ns0:f>
        <ns0:v>3087.2412902501333</ns0:v>
      </ns0:c>
      <ns0:c r="N7" s="16">
        <ns0:f>IF(('前提と出典'!$C$36+'前提と出典'!$C$38)=0,0,IF(C7&lt;=10,'前提と出典'!B73+'前提と出典'!C73,IF(C7&lt;=100,'前提と出典'!B74+'前提と出典'!C74,IF(C7&lt;=500,'前提と出典'!B75+'前提と出典'!C75,'前提と出典'!B76+'前提と出典'!C76))))</ns0:f>
        <ns0:v>10000</ns0:v>
      </ns0:c>
      <ns0:c r="O7" s="16">
        <ns0:f>IF(('前提と出典'!$C$37+'前提と出典'!$C$38)=0,0,IF(D7&lt;=10,'前提と出典'!D73+'前提と出典'!E73,IF(D7&lt;=100,'前提と出典'!D74+'前提と出典'!E74,IF(D7&lt;=500,'前提と出典'!D75+'前提と出典'!E75,'前提と出典'!D76+'前提と出典'!E76))))</ns0:f>
        <ns0:v>30010.934626307797</ns0:v>
      </ns0:c>
      <ns0:c r="P7" s="16">
        <ns0:f>IF('前提と出典'!$C$36+'前提と出典'!$C$38=0,0,'前提と出典'!$B$4*IF('前提と出典'!$B$20=0,MAX('前提と出典'!$B$6,E7*'前提と出典'!$B$5),'前提と出典'!$B$6+E7*'前提と出典'!$B$5))</ns0:f>
        <ns0:v>22500</ns0:v>
      </ns0:c>
      <ns0:c r="Q7" s="16">
        <ns0:f>(F7+H7)*(1-'前提と出典'!$B$7)-J7-L7-N7-P7</ns0:f>
        <ns0:v>2408.4720965633005</ns0:v>
      </ns0:c>
      <ns0:c r="R7" s="16">
        <ns0:f>(G7+I7)*(1-'前提と出典'!$B$7)-K7-M7-O7</ns0:f>
        <ns0:v>-21651.830154233005</ns0:v>
      </ns0:c>
      <ns0:c r="S7" s="16">
        <ns0:f>Q7-F7*'前提と出典'!$E$4</ns0:f>
        <ns0:v>-4378.984796187164</ns0:v>
      </ns0:c>
      <ns0:c r="T7" s="16">
        <ns0:f>R7-G7*'前提と出典'!$E$4</ns0:f>
        <ns0:v>-23624.09162986074</ns0:v>
      </ns0:c>
      <ns0:c r="U7" s="7">
        <ns0:f>S7+T7</ns0:f>
        <ns0:v>-28003.076426047905</ns0:v>
      </ns0:c>
      <ns0:c r="V7" s="16">
        <ns0:f>Q7-F7*'前提と出典'!$E$5</ns0:f>
        <ns0:v>-6641.470427103988</ns0:v>
      </ns0:c>
      <ns0:c r="W7" s="16">
        <ns0:f>R7-G7*'前提と出典'!$E$5</ns0:f>
        <ns0:v>-24281.512121736654</ns0:v>
      </ns0:c>
      <ns0:c r="X7" s="7">
        <ns0:f>V7+W7</ns0:f>
        <ns0:v>-30922.982548840642</ns0:v>
      </ns0:c>
      <ns0:c r="Y7" s="16">
        <ns0:f>Q7-F7*'前提と出典'!$E$6</ns0:f>
        <ns0:v>-8903.956058020805</ns0:v>
      </ns0:c>
      <ns0:c r="Z7" s="16">
        <ns0:f>R7-G7*'前提と出典'!$E$6</ns0:f>
        <ns0:v>-24938.932613612564</ns0:v>
      </ns0:c>
      <ns0:c r="AA7" s="7">
        <ns0:f>Y7+Z7</ns0:f>
        <ns0:v>-33842.888671633365</ns0:v>
      </ns0:c>
      <ns0:c r="AB7" s="7">
        <ns0:f>AB6+U7</ns0:f>
        <ns0:v>-118517.0874784036</ns0:v>
      </ns0:c>
      <ns0:c r="AC7" s="7">
        <ns0:f>AC6+X7</ns0:f>
        <ns0:v>-124356.89972398907</ns0:v>
      </ns0:c>
      <ns0:c r="AD7" s="7">
        <ns0:f>AD6+AA7</ns0:f>
        <ns0:v>-130196.71196957452</ns0:v>
      </ns0:c>
      <ns0:c r="AE7" s="7">
        <ns0:f>MAX(0,-MIN($AB$5:AB7))</ns0:f>
        <ns0:v>118517.0874784036</ns0:v>
      </ns0:c>
      <ns0:c r="AF7" s="7">
        <ns0:f>MAX(0,-MIN($AC$5:AC7))</ns0:f>
        <ns0:v>124356.89972398907</ns0:v>
      </ns0:c>
      <ns0:c r="AG7" s="7">
        <ns0:f>MAX(0,-MIN($AD$5:AD7))</ns0:f>
        <ns0:v>130196.71196957452</ns0:v>
      </ns0:c>
      <ns0:c r="AH7" s="4">
        <ns0:f>IF(U7&gt;=0,A7,37)</ns0:f>
        <ns0:v>37</ns0:v>
      </ns0:c>
      <ns0:c r="AI7" s="4">
        <ns0:f>IF(AB7&gt;=0,A7,37)</ns0:f>
        <ns0:v>37</ns0:v>
      </ns0:c>
      <ns0:c r="AJ7" s="4">
        <ns0:f>IF(X7&gt;=0,A7,37)</ns0:f>
        <ns0:v>37</ns0:v>
      </ns0:c>
      <ns0:c r="AK7" s="4">
        <ns0:f>IF(AC7&gt;=0,A7,37)</ns0:f>
        <ns0:v>37</ns0:v>
      </ns0:c>
      <ns0:c r="AL7" s="4">
        <ns0:f>IF(AA7&gt;=0,A7,37)</ns0:f>
        <ns0:v>37</ns0:v>
      </ns0:c>
      <ns0:c r="AM7" s="4">
        <ns0:f>IF(AD7&gt;=0,A7,37)</ns0:f>
        <ns0:v>37</ns0:v>
      </ns0:c>
    </ns0:row>
    <ns0:row r="8" ht="24" customHeight="1">
      <ns0:c r="A8" s="4" t="n">
        <ns0:v>4</ns0:v>
      </ns0:c>
      <ns0:c r="B8" s="12">
        <ns0:f>B7*(1-'前提と出典'!$B$31)+'前提と出典'!$B$30</ns0:f>
        <ns0:v>12</ns0:v>
      </ns0:c>
      <ns0:c r="C8" s="12">
        <ns0:f>B8*('前提と出典'!$C$36+'前提と出典'!$C$38)</ns0:f>
        <ns0:v>8.399999999999999</ns0:v>
      </ns0:c>
      <ns0:c r="D8" s="16">
        <ns0:f>B8*('前提と出典'!$C$37+'前提と出典'!$C$38)</ns0:f>
        <ns0:v>7.199999999999999</ns0:v>
      </ns0:c>
      <ns0:c r="E8" s="16">
        <ns0:f>B8*('前提と出典'!$C$36*'契約別単価'!C5+'前提と出典'!$C$37*'契約別単価'!C6+'前提と出典'!$C$38*'契約別単価'!C7)</ns0:f>
        <ns0:v>86.3463687150838</ns0:v>
      </ns0:c>
      <ns0:c r="F8" s="16">
        <ns0:f>B8*('前提と出典'!$C$36*'契約別単価'!E5+'前提と出典'!$C$37*'契約別単価'!E6+'前提と出典'!$C$38*'契約別単価'!E7)</ns0:f>
        <ns0:v>30166.47507889096</ns0:v>
      </ns0:c>
      <ns0:c r="G8" s="16">
        <ns0:f>B8*('前提と出典'!$C$36*'契約別単価'!F5+'前提と出典'!$C$37*'契約別単価'!F6+'前提と出典'!$C$38*'契約別単価'!F7)</ns0:f>
        <ns0:v>8765.606558345498</ns0:v>
      </ns0:c>
      <ns0:c r="H8" s="16">
        <ns0:f>B8*('前提と出典'!$C$36*'契約別単価'!G5+'前提と出典'!$C$37*'契約別単価'!G6+'前提と出典'!$C$38*'契約別単価'!G7)</ns0:f>
        <ns0:v>23886.03351955307</ns0:v>
      </ns0:c>
      <ns0:c r="I8" s="16">
        <ns0:f>B8*('前提と出典'!$C$36*'契約別単価'!H5+'前提と出典'!$C$37*'契約別単価'!H6+'前提と出典'!$C$38*'契約別単価'!H7)</ns0:f>
        <ns0:v>8289.651610005332</ns0:v>
      </ns0:c>
      <ns0:c r="J8" s="16">
        <ns0:f>B8*('前提と出典'!$C$36*'契約別単価'!I5+'前提と出典'!$C$37*'契約別単価'!I6+'前提と出典'!$C$38*'契約別単価'!I7)</ns0:f>
        <ns0:v>506.3463687150837</ns0:v>
      </ns0:c>
      <ns0:c r="K8" s="16">
        <ns0:f>B8*('前提と出典'!$C$36*'契約別単価'!J5+'前提と出典'!$C$37*'契約別単価'!J6+'前提と出典'!$C$38*'契約別単価'!J7)</ns0:f>
        <ns0:v>1179.4745245236309</ns0:v>
      </ns0:c>
      <ns0:c r="L8" s="16">
        <ns0:f>B8*('前提と出典'!$C$36*'契約別単価'!K5+'前提と出典'!$C$37*'契約別単価'!K6+'前提と出典'!$C$38*'契約別単価'!K7)</ns0:f>
        <ns0:v>5055.6424581005585</ns0:v>
      </ns0:c>
      <ns0:c r="M8" s="16">
        <ns0:f>B8*('前提と出典'!$C$36*'契約別単価'!L5+'前提と出典'!$C$37*'契約別単価'!L6+'前提と出典'!$C$38*'契約別単価'!L7)</ns0:f>
        <ns0:v>4116.321720333511</ns0:v>
      </ns0:c>
      <ns0:c r="N8" s="16">
        <ns0:f>IF(('前提と出典'!$C$36+'前提と出典'!$C$38)=0,0,IF(C8&lt;=10,'前提と出典'!B73+'前提と出典'!C73,IF(C8&lt;=100,'前提と出典'!B74+'前提と出典'!C74,IF(C8&lt;=500,'前提と出典'!B75+'前提と出典'!C75,'前提と出典'!B76+'前提と出典'!C76))))</ns0:f>
        <ns0:v>10000</ns0:v>
      </ns0:c>
      <ns0:c r="O8" s="16">
        <ns0:f>IF(('前提と出典'!$C$37+'前提と出典'!$C$38)=0,0,IF(D8&lt;=10,'前提と出典'!D73+'前提と出典'!E73,IF(D8&lt;=100,'前提と出典'!D74+'前提と出典'!E74,IF(D8&lt;=500,'前提と出典'!D75+'前提と出典'!E75,'前提と出典'!D76+'前提と出典'!E76))))</ns0:f>
        <ns0:v>30010.934626307797</ns0:v>
      </ns0:c>
      <ns0:c r="P8" s="16">
        <ns0:f>IF('前提と出典'!$C$36+'前提と出典'!$C$38=0,0,'前提と出典'!$B$4*IF('前提と出典'!$B$20=0,MAX('前提と出典'!$B$6,E8*'前提と出典'!$B$5),'前提と出典'!$B$6+E8*'前提と出典'!$B$5))</ns0:f>
        <ns0:v>22500</ns0:v>
      </ns0:c>
      <ns0:c r="Q8" s="16">
        <ns0:f>(F8+H8)*(1-'前提と出典'!$B$7)-J8-L8-N8-P8</ns0:f>
        <ns0:v>14044.629462084406</ns0:v>
      </ns0:c>
      <ns0:c r="R8" s="16">
        <ns0:f>(G8+I8)*(1-'前提と出典'!$B$7)-K8-M8-O8</ns0:f>
        <ns0:v>-18865.461996874736</ns0:v>
      </ns0:c>
      <ns0:c r="S8" s="16">
        <ns0:f>Q8-F8*'前提と出典'!$E$4</ns0:f>
        <ns0:v>4994.686938417115</ns0:v>
      </ns0:c>
      <ns0:c r="T8" s="16">
        <ns0:f>R8-G8*'前提と出典'!$E$4</ns0:f>
        <ns0:v>-21495.143964378385</ns0:v>
      </ns0:c>
      <ns0:c r="U8" s="7">
        <ns0:f>S8+T8</ns0:f>
        <ns0:v>-16500.45702596127</ns0:v>
      </ns0:c>
      <ns0:c r="V8" s="16">
        <ns0:f>Q8-F8*'前提と出典'!$E$5</ns0:f>
        <ns0:v>1978.0394305280206</ns0:v>
      </ns0:c>
      <ns0:c r="W8" s="16">
        <ns0:f>R8-G8*'前提と出典'!$E$5</ns0:f>
        <ns0:v>-22371.704620212935</ns0:v>
      </ns0:c>
      <ns0:c r="X8" s="7">
        <ns0:f>V8+W8</ns0:f>
        <ns0:v>-20393.665189684914</ns0:v>
      </ns0:c>
      <ns0:c r="Y8" s="16">
        <ns0:f>Q8-F8*'前提と出典'!$E$6</ns0:f>
        <ns0:v>-1038.6080773610774</ns0:v>
      </ns0:c>
      <ns0:c r="Z8" s="16">
        <ns0:f>R8-G8*'前提と出典'!$E$6</ns0:f>
        <ns0:v>-23248.265276047485</ns0:v>
      </ns0:c>
      <ns0:c r="AA8" s="7">
        <ns0:f>Y8+Z8</ns0:f>
        <ns0:v>-24286.873353408562</ns0:v>
      </ns0:c>
      <ns0:c r="AB8" s="7">
        <ns0:f>AB7+U8</ns0:f>
        <ns0:v>-135017.54450436487</ns0:v>
      </ns0:c>
      <ns0:c r="AC8" s="7">
        <ns0:f>AC7+X8</ns0:f>
        <ns0:v>-144750.564913674</ns0:v>
      </ns0:c>
      <ns0:c r="AD8" s="7">
        <ns0:f>AD7+AA8</ns0:f>
        <ns0:v>-154483.5853229831</ns0:v>
      </ns0:c>
      <ns0:c r="AE8" s="7">
        <ns0:f>MAX(0,-MIN($AB$5:AB8))</ns0:f>
        <ns0:v>135017.54450436487</ns0:v>
      </ns0:c>
      <ns0:c r="AF8" s="7">
        <ns0:f>MAX(0,-MIN($AC$5:AC8))</ns0:f>
        <ns0:v>144750.564913674</ns0:v>
      </ns0:c>
      <ns0:c r="AG8" s="7">
        <ns0:f>MAX(0,-MIN($AD$5:AD8))</ns0:f>
        <ns0:v>154483.5853229831</ns0:v>
      </ns0:c>
      <ns0:c r="AH8" s="4">
        <ns0:f>IF(U8&gt;=0,A8,37)</ns0:f>
        <ns0:v>37</ns0:v>
      </ns0:c>
      <ns0:c r="AI8" s="4">
        <ns0:f>IF(AB8&gt;=0,A8,37)</ns0:f>
        <ns0:v>37</ns0:v>
      </ns0:c>
      <ns0:c r="AJ8" s="4">
        <ns0:f>IF(X8&gt;=0,A8,37)</ns0:f>
        <ns0:v>37</ns0:v>
      </ns0:c>
      <ns0:c r="AK8" s="4">
        <ns0:f>IF(AC8&gt;=0,A8,37)</ns0:f>
        <ns0:v>37</ns0:v>
      </ns0:c>
      <ns0:c r="AL8" s="4">
        <ns0:f>IF(AA8&gt;=0,A8,37)</ns0:f>
        <ns0:v>37</ns0:v>
      </ns0:c>
      <ns0:c r="AM8" s="4">
        <ns0:f>IF(AD8&gt;=0,A8,37)</ns0:f>
        <ns0:v>37</ns0:v>
      </ns0:c>
    </ns0:row>
    <ns0:row r="9" ht="24" customHeight="1">
      <ns0:c r="A9" s="4" t="n">
        <ns0:v>5</ns0:v>
      </ns0:c>
      <ns0:c r="B9" s="12">
        <ns0:f>B8*(1-'前提と出典'!$B$31)+'前提と出典'!$B$30</ns0:f>
        <ns0:v>15</ns0:v>
      </ns0:c>
      <ns0:c r="C9" s="12">
        <ns0:f>B9*('前提と出典'!$C$36+'前提と出典'!$C$38)</ns0:f>
        <ns0:v>10.5</ns0:v>
      </ns0:c>
      <ns0:c r="D9" s="16">
        <ns0:f>B9*('前提と出典'!$C$37+'前提と出典'!$C$38)</ns0:f>
        <ns0:v>9</ns0:v>
      </ns0:c>
      <ns0:c r="E9" s="16">
        <ns0:f>B9*('前提と出典'!$C$36*'契約別単価'!C5+'前提と出典'!$C$37*'契約別単価'!C6+'前提と出典'!$C$38*'契約別単価'!C7)</ns0:f>
        <ns0:v>107.93296089385476</ns0:v>
      </ns0:c>
      <ns0:c r="F9" s="16">
        <ns0:f>B9*('前提と出典'!$C$36*'契約別単価'!E5+'前提と出典'!$C$37*'契約別単価'!E6+'前提と出典'!$C$38*'契約別単価'!E7)</ns0:f>
        <ns0:v>37708.0938486137</ns0:v>
      </ns0:c>
      <ns0:c r="G9" s="16">
        <ns0:f>B9*('前提と出典'!$C$36*'契約別単価'!F5+'前提と出典'!$C$37*'契約別単価'!F6+'前提と出典'!$C$38*'契約別単価'!F7)</ns0:f>
        <ns0:v>10957.008197931873</ns0:v>
      </ns0:c>
      <ns0:c r="H9" s="16">
        <ns0:f>B9*('前提と出典'!$C$36*'契約別単価'!G5+'前提と出典'!$C$37*'契約別単価'!G6+'前提と出典'!$C$38*'契約別単価'!G7)</ns0:f>
        <ns0:v>29857.54189944134</ns0:v>
      </ns0:c>
      <ns0:c r="I9" s="16">
        <ns0:f>B9*('前提と出典'!$C$36*'契約別単価'!H5+'前提と出典'!$C$37*'契約別単価'!H6+'前提と出典'!$C$38*'契約別単価'!H7)</ns0:f>
        <ns0:v>10362.064512506666</ns0:v>
      </ns0:c>
      <ns0:c r="J9" s="16">
        <ns0:f>B9*('前提と出典'!$C$36*'契約別単価'!I5+'前提と出典'!$C$37*'契約別単価'!I6+'前提と出典'!$C$38*'契約別単価'!I7)</ns0:f>
        <ns0:v>632.9329608938547</ns0:v>
      </ns0:c>
      <ns0:c r="K9" s="16">
        <ns0:f>B9*('前提と出典'!$C$36*'契約別単価'!J5+'前提と出典'!$C$37*'契約別単価'!J6+'前提と出典'!$C$38*'契約別単価'!J7)</ns0:f>
        <ns0:v>1474.3431556545386</ns0:v>
      </ns0:c>
      <ns0:c r="L9" s="16">
        <ns0:f>B9*('前提と出典'!$C$36*'契約別単価'!K5+'前提と出典'!$C$37*'契約別単価'!K6+'前提と出典'!$C$38*'契約別単価'!K7)</ns0:f>
        <ns0:v>6319.5530726256975</ns0:v>
      </ns0:c>
      <ns0:c r="M9" s="16">
        <ns0:f>B9*('前提と出典'!$C$36*'契約別単価'!L5+'前提と出典'!$C$37*'契約別単価'!L6+'前提と出典'!$C$38*'契約別単価'!L7)</ns0:f>
        <ns0:v>5145.402150416889</ns0:v>
      </ns0:c>
      <ns0:c r="N9" s="16">
        <ns0:f>IF(('前提と出典'!$C$36+'前提と出典'!$C$38)=0,0,IF(C9&lt;=10,'前提と出典'!B73+'前提と出典'!C73,IF(C9&lt;=100,'前提と出典'!B74+'前提と出典'!C74,IF(C9&lt;=500,'前提と出典'!B75+'前提と出典'!C75,'前提と出典'!B76+'前提と出典'!C76))))</ns0:f>
        <ns0:v>20000</ns0:v>
      </ns0:c>
      <ns0:c r="O9" s="16">
        <ns0:f>IF(('前提と出典'!$C$37+'前提と出典'!$C$38)=0,0,IF(D9&lt;=10,'前提と出典'!D73+'前提と出典'!E73,IF(D9&lt;=100,'前提と出典'!D74+'前提と出典'!E74,IF(D9&lt;=500,'前提と出典'!D75+'前提と出典'!E75,'前提と出典'!D76+'前提と出典'!E76))))</ns0:f>
        <ns0:v>30010.934626307797</ns0:v>
      </ns0:c>
      <ns0:c r="P9" s="16">
        <ns0:f>IF('前提と出典'!$C$36+'前提と出典'!$C$38=0,0,'前提と出典'!$B$4*IF('前提と出典'!$B$20=0,MAX('前提と出典'!$B$6,E9*'前提と出典'!$B$5),'前提と出典'!$B$6+E9*'前提と出典'!$B$5))</ns0:f>
        <ns0:v>22500</ns0:v>
      </ns0:c>
      <ns0:c r="Q9" s="16">
        <ns0:f>(F9+H9)*(1-'前提と出典'!$B$7)-J9-L9-N9-P9</ns0:f>
        <ns0:v>15680.786827605503</ns0:v>
      </ns0:c>
      <ns0:c r="R9" s="16">
        <ns0:f>(G9+I9)*(1-'前提と出典'!$B$7)-K9-M9-O9</ns0:f>
        <ns0:v>-16079.093839516474</ns0:v>
      </ns0:c>
      <ns0:c r="S9" s="16">
        <ns0:f>Q9-F9*'前提と出典'!$E$4</ns0:f>
        <ns0:v>4368.358673021394</ns0:v>
      </ns0:c>
      <ns0:c r="T9" s="16">
        <ns0:f>R9-G9*'前提と出典'!$E$4</ns0:f>
        <ns0:v>-19366.196298896037</ns0:v>
      </ns0:c>
      <ns0:c r="U9" s="7">
        <ns0:f>S9+T9</ns0:f>
        <ns0:v>-14997.837625874643</ns0:v>
      </ns0:c>
      <ns0:c r="V9" s="16">
        <ns0:f>Q9-F9*'前提と出典'!$E$5</ns0:f>
        <ns0:v>597.5492881600221</ns0:v>
      </ns0:c>
      <ns0:c r="W9" s="16">
        <ns0:f>R9-G9*'前提と出典'!$E$5</ns0:f>
        <ns0:v>-20461.897118689223</ns0:v>
      </ns0:c>
      <ns0:c r="X9" s="7">
        <ns0:f>V9+W9</ns0:f>
        <ns0:v>-19864.3478305292</ns0:v>
      </ns0:c>
      <ns0:c r="Y9" s="16">
        <ns0:f>Q9-F9*'前提と出典'!$E$6</ns0:f>
        <ns0:v>-3173.2600967013495</ns0:v>
      </ns0:c>
      <ns0:c r="Z9" s="16">
        <ns0:f>R9-G9*'前提と出典'!$E$6</ns0:f>
        <ns0:v>-21557.59793848241</ns0:v>
      </ns0:c>
      <ns0:c r="AA9" s="7">
        <ns0:f>Y9+Z9</ns0:f>
        <ns0:v>-24730.85803518376</ns0:v>
      </ns0:c>
      <ns0:c r="AB9" s="7">
        <ns0:f>AB8+U9</ns0:f>
        <ns0:v>-150015.3821302395</ns0:v>
      </ns0:c>
      <ns0:c r="AC9" s="7">
        <ns0:f>AC8+X9</ns0:f>
        <ns0:v>-164614.9127442032</ns0:v>
      </ns0:c>
      <ns0:c r="AD9" s="7">
        <ns0:f>AD8+AA9</ns0:f>
        <ns0:v>-179214.44335816684</ns0:v>
      </ns0:c>
      <ns0:c r="AE9" s="7">
        <ns0:f>MAX(0,-MIN($AB$5:AB9))</ns0:f>
        <ns0:v>150015.3821302395</ns0:v>
      </ns0:c>
      <ns0:c r="AF9" s="7">
        <ns0:f>MAX(0,-MIN($AC$5:AC9))</ns0:f>
        <ns0:v>164614.9127442032</ns0:v>
      </ns0:c>
      <ns0:c r="AG9" s="7">
        <ns0:f>MAX(0,-MIN($AD$5:AD9))</ns0:f>
        <ns0:v>179214.44335816684</ns0:v>
      </ns0:c>
      <ns0:c r="AH9" s="4">
        <ns0:f>IF(U9&gt;=0,A9,37)</ns0:f>
        <ns0:v>37</ns0:v>
      </ns0:c>
      <ns0:c r="AI9" s="4">
        <ns0:f>IF(AB9&gt;=0,A9,37)</ns0:f>
        <ns0:v>37</ns0:v>
      </ns0:c>
      <ns0:c r="AJ9" s="4">
        <ns0:f>IF(X9&gt;=0,A9,37)</ns0:f>
        <ns0:v>37</ns0:v>
      </ns0:c>
      <ns0:c r="AK9" s="4">
        <ns0:f>IF(AC9&gt;=0,A9,37)</ns0:f>
        <ns0:v>37</ns0:v>
      </ns0:c>
      <ns0:c r="AL9" s="4">
        <ns0:f>IF(AA9&gt;=0,A9,37)</ns0:f>
        <ns0:v>37</ns0:v>
      </ns0:c>
      <ns0:c r="AM9" s="4">
        <ns0:f>IF(AD9&gt;=0,A9,37)</ns0:f>
        <ns0:v>37</ns0:v>
      </ns0:c>
    </ns0:row>
    <ns0:row r="10" ht="24" customHeight="1">
      <ns0:c r="A10" s="4" t="n">
        <ns0:v>6</ns0:v>
      </ns0:c>
      <ns0:c r="B10" s="12">
        <ns0:f>B9*(1-'前提と出典'!$B$31)+'前提と出典'!$B$30</ns0:f>
        <ns0:v>18</ns0:v>
      </ns0:c>
      <ns0:c r="C10" s="12">
        <ns0:f>B10*('前提と出典'!$C$36+'前提と出典'!$C$38)</ns0:f>
        <ns0:v>12.6</ns0:v>
      </ns0:c>
      <ns0:c r="D10" s="16">
        <ns0:f>B10*('前提と出典'!$C$37+'前提と出典'!$C$38)</ns0:f>
        <ns0:v>10.799999999999999</ns0:v>
      </ns0:c>
      <ns0:c r="E10" s="16">
        <ns0:f>B10*('前提と出典'!$C$36*'契約別単価'!C5+'前提と出典'!$C$37*'契約別単価'!C6+'前提と出典'!$C$38*'契約別単価'!C7)</ns0:f>
        <ns0:v>129.51955307262568</ns0:v>
      </ns0:c>
      <ns0:c r="F10" s="16">
        <ns0:f>B10*('前提と出典'!$C$36*'契約別単価'!E5+'前提と出典'!$C$37*'契約別単価'!E6+'前提と出典'!$C$38*'契約別単価'!E7)</ns0:f>
        <ns0:v>45249.71261833644</ns0:v>
      </ns0:c>
      <ns0:c r="G10" s="16">
        <ns0:f>B10*('前提と出典'!$C$36*'契約別単価'!F5+'前提と出典'!$C$37*'契約別単価'!F6+'前提と出典'!$C$38*'契約別単価'!F7)</ns0:f>
        <ns0:v>13148.409837518248</ns0:v>
      </ns0:c>
      <ns0:c r="H10" s="16">
        <ns0:f>B10*('前提と出典'!$C$36*'契約別単価'!G5+'前提と出典'!$C$37*'契約別単価'!G6+'前提と出典'!$C$38*'契約別単価'!G7)</ns0:f>
        <ns0:v>35829.050279329604</ns0:v>
      </ns0:c>
      <ns0:c r="I10" s="16">
        <ns0:f>B10*('前提と出典'!$C$36*'契約別単価'!H5+'前提と出典'!$C$37*'契約別単価'!H6+'前提と出典'!$C$38*'契約別単価'!H7)</ns0:f>
        <ns0:v>12434.477415007997</ns0:v>
      </ns0:c>
      <ns0:c r="J10" s="16">
        <ns0:f>B10*('前提と出典'!$C$36*'契約別単価'!I5+'前提と出典'!$C$37*'契約別単価'!I6+'前提と出典'!$C$38*'契約別単価'!I7)</ns0:f>
        <ns0:v>759.5195530726255</ns0:v>
      </ns0:c>
      <ns0:c r="K10" s="16">
        <ns0:f>B10*('前提と出典'!$C$36*'契約別単価'!J5+'前提と出典'!$C$37*'契約別単価'!J6+'前提と出典'!$C$38*'契約別単価'!J7)</ns0:f>
        <ns0:v>1769.2117867854463</ns0:v>
      </ns0:c>
      <ns0:c r="L10" s="16">
        <ns0:f>B10*('前提と出典'!$C$36*'契約別単価'!K5+'前提と出典'!$C$37*'契約別単価'!K6+'前提と出典'!$C$38*'契約別単価'!K7)</ns0:f>
        <ns0:v>7583.463687150837</ns0:v>
      </ns0:c>
      <ns0:c r="M10" s="16">
        <ns0:f>B10*('前提と出典'!$C$36*'契約別単価'!L5+'前提と出典'!$C$37*'契約別単価'!L6+'前提と出典'!$C$38*'契約別単価'!L7)</ns0:f>
        <ns0:v>6174.4825805002665</ns0:v>
      </ns0:c>
      <ns0:c r="N10" s="16">
        <ns0:f>IF(('前提と出典'!$C$36+'前提と出典'!$C$38)=0,0,IF(C10&lt;=10,'前提と出典'!B73+'前提と出典'!C73,IF(C10&lt;=100,'前提と出典'!B74+'前提と出典'!C74,IF(C10&lt;=500,'前提と出典'!B75+'前提と出典'!C75,'前提と出典'!B76+'前提と出典'!C76))))</ns0:f>
        <ns0:v>20000</ns0:v>
      </ns0:c>
      <ns0:c r="O10" s="16">
        <ns0:f>IF(('前提と出典'!$C$37+'前提と出典'!$C$38)=0,0,IF(D10&lt;=10,'前提と出典'!D73+'前提と出典'!E73,IF(D10&lt;=100,'前提と出典'!D74+'前提と出典'!E74,IF(D10&lt;=500,'前提と出典'!D75+'前提と出典'!E75,'前提と出典'!D76+'前提と出典'!E76))))</ns0:f>
        <ns0:v>34510.9346263078</ns0:v>
      </ns0:c>
      <ns0:c r="P10" s="16">
        <ns0:f>IF('前提と出典'!$C$36+'前提と出典'!$C$38=0,0,'前提と出典'!$B$4*IF('前提と出典'!$B$20=0,MAX('前提と出典'!$B$6,E10*'前提と出典'!$B$5),'前提と出典'!$B$6+E10*'前提と出典'!$B$5))</ns0:f>
        <ns0:v>22500</ns0:v>
      </ns0:c>
      <ns0:c r="Q10" s="16">
        <ns0:f>(F10+H10)*(1-'前提と出典'!$B$7)-J10-L10-N10-P10</ns0:f>
        <ns0:v>27316.9441931266</ns0:v>
      </ns0:c>
      <ns0:c r="R10" s="16">
        <ns0:f>(G10+I10)*(1-'前提と出典'!$B$7)-K10-M10-O10</ns0:f>
        <ns0:v>-17792.72568215821</ns0:v>
      </ns0:c>
      <ns0:c r="S10" s="16">
        <ns0:f>Q10-F10*'前提と出典'!$E$4</ns0:f>
        <ns0:v>13742.030407625673</ns0:v>
      </ns0:c>
      <ns0:c r="T10" s="16">
        <ns0:f>R10-G10*'前提と出典'!$E$4</ns0:f>
        <ns0:v>-21737.248633413685</ns0:v>
      </ns0:c>
      <ns0:c r="U10" s="7">
        <ns0:f>S10+T10</ns0:f>
        <ns0:v>-7995.218225788012</ns0:v>
      </ns0:c>
      <ns0:c r="V10" s="16">
        <ns0:f>Q10-F10*'前提と出典'!$E$5</ns0:f>
        <ns0:v>9217.059145792024</ns0:v>
      </ns0:c>
      <ns0:c r="W10" s="16">
        <ns0:f>R10-G10*'前提と出典'!$E$5</ns0:f>
        <ns0:v>-23052.089617165508</ns0:v>
      </ns0:c>
      <ns0:c r="X10" s="7">
        <ns0:f>V10+W10</ns0:f>
        <ns0:v>-13835.030471373484</ns0:v>
      </ns0:c>
      <ns0:c r="Y10" s="16">
        <ns0:f>Q10-F10*'前提と出典'!$E$6</ns0:f>
        <ns0:v>4692.087883958389</ns0:v>
      </ns0:c>
      <ns0:c r="Z10" s="16">
        <ns0:f>R10-G10*'前提と出典'!$E$6</ns0:f>
        <ns0:v>-24366.93060091733</ns0:v>
      </ns0:c>
      <ns0:c r="AA10" s="7">
        <ns0:f>Y10+Z10</ns0:f>
        <ns0:v>-19674.84271695894</ns0:v>
      </ns0:c>
      <ns0:c r="AB10" s="7">
        <ns0:f>AB9+U10</ns0:f>
        <ns0:v>-158010.6003560275</ns0:v>
      </ns0:c>
      <ns0:c r="AC10" s="7">
        <ns0:f>AC9+X10</ns0:f>
        <ns0:v>-178449.9432155767</ns0:v>
      </ns0:c>
      <ns0:c r="AD10" s="7">
        <ns0:f>AD9+AA10</ns0:f>
        <ns0:v>-198889.2860751258</ns0:v>
      </ns0:c>
      <ns0:c r="AE10" s="7">
        <ns0:f>MAX(0,-MIN($AB$5:AB10))</ns0:f>
        <ns0:v>158010.6003560275</ns0:v>
      </ns0:c>
      <ns0:c r="AF10" s="7">
        <ns0:f>MAX(0,-MIN($AC$5:AC10))</ns0:f>
        <ns0:v>178449.9432155767</ns0:v>
      </ns0:c>
      <ns0:c r="AG10" s="7">
        <ns0:f>MAX(0,-MIN($AD$5:AD10))</ns0:f>
        <ns0:v>198889.2860751258</ns0:v>
      </ns0:c>
      <ns0:c r="AH10" s="4">
        <ns0:f>IF(U10&gt;=0,A10,37)</ns0:f>
        <ns0:v>37</ns0:v>
      </ns0:c>
      <ns0:c r="AI10" s="4">
        <ns0:f>IF(AB10&gt;=0,A10,37)</ns0:f>
        <ns0:v>37</ns0:v>
      </ns0:c>
      <ns0:c r="AJ10" s="4">
        <ns0:f>IF(X10&gt;=0,A10,37)</ns0:f>
        <ns0:v>37</ns0:v>
      </ns0:c>
      <ns0:c r="AK10" s="4">
        <ns0:f>IF(AC10&gt;=0,A10,37)</ns0:f>
        <ns0:v>37</ns0:v>
      </ns0:c>
      <ns0:c r="AL10" s="4">
        <ns0:f>IF(AA10&gt;=0,A10,37)</ns0:f>
        <ns0:v>37</ns0:v>
      </ns0:c>
      <ns0:c r="AM10" s="4">
        <ns0:f>IF(AD10&gt;=0,A10,37)</ns0:f>
        <ns0:v>37</ns0:v>
      </ns0:c>
    </ns0:row>
    <ns0:row r="11" ht="24" customHeight="1">
      <ns0:c r="A11" s="4" t="n">
        <ns0:v>7</ns0:v>
      </ns0:c>
      <ns0:c r="B11" s="12">
        <ns0:f>B10*(1-'前提と出典'!$B$31)+'前提と出典'!$B$30</ns0:f>
        <ns0:v>21</ns0:v>
      </ns0:c>
      <ns0:c r="C11" s="12">
        <ns0:f>B11*('前提と出典'!$C$36+'前提と出典'!$C$38)</ns0:f>
        <ns0:v>14.7</ns0:v>
      </ns0:c>
      <ns0:c r="D11" s="16">
        <ns0:f>B11*('前提と出典'!$C$37+'前提と出典'!$C$38)</ns0:f>
        <ns0:v>12.6</ns0:v>
      </ns0:c>
      <ns0:c r="E11" s="16">
        <ns0:f>B11*('前提と出典'!$C$36*'契約別単価'!C5+'前提と出典'!$C$37*'契約別単価'!C6+'前提と出典'!$C$38*'契約別単価'!C7)</ns0:f>
        <ns0:v>151.10614525139664</ns0:v>
      </ns0:c>
      <ns0:c r="F11" s="16">
        <ns0:f>B11*('前提と出典'!$C$36*'契約別単価'!E5+'前提と出典'!$C$37*'契約別単価'!E6+'前提と出典'!$C$38*'契約別単価'!E7)</ns0:f>
        <ns0:v>52791.331388059174</ns0:v>
      </ns0:c>
      <ns0:c r="G11" s="16">
        <ns0:f>B11*('前提と出典'!$C$36*'契約別単価'!F5+'前提と出典'!$C$37*'契約別単価'!F6+'前提と出典'!$C$38*'契約別単価'!F7)</ns0:f>
        <ns0:v>15339.811477104622</ns0:v>
      </ns0:c>
      <ns0:c r="H11" s="16">
        <ns0:f>B11*('前提と出典'!$C$36*'契約別単価'!G5+'前提と出典'!$C$37*'契約別単価'!G6+'前提と出典'!$C$38*'契約別単価'!G7)</ns0:f>
        <ns0:v>41800.55865921787</ns0:v>
      </ns0:c>
      <ns0:c r="I11" s="16">
        <ns0:f>B11*('前提と出典'!$C$36*'契約別単価'!H5+'前提と出典'!$C$37*'契約別単価'!H6+'前提と出典'!$C$38*'契約別単価'!H7)</ns0:f>
        <ns0:v>14506.890317509331</ns0:v>
      </ns0:c>
      <ns0:c r="J11" s="16">
        <ns0:f>B11*('前提と出典'!$C$36*'契約別単価'!I5+'前提と出典'!$C$37*'契約別単価'!I6+'前提と出典'!$C$38*'契約別単価'!I7)</ns0:f>
        <ns0:v>886.1061452513965</ns0:v>
      </ns0:c>
      <ns0:c r="K11" s="16">
        <ns0:f>B11*('前提と出典'!$C$36*'契約別単価'!J5+'前提と出典'!$C$37*'契約別単価'!J6+'前提と出典'!$C$38*'契約別単価'!J7)</ns0:f>
        <ns0:v>2064.080417916354</ns0:v>
      </ns0:c>
      <ns0:c r="L11" s="16">
        <ns0:f>B11*('前提と出典'!$C$36*'契約別単価'!K5+'前提と出典'!$C$37*'契約別単価'!K6+'前提と出典'!$C$38*'契約別単価'!K7)</ns0:f>
        <ns0:v>8847.374301675976</ns0:v>
      </ns0:c>
      <ns0:c r="M11" s="16">
        <ns0:f>B11*('前提と出典'!$C$36*'契約別単価'!L5+'前提と出典'!$C$37*'契約別単価'!L6+'前提と出典'!$C$38*'契約別単価'!L7)</ns0:f>
        <ns0:v>7203.563010583644</ns0:v>
      </ns0:c>
      <ns0:c r="N11" s="16">
        <ns0:f>IF(('前提と出典'!$C$36+'前提と出典'!$C$38)=0,0,IF(C11&lt;=10,'前提と出典'!B73+'前提と出典'!C73,IF(C11&lt;=100,'前提と出典'!B74+'前提と出典'!C74,IF(C11&lt;=500,'前提と出典'!B75+'前提と出典'!C75,'前提と出典'!B76+'前提と出典'!C76))))</ns0:f>
        <ns0:v>20000</ns0:v>
      </ns0:c>
      <ns0:c r="O11" s="16">
        <ns0:f>IF(('前提と出典'!$C$37+'前提と出典'!$C$38)=0,0,IF(D11&lt;=10,'前提と出典'!D73+'前提と出典'!E73,IF(D11&lt;=100,'前提と出典'!D74+'前提と出典'!E74,IF(D11&lt;=500,'前提と出典'!D75+'前提と出典'!E75,'前提と出典'!D76+'前提と出典'!E76))))</ns0:f>
        <ns0:v>34510.9346263078</ns0:v>
      </ns0:c>
      <ns0:c r="P11" s="16">
        <ns0:f>IF('前提と出典'!$C$36+'前提と出典'!$C$38=0,0,'前提と出典'!$B$4*IF('前提と出典'!$B$20=0,MAX('前提と出典'!$B$6,E11*'前提と出典'!$B$5),'前提と出典'!$B$6+E11*'前提と出典'!$B$5))</ns0:f>
        <ns0:v>22500</ns0:v>
      </ns0:c>
      <ns0:c r="Q11" s="16">
        <ns0:f>(F11+H11)*(1-'前提と出典'!$B$7)-J11-L11-N11-P11</ns0:f>
        <ns0:v>38953.1015586477</ns0:v>
      </ns0:c>
      <ns0:c r="R11" s="16">
        <ns0:f>(G11+I11)*(1-'前提と出典'!$B$7)-K11-M11-O11</ns0:f>
        <ns0:v>-15006.357524799943</ns0:v>
      </ns0:c>
      <ns0:c r="S11" s="16">
        <ns0:f>Q11-F11*'前提と出典'!$E$4</ns0:f>
        <ns0:v>23115.702142229944</ns0:v>
      </ns0:c>
      <ns0:c r="T11" s="16">
        <ns0:f>R11-G11*'前提と出典'!$E$4</ns0:f>
        <ns0:v>-19608.300967931333</ns0:v>
      </ns0:c>
      <ns0:c r="U11" s="7">
        <ns0:f>S11+T11</ns0:f>
        <ns0:v>3507.4011742986113</ns0:v>
      </ns0:c>
      <ns0:c r="V11" s="16">
        <ns0:f>Q11-F11*'前提と出典'!$E$5</ns0:f>
        <ns0:v>17836.569003424032</ns0:v>
      </ns0:c>
      <ns0:c r="W11" s="16">
        <ns0:f>R11-G11*'前提と出典'!$E$5</ns0:f>
        <ns0:v>-21142.282115641792</ns0:v>
      </ns0:c>
      <ns0:c r="X11" s="7">
        <ns0:f>V11+W11</ns0:f>
        <ns0:v>-3305.7131122177598</ns0:v>
      </ns0:c>
      <ns0:c r="Y11" s="16">
        <ns0:f>Q11-F11*'前提と出典'!$E$6</ns0:f>
        <ns0:v>12557.43586461812</ns0:v>
      </ns0:c>
      <ns0:c r="Z11" s="16">
        <ns0:f>R11-G11*'前提と出典'!$E$6</ns0:f>
        <ns0:v>-22676.26326335226</ns0:v>
      </ns0:c>
      <ns0:c r="AA11" s="7">
        <ns0:f>Y11+Z11</ns0:f>
        <ns0:v>-10118.827398734138</ns0:v>
      </ns0:c>
      <ns0:c r="AB11" s="7">
        <ns0:f>AB10+U11</ns0:f>
        <ns0:v>-154503.1991817289</ns0:v>
      </ns0:c>
      <ns0:c r="AC11" s="7">
        <ns0:f>AC10+X11</ns0:f>
        <ns0:v>-181755.65632779445</ns0:v>
      </ns0:c>
      <ns0:c r="AD11" s="7">
        <ns0:f>AD10+AA11</ns0:f>
        <ns0:v>-209008.11347385994</ns0:v>
      </ns0:c>
      <ns0:c r="AE11" s="7">
        <ns0:f>MAX(0,-MIN($AB$5:AB11))</ns0:f>
        <ns0:v>158010.6003560275</ns0:v>
      </ns0:c>
      <ns0:c r="AF11" s="7">
        <ns0:f>MAX(0,-MIN($AC$5:AC11))</ns0:f>
        <ns0:v>181755.65632779445</ns0:v>
      </ns0:c>
      <ns0:c r="AG11" s="7">
        <ns0:f>MAX(0,-MIN($AD$5:AD11))</ns0:f>
        <ns0:v>209008.11347385994</ns0:v>
      </ns0:c>
      <ns0:c r="AH11" s="4">
        <ns0:f>IF(U11&gt;=0,A11,37)</ns0:f>
        <ns0:v>7</ns0:v>
      </ns0:c>
      <ns0:c r="AI11" s="4">
        <ns0:f>IF(AB11&gt;=0,A11,37)</ns0:f>
        <ns0:v>37</ns0:v>
      </ns0:c>
      <ns0:c r="AJ11" s="4">
        <ns0:f>IF(X11&gt;=0,A11,37)</ns0:f>
        <ns0:v>37</ns0:v>
      </ns0:c>
      <ns0:c r="AK11" s="4">
        <ns0:f>IF(AC11&gt;=0,A11,37)</ns0:f>
        <ns0:v>37</ns0:v>
      </ns0:c>
      <ns0:c r="AL11" s="4">
        <ns0:f>IF(AA11&gt;=0,A11,37)</ns0:f>
        <ns0:v>37</ns0:v>
      </ns0:c>
      <ns0:c r="AM11" s="4">
        <ns0:f>IF(AD11&gt;=0,A11,37)</ns0:f>
        <ns0:v>37</ns0:v>
      </ns0:c>
    </ns0:row>
    <ns0:row r="12" ht="24" customHeight="1">
      <ns0:c r="A12" s="4" t="n">
        <ns0:v>8</ns0:v>
      </ns0:c>
      <ns0:c r="B12" s="12">
        <ns0:f>B11*(1-'前提と出典'!$B$31)+'前提と出典'!$B$30</ns0:f>
        <ns0:v>24</ns0:v>
      </ns0:c>
      <ns0:c r="C12" s="12">
        <ns0:f>B12*('前提と出典'!$C$36+'前提と出典'!$C$38)</ns0:f>
        <ns0:v>16.799999999999997</ns0:v>
      </ns0:c>
      <ns0:c r="D12" s="16">
        <ns0:f>B12*('前提と出典'!$C$37+'前提と出典'!$C$38)</ns0:f>
        <ns0:v>14.399999999999999</ns0:v>
      </ns0:c>
      <ns0:c r="E12" s="16">
        <ns0:f>B12*('前提と出典'!$C$36*'契約別単価'!C5+'前提と出典'!$C$37*'契約別単価'!C6+'前提と出典'!$C$38*'契約別単価'!C7)</ns0:f>
        <ns0:v>172.6927374301676</ns0:v>
      </ns0:c>
      <ns0:c r="F12" s="16">
        <ns0:f>B12*('前提と出典'!$C$36*'契約別単価'!E5+'前提と出典'!$C$37*'契約別単価'!E6+'前提と出典'!$C$38*'契約別単価'!E7)</ns0:f>
        <ns0:v>60332.95015778192</ns0:v>
      </ns0:c>
      <ns0:c r="G12" s="16">
        <ns0:f>B12*('前提と出典'!$C$36*'契約別単価'!F5+'前提と出典'!$C$37*'契約別単価'!F6+'前提と出典'!$C$38*'契約別単価'!F7)</ns0:f>
        <ns0:v>17531.213116690997</ns0:v>
      </ns0:c>
      <ns0:c r="H12" s="16">
        <ns0:f>B12*('前提と出典'!$C$36*'契約別単価'!G5+'前提と出典'!$C$37*'契約別単価'!G6+'前提と出典'!$C$38*'契約別単価'!G7)</ns0:f>
        <ns0:v>47772.06703910614</ns0:v>
      </ns0:c>
      <ns0:c r="I12" s="16">
        <ns0:f>B12*('前提と出典'!$C$36*'契約別単価'!H5+'前提と出典'!$C$37*'契約別単価'!H6+'前提と出典'!$C$38*'契約別単価'!H7)</ns0:f>
        <ns0:v>16579.303220010665</ns0:v>
      </ns0:c>
      <ns0:c r="J12" s="16">
        <ns0:f>B12*('前提と出典'!$C$36*'契約別単価'!I5+'前提と出典'!$C$37*'契約別単価'!I6+'前提と出典'!$C$38*'契約別単価'!I7)</ns0:f>
        <ns0:v>1012.6927374301674</ns0:v>
      </ns0:c>
      <ns0:c r="K12" s="16">
        <ns0:f>B12*('前提と出典'!$C$36*'契約別単価'!J5+'前提と出典'!$C$37*'契約別単価'!J6+'前提と出典'!$C$38*'契約別単価'!J7)</ns0:f>
        <ns0:v>2358.9490490472617</ns0:v>
      </ns0:c>
      <ns0:c r="L12" s="16">
        <ns0:f>B12*('前提と出典'!$C$36*'契約別単価'!K5+'前提と出典'!$C$37*'契約別単価'!K6+'前提と出典'!$C$38*'契約別単価'!K7)</ns0:f>
        <ns0:v>10111.284916201117</ns0:v>
      </ns0:c>
      <ns0:c r="M12" s="16">
        <ns0:f>B12*('前提と出典'!$C$36*'契約別単価'!L5+'前提と出典'!$C$37*'契約別単価'!L6+'前提と出典'!$C$38*'契約別単価'!L7)</ns0:f>
        <ns0:v>8232.643440667021</ns0:v>
      </ns0:c>
      <ns0:c r="N12" s="16">
        <ns0:f>IF(('前提と出典'!$C$36+'前提と出典'!$C$38)=0,0,IF(C12&lt;=10,'前提と出典'!B73+'前提と出典'!C73,IF(C12&lt;=100,'前提と出典'!B74+'前提と出典'!C74,IF(C12&lt;=500,'前提と出典'!B75+'前提と出典'!C75,'前提と出典'!B76+'前提と出典'!C76))))</ns0:f>
        <ns0:v>20000</ns0:v>
      </ns0:c>
      <ns0:c r="O12" s="16">
        <ns0:f>IF(('前提と出典'!$C$37+'前提と出典'!$C$38)=0,0,IF(D12&lt;=10,'前提と出典'!D73+'前提と出典'!E73,IF(D12&lt;=100,'前提と出典'!D74+'前提と出典'!E74,IF(D12&lt;=500,'前提と出典'!D75+'前提と出典'!E75,'前提と出典'!D76+'前提と出典'!E76))))</ns0:f>
        <ns0:v>34510.9346263078</ns0:v>
      </ns0:c>
      <ns0:c r="P12" s="16">
        <ns0:f>IF('前提と出典'!$C$36+'前提と出典'!$C$38=0,0,'前提と出典'!$B$4*IF('前提と出典'!$B$20=0,MAX('前提と出典'!$B$6,E12*'前提と出典'!$B$5),'前提と出典'!$B$6+E12*'前提と出典'!$B$5))</ns0:f>
        <ns0:v>23831.59776536313</ns0:v>
      </ns0:c>
      <ns0:c r="Q12" s="16">
        <ns0:f>(F12+H12)*(1-'前提と出典'!$B$7)-J12-L12-N12-P12</ns0:f>
        <ns0:v>49257.661158805684</ns0:v>
      </ns0:c>
      <ns0:c r="R12" s="16">
        <ns0:f>(G12+I12)*(1-'前提と出典'!$B$7)-K12-M12-O12</ns0:f>
        <ns0:v>-12219.989367441674</ns0:v>
      </ns0:c>
      <ns0:c r="S12" s="16">
        <ns0:f>Q12-F12*'前提と出典'!$E$4</ns0:f>
        <ns0:v>31157.7761114711</ns0:v>
      </ns0:c>
      <ns0:c r="T12" s="16">
        <ns0:f>R12-G12*'前提と出典'!$E$4</ns0:f>
        <ns0:v>-17479.353302448973</ns0:v>
      </ns0:c>
      <ns0:c r="U12" s="7">
        <ns0:f>S12+T12</ns0:f>
        <ns0:v>13678.422809022126</ns0:v>
      </ns0:c>
      <ns0:c r="V12" s="16">
        <ns0:f>Q12-F12*'前提と出典'!$E$5</ns0:f>
        <ns0:v>25124.48109569291</ns0:v>
      </ns0:c>
      <ns0:c r="W12" s="16">
        <ns0:f>R12-G12*'前提と出典'!$E$5</ns0:f>
        <ns0:v>-19232.474614118073</ns0:v>
      </ns0:c>
      <ns0:c r="X12" s="7">
        <ns0:f>V12+W12</ns0:f>
        <ns0:v>5892.006481574837</ns0:v>
      </ns0:c>
      <ns0:c r="Y12" s="16">
        <ns0:f>Q12-F12*'前提と出典'!$E$6</ns0:f>
        <ns0:v>19091.186079914714</ns0:v>
      </ns0:c>
      <ns0:c r="Z12" s="16">
        <ns0:f>R12-G12*'前提と出典'!$E$6</ns0:f>
        <ns0:v>-20985.595925787173</ns0:v>
      </ns0:c>
      <ns0:c r="AA12" s="7">
        <ns0:f>Y12+Z12</ns0:f>
        <ns0:v>-1894.4098458724584</ns0:v>
      </ns0:c>
      <ns0:c r="AB12" s="7">
        <ns0:f>AB11+U12</ns0:f>
        <ns0:v>-140824.77637270678</ns0:v>
      </ns0:c>
      <ns0:c r="AC12" s="7">
        <ns0:f>AC11+X12</ns0:f>
        <ns0:v>-175863.6498462196</ns0:v>
      </ns0:c>
      <ns0:c r="AD12" s="7">
        <ns0:f>AD11+AA12</ns0:f>
        <ns0:v>-210902.5233197324</ns0:v>
      </ns0:c>
      <ns0:c r="AE12" s="7">
        <ns0:f>MAX(0,-MIN($AB$5:AB12))</ns0:f>
        <ns0:v>158010.6003560275</ns0:v>
      </ns0:c>
      <ns0:c r="AF12" s="7">
        <ns0:f>MAX(0,-MIN($AC$5:AC12))</ns0:f>
        <ns0:v>181755.65632779445</ns0:v>
      </ns0:c>
      <ns0:c r="AG12" s="7">
        <ns0:f>MAX(0,-MIN($AD$5:AD12))</ns0:f>
        <ns0:v>210902.5233197324</ns0:v>
      </ns0:c>
      <ns0:c r="AH12" s="4">
        <ns0:f>IF(U12&gt;=0,A12,37)</ns0:f>
        <ns0:v>8</ns0:v>
      </ns0:c>
      <ns0:c r="AI12" s="4">
        <ns0:f>IF(AB12&gt;=0,A12,37)</ns0:f>
        <ns0:v>37</ns0:v>
      </ns0:c>
      <ns0:c r="AJ12" s="4">
        <ns0:f>IF(X12&gt;=0,A12,37)</ns0:f>
        <ns0:v>8</ns0:v>
      </ns0:c>
      <ns0:c r="AK12" s="4">
        <ns0:f>IF(AC12&gt;=0,A12,37)</ns0:f>
        <ns0:v>37</ns0:v>
      </ns0:c>
      <ns0:c r="AL12" s="4">
        <ns0:f>IF(AA12&gt;=0,A12,37)</ns0:f>
        <ns0:v>37</ns0:v>
      </ns0:c>
      <ns0:c r="AM12" s="4">
        <ns0:f>IF(AD12&gt;=0,A12,37)</ns0:f>
        <ns0:v>37</ns0:v>
      </ns0:c>
    </ns0:row>
    <ns0:row r="13" ht="24" customHeight="1">
      <ns0:c r="A13" s="4" t="n">
        <ns0:v>9</ns0:v>
      </ns0:c>
      <ns0:c r="B13" s="12">
        <ns0:f>B12*(1-'前提と出典'!$B$31)+'前提と出典'!$B$30</ns0:f>
        <ns0:v>27</ns0:v>
      </ns0:c>
      <ns0:c r="C13" s="12">
        <ns0:f>B13*('前提と出典'!$C$36+'前提と出典'!$C$38)</ns0:f>
        <ns0:v>18.9</ns0:v>
      </ns0:c>
      <ns0:c r="D13" s="16">
        <ns0:f>B13*('前提と出典'!$C$37+'前提と出典'!$C$38)</ns0:f>
        <ns0:v>16.2</ns0:v>
      </ns0:c>
      <ns0:c r="E13" s="16">
        <ns0:f>B13*('前提と出典'!$C$36*'契約別単価'!C5+'前提と出典'!$C$37*'契約別単価'!C6+'前提と出典'!$C$38*'契約別単価'!C7)</ns0:f>
        <ns0:v>194.27932960893855</ns0:v>
      </ns0:c>
      <ns0:c r="F13" s="16">
        <ns0:f>B13*('前提と出典'!$C$36*'契約別単価'!E5+'前提と出典'!$C$37*'契約別単価'!E6+'前提と出典'!$C$38*'契約別単価'!E7)</ns0:f>
        <ns0:v>67874.56892750466</ns0:v>
      </ns0:c>
      <ns0:c r="G13" s="16">
        <ns0:f>B13*('前提と出典'!$C$36*'契約別単価'!F5+'前提と出典'!$C$37*'契約別単価'!F6+'前提と出典'!$C$38*'契約別単価'!F7)</ns0:f>
        <ns0:v>19722.61475627737</ns0:v>
      </ns0:c>
      <ns0:c r="H13" s="16">
        <ns0:f>B13*('前提と出典'!$C$36*'契約別単価'!G5+'前提と出典'!$C$37*'契約別単価'!G6+'前提と出典'!$C$38*'契約別単価'!G7)</ns0:f>
        <ns0:v>53743.57541899441</ns0:v>
      </ns0:c>
      <ns0:c r="I13" s="16">
        <ns0:f>B13*('前提と出典'!$C$36*'契約別単価'!H5+'前提と出典'!$C$37*'契約別単価'!H6+'前提と出典'!$C$38*'契約別単価'!H7)</ns0:f>
        <ns0:v>18651.716122511996</ns0:v>
      </ns0:c>
      <ns0:c r="J13" s="16">
        <ns0:f>B13*('前提と出典'!$C$36*'契約別単価'!I5+'前提と出典'!$C$37*'契約別単価'!I6+'前提と出典'!$C$38*'契約別単価'!I7)</ns0:f>
        <ns0:v>1139.2793296089383</ns0:v>
      </ns0:c>
      <ns0:c r="K13" s="16">
        <ns0:f>B13*('前提と出典'!$C$36*'契約別単価'!J5+'前提と出典'!$C$37*'契約別単価'!J6+'前提と出典'!$C$38*'契約別単価'!J7)</ns0:f>
        <ns0:v>2653.817680178169</ns0:v>
      </ns0:c>
      <ns0:c r="L13" s="16">
        <ns0:f>B13*('前提と出典'!$C$36*'契約別単価'!K5+'前提と出典'!$C$37*'契約別単価'!K6+'前提と出典'!$C$38*'契約別単価'!K7)</ns0:f>
        <ns0:v>11375.195530726256</ns0:v>
      </ns0:c>
      <ns0:c r="M13" s="16">
        <ns0:f>B13*('前提と出典'!$C$36*'契約別単価'!L5+'前提と出典'!$C$37*'契約別単価'!L6+'前提と出典'!$C$38*'契約別単価'!L7)</ns0:f>
        <ns0:v>9261.7238707504</ns0:v>
      </ns0:c>
      <ns0:c r="N13" s="16">
        <ns0:f>IF(('前提と出典'!$C$36+'前提と出典'!$C$38)=0,0,IF(C13&lt;=10,'前提と出典'!B73+'前提と出典'!C73,IF(C13&lt;=100,'前提と出典'!B74+'前提と出典'!C74,IF(C13&lt;=500,'前提と出典'!B75+'前提と出典'!C75,'前提と出典'!B76+'前提と出典'!C76))))</ns0:f>
        <ns0:v>20000</ns0:v>
      </ns0:c>
      <ns0:c r="O13" s="16">
        <ns0:f>IF(('前提と出典'!$C$37+'前提と出典'!$C$38)=0,0,IF(D13&lt;=10,'前提と出典'!D73+'前提と出典'!E73,IF(D13&lt;=100,'前提と出典'!D74+'前提と出典'!E74,IF(D13&lt;=500,'前提と出典'!D75+'前提と出典'!E75,'前提と出典'!D76+'前提と出典'!E76))))</ns0:f>
        <ns0:v>34510.9346263078</ns0:v>
      </ns0:c>
      <ns0:c r="P13" s="16">
        <ns0:f>IF('前提と出典'!$C$36+'前提と出典'!$C$38=0,0,'前提と出典'!$B$4*IF('前提と出典'!$B$20=0,MAX('前提と出典'!$B$6,E13*'前提と出典'!$B$5),'前提と出典'!$B$6+E13*'前提と出典'!$B$5))</ns0:f>
        <ns0:v>26810.547486033523</ns0:v>
      </ns0:c>
      <ns0:c r="Q13" s="16">
        <ns0:f>(F13+H13)*(1-'前提と出典'!$B$7)-J13-L13-N13-P13</ns0:f>
        <ns0:v>57914.8688036564</ns0:v>
      </ns0:c>
      <ns0:c r="R13" s="16">
        <ns0:f>(G13+I13)*(1-'前提と出典'!$B$7)-K13-M13-O13</ns0:f>
        <ns0:v>-9433.621210083424</ns0:v>
      </ns0:c>
      <ns0:c r="S13" s="16">
        <ns0:f>Q13-F13*'前提と出典'!$E$4</ns0:f>
        <ns0:v>37552.49812540501</ns0:v>
      </ns0:c>
      <ns0:c r="T13" s="16">
        <ns0:f>R13-G13*'前提と出典'!$E$4</ns0:f>
        <ns0:v>-15350.405636966636</ns0:v>
      </ns0:c>
      <ns0:c r="U13" s="7">
        <ns0:f>S13+T13</ns0:f>
        <ns0:v>22202.09248843837</ns0:v>
      </ns0:c>
      <ns0:c r="V13" s="16">
        <ns0:f>Q13-F13*'前提と出典'!$E$5</ns0:f>
        <ns0:v>30765.041232654534</ns0:v>
      </ns0:c>
      <ns0:c r="W13" s="16">
        <ns0:f>R13-G13*'前提と出典'!$E$5</ns0:f>
        <ns0:v>-17322.667112594372</ns0:v>
      </ns0:c>
      <ns0:c r="X13" s="7">
        <ns0:f>V13+W13</ns0:f>
        <ns0:v>13442.374120060162</ns0:v>
      </ns0:c>
      <ns0:c r="Y13" s="16">
        <ns0:f>Q13-F13*'前提と出典'!$E$6</ns0:f>
        <ns0:v>23977.58433990406</ns0:v>
      </ns0:c>
      <ns0:c r="Z13" s="16">
        <ns0:f>R13-G13*'前提と出典'!$E$6</ns0:f>
        <ns0:v>-19294.92858822211</ns0:v>
      </ns0:c>
      <ns0:c r="AA13" s="7">
        <ns0:f>Y13+Z13</ns0:f>
        <ns0:v>4682.655751681952</ns0:v>
      </ns0:c>
      <ns0:c r="AB13" s="7">
        <ns0:f>AB12+U13</ns0:f>
        <ns0:v>-118622.68388426841</ns0:v>
      </ns0:c>
      <ns0:c r="AC13" s="7">
        <ns0:f>AC12+X13</ns0:f>
        <ns0:v>-162421.27572615945</ns0:v>
      </ns0:c>
      <ns0:c r="AD13" s="7">
        <ns0:f>AD12+AA13</ns0:f>
        <ns0:v>-206219.86756805045</ns0:v>
      </ns0:c>
      <ns0:c r="AE13" s="7">
        <ns0:f>MAX(0,-MIN($AB$5:AB13))</ns0:f>
        <ns0:v>158010.6003560275</ns0:v>
      </ns0:c>
      <ns0:c r="AF13" s="7">
        <ns0:f>MAX(0,-MIN($AC$5:AC13))</ns0:f>
        <ns0:v>181755.65632779445</ns0:v>
      </ns0:c>
      <ns0:c r="AG13" s="7">
        <ns0:f>MAX(0,-MIN($AD$5:AD13))</ns0:f>
        <ns0:v>210902.5233197324</ns0:v>
      </ns0:c>
      <ns0:c r="AH13" s="4">
        <ns0:f>IF(U13&gt;=0,A13,37)</ns0:f>
        <ns0:v>9</ns0:v>
      </ns0:c>
      <ns0:c r="AI13" s="4">
        <ns0:f>IF(AB13&gt;=0,A13,37)</ns0:f>
        <ns0:v>37</ns0:v>
      </ns0:c>
      <ns0:c r="AJ13" s="4">
        <ns0:f>IF(X13&gt;=0,A13,37)</ns0:f>
        <ns0:v>9</ns0:v>
      </ns0:c>
      <ns0:c r="AK13" s="4">
        <ns0:f>IF(AC13&gt;=0,A13,37)</ns0:f>
        <ns0:v>37</ns0:v>
      </ns0:c>
      <ns0:c r="AL13" s="4">
        <ns0:f>IF(AA13&gt;=0,A13,37)</ns0:f>
        <ns0:v>9</ns0:v>
      </ns0:c>
      <ns0:c r="AM13" s="4">
        <ns0:f>IF(AD13&gt;=0,A13,37)</ns0:f>
        <ns0:v>37</ns0:v>
      </ns0:c>
    </ns0:row>
    <ns0:row r="14" ht="24" customHeight="1">
      <ns0:c r="A14" s="4" t="n">
        <ns0:v>10</ns0:v>
      </ns0:c>
      <ns0:c r="B14" s="12">
        <ns0:f>B13*(1-'前提と出典'!$B$31)+'前提と出典'!$B$30</ns0:f>
        <ns0:v>30</ns0:v>
      </ns0:c>
      <ns0:c r="C14" s="12">
        <ns0:f>B14*('前提と出典'!$C$36+'前提と出典'!$C$38)</ns0:f>
        <ns0:v>21</ns0:v>
      </ns0:c>
      <ns0:c r="D14" s="16">
        <ns0:f>B14*('前提と出典'!$C$37+'前提と出典'!$C$38)</ns0:f>
        <ns0:v>18</ns0:v>
      </ns0:c>
      <ns0:c r="E14" s="16">
        <ns0:f>B14*('前提と出典'!$C$36*'契約別単価'!C5+'前提と出典'!$C$37*'契約別単価'!C6+'前提と出典'!$C$38*'契約別単価'!C7)</ns0:f>
        <ns0:v>215.8659217877095</ns0:v>
      </ns0:c>
      <ns0:c r="F14" s="16">
        <ns0:f>B14*('前提と出典'!$C$36*'契約別単価'!E5+'前提と出典'!$C$37*'契約別単価'!E6+'前提と出典'!$C$38*'契約別単価'!E7)</ns0:f>
        <ns0:v>75416.1876972274</ns0:v>
      </ns0:c>
      <ns0:c r="G14" s="16">
        <ns0:f>B14*('前提と出典'!$C$36*'契約別単価'!F5+'前提と出典'!$C$37*'契約別単価'!F6+'前提と出典'!$C$38*'契約別単価'!F7)</ns0:f>
        <ns0:v>21914.016395863746</ns0:v>
      </ns0:c>
      <ns0:c r="H14" s="16">
        <ns0:f>B14*('前提と出典'!$C$36*'契約別単価'!G5+'前提と出典'!$C$37*'契約別単価'!G6+'前提と出典'!$C$38*'契約別単価'!G7)</ns0:f>
        <ns0:v>59715.08379888268</ns0:v>
      </ns0:c>
      <ns0:c r="I14" s="16">
        <ns0:f>B14*('前提と出典'!$C$36*'契約別単価'!H5+'前提と出典'!$C$37*'契約別単価'!H6+'前提と出典'!$C$38*'契約別単価'!H7)</ns0:f>
        <ns0:v>20724.12902501333</ns0:v>
      </ns0:c>
      <ns0:c r="J14" s="16">
        <ns0:f>B14*('前提と出典'!$C$36*'契約別単価'!I5+'前提と出典'!$C$37*'契約別単価'!I6+'前提と出典'!$C$38*'契約別単価'!I7)</ns0:f>
        <ns0:v>1265.8659217877093</ns0:v>
      </ns0:c>
      <ns0:c r="K14" s="16">
        <ns0:f>B14*('前提と出典'!$C$36*'契約別単価'!J5+'前提と出典'!$C$37*'契約別単価'!J6+'前提と出典'!$C$38*'契約別単価'!J7)</ns0:f>
        <ns0:v>2948.686311309077</ns0:v>
      </ns0:c>
      <ns0:c r="L14" s="16">
        <ns0:f>B14*('前提と出典'!$C$36*'契約別単価'!K5+'前提と出典'!$C$37*'契約別単価'!K6+'前提と出典'!$C$38*'契約別単価'!K7)</ns0:f>
        <ns0:v>12639.106145251395</ns0:v>
      </ns0:c>
      <ns0:c r="M14" s="16">
        <ns0:f>B14*('前提と出典'!$C$36*'契約別単価'!L5+'前提と出典'!$C$37*'契約別単価'!L6+'前提と出典'!$C$38*'契約別単価'!L7)</ns0:f>
        <ns0:v>10290.804300833777</ns0:v>
      </ns0:c>
      <ns0:c r="N14" s="16">
        <ns0:f>IF(('前提と出典'!$C$36+'前提と出典'!$C$38)=0,0,IF(C14&lt;=10,'前提と出典'!B73+'前提と出典'!C73,IF(C14&lt;=100,'前提と出典'!B74+'前提と出典'!C74,IF(C14&lt;=500,'前提と出典'!B75+'前提と出典'!C75,'前提と出典'!B76+'前提と出典'!C76))))</ns0:f>
        <ns0:v>20000</ns0:v>
      </ns0:c>
      <ns0:c r="O14" s="16">
        <ns0:f>IF(('前提と出典'!$C$37+'前提と出典'!$C$38)=0,0,IF(D14&lt;=10,'前提と出典'!D73+'前提と出典'!E73,IF(D14&lt;=100,'前提と出典'!D74+'前提と出典'!E74,IF(D14&lt;=500,'前提と出典'!D75+'前提と出典'!E75,'前提と出典'!D76+'前提と出典'!E76))))</ns0:f>
        <ns0:v>34510.9346263078</ns0:v>
      </ns0:c>
      <ns0:c r="P14" s="16">
        <ns0:f>IF('前提と出典'!$C$36+'前提と出典'!$C$38=0,0,'前提と出典'!$B$4*IF('前提と出典'!$B$20=0,MAX('前提と出典'!$B$6,E14*'前提と出典'!$B$5),'前提と出典'!$B$6+E14*'前提と出典'!$B$5))</ns0:f>
        <ns0:v>29789.497206703913</ns0:v>
      </ns0:c>
      <ns0:c r="Q14" s="16">
        <ns0:f>(F14+H14)*(1-'前提と出典'!$B$7)-J14-L14-N14-P14</ns0:f>
        <ns0:v>66572.0764485071</ns0:v>
      </ns0:c>
      <ns0:c r="R14" s="16">
        <ns0:f>(G14+I14)*(1-'前提と出典'!$B$7)-K14-M14-O14</ns0:f>
        <ns0:v>-6647.253052725151</ns0:v>
      </ns0:c>
      <ns0:c r="S14" s="16">
        <ns0:f>Q14-F14*'前提と出典'!$E$4</ns0:f>
        <ns0:v>43947.220139338875</ns0:v>
      </ns0:c>
      <ns0:c r="T14" s="16">
        <ns0:f>R14-G14*'前提と出典'!$E$4</ns0:f>
        <ns0:v>-13221.45797148428</ns0:v>
      </ns0:c>
      <ns0:c r="U14" s="7">
        <ns0:f>S14+T14</ns0:f>
        <ns0:v>30725.762167854595</ns0:v>
      </ns0:c>
      <ns0:c r="V14" s="16">
        <ns0:f>Q14-F14*'前提と出典'!$E$5</ns0:f>
        <ns0:v>36405.60136961613</ns0:v>
      </ns0:c>
      <ns0:c r="W14" s="16">
        <ns0:f>R14-G14*'前提と出典'!$E$5</ns0:f>
        <ns0:v>-15412.85961107065</ns0:v>
      </ns0:c>
      <ns0:c r="X14" s="7">
        <ns0:f>V14+W14</ns0:f>
        <ns0:v>20992.741758545482</ns0:v>
      </ns0:c>
      <ns0:c r="Y14" s="16">
        <ns0:f>Q14-F14*'前提と出典'!$E$6</ns0:f>
        <ns0:v>28863.98259989339</ns0:v>
      </ns0:c>
      <ns0:c r="Z14" s="16">
        <ns0:f>R14-G14*'前提と出典'!$E$6</ns0:f>
        <ns0:v>-17604.261250657022</ns0:v>
      </ns0:c>
      <ns0:c r="AA14" s="7">
        <ns0:f>Y14+Z14</ns0:f>
        <ns0:v>11259.721349236366</ns0:v>
      </ns0:c>
      <ns0:c r="AB14" s="7">
        <ns0:f>AB13+U14</ns0:f>
        <ns0:v>-87896.92171641381</ns0:v>
      </ns0:c>
      <ns0:c r="AC14" s="7">
        <ns0:f>AC13+X14</ns0:f>
        <ns0:v>-141428.53396761397</ns0:v>
      </ns0:c>
      <ns0:c r="AD14" s="7">
        <ns0:f>AD13+AA14</ns0:f>
        <ns0:v>-194960.14621881407</ns0:v>
      </ns0:c>
      <ns0:c r="AE14" s="7">
        <ns0:f>MAX(0,-MIN($AB$5:AB14))</ns0:f>
        <ns0:v>158010.6003560275</ns0:v>
      </ns0:c>
      <ns0:c r="AF14" s="7">
        <ns0:f>MAX(0,-MIN($AC$5:AC14))</ns0:f>
        <ns0:v>181755.65632779445</ns0:v>
      </ns0:c>
      <ns0:c r="AG14" s="7">
        <ns0:f>MAX(0,-MIN($AD$5:AD14))</ns0:f>
        <ns0:v>210902.5233197324</ns0:v>
      </ns0:c>
      <ns0:c r="AH14" s="4">
        <ns0:f>IF(U14&gt;=0,A14,37)</ns0:f>
        <ns0:v>10</ns0:v>
      </ns0:c>
      <ns0:c r="AI14" s="4">
        <ns0:f>IF(AB14&gt;=0,A14,37)</ns0:f>
        <ns0:v>37</ns0:v>
      </ns0:c>
      <ns0:c r="AJ14" s="4">
        <ns0:f>IF(X14&gt;=0,A14,37)</ns0:f>
        <ns0:v>10</ns0:v>
      </ns0:c>
      <ns0:c r="AK14" s="4">
        <ns0:f>IF(AC14&gt;=0,A14,37)</ns0:f>
        <ns0:v>37</ns0:v>
      </ns0:c>
      <ns0:c r="AL14" s="4">
        <ns0:f>IF(AA14&gt;=0,A14,37)</ns0:f>
        <ns0:v>10</ns0:v>
      </ns0:c>
      <ns0:c r="AM14" s="4">
        <ns0:f>IF(AD14&gt;=0,A14,37)</ns0:f>
        <ns0:v>37</ns0:v>
      </ns0:c>
    </ns0:row>
    <ns0:row r="15" ht="24" customHeight="1">
      <ns0:c r="A15" s="4" t="n">
        <ns0:v>11</ns0:v>
      </ns0:c>
      <ns0:c r="B15" s="12">
        <ns0:f>B14*(1-'前提と出典'!$B$31)+'前提と出典'!$B$30</ns0:f>
        <ns0:v>33</ns0:v>
      </ns0:c>
      <ns0:c r="C15" s="12">
        <ns0:f>B15*('前提と出典'!$C$36+'前提と出典'!$C$38)</ns0:f>
        <ns0:v>23.099999999999998</ns0:v>
      </ns0:c>
      <ns0:c r="D15" s="16">
        <ns0:f>B15*('前提と出典'!$C$37+'前提と出典'!$C$38)</ns0:f>
        <ns0:v>19.8</ns0:v>
      </ns0:c>
      <ns0:c r="E15" s="16">
        <ns0:f>B15*('前提と出典'!$C$36*'契約別単価'!C5+'前提と出典'!$C$37*'契約別単価'!C6+'前提と出典'!$C$38*'契約別単価'!C7)</ns0:f>
        <ns0:v>237.45251396648044</ns0:v>
      </ns0:c>
      <ns0:c r="F15" s="16">
        <ns0:f>B15*('前提と出典'!$C$36*'契約別単価'!E5+'前提と出典'!$C$37*'契約別単価'!E6+'前提と出典'!$C$38*'契約別単価'!E7)</ns0:f>
        <ns0:v>82957.80646695013</ns0:v>
      </ns0:c>
      <ns0:c r="G15" s="16">
        <ns0:f>B15*('前提と出典'!$C$36*'契約別単価'!F5+'前提と出典'!$C$37*'契約別単価'!F6+'前提と出典'!$C$38*'契約別単価'!F7)</ns0:f>
        <ns0:v>24105.41803545012</ns0:v>
      </ns0:c>
      <ns0:c r="H15" s="16">
        <ns0:f>B15*('前提と出典'!$C$36*'契約別単価'!G5+'前提と出典'!$C$37*'契約別単価'!G6+'前提と出典'!$C$38*'契約別単価'!G7)</ns0:f>
        <ns0:v>65686.59217877095</ns0:v>
      </ns0:c>
      <ns0:c r="I15" s="16">
        <ns0:f>B15*('前提と出典'!$C$36*'契約別単価'!H5+'前提と出典'!$C$37*'契約別単価'!H6+'前提と出典'!$C$38*'契約別単価'!H7)</ns0:f>
        <ns0:v>22796.541927514663</ns0:v>
      </ns0:c>
      <ns0:c r="J15" s="16">
        <ns0:f>B15*('前提と出典'!$C$36*'契約別単価'!I5+'前提と出典'!$C$37*'契約別単価'!I6+'前提と出典'!$C$38*'契約別単価'!I7)</ns0:f>
        <ns0:v>1392.4525139664802</ns0:v>
      </ns0:c>
      <ns0:c r="K15" s="16">
        <ns0:f>B15*('前提と出典'!$C$36*'契約別単価'!J5+'前提と出典'!$C$37*'契約別単価'!J6+'前提と出典'!$C$38*'契約別単価'!J7)</ns0:f>
        <ns0:v>3243.5549424399846</ns0:v>
      </ns0:c>
      <ns0:c r="L15" s="16">
        <ns0:f>B15*('前提と出典'!$C$36*'契約別単価'!K5+'前提と出典'!$C$37*'契約別単価'!K6+'前提と出典'!$C$38*'契約別単価'!K7)</ns0:f>
        <ns0:v>13903.016759776536</ns0:v>
      </ns0:c>
      <ns0:c r="M15" s="16">
        <ns0:f>B15*('前提と出典'!$C$36*'契約別単価'!L5+'前提と出典'!$C$37*'契約別単価'!L6+'前提と出典'!$C$38*'契約別単価'!L7)</ns0:f>
        <ns0:v>11319.884730917154</ns0:v>
      </ns0:c>
      <ns0:c r="N15" s="16">
        <ns0:f>IF(('前提と出典'!$C$36+'前提と出典'!$C$38)=0,0,IF(C15&lt;=10,'前提と出典'!B73+'前提と出典'!C73,IF(C15&lt;=100,'前提と出典'!B74+'前提と出典'!C74,IF(C15&lt;=500,'前提と出典'!B75+'前提と出典'!C75,'前提と出典'!B76+'前提と出典'!C76))))</ns0:f>
        <ns0:v>20000</ns0:v>
      </ns0:c>
      <ns0:c r="O15" s="16">
        <ns0:f>IF(('前提と出典'!$C$37+'前提と出典'!$C$38)=0,0,IF(D15&lt;=10,'前提と出典'!D73+'前提と出典'!E73,IF(D15&lt;=100,'前提と出典'!D74+'前提と出典'!E74,IF(D15&lt;=500,'前提と出典'!D75+'前提と出典'!E75,'前提と出典'!D76+'前提と出典'!E76))))</ns0:f>
        <ns0:v>34510.9346263078</ns0:v>
      </ns0:c>
      <ns0:c r="P15" s="16">
        <ns0:f>IF('前提と出典'!$C$36+'前提と出典'!$C$38=0,0,'前提と出典'!$B$4*IF('前提と出典'!$B$20=0,MAX('前提と出典'!$B$6,E15*'前提と出典'!$B$5),'前提と出典'!$B$6+E15*'前提と出典'!$B$5))</ns0:f>
        <ns0:v>32768.4469273743</ns0:v>
      </ns0:c>
      <ns0:c r="Q15" s="16">
        <ns0:f>(F15+H15)*(1-'前提と出典'!$B$7)-J15-L15-N15-P15</ns0:f>
        <ns0:v>75229.28409335781</ns0:v>
      </ns0:c>
      <ns0:c r="R15" s="16">
        <ns0:f>(G15+I15)*(1-'前提と出典'!$B$7)-K15-M15-O15</ns0:f>
        <ns0:v>-3860.8848953668858</ns0:v>
      </ns0:c>
      <ns0:c r="S15" s="16">
        <ns0:f>Q15-F15*'前提と出典'!$E$4</ns0:f>
        <ns0:v>50341.94215327277</ns0:v>
      </ns0:c>
      <ns0:c r="T15" s="16">
        <ns0:f>R15-G15*'前提と出典'!$E$4</ns0:f>
        <ns0:v>-11092.510306001925</ns0:v>
      </ns0:c>
      <ns0:c r="U15" s="7">
        <ns0:f>S15+T15</ns0:f>
        <ns0:v>39249.43184727085</ns0:v>
      </ns0:c>
      <ns0:c r="V15" s="16">
        <ns0:f>Q15-F15*'前提と出典'!$E$5</ns0:f>
        <ns0:v>42046.16150657776</ns0:v>
      </ns0:c>
      <ns0:c r="W15" s="16">
        <ns0:f>R15-G15*'前提と出典'!$E$5</ns0:f>
        <ns0:v>-13503.052109546934</ns0:v>
      </ns0:c>
      <ns0:c r="X15" s="7">
        <ns0:f>V15+W15</ns0:f>
        <ns0:v>28543.109397030825</ns0:v>
      </ns0:c>
      <ns0:c r="Y15" s="16">
        <ns0:f>Q15-F15*'前提と出典'!$E$6</ns0:f>
        <ns0:v>33750.380859882745</ns0:v>
      </ns0:c>
      <ns0:c r="Z15" s="16">
        <ns0:f>R15-G15*'前提と出典'!$E$6</ns0:f>
        <ns0:v>-15913.59391309194</ns0:v>
      </ns0:c>
      <ns0:c r="AA15" s="7">
        <ns0:f>Y15+Z15</ns0:f>
        <ns0:v>17836.786946790806</ns0:v>
      </ns0:c>
      <ns0:c r="AB15" s="7">
        <ns0:f>AB14+U15</ns0:f>
        <ns0:v>-48647.48986914296</ns0:v>
      </ns0:c>
      <ns0:c r="AC15" s="7">
        <ns0:f>AC14+X15</ns0:f>
        <ns0:v>-112885.42457058314</ns0:v>
      </ns0:c>
      <ns0:c r="AD15" s="7">
        <ns0:f>AD14+AA15</ns0:f>
        <ns0:v>-177123.35927202326</ns0:v>
      </ns0:c>
      <ns0:c r="AE15" s="7">
        <ns0:f>MAX(0,-MIN($AB$5:AB15))</ns0:f>
        <ns0:v>158010.6003560275</ns0:v>
      </ns0:c>
      <ns0:c r="AF15" s="7">
        <ns0:f>MAX(0,-MIN($AC$5:AC15))</ns0:f>
        <ns0:v>181755.65632779445</ns0:v>
      </ns0:c>
      <ns0:c r="AG15" s="7">
        <ns0:f>MAX(0,-MIN($AD$5:AD15))</ns0:f>
        <ns0:v>210902.5233197324</ns0:v>
      </ns0:c>
      <ns0:c r="AH15" s="4">
        <ns0:f>IF(U15&gt;=0,A15,37)</ns0:f>
        <ns0:v>11</ns0:v>
      </ns0:c>
      <ns0:c r="AI15" s="4">
        <ns0:f>IF(AB15&gt;=0,A15,37)</ns0:f>
        <ns0:v>37</ns0:v>
      </ns0:c>
      <ns0:c r="AJ15" s="4">
        <ns0:f>IF(X15&gt;=0,A15,37)</ns0:f>
        <ns0:v>11</ns0:v>
      </ns0:c>
      <ns0:c r="AK15" s="4">
        <ns0:f>IF(AC15&gt;=0,A15,37)</ns0:f>
        <ns0:v>37</ns0:v>
      </ns0:c>
      <ns0:c r="AL15" s="4">
        <ns0:f>IF(AA15&gt;=0,A15,37)</ns0:f>
        <ns0:v>11</ns0:v>
      </ns0:c>
      <ns0:c r="AM15" s="4">
        <ns0:f>IF(AD15&gt;=0,A15,37)</ns0:f>
        <ns0:v>37</ns0:v>
      </ns0:c>
    </ns0:row>
    <ns0:row r="16" ht="24" customHeight="1">
      <ns0:c r="A16" s="4" t="n">
        <ns0:v>12</ns0:v>
      </ns0:c>
      <ns0:c r="B16" s="12">
        <ns0:f>B15*(1-'前提と出典'!$B$31)+'前提と出典'!$B$30</ns0:f>
        <ns0:v>36</ns0:v>
      </ns0:c>
      <ns0:c r="C16" s="12">
        <ns0:f>B16*('前提と出典'!$C$36+'前提と出典'!$C$38)</ns0:f>
        <ns0:v>25.2</ns0:v>
      </ns0:c>
      <ns0:c r="D16" s="16">
        <ns0:f>B16*('前提と出典'!$C$37+'前提と出典'!$C$38)</ns0:f>
        <ns0:v>21.599999999999998</ns0:v>
      </ns0:c>
      <ns0:c r="E16" s="16">
        <ns0:f>B16*('前提と出典'!$C$36*'契約別単価'!C5+'前提と出典'!$C$37*'契約別単価'!C6+'前提と出典'!$C$38*'契約別単価'!C7)</ns0:f>
        <ns0:v>259.03910614525137</ns0:v>
      </ns0:c>
      <ns0:c r="F16" s="16">
        <ns0:f>B16*('前提と出典'!$C$36*'契約別単価'!E5+'前提と出典'!$C$37*'契約別単価'!E6+'前提と出典'!$C$38*'契約別単価'!E7)</ns0:f>
        <ns0:v>90499.42523667288</ns0:v>
      </ns0:c>
      <ns0:c r="G16" s="16">
        <ns0:f>B16*('前提と出典'!$C$36*'契約別単価'!F5+'前提と出典'!$C$37*'契約別単価'!F6+'前提と出典'!$C$38*'契約別単価'!F7)</ns0:f>
        <ns0:v>26296.819675036495</ns0:v>
      </ns0:c>
      <ns0:c r="H16" s="16">
        <ns0:f>B16*('前提と出典'!$C$36*'契約別単価'!G5+'前提と出典'!$C$37*'契約別単価'!G6+'前提と出典'!$C$38*'契約別単価'!G7)</ns0:f>
        <ns0:v>71658.10055865921</ns0:v>
      </ns0:c>
      <ns0:c r="I16" s="16">
        <ns0:f>B16*('前提と出典'!$C$36*'契約別単価'!H5+'前提と出典'!$C$37*'契約別単価'!H6+'前提と出典'!$C$38*'契約別単価'!H7)</ns0:f>
        <ns0:v>24868.954830015995</ns0:v>
      </ns0:c>
      <ns0:c r="J16" s="16">
        <ns0:f>B16*('前提と出典'!$C$36*'契約別単価'!I5+'前提と出典'!$C$37*'契約別単価'!I6+'前提と出典'!$C$38*'契約別単価'!I7)</ns0:f>
        <ns0:v>1519.039106145251</ns0:v>
      </ns0:c>
      <ns0:c r="K16" s="16">
        <ns0:f>B16*('前提と出典'!$C$36*'契約別単価'!J5+'前提と出典'!$C$37*'契約別単価'!J6+'前提と出典'!$C$38*'契約別単価'!J7)</ns0:f>
        <ns0:v>3538.4235735708926</ns0:v>
      </ns0:c>
      <ns0:c r="L16" s="16">
        <ns0:f>B16*('前提と出典'!$C$36*'契約別単価'!K5+'前提と出典'!$C$37*'契約別単価'!K6+'前提と出典'!$C$38*'契約別単価'!K7)</ns0:f>
        <ns0:v>15166.927374301675</ns0:v>
      </ns0:c>
      <ns0:c r="M16" s="16">
        <ns0:f>B16*('前提と出典'!$C$36*'契約別単価'!L5+'前提と出典'!$C$37*'契約別単価'!L6+'前提と出典'!$C$38*'契約別単価'!L7)</ns0:f>
        <ns0:v>12348.965161000533</ns0:v>
      </ns0:c>
      <ns0:c r="N16" s="16">
        <ns0:f>IF(('前提と出典'!$C$36+'前提と出典'!$C$38)=0,0,IF(C16&lt;=10,'前提と出典'!B73+'前提と出典'!C73,IF(C16&lt;=100,'前提と出典'!B74+'前提と出典'!C74,IF(C16&lt;=500,'前提と出典'!B75+'前提と出典'!C75,'前提と出典'!B76+'前提と出典'!C76))))</ns0:f>
        <ns0:v>20000</ns0:v>
      </ns0:c>
      <ns0:c r="O16" s="16">
        <ns0:f>IF(('前提と出典'!$C$37+'前提と出典'!$C$38)=0,0,IF(D16&lt;=10,'前提と出典'!D73+'前提と出典'!E73,IF(D16&lt;=100,'前提と出典'!D74+'前提と出典'!E74,IF(D16&lt;=500,'前提と出典'!D75+'前提と出典'!E75,'前提と出典'!D76+'前提と出典'!E76))))</ns0:f>
        <ns0:v>34510.9346263078</ns0:v>
      </ns0:c>
      <ns0:c r="P16" s="16">
        <ns0:f>IF('前提と出典'!$C$36+'前提と出典'!$C$38=0,0,'前提と出典'!$B$4*IF('前提と出典'!$B$20=0,MAX('前提と出典'!$B$6,E16*'前提と出典'!$B$5),'前提と出典'!$B$6+E16*'前提と出典'!$B$5))</ns0:f>
        <ns0:v>35747.39664804469</ns0:v>
      </ns0:c>
      <ns0:c r="Q16" s="16">
        <ns0:f>(F16+H16)*(1-'前提と出典'!$B$7)-J16-L16-N16-P16</ns0:f>
        <ns0:v>83886.49173820851</ns0:v>
      </ns0:c>
      <ns0:c r="R16" s="16">
        <ns0:f>(G16+I16)*(1-'前提と出典'!$B$7)-K16-M16-O16</ns0:f>
        <ns0:v>-1074.5167380086205</ns0:v>
      </ns0:c>
      <ns0:c r="S16" s="16">
        <ns0:f>Q16-F16*'前提と出典'!$E$4</ns0:f>
        <ns0:v>56736.664167206654</ns0:v>
      </ns0:c>
      <ns0:c r="T16" s="16">
        <ns0:f>R16-G16*'前提と出典'!$E$4</ns0:f>
        <ns0:v>-8963.562640519573</ns0:v>
      </ns0:c>
      <ns0:c r="U16" s="7">
        <ns0:f>S16+T16</ns0:f>
        <ns0:v>47773.10152668708</ns0:v>
      </ns0:c>
      <ns0:c r="V16" s="16">
        <ns0:f>Q16-F16*'前提と出典'!$E$5</ns0:f>
        <ns0:v>47686.72164353936</ns0:v>
      </ns0:c>
      <ns0:c r="W16" s="16">
        <ns0:f>R16-G16*'前提と出典'!$E$5</ns0:f>
        <ns0:v>-11593.244608023218</ns0:v>
      </ns0:c>
      <ns0:c r="X16" s="7">
        <ns0:f>V16+W16</ns0:f>
        <ns0:v>36093.47703551614</ns0:v>
      </ns0:c>
      <ns0:c r="Y16" s="16">
        <ns0:f>Q16-F16*'前提と出典'!$E$6</ns0:f>
        <ns0:v>38636.77911987209</ns0:v>
      </ns0:c>
      <ns0:c r="Z16" s="16">
        <ns0:f>R16-G16*'前提と出典'!$E$6</ns0:f>
        <ns0:v>-14222.926575526864</ns0:v>
      </ns0:c>
      <ns0:c r="AA16" s="7">
        <ns0:f>Y16+Z16</ns0:f>
        <ns0:v>24413.852544345224</ns0:v>
      </ns0:c>
      <ns0:c r="AB16" s="7">
        <ns0:f>AB15+U16</ns0:f>
        <ns0:v>-874.3883424558808</ns0:v>
      </ns0:c>
      <ns0:c r="AC16" s="7">
        <ns0:f>AC15+X16</ns0:f>
        <ns0:v>-76791.94753506701</ns0:v>
      </ns0:c>
      <ns0:c r="AD16" s="7">
        <ns0:f>AD15+AA16</ns0:f>
        <ns0:v>-152709.50672767803</ns0:v>
      </ns0:c>
      <ns0:c r="AE16" s="7">
        <ns0:f>MAX(0,-MIN($AB$5:AB16))</ns0:f>
        <ns0:v>158010.6003560275</ns0:v>
      </ns0:c>
      <ns0:c r="AF16" s="7">
        <ns0:f>MAX(0,-MIN($AC$5:AC16))</ns0:f>
        <ns0:v>181755.65632779445</ns0:v>
      </ns0:c>
      <ns0:c r="AG16" s="7">
        <ns0:f>MAX(0,-MIN($AD$5:AD16))</ns0:f>
        <ns0:v>210902.5233197324</ns0:v>
      </ns0:c>
      <ns0:c r="AH16" s="4">
        <ns0:f>IF(U16&gt;=0,A16,37)</ns0:f>
        <ns0:v>12</ns0:v>
      </ns0:c>
      <ns0:c r="AI16" s="4">
        <ns0:f>IF(AB16&gt;=0,A16,37)</ns0:f>
        <ns0:v>37</ns0:v>
      </ns0:c>
      <ns0:c r="AJ16" s="4">
        <ns0:f>IF(X16&gt;=0,A16,37)</ns0:f>
        <ns0:v>12</ns0:v>
      </ns0:c>
      <ns0:c r="AK16" s="4">
        <ns0:f>IF(AC16&gt;=0,A16,37)</ns0:f>
        <ns0:v>37</ns0:v>
      </ns0:c>
      <ns0:c r="AL16" s="4">
        <ns0:f>IF(AA16&gt;=0,A16,37)</ns0:f>
        <ns0:v>12</ns0:v>
      </ns0:c>
      <ns0:c r="AM16" s="4">
        <ns0:f>IF(AD16&gt;=0,A16,37)</ns0:f>
        <ns0:v>37</ns0:v>
      </ns0:c>
    </ns0:row>
    <ns0:row r="17" ht="24" customHeight="1">
      <ns0:c r="A17" s="4" t="n">
        <ns0:v>13</ns0:v>
      </ns0:c>
      <ns0:c r="B17" s="12">
        <ns0:f>B16*(1-'前提と出典'!$B$31)+'前提と出典'!$B$30</ns0:f>
        <ns0:v>39</ns0:v>
      </ns0:c>
      <ns0:c r="C17" s="12">
        <ns0:f>B17*('前提と出典'!$C$36+'前提と出典'!$C$38)</ns0:f>
        <ns0:v>27.299999999999997</ns0:v>
      </ns0:c>
      <ns0:c r="D17" s="16">
        <ns0:f>B17*('前提と出典'!$C$37+'前提と出典'!$C$38)</ns0:f>
        <ns0:v>23.4</ns0:v>
      </ns0:c>
      <ns0:c r="E17" s="16">
        <ns0:f>B17*('前提と出典'!$C$36*'契約別単価'!C5+'前提と出典'!$C$37*'契約別単価'!C6+'前提と出典'!$C$38*'契約別単価'!C7)</ns0:f>
        <ns0:v>280.6256983240223</ns0:v>
      </ns0:c>
      <ns0:c r="F17" s="16">
        <ns0:f>B17*('前提と出典'!$C$36*'契約別単価'!E5+'前提と出典'!$C$37*'契約別単価'!E6+'前提と出典'!$C$38*'契約別単価'!E7)</ns0:f>
        <ns0:v>98041.04400639562</ns0:v>
      </ns0:c>
      <ns0:c r="G17" s="16">
        <ns0:f>B17*('前提と出典'!$C$36*'契約別単価'!F5+'前提と出典'!$C$37*'契約別単価'!F6+'前提と出典'!$C$38*'契約別単価'!F7)</ns0:f>
        <ns0:v>28488.221314622868</ns0:v>
      </ns0:c>
      <ns0:c r="H17" s="16">
        <ns0:f>B17*('前提と出典'!$C$36*'契約別単価'!G5+'前提と出典'!$C$37*'契約別単価'!G6+'前提と出典'!$C$38*'契約別単価'!G7)</ns0:f>
        <ns0:v>77629.60893854748</ns0:v>
      </ns0:c>
      <ns0:c r="I17" s="16">
        <ns0:f>B17*('前提と出典'!$C$36*'契約別単価'!H5+'前提と出典'!$C$37*'契約別単価'!H6+'前提と出典'!$C$38*'契約別単価'!H7)</ns0:f>
        <ns0:v>26941.36773251733</ns0:v>
      </ns0:c>
      <ns0:c r="J17" s="16">
        <ns0:f>B17*('前提と出典'!$C$36*'契約別単価'!I5+'前提と出典'!$C$37*'契約別単価'!I6+'前提と出典'!$C$38*'契約別単価'!I7)</ns0:f>
        <ns0:v>1645.625698324022</ns0:v>
      </ns0:c>
      <ns0:c r="K17" s="16">
        <ns0:f>B17*('前提と出典'!$C$36*'契約別単価'!J5+'前提と出典'!$C$37*'契約別単価'!J6+'前提と出典'!$C$38*'契約別単価'!J7)</ns0:f>
        <ns0:v>3833.2922047018</ns0:v>
      </ns0:c>
      <ns0:c r="L17" s="16">
        <ns0:f>B17*('前提と出典'!$C$36*'契約別単価'!K5+'前提と出典'!$C$37*'契約別単価'!K6+'前提と出典'!$C$38*'契約別単価'!K7)</ns0:f>
        <ns0:v>16430.837988826814</ns0:v>
      </ns0:c>
      <ns0:c r="M17" s="16">
        <ns0:f>B17*('前提と出典'!$C$36*'契約別単価'!L5+'前提と出典'!$C$37*'契約別単価'!L6+'前提と出典'!$C$38*'契約別単価'!L7)</ns0:f>
        <ns0:v>13378.04559108391</ns0:v>
      </ns0:c>
      <ns0:c r="N17" s="16">
        <ns0:f>IF(('前提と出典'!$C$36+'前提と出典'!$C$38)=0,0,IF(C17&lt;=10,'前提と出典'!B73+'前提と出典'!C73,IF(C17&lt;=100,'前提と出典'!B74+'前提と出典'!C74,IF(C17&lt;=500,'前提と出典'!B75+'前提と出典'!C75,'前提と出典'!B76+'前提と出典'!C76))))</ns0:f>
        <ns0:v>20000</ns0:v>
      </ns0:c>
      <ns0:c r="O17" s="16">
        <ns0:f>IF(('前提と出典'!$C$37+'前提と出典'!$C$38)=0,0,IF(D17&lt;=10,'前提と出典'!D73+'前提と出典'!E73,IF(D17&lt;=100,'前提と出典'!D74+'前提と出典'!E74,IF(D17&lt;=500,'前提と出典'!D75+'前提と出典'!E75,'前提と出典'!D76+'前提と出典'!E76))))</ns0:f>
        <ns0:v>34510.9346263078</ns0:v>
      </ns0:c>
      <ns0:c r="P17" s="16">
        <ns0:f>IF('前提と出典'!$C$36+'前提と出典'!$C$38=0,0,'前提と出典'!$B$4*IF('前提と出典'!$B$20=0,MAX('前提と出典'!$B$6,E17*'前提と出典'!$B$5),'前提と出典'!$B$6+E17*'前提と出典'!$B$5))</ns0:f>
        <ns0:v>38726.34636871508</ns0:v>
      </ns0:c>
      <ns0:c r="Q17" s="16">
        <ns0:f>(F17+H17)*(1-'前提と出典'!$B$7)-J17-L17-N17-P17</ns0:f>
        <ns0:v>92543.69938305925</ns0:v>
      </ns0:c>
      <ns0:c r="R17" s="16">
        <ns0:f>(G17+I17)*(1-'前提と出典'!$B$7)-K17-M17-O17</ns0:f>
        <ns0:v>1711.8514193496485</ns0:v>
      </ns0:c>
      <ns0:c r="S17" s="16">
        <ns0:f>Q17-F17*'前提と出典'!$E$4</ns0:f>
        <ns0:v>63131.386181140566</ns0:v>
      </ns0:c>
      <ns0:c r="T17" s="16">
        <ns0:f>R17-G17*'前提と出典'!$E$4</ns0:f>
        <ns0:v>-6834.614975037213</ns0:v>
      </ns0:c>
      <ns0:c r="U17" s="7">
        <ns0:f>S17+T17</ns0:f>
        <ns0:v>56296.77120610335</ns0:v>
      </ns0:c>
      <ns0:c r="V17" s="16">
        <ns0:f>Q17-F17*'前提と出典'!$E$5</ns0:f>
        <ns0:v>53327.28178050101</ns0:v>
      </ns0:c>
      <ns0:c r="W17" s="16">
        <ns0:f>R17-G17*'前提と出典'!$E$5</ns0:f>
        <ns0:v>-9683.4371064995</ns0:v>
      </ns0:c>
      <ns0:c r="X17" s="7">
        <ns0:f>V17+W17</ns0:f>
        <ns0:v>43643.84467400151</ns0:v>
      </ns0:c>
      <ns0:c r="Y17" s="16">
        <ns0:f>Q17-F17*'前提と出典'!$E$6</ns0:f>
        <ns0:v>43523.177379861445</ns0:v>
      </ns0:c>
      <ns0:c r="Z17" s="16">
        <ns0:f>R17-G17*'前提と出典'!$E$6</ns0:f>
        <ns0:v>-12532.259237961793</ns0:v>
      </ns0:c>
      <ns0:c r="AA17" s="7">
        <ns0:f>Y17+Z17</ns0:f>
        <ns0:v>30990.918141899652</ns0:v>
      </ns0:c>
      <ns0:c r="AB17" s="7">
        <ns0:f>AB16+U17</ns0:f>
        <ns0:v>55422.38286364747</ns0:v>
      </ns0:c>
      <ns0:c r="AC17" s="7">
        <ns0:f>AC16+X17</ns0:f>
        <ns0:v>-33148.1028610655</ns0:v>
      </ns0:c>
      <ns0:c r="AD17" s="7">
        <ns0:f>AD16+AA17</ns0:f>
        <ns0:v>-121718.58858577837</ns0:v>
      </ns0:c>
      <ns0:c r="AE17" s="7">
        <ns0:f>MAX(0,-MIN($AB$5:AB17))</ns0:f>
        <ns0:v>158010.6003560275</ns0:v>
      </ns0:c>
      <ns0:c r="AF17" s="7">
        <ns0:f>MAX(0,-MIN($AC$5:AC17))</ns0:f>
        <ns0:v>181755.65632779445</ns0:v>
      </ns0:c>
      <ns0:c r="AG17" s="7">
        <ns0:f>MAX(0,-MIN($AD$5:AD17))</ns0:f>
        <ns0:v>210902.5233197324</ns0:v>
      </ns0:c>
      <ns0:c r="AH17" s="4">
        <ns0:f>IF(U17&gt;=0,A17,37)</ns0:f>
        <ns0:v>13</ns0:v>
      </ns0:c>
      <ns0:c r="AI17" s="4">
        <ns0:f>IF(AB17&gt;=0,A17,37)</ns0:f>
        <ns0:v>13</ns0:v>
      </ns0:c>
      <ns0:c r="AJ17" s="4">
        <ns0:f>IF(X17&gt;=0,A17,37)</ns0:f>
        <ns0:v>13</ns0:v>
      </ns0:c>
      <ns0:c r="AK17" s="4">
        <ns0:f>IF(AC17&gt;=0,A17,37)</ns0:f>
        <ns0:v>37</ns0:v>
      </ns0:c>
      <ns0:c r="AL17" s="4">
        <ns0:f>IF(AA17&gt;=0,A17,37)</ns0:f>
        <ns0:v>13</ns0:v>
      </ns0:c>
      <ns0:c r="AM17" s="4">
        <ns0:f>IF(AD17&gt;=0,A17,37)</ns0:f>
        <ns0:v>37</ns0:v>
      </ns0:c>
    </ns0:row>
    <ns0:row r="18" ht="24" customHeight="1">
      <ns0:c r="A18" s="4" t="n">
        <ns0:v>14</ns0:v>
      </ns0:c>
      <ns0:c r="B18" s="12">
        <ns0:f>B17*(1-'前提と出典'!$B$31)+'前提と出典'!$B$30</ns0:f>
        <ns0:v>42</ns0:v>
      </ns0:c>
      <ns0:c r="C18" s="12">
        <ns0:f>B18*('前提と出典'!$C$36+'前提と出典'!$C$38)</ns0:f>
        <ns0:v>29.4</ns0:v>
      </ns0:c>
      <ns0:c r="D18" s="16">
        <ns0:f>B18*('前提と出典'!$C$37+'前提と出典'!$C$38)</ns0:f>
        <ns0:v>25.2</ns0:v>
      </ns0:c>
      <ns0:c r="E18" s="16">
        <ns0:f>B18*('前提と出典'!$C$36*'契約別単価'!C5+'前提と出典'!$C$37*'契約別単価'!C6+'前提と出典'!$C$38*'契約別単価'!C7)</ns0:f>
        <ns0:v>302.2122905027933</ns0:v>
      </ns0:c>
      <ns0:c r="F18" s="16">
        <ns0:f>B18*('前提と出典'!$C$36*'契約別単価'!E5+'前提と出典'!$C$37*'契約別単価'!E6+'前提と出典'!$C$38*'契約別単価'!E7)</ns0:f>
        <ns0:v>105582.66277611835</ns0:v>
      </ns0:c>
      <ns0:c r="G18" s="16">
        <ns0:f>B18*('前提と出典'!$C$36*'契約別単価'!F5+'前提と出典'!$C$37*'契約別単価'!F6+'前提と出典'!$C$38*'契約別単価'!F7)</ns0:f>
        <ns0:v>30679.622954209244</ns0:v>
      </ns0:c>
      <ns0:c r="H18" s="16">
        <ns0:f>B18*('前提と出典'!$C$36*'契約別単価'!G5+'前提と出典'!$C$37*'契約別単価'!G6+'前提と出典'!$C$38*'契約別単価'!G7)</ns0:f>
        <ns0:v>83601.11731843575</ns0:v>
      </ns0:c>
      <ns0:c r="I18" s="16">
        <ns0:f>B18*('前提と出典'!$C$36*'契約別単価'!H5+'前提と出典'!$C$37*'契約別単価'!H6+'前提と出典'!$C$38*'契約別単価'!H7)</ns0:f>
        <ns0:v>29013.780635018662</ns0:v>
      </ns0:c>
      <ns0:c r="J18" s="16">
        <ns0:f>B18*('前提と出典'!$C$36*'契約別単価'!I5+'前提と出典'!$C$37*'契約別単価'!I6+'前提と出典'!$C$38*'契約別単価'!I7)</ns0:f>
        <ns0:v>1772.212290502793</ns0:v>
      </ns0:c>
      <ns0:c r="K18" s="16">
        <ns0:f>B18*('前提と出典'!$C$36*'契約別単価'!J5+'前提と出典'!$C$37*'契約別単価'!J6+'前提と出典'!$C$38*'契約別単価'!J7)</ns0:f>
        <ns0:v>4128.160835832708</ns0:v>
      </ns0:c>
      <ns0:c r="L18" s="16">
        <ns0:f>B18*('前提と出典'!$C$36*'契約別単価'!K5+'前提と出典'!$C$37*'契約別単価'!K6+'前提と出典'!$C$38*'契約別単価'!K7)</ns0:f>
        <ns0:v>17694.748603351953</ns0:v>
      </ns0:c>
      <ns0:c r="M18" s="16">
        <ns0:f>B18*('前提と出典'!$C$36*'契約別単価'!L5+'前提と出典'!$C$37*'契約別単価'!L6+'前提と出典'!$C$38*'契約別単価'!L7)</ns0:f>
        <ns0:v>14407.126021167289</ns0:v>
      </ns0:c>
      <ns0:c r="N18" s="16">
        <ns0:f>IF(('前提と出典'!$C$36+'前提と出典'!$C$38)=0,0,IF(C18&lt;=10,'前提と出典'!B73+'前提と出典'!C73,IF(C18&lt;=100,'前提と出典'!B74+'前提と出典'!C74,IF(C18&lt;=500,'前提と出典'!B75+'前提と出典'!C75,'前提と出典'!B76+'前提と出典'!C76))))</ns0:f>
        <ns0:v>20000</ns0:v>
      </ns0:c>
      <ns0:c r="O18" s="16">
        <ns0:f>IF(('前提と出典'!$C$37+'前提と出典'!$C$38)=0,0,IF(D18&lt;=10,'前提と出典'!D73+'前提と出典'!E73,IF(D18&lt;=100,'前提と出典'!D74+'前提と出典'!E74,IF(D18&lt;=500,'前提と出典'!D75+'前提と出典'!E75,'前提と出典'!D76+'前提と出典'!E76))))</ns0:f>
        <ns0:v>34510.9346263078</ns0:v>
      </ns0:c>
      <ns0:c r="P18" s="16">
        <ns0:f>IF('前提と出典'!$C$36+'前提と出典'!$C$38=0,0,'前提と出典'!$B$4*IF('前提と出典'!$B$20=0,MAX('前提と出典'!$B$6,E18*'前提と出典'!$B$5),'前提と出典'!$B$6+E18*'前提と出典'!$B$5))</ns0:f>
        <ns0:v>41705.29608938547</ns0:v>
      </ns0:c>
      <ns0:c r="Q18" s="16">
        <ns0:f>(F18+H18)*(1-'前提と出典'!$B$7)-J18-L18-N18-P18</ns0:f>
        <ns0:v>101200.90702790994</ns0:v>
      </ns0:c>
      <ns0:c r="R18" s="16">
        <ns0:f>(G18+I18)*(1-'前提と出典'!$B$7)-K18-M18-O18</ns0:f>
        <ns0:v>4498.2195767079065</ns0:v>
      </ns0:c>
      <ns0:c r="S18" s="16">
        <ns0:f>Q18-F18*'前提と出典'!$E$4</ns0:f>
        <ns0:v>69526.10819507443</ns0:v>
      </ns0:c>
      <ns0:c r="T18" s="16">
        <ns0:f>R18-G18*'前提と出典'!$E$4</ns0:f>
        <ns0:v>-4705.667309554865</ns0:v>
      </ns0:c>
      <ns0:c r="U18" s="7">
        <ns0:f>S18+T18</ns0:f>
        <ns0:v>64820.440885519565</ns0:v>
      </ns0:c>
      <ns0:c r="V18" s="16">
        <ns0:f>Q18-F18*'前提と出典'!$E$5</ns0:f>
        <ns0:v>58967.841917462596</ns0:v>
      </ns0:c>
      <ns0:c r="W18" s="16">
        <ns0:f>R18-G18*'前提と出典'!$E$5</ns0:f>
        <ns0:v>-7773.629604975791</ns0:v>
      </ns0:c>
      <ns0:c r="X18" s="7">
        <ns0:f>V18+W18</ns0:f>
        <ns0:v>51194.21231248681</ns0:v>
      </ns0:c>
      <ns0:c r="Y18" s="16">
        <ns0:f>Q18-F18*'前提と出典'!$E$6</ns0:f>
        <ns0:v>48409.57563985077</ns0:v>
      </ns0:c>
      <ns0:c r="Z18" s="16">
        <ns0:f>R18-G18*'前提と出典'!$E$6</ns0:f>
        <ns0:v>-10841.591900396717</ns0:v>
      </ns0:c>
      <ns0:c r="AA18" s="7">
        <ns0:f>Y18+Z18</ns0:f>
        <ns0:v>37567.98373945405</ns0:v>
      </ns0:c>
      <ns0:c r="AB18" s="7">
        <ns0:f>AB17+U18</ns0:f>
        <ns0:v>120242.82374916703</ns0:v>
      </ns0:c>
      <ns0:c r="AC18" s="7">
        <ns0:f>AC17+X18</ns0:f>
        <ns0:v>18046.10945142131</ns0:v>
      </ns0:c>
      <ns0:c r="AD18" s="7">
        <ns0:f>AD17+AA18</ns0:f>
        <ns0:v>-84150.60484632432</ns0:v>
      </ns0:c>
      <ns0:c r="AE18" s="7">
        <ns0:f>MAX(0,-MIN($AB$5:AB18))</ns0:f>
        <ns0:v>158010.6003560275</ns0:v>
      </ns0:c>
      <ns0:c r="AF18" s="7">
        <ns0:f>MAX(0,-MIN($AC$5:AC18))</ns0:f>
        <ns0:v>181755.65632779445</ns0:v>
      </ns0:c>
      <ns0:c r="AG18" s="7">
        <ns0:f>MAX(0,-MIN($AD$5:AD18))</ns0:f>
        <ns0:v>210902.5233197324</ns0:v>
      </ns0:c>
      <ns0:c r="AH18" s="4">
        <ns0:f>IF(U18&gt;=0,A18,37)</ns0:f>
        <ns0:v>14</ns0:v>
      </ns0:c>
      <ns0:c r="AI18" s="4">
        <ns0:f>IF(AB18&gt;=0,A18,37)</ns0:f>
        <ns0:v>14</ns0:v>
      </ns0:c>
      <ns0:c r="AJ18" s="4">
        <ns0:f>IF(X18&gt;=0,A18,37)</ns0:f>
        <ns0:v>14</ns0:v>
      </ns0:c>
      <ns0:c r="AK18" s="4">
        <ns0:f>IF(AC18&gt;=0,A18,37)</ns0:f>
        <ns0:v>14</ns0:v>
      </ns0:c>
      <ns0:c r="AL18" s="4">
        <ns0:f>IF(AA18&gt;=0,A18,37)</ns0:f>
        <ns0:v>14</ns0:v>
      </ns0:c>
      <ns0:c r="AM18" s="4">
        <ns0:f>IF(AD18&gt;=0,A18,37)</ns0:f>
        <ns0:v>37</ns0:v>
      </ns0:c>
    </ns0:row>
    <ns0:row r="19" ht="24" customHeight="1">
      <ns0:c r="A19" s="4" t="n">
        <ns0:v>15</ns0:v>
      </ns0:c>
      <ns0:c r="B19" s="12">
        <ns0:f>B18*(1-'前提と出典'!$B$31)+'前提と出典'!$B$30</ns0:f>
        <ns0:v>45</ns0:v>
      </ns0:c>
      <ns0:c r="C19" s="12">
        <ns0:f>B19*('前提と出典'!$C$36+'前提と出典'!$C$38)</ns0:f>
        <ns0:v>31.499999999999996</ns0:v>
      </ns0:c>
      <ns0:c r="D19" s="16">
        <ns0:f>B19*('前提と出典'!$C$37+'前提と出典'!$C$38)</ns0:f>
        <ns0:v>27</ns0:v>
      </ns0:c>
      <ns0:c r="E19" s="16">
        <ns0:f>B19*('前提と出典'!$C$36*'契約別単価'!C5+'前提と出典'!$C$37*'契約別単価'!C6+'前提と出典'!$C$38*'契約別単価'!C7)</ns0:f>
        <ns0:v>323.79888268156424</ns0:v>
      </ns0:c>
      <ns0:c r="F19" s="16">
        <ns0:f>B19*('前提と出典'!$C$36*'契約別単価'!E5+'前提と出典'!$C$37*'契約別単価'!E6+'前提と出典'!$C$38*'契約別単価'!E7)</ns0:f>
        <ns0:v>113124.28154584109</ns0:v>
      </ns0:c>
      <ns0:c r="G19" s="16">
        <ns0:f>B19*('前提と出典'!$C$36*'契約別単価'!F5+'前提と出典'!$C$37*'契約別単価'!F6+'前提と出典'!$C$38*'契約別単価'!F7)</ns0:f>
        <ns0:v>32871.02459379562</ns0:v>
      </ns0:c>
      <ns0:c r="H19" s="16">
        <ns0:f>B19*('前提と出典'!$C$36*'契約別単価'!G5+'前提と出典'!$C$37*'契約別単価'!G6+'前提と出典'!$C$38*'契約別単価'!G7)</ns0:f>
        <ns0:v>89572.62569832402</ns0:v>
      </ns0:c>
      <ns0:c r="I19" s="16">
        <ns0:f>B19*('前提と出典'!$C$36*'契約別単価'!H5+'前提と出典'!$C$37*'契約別単価'!H6+'前提と出典'!$C$38*'契約別単価'!H7)</ns0:f>
        <ns0:v>31086.193537519997</ns0:v>
      </ns0:c>
      <ns0:c r="J19" s="16">
        <ns0:f>B19*('前提と出典'!$C$36*'契約別単価'!I5+'前提と出典'!$C$37*'契約別単価'!I6+'前提と出典'!$C$38*'契約別単価'!I7)</ns0:f>
        <ns0:v>1898.798882681564</ns0:v>
      </ns0:c>
      <ns0:c r="K19" s="16">
        <ns0:f>B19*('前提と出典'!$C$36*'契約別単価'!J5+'前提と出典'!$C$37*'契約別単価'!J6+'前提と出典'!$C$38*'契約別単価'!J7)</ns0:f>
        <ns0:v>4423.029466963616</ns0:v>
      </ns0:c>
      <ns0:c r="L19" s="16">
        <ns0:f>B19*('前提と出典'!$C$36*'契約別単価'!K5+'前提と出典'!$C$37*'契約別単価'!K6+'前提と出典'!$C$38*'契約別単価'!K7)</ns0:f>
        <ns0:v>18958.659217877095</ns0:v>
      </ns0:c>
      <ns0:c r="M19" s="16">
        <ns0:f>B19*('前提と出典'!$C$36*'契約別単価'!L5+'前提と出典'!$C$37*'契約別単価'!L6+'前提と出典'!$C$38*'契約別単価'!L7)</ns0:f>
        <ns0:v>15436.206451250666</ns0:v>
      </ns0:c>
      <ns0:c r="N19" s="16">
        <ns0:f>IF(('前提と出典'!$C$36+'前提と出典'!$C$38)=0,0,IF(C19&lt;=10,'前提と出典'!B73+'前提と出典'!C73,IF(C19&lt;=100,'前提と出典'!B74+'前提と出典'!C74,IF(C19&lt;=500,'前提と出典'!B75+'前提と出典'!C75,'前提と出典'!B76+'前提と出典'!C76))))</ns0:f>
        <ns0:v>20000</ns0:v>
      </ns0:c>
      <ns0:c r="O19" s="16">
        <ns0:f>IF(('前提と出典'!$C$37+'前提と出典'!$C$38)=0,0,IF(D19&lt;=10,'前提と出典'!D73+'前提と出典'!E73,IF(D19&lt;=100,'前提と出典'!D74+'前提と出典'!E74,IF(D19&lt;=500,'前提と出典'!D75+'前提と出典'!E75,'前提と出典'!D76+'前提と出典'!E76))))</ns0:f>
        <ns0:v>34510.9346263078</ns0:v>
      </ns0:c>
      <ns0:c r="P19" s="16">
        <ns0:f>IF('前提と出典'!$C$36+'前提と出典'!$C$38=0,0,'前提と出典'!$B$4*IF('前提と出典'!$B$20=0,MAX('前提と出典'!$B$6,E19*'前提と出典'!$B$5),'前提と出典'!$B$6+E19*'前提と出典'!$B$5))</ns0:f>
        <ns0:v>44684.24581005587</ns0:v>
      </ns0:c>
      <ns0:c r="Q19" s="16">
        <ns0:f>(F19+H19)*(1-'前提と出典'!$B$7)-J19-L19-N19-P19</ns0:f>
        <ns0:v>109858.11467276065</ns0:v>
      </ns0:c>
      <ns0:c r="R19" s="16">
        <ns0:f>(G19+I19)*(1-'前提と出典'!$B$7)-K19-M19-O19</ns0:f>
        <ns0:v>7284.587734066177</ns0:v>
      </ns0:c>
      <ns0:c r="S19" s="16">
        <ns0:f>Q19-F19*'前提と出典'!$E$4</ns0:f>
        <ns0:v>75920.8302090083</ns0:v>
      </ns0:c>
      <ns0:c r="T19" s="16">
        <ns0:f>R19-G19*'前提と出典'!$E$4</ns0:f>
        <ns0:v>-2576.7196440725056</ns0:v>
      </ns0:c>
      <ns0:c r="U19" s="7">
        <ns0:f>S19+T19</ns0:f>
        <ns0:v>73344.11056493579</ns0:v>
      </ns0:c>
      <ns0:c r="V19" s="16">
        <ns0:f>Q19-F19*'前提と出典'!$E$5</ns0:f>
        <ns0:v>64608.40205442421</ns0:v>
      </ns0:c>
      <ns0:c r="W19" s="16">
        <ns0:f>R19-G19*'前提と出典'!$E$5</ns0:f>
        <ns0:v>-5863.822103452072</ns0:v>
      </ns0:c>
      <ns0:c r="X19" s="7">
        <ns0:f>V19+W19</ns0:f>
        <ns0:v>58744.57995097214</ns0:v>
      </ns0:c>
      <ns0:c r="Y19" s="16">
        <ns0:f>Q19-F19*'前提と出典'!$E$6</ns0:f>
        <ns0:v>53295.9738998401</ns0:v>
      </ns0:c>
      <ns0:c r="Z19" s="16">
        <ns0:f>R19-G19*'前提と出典'!$E$6</ns0:f>
        <ns0:v>-9150.924562831631</ns0:v>
      </ns0:c>
      <ns0:c r="AA19" s="7">
        <ns0:f>Y19+Z19</ns0:f>
        <ns0:v>44145.04933700847</ns0:v>
      </ns0:c>
      <ns0:c r="AB19" s="7">
        <ns0:f>AB18+U19</ns0:f>
        <ns0:v>193586.9343141028</ns0:v>
      </ns0:c>
      <ns0:c r="AC19" s="7">
        <ns0:f>AC18+X19</ns0:f>
        <ns0:v>76790.68940239344</ns0:v>
      </ns0:c>
      <ns0:c r="AD19" s="7">
        <ns0:f>AD18+AA19</ns0:f>
        <ns0:v>-40005.55550931585</ns0:v>
      </ns0:c>
      <ns0:c r="AE19" s="7">
        <ns0:f>MAX(0,-MIN($AB$5:AB19))</ns0:f>
        <ns0:v>158010.6003560275</ns0:v>
      </ns0:c>
      <ns0:c r="AF19" s="7">
        <ns0:f>MAX(0,-MIN($AC$5:AC19))</ns0:f>
        <ns0:v>181755.65632779445</ns0:v>
      </ns0:c>
      <ns0:c r="AG19" s="7">
        <ns0:f>MAX(0,-MIN($AD$5:AD19))</ns0:f>
        <ns0:v>210902.5233197324</ns0:v>
      </ns0:c>
      <ns0:c r="AH19" s="4">
        <ns0:f>IF(U19&gt;=0,A19,37)</ns0:f>
        <ns0:v>15</ns0:v>
      </ns0:c>
      <ns0:c r="AI19" s="4">
        <ns0:f>IF(AB19&gt;=0,A19,37)</ns0:f>
        <ns0:v>15</ns0:v>
      </ns0:c>
      <ns0:c r="AJ19" s="4">
        <ns0:f>IF(X19&gt;=0,A19,37)</ns0:f>
        <ns0:v>15</ns0:v>
      </ns0:c>
      <ns0:c r="AK19" s="4">
        <ns0:f>IF(AC19&gt;=0,A19,37)</ns0:f>
        <ns0:v>15</ns0:v>
      </ns0:c>
      <ns0:c r="AL19" s="4">
        <ns0:f>IF(AA19&gt;=0,A19,37)</ns0:f>
        <ns0:v>15</ns0:v>
      </ns0:c>
      <ns0:c r="AM19" s="4">
        <ns0:f>IF(AD19&gt;=0,A19,37)</ns0:f>
        <ns0:v>37</ns0:v>
      </ns0:c>
    </ns0:row>
    <ns0:row r="20" ht="24" customHeight="1">
      <ns0:c r="A20" s="4" t="n">
        <ns0:v>16</ns0:v>
      </ns0:c>
      <ns0:c r="B20" s="12">
        <ns0:f>B19*(1-'前提と出典'!$B$31)+'前提と出典'!$B$30</ns0:f>
        <ns0:v>48</ns0:v>
      </ns0:c>
      <ns0:c r="C20" s="12">
        <ns0:f>B20*('前提と出典'!$C$36+'前提と出典'!$C$38)</ns0:f>
        <ns0:v>33.599999999999994</ns0:v>
      </ns0:c>
      <ns0:c r="D20" s="16">
        <ns0:f>B20*('前提と出典'!$C$37+'前提と出典'!$C$38)</ns0:f>
        <ns0:v>28.799999999999997</ns0:v>
      </ns0:c>
      <ns0:c r="E20" s="16">
        <ns0:f>B20*('前提と出典'!$C$36*'契約別単価'!C5+'前提と出典'!$C$37*'契約別単価'!C6+'前提と出典'!$C$38*'契約別単価'!C7)</ns0:f>
        <ns0:v>345.3854748603352</ns0:v>
      </ns0:c>
      <ns0:c r="F20" s="16">
        <ns0:f>B20*('前提と出典'!$C$36*'契約別単価'!E5+'前提と出典'!$C$37*'契約別単価'!E6+'前提と出典'!$C$38*'契約別単価'!E7)</ns0:f>
        <ns0:v>120665.90031556383</ns0:v>
      </ns0:c>
      <ns0:c r="G20" s="16">
        <ns0:f>B20*('前提と出典'!$C$36*'契約別単価'!F5+'前提と出典'!$C$37*'契約別単価'!F6+'前提と出典'!$C$38*'契約別単価'!F7)</ns0:f>
        <ns0:v>35062.42623338199</ns0:v>
      </ns0:c>
      <ns0:c r="H20" s="16">
        <ns0:f>B20*('前提と出典'!$C$36*'契約別単価'!G5+'前提と出典'!$C$37*'契約別単価'!G6+'前提と出典'!$C$38*'契約別単価'!G7)</ns0:f>
        <ns0:v>95544.13407821229</ns0:v>
      </ns0:c>
      <ns0:c r="I20" s="16">
        <ns0:f>B20*('前提と出典'!$C$36*'契約別単価'!H5+'前提と出典'!$C$37*'契約別単価'!H6+'前提と出典'!$C$38*'契約別単価'!H7)</ns0:f>
        <ns0:v>33158.60644002133</ns0:v>
      </ns0:c>
      <ns0:c r="J20" s="16">
        <ns0:f>B20*('前提と出典'!$C$36*'契約別単価'!I5+'前提と出典'!$C$37*'契約別単価'!I6+'前提と出典'!$C$38*'契約別単価'!I7)</ns0:f>
        <ns0:v>2025.3854748603349</ns0:v>
      </ns0:c>
      <ns0:c r="K20" s="16">
        <ns0:f>B20*('前提と出典'!$C$36*'契約別単価'!J5+'前提と出典'!$C$37*'契約別単価'!J6+'前提と出典'!$C$38*'契約別単価'!J7)</ns0:f>
        <ns0:v>4717.898098094523</ns0:v>
      </ns0:c>
      <ns0:c r="L20" s="16">
        <ns0:f>B20*('前提と出典'!$C$36*'契約別単価'!K5+'前提と出典'!$C$37*'契約別単価'!K6+'前提と出典'!$C$38*'契約別単価'!K7)</ns0:f>
        <ns0:v>20222.569832402234</ns0:v>
      </ns0:c>
      <ns0:c r="M20" s="16">
        <ns0:f>B20*('前提と出典'!$C$36*'契約別単価'!L5+'前提と出典'!$C$37*'契約別単価'!L6+'前提と出典'!$C$38*'契約別単価'!L7)</ns0:f>
        <ns0:v>16465.286881334043</ns0:v>
      </ns0:c>
      <ns0:c r="N20" s="16">
        <ns0:f>IF(('前提と出典'!$C$36+'前提と出典'!$C$38)=0,0,IF(C20&lt;=10,'前提と出典'!B73+'前提と出典'!C73,IF(C20&lt;=100,'前提と出典'!B74+'前提と出典'!C74,IF(C20&lt;=500,'前提と出典'!B75+'前提と出典'!C75,'前提と出典'!B76+'前提と出典'!C76))))</ns0:f>
        <ns0:v>20000</ns0:v>
      </ns0:c>
      <ns0:c r="O20" s="16">
        <ns0:f>IF(('前提と出典'!$C$37+'前提と出典'!$C$38)=0,0,IF(D20&lt;=10,'前提と出典'!D73+'前提と出典'!E73,IF(D20&lt;=100,'前提と出典'!D74+'前提と出典'!E74,IF(D20&lt;=500,'前提と出典'!D75+'前提と出典'!E75,'前提と出典'!D76+'前提と出典'!E76))))</ns0:f>
        <ns0:v>34510.9346263078</ns0:v>
      </ns0:c>
      <ns0:c r="P20" s="16">
        <ns0:f>IF('前提と出典'!$C$36+'前提と出典'!$C$38=0,0,'前提と出典'!$B$4*IF('前提と出典'!$B$20=0,MAX('前提と出典'!$B$6,E20*'前提と出典'!$B$5),'前提と出典'!$B$6+E20*'前提と出典'!$B$5))</ns0:f>
        <ns0:v>47663.19553072626</ns0:v>
      </ns0:c>
      <ns0:c r="Q20" s="16">
        <ns0:f>(F20+H20)*(1-'前提と出典'!$B$7)-J20-L20-N20-P20</ns0:f>
        <ns0:v>118515.32231761137</ns0:v>
      </ns0:c>
      <ns0:c r="R20" s="16">
        <ns0:f>(G20+I20)*(1-'前提と出典'!$B$7)-K20-M20-O20</ns0:f>
        <ns0:v>10070.955891424452</ns0:v>
      </ns0:c>
      <ns0:c r="S20" s="16">
        <ns0:f>Q20-F20*'前提と出典'!$E$4</ns0:f>
        <ns0:v>82315.5522229422</ns0:v>
      </ns0:c>
      <ns0:c r="T20" s="16">
        <ns0:f>R20-G20*'前提と出典'!$E$4</ns0:f>
        <ns0:v>-447.77197859014996</ns0:v>
      </ns0:c>
      <ns0:c r="U20" s="7">
        <ns0:f>S20+T20</ns0:f>
        <ns0:v>81867.78024435206</ns0:v>
      </ns0:c>
      <ns0:c r="V20" s="16">
        <ns0:f>Q20-F20*'前提と出典'!$E$5</ns0:f>
        <ns0:v>70248.96219138583</ns0:v>
      </ns0:c>
      <ns0:c r="W20" s="16">
        <ns0:f>R20-G20*'前提と出典'!$E$5</ns0:f>
        <ns0:v>-3954.0146019283457</ns0:v>
      </ns0:c>
      <ns0:c r="X20" s="7">
        <ns0:f>V20+W20</ns0:f>
        <ns0:v>66294.94758945749</ns0:v>
      </ns0:c>
      <ns0:c r="Y20" s="16">
        <ns0:f>Q20-F20*'前提と出典'!$E$6</ns0:f>
        <ns0:v>58182.37215982943</ns0:v>
      </ns0:c>
      <ns0:c r="Z20" s="16">
        <ns0:f>R20-G20*'前提と出典'!$E$6</ns0:f>
        <ns0:v>-7460.257225266545</ns0:v>
      </ns0:c>
      <ns0:c r="AA20" s="7">
        <ns0:f>Y20+Z20</ns0:f>
        <ns0:v>50722.11493456288</ns0:v>
      </ns0:c>
      <ns0:c r="AB20" s="7">
        <ns0:f>AB19+U20</ns0:f>
        <ns0:v>275454.71455845487</ns0:v>
      </ns0:c>
      <ns0:c r="AC20" s="7">
        <ns0:f>AC19+X20</ns0:f>
        <ns0:v>143085.63699185092</ns0:v>
      </ns0:c>
      <ns0:c r="AD20" s="7">
        <ns0:f>AD19+AA20</ns0:f>
        <ns0:v>10716.559425247033</ns0:v>
      </ns0:c>
      <ns0:c r="AE20" s="7">
        <ns0:f>MAX(0,-MIN($AB$5:AB20))</ns0:f>
        <ns0:v>158010.6003560275</ns0:v>
      </ns0:c>
      <ns0:c r="AF20" s="7">
        <ns0:f>MAX(0,-MIN($AC$5:AC20))</ns0:f>
        <ns0:v>181755.65632779445</ns0:v>
      </ns0:c>
      <ns0:c r="AG20" s="7">
        <ns0:f>MAX(0,-MIN($AD$5:AD20))</ns0:f>
        <ns0:v>210902.5233197324</ns0:v>
      </ns0:c>
      <ns0:c r="AH20" s="4">
        <ns0:f>IF(U20&gt;=0,A20,37)</ns0:f>
        <ns0:v>16</ns0:v>
      </ns0:c>
      <ns0:c r="AI20" s="4">
        <ns0:f>IF(AB20&gt;=0,A20,37)</ns0:f>
        <ns0:v>16</ns0:v>
      </ns0:c>
      <ns0:c r="AJ20" s="4">
        <ns0:f>IF(X20&gt;=0,A20,37)</ns0:f>
        <ns0:v>16</ns0:v>
      </ns0:c>
      <ns0:c r="AK20" s="4">
        <ns0:f>IF(AC20&gt;=0,A20,37)</ns0:f>
        <ns0:v>16</ns0:v>
      </ns0:c>
      <ns0:c r="AL20" s="4">
        <ns0:f>IF(AA20&gt;=0,A20,37)</ns0:f>
        <ns0:v>16</ns0:v>
      </ns0:c>
      <ns0:c r="AM20" s="4">
        <ns0:f>IF(AD20&gt;=0,A20,37)</ns0:f>
        <ns0:v>16</ns0:v>
      </ns0:c>
    </ns0:row>
    <ns0:row r="21" ht="24" customHeight="1">
      <ns0:c r="A21" s="4" t="n">
        <ns0:v>17</ns0:v>
      </ns0:c>
      <ns0:c r="B21" s="12">
        <ns0:f>B20*(1-'前提と出典'!$B$31)+'前提と出典'!$B$30</ns0:f>
        <ns0:v>51</ns0:v>
      </ns0:c>
      <ns0:c r="C21" s="12">
        <ns0:f>B21*('前提と出典'!$C$36+'前提と出典'!$C$38)</ns0:f>
        <ns0:v>35.699999999999996</ns0:v>
      </ns0:c>
      <ns0:c r="D21" s="16">
        <ns0:f>B21*('前提と出典'!$C$37+'前提と出典'!$C$38)</ns0:f>
        <ns0:v>30.599999999999998</ns0:v>
      </ns0:c>
      <ns0:c r="E21" s="16">
        <ns0:f>B21*('前提と出典'!$C$36*'契約別単価'!C5+'前提と出典'!$C$37*'契約別単価'!C6+'前提と出典'!$C$38*'契約別単価'!C7)</ns0:f>
        <ns0:v>366.97206703910615</ns0:v>
      </ns0:c>
      <ns0:c r="F21" s="16">
        <ns0:f>B21*('前提と出典'!$C$36*'契約別単価'!E5+'前提と出典'!$C$37*'契約別単価'!E6+'前提と出典'!$C$38*'契約別単価'!E7)</ns0:f>
        <ns0:v>128207.51908528658</ns0:v>
      </ns0:c>
      <ns0:c r="G21" s="16">
        <ns0:f>B21*('前提と出典'!$C$36*'契約別単価'!F5+'前提と出典'!$C$37*'契約別単価'!F6+'前提と出典'!$C$38*'契約別単価'!F7)</ns0:f>
        <ns0:v>37253.827872968366</ns0:v>
      </ns0:c>
      <ns0:c r="H21" s="16">
        <ns0:f>B21*('前提と出典'!$C$36*'契約別単価'!G5+'前提と出典'!$C$37*'契約別単価'!G6+'前提と出典'!$C$38*'契約別単価'!G7)</ns0:f>
        <ns0:v>101515.64245810056</ns0:v>
      </ns0:c>
      <ns0:c r="I21" s="16">
        <ns0:f>B21*('前提と出典'!$C$36*'契約別単価'!H5+'前提と出典'!$C$37*'契約別単価'!H6+'前提と出典'!$C$38*'契約別単価'!H7)</ns0:f>
        <ns0:v>35231.01934252266</ns0:v>
      </ns0:c>
      <ns0:c r="J21" s="16">
        <ns0:f>B21*('前提と出典'!$C$36*'契約別単価'!I5+'前提と出典'!$C$37*'契約別単価'!I6+'前提と出典'!$C$38*'契約別単価'!I7)</ns0:f>
        <ns0:v>2151.9720670391057</ns0:v>
      </ns0:c>
      <ns0:c r="K21" s="16">
        <ns0:f>B21*('前提と出典'!$C$36*'契約別単価'!J5+'前提と出典'!$C$37*'契約別単価'!J6+'前提と出典'!$C$38*'契約別単価'!J7)</ns0:f>
        <ns0:v>5012.766729225431</ns0:v>
      </ns0:c>
      <ns0:c r="L21" s="16">
        <ns0:f>B21*('前提と出典'!$C$36*'契約別単価'!K5+'前提と出典'!$C$37*'契約別単価'!K6+'前提と出典'!$C$38*'契約別単価'!K7)</ns0:f>
        <ns0:v>21486.480446927373</ns0:v>
      </ns0:c>
      <ns0:c r="M21" s="16">
        <ns0:f>B21*('前提と出典'!$C$36*'契約別単価'!L5+'前提と出典'!$C$37*'契約別単価'!L6+'前提と出典'!$C$38*'契約別単価'!L7)</ns0:f>
        <ns0:v>17494.36731141742</ns0:v>
      </ns0:c>
      <ns0:c r="N21" s="16">
        <ns0:f>IF(('前提と出典'!$C$36+'前提と出典'!$C$38)=0,0,IF(C21&lt;=10,'前提と出典'!B73+'前提と出典'!C73,IF(C21&lt;=100,'前提と出典'!B74+'前提と出典'!C74,IF(C21&lt;=500,'前提と出典'!B75+'前提と出典'!C75,'前提と出典'!B76+'前提と出典'!C76))))</ns0:f>
        <ns0:v>20000</ns0:v>
      </ns0:c>
      <ns0:c r="O21" s="16">
        <ns0:f>IF(('前提と出典'!$C$37+'前提と出典'!$C$38)=0,0,IF(D21&lt;=10,'前提と出典'!D73+'前提と出典'!E73,IF(D21&lt;=100,'前提と出典'!D74+'前提と出典'!E74,IF(D21&lt;=500,'前提と出典'!D75+'前提と出典'!E75,'前提と出典'!D76+'前提と出典'!E76))))</ns0:f>
        <ns0:v>34510.9346263078</ns0:v>
      </ns0:c>
      <ns0:c r="P21" s="16">
        <ns0:f>IF('前提と出典'!$C$36+'前提と出典'!$C$38=0,0,'前提と出典'!$B$4*IF('前提と出典'!$B$20=0,MAX('前提と出典'!$B$6,E21*'前提と出典'!$B$5),'前提と出典'!$B$6+E21*'前提と出典'!$B$5))</ns0:f>
        <ns0:v>50642.14525139665</ns0:v>
      </ns0:c>
      <ns0:c r="Q21" s="16">
        <ns0:f>(F21+H21)*(1-'前提と出典'!$B$7)-J21-L21-N21-P21</ns0:f>
        <ns0:v>127172.52996246208</ns0:v>
      </ns0:c>
      <ns0:c r="R21" s="16">
        <ns0:f>(G21+I21)*(1-'前提と出典'!$B$7)-K21-M21-O21</ns0:f>
        <ns0:v>12857.324048782706</ns0:v>
      </ns0:c>
      <ns0:c r="S21" s="16">
        <ns0:f>Q21-F21*'前提と出典'!$E$4</ns0:f>
        <ns0:v>88710.2742368761</ns0:v>
      </ns0:c>
      <ns0:c r="T21" s="16">
        <ns0:f>R21-G21*'前提と出典'!$E$4</ns0:f>
        <ns0:v>1681.1756868921875</ns0:v>
      </ns0:c>
      <ns0:c r="U21" s="7">
        <ns0:f>S21+T21</ns0:f>
        <ns0:v>90391.44992376829</ns0:v>
      </ns0:c>
      <ns0:c r="V21" s="16">
        <ns0:f>Q21-F21*'前提と出典'!$E$5</ns0:f>
        <ns0:v>75889.52232834745</ns0:v>
      </ns0:c>
      <ns0:c r="W21" s="16">
        <ns0:f>R21-G21*'前提と出典'!$E$5</ns0:f>
        <ns0:v>-2044.207100404641</ns0:v>
      </ns0:c>
      <ns0:c r="X21" s="7">
        <ns0:f>V21+W21</ns0:f>
        <ns0:v>73845.3152279428</ns0:v>
      </ns0:c>
      <ns0:c r="Y21" s="16">
        <ns0:f>Q21-F21*'前提と出典'!$E$6</ns0:f>
        <ns0:v>63068.77041981877</ns0:v>
      </ns0:c>
      <ns0:c r="Z21" s="16">
        <ns0:f>R21-G21*'前提と出典'!$E$6</ns0:f>
        <ns0:v>-5769.589887701481</ns0:v>
      </ns0:c>
      <ns0:c r="AA21" s="7">
        <ns0:f>Y21+Z21</ns0:f>
        <ns0:v>57299.18053211729</ns0:v>
      </ns0:c>
      <ns0:c r="AB21" s="7">
        <ns0:f>AB20+U21</ns0:f>
        <ns0:v>365846.16448222316</ns0:v>
      </ns0:c>
      <ns0:c r="AC21" s="7">
        <ns0:f>AC20+X21</ns0:f>
        <ns0:v>216930.95221979372</ns0:v>
      </ns0:c>
      <ns0:c r="AD21" s="7">
        <ns0:f>AD20+AA21</ns0:f>
        <ns0:v>68015.73995736432</ns0:v>
      </ns0:c>
      <ns0:c r="AE21" s="7">
        <ns0:f>MAX(0,-MIN($AB$5:AB21))</ns0:f>
        <ns0:v>158010.6003560275</ns0:v>
      </ns0:c>
      <ns0:c r="AF21" s="7">
        <ns0:f>MAX(0,-MIN($AC$5:AC21))</ns0:f>
        <ns0:v>181755.65632779445</ns0:v>
      </ns0:c>
      <ns0:c r="AG21" s="7">
        <ns0:f>MAX(0,-MIN($AD$5:AD21))</ns0:f>
        <ns0:v>210902.5233197324</ns0:v>
      </ns0:c>
      <ns0:c r="AH21" s="4">
        <ns0:f>IF(U21&gt;=0,A21,37)</ns0:f>
        <ns0:v>17</ns0:v>
      </ns0:c>
      <ns0:c r="AI21" s="4">
        <ns0:f>IF(AB21&gt;=0,A21,37)</ns0:f>
        <ns0:v>17</ns0:v>
      </ns0:c>
      <ns0:c r="AJ21" s="4">
        <ns0:f>IF(X21&gt;=0,A21,37)</ns0:f>
        <ns0:v>17</ns0:v>
      </ns0:c>
      <ns0:c r="AK21" s="4">
        <ns0:f>IF(AC21&gt;=0,A21,37)</ns0:f>
        <ns0:v>17</ns0:v>
      </ns0:c>
      <ns0:c r="AL21" s="4">
        <ns0:f>IF(AA21&gt;=0,A21,37)</ns0:f>
        <ns0:v>17</ns0:v>
      </ns0:c>
      <ns0:c r="AM21" s="4">
        <ns0:f>IF(AD21&gt;=0,A21,37)</ns0:f>
        <ns0:v>17</ns0:v>
      </ns0:c>
    </ns0:row>
    <ns0:row r="22" ht="24" customHeight="1">
      <ns0:c r="A22" s="4" t="n">
        <ns0:v>18</ns0:v>
      </ns0:c>
      <ns0:c r="B22" s="12">
        <ns0:f>B21*(1-'前提と出典'!$B$31)+'前提と出典'!$B$30</ns0:f>
        <ns0:v>54</ns0:v>
      </ns0:c>
      <ns0:c r="C22" s="12">
        <ns0:f>B22*('前提と出典'!$C$36+'前提と出典'!$C$38)</ns0:f>
        <ns0:v>37.8</ns0:v>
      </ns0:c>
      <ns0:c r="D22" s="16">
        <ns0:f>B22*('前提と出典'!$C$37+'前提と出典'!$C$38)</ns0:f>
        <ns0:v>32.4</ns0:v>
      </ns0:c>
      <ns0:c r="E22" s="16">
        <ns0:f>B22*('前提と出典'!$C$36*'契約別単価'!C5+'前提と出典'!$C$37*'契約別単価'!C6+'前提と出典'!$C$38*'契約別単価'!C7)</ns0:f>
        <ns0:v>388.5586592178771</ns0:v>
      </ns0:c>
      <ns0:c r="F22" s="16">
        <ns0:f>B22*('前提と出典'!$C$36*'契約別単価'!E5+'前提と出典'!$C$37*'契約別単価'!E6+'前提と出典'!$C$38*'契約別単価'!E7)</ns0:f>
        <ns0:v>135749.13785500932</ns0:v>
      </ns0:c>
      <ns0:c r="G22" s="16">
        <ns0:f>B22*('前提と出典'!$C$36*'契約別単価'!F5+'前提と出典'!$C$37*'契約別単価'!F6+'前提と出典'!$C$38*'契約別単価'!F7)</ns0:f>
        <ns0:v>39445.22951255474</ns0:v>
      </ns0:c>
      <ns0:c r="H22" s="16">
        <ns0:f>B22*('前提と出典'!$C$36*'契約別単価'!G5+'前提と出典'!$C$37*'契約別単価'!G6+'前提と出典'!$C$38*'契約別単価'!G7)</ns0:f>
        <ns0:v>107487.15083798883</ns0:v>
      </ns0:c>
      <ns0:c r="I22" s="16">
        <ns0:f>B22*('前提と出典'!$C$36*'契約別単価'!H5+'前提と出典'!$C$37*'契約別単価'!H6+'前提と出典'!$C$38*'契約別単価'!H7)</ns0:f>
        <ns0:v>37303.43224502399</ns0:v>
      </ns0:c>
      <ns0:c r="J22" s="16">
        <ns0:f>B22*('前提と出典'!$C$36*'契約別単価'!I5+'前提と出典'!$C$37*'契約別単価'!I6+'前提と出典'!$C$38*'契約別単価'!I7)</ns0:f>
        <ns0:v>2278.5586592178765</ns0:v>
      </ns0:c>
      <ns0:c r="K22" s="16">
        <ns0:f>B22*('前提と出典'!$C$36*'契約別単価'!J5+'前提と出典'!$C$37*'契約別単価'!J6+'前提と出典'!$C$38*'契約別単価'!J7)</ns0:f>
        <ns0:v>5307.635360356338</ns0:v>
      </ns0:c>
      <ns0:c r="L22" s="16">
        <ns0:f>B22*('前提と出典'!$C$36*'契約別単価'!K5+'前提と出典'!$C$37*'契約別単価'!K6+'前提と出典'!$C$38*'契約別単価'!K7)</ns0:f>
        <ns0:v>22750.391061452512</ns0:v>
      </ns0:c>
      <ns0:c r="M22" s="16">
        <ns0:f>B22*('前提と出典'!$C$36*'契約別単価'!L5+'前提と出典'!$C$37*'契約別単価'!L6+'前提と出典'!$C$38*'契約別単価'!L7)</ns0:f>
        <ns0:v>18523.4477415008</ns0:v>
      </ns0:c>
      <ns0:c r="N22" s="16">
        <ns0:f>IF(('前提と出典'!$C$36+'前提と出典'!$C$38)=0,0,IF(C22&lt;=10,'前提と出典'!B73+'前提と出典'!C73,IF(C22&lt;=100,'前提と出典'!B74+'前提と出典'!C74,IF(C22&lt;=500,'前提と出典'!B75+'前提と出典'!C75,'前提と出典'!B76+'前提と出典'!C76))))</ns0:f>
        <ns0:v>20000</ns0:v>
      </ns0:c>
      <ns0:c r="O22" s="16">
        <ns0:f>IF(('前提と出典'!$C$37+'前提と出典'!$C$38)=0,0,IF(D22&lt;=10,'前提と出典'!D73+'前提と出典'!E73,IF(D22&lt;=100,'前提と出典'!D74+'前提と出典'!E74,IF(D22&lt;=500,'前提と出典'!D75+'前提と出典'!E75,'前提と出典'!D76+'前提と出典'!E76))))</ns0:f>
        <ns0:v>34510.9346263078</ns0:v>
      </ns0:c>
      <ns0:c r="P22" s="16">
        <ns0:f>IF('前提と出典'!$C$36+'前提と出典'!$C$38=0,0,'前提と出典'!$B$4*IF('前提と出典'!$B$20=0,MAX('前提と出典'!$B$6,E22*'前提と出典'!$B$5),'前提と出典'!$B$6+E22*'前提と出典'!$B$5))</ns0:f>
        <ns0:v>53621.09497206705</ns0:v>
      </ns0:c>
      <ns0:c r="Q22" s="16">
        <ns0:f>(F22+H22)*(1-'前提と出典'!$B$7)-J22-L22-N22-P22</ns0:f>
        <ns0:v>135829.7376073128</ns0:v>
      </ns0:c>
      <ns0:c r="R22" s="16">
        <ns0:f>(G22+I22)*(1-'前提と出典'!$B$7)-K22-M22-O22</ns0:f>
        <ns0:v>15643.69220614095</ns0:v>
      </ns0:c>
      <ns0:c r="S22" s="16">
        <ns0:f>Q22-F22*'前提と出典'!$E$4</ns0:f>
        <ns0:v>95104.99625081001</ns0:v>
      </ns0:c>
      <ns0:c r="T22" s="16">
        <ns0:f>R22-G22*'前提と出典'!$E$4</ns0:f>
        <ns0:v>3810.123352374525</ns0:v>
      </ns0:c>
      <ns0:c r="U22" s="7">
        <ns0:f>S22+T22</ns0:f>
        <ns0:v>98915.11960318455</ns0:v>
      </ns0:c>
      <ns0:c r="V22" s="16">
        <ns0:f>Q22-F22*'前提と出典'!$E$5</ns0:f>
        <ns0:v>81530.08246530907</ns0:v>
      </ns0:c>
      <ns0:c r="W22" s="16">
        <ns0:f>R22-G22*'前提と出典'!$E$5</ns0:f>
        <ns0:v>-134.39959888094745</ns0:v>
      </ns0:c>
      <ns0:c r="X22" s="7">
        <ns0:f>V22+W22</ns0:f>
        <ns0:v>81395.68286642812</ns0:v>
      </ns0:c>
      <ns0:c r="Y22" s="16">
        <ns0:f>Q22-F22*'前提と出典'!$E$6</ns0:f>
        <ns0:v>67955.16867980812</ns0:v>
      </ns0:c>
      <ns0:c r="Z22" s="16">
        <ns0:f>R22-G22*'前提と出典'!$E$6</ns0:f>
        <ns0:v>-4078.92255013642</ns0:v>
      </ns0:c>
      <ns0:c r="AA22" s="7">
        <ns0:f>Y22+Z22</ns0:f>
        <ns0:v>63876.2461296717</ns0:v>
      </ns0:c>
      <ns0:c r="AB22" s="7">
        <ns0:f>AB21+U22</ns0:f>
        <ns0:v>464761.28408540774</ns0:v>
      </ns0:c>
      <ns0:c r="AC22" s="7">
        <ns0:f>AC21+X22</ns0:f>
        <ns0:v>298326.63508622185</ns0:v>
      </ns0:c>
      <ns0:c r="AD22" s="7">
        <ns0:f>AD21+AA22</ns0:f>
        <ns0:v>131891.98608703603</ns0:v>
      </ns0:c>
      <ns0:c r="AE22" s="7">
        <ns0:f>MAX(0,-MIN($AB$5:AB22))</ns0:f>
        <ns0:v>158010.6003560275</ns0:v>
      </ns0:c>
      <ns0:c r="AF22" s="7">
        <ns0:f>MAX(0,-MIN($AC$5:AC22))</ns0:f>
        <ns0:v>181755.65632779445</ns0:v>
      </ns0:c>
      <ns0:c r="AG22" s="7">
        <ns0:f>MAX(0,-MIN($AD$5:AD22))</ns0:f>
        <ns0:v>210902.5233197324</ns0:v>
      </ns0:c>
      <ns0:c r="AH22" s="4">
        <ns0:f>IF(U22&gt;=0,A22,37)</ns0:f>
        <ns0:v>18</ns0:v>
      </ns0:c>
      <ns0:c r="AI22" s="4">
        <ns0:f>IF(AB22&gt;=0,A22,37)</ns0:f>
        <ns0:v>18</ns0:v>
      </ns0:c>
      <ns0:c r="AJ22" s="4">
        <ns0:f>IF(X22&gt;=0,A22,37)</ns0:f>
        <ns0:v>18</ns0:v>
      </ns0:c>
      <ns0:c r="AK22" s="4">
        <ns0:f>IF(AC22&gt;=0,A22,37)</ns0:f>
        <ns0:v>18</ns0:v>
      </ns0:c>
      <ns0:c r="AL22" s="4">
        <ns0:f>IF(AA22&gt;=0,A22,37)</ns0:f>
        <ns0:v>18</ns0:v>
      </ns0:c>
      <ns0:c r="AM22" s="4">
        <ns0:f>IF(AD22&gt;=0,A22,37)</ns0:f>
        <ns0:v>18</ns0:v>
      </ns0:c>
    </ns0:row>
    <ns0:row r="23" ht="24" customHeight="1">
      <ns0:c r="A23" s="4" t="n">
        <ns0:v>19</ns0:v>
      </ns0:c>
      <ns0:c r="B23" s="12">
        <ns0:f>B22*(1-'前提と出典'!$B$31)+'前提と出典'!$B$30</ns0:f>
        <ns0:v>57</ns0:v>
      </ns0:c>
      <ns0:c r="C23" s="12">
        <ns0:f>B23*('前提と出典'!$C$36+'前提と出典'!$C$38)</ns0:f>
        <ns0:v>39.9</ns0:v>
      </ns0:c>
      <ns0:c r="D23" s="16">
        <ns0:f>B23*('前提と出典'!$C$37+'前提と出典'!$C$38)</ns0:f>
        <ns0:v>34.199999999999996</ns0:v>
      </ns0:c>
      <ns0:c r="E23" s="16">
        <ns0:f>B23*('前提と出典'!$C$36*'契約別単価'!C5+'前提と出典'!$C$37*'契約別単価'!C6+'前提と出典'!$C$38*'契約別単価'!C7)</ns0:f>
        <ns0:v>410.14525139664806</ns0:v>
      </ns0:c>
      <ns0:c r="F23" s="16">
        <ns0:f>B23*('前提と出典'!$C$36*'契約別単価'!E5+'前提と出典'!$C$37*'契約別単価'!E6+'前提と出典'!$C$38*'契約別単価'!E7)</ns0:f>
        <ns0:v>143290.75662473205</ns0:v>
      </ns0:c>
      <ns0:c r="G23" s="16">
        <ns0:f>B23*('前提と出典'!$C$36*'契約別単価'!F5+'前提と出典'!$C$37*'契約別単価'!F6+'前提と出典'!$C$38*'契約別単価'!F7)</ns0:f>
        <ns0:v>41636.63115214111</ns0:v>
      </ns0:c>
      <ns0:c r="H23" s="16">
        <ns0:f>B23*('前提と出典'!$C$36*'契約別単価'!G5+'前提と出典'!$C$37*'契約別単価'!G6+'前提と出典'!$C$38*'契約別単価'!G7)</ns0:f>
        <ns0:v>113458.6592178771</ns0:v>
      </ns0:c>
      <ns0:c r="I23" s="16">
        <ns0:f>B23*('前提と出典'!$C$36*'契約別単価'!H5+'前提と出典'!$C$37*'契約別単価'!H6+'前提と出典'!$C$38*'契約別単価'!H7)</ns0:f>
        <ns0:v>39375.84514752533</ns0:v>
      </ns0:c>
      <ns0:c r="J23" s="16">
        <ns0:f>B23*('前提と出典'!$C$36*'契約別単価'!I5+'前提と出典'!$C$37*'契約別単価'!I6+'前提と出典'!$C$38*'契約別単価'!I7)</ns0:f>
        <ns0:v>2405.145251396648</ns0:v>
      </ns0:c>
      <ns0:c r="K23" s="16">
        <ns0:f>B23*('前提と出典'!$C$36*'契約別単価'!J5+'前提と出典'!$C$37*'契約別単価'!J6+'前提と出典'!$C$38*'契約別単価'!J7)</ns0:f>
        <ns0:v>5602.503991487246</ns0:v>
      </ns0:c>
      <ns0:c r="L23" s="16">
        <ns0:f>B23*('前提と出典'!$C$36*'契約別単価'!K5+'前提と出典'!$C$37*'契約別単価'!K6+'前提と出典'!$C$38*'契約別単価'!K7)</ns0:f>
        <ns0:v>24014.30167597765</ns0:v>
      </ns0:c>
      <ns0:c r="M23" s="16">
        <ns0:f>B23*('前提と出典'!$C$36*'契約別単価'!L5+'前提と出典'!$C$37*'契約別単価'!L6+'前提と出典'!$C$38*'契約別単価'!L7)</ns0:f>
        <ns0:v>19552.528171584177</ns0:v>
      </ns0:c>
      <ns0:c r="N23" s="16">
        <ns0:f>IF(('前提と出典'!$C$36+'前提と出典'!$C$38)=0,0,IF(C23&lt;=10,'前提と出典'!B73+'前提と出典'!C73,IF(C23&lt;=100,'前提と出典'!B74+'前提と出典'!C74,IF(C23&lt;=500,'前提と出典'!B75+'前提と出典'!C75,'前提と出典'!B76+'前提と出典'!C76))))</ns0:f>
        <ns0:v>20000</ns0:v>
      </ns0:c>
      <ns0:c r="O23" s="16">
        <ns0:f>IF(('前提と出典'!$C$37+'前提と出典'!$C$38)=0,0,IF(D23&lt;=10,'前提と出典'!D73+'前提と出典'!E73,IF(D23&lt;=100,'前提と出典'!D74+'前提と出典'!E74,IF(D23&lt;=500,'前提と出典'!D75+'前提と出典'!E75,'前提と出典'!D76+'前提と出典'!E76))))</ns0:f>
        <ns0:v>34510.9346263078</ns0:v>
      </ns0:c>
      <ns0:c r="P23" s="16">
        <ns0:f>IF('前提と出典'!$C$36+'前提と出典'!$C$38=0,0,'前提と出典'!$B$4*IF('前提と出典'!$B$20=0,MAX('前提と出典'!$B$6,E23*'前提と出典'!$B$5),'前提と出典'!$B$6+E23*'前提と出典'!$B$5))</ns0:f>
        <ns0:v>56600.044692737436</ns0:v>
      </ns0:c>
      <ns0:c r="Q23" s="16">
        <ns0:f>(F23+H23)*(1-'前提と出典'!$B$7)-J23-L23-N23-P23</ns0:f>
        <ns0:v>144486.9452521635</ns0:v>
      </ns0:c>
      <ns0:c r="R23" s="16">
        <ns0:f>(G23+I23)*(1-'前提と出典'!$B$7)-K23-M23-O23</ns0:f>
        <ns0:v>18430.060363499233</ns0:v>
      </ns0:c>
      <ns0:c r="S23" s="16">
        <ns0:f>Q23-F23*'前提と出典'!$E$4</ns0:f>
        <ns0:v>101499.71826474386</ns0:v>
      </ns0:c>
      <ns0:c r="T23" s="16">
        <ns0:f>R23-G23*'前提と出典'!$E$4</ns0:f>
        <ns0:v>5939.071017856913</ns0:v>
      </ns0:c>
      <ns0:c r="U23" s="7">
        <ns0:f>S23+T23</ns0:f>
        <ns0:v>107438.78928260077</ns0:v>
      </ns0:c>
      <ns0:c r="V23" s="16">
        <ns0:f>Q23-F23*'前提と出典'!$E$5</ns0:f>
        <ns0:v>87170.64260227067</ns0:v>
      </ns0:c>
      <ns0:c r="W23" s="16">
        <ns0:f>R23-G23*'前提と出典'!$E$5</ns0:f>
        <ns0:v>1775.4079026427862</ns0:v>
      </ns0:c>
      <ns0:c r="X23" s="7">
        <ns0:f>V23+W23</ns0:f>
        <ns0:v>88946.05050491347</ns0:v>
      </ns0:c>
      <ns0:c r="Y23" s="16">
        <ns0:f>Q23-F23*'前提と出典'!$E$6</ns0:f>
        <ns0:v>72841.56693979746</ns0:v>
      </ns0:c>
      <ns0:c r="Z23" s="16">
        <ns0:f>R23-G23*'前提と出典'!$E$6</ns0:f>
        <ns0:v>-2388.255212571319</ns0:v>
      </ns0:c>
      <ns0:c r="AA23" s="7">
        <ns0:f>Y23+Z23</ns0:f>
        <ns0:v>70453.31172722613</ns0:v>
      </ns0:c>
      <ns0:c r="AB23" s="7">
        <ns0:f>AB22+U23</ns0:f>
        <ns0:v>572200.0733680085</ns0:v>
      </ns0:c>
      <ns0:c r="AC23" s="7">
        <ns0:f>AC22+X23</ns0:f>
        <ns0:v>387272.6855911353</ns0:v>
      </ns0:c>
      <ns0:c r="AD23" s="7">
        <ns0:f>AD22+AA23</ns0:f>
        <ns0:v>202345.29781426216</ns0:v>
      </ns0:c>
      <ns0:c r="AE23" s="7">
        <ns0:f>MAX(0,-MIN($AB$5:AB23))</ns0:f>
        <ns0:v>158010.6003560275</ns0:v>
      </ns0:c>
      <ns0:c r="AF23" s="7">
        <ns0:f>MAX(0,-MIN($AC$5:AC23))</ns0:f>
        <ns0:v>181755.65632779445</ns0:v>
      </ns0:c>
      <ns0:c r="AG23" s="7">
        <ns0:f>MAX(0,-MIN($AD$5:AD23))</ns0:f>
        <ns0:v>210902.5233197324</ns0:v>
      </ns0:c>
      <ns0:c r="AH23" s="4">
        <ns0:f>IF(U23&gt;=0,A23,37)</ns0:f>
        <ns0:v>19</ns0:v>
      </ns0:c>
      <ns0:c r="AI23" s="4">
        <ns0:f>IF(AB23&gt;=0,A23,37)</ns0:f>
        <ns0:v>19</ns0:v>
      </ns0:c>
      <ns0:c r="AJ23" s="4">
        <ns0:f>IF(X23&gt;=0,A23,37)</ns0:f>
        <ns0:v>19</ns0:v>
      </ns0:c>
      <ns0:c r="AK23" s="4">
        <ns0:f>IF(AC23&gt;=0,A23,37)</ns0:f>
        <ns0:v>19</ns0:v>
      </ns0:c>
      <ns0:c r="AL23" s="4">
        <ns0:f>IF(AA23&gt;=0,A23,37)</ns0:f>
        <ns0:v>19</ns0:v>
      </ns0:c>
      <ns0:c r="AM23" s="4">
        <ns0:f>IF(AD23&gt;=0,A23,37)</ns0:f>
        <ns0:v>19</ns0:v>
      </ns0:c>
    </ns0:row>
    <ns0:row r="24" ht="24" customHeight="1">
      <ns0:c r="A24" s="4" t="n">
        <ns0:v>20</ns0:v>
      </ns0:c>
      <ns0:c r="B24" s="12">
        <ns0:f>B23*(1-'前提と出典'!$B$31)+'前提と出典'!$B$30</ns0:f>
        <ns0:v>60</ns0:v>
      </ns0:c>
      <ns0:c r="C24" s="12">
        <ns0:f>B24*('前提と出典'!$C$36+'前提と出典'!$C$38)</ns0:f>
        <ns0:v>42</ns0:v>
      </ns0:c>
      <ns0:c r="D24" s="16">
        <ns0:f>B24*('前提と出典'!$C$37+'前提と出典'!$C$38)</ns0:f>
        <ns0:v>36</ns0:v>
      </ns0:c>
      <ns0:c r="E24" s="16">
        <ns0:f>B24*('前提と出典'!$C$36*'契約別単価'!C5+'前提と出典'!$C$37*'契約別単価'!C6+'前提と出典'!$C$38*'契約別単価'!C7)</ns0:f>
        <ns0:v>431.731843575419</ns0:v>
      </ns0:c>
      <ns0:c r="F24" s="16">
        <ns0:f>B24*('前提と出典'!$C$36*'契約別単価'!E5+'前提と出典'!$C$37*'契約別単価'!E6+'前提と出典'!$C$38*'契約別単価'!E7)</ns0:f>
        <ns0:v>150832.3753944548</ns0:v>
      </ns0:c>
      <ns0:c r="G24" s="16">
        <ns0:f>B24*('前提と出典'!$C$36*'契約別単価'!F5+'前提と出典'!$C$37*'契約別単価'!F6+'前提と出典'!$C$38*'契約別単価'!F7)</ns0:f>
        <ns0:v>43828.03279172749</ns0:v>
      </ns0:c>
      <ns0:c r="H24" s="16">
        <ns0:f>B24*('前提と出典'!$C$36*'契約別単価'!G5+'前提と出典'!$C$37*'契約別単価'!G6+'前提と出典'!$C$38*'契約別単価'!G7)</ns0:f>
        <ns0:v>119430.16759776536</ns0:v>
      </ns0:c>
      <ns0:c r="I24" s="16">
        <ns0:f>B24*('前提と出典'!$C$36*'契約別単価'!H5+'前提と出典'!$C$37*'契約別単価'!H6+'前提と出典'!$C$38*'契約別単価'!H7)</ns0:f>
        <ns0:v>41448.25805002666</ns0:v>
      </ns0:c>
      <ns0:c r="J24" s="16">
        <ns0:f>B24*('前提と出典'!$C$36*'契約別単価'!I5+'前提と出典'!$C$37*'契約別単価'!I6+'前提と出典'!$C$38*'契約別単価'!I7)</ns0:f>
        <ns0:v>2531.7318435754187</ns0:v>
      </ns0:c>
      <ns0:c r="K24" s="16">
        <ns0:f>B24*('前提と出典'!$C$36*'契約別単価'!J5+'前提と出典'!$C$37*'契約別単価'!J6+'前提と出典'!$C$38*'契約別単価'!J7)</ns0:f>
        <ns0:v>5897.372622618154</ns0:v>
      </ns0:c>
      <ns0:c r="L24" s="16">
        <ns0:f>B24*('前提と出典'!$C$36*'契約別単価'!K5+'前提と出典'!$C$37*'契約別単価'!K6+'前提と出典'!$C$38*'契約別単価'!K7)</ns0:f>
        <ns0:v>25278.21229050279</ns0:v>
      </ns0:c>
      <ns0:c r="M24" s="16">
        <ns0:f>B24*('前提と出典'!$C$36*'契約別単価'!L5+'前提と出典'!$C$37*'契約別単価'!L6+'前提と出典'!$C$38*'契約別単価'!L7)</ns0:f>
        <ns0:v>20581.608601667554</ns0:v>
      </ns0:c>
      <ns0:c r="N24" s="16">
        <ns0:f>IF(('前提と出典'!$C$36+'前提と出典'!$C$38)=0,0,IF(C24&lt;=10,'前提と出典'!B73+'前提と出典'!C73,IF(C24&lt;=100,'前提と出典'!B74+'前提と出典'!C74,IF(C24&lt;=500,'前提と出典'!B75+'前提と出典'!C75,'前提と出典'!B76+'前提と出典'!C76))))</ns0:f>
        <ns0:v>20000</ns0:v>
      </ns0:c>
      <ns0:c r="O24" s="16">
        <ns0:f>IF(('前提と出典'!$C$37+'前提と出典'!$C$38)=0,0,IF(D24&lt;=10,'前提と出典'!D73+'前提と出典'!E73,IF(D24&lt;=100,'前提と出典'!D74+'前提と出典'!E74,IF(D24&lt;=500,'前提と出典'!D75+'前提と出典'!E75,'前提と出典'!D76+'前提と出典'!E76))))</ns0:f>
        <ns0:v>34510.9346263078</ns0:v>
      </ns0:c>
      <ns0:c r="P24" s="16">
        <ns0:f>IF('前提と出典'!$C$36+'前提と出典'!$C$38=0,0,'前提と出典'!$B$4*IF('前提と出典'!$B$20=0,MAX('前提と出典'!$B$6,E24*'前提と出典'!$B$5),'前提と出典'!$B$6+E24*'前提と出典'!$B$5))</ns0:f>
        <ns0:v>59578.994413407825</ns0:v>
      </ns0:c>
      <ns0:c r="Q24" s="16">
        <ns0:f>(F24+H24)*(1-'前提と出典'!$B$7)-J24-L24-N24-P24</ns0:f>
        <ns0:v>153144.1528970142</ns0:v>
      </ns0:c>
      <ns0:c r="R24" s="16">
        <ns0:f>(G24+I24)*(1-'前提と出典'!$B$7)-K24-M24-O24</ns0:f>
        <ns0:v>21216.428520857495</ns0:v>
      </ns0:c>
      <ns0:c r="S24" s="16">
        <ns0:f>Q24-F24*'前提と出典'!$E$4</ns0:f>
        <ns0:v>107894.44027867775</ns0:v>
      </ns0:c>
      <ns0:c r="T24" s="16">
        <ns0:f>R24-G24*'前提と出典'!$E$4</ns0:f>
        <ns0:v>8068.018683339236</ns0:v>
      </ns0:c>
      <ns0:c r="U24" s="7">
        <ns0:f>S24+T24</ns0:f>
        <ns0:v>115962.45896201699</ns0:v>
      </ns0:c>
      <ns0:c r="V24" s="16">
        <ns0:f>Q24-F24*'前提と出典'!$E$5</ns0:f>
        <ns0:v>92811.20273923226</ns0:v>
      </ns0:c>
      <ns0:c r="W24" s="16">
        <ns0:f>R24-G24*'前提と出典'!$E$5</ns0:f>
        <ns0:v>3685.215404166498</ns0:v>
      </ns0:c>
      <ns0:c r="X24" s="7">
        <ns0:f>V24+W24</ns0:f>
        <ns0:v>96496.41814339877</ns0:v>
      </ns0:c>
      <ns0:c r="Y24" s="16">
        <ns0:f>Q24-F24*'前提と出典'!$E$6</ns0:f>
        <ns0:v>77727.96519978678</ns0:v>
      </ns0:c>
      <ns0:c r="Z24" s="16">
        <ns0:f>R24-G24*'前提と出典'!$E$6</ns0:f>
        <ns0:v>-697.5878750062475</ns0:v>
      </ns0:c>
      <ns0:c r="AA24" s="7">
        <ns0:f>Y24+Z24</ns0:f>
        <ns0:v>77030.37732478054</ns0:v>
      </ns0:c>
      <ns0:c r="AB24" s="7">
        <ns0:f>AB23+U24</ns0:f>
        <ns0:v>688162.5323300255</ns0:v>
      </ns0:c>
      <ns0:c r="AC24" s="7">
        <ns0:f>AC23+X24</ns0:f>
        <ns0:v>483769.10373453406</ns0:v>
      </ns0:c>
      <ns0:c r="AD24" s="7">
        <ns0:f>AD23+AA24</ns0:f>
        <ns0:v>279375.67513904267</ns0:v>
      </ns0:c>
      <ns0:c r="AE24" s="7">
        <ns0:f>MAX(0,-MIN($AB$5:AB24))</ns0:f>
        <ns0:v>158010.6003560275</ns0:v>
      </ns0:c>
      <ns0:c r="AF24" s="7">
        <ns0:f>MAX(0,-MIN($AC$5:AC24))</ns0:f>
        <ns0:v>181755.65632779445</ns0:v>
      </ns0:c>
      <ns0:c r="AG24" s="7">
        <ns0:f>MAX(0,-MIN($AD$5:AD24))</ns0:f>
        <ns0:v>210902.5233197324</ns0:v>
      </ns0:c>
      <ns0:c r="AH24" s="4">
        <ns0:f>IF(U24&gt;=0,A24,37)</ns0:f>
        <ns0:v>20</ns0:v>
      </ns0:c>
      <ns0:c r="AI24" s="4">
        <ns0:f>IF(AB24&gt;=0,A24,37)</ns0:f>
        <ns0:v>20</ns0:v>
      </ns0:c>
      <ns0:c r="AJ24" s="4">
        <ns0:f>IF(X24&gt;=0,A24,37)</ns0:f>
        <ns0:v>20</ns0:v>
      </ns0:c>
      <ns0:c r="AK24" s="4">
        <ns0:f>IF(AC24&gt;=0,A24,37)</ns0:f>
        <ns0:v>20</ns0:v>
      </ns0:c>
      <ns0:c r="AL24" s="4">
        <ns0:f>IF(AA24&gt;=0,A24,37)</ns0:f>
        <ns0:v>20</ns0:v>
      </ns0:c>
      <ns0:c r="AM24" s="4">
        <ns0:f>IF(AD24&gt;=0,A24,37)</ns0:f>
        <ns0:v>20</ns0:v>
      </ns0:c>
    </ns0:row>
    <ns0:row r="25" ht="24" customHeight="1">
      <ns0:c r="A25" s="4" t="n">
        <ns0:v>21</ns0:v>
      </ns0:c>
      <ns0:c r="B25" s="12">
        <ns0:f>B24*(1-'前提と出典'!$B$31)+'前提と出典'!$B$30</ns0:f>
        <ns0:v>63</ns0:v>
      </ns0:c>
      <ns0:c r="C25" s="12">
        <ns0:f>B25*('前提と出典'!$C$36+'前提と出典'!$C$38)</ns0:f>
        <ns0:v>44.099999999999994</ns0:v>
      </ns0:c>
      <ns0:c r="D25" s="16">
        <ns0:f>B25*('前提と出典'!$C$37+'前提と出典'!$C$38)</ns0:f>
        <ns0:v>37.8</ns0:v>
      </ns0:c>
      <ns0:c r="E25" s="16">
        <ns0:f>B25*('前提と出典'!$C$36*'契約別単価'!C5+'前提と出典'!$C$37*'契約別単価'!C6+'前提と出典'!$C$38*'契約別単価'!C7)</ns0:f>
        <ns0:v>453.3184357541899</ns0:v>
      </ns0:c>
      <ns0:c r="F25" s="16">
        <ns0:f>B25*('前提と出典'!$C$36*'契約別単価'!E5+'前提と出典'!$C$37*'契約別単価'!E6+'前提と出典'!$C$38*'契約別単価'!E7)</ns0:f>
        <ns0:v>158373.99416417754</ns0:v>
      </ns0:c>
      <ns0:c r="G25" s="16">
        <ns0:f>B25*('前提と出典'!$C$36*'契約別単価'!F5+'前提と出典'!$C$37*'契約別単価'!F6+'前提と出典'!$C$38*'契約別単価'!F7)</ns0:f>
        <ns0:v>46019.434431313864</ns0:v>
      </ns0:c>
      <ns0:c r="H25" s="16">
        <ns0:f>B25*('前提と出典'!$C$36*'契約別単価'!G5+'前提と出典'!$C$37*'契約別単価'!G6+'前提と出典'!$C$38*'契約別単価'!G7)</ns0:f>
        <ns0:v>125401.67597765362</ns0:v>
      </ns0:c>
      <ns0:c r="I25" s="16">
        <ns0:f>B25*('前提と出典'!$C$36*'契約別単価'!H5+'前提と出典'!$C$37*'契約別単価'!H6+'前提と出典'!$C$38*'契約別単価'!H7)</ns0:f>
        <ns0:v>43520.670952527995</ns0:v>
      </ns0:c>
      <ns0:c r="J25" s="16">
        <ns0:f>B25*('前提と出典'!$C$36*'契約別単価'!I5+'前提と出典'!$C$37*'契約別単価'!I6+'前提と出典'!$C$38*'契約別単価'!I7)</ns0:f>
        <ns0:v>2658.3184357541895</ns0:v>
      </ns0:c>
      <ns0:c r="K25" s="16">
        <ns0:f>B25*('前提と出典'!$C$36*'契約別単価'!J5+'前提と出典'!$C$37*'契約別単価'!J6+'前提と出典'!$C$38*'契約別単価'!J7)</ns0:f>
        <ns0:v>6192.241253749062</ns0:v>
      </ns0:c>
      <ns0:c r="L25" s="16">
        <ns0:f>B25*('前提と出典'!$C$36*'契約別単価'!K5+'前提と出典'!$C$37*'契約別単価'!K6+'前提と出典'!$C$38*'契約別単価'!K7)</ns0:f>
        <ns0:v>26542.122905027933</ns0:v>
      </ns0:c>
      <ns0:c r="M25" s="16">
        <ns0:f>B25*('前提と出典'!$C$36*'契約別単価'!L5+'前提と出典'!$C$37*'契約別単価'!L6+'前提と出典'!$C$38*'契約別単価'!L7)</ns0:f>
        <ns0:v>21610.68903175093</ns0:v>
      </ns0:c>
      <ns0:c r="N25" s="16">
        <ns0:f>IF(('前提と出典'!$C$36+'前提と出典'!$C$38)=0,0,IF(C25&lt;=10,'前提と出典'!B73+'前提と出典'!C73,IF(C25&lt;=100,'前提と出典'!B74+'前提と出典'!C74,IF(C25&lt;=500,'前提と出典'!B75+'前提と出典'!C75,'前提と出典'!B76+'前提と出典'!C76))))</ns0:f>
        <ns0:v>20000</ns0:v>
      </ns0:c>
      <ns0:c r="O25" s="16">
        <ns0:f>IF(('前提と出典'!$C$37+'前提と出典'!$C$38)=0,0,IF(D25&lt;=10,'前提と出典'!D73+'前提と出典'!E73,IF(D25&lt;=100,'前提と出典'!D74+'前提と出典'!E74,IF(D25&lt;=500,'前提と出典'!D75+'前提と出典'!E75,'前提と出典'!D76+'前提と出典'!E76))))</ns0:f>
        <ns0:v>34510.9346263078</ns0:v>
      </ns0:c>
      <ns0:c r="P25" s="16">
        <ns0:f>IF('前提と出典'!$C$36+'前提と出典'!$C$38=0,0,'前提と出典'!$B$4*IF('前提と出典'!$B$20=0,MAX('前提と出典'!$B$6,E25*'前提と出典'!$B$5),'前提と出典'!$B$6+E25*'前提と出典'!$B$5))</ns0:f>
        <ns0:v>62557.94413407821</ns0:v>
      </ns0:c>
      <ns0:c r="Q25" s="16">
        <ns0:f>(F25+H25)*(1-'前提と出典'!$B$7)-J25-L25-N25-P25</ns0:f>
        <ns0:v>161801.36054186488</ns0:v>
      </ns0:c>
      <ns0:c r="R25" s="16">
        <ns0:f>(G25+I25)*(1-'前提と出典'!$B$7)-K25-M25-O25</ns0:f>
        <ns0:v>24002.796678215764</ns0:v>
      </ns0:c>
      <ns0:c r="S25" s="16">
        <ns0:f>Q25-F25*'前提と出典'!$E$4</ns0:f>
        <ns0:v>114289.16229261163</ns0:v>
      </ns0:c>
      <ns0:c r="T25" s="16">
        <ns0:f>R25-G25*'前提と出典'!$E$4</ns0:f>
        <ns0:v>10196.966348821603</ns0:v>
      </ns0:c>
      <ns0:c r="U25" s="7">
        <ns0:f>S25+T25</ns0:f>
        <ns0:v>124486.12864143323</ns0:v>
      </ns0:c>
      <ns0:c r="V25" s="16">
        <ns0:f>Q25-F25*'前提と出典'!$E$5</ns0:f>
        <ns0:v>98451.76287619387</ns0:v>
      </ns0:c>
      <ns0:c r="W25" s="16">
        <ns0:f>R25-G25*'前提と出典'!$E$5</ns0:f>
        <ns0:v>5595.022905690217</ns0:v>
      </ns0:c>
      <ns0:c r="X25" s="7">
        <ns0:f>V25+W25</ns0:f>
        <ns0:v>104046.78578188409</ns0:v>
      </ns0:c>
      <ns0:c r="Y25" s="16">
        <ns0:f>Q25-F25*'前提と出典'!$E$6</ns0:f>
        <ns0:v>82614.36345977611</ns0:v>
      </ns0:c>
      <ns0:c r="Z25" s="16">
        <ns0:f>R25-G25*'前提と出典'!$E$6</ns0:f>
        <ns0:v>993.0794625588387</ns0:v>
      </ns0:c>
      <ns0:c r="AA25" s="7">
        <ns0:f>Y25+Z25</ns0:f>
        <ns0:v>83607.44292233494</ns0:v>
      </ns0:c>
      <ns0:c r="AB25" s="7">
        <ns0:f>AB24+U25</ns0:f>
        <ns0:v>812648.6609714587</ns0:v>
      </ns0:c>
      <ns0:c r="AC25" s="7">
        <ns0:f>AC24+X25</ns0:f>
        <ns0:v>587815.8895164181</ns0:v>
      </ns0:c>
      <ns0:c r="AD25" s="7">
        <ns0:f>AD24+AA25</ns0:f>
        <ns0:v>362983.1180613776</ns0:v>
      </ns0:c>
      <ns0:c r="AE25" s="7">
        <ns0:f>MAX(0,-MIN($AB$5:AB25))</ns0:f>
        <ns0:v>158010.6003560275</ns0:v>
      </ns0:c>
      <ns0:c r="AF25" s="7">
        <ns0:f>MAX(0,-MIN($AC$5:AC25))</ns0:f>
        <ns0:v>181755.65632779445</ns0:v>
      </ns0:c>
      <ns0:c r="AG25" s="7">
        <ns0:f>MAX(0,-MIN($AD$5:AD25))</ns0:f>
        <ns0:v>210902.5233197324</ns0:v>
      </ns0:c>
      <ns0:c r="AH25" s="4">
        <ns0:f>IF(U25&gt;=0,A25,37)</ns0:f>
        <ns0:v>21</ns0:v>
      </ns0:c>
      <ns0:c r="AI25" s="4">
        <ns0:f>IF(AB25&gt;=0,A25,37)</ns0:f>
        <ns0:v>21</ns0:v>
      </ns0:c>
      <ns0:c r="AJ25" s="4">
        <ns0:f>IF(X25&gt;=0,A25,37)</ns0:f>
        <ns0:v>21</ns0:v>
      </ns0:c>
      <ns0:c r="AK25" s="4">
        <ns0:f>IF(AC25&gt;=0,A25,37)</ns0:f>
        <ns0:v>21</ns0:v>
      </ns0:c>
      <ns0:c r="AL25" s="4">
        <ns0:f>IF(AA25&gt;=0,A25,37)</ns0:f>
        <ns0:v>21</ns0:v>
      </ns0:c>
      <ns0:c r="AM25" s="4">
        <ns0:f>IF(AD25&gt;=0,A25,37)</ns0:f>
        <ns0:v>21</ns0:v>
      </ns0:c>
    </ns0:row>
    <ns0:row r="26" ht="24" customHeight="1">
      <ns0:c r="A26" s="4" t="n">
        <ns0:v>22</ns0:v>
      </ns0:c>
      <ns0:c r="B26" s="12">
        <ns0:f>B25*(1-'前提と出典'!$B$31)+'前提と出典'!$B$30</ns0:f>
        <ns0:v>66</ns0:v>
      </ns0:c>
      <ns0:c r="C26" s="12">
        <ns0:f>B26*('前提と出典'!$C$36+'前提と出典'!$C$38)</ns0:f>
        <ns0:v>46.199999999999996</ns0:v>
      </ns0:c>
      <ns0:c r="D26" s="16">
        <ns0:f>B26*('前提と出典'!$C$37+'前提と出典'!$C$38)</ns0:f>
        <ns0:v>39.6</ns0:v>
      </ns0:c>
      <ns0:c r="E26" s="16">
        <ns0:f>B26*('前提と出典'!$C$36*'契約別単価'!C5+'前提と出典'!$C$37*'契約別単価'!C6+'前提と出典'!$C$38*'契約別単価'!C7)</ns0:f>
        <ns0:v>474.9050279329609</ns0:v>
      </ns0:c>
      <ns0:c r="F26" s="16">
        <ns0:f>B26*('前提と出典'!$C$36*'契約別単価'!E5+'前提と出典'!$C$37*'契約別単価'!E6+'前提と出典'!$C$38*'契約別単価'!E7)</ns0:f>
        <ns0:v>165915.61293390027</ns0:v>
      </ns0:c>
      <ns0:c r="G26" s="16">
        <ns0:f>B26*('前提と出典'!$C$36*'契約別単価'!F5+'前提と出典'!$C$37*'契約別単価'!F6+'前提と出典'!$C$38*'契約別単価'!F7)</ns0:f>
        <ns0:v>48210.83607090024</ns0:v>
      </ns0:c>
      <ns0:c r="H26" s="16">
        <ns0:f>B26*('前提と出典'!$C$36*'契約別単価'!G5+'前提と出典'!$C$37*'契約別単価'!G6+'前提と出典'!$C$38*'契約別単価'!G7)</ns0:f>
        <ns0:v>131373.1843575419</ns0:v>
      </ns0:c>
      <ns0:c r="I26" s="16">
        <ns0:f>B26*('前提と出典'!$C$36*'契約別単価'!H5+'前提と出典'!$C$37*'契約別単価'!H6+'前提と出典'!$C$38*'契約別単価'!H7)</ns0:f>
        <ns0:v>45593.08385502933</ns0:v>
      </ns0:c>
      <ns0:c r="J26" s="16">
        <ns0:f>B26*('前提と出典'!$C$36*'契約別単価'!I5+'前提と出典'!$C$37*'契約別単価'!I6+'前提と出典'!$C$38*'契約別単価'!I7)</ns0:f>
        <ns0:v>2784.9050279329604</ns0:v>
      </ns0:c>
      <ns0:c r="K26" s="16">
        <ns0:f>B26*('前提と出典'!$C$36*'契約別単価'!J5+'前提と出典'!$C$37*'契約別単価'!J6+'前提と出典'!$C$38*'契約別単価'!J7)</ns0:f>
        <ns0:v>6487.109884879969</ns0:v>
      </ns0:c>
      <ns0:c r="L26" s="16">
        <ns0:f>B26*('前提と出典'!$C$36*'契約別単価'!K5+'前提と出典'!$C$37*'契約別単価'!K6+'前提と出典'!$C$38*'契約別単価'!K7)</ns0:f>
        <ns0:v>27806.03351955307</ns0:v>
      </ns0:c>
      <ns0:c r="M26" s="16">
        <ns0:f>B26*('前提と出典'!$C$36*'契約別単価'!L5+'前提と出典'!$C$37*'契約別単価'!L6+'前提と出典'!$C$38*'契約別単価'!L7)</ns0:f>
        <ns0:v>22639.76946183431</ns0:v>
      </ns0:c>
      <ns0:c r="N26" s="16">
        <ns0:f>IF(('前提と出典'!$C$36+'前提と出典'!$C$38)=0,0,IF(C26&lt;=10,'前提と出典'!B73+'前提と出典'!C73,IF(C26&lt;=100,'前提と出典'!B74+'前提と出典'!C74,IF(C26&lt;=500,'前提と出典'!B75+'前提と出典'!C75,'前提と出典'!B76+'前提と出典'!C76))))</ns0:f>
        <ns0:v>20000</ns0:v>
      </ns0:c>
      <ns0:c r="O26" s="16">
        <ns0:f>IF(('前提と出典'!$C$37+'前提と出典'!$C$38)=0,0,IF(D26&lt;=10,'前提と出典'!D73+'前提と出典'!E73,IF(D26&lt;=100,'前提と出典'!D74+'前提と出典'!E74,IF(D26&lt;=500,'前提と出典'!D75+'前提と出典'!E75,'前提と出典'!D76+'前提と出典'!E76))))</ns0:f>
        <ns0:v>34510.9346263078</ns0:v>
      </ns0:c>
      <ns0:c r="P26" s="16">
        <ns0:f>IF('前提と出典'!$C$36+'前提と出典'!$C$38=0,0,'前提と出典'!$B$4*IF('前提と出典'!$B$20=0,MAX('前提と出典'!$B$6,E26*'前提と出典'!$B$5),'前提と出典'!$B$6+E26*'前提と出典'!$B$5))</ns0:f>
        <ns0:v>65536.8938547486</ns0:v>
      </ns0:c>
      <ns0:c r="Q26" s="16">
        <ns0:f>(F26+H26)*(1-'前提と出典'!$B$7)-J26-L26-N26-P26</ns0:f>
        <ns0:v>170458.56818671562</ns0:v>
      </ns0:c>
      <ns0:c r="R26" s="16">
        <ns0:f>(G26+I26)*(1-'前提と出典'!$B$7)-K26-M26-O26</ns0:f>
        <ns0:v>26789.164835574025</ns0:v>
      </ns0:c>
      <ns0:c r="S26" s="16">
        <ns0:f>Q26-F26*'前提と出典'!$E$4</ns0:f>
        <ns0:v>120683.88430654554</ns0:v>
      </ns0:c>
      <ns0:c r="T26" s="16">
        <ns0:f>R26-G26*'前提と出典'!$E$4</ns0:f>
        <ns0:v>12325.914014303948</ns0:v>
      </ns0:c>
      <ns0:c r="U26" s="7">
        <ns0:f>S26+T26</ns0:f>
        <ns0:v>133009.79832084948</ns0:v>
      </ns0:c>
      <ns0:c r="V26" s="16">
        <ns0:f>Q26-F26*'前提と出典'!$E$5</ns0:f>
        <ns0:v>104092.32301315552</ns0:v>
      </ns0:c>
      <ns0:c r="W26" s="16">
        <ns0:f>R26-G26*'前提と出典'!$E$5</ns0:f>
        <ns0:v>7504.830407213929</ns0:v>
      </ns0:c>
      <ns0:c r="X26" s="7">
        <ns0:f>V26+W26</ns0:f>
        <ns0:v>111597.15342036945</ns0:v>
      </ns0:c>
      <ns0:c r="Y26" s="16">
        <ns0:f>Q26-F26*'前提と出典'!$E$6</ns0:f>
        <ns0:v>87500.76171976549</ns0:v>
      </ns0:c>
      <ns0:c r="Z26" s="16">
        <ns0:f>R26-G26*'前提と出典'!$E$6</ns0:f>
        <ns0:v>2683.7468001239176</ns0:v>
      </ns0:c>
      <ns0:c r="AA26" s="7">
        <ns0:f>Y26+Z26</ns0:f>
        <ns0:v>90184.50851988941</ns0:v>
      </ns0:c>
      <ns0:c r="AB26" s="7">
        <ns0:f>AB25+U26</ns0:f>
        <ns0:v>945658.4592923082</ns0:v>
      </ns0:c>
      <ns0:c r="AC26" s="7">
        <ns0:f>AC25+X26</ns0:f>
        <ns0:v>699413.0429367876</ns0:v>
      </ns0:c>
      <ns0:c r="AD26" s="7">
        <ns0:f>AD25+AA26</ns0:f>
        <ns0:v>453167.626581267</ns0:v>
      </ns0:c>
      <ns0:c r="AE26" s="7">
        <ns0:f>MAX(0,-MIN($AB$5:AB26))</ns0:f>
        <ns0:v>158010.6003560275</ns0:v>
      </ns0:c>
      <ns0:c r="AF26" s="7">
        <ns0:f>MAX(0,-MIN($AC$5:AC26))</ns0:f>
        <ns0:v>181755.65632779445</ns0:v>
      </ns0:c>
      <ns0:c r="AG26" s="7">
        <ns0:f>MAX(0,-MIN($AD$5:AD26))</ns0:f>
        <ns0:v>210902.5233197324</ns0:v>
      </ns0:c>
      <ns0:c r="AH26" s="4">
        <ns0:f>IF(U26&gt;=0,A26,37)</ns0:f>
        <ns0:v>22</ns0:v>
      </ns0:c>
      <ns0:c r="AI26" s="4">
        <ns0:f>IF(AB26&gt;=0,A26,37)</ns0:f>
        <ns0:v>22</ns0:v>
      </ns0:c>
      <ns0:c r="AJ26" s="4">
        <ns0:f>IF(X26&gt;=0,A26,37)</ns0:f>
        <ns0:v>22</ns0:v>
      </ns0:c>
      <ns0:c r="AK26" s="4">
        <ns0:f>IF(AC26&gt;=0,A26,37)</ns0:f>
        <ns0:v>22</ns0:v>
      </ns0:c>
      <ns0:c r="AL26" s="4">
        <ns0:f>IF(AA26&gt;=0,A26,37)</ns0:f>
        <ns0:v>22</ns0:v>
      </ns0:c>
      <ns0:c r="AM26" s="4">
        <ns0:f>IF(AD26&gt;=0,A26,37)</ns0:f>
        <ns0:v>22</ns0:v>
      </ns0:c>
    </ns0:row>
    <ns0:row r="27" ht="24" customHeight="1">
      <ns0:c r="A27" s="4" t="n">
        <ns0:v>23</ns0:v>
      </ns0:c>
      <ns0:c r="B27" s="12">
        <ns0:f>B26*(1-'前提と出典'!$B$31)+'前提と出典'!$B$30</ns0:f>
        <ns0:v>69</ns0:v>
      </ns0:c>
      <ns0:c r="C27" s="12">
        <ns0:f>B27*('前提と出典'!$C$36+'前提と出典'!$C$38)</ns0:f>
        <ns0:v>48.3</ns0:v>
      </ns0:c>
      <ns0:c r="D27" s="16">
        <ns0:f>B27*('前提と出典'!$C$37+'前提と出典'!$C$38)</ns0:f>
        <ns0:v>41.4</ns0:v>
      </ns0:c>
      <ns0:c r="E27" s="16">
        <ns0:f>B27*('前提と出典'!$C$36*'契約別単価'!C5+'前提と出典'!$C$37*'契約別単価'!C6+'前提と出典'!$C$38*'契約別単価'!C7)</ns0:f>
        <ns0:v>496.49162011173183</ns0:v>
      </ns0:c>
      <ns0:c r="F27" s="16">
        <ns0:f>B27*('前提と出典'!$C$36*'契約別単価'!E5+'前提と出典'!$C$37*'契約別単価'!E6+'前提と出典'!$C$38*'契約別単価'!E7)</ns0:f>
        <ns0:v>173457.23170362302</ns0:v>
      </ns0:c>
      <ns0:c r="G27" s="16">
        <ns0:f>B27*('前提と出典'!$C$36*'契約別単価'!F5+'前提と出典'!$C$37*'契約別単価'!F6+'前提と出典'!$C$38*'契約別単価'!F7)</ns0:f>
        <ns0:v>50402.23771048661</ns0:v>
      </ns0:c>
      <ns0:c r="H27" s="16">
        <ns0:f>B27*('前提と出典'!$C$36*'契約別単価'!G5+'前提と出典'!$C$37*'契約別単価'!G6+'前提と出典'!$C$38*'契約別単価'!G7)</ns0:f>
        <ns0:v>137344.69273743016</ns0:v>
      </ns0:c>
      <ns0:c r="I27" s="16">
        <ns0:f>B27*('前提と出典'!$C$36*'契約別単価'!H5+'前提と出典'!$C$37*'契約別単価'!H6+'前提と出典'!$C$38*'契約別単価'!H7)</ns0:f>
        <ns0:v>47665.49675753066</ns0:v>
      </ns0:c>
      <ns0:c r="J27" s="16">
        <ns0:f>B27*('前提と出典'!$C$36*'契約別単価'!I5+'前提と出典'!$C$37*'契約別単価'!I6+'前提と出典'!$C$38*'契約別単価'!I7)</ns0:f>
        <ns0:v>2911.491620111731</ns0:v>
      </ns0:c>
      <ns0:c r="K27" s="16">
        <ns0:f>B27*('前提と出典'!$C$36*'契約別単価'!J5+'前提と出典'!$C$37*'契約別単価'!J6+'前提と出典'!$C$38*'契約別単価'!J7)</ns0:f>
        <ns0:v>6781.978516010877</ns0:v>
      </ns0:c>
      <ns0:c r="L27" s="16">
        <ns0:f>B27*('前提と出典'!$C$36*'契約別単価'!K5+'前提と出典'!$C$37*'契約別単価'!K6+'前提と出典'!$C$38*'契約別単価'!K7)</ns0:f>
        <ns0:v>29069.94413407821</ns0:v>
      </ns0:c>
      <ns0:c r="M27" s="16">
        <ns0:f>B27*('前提と出典'!$C$36*'契約別単価'!L5+'前提と出典'!$C$37*'契約別単価'!L6+'前提と出典'!$C$38*'契約別単価'!L7)</ns0:f>
        <ns0:v>23668.84989191769</ns0:v>
      </ns0:c>
      <ns0:c r="N27" s="16">
        <ns0:f>IF(('前提と出典'!$C$36+'前提と出典'!$C$38)=0,0,IF(C27&lt;=10,'前提と出典'!B73+'前提と出典'!C73,IF(C27&lt;=100,'前提と出典'!B74+'前提と出典'!C74,IF(C27&lt;=500,'前提と出典'!B75+'前提と出典'!C75,'前提と出典'!B76+'前提と出典'!C76))))</ns0:f>
        <ns0:v>20000</ns0:v>
      </ns0:c>
      <ns0:c r="O27" s="16">
        <ns0:f>IF(('前提と出典'!$C$37+'前提と出典'!$C$38)=0,0,IF(D27&lt;=10,'前提と出典'!D73+'前提と出典'!E73,IF(D27&lt;=100,'前提と出典'!D74+'前提と出典'!E74,IF(D27&lt;=500,'前提と出典'!D75+'前提と出典'!E75,'前提と出典'!D76+'前提と出典'!E76))))</ns0:f>
        <ns0:v>34510.9346263078</ns0:v>
      </ns0:c>
      <ns0:c r="P27" s="16">
        <ns0:f>IF('前提と出典'!$C$36+'前提と出典'!$C$38=0,0,'前提と出典'!$B$4*IF('前提と出典'!$B$20=0,MAX('前提と出典'!$B$6,E27*'前提と出典'!$B$5),'前提と出典'!$B$6+E27*'前提と出典'!$B$5))</ns0:f>
        <ns0:v>68515.843575419</ns0:v>
      </ns0:c>
      <ns0:c r="Q27" s="16">
        <ns0:f>(F27+H27)*(1-'前提と出典'!$B$7)-J27-L27-N27-P27</ns0:f>
        <ns0:v>179115.7758315663</ns0:v>
      </ns0:c>
      <ns0:c r="R27" s="16">
        <ns0:f>(G27+I27)*(1-'前提と出典'!$B$7)-K27-M27-O27</ns0:f>
        <ns0:v>29575.53299293228</ns0:v>
      </ns0:c>
      <ns0:c r="S27" s="16">
        <ns0:f>Q27-F27*'前提と出典'!$E$4</ns0:f>
        <ns0:v>127078.6063204794</ns0:v>
      </ns0:c>
      <ns0:c r="T27" s="16">
        <ns0:f>R27-G27*'前提と出典'!$E$4</ns0:f>
        <ns0:v>14454.8616797863</ns0:v>
      </ns0:c>
      <ns0:c r="U27" s="7">
        <ns0:f>S27+T27</ns0:f>
        <ns0:v>141533.4680002657</ns0:v>
      </ns0:c>
      <ns0:c r="V27" s="16">
        <ns0:f>Q27-F27*'前提と出典'!$E$5</ns0:f>
        <ns0:v>109732.88315011708</ns0:v>
      </ns0:c>
      <ns0:c r="W27" s="16">
        <ns0:f>R27-G27*'前提と出典'!$E$5</ns0:f>
        <ns0:v>9414.637908737634</ns0:v>
      </ns0:c>
      <ns0:c r="X27" s="7">
        <ns0:f>V27+W27</ns0:f>
        <ns0:v>119147.5210588547</ns0:v>
      </ns0:c>
      <ns0:c r="Y27" s="16">
        <ns0:f>Q27-F27*'前提と出典'!$E$6</ns0:f>
        <ns0:v>92387.15997975478</ns0:v>
      </ns0:c>
      <ns0:c r="Z27" s="16">
        <ns0:f>R27-G27*'前提と出典'!$E$6</ns0:f>
        <ns0:v>4374.414137688982</ns0:v>
      </ns0:c>
      <ns0:c r="AA27" s="7">
        <ns0:f>Y27+Z27</ns0:f>
        <ns0:v>96761.57411744376</ns0:v>
      </ns0:c>
      <ns0:c r="AB27" s="7">
        <ns0:f>AB26+U27</ns0:f>
        <ns0:v>1087191.927292574</ns0:v>
      </ns0:c>
      <ns0:c r="AC27" s="7">
        <ns0:f>AC26+X27</ns0:f>
        <ns0:v>818560.5639956424</ns0:v>
      </ns0:c>
      <ns0:c r="AD27" s="7">
        <ns0:f>AD26+AA27</ns0:f>
        <ns0:v>549929.2006987107</ns0:v>
      </ns0:c>
      <ns0:c r="AE27" s="7">
        <ns0:f>MAX(0,-MIN($AB$5:AB27))</ns0:f>
        <ns0:v>158010.6003560275</ns0:v>
      </ns0:c>
      <ns0:c r="AF27" s="7">
        <ns0:f>MAX(0,-MIN($AC$5:AC27))</ns0:f>
        <ns0:v>181755.65632779445</ns0:v>
      </ns0:c>
      <ns0:c r="AG27" s="7">
        <ns0:f>MAX(0,-MIN($AD$5:AD27))</ns0:f>
        <ns0:v>210902.5233197324</ns0:v>
      </ns0:c>
      <ns0:c r="AH27" s="4">
        <ns0:f>IF(U27&gt;=0,A27,37)</ns0:f>
        <ns0:v>23</ns0:v>
      </ns0:c>
      <ns0:c r="AI27" s="4">
        <ns0:f>IF(AB27&gt;=0,A27,37)</ns0:f>
        <ns0:v>23</ns0:v>
      </ns0:c>
      <ns0:c r="AJ27" s="4">
        <ns0:f>IF(X27&gt;=0,A27,37)</ns0:f>
        <ns0:v>23</ns0:v>
      </ns0:c>
      <ns0:c r="AK27" s="4">
        <ns0:f>IF(AC27&gt;=0,A27,37)</ns0:f>
        <ns0:v>23</ns0:v>
      </ns0:c>
      <ns0:c r="AL27" s="4">
        <ns0:f>IF(AA27&gt;=0,A27,37)</ns0:f>
        <ns0:v>23</ns0:v>
      </ns0:c>
      <ns0:c r="AM27" s="4">
        <ns0:f>IF(AD27&gt;=0,A27,37)</ns0:f>
        <ns0:v>23</ns0:v>
      </ns0:c>
    </ns0:row>
    <ns0:row r="28" ht="24" customHeight="1">
      <ns0:c r="A28" s="4" t="n">
        <ns0:v>24</ns0:v>
      </ns0:c>
      <ns0:c r="B28" s="12">
        <ns0:f>B27*(1-'前提と出典'!$B$31)+'前提と出典'!$B$30</ns0:f>
        <ns0:v>72</ns0:v>
      </ns0:c>
      <ns0:c r="C28" s="12">
        <ns0:f>B28*('前提と出典'!$C$36+'前提と出典'!$C$38)</ns0:f>
        <ns0:v>50.4</ns0:v>
      </ns0:c>
      <ns0:c r="D28" s="16">
        <ns0:f>B28*('前提と出典'!$C$37+'前提と出典'!$C$38)</ns0:f>
        <ns0:v>43.199999999999996</ns0:v>
      </ns0:c>
      <ns0:c r="E28" s="16">
        <ns0:f>B28*('前提と出典'!$C$36*'契約別単価'!C5+'前提と出典'!$C$37*'契約別単価'!C6+'前提と出典'!$C$38*'契約別単価'!C7)</ns0:f>
        <ns0:v>518.0782122905027</ns0:v>
      </ns0:c>
      <ns0:c r="F28" s="16">
        <ns0:f>B28*('前提と出典'!$C$36*'契約別単価'!E5+'前提と出典'!$C$37*'契約別単価'!E6+'前提と出典'!$C$38*'契約別単価'!E7)</ns0:f>
        <ns0:v>180998.85047334575</ns0:v>
      </ns0:c>
      <ns0:c r="G28" s="16">
        <ns0:f>B28*('前提と出典'!$C$36*'契約別単価'!F5+'前提と出典'!$C$37*'契約別単価'!F6+'前提と出典'!$C$38*'契約別単価'!F7)</ns0:f>
        <ns0:v>52593.63935007299</ns0:v>
      </ns0:c>
      <ns0:c r="H28" s="16">
        <ns0:f>B28*('前提と出典'!$C$36*'契約別単価'!G5+'前提と出典'!$C$37*'契約別単価'!G6+'前提と出典'!$C$38*'契約別単価'!G7)</ns0:f>
        <ns0:v>143316.20111731841</ns0:v>
      </ns0:c>
      <ns0:c r="I28" s="16">
        <ns0:f>B28*('前提と出典'!$C$36*'契約別単価'!H5+'前提と出典'!$C$37*'契約別単価'!H6+'前提と出典'!$C$38*'契約別単価'!H7)</ns0:f>
        <ns0:v>49737.90966003199</ns0:v>
      </ns0:c>
      <ns0:c r="J28" s="16">
        <ns0:f>B28*('前提と出典'!$C$36*'契約別単価'!I5+'前提と出典'!$C$37*'契約別単価'!I6+'前提と出典'!$C$38*'契約別単価'!I7)</ns0:f>
        <ns0:v>3038.078212290502</ns0:v>
      </ns0:c>
      <ns0:c r="K28" s="16">
        <ns0:f>B28*('前提と出典'!$C$36*'契約別単価'!J5+'前提と出典'!$C$37*'契約別単価'!J6+'前提と出典'!$C$38*'契約別単価'!J7)</ns0:f>
        <ns0:v>7076.847147141785</ns0:v>
      </ns0:c>
      <ns0:c r="L28" s="16">
        <ns0:f>B28*('前提と出典'!$C$36*'契約別単価'!K5+'前提と出典'!$C$37*'契約別単価'!K6+'前提と出典'!$C$38*'契約別単価'!K7)</ns0:f>
        <ns0:v>30333.85474860335</ns0:v>
      </ns0:c>
      <ns0:c r="M28" s="16">
        <ns0:f>B28*('前提と出典'!$C$36*'契約別単価'!L5+'前提と出典'!$C$37*'契約別単価'!L6+'前提と出典'!$C$38*'契約別単価'!L7)</ns0:f>
        <ns0:v>24697.930322001066</ns0:v>
      </ns0:c>
      <ns0:c r="N28" s="16">
        <ns0:f>IF(('前提と出典'!$C$36+'前提と出典'!$C$38)=0,0,IF(C28&lt;=10,'前提と出典'!B73+'前提と出典'!C73,IF(C28&lt;=100,'前提と出典'!B74+'前提と出典'!C74,IF(C28&lt;=500,'前提と出典'!B75+'前提と出典'!C75,'前提と出典'!B76+'前提と出典'!C76))))</ns0:f>
        <ns0:v>20000</ns0:v>
      </ns0:c>
      <ns0:c r="O28" s="16">
        <ns0:f>IF(('前提と出典'!$C$37+'前提と出典'!$C$38)=0,0,IF(D28&lt;=10,'前提と出典'!D73+'前提と出典'!E73,IF(D28&lt;=100,'前提と出典'!D74+'前提と出典'!E74,IF(D28&lt;=500,'前提と出典'!D75+'前提と出典'!E75,'前提と出典'!D76+'前提と出典'!E76))))</ns0:f>
        <ns0:v>34510.9346263078</ns0:v>
      </ns0:c>
      <ns0:c r="P28" s="16">
        <ns0:f>IF('前提と出典'!$C$36+'前提と出典'!$C$38=0,0,'前提と出典'!$B$4*IF('前提と出典'!$B$20=0,MAX('前提と出典'!$B$6,E28*'前提と出典'!$B$5),'前提と出典'!$B$6+E28*'前提と出典'!$B$5))</ns0:f>
        <ns0:v>71494.79329608938</ns0:v>
      </ns0:c>
      <ns0:c r="Q28" s="16">
        <ns0:f>(F28+H28)*(1-'前提と出典'!$B$7)-J28-L28-N28-P28</ns0:f>
        <ns0:v>187772.98347641702</ns0:v>
      </ns0:c>
      <ns0:c r="R28" s="16">
        <ns0:f>(G28+I28)*(1-'前提と出典'!$B$7)-K28-M28-O28</ns0:f>
        <ns0:v>32361.901150290556</ns0:v>
      </ns0:c>
      <ns0:c r="S28" s="16">
        <ns0:f>Q28-F28*'前提と出典'!$E$4</ns0:f>
        <ns0:v>133473.3283344133</ns0:v>
      </ns0:c>
      <ns0:c r="T28" s="16">
        <ns0:f>R28-G28*'前提と出典'!$E$4</ns0:f>
        <ns0:v>16583.80934526865</ns0:v>
      </ns0:c>
      <ns0:c r="U28" s="7">
        <ns0:f>S28+T28</ns0:f>
        <ns0:v>150057.13767968194</ns0:v>
      </ns0:c>
      <ns0:c r="V28" s="16">
        <ns0:f>Q28-F28*'前提と出典'!$E$5</ns0:f>
        <ns0:v>115373.44328707871</ns0:v>
      </ns0:c>
      <ns0:c r="W28" s="16">
        <ns0:f>R28-G28*'前提と出典'!$E$5</ns0:f>
        <ns0:v>11324.44541026136</ns0:v>
      </ns0:c>
      <ns0:c r="X28" s="7">
        <ns0:f>V28+W28</ns0:f>
        <ns0:v>126697.88869734007</ns0:v>
      </ns0:c>
      <ns0:c r="Y28" s="16">
        <ns0:f>Q28-F28*'前提と出典'!$E$6</ns0:f>
        <ns0:v>97273.55823974418</ns0:v>
      </ns0:c>
      <ns0:c r="Z28" s="16">
        <ns0:f>R28-G28*'前提と出典'!$E$6</ns0:f>
        <ns0:v>6065.081475254068</ns0:v>
      </ns0:c>
      <ns0:c r="AA28" s="7">
        <ns0:f>Y28+Z28</ns0:f>
        <ns0:v>103338.63971499825</ns0:v>
      </ns0:c>
      <ns0:c r="AB28" s="7">
        <ns0:f>AB27+U28</ns0:f>
        <ns0:v>1237249.0649722558</ns0:v>
      </ns0:c>
      <ns0:c r="AC28" s="7">
        <ns0:f>AC27+X28</ns0:f>
        <ns0:v>945258.4526929824</ns0:v>
      </ns0:c>
      <ns0:c r="AD28" s="7">
        <ns0:f>AD27+AA28</ns0:f>
        <ns0:v>653267.8404137089</ns0:v>
      </ns0:c>
      <ns0:c r="AE28" s="7">
        <ns0:f>MAX(0,-MIN($AB$5:AB28))</ns0:f>
        <ns0:v>158010.6003560275</ns0:v>
      </ns0:c>
      <ns0:c r="AF28" s="7">
        <ns0:f>MAX(0,-MIN($AC$5:AC28))</ns0:f>
        <ns0:v>181755.65632779445</ns0:v>
      </ns0:c>
      <ns0:c r="AG28" s="7">
        <ns0:f>MAX(0,-MIN($AD$5:AD28))</ns0:f>
        <ns0:v>210902.5233197324</ns0:v>
      </ns0:c>
      <ns0:c r="AH28" s="4">
        <ns0:f>IF(U28&gt;=0,A28,37)</ns0:f>
        <ns0:v>24</ns0:v>
      </ns0:c>
      <ns0:c r="AI28" s="4">
        <ns0:f>IF(AB28&gt;=0,A28,37)</ns0:f>
        <ns0:v>24</ns0:v>
      </ns0:c>
      <ns0:c r="AJ28" s="4">
        <ns0:f>IF(X28&gt;=0,A28,37)</ns0:f>
        <ns0:v>24</ns0:v>
      </ns0:c>
      <ns0:c r="AK28" s="4">
        <ns0:f>IF(AC28&gt;=0,A28,37)</ns0:f>
        <ns0:v>24</ns0:v>
      </ns0:c>
      <ns0:c r="AL28" s="4">
        <ns0:f>IF(AA28&gt;=0,A28,37)</ns0:f>
        <ns0:v>24</ns0:v>
      </ns0:c>
      <ns0:c r="AM28" s="4">
        <ns0:f>IF(AD28&gt;=0,A28,37)</ns0:f>
        <ns0:v>24</ns0:v>
      </ns0:c>
    </ns0:row>
    <ns0:row r="29" ht="24" customHeight="1">
      <ns0:c r="A29" s="4" t="n">
        <ns0:v>25</ns0:v>
      </ns0:c>
      <ns0:c r="B29" s="12">
        <ns0:f>B28*(1-'前提と出典'!$B$31)+'前提と出典'!$B$30</ns0:f>
        <ns0:v>75</ns0:v>
      </ns0:c>
      <ns0:c r="C29" s="12">
        <ns0:f>B29*('前提と出典'!$C$36+'前提と出典'!$C$38)</ns0:f>
        <ns0:v>52.5</ns0:v>
      </ns0:c>
      <ns0:c r="D29" s="16">
        <ns0:f>B29*('前提と出典'!$C$37+'前提と出典'!$C$38)</ns0:f>
        <ns0:v>45</ns0:v>
      </ns0:c>
      <ns0:c r="E29" s="16">
        <ns0:f>B29*('前提と出典'!$C$36*'契約別単価'!C5+'前提と出典'!$C$37*'契約別単価'!C6+'前提と出典'!$C$38*'契約別単価'!C7)</ns0:f>
        <ns0:v>539.6648044692737</ns0:v>
      </ns0:c>
      <ns0:c r="F29" s="16">
        <ns0:f>B29*('前提と出典'!$C$36*'契約別単価'!E5+'前提と出典'!$C$37*'契約別単価'!E6+'前提と出典'!$C$38*'契約別単価'!E7)</ns0:f>
        <ns0:v>188540.46924306848</ns0:v>
      </ns0:c>
      <ns0:c r="G29" s="16">
        <ns0:f>B29*('前提と出典'!$C$36*'契約別単価'!F5+'前提と出典'!$C$37*'契約別単価'!F6+'前提と出典'!$C$38*'契約別単価'!F7)</ns0:f>
        <ns0:v>54785.04098965936</ns0:v>
      </ns0:c>
      <ns0:c r="H29" s="16">
        <ns0:f>B29*('前提と出典'!$C$36*'契約別単価'!G5+'前提と出典'!$C$37*'契約別単価'!G6+'前提と出典'!$C$38*'契約別単価'!G7)</ns0:f>
        <ns0:v>149287.7094972067</ns0:v>
      </ns0:c>
      <ns0:c r="I29" s="16">
        <ns0:f>B29*('前提と出典'!$C$36*'契約別単価'!H5+'前提と出典'!$C$37*'契約別単価'!H6+'前提と出典'!$C$38*'契約別単価'!H7)</ns0:f>
        <ns0:v>51810.32256253333</ns0:v>
      </ns0:c>
      <ns0:c r="J29" s="16">
        <ns0:f>B29*('前提と出典'!$C$36*'契約別単価'!I5+'前提と出典'!$C$37*'契約別単価'!I6+'前提と出典'!$C$38*'契約別単価'!I7)</ns0:f>
        <ns0:v>3164.6648044692733</ns0:v>
      </ns0:c>
      <ns0:c r="K29" s="16">
        <ns0:f>B29*('前提と出典'!$C$36*'契約別単価'!J5+'前提と出典'!$C$37*'契約別単価'!J6+'前提と出典'!$C$38*'契約別単価'!J7)</ns0:f>
        <ns0:v>7371.715778272693</ns0:v>
      </ns0:c>
      <ns0:c r="L29" s="16">
        <ns0:f>B29*('前提と出典'!$C$36*'契約別単価'!K5+'前提と出典'!$C$37*'契約別単価'!K6+'前提と出典'!$C$38*'契約別単価'!K7)</ns0:f>
        <ns0:v>31597.76536312849</ns0:v>
      </ns0:c>
      <ns0:c r="M29" s="16">
        <ns0:f>B29*('前提と出典'!$C$36*'契約別単価'!L5+'前提と出典'!$C$37*'契約別単価'!L6+'前提と出典'!$C$38*'契約別単価'!L7)</ns0:f>
        <ns0:v>25727.010752084443</ns0:v>
      </ns0:c>
      <ns0:c r="N29" s="16">
        <ns0:f>IF(('前提と出典'!$C$36+'前提と出典'!$C$38)=0,0,IF(C29&lt;=10,'前提と出典'!B73+'前提と出典'!C73,IF(C29&lt;=100,'前提と出典'!B74+'前提と出典'!C74,IF(C29&lt;=500,'前提と出典'!B75+'前提と出典'!C75,'前提と出典'!B76+'前提と出典'!C76))))</ns0:f>
        <ns0:v>20000</ns0:v>
      </ns0:c>
      <ns0:c r="O29" s="16">
        <ns0:f>IF(('前提と出典'!$C$37+'前提と出典'!$C$38)=0,0,IF(D29&lt;=10,'前提と出典'!D73+'前提と出典'!E73,IF(D29&lt;=100,'前提と出典'!D74+'前提と出典'!E74,IF(D29&lt;=500,'前提と出典'!D75+'前提と出典'!E75,'前提と出典'!D76+'前提と出典'!E76))))</ns0:f>
        <ns0:v>34510.9346263078</ns0:v>
      </ns0:c>
      <ns0:c r="P29" s="16">
        <ns0:f>IF('前提と出典'!$C$36+'前提と出典'!$C$38=0,0,'前提と出典'!$B$4*IF('前提と出典'!$B$20=0,MAX('前提と出典'!$B$6,E29*'前提と出典'!$B$5),'前提と出典'!$B$6+E29*'前提と出典'!$B$5))</ns0:f>
        <ns0:v>74473.74301675978</ns0:v>
      </ns0:c>
      <ns0:c r="Q29" s="16">
        <ns0:f>(F29+H29)*(1-'前提と出典'!$B$7)-J29-L29-N29-P29</ns0:f>
        <ns0:v>196430.19112126774</ns0:v>
      </ns0:c>
      <ns0:c r="R29" s="16">
        <ns0:f>(G29+I29)*(1-'前提と出典'!$B$7)-K29-M29-O29</ns0:f>
        <ns0:v>35148.269307648836</ns0:v>
      </ns0:c>
      <ns0:c r="S29" s="16">
        <ns0:f>Q29-F29*'前提と出典'!$E$4</ns0:f>
        <ns0:v>139868.05034834723</ns0:v>
      </ns0:c>
      <ns0:c r="T29" s="16">
        <ns0:f>R29-G29*'前提と出典'!$E$4</ns0:f>
        <ns0:v>18712.75701075102</ns0:v>
      </ns0:c>
      <ns0:c r="U29" s="7">
        <ns0:f>S29+T29</ns0:f>
        <ns0:v>158580.80735909825</ns0:v>
      </ns0:c>
      <ns0:c r="V29" s="16">
        <ns0:f>Q29-F29*'前提と出典'!$E$5</ns0:f>
        <ns0:v>121014.00342404036</ns0:v>
      </ns0:c>
      <ns0:c r="W29" s="16">
        <ns0:f>R29-G29*'前提と出典'!$E$5</ns0:f>
        <ns0:v>13234.252911785086</ns0:v>
      </ns0:c>
      <ns0:c r="X29" s="7">
        <ns0:f>V29+W29</ns0:f>
        <ns0:v>134248.25633582546</ns0:v>
      </ns0:c>
      <ns0:c r="Y29" s="16">
        <ns0:f>Q29-F29*'前提と出典'!$E$6</ns0:f>
        <ns0:v>102159.95649973353</ns0:v>
      </ns0:c>
      <ns0:c r="Z29" s="16">
        <ns0:f>R29-G29*'前提と出典'!$E$6</ns0:f>
        <ns0:v>7755.74881281914</ns0:v>
      </ns0:c>
      <ns0:c r="AA29" s="7">
        <ns0:f>Y29+Z29</ns0:f>
        <ns0:v>109915.70531255266</ns0:v>
      </ns0:c>
      <ns0:c r="AB29" s="7">
        <ns0:f>AB28+U29</ns0:f>
        <ns0:v>1395829.872331354</ns0:v>
      </ns0:c>
      <ns0:c r="AC29" s="7">
        <ns0:f>AC28+X29</ns0:f>
        <ns0:v>1079506.709028808</ns0:v>
      </ns0:c>
      <ns0:c r="AD29" s="7">
        <ns0:f>AD28+AA29</ns0:f>
        <ns0:v>763183.5457262616</ns0:v>
      </ns0:c>
      <ns0:c r="AE29" s="7">
        <ns0:f>MAX(0,-MIN($AB$5:AB29))</ns0:f>
        <ns0:v>158010.6003560275</ns0:v>
      </ns0:c>
      <ns0:c r="AF29" s="7">
        <ns0:f>MAX(0,-MIN($AC$5:AC29))</ns0:f>
        <ns0:v>181755.65632779445</ns0:v>
      </ns0:c>
      <ns0:c r="AG29" s="7">
        <ns0:f>MAX(0,-MIN($AD$5:AD29))</ns0:f>
        <ns0:v>210902.5233197324</ns0:v>
      </ns0:c>
      <ns0:c r="AH29" s="4">
        <ns0:f>IF(U29&gt;=0,A29,37)</ns0:f>
        <ns0:v>25</ns0:v>
      </ns0:c>
      <ns0:c r="AI29" s="4">
        <ns0:f>IF(AB29&gt;=0,A29,37)</ns0:f>
        <ns0:v>25</ns0:v>
      </ns0:c>
      <ns0:c r="AJ29" s="4">
        <ns0:f>IF(X29&gt;=0,A29,37)</ns0:f>
        <ns0:v>25</ns0:v>
      </ns0:c>
      <ns0:c r="AK29" s="4">
        <ns0:f>IF(AC29&gt;=0,A29,37)</ns0:f>
        <ns0:v>25</ns0:v>
      </ns0:c>
      <ns0:c r="AL29" s="4">
        <ns0:f>IF(AA29&gt;=0,A29,37)</ns0:f>
        <ns0:v>25</ns0:v>
      </ns0:c>
      <ns0:c r="AM29" s="4">
        <ns0:f>IF(AD29&gt;=0,A29,37)</ns0:f>
        <ns0:v>25</ns0:v>
      </ns0:c>
    </ns0:row>
    <ns0:row r="30" ht="24" customHeight="1">
      <ns0:c r="A30" s="4" t="n">
        <ns0:v>26</ns0:v>
      </ns0:c>
      <ns0:c r="B30" s="12">
        <ns0:f>B29*(1-'前提と出典'!$B$31)+'前提と出典'!$B$30</ns0:f>
        <ns0:v>78</ns0:v>
      </ns0:c>
      <ns0:c r="C30" s="12">
        <ns0:f>B30*('前提と出典'!$C$36+'前提と出典'!$C$38)</ns0:f>
        <ns0:v>54.599999999999994</ns0:v>
      </ns0:c>
      <ns0:c r="D30" s="16">
        <ns0:f>B30*('前提と出典'!$C$37+'前提と出典'!$C$38)</ns0:f>
        <ns0:v>46.8</ns0:v>
      </ns0:c>
      <ns0:c r="E30" s="16">
        <ns0:f>B30*('前提と出典'!$C$36*'契約別単価'!C5+'前提と出典'!$C$37*'契約別単価'!C6+'前提と出典'!$C$38*'契約別単価'!C7)</ns0:f>
        <ns0:v>561.2513966480446</ns0:v>
      </ns0:c>
      <ns0:c r="F30" s="16">
        <ns0:f>B30*('前提と出典'!$C$36*'契約別単価'!E5+'前提と出典'!$C$37*'契約別単価'!E6+'前提と出典'!$C$38*'契約別単価'!E7)</ns0:f>
        <ns0:v>196082.08801279124</ns0:v>
      </ns0:c>
      <ns0:c r="G30" s="16">
        <ns0:f>B30*('前提と出典'!$C$36*'契約別単価'!F5+'前提と出典'!$C$37*'契約別単価'!F6+'前提と出典'!$C$38*'契約別単価'!F7)</ns0:f>
        <ns0:v>56976.442629245736</ns0:v>
      </ns0:c>
      <ns0:c r="H30" s="16">
        <ns0:f>B30*('前提と出典'!$C$36*'契約別単価'!G5+'前提と出典'!$C$37*'契約別単価'!G6+'前提と出典'!$C$38*'契約別単価'!G7)</ns0:f>
        <ns0:v>155259.21787709495</ns0:v>
      </ns0:c>
      <ns0:c r="I30" s="16">
        <ns0:f>B30*('前提と出典'!$C$36*'契約別単価'!H5+'前提と出典'!$C$37*'契約別単価'!H6+'前提と出典'!$C$38*'契約別単価'!H7)</ns0:f>
        <ns0:v>53882.73546503466</ns0:v>
      </ns0:c>
      <ns0:c r="J30" s="16">
        <ns0:f>B30*('前提と出典'!$C$36*'契約別単価'!I5+'前提と出典'!$C$37*'契約別単価'!I6+'前提と出典'!$C$38*'契約別単価'!I7)</ns0:f>
        <ns0:v>3291.251396648044</ns0:v>
      </ns0:c>
      <ns0:c r="K30" s="16">
        <ns0:f>B30*('前提と出典'!$C$36*'契約別単価'!J5+'前提と出典'!$C$37*'契約別単価'!J6+'前提と出典'!$C$38*'契約別単価'!J7)</ns0:f>
        <ns0:v>7666.5844094036</ns0:v>
      </ns0:c>
      <ns0:c r="L30" s="16">
        <ns0:f>B30*('前提と出典'!$C$36*'契約別単価'!K5+'前提と出典'!$C$37*'契約別単価'!K6+'前提と出典'!$C$38*'契約別単価'!K7)</ns0:f>
        <ns0:v>32861.67597765363</ns0:v>
      </ns0:c>
      <ns0:c r="M30" s="16">
        <ns0:f>B30*('前提と出典'!$C$36*'契約別単価'!L5+'前提と出典'!$C$37*'契約別単価'!L6+'前提と出典'!$C$38*'契約別単価'!L7)</ns0:f>
        <ns0:v>26756.09118216782</ns0:v>
      </ns0:c>
      <ns0:c r="N30" s="16">
        <ns0:f>IF(('前提と出典'!$C$36+'前提と出典'!$C$38)=0,0,IF(C30&lt;=10,'前提と出典'!B73+'前提と出典'!C73,IF(C30&lt;=100,'前提と出典'!B74+'前提と出典'!C74,IF(C30&lt;=500,'前提と出典'!B75+'前提と出典'!C75,'前提と出典'!B76+'前提と出典'!C76))))</ns0:f>
        <ns0:v>20000</ns0:v>
      </ns0:c>
      <ns0:c r="O30" s="16">
        <ns0:f>IF(('前提と出典'!$C$37+'前提と出典'!$C$38)=0,0,IF(D30&lt;=10,'前提と出典'!D73+'前提と出典'!E73,IF(D30&lt;=100,'前提と出典'!D74+'前提と出典'!E74,IF(D30&lt;=500,'前提と出典'!D75+'前提と出典'!E75,'前提と出典'!D76+'前提と出典'!E76))))</ns0:f>
        <ns0:v>34510.9346263078</ns0:v>
      </ns0:c>
      <ns0:c r="P30" s="16">
        <ns0:f>IF('前提と出典'!$C$36+'前提と出典'!$C$38=0,0,'前提と出典'!$B$4*IF('前提と出典'!$B$20=0,MAX('前提と出典'!$B$6,E30*'前提と出典'!$B$5),'前提と出典'!$B$6+E30*'前提と出典'!$B$5))</ns0:f>
        <ns0:v>77452.69273743016</ns0:v>
      </ns0:c>
      <ns0:c r="Q30" s="16">
        <ns0:f>(F30+H30)*(1-'前提と出典'!$B$7)-J30-L30-N30-P30</ns0:f>
        <ns0:v>205087.3987661185</ns0:v>
      </ns0:c>
      <ns0:c r="R30" s="16">
        <ns0:f>(G30+I30)*(1-'前提と出典'!$B$7)-K30-M30-O30</ns0:f>
        <ns0:v>37934.637465007094</ns0:v>
      </ns0:c>
      <ns0:c r="S30" s="16">
        <ns0:f>Q30-F30*'前提と出典'!$E$4</ns0:f>
        <ns0:v>146262.77236228113</ns0:v>
      </ns0:c>
      <ns0:c r="T30" s="16">
        <ns0:f>R30-G30*'前提と出典'!$E$4</ns0:f>
        <ns0:v>20841.70467623337</ns0:v>
      </ns0:c>
      <ns0:c r="U30" s="7">
        <ns0:f>S30+T30</ns0:f>
        <ns0:v>167104.4770385145</ns0:v>
      </ns0:c>
      <ns0:c r="V30" s="16">
        <ns0:f>Q30-F30*'前提と出典'!$E$5</ns0:f>
        <ns0:v>126654.56356100203</ns0:v>
      </ns0:c>
      <ns0:c r="W30" s="16">
        <ns0:f>R30-G30*'前提と出典'!$E$5</ns0:f>
        <ns0:v>15144.060413308798</ns0:v>
      </ns0:c>
      <ns0:c r="X30" s="7">
        <ns0:f>V30+W30</ns0:f>
        <ns0:v>141798.62397431082</ns0:v>
      </ns0:c>
      <ns0:c r="Y30" s="16">
        <ns0:f>Q30-F30*'前提と出典'!$E$6</ns0:f>
        <ns0:v>107046.35475972289</ns0:v>
      </ns0:c>
      <ns0:c r="Z30" s="16">
        <ns0:f>R30-G30*'前提と出典'!$E$6</ns0:f>
        <ns0:v>9446.416150384212</ns0:v>
      </ns0:c>
      <ns0:c r="AA30" s="7">
        <ns0:f>Y30+Z30</ns0:f>
        <ns0:v>116492.7709101071</ns0:v>
      </ns0:c>
      <ns0:c r="AB30" s="7">
        <ns0:f>AB29+U30</ns0:f>
        <ns0:v>1562934.3493698686</ns0:v>
      </ns0:c>
      <ns0:c r="AC30" s="7">
        <ns0:f>AC29+X30</ns0:f>
        <ns0:v>1221305.3330031186</ns0:v>
      </ns0:c>
      <ns0:c r="AD30" s="7">
        <ns0:f>AD29+AA30</ns0:f>
        <ns0:v>879676.3166363686</ns0:v>
      </ns0:c>
      <ns0:c r="AE30" s="7">
        <ns0:f>MAX(0,-MIN($AB$5:AB30))</ns0:f>
        <ns0:v>158010.6003560275</ns0:v>
      </ns0:c>
      <ns0:c r="AF30" s="7">
        <ns0:f>MAX(0,-MIN($AC$5:AC30))</ns0:f>
        <ns0:v>181755.65632779445</ns0:v>
      </ns0:c>
      <ns0:c r="AG30" s="7">
        <ns0:f>MAX(0,-MIN($AD$5:AD30))</ns0:f>
        <ns0:v>210902.5233197324</ns0:v>
      </ns0:c>
      <ns0:c r="AH30" s="4">
        <ns0:f>IF(U30&gt;=0,A30,37)</ns0:f>
        <ns0:v>26</ns0:v>
      </ns0:c>
      <ns0:c r="AI30" s="4">
        <ns0:f>IF(AB30&gt;=0,A30,37)</ns0:f>
        <ns0:v>26</ns0:v>
      </ns0:c>
      <ns0:c r="AJ30" s="4">
        <ns0:f>IF(X30&gt;=0,A30,37)</ns0:f>
        <ns0:v>26</ns0:v>
      </ns0:c>
      <ns0:c r="AK30" s="4">
        <ns0:f>IF(AC30&gt;=0,A30,37)</ns0:f>
        <ns0:v>26</ns0:v>
      </ns0:c>
      <ns0:c r="AL30" s="4">
        <ns0:f>IF(AA30&gt;=0,A30,37)</ns0:f>
        <ns0:v>26</ns0:v>
      </ns0:c>
      <ns0:c r="AM30" s="4">
        <ns0:f>IF(AD30&gt;=0,A30,37)</ns0:f>
        <ns0:v>26</ns0:v>
      </ns0:c>
    </ns0:row>
    <ns0:row r="31" ht="24" customHeight="1">
      <ns0:c r="A31" s="4" t="n">
        <ns0:v>27</ns0:v>
      </ns0:c>
      <ns0:c r="B31" s="12">
        <ns0:f>B30*(1-'前提と出典'!$B$31)+'前提と出典'!$B$30</ns0:f>
        <ns0:v>81</ns0:v>
      </ns0:c>
      <ns0:c r="C31" s="12">
        <ns0:f>B31*('前提と出典'!$C$36+'前提と出典'!$C$38)</ns0:f>
        <ns0:v>56.699999999999996</ns0:v>
      </ns0:c>
      <ns0:c r="D31" s="16">
        <ns0:f>B31*('前提と出典'!$C$37+'前提と出典'!$C$38)</ns0:f>
        <ns0:v>48.6</ns0:v>
      </ns0:c>
      <ns0:c r="E31" s="16">
        <ns0:f>B31*('前提と出典'!$C$36*'契約別単価'!C5+'前提と出典'!$C$37*'契約別単価'!C6+'前提と出典'!$C$38*'契約別単価'!C7)</ns0:f>
        <ns0:v>582.8379888268156</ns0:v>
      </ns0:c>
      <ns0:c r="F31" s="16">
        <ns0:f>B31*('前提と出典'!$C$36*'契約別単価'!E5+'前提と出典'!$C$37*'契約別単価'!E6+'前提と出典'!$C$38*'契約別単価'!E7)</ns0:f>
        <ns0:v>203623.70678251397</ns0:v>
      </ns0:c>
      <ns0:c r="G31" s="16">
        <ns0:f>B31*('前提と出典'!$C$36*'契約別単価'!F5+'前提と出典'!$C$37*'契約別単価'!F6+'前提と出典'!$C$38*'契約別単価'!F7)</ns0:f>
        <ns0:v>59167.84426883211</ns0:v>
      </ns0:c>
      <ns0:c r="H31" s="16">
        <ns0:f>B31*('前提と出典'!$C$36*'契約別単価'!G5+'前提と出典'!$C$37*'契約別単価'!G6+'前提と出典'!$C$38*'契約別単価'!G7)</ns0:f>
        <ns0:v>161230.72625698324</ns0:v>
      </ns0:c>
      <ns0:c r="I31" s="16">
        <ns0:f>B31*('前提と出典'!$C$36*'契約別単価'!H5+'前提と出典'!$C$37*'契約別単価'!H6+'前提と出典'!$C$38*'契約別単価'!H7)</ns0:f>
        <ns0:v>55955.14836753599</ns0:v>
      </ns0:c>
      <ns0:c r="J31" s="16">
        <ns0:f>B31*('前提と出典'!$C$36*'契約別単価'!I5+'前提と出典'!$C$37*'契約別単価'!I6+'前提と出典'!$C$38*'契約別単価'!I7)</ns0:f>
        <ns0:v>3417.837988826815</ns0:v>
      </ns0:c>
      <ns0:c r="K31" s="16">
        <ns0:f>B31*('前提と出典'!$C$36*'契約別単価'!J5+'前提と出典'!$C$37*'契約別単価'!J6+'前提と出典'!$C$38*'契約別単価'!J7)</ns0:f>
        <ns0:v>7961.453040534508</ns0:v>
      </ns0:c>
      <ns0:c r="L31" s="16">
        <ns0:f>B31*('前提と出典'!$C$36*'契約別単価'!K5+'前提と出典'!$C$37*'契約別単価'!K6+'前提と出典'!$C$38*'契約別単価'!K7)</ns0:f>
        <ns0:v>34125.58659217877</ns0:v>
      </ns0:c>
      <ns0:c r="M31" s="16">
        <ns0:f>B31*('前提と出典'!$C$36*'契約別単価'!L5+'前提と出典'!$C$37*'契約別単価'!L6+'前提と出典'!$C$38*'契約別単価'!L7)</ns0:f>
        <ns0:v>27785.171612251197</ns0:v>
      </ns0:c>
      <ns0:c r="N31" s="16">
        <ns0:f>IF(('前提と出典'!$C$36+'前提と出典'!$C$38)=0,0,IF(C31&lt;=10,'前提と出典'!B73+'前提と出典'!C73,IF(C31&lt;=100,'前提と出典'!B74+'前提と出典'!C74,IF(C31&lt;=500,'前提と出典'!B75+'前提と出典'!C75,'前提と出典'!B76+'前提と出典'!C76))))</ns0:f>
        <ns0:v>20000</ns0:v>
      </ns0:c>
      <ns0:c r="O31" s="16">
        <ns0:f>IF(('前提と出典'!$C$37+'前提と出典'!$C$38)=0,0,IF(D31&lt;=10,'前提と出典'!D73+'前提と出典'!E73,IF(D31&lt;=100,'前提と出典'!D74+'前提と出典'!E74,IF(D31&lt;=500,'前提と出典'!D75+'前提と出典'!E75,'前提と出典'!D76+'前提と出典'!E76))))</ns0:f>
        <ns0:v>34510.9346263078</ns0:v>
      </ns0:c>
      <ns0:c r="P31" s="16">
        <ns0:f>IF('前提と出典'!$C$36+'前提と出典'!$C$38=0,0,'前提と出典'!$B$4*IF('前提と出典'!$B$20=0,MAX('前提と出典'!$B$6,E31*'前提と出典'!$B$5),'前提と出典'!$B$6+E31*'前提と出典'!$B$5))</ns0:f>
        <ns0:v>80431.64245810056</ns0:v>
      </ns0:c>
      <ns0:c r="Q31" s="16">
        <ns0:f>(F31+H31)*(1-'前提と出典'!$B$7)-J31-L31-N31-P31</ns0:f>
        <ns0:v>213744.6064109692</ns0:v>
      </ns0:c>
      <ns0:c r="R31" s="16">
        <ns0:f>(G31+I31)*(1-'前提と出典'!$B$7)-K31-M31-O31</ns0:f>
        <ns0:v>40721.00562236534</ns0:v>
      </ns0:c>
      <ns0:c r="S31" s="16">
        <ns0:f>Q31-F31*'前提と出典'!$E$4</ns0:f>
        <ns0:v>152657.49437621504</ns0:v>
      </ns0:c>
      <ns0:c r="T31" s="16">
        <ns0:f>R31-G31*'前提と出典'!$E$4</ns0:f>
        <ns0:v>22970.652341715708</ns0:v>
      </ns0:c>
      <ns0:c r="U31" s="7">
        <ns0:f>S31+T31</ns0:f>
        <ns0:v>175628.14671793074</ns0:v>
      </ns0:c>
      <ns0:c r="V31" s="16">
        <ns0:f>Q31-F31*'前提と出典'!$E$5</ns0:f>
        <ns0:v>132295.1236979636</ns0:v>
      </ns0:c>
      <ns0:c r="W31" s="16">
        <ns0:f>R31-G31*'前提と出典'!$E$5</ns0:f>
        <ns0:v>17053.867914832495</ns0:v>
      </ns0:c>
      <ns0:c r="X31" s="7">
        <ns0:f>V31+W31</ns0:f>
        <ns0:v>149348.9916127961</ns0:v>
      </ns0:c>
      <ns0:c r="Y31" s="16">
        <ns0:f>Q31-F31*'前提と出典'!$E$6</ns0:f>
        <ns0:v>111932.75301971218</ns0:v>
      </ns0:c>
      <ns0:c r="Z31" s="16">
        <ns0:f>R31-G31*'前提と出典'!$E$6</ns0:f>
        <ns0:v>11137.083487949283</ns0:v>
      </ns0:c>
      <ns0:c r="AA31" s="7">
        <ns0:f>Y31+Z31</ns0:f>
        <ns0:v>123069.83650766147</ns0:v>
      </ns0:c>
      <ns0:c r="AB31" s="7">
        <ns0:f>AB30+U31</ns0:f>
        <ns0:v>1738562.4960877993</ns0:v>
      </ns0:c>
      <ns0:c r="AC31" s="7">
        <ns0:f>AC30+X31</ns0:f>
        <ns0:v>1370654.3246159148</ns0:v>
      </ns0:c>
      <ns0:c r="AD31" s="7">
        <ns0:f>AD30+AA31</ns0:f>
        <ns0:v>1002746.1531440301</ns0:v>
      </ns0:c>
      <ns0:c r="AE31" s="7">
        <ns0:f>MAX(0,-MIN($AB$5:AB31))</ns0:f>
        <ns0:v>158010.6003560275</ns0:v>
      </ns0:c>
      <ns0:c r="AF31" s="7">
        <ns0:f>MAX(0,-MIN($AC$5:AC31))</ns0:f>
        <ns0:v>181755.65632779445</ns0:v>
      </ns0:c>
      <ns0:c r="AG31" s="7">
        <ns0:f>MAX(0,-MIN($AD$5:AD31))</ns0:f>
        <ns0:v>210902.5233197324</ns0:v>
      </ns0:c>
      <ns0:c r="AH31" s="4">
        <ns0:f>IF(U31&gt;=0,A31,37)</ns0:f>
        <ns0:v>27</ns0:v>
      </ns0:c>
      <ns0:c r="AI31" s="4">
        <ns0:f>IF(AB31&gt;=0,A31,37)</ns0:f>
        <ns0:v>27</ns0:v>
      </ns0:c>
      <ns0:c r="AJ31" s="4">
        <ns0:f>IF(X31&gt;=0,A31,37)</ns0:f>
        <ns0:v>27</ns0:v>
      </ns0:c>
      <ns0:c r="AK31" s="4">
        <ns0:f>IF(AC31&gt;=0,A31,37)</ns0:f>
        <ns0:v>27</ns0:v>
      </ns0:c>
      <ns0:c r="AL31" s="4">
        <ns0:f>IF(AA31&gt;=0,A31,37)</ns0:f>
        <ns0:v>27</ns0:v>
      </ns0:c>
      <ns0:c r="AM31" s="4">
        <ns0:f>IF(AD31&gt;=0,A31,37)</ns0:f>
        <ns0:v>27</ns0:v>
      </ns0:c>
    </ns0:row>
    <ns0:row r="32" ht="24" customHeight="1">
      <ns0:c r="A32" s="4" t="n">
        <ns0:v>28</ns0:v>
      </ns0:c>
      <ns0:c r="B32" s="12">
        <ns0:f>B31*(1-'前提と出典'!$B$31)+'前提と出典'!$B$30</ns0:f>
        <ns0:v>84</ns0:v>
      </ns0:c>
      <ns0:c r="C32" s="12">
        <ns0:f>B32*('前提と出典'!$C$36+'前提と出典'!$C$38)</ns0:f>
        <ns0:v>58.8</ns0:v>
      </ns0:c>
      <ns0:c r="D32" s="16">
        <ns0:f>B32*('前提と出典'!$C$37+'前提と出典'!$C$38)</ns0:f>
        <ns0:v>50.4</ns0:v>
      </ns0:c>
      <ns0:c r="E32" s="16">
        <ns0:f>B32*('前提と出典'!$C$36*'契約別単価'!C5+'前提と出典'!$C$37*'契約別単価'!C6+'前提と出典'!$C$38*'契約別単価'!C7)</ns0:f>
        <ns0:v>604.4245810055866</ns0:v>
      </ns0:c>
      <ns0:c r="F32" s="16">
        <ns0:f>B32*('前提と出典'!$C$36*'契約別単価'!E5+'前提と出典'!$C$37*'契約別単価'!E6+'前提と出典'!$C$38*'契約別単価'!E7)</ns0:f>
        <ns0:v>211165.3255522367</ns0:v>
      </ns0:c>
      <ns0:c r="G32" s="16">
        <ns0:f>B32*('前提と出典'!$C$36*'契約別単価'!F5+'前提と出典'!$C$37*'契約別単価'!F6+'前提と出典'!$C$38*'契約別単価'!F7)</ns0:f>
        <ns0:v>61359.24590841849</ns0:v>
      </ns0:c>
      <ns0:c r="H32" s="16">
        <ns0:f>B32*('前提と出典'!$C$36*'契約別単価'!G5+'前提と出典'!$C$37*'契約別単価'!G6+'前提と出典'!$C$38*'契約別単価'!G7)</ns0:f>
        <ns0:v>167202.2346368715</ns0:v>
      </ns0:c>
      <ns0:c r="I32" s="16">
        <ns0:f>B32*('前提と出典'!$C$36*'契約別単価'!H5+'前提と出典'!$C$37*'契約別単価'!H6+'前提と出典'!$C$38*'契約別単価'!H7)</ns0:f>
        <ns0:v>58027.561270037324</ns0:v>
      </ns0:c>
      <ns0:c r="J32" s="16">
        <ns0:f>B32*('前提と出典'!$C$36*'契約別単価'!I5+'前提と出典'!$C$37*'契約別単価'!I6+'前提と出典'!$C$38*'契約別単価'!I7)</ns0:f>
        <ns0:v>3544.424581005586</ns0:v>
      </ns0:c>
      <ns0:c r="K32" s="16">
        <ns0:f>B32*('前提と出典'!$C$36*'契約別単価'!J5+'前提と出典'!$C$37*'契約別単価'!J6+'前提と出典'!$C$38*'契約別単価'!J7)</ns0:f>
        <ns0:v>8256.321671665415</ns0:v>
      </ns0:c>
      <ns0:c r="L32" s="16">
        <ns0:f>B32*('前提と出典'!$C$36*'契約別単価'!K5+'前提と出典'!$C$37*'契約別単価'!K6+'前提と出典'!$C$38*'契約別単価'!K7)</ns0:f>
        <ns0:v>35389.497206703905</ns0:v>
      </ns0:c>
      <ns0:c r="M32" s="16">
        <ns0:f>B32*('前提と出典'!$C$36*'契約別単価'!L5+'前提と出典'!$C$37*'契約別単価'!L6+'前提と出典'!$C$38*'契約別単価'!L7)</ns0:f>
        <ns0:v>28814.252042334578</ns0:v>
      </ns0:c>
      <ns0:c r="N32" s="16">
        <ns0:f>IF(('前提と出典'!$C$36+'前提と出典'!$C$38)=0,0,IF(C32&lt;=10,'前提と出典'!B73+'前提と出典'!C73,IF(C32&lt;=100,'前提と出典'!B74+'前提と出典'!C74,IF(C32&lt;=500,'前提と出典'!B75+'前提と出典'!C75,'前提と出典'!B76+'前提と出典'!C76))))</ns0:f>
        <ns0:v>20000</ns0:v>
      </ns0:c>
      <ns0:c r="O32" s="16">
        <ns0:f>IF(('前提と出典'!$C$37+'前提と出典'!$C$38)=0,0,IF(D32&lt;=10,'前提と出典'!D73+'前提と出典'!E73,IF(D32&lt;=100,'前提と出典'!D74+'前提と出典'!E74,IF(D32&lt;=500,'前提と出典'!D75+'前提と出典'!E75,'前提と出典'!D76+'前提と出典'!E76))))</ns0:f>
        <ns0:v>34510.9346263078</ns0:v>
      </ns0:c>
      <ns0:c r="P32" s="16">
        <ns0:f>IF('前提と出典'!$C$36+'前提と出典'!$C$38=0,0,'前提と出典'!$B$4*IF('前提と出典'!$B$20=0,MAX('前提と出典'!$B$6,E32*'前提と出典'!$B$5),'前提と出典'!$B$6+E32*'前提と出典'!$B$5))</ns0:f>
        <ns0:v>83410.59217877094</ns0:v>
      </ns0:c>
      <ns0:c r="Q32" s="16">
        <ns0:f>(F32+H32)*(1-'前提と出典'!$B$7)-J32-L32-N32-P32</ns0:f>
        <ns0:v>222401.81405581988</ns0:v>
      </ns0:c>
      <ns0:c r="R32" s="16">
        <ns0:f>(G32+I32)*(1-'前提と出典'!$B$7)-K32-M32-O32</ns0:f>
        <ns0:v>43507.37377972361</ns0:v>
      </ns0:c>
      <ns0:c r="S32" s="16">
        <ns0:f>Q32-F32*'前提と出典'!$E$4</ns0:f>
        <ns0:v>159052.21639014885</ns0:v>
      </ns0:c>
      <ns0:c r="T32" s="16">
        <ns0:f>R32-G32*'前提と出典'!$E$4</ns0:f>
        <ns0:v>25099.600007198067</ns0:v>
      </ns0:c>
      <ns0:c r="U32" s="7">
        <ns0:f>S32+T32</ns0:f>
        <ns0:v>184151.8163973469</ns0:v>
      </ns0:c>
      <ns0:c r="V32" s="16">
        <ns0:f>Q32-F32*'前提と出典'!$E$5</ns0:f>
        <ns0:v>137935.68383492518</ns0:v>
      </ns0:c>
      <ns0:c r="W32" s="16">
        <ns0:f>R32-G32*'前提と出典'!$E$5</ns0:f>
        <ns0:v>18963.675416356215</ns0:v>
      </ns0:c>
      <ns0:c r="X32" s="7">
        <ns0:f>V32+W32</ns0:f>
        <ns0:v>156899.3592512814</ns0:v>
      </ns0:c>
      <ns0:c r="Y32" s="16">
        <ns0:f>Q32-F32*'前提と出典'!$E$6</ns0:f>
        <ns0:v>116819.15127970155</ns0:v>
      </ns0:c>
      <ns0:c r="Z32" s="16">
        <ns0:f>R32-G32*'前提と出典'!$E$6</ns0:f>
        <ns0:v>12827.750825514362</ns0:v>
      </ns0:c>
      <ns0:c r="AA32" s="7">
        <ns0:f>Y32+Z32</ns0:f>
        <ns0:v>129646.90210521591</ns0:v>
      </ns0:c>
      <ns0:c r="AB32" s="7">
        <ns0:f>AB31+U32</ns0:f>
        <ns0:v>1922714.3124851463</ns0:v>
      </ns0:c>
      <ns0:c r="AC32" s="7">
        <ns0:f>AC31+X32</ns0:f>
        <ns0:v>1527553.6838671963</ns0:v>
      </ns0:c>
      <ns0:c r="AD32" s="7">
        <ns0:f>AD31+AA32</ns0:f>
        <ns0:v>1132393.055249246</ns0:v>
      </ns0:c>
      <ns0:c r="AE32" s="7">
        <ns0:f>MAX(0,-MIN($AB$5:AB32))</ns0:f>
        <ns0:v>158010.6003560275</ns0:v>
      </ns0:c>
      <ns0:c r="AF32" s="7">
        <ns0:f>MAX(0,-MIN($AC$5:AC32))</ns0:f>
        <ns0:v>181755.65632779445</ns0:v>
      </ns0:c>
      <ns0:c r="AG32" s="7">
        <ns0:f>MAX(0,-MIN($AD$5:AD32))</ns0:f>
        <ns0:v>210902.5233197324</ns0:v>
      </ns0:c>
      <ns0:c r="AH32" s="4">
        <ns0:f>IF(U32&gt;=0,A32,37)</ns0:f>
        <ns0:v>28</ns0:v>
      </ns0:c>
      <ns0:c r="AI32" s="4">
        <ns0:f>IF(AB32&gt;=0,A32,37)</ns0:f>
        <ns0:v>28</ns0:v>
      </ns0:c>
      <ns0:c r="AJ32" s="4">
        <ns0:f>IF(X32&gt;=0,A32,37)</ns0:f>
        <ns0:v>28</ns0:v>
      </ns0:c>
      <ns0:c r="AK32" s="4">
        <ns0:f>IF(AC32&gt;=0,A32,37)</ns0:f>
        <ns0:v>28</ns0:v>
      </ns0:c>
      <ns0:c r="AL32" s="4">
        <ns0:f>IF(AA32&gt;=0,A32,37)</ns0:f>
        <ns0:v>28</ns0:v>
      </ns0:c>
      <ns0:c r="AM32" s="4">
        <ns0:f>IF(AD32&gt;=0,A32,37)</ns0:f>
        <ns0:v>28</ns0:v>
      </ns0:c>
    </ns0:row>
    <ns0:row r="33" ht="24" customHeight="1">
      <ns0:c r="A33" s="4" t="n">
        <ns0:v>29</ns0:v>
      </ns0:c>
      <ns0:c r="B33" s="12">
        <ns0:f>B32*(1-'前提と出典'!$B$31)+'前提と出典'!$B$30</ns0:f>
        <ns0:v>87</ns0:v>
      </ns0:c>
      <ns0:c r="C33" s="12">
        <ns0:f>B33*('前提と出典'!$C$36+'前提と出典'!$C$38)</ns0:f>
        <ns0:v>60.9</ns0:v>
      </ns0:c>
      <ns0:c r="D33" s="16">
        <ns0:f>B33*('前提と出典'!$C$37+'前提と出典'!$C$38)</ns0:f>
        <ns0:v>52.199999999999996</ns0:v>
      </ns0:c>
      <ns0:c r="E33" s="16">
        <ns0:f>B33*('前提と出典'!$C$36*'契約別単価'!C5+'前提と出典'!$C$37*'契約別単価'!C6+'前提と出典'!$C$38*'契約別単価'!C7)</ns0:f>
        <ns0:v>626.0111731843575</ns0:v>
      </ns0:c>
      <ns0:c r="F33" s="16">
        <ns0:f>B33*('前提と出典'!$C$36*'契約別単価'!E5+'前提と出典'!$C$37*'契約別単価'!E6+'前提と出典'!$C$38*'契約別単価'!E7)</ns0:f>
        <ns0:v>218706.94432195945</ns0:v>
      </ns0:c>
      <ns0:c r="G33" s="16">
        <ns0:f>B33*('前提と出典'!$C$36*'契約別単価'!F5+'前提と出典'!$C$37*'契約別単価'!F6+'前提と出典'!$C$38*'契約別単価'!F7)</ns0:f>
        <ns0:v>63550.64754800486</ns0:v>
      </ns0:c>
      <ns0:c r="H33" s="16">
        <ns0:f>B33*('前提と出典'!$C$36*'契約別単価'!G5+'前提と出典'!$C$37*'契約別単価'!G6+'前提と出典'!$C$38*'契約別単価'!G7)</ns0:f>
        <ns0:v>173173.74301675978</ns0:v>
      </ns0:c>
      <ns0:c r="I33" s="16">
        <ns0:f>B33*('前提と出典'!$C$36*'契約別単価'!H5+'前提と出典'!$C$37*'契約別単価'!H6+'前提と出典'!$C$38*'契約別単価'!H7)</ns0:f>
        <ns0:v>60099.974172538656</ns0:v>
      </ns0:c>
      <ns0:c r="J33" s="16">
        <ns0:f>B33*('前提と出典'!$C$36*'契約別単価'!I5+'前提と出典'!$C$37*'契約別単価'!I6+'前提と出典'!$C$38*'契約別単価'!I7)</ns0:f>
        <ns0:v>3671.0111731843567</ns0:v>
      </ns0:c>
      <ns0:c r="K33" s="16">
        <ns0:f>B33*('前提と出典'!$C$36*'契約別単価'!J5+'前提と出典'!$C$37*'契約別単価'!J6+'前提と出典'!$C$38*'契約別単価'!J7)</ns0:f>
        <ns0:v>8551.190302796324</ns0:v>
      </ns0:c>
      <ns0:c r="L33" s="16">
        <ns0:f>B33*('前提と出典'!$C$36*'契約別単価'!K5+'前提と出典'!$C$37*'契約別単価'!K6+'前提と出典'!$C$38*'契約別単価'!K7)</ns0:f>
        <ns0:v>36653.40782122905</ns0:v>
      </ns0:c>
      <ns0:c r="M33" s="16">
        <ns0:f>B33*('前提と出典'!$C$36*'契約別単価'!L5+'前提と出典'!$C$37*'契約別単価'!L6+'前提と出典'!$C$38*'契約別単価'!L7)</ns0:f>
        <ns0:v>29843.332472417955</ns0:v>
      </ns0:c>
      <ns0:c r="N33" s="16">
        <ns0:f>IF(('前提と出典'!$C$36+'前提と出典'!$C$38)=0,0,IF(C33&lt;=10,'前提と出典'!B73+'前提と出典'!C73,IF(C33&lt;=100,'前提と出典'!B74+'前提と出典'!C74,IF(C33&lt;=500,'前提と出典'!B75+'前提と出典'!C75,'前提と出典'!B76+'前提と出典'!C76))))</ns0:f>
        <ns0:v>20000</ns0:v>
      </ns0:c>
      <ns0:c r="O33" s="16">
        <ns0:f>IF(('前提と出典'!$C$37+'前提と出典'!$C$38)=0,0,IF(D33&lt;=10,'前提と出典'!D73+'前提と出典'!E73,IF(D33&lt;=100,'前提と出典'!D74+'前提と出典'!E74,IF(D33&lt;=500,'前提と出典'!D75+'前提と出典'!E75,'前提と出典'!D76+'前提と出典'!E76))))</ns0:f>
        <ns0:v>34510.9346263078</ns0:v>
      </ns0:c>
      <ns0:c r="P33" s="16">
        <ns0:f>IF('前提と出典'!$C$36+'前提と出典'!$C$38=0,0,'前提と出典'!$B$4*IF('前提と出典'!$B$20=0,MAX('前提と出典'!$B$6,E33*'前提と出典'!$B$5),'前提と出典'!$B$6+E33*'前提と出典'!$B$5))</ns0:f>
        <ns0:v>86389.54189944135</ns0:v>
      </ns0:c>
      <ns0:c r="Q33" s="16">
        <ns0:f>(F33+H33)*(1-'前提と出典'!$B$7)-J33-L33-N33-P33</ns0:f>
        <ns0:v>231059.0217006706</ns0:v>
      </ns0:c>
      <ns0:c r="R33" s="16">
        <ns0:f>(G33+I33)*(1-'前提と出典'!$B$7)-K33-M33-O33</ns0:f>
        <ns0:v>46293.74193708187</ns0:v>
      </ns0:c>
      <ns0:c r="S33" s="16">
        <ns0:f>Q33-F33*'前提と出典'!$E$4</ns0:f>
        <ns0:v>165446.93840408284</ns0:v>
      </ns0:c>
      <ns0:c r="T33" s="16">
        <ns0:f>R33-G33*'前提と出典'!$E$4</ns0:f>
        <ns0:v>27228.54767268041</ns0:v>
      </ns0:c>
      <ns0:c r="U33" s="7">
        <ns0:f>S33+T33</ns0:f>
        <ns0:v>192675.48607676325</ns0:v>
      </ns0:c>
      <ns0:c r="V33" s="16">
        <ns0:f>Q33-F33*'前提と出典'!$E$5</ns0:f>
        <ns0:v>143576.2439718868</ns0:v>
      </ns0:c>
      <ns0:c r="W33" s="16">
        <ns0:f>R33-G33*'前提と出典'!$E$5</ns0:f>
        <ns0:v>20873.48291787992</ns0:v>
      </ns0:c>
      <ns0:c r="X33" s="7">
        <ns0:f>V33+W33</ns0:f>
        <ns0:v>164449.72688976672</ns0:v>
      </ns0:c>
      <ns0:c r="Y33" s="16">
        <ns0:f>Q33-F33*'前提と出典'!$E$6</ns0:f>
        <ns0:v>121705.54953969085</ns0:v>
      </ns0:c>
      <ns0:c r="Z33" s="16">
        <ns0:f>R33-G33*'前提と出典'!$E$6</ns0:f>
        <ns0:v>14518.418163079426</ns0:v>
      </ns0:c>
      <ns0:c r="AA33" s="7">
        <ns0:f>Y33+Z33</ns0:f>
        <ns0:v>136223.9677027703</ns0:v>
      </ns0:c>
      <ns0:c r="AB33" s="7">
        <ns0:f>AB32+U33</ns0:f>
        <ns0:v>2115389.7985619097</ns0:v>
      </ns0:c>
      <ns0:c r="AC33" s="7">
        <ns0:f>AC32+X33</ns0:f>
        <ns0:v>1692003.410756963</ns0:v>
      </ns0:c>
      <ns0:c r="AD33" s="7">
        <ns0:f>AD32+AA33</ns0:f>
        <ns0:v>1268617.0229520164</ns0:v>
      </ns0:c>
      <ns0:c r="AE33" s="7">
        <ns0:f>MAX(0,-MIN($AB$5:AB33))</ns0:f>
        <ns0:v>158010.6003560275</ns0:v>
      </ns0:c>
      <ns0:c r="AF33" s="7">
        <ns0:f>MAX(0,-MIN($AC$5:AC33))</ns0:f>
        <ns0:v>181755.65632779445</ns0:v>
      </ns0:c>
      <ns0:c r="AG33" s="7">
        <ns0:f>MAX(0,-MIN($AD$5:AD33))</ns0:f>
        <ns0:v>210902.5233197324</ns0:v>
      </ns0:c>
      <ns0:c r="AH33" s="4">
        <ns0:f>IF(U33&gt;=0,A33,37)</ns0:f>
        <ns0:v>29</ns0:v>
      </ns0:c>
      <ns0:c r="AI33" s="4">
        <ns0:f>IF(AB33&gt;=0,A33,37)</ns0:f>
        <ns0:v>29</ns0:v>
      </ns0:c>
      <ns0:c r="AJ33" s="4">
        <ns0:f>IF(X33&gt;=0,A33,37)</ns0:f>
        <ns0:v>29</ns0:v>
      </ns0:c>
      <ns0:c r="AK33" s="4">
        <ns0:f>IF(AC33&gt;=0,A33,37)</ns0:f>
        <ns0:v>29</ns0:v>
      </ns0:c>
      <ns0:c r="AL33" s="4">
        <ns0:f>IF(AA33&gt;=0,A33,37)</ns0:f>
        <ns0:v>29</ns0:v>
      </ns0:c>
      <ns0:c r="AM33" s="4">
        <ns0:f>IF(AD33&gt;=0,A33,37)</ns0:f>
        <ns0:v>29</ns0:v>
      </ns0:c>
    </ns0:row>
    <ns0:row r="34" ht="24" customHeight="1">
      <ns0:c r="A34" s="4" t="n">
        <ns0:v>30</ns0:v>
      </ns0:c>
      <ns0:c r="B34" s="12">
        <ns0:f>B33*(1-'前提と出典'!$B$31)+'前提と出典'!$B$30</ns0:f>
        <ns0:v>90</ns0:v>
      </ns0:c>
      <ns0:c r="C34" s="12">
        <ns0:f>B34*('前提と出典'!$C$36+'前提と出典'!$C$38)</ns0:f>
        <ns0:v>62.99999999999999</ns0:v>
      </ns0:c>
      <ns0:c r="D34" s="16">
        <ns0:f>B34*('前提と出典'!$C$37+'前提と出典'!$C$38)</ns0:f>
        <ns0:v>54</ns0:v>
      </ns0:c>
      <ns0:c r="E34" s="16">
        <ns0:f>B34*('前提と出典'!$C$36*'契約別単価'!C5+'前提と出典'!$C$37*'契約別単価'!C6+'前提と出典'!$C$38*'契約別単価'!C7)</ns0:f>
        <ns0:v>647.5977653631285</ns0:v>
      </ns0:c>
      <ns0:c r="F34" s="16">
        <ns0:f>B34*('前提と出典'!$C$36*'契約別単価'!E5+'前提と出典'!$C$37*'契約別単価'!E6+'前提と出典'!$C$38*'契約別単価'!E7)</ns0:f>
        <ns0:v>226248.56309168218</ns0:v>
      </ns0:c>
      <ns0:c r="G34" s="16">
        <ns0:f>B34*('前提と出典'!$C$36*'契約別単価'!F5+'前提と出典'!$C$37*'契約別単価'!F6+'前提と出典'!$C$38*'契約別単価'!F7)</ns0:f>
        <ns0:v>65742.04918759124</ns0:v>
      </ns0:c>
      <ns0:c r="H34" s="16">
        <ns0:f>B34*('前提と出典'!$C$36*'契約別単価'!G5+'前提と出典'!$C$37*'契約別単価'!G6+'前提と出典'!$C$38*'契約別単価'!G7)</ns0:f>
        <ns0:v>179145.25139664803</ns0:v>
      </ns0:c>
      <ns0:c r="I34" s="16">
        <ns0:f>B34*('前提と出典'!$C$36*'契約別単価'!H5+'前提と出典'!$C$37*'契約別単価'!H6+'前提と出典'!$C$38*'契約別単価'!H7)</ns0:f>
        <ns0:v>62172.387075039995</ns0:v>
      </ns0:c>
      <ns0:c r="J34" s="16">
        <ns0:f>B34*('前提と出典'!$C$36*'契約別単価'!I5+'前提と出典'!$C$37*'契約別単価'!I6+'前提と出典'!$C$38*'契約別単価'!I7)</ns0:f>
        <ns0:v>3797.597765363128</ns0:v>
      </ns0:c>
      <ns0:c r="K34" s="16">
        <ns0:f>B34*('前提と出典'!$C$36*'契約別単価'!J5+'前提と出典'!$C$37*'契約別単価'!J6+'前提と出典'!$C$38*'契約別単価'!J7)</ns0:f>
        <ns0:v>8846.058933927232</ns0:v>
      </ns0:c>
      <ns0:c r="L34" s="16">
        <ns0:f>B34*('前提と出典'!$C$36*'契約別単価'!K5+'前提と出典'!$C$37*'契約別単価'!K6+'前提と出典'!$C$38*'契約別単価'!K7)</ns0:f>
        <ns0:v>37917.31843575419</ns0:v>
      </ns0:c>
      <ns0:c r="M34" s="16">
        <ns0:f>B34*('前提と出典'!$C$36*'契約別単価'!L5+'前提と出典'!$C$37*'契約別単価'!L6+'前提と出典'!$C$38*'契約別単価'!L7)</ns0:f>
        <ns0:v>30872.41290250133</ns0:v>
      </ns0:c>
      <ns0:c r="N34" s="16">
        <ns0:f>IF(('前提と出典'!$C$36+'前提と出典'!$C$38)=0,0,IF(C34&lt;=10,'前提と出典'!B73+'前提と出典'!C73,IF(C34&lt;=100,'前提と出典'!B74+'前提と出典'!C74,IF(C34&lt;=500,'前提と出典'!B75+'前提と出典'!C75,'前提と出典'!B76+'前提と出典'!C76))))</ns0:f>
        <ns0:v>20000</ns0:v>
      </ns0:c>
      <ns0:c r="O34" s="16">
        <ns0:f>IF(('前提と出典'!$C$37+'前提と出典'!$C$38)=0,0,IF(D34&lt;=10,'前提と出典'!D73+'前提と出典'!E73,IF(D34&lt;=100,'前提と出典'!D74+'前提と出典'!E74,IF(D34&lt;=500,'前提と出典'!D75+'前提と出典'!E75,'前提と出典'!D76+'前提と出典'!E76))))</ns0:f>
        <ns0:v>34510.9346263078</ns0:v>
      </ns0:c>
      <ns0:c r="P34" s="16">
        <ns0:f>IF('前提と出典'!$C$36+'前提と出典'!$C$38=0,0,'前提と出典'!$B$4*IF('前提と出典'!$B$20=0,MAX('前提と出典'!$B$6,E34*'前提と出典'!$B$5),'前提と出典'!$B$6+E34*'前提と出典'!$B$5))</ns0:f>
        <ns0:v>89368.49162011174</ns0:v>
      </ns0:c>
      <ns0:c r="Q34" s="16">
        <ns0:f>(F34+H34)*(1-'前提と出典'!$B$7)-J34-L34-N34-P34</ns0:f>
        <ns0:v>239716.2293455213</ns0:v>
      </ns0:c>
      <ns0:c r="R34" s="16">
        <ns0:f>(G34+I34)*(1-'前提と出典'!$B$7)-K34-M34-O34</ns0:f>
        <ns0:v>49080.110094440155</ns0:v>
      </ns0:c>
      <ns0:c r="S34" s="16">
        <ns0:f>Q34-F34*'前提と出典'!$E$4</ns0:f>
        <ns0:v>171841.6604180166</ns0:v>
      </ns0:c>
      <ns0:c r="T34" s="16">
        <ns0:f>R34-G34*'前提と出典'!$E$4</ns0:f>
        <ns0:v>29357.495338162786</ns0:v>
      </ns0:c>
      <ns0:c r="U34" s="7">
        <ns0:f>S34+T34</ns0:f>
        <ns0:v>201199.1557561794</ns0:v>
      </ns0:c>
      <ns0:c r="V34" s="16">
        <ns0:f>Q34-F34*'前提と出典'!$E$5</ns0:f>
        <ns0:v>149216.80410884842</ns0:v>
      </ns0:c>
      <ns0:c r="W34" s="16">
        <ns0:f>R34-G34*'前提と出典'!$E$5</ns0:f>
        <ns0:v>22783.290419403653</ns0:v>
      </ns0:c>
      <ns0:c r="X34" s="7">
        <ns0:f>V34+W34</ns0:f>
        <ns0:v>172000.09452825208</ns0:v>
      </ns0:c>
      <ns0:c r="Y34" s="16">
        <ns0:f>Q34-F34*'前提と出典'!$E$6</ns0:f>
        <ns0:v>126591.9477996802</ns0:v>
      </ns0:c>
      <ns0:c r="Z34" s="16">
        <ns0:f>R34-G34*'前提と出典'!$E$6</ns0:f>
        <ns0:v>16209.085500644534</ns0:v>
      </ns0:c>
      <ns0:c r="AA34" s="7">
        <ns0:f>Y34+Z34</ns0:f>
        <ns0:v>142801.03330032475</ns0:v>
      </ns0:c>
      <ns0:c r="AB34" s="7">
        <ns0:f>AB33+U34</ns0:f>
        <ns0:v>2316588.954318089</ns0:v>
      </ns0:c>
      <ns0:c r="AC34" s="7">
        <ns0:f>AC33+X34</ns0:f>
        <ns0:v>1864003.505285215</ns0:v>
      </ns0:c>
      <ns0:c r="AD34" s="7">
        <ns0:f>AD33+AA34</ns0:f>
        <ns0:v>1411418.0562523413</ns0:v>
      </ns0:c>
      <ns0:c r="AE34" s="7">
        <ns0:f>MAX(0,-MIN($AB$5:AB34))</ns0:f>
        <ns0:v>158010.6003560275</ns0:v>
      </ns0:c>
      <ns0:c r="AF34" s="7">
        <ns0:f>MAX(0,-MIN($AC$5:AC34))</ns0:f>
        <ns0:v>181755.65632779445</ns0:v>
      </ns0:c>
      <ns0:c r="AG34" s="7">
        <ns0:f>MAX(0,-MIN($AD$5:AD34))</ns0:f>
        <ns0:v>210902.5233197324</ns0:v>
      </ns0:c>
      <ns0:c r="AH34" s="4">
        <ns0:f>IF(U34&gt;=0,A34,37)</ns0:f>
        <ns0:v>30</ns0:v>
      </ns0:c>
      <ns0:c r="AI34" s="4">
        <ns0:f>IF(AB34&gt;=0,A34,37)</ns0:f>
        <ns0:v>30</ns0:v>
      </ns0:c>
      <ns0:c r="AJ34" s="4">
        <ns0:f>IF(X34&gt;=0,A34,37)</ns0:f>
        <ns0:v>30</ns0:v>
      </ns0:c>
      <ns0:c r="AK34" s="4">
        <ns0:f>IF(AC34&gt;=0,A34,37)</ns0:f>
        <ns0:v>30</ns0:v>
      </ns0:c>
      <ns0:c r="AL34" s="4">
        <ns0:f>IF(AA34&gt;=0,A34,37)</ns0:f>
        <ns0:v>30</ns0:v>
      </ns0:c>
      <ns0:c r="AM34" s="4">
        <ns0:f>IF(AD34&gt;=0,A34,37)</ns0:f>
        <ns0:v>30</ns0:v>
      </ns0:c>
    </ns0:row>
    <ns0:row r="35" ht="24" customHeight="1">
      <ns0:c r="A35" s="4" t="n">
        <ns0:v>31</ns0:v>
      </ns0:c>
      <ns0:c r="B35" s="12">
        <ns0:f>B34*(1-'前提と出典'!$B$31)+'前提と出典'!$B$30</ns0:f>
        <ns0:v>93</ns0:v>
      </ns0:c>
      <ns0:c r="C35" s="12">
        <ns0:f>B35*('前提と出典'!$C$36+'前提と出典'!$C$38)</ns0:f>
        <ns0:v>65.1</ns0:v>
      </ns0:c>
      <ns0:c r="D35" s="16">
        <ns0:f>B35*('前提と出典'!$C$37+'前提と出典'!$C$38)</ns0:f>
        <ns0:v>55.8</ns0:v>
      </ns0:c>
      <ns0:c r="E35" s="16">
        <ns0:f>B35*('前提と出典'!$C$36*'契約別単価'!C5+'前提と出典'!$C$37*'契約別単価'!C6+'前提と出典'!$C$38*'契約別単価'!C7)</ns0:f>
        <ns0:v>669.1843575418994</ns0:v>
      </ns0:c>
      <ns0:c r="F35" s="16">
        <ns0:f>B35*('前提と出典'!$C$36*'契約別単価'!E5+'前提と出典'!$C$37*'契約別単価'!E6+'前提と出典'!$C$38*'契約別単価'!E7)</ns0:f>
        <ns0:v>233790.18186140494</ns0:v>
      </ns0:c>
      <ns0:c r="G35" s="16">
        <ns0:f>B35*('前提と出典'!$C$36*'契約別単価'!F5+'前提と出典'!$C$37*'契約別単価'!F6+'前提と出典'!$C$38*'契約別単価'!F7)</ns0:f>
        <ns0:v>67933.45082717761</ns0:v>
      </ns0:c>
      <ns0:c r="H35" s="16">
        <ns0:f>B35*('前提と出典'!$C$36*'契約別単価'!G5+'前提と出典'!$C$37*'契約別単価'!G6+'前提と出典'!$C$38*'契約別単価'!G7)</ns0:f>
        <ns0:v>185116.75977653632</ns0:v>
      </ns0:c>
      <ns0:c r="I35" s="16">
        <ns0:f>B35*('前提と出典'!$C$36*'契約別単価'!H5+'前提と出典'!$C$37*'契約別単価'!H6+'前提と出典'!$C$38*'契約別単価'!H7)</ns0:f>
        <ns0:v>64244.79997754133</ns0:v>
      </ns0:c>
      <ns0:c r="J35" s="16">
        <ns0:f>B35*('前提と出典'!$C$36*'契約別単価'!I5+'前提と出典'!$C$37*'契約別単価'!I6+'前提と出典'!$C$38*'契約別単価'!I7)</ns0:f>
        <ns0:v>3924.184357541899</ns0:v>
      </ns0:c>
      <ns0:c r="K35" s="16">
        <ns0:f>B35*('前提と出典'!$C$36*'契約別単価'!J5+'前提と出典'!$C$37*'契約別単価'!J6+'前提と出典'!$C$38*'契約別単価'!J7)</ns0:f>
        <ns0:v>9140.927565058138</ns0:v>
      </ns0:c>
      <ns0:c r="L35" s="16">
        <ns0:f>B35*('前提と出典'!$C$36*'契約別単価'!K5+'前提と出典'!$C$37*'契約別単価'!K6+'前提と出典'!$C$38*'契約別単価'!K7)</ns0:f>
        <ns0:v>39181.229050279326</ns0:v>
      </ns0:c>
      <ns0:c r="M35" s="16">
        <ns0:f>B35*('前提と出典'!$C$36*'契約別単価'!L5+'前提と出典'!$C$37*'契約別単価'!L6+'前提と出典'!$C$38*'契約別単価'!L7)</ns0:f>
        <ns0:v>31901.49333258471</ns0:v>
      </ns0:c>
      <ns0:c r="N35" s="16">
        <ns0:f>IF(('前提と出典'!$C$36+'前提と出典'!$C$38)=0,0,IF(C35&lt;=10,'前提と出典'!B73+'前提と出典'!C73,IF(C35&lt;=100,'前提と出典'!B74+'前提と出典'!C74,IF(C35&lt;=500,'前提と出典'!B75+'前提と出典'!C75,'前提と出典'!B76+'前提と出典'!C76))))</ns0:f>
        <ns0:v>20000</ns0:v>
      </ns0:c>
      <ns0:c r="O35" s="16">
        <ns0:f>IF(('前提と出典'!$C$37+'前提と出典'!$C$38)=0,0,IF(D35&lt;=10,'前提と出典'!D73+'前提と出典'!E73,IF(D35&lt;=100,'前提と出典'!D74+'前提と出典'!E74,IF(D35&lt;=500,'前提と出典'!D75+'前提と出典'!E75,'前提と出典'!D76+'前提と出典'!E76))))</ns0:f>
        <ns0:v>34510.9346263078</ns0:v>
      </ns0:c>
      <ns0:c r="P35" s="16">
        <ns0:f>IF('前提と出典'!$C$36+'前提と出典'!$C$38=0,0,'前提と出典'!$B$4*IF('前提と出典'!$B$20=0,MAX('前提と出典'!$B$6,E35*'前提と出典'!$B$5),'前提と出典'!$B$6+E35*'前提と出典'!$B$5))</ns0:f>
        <ns0:v>92347.44134078213</ns0:v>
      </ns0:c>
      <ns0:c r="Q35" s="16">
        <ns0:f>(F35+H35)*(1-'前提と出典'!$B$7)-J35-L35-N35-P35</ns0:f>
        <ns0:v>248373.43699037202</ns0:v>
      </ns0:c>
      <ns0:c r="R35" s="16">
        <ns0:f>(G35+I35)*(1-'前提と出典'!$B$7)-K35-M35-O35</ns0:f>
        <ns0:v>51866.478251798406</ns0:v>
      </ns0:c>
      <ns0:c r="S35" s="16">
        <ns0:f>Q35-F35*'前提と出典'!$E$4</ns0:f>
        <ns0:v>178236.38243195057</ns0:v>
      </ns0:c>
      <ns0:c r="T35" s="16">
        <ns0:f>R35-G35*'前提と出典'!$E$4</ns0:f>
        <ns0:v>31486.443003645116</ns0:v>
      </ns0:c>
      <ns0:c r="U35" s="7">
        <ns0:f>S35+T35</ns0:f>
        <ns0:v>209722.82543559567</ns0:v>
      </ns0:c>
      <ns0:c r="V35" s="16">
        <ns0:f>Q35-F35*'前提と出典'!$E$5</ns0:f>
        <ns0:v>154857.36424581005</ns0:v>
      </ns0:c>
      <ns0:c r="W35" s="16">
        <ns0:f>R35-G35*'前提と出典'!$E$5</ns0:f>
        <ns0:v>24693.097920927357</ns0:v>
      </ns0:c>
      <ns0:c r="X35" s="7">
        <ns0:f>V35+W35</ns0:f>
        <ns0:v>179550.46216673742</ns0:v>
      </ns0:c>
      <ns0:c r="Y35" s="16">
        <ns0:f>Q35-F35*'前提と出典'!$E$6</ns0:f>
        <ns0:v>131478.34605966957</ns0:v>
      </ns0:c>
      <ns0:c r="Z35" s="16">
        <ns0:f>R35-G35*'前提と出典'!$E$6</ns0:f>
        <ns0:v>17899.7528382096</ns0:v>
      </ns0:c>
      <ns0:c r="AA35" s="7">
        <ns0:f>Y35+Z35</ns0:f>
        <ns0:v>149378.09889787916</ns0:v>
      </ns0:c>
      <ns0:c r="AB35" s="7">
        <ns0:f>AB34+U35</ns0:f>
        <ns0:v>2526311.7797536845</ns0:v>
      </ns0:c>
      <ns0:c r="AC35" s="7">
        <ns0:f>AC34+X35</ns0:f>
        <ns0:v>2043553.9674519524</ns0:v>
      </ns0:c>
      <ns0:c r="AD35" s="7">
        <ns0:f>AD34+AA35</ns0:f>
        <ns0:v>1560796.1551502205</ns0:v>
      </ns0:c>
      <ns0:c r="AE35" s="7">
        <ns0:f>MAX(0,-MIN($AB$5:AB35))</ns0:f>
        <ns0:v>158010.6003560275</ns0:v>
      </ns0:c>
      <ns0:c r="AF35" s="7">
        <ns0:f>MAX(0,-MIN($AC$5:AC35))</ns0:f>
        <ns0:v>181755.65632779445</ns0:v>
      </ns0:c>
      <ns0:c r="AG35" s="7">
        <ns0:f>MAX(0,-MIN($AD$5:AD35))</ns0:f>
        <ns0:v>210902.5233197324</ns0:v>
      </ns0:c>
      <ns0:c r="AH35" s="4">
        <ns0:f>IF(U35&gt;=0,A35,37)</ns0:f>
        <ns0:v>31</ns0:v>
      </ns0:c>
      <ns0:c r="AI35" s="4">
        <ns0:f>IF(AB35&gt;=0,A35,37)</ns0:f>
        <ns0:v>31</ns0:v>
      </ns0:c>
      <ns0:c r="AJ35" s="4">
        <ns0:f>IF(X35&gt;=0,A35,37)</ns0:f>
        <ns0:v>31</ns0:v>
      </ns0:c>
      <ns0:c r="AK35" s="4">
        <ns0:f>IF(AC35&gt;=0,A35,37)</ns0:f>
        <ns0:v>31</ns0:v>
      </ns0:c>
      <ns0:c r="AL35" s="4">
        <ns0:f>IF(AA35&gt;=0,A35,37)</ns0:f>
        <ns0:v>31</ns0:v>
      </ns0:c>
      <ns0:c r="AM35" s="4">
        <ns0:f>IF(AD35&gt;=0,A35,37)</ns0:f>
        <ns0:v>31</ns0:v>
      </ns0:c>
    </ns0:row>
    <ns0:row r="36" ht="24" customHeight="1">
      <ns0:c r="A36" s="4" t="n">
        <ns0:v>32</ns0:v>
      </ns0:c>
      <ns0:c r="B36" s="12">
        <ns0:f>B35*(1-'前提と出典'!$B$31)+'前提と出典'!$B$30</ns0:f>
        <ns0:v>96</ns0:v>
      </ns0:c>
      <ns0:c r="C36" s="12">
        <ns0:f>B36*('前提と出典'!$C$36+'前提と出典'!$C$38)</ns0:f>
        <ns0:v>67.19999999999999</ns0:v>
      </ns0:c>
      <ns0:c r="D36" s="16">
        <ns0:f>B36*('前提と出典'!$C$37+'前提と出典'!$C$38)</ns0:f>
        <ns0:v>57.599999999999994</ns0:v>
      </ns0:c>
      <ns0:c r="E36" s="16">
        <ns0:f>B36*('前提と出典'!$C$36*'契約別単価'!C5+'前提と出典'!$C$37*'契約別単価'!C6+'前提と出典'!$C$38*'契約別単価'!C7)</ns0:f>
        <ns0:v>690.7709497206704</ns0:v>
      </ns0:c>
      <ns0:c r="F36" s="16">
        <ns0:f>B36*('前提と出典'!$C$36*'契約別単価'!E5+'前提と出典'!$C$37*'契約別単価'!E6+'前提と出典'!$C$38*'契約別単価'!E7)</ns0:f>
        <ns0:v>241331.80063112767</ns0:v>
      </ns0:c>
      <ns0:c r="G36" s="16">
        <ns0:f>B36*('前提と出典'!$C$36*'契約別単価'!F5+'前提と出典'!$C$37*'契約別単価'!F6+'前提と出典'!$C$38*'契約別単価'!F7)</ns0:f>
        <ns0:v>70124.85246676399</ns0:v>
      </ns0:c>
      <ns0:c r="H36" s="16">
        <ns0:f>B36*('前提と出典'!$C$36*'契約別単価'!G5+'前提と出典'!$C$37*'契約別単価'!G6+'前提と出典'!$C$38*'契約別単価'!G7)</ns0:f>
        <ns0:v>191088.26815642457</ns0:v>
      </ns0:c>
      <ns0:c r="I36" s="16">
        <ns0:f>B36*('前提と出典'!$C$36*'契約別単価'!H5+'前提と出典'!$C$37*'契約別単価'!H6+'前提と出典'!$C$38*'契約別単価'!H7)</ns0:f>
        <ns0:v>66317.21288004266</ns0:v>
      </ns0:c>
      <ns0:c r="J36" s="16">
        <ns0:f>B36*('前提と出典'!$C$36*'契約別単価'!I5+'前提と出典'!$C$37*'契約別単価'!I6+'前提と出典'!$C$38*'契約別単価'!I7)</ns0:f>
        <ns0:v>4050.7709497206697</ns0:v>
      </ns0:c>
      <ns0:c r="K36" s="16">
        <ns0:f>B36*('前提と出典'!$C$36*'契約別単価'!J5+'前提と出典'!$C$37*'契約別単価'!J6+'前提と出典'!$C$38*'契約別単価'!J7)</ns0:f>
        <ns0:v>9435.796196189047</ns0:v>
      </ns0:c>
      <ns0:c r="L36" s="16">
        <ns0:f>B36*('前提と出典'!$C$36*'契約別単価'!K5+'前提と出典'!$C$37*'契約別単価'!K6+'前提と出典'!$C$38*'契約別単価'!K7)</ns0:f>
        <ns0:v>40445.13966480447</ns0:v>
      </ns0:c>
      <ns0:c r="M36" s="16">
        <ns0:f>B36*('前提と出典'!$C$36*'契約別単価'!L5+'前提と出典'!$C$37*'契約別単価'!L6+'前提と出典'!$C$38*'契約別単価'!L7)</ns0:f>
        <ns0:v>32930.573762668086</ns0:v>
      </ns0:c>
      <ns0:c r="N36" s="16">
        <ns0:f>IF(('前提と出典'!$C$36+'前提と出典'!$C$38)=0,0,IF(C36&lt;=10,'前提と出典'!B73+'前提と出典'!C73,IF(C36&lt;=100,'前提と出典'!B74+'前提と出典'!C74,IF(C36&lt;=500,'前提と出典'!B75+'前提と出典'!C75,'前提と出典'!B76+'前提と出典'!C76))))</ns0:f>
        <ns0:v>20000</ns0:v>
      </ns0:c>
      <ns0:c r="O36" s="16">
        <ns0:f>IF(('前提と出典'!$C$37+'前提と出典'!$C$38)=0,0,IF(D36&lt;=10,'前提と出典'!D73+'前提と出典'!E73,IF(D36&lt;=100,'前提と出典'!D74+'前提と出典'!E74,IF(D36&lt;=500,'前提と出典'!D75+'前提と出典'!E75,'前提と出典'!D76+'前提と出典'!E76))))</ns0:f>
        <ns0:v>34510.9346263078</ns0:v>
      </ns0:c>
      <ns0:c r="P36" s="16">
        <ns0:f>IF('前提と出典'!$C$36+'前提と出典'!$C$38=0,0,'前提と出典'!$B$4*IF('前提と出典'!$B$20=0,MAX('前提と出典'!$B$6,E36*'前提と出典'!$B$5),'前提と出典'!$B$6+E36*'前提と出典'!$B$5))</ns0:f>
        <ns0:v>95326.39106145252</ns0:v>
      </ns0:c>
      <ns0:c r="Q36" s="16">
        <ns0:f>(F36+H36)*(1-'前提と出典'!$B$7)-J36-L36-N36-P36</ns0:f>
        <ns0:v>257030.64463522274</ns0:v>
      </ns0:c>
      <ns0:c r="R36" s="16">
        <ns0:f>(G36+I36)*(1-'前提と出典'!$B$7)-K36-M36-O36</ns0:f>
        <ns0:v>54652.8464091567</ns0:v>
      </ns0:c>
      <ns0:c r="S36" s="16">
        <ns0:f>Q36-F36*'前提と出典'!$E$4</ns0:f>
        <ns0:v>184631.1044458844</ns0:v>
      </ns0:c>
      <ns0:c r="T36" s="16">
        <ns0:f>R36-G36*'前提と出典'!$E$4</ns0:f>
        <ns0:v>33615.3906691275</ns0:v>
      </ns0:c>
      <ns0:c r="U36" s="7">
        <ns0:f>S36+T36</ns0:f>
        <ns0:v>218246.4951150119</ns0:v>
      </ns0:c>
      <ns0:c r="V36" s="16">
        <ns0:f>Q36-F36*'前提と出典'!$E$5</ns0:f>
        <ns0:v>160497.92438277166</ns0:v>
      </ns0:c>
      <ns0:c r="W36" s="16">
        <ns0:f>R36-G36*'前提と出典'!$E$5</ns0:f>
        <ns0:v>26602.905422451106</ns0:v>
      </ns0:c>
      <ns0:c r="X36" s="7">
        <ns0:f>V36+W36</ns0:f>
        <ns0:v>187100.82980522275</ns0:v>
      </ns0:c>
      <ns0:c r="Y36" s="16">
        <ns0:f>Q36-F36*'前提と出典'!$E$6</ns0:f>
        <ns0:v>136364.74431965884</ns0:v>
      </ns0:c>
      <ns0:c r="Z36" s="16">
        <ns0:f>R36-G36*'前提と出典'!$E$6</ns0:f>
        <ns0:v>19590.420175774707</ns0:v>
      </ns0:c>
      <ns0:c r="AA36" s="7">
        <ns0:f>Y36+Z36</ns0:f>
        <ns0:v>155955.16449543356</ns0:v>
      </ns0:c>
      <ns0:c r="AB36" s="7">
        <ns0:f>AB35+U36</ns0:f>
        <ns0:v>2744558.2748686965</ns0:v>
      </ns0:c>
      <ns0:c r="AC36" s="7">
        <ns0:f>AC35+X36</ns0:f>
        <ns0:v>2230654.797257175</ns0:v>
      </ns0:c>
      <ns0:c r="AD36" s="7">
        <ns0:f>AD35+AA36</ns0:f>
        <ns0:v>1716751.319645654</ns0:v>
      </ns0:c>
      <ns0:c r="AE36" s="7">
        <ns0:f>MAX(0,-MIN($AB$5:AB36))</ns0:f>
        <ns0:v>158010.6003560275</ns0:v>
      </ns0:c>
      <ns0:c r="AF36" s="7">
        <ns0:f>MAX(0,-MIN($AC$5:AC36))</ns0:f>
        <ns0:v>181755.65632779445</ns0:v>
      </ns0:c>
      <ns0:c r="AG36" s="7">
        <ns0:f>MAX(0,-MIN($AD$5:AD36))</ns0:f>
        <ns0:v>210902.5233197324</ns0:v>
      </ns0:c>
      <ns0:c r="AH36" s="4">
        <ns0:f>IF(U36&gt;=0,A36,37)</ns0:f>
        <ns0:v>32</ns0:v>
      </ns0:c>
      <ns0:c r="AI36" s="4">
        <ns0:f>IF(AB36&gt;=0,A36,37)</ns0:f>
        <ns0:v>32</ns0:v>
      </ns0:c>
      <ns0:c r="AJ36" s="4">
        <ns0:f>IF(X36&gt;=0,A36,37)</ns0:f>
        <ns0:v>32</ns0:v>
      </ns0:c>
      <ns0:c r="AK36" s="4">
        <ns0:f>IF(AC36&gt;=0,A36,37)</ns0:f>
        <ns0:v>32</ns0:v>
      </ns0:c>
      <ns0:c r="AL36" s="4">
        <ns0:f>IF(AA36&gt;=0,A36,37)</ns0:f>
        <ns0:v>32</ns0:v>
      </ns0:c>
      <ns0:c r="AM36" s="4">
        <ns0:f>IF(AD36&gt;=0,A36,37)</ns0:f>
        <ns0:v>32</ns0:v>
      </ns0:c>
    </ns0:row>
    <ns0:row r="37" ht="24" customHeight="1">
      <ns0:c r="A37" s="4" t="n">
        <ns0:v>33</ns0:v>
      </ns0:c>
      <ns0:c r="B37" s="12">
        <ns0:f>B36*(1-'前提と出典'!$B$31)+'前提と出典'!$B$30</ns0:f>
        <ns0:v>99</ns0:v>
      </ns0:c>
      <ns0:c r="C37" s="12">
        <ns0:f>B37*('前提と出典'!$C$36+'前提と出典'!$C$38)</ns0:f>
        <ns0:v>69.3</ns0:v>
      </ns0:c>
      <ns0:c r="D37" s="16">
        <ns0:f>B37*('前提と出典'!$C$37+'前提と出典'!$C$38)</ns0:f>
        <ns0:v>59.4</ns0:v>
      </ns0:c>
      <ns0:c r="E37" s="16">
        <ns0:f>B37*('前提と出典'!$C$36*'契約別単価'!C5+'前提と出典'!$C$37*'契約別単価'!C6+'前提と出典'!$C$38*'契約別単価'!C7)</ns0:f>
        <ns0:v>712.3575418994413</ns0:v>
      </ns0:c>
      <ns0:c r="F37" s="16">
        <ns0:f>B37*('前提と出典'!$C$36*'契約別単価'!E5+'前提と出典'!$C$37*'契約別単価'!E6+'前提と出典'!$C$38*'契約別単価'!E7)</ns0:f>
        <ns0:v>248873.4194008504</ns0:v>
      </ns0:c>
      <ns0:c r="G37" s="16">
        <ns0:f>B37*('前提と出典'!$C$36*'契約別単価'!F5+'前提と出典'!$C$37*'契約別単価'!F6+'前提と出典'!$C$38*'契約別単価'!F7)</ns0:f>
        <ns0:v>72316.25410635036</ns0:v>
      </ns0:c>
      <ns0:c r="H37" s="16">
        <ns0:f>B37*('前提と出典'!$C$36*'契約別単価'!G5+'前提と出典'!$C$37*'契約別単価'!G6+'前提と出典'!$C$38*'契約別単価'!G7)</ns0:f>
        <ns0:v>197059.77653631283</ns0:v>
      </ns0:c>
      <ns0:c r="I37" s="16">
        <ns0:f>B37*('前提と出典'!$C$36*'契約別単価'!H5+'前提と出典'!$C$37*'契約別単価'!H6+'前提と出典'!$C$38*'契約別単価'!H7)</ns0:f>
        <ns0:v>68389.625782544</ns0:v>
      </ns0:c>
      <ns0:c r="J37" s="16">
        <ns0:f>B37*('前提と出典'!$C$36*'契約別単価'!I5+'前提と出典'!$C$37*'契約別単価'!I6+'前提と出典'!$C$38*'契約別単価'!I7)</ns0:f>
        <ns0:v>4177.357541899441</ns0:v>
      </ns0:c>
      <ns0:c r="K37" s="16">
        <ns0:f>B37*('前提と出典'!$C$36*'契約別単価'!J5+'前提と出典'!$C$37*'契約別単価'!J6+'前提と出典'!$C$38*'契約別単価'!J7)</ns0:f>
        <ns0:v>9730.664827319953</ns0:v>
      </ns0:c>
      <ns0:c r="L37" s="16">
        <ns0:f>B37*('前提と出典'!$C$36*'契約別単価'!K5+'前提と出典'!$C$37*'契約別単価'!K6+'前提と出典'!$C$38*'契約別単価'!K7)</ns0:f>
        <ns0:v>41709.050279329604</ns0:v>
      </ns0:c>
      <ns0:c r="M37" s="16">
        <ns0:f>B37*('前提と出典'!$C$36*'契約別単価'!L5+'前提と出典'!$C$37*'契約別単価'!L6+'前提と出典'!$C$38*'契約別単価'!L7)</ns0:f>
        <ns0:v>33959.65419275146</ns0:v>
      </ns0:c>
      <ns0:c r="N37" s="16">
        <ns0:f>IF(('前提と出典'!$C$36+'前提と出典'!$C$38)=0,0,IF(C37&lt;=10,'前提と出典'!B73+'前提と出典'!C73,IF(C37&lt;=100,'前提と出典'!B74+'前提と出典'!C74,IF(C37&lt;=500,'前提と出典'!B75+'前提と出典'!C75,'前提と出典'!B76+'前提と出典'!C76))))</ns0:f>
        <ns0:v>20000</ns0:v>
      </ns0:c>
      <ns0:c r="O37" s="16">
        <ns0:f>IF(('前提と出典'!$C$37+'前提と出典'!$C$38)=0,0,IF(D37&lt;=10,'前提と出典'!D73+'前提と出典'!E73,IF(D37&lt;=100,'前提と出典'!D74+'前提と出典'!E74,IF(D37&lt;=500,'前提と出典'!D75+'前提と出典'!E75,'前提と出典'!D76+'前提と出典'!E76))))</ns0:f>
        <ns0:v>34510.9346263078</ns0:v>
      </ns0:c>
      <ns0:c r="P37" s="16">
        <ns0:f>IF('前提と出典'!$C$36+'前提と出典'!$C$38=0,0,'前提と出典'!$B$4*IF('前提と出典'!$B$20=0,MAX('前提と出典'!$B$6,E37*'前提と出典'!$B$5),'前提と出典'!$B$6+E37*'前提と出典'!$B$5))</ns0:f>
        <ns0:v>98305.34078212292</ns0:v>
      </ns0:c>
      <ns0:c r="Q37" s="16">
        <ns0:f>(F37+H37)*(1-'前提と出典'!$B$7)-J37-L37-N37-P37</ns0:f>
        <ns0:v>265687.8522800734</ns0:v>
      </ns0:c>
      <ns0:c r="R37" s="16">
        <ns0:f>(G37+I37)*(1-'前提と出典'!$B$7)-K37-M37-O37</ns0:f>
        <ns0:v>57439.21456651496</ns0:v>
      </ns0:c>
      <ns0:c r="S37" s="16">
        <ns0:f>Q37-F37*'前提と出典'!$E$4</ns0:f>
        <ns0:v>191025.8264598183</ns0:v>
      </ns0:c>
      <ns0:c r="T37" s="16">
        <ns0:f>R37-G37*'前提と出典'!$E$4</ns0:f>
        <ns0:v>35744.33833460985</ns0:v>
      </ns0:c>
      <ns0:c r="U37" s="7">
        <ns0:f>S37+T37</ns0:f>
        <ns0:v>226770.16479442813</ns0:v>
      </ns0:c>
      <ns0:c r="V37" s="16">
        <ns0:f>Q37-F37*'前提と出典'!$E$5</ns0:f>
        <ns0:v>166138.48451973323</ns0:v>
      </ns0:c>
      <ns0:c r="W37" s="16">
        <ns0:f>R37-G37*'前提と出典'!$E$5</ns0:f>
        <ns0:v>28512.71292397481</ns0:v>
      </ns0:c>
      <ns0:c r="X37" s="7">
        <ns0:f>V37+W37</ns0:f>
        <ns0:v>194651.19744370805</ns0:v>
      </ns0:c>
      <ns0:c r="Y37" s="16">
        <ns0:f>Q37-F37*'前提と出典'!$E$6</ns0:f>
        <ns0:v>141251.14257964818</ns0:v>
      </ns0:c>
      <ns0:c r="Z37" s="16">
        <ns0:f>R37-G37*'前提と出典'!$E$6</ns0:f>
        <ns0:v>21281.08751333977</ns0:v>
      </ns0:c>
      <ns0:c r="AA37" s="7">
        <ns0:f>Y37+Z37</ns0:f>
        <ns0:v>162532.23009298794</ns0:v>
      </ns0:c>
      <ns0:c r="AB37" s="7">
        <ns0:f>AB36+U37</ns0:f>
        <ns0:v>2971328.4396631247</ns0:v>
      </ns0:c>
      <ns0:c r="AC37" s="7">
        <ns0:f>AC36+X37</ns0:f>
        <ns0:v>2425305.994700883</ns0:v>
      </ns0:c>
      <ns0:c r="AD37" s="7">
        <ns0:f>AD36+AA37</ns0:f>
        <ns0:v>1879283.5497386418</ns0:v>
      </ns0:c>
      <ns0:c r="AE37" s="7">
        <ns0:f>MAX(0,-MIN($AB$5:AB37))</ns0:f>
        <ns0:v>158010.6003560275</ns0:v>
      </ns0:c>
      <ns0:c r="AF37" s="7">
        <ns0:f>MAX(0,-MIN($AC$5:AC37))</ns0:f>
        <ns0:v>181755.65632779445</ns0:v>
      </ns0:c>
      <ns0:c r="AG37" s="7">
        <ns0:f>MAX(0,-MIN($AD$5:AD37))</ns0:f>
        <ns0:v>210902.5233197324</ns0:v>
      </ns0:c>
      <ns0:c r="AH37" s="4">
        <ns0:f>IF(U37&gt;=0,A37,37)</ns0:f>
        <ns0:v>33</ns0:v>
      </ns0:c>
      <ns0:c r="AI37" s="4">
        <ns0:f>IF(AB37&gt;=0,A37,37)</ns0:f>
        <ns0:v>33</ns0:v>
      </ns0:c>
      <ns0:c r="AJ37" s="4">
        <ns0:f>IF(X37&gt;=0,A37,37)</ns0:f>
        <ns0:v>33</ns0:v>
      </ns0:c>
      <ns0:c r="AK37" s="4">
        <ns0:f>IF(AC37&gt;=0,A37,37)</ns0:f>
        <ns0:v>33</ns0:v>
      </ns0:c>
      <ns0:c r="AL37" s="4">
        <ns0:f>IF(AA37&gt;=0,A37,37)</ns0:f>
        <ns0:v>33</ns0:v>
      </ns0:c>
      <ns0:c r="AM37" s="4">
        <ns0:f>IF(AD37&gt;=0,A37,37)</ns0:f>
        <ns0:v>33</ns0:v>
      </ns0:c>
    </ns0:row>
    <ns0:row r="38" ht="24" customHeight="1">
      <ns0:c r="A38" s="4" t="n">
        <ns0:v>34</ns0:v>
      </ns0:c>
      <ns0:c r="B38" s="12">
        <ns0:f>B37*(1-'前提と出典'!$B$31)+'前提と出典'!$B$30</ns0:f>
        <ns0:v>102</ns0:v>
      </ns0:c>
      <ns0:c r="C38" s="12">
        <ns0:f>B38*('前提と出典'!$C$36+'前提と出典'!$C$38)</ns0:f>
        <ns0:v>71.39999999999999</ns0:v>
      </ns0:c>
      <ns0:c r="D38" s="16">
        <ns0:f>B38*('前提と出典'!$C$37+'前提と出典'!$C$38)</ns0:f>
        <ns0:v>61.199999999999996</ns0:v>
      </ns0:c>
      <ns0:c r="E38" s="16">
        <ns0:f>B38*('前提と出典'!$C$36*'契約別単価'!C5+'前提と出典'!$C$37*'契約別単価'!C6+'前提と出典'!$C$38*'契約別単価'!C7)</ns0:f>
        <ns0:v>733.9441340782123</ns0:v>
      </ns0:c>
      <ns0:c r="F38" s="16">
        <ns0:f>B38*('前提と出典'!$C$36*'契約別単価'!E5+'前提と出典'!$C$37*'契約別単価'!E6+'前提と出典'!$C$38*'契約別単価'!E7)</ns0:f>
        <ns0:v>256415.03817057316</ns0:v>
      </ns0:c>
      <ns0:c r="G38" s="16">
        <ns0:f>B38*('前提と出典'!$C$36*'契約別単価'!F5+'前提と出典'!$C$37*'契約別単価'!F6+'前提と出典'!$C$38*'契約別単価'!F7)</ns0:f>
        <ns0:v>74507.65574593673</ns0:v>
      </ns0:c>
      <ns0:c r="H38" s="16">
        <ns0:f>B38*('前提と出典'!$C$36*'契約別単価'!G5+'前提と出典'!$C$37*'契約別単価'!G6+'前提と出典'!$C$38*'契約別単価'!G7)</ns0:f>
        <ns0:v>203031.2849162011</ns0:v>
      </ns0:c>
      <ns0:c r="I38" s="16">
        <ns0:f>B38*('前提と出典'!$C$36*'契約別単価'!H5+'前提と出典'!$C$37*'契約別単価'!H6+'前提と出典'!$C$38*'契約別単価'!H7)</ns0:f>
        <ns0:v>70462.03868504532</ns0:v>
      </ns0:c>
      <ns0:c r="J38" s="16">
        <ns0:f>B38*('前提と出典'!$C$36*'契約別単価'!I5+'前提と出典'!$C$37*'契約別単価'!I6+'前提と出典'!$C$38*'契約別単価'!I7)</ns0:f>
        <ns0:v>4303.944134078211</ns0:v>
      </ns0:c>
      <ns0:c r="K38" s="16">
        <ns0:f>B38*('前提と出典'!$C$36*'契約別単価'!J5+'前提と出典'!$C$37*'契約別単価'!J6+'前提と出典'!$C$38*'契約別単価'!J7)</ns0:f>
        <ns0:v>10025.533458450862</ns0:v>
      </ns0:c>
      <ns0:c r="L38" s="16">
        <ns0:f>B38*('前提と出典'!$C$36*'契約別単価'!K5+'前提と出典'!$C$37*'契約別単価'!K6+'前提と出典'!$C$38*'契約別単価'!K7)</ns0:f>
        <ns0:v>42972.960893854746</ns0:v>
      </ns0:c>
      <ns0:c r="M38" s="16">
        <ns0:f>B38*('前提と出典'!$C$36*'契約別単価'!L5+'前提と出典'!$C$37*'契約別単価'!L6+'前提と出典'!$C$38*'契約別単価'!L7)</ns0:f>
        <ns0:v>34988.73462283484</ns0:v>
      </ns0:c>
      <ns0:c r="N38" s="16">
        <ns0:f>IF(('前提と出典'!$C$36+'前提と出典'!$C$38)=0,0,IF(C38&lt;=10,'前提と出典'!B73+'前提と出典'!C73,IF(C38&lt;=100,'前提と出典'!B74+'前提と出典'!C74,IF(C38&lt;=500,'前提と出典'!B75+'前提と出典'!C75,'前提と出典'!B76+'前提と出典'!C76))))</ns0:f>
        <ns0:v>20000</ns0:v>
      </ns0:c>
      <ns0:c r="O38" s="16">
        <ns0:f>IF(('前提と出典'!$C$37+'前提と出典'!$C$38)=0,0,IF(D38&lt;=10,'前提と出典'!D73+'前提と出典'!E73,IF(D38&lt;=100,'前提と出典'!D74+'前提と出典'!E74,IF(D38&lt;=500,'前提と出典'!D75+'前提と出典'!E75,'前提と出典'!D76+'前提と出典'!E76))))</ns0:f>
        <ns0:v>34510.9346263078</ns0:v>
      </ns0:c>
      <ns0:c r="P38" s="16">
        <ns0:f>IF('前提と出典'!$C$36+'前提と出典'!$C$38=0,0,'前提と出典'!$B$4*IF('前提と出典'!$B$20=0,MAX('前提と出典'!$B$6,E38*'前提と出典'!$B$5),'前提と出典'!$B$6+E38*'前提と出典'!$B$5))</ns0:f>
        <ns0:v>101284.2905027933</ns0:v>
      </ns0:c>
      <ns0:c r="Q38" s="16">
        <ns0:f>(F38+H38)*(1-'前提と出典'!$B$7)-J38-L38-N38-P38</ns0:f>
        <ns0:v>274345.05992492416</ns0:v>
      </ns0:c>
      <ns0:c r="R38" s="16">
        <ns0:f>(G38+I38)*(1-'前提と出典'!$B$7)-K38-M38-O38</ns0:f>
        <ns0:v>60225.58272387321</ns0:v>
      </ns0:c>
      <ns0:c r="S38" s="16">
        <ns0:f>Q38-F38*'前提と出典'!$E$4</ns0:f>
        <ns0:v>197420.5484737522</ns0:v>
      </ns0:c>
      <ns0:c r="T38" s="16">
        <ns0:f>R38-G38*'前提と出典'!$E$4</ns0:f>
        <ns0:v>37873.28600009217</ns0:v>
      </ns0:c>
      <ns0:c r="U38" s="7">
        <ns0:f>S38+T38</ns0:f>
        <ns0:v>235293.83447384436</ns0:v>
      </ns0:c>
      <ns0:c r="V38" s="16">
        <ns0:f>Q38-F38*'前提と出典'!$E$5</ns0:f>
        <ns0:v>171779.0446566949</ns0:v>
      </ns0:c>
      <ns0:c r="W38" s="16">
        <ns0:f>R38-G38*'前提と出典'!$E$5</ns0:f>
        <ns0:v>30422.520425498515</ns0:v>
      </ns0:c>
      <ns0:c r="X38" s="7">
        <ns0:f>V38+W38</ns0:f>
        <ns0:v>202201.5650821934</ns0:v>
      </ns0:c>
      <ns0:c r="Y38" s="16">
        <ns0:f>Q38-F38*'前提と出典'!$E$6</ns0:f>
        <ns0:v>146137.54083963754</ns0:v>
      </ns0:c>
      <ns0:c r="Z38" s="16">
        <ns0:f>R38-G38*'前提と出典'!$E$6</ns0:f>
        <ns0:v>22971.754850904836</ns0:v>
      </ns0:c>
      <ns0:c r="AA38" s="7">
        <ns0:f>Y38+Z38</ns0:f>
        <ns0:v>169109.29569054238</ns0:v>
      </ns0:c>
      <ns0:c r="AB38" s="7">
        <ns0:f>AB37+U38</ns0:f>
        <ns0:v>3206622.274136969</ns0:v>
      </ns0:c>
      <ns0:c r="AC38" s="7">
        <ns0:f>AC37+X38</ns0:f>
        <ns0:v>2627507.5597830764</ns0:v>
      </ns0:c>
      <ns0:c r="AD38" s="7">
        <ns0:f>AD37+AA38</ns0:f>
        <ns0:v>2048392.8454291841</ns0:v>
      </ns0:c>
      <ns0:c r="AE38" s="7">
        <ns0:f>MAX(0,-MIN($AB$5:AB38))</ns0:f>
        <ns0:v>158010.6003560275</ns0:v>
      </ns0:c>
      <ns0:c r="AF38" s="7">
        <ns0:f>MAX(0,-MIN($AC$5:AC38))</ns0:f>
        <ns0:v>181755.65632779445</ns0:v>
      </ns0:c>
      <ns0:c r="AG38" s="7">
        <ns0:f>MAX(0,-MIN($AD$5:AD38))</ns0:f>
        <ns0:v>210902.5233197324</ns0:v>
      </ns0:c>
      <ns0:c r="AH38" s="4">
        <ns0:f>IF(U38&gt;=0,A38,37)</ns0:f>
        <ns0:v>34</ns0:v>
      </ns0:c>
      <ns0:c r="AI38" s="4">
        <ns0:f>IF(AB38&gt;=0,A38,37)</ns0:f>
        <ns0:v>34</ns0:v>
      </ns0:c>
      <ns0:c r="AJ38" s="4">
        <ns0:f>IF(X38&gt;=0,A38,37)</ns0:f>
        <ns0:v>34</ns0:v>
      </ns0:c>
      <ns0:c r="AK38" s="4">
        <ns0:f>IF(AC38&gt;=0,A38,37)</ns0:f>
        <ns0:v>34</ns0:v>
      </ns0:c>
      <ns0:c r="AL38" s="4">
        <ns0:f>IF(AA38&gt;=0,A38,37)</ns0:f>
        <ns0:v>34</ns0:v>
      </ns0:c>
      <ns0:c r="AM38" s="4">
        <ns0:f>IF(AD38&gt;=0,A38,37)</ns0:f>
        <ns0:v>34</ns0:v>
      </ns0:c>
    </ns0:row>
    <ns0:row r="39" ht="24" customHeight="1">
      <ns0:c r="A39" s="4" t="n">
        <ns0:v>35</ns0:v>
      </ns0:c>
      <ns0:c r="B39" s="12">
        <ns0:f>B38*(1-'前提と出典'!$B$31)+'前提と出典'!$B$30</ns0:f>
        <ns0:v>105</ns0:v>
      </ns0:c>
      <ns0:c r="C39" s="12">
        <ns0:f>B39*('前提と出典'!$C$36+'前提と出典'!$C$38)</ns0:f>
        <ns0:v>73.5</ns0:v>
      </ns0:c>
      <ns0:c r="D39" s="16">
        <ns0:f>B39*('前提と出典'!$C$37+'前提と出典'!$C$38)</ns0:f>
        <ns0:v>63</ns0:v>
      </ns0:c>
      <ns0:c r="E39" s="16">
        <ns0:f>B39*('前提と出典'!$C$36*'契約別単価'!C5+'前提と出典'!$C$37*'契約別単価'!C6+'前提と出典'!$C$38*'契約別単価'!C7)</ns0:f>
        <ns0:v>755.5307262569833</ns0:v>
      </ns0:c>
      <ns0:c r="F39" s="16">
        <ns0:f>B39*('前提と出典'!$C$36*'契約別単価'!E5+'前提と出典'!$C$37*'契約別単価'!E6+'前提と出典'!$C$38*'契約別単価'!E7)</ns0:f>
        <ns0:v>263956.6569402959</ns0:v>
      </ns0:c>
      <ns0:c r="G39" s="16">
        <ns0:f>B39*('前提と出典'!$C$36*'契約別単価'!F5+'前提と出典'!$C$37*'契約別単価'!F6+'前提と出典'!$C$38*'契約別単価'!F7)</ns0:f>
        <ns0:v>76699.0573855231</ns0:v>
      </ns0:c>
      <ns0:c r="H39" s="16">
        <ns0:f>B39*('前提と出典'!$C$36*'契約別単価'!G5+'前提と出典'!$C$37*'契約別単価'!G6+'前提と出典'!$C$38*'契約別単価'!G7)</ns0:f>
        <ns0:v>209002.79329608937</ns0:v>
      </ns0:c>
      <ns0:c r="I39" s="16">
        <ns0:f>B39*('前提と出典'!$C$36*'契約別単価'!H5+'前提と出典'!$C$37*'契約別単価'!H6+'前提と出典'!$C$38*'契約別単価'!H7)</ns0:f>
        <ns0:v>72534.45158754666</ns0:v>
      </ns0:c>
      <ns0:c r="J39" s="16">
        <ns0:f>B39*('前提と出典'!$C$36*'契約別単価'!I5+'前提と出典'!$C$37*'契約別単価'!I6+'前提と出典'!$C$38*'契約別単価'!I7)</ns0:f>
        <ns0:v>4430.530726256982</ns0:v>
      </ns0:c>
      <ns0:c r="K39" s="16">
        <ns0:f>B39*('前提と出典'!$C$36*'契約別単価'!J5+'前提と出典'!$C$37*'契約別単価'!J6+'前提と出典'!$C$38*'契約別単価'!J7)</ns0:f>
        <ns0:v>10320.40208958177</ns0:v>
      </ns0:c>
      <ns0:c r="L39" s="16">
        <ns0:f>B39*('前提と出典'!$C$36*'契約別単価'!K5+'前提と出典'!$C$37*'契約別単価'!K6+'前提と出典'!$C$38*'契約別単価'!K7)</ns0:f>
        <ns0:v>44236.87150837989</ns0:v>
      </ns0:c>
      <ns0:c r="M39" s="16">
        <ns0:f>B39*('前提と出典'!$C$36*'契約別単価'!L5+'前提と出典'!$C$37*'契約別単価'!L6+'前提と出典'!$C$38*'契約別単価'!L7)</ns0:f>
        <ns0:v>36017.815052918224</ns0:v>
      </ns0:c>
      <ns0:c r="N39" s="16">
        <ns0:f>IF(('前提と出典'!$C$36+'前提と出典'!$C$38)=0,0,IF(C39&lt;=10,'前提と出典'!B73+'前提と出典'!C73,IF(C39&lt;=100,'前提と出典'!B74+'前提と出典'!C74,IF(C39&lt;=500,'前提と出典'!B75+'前提と出典'!C75,'前提と出典'!B76+'前提と出典'!C76))))</ns0:f>
        <ns0:v>20000</ns0:v>
      </ns0:c>
      <ns0:c r="O39" s="16">
        <ns0:f>IF(('前提と出典'!$C$37+'前提と出典'!$C$38)=0,0,IF(D39&lt;=10,'前提と出典'!D73+'前提と出典'!E73,IF(D39&lt;=100,'前提と出典'!D74+'前提と出典'!E74,IF(D39&lt;=500,'前提と出典'!D75+'前提と出典'!E75,'前提と出典'!D76+'前提と出典'!E76))))</ns0:f>
        <ns0:v>34510.9346263078</ns0:v>
      </ns0:c>
      <ns0:c r="P39" s="16">
        <ns0:f>IF('前提と出典'!$C$36+'前提と出典'!$C$38=0,0,'前提と出典'!$B$4*IF('前提と出典'!$B$20=0,MAX('前提と出典'!$B$6,E39*'前提と出典'!$B$5),'前提と出典'!$B$6+E39*'前提と出典'!$B$5))</ns0:f>
        <ns0:v>104263.2402234637</ns0:v>
      </ns0:c>
      <ns0:c r="Q39" s="16">
        <ns0:f>(F39+H39)*(1-'前提と出典'!$B$7)-J39-L39-N39-P39</ns0:f>
        <ns0:v>283002.2675697748</ns0:v>
      </ns0:c>
      <ns0:c r="R39" s="16">
        <ns0:f>(G39+I39)*(1-'前提と出典'!$B$7)-K39-M39-O39</ns0:f>
        <ns0:v>63011.95088123146</ns0:v>
      </ns0:c>
      <ns0:c r="S39" s="16">
        <ns0:f>Q39-F39*'前提と出典'!$E$4</ns0:f>
        <ns0:v>203815.27048768604</ns0:v>
      </ns0:c>
      <ns0:c r="T39" s="16">
        <ns0:f>R39-G39*'前提と出典'!$E$4</ns0:f>
        <ns0:v>40002.23366557455</ns0:v>
      </ns0:c>
      <ns0:c r="U39" s="7">
        <ns0:f>S39+T39</ns0:f>
        <ns0:v>243817.50415326058</ns0:v>
      </ns0:c>
      <ns0:c r="V39" s="16">
        <ns0:f>Q39-F39*'前提と出典'!$E$5</ns0:f>
        <ns0:v>177419.60479365644</ns0:v>
      </ns0:c>
      <ns0:c r="W39" s="16">
        <ns0:f>R39-G39*'前提と出典'!$E$5</ns0:f>
        <ns0:v>32332.32792702222</ns0:v>
      </ns0:c>
      <ns0:c r="X39" s="7">
        <ns0:f>V39+W39</ns0:f>
        <ns0:v>209751.93272067865</ns0:v>
      </ns0:c>
      <ns0:c r="Y39" s="16">
        <ns0:f>Q39-F39*'前提と出典'!$E$6</ns0:f>
        <ns0:v>151023.9390996269</ns0:v>
      </ns0:c>
      <ns0:c r="Z39" s="16">
        <ns0:f>R39-G39*'前提と出典'!$E$6</ns0:f>
        <ns0:v>24662.422188469922</ns0:v>
      </ns0:c>
      <ns0:c r="AA39" s="7">
        <ns0:f>Y39+Z39</ns0:f>
        <ns0:v>175686.3612880968</ns0:v>
      </ns0:c>
      <ns0:c r="AB39" s="7">
        <ns0:f>AB38+U39</ns0:f>
        <ns0:v>3450439.7782902294</ns0:v>
      </ns0:c>
      <ns0:c r="AC39" s="7">
        <ns0:f>AC38+X39</ns0:f>
        <ns0:v>2837259.4925037553</ns0:v>
      </ns0:c>
      <ns0:c r="AD39" s="7">
        <ns0:f>AD38+AA39</ns0:f>
        <ns0:v>2224079.206717281</ns0:v>
      </ns0:c>
      <ns0:c r="AE39" s="7">
        <ns0:f>MAX(0,-MIN($AB$5:AB39))</ns0:f>
        <ns0:v>158010.6003560275</ns0:v>
      </ns0:c>
      <ns0:c r="AF39" s="7">
        <ns0:f>MAX(0,-MIN($AC$5:AC39))</ns0:f>
        <ns0:v>181755.65632779445</ns0:v>
      </ns0:c>
      <ns0:c r="AG39" s="7">
        <ns0:f>MAX(0,-MIN($AD$5:AD39))</ns0:f>
        <ns0:v>210902.5233197324</ns0:v>
      </ns0:c>
      <ns0:c r="AH39" s="4">
        <ns0:f>IF(U39&gt;=0,A39,37)</ns0:f>
        <ns0:v>35</ns0:v>
      </ns0:c>
      <ns0:c r="AI39" s="4">
        <ns0:f>IF(AB39&gt;=0,A39,37)</ns0:f>
        <ns0:v>35</ns0:v>
      </ns0:c>
      <ns0:c r="AJ39" s="4">
        <ns0:f>IF(X39&gt;=0,A39,37)</ns0:f>
        <ns0:v>35</ns0:v>
      </ns0:c>
      <ns0:c r="AK39" s="4">
        <ns0:f>IF(AC39&gt;=0,A39,37)</ns0:f>
        <ns0:v>35</ns0:v>
      </ns0:c>
      <ns0:c r="AL39" s="4">
        <ns0:f>IF(AA39&gt;=0,A39,37)</ns0:f>
        <ns0:v>35</ns0:v>
      </ns0:c>
      <ns0:c r="AM39" s="4">
        <ns0:f>IF(AD39&gt;=0,A39,37)</ns0:f>
        <ns0:v>35</ns0:v>
      </ns0:c>
    </ns0:row>
    <ns0:row r="40" ht="24" customHeight="1">
      <ns0:c r="A40" s="4" t="n">
        <ns0:v>36</ns0:v>
      </ns0:c>
      <ns0:c r="B40" s="12">
        <ns0:f>B39*(1-'前提と出典'!$B$31)+'前提と出典'!$B$30</ns0:f>
        <ns0:v>108</ns0:v>
      </ns0:c>
      <ns0:c r="C40" s="12">
        <ns0:f>B40*('前提と出典'!$C$36+'前提と出典'!$C$38)</ns0:f>
        <ns0:v>75.6</ns0:v>
      </ns0:c>
      <ns0:c r="D40" s="16">
        <ns0:f>B40*('前提と出典'!$C$37+'前提と出典'!$C$38)</ns0:f>
        <ns0:v>64.8</ns0:v>
      </ns0:c>
      <ns0:c r="E40" s="16">
        <ns0:f>B40*('前提と出典'!$C$36*'契約別単価'!C5+'前提と出典'!$C$37*'契約別単価'!C6+'前提と出典'!$C$38*'契約別単価'!C7)</ns0:f>
        <ns0:v>777.1173184357542</ns0:v>
      </ns0:c>
      <ns0:c r="F40" s="16">
        <ns0:f>B40*('前提と出典'!$C$36*'契約別単価'!E5+'前提と出典'!$C$37*'契約別単価'!E6+'前提と出典'!$C$38*'契約別単価'!E7)</ns0:f>
        <ns0:v>271498.27571001864</ns0:v>
      </ns0:c>
      <ns0:c r="G40" s="16">
        <ns0:f>B40*('前提と出典'!$C$36*'契約別単価'!F5+'前提と出典'!$C$37*'契約別単価'!F6+'前提と出典'!$C$38*'契約別単価'!F7)</ns0:f>
        <ns0:v>78890.45902510948</ns0:v>
      </ns0:c>
      <ns0:c r="H40" s="16">
        <ns0:f>B40*('前提と出典'!$C$36*'契約別単価'!G5+'前提と出典'!$C$37*'契約別単価'!G6+'前提と出典'!$C$38*'契約別単価'!G7)</ns0:f>
        <ns0:v>214974.30167597765</ns0:v>
      </ns0:c>
      <ns0:c r="I40" s="16">
        <ns0:f>B40*('前提と出典'!$C$36*'契約別単価'!H5+'前提と出典'!$C$37*'契約別単価'!H6+'前提と出典'!$C$38*'契約別単価'!H7)</ns0:f>
        <ns0:v>74606.86449004798</ns0:v>
      </ns0:c>
      <ns0:c r="J40" s="16">
        <ns0:f>B40*('前提と出典'!$C$36*'契約別単価'!I5+'前提と出典'!$C$37*'契約別単価'!I6+'前提と出典'!$C$38*'契約別単価'!I7)</ns0:f>
        <ns0:v>4557.117318435753</ns0:v>
      </ns0:c>
      <ns0:c r="K40" s="16">
        <ns0:f>B40*('前提と出典'!$C$36*'契約別単価'!J5+'前提と出典'!$C$37*'契約別単価'!J6+'前提と出典'!$C$38*'契約別単価'!J7)</ns0:f>
        <ns0:v>10615.270720712677</ns0:v>
      </ns0:c>
      <ns0:c r="L40" s="16">
        <ns0:f>B40*('前提と出典'!$C$36*'契約別単価'!K5+'前提と出典'!$C$37*'契約別単価'!K6+'前提と出典'!$C$38*'契約別単価'!K7)</ns0:f>
        <ns0:v>45500.782122905024</ns0:v>
      </ns0:c>
      <ns0:c r="M40" s="16">
        <ns0:f>B40*('前提と出典'!$C$36*'契約別単価'!L5+'前提と出典'!$C$37*'契約別単価'!L6+'前提と出典'!$C$38*'契約別単価'!L7)</ns0:f>
        <ns0:v>37046.8954830016</ns0:v>
      </ns0:c>
      <ns0:c r="N40" s="16">
        <ns0:f>IF(('前提と出典'!$C$36+'前提と出典'!$C$38)=0,0,IF(C40&lt;=10,'前提と出典'!B73+'前提と出典'!C73,IF(C40&lt;=100,'前提と出典'!B74+'前提と出典'!C74,IF(C40&lt;=500,'前提と出典'!B75+'前提と出典'!C75,'前提と出典'!B76+'前提と出典'!C76))))</ns0:f>
        <ns0:v>20000</ns0:v>
      </ns0:c>
      <ns0:c r="O40" s="16">
        <ns0:f>IF(('前提と出典'!$C$37+'前提と出典'!$C$38)=0,0,IF(D40&lt;=10,'前提と出典'!D73+'前提と出典'!E73,IF(D40&lt;=100,'前提と出典'!D74+'前提と出典'!E74,IF(D40&lt;=500,'前提と出典'!D75+'前提と出典'!E75,'前提と出典'!D76+'前提と出典'!E76))))</ns0:f>
        <ns0:v>34510.9346263078</ns0:v>
      </ns0:c>
      <ns0:c r="P40" s="16">
        <ns0:f>IF('前提と出典'!$C$36+'前提と出典'!$C$38=0,0,'前提と出典'!$B$4*IF('前提と出典'!$B$20=0,MAX('前提と出典'!$B$6,E40*'前提と出典'!$B$5),'前提と出典'!$B$6+E40*'前提と出典'!$B$5))</ns0:f>
        <ns0:v>107242.1899441341</ns0:v>
      </ns0:c>
      <ns0:c r="Q40" s="16">
        <ns0:f>(F40+H40)*(1-'前提と出典'!$B$7)-J40-L40-N40-P40</ns0:f>
        <ns0:v>291659.4752146256</ns0:v>
      </ns0:c>
      <ns0:c r="R40" s="16">
        <ns0:f>(G40+I40)*(1-'前提と出典'!$B$7)-K40-M40-O40</ns0:f>
        <ns0:v>65798.31903858969</ns0:v>
      </ns0:c>
      <ns0:c r="S40" s="16">
        <ns0:f>Q40-F40*'前提と出典'!$E$4</ns0:f>
        <ns0:v>210209.99250162003</ns0:v>
      </ns0:c>
      <ns0:c r="T40" s="16">
        <ns0:f>R40-G40*'前提と出典'!$E$4</ns0:f>
        <ns0:v>42131.18133105685</ns0:v>
      </ns0:c>
      <ns0:c r="U40" s="7">
        <ns0:f>S40+T40</ns0:f>
        <ns0:v>252341.17383267687</ns0:v>
      </ns0:c>
      <ns0:c r="V40" s="16">
        <ns0:f>Q40-F40*'前提と出典'!$E$5</ns0:f>
        <ns0:v>183060.16493061814</ns0:v>
      </ns0:c>
      <ns0:c r="W40" s="16">
        <ns0:f>R40-G40*'前提と出典'!$E$5</ns0:f>
        <ns0:v>34242.1354285459</ns0:v>
      </ns0:c>
      <ns0:c r="X40" s="7">
        <ns0:f>V40+W40</ns0:f>
        <ns0:v>217302.30035916404</ns0:v>
      </ns0:c>
      <ns0:c r="Y40" s="16">
        <ns0:f>Q40-F40*'前提と出典'!$E$6</ns0:f>
        <ns0:v>155910.33735961624</ns0:v>
      </ns0:c>
      <ns0:c r="Z40" s="16">
        <ns0:f>R40-G40*'前提と出典'!$E$6</ns0:f>
        <ns0:v>26353.089526034957</ns0:v>
      </ns0:c>
      <ns0:c r="AA40" s="7">
        <ns0:f>Y40+Z40</ns0:f>
        <ns0:v>182263.4268856512</ns0:v>
      </ns0:c>
      <ns0:c r="AB40" s="7">
        <ns0:f>AB39+U40</ns0:f>
        <ns0:v>3702780.952122906</ns0:v>
      </ns0:c>
      <ns0:c r="AC40" s="7">
        <ns0:f>AC39+X40</ns0:f>
        <ns0:v>3054561.792862919</ns0:v>
      </ns0:c>
      <ns0:c r="AD40" s="7">
        <ns0:f>AD39+AA40</ns0:f>
        <ns0:v>2406342.633602932</ns0:v>
      </ns0:c>
      <ns0:c r="AE40" s="7">
        <ns0:f>MAX(0,-MIN($AB$5:AB40))</ns0:f>
        <ns0:v>158010.6003560275</ns0:v>
      </ns0:c>
      <ns0:c r="AF40" s="7">
        <ns0:f>MAX(0,-MIN($AC$5:AC40))</ns0:f>
        <ns0:v>181755.65632779445</ns0:v>
      </ns0:c>
      <ns0:c r="AG40" s="7">
        <ns0:f>MAX(0,-MIN($AD$5:AD40))</ns0:f>
        <ns0:v>210902.5233197324</ns0:v>
      </ns0:c>
      <ns0:c r="AH40" s="4">
        <ns0:f>IF(U40&gt;=0,A40,37)</ns0:f>
        <ns0:v>36</ns0:v>
      </ns0:c>
      <ns0:c r="AI40" s="4">
        <ns0:f>IF(AB40&gt;=0,A40,37)</ns0:f>
        <ns0:v>36</ns0:v>
      </ns0:c>
      <ns0:c r="AJ40" s="4">
        <ns0:f>IF(X40&gt;=0,A40,37)</ns0:f>
        <ns0:v>36</ns0:v>
      </ns0:c>
      <ns0:c r="AK40" s="4">
        <ns0:f>IF(AC40&gt;=0,A40,37)</ns0:f>
        <ns0:v>36</ns0:v>
      </ns0:c>
      <ns0:c r="AL40" s="4">
        <ns0:f>IF(AA40&gt;=0,A40,37)</ns0:f>
        <ns0:v>36</ns0:v>
      </ns0:c>
      <ns0:c r="AM40" s="4">
        <ns0:f>IF(AD40&gt;=0,A40,37)</ns0:f>
        <ns0:v>36</ns0:v>
      </ns0:c>
    </ns0:row>
    <ns0:row r="41" ht="24" customHeight="1">
      <ns0:c r="D41" s="17" t="n"/>
      <ns0:c r="E41" s="17" t="n"/>
      <ns0:c r="F41" s="17" t="n"/>
      <ns0:c r="G41" s="17" t="n"/>
      <ns0:c r="H41" s="17" t="n"/>
      <ns0:c r="I41" s="17" t="n"/>
      <ns0:c r="J41" s="17" t="n"/>
      <ns0:c r="K41" s="17" t="n"/>
      <ns0:c r="L41" s="17" t="n"/>
      <ns0:c r="M41" s="17" t="n"/>
      <ns0:c r="N41" s="17" t="n"/>
      <ns0:c r="O41" s="17" t="n"/>
      <ns0:c r="P41" s="17" t="n"/>
      <ns0:c r="Q41" s="17" t="n"/>
      <ns0:c r="R41" s="17" t="n"/>
      <ns0:c r="S41" s="17" t="n"/>
      <ns0:c r="T41" s="17" t="n"/>
      <ns0:c r="U41" s="17" t="n"/>
      <ns0:c r="V41" s="17" t="n"/>
      <ns0:c r="W41" s="17" t="n"/>
      <ns0:c r="X41" s="17" t="n"/>
      <ns0:c r="Y41" s="17" t="n"/>
      <ns0:c r="Z41" s="17" t="n"/>
      <ns0:c r="AA41" s="17" t="n"/>
      <ns0:c r="AB41" s="17" t="n"/>
      <ns0:c r="AC41" s="17" t="n"/>
      <ns0:c r="AD41" s="17" t="n"/>
      <ns0:c r="AE41" s="17" t="n"/>
      <ns0:c r="AF41" s="17" t="n"/>
      <ns0:c r="AG41" s="17" t="n"/>
    </ns0:row>
    <ns0:row r="42" ht="24" customHeight="1">
      <ns0:c r="D42" s="17" t="n"/>
      <ns0:c r="E42" s="17" t="n"/>
      <ns0:c r="F42" s="17" t="n"/>
      <ns0:c r="G42" s="17" t="n"/>
      <ns0:c r="H42" s="17" t="n"/>
      <ns0:c r="I42" s="17" t="n"/>
      <ns0:c r="J42" s="17" t="n"/>
      <ns0:c r="K42" s="17" t="n"/>
      <ns0:c r="L42" s="17" t="n"/>
      <ns0:c r="M42" s="17" t="n"/>
      <ns0:c r="N42" s="17" t="n"/>
      <ns0:c r="O42" s="17" t="n"/>
      <ns0:c r="P42" s="17" t="n"/>
      <ns0:c r="Q42" s="17" t="n"/>
      <ns0:c r="R42" s="17" t="n"/>
      <ns0:c r="S42" s="17" t="n"/>
      <ns0:c r="T42" s="17" t="n"/>
      <ns0:c r="U42" s="17" t="n"/>
      <ns0:c r="V42" s="17" t="n"/>
      <ns0:c r="W42" s="17" t="n"/>
      <ns0:c r="X42" s="17" t="n"/>
      <ns0:c r="Y42" s="17" t="n"/>
      <ns0:c r="Z42" s="17" t="n"/>
      <ns0:c r="AA42" s="17" t="n"/>
      <ns0:c r="AB42" s="17" t="n"/>
      <ns0:c r="AC42" s="17" t="n"/>
      <ns0:c r="AD42" s="17" t="n"/>
      <ns0:c r="AE42" s="17" t="n"/>
      <ns0:c r="AF42" s="17" t="n"/>
      <ns0:c r="AG42" s="17" t="n"/>
    </ns0:row>
    <ns0:row r="43" ht="24" customHeight="1">
      <ns0:c r="D43" s="17" t="n"/>
      <ns0:c r="E43" s="17" t="n"/>
      <ns0:c r="F43" s="17" t="n"/>
      <ns0:c r="G43" s="17" t="n"/>
      <ns0:c r="H43" s="17" t="n"/>
      <ns0:c r="I43" s="17" t="n"/>
      <ns0:c r="J43" s="17" t="n"/>
      <ns0:c r="K43" s="17" t="n"/>
      <ns0:c r="L43" s="17" t="n"/>
      <ns0:c r="M43" s="17" t="n"/>
      <ns0:c r="N43" s="17" t="n"/>
      <ns0:c r="O43" s="17" t="n"/>
      <ns0:c r="P43" s="17" t="n"/>
      <ns0:c r="Q43" s="17" t="n"/>
      <ns0:c r="R43" s="17" t="n"/>
      <ns0:c r="S43" s="17" t="n"/>
      <ns0:c r="T43" s="17" t="n"/>
      <ns0:c r="U43" s="17" t="n"/>
      <ns0:c r="V43" s="17" t="n"/>
      <ns0:c r="W43" s="17" t="n"/>
      <ns0:c r="X43" s="17" t="n"/>
      <ns0:c r="Y43" s="17" t="n"/>
      <ns0:c r="Z43" s="17" t="n"/>
      <ns0:c r="AA43" s="17" t="n"/>
      <ns0:c r="AB43" s="17" t="n"/>
      <ns0:c r="AC43" s="17" t="n"/>
      <ns0:c r="AD43" s="17" t="n"/>
      <ns0:c r="AE43" s="17" t="n"/>
      <ns0:c r="AF43" s="17" t="n"/>
      <ns0:c r="AG43" s="17" t="n"/>
    </ns0:row>
    <ns0:row r="44" ht="24" customHeight="1">
      <ns0:c r="D44" s="17" t="n"/>
      <ns0:c r="E44" s="17" t="n"/>
      <ns0:c r="F44" s="17" t="n"/>
      <ns0:c r="G44" s="17" t="n"/>
      <ns0:c r="H44" s="17" t="n"/>
      <ns0:c r="I44" s="17" t="n"/>
      <ns0:c r="J44" s="17" t="n"/>
      <ns0:c r="K44" s="17" t="n"/>
      <ns0:c r="L44" s="17" t="n"/>
      <ns0:c r="M44" s="17" t="n"/>
      <ns0:c r="N44" s="17" t="n"/>
      <ns0:c r="O44" s="17" t="n"/>
      <ns0:c r="P44" s="17" t="n"/>
      <ns0:c r="Q44" s="17" t="n"/>
      <ns0:c r="R44" s="17" t="n"/>
      <ns0:c r="S44" s="17" t="n"/>
      <ns0:c r="T44" s="17" t="n"/>
      <ns0:c r="U44" s="17" t="n"/>
      <ns0:c r="V44" s="17" t="n"/>
      <ns0:c r="W44" s="17" t="n"/>
      <ns0:c r="X44" s="17" t="n"/>
      <ns0:c r="Y44" s="17" t="n"/>
      <ns0:c r="Z44" s="17" t="n"/>
      <ns0:c r="AA44" s="17" t="n"/>
      <ns0:c r="AB44" s="17" t="n"/>
      <ns0:c r="AC44" s="17" t="n"/>
      <ns0:c r="AD44" s="17" t="n"/>
      <ns0:c r="AE44" s="17" t="n"/>
      <ns0:c r="AF44" s="17" t="n"/>
      <ns0:c r="AG44" s="17" t="n"/>
    </ns0:row>
    <ns0:row r="45" ht="24" customHeight="1">
      <ns0:c r="D45" s="17" t="n"/>
      <ns0:c r="E45" s="17" t="n"/>
      <ns0:c r="F45" s="17" t="n"/>
      <ns0:c r="G45" s="17" t="n"/>
      <ns0:c r="H45" s="17" t="n"/>
      <ns0:c r="I45" s="17" t="n"/>
      <ns0:c r="J45" s="17" t="n"/>
      <ns0:c r="K45" s="17" t="n"/>
      <ns0:c r="L45" s="17" t="n"/>
      <ns0:c r="M45" s="17" t="n"/>
      <ns0:c r="N45" s="17" t="n"/>
      <ns0:c r="O45" s="17" t="n"/>
      <ns0:c r="P45" s="17" t="n"/>
      <ns0:c r="Q45" s="17" t="n"/>
      <ns0:c r="R45" s="17" t="n"/>
      <ns0:c r="S45" s="17" t="n"/>
      <ns0:c r="T45" s="17" t="n"/>
      <ns0:c r="U45" s="17" t="n"/>
      <ns0:c r="V45" s="17" t="n"/>
      <ns0:c r="W45" s="17" t="n"/>
      <ns0:c r="X45" s="17" t="n"/>
      <ns0:c r="Y45" s="17" t="n"/>
      <ns0:c r="Z45" s="17" t="n"/>
      <ns0:c r="AA45" s="17" t="n"/>
      <ns0:c r="AB45" s="17" t="n"/>
      <ns0:c r="AC45" s="17" t="n"/>
      <ns0:c r="AD45" s="17" t="n"/>
      <ns0:c r="AE45" s="17" t="n"/>
      <ns0:c r="AF45" s="17" t="n"/>
      <ns0:c r="AG45" s="17" t="n"/>
    </ns0:row>
    <ns0:row r="46" ht="24" customHeight="1">
      <ns0:c r="D46" s="17" t="n"/>
      <ns0:c r="E46" s="17" t="n"/>
      <ns0:c r="F46" s="17" t="n"/>
      <ns0:c r="G46" s="17" t="n"/>
      <ns0:c r="H46" s="17" t="n"/>
      <ns0:c r="I46" s="17" t="n"/>
      <ns0:c r="J46" s="17" t="n"/>
      <ns0:c r="K46" s="17" t="n"/>
      <ns0:c r="L46" s="17" t="n"/>
      <ns0:c r="M46" s="17" t="n"/>
      <ns0:c r="N46" s="17" t="n"/>
      <ns0:c r="O46" s="17" t="n"/>
      <ns0:c r="P46" s="17" t="n"/>
      <ns0:c r="Q46" s="17" t="n"/>
      <ns0:c r="R46" s="17" t="n"/>
      <ns0:c r="S46" s="17" t="n"/>
      <ns0:c r="T46" s="17" t="n"/>
      <ns0:c r="U46" s="17" t="n"/>
      <ns0:c r="V46" s="17" t="n"/>
      <ns0:c r="W46" s="17" t="n"/>
      <ns0:c r="X46" s="17" t="n"/>
      <ns0:c r="Y46" s="17" t="n"/>
      <ns0:c r="Z46" s="17" t="n"/>
      <ns0:c r="AA46" s="17" t="n"/>
      <ns0:c r="AB46" s="17" t="n"/>
      <ns0:c r="AC46" s="17" t="n"/>
      <ns0:c r="AD46" s="17" t="n"/>
      <ns0:c r="AE46" s="17" t="n"/>
      <ns0:c r="AF46" s="17" t="n"/>
      <ns0:c r="AG46" s="17" t="n"/>
    </ns0:row>
    <ns0:row r="47" ht="24" customHeight="1">
      <ns0:c r="D47" s="17" t="n"/>
      <ns0:c r="E47" s="17" t="n"/>
      <ns0:c r="F47" s="17" t="n"/>
      <ns0:c r="G47" s="17" t="n"/>
      <ns0:c r="H47" s="17" t="n"/>
      <ns0:c r="I47" s="17" t="n"/>
      <ns0:c r="J47" s="17" t="n"/>
      <ns0:c r="K47" s="17" t="n"/>
      <ns0:c r="L47" s="17" t="n"/>
      <ns0:c r="M47" s="17" t="n"/>
      <ns0:c r="N47" s="17" t="n"/>
      <ns0:c r="O47" s="17" t="n"/>
      <ns0:c r="P47" s="17" t="n"/>
      <ns0:c r="Q47" s="17" t="n"/>
      <ns0:c r="R47" s="17" t="n"/>
      <ns0:c r="S47" s="17" t="n"/>
      <ns0:c r="T47" s="17" t="n"/>
      <ns0:c r="U47" s="17" t="n"/>
      <ns0:c r="V47" s="17" t="n"/>
      <ns0:c r="W47" s="17" t="n"/>
      <ns0:c r="X47" s="17" t="n"/>
      <ns0:c r="Y47" s="17" t="n"/>
      <ns0:c r="Z47" s="17" t="n"/>
      <ns0:c r="AA47" s="17" t="n"/>
      <ns0:c r="AB47" s="17" t="n"/>
      <ns0:c r="AC47" s="17" t="n"/>
      <ns0:c r="AD47" s="17" t="n"/>
      <ns0:c r="AE47" s="17" t="n"/>
      <ns0:c r="AF47" s="17" t="n"/>
      <ns0:c r="AG47" s="17" t="n"/>
    </ns0:row>
    <ns0:row r="48" ht="24" customHeight="1">
      <ns0:c r="D48" s="17" t="n"/>
      <ns0:c r="E48" s="17" t="n"/>
      <ns0:c r="F48" s="17" t="n"/>
      <ns0:c r="G48" s="17" t="n"/>
      <ns0:c r="H48" s="17" t="n"/>
      <ns0:c r="I48" s="17" t="n"/>
      <ns0:c r="J48" s="17" t="n"/>
      <ns0:c r="K48" s="17" t="n"/>
      <ns0:c r="L48" s="17" t="n"/>
      <ns0:c r="M48" s="17" t="n"/>
      <ns0:c r="N48" s="17" t="n"/>
      <ns0:c r="O48" s="17" t="n"/>
      <ns0:c r="P48" s="17" t="n"/>
      <ns0:c r="Q48" s="17" t="n"/>
      <ns0:c r="R48" s="17" t="n"/>
      <ns0:c r="S48" s="17" t="n"/>
      <ns0:c r="T48" s="17" t="n"/>
      <ns0:c r="U48" s="17" t="n"/>
      <ns0:c r="V48" s="17" t="n"/>
      <ns0:c r="W48" s="17" t="n"/>
      <ns0:c r="X48" s="17" t="n"/>
      <ns0:c r="Y48" s="17" t="n"/>
      <ns0:c r="Z48" s="17" t="n"/>
      <ns0:c r="AA48" s="17" t="n"/>
      <ns0:c r="AB48" s="17" t="n"/>
      <ns0:c r="AC48" s="17" t="n"/>
      <ns0:c r="AD48" s="17" t="n"/>
      <ns0:c r="AE48" s="17" t="n"/>
      <ns0:c r="AF48" s="17" t="n"/>
      <ns0:c r="AG48" s="17" t="n"/>
    </ns0:row>
    <ns0:row r="49" ht="24" customHeight="1">
      <ns0:c r="D49" s="17" t="n"/>
      <ns0:c r="E49" s="17" t="n"/>
      <ns0:c r="F49" s="17" t="n"/>
      <ns0:c r="G49" s="17" t="n"/>
      <ns0:c r="H49" s="17" t="n"/>
      <ns0:c r="I49" s="17" t="n"/>
      <ns0:c r="J49" s="17" t="n"/>
      <ns0:c r="K49" s="17" t="n"/>
      <ns0:c r="L49" s="17" t="n"/>
      <ns0:c r="M49" s="17" t="n"/>
      <ns0:c r="N49" s="17" t="n"/>
      <ns0:c r="O49" s="17" t="n"/>
      <ns0:c r="P49" s="17" t="n"/>
      <ns0:c r="Q49" s="17" t="n"/>
      <ns0:c r="R49" s="17" t="n"/>
      <ns0:c r="S49" s="17" t="n"/>
      <ns0:c r="T49" s="17" t="n"/>
      <ns0:c r="U49" s="17" t="n"/>
      <ns0:c r="V49" s="17" t="n"/>
      <ns0:c r="W49" s="17" t="n"/>
      <ns0:c r="X49" s="17" t="n"/>
      <ns0:c r="Y49" s="17" t="n"/>
      <ns0:c r="Z49" s="17" t="n"/>
      <ns0:c r="AA49" s="17" t="n"/>
      <ns0:c r="AB49" s="17" t="n"/>
      <ns0:c r="AC49" s="17" t="n"/>
      <ns0:c r="AD49" s="17" t="n"/>
      <ns0:c r="AE49" s="17" t="n"/>
      <ns0:c r="AF49" s="17" t="n"/>
      <ns0:c r="AG49" s="17" t="n"/>
    </ns0:row>
    <ns0:row r="50" ht="24" customHeight="1">
      <ns0:c r="D50" s="17" t="n"/>
      <ns0:c r="E50" s="17" t="n"/>
      <ns0:c r="F50" s="17" t="n"/>
      <ns0:c r="G50" s="17" t="n"/>
      <ns0:c r="H50" s="17" t="n"/>
      <ns0:c r="I50" s="17" t="n"/>
      <ns0:c r="J50" s="17" t="n"/>
      <ns0:c r="K50" s="17" t="n"/>
      <ns0:c r="L50" s="17" t="n"/>
      <ns0:c r="M50" s="17" t="n"/>
      <ns0:c r="N50" s="17" t="n"/>
      <ns0:c r="O50" s="17" t="n"/>
      <ns0:c r="P50" s="17" t="n"/>
      <ns0:c r="Q50" s="17" t="n"/>
      <ns0:c r="R50" s="17" t="n"/>
      <ns0:c r="S50" s="17" t="n"/>
      <ns0:c r="T50" s="17" t="n"/>
      <ns0:c r="U50" s="17" t="n"/>
      <ns0:c r="V50" s="17" t="n"/>
      <ns0:c r="W50" s="17" t="n"/>
      <ns0:c r="X50" s="17" t="n"/>
      <ns0:c r="Y50" s="17" t="n"/>
      <ns0:c r="Z50" s="17" t="n"/>
      <ns0:c r="AA50" s="17" t="n"/>
      <ns0:c r="AB50" s="17" t="n"/>
      <ns0:c r="AC50" s="17" t="n"/>
      <ns0:c r="AD50" s="17" t="n"/>
      <ns0:c r="AE50" s="17" t="n"/>
      <ns0:c r="AF50" s="17" t="n"/>
      <ns0:c r="AG50" s="17" t="n"/>
    </ns0:row>
    <ns0:row r="51" ht="24" customHeight="1">
      <ns0:c r="D51" s="17" t="n"/>
      <ns0:c r="E51" s="17" t="n"/>
      <ns0:c r="F51" s="17" t="n"/>
      <ns0:c r="G51" s="17" t="n"/>
      <ns0:c r="H51" s="17" t="n"/>
      <ns0:c r="I51" s="17" t="n"/>
      <ns0:c r="J51" s="17" t="n"/>
      <ns0:c r="K51" s="17" t="n"/>
      <ns0:c r="L51" s="17" t="n"/>
      <ns0:c r="M51" s="17" t="n"/>
      <ns0:c r="N51" s="17" t="n"/>
      <ns0:c r="O51" s="17" t="n"/>
      <ns0:c r="P51" s="17" t="n"/>
      <ns0:c r="Q51" s="17" t="n"/>
      <ns0:c r="R51" s="17" t="n"/>
      <ns0:c r="S51" s="17" t="n"/>
      <ns0:c r="T51" s="17" t="n"/>
      <ns0:c r="U51" s="17" t="n"/>
      <ns0:c r="V51" s="17" t="n"/>
      <ns0:c r="W51" s="17" t="n"/>
      <ns0:c r="X51" s="17" t="n"/>
      <ns0:c r="Y51" s="17" t="n"/>
      <ns0:c r="Z51" s="17" t="n"/>
      <ns0:c r="AA51" s="17" t="n"/>
      <ns0:c r="AB51" s="17" t="n"/>
      <ns0:c r="AC51" s="17" t="n"/>
      <ns0:c r="AD51" s="17" t="n"/>
      <ns0:c r="AE51" s="17" t="n"/>
      <ns0:c r="AF51" s="17" t="n"/>
      <ns0:c r="AG51" s="17" t="n"/>
    </ns0:row>
    <ns0:row r="52" ht="24" customHeight="1">
      <ns0:c r="D52" s="17" t="n"/>
      <ns0:c r="E52" s="17" t="n"/>
      <ns0:c r="F52" s="17" t="n"/>
      <ns0:c r="G52" s="17" t="n"/>
      <ns0:c r="H52" s="17" t="n"/>
      <ns0:c r="I52" s="17" t="n"/>
      <ns0:c r="J52" s="17" t="n"/>
      <ns0:c r="K52" s="17" t="n"/>
      <ns0:c r="L52" s="17" t="n"/>
      <ns0:c r="M52" s="17" t="n"/>
      <ns0:c r="N52" s="17" t="n"/>
      <ns0:c r="O52" s="17" t="n"/>
      <ns0:c r="P52" s="17" t="n"/>
      <ns0:c r="Q52" s="17" t="n"/>
      <ns0:c r="R52" s="17" t="n"/>
      <ns0:c r="S52" s="17" t="n"/>
      <ns0:c r="T52" s="17" t="n"/>
      <ns0:c r="U52" s="17" t="n"/>
      <ns0:c r="V52" s="17" t="n"/>
      <ns0:c r="W52" s="17" t="n"/>
      <ns0:c r="X52" s="17" t="n"/>
      <ns0:c r="Y52" s="17" t="n"/>
      <ns0:c r="Z52" s="17" t="n"/>
      <ns0:c r="AA52" s="17" t="n"/>
      <ns0:c r="AB52" s="17" t="n"/>
      <ns0:c r="AC52" s="17" t="n"/>
      <ns0:c r="AD52" s="17" t="n"/>
      <ns0:c r="AE52" s="17" t="n"/>
      <ns0:c r="AF52" s="17" t="n"/>
      <ns0:c r="AG52" s="17" t="n"/>
    </ns0:row>
    <ns0:row r="53" ht="24" customHeight="1">
      <ns0:c r="D53" s="17" t="n"/>
      <ns0:c r="E53" s="17" t="n"/>
      <ns0:c r="F53" s="17" t="n"/>
      <ns0:c r="G53" s="17" t="n"/>
      <ns0:c r="H53" s="17" t="n"/>
      <ns0:c r="I53" s="17" t="n"/>
      <ns0:c r="J53" s="17" t="n"/>
      <ns0:c r="K53" s="17" t="n"/>
      <ns0:c r="L53" s="17" t="n"/>
      <ns0:c r="M53" s="17" t="n"/>
      <ns0:c r="N53" s="17" t="n"/>
      <ns0:c r="O53" s="17" t="n"/>
      <ns0:c r="P53" s="17" t="n"/>
      <ns0:c r="Q53" s="17" t="n"/>
      <ns0:c r="R53" s="17" t="n"/>
      <ns0:c r="S53" s="17" t="n"/>
      <ns0:c r="T53" s="17" t="n"/>
      <ns0:c r="U53" s="17" t="n"/>
      <ns0:c r="V53" s="17" t="n"/>
      <ns0:c r="W53" s="17" t="n"/>
      <ns0:c r="X53" s="17" t="n"/>
      <ns0:c r="Y53" s="17" t="n"/>
      <ns0:c r="Z53" s="17" t="n"/>
      <ns0:c r="AA53" s="17" t="n"/>
      <ns0:c r="AB53" s="17" t="n"/>
      <ns0:c r="AC53" s="17" t="n"/>
      <ns0:c r="AD53" s="17" t="n"/>
      <ns0:c r="AE53" s="17" t="n"/>
      <ns0:c r="AF53" s="17" t="n"/>
      <ns0:c r="AG53" s="17" t="n"/>
    </ns0:row>
    <ns0:row r="54" ht="24" customHeight="1">
      <ns0:c r="D54" s="17" t="n"/>
      <ns0:c r="E54" s="17" t="n"/>
      <ns0:c r="F54" s="17" t="n"/>
      <ns0:c r="G54" s="17" t="n"/>
      <ns0:c r="H54" s="17" t="n"/>
      <ns0:c r="I54" s="17" t="n"/>
      <ns0:c r="J54" s="17" t="n"/>
      <ns0:c r="K54" s="17" t="n"/>
      <ns0:c r="L54" s="17" t="n"/>
      <ns0:c r="M54" s="17" t="n"/>
      <ns0:c r="N54" s="17" t="n"/>
      <ns0:c r="O54" s="17" t="n"/>
      <ns0:c r="P54" s="17" t="n"/>
      <ns0:c r="Q54" s="17" t="n"/>
      <ns0:c r="R54" s="17" t="n"/>
      <ns0:c r="S54" s="17" t="n"/>
      <ns0:c r="T54" s="17" t="n"/>
      <ns0:c r="U54" s="17" t="n"/>
      <ns0:c r="V54" s="17" t="n"/>
      <ns0:c r="W54" s="17" t="n"/>
      <ns0:c r="X54" s="17" t="n"/>
      <ns0:c r="Y54" s="17" t="n"/>
      <ns0:c r="Z54" s="17" t="n"/>
      <ns0:c r="AA54" s="17" t="n"/>
      <ns0:c r="AB54" s="17" t="n"/>
      <ns0:c r="AC54" s="17" t="n"/>
      <ns0:c r="AD54" s="17" t="n"/>
      <ns0:c r="AE54" s="17" t="n"/>
      <ns0:c r="AF54" s="17" t="n"/>
      <ns0:c r="AG54" s="17" t="n"/>
    </ns0:row>
    <ns0:row r="55" ht="24" customHeight="1">
      <ns0:c r="D55" s="17" t="n"/>
      <ns0:c r="E55" s="17" t="n"/>
      <ns0:c r="F55" s="17" t="n"/>
      <ns0:c r="G55" s="17" t="n"/>
      <ns0:c r="H55" s="17" t="n"/>
      <ns0:c r="I55" s="17" t="n"/>
      <ns0:c r="J55" s="17" t="n"/>
      <ns0:c r="K55" s="17" t="n"/>
      <ns0:c r="L55" s="17" t="n"/>
      <ns0:c r="M55" s="17" t="n"/>
      <ns0:c r="N55" s="17" t="n"/>
      <ns0:c r="O55" s="17" t="n"/>
      <ns0:c r="P55" s="17" t="n"/>
      <ns0:c r="Q55" s="17" t="n"/>
      <ns0:c r="R55" s="17" t="n"/>
      <ns0:c r="S55" s="17" t="n"/>
      <ns0:c r="T55" s="17" t="n"/>
      <ns0:c r="U55" s="17" t="n"/>
      <ns0:c r="V55" s="17" t="n"/>
      <ns0:c r="W55" s="17" t="n"/>
      <ns0:c r="X55" s="17" t="n"/>
      <ns0:c r="Y55" s="17" t="n"/>
      <ns0:c r="Z55" s="17" t="n"/>
      <ns0:c r="AA55" s="17" t="n"/>
      <ns0:c r="AB55" s="17" t="n"/>
      <ns0:c r="AC55" s="17" t="n"/>
      <ns0:c r="AD55" s="17" t="n"/>
      <ns0:c r="AE55" s="17" t="n"/>
      <ns0:c r="AF55" s="17" t="n"/>
      <ns0:c r="AG55" s="17" t="n"/>
    </ns0:row>
    <ns0:row r="56" ht="24" customHeight="1">
      <ns0:c r="D56" s="17" t="n"/>
      <ns0:c r="E56" s="17" t="n"/>
      <ns0:c r="F56" s="17" t="n"/>
      <ns0:c r="G56" s="17" t="n"/>
      <ns0:c r="H56" s="17" t="n"/>
      <ns0:c r="I56" s="17" t="n"/>
      <ns0:c r="J56" s="17" t="n"/>
      <ns0:c r="K56" s="17" t="n"/>
      <ns0:c r="L56" s="17" t="n"/>
      <ns0:c r="M56" s="17" t="n"/>
      <ns0:c r="N56" s="17" t="n"/>
      <ns0:c r="O56" s="17" t="n"/>
      <ns0:c r="P56" s="17" t="n"/>
      <ns0:c r="Q56" s="17" t="n"/>
      <ns0:c r="R56" s="17" t="n"/>
      <ns0:c r="S56" s="17" t="n"/>
      <ns0:c r="T56" s="17" t="n"/>
      <ns0:c r="U56" s="17" t="n"/>
      <ns0:c r="V56" s="17" t="n"/>
      <ns0:c r="W56" s="17" t="n"/>
      <ns0:c r="X56" s="17" t="n"/>
      <ns0:c r="Y56" s="17" t="n"/>
      <ns0:c r="Z56" s="17" t="n"/>
      <ns0:c r="AA56" s="17" t="n"/>
      <ns0:c r="AB56" s="17" t="n"/>
      <ns0:c r="AC56" s="17" t="n"/>
      <ns0:c r="AD56" s="17" t="n"/>
      <ns0:c r="AE56" s="17" t="n"/>
      <ns0:c r="AF56" s="17" t="n"/>
      <ns0:c r="AG56" s="17" t="n"/>
    </ns0:row>
    <ns0:row r="57" ht="24" customHeight="1">
      <ns0:c r="D57" s="17" t="n"/>
      <ns0:c r="E57" s="17" t="n"/>
      <ns0:c r="F57" s="17" t="n"/>
      <ns0:c r="G57" s="17" t="n"/>
      <ns0:c r="H57" s="17" t="n"/>
      <ns0:c r="I57" s="17" t="n"/>
      <ns0:c r="J57" s="17" t="n"/>
      <ns0:c r="K57" s="17" t="n"/>
      <ns0:c r="L57" s="17" t="n"/>
      <ns0:c r="M57" s="17" t="n"/>
      <ns0:c r="N57" s="17" t="n"/>
      <ns0:c r="O57" s="17" t="n"/>
      <ns0:c r="P57" s="17" t="n"/>
      <ns0:c r="Q57" s="17" t="n"/>
      <ns0:c r="R57" s="17" t="n"/>
      <ns0:c r="S57" s="17" t="n"/>
      <ns0:c r="T57" s="17" t="n"/>
      <ns0:c r="U57" s="17" t="n"/>
      <ns0:c r="V57" s="17" t="n"/>
      <ns0:c r="W57" s="17" t="n"/>
      <ns0:c r="X57" s="17" t="n"/>
      <ns0:c r="Y57" s="17" t="n"/>
      <ns0:c r="Z57" s="17" t="n"/>
      <ns0:c r="AA57" s="17" t="n"/>
      <ns0:c r="AB57" s="17" t="n"/>
      <ns0:c r="AC57" s="17" t="n"/>
      <ns0:c r="AD57" s="17" t="n"/>
      <ns0:c r="AE57" s="17" t="n"/>
      <ns0:c r="AF57" s="17" t="n"/>
      <ns0:c r="AG57" s="17" t="n"/>
    </ns0:row>
    <ns0:row r="58" ht="24" customHeight="1">
      <ns0:c r="D58" s="17" t="n"/>
      <ns0:c r="E58" s="17" t="n"/>
      <ns0:c r="F58" s="17" t="n"/>
      <ns0:c r="G58" s="17" t="n"/>
      <ns0:c r="H58" s="17" t="n"/>
      <ns0:c r="I58" s="17" t="n"/>
      <ns0:c r="J58" s="17" t="n"/>
      <ns0:c r="K58" s="17" t="n"/>
      <ns0:c r="L58" s="17" t="n"/>
      <ns0:c r="M58" s="17" t="n"/>
      <ns0:c r="N58" s="17" t="n"/>
      <ns0:c r="O58" s="17" t="n"/>
      <ns0:c r="P58" s="17" t="n"/>
      <ns0:c r="Q58" s="17" t="n"/>
      <ns0:c r="R58" s="17" t="n"/>
      <ns0:c r="S58" s="17" t="n"/>
      <ns0:c r="T58" s="17" t="n"/>
      <ns0:c r="U58" s="17" t="n"/>
      <ns0:c r="V58" s="17" t="n"/>
      <ns0:c r="W58" s="17" t="n"/>
      <ns0:c r="X58" s="17" t="n"/>
      <ns0:c r="Y58" s="17" t="n"/>
      <ns0:c r="Z58" s="17" t="n"/>
      <ns0:c r="AA58" s="17" t="n"/>
      <ns0:c r="AB58" s="17" t="n"/>
      <ns0:c r="AC58" s="17" t="n"/>
      <ns0:c r="AD58" s="17" t="n"/>
      <ns0:c r="AE58" s="17" t="n"/>
      <ns0:c r="AF58" s="17" t="n"/>
      <ns0:c r="AG58" s="17" t="n"/>
    </ns0:row>
    <ns0:row r="59" ht="24" customHeight="1">
      <ns0:c r="D59" s="17" t="n"/>
      <ns0:c r="E59" s="17" t="n"/>
      <ns0:c r="F59" s="17" t="n"/>
      <ns0:c r="G59" s="17" t="n"/>
      <ns0:c r="H59" s="17" t="n"/>
      <ns0:c r="I59" s="17" t="n"/>
      <ns0:c r="J59" s="17" t="n"/>
      <ns0:c r="K59" s="17" t="n"/>
      <ns0:c r="L59" s="17" t="n"/>
      <ns0:c r="M59" s="17" t="n"/>
      <ns0:c r="N59" s="17" t="n"/>
      <ns0:c r="O59" s="17" t="n"/>
      <ns0:c r="P59" s="17" t="n"/>
      <ns0:c r="Q59" s="17" t="n"/>
      <ns0:c r="R59" s="17" t="n"/>
      <ns0:c r="S59" s="17" t="n"/>
      <ns0:c r="T59" s="17" t="n"/>
      <ns0:c r="U59" s="17" t="n"/>
      <ns0:c r="V59" s="17" t="n"/>
      <ns0:c r="W59" s="17" t="n"/>
      <ns0:c r="X59" s="17" t="n"/>
      <ns0:c r="Y59" s="17" t="n"/>
      <ns0:c r="Z59" s="17" t="n"/>
      <ns0:c r="AA59" s="17" t="n"/>
      <ns0:c r="AB59" s="17" t="n"/>
      <ns0:c r="AC59" s="17" t="n"/>
      <ns0:c r="AD59" s="17" t="n"/>
      <ns0:c r="AE59" s="17" t="n"/>
      <ns0:c r="AF59" s="17" t="n"/>
      <ns0:c r="AG59" s="17" t="n"/>
    </ns0:row>
    <ns0:row r="60" ht="24" customHeight="1">
      <ns0:c r="D60" s="17" t="n"/>
      <ns0:c r="E60" s="17" t="n"/>
      <ns0:c r="F60" s="17" t="n"/>
      <ns0:c r="G60" s="17" t="n"/>
      <ns0:c r="H60" s="17" t="n"/>
      <ns0:c r="I60" s="17" t="n"/>
      <ns0:c r="J60" s="17" t="n"/>
      <ns0:c r="K60" s="17" t="n"/>
      <ns0:c r="L60" s="17" t="n"/>
      <ns0:c r="M60" s="17" t="n"/>
      <ns0:c r="N60" s="17" t="n"/>
      <ns0:c r="O60" s="17" t="n"/>
      <ns0:c r="P60" s="17" t="n"/>
      <ns0:c r="Q60" s="17" t="n"/>
      <ns0:c r="R60" s="17" t="n"/>
      <ns0:c r="S60" s="17" t="n"/>
      <ns0:c r="T60" s="17" t="n"/>
      <ns0:c r="U60" s="17" t="n"/>
      <ns0:c r="V60" s="17" t="n"/>
      <ns0:c r="W60" s="17" t="n"/>
      <ns0:c r="X60" s="17" t="n"/>
      <ns0:c r="Y60" s="17" t="n"/>
      <ns0:c r="Z60" s="17" t="n"/>
      <ns0:c r="AA60" s="17" t="n"/>
      <ns0:c r="AB60" s="17" t="n"/>
      <ns0:c r="AC60" s="17" t="n"/>
      <ns0:c r="AD60" s="17" t="n"/>
      <ns0:c r="AE60" s="17" t="n"/>
      <ns0:c r="AF60" s="17" t="n"/>
      <ns0:c r="AG60" s="17" t="n"/>
    </ns0:row>
    <ns0:row r="61" ht="24" customHeight="1">
      <ns0:c r="D61" s="17" t="n"/>
      <ns0:c r="E61" s="17" t="n"/>
      <ns0:c r="F61" s="17" t="n"/>
      <ns0:c r="G61" s="17" t="n"/>
      <ns0:c r="H61" s="17" t="n"/>
      <ns0:c r="I61" s="17" t="n"/>
      <ns0:c r="J61" s="17" t="n"/>
      <ns0:c r="K61" s="17" t="n"/>
      <ns0:c r="L61" s="17" t="n"/>
      <ns0:c r="M61" s="17" t="n"/>
      <ns0:c r="N61" s="17" t="n"/>
      <ns0:c r="O61" s="17" t="n"/>
      <ns0:c r="P61" s="17" t="n"/>
      <ns0:c r="Q61" s="17" t="n"/>
      <ns0:c r="R61" s="17" t="n"/>
      <ns0:c r="S61" s="17" t="n"/>
      <ns0:c r="T61" s="17" t="n"/>
      <ns0:c r="U61" s="17" t="n"/>
      <ns0:c r="V61" s="17" t="n"/>
      <ns0:c r="W61" s="17" t="n"/>
      <ns0:c r="X61" s="17" t="n"/>
      <ns0:c r="Y61" s="17" t="n"/>
      <ns0:c r="Z61" s="17" t="n"/>
      <ns0:c r="AA61" s="17" t="n"/>
      <ns0:c r="AB61" s="17" t="n"/>
      <ns0:c r="AC61" s="17" t="n"/>
      <ns0:c r="AD61" s="17" t="n"/>
      <ns0:c r="AE61" s="17" t="n"/>
      <ns0:c r="AF61" s="17" t="n"/>
      <ns0:c r="AG61" s="17" t="n"/>
    </ns0:row>
    <ns0:row r="62" ht="24" customHeight="1">
      <ns0:c r="D62" s="17" t="n"/>
      <ns0:c r="E62" s="17" t="n"/>
      <ns0:c r="F62" s="17" t="n"/>
      <ns0:c r="G62" s="17" t="n"/>
      <ns0:c r="H62" s="17" t="n"/>
      <ns0:c r="I62" s="17" t="n"/>
      <ns0:c r="J62" s="17" t="n"/>
      <ns0:c r="K62" s="17" t="n"/>
      <ns0:c r="L62" s="17" t="n"/>
      <ns0:c r="M62" s="17" t="n"/>
      <ns0:c r="N62" s="17" t="n"/>
      <ns0:c r="O62" s="17" t="n"/>
      <ns0:c r="P62" s="17" t="n"/>
      <ns0:c r="Q62" s="17" t="n"/>
      <ns0:c r="R62" s="17" t="n"/>
      <ns0:c r="S62" s="17" t="n"/>
      <ns0:c r="T62" s="17" t="n"/>
      <ns0:c r="U62" s="17" t="n"/>
      <ns0:c r="V62" s="17" t="n"/>
      <ns0:c r="W62" s="17" t="n"/>
      <ns0:c r="X62" s="17" t="n"/>
      <ns0:c r="Y62" s="17" t="n"/>
      <ns0:c r="Z62" s="17" t="n"/>
      <ns0:c r="AA62" s="17" t="n"/>
      <ns0:c r="AB62" s="17" t="n"/>
      <ns0:c r="AC62" s="17" t="n"/>
      <ns0:c r="AD62" s="17" t="n"/>
      <ns0:c r="AE62" s="17" t="n"/>
      <ns0:c r="AF62" s="17" t="n"/>
      <ns0:c r="AG62" s="17" t="n"/>
    </ns0:row>
    <ns0:row r="63" ht="24" customHeight="1">
      <ns0:c r="D63" s="17" t="n"/>
      <ns0:c r="E63" s="17" t="n"/>
      <ns0:c r="F63" s="17" t="n"/>
      <ns0:c r="G63" s="17" t="n"/>
      <ns0:c r="H63" s="17" t="n"/>
      <ns0:c r="I63" s="17" t="n"/>
      <ns0:c r="J63" s="17" t="n"/>
      <ns0:c r="K63" s="17" t="n"/>
      <ns0:c r="L63" s="17" t="n"/>
      <ns0:c r="M63" s="17" t="n"/>
      <ns0:c r="N63" s="17" t="n"/>
      <ns0:c r="O63" s="17" t="n"/>
      <ns0:c r="P63" s="17" t="n"/>
      <ns0:c r="Q63" s="17" t="n"/>
      <ns0:c r="R63" s="17" t="n"/>
      <ns0:c r="S63" s="17" t="n"/>
      <ns0:c r="T63" s="17" t="n"/>
      <ns0:c r="U63" s="17" t="n"/>
      <ns0:c r="V63" s="17" t="n"/>
      <ns0:c r="W63" s="17" t="n"/>
      <ns0:c r="X63" s="17" t="n"/>
      <ns0:c r="Y63" s="17" t="n"/>
      <ns0:c r="Z63" s="17" t="n"/>
      <ns0:c r="AA63" s="17" t="n"/>
      <ns0:c r="AB63" s="17" t="n"/>
      <ns0:c r="AC63" s="17" t="n"/>
      <ns0:c r="AD63" s="17" t="n"/>
      <ns0:c r="AE63" s="17" t="n"/>
      <ns0:c r="AF63" s="17" t="n"/>
      <ns0:c r="AG63" s="17" t="n"/>
    </ns0:row>
    <ns0:row r="64" ht="24" customHeight="1">
      <ns0:c r="D64" s="17" t="n"/>
      <ns0:c r="E64" s="17" t="n"/>
      <ns0:c r="F64" s="17" t="n"/>
      <ns0:c r="G64" s="17" t="n"/>
      <ns0:c r="H64" s="17" t="n"/>
      <ns0:c r="I64" s="17" t="n"/>
      <ns0:c r="J64" s="17" t="n"/>
      <ns0:c r="K64" s="17" t="n"/>
      <ns0:c r="L64" s="17" t="n"/>
      <ns0:c r="M64" s="17" t="n"/>
      <ns0:c r="N64" s="17" t="n"/>
      <ns0:c r="O64" s="17" t="n"/>
      <ns0:c r="P64" s="17" t="n"/>
      <ns0:c r="Q64" s="17" t="n"/>
      <ns0:c r="R64" s="17" t="n"/>
      <ns0:c r="S64" s="17" t="n"/>
      <ns0:c r="T64" s="17" t="n"/>
      <ns0:c r="U64" s="17" t="n"/>
      <ns0:c r="V64" s="17" t="n"/>
      <ns0:c r="W64" s="17" t="n"/>
      <ns0:c r="X64" s="17" t="n"/>
      <ns0:c r="Y64" s="17" t="n"/>
      <ns0:c r="Z64" s="17" t="n"/>
      <ns0:c r="AA64" s="17" t="n"/>
      <ns0:c r="AB64" s="17" t="n"/>
      <ns0:c r="AC64" s="17" t="n"/>
      <ns0:c r="AD64" s="17" t="n"/>
      <ns0:c r="AE64" s="17" t="n"/>
      <ns0:c r="AF64" s="17" t="n"/>
      <ns0:c r="AG64" s="17" t="n"/>
    </ns0:row>
    <ns0:row r="65" ht="24" customHeight="1">
      <ns0:c r="D65" s="17" t="n"/>
      <ns0:c r="E65" s="17" t="n"/>
      <ns0:c r="F65" s="17" t="n"/>
      <ns0:c r="G65" s="17" t="n"/>
      <ns0:c r="H65" s="17" t="n"/>
      <ns0:c r="I65" s="17" t="n"/>
      <ns0:c r="J65" s="17" t="n"/>
      <ns0:c r="K65" s="17" t="n"/>
      <ns0:c r="L65" s="17" t="n"/>
      <ns0:c r="M65" s="17" t="n"/>
      <ns0:c r="N65" s="17" t="n"/>
      <ns0:c r="O65" s="17" t="n"/>
      <ns0:c r="P65" s="17" t="n"/>
      <ns0:c r="Q65" s="17" t="n"/>
      <ns0:c r="R65" s="17" t="n"/>
      <ns0:c r="S65" s="17" t="n"/>
      <ns0:c r="T65" s="17" t="n"/>
      <ns0:c r="U65" s="17" t="n"/>
      <ns0:c r="V65" s="17" t="n"/>
      <ns0:c r="W65" s="17" t="n"/>
      <ns0:c r="X65" s="17" t="n"/>
      <ns0:c r="Y65" s="17" t="n"/>
      <ns0:c r="Z65" s="17" t="n"/>
      <ns0:c r="AA65" s="17" t="n"/>
      <ns0:c r="AB65" s="17" t="n"/>
      <ns0:c r="AC65" s="17" t="n"/>
      <ns0:c r="AD65" s="17" t="n"/>
      <ns0:c r="AE65" s="17" t="n"/>
      <ns0:c r="AF65" s="17" t="n"/>
      <ns0:c r="AG65" s="17" t="n"/>
    </ns0:row>
    <ns0:row r="66" ht="24" customHeight="1">
      <ns0:c r="D66" s="17" t="n"/>
      <ns0:c r="E66" s="17" t="n"/>
      <ns0:c r="F66" s="17" t="n"/>
      <ns0:c r="G66" s="17" t="n"/>
      <ns0:c r="H66" s="17" t="n"/>
      <ns0:c r="I66" s="17" t="n"/>
      <ns0:c r="J66" s="17" t="n"/>
      <ns0:c r="K66" s="17" t="n"/>
      <ns0:c r="L66" s="17" t="n"/>
      <ns0:c r="M66" s="17" t="n"/>
      <ns0:c r="N66" s="17" t="n"/>
      <ns0:c r="O66" s="17" t="n"/>
      <ns0:c r="P66" s="17" t="n"/>
      <ns0:c r="Q66" s="17" t="n"/>
      <ns0:c r="R66" s="17" t="n"/>
      <ns0:c r="S66" s="17" t="n"/>
      <ns0:c r="T66" s="17" t="n"/>
      <ns0:c r="U66" s="17" t="n"/>
      <ns0:c r="V66" s="17" t="n"/>
      <ns0:c r="W66" s="17" t="n"/>
      <ns0:c r="X66" s="17" t="n"/>
      <ns0:c r="Y66" s="17" t="n"/>
      <ns0:c r="Z66" s="17" t="n"/>
      <ns0:c r="AA66" s="17" t="n"/>
      <ns0:c r="AB66" s="17" t="n"/>
      <ns0:c r="AC66" s="17" t="n"/>
      <ns0:c r="AD66" s="17" t="n"/>
      <ns0:c r="AE66" s="17" t="n"/>
      <ns0:c r="AF66" s="17" t="n"/>
      <ns0:c r="AG66" s="17" t="n"/>
    </ns0:row>
    <ns0:row r="67" ht="24" customHeight="1">
      <ns0:c r="D67" s="17" t="n"/>
      <ns0:c r="E67" s="17" t="n"/>
      <ns0:c r="F67" s="17" t="n"/>
      <ns0:c r="G67" s="17" t="n"/>
      <ns0:c r="H67" s="17" t="n"/>
      <ns0:c r="I67" s="17" t="n"/>
      <ns0:c r="J67" s="17" t="n"/>
      <ns0:c r="K67" s="17" t="n"/>
      <ns0:c r="L67" s="17" t="n"/>
      <ns0:c r="M67" s="17" t="n"/>
      <ns0:c r="N67" s="17" t="n"/>
      <ns0:c r="O67" s="17" t="n"/>
      <ns0:c r="P67" s="17" t="n"/>
      <ns0:c r="Q67" s="17" t="n"/>
      <ns0:c r="R67" s="17" t="n"/>
      <ns0:c r="S67" s="17" t="n"/>
      <ns0:c r="T67" s="17" t="n"/>
      <ns0:c r="U67" s="17" t="n"/>
      <ns0:c r="V67" s="17" t="n"/>
      <ns0:c r="W67" s="17" t="n"/>
      <ns0:c r="X67" s="17" t="n"/>
      <ns0:c r="Y67" s="17" t="n"/>
      <ns0:c r="Z67" s="17" t="n"/>
      <ns0:c r="AA67" s="17" t="n"/>
      <ns0:c r="AB67" s="17" t="n"/>
      <ns0:c r="AC67" s="17" t="n"/>
      <ns0:c r="AD67" s="17" t="n"/>
      <ns0:c r="AE67" s="17" t="n"/>
      <ns0:c r="AF67" s="17" t="n"/>
      <ns0:c r="AG67" s="17" t="n"/>
    </ns0:row>
    <ns0:row r="68" ht="24" customHeight="1">
      <ns0:c r="D68" s="17" t="n"/>
      <ns0:c r="E68" s="17" t="n"/>
      <ns0:c r="F68" s="17" t="n"/>
      <ns0:c r="G68" s="17" t="n"/>
      <ns0:c r="H68" s="17" t="n"/>
      <ns0:c r="I68" s="17" t="n"/>
      <ns0:c r="J68" s="17" t="n"/>
      <ns0:c r="K68" s="17" t="n"/>
      <ns0:c r="L68" s="17" t="n"/>
      <ns0:c r="M68" s="17" t="n"/>
      <ns0:c r="N68" s="17" t="n"/>
      <ns0:c r="O68" s="17" t="n"/>
      <ns0:c r="P68" s="17" t="n"/>
      <ns0:c r="Q68" s="17" t="n"/>
      <ns0:c r="R68" s="17" t="n"/>
      <ns0:c r="S68" s="17" t="n"/>
      <ns0:c r="T68" s="17" t="n"/>
      <ns0:c r="U68" s="17" t="n"/>
      <ns0:c r="V68" s="17" t="n"/>
      <ns0:c r="W68" s="17" t="n"/>
      <ns0:c r="X68" s="17" t="n"/>
      <ns0:c r="Y68" s="17" t="n"/>
      <ns0:c r="Z68" s="17" t="n"/>
      <ns0:c r="AA68" s="17" t="n"/>
      <ns0:c r="AB68" s="17" t="n"/>
      <ns0:c r="AC68" s="17" t="n"/>
      <ns0:c r="AD68" s="17" t="n"/>
      <ns0:c r="AE68" s="17" t="n"/>
      <ns0:c r="AF68" s="17" t="n"/>
      <ns0:c r="AG68" s="17" t="n"/>
    </ns0:row>
    <ns0:row r="69" ht="24" customHeight="1">
      <ns0:c r="D69" s="17" t="n"/>
      <ns0:c r="E69" s="17" t="n"/>
      <ns0:c r="F69" s="17" t="n"/>
      <ns0:c r="G69" s="17" t="n"/>
      <ns0:c r="H69" s="17" t="n"/>
      <ns0:c r="I69" s="17" t="n"/>
      <ns0:c r="J69" s="17" t="n"/>
      <ns0:c r="K69" s="17" t="n"/>
      <ns0:c r="L69" s="17" t="n"/>
      <ns0:c r="M69" s="17" t="n"/>
      <ns0:c r="N69" s="17" t="n"/>
      <ns0:c r="O69" s="17" t="n"/>
      <ns0:c r="P69" s="17" t="n"/>
      <ns0:c r="Q69" s="17" t="n"/>
      <ns0:c r="R69" s="17" t="n"/>
      <ns0:c r="S69" s="17" t="n"/>
      <ns0:c r="T69" s="17" t="n"/>
      <ns0:c r="U69" s="17" t="n"/>
      <ns0:c r="V69" s="17" t="n"/>
      <ns0:c r="W69" s="17" t="n"/>
      <ns0:c r="X69" s="17" t="n"/>
      <ns0:c r="Y69" s="17" t="n"/>
      <ns0:c r="Z69" s="17" t="n"/>
      <ns0:c r="AA69" s="17" t="n"/>
      <ns0:c r="AB69" s="17" t="n"/>
      <ns0:c r="AC69" s="17" t="n"/>
      <ns0:c r="AD69" s="17" t="n"/>
      <ns0:c r="AE69" s="17" t="n"/>
      <ns0:c r="AF69" s="17" t="n"/>
      <ns0:c r="AG69" s="17" t="n"/>
    </ns0:row>
    <ns0:row r="70" ht="24" customHeight="1">
      <ns0:c r="D70" s="17" t="n"/>
      <ns0:c r="E70" s="17" t="n"/>
      <ns0:c r="F70" s="17" t="n"/>
      <ns0:c r="G70" s="17" t="n"/>
      <ns0:c r="H70" s="17" t="n"/>
      <ns0:c r="I70" s="17" t="n"/>
      <ns0:c r="J70" s="17" t="n"/>
      <ns0:c r="K70" s="17" t="n"/>
      <ns0:c r="L70" s="17" t="n"/>
      <ns0:c r="M70" s="17" t="n"/>
      <ns0:c r="N70" s="17" t="n"/>
      <ns0:c r="O70" s="17" t="n"/>
      <ns0:c r="P70" s="17" t="n"/>
      <ns0:c r="Q70" s="17" t="n"/>
      <ns0:c r="R70" s="17" t="n"/>
      <ns0:c r="S70" s="17" t="n"/>
      <ns0:c r="T70" s="17" t="n"/>
      <ns0:c r="U70" s="17" t="n"/>
      <ns0:c r="V70" s="17" t="n"/>
      <ns0:c r="W70" s="17" t="n"/>
      <ns0:c r="X70" s="17" t="n"/>
      <ns0:c r="Y70" s="17" t="n"/>
      <ns0:c r="Z70" s="17" t="n"/>
      <ns0:c r="AA70" s="17" t="n"/>
      <ns0:c r="AB70" s="17" t="n"/>
      <ns0:c r="AC70" s="17" t="n"/>
      <ns0:c r="AD70" s="17" t="n"/>
      <ns0:c r="AE70" s="17" t="n"/>
      <ns0:c r="AF70" s="17" t="n"/>
      <ns0:c r="AG70" s="17" t="n"/>
    </ns0:row>
    <ns0:row r="71" ht="24" customHeight="1">
      <ns0:c r="D71" s="17" t="n"/>
      <ns0:c r="E71" s="17" t="n"/>
      <ns0:c r="F71" s="17" t="n"/>
      <ns0:c r="G71" s="17" t="n"/>
      <ns0:c r="H71" s="17" t="n"/>
      <ns0:c r="I71" s="17" t="n"/>
      <ns0:c r="J71" s="17" t="n"/>
      <ns0:c r="K71" s="17" t="n"/>
      <ns0:c r="L71" s="17" t="n"/>
      <ns0:c r="M71" s="17" t="n"/>
      <ns0:c r="N71" s="17" t="n"/>
      <ns0:c r="O71" s="17" t="n"/>
      <ns0:c r="P71" s="17" t="n"/>
      <ns0:c r="Q71" s="17" t="n"/>
      <ns0:c r="R71" s="17" t="n"/>
      <ns0:c r="S71" s="17" t="n"/>
      <ns0:c r="T71" s="17" t="n"/>
      <ns0:c r="U71" s="17" t="n"/>
      <ns0:c r="V71" s="17" t="n"/>
      <ns0:c r="W71" s="17" t="n"/>
      <ns0:c r="X71" s="17" t="n"/>
      <ns0:c r="Y71" s="17" t="n"/>
      <ns0:c r="Z71" s="17" t="n"/>
      <ns0:c r="AA71" s="17" t="n"/>
      <ns0:c r="AB71" s="17" t="n"/>
      <ns0:c r="AC71" s="17" t="n"/>
      <ns0:c r="AD71" s="17" t="n"/>
      <ns0:c r="AE71" s="17" t="n"/>
      <ns0:c r="AF71" s="17" t="n"/>
      <ns0:c r="AG71" s="17" t="n"/>
    </ns0:row>
    <ns0:row r="72" ht="24" customHeight="1">
      <ns0:c r="D72" s="17" t="n"/>
      <ns0:c r="E72" s="17" t="n"/>
      <ns0:c r="F72" s="17" t="n"/>
      <ns0:c r="G72" s="17" t="n"/>
      <ns0:c r="H72" s="17" t="n"/>
      <ns0:c r="I72" s="17" t="n"/>
      <ns0:c r="J72" s="17" t="n"/>
      <ns0:c r="K72" s="17" t="n"/>
      <ns0:c r="L72" s="17" t="n"/>
      <ns0:c r="M72" s="17" t="n"/>
      <ns0:c r="N72" s="17" t="n"/>
      <ns0:c r="O72" s="17" t="n"/>
      <ns0:c r="P72" s="17" t="n"/>
      <ns0:c r="Q72" s="17" t="n"/>
      <ns0:c r="R72" s="17" t="n"/>
      <ns0:c r="S72" s="17" t="n"/>
      <ns0:c r="T72" s="17" t="n"/>
      <ns0:c r="U72" s="17" t="n"/>
      <ns0:c r="V72" s="17" t="n"/>
      <ns0:c r="W72" s="17" t="n"/>
      <ns0:c r="X72" s="17" t="n"/>
      <ns0:c r="Y72" s="17" t="n"/>
      <ns0:c r="Z72" s="17" t="n"/>
      <ns0:c r="AA72" s="17" t="n"/>
      <ns0:c r="AB72" s="17" t="n"/>
      <ns0:c r="AC72" s="17" t="n"/>
      <ns0:c r="AD72" s="17" t="n"/>
      <ns0:c r="AE72" s="17" t="n"/>
      <ns0:c r="AF72" s="17" t="n"/>
      <ns0:c r="AG72" s="17" t="n"/>
    </ns0:row>
    <ns0:row r="73" ht="24" customHeight="1">
      <ns0:c r="D73" s="17" t="n"/>
      <ns0:c r="E73" s="17" t="n"/>
      <ns0:c r="F73" s="17" t="n"/>
      <ns0:c r="G73" s="17" t="n"/>
      <ns0:c r="H73" s="17" t="n"/>
      <ns0:c r="I73" s="17" t="n"/>
      <ns0:c r="J73" s="17" t="n"/>
      <ns0:c r="K73" s="17" t="n"/>
      <ns0:c r="L73" s="17" t="n"/>
      <ns0:c r="M73" s="17" t="n"/>
      <ns0:c r="N73" s="17" t="n"/>
      <ns0:c r="O73" s="17" t="n"/>
      <ns0:c r="P73" s="17" t="n"/>
      <ns0:c r="Q73" s="17" t="n"/>
      <ns0:c r="R73" s="17" t="n"/>
      <ns0:c r="S73" s="17" t="n"/>
      <ns0:c r="T73" s="17" t="n"/>
      <ns0:c r="U73" s="17" t="n"/>
      <ns0:c r="V73" s="17" t="n"/>
      <ns0:c r="W73" s="17" t="n"/>
      <ns0:c r="X73" s="17" t="n"/>
      <ns0:c r="Y73" s="17" t="n"/>
      <ns0:c r="Z73" s="17" t="n"/>
      <ns0:c r="AA73" s="17" t="n"/>
      <ns0:c r="AB73" s="17" t="n"/>
      <ns0:c r="AC73" s="17" t="n"/>
      <ns0:c r="AD73" s="17" t="n"/>
      <ns0:c r="AE73" s="17" t="n"/>
      <ns0:c r="AF73" s="17" t="n"/>
      <ns0:c r="AG73" s="17" t="n"/>
    </ns0:row>
    <ns0:row r="74" ht="24" customHeight="1">
      <ns0:c r="D74" s="17" t="n"/>
      <ns0:c r="E74" s="17" t="n"/>
      <ns0:c r="F74" s="17" t="n"/>
      <ns0:c r="G74" s="17" t="n"/>
      <ns0:c r="H74" s="17" t="n"/>
      <ns0:c r="I74" s="17" t="n"/>
      <ns0:c r="J74" s="17" t="n"/>
      <ns0:c r="K74" s="17" t="n"/>
      <ns0:c r="L74" s="17" t="n"/>
      <ns0:c r="M74" s="17" t="n"/>
      <ns0:c r="N74" s="17" t="n"/>
      <ns0:c r="O74" s="17" t="n"/>
      <ns0:c r="P74" s="17" t="n"/>
      <ns0:c r="Q74" s="17" t="n"/>
      <ns0:c r="R74" s="17" t="n"/>
      <ns0:c r="S74" s="17" t="n"/>
      <ns0:c r="T74" s="17" t="n"/>
      <ns0:c r="U74" s="17" t="n"/>
      <ns0:c r="V74" s="17" t="n"/>
      <ns0:c r="W74" s="17" t="n"/>
      <ns0:c r="X74" s="17" t="n"/>
      <ns0:c r="Y74" s="17" t="n"/>
      <ns0:c r="Z74" s="17" t="n"/>
      <ns0:c r="AA74" s="17" t="n"/>
      <ns0:c r="AB74" s="17" t="n"/>
      <ns0:c r="AC74" s="17" t="n"/>
      <ns0:c r="AD74" s="17" t="n"/>
      <ns0:c r="AE74" s="17" t="n"/>
      <ns0:c r="AF74" s="17" t="n"/>
      <ns0:c r="AG74" s="17" t="n"/>
    </ns0:row>
    <ns0:row r="75" ht="24" customHeight="1">
      <ns0:c r="D75" s="17" t="n"/>
      <ns0:c r="E75" s="17" t="n"/>
      <ns0:c r="F75" s="17" t="n"/>
      <ns0:c r="G75" s="17" t="n"/>
      <ns0:c r="H75" s="17" t="n"/>
      <ns0:c r="I75" s="17" t="n"/>
      <ns0:c r="J75" s="17" t="n"/>
      <ns0:c r="K75" s="17" t="n"/>
      <ns0:c r="L75" s="17" t="n"/>
      <ns0:c r="M75" s="17" t="n"/>
      <ns0:c r="N75" s="17" t="n"/>
      <ns0:c r="O75" s="17" t="n"/>
      <ns0:c r="P75" s="17" t="n"/>
      <ns0:c r="Q75" s="17" t="n"/>
      <ns0:c r="R75" s="17" t="n"/>
      <ns0:c r="S75" s="17" t="n"/>
      <ns0:c r="T75" s="17" t="n"/>
      <ns0:c r="U75" s="17" t="n"/>
      <ns0:c r="V75" s="17" t="n"/>
      <ns0:c r="W75" s="17" t="n"/>
      <ns0:c r="X75" s="17" t="n"/>
      <ns0:c r="Y75" s="17" t="n"/>
      <ns0:c r="Z75" s="17" t="n"/>
      <ns0:c r="AA75" s="17" t="n"/>
      <ns0:c r="AB75" s="17" t="n"/>
      <ns0:c r="AC75" s="17" t="n"/>
      <ns0:c r="AD75" s="17" t="n"/>
      <ns0:c r="AE75" s="17" t="n"/>
      <ns0:c r="AF75" s="17" t="n"/>
      <ns0:c r="AG75" s="17" t="n"/>
    </ns0:row>
    <ns0:row r="76" ht="24" customHeight="1">
      <ns0:c r="D76" s="17" t="n"/>
      <ns0:c r="E76" s="17" t="n"/>
      <ns0:c r="F76" s="17" t="n"/>
      <ns0:c r="G76" s="17" t="n"/>
      <ns0:c r="H76" s="17" t="n"/>
      <ns0:c r="I76" s="17" t="n"/>
      <ns0:c r="J76" s="17" t="n"/>
      <ns0:c r="K76" s="17" t="n"/>
      <ns0:c r="L76" s="17" t="n"/>
      <ns0:c r="M76" s="17" t="n"/>
      <ns0:c r="N76" s="17" t="n"/>
      <ns0:c r="O76" s="17" t="n"/>
      <ns0:c r="P76" s="17" t="n"/>
      <ns0:c r="Q76" s="17" t="n"/>
      <ns0:c r="R76" s="17" t="n"/>
      <ns0:c r="S76" s="17" t="n"/>
      <ns0:c r="T76" s="17" t="n"/>
      <ns0:c r="U76" s="17" t="n"/>
      <ns0:c r="V76" s="17" t="n"/>
      <ns0:c r="W76" s="17" t="n"/>
      <ns0:c r="X76" s="17" t="n"/>
      <ns0:c r="Y76" s="17" t="n"/>
      <ns0:c r="Z76" s="17" t="n"/>
      <ns0:c r="AA76" s="17" t="n"/>
      <ns0:c r="AB76" s="17" t="n"/>
      <ns0:c r="AC76" s="17" t="n"/>
      <ns0:c r="AD76" s="17" t="n"/>
      <ns0:c r="AE76" s="17" t="n"/>
      <ns0:c r="AF76" s="17" t="n"/>
      <ns0:c r="AG76" s="17" t="n"/>
    </ns0:row>
    <ns0:row r="77" ht="24" customHeight="1">
      <ns0:c r="D77" s="17" t="n"/>
      <ns0:c r="E77" s="17" t="n"/>
      <ns0:c r="F77" s="17" t="n"/>
      <ns0:c r="G77" s="17" t="n"/>
      <ns0:c r="H77" s="17" t="n"/>
      <ns0:c r="I77" s="17" t="n"/>
      <ns0:c r="J77" s="17" t="n"/>
      <ns0:c r="K77" s="17" t="n"/>
      <ns0:c r="L77" s="17" t="n"/>
      <ns0:c r="M77" s="17" t="n"/>
      <ns0:c r="N77" s="17" t="n"/>
      <ns0:c r="O77" s="17" t="n"/>
      <ns0:c r="P77" s="17" t="n"/>
      <ns0:c r="Q77" s="17" t="n"/>
      <ns0:c r="R77" s="17" t="n"/>
      <ns0:c r="S77" s="17" t="n"/>
      <ns0:c r="T77" s="17" t="n"/>
      <ns0:c r="U77" s="17" t="n"/>
      <ns0:c r="V77" s="17" t="n"/>
      <ns0:c r="W77" s="17" t="n"/>
      <ns0:c r="X77" s="17" t="n"/>
      <ns0:c r="Y77" s="17" t="n"/>
      <ns0:c r="Z77" s="17" t="n"/>
      <ns0:c r="AA77" s="17" t="n"/>
      <ns0:c r="AB77" s="17" t="n"/>
      <ns0:c r="AC77" s="17" t="n"/>
      <ns0:c r="AD77" s="17" t="n"/>
      <ns0:c r="AE77" s="17" t="n"/>
      <ns0:c r="AF77" s="17" t="n"/>
      <ns0:c r="AG77" s="17" t="n"/>
    </ns0:row>
    <ns0:row r="78" ht="24" customHeight="1">
      <ns0:c r="D78" s="17" t="n"/>
      <ns0:c r="E78" s="17" t="n"/>
      <ns0:c r="F78" s="17" t="n"/>
      <ns0:c r="G78" s="17" t="n"/>
      <ns0:c r="H78" s="17" t="n"/>
      <ns0:c r="I78" s="17" t="n"/>
      <ns0:c r="J78" s="17" t="n"/>
      <ns0:c r="K78" s="17" t="n"/>
      <ns0:c r="L78" s="17" t="n"/>
      <ns0:c r="M78" s="17" t="n"/>
      <ns0:c r="N78" s="17" t="n"/>
      <ns0:c r="O78" s="17" t="n"/>
      <ns0:c r="P78" s="17" t="n"/>
      <ns0:c r="Q78" s="17" t="n"/>
      <ns0:c r="R78" s="17" t="n"/>
      <ns0:c r="S78" s="17" t="n"/>
      <ns0:c r="T78" s="17" t="n"/>
      <ns0:c r="U78" s="17" t="n"/>
      <ns0:c r="V78" s="17" t="n"/>
      <ns0:c r="W78" s="17" t="n"/>
      <ns0:c r="X78" s="17" t="n"/>
      <ns0:c r="Y78" s="17" t="n"/>
      <ns0:c r="Z78" s="17" t="n"/>
      <ns0:c r="AA78" s="17" t="n"/>
      <ns0:c r="AB78" s="17" t="n"/>
      <ns0:c r="AC78" s="17" t="n"/>
      <ns0:c r="AD78" s="17" t="n"/>
      <ns0:c r="AE78" s="17" t="n"/>
      <ns0:c r="AF78" s="17" t="n"/>
      <ns0:c r="AG78" s="17" t="n"/>
    </ns0:row>
    <ns0:row r="79" ht="24" customHeight="1">
      <ns0:c r="D79" s="17" t="n"/>
      <ns0:c r="E79" s="17" t="n"/>
      <ns0:c r="F79" s="17" t="n"/>
      <ns0:c r="G79" s="17" t="n"/>
      <ns0:c r="H79" s="17" t="n"/>
      <ns0:c r="I79" s="17" t="n"/>
      <ns0:c r="J79" s="17" t="n"/>
      <ns0:c r="K79" s="17" t="n"/>
      <ns0:c r="L79" s="17" t="n"/>
      <ns0:c r="M79" s="17" t="n"/>
      <ns0:c r="N79" s="17" t="n"/>
      <ns0:c r="O79" s="17" t="n"/>
      <ns0:c r="P79" s="17" t="n"/>
      <ns0:c r="Q79" s="17" t="n"/>
      <ns0:c r="R79" s="17" t="n"/>
      <ns0:c r="S79" s="17" t="n"/>
      <ns0:c r="T79" s="17" t="n"/>
      <ns0:c r="U79" s="17" t="n"/>
      <ns0:c r="V79" s="17" t="n"/>
      <ns0:c r="W79" s="17" t="n"/>
      <ns0:c r="X79" s="17" t="n"/>
      <ns0:c r="Y79" s="17" t="n"/>
      <ns0:c r="Z79" s="17" t="n"/>
      <ns0:c r="AA79" s="17" t="n"/>
      <ns0:c r="AB79" s="17" t="n"/>
      <ns0:c r="AC79" s="17" t="n"/>
      <ns0:c r="AD79" s="17" t="n"/>
      <ns0:c r="AE79" s="17" t="n"/>
      <ns0:c r="AF79" s="17" t="n"/>
      <ns0:c r="AG79" s="17" t="n"/>
    </ns0:row>
    <ns0:row r="80" ht="24" customHeight="1">
      <ns0:c r="D80" s="17" t="n"/>
      <ns0:c r="E80" s="17" t="n"/>
      <ns0:c r="F80" s="17" t="n"/>
      <ns0:c r="G80" s="17" t="n"/>
      <ns0:c r="H80" s="17" t="n"/>
      <ns0:c r="I80" s="17" t="n"/>
      <ns0:c r="J80" s="17" t="n"/>
      <ns0:c r="K80" s="17" t="n"/>
      <ns0:c r="L80" s="17" t="n"/>
      <ns0:c r="M80" s="17" t="n"/>
      <ns0:c r="N80" s="17" t="n"/>
      <ns0:c r="O80" s="17" t="n"/>
      <ns0:c r="P80" s="17" t="n"/>
      <ns0:c r="Q80" s="17" t="n"/>
      <ns0:c r="R80" s="17" t="n"/>
      <ns0:c r="S80" s="17" t="n"/>
      <ns0:c r="T80" s="17" t="n"/>
      <ns0:c r="U80" s="17" t="n"/>
      <ns0:c r="V80" s="17" t="n"/>
      <ns0:c r="W80" s="17" t="n"/>
      <ns0:c r="X80" s="17" t="n"/>
      <ns0:c r="Y80" s="17" t="n"/>
      <ns0:c r="Z80" s="17" t="n"/>
      <ns0:c r="AA80" s="17" t="n"/>
      <ns0:c r="AB80" s="17" t="n"/>
      <ns0:c r="AC80" s="17" t="n"/>
      <ns0:c r="AD80" s="17" t="n"/>
      <ns0:c r="AE80" s="17" t="n"/>
      <ns0:c r="AF80" s="17" t="n"/>
      <ns0:c r="AG80" s="17" t="n"/>
    </ns0:row>
    <ns0:row r="81" ht="24" customHeight="1">
      <ns0:c r="D81" s="17" t="n"/>
      <ns0:c r="E81" s="17" t="n"/>
      <ns0:c r="F81" s="17" t="n"/>
      <ns0:c r="G81" s="17" t="n"/>
      <ns0:c r="H81" s="17" t="n"/>
      <ns0:c r="I81" s="17" t="n"/>
      <ns0:c r="J81" s="17" t="n"/>
      <ns0:c r="K81" s="17" t="n"/>
      <ns0:c r="L81" s="17" t="n"/>
      <ns0:c r="M81" s="17" t="n"/>
      <ns0:c r="N81" s="17" t="n"/>
      <ns0:c r="O81" s="17" t="n"/>
      <ns0:c r="P81" s="17" t="n"/>
      <ns0:c r="Q81" s="17" t="n"/>
      <ns0:c r="R81" s="17" t="n"/>
      <ns0:c r="S81" s="17" t="n"/>
      <ns0:c r="T81" s="17" t="n"/>
      <ns0:c r="U81" s="17" t="n"/>
      <ns0:c r="V81" s="17" t="n"/>
      <ns0:c r="W81" s="17" t="n"/>
      <ns0:c r="X81" s="17" t="n"/>
      <ns0:c r="Y81" s="17" t="n"/>
      <ns0:c r="Z81" s="17" t="n"/>
      <ns0:c r="AA81" s="17" t="n"/>
      <ns0:c r="AB81" s="17" t="n"/>
      <ns0:c r="AC81" s="17" t="n"/>
      <ns0:c r="AD81" s="17" t="n"/>
      <ns0:c r="AE81" s="17" t="n"/>
      <ns0:c r="AF81" s="17" t="n"/>
      <ns0:c r="AG81" s="17" t="n"/>
    </ns0:row>
    <ns0:row r="82" ht="24" customHeight="1">
      <ns0:c r="D82" s="17" t="n"/>
      <ns0:c r="E82" s="17" t="n"/>
      <ns0:c r="F82" s="17" t="n"/>
      <ns0:c r="G82" s="17" t="n"/>
      <ns0:c r="H82" s="17" t="n"/>
      <ns0:c r="I82" s="17" t="n"/>
      <ns0:c r="J82" s="17" t="n"/>
      <ns0:c r="K82" s="17" t="n"/>
      <ns0:c r="L82" s="17" t="n"/>
      <ns0:c r="M82" s="17" t="n"/>
      <ns0:c r="N82" s="17" t="n"/>
      <ns0:c r="O82" s="17" t="n"/>
      <ns0:c r="P82" s="17" t="n"/>
      <ns0:c r="Q82" s="17" t="n"/>
      <ns0:c r="R82" s="17" t="n"/>
      <ns0:c r="S82" s="17" t="n"/>
      <ns0:c r="T82" s="17" t="n"/>
      <ns0:c r="U82" s="17" t="n"/>
      <ns0:c r="V82" s="17" t="n"/>
      <ns0:c r="W82" s="17" t="n"/>
      <ns0:c r="X82" s="17" t="n"/>
      <ns0:c r="Y82" s="17" t="n"/>
      <ns0:c r="Z82" s="17" t="n"/>
      <ns0:c r="AA82" s="17" t="n"/>
      <ns0:c r="AB82" s="17" t="n"/>
      <ns0:c r="AC82" s="17" t="n"/>
      <ns0:c r="AD82" s="17" t="n"/>
      <ns0:c r="AE82" s="17" t="n"/>
      <ns0:c r="AF82" s="17" t="n"/>
      <ns0:c r="AG82" s="17" t="n"/>
    </ns0:row>
    <ns0:row r="83" ht="24" customHeight="1">
      <ns0:c r="D83" s="17" t="n"/>
      <ns0:c r="E83" s="17" t="n"/>
      <ns0:c r="F83" s="17" t="n"/>
      <ns0:c r="G83" s="17" t="n"/>
      <ns0:c r="H83" s="17" t="n"/>
      <ns0:c r="I83" s="17" t="n"/>
      <ns0:c r="J83" s="17" t="n"/>
      <ns0:c r="K83" s="17" t="n"/>
      <ns0:c r="L83" s="17" t="n"/>
      <ns0:c r="M83" s="17" t="n"/>
      <ns0:c r="N83" s="17" t="n"/>
      <ns0:c r="O83" s="17" t="n"/>
      <ns0:c r="P83" s="17" t="n"/>
      <ns0:c r="Q83" s="17" t="n"/>
      <ns0:c r="R83" s="17" t="n"/>
      <ns0:c r="S83" s="17" t="n"/>
      <ns0:c r="T83" s="17" t="n"/>
      <ns0:c r="U83" s="17" t="n"/>
      <ns0:c r="V83" s="17" t="n"/>
      <ns0:c r="W83" s="17" t="n"/>
      <ns0:c r="X83" s="17" t="n"/>
      <ns0:c r="Y83" s="17" t="n"/>
      <ns0:c r="Z83" s="17" t="n"/>
      <ns0:c r="AA83" s="17" t="n"/>
      <ns0:c r="AB83" s="17" t="n"/>
      <ns0:c r="AC83" s="17" t="n"/>
      <ns0:c r="AD83" s="17" t="n"/>
      <ns0:c r="AE83" s="17" t="n"/>
      <ns0:c r="AF83" s="17" t="n"/>
      <ns0:c r="AG83" s="17" t="n"/>
    </ns0:row>
    <ns0:row r="84" ht="24" customHeight="1">
      <ns0:c r="D84" s="17" t="n"/>
      <ns0:c r="E84" s="17" t="n"/>
      <ns0:c r="F84" s="17" t="n"/>
      <ns0:c r="G84" s="17" t="n"/>
      <ns0:c r="H84" s="17" t="n"/>
      <ns0:c r="I84" s="17" t="n"/>
      <ns0:c r="J84" s="17" t="n"/>
      <ns0:c r="K84" s="17" t="n"/>
      <ns0:c r="L84" s="17" t="n"/>
      <ns0:c r="M84" s="17" t="n"/>
      <ns0:c r="N84" s="17" t="n"/>
      <ns0:c r="O84" s="17" t="n"/>
      <ns0:c r="P84" s="17" t="n"/>
      <ns0:c r="Q84" s="17" t="n"/>
      <ns0:c r="R84" s="17" t="n"/>
      <ns0:c r="S84" s="17" t="n"/>
      <ns0:c r="T84" s="17" t="n"/>
      <ns0:c r="U84" s="17" t="n"/>
      <ns0:c r="V84" s="17" t="n"/>
      <ns0:c r="W84" s="17" t="n"/>
      <ns0:c r="X84" s="17" t="n"/>
      <ns0:c r="Y84" s="17" t="n"/>
      <ns0:c r="Z84" s="17" t="n"/>
      <ns0:c r="AA84" s="17" t="n"/>
      <ns0:c r="AB84" s="17" t="n"/>
      <ns0:c r="AC84" s="17" t="n"/>
      <ns0:c r="AD84" s="17" t="n"/>
      <ns0:c r="AE84" s="17" t="n"/>
      <ns0:c r="AF84" s="17" t="n"/>
      <ns0:c r="AG84" s="17" t="n"/>
    </ns0:row>
    <ns0:row r="85" ht="24" customHeight="1">
      <ns0:c r="D85" s="17" t="n"/>
      <ns0:c r="E85" s="17" t="n"/>
      <ns0:c r="F85" s="17" t="n"/>
      <ns0:c r="G85" s="17" t="n"/>
      <ns0:c r="H85" s="17" t="n"/>
      <ns0:c r="I85" s="17" t="n"/>
      <ns0:c r="J85" s="17" t="n"/>
      <ns0:c r="K85" s="17" t="n"/>
      <ns0:c r="L85" s="17" t="n"/>
      <ns0:c r="M85" s="17" t="n"/>
      <ns0:c r="N85" s="17" t="n"/>
      <ns0:c r="O85" s="17" t="n"/>
      <ns0:c r="P85" s="17" t="n"/>
      <ns0:c r="Q85" s="17" t="n"/>
      <ns0:c r="R85" s="17" t="n"/>
      <ns0:c r="S85" s="17" t="n"/>
      <ns0:c r="T85" s="17" t="n"/>
      <ns0:c r="U85" s="17" t="n"/>
      <ns0:c r="V85" s="17" t="n"/>
      <ns0:c r="W85" s="17" t="n"/>
      <ns0:c r="X85" s="17" t="n"/>
      <ns0:c r="Y85" s="17" t="n"/>
      <ns0:c r="Z85" s="17" t="n"/>
      <ns0:c r="AA85" s="17" t="n"/>
      <ns0:c r="AB85" s="17" t="n"/>
      <ns0:c r="AC85" s="17" t="n"/>
      <ns0:c r="AD85" s="17" t="n"/>
      <ns0:c r="AE85" s="17" t="n"/>
      <ns0:c r="AF85" s="17" t="n"/>
      <ns0:c r="AG85" s="17" t="n"/>
    </ns0:row>
    <ns0:row r="86" ht="24" customHeight="1">
      <ns0:c r="D86" s="17" t="n"/>
      <ns0:c r="E86" s="17" t="n"/>
      <ns0:c r="F86" s="17" t="n"/>
      <ns0:c r="G86" s="17" t="n"/>
      <ns0:c r="H86" s="17" t="n"/>
      <ns0:c r="I86" s="17" t="n"/>
      <ns0:c r="J86" s="17" t="n"/>
      <ns0:c r="K86" s="17" t="n"/>
      <ns0:c r="L86" s="17" t="n"/>
      <ns0:c r="M86" s="17" t="n"/>
      <ns0:c r="N86" s="17" t="n"/>
      <ns0:c r="O86" s="17" t="n"/>
      <ns0:c r="P86" s="17" t="n"/>
      <ns0:c r="Q86" s="17" t="n"/>
      <ns0:c r="R86" s="17" t="n"/>
      <ns0:c r="S86" s="17" t="n"/>
      <ns0:c r="T86" s="17" t="n"/>
      <ns0:c r="U86" s="17" t="n"/>
      <ns0:c r="V86" s="17" t="n"/>
      <ns0:c r="W86" s="17" t="n"/>
      <ns0:c r="X86" s="17" t="n"/>
      <ns0:c r="Y86" s="17" t="n"/>
      <ns0:c r="Z86" s="17" t="n"/>
      <ns0:c r="AA86" s="17" t="n"/>
      <ns0:c r="AB86" s="17" t="n"/>
      <ns0:c r="AC86" s="17" t="n"/>
      <ns0:c r="AD86" s="17" t="n"/>
      <ns0:c r="AE86" s="17" t="n"/>
      <ns0:c r="AF86" s="17" t="n"/>
      <ns0:c r="AG86" s="17" t="n"/>
    </ns0:row>
    <ns0:row r="87" ht="24" customHeight="1">
      <ns0:c r="D87" s="17" t="n"/>
      <ns0:c r="E87" s="17" t="n"/>
      <ns0:c r="F87" s="17" t="n"/>
      <ns0:c r="G87" s="17" t="n"/>
      <ns0:c r="H87" s="17" t="n"/>
      <ns0:c r="I87" s="17" t="n"/>
      <ns0:c r="J87" s="17" t="n"/>
      <ns0:c r="K87" s="17" t="n"/>
      <ns0:c r="L87" s="17" t="n"/>
      <ns0:c r="M87" s="17" t="n"/>
      <ns0:c r="N87" s="17" t="n"/>
      <ns0:c r="O87" s="17" t="n"/>
      <ns0:c r="P87" s="17" t="n"/>
      <ns0:c r="Q87" s="17" t="n"/>
      <ns0:c r="R87" s="17" t="n"/>
      <ns0:c r="S87" s="17" t="n"/>
      <ns0:c r="T87" s="17" t="n"/>
      <ns0:c r="U87" s="17" t="n"/>
      <ns0:c r="V87" s="17" t="n"/>
      <ns0:c r="W87" s="17" t="n"/>
      <ns0:c r="X87" s="17" t="n"/>
      <ns0:c r="Y87" s="17" t="n"/>
      <ns0:c r="Z87" s="17" t="n"/>
      <ns0:c r="AA87" s="17" t="n"/>
      <ns0:c r="AB87" s="17" t="n"/>
      <ns0:c r="AC87" s="17" t="n"/>
      <ns0:c r="AD87" s="17" t="n"/>
      <ns0:c r="AE87" s="17" t="n"/>
      <ns0:c r="AF87" s="17" t="n"/>
      <ns0:c r="AG87" s="17" t="n"/>
    </ns0:row>
    <ns0:row r="88" ht="24" customHeight="1">
      <ns0:c r="D88" s="17" t="n"/>
      <ns0:c r="E88" s="17" t="n"/>
      <ns0:c r="F88" s="17" t="n"/>
      <ns0:c r="G88" s="17" t="n"/>
      <ns0:c r="H88" s="17" t="n"/>
      <ns0:c r="I88" s="17" t="n"/>
      <ns0:c r="J88" s="17" t="n"/>
      <ns0:c r="K88" s="17" t="n"/>
      <ns0:c r="L88" s="17" t="n"/>
      <ns0:c r="M88" s="17" t="n"/>
      <ns0:c r="N88" s="17" t="n"/>
      <ns0:c r="O88" s="17" t="n"/>
      <ns0:c r="P88" s="17" t="n"/>
      <ns0:c r="Q88" s="17" t="n"/>
      <ns0:c r="R88" s="17" t="n"/>
      <ns0:c r="S88" s="17" t="n"/>
      <ns0:c r="T88" s="17" t="n"/>
      <ns0:c r="U88" s="17" t="n"/>
      <ns0:c r="V88" s="17" t="n"/>
      <ns0:c r="W88" s="17" t="n"/>
      <ns0:c r="X88" s="17" t="n"/>
      <ns0:c r="Y88" s="17" t="n"/>
      <ns0:c r="Z88" s="17" t="n"/>
      <ns0:c r="AA88" s="17" t="n"/>
      <ns0:c r="AB88" s="17" t="n"/>
      <ns0:c r="AC88" s="17" t="n"/>
      <ns0:c r="AD88" s="17" t="n"/>
      <ns0:c r="AE88" s="17" t="n"/>
      <ns0:c r="AF88" s="17" t="n"/>
      <ns0:c r="AG88" s="17" t="n"/>
    </ns0:row>
    <ns0:row r="89" ht="24" customHeight="1">
      <ns0:c r="D89" s="17" t="n"/>
      <ns0:c r="E89" s="17" t="n"/>
      <ns0:c r="F89" s="17" t="n"/>
      <ns0:c r="G89" s="17" t="n"/>
      <ns0:c r="H89" s="17" t="n"/>
      <ns0:c r="I89" s="17" t="n"/>
      <ns0:c r="J89" s="17" t="n"/>
      <ns0:c r="K89" s="17" t="n"/>
      <ns0:c r="L89" s="17" t="n"/>
      <ns0:c r="M89" s="17" t="n"/>
      <ns0:c r="N89" s="17" t="n"/>
      <ns0:c r="O89" s="17" t="n"/>
      <ns0:c r="P89" s="17" t="n"/>
      <ns0:c r="Q89" s="17" t="n"/>
      <ns0:c r="R89" s="17" t="n"/>
      <ns0:c r="S89" s="17" t="n"/>
      <ns0:c r="T89" s="17" t="n"/>
      <ns0:c r="U89" s="17" t="n"/>
      <ns0:c r="V89" s="17" t="n"/>
      <ns0:c r="W89" s="17" t="n"/>
      <ns0:c r="X89" s="17" t="n"/>
      <ns0:c r="Y89" s="17" t="n"/>
      <ns0:c r="Z89" s="17" t="n"/>
      <ns0:c r="AA89" s="17" t="n"/>
      <ns0:c r="AB89" s="17" t="n"/>
      <ns0:c r="AC89" s="17" t="n"/>
      <ns0:c r="AD89" s="17" t="n"/>
      <ns0:c r="AE89" s="17" t="n"/>
      <ns0:c r="AF89" s="17" t="n"/>
      <ns0:c r="AG89" s="17" t="n"/>
    </ns0:row>
    <ns0:row r="90" ht="24" customHeight="1">
      <ns0:c r="D90" s="17" t="n"/>
      <ns0:c r="E90" s="17" t="n"/>
      <ns0:c r="F90" s="17" t="n"/>
      <ns0:c r="G90" s="17" t="n"/>
      <ns0:c r="H90" s="17" t="n"/>
      <ns0:c r="I90" s="17" t="n"/>
      <ns0:c r="J90" s="17" t="n"/>
      <ns0:c r="K90" s="17" t="n"/>
      <ns0:c r="L90" s="17" t="n"/>
      <ns0:c r="M90" s="17" t="n"/>
      <ns0:c r="N90" s="17" t="n"/>
      <ns0:c r="O90" s="17" t="n"/>
      <ns0:c r="P90" s="17" t="n"/>
      <ns0:c r="Q90" s="17" t="n"/>
      <ns0:c r="R90" s="17" t="n"/>
      <ns0:c r="S90" s="17" t="n"/>
      <ns0:c r="T90" s="17" t="n"/>
      <ns0:c r="U90" s="17" t="n"/>
      <ns0:c r="V90" s="17" t="n"/>
      <ns0:c r="W90" s="17" t="n"/>
      <ns0:c r="X90" s="17" t="n"/>
      <ns0:c r="Y90" s="17" t="n"/>
      <ns0:c r="Z90" s="17" t="n"/>
      <ns0:c r="AA90" s="17" t="n"/>
      <ns0:c r="AB90" s="17" t="n"/>
      <ns0:c r="AC90" s="17" t="n"/>
      <ns0:c r="AD90" s="17" t="n"/>
      <ns0:c r="AE90" s="17" t="n"/>
      <ns0:c r="AF90" s="17" t="n"/>
      <ns0:c r="AG90" s="17" t="n"/>
    </ns0:row>
    <ns0:row r="91" ht="24" customHeight="1">
      <ns0:c r="D91" s="17" t="n"/>
      <ns0:c r="E91" s="17" t="n"/>
      <ns0:c r="F91" s="17" t="n"/>
      <ns0:c r="G91" s="17" t="n"/>
      <ns0:c r="H91" s="17" t="n"/>
      <ns0:c r="I91" s="17" t="n"/>
      <ns0:c r="J91" s="17" t="n"/>
      <ns0:c r="K91" s="17" t="n"/>
      <ns0:c r="L91" s="17" t="n"/>
      <ns0:c r="M91" s="17" t="n"/>
      <ns0:c r="N91" s="17" t="n"/>
      <ns0:c r="O91" s="17" t="n"/>
      <ns0:c r="P91" s="17" t="n"/>
      <ns0:c r="Q91" s="17" t="n"/>
      <ns0:c r="R91" s="17" t="n"/>
      <ns0:c r="S91" s="17" t="n"/>
      <ns0:c r="T91" s="17" t="n"/>
      <ns0:c r="U91" s="17" t="n"/>
      <ns0:c r="V91" s="17" t="n"/>
      <ns0:c r="W91" s="17" t="n"/>
      <ns0:c r="X91" s="17" t="n"/>
      <ns0:c r="Y91" s="17" t="n"/>
      <ns0:c r="Z91" s="17" t="n"/>
      <ns0:c r="AA91" s="17" t="n"/>
      <ns0:c r="AB91" s="17" t="n"/>
      <ns0:c r="AC91" s="17" t="n"/>
      <ns0:c r="AD91" s="17" t="n"/>
      <ns0:c r="AE91" s="17" t="n"/>
      <ns0:c r="AF91" s="17" t="n"/>
      <ns0:c r="AG91" s="17" t="n"/>
    </ns0:row>
    <ns0:row r="92" ht="24" customHeight="1">
      <ns0:c r="D92" s="17" t="n"/>
      <ns0:c r="E92" s="17" t="n"/>
      <ns0:c r="F92" s="17" t="n"/>
      <ns0:c r="G92" s="17" t="n"/>
      <ns0:c r="H92" s="17" t="n"/>
      <ns0:c r="I92" s="17" t="n"/>
      <ns0:c r="J92" s="17" t="n"/>
      <ns0:c r="K92" s="17" t="n"/>
      <ns0:c r="L92" s="17" t="n"/>
      <ns0:c r="M92" s="17" t="n"/>
      <ns0:c r="N92" s="17" t="n"/>
      <ns0:c r="O92" s="17" t="n"/>
      <ns0:c r="P92" s="17" t="n"/>
      <ns0:c r="Q92" s="17" t="n"/>
      <ns0:c r="R92" s="17" t="n"/>
      <ns0:c r="S92" s="17" t="n"/>
      <ns0:c r="T92" s="17" t="n"/>
      <ns0:c r="U92" s="17" t="n"/>
      <ns0:c r="V92" s="17" t="n"/>
      <ns0:c r="W92" s="17" t="n"/>
      <ns0:c r="X92" s="17" t="n"/>
      <ns0:c r="Y92" s="17" t="n"/>
      <ns0:c r="Z92" s="17" t="n"/>
      <ns0:c r="AA92" s="17" t="n"/>
      <ns0:c r="AB92" s="17" t="n"/>
      <ns0:c r="AC92" s="17" t="n"/>
      <ns0:c r="AD92" s="17" t="n"/>
      <ns0:c r="AE92" s="17" t="n"/>
      <ns0:c r="AF92" s="17" t="n"/>
      <ns0:c r="AG92" s="17" t="n"/>
    </ns0:row>
    <ns0:row r="93" ht="24" customHeight="1">
      <ns0:c r="D93" s="17" t="n"/>
      <ns0:c r="E93" s="17" t="n"/>
      <ns0:c r="F93" s="17" t="n"/>
      <ns0:c r="G93" s="17" t="n"/>
      <ns0:c r="H93" s="17" t="n"/>
      <ns0:c r="I93" s="17" t="n"/>
      <ns0:c r="J93" s="17" t="n"/>
      <ns0:c r="K93" s="17" t="n"/>
      <ns0:c r="L93" s="17" t="n"/>
      <ns0:c r="M93" s="17" t="n"/>
      <ns0:c r="N93" s="17" t="n"/>
      <ns0:c r="O93" s="17" t="n"/>
      <ns0:c r="P93" s="17" t="n"/>
      <ns0:c r="Q93" s="17" t="n"/>
      <ns0:c r="R93" s="17" t="n"/>
      <ns0:c r="S93" s="17" t="n"/>
      <ns0:c r="T93" s="17" t="n"/>
      <ns0:c r="U93" s="17" t="n"/>
      <ns0:c r="V93" s="17" t="n"/>
      <ns0:c r="W93" s="17" t="n"/>
      <ns0:c r="X93" s="17" t="n"/>
      <ns0:c r="Y93" s="17" t="n"/>
      <ns0:c r="Z93" s="17" t="n"/>
      <ns0:c r="AA93" s="17" t="n"/>
      <ns0:c r="AB93" s="17" t="n"/>
      <ns0:c r="AC93" s="17" t="n"/>
      <ns0:c r="AD93" s="17" t="n"/>
      <ns0:c r="AE93" s="17" t="n"/>
      <ns0:c r="AF93" s="17" t="n"/>
      <ns0:c r="AG93" s="17" t="n"/>
    </ns0:row>
    <ns0:row r="94" ht="24" customHeight="1">
      <ns0:c r="D94" s="17" t="n"/>
      <ns0:c r="E94" s="17" t="n"/>
      <ns0:c r="F94" s="17" t="n"/>
      <ns0:c r="G94" s="17" t="n"/>
      <ns0:c r="H94" s="17" t="n"/>
      <ns0:c r="I94" s="17" t="n"/>
      <ns0:c r="J94" s="17" t="n"/>
      <ns0:c r="K94" s="17" t="n"/>
      <ns0:c r="L94" s="17" t="n"/>
      <ns0:c r="M94" s="17" t="n"/>
      <ns0:c r="N94" s="17" t="n"/>
      <ns0:c r="O94" s="17" t="n"/>
      <ns0:c r="P94" s="17" t="n"/>
      <ns0:c r="Q94" s="17" t="n"/>
      <ns0:c r="R94" s="17" t="n"/>
      <ns0:c r="S94" s="17" t="n"/>
      <ns0:c r="T94" s="17" t="n"/>
      <ns0:c r="U94" s="17" t="n"/>
      <ns0:c r="V94" s="17" t="n"/>
      <ns0:c r="W94" s="17" t="n"/>
      <ns0:c r="X94" s="17" t="n"/>
      <ns0:c r="Y94" s="17" t="n"/>
      <ns0:c r="Z94" s="17" t="n"/>
      <ns0:c r="AA94" s="17" t="n"/>
      <ns0:c r="AB94" s="17" t="n"/>
      <ns0:c r="AC94" s="17" t="n"/>
      <ns0:c r="AD94" s="17" t="n"/>
      <ns0:c r="AE94" s="17" t="n"/>
      <ns0:c r="AF94" s="17" t="n"/>
      <ns0:c r="AG94" s="17" t="n"/>
    </ns0:row>
    <ns0:row r="95" ht="24" customHeight="1">
      <ns0:c r="D95" s="17" t="n"/>
      <ns0:c r="E95" s="17" t="n"/>
      <ns0:c r="F95" s="17" t="n"/>
      <ns0:c r="G95" s="17" t="n"/>
      <ns0:c r="H95" s="17" t="n"/>
      <ns0:c r="I95" s="17" t="n"/>
      <ns0:c r="J95" s="17" t="n"/>
      <ns0:c r="K95" s="17" t="n"/>
      <ns0:c r="L95" s="17" t="n"/>
      <ns0:c r="M95" s="17" t="n"/>
      <ns0:c r="N95" s="17" t="n"/>
      <ns0:c r="O95" s="17" t="n"/>
      <ns0:c r="P95" s="17" t="n"/>
      <ns0:c r="Q95" s="17" t="n"/>
      <ns0:c r="R95" s="17" t="n"/>
      <ns0:c r="S95" s="17" t="n"/>
      <ns0:c r="T95" s="17" t="n"/>
      <ns0:c r="U95" s="17" t="n"/>
      <ns0:c r="V95" s="17" t="n"/>
      <ns0:c r="W95" s="17" t="n"/>
      <ns0:c r="X95" s="17" t="n"/>
      <ns0:c r="Y95" s="17" t="n"/>
      <ns0:c r="Z95" s="17" t="n"/>
      <ns0:c r="AA95" s="17" t="n"/>
      <ns0:c r="AB95" s="17" t="n"/>
      <ns0:c r="AC95" s="17" t="n"/>
      <ns0:c r="AD95" s="17" t="n"/>
      <ns0:c r="AE95" s="17" t="n"/>
      <ns0:c r="AF95" s="17" t="n"/>
      <ns0:c r="AG95" s="17" t="n"/>
    </ns0:row>
    <ns0:row r="96" ht="24" customHeight="1">
      <ns0:c r="D96" s="17" t="n"/>
      <ns0:c r="E96" s="17" t="n"/>
      <ns0:c r="F96" s="17" t="n"/>
      <ns0:c r="G96" s="17" t="n"/>
      <ns0:c r="H96" s="17" t="n"/>
      <ns0:c r="I96" s="17" t="n"/>
      <ns0:c r="J96" s="17" t="n"/>
      <ns0:c r="K96" s="17" t="n"/>
      <ns0:c r="L96" s="17" t="n"/>
      <ns0:c r="M96" s="17" t="n"/>
      <ns0:c r="N96" s="17" t="n"/>
      <ns0:c r="O96" s="17" t="n"/>
      <ns0:c r="P96" s="17" t="n"/>
      <ns0:c r="Q96" s="17" t="n"/>
      <ns0:c r="R96" s="17" t="n"/>
      <ns0:c r="S96" s="17" t="n"/>
      <ns0:c r="T96" s="17" t="n"/>
      <ns0:c r="U96" s="17" t="n"/>
      <ns0:c r="V96" s="17" t="n"/>
      <ns0:c r="W96" s="17" t="n"/>
      <ns0:c r="X96" s="17" t="n"/>
      <ns0:c r="Y96" s="17" t="n"/>
      <ns0:c r="Z96" s="17" t="n"/>
      <ns0:c r="AA96" s="17" t="n"/>
      <ns0:c r="AB96" s="17" t="n"/>
      <ns0:c r="AC96" s="17" t="n"/>
      <ns0:c r="AD96" s="17" t="n"/>
      <ns0:c r="AE96" s="17" t="n"/>
      <ns0:c r="AF96" s="17" t="n"/>
      <ns0:c r="AG96" s="17" t="n"/>
    </ns0:row>
    <ns0:row r="97" ht="24" customHeight="1">
      <ns0:c r="D97" s="17" t="n"/>
      <ns0:c r="E97" s="17" t="n"/>
      <ns0:c r="F97" s="17" t="n"/>
      <ns0:c r="G97" s="17" t="n"/>
      <ns0:c r="H97" s="17" t="n"/>
      <ns0:c r="I97" s="17" t="n"/>
      <ns0:c r="J97" s="17" t="n"/>
      <ns0:c r="K97" s="17" t="n"/>
      <ns0:c r="L97" s="17" t="n"/>
      <ns0:c r="M97" s="17" t="n"/>
      <ns0:c r="N97" s="17" t="n"/>
      <ns0:c r="O97" s="17" t="n"/>
      <ns0:c r="P97" s="17" t="n"/>
      <ns0:c r="Q97" s="17" t="n"/>
      <ns0:c r="R97" s="17" t="n"/>
      <ns0:c r="S97" s="17" t="n"/>
      <ns0:c r="T97" s="17" t="n"/>
      <ns0:c r="U97" s="17" t="n"/>
      <ns0:c r="V97" s="17" t="n"/>
      <ns0:c r="W97" s="17" t="n"/>
      <ns0:c r="X97" s="17" t="n"/>
      <ns0:c r="Y97" s="17" t="n"/>
      <ns0:c r="Z97" s="17" t="n"/>
      <ns0:c r="AA97" s="17" t="n"/>
      <ns0:c r="AB97" s="17" t="n"/>
      <ns0:c r="AC97" s="17" t="n"/>
      <ns0:c r="AD97" s="17" t="n"/>
      <ns0:c r="AE97" s="17" t="n"/>
      <ns0:c r="AF97" s="17" t="n"/>
      <ns0:c r="AG97" s="17" t="n"/>
    </ns0:row>
    <ns0:row r="98" ht="24" customHeight="1">
      <ns0:c r="D98" s="17" t="n"/>
      <ns0:c r="E98" s="17" t="n"/>
      <ns0:c r="F98" s="17" t="n"/>
      <ns0:c r="G98" s="17" t="n"/>
      <ns0:c r="H98" s="17" t="n"/>
      <ns0:c r="I98" s="17" t="n"/>
      <ns0:c r="J98" s="17" t="n"/>
      <ns0:c r="K98" s="17" t="n"/>
      <ns0:c r="L98" s="17" t="n"/>
      <ns0:c r="M98" s="17" t="n"/>
      <ns0:c r="N98" s="17" t="n"/>
      <ns0:c r="O98" s="17" t="n"/>
      <ns0:c r="P98" s="17" t="n"/>
      <ns0:c r="Q98" s="17" t="n"/>
      <ns0:c r="R98" s="17" t="n"/>
      <ns0:c r="S98" s="17" t="n"/>
      <ns0:c r="T98" s="17" t="n"/>
      <ns0:c r="U98" s="17" t="n"/>
      <ns0:c r="V98" s="17" t="n"/>
      <ns0:c r="W98" s="17" t="n"/>
      <ns0:c r="X98" s="17" t="n"/>
      <ns0:c r="Y98" s="17" t="n"/>
      <ns0:c r="Z98" s="17" t="n"/>
      <ns0:c r="AA98" s="17" t="n"/>
      <ns0:c r="AB98" s="17" t="n"/>
      <ns0:c r="AC98" s="17" t="n"/>
      <ns0:c r="AD98" s="17" t="n"/>
      <ns0:c r="AE98" s="17" t="n"/>
      <ns0:c r="AF98" s="17" t="n"/>
      <ns0:c r="AG98" s="17" t="n"/>
    </ns0:row>
    <ns0:row r="99" ht="24" customHeight="1">
      <ns0:c r="D99" s="17" t="n"/>
      <ns0:c r="E99" s="17" t="n"/>
      <ns0:c r="F99" s="17" t="n"/>
      <ns0:c r="G99" s="17" t="n"/>
      <ns0:c r="H99" s="17" t="n"/>
      <ns0:c r="I99" s="17" t="n"/>
      <ns0:c r="J99" s="17" t="n"/>
      <ns0:c r="K99" s="17" t="n"/>
      <ns0:c r="L99" s="17" t="n"/>
      <ns0:c r="M99" s="17" t="n"/>
      <ns0:c r="N99" s="17" t="n"/>
      <ns0:c r="O99" s="17" t="n"/>
      <ns0:c r="P99" s="17" t="n"/>
      <ns0:c r="Q99" s="17" t="n"/>
      <ns0:c r="R99" s="17" t="n"/>
      <ns0:c r="S99" s="17" t="n"/>
      <ns0:c r="T99" s="17" t="n"/>
      <ns0:c r="U99" s="17" t="n"/>
      <ns0:c r="V99" s="17" t="n"/>
      <ns0:c r="W99" s="17" t="n"/>
      <ns0:c r="X99" s="17" t="n"/>
      <ns0:c r="Y99" s="17" t="n"/>
      <ns0:c r="Z99" s="17" t="n"/>
      <ns0:c r="AA99" s="17" t="n"/>
      <ns0:c r="AB99" s="17" t="n"/>
      <ns0:c r="AC99" s="17" t="n"/>
      <ns0:c r="AD99" s="17" t="n"/>
      <ns0:c r="AE99" s="17" t="n"/>
      <ns0:c r="AF99" s="17" t="n"/>
      <ns0:c r="AG99" s="17" t="n"/>
    </ns0:row>
    <ns0:row r="100" ht="24" customHeight="1">
      <ns0:c r="D100" s="17" t="n"/>
      <ns0:c r="E100" s="17" t="n"/>
      <ns0:c r="F100" s="17" t="n"/>
      <ns0:c r="G100" s="17" t="n"/>
      <ns0:c r="H100" s="17" t="n"/>
      <ns0:c r="I100" s="17" t="n"/>
      <ns0:c r="J100" s="17" t="n"/>
      <ns0:c r="K100" s="17" t="n"/>
      <ns0:c r="L100" s="17" t="n"/>
      <ns0:c r="M100" s="17" t="n"/>
      <ns0:c r="N100" s="17" t="n"/>
      <ns0:c r="O100" s="17" t="n"/>
      <ns0:c r="P100" s="17" t="n"/>
      <ns0:c r="Q100" s="17" t="n"/>
      <ns0:c r="R100" s="17" t="n"/>
      <ns0:c r="S100" s="17" t="n"/>
      <ns0:c r="T100" s="17" t="n"/>
      <ns0:c r="U100" s="17" t="n"/>
      <ns0:c r="V100" s="17" t="n"/>
      <ns0:c r="W100" s="17" t="n"/>
      <ns0:c r="X100" s="17" t="n"/>
      <ns0:c r="Y100" s="17" t="n"/>
      <ns0:c r="Z100" s="17" t="n"/>
      <ns0:c r="AA100" s="17" t="n"/>
      <ns0:c r="AB100" s="17" t="n"/>
      <ns0:c r="AC100" s="17" t="n"/>
      <ns0:c r="AD100" s="17" t="n"/>
      <ns0:c r="AE100" s="17" t="n"/>
      <ns0:c r="AF100" s="17" t="n"/>
      <ns0:c r="AG100" s="17" t="n"/>
    </ns0:row>
    <ns0:row r="101" ht="24" customHeight="1">
      <ns0:c r="D101" s="17" t="n"/>
      <ns0:c r="E101" s="17" t="n"/>
      <ns0:c r="F101" s="17" t="n"/>
      <ns0:c r="G101" s="17" t="n"/>
      <ns0:c r="H101" s="17" t="n"/>
      <ns0:c r="I101" s="17" t="n"/>
      <ns0:c r="J101" s="17" t="n"/>
      <ns0:c r="K101" s="17" t="n"/>
      <ns0:c r="L101" s="17" t="n"/>
      <ns0:c r="M101" s="17" t="n"/>
      <ns0:c r="N101" s="17" t="n"/>
      <ns0:c r="O101" s="17" t="n"/>
      <ns0:c r="P101" s="17" t="n"/>
      <ns0:c r="Q101" s="17" t="n"/>
      <ns0:c r="R101" s="17" t="n"/>
      <ns0:c r="S101" s="17" t="n"/>
      <ns0:c r="T101" s="17" t="n"/>
      <ns0:c r="U101" s="17" t="n"/>
      <ns0:c r="V101" s="17" t="n"/>
      <ns0:c r="W101" s="17" t="n"/>
      <ns0:c r="X101" s="17" t="n"/>
      <ns0:c r="Y101" s="17" t="n"/>
      <ns0:c r="Z101" s="17" t="n"/>
      <ns0:c r="AA101" s="17" t="n"/>
      <ns0:c r="AB101" s="17" t="n"/>
      <ns0:c r="AC101" s="17" t="n"/>
      <ns0:c r="AD101" s="17" t="n"/>
      <ns0:c r="AE101" s="17" t="n"/>
      <ns0:c r="AF101" s="17" t="n"/>
      <ns0:c r="AG101" s="17" t="n"/>
    </ns0:row>
    <ns0:row r="102" ht="24" customHeight="1">
      <ns0:c r="D102" s="17" t="n"/>
      <ns0:c r="E102" s="17" t="n"/>
      <ns0:c r="F102" s="17" t="n"/>
      <ns0:c r="G102" s="17" t="n"/>
      <ns0:c r="H102" s="17" t="n"/>
      <ns0:c r="I102" s="17" t="n"/>
      <ns0:c r="J102" s="17" t="n"/>
      <ns0:c r="K102" s="17" t="n"/>
      <ns0:c r="L102" s="17" t="n"/>
      <ns0:c r="M102" s="17" t="n"/>
      <ns0:c r="N102" s="17" t="n"/>
      <ns0:c r="O102" s="17" t="n"/>
      <ns0:c r="P102" s="17" t="n"/>
      <ns0:c r="Q102" s="17" t="n"/>
      <ns0:c r="R102" s="17" t="n"/>
      <ns0:c r="S102" s="17" t="n"/>
      <ns0:c r="T102" s="17" t="n"/>
      <ns0:c r="U102" s="17" t="n"/>
      <ns0:c r="V102" s="17" t="n"/>
      <ns0:c r="W102" s="17" t="n"/>
      <ns0:c r="X102" s="17" t="n"/>
      <ns0:c r="Y102" s="17" t="n"/>
      <ns0:c r="Z102" s="17" t="n"/>
      <ns0:c r="AA102" s="17" t="n"/>
      <ns0:c r="AB102" s="17" t="n"/>
      <ns0:c r="AC102" s="17" t="n"/>
      <ns0:c r="AD102" s="17" t="n"/>
      <ns0:c r="AE102" s="17" t="n"/>
      <ns0:c r="AF102" s="17" t="n"/>
      <ns0:c r="AG102" s="17" t="n"/>
    </ns0:row>
    <ns0:row r="103" ht="24" customHeight="1">
      <ns0:c r="D103" s="17" t="n"/>
      <ns0:c r="E103" s="17" t="n"/>
      <ns0:c r="F103" s="17" t="n"/>
      <ns0:c r="G103" s="17" t="n"/>
      <ns0:c r="H103" s="17" t="n"/>
      <ns0:c r="I103" s="17" t="n"/>
      <ns0:c r="J103" s="17" t="n"/>
      <ns0:c r="K103" s="17" t="n"/>
      <ns0:c r="L103" s="17" t="n"/>
      <ns0:c r="M103" s="17" t="n"/>
      <ns0:c r="N103" s="17" t="n"/>
      <ns0:c r="O103" s="17" t="n"/>
      <ns0:c r="P103" s="17" t="n"/>
      <ns0:c r="Q103" s="17" t="n"/>
      <ns0:c r="R103" s="17" t="n"/>
      <ns0:c r="S103" s="17" t="n"/>
      <ns0:c r="T103" s="17" t="n"/>
      <ns0:c r="U103" s="17" t="n"/>
      <ns0:c r="V103" s="17" t="n"/>
      <ns0:c r="W103" s="17" t="n"/>
      <ns0:c r="X103" s="17" t="n"/>
      <ns0:c r="Y103" s="17" t="n"/>
      <ns0:c r="Z103" s="17" t="n"/>
      <ns0:c r="AA103" s="17" t="n"/>
      <ns0:c r="AB103" s="17" t="n"/>
      <ns0:c r="AC103" s="17" t="n"/>
      <ns0:c r="AD103" s="17" t="n"/>
      <ns0:c r="AE103" s="17" t="n"/>
      <ns0:c r="AF103" s="17" t="n"/>
      <ns0:c r="AG103" s="17" t="n"/>
    </ns0:row>
    <ns0:row r="104" ht="24" customHeight="1">
      <ns0:c r="D104" s="17" t="n"/>
      <ns0:c r="E104" s="17" t="n"/>
      <ns0:c r="F104" s="17" t="n"/>
      <ns0:c r="G104" s="17" t="n"/>
      <ns0:c r="H104" s="17" t="n"/>
      <ns0:c r="I104" s="17" t="n"/>
      <ns0:c r="J104" s="17" t="n"/>
      <ns0:c r="K104" s="17" t="n"/>
      <ns0:c r="L104" s="17" t="n"/>
      <ns0:c r="M104" s="17" t="n"/>
      <ns0:c r="N104" s="17" t="n"/>
      <ns0:c r="O104" s="17" t="n"/>
      <ns0:c r="P104" s="17" t="n"/>
      <ns0:c r="Q104" s="17" t="n"/>
      <ns0:c r="R104" s="17" t="n"/>
      <ns0:c r="S104" s="17" t="n"/>
      <ns0:c r="T104" s="17" t="n"/>
      <ns0:c r="U104" s="17" t="n"/>
      <ns0:c r="V104" s="17" t="n"/>
      <ns0:c r="W104" s="17" t="n"/>
      <ns0:c r="X104" s="17" t="n"/>
      <ns0:c r="Y104" s="17" t="n"/>
      <ns0:c r="Z104" s="17" t="n"/>
      <ns0:c r="AA104" s="17" t="n"/>
      <ns0:c r="AB104" s="17" t="n"/>
      <ns0:c r="AC104" s="17" t="n"/>
      <ns0:c r="AD104" s="17" t="n"/>
      <ns0:c r="AE104" s="17" t="n"/>
      <ns0:c r="AF104" s="17" t="n"/>
      <ns0:c r="AG104" s="17" t="n"/>
    </ns0:row>
    <ns0:row r="105" ht="24" customHeight="1">
      <ns0:c r="D105" s="17" t="n"/>
      <ns0:c r="E105" s="17" t="n"/>
      <ns0:c r="F105" s="17" t="n"/>
      <ns0:c r="G105" s="17" t="n"/>
      <ns0:c r="H105" s="17" t="n"/>
      <ns0:c r="I105" s="17" t="n"/>
      <ns0:c r="J105" s="17" t="n"/>
      <ns0:c r="K105" s="17" t="n"/>
      <ns0:c r="L105" s="17" t="n"/>
      <ns0:c r="M105" s="17" t="n"/>
      <ns0:c r="N105" s="17" t="n"/>
      <ns0:c r="O105" s="17" t="n"/>
      <ns0:c r="P105" s="17" t="n"/>
      <ns0:c r="Q105" s="17" t="n"/>
      <ns0:c r="R105" s="17" t="n"/>
      <ns0:c r="S105" s="17" t="n"/>
      <ns0:c r="T105" s="17" t="n"/>
      <ns0:c r="U105" s="17" t="n"/>
      <ns0:c r="V105" s="17" t="n"/>
      <ns0:c r="W105" s="17" t="n"/>
      <ns0:c r="X105" s="17" t="n"/>
      <ns0:c r="Y105" s="17" t="n"/>
      <ns0:c r="Z105" s="17" t="n"/>
      <ns0:c r="AA105" s="17" t="n"/>
      <ns0:c r="AB105" s="17" t="n"/>
      <ns0:c r="AC105" s="17" t="n"/>
      <ns0:c r="AD105" s="17" t="n"/>
      <ns0:c r="AE105" s="17" t="n"/>
      <ns0:c r="AF105" s="17" t="n"/>
      <ns0:c r="AG105" s="17" t="n"/>
    </ns0:row>
    <ns0:row r="106" ht="24" customHeight="1">
      <ns0:c r="D106" s="17" t="n"/>
      <ns0:c r="E106" s="17" t="n"/>
      <ns0:c r="F106" s="17" t="n"/>
      <ns0:c r="G106" s="17" t="n"/>
      <ns0:c r="H106" s="17" t="n"/>
      <ns0:c r="I106" s="17" t="n"/>
      <ns0:c r="J106" s="17" t="n"/>
      <ns0:c r="K106" s="17" t="n"/>
      <ns0:c r="L106" s="17" t="n"/>
      <ns0:c r="M106" s="17" t="n"/>
      <ns0:c r="N106" s="17" t="n"/>
      <ns0:c r="O106" s="17" t="n"/>
      <ns0:c r="P106" s="17" t="n"/>
      <ns0:c r="Q106" s="17" t="n"/>
      <ns0:c r="R106" s="17" t="n"/>
      <ns0:c r="S106" s="17" t="n"/>
      <ns0:c r="T106" s="17" t="n"/>
      <ns0:c r="U106" s="17" t="n"/>
      <ns0:c r="V106" s="17" t="n"/>
      <ns0:c r="W106" s="17" t="n"/>
      <ns0:c r="X106" s="17" t="n"/>
      <ns0:c r="Y106" s="17" t="n"/>
      <ns0:c r="Z106" s="17" t="n"/>
      <ns0:c r="AA106" s="17" t="n"/>
      <ns0:c r="AB106" s="17" t="n"/>
      <ns0:c r="AC106" s="17" t="n"/>
      <ns0:c r="AD106" s="17" t="n"/>
      <ns0:c r="AE106" s="17" t="n"/>
      <ns0:c r="AF106" s="17" t="n"/>
      <ns0:c r="AG106" s="17" t="n"/>
    </ns0:row>
    <ns0:row r="107" ht="24" customHeight="1">
      <ns0:c r="D107" s="17" t="n"/>
      <ns0:c r="E107" s="17" t="n"/>
      <ns0:c r="F107" s="17" t="n"/>
      <ns0:c r="G107" s="17" t="n"/>
      <ns0:c r="H107" s="17" t="n"/>
      <ns0:c r="I107" s="17" t="n"/>
      <ns0:c r="J107" s="17" t="n"/>
      <ns0:c r="K107" s="17" t="n"/>
      <ns0:c r="L107" s="17" t="n"/>
      <ns0:c r="M107" s="17" t="n"/>
      <ns0:c r="N107" s="17" t="n"/>
      <ns0:c r="O107" s="17" t="n"/>
      <ns0:c r="P107" s="17" t="n"/>
      <ns0:c r="Q107" s="17" t="n"/>
      <ns0:c r="R107" s="17" t="n"/>
      <ns0:c r="S107" s="17" t="n"/>
      <ns0:c r="T107" s="17" t="n"/>
      <ns0:c r="U107" s="17" t="n"/>
      <ns0:c r="V107" s="17" t="n"/>
      <ns0:c r="W107" s="17" t="n"/>
      <ns0:c r="X107" s="17" t="n"/>
      <ns0:c r="Y107" s="17" t="n"/>
      <ns0:c r="Z107" s="17" t="n"/>
      <ns0:c r="AA107" s="17" t="n"/>
      <ns0:c r="AB107" s="17" t="n"/>
      <ns0:c r="AC107" s="17" t="n"/>
      <ns0:c r="AD107" s="17" t="n"/>
      <ns0:c r="AE107" s="17" t="n"/>
      <ns0:c r="AF107" s="17" t="n"/>
      <ns0:c r="AG107" s="17" t="n"/>
    </ns0:row>
    <ns0:row r="108" ht="24" customHeight="1">
      <ns0:c r="D108" s="17" t="n"/>
      <ns0:c r="E108" s="17" t="n"/>
      <ns0:c r="F108" s="17" t="n"/>
      <ns0:c r="G108" s="17" t="n"/>
      <ns0:c r="H108" s="17" t="n"/>
      <ns0:c r="I108" s="17" t="n"/>
      <ns0:c r="J108" s="17" t="n"/>
      <ns0:c r="K108" s="17" t="n"/>
      <ns0:c r="L108" s="17" t="n"/>
      <ns0:c r="M108" s="17" t="n"/>
      <ns0:c r="N108" s="17" t="n"/>
      <ns0:c r="O108" s="17" t="n"/>
      <ns0:c r="P108" s="17" t="n"/>
      <ns0:c r="Q108" s="17" t="n"/>
      <ns0:c r="R108" s="17" t="n"/>
      <ns0:c r="S108" s="17" t="n"/>
      <ns0:c r="T108" s="17" t="n"/>
      <ns0:c r="U108" s="17" t="n"/>
      <ns0:c r="V108" s="17" t="n"/>
      <ns0:c r="W108" s="17" t="n"/>
      <ns0:c r="X108" s="17" t="n"/>
      <ns0:c r="Y108" s="17" t="n"/>
      <ns0:c r="Z108" s="17" t="n"/>
      <ns0:c r="AA108" s="17" t="n"/>
      <ns0:c r="AB108" s="17" t="n"/>
      <ns0:c r="AC108" s="17" t="n"/>
      <ns0:c r="AD108" s="17" t="n"/>
      <ns0:c r="AE108" s="17" t="n"/>
      <ns0:c r="AF108" s="17" t="n"/>
      <ns0:c r="AG108" s="17" t="n"/>
    </ns0:row>
    <ns0:row r="109" ht="24" customHeight="1">
      <ns0:c r="D109" s="17" t="n"/>
      <ns0:c r="E109" s="17" t="n"/>
      <ns0:c r="F109" s="17" t="n"/>
      <ns0:c r="G109" s="17" t="n"/>
      <ns0:c r="H109" s="17" t="n"/>
      <ns0:c r="I109" s="17" t="n"/>
      <ns0:c r="J109" s="17" t="n"/>
      <ns0:c r="K109" s="17" t="n"/>
      <ns0:c r="L109" s="17" t="n"/>
      <ns0:c r="M109" s="17" t="n"/>
      <ns0:c r="N109" s="17" t="n"/>
      <ns0:c r="O109" s="17" t="n"/>
      <ns0:c r="P109" s="17" t="n"/>
      <ns0:c r="Q109" s="17" t="n"/>
      <ns0:c r="R109" s="17" t="n"/>
      <ns0:c r="S109" s="17" t="n"/>
      <ns0:c r="T109" s="17" t="n"/>
      <ns0:c r="U109" s="17" t="n"/>
      <ns0:c r="V109" s="17" t="n"/>
      <ns0:c r="W109" s="17" t="n"/>
      <ns0:c r="X109" s="17" t="n"/>
      <ns0:c r="Y109" s="17" t="n"/>
      <ns0:c r="Z109" s="17" t="n"/>
      <ns0:c r="AA109" s="17" t="n"/>
      <ns0:c r="AB109" s="17" t="n"/>
      <ns0:c r="AC109" s="17" t="n"/>
      <ns0:c r="AD109" s="17" t="n"/>
      <ns0:c r="AE109" s="17" t="n"/>
      <ns0:c r="AF109" s="17" t="n"/>
      <ns0:c r="AG109" s="17" t="n"/>
    </ns0:row>
    <ns0:row r="110" ht="24" customHeight="1">
      <ns0:c r="D110" s="17" t="n"/>
      <ns0:c r="E110" s="17" t="n"/>
      <ns0:c r="F110" s="17" t="n"/>
      <ns0:c r="G110" s="17" t="n"/>
      <ns0:c r="H110" s="17" t="n"/>
      <ns0:c r="I110" s="17" t="n"/>
      <ns0:c r="J110" s="17" t="n"/>
      <ns0:c r="K110" s="17" t="n"/>
      <ns0:c r="L110" s="17" t="n"/>
      <ns0:c r="M110" s="17" t="n"/>
      <ns0:c r="N110" s="17" t="n"/>
      <ns0:c r="O110" s="17" t="n"/>
      <ns0:c r="P110" s="17" t="n"/>
      <ns0:c r="Q110" s="17" t="n"/>
      <ns0:c r="R110" s="17" t="n"/>
      <ns0:c r="S110" s="17" t="n"/>
      <ns0:c r="T110" s="17" t="n"/>
      <ns0:c r="U110" s="17" t="n"/>
      <ns0:c r="V110" s="17" t="n"/>
      <ns0:c r="W110" s="17" t="n"/>
      <ns0:c r="X110" s="17" t="n"/>
      <ns0:c r="Y110" s="17" t="n"/>
      <ns0:c r="Z110" s="17" t="n"/>
      <ns0:c r="AA110" s="17" t="n"/>
      <ns0:c r="AB110" s="17" t="n"/>
      <ns0:c r="AC110" s="17" t="n"/>
      <ns0:c r="AD110" s="17" t="n"/>
      <ns0:c r="AE110" s="17" t="n"/>
      <ns0:c r="AF110" s="17" t="n"/>
      <ns0:c r="AG110" s="17" t="n"/>
    </ns0:row>
    <ns0:row r="111" ht="24" customHeight="1">
      <ns0:c r="D111" s="17" t="n"/>
      <ns0:c r="E111" s="17" t="n"/>
      <ns0:c r="F111" s="17" t="n"/>
      <ns0:c r="G111" s="17" t="n"/>
      <ns0:c r="H111" s="17" t="n"/>
      <ns0:c r="I111" s="17" t="n"/>
      <ns0:c r="J111" s="17" t="n"/>
      <ns0:c r="K111" s="17" t="n"/>
      <ns0:c r="L111" s="17" t="n"/>
      <ns0:c r="M111" s="17" t="n"/>
      <ns0:c r="N111" s="17" t="n"/>
      <ns0:c r="O111" s="17" t="n"/>
      <ns0:c r="P111" s="17" t="n"/>
      <ns0:c r="Q111" s="17" t="n"/>
      <ns0:c r="R111" s="17" t="n"/>
      <ns0:c r="S111" s="17" t="n"/>
      <ns0:c r="T111" s="17" t="n"/>
      <ns0:c r="U111" s="17" t="n"/>
      <ns0:c r="V111" s="17" t="n"/>
      <ns0:c r="W111" s="17" t="n"/>
      <ns0:c r="X111" s="17" t="n"/>
      <ns0:c r="Y111" s="17" t="n"/>
      <ns0:c r="Z111" s="17" t="n"/>
      <ns0:c r="AA111" s="17" t="n"/>
      <ns0:c r="AB111" s="17" t="n"/>
      <ns0:c r="AC111" s="17" t="n"/>
      <ns0:c r="AD111" s="17" t="n"/>
      <ns0:c r="AE111" s="17" t="n"/>
      <ns0:c r="AF111" s="17" t="n"/>
      <ns0:c r="AG111" s="17" t="n"/>
    </ns0:row>
    <ns0:row r="112" ht="24" customHeight="1">
      <ns0:c r="D112" s="17" t="n"/>
      <ns0:c r="E112" s="17" t="n"/>
      <ns0:c r="F112" s="17" t="n"/>
      <ns0:c r="G112" s="17" t="n"/>
      <ns0:c r="H112" s="17" t="n"/>
      <ns0:c r="I112" s="17" t="n"/>
      <ns0:c r="J112" s="17" t="n"/>
      <ns0:c r="K112" s="17" t="n"/>
      <ns0:c r="L112" s="17" t="n"/>
      <ns0:c r="M112" s="17" t="n"/>
      <ns0:c r="N112" s="17" t="n"/>
      <ns0:c r="O112" s="17" t="n"/>
      <ns0:c r="P112" s="17" t="n"/>
      <ns0:c r="Q112" s="17" t="n"/>
      <ns0:c r="R112" s="17" t="n"/>
      <ns0:c r="S112" s="17" t="n"/>
      <ns0:c r="T112" s="17" t="n"/>
      <ns0:c r="U112" s="17" t="n"/>
      <ns0:c r="V112" s="17" t="n"/>
      <ns0:c r="W112" s="17" t="n"/>
      <ns0:c r="X112" s="17" t="n"/>
      <ns0:c r="Y112" s="17" t="n"/>
      <ns0:c r="Z112" s="17" t="n"/>
      <ns0:c r="AA112" s="17" t="n"/>
      <ns0:c r="AB112" s="17" t="n"/>
      <ns0:c r="AC112" s="17" t="n"/>
      <ns0:c r="AD112" s="17" t="n"/>
      <ns0:c r="AE112" s="17" t="n"/>
      <ns0:c r="AF112" s="17" t="n"/>
      <ns0:c r="AG112" s="17" t="n"/>
    </ns0:row>
    <ns0:row r="113" ht="24" customHeight="1">
      <ns0:c r="D113" s="17" t="n"/>
      <ns0:c r="E113" s="17" t="n"/>
      <ns0:c r="F113" s="17" t="n"/>
      <ns0:c r="G113" s="17" t="n"/>
      <ns0:c r="H113" s="17" t="n"/>
      <ns0:c r="I113" s="17" t="n"/>
      <ns0:c r="J113" s="17" t="n"/>
      <ns0:c r="K113" s="17" t="n"/>
      <ns0:c r="L113" s="17" t="n"/>
      <ns0:c r="M113" s="17" t="n"/>
      <ns0:c r="N113" s="17" t="n"/>
      <ns0:c r="O113" s="17" t="n"/>
      <ns0:c r="P113" s="17" t="n"/>
      <ns0:c r="Q113" s="17" t="n"/>
      <ns0:c r="R113" s="17" t="n"/>
      <ns0:c r="S113" s="17" t="n"/>
      <ns0:c r="T113" s="17" t="n"/>
      <ns0:c r="U113" s="17" t="n"/>
      <ns0:c r="V113" s="17" t="n"/>
      <ns0:c r="W113" s="17" t="n"/>
      <ns0:c r="X113" s="17" t="n"/>
      <ns0:c r="Y113" s="17" t="n"/>
      <ns0:c r="Z113" s="17" t="n"/>
      <ns0:c r="AA113" s="17" t="n"/>
      <ns0:c r="AB113" s="17" t="n"/>
      <ns0:c r="AC113" s="17" t="n"/>
      <ns0:c r="AD113" s="17" t="n"/>
      <ns0:c r="AE113" s="17" t="n"/>
      <ns0:c r="AF113" s="17" t="n"/>
      <ns0:c r="AG113" s="17" t="n"/>
    </ns0:row>
    <ns0:row r="114" ht="24" customHeight="1">
      <ns0:c r="D114" s="17" t="n"/>
      <ns0:c r="E114" s="17" t="n"/>
      <ns0:c r="F114" s="17" t="n"/>
      <ns0:c r="G114" s="17" t="n"/>
      <ns0:c r="H114" s="17" t="n"/>
      <ns0:c r="I114" s="17" t="n"/>
      <ns0:c r="J114" s="17" t="n"/>
      <ns0:c r="K114" s="17" t="n"/>
      <ns0:c r="L114" s="17" t="n"/>
      <ns0:c r="M114" s="17" t="n"/>
      <ns0:c r="N114" s="17" t="n"/>
      <ns0:c r="O114" s="17" t="n"/>
      <ns0:c r="P114" s="17" t="n"/>
      <ns0:c r="Q114" s="17" t="n"/>
      <ns0:c r="R114" s="17" t="n"/>
      <ns0:c r="S114" s="17" t="n"/>
      <ns0:c r="T114" s="17" t="n"/>
      <ns0:c r="U114" s="17" t="n"/>
      <ns0:c r="V114" s="17" t="n"/>
      <ns0:c r="W114" s="17" t="n"/>
      <ns0:c r="X114" s="17" t="n"/>
      <ns0:c r="Y114" s="17" t="n"/>
      <ns0:c r="Z114" s="17" t="n"/>
      <ns0:c r="AA114" s="17" t="n"/>
      <ns0:c r="AB114" s="17" t="n"/>
      <ns0:c r="AC114" s="17" t="n"/>
      <ns0:c r="AD114" s="17" t="n"/>
      <ns0:c r="AE114" s="17" t="n"/>
      <ns0:c r="AF114" s="17" t="n"/>
      <ns0:c r="AG114" s="17" t="n"/>
    </ns0:row>
    <ns0:row r="115" ht="24" customHeight="1">
      <ns0:c r="D115" s="17" t="n"/>
      <ns0:c r="E115" s="17" t="n"/>
      <ns0:c r="F115" s="17" t="n"/>
      <ns0:c r="G115" s="17" t="n"/>
      <ns0:c r="H115" s="17" t="n"/>
      <ns0:c r="I115" s="17" t="n"/>
      <ns0:c r="J115" s="17" t="n"/>
      <ns0:c r="K115" s="17" t="n"/>
      <ns0:c r="L115" s="17" t="n"/>
      <ns0:c r="M115" s="17" t="n"/>
      <ns0:c r="N115" s="17" t="n"/>
      <ns0:c r="O115" s="17" t="n"/>
      <ns0:c r="P115" s="17" t="n"/>
      <ns0:c r="Q115" s="17" t="n"/>
      <ns0:c r="R115" s="17" t="n"/>
      <ns0:c r="S115" s="17" t="n"/>
      <ns0:c r="T115" s="17" t="n"/>
      <ns0:c r="U115" s="17" t="n"/>
      <ns0:c r="V115" s="17" t="n"/>
      <ns0:c r="W115" s="17" t="n"/>
      <ns0:c r="X115" s="17" t="n"/>
      <ns0:c r="Y115" s="17" t="n"/>
      <ns0:c r="Z115" s="17" t="n"/>
      <ns0:c r="AA115" s="17" t="n"/>
      <ns0:c r="AB115" s="17" t="n"/>
      <ns0:c r="AC115" s="17" t="n"/>
      <ns0:c r="AD115" s="17" t="n"/>
      <ns0:c r="AE115" s="17" t="n"/>
      <ns0:c r="AF115" s="17" t="n"/>
      <ns0:c r="AG115" s="17" t="n"/>
    </ns0:row>
    <ns0:row r="116" ht="24" customHeight="1">
      <ns0:c r="D116" s="17" t="n"/>
      <ns0:c r="E116" s="17" t="n"/>
      <ns0:c r="F116" s="17" t="n"/>
      <ns0:c r="G116" s="17" t="n"/>
      <ns0:c r="H116" s="17" t="n"/>
      <ns0:c r="I116" s="17" t="n"/>
      <ns0:c r="J116" s="17" t="n"/>
      <ns0:c r="K116" s="17" t="n"/>
      <ns0:c r="L116" s="17" t="n"/>
      <ns0:c r="M116" s="17" t="n"/>
      <ns0:c r="N116" s="17" t="n"/>
      <ns0:c r="O116" s="17" t="n"/>
      <ns0:c r="P116" s="17" t="n"/>
      <ns0:c r="Q116" s="17" t="n"/>
      <ns0:c r="R116" s="17" t="n"/>
      <ns0:c r="S116" s="17" t="n"/>
      <ns0:c r="T116" s="17" t="n"/>
      <ns0:c r="U116" s="17" t="n"/>
      <ns0:c r="V116" s="17" t="n"/>
      <ns0:c r="W116" s="17" t="n"/>
      <ns0:c r="X116" s="17" t="n"/>
      <ns0:c r="Y116" s="17" t="n"/>
      <ns0:c r="Z116" s="17" t="n"/>
      <ns0:c r="AA116" s="17" t="n"/>
      <ns0:c r="AB116" s="17" t="n"/>
      <ns0:c r="AC116" s="17" t="n"/>
      <ns0:c r="AD116" s="17" t="n"/>
      <ns0:c r="AE116" s="17" t="n"/>
      <ns0:c r="AF116" s="17" t="n"/>
      <ns0:c r="AG116" s="17" t="n"/>
    </ns0:row>
    <ns0:row r="117" ht="24" customHeight="1">
      <ns0:c r="D117" s="17" t="n"/>
      <ns0:c r="E117" s="17" t="n"/>
      <ns0:c r="F117" s="17" t="n"/>
      <ns0:c r="G117" s="17" t="n"/>
      <ns0:c r="H117" s="17" t="n"/>
      <ns0:c r="I117" s="17" t="n"/>
      <ns0:c r="J117" s="17" t="n"/>
      <ns0:c r="K117" s="17" t="n"/>
      <ns0:c r="L117" s="17" t="n"/>
      <ns0:c r="M117" s="17" t="n"/>
      <ns0:c r="N117" s="17" t="n"/>
      <ns0:c r="O117" s="17" t="n"/>
      <ns0:c r="P117" s="17" t="n"/>
      <ns0:c r="Q117" s="17" t="n"/>
      <ns0:c r="R117" s="17" t="n"/>
      <ns0:c r="S117" s="17" t="n"/>
      <ns0:c r="T117" s="17" t="n"/>
      <ns0:c r="U117" s="17" t="n"/>
      <ns0:c r="V117" s="17" t="n"/>
      <ns0:c r="W117" s="17" t="n"/>
      <ns0:c r="X117" s="17" t="n"/>
      <ns0:c r="Y117" s="17" t="n"/>
      <ns0:c r="Z117" s="17" t="n"/>
      <ns0:c r="AA117" s="17" t="n"/>
      <ns0:c r="AB117" s="17" t="n"/>
      <ns0:c r="AC117" s="17" t="n"/>
      <ns0:c r="AD117" s="17" t="n"/>
      <ns0:c r="AE117" s="17" t="n"/>
      <ns0:c r="AF117" s="17" t="n"/>
      <ns0:c r="AG117" s="17" t="n"/>
    </ns0:row>
    <ns0:row r="118" ht="24" customHeight="1">
      <ns0:c r="D118" s="17" t="n"/>
      <ns0:c r="E118" s="17" t="n"/>
      <ns0:c r="F118" s="17" t="n"/>
      <ns0:c r="G118" s="17" t="n"/>
      <ns0:c r="H118" s="17" t="n"/>
      <ns0:c r="I118" s="17" t="n"/>
      <ns0:c r="J118" s="17" t="n"/>
      <ns0:c r="K118" s="17" t="n"/>
      <ns0:c r="L118" s="17" t="n"/>
      <ns0:c r="M118" s="17" t="n"/>
      <ns0:c r="N118" s="17" t="n"/>
      <ns0:c r="O118" s="17" t="n"/>
      <ns0:c r="P118" s="17" t="n"/>
      <ns0:c r="Q118" s="17" t="n"/>
      <ns0:c r="R118" s="17" t="n"/>
      <ns0:c r="S118" s="17" t="n"/>
      <ns0:c r="T118" s="17" t="n"/>
      <ns0:c r="U118" s="17" t="n"/>
      <ns0:c r="V118" s="17" t="n"/>
      <ns0:c r="W118" s="17" t="n"/>
      <ns0:c r="X118" s="17" t="n"/>
      <ns0:c r="Y118" s="17" t="n"/>
      <ns0:c r="Z118" s="17" t="n"/>
      <ns0:c r="AA118" s="17" t="n"/>
      <ns0:c r="AB118" s="17" t="n"/>
      <ns0:c r="AC118" s="17" t="n"/>
      <ns0:c r="AD118" s="17" t="n"/>
      <ns0:c r="AE118" s="17" t="n"/>
      <ns0:c r="AF118" s="17" t="n"/>
      <ns0:c r="AG118" s="17" t="n"/>
    </ns0:row>
    <ns0:row r="119" ht="24" customHeight="1">
      <ns0:c r="D119" s="17" t="n"/>
      <ns0:c r="E119" s="17" t="n"/>
      <ns0:c r="F119" s="17" t="n"/>
      <ns0:c r="G119" s="17" t="n"/>
      <ns0:c r="H119" s="17" t="n"/>
      <ns0:c r="I119" s="17" t="n"/>
      <ns0:c r="J119" s="17" t="n"/>
      <ns0:c r="K119" s="17" t="n"/>
      <ns0:c r="L119" s="17" t="n"/>
      <ns0:c r="M119" s="17" t="n"/>
      <ns0:c r="N119" s="17" t="n"/>
      <ns0:c r="O119" s="17" t="n"/>
      <ns0:c r="P119" s="17" t="n"/>
      <ns0:c r="Q119" s="17" t="n"/>
      <ns0:c r="R119" s="17" t="n"/>
      <ns0:c r="S119" s="17" t="n"/>
      <ns0:c r="T119" s="17" t="n"/>
      <ns0:c r="U119" s="17" t="n"/>
      <ns0:c r="V119" s="17" t="n"/>
      <ns0:c r="W119" s="17" t="n"/>
      <ns0:c r="X119" s="17" t="n"/>
      <ns0:c r="Y119" s="17" t="n"/>
      <ns0:c r="Z119" s="17" t="n"/>
      <ns0:c r="AA119" s="17" t="n"/>
      <ns0:c r="AB119" s="17" t="n"/>
      <ns0:c r="AC119" s="17" t="n"/>
      <ns0:c r="AD119" s="17" t="n"/>
      <ns0:c r="AE119" s="17" t="n"/>
      <ns0:c r="AF119" s="17" t="n"/>
      <ns0:c r="AG119" s="17" t="n"/>
    </ns0:row>
    <ns0:row r="120" ht="24" customHeight="1">
      <ns0:c r="D120" s="17" t="n"/>
      <ns0:c r="E120" s="17" t="n"/>
      <ns0:c r="F120" s="17" t="n"/>
      <ns0:c r="G120" s="17" t="n"/>
      <ns0:c r="H120" s="17" t="n"/>
      <ns0:c r="I120" s="17" t="n"/>
      <ns0:c r="J120" s="17" t="n"/>
      <ns0:c r="K120" s="17" t="n"/>
      <ns0:c r="L120" s="17" t="n"/>
      <ns0:c r="M120" s="17" t="n"/>
      <ns0:c r="N120" s="17" t="n"/>
      <ns0:c r="O120" s="17" t="n"/>
      <ns0:c r="P120" s="17" t="n"/>
      <ns0:c r="Q120" s="17" t="n"/>
      <ns0:c r="R120" s="17" t="n"/>
      <ns0:c r="S120" s="17" t="n"/>
      <ns0:c r="T120" s="17" t="n"/>
      <ns0:c r="U120" s="17" t="n"/>
      <ns0:c r="V120" s="17" t="n"/>
      <ns0:c r="W120" s="17" t="n"/>
      <ns0:c r="X120" s="17" t="n"/>
      <ns0:c r="Y120" s="17" t="n"/>
      <ns0:c r="Z120" s="17" t="n"/>
      <ns0:c r="AA120" s="17" t="n"/>
      <ns0:c r="AB120" s="17" t="n"/>
      <ns0:c r="AC120" s="17" t="n"/>
      <ns0:c r="AD120" s="17" t="n"/>
      <ns0:c r="AE120" s="17" t="n"/>
      <ns0:c r="AF120" s="17" t="n"/>
      <ns0:c r="AG120" s="17" t="n"/>
    </ns0:row>
    <ns0:row r="121" ht="24" customHeight="1">
      <ns0:c r="D121" s="17" t="n"/>
      <ns0:c r="E121" s="17" t="n"/>
      <ns0:c r="F121" s="17" t="n"/>
      <ns0:c r="G121" s="17" t="n"/>
      <ns0:c r="H121" s="17" t="n"/>
      <ns0:c r="I121" s="17" t="n"/>
      <ns0:c r="J121" s="17" t="n"/>
      <ns0:c r="K121" s="17" t="n"/>
      <ns0:c r="L121" s="17" t="n"/>
      <ns0:c r="M121" s="17" t="n"/>
      <ns0:c r="N121" s="17" t="n"/>
      <ns0:c r="O121" s="17" t="n"/>
      <ns0:c r="P121" s="17" t="n"/>
      <ns0:c r="Q121" s="17" t="n"/>
      <ns0:c r="R121" s="17" t="n"/>
      <ns0:c r="S121" s="17" t="n"/>
      <ns0:c r="T121" s="17" t="n"/>
      <ns0:c r="U121" s="17" t="n"/>
      <ns0:c r="V121" s="17" t="n"/>
      <ns0:c r="W121" s="17" t="n"/>
      <ns0:c r="X121" s="17" t="n"/>
      <ns0:c r="Y121" s="17" t="n"/>
      <ns0:c r="Z121" s="17" t="n"/>
      <ns0:c r="AA121" s="17" t="n"/>
      <ns0:c r="AB121" s="17" t="n"/>
      <ns0:c r="AC121" s="17" t="n"/>
      <ns0:c r="AD121" s="17" t="n"/>
      <ns0:c r="AE121" s="17" t="n"/>
      <ns0:c r="AF121" s="17" t="n"/>
      <ns0:c r="AG121" s="17" t="n"/>
    </ns0:row>
    <ns0:row r="122" ht="24" customHeight="1">
      <ns0:c r="D122" s="17" t="n"/>
      <ns0:c r="E122" s="17" t="n"/>
      <ns0:c r="F122" s="17" t="n"/>
      <ns0:c r="G122" s="17" t="n"/>
      <ns0:c r="H122" s="17" t="n"/>
      <ns0:c r="I122" s="17" t="n"/>
      <ns0:c r="J122" s="17" t="n"/>
      <ns0:c r="K122" s="17" t="n"/>
      <ns0:c r="L122" s="17" t="n"/>
      <ns0:c r="M122" s="17" t="n"/>
      <ns0:c r="N122" s="17" t="n"/>
      <ns0:c r="O122" s="17" t="n"/>
      <ns0:c r="P122" s="17" t="n"/>
      <ns0:c r="Q122" s="17" t="n"/>
      <ns0:c r="R122" s="17" t="n"/>
      <ns0:c r="S122" s="17" t="n"/>
      <ns0:c r="T122" s="17" t="n"/>
      <ns0:c r="U122" s="17" t="n"/>
      <ns0:c r="V122" s="17" t="n"/>
      <ns0:c r="W122" s="17" t="n"/>
      <ns0:c r="X122" s="17" t="n"/>
      <ns0:c r="Y122" s="17" t="n"/>
      <ns0:c r="Z122" s="17" t="n"/>
      <ns0:c r="AA122" s="17" t="n"/>
      <ns0:c r="AB122" s="17" t="n"/>
      <ns0:c r="AC122" s="17" t="n"/>
      <ns0:c r="AD122" s="17" t="n"/>
      <ns0:c r="AE122" s="17" t="n"/>
      <ns0:c r="AF122" s="17" t="n"/>
      <ns0:c r="AG122" s="17" t="n"/>
    </ns0:row>
    <ns0:row r="123" ht="24" customHeight="1">
      <ns0:c r="D123" s="17" t="n"/>
      <ns0:c r="E123" s="17" t="n"/>
      <ns0:c r="F123" s="17" t="n"/>
      <ns0:c r="G123" s="17" t="n"/>
      <ns0:c r="H123" s="17" t="n"/>
      <ns0:c r="I123" s="17" t="n"/>
      <ns0:c r="J123" s="17" t="n"/>
      <ns0:c r="K123" s="17" t="n"/>
      <ns0:c r="L123" s="17" t="n"/>
      <ns0:c r="M123" s="17" t="n"/>
      <ns0:c r="N123" s="17" t="n"/>
      <ns0:c r="O123" s="17" t="n"/>
      <ns0:c r="P123" s="17" t="n"/>
      <ns0:c r="Q123" s="17" t="n"/>
      <ns0:c r="R123" s="17" t="n"/>
      <ns0:c r="S123" s="17" t="n"/>
      <ns0:c r="T123" s="17" t="n"/>
      <ns0:c r="U123" s="17" t="n"/>
      <ns0:c r="V123" s="17" t="n"/>
      <ns0:c r="W123" s="17" t="n"/>
      <ns0:c r="X123" s="17" t="n"/>
      <ns0:c r="Y123" s="17" t="n"/>
      <ns0:c r="Z123" s="17" t="n"/>
      <ns0:c r="AA123" s="17" t="n"/>
      <ns0:c r="AB123" s="17" t="n"/>
      <ns0:c r="AC123" s="17" t="n"/>
      <ns0:c r="AD123" s="17" t="n"/>
      <ns0:c r="AE123" s="17" t="n"/>
      <ns0:c r="AF123" s="17" t="n"/>
      <ns0:c r="AG123" s="17" t="n"/>
    </ns0:row>
    <ns0:row r="124" ht="24" customHeight="1">
      <ns0:c r="D124" s="17" t="n"/>
      <ns0:c r="E124" s="17" t="n"/>
      <ns0:c r="F124" s="17" t="n"/>
      <ns0:c r="G124" s="17" t="n"/>
      <ns0:c r="H124" s="17" t="n"/>
      <ns0:c r="I124" s="17" t="n"/>
      <ns0:c r="J124" s="17" t="n"/>
      <ns0:c r="K124" s="17" t="n"/>
      <ns0:c r="L124" s="17" t="n"/>
      <ns0:c r="M124" s="17" t="n"/>
      <ns0:c r="N124" s="17" t="n"/>
      <ns0:c r="O124" s="17" t="n"/>
      <ns0:c r="P124" s="17" t="n"/>
      <ns0:c r="Q124" s="17" t="n"/>
      <ns0:c r="R124" s="17" t="n"/>
      <ns0:c r="S124" s="17" t="n"/>
      <ns0:c r="T124" s="17" t="n"/>
      <ns0:c r="U124" s="17" t="n"/>
      <ns0:c r="V124" s="17" t="n"/>
      <ns0:c r="W124" s="17" t="n"/>
      <ns0:c r="X124" s="17" t="n"/>
      <ns0:c r="Y124" s="17" t="n"/>
      <ns0:c r="Z124" s="17" t="n"/>
      <ns0:c r="AA124" s="17" t="n"/>
      <ns0:c r="AB124" s="17" t="n"/>
      <ns0:c r="AC124" s="17" t="n"/>
      <ns0:c r="AD124" s="17" t="n"/>
      <ns0:c r="AE124" s="17" t="n"/>
      <ns0:c r="AF124" s="17" t="n"/>
      <ns0:c r="AG124" s="17" t="n"/>
    </ns0:row>
    <ns0:row r="125" ht="24" customHeight="1">
      <ns0:c r="D125" s="17" t="n"/>
      <ns0:c r="E125" s="17" t="n"/>
      <ns0:c r="F125" s="17" t="n"/>
      <ns0:c r="G125" s="17" t="n"/>
      <ns0:c r="H125" s="17" t="n"/>
      <ns0:c r="I125" s="17" t="n"/>
      <ns0:c r="J125" s="17" t="n"/>
      <ns0:c r="K125" s="17" t="n"/>
      <ns0:c r="L125" s="17" t="n"/>
      <ns0:c r="M125" s="17" t="n"/>
      <ns0:c r="N125" s="17" t="n"/>
      <ns0:c r="O125" s="17" t="n"/>
      <ns0:c r="P125" s="17" t="n"/>
      <ns0:c r="Q125" s="17" t="n"/>
      <ns0:c r="R125" s="17" t="n"/>
      <ns0:c r="S125" s="17" t="n"/>
      <ns0:c r="T125" s="17" t="n"/>
      <ns0:c r="U125" s="17" t="n"/>
      <ns0:c r="V125" s="17" t="n"/>
      <ns0:c r="W125" s="17" t="n"/>
      <ns0:c r="X125" s="17" t="n"/>
      <ns0:c r="Y125" s="17" t="n"/>
      <ns0:c r="Z125" s="17" t="n"/>
      <ns0:c r="AA125" s="17" t="n"/>
      <ns0:c r="AB125" s="17" t="n"/>
      <ns0:c r="AC125" s="17" t="n"/>
      <ns0:c r="AD125" s="17" t="n"/>
      <ns0:c r="AE125" s="17" t="n"/>
      <ns0:c r="AF125" s="17" t="n"/>
      <ns0:c r="AG125" s="17" t="n"/>
    </ns0:row>
    <ns0:row r="126" ht="24" customHeight="1">
      <ns0:c r="D126" s="17" t="n"/>
      <ns0:c r="E126" s="17" t="n"/>
      <ns0:c r="F126" s="17" t="n"/>
      <ns0:c r="G126" s="17" t="n"/>
      <ns0:c r="H126" s="17" t="n"/>
      <ns0:c r="I126" s="17" t="n"/>
      <ns0:c r="J126" s="17" t="n"/>
      <ns0:c r="K126" s="17" t="n"/>
      <ns0:c r="L126" s="17" t="n"/>
      <ns0:c r="M126" s="17" t="n"/>
      <ns0:c r="N126" s="17" t="n"/>
      <ns0:c r="O126" s="17" t="n"/>
      <ns0:c r="P126" s="17" t="n"/>
      <ns0:c r="Q126" s="17" t="n"/>
      <ns0:c r="R126" s="17" t="n"/>
      <ns0:c r="S126" s="17" t="n"/>
      <ns0:c r="T126" s="17" t="n"/>
      <ns0:c r="U126" s="17" t="n"/>
      <ns0:c r="V126" s="17" t="n"/>
      <ns0:c r="W126" s="17" t="n"/>
      <ns0:c r="X126" s="17" t="n"/>
      <ns0:c r="Y126" s="17" t="n"/>
      <ns0:c r="Z126" s="17" t="n"/>
      <ns0:c r="AA126" s="17" t="n"/>
      <ns0:c r="AB126" s="17" t="n"/>
      <ns0:c r="AC126" s="17" t="n"/>
      <ns0:c r="AD126" s="17" t="n"/>
      <ns0:c r="AE126" s="17" t="n"/>
      <ns0:c r="AF126" s="17" t="n"/>
      <ns0:c r="AG126" s="17" t="n"/>
    </ns0:row>
    <ns0:row r="127" ht="24" customHeight="1">
      <ns0:c r="D127" s="17" t="n"/>
      <ns0:c r="E127" s="17" t="n"/>
      <ns0:c r="F127" s="17" t="n"/>
      <ns0:c r="G127" s="17" t="n"/>
      <ns0:c r="H127" s="17" t="n"/>
      <ns0:c r="I127" s="17" t="n"/>
      <ns0:c r="J127" s="17" t="n"/>
      <ns0:c r="K127" s="17" t="n"/>
      <ns0:c r="L127" s="17" t="n"/>
      <ns0:c r="M127" s="17" t="n"/>
      <ns0:c r="N127" s="17" t="n"/>
      <ns0:c r="O127" s="17" t="n"/>
      <ns0:c r="P127" s="17" t="n"/>
      <ns0:c r="Q127" s="17" t="n"/>
      <ns0:c r="R127" s="17" t="n"/>
      <ns0:c r="S127" s="17" t="n"/>
      <ns0:c r="T127" s="17" t="n"/>
      <ns0:c r="U127" s="17" t="n"/>
      <ns0:c r="V127" s="17" t="n"/>
      <ns0:c r="W127" s="17" t="n"/>
      <ns0:c r="X127" s="17" t="n"/>
      <ns0:c r="Y127" s="17" t="n"/>
      <ns0:c r="Z127" s="17" t="n"/>
      <ns0:c r="AA127" s="17" t="n"/>
      <ns0:c r="AB127" s="17" t="n"/>
      <ns0:c r="AC127" s="17" t="n"/>
      <ns0:c r="AD127" s="17" t="n"/>
      <ns0:c r="AE127" s="17" t="n"/>
      <ns0:c r="AF127" s="17" t="n"/>
      <ns0:c r="AG127" s="17" t="n"/>
    </ns0:row>
    <ns0:row r="128" ht="24" customHeight="1">
      <ns0:c r="D128" s="17" t="n"/>
      <ns0:c r="E128" s="17" t="n"/>
      <ns0:c r="F128" s="17" t="n"/>
      <ns0:c r="G128" s="17" t="n"/>
      <ns0:c r="H128" s="17" t="n"/>
      <ns0:c r="I128" s="17" t="n"/>
      <ns0:c r="J128" s="17" t="n"/>
      <ns0:c r="K128" s="17" t="n"/>
      <ns0:c r="L128" s="17" t="n"/>
      <ns0:c r="M128" s="17" t="n"/>
      <ns0:c r="N128" s="17" t="n"/>
      <ns0:c r="O128" s="17" t="n"/>
      <ns0:c r="P128" s="17" t="n"/>
      <ns0:c r="Q128" s="17" t="n"/>
      <ns0:c r="R128" s="17" t="n"/>
      <ns0:c r="S128" s="17" t="n"/>
      <ns0:c r="T128" s="17" t="n"/>
      <ns0:c r="U128" s="17" t="n"/>
      <ns0:c r="V128" s="17" t="n"/>
      <ns0:c r="W128" s="17" t="n"/>
      <ns0:c r="X128" s="17" t="n"/>
      <ns0:c r="Y128" s="17" t="n"/>
      <ns0:c r="Z128" s="17" t="n"/>
      <ns0:c r="AA128" s="17" t="n"/>
      <ns0:c r="AB128" s="17" t="n"/>
      <ns0:c r="AC128" s="17" t="n"/>
      <ns0:c r="AD128" s="17" t="n"/>
      <ns0:c r="AE128" s="17" t="n"/>
      <ns0:c r="AF128" s="17" t="n"/>
      <ns0:c r="AG128" s="17" t="n"/>
    </ns0:row>
    <ns0:row r="129" ht="24" customHeight="1">
      <ns0:c r="D129" s="17" t="n"/>
      <ns0:c r="E129" s="17" t="n"/>
      <ns0:c r="F129" s="17" t="n"/>
      <ns0:c r="G129" s="17" t="n"/>
      <ns0:c r="H129" s="17" t="n"/>
      <ns0:c r="I129" s="17" t="n"/>
      <ns0:c r="J129" s="17" t="n"/>
      <ns0:c r="K129" s="17" t="n"/>
      <ns0:c r="L129" s="17" t="n"/>
      <ns0:c r="M129" s="17" t="n"/>
      <ns0:c r="N129" s="17" t="n"/>
      <ns0:c r="O129" s="17" t="n"/>
      <ns0:c r="P129" s="17" t="n"/>
      <ns0:c r="Q129" s="17" t="n"/>
      <ns0:c r="R129" s="17" t="n"/>
      <ns0:c r="S129" s="17" t="n"/>
      <ns0:c r="T129" s="17" t="n"/>
      <ns0:c r="U129" s="17" t="n"/>
      <ns0:c r="V129" s="17" t="n"/>
      <ns0:c r="W129" s="17" t="n"/>
      <ns0:c r="X129" s="17" t="n"/>
      <ns0:c r="Y129" s="17" t="n"/>
      <ns0:c r="Z129" s="17" t="n"/>
      <ns0:c r="AA129" s="17" t="n"/>
      <ns0:c r="AB129" s="17" t="n"/>
      <ns0:c r="AC129" s="17" t="n"/>
      <ns0:c r="AD129" s="17" t="n"/>
      <ns0:c r="AE129" s="17" t="n"/>
      <ns0:c r="AF129" s="17" t="n"/>
      <ns0:c r="AG129" s="17" t="n"/>
    </ns0:row>
    <ns0:row r="130" ht="24" customHeight="1">
      <ns0:c r="D130" s="17" t="n"/>
      <ns0:c r="E130" s="17" t="n"/>
      <ns0:c r="F130" s="17" t="n"/>
      <ns0:c r="G130" s="17" t="n"/>
      <ns0:c r="H130" s="17" t="n"/>
      <ns0:c r="I130" s="17" t="n"/>
      <ns0:c r="J130" s="17" t="n"/>
      <ns0:c r="K130" s="17" t="n"/>
      <ns0:c r="L130" s="17" t="n"/>
      <ns0:c r="M130" s="17" t="n"/>
      <ns0:c r="N130" s="17" t="n"/>
      <ns0:c r="O130" s="17" t="n"/>
      <ns0:c r="P130" s="17" t="n"/>
      <ns0:c r="Q130" s="17" t="n"/>
      <ns0:c r="R130" s="17" t="n"/>
      <ns0:c r="S130" s="17" t="n"/>
      <ns0:c r="T130" s="17" t="n"/>
      <ns0:c r="U130" s="17" t="n"/>
      <ns0:c r="V130" s="17" t="n"/>
      <ns0:c r="W130" s="17" t="n"/>
      <ns0:c r="X130" s="17" t="n"/>
      <ns0:c r="Y130" s="17" t="n"/>
      <ns0:c r="Z130" s="17" t="n"/>
      <ns0:c r="AA130" s="17" t="n"/>
      <ns0:c r="AB130" s="17" t="n"/>
      <ns0:c r="AC130" s="17" t="n"/>
      <ns0:c r="AD130" s="17" t="n"/>
      <ns0:c r="AE130" s="17" t="n"/>
      <ns0:c r="AF130" s="17" t="n"/>
      <ns0:c r="AG130" s="17" t="n"/>
    </ns0:row>
    <ns0:row r="131" ht="24" customHeight="1">
      <ns0:c r="D131" s="17" t="n"/>
      <ns0:c r="E131" s="17" t="n"/>
      <ns0:c r="F131" s="17" t="n"/>
      <ns0:c r="G131" s="17" t="n"/>
      <ns0:c r="H131" s="17" t="n"/>
      <ns0:c r="I131" s="17" t="n"/>
      <ns0:c r="J131" s="17" t="n"/>
      <ns0:c r="K131" s="17" t="n"/>
      <ns0:c r="L131" s="17" t="n"/>
      <ns0:c r="M131" s="17" t="n"/>
      <ns0:c r="N131" s="17" t="n"/>
      <ns0:c r="O131" s="17" t="n"/>
      <ns0:c r="P131" s="17" t="n"/>
      <ns0:c r="Q131" s="17" t="n"/>
      <ns0:c r="R131" s="17" t="n"/>
      <ns0:c r="S131" s="17" t="n"/>
      <ns0:c r="T131" s="17" t="n"/>
      <ns0:c r="U131" s="17" t="n"/>
      <ns0:c r="V131" s="17" t="n"/>
      <ns0:c r="W131" s="17" t="n"/>
      <ns0:c r="X131" s="17" t="n"/>
      <ns0:c r="Y131" s="17" t="n"/>
      <ns0:c r="Z131" s="17" t="n"/>
      <ns0:c r="AA131" s="17" t="n"/>
      <ns0:c r="AB131" s="17" t="n"/>
      <ns0:c r="AC131" s="17" t="n"/>
      <ns0:c r="AD131" s="17" t="n"/>
      <ns0:c r="AE131" s="17" t="n"/>
      <ns0:c r="AF131" s="17" t="n"/>
      <ns0:c r="AG131" s="17" t="n"/>
    </ns0:row>
    <ns0:row r="132" ht="24" customHeight="1">
      <ns0:c r="D132" s="17" t="n"/>
      <ns0:c r="E132" s="17" t="n"/>
      <ns0:c r="F132" s="17" t="n"/>
      <ns0:c r="G132" s="17" t="n"/>
      <ns0:c r="H132" s="17" t="n"/>
      <ns0:c r="I132" s="17" t="n"/>
      <ns0:c r="J132" s="17" t="n"/>
      <ns0:c r="K132" s="17" t="n"/>
      <ns0:c r="L132" s="17" t="n"/>
      <ns0:c r="M132" s="17" t="n"/>
      <ns0:c r="N132" s="17" t="n"/>
      <ns0:c r="O132" s="17" t="n"/>
      <ns0:c r="P132" s="17" t="n"/>
      <ns0:c r="Q132" s="17" t="n"/>
      <ns0:c r="R132" s="17" t="n"/>
      <ns0:c r="S132" s="17" t="n"/>
      <ns0:c r="T132" s="17" t="n"/>
      <ns0:c r="U132" s="17" t="n"/>
      <ns0:c r="V132" s="17" t="n"/>
      <ns0:c r="W132" s="17" t="n"/>
      <ns0:c r="X132" s="17" t="n"/>
      <ns0:c r="Y132" s="17" t="n"/>
      <ns0:c r="Z132" s="17" t="n"/>
      <ns0:c r="AA132" s="17" t="n"/>
      <ns0:c r="AB132" s="17" t="n"/>
      <ns0:c r="AC132" s="17" t="n"/>
      <ns0:c r="AD132" s="17" t="n"/>
      <ns0:c r="AE132" s="17" t="n"/>
      <ns0:c r="AF132" s="17" t="n"/>
      <ns0:c r="AG132" s="17" t="n"/>
    </ns0:row>
    <ns0:row r="133" ht="24" customHeight="1">
      <ns0:c r="D133" s="17" t="n"/>
      <ns0:c r="E133" s="17" t="n"/>
      <ns0:c r="F133" s="17" t="n"/>
      <ns0:c r="G133" s="17" t="n"/>
      <ns0:c r="H133" s="17" t="n"/>
      <ns0:c r="I133" s="17" t="n"/>
      <ns0:c r="J133" s="17" t="n"/>
      <ns0:c r="K133" s="17" t="n"/>
      <ns0:c r="L133" s="17" t="n"/>
      <ns0:c r="M133" s="17" t="n"/>
      <ns0:c r="N133" s="17" t="n"/>
      <ns0:c r="O133" s="17" t="n"/>
      <ns0:c r="P133" s="17" t="n"/>
      <ns0:c r="Q133" s="17" t="n"/>
      <ns0:c r="R133" s="17" t="n"/>
      <ns0:c r="S133" s="17" t="n"/>
      <ns0:c r="T133" s="17" t="n"/>
      <ns0:c r="U133" s="17" t="n"/>
      <ns0:c r="V133" s="17" t="n"/>
      <ns0:c r="W133" s="17" t="n"/>
      <ns0:c r="X133" s="17" t="n"/>
      <ns0:c r="Y133" s="17" t="n"/>
      <ns0:c r="Z133" s="17" t="n"/>
      <ns0:c r="AA133" s="17" t="n"/>
      <ns0:c r="AB133" s="17" t="n"/>
      <ns0:c r="AC133" s="17" t="n"/>
      <ns0:c r="AD133" s="17" t="n"/>
      <ns0:c r="AE133" s="17" t="n"/>
      <ns0:c r="AF133" s="17" t="n"/>
      <ns0:c r="AG133" s="17" t="n"/>
    </ns0:row>
    <ns0:row r="134" ht="24" customHeight="1">
      <ns0:c r="D134" s="17" t="n"/>
      <ns0:c r="E134" s="17" t="n"/>
      <ns0:c r="F134" s="17" t="n"/>
      <ns0:c r="G134" s="17" t="n"/>
      <ns0:c r="H134" s="17" t="n"/>
      <ns0:c r="I134" s="17" t="n"/>
      <ns0:c r="J134" s="17" t="n"/>
      <ns0:c r="K134" s="17" t="n"/>
      <ns0:c r="L134" s="17" t="n"/>
      <ns0:c r="M134" s="17" t="n"/>
      <ns0:c r="N134" s="17" t="n"/>
      <ns0:c r="O134" s="17" t="n"/>
      <ns0:c r="P134" s="17" t="n"/>
      <ns0:c r="Q134" s="17" t="n"/>
      <ns0:c r="R134" s="17" t="n"/>
      <ns0:c r="S134" s="17" t="n"/>
      <ns0:c r="T134" s="17" t="n"/>
      <ns0:c r="U134" s="17" t="n"/>
      <ns0:c r="V134" s="17" t="n"/>
      <ns0:c r="W134" s="17" t="n"/>
      <ns0:c r="X134" s="17" t="n"/>
      <ns0:c r="Y134" s="17" t="n"/>
      <ns0:c r="Z134" s="17" t="n"/>
      <ns0:c r="AA134" s="17" t="n"/>
      <ns0:c r="AB134" s="17" t="n"/>
      <ns0:c r="AC134" s="17" t="n"/>
      <ns0:c r="AD134" s="17" t="n"/>
      <ns0:c r="AE134" s="17" t="n"/>
      <ns0:c r="AF134" s="17" t="n"/>
      <ns0:c r="AG134" s="17" t="n"/>
    </ns0:row>
    <ns0:row r="135" ht="24" customHeight="1">
      <ns0:c r="D135" s="17" t="n"/>
      <ns0:c r="E135" s="17" t="n"/>
      <ns0:c r="F135" s="17" t="n"/>
      <ns0:c r="G135" s="17" t="n"/>
      <ns0:c r="H135" s="17" t="n"/>
      <ns0:c r="I135" s="17" t="n"/>
      <ns0:c r="J135" s="17" t="n"/>
      <ns0:c r="K135" s="17" t="n"/>
      <ns0:c r="L135" s="17" t="n"/>
      <ns0:c r="M135" s="17" t="n"/>
      <ns0:c r="N135" s="17" t="n"/>
      <ns0:c r="O135" s="17" t="n"/>
      <ns0:c r="P135" s="17" t="n"/>
      <ns0:c r="Q135" s="17" t="n"/>
      <ns0:c r="R135" s="17" t="n"/>
      <ns0:c r="S135" s="17" t="n"/>
      <ns0:c r="T135" s="17" t="n"/>
      <ns0:c r="U135" s="17" t="n"/>
      <ns0:c r="V135" s="17" t="n"/>
      <ns0:c r="W135" s="17" t="n"/>
      <ns0:c r="X135" s="17" t="n"/>
      <ns0:c r="Y135" s="17" t="n"/>
      <ns0:c r="Z135" s="17" t="n"/>
      <ns0:c r="AA135" s="17" t="n"/>
      <ns0:c r="AB135" s="17" t="n"/>
      <ns0:c r="AC135" s="17" t="n"/>
      <ns0:c r="AD135" s="17" t="n"/>
      <ns0:c r="AE135" s="17" t="n"/>
      <ns0:c r="AF135" s="17" t="n"/>
      <ns0:c r="AG135" s="17" t="n"/>
    </ns0:row>
    <ns0:row r="136" ht="24" customHeight="1">
      <ns0:c r="D136" s="17" t="n"/>
      <ns0:c r="E136" s="17" t="n"/>
      <ns0:c r="F136" s="17" t="n"/>
      <ns0:c r="G136" s="17" t="n"/>
      <ns0:c r="H136" s="17" t="n"/>
      <ns0:c r="I136" s="17" t="n"/>
      <ns0:c r="J136" s="17" t="n"/>
      <ns0:c r="K136" s="17" t="n"/>
      <ns0:c r="L136" s="17" t="n"/>
      <ns0:c r="M136" s="17" t="n"/>
      <ns0:c r="N136" s="17" t="n"/>
      <ns0:c r="O136" s="17" t="n"/>
      <ns0:c r="P136" s="17" t="n"/>
      <ns0:c r="Q136" s="17" t="n"/>
      <ns0:c r="R136" s="17" t="n"/>
      <ns0:c r="S136" s="17" t="n"/>
      <ns0:c r="T136" s="17" t="n"/>
      <ns0:c r="U136" s="17" t="n"/>
      <ns0:c r="V136" s="17" t="n"/>
      <ns0:c r="W136" s="17" t="n"/>
      <ns0:c r="X136" s="17" t="n"/>
      <ns0:c r="Y136" s="17" t="n"/>
      <ns0:c r="Z136" s="17" t="n"/>
      <ns0:c r="AA136" s="17" t="n"/>
      <ns0:c r="AB136" s="17" t="n"/>
      <ns0:c r="AC136" s="17" t="n"/>
      <ns0:c r="AD136" s="17" t="n"/>
      <ns0:c r="AE136" s="17" t="n"/>
      <ns0:c r="AF136" s="17" t="n"/>
      <ns0:c r="AG136" s="17" t="n"/>
    </ns0:row>
    <ns0:row r="137" ht="24" customHeight="1">
      <ns0:c r="D137" s="17" t="n"/>
      <ns0:c r="E137" s="17" t="n"/>
      <ns0:c r="F137" s="17" t="n"/>
      <ns0:c r="G137" s="17" t="n"/>
      <ns0:c r="H137" s="17" t="n"/>
      <ns0:c r="I137" s="17" t="n"/>
      <ns0:c r="J137" s="17" t="n"/>
      <ns0:c r="K137" s="17" t="n"/>
      <ns0:c r="L137" s="17" t="n"/>
      <ns0:c r="M137" s="17" t="n"/>
      <ns0:c r="N137" s="17" t="n"/>
      <ns0:c r="O137" s="17" t="n"/>
      <ns0:c r="P137" s="17" t="n"/>
      <ns0:c r="Q137" s="17" t="n"/>
      <ns0:c r="R137" s="17" t="n"/>
      <ns0:c r="S137" s="17" t="n"/>
      <ns0:c r="T137" s="17" t="n"/>
      <ns0:c r="U137" s="17" t="n"/>
      <ns0:c r="V137" s="17" t="n"/>
      <ns0:c r="W137" s="17" t="n"/>
      <ns0:c r="X137" s="17" t="n"/>
      <ns0:c r="Y137" s="17" t="n"/>
      <ns0:c r="Z137" s="17" t="n"/>
      <ns0:c r="AA137" s="17" t="n"/>
      <ns0:c r="AB137" s="17" t="n"/>
      <ns0:c r="AC137" s="17" t="n"/>
      <ns0:c r="AD137" s="17" t="n"/>
      <ns0:c r="AE137" s="17" t="n"/>
      <ns0:c r="AF137" s="17" t="n"/>
      <ns0:c r="AG137" s="17" t="n"/>
    </ns0:row>
    <ns0:row r="138" ht="24" customHeight="1">
      <ns0:c r="D138" s="17" t="n"/>
      <ns0:c r="E138" s="17" t="n"/>
      <ns0:c r="F138" s="17" t="n"/>
      <ns0:c r="G138" s="17" t="n"/>
      <ns0:c r="H138" s="17" t="n"/>
      <ns0:c r="I138" s="17" t="n"/>
      <ns0:c r="J138" s="17" t="n"/>
      <ns0:c r="K138" s="17" t="n"/>
      <ns0:c r="L138" s="17" t="n"/>
      <ns0:c r="M138" s="17" t="n"/>
      <ns0:c r="N138" s="17" t="n"/>
      <ns0:c r="O138" s="17" t="n"/>
      <ns0:c r="P138" s="17" t="n"/>
      <ns0:c r="Q138" s="17" t="n"/>
      <ns0:c r="R138" s="17" t="n"/>
      <ns0:c r="S138" s="17" t="n"/>
      <ns0:c r="T138" s="17" t="n"/>
      <ns0:c r="U138" s="17" t="n"/>
      <ns0:c r="V138" s="17" t="n"/>
      <ns0:c r="W138" s="17" t="n"/>
      <ns0:c r="X138" s="17" t="n"/>
      <ns0:c r="Y138" s="17" t="n"/>
      <ns0:c r="Z138" s="17" t="n"/>
      <ns0:c r="AA138" s="17" t="n"/>
      <ns0:c r="AB138" s="17" t="n"/>
      <ns0:c r="AC138" s="17" t="n"/>
      <ns0:c r="AD138" s="17" t="n"/>
      <ns0:c r="AE138" s="17" t="n"/>
      <ns0:c r="AF138" s="17" t="n"/>
      <ns0:c r="AG138" s="17" t="n"/>
    </ns0:row>
    <ns0:row r="139" ht="24" customHeight="1">
      <ns0:c r="D139" s="17" t="n"/>
      <ns0:c r="E139" s="17" t="n"/>
      <ns0:c r="F139" s="17" t="n"/>
      <ns0:c r="G139" s="17" t="n"/>
      <ns0:c r="H139" s="17" t="n"/>
      <ns0:c r="I139" s="17" t="n"/>
      <ns0:c r="J139" s="17" t="n"/>
      <ns0:c r="K139" s="17" t="n"/>
      <ns0:c r="L139" s="17" t="n"/>
      <ns0:c r="M139" s="17" t="n"/>
      <ns0:c r="N139" s="17" t="n"/>
      <ns0:c r="O139" s="17" t="n"/>
      <ns0:c r="P139" s="17" t="n"/>
      <ns0:c r="Q139" s="17" t="n"/>
      <ns0:c r="R139" s="17" t="n"/>
      <ns0:c r="S139" s="17" t="n"/>
      <ns0:c r="T139" s="17" t="n"/>
      <ns0:c r="U139" s="17" t="n"/>
      <ns0:c r="V139" s="17" t="n"/>
      <ns0:c r="W139" s="17" t="n"/>
      <ns0:c r="X139" s="17" t="n"/>
      <ns0:c r="Y139" s="17" t="n"/>
      <ns0:c r="Z139" s="17" t="n"/>
      <ns0:c r="AA139" s="17" t="n"/>
      <ns0:c r="AB139" s="17" t="n"/>
      <ns0:c r="AC139" s="17" t="n"/>
      <ns0:c r="AD139" s="17" t="n"/>
      <ns0:c r="AE139" s="17" t="n"/>
      <ns0:c r="AF139" s="17" t="n"/>
      <ns0:c r="AG139" s="17" t="n"/>
    </ns0:row>
    <ns0:row r="140" ht="24" customHeight="1">
      <ns0:c r="D140" s="17" t="n"/>
      <ns0:c r="E140" s="17" t="n"/>
      <ns0:c r="F140" s="17" t="n"/>
      <ns0:c r="G140" s="17" t="n"/>
      <ns0:c r="H140" s="17" t="n"/>
      <ns0:c r="I140" s="17" t="n"/>
      <ns0:c r="J140" s="17" t="n"/>
      <ns0:c r="K140" s="17" t="n"/>
      <ns0:c r="L140" s="17" t="n"/>
      <ns0:c r="M140" s="17" t="n"/>
      <ns0:c r="N140" s="17" t="n"/>
      <ns0:c r="O140" s="17" t="n"/>
      <ns0:c r="P140" s="17" t="n"/>
      <ns0:c r="Q140" s="17" t="n"/>
      <ns0:c r="R140" s="17" t="n"/>
      <ns0:c r="S140" s="17" t="n"/>
      <ns0:c r="T140" s="17" t="n"/>
      <ns0:c r="U140" s="17" t="n"/>
      <ns0:c r="V140" s="17" t="n"/>
      <ns0:c r="W140" s="17" t="n"/>
      <ns0:c r="X140" s="17" t="n"/>
      <ns0:c r="Y140" s="17" t="n"/>
      <ns0:c r="Z140" s="17" t="n"/>
      <ns0:c r="AA140" s="17" t="n"/>
      <ns0:c r="AB140" s="17" t="n"/>
      <ns0:c r="AC140" s="17" t="n"/>
      <ns0:c r="AD140" s="17" t="n"/>
      <ns0:c r="AE140" s="17" t="n"/>
      <ns0:c r="AF140" s="17" t="n"/>
      <ns0:c r="AG140" s="17" t="n"/>
    </ns0:row>
    <ns0:row r="141" ht="24" customHeight="1">
      <ns0:c r="D141" s="17" t="n"/>
      <ns0:c r="E141" s="17" t="n"/>
      <ns0:c r="F141" s="17" t="n"/>
      <ns0:c r="G141" s="17" t="n"/>
      <ns0:c r="H141" s="17" t="n"/>
      <ns0:c r="I141" s="17" t="n"/>
      <ns0:c r="J141" s="17" t="n"/>
      <ns0:c r="K141" s="17" t="n"/>
      <ns0:c r="L141" s="17" t="n"/>
      <ns0:c r="M141" s="17" t="n"/>
      <ns0:c r="N141" s="17" t="n"/>
      <ns0:c r="O141" s="17" t="n"/>
      <ns0:c r="P141" s="17" t="n"/>
      <ns0:c r="Q141" s="17" t="n"/>
      <ns0:c r="R141" s="17" t="n"/>
      <ns0:c r="S141" s="17" t="n"/>
      <ns0:c r="T141" s="17" t="n"/>
      <ns0:c r="U141" s="17" t="n"/>
      <ns0:c r="V141" s="17" t="n"/>
      <ns0:c r="W141" s="17" t="n"/>
      <ns0:c r="X141" s="17" t="n"/>
      <ns0:c r="Y141" s="17" t="n"/>
      <ns0:c r="Z141" s="17" t="n"/>
      <ns0:c r="AA141" s="17" t="n"/>
      <ns0:c r="AB141" s="17" t="n"/>
      <ns0:c r="AC141" s="17" t="n"/>
      <ns0:c r="AD141" s="17" t="n"/>
      <ns0:c r="AE141" s="17" t="n"/>
      <ns0:c r="AF141" s="17" t="n"/>
      <ns0:c r="AG141" s="17" t="n"/>
    </ns0:row>
    <ns0:row r="142" ht="24" customHeight="1">
      <ns0:c r="D142" s="17" t="n"/>
      <ns0:c r="E142" s="17" t="n"/>
      <ns0:c r="F142" s="17" t="n"/>
      <ns0:c r="G142" s="17" t="n"/>
      <ns0:c r="H142" s="17" t="n"/>
      <ns0:c r="I142" s="17" t="n"/>
      <ns0:c r="J142" s="17" t="n"/>
      <ns0:c r="K142" s="17" t="n"/>
      <ns0:c r="L142" s="17" t="n"/>
      <ns0:c r="M142" s="17" t="n"/>
      <ns0:c r="N142" s="17" t="n"/>
      <ns0:c r="O142" s="17" t="n"/>
      <ns0:c r="P142" s="17" t="n"/>
      <ns0:c r="Q142" s="17" t="n"/>
      <ns0:c r="R142" s="17" t="n"/>
      <ns0:c r="S142" s="17" t="n"/>
      <ns0:c r="T142" s="17" t="n"/>
      <ns0:c r="U142" s="17" t="n"/>
      <ns0:c r="V142" s="17" t="n"/>
      <ns0:c r="W142" s="17" t="n"/>
      <ns0:c r="X142" s="17" t="n"/>
      <ns0:c r="Y142" s="17" t="n"/>
      <ns0:c r="Z142" s="17" t="n"/>
      <ns0:c r="AA142" s="17" t="n"/>
      <ns0:c r="AB142" s="17" t="n"/>
      <ns0:c r="AC142" s="17" t="n"/>
      <ns0:c r="AD142" s="17" t="n"/>
      <ns0:c r="AE142" s="17" t="n"/>
      <ns0:c r="AF142" s="17" t="n"/>
      <ns0:c r="AG142" s="17" t="n"/>
    </ns0:row>
    <ns0:row r="143" ht="24" customHeight="1">
      <ns0:c r="D143" s="17" t="n"/>
      <ns0:c r="E143" s="17" t="n"/>
      <ns0:c r="F143" s="17" t="n"/>
      <ns0:c r="G143" s="17" t="n"/>
      <ns0:c r="H143" s="17" t="n"/>
      <ns0:c r="I143" s="17" t="n"/>
      <ns0:c r="J143" s="17" t="n"/>
      <ns0:c r="K143" s="17" t="n"/>
      <ns0:c r="L143" s="17" t="n"/>
      <ns0:c r="M143" s="17" t="n"/>
      <ns0:c r="N143" s="17" t="n"/>
      <ns0:c r="O143" s="17" t="n"/>
      <ns0:c r="P143" s="17" t="n"/>
      <ns0:c r="Q143" s="17" t="n"/>
      <ns0:c r="R143" s="17" t="n"/>
      <ns0:c r="S143" s="17" t="n"/>
      <ns0:c r="T143" s="17" t="n"/>
      <ns0:c r="U143" s="17" t="n"/>
      <ns0:c r="V143" s="17" t="n"/>
      <ns0:c r="W143" s="17" t="n"/>
      <ns0:c r="X143" s="17" t="n"/>
      <ns0:c r="Y143" s="17" t="n"/>
      <ns0:c r="Z143" s="17" t="n"/>
      <ns0:c r="AA143" s="17" t="n"/>
      <ns0:c r="AB143" s="17" t="n"/>
      <ns0:c r="AC143" s="17" t="n"/>
      <ns0:c r="AD143" s="17" t="n"/>
      <ns0:c r="AE143" s="17" t="n"/>
      <ns0:c r="AF143" s="17" t="n"/>
      <ns0:c r="AG143" s="17" t="n"/>
    </ns0:row>
    <ns0:row r="144" ht="24" customHeight="1">
      <ns0:c r="D144" s="17" t="n"/>
      <ns0:c r="E144" s="17" t="n"/>
      <ns0:c r="F144" s="17" t="n"/>
      <ns0:c r="G144" s="17" t="n"/>
      <ns0:c r="H144" s="17" t="n"/>
      <ns0:c r="I144" s="17" t="n"/>
      <ns0:c r="J144" s="17" t="n"/>
      <ns0:c r="K144" s="17" t="n"/>
      <ns0:c r="L144" s="17" t="n"/>
      <ns0:c r="M144" s="17" t="n"/>
      <ns0:c r="N144" s="17" t="n"/>
      <ns0:c r="O144" s="17" t="n"/>
      <ns0:c r="P144" s="17" t="n"/>
      <ns0:c r="Q144" s="17" t="n"/>
      <ns0:c r="R144" s="17" t="n"/>
      <ns0:c r="S144" s="17" t="n"/>
      <ns0:c r="T144" s="17" t="n"/>
      <ns0:c r="U144" s="17" t="n"/>
      <ns0:c r="V144" s="17" t="n"/>
      <ns0:c r="W144" s="17" t="n"/>
      <ns0:c r="X144" s="17" t="n"/>
      <ns0:c r="Y144" s="17" t="n"/>
      <ns0:c r="Z144" s="17" t="n"/>
      <ns0:c r="AA144" s="17" t="n"/>
      <ns0:c r="AB144" s="17" t="n"/>
      <ns0:c r="AC144" s="17" t="n"/>
      <ns0:c r="AD144" s="17" t="n"/>
      <ns0:c r="AE144" s="17" t="n"/>
      <ns0:c r="AF144" s="17" t="n"/>
      <ns0:c r="AG144" s="17" t="n"/>
    </ns0:row>
    <ns0:row r="145" ht="24" customHeight="1">
      <ns0:c r="D145" s="17" t="n"/>
      <ns0:c r="E145" s="17" t="n"/>
      <ns0:c r="F145" s="17" t="n"/>
      <ns0:c r="G145" s="17" t="n"/>
      <ns0:c r="H145" s="17" t="n"/>
      <ns0:c r="I145" s="17" t="n"/>
      <ns0:c r="J145" s="17" t="n"/>
      <ns0:c r="K145" s="17" t="n"/>
      <ns0:c r="L145" s="17" t="n"/>
      <ns0:c r="M145" s="17" t="n"/>
      <ns0:c r="N145" s="17" t="n"/>
      <ns0:c r="O145" s="17" t="n"/>
      <ns0:c r="P145" s="17" t="n"/>
      <ns0:c r="Q145" s="17" t="n"/>
      <ns0:c r="R145" s="17" t="n"/>
      <ns0:c r="S145" s="17" t="n"/>
      <ns0:c r="T145" s="17" t="n"/>
      <ns0:c r="U145" s="17" t="n"/>
      <ns0:c r="V145" s="17" t="n"/>
      <ns0:c r="W145" s="17" t="n"/>
      <ns0:c r="X145" s="17" t="n"/>
      <ns0:c r="Y145" s="17" t="n"/>
      <ns0:c r="Z145" s="17" t="n"/>
      <ns0:c r="AA145" s="17" t="n"/>
      <ns0:c r="AB145" s="17" t="n"/>
      <ns0:c r="AC145" s="17" t="n"/>
      <ns0:c r="AD145" s="17" t="n"/>
      <ns0:c r="AE145" s="17" t="n"/>
      <ns0:c r="AF145" s="17" t="n"/>
      <ns0:c r="AG145" s="17" t="n"/>
    </ns0:row>
    <ns0:row r="146" ht="24" customHeight="1">
      <ns0:c r="D146" s="17" t="n"/>
      <ns0:c r="E146" s="17" t="n"/>
      <ns0:c r="F146" s="17" t="n"/>
      <ns0:c r="G146" s="17" t="n"/>
      <ns0:c r="H146" s="17" t="n"/>
      <ns0:c r="I146" s="17" t="n"/>
      <ns0:c r="J146" s="17" t="n"/>
      <ns0:c r="K146" s="17" t="n"/>
      <ns0:c r="L146" s="17" t="n"/>
      <ns0:c r="M146" s="17" t="n"/>
      <ns0:c r="N146" s="17" t="n"/>
      <ns0:c r="O146" s="17" t="n"/>
      <ns0:c r="P146" s="17" t="n"/>
      <ns0:c r="Q146" s="17" t="n"/>
      <ns0:c r="R146" s="17" t="n"/>
      <ns0:c r="S146" s="17" t="n"/>
      <ns0:c r="T146" s="17" t="n"/>
      <ns0:c r="U146" s="17" t="n"/>
      <ns0:c r="V146" s="17" t="n"/>
      <ns0:c r="W146" s="17" t="n"/>
      <ns0:c r="X146" s="17" t="n"/>
      <ns0:c r="Y146" s="17" t="n"/>
      <ns0:c r="Z146" s="17" t="n"/>
      <ns0:c r="AA146" s="17" t="n"/>
      <ns0:c r="AB146" s="17" t="n"/>
      <ns0:c r="AC146" s="17" t="n"/>
      <ns0:c r="AD146" s="17" t="n"/>
      <ns0:c r="AE146" s="17" t="n"/>
      <ns0:c r="AF146" s="17" t="n"/>
      <ns0:c r="AG146" s="17" t="n"/>
    </ns0:row>
    <ns0:row r="147" ht="24" customHeight="1">
      <ns0:c r="D147" s="17" t="n"/>
      <ns0:c r="E147" s="17" t="n"/>
      <ns0:c r="F147" s="17" t="n"/>
      <ns0:c r="G147" s="17" t="n"/>
      <ns0:c r="H147" s="17" t="n"/>
      <ns0:c r="I147" s="17" t="n"/>
      <ns0:c r="J147" s="17" t="n"/>
      <ns0:c r="K147" s="17" t="n"/>
      <ns0:c r="L147" s="17" t="n"/>
      <ns0:c r="M147" s="17" t="n"/>
      <ns0:c r="N147" s="17" t="n"/>
      <ns0:c r="O147" s="17" t="n"/>
      <ns0:c r="P147" s="17" t="n"/>
      <ns0:c r="Q147" s="17" t="n"/>
      <ns0:c r="R147" s="17" t="n"/>
      <ns0:c r="S147" s="17" t="n"/>
      <ns0:c r="T147" s="17" t="n"/>
      <ns0:c r="U147" s="17" t="n"/>
      <ns0:c r="V147" s="17" t="n"/>
      <ns0:c r="W147" s="17" t="n"/>
      <ns0:c r="X147" s="17" t="n"/>
      <ns0:c r="Y147" s="17" t="n"/>
      <ns0:c r="Z147" s="17" t="n"/>
      <ns0:c r="AA147" s="17" t="n"/>
      <ns0:c r="AB147" s="17" t="n"/>
      <ns0:c r="AC147" s="17" t="n"/>
      <ns0:c r="AD147" s="17" t="n"/>
      <ns0:c r="AE147" s="17" t="n"/>
      <ns0:c r="AF147" s="17" t="n"/>
      <ns0:c r="AG147" s="17" t="n"/>
    </ns0:row>
    <ns0:row r="148" ht="24" customHeight="1">
      <ns0:c r="D148" s="17" t="n"/>
      <ns0:c r="E148" s="17" t="n"/>
      <ns0:c r="F148" s="17" t="n"/>
      <ns0:c r="G148" s="17" t="n"/>
      <ns0:c r="H148" s="17" t="n"/>
      <ns0:c r="I148" s="17" t="n"/>
      <ns0:c r="J148" s="17" t="n"/>
      <ns0:c r="K148" s="17" t="n"/>
      <ns0:c r="L148" s="17" t="n"/>
      <ns0:c r="M148" s="17" t="n"/>
      <ns0:c r="N148" s="17" t="n"/>
      <ns0:c r="O148" s="17" t="n"/>
      <ns0:c r="P148" s="17" t="n"/>
      <ns0:c r="Q148" s="17" t="n"/>
      <ns0:c r="R148" s="17" t="n"/>
      <ns0:c r="S148" s="17" t="n"/>
      <ns0:c r="T148" s="17" t="n"/>
      <ns0:c r="U148" s="17" t="n"/>
      <ns0:c r="V148" s="17" t="n"/>
      <ns0:c r="W148" s="17" t="n"/>
      <ns0:c r="X148" s="17" t="n"/>
      <ns0:c r="Y148" s="17" t="n"/>
      <ns0:c r="Z148" s="17" t="n"/>
      <ns0:c r="AA148" s="17" t="n"/>
      <ns0:c r="AB148" s="17" t="n"/>
      <ns0:c r="AC148" s="17" t="n"/>
      <ns0:c r="AD148" s="17" t="n"/>
      <ns0:c r="AE148" s="17" t="n"/>
      <ns0:c r="AF148" s="17" t="n"/>
      <ns0:c r="AG148" s="17" t="n"/>
    </ns0:row>
    <ns0:row r="149" ht="24" customHeight="1">
      <ns0:c r="D149" s="17" t="n"/>
      <ns0:c r="E149" s="17" t="n"/>
      <ns0:c r="F149" s="17" t="n"/>
      <ns0:c r="G149" s="17" t="n"/>
      <ns0:c r="H149" s="17" t="n"/>
      <ns0:c r="I149" s="17" t="n"/>
      <ns0:c r="J149" s="17" t="n"/>
      <ns0:c r="K149" s="17" t="n"/>
      <ns0:c r="L149" s="17" t="n"/>
      <ns0:c r="M149" s="17" t="n"/>
      <ns0:c r="N149" s="17" t="n"/>
      <ns0:c r="O149" s="17" t="n"/>
      <ns0:c r="P149" s="17" t="n"/>
      <ns0:c r="Q149" s="17" t="n"/>
      <ns0:c r="R149" s="17" t="n"/>
      <ns0:c r="S149" s="17" t="n"/>
      <ns0:c r="T149" s="17" t="n"/>
      <ns0:c r="U149" s="17" t="n"/>
      <ns0:c r="V149" s="17" t="n"/>
      <ns0:c r="W149" s="17" t="n"/>
      <ns0:c r="X149" s="17" t="n"/>
      <ns0:c r="Y149" s="17" t="n"/>
      <ns0:c r="Z149" s="17" t="n"/>
      <ns0:c r="AA149" s="17" t="n"/>
      <ns0:c r="AB149" s="17" t="n"/>
      <ns0:c r="AC149" s="17" t="n"/>
      <ns0:c r="AD149" s="17" t="n"/>
      <ns0:c r="AE149" s="17" t="n"/>
      <ns0:c r="AF149" s="17" t="n"/>
      <ns0:c r="AG149" s="17" t="n"/>
    </ns0:row>
    <ns0:row r="150" ht="24" customHeight="1">
      <ns0:c r="D150" s="17" t="n"/>
      <ns0:c r="E150" s="17" t="n"/>
      <ns0:c r="F150" s="17" t="n"/>
      <ns0:c r="G150" s="17" t="n"/>
      <ns0:c r="H150" s="17" t="n"/>
      <ns0:c r="I150" s="17" t="n"/>
      <ns0:c r="J150" s="17" t="n"/>
      <ns0:c r="K150" s="17" t="n"/>
      <ns0:c r="L150" s="17" t="n"/>
      <ns0:c r="M150" s="17" t="n"/>
      <ns0:c r="N150" s="17" t="n"/>
      <ns0:c r="O150" s="17" t="n"/>
      <ns0:c r="P150" s="17" t="n"/>
      <ns0:c r="Q150" s="17" t="n"/>
      <ns0:c r="R150" s="17" t="n"/>
      <ns0:c r="S150" s="17" t="n"/>
      <ns0:c r="T150" s="17" t="n"/>
      <ns0:c r="U150" s="17" t="n"/>
      <ns0:c r="V150" s="17" t="n"/>
      <ns0:c r="W150" s="17" t="n"/>
      <ns0:c r="X150" s="17" t="n"/>
      <ns0:c r="Y150" s="17" t="n"/>
      <ns0:c r="Z150" s="17" t="n"/>
      <ns0:c r="AA150" s="17" t="n"/>
      <ns0:c r="AB150" s="17" t="n"/>
      <ns0:c r="AC150" s="17" t="n"/>
      <ns0:c r="AD150" s="17" t="n"/>
      <ns0:c r="AE150" s="17" t="n"/>
      <ns0:c r="AF150" s="17" t="n"/>
      <ns0:c r="AG150" s="17" t="n"/>
    </ns0:row>
    <ns0:row r="151" ht="24" customHeight="1">
      <ns0:c r="D151" s="17" t="n"/>
      <ns0:c r="E151" s="17" t="n"/>
      <ns0:c r="F151" s="17" t="n"/>
      <ns0:c r="G151" s="17" t="n"/>
      <ns0:c r="H151" s="17" t="n"/>
      <ns0:c r="I151" s="17" t="n"/>
      <ns0:c r="J151" s="17" t="n"/>
      <ns0:c r="K151" s="17" t="n"/>
      <ns0:c r="L151" s="17" t="n"/>
      <ns0:c r="M151" s="17" t="n"/>
      <ns0:c r="N151" s="17" t="n"/>
      <ns0:c r="O151" s="17" t="n"/>
      <ns0:c r="P151" s="17" t="n"/>
      <ns0:c r="Q151" s="17" t="n"/>
      <ns0:c r="R151" s="17" t="n"/>
      <ns0:c r="S151" s="17" t="n"/>
      <ns0:c r="T151" s="17" t="n"/>
      <ns0:c r="U151" s="17" t="n"/>
      <ns0:c r="V151" s="17" t="n"/>
      <ns0:c r="W151" s="17" t="n"/>
      <ns0:c r="X151" s="17" t="n"/>
      <ns0:c r="Y151" s="17" t="n"/>
      <ns0:c r="Z151" s="17" t="n"/>
      <ns0:c r="AA151" s="17" t="n"/>
      <ns0:c r="AB151" s="17" t="n"/>
      <ns0:c r="AC151" s="17" t="n"/>
      <ns0:c r="AD151" s="17" t="n"/>
      <ns0:c r="AE151" s="17" t="n"/>
      <ns0:c r="AF151" s="17" t="n"/>
      <ns0:c r="AG151" s="17" t="n"/>
    </ns0:row>
    <ns0:row r="152" ht="24" customHeight="1">
      <ns0:c r="D152" s="17" t="n"/>
      <ns0:c r="E152" s="17" t="n"/>
      <ns0:c r="F152" s="17" t="n"/>
      <ns0:c r="G152" s="17" t="n"/>
      <ns0:c r="H152" s="17" t="n"/>
      <ns0:c r="I152" s="17" t="n"/>
      <ns0:c r="J152" s="17" t="n"/>
      <ns0:c r="K152" s="17" t="n"/>
      <ns0:c r="L152" s="17" t="n"/>
      <ns0:c r="M152" s="17" t="n"/>
      <ns0:c r="N152" s="17" t="n"/>
      <ns0:c r="O152" s="17" t="n"/>
      <ns0:c r="P152" s="17" t="n"/>
      <ns0:c r="Q152" s="17" t="n"/>
      <ns0:c r="R152" s="17" t="n"/>
      <ns0:c r="S152" s="17" t="n"/>
      <ns0:c r="T152" s="17" t="n"/>
      <ns0:c r="U152" s="17" t="n"/>
      <ns0:c r="V152" s="17" t="n"/>
      <ns0:c r="W152" s="17" t="n"/>
      <ns0:c r="X152" s="17" t="n"/>
      <ns0:c r="Y152" s="17" t="n"/>
      <ns0:c r="Z152" s="17" t="n"/>
      <ns0:c r="AA152" s="17" t="n"/>
      <ns0:c r="AB152" s="17" t="n"/>
      <ns0:c r="AC152" s="17" t="n"/>
      <ns0:c r="AD152" s="17" t="n"/>
      <ns0:c r="AE152" s="17" t="n"/>
      <ns0:c r="AF152" s="17" t="n"/>
      <ns0:c r="AG152" s="17" t="n"/>
    </ns0:row>
    <ns0:row r="153" ht="24" customHeight="1">
      <ns0:c r="D153" s="17" t="n"/>
      <ns0:c r="E153" s="17" t="n"/>
      <ns0:c r="F153" s="17" t="n"/>
      <ns0:c r="G153" s="17" t="n"/>
      <ns0:c r="H153" s="17" t="n"/>
      <ns0:c r="I153" s="17" t="n"/>
      <ns0:c r="J153" s="17" t="n"/>
      <ns0:c r="K153" s="17" t="n"/>
      <ns0:c r="L153" s="17" t="n"/>
      <ns0:c r="M153" s="17" t="n"/>
      <ns0:c r="N153" s="17" t="n"/>
      <ns0:c r="O153" s="17" t="n"/>
      <ns0:c r="P153" s="17" t="n"/>
      <ns0:c r="Q153" s="17" t="n"/>
      <ns0:c r="R153" s="17" t="n"/>
      <ns0:c r="S153" s="17" t="n"/>
      <ns0:c r="T153" s="17" t="n"/>
      <ns0:c r="U153" s="17" t="n"/>
      <ns0:c r="V153" s="17" t="n"/>
      <ns0:c r="W153" s="17" t="n"/>
      <ns0:c r="X153" s="17" t="n"/>
      <ns0:c r="Y153" s="17" t="n"/>
      <ns0:c r="Z153" s="17" t="n"/>
      <ns0:c r="AA153" s="17" t="n"/>
      <ns0:c r="AB153" s="17" t="n"/>
      <ns0:c r="AC153" s="17" t="n"/>
      <ns0:c r="AD153" s="17" t="n"/>
      <ns0:c r="AE153" s="17" t="n"/>
      <ns0:c r="AF153" s="17" t="n"/>
      <ns0:c r="AG153" s="17" t="n"/>
    </ns0:row>
    <ns0:row r="154" ht="24" customHeight="1">
      <ns0:c r="D154" s="17" t="n"/>
      <ns0:c r="E154" s="17" t="n"/>
      <ns0:c r="F154" s="17" t="n"/>
      <ns0:c r="G154" s="17" t="n"/>
      <ns0:c r="H154" s="17" t="n"/>
      <ns0:c r="I154" s="17" t="n"/>
      <ns0:c r="J154" s="17" t="n"/>
      <ns0:c r="K154" s="17" t="n"/>
      <ns0:c r="L154" s="17" t="n"/>
      <ns0:c r="M154" s="17" t="n"/>
      <ns0:c r="N154" s="17" t="n"/>
      <ns0:c r="O154" s="17" t="n"/>
      <ns0:c r="P154" s="17" t="n"/>
      <ns0:c r="Q154" s="17" t="n"/>
      <ns0:c r="R154" s="17" t="n"/>
      <ns0:c r="S154" s="17" t="n"/>
      <ns0:c r="T154" s="17" t="n"/>
      <ns0:c r="U154" s="17" t="n"/>
      <ns0:c r="V154" s="17" t="n"/>
      <ns0:c r="W154" s="17" t="n"/>
      <ns0:c r="X154" s="17" t="n"/>
      <ns0:c r="Y154" s="17" t="n"/>
      <ns0:c r="Z154" s="17" t="n"/>
      <ns0:c r="AA154" s="17" t="n"/>
      <ns0:c r="AB154" s="17" t="n"/>
      <ns0:c r="AC154" s="17" t="n"/>
      <ns0:c r="AD154" s="17" t="n"/>
      <ns0:c r="AE154" s="17" t="n"/>
      <ns0:c r="AF154" s="17" t="n"/>
      <ns0:c r="AG154" s="17" t="n"/>
    </ns0:row>
    <ns0:row r="155" ht="24" customHeight="1">
      <ns0:c r="D155" s="17" t="n"/>
      <ns0:c r="E155" s="17" t="n"/>
      <ns0:c r="F155" s="17" t="n"/>
      <ns0:c r="G155" s="17" t="n"/>
      <ns0:c r="H155" s="17" t="n"/>
      <ns0:c r="I155" s="17" t="n"/>
      <ns0:c r="J155" s="17" t="n"/>
      <ns0:c r="K155" s="17" t="n"/>
      <ns0:c r="L155" s="17" t="n"/>
      <ns0:c r="M155" s="17" t="n"/>
      <ns0:c r="N155" s="17" t="n"/>
      <ns0:c r="O155" s="17" t="n"/>
      <ns0:c r="P155" s="17" t="n"/>
      <ns0:c r="Q155" s="17" t="n"/>
      <ns0:c r="R155" s="17" t="n"/>
      <ns0:c r="S155" s="17" t="n"/>
      <ns0:c r="T155" s="17" t="n"/>
      <ns0:c r="U155" s="17" t="n"/>
      <ns0:c r="V155" s="17" t="n"/>
      <ns0:c r="W155" s="17" t="n"/>
      <ns0:c r="X155" s="17" t="n"/>
      <ns0:c r="Y155" s="17" t="n"/>
      <ns0:c r="Z155" s="17" t="n"/>
      <ns0:c r="AA155" s="17" t="n"/>
      <ns0:c r="AB155" s="17" t="n"/>
      <ns0:c r="AC155" s="17" t="n"/>
      <ns0:c r="AD155" s="17" t="n"/>
      <ns0:c r="AE155" s="17" t="n"/>
      <ns0:c r="AF155" s="17" t="n"/>
      <ns0:c r="AG155" s="17" t="n"/>
    </ns0:row>
    <ns0:row r="156" ht="24" customHeight="1">
      <ns0:c r="D156" s="17" t="n"/>
      <ns0:c r="E156" s="17" t="n"/>
      <ns0:c r="F156" s="17" t="n"/>
      <ns0:c r="G156" s="17" t="n"/>
      <ns0:c r="H156" s="17" t="n"/>
      <ns0:c r="I156" s="17" t="n"/>
      <ns0:c r="J156" s="17" t="n"/>
      <ns0:c r="K156" s="17" t="n"/>
      <ns0:c r="L156" s="17" t="n"/>
      <ns0:c r="M156" s="17" t="n"/>
      <ns0:c r="N156" s="17" t="n"/>
      <ns0:c r="O156" s="17" t="n"/>
      <ns0:c r="P156" s="17" t="n"/>
      <ns0:c r="Q156" s="17" t="n"/>
      <ns0:c r="R156" s="17" t="n"/>
      <ns0:c r="S156" s="17" t="n"/>
      <ns0:c r="T156" s="17" t="n"/>
      <ns0:c r="U156" s="17" t="n"/>
      <ns0:c r="V156" s="17" t="n"/>
      <ns0:c r="W156" s="17" t="n"/>
      <ns0:c r="X156" s="17" t="n"/>
      <ns0:c r="Y156" s="17" t="n"/>
      <ns0:c r="Z156" s="17" t="n"/>
      <ns0:c r="AA156" s="17" t="n"/>
      <ns0:c r="AB156" s="17" t="n"/>
      <ns0:c r="AC156" s="17" t="n"/>
      <ns0:c r="AD156" s="17" t="n"/>
      <ns0:c r="AE156" s="17" t="n"/>
      <ns0:c r="AF156" s="17" t="n"/>
      <ns0:c r="AG156" s="17" t="n"/>
    </ns0:row>
    <ns0:row r="157" ht="24" customHeight="1">
      <ns0:c r="D157" s="17" t="n"/>
      <ns0:c r="E157" s="17" t="n"/>
      <ns0:c r="F157" s="17" t="n"/>
      <ns0:c r="G157" s="17" t="n"/>
      <ns0:c r="H157" s="17" t="n"/>
      <ns0:c r="I157" s="17" t="n"/>
      <ns0:c r="J157" s="17" t="n"/>
      <ns0:c r="K157" s="17" t="n"/>
      <ns0:c r="L157" s="17" t="n"/>
      <ns0:c r="M157" s="17" t="n"/>
      <ns0:c r="N157" s="17" t="n"/>
      <ns0:c r="O157" s="17" t="n"/>
      <ns0:c r="P157" s="17" t="n"/>
      <ns0:c r="Q157" s="17" t="n"/>
      <ns0:c r="R157" s="17" t="n"/>
      <ns0:c r="S157" s="17" t="n"/>
      <ns0:c r="T157" s="17" t="n"/>
      <ns0:c r="U157" s="17" t="n"/>
      <ns0:c r="V157" s="17" t="n"/>
      <ns0:c r="W157" s="17" t="n"/>
      <ns0:c r="X157" s="17" t="n"/>
      <ns0:c r="Y157" s="17" t="n"/>
      <ns0:c r="Z157" s="17" t="n"/>
      <ns0:c r="AA157" s="17" t="n"/>
      <ns0:c r="AB157" s="17" t="n"/>
      <ns0:c r="AC157" s="17" t="n"/>
      <ns0:c r="AD157" s="17" t="n"/>
      <ns0:c r="AE157" s="17" t="n"/>
      <ns0:c r="AF157" s="17" t="n"/>
      <ns0:c r="AG157" s="17" t="n"/>
    </ns0:row>
    <ns0:row r="158" ht="24" customHeight="1">
      <ns0:c r="D158" s="17" t="n"/>
      <ns0:c r="E158" s="17" t="n"/>
      <ns0:c r="F158" s="17" t="n"/>
      <ns0:c r="G158" s="17" t="n"/>
      <ns0:c r="H158" s="17" t="n"/>
      <ns0:c r="I158" s="17" t="n"/>
      <ns0:c r="J158" s="17" t="n"/>
      <ns0:c r="K158" s="17" t="n"/>
      <ns0:c r="L158" s="17" t="n"/>
      <ns0:c r="M158" s="17" t="n"/>
      <ns0:c r="N158" s="17" t="n"/>
      <ns0:c r="O158" s="17" t="n"/>
      <ns0:c r="P158" s="17" t="n"/>
      <ns0:c r="Q158" s="17" t="n"/>
      <ns0:c r="R158" s="17" t="n"/>
      <ns0:c r="S158" s="17" t="n"/>
      <ns0:c r="T158" s="17" t="n"/>
      <ns0:c r="U158" s="17" t="n"/>
      <ns0:c r="V158" s="17" t="n"/>
      <ns0:c r="W158" s="17" t="n"/>
      <ns0:c r="X158" s="17" t="n"/>
      <ns0:c r="Y158" s="17" t="n"/>
      <ns0:c r="Z158" s="17" t="n"/>
      <ns0:c r="AA158" s="17" t="n"/>
      <ns0:c r="AB158" s="17" t="n"/>
      <ns0:c r="AC158" s="17" t="n"/>
      <ns0:c r="AD158" s="17" t="n"/>
      <ns0:c r="AE158" s="17" t="n"/>
      <ns0:c r="AF158" s="17" t="n"/>
      <ns0:c r="AG158" s="17" t="n"/>
    </ns0:row>
    <ns0:row r="159" ht="24" customHeight="1">
      <ns0:c r="D159" s="17" t="n"/>
      <ns0:c r="E159" s="17" t="n"/>
      <ns0:c r="F159" s="17" t="n"/>
      <ns0:c r="G159" s="17" t="n"/>
      <ns0:c r="H159" s="17" t="n"/>
      <ns0:c r="I159" s="17" t="n"/>
      <ns0:c r="J159" s="17" t="n"/>
      <ns0:c r="K159" s="17" t="n"/>
      <ns0:c r="L159" s="17" t="n"/>
      <ns0:c r="M159" s="17" t="n"/>
      <ns0:c r="N159" s="17" t="n"/>
      <ns0:c r="O159" s="17" t="n"/>
      <ns0:c r="P159" s="17" t="n"/>
      <ns0:c r="Q159" s="17" t="n"/>
      <ns0:c r="R159" s="17" t="n"/>
      <ns0:c r="S159" s="17" t="n"/>
      <ns0:c r="T159" s="17" t="n"/>
      <ns0:c r="U159" s="17" t="n"/>
      <ns0:c r="V159" s="17" t="n"/>
      <ns0:c r="W159" s="17" t="n"/>
      <ns0:c r="X159" s="17" t="n"/>
      <ns0:c r="Y159" s="17" t="n"/>
      <ns0:c r="Z159" s="17" t="n"/>
      <ns0:c r="AA159" s="17" t="n"/>
      <ns0:c r="AB159" s="17" t="n"/>
      <ns0:c r="AC159" s="17" t="n"/>
      <ns0:c r="AD159" s="17" t="n"/>
      <ns0:c r="AE159" s="17" t="n"/>
      <ns0:c r="AF159" s="17" t="n"/>
      <ns0:c r="AG159" s="17" t="n"/>
    </ns0:row>
    <ns0:row r="160" ht="24" customHeight="1">
      <ns0:c r="D160" s="17" t="n"/>
      <ns0:c r="E160" s="17" t="n"/>
      <ns0:c r="F160" s="17" t="n"/>
      <ns0:c r="G160" s="17" t="n"/>
      <ns0:c r="H160" s="17" t="n"/>
      <ns0:c r="I160" s="17" t="n"/>
      <ns0:c r="J160" s="17" t="n"/>
      <ns0:c r="K160" s="17" t="n"/>
      <ns0:c r="L160" s="17" t="n"/>
      <ns0:c r="M160" s="17" t="n"/>
      <ns0:c r="N160" s="17" t="n"/>
      <ns0:c r="O160" s="17" t="n"/>
      <ns0:c r="P160" s="17" t="n"/>
      <ns0:c r="Q160" s="17" t="n"/>
      <ns0:c r="R160" s="17" t="n"/>
      <ns0:c r="S160" s="17" t="n"/>
      <ns0:c r="T160" s="17" t="n"/>
      <ns0:c r="U160" s="17" t="n"/>
      <ns0:c r="V160" s="17" t="n"/>
      <ns0:c r="W160" s="17" t="n"/>
      <ns0:c r="X160" s="17" t="n"/>
      <ns0:c r="Y160" s="17" t="n"/>
      <ns0:c r="Z160" s="17" t="n"/>
      <ns0:c r="AA160" s="17" t="n"/>
      <ns0:c r="AB160" s="17" t="n"/>
      <ns0:c r="AC160" s="17" t="n"/>
      <ns0:c r="AD160" s="17" t="n"/>
      <ns0:c r="AE160" s="17" t="n"/>
      <ns0:c r="AF160" s="17" t="n"/>
      <ns0:c r="AG160" s="17" t="n"/>
    </ns0:row>
    <ns0:row r="161" ht="24" customHeight="1">
      <ns0:c r="D161" s="17" t="n"/>
      <ns0:c r="E161" s="17" t="n"/>
      <ns0:c r="F161" s="17" t="n"/>
      <ns0:c r="G161" s="17" t="n"/>
      <ns0:c r="H161" s="17" t="n"/>
      <ns0:c r="I161" s="17" t="n"/>
      <ns0:c r="J161" s="17" t="n"/>
      <ns0:c r="K161" s="17" t="n"/>
      <ns0:c r="L161" s="17" t="n"/>
      <ns0:c r="M161" s="17" t="n"/>
      <ns0:c r="N161" s="17" t="n"/>
      <ns0:c r="O161" s="17" t="n"/>
      <ns0:c r="P161" s="17" t="n"/>
      <ns0:c r="Q161" s="17" t="n"/>
      <ns0:c r="R161" s="17" t="n"/>
      <ns0:c r="S161" s="17" t="n"/>
      <ns0:c r="T161" s="17" t="n"/>
      <ns0:c r="U161" s="17" t="n"/>
      <ns0:c r="V161" s="17" t="n"/>
      <ns0:c r="W161" s="17" t="n"/>
      <ns0:c r="X161" s="17" t="n"/>
      <ns0:c r="Y161" s="17" t="n"/>
      <ns0:c r="Z161" s="17" t="n"/>
      <ns0:c r="AA161" s="17" t="n"/>
      <ns0:c r="AB161" s="17" t="n"/>
      <ns0:c r="AC161" s="17" t="n"/>
      <ns0:c r="AD161" s="17" t="n"/>
      <ns0:c r="AE161" s="17" t="n"/>
      <ns0:c r="AF161" s="17" t="n"/>
      <ns0:c r="AG161" s="17" t="n"/>
    </ns0:row>
    <ns0:row r="162" ht="24" customHeight="1">
      <ns0:c r="D162" s="17" t="n"/>
      <ns0:c r="E162" s="17" t="n"/>
      <ns0:c r="F162" s="17" t="n"/>
      <ns0:c r="G162" s="17" t="n"/>
      <ns0:c r="H162" s="17" t="n"/>
      <ns0:c r="I162" s="17" t="n"/>
      <ns0:c r="J162" s="17" t="n"/>
      <ns0:c r="K162" s="17" t="n"/>
      <ns0:c r="L162" s="17" t="n"/>
      <ns0:c r="M162" s="17" t="n"/>
      <ns0:c r="N162" s="17" t="n"/>
      <ns0:c r="O162" s="17" t="n"/>
      <ns0:c r="P162" s="17" t="n"/>
      <ns0:c r="Q162" s="17" t="n"/>
      <ns0:c r="R162" s="17" t="n"/>
      <ns0:c r="S162" s="17" t="n"/>
      <ns0:c r="T162" s="17" t="n"/>
      <ns0:c r="U162" s="17" t="n"/>
      <ns0:c r="V162" s="17" t="n"/>
      <ns0:c r="W162" s="17" t="n"/>
      <ns0:c r="X162" s="17" t="n"/>
      <ns0:c r="Y162" s="17" t="n"/>
      <ns0:c r="Z162" s="17" t="n"/>
      <ns0:c r="AA162" s="17" t="n"/>
      <ns0:c r="AB162" s="17" t="n"/>
      <ns0:c r="AC162" s="17" t="n"/>
      <ns0:c r="AD162" s="17" t="n"/>
      <ns0:c r="AE162" s="17" t="n"/>
      <ns0:c r="AF162" s="17" t="n"/>
      <ns0:c r="AG162" s="17" t="n"/>
    </ns0:row>
    <ns0:row r="163" ht="24" customHeight="1">
      <ns0:c r="D163" s="17" t="n"/>
      <ns0:c r="E163" s="17" t="n"/>
      <ns0:c r="F163" s="17" t="n"/>
      <ns0:c r="G163" s="17" t="n"/>
      <ns0:c r="H163" s="17" t="n"/>
      <ns0:c r="I163" s="17" t="n"/>
      <ns0:c r="J163" s="17" t="n"/>
      <ns0:c r="K163" s="17" t="n"/>
      <ns0:c r="L163" s="17" t="n"/>
      <ns0:c r="M163" s="17" t="n"/>
      <ns0:c r="N163" s="17" t="n"/>
      <ns0:c r="O163" s="17" t="n"/>
      <ns0:c r="P163" s="17" t="n"/>
      <ns0:c r="Q163" s="17" t="n"/>
      <ns0:c r="R163" s="17" t="n"/>
      <ns0:c r="S163" s="17" t="n"/>
      <ns0:c r="T163" s="17" t="n"/>
      <ns0:c r="U163" s="17" t="n"/>
      <ns0:c r="V163" s="17" t="n"/>
      <ns0:c r="W163" s="17" t="n"/>
      <ns0:c r="X163" s="17" t="n"/>
      <ns0:c r="Y163" s="17" t="n"/>
      <ns0:c r="Z163" s="17" t="n"/>
      <ns0:c r="AA163" s="17" t="n"/>
      <ns0:c r="AB163" s="17" t="n"/>
      <ns0:c r="AC163" s="17" t="n"/>
      <ns0:c r="AD163" s="17" t="n"/>
      <ns0:c r="AE163" s="17" t="n"/>
      <ns0:c r="AF163" s="17" t="n"/>
      <ns0:c r="AG163" s="17" t="n"/>
    </ns0:row>
    <ns0:row r="164" ht="24" customHeight="1">
      <ns0:c r="D164" s="17" t="n"/>
      <ns0:c r="E164" s="17" t="n"/>
      <ns0:c r="F164" s="17" t="n"/>
      <ns0:c r="G164" s="17" t="n"/>
      <ns0:c r="H164" s="17" t="n"/>
      <ns0:c r="I164" s="17" t="n"/>
      <ns0:c r="J164" s="17" t="n"/>
      <ns0:c r="K164" s="17" t="n"/>
      <ns0:c r="L164" s="17" t="n"/>
      <ns0:c r="M164" s="17" t="n"/>
      <ns0:c r="N164" s="17" t="n"/>
      <ns0:c r="O164" s="17" t="n"/>
      <ns0:c r="P164" s="17" t="n"/>
      <ns0:c r="Q164" s="17" t="n"/>
      <ns0:c r="R164" s="17" t="n"/>
      <ns0:c r="S164" s="17" t="n"/>
      <ns0:c r="T164" s="17" t="n"/>
      <ns0:c r="U164" s="17" t="n"/>
      <ns0:c r="V164" s="17" t="n"/>
      <ns0:c r="W164" s="17" t="n"/>
      <ns0:c r="X164" s="17" t="n"/>
      <ns0:c r="Y164" s="17" t="n"/>
      <ns0:c r="Z164" s="17" t="n"/>
      <ns0:c r="AA164" s="17" t="n"/>
      <ns0:c r="AB164" s="17" t="n"/>
      <ns0:c r="AC164" s="17" t="n"/>
      <ns0:c r="AD164" s="17" t="n"/>
      <ns0:c r="AE164" s="17" t="n"/>
      <ns0:c r="AF164" s="17" t="n"/>
      <ns0:c r="AG164" s="17" t="n"/>
    </ns0:row>
    <ns0:row r="165" ht="24" customHeight="1">
      <ns0:c r="D165" s="17" t="n"/>
      <ns0:c r="E165" s="17" t="n"/>
      <ns0:c r="F165" s="17" t="n"/>
      <ns0:c r="G165" s="17" t="n"/>
      <ns0:c r="H165" s="17" t="n"/>
      <ns0:c r="I165" s="17" t="n"/>
      <ns0:c r="J165" s="17" t="n"/>
      <ns0:c r="K165" s="17" t="n"/>
      <ns0:c r="L165" s="17" t="n"/>
      <ns0:c r="M165" s="17" t="n"/>
      <ns0:c r="N165" s="17" t="n"/>
      <ns0:c r="O165" s="17" t="n"/>
      <ns0:c r="P165" s="17" t="n"/>
      <ns0:c r="Q165" s="17" t="n"/>
      <ns0:c r="R165" s="17" t="n"/>
      <ns0:c r="S165" s="17" t="n"/>
      <ns0:c r="T165" s="17" t="n"/>
      <ns0:c r="U165" s="17" t="n"/>
      <ns0:c r="V165" s="17" t="n"/>
      <ns0:c r="W165" s="17" t="n"/>
      <ns0:c r="X165" s="17" t="n"/>
      <ns0:c r="Y165" s="17" t="n"/>
      <ns0:c r="Z165" s="17" t="n"/>
      <ns0:c r="AA165" s="17" t="n"/>
      <ns0:c r="AB165" s="17" t="n"/>
      <ns0:c r="AC165" s="17" t="n"/>
      <ns0:c r="AD165" s="17" t="n"/>
      <ns0:c r="AE165" s="17" t="n"/>
      <ns0:c r="AF165" s="17" t="n"/>
      <ns0:c r="AG165" s="17" t="n"/>
    </ns0:row>
    <ns0:row r="166" ht="24" customHeight="1">
      <ns0:c r="D166" s="17" t="n"/>
      <ns0:c r="E166" s="17" t="n"/>
      <ns0:c r="F166" s="17" t="n"/>
      <ns0:c r="G166" s="17" t="n"/>
      <ns0:c r="H166" s="17" t="n"/>
      <ns0:c r="I166" s="17" t="n"/>
      <ns0:c r="J166" s="17" t="n"/>
      <ns0:c r="K166" s="17" t="n"/>
      <ns0:c r="L166" s="17" t="n"/>
      <ns0:c r="M166" s="17" t="n"/>
      <ns0:c r="N166" s="17" t="n"/>
      <ns0:c r="O166" s="17" t="n"/>
      <ns0:c r="P166" s="17" t="n"/>
      <ns0:c r="Q166" s="17" t="n"/>
      <ns0:c r="R166" s="17" t="n"/>
      <ns0:c r="S166" s="17" t="n"/>
      <ns0:c r="T166" s="17" t="n"/>
      <ns0:c r="U166" s="17" t="n"/>
      <ns0:c r="V166" s="17" t="n"/>
      <ns0:c r="W166" s="17" t="n"/>
      <ns0:c r="X166" s="17" t="n"/>
      <ns0:c r="Y166" s="17" t="n"/>
      <ns0:c r="Z166" s="17" t="n"/>
      <ns0:c r="AA166" s="17" t="n"/>
      <ns0:c r="AB166" s="17" t="n"/>
      <ns0:c r="AC166" s="17" t="n"/>
      <ns0:c r="AD166" s="17" t="n"/>
      <ns0:c r="AE166" s="17" t="n"/>
      <ns0:c r="AF166" s="17" t="n"/>
      <ns0:c r="AG166" s="17" t="n"/>
    </ns0:row>
    <ns0:row r="167" ht="24" customHeight="1">
      <ns0:c r="D167" s="17" t="n"/>
      <ns0:c r="E167" s="17" t="n"/>
      <ns0:c r="F167" s="17" t="n"/>
      <ns0:c r="G167" s="17" t="n"/>
      <ns0:c r="H167" s="17" t="n"/>
      <ns0:c r="I167" s="17" t="n"/>
      <ns0:c r="J167" s="17" t="n"/>
      <ns0:c r="K167" s="17" t="n"/>
      <ns0:c r="L167" s="17" t="n"/>
      <ns0:c r="M167" s="17" t="n"/>
      <ns0:c r="N167" s="17" t="n"/>
      <ns0:c r="O167" s="17" t="n"/>
      <ns0:c r="P167" s="17" t="n"/>
      <ns0:c r="Q167" s="17" t="n"/>
      <ns0:c r="R167" s="17" t="n"/>
      <ns0:c r="S167" s="17" t="n"/>
      <ns0:c r="T167" s="17" t="n"/>
      <ns0:c r="U167" s="17" t="n"/>
      <ns0:c r="V167" s="17" t="n"/>
      <ns0:c r="W167" s="17" t="n"/>
      <ns0:c r="X167" s="17" t="n"/>
      <ns0:c r="Y167" s="17" t="n"/>
      <ns0:c r="Z167" s="17" t="n"/>
      <ns0:c r="AA167" s="17" t="n"/>
      <ns0:c r="AB167" s="17" t="n"/>
      <ns0:c r="AC167" s="17" t="n"/>
      <ns0:c r="AD167" s="17" t="n"/>
      <ns0:c r="AE167" s="17" t="n"/>
      <ns0:c r="AF167" s="17" t="n"/>
      <ns0:c r="AG167" s="17" t="n"/>
    </ns0:row>
    <ns0:row r="168" ht="24" customHeight="1">
      <ns0:c r="D168" s="17" t="n"/>
      <ns0:c r="E168" s="17" t="n"/>
      <ns0:c r="F168" s="17" t="n"/>
      <ns0:c r="G168" s="17" t="n"/>
      <ns0:c r="H168" s="17" t="n"/>
      <ns0:c r="I168" s="17" t="n"/>
      <ns0:c r="J168" s="17" t="n"/>
      <ns0:c r="K168" s="17" t="n"/>
      <ns0:c r="L168" s="17" t="n"/>
      <ns0:c r="M168" s="17" t="n"/>
      <ns0:c r="N168" s="17" t="n"/>
      <ns0:c r="O168" s="17" t="n"/>
      <ns0:c r="P168" s="17" t="n"/>
      <ns0:c r="Q168" s="17" t="n"/>
      <ns0:c r="R168" s="17" t="n"/>
      <ns0:c r="S168" s="17" t="n"/>
      <ns0:c r="T168" s="17" t="n"/>
      <ns0:c r="U168" s="17" t="n"/>
      <ns0:c r="V168" s="17" t="n"/>
      <ns0:c r="W168" s="17" t="n"/>
      <ns0:c r="X168" s="17" t="n"/>
      <ns0:c r="Y168" s="17" t="n"/>
      <ns0:c r="Z168" s="17" t="n"/>
      <ns0:c r="AA168" s="17" t="n"/>
      <ns0:c r="AB168" s="17" t="n"/>
      <ns0:c r="AC168" s="17" t="n"/>
      <ns0:c r="AD168" s="17" t="n"/>
      <ns0:c r="AE168" s="17" t="n"/>
      <ns0:c r="AF168" s="17" t="n"/>
      <ns0:c r="AG168" s="17" t="n"/>
    </ns0:row>
    <ns0:row r="169" ht="24" customHeight="1">
      <ns0:c r="D169" s="17" t="n"/>
      <ns0:c r="E169" s="17" t="n"/>
      <ns0:c r="F169" s="17" t="n"/>
      <ns0:c r="G169" s="17" t="n"/>
      <ns0:c r="H169" s="17" t="n"/>
      <ns0:c r="I169" s="17" t="n"/>
      <ns0:c r="J169" s="17" t="n"/>
      <ns0:c r="K169" s="17" t="n"/>
      <ns0:c r="L169" s="17" t="n"/>
      <ns0:c r="M169" s="17" t="n"/>
      <ns0:c r="N169" s="17" t="n"/>
      <ns0:c r="O169" s="17" t="n"/>
      <ns0:c r="P169" s="17" t="n"/>
      <ns0:c r="Q169" s="17" t="n"/>
      <ns0:c r="R169" s="17" t="n"/>
      <ns0:c r="S169" s="17" t="n"/>
      <ns0:c r="T169" s="17" t="n"/>
      <ns0:c r="U169" s="17" t="n"/>
      <ns0:c r="V169" s="17" t="n"/>
      <ns0:c r="W169" s="17" t="n"/>
      <ns0:c r="X169" s="17" t="n"/>
      <ns0:c r="Y169" s="17" t="n"/>
      <ns0:c r="Z169" s="17" t="n"/>
      <ns0:c r="AA169" s="17" t="n"/>
      <ns0:c r="AB169" s="17" t="n"/>
      <ns0:c r="AC169" s="17" t="n"/>
      <ns0:c r="AD169" s="17" t="n"/>
      <ns0:c r="AE169" s="17" t="n"/>
      <ns0:c r="AF169" s="17" t="n"/>
      <ns0:c r="AG169" s="17" t="n"/>
    </ns0:row>
    <ns0:row r="170" ht="24" customHeight="1">
      <ns0:c r="D170" s="17" t="n"/>
      <ns0:c r="E170" s="17" t="n"/>
      <ns0:c r="F170" s="17" t="n"/>
      <ns0:c r="G170" s="17" t="n"/>
      <ns0:c r="H170" s="17" t="n"/>
      <ns0:c r="I170" s="17" t="n"/>
      <ns0:c r="J170" s="17" t="n"/>
      <ns0:c r="K170" s="17" t="n"/>
      <ns0:c r="L170" s="17" t="n"/>
      <ns0:c r="M170" s="17" t="n"/>
      <ns0:c r="N170" s="17" t="n"/>
      <ns0:c r="O170" s="17" t="n"/>
      <ns0:c r="P170" s="17" t="n"/>
      <ns0:c r="Q170" s="17" t="n"/>
      <ns0:c r="R170" s="17" t="n"/>
      <ns0:c r="S170" s="17" t="n"/>
      <ns0:c r="T170" s="17" t="n"/>
      <ns0:c r="U170" s="17" t="n"/>
      <ns0:c r="V170" s="17" t="n"/>
      <ns0:c r="W170" s="17" t="n"/>
      <ns0:c r="X170" s="17" t="n"/>
      <ns0:c r="Y170" s="17" t="n"/>
      <ns0:c r="Z170" s="17" t="n"/>
      <ns0:c r="AA170" s="17" t="n"/>
      <ns0:c r="AB170" s="17" t="n"/>
      <ns0:c r="AC170" s="17" t="n"/>
      <ns0:c r="AD170" s="17" t="n"/>
      <ns0:c r="AE170" s="17" t="n"/>
      <ns0:c r="AF170" s="17" t="n"/>
      <ns0:c r="AG170" s="17" t="n"/>
    </ns0:row>
    <ns0:row r="171" ht="24" customHeight="1">
      <ns0:c r="D171" s="17" t="n"/>
      <ns0:c r="E171" s="17" t="n"/>
      <ns0:c r="F171" s="17" t="n"/>
      <ns0:c r="G171" s="17" t="n"/>
      <ns0:c r="H171" s="17" t="n"/>
      <ns0:c r="I171" s="17" t="n"/>
      <ns0:c r="J171" s="17" t="n"/>
      <ns0:c r="K171" s="17" t="n"/>
      <ns0:c r="L171" s="17" t="n"/>
      <ns0:c r="M171" s="17" t="n"/>
      <ns0:c r="N171" s="17" t="n"/>
      <ns0:c r="O171" s="17" t="n"/>
      <ns0:c r="P171" s="17" t="n"/>
      <ns0:c r="Q171" s="17" t="n"/>
      <ns0:c r="R171" s="17" t="n"/>
      <ns0:c r="S171" s="17" t="n"/>
      <ns0:c r="T171" s="17" t="n"/>
      <ns0:c r="U171" s="17" t="n"/>
      <ns0:c r="V171" s="17" t="n"/>
      <ns0:c r="W171" s="17" t="n"/>
      <ns0:c r="X171" s="17" t="n"/>
      <ns0:c r="Y171" s="17" t="n"/>
      <ns0:c r="Z171" s="17" t="n"/>
      <ns0:c r="AA171" s="17" t="n"/>
      <ns0:c r="AB171" s="17" t="n"/>
      <ns0:c r="AC171" s="17" t="n"/>
      <ns0:c r="AD171" s="17" t="n"/>
      <ns0:c r="AE171" s="17" t="n"/>
      <ns0:c r="AF171" s="17" t="n"/>
      <ns0:c r="AG171" s="17" t="n"/>
    </ns0:row>
    <ns0:row r="172" ht="24" customHeight="1">
      <ns0:c r="D172" s="17" t="n"/>
      <ns0:c r="E172" s="17" t="n"/>
      <ns0:c r="F172" s="17" t="n"/>
      <ns0:c r="G172" s="17" t="n"/>
      <ns0:c r="H172" s="17" t="n"/>
      <ns0:c r="I172" s="17" t="n"/>
      <ns0:c r="J172" s="17" t="n"/>
      <ns0:c r="K172" s="17" t="n"/>
      <ns0:c r="L172" s="17" t="n"/>
      <ns0:c r="M172" s="17" t="n"/>
      <ns0:c r="N172" s="17" t="n"/>
      <ns0:c r="O172" s="17" t="n"/>
      <ns0:c r="P172" s="17" t="n"/>
      <ns0:c r="Q172" s="17" t="n"/>
      <ns0:c r="R172" s="17" t="n"/>
      <ns0:c r="S172" s="17" t="n"/>
      <ns0:c r="T172" s="17" t="n"/>
      <ns0:c r="U172" s="17" t="n"/>
      <ns0:c r="V172" s="17" t="n"/>
      <ns0:c r="W172" s="17" t="n"/>
      <ns0:c r="X172" s="17" t="n"/>
      <ns0:c r="Y172" s="17" t="n"/>
      <ns0:c r="Z172" s="17" t="n"/>
      <ns0:c r="AA172" s="17" t="n"/>
      <ns0:c r="AB172" s="17" t="n"/>
      <ns0:c r="AC172" s="17" t="n"/>
      <ns0:c r="AD172" s="17" t="n"/>
      <ns0:c r="AE172" s="17" t="n"/>
      <ns0:c r="AF172" s="17" t="n"/>
      <ns0:c r="AG172" s="17" t="n"/>
    </ns0:row>
    <ns0:row r="173" ht="24" customHeight="1">
      <ns0:c r="D173" s="17" t="n"/>
      <ns0:c r="E173" s="17" t="n"/>
      <ns0:c r="F173" s="17" t="n"/>
      <ns0:c r="G173" s="17" t="n"/>
      <ns0:c r="H173" s="17" t="n"/>
      <ns0:c r="I173" s="17" t="n"/>
      <ns0:c r="J173" s="17" t="n"/>
      <ns0:c r="K173" s="17" t="n"/>
      <ns0:c r="L173" s="17" t="n"/>
      <ns0:c r="M173" s="17" t="n"/>
      <ns0:c r="N173" s="17" t="n"/>
      <ns0:c r="O173" s="17" t="n"/>
      <ns0:c r="P173" s="17" t="n"/>
      <ns0:c r="Q173" s="17" t="n"/>
      <ns0:c r="R173" s="17" t="n"/>
      <ns0:c r="S173" s="17" t="n"/>
      <ns0:c r="T173" s="17" t="n"/>
      <ns0:c r="U173" s="17" t="n"/>
      <ns0:c r="V173" s="17" t="n"/>
      <ns0:c r="W173" s="17" t="n"/>
      <ns0:c r="X173" s="17" t="n"/>
      <ns0:c r="Y173" s="17" t="n"/>
      <ns0:c r="Z173" s="17" t="n"/>
      <ns0:c r="AA173" s="17" t="n"/>
      <ns0:c r="AB173" s="17" t="n"/>
      <ns0:c r="AC173" s="17" t="n"/>
      <ns0:c r="AD173" s="17" t="n"/>
      <ns0:c r="AE173" s="17" t="n"/>
      <ns0:c r="AF173" s="17" t="n"/>
      <ns0:c r="AG173" s="17" t="n"/>
    </ns0:row>
    <ns0:row r="174" ht="24" customHeight="1">
      <ns0:c r="D174" s="17" t="n"/>
      <ns0:c r="E174" s="17" t="n"/>
      <ns0:c r="F174" s="17" t="n"/>
      <ns0:c r="G174" s="17" t="n"/>
      <ns0:c r="H174" s="17" t="n"/>
      <ns0:c r="I174" s="17" t="n"/>
      <ns0:c r="J174" s="17" t="n"/>
      <ns0:c r="K174" s="17" t="n"/>
      <ns0:c r="L174" s="17" t="n"/>
      <ns0:c r="M174" s="17" t="n"/>
      <ns0:c r="N174" s="17" t="n"/>
      <ns0:c r="O174" s="17" t="n"/>
      <ns0:c r="P174" s="17" t="n"/>
      <ns0:c r="Q174" s="17" t="n"/>
      <ns0:c r="R174" s="17" t="n"/>
      <ns0:c r="S174" s="17" t="n"/>
      <ns0:c r="T174" s="17" t="n"/>
      <ns0:c r="U174" s="17" t="n"/>
      <ns0:c r="V174" s="17" t="n"/>
      <ns0:c r="W174" s="17" t="n"/>
      <ns0:c r="X174" s="17" t="n"/>
      <ns0:c r="Y174" s="17" t="n"/>
      <ns0:c r="Z174" s="17" t="n"/>
      <ns0:c r="AA174" s="17" t="n"/>
      <ns0:c r="AB174" s="17" t="n"/>
      <ns0:c r="AC174" s="17" t="n"/>
      <ns0:c r="AD174" s="17" t="n"/>
      <ns0:c r="AE174" s="17" t="n"/>
      <ns0:c r="AF174" s="17" t="n"/>
      <ns0:c r="AG174" s="17" t="n"/>
    </ns0:row>
    <ns0:row r="175" ht="24" customHeight="1">
      <ns0:c r="D175" s="17" t="n"/>
      <ns0:c r="E175" s="17" t="n"/>
      <ns0:c r="F175" s="17" t="n"/>
      <ns0:c r="G175" s="17" t="n"/>
      <ns0:c r="H175" s="17" t="n"/>
      <ns0:c r="I175" s="17" t="n"/>
      <ns0:c r="J175" s="17" t="n"/>
      <ns0:c r="K175" s="17" t="n"/>
      <ns0:c r="L175" s="17" t="n"/>
      <ns0:c r="M175" s="17" t="n"/>
      <ns0:c r="N175" s="17" t="n"/>
      <ns0:c r="O175" s="17" t="n"/>
      <ns0:c r="P175" s="17" t="n"/>
      <ns0:c r="Q175" s="17" t="n"/>
      <ns0:c r="R175" s="17" t="n"/>
      <ns0:c r="S175" s="17" t="n"/>
      <ns0:c r="T175" s="17" t="n"/>
      <ns0:c r="U175" s="17" t="n"/>
      <ns0:c r="V175" s="17" t="n"/>
      <ns0:c r="W175" s="17" t="n"/>
      <ns0:c r="X175" s="17" t="n"/>
      <ns0:c r="Y175" s="17" t="n"/>
      <ns0:c r="Z175" s="17" t="n"/>
      <ns0:c r="AA175" s="17" t="n"/>
      <ns0:c r="AB175" s="17" t="n"/>
      <ns0:c r="AC175" s="17" t="n"/>
      <ns0:c r="AD175" s="17" t="n"/>
      <ns0:c r="AE175" s="17" t="n"/>
      <ns0:c r="AF175" s="17" t="n"/>
      <ns0:c r="AG175" s="17" t="n"/>
    </ns0:row>
    <ns0:row r="176" ht="24" customHeight="1">
      <ns0:c r="D176" s="17" t="n"/>
      <ns0:c r="E176" s="17" t="n"/>
      <ns0:c r="F176" s="17" t="n"/>
      <ns0:c r="G176" s="17" t="n"/>
      <ns0:c r="H176" s="17" t="n"/>
      <ns0:c r="I176" s="17" t="n"/>
      <ns0:c r="J176" s="17" t="n"/>
      <ns0:c r="K176" s="17" t="n"/>
      <ns0:c r="L176" s="17" t="n"/>
      <ns0:c r="M176" s="17" t="n"/>
      <ns0:c r="N176" s="17" t="n"/>
      <ns0:c r="O176" s="17" t="n"/>
      <ns0:c r="P176" s="17" t="n"/>
      <ns0:c r="Q176" s="17" t="n"/>
      <ns0:c r="R176" s="17" t="n"/>
      <ns0:c r="S176" s="17" t="n"/>
      <ns0:c r="T176" s="17" t="n"/>
      <ns0:c r="U176" s="17" t="n"/>
      <ns0:c r="V176" s="17" t="n"/>
      <ns0:c r="W176" s="17" t="n"/>
      <ns0:c r="X176" s="17" t="n"/>
      <ns0:c r="Y176" s="17" t="n"/>
      <ns0:c r="Z176" s="17" t="n"/>
      <ns0:c r="AA176" s="17" t="n"/>
      <ns0:c r="AB176" s="17" t="n"/>
      <ns0:c r="AC176" s="17" t="n"/>
      <ns0:c r="AD176" s="17" t="n"/>
      <ns0:c r="AE176" s="17" t="n"/>
      <ns0:c r="AF176" s="17" t="n"/>
      <ns0:c r="AG176" s="17" t="n"/>
    </ns0:row>
    <ns0:row r="177" ht="24" customHeight="1">
      <ns0:c r="D177" s="17" t="n"/>
      <ns0:c r="E177" s="17" t="n"/>
      <ns0:c r="F177" s="17" t="n"/>
      <ns0:c r="G177" s="17" t="n"/>
      <ns0:c r="H177" s="17" t="n"/>
      <ns0:c r="I177" s="17" t="n"/>
      <ns0:c r="J177" s="17" t="n"/>
      <ns0:c r="K177" s="17" t="n"/>
      <ns0:c r="L177" s="17" t="n"/>
      <ns0:c r="M177" s="17" t="n"/>
      <ns0:c r="N177" s="17" t="n"/>
      <ns0:c r="O177" s="17" t="n"/>
      <ns0:c r="P177" s="17" t="n"/>
      <ns0:c r="Q177" s="17" t="n"/>
      <ns0:c r="R177" s="17" t="n"/>
      <ns0:c r="S177" s="17" t="n"/>
      <ns0:c r="T177" s="17" t="n"/>
      <ns0:c r="U177" s="17" t="n"/>
      <ns0:c r="V177" s="17" t="n"/>
      <ns0:c r="W177" s="17" t="n"/>
      <ns0:c r="X177" s="17" t="n"/>
      <ns0:c r="Y177" s="17" t="n"/>
      <ns0:c r="Z177" s="17" t="n"/>
      <ns0:c r="AA177" s="17" t="n"/>
      <ns0:c r="AB177" s="17" t="n"/>
      <ns0:c r="AC177" s="17" t="n"/>
      <ns0:c r="AD177" s="17" t="n"/>
      <ns0:c r="AE177" s="17" t="n"/>
      <ns0:c r="AF177" s="17" t="n"/>
      <ns0:c r="AG177" s="17" t="n"/>
    </ns0:row>
    <ns0:row r="178" ht="24" customHeight="1">
      <ns0:c r="D178" s="17" t="n"/>
      <ns0:c r="E178" s="17" t="n"/>
      <ns0:c r="F178" s="17" t="n"/>
      <ns0:c r="G178" s="17" t="n"/>
      <ns0:c r="H178" s="17" t="n"/>
      <ns0:c r="I178" s="17" t="n"/>
      <ns0:c r="J178" s="17" t="n"/>
      <ns0:c r="K178" s="17" t="n"/>
      <ns0:c r="L178" s="17" t="n"/>
      <ns0:c r="M178" s="17" t="n"/>
      <ns0:c r="N178" s="17" t="n"/>
      <ns0:c r="O178" s="17" t="n"/>
      <ns0:c r="P178" s="17" t="n"/>
      <ns0:c r="Q178" s="17" t="n"/>
      <ns0:c r="R178" s="17" t="n"/>
      <ns0:c r="S178" s="17" t="n"/>
      <ns0:c r="T178" s="17" t="n"/>
      <ns0:c r="U178" s="17" t="n"/>
      <ns0:c r="V178" s="17" t="n"/>
      <ns0:c r="W178" s="17" t="n"/>
      <ns0:c r="X178" s="17" t="n"/>
      <ns0:c r="Y178" s="17" t="n"/>
      <ns0:c r="Z178" s="17" t="n"/>
      <ns0:c r="AA178" s="17" t="n"/>
      <ns0:c r="AB178" s="17" t="n"/>
      <ns0:c r="AC178" s="17" t="n"/>
      <ns0:c r="AD178" s="17" t="n"/>
      <ns0:c r="AE178" s="17" t="n"/>
      <ns0:c r="AF178" s="17" t="n"/>
      <ns0:c r="AG178" s="17" t="n"/>
    </ns0:row>
    <ns0:row r="179" ht="24" customHeight="1">
      <ns0:c r="D179" s="17" t="n"/>
      <ns0:c r="E179" s="17" t="n"/>
      <ns0:c r="F179" s="17" t="n"/>
      <ns0:c r="G179" s="17" t="n"/>
      <ns0:c r="H179" s="17" t="n"/>
      <ns0:c r="I179" s="17" t="n"/>
      <ns0:c r="J179" s="17" t="n"/>
      <ns0:c r="K179" s="17" t="n"/>
      <ns0:c r="L179" s="17" t="n"/>
      <ns0:c r="M179" s="17" t="n"/>
      <ns0:c r="N179" s="17" t="n"/>
      <ns0:c r="O179" s="17" t="n"/>
      <ns0:c r="P179" s="17" t="n"/>
      <ns0:c r="Q179" s="17" t="n"/>
      <ns0:c r="R179" s="17" t="n"/>
      <ns0:c r="S179" s="17" t="n"/>
      <ns0:c r="T179" s="17" t="n"/>
      <ns0:c r="U179" s="17" t="n"/>
      <ns0:c r="V179" s="17" t="n"/>
      <ns0:c r="W179" s="17" t="n"/>
      <ns0:c r="X179" s="17" t="n"/>
      <ns0:c r="Y179" s="17" t="n"/>
      <ns0:c r="Z179" s="17" t="n"/>
      <ns0:c r="AA179" s="17" t="n"/>
      <ns0:c r="AB179" s="17" t="n"/>
      <ns0:c r="AC179" s="17" t="n"/>
      <ns0:c r="AD179" s="17" t="n"/>
      <ns0:c r="AE179" s="17" t="n"/>
      <ns0:c r="AF179" s="17" t="n"/>
      <ns0:c r="AG179" s="17" t="n"/>
    </ns0:row>
    <ns0:row r="180" ht="24" customHeight="1">
      <ns0:c r="D180" s="17" t="n"/>
      <ns0:c r="E180" s="17" t="n"/>
      <ns0:c r="F180" s="17" t="n"/>
      <ns0:c r="G180" s="17" t="n"/>
      <ns0:c r="H180" s="17" t="n"/>
      <ns0:c r="I180" s="17" t="n"/>
      <ns0:c r="J180" s="17" t="n"/>
      <ns0:c r="K180" s="17" t="n"/>
      <ns0:c r="L180" s="17" t="n"/>
      <ns0:c r="M180" s="17" t="n"/>
      <ns0:c r="N180" s="17" t="n"/>
      <ns0:c r="O180" s="17" t="n"/>
      <ns0:c r="P180" s="17" t="n"/>
      <ns0:c r="Q180" s="17" t="n"/>
      <ns0:c r="R180" s="17" t="n"/>
      <ns0:c r="S180" s="17" t="n"/>
      <ns0:c r="T180" s="17" t="n"/>
      <ns0:c r="U180" s="17" t="n"/>
      <ns0:c r="V180" s="17" t="n"/>
      <ns0:c r="W180" s="17" t="n"/>
      <ns0:c r="X180" s="17" t="n"/>
      <ns0:c r="Y180" s="17" t="n"/>
      <ns0:c r="Z180" s="17" t="n"/>
      <ns0:c r="AA180" s="17" t="n"/>
      <ns0:c r="AB180" s="17" t="n"/>
      <ns0:c r="AC180" s="17" t="n"/>
      <ns0:c r="AD180" s="17" t="n"/>
      <ns0:c r="AE180" s="17" t="n"/>
      <ns0:c r="AF180" s="17" t="n"/>
      <ns0:c r="AG180" s="17" t="n"/>
    </ns0:row>
    <ns0:row r="181" ht="24" customHeight="1">
      <ns0:c r="D181" s="17" t="n"/>
      <ns0:c r="E181" s="17" t="n"/>
      <ns0:c r="F181" s="17" t="n"/>
      <ns0:c r="G181" s="17" t="n"/>
      <ns0:c r="H181" s="17" t="n"/>
      <ns0:c r="I181" s="17" t="n"/>
      <ns0:c r="J181" s="17" t="n"/>
      <ns0:c r="K181" s="17" t="n"/>
      <ns0:c r="L181" s="17" t="n"/>
      <ns0:c r="M181" s="17" t="n"/>
      <ns0:c r="N181" s="17" t="n"/>
      <ns0:c r="O181" s="17" t="n"/>
      <ns0:c r="P181" s="17" t="n"/>
      <ns0:c r="Q181" s="17" t="n"/>
      <ns0:c r="R181" s="17" t="n"/>
      <ns0:c r="S181" s="17" t="n"/>
      <ns0:c r="T181" s="17" t="n"/>
      <ns0:c r="U181" s="17" t="n"/>
      <ns0:c r="V181" s="17" t="n"/>
      <ns0:c r="W181" s="17" t="n"/>
      <ns0:c r="X181" s="17" t="n"/>
      <ns0:c r="Y181" s="17" t="n"/>
      <ns0:c r="Z181" s="17" t="n"/>
      <ns0:c r="AA181" s="17" t="n"/>
      <ns0:c r="AB181" s="17" t="n"/>
      <ns0:c r="AC181" s="17" t="n"/>
      <ns0:c r="AD181" s="17" t="n"/>
      <ns0:c r="AE181" s="17" t="n"/>
      <ns0:c r="AF181" s="17" t="n"/>
      <ns0:c r="AG181" s="17" t="n"/>
    </ns0:row>
    <ns0:row r="182" ht="24" customHeight="1">
      <ns0:c r="D182" s="17" t="n"/>
      <ns0:c r="E182" s="17" t="n"/>
      <ns0:c r="F182" s="17" t="n"/>
      <ns0:c r="G182" s="17" t="n"/>
      <ns0:c r="H182" s="17" t="n"/>
      <ns0:c r="I182" s="17" t="n"/>
      <ns0:c r="J182" s="17" t="n"/>
      <ns0:c r="K182" s="17" t="n"/>
      <ns0:c r="L182" s="17" t="n"/>
      <ns0:c r="M182" s="17" t="n"/>
      <ns0:c r="N182" s="17" t="n"/>
      <ns0:c r="O182" s="17" t="n"/>
      <ns0:c r="P182" s="17" t="n"/>
      <ns0:c r="Q182" s="17" t="n"/>
      <ns0:c r="R182" s="17" t="n"/>
      <ns0:c r="S182" s="17" t="n"/>
      <ns0:c r="T182" s="17" t="n"/>
      <ns0:c r="U182" s="17" t="n"/>
      <ns0:c r="V182" s="17" t="n"/>
      <ns0:c r="W182" s="17" t="n"/>
      <ns0:c r="X182" s="17" t="n"/>
      <ns0:c r="Y182" s="17" t="n"/>
      <ns0:c r="Z182" s="17" t="n"/>
      <ns0:c r="AA182" s="17" t="n"/>
      <ns0:c r="AB182" s="17" t="n"/>
      <ns0:c r="AC182" s="17" t="n"/>
      <ns0:c r="AD182" s="17" t="n"/>
      <ns0:c r="AE182" s="17" t="n"/>
      <ns0:c r="AF182" s="17" t="n"/>
      <ns0:c r="AG182" s="17" t="n"/>
    </ns0:row>
    <ns0:row r="183" ht="24" customHeight="1">
      <ns0:c r="D183" s="17" t="n"/>
      <ns0:c r="E183" s="17" t="n"/>
      <ns0:c r="F183" s="17" t="n"/>
      <ns0:c r="G183" s="17" t="n"/>
      <ns0:c r="H183" s="17" t="n"/>
      <ns0:c r="I183" s="17" t="n"/>
      <ns0:c r="J183" s="17" t="n"/>
      <ns0:c r="K183" s="17" t="n"/>
      <ns0:c r="L183" s="17" t="n"/>
      <ns0:c r="M183" s="17" t="n"/>
      <ns0:c r="N183" s="17" t="n"/>
      <ns0:c r="O183" s="17" t="n"/>
      <ns0:c r="P183" s="17" t="n"/>
      <ns0:c r="Q183" s="17" t="n"/>
      <ns0:c r="R183" s="17" t="n"/>
      <ns0:c r="S183" s="17" t="n"/>
      <ns0:c r="T183" s="17" t="n"/>
      <ns0:c r="U183" s="17" t="n"/>
      <ns0:c r="V183" s="17" t="n"/>
      <ns0:c r="W183" s="17" t="n"/>
      <ns0:c r="X183" s="17" t="n"/>
      <ns0:c r="Y183" s="17" t="n"/>
      <ns0:c r="Z183" s="17" t="n"/>
      <ns0:c r="AA183" s="17" t="n"/>
      <ns0:c r="AB183" s="17" t="n"/>
      <ns0:c r="AC183" s="17" t="n"/>
      <ns0:c r="AD183" s="17" t="n"/>
      <ns0:c r="AE183" s="17" t="n"/>
      <ns0:c r="AF183" s="17" t="n"/>
      <ns0:c r="AG183" s="17" t="n"/>
    </ns0:row>
    <ns0:row r="184" ht="24" customHeight="1">
      <ns0:c r="D184" s="17" t="n"/>
      <ns0:c r="E184" s="17" t="n"/>
      <ns0:c r="F184" s="17" t="n"/>
      <ns0:c r="G184" s="17" t="n"/>
      <ns0:c r="H184" s="17" t="n"/>
      <ns0:c r="I184" s="17" t="n"/>
      <ns0:c r="J184" s="17" t="n"/>
      <ns0:c r="K184" s="17" t="n"/>
      <ns0:c r="L184" s="17" t="n"/>
      <ns0:c r="M184" s="17" t="n"/>
      <ns0:c r="N184" s="17" t="n"/>
      <ns0:c r="O184" s="17" t="n"/>
      <ns0:c r="P184" s="17" t="n"/>
      <ns0:c r="Q184" s="17" t="n"/>
      <ns0:c r="R184" s="17" t="n"/>
      <ns0:c r="S184" s="17" t="n"/>
      <ns0:c r="T184" s="17" t="n"/>
      <ns0:c r="U184" s="17" t="n"/>
      <ns0:c r="V184" s="17" t="n"/>
      <ns0:c r="W184" s="17" t="n"/>
      <ns0:c r="X184" s="17" t="n"/>
      <ns0:c r="Y184" s="17" t="n"/>
      <ns0:c r="Z184" s="17" t="n"/>
      <ns0:c r="AA184" s="17" t="n"/>
      <ns0:c r="AB184" s="17" t="n"/>
      <ns0:c r="AC184" s="17" t="n"/>
      <ns0:c r="AD184" s="17" t="n"/>
      <ns0:c r="AE184" s="17" t="n"/>
      <ns0:c r="AF184" s="17" t="n"/>
      <ns0:c r="AG184" s="17" t="n"/>
    </ns0:row>
    <ns0:row r="185" ht="24" customHeight="1">
      <ns0:c r="D185" s="17" t="n"/>
      <ns0:c r="E185" s="17" t="n"/>
      <ns0:c r="F185" s="17" t="n"/>
      <ns0:c r="G185" s="17" t="n"/>
      <ns0:c r="H185" s="17" t="n"/>
      <ns0:c r="I185" s="17" t="n"/>
      <ns0:c r="J185" s="17" t="n"/>
      <ns0:c r="K185" s="17" t="n"/>
      <ns0:c r="L185" s="17" t="n"/>
      <ns0:c r="M185" s="17" t="n"/>
      <ns0:c r="N185" s="17" t="n"/>
      <ns0:c r="O185" s="17" t="n"/>
      <ns0:c r="P185" s="17" t="n"/>
      <ns0:c r="Q185" s="17" t="n"/>
      <ns0:c r="R185" s="17" t="n"/>
      <ns0:c r="S185" s="17" t="n"/>
      <ns0:c r="T185" s="17" t="n"/>
      <ns0:c r="U185" s="17" t="n"/>
      <ns0:c r="V185" s="17" t="n"/>
      <ns0:c r="W185" s="17" t="n"/>
      <ns0:c r="X185" s="17" t="n"/>
      <ns0:c r="Y185" s="17" t="n"/>
      <ns0:c r="Z185" s="17" t="n"/>
      <ns0:c r="AA185" s="17" t="n"/>
      <ns0:c r="AB185" s="17" t="n"/>
      <ns0:c r="AC185" s="17" t="n"/>
      <ns0:c r="AD185" s="17" t="n"/>
      <ns0:c r="AE185" s="17" t="n"/>
      <ns0:c r="AF185" s="17" t="n"/>
      <ns0:c r="AG185" s="17" t="n"/>
    </ns0:row>
    <ns0:row r="186" ht="24" customHeight="1">
      <ns0:c r="D186" s="17" t="n"/>
      <ns0:c r="E186" s="17" t="n"/>
      <ns0:c r="F186" s="17" t="n"/>
      <ns0:c r="G186" s="17" t="n"/>
      <ns0:c r="H186" s="17" t="n"/>
      <ns0:c r="I186" s="17" t="n"/>
      <ns0:c r="J186" s="17" t="n"/>
      <ns0:c r="K186" s="17" t="n"/>
      <ns0:c r="L186" s="17" t="n"/>
      <ns0:c r="M186" s="17" t="n"/>
      <ns0:c r="N186" s="17" t="n"/>
      <ns0:c r="O186" s="17" t="n"/>
      <ns0:c r="P186" s="17" t="n"/>
      <ns0:c r="Q186" s="17" t="n"/>
      <ns0:c r="R186" s="17" t="n"/>
      <ns0:c r="S186" s="17" t="n"/>
      <ns0:c r="T186" s="17" t="n"/>
      <ns0:c r="U186" s="17" t="n"/>
      <ns0:c r="V186" s="17" t="n"/>
      <ns0:c r="W186" s="17" t="n"/>
      <ns0:c r="X186" s="17" t="n"/>
      <ns0:c r="Y186" s="17" t="n"/>
      <ns0:c r="Z186" s="17" t="n"/>
      <ns0:c r="AA186" s="17" t="n"/>
      <ns0:c r="AB186" s="17" t="n"/>
      <ns0:c r="AC186" s="17" t="n"/>
      <ns0:c r="AD186" s="17" t="n"/>
      <ns0:c r="AE186" s="17" t="n"/>
      <ns0:c r="AF186" s="17" t="n"/>
      <ns0:c r="AG186" s="17" t="n"/>
    </ns0:row>
    <ns0:row r="187" ht="24" customHeight="1">
      <ns0:c r="D187" s="17" t="n"/>
      <ns0:c r="E187" s="17" t="n"/>
      <ns0:c r="F187" s="17" t="n"/>
      <ns0:c r="G187" s="17" t="n"/>
      <ns0:c r="H187" s="17" t="n"/>
      <ns0:c r="I187" s="17" t="n"/>
      <ns0:c r="J187" s="17" t="n"/>
      <ns0:c r="K187" s="17" t="n"/>
      <ns0:c r="L187" s="17" t="n"/>
      <ns0:c r="M187" s="17" t="n"/>
      <ns0:c r="N187" s="17" t="n"/>
      <ns0:c r="O187" s="17" t="n"/>
      <ns0:c r="P187" s="17" t="n"/>
      <ns0:c r="Q187" s="17" t="n"/>
      <ns0:c r="R187" s="17" t="n"/>
      <ns0:c r="S187" s="17" t="n"/>
      <ns0:c r="T187" s="17" t="n"/>
      <ns0:c r="U187" s="17" t="n"/>
      <ns0:c r="V187" s="17" t="n"/>
      <ns0:c r="W187" s="17" t="n"/>
      <ns0:c r="X187" s="17" t="n"/>
      <ns0:c r="Y187" s="17" t="n"/>
      <ns0:c r="Z187" s="17" t="n"/>
      <ns0:c r="AA187" s="17" t="n"/>
      <ns0:c r="AB187" s="17" t="n"/>
      <ns0:c r="AC187" s="17" t="n"/>
      <ns0:c r="AD187" s="17" t="n"/>
      <ns0:c r="AE187" s="17" t="n"/>
      <ns0:c r="AF187" s="17" t="n"/>
      <ns0:c r="AG187" s="17" t="n"/>
    </ns0:row>
    <ns0:row r="188" ht="24" customHeight="1">
      <ns0:c r="D188" s="17" t="n"/>
      <ns0:c r="E188" s="17" t="n"/>
      <ns0:c r="F188" s="17" t="n"/>
      <ns0:c r="G188" s="17" t="n"/>
      <ns0:c r="H188" s="17" t="n"/>
      <ns0:c r="I188" s="17" t="n"/>
      <ns0:c r="J188" s="17" t="n"/>
      <ns0:c r="K188" s="17" t="n"/>
      <ns0:c r="L188" s="17" t="n"/>
      <ns0:c r="M188" s="17" t="n"/>
      <ns0:c r="N188" s="17" t="n"/>
      <ns0:c r="O188" s="17" t="n"/>
      <ns0:c r="P188" s="17" t="n"/>
      <ns0:c r="Q188" s="17" t="n"/>
      <ns0:c r="R188" s="17" t="n"/>
      <ns0:c r="S188" s="17" t="n"/>
      <ns0:c r="T188" s="17" t="n"/>
      <ns0:c r="U188" s="17" t="n"/>
      <ns0:c r="V188" s="17" t="n"/>
      <ns0:c r="W188" s="17" t="n"/>
      <ns0:c r="X188" s="17" t="n"/>
      <ns0:c r="Y188" s="17" t="n"/>
      <ns0:c r="Z188" s="17" t="n"/>
      <ns0:c r="AA188" s="17" t="n"/>
      <ns0:c r="AB188" s="17" t="n"/>
      <ns0:c r="AC188" s="17" t="n"/>
      <ns0:c r="AD188" s="17" t="n"/>
      <ns0:c r="AE188" s="17" t="n"/>
      <ns0:c r="AF188" s="17" t="n"/>
      <ns0:c r="AG188" s="17" t="n"/>
    </ns0:row>
    <ns0:row r="189" ht="24" customHeight="1">
      <ns0:c r="D189" s="17" t="n"/>
      <ns0:c r="E189" s="17" t="n"/>
      <ns0:c r="F189" s="17" t="n"/>
      <ns0:c r="G189" s="17" t="n"/>
      <ns0:c r="H189" s="17" t="n"/>
      <ns0:c r="I189" s="17" t="n"/>
      <ns0:c r="J189" s="17" t="n"/>
      <ns0:c r="K189" s="17" t="n"/>
      <ns0:c r="L189" s="17" t="n"/>
      <ns0:c r="M189" s="17" t="n"/>
      <ns0:c r="N189" s="17" t="n"/>
      <ns0:c r="O189" s="17" t="n"/>
      <ns0:c r="P189" s="17" t="n"/>
      <ns0:c r="Q189" s="17" t="n"/>
      <ns0:c r="R189" s="17" t="n"/>
      <ns0:c r="S189" s="17" t="n"/>
      <ns0:c r="T189" s="17" t="n"/>
      <ns0:c r="U189" s="17" t="n"/>
      <ns0:c r="V189" s="17" t="n"/>
      <ns0:c r="W189" s="17" t="n"/>
      <ns0:c r="X189" s="17" t="n"/>
      <ns0:c r="Y189" s="17" t="n"/>
      <ns0:c r="Z189" s="17" t="n"/>
      <ns0:c r="AA189" s="17" t="n"/>
      <ns0:c r="AB189" s="17" t="n"/>
      <ns0:c r="AC189" s="17" t="n"/>
      <ns0:c r="AD189" s="17" t="n"/>
      <ns0:c r="AE189" s="17" t="n"/>
      <ns0:c r="AF189" s="17" t="n"/>
      <ns0:c r="AG189" s="17" t="n"/>
    </ns0:row>
    <ns0:row r="190" ht="24" customHeight="1">
      <ns0:c r="D190" s="17" t="n"/>
      <ns0:c r="E190" s="17" t="n"/>
      <ns0:c r="F190" s="17" t="n"/>
      <ns0:c r="G190" s="17" t="n"/>
      <ns0:c r="H190" s="17" t="n"/>
      <ns0:c r="I190" s="17" t="n"/>
      <ns0:c r="J190" s="17" t="n"/>
      <ns0:c r="K190" s="17" t="n"/>
      <ns0:c r="L190" s="17" t="n"/>
      <ns0:c r="M190" s="17" t="n"/>
      <ns0:c r="N190" s="17" t="n"/>
      <ns0:c r="O190" s="17" t="n"/>
      <ns0:c r="P190" s="17" t="n"/>
      <ns0:c r="Q190" s="17" t="n"/>
      <ns0:c r="R190" s="17" t="n"/>
      <ns0:c r="S190" s="17" t="n"/>
      <ns0:c r="T190" s="17" t="n"/>
      <ns0:c r="U190" s="17" t="n"/>
      <ns0:c r="V190" s="17" t="n"/>
      <ns0:c r="W190" s="17" t="n"/>
      <ns0:c r="X190" s="17" t="n"/>
      <ns0:c r="Y190" s="17" t="n"/>
      <ns0:c r="Z190" s="17" t="n"/>
      <ns0:c r="AA190" s="17" t="n"/>
      <ns0:c r="AB190" s="17" t="n"/>
      <ns0:c r="AC190" s="17" t="n"/>
      <ns0:c r="AD190" s="17" t="n"/>
      <ns0:c r="AE190" s="17" t="n"/>
      <ns0:c r="AF190" s="17" t="n"/>
      <ns0:c r="AG190" s="17" t="n"/>
    </ns0:row>
    <ns0:row r="191" ht="24" customHeight="1">
      <ns0:c r="D191" s="17" t="n"/>
      <ns0:c r="E191" s="17" t="n"/>
      <ns0:c r="F191" s="17" t="n"/>
      <ns0:c r="G191" s="17" t="n"/>
      <ns0:c r="H191" s="17" t="n"/>
      <ns0:c r="I191" s="17" t="n"/>
      <ns0:c r="J191" s="17" t="n"/>
      <ns0:c r="K191" s="17" t="n"/>
      <ns0:c r="L191" s="17" t="n"/>
      <ns0:c r="M191" s="17" t="n"/>
      <ns0:c r="N191" s="17" t="n"/>
      <ns0:c r="O191" s="17" t="n"/>
      <ns0:c r="P191" s="17" t="n"/>
      <ns0:c r="Q191" s="17" t="n"/>
      <ns0:c r="R191" s="17" t="n"/>
      <ns0:c r="S191" s="17" t="n"/>
      <ns0:c r="T191" s="17" t="n"/>
      <ns0:c r="U191" s="17" t="n"/>
      <ns0:c r="V191" s="17" t="n"/>
      <ns0:c r="W191" s="17" t="n"/>
      <ns0:c r="X191" s="17" t="n"/>
      <ns0:c r="Y191" s="17" t="n"/>
      <ns0:c r="Z191" s="17" t="n"/>
      <ns0:c r="AA191" s="17" t="n"/>
      <ns0:c r="AB191" s="17" t="n"/>
      <ns0:c r="AC191" s="17" t="n"/>
      <ns0:c r="AD191" s="17" t="n"/>
      <ns0:c r="AE191" s="17" t="n"/>
      <ns0:c r="AF191" s="17" t="n"/>
      <ns0:c r="AG191" s="17" t="n"/>
    </ns0:row>
    <ns0:row r="192" ht="24" customHeight="1">
      <ns0:c r="D192" s="17" t="n"/>
      <ns0:c r="E192" s="17" t="n"/>
      <ns0:c r="F192" s="17" t="n"/>
      <ns0:c r="G192" s="17" t="n"/>
      <ns0:c r="H192" s="17" t="n"/>
      <ns0:c r="I192" s="17" t="n"/>
      <ns0:c r="J192" s="17" t="n"/>
      <ns0:c r="K192" s="17" t="n"/>
      <ns0:c r="L192" s="17" t="n"/>
      <ns0:c r="M192" s="17" t="n"/>
      <ns0:c r="N192" s="17" t="n"/>
      <ns0:c r="O192" s="17" t="n"/>
      <ns0:c r="P192" s="17" t="n"/>
      <ns0:c r="Q192" s="17" t="n"/>
      <ns0:c r="R192" s="17" t="n"/>
      <ns0:c r="S192" s="17" t="n"/>
      <ns0:c r="T192" s="17" t="n"/>
      <ns0:c r="U192" s="17" t="n"/>
      <ns0:c r="V192" s="17" t="n"/>
      <ns0:c r="W192" s="17" t="n"/>
      <ns0:c r="X192" s="17" t="n"/>
      <ns0:c r="Y192" s="17" t="n"/>
      <ns0:c r="Z192" s="17" t="n"/>
      <ns0:c r="AA192" s="17" t="n"/>
      <ns0:c r="AB192" s="17" t="n"/>
      <ns0:c r="AC192" s="17" t="n"/>
      <ns0:c r="AD192" s="17" t="n"/>
      <ns0:c r="AE192" s="17" t="n"/>
      <ns0:c r="AF192" s="17" t="n"/>
      <ns0:c r="AG192" s="17" t="n"/>
    </ns0:row>
    <ns0:row r="193" ht="24" customHeight="1">
      <ns0:c r="D193" s="17" t="n"/>
      <ns0:c r="E193" s="17" t="n"/>
      <ns0:c r="F193" s="17" t="n"/>
      <ns0:c r="G193" s="17" t="n"/>
      <ns0:c r="H193" s="17" t="n"/>
      <ns0:c r="I193" s="17" t="n"/>
      <ns0:c r="J193" s="17" t="n"/>
      <ns0:c r="K193" s="17" t="n"/>
      <ns0:c r="L193" s="17" t="n"/>
      <ns0:c r="M193" s="17" t="n"/>
      <ns0:c r="N193" s="17" t="n"/>
      <ns0:c r="O193" s="17" t="n"/>
      <ns0:c r="P193" s="17" t="n"/>
      <ns0:c r="Q193" s="17" t="n"/>
      <ns0:c r="R193" s="17" t="n"/>
      <ns0:c r="S193" s="17" t="n"/>
      <ns0:c r="T193" s="17" t="n"/>
      <ns0:c r="U193" s="17" t="n"/>
      <ns0:c r="V193" s="17" t="n"/>
      <ns0:c r="W193" s="17" t="n"/>
      <ns0:c r="X193" s="17" t="n"/>
      <ns0:c r="Y193" s="17" t="n"/>
      <ns0:c r="Z193" s="17" t="n"/>
      <ns0:c r="AA193" s="17" t="n"/>
      <ns0:c r="AB193" s="17" t="n"/>
      <ns0:c r="AC193" s="17" t="n"/>
      <ns0:c r="AD193" s="17" t="n"/>
      <ns0:c r="AE193" s="17" t="n"/>
      <ns0:c r="AF193" s="17" t="n"/>
      <ns0:c r="AG193" s="17" t="n"/>
    </ns0:row>
    <ns0:row r="194" ht="24" customHeight="1">
      <ns0:c r="D194" s="17" t="n"/>
      <ns0:c r="E194" s="17" t="n"/>
      <ns0:c r="F194" s="17" t="n"/>
      <ns0:c r="G194" s="17" t="n"/>
      <ns0:c r="H194" s="17" t="n"/>
      <ns0:c r="I194" s="17" t="n"/>
      <ns0:c r="J194" s="17" t="n"/>
      <ns0:c r="K194" s="17" t="n"/>
      <ns0:c r="L194" s="17" t="n"/>
      <ns0:c r="M194" s="17" t="n"/>
      <ns0:c r="N194" s="17" t="n"/>
      <ns0:c r="O194" s="17" t="n"/>
      <ns0:c r="P194" s="17" t="n"/>
      <ns0:c r="Q194" s="17" t="n"/>
      <ns0:c r="R194" s="17" t="n"/>
      <ns0:c r="S194" s="17" t="n"/>
      <ns0:c r="T194" s="17" t="n"/>
      <ns0:c r="U194" s="17" t="n"/>
      <ns0:c r="V194" s="17" t="n"/>
      <ns0:c r="W194" s="17" t="n"/>
      <ns0:c r="X194" s="17" t="n"/>
      <ns0:c r="Y194" s="17" t="n"/>
      <ns0:c r="Z194" s="17" t="n"/>
      <ns0:c r="AA194" s="17" t="n"/>
      <ns0:c r="AB194" s="17" t="n"/>
      <ns0:c r="AC194" s="17" t="n"/>
      <ns0:c r="AD194" s="17" t="n"/>
      <ns0:c r="AE194" s="17" t="n"/>
      <ns0:c r="AF194" s="17" t="n"/>
      <ns0:c r="AG194" s="17" t="n"/>
    </ns0:row>
    <ns0:row r="195" ht="24" customHeight="1">
      <ns0:c r="D195" s="17" t="n"/>
      <ns0:c r="E195" s="17" t="n"/>
      <ns0:c r="F195" s="17" t="n"/>
      <ns0:c r="G195" s="17" t="n"/>
      <ns0:c r="H195" s="17" t="n"/>
      <ns0:c r="I195" s="17" t="n"/>
      <ns0:c r="J195" s="17" t="n"/>
      <ns0:c r="K195" s="17" t="n"/>
      <ns0:c r="L195" s="17" t="n"/>
      <ns0:c r="M195" s="17" t="n"/>
      <ns0:c r="N195" s="17" t="n"/>
      <ns0:c r="O195" s="17" t="n"/>
      <ns0:c r="P195" s="17" t="n"/>
      <ns0:c r="Q195" s="17" t="n"/>
      <ns0:c r="R195" s="17" t="n"/>
      <ns0:c r="S195" s="17" t="n"/>
      <ns0:c r="T195" s="17" t="n"/>
      <ns0:c r="U195" s="17" t="n"/>
      <ns0:c r="V195" s="17" t="n"/>
      <ns0:c r="W195" s="17" t="n"/>
      <ns0:c r="X195" s="17" t="n"/>
      <ns0:c r="Y195" s="17" t="n"/>
      <ns0:c r="Z195" s="17" t="n"/>
      <ns0:c r="AA195" s="17" t="n"/>
      <ns0:c r="AB195" s="17" t="n"/>
      <ns0:c r="AC195" s="17" t="n"/>
      <ns0:c r="AD195" s="17" t="n"/>
      <ns0:c r="AE195" s="17" t="n"/>
      <ns0:c r="AF195" s="17" t="n"/>
      <ns0:c r="AG195" s="17" t="n"/>
    </ns0:row>
    <ns0:row r="196" ht="24" customHeight="1">
      <ns0:c r="D196" s="17" t="n"/>
      <ns0:c r="E196" s="17" t="n"/>
      <ns0:c r="F196" s="17" t="n"/>
      <ns0:c r="G196" s="17" t="n"/>
      <ns0:c r="H196" s="17" t="n"/>
      <ns0:c r="I196" s="17" t="n"/>
      <ns0:c r="J196" s="17" t="n"/>
      <ns0:c r="K196" s="17" t="n"/>
      <ns0:c r="L196" s="17" t="n"/>
      <ns0:c r="M196" s="17" t="n"/>
      <ns0:c r="N196" s="17" t="n"/>
      <ns0:c r="O196" s="17" t="n"/>
      <ns0:c r="P196" s="17" t="n"/>
      <ns0:c r="Q196" s="17" t="n"/>
      <ns0:c r="R196" s="17" t="n"/>
      <ns0:c r="S196" s="17" t="n"/>
      <ns0:c r="T196" s="17" t="n"/>
      <ns0:c r="U196" s="17" t="n"/>
      <ns0:c r="V196" s="17" t="n"/>
      <ns0:c r="W196" s="17" t="n"/>
      <ns0:c r="X196" s="17" t="n"/>
      <ns0:c r="Y196" s="17" t="n"/>
      <ns0:c r="Z196" s="17" t="n"/>
      <ns0:c r="AA196" s="17" t="n"/>
      <ns0:c r="AB196" s="17" t="n"/>
      <ns0:c r="AC196" s="17" t="n"/>
      <ns0:c r="AD196" s="17" t="n"/>
      <ns0:c r="AE196" s="17" t="n"/>
      <ns0:c r="AF196" s="17" t="n"/>
      <ns0:c r="AG196" s="17" t="n"/>
    </ns0:row>
    <ns0:row r="197" ht="24" customHeight="1">
      <ns0:c r="D197" s="17" t="n"/>
      <ns0:c r="E197" s="17" t="n"/>
      <ns0:c r="F197" s="17" t="n"/>
      <ns0:c r="G197" s="17" t="n"/>
      <ns0:c r="H197" s="17" t="n"/>
      <ns0:c r="I197" s="17" t="n"/>
      <ns0:c r="J197" s="17" t="n"/>
      <ns0:c r="K197" s="17" t="n"/>
      <ns0:c r="L197" s="17" t="n"/>
      <ns0:c r="M197" s="17" t="n"/>
      <ns0:c r="N197" s="17" t="n"/>
      <ns0:c r="O197" s="17" t="n"/>
      <ns0:c r="P197" s="17" t="n"/>
      <ns0:c r="Q197" s="17" t="n"/>
      <ns0:c r="R197" s="17" t="n"/>
      <ns0:c r="S197" s="17" t="n"/>
      <ns0:c r="T197" s="17" t="n"/>
      <ns0:c r="U197" s="17" t="n"/>
      <ns0:c r="V197" s="17" t="n"/>
      <ns0:c r="W197" s="17" t="n"/>
      <ns0:c r="X197" s="17" t="n"/>
      <ns0:c r="Y197" s="17" t="n"/>
      <ns0:c r="Z197" s="17" t="n"/>
      <ns0:c r="AA197" s="17" t="n"/>
      <ns0:c r="AB197" s="17" t="n"/>
      <ns0:c r="AC197" s="17" t="n"/>
      <ns0:c r="AD197" s="17" t="n"/>
      <ns0:c r="AE197" s="17" t="n"/>
      <ns0:c r="AF197" s="17" t="n"/>
      <ns0:c r="AG197" s="17" t="n"/>
    </ns0:row>
    <ns0:row r="198" ht="24" customHeight="1">
      <ns0:c r="D198" s="17" t="n"/>
      <ns0:c r="E198" s="17" t="n"/>
      <ns0:c r="F198" s="17" t="n"/>
      <ns0:c r="G198" s="17" t="n"/>
      <ns0:c r="H198" s="17" t="n"/>
      <ns0:c r="I198" s="17" t="n"/>
      <ns0:c r="J198" s="17" t="n"/>
      <ns0:c r="K198" s="17" t="n"/>
      <ns0:c r="L198" s="17" t="n"/>
      <ns0:c r="M198" s="17" t="n"/>
      <ns0:c r="N198" s="17" t="n"/>
      <ns0:c r="O198" s="17" t="n"/>
      <ns0:c r="P198" s="17" t="n"/>
      <ns0:c r="Q198" s="17" t="n"/>
      <ns0:c r="R198" s="17" t="n"/>
      <ns0:c r="S198" s="17" t="n"/>
      <ns0:c r="T198" s="17" t="n"/>
      <ns0:c r="U198" s="17" t="n"/>
      <ns0:c r="V198" s="17" t="n"/>
      <ns0:c r="W198" s="17" t="n"/>
      <ns0:c r="X198" s="17" t="n"/>
      <ns0:c r="Y198" s="17" t="n"/>
      <ns0:c r="Z198" s="17" t="n"/>
      <ns0:c r="AA198" s="17" t="n"/>
      <ns0:c r="AB198" s="17" t="n"/>
      <ns0:c r="AC198" s="17" t="n"/>
      <ns0:c r="AD198" s="17" t="n"/>
      <ns0:c r="AE198" s="17" t="n"/>
      <ns0:c r="AF198" s="17" t="n"/>
      <ns0:c r="AG198" s="17" t="n"/>
    </ns0:row>
    <ns0:row r="199" ht="24" customHeight="1">
      <ns0:c r="D199" s="17" t="n"/>
      <ns0:c r="E199" s="17" t="n"/>
      <ns0:c r="F199" s="17" t="n"/>
      <ns0:c r="G199" s="17" t="n"/>
      <ns0:c r="H199" s="17" t="n"/>
      <ns0:c r="I199" s="17" t="n"/>
      <ns0:c r="J199" s="17" t="n"/>
      <ns0:c r="K199" s="17" t="n"/>
      <ns0:c r="L199" s="17" t="n"/>
      <ns0:c r="M199" s="17" t="n"/>
      <ns0:c r="N199" s="17" t="n"/>
      <ns0:c r="O199" s="17" t="n"/>
      <ns0:c r="P199" s="17" t="n"/>
      <ns0:c r="Q199" s="17" t="n"/>
      <ns0:c r="R199" s="17" t="n"/>
      <ns0:c r="S199" s="17" t="n"/>
      <ns0:c r="T199" s="17" t="n"/>
      <ns0:c r="U199" s="17" t="n"/>
      <ns0:c r="V199" s="17" t="n"/>
      <ns0:c r="W199" s="17" t="n"/>
      <ns0:c r="X199" s="17" t="n"/>
      <ns0:c r="Y199" s="17" t="n"/>
      <ns0:c r="Z199" s="17" t="n"/>
      <ns0:c r="AA199" s="17" t="n"/>
      <ns0:c r="AB199" s="17" t="n"/>
      <ns0:c r="AC199" s="17" t="n"/>
      <ns0:c r="AD199" s="17" t="n"/>
      <ns0:c r="AE199" s="17" t="n"/>
      <ns0:c r="AF199" s="17" t="n"/>
      <ns0:c r="AG199" s="17" t="n"/>
    </ns0:row>
    <ns0:row r="200" ht="24" customHeight="1">
      <ns0:c r="D200" s="17" t="n"/>
      <ns0:c r="E200" s="17" t="n"/>
      <ns0:c r="F200" s="17" t="n"/>
      <ns0:c r="G200" s="17" t="n"/>
      <ns0:c r="H200" s="17" t="n"/>
      <ns0:c r="I200" s="17" t="n"/>
      <ns0:c r="J200" s="17" t="n"/>
      <ns0:c r="K200" s="17" t="n"/>
      <ns0:c r="L200" s="17" t="n"/>
      <ns0:c r="M200" s="17" t="n"/>
      <ns0:c r="N200" s="17" t="n"/>
      <ns0:c r="O200" s="17" t="n"/>
      <ns0:c r="P200" s="17" t="n"/>
      <ns0:c r="Q200" s="17" t="n"/>
      <ns0:c r="R200" s="17" t="n"/>
      <ns0:c r="S200" s="17" t="n"/>
      <ns0:c r="T200" s="17" t="n"/>
      <ns0:c r="U200" s="17" t="n"/>
      <ns0:c r="V200" s="17" t="n"/>
      <ns0:c r="W200" s="17" t="n"/>
      <ns0:c r="X200" s="17" t="n"/>
      <ns0:c r="Y200" s="17" t="n"/>
      <ns0:c r="Z200" s="17" t="n"/>
      <ns0:c r="AA200" s="17" t="n"/>
      <ns0:c r="AB200" s="17" t="n"/>
      <ns0:c r="AC200" s="17" t="n"/>
      <ns0:c r="AD200" s="17" t="n"/>
      <ns0:c r="AE200" s="17" t="n"/>
      <ns0:c r="AF200" s="17" t="n"/>
      <ns0:c r="AG200" s="17" t="n"/>
    </ns0:row>
    <ns0:row r="201" ht="24" customHeight="1">
      <ns0:c r="D201" s="17" t="n"/>
      <ns0:c r="E201" s="17" t="n"/>
      <ns0:c r="F201" s="17" t="n"/>
      <ns0:c r="G201" s="17" t="n"/>
      <ns0:c r="H201" s="17" t="n"/>
      <ns0:c r="I201" s="17" t="n"/>
      <ns0:c r="J201" s="17" t="n"/>
      <ns0:c r="K201" s="17" t="n"/>
      <ns0:c r="L201" s="17" t="n"/>
      <ns0:c r="M201" s="17" t="n"/>
      <ns0:c r="N201" s="17" t="n"/>
      <ns0:c r="O201" s="17" t="n"/>
      <ns0:c r="P201" s="17" t="n"/>
      <ns0:c r="Q201" s="17" t="n"/>
      <ns0:c r="R201" s="17" t="n"/>
      <ns0:c r="S201" s="17" t="n"/>
      <ns0:c r="T201" s="17" t="n"/>
      <ns0:c r="U201" s="17" t="n"/>
      <ns0:c r="V201" s="17" t="n"/>
      <ns0:c r="W201" s="17" t="n"/>
      <ns0:c r="X201" s="17" t="n"/>
      <ns0:c r="Y201" s="17" t="n"/>
      <ns0:c r="Z201" s="17" t="n"/>
      <ns0:c r="AA201" s="17" t="n"/>
      <ns0:c r="AB201" s="17" t="n"/>
      <ns0:c r="AC201" s="17" t="n"/>
      <ns0:c r="AD201" s="17" t="n"/>
      <ns0:c r="AE201" s="17" t="n"/>
      <ns0:c r="AF201" s="17" t="n"/>
      <ns0:c r="AG201" s="17" t="n"/>
    </ns0:row>
    <ns0:row r="202" ht="24" customHeight="1">
      <ns0:c r="D202" s="17" t="n"/>
      <ns0:c r="E202" s="17" t="n"/>
      <ns0:c r="F202" s="17" t="n"/>
      <ns0:c r="G202" s="17" t="n"/>
      <ns0:c r="H202" s="17" t="n"/>
      <ns0:c r="I202" s="17" t="n"/>
      <ns0:c r="J202" s="17" t="n"/>
      <ns0:c r="K202" s="17" t="n"/>
      <ns0:c r="L202" s="17" t="n"/>
      <ns0:c r="M202" s="17" t="n"/>
      <ns0:c r="N202" s="17" t="n"/>
      <ns0:c r="O202" s="17" t="n"/>
      <ns0:c r="P202" s="17" t="n"/>
      <ns0:c r="Q202" s="17" t="n"/>
      <ns0:c r="R202" s="17" t="n"/>
      <ns0:c r="S202" s="17" t="n"/>
      <ns0:c r="T202" s="17" t="n"/>
      <ns0:c r="U202" s="17" t="n"/>
      <ns0:c r="V202" s="17" t="n"/>
      <ns0:c r="W202" s="17" t="n"/>
      <ns0:c r="X202" s="17" t="n"/>
      <ns0:c r="Y202" s="17" t="n"/>
      <ns0:c r="Z202" s="17" t="n"/>
      <ns0:c r="AA202" s="17" t="n"/>
      <ns0:c r="AB202" s="17" t="n"/>
      <ns0:c r="AC202" s="17" t="n"/>
      <ns0:c r="AD202" s="17" t="n"/>
      <ns0:c r="AE202" s="17" t="n"/>
      <ns0:c r="AF202" s="17" t="n"/>
      <ns0:c r="AG202" s="17" t="n"/>
    </ns0:row>
    <ns0:row r="203" ht="24" customHeight="1">
      <ns0:c r="D203" s="17" t="n"/>
      <ns0:c r="E203" s="17" t="n"/>
      <ns0:c r="F203" s="17" t="n"/>
      <ns0:c r="G203" s="17" t="n"/>
      <ns0:c r="H203" s="17" t="n"/>
      <ns0:c r="I203" s="17" t="n"/>
      <ns0:c r="J203" s="17" t="n"/>
      <ns0:c r="K203" s="17" t="n"/>
      <ns0:c r="L203" s="17" t="n"/>
      <ns0:c r="M203" s="17" t="n"/>
      <ns0:c r="N203" s="17" t="n"/>
      <ns0:c r="O203" s="17" t="n"/>
      <ns0:c r="P203" s="17" t="n"/>
      <ns0:c r="Q203" s="17" t="n"/>
      <ns0:c r="R203" s="17" t="n"/>
      <ns0:c r="S203" s="17" t="n"/>
      <ns0:c r="T203" s="17" t="n"/>
      <ns0:c r="U203" s="17" t="n"/>
      <ns0:c r="V203" s="17" t="n"/>
      <ns0:c r="W203" s="17" t="n"/>
      <ns0:c r="X203" s="17" t="n"/>
      <ns0:c r="Y203" s="17" t="n"/>
      <ns0:c r="Z203" s="17" t="n"/>
      <ns0:c r="AA203" s="17" t="n"/>
      <ns0:c r="AB203" s="17" t="n"/>
      <ns0:c r="AC203" s="17" t="n"/>
      <ns0:c r="AD203" s="17" t="n"/>
      <ns0:c r="AE203" s="17" t="n"/>
      <ns0:c r="AF203" s="17" t="n"/>
      <ns0:c r="AG203" s="17" t="n"/>
    </ns0:row>
    <ns0:row r="204" ht="24" customHeight="1">
      <ns0:c r="D204" s="17" t="n"/>
      <ns0:c r="E204" s="17" t="n"/>
      <ns0:c r="F204" s="17" t="n"/>
      <ns0:c r="G204" s="17" t="n"/>
      <ns0:c r="H204" s="17" t="n"/>
      <ns0:c r="I204" s="17" t="n"/>
      <ns0:c r="J204" s="17" t="n"/>
      <ns0:c r="K204" s="17" t="n"/>
      <ns0:c r="L204" s="17" t="n"/>
      <ns0:c r="M204" s="17" t="n"/>
      <ns0:c r="N204" s="17" t="n"/>
      <ns0:c r="O204" s="17" t="n"/>
      <ns0:c r="P204" s="17" t="n"/>
      <ns0:c r="Q204" s="17" t="n"/>
      <ns0:c r="R204" s="17" t="n"/>
      <ns0:c r="S204" s="17" t="n"/>
      <ns0:c r="T204" s="17" t="n"/>
      <ns0:c r="U204" s="17" t="n"/>
      <ns0:c r="V204" s="17" t="n"/>
      <ns0:c r="W204" s="17" t="n"/>
      <ns0:c r="X204" s="17" t="n"/>
      <ns0:c r="Y204" s="17" t="n"/>
      <ns0:c r="Z204" s="17" t="n"/>
      <ns0:c r="AA204" s="17" t="n"/>
      <ns0:c r="AB204" s="17" t="n"/>
      <ns0:c r="AC204" s="17" t="n"/>
      <ns0:c r="AD204" s="17" t="n"/>
      <ns0:c r="AE204" s="17" t="n"/>
      <ns0:c r="AF204" s="17" t="n"/>
      <ns0:c r="AG204" s="17" t="n"/>
    </ns0:row>
    <ns0:row r="205" ht="24" customHeight="1">
      <ns0:c r="D205" s="17" t="n"/>
      <ns0:c r="E205" s="17" t="n"/>
      <ns0:c r="F205" s="17" t="n"/>
      <ns0:c r="G205" s="17" t="n"/>
      <ns0:c r="H205" s="17" t="n"/>
      <ns0:c r="I205" s="17" t="n"/>
      <ns0:c r="J205" s="17" t="n"/>
      <ns0:c r="K205" s="17" t="n"/>
      <ns0:c r="L205" s="17" t="n"/>
      <ns0:c r="M205" s="17" t="n"/>
      <ns0:c r="N205" s="17" t="n"/>
      <ns0:c r="O205" s="17" t="n"/>
      <ns0:c r="P205" s="17" t="n"/>
      <ns0:c r="Q205" s="17" t="n"/>
      <ns0:c r="R205" s="17" t="n"/>
      <ns0:c r="S205" s="17" t="n"/>
      <ns0:c r="T205" s="17" t="n"/>
      <ns0:c r="U205" s="17" t="n"/>
      <ns0:c r="V205" s="17" t="n"/>
      <ns0:c r="W205" s="17" t="n"/>
      <ns0:c r="X205" s="17" t="n"/>
      <ns0:c r="Y205" s="17" t="n"/>
      <ns0:c r="Z205" s="17" t="n"/>
      <ns0:c r="AA205" s="17" t="n"/>
      <ns0:c r="AB205" s="17" t="n"/>
      <ns0:c r="AC205" s="17" t="n"/>
      <ns0:c r="AD205" s="17" t="n"/>
      <ns0:c r="AE205" s="17" t="n"/>
      <ns0:c r="AF205" s="17" t="n"/>
      <ns0:c r="AG205" s="17" t="n"/>
    </ns0:row>
    <ns0:row r="206" ht="24" customHeight="1">
      <ns0:c r="D206" s="17" t="n"/>
      <ns0:c r="E206" s="17" t="n"/>
      <ns0:c r="F206" s="17" t="n"/>
      <ns0:c r="G206" s="17" t="n"/>
      <ns0:c r="H206" s="17" t="n"/>
      <ns0:c r="I206" s="17" t="n"/>
      <ns0:c r="J206" s="17" t="n"/>
      <ns0:c r="K206" s="17" t="n"/>
      <ns0:c r="L206" s="17" t="n"/>
      <ns0:c r="M206" s="17" t="n"/>
      <ns0:c r="N206" s="17" t="n"/>
      <ns0:c r="O206" s="17" t="n"/>
      <ns0:c r="P206" s="17" t="n"/>
      <ns0:c r="Q206" s="17" t="n"/>
      <ns0:c r="R206" s="17" t="n"/>
      <ns0:c r="S206" s="17" t="n"/>
      <ns0:c r="T206" s="17" t="n"/>
      <ns0:c r="U206" s="17" t="n"/>
      <ns0:c r="V206" s="17" t="n"/>
      <ns0:c r="W206" s="17" t="n"/>
      <ns0:c r="X206" s="17" t="n"/>
      <ns0:c r="Y206" s="17" t="n"/>
      <ns0:c r="Z206" s="17" t="n"/>
      <ns0:c r="AA206" s="17" t="n"/>
      <ns0:c r="AB206" s="17" t="n"/>
      <ns0:c r="AC206" s="17" t="n"/>
      <ns0:c r="AD206" s="17" t="n"/>
      <ns0:c r="AE206" s="17" t="n"/>
      <ns0:c r="AF206" s="17" t="n"/>
      <ns0:c r="AG206" s="17" t="n"/>
    </ns0:row>
    <ns0:row r="207" ht="24" customHeight="1">
      <ns0:c r="D207" s="17" t="n"/>
      <ns0:c r="E207" s="17" t="n"/>
      <ns0:c r="F207" s="17" t="n"/>
      <ns0:c r="G207" s="17" t="n"/>
      <ns0:c r="H207" s="17" t="n"/>
      <ns0:c r="I207" s="17" t="n"/>
      <ns0:c r="J207" s="17" t="n"/>
      <ns0:c r="K207" s="17" t="n"/>
      <ns0:c r="L207" s="17" t="n"/>
      <ns0:c r="M207" s="17" t="n"/>
      <ns0:c r="N207" s="17" t="n"/>
      <ns0:c r="O207" s="17" t="n"/>
      <ns0:c r="P207" s="17" t="n"/>
      <ns0:c r="Q207" s="17" t="n"/>
      <ns0:c r="R207" s="17" t="n"/>
      <ns0:c r="S207" s="17" t="n"/>
      <ns0:c r="T207" s="17" t="n"/>
      <ns0:c r="U207" s="17" t="n"/>
      <ns0:c r="V207" s="17" t="n"/>
      <ns0:c r="W207" s="17" t="n"/>
      <ns0:c r="X207" s="17" t="n"/>
      <ns0:c r="Y207" s="17" t="n"/>
      <ns0:c r="Z207" s="17" t="n"/>
      <ns0:c r="AA207" s="17" t="n"/>
      <ns0:c r="AB207" s="17" t="n"/>
      <ns0:c r="AC207" s="17" t="n"/>
      <ns0:c r="AD207" s="17" t="n"/>
      <ns0:c r="AE207" s="17" t="n"/>
      <ns0:c r="AF207" s="17" t="n"/>
      <ns0:c r="AG207" s="17" t="n"/>
    </ns0:row>
    <ns0:row r="208" ht="24" customHeight="1">
      <ns0:c r="D208" s="17" t="n"/>
      <ns0:c r="E208" s="17" t="n"/>
      <ns0:c r="F208" s="17" t="n"/>
      <ns0:c r="G208" s="17" t="n"/>
      <ns0:c r="H208" s="17" t="n"/>
      <ns0:c r="I208" s="17" t="n"/>
      <ns0:c r="J208" s="17" t="n"/>
      <ns0:c r="K208" s="17" t="n"/>
      <ns0:c r="L208" s="17" t="n"/>
      <ns0:c r="M208" s="17" t="n"/>
      <ns0:c r="N208" s="17" t="n"/>
      <ns0:c r="O208" s="17" t="n"/>
      <ns0:c r="P208" s="17" t="n"/>
      <ns0:c r="Q208" s="17" t="n"/>
      <ns0:c r="R208" s="17" t="n"/>
      <ns0:c r="S208" s="17" t="n"/>
      <ns0:c r="T208" s="17" t="n"/>
      <ns0:c r="U208" s="17" t="n"/>
      <ns0:c r="V208" s="17" t="n"/>
      <ns0:c r="W208" s="17" t="n"/>
      <ns0:c r="X208" s="17" t="n"/>
      <ns0:c r="Y208" s="17" t="n"/>
      <ns0:c r="Z208" s="17" t="n"/>
      <ns0:c r="AA208" s="17" t="n"/>
      <ns0:c r="AB208" s="17" t="n"/>
      <ns0:c r="AC208" s="17" t="n"/>
      <ns0:c r="AD208" s="17" t="n"/>
      <ns0:c r="AE208" s="17" t="n"/>
      <ns0:c r="AF208" s="17" t="n"/>
      <ns0:c r="AG208" s="17" t="n"/>
    </ns0:row>
    <ns0:row r="209" ht="24" customHeight="1">
      <ns0:c r="D209" s="17" t="n"/>
      <ns0:c r="E209" s="17" t="n"/>
      <ns0:c r="F209" s="17" t="n"/>
      <ns0:c r="G209" s="17" t="n"/>
      <ns0:c r="H209" s="17" t="n"/>
      <ns0:c r="I209" s="17" t="n"/>
      <ns0:c r="J209" s="17" t="n"/>
      <ns0:c r="K209" s="17" t="n"/>
      <ns0:c r="L209" s="17" t="n"/>
      <ns0:c r="M209" s="17" t="n"/>
      <ns0:c r="N209" s="17" t="n"/>
      <ns0:c r="O209" s="17" t="n"/>
      <ns0:c r="P209" s="17" t="n"/>
      <ns0:c r="Q209" s="17" t="n"/>
      <ns0:c r="R209" s="17" t="n"/>
      <ns0:c r="S209" s="17" t="n"/>
      <ns0:c r="T209" s="17" t="n"/>
      <ns0:c r="U209" s="17" t="n"/>
      <ns0:c r="V209" s="17" t="n"/>
      <ns0:c r="W209" s="17" t="n"/>
      <ns0:c r="X209" s="17" t="n"/>
      <ns0:c r="Y209" s="17" t="n"/>
      <ns0:c r="Z209" s="17" t="n"/>
      <ns0:c r="AA209" s="17" t="n"/>
      <ns0:c r="AB209" s="17" t="n"/>
      <ns0:c r="AC209" s="17" t="n"/>
      <ns0:c r="AD209" s="17" t="n"/>
      <ns0:c r="AE209" s="17" t="n"/>
      <ns0:c r="AF209" s="17" t="n"/>
      <ns0:c r="AG209" s="17" t="n"/>
    </ns0:row>
    <ns0:row r="210" ht="24" customHeight="1">
      <ns0:c r="D210" s="17" t="n"/>
      <ns0:c r="E210" s="17" t="n"/>
      <ns0:c r="F210" s="17" t="n"/>
      <ns0:c r="G210" s="17" t="n"/>
      <ns0:c r="H210" s="17" t="n"/>
      <ns0:c r="I210" s="17" t="n"/>
      <ns0:c r="J210" s="17" t="n"/>
      <ns0:c r="K210" s="17" t="n"/>
      <ns0:c r="L210" s="17" t="n"/>
      <ns0:c r="M210" s="17" t="n"/>
      <ns0:c r="N210" s="17" t="n"/>
      <ns0:c r="O210" s="17" t="n"/>
      <ns0:c r="P210" s="17" t="n"/>
      <ns0:c r="Q210" s="17" t="n"/>
      <ns0:c r="R210" s="17" t="n"/>
      <ns0:c r="S210" s="17" t="n"/>
      <ns0:c r="T210" s="17" t="n"/>
      <ns0:c r="U210" s="17" t="n"/>
      <ns0:c r="V210" s="17" t="n"/>
      <ns0:c r="W210" s="17" t="n"/>
      <ns0:c r="X210" s="17" t="n"/>
      <ns0:c r="Y210" s="17" t="n"/>
      <ns0:c r="Z210" s="17" t="n"/>
      <ns0:c r="AA210" s="17" t="n"/>
      <ns0:c r="AB210" s="17" t="n"/>
      <ns0:c r="AC210" s="17" t="n"/>
      <ns0:c r="AD210" s="17" t="n"/>
      <ns0:c r="AE210" s="17" t="n"/>
      <ns0:c r="AF210" s="17" t="n"/>
      <ns0:c r="AG210" s="17" t="n"/>
    </ns0:row>
    <ns0:row r="211" ht="24" customHeight="1">
      <ns0:c r="D211" s="17" t="n"/>
      <ns0:c r="E211" s="17" t="n"/>
      <ns0:c r="F211" s="17" t="n"/>
      <ns0:c r="G211" s="17" t="n"/>
      <ns0:c r="H211" s="17" t="n"/>
      <ns0:c r="I211" s="17" t="n"/>
      <ns0:c r="J211" s="17" t="n"/>
      <ns0:c r="K211" s="17" t="n"/>
      <ns0:c r="L211" s="17" t="n"/>
      <ns0:c r="M211" s="17" t="n"/>
      <ns0:c r="N211" s="17" t="n"/>
      <ns0:c r="O211" s="17" t="n"/>
      <ns0:c r="P211" s="17" t="n"/>
      <ns0:c r="Q211" s="17" t="n"/>
      <ns0:c r="R211" s="17" t="n"/>
      <ns0:c r="S211" s="17" t="n"/>
      <ns0:c r="T211" s="17" t="n"/>
      <ns0:c r="U211" s="17" t="n"/>
      <ns0:c r="V211" s="17" t="n"/>
      <ns0:c r="W211" s="17" t="n"/>
      <ns0:c r="X211" s="17" t="n"/>
      <ns0:c r="Y211" s="17" t="n"/>
      <ns0:c r="Z211" s="17" t="n"/>
      <ns0:c r="AA211" s="17" t="n"/>
      <ns0:c r="AB211" s="17" t="n"/>
      <ns0:c r="AC211" s="17" t="n"/>
      <ns0:c r="AD211" s="17" t="n"/>
      <ns0:c r="AE211" s="17" t="n"/>
      <ns0:c r="AF211" s="17" t="n"/>
      <ns0:c r="AG211" s="17" t="n"/>
    </ns0:row>
    <ns0:row r="212" ht="24" customHeight="1">
      <ns0:c r="D212" s="17" t="n"/>
      <ns0:c r="E212" s="17" t="n"/>
      <ns0:c r="F212" s="17" t="n"/>
      <ns0:c r="G212" s="17" t="n"/>
      <ns0:c r="H212" s="17" t="n"/>
      <ns0:c r="I212" s="17" t="n"/>
      <ns0:c r="J212" s="17" t="n"/>
      <ns0:c r="K212" s="17" t="n"/>
      <ns0:c r="L212" s="17" t="n"/>
      <ns0:c r="M212" s="17" t="n"/>
      <ns0:c r="N212" s="17" t="n"/>
      <ns0:c r="O212" s="17" t="n"/>
      <ns0:c r="P212" s="17" t="n"/>
      <ns0:c r="Q212" s="17" t="n"/>
      <ns0:c r="R212" s="17" t="n"/>
      <ns0:c r="S212" s="17" t="n"/>
      <ns0:c r="T212" s="17" t="n"/>
      <ns0:c r="U212" s="17" t="n"/>
      <ns0:c r="V212" s="17" t="n"/>
      <ns0:c r="W212" s="17" t="n"/>
      <ns0:c r="X212" s="17" t="n"/>
      <ns0:c r="Y212" s="17" t="n"/>
      <ns0:c r="Z212" s="17" t="n"/>
      <ns0:c r="AA212" s="17" t="n"/>
      <ns0:c r="AB212" s="17" t="n"/>
      <ns0:c r="AC212" s="17" t="n"/>
      <ns0:c r="AD212" s="17" t="n"/>
      <ns0:c r="AE212" s="17" t="n"/>
      <ns0:c r="AF212" s="17" t="n"/>
      <ns0:c r="AG212" s="17" t="n"/>
    </ns0:row>
    <ns0:row r="213" ht="24" customHeight="1">
      <ns0:c r="D213" s="17" t="n"/>
      <ns0:c r="E213" s="17" t="n"/>
      <ns0:c r="F213" s="17" t="n"/>
      <ns0:c r="G213" s="17" t="n"/>
      <ns0:c r="H213" s="17" t="n"/>
      <ns0:c r="I213" s="17" t="n"/>
      <ns0:c r="J213" s="17" t="n"/>
      <ns0:c r="K213" s="17" t="n"/>
      <ns0:c r="L213" s="17" t="n"/>
      <ns0:c r="M213" s="17" t="n"/>
      <ns0:c r="N213" s="17" t="n"/>
      <ns0:c r="O213" s="17" t="n"/>
      <ns0:c r="P213" s="17" t="n"/>
      <ns0:c r="Q213" s="17" t="n"/>
      <ns0:c r="R213" s="17" t="n"/>
      <ns0:c r="S213" s="17" t="n"/>
      <ns0:c r="T213" s="17" t="n"/>
      <ns0:c r="U213" s="17" t="n"/>
      <ns0:c r="V213" s="17" t="n"/>
      <ns0:c r="W213" s="17" t="n"/>
      <ns0:c r="X213" s="17" t="n"/>
      <ns0:c r="Y213" s="17" t="n"/>
      <ns0:c r="Z213" s="17" t="n"/>
      <ns0:c r="AA213" s="17" t="n"/>
      <ns0:c r="AB213" s="17" t="n"/>
      <ns0:c r="AC213" s="17" t="n"/>
      <ns0:c r="AD213" s="17" t="n"/>
      <ns0:c r="AE213" s="17" t="n"/>
      <ns0:c r="AF213" s="17" t="n"/>
      <ns0:c r="AG213" s="17" t="n"/>
    </ns0:row>
    <ns0:row r="214" ht="24" customHeight="1">
      <ns0:c r="D214" s="17" t="n"/>
      <ns0:c r="E214" s="17" t="n"/>
      <ns0:c r="F214" s="17" t="n"/>
      <ns0:c r="G214" s="17" t="n"/>
      <ns0:c r="H214" s="17" t="n"/>
      <ns0:c r="I214" s="17" t="n"/>
      <ns0:c r="J214" s="17" t="n"/>
      <ns0:c r="K214" s="17" t="n"/>
      <ns0:c r="L214" s="17" t="n"/>
      <ns0:c r="M214" s="17" t="n"/>
      <ns0:c r="N214" s="17" t="n"/>
      <ns0:c r="O214" s="17" t="n"/>
      <ns0:c r="P214" s="17" t="n"/>
      <ns0:c r="Q214" s="17" t="n"/>
      <ns0:c r="R214" s="17" t="n"/>
      <ns0:c r="S214" s="17" t="n"/>
      <ns0:c r="T214" s="17" t="n"/>
      <ns0:c r="U214" s="17" t="n"/>
      <ns0:c r="V214" s="17" t="n"/>
      <ns0:c r="W214" s="17" t="n"/>
      <ns0:c r="X214" s="17" t="n"/>
      <ns0:c r="Y214" s="17" t="n"/>
      <ns0:c r="Z214" s="17" t="n"/>
      <ns0:c r="AA214" s="17" t="n"/>
      <ns0:c r="AB214" s="17" t="n"/>
      <ns0:c r="AC214" s="17" t="n"/>
      <ns0:c r="AD214" s="17" t="n"/>
      <ns0:c r="AE214" s="17" t="n"/>
      <ns0:c r="AF214" s="17" t="n"/>
      <ns0:c r="AG214" s="17" t="n"/>
    </ns0:row>
    <ns0:row r="215" ht="24" customHeight="1">
      <ns0:c r="D215" s="17" t="n"/>
      <ns0:c r="E215" s="17" t="n"/>
      <ns0:c r="F215" s="17" t="n"/>
      <ns0:c r="G215" s="17" t="n"/>
      <ns0:c r="H215" s="17" t="n"/>
      <ns0:c r="I215" s="17" t="n"/>
      <ns0:c r="J215" s="17" t="n"/>
      <ns0:c r="K215" s="17" t="n"/>
      <ns0:c r="L215" s="17" t="n"/>
      <ns0:c r="M215" s="17" t="n"/>
      <ns0:c r="N215" s="17" t="n"/>
      <ns0:c r="O215" s="17" t="n"/>
      <ns0:c r="P215" s="17" t="n"/>
      <ns0:c r="Q215" s="17" t="n"/>
      <ns0:c r="R215" s="17" t="n"/>
      <ns0:c r="S215" s="17" t="n"/>
      <ns0:c r="T215" s="17" t="n"/>
      <ns0:c r="U215" s="17" t="n"/>
      <ns0:c r="V215" s="17" t="n"/>
      <ns0:c r="W215" s="17" t="n"/>
      <ns0:c r="X215" s="17" t="n"/>
      <ns0:c r="Y215" s="17" t="n"/>
      <ns0:c r="Z215" s="17" t="n"/>
      <ns0:c r="AA215" s="17" t="n"/>
      <ns0:c r="AB215" s="17" t="n"/>
      <ns0:c r="AC215" s="17" t="n"/>
      <ns0:c r="AD215" s="17" t="n"/>
      <ns0:c r="AE215" s="17" t="n"/>
      <ns0:c r="AF215" s="17" t="n"/>
      <ns0:c r="AG215" s="17" t="n"/>
    </ns0:row>
    <ns0:row r="216" ht="24" customHeight="1">
      <ns0:c r="D216" s="17" t="n"/>
      <ns0:c r="E216" s="17" t="n"/>
      <ns0:c r="F216" s="17" t="n"/>
      <ns0:c r="G216" s="17" t="n"/>
      <ns0:c r="H216" s="17" t="n"/>
      <ns0:c r="I216" s="17" t="n"/>
      <ns0:c r="J216" s="17" t="n"/>
      <ns0:c r="K216" s="17" t="n"/>
      <ns0:c r="L216" s="17" t="n"/>
      <ns0:c r="M216" s="17" t="n"/>
      <ns0:c r="N216" s="17" t="n"/>
      <ns0:c r="O216" s="17" t="n"/>
      <ns0:c r="P216" s="17" t="n"/>
      <ns0:c r="Q216" s="17" t="n"/>
      <ns0:c r="R216" s="17" t="n"/>
      <ns0:c r="S216" s="17" t="n"/>
      <ns0:c r="T216" s="17" t="n"/>
      <ns0:c r="U216" s="17" t="n"/>
      <ns0:c r="V216" s="17" t="n"/>
      <ns0:c r="W216" s="17" t="n"/>
      <ns0:c r="X216" s="17" t="n"/>
      <ns0:c r="Y216" s="17" t="n"/>
      <ns0:c r="Z216" s="17" t="n"/>
      <ns0:c r="AA216" s="17" t="n"/>
      <ns0:c r="AB216" s="17" t="n"/>
      <ns0:c r="AC216" s="17" t="n"/>
      <ns0:c r="AD216" s="17" t="n"/>
      <ns0:c r="AE216" s="17" t="n"/>
      <ns0:c r="AF216" s="17" t="n"/>
      <ns0:c r="AG216" s="17" t="n"/>
    </ns0:row>
    <ns0:row r="217" ht="24" customHeight="1">
      <ns0:c r="D217" s="17" t="n"/>
      <ns0:c r="E217" s="17" t="n"/>
      <ns0:c r="F217" s="17" t="n"/>
      <ns0:c r="G217" s="17" t="n"/>
      <ns0:c r="H217" s="17" t="n"/>
      <ns0:c r="I217" s="17" t="n"/>
      <ns0:c r="J217" s="17" t="n"/>
      <ns0:c r="K217" s="17" t="n"/>
      <ns0:c r="L217" s="17" t="n"/>
      <ns0:c r="M217" s="17" t="n"/>
      <ns0:c r="N217" s="17" t="n"/>
      <ns0:c r="O217" s="17" t="n"/>
      <ns0:c r="P217" s="17" t="n"/>
      <ns0:c r="Q217" s="17" t="n"/>
      <ns0:c r="R217" s="17" t="n"/>
      <ns0:c r="S217" s="17" t="n"/>
      <ns0:c r="T217" s="17" t="n"/>
      <ns0:c r="U217" s="17" t="n"/>
      <ns0:c r="V217" s="17" t="n"/>
      <ns0:c r="W217" s="17" t="n"/>
      <ns0:c r="X217" s="17" t="n"/>
      <ns0:c r="Y217" s="17" t="n"/>
      <ns0:c r="Z217" s="17" t="n"/>
      <ns0:c r="AA217" s="17" t="n"/>
      <ns0:c r="AB217" s="17" t="n"/>
      <ns0:c r="AC217" s="17" t="n"/>
      <ns0:c r="AD217" s="17" t="n"/>
      <ns0:c r="AE217" s="17" t="n"/>
      <ns0:c r="AF217" s="17" t="n"/>
      <ns0:c r="AG217" s="17" t="n"/>
    </ns0:row>
    <ns0:row r="218" ht="24" customHeight="1">
      <ns0:c r="D218" s="17" t="n"/>
      <ns0:c r="E218" s="17" t="n"/>
      <ns0:c r="F218" s="17" t="n"/>
      <ns0:c r="G218" s="17" t="n"/>
      <ns0:c r="H218" s="17" t="n"/>
      <ns0:c r="I218" s="17" t="n"/>
      <ns0:c r="J218" s="17" t="n"/>
      <ns0:c r="K218" s="17" t="n"/>
      <ns0:c r="L218" s="17" t="n"/>
      <ns0:c r="M218" s="17" t="n"/>
      <ns0:c r="N218" s="17" t="n"/>
      <ns0:c r="O218" s="17" t="n"/>
      <ns0:c r="P218" s="17" t="n"/>
      <ns0:c r="Q218" s="17" t="n"/>
      <ns0:c r="R218" s="17" t="n"/>
      <ns0:c r="S218" s="17" t="n"/>
      <ns0:c r="T218" s="17" t="n"/>
      <ns0:c r="U218" s="17" t="n"/>
      <ns0:c r="V218" s="17" t="n"/>
      <ns0:c r="W218" s="17" t="n"/>
      <ns0:c r="X218" s="17" t="n"/>
      <ns0:c r="Y218" s="17" t="n"/>
      <ns0:c r="Z218" s="17" t="n"/>
      <ns0:c r="AA218" s="17" t="n"/>
      <ns0:c r="AB218" s="17" t="n"/>
      <ns0:c r="AC218" s="17" t="n"/>
      <ns0:c r="AD218" s="17" t="n"/>
      <ns0:c r="AE218" s="17" t="n"/>
      <ns0:c r="AF218" s="17" t="n"/>
      <ns0:c r="AG218" s="17" t="n"/>
    </ns0:row>
    <ns0:row r="219" ht="24" customHeight="1">
      <ns0:c r="D219" s="17" t="n"/>
      <ns0:c r="E219" s="17" t="n"/>
      <ns0:c r="F219" s="17" t="n"/>
      <ns0:c r="G219" s="17" t="n"/>
      <ns0:c r="H219" s="17" t="n"/>
      <ns0:c r="I219" s="17" t="n"/>
      <ns0:c r="J219" s="17" t="n"/>
      <ns0:c r="K219" s="17" t="n"/>
      <ns0:c r="L219" s="17" t="n"/>
      <ns0:c r="M219" s="17" t="n"/>
      <ns0:c r="N219" s="17" t="n"/>
      <ns0:c r="O219" s="17" t="n"/>
      <ns0:c r="P219" s="17" t="n"/>
      <ns0:c r="Q219" s="17" t="n"/>
      <ns0:c r="R219" s="17" t="n"/>
      <ns0:c r="S219" s="17" t="n"/>
      <ns0:c r="T219" s="17" t="n"/>
      <ns0:c r="U219" s="17" t="n"/>
      <ns0:c r="V219" s="17" t="n"/>
      <ns0:c r="W219" s="17" t="n"/>
      <ns0:c r="X219" s="17" t="n"/>
      <ns0:c r="Y219" s="17" t="n"/>
      <ns0:c r="Z219" s="17" t="n"/>
      <ns0:c r="AA219" s="17" t="n"/>
      <ns0:c r="AB219" s="17" t="n"/>
      <ns0:c r="AC219" s="17" t="n"/>
      <ns0:c r="AD219" s="17" t="n"/>
      <ns0:c r="AE219" s="17" t="n"/>
      <ns0:c r="AF219" s="17" t="n"/>
      <ns0:c r="AG219" s="17" t="n"/>
    </ns0:row>
    <ns0:row r="220" ht="24" customHeight="1">
      <ns0:c r="D220" s="17" t="n"/>
      <ns0:c r="E220" s="17" t="n"/>
      <ns0:c r="F220" s="17" t="n"/>
      <ns0:c r="G220" s="17" t="n"/>
      <ns0:c r="H220" s="17" t="n"/>
      <ns0:c r="I220" s="17" t="n"/>
      <ns0:c r="J220" s="17" t="n"/>
      <ns0:c r="K220" s="17" t="n"/>
      <ns0:c r="L220" s="17" t="n"/>
      <ns0:c r="M220" s="17" t="n"/>
      <ns0:c r="N220" s="17" t="n"/>
      <ns0:c r="O220" s="17" t="n"/>
      <ns0:c r="P220" s="17" t="n"/>
      <ns0:c r="Q220" s="17" t="n"/>
      <ns0:c r="R220" s="17" t="n"/>
      <ns0:c r="S220" s="17" t="n"/>
      <ns0:c r="T220" s="17" t="n"/>
      <ns0:c r="U220" s="17" t="n"/>
      <ns0:c r="V220" s="17" t="n"/>
      <ns0:c r="W220" s="17" t="n"/>
      <ns0:c r="X220" s="17" t="n"/>
      <ns0:c r="Y220" s="17" t="n"/>
      <ns0:c r="Z220" s="17" t="n"/>
      <ns0:c r="AA220" s="17" t="n"/>
      <ns0:c r="AB220" s="17" t="n"/>
      <ns0:c r="AC220" s="17" t="n"/>
      <ns0:c r="AD220" s="17" t="n"/>
      <ns0:c r="AE220" s="17" t="n"/>
      <ns0:c r="AF220" s="17" t="n"/>
      <ns0:c r="AG220" s="17" t="n"/>
    </ns0:row>
    <ns0:row r="221" ht="24" customHeight="1">
      <ns0:c r="D221" s="17" t="n"/>
      <ns0:c r="E221" s="17" t="n"/>
      <ns0:c r="F221" s="17" t="n"/>
      <ns0:c r="G221" s="17" t="n"/>
      <ns0:c r="H221" s="17" t="n"/>
      <ns0:c r="I221" s="17" t="n"/>
      <ns0:c r="J221" s="17" t="n"/>
      <ns0:c r="K221" s="17" t="n"/>
      <ns0:c r="L221" s="17" t="n"/>
      <ns0:c r="M221" s="17" t="n"/>
      <ns0:c r="N221" s="17" t="n"/>
      <ns0:c r="O221" s="17" t="n"/>
      <ns0:c r="P221" s="17" t="n"/>
      <ns0:c r="Q221" s="17" t="n"/>
      <ns0:c r="R221" s="17" t="n"/>
      <ns0:c r="S221" s="17" t="n"/>
      <ns0:c r="T221" s="17" t="n"/>
      <ns0:c r="U221" s="17" t="n"/>
      <ns0:c r="V221" s="17" t="n"/>
      <ns0:c r="W221" s="17" t="n"/>
      <ns0:c r="X221" s="17" t="n"/>
      <ns0:c r="Y221" s="17" t="n"/>
      <ns0:c r="Z221" s="17" t="n"/>
      <ns0:c r="AA221" s="17" t="n"/>
      <ns0:c r="AB221" s="17" t="n"/>
      <ns0:c r="AC221" s="17" t="n"/>
      <ns0:c r="AD221" s="17" t="n"/>
      <ns0:c r="AE221" s="17" t="n"/>
      <ns0:c r="AF221" s="17" t="n"/>
      <ns0:c r="AG221" s="17" t="n"/>
    </ns0:row>
    <ns0:row r="222" ht="24" customHeight="1">
      <ns0:c r="D222" s="17" t="n"/>
      <ns0:c r="E222" s="17" t="n"/>
      <ns0:c r="F222" s="17" t="n"/>
      <ns0:c r="G222" s="17" t="n"/>
      <ns0:c r="H222" s="17" t="n"/>
      <ns0:c r="I222" s="17" t="n"/>
      <ns0:c r="J222" s="17" t="n"/>
      <ns0:c r="K222" s="17" t="n"/>
      <ns0:c r="L222" s="17" t="n"/>
      <ns0:c r="M222" s="17" t="n"/>
      <ns0:c r="N222" s="17" t="n"/>
      <ns0:c r="O222" s="17" t="n"/>
      <ns0:c r="P222" s="17" t="n"/>
      <ns0:c r="Q222" s="17" t="n"/>
      <ns0:c r="R222" s="17" t="n"/>
      <ns0:c r="S222" s="17" t="n"/>
      <ns0:c r="T222" s="17" t="n"/>
      <ns0:c r="U222" s="17" t="n"/>
      <ns0:c r="V222" s="17" t="n"/>
      <ns0:c r="W222" s="17" t="n"/>
      <ns0:c r="X222" s="17" t="n"/>
      <ns0:c r="Y222" s="17" t="n"/>
      <ns0:c r="Z222" s="17" t="n"/>
      <ns0:c r="AA222" s="17" t="n"/>
      <ns0:c r="AB222" s="17" t="n"/>
      <ns0:c r="AC222" s="17" t="n"/>
      <ns0:c r="AD222" s="17" t="n"/>
      <ns0:c r="AE222" s="17" t="n"/>
      <ns0:c r="AF222" s="17" t="n"/>
      <ns0:c r="AG222" s="17" t="n"/>
    </ns0:row>
    <ns0:row r="223" ht="24" customHeight="1">
      <ns0:c r="D223" s="17" t="n"/>
      <ns0:c r="E223" s="17" t="n"/>
      <ns0:c r="F223" s="17" t="n"/>
      <ns0:c r="G223" s="17" t="n"/>
      <ns0:c r="H223" s="17" t="n"/>
      <ns0:c r="I223" s="17" t="n"/>
      <ns0:c r="J223" s="17" t="n"/>
      <ns0:c r="K223" s="17" t="n"/>
      <ns0:c r="L223" s="17" t="n"/>
      <ns0:c r="M223" s="17" t="n"/>
      <ns0:c r="N223" s="17" t="n"/>
      <ns0:c r="O223" s="17" t="n"/>
      <ns0:c r="P223" s="17" t="n"/>
      <ns0:c r="Q223" s="17" t="n"/>
      <ns0:c r="R223" s="17" t="n"/>
      <ns0:c r="S223" s="17" t="n"/>
      <ns0:c r="T223" s="17" t="n"/>
      <ns0:c r="U223" s="17" t="n"/>
      <ns0:c r="V223" s="17" t="n"/>
      <ns0:c r="W223" s="17" t="n"/>
      <ns0:c r="X223" s="17" t="n"/>
      <ns0:c r="Y223" s="17" t="n"/>
      <ns0:c r="Z223" s="17" t="n"/>
      <ns0:c r="AA223" s="17" t="n"/>
      <ns0:c r="AB223" s="17" t="n"/>
      <ns0:c r="AC223" s="17" t="n"/>
      <ns0:c r="AD223" s="17" t="n"/>
      <ns0:c r="AE223" s="17" t="n"/>
      <ns0:c r="AF223" s="17" t="n"/>
      <ns0:c r="AG223" s="17" t="n"/>
    </ns0:row>
    <ns0:row r="224" ht="24" customHeight="1">
      <ns0:c r="D224" s="17" t="n"/>
      <ns0:c r="E224" s="17" t="n"/>
      <ns0:c r="F224" s="17" t="n"/>
      <ns0:c r="G224" s="17" t="n"/>
      <ns0:c r="H224" s="17" t="n"/>
      <ns0:c r="I224" s="17" t="n"/>
      <ns0:c r="J224" s="17" t="n"/>
      <ns0:c r="K224" s="17" t="n"/>
      <ns0:c r="L224" s="17" t="n"/>
      <ns0:c r="M224" s="17" t="n"/>
      <ns0:c r="N224" s="17" t="n"/>
      <ns0:c r="O224" s="17" t="n"/>
      <ns0:c r="P224" s="17" t="n"/>
      <ns0:c r="Q224" s="17" t="n"/>
      <ns0:c r="R224" s="17" t="n"/>
      <ns0:c r="S224" s="17" t="n"/>
      <ns0:c r="T224" s="17" t="n"/>
      <ns0:c r="U224" s="17" t="n"/>
      <ns0:c r="V224" s="17" t="n"/>
      <ns0:c r="W224" s="17" t="n"/>
      <ns0:c r="X224" s="17" t="n"/>
      <ns0:c r="Y224" s="17" t="n"/>
      <ns0:c r="Z224" s="17" t="n"/>
      <ns0:c r="AA224" s="17" t="n"/>
      <ns0:c r="AB224" s="17" t="n"/>
      <ns0:c r="AC224" s="17" t="n"/>
      <ns0:c r="AD224" s="17" t="n"/>
      <ns0:c r="AE224" s="17" t="n"/>
      <ns0:c r="AF224" s="17" t="n"/>
      <ns0:c r="AG224" s="17" t="n"/>
    </ns0:row>
    <ns0:row r="225" ht="24" customHeight="1">
      <ns0:c r="D225" s="17" t="n"/>
      <ns0:c r="E225" s="17" t="n"/>
      <ns0:c r="F225" s="17" t="n"/>
      <ns0:c r="G225" s="17" t="n"/>
      <ns0:c r="H225" s="17" t="n"/>
      <ns0:c r="I225" s="17" t="n"/>
      <ns0:c r="J225" s="17" t="n"/>
      <ns0:c r="K225" s="17" t="n"/>
      <ns0:c r="L225" s="17" t="n"/>
      <ns0:c r="M225" s="17" t="n"/>
      <ns0:c r="N225" s="17" t="n"/>
      <ns0:c r="O225" s="17" t="n"/>
      <ns0:c r="P225" s="17" t="n"/>
      <ns0:c r="Q225" s="17" t="n"/>
      <ns0:c r="R225" s="17" t="n"/>
      <ns0:c r="S225" s="17" t="n"/>
      <ns0:c r="T225" s="17" t="n"/>
      <ns0:c r="U225" s="17" t="n"/>
      <ns0:c r="V225" s="17" t="n"/>
      <ns0:c r="W225" s="17" t="n"/>
      <ns0:c r="X225" s="17" t="n"/>
      <ns0:c r="Y225" s="17" t="n"/>
      <ns0:c r="Z225" s="17" t="n"/>
      <ns0:c r="AA225" s="17" t="n"/>
      <ns0:c r="AB225" s="17" t="n"/>
      <ns0:c r="AC225" s="17" t="n"/>
      <ns0:c r="AD225" s="17" t="n"/>
      <ns0:c r="AE225" s="17" t="n"/>
      <ns0:c r="AF225" s="17" t="n"/>
      <ns0:c r="AG225" s="17" t="n"/>
    </ns0:row>
    <ns0:row r="226" ht="24" customHeight="1">
      <ns0:c r="D226" s="17" t="n"/>
      <ns0:c r="E226" s="17" t="n"/>
      <ns0:c r="F226" s="17" t="n"/>
      <ns0:c r="G226" s="17" t="n"/>
      <ns0:c r="H226" s="17" t="n"/>
      <ns0:c r="I226" s="17" t="n"/>
      <ns0:c r="J226" s="17" t="n"/>
      <ns0:c r="K226" s="17" t="n"/>
      <ns0:c r="L226" s="17" t="n"/>
      <ns0:c r="M226" s="17" t="n"/>
      <ns0:c r="N226" s="17" t="n"/>
      <ns0:c r="O226" s="17" t="n"/>
      <ns0:c r="P226" s="17" t="n"/>
      <ns0:c r="Q226" s="17" t="n"/>
      <ns0:c r="R226" s="17" t="n"/>
      <ns0:c r="S226" s="17" t="n"/>
      <ns0:c r="T226" s="17" t="n"/>
      <ns0:c r="U226" s="17" t="n"/>
      <ns0:c r="V226" s="17" t="n"/>
      <ns0:c r="W226" s="17" t="n"/>
      <ns0:c r="X226" s="17" t="n"/>
      <ns0:c r="Y226" s="17" t="n"/>
      <ns0:c r="Z226" s="17" t="n"/>
      <ns0:c r="AA226" s="17" t="n"/>
      <ns0:c r="AB226" s="17" t="n"/>
      <ns0:c r="AC226" s="17" t="n"/>
      <ns0:c r="AD226" s="17" t="n"/>
      <ns0:c r="AE226" s="17" t="n"/>
      <ns0:c r="AF226" s="17" t="n"/>
      <ns0:c r="AG226" s="17" t="n"/>
    </ns0:row>
    <ns0:row r="227" ht="24" customHeight="1">
      <ns0:c r="D227" s="17" t="n"/>
      <ns0:c r="E227" s="17" t="n"/>
      <ns0:c r="F227" s="17" t="n"/>
      <ns0:c r="G227" s="17" t="n"/>
      <ns0:c r="H227" s="17" t="n"/>
      <ns0:c r="I227" s="17" t="n"/>
      <ns0:c r="J227" s="17" t="n"/>
      <ns0:c r="K227" s="17" t="n"/>
      <ns0:c r="L227" s="17" t="n"/>
      <ns0:c r="M227" s="17" t="n"/>
      <ns0:c r="N227" s="17" t="n"/>
      <ns0:c r="O227" s="17" t="n"/>
      <ns0:c r="P227" s="17" t="n"/>
      <ns0:c r="Q227" s="17" t="n"/>
      <ns0:c r="R227" s="17" t="n"/>
      <ns0:c r="S227" s="17" t="n"/>
      <ns0:c r="T227" s="17" t="n"/>
      <ns0:c r="U227" s="17" t="n"/>
      <ns0:c r="V227" s="17" t="n"/>
      <ns0:c r="W227" s="17" t="n"/>
      <ns0:c r="X227" s="17" t="n"/>
      <ns0:c r="Y227" s="17" t="n"/>
      <ns0:c r="Z227" s="17" t="n"/>
      <ns0:c r="AA227" s="17" t="n"/>
      <ns0:c r="AB227" s="17" t="n"/>
      <ns0:c r="AC227" s="17" t="n"/>
      <ns0:c r="AD227" s="17" t="n"/>
      <ns0:c r="AE227" s="17" t="n"/>
      <ns0:c r="AF227" s="17" t="n"/>
      <ns0:c r="AG227" s="17" t="n"/>
    </ns0:row>
    <ns0:row r="228" ht="24" customHeight="1">
      <ns0:c r="D228" s="17" t="n"/>
      <ns0:c r="E228" s="17" t="n"/>
      <ns0:c r="F228" s="17" t="n"/>
      <ns0:c r="G228" s="17" t="n"/>
      <ns0:c r="H228" s="17" t="n"/>
      <ns0:c r="I228" s="17" t="n"/>
      <ns0:c r="J228" s="17" t="n"/>
      <ns0:c r="K228" s="17" t="n"/>
      <ns0:c r="L228" s="17" t="n"/>
      <ns0:c r="M228" s="17" t="n"/>
      <ns0:c r="N228" s="17" t="n"/>
      <ns0:c r="O228" s="17" t="n"/>
      <ns0:c r="P228" s="17" t="n"/>
      <ns0:c r="Q228" s="17" t="n"/>
      <ns0:c r="R228" s="17" t="n"/>
      <ns0:c r="S228" s="17" t="n"/>
      <ns0:c r="T228" s="17" t="n"/>
      <ns0:c r="U228" s="17" t="n"/>
      <ns0:c r="V228" s="17" t="n"/>
      <ns0:c r="W228" s="17" t="n"/>
      <ns0:c r="X228" s="17" t="n"/>
      <ns0:c r="Y228" s="17" t="n"/>
      <ns0:c r="Z228" s="17" t="n"/>
      <ns0:c r="AA228" s="17" t="n"/>
      <ns0:c r="AB228" s="17" t="n"/>
      <ns0:c r="AC228" s="17" t="n"/>
      <ns0:c r="AD228" s="17" t="n"/>
      <ns0:c r="AE228" s="17" t="n"/>
      <ns0:c r="AF228" s="17" t="n"/>
      <ns0:c r="AG228" s="17" t="n"/>
    </ns0:row>
    <ns0:row r="229" ht="24" customHeight="1">
      <ns0:c r="D229" s="17" t="n"/>
      <ns0:c r="E229" s="17" t="n"/>
      <ns0:c r="F229" s="17" t="n"/>
      <ns0:c r="G229" s="17" t="n"/>
      <ns0:c r="H229" s="17" t="n"/>
      <ns0:c r="I229" s="17" t="n"/>
      <ns0:c r="J229" s="17" t="n"/>
      <ns0:c r="K229" s="17" t="n"/>
      <ns0:c r="L229" s="17" t="n"/>
      <ns0:c r="M229" s="17" t="n"/>
      <ns0:c r="N229" s="17" t="n"/>
      <ns0:c r="O229" s="17" t="n"/>
      <ns0:c r="P229" s="17" t="n"/>
      <ns0:c r="Q229" s="17" t="n"/>
      <ns0:c r="R229" s="17" t="n"/>
      <ns0:c r="S229" s="17" t="n"/>
      <ns0:c r="T229" s="17" t="n"/>
      <ns0:c r="U229" s="17" t="n"/>
      <ns0:c r="V229" s="17" t="n"/>
      <ns0:c r="W229" s="17" t="n"/>
      <ns0:c r="X229" s="17" t="n"/>
      <ns0:c r="Y229" s="17" t="n"/>
      <ns0:c r="Z229" s="17" t="n"/>
      <ns0:c r="AA229" s="17" t="n"/>
      <ns0:c r="AB229" s="17" t="n"/>
      <ns0:c r="AC229" s="17" t="n"/>
      <ns0:c r="AD229" s="17" t="n"/>
      <ns0:c r="AE229" s="17" t="n"/>
      <ns0:c r="AF229" s="17" t="n"/>
      <ns0:c r="AG229" s="17" t="n"/>
    </ns0:row>
    <ns0:row r="230" ht="24" customHeight="1">
      <ns0:c r="D230" s="17" t="n"/>
      <ns0:c r="E230" s="17" t="n"/>
      <ns0:c r="F230" s="17" t="n"/>
      <ns0:c r="G230" s="17" t="n"/>
      <ns0:c r="H230" s="17" t="n"/>
      <ns0:c r="I230" s="17" t="n"/>
      <ns0:c r="J230" s="17" t="n"/>
      <ns0:c r="K230" s="17" t="n"/>
      <ns0:c r="L230" s="17" t="n"/>
      <ns0:c r="M230" s="17" t="n"/>
      <ns0:c r="N230" s="17" t="n"/>
      <ns0:c r="O230" s="17" t="n"/>
      <ns0:c r="P230" s="17" t="n"/>
      <ns0:c r="Q230" s="17" t="n"/>
      <ns0:c r="R230" s="17" t="n"/>
      <ns0:c r="S230" s="17" t="n"/>
      <ns0:c r="T230" s="17" t="n"/>
      <ns0:c r="U230" s="17" t="n"/>
      <ns0:c r="V230" s="17" t="n"/>
      <ns0:c r="W230" s="17" t="n"/>
      <ns0:c r="X230" s="17" t="n"/>
      <ns0:c r="Y230" s="17" t="n"/>
      <ns0:c r="Z230" s="17" t="n"/>
      <ns0:c r="AA230" s="17" t="n"/>
      <ns0:c r="AB230" s="17" t="n"/>
      <ns0:c r="AC230" s="17" t="n"/>
      <ns0:c r="AD230" s="17" t="n"/>
      <ns0:c r="AE230" s="17" t="n"/>
      <ns0:c r="AF230" s="17" t="n"/>
      <ns0:c r="AG230" s="17" t="n"/>
    </ns0:row>
    <ns0:row r="231" ht="24" customHeight="1">
      <ns0:c r="D231" s="17" t="n"/>
      <ns0:c r="E231" s="17" t="n"/>
      <ns0:c r="F231" s="17" t="n"/>
      <ns0:c r="G231" s="17" t="n"/>
      <ns0:c r="H231" s="17" t="n"/>
      <ns0:c r="I231" s="17" t="n"/>
      <ns0:c r="J231" s="17" t="n"/>
      <ns0:c r="K231" s="17" t="n"/>
      <ns0:c r="L231" s="17" t="n"/>
      <ns0:c r="M231" s="17" t="n"/>
      <ns0:c r="N231" s="17" t="n"/>
      <ns0:c r="O231" s="17" t="n"/>
      <ns0:c r="P231" s="17" t="n"/>
      <ns0:c r="Q231" s="17" t="n"/>
      <ns0:c r="R231" s="17" t="n"/>
      <ns0:c r="S231" s="17" t="n"/>
      <ns0:c r="T231" s="17" t="n"/>
      <ns0:c r="U231" s="17" t="n"/>
      <ns0:c r="V231" s="17" t="n"/>
      <ns0:c r="W231" s="17" t="n"/>
      <ns0:c r="X231" s="17" t="n"/>
      <ns0:c r="Y231" s="17" t="n"/>
      <ns0:c r="Z231" s="17" t="n"/>
      <ns0:c r="AA231" s="17" t="n"/>
      <ns0:c r="AB231" s="17" t="n"/>
      <ns0:c r="AC231" s="17" t="n"/>
      <ns0:c r="AD231" s="17" t="n"/>
      <ns0:c r="AE231" s="17" t="n"/>
      <ns0:c r="AF231" s="17" t="n"/>
      <ns0:c r="AG231" s="17" t="n"/>
    </ns0:row>
    <ns0:row r="232" ht="24" customHeight="1">
      <ns0:c r="D232" s="17" t="n"/>
      <ns0:c r="E232" s="17" t="n"/>
      <ns0:c r="F232" s="17" t="n"/>
      <ns0:c r="G232" s="17" t="n"/>
      <ns0:c r="H232" s="17" t="n"/>
      <ns0:c r="I232" s="17" t="n"/>
      <ns0:c r="J232" s="17" t="n"/>
      <ns0:c r="K232" s="17" t="n"/>
      <ns0:c r="L232" s="17" t="n"/>
      <ns0:c r="M232" s="17" t="n"/>
      <ns0:c r="N232" s="17" t="n"/>
      <ns0:c r="O232" s="17" t="n"/>
      <ns0:c r="P232" s="17" t="n"/>
      <ns0:c r="Q232" s="17" t="n"/>
      <ns0:c r="R232" s="17" t="n"/>
      <ns0:c r="S232" s="17" t="n"/>
      <ns0:c r="T232" s="17" t="n"/>
      <ns0:c r="U232" s="17" t="n"/>
      <ns0:c r="V232" s="17" t="n"/>
      <ns0:c r="W232" s="17" t="n"/>
      <ns0:c r="X232" s="17" t="n"/>
      <ns0:c r="Y232" s="17" t="n"/>
      <ns0:c r="Z232" s="17" t="n"/>
      <ns0:c r="AA232" s="17" t="n"/>
      <ns0:c r="AB232" s="17" t="n"/>
      <ns0:c r="AC232" s="17" t="n"/>
      <ns0:c r="AD232" s="17" t="n"/>
      <ns0:c r="AE232" s="17" t="n"/>
      <ns0:c r="AF232" s="17" t="n"/>
      <ns0:c r="AG232" s="17" t="n"/>
    </ns0:row>
    <ns0:row r="233" ht="24" customHeight="1">
      <ns0:c r="D233" s="17" t="n"/>
      <ns0:c r="E233" s="17" t="n"/>
      <ns0:c r="F233" s="17" t="n"/>
      <ns0:c r="G233" s="17" t="n"/>
      <ns0:c r="H233" s="17" t="n"/>
      <ns0:c r="I233" s="17" t="n"/>
      <ns0:c r="J233" s="17" t="n"/>
      <ns0:c r="K233" s="17" t="n"/>
      <ns0:c r="L233" s="17" t="n"/>
      <ns0:c r="M233" s="17" t="n"/>
      <ns0:c r="N233" s="17" t="n"/>
      <ns0:c r="O233" s="17" t="n"/>
      <ns0:c r="P233" s="17" t="n"/>
      <ns0:c r="Q233" s="17" t="n"/>
      <ns0:c r="R233" s="17" t="n"/>
      <ns0:c r="S233" s="17" t="n"/>
      <ns0:c r="T233" s="17" t="n"/>
      <ns0:c r="U233" s="17" t="n"/>
      <ns0:c r="V233" s="17" t="n"/>
      <ns0:c r="W233" s="17" t="n"/>
      <ns0:c r="X233" s="17" t="n"/>
      <ns0:c r="Y233" s="17" t="n"/>
      <ns0:c r="Z233" s="17" t="n"/>
      <ns0:c r="AA233" s="17" t="n"/>
      <ns0:c r="AB233" s="17" t="n"/>
      <ns0:c r="AC233" s="17" t="n"/>
      <ns0:c r="AD233" s="17" t="n"/>
      <ns0:c r="AE233" s="17" t="n"/>
      <ns0:c r="AF233" s="17" t="n"/>
      <ns0:c r="AG233" s="17" t="n"/>
    </ns0:row>
    <ns0:row r="234" ht="24" customHeight="1">
      <ns0:c r="D234" s="17" t="n"/>
      <ns0:c r="E234" s="17" t="n"/>
      <ns0:c r="F234" s="17" t="n"/>
      <ns0:c r="G234" s="17" t="n"/>
      <ns0:c r="H234" s="17" t="n"/>
      <ns0:c r="I234" s="17" t="n"/>
      <ns0:c r="J234" s="17" t="n"/>
      <ns0:c r="K234" s="17" t="n"/>
      <ns0:c r="L234" s="17" t="n"/>
      <ns0:c r="M234" s="17" t="n"/>
      <ns0:c r="N234" s="17" t="n"/>
      <ns0:c r="O234" s="17" t="n"/>
      <ns0:c r="P234" s="17" t="n"/>
      <ns0:c r="Q234" s="17" t="n"/>
      <ns0:c r="R234" s="17" t="n"/>
      <ns0:c r="S234" s="17" t="n"/>
      <ns0:c r="T234" s="17" t="n"/>
      <ns0:c r="U234" s="17" t="n"/>
      <ns0:c r="V234" s="17" t="n"/>
      <ns0:c r="W234" s="17" t="n"/>
      <ns0:c r="X234" s="17" t="n"/>
      <ns0:c r="Y234" s="17" t="n"/>
      <ns0:c r="Z234" s="17" t="n"/>
      <ns0:c r="AA234" s="17" t="n"/>
      <ns0:c r="AB234" s="17" t="n"/>
      <ns0:c r="AC234" s="17" t="n"/>
      <ns0:c r="AD234" s="17" t="n"/>
      <ns0:c r="AE234" s="17" t="n"/>
      <ns0:c r="AF234" s="17" t="n"/>
      <ns0:c r="AG234" s="17" t="n"/>
    </ns0:row>
    <ns0:row r="235" ht="24" customHeight="1">
      <ns0:c r="D235" s="17" t="n"/>
      <ns0:c r="E235" s="17" t="n"/>
      <ns0:c r="F235" s="17" t="n"/>
      <ns0:c r="G235" s="17" t="n"/>
      <ns0:c r="H235" s="17" t="n"/>
      <ns0:c r="I235" s="17" t="n"/>
      <ns0:c r="J235" s="17" t="n"/>
      <ns0:c r="K235" s="17" t="n"/>
      <ns0:c r="L235" s="17" t="n"/>
      <ns0:c r="M235" s="17" t="n"/>
      <ns0:c r="N235" s="17" t="n"/>
      <ns0:c r="O235" s="17" t="n"/>
      <ns0:c r="P235" s="17" t="n"/>
      <ns0:c r="Q235" s="17" t="n"/>
      <ns0:c r="R235" s="17" t="n"/>
      <ns0:c r="S235" s="17" t="n"/>
      <ns0:c r="T235" s="17" t="n"/>
      <ns0:c r="U235" s="17" t="n"/>
      <ns0:c r="V235" s="17" t="n"/>
      <ns0:c r="W235" s="17" t="n"/>
      <ns0:c r="X235" s="17" t="n"/>
      <ns0:c r="Y235" s="17" t="n"/>
      <ns0:c r="Z235" s="17" t="n"/>
      <ns0:c r="AA235" s="17" t="n"/>
      <ns0:c r="AB235" s="17" t="n"/>
      <ns0:c r="AC235" s="17" t="n"/>
      <ns0:c r="AD235" s="17" t="n"/>
      <ns0:c r="AE235" s="17" t="n"/>
      <ns0:c r="AF235" s="17" t="n"/>
      <ns0:c r="AG235" s="17" t="n"/>
    </ns0:row>
    <ns0:row r="236" ht="24" customHeight="1">
      <ns0:c r="D236" s="17" t="n"/>
      <ns0:c r="E236" s="17" t="n"/>
      <ns0:c r="F236" s="17" t="n"/>
      <ns0:c r="G236" s="17" t="n"/>
      <ns0:c r="H236" s="17" t="n"/>
      <ns0:c r="I236" s="17" t="n"/>
      <ns0:c r="J236" s="17" t="n"/>
      <ns0:c r="K236" s="17" t="n"/>
      <ns0:c r="L236" s="17" t="n"/>
      <ns0:c r="M236" s="17" t="n"/>
      <ns0:c r="N236" s="17" t="n"/>
      <ns0:c r="O236" s="17" t="n"/>
      <ns0:c r="P236" s="17" t="n"/>
      <ns0:c r="Q236" s="17" t="n"/>
      <ns0:c r="R236" s="17" t="n"/>
      <ns0:c r="S236" s="17" t="n"/>
      <ns0:c r="T236" s="17" t="n"/>
      <ns0:c r="U236" s="17" t="n"/>
      <ns0:c r="V236" s="17" t="n"/>
      <ns0:c r="W236" s="17" t="n"/>
      <ns0:c r="X236" s="17" t="n"/>
      <ns0:c r="Y236" s="17" t="n"/>
      <ns0:c r="Z236" s="17" t="n"/>
      <ns0:c r="AA236" s="17" t="n"/>
      <ns0:c r="AB236" s="17" t="n"/>
      <ns0:c r="AC236" s="17" t="n"/>
      <ns0:c r="AD236" s="17" t="n"/>
      <ns0:c r="AE236" s="17" t="n"/>
      <ns0:c r="AF236" s="17" t="n"/>
      <ns0:c r="AG236" s="17" t="n"/>
    </ns0:row>
    <ns0:row r="237" ht="24" customHeight="1">
      <ns0:c r="D237" s="17" t="n"/>
      <ns0:c r="E237" s="17" t="n"/>
      <ns0:c r="F237" s="17" t="n"/>
      <ns0:c r="G237" s="17" t="n"/>
      <ns0:c r="H237" s="17" t="n"/>
      <ns0:c r="I237" s="17" t="n"/>
      <ns0:c r="J237" s="17" t="n"/>
      <ns0:c r="K237" s="17" t="n"/>
      <ns0:c r="L237" s="17" t="n"/>
      <ns0:c r="M237" s="17" t="n"/>
      <ns0:c r="N237" s="17" t="n"/>
      <ns0:c r="O237" s="17" t="n"/>
      <ns0:c r="P237" s="17" t="n"/>
      <ns0:c r="Q237" s="17" t="n"/>
      <ns0:c r="R237" s="17" t="n"/>
      <ns0:c r="S237" s="17" t="n"/>
      <ns0:c r="T237" s="17" t="n"/>
      <ns0:c r="U237" s="17" t="n"/>
      <ns0:c r="V237" s="17" t="n"/>
      <ns0:c r="W237" s="17" t="n"/>
      <ns0:c r="X237" s="17" t="n"/>
      <ns0:c r="Y237" s="17" t="n"/>
      <ns0:c r="Z237" s="17" t="n"/>
      <ns0:c r="AA237" s="17" t="n"/>
      <ns0:c r="AB237" s="17" t="n"/>
      <ns0:c r="AC237" s="17" t="n"/>
      <ns0:c r="AD237" s="17" t="n"/>
      <ns0:c r="AE237" s="17" t="n"/>
      <ns0:c r="AF237" s="17" t="n"/>
      <ns0:c r="AG237" s="17" t="n"/>
    </ns0:row>
    <ns0:row r="238" ht="24" customHeight="1">
      <ns0:c r="D238" s="17" t="n"/>
      <ns0:c r="E238" s="17" t="n"/>
      <ns0:c r="F238" s="17" t="n"/>
      <ns0:c r="G238" s="17" t="n"/>
      <ns0:c r="H238" s="17" t="n"/>
      <ns0:c r="I238" s="17" t="n"/>
      <ns0:c r="J238" s="17" t="n"/>
      <ns0:c r="K238" s="17" t="n"/>
      <ns0:c r="L238" s="17" t="n"/>
      <ns0:c r="M238" s="17" t="n"/>
      <ns0:c r="N238" s="17" t="n"/>
      <ns0:c r="O238" s="17" t="n"/>
      <ns0:c r="P238" s="17" t="n"/>
      <ns0:c r="Q238" s="17" t="n"/>
      <ns0:c r="R238" s="17" t="n"/>
      <ns0:c r="S238" s="17" t="n"/>
      <ns0:c r="T238" s="17" t="n"/>
      <ns0:c r="U238" s="17" t="n"/>
      <ns0:c r="V238" s="17" t="n"/>
      <ns0:c r="W238" s="17" t="n"/>
      <ns0:c r="X238" s="17" t="n"/>
      <ns0:c r="Y238" s="17" t="n"/>
      <ns0:c r="Z238" s="17" t="n"/>
      <ns0:c r="AA238" s="17" t="n"/>
      <ns0:c r="AB238" s="17" t="n"/>
      <ns0:c r="AC238" s="17" t="n"/>
      <ns0:c r="AD238" s="17" t="n"/>
      <ns0:c r="AE238" s="17" t="n"/>
      <ns0:c r="AF238" s="17" t="n"/>
      <ns0:c r="AG238" s="17" t="n"/>
    </ns0:row>
    <ns0:row r="239" ht="24" customHeight="1">
      <ns0:c r="D239" s="17" t="n"/>
      <ns0:c r="E239" s="17" t="n"/>
      <ns0:c r="F239" s="17" t="n"/>
      <ns0:c r="G239" s="17" t="n"/>
      <ns0:c r="H239" s="17" t="n"/>
      <ns0:c r="I239" s="17" t="n"/>
      <ns0:c r="J239" s="17" t="n"/>
      <ns0:c r="K239" s="17" t="n"/>
      <ns0:c r="L239" s="17" t="n"/>
      <ns0:c r="M239" s="17" t="n"/>
      <ns0:c r="N239" s="17" t="n"/>
      <ns0:c r="O239" s="17" t="n"/>
      <ns0:c r="P239" s="17" t="n"/>
      <ns0:c r="Q239" s="17" t="n"/>
      <ns0:c r="R239" s="17" t="n"/>
      <ns0:c r="S239" s="17" t="n"/>
      <ns0:c r="T239" s="17" t="n"/>
      <ns0:c r="U239" s="17" t="n"/>
      <ns0:c r="V239" s="17" t="n"/>
      <ns0:c r="W239" s="17" t="n"/>
      <ns0:c r="X239" s="17" t="n"/>
      <ns0:c r="Y239" s="17" t="n"/>
      <ns0:c r="Z239" s="17" t="n"/>
      <ns0:c r="AA239" s="17" t="n"/>
      <ns0:c r="AB239" s="17" t="n"/>
      <ns0:c r="AC239" s="17" t="n"/>
      <ns0:c r="AD239" s="17" t="n"/>
      <ns0:c r="AE239" s="17" t="n"/>
      <ns0:c r="AF239" s="17" t="n"/>
      <ns0:c r="AG239" s="17" t="n"/>
    </ns0:row>
    <ns0:row r="240" ht="24" customHeight="1">
      <ns0:c r="D240" s="17" t="n"/>
      <ns0:c r="E240" s="17" t="n"/>
      <ns0:c r="F240" s="17" t="n"/>
      <ns0:c r="G240" s="17" t="n"/>
      <ns0:c r="H240" s="17" t="n"/>
      <ns0:c r="I240" s="17" t="n"/>
      <ns0:c r="J240" s="17" t="n"/>
      <ns0:c r="K240" s="17" t="n"/>
      <ns0:c r="L240" s="17" t="n"/>
      <ns0:c r="M240" s="17" t="n"/>
      <ns0:c r="N240" s="17" t="n"/>
      <ns0:c r="O240" s="17" t="n"/>
      <ns0:c r="P240" s="17" t="n"/>
      <ns0:c r="Q240" s="17" t="n"/>
      <ns0:c r="R240" s="17" t="n"/>
      <ns0:c r="S240" s="17" t="n"/>
      <ns0:c r="T240" s="17" t="n"/>
      <ns0:c r="U240" s="17" t="n"/>
      <ns0:c r="V240" s="17" t="n"/>
      <ns0:c r="W240" s="17" t="n"/>
      <ns0:c r="X240" s="17" t="n"/>
      <ns0:c r="Y240" s="17" t="n"/>
      <ns0:c r="Z240" s="17" t="n"/>
      <ns0:c r="AA240" s="17" t="n"/>
      <ns0:c r="AB240" s="17" t="n"/>
      <ns0:c r="AC240" s="17" t="n"/>
      <ns0:c r="AD240" s="17" t="n"/>
      <ns0:c r="AE240" s="17" t="n"/>
      <ns0:c r="AF240" s="17" t="n"/>
      <ns0:c r="AG240" s="17" t="n"/>
    </ns0:row>
    <ns0:row r="241" ht="24" customHeight="1">
      <ns0:c r="D241" s="17" t="n"/>
      <ns0:c r="E241" s="17" t="n"/>
      <ns0:c r="F241" s="17" t="n"/>
      <ns0:c r="G241" s="17" t="n"/>
      <ns0:c r="H241" s="17" t="n"/>
      <ns0:c r="I241" s="17" t="n"/>
      <ns0:c r="J241" s="17" t="n"/>
      <ns0:c r="K241" s="17" t="n"/>
      <ns0:c r="L241" s="17" t="n"/>
      <ns0:c r="M241" s="17" t="n"/>
      <ns0:c r="N241" s="17" t="n"/>
      <ns0:c r="O241" s="17" t="n"/>
      <ns0:c r="P241" s="17" t="n"/>
      <ns0:c r="Q241" s="17" t="n"/>
      <ns0:c r="R241" s="17" t="n"/>
      <ns0:c r="S241" s="17" t="n"/>
      <ns0:c r="T241" s="17" t="n"/>
      <ns0:c r="U241" s="17" t="n"/>
      <ns0:c r="V241" s="17" t="n"/>
      <ns0:c r="W241" s="17" t="n"/>
      <ns0:c r="X241" s="17" t="n"/>
      <ns0:c r="Y241" s="17" t="n"/>
      <ns0:c r="Z241" s="17" t="n"/>
      <ns0:c r="AA241" s="17" t="n"/>
      <ns0:c r="AB241" s="17" t="n"/>
      <ns0:c r="AC241" s="17" t="n"/>
      <ns0:c r="AD241" s="17" t="n"/>
      <ns0:c r="AE241" s="17" t="n"/>
      <ns0:c r="AF241" s="17" t="n"/>
      <ns0:c r="AG241" s="17" t="n"/>
    </ns0:row>
    <ns0:row r="242" ht="24" customHeight="1">
      <ns0:c r="D242" s="17" t="n"/>
      <ns0:c r="E242" s="17" t="n"/>
      <ns0:c r="F242" s="17" t="n"/>
      <ns0:c r="G242" s="17" t="n"/>
      <ns0:c r="H242" s="17" t="n"/>
      <ns0:c r="I242" s="17" t="n"/>
      <ns0:c r="J242" s="17" t="n"/>
      <ns0:c r="K242" s="17" t="n"/>
      <ns0:c r="L242" s="17" t="n"/>
      <ns0:c r="M242" s="17" t="n"/>
      <ns0:c r="N242" s="17" t="n"/>
      <ns0:c r="O242" s="17" t="n"/>
      <ns0:c r="P242" s="17" t="n"/>
      <ns0:c r="Q242" s="17" t="n"/>
      <ns0:c r="R242" s="17" t="n"/>
      <ns0:c r="S242" s="17" t="n"/>
      <ns0:c r="T242" s="17" t="n"/>
      <ns0:c r="U242" s="17" t="n"/>
      <ns0:c r="V242" s="17" t="n"/>
      <ns0:c r="W242" s="17" t="n"/>
      <ns0:c r="X242" s="17" t="n"/>
      <ns0:c r="Y242" s="17" t="n"/>
      <ns0:c r="Z242" s="17" t="n"/>
      <ns0:c r="AA242" s="17" t="n"/>
      <ns0:c r="AB242" s="17" t="n"/>
      <ns0:c r="AC242" s="17" t="n"/>
      <ns0:c r="AD242" s="17" t="n"/>
      <ns0:c r="AE242" s="17" t="n"/>
      <ns0:c r="AF242" s="17" t="n"/>
      <ns0:c r="AG242" s="17" t="n"/>
    </ns0:row>
    <ns0:row r="243" ht="24" customHeight="1">
      <ns0:c r="D243" s="17" t="n"/>
      <ns0:c r="E243" s="17" t="n"/>
      <ns0:c r="F243" s="17" t="n"/>
      <ns0:c r="G243" s="17" t="n"/>
      <ns0:c r="H243" s="17" t="n"/>
      <ns0:c r="I243" s="17" t="n"/>
      <ns0:c r="J243" s="17" t="n"/>
      <ns0:c r="K243" s="17" t="n"/>
      <ns0:c r="L243" s="17" t="n"/>
      <ns0:c r="M243" s="17" t="n"/>
      <ns0:c r="N243" s="17" t="n"/>
      <ns0:c r="O243" s="17" t="n"/>
      <ns0:c r="P243" s="17" t="n"/>
      <ns0:c r="Q243" s="17" t="n"/>
      <ns0:c r="R243" s="17" t="n"/>
      <ns0:c r="S243" s="17" t="n"/>
      <ns0:c r="T243" s="17" t="n"/>
      <ns0:c r="U243" s="17" t="n"/>
      <ns0:c r="V243" s="17" t="n"/>
      <ns0:c r="W243" s="17" t="n"/>
      <ns0:c r="X243" s="17" t="n"/>
      <ns0:c r="Y243" s="17" t="n"/>
      <ns0:c r="Z243" s="17" t="n"/>
      <ns0:c r="AA243" s="17" t="n"/>
      <ns0:c r="AB243" s="17" t="n"/>
      <ns0:c r="AC243" s="17" t="n"/>
      <ns0:c r="AD243" s="17" t="n"/>
      <ns0:c r="AE243" s="17" t="n"/>
      <ns0:c r="AF243" s="17" t="n"/>
      <ns0:c r="AG243" s="17" t="n"/>
    </ns0:row>
    <ns0:row r="244" ht="24" customHeight="1">
      <ns0:c r="D244" s="17" t="n"/>
      <ns0:c r="E244" s="17" t="n"/>
      <ns0:c r="F244" s="17" t="n"/>
      <ns0:c r="G244" s="17" t="n"/>
      <ns0:c r="H244" s="17" t="n"/>
      <ns0:c r="I244" s="17" t="n"/>
      <ns0:c r="J244" s="17" t="n"/>
      <ns0:c r="K244" s="17" t="n"/>
      <ns0:c r="L244" s="17" t="n"/>
      <ns0:c r="M244" s="17" t="n"/>
      <ns0:c r="N244" s="17" t="n"/>
      <ns0:c r="O244" s="17" t="n"/>
      <ns0:c r="P244" s="17" t="n"/>
      <ns0:c r="Q244" s="17" t="n"/>
      <ns0:c r="R244" s="17" t="n"/>
      <ns0:c r="S244" s="17" t="n"/>
      <ns0:c r="T244" s="17" t="n"/>
      <ns0:c r="U244" s="17" t="n"/>
      <ns0:c r="V244" s="17" t="n"/>
      <ns0:c r="W244" s="17" t="n"/>
      <ns0:c r="X244" s="17" t="n"/>
      <ns0:c r="Y244" s="17" t="n"/>
      <ns0:c r="Z244" s="17" t="n"/>
      <ns0:c r="AA244" s="17" t="n"/>
      <ns0:c r="AB244" s="17" t="n"/>
      <ns0:c r="AC244" s="17" t="n"/>
      <ns0:c r="AD244" s="17" t="n"/>
      <ns0:c r="AE244" s="17" t="n"/>
      <ns0:c r="AF244" s="17" t="n"/>
      <ns0:c r="AG244" s="17" t="n"/>
    </ns0:row>
    <ns0:row r="245" ht="24" customHeight="1">
      <ns0:c r="D245" s="17" t="n"/>
      <ns0:c r="E245" s="17" t="n"/>
      <ns0:c r="F245" s="17" t="n"/>
      <ns0:c r="G245" s="17" t="n"/>
      <ns0:c r="H245" s="17" t="n"/>
      <ns0:c r="I245" s="17" t="n"/>
      <ns0:c r="J245" s="17" t="n"/>
      <ns0:c r="K245" s="17" t="n"/>
      <ns0:c r="L245" s="17" t="n"/>
      <ns0:c r="M245" s="17" t="n"/>
      <ns0:c r="N245" s="17" t="n"/>
      <ns0:c r="O245" s="17" t="n"/>
      <ns0:c r="P245" s="17" t="n"/>
      <ns0:c r="Q245" s="17" t="n"/>
      <ns0:c r="R245" s="17" t="n"/>
      <ns0:c r="S245" s="17" t="n"/>
      <ns0:c r="T245" s="17" t="n"/>
      <ns0:c r="U245" s="17" t="n"/>
      <ns0:c r="V245" s="17" t="n"/>
      <ns0:c r="W245" s="17" t="n"/>
      <ns0:c r="X245" s="17" t="n"/>
      <ns0:c r="Y245" s="17" t="n"/>
      <ns0:c r="Z245" s="17" t="n"/>
      <ns0:c r="AA245" s="17" t="n"/>
      <ns0:c r="AB245" s="17" t="n"/>
      <ns0:c r="AC245" s="17" t="n"/>
      <ns0:c r="AD245" s="17" t="n"/>
      <ns0:c r="AE245" s="17" t="n"/>
      <ns0:c r="AF245" s="17" t="n"/>
      <ns0:c r="AG245" s="17" t="n"/>
    </ns0:row>
    <ns0:row r="246" ht="24" customHeight="1">
      <ns0:c r="D246" s="17" t="n"/>
      <ns0:c r="E246" s="17" t="n"/>
      <ns0:c r="F246" s="17" t="n"/>
      <ns0:c r="G246" s="17" t="n"/>
      <ns0:c r="H246" s="17" t="n"/>
      <ns0:c r="I246" s="17" t="n"/>
      <ns0:c r="J246" s="17" t="n"/>
      <ns0:c r="K246" s="17" t="n"/>
      <ns0:c r="L246" s="17" t="n"/>
      <ns0:c r="M246" s="17" t="n"/>
      <ns0:c r="N246" s="17" t="n"/>
      <ns0:c r="O246" s="17" t="n"/>
      <ns0:c r="P246" s="17" t="n"/>
      <ns0:c r="Q246" s="17" t="n"/>
      <ns0:c r="R246" s="17" t="n"/>
      <ns0:c r="S246" s="17" t="n"/>
      <ns0:c r="T246" s="17" t="n"/>
      <ns0:c r="U246" s="17" t="n"/>
      <ns0:c r="V246" s="17" t="n"/>
      <ns0:c r="W246" s="17" t="n"/>
      <ns0:c r="X246" s="17" t="n"/>
      <ns0:c r="Y246" s="17" t="n"/>
      <ns0:c r="Z246" s="17" t="n"/>
      <ns0:c r="AA246" s="17" t="n"/>
      <ns0:c r="AB246" s="17" t="n"/>
      <ns0:c r="AC246" s="17" t="n"/>
      <ns0:c r="AD246" s="17" t="n"/>
      <ns0:c r="AE246" s="17" t="n"/>
      <ns0:c r="AF246" s="17" t="n"/>
      <ns0:c r="AG246" s="17" t="n"/>
    </ns0:row>
    <ns0:row r="247" ht="24" customHeight="1">
      <ns0:c r="D247" s="17" t="n"/>
      <ns0:c r="E247" s="17" t="n"/>
      <ns0:c r="F247" s="17" t="n"/>
      <ns0:c r="G247" s="17" t="n"/>
      <ns0:c r="H247" s="17" t="n"/>
      <ns0:c r="I247" s="17" t="n"/>
      <ns0:c r="J247" s="17" t="n"/>
      <ns0:c r="K247" s="17" t="n"/>
      <ns0:c r="L247" s="17" t="n"/>
      <ns0:c r="M247" s="17" t="n"/>
      <ns0:c r="N247" s="17" t="n"/>
      <ns0:c r="O247" s="17" t="n"/>
      <ns0:c r="P247" s="17" t="n"/>
      <ns0:c r="Q247" s="17" t="n"/>
      <ns0:c r="R247" s="17" t="n"/>
      <ns0:c r="S247" s="17" t="n"/>
      <ns0:c r="T247" s="17" t="n"/>
      <ns0:c r="U247" s="17" t="n"/>
      <ns0:c r="V247" s="17" t="n"/>
      <ns0:c r="W247" s="17" t="n"/>
      <ns0:c r="X247" s="17" t="n"/>
      <ns0:c r="Y247" s="17" t="n"/>
      <ns0:c r="Z247" s="17" t="n"/>
      <ns0:c r="AA247" s="17" t="n"/>
      <ns0:c r="AB247" s="17" t="n"/>
      <ns0:c r="AC247" s="17" t="n"/>
      <ns0:c r="AD247" s="17" t="n"/>
      <ns0:c r="AE247" s="17" t="n"/>
      <ns0:c r="AF247" s="17" t="n"/>
      <ns0:c r="AG247" s="17" t="n"/>
    </ns0:row>
    <ns0:row r="248" ht="24" customHeight="1">
      <ns0:c r="D248" s="17" t="n"/>
      <ns0:c r="E248" s="17" t="n"/>
      <ns0:c r="F248" s="17" t="n"/>
      <ns0:c r="G248" s="17" t="n"/>
      <ns0:c r="H248" s="17" t="n"/>
      <ns0:c r="I248" s="17" t="n"/>
      <ns0:c r="J248" s="17" t="n"/>
      <ns0:c r="K248" s="17" t="n"/>
      <ns0:c r="L248" s="17" t="n"/>
      <ns0:c r="M248" s="17" t="n"/>
      <ns0:c r="N248" s="17" t="n"/>
      <ns0:c r="O248" s="17" t="n"/>
      <ns0:c r="P248" s="17" t="n"/>
      <ns0:c r="Q248" s="17" t="n"/>
      <ns0:c r="R248" s="17" t="n"/>
      <ns0:c r="S248" s="17" t="n"/>
      <ns0:c r="T248" s="17" t="n"/>
      <ns0:c r="U248" s="17" t="n"/>
      <ns0:c r="V248" s="17" t="n"/>
      <ns0:c r="W248" s="17" t="n"/>
      <ns0:c r="X248" s="17" t="n"/>
      <ns0:c r="Y248" s="17" t="n"/>
      <ns0:c r="Z248" s="17" t="n"/>
      <ns0:c r="AA248" s="17" t="n"/>
      <ns0:c r="AB248" s="17" t="n"/>
      <ns0:c r="AC248" s="17" t="n"/>
      <ns0:c r="AD248" s="17" t="n"/>
      <ns0:c r="AE248" s="17" t="n"/>
      <ns0:c r="AF248" s="17" t="n"/>
      <ns0:c r="AG248" s="17" t="n"/>
    </ns0:row>
    <ns0:row r="249" ht="24" customHeight="1">
      <ns0:c r="D249" s="17" t="n"/>
      <ns0:c r="E249" s="17" t="n"/>
      <ns0:c r="F249" s="17" t="n"/>
      <ns0:c r="G249" s="17" t="n"/>
      <ns0:c r="H249" s="17" t="n"/>
      <ns0:c r="I249" s="17" t="n"/>
      <ns0:c r="J249" s="17" t="n"/>
      <ns0:c r="K249" s="17" t="n"/>
      <ns0:c r="L249" s="17" t="n"/>
      <ns0:c r="M249" s="17" t="n"/>
      <ns0:c r="N249" s="17" t="n"/>
      <ns0:c r="O249" s="17" t="n"/>
      <ns0:c r="P249" s="17" t="n"/>
      <ns0:c r="Q249" s="17" t="n"/>
      <ns0:c r="R249" s="17" t="n"/>
      <ns0:c r="S249" s="17" t="n"/>
      <ns0:c r="T249" s="17" t="n"/>
      <ns0:c r="U249" s="17" t="n"/>
      <ns0:c r="V249" s="17" t="n"/>
      <ns0:c r="W249" s="17" t="n"/>
      <ns0:c r="X249" s="17" t="n"/>
      <ns0:c r="Y249" s="17" t="n"/>
      <ns0:c r="Z249" s="17" t="n"/>
      <ns0:c r="AA249" s="17" t="n"/>
      <ns0:c r="AB249" s="17" t="n"/>
      <ns0:c r="AC249" s="17" t="n"/>
      <ns0:c r="AD249" s="17" t="n"/>
      <ns0:c r="AE249" s="17" t="n"/>
      <ns0:c r="AF249" s="17" t="n"/>
      <ns0:c r="AG249" s="17" t="n"/>
    </ns0:row>
    <ns0:row r="250" ht="24" customHeight="1">
      <ns0:c r="D250" s="17" t="n"/>
      <ns0:c r="E250" s="17" t="n"/>
      <ns0:c r="F250" s="17" t="n"/>
      <ns0:c r="G250" s="17" t="n"/>
      <ns0:c r="H250" s="17" t="n"/>
      <ns0:c r="I250" s="17" t="n"/>
      <ns0:c r="J250" s="17" t="n"/>
      <ns0:c r="K250" s="17" t="n"/>
      <ns0:c r="L250" s="17" t="n"/>
      <ns0:c r="M250" s="17" t="n"/>
      <ns0:c r="N250" s="17" t="n"/>
      <ns0:c r="O250" s="17" t="n"/>
      <ns0:c r="P250" s="17" t="n"/>
      <ns0:c r="Q250" s="17" t="n"/>
      <ns0:c r="R250" s="17" t="n"/>
      <ns0:c r="S250" s="17" t="n"/>
      <ns0:c r="T250" s="17" t="n"/>
      <ns0:c r="U250" s="17" t="n"/>
      <ns0:c r="V250" s="17" t="n"/>
      <ns0:c r="W250" s="17" t="n"/>
      <ns0:c r="X250" s="17" t="n"/>
      <ns0:c r="Y250" s="17" t="n"/>
      <ns0:c r="Z250" s="17" t="n"/>
      <ns0:c r="AA250" s="17" t="n"/>
      <ns0:c r="AB250" s="17" t="n"/>
      <ns0:c r="AC250" s="17" t="n"/>
      <ns0:c r="AD250" s="17" t="n"/>
      <ns0:c r="AE250" s="17" t="n"/>
      <ns0:c r="AF250" s="17" t="n"/>
      <ns0:c r="AG250" s="17" t="n"/>
    </ns0:row>
    <ns0:row r="251" ht="24" customHeight="1">
      <ns0:c r="D251" s="17" t="n"/>
      <ns0:c r="E251" s="17" t="n"/>
      <ns0:c r="F251" s="17" t="n"/>
      <ns0:c r="G251" s="17" t="n"/>
      <ns0:c r="H251" s="17" t="n"/>
      <ns0:c r="I251" s="17" t="n"/>
      <ns0:c r="J251" s="17" t="n"/>
      <ns0:c r="K251" s="17" t="n"/>
      <ns0:c r="L251" s="17" t="n"/>
      <ns0:c r="M251" s="17" t="n"/>
      <ns0:c r="N251" s="17" t="n"/>
      <ns0:c r="O251" s="17" t="n"/>
      <ns0:c r="P251" s="17" t="n"/>
      <ns0:c r="Q251" s="17" t="n"/>
      <ns0:c r="R251" s="17" t="n"/>
      <ns0:c r="S251" s="17" t="n"/>
      <ns0:c r="T251" s="17" t="n"/>
      <ns0:c r="U251" s="17" t="n"/>
      <ns0:c r="V251" s="17" t="n"/>
      <ns0:c r="W251" s="17" t="n"/>
      <ns0:c r="X251" s="17" t="n"/>
      <ns0:c r="Y251" s="17" t="n"/>
      <ns0:c r="Z251" s="17" t="n"/>
      <ns0:c r="AA251" s="17" t="n"/>
      <ns0:c r="AB251" s="17" t="n"/>
      <ns0:c r="AC251" s="17" t="n"/>
      <ns0:c r="AD251" s="17" t="n"/>
      <ns0:c r="AE251" s="17" t="n"/>
      <ns0:c r="AF251" s="17" t="n"/>
      <ns0:c r="AG251" s="17" t="n"/>
    </ns0:row>
    <ns0:row r="252" ht="24" customHeight="1">
      <ns0:c r="D252" s="17" t="n"/>
      <ns0:c r="E252" s="17" t="n"/>
      <ns0:c r="F252" s="17" t="n"/>
      <ns0:c r="G252" s="17" t="n"/>
      <ns0:c r="H252" s="17" t="n"/>
      <ns0:c r="I252" s="17" t="n"/>
      <ns0:c r="J252" s="17" t="n"/>
      <ns0:c r="K252" s="17" t="n"/>
      <ns0:c r="L252" s="17" t="n"/>
      <ns0:c r="M252" s="17" t="n"/>
      <ns0:c r="N252" s="17" t="n"/>
      <ns0:c r="O252" s="17" t="n"/>
      <ns0:c r="P252" s="17" t="n"/>
      <ns0:c r="Q252" s="17" t="n"/>
      <ns0:c r="R252" s="17" t="n"/>
      <ns0:c r="S252" s="17" t="n"/>
      <ns0:c r="T252" s="17" t="n"/>
      <ns0:c r="U252" s="17" t="n"/>
      <ns0:c r="V252" s="17" t="n"/>
      <ns0:c r="W252" s="17" t="n"/>
      <ns0:c r="X252" s="17" t="n"/>
      <ns0:c r="Y252" s="17" t="n"/>
      <ns0:c r="Z252" s="17" t="n"/>
      <ns0:c r="AA252" s="17" t="n"/>
      <ns0:c r="AB252" s="17" t="n"/>
      <ns0:c r="AC252" s="17" t="n"/>
      <ns0:c r="AD252" s="17" t="n"/>
      <ns0:c r="AE252" s="17" t="n"/>
      <ns0:c r="AF252" s="17" t="n"/>
      <ns0:c r="AG252" s="17" t="n"/>
    </ns0:row>
    <ns0:row r="253" ht="24" customHeight="1">
      <ns0:c r="D253" s="17" t="n"/>
      <ns0:c r="E253" s="17" t="n"/>
      <ns0:c r="F253" s="17" t="n"/>
      <ns0:c r="G253" s="17" t="n"/>
      <ns0:c r="H253" s="17" t="n"/>
      <ns0:c r="I253" s="17" t="n"/>
      <ns0:c r="J253" s="17" t="n"/>
      <ns0:c r="K253" s="17" t="n"/>
      <ns0:c r="L253" s="17" t="n"/>
      <ns0:c r="M253" s="17" t="n"/>
      <ns0:c r="N253" s="17" t="n"/>
      <ns0:c r="O253" s="17" t="n"/>
      <ns0:c r="P253" s="17" t="n"/>
      <ns0:c r="Q253" s="17" t="n"/>
      <ns0:c r="R253" s="17" t="n"/>
      <ns0:c r="S253" s="17" t="n"/>
      <ns0:c r="T253" s="17" t="n"/>
      <ns0:c r="U253" s="17" t="n"/>
      <ns0:c r="V253" s="17" t="n"/>
      <ns0:c r="W253" s="17" t="n"/>
      <ns0:c r="X253" s="17" t="n"/>
      <ns0:c r="Y253" s="17" t="n"/>
      <ns0:c r="Z253" s="17" t="n"/>
      <ns0:c r="AA253" s="17" t="n"/>
      <ns0:c r="AB253" s="17" t="n"/>
      <ns0:c r="AC253" s="17" t="n"/>
      <ns0:c r="AD253" s="17" t="n"/>
      <ns0:c r="AE253" s="17" t="n"/>
      <ns0:c r="AF253" s="17" t="n"/>
      <ns0:c r="AG253" s="17" t="n"/>
    </ns0:row>
    <ns0:row r="254" ht="24" customHeight="1">
      <ns0:c r="D254" s="17" t="n"/>
      <ns0:c r="E254" s="17" t="n"/>
      <ns0:c r="F254" s="17" t="n"/>
      <ns0:c r="G254" s="17" t="n"/>
      <ns0:c r="H254" s="17" t="n"/>
      <ns0:c r="I254" s="17" t="n"/>
      <ns0:c r="J254" s="17" t="n"/>
      <ns0:c r="K254" s="17" t="n"/>
      <ns0:c r="L254" s="17" t="n"/>
      <ns0:c r="M254" s="17" t="n"/>
      <ns0:c r="N254" s="17" t="n"/>
      <ns0:c r="O254" s="17" t="n"/>
      <ns0:c r="P254" s="17" t="n"/>
      <ns0:c r="Q254" s="17" t="n"/>
      <ns0:c r="R254" s="17" t="n"/>
      <ns0:c r="S254" s="17" t="n"/>
      <ns0:c r="T254" s="17" t="n"/>
      <ns0:c r="U254" s="17" t="n"/>
      <ns0:c r="V254" s="17" t="n"/>
      <ns0:c r="W254" s="17" t="n"/>
      <ns0:c r="X254" s="17" t="n"/>
      <ns0:c r="Y254" s="17" t="n"/>
      <ns0:c r="Z254" s="17" t="n"/>
      <ns0:c r="AA254" s="17" t="n"/>
      <ns0:c r="AB254" s="17" t="n"/>
      <ns0:c r="AC254" s="17" t="n"/>
      <ns0:c r="AD254" s="17" t="n"/>
      <ns0:c r="AE254" s="17" t="n"/>
      <ns0:c r="AF254" s="17" t="n"/>
      <ns0:c r="AG254" s="17" t="n"/>
    </ns0:row>
    <ns0:row r="255" ht="24" customHeight="1">
      <ns0:c r="D255" s="17" t="n"/>
      <ns0:c r="E255" s="17" t="n"/>
      <ns0:c r="F255" s="17" t="n"/>
      <ns0:c r="G255" s="17" t="n"/>
      <ns0:c r="H255" s="17" t="n"/>
      <ns0:c r="I255" s="17" t="n"/>
      <ns0:c r="J255" s="17" t="n"/>
      <ns0:c r="K255" s="17" t="n"/>
      <ns0:c r="L255" s="17" t="n"/>
      <ns0:c r="M255" s="17" t="n"/>
      <ns0:c r="N255" s="17" t="n"/>
      <ns0:c r="O255" s="17" t="n"/>
      <ns0:c r="P255" s="17" t="n"/>
      <ns0:c r="Q255" s="17" t="n"/>
      <ns0:c r="R255" s="17" t="n"/>
      <ns0:c r="S255" s="17" t="n"/>
      <ns0:c r="T255" s="17" t="n"/>
      <ns0:c r="U255" s="17" t="n"/>
      <ns0:c r="V255" s="17" t="n"/>
      <ns0:c r="W255" s="17" t="n"/>
      <ns0:c r="X255" s="17" t="n"/>
      <ns0:c r="Y255" s="17" t="n"/>
      <ns0:c r="Z255" s="17" t="n"/>
      <ns0:c r="AA255" s="17" t="n"/>
      <ns0:c r="AB255" s="17" t="n"/>
      <ns0:c r="AC255" s="17" t="n"/>
      <ns0:c r="AD255" s="17" t="n"/>
      <ns0:c r="AE255" s="17" t="n"/>
      <ns0:c r="AF255" s="17" t="n"/>
      <ns0:c r="AG255" s="17" t="n"/>
    </ns0:row>
    <ns0:row r="256" ht="24" customHeight="1">
      <ns0:c r="D256" s="17" t="n"/>
      <ns0:c r="E256" s="17" t="n"/>
      <ns0:c r="F256" s="17" t="n"/>
      <ns0:c r="G256" s="17" t="n"/>
      <ns0:c r="H256" s="17" t="n"/>
      <ns0:c r="I256" s="17" t="n"/>
      <ns0:c r="J256" s="17" t="n"/>
      <ns0:c r="K256" s="17" t="n"/>
      <ns0:c r="L256" s="17" t="n"/>
      <ns0:c r="M256" s="17" t="n"/>
      <ns0:c r="N256" s="17" t="n"/>
      <ns0:c r="O256" s="17" t="n"/>
      <ns0:c r="P256" s="17" t="n"/>
      <ns0:c r="Q256" s="17" t="n"/>
      <ns0:c r="R256" s="17" t="n"/>
      <ns0:c r="S256" s="17" t="n"/>
      <ns0:c r="T256" s="17" t="n"/>
      <ns0:c r="U256" s="17" t="n"/>
      <ns0:c r="V256" s="17" t="n"/>
      <ns0:c r="W256" s="17" t="n"/>
      <ns0:c r="X256" s="17" t="n"/>
      <ns0:c r="Y256" s="17" t="n"/>
      <ns0:c r="Z256" s="17" t="n"/>
      <ns0:c r="AA256" s="17" t="n"/>
      <ns0:c r="AB256" s="17" t="n"/>
      <ns0:c r="AC256" s="17" t="n"/>
      <ns0:c r="AD256" s="17" t="n"/>
      <ns0:c r="AE256" s="17" t="n"/>
      <ns0:c r="AF256" s="17" t="n"/>
      <ns0:c r="AG256" s="17" t="n"/>
    </ns0:row>
    <ns0:row r="257" ht="24" customHeight="1">
      <ns0:c r="D257" s="17" t="n"/>
      <ns0:c r="E257" s="17" t="n"/>
      <ns0:c r="F257" s="17" t="n"/>
      <ns0:c r="G257" s="17" t="n"/>
      <ns0:c r="H257" s="17" t="n"/>
      <ns0:c r="I257" s="17" t="n"/>
      <ns0:c r="J257" s="17" t="n"/>
      <ns0:c r="K257" s="17" t="n"/>
      <ns0:c r="L257" s="17" t="n"/>
      <ns0:c r="M257" s="17" t="n"/>
      <ns0:c r="N257" s="17" t="n"/>
      <ns0:c r="O257" s="17" t="n"/>
      <ns0:c r="P257" s="17" t="n"/>
      <ns0:c r="Q257" s="17" t="n"/>
      <ns0:c r="R257" s="17" t="n"/>
      <ns0:c r="S257" s="17" t="n"/>
      <ns0:c r="T257" s="17" t="n"/>
      <ns0:c r="U257" s="17" t="n"/>
      <ns0:c r="V257" s="17" t="n"/>
      <ns0:c r="W257" s="17" t="n"/>
      <ns0:c r="X257" s="17" t="n"/>
      <ns0:c r="Y257" s="17" t="n"/>
      <ns0:c r="Z257" s="17" t="n"/>
      <ns0:c r="AA257" s="17" t="n"/>
      <ns0:c r="AB257" s="17" t="n"/>
      <ns0:c r="AC257" s="17" t="n"/>
      <ns0:c r="AD257" s="17" t="n"/>
      <ns0:c r="AE257" s="17" t="n"/>
      <ns0:c r="AF257" s="17" t="n"/>
      <ns0:c r="AG257" s="17" t="n"/>
    </ns0:row>
    <ns0:row r="258" ht="24" customHeight="1">
      <ns0:c r="D258" s="17" t="n"/>
      <ns0:c r="E258" s="17" t="n"/>
      <ns0:c r="F258" s="17" t="n"/>
      <ns0:c r="G258" s="17" t="n"/>
      <ns0:c r="H258" s="17" t="n"/>
      <ns0:c r="I258" s="17" t="n"/>
      <ns0:c r="J258" s="17" t="n"/>
      <ns0:c r="K258" s="17" t="n"/>
      <ns0:c r="L258" s="17" t="n"/>
      <ns0:c r="M258" s="17" t="n"/>
      <ns0:c r="N258" s="17" t="n"/>
      <ns0:c r="O258" s="17" t="n"/>
      <ns0:c r="P258" s="17" t="n"/>
      <ns0:c r="Q258" s="17" t="n"/>
      <ns0:c r="R258" s="17" t="n"/>
      <ns0:c r="S258" s="17" t="n"/>
      <ns0:c r="T258" s="17" t="n"/>
      <ns0:c r="U258" s="17" t="n"/>
      <ns0:c r="V258" s="17" t="n"/>
      <ns0:c r="W258" s="17" t="n"/>
      <ns0:c r="X258" s="17" t="n"/>
      <ns0:c r="Y258" s="17" t="n"/>
      <ns0:c r="Z258" s="17" t="n"/>
      <ns0:c r="AA258" s="17" t="n"/>
      <ns0:c r="AB258" s="17" t="n"/>
      <ns0:c r="AC258" s="17" t="n"/>
      <ns0:c r="AD258" s="17" t="n"/>
      <ns0:c r="AE258" s="17" t="n"/>
      <ns0:c r="AF258" s="17" t="n"/>
      <ns0:c r="AG258" s="17" t="n"/>
    </ns0:row>
    <ns0:row r="259" ht="24" customHeight="1">
      <ns0:c r="D259" s="17" t="n"/>
      <ns0:c r="E259" s="17" t="n"/>
      <ns0:c r="F259" s="17" t="n"/>
      <ns0:c r="G259" s="17" t="n"/>
      <ns0:c r="H259" s="17" t="n"/>
      <ns0:c r="I259" s="17" t="n"/>
      <ns0:c r="J259" s="17" t="n"/>
      <ns0:c r="K259" s="17" t="n"/>
      <ns0:c r="L259" s="17" t="n"/>
      <ns0:c r="M259" s="17" t="n"/>
      <ns0:c r="N259" s="17" t="n"/>
      <ns0:c r="O259" s="17" t="n"/>
      <ns0:c r="P259" s="17" t="n"/>
      <ns0:c r="Q259" s="17" t="n"/>
      <ns0:c r="R259" s="17" t="n"/>
      <ns0:c r="S259" s="17" t="n"/>
      <ns0:c r="T259" s="17" t="n"/>
      <ns0:c r="U259" s="17" t="n"/>
      <ns0:c r="V259" s="17" t="n"/>
      <ns0:c r="W259" s="17" t="n"/>
      <ns0:c r="X259" s="17" t="n"/>
      <ns0:c r="Y259" s="17" t="n"/>
      <ns0:c r="Z259" s="17" t="n"/>
      <ns0:c r="AA259" s="17" t="n"/>
      <ns0:c r="AB259" s="17" t="n"/>
      <ns0:c r="AC259" s="17" t="n"/>
      <ns0:c r="AD259" s="17" t="n"/>
      <ns0:c r="AE259" s="17" t="n"/>
      <ns0:c r="AF259" s="17" t="n"/>
      <ns0:c r="AG259" s="17" t="n"/>
    </ns0:row>
    <ns0:row r="260" ht="24" customHeight="1">
      <ns0:c r="D260" s="17" t="n"/>
      <ns0:c r="E260" s="17" t="n"/>
      <ns0:c r="F260" s="17" t="n"/>
      <ns0:c r="G260" s="17" t="n"/>
      <ns0:c r="H260" s="17" t="n"/>
      <ns0:c r="I260" s="17" t="n"/>
      <ns0:c r="J260" s="17" t="n"/>
      <ns0:c r="K260" s="17" t="n"/>
      <ns0:c r="L260" s="17" t="n"/>
      <ns0:c r="M260" s="17" t="n"/>
      <ns0:c r="N260" s="17" t="n"/>
      <ns0:c r="O260" s="17" t="n"/>
      <ns0:c r="P260" s="17" t="n"/>
      <ns0:c r="Q260" s="17" t="n"/>
      <ns0:c r="R260" s="17" t="n"/>
      <ns0:c r="S260" s="17" t="n"/>
      <ns0:c r="T260" s="17" t="n"/>
      <ns0:c r="U260" s="17" t="n"/>
      <ns0:c r="V260" s="17" t="n"/>
      <ns0:c r="W260" s="17" t="n"/>
      <ns0:c r="X260" s="17" t="n"/>
      <ns0:c r="Y260" s="17" t="n"/>
      <ns0:c r="Z260" s="17" t="n"/>
      <ns0:c r="AA260" s="17" t="n"/>
      <ns0:c r="AB260" s="17" t="n"/>
      <ns0:c r="AC260" s="17" t="n"/>
      <ns0:c r="AD260" s="17" t="n"/>
      <ns0:c r="AE260" s="17" t="n"/>
      <ns0:c r="AF260" s="17" t="n"/>
      <ns0:c r="AG260" s="17" t="n"/>
    </ns0:row>
    <ns0:row r="261" ht="24" customHeight="1">
      <ns0:c r="D261" s="17" t="n"/>
      <ns0:c r="E261" s="17" t="n"/>
      <ns0:c r="F261" s="17" t="n"/>
      <ns0:c r="G261" s="17" t="n"/>
      <ns0:c r="H261" s="17" t="n"/>
      <ns0:c r="I261" s="17" t="n"/>
      <ns0:c r="J261" s="17" t="n"/>
      <ns0:c r="K261" s="17" t="n"/>
      <ns0:c r="L261" s="17" t="n"/>
      <ns0:c r="M261" s="17" t="n"/>
      <ns0:c r="N261" s="17" t="n"/>
      <ns0:c r="O261" s="17" t="n"/>
      <ns0:c r="P261" s="17" t="n"/>
      <ns0:c r="Q261" s="17" t="n"/>
      <ns0:c r="R261" s="17" t="n"/>
      <ns0:c r="S261" s="17" t="n"/>
      <ns0:c r="T261" s="17" t="n"/>
      <ns0:c r="U261" s="17" t="n"/>
      <ns0:c r="V261" s="17" t="n"/>
      <ns0:c r="W261" s="17" t="n"/>
      <ns0:c r="X261" s="17" t="n"/>
      <ns0:c r="Y261" s="17" t="n"/>
      <ns0:c r="Z261" s="17" t="n"/>
      <ns0:c r="AA261" s="17" t="n"/>
      <ns0:c r="AB261" s="17" t="n"/>
      <ns0:c r="AC261" s="17" t="n"/>
      <ns0:c r="AD261" s="17" t="n"/>
      <ns0:c r="AE261" s="17" t="n"/>
      <ns0:c r="AF261" s="17" t="n"/>
      <ns0:c r="AG261" s="17" t="n"/>
    </ns0:row>
    <ns0:row r="262" ht="24" customHeight="1">
      <ns0:c r="D262" s="17" t="n"/>
      <ns0:c r="E262" s="17" t="n"/>
      <ns0:c r="F262" s="17" t="n"/>
      <ns0:c r="G262" s="17" t="n"/>
      <ns0:c r="H262" s="17" t="n"/>
      <ns0:c r="I262" s="17" t="n"/>
      <ns0:c r="J262" s="17" t="n"/>
      <ns0:c r="K262" s="17" t="n"/>
      <ns0:c r="L262" s="17" t="n"/>
      <ns0:c r="M262" s="17" t="n"/>
      <ns0:c r="N262" s="17" t="n"/>
      <ns0:c r="O262" s="17" t="n"/>
      <ns0:c r="P262" s="17" t="n"/>
      <ns0:c r="Q262" s="17" t="n"/>
      <ns0:c r="R262" s="17" t="n"/>
      <ns0:c r="S262" s="17" t="n"/>
      <ns0:c r="T262" s="17" t="n"/>
      <ns0:c r="U262" s="17" t="n"/>
      <ns0:c r="V262" s="17" t="n"/>
      <ns0:c r="W262" s="17" t="n"/>
      <ns0:c r="X262" s="17" t="n"/>
      <ns0:c r="Y262" s="17" t="n"/>
      <ns0:c r="Z262" s="17" t="n"/>
      <ns0:c r="AA262" s="17" t="n"/>
      <ns0:c r="AB262" s="17" t="n"/>
      <ns0:c r="AC262" s="17" t="n"/>
      <ns0:c r="AD262" s="17" t="n"/>
      <ns0:c r="AE262" s="17" t="n"/>
      <ns0:c r="AF262" s="17" t="n"/>
      <ns0:c r="AG262" s="17" t="n"/>
    </ns0:row>
    <ns0:row r="263" ht="24" customHeight="1">
      <ns0:c r="D263" s="17" t="n"/>
      <ns0:c r="E263" s="17" t="n"/>
      <ns0:c r="F263" s="17" t="n"/>
      <ns0:c r="G263" s="17" t="n"/>
      <ns0:c r="H263" s="17" t="n"/>
      <ns0:c r="I263" s="17" t="n"/>
      <ns0:c r="J263" s="17" t="n"/>
      <ns0:c r="K263" s="17" t="n"/>
      <ns0:c r="L263" s="17" t="n"/>
      <ns0:c r="M263" s="17" t="n"/>
      <ns0:c r="N263" s="17" t="n"/>
      <ns0:c r="O263" s="17" t="n"/>
      <ns0:c r="P263" s="17" t="n"/>
      <ns0:c r="Q263" s="17" t="n"/>
      <ns0:c r="R263" s="17" t="n"/>
      <ns0:c r="S263" s="17" t="n"/>
      <ns0:c r="T263" s="17" t="n"/>
      <ns0:c r="U263" s="17" t="n"/>
      <ns0:c r="V263" s="17" t="n"/>
      <ns0:c r="W263" s="17" t="n"/>
      <ns0:c r="X263" s="17" t="n"/>
      <ns0:c r="Y263" s="17" t="n"/>
      <ns0:c r="Z263" s="17" t="n"/>
      <ns0:c r="AA263" s="17" t="n"/>
      <ns0:c r="AB263" s="17" t="n"/>
      <ns0:c r="AC263" s="17" t="n"/>
      <ns0:c r="AD263" s="17" t="n"/>
      <ns0:c r="AE263" s="17" t="n"/>
      <ns0:c r="AF263" s="17" t="n"/>
      <ns0:c r="AG263" s="17" t="n"/>
    </ns0:row>
    <ns0:row r="264" ht="24" customHeight="1">
      <ns0:c r="D264" s="17" t="n"/>
      <ns0:c r="E264" s="17" t="n"/>
      <ns0:c r="F264" s="17" t="n"/>
      <ns0:c r="G264" s="17" t="n"/>
      <ns0:c r="H264" s="17" t="n"/>
      <ns0:c r="I264" s="17" t="n"/>
      <ns0:c r="J264" s="17" t="n"/>
      <ns0:c r="K264" s="17" t="n"/>
      <ns0:c r="L264" s="17" t="n"/>
      <ns0:c r="M264" s="17" t="n"/>
      <ns0:c r="N264" s="17" t="n"/>
      <ns0:c r="O264" s="17" t="n"/>
      <ns0:c r="P264" s="17" t="n"/>
      <ns0:c r="Q264" s="17" t="n"/>
      <ns0:c r="R264" s="17" t="n"/>
      <ns0:c r="S264" s="17" t="n"/>
      <ns0:c r="T264" s="17" t="n"/>
      <ns0:c r="U264" s="17" t="n"/>
      <ns0:c r="V264" s="17" t="n"/>
      <ns0:c r="W264" s="17" t="n"/>
      <ns0:c r="X264" s="17" t="n"/>
      <ns0:c r="Y264" s="17" t="n"/>
      <ns0:c r="Z264" s="17" t="n"/>
      <ns0:c r="AA264" s="17" t="n"/>
      <ns0:c r="AB264" s="17" t="n"/>
      <ns0:c r="AC264" s="17" t="n"/>
      <ns0:c r="AD264" s="17" t="n"/>
      <ns0:c r="AE264" s="17" t="n"/>
      <ns0:c r="AF264" s="17" t="n"/>
      <ns0:c r="AG264" s="17" t="n"/>
    </ns0:row>
    <ns0:row r="265" ht="24" customHeight="1">
      <ns0:c r="D265" s="17" t="n"/>
      <ns0:c r="E265" s="17" t="n"/>
      <ns0:c r="F265" s="17" t="n"/>
      <ns0:c r="G265" s="17" t="n"/>
      <ns0:c r="H265" s="17" t="n"/>
      <ns0:c r="I265" s="17" t="n"/>
      <ns0:c r="J265" s="17" t="n"/>
      <ns0:c r="K265" s="17" t="n"/>
      <ns0:c r="L265" s="17" t="n"/>
      <ns0:c r="M265" s="17" t="n"/>
      <ns0:c r="N265" s="17" t="n"/>
      <ns0:c r="O265" s="17" t="n"/>
      <ns0:c r="P265" s="17" t="n"/>
      <ns0:c r="Q265" s="17" t="n"/>
      <ns0:c r="R265" s="17" t="n"/>
      <ns0:c r="S265" s="17" t="n"/>
      <ns0:c r="T265" s="17" t="n"/>
      <ns0:c r="U265" s="17" t="n"/>
      <ns0:c r="V265" s="17" t="n"/>
      <ns0:c r="W265" s="17" t="n"/>
      <ns0:c r="X265" s="17" t="n"/>
      <ns0:c r="Y265" s="17" t="n"/>
      <ns0:c r="Z265" s="17" t="n"/>
      <ns0:c r="AA265" s="17" t="n"/>
      <ns0:c r="AB265" s="17" t="n"/>
      <ns0:c r="AC265" s="17" t="n"/>
      <ns0:c r="AD265" s="17" t="n"/>
      <ns0:c r="AE265" s="17" t="n"/>
      <ns0:c r="AF265" s="17" t="n"/>
      <ns0:c r="AG265" s="17" t="n"/>
    </ns0:row>
    <ns0:row r="266" ht="24" customHeight="1">
      <ns0:c r="D266" s="17" t="n"/>
      <ns0:c r="E266" s="17" t="n"/>
      <ns0:c r="F266" s="17" t="n"/>
      <ns0:c r="G266" s="17" t="n"/>
      <ns0:c r="H266" s="17" t="n"/>
      <ns0:c r="I266" s="17" t="n"/>
      <ns0:c r="J266" s="17" t="n"/>
      <ns0:c r="K266" s="17" t="n"/>
      <ns0:c r="L266" s="17" t="n"/>
      <ns0:c r="M266" s="17" t="n"/>
      <ns0:c r="N266" s="17" t="n"/>
      <ns0:c r="O266" s="17" t="n"/>
      <ns0:c r="P266" s="17" t="n"/>
      <ns0:c r="Q266" s="17" t="n"/>
      <ns0:c r="R266" s="17" t="n"/>
      <ns0:c r="S266" s="17" t="n"/>
      <ns0:c r="T266" s="17" t="n"/>
      <ns0:c r="U266" s="17" t="n"/>
      <ns0:c r="V266" s="17" t="n"/>
      <ns0:c r="W266" s="17" t="n"/>
      <ns0:c r="X266" s="17" t="n"/>
      <ns0:c r="Y266" s="17" t="n"/>
      <ns0:c r="Z266" s="17" t="n"/>
      <ns0:c r="AA266" s="17" t="n"/>
      <ns0:c r="AB266" s="17" t="n"/>
      <ns0:c r="AC266" s="17" t="n"/>
      <ns0:c r="AD266" s="17" t="n"/>
      <ns0:c r="AE266" s="17" t="n"/>
      <ns0:c r="AF266" s="17" t="n"/>
      <ns0:c r="AG266" s="17" t="n"/>
    </ns0:row>
    <ns0:row r="267" ht="24" customHeight="1">
      <ns0:c r="D267" s="17" t="n"/>
      <ns0:c r="E267" s="17" t="n"/>
      <ns0:c r="F267" s="17" t="n"/>
      <ns0:c r="G267" s="17" t="n"/>
      <ns0:c r="H267" s="17" t="n"/>
      <ns0:c r="I267" s="17" t="n"/>
      <ns0:c r="J267" s="17" t="n"/>
      <ns0:c r="K267" s="17" t="n"/>
      <ns0:c r="L267" s="17" t="n"/>
      <ns0:c r="M267" s="17" t="n"/>
      <ns0:c r="N267" s="17" t="n"/>
      <ns0:c r="O267" s="17" t="n"/>
      <ns0:c r="P267" s="17" t="n"/>
      <ns0:c r="Q267" s="17" t="n"/>
      <ns0:c r="R267" s="17" t="n"/>
      <ns0:c r="S267" s="17" t="n"/>
      <ns0:c r="T267" s="17" t="n"/>
      <ns0:c r="U267" s="17" t="n"/>
      <ns0:c r="V267" s="17" t="n"/>
      <ns0:c r="W267" s="17" t="n"/>
      <ns0:c r="X267" s="17" t="n"/>
      <ns0:c r="Y267" s="17" t="n"/>
      <ns0:c r="Z267" s="17" t="n"/>
      <ns0:c r="AA267" s="17" t="n"/>
      <ns0:c r="AB267" s="17" t="n"/>
      <ns0:c r="AC267" s="17" t="n"/>
      <ns0:c r="AD267" s="17" t="n"/>
      <ns0:c r="AE267" s="17" t="n"/>
      <ns0:c r="AF267" s="17" t="n"/>
      <ns0:c r="AG267" s="17" t="n"/>
    </ns0:row>
    <ns0:row r="268" ht="24" customHeight="1">
      <ns0:c r="D268" s="17" t="n"/>
      <ns0:c r="E268" s="17" t="n"/>
      <ns0:c r="F268" s="17" t="n"/>
      <ns0:c r="G268" s="17" t="n"/>
      <ns0:c r="H268" s="17" t="n"/>
      <ns0:c r="I268" s="17" t="n"/>
      <ns0:c r="J268" s="17" t="n"/>
      <ns0:c r="K268" s="17" t="n"/>
      <ns0:c r="L268" s="17" t="n"/>
      <ns0:c r="M268" s="17" t="n"/>
      <ns0:c r="N268" s="17" t="n"/>
      <ns0:c r="O268" s="17" t="n"/>
      <ns0:c r="P268" s="17" t="n"/>
      <ns0:c r="Q268" s="17" t="n"/>
      <ns0:c r="R268" s="17" t="n"/>
      <ns0:c r="S268" s="17" t="n"/>
      <ns0:c r="T268" s="17" t="n"/>
      <ns0:c r="U268" s="17" t="n"/>
      <ns0:c r="V268" s="17" t="n"/>
      <ns0:c r="W268" s="17" t="n"/>
      <ns0:c r="X268" s="17" t="n"/>
      <ns0:c r="Y268" s="17" t="n"/>
      <ns0:c r="Z268" s="17" t="n"/>
      <ns0:c r="AA268" s="17" t="n"/>
      <ns0:c r="AB268" s="17" t="n"/>
      <ns0:c r="AC268" s="17" t="n"/>
      <ns0:c r="AD268" s="17" t="n"/>
      <ns0:c r="AE268" s="17" t="n"/>
      <ns0:c r="AF268" s="17" t="n"/>
      <ns0:c r="AG268" s="17" t="n"/>
    </ns0:row>
    <ns0:row r="269" ht="24" customHeight="1">
      <ns0:c r="D269" s="17" t="n"/>
      <ns0:c r="E269" s="17" t="n"/>
      <ns0:c r="F269" s="17" t="n"/>
      <ns0:c r="G269" s="17" t="n"/>
      <ns0:c r="H269" s="17" t="n"/>
      <ns0:c r="I269" s="17" t="n"/>
      <ns0:c r="J269" s="17" t="n"/>
      <ns0:c r="K269" s="17" t="n"/>
      <ns0:c r="L269" s="17" t="n"/>
      <ns0:c r="M269" s="17" t="n"/>
      <ns0:c r="N269" s="17" t="n"/>
      <ns0:c r="O269" s="17" t="n"/>
      <ns0:c r="P269" s="17" t="n"/>
      <ns0:c r="Q269" s="17" t="n"/>
      <ns0:c r="R269" s="17" t="n"/>
      <ns0:c r="S269" s="17" t="n"/>
      <ns0:c r="T269" s="17" t="n"/>
      <ns0:c r="U269" s="17" t="n"/>
      <ns0:c r="V269" s="17" t="n"/>
      <ns0:c r="W269" s="17" t="n"/>
      <ns0:c r="X269" s="17" t="n"/>
      <ns0:c r="Y269" s="17" t="n"/>
      <ns0:c r="Z269" s="17" t="n"/>
      <ns0:c r="AA269" s="17" t="n"/>
      <ns0:c r="AB269" s="17" t="n"/>
      <ns0:c r="AC269" s="17" t="n"/>
      <ns0:c r="AD269" s="17" t="n"/>
      <ns0:c r="AE269" s="17" t="n"/>
      <ns0:c r="AF269" s="17" t="n"/>
      <ns0:c r="AG269" s="17" t="n"/>
    </ns0:row>
    <ns0:row r="270" ht="24" customHeight="1">
      <ns0:c r="D270" s="17" t="n"/>
      <ns0:c r="E270" s="17" t="n"/>
      <ns0:c r="F270" s="17" t="n"/>
      <ns0:c r="G270" s="17" t="n"/>
      <ns0:c r="H270" s="17" t="n"/>
      <ns0:c r="I270" s="17" t="n"/>
      <ns0:c r="J270" s="17" t="n"/>
      <ns0:c r="K270" s="17" t="n"/>
      <ns0:c r="L270" s="17" t="n"/>
      <ns0:c r="M270" s="17" t="n"/>
      <ns0:c r="N270" s="17" t="n"/>
      <ns0:c r="O270" s="17" t="n"/>
      <ns0:c r="P270" s="17" t="n"/>
      <ns0:c r="Q270" s="17" t="n"/>
      <ns0:c r="R270" s="17" t="n"/>
      <ns0:c r="S270" s="17" t="n"/>
      <ns0:c r="T270" s="17" t="n"/>
      <ns0:c r="U270" s="17" t="n"/>
      <ns0:c r="V270" s="17" t="n"/>
      <ns0:c r="W270" s="17" t="n"/>
      <ns0:c r="X270" s="17" t="n"/>
      <ns0:c r="Y270" s="17" t="n"/>
      <ns0:c r="Z270" s="17" t="n"/>
      <ns0:c r="AA270" s="17" t="n"/>
      <ns0:c r="AB270" s="17" t="n"/>
      <ns0:c r="AC270" s="17" t="n"/>
      <ns0:c r="AD270" s="17" t="n"/>
      <ns0:c r="AE270" s="17" t="n"/>
      <ns0:c r="AF270" s="17" t="n"/>
      <ns0:c r="AG270" s="17" t="n"/>
    </ns0:row>
    <ns0:row r="271" ht="24" customHeight="1">
      <ns0:c r="D271" s="17" t="n"/>
      <ns0:c r="E271" s="17" t="n"/>
      <ns0:c r="F271" s="17" t="n"/>
      <ns0:c r="G271" s="17" t="n"/>
      <ns0:c r="H271" s="17" t="n"/>
      <ns0:c r="I271" s="17" t="n"/>
      <ns0:c r="J271" s="17" t="n"/>
      <ns0:c r="K271" s="17" t="n"/>
      <ns0:c r="L271" s="17" t="n"/>
      <ns0:c r="M271" s="17" t="n"/>
      <ns0:c r="N271" s="17" t="n"/>
      <ns0:c r="O271" s="17" t="n"/>
      <ns0:c r="P271" s="17" t="n"/>
      <ns0:c r="Q271" s="17" t="n"/>
      <ns0:c r="R271" s="17" t="n"/>
      <ns0:c r="S271" s="17" t="n"/>
      <ns0:c r="T271" s="17" t="n"/>
      <ns0:c r="U271" s="17" t="n"/>
      <ns0:c r="V271" s="17" t="n"/>
      <ns0:c r="W271" s="17" t="n"/>
      <ns0:c r="X271" s="17" t="n"/>
      <ns0:c r="Y271" s="17" t="n"/>
      <ns0:c r="Z271" s="17" t="n"/>
      <ns0:c r="AA271" s="17" t="n"/>
      <ns0:c r="AB271" s="17" t="n"/>
      <ns0:c r="AC271" s="17" t="n"/>
      <ns0:c r="AD271" s="17" t="n"/>
      <ns0:c r="AE271" s="17" t="n"/>
      <ns0:c r="AF271" s="17" t="n"/>
      <ns0:c r="AG271" s="17" t="n"/>
    </ns0:row>
    <ns0:row r="272" ht="24" customHeight="1">
      <ns0:c r="D272" s="17" t="n"/>
      <ns0:c r="E272" s="17" t="n"/>
      <ns0:c r="F272" s="17" t="n"/>
      <ns0:c r="G272" s="17" t="n"/>
      <ns0:c r="H272" s="17" t="n"/>
      <ns0:c r="I272" s="17" t="n"/>
      <ns0:c r="J272" s="17" t="n"/>
      <ns0:c r="K272" s="17" t="n"/>
      <ns0:c r="L272" s="17" t="n"/>
      <ns0:c r="M272" s="17" t="n"/>
      <ns0:c r="N272" s="17" t="n"/>
      <ns0:c r="O272" s="17" t="n"/>
      <ns0:c r="P272" s="17" t="n"/>
      <ns0:c r="Q272" s="17" t="n"/>
      <ns0:c r="R272" s="17" t="n"/>
      <ns0:c r="S272" s="17" t="n"/>
      <ns0:c r="T272" s="17" t="n"/>
      <ns0:c r="U272" s="17" t="n"/>
      <ns0:c r="V272" s="17" t="n"/>
      <ns0:c r="W272" s="17" t="n"/>
      <ns0:c r="X272" s="17" t="n"/>
      <ns0:c r="Y272" s="17" t="n"/>
      <ns0:c r="Z272" s="17" t="n"/>
      <ns0:c r="AA272" s="17" t="n"/>
      <ns0:c r="AB272" s="17" t="n"/>
      <ns0:c r="AC272" s="17" t="n"/>
      <ns0:c r="AD272" s="17" t="n"/>
      <ns0:c r="AE272" s="17" t="n"/>
      <ns0:c r="AF272" s="17" t="n"/>
      <ns0:c r="AG272" s="17" t="n"/>
    </ns0:row>
    <ns0:row r="273" ht="24" customHeight="1">
      <ns0:c r="D273" s="17" t="n"/>
      <ns0:c r="E273" s="17" t="n"/>
      <ns0:c r="F273" s="17" t="n"/>
      <ns0:c r="G273" s="17" t="n"/>
      <ns0:c r="H273" s="17" t="n"/>
      <ns0:c r="I273" s="17" t="n"/>
      <ns0:c r="J273" s="17" t="n"/>
      <ns0:c r="K273" s="17" t="n"/>
      <ns0:c r="L273" s="17" t="n"/>
      <ns0:c r="M273" s="17" t="n"/>
      <ns0:c r="N273" s="17" t="n"/>
      <ns0:c r="O273" s="17" t="n"/>
      <ns0:c r="P273" s="17" t="n"/>
      <ns0:c r="Q273" s="17" t="n"/>
      <ns0:c r="R273" s="17" t="n"/>
      <ns0:c r="S273" s="17" t="n"/>
      <ns0:c r="T273" s="17" t="n"/>
      <ns0:c r="U273" s="17" t="n"/>
      <ns0:c r="V273" s="17" t="n"/>
      <ns0:c r="W273" s="17" t="n"/>
      <ns0:c r="X273" s="17" t="n"/>
      <ns0:c r="Y273" s="17" t="n"/>
      <ns0:c r="Z273" s="17" t="n"/>
      <ns0:c r="AA273" s="17" t="n"/>
      <ns0:c r="AB273" s="17" t="n"/>
      <ns0:c r="AC273" s="17" t="n"/>
      <ns0:c r="AD273" s="17" t="n"/>
      <ns0:c r="AE273" s="17" t="n"/>
      <ns0:c r="AF273" s="17" t="n"/>
      <ns0:c r="AG273" s="17" t="n"/>
    </ns0:row>
    <ns0:row r="274" ht="24" customHeight="1">
      <ns0:c r="D274" s="17" t="n"/>
      <ns0:c r="E274" s="17" t="n"/>
      <ns0:c r="F274" s="17" t="n"/>
      <ns0:c r="G274" s="17" t="n"/>
      <ns0:c r="H274" s="17" t="n"/>
      <ns0:c r="I274" s="17" t="n"/>
      <ns0:c r="J274" s="17" t="n"/>
      <ns0:c r="K274" s="17" t="n"/>
      <ns0:c r="L274" s="17" t="n"/>
      <ns0:c r="M274" s="17" t="n"/>
      <ns0:c r="N274" s="17" t="n"/>
      <ns0:c r="O274" s="17" t="n"/>
      <ns0:c r="P274" s="17" t="n"/>
      <ns0:c r="Q274" s="17" t="n"/>
      <ns0:c r="R274" s="17" t="n"/>
      <ns0:c r="S274" s="17" t="n"/>
      <ns0:c r="T274" s="17" t="n"/>
      <ns0:c r="U274" s="17" t="n"/>
      <ns0:c r="V274" s="17" t="n"/>
      <ns0:c r="W274" s="17" t="n"/>
      <ns0:c r="X274" s="17" t="n"/>
      <ns0:c r="Y274" s="17" t="n"/>
      <ns0:c r="Z274" s="17" t="n"/>
      <ns0:c r="AA274" s="17" t="n"/>
      <ns0:c r="AB274" s="17" t="n"/>
      <ns0:c r="AC274" s="17" t="n"/>
      <ns0:c r="AD274" s="17" t="n"/>
      <ns0:c r="AE274" s="17" t="n"/>
      <ns0:c r="AF274" s="17" t="n"/>
      <ns0:c r="AG274" s="17" t="n"/>
    </ns0:row>
    <ns0:row r="275" ht="24" customHeight="1">
      <ns0:c r="D275" s="17" t="n"/>
      <ns0:c r="E275" s="17" t="n"/>
      <ns0:c r="F275" s="17" t="n"/>
      <ns0:c r="G275" s="17" t="n"/>
      <ns0:c r="H275" s="17" t="n"/>
      <ns0:c r="I275" s="17" t="n"/>
      <ns0:c r="J275" s="17" t="n"/>
      <ns0:c r="K275" s="17" t="n"/>
      <ns0:c r="L275" s="17" t="n"/>
      <ns0:c r="M275" s="17" t="n"/>
      <ns0:c r="N275" s="17" t="n"/>
      <ns0:c r="O275" s="17" t="n"/>
      <ns0:c r="P275" s="17" t="n"/>
      <ns0:c r="Q275" s="17" t="n"/>
      <ns0:c r="R275" s="17" t="n"/>
      <ns0:c r="S275" s="17" t="n"/>
      <ns0:c r="T275" s="17" t="n"/>
      <ns0:c r="U275" s="17" t="n"/>
      <ns0:c r="V275" s="17" t="n"/>
      <ns0:c r="W275" s="17" t="n"/>
      <ns0:c r="X275" s="17" t="n"/>
      <ns0:c r="Y275" s="17" t="n"/>
      <ns0:c r="Z275" s="17" t="n"/>
      <ns0:c r="AA275" s="17" t="n"/>
      <ns0:c r="AB275" s="17" t="n"/>
      <ns0:c r="AC275" s="17" t="n"/>
      <ns0:c r="AD275" s="17" t="n"/>
      <ns0:c r="AE275" s="17" t="n"/>
      <ns0:c r="AF275" s="17" t="n"/>
      <ns0:c r="AG275" s="17" t="n"/>
    </ns0:row>
    <ns0:row r="276" ht="24" customHeight="1">
      <ns0:c r="D276" s="17" t="n"/>
      <ns0:c r="E276" s="17" t="n"/>
      <ns0:c r="F276" s="17" t="n"/>
      <ns0:c r="G276" s="17" t="n"/>
      <ns0:c r="H276" s="17" t="n"/>
      <ns0:c r="I276" s="17" t="n"/>
      <ns0:c r="J276" s="17" t="n"/>
      <ns0:c r="K276" s="17" t="n"/>
      <ns0:c r="L276" s="17" t="n"/>
      <ns0:c r="M276" s="17" t="n"/>
      <ns0:c r="N276" s="17" t="n"/>
      <ns0:c r="O276" s="17" t="n"/>
      <ns0:c r="P276" s="17" t="n"/>
      <ns0:c r="Q276" s="17" t="n"/>
      <ns0:c r="R276" s="17" t="n"/>
      <ns0:c r="S276" s="17" t="n"/>
      <ns0:c r="T276" s="17" t="n"/>
      <ns0:c r="U276" s="17" t="n"/>
      <ns0:c r="V276" s="17" t="n"/>
      <ns0:c r="W276" s="17" t="n"/>
      <ns0:c r="X276" s="17" t="n"/>
      <ns0:c r="Y276" s="17" t="n"/>
      <ns0:c r="Z276" s="17" t="n"/>
      <ns0:c r="AA276" s="17" t="n"/>
      <ns0:c r="AB276" s="17" t="n"/>
      <ns0:c r="AC276" s="17" t="n"/>
      <ns0:c r="AD276" s="17" t="n"/>
      <ns0:c r="AE276" s="17" t="n"/>
      <ns0:c r="AF276" s="17" t="n"/>
      <ns0:c r="AG276" s="17" t="n"/>
    </ns0:row>
    <ns0:row r="277" ht="24" customHeight="1">
      <ns0:c r="D277" s="17" t="n"/>
      <ns0:c r="E277" s="17" t="n"/>
      <ns0:c r="F277" s="17" t="n"/>
      <ns0:c r="G277" s="17" t="n"/>
      <ns0:c r="H277" s="17" t="n"/>
      <ns0:c r="I277" s="17" t="n"/>
      <ns0:c r="J277" s="17" t="n"/>
      <ns0:c r="K277" s="17" t="n"/>
      <ns0:c r="L277" s="17" t="n"/>
      <ns0:c r="M277" s="17" t="n"/>
      <ns0:c r="N277" s="17" t="n"/>
      <ns0:c r="O277" s="17" t="n"/>
      <ns0:c r="P277" s="17" t="n"/>
      <ns0:c r="Q277" s="17" t="n"/>
      <ns0:c r="R277" s="17" t="n"/>
      <ns0:c r="S277" s="17" t="n"/>
      <ns0:c r="T277" s="17" t="n"/>
      <ns0:c r="U277" s="17" t="n"/>
      <ns0:c r="V277" s="17" t="n"/>
      <ns0:c r="W277" s="17" t="n"/>
      <ns0:c r="X277" s="17" t="n"/>
      <ns0:c r="Y277" s="17" t="n"/>
      <ns0:c r="Z277" s="17" t="n"/>
      <ns0:c r="AA277" s="17" t="n"/>
      <ns0:c r="AB277" s="17" t="n"/>
      <ns0:c r="AC277" s="17" t="n"/>
      <ns0:c r="AD277" s="17" t="n"/>
      <ns0:c r="AE277" s="17" t="n"/>
      <ns0:c r="AF277" s="17" t="n"/>
      <ns0:c r="AG277" s="17" t="n"/>
    </ns0:row>
    <ns0:row r="278" ht="24" customHeight="1">
      <ns0:c r="D278" s="17" t="n"/>
      <ns0:c r="E278" s="17" t="n"/>
      <ns0:c r="F278" s="17" t="n"/>
      <ns0:c r="G278" s="17" t="n"/>
      <ns0:c r="H278" s="17" t="n"/>
      <ns0:c r="I278" s="17" t="n"/>
      <ns0:c r="J278" s="17" t="n"/>
      <ns0:c r="K278" s="17" t="n"/>
      <ns0:c r="L278" s="17" t="n"/>
      <ns0:c r="M278" s="17" t="n"/>
      <ns0:c r="N278" s="17" t="n"/>
      <ns0:c r="O278" s="17" t="n"/>
      <ns0:c r="P278" s="17" t="n"/>
      <ns0:c r="Q278" s="17" t="n"/>
      <ns0:c r="R278" s="17" t="n"/>
      <ns0:c r="S278" s="17" t="n"/>
      <ns0:c r="T278" s="17" t="n"/>
      <ns0:c r="U278" s="17" t="n"/>
      <ns0:c r="V278" s="17" t="n"/>
      <ns0:c r="W278" s="17" t="n"/>
      <ns0:c r="X278" s="17" t="n"/>
      <ns0:c r="Y278" s="17" t="n"/>
      <ns0:c r="Z278" s="17" t="n"/>
      <ns0:c r="AA278" s="17" t="n"/>
      <ns0:c r="AB278" s="17" t="n"/>
      <ns0:c r="AC278" s="17" t="n"/>
      <ns0:c r="AD278" s="17" t="n"/>
      <ns0:c r="AE278" s="17" t="n"/>
      <ns0:c r="AF278" s="17" t="n"/>
      <ns0:c r="AG278" s="17" t="n"/>
    </ns0:row>
    <ns0:row r="279" ht="24" customHeight="1">
      <ns0:c r="D279" s="17" t="n"/>
      <ns0:c r="E279" s="17" t="n"/>
      <ns0:c r="F279" s="17" t="n"/>
      <ns0:c r="G279" s="17" t="n"/>
      <ns0:c r="H279" s="17" t="n"/>
      <ns0:c r="I279" s="17" t="n"/>
      <ns0:c r="J279" s="17" t="n"/>
      <ns0:c r="K279" s="17" t="n"/>
      <ns0:c r="L279" s="17" t="n"/>
      <ns0:c r="M279" s="17" t="n"/>
      <ns0:c r="N279" s="17" t="n"/>
      <ns0:c r="O279" s="17" t="n"/>
      <ns0:c r="P279" s="17" t="n"/>
      <ns0:c r="Q279" s="17" t="n"/>
      <ns0:c r="R279" s="17" t="n"/>
      <ns0:c r="S279" s="17" t="n"/>
      <ns0:c r="T279" s="17" t="n"/>
      <ns0:c r="U279" s="17" t="n"/>
      <ns0:c r="V279" s="17" t="n"/>
      <ns0:c r="W279" s="17" t="n"/>
      <ns0:c r="X279" s="17" t="n"/>
      <ns0:c r="Y279" s="17" t="n"/>
      <ns0:c r="Z279" s="17" t="n"/>
      <ns0:c r="AA279" s="17" t="n"/>
      <ns0:c r="AB279" s="17" t="n"/>
      <ns0:c r="AC279" s="17" t="n"/>
      <ns0:c r="AD279" s="17" t="n"/>
      <ns0:c r="AE279" s="17" t="n"/>
      <ns0:c r="AF279" s="17" t="n"/>
      <ns0:c r="AG279" s="17" t="n"/>
    </ns0:row>
    <ns0:row r="280" ht="24" customHeight="1">
      <ns0:c r="D280" s="17" t="n"/>
      <ns0:c r="E280" s="17" t="n"/>
      <ns0:c r="F280" s="17" t="n"/>
      <ns0:c r="G280" s="17" t="n"/>
      <ns0:c r="H280" s="17" t="n"/>
      <ns0:c r="I280" s="17" t="n"/>
      <ns0:c r="J280" s="17" t="n"/>
      <ns0:c r="K280" s="17" t="n"/>
      <ns0:c r="L280" s="17" t="n"/>
      <ns0:c r="M280" s="17" t="n"/>
      <ns0:c r="N280" s="17" t="n"/>
      <ns0:c r="O280" s="17" t="n"/>
      <ns0:c r="P280" s="17" t="n"/>
      <ns0:c r="Q280" s="17" t="n"/>
      <ns0:c r="R280" s="17" t="n"/>
      <ns0:c r="S280" s="17" t="n"/>
      <ns0:c r="T280" s="17" t="n"/>
      <ns0:c r="U280" s="17" t="n"/>
      <ns0:c r="V280" s="17" t="n"/>
      <ns0:c r="W280" s="17" t="n"/>
      <ns0:c r="X280" s="17" t="n"/>
      <ns0:c r="Y280" s="17" t="n"/>
      <ns0:c r="Z280" s="17" t="n"/>
      <ns0:c r="AA280" s="17" t="n"/>
      <ns0:c r="AB280" s="17" t="n"/>
      <ns0:c r="AC280" s="17" t="n"/>
      <ns0:c r="AD280" s="17" t="n"/>
      <ns0:c r="AE280" s="17" t="n"/>
      <ns0:c r="AF280" s="17" t="n"/>
      <ns0:c r="AG280" s="17" t="n"/>
    </ns0:row>
    <ns0:row r="281" ht="24" customHeight="1">
      <ns0:c r="D281" s="17" t="n"/>
      <ns0:c r="E281" s="17" t="n"/>
      <ns0:c r="F281" s="17" t="n"/>
      <ns0:c r="G281" s="17" t="n"/>
      <ns0:c r="H281" s="17" t="n"/>
      <ns0:c r="I281" s="17" t="n"/>
      <ns0:c r="J281" s="17" t="n"/>
      <ns0:c r="K281" s="17" t="n"/>
      <ns0:c r="L281" s="17" t="n"/>
      <ns0:c r="M281" s="17" t="n"/>
      <ns0:c r="N281" s="17" t="n"/>
      <ns0:c r="O281" s="17" t="n"/>
      <ns0:c r="P281" s="17" t="n"/>
      <ns0:c r="Q281" s="17" t="n"/>
      <ns0:c r="R281" s="17" t="n"/>
      <ns0:c r="S281" s="17" t="n"/>
      <ns0:c r="T281" s="17" t="n"/>
      <ns0:c r="U281" s="17" t="n"/>
      <ns0:c r="V281" s="17" t="n"/>
      <ns0:c r="W281" s="17" t="n"/>
      <ns0:c r="X281" s="17" t="n"/>
      <ns0:c r="Y281" s="17" t="n"/>
      <ns0:c r="Z281" s="17" t="n"/>
      <ns0:c r="AA281" s="17" t="n"/>
      <ns0:c r="AB281" s="17" t="n"/>
      <ns0:c r="AC281" s="17" t="n"/>
      <ns0:c r="AD281" s="17" t="n"/>
      <ns0:c r="AE281" s="17" t="n"/>
      <ns0:c r="AF281" s="17" t="n"/>
      <ns0:c r="AG281" s="17" t="n"/>
    </ns0:row>
    <ns0:row r="282" ht="24" customHeight="1">
      <ns0:c r="D282" s="17" t="n"/>
      <ns0:c r="E282" s="17" t="n"/>
      <ns0:c r="F282" s="17" t="n"/>
      <ns0:c r="G282" s="17" t="n"/>
      <ns0:c r="H282" s="17" t="n"/>
      <ns0:c r="I282" s="17" t="n"/>
      <ns0:c r="J282" s="17" t="n"/>
      <ns0:c r="K282" s="17" t="n"/>
      <ns0:c r="L282" s="17" t="n"/>
      <ns0:c r="M282" s="17" t="n"/>
      <ns0:c r="N282" s="17" t="n"/>
      <ns0:c r="O282" s="17" t="n"/>
      <ns0:c r="P282" s="17" t="n"/>
      <ns0:c r="Q282" s="17" t="n"/>
      <ns0:c r="R282" s="17" t="n"/>
      <ns0:c r="S282" s="17" t="n"/>
      <ns0:c r="T282" s="17" t="n"/>
      <ns0:c r="U282" s="17" t="n"/>
      <ns0:c r="V282" s="17" t="n"/>
      <ns0:c r="W282" s="17" t="n"/>
      <ns0:c r="X282" s="17" t="n"/>
      <ns0:c r="Y282" s="17" t="n"/>
      <ns0:c r="Z282" s="17" t="n"/>
      <ns0:c r="AA282" s="17" t="n"/>
      <ns0:c r="AB282" s="17" t="n"/>
      <ns0:c r="AC282" s="17" t="n"/>
      <ns0:c r="AD282" s="17" t="n"/>
      <ns0:c r="AE282" s="17" t="n"/>
      <ns0:c r="AF282" s="17" t="n"/>
      <ns0:c r="AG282" s="17" t="n"/>
    </ns0:row>
    <ns0:row r="283" ht="24" customHeight="1">
      <ns0:c r="D283" s="17" t="n"/>
      <ns0:c r="E283" s="17" t="n"/>
      <ns0:c r="F283" s="17" t="n"/>
      <ns0:c r="G283" s="17" t="n"/>
      <ns0:c r="H283" s="17" t="n"/>
      <ns0:c r="I283" s="17" t="n"/>
      <ns0:c r="J283" s="17" t="n"/>
      <ns0:c r="K283" s="17" t="n"/>
      <ns0:c r="L283" s="17" t="n"/>
      <ns0:c r="M283" s="17" t="n"/>
      <ns0:c r="N283" s="17" t="n"/>
      <ns0:c r="O283" s="17" t="n"/>
      <ns0:c r="P283" s="17" t="n"/>
      <ns0:c r="Q283" s="17" t="n"/>
      <ns0:c r="R283" s="17" t="n"/>
      <ns0:c r="S283" s="17" t="n"/>
      <ns0:c r="T283" s="17" t="n"/>
      <ns0:c r="U283" s="17" t="n"/>
      <ns0:c r="V283" s="17" t="n"/>
      <ns0:c r="W283" s="17" t="n"/>
      <ns0:c r="X283" s="17" t="n"/>
      <ns0:c r="Y283" s="17" t="n"/>
      <ns0:c r="Z283" s="17" t="n"/>
      <ns0:c r="AA283" s="17" t="n"/>
      <ns0:c r="AB283" s="17" t="n"/>
      <ns0:c r="AC283" s="17" t="n"/>
      <ns0:c r="AD283" s="17" t="n"/>
      <ns0:c r="AE283" s="17" t="n"/>
      <ns0:c r="AF283" s="17" t="n"/>
      <ns0:c r="AG283" s="17" t="n"/>
    </ns0:row>
    <ns0:row r="284" ht="24" customHeight="1">
      <ns0:c r="D284" s="17" t="n"/>
      <ns0:c r="E284" s="17" t="n"/>
      <ns0:c r="F284" s="17" t="n"/>
      <ns0:c r="G284" s="17" t="n"/>
      <ns0:c r="H284" s="17" t="n"/>
      <ns0:c r="I284" s="17" t="n"/>
      <ns0:c r="J284" s="17" t="n"/>
      <ns0:c r="K284" s="17" t="n"/>
      <ns0:c r="L284" s="17" t="n"/>
      <ns0:c r="M284" s="17" t="n"/>
      <ns0:c r="N284" s="17" t="n"/>
      <ns0:c r="O284" s="17" t="n"/>
      <ns0:c r="P284" s="17" t="n"/>
      <ns0:c r="Q284" s="17" t="n"/>
      <ns0:c r="R284" s="17" t="n"/>
      <ns0:c r="S284" s="17" t="n"/>
      <ns0:c r="T284" s="17" t="n"/>
      <ns0:c r="U284" s="17" t="n"/>
      <ns0:c r="V284" s="17" t="n"/>
      <ns0:c r="W284" s="17" t="n"/>
      <ns0:c r="X284" s="17" t="n"/>
      <ns0:c r="Y284" s="17" t="n"/>
      <ns0:c r="Z284" s="17" t="n"/>
      <ns0:c r="AA284" s="17" t="n"/>
      <ns0:c r="AB284" s="17" t="n"/>
      <ns0:c r="AC284" s="17" t="n"/>
      <ns0:c r="AD284" s="17" t="n"/>
      <ns0:c r="AE284" s="17" t="n"/>
      <ns0:c r="AF284" s="17" t="n"/>
      <ns0:c r="AG284" s="17" t="n"/>
    </ns0:row>
    <ns0:row r="285" ht="24" customHeight="1">
      <ns0:c r="D285" s="17" t="n"/>
      <ns0:c r="E285" s="17" t="n"/>
      <ns0:c r="F285" s="17" t="n"/>
      <ns0:c r="G285" s="17" t="n"/>
      <ns0:c r="H285" s="17" t="n"/>
      <ns0:c r="I285" s="17" t="n"/>
      <ns0:c r="J285" s="17" t="n"/>
      <ns0:c r="K285" s="17" t="n"/>
      <ns0:c r="L285" s="17" t="n"/>
      <ns0:c r="M285" s="17" t="n"/>
      <ns0:c r="N285" s="17" t="n"/>
      <ns0:c r="O285" s="17" t="n"/>
      <ns0:c r="P285" s="17" t="n"/>
      <ns0:c r="Q285" s="17" t="n"/>
      <ns0:c r="R285" s="17" t="n"/>
      <ns0:c r="S285" s="17" t="n"/>
      <ns0:c r="T285" s="17" t="n"/>
      <ns0:c r="U285" s="17" t="n"/>
      <ns0:c r="V285" s="17" t="n"/>
      <ns0:c r="W285" s="17" t="n"/>
      <ns0:c r="X285" s="17" t="n"/>
      <ns0:c r="Y285" s="17" t="n"/>
      <ns0:c r="Z285" s="17" t="n"/>
      <ns0:c r="AA285" s="17" t="n"/>
      <ns0:c r="AB285" s="17" t="n"/>
      <ns0:c r="AC285" s="17" t="n"/>
      <ns0:c r="AD285" s="17" t="n"/>
      <ns0:c r="AE285" s="17" t="n"/>
      <ns0:c r="AF285" s="17" t="n"/>
      <ns0:c r="AG285" s="17" t="n"/>
    </ns0:row>
    <ns0:row r="286" ht="24" customHeight="1">
      <ns0:c r="D286" s="17" t="n"/>
      <ns0:c r="E286" s="17" t="n"/>
      <ns0:c r="F286" s="17" t="n"/>
      <ns0:c r="G286" s="17" t="n"/>
      <ns0:c r="H286" s="17" t="n"/>
      <ns0:c r="I286" s="17" t="n"/>
      <ns0:c r="J286" s="17" t="n"/>
      <ns0:c r="K286" s="17" t="n"/>
      <ns0:c r="L286" s="17" t="n"/>
      <ns0:c r="M286" s="17" t="n"/>
      <ns0:c r="N286" s="17" t="n"/>
      <ns0:c r="O286" s="17" t="n"/>
      <ns0:c r="P286" s="17" t="n"/>
      <ns0:c r="Q286" s="17" t="n"/>
      <ns0:c r="R286" s="17" t="n"/>
      <ns0:c r="S286" s="17" t="n"/>
      <ns0:c r="T286" s="17" t="n"/>
      <ns0:c r="U286" s="17" t="n"/>
      <ns0:c r="V286" s="17" t="n"/>
      <ns0:c r="W286" s="17" t="n"/>
      <ns0:c r="X286" s="17" t="n"/>
      <ns0:c r="Y286" s="17" t="n"/>
      <ns0:c r="Z286" s="17" t="n"/>
      <ns0:c r="AA286" s="17" t="n"/>
      <ns0:c r="AB286" s="17" t="n"/>
      <ns0:c r="AC286" s="17" t="n"/>
      <ns0:c r="AD286" s="17" t="n"/>
      <ns0:c r="AE286" s="17" t="n"/>
      <ns0:c r="AF286" s="17" t="n"/>
      <ns0:c r="AG286" s="17" t="n"/>
    </ns0:row>
    <ns0:row r="287" ht="24" customHeight="1">
      <ns0:c r="D287" s="17" t="n"/>
      <ns0:c r="E287" s="17" t="n"/>
      <ns0:c r="F287" s="17" t="n"/>
      <ns0:c r="G287" s="17" t="n"/>
      <ns0:c r="H287" s="17" t="n"/>
      <ns0:c r="I287" s="17" t="n"/>
      <ns0:c r="J287" s="17" t="n"/>
      <ns0:c r="K287" s="17" t="n"/>
      <ns0:c r="L287" s="17" t="n"/>
      <ns0:c r="M287" s="17" t="n"/>
      <ns0:c r="N287" s="17" t="n"/>
      <ns0:c r="O287" s="17" t="n"/>
      <ns0:c r="P287" s="17" t="n"/>
      <ns0:c r="Q287" s="17" t="n"/>
      <ns0:c r="R287" s="17" t="n"/>
      <ns0:c r="S287" s="17" t="n"/>
      <ns0:c r="T287" s="17" t="n"/>
      <ns0:c r="U287" s="17" t="n"/>
      <ns0:c r="V287" s="17" t="n"/>
      <ns0:c r="W287" s="17" t="n"/>
      <ns0:c r="X287" s="17" t="n"/>
      <ns0:c r="Y287" s="17" t="n"/>
      <ns0:c r="Z287" s="17" t="n"/>
      <ns0:c r="AA287" s="17" t="n"/>
      <ns0:c r="AB287" s="17" t="n"/>
      <ns0:c r="AC287" s="17" t="n"/>
      <ns0:c r="AD287" s="17" t="n"/>
      <ns0:c r="AE287" s="17" t="n"/>
      <ns0:c r="AF287" s="17" t="n"/>
      <ns0:c r="AG287" s="17" t="n"/>
    </ns0:row>
    <ns0:row r="288" ht="24" customHeight="1">
      <ns0:c r="D288" s="17" t="n"/>
      <ns0:c r="E288" s="17" t="n"/>
      <ns0:c r="F288" s="17" t="n"/>
      <ns0:c r="G288" s="17" t="n"/>
      <ns0:c r="H288" s="17" t="n"/>
      <ns0:c r="I288" s="17" t="n"/>
      <ns0:c r="J288" s="17" t="n"/>
      <ns0:c r="K288" s="17" t="n"/>
      <ns0:c r="L288" s="17" t="n"/>
      <ns0:c r="M288" s="17" t="n"/>
      <ns0:c r="N288" s="17" t="n"/>
      <ns0:c r="O288" s="17" t="n"/>
      <ns0:c r="P288" s="17" t="n"/>
      <ns0:c r="Q288" s="17" t="n"/>
      <ns0:c r="R288" s="17" t="n"/>
      <ns0:c r="S288" s="17" t="n"/>
      <ns0:c r="T288" s="17" t="n"/>
      <ns0:c r="U288" s="17" t="n"/>
      <ns0:c r="V288" s="17" t="n"/>
      <ns0:c r="W288" s="17" t="n"/>
      <ns0:c r="X288" s="17" t="n"/>
      <ns0:c r="Y288" s="17" t="n"/>
      <ns0:c r="Z288" s="17" t="n"/>
      <ns0:c r="AA288" s="17" t="n"/>
      <ns0:c r="AB288" s="17" t="n"/>
      <ns0:c r="AC288" s="17" t="n"/>
      <ns0:c r="AD288" s="17" t="n"/>
      <ns0:c r="AE288" s="17" t="n"/>
      <ns0:c r="AF288" s="17" t="n"/>
      <ns0:c r="AG288" s="17" t="n"/>
    </ns0:row>
    <ns0:row r="289" ht="24" customHeight="1">
      <ns0:c r="D289" s="17" t="n"/>
      <ns0:c r="E289" s="17" t="n"/>
      <ns0:c r="F289" s="17" t="n"/>
      <ns0:c r="G289" s="17" t="n"/>
      <ns0:c r="H289" s="17" t="n"/>
      <ns0:c r="I289" s="17" t="n"/>
      <ns0:c r="J289" s="17" t="n"/>
      <ns0:c r="K289" s="17" t="n"/>
      <ns0:c r="L289" s="17" t="n"/>
      <ns0:c r="M289" s="17" t="n"/>
      <ns0:c r="N289" s="17" t="n"/>
      <ns0:c r="O289" s="17" t="n"/>
      <ns0:c r="P289" s="17" t="n"/>
      <ns0:c r="Q289" s="17" t="n"/>
      <ns0:c r="R289" s="17" t="n"/>
      <ns0:c r="S289" s="17" t="n"/>
      <ns0:c r="T289" s="17" t="n"/>
      <ns0:c r="U289" s="17" t="n"/>
      <ns0:c r="V289" s="17" t="n"/>
      <ns0:c r="W289" s="17" t="n"/>
      <ns0:c r="X289" s="17" t="n"/>
      <ns0:c r="Y289" s="17" t="n"/>
      <ns0:c r="Z289" s="17" t="n"/>
      <ns0:c r="AA289" s="17" t="n"/>
      <ns0:c r="AB289" s="17" t="n"/>
      <ns0:c r="AC289" s="17" t="n"/>
      <ns0:c r="AD289" s="17" t="n"/>
      <ns0:c r="AE289" s="17" t="n"/>
      <ns0:c r="AF289" s="17" t="n"/>
      <ns0:c r="AG289" s="17" t="n"/>
    </ns0:row>
    <ns0:row r="290" ht="24" customHeight="1">
      <ns0:c r="D290" s="17" t="n"/>
      <ns0:c r="E290" s="17" t="n"/>
      <ns0:c r="F290" s="17" t="n"/>
      <ns0:c r="G290" s="17" t="n"/>
      <ns0:c r="H290" s="17" t="n"/>
      <ns0:c r="I290" s="17" t="n"/>
      <ns0:c r="J290" s="17" t="n"/>
      <ns0:c r="K290" s="17" t="n"/>
      <ns0:c r="L290" s="17" t="n"/>
      <ns0:c r="M290" s="17" t="n"/>
      <ns0:c r="N290" s="17" t="n"/>
      <ns0:c r="O290" s="17" t="n"/>
      <ns0:c r="P290" s="17" t="n"/>
      <ns0:c r="Q290" s="17" t="n"/>
      <ns0:c r="R290" s="17" t="n"/>
      <ns0:c r="S290" s="17" t="n"/>
      <ns0:c r="T290" s="17" t="n"/>
      <ns0:c r="U290" s="17" t="n"/>
      <ns0:c r="V290" s="17" t="n"/>
      <ns0:c r="W290" s="17" t="n"/>
      <ns0:c r="X290" s="17" t="n"/>
      <ns0:c r="Y290" s="17" t="n"/>
      <ns0:c r="Z290" s="17" t="n"/>
      <ns0:c r="AA290" s="17" t="n"/>
      <ns0:c r="AB290" s="17" t="n"/>
      <ns0:c r="AC290" s="17" t="n"/>
      <ns0:c r="AD290" s="17" t="n"/>
      <ns0:c r="AE290" s="17" t="n"/>
      <ns0:c r="AF290" s="17" t="n"/>
      <ns0:c r="AG290" s="17" t="n"/>
    </ns0:row>
    <ns0:row r="291" ht="24" customHeight="1">
      <ns0:c r="D291" s="17" t="n"/>
      <ns0:c r="E291" s="17" t="n"/>
      <ns0:c r="F291" s="17" t="n"/>
      <ns0:c r="G291" s="17" t="n"/>
      <ns0:c r="H291" s="17" t="n"/>
      <ns0:c r="I291" s="17" t="n"/>
      <ns0:c r="J291" s="17" t="n"/>
      <ns0:c r="K291" s="17" t="n"/>
      <ns0:c r="L291" s="17" t="n"/>
      <ns0:c r="M291" s="17" t="n"/>
      <ns0:c r="N291" s="17" t="n"/>
      <ns0:c r="O291" s="17" t="n"/>
      <ns0:c r="P291" s="17" t="n"/>
      <ns0:c r="Q291" s="17" t="n"/>
      <ns0:c r="R291" s="17" t="n"/>
      <ns0:c r="S291" s="17" t="n"/>
      <ns0:c r="T291" s="17" t="n"/>
      <ns0:c r="U291" s="17" t="n"/>
      <ns0:c r="V291" s="17" t="n"/>
      <ns0:c r="W291" s="17" t="n"/>
      <ns0:c r="X291" s="17" t="n"/>
      <ns0:c r="Y291" s="17" t="n"/>
      <ns0:c r="Z291" s="17" t="n"/>
      <ns0:c r="AA291" s="17" t="n"/>
      <ns0:c r="AB291" s="17" t="n"/>
      <ns0:c r="AC291" s="17" t="n"/>
      <ns0:c r="AD291" s="17" t="n"/>
      <ns0:c r="AE291" s="17" t="n"/>
      <ns0:c r="AF291" s="17" t="n"/>
      <ns0:c r="AG291" s="17" t="n"/>
    </ns0:row>
    <ns0:row r="292" ht="24" customHeight="1">
      <ns0:c r="D292" s="17" t="n"/>
      <ns0:c r="E292" s="17" t="n"/>
      <ns0:c r="F292" s="17" t="n"/>
      <ns0:c r="G292" s="17" t="n"/>
      <ns0:c r="H292" s="17" t="n"/>
      <ns0:c r="I292" s="17" t="n"/>
      <ns0:c r="J292" s="17" t="n"/>
      <ns0:c r="K292" s="17" t="n"/>
      <ns0:c r="L292" s="17" t="n"/>
      <ns0:c r="M292" s="17" t="n"/>
      <ns0:c r="N292" s="17" t="n"/>
      <ns0:c r="O292" s="17" t="n"/>
      <ns0:c r="P292" s="17" t="n"/>
      <ns0:c r="Q292" s="17" t="n"/>
      <ns0:c r="R292" s="17" t="n"/>
      <ns0:c r="S292" s="17" t="n"/>
      <ns0:c r="T292" s="17" t="n"/>
      <ns0:c r="U292" s="17" t="n"/>
      <ns0:c r="V292" s="17" t="n"/>
      <ns0:c r="W292" s="17" t="n"/>
      <ns0:c r="X292" s="17" t="n"/>
      <ns0:c r="Y292" s="17" t="n"/>
      <ns0:c r="Z292" s="17" t="n"/>
      <ns0:c r="AA292" s="17" t="n"/>
      <ns0:c r="AB292" s="17" t="n"/>
      <ns0:c r="AC292" s="17" t="n"/>
      <ns0:c r="AD292" s="17" t="n"/>
      <ns0:c r="AE292" s="17" t="n"/>
      <ns0:c r="AF292" s="17" t="n"/>
      <ns0:c r="AG292" s="17" t="n"/>
    </ns0:row>
    <ns0:row r="293" ht="24" customHeight="1">
      <ns0:c r="D293" s="17" t="n"/>
      <ns0:c r="E293" s="17" t="n"/>
      <ns0:c r="F293" s="17" t="n"/>
      <ns0:c r="G293" s="17" t="n"/>
      <ns0:c r="H293" s="17" t="n"/>
      <ns0:c r="I293" s="17" t="n"/>
      <ns0:c r="J293" s="17" t="n"/>
      <ns0:c r="K293" s="17" t="n"/>
      <ns0:c r="L293" s="17" t="n"/>
      <ns0:c r="M293" s="17" t="n"/>
      <ns0:c r="N293" s="17" t="n"/>
      <ns0:c r="O293" s="17" t="n"/>
      <ns0:c r="P293" s="17" t="n"/>
      <ns0:c r="Q293" s="17" t="n"/>
      <ns0:c r="R293" s="17" t="n"/>
      <ns0:c r="S293" s="17" t="n"/>
      <ns0:c r="T293" s="17" t="n"/>
      <ns0:c r="U293" s="17" t="n"/>
      <ns0:c r="V293" s="17" t="n"/>
      <ns0:c r="W293" s="17" t="n"/>
      <ns0:c r="X293" s="17" t="n"/>
      <ns0:c r="Y293" s="17" t="n"/>
      <ns0:c r="Z293" s="17" t="n"/>
      <ns0:c r="AA293" s="17" t="n"/>
      <ns0:c r="AB293" s="17" t="n"/>
      <ns0:c r="AC293" s="17" t="n"/>
      <ns0:c r="AD293" s="17" t="n"/>
      <ns0:c r="AE293" s="17" t="n"/>
      <ns0:c r="AF293" s="17" t="n"/>
      <ns0:c r="AG293" s="17" t="n"/>
    </ns0:row>
    <ns0:row r="294" ht="24" customHeight="1">
      <ns0:c r="D294" s="17" t="n"/>
      <ns0:c r="E294" s="17" t="n"/>
      <ns0:c r="F294" s="17" t="n"/>
      <ns0:c r="G294" s="17" t="n"/>
      <ns0:c r="H294" s="17" t="n"/>
      <ns0:c r="I294" s="17" t="n"/>
      <ns0:c r="J294" s="17" t="n"/>
      <ns0:c r="K294" s="17" t="n"/>
      <ns0:c r="L294" s="17" t="n"/>
      <ns0:c r="M294" s="17" t="n"/>
      <ns0:c r="N294" s="17" t="n"/>
      <ns0:c r="O294" s="17" t="n"/>
      <ns0:c r="P294" s="17" t="n"/>
      <ns0:c r="Q294" s="17" t="n"/>
      <ns0:c r="R294" s="17" t="n"/>
      <ns0:c r="S294" s="17" t="n"/>
      <ns0:c r="T294" s="17" t="n"/>
      <ns0:c r="U294" s="17" t="n"/>
      <ns0:c r="V294" s="17" t="n"/>
      <ns0:c r="W294" s="17" t="n"/>
      <ns0:c r="X294" s="17" t="n"/>
      <ns0:c r="Y294" s="17" t="n"/>
      <ns0:c r="Z294" s="17" t="n"/>
      <ns0:c r="AA294" s="17" t="n"/>
      <ns0:c r="AB294" s="17" t="n"/>
      <ns0:c r="AC294" s="17" t="n"/>
      <ns0:c r="AD294" s="17" t="n"/>
      <ns0:c r="AE294" s="17" t="n"/>
      <ns0:c r="AF294" s="17" t="n"/>
      <ns0:c r="AG294" s="17" t="n"/>
    </ns0:row>
    <ns0:row r="295" ht="24" customHeight="1">
      <ns0:c r="D295" s="17" t="n"/>
      <ns0:c r="E295" s="17" t="n"/>
      <ns0:c r="F295" s="17" t="n"/>
      <ns0:c r="G295" s="17" t="n"/>
      <ns0:c r="H295" s="17" t="n"/>
      <ns0:c r="I295" s="17" t="n"/>
      <ns0:c r="J295" s="17" t="n"/>
      <ns0:c r="K295" s="17" t="n"/>
      <ns0:c r="L295" s="17" t="n"/>
      <ns0:c r="M295" s="17" t="n"/>
      <ns0:c r="N295" s="17" t="n"/>
      <ns0:c r="O295" s="17" t="n"/>
      <ns0:c r="P295" s="17" t="n"/>
      <ns0:c r="Q295" s="17" t="n"/>
      <ns0:c r="R295" s="17" t="n"/>
      <ns0:c r="S295" s="17" t="n"/>
      <ns0:c r="T295" s="17" t="n"/>
      <ns0:c r="U295" s="17" t="n"/>
      <ns0:c r="V295" s="17" t="n"/>
      <ns0:c r="W295" s="17" t="n"/>
      <ns0:c r="X295" s="17" t="n"/>
      <ns0:c r="Y295" s="17" t="n"/>
      <ns0:c r="Z295" s="17" t="n"/>
      <ns0:c r="AA295" s="17" t="n"/>
      <ns0:c r="AB295" s="17" t="n"/>
      <ns0:c r="AC295" s="17" t="n"/>
      <ns0:c r="AD295" s="17" t="n"/>
      <ns0:c r="AE295" s="17" t="n"/>
      <ns0:c r="AF295" s="17" t="n"/>
      <ns0:c r="AG295" s="17" t="n"/>
    </ns0:row>
    <ns0:row r="296" ht="24" customHeight="1">
      <ns0:c r="D296" s="17" t="n"/>
      <ns0:c r="E296" s="17" t="n"/>
      <ns0:c r="F296" s="17" t="n"/>
      <ns0:c r="G296" s="17" t="n"/>
      <ns0:c r="H296" s="17" t="n"/>
      <ns0:c r="I296" s="17" t="n"/>
      <ns0:c r="J296" s="17" t="n"/>
      <ns0:c r="K296" s="17" t="n"/>
      <ns0:c r="L296" s="17" t="n"/>
      <ns0:c r="M296" s="17" t="n"/>
      <ns0:c r="N296" s="17" t="n"/>
      <ns0:c r="O296" s="17" t="n"/>
      <ns0:c r="P296" s="17" t="n"/>
      <ns0:c r="Q296" s="17" t="n"/>
      <ns0:c r="R296" s="17" t="n"/>
      <ns0:c r="S296" s="17" t="n"/>
      <ns0:c r="T296" s="17" t="n"/>
      <ns0:c r="U296" s="17" t="n"/>
      <ns0:c r="V296" s="17" t="n"/>
      <ns0:c r="W296" s="17" t="n"/>
      <ns0:c r="X296" s="17" t="n"/>
      <ns0:c r="Y296" s="17" t="n"/>
      <ns0:c r="Z296" s="17" t="n"/>
      <ns0:c r="AA296" s="17" t="n"/>
      <ns0:c r="AB296" s="17" t="n"/>
      <ns0:c r="AC296" s="17" t="n"/>
      <ns0:c r="AD296" s="17" t="n"/>
      <ns0:c r="AE296" s="17" t="n"/>
      <ns0:c r="AF296" s="17" t="n"/>
      <ns0:c r="AG296" s="17" t="n"/>
    </ns0:row>
    <ns0:row r="297" ht="24" customHeight="1">
      <ns0:c r="D297" s="17" t="n"/>
      <ns0:c r="E297" s="17" t="n"/>
      <ns0:c r="F297" s="17" t="n"/>
      <ns0:c r="G297" s="17" t="n"/>
      <ns0:c r="H297" s="17" t="n"/>
      <ns0:c r="I297" s="17" t="n"/>
      <ns0:c r="J297" s="17" t="n"/>
      <ns0:c r="K297" s="17" t="n"/>
      <ns0:c r="L297" s="17" t="n"/>
      <ns0:c r="M297" s="17" t="n"/>
      <ns0:c r="N297" s="17" t="n"/>
      <ns0:c r="O297" s="17" t="n"/>
      <ns0:c r="P297" s="17" t="n"/>
      <ns0:c r="Q297" s="17" t="n"/>
      <ns0:c r="R297" s="17" t="n"/>
      <ns0:c r="S297" s="17" t="n"/>
      <ns0:c r="T297" s="17" t="n"/>
      <ns0:c r="U297" s="17" t="n"/>
      <ns0:c r="V297" s="17" t="n"/>
      <ns0:c r="W297" s="17" t="n"/>
      <ns0:c r="X297" s="17" t="n"/>
      <ns0:c r="Y297" s="17" t="n"/>
      <ns0:c r="Z297" s="17" t="n"/>
      <ns0:c r="AA297" s="17" t="n"/>
      <ns0:c r="AB297" s="17" t="n"/>
      <ns0:c r="AC297" s="17" t="n"/>
      <ns0:c r="AD297" s="17" t="n"/>
      <ns0:c r="AE297" s="17" t="n"/>
      <ns0:c r="AF297" s="17" t="n"/>
      <ns0:c r="AG297" s="17" t="n"/>
    </ns0:row>
    <ns0:row r="298" ht="24" customHeight="1">
      <ns0:c r="D298" s="17" t="n"/>
      <ns0:c r="E298" s="17" t="n"/>
      <ns0:c r="F298" s="17" t="n"/>
      <ns0:c r="G298" s="17" t="n"/>
      <ns0:c r="H298" s="17" t="n"/>
      <ns0:c r="I298" s="17" t="n"/>
      <ns0:c r="J298" s="17" t="n"/>
      <ns0:c r="K298" s="17" t="n"/>
      <ns0:c r="L298" s="17" t="n"/>
      <ns0:c r="M298" s="17" t="n"/>
      <ns0:c r="N298" s="17" t="n"/>
      <ns0:c r="O298" s="17" t="n"/>
      <ns0:c r="P298" s="17" t="n"/>
      <ns0:c r="Q298" s="17" t="n"/>
      <ns0:c r="R298" s="17" t="n"/>
      <ns0:c r="S298" s="17" t="n"/>
      <ns0:c r="T298" s="17" t="n"/>
      <ns0:c r="U298" s="17" t="n"/>
      <ns0:c r="V298" s="17" t="n"/>
      <ns0:c r="W298" s="17" t="n"/>
      <ns0:c r="X298" s="17" t="n"/>
      <ns0:c r="Y298" s="17" t="n"/>
      <ns0:c r="Z298" s="17" t="n"/>
      <ns0:c r="AA298" s="17" t="n"/>
      <ns0:c r="AB298" s="17" t="n"/>
      <ns0:c r="AC298" s="17" t="n"/>
      <ns0:c r="AD298" s="17" t="n"/>
      <ns0:c r="AE298" s="17" t="n"/>
      <ns0:c r="AF298" s="17" t="n"/>
      <ns0:c r="AG298" s="17" t="n"/>
    </ns0:row>
    <ns0:row r="299" ht="24" customHeight="1">
      <ns0:c r="D299" s="17" t="n"/>
      <ns0:c r="E299" s="17" t="n"/>
      <ns0:c r="F299" s="17" t="n"/>
      <ns0:c r="G299" s="17" t="n"/>
      <ns0:c r="H299" s="17" t="n"/>
      <ns0:c r="I299" s="17" t="n"/>
      <ns0:c r="J299" s="17" t="n"/>
      <ns0:c r="K299" s="17" t="n"/>
      <ns0:c r="L299" s="17" t="n"/>
      <ns0:c r="M299" s="17" t="n"/>
      <ns0:c r="N299" s="17" t="n"/>
      <ns0:c r="O299" s="17" t="n"/>
      <ns0:c r="P299" s="17" t="n"/>
      <ns0:c r="Q299" s="17" t="n"/>
      <ns0:c r="R299" s="17" t="n"/>
      <ns0:c r="S299" s="17" t="n"/>
      <ns0:c r="T299" s="17" t="n"/>
      <ns0:c r="U299" s="17" t="n"/>
      <ns0:c r="V299" s="17" t="n"/>
      <ns0:c r="W299" s="17" t="n"/>
      <ns0:c r="X299" s="17" t="n"/>
      <ns0:c r="Y299" s="17" t="n"/>
      <ns0:c r="Z299" s="17" t="n"/>
      <ns0:c r="AA299" s="17" t="n"/>
      <ns0:c r="AB299" s="17" t="n"/>
      <ns0:c r="AC299" s="17" t="n"/>
      <ns0:c r="AD299" s="17" t="n"/>
      <ns0:c r="AE299" s="17" t="n"/>
      <ns0:c r="AF299" s="17" t="n"/>
      <ns0:c r="AG299" s="17" t="n"/>
    </ns0:row>
    <ns0:row r="300" ht="24" customHeight="1">
      <ns0:c r="D300" s="17" t="n"/>
      <ns0:c r="E300" s="17" t="n"/>
      <ns0:c r="F300" s="17" t="n"/>
      <ns0:c r="G300" s="17" t="n"/>
      <ns0:c r="H300" s="17" t="n"/>
      <ns0:c r="I300" s="17" t="n"/>
      <ns0:c r="J300" s="17" t="n"/>
      <ns0:c r="K300" s="17" t="n"/>
      <ns0:c r="L300" s="17" t="n"/>
      <ns0:c r="M300" s="17" t="n"/>
      <ns0:c r="N300" s="17" t="n"/>
      <ns0:c r="O300" s="17" t="n"/>
      <ns0:c r="P300" s="17" t="n"/>
      <ns0:c r="Q300" s="17" t="n"/>
      <ns0:c r="R300" s="17" t="n"/>
      <ns0:c r="S300" s="17" t="n"/>
      <ns0:c r="T300" s="17" t="n"/>
      <ns0:c r="U300" s="17" t="n"/>
      <ns0:c r="V300" s="17" t="n"/>
      <ns0:c r="W300" s="17" t="n"/>
      <ns0:c r="X300" s="17" t="n"/>
      <ns0:c r="Y300" s="17" t="n"/>
      <ns0:c r="Z300" s="17" t="n"/>
      <ns0:c r="AA300" s="17" t="n"/>
      <ns0:c r="AB300" s="17" t="n"/>
      <ns0:c r="AC300" s="17" t="n"/>
      <ns0:c r="AD300" s="17" t="n"/>
      <ns0:c r="AE300" s="17" t="n"/>
      <ns0:c r="AF300" s="17" t="n"/>
      <ns0:c r="AG300" s="17" t="n"/>
    </ns0:row>
    <ns0:row r="301" ht="24" customHeight="1">
      <ns0:c r="D301" s="17" t="n"/>
      <ns0:c r="E301" s="17" t="n"/>
      <ns0:c r="F301" s="17" t="n"/>
      <ns0:c r="G301" s="17" t="n"/>
      <ns0:c r="H301" s="17" t="n"/>
      <ns0:c r="I301" s="17" t="n"/>
      <ns0:c r="J301" s="17" t="n"/>
      <ns0:c r="K301" s="17" t="n"/>
      <ns0:c r="L301" s="17" t="n"/>
      <ns0:c r="M301" s="17" t="n"/>
      <ns0:c r="N301" s="17" t="n"/>
      <ns0:c r="O301" s="17" t="n"/>
      <ns0:c r="P301" s="17" t="n"/>
      <ns0:c r="Q301" s="17" t="n"/>
      <ns0:c r="R301" s="17" t="n"/>
      <ns0:c r="S301" s="17" t="n"/>
      <ns0:c r="T301" s="17" t="n"/>
      <ns0:c r="U301" s="17" t="n"/>
      <ns0:c r="V301" s="17" t="n"/>
      <ns0:c r="W301" s="17" t="n"/>
      <ns0:c r="X301" s="17" t="n"/>
      <ns0:c r="Y301" s="17" t="n"/>
      <ns0:c r="Z301" s="17" t="n"/>
      <ns0:c r="AA301" s="17" t="n"/>
      <ns0:c r="AB301" s="17" t="n"/>
      <ns0:c r="AC301" s="17" t="n"/>
      <ns0:c r="AD301" s="17" t="n"/>
      <ns0:c r="AE301" s="17" t="n"/>
      <ns0:c r="AF301" s="17" t="n"/>
      <ns0:c r="AG301" s="17" t="n"/>
    </ns0:row>
    <ns0:row r="302" ht="24" customHeight="1">
      <ns0:c r="D302" s="17" t="n"/>
      <ns0:c r="E302" s="17" t="n"/>
      <ns0:c r="F302" s="17" t="n"/>
      <ns0:c r="G302" s="17" t="n"/>
      <ns0:c r="H302" s="17" t="n"/>
      <ns0:c r="I302" s="17" t="n"/>
      <ns0:c r="J302" s="17" t="n"/>
      <ns0:c r="K302" s="17" t="n"/>
      <ns0:c r="L302" s="17" t="n"/>
      <ns0:c r="M302" s="17" t="n"/>
      <ns0:c r="N302" s="17" t="n"/>
      <ns0:c r="O302" s="17" t="n"/>
      <ns0:c r="P302" s="17" t="n"/>
      <ns0:c r="Q302" s="17" t="n"/>
      <ns0:c r="R302" s="17" t="n"/>
      <ns0:c r="S302" s="17" t="n"/>
      <ns0:c r="T302" s="17" t="n"/>
      <ns0:c r="U302" s="17" t="n"/>
      <ns0:c r="V302" s="17" t="n"/>
      <ns0:c r="W302" s="17" t="n"/>
      <ns0:c r="X302" s="17" t="n"/>
      <ns0:c r="Y302" s="17" t="n"/>
      <ns0:c r="Z302" s="17" t="n"/>
      <ns0:c r="AA302" s="17" t="n"/>
      <ns0:c r="AB302" s="17" t="n"/>
      <ns0:c r="AC302" s="17" t="n"/>
      <ns0:c r="AD302" s="17" t="n"/>
      <ns0:c r="AE302" s="17" t="n"/>
      <ns0:c r="AF302" s="17" t="n"/>
      <ns0:c r="AG302" s="17" t="n"/>
    </ns0:row>
    <ns0:row r="303" ht="24" customHeight="1">
      <ns0:c r="D303" s="17" t="n"/>
      <ns0:c r="E303" s="17" t="n"/>
      <ns0:c r="F303" s="17" t="n"/>
      <ns0:c r="G303" s="17" t="n"/>
      <ns0:c r="H303" s="17" t="n"/>
      <ns0:c r="I303" s="17" t="n"/>
      <ns0:c r="J303" s="17" t="n"/>
      <ns0:c r="K303" s="17" t="n"/>
      <ns0:c r="L303" s="17" t="n"/>
      <ns0:c r="M303" s="17" t="n"/>
      <ns0:c r="N303" s="17" t="n"/>
      <ns0:c r="O303" s="17" t="n"/>
      <ns0:c r="P303" s="17" t="n"/>
      <ns0:c r="Q303" s="17" t="n"/>
      <ns0:c r="R303" s="17" t="n"/>
      <ns0:c r="S303" s="17" t="n"/>
      <ns0:c r="T303" s="17" t="n"/>
      <ns0:c r="U303" s="17" t="n"/>
      <ns0:c r="V303" s="17" t="n"/>
      <ns0:c r="W303" s="17" t="n"/>
      <ns0:c r="X303" s="17" t="n"/>
      <ns0:c r="Y303" s="17" t="n"/>
      <ns0:c r="Z303" s="17" t="n"/>
      <ns0:c r="AA303" s="17" t="n"/>
      <ns0:c r="AB303" s="17" t="n"/>
      <ns0:c r="AC303" s="17" t="n"/>
      <ns0:c r="AD303" s="17" t="n"/>
      <ns0:c r="AE303" s="17" t="n"/>
      <ns0:c r="AF303" s="17" t="n"/>
      <ns0:c r="AG303" s="17" t="n"/>
    </ns0:row>
    <ns0:row r="304" ht="24" customHeight="1">
      <ns0:c r="D304" s="17" t="n"/>
      <ns0:c r="E304" s="17" t="n"/>
      <ns0:c r="F304" s="17" t="n"/>
      <ns0:c r="G304" s="17" t="n"/>
      <ns0:c r="H304" s="17" t="n"/>
      <ns0:c r="I304" s="17" t="n"/>
      <ns0:c r="J304" s="17" t="n"/>
      <ns0:c r="K304" s="17" t="n"/>
      <ns0:c r="L304" s="17" t="n"/>
      <ns0:c r="M304" s="17" t="n"/>
      <ns0:c r="N304" s="17" t="n"/>
      <ns0:c r="O304" s="17" t="n"/>
      <ns0:c r="P304" s="17" t="n"/>
      <ns0:c r="Q304" s="17" t="n"/>
      <ns0:c r="R304" s="17" t="n"/>
      <ns0:c r="S304" s="17" t="n"/>
      <ns0:c r="T304" s="17" t="n"/>
      <ns0:c r="U304" s="17" t="n"/>
      <ns0:c r="V304" s="17" t="n"/>
      <ns0:c r="W304" s="17" t="n"/>
      <ns0:c r="X304" s="17" t="n"/>
      <ns0:c r="Y304" s="17" t="n"/>
      <ns0:c r="Z304" s="17" t="n"/>
      <ns0:c r="AA304" s="17" t="n"/>
      <ns0:c r="AB304" s="17" t="n"/>
      <ns0:c r="AC304" s="17" t="n"/>
      <ns0:c r="AD304" s="17" t="n"/>
      <ns0:c r="AE304" s="17" t="n"/>
      <ns0:c r="AF304" s="17" t="n"/>
      <ns0:c r="AG304" s="17" t="n"/>
    </ns0:row>
    <ns0:row r="305" ht="24" customHeight="1">
      <ns0:c r="D305" s="17" t="n"/>
      <ns0:c r="E305" s="17" t="n"/>
      <ns0:c r="F305" s="17" t="n"/>
      <ns0:c r="G305" s="17" t="n"/>
      <ns0:c r="H305" s="17" t="n"/>
      <ns0:c r="I305" s="17" t="n"/>
      <ns0:c r="J305" s="17" t="n"/>
      <ns0:c r="K305" s="17" t="n"/>
      <ns0:c r="L305" s="17" t="n"/>
      <ns0:c r="M305" s="17" t="n"/>
      <ns0:c r="N305" s="17" t="n"/>
      <ns0:c r="O305" s="17" t="n"/>
      <ns0:c r="P305" s="17" t="n"/>
      <ns0:c r="Q305" s="17" t="n"/>
      <ns0:c r="R305" s="17" t="n"/>
      <ns0:c r="S305" s="17" t="n"/>
      <ns0:c r="T305" s="17" t="n"/>
      <ns0:c r="U305" s="17" t="n"/>
      <ns0:c r="V305" s="17" t="n"/>
      <ns0:c r="W305" s="17" t="n"/>
      <ns0:c r="X305" s="17" t="n"/>
      <ns0:c r="Y305" s="17" t="n"/>
      <ns0:c r="Z305" s="17" t="n"/>
      <ns0:c r="AA305" s="17" t="n"/>
      <ns0:c r="AB305" s="17" t="n"/>
      <ns0:c r="AC305" s="17" t="n"/>
      <ns0:c r="AD305" s="17" t="n"/>
      <ns0:c r="AE305" s="17" t="n"/>
      <ns0:c r="AF305" s="17" t="n"/>
      <ns0:c r="AG305" s="17" t="n"/>
    </ns0:row>
    <ns0:row r="306" ht="24" customHeight="1">
      <ns0:c r="D306" s="17" t="n"/>
      <ns0:c r="E306" s="17" t="n"/>
      <ns0:c r="F306" s="17" t="n"/>
      <ns0:c r="G306" s="17" t="n"/>
      <ns0:c r="H306" s="17" t="n"/>
      <ns0:c r="I306" s="17" t="n"/>
      <ns0:c r="J306" s="17" t="n"/>
      <ns0:c r="K306" s="17" t="n"/>
      <ns0:c r="L306" s="17" t="n"/>
      <ns0:c r="M306" s="17" t="n"/>
      <ns0:c r="N306" s="17" t="n"/>
      <ns0:c r="O306" s="17" t="n"/>
      <ns0:c r="P306" s="17" t="n"/>
      <ns0:c r="Q306" s="17" t="n"/>
      <ns0:c r="R306" s="17" t="n"/>
      <ns0:c r="S306" s="17" t="n"/>
      <ns0:c r="T306" s="17" t="n"/>
      <ns0:c r="U306" s="17" t="n"/>
      <ns0:c r="V306" s="17" t="n"/>
      <ns0:c r="W306" s="17" t="n"/>
      <ns0:c r="X306" s="17" t="n"/>
      <ns0:c r="Y306" s="17" t="n"/>
      <ns0:c r="Z306" s="17" t="n"/>
      <ns0:c r="AA306" s="17" t="n"/>
      <ns0:c r="AB306" s="17" t="n"/>
      <ns0:c r="AC306" s="17" t="n"/>
      <ns0:c r="AD306" s="17" t="n"/>
      <ns0:c r="AE306" s="17" t="n"/>
      <ns0:c r="AF306" s="17" t="n"/>
      <ns0:c r="AG306" s="17" t="n"/>
    </ns0:row>
    <ns0:row r="307" ht="24" customHeight="1">
      <ns0:c r="D307" s="17" t="n"/>
      <ns0:c r="E307" s="17" t="n"/>
      <ns0:c r="F307" s="17" t="n"/>
      <ns0:c r="G307" s="17" t="n"/>
      <ns0:c r="H307" s="17" t="n"/>
      <ns0:c r="I307" s="17" t="n"/>
      <ns0:c r="J307" s="17" t="n"/>
      <ns0:c r="K307" s="17" t="n"/>
      <ns0:c r="L307" s="17" t="n"/>
      <ns0:c r="M307" s="17" t="n"/>
      <ns0:c r="N307" s="17" t="n"/>
      <ns0:c r="O307" s="17" t="n"/>
      <ns0:c r="P307" s="17" t="n"/>
      <ns0:c r="Q307" s="17" t="n"/>
      <ns0:c r="R307" s="17" t="n"/>
      <ns0:c r="S307" s="17" t="n"/>
      <ns0:c r="T307" s="17" t="n"/>
      <ns0:c r="U307" s="17" t="n"/>
      <ns0:c r="V307" s="17" t="n"/>
      <ns0:c r="W307" s="17" t="n"/>
      <ns0:c r="X307" s="17" t="n"/>
      <ns0:c r="Y307" s="17" t="n"/>
      <ns0:c r="Z307" s="17" t="n"/>
      <ns0:c r="AA307" s="17" t="n"/>
      <ns0:c r="AB307" s="17" t="n"/>
      <ns0:c r="AC307" s="17" t="n"/>
      <ns0:c r="AD307" s="17" t="n"/>
      <ns0:c r="AE307" s="17" t="n"/>
      <ns0:c r="AF307" s="17" t="n"/>
      <ns0:c r="AG307" s="17" t="n"/>
    </ns0:row>
    <ns0:row r="308" ht="24" customHeight="1">
      <ns0:c r="D308" s="17" t="n"/>
      <ns0:c r="E308" s="17" t="n"/>
      <ns0:c r="F308" s="17" t="n"/>
      <ns0:c r="G308" s="17" t="n"/>
      <ns0:c r="H308" s="17" t="n"/>
      <ns0:c r="I308" s="17" t="n"/>
      <ns0:c r="J308" s="17" t="n"/>
      <ns0:c r="K308" s="17" t="n"/>
      <ns0:c r="L308" s="17" t="n"/>
      <ns0:c r="M308" s="17" t="n"/>
      <ns0:c r="N308" s="17" t="n"/>
      <ns0:c r="O308" s="17" t="n"/>
      <ns0:c r="P308" s="17" t="n"/>
      <ns0:c r="Q308" s="17" t="n"/>
      <ns0:c r="R308" s="17" t="n"/>
      <ns0:c r="S308" s="17" t="n"/>
      <ns0:c r="T308" s="17" t="n"/>
      <ns0:c r="U308" s="17" t="n"/>
      <ns0:c r="V308" s="17" t="n"/>
      <ns0:c r="W308" s="17" t="n"/>
      <ns0:c r="X308" s="17" t="n"/>
      <ns0:c r="Y308" s="17" t="n"/>
      <ns0:c r="Z308" s="17" t="n"/>
      <ns0:c r="AA308" s="17" t="n"/>
      <ns0:c r="AB308" s="17" t="n"/>
      <ns0:c r="AC308" s="17" t="n"/>
      <ns0:c r="AD308" s="17" t="n"/>
      <ns0:c r="AE308" s="17" t="n"/>
      <ns0:c r="AF308" s="17" t="n"/>
      <ns0:c r="AG308" s="17" t="n"/>
    </ns0:row>
    <ns0:row r="309" ht="24" customHeight="1">
      <ns0:c r="D309" s="17" t="n"/>
      <ns0:c r="E309" s="17" t="n"/>
      <ns0:c r="F309" s="17" t="n"/>
      <ns0:c r="G309" s="17" t="n"/>
      <ns0:c r="H309" s="17" t="n"/>
      <ns0:c r="I309" s="17" t="n"/>
      <ns0:c r="J309" s="17" t="n"/>
      <ns0:c r="K309" s="17" t="n"/>
      <ns0:c r="L309" s="17" t="n"/>
      <ns0:c r="M309" s="17" t="n"/>
      <ns0:c r="N309" s="17" t="n"/>
      <ns0:c r="O309" s="17" t="n"/>
      <ns0:c r="P309" s="17" t="n"/>
      <ns0:c r="Q309" s="17" t="n"/>
      <ns0:c r="R309" s="17" t="n"/>
      <ns0:c r="S309" s="17" t="n"/>
      <ns0:c r="T309" s="17" t="n"/>
      <ns0:c r="U309" s="17" t="n"/>
      <ns0:c r="V309" s="17" t="n"/>
      <ns0:c r="W309" s="17" t="n"/>
      <ns0:c r="X309" s="17" t="n"/>
      <ns0:c r="Y309" s="17" t="n"/>
      <ns0:c r="Z309" s="17" t="n"/>
      <ns0:c r="AA309" s="17" t="n"/>
      <ns0:c r="AB309" s="17" t="n"/>
      <ns0:c r="AC309" s="17" t="n"/>
      <ns0:c r="AD309" s="17" t="n"/>
      <ns0:c r="AE309" s="17" t="n"/>
      <ns0:c r="AF309" s="17" t="n"/>
      <ns0:c r="AG309" s="17" t="n"/>
    </ns0:row>
    <ns0:row r="310" ht="24" customHeight="1">
      <ns0:c r="D310" s="17" t="n"/>
      <ns0:c r="E310" s="17" t="n"/>
      <ns0:c r="F310" s="17" t="n"/>
      <ns0:c r="G310" s="17" t="n"/>
      <ns0:c r="H310" s="17" t="n"/>
      <ns0:c r="I310" s="17" t="n"/>
      <ns0:c r="J310" s="17" t="n"/>
      <ns0:c r="K310" s="17" t="n"/>
      <ns0:c r="L310" s="17" t="n"/>
      <ns0:c r="M310" s="17" t="n"/>
      <ns0:c r="N310" s="17" t="n"/>
      <ns0:c r="O310" s="17" t="n"/>
      <ns0:c r="P310" s="17" t="n"/>
      <ns0:c r="Q310" s="17" t="n"/>
      <ns0:c r="R310" s="17" t="n"/>
      <ns0:c r="S310" s="17" t="n"/>
      <ns0:c r="T310" s="17" t="n"/>
      <ns0:c r="U310" s="17" t="n"/>
      <ns0:c r="V310" s="17" t="n"/>
      <ns0:c r="W310" s="17" t="n"/>
      <ns0:c r="X310" s="17" t="n"/>
      <ns0:c r="Y310" s="17" t="n"/>
      <ns0:c r="Z310" s="17" t="n"/>
      <ns0:c r="AA310" s="17" t="n"/>
      <ns0:c r="AB310" s="17" t="n"/>
      <ns0:c r="AC310" s="17" t="n"/>
      <ns0:c r="AD310" s="17" t="n"/>
      <ns0:c r="AE310" s="17" t="n"/>
      <ns0:c r="AF310" s="17" t="n"/>
      <ns0:c r="AG310" s="17" t="n"/>
    </ns0:row>
    <ns0:row r="311" ht="24" customHeight="1">
      <ns0:c r="D311" s="17" t="n"/>
      <ns0:c r="E311" s="17" t="n"/>
      <ns0:c r="F311" s="17" t="n"/>
      <ns0:c r="G311" s="17" t="n"/>
      <ns0:c r="H311" s="17" t="n"/>
      <ns0:c r="I311" s="17" t="n"/>
      <ns0:c r="J311" s="17" t="n"/>
      <ns0:c r="K311" s="17" t="n"/>
      <ns0:c r="L311" s="17" t="n"/>
      <ns0:c r="M311" s="17" t="n"/>
      <ns0:c r="N311" s="17" t="n"/>
      <ns0:c r="O311" s="17" t="n"/>
      <ns0:c r="P311" s="17" t="n"/>
      <ns0:c r="Q311" s="17" t="n"/>
      <ns0:c r="R311" s="17" t="n"/>
      <ns0:c r="S311" s="17" t="n"/>
      <ns0:c r="T311" s="17" t="n"/>
      <ns0:c r="U311" s="17" t="n"/>
      <ns0:c r="V311" s="17" t="n"/>
      <ns0:c r="W311" s="17" t="n"/>
      <ns0:c r="X311" s="17" t="n"/>
      <ns0:c r="Y311" s="17" t="n"/>
      <ns0:c r="Z311" s="17" t="n"/>
      <ns0:c r="AA311" s="17" t="n"/>
      <ns0:c r="AB311" s="17" t="n"/>
      <ns0:c r="AC311" s="17" t="n"/>
      <ns0:c r="AD311" s="17" t="n"/>
      <ns0:c r="AE311" s="17" t="n"/>
      <ns0:c r="AF311" s="17" t="n"/>
      <ns0:c r="AG311" s="17" t="n"/>
    </ns0:row>
    <ns0:row r="312" ht="24" customHeight="1">
      <ns0:c r="D312" s="17" t="n"/>
      <ns0:c r="E312" s="17" t="n"/>
      <ns0:c r="F312" s="17" t="n"/>
      <ns0:c r="G312" s="17" t="n"/>
      <ns0:c r="H312" s="17" t="n"/>
      <ns0:c r="I312" s="17" t="n"/>
      <ns0:c r="J312" s="17" t="n"/>
      <ns0:c r="K312" s="17" t="n"/>
      <ns0:c r="L312" s="17" t="n"/>
      <ns0:c r="M312" s="17" t="n"/>
      <ns0:c r="N312" s="17" t="n"/>
      <ns0:c r="O312" s="17" t="n"/>
      <ns0:c r="P312" s="17" t="n"/>
      <ns0:c r="Q312" s="17" t="n"/>
      <ns0:c r="R312" s="17" t="n"/>
      <ns0:c r="S312" s="17" t="n"/>
      <ns0:c r="T312" s="17" t="n"/>
      <ns0:c r="U312" s="17" t="n"/>
      <ns0:c r="V312" s="17" t="n"/>
      <ns0:c r="W312" s="17" t="n"/>
      <ns0:c r="X312" s="17" t="n"/>
      <ns0:c r="Y312" s="17" t="n"/>
      <ns0:c r="Z312" s="17" t="n"/>
      <ns0:c r="AA312" s="17" t="n"/>
      <ns0:c r="AB312" s="17" t="n"/>
      <ns0:c r="AC312" s="17" t="n"/>
      <ns0:c r="AD312" s="17" t="n"/>
      <ns0:c r="AE312" s="17" t="n"/>
      <ns0:c r="AF312" s="17" t="n"/>
      <ns0:c r="AG312" s="17" t="n"/>
    </ns0:row>
    <ns0:row r="313" ht="24" customHeight="1">
      <ns0:c r="D313" s="17" t="n"/>
      <ns0:c r="E313" s="17" t="n"/>
      <ns0:c r="F313" s="17" t="n"/>
      <ns0:c r="G313" s="17" t="n"/>
      <ns0:c r="H313" s="17" t="n"/>
      <ns0:c r="I313" s="17" t="n"/>
      <ns0:c r="J313" s="17" t="n"/>
      <ns0:c r="K313" s="17" t="n"/>
      <ns0:c r="L313" s="17" t="n"/>
      <ns0:c r="M313" s="17" t="n"/>
      <ns0:c r="N313" s="17" t="n"/>
      <ns0:c r="O313" s="17" t="n"/>
      <ns0:c r="P313" s="17" t="n"/>
      <ns0:c r="Q313" s="17" t="n"/>
      <ns0:c r="R313" s="17" t="n"/>
      <ns0:c r="S313" s="17" t="n"/>
      <ns0:c r="T313" s="17" t="n"/>
      <ns0:c r="U313" s="17" t="n"/>
      <ns0:c r="V313" s="17" t="n"/>
      <ns0:c r="W313" s="17" t="n"/>
      <ns0:c r="X313" s="17" t="n"/>
      <ns0:c r="Y313" s="17" t="n"/>
      <ns0:c r="Z313" s="17" t="n"/>
      <ns0:c r="AA313" s="17" t="n"/>
      <ns0:c r="AB313" s="17" t="n"/>
      <ns0:c r="AC313" s="17" t="n"/>
      <ns0:c r="AD313" s="17" t="n"/>
      <ns0:c r="AE313" s="17" t="n"/>
      <ns0:c r="AF313" s="17" t="n"/>
      <ns0:c r="AG313" s="17" t="n"/>
    </ns0:row>
    <ns0:row r="314" ht="24" customHeight="1">
      <ns0:c r="D314" s="17" t="n"/>
      <ns0:c r="E314" s="17" t="n"/>
      <ns0:c r="F314" s="17" t="n"/>
      <ns0:c r="G314" s="17" t="n"/>
      <ns0:c r="H314" s="17" t="n"/>
      <ns0:c r="I314" s="17" t="n"/>
      <ns0:c r="J314" s="17" t="n"/>
      <ns0:c r="K314" s="17" t="n"/>
      <ns0:c r="L314" s="17" t="n"/>
      <ns0:c r="M314" s="17" t="n"/>
      <ns0:c r="N314" s="17" t="n"/>
      <ns0:c r="O314" s="17" t="n"/>
      <ns0:c r="P314" s="17" t="n"/>
      <ns0:c r="Q314" s="17" t="n"/>
      <ns0:c r="R314" s="17" t="n"/>
      <ns0:c r="S314" s="17" t="n"/>
      <ns0:c r="T314" s="17" t="n"/>
      <ns0:c r="U314" s="17" t="n"/>
      <ns0:c r="V314" s="17" t="n"/>
      <ns0:c r="W314" s="17" t="n"/>
      <ns0:c r="X314" s="17" t="n"/>
      <ns0:c r="Y314" s="17" t="n"/>
      <ns0:c r="Z314" s="17" t="n"/>
      <ns0:c r="AA314" s="17" t="n"/>
      <ns0:c r="AB314" s="17" t="n"/>
      <ns0:c r="AC314" s="17" t="n"/>
      <ns0:c r="AD314" s="17" t="n"/>
      <ns0:c r="AE314" s="17" t="n"/>
      <ns0:c r="AF314" s="17" t="n"/>
      <ns0:c r="AG314" s="17" t="n"/>
    </ns0:row>
    <ns0:row r="315" ht="24" customHeight="1">
      <ns0:c r="D315" s="17" t="n"/>
      <ns0:c r="E315" s="17" t="n"/>
      <ns0:c r="F315" s="17" t="n"/>
      <ns0:c r="G315" s="17" t="n"/>
      <ns0:c r="H315" s="17" t="n"/>
      <ns0:c r="I315" s="17" t="n"/>
      <ns0:c r="J315" s="17" t="n"/>
      <ns0:c r="K315" s="17" t="n"/>
      <ns0:c r="L315" s="17" t="n"/>
      <ns0:c r="M315" s="17" t="n"/>
      <ns0:c r="N315" s="17" t="n"/>
      <ns0:c r="O315" s="17" t="n"/>
      <ns0:c r="P315" s="17" t="n"/>
      <ns0:c r="Q315" s="17" t="n"/>
      <ns0:c r="R315" s="17" t="n"/>
      <ns0:c r="S315" s="17" t="n"/>
      <ns0:c r="T315" s="17" t="n"/>
      <ns0:c r="U315" s="17" t="n"/>
      <ns0:c r="V315" s="17" t="n"/>
      <ns0:c r="W315" s="17" t="n"/>
      <ns0:c r="X315" s="17" t="n"/>
      <ns0:c r="Y315" s="17" t="n"/>
      <ns0:c r="Z315" s="17" t="n"/>
      <ns0:c r="AA315" s="17" t="n"/>
      <ns0:c r="AB315" s="17" t="n"/>
      <ns0:c r="AC315" s="17" t="n"/>
      <ns0:c r="AD315" s="17" t="n"/>
      <ns0:c r="AE315" s="17" t="n"/>
      <ns0:c r="AF315" s="17" t="n"/>
      <ns0:c r="AG315" s="17" t="n"/>
    </ns0:row>
    <ns0:row r="316" ht="24" customHeight="1">
      <ns0:c r="D316" s="17" t="n"/>
      <ns0:c r="E316" s="17" t="n"/>
      <ns0:c r="F316" s="17" t="n"/>
      <ns0:c r="G316" s="17" t="n"/>
      <ns0:c r="H316" s="17" t="n"/>
      <ns0:c r="I316" s="17" t="n"/>
      <ns0:c r="J316" s="17" t="n"/>
      <ns0:c r="K316" s="17" t="n"/>
      <ns0:c r="L316" s="17" t="n"/>
      <ns0:c r="M316" s="17" t="n"/>
      <ns0:c r="N316" s="17" t="n"/>
      <ns0:c r="O316" s="17" t="n"/>
      <ns0:c r="P316" s="17" t="n"/>
      <ns0:c r="Q316" s="17" t="n"/>
      <ns0:c r="R316" s="17" t="n"/>
      <ns0:c r="S316" s="17" t="n"/>
      <ns0:c r="T316" s="17" t="n"/>
      <ns0:c r="U316" s="17" t="n"/>
      <ns0:c r="V316" s="17" t="n"/>
      <ns0:c r="W316" s="17" t="n"/>
      <ns0:c r="X316" s="17" t="n"/>
      <ns0:c r="Y316" s="17" t="n"/>
      <ns0:c r="Z316" s="17" t="n"/>
      <ns0:c r="AA316" s="17" t="n"/>
      <ns0:c r="AB316" s="17" t="n"/>
      <ns0:c r="AC316" s="17" t="n"/>
      <ns0:c r="AD316" s="17" t="n"/>
      <ns0:c r="AE316" s="17" t="n"/>
      <ns0:c r="AF316" s="17" t="n"/>
      <ns0:c r="AG316" s="17" t="n"/>
    </ns0:row>
    <ns0:row r="317" ht="24" customHeight="1">
      <ns0:c r="D317" s="17" t="n"/>
      <ns0:c r="E317" s="17" t="n"/>
      <ns0:c r="F317" s="17" t="n"/>
      <ns0:c r="G317" s="17" t="n"/>
      <ns0:c r="H317" s="17" t="n"/>
      <ns0:c r="I317" s="17" t="n"/>
      <ns0:c r="J317" s="17" t="n"/>
      <ns0:c r="K317" s="17" t="n"/>
      <ns0:c r="L317" s="17" t="n"/>
      <ns0:c r="M317" s="17" t="n"/>
      <ns0:c r="N317" s="17" t="n"/>
      <ns0:c r="O317" s="17" t="n"/>
      <ns0:c r="P317" s="17" t="n"/>
      <ns0:c r="Q317" s="17" t="n"/>
      <ns0:c r="R317" s="17" t="n"/>
      <ns0:c r="S317" s="17" t="n"/>
      <ns0:c r="T317" s="17" t="n"/>
      <ns0:c r="U317" s="17" t="n"/>
      <ns0:c r="V317" s="17" t="n"/>
      <ns0:c r="W317" s="17" t="n"/>
      <ns0:c r="X317" s="17" t="n"/>
      <ns0:c r="Y317" s="17" t="n"/>
      <ns0:c r="Z317" s="17" t="n"/>
      <ns0:c r="AA317" s="17" t="n"/>
      <ns0:c r="AB317" s="17" t="n"/>
      <ns0:c r="AC317" s="17" t="n"/>
      <ns0:c r="AD317" s="17" t="n"/>
      <ns0:c r="AE317" s="17" t="n"/>
      <ns0:c r="AF317" s="17" t="n"/>
      <ns0:c r="AG317" s="17" t="n"/>
    </ns0:row>
    <ns0:row r="318" ht="24" customHeight="1">
      <ns0:c r="D318" s="17" t="n"/>
      <ns0:c r="E318" s="17" t="n"/>
      <ns0:c r="F318" s="17" t="n"/>
      <ns0:c r="G318" s="17" t="n"/>
      <ns0:c r="H318" s="17" t="n"/>
      <ns0:c r="I318" s="17" t="n"/>
      <ns0:c r="J318" s="17" t="n"/>
      <ns0:c r="K318" s="17" t="n"/>
      <ns0:c r="L318" s="17" t="n"/>
      <ns0:c r="M318" s="17" t="n"/>
      <ns0:c r="N318" s="17" t="n"/>
      <ns0:c r="O318" s="17" t="n"/>
      <ns0:c r="P318" s="17" t="n"/>
      <ns0:c r="Q318" s="17" t="n"/>
      <ns0:c r="R318" s="17" t="n"/>
      <ns0:c r="S318" s="17" t="n"/>
      <ns0:c r="T318" s="17" t="n"/>
      <ns0:c r="U318" s="17" t="n"/>
      <ns0:c r="V318" s="17" t="n"/>
      <ns0:c r="W318" s="17" t="n"/>
      <ns0:c r="X318" s="17" t="n"/>
      <ns0:c r="Y318" s="17" t="n"/>
      <ns0:c r="Z318" s="17" t="n"/>
      <ns0:c r="AA318" s="17" t="n"/>
      <ns0:c r="AB318" s="17" t="n"/>
      <ns0:c r="AC318" s="17" t="n"/>
      <ns0:c r="AD318" s="17" t="n"/>
      <ns0:c r="AE318" s="17" t="n"/>
      <ns0:c r="AF318" s="17" t="n"/>
      <ns0:c r="AG318" s="17" t="n"/>
    </ns0:row>
    <ns0:row r="319" ht="24" customHeight="1">
      <ns0:c r="D319" s="17" t="n"/>
      <ns0:c r="E319" s="17" t="n"/>
      <ns0:c r="F319" s="17" t="n"/>
      <ns0:c r="G319" s="17" t="n"/>
      <ns0:c r="H319" s="17" t="n"/>
      <ns0:c r="I319" s="17" t="n"/>
      <ns0:c r="J319" s="17" t="n"/>
      <ns0:c r="K319" s="17" t="n"/>
      <ns0:c r="L319" s="17" t="n"/>
      <ns0:c r="M319" s="17" t="n"/>
      <ns0:c r="N319" s="17" t="n"/>
      <ns0:c r="O319" s="17" t="n"/>
      <ns0:c r="P319" s="17" t="n"/>
      <ns0:c r="Q319" s="17" t="n"/>
      <ns0:c r="R319" s="17" t="n"/>
      <ns0:c r="S319" s="17" t="n"/>
      <ns0:c r="T319" s="17" t="n"/>
      <ns0:c r="U319" s="17" t="n"/>
      <ns0:c r="V319" s="17" t="n"/>
      <ns0:c r="W319" s="17" t="n"/>
      <ns0:c r="X319" s="17" t="n"/>
      <ns0:c r="Y319" s="17" t="n"/>
      <ns0:c r="Z319" s="17" t="n"/>
      <ns0:c r="AA319" s="17" t="n"/>
      <ns0:c r="AB319" s="17" t="n"/>
      <ns0:c r="AC319" s="17" t="n"/>
      <ns0:c r="AD319" s="17" t="n"/>
      <ns0:c r="AE319" s="17" t="n"/>
      <ns0:c r="AF319" s="17" t="n"/>
      <ns0:c r="AG319" s="17" t="n"/>
    </ns0:row>
    <ns0:row r="320" ht="24" customHeight="1">
      <ns0:c r="D320" s="17" t="n"/>
      <ns0:c r="E320" s="17" t="n"/>
      <ns0:c r="F320" s="17" t="n"/>
      <ns0:c r="G320" s="17" t="n"/>
      <ns0:c r="H320" s="17" t="n"/>
      <ns0:c r="I320" s="17" t="n"/>
      <ns0:c r="J320" s="17" t="n"/>
      <ns0:c r="K320" s="17" t="n"/>
      <ns0:c r="L320" s="17" t="n"/>
      <ns0:c r="M320" s="17" t="n"/>
      <ns0:c r="N320" s="17" t="n"/>
      <ns0:c r="O320" s="17" t="n"/>
      <ns0:c r="P320" s="17" t="n"/>
      <ns0:c r="Q320" s="17" t="n"/>
      <ns0:c r="R320" s="17" t="n"/>
      <ns0:c r="S320" s="17" t="n"/>
      <ns0:c r="T320" s="17" t="n"/>
      <ns0:c r="U320" s="17" t="n"/>
      <ns0:c r="V320" s="17" t="n"/>
      <ns0:c r="W320" s="17" t="n"/>
      <ns0:c r="X320" s="17" t="n"/>
      <ns0:c r="Y320" s="17" t="n"/>
      <ns0:c r="Z320" s="17" t="n"/>
      <ns0:c r="AA320" s="17" t="n"/>
      <ns0:c r="AB320" s="17" t="n"/>
      <ns0:c r="AC320" s="17" t="n"/>
      <ns0:c r="AD320" s="17" t="n"/>
      <ns0:c r="AE320" s="17" t="n"/>
      <ns0:c r="AF320" s="17" t="n"/>
      <ns0:c r="AG320" s="17" t="n"/>
    </ns0:row>
    <ns0:row r="321" ht="24" customHeight="1">
      <ns0:c r="D321" s="17" t="n"/>
      <ns0:c r="E321" s="17" t="n"/>
      <ns0:c r="F321" s="17" t="n"/>
      <ns0:c r="G321" s="17" t="n"/>
      <ns0:c r="H321" s="17" t="n"/>
      <ns0:c r="I321" s="17" t="n"/>
      <ns0:c r="J321" s="17" t="n"/>
      <ns0:c r="K321" s="17" t="n"/>
      <ns0:c r="L321" s="17" t="n"/>
      <ns0:c r="M321" s="17" t="n"/>
      <ns0:c r="N321" s="17" t="n"/>
      <ns0:c r="O321" s="17" t="n"/>
      <ns0:c r="P321" s="17" t="n"/>
      <ns0:c r="Q321" s="17" t="n"/>
      <ns0:c r="R321" s="17" t="n"/>
      <ns0:c r="S321" s="17" t="n"/>
      <ns0:c r="T321" s="17" t="n"/>
      <ns0:c r="U321" s="17" t="n"/>
      <ns0:c r="V321" s="17" t="n"/>
      <ns0:c r="W321" s="17" t="n"/>
      <ns0:c r="X321" s="17" t="n"/>
      <ns0:c r="Y321" s="17" t="n"/>
      <ns0:c r="Z321" s="17" t="n"/>
      <ns0:c r="AA321" s="17" t="n"/>
      <ns0:c r="AB321" s="17" t="n"/>
      <ns0:c r="AC321" s="17" t="n"/>
      <ns0:c r="AD321" s="17" t="n"/>
      <ns0:c r="AE321" s="17" t="n"/>
      <ns0:c r="AF321" s="17" t="n"/>
      <ns0:c r="AG321" s="17" t="n"/>
    </ns0:row>
    <ns0:row r="322" ht="24" customHeight="1">
      <ns0:c r="D322" s="17" t="n"/>
      <ns0:c r="E322" s="17" t="n"/>
      <ns0:c r="F322" s="17" t="n"/>
      <ns0:c r="G322" s="17" t="n"/>
      <ns0:c r="H322" s="17" t="n"/>
      <ns0:c r="I322" s="17" t="n"/>
      <ns0:c r="J322" s="17" t="n"/>
      <ns0:c r="K322" s="17" t="n"/>
      <ns0:c r="L322" s="17" t="n"/>
      <ns0:c r="M322" s="17" t="n"/>
      <ns0:c r="N322" s="17" t="n"/>
      <ns0:c r="O322" s="17" t="n"/>
      <ns0:c r="P322" s="17" t="n"/>
      <ns0:c r="Q322" s="17" t="n"/>
      <ns0:c r="R322" s="17" t="n"/>
      <ns0:c r="S322" s="17" t="n"/>
      <ns0:c r="T322" s="17" t="n"/>
      <ns0:c r="U322" s="17" t="n"/>
      <ns0:c r="V322" s="17" t="n"/>
      <ns0:c r="W322" s="17" t="n"/>
      <ns0:c r="X322" s="17" t="n"/>
      <ns0:c r="Y322" s="17" t="n"/>
      <ns0:c r="Z322" s="17" t="n"/>
      <ns0:c r="AA322" s="17" t="n"/>
      <ns0:c r="AB322" s="17" t="n"/>
      <ns0:c r="AC322" s="17" t="n"/>
      <ns0:c r="AD322" s="17" t="n"/>
      <ns0:c r="AE322" s="17" t="n"/>
      <ns0:c r="AF322" s="17" t="n"/>
      <ns0:c r="AG322" s="17" t="n"/>
    </ns0:row>
    <ns0:row r="323" ht="24" customHeight="1">
      <ns0:c r="D323" s="17" t="n"/>
      <ns0:c r="E323" s="17" t="n"/>
      <ns0:c r="F323" s="17" t="n"/>
      <ns0:c r="G323" s="17" t="n"/>
      <ns0:c r="H323" s="17" t="n"/>
      <ns0:c r="I323" s="17" t="n"/>
      <ns0:c r="J323" s="17" t="n"/>
      <ns0:c r="K323" s="17" t="n"/>
      <ns0:c r="L323" s="17" t="n"/>
      <ns0:c r="M323" s="17" t="n"/>
      <ns0:c r="N323" s="17" t="n"/>
      <ns0:c r="O323" s="17" t="n"/>
      <ns0:c r="P323" s="17" t="n"/>
      <ns0:c r="Q323" s="17" t="n"/>
      <ns0:c r="R323" s="17" t="n"/>
      <ns0:c r="S323" s="17" t="n"/>
      <ns0:c r="T323" s="17" t="n"/>
      <ns0:c r="U323" s="17" t="n"/>
      <ns0:c r="V323" s="17" t="n"/>
      <ns0:c r="W323" s="17" t="n"/>
      <ns0:c r="X323" s="17" t="n"/>
      <ns0:c r="Y323" s="17" t="n"/>
      <ns0:c r="Z323" s="17" t="n"/>
      <ns0:c r="AA323" s="17" t="n"/>
      <ns0:c r="AB323" s="17" t="n"/>
      <ns0:c r="AC323" s="17" t="n"/>
      <ns0:c r="AD323" s="17" t="n"/>
      <ns0:c r="AE323" s="17" t="n"/>
      <ns0:c r="AF323" s="17" t="n"/>
      <ns0:c r="AG323" s="17" t="n"/>
    </ns0:row>
    <ns0:row r="324" ht="24" customHeight="1">
      <ns0:c r="D324" s="17" t="n"/>
      <ns0:c r="E324" s="17" t="n"/>
      <ns0:c r="F324" s="17" t="n"/>
      <ns0:c r="G324" s="17" t="n"/>
      <ns0:c r="H324" s="17" t="n"/>
      <ns0:c r="I324" s="17" t="n"/>
      <ns0:c r="J324" s="17" t="n"/>
      <ns0:c r="K324" s="17" t="n"/>
      <ns0:c r="L324" s="17" t="n"/>
      <ns0:c r="M324" s="17" t="n"/>
      <ns0:c r="N324" s="17" t="n"/>
      <ns0:c r="O324" s="17" t="n"/>
      <ns0:c r="P324" s="17" t="n"/>
      <ns0:c r="Q324" s="17" t="n"/>
      <ns0:c r="R324" s="17" t="n"/>
      <ns0:c r="S324" s="17" t="n"/>
      <ns0:c r="T324" s="17" t="n"/>
      <ns0:c r="U324" s="17" t="n"/>
      <ns0:c r="V324" s="17" t="n"/>
      <ns0:c r="W324" s="17" t="n"/>
      <ns0:c r="X324" s="17" t="n"/>
      <ns0:c r="Y324" s="17" t="n"/>
      <ns0:c r="Z324" s="17" t="n"/>
      <ns0:c r="AA324" s="17" t="n"/>
      <ns0:c r="AB324" s="17" t="n"/>
      <ns0:c r="AC324" s="17" t="n"/>
      <ns0:c r="AD324" s="17" t="n"/>
      <ns0:c r="AE324" s="17" t="n"/>
      <ns0:c r="AF324" s="17" t="n"/>
      <ns0:c r="AG324" s="17" t="n"/>
    </ns0:row>
    <ns0:row r="325" ht="24" customHeight="1">
      <ns0:c r="D325" s="17" t="n"/>
      <ns0:c r="E325" s="17" t="n"/>
      <ns0:c r="F325" s="17" t="n"/>
      <ns0:c r="G325" s="17" t="n"/>
      <ns0:c r="H325" s="17" t="n"/>
      <ns0:c r="I325" s="17" t="n"/>
      <ns0:c r="J325" s="17" t="n"/>
      <ns0:c r="K325" s="17" t="n"/>
      <ns0:c r="L325" s="17" t="n"/>
      <ns0:c r="M325" s="17" t="n"/>
      <ns0:c r="N325" s="17" t="n"/>
      <ns0:c r="O325" s="17" t="n"/>
      <ns0:c r="P325" s="17" t="n"/>
      <ns0:c r="Q325" s="17" t="n"/>
      <ns0:c r="R325" s="17" t="n"/>
      <ns0:c r="S325" s="17" t="n"/>
      <ns0:c r="T325" s="17" t="n"/>
      <ns0:c r="U325" s="17" t="n"/>
      <ns0:c r="V325" s="17" t="n"/>
      <ns0:c r="W325" s="17" t="n"/>
      <ns0:c r="X325" s="17" t="n"/>
      <ns0:c r="Y325" s="17" t="n"/>
      <ns0:c r="Z325" s="17" t="n"/>
      <ns0:c r="AA325" s="17" t="n"/>
      <ns0:c r="AB325" s="17" t="n"/>
      <ns0:c r="AC325" s="17" t="n"/>
      <ns0:c r="AD325" s="17" t="n"/>
      <ns0:c r="AE325" s="17" t="n"/>
      <ns0:c r="AF325" s="17" t="n"/>
      <ns0:c r="AG325" s="17" t="n"/>
    </ns0:row>
    <ns0:row r="326" ht="24" customHeight="1">
      <ns0:c r="D326" s="17" t="n"/>
      <ns0:c r="E326" s="17" t="n"/>
      <ns0:c r="F326" s="17" t="n"/>
      <ns0:c r="G326" s="17" t="n"/>
      <ns0:c r="H326" s="17" t="n"/>
      <ns0:c r="I326" s="17" t="n"/>
      <ns0:c r="J326" s="17" t="n"/>
      <ns0:c r="K326" s="17" t="n"/>
      <ns0:c r="L326" s="17" t="n"/>
      <ns0:c r="M326" s="17" t="n"/>
      <ns0:c r="N326" s="17" t="n"/>
      <ns0:c r="O326" s="17" t="n"/>
      <ns0:c r="P326" s="17" t="n"/>
      <ns0:c r="Q326" s="17" t="n"/>
      <ns0:c r="R326" s="17" t="n"/>
      <ns0:c r="S326" s="17" t="n"/>
      <ns0:c r="T326" s="17" t="n"/>
      <ns0:c r="U326" s="17" t="n"/>
      <ns0:c r="V326" s="17" t="n"/>
      <ns0:c r="W326" s="17" t="n"/>
      <ns0:c r="X326" s="17" t="n"/>
      <ns0:c r="Y326" s="17" t="n"/>
      <ns0:c r="Z326" s="17" t="n"/>
      <ns0:c r="AA326" s="17" t="n"/>
      <ns0:c r="AB326" s="17" t="n"/>
      <ns0:c r="AC326" s="17" t="n"/>
      <ns0:c r="AD326" s="17" t="n"/>
      <ns0:c r="AE326" s="17" t="n"/>
      <ns0:c r="AF326" s="17" t="n"/>
      <ns0:c r="AG326" s="17" t="n"/>
    </ns0:row>
    <ns0:row r="327" ht="24" customHeight="1">
      <ns0:c r="D327" s="17" t="n"/>
      <ns0:c r="E327" s="17" t="n"/>
      <ns0:c r="F327" s="17" t="n"/>
      <ns0:c r="G327" s="17" t="n"/>
      <ns0:c r="H327" s="17" t="n"/>
      <ns0:c r="I327" s="17" t="n"/>
      <ns0:c r="J327" s="17" t="n"/>
      <ns0:c r="K327" s="17" t="n"/>
      <ns0:c r="L327" s="17" t="n"/>
      <ns0:c r="M327" s="17" t="n"/>
      <ns0:c r="N327" s="17" t="n"/>
      <ns0:c r="O327" s="17" t="n"/>
      <ns0:c r="P327" s="17" t="n"/>
      <ns0:c r="Q327" s="17" t="n"/>
      <ns0:c r="R327" s="17" t="n"/>
      <ns0:c r="S327" s="17" t="n"/>
      <ns0:c r="T327" s="17" t="n"/>
      <ns0:c r="U327" s="17" t="n"/>
      <ns0:c r="V327" s="17" t="n"/>
      <ns0:c r="W327" s="17" t="n"/>
      <ns0:c r="X327" s="17" t="n"/>
      <ns0:c r="Y327" s="17" t="n"/>
      <ns0:c r="Z327" s="17" t="n"/>
      <ns0:c r="AA327" s="17" t="n"/>
      <ns0:c r="AB327" s="17" t="n"/>
      <ns0:c r="AC327" s="17" t="n"/>
      <ns0:c r="AD327" s="17" t="n"/>
      <ns0:c r="AE327" s="17" t="n"/>
      <ns0:c r="AF327" s="17" t="n"/>
      <ns0:c r="AG327" s="17" t="n"/>
    </ns0:row>
    <ns0:row r="328" ht="24" customHeight="1">
      <ns0:c r="D328" s="17" t="n"/>
      <ns0:c r="E328" s="17" t="n"/>
      <ns0:c r="F328" s="17" t="n"/>
      <ns0:c r="G328" s="17" t="n"/>
      <ns0:c r="H328" s="17" t="n"/>
      <ns0:c r="I328" s="17" t="n"/>
      <ns0:c r="J328" s="17" t="n"/>
      <ns0:c r="K328" s="17" t="n"/>
      <ns0:c r="L328" s="17" t="n"/>
      <ns0:c r="M328" s="17" t="n"/>
      <ns0:c r="N328" s="17" t="n"/>
      <ns0:c r="O328" s="17" t="n"/>
      <ns0:c r="P328" s="17" t="n"/>
      <ns0:c r="Q328" s="17" t="n"/>
      <ns0:c r="R328" s="17" t="n"/>
      <ns0:c r="S328" s="17" t="n"/>
      <ns0:c r="T328" s="17" t="n"/>
      <ns0:c r="U328" s="17" t="n"/>
      <ns0:c r="V328" s="17" t="n"/>
      <ns0:c r="W328" s="17" t="n"/>
      <ns0:c r="X328" s="17" t="n"/>
      <ns0:c r="Y328" s="17" t="n"/>
      <ns0:c r="Z328" s="17" t="n"/>
      <ns0:c r="AA328" s="17" t="n"/>
      <ns0:c r="AB328" s="17" t="n"/>
      <ns0:c r="AC328" s="17" t="n"/>
      <ns0:c r="AD328" s="17" t="n"/>
      <ns0:c r="AE328" s="17" t="n"/>
      <ns0:c r="AF328" s="17" t="n"/>
      <ns0:c r="AG328" s="17" t="n"/>
    </ns0:row>
    <ns0:row r="329" ht="24" customHeight="1">
      <ns0:c r="D329" s="17" t="n"/>
      <ns0:c r="E329" s="17" t="n"/>
      <ns0:c r="F329" s="17" t="n"/>
      <ns0:c r="G329" s="17" t="n"/>
      <ns0:c r="H329" s="17" t="n"/>
      <ns0:c r="I329" s="17" t="n"/>
      <ns0:c r="J329" s="17" t="n"/>
      <ns0:c r="K329" s="17" t="n"/>
      <ns0:c r="L329" s="17" t="n"/>
      <ns0:c r="M329" s="17" t="n"/>
      <ns0:c r="N329" s="17" t="n"/>
      <ns0:c r="O329" s="17" t="n"/>
      <ns0:c r="P329" s="17" t="n"/>
      <ns0:c r="Q329" s="17" t="n"/>
      <ns0:c r="R329" s="17" t="n"/>
      <ns0:c r="S329" s="17" t="n"/>
      <ns0:c r="T329" s="17" t="n"/>
      <ns0:c r="U329" s="17" t="n"/>
      <ns0:c r="V329" s="17" t="n"/>
      <ns0:c r="W329" s="17" t="n"/>
      <ns0:c r="X329" s="17" t="n"/>
      <ns0:c r="Y329" s="17" t="n"/>
      <ns0:c r="Z329" s="17" t="n"/>
      <ns0:c r="AA329" s="17" t="n"/>
      <ns0:c r="AB329" s="17" t="n"/>
      <ns0:c r="AC329" s="17" t="n"/>
      <ns0:c r="AD329" s="17" t="n"/>
      <ns0:c r="AE329" s="17" t="n"/>
      <ns0:c r="AF329" s="17" t="n"/>
      <ns0:c r="AG329" s="17" t="n"/>
    </ns0:row>
    <ns0:row r="330" ht="24" customHeight="1">
      <ns0:c r="D330" s="17" t="n"/>
      <ns0:c r="E330" s="17" t="n"/>
      <ns0:c r="F330" s="17" t="n"/>
      <ns0:c r="G330" s="17" t="n"/>
      <ns0:c r="H330" s="17" t="n"/>
      <ns0:c r="I330" s="17" t="n"/>
      <ns0:c r="J330" s="17" t="n"/>
      <ns0:c r="K330" s="17" t="n"/>
      <ns0:c r="L330" s="17" t="n"/>
      <ns0:c r="M330" s="17" t="n"/>
      <ns0:c r="N330" s="17" t="n"/>
      <ns0:c r="O330" s="17" t="n"/>
      <ns0:c r="P330" s="17" t="n"/>
      <ns0:c r="Q330" s="17" t="n"/>
      <ns0:c r="R330" s="17" t="n"/>
      <ns0:c r="S330" s="17" t="n"/>
      <ns0:c r="T330" s="17" t="n"/>
      <ns0:c r="U330" s="17" t="n"/>
      <ns0:c r="V330" s="17" t="n"/>
      <ns0:c r="W330" s="17" t="n"/>
      <ns0:c r="X330" s="17" t="n"/>
      <ns0:c r="Y330" s="17" t="n"/>
      <ns0:c r="Z330" s="17" t="n"/>
      <ns0:c r="AA330" s="17" t="n"/>
      <ns0:c r="AB330" s="17" t="n"/>
      <ns0:c r="AC330" s="17" t="n"/>
      <ns0:c r="AD330" s="17" t="n"/>
      <ns0:c r="AE330" s="17" t="n"/>
      <ns0:c r="AF330" s="17" t="n"/>
      <ns0:c r="AG330" s="17" t="n"/>
    </ns0:row>
    <ns0:row r="331" ht="24" customHeight="1">
      <ns0:c r="D331" s="17" t="n"/>
      <ns0:c r="E331" s="17" t="n"/>
      <ns0:c r="F331" s="17" t="n"/>
      <ns0:c r="G331" s="17" t="n"/>
      <ns0:c r="H331" s="17" t="n"/>
      <ns0:c r="I331" s="17" t="n"/>
      <ns0:c r="J331" s="17" t="n"/>
      <ns0:c r="K331" s="17" t="n"/>
      <ns0:c r="L331" s="17" t="n"/>
      <ns0:c r="M331" s="17" t="n"/>
      <ns0:c r="N331" s="17" t="n"/>
      <ns0:c r="O331" s="17" t="n"/>
      <ns0:c r="P331" s="17" t="n"/>
      <ns0:c r="Q331" s="17" t="n"/>
      <ns0:c r="R331" s="17" t="n"/>
      <ns0:c r="S331" s="17" t="n"/>
      <ns0:c r="T331" s="17" t="n"/>
      <ns0:c r="U331" s="17" t="n"/>
      <ns0:c r="V331" s="17" t="n"/>
      <ns0:c r="W331" s="17" t="n"/>
      <ns0:c r="X331" s="17" t="n"/>
      <ns0:c r="Y331" s="17" t="n"/>
      <ns0:c r="Z331" s="17" t="n"/>
      <ns0:c r="AA331" s="17" t="n"/>
      <ns0:c r="AB331" s="17" t="n"/>
      <ns0:c r="AC331" s="17" t="n"/>
      <ns0:c r="AD331" s="17" t="n"/>
      <ns0:c r="AE331" s="17" t="n"/>
      <ns0:c r="AF331" s="17" t="n"/>
      <ns0:c r="AG331" s="17" t="n"/>
    </ns0:row>
    <ns0:row r="332" ht="24" customHeight="1">
      <ns0:c r="D332" s="17" t="n"/>
      <ns0:c r="E332" s="17" t="n"/>
      <ns0:c r="F332" s="17" t="n"/>
      <ns0:c r="G332" s="17" t="n"/>
      <ns0:c r="H332" s="17" t="n"/>
      <ns0:c r="I332" s="17" t="n"/>
      <ns0:c r="J332" s="17" t="n"/>
      <ns0:c r="K332" s="17" t="n"/>
      <ns0:c r="L332" s="17" t="n"/>
      <ns0:c r="M332" s="17" t="n"/>
      <ns0:c r="N332" s="17" t="n"/>
      <ns0:c r="O332" s="17" t="n"/>
      <ns0:c r="P332" s="17" t="n"/>
      <ns0:c r="Q332" s="17" t="n"/>
      <ns0:c r="R332" s="17" t="n"/>
      <ns0:c r="S332" s="17" t="n"/>
      <ns0:c r="T332" s="17" t="n"/>
      <ns0:c r="U332" s="17" t="n"/>
      <ns0:c r="V332" s="17" t="n"/>
      <ns0:c r="W332" s="17" t="n"/>
      <ns0:c r="X332" s="17" t="n"/>
      <ns0:c r="Y332" s="17" t="n"/>
      <ns0:c r="Z332" s="17" t="n"/>
      <ns0:c r="AA332" s="17" t="n"/>
      <ns0:c r="AB332" s="17" t="n"/>
      <ns0:c r="AC332" s="17" t="n"/>
      <ns0:c r="AD332" s="17" t="n"/>
      <ns0:c r="AE332" s="17" t="n"/>
      <ns0:c r="AF332" s="17" t="n"/>
      <ns0:c r="AG332" s="17" t="n"/>
    </ns0:row>
    <ns0:row r="333" ht="24" customHeight="1">
      <ns0:c r="D333" s="17" t="n"/>
      <ns0:c r="E333" s="17" t="n"/>
      <ns0:c r="F333" s="17" t="n"/>
      <ns0:c r="G333" s="17" t="n"/>
      <ns0:c r="H333" s="17" t="n"/>
      <ns0:c r="I333" s="17" t="n"/>
      <ns0:c r="J333" s="17" t="n"/>
      <ns0:c r="K333" s="17" t="n"/>
      <ns0:c r="L333" s="17" t="n"/>
      <ns0:c r="M333" s="17" t="n"/>
      <ns0:c r="N333" s="17" t="n"/>
      <ns0:c r="O333" s="17" t="n"/>
      <ns0:c r="P333" s="17" t="n"/>
      <ns0:c r="Q333" s="17" t="n"/>
      <ns0:c r="R333" s="17" t="n"/>
      <ns0:c r="S333" s="17" t="n"/>
      <ns0:c r="T333" s="17" t="n"/>
      <ns0:c r="U333" s="17" t="n"/>
      <ns0:c r="V333" s="17" t="n"/>
      <ns0:c r="W333" s="17" t="n"/>
      <ns0:c r="X333" s="17" t="n"/>
      <ns0:c r="Y333" s="17" t="n"/>
      <ns0:c r="Z333" s="17" t="n"/>
      <ns0:c r="AA333" s="17" t="n"/>
      <ns0:c r="AB333" s="17" t="n"/>
      <ns0:c r="AC333" s="17" t="n"/>
      <ns0:c r="AD333" s="17" t="n"/>
      <ns0:c r="AE333" s="17" t="n"/>
      <ns0:c r="AF333" s="17" t="n"/>
      <ns0:c r="AG333" s="17" t="n"/>
    </ns0:row>
    <ns0:row r="334" ht="24" customHeight="1">
      <ns0:c r="D334" s="17" t="n"/>
      <ns0:c r="E334" s="17" t="n"/>
      <ns0:c r="F334" s="17" t="n"/>
      <ns0:c r="G334" s="17" t="n"/>
      <ns0:c r="H334" s="17" t="n"/>
      <ns0:c r="I334" s="17" t="n"/>
      <ns0:c r="J334" s="17" t="n"/>
      <ns0:c r="K334" s="17" t="n"/>
      <ns0:c r="L334" s="17" t="n"/>
      <ns0:c r="M334" s="17" t="n"/>
      <ns0:c r="N334" s="17" t="n"/>
      <ns0:c r="O334" s="17" t="n"/>
      <ns0:c r="P334" s="17" t="n"/>
      <ns0:c r="Q334" s="17" t="n"/>
      <ns0:c r="R334" s="17" t="n"/>
      <ns0:c r="S334" s="17" t="n"/>
      <ns0:c r="T334" s="17" t="n"/>
      <ns0:c r="U334" s="17" t="n"/>
      <ns0:c r="V334" s="17" t="n"/>
      <ns0:c r="W334" s="17" t="n"/>
      <ns0:c r="X334" s="17" t="n"/>
      <ns0:c r="Y334" s="17" t="n"/>
      <ns0:c r="Z334" s="17" t="n"/>
      <ns0:c r="AA334" s="17" t="n"/>
      <ns0:c r="AB334" s="17" t="n"/>
      <ns0:c r="AC334" s="17" t="n"/>
      <ns0:c r="AD334" s="17" t="n"/>
      <ns0:c r="AE334" s="17" t="n"/>
      <ns0:c r="AF334" s="17" t="n"/>
      <ns0:c r="AG334" s="17" t="n"/>
    </ns0:row>
    <ns0:row r="335" ht="24" customHeight="1">
      <ns0:c r="D335" s="17" t="n"/>
      <ns0:c r="E335" s="17" t="n"/>
      <ns0:c r="F335" s="17" t="n"/>
      <ns0:c r="G335" s="17" t="n"/>
      <ns0:c r="H335" s="17" t="n"/>
      <ns0:c r="I335" s="17" t="n"/>
      <ns0:c r="J335" s="17" t="n"/>
      <ns0:c r="K335" s="17" t="n"/>
      <ns0:c r="L335" s="17" t="n"/>
      <ns0:c r="M335" s="17" t="n"/>
      <ns0:c r="N335" s="17" t="n"/>
      <ns0:c r="O335" s="17" t="n"/>
      <ns0:c r="P335" s="17" t="n"/>
      <ns0:c r="Q335" s="17" t="n"/>
      <ns0:c r="R335" s="17" t="n"/>
      <ns0:c r="S335" s="17" t="n"/>
      <ns0:c r="T335" s="17" t="n"/>
      <ns0:c r="U335" s="17" t="n"/>
      <ns0:c r="V335" s="17" t="n"/>
      <ns0:c r="W335" s="17" t="n"/>
      <ns0:c r="X335" s="17" t="n"/>
      <ns0:c r="Y335" s="17" t="n"/>
      <ns0:c r="Z335" s="17" t="n"/>
      <ns0:c r="AA335" s="17" t="n"/>
      <ns0:c r="AB335" s="17" t="n"/>
      <ns0:c r="AC335" s="17" t="n"/>
      <ns0:c r="AD335" s="17" t="n"/>
      <ns0:c r="AE335" s="17" t="n"/>
      <ns0:c r="AF335" s="17" t="n"/>
      <ns0:c r="AG335" s="17" t="n"/>
    </ns0:row>
    <ns0:row r="336" ht="24" customHeight="1">
      <ns0:c r="D336" s="17" t="n"/>
      <ns0:c r="E336" s="17" t="n"/>
      <ns0:c r="F336" s="17" t="n"/>
      <ns0:c r="G336" s="17" t="n"/>
      <ns0:c r="H336" s="17" t="n"/>
      <ns0:c r="I336" s="17" t="n"/>
      <ns0:c r="J336" s="17" t="n"/>
      <ns0:c r="K336" s="17" t="n"/>
      <ns0:c r="L336" s="17" t="n"/>
      <ns0:c r="M336" s="17" t="n"/>
      <ns0:c r="N336" s="17" t="n"/>
      <ns0:c r="O336" s="17" t="n"/>
      <ns0:c r="P336" s="17" t="n"/>
      <ns0:c r="Q336" s="17" t="n"/>
      <ns0:c r="R336" s="17" t="n"/>
      <ns0:c r="S336" s="17" t="n"/>
      <ns0:c r="T336" s="17" t="n"/>
      <ns0:c r="U336" s="17" t="n"/>
      <ns0:c r="V336" s="17" t="n"/>
      <ns0:c r="W336" s="17" t="n"/>
      <ns0:c r="X336" s="17" t="n"/>
      <ns0:c r="Y336" s="17" t="n"/>
      <ns0:c r="Z336" s="17" t="n"/>
      <ns0:c r="AA336" s="17" t="n"/>
      <ns0:c r="AB336" s="17" t="n"/>
      <ns0:c r="AC336" s="17" t="n"/>
      <ns0:c r="AD336" s="17" t="n"/>
      <ns0:c r="AE336" s="17" t="n"/>
      <ns0:c r="AF336" s="17" t="n"/>
      <ns0:c r="AG336" s="17" t="n"/>
    </ns0:row>
    <ns0:row r="337" ht="24" customHeight="1">
      <ns0:c r="D337" s="17" t="n"/>
      <ns0:c r="E337" s="17" t="n"/>
      <ns0:c r="F337" s="17" t="n"/>
      <ns0:c r="G337" s="17" t="n"/>
      <ns0:c r="H337" s="17" t="n"/>
      <ns0:c r="I337" s="17" t="n"/>
      <ns0:c r="J337" s="17" t="n"/>
      <ns0:c r="K337" s="17" t="n"/>
      <ns0:c r="L337" s="17" t="n"/>
      <ns0:c r="M337" s="17" t="n"/>
      <ns0:c r="N337" s="17" t="n"/>
      <ns0:c r="O337" s="17" t="n"/>
      <ns0:c r="P337" s="17" t="n"/>
      <ns0:c r="Q337" s="17" t="n"/>
      <ns0:c r="R337" s="17" t="n"/>
      <ns0:c r="S337" s="17" t="n"/>
      <ns0:c r="T337" s="17" t="n"/>
      <ns0:c r="U337" s="17" t="n"/>
      <ns0:c r="V337" s="17" t="n"/>
      <ns0:c r="W337" s="17" t="n"/>
      <ns0:c r="X337" s="17" t="n"/>
      <ns0:c r="Y337" s="17" t="n"/>
      <ns0:c r="Z337" s="17" t="n"/>
      <ns0:c r="AA337" s="17" t="n"/>
      <ns0:c r="AB337" s="17" t="n"/>
      <ns0:c r="AC337" s="17" t="n"/>
      <ns0:c r="AD337" s="17" t="n"/>
      <ns0:c r="AE337" s="17" t="n"/>
      <ns0:c r="AF337" s="17" t="n"/>
      <ns0:c r="AG337" s="17" t="n"/>
    </ns0:row>
    <ns0:row r="338" ht="24" customHeight="1">
      <ns0:c r="D338" s="17" t="n"/>
      <ns0:c r="E338" s="17" t="n"/>
      <ns0:c r="F338" s="17" t="n"/>
      <ns0:c r="G338" s="17" t="n"/>
      <ns0:c r="H338" s="17" t="n"/>
      <ns0:c r="I338" s="17" t="n"/>
      <ns0:c r="J338" s="17" t="n"/>
      <ns0:c r="K338" s="17" t="n"/>
      <ns0:c r="L338" s="17" t="n"/>
      <ns0:c r="M338" s="17" t="n"/>
      <ns0:c r="N338" s="17" t="n"/>
      <ns0:c r="O338" s="17" t="n"/>
      <ns0:c r="P338" s="17" t="n"/>
      <ns0:c r="Q338" s="17" t="n"/>
      <ns0:c r="R338" s="17" t="n"/>
      <ns0:c r="S338" s="17" t="n"/>
      <ns0:c r="T338" s="17" t="n"/>
      <ns0:c r="U338" s="17" t="n"/>
      <ns0:c r="V338" s="17" t="n"/>
      <ns0:c r="W338" s="17" t="n"/>
      <ns0:c r="X338" s="17" t="n"/>
      <ns0:c r="Y338" s="17" t="n"/>
      <ns0:c r="Z338" s="17" t="n"/>
      <ns0:c r="AA338" s="17" t="n"/>
      <ns0:c r="AB338" s="17" t="n"/>
      <ns0:c r="AC338" s="17" t="n"/>
      <ns0:c r="AD338" s="17" t="n"/>
      <ns0:c r="AE338" s="17" t="n"/>
      <ns0:c r="AF338" s="17" t="n"/>
      <ns0:c r="AG338" s="17" t="n"/>
    </ns0:row>
    <ns0:row r="339" ht="24" customHeight="1">
      <ns0:c r="D339" s="17" t="n"/>
      <ns0:c r="E339" s="17" t="n"/>
      <ns0:c r="F339" s="17" t="n"/>
      <ns0:c r="G339" s="17" t="n"/>
      <ns0:c r="H339" s="17" t="n"/>
      <ns0:c r="I339" s="17" t="n"/>
      <ns0:c r="J339" s="17" t="n"/>
      <ns0:c r="K339" s="17" t="n"/>
      <ns0:c r="L339" s="17" t="n"/>
      <ns0:c r="M339" s="17" t="n"/>
      <ns0:c r="N339" s="17" t="n"/>
      <ns0:c r="O339" s="17" t="n"/>
      <ns0:c r="P339" s="17" t="n"/>
      <ns0:c r="Q339" s="17" t="n"/>
      <ns0:c r="R339" s="17" t="n"/>
      <ns0:c r="S339" s="17" t="n"/>
      <ns0:c r="T339" s="17" t="n"/>
      <ns0:c r="U339" s="17" t="n"/>
      <ns0:c r="V339" s="17" t="n"/>
      <ns0:c r="W339" s="17" t="n"/>
      <ns0:c r="X339" s="17" t="n"/>
      <ns0:c r="Y339" s="17" t="n"/>
      <ns0:c r="Z339" s="17" t="n"/>
      <ns0:c r="AA339" s="17" t="n"/>
      <ns0:c r="AB339" s="17" t="n"/>
      <ns0:c r="AC339" s="17" t="n"/>
      <ns0:c r="AD339" s="17" t="n"/>
      <ns0:c r="AE339" s="17" t="n"/>
      <ns0:c r="AF339" s="17" t="n"/>
      <ns0:c r="AG339" s="17" t="n"/>
    </ns0:row>
    <ns0:row r="340" ht="24" customHeight="1">
      <ns0:c r="D340" s="17" t="n"/>
      <ns0:c r="E340" s="17" t="n"/>
      <ns0:c r="F340" s="17" t="n"/>
      <ns0:c r="G340" s="17" t="n"/>
      <ns0:c r="H340" s="17" t="n"/>
      <ns0:c r="I340" s="17" t="n"/>
      <ns0:c r="J340" s="17" t="n"/>
      <ns0:c r="K340" s="17" t="n"/>
      <ns0:c r="L340" s="17" t="n"/>
      <ns0:c r="M340" s="17" t="n"/>
      <ns0:c r="N340" s="17" t="n"/>
      <ns0:c r="O340" s="17" t="n"/>
      <ns0:c r="P340" s="17" t="n"/>
      <ns0:c r="Q340" s="17" t="n"/>
      <ns0:c r="R340" s="17" t="n"/>
      <ns0:c r="S340" s="17" t="n"/>
      <ns0:c r="T340" s="17" t="n"/>
      <ns0:c r="U340" s="17" t="n"/>
      <ns0:c r="V340" s="17" t="n"/>
      <ns0:c r="W340" s="17" t="n"/>
      <ns0:c r="X340" s="17" t="n"/>
      <ns0:c r="Y340" s="17" t="n"/>
      <ns0:c r="Z340" s="17" t="n"/>
      <ns0:c r="AA340" s="17" t="n"/>
      <ns0:c r="AB340" s="17" t="n"/>
      <ns0:c r="AC340" s="17" t="n"/>
      <ns0:c r="AD340" s="17" t="n"/>
      <ns0:c r="AE340" s="17" t="n"/>
      <ns0:c r="AF340" s="17" t="n"/>
      <ns0:c r="AG340" s="17" t="n"/>
    </ns0:row>
    <ns0:row r="341" ht="24" customHeight="1">
      <ns0:c r="D341" s="17" t="n"/>
      <ns0:c r="E341" s="17" t="n"/>
      <ns0:c r="F341" s="17" t="n"/>
      <ns0:c r="G341" s="17" t="n"/>
      <ns0:c r="H341" s="17" t="n"/>
      <ns0:c r="I341" s="17" t="n"/>
      <ns0:c r="J341" s="17" t="n"/>
      <ns0:c r="K341" s="17" t="n"/>
      <ns0:c r="L341" s="17" t="n"/>
      <ns0:c r="M341" s="17" t="n"/>
      <ns0:c r="N341" s="17" t="n"/>
      <ns0:c r="O341" s="17" t="n"/>
      <ns0:c r="P341" s="17" t="n"/>
      <ns0:c r="Q341" s="17" t="n"/>
      <ns0:c r="R341" s="17" t="n"/>
      <ns0:c r="S341" s="17" t="n"/>
      <ns0:c r="T341" s="17" t="n"/>
      <ns0:c r="U341" s="17" t="n"/>
      <ns0:c r="V341" s="17" t="n"/>
      <ns0:c r="W341" s="17" t="n"/>
      <ns0:c r="X341" s="17" t="n"/>
      <ns0:c r="Y341" s="17" t="n"/>
      <ns0:c r="Z341" s="17" t="n"/>
      <ns0:c r="AA341" s="17" t="n"/>
      <ns0:c r="AB341" s="17" t="n"/>
      <ns0:c r="AC341" s="17" t="n"/>
      <ns0:c r="AD341" s="17" t="n"/>
      <ns0:c r="AE341" s="17" t="n"/>
      <ns0:c r="AF341" s="17" t="n"/>
      <ns0:c r="AG341" s="17" t="n"/>
    </ns0:row>
    <ns0:row r="342" ht="24" customHeight="1">
      <ns0:c r="D342" s="17" t="n"/>
      <ns0:c r="E342" s="17" t="n"/>
      <ns0:c r="F342" s="17" t="n"/>
      <ns0:c r="G342" s="17" t="n"/>
      <ns0:c r="H342" s="17" t="n"/>
      <ns0:c r="I342" s="17" t="n"/>
      <ns0:c r="J342" s="17" t="n"/>
      <ns0:c r="K342" s="17" t="n"/>
      <ns0:c r="L342" s="17" t="n"/>
      <ns0:c r="M342" s="17" t="n"/>
      <ns0:c r="N342" s="17" t="n"/>
      <ns0:c r="O342" s="17" t="n"/>
      <ns0:c r="P342" s="17" t="n"/>
      <ns0:c r="Q342" s="17" t="n"/>
      <ns0:c r="R342" s="17" t="n"/>
      <ns0:c r="S342" s="17" t="n"/>
      <ns0:c r="T342" s="17" t="n"/>
      <ns0:c r="U342" s="17" t="n"/>
      <ns0:c r="V342" s="17" t="n"/>
      <ns0:c r="W342" s="17" t="n"/>
      <ns0:c r="X342" s="17" t="n"/>
      <ns0:c r="Y342" s="17" t="n"/>
      <ns0:c r="Z342" s="17" t="n"/>
      <ns0:c r="AA342" s="17" t="n"/>
      <ns0:c r="AB342" s="17" t="n"/>
      <ns0:c r="AC342" s="17" t="n"/>
      <ns0:c r="AD342" s="17" t="n"/>
      <ns0:c r="AE342" s="17" t="n"/>
      <ns0:c r="AF342" s="17" t="n"/>
      <ns0:c r="AG342" s="17" t="n"/>
    </ns0:row>
    <ns0:row r="343" ht="24" customHeight="1">
      <ns0:c r="D343" s="17" t="n"/>
      <ns0:c r="E343" s="17" t="n"/>
      <ns0:c r="F343" s="17" t="n"/>
      <ns0:c r="G343" s="17" t="n"/>
      <ns0:c r="H343" s="17" t="n"/>
      <ns0:c r="I343" s="17" t="n"/>
      <ns0:c r="J343" s="17" t="n"/>
      <ns0:c r="K343" s="17" t="n"/>
      <ns0:c r="L343" s="17" t="n"/>
      <ns0:c r="M343" s="17" t="n"/>
      <ns0:c r="N343" s="17" t="n"/>
      <ns0:c r="O343" s="17" t="n"/>
      <ns0:c r="P343" s="17" t="n"/>
      <ns0:c r="Q343" s="17" t="n"/>
      <ns0:c r="R343" s="17" t="n"/>
      <ns0:c r="S343" s="17" t="n"/>
      <ns0:c r="T343" s="17" t="n"/>
      <ns0:c r="U343" s="17" t="n"/>
      <ns0:c r="V343" s="17" t="n"/>
      <ns0:c r="W343" s="17" t="n"/>
      <ns0:c r="X343" s="17" t="n"/>
      <ns0:c r="Y343" s="17" t="n"/>
      <ns0:c r="Z343" s="17" t="n"/>
      <ns0:c r="AA343" s="17" t="n"/>
      <ns0:c r="AB343" s="17" t="n"/>
      <ns0:c r="AC343" s="17" t="n"/>
      <ns0:c r="AD343" s="17" t="n"/>
      <ns0:c r="AE343" s="17" t="n"/>
      <ns0:c r="AF343" s="17" t="n"/>
      <ns0:c r="AG343" s="17" t="n"/>
    </ns0:row>
    <ns0:row r="344" ht="24" customHeight="1">
      <ns0:c r="D344" s="17" t="n"/>
      <ns0:c r="E344" s="17" t="n"/>
      <ns0:c r="F344" s="17" t="n"/>
      <ns0:c r="G344" s="17" t="n"/>
      <ns0:c r="H344" s="17" t="n"/>
      <ns0:c r="I344" s="17" t="n"/>
      <ns0:c r="J344" s="17" t="n"/>
      <ns0:c r="K344" s="17" t="n"/>
      <ns0:c r="L344" s="17" t="n"/>
      <ns0:c r="M344" s="17" t="n"/>
      <ns0:c r="N344" s="17" t="n"/>
      <ns0:c r="O344" s="17" t="n"/>
      <ns0:c r="P344" s="17" t="n"/>
      <ns0:c r="Q344" s="17" t="n"/>
      <ns0:c r="R344" s="17" t="n"/>
      <ns0:c r="S344" s="17" t="n"/>
      <ns0:c r="T344" s="17" t="n"/>
      <ns0:c r="U344" s="17" t="n"/>
      <ns0:c r="V344" s="17" t="n"/>
      <ns0:c r="W344" s="17" t="n"/>
      <ns0:c r="X344" s="17" t="n"/>
      <ns0:c r="Y344" s="17" t="n"/>
      <ns0:c r="Z344" s="17" t="n"/>
      <ns0:c r="AA344" s="17" t="n"/>
      <ns0:c r="AB344" s="17" t="n"/>
      <ns0:c r="AC344" s="17" t="n"/>
      <ns0:c r="AD344" s="17" t="n"/>
      <ns0:c r="AE344" s="17" t="n"/>
      <ns0:c r="AF344" s="17" t="n"/>
      <ns0:c r="AG344" s="17" t="n"/>
    </ns0:row>
    <ns0:row r="345" ht="24" customHeight="1">
      <ns0:c r="D345" s="17" t="n"/>
      <ns0:c r="E345" s="17" t="n"/>
      <ns0:c r="F345" s="17" t="n"/>
      <ns0:c r="G345" s="17" t="n"/>
      <ns0:c r="H345" s="17" t="n"/>
      <ns0:c r="I345" s="17" t="n"/>
      <ns0:c r="J345" s="17" t="n"/>
      <ns0:c r="K345" s="17" t="n"/>
      <ns0:c r="L345" s="17" t="n"/>
      <ns0:c r="M345" s="17" t="n"/>
      <ns0:c r="N345" s="17" t="n"/>
      <ns0:c r="O345" s="17" t="n"/>
      <ns0:c r="P345" s="17" t="n"/>
      <ns0:c r="Q345" s="17" t="n"/>
      <ns0:c r="R345" s="17" t="n"/>
      <ns0:c r="S345" s="17" t="n"/>
      <ns0:c r="T345" s="17" t="n"/>
      <ns0:c r="U345" s="17" t="n"/>
      <ns0:c r="V345" s="17" t="n"/>
      <ns0:c r="W345" s="17" t="n"/>
      <ns0:c r="X345" s="17" t="n"/>
      <ns0:c r="Y345" s="17" t="n"/>
      <ns0:c r="Z345" s="17" t="n"/>
      <ns0:c r="AA345" s="17" t="n"/>
      <ns0:c r="AB345" s="17" t="n"/>
      <ns0:c r="AC345" s="17" t="n"/>
      <ns0:c r="AD345" s="17" t="n"/>
      <ns0:c r="AE345" s="17" t="n"/>
      <ns0:c r="AF345" s="17" t="n"/>
      <ns0:c r="AG345" s="17" t="n"/>
    </ns0:row>
    <ns0:row r="346" ht="24" customHeight="1">
      <ns0:c r="D346" s="17" t="n"/>
      <ns0:c r="E346" s="17" t="n"/>
      <ns0:c r="F346" s="17" t="n"/>
      <ns0:c r="G346" s="17" t="n"/>
      <ns0:c r="H346" s="17" t="n"/>
      <ns0:c r="I346" s="17" t="n"/>
      <ns0:c r="J346" s="17" t="n"/>
      <ns0:c r="K346" s="17" t="n"/>
      <ns0:c r="L346" s="17" t="n"/>
      <ns0:c r="M346" s="17" t="n"/>
      <ns0:c r="N346" s="17" t="n"/>
      <ns0:c r="O346" s="17" t="n"/>
      <ns0:c r="P346" s="17" t="n"/>
      <ns0:c r="Q346" s="17" t="n"/>
      <ns0:c r="R346" s="17" t="n"/>
      <ns0:c r="S346" s="17" t="n"/>
      <ns0:c r="T346" s="17" t="n"/>
      <ns0:c r="U346" s="17" t="n"/>
      <ns0:c r="V346" s="17" t="n"/>
      <ns0:c r="W346" s="17" t="n"/>
      <ns0:c r="X346" s="17" t="n"/>
      <ns0:c r="Y346" s="17" t="n"/>
      <ns0:c r="Z346" s="17" t="n"/>
      <ns0:c r="AA346" s="17" t="n"/>
      <ns0:c r="AB346" s="17" t="n"/>
      <ns0:c r="AC346" s="17" t="n"/>
      <ns0:c r="AD346" s="17" t="n"/>
      <ns0:c r="AE346" s="17" t="n"/>
      <ns0:c r="AF346" s="17" t="n"/>
      <ns0:c r="AG346" s="17" t="n"/>
    </ns0:row>
    <ns0:row r="347" ht="24" customHeight="1">
      <ns0:c r="D347" s="17" t="n"/>
      <ns0:c r="E347" s="17" t="n"/>
      <ns0:c r="F347" s="17" t="n"/>
      <ns0:c r="G347" s="17" t="n"/>
      <ns0:c r="H347" s="17" t="n"/>
      <ns0:c r="I347" s="17" t="n"/>
      <ns0:c r="J347" s="17" t="n"/>
      <ns0:c r="K347" s="17" t="n"/>
      <ns0:c r="L347" s="17" t="n"/>
      <ns0:c r="M347" s="17" t="n"/>
      <ns0:c r="N347" s="17" t="n"/>
      <ns0:c r="O347" s="17" t="n"/>
      <ns0:c r="P347" s="17" t="n"/>
      <ns0:c r="Q347" s="17" t="n"/>
      <ns0:c r="R347" s="17" t="n"/>
      <ns0:c r="S347" s="17" t="n"/>
      <ns0:c r="T347" s="17" t="n"/>
      <ns0:c r="U347" s="17" t="n"/>
      <ns0:c r="V347" s="17" t="n"/>
      <ns0:c r="W347" s="17" t="n"/>
      <ns0:c r="X347" s="17" t="n"/>
      <ns0:c r="Y347" s="17" t="n"/>
      <ns0:c r="Z347" s="17" t="n"/>
      <ns0:c r="AA347" s="17" t="n"/>
      <ns0:c r="AB347" s="17" t="n"/>
      <ns0:c r="AC347" s="17" t="n"/>
      <ns0:c r="AD347" s="17" t="n"/>
      <ns0:c r="AE347" s="17" t="n"/>
      <ns0:c r="AF347" s="17" t="n"/>
      <ns0:c r="AG347" s="17" t="n"/>
    </ns0:row>
    <ns0:row r="348" ht="24" customHeight="1">
      <ns0:c r="D348" s="17" t="n"/>
      <ns0:c r="E348" s="17" t="n"/>
      <ns0:c r="F348" s="17" t="n"/>
      <ns0:c r="G348" s="17" t="n"/>
      <ns0:c r="H348" s="17" t="n"/>
      <ns0:c r="I348" s="17" t="n"/>
      <ns0:c r="J348" s="17" t="n"/>
      <ns0:c r="K348" s="17" t="n"/>
      <ns0:c r="L348" s="17" t="n"/>
      <ns0:c r="M348" s="17" t="n"/>
      <ns0:c r="N348" s="17" t="n"/>
      <ns0:c r="O348" s="17" t="n"/>
      <ns0:c r="P348" s="17" t="n"/>
      <ns0:c r="Q348" s="17" t="n"/>
      <ns0:c r="R348" s="17" t="n"/>
      <ns0:c r="S348" s="17" t="n"/>
      <ns0:c r="T348" s="17" t="n"/>
      <ns0:c r="U348" s="17" t="n"/>
      <ns0:c r="V348" s="17" t="n"/>
      <ns0:c r="W348" s="17" t="n"/>
      <ns0:c r="X348" s="17" t="n"/>
      <ns0:c r="Y348" s="17" t="n"/>
      <ns0:c r="Z348" s="17" t="n"/>
      <ns0:c r="AA348" s="17" t="n"/>
      <ns0:c r="AB348" s="17" t="n"/>
      <ns0:c r="AC348" s="17" t="n"/>
      <ns0:c r="AD348" s="17" t="n"/>
      <ns0:c r="AE348" s="17" t="n"/>
      <ns0:c r="AF348" s="17" t="n"/>
      <ns0:c r="AG348" s="17" t="n"/>
    </ns0:row>
    <ns0:row r="349" ht="24" customHeight="1">
      <ns0:c r="D349" s="17" t="n"/>
      <ns0:c r="E349" s="17" t="n"/>
      <ns0:c r="F349" s="17" t="n"/>
      <ns0:c r="G349" s="17" t="n"/>
      <ns0:c r="H349" s="17" t="n"/>
      <ns0:c r="I349" s="17" t="n"/>
      <ns0:c r="J349" s="17" t="n"/>
      <ns0:c r="K349" s="17" t="n"/>
      <ns0:c r="L349" s="17" t="n"/>
      <ns0:c r="M349" s="17" t="n"/>
      <ns0:c r="N349" s="17" t="n"/>
      <ns0:c r="O349" s="17" t="n"/>
      <ns0:c r="P349" s="17" t="n"/>
      <ns0:c r="Q349" s="17" t="n"/>
      <ns0:c r="R349" s="17" t="n"/>
      <ns0:c r="S349" s="17" t="n"/>
      <ns0:c r="T349" s="17" t="n"/>
      <ns0:c r="U349" s="17" t="n"/>
      <ns0:c r="V349" s="17" t="n"/>
      <ns0:c r="W349" s="17" t="n"/>
      <ns0:c r="X349" s="17" t="n"/>
      <ns0:c r="Y349" s="17" t="n"/>
      <ns0:c r="Z349" s="17" t="n"/>
      <ns0:c r="AA349" s="17" t="n"/>
      <ns0:c r="AB349" s="17" t="n"/>
      <ns0:c r="AC349" s="17" t="n"/>
      <ns0:c r="AD349" s="17" t="n"/>
      <ns0:c r="AE349" s="17" t="n"/>
      <ns0:c r="AF349" s="17" t="n"/>
      <ns0:c r="AG349" s="17" t="n"/>
    </ns0:row>
    <ns0:row r="350" ht="24" customHeight="1">
      <ns0:c r="D350" s="17" t="n"/>
      <ns0:c r="E350" s="17" t="n"/>
      <ns0:c r="F350" s="17" t="n"/>
      <ns0:c r="G350" s="17" t="n"/>
      <ns0:c r="H350" s="17" t="n"/>
      <ns0:c r="I350" s="17" t="n"/>
      <ns0:c r="J350" s="17" t="n"/>
      <ns0:c r="K350" s="17" t="n"/>
      <ns0:c r="L350" s="17" t="n"/>
      <ns0:c r="M350" s="17" t="n"/>
      <ns0:c r="N350" s="17" t="n"/>
      <ns0:c r="O350" s="17" t="n"/>
      <ns0:c r="P350" s="17" t="n"/>
      <ns0:c r="Q350" s="17" t="n"/>
      <ns0:c r="R350" s="17" t="n"/>
      <ns0:c r="S350" s="17" t="n"/>
      <ns0:c r="T350" s="17" t="n"/>
      <ns0:c r="U350" s="17" t="n"/>
      <ns0:c r="V350" s="17" t="n"/>
      <ns0:c r="W350" s="17" t="n"/>
      <ns0:c r="X350" s="17" t="n"/>
      <ns0:c r="Y350" s="17" t="n"/>
      <ns0:c r="Z350" s="17" t="n"/>
      <ns0:c r="AA350" s="17" t="n"/>
      <ns0:c r="AB350" s="17" t="n"/>
      <ns0:c r="AC350" s="17" t="n"/>
      <ns0:c r="AD350" s="17" t="n"/>
      <ns0:c r="AE350" s="17" t="n"/>
      <ns0:c r="AF350" s="17" t="n"/>
      <ns0:c r="AG350" s="17" t="n"/>
    </ns0:row>
    <ns0:row r="351" ht="24" customHeight="1">
      <ns0:c r="D351" s="17" t="n"/>
      <ns0:c r="E351" s="17" t="n"/>
      <ns0:c r="F351" s="17" t="n"/>
      <ns0:c r="G351" s="17" t="n"/>
      <ns0:c r="H351" s="17" t="n"/>
      <ns0:c r="I351" s="17" t="n"/>
      <ns0:c r="J351" s="17" t="n"/>
      <ns0:c r="K351" s="17" t="n"/>
      <ns0:c r="L351" s="17" t="n"/>
      <ns0:c r="M351" s="17" t="n"/>
      <ns0:c r="N351" s="17" t="n"/>
      <ns0:c r="O351" s="17" t="n"/>
      <ns0:c r="P351" s="17" t="n"/>
      <ns0:c r="Q351" s="17" t="n"/>
      <ns0:c r="R351" s="17" t="n"/>
      <ns0:c r="S351" s="17" t="n"/>
      <ns0:c r="T351" s="17" t="n"/>
      <ns0:c r="U351" s="17" t="n"/>
      <ns0:c r="V351" s="17" t="n"/>
      <ns0:c r="W351" s="17" t="n"/>
      <ns0:c r="X351" s="17" t="n"/>
      <ns0:c r="Y351" s="17" t="n"/>
      <ns0:c r="Z351" s="17" t="n"/>
      <ns0:c r="AA351" s="17" t="n"/>
      <ns0:c r="AB351" s="17" t="n"/>
      <ns0:c r="AC351" s="17" t="n"/>
      <ns0:c r="AD351" s="17" t="n"/>
      <ns0:c r="AE351" s="17" t="n"/>
      <ns0:c r="AF351" s="17" t="n"/>
      <ns0:c r="AG351" s="17" t="n"/>
    </ns0:row>
    <ns0:row r="352" ht="24" customHeight="1">
      <ns0:c r="D352" s="17" t="n"/>
      <ns0:c r="E352" s="17" t="n"/>
      <ns0:c r="F352" s="17" t="n"/>
      <ns0:c r="G352" s="17" t="n"/>
      <ns0:c r="H352" s="17" t="n"/>
      <ns0:c r="I352" s="17" t="n"/>
      <ns0:c r="J352" s="17" t="n"/>
      <ns0:c r="K352" s="17" t="n"/>
      <ns0:c r="L352" s="17" t="n"/>
      <ns0:c r="M352" s="17" t="n"/>
      <ns0:c r="N352" s="17" t="n"/>
      <ns0:c r="O352" s="17" t="n"/>
      <ns0:c r="P352" s="17" t="n"/>
      <ns0:c r="Q352" s="17" t="n"/>
      <ns0:c r="R352" s="17" t="n"/>
      <ns0:c r="S352" s="17" t="n"/>
      <ns0:c r="T352" s="17" t="n"/>
      <ns0:c r="U352" s="17" t="n"/>
      <ns0:c r="V352" s="17" t="n"/>
      <ns0:c r="W352" s="17" t="n"/>
      <ns0:c r="X352" s="17" t="n"/>
      <ns0:c r="Y352" s="17" t="n"/>
      <ns0:c r="Z352" s="17" t="n"/>
      <ns0:c r="AA352" s="17" t="n"/>
      <ns0:c r="AB352" s="17" t="n"/>
      <ns0:c r="AC352" s="17" t="n"/>
      <ns0:c r="AD352" s="17" t="n"/>
      <ns0:c r="AE352" s="17" t="n"/>
      <ns0:c r="AF352" s="17" t="n"/>
      <ns0:c r="AG352" s="17" t="n"/>
    </ns0:row>
    <ns0:row r="353" ht="24" customHeight="1">
      <ns0:c r="D353" s="17" t="n"/>
      <ns0:c r="E353" s="17" t="n"/>
      <ns0:c r="F353" s="17" t="n"/>
      <ns0:c r="G353" s="17" t="n"/>
      <ns0:c r="H353" s="17" t="n"/>
      <ns0:c r="I353" s="17" t="n"/>
      <ns0:c r="J353" s="17" t="n"/>
      <ns0:c r="K353" s="17" t="n"/>
      <ns0:c r="L353" s="17" t="n"/>
      <ns0:c r="M353" s="17" t="n"/>
      <ns0:c r="N353" s="17" t="n"/>
      <ns0:c r="O353" s="17" t="n"/>
      <ns0:c r="P353" s="17" t="n"/>
      <ns0:c r="Q353" s="17" t="n"/>
      <ns0:c r="R353" s="17" t="n"/>
      <ns0:c r="S353" s="17" t="n"/>
      <ns0:c r="T353" s="17" t="n"/>
      <ns0:c r="U353" s="17" t="n"/>
      <ns0:c r="V353" s="17" t="n"/>
      <ns0:c r="W353" s="17" t="n"/>
      <ns0:c r="X353" s="17" t="n"/>
      <ns0:c r="Y353" s="17" t="n"/>
      <ns0:c r="Z353" s="17" t="n"/>
      <ns0:c r="AA353" s="17" t="n"/>
      <ns0:c r="AB353" s="17" t="n"/>
      <ns0:c r="AC353" s="17" t="n"/>
      <ns0:c r="AD353" s="17" t="n"/>
      <ns0:c r="AE353" s="17" t="n"/>
      <ns0:c r="AF353" s="17" t="n"/>
      <ns0:c r="AG353" s="17" t="n"/>
    </ns0:row>
    <ns0:row r="354" ht="24" customHeight="1">
      <ns0:c r="D354" s="17" t="n"/>
      <ns0:c r="E354" s="17" t="n"/>
      <ns0:c r="F354" s="17" t="n"/>
      <ns0:c r="G354" s="17" t="n"/>
      <ns0:c r="H354" s="17" t="n"/>
      <ns0:c r="I354" s="17" t="n"/>
      <ns0:c r="J354" s="17" t="n"/>
      <ns0:c r="K354" s="17" t="n"/>
      <ns0:c r="L354" s="17" t="n"/>
      <ns0:c r="M354" s="17" t="n"/>
      <ns0:c r="N354" s="17" t="n"/>
      <ns0:c r="O354" s="17" t="n"/>
      <ns0:c r="P354" s="17" t="n"/>
      <ns0:c r="Q354" s="17" t="n"/>
      <ns0:c r="R354" s="17" t="n"/>
      <ns0:c r="S354" s="17" t="n"/>
      <ns0:c r="T354" s="17" t="n"/>
      <ns0:c r="U354" s="17" t="n"/>
      <ns0:c r="V354" s="17" t="n"/>
      <ns0:c r="W354" s="17" t="n"/>
      <ns0:c r="X354" s="17" t="n"/>
      <ns0:c r="Y354" s="17" t="n"/>
      <ns0:c r="Z354" s="17" t="n"/>
      <ns0:c r="AA354" s="17" t="n"/>
      <ns0:c r="AB354" s="17" t="n"/>
      <ns0:c r="AC354" s="17" t="n"/>
      <ns0:c r="AD354" s="17" t="n"/>
      <ns0:c r="AE354" s="17" t="n"/>
      <ns0:c r="AF354" s="17" t="n"/>
      <ns0:c r="AG354" s="17" t="n"/>
    </ns0:row>
    <ns0:row r="355" ht="24" customHeight="1">
      <ns0:c r="D355" s="17" t="n"/>
      <ns0:c r="E355" s="17" t="n"/>
      <ns0:c r="F355" s="17" t="n"/>
      <ns0:c r="G355" s="17" t="n"/>
      <ns0:c r="H355" s="17" t="n"/>
      <ns0:c r="I355" s="17" t="n"/>
      <ns0:c r="J355" s="17" t="n"/>
      <ns0:c r="K355" s="17" t="n"/>
      <ns0:c r="L355" s="17" t="n"/>
      <ns0:c r="M355" s="17" t="n"/>
      <ns0:c r="N355" s="17" t="n"/>
      <ns0:c r="O355" s="17" t="n"/>
      <ns0:c r="P355" s="17" t="n"/>
      <ns0:c r="Q355" s="17" t="n"/>
      <ns0:c r="R355" s="17" t="n"/>
      <ns0:c r="S355" s="17" t="n"/>
      <ns0:c r="T355" s="17" t="n"/>
      <ns0:c r="U355" s="17" t="n"/>
      <ns0:c r="V355" s="17" t="n"/>
      <ns0:c r="W355" s="17" t="n"/>
      <ns0:c r="X355" s="17" t="n"/>
      <ns0:c r="Y355" s="17" t="n"/>
      <ns0:c r="Z355" s="17" t="n"/>
      <ns0:c r="AA355" s="17" t="n"/>
      <ns0:c r="AB355" s="17" t="n"/>
      <ns0:c r="AC355" s="17" t="n"/>
      <ns0:c r="AD355" s="17" t="n"/>
      <ns0:c r="AE355" s="17" t="n"/>
      <ns0:c r="AF355" s="17" t="n"/>
      <ns0:c r="AG355" s="17" t="n"/>
    </ns0:row>
    <ns0:row r="356" ht="24" customHeight="1">
      <ns0:c r="D356" s="17" t="n"/>
      <ns0:c r="E356" s="17" t="n"/>
      <ns0:c r="F356" s="17" t="n"/>
      <ns0:c r="G356" s="17" t="n"/>
      <ns0:c r="H356" s="17" t="n"/>
      <ns0:c r="I356" s="17" t="n"/>
      <ns0:c r="J356" s="17" t="n"/>
      <ns0:c r="K356" s="17" t="n"/>
      <ns0:c r="L356" s="17" t="n"/>
      <ns0:c r="M356" s="17" t="n"/>
      <ns0:c r="N356" s="17" t="n"/>
      <ns0:c r="O356" s="17" t="n"/>
      <ns0:c r="P356" s="17" t="n"/>
      <ns0:c r="Q356" s="17" t="n"/>
      <ns0:c r="R356" s="17" t="n"/>
      <ns0:c r="S356" s="17" t="n"/>
      <ns0:c r="T356" s="17" t="n"/>
      <ns0:c r="U356" s="17" t="n"/>
      <ns0:c r="V356" s="17" t="n"/>
      <ns0:c r="W356" s="17" t="n"/>
      <ns0:c r="X356" s="17" t="n"/>
      <ns0:c r="Y356" s="17" t="n"/>
      <ns0:c r="Z356" s="17" t="n"/>
      <ns0:c r="AA356" s="17" t="n"/>
      <ns0:c r="AB356" s="17" t="n"/>
      <ns0:c r="AC356" s="17" t="n"/>
      <ns0:c r="AD356" s="17" t="n"/>
      <ns0:c r="AE356" s="17" t="n"/>
      <ns0:c r="AF356" s="17" t="n"/>
      <ns0:c r="AG356" s="17" t="n"/>
    </ns0:row>
    <ns0:row r="357" ht="24" customHeight="1">
      <ns0:c r="D357" s="17" t="n"/>
      <ns0:c r="E357" s="17" t="n"/>
      <ns0:c r="F357" s="17" t="n"/>
      <ns0:c r="G357" s="17" t="n"/>
      <ns0:c r="H357" s="17" t="n"/>
      <ns0:c r="I357" s="17" t="n"/>
      <ns0:c r="J357" s="17" t="n"/>
      <ns0:c r="K357" s="17" t="n"/>
      <ns0:c r="L357" s="17" t="n"/>
      <ns0:c r="M357" s="17" t="n"/>
      <ns0:c r="N357" s="17" t="n"/>
      <ns0:c r="O357" s="17" t="n"/>
      <ns0:c r="P357" s="17" t="n"/>
      <ns0:c r="Q357" s="17" t="n"/>
      <ns0:c r="R357" s="17" t="n"/>
      <ns0:c r="S357" s="17" t="n"/>
      <ns0:c r="T357" s="17" t="n"/>
      <ns0:c r="U357" s="17" t="n"/>
      <ns0:c r="V357" s="17" t="n"/>
      <ns0:c r="W357" s="17" t="n"/>
      <ns0:c r="X357" s="17" t="n"/>
      <ns0:c r="Y357" s="17" t="n"/>
      <ns0:c r="Z357" s="17" t="n"/>
      <ns0:c r="AA357" s="17" t="n"/>
      <ns0:c r="AB357" s="17" t="n"/>
      <ns0:c r="AC357" s="17" t="n"/>
      <ns0:c r="AD357" s="17" t="n"/>
      <ns0:c r="AE357" s="17" t="n"/>
      <ns0:c r="AF357" s="17" t="n"/>
      <ns0:c r="AG357" s="17" t="n"/>
    </ns0:row>
    <ns0:row r="358" ht="24" customHeight="1">
      <ns0:c r="D358" s="17" t="n"/>
      <ns0:c r="E358" s="17" t="n"/>
      <ns0:c r="F358" s="17" t="n"/>
      <ns0:c r="G358" s="17" t="n"/>
      <ns0:c r="H358" s="17" t="n"/>
      <ns0:c r="I358" s="17" t="n"/>
      <ns0:c r="J358" s="17" t="n"/>
      <ns0:c r="K358" s="17" t="n"/>
      <ns0:c r="L358" s="17" t="n"/>
      <ns0:c r="M358" s="17" t="n"/>
      <ns0:c r="N358" s="17" t="n"/>
      <ns0:c r="O358" s="17" t="n"/>
      <ns0:c r="P358" s="17" t="n"/>
      <ns0:c r="Q358" s="17" t="n"/>
      <ns0:c r="R358" s="17" t="n"/>
      <ns0:c r="S358" s="17" t="n"/>
      <ns0:c r="T358" s="17" t="n"/>
      <ns0:c r="U358" s="17" t="n"/>
      <ns0:c r="V358" s="17" t="n"/>
      <ns0:c r="W358" s="17" t="n"/>
      <ns0:c r="X358" s="17" t="n"/>
      <ns0:c r="Y358" s="17" t="n"/>
      <ns0:c r="Z358" s="17" t="n"/>
      <ns0:c r="AA358" s="17" t="n"/>
      <ns0:c r="AB358" s="17" t="n"/>
      <ns0:c r="AC358" s="17" t="n"/>
      <ns0:c r="AD358" s="17" t="n"/>
      <ns0:c r="AE358" s="17" t="n"/>
      <ns0:c r="AF358" s="17" t="n"/>
      <ns0:c r="AG358" s="17" t="n"/>
    </ns0:row>
    <ns0:row r="359" ht="24" customHeight="1">
      <ns0:c r="D359" s="17" t="n"/>
      <ns0:c r="E359" s="17" t="n"/>
      <ns0:c r="F359" s="17" t="n"/>
      <ns0:c r="G359" s="17" t="n"/>
      <ns0:c r="H359" s="17" t="n"/>
      <ns0:c r="I359" s="17" t="n"/>
      <ns0:c r="J359" s="17" t="n"/>
      <ns0:c r="K359" s="17" t="n"/>
      <ns0:c r="L359" s="17" t="n"/>
      <ns0:c r="M359" s="17" t="n"/>
      <ns0:c r="N359" s="17" t="n"/>
      <ns0:c r="O359" s="17" t="n"/>
      <ns0:c r="P359" s="17" t="n"/>
      <ns0:c r="Q359" s="17" t="n"/>
      <ns0:c r="R359" s="17" t="n"/>
      <ns0:c r="S359" s="17" t="n"/>
      <ns0:c r="T359" s="17" t="n"/>
      <ns0:c r="U359" s="17" t="n"/>
      <ns0:c r="V359" s="17" t="n"/>
      <ns0:c r="W359" s="17" t="n"/>
      <ns0:c r="X359" s="17" t="n"/>
      <ns0:c r="Y359" s="17" t="n"/>
      <ns0:c r="Z359" s="17" t="n"/>
      <ns0:c r="AA359" s="17" t="n"/>
      <ns0:c r="AB359" s="17" t="n"/>
      <ns0:c r="AC359" s="17" t="n"/>
      <ns0:c r="AD359" s="17" t="n"/>
      <ns0:c r="AE359" s="17" t="n"/>
      <ns0:c r="AF359" s="17" t="n"/>
      <ns0:c r="AG359" s="17" t="n"/>
    </ns0:row>
    <ns0:row r="360" ht="24" customHeight="1">
      <ns0:c r="D360" s="17" t="n"/>
      <ns0:c r="E360" s="17" t="n"/>
      <ns0:c r="F360" s="17" t="n"/>
      <ns0:c r="G360" s="17" t="n"/>
      <ns0:c r="H360" s="17" t="n"/>
      <ns0:c r="I360" s="17" t="n"/>
      <ns0:c r="J360" s="17" t="n"/>
      <ns0:c r="K360" s="17" t="n"/>
      <ns0:c r="L360" s="17" t="n"/>
      <ns0:c r="M360" s="17" t="n"/>
      <ns0:c r="N360" s="17" t="n"/>
      <ns0:c r="O360" s="17" t="n"/>
      <ns0:c r="P360" s="17" t="n"/>
      <ns0:c r="Q360" s="17" t="n"/>
      <ns0:c r="R360" s="17" t="n"/>
      <ns0:c r="S360" s="17" t="n"/>
      <ns0:c r="T360" s="17" t="n"/>
      <ns0:c r="U360" s="17" t="n"/>
      <ns0:c r="V360" s="17" t="n"/>
      <ns0:c r="W360" s="17" t="n"/>
      <ns0:c r="X360" s="17" t="n"/>
      <ns0:c r="Y360" s="17" t="n"/>
      <ns0:c r="Z360" s="17" t="n"/>
      <ns0:c r="AA360" s="17" t="n"/>
      <ns0:c r="AB360" s="17" t="n"/>
      <ns0:c r="AC360" s="17" t="n"/>
      <ns0:c r="AD360" s="17" t="n"/>
      <ns0:c r="AE360" s="17" t="n"/>
      <ns0:c r="AF360" s="17" t="n"/>
      <ns0:c r="AG360" s="17" t="n"/>
    </ns0:row>
    <ns0:row r="361" ht="24" customHeight="1">
      <ns0:c r="D361" s="17" t="n"/>
      <ns0:c r="E361" s="17" t="n"/>
      <ns0:c r="F361" s="17" t="n"/>
      <ns0:c r="G361" s="17" t="n"/>
      <ns0:c r="H361" s="17" t="n"/>
      <ns0:c r="I361" s="17" t="n"/>
      <ns0:c r="J361" s="17" t="n"/>
      <ns0:c r="K361" s="17" t="n"/>
      <ns0:c r="L361" s="17" t="n"/>
      <ns0:c r="M361" s="17" t="n"/>
      <ns0:c r="N361" s="17" t="n"/>
      <ns0:c r="O361" s="17" t="n"/>
      <ns0:c r="P361" s="17" t="n"/>
      <ns0:c r="Q361" s="17" t="n"/>
      <ns0:c r="R361" s="17" t="n"/>
      <ns0:c r="S361" s="17" t="n"/>
      <ns0:c r="T361" s="17" t="n"/>
      <ns0:c r="U361" s="17" t="n"/>
      <ns0:c r="V361" s="17" t="n"/>
      <ns0:c r="W361" s="17" t="n"/>
      <ns0:c r="X361" s="17" t="n"/>
      <ns0:c r="Y361" s="17" t="n"/>
      <ns0:c r="Z361" s="17" t="n"/>
      <ns0:c r="AA361" s="17" t="n"/>
      <ns0:c r="AB361" s="17" t="n"/>
      <ns0:c r="AC361" s="17" t="n"/>
      <ns0:c r="AD361" s="17" t="n"/>
      <ns0:c r="AE361" s="17" t="n"/>
      <ns0:c r="AF361" s="17" t="n"/>
      <ns0:c r="AG361" s="17" t="n"/>
    </ns0:row>
    <ns0:row r="362" ht="24" customHeight="1">
      <ns0:c r="D362" s="17" t="n"/>
      <ns0:c r="E362" s="17" t="n"/>
      <ns0:c r="F362" s="17" t="n"/>
      <ns0:c r="G362" s="17" t="n"/>
      <ns0:c r="H362" s="17" t="n"/>
      <ns0:c r="I362" s="17" t="n"/>
      <ns0:c r="J362" s="17" t="n"/>
      <ns0:c r="K362" s="17" t="n"/>
      <ns0:c r="L362" s="17" t="n"/>
      <ns0:c r="M362" s="17" t="n"/>
      <ns0:c r="N362" s="17" t="n"/>
      <ns0:c r="O362" s="17" t="n"/>
      <ns0:c r="P362" s="17" t="n"/>
      <ns0:c r="Q362" s="17" t="n"/>
      <ns0:c r="R362" s="17" t="n"/>
      <ns0:c r="S362" s="17" t="n"/>
      <ns0:c r="T362" s="17" t="n"/>
      <ns0:c r="U362" s="17" t="n"/>
      <ns0:c r="V362" s="17" t="n"/>
      <ns0:c r="W362" s="17" t="n"/>
      <ns0:c r="X362" s="17" t="n"/>
      <ns0:c r="Y362" s="17" t="n"/>
      <ns0:c r="Z362" s="17" t="n"/>
      <ns0:c r="AA362" s="17" t="n"/>
      <ns0:c r="AB362" s="17" t="n"/>
      <ns0:c r="AC362" s="17" t="n"/>
      <ns0:c r="AD362" s="17" t="n"/>
      <ns0:c r="AE362" s="17" t="n"/>
      <ns0:c r="AF362" s="17" t="n"/>
      <ns0:c r="AG362" s="17" t="n"/>
    </ns0:row>
    <ns0:row r="363" ht="24" customHeight="1">
      <ns0:c r="D363" s="17" t="n"/>
      <ns0:c r="E363" s="17" t="n"/>
      <ns0:c r="F363" s="17" t="n"/>
      <ns0:c r="G363" s="17" t="n"/>
      <ns0:c r="H363" s="17" t="n"/>
      <ns0:c r="I363" s="17" t="n"/>
      <ns0:c r="J363" s="17" t="n"/>
      <ns0:c r="K363" s="17" t="n"/>
      <ns0:c r="L363" s="17" t="n"/>
      <ns0:c r="M363" s="17" t="n"/>
      <ns0:c r="N363" s="17" t="n"/>
      <ns0:c r="O363" s="17" t="n"/>
      <ns0:c r="P363" s="17" t="n"/>
      <ns0:c r="Q363" s="17" t="n"/>
      <ns0:c r="R363" s="17" t="n"/>
      <ns0:c r="S363" s="17" t="n"/>
      <ns0:c r="T363" s="17" t="n"/>
      <ns0:c r="U363" s="17" t="n"/>
      <ns0:c r="V363" s="17" t="n"/>
      <ns0:c r="W363" s="17" t="n"/>
      <ns0:c r="X363" s="17" t="n"/>
      <ns0:c r="Y363" s="17" t="n"/>
      <ns0:c r="Z363" s="17" t="n"/>
      <ns0:c r="AA363" s="17" t="n"/>
      <ns0:c r="AB363" s="17" t="n"/>
      <ns0:c r="AC363" s="17" t="n"/>
      <ns0:c r="AD363" s="17" t="n"/>
      <ns0:c r="AE363" s="17" t="n"/>
      <ns0:c r="AF363" s="17" t="n"/>
      <ns0:c r="AG363" s="17" t="n"/>
    </ns0:row>
    <ns0:row r="364" ht="24" customHeight="1">
      <ns0:c r="D364" s="17" t="n"/>
      <ns0:c r="E364" s="17" t="n"/>
      <ns0:c r="F364" s="17" t="n"/>
      <ns0:c r="G364" s="17" t="n"/>
      <ns0:c r="H364" s="17" t="n"/>
      <ns0:c r="I364" s="17" t="n"/>
      <ns0:c r="J364" s="17" t="n"/>
      <ns0:c r="K364" s="17" t="n"/>
      <ns0:c r="L364" s="17" t="n"/>
      <ns0:c r="M364" s="17" t="n"/>
      <ns0:c r="N364" s="17" t="n"/>
      <ns0:c r="O364" s="17" t="n"/>
      <ns0:c r="P364" s="17" t="n"/>
      <ns0:c r="Q364" s="17" t="n"/>
      <ns0:c r="R364" s="17" t="n"/>
      <ns0:c r="S364" s="17" t="n"/>
      <ns0:c r="T364" s="17" t="n"/>
      <ns0:c r="U364" s="17" t="n"/>
      <ns0:c r="V364" s="17" t="n"/>
      <ns0:c r="W364" s="17" t="n"/>
      <ns0:c r="X364" s="17" t="n"/>
      <ns0:c r="Y364" s="17" t="n"/>
      <ns0:c r="Z364" s="17" t="n"/>
      <ns0:c r="AA364" s="17" t="n"/>
      <ns0:c r="AB364" s="17" t="n"/>
      <ns0:c r="AC364" s="17" t="n"/>
      <ns0:c r="AD364" s="17" t="n"/>
      <ns0:c r="AE364" s="17" t="n"/>
      <ns0:c r="AF364" s="17" t="n"/>
      <ns0:c r="AG364" s="17" t="n"/>
    </ns0:row>
    <ns0:row r="365" ht="24" customHeight="1">
      <ns0:c r="D365" s="17" t="n"/>
      <ns0:c r="E365" s="17" t="n"/>
      <ns0:c r="F365" s="17" t="n"/>
      <ns0:c r="G365" s="17" t="n"/>
      <ns0:c r="H365" s="17" t="n"/>
      <ns0:c r="I365" s="17" t="n"/>
      <ns0:c r="J365" s="17" t="n"/>
      <ns0:c r="K365" s="17" t="n"/>
      <ns0:c r="L365" s="17" t="n"/>
      <ns0:c r="M365" s="17" t="n"/>
      <ns0:c r="N365" s="17" t="n"/>
      <ns0:c r="O365" s="17" t="n"/>
      <ns0:c r="P365" s="17" t="n"/>
      <ns0:c r="Q365" s="17" t="n"/>
      <ns0:c r="R365" s="17" t="n"/>
      <ns0:c r="S365" s="17" t="n"/>
      <ns0:c r="T365" s="17" t="n"/>
      <ns0:c r="U365" s="17" t="n"/>
      <ns0:c r="V365" s="17" t="n"/>
      <ns0:c r="W365" s="17" t="n"/>
      <ns0:c r="X365" s="17" t="n"/>
      <ns0:c r="Y365" s="17" t="n"/>
      <ns0:c r="Z365" s="17" t="n"/>
      <ns0:c r="AA365" s="17" t="n"/>
      <ns0:c r="AB365" s="17" t="n"/>
      <ns0:c r="AC365" s="17" t="n"/>
      <ns0:c r="AD365" s="17" t="n"/>
      <ns0:c r="AE365" s="17" t="n"/>
      <ns0:c r="AF365" s="17" t="n"/>
      <ns0:c r="AG365" s="17" t="n"/>
    </ns0:row>
    <ns0:row r="366" ht="24" customHeight="1">
      <ns0:c r="D366" s="17" t="n"/>
      <ns0:c r="E366" s="17" t="n"/>
      <ns0:c r="F366" s="17" t="n"/>
      <ns0:c r="G366" s="17" t="n"/>
      <ns0:c r="H366" s="17" t="n"/>
      <ns0:c r="I366" s="17" t="n"/>
      <ns0:c r="J366" s="17" t="n"/>
      <ns0:c r="K366" s="17" t="n"/>
      <ns0:c r="L366" s="17" t="n"/>
      <ns0:c r="M366" s="17" t="n"/>
      <ns0:c r="N366" s="17" t="n"/>
      <ns0:c r="O366" s="17" t="n"/>
      <ns0:c r="P366" s="17" t="n"/>
      <ns0:c r="Q366" s="17" t="n"/>
      <ns0:c r="R366" s="17" t="n"/>
      <ns0:c r="S366" s="17" t="n"/>
      <ns0:c r="T366" s="17" t="n"/>
      <ns0:c r="U366" s="17" t="n"/>
      <ns0:c r="V366" s="17" t="n"/>
      <ns0:c r="W366" s="17" t="n"/>
      <ns0:c r="X366" s="17" t="n"/>
      <ns0:c r="Y366" s="17" t="n"/>
      <ns0:c r="Z366" s="17" t="n"/>
      <ns0:c r="AA366" s="17" t="n"/>
      <ns0:c r="AB366" s="17" t="n"/>
      <ns0:c r="AC366" s="17" t="n"/>
      <ns0:c r="AD366" s="17" t="n"/>
      <ns0:c r="AE366" s="17" t="n"/>
      <ns0:c r="AF366" s="17" t="n"/>
      <ns0:c r="AG366" s="17" t="n"/>
    </ns0:row>
    <ns0:row r="367" ht="24" customHeight="1">
      <ns0:c r="D367" s="17" t="n"/>
      <ns0:c r="E367" s="17" t="n"/>
      <ns0:c r="F367" s="17" t="n"/>
      <ns0:c r="G367" s="17" t="n"/>
      <ns0:c r="H367" s="17" t="n"/>
      <ns0:c r="I367" s="17" t="n"/>
      <ns0:c r="J367" s="17" t="n"/>
      <ns0:c r="K367" s="17" t="n"/>
      <ns0:c r="L367" s="17" t="n"/>
      <ns0:c r="M367" s="17" t="n"/>
      <ns0:c r="N367" s="17" t="n"/>
      <ns0:c r="O367" s="17" t="n"/>
      <ns0:c r="P367" s="17" t="n"/>
      <ns0:c r="Q367" s="17" t="n"/>
      <ns0:c r="R367" s="17" t="n"/>
      <ns0:c r="S367" s="17" t="n"/>
      <ns0:c r="T367" s="17" t="n"/>
      <ns0:c r="U367" s="17" t="n"/>
      <ns0:c r="V367" s="17" t="n"/>
      <ns0:c r="W367" s="17" t="n"/>
      <ns0:c r="X367" s="17" t="n"/>
      <ns0:c r="Y367" s="17" t="n"/>
      <ns0:c r="Z367" s="17" t="n"/>
      <ns0:c r="AA367" s="17" t="n"/>
      <ns0:c r="AB367" s="17" t="n"/>
      <ns0:c r="AC367" s="17" t="n"/>
      <ns0:c r="AD367" s="17" t="n"/>
      <ns0:c r="AE367" s="17" t="n"/>
      <ns0:c r="AF367" s="17" t="n"/>
      <ns0:c r="AG367" s="17" t="n"/>
    </ns0:row>
    <ns0:row r="368" ht="24" customHeight="1">
      <ns0:c r="D368" s="17" t="n"/>
      <ns0:c r="E368" s="17" t="n"/>
      <ns0:c r="F368" s="17" t="n"/>
      <ns0:c r="G368" s="17" t="n"/>
      <ns0:c r="H368" s="17" t="n"/>
      <ns0:c r="I368" s="17" t="n"/>
      <ns0:c r="J368" s="17" t="n"/>
      <ns0:c r="K368" s="17" t="n"/>
      <ns0:c r="L368" s="17" t="n"/>
      <ns0:c r="M368" s="17" t="n"/>
      <ns0:c r="N368" s="17" t="n"/>
      <ns0:c r="O368" s="17" t="n"/>
      <ns0:c r="P368" s="17" t="n"/>
      <ns0:c r="Q368" s="17" t="n"/>
      <ns0:c r="R368" s="17" t="n"/>
      <ns0:c r="S368" s="17" t="n"/>
      <ns0:c r="T368" s="17" t="n"/>
      <ns0:c r="U368" s="17" t="n"/>
      <ns0:c r="V368" s="17" t="n"/>
      <ns0:c r="W368" s="17" t="n"/>
      <ns0:c r="X368" s="17" t="n"/>
      <ns0:c r="Y368" s="17" t="n"/>
      <ns0:c r="Z368" s="17" t="n"/>
      <ns0:c r="AA368" s="17" t="n"/>
      <ns0:c r="AB368" s="17" t="n"/>
      <ns0:c r="AC368" s="17" t="n"/>
      <ns0:c r="AD368" s="17" t="n"/>
      <ns0:c r="AE368" s="17" t="n"/>
      <ns0:c r="AF368" s="17" t="n"/>
      <ns0:c r="AG368" s="17" t="n"/>
    </ns0:row>
    <ns0:row r="369" ht="24" customHeight="1">
      <ns0:c r="D369" s="17" t="n"/>
      <ns0:c r="E369" s="17" t="n"/>
      <ns0:c r="F369" s="17" t="n"/>
      <ns0:c r="G369" s="17" t="n"/>
      <ns0:c r="H369" s="17" t="n"/>
      <ns0:c r="I369" s="17" t="n"/>
      <ns0:c r="J369" s="17" t="n"/>
      <ns0:c r="K369" s="17" t="n"/>
      <ns0:c r="L369" s="17" t="n"/>
      <ns0:c r="M369" s="17" t="n"/>
      <ns0:c r="N369" s="17" t="n"/>
      <ns0:c r="O369" s="17" t="n"/>
      <ns0:c r="P369" s="17" t="n"/>
      <ns0:c r="Q369" s="17" t="n"/>
      <ns0:c r="R369" s="17" t="n"/>
      <ns0:c r="S369" s="17" t="n"/>
      <ns0:c r="T369" s="17" t="n"/>
      <ns0:c r="U369" s="17" t="n"/>
      <ns0:c r="V369" s="17" t="n"/>
      <ns0:c r="W369" s="17" t="n"/>
      <ns0:c r="X369" s="17" t="n"/>
      <ns0:c r="Y369" s="17" t="n"/>
      <ns0:c r="Z369" s="17" t="n"/>
      <ns0:c r="AA369" s="17" t="n"/>
      <ns0:c r="AB369" s="17" t="n"/>
      <ns0:c r="AC369" s="17" t="n"/>
      <ns0:c r="AD369" s="17" t="n"/>
      <ns0:c r="AE369" s="17" t="n"/>
      <ns0:c r="AF369" s="17" t="n"/>
      <ns0:c r="AG369" s="17" t="n"/>
    </ns0:row>
    <ns0:row r="370" ht="24" customHeight="1">
      <ns0:c r="D370" s="17" t="n"/>
      <ns0:c r="E370" s="17" t="n"/>
      <ns0:c r="F370" s="17" t="n"/>
      <ns0:c r="G370" s="17" t="n"/>
      <ns0:c r="H370" s="17" t="n"/>
      <ns0:c r="I370" s="17" t="n"/>
      <ns0:c r="J370" s="17" t="n"/>
      <ns0:c r="K370" s="17" t="n"/>
      <ns0:c r="L370" s="17" t="n"/>
      <ns0:c r="M370" s="17" t="n"/>
      <ns0:c r="N370" s="17" t="n"/>
      <ns0:c r="O370" s="17" t="n"/>
      <ns0:c r="P370" s="17" t="n"/>
      <ns0:c r="Q370" s="17" t="n"/>
      <ns0:c r="R370" s="17" t="n"/>
      <ns0:c r="S370" s="17" t="n"/>
      <ns0:c r="T370" s="17" t="n"/>
      <ns0:c r="U370" s="17" t="n"/>
      <ns0:c r="V370" s="17" t="n"/>
      <ns0:c r="W370" s="17" t="n"/>
      <ns0:c r="X370" s="17" t="n"/>
      <ns0:c r="Y370" s="17" t="n"/>
      <ns0:c r="Z370" s="17" t="n"/>
      <ns0:c r="AA370" s="17" t="n"/>
      <ns0:c r="AB370" s="17" t="n"/>
      <ns0:c r="AC370" s="17" t="n"/>
      <ns0:c r="AD370" s="17" t="n"/>
      <ns0:c r="AE370" s="17" t="n"/>
      <ns0:c r="AF370" s="17" t="n"/>
      <ns0:c r="AG370" s="17" t="n"/>
    </ns0:row>
    <ns0:row r="371" ht="24" customHeight="1">
      <ns0:c r="D371" s="17" t="n"/>
      <ns0:c r="E371" s="17" t="n"/>
      <ns0:c r="F371" s="17" t="n"/>
      <ns0:c r="G371" s="17" t="n"/>
      <ns0:c r="H371" s="17" t="n"/>
      <ns0:c r="I371" s="17" t="n"/>
      <ns0:c r="J371" s="17" t="n"/>
      <ns0:c r="K371" s="17" t="n"/>
      <ns0:c r="L371" s="17" t="n"/>
      <ns0:c r="M371" s="17" t="n"/>
      <ns0:c r="N371" s="17" t="n"/>
      <ns0:c r="O371" s="17" t="n"/>
      <ns0:c r="P371" s="17" t="n"/>
      <ns0:c r="Q371" s="17" t="n"/>
      <ns0:c r="R371" s="17" t="n"/>
      <ns0:c r="S371" s="17" t="n"/>
      <ns0:c r="T371" s="17" t="n"/>
      <ns0:c r="U371" s="17" t="n"/>
      <ns0:c r="V371" s="17" t="n"/>
      <ns0:c r="W371" s="17" t="n"/>
      <ns0:c r="X371" s="17" t="n"/>
      <ns0:c r="Y371" s="17" t="n"/>
      <ns0:c r="Z371" s="17" t="n"/>
      <ns0:c r="AA371" s="17" t="n"/>
      <ns0:c r="AB371" s="17" t="n"/>
      <ns0:c r="AC371" s="17" t="n"/>
      <ns0:c r="AD371" s="17" t="n"/>
      <ns0:c r="AE371" s="17" t="n"/>
      <ns0:c r="AF371" s="17" t="n"/>
      <ns0:c r="AG371" s="17" t="n"/>
    </ns0:row>
    <ns0:row r="372" ht="24" customHeight="1">
      <ns0:c r="D372" s="17" t="n"/>
      <ns0:c r="E372" s="17" t="n"/>
      <ns0:c r="F372" s="17" t="n"/>
      <ns0:c r="G372" s="17" t="n"/>
      <ns0:c r="H372" s="17" t="n"/>
      <ns0:c r="I372" s="17" t="n"/>
      <ns0:c r="J372" s="17" t="n"/>
      <ns0:c r="K372" s="17" t="n"/>
      <ns0:c r="L372" s="17" t="n"/>
      <ns0:c r="M372" s="17" t="n"/>
      <ns0:c r="N372" s="17" t="n"/>
      <ns0:c r="O372" s="17" t="n"/>
      <ns0:c r="P372" s="17" t="n"/>
      <ns0:c r="Q372" s="17" t="n"/>
      <ns0:c r="R372" s="17" t="n"/>
      <ns0:c r="S372" s="17" t="n"/>
      <ns0:c r="T372" s="17" t="n"/>
      <ns0:c r="U372" s="17" t="n"/>
      <ns0:c r="V372" s="17" t="n"/>
      <ns0:c r="W372" s="17" t="n"/>
      <ns0:c r="X372" s="17" t="n"/>
      <ns0:c r="Y372" s="17" t="n"/>
      <ns0:c r="Z372" s="17" t="n"/>
      <ns0:c r="AA372" s="17" t="n"/>
      <ns0:c r="AB372" s="17" t="n"/>
      <ns0:c r="AC372" s="17" t="n"/>
      <ns0:c r="AD372" s="17" t="n"/>
      <ns0:c r="AE372" s="17" t="n"/>
      <ns0:c r="AF372" s="17" t="n"/>
      <ns0:c r="AG372" s="17" t="n"/>
    </ns0:row>
    <ns0:row r="373" ht="24" customHeight="1">
      <ns0:c r="D373" s="17" t="n"/>
      <ns0:c r="E373" s="17" t="n"/>
      <ns0:c r="F373" s="17" t="n"/>
      <ns0:c r="G373" s="17" t="n"/>
      <ns0:c r="H373" s="17" t="n"/>
      <ns0:c r="I373" s="17" t="n"/>
      <ns0:c r="J373" s="17" t="n"/>
      <ns0:c r="K373" s="17" t="n"/>
      <ns0:c r="L373" s="17" t="n"/>
      <ns0:c r="M373" s="17" t="n"/>
      <ns0:c r="N373" s="17" t="n"/>
      <ns0:c r="O373" s="17" t="n"/>
      <ns0:c r="P373" s="17" t="n"/>
      <ns0:c r="Q373" s="17" t="n"/>
      <ns0:c r="R373" s="17" t="n"/>
      <ns0:c r="S373" s="17" t="n"/>
      <ns0:c r="T373" s="17" t="n"/>
      <ns0:c r="U373" s="17" t="n"/>
      <ns0:c r="V373" s="17" t="n"/>
      <ns0:c r="W373" s="17" t="n"/>
      <ns0:c r="X373" s="17" t="n"/>
      <ns0:c r="Y373" s="17" t="n"/>
      <ns0:c r="Z373" s="17" t="n"/>
      <ns0:c r="AA373" s="17" t="n"/>
      <ns0:c r="AB373" s="17" t="n"/>
      <ns0:c r="AC373" s="17" t="n"/>
      <ns0:c r="AD373" s="17" t="n"/>
      <ns0:c r="AE373" s="17" t="n"/>
      <ns0:c r="AF373" s="17" t="n"/>
      <ns0:c r="AG373" s="17" t="n"/>
    </ns0:row>
    <ns0:row r="374" ht="24" customHeight="1">
      <ns0:c r="D374" s="17" t="n"/>
      <ns0:c r="E374" s="17" t="n"/>
      <ns0:c r="F374" s="17" t="n"/>
      <ns0:c r="G374" s="17" t="n"/>
      <ns0:c r="H374" s="17" t="n"/>
      <ns0:c r="I374" s="17" t="n"/>
      <ns0:c r="J374" s="17" t="n"/>
      <ns0:c r="K374" s="17" t="n"/>
      <ns0:c r="L374" s="17" t="n"/>
      <ns0:c r="M374" s="17" t="n"/>
      <ns0:c r="N374" s="17" t="n"/>
      <ns0:c r="O374" s="17" t="n"/>
      <ns0:c r="P374" s="17" t="n"/>
      <ns0:c r="Q374" s="17" t="n"/>
      <ns0:c r="R374" s="17" t="n"/>
      <ns0:c r="S374" s="17" t="n"/>
      <ns0:c r="T374" s="17" t="n"/>
      <ns0:c r="U374" s="17" t="n"/>
      <ns0:c r="V374" s="17" t="n"/>
      <ns0:c r="W374" s="17" t="n"/>
      <ns0:c r="X374" s="17" t="n"/>
      <ns0:c r="Y374" s="17" t="n"/>
      <ns0:c r="Z374" s="17" t="n"/>
      <ns0:c r="AA374" s="17" t="n"/>
      <ns0:c r="AB374" s="17" t="n"/>
      <ns0:c r="AC374" s="17" t="n"/>
      <ns0:c r="AD374" s="17" t="n"/>
      <ns0:c r="AE374" s="17" t="n"/>
      <ns0:c r="AF374" s="17" t="n"/>
      <ns0:c r="AG374" s="17" t="n"/>
    </ns0:row>
    <ns0:row r="375" ht="24" customHeight="1">
      <ns0:c r="D375" s="17" t="n"/>
      <ns0:c r="E375" s="17" t="n"/>
      <ns0:c r="F375" s="17" t="n"/>
      <ns0:c r="G375" s="17" t="n"/>
      <ns0:c r="H375" s="17" t="n"/>
      <ns0:c r="I375" s="17" t="n"/>
      <ns0:c r="J375" s="17" t="n"/>
      <ns0:c r="K375" s="17" t="n"/>
      <ns0:c r="L375" s="17" t="n"/>
      <ns0:c r="M375" s="17" t="n"/>
      <ns0:c r="N375" s="17" t="n"/>
      <ns0:c r="O375" s="17" t="n"/>
      <ns0:c r="P375" s="17" t="n"/>
      <ns0:c r="Q375" s="17" t="n"/>
      <ns0:c r="R375" s="17" t="n"/>
      <ns0:c r="S375" s="17" t="n"/>
      <ns0:c r="T375" s="17" t="n"/>
      <ns0:c r="U375" s="17" t="n"/>
      <ns0:c r="V375" s="17" t="n"/>
      <ns0:c r="W375" s="17" t="n"/>
      <ns0:c r="X375" s="17" t="n"/>
      <ns0:c r="Y375" s="17" t="n"/>
      <ns0:c r="Z375" s="17" t="n"/>
      <ns0:c r="AA375" s="17" t="n"/>
      <ns0:c r="AB375" s="17" t="n"/>
      <ns0:c r="AC375" s="17" t="n"/>
      <ns0:c r="AD375" s="17" t="n"/>
      <ns0:c r="AE375" s="17" t="n"/>
      <ns0:c r="AF375" s="17" t="n"/>
      <ns0:c r="AG375" s="17" t="n"/>
    </ns0:row>
    <ns0:row r="376" ht="24" customHeight="1">
      <ns0:c r="D376" s="17" t="n"/>
      <ns0:c r="E376" s="17" t="n"/>
      <ns0:c r="F376" s="17" t="n"/>
      <ns0:c r="G376" s="17" t="n"/>
      <ns0:c r="H376" s="17" t="n"/>
      <ns0:c r="I376" s="17" t="n"/>
      <ns0:c r="J376" s="17" t="n"/>
      <ns0:c r="K376" s="17" t="n"/>
      <ns0:c r="L376" s="17" t="n"/>
      <ns0:c r="M376" s="17" t="n"/>
      <ns0:c r="N376" s="17" t="n"/>
      <ns0:c r="O376" s="17" t="n"/>
      <ns0:c r="P376" s="17" t="n"/>
      <ns0:c r="Q376" s="17" t="n"/>
      <ns0:c r="R376" s="17" t="n"/>
      <ns0:c r="S376" s="17" t="n"/>
      <ns0:c r="T376" s="17" t="n"/>
      <ns0:c r="U376" s="17" t="n"/>
      <ns0:c r="V376" s="17" t="n"/>
      <ns0:c r="W376" s="17" t="n"/>
      <ns0:c r="X376" s="17" t="n"/>
      <ns0:c r="Y376" s="17" t="n"/>
      <ns0:c r="Z376" s="17" t="n"/>
      <ns0:c r="AA376" s="17" t="n"/>
      <ns0:c r="AB376" s="17" t="n"/>
      <ns0:c r="AC376" s="17" t="n"/>
      <ns0:c r="AD376" s="17" t="n"/>
      <ns0:c r="AE376" s="17" t="n"/>
      <ns0:c r="AF376" s="17" t="n"/>
      <ns0:c r="AG376" s="17" t="n"/>
    </ns0:row>
    <ns0:row r="377" ht="24" customHeight="1">
      <ns0:c r="D377" s="17" t="n"/>
      <ns0:c r="E377" s="17" t="n"/>
      <ns0:c r="F377" s="17" t="n"/>
      <ns0:c r="G377" s="17" t="n"/>
      <ns0:c r="H377" s="17" t="n"/>
      <ns0:c r="I377" s="17" t="n"/>
      <ns0:c r="J377" s="17" t="n"/>
      <ns0:c r="K377" s="17" t="n"/>
      <ns0:c r="L377" s="17" t="n"/>
      <ns0:c r="M377" s="17" t="n"/>
      <ns0:c r="N377" s="17" t="n"/>
      <ns0:c r="O377" s="17" t="n"/>
      <ns0:c r="P377" s="17" t="n"/>
      <ns0:c r="Q377" s="17" t="n"/>
      <ns0:c r="R377" s="17" t="n"/>
      <ns0:c r="S377" s="17" t="n"/>
      <ns0:c r="T377" s="17" t="n"/>
      <ns0:c r="U377" s="17" t="n"/>
      <ns0:c r="V377" s="17" t="n"/>
      <ns0:c r="W377" s="17" t="n"/>
      <ns0:c r="X377" s="17" t="n"/>
      <ns0:c r="Y377" s="17" t="n"/>
      <ns0:c r="Z377" s="17" t="n"/>
      <ns0:c r="AA377" s="17" t="n"/>
      <ns0:c r="AB377" s="17" t="n"/>
      <ns0:c r="AC377" s="17" t="n"/>
      <ns0:c r="AD377" s="17" t="n"/>
      <ns0:c r="AE377" s="17" t="n"/>
      <ns0:c r="AF377" s="17" t="n"/>
      <ns0:c r="AG377" s="17" t="n"/>
    </ns0:row>
    <ns0:row r="378" ht="24" customHeight="1">
      <ns0:c r="D378" s="17" t="n"/>
      <ns0:c r="E378" s="17" t="n"/>
      <ns0:c r="F378" s="17" t="n"/>
      <ns0:c r="G378" s="17" t="n"/>
      <ns0:c r="H378" s="17" t="n"/>
      <ns0:c r="I378" s="17" t="n"/>
      <ns0:c r="J378" s="17" t="n"/>
      <ns0:c r="K378" s="17" t="n"/>
      <ns0:c r="L378" s="17" t="n"/>
      <ns0:c r="M378" s="17" t="n"/>
      <ns0:c r="N378" s="17" t="n"/>
      <ns0:c r="O378" s="17" t="n"/>
      <ns0:c r="P378" s="17" t="n"/>
      <ns0:c r="Q378" s="17" t="n"/>
      <ns0:c r="R378" s="17" t="n"/>
      <ns0:c r="S378" s="17" t="n"/>
      <ns0:c r="T378" s="17" t="n"/>
      <ns0:c r="U378" s="17" t="n"/>
      <ns0:c r="V378" s="17" t="n"/>
      <ns0:c r="W378" s="17" t="n"/>
      <ns0:c r="X378" s="17" t="n"/>
      <ns0:c r="Y378" s="17" t="n"/>
      <ns0:c r="Z378" s="17" t="n"/>
      <ns0:c r="AA378" s="17" t="n"/>
      <ns0:c r="AB378" s="17" t="n"/>
      <ns0:c r="AC378" s="17" t="n"/>
      <ns0:c r="AD378" s="17" t="n"/>
      <ns0:c r="AE378" s="17" t="n"/>
      <ns0:c r="AF378" s="17" t="n"/>
      <ns0:c r="AG378" s="17" t="n"/>
    </ns0:row>
    <ns0:row r="379" ht="24" customHeight="1">
      <ns0:c r="D379" s="17" t="n"/>
      <ns0:c r="E379" s="17" t="n"/>
      <ns0:c r="F379" s="17" t="n"/>
      <ns0:c r="G379" s="17" t="n"/>
      <ns0:c r="H379" s="17" t="n"/>
      <ns0:c r="I379" s="17" t="n"/>
      <ns0:c r="J379" s="17" t="n"/>
      <ns0:c r="K379" s="17" t="n"/>
      <ns0:c r="L379" s="17" t="n"/>
      <ns0:c r="M379" s="17" t="n"/>
      <ns0:c r="N379" s="17" t="n"/>
      <ns0:c r="O379" s="17" t="n"/>
      <ns0:c r="P379" s="17" t="n"/>
      <ns0:c r="Q379" s="17" t="n"/>
      <ns0:c r="R379" s="17" t="n"/>
      <ns0:c r="S379" s="17" t="n"/>
      <ns0:c r="T379" s="17" t="n"/>
      <ns0:c r="U379" s="17" t="n"/>
      <ns0:c r="V379" s="17" t="n"/>
      <ns0:c r="W379" s="17" t="n"/>
      <ns0:c r="X379" s="17" t="n"/>
      <ns0:c r="Y379" s="17" t="n"/>
      <ns0:c r="Z379" s="17" t="n"/>
      <ns0:c r="AA379" s="17" t="n"/>
      <ns0:c r="AB379" s="17" t="n"/>
      <ns0:c r="AC379" s="17" t="n"/>
      <ns0:c r="AD379" s="17" t="n"/>
      <ns0:c r="AE379" s="17" t="n"/>
      <ns0:c r="AF379" s="17" t="n"/>
      <ns0:c r="AG379" s="17" t="n"/>
    </ns0:row>
    <ns0:row r="380" ht="24" customHeight="1">
      <ns0:c r="D380" s="17" t="n"/>
      <ns0:c r="E380" s="17" t="n"/>
      <ns0:c r="F380" s="17" t="n"/>
      <ns0:c r="G380" s="17" t="n"/>
      <ns0:c r="H380" s="17" t="n"/>
      <ns0:c r="I380" s="17" t="n"/>
      <ns0:c r="J380" s="17" t="n"/>
      <ns0:c r="K380" s="17" t="n"/>
      <ns0:c r="L380" s="17" t="n"/>
      <ns0:c r="M380" s="17" t="n"/>
      <ns0:c r="N380" s="17" t="n"/>
      <ns0:c r="O380" s="17" t="n"/>
      <ns0:c r="P380" s="17" t="n"/>
      <ns0:c r="Q380" s="17" t="n"/>
      <ns0:c r="R380" s="17" t="n"/>
      <ns0:c r="S380" s="17" t="n"/>
      <ns0:c r="T380" s="17" t="n"/>
      <ns0:c r="U380" s="17" t="n"/>
      <ns0:c r="V380" s="17" t="n"/>
      <ns0:c r="W380" s="17" t="n"/>
      <ns0:c r="X380" s="17" t="n"/>
      <ns0:c r="Y380" s="17" t="n"/>
      <ns0:c r="Z380" s="17" t="n"/>
      <ns0:c r="AA380" s="17" t="n"/>
      <ns0:c r="AB380" s="17" t="n"/>
      <ns0:c r="AC380" s="17" t="n"/>
      <ns0:c r="AD380" s="17" t="n"/>
      <ns0:c r="AE380" s="17" t="n"/>
      <ns0:c r="AF380" s="17" t="n"/>
      <ns0:c r="AG380" s="17" t="n"/>
    </ns0:row>
    <ns0:row r="381" ht="24" customHeight="1">
      <ns0:c r="D381" s="17" t="n"/>
      <ns0:c r="E381" s="17" t="n"/>
      <ns0:c r="F381" s="17" t="n"/>
      <ns0:c r="G381" s="17" t="n"/>
      <ns0:c r="H381" s="17" t="n"/>
      <ns0:c r="I381" s="17" t="n"/>
      <ns0:c r="J381" s="17" t="n"/>
      <ns0:c r="K381" s="17" t="n"/>
      <ns0:c r="L381" s="17" t="n"/>
      <ns0:c r="M381" s="17" t="n"/>
      <ns0:c r="N381" s="17" t="n"/>
      <ns0:c r="O381" s="17" t="n"/>
      <ns0:c r="P381" s="17" t="n"/>
      <ns0:c r="Q381" s="17" t="n"/>
      <ns0:c r="R381" s="17" t="n"/>
      <ns0:c r="S381" s="17" t="n"/>
      <ns0:c r="T381" s="17" t="n"/>
      <ns0:c r="U381" s="17" t="n"/>
      <ns0:c r="V381" s="17" t="n"/>
      <ns0:c r="W381" s="17" t="n"/>
      <ns0:c r="X381" s="17" t="n"/>
      <ns0:c r="Y381" s="17" t="n"/>
      <ns0:c r="Z381" s="17" t="n"/>
      <ns0:c r="AA381" s="17" t="n"/>
      <ns0:c r="AB381" s="17" t="n"/>
      <ns0:c r="AC381" s="17" t="n"/>
      <ns0:c r="AD381" s="17" t="n"/>
      <ns0:c r="AE381" s="17" t="n"/>
      <ns0:c r="AF381" s="17" t="n"/>
      <ns0:c r="AG381" s="17" t="n"/>
    </ns0:row>
    <ns0:row r="382" ht="24" customHeight="1">
      <ns0:c r="D382" s="17" t="n"/>
      <ns0:c r="E382" s="17" t="n"/>
      <ns0:c r="F382" s="17" t="n"/>
      <ns0:c r="G382" s="17" t="n"/>
      <ns0:c r="H382" s="17" t="n"/>
      <ns0:c r="I382" s="17" t="n"/>
      <ns0:c r="J382" s="17" t="n"/>
      <ns0:c r="K382" s="17" t="n"/>
      <ns0:c r="L382" s="17" t="n"/>
      <ns0:c r="M382" s="17" t="n"/>
      <ns0:c r="N382" s="17" t="n"/>
      <ns0:c r="O382" s="17" t="n"/>
      <ns0:c r="P382" s="17" t="n"/>
      <ns0:c r="Q382" s="17" t="n"/>
      <ns0:c r="R382" s="17" t="n"/>
      <ns0:c r="S382" s="17" t="n"/>
      <ns0:c r="T382" s="17" t="n"/>
      <ns0:c r="U382" s="17" t="n"/>
      <ns0:c r="V382" s="17" t="n"/>
      <ns0:c r="W382" s="17" t="n"/>
      <ns0:c r="X382" s="17" t="n"/>
      <ns0:c r="Y382" s="17" t="n"/>
      <ns0:c r="Z382" s="17" t="n"/>
      <ns0:c r="AA382" s="17" t="n"/>
      <ns0:c r="AB382" s="17" t="n"/>
      <ns0:c r="AC382" s="17" t="n"/>
      <ns0:c r="AD382" s="17" t="n"/>
      <ns0:c r="AE382" s="17" t="n"/>
      <ns0:c r="AF382" s="17" t="n"/>
      <ns0:c r="AG382" s="17" t="n"/>
    </ns0:row>
    <ns0:row r="383" ht="24" customHeight="1">
      <ns0:c r="D383" s="17" t="n"/>
      <ns0:c r="E383" s="17" t="n"/>
      <ns0:c r="F383" s="17" t="n"/>
      <ns0:c r="G383" s="17" t="n"/>
      <ns0:c r="H383" s="17" t="n"/>
      <ns0:c r="I383" s="17" t="n"/>
      <ns0:c r="J383" s="17" t="n"/>
      <ns0:c r="K383" s="17" t="n"/>
      <ns0:c r="L383" s="17" t="n"/>
      <ns0:c r="M383" s="17" t="n"/>
      <ns0:c r="N383" s="17" t="n"/>
      <ns0:c r="O383" s="17" t="n"/>
      <ns0:c r="P383" s="17" t="n"/>
      <ns0:c r="Q383" s="17" t="n"/>
      <ns0:c r="R383" s="17" t="n"/>
      <ns0:c r="S383" s="17" t="n"/>
      <ns0:c r="T383" s="17" t="n"/>
      <ns0:c r="U383" s="17" t="n"/>
      <ns0:c r="V383" s="17" t="n"/>
      <ns0:c r="W383" s="17" t="n"/>
      <ns0:c r="X383" s="17" t="n"/>
      <ns0:c r="Y383" s="17" t="n"/>
      <ns0:c r="Z383" s="17" t="n"/>
      <ns0:c r="AA383" s="17" t="n"/>
      <ns0:c r="AB383" s="17" t="n"/>
      <ns0:c r="AC383" s="17" t="n"/>
      <ns0:c r="AD383" s="17" t="n"/>
      <ns0:c r="AE383" s="17" t="n"/>
      <ns0:c r="AF383" s="17" t="n"/>
      <ns0:c r="AG383" s="17" t="n"/>
    </ns0:row>
    <ns0:row r="384" ht="24" customHeight="1">
      <ns0:c r="D384" s="17" t="n"/>
      <ns0:c r="E384" s="17" t="n"/>
      <ns0:c r="F384" s="17" t="n"/>
      <ns0:c r="G384" s="17" t="n"/>
      <ns0:c r="H384" s="17" t="n"/>
      <ns0:c r="I384" s="17" t="n"/>
      <ns0:c r="J384" s="17" t="n"/>
      <ns0:c r="K384" s="17" t="n"/>
      <ns0:c r="L384" s="17" t="n"/>
      <ns0:c r="M384" s="17" t="n"/>
      <ns0:c r="N384" s="17" t="n"/>
      <ns0:c r="O384" s="17" t="n"/>
      <ns0:c r="P384" s="17" t="n"/>
      <ns0:c r="Q384" s="17" t="n"/>
      <ns0:c r="R384" s="17" t="n"/>
      <ns0:c r="S384" s="17" t="n"/>
      <ns0:c r="T384" s="17" t="n"/>
      <ns0:c r="U384" s="17" t="n"/>
      <ns0:c r="V384" s="17" t="n"/>
      <ns0:c r="W384" s="17" t="n"/>
      <ns0:c r="X384" s="17" t="n"/>
      <ns0:c r="Y384" s="17" t="n"/>
      <ns0:c r="Z384" s="17" t="n"/>
      <ns0:c r="AA384" s="17" t="n"/>
      <ns0:c r="AB384" s="17" t="n"/>
      <ns0:c r="AC384" s="17" t="n"/>
      <ns0:c r="AD384" s="17" t="n"/>
      <ns0:c r="AE384" s="17" t="n"/>
      <ns0:c r="AF384" s="17" t="n"/>
      <ns0:c r="AG384" s="17" t="n"/>
    </ns0:row>
    <ns0:row r="385" ht="24" customHeight="1">
      <ns0:c r="D385" s="17" t="n"/>
      <ns0:c r="E385" s="17" t="n"/>
      <ns0:c r="F385" s="17" t="n"/>
      <ns0:c r="G385" s="17" t="n"/>
      <ns0:c r="H385" s="17" t="n"/>
      <ns0:c r="I385" s="17" t="n"/>
      <ns0:c r="J385" s="17" t="n"/>
      <ns0:c r="K385" s="17" t="n"/>
      <ns0:c r="L385" s="17" t="n"/>
      <ns0:c r="M385" s="17" t="n"/>
      <ns0:c r="N385" s="17" t="n"/>
      <ns0:c r="O385" s="17" t="n"/>
      <ns0:c r="P385" s="17" t="n"/>
      <ns0:c r="Q385" s="17" t="n"/>
      <ns0:c r="R385" s="17" t="n"/>
      <ns0:c r="S385" s="17" t="n"/>
      <ns0:c r="T385" s="17" t="n"/>
      <ns0:c r="U385" s="17" t="n"/>
      <ns0:c r="V385" s="17" t="n"/>
      <ns0:c r="W385" s="17" t="n"/>
      <ns0:c r="X385" s="17" t="n"/>
      <ns0:c r="Y385" s="17" t="n"/>
      <ns0:c r="Z385" s="17" t="n"/>
      <ns0:c r="AA385" s="17" t="n"/>
      <ns0:c r="AB385" s="17" t="n"/>
      <ns0:c r="AC385" s="17" t="n"/>
      <ns0:c r="AD385" s="17" t="n"/>
      <ns0:c r="AE385" s="17" t="n"/>
      <ns0:c r="AF385" s="17" t="n"/>
      <ns0:c r="AG385" s="17" t="n"/>
    </ns0:row>
    <ns0:row r="386" ht="24" customHeight="1">
      <ns0:c r="D386" s="17" t="n"/>
      <ns0:c r="E386" s="17" t="n"/>
      <ns0:c r="F386" s="17" t="n"/>
      <ns0:c r="G386" s="17" t="n"/>
      <ns0:c r="H386" s="17" t="n"/>
      <ns0:c r="I386" s="17" t="n"/>
      <ns0:c r="J386" s="17" t="n"/>
      <ns0:c r="K386" s="17" t="n"/>
      <ns0:c r="L386" s="17" t="n"/>
      <ns0:c r="M386" s="17" t="n"/>
      <ns0:c r="N386" s="17" t="n"/>
      <ns0:c r="O386" s="17" t="n"/>
      <ns0:c r="P386" s="17" t="n"/>
      <ns0:c r="Q386" s="17" t="n"/>
      <ns0:c r="R386" s="17" t="n"/>
      <ns0:c r="S386" s="17" t="n"/>
      <ns0:c r="T386" s="17" t="n"/>
      <ns0:c r="U386" s="17" t="n"/>
      <ns0:c r="V386" s="17" t="n"/>
      <ns0:c r="W386" s="17" t="n"/>
      <ns0:c r="X386" s="17" t="n"/>
      <ns0:c r="Y386" s="17" t="n"/>
      <ns0:c r="Z386" s="17" t="n"/>
      <ns0:c r="AA386" s="17" t="n"/>
      <ns0:c r="AB386" s="17" t="n"/>
      <ns0:c r="AC386" s="17" t="n"/>
      <ns0:c r="AD386" s="17" t="n"/>
      <ns0:c r="AE386" s="17" t="n"/>
      <ns0:c r="AF386" s="17" t="n"/>
      <ns0:c r="AG386" s="17" t="n"/>
    </ns0:row>
    <ns0:row r="387" ht="24" customHeight="1">
      <ns0:c r="D387" s="17" t="n"/>
      <ns0:c r="E387" s="17" t="n"/>
      <ns0:c r="F387" s="17" t="n"/>
      <ns0:c r="G387" s="17" t="n"/>
      <ns0:c r="H387" s="17" t="n"/>
      <ns0:c r="I387" s="17" t="n"/>
      <ns0:c r="J387" s="17" t="n"/>
      <ns0:c r="K387" s="17" t="n"/>
      <ns0:c r="L387" s="17" t="n"/>
      <ns0:c r="M387" s="17" t="n"/>
      <ns0:c r="N387" s="17" t="n"/>
      <ns0:c r="O387" s="17" t="n"/>
      <ns0:c r="P387" s="17" t="n"/>
      <ns0:c r="Q387" s="17" t="n"/>
      <ns0:c r="R387" s="17" t="n"/>
      <ns0:c r="S387" s="17" t="n"/>
      <ns0:c r="T387" s="17" t="n"/>
      <ns0:c r="U387" s="17" t="n"/>
      <ns0:c r="V387" s="17" t="n"/>
      <ns0:c r="W387" s="17" t="n"/>
      <ns0:c r="X387" s="17" t="n"/>
      <ns0:c r="Y387" s="17" t="n"/>
      <ns0:c r="Z387" s="17" t="n"/>
      <ns0:c r="AA387" s="17" t="n"/>
      <ns0:c r="AB387" s="17" t="n"/>
      <ns0:c r="AC387" s="17" t="n"/>
      <ns0:c r="AD387" s="17" t="n"/>
      <ns0:c r="AE387" s="17" t="n"/>
      <ns0:c r="AF387" s="17" t="n"/>
      <ns0:c r="AG387" s="17" t="n"/>
    </ns0:row>
    <ns0:row r="388" ht="24" customHeight="1">
      <ns0:c r="D388" s="17" t="n"/>
      <ns0:c r="E388" s="17" t="n"/>
      <ns0:c r="F388" s="17" t="n"/>
      <ns0:c r="G388" s="17" t="n"/>
      <ns0:c r="H388" s="17" t="n"/>
      <ns0:c r="I388" s="17" t="n"/>
      <ns0:c r="J388" s="17" t="n"/>
      <ns0:c r="K388" s="17" t="n"/>
      <ns0:c r="L388" s="17" t="n"/>
      <ns0:c r="M388" s="17" t="n"/>
      <ns0:c r="N388" s="17" t="n"/>
      <ns0:c r="O388" s="17" t="n"/>
      <ns0:c r="P388" s="17" t="n"/>
      <ns0:c r="Q388" s="17" t="n"/>
      <ns0:c r="R388" s="17" t="n"/>
      <ns0:c r="S388" s="17" t="n"/>
      <ns0:c r="T388" s="17" t="n"/>
      <ns0:c r="U388" s="17" t="n"/>
      <ns0:c r="V388" s="17" t="n"/>
      <ns0:c r="W388" s="17" t="n"/>
      <ns0:c r="X388" s="17" t="n"/>
      <ns0:c r="Y388" s="17" t="n"/>
      <ns0:c r="Z388" s="17" t="n"/>
      <ns0:c r="AA388" s="17" t="n"/>
      <ns0:c r="AB388" s="17" t="n"/>
      <ns0:c r="AC388" s="17" t="n"/>
      <ns0:c r="AD388" s="17" t="n"/>
      <ns0:c r="AE388" s="17" t="n"/>
      <ns0:c r="AF388" s="17" t="n"/>
      <ns0:c r="AG388" s="17" t="n"/>
    </ns0:row>
    <ns0:row r="389" ht="24" customHeight="1">
      <ns0:c r="D389" s="17" t="n"/>
      <ns0:c r="E389" s="17" t="n"/>
      <ns0:c r="F389" s="17" t="n"/>
      <ns0:c r="G389" s="17" t="n"/>
      <ns0:c r="H389" s="17" t="n"/>
      <ns0:c r="I389" s="17" t="n"/>
      <ns0:c r="J389" s="17" t="n"/>
      <ns0:c r="K389" s="17" t="n"/>
      <ns0:c r="L389" s="17" t="n"/>
      <ns0:c r="M389" s="17" t="n"/>
      <ns0:c r="N389" s="17" t="n"/>
      <ns0:c r="O389" s="17" t="n"/>
      <ns0:c r="P389" s="17" t="n"/>
      <ns0:c r="Q389" s="17" t="n"/>
      <ns0:c r="R389" s="17" t="n"/>
      <ns0:c r="S389" s="17" t="n"/>
      <ns0:c r="T389" s="17" t="n"/>
      <ns0:c r="U389" s="17" t="n"/>
      <ns0:c r="V389" s="17" t="n"/>
      <ns0:c r="W389" s="17" t="n"/>
      <ns0:c r="X389" s="17" t="n"/>
      <ns0:c r="Y389" s="17" t="n"/>
      <ns0:c r="Z389" s="17" t="n"/>
      <ns0:c r="AA389" s="17" t="n"/>
      <ns0:c r="AB389" s="17" t="n"/>
      <ns0:c r="AC389" s="17" t="n"/>
      <ns0:c r="AD389" s="17" t="n"/>
      <ns0:c r="AE389" s="17" t="n"/>
      <ns0:c r="AF389" s="17" t="n"/>
      <ns0:c r="AG389" s="17" t="n"/>
    </ns0:row>
    <ns0:row r="390" ht="24" customHeight="1">
      <ns0:c r="D390" s="17" t="n"/>
      <ns0:c r="E390" s="17" t="n"/>
      <ns0:c r="F390" s="17" t="n"/>
      <ns0:c r="G390" s="17" t="n"/>
      <ns0:c r="H390" s="17" t="n"/>
      <ns0:c r="I390" s="17" t="n"/>
      <ns0:c r="J390" s="17" t="n"/>
      <ns0:c r="K390" s="17" t="n"/>
      <ns0:c r="L390" s="17" t="n"/>
      <ns0:c r="M390" s="17" t="n"/>
      <ns0:c r="N390" s="17" t="n"/>
      <ns0:c r="O390" s="17" t="n"/>
      <ns0:c r="P390" s="17" t="n"/>
      <ns0:c r="Q390" s="17" t="n"/>
      <ns0:c r="R390" s="17" t="n"/>
      <ns0:c r="S390" s="17" t="n"/>
      <ns0:c r="T390" s="17" t="n"/>
      <ns0:c r="U390" s="17" t="n"/>
      <ns0:c r="V390" s="17" t="n"/>
      <ns0:c r="W390" s="17" t="n"/>
      <ns0:c r="X390" s="17" t="n"/>
      <ns0:c r="Y390" s="17" t="n"/>
      <ns0:c r="Z390" s="17" t="n"/>
      <ns0:c r="AA390" s="17" t="n"/>
      <ns0:c r="AB390" s="17" t="n"/>
      <ns0:c r="AC390" s="17" t="n"/>
      <ns0:c r="AD390" s="17" t="n"/>
      <ns0:c r="AE390" s="17" t="n"/>
      <ns0:c r="AF390" s="17" t="n"/>
      <ns0:c r="AG390" s="17" t="n"/>
    </ns0:row>
    <ns0:row r="391" ht="24" customHeight="1">
      <ns0:c r="D391" s="17" t="n"/>
      <ns0:c r="E391" s="17" t="n"/>
      <ns0:c r="F391" s="17" t="n"/>
      <ns0:c r="G391" s="17" t="n"/>
      <ns0:c r="H391" s="17" t="n"/>
      <ns0:c r="I391" s="17" t="n"/>
      <ns0:c r="J391" s="17" t="n"/>
      <ns0:c r="K391" s="17" t="n"/>
      <ns0:c r="L391" s="17" t="n"/>
      <ns0:c r="M391" s="17" t="n"/>
      <ns0:c r="N391" s="17" t="n"/>
      <ns0:c r="O391" s="17" t="n"/>
      <ns0:c r="P391" s="17" t="n"/>
      <ns0:c r="Q391" s="17" t="n"/>
      <ns0:c r="R391" s="17" t="n"/>
      <ns0:c r="S391" s="17" t="n"/>
      <ns0:c r="T391" s="17" t="n"/>
      <ns0:c r="U391" s="17" t="n"/>
      <ns0:c r="V391" s="17" t="n"/>
      <ns0:c r="W391" s="17" t="n"/>
      <ns0:c r="X391" s="17" t="n"/>
      <ns0:c r="Y391" s="17" t="n"/>
      <ns0:c r="Z391" s="17" t="n"/>
      <ns0:c r="AA391" s="17" t="n"/>
      <ns0:c r="AB391" s="17" t="n"/>
      <ns0:c r="AC391" s="17" t="n"/>
      <ns0:c r="AD391" s="17" t="n"/>
      <ns0:c r="AE391" s="17" t="n"/>
      <ns0:c r="AF391" s="17" t="n"/>
      <ns0:c r="AG391" s="17" t="n"/>
    </ns0:row>
    <ns0:row r="392" ht="24" customHeight="1">
      <ns0:c r="D392" s="17" t="n"/>
      <ns0:c r="E392" s="17" t="n"/>
      <ns0:c r="F392" s="17" t="n"/>
      <ns0:c r="G392" s="17" t="n"/>
      <ns0:c r="H392" s="17" t="n"/>
      <ns0:c r="I392" s="17" t="n"/>
      <ns0:c r="J392" s="17" t="n"/>
      <ns0:c r="K392" s="17" t="n"/>
      <ns0:c r="L392" s="17" t="n"/>
      <ns0:c r="M392" s="17" t="n"/>
      <ns0:c r="N392" s="17" t="n"/>
      <ns0:c r="O392" s="17" t="n"/>
      <ns0:c r="P392" s="17" t="n"/>
      <ns0:c r="Q392" s="17" t="n"/>
      <ns0:c r="R392" s="17" t="n"/>
      <ns0:c r="S392" s="17" t="n"/>
      <ns0:c r="T392" s="17" t="n"/>
      <ns0:c r="U392" s="17" t="n"/>
      <ns0:c r="V392" s="17" t="n"/>
      <ns0:c r="W392" s="17" t="n"/>
      <ns0:c r="X392" s="17" t="n"/>
      <ns0:c r="Y392" s="17" t="n"/>
      <ns0:c r="Z392" s="17" t="n"/>
      <ns0:c r="AA392" s="17" t="n"/>
      <ns0:c r="AB392" s="17" t="n"/>
      <ns0:c r="AC392" s="17" t="n"/>
      <ns0:c r="AD392" s="17" t="n"/>
      <ns0:c r="AE392" s="17" t="n"/>
      <ns0:c r="AF392" s="17" t="n"/>
      <ns0:c r="AG392" s="17" t="n"/>
    </ns0:row>
    <ns0:row r="393" ht="24" customHeight="1">
      <ns0:c r="D393" s="17" t="n"/>
      <ns0:c r="E393" s="17" t="n"/>
      <ns0:c r="F393" s="17" t="n"/>
      <ns0:c r="G393" s="17" t="n"/>
      <ns0:c r="H393" s="17" t="n"/>
      <ns0:c r="I393" s="17" t="n"/>
      <ns0:c r="J393" s="17" t="n"/>
      <ns0:c r="K393" s="17" t="n"/>
      <ns0:c r="L393" s="17" t="n"/>
      <ns0:c r="M393" s="17" t="n"/>
      <ns0:c r="N393" s="17" t="n"/>
      <ns0:c r="O393" s="17" t="n"/>
      <ns0:c r="P393" s="17" t="n"/>
      <ns0:c r="Q393" s="17" t="n"/>
      <ns0:c r="R393" s="17" t="n"/>
      <ns0:c r="S393" s="17" t="n"/>
      <ns0:c r="T393" s="17" t="n"/>
      <ns0:c r="U393" s="17" t="n"/>
      <ns0:c r="V393" s="17" t="n"/>
      <ns0:c r="W393" s="17" t="n"/>
      <ns0:c r="X393" s="17" t="n"/>
      <ns0:c r="Y393" s="17" t="n"/>
      <ns0:c r="Z393" s="17" t="n"/>
      <ns0:c r="AA393" s="17" t="n"/>
      <ns0:c r="AB393" s="17" t="n"/>
      <ns0:c r="AC393" s="17" t="n"/>
      <ns0:c r="AD393" s="17" t="n"/>
      <ns0:c r="AE393" s="17" t="n"/>
      <ns0:c r="AF393" s="17" t="n"/>
      <ns0:c r="AG393" s="17" t="n"/>
    </ns0:row>
    <ns0:row r="394" ht="24" customHeight="1">
      <ns0:c r="D394" s="17" t="n"/>
      <ns0:c r="E394" s="17" t="n"/>
      <ns0:c r="F394" s="17" t="n"/>
      <ns0:c r="G394" s="17" t="n"/>
      <ns0:c r="H394" s="17" t="n"/>
      <ns0:c r="I394" s="17" t="n"/>
      <ns0:c r="J394" s="17" t="n"/>
      <ns0:c r="K394" s="17" t="n"/>
      <ns0:c r="L394" s="17" t="n"/>
      <ns0:c r="M394" s="17" t="n"/>
      <ns0:c r="N394" s="17" t="n"/>
      <ns0:c r="O394" s="17" t="n"/>
      <ns0:c r="P394" s="17" t="n"/>
      <ns0:c r="Q394" s="17" t="n"/>
      <ns0:c r="R394" s="17" t="n"/>
      <ns0:c r="S394" s="17" t="n"/>
      <ns0:c r="T394" s="17" t="n"/>
      <ns0:c r="U394" s="17" t="n"/>
      <ns0:c r="V394" s="17" t="n"/>
      <ns0:c r="W394" s="17" t="n"/>
      <ns0:c r="X394" s="17" t="n"/>
      <ns0:c r="Y394" s="17" t="n"/>
      <ns0:c r="Z394" s="17" t="n"/>
      <ns0:c r="AA394" s="17" t="n"/>
      <ns0:c r="AB394" s="17" t="n"/>
      <ns0:c r="AC394" s="17" t="n"/>
      <ns0:c r="AD394" s="17" t="n"/>
      <ns0:c r="AE394" s="17" t="n"/>
      <ns0:c r="AF394" s="17" t="n"/>
      <ns0:c r="AG394" s="17" t="n"/>
    </ns0:row>
    <ns0:row r="395" ht="24" customHeight="1">
      <ns0:c r="D395" s="17" t="n"/>
      <ns0:c r="E395" s="17" t="n"/>
      <ns0:c r="F395" s="17" t="n"/>
      <ns0:c r="G395" s="17" t="n"/>
      <ns0:c r="H395" s="17" t="n"/>
      <ns0:c r="I395" s="17" t="n"/>
      <ns0:c r="J395" s="17" t="n"/>
      <ns0:c r="K395" s="17" t="n"/>
      <ns0:c r="L395" s="17" t="n"/>
      <ns0:c r="M395" s="17" t="n"/>
      <ns0:c r="N395" s="17" t="n"/>
      <ns0:c r="O395" s="17" t="n"/>
      <ns0:c r="P395" s="17" t="n"/>
      <ns0:c r="Q395" s="17" t="n"/>
      <ns0:c r="R395" s="17" t="n"/>
      <ns0:c r="S395" s="17" t="n"/>
      <ns0:c r="T395" s="17" t="n"/>
      <ns0:c r="U395" s="17" t="n"/>
      <ns0:c r="V395" s="17" t="n"/>
      <ns0:c r="W395" s="17" t="n"/>
      <ns0:c r="X395" s="17" t="n"/>
      <ns0:c r="Y395" s="17" t="n"/>
      <ns0:c r="Z395" s="17" t="n"/>
      <ns0:c r="AA395" s="17" t="n"/>
      <ns0:c r="AB395" s="17" t="n"/>
      <ns0:c r="AC395" s="17" t="n"/>
      <ns0:c r="AD395" s="17" t="n"/>
      <ns0:c r="AE395" s="17" t="n"/>
      <ns0:c r="AF395" s="17" t="n"/>
      <ns0:c r="AG395" s="17" t="n"/>
    </ns0:row>
    <ns0:row r="396" ht="24" customHeight="1">
      <ns0:c r="D396" s="17" t="n"/>
      <ns0:c r="E396" s="17" t="n"/>
      <ns0:c r="F396" s="17" t="n"/>
      <ns0:c r="G396" s="17" t="n"/>
      <ns0:c r="H396" s="17" t="n"/>
      <ns0:c r="I396" s="17" t="n"/>
      <ns0:c r="J396" s="17" t="n"/>
      <ns0:c r="K396" s="17" t="n"/>
      <ns0:c r="L396" s="17" t="n"/>
      <ns0:c r="M396" s="17" t="n"/>
      <ns0:c r="N396" s="17" t="n"/>
      <ns0:c r="O396" s="17" t="n"/>
      <ns0:c r="P396" s="17" t="n"/>
      <ns0:c r="Q396" s="17" t="n"/>
      <ns0:c r="R396" s="17" t="n"/>
      <ns0:c r="S396" s="17" t="n"/>
      <ns0:c r="T396" s="17" t="n"/>
      <ns0:c r="U396" s="17" t="n"/>
      <ns0:c r="V396" s="17" t="n"/>
      <ns0:c r="W396" s="17" t="n"/>
      <ns0:c r="X396" s="17" t="n"/>
      <ns0:c r="Y396" s="17" t="n"/>
      <ns0:c r="Z396" s="17" t="n"/>
      <ns0:c r="AA396" s="17" t="n"/>
      <ns0:c r="AB396" s="17" t="n"/>
      <ns0:c r="AC396" s="17" t="n"/>
      <ns0:c r="AD396" s="17" t="n"/>
      <ns0:c r="AE396" s="17" t="n"/>
      <ns0:c r="AF396" s="17" t="n"/>
      <ns0:c r="AG396" s="17" t="n"/>
    </ns0:row>
    <ns0:row r="397" ht="24" customHeight="1">
      <ns0:c r="D397" s="17" t="n"/>
      <ns0:c r="E397" s="17" t="n"/>
      <ns0:c r="F397" s="17" t="n"/>
      <ns0:c r="G397" s="17" t="n"/>
      <ns0:c r="H397" s="17" t="n"/>
      <ns0:c r="I397" s="17" t="n"/>
      <ns0:c r="J397" s="17" t="n"/>
      <ns0:c r="K397" s="17" t="n"/>
      <ns0:c r="L397" s="17" t="n"/>
      <ns0:c r="M397" s="17" t="n"/>
      <ns0:c r="N397" s="17" t="n"/>
      <ns0:c r="O397" s="17" t="n"/>
      <ns0:c r="P397" s="17" t="n"/>
      <ns0:c r="Q397" s="17" t="n"/>
      <ns0:c r="R397" s="17" t="n"/>
      <ns0:c r="S397" s="17" t="n"/>
      <ns0:c r="T397" s="17" t="n"/>
      <ns0:c r="U397" s="17" t="n"/>
      <ns0:c r="V397" s="17" t="n"/>
      <ns0:c r="W397" s="17" t="n"/>
      <ns0:c r="X397" s="17" t="n"/>
      <ns0:c r="Y397" s="17" t="n"/>
      <ns0:c r="Z397" s="17" t="n"/>
      <ns0:c r="AA397" s="17" t="n"/>
      <ns0:c r="AB397" s="17" t="n"/>
      <ns0:c r="AC397" s="17" t="n"/>
      <ns0:c r="AD397" s="17" t="n"/>
      <ns0:c r="AE397" s="17" t="n"/>
      <ns0:c r="AF397" s="17" t="n"/>
      <ns0:c r="AG397" s="17" t="n"/>
    </ns0:row>
    <ns0:row r="398" ht="24" customHeight="1">
      <ns0:c r="D398" s="17" t="n"/>
      <ns0:c r="E398" s="17" t="n"/>
      <ns0:c r="F398" s="17" t="n"/>
      <ns0:c r="G398" s="17" t="n"/>
      <ns0:c r="H398" s="17" t="n"/>
      <ns0:c r="I398" s="17" t="n"/>
      <ns0:c r="J398" s="17" t="n"/>
      <ns0:c r="K398" s="17" t="n"/>
      <ns0:c r="L398" s="17" t="n"/>
      <ns0:c r="M398" s="17" t="n"/>
      <ns0:c r="N398" s="17" t="n"/>
      <ns0:c r="O398" s="17" t="n"/>
      <ns0:c r="P398" s="17" t="n"/>
      <ns0:c r="Q398" s="17" t="n"/>
      <ns0:c r="R398" s="17" t="n"/>
      <ns0:c r="S398" s="17" t="n"/>
      <ns0:c r="T398" s="17" t="n"/>
      <ns0:c r="U398" s="17" t="n"/>
      <ns0:c r="V398" s="17" t="n"/>
      <ns0:c r="W398" s="17" t="n"/>
      <ns0:c r="X398" s="17" t="n"/>
      <ns0:c r="Y398" s="17" t="n"/>
      <ns0:c r="Z398" s="17" t="n"/>
      <ns0:c r="AA398" s="17" t="n"/>
      <ns0:c r="AB398" s="17" t="n"/>
      <ns0:c r="AC398" s="17" t="n"/>
      <ns0:c r="AD398" s="17" t="n"/>
      <ns0:c r="AE398" s="17" t="n"/>
      <ns0:c r="AF398" s="17" t="n"/>
      <ns0:c r="AG398" s="17" t="n"/>
    </ns0:row>
    <ns0:row r="399" ht="24" customHeight="1">
      <ns0:c r="D399" s="17" t="n"/>
      <ns0:c r="E399" s="17" t="n"/>
      <ns0:c r="F399" s="17" t="n"/>
      <ns0:c r="G399" s="17" t="n"/>
      <ns0:c r="H399" s="17" t="n"/>
      <ns0:c r="I399" s="17" t="n"/>
      <ns0:c r="J399" s="17" t="n"/>
      <ns0:c r="K399" s="17" t="n"/>
      <ns0:c r="L399" s="17" t="n"/>
      <ns0:c r="M399" s="17" t="n"/>
      <ns0:c r="N399" s="17" t="n"/>
      <ns0:c r="O399" s="17" t="n"/>
      <ns0:c r="P399" s="17" t="n"/>
      <ns0:c r="Q399" s="17" t="n"/>
      <ns0:c r="R399" s="17" t="n"/>
      <ns0:c r="S399" s="17" t="n"/>
      <ns0:c r="T399" s="17" t="n"/>
      <ns0:c r="U399" s="17" t="n"/>
      <ns0:c r="V399" s="17" t="n"/>
      <ns0:c r="W399" s="17" t="n"/>
      <ns0:c r="X399" s="17" t="n"/>
      <ns0:c r="Y399" s="17" t="n"/>
      <ns0:c r="Z399" s="17" t="n"/>
      <ns0:c r="AA399" s="17" t="n"/>
      <ns0:c r="AB399" s="17" t="n"/>
      <ns0:c r="AC399" s="17" t="n"/>
      <ns0:c r="AD399" s="17" t="n"/>
      <ns0:c r="AE399" s="17" t="n"/>
      <ns0:c r="AF399" s="17" t="n"/>
      <ns0:c r="AG399" s="17" t="n"/>
    </ns0:row>
    <ns0:row r="400" ht="24" customHeight="1">
      <ns0:c r="D400" s="17" t="n"/>
      <ns0:c r="E400" s="17" t="n"/>
      <ns0:c r="F400" s="17" t="n"/>
      <ns0:c r="G400" s="17" t="n"/>
      <ns0:c r="H400" s="17" t="n"/>
      <ns0:c r="I400" s="17" t="n"/>
      <ns0:c r="J400" s="17" t="n"/>
      <ns0:c r="K400" s="17" t="n"/>
      <ns0:c r="L400" s="17" t="n"/>
      <ns0:c r="M400" s="17" t="n"/>
      <ns0:c r="N400" s="17" t="n"/>
      <ns0:c r="O400" s="17" t="n"/>
      <ns0:c r="P400" s="17" t="n"/>
      <ns0:c r="Q400" s="17" t="n"/>
      <ns0:c r="R400" s="17" t="n"/>
      <ns0:c r="S400" s="17" t="n"/>
      <ns0:c r="T400" s="17" t="n"/>
      <ns0:c r="U400" s="17" t="n"/>
      <ns0:c r="V400" s="17" t="n"/>
      <ns0:c r="W400" s="17" t="n"/>
      <ns0:c r="X400" s="17" t="n"/>
      <ns0:c r="Y400" s="17" t="n"/>
      <ns0:c r="Z400" s="17" t="n"/>
      <ns0:c r="AA400" s="17" t="n"/>
      <ns0:c r="AB400" s="17" t="n"/>
      <ns0:c r="AC400" s="17" t="n"/>
      <ns0:c r="AD400" s="17" t="n"/>
      <ns0:c r="AE400" s="17" t="n"/>
      <ns0:c r="AF400" s="17" t="n"/>
      <ns0:c r="AG400" s="17" t="n"/>
    </ns0:row>
    <ns0:row r="401" ht="24" customHeight="1">
      <ns0:c r="D401" s="17" t="n"/>
      <ns0:c r="E401" s="17" t="n"/>
      <ns0:c r="F401" s="17" t="n"/>
      <ns0:c r="G401" s="17" t="n"/>
      <ns0:c r="H401" s="17" t="n"/>
      <ns0:c r="I401" s="17" t="n"/>
      <ns0:c r="J401" s="17" t="n"/>
      <ns0:c r="K401" s="17" t="n"/>
      <ns0:c r="L401" s="17" t="n"/>
      <ns0:c r="M401" s="17" t="n"/>
      <ns0:c r="N401" s="17" t="n"/>
      <ns0:c r="O401" s="17" t="n"/>
      <ns0:c r="P401" s="17" t="n"/>
      <ns0:c r="Q401" s="17" t="n"/>
      <ns0:c r="R401" s="17" t="n"/>
      <ns0:c r="S401" s="17" t="n"/>
      <ns0:c r="T401" s="17" t="n"/>
      <ns0:c r="U401" s="17" t="n"/>
      <ns0:c r="V401" s="17" t="n"/>
      <ns0:c r="W401" s="17" t="n"/>
      <ns0:c r="X401" s="17" t="n"/>
      <ns0:c r="Y401" s="17" t="n"/>
      <ns0:c r="Z401" s="17" t="n"/>
      <ns0:c r="AA401" s="17" t="n"/>
      <ns0:c r="AB401" s="17" t="n"/>
      <ns0:c r="AC401" s="17" t="n"/>
      <ns0:c r="AD401" s="17" t="n"/>
      <ns0:c r="AE401" s="17" t="n"/>
      <ns0:c r="AF401" s="17" t="n"/>
      <ns0:c r="AG401" s="17" t="n"/>
    </ns0:row>
    <ns0:row r="402" ht="24" customHeight="1">
      <ns0:c r="D402" s="17" t="n"/>
      <ns0:c r="E402" s="17" t="n"/>
      <ns0:c r="F402" s="17" t="n"/>
      <ns0:c r="G402" s="17" t="n"/>
      <ns0:c r="H402" s="17" t="n"/>
      <ns0:c r="I402" s="17" t="n"/>
      <ns0:c r="J402" s="17" t="n"/>
      <ns0:c r="K402" s="17" t="n"/>
      <ns0:c r="L402" s="17" t="n"/>
      <ns0:c r="M402" s="17" t="n"/>
      <ns0:c r="N402" s="17" t="n"/>
      <ns0:c r="O402" s="17" t="n"/>
      <ns0:c r="P402" s="17" t="n"/>
      <ns0:c r="Q402" s="17" t="n"/>
      <ns0:c r="R402" s="17" t="n"/>
      <ns0:c r="S402" s="17" t="n"/>
      <ns0:c r="T402" s="17" t="n"/>
      <ns0:c r="U402" s="17" t="n"/>
      <ns0:c r="V402" s="17" t="n"/>
      <ns0:c r="W402" s="17" t="n"/>
      <ns0:c r="X402" s="17" t="n"/>
      <ns0:c r="Y402" s="17" t="n"/>
      <ns0:c r="Z402" s="17" t="n"/>
      <ns0:c r="AA402" s="17" t="n"/>
      <ns0:c r="AB402" s="17" t="n"/>
      <ns0:c r="AC402" s="17" t="n"/>
      <ns0:c r="AD402" s="17" t="n"/>
      <ns0:c r="AE402" s="17" t="n"/>
      <ns0:c r="AF402" s="17" t="n"/>
      <ns0:c r="AG402" s="17" t="n"/>
    </ns0:row>
    <ns0:row r="403" ht="24" customHeight="1">
      <ns0:c r="D403" s="17" t="n"/>
      <ns0:c r="E403" s="17" t="n"/>
      <ns0:c r="F403" s="17" t="n"/>
      <ns0:c r="G403" s="17" t="n"/>
      <ns0:c r="H403" s="17" t="n"/>
      <ns0:c r="I403" s="17" t="n"/>
      <ns0:c r="J403" s="17" t="n"/>
      <ns0:c r="K403" s="17" t="n"/>
      <ns0:c r="L403" s="17" t="n"/>
      <ns0:c r="M403" s="17" t="n"/>
      <ns0:c r="N403" s="17" t="n"/>
      <ns0:c r="O403" s="17" t="n"/>
      <ns0:c r="P403" s="17" t="n"/>
      <ns0:c r="Q403" s="17" t="n"/>
      <ns0:c r="R403" s="17" t="n"/>
      <ns0:c r="S403" s="17" t="n"/>
      <ns0:c r="T403" s="17" t="n"/>
      <ns0:c r="U403" s="17" t="n"/>
      <ns0:c r="V403" s="17" t="n"/>
      <ns0:c r="W403" s="17" t="n"/>
      <ns0:c r="X403" s="17" t="n"/>
      <ns0:c r="Y403" s="17" t="n"/>
      <ns0:c r="Z403" s="17" t="n"/>
      <ns0:c r="AA403" s="17" t="n"/>
      <ns0:c r="AB403" s="17" t="n"/>
      <ns0:c r="AC403" s="17" t="n"/>
      <ns0:c r="AD403" s="17" t="n"/>
      <ns0:c r="AE403" s="17" t="n"/>
      <ns0:c r="AF403" s="17" t="n"/>
      <ns0:c r="AG403" s="17" t="n"/>
    </ns0:row>
    <ns0:row r="404" ht="24" customHeight="1">
      <ns0:c r="D404" s="17" t="n"/>
      <ns0:c r="E404" s="17" t="n"/>
      <ns0:c r="F404" s="17" t="n"/>
      <ns0:c r="G404" s="17" t="n"/>
      <ns0:c r="H404" s="17" t="n"/>
      <ns0:c r="I404" s="17" t="n"/>
      <ns0:c r="J404" s="17" t="n"/>
      <ns0:c r="K404" s="17" t="n"/>
      <ns0:c r="L404" s="17" t="n"/>
      <ns0:c r="M404" s="17" t="n"/>
      <ns0:c r="N404" s="17" t="n"/>
      <ns0:c r="O404" s="17" t="n"/>
      <ns0:c r="P404" s="17" t="n"/>
      <ns0:c r="Q404" s="17" t="n"/>
      <ns0:c r="R404" s="17" t="n"/>
      <ns0:c r="S404" s="17" t="n"/>
      <ns0:c r="T404" s="17" t="n"/>
      <ns0:c r="U404" s="17" t="n"/>
      <ns0:c r="V404" s="17" t="n"/>
      <ns0:c r="W404" s="17" t="n"/>
      <ns0:c r="X404" s="17" t="n"/>
      <ns0:c r="Y404" s="17" t="n"/>
      <ns0:c r="Z404" s="17" t="n"/>
      <ns0:c r="AA404" s="17" t="n"/>
      <ns0:c r="AB404" s="17" t="n"/>
      <ns0:c r="AC404" s="17" t="n"/>
      <ns0:c r="AD404" s="17" t="n"/>
      <ns0:c r="AE404" s="17" t="n"/>
      <ns0:c r="AF404" s="17" t="n"/>
      <ns0:c r="AG404" s="17" t="n"/>
    </ns0:row>
    <ns0:row r="405" ht="24" customHeight="1">
      <ns0:c r="D405" s="17" t="n"/>
      <ns0:c r="E405" s="17" t="n"/>
      <ns0:c r="F405" s="17" t="n"/>
      <ns0:c r="G405" s="17" t="n"/>
      <ns0:c r="H405" s="17" t="n"/>
      <ns0:c r="I405" s="17" t="n"/>
      <ns0:c r="J405" s="17" t="n"/>
      <ns0:c r="K405" s="17" t="n"/>
      <ns0:c r="L405" s="17" t="n"/>
      <ns0:c r="M405" s="17" t="n"/>
      <ns0:c r="N405" s="17" t="n"/>
      <ns0:c r="O405" s="17" t="n"/>
      <ns0:c r="P405" s="17" t="n"/>
      <ns0:c r="Q405" s="17" t="n"/>
      <ns0:c r="R405" s="17" t="n"/>
      <ns0:c r="S405" s="17" t="n"/>
      <ns0:c r="T405" s="17" t="n"/>
      <ns0:c r="U405" s="17" t="n"/>
      <ns0:c r="V405" s="17" t="n"/>
      <ns0:c r="W405" s="17" t="n"/>
      <ns0:c r="X405" s="17" t="n"/>
      <ns0:c r="Y405" s="17" t="n"/>
      <ns0:c r="Z405" s="17" t="n"/>
      <ns0:c r="AA405" s="17" t="n"/>
      <ns0:c r="AB405" s="17" t="n"/>
      <ns0:c r="AC405" s="17" t="n"/>
      <ns0:c r="AD405" s="17" t="n"/>
      <ns0:c r="AE405" s="17" t="n"/>
      <ns0:c r="AF405" s="17" t="n"/>
      <ns0:c r="AG405" s="17" t="n"/>
    </ns0:row>
    <ns0:row r="406" ht="24" customHeight="1">
      <ns0:c r="D406" s="17" t="n"/>
      <ns0:c r="E406" s="17" t="n"/>
      <ns0:c r="F406" s="17" t="n"/>
      <ns0:c r="G406" s="17" t="n"/>
      <ns0:c r="H406" s="17" t="n"/>
      <ns0:c r="I406" s="17" t="n"/>
      <ns0:c r="J406" s="17" t="n"/>
      <ns0:c r="K406" s="17" t="n"/>
      <ns0:c r="L406" s="17" t="n"/>
      <ns0:c r="M406" s="17" t="n"/>
      <ns0:c r="N406" s="17" t="n"/>
      <ns0:c r="O406" s="17" t="n"/>
      <ns0:c r="P406" s="17" t="n"/>
      <ns0:c r="Q406" s="17" t="n"/>
      <ns0:c r="R406" s="17" t="n"/>
      <ns0:c r="S406" s="17" t="n"/>
      <ns0:c r="T406" s="17" t="n"/>
      <ns0:c r="U406" s="17" t="n"/>
      <ns0:c r="V406" s="17" t="n"/>
      <ns0:c r="W406" s="17" t="n"/>
      <ns0:c r="X406" s="17" t="n"/>
      <ns0:c r="Y406" s="17" t="n"/>
      <ns0:c r="Z406" s="17" t="n"/>
      <ns0:c r="AA406" s="17" t="n"/>
      <ns0:c r="AB406" s="17" t="n"/>
      <ns0:c r="AC406" s="17" t="n"/>
      <ns0:c r="AD406" s="17" t="n"/>
      <ns0:c r="AE406" s="17" t="n"/>
      <ns0:c r="AF406" s="17" t="n"/>
      <ns0:c r="AG406" s="17" t="n"/>
    </ns0:row>
    <ns0:row r="407" ht="24" customHeight="1">
      <ns0:c r="D407" s="17" t="n"/>
      <ns0:c r="E407" s="17" t="n"/>
      <ns0:c r="F407" s="17" t="n"/>
      <ns0:c r="G407" s="17" t="n"/>
      <ns0:c r="H407" s="17" t="n"/>
      <ns0:c r="I407" s="17" t="n"/>
      <ns0:c r="J407" s="17" t="n"/>
      <ns0:c r="K407" s="17" t="n"/>
      <ns0:c r="L407" s="17" t="n"/>
      <ns0:c r="M407" s="17" t="n"/>
      <ns0:c r="N407" s="17" t="n"/>
      <ns0:c r="O407" s="17" t="n"/>
      <ns0:c r="P407" s="17" t="n"/>
      <ns0:c r="Q407" s="17" t="n"/>
      <ns0:c r="R407" s="17" t="n"/>
      <ns0:c r="S407" s="17" t="n"/>
      <ns0:c r="T407" s="17" t="n"/>
      <ns0:c r="U407" s="17" t="n"/>
      <ns0:c r="V407" s="17" t="n"/>
      <ns0:c r="W407" s="17" t="n"/>
      <ns0:c r="X407" s="17" t="n"/>
      <ns0:c r="Y407" s="17" t="n"/>
      <ns0:c r="Z407" s="17" t="n"/>
      <ns0:c r="AA407" s="17" t="n"/>
      <ns0:c r="AB407" s="17" t="n"/>
      <ns0:c r="AC407" s="17" t="n"/>
      <ns0:c r="AD407" s="17" t="n"/>
      <ns0:c r="AE407" s="17" t="n"/>
      <ns0:c r="AF407" s="17" t="n"/>
      <ns0:c r="AG407" s="17" t="n"/>
    </ns0:row>
    <ns0:row r="408" ht="24" customHeight="1">
      <ns0:c r="D408" s="17" t="n"/>
      <ns0:c r="E408" s="17" t="n"/>
      <ns0:c r="F408" s="17" t="n"/>
      <ns0:c r="G408" s="17" t="n"/>
      <ns0:c r="H408" s="17" t="n"/>
      <ns0:c r="I408" s="17" t="n"/>
      <ns0:c r="J408" s="17" t="n"/>
      <ns0:c r="K408" s="17" t="n"/>
      <ns0:c r="L408" s="17" t="n"/>
      <ns0:c r="M408" s="17" t="n"/>
      <ns0:c r="N408" s="17" t="n"/>
      <ns0:c r="O408" s="17" t="n"/>
      <ns0:c r="P408" s="17" t="n"/>
      <ns0:c r="Q408" s="17" t="n"/>
      <ns0:c r="R408" s="17" t="n"/>
      <ns0:c r="S408" s="17" t="n"/>
      <ns0:c r="T408" s="17" t="n"/>
      <ns0:c r="U408" s="17" t="n"/>
      <ns0:c r="V408" s="17" t="n"/>
      <ns0:c r="W408" s="17" t="n"/>
      <ns0:c r="X408" s="17" t="n"/>
      <ns0:c r="Y408" s="17" t="n"/>
      <ns0:c r="Z408" s="17" t="n"/>
      <ns0:c r="AA408" s="17" t="n"/>
      <ns0:c r="AB408" s="17" t="n"/>
      <ns0:c r="AC408" s="17" t="n"/>
      <ns0:c r="AD408" s="17" t="n"/>
      <ns0:c r="AE408" s="17" t="n"/>
      <ns0:c r="AF408" s="17" t="n"/>
      <ns0:c r="AG408" s="17" t="n"/>
    </ns0:row>
    <ns0:row r="409" ht="24" customHeight="1">
      <ns0:c r="D409" s="17" t="n"/>
      <ns0:c r="E409" s="17" t="n"/>
      <ns0:c r="F409" s="17" t="n"/>
      <ns0:c r="G409" s="17" t="n"/>
      <ns0:c r="H409" s="17" t="n"/>
      <ns0:c r="I409" s="17" t="n"/>
      <ns0:c r="J409" s="17" t="n"/>
      <ns0:c r="K409" s="17" t="n"/>
      <ns0:c r="L409" s="17" t="n"/>
      <ns0:c r="M409" s="17" t="n"/>
      <ns0:c r="N409" s="17" t="n"/>
      <ns0:c r="O409" s="17" t="n"/>
      <ns0:c r="P409" s="17" t="n"/>
      <ns0:c r="Q409" s="17" t="n"/>
      <ns0:c r="R409" s="17" t="n"/>
      <ns0:c r="S409" s="17" t="n"/>
      <ns0:c r="T409" s="17" t="n"/>
      <ns0:c r="U409" s="17" t="n"/>
      <ns0:c r="V409" s="17" t="n"/>
      <ns0:c r="W409" s="17" t="n"/>
      <ns0:c r="X409" s="17" t="n"/>
      <ns0:c r="Y409" s="17" t="n"/>
      <ns0:c r="Z409" s="17" t="n"/>
      <ns0:c r="AA409" s="17" t="n"/>
      <ns0:c r="AB409" s="17" t="n"/>
      <ns0:c r="AC409" s="17" t="n"/>
      <ns0:c r="AD409" s="17" t="n"/>
      <ns0:c r="AE409" s="17" t="n"/>
      <ns0:c r="AF409" s="17" t="n"/>
      <ns0:c r="AG409" s="17" t="n"/>
    </ns0:row>
    <ns0:row r="410" ht="24" customHeight="1">
      <ns0:c r="D410" s="17" t="n"/>
      <ns0:c r="E410" s="17" t="n"/>
      <ns0:c r="F410" s="17" t="n"/>
      <ns0:c r="G410" s="17" t="n"/>
      <ns0:c r="H410" s="17" t="n"/>
      <ns0:c r="I410" s="17" t="n"/>
      <ns0:c r="J410" s="17" t="n"/>
      <ns0:c r="K410" s="17" t="n"/>
      <ns0:c r="L410" s="17" t="n"/>
      <ns0:c r="M410" s="17" t="n"/>
      <ns0:c r="N410" s="17" t="n"/>
      <ns0:c r="O410" s="17" t="n"/>
      <ns0:c r="P410" s="17" t="n"/>
      <ns0:c r="Q410" s="17" t="n"/>
      <ns0:c r="R410" s="17" t="n"/>
      <ns0:c r="S410" s="17" t="n"/>
      <ns0:c r="T410" s="17" t="n"/>
      <ns0:c r="U410" s="17" t="n"/>
      <ns0:c r="V410" s="17" t="n"/>
      <ns0:c r="W410" s="17" t="n"/>
      <ns0:c r="X410" s="17" t="n"/>
      <ns0:c r="Y410" s="17" t="n"/>
      <ns0:c r="Z410" s="17" t="n"/>
      <ns0:c r="AA410" s="17" t="n"/>
      <ns0:c r="AB410" s="17" t="n"/>
      <ns0:c r="AC410" s="17" t="n"/>
      <ns0:c r="AD410" s="17" t="n"/>
      <ns0:c r="AE410" s="17" t="n"/>
      <ns0:c r="AF410" s="17" t="n"/>
      <ns0:c r="AG410" s="17" t="n"/>
    </ns0:row>
    <ns0:row r="411" ht="24" customHeight="1">
      <ns0:c r="D411" s="17" t="n"/>
      <ns0:c r="E411" s="17" t="n"/>
      <ns0:c r="F411" s="17" t="n"/>
      <ns0:c r="G411" s="17" t="n"/>
      <ns0:c r="H411" s="17" t="n"/>
      <ns0:c r="I411" s="17" t="n"/>
      <ns0:c r="J411" s="17" t="n"/>
      <ns0:c r="K411" s="17" t="n"/>
      <ns0:c r="L411" s="17" t="n"/>
      <ns0:c r="M411" s="17" t="n"/>
      <ns0:c r="N411" s="17" t="n"/>
      <ns0:c r="O411" s="17" t="n"/>
      <ns0:c r="P411" s="17" t="n"/>
      <ns0:c r="Q411" s="17" t="n"/>
      <ns0:c r="R411" s="17" t="n"/>
      <ns0:c r="S411" s="17" t="n"/>
      <ns0:c r="T411" s="17" t="n"/>
      <ns0:c r="U411" s="17" t="n"/>
      <ns0:c r="V411" s="17" t="n"/>
      <ns0:c r="W411" s="17" t="n"/>
      <ns0:c r="X411" s="17" t="n"/>
      <ns0:c r="Y411" s="17" t="n"/>
      <ns0:c r="Z411" s="17" t="n"/>
      <ns0:c r="AA411" s="17" t="n"/>
      <ns0:c r="AB411" s="17" t="n"/>
      <ns0:c r="AC411" s="17" t="n"/>
      <ns0:c r="AD411" s="17" t="n"/>
      <ns0:c r="AE411" s="17" t="n"/>
      <ns0:c r="AF411" s="17" t="n"/>
      <ns0:c r="AG411" s="17" t="n"/>
    </ns0:row>
    <ns0:row r="412" ht="24" customHeight="1">
      <ns0:c r="D412" s="17" t="n"/>
      <ns0:c r="E412" s="17" t="n"/>
      <ns0:c r="F412" s="17" t="n"/>
      <ns0:c r="G412" s="17" t="n"/>
      <ns0:c r="H412" s="17" t="n"/>
      <ns0:c r="I412" s="17" t="n"/>
      <ns0:c r="J412" s="17" t="n"/>
      <ns0:c r="K412" s="17" t="n"/>
      <ns0:c r="L412" s="17" t="n"/>
      <ns0:c r="M412" s="17" t="n"/>
      <ns0:c r="N412" s="17" t="n"/>
      <ns0:c r="O412" s="17" t="n"/>
      <ns0:c r="P412" s="17" t="n"/>
      <ns0:c r="Q412" s="17" t="n"/>
      <ns0:c r="R412" s="17" t="n"/>
      <ns0:c r="S412" s="17" t="n"/>
      <ns0:c r="T412" s="17" t="n"/>
      <ns0:c r="U412" s="17" t="n"/>
      <ns0:c r="V412" s="17" t="n"/>
      <ns0:c r="W412" s="17" t="n"/>
      <ns0:c r="X412" s="17" t="n"/>
      <ns0:c r="Y412" s="17" t="n"/>
      <ns0:c r="Z412" s="17" t="n"/>
      <ns0:c r="AA412" s="17" t="n"/>
      <ns0:c r="AB412" s="17" t="n"/>
      <ns0:c r="AC412" s="17" t="n"/>
      <ns0:c r="AD412" s="17" t="n"/>
      <ns0:c r="AE412" s="17" t="n"/>
      <ns0:c r="AF412" s="17" t="n"/>
      <ns0:c r="AG412" s="17" t="n"/>
    </ns0:row>
    <ns0:row r="413" ht="24" customHeight="1">
      <ns0:c r="D413" s="17" t="n"/>
      <ns0:c r="E413" s="17" t="n"/>
      <ns0:c r="F413" s="17" t="n"/>
      <ns0:c r="G413" s="17" t="n"/>
      <ns0:c r="H413" s="17" t="n"/>
      <ns0:c r="I413" s="17" t="n"/>
      <ns0:c r="J413" s="17" t="n"/>
      <ns0:c r="K413" s="17" t="n"/>
      <ns0:c r="L413" s="17" t="n"/>
      <ns0:c r="M413" s="17" t="n"/>
      <ns0:c r="N413" s="17" t="n"/>
      <ns0:c r="O413" s="17" t="n"/>
      <ns0:c r="P413" s="17" t="n"/>
      <ns0:c r="Q413" s="17" t="n"/>
      <ns0:c r="R413" s="17" t="n"/>
      <ns0:c r="S413" s="17" t="n"/>
      <ns0:c r="T413" s="17" t="n"/>
      <ns0:c r="U413" s="17" t="n"/>
      <ns0:c r="V413" s="17" t="n"/>
      <ns0:c r="W413" s="17" t="n"/>
      <ns0:c r="X413" s="17" t="n"/>
      <ns0:c r="Y413" s="17" t="n"/>
      <ns0:c r="Z413" s="17" t="n"/>
      <ns0:c r="AA413" s="17" t="n"/>
      <ns0:c r="AB413" s="17" t="n"/>
      <ns0:c r="AC413" s="17" t="n"/>
      <ns0:c r="AD413" s="17" t="n"/>
      <ns0:c r="AE413" s="17" t="n"/>
      <ns0:c r="AF413" s="17" t="n"/>
      <ns0:c r="AG413" s="17" t="n"/>
    </ns0:row>
    <ns0:row r="414" ht="24" customHeight="1">
      <ns0:c r="D414" s="17" t="n"/>
      <ns0:c r="E414" s="17" t="n"/>
      <ns0:c r="F414" s="17" t="n"/>
      <ns0:c r="G414" s="17" t="n"/>
      <ns0:c r="H414" s="17" t="n"/>
      <ns0:c r="I414" s="17" t="n"/>
      <ns0:c r="J414" s="17" t="n"/>
      <ns0:c r="K414" s="17" t="n"/>
      <ns0:c r="L414" s="17" t="n"/>
      <ns0:c r="M414" s="17" t="n"/>
      <ns0:c r="N414" s="17" t="n"/>
      <ns0:c r="O414" s="17" t="n"/>
      <ns0:c r="P414" s="17" t="n"/>
      <ns0:c r="Q414" s="17" t="n"/>
      <ns0:c r="R414" s="17" t="n"/>
      <ns0:c r="S414" s="17" t="n"/>
      <ns0:c r="T414" s="17" t="n"/>
      <ns0:c r="U414" s="17" t="n"/>
      <ns0:c r="V414" s="17" t="n"/>
      <ns0:c r="W414" s="17" t="n"/>
      <ns0:c r="X414" s="17" t="n"/>
      <ns0:c r="Y414" s="17" t="n"/>
      <ns0:c r="Z414" s="17" t="n"/>
      <ns0:c r="AA414" s="17" t="n"/>
      <ns0:c r="AB414" s="17" t="n"/>
      <ns0:c r="AC414" s="17" t="n"/>
      <ns0:c r="AD414" s="17" t="n"/>
      <ns0:c r="AE414" s="17" t="n"/>
      <ns0:c r="AF414" s="17" t="n"/>
      <ns0:c r="AG414" s="17" t="n"/>
    </ns0:row>
    <ns0:row r="415" ht="24" customHeight="1">
      <ns0:c r="D415" s="17" t="n"/>
      <ns0:c r="E415" s="17" t="n"/>
      <ns0:c r="F415" s="17" t="n"/>
      <ns0:c r="G415" s="17" t="n"/>
      <ns0:c r="H415" s="17" t="n"/>
      <ns0:c r="I415" s="17" t="n"/>
      <ns0:c r="J415" s="17" t="n"/>
      <ns0:c r="K415" s="17" t="n"/>
      <ns0:c r="L415" s="17" t="n"/>
      <ns0:c r="M415" s="17" t="n"/>
      <ns0:c r="N415" s="17" t="n"/>
      <ns0:c r="O415" s="17" t="n"/>
      <ns0:c r="P415" s="17" t="n"/>
      <ns0:c r="Q415" s="17" t="n"/>
      <ns0:c r="R415" s="17" t="n"/>
      <ns0:c r="S415" s="17" t="n"/>
      <ns0:c r="T415" s="17" t="n"/>
      <ns0:c r="U415" s="17" t="n"/>
      <ns0:c r="V415" s="17" t="n"/>
      <ns0:c r="W415" s="17" t="n"/>
      <ns0:c r="X415" s="17" t="n"/>
      <ns0:c r="Y415" s="17" t="n"/>
      <ns0:c r="Z415" s="17" t="n"/>
      <ns0:c r="AA415" s="17" t="n"/>
      <ns0:c r="AB415" s="17" t="n"/>
      <ns0:c r="AC415" s="17" t="n"/>
      <ns0:c r="AD415" s="17" t="n"/>
      <ns0:c r="AE415" s="17" t="n"/>
      <ns0:c r="AF415" s="17" t="n"/>
      <ns0:c r="AG415" s="17" t="n"/>
    </ns0:row>
    <ns0:row r="416" ht="24" customHeight="1">
      <ns0:c r="D416" s="17" t="n"/>
      <ns0:c r="E416" s="17" t="n"/>
      <ns0:c r="F416" s="17" t="n"/>
      <ns0:c r="G416" s="17" t="n"/>
      <ns0:c r="H416" s="17" t="n"/>
      <ns0:c r="I416" s="17" t="n"/>
      <ns0:c r="J416" s="17" t="n"/>
      <ns0:c r="K416" s="17" t="n"/>
      <ns0:c r="L416" s="17" t="n"/>
      <ns0:c r="M416" s="17" t="n"/>
      <ns0:c r="N416" s="17" t="n"/>
      <ns0:c r="O416" s="17" t="n"/>
      <ns0:c r="P416" s="17" t="n"/>
      <ns0:c r="Q416" s="17" t="n"/>
      <ns0:c r="R416" s="17" t="n"/>
      <ns0:c r="S416" s="17" t="n"/>
      <ns0:c r="T416" s="17" t="n"/>
      <ns0:c r="U416" s="17" t="n"/>
      <ns0:c r="V416" s="17" t="n"/>
      <ns0:c r="W416" s="17" t="n"/>
      <ns0:c r="X416" s="17" t="n"/>
      <ns0:c r="Y416" s="17" t="n"/>
      <ns0:c r="Z416" s="17" t="n"/>
      <ns0:c r="AA416" s="17" t="n"/>
      <ns0:c r="AB416" s="17" t="n"/>
      <ns0:c r="AC416" s="17" t="n"/>
      <ns0:c r="AD416" s="17" t="n"/>
      <ns0:c r="AE416" s="17" t="n"/>
      <ns0:c r="AF416" s="17" t="n"/>
      <ns0:c r="AG416" s="17" t="n"/>
    </ns0:row>
    <ns0:row r="417" ht="24" customHeight="1">
      <ns0:c r="D417" s="17" t="n"/>
      <ns0:c r="E417" s="17" t="n"/>
      <ns0:c r="F417" s="17" t="n"/>
      <ns0:c r="G417" s="17" t="n"/>
      <ns0:c r="H417" s="17" t="n"/>
      <ns0:c r="I417" s="17" t="n"/>
      <ns0:c r="J417" s="17" t="n"/>
      <ns0:c r="K417" s="17" t="n"/>
      <ns0:c r="L417" s="17" t="n"/>
      <ns0:c r="M417" s="17" t="n"/>
      <ns0:c r="N417" s="17" t="n"/>
      <ns0:c r="O417" s="17" t="n"/>
      <ns0:c r="P417" s="17" t="n"/>
      <ns0:c r="Q417" s="17" t="n"/>
      <ns0:c r="R417" s="17" t="n"/>
      <ns0:c r="S417" s="17" t="n"/>
      <ns0:c r="T417" s="17" t="n"/>
      <ns0:c r="U417" s="17" t="n"/>
      <ns0:c r="V417" s="17" t="n"/>
      <ns0:c r="W417" s="17" t="n"/>
      <ns0:c r="X417" s="17" t="n"/>
      <ns0:c r="Y417" s="17" t="n"/>
      <ns0:c r="Z417" s="17" t="n"/>
      <ns0:c r="AA417" s="17" t="n"/>
      <ns0:c r="AB417" s="17" t="n"/>
      <ns0:c r="AC417" s="17" t="n"/>
      <ns0:c r="AD417" s="17" t="n"/>
      <ns0:c r="AE417" s="17" t="n"/>
      <ns0:c r="AF417" s="17" t="n"/>
      <ns0:c r="AG417" s="17" t="n"/>
    </ns0:row>
    <ns0:row r="418" ht="24" customHeight="1">
      <ns0:c r="D418" s="17" t="n"/>
      <ns0:c r="E418" s="17" t="n"/>
      <ns0:c r="F418" s="17" t="n"/>
      <ns0:c r="G418" s="17" t="n"/>
      <ns0:c r="H418" s="17" t="n"/>
      <ns0:c r="I418" s="17" t="n"/>
      <ns0:c r="J418" s="17" t="n"/>
      <ns0:c r="K418" s="17" t="n"/>
      <ns0:c r="L418" s="17" t="n"/>
      <ns0:c r="M418" s="17" t="n"/>
      <ns0:c r="N418" s="17" t="n"/>
      <ns0:c r="O418" s="17" t="n"/>
      <ns0:c r="P418" s="17" t="n"/>
      <ns0:c r="Q418" s="17" t="n"/>
      <ns0:c r="R418" s="17" t="n"/>
      <ns0:c r="S418" s="17" t="n"/>
      <ns0:c r="T418" s="17" t="n"/>
      <ns0:c r="U418" s="17" t="n"/>
      <ns0:c r="V418" s="17" t="n"/>
      <ns0:c r="W418" s="17" t="n"/>
      <ns0:c r="X418" s="17" t="n"/>
      <ns0:c r="Y418" s="17" t="n"/>
      <ns0:c r="Z418" s="17" t="n"/>
      <ns0:c r="AA418" s="17" t="n"/>
      <ns0:c r="AB418" s="17" t="n"/>
      <ns0:c r="AC418" s="17" t="n"/>
      <ns0:c r="AD418" s="17" t="n"/>
      <ns0:c r="AE418" s="17" t="n"/>
      <ns0:c r="AF418" s="17" t="n"/>
      <ns0:c r="AG418" s="17" t="n"/>
    </ns0:row>
    <ns0:row r="419" ht="24" customHeight="1">
      <ns0:c r="D419" s="17" t="n"/>
      <ns0:c r="E419" s="17" t="n"/>
      <ns0:c r="F419" s="17" t="n"/>
      <ns0:c r="G419" s="17" t="n"/>
      <ns0:c r="H419" s="17" t="n"/>
      <ns0:c r="I419" s="17" t="n"/>
      <ns0:c r="J419" s="17" t="n"/>
      <ns0:c r="K419" s="17" t="n"/>
      <ns0:c r="L419" s="17" t="n"/>
      <ns0:c r="M419" s="17" t="n"/>
      <ns0:c r="N419" s="17" t="n"/>
      <ns0:c r="O419" s="17" t="n"/>
      <ns0:c r="P419" s="17" t="n"/>
      <ns0:c r="Q419" s="17" t="n"/>
      <ns0:c r="R419" s="17" t="n"/>
      <ns0:c r="S419" s="17" t="n"/>
      <ns0:c r="T419" s="17" t="n"/>
      <ns0:c r="U419" s="17" t="n"/>
      <ns0:c r="V419" s="17" t="n"/>
      <ns0:c r="W419" s="17" t="n"/>
      <ns0:c r="X419" s="17" t="n"/>
      <ns0:c r="Y419" s="17" t="n"/>
      <ns0:c r="Z419" s="17" t="n"/>
      <ns0:c r="AA419" s="17" t="n"/>
      <ns0:c r="AB419" s="17" t="n"/>
      <ns0:c r="AC419" s="17" t="n"/>
      <ns0:c r="AD419" s="17" t="n"/>
      <ns0:c r="AE419" s="17" t="n"/>
      <ns0:c r="AF419" s="17" t="n"/>
      <ns0:c r="AG419" s="17" t="n"/>
    </ns0:row>
    <ns0:row r="420" ht="24" customHeight="1">
      <ns0:c r="D420" s="17" t="n"/>
      <ns0:c r="E420" s="17" t="n"/>
      <ns0:c r="F420" s="17" t="n"/>
      <ns0:c r="G420" s="17" t="n"/>
      <ns0:c r="H420" s="17" t="n"/>
      <ns0:c r="I420" s="17" t="n"/>
      <ns0:c r="J420" s="17" t="n"/>
      <ns0:c r="K420" s="17" t="n"/>
      <ns0:c r="L420" s="17" t="n"/>
      <ns0:c r="M420" s="17" t="n"/>
      <ns0:c r="N420" s="17" t="n"/>
      <ns0:c r="O420" s="17" t="n"/>
      <ns0:c r="P420" s="17" t="n"/>
      <ns0:c r="Q420" s="17" t="n"/>
      <ns0:c r="R420" s="17" t="n"/>
      <ns0:c r="S420" s="17" t="n"/>
      <ns0:c r="T420" s="17" t="n"/>
      <ns0:c r="U420" s="17" t="n"/>
      <ns0:c r="V420" s="17" t="n"/>
      <ns0:c r="W420" s="17" t="n"/>
      <ns0:c r="X420" s="17" t="n"/>
      <ns0:c r="Y420" s="17" t="n"/>
      <ns0:c r="Z420" s="17" t="n"/>
      <ns0:c r="AA420" s="17" t="n"/>
      <ns0:c r="AB420" s="17" t="n"/>
      <ns0:c r="AC420" s="17" t="n"/>
      <ns0:c r="AD420" s="17" t="n"/>
      <ns0:c r="AE420" s="17" t="n"/>
      <ns0:c r="AF420" s="17" t="n"/>
      <ns0:c r="AG420" s="17" t="n"/>
    </ns0:row>
    <ns0:row r="421" ht="24" customHeight="1">
      <ns0:c r="D421" s="17" t="n"/>
      <ns0:c r="E421" s="17" t="n"/>
      <ns0:c r="F421" s="17" t="n"/>
      <ns0:c r="G421" s="17" t="n"/>
      <ns0:c r="H421" s="17" t="n"/>
      <ns0:c r="I421" s="17" t="n"/>
      <ns0:c r="J421" s="17" t="n"/>
      <ns0:c r="K421" s="17" t="n"/>
      <ns0:c r="L421" s="17" t="n"/>
      <ns0:c r="M421" s="17" t="n"/>
      <ns0:c r="N421" s="17" t="n"/>
      <ns0:c r="O421" s="17" t="n"/>
      <ns0:c r="P421" s="17" t="n"/>
      <ns0:c r="Q421" s="17" t="n"/>
      <ns0:c r="R421" s="17" t="n"/>
      <ns0:c r="S421" s="17" t="n"/>
      <ns0:c r="T421" s="17" t="n"/>
      <ns0:c r="U421" s="17" t="n"/>
      <ns0:c r="V421" s="17" t="n"/>
      <ns0:c r="W421" s="17" t="n"/>
      <ns0:c r="X421" s="17" t="n"/>
      <ns0:c r="Y421" s="17" t="n"/>
      <ns0:c r="Z421" s="17" t="n"/>
      <ns0:c r="AA421" s="17" t="n"/>
      <ns0:c r="AB421" s="17" t="n"/>
      <ns0:c r="AC421" s="17" t="n"/>
      <ns0:c r="AD421" s="17" t="n"/>
      <ns0:c r="AE421" s="17" t="n"/>
      <ns0:c r="AF421" s="17" t="n"/>
      <ns0:c r="AG421" s="17" t="n"/>
    </ns0:row>
    <ns0:row r="422" ht="24" customHeight="1">
      <ns0:c r="D422" s="17" t="n"/>
      <ns0:c r="E422" s="17" t="n"/>
      <ns0:c r="F422" s="17" t="n"/>
      <ns0:c r="G422" s="17" t="n"/>
      <ns0:c r="H422" s="17" t="n"/>
      <ns0:c r="I422" s="17" t="n"/>
      <ns0:c r="J422" s="17" t="n"/>
      <ns0:c r="K422" s="17" t="n"/>
      <ns0:c r="L422" s="17" t="n"/>
      <ns0:c r="M422" s="17" t="n"/>
      <ns0:c r="N422" s="17" t="n"/>
      <ns0:c r="O422" s="17" t="n"/>
      <ns0:c r="P422" s="17" t="n"/>
      <ns0:c r="Q422" s="17" t="n"/>
      <ns0:c r="R422" s="17" t="n"/>
      <ns0:c r="S422" s="17" t="n"/>
      <ns0:c r="T422" s="17" t="n"/>
      <ns0:c r="U422" s="17" t="n"/>
      <ns0:c r="V422" s="17" t="n"/>
      <ns0:c r="W422" s="17" t="n"/>
      <ns0:c r="X422" s="17" t="n"/>
      <ns0:c r="Y422" s="17" t="n"/>
      <ns0:c r="Z422" s="17" t="n"/>
      <ns0:c r="AA422" s="17" t="n"/>
      <ns0:c r="AB422" s="17" t="n"/>
      <ns0:c r="AC422" s="17" t="n"/>
      <ns0:c r="AD422" s="17" t="n"/>
      <ns0:c r="AE422" s="17" t="n"/>
      <ns0:c r="AF422" s="17" t="n"/>
      <ns0:c r="AG422" s="17" t="n"/>
    </ns0:row>
    <ns0:row r="423" ht="24" customHeight="1">
      <ns0:c r="D423" s="17" t="n"/>
      <ns0:c r="E423" s="17" t="n"/>
      <ns0:c r="F423" s="17" t="n"/>
      <ns0:c r="G423" s="17" t="n"/>
      <ns0:c r="H423" s="17" t="n"/>
      <ns0:c r="I423" s="17" t="n"/>
      <ns0:c r="J423" s="17" t="n"/>
      <ns0:c r="K423" s="17" t="n"/>
      <ns0:c r="L423" s="17" t="n"/>
      <ns0:c r="M423" s="17" t="n"/>
      <ns0:c r="N423" s="17" t="n"/>
      <ns0:c r="O423" s="17" t="n"/>
      <ns0:c r="P423" s="17" t="n"/>
      <ns0:c r="Q423" s="17" t="n"/>
      <ns0:c r="R423" s="17" t="n"/>
      <ns0:c r="S423" s="17" t="n"/>
      <ns0:c r="T423" s="17" t="n"/>
      <ns0:c r="U423" s="17" t="n"/>
      <ns0:c r="V423" s="17" t="n"/>
      <ns0:c r="W423" s="17" t="n"/>
      <ns0:c r="X423" s="17" t="n"/>
      <ns0:c r="Y423" s="17" t="n"/>
      <ns0:c r="Z423" s="17" t="n"/>
      <ns0:c r="AA423" s="17" t="n"/>
      <ns0:c r="AB423" s="17" t="n"/>
      <ns0:c r="AC423" s="17" t="n"/>
      <ns0:c r="AD423" s="17" t="n"/>
      <ns0:c r="AE423" s="17" t="n"/>
      <ns0:c r="AF423" s="17" t="n"/>
      <ns0:c r="AG423" s="17" t="n"/>
    </ns0:row>
    <ns0:row r="424" ht="24" customHeight="1">
      <ns0:c r="D424" s="17" t="n"/>
      <ns0:c r="E424" s="17" t="n"/>
      <ns0:c r="F424" s="17" t="n"/>
      <ns0:c r="G424" s="17" t="n"/>
      <ns0:c r="H424" s="17" t="n"/>
      <ns0:c r="I424" s="17" t="n"/>
      <ns0:c r="J424" s="17" t="n"/>
      <ns0:c r="K424" s="17" t="n"/>
      <ns0:c r="L424" s="17" t="n"/>
      <ns0:c r="M424" s="17" t="n"/>
      <ns0:c r="N424" s="17" t="n"/>
      <ns0:c r="O424" s="17" t="n"/>
      <ns0:c r="P424" s="17" t="n"/>
      <ns0:c r="Q424" s="17" t="n"/>
      <ns0:c r="R424" s="17" t="n"/>
      <ns0:c r="S424" s="17" t="n"/>
      <ns0:c r="T424" s="17" t="n"/>
      <ns0:c r="U424" s="17" t="n"/>
      <ns0:c r="V424" s="17" t="n"/>
      <ns0:c r="W424" s="17" t="n"/>
      <ns0:c r="X424" s="17" t="n"/>
      <ns0:c r="Y424" s="17" t="n"/>
      <ns0:c r="Z424" s="17" t="n"/>
      <ns0:c r="AA424" s="17" t="n"/>
      <ns0:c r="AB424" s="17" t="n"/>
      <ns0:c r="AC424" s="17" t="n"/>
      <ns0:c r="AD424" s="17" t="n"/>
      <ns0:c r="AE424" s="17" t="n"/>
      <ns0:c r="AF424" s="17" t="n"/>
      <ns0:c r="AG424" s="17" t="n"/>
    </ns0:row>
    <ns0:row r="425" ht="24" customHeight="1">
      <ns0:c r="D425" s="17" t="n"/>
      <ns0:c r="E425" s="17" t="n"/>
      <ns0:c r="F425" s="17" t="n"/>
      <ns0:c r="G425" s="17" t="n"/>
      <ns0:c r="H425" s="17" t="n"/>
      <ns0:c r="I425" s="17" t="n"/>
      <ns0:c r="J425" s="17" t="n"/>
      <ns0:c r="K425" s="17" t="n"/>
      <ns0:c r="L425" s="17" t="n"/>
      <ns0:c r="M425" s="17" t="n"/>
      <ns0:c r="N425" s="17" t="n"/>
      <ns0:c r="O425" s="17" t="n"/>
      <ns0:c r="P425" s="17" t="n"/>
      <ns0:c r="Q425" s="17" t="n"/>
      <ns0:c r="R425" s="17" t="n"/>
      <ns0:c r="S425" s="17" t="n"/>
      <ns0:c r="T425" s="17" t="n"/>
      <ns0:c r="U425" s="17" t="n"/>
      <ns0:c r="V425" s="17" t="n"/>
      <ns0:c r="W425" s="17" t="n"/>
      <ns0:c r="X425" s="17" t="n"/>
      <ns0:c r="Y425" s="17" t="n"/>
      <ns0:c r="Z425" s="17" t="n"/>
      <ns0:c r="AA425" s="17" t="n"/>
      <ns0:c r="AB425" s="17" t="n"/>
      <ns0:c r="AC425" s="17" t="n"/>
      <ns0:c r="AD425" s="17" t="n"/>
      <ns0:c r="AE425" s="17" t="n"/>
      <ns0:c r="AF425" s="17" t="n"/>
      <ns0:c r="AG425" s="17" t="n"/>
    </ns0:row>
    <ns0:row r="426" ht="24" customHeight="1">
      <ns0:c r="D426" s="17" t="n"/>
      <ns0:c r="E426" s="17" t="n"/>
      <ns0:c r="F426" s="17" t="n"/>
      <ns0:c r="G426" s="17" t="n"/>
      <ns0:c r="H426" s="17" t="n"/>
      <ns0:c r="I426" s="17" t="n"/>
      <ns0:c r="J426" s="17" t="n"/>
      <ns0:c r="K426" s="17" t="n"/>
      <ns0:c r="L426" s="17" t="n"/>
      <ns0:c r="M426" s="17" t="n"/>
      <ns0:c r="N426" s="17" t="n"/>
      <ns0:c r="O426" s="17" t="n"/>
      <ns0:c r="P426" s="17" t="n"/>
      <ns0:c r="Q426" s="17" t="n"/>
      <ns0:c r="R426" s="17" t="n"/>
      <ns0:c r="S426" s="17" t="n"/>
      <ns0:c r="T426" s="17" t="n"/>
      <ns0:c r="U426" s="17" t="n"/>
      <ns0:c r="V426" s="17" t="n"/>
      <ns0:c r="W426" s="17" t="n"/>
      <ns0:c r="X426" s="17" t="n"/>
      <ns0:c r="Y426" s="17" t="n"/>
      <ns0:c r="Z426" s="17" t="n"/>
      <ns0:c r="AA426" s="17" t="n"/>
      <ns0:c r="AB426" s="17" t="n"/>
      <ns0:c r="AC426" s="17" t="n"/>
      <ns0:c r="AD426" s="17" t="n"/>
      <ns0:c r="AE426" s="17" t="n"/>
      <ns0:c r="AF426" s="17" t="n"/>
      <ns0:c r="AG426" s="17" t="n"/>
    </ns0:row>
    <ns0:row r="427" ht="24" customHeight="1">
      <ns0:c r="D427" s="17" t="n"/>
      <ns0:c r="E427" s="17" t="n"/>
      <ns0:c r="F427" s="17" t="n"/>
      <ns0:c r="G427" s="17" t="n"/>
      <ns0:c r="H427" s="17" t="n"/>
      <ns0:c r="I427" s="17" t="n"/>
      <ns0:c r="J427" s="17" t="n"/>
      <ns0:c r="K427" s="17" t="n"/>
      <ns0:c r="L427" s="17" t="n"/>
      <ns0:c r="M427" s="17" t="n"/>
      <ns0:c r="N427" s="17" t="n"/>
      <ns0:c r="O427" s="17" t="n"/>
      <ns0:c r="P427" s="17" t="n"/>
      <ns0:c r="Q427" s="17" t="n"/>
      <ns0:c r="R427" s="17" t="n"/>
      <ns0:c r="S427" s="17" t="n"/>
      <ns0:c r="T427" s="17" t="n"/>
      <ns0:c r="U427" s="17" t="n"/>
      <ns0:c r="V427" s="17" t="n"/>
      <ns0:c r="W427" s="17" t="n"/>
      <ns0:c r="X427" s="17" t="n"/>
      <ns0:c r="Y427" s="17" t="n"/>
      <ns0:c r="Z427" s="17" t="n"/>
      <ns0:c r="AA427" s="17" t="n"/>
      <ns0:c r="AB427" s="17" t="n"/>
      <ns0:c r="AC427" s="17" t="n"/>
      <ns0:c r="AD427" s="17" t="n"/>
      <ns0:c r="AE427" s="17" t="n"/>
      <ns0:c r="AF427" s="17" t="n"/>
      <ns0:c r="AG427" s="17" t="n"/>
    </ns0:row>
    <ns0:row r="428" ht="24" customHeight="1">
      <ns0:c r="D428" s="17" t="n"/>
      <ns0:c r="E428" s="17" t="n"/>
      <ns0:c r="F428" s="17" t="n"/>
      <ns0:c r="G428" s="17" t="n"/>
      <ns0:c r="H428" s="17" t="n"/>
      <ns0:c r="I428" s="17" t="n"/>
      <ns0:c r="J428" s="17" t="n"/>
      <ns0:c r="K428" s="17" t="n"/>
      <ns0:c r="L428" s="17" t="n"/>
      <ns0:c r="M428" s="17" t="n"/>
      <ns0:c r="N428" s="17" t="n"/>
      <ns0:c r="O428" s="17" t="n"/>
      <ns0:c r="P428" s="17" t="n"/>
      <ns0:c r="Q428" s="17" t="n"/>
      <ns0:c r="R428" s="17" t="n"/>
      <ns0:c r="S428" s="17" t="n"/>
      <ns0:c r="T428" s="17" t="n"/>
      <ns0:c r="U428" s="17" t="n"/>
      <ns0:c r="V428" s="17" t="n"/>
      <ns0:c r="W428" s="17" t="n"/>
      <ns0:c r="X428" s="17" t="n"/>
      <ns0:c r="Y428" s="17" t="n"/>
      <ns0:c r="Z428" s="17" t="n"/>
      <ns0:c r="AA428" s="17" t="n"/>
      <ns0:c r="AB428" s="17" t="n"/>
      <ns0:c r="AC428" s="17" t="n"/>
      <ns0:c r="AD428" s="17" t="n"/>
      <ns0:c r="AE428" s="17" t="n"/>
      <ns0:c r="AF428" s="17" t="n"/>
      <ns0:c r="AG428" s="17" t="n"/>
    </ns0:row>
    <ns0:row r="429" ht="24" customHeight="1">
      <ns0:c r="D429" s="17" t="n"/>
      <ns0:c r="E429" s="17" t="n"/>
      <ns0:c r="F429" s="17" t="n"/>
      <ns0:c r="G429" s="17" t="n"/>
      <ns0:c r="H429" s="17" t="n"/>
      <ns0:c r="I429" s="17" t="n"/>
      <ns0:c r="J429" s="17" t="n"/>
      <ns0:c r="K429" s="17" t="n"/>
      <ns0:c r="L429" s="17" t="n"/>
      <ns0:c r="M429" s="17" t="n"/>
      <ns0:c r="N429" s="17" t="n"/>
      <ns0:c r="O429" s="17" t="n"/>
      <ns0:c r="P429" s="17" t="n"/>
      <ns0:c r="Q429" s="17" t="n"/>
      <ns0:c r="R429" s="17" t="n"/>
      <ns0:c r="S429" s="17" t="n"/>
      <ns0:c r="T429" s="17" t="n"/>
      <ns0:c r="U429" s="17" t="n"/>
      <ns0:c r="V429" s="17" t="n"/>
      <ns0:c r="W429" s="17" t="n"/>
      <ns0:c r="X429" s="17" t="n"/>
      <ns0:c r="Y429" s="17" t="n"/>
      <ns0:c r="Z429" s="17" t="n"/>
      <ns0:c r="AA429" s="17" t="n"/>
      <ns0:c r="AB429" s="17" t="n"/>
      <ns0:c r="AC429" s="17" t="n"/>
      <ns0:c r="AD429" s="17" t="n"/>
      <ns0:c r="AE429" s="17" t="n"/>
      <ns0:c r="AF429" s="17" t="n"/>
      <ns0:c r="AG429" s="17" t="n"/>
    </ns0:row>
    <ns0:row r="430" ht="24" customHeight="1">
      <ns0:c r="D430" s="17" t="n"/>
      <ns0:c r="E430" s="17" t="n"/>
      <ns0:c r="F430" s="17" t="n"/>
      <ns0:c r="G430" s="17" t="n"/>
      <ns0:c r="H430" s="17" t="n"/>
      <ns0:c r="I430" s="17" t="n"/>
      <ns0:c r="J430" s="17" t="n"/>
      <ns0:c r="K430" s="17" t="n"/>
      <ns0:c r="L430" s="17" t="n"/>
      <ns0:c r="M430" s="17" t="n"/>
      <ns0:c r="N430" s="17" t="n"/>
      <ns0:c r="O430" s="17" t="n"/>
      <ns0:c r="P430" s="17" t="n"/>
      <ns0:c r="Q430" s="17" t="n"/>
      <ns0:c r="R430" s="17" t="n"/>
      <ns0:c r="S430" s="17" t="n"/>
      <ns0:c r="T430" s="17" t="n"/>
      <ns0:c r="U430" s="17" t="n"/>
      <ns0:c r="V430" s="17" t="n"/>
      <ns0:c r="W430" s="17" t="n"/>
      <ns0:c r="X430" s="17" t="n"/>
      <ns0:c r="Y430" s="17" t="n"/>
      <ns0:c r="Z430" s="17" t="n"/>
      <ns0:c r="AA430" s="17" t="n"/>
      <ns0:c r="AB430" s="17" t="n"/>
      <ns0:c r="AC430" s="17" t="n"/>
      <ns0:c r="AD430" s="17" t="n"/>
      <ns0:c r="AE430" s="17" t="n"/>
      <ns0:c r="AF430" s="17" t="n"/>
      <ns0:c r="AG430" s="17" t="n"/>
    </ns0:row>
    <ns0:row r="431" ht="24" customHeight="1">
      <ns0:c r="D431" s="17" t="n"/>
      <ns0:c r="E431" s="17" t="n"/>
      <ns0:c r="F431" s="17" t="n"/>
      <ns0:c r="G431" s="17" t="n"/>
      <ns0:c r="H431" s="17" t="n"/>
      <ns0:c r="I431" s="17" t="n"/>
      <ns0:c r="J431" s="17" t="n"/>
      <ns0:c r="K431" s="17" t="n"/>
      <ns0:c r="L431" s="17" t="n"/>
      <ns0:c r="M431" s="17" t="n"/>
      <ns0:c r="N431" s="17" t="n"/>
      <ns0:c r="O431" s="17" t="n"/>
      <ns0:c r="P431" s="17" t="n"/>
      <ns0:c r="Q431" s="17" t="n"/>
      <ns0:c r="R431" s="17" t="n"/>
      <ns0:c r="S431" s="17" t="n"/>
      <ns0:c r="T431" s="17" t="n"/>
      <ns0:c r="U431" s="17" t="n"/>
      <ns0:c r="V431" s="17" t="n"/>
      <ns0:c r="W431" s="17" t="n"/>
      <ns0:c r="X431" s="17" t="n"/>
      <ns0:c r="Y431" s="17" t="n"/>
      <ns0:c r="Z431" s="17" t="n"/>
      <ns0:c r="AA431" s="17" t="n"/>
      <ns0:c r="AB431" s="17" t="n"/>
      <ns0:c r="AC431" s="17" t="n"/>
      <ns0:c r="AD431" s="17" t="n"/>
      <ns0:c r="AE431" s="17" t="n"/>
      <ns0:c r="AF431" s="17" t="n"/>
      <ns0:c r="AG431" s="17" t="n"/>
    </ns0:row>
    <ns0:row r="432" ht="24" customHeight="1">
      <ns0:c r="D432" s="17" t="n"/>
      <ns0:c r="E432" s="17" t="n"/>
      <ns0:c r="F432" s="17" t="n"/>
      <ns0:c r="G432" s="17" t="n"/>
      <ns0:c r="H432" s="17" t="n"/>
      <ns0:c r="I432" s="17" t="n"/>
      <ns0:c r="J432" s="17" t="n"/>
      <ns0:c r="K432" s="17" t="n"/>
      <ns0:c r="L432" s="17" t="n"/>
      <ns0:c r="M432" s="17" t="n"/>
      <ns0:c r="N432" s="17" t="n"/>
      <ns0:c r="O432" s="17" t="n"/>
      <ns0:c r="P432" s="17" t="n"/>
      <ns0:c r="Q432" s="17" t="n"/>
      <ns0:c r="R432" s="17" t="n"/>
      <ns0:c r="S432" s="17" t="n"/>
      <ns0:c r="T432" s="17" t="n"/>
      <ns0:c r="U432" s="17" t="n"/>
      <ns0:c r="V432" s="17" t="n"/>
      <ns0:c r="W432" s="17" t="n"/>
      <ns0:c r="X432" s="17" t="n"/>
      <ns0:c r="Y432" s="17" t="n"/>
      <ns0:c r="Z432" s="17" t="n"/>
      <ns0:c r="AA432" s="17" t="n"/>
      <ns0:c r="AB432" s="17" t="n"/>
      <ns0:c r="AC432" s="17" t="n"/>
      <ns0:c r="AD432" s="17" t="n"/>
      <ns0:c r="AE432" s="17" t="n"/>
      <ns0:c r="AF432" s="17" t="n"/>
      <ns0:c r="AG432" s="17" t="n"/>
    </ns0:row>
    <ns0:row r="433" ht="24" customHeight="1">
      <ns0:c r="D433" s="17" t="n"/>
      <ns0:c r="E433" s="17" t="n"/>
      <ns0:c r="F433" s="17" t="n"/>
      <ns0:c r="G433" s="17" t="n"/>
      <ns0:c r="H433" s="17" t="n"/>
      <ns0:c r="I433" s="17" t="n"/>
      <ns0:c r="J433" s="17" t="n"/>
      <ns0:c r="K433" s="17" t="n"/>
      <ns0:c r="L433" s="17" t="n"/>
      <ns0:c r="M433" s="17" t="n"/>
      <ns0:c r="N433" s="17" t="n"/>
      <ns0:c r="O433" s="17" t="n"/>
      <ns0:c r="P433" s="17" t="n"/>
      <ns0:c r="Q433" s="17" t="n"/>
      <ns0:c r="R433" s="17" t="n"/>
      <ns0:c r="S433" s="17" t="n"/>
      <ns0:c r="T433" s="17" t="n"/>
      <ns0:c r="U433" s="17" t="n"/>
      <ns0:c r="V433" s="17" t="n"/>
      <ns0:c r="W433" s="17" t="n"/>
      <ns0:c r="X433" s="17" t="n"/>
      <ns0:c r="Y433" s="17" t="n"/>
      <ns0:c r="Z433" s="17" t="n"/>
      <ns0:c r="AA433" s="17" t="n"/>
      <ns0:c r="AB433" s="17" t="n"/>
      <ns0:c r="AC433" s="17" t="n"/>
      <ns0:c r="AD433" s="17" t="n"/>
      <ns0:c r="AE433" s="17" t="n"/>
      <ns0:c r="AF433" s="17" t="n"/>
      <ns0:c r="AG433" s="17" t="n"/>
    </ns0:row>
    <ns0:row r="434" ht="24" customHeight="1">
      <ns0:c r="D434" s="17" t="n"/>
      <ns0:c r="E434" s="17" t="n"/>
      <ns0:c r="F434" s="17" t="n"/>
      <ns0:c r="G434" s="17" t="n"/>
      <ns0:c r="H434" s="17" t="n"/>
      <ns0:c r="I434" s="17" t="n"/>
      <ns0:c r="J434" s="17" t="n"/>
      <ns0:c r="K434" s="17" t="n"/>
      <ns0:c r="L434" s="17" t="n"/>
      <ns0:c r="M434" s="17" t="n"/>
      <ns0:c r="N434" s="17" t="n"/>
      <ns0:c r="O434" s="17" t="n"/>
      <ns0:c r="P434" s="17" t="n"/>
      <ns0:c r="Q434" s="17" t="n"/>
      <ns0:c r="R434" s="17" t="n"/>
      <ns0:c r="S434" s="17" t="n"/>
      <ns0:c r="T434" s="17" t="n"/>
      <ns0:c r="U434" s="17" t="n"/>
      <ns0:c r="V434" s="17" t="n"/>
      <ns0:c r="W434" s="17" t="n"/>
      <ns0:c r="X434" s="17" t="n"/>
      <ns0:c r="Y434" s="17" t="n"/>
      <ns0:c r="Z434" s="17" t="n"/>
      <ns0:c r="AA434" s="17" t="n"/>
      <ns0:c r="AB434" s="17" t="n"/>
      <ns0:c r="AC434" s="17" t="n"/>
      <ns0:c r="AD434" s="17" t="n"/>
      <ns0:c r="AE434" s="17" t="n"/>
      <ns0:c r="AF434" s="17" t="n"/>
      <ns0:c r="AG434" s="17" t="n"/>
    </ns0:row>
    <ns0:row r="435" ht="24" customHeight="1">
      <ns0:c r="D435" s="17" t="n"/>
      <ns0:c r="E435" s="17" t="n"/>
      <ns0:c r="F435" s="17" t="n"/>
      <ns0:c r="G435" s="17" t="n"/>
      <ns0:c r="H435" s="17" t="n"/>
      <ns0:c r="I435" s="17" t="n"/>
      <ns0:c r="J435" s="17" t="n"/>
      <ns0:c r="K435" s="17" t="n"/>
      <ns0:c r="L435" s="17" t="n"/>
      <ns0:c r="M435" s="17" t="n"/>
      <ns0:c r="N435" s="17" t="n"/>
      <ns0:c r="O435" s="17" t="n"/>
      <ns0:c r="P435" s="17" t="n"/>
      <ns0:c r="Q435" s="17" t="n"/>
      <ns0:c r="R435" s="17" t="n"/>
      <ns0:c r="S435" s="17" t="n"/>
      <ns0:c r="T435" s="17" t="n"/>
      <ns0:c r="U435" s="17" t="n"/>
      <ns0:c r="V435" s="17" t="n"/>
      <ns0:c r="W435" s="17" t="n"/>
      <ns0:c r="X435" s="17" t="n"/>
      <ns0:c r="Y435" s="17" t="n"/>
      <ns0:c r="Z435" s="17" t="n"/>
      <ns0:c r="AA435" s="17" t="n"/>
      <ns0:c r="AB435" s="17" t="n"/>
      <ns0:c r="AC435" s="17" t="n"/>
      <ns0:c r="AD435" s="17" t="n"/>
      <ns0:c r="AE435" s="17" t="n"/>
      <ns0:c r="AF435" s="17" t="n"/>
      <ns0:c r="AG435" s="17" t="n"/>
    </ns0:row>
    <ns0:row r="436" ht="24" customHeight="1">
      <ns0:c r="D436" s="17" t="n"/>
      <ns0:c r="E436" s="17" t="n"/>
      <ns0:c r="F436" s="17" t="n"/>
      <ns0:c r="G436" s="17" t="n"/>
      <ns0:c r="H436" s="17" t="n"/>
      <ns0:c r="I436" s="17" t="n"/>
      <ns0:c r="J436" s="17" t="n"/>
      <ns0:c r="K436" s="17" t="n"/>
      <ns0:c r="L436" s="17" t="n"/>
      <ns0:c r="M436" s="17" t="n"/>
      <ns0:c r="N436" s="17" t="n"/>
      <ns0:c r="O436" s="17" t="n"/>
      <ns0:c r="P436" s="17" t="n"/>
      <ns0:c r="Q436" s="17" t="n"/>
      <ns0:c r="R436" s="17" t="n"/>
      <ns0:c r="S436" s="17" t="n"/>
      <ns0:c r="T436" s="17" t="n"/>
      <ns0:c r="U436" s="17" t="n"/>
      <ns0:c r="V436" s="17" t="n"/>
      <ns0:c r="W436" s="17" t="n"/>
      <ns0:c r="X436" s="17" t="n"/>
      <ns0:c r="Y436" s="17" t="n"/>
      <ns0:c r="Z436" s="17" t="n"/>
      <ns0:c r="AA436" s="17" t="n"/>
      <ns0:c r="AB436" s="17" t="n"/>
      <ns0:c r="AC436" s="17" t="n"/>
      <ns0:c r="AD436" s="17" t="n"/>
      <ns0:c r="AE436" s="17" t="n"/>
      <ns0:c r="AF436" s="17" t="n"/>
      <ns0:c r="AG436" s="17" t="n"/>
    </ns0:row>
    <ns0:row r="437" ht="24" customHeight="1">
      <ns0:c r="D437" s="17" t="n"/>
      <ns0:c r="E437" s="17" t="n"/>
      <ns0:c r="F437" s="17" t="n"/>
      <ns0:c r="G437" s="17" t="n"/>
      <ns0:c r="H437" s="17" t="n"/>
      <ns0:c r="I437" s="17" t="n"/>
      <ns0:c r="J437" s="17" t="n"/>
      <ns0:c r="K437" s="17" t="n"/>
      <ns0:c r="L437" s="17" t="n"/>
      <ns0:c r="M437" s="17" t="n"/>
      <ns0:c r="N437" s="17" t="n"/>
      <ns0:c r="O437" s="17" t="n"/>
      <ns0:c r="P437" s="17" t="n"/>
      <ns0:c r="Q437" s="17" t="n"/>
      <ns0:c r="R437" s="17" t="n"/>
      <ns0:c r="S437" s="17" t="n"/>
      <ns0:c r="T437" s="17" t="n"/>
      <ns0:c r="U437" s="17" t="n"/>
      <ns0:c r="V437" s="17" t="n"/>
      <ns0:c r="W437" s="17" t="n"/>
      <ns0:c r="X437" s="17" t="n"/>
      <ns0:c r="Y437" s="17" t="n"/>
      <ns0:c r="Z437" s="17" t="n"/>
      <ns0:c r="AA437" s="17" t="n"/>
      <ns0:c r="AB437" s="17" t="n"/>
      <ns0:c r="AC437" s="17" t="n"/>
      <ns0:c r="AD437" s="17" t="n"/>
      <ns0:c r="AE437" s="17" t="n"/>
      <ns0:c r="AF437" s="17" t="n"/>
      <ns0:c r="AG437" s="17" t="n"/>
    </ns0:row>
    <ns0:row r="438" ht="24" customHeight="1">
      <ns0:c r="D438" s="17" t="n"/>
      <ns0:c r="E438" s="17" t="n"/>
      <ns0:c r="F438" s="17" t="n"/>
      <ns0:c r="G438" s="17" t="n"/>
      <ns0:c r="H438" s="17" t="n"/>
      <ns0:c r="I438" s="17" t="n"/>
      <ns0:c r="J438" s="17" t="n"/>
      <ns0:c r="K438" s="17" t="n"/>
      <ns0:c r="L438" s="17" t="n"/>
      <ns0:c r="M438" s="17" t="n"/>
      <ns0:c r="N438" s="17" t="n"/>
      <ns0:c r="O438" s="17" t="n"/>
      <ns0:c r="P438" s="17" t="n"/>
      <ns0:c r="Q438" s="17" t="n"/>
      <ns0:c r="R438" s="17" t="n"/>
      <ns0:c r="S438" s="17" t="n"/>
      <ns0:c r="T438" s="17" t="n"/>
      <ns0:c r="U438" s="17" t="n"/>
      <ns0:c r="V438" s="17" t="n"/>
      <ns0:c r="W438" s="17" t="n"/>
      <ns0:c r="X438" s="17" t="n"/>
      <ns0:c r="Y438" s="17" t="n"/>
      <ns0:c r="Z438" s="17" t="n"/>
      <ns0:c r="AA438" s="17" t="n"/>
      <ns0:c r="AB438" s="17" t="n"/>
      <ns0:c r="AC438" s="17" t="n"/>
      <ns0:c r="AD438" s="17" t="n"/>
      <ns0:c r="AE438" s="17" t="n"/>
      <ns0:c r="AF438" s="17" t="n"/>
      <ns0:c r="AG438" s="17" t="n"/>
    </ns0:row>
    <ns0:row r="439" ht="24" customHeight="1">
      <ns0:c r="D439" s="17" t="n"/>
      <ns0:c r="E439" s="17" t="n"/>
      <ns0:c r="F439" s="17" t="n"/>
      <ns0:c r="G439" s="17" t="n"/>
      <ns0:c r="H439" s="17" t="n"/>
      <ns0:c r="I439" s="17" t="n"/>
      <ns0:c r="J439" s="17" t="n"/>
      <ns0:c r="K439" s="17" t="n"/>
      <ns0:c r="L439" s="17" t="n"/>
      <ns0:c r="M439" s="17" t="n"/>
      <ns0:c r="N439" s="17" t="n"/>
      <ns0:c r="O439" s="17" t="n"/>
      <ns0:c r="P439" s="17" t="n"/>
      <ns0:c r="Q439" s="17" t="n"/>
      <ns0:c r="R439" s="17" t="n"/>
      <ns0:c r="S439" s="17" t="n"/>
      <ns0:c r="T439" s="17" t="n"/>
      <ns0:c r="U439" s="17" t="n"/>
      <ns0:c r="V439" s="17" t="n"/>
      <ns0:c r="W439" s="17" t="n"/>
      <ns0:c r="X439" s="17" t="n"/>
      <ns0:c r="Y439" s="17" t="n"/>
      <ns0:c r="Z439" s="17" t="n"/>
      <ns0:c r="AA439" s="17" t="n"/>
      <ns0:c r="AB439" s="17" t="n"/>
      <ns0:c r="AC439" s="17" t="n"/>
      <ns0:c r="AD439" s="17" t="n"/>
      <ns0:c r="AE439" s="17" t="n"/>
      <ns0:c r="AF439" s="17" t="n"/>
      <ns0:c r="AG439" s="17" t="n"/>
    </ns0:row>
    <ns0:row r="440" ht="24" customHeight="1">
      <ns0:c r="D440" s="17" t="n"/>
      <ns0:c r="E440" s="17" t="n"/>
      <ns0:c r="F440" s="17" t="n"/>
      <ns0:c r="G440" s="17" t="n"/>
      <ns0:c r="H440" s="17" t="n"/>
      <ns0:c r="I440" s="17" t="n"/>
      <ns0:c r="J440" s="17" t="n"/>
      <ns0:c r="K440" s="17" t="n"/>
      <ns0:c r="L440" s="17" t="n"/>
      <ns0:c r="M440" s="17" t="n"/>
      <ns0:c r="N440" s="17" t="n"/>
      <ns0:c r="O440" s="17" t="n"/>
      <ns0:c r="P440" s="17" t="n"/>
      <ns0:c r="Q440" s="17" t="n"/>
      <ns0:c r="R440" s="17" t="n"/>
      <ns0:c r="S440" s="17" t="n"/>
      <ns0:c r="T440" s="17" t="n"/>
      <ns0:c r="U440" s="17" t="n"/>
      <ns0:c r="V440" s="17" t="n"/>
      <ns0:c r="W440" s="17" t="n"/>
      <ns0:c r="X440" s="17" t="n"/>
      <ns0:c r="Y440" s="17" t="n"/>
      <ns0:c r="Z440" s="17" t="n"/>
      <ns0:c r="AA440" s="17" t="n"/>
      <ns0:c r="AB440" s="17" t="n"/>
      <ns0:c r="AC440" s="17" t="n"/>
      <ns0:c r="AD440" s="17" t="n"/>
      <ns0:c r="AE440" s="17" t="n"/>
      <ns0:c r="AF440" s="17" t="n"/>
      <ns0:c r="AG440" s="17" t="n"/>
    </ns0:row>
    <ns0:row r="441" ht="24" customHeight="1">
      <ns0:c r="D441" s="17" t="n"/>
      <ns0:c r="E441" s="17" t="n"/>
      <ns0:c r="F441" s="17" t="n"/>
      <ns0:c r="G441" s="17" t="n"/>
      <ns0:c r="H441" s="17" t="n"/>
      <ns0:c r="I441" s="17" t="n"/>
      <ns0:c r="J441" s="17" t="n"/>
      <ns0:c r="K441" s="17" t="n"/>
      <ns0:c r="L441" s="17" t="n"/>
      <ns0:c r="M441" s="17" t="n"/>
      <ns0:c r="N441" s="17" t="n"/>
      <ns0:c r="O441" s="17" t="n"/>
      <ns0:c r="P441" s="17" t="n"/>
      <ns0:c r="Q441" s="17" t="n"/>
      <ns0:c r="R441" s="17" t="n"/>
      <ns0:c r="S441" s="17" t="n"/>
      <ns0:c r="T441" s="17" t="n"/>
      <ns0:c r="U441" s="17" t="n"/>
      <ns0:c r="V441" s="17" t="n"/>
      <ns0:c r="W441" s="17" t="n"/>
      <ns0:c r="X441" s="17" t="n"/>
      <ns0:c r="Y441" s="17" t="n"/>
      <ns0:c r="Z441" s="17" t="n"/>
      <ns0:c r="AA441" s="17" t="n"/>
      <ns0:c r="AB441" s="17" t="n"/>
      <ns0:c r="AC441" s="17" t="n"/>
      <ns0:c r="AD441" s="17" t="n"/>
      <ns0:c r="AE441" s="17" t="n"/>
      <ns0:c r="AF441" s="17" t="n"/>
      <ns0:c r="AG441" s="17" t="n"/>
    </ns0:row>
    <ns0:row r="442" ht="24" customHeight="1">
      <ns0:c r="D442" s="17" t="n"/>
      <ns0:c r="E442" s="17" t="n"/>
      <ns0:c r="F442" s="17" t="n"/>
      <ns0:c r="G442" s="17" t="n"/>
      <ns0:c r="H442" s="17" t="n"/>
      <ns0:c r="I442" s="17" t="n"/>
      <ns0:c r="J442" s="17" t="n"/>
      <ns0:c r="K442" s="17" t="n"/>
      <ns0:c r="L442" s="17" t="n"/>
      <ns0:c r="M442" s="17" t="n"/>
      <ns0:c r="N442" s="17" t="n"/>
      <ns0:c r="O442" s="17" t="n"/>
      <ns0:c r="P442" s="17" t="n"/>
      <ns0:c r="Q442" s="17" t="n"/>
      <ns0:c r="R442" s="17" t="n"/>
      <ns0:c r="S442" s="17" t="n"/>
      <ns0:c r="T442" s="17" t="n"/>
      <ns0:c r="U442" s="17" t="n"/>
      <ns0:c r="V442" s="17" t="n"/>
      <ns0:c r="W442" s="17" t="n"/>
      <ns0:c r="X442" s="17" t="n"/>
      <ns0:c r="Y442" s="17" t="n"/>
      <ns0:c r="Z442" s="17" t="n"/>
      <ns0:c r="AA442" s="17" t="n"/>
      <ns0:c r="AB442" s="17" t="n"/>
      <ns0:c r="AC442" s="17" t="n"/>
      <ns0:c r="AD442" s="17" t="n"/>
      <ns0:c r="AE442" s="17" t="n"/>
      <ns0:c r="AF442" s="17" t="n"/>
      <ns0:c r="AG442" s="17" t="n"/>
    </ns0:row>
    <ns0:row r="443" ht="24" customHeight="1">
      <ns0:c r="D443" s="17" t="n"/>
      <ns0:c r="E443" s="17" t="n"/>
      <ns0:c r="F443" s="17" t="n"/>
      <ns0:c r="G443" s="17" t="n"/>
      <ns0:c r="H443" s="17" t="n"/>
      <ns0:c r="I443" s="17" t="n"/>
      <ns0:c r="J443" s="17" t="n"/>
      <ns0:c r="K443" s="17" t="n"/>
      <ns0:c r="L443" s="17" t="n"/>
      <ns0:c r="M443" s="17" t="n"/>
      <ns0:c r="N443" s="17" t="n"/>
      <ns0:c r="O443" s="17" t="n"/>
      <ns0:c r="P443" s="17" t="n"/>
      <ns0:c r="Q443" s="17" t="n"/>
      <ns0:c r="R443" s="17" t="n"/>
      <ns0:c r="S443" s="17" t="n"/>
      <ns0:c r="T443" s="17" t="n"/>
      <ns0:c r="U443" s="17" t="n"/>
      <ns0:c r="V443" s="17" t="n"/>
      <ns0:c r="W443" s="17" t="n"/>
      <ns0:c r="X443" s="17" t="n"/>
      <ns0:c r="Y443" s="17" t="n"/>
      <ns0:c r="Z443" s="17" t="n"/>
      <ns0:c r="AA443" s="17" t="n"/>
      <ns0:c r="AB443" s="17" t="n"/>
      <ns0:c r="AC443" s="17" t="n"/>
      <ns0:c r="AD443" s="17" t="n"/>
      <ns0:c r="AE443" s="17" t="n"/>
      <ns0:c r="AF443" s="17" t="n"/>
      <ns0:c r="AG443" s="17" t="n"/>
    </ns0:row>
    <ns0:row r="444" ht="24" customHeight="1">
      <ns0:c r="D444" s="17" t="n"/>
      <ns0:c r="E444" s="17" t="n"/>
      <ns0:c r="F444" s="17" t="n"/>
      <ns0:c r="G444" s="17" t="n"/>
      <ns0:c r="H444" s="17" t="n"/>
      <ns0:c r="I444" s="17" t="n"/>
      <ns0:c r="J444" s="17" t="n"/>
      <ns0:c r="K444" s="17" t="n"/>
      <ns0:c r="L444" s="17" t="n"/>
      <ns0:c r="M444" s="17" t="n"/>
      <ns0:c r="N444" s="17" t="n"/>
      <ns0:c r="O444" s="17" t="n"/>
      <ns0:c r="P444" s="17" t="n"/>
      <ns0:c r="Q444" s="17" t="n"/>
      <ns0:c r="R444" s="17" t="n"/>
      <ns0:c r="S444" s="17" t="n"/>
      <ns0:c r="T444" s="17" t="n"/>
      <ns0:c r="U444" s="17" t="n"/>
      <ns0:c r="V444" s="17" t="n"/>
      <ns0:c r="W444" s="17" t="n"/>
      <ns0:c r="X444" s="17" t="n"/>
      <ns0:c r="Y444" s="17" t="n"/>
      <ns0:c r="Z444" s="17" t="n"/>
      <ns0:c r="AA444" s="17" t="n"/>
      <ns0:c r="AB444" s="17" t="n"/>
      <ns0:c r="AC444" s="17" t="n"/>
      <ns0:c r="AD444" s="17" t="n"/>
      <ns0:c r="AE444" s="17" t="n"/>
      <ns0:c r="AF444" s="17" t="n"/>
      <ns0:c r="AG444" s="17" t="n"/>
    </ns0:row>
    <ns0:row r="445" ht="24" customHeight="1">
      <ns0:c r="D445" s="17" t="n"/>
      <ns0:c r="E445" s="17" t="n"/>
      <ns0:c r="F445" s="17" t="n"/>
      <ns0:c r="G445" s="17" t="n"/>
      <ns0:c r="H445" s="17" t="n"/>
      <ns0:c r="I445" s="17" t="n"/>
      <ns0:c r="J445" s="17" t="n"/>
      <ns0:c r="K445" s="17" t="n"/>
      <ns0:c r="L445" s="17" t="n"/>
      <ns0:c r="M445" s="17" t="n"/>
      <ns0:c r="N445" s="17" t="n"/>
      <ns0:c r="O445" s="17" t="n"/>
      <ns0:c r="P445" s="17" t="n"/>
      <ns0:c r="Q445" s="17" t="n"/>
      <ns0:c r="R445" s="17" t="n"/>
      <ns0:c r="S445" s="17" t="n"/>
      <ns0:c r="T445" s="17" t="n"/>
      <ns0:c r="U445" s="17" t="n"/>
      <ns0:c r="V445" s="17" t="n"/>
      <ns0:c r="W445" s="17" t="n"/>
      <ns0:c r="X445" s="17" t="n"/>
      <ns0:c r="Y445" s="17" t="n"/>
      <ns0:c r="Z445" s="17" t="n"/>
      <ns0:c r="AA445" s="17" t="n"/>
      <ns0:c r="AB445" s="17" t="n"/>
      <ns0:c r="AC445" s="17" t="n"/>
      <ns0:c r="AD445" s="17" t="n"/>
      <ns0:c r="AE445" s="17" t="n"/>
      <ns0:c r="AF445" s="17" t="n"/>
      <ns0:c r="AG445" s="17" t="n"/>
    </ns0:row>
    <ns0:row r="446" ht="24" customHeight="1">
      <ns0:c r="D446" s="17" t="n"/>
      <ns0:c r="E446" s="17" t="n"/>
      <ns0:c r="F446" s="17" t="n"/>
      <ns0:c r="G446" s="17" t="n"/>
      <ns0:c r="H446" s="17" t="n"/>
      <ns0:c r="I446" s="17" t="n"/>
      <ns0:c r="J446" s="17" t="n"/>
      <ns0:c r="K446" s="17" t="n"/>
      <ns0:c r="L446" s="17" t="n"/>
      <ns0:c r="M446" s="17" t="n"/>
      <ns0:c r="N446" s="17" t="n"/>
      <ns0:c r="O446" s="17" t="n"/>
      <ns0:c r="P446" s="17" t="n"/>
      <ns0:c r="Q446" s="17" t="n"/>
      <ns0:c r="R446" s="17" t="n"/>
      <ns0:c r="S446" s="17" t="n"/>
      <ns0:c r="T446" s="17" t="n"/>
      <ns0:c r="U446" s="17" t="n"/>
      <ns0:c r="V446" s="17" t="n"/>
      <ns0:c r="W446" s="17" t="n"/>
      <ns0:c r="X446" s="17" t="n"/>
      <ns0:c r="Y446" s="17" t="n"/>
      <ns0:c r="Z446" s="17" t="n"/>
      <ns0:c r="AA446" s="17" t="n"/>
      <ns0:c r="AB446" s="17" t="n"/>
      <ns0:c r="AC446" s="17" t="n"/>
      <ns0:c r="AD446" s="17" t="n"/>
      <ns0:c r="AE446" s="17" t="n"/>
      <ns0:c r="AF446" s="17" t="n"/>
      <ns0:c r="AG446" s="17" t="n"/>
    </ns0:row>
    <ns0:row r="447" ht="24" customHeight="1">
      <ns0:c r="D447" s="17" t="n"/>
      <ns0:c r="E447" s="17" t="n"/>
      <ns0:c r="F447" s="17" t="n"/>
      <ns0:c r="G447" s="17" t="n"/>
      <ns0:c r="H447" s="17" t="n"/>
      <ns0:c r="I447" s="17" t="n"/>
      <ns0:c r="J447" s="17" t="n"/>
      <ns0:c r="K447" s="17" t="n"/>
      <ns0:c r="L447" s="17" t="n"/>
      <ns0:c r="M447" s="17" t="n"/>
      <ns0:c r="N447" s="17" t="n"/>
      <ns0:c r="O447" s="17" t="n"/>
      <ns0:c r="P447" s="17" t="n"/>
      <ns0:c r="Q447" s="17" t="n"/>
      <ns0:c r="R447" s="17" t="n"/>
      <ns0:c r="S447" s="17" t="n"/>
      <ns0:c r="T447" s="17" t="n"/>
      <ns0:c r="U447" s="17" t="n"/>
      <ns0:c r="V447" s="17" t="n"/>
      <ns0:c r="W447" s="17" t="n"/>
      <ns0:c r="X447" s="17" t="n"/>
      <ns0:c r="Y447" s="17" t="n"/>
      <ns0:c r="Z447" s="17" t="n"/>
      <ns0:c r="AA447" s="17" t="n"/>
      <ns0:c r="AB447" s="17" t="n"/>
      <ns0:c r="AC447" s="17" t="n"/>
      <ns0:c r="AD447" s="17" t="n"/>
      <ns0:c r="AE447" s="17" t="n"/>
      <ns0:c r="AF447" s="17" t="n"/>
      <ns0:c r="AG447" s="17" t="n"/>
    </ns0:row>
    <ns0:row r="448" ht="24" customHeight="1">
      <ns0:c r="D448" s="17" t="n"/>
      <ns0:c r="E448" s="17" t="n"/>
      <ns0:c r="F448" s="17" t="n"/>
      <ns0:c r="G448" s="17" t="n"/>
      <ns0:c r="H448" s="17" t="n"/>
      <ns0:c r="I448" s="17" t="n"/>
      <ns0:c r="J448" s="17" t="n"/>
      <ns0:c r="K448" s="17" t="n"/>
      <ns0:c r="L448" s="17" t="n"/>
      <ns0:c r="M448" s="17" t="n"/>
      <ns0:c r="N448" s="17" t="n"/>
      <ns0:c r="O448" s="17" t="n"/>
      <ns0:c r="P448" s="17" t="n"/>
      <ns0:c r="Q448" s="17" t="n"/>
      <ns0:c r="R448" s="17" t="n"/>
      <ns0:c r="S448" s="17" t="n"/>
      <ns0:c r="T448" s="17" t="n"/>
      <ns0:c r="U448" s="17" t="n"/>
      <ns0:c r="V448" s="17" t="n"/>
      <ns0:c r="W448" s="17" t="n"/>
      <ns0:c r="X448" s="17" t="n"/>
      <ns0:c r="Y448" s="17" t="n"/>
      <ns0:c r="Z448" s="17" t="n"/>
      <ns0:c r="AA448" s="17" t="n"/>
      <ns0:c r="AB448" s="17" t="n"/>
      <ns0:c r="AC448" s="17" t="n"/>
      <ns0:c r="AD448" s="17" t="n"/>
      <ns0:c r="AE448" s="17" t="n"/>
      <ns0:c r="AF448" s="17" t="n"/>
      <ns0:c r="AG448" s="17" t="n"/>
    </ns0:row>
    <ns0:row r="449" ht="24" customHeight="1">
      <ns0:c r="D449" s="17" t="n"/>
      <ns0:c r="E449" s="17" t="n"/>
      <ns0:c r="F449" s="17" t="n"/>
      <ns0:c r="G449" s="17" t="n"/>
      <ns0:c r="H449" s="17" t="n"/>
      <ns0:c r="I449" s="17" t="n"/>
      <ns0:c r="J449" s="17" t="n"/>
      <ns0:c r="K449" s="17" t="n"/>
      <ns0:c r="L449" s="17" t="n"/>
      <ns0:c r="M449" s="17" t="n"/>
      <ns0:c r="N449" s="17" t="n"/>
      <ns0:c r="O449" s="17" t="n"/>
      <ns0:c r="P449" s="17" t="n"/>
      <ns0:c r="Q449" s="17" t="n"/>
      <ns0:c r="R449" s="17" t="n"/>
      <ns0:c r="S449" s="17" t="n"/>
      <ns0:c r="T449" s="17" t="n"/>
      <ns0:c r="U449" s="17" t="n"/>
      <ns0:c r="V449" s="17" t="n"/>
      <ns0:c r="W449" s="17" t="n"/>
      <ns0:c r="X449" s="17" t="n"/>
      <ns0:c r="Y449" s="17" t="n"/>
      <ns0:c r="Z449" s="17" t="n"/>
      <ns0:c r="AA449" s="17" t="n"/>
      <ns0:c r="AB449" s="17" t="n"/>
      <ns0:c r="AC449" s="17" t="n"/>
      <ns0:c r="AD449" s="17" t="n"/>
      <ns0:c r="AE449" s="17" t="n"/>
      <ns0:c r="AF449" s="17" t="n"/>
      <ns0:c r="AG449" s="17" t="n"/>
    </ns0:row>
    <ns0:row r="450" ht="24" customHeight="1">
      <ns0:c r="D450" s="17" t="n"/>
      <ns0:c r="E450" s="17" t="n"/>
      <ns0:c r="F450" s="17" t="n"/>
      <ns0:c r="G450" s="17" t="n"/>
      <ns0:c r="H450" s="17" t="n"/>
      <ns0:c r="I450" s="17" t="n"/>
      <ns0:c r="J450" s="17" t="n"/>
      <ns0:c r="K450" s="17" t="n"/>
      <ns0:c r="L450" s="17" t="n"/>
      <ns0:c r="M450" s="17" t="n"/>
      <ns0:c r="N450" s="17" t="n"/>
      <ns0:c r="O450" s="17" t="n"/>
      <ns0:c r="P450" s="17" t="n"/>
      <ns0:c r="Q450" s="17" t="n"/>
      <ns0:c r="R450" s="17" t="n"/>
      <ns0:c r="S450" s="17" t="n"/>
      <ns0:c r="T450" s="17" t="n"/>
      <ns0:c r="U450" s="17" t="n"/>
      <ns0:c r="V450" s="17" t="n"/>
      <ns0:c r="W450" s="17" t="n"/>
      <ns0:c r="X450" s="17" t="n"/>
      <ns0:c r="Y450" s="17" t="n"/>
      <ns0:c r="Z450" s="17" t="n"/>
      <ns0:c r="AA450" s="17" t="n"/>
      <ns0:c r="AB450" s="17" t="n"/>
      <ns0:c r="AC450" s="17" t="n"/>
      <ns0:c r="AD450" s="17" t="n"/>
      <ns0:c r="AE450" s="17" t="n"/>
      <ns0:c r="AF450" s="17" t="n"/>
      <ns0:c r="AG450" s="17" t="n"/>
    </ns0:row>
    <ns0:row r="451" ht="24" customHeight="1">
      <ns0:c r="D451" s="17" t="n"/>
      <ns0:c r="E451" s="17" t="n"/>
      <ns0:c r="F451" s="17" t="n"/>
      <ns0:c r="G451" s="17" t="n"/>
      <ns0:c r="H451" s="17" t="n"/>
      <ns0:c r="I451" s="17" t="n"/>
      <ns0:c r="J451" s="17" t="n"/>
      <ns0:c r="K451" s="17" t="n"/>
      <ns0:c r="L451" s="17" t="n"/>
      <ns0:c r="M451" s="17" t="n"/>
      <ns0:c r="N451" s="17" t="n"/>
      <ns0:c r="O451" s="17" t="n"/>
      <ns0:c r="P451" s="17" t="n"/>
      <ns0:c r="Q451" s="17" t="n"/>
      <ns0:c r="R451" s="17" t="n"/>
      <ns0:c r="S451" s="17" t="n"/>
      <ns0:c r="T451" s="17" t="n"/>
      <ns0:c r="U451" s="17" t="n"/>
      <ns0:c r="V451" s="17" t="n"/>
      <ns0:c r="W451" s="17" t="n"/>
      <ns0:c r="X451" s="17" t="n"/>
      <ns0:c r="Y451" s="17" t="n"/>
      <ns0:c r="Z451" s="17" t="n"/>
      <ns0:c r="AA451" s="17" t="n"/>
      <ns0:c r="AB451" s="17" t="n"/>
      <ns0:c r="AC451" s="17" t="n"/>
      <ns0:c r="AD451" s="17" t="n"/>
      <ns0:c r="AE451" s="17" t="n"/>
      <ns0:c r="AF451" s="17" t="n"/>
      <ns0:c r="AG451" s="17" t="n"/>
    </ns0:row>
    <ns0:row r="452" ht="24" customHeight="1">
      <ns0:c r="D452" s="17" t="n"/>
      <ns0:c r="E452" s="17" t="n"/>
      <ns0:c r="F452" s="17" t="n"/>
      <ns0:c r="G452" s="17" t="n"/>
      <ns0:c r="H452" s="17" t="n"/>
      <ns0:c r="I452" s="17" t="n"/>
      <ns0:c r="J452" s="17" t="n"/>
      <ns0:c r="K452" s="17" t="n"/>
      <ns0:c r="L452" s="17" t="n"/>
      <ns0:c r="M452" s="17" t="n"/>
      <ns0:c r="N452" s="17" t="n"/>
      <ns0:c r="O452" s="17" t="n"/>
      <ns0:c r="P452" s="17" t="n"/>
      <ns0:c r="Q452" s="17" t="n"/>
      <ns0:c r="R452" s="17" t="n"/>
      <ns0:c r="S452" s="17" t="n"/>
      <ns0:c r="T452" s="17" t="n"/>
      <ns0:c r="U452" s="17" t="n"/>
      <ns0:c r="V452" s="17" t="n"/>
      <ns0:c r="W452" s="17" t="n"/>
      <ns0:c r="X452" s="17" t="n"/>
      <ns0:c r="Y452" s="17" t="n"/>
      <ns0:c r="Z452" s="17" t="n"/>
      <ns0:c r="AA452" s="17" t="n"/>
      <ns0:c r="AB452" s="17" t="n"/>
      <ns0:c r="AC452" s="17" t="n"/>
      <ns0:c r="AD452" s="17" t="n"/>
      <ns0:c r="AE452" s="17" t="n"/>
      <ns0:c r="AF452" s="17" t="n"/>
      <ns0:c r="AG452" s="17" t="n"/>
    </ns0:row>
    <ns0:row r="453" ht="24" customHeight="1">
      <ns0:c r="D453" s="17" t="n"/>
      <ns0:c r="E453" s="17" t="n"/>
      <ns0:c r="F453" s="17" t="n"/>
      <ns0:c r="G453" s="17" t="n"/>
      <ns0:c r="H453" s="17" t="n"/>
      <ns0:c r="I453" s="17" t="n"/>
      <ns0:c r="J453" s="17" t="n"/>
      <ns0:c r="K453" s="17" t="n"/>
      <ns0:c r="L453" s="17" t="n"/>
      <ns0:c r="M453" s="17" t="n"/>
      <ns0:c r="N453" s="17" t="n"/>
      <ns0:c r="O453" s="17" t="n"/>
      <ns0:c r="P453" s="17" t="n"/>
      <ns0:c r="Q453" s="17" t="n"/>
      <ns0:c r="R453" s="17" t="n"/>
      <ns0:c r="S453" s="17" t="n"/>
      <ns0:c r="T453" s="17" t="n"/>
      <ns0:c r="U453" s="17" t="n"/>
      <ns0:c r="V453" s="17" t="n"/>
      <ns0:c r="W453" s="17" t="n"/>
      <ns0:c r="X453" s="17" t="n"/>
      <ns0:c r="Y453" s="17" t="n"/>
      <ns0:c r="Z453" s="17" t="n"/>
      <ns0:c r="AA453" s="17" t="n"/>
      <ns0:c r="AB453" s="17" t="n"/>
      <ns0:c r="AC453" s="17" t="n"/>
      <ns0:c r="AD453" s="17" t="n"/>
      <ns0:c r="AE453" s="17" t="n"/>
      <ns0:c r="AF453" s="17" t="n"/>
      <ns0:c r="AG453" s="17" t="n"/>
    </ns0:row>
    <ns0:row r="454" ht="24" customHeight="1">
      <ns0:c r="D454" s="17" t="n"/>
      <ns0:c r="E454" s="17" t="n"/>
      <ns0:c r="F454" s="17" t="n"/>
      <ns0:c r="G454" s="17" t="n"/>
      <ns0:c r="H454" s="17" t="n"/>
      <ns0:c r="I454" s="17" t="n"/>
      <ns0:c r="J454" s="17" t="n"/>
      <ns0:c r="K454" s="17" t="n"/>
      <ns0:c r="L454" s="17" t="n"/>
      <ns0:c r="M454" s="17" t="n"/>
      <ns0:c r="N454" s="17" t="n"/>
      <ns0:c r="O454" s="17" t="n"/>
      <ns0:c r="P454" s="17" t="n"/>
      <ns0:c r="Q454" s="17" t="n"/>
      <ns0:c r="R454" s="17" t="n"/>
      <ns0:c r="S454" s="17" t="n"/>
      <ns0:c r="T454" s="17" t="n"/>
      <ns0:c r="U454" s="17" t="n"/>
      <ns0:c r="V454" s="17" t="n"/>
      <ns0:c r="W454" s="17" t="n"/>
      <ns0:c r="X454" s="17" t="n"/>
      <ns0:c r="Y454" s="17" t="n"/>
      <ns0:c r="Z454" s="17" t="n"/>
      <ns0:c r="AA454" s="17" t="n"/>
      <ns0:c r="AB454" s="17" t="n"/>
      <ns0:c r="AC454" s="17" t="n"/>
      <ns0:c r="AD454" s="17" t="n"/>
      <ns0:c r="AE454" s="17" t="n"/>
      <ns0:c r="AF454" s="17" t="n"/>
      <ns0:c r="AG454" s="17" t="n"/>
    </ns0:row>
    <ns0:row r="455" ht="24" customHeight="1">
      <ns0:c r="D455" s="17" t="n"/>
      <ns0:c r="E455" s="17" t="n"/>
      <ns0:c r="F455" s="17" t="n"/>
      <ns0:c r="G455" s="17" t="n"/>
      <ns0:c r="H455" s="17" t="n"/>
      <ns0:c r="I455" s="17" t="n"/>
      <ns0:c r="J455" s="17" t="n"/>
      <ns0:c r="K455" s="17" t="n"/>
      <ns0:c r="L455" s="17" t="n"/>
      <ns0:c r="M455" s="17" t="n"/>
      <ns0:c r="N455" s="17" t="n"/>
      <ns0:c r="O455" s="17" t="n"/>
      <ns0:c r="P455" s="17" t="n"/>
      <ns0:c r="Q455" s="17" t="n"/>
      <ns0:c r="R455" s="17" t="n"/>
      <ns0:c r="S455" s="17" t="n"/>
      <ns0:c r="T455" s="17" t="n"/>
      <ns0:c r="U455" s="17" t="n"/>
      <ns0:c r="V455" s="17" t="n"/>
      <ns0:c r="W455" s="17" t="n"/>
      <ns0:c r="X455" s="17" t="n"/>
      <ns0:c r="Y455" s="17" t="n"/>
      <ns0:c r="Z455" s="17" t="n"/>
      <ns0:c r="AA455" s="17" t="n"/>
      <ns0:c r="AB455" s="17" t="n"/>
      <ns0:c r="AC455" s="17" t="n"/>
      <ns0:c r="AD455" s="17" t="n"/>
      <ns0:c r="AE455" s="17" t="n"/>
      <ns0:c r="AF455" s="17" t="n"/>
      <ns0:c r="AG455" s="17" t="n"/>
    </ns0:row>
    <ns0:row r="456" ht="24" customHeight="1">
      <ns0:c r="D456" s="17" t="n"/>
      <ns0:c r="E456" s="17" t="n"/>
      <ns0:c r="F456" s="17" t="n"/>
      <ns0:c r="G456" s="17" t="n"/>
      <ns0:c r="H456" s="17" t="n"/>
      <ns0:c r="I456" s="17" t="n"/>
      <ns0:c r="J456" s="17" t="n"/>
      <ns0:c r="K456" s="17" t="n"/>
      <ns0:c r="L456" s="17" t="n"/>
      <ns0:c r="M456" s="17" t="n"/>
      <ns0:c r="N456" s="17" t="n"/>
      <ns0:c r="O456" s="17" t="n"/>
      <ns0:c r="P456" s="17" t="n"/>
      <ns0:c r="Q456" s="17" t="n"/>
      <ns0:c r="R456" s="17" t="n"/>
      <ns0:c r="S456" s="17" t="n"/>
      <ns0:c r="T456" s="17" t="n"/>
      <ns0:c r="U456" s="17" t="n"/>
      <ns0:c r="V456" s="17" t="n"/>
      <ns0:c r="W456" s="17" t="n"/>
      <ns0:c r="X456" s="17" t="n"/>
      <ns0:c r="Y456" s="17" t="n"/>
      <ns0:c r="Z456" s="17" t="n"/>
      <ns0:c r="AA456" s="17" t="n"/>
      <ns0:c r="AB456" s="17" t="n"/>
      <ns0:c r="AC456" s="17" t="n"/>
      <ns0:c r="AD456" s="17" t="n"/>
      <ns0:c r="AE456" s="17" t="n"/>
      <ns0:c r="AF456" s="17" t="n"/>
      <ns0:c r="AG456" s="17" t="n"/>
    </ns0:row>
    <ns0:row r="457" ht="24" customHeight="1">
      <ns0:c r="D457" s="17" t="n"/>
      <ns0:c r="E457" s="17" t="n"/>
      <ns0:c r="F457" s="17" t="n"/>
      <ns0:c r="G457" s="17" t="n"/>
      <ns0:c r="H457" s="17" t="n"/>
      <ns0:c r="I457" s="17" t="n"/>
      <ns0:c r="J457" s="17" t="n"/>
      <ns0:c r="K457" s="17" t="n"/>
      <ns0:c r="L457" s="17" t="n"/>
      <ns0:c r="M457" s="17" t="n"/>
      <ns0:c r="N457" s="17" t="n"/>
      <ns0:c r="O457" s="17" t="n"/>
      <ns0:c r="P457" s="17" t="n"/>
      <ns0:c r="Q457" s="17" t="n"/>
      <ns0:c r="R457" s="17" t="n"/>
      <ns0:c r="S457" s="17" t="n"/>
      <ns0:c r="T457" s="17" t="n"/>
      <ns0:c r="U457" s="17" t="n"/>
      <ns0:c r="V457" s="17" t="n"/>
      <ns0:c r="W457" s="17" t="n"/>
      <ns0:c r="X457" s="17" t="n"/>
      <ns0:c r="Y457" s="17" t="n"/>
      <ns0:c r="Z457" s="17" t="n"/>
      <ns0:c r="AA457" s="17" t="n"/>
      <ns0:c r="AB457" s="17" t="n"/>
      <ns0:c r="AC457" s="17" t="n"/>
      <ns0:c r="AD457" s="17" t="n"/>
      <ns0:c r="AE457" s="17" t="n"/>
      <ns0:c r="AF457" s="17" t="n"/>
      <ns0:c r="AG457" s="17" t="n"/>
    </ns0:row>
    <ns0:row r="458" ht="24" customHeight="1">
      <ns0:c r="D458" s="17" t="n"/>
      <ns0:c r="E458" s="17" t="n"/>
      <ns0:c r="F458" s="17" t="n"/>
      <ns0:c r="G458" s="17" t="n"/>
      <ns0:c r="H458" s="17" t="n"/>
      <ns0:c r="I458" s="17" t="n"/>
      <ns0:c r="J458" s="17" t="n"/>
      <ns0:c r="K458" s="17" t="n"/>
      <ns0:c r="L458" s="17" t="n"/>
      <ns0:c r="M458" s="17" t="n"/>
      <ns0:c r="N458" s="17" t="n"/>
      <ns0:c r="O458" s="17" t="n"/>
      <ns0:c r="P458" s="17" t="n"/>
      <ns0:c r="Q458" s="17" t="n"/>
      <ns0:c r="R458" s="17" t="n"/>
      <ns0:c r="S458" s="17" t="n"/>
      <ns0:c r="T458" s="17" t="n"/>
      <ns0:c r="U458" s="17" t="n"/>
      <ns0:c r="V458" s="17" t="n"/>
      <ns0:c r="W458" s="17" t="n"/>
      <ns0:c r="X458" s="17" t="n"/>
      <ns0:c r="Y458" s="17" t="n"/>
      <ns0:c r="Z458" s="17" t="n"/>
      <ns0:c r="AA458" s="17" t="n"/>
      <ns0:c r="AB458" s="17" t="n"/>
      <ns0:c r="AC458" s="17" t="n"/>
      <ns0:c r="AD458" s="17" t="n"/>
      <ns0:c r="AE458" s="17" t="n"/>
      <ns0:c r="AF458" s="17" t="n"/>
      <ns0:c r="AG458" s="17" t="n"/>
    </ns0:row>
    <ns0:row r="459" ht="24" customHeight="1">
      <ns0:c r="D459" s="17" t="n"/>
      <ns0:c r="E459" s="17" t="n"/>
      <ns0:c r="F459" s="17" t="n"/>
      <ns0:c r="G459" s="17" t="n"/>
      <ns0:c r="H459" s="17" t="n"/>
      <ns0:c r="I459" s="17" t="n"/>
      <ns0:c r="J459" s="17" t="n"/>
      <ns0:c r="K459" s="17" t="n"/>
      <ns0:c r="L459" s="17" t="n"/>
      <ns0:c r="M459" s="17" t="n"/>
      <ns0:c r="N459" s="17" t="n"/>
      <ns0:c r="O459" s="17" t="n"/>
      <ns0:c r="P459" s="17" t="n"/>
      <ns0:c r="Q459" s="17" t="n"/>
      <ns0:c r="R459" s="17" t="n"/>
      <ns0:c r="S459" s="17" t="n"/>
      <ns0:c r="T459" s="17" t="n"/>
      <ns0:c r="U459" s="17" t="n"/>
      <ns0:c r="V459" s="17" t="n"/>
      <ns0:c r="W459" s="17" t="n"/>
      <ns0:c r="X459" s="17" t="n"/>
      <ns0:c r="Y459" s="17" t="n"/>
      <ns0:c r="Z459" s="17" t="n"/>
      <ns0:c r="AA459" s="17" t="n"/>
      <ns0:c r="AB459" s="17" t="n"/>
      <ns0:c r="AC459" s="17" t="n"/>
      <ns0:c r="AD459" s="17" t="n"/>
      <ns0:c r="AE459" s="17" t="n"/>
      <ns0:c r="AF459" s="17" t="n"/>
      <ns0:c r="AG459" s="17" t="n"/>
    </ns0:row>
    <ns0:row r="460" ht="24" customHeight="1">
      <ns0:c r="D460" s="17" t="n"/>
      <ns0:c r="E460" s="17" t="n"/>
      <ns0:c r="F460" s="17" t="n"/>
      <ns0:c r="G460" s="17" t="n"/>
      <ns0:c r="H460" s="17" t="n"/>
      <ns0:c r="I460" s="17" t="n"/>
      <ns0:c r="J460" s="17" t="n"/>
      <ns0:c r="K460" s="17" t="n"/>
      <ns0:c r="L460" s="17" t="n"/>
      <ns0:c r="M460" s="17" t="n"/>
      <ns0:c r="N460" s="17" t="n"/>
      <ns0:c r="O460" s="17" t="n"/>
      <ns0:c r="P460" s="17" t="n"/>
      <ns0:c r="Q460" s="17" t="n"/>
      <ns0:c r="R460" s="17" t="n"/>
      <ns0:c r="S460" s="17" t="n"/>
      <ns0:c r="T460" s="17" t="n"/>
      <ns0:c r="U460" s="17" t="n"/>
      <ns0:c r="V460" s="17" t="n"/>
      <ns0:c r="W460" s="17" t="n"/>
      <ns0:c r="X460" s="17" t="n"/>
      <ns0:c r="Y460" s="17" t="n"/>
      <ns0:c r="Z460" s="17" t="n"/>
      <ns0:c r="AA460" s="17" t="n"/>
      <ns0:c r="AB460" s="17" t="n"/>
      <ns0:c r="AC460" s="17" t="n"/>
      <ns0:c r="AD460" s="17" t="n"/>
      <ns0:c r="AE460" s="17" t="n"/>
      <ns0:c r="AF460" s="17" t="n"/>
      <ns0:c r="AG460" s="17" t="n"/>
    </ns0:row>
    <ns0:row r="461" ht="24" customHeight="1">
      <ns0:c r="D461" s="17" t="n"/>
      <ns0:c r="E461" s="17" t="n"/>
      <ns0:c r="F461" s="17" t="n"/>
      <ns0:c r="G461" s="17" t="n"/>
      <ns0:c r="H461" s="17" t="n"/>
      <ns0:c r="I461" s="17" t="n"/>
      <ns0:c r="J461" s="17" t="n"/>
      <ns0:c r="K461" s="17" t="n"/>
      <ns0:c r="L461" s="17" t="n"/>
      <ns0:c r="M461" s="17" t="n"/>
      <ns0:c r="N461" s="17" t="n"/>
      <ns0:c r="O461" s="17" t="n"/>
      <ns0:c r="P461" s="17" t="n"/>
      <ns0:c r="Q461" s="17" t="n"/>
      <ns0:c r="R461" s="17" t="n"/>
      <ns0:c r="S461" s="17" t="n"/>
      <ns0:c r="T461" s="17" t="n"/>
      <ns0:c r="U461" s="17" t="n"/>
      <ns0:c r="V461" s="17" t="n"/>
      <ns0:c r="W461" s="17" t="n"/>
      <ns0:c r="X461" s="17" t="n"/>
      <ns0:c r="Y461" s="17" t="n"/>
      <ns0:c r="Z461" s="17" t="n"/>
      <ns0:c r="AA461" s="17" t="n"/>
      <ns0:c r="AB461" s="17" t="n"/>
      <ns0:c r="AC461" s="17" t="n"/>
      <ns0:c r="AD461" s="17" t="n"/>
      <ns0:c r="AE461" s="17" t="n"/>
      <ns0:c r="AF461" s="17" t="n"/>
      <ns0:c r="AG461" s="17" t="n"/>
    </ns0:row>
    <ns0:row r="462" ht="24" customHeight="1">
      <ns0:c r="D462" s="17" t="n"/>
      <ns0:c r="E462" s="17" t="n"/>
      <ns0:c r="F462" s="17" t="n"/>
      <ns0:c r="G462" s="17" t="n"/>
      <ns0:c r="H462" s="17" t="n"/>
      <ns0:c r="I462" s="17" t="n"/>
      <ns0:c r="J462" s="17" t="n"/>
      <ns0:c r="K462" s="17" t="n"/>
      <ns0:c r="L462" s="17" t="n"/>
      <ns0:c r="M462" s="17" t="n"/>
      <ns0:c r="N462" s="17" t="n"/>
      <ns0:c r="O462" s="17" t="n"/>
      <ns0:c r="P462" s="17" t="n"/>
      <ns0:c r="Q462" s="17" t="n"/>
      <ns0:c r="R462" s="17" t="n"/>
      <ns0:c r="S462" s="17" t="n"/>
      <ns0:c r="T462" s="17" t="n"/>
      <ns0:c r="U462" s="17" t="n"/>
      <ns0:c r="V462" s="17" t="n"/>
      <ns0:c r="W462" s="17" t="n"/>
      <ns0:c r="X462" s="17" t="n"/>
      <ns0:c r="Y462" s="17" t="n"/>
      <ns0:c r="Z462" s="17" t="n"/>
      <ns0:c r="AA462" s="17" t="n"/>
      <ns0:c r="AB462" s="17" t="n"/>
      <ns0:c r="AC462" s="17" t="n"/>
      <ns0:c r="AD462" s="17" t="n"/>
      <ns0:c r="AE462" s="17" t="n"/>
      <ns0:c r="AF462" s="17" t="n"/>
      <ns0:c r="AG462" s="17" t="n"/>
    </ns0:row>
    <ns0:row r="463" ht="24" customHeight="1">
      <ns0:c r="D463" s="17" t="n"/>
      <ns0:c r="E463" s="17" t="n"/>
      <ns0:c r="F463" s="17" t="n"/>
      <ns0:c r="G463" s="17" t="n"/>
      <ns0:c r="H463" s="17" t="n"/>
      <ns0:c r="I463" s="17" t="n"/>
      <ns0:c r="J463" s="17" t="n"/>
      <ns0:c r="K463" s="17" t="n"/>
      <ns0:c r="L463" s="17" t="n"/>
      <ns0:c r="M463" s="17" t="n"/>
      <ns0:c r="N463" s="17" t="n"/>
      <ns0:c r="O463" s="17" t="n"/>
      <ns0:c r="P463" s="17" t="n"/>
      <ns0:c r="Q463" s="17" t="n"/>
      <ns0:c r="R463" s="17" t="n"/>
      <ns0:c r="S463" s="17" t="n"/>
      <ns0:c r="T463" s="17" t="n"/>
      <ns0:c r="U463" s="17" t="n"/>
      <ns0:c r="V463" s="17" t="n"/>
      <ns0:c r="W463" s="17" t="n"/>
      <ns0:c r="X463" s="17" t="n"/>
      <ns0:c r="Y463" s="17" t="n"/>
      <ns0:c r="Z463" s="17" t="n"/>
      <ns0:c r="AA463" s="17" t="n"/>
      <ns0:c r="AB463" s="17" t="n"/>
      <ns0:c r="AC463" s="17" t="n"/>
      <ns0:c r="AD463" s="17" t="n"/>
      <ns0:c r="AE463" s="17" t="n"/>
      <ns0:c r="AF463" s="17" t="n"/>
      <ns0:c r="AG463" s="17" t="n"/>
    </ns0:row>
    <ns0:row r="464" ht="24" customHeight="1">
      <ns0:c r="D464" s="17" t="n"/>
      <ns0:c r="E464" s="17" t="n"/>
      <ns0:c r="F464" s="17" t="n"/>
      <ns0:c r="G464" s="17" t="n"/>
      <ns0:c r="H464" s="17" t="n"/>
      <ns0:c r="I464" s="17" t="n"/>
      <ns0:c r="J464" s="17" t="n"/>
      <ns0:c r="K464" s="17" t="n"/>
      <ns0:c r="L464" s="17" t="n"/>
      <ns0:c r="M464" s="17" t="n"/>
      <ns0:c r="N464" s="17" t="n"/>
      <ns0:c r="O464" s="17" t="n"/>
      <ns0:c r="P464" s="17" t="n"/>
      <ns0:c r="Q464" s="17" t="n"/>
      <ns0:c r="R464" s="17" t="n"/>
      <ns0:c r="S464" s="17" t="n"/>
      <ns0:c r="T464" s="17" t="n"/>
      <ns0:c r="U464" s="17" t="n"/>
      <ns0:c r="V464" s="17" t="n"/>
      <ns0:c r="W464" s="17" t="n"/>
      <ns0:c r="X464" s="17" t="n"/>
      <ns0:c r="Y464" s="17" t="n"/>
      <ns0:c r="Z464" s="17" t="n"/>
      <ns0:c r="AA464" s="17" t="n"/>
      <ns0:c r="AB464" s="17" t="n"/>
      <ns0:c r="AC464" s="17" t="n"/>
      <ns0:c r="AD464" s="17" t="n"/>
      <ns0:c r="AE464" s="17" t="n"/>
      <ns0:c r="AF464" s="17" t="n"/>
      <ns0:c r="AG464" s="17" t="n"/>
    </ns0:row>
    <ns0:row r="465" ht="24" customHeight="1">
      <ns0:c r="D465" s="17" t="n"/>
      <ns0:c r="E465" s="17" t="n"/>
      <ns0:c r="F465" s="17" t="n"/>
      <ns0:c r="G465" s="17" t="n"/>
      <ns0:c r="H465" s="17" t="n"/>
      <ns0:c r="I465" s="17" t="n"/>
      <ns0:c r="J465" s="17" t="n"/>
      <ns0:c r="K465" s="17" t="n"/>
      <ns0:c r="L465" s="17" t="n"/>
      <ns0:c r="M465" s="17" t="n"/>
      <ns0:c r="N465" s="17" t="n"/>
      <ns0:c r="O465" s="17" t="n"/>
      <ns0:c r="P465" s="17" t="n"/>
      <ns0:c r="Q465" s="17" t="n"/>
      <ns0:c r="R465" s="17" t="n"/>
      <ns0:c r="S465" s="17" t="n"/>
      <ns0:c r="T465" s="17" t="n"/>
      <ns0:c r="U465" s="17" t="n"/>
      <ns0:c r="V465" s="17" t="n"/>
      <ns0:c r="W465" s="17" t="n"/>
      <ns0:c r="X465" s="17" t="n"/>
      <ns0:c r="Y465" s="17" t="n"/>
      <ns0:c r="Z465" s="17" t="n"/>
      <ns0:c r="AA465" s="17" t="n"/>
      <ns0:c r="AB465" s="17" t="n"/>
      <ns0:c r="AC465" s="17" t="n"/>
      <ns0:c r="AD465" s="17" t="n"/>
      <ns0:c r="AE465" s="17" t="n"/>
      <ns0:c r="AF465" s="17" t="n"/>
      <ns0:c r="AG465" s="17" t="n"/>
    </ns0:row>
    <ns0:row r="466" ht="24" customHeight="1">
      <ns0:c r="D466" s="17" t="n"/>
      <ns0:c r="E466" s="17" t="n"/>
      <ns0:c r="F466" s="17" t="n"/>
      <ns0:c r="G466" s="17" t="n"/>
      <ns0:c r="H466" s="17" t="n"/>
      <ns0:c r="I466" s="17" t="n"/>
      <ns0:c r="J466" s="17" t="n"/>
      <ns0:c r="K466" s="17" t="n"/>
      <ns0:c r="L466" s="17" t="n"/>
      <ns0:c r="M466" s="17" t="n"/>
      <ns0:c r="N466" s="17" t="n"/>
      <ns0:c r="O466" s="17" t="n"/>
      <ns0:c r="P466" s="17" t="n"/>
      <ns0:c r="Q466" s="17" t="n"/>
      <ns0:c r="R466" s="17" t="n"/>
      <ns0:c r="S466" s="17" t="n"/>
      <ns0:c r="T466" s="17" t="n"/>
      <ns0:c r="U466" s="17" t="n"/>
      <ns0:c r="V466" s="17" t="n"/>
      <ns0:c r="W466" s="17" t="n"/>
      <ns0:c r="X466" s="17" t="n"/>
      <ns0:c r="Y466" s="17" t="n"/>
      <ns0:c r="Z466" s="17" t="n"/>
      <ns0:c r="AA466" s="17" t="n"/>
      <ns0:c r="AB466" s="17" t="n"/>
      <ns0:c r="AC466" s="17" t="n"/>
      <ns0:c r="AD466" s="17" t="n"/>
      <ns0:c r="AE466" s="17" t="n"/>
      <ns0:c r="AF466" s="17" t="n"/>
      <ns0:c r="AG466" s="17" t="n"/>
    </ns0:row>
    <ns0:row r="467" ht="24" customHeight="1">
      <ns0:c r="D467" s="17" t="n"/>
      <ns0:c r="E467" s="17" t="n"/>
      <ns0:c r="F467" s="17" t="n"/>
      <ns0:c r="G467" s="17" t="n"/>
      <ns0:c r="H467" s="17" t="n"/>
      <ns0:c r="I467" s="17" t="n"/>
      <ns0:c r="J467" s="17" t="n"/>
      <ns0:c r="K467" s="17" t="n"/>
      <ns0:c r="L467" s="17" t="n"/>
      <ns0:c r="M467" s="17" t="n"/>
      <ns0:c r="N467" s="17" t="n"/>
      <ns0:c r="O467" s="17" t="n"/>
      <ns0:c r="P467" s="17" t="n"/>
      <ns0:c r="Q467" s="17" t="n"/>
      <ns0:c r="R467" s="17" t="n"/>
      <ns0:c r="S467" s="17" t="n"/>
      <ns0:c r="T467" s="17" t="n"/>
      <ns0:c r="U467" s="17" t="n"/>
      <ns0:c r="V467" s="17" t="n"/>
      <ns0:c r="W467" s="17" t="n"/>
      <ns0:c r="X467" s="17" t="n"/>
      <ns0:c r="Y467" s="17" t="n"/>
      <ns0:c r="Z467" s="17" t="n"/>
      <ns0:c r="AA467" s="17" t="n"/>
      <ns0:c r="AB467" s="17" t="n"/>
      <ns0:c r="AC467" s="17" t="n"/>
      <ns0:c r="AD467" s="17" t="n"/>
      <ns0:c r="AE467" s="17" t="n"/>
      <ns0:c r="AF467" s="17" t="n"/>
      <ns0:c r="AG467" s="17" t="n"/>
    </ns0:row>
    <ns0:row r="468" ht="24" customHeight="1">
      <ns0:c r="D468" s="17" t="n"/>
      <ns0:c r="E468" s="17" t="n"/>
      <ns0:c r="F468" s="17" t="n"/>
      <ns0:c r="G468" s="17" t="n"/>
      <ns0:c r="H468" s="17" t="n"/>
      <ns0:c r="I468" s="17" t="n"/>
      <ns0:c r="J468" s="17" t="n"/>
      <ns0:c r="K468" s="17" t="n"/>
      <ns0:c r="L468" s="17" t="n"/>
      <ns0:c r="M468" s="17" t="n"/>
      <ns0:c r="N468" s="17" t="n"/>
      <ns0:c r="O468" s="17" t="n"/>
      <ns0:c r="P468" s="17" t="n"/>
      <ns0:c r="Q468" s="17" t="n"/>
      <ns0:c r="R468" s="17" t="n"/>
      <ns0:c r="S468" s="17" t="n"/>
      <ns0:c r="T468" s="17" t="n"/>
      <ns0:c r="U468" s="17" t="n"/>
      <ns0:c r="V468" s="17" t="n"/>
      <ns0:c r="W468" s="17" t="n"/>
      <ns0:c r="X468" s="17" t="n"/>
      <ns0:c r="Y468" s="17" t="n"/>
      <ns0:c r="Z468" s="17" t="n"/>
      <ns0:c r="AA468" s="17" t="n"/>
      <ns0:c r="AB468" s="17" t="n"/>
      <ns0:c r="AC468" s="17" t="n"/>
      <ns0:c r="AD468" s="17" t="n"/>
      <ns0:c r="AE468" s="17" t="n"/>
      <ns0:c r="AF468" s="17" t="n"/>
      <ns0:c r="AG468" s="17" t="n"/>
    </ns0:row>
    <ns0:row r="469" ht="24" customHeight="1">
      <ns0:c r="D469" s="17" t="n"/>
      <ns0:c r="E469" s="17" t="n"/>
      <ns0:c r="F469" s="17" t="n"/>
      <ns0:c r="G469" s="17" t="n"/>
      <ns0:c r="H469" s="17" t="n"/>
      <ns0:c r="I469" s="17" t="n"/>
      <ns0:c r="J469" s="17" t="n"/>
      <ns0:c r="K469" s="17" t="n"/>
      <ns0:c r="L469" s="17" t="n"/>
      <ns0:c r="M469" s="17" t="n"/>
      <ns0:c r="N469" s="17" t="n"/>
      <ns0:c r="O469" s="17" t="n"/>
      <ns0:c r="P469" s="17" t="n"/>
      <ns0:c r="Q469" s="17" t="n"/>
      <ns0:c r="R469" s="17" t="n"/>
      <ns0:c r="S469" s="17" t="n"/>
      <ns0:c r="T469" s="17" t="n"/>
      <ns0:c r="U469" s="17" t="n"/>
      <ns0:c r="V469" s="17" t="n"/>
      <ns0:c r="W469" s="17" t="n"/>
      <ns0:c r="X469" s="17" t="n"/>
      <ns0:c r="Y469" s="17" t="n"/>
      <ns0:c r="Z469" s="17" t="n"/>
      <ns0:c r="AA469" s="17" t="n"/>
      <ns0:c r="AB469" s="17" t="n"/>
      <ns0:c r="AC469" s="17" t="n"/>
      <ns0:c r="AD469" s="17" t="n"/>
      <ns0:c r="AE469" s="17" t="n"/>
      <ns0:c r="AF469" s="17" t="n"/>
      <ns0:c r="AG469" s="17" t="n"/>
    </ns0:row>
    <ns0:row r="470" ht="24" customHeight="1">
      <ns0:c r="D470" s="17" t="n"/>
      <ns0:c r="E470" s="17" t="n"/>
      <ns0:c r="F470" s="17" t="n"/>
      <ns0:c r="G470" s="17" t="n"/>
      <ns0:c r="H470" s="17" t="n"/>
      <ns0:c r="I470" s="17" t="n"/>
      <ns0:c r="J470" s="17" t="n"/>
      <ns0:c r="K470" s="17" t="n"/>
      <ns0:c r="L470" s="17" t="n"/>
      <ns0:c r="M470" s="17" t="n"/>
      <ns0:c r="N470" s="17" t="n"/>
      <ns0:c r="O470" s="17" t="n"/>
      <ns0:c r="P470" s="17" t="n"/>
      <ns0:c r="Q470" s="17" t="n"/>
      <ns0:c r="R470" s="17" t="n"/>
      <ns0:c r="S470" s="17" t="n"/>
      <ns0:c r="T470" s="17" t="n"/>
      <ns0:c r="U470" s="17" t="n"/>
      <ns0:c r="V470" s="17" t="n"/>
      <ns0:c r="W470" s="17" t="n"/>
      <ns0:c r="X470" s="17" t="n"/>
      <ns0:c r="Y470" s="17" t="n"/>
      <ns0:c r="Z470" s="17" t="n"/>
      <ns0:c r="AA470" s="17" t="n"/>
      <ns0:c r="AB470" s="17" t="n"/>
      <ns0:c r="AC470" s="17" t="n"/>
      <ns0:c r="AD470" s="17" t="n"/>
      <ns0:c r="AE470" s="17" t="n"/>
      <ns0:c r="AF470" s="17" t="n"/>
      <ns0:c r="AG470" s="17" t="n"/>
    </ns0:row>
    <ns0:row r="471" ht="24" customHeight="1">
      <ns0:c r="D471" s="17" t="n"/>
      <ns0:c r="E471" s="17" t="n"/>
      <ns0:c r="F471" s="17" t="n"/>
      <ns0:c r="G471" s="17" t="n"/>
      <ns0:c r="H471" s="17" t="n"/>
      <ns0:c r="I471" s="17" t="n"/>
      <ns0:c r="J471" s="17" t="n"/>
      <ns0:c r="K471" s="17" t="n"/>
      <ns0:c r="L471" s="17" t="n"/>
      <ns0:c r="M471" s="17" t="n"/>
      <ns0:c r="N471" s="17" t="n"/>
      <ns0:c r="O471" s="17" t="n"/>
      <ns0:c r="P471" s="17" t="n"/>
      <ns0:c r="Q471" s="17" t="n"/>
      <ns0:c r="R471" s="17" t="n"/>
      <ns0:c r="S471" s="17" t="n"/>
      <ns0:c r="T471" s="17" t="n"/>
      <ns0:c r="U471" s="17" t="n"/>
      <ns0:c r="V471" s="17" t="n"/>
      <ns0:c r="W471" s="17" t="n"/>
      <ns0:c r="X471" s="17" t="n"/>
      <ns0:c r="Y471" s="17" t="n"/>
      <ns0:c r="Z471" s="17" t="n"/>
      <ns0:c r="AA471" s="17" t="n"/>
      <ns0:c r="AB471" s="17" t="n"/>
      <ns0:c r="AC471" s="17" t="n"/>
      <ns0:c r="AD471" s="17" t="n"/>
      <ns0:c r="AE471" s="17" t="n"/>
      <ns0:c r="AF471" s="17" t="n"/>
      <ns0:c r="AG471" s="17" t="n"/>
    </ns0:row>
    <ns0:row r="472" ht="24" customHeight="1">
      <ns0:c r="D472" s="17" t="n"/>
      <ns0:c r="E472" s="17" t="n"/>
      <ns0:c r="F472" s="17" t="n"/>
      <ns0:c r="G472" s="17" t="n"/>
      <ns0:c r="H472" s="17" t="n"/>
      <ns0:c r="I472" s="17" t="n"/>
      <ns0:c r="J472" s="17" t="n"/>
      <ns0:c r="K472" s="17" t="n"/>
      <ns0:c r="L472" s="17" t="n"/>
      <ns0:c r="M472" s="17" t="n"/>
      <ns0:c r="N472" s="17" t="n"/>
      <ns0:c r="O472" s="17" t="n"/>
      <ns0:c r="P472" s="17" t="n"/>
      <ns0:c r="Q472" s="17" t="n"/>
      <ns0:c r="R472" s="17" t="n"/>
      <ns0:c r="S472" s="17" t="n"/>
      <ns0:c r="T472" s="17" t="n"/>
      <ns0:c r="U472" s="17" t="n"/>
      <ns0:c r="V472" s="17" t="n"/>
      <ns0:c r="W472" s="17" t="n"/>
      <ns0:c r="X472" s="17" t="n"/>
      <ns0:c r="Y472" s="17" t="n"/>
      <ns0:c r="Z472" s="17" t="n"/>
      <ns0:c r="AA472" s="17" t="n"/>
      <ns0:c r="AB472" s="17" t="n"/>
      <ns0:c r="AC472" s="17" t="n"/>
      <ns0:c r="AD472" s="17" t="n"/>
      <ns0:c r="AE472" s="17" t="n"/>
      <ns0:c r="AF472" s="17" t="n"/>
      <ns0:c r="AG472" s="17" t="n"/>
    </ns0:row>
    <ns0:row r="473" ht="24" customHeight="1">
      <ns0:c r="D473" s="17" t="n"/>
      <ns0:c r="E473" s="17" t="n"/>
      <ns0:c r="F473" s="17" t="n"/>
      <ns0:c r="G473" s="17" t="n"/>
      <ns0:c r="H473" s="17" t="n"/>
      <ns0:c r="I473" s="17" t="n"/>
      <ns0:c r="J473" s="17" t="n"/>
      <ns0:c r="K473" s="17" t="n"/>
      <ns0:c r="L473" s="17" t="n"/>
      <ns0:c r="M473" s="17" t="n"/>
      <ns0:c r="N473" s="17" t="n"/>
      <ns0:c r="O473" s="17" t="n"/>
      <ns0:c r="P473" s="17" t="n"/>
      <ns0:c r="Q473" s="17" t="n"/>
      <ns0:c r="R473" s="17" t="n"/>
      <ns0:c r="S473" s="17" t="n"/>
      <ns0:c r="T473" s="17" t="n"/>
      <ns0:c r="U473" s="17" t="n"/>
      <ns0:c r="V473" s="17" t="n"/>
      <ns0:c r="W473" s="17" t="n"/>
      <ns0:c r="X473" s="17" t="n"/>
      <ns0:c r="Y473" s="17" t="n"/>
      <ns0:c r="Z473" s="17" t="n"/>
      <ns0:c r="AA473" s="17" t="n"/>
      <ns0:c r="AB473" s="17" t="n"/>
      <ns0:c r="AC473" s="17" t="n"/>
      <ns0:c r="AD473" s="17" t="n"/>
      <ns0:c r="AE473" s="17" t="n"/>
      <ns0:c r="AF473" s="17" t="n"/>
      <ns0:c r="AG473" s="17" t="n"/>
    </ns0:row>
    <ns0:row r="474" ht="24" customHeight="1">
      <ns0:c r="D474" s="17" t="n"/>
      <ns0:c r="E474" s="17" t="n"/>
      <ns0:c r="F474" s="17" t="n"/>
      <ns0:c r="G474" s="17" t="n"/>
      <ns0:c r="H474" s="17" t="n"/>
      <ns0:c r="I474" s="17" t="n"/>
      <ns0:c r="J474" s="17" t="n"/>
      <ns0:c r="K474" s="17" t="n"/>
      <ns0:c r="L474" s="17" t="n"/>
      <ns0:c r="M474" s="17" t="n"/>
      <ns0:c r="N474" s="17" t="n"/>
      <ns0:c r="O474" s="17" t="n"/>
      <ns0:c r="P474" s="17" t="n"/>
      <ns0:c r="Q474" s="17" t="n"/>
      <ns0:c r="R474" s="17" t="n"/>
      <ns0:c r="S474" s="17" t="n"/>
      <ns0:c r="T474" s="17" t="n"/>
      <ns0:c r="U474" s="17" t="n"/>
      <ns0:c r="V474" s="17" t="n"/>
      <ns0:c r="W474" s="17" t="n"/>
      <ns0:c r="X474" s="17" t="n"/>
      <ns0:c r="Y474" s="17" t="n"/>
      <ns0:c r="Z474" s="17" t="n"/>
      <ns0:c r="AA474" s="17" t="n"/>
      <ns0:c r="AB474" s="17" t="n"/>
      <ns0:c r="AC474" s="17" t="n"/>
      <ns0:c r="AD474" s="17" t="n"/>
      <ns0:c r="AE474" s="17" t="n"/>
      <ns0:c r="AF474" s="17" t="n"/>
      <ns0:c r="AG474" s="17" t="n"/>
    </ns0:row>
    <ns0:row r="475" ht="24" customHeight="1">
      <ns0:c r="D475" s="17" t="n"/>
      <ns0:c r="E475" s="17" t="n"/>
      <ns0:c r="F475" s="17" t="n"/>
      <ns0:c r="G475" s="17" t="n"/>
      <ns0:c r="H475" s="17" t="n"/>
      <ns0:c r="I475" s="17" t="n"/>
      <ns0:c r="J475" s="17" t="n"/>
      <ns0:c r="K475" s="17" t="n"/>
      <ns0:c r="L475" s="17" t="n"/>
      <ns0:c r="M475" s="17" t="n"/>
      <ns0:c r="N475" s="17" t="n"/>
      <ns0:c r="O475" s="17" t="n"/>
      <ns0:c r="P475" s="17" t="n"/>
      <ns0:c r="Q475" s="17" t="n"/>
      <ns0:c r="R475" s="17" t="n"/>
      <ns0:c r="S475" s="17" t="n"/>
      <ns0:c r="T475" s="17" t="n"/>
      <ns0:c r="U475" s="17" t="n"/>
      <ns0:c r="V475" s="17" t="n"/>
      <ns0:c r="W475" s="17" t="n"/>
      <ns0:c r="X475" s="17" t="n"/>
      <ns0:c r="Y475" s="17" t="n"/>
      <ns0:c r="Z475" s="17" t="n"/>
      <ns0:c r="AA475" s="17" t="n"/>
      <ns0:c r="AB475" s="17" t="n"/>
      <ns0:c r="AC475" s="17" t="n"/>
      <ns0:c r="AD475" s="17" t="n"/>
      <ns0:c r="AE475" s="17" t="n"/>
      <ns0:c r="AF475" s="17" t="n"/>
      <ns0:c r="AG475" s="17" t="n"/>
    </ns0:row>
    <ns0:row r="476" ht="24" customHeight="1">
      <ns0:c r="D476" s="17" t="n"/>
      <ns0:c r="E476" s="17" t="n"/>
      <ns0:c r="F476" s="17" t="n"/>
      <ns0:c r="G476" s="17" t="n"/>
      <ns0:c r="H476" s="17" t="n"/>
      <ns0:c r="I476" s="17" t="n"/>
      <ns0:c r="J476" s="17" t="n"/>
      <ns0:c r="K476" s="17" t="n"/>
      <ns0:c r="L476" s="17" t="n"/>
      <ns0:c r="M476" s="17" t="n"/>
      <ns0:c r="N476" s="17" t="n"/>
      <ns0:c r="O476" s="17" t="n"/>
      <ns0:c r="P476" s="17" t="n"/>
      <ns0:c r="Q476" s="17" t="n"/>
      <ns0:c r="R476" s="17" t="n"/>
      <ns0:c r="S476" s="17" t="n"/>
      <ns0:c r="T476" s="17" t="n"/>
      <ns0:c r="U476" s="17" t="n"/>
      <ns0:c r="V476" s="17" t="n"/>
      <ns0:c r="W476" s="17" t="n"/>
      <ns0:c r="X476" s="17" t="n"/>
      <ns0:c r="Y476" s="17" t="n"/>
      <ns0:c r="Z476" s="17" t="n"/>
      <ns0:c r="AA476" s="17" t="n"/>
      <ns0:c r="AB476" s="17" t="n"/>
      <ns0:c r="AC476" s="17" t="n"/>
      <ns0:c r="AD476" s="17" t="n"/>
      <ns0:c r="AE476" s="17" t="n"/>
      <ns0:c r="AF476" s="17" t="n"/>
      <ns0:c r="AG476" s="17" t="n"/>
    </ns0:row>
    <ns0:row r="477" ht="24" customHeight="1">
      <ns0:c r="D477" s="17" t="n"/>
      <ns0:c r="E477" s="17" t="n"/>
      <ns0:c r="F477" s="17" t="n"/>
      <ns0:c r="G477" s="17" t="n"/>
      <ns0:c r="H477" s="17" t="n"/>
      <ns0:c r="I477" s="17" t="n"/>
      <ns0:c r="J477" s="17" t="n"/>
      <ns0:c r="K477" s="17" t="n"/>
      <ns0:c r="L477" s="17" t="n"/>
      <ns0:c r="M477" s="17" t="n"/>
      <ns0:c r="N477" s="17" t="n"/>
      <ns0:c r="O477" s="17" t="n"/>
      <ns0:c r="P477" s="17" t="n"/>
      <ns0:c r="Q477" s="17" t="n"/>
      <ns0:c r="R477" s="17" t="n"/>
      <ns0:c r="S477" s="17" t="n"/>
      <ns0:c r="T477" s="17" t="n"/>
      <ns0:c r="U477" s="17" t="n"/>
      <ns0:c r="V477" s="17" t="n"/>
      <ns0:c r="W477" s="17" t="n"/>
      <ns0:c r="X477" s="17" t="n"/>
      <ns0:c r="Y477" s="17" t="n"/>
      <ns0:c r="Z477" s="17" t="n"/>
      <ns0:c r="AA477" s="17" t="n"/>
      <ns0:c r="AB477" s="17" t="n"/>
      <ns0:c r="AC477" s="17" t="n"/>
      <ns0:c r="AD477" s="17" t="n"/>
      <ns0:c r="AE477" s="17" t="n"/>
      <ns0:c r="AF477" s="17" t="n"/>
      <ns0:c r="AG477" s="17" t="n"/>
    </ns0:row>
    <ns0:row r="478" ht="24" customHeight="1">
      <ns0:c r="D478" s="17" t="n"/>
      <ns0:c r="E478" s="17" t="n"/>
      <ns0:c r="F478" s="17" t="n"/>
      <ns0:c r="G478" s="17" t="n"/>
      <ns0:c r="H478" s="17" t="n"/>
      <ns0:c r="I478" s="17" t="n"/>
      <ns0:c r="J478" s="17" t="n"/>
      <ns0:c r="K478" s="17" t="n"/>
      <ns0:c r="L478" s="17" t="n"/>
      <ns0:c r="M478" s="17" t="n"/>
      <ns0:c r="N478" s="17" t="n"/>
      <ns0:c r="O478" s="17" t="n"/>
      <ns0:c r="P478" s="17" t="n"/>
      <ns0:c r="Q478" s="17" t="n"/>
      <ns0:c r="R478" s="17" t="n"/>
      <ns0:c r="S478" s="17" t="n"/>
      <ns0:c r="T478" s="17" t="n"/>
      <ns0:c r="U478" s="17" t="n"/>
      <ns0:c r="V478" s="17" t="n"/>
      <ns0:c r="W478" s="17" t="n"/>
      <ns0:c r="X478" s="17" t="n"/>
      <ns0:c r="Y478" s="17" t="n"/>
      <ns0:c r="Z478" s="17" t="n"/>
      <ns0:c r="AA478" s="17" t="n"/>
      <ns0:c r="AB478" s="17" t="n"/>
      <ns0:c r="AC478" s="17" t="n"/>
      <ns0:c r="AD478" s="17" t="n"/>
      <ns0:c r="AE478" s="17" t="n"/>
      <ns0:c r="AF478" s="17" t="n"/>
      <ns0:c r="AG478" s="17" t="n"/>
    </ns0:row>
    <ns0:row r="479" ht="24" customHeight="1">
      <ns0:c r="D479" s="17" t="n"/>
      <ns0:c r="E479" s="17" t="n"/>
      <ns0:c r="F479" s="17" t="n"/>
      <ns0:c r="G479" s="17" t="n"/>
      <ns0:c r="H479" s="17" t="n"/>
      <ns0:c r="I479" s="17" t="n"/>
      <ns0:c r="J479" s="17" t="n"/>
      <ns0:c r="K479" s="17" t="n"/>
      <ns0:c r="L479" s="17" t="n"/>
      <ns0:c r="M479" s="17" t="n"/>
      <ns0:c r="N479" s="17" t="n"/>
      <ns0:c r="O479" s="17" t="n"/>
      <ns0:c r="P479" s="17" t="n"/>
      <ns0:c r="Q479" s="17" t="n"/>
      <ns0:c r="R479" s="17" t="n"/>
      <ns0:c r="S479" s="17" t="n"/>
      <ns0:c r="T479" s="17" t="n"/>
      <ns0:c r="U479" s="17" t="n"/>
      <ns0:c r="V479" s="17" t="n"/>
      <ns0:c r="W479" s="17" t="n"/>
      <ns0:c r="X479" s="17" t="n"/>
      <ns0:c r="Y479" s="17" t="n"/>
      <ns0:c r="Z479" s="17" t="n"/>
      <ns0:c r="AA479" s="17" t="n"/>
      <ns0:c r="AB479" s="17" t="n"/>
      <ns0:c r="AC479" s="17" t="n"/>
      <ns0:c r="AD479" s="17" t="n"/>
      <ns0:c r="AE479" s="17" t="n"/>
      <ns0:c r="AF479" s="17" t="n"/>
      <ns0:c r="AG479" s="17" t="n"/>
    </ns0:row>
    <ns0:row r="480" ht="24" customHeight="1">
      <ns0:c r="D480" s="17" t="n"/>
      <ns0:c r="E480" s="17" t="n"/>
      <ns0:c r="F480" s="17" t="n"/>
      <ns0:c r="G480" s="17" t="n"/>
      <ns0:c r="H480" s="17" t="n"/>
      <ns0:c r="I480" s="17" t="n"/>
      <ns0:c r="J480" s="17" t="n"/>
      <ns0:c r="K480" s="17" t="n"/>
      <ns0:c r="L480" s="17" t="n"/>
      <ns0:c r="M480" s="17" t="n"/>
      <ns0:c r="N480" s="17" t="n"/>
      <ns0:c r="O480" s="17" t="n"/>
      <ns0:c r="P480" s="17" t="n"/>
      <ns0:c r="Q480" s="17" t="n"/>
      <ns0:c r="R480" s="17" t="n"/>
      <ns0:c r="S480" s="17" t="n"/>
      <ns0:c r="T480" s="17" t="n"/>
      <ns0:c r="U480" s="17" t="n"/>
      <ns0:c r="V480" s="17" t="n"/>
      <ns0:c r="W480" s="17" t="n"/>
      <ns0:c r="X480" s="17" t="n"/>
      <ns0:c r="Y480" s="17" t="n"/>
      <ns0:c r="Z480" s="17" t="n"/>
      <ns0:c r="AA480" s="17" t="n"/>
      <ns0:c r="AB480" s="17" t="n"/>
      <ns0:c r="AC480" s="17" t="n"/>
      <ns0:c r="AD480" s="17" t="n"/>
      <ns0:c r="AE480" s="17" t="n"/>
      <ns0:c r="AF480" s="17" t="n"/>
      <ns0:c r="AG480" s="17" t="n"/>
    </ns0:row>
    <ns0:row r="481" ht="24" customHeight="1">
      <ns0:c r="D481" s="17" t="n"/>
      <ns0:c r="E481" s="17" t="n"/>
      <ns0:c r="F481" s="17" t="n"/>
      <ns0:c r="G481" s="17" t="n"/>
      <ns0:c r="H481" s="17" t="n"/>
      <ns0:c r="I481" s="17" t="n"/>
      <ns0:c r="J481" s="17" t="n"/>
      <ns0:c r="K481" s="17" t="n"/>
      <ns0:c r="L481" s="17" t="n"/>
      <ns0:c r="M481" s="17" t="n"/>
      <ns0:c r="N481" s="17" t="n"/>
      <ns0:c r="O481" s="17" t="n"/>
      <ns0:c r="P481" s="17" t="n"/>
      <ns0:c r="Q481" s="17" t="n"/>
      <ns0:c r="R481" s="17" t="n"/>
      <ns0:c r="S481" s="17" t="n"/>
      <ns0:c r="T481" s="17" t="n"/>
      <ns0:c r="U481" s="17" t="n"/>
      <ns0:c r="V481" s="17" t="n"/>
      <ns0:c r="W481" s="17" t="n"/>
      <ns0:c r="X481" s="17" t="n"/>
      <ns0:c r="Y481" s="17" t="n"/>
      <ns0:c r="Z481" s="17" t="n"/>
      <ns0:c r="AA481" s="17" t="n"/>
      <ns0:c r="AB481" s="17" t="n"/>
      <ns0:c r="AC481" s="17" t="n"/>
      <ns0:c r="AD481" s="17" t="n"/>
      <ns0:c r="AE481" s="17" t="n"/>
      <ns0:c r="AF481" s="17" t="n"/>
      <ns0:c r="AG481" s="17" t="n"/>
    </ns0:row>
    <ns0:row r="482" ht="24" customHeight="1">
      <ns0:c r="D482" s="17" t="n"/>
      <ns0:c r="E482" s="17" t="n"/>
      <ns0:c r="F482" s="17" t="n"/>
      <ns0:c r="G482" s="17" t="n"/>
      <ns0:c r="H482" s="17" t="n"/>
      <ns0:c r="I482" s="17" t="n"/>
      <ns0:c r="J482" s="17" t="n"/>
      <ns0:c r="K482" s="17" t="n"/>
      <ns0:c r="L482" s="17" t="n"/>
      <ns0:c r="M482" s="17" t="n"/>
      <ns0:c r="N482" s="17" t="n"/>
      <ns0:c r="O482" s="17" t="n"/>
      <ns0:c r="P482" s="17" t="n"/>
      <ns0:c r="Q482" s="17" t="n"/>
      <ns0:c r="R482" s="17" t="n"/>
      <ns0:c r="S482" s="17" t="n"/>
      <ns0:c r="T482" s="17" t="n"/>
      <ns0:c r="U482" s="17" t="n"/>
      <ns0:c r="V482" s="17" t="n"/>
      <ns0:c r="W482" s="17" t="n"/>
      <ns0:c r="X482" s="17" t="n"/>
      <ns0:c r="Y482" s="17" t="n"/>
      <ns0:c r="Z482" s="17" t="n"/>
      <ns0:c r="AA482" s="17" t="n"/>
      <ns0:c r="AB482" s="17" t="n"/>
      <ns0:c r="AC482" s="17" t="n"/>
      <ns0:c r="AD482" s="17" t="n"/>
      <ns0:c r="AE482" s="17" t="n"/>
      <ns0:c r="AF482" s="17" t="n"/>
      <ns0:c r="AG482" s="17" t="n"/>
    </ns0:row>
    <ns0:row r="483" ht="24" customHeight="1">
      <ns0:c r="D483" s="17" t="n"/>
      <ns0:c r="E483" s="17" t="n"/>
      <ns0:c r="F483" s="17" t="n"/>
      <ns0:c r="G483" s="17" t="n"/>
      <ns0:c r="H483" s="17" t="n"/>
      <ns0:c r="I483" s="17" t="n"/>
      <ns0:c r="J483" s="17" t="n"/>
      <ns0:c r="K483" s="17" t="n"/>
      <ns0:c r="L483" s="17" t="n"/>
      <ns0:c r="M483" s="17" t="n"/>
      <ns0:c r="N483" s="17" t="n"/>
      <ns0:c r="O483" s="17" t="n"/>
      <ns0:c r="P483" s="17" t="n"/>
      <ns0:c r="Q483" s="17" t="n"/>
      <ns0:c r="R483" s="17" t="n"/>
      <ns0:c r="S483" s="17" t="n"/>
      <ns0:c r="T483" s="17" t="n"/>
      <ns0:c r="U483" s="17" t="n"/>
      <ns0:c r="V483" s="17" t="n"/>
      <ns0:c r="W483" s="17" t="n"/>
      <ns0:c r="X483" s="17" t="n"/>
      <ns0:c r="Y483" s="17" t="n"/>
      <ns0:c r="Z483" s="17" t="n"/>
      <ns0:c r="AA483" s="17" t="n"/>
      <ns0:c r="AB483" s="17" t="n"/>
      <ns0:c r="AC483" s="17" t="n"/>
      <ns0:c r="AD483" s="17" t="n"/>
      <ns0:c r="AE483" s="17" t="n"/>
      <ns0:c r="AF483" s="17" t="n"/>
      <ns0:c r="AG483" s="17" t="n"/>
    </ns0:row>
    <ns0:row r="484" ht="24" customHeight="1">
      <ns0:c r="D484" s="17" t="n"/>
      <ns0:c r="E484" s="17" t="n"/>
      <ns0:c r="F484" s="17" t="n"/>
      <ns0:c r="G484" s="17" t="n"/>
      <ns0:c r="H484" s="17" t="n"/>
      <ns0:c r="I484" s="17" t="n"/>
      <ns0:c r="J484" s="17" t="n"/>
      <ns0:c r="K484" s="17" t="n"/>
      <ns0:c r="L484" s="17" t="n"/>
      <ns0:c r="M484" s="17" t="n"/>
      <ns0:c r="N484" s="17" t="n"/>
      <ns0:c r="O484" s="17" t="n"/>
      <ns0:c r="P484" s="17" t="n"/>
      <ns0:c r="Q484" s="17" t="n"/>
      <ns0:c r="R484" s="17" t="n"/>
      <ns0:c r="S484" s="17" t="n"/>
      <ns0:c r="T484" s="17" t="n"/>
      <ns0:c r="U484" s="17" t="n"/>
      <ns0:c r="V484" s="17" t="n"/>
      <ns0:c r="W484" s="17" t="n"/>
      <ns0:c r="X484" s="17" t="n"/>
      <ns0:c r="Y484" s="17" t="n"/>
      <ns0:c r="Z484" s="17" t="n"/>
      <ns0:c r="AA484" s="17" t="n"/>
      <ns0:c r="AB484" s="17" t="n"/>
      <ns0:c r="AC484" s="17" t="n"/>
      <ns0:c r="AD484" s="17" t="n"/>
      <ns0:c r="AE484" s="17" t="n"/>
      <ns0:c r="AF484" s="17" t="n"/>
      <ns0:c r="AG484" s="17" t="n"/>
    </ns0:row>
    <ns0:row r="485" ht="24" customHeight="1">
      <ns0:c r="D485" s="17" t="n"/>
      <ns0:c r="E485" s="17" t="n"/>
      <ns0:c r="F485" s="17" t="n"/>
      <ns0:c r="G485" s="17" t="n"/>
      <ns0:c r="H485" s="17" t="n"/>
      <ns0:c r="I485" s="17" t="n"/>
      <ns0:c r="J485" s="17" t="n"/>
      <ns0:c r="K485" s="17" t="n"/>
      <ns0:c r="L485" s="17" t="n"/>
      <ns0:c r="M485" s="17" t="n"/>
      <ns0:c r="N485" s="17" t="n"/>
      <ns0:c r="O485" s="17" t="n"/>
      <ns0:c r="P485" s="17" t="n"/>
      <ns0:c r="Q485" s="17" t="n"/>
      <ns0:c r="R485" s="17" t="n"/>
      <ns0:c r="S485" s="17" t="n"/>
      <ns0:c r="T485" s="17" t="n"/>
      <ns0:c r="U485" s="17" t="n"/>
      <ns0:c r="V485" s="17" t="n"/>
      <ns0:c r="W485" s="17" t="n"/>
      <ns0:c r="X485" s="17" t="n"/>
      <ns0:c r="Y485" s="17" t="n"/>
      <ns0:c r="Z485" s="17" t="n"/>
      <ns0:c r="AA485" s="17" t="n"/>
      <ns0:c r="AB485" s="17" t="n"/>
      <ns0:c r="AC485" s="17" t="n"/>
      <ns0:c r="AD485" s="17" t="n"/>
      <ns0:c r="AE485" s="17" t="n"/>
      <ns0:c r="AF485" s="17" t="n"/>
      <ns0:c r="AG485" s="17" t="n"/>
    </ns0:row>
    <ns0:row r="486" ht="24" customHeight="1">
      <ns0:c r="D486" s="17" t="n"/>
      <ns0:c r="E486" s="17" t="n"/>
      <ns0:c r="F486" s="17" t="n"/>
      <ns0:c r="G486" s="17" t="n"/>
      <ns0:c r="H486" s="17" t="n"/>
      <ns0:c r="I486" s="17" t="n"/>
      <ns0:c r="J486" s="17" t="n"/>
      <ns0:c r="K486" s="17" t="n"/>
      <ns0:c r="L486" s="17" t="n"/>
      <ns0:c r="M486" s="17" t="n"/>
      <ns0:c r="N486" s="17" t="n"/>
      <ns0:c r="O486" s="17" t="n"/>
      <ns0:c r="P486" s="17" t="n"/>
      <ns0:c r="Q486" s="17" t="n"/>
      <ns0:c r="R486" s="17" t="n"/>
      <ns0:c r="S486" s="17" t="n"/>
      <ns0:c r="T486" s="17" t="n"/>
      <ns0:c r="U486" s="17" t="n"/>
      <ns0:c r="V486" s="17" t="n"/>
      <ns0:c r="W486" s="17" t="n"/>
      <ns0:c r="X486" s="17" t="n"/>
      <ns0:c r="Y486" s="17" t="n"/>
      <ns0:c r="Z486" s="17" t="n"/>
      <ns0:c r="AA486" s="17" t="n"/>
      <ns0:c r="AB486" s="17" t="n"/>
      <ns0:c r="AC486" s="17" t="n"/>
      <ns0:c r="AD486" s="17" t="n"/>
      <ns0:c r="AE486" s="17" t="n"/>
      <ns0:c r="AF486" s="17" t="n"/>
      <ns0:c r="AG486" s="17" t="n"/>
    </ns0:row>
    <ns0:row r="487" ht="24" customHeight="1">
      <ns0:c r="D487" s="17" t="n"/>
      <ns0:c r="E487" s="17" t="n"/>
      <ns0:c r="F487" s="17" t="n"/>
      <ns0:c r="G487" s="17" t="n"/>
      <ns0:c r="H487" s="17" t="n"/>
      <ns0:c r="I487" s="17" t="n"/>
      <ns0:c r="J487" s="17" t="n"/>
      <ns0:c r="K487" s="17" t="n"/>
      <ns0:c r="L487" s="17" t="n"/>
      <ns0:c r="M487" s="17" t="n"/>
      <ns0:c r="N487" s="17" t="n"/>
      <ns0:c r="O487" s="17" t="n"/>
      <ns0:c r="P487" s="17" t="n"/>
      <ns0:c r="Q487" s="17" t="n"/>
      <ns0:c r="R487" s="17" t="n"/>
      <ns0:c r="S487" s="17" t="n"/>
      <ns0:c r="T487" s="17" t="n"/>
      <ns0:c r="U487" s="17" t="n"/>
      <ns0:c r="V487" s="17" t="n"/>
      <ns0:c r="W487" s="17" t="n"/>
      <ns0:c r="X487" s="17" t="n"/>
      <ns0:c r="Y487" s="17" t="n"/>
      <ns0:c r="Z487" s="17" t="n"/>
      <ns0:c r="AA487" s="17" t="n"/>
      <ns0:c r="AB487" s="17" t="n"/>
      <ns0:c r="AC487" s="17" t="n"/>
      <ns0:c r="AD487" s="17" t="n"/>
      <ns0:c r="AE487" s="17" t="n"/>
      <ns0:c r="AF487" s="17" t="n"/>
      <ns0:c r="AG487" s="17" t="n"/>
    </ns0:row>
    <ns0:row r="488" ht="24" customHeight="1">
      <ns0:c r="D488" s="17" t="n"/>
      <ns0:c r="E488" s="17" t="n"/>
      <ns0:c r="F488" s="17" t="n"/>
      <ns0:c r="G488" s="17" t="n"/>
      <ns0:c r="H488" s="17" t="n"/>
      <ns0:c r="I488" s="17" t="n"/>
      <ns0:c r="J488" s="17" t="n"/>
      <ns0:c r="K488" s="17" t="n"/>
      <ns0:c r="L488" s="17" t="n"/>
      <ns0:c r="M488" s="17" t="n"/>
      <ns0:c r="N488" s="17" t="n"/>
      <ns0:c r="O488" s="17" t="n"/>
      <ns0:c r="P488" s="17" t="n"/>
      <ns0:c r="Q488" s="17" t="n"/>
      <ns0:c r="R488" s="17" t="n"/>
      <ns0:c r="S488" s="17" t="n"/>
      <ns0:c r="T488" s="17" t="n"/>
      <ns0:c r="U488" s="17" t="n"/>
      <ns0:c r="V488" s="17" t="n"/>
      <ns0:c r="W488" s="17" t="n"/>
      <ns0:c r="X488" s="17" t="n"/>
      <ns0:c r="Y488" s="17" t="n"/>
      <ns0:c r="Z488" s="17" t="n"/>
      <ns0:c r="AA488" s="17" t="n"/>
      <ns0:c r="AB488" s="17" t="n"/>
      <ns0:c r="AC488" s="17" t="n"/>
      <ns0:c r="AD488" s="17" t="n"/>
      <ns0:c r="AE488" s="17" t="n"/>
      <ns0:c r="AF488" s="17" t="n"/>
      <ns0:c r="AG488" s="17" t="n"/>
    </ns0:row>
    <ns0:row r="489" ht="24" customHeight="1">
      <ns0:c r="D489" s="17" t="n"/>
      <ns0:c r="E489" s="17" t="n"/>
      <ns0:c r="F489" s="17" t="n"/>
      <ns0:c r="G489" s="17" t="n"/>
      <ns0:c r="H489" s="17" t="n"/>
      <ns0:c r="I489" s="17" t="n"/>
      <ns0:c r="J489" s="17" t="n"/>
      <ns0:c r="K489" s="17" t="n"/>
      <ns0:c r="L489" s="17" t="n"/>
      <ns0:c r="M489" s="17" t="n"/>
      <ns0:c r="N489" s="17" t="n"/>
      <ns0:c r="O489" s="17" t="n"/>
      <ns0:c r="P489" s="17" t="n"/>
      <ns0:c r="Q489" s="17" t="n"/>
      <ns0:c r="R489" s="17" t="n"/>
      <ns0:c r="S489" s="17" t="n"/>
      <ns0:c r="T489" s="17" t="n"/>
      <ns0:c r="U489" s="17" t="n"/>
      <ns0:c r="V489" s="17" t="n"/>
      <ns0:c r="W489" s="17" t="n"/>
      <ns0:c r="X489" s="17" t="n"/>
      <ns0:c r="Y489" s="17" t="n"/>
      <ns0:c r="Z489" s="17" t="n"/>
      <ns0:c r="AA489" s="17" t="n"/>
      <ns0:c r="AB489" s="17" t="n"/>
      <ns0:c r="AC489" s="17" t="n"/>
      <ns0:c r="AD489" s="17" t="n"/>
      <ns0:c r="AE489" s="17" t="n"/>
      <ns0:c r="AF489" s="17" t="n"/>
      <ns0:c r="AG489" s="17" t="n"/>
    </ns0:row>
    <ns0:row r="490" ht="24" customHeight="1">
      <ns0:c r="D490" s="17" t="n"/>
      <ns0:c r="E490" s="17" t="n"/>
      <ns0:c r="F490" s="17" t="n"/>
      <ns0:c r="G490" s="17" t="n"/>
      <ns0:c r="H490" s="17" t="n"/>
      <ns0:c r="I490" s="17" t="n"/>
      <ns0:c r="J490" s="17" t="n"/>
      <ns0:c r="K490" s="17" t="n"/>
      <ns0:c r="L490" s="17" t="n"/>
      <ns0:c r="M490" s="17" t="n"/>
      <ns0:c r="N490" s="17" t="n"/>
      <ns0:c r="O490" s="17" t="n"/>
      <ns0:c r="P490" s="17" t="n"/>
      <ns0:c r="Q490" s="17" t="n"/>
      <ns0:c r="R490" s="17" t="n"/>
      <ns0:c r="S490" s="17" t="n"/>
      <ns0:c r="T490" s="17" t="n"/>
      <ns0:c r="U490" s="17" t="n"/>
      <ns0:c r="V490" s="17" t="n"/>
      <ns0:c r="W490" s="17" t="n"/>
      <ns0:c r="X490" s="17" t="n"/>
      <ns0:c r="Y490" s="17" t="n"/>
      <ns0:c r="Z490" s="17" t="n"/>
      <ns0:c r="AA490" s="17" t="n"/>
      <ns0:c r="AB490" s="17" t="n"/>
      <ns0:c r="AC490" s="17" t="n"/>
      <ns0:c r="AD490" s="17" t="n"/>
      <ns0:c r="AE490" s="17" t="n"/>
      <ns0:c r="AF490" s="17" t="n"/>
      <ns0:c r="AG490" s="17" t="n"/>
    </ns0:row>
    <ns0:row r="491" ht="24" customHeight="1">
      <ns0:c r="D491" s="17" t="n"/>
      <ns0:c r="E491" s="17" t="n"/>
      <ns0:c r="F491" s="17" t="n"/>
      <ns0:c r="G491" s="17" t="n"/>
      <ns0:c r="H491" s="17" t="n"/>
      <ns0:c r="I491" s="17" t="n"/>
      <ns0:c r="J491" s="17" t="n"/>
      <ns0:c r="K491" s="17" t="n"/>
      <ns0:c r="L491" s="17" t="n"/>
      <ns0:c r="M491" s="17" t="n"/>
      <ns0:c r="N491" s="17" t="n"/>
      <ns0:c r="O491" s="17" t="n"/>
      <ns0:c r="P491" s="17" t="n"/>
      <ns0:c r="Q491" s="17" t="n"/>
      <ns0:c r="R491" s="17" t="n"/>
      <ns0:c r="S491" s="17" t="n"/>
      <ns0:c r="T491" s="17" t="n"/>
      <ns0:c r="U491" s="17" t="n"/>
      <ns0:c r="V491" s="17" t="n"/>
      <ns0:c r="W491" s="17" t="n"/>
      <ns0:c r="X491" s="17" t="n"/>
      <ns0:c r="Y491" s="17" t="n"/>
      <ns0:c r="Z491" s="17" t="n"/>
      <ns0:c r="AA491" s="17" t="n"/>
      <ns0:c r="AB491" s="17" t="n"/>
      <ns0:c r="AC491" s="17" t="n"/>
      <ns0:c r="AD491" s="17" t="n"/>
      <ns0:c r="AE491" s="17" t="n"/>
      <ns0:c r="AF491" s="17" t="n"/>
      <ns0:c r="AG491" s="17" t="n"/>
    </ns0:row>
    <ns0:row r="492" ht="24" customHeight="1">
      <ns0:c r="D492" s="17" t="n"/>
      <ns0:c r="E492" s="17" t="n"/>
      <ns0:c r="F492" s="17" t="n"/>
      <ns0:c r="G492" s="17" t="n"/>
      <ns0:c r="H492" s="17" t="n"/>
      <ns0:c r="I492" s="17" t="n"/>
      <ns0:c r="J492" s="17" t="n"/>
      <ns0:c r="K492" s="17" t="n"/>
      <ns0:c r="L492" s="17" t="n"/>
      <ns0:c r="M492" s="17" t="n"/>
      <ns0:c r="N492" s="17" t="n"/>
      <ns0:c r="O492" s="17" t="n"/>
      <ns0:c r="P492" s="17" t="n"/>
      <ns0:c r="Q492" s="17" t="n"/>
      <ns0:c r="R492" s="17" t="n"/>
      <ns0:c r="S492" s="17" t="n"/>
      <ns0:c r="T492" s="17" t="n"/>
      <ns0:c r="U492" s="17" t="n"/>
      <ns0:c r="V492" s="17" t="n"/>
      <ns0:c r="W492" s="17" t="n"/>
      <ns0:c r="X492" s="17" t="n"/>
      <ns0:c r="Y492" s="17" t="n"/>
      <ns0:c r="Z492" s="17" t="n"/>
      <ns0:c r="AA492" s="17" t="n"/>
      <ns0:c r="AB492" s="17" t="n"/>
      <ns0:c r="AC492" s="17" t="n"/>
      <ns0:c r="AD492" s="17" t="n"/>
      <ns0:c r="AE492" s="17" t="n"/>
      <ns0:c r="AF492" s="17" t="n"/>
      <ns0:c r="AG492" s="17" t="n"/>
    </ns0:row>
    <ns0:row r="493" ht="24" customHeight="1">
      <ns0:c r="D493" s="17" t="n"/>
      <ns0:c r="E493" s="17" t="n"/>
      <ns0:c r="F493" s="17" t="n"/>
      <ns0:c r="G493" s="17" t="n"/>
      <ns0:c r="H493" s="17" t="n"/>
      <ns0:c r="I493" s="17" t="n"/>
      <ns0:c r="J493" s="17" t="n"/>
      <ns0:c r="K493" s="17" t="n"/>
      <ns0:c r="L493" s="17" t="n"/>
      <ns0:c r="M493" s="17" t="n"/>
      <ns0:c r="N493" s="17" t="n"/>
      <ns0:c r="O493" s="17" t="n"/>
      <ns0:c r="P493" s="17" t="n"/>
      <ns0:c r="Q493" s="17" t="n"/>
      <ns0:c r="R493" s="17" t="n"/>
      <ns0:c r="S493" s="17" t="n"/>
      <ns0:c r="T493" s="17" t="n"/>
      <ns0:c r="U493" s="17" t="n"/>
      <ns0:c r="V493" s="17" t="n"/>
      <ns0:c r="W493" s="17" t="n"/>
      <ns0:c r="X493" s="17" t="n"/>
      <ns0:c r="Y493" s="17" t="n"/>
      <ns0:c r="Z493" s="17" t="n"/>
      <ns0:c r="AA493" s="17" t="n"/>
      <ns0:c r="AB493" s="17" t="n"/>
      <ns0:c r="AC493" s="17" t="n"/>
      <ns0:c r="AD493" s="17" t="n"/>
      <ns0:c r="AE493" s="17" t="n"/>
      <ns0:c r="AF493" s="17" t="n"/>
      <ns0:c r="AG493" s="17" t="n"/>
    </ns0:row>
    <ns0:row r="494" ht="24" customHeight="1">
      <ns0:c r="D494" s="17" t="n"/>
      <ns0:c r="E494" s="17" t="n"/>
      <ns0:c r="F494" s="17" t="n"/>
      <ns0:c r="G494" s="17" t="n"/>
      <ns0:c r="H494" s="17" t="n"/>
      <ns0:c r="I494" s="17" t="n"/>
      <ns0:c r="J494" s="17" t="n"/>
      <ns0:c r="K494" s="17" t="n"/>
      <ns0:c r="L494" s="17" t="n"/>
      <ns0:c r="M494" s="17" t="n"/>
      <ns0:c r="N494" s="17" t="n"/>
      <ns0:c r="O494" s="17" t="n"/>
      <ns0:c r="P494" s="17" t="n"/>
      <ns0:c r="Q494" s="17" t="n"/>
      <ns0:c r="R494" s="17" t="n"/>
      <ns0:c r="S494" s="17" t="n"/>
      <ns0:c r="T494" s="17" t="n"/>
      <ns0:c r="U494" s="17" t="n"/>
      <ns0:c r="V494" s="17" t="n"/>
      <ns0:c r="W494" s="17" t="n"/>
      <ns0:c r="X494" s="17" t="n"/>
      <ns0:c r="Y494" s="17" t="n"/>
      <ns0:c r="Z494" s="17" t="n"/>
      <ns0:c r="AA494" s="17" t="n"/>
      <ns0:c r="AB494" s="17" t="n"/>
      <ns0:c r="AC494" s="17" t="n"/>
      <ns0:c r="AD494" s="17" t="n"/>
      <ns0:c r="AE494" s="17" t="n"/>
      <ns0:c r="AF494" s="17" t="n"/>
      <ns0:c r="AG494" s="17" t="n"/>
    </ns0:row>
    <ns0:row r="495" ht="24" customHeight="1">
      <ns0:c r="D495" s="17" t="n"/>
      <ns0:c r="E495" s="17" t="n"/>
      <ns0:c r="F495" s="17" t="n"/>
      <ns0:c r="G495" s="17" t="n"/>
      <ns0:c r="H495" s="17" t="n"/>
      <ns0:c r="I495" s="17" t="n"/>
      <ns0:c r="J495" s="17" t="n"/>
      <ns0:c r="K495" s="17" t="n"/>
      <ns0:c r="L495" s="17" t="n"/>
      <ns0:c r="M495" s="17" t="n"/>
      <ns0:c r="N495" s="17" t="n"/>
      <ns0:c r="O495" s="17" t="n"/>
      <ns0:c r="P495" s="17" t="n"/>
      <ns0:c r="Q495" s="17" t="n"/>
      <ns0:c r="R495" s="17" t="n"/>
      <ns0:c r="S495" s="17" t="n"/>
      <ns0:c r="T495" s="17" t="n"/>
      <ns0:c r="U495" s="17" t="n"/>
      <ns0:c r="V495" s="17" t="n"/>
      <ns0:c r="W495" s="17" t="n"/>
      <ns0:c r="X495" s="17" t="n"/>
      <ns0:c r="Y495" s="17" t="n"/>
      <ns0:c r="Z495" s="17" t="n"/>
      <ns0:c r="AA495" s="17" t="n"/>
      <ns0:c r="AB495" s="17" t="n"/>
      <ns0:c r="AC495" s="17" t="n"/>
      <ns0:c r="AD495" s="17" t="n"/>
      <ns0:c r="AE495" s="17" t="n"/>
      <ns0:c r="AF495" s="17" t="n"/>
      <ns0:c r="AG495" s="17" t="n"/>
    </ns0:row>
    <ns0:row r="496" ht="24" customHeight="1">
      <ns0:c r="D496" s="17" t="n"/>
      <ns0:c r="E496" s="17" t="n"/>
      <ns0:c r="F496" s="17" t="n"/>
      <ns0:c r="G496" s="17" t="n"/>
      <ns0:c r="H496" s="17" t="n"/>
      <ns0:c r="I496" s="17" t="n"/>
      <ns0:c r="J496" s="17" t="n"/>
      <ns0:c r="K496" s="17" t="n"/>
      <ns0:c r="L496" s="17" t="n"/>
      <ns0:c r="M496" s="17" t="n"/>
      <ns0:c r="N496" s="17" t="n"/>
      <ns0:c r="O496" s="17" t="n"/>
      <ns0:c r="P496" s="17" t="n"/>
      <ns0:c r="Q496" s="17" t="n"/>
      <ns0:c r="R496" s="17" t="n"/>
      <ns0:c r="S496" s="17" t="n"/>
      <ns0:c r="T496" s="17" t="n"/>
      <ns0:c r="U496" s="17" t="n"/>
      <ns0:c r="V496" s="17" t="n"/>
      <ns0:c r="W496" s="17" t="n"/>
      <ns0:c r="X496" s="17" t="n"/>
      <ns0:c r="Y496" s="17" t="n"/>
      <ns0:c r="Z496" s="17" t="n"/>
      <ns0:c r="AA496" s="17" t="n"/>
      <ns0:c r="AB496" s="17" t="n"/>
      <ns0:c r="AC496" s="17" t="n"/>
      <ns0:c r="AD496" s="17" t="n"/>
      <ns0:c r="AE496" s="17" t="n"/>
      <ns0:c r="AF496" s="17" t="n"/>
      <ns0:c r="AG496" s="17" t="n"/>
    </ns0:row>
    <ns0:row r="497" ht="24" customHeight="1">
      <ns0:c r="D497" s="17" t="n"/>
      <ns0:c r="E497" s="17" t="n"/>
      <ns0:c r="F497" s="17" t="n"/>
      <ns0:c r="G497" s="17" t="n"/>
      <ns0:c r="H497" s="17" t="n"/>
      <ns0:c r="I497" s="17" t="n"/>
      <ns0:c r="J497" s="17" t="n"/>
      <ns0:c r="K497" s="17" t="n"/>
      <ns0:c r="L497" s="17" t="n"/>
      <ns0:c r="M497" s="17" t="n"/>
      <ns0:c r="N497" s="17" t="n"/>
      <ns0:c r="O497" s="17" t="n"/>
      <ns0:c r="P497" s="17" t="n"/>
      <ns0:c r="Q497" s="17" t="n"/>
      <ns0:c r="R497" s="17" t="n"/>
      <ns0:c r="S497" s="17" t="n"/>
      <ns0:c r="T497" s="17" t="n"/>
      <ns0:c r="U497" s="17" t="n"/>
      <ns0:c r="V497" s="17" t="n"/>
      <ns0:c r="W497" s="17" t="n"/>
      <ns0:c r="X497" s="17" t="n"/>
      <ns0:c r="Y497" s="17" t="n"/>
      <ns0:c r="Z497" s="17" t="n"/>
      <ns0:c r="AA497" s="17" t="n"/>
      <ns0:c r="AB497" s="17" t="n"/>
      <ns0:c r="AC497" s="17" t="n"/>
      <ns0:c r="AD497" s="17" t="n"/>
      <ns0:c r="AE497" s="17" t="n"/>
      <ns0:c r="AF497" s="17" t="n"/>
      <ns0:c r="AG497" s="17" t="n"/>
    </ns0:row>
    <ns0:row r="498" ht="24" customHeight="1">
      <ns0:c r="D498" s="17" t="n"/>
      <ns0:c r="E498" s="17" t="n"/>
      <ns0:c r="F498" s="17" t="n"/>
      <ns0:c r="G498" s="17" t="n"/>
      <ns0:c r="H498" s="17" t="n"/>
      <ns0:c r="I498" s="17" t="n"/>
      <ns0:c r="J498" s="17" t="n"/>
      <ns0:c r="K498" s="17" t="n"/>
      <ns0:c r="L498" s="17" t="n"/>
      <ns0:c r="M498" s="17" t="n"/>
      <ns0:c r="N498" s="17" t="n"/>
      <ns0:c r="O498" s="17" t="n"/>
      <ns0:c r="P498" s="17" t="n"/>
      <ns0:c r="Q498" s="17" t="n"/>
      <ns0:c r="R498" s="17" t="n"/>
      <ns0:c r="S498" s="17" t="n"/>
      <ns0:c r="T498" s="17" t="n"/>
      <ns0:c r="U498" s="17" t="n"/>
      <ns0:c r="V498" s="17" t="n"/>
      <ns0:c r="W498" s="17" t="n"/>
      <ns0:c r="X498" s="17" t="n"/>
      <ns0:c r="Y498" s="17" t="n"/>
      <ns0:c r="Z498" s="17" t="n"/>
      <ns0:c r="AA498" s="17" t="n"/>
      <ns0:c r="AB498" s="17" t="n"/>
      <ns0:c r="AC498" s="17" t="n"/>
      <ns0:c r="AD498" s="17" t="n"/>
      <ns0:c r="AE498" s="17" t="n"/>
      <ns0:c r="AF498" s="17" t="n"/>
      <ns0:c r="AG498" s="17" t="n"/>
    </ns0:row>
    <ns0:row r="499" ht="24" customHeight="1">
      <ns0:c r="D499" s="17" t="n"/>
      <ns0:c r="E499" s="17" t="n"/>
      <ns0:c r="F499" s="17" t="n"/>
      <ns0:c r="G499" s="17" t="n"/>
      <ns0:c r="H499" s="17" t="n"/>
      <ns0:c r="I499" s="17" t="n"/>
      <ns0:c r="J499" s="17" t="n"/>
      <ns0:c r="K499" s="17" t="n"/>
      <ns0:c r="L499" s="17" t="n"/>
      <ns0:c r="M499" s="17" t="n"/>
      <ns0:c r="N499" s="17" t="n"/>
      <ns0:c r="O499" s="17" t="n"/>
      <ns0:c r="P499" s="17" t="n"/>
      <ns0:c r="Q499" s="17" t="n"/>
      <ns0:c r="R499" s="17" t="n"/>
      <ns0:c r="S499" s="17" t="n"/>
      <ns0:c r="T499" s="17" t="n"/>
      <ns0:c r="U499" s="17" t="n"/>
      <ns0:c r="V499" s="17" t="n"/>
      <ns0:c r="W499" s="17" t="n"/>
      <ns0:c r="X499" s="17" t="n"/>
      <ns0:c r="Y499" s="17" t="n"/>
      <ns0:c r="Z499" s="17" t="n"/>
      <ns0:c r="AA499" s="17" t="n"/>
      <ns0:c r="AB499" s="17" t="n"/>
      <ns0:c r="AC499" s="17" t="n"/>
      <ns0:c r="AD499" s="17" t="n"/>
      <ns0:c r="AE499" s="17" t="n"/>
      <ns0:c r="AF499" s="17" t="n"/>
      <ns0:c r="AG499" s="17" t="n"/>
    </ns0:row>
    <ns0:row r="500" ht="24" customHeight="1">
      <ns0:c r="D500" s="17" t="n"/>
      <ns0:c r="E500" s="17" t="n"/>
      <ns0:c r="F500" s="17" t="n"/>
      <ns0:c r="G500" s="17" t="n"/>
      <ns0:c r="H500" s="17" t="n"/>
      <ns0:c r="I500" s="17" t="n"/>
      <ns0:c r="J500" s="17" t="n"/>
      <ns0:c r="K500" s="17" t="n"/>
      <ns0:c r="L500" s="17" t="n"/>
      <ns0:c r="M500" s="17" t="n"/>
      <ns0:c r="N500" s="17" t="n"/>
      <ns0:c r="O500" s="17" t="n"/>
      <ns0:c r="P500" s="17" t="n"/>
      <ns0:c r="Q500" s="17" t="n"/>
      <ns0:c r="R500" s="17" t="n"/>
      <ns0:c r="S500" s="17" t="n"/>
      <ns0:c r="T500" s="17" t="n"/>
      <ns0:c r="U500" s="17" t="n"/>
      <ns0:c r="V500" s="17" t="n"/>
      <ns0:c r="W500" s="17" t="n"/>
      <ns0:c r="X500" s="17" t="n"/>
      <ns0:c r="Y500" s="17" t="n"/>
      <ns0:c r="Z500" s="17" t="n"/>
      <ns0:c r="AA500" s="17" t="n"/>
      <ns0:c r="AB500" s="17" t="n"/>
      <ns0:c r="AC500" s="17" t="n"/>
      <ns0:c r="AD500" s="17" t="n"/>
      <ns0:c r="AE500" s="17" t="n"/>
      <ns0:c r="AF500" s="17" t="n"/>
      <ns0:c r="AG500" s="17" t="n"/>
    </ns0:row>
    <ns0:row r="501" ht="24" customHeight="1">
      <ns0:c r="D501" s="17" t="n"/>
      <ns0:c r="E501" s="17" t="n"/>
      <ns0:c r="F501" s="17" t="n"/>
      <ns0:c r="G501" s="17" t="n"/>
      <ns0:c r="H501" s="17" t="n"/>
      <ns0:c r="I501" s="17" t="n"/>
      <ns0:c r="J501" s="17" t="n"/>
      <ns0:c r="K501" s="17" t="n"/>
      <ns0:c r="L501" s="17" t="n"/>
      <ns0:c r="M501" s="17" t="n"/>
      <ns0:c r="N501" s="17" t="n"/>
      <ns0:c r="O501" s="17" t="n"/>
      <ns0:c r="P501" s="17" t="n"/>
      <ns0:c r="Q501" s="17" t="n"/>
      <ns0:c r="R501" s="17" t="n"/>
      <ns0:c r="S501" s="17" t="n"/>
      <ns0:c r="T501" s="17" t="n"/>
      <ns0:c r="U501" s="17" t="n"/>
      <ns0:c r="V501" s="17" t="n"/>
      <ns0:c r="W501" s="17" t="n"/>
      <ns0:c r="X501" s="17" t="n"/>
      <ns0:c r="Y501" s="17" t="n"/>
      <ns0:c r="Z501" s="17" t="n"/>
      <ns0:c r="AA501" s="17" t="n"/>
      <ns0:c r="AB501" s="17" t="n"/>
      <ns0:c r="AC501" s="17" t="n"/>
      <ns0:c r="AD501" s="17" t="n"/>
      <ns0:c r="AE501" s="17" t="n"/>
      <ns0:c r="AF501" s="17" t="n"/>
      <ns0:c r="AG501" s="17" t="n"/>
    </ns0:row>
    <ns0:row r="502" ht="24" customHeight="1">
      <ns0:c r="D502" s="17" t="n"/>
      <ns0:c r="E502" s="17" t="n"/>
      <ns0:c r="F502" s="17" t="n"/>
      <ns0:c r="G502" s="17" t="n"/>
      <ns0:c r="H502" s="17" t="n"/>
      <ns0:c r="I502" s="17" t="n"/>
      <ns0:c r="J502" s="17" t="n"/>
      <ns0:c r="K502" s="17" t="n"/>
      <ns0:c r="L502" s="17" t="n"/>
      <ns0:c r="M502" s="17" t="n"/>
      <ns0:c r="N502" s="17" t="n"/>
      <ns0:c r="O502" s="17" t="n"/>
      <ns0:c r="P502" s="17" t="n"/>
      <ns0:c r="Q502" s="17" t="n"/>
      <ns0:c r="R502" s="17" t="n"/>
      <ns0:c r="S502" s="17" t="n"/>
      <ns0:c r="T502" s="17" t="n"/>
      <ns0:c r="U502" s="17" t="n"/>
      <ns0:c r="V502" s="17" t="n"/>
      <ns0:c r="W502" s="17" t="n"/>
      <ns0:c r="X502" s="17" t="n"/>
      <ns0:c r="Y502" s="17" t="n"/>
      <ns0:c r="Z502" s="17" t="n"/>
      <ns0:c r="AA502" s="17" t="n"/>
      <ns0:c r="AB502" s="17" t="n"/>
      <ns0:c r="AC502" s="17" t="n"/>
      <ns0:c r="AD502" s="17" t="n"/>
      <ns0:c r="AE502" s="17" t="n"/>
      <ns0:c r="AF502" s="17" t="n"/>
      <ns0:c r="AG502" s="17" t="n"/>
    </ns0:row>
    <ns0:row r="503" ht="24" customHeight="1">
      <ns0:c r="D503" s="17" t="n"/>
      <ns0:c r="E503" s="17" t="n"/>
      <ns0:c r="F503" s="17" t="n"/>
      <ns0:c r="G503" s="17" t="n"/>
      <ns0:c r="H503" s="17" t="n"/>
      <ns0:c r="I503" s="17" t="n"/>
      <ns0:c r="J503" s="17" t="n"/>
      <ns0:c r="K503" s="17" t="n"/>
      <ns0:c r="L503" s="17" t="n"/>
      <ns0:c r="M503" s="17" t="n"/>
      <ns0:c r="N503" s="17" t="n"/>
      <ns0:c r="O503" s="17" t="n"/>
      <ns0:c r="P503" s="17" t="n"/>
      <ns0:c r="Q503" s="17" t="n"/>
      <ns0:c r="R503" s="17" t="n"/>
      <ns0:c r="S503" s="17" t="n"/>
      <ns0:c r="T503" s="17" t="n"/>
      <ns0:c r="U503" s="17" t="n"/>
      <ns0:c r="V503" s="17" t="n"/>
      <ns0:c r="W503" s="17" t="n"/>
      <ns0:c r="X503" s="17" t="n"/>
      <ns0:c r="Y503" s="17" t="n"/>
      <ns0:c r="Z503" s="17" t="n"/>
      <ns0:c r="AA503" s="17" t="n"/>
      <ns0:c r="AB503" s="17" t="n"/>
      <ns0:c r="AC503" s="17" t="n"/>
      <ns0:c r="AD503" s="17" t="n"/>
      <ns0:c r="AE503" s="17" t="n"/>
      <ns0:c r="AF503" s="17" t="n"/>
      <ns0:c r="AG503" s="17" t="n"/>
    </ns0:row>
    <ns0:row r="504" ht="24" customHeight="1">
      <ns0:c r="D504" s="17" t="n"/>
      <ns0:c r="E504" s="17" t="n"/>
      <ns0:c r="F504" s="17" t="n"/>
      <ns0:c r="G504" s="17" t="n"/>
      <ns0:c r="H504" s="17" t="n"/>
      <ns0:c r="I504" s="17" t="n"/>
      <ns0:c r="J504" s="17" t="n"/>
      <ns0:c r="K504" s="17" t="n"/>
      <ns0:c r="L504" s="17" t="n"/>
      <ns0:c r="M504" s="17" t="n"/>
      <ns0:c r="N504" s="17" t="n"/>
      <ns0:c r="O504" s="17" t="n"/>
      <ns0:c r="P504" s="17" t="n"/>
      <ns0:c r="Q504" s="17" t="n"/>
      <ns0:c r="R504" s="17" t="n"/>
      <ns0:c r="S504" s="17" t="n"/>
      <ns0:c r="T504" s="17" t="n"/>
      <ns0:c r="U504" s="17" t="n"/>
      <ns0:c r="V504" s="17" t="n"/>
      <ns0:c r="W504" s="17" t="n"/>
      <ns0:c r="X504" s="17" t="n"/>
      <ns0:c r="Y504" s="17" t="n"/>
      <ns0:c r="Z504" s="17" t="n"/>
      <ns0:c r="AA504" s="17" t="n"/>
      <ns0:c r="AB504" s="17" t="n"/>
      <ns0:c r="AC504" s="17" t="n"/>
      <ns0:c r="AD504" s="17" t="n"/>
      <ns0:c r="AE504" s="17" t="n"/>
      <ns0:c r="AF504" s="17" t="n"/>
      <ns0:c r="AG504" s="17" t="n"/>
    </ns0:row>
    <ns0:row r="505" ht="24" customHeight="1">
      <ns0:c r="D505" s="17" t="n"/>
      <ns0:c r="E505" s="17" t="n"/>
      <ns0:c r="F505" s="17" t="n"/>
      <ns0:c r="G505" s="17" t="n"/>
      <ns0:c r="H505" s="17" t="n"/>
      <ns0:c r="I505" s="17" t="n"/>
      <ns0:c r="J505" s="17" t="n"/>
      <ns0:c r="K505" s="17" t="n"/>
      <ns0:c r="L505" s="17" t="n"/>
      <ns0:c r="M505" s="17" t="n"/>
      <ns0:c r="N505" s="17" t="n"/>
      <ns0:c r="O505" s="17" t="n"/>
      <ns0:c r="P505" s="17" t="n"/>
      <ns0:c r="Q505" s="17" t="n"/>
      <ns0:c r="R505" s="17" t="n"/>
      <ns0:c r="S505" s="17" t="n"/>
      <ns0:c r="T505" s="17" t="n"/>
      <ns0:c r="U505" s="17" t="n"/>
      <ns0:c r="V505" s="17" t="n"/>
      <ns0:c r="W505" s="17" t="n"/>
      <ns0:c r="X505" s="17" t="n"/>
      <ns0:c r="Y505" s="17" t="n"/>
      <ns0:c r="Z505" s="17" t="n"/>
      <ns0:c r="AA505" s="17" t="n"/>
      <ns0:c r="AB505" s="17" t="n"/>
      <ns0:c r="AC505" s="17" t="n"/>
      <ns0:c r="AD505" s="17" t="n"/>
      <ns0:c r="AE505" s="17" t="n"/>
      <ns0:c r="AF505" s="17" t="n"/>
      <ns0:c r="AG505" s="17" t="n"/>
    </ns0:row>
    <ns0:row r="506" ht="24" customHeight="1">
      <ns0:c r="D506" s="17" t="n"/>
      <ns0:c r="E506" s="17" t="n"/>
      <ns0:c r="F506" s="17" t="n"/>
      <ns0:c r="G506" s="17" t="n"/>
      <ns0:c r="H506" s="17" t="n"/>
      <ns0:c r="I506" s="17" t="n"/>
      <ns0:c r="J506" s="17" t="n"/>
      <ns0:c r="K506" s="17" t="n"/>
      <ns0:c r="L506" s="17" t="n"/>
      <ns0:c r="M506" s="17" t="n"/>
      <ns0:c r="N506" s="17" t="n"/>
      <ns0:c r="O506" s="17" t="n"/>
      <ns0:c r="P506" s="17" t="n"/>
      <ns0:c r="Q506" s="17" t="n"/>
      <ns0:c r="R506" s="17" t="n"/>
      <ns0:c r="S506" s="17" t="n"/>
      <ns0:c r="T506" s="17" t="n"/>
      <ns0:c r="U506" s="17" t="n"/>
      <ns0:c r="V506" s="17" t="n"/>
      <ns0:c r="W506" s="17" t="n"/>
      <ns0:c r="X506" s="17" t="n"/>
      <ns0:c r="Y506" s="17" t="n"/>
      <ns0:c r="Z506" s="17" t="n"/>
      <ns0:c r="AA506" s="17" t="n"/>
      <ns0:c r="AB506" s="17" t="n"/>
      <ns0:c r="AC506" s="17" t="n"/>
      <ns0:c r="AD506" s="17" t="n"/>
      <ns0:c r="AE506" s="17" t="n"/>
      <ns0:c r="AF506" s="17" t="n"/>
      <ns0:c r="AG506" s="17" t="n"/>
    </ns0:row>
    <ns0:row r="507" ht="24" customHeight="1">
      <ns0:c r="D507" s="17" t="n"/>
      <ns0:c r="E507" s="17" t="n"/>
      <ns0:c r="F507" s="17" t="n"/>
      <ns0:c r="G507" s="17" t="n"/>
      <ns0:c r="H507" s="17" t="n"/>
      <ns0:c r="I507" s="17" t="n"/>
      <ns0:c r="J507" s="17" t="n"/>
      <ns0:c r="K507" s="17" t="n"/>
      <ns0:c r="L507" s="17" t="n"/>
      <ns0:c r="M507" s="17" t="n"/>
      <ns0:c r="N507" s="17" t="n"/>
      <ns0:c r="O507" s="17" t="n"/>
      <ns0:c r="P507" s="17" t="n"/>
      <ns0:c r="Q507" s="17" t="n"/>
      <ns0:c r="R507" s="17" t="n"/>
      <ns0:c r="S507" s="17" t="n"/>
      <ns0:c r="T507" s="17" t="n"/>
      <ns0:c r="U507" s="17" t="n"/>
      <ns0:c r="V507" s="17" t="n"/>
      <ns0:c r="W507" s="17" t="n"/>
      <ns0:c r="X507" s="17" t="n"/>
      <ns0:c r="Y507" s="17" t="n"/>
      <ns0:c r="Z507" s="17" t="n"/>
      <ns0:c r="AA507" s="17" t="n"/>
      <ns0:c r="AB507" s="17" t="n"/>
      <ns0:c r="AC507" s="17" t="n"/>
      <ns0:c r="AD507" s="17" t="n"/>
      <ns0:c r="AE507" s="17" t="n"/>
      <ns0:c r="AF507" s="17" t="n"/>
      <ns0:c r="AG507" s="17" t="n"/>
    </ns0:row>
    <ns0:row r="508" ht="24" customHeight="1">
      <ns0:c r="D508" s="17" t="n"/>
      <ns0:c r="E508" s="17" t="n"/>
      <ns0:c r="F508" s="17" t="n"/>
      <ns0:c r="G508" s="17" t="n"/>
      <ns0:c r="H508" s="17" t="n"/>
      <ns0:c r="I508" s="17" t="n"/>
      <ns0:c r="J508" s="17" t="n"/>
      <ns0:c r="K508" s="17" t="n"/>
      <ns0:c r="L508" s="17" t="n"/>
      <ns0:c r="M508" s="17" t="n"/>
      <ns0:c r="N508" s="17" t="n"/>
      <ns0:c r="O508" s="17" t="n"/>
      <ns0:c r="P508" s="17" t="n"/>
      <ns0:c r="Q508" s="17" t="n"/>
      <ns0:c r="R508" s="17" t="n"/>
      <ns0:c r="S508" s="17" t="n"/>
      <ns0:c r="T508" s="17" t="n"/>
      <ns0:c r="U508" s="17" t="n"/>
      <ns0:c r="V508" s="17" t="n"/>
      <ns0:c r="W508" s="17" t="n"/>
      <ns0:c r="X508" s="17" t="n"/>
      <ns0:c r="Y508" s="17" t="n"/>
      <ns0:c r="Z508" s="17" t="n"/>
      <ns0:c r="AA508" s="17" t="n"/>
      <ns0:c r="AB508" s="17" t="n"/>
      <ns0:c r="AC508" s="17" t="n"/>
      <ns0:c r="AD508" s="17" t="n"/>
      <ns0:c r="AE508" s="17" t="n"/>
      <ns0:c r="AF508" s="17" t="n"/>
      <ns0:c r="AG508" s="17" t="n"/>
    </ns0:row>
    <ns0:row r="509" ht="24" customHeight="1">
      <ns0:c r="D509" s="17" t="n"/>
      <ns0:c r="E509" s="17" t="n"/>
      <ns0:c r="F509" s="17" t="n"/>
      <ns0:c r="G509" s="17" t="n"/>
      <ns0:c r="H509" s="17" t="n"/>
      <ns0:c r="I509" s="17" t="n"/>
      <ns0:c r="J509" s="17" t="n"/>
      <ns0:c r="K509" s="17" t="n"/>
      <ns0:c r="L509" s="17" t="n"/>
      <ns0:c r="M509" s="17" t="n"/>
      <ns0:c r="N509" s="17" t="n"/>
      <ns0:c r="O509" s="17" t="n"/>
      <ns0:c r="P509" s="17" t="n"/>
      <ns0:c r="Q509" s="17" t="n"/>
      <ns0:c r="R509" s="17" t="n"/>
      <ns0:c r="S509" s="17" t="n"/>
      <ns0:c r="T509" s="17" t="n"/>
      <ns0:c r="U509" s="17" t="n"/>
      <ns0:c r="V509" s="17" t="n"/>
      <ns0:c r="W509" s="17" t="n"/>
      <ns0:c r="X509" s="17" t="n"/>
      <ns0:c r="Y509" s="17" t="n"/>
      <ns0:c r="Z509" s="17" t="n"/>
      <ns0:c r="AA509" s="17" t="n"/>
      <ns0:c r="AB509" s="17" t="n"/>
      <ns0:c r="AC509" s="17" t="n"/>
      <ns0:c r="AD509" s="17" t="n"/>
      <ns0:c r="AE509" s="17" t="n"/>
      <ns0:c r="AF509" s="17" t="n"/>
      <ns0:c r="AG509" s="17" t="n"/>
    </ns0:row>
    <ns0:row r="510" ht="24" customHeight="1">
      <ns0:c r="D510" s="17" t="n"/>
      <ns0:c r="E510" s="17" t="n"/>
      <ns0:c r="F510" s="17" t="n"/>
      <ns0:c r="G510" s="17" t="n"/>
      <ns0:c r="H510" s="17" t="n"/>
      <ns0:c r="I510" s="17" t="n"/>
      <ns0:c r="J510" s="17" t="n"/>
      <ns0:c r="K510" s="17" t="n"/>
      <ns0:c r="L510" s="17" t="n"/>
      <ns0:c r="M510" s="17" t="n"/>
      <ns0:c r="N510" s="17" t="n"/>
      <ns0:c r="O510" s="17" t="n"/>
      <ns0:c r="P510" s="17" t="n"/>
      <ns0:c r="Q510" s="17" t="n"/>
      <ns0:c r="R510" s="17" t="n"/>
      <ns0:c r="S510" s="17" t="n"/>
      <ns0:c r="T510" s="17" t="n"/>
      <ns0:c r="U510" s="17" t="n"/>
      <ns0:c r="V510" s="17" t="n"/>
      <ns0:c r="W510" s="17" t="n"/>
      <ns0:c r="X510" s="17" t="n"/>
      <ns0:c r="Y510" s="17" t="n"/>
      <ns0:c r="Z510" s="17" t="n"/>
      <ns0:c r="AA510" s="17" t="n"/>
      <ns0:c r="AB510" s="17" t="n"/>
      <ns0:c r="AC510" s="17" t="n"/>
      <ns0:c r="AD510" s="17" t="n"/>
      <ns0:c r="AE510" s="17" t="n"/>
      <ns0:c r="AF510" s="17" t="n"/>
      <ns0:c r="AG510" s="17" t="n"/>
    </ns0:row>
    <ns0:row r="511" ht="24" customHeight="1">
      <ns0:c r="D511" s="17" t="n"/>
      <ns0:c r="E511" s="17" t="n"/>
      <ns0:c r="F511" s="17" t="n"/>
      <ns0:c r="G511" s="17" t="n"/>
      <ns0:c r="H511" s="17" t="n"/>
      <ns0:c r="I511" s="17" t="n"/>
      <ns0:c r="J511" s="17" t="n"/>
      <ns0:c r="K511" s="17" t="n"/>
      <ns0:c r="L511" s="17" t="n"/>
      <ns0:c r="M511" s="17" t="n"/>
      <ns0:c r="N511" s="17" t="n"/>
      <ns0:c r="O511" s="17" t="n"/>
      <ns0:c r="P511" s="17" t="n"/>
      <ns0:c r="Q511" s="17" t="n"/>
      <ns0:c r="R511" s="17" t="n"/>
      <ns0:c r="S511" s="17" t="n"/>
      <ns0:c r="T511" s="17" t="n"/>
      <ns0:c r="U511" s="17" t="n"/>
      <ns0:c r="V511" s="17" t="n"/>
      <ns0:c r="W511" s="17" t="n"/>
      <ns0:c r="X511" s="17" t="n"/>
      <ns0:c r="Y511" s="17" t="n"/>
      <ns0:c r="Z511" s="17" t="n"/>
      <ns0:c r="AA511" s="17" t="n"/>
      <ns0:c r="AB511" s="17" t="n"/>
      <ns0:c r="AC511" s="17" t="n"/>
      <ns0:c r="AD511" s="17" t="n"/>
      <ns0:c r="AE511" s="17" t="n"/>
      <ns0:c r="AF511" s="17" t="n"/>
      <ns0:c r="AG511" s="17" t="n"/>
    </ns0:row>
    <ns0:row r="512" ht="24" customHeight="1">
      <ns0:c r="D512" s="17" t="n"/>
      <ns0:c r="E512" s="17" t="n"/>
      <ns0:c r="F512" s="17" t="n"/>
      <ns0:c r="G512" s="17" t="n"/>
      <ns0:c r="H512" s="17" t="n"/>
      <ns0:c r="I512" s="17" t="n"/>
      <ns0:c r="J512" s="17" t="n"/>
      <ns0:c r="K512" s="17" t="n"/>
      <ns0:c r="L512" s="17" t="n"/>
      <ns0:c r="M512" s="17" t="n"/>
      <ns0:c r="N512" s="17" t="n"/>
      <ns0:c r="O512" s="17" t="n"/>
      <ns0:c r="P512" s="17" t="n"/>
      <ns0:c r="Q512" s="17" t="n"/>
      <ns0:c r="R512" s="17" t="n"/>
      <ns0:c r="S512" s="17" t="n"/>
      <ns0:c r="T512" s="17" t="n"/>
      <ns0:c r="U512" s="17" t="n"/>
      <ns0:c r="V512" s="17" t="n"/>
      <ns0:c r="W512" s="17" t="n"/>
      <ns0:c r="X512" s="17" t="n"/>
      <ns0:c r="Y512" s="17" t="n"/>
      <ns0:c r="Z512" s="17" t="n"/>
      <ns0:c r="AA512" s="17" t="n"/>
      <ns0:c r="AB512" s="17" t="n"/>
      <ns0:c r="AC512" s="17" t="n"/>
      <ns0:c r="AD512" s="17" t="n"/>
      <ns0:c r="AE512" s="17" t="n"/>
      <ns0:c r="AF512" s="17" t="n"/>
      <ns0:c r="AG512" s="17" t="n"/>
    </ns0:row>
    <ns0:row r="513" ht="24" customHeight="1">
      <ns0:c r="D513" s="17" t="n"/>
      <ns0:c r="E513" s="17" t="n"/>
      <ns0:c r="F513" s="17" t="n"/>
      <ns0:c r="G513" s="17" t="n"/>
      <ns0:c r="H513" s="17" t="n"/>
      <ns0:c r="I513" s="17" t="n"/>
      <ns0:c r="J513" s="17" t="n"/>
      <ns0:c r="K513" s="17" t="n"/>
      <ns0:c r="L513" s="17" t="n"/>
      <ns0:c r="M513" s="17" t="n"/>
      <ns0:c r="N513" s="17" t="n"/>
      <ns0:c r="O513" s="17" t="n"/>
      <ns0:c r="P513" s="17" t="n"/>
      <ns0:c r="Q513" s="17" t="n"/>
      <ns0:c r="R513" s="17" t="n"/>
      <ns0:c r="S513" s="17" t="n"/>
      <ns0:c r="T513" s="17" t="n"/>
      <ns0:c r="U513" s="17" t="n"/>
      <ns0:c r="V513" s="17" t="n"/>
      <ns0:c r="W513" s="17" t="n"/>
      <ns0:c r="X513" s="17" t="n"/>
      <ns0:c r="Y513" s="17" t="n"/>
      <ns0:c r="Z513" s="17" t="n"/>
      <ns0:c r="AA513" s="17" t="n"/>
      <ns0:c r="AB513" s="17" t="n"/>
      <ns0:c r="AC513" s="17" t="n"/>
      <ns0:c r="AD513" s="17" t="n"/>
      <ns0:c r="AE513" s="17" t="n"/>
      <ns0:c r="AF513" s="17" t="n"/>
      <ns0:c r="AG513" s="17" t="n"/>
    </ns0:row>
    <ns0:row r="514" ht="24" customHeight="1">
      <ns0:c r="D514" s="17" t="n"/>
      <ns0:c r="E514" s="17" t="n"/>
      <ns0:c r="F514" s="17" t="n"/>
      <ns0:c r="G514" s="17" t="n"/>
      <ns0:c r="H514" s="17" t="n"/>
      <ns0:c r="I514" s="17" t="n"/>
      <ns0:c r="J514" s="17" t="n"/>
      <ns0:c r="K514" s="17" t="n"/>
      <ns0:c r="L514" s="17" t="n"/>
      <ns0:c r="M514" s="17" t="n"/>
      <ns0:c r="N514" s="17" t="n"/>
      <ns0:c r="O514" s="17" t="n"/>
      <ns0:c r="P514" s="17" t="n"/>
      <ns0:c r="Q514" s="17" t="n"/>
      <ns0:c r="R514" s="17" t="n"/>
      <ns0:c r="S514" s="17" t="n"/>
      <ns0:c r="T514" s="17" t="n"/>
      <ns0:c r="U514" s="17" t="n"/>
      <ns0:c r="V514" s="17" t="n"/>
      <ns0:c r="W514" s="17" t="n"/>
      <ns0:c r="X514" s="17" t="n"/>
      <ns0:c r="Y514" s="17" t="n"/>
      <ns0:c r="Z514" s="17" t="n"/>
      <ns0:c r="AA514" s="17" t="n"/>
      <ns0:c r="AB514" s="17" t="n"/>
      <ns0:c r="AC514" s="17" t="n"/>
      <ns0:c r="AD514" s="17" t="n"/>
      <ns0:c r="AE514" s="17" t="n"/>
      <ns0:c r="AF514" s="17" t="n"/>
      <ns0:c r="AG514" s="17" t="n"/>
    </ns0:row>
    <ns0:row r="515" ht="24" customHeight="1">
      <ns0:c r="D515" s="17" t="n"/>
      <ns0:c r="E515" s="17" t="n"/>
      <ns0:c r="F515" s="17" t="n"/>
      <ns0:c r="G515" s="17" t="n"/>
      <ns0:c r="H515" s="17" t="n"/>
      <ns0:c r="I515" s="17" t="n"/>
      <ns0:c r="J515" s="17" t="n"/>
      <ns0:c r="K515" s="17" t="n"/>
      <ns0:c r="L515" s="17" t="n"/>
      <ns0:c r="M515" s="17" t="n"/>
      <ns0:c r="N515" s="17" t="n"/>
      <ns0:c r="O515" s="17" t="n"/>
      <ns0:c r="P515" s="17" t="n"/>
      <ns0:c r="Q515" s="17" t="n"/>
      <ns0:c r="R515" s="17" t="n"/>
      <ns0:c r="S515" s="17" t="n"/>
      <ns0:c r="T515" s="17" t="n"/>
      <ns0:c r="U515" s="17" t="n"/>
      <ns0:c r="V515" s="17" t="n"/>
      <ns0:c r="W515" s="17" t="n"/>
      <ns0:c r="X515" s="17" t="n"/>
      <ns0:c r="Y515" s="17" t="n"/>
      <ns0:c r="Z515" s="17" t="n"/>
      <ns0:c r="AA515" s="17" t="n"/>
      <ns0:c r="AB515" s="17" t="n"/>
      <ns0:c r="AC515" s="17" t="n"/>
      <ns0:c r="AD515" s="17" t="n"/>
      <ns0:c r="AE515" s="17" t="n"/>
      <ns0:c r="AF515" s="17" t="n"/>
      <ns0:c r="AG515" s="17" t="n"/>
    </ns0:row>
    <ns0:row r="516" ht="24" customHeight="1">
      <ns0:c r="D516" s="17" t="n"/>
      <ns0:c r="E516" s="17" t="n"/>
      <ns0:c r="F516" s="17" t="n"/>
      <ns0:c r="G516" s="17" t="n"/>
      <ns0:c r="H516" s="17" t="n"/>
      <ns0:c r="I516" s="17" t="n"/>
      <ns0:c r="J516" s="17" t="n"/>
      <ns0:c r="K516" s="17" t="n"/>
      <ns0:c r="L516" s="17" t="n"/>
      <ns0:c r="M516" s="17" t="n"/>
      <ns0:c r="N516" s="17" t="n"/>
      <ns0:c r="O516" s="17" t="n"/>
      <ns0:c r="P516" s="17" t="n"/>
      <ns0:c r="Q516" s="17" t="n"/>
      <ns0:c r="R516" s="17" t="n"/>
      <ns0:c r="S516" s="17" t="n"/>
      <ns0:c r="T516" s="17" t="n"/>
      <ns0:c r="U516" s="17" t="n"/>
      <ns0:c r="V516" s="17" t="n"/>
      <ns0:c r="W516" s="17" t="n"/>
      <ns0:c r="X516" s="17" t="n"/>
      <ns0:c r="Y516" s="17" t="n"/>
      <ns0:c r="Z516" s="17" t="n"/>
      <ns0:c r="AA516" s="17" t="n"/>
      <ns0:c r="AB516" s="17" t="n"/>
      <ns0:c r="AC516" s="17" t="n"/>
      <ns0:c r="AD516" s="17" t="n"/>
      <ns0:c r="AE516" s="17" t="n"/>
      <ns0:c r="AF516" s="17" t="n"/>
      <ns0:c r="AG516" s="17" t="n"/>
    </ns0:row>
    <ns0:row r="517" ht="24" customHeight="1">
      <ns0:c r="D517" s="17" t="n"/>
      <ns0:c r="E517" s="17" t="n"/>
      <ns0:c r="F517" s="17" t="n"/>
      <ns0:c r="G517" s="17" t="n"/>
      <ns0:c r="H517" s="17" t="n"/>
      <ns0:c r="I517" s="17" t="n"/>
      <ns0:c r="J517" s="17" t="n"/>
      <ns0:c r="K517" s="17" t="n"/>
      <ns0:c r="L517" s="17" t="n"/>
      <ns0:c r="M517" s="17" t="n"/>
      <ns0:c r="N517" s="17" t="n"/>
      <ns0:c r="O517" s="17" t="n"/>
      <ns0:c r="P517" s="17" t="n"/>
      <ns0:c r="Q517" s="17" t="n"/>
      <ns0:c r="R517" s="17" t="n"/>
      <ns0:c r="S517" s="17" t="n"/>
      <ns0:c r="T517" s="17" t="n"/>
      <ns0:c r="U517" s="17" t="n"/>
      <ns0:c r="V517" s="17" t="n"/>
      <ns0:c r="W517" s="17" t="n"/>
      <ns0:c r="X517" s="17" t="n"/>
      <ns0:c r="Y517" s="17" t="n"/>
      <ns0:c r="Z517" s="17" t="n"/>
      <ns0:c r="AA517" s="17" t="n"/>
      <ns0:c r="AB517" s="17" t="n"/>
      <ns0:c r="AC517" s="17" t="n"/>
      <ns0:c r="AD517" s="17" t="n"/>
      <ns0:c r="AE517" s="17" t="n"/>
      <ns0:c r="AF517" s="17" t="n"/>
      <ns0:c r="AG517" s="17" t="n"/>
    </ns0:row>
    <ns0:row r="518" ht="24" customHeight="1">
      <ns0:c r="D518" s="17" t="n"/>
      <ns0:c r="E518" s="17" t="n"/>
      <ns0:c r="F518" s="17" t="n"/>
      <ns0:c r="G518" s="17" t="n"/>
      <ns0:c r="H518" s="17" t="n"/>
      <ns0:c r="I518" s="17" t="n"/>
      <ns0:c r="J518" s="17" t="n"/>
      <ns0:c r="K518" s="17" t="n"/>
      <ns0:c r="L518" s="17" t="n"/>
      <ns0:c r="M518" s="17" t="n"/>
      <ns0:c r="N518" s="17" t="n"/>
      <ns0:c r="O518" s="17" t="n"/>
      <ns0:c r="P518" s="17" t="n"/>
      <ns0:c r="Q518" s="17" t="n"/>
      <ns0:c r="R518" s="17" t="n"/>
      <ns0:c r="S518" s="17" t="n"/>
      <ns0:c r="T518" s="17" t="n"/>
      <ns0:c r="U518" s="17" t="n"/>
      <ns0:c r="V518" s="17" t="n"/>
      <ns0:c r="W518" s="17" t="n"/>
      <ns0:c r="X518" s="17" t="n"/>
      <ns0:c r="Y518" s="17" t="n"/>
      <ns0:c r="Z518" s="17" t="n"/>
      <ns0:c r="AA518" s="17" t="n"/>
      <ns0:c r="AB518" s="17" t="n"/>
      <ns0:c r="AC518" s="17" t="n"/>
      <ns0:c r="AD518" s="17" t="n"/>
      <ns0:c r="AE518" s="17" t="n"/>
      <ns0:c r="AF518" s="17" t="n"/>
      <ns0:c r="AG518" s="17" t="n"/>
    </ns0:row>
    <ns0:row r="519" ht="24" customHeight="1">
      <ns0:c r="D519" s="17" t="n"/>
      <ns0:c r="E519" s="17" t="n"/>
      <ns0:c r="F519" s="17" t="n"/>
      <ns0:c r="G519" s="17" t="n"/>
      <ns0:c r="H519" s="17" t="n"/>
      <ns0:c r="I519" s="17" t="n"/>
      <ns0:c r="J519" s="17" t="n"/>
      <ns0:c r="K519" s="17" t="n"/>
      <ns0:c r="L519" s="17" t="n"/>
      <ns0:c r="M519" s="17" t="n"/>
      <ns0:c r="N519" s="17" t="n"/>
      <ns0:c r="O519" s="17" t="n"/>
      <ns0:c r="P519" s="17" t="n"/>
      <ns0:c r="Q519" s="17" t="n"/>
      <ns0:c r="R519" s="17" t="n"/>
      <ns0:c r="S519" s="17" t="n"/>
      <ns0:c r="T519" s="17" t="n"/>
      <ns0:c r="U519" s="17" t="n"/>
      <ns0:c r="V519" s="17" t="n"/>
      <ns0:c r="W519" s="17" t="n"/>
      <ns0:c r="X519" s="17" t="n"/>
      <ns0:c r="Y519" s="17" t="n"/>
      <ns0:c r="Z519" s="17" t="n"/>
      <ns0:c r="AA519" s="17" t="n"/>
      <ns0:c r="AB519" s="17" t="n"/>
      <ns0:c r="AC519" s="17" t="n"/>
      <ns0:c r="AD519" s="17" t="n"/>
      <ns0:c r="AE519" s="17" t="n"/>
      <ns0:c r="AF519" s="17" t="n"/>
      <ns0:c r="AG519" s="17" t="n"/>
    </ns0:row>
    <ns0:row r="520" ht="24" customHeight="1">
      <ns0:c r="D520" s="17" t="n"/>
      <ns0:c r="E520" s="17" t="n"/>
      <ns0:c r="F520" s="17" t="n"/>
      <ns0:c r="G520" s="17" t="n"/>
      <ns0:c r="H520" s="17" t="n"/>
      <ns0:c r="I520" s="17" t="n"/>
      <ns0:c r="J520" s="17" t="n"/>
      <ns0:c r="K520" s="17" t="n"/>
      <ns0:c r="L520" s="17" t="n"/>
      <ns0:c r="M520" s="17" t="n"/>
      <ns0:c r="N520" s="17" t="n"/>
      <ns0:c r="O520" s="17" t="n"/>
      <ns0:c r="P520" s="17" t="n"/>
      <ns0:c r="Q520" s="17" t="n"/>
      <ns0:c r="R520" s="17" t="n"/>
      <ns0:c r="S520" s="17" t="n"/>
      <ns0:c r="T520" s="17" t="n"/>
      <ns0:c r="U520" s="17" t="n"/>
      <ns0:c r="V520" s="17" t="n"/>
      <ns0:c r="W520" s="17" t="n"/>
      <ns0:c r="X520" s="17" t="n"/>
      <ns0:c r="Y520" s="17" t="n"/>
      <ns0:c r="Z520" s="17" t="n"/>
      <ns0:c r="AA520" s="17" t="n"/>
      <ns0:c r="AB520" s="17" t="n"/>
      <ns0:c r="AC520" s="17" t="n"/>
      <ns0:c r="AD520" s="17" t="n"/>
      <ns0:c r="AE520" s="17" t="n"/>
      <ns0:c r="AF520" s="17" t="n"/>
      <ns0:c r="AG520" s="17" t="n"/>
    </ns0:row>
    <ns0:row r="521" ht="24" customHeight="1">
      <ns0:c r="D521" s="17" t="n"/>
      <ns0:c r="E521" s="17" t="n"/>
      <ns0:c r="F521" s="17" t="n"/>
      <ns0:c r="G521" s="17" t="n"/>
      <ns0:c r="H521" s="17" t="n"/>
      <ns0:c r="I521" s="17" t="n"/>
      <ns0:c r="J521" s="17" t="n"/>
      <ns0:c r="K521" s="17" t="n"/>
      <ns0:c r="L521" s="17" t="n"/>
      <ns0:c r="M521" s="17" t="n"/>
      <ns0:c r="N521" s="17" t="n"/>
      <ns0:c r="O521" s="17" t="n"/>
      <ns0:c r="P521" s="17" t="n"/>
      <ns0:c r="Q521" s="17" t="n"/>
      <ns0:c r="R521" s="17" t="n"/>
      <ns0:c r="S521" s="17" t="n"/>
      <ns0:c r="T521" s="17" t="n"/>
      <ns0:c r="U521" s="17" t="n"/>
      <ns0:c r="V521" s="17" t="n"/>
      <ns0:c r="W521" s="17" t="n"/>
      <ns0:c r="X521" s="17" t="n"/>
      <ns0:c r="Y521" s="17" t="n"/>
      <ns0:c r="Z521" s="17" t="n"/>
      <ns0:c r="AA521" s="17" t="n"/>
      <ns0:c r="AB521" s="17" t="n"/>
      <ns0:c r="AC521" s="17" t="n"/>
      <ns0:c r="AD521" s="17" t="n"/>
      <ns0:c r="AE521" s="17" t="n"/>
      <ns0:c r="AF521" s="17" t="n"/>
      <ns0:c r="AG521" s="17" t="n"/>
    </ns0:row>
    <ns0:row r="522" ht="24" customHeight="1">
      <ns0:c r="D522" s="17" t="n"/>
      <ns0:c r="E522" s="17" t="n"/>
      <ns0:c r="F522" s="17" t="n"/>
      <ns0:c r="G522" s="17" t="n"/>
      <ns0:c r="H522" s="17" t="n"/>
      <ns0:c r="I522" s="17" t="n"/>
      <ns0:c r="J522" s="17" t="n"/>
      <ns0:c r="K522" s="17" t="n"/>
      <ns0:c r="L522" s="17" t="n"/>
      <ns0:c r="M522" s="17" t="n"/>
      <ns0:c r="N522" s="17" t="n"/>
      <ns0:c r="O522" s="17" t="n"/>
      <ns0:c r="P522" s="17" t="n"/>
      <ns0:c r="Q522" s="17" t="n"/>
      <ns0:c r="R522" s="17" t="n"/>
      <ns0:c r="S522" s="17" t="n"/>
      <ns0:c r="T522" s="17" t="n"/>
      <ns0:c r="U522" s="17" t="n"/>
      <ns0:c r="V522" s="17" t="n"/>
      <ns0:c r="W522" s="17" t="n"/>
      <ns0:c r="X522" s="17" t="n"/>
      <ns0:c r="Y522" s="17" t="n"/>
      <ns0:c r="Z522" s="17" t="n"/>
      <ns0:c r="AA522" s="17" t="n"/>
      <ns0:c r="AB522" s="17" t="n"/>
      <ns0:c r="AC522" s="17" t="n"/>
      <ns0:c r="AD522" s="17" t="n"/>
      <ns0:c r="AE522" s="17" t="n"/>
      <ns0:c r="AF522" s="17" t="n"/>
      <ns0:c r="AG522" s="17" t="n"/>
    </ns0:row>
    <ns0:row r="523" ht="24" customHeight="1">
      <ns0:c r="D523" s="17" t="n"/>
      <ns0:c r="E523" s="17" t="n"/>
      <ns0:c r="F523" s="17" t="n"/>
      <ns0:c r="G523" s="17" t="n"/>
      <ns0:c r="H523" s="17" t="n"/>
      <ns0:c r="I523" s="17" t="n"/>
      <ns0:c r="J523" s="17" t="n"/>
      <ns0:c r="K523" s="17" t="n"/>
      <ns0:c r="L523" s="17" t="n"/>
      <ns0:c r="M523" s="17" t="n"/>
      <ns0:c r="N523" s="17" t="n"/>
      <ns0:c r="O523" s="17" t="n"/>
      <ns0:c r="P523" s="17" t="n"/>
      <ns0:c r="Q523" s="17" t="n"/>
      <ns0:c r="R523" s="17" t="n"/>
      <ns0:c r="S523" s="17" t="n"/>
      <ns0:c r="T523" s="17" t="n"/>
      <ns0:c r="U523" s="17" t="n"/>
      <ns0:c r="V523" s="17" t="n"/>
      <ns0:c r="W523" s="17" t="n"/>
      <ns0:c r="X523" s="17" t="n"/>
      <ns0:c r="Y523" s="17" t="n"/>
      <ns0:c r="Z523" s="17" t="n"/>
      <ns0:c r="AA523" s="17" t="n"/>
      <ns0:c r="AB523" s="17" t="n"/>
      <ns0:c r="AC523" s="17" t="n"/>
      <ns0:c r="AD523" s="17" t="n"/>
      <ns0:c r="AE523" s="17" t="n"/>
      <ns0:c r="AF523" s="17" t="n"/>
      <ns0:c r="AG523" s="17" t="n"/>
    </ns0:row>
    <ns0:row r="524" ht="24" customHeight="1">
      <ns0:c r="D524" s="17" t="n"/>
      <ns0:c r="E524" s="17" t="n"/>
      <ns0:c r="F524" s="17" t="n"/>
      <ns0:c r="G524" s="17" t="n"/>
      <ns0:c r="H524" s="17" t="n"/>
      <ns0:c r="I524" s="17" t="n"/>
      <ns0:c r="J524" s="17" t="n"/>
      <ns0:c r="K524" s="17" t="n"/>
      <ns0:c r="L524" s="17" t="n"/>
      <ns0:c r="M524" s="17" t="n"/>
      <ns0:c r="N524" s="17" t="n"/>
      <ns0:c r="O524" s="17" t="n"/>
      <ns0:c r="P524" s="17" t="n"/>
      <ns0:c r="Q524" s="17" t="n"/>
      <ns0:c r="R524" s="17" t="n"/>
      <ns0:c r="S524" s="17" t="n"/>
      <ns0:c r="T524" s="17" t="n"/>
      <ns0:c r="U524" s="17" t="n"/>
      <ns0:c r="V524" s="17" t="n"/>
      <ns0:c r="W524" s="17" t="n"/>
      <ns0:c r="X524" s="17" t="n"/>
      <ns0:c r="Y524" s="17" t="n"/>
      <ns0:c r="Z524" s="17" t="n"/>
      <ns0:c r="AA524" s="17" t="n"/>
      <ns0:c r="AB524" s="17" t="n"/>
      <ns0:c r="AC524" s="17" t="n"/>
      <ns0:c r="AD524" s="17" t="n"/>
      <ns0:c r="AE524" s="17" t="n"/>
      <ns0:c r="AF524" s="17" t="n"/>
      <ns0:c r="AG524" s="17" t="n"/>
    </ns0:row>
    <ns0:row r="525" ht="24" customHeight="1">
      <ns0:c r="D525" s="17" t="n"/>
      <ns0:c r="E525" s="17" t="n"/>
      <ns0:c r="F525" s="17" t="n"/>
      <ns0:c r="G525" s="17" t="n"/>
      <ns0:c r="H525" s="17" t="n"/>
      <ns0:c r="I525" s="17" t="n"/>
      <ns0:c r="J525" s="17" t="n"/>
      <ns0:c r="K525" s="17" t="n"/>
      <ns0:c r="L525" s="17" t="n"/>
      <ns0:c r="M525" s="17" t="n"/>
      <ns0:c r="N525" s="17" t="n"/>
      <ns0:c r="O525" s="17" t="n"/>
      <ns0:c r="P525" s="17" t="n"/>
      <ns0:c r="Q525" s="17" t="n"/>
      <ns0:c r="R525" s="17" t="n"/>
      <ns0:c r="S525" s="17" t="n"/>
      <ns0:c r="T525" s="17" t="n"/>
      <ns0:c r="U525" s="17" t="n"/>
      <ns0:c r="V525" s="17" t="n"/>
      <ns0:c r="W525" s="17" t="n"/>
      <ns0:c r="X525" s="17" t="n"/>
      <ns0:c r="Y525" s="17" t="n"/>
      <ns0:c r="Z525" s="17" t="n"/>
      <ns0:c r="AA525" s="17" t="n"/>
      <ns0:c r="AB525" s="17" t="n"/>
      <ns0:c r="AC525" s="17" t="n"/>
      <ns0:c r="AD525" s="17" t="n"/>
      <ns0:c r="AE525" s="17" t="n"/>
      <ns0:c r="AF525" s="17" t="n"/>
      <ns0:c r="AG525" s="17" t="n"/>
    </ns0:row>
    <ns0:row r="526" ht="24" customHeight="1">
      <ns0:c r="D526" s="17" t="n"/>
      <ns0:c r="E526" s="17" t="n"/>
      <ns0:c r="F526" s="17" t="n"/>
      <ns0:c r="G526" s="17" t="n"/>
      <ns0:c r="H526" s="17" t="n"/>
      <ns0:c r="I526" s="17" t="n"/>
      <ns0:c r="J526" s="17" t="n"/>
      <ns0:c r="K526" s="17" t="n"/>
      <ns0:c r="L526" s="17" t="n"/>
      <ns0:c r="M526" s="17" t="n"/>
      <ns0:c r="N526" s="17" t="n"/>
      <ns0:c r="O526" s="17" t="n"/>
      <ns0:c r="P526" s="17" t="n"/>
      <ns0:c r="Q526" s="17" t="n"/>
      <ns0:c r="R526" s="17" t="n"/>
      <ns0:c r="S526" s="17" t="n"/>
      <ns0:c r="T526" s="17" t="n"/>
      <ns0:c r="U526" s="17" t="n"/>
      <ns0:c r="V526" s="17" t="n"/>
      <ns0:c r="W526" s="17" t="n"/>
      <ns0:c r="X526" s="17" t="n"/>
      <ns0:c r="Y526" s="17" t="n"/>
      <ns0:c r="Z526" s="17" t="n"/>
      <ns0:c r="AA526" s="17" t="n"/>
      <ns0:c r="AB526" s="17" t="n"/>
      <ns0:c r="AC526" s="17" t="n"/>
      <ns0:c r="AD526" s="17" t="n"/>
      <ns0:c r="AE526" s="17" t="n"/>
      <ns0:c r="AF526" s="17" t="n"/>
      <ns0:c r="AG526" s="17" t="n"/>
    </ns0:row>
    <ns0:row r="527" ht="24" customHeight="1">
      <ns0:c r="D527" s="17" t="n"/>
      <ns0:c r="E527" s="17" t="n"/>
      <ns0:c r="F527" s="17" t="n"/>
      <ns0:c r="G527" s="17" t="n"/>
      <ns0:c r="H527" s="17" t="n"/>
      <ns0:c r="I527" s="17" t="n"/>
      <ns0:c r="J527" s="17" t="n"/>
      <ns0:c r="K527" s="17" t="n"/>
      <ns0:c r="L527" s="17" t="n"/>
      <ns0:c r="M527" s="17" t="n"/>
      <ns0:c r="N527" s="17" t="n"/>
      <ns0:c r="O527" s="17" t="n"/>
      <ns0:c r="P527" s="17" t="n"/>
      <ns0:c r="Q527" s="17" t="n"/>
      <ns0:c r="R527" s="17" t="n"/>
      <ns0:c r="S527" s="17" t="n"/>
      <ns0:c r="T527" s="17" t="n"/>
      <ns0:c r="U527" s="17" t="n"/>
      <ns0:c r="V527" s="17" t="n"/>
      <ns0:c r="W527" s="17" t="n"/>
      <ns0:c r="X527" s="17" t="n"/>
      <ns0:c r="Y527" s="17" t="n"/>
      <ns0:c r="Z527" s="17" t="n"/>
      <ns0:c r="AA527" s="17" t="n"/>
      <ns0:c r="AB527" s="17" t="n"/>
      <ns0:c r="AC527" s="17" t="n"/>
      <ns0:c r="AD527" s="17" t="n"/>
      <ns0:c r="AE527" s="17" t="n"/>
      <ns0:c r="AF527" s="17" t="n"/>
      <ns0:c r="AG527" s="17" t="n"/>
    </ns0:row>
    <ns0:row r="528" ht="24" customHeight="1">
      <ns0:c r="D528" s="17" t="n"/>
      <ns0:c r="E528" s="17" t="n"/>
      <ns0:c r="F528" s="17" t="n"/>
      <ns0:c r="G528" s="17" t="n"/>
      <ns0:c r="H528" s="17" t="n"/>
      <ns0:c r="I528" s="17" t="n"/>
      <ns0:c r="J528" s="17" t="n"/>
      <ns0:c r="K528" s="17" t="n"/>
      <ns0:c r="L528" s="17" t="n"/>
      <ns0:c r="M528" s="17" t="n"/>
      <ns0:c r="N528" s="17" t="n"/>
      <ns0:c r="O528" s="17" t="n"/>
      <ns0:c r="P528" s="17" t="n"/>
      <ns0:c r="Q528" s="17" t="n"/>
      <ns0:c r="R528" s="17" t="n"/>
      <ns0:c r="S528" s="17" t="n"/>
      <ns0:c r="T528" s="17" t="n"/>
      <ns0:c r="U528" s="17" t="n"/>
      <ns0:c r="V528" s="17" t="n"/>
      <ns0:c r="W528" s="17" t="n"/>
      <ns0:c r="X528" s="17" t="n"/>
      <ns0:c r="Y528" s="17" t="n"/>
      <ns0:c r="Z528" s="17" t="n"/>
      <ns0:c r="AA528" s="17" t="n"/>
      <ns0:c r="AB528" s="17" t="n"/>
      <ns0:c r="AC528" s="17" t="n"/>
      <ns0:c r="AD528" s="17" t="n"/>
      <ns0:c r="AE528" s="17" t="n"/>
      <ns0:c r="AF528" s="17" t="n"/>
      <ns0:c r="AG528" s="17" t="n"/>
    </ns0:row>
    <ns0:row r="529" ht="24" customHeight="1">
      <ns0:c r="D529" s="17" t="n"/>
      <ns0:c r="E529" s="17" t="n"/>
      <ns0:c r="F529" s="17" t="n"/>
      <ns0:c r="G529" s="17" t="n"/>
      <ns0:c r="H529" s="17" t="n"/>
      <ns0:c r="I529" s="17" t="n"/>
      <ns0:c r="J529" s="17" t="n"/>
      <ns0:c r="K529" s="17" t="n"/>
      <ns0:c r="L529" s="17" t="n"/>
      <ns0:c r="M529" s="17" t="n"/>
      <ns0:c r="N529" s="17" t="n"/>
      <ns0:c r="O529" s="17" t="n"/>
      <ns0:c r="P529" s="17" t="n"/>
      <ns0:c r="Q529" s="17" t="n"/>
      <ns0:c r="R529" s="17" t="n"/>
      <ns0:c r="S529" s="17" t="n"/>
      <ns0:c r="T529" s="17" t="n"/>
      <ns0:c r="U529" s="17" t="n"/>
      <ns0:c r="V529" s="17" t="n"/>
      <ns0:c r="W529" s="17" t="n"/>
      <ns0:c r="X529" s="17" t="n"/>
      <ns0:c r="Y529" s="17" t="n"/>
      <ns0:c r="Z529" s="17" t="n"/>
      <ns0:c r="AA529" s="17" t="n"/>
      <ns0:c r="AB529" s="17" t="n"/>
      <ns0:c r="AC529" s="17" t="n"/>
      <ns0:c r="AD529" s="17" t="n"/>
      <ns0:c r="AE529" s="17" t="n"/>
      <ns0:c r="AF529" s="17" t="n"/>
      <ns0:c r="AG529" s="17" t="n"/>
    </ns0:row>
    <ns0:row r="530" ht="24" customHeight="1">
      <ns0:c r="D530" s="17" t="n"/>
      <ns0:c r="E530" s="17" t="n"/>
      <ns0:c r="F530" s="17" t="n"/>
      <ns0:c r="G530" s="17" t="n"/>
      <ns0:c r="H530" s="17" t="n"/>
      <ns0:c r="I530" s="17" t="n"/>
      <ns0:c r="J530" s="17" t="n"/>
      <ns0:c r="K530" s="17" t="n"/>
      <ns0:c r="L530" s="17" t="n"/>
      <ns0:c r="M530" s="17" t="n"/>
      <ns0:c r="N530" s="17" t="n"/>
      <ns0:c r="O530" s="17" t="n"/>
      <ns0:c r="P530" s="17" t="n"/>
      <ns0:c r="Q530" s="17" t="n"/>
      <ns0:c r="R530" s="17" t="n"/>
      <ns0:c r="S530" s="17" t="n"/>
      <ns0:c r="T530" s="17" t="n"/>
      <ns0:c r="U530" s="17" t="n"/>
      <ns0:c r="V530" s="17" t="n"/>
      <ns0:c r="W530" s="17" t="n"/>
      <ns0:c r="X530" s="17" t="n"/>
      <ns0:c r="Y530" s="17" t="n"/>
      <ns0:c r="Z530" s="17" t="n"/>
      <ns0:c r="AA530" s="17" t="n"/>
      <ns0:c r="AB530" s="17" t="n"/>
      <ns0:c r="AC530" s="17" t="n"/>
      <ns0:c r="AD530" s="17" t="n"/>
      <ns0:c r="AE530" s="17" t="n"/>
      <ns0:c r="AF530" s="17" t="n"/>
      <ns0:c r="AG530" s="17" t="n"/>
    </ns0:row>
    <ns0:row r="531" ht="24" customHeight="1">
      <ns0:c r="D531" s="17" t="n"/>
      <ns0:c r="E531" s="17" t="n"/>
      <ns0:c r="F531" s="17" t="n"/>
      <ns0:c r="G531" s="17" t="n"/>
      <ns0:c r="H531" s="17" t="n"/>
      <ns0:c r="I531" s="17" t="n"/>
      <ns0:c r="J531" s="17" t="n"/>
      <ns0:c r="K531" s="17" t="n"/>
      <ns0:c r="L531" s="17" t="n"/>
      <ns0:c r="M531" s="17" t="n"/>
      <ns0:c r="N531" s="17" t="n"/>
      <ns0:c r="O531" s="17" t="n"/>
      <ns0:c r="P531" s="17" t="n"/>
      <ns0:c r="Q531" s="17" t="n"/>
      <ns0:c r="R531" s="17" t="n"/>
      <ns0:c r="S531" s="17" t="n"/>
      <ns0:c r="T531" s="17" t="n"/>
      <ns0:c r="U531" s="17" t="n"/>
      <ns0:c r="V531" s="17" t="n"/>
      <ns0:c r="W531" s="17" t="n"/>
      <ns0:c r="X531" s="17" t="n"/>
      <ns0:c r="Y531" s="17" t="n"/>
      <ns0:c r="Z531" s="17" t="n"/>
      <ns0:c r="AA531" s="17" t="n"/>
      <ns0:c r="AB531" s="17" t="n"/>
      <ns0:c r="AC531" s="17" t="n"/>
      <ns0:c r="AD531" s="17" t="n"/>
      <ns0:c r="AE531" s="17" t="n"/>
      <ns0:c r="AF531" s="17" t="n"/>
      <ns0:c r="AG531" s="17" t="n"/>
    </ns0:row>
    <ns0:row r="532" ht="24" customHeight="1">
      <ns0:c r="D532" s="17" t="n"/>
      <ns0:c r="E532" s="17" t="n"/>
      <ns0:c r="F532" s="17" t="n"/>
      <ns0:c r="G532" s="17" t="n"/>
      <ns0:c r="H532" s="17" t="n"/>
      <ns0:c r="I532" s="17" t="n"/>
      <ns0:c r="J532" s="17" t="n"/>
      <ns0:c r="K532" s="17" t="n"/>
      <ns0:c r="L532" s="17" t="n"/>
      <ns0:c r="M532" s="17" t="n"/>
      <ns0:c r="N532" s="17" t="n"/>
      <ns0:c r="O532" s="17" t="n"/>
      <ns0:c r="P532" s="17" t="n"/>
      <ns0:c r="Q532" s="17" t="n"/>
      <ns0:c r="R532" s="17" t="n"/>
      <ns0:c r="S532" s="17" t="n"/>
      <ns0:c r="T532" s="17" t="n"/>
      <ns0:c r="U532" s="17" t="n"/>
      <ns0:c r="V532" s="17" t="n"/>
      <ns0:c r="W532" s="17" t="n"/>
      <ns0:c r="X532" s="17" t="n"/>
      <ns0:c r="Y532" s="17" t="n"/>
      <ns0:c r="Z532" s="17" t="n"/>
      <ns0:c r="AA532" s="17" t="n"/>
      <ns0:c r="AB532" s="17" t="n"/>
      <ns0:c r="AC532" s="17" t="n"/>
      <ns0:c r="AD532" s="17" t="n"/>
      <ns0:c r="AE532" s="17" t="n"/>
      <ns0:c r="AF532" s="17" t="n"/>
      <ns0:c r="AG532" s="17" t="n"/>
    </ns0:row>
    <ns0:row r="533" ht="24" customHeight="1">
      <ns0:c r="D533" s="17" t="n"/>
      <ns0:c r="E533" s="17" t="n"/>
      <ns0:c r="F533" s="17" t="n"/>
      <ns0:c r="G533" s="17" t="n"/>
      <ns0:c r="H533" s="17" t="n"/>
      <ns0:c r="I533" s="17" t="n"/>
      <ns0:c r="J533" s="17" t="n"/>
      <ns0:c r="K533" s="17" t="n"/>
      <ns0:c r="L533" s="17" t="n"/>
      <ns0:c r="M533" s="17" t="n"/>
      <ns0:c r="N533" s="17" t="n"/>
      <ns0:c r="O533" s="17" t="n"/>
      <ns0:c r="P533" s="17" t="n"/>
      <ns0:c r="Q533" s="17" t="n"/>
      <ns0:c r="R533" s="17" t="n"/>
      <ns0:c r="S533" s="17" t="n"/>
      <ns0:c r="T533" s="17" t="n"/>
      <ns0:c r="U533" s="17" t="n"/>
      <ns0:c r="V533" s="17" t="n"/>
      <ns0:c r="W533" s="17" t="n"/>
      <ns0:c r="X533" s="17" t="n"/>
      <ns0:c r="Y533" s="17" t="n"/>
      <ns0:c r="Z533" s="17" t="n"/>
      <ns0:c r="AA533" s="17" t="n"/>
      <ns0:c r="AB533" s="17" t="n"/>
      <ns0:c r="AC533" s="17" t="n"/>
      <ns0:c r="AD533" s="17" t="n"/>
      <ns0:c r="AE533" s="17" t="n"/>
      <ns0:c r="AF533" s="17" t="n"/>
      <ns0:c r="AG533" s="17" t="n"/>
    </ns0:row>
    <ns0:row r="534" ht="24" customHeight="1">
      <ns0:c r="D534" s="17" t="n"/>
      <ns0:c r="E534" s="17" t="n"/>
      <ns0:c r="F534" s="17" t="n"/>
      <ns0:c r="G534" s="17" t="n"/>
      <ns0:c r="H534" s="17" t="n"/>
      <ns0:c r="I534" s="17" t="n"/>
      <ns0:c r="J534" s="17" t="n"/>
      <ns0:c r="K534" s="17" t="n"/>
      <ns0:c r="L534" s="17" t="n"/>
      <ns0:c r="M534" s="17" t="n"/>
      <ns0:c r="N534" s="17" t="n"/>
      <ns0:c r="O534" s="17" t="n"/>
      <ns0:c r="P534" s="17" t="n"/>
      <ns0:c r="Q534" s="17" t="n"/>
      <ns0:c r="R534" s="17" t="n"/>
      <ns0:c r="S534" s="17" t="n"/>
      <ns0:c r="T534" s="17" t="n"/>
      <ns0:c r="U534" s="17" t="n"/>
      <ns0:c r="V534" s="17" t="n"/>
      <ns0:c r="W534" s="17" t="n"/>
      <ns0:c r="X534" s="17" t="n"/>
      <ns0:c r="Y534" s="17" t="n"/>
      <ns0:c r="Z534" s="17" t="n"/>
      <ns0:c r="AA534" s="17" t="n"/>
      <ns0:c r="AB534" s="17" t="n"/>
      <ns0:c r="AC534" s="17" t="n"/>
      <ns0:c r="AD534" s="17" t="n"/>
      <ns0:c r="AE534" s="17" t="n"/>
      <ns0:c r="AF534" s="17" t="n"/>
      <ns0:c r="AG534" s="17" t="n"/>
    </ns0:row>
    <ns0:row r="535" ht="24" customHeight="1">
      <ns0:c r="D535" s="17" t="n"/>
      <ns0:c r="E535" s="17" t="n"/>
      <ns0:c r="F535" s="17" t="n"/>
      <ns0:c r="G535" s="17" t="n"/>
      <ns0:c r="H535" s="17" t="n"/>
      <ns0:c r="I535" s="17" t="n"/>
      <ns0:c r="J535" s="17" t="n"/>
      <ns0:c r="K535" s="17" t="n"/>
      <ns0:c r="L535" s="17" t="n"/>
      <ns0:c r="M535" s="17" t="n"/>
      <ns0:c r="N535" s="17" t="n"/>
      <ns0:c r="O535" s="17" t="n"/>
      <ns0:c r="P535" s="17" t="n"/>
      <ns0:c r="Q535" s="17" t="n"/>
      <ns0:c r="R535" s="17" t="n"/>
      <ns0:c r="S535" s="17" t="n"/>
      <ns0:c r="T535" s="17" t="n"/>
      <ns0:c r="U535" s="17" t="n"/>
      <ns0:c r="V535" s="17" t="n"/>
      <ns0:c r="W535" s="17" t="n"/>
      <ns0:c r="X535" s="17" t="n"/>
      <ns0:c r="Y535" s="17" t="n"/>
      <ns0:c r="Z535" s="17" t="n"/>
      <ns0:c r="AA535" s="17" t="n"/>
      <ns0:c r="AB535" s="17" t="n"/>
      <ns0:c r="AC535" s="17" t="n"/>
      <ns0:c r="AD535" s="17" t="n"/>
      <ns0:c r="AE535" s="17" t="n"/>
      <ns0:c r="AF535" s="17" t="n"/>
      <ns0:c r="AG535" s="17" t="n"/>
    </ns0:row>
    <ns0:row r="536" ht="24" customHeight="1">
      <ns0:c r="D536" s="17" t="n"/>
      <ns0:c r="E536" s="17" t="n"/>
      <ns0:c r="F536" s="17" t="n"/>
      <ns0:c r="G536" s="17" t="n"/>
      <ns0:c r="H536" s="17" t="n"/>
      <ns0:c r="I536" s="17" t="n"/>
      <ns0:c r="J536" s="17" t="n"/>
      <ns0:c r="K536" s="17" t="n"/>
      <ns0:c r="L536" s="17" t="n"/>
      <ns0:c r="M536" s="17" t="n"/>
      <ns0:c r="N536" s="17" t="n"/>
      <ns0:c r="O536" s="17" t="n"/>
      <ns0:c r="P536" s="17" t="n"/>
      <ns0:c r="Q536" s="17" t="n"/>
      <ns0:c r="R536" s="17" t="n"/>
      <ns0:c r="S536" s="17" t="n"/>
      <ns0:c r="T536" s="17" t="n"/>
      <ns0:c r="U536" s="17" t="n"/>
      <ns0:c r="V536" s="17" t="n"/>
      <ns0:c r="W536" s="17" t="n"/>
      <ns0:c r="X536" s="17" t="n"/>
      <ns0:c r="Y536" s="17" t="n"/>
      <ns0:c r="Z536" s="17" t="n"/>
      <ns0:c r="AA536" s="17" t="n"/>
      <ns0:c r="AB536" s="17" t="n"/>
      <ns0:c r="AC536" s="17" t="n"/>
      <ns0:c r="AD536" s="17" t="n"/>
      <ns0:c r="AE536" s="17" t="n"/>
      <ns0:c r="AF536" s="17" t="n"/>
      <ns0:c r="AG536" s="17" t="n"/>
    </ns0:row>
    <ns0:row r="537" ht="24" customHeight="1">
      <ns0:c r="D537" s="17" t="n"/>
      <ns0:c r="E537" s="17" t="n"/>
      <ns0:c r="F537" s="17" t="n"/>
      <ns0:c r="G537" s="17" t="n"/>
      <ns0:c r="H537" s="17" t="n"/>
      <ns0:c r="I537" s="17" t="n"/>
      <ns0:c r="J537" s="17" t="n"/>
      <ns0:c r="K537" s="17" t="n"/>
      <ns0:c r="L537" s="17" t="n"/>
      <ns0:c r="M537" s="17" t="n"/>
      <ns0:c r="N537" s="17" t="n"/>
      <ns0:c r="O537" s="17" t="n"/>
      <ns0:c r="P537" s="17" t="n"/>
      <ns0:c r="Q537" s="17" t="n"/>
      <ns0:c r="R537" s="17" t="n"/>
      <ns0:c r="S537" s="17" t="n"/>
      <ns0:c r="T537" s="17" t="n"/>
      <ns0:c r="U537" s="17" t="n"/>
      <ns0:c r="V537" s="17" t="n"/>
      <ns0:c r="W537" s="17" t="n"/>
      <ns0:c r="X537" s="17" t="n"/>
      <ns0:c r="Y537" s="17" t="n"/>
      <ns0:c r="Z537" s="17" t="n"/>
      <ns0:c r="AA537" s="17" t="n"/>
      <ns0:c r="AB537" s="17" t="n"/>
      <ns0:c r="AC537" s="17" t="n"/>
      <ns0:c r="AD537" s="17" t="n"/>
      <ns0:c r="AE537" s="17" t="n"/>
      <ns0:c r="AF537" s="17" t="n"/>
      <ns0:c r="AG537" s="17" t="n"/>
    </ns0:row>
    <ns0:row r="538" ht="24" customHeight="1">
      <ns0:c r="D538" s="17" t="n"/>
      <ns0:c r="E538" s="17" t="n"/>
      <ns0:c r="F538" s="17" t="n"/>
      <ns0:c r="G538" s="17" t="n"/>
      <ns0:c r="H538" s="17" t="n"/>
      <ns0:c r="I538" s="17" t="n"/>
      <ns0:c r="J538" s="17" t="n"/>
      <ns0:c r="K538" s="17" t="n"/>
      <ns0:c r="L538" s="17" t="n"/>
      <ns0:c r="M538" s="17" t="n"/>
      <ns0:c r="N538" s="17" t="n"/>
      <ns0:c r="O538" s="17" t="n"/>
      <ns0:c r="P538" s="17" t="n"/>
      <ns0:c r="Q538" s="17" t="n"/>
      <ns0:c r="R538" s="17" t="n"/>
      <ns0:c r="S538" s="17" t="n"/>
      <ns0:c r="T538" s="17" t="n"/>
      <ns0:c r="U538" s="17" t="n"/>
      <ns0:c r="V538" s="17" t="n"/>
      <ns0:c r="W538" s="17" t="n"/>
      <ns0:c r="X538" s="17" t="n"/>
      <ns0:c r="Y538" s="17" t="n"/>
      <ns0:c r="Z538" s="17" t="n"/>
      <ns0:c r="AA538" s="17" t="n"/>
      <ns0:c r="AB538" s="17" t="n"/>
      <ns0:c r="AC538" s="17" t="n"/>
      <ns0:c r="AD538" s="17" t="n"/>
      <ns0:c r="AE538" s="17" t="n"/>
      <ns0:c r="AF538" s="17" t="n"/>
      <ns0:c r="AG538" s="17" t="n"/>
    </ns0:row>
    <ns0:row r="539" ht="24" customHeight="1">
      <ns0:c r="D539" s="17" t="n"/>
      <ns0:c r="E539" s="17" t="n"/>
      <ns0:c r="F539" s="17" t="n"/>
      <ns0:c r="G539" s="17" t="n"/>
      <ns0:c r="H539" s="17" t="n"/>
      <ns0:c r="I539" s="17" t="n"/>
      <ns0:c r="J539" s="17" t="n"/>
      <ns0:c r="K539" s="17" t="n"/>
      <ns0:c r="L539" s="17" t="n"/>
      <ns0:c r="M539" s="17" t="n"/>
      <ns0:c r="N539" s="17" t="n"/>
      <ns0:c r="O539" s="17" t="n"/>
      <ns0:c r="P539" s="17" t="n"/>
      <ns0:c r="Q539" s="17" t="n"/>
      <ns0:c r="R539" s="17" t="n"/>
      <ns0:c r="S539" s="17" t="n"/>
      <ns0:c r="T539" s="17" t="n"/>
      <ns0:c r="U539" s="17" t="n"/>
      <ns0:c r="V539" s="17" t="n"/>
      <ns0:c r="W539" s="17" t="n"/>
      <ns0:c r="X539" s="17" t="n"/>
      <ns0:c r="Y539" s="17" t="n"/>
      <ns0:c r="Z539" s="17" t="n"/>
      <ns0:c r="AA539" s="17" t="n"/>
      <ns0:c r="AB539" s="17" t="n"/>
      <ns0:c r="AC539" s="17" t="n"/>
      <ns0:c r="AD539" s="17" t="n"/>
      <ns0:c r="AE539" s="17" t="n"/>
      <ns0:c r="AF539" s="17" t="n"/>
      <ns0:c r="AG539" s="17" t="n"/>
    </ns0:row>
    <ns0:row r="540" ht="24" customHeight="1">
      <ns0:c r="D540" s="17" t="n"/>
      <ns0:c r="E540" s="17" t="n"/>
      <ns0:c r="F540" s="17" t="n"/>
      <ns0:c r="G540" s="17" t="n"/>
      <ns0:c r="H540" s="17" t="n"/>
      <ns0:c r="I540" s="17" t="n"/>
      <ns0:c r="J540" s="17" t="n"/>
      <ns0:c r="K540" s="17" t="n"/>
      <ns0:c r="L540" s="17" t="n"/>
      <ns0:c r="M540" s="17" t="n"/>
      <ns0:c r="N540" s="17" t="n"/>
      <ns0:c r="O540" s="17" t="n"/>
      <ns0:c r="P540" s="17" t="n"/>
      <ns0:c r="Q540" s="17" t="n"/>
      <ns0:c r="R540" s="17" t="n"/>
      <ns0:c r="S540" s="17" t="n"/>
      <ns0:c r="T540" s="17" t="n"/>
      <ns0:c r="U540" s="17" t="n"/>
      <ns0:c r="V540" s="17" t="n"/>
      <ns0:c r="W540" s="17" t="n"/>
      <ns0:c r="X540" s="17" t="n"/>
      <ns0:c r="Y540" s="17" t="n"/>
      <ns0:c r="Z540" s="17" t="n"/>
      <ns0:c r="AA540" s="17" t="n"/>
      <ns0:c r="AB540" s="17" t="n"/>
      <ns0:c r="AC540" s="17" t="n"/>
      <ns0:c r="AD540" s="17" t="n"/>
      <ns0:c r="AE540" s="17" t="n"/>
      <ns0:c r="AF540" s="17" t="n"/>
      <ns0:c r="AG540" s="17" t="n"/>
    </ns0:row>
    <ns0:row r="541" ht="24" customHeight="1">
      <ns0:c r="D541" s="17" t="n"/>
      <ns0:c r="E541" s="17" t="n"/>
      <ns0:c r="F541" s="17" t="n"/>
      <ns0:c r="G541" s="17" t="n"/>
      <ns0:c r="H541" s="17" t="n"/>
      <ns0:c r="I541" s="17" t="n"/>
      <ns0:c r="J541" s="17" t="n"/>
      <ns0:c r="K541" s="17" t="n"/>
      <ns0:c r="L541" s="17" t="n"/>
      <ns0:c r="M541" s="17" t="n"/>
      <ns0:c r="N541" s="17" t="n"/>
      <ns0:c r="O541" s="17" t="n"/>
      <ns0:c r="P541" s="17" t="n"/>
      <ns0:c r="Q541" s="17" t="n"/>
      <ns0:c r="R541" s="17" t="n"/>
      <ns0:c r="S541" s="17" t="n"/>
      <ns0:c r="T541" s="17" t="n"/>
      <ns0:c r="U541" s="17" t="n"/>
      <ns0:c r="V541" s="17" t="n"/>
      <ns0:c r="W541" s="17" t="n"/>
      <ns0:c r="X541" s="17" t="n"/>
      <ns0:c r="Y541" s="17" t="n"/>
      <ns0:c r="Z541" s="17" t="n"/>
      <ns0:c r="AA541" s="17" t="n"/>
      <ns0:c r="AB541" s="17" t="n"/>
      <ns0:c r="AC541" s="17" t="n"/>
      <ns0:c r="AD541" s="17" t="n"/>
      <ns0:c r="AE541" s="17" t="n"/>
      <ns0:c r="AF541" s="17" t="n"/>
      <ns0:c r="AG541" s="17" t="n"/>
    </ns0:row>
    <ns0:row r="542" ht="24" customHeight="1">
      <ns0:c r="D542" s="17" t="n"/>
      <ns0:c r="E542" s="17" t="n"/>
      <ns0:c r="F542" s="17" t="n"/>
      <ns0:c r="G542" s="17" t="n"/>
      <ns0:c r="H542" s="17" t="n"/>
      <ns0:c r="I542" s="17" t="n"/>
      <ns0:c r="J542" s="17" t="n"/>
      <ns0:c r="K542" s="17" t="n"/>
      <ns0:c r="L542" s="17" t="n"/>
      <ns0:c r="M542" s="17" t="n"/>
      <ns0:c r="N542" s="17" t="n"/>
      <ns0:c r="O542" s="17" t="n"/>
      <ns0:c r="P542" s="17" t="n"/>
      <ns0:c r="Q542" s="17" t="n"/>
      <ns0:c r="R542" s="17" t="n"/>
      <ns0:c r="S542" s="17" t="n"/>
      <ns0:c r="T542" s="17" t="n"/>
      <ns0:c r="U542" s="17" t="n"/>
      <ns0:c r="V542" s="17" t="n"/>
      <ns0:c r="W542" s="17" t="n"/>
      <ns0:c r="X542" s="17" t="n"/>
      <ns0:c r="Y542" s="17" t="n"/>
      <ns0:c r="Z542" s="17" t="n"/>
      <ns0:c r="AA542" s="17" t="n"/>
      <ns0:c r="AB542" s="17" t="n"/>
      <ns0:c r="AC542" s="17" t="n"/>
      <ns0:c r="AD542" s="17" t="n"/>
      <ns0:c r="AE542" s="17" t="n"/>
      <ns0:c r="AF542" s="17" t="n"/>
      <ns0:c r="AG542" s="17" t="n"/>
    </ns0:row>
    <ns0:row r="543" ht="24" customHeight="1">
      <ns0:c r="D543" s="17" t="n"/>
      <ns0:c r="E543" s="17" t="n"/>
      <ns0:c r="F543" s="17" t="n"/>
      <ns0:c r="G543" s="17" t="n"/>
      <ns0:c r="H543" s="17" t="n"/>
      <ns0:c r="I543" s="17" t="n"/>
      <ns0:c r="J543" s="17" t="n"/>
      <ns0:c r="K543" s="17" t="n"/>
      <ns0:c r="L543" s="17" t="n"/>
      <ns0:c r="M543" s="17" t="n"/>
      <ns0:c r="N543" s="17" t="n"/>
      <ns0:c r="O543" s="17" t="n"/>
      <ns0:c r="P543" s="17" t="n"/>
      <ns0:c r="Q543" s="17" t="n"/>
      <ns0:c r="R543" s="17" t="n"/>
      <ns0:c r="S543" s="17" t="n"/>
      <ns0:c r="T543" s="17" t="n"/>
      <ns0:c r="U543" s="17" t="n"/>
      <ns0:c r="V543" s="17" t="n"/>
      <ns0:c r="W543" s="17" t="n"/>
      <ns0:c r="X543" s="17" t="n"/>
      <ns0:c r="Y543" s="17" t="n"/>
      <ns0:c r="Z543" s="17" t="n"/>
      <ns0:c r="AA543" s="17" t="n"/>
      <ns0:c r="AB543" s="17" t="n"/>
      <ns0:c r="AC543" s="17" t="n"/>
      <ns0:c r="AD543" s="17" t="n"/>
      <ns0:c r="AE543" s="17" t="n"/>
      <ns0:c r="AF543" s="17" t="n"/>
      <ns0:c r="AG543" s="17" t="n"/>
    </ns0:row>
    <ns0:row r="544" ht="24" customHeight="1">
      <ns0:c r="D544" s="17" t="n"/>
      <ns0:c r="E544" s="17" t="n"/>
      <ns0:c r="F544" s="17" t="n"/>
      <ns0:c r="G544" s="17" t="n"/>
      <ns0:c r="H544" s="17" t="n"/>
      <ns0:c r="I544" s="17" t="n"/>
      <ns0:c r="J544" s="17" t="n"/>
      <ns0:c r="K544" s="17" t="n"/>
      <ns0:c r="L544" s="17" t="n"/>
      <ns0:c r="M544" s="17" t="n"/>
      <ns0:c r="N544" s="17" t="n"/>
      <ns0:c r="O544" s="17" t="n"/>
      <ns0:c r="P544" s="17" t="n"/>
      <ns0:c r="Q544" s="17" t="n"/>
      <ns0:c r="R544" s="17" t="n"/>
      <ns0:c r="S544" s="17" t="n"/>
      <ns0:c r="T544" s="17" t="n"/>
      <ns0:c r="U544" s="17" t="n"/>
      <ns0:c r="V544" s="17" t="n"/>
      <ns0:c r="W544" s="17" t="n"/>
      <ns0:c r="X544" s="17" t="n"/>
      <ns0:c r="Y544" s="17" t="n"/>
      <ns0:c r="Z544" s="17" t="n"/>
      <ns0:c r="AA544" s="17" t="n"/>
      <ns0:c r="AB544" s="17" t="n"/>
      <ns0:c r="AC544" s="17" t="n"/>
      <ns0:c r="AD544" s="17" t="n"/>
      <ns0:c r="AE544" s="17" t="n"/>
      <ns0:c r="AF544" s="17" t="n"/>
      <ns0:c r="AG544" s="17" t="n"/>
    </ns0:row>
    <ns0:row r="545" ht="24" customHeight="1">
      <ns0:c r="D545" s="17" t="n"/>
      <ns0:c r="E545" s="17" t="n"/>
      <ns0:c r="F545" s="17" t="n"/>
      <ns0:c r="G545" s="17" t="n"/>
      <ns0:c r="H545" s="17" t="n"/>
      <ns0:c r="I545" s="17" t="n"/>
      <ns0:c r="J545" s="17" t="n"/>
      <ns0:c r="K545" s="17" t="n"/>
      <ns0:c r="L545" s="17" t="n"/>
      <ns0:c r="M545" s="17" t="n"/>
      <ns0:c r="N545" s="17" t="n"/>
      <ns0:c r="O545" s="17" t="n"/>
      <ns0:c r="P545" s="17" t="n"/>
      <ns0:c r="Q545" s="17" t="n"/>
      <ns0:c r="R545" s="17" t="n"/>
      <ns0:c r="S545" s="17" t="n"/>
      <ns0:c r="T545" s="17" t="n"/>
      <ns0:c r="U545" s="17" t="n"/>
      <ns0:c r="V545" s="17" t="n"/>
      <ns0:c r="W545" s="17" t="n"/>
      <ns0:c r="X545" s="17" t="n"/>
      <ns0:c r="Y545" s="17" t="n"/>
      <ns0:c r="Z545" s="17" t="n"/>
      <ns0:c r="AA545" s="17" t="n"/>
      <ns0:c r="AB545" s="17" t="n"/>
      <ns0:c r="AC545" s="17" t="n"/>
      <ns0:c r="AD545" s="17" t="n"/>
      <ns0:c r="AE545" s="17" t="n"/>
      <ns0:c r="AF545" s="17" t="n"/>
      <ns0:c r="AG545" s="17" t="n"/>
    </ns0:row>
    <ns0:row r="546" ht="24" customHeight="1">
      <ns0:c r="D546" s="17" t="n"/>
      <ns0:c r="E546" s="17" t="n"/>
      <ns0:c r="F546" s="17" t="n"/>
      <ns0:c r="G546" s="17" t="n"/>
      <ns0:c r="H546" s="17" t="n"/>
      <ns0:c r="I546" s="17" t="n"/>
      <ns0:c r="J546" s="17" t="n"/>
      <ns0:c r="K546" s="17" t="n"/>
      <ns0:c r="L546" s="17" t="n"/>
      <ns0:c r="M546" s="17" t="n"/>
      <ns0:c r="N546" s="17" t="n"/>
      <ns0:c r="O546" s="17" t="n"/>
      <ns0:c r="P546" s="17" t="n"/>
      <ns0:c r="Q546" s="17" t="n"/>
      <ns0:c r="R546" s="17" t="n"/>
      <ns0:c r="S546" s="17" t="n"/>
      <ns0:c r="T546" s="17" t="n"/>
      <ns0:c r="U546" s="17" t="n"/>
      <ns0:c r="V546" s="17" t="n"/>
      <ns0:c r="W546" s="17" t="n"/>
      <ns0:c r="X546" s="17" t="n"/>
      <ns0:c r="Y546" s="17" t="n"/>
      <ns0:c r="Z546" s="17" t="n"/>
      <ns0:c r="AA546" s="17" t="n"/>
      <ns0:c r="AB546" s="17" t="n"/>
      <ns0:c r="AC546" s="17" t="n"/>
      <ns0:c r="AD546" s="17" t="n"/>
      <ns0:c r="AE546" s="17" t="n"/>
      <ns0:c r="AF546" s="17" t="n"/>
      <ns0:c r="AG546" s="17" t="n"/>
    </ns0:row>
    <ns0:row r="547" ht="24" customHeight="1">
      <ns0:c r="D547" s="17" t="n"/>
      <ns0:c r="E547" s="17" t="n"/>
      <ns0:c r="F547" s="17" t="n"/>
      <ns0:c r="G547" s="17" t="n"/>
      <ns0:c r="H547" s="17" t="n"/>
      <ns0:c r="I547" s="17" t="n"/>
      <ns0:c r="J547" s="17" t="n"/>
      <ns0:c r="K547" s="17" t="n"/>
      <ns0:c r="L547" s="17" t="n"/>
      <ns0:c r="M547" s="17" t="n"/>
      <ns0:c r="N547" s="17" t="n"/>
      <ns0:c r="O547" s="17" t="n"/>
      <ns0:c r="P547" s="17" t="n"/>
      <ns0:c r="Q547" s="17" t="n"/>
      <ns0:c r="R547" s="17" t="n"/>
      <ns0:c r="S547" s="17" t="n"/>
      <ns0:c r="T547" s="17" t="n"/>
      <ns0:c r="U547" s="17" t="n"/>
      <ns0:c r="V547" s="17" t="n"/>
      <ns0:c r="W547" s="17" t="n"/>
      <ns0:c r="X547" s="17" t="n"/>
      <ns0:c r="Y547" s="17" t="n"/>
      <ns0:c r="Z547" s="17" t="n"/>
      <ns0:c r="AA547" s="17" t="n"/>
      <ns0:c r="AB547" s="17" t="n"/>
      <ns0:c r="AC547" s="17" t="n"/>
      <ns0:c r="AD547" s="17" t="n"/>
      <ns0:c r="AE547" s="17" t="n"/>
      <ns0:c r="AF547" s="17" t="n"/>
      <ns0:c r="AG547" s="17" t="n"/>
    </ns0:row>
    <ns0:row r="548" ht="24" customHeight="1">
      <ns0:c r="D548" s="17" t="n"/>
      <ns0:c r="E548" s="17" t="n"/>
      <ns0:c r="F548" s="17" t="n"/>
      <ns0:c r="G548" s="17" t="n"/>
      <ns0:c r="H548" s="17" t="n"/>
      <ns0:c r="I548" s="17" t="n"/>
      <ns0:c r="J548" s="17" t="n"/>
      <ns0:c r="K548" s="17" t="n"/>
      <ns0:c r="L548" s="17" t="n"/>
      <ns0:c r="M548" s="17" t="n"/>
      <ns0:c r="N548" s="17" t="n"/>
      <ns0:c r="O548" s="17" t="n"/>
      <ns0:c r="P548" s="17" t="n"/>
      <ns0:c r="Q548" s="17" t="n"/>
      <ns0:c r="R548" s="17" t="n"/>
      <ns0:c r="S548" s="17" t="n"/>
      <ns0:c r="T548" s="17" t="n"/>
      <ns0:c r="U548" s="17" t="n"/>
      <ns0:c r="V548" s="17" t="n"/>
      <ns0:c r="W548" s="17" t="n"/>
      <ns0:c r="X548" s="17" t="n"/>
      <ns0:c r="Y548" s="17" t="n"/>
      <ns0:c r="Z548" s="17" t="n"/>
      <ns0:c r="AA548" s="17" t="n"/>
      <ns0:c r="AB548" s="17" t="n"/>
      <ns0:c r="AC548" s="17" t="n"/>
      <ns0:c r="AD548" s="17" t="n"/>
      <ns0:c r="AE548" s="17" t="n"/>
      <ns0:c r="AF548" s="17" t="n"/>
      <ns0:c r="AG548" s="17" t="n"/>
    </ns0:row>
    <ns0:row r="549" ht="24" customHeight="1">
      <ns0:c r="D549" s="17" t="n"/>
      <ns0:c r="E549" s="17" t="n"/>
      <ns0:c r="F549" s="17" t="n"/>
      <ns0:c r="G549" s="17" t="n"/>
      <ns0:c r="H549" s="17" t="n"/>
      <ns0:c r="I549" s="17" t="n"/>
      <ns0:c r="J549" s="17" t="n"/>
      <ns0:c r="K549" s="17" t="n"/>
      <ns0:c r="L549" s="17" t="n"/>
      <ns0:c r="M549" s="17" t="n"/>
      <ns0:c r="N549" s="17" t="n"/>
      <ns0:c r="O549" s="17" t="n"/>
      <ns0:c r="P549" s="17" t="n"/>
      <ns0:c r="Q549" s="17" t="n"/>
      <ns0:c r="R549" s="17" t="n"/>
      <ns0:c r="S549" s="17" t="n"/>
      <ns0:c r="T549" s="17" t="n"/>
      <ns0:c r="U549" s="17" t="n"/>
      <ns0:c r="V549" s="17" t="n"/>
      <ns0:c r="W549" s="17" t="n"/>
      <ns0:c r="X549" s="17" t="n"/>
      <ns0:c r="Y549" s="17" t="n"/>
      <ns0:c r="Z549" s="17" t="n"/>
      <ns0:c r="AA549" s="17" t="n"/>
      <ns0:c r="AB549" s="17" t="n"/>
      <ns0:c r="AC549" s="17" t="n"/>
      <ns0:c r="AD549" s="17" t="n"/>
      <ns0:c r="AE549" s="17" t="n"/>
      <ns0:c r="AF549" s="17" t="n"/>
      <ns0:c r="AG549" s="17" t="n"/>
    </ns0:row>
    <ns0:row r="550" ht="24" customHeight="1">
      <ns0:c r="D550" s="17" t="n"/>
      <ns0:c r="E550" s="17" t="n"/>
      <ns0:c r="F550" s="17" t="n"/>
      <ns0:c r="G550" s="17" t="n"/>
      <ns0:c r="H550" s="17" t="n"/>
      <ns0:c r="I550" s="17" t="n"/>
      <ns0:c r="J550" s="17" t="n"/>
      <ns0:c r="K550" s="17" t="n"/>
      <ns0:c r="L550" s="17" t="n"/>
      <ns0:c r="M550" s="17" t="n"/>
      <ns0:c r="N550" s="17" t="n"/>
      <ns0:c r="O550" s="17" t="n"/>
      <ns0:c r="P550" s="17" t="n"/>
      <ns0:c r="Q550" s="17" t="n"/>
      <ns0:c r="R550" s="17" t="n"/>
      <ns0:c r="S550" s="17" t="n"/>
      <ns0:c r="T550" s="17" t="n"/>
      <ns0:c r="U550" s="17" t="n"/>
      <ns0:c r="V550" s="17" t="n"/>
      <ns0:c r="W550" s="17" t="n"/>
      <ns0:c r="X550" s="17" t="n"/>
      <ns0:c r="Y550" s="17" t="n"/>
      <ns0:c r="Z550" s="17" t="n"/>
      <ns0:c r="AA550" s="17" t="n"/>
      <ns0:c r="AB550" s="17" t="n"/>
      <ns0:c r="AC550" s="17" t="n"/>
      <ns0:c r="AD550" s="17" t="n"/>
      <ns0:c r="AE550" s="17" t="n"/>
      <ns0:c r="AF550" s="17" t="n"/>
      <ns0:c r="AG550" s="17" t="n"/>
    </ns0:row>
    <ns0:row r="551" ht="24" customHeight="1">
      <ns0:c r="D551" s="17" t="n"/>
      <ns0:c r="E551" s="17" t="n"/>
      <ns0:c r="F551" s="17" t="n"/>
      <ns0:c r="G551" s="17" t="n"/>
      <ns0:c r="H551" s="17" t="n"/>
      <ns0:c r="I551" s="17" t="n"/>
      <ns0:c r="J551" s="17" t="n"/>
      <ns0:c r="K551" s="17" t="n"/>
      <ns0:c r="L551" s="17" t="n"/>
      <ns0:c r="M551" s="17" t="n"/>
      <ns0:c r="N551" s="17" t="n"/>
      <ns0:c r="O551" s="17" t="n"/>
      <ns0:c r="P551" s="17" t="n"/>
      <ns0:c r="Q551" s="17" t="n"/>
      <ns0:c r="R551" s="17" t="n"/>
      <ns0:c r="S551" s="17" t="n"/>
      <ns0:c r="T551" s="17" t="n"/>
      <ns0:c r="U551" s="17" t="n"/>
      <ns0:c r="V551" s="17" t="n"/>
      <ns0:c r="W551" s="17" t="n"/>
      <ns0:c r="X551" s="17" t="n"/>
      <ns0:c r="Y551" s="17" t="n"/>
      <ns0:c r="Z551" s="17" t="n"/>
      <ns0:c r="AA551" s="17" t="n"/>
      <ns0:c r="AB551" s="17" t="n"/>
      <ns0:c r="AC551" s="17" t="n"/>
      <ns0:c r="AD551" s="17" t="n"/>
      <ns0:c r="AE551" s="17" t="n"/>
      <ns0:c r="AF551" s="17" t="n"/>
      <ns0:c r="AG551" s="17" t="n"/>
    </ns0:row>
    <ns0:row r="552" ht="24" customHeight="1">
      <ns0:c r="D552" s="17" t="n"/>
      <ns0:c r="E552" s="17" t="n"/>
      <ns0:c r="F552" s="17" t="n"/>
      <ns0:c r="G552" s="17" t="n"/>
      <ns0:c r="H552" s="17" t="n"/>
      <ns0:c r="I552" s="17" t="n"/>
      <ns0:c r="J552" s="17" t="n"/>
      <ns0:c r="K552" s="17" t="n"/>
      <ns0:c r="L552" s="17" t="n"/>
      <ns0:c r="M552" s="17" t="n"/>
      <ns0:c r="N552" s="17" t="n"/>
      <ns0:c r="O552" s="17" t="n"/>
      <ns0:c r="P552" s="17" t="n"/>
      <ns0:c r="Q552" s="17" t="n"/>
      <ns0:c r="R552" s="17" t="n"/>
      <ns0:c r="S552" s="17" t="n"/>
      <ns0:c r="T552" s="17" t="n"/>
      <ns0:c r="U552" s="17" t="n"/>
      <ns0:c r="V552" s="17" t="n"/>
      <ns0:c r="W552" s="17" t="n"/>
      <ns0:c r="X552" s="17" t="n"/>
      <ns0:c r="Y552" s="17" t="n"/>
      <ns0:c r="Z552" s="17" t="n"/>
      <ns0:c r="AA552" s="17" t="n"/>
      <ns0:c r="AB552" s="17" t="n"/>
      <ns0:c r="AC552" s="17" t="n"/>
      <ns0:c r="AD552" s="17" t="n"/>
      <ns0:c r="AE552" s="17" t="n"/>
      <ns0:c r="AF552" s="17" t="n"/>
      <ns0:c r="AG552" s="17" t="n"/>
    </ns0:row>
    <ns0:row r="553" ht="24" customHeight="1">
      <ns0:c r="D553" s="17" t="n"/>
      <ns0:c r="E553" s="17" t="n"/>
      <ns0:c r="F553" s="17" t="n"/>
      <ns0:c r="G553" s="17" t="n"/>
      <ns0:c r="H553" s="17" t="n"/>
      <ns0:c r="I553" s="17" t="n"/>
      <ns0:c r="J553" s="17" t="n"/>
      <ns0:c r="K553" s="17" t="n"/>
      <ns0:c r="L553" s="17" t="n"/>
      <ns0:c r="M553" s="17" t="n"/>
      <ns0:c r="N553" s="17" t="n"/>
      <ns0:c r="O553" s="17" t="n"/>
      <ns0:c r="P553" s="17" t="n"/>
      <ns0:c r="Q553" s="17" t="n"/>
      <ns0:c r="R553" s="17" t="n"/>
      <ns0:c r="S553" s="17" t="n"/>
      <ns0:c r="T553" s="17" t="n"/>
      <ns0:c r="U553" s="17" t="n"/>
      <ns0:c r="V553" s="17" t="n"/>
      <ns0:c r="W553" s="17" t="n"/>
      <ns0:c r="X553" s="17" t="n"/>
      <ns0:c r="Y553" s="17" t="n"/>
      <ns0:c r="Z553" s="17" t="n"/>
      <ns0:c r="AA553" s="17" t="n"/>
      <ns0:c r="AB553" s="17" t="n"/>
      <ns0:c r="AC553" s="17" t="n"/>
      <ns0:c r="AD553" s="17" t="n"/>
      <ns0:c r="AE553" s="17" t="n"/>
      <ns0:c r="AF553" s="17" t="n"/>
      <ns0:c r="AG553" s="17" t="n"/>
    </ns0:row>
    <ns0:row r="554" ht="24" customHeight="1">
      <ns0:c r="D554" s="17" t="n"/>
      <ns0:c r="E554" s="17" t="n"/>
      <ns0:c r="F554" s="17" t="n"/>
      <ns0:c r="G554" s="17" t="n"/>
      <ns0:c r="H554" s="17" t="n"/>
      <ns0:c r="I554" s="17" t="n"/>
      <ns0:c r="J554" s="17" t="n"/>
      <ns0:c r="K554" s="17" t="n"/>
      <ns0:c r="L554" s="17" t="n"/>
      <ns0:c r="M554" s="17" t="n"/>
      <ns0:c r="N554" s="17" t="n"/>
      <ns0:c r="O554" s="17" t="n"/>
      <ns0:c r="P554" s="17" t="n"/>
      <ns0:c r="Q554" s="17" t="n"/>
      <ns0:c r="R554" s="17" t="n"/>
      <ns0:c r="S554" s="17" t="n"/>
      <ns0:c r="T554" s="17" t="n"/>
      <ns0:c r="U554" s="17" t="n"/>
      <ns0:c r="V554" s="17" t="n"/>
      <ns0:c r="W554" s="17" t="n"/>
      <ns0:c r="X554" s="17" t="n"/>
      <ns0:c r="Y554" s="17" t="n"/>
      <ns0:c r="Z554" s="17" t="n"/>
      <ns0:c r="AA554" s="17" t="n"/>
      <ns0:c r="AB554" s="17" t="n"/>
      <ns0:c r="AC554" s="17" t="n"/>
      <ns0:c r="AD554" s="17" t="n"/>
      <ns0:c r="AE554" s="17" t="n"/>
      <ns0:c r="AF554" s="17" t="n"/>
      <ns0:c r="AG554" s="17" t="n"/>
    </ns0:row>
    <ns0:row r="555" ht="24" customHeight="1">
      <ns0:c r="D555" s="17" t="n"/>
      <ns0:c r="E555" s="17" t="n"/>
      <ns0:c r="F555" s="17" t="n"/>
      <ns0:c r="G555" s="17" t="n"/>
      <ns0:c r="H555" s="17" t="n"/>
      <ns0:c r="I555" s="17" t="n"/>
      <ns0:c r="J555" s="17" t="n"/>
      <ns0:c r="K555" s="17" t="n"/>
      <ns0:c r="L555" s="17" t="n"/>
      <ns0:c r="M555" s="17" t="n"/>
      <ns0:c r="N555" s="17" t="n"/>
      <ns0:c r="O555" s="17" t="n"/>
      <ns0:c r="P555" s="17" t="n"/>
      <ns0:c r="Q555" s="17" t="n"/>
      <ns0:c r="R555" s="17" t="n"/>
      <ns0:c r="S555" s="17" t="n"/>
      <ns0:c r="T555" s="17" t="n"/>
      <ns0:c r="U555" s="17" t="n"/>
      <ns0:c r="V555" s="17" t="n"/>
      <ns0:c r="W555" s="17" t="n"/>
      <ns0:c r="X555" s="17" t="n"/>
      <ns0:c r="Y555" s="17" t="n"/>
      <ns0:c r="Z555" s="17" t="n"/>
      <ns0:c r="AA555" s="17" t="n"/>
      <ns0:c r="AB555" s="17" t="n"/>
      <ns0:c r="AC555" s="17" t="n"/>
      <ns0:c r="AD555" s="17" t="n"/>
      <ns0:c r="AE555" s="17" t="n"/>
      <ns0:c r="AF555" s="17" t="n"/>
      <ns0:c r="AG555" s="17" t="n"/>
    </ns0:row>
    <ns0:row r="556" ht="24" customHeight="1">
      <ns0:c r="D556" s="17" t="n"/>
      <ns0:c r="E556" s="17" t="n"/>
      <ns0:c r="F556" s="17" t="n"/>
      <ns0:c r="G556" s="17" t="n"/>
      <ns0:c r="H556" s="17" t="n"/>
      <ns0:c r="I556" s="17" t="n"/>
      <ns0:c r="J556" s="17" t="n"/>
      <ns0:c r="K556" s="17" t="n"/>
      <ns0:c r="L556" s="17" t="n"/>
      <ns0:c r="M556" s="17" t="n"/>
      <ns0:c r="N556" s="17" t="n"/>
      <ns0:c r="O556" s="17" t="n"/>
      <ns0:c r="P556" s="17" t="n"/>
      <ns0:c r="Q556" s="17" t="n"/>
      <ns0:c r="R556" s="17" t="n"/>
      <ns0:c r="S556" s="17" t="n"/>
      <ns0:c r="T556" s="17" t="n"/>
      <ns0:c r="U556" s="17" t="n"/>
      <ns0:c r="V556" s="17" t="n"/>
      <ns0:c r="W556" s="17" t="n"/>
      <ns0:c r="X556" s="17" t="n"/>
      <ns0:c r="Y556" s="17" t="n"/>
      <ns0:c r="Z556" s="17" t="n"/>
      <ns0:c r="AA556" s="17" t="n"/>
      <ns0:c r="AB556" s="17" t="n"/>
      <ns0:c r="AC556" s="17" t="n"/>
      <ns0:c r="AD556" s="17" t="n"/>
      <ns0:c r="AE556" s="17" t="n"/>
      <ns0:c r="AF556" s="17" t="n"/>
      <ns0:c r="AG556" s="17" t="n"/>
    </ns0:row>
    <ns0:row r="557" ht="24" customHeight="1">
      <ns0:c r="D557" s="17" t="n"/>
      <ns0:c r="E557" s="17" t="n"/>
      <ns0:c r="F557" s="17" t="n"/>
      <ns0:c r="G557" s="17" t="n"/>
      <ns0:c r="H557" s="17" t="n"/>
      <ns0:c r="I557" s="17" t="n"/>
      <ns0:c r="J557" s="17" t="n"/>
      <ns0:c r="K557" s="17" t="n"/>
      <ns0:c r="L557" s="17" t="n"/>
      <ns0:c r="M557" s="17" t="n"/>
      <ns0:c r="N557" s="17" t="n"/>
      <ns0:c r="O557" s="17" t="n"/>
      <ns0:c r="P557" s="17" t="n"/>
      <ns0:c r="Q557" s="17" t="n"/>
      <ns0:c r="R557" s="17" t="n"/>
      <ns0:c r="S557" s="17" t="n"/>
      <ns0:c r="T557" s="17" t="n"/>
      <ns0:c r="U557" s="17" t="n"/>
      <ns0:c r="V557" s="17" t="n"/>
      <ns0:c r="W557" s="17" t="n"/>
      <ns0:c r="X557" s="17" t="n"/>
      <ns0:c r="Y557" s="17" t="n"/>
      <ns0:c r="Z557" s="17" t="n"/>
      <ns0:c r="AA557" s="17" t="n"/>
      <ns0:c r="AB557" s="17" t="n"/>
      <ns0:c r="AC557" s="17" t="n"/>
      <ns0:c r="AD557" s="17" t="n"/>
      <ns0:c r="AE557" s="17" t="n"/>
      <ns0:c r="AF557" s="17" t="n"/>
      <ns0:c r="AG557" s="17" t="n"/>
    </ns0:row>
    <ns0:row r="558" ht="24" customHeight="1">
      <ns0:c r="D558" s="17" t="n"/>
      <ns0:c r="E558" s="17" t="n"/>
      <ns0:c r="F558" s="17" t="n"/>
      <ns0:c r="G558" s="17" t="n"/>
      <ns0:c r="H558" s="17" t="n"/>
      <ns0:c r="I558" s="17" t="n"/>
      <ns0:c r="J558" s="17" t="n"/>
      <ns0:c r="K558" s="17" t="n"/>
      <ns0:c r="L558" s="17" t="n"/>
      <ns0:c r="M558" s="17" t="n"/>
      <ns0:c r="N558" s="17" t="n"/>
      <ns0:c r="O558" s="17" t="n"/>
      <ns0:c r="P558" s="17" t="n"/>
      <ns0:c r="Q558" s="17" t="n"/>
      <ns0:c r="R558" s="17" t="n"/>
      <ns0:c r="S558" s="17" t="n"/>
      <ns0:c r="T558" s="17" t="n"/>
      <ns0:c r="U558" s="17" t="n"/>
      <ns0:c r="V558" s="17" t="n"/>
      <ns0:c r="W558" s="17" t="n"/>
      <ns0:c r="X558" s="17" t="n"/>
      <ns0:c r="Y558" s="17" t="n"/>
      <ns0:c r="Z558" s="17" t="n"/>
      <ns0:c r="AA558" s="17" t="n"/>
      <ns0:c r="AB558" s="17" t="n"/>
      <ns0:c r="AC558" s="17" t="n"/>
      <ns0:c r="AD558" s="17" t="n"/>
      <ns0:c r="AE558" s="17" t="n"/>
      <ns0:c r="AF558" s="17" t="n"/>
      <ns0:c r="AG558" s="17" t="n"/>
    </ns0:row>
    <ns0:row r="559" ht="24" customHeight="1">
      <ns0:c r="D559" s="17" t="n"/>
      <ns0:c r="E559" s="17" t="n"/>
      <ns0:c r="F559" s="17" t="n"/>
      <ns0:c r="G559" s="17" t="n"/>
      <ns0:c r="H559" s="17" t="n"/>
      <ns0:c r="I559" s="17" t="n"/>
      <ns0:c r="J559" s="17" t="n"/>
      <ns0:c r="K559" s="17" t="n"/>
      <ns0:c r="L559" s="17" t="n"/>
      <ns0:c r="M559" s="17" t="n"/>
      <ns0:c r="N559" s="17" t="n"/>
      <ns0:c r="O559" s="17" t="n"/>
      <ns0:c r="P559" s="17" t="n"/>
      <ns0:c r="Q559" s="17" t="n"/>
      <ns0:c r="R559" s="17" t="n"/>
      <ns0:c r="S559" s="17" t="n"/>
      <ns0:c r="T559" s="17" t="n"/>
      <ns0:c r="U559" s="17" t="n"/>
      <ns0:c r="V559" s="17" t="n"/>
      <ns0:c r="W559" s="17" t="n"/>
      <ns0:c r="X559" s="17" t="n"/>
      <ns0:c r="Y559" s="17" t="n"/>
      <ns0:c r="Z559" s="17" t="n"/>
      <ns0:c r="AA559" s="17" t="n"/>
      <ns0:c r="AB559" s="17" t="n"/>
      <ns0:c r="AC559" s="17" t="n"/>
      <ns0:c r="AD559" s="17" t="n"/>
      <ns0:c r="AE559" s="17" t="n"/>
      <ns0:c r="AF559" s="17" t="n"/>
      <ns0:c r="AG559" s="17" t="n"/>
    </ns0:row>
    <ns0:row r="560" ht="24" customHeight="1">
      <ns0:c r="D560" s="17" t="n"/>
      <ns0:c r="E560" s="17" t="n"/>
      <ns0:c r="F560" s="17" t="n"/>
      <ns0:c r="G560" s="17" t="n"/>
      <ns0:c r="H560" s="17" t="n"/>
      <ns0:c r="I560" s="17" t="n"/>
      <ns0:c r="J560" s="17" t="n"/>
      <ns0:c r="K560" s="17" t="n"/>
      <ns0:c r="L560" s="17" t="n"/>
      <ns0:c r="M560" s="17" t="n"/>
      <ns0:c r="N560" s="17" t="n"/>
      <ns0:c r="O560" s="17" t="n"/>
      <ns0:c r="P560" s="17" t="n"/>
      <ns0:c r="Q560" s="17" t="n"/>
      <ns0:c r="R560" s="17" t="n"/>
      <ns0:c r="S560" s="17" t="n"/>
      <ns0:c r="T560" s="17" t="n"/>
      <ns0:c r="U560" s="17" t="n"/>
      <ns0:c r="V560" s="17" t="n"/>
      <ns0:c r="W560" s="17" t="n"/>
      <ns0:c r="X560" s="17" t="n"/>
      <ns0:c r="Y560" s="17" t="n"/>
      <ns0:c r="Z560" s="17" t="n"/>
      <ns0:c r="AA560" s="17" t="n"/>
      <ns0:c r="AB560" s="17" t="n"/>
      <ns0:c r="AC560" s="17" t="n"/>
      <ns0:c r="AD560" s="17" t="n"/>
      <ns0:c r="AE560" s="17" t="n"/>
      <ns0:c r="AF560" s="17" t="n"/>
      <ns0:c r="AG560" s="17" t="n"/>
    </ns0:row>
    <ns0:row r="561" ht="24" customHeight="1">
      <ns0:c r="D561" s="17" t="n"/>
      <ns0:c r="E561" s="17" t="n"/>
      <ns0:c r="F561" s="17" t="n"/>
      <ns0:c r="G561" s="17" t="n"/>
      <ns0:c r="H561" s="17" t="n"/>
      <ns0:c r="I561" s="17" t="n"/>
      <ns0:c r="J561" s="17" t="n"/>
      <ns0:c r="K561" s="17" t="n"/>
      <ns0:c r="L561" s="17" t="n"/>
      <ns0:c r="M561" s="17" t="n"/>
      <ns0:c r="N561" s="17" t="n"/>
      <ns0:c r="O561" s="17" t="n"/>
      <ns0:c r="P561" s="17" t="n"/>
      <ns0:c r="Q561" s="17" t="n"/>
      <ns0:c r="R561" s="17" t="n"/>
      <ns0:c r="S561" s="17" t="n"/>
      <ns0:c r="T561" s="17" t="n"/>
      <ns0:c r="U561" s="17" t="n"/>
      <ns0:c r="V561" s="17" t="n"/>
      <ns0:c r="W561" s="17" t="n"/>
      <ns0:c r="X561" s="17" t="n"/>
      <ns0:c r="Y561" s="17" t="n"/>
      <ns0:c r="Z561" s="17" t="n"/>
      <ns0:c r="AA561" s="17" t="n"/>
      <ns0:c r="AB561" s="17" t="n"/>
      <ns0:c r="AC561" s="17" t="n"/>
      <ns0:c r="AD561" s="17" t="n"/>
      <ns0:c r="AE561" s="17" t="n"/>
      <ns0:c r="AF561" s="17" t="n"/>
      <ns0:c r="AG561" s="17" t="n"/>
    </ns0:row>
    <ns0:row r="562" ht="24" customHeight="1">
      <ns0:c r="D562" s="17" t="n"/>
      <ns0:c r="E562" s="17" t="n"/>
      <ns0:c r="F562" s="17" t="n"/>
      <ns0:c r="G562" s="17" t="n"/>
      <ns0:c r="H562" s="17" t="n"/>
      <ns0:c r="I562" s="17" t="n"/>
      <ns0:c r="J562" s="17" t="n"/>
      <ns0:c r="K562" s="17" t="n"/>
      <ns0:c r="L562" s="17" t="n"/>
      <ns0:c r="M562" s="17" t="n"/>
      <ns0:c r="N562" s="17" t="n"/>
      <ns0:c r="O562" s="17" t="n"/>
      <ns0:c r="P562" s="17" t="n"/>
      <ns0:c r="Q562" s="17" t="n"/>
      <ns0:c r="R562" s="17" t="n"/>
      <ns0:c r="S562" s="17" t="n"/>
      <ns0:c r="T562" s="17" t="n"/>
      <ns0:c r="U562" s="17" t="n"/>
      <ns0:c r="V562" s="17" t="n"/>
      <ns0:c r="W562" s="17" t="n"/>
      <ns0:c r="X562" s="17" t="n"/>
      <ns0:c r="Y562" s="17" t="n"/>
      <ns0:c r="Z562" s="17" t="n"/>
      <ns0:c r="AA562" s="17" t="n"/>
      <ns0:c r="AB562" s="17" t="n"/>
      <ns0:c r="AC562" s="17" t="n"/>
      <ns0:c r="AD562" s="17" t="n"/>
      <ns0:c r="AE562" s="17" t="n"/>
      <ns0:c r="AF562" s="17" t="n"/>
      <ns0:c r="AG562" s="17" t="n"/>
    </ns0:row>
    <ns0:row r="563" ht="24" customHeight="1">
      <ns0:c r="D563" s="17" t="n"/>
      <ns0:c r="E563" s="17" t="n"/>
      <ns0:c r="F563" s="17" t="n"/>
      <ns0:c r="G563" s="17" t="n"/>
      <ns0:c r="H563" s="17" t="n"/>
      <ns0:c r="I563" s="17" t="n"/>
      <ns0:c r="J563" s="17" t="n"/>
      <ns0:c r="K563" s="17" t="n"/>
      <ns0:c r="L563" s="17" t="n"/>
      <ns0:c r="M563" s="17" t="n"/>
      <ns0:c r="N563" s="17" t="n"/>
      <ns0:c r="O563" s="17" t="n"/>
      <ns0:c r="P563" s="17" t="n"/>
      <ns0:c r="Q563" s="17" t="n"/>
      <ns0:c r="R563" s="17" t="n"/>
      <ns0:c r="S563" s="17" t="n"/>
      <ns0:c r="T563" s="17" t="n"/>
      <ns0:c r="U563" s="17" t="n"/>
      <ns0:c r="V563" s="17" t="n"/>
      <ns0:c r="W563" s="17" t="n"/>
      <ns0:c r="X563" s="17" t="n"/>
      <ns0:c r="Y563" s="17" t="n"/>
      <ns0:c r="Z563" s="17" t="n"/>
      <ns0:c r="AA563" s="17" t="n"/>
      <ns0:c r="AB563" s="17" t="n"/>
      <ns0:c r="AC563" s="17" t="n"/>
      <ns0:c r="AD563" s="17" t="n"/>
      <ns0:c r="AE563" s="17" t="n"/>
      <ns0:c r="AF563" s="17" t="n"/>
      <ns0:c r="AG563" s="17" t="n"/>
    </ns0:row>
    <ns0:row r="564" ht="24" customHeight="1">
      <ns0:c r="D564" s="17" t="n"/>
      <ns0:c r="E564" s="17" t="n"/>
      <ns0:c r="F564" s="17" t="n"/>
      <ns0:c r="G564" s="17" t="n"/>
      <ns0:c r="H564" s="17" t="n"/>
      <ns0:c r="I564" s="17" t="n"/>
      <ns0:c r="J564" s="17" t="n"/>
      <ns0:c r="K564" s="17" t="n"/>
      <ns0:c r="L564" s="17" t="n"/>
      <ns0:c r="M564" s="17" t="n"/>
      <ns0:c r="N564" s="17" t="n"/>
      <ns0:c r="O564" s="17" t="n"/>
      <ns0:c r="P564" s="17" t="n"/>
      <ns0:c r="Q564" s="17" t="n"/>
      <ns0:c r="R564" s="17" t="n"/>
      <ns0:c r="S564" s="17" t="n"/>
      <ns0:c r="T564" s="17" t="n"/>
      <ns0:c r="U564" s="17" t="n"/>
      <ns0:c r="V564" s="17" t="n"/>
      <ns0:c r="W564" s="17" t="n"/>
      <ns0:c r="X564" s="17" t="n"/>
      <ns0:c r="Y564" s="17" t="n"/>
      <ns0:c r="Z564" s="17" t="n"/>
      <ns0:c r="AA564" s="17" t="n"/>
      <ns0:c r="AB564" s="17" t="n"/>
      <ns0:c r="AC564" s="17" t="n"/>
      <ns0:c r="AD564" s="17" t="n"/>
      <ns0:c r="AE564" s="17" t="n"/>
      <ns0:c r="AF564" s="17" t="n"/>
      <ns0:c r="AG564" s="17" t="n"/>
    </ns0:row>
    <ns0:row r="565" ht="24" customHeight="1">
      <ns0:c r="D565" s="17" t="n"/>
      <ns0:c r="E565" s="17" t="n"/>
      <ns0:c r="F565" s="17" t="n"/>
      <ns0:c r="G565" s="17" t="n"/>
      <ns0:c r="H565" s="17" t="n"/>
      <ns0:c r="I565" s="17" t="n"/>
      <ns0:c r="J565" s="17" t="n"/>
      <ns0:c r="K565" s="17" t="n"/>
      <ns0:c r="L565" s="17" t="n"/>
      <ns0:c r="M565" s="17" t="n"/>
      <ns0:c r="N565" s="17" t="n"/>
      <ns0:c r="O565" s="17" t="n"/>
      <ns0:c r="P565" s="17" t="n"/>
      <ns0:c r="Q565" s="17" t="n"/>
      <ns0:c r="R565" s="17" t="n"/>
      <ns0:c r="S565" s="17" t="n"/>
      <ns0:c r="T565" s="17" t="n"/>
      <ns0:c r="U565" s="17" t="n"/>
      <ns0:c r="V565" s="17" t="n"/>
      <ns0:c r="W565" s="17" t="n"/>
      <ns0:c r="X565" s="17" t="n"/>
      <ns0:c r="Y565" s="17" t="n"/>
      <ns0:c r="Z565" s="17" t="n"/>
      <ns0:c r="AA565" s="17" t="n"/>
      <ns0:c r="AB565" s="17" t="n"/>
      <ns0:c r="AC565" s="17" t="n"/>
      <ns0:c r="AD565" s="17" t="n"/>
      <ns0:c r="AE565" s="17" t="n"/>
      <ns0:c r="AF565" s="17" t="n"/>
      <ns0:c r="AG565" s="17" t="n"/>
    </ns0:row>
    <ns0:row r="566" ht="24" customHeight="1">
      <ns0:c r="D566" s="17" t="n"/>
      <ns0:c r="E566" s="17" t="n"/>
      <ns0:c r="F566" s="17" t="n"/>
      <ns0:c r="G566" s="17" t="n"/>
      <ns0:c r="H566" s="17" t="n"/>
      <ns0:c r="I566" s="17" t="n"/>
      <ns0:c r="J566" s="17" t="n"/>
      <ns0:c r="K566" s="17" t="n"/>
      <ns0:c r="L566" s="17" t="n"/>
      <ns0:c r="M566" s="17" t="n"/>
      <ns0:c r="N566" s="17" t="n"/>
      <ns0:c r="O566" s="17" t="n"/>
      <ns0:c r="P566" s="17" t="n"/>
      <ns0:c r="Q566" s="17" t="n"/>
      <ns0:c r="R566" s="17" t="n"/>
      <ns0:c r="S566" s="17" t="n"/>
      <ns0:c r="T566" s="17" t="n"/>
      <ns0:c r="U566" s="17" t="n"/>
      <ns0:c r="V566" s="17" t="n"/>
      <ns0:c r="W566" s="17" t="n"/>
      <ns0:c r="X566" s="17" t="n"/>
      <ns0:c r="Y566" s="17" t="n"/>
      <ns0:c r="Z566" s="17" t="n"/>
      <ns0:c r="AA566" s="17" t="n"/>
      <ns0:c r="AB566" s="17" t="n"/>
      <ns0:c r="AC566" s="17" t="n"/>
      <ns0:c r="AD566" s="17" t="n"/>
      <ns0:c r="AE566" s="17" t="n"/>
      <ns0:c r="AF566" s="17" t="n"/>
      <ns0:c r="AG566" s="17" t="n"/>
    </ns0:row>
    <ns0:row r="567" ht="24" customHeight="1">
      <ns0:c r="D567" s="17" t="n"/>
      <ns0:c r="E567" s="17" t="n"/>
      <ns0:c r="F567" s="17" t="n"/>
      <ns0:c r="G567" s="17" t="n"/>
      <ns0:c r="H567" s="17" t="n"/>
      <ns0:c r="I567" s="17" t="n"/>
      <ns0:c r="J567" s="17" t="n"/>
      <ns0:c r="K567" s="17" t="n"/>
      <ns0:c r="L567" s="17" t="n"/>
      <ns0:c r="M567" s="17" t="n"/>
      <ns0:c r="N567" s="17" t="n"/>
      <ns0:c r="O567" s="17" t="n"/>
      <ns0:c r="P567" s="17" t="n"/>
      <ns0:c r="Q567" s="17" t="n"/>
      <ns0:c r="R567" s="17" t="n"/>
      <ns0:c r="S567" s="17" t="n"/>
      <ns0:c r="T567" s="17" t="n"/>
      <ns0:c r="U567" s="17" t="n"/>
      <ns0:c r="V567" s="17" t="n"/>
      <ns0:c r="W567" s="17" t="n"/>
      <ns0:c r="X567" s="17" t="n"/>
      <ns0:c r="Y567" s="17" t="n"/>
      <ns0:c r="Z567" s="17" t="n"/>
      <ns0:c r="AA567" s="17" t="n"/>
      <ns0:c r="AB567" s="17" t="n"/>
      <ns0:c r="AC567" s="17" t="n"/>
      <ns0:c r="AD567" s="17" t="n"/>
      <ns0:c r="AE567" s="17" t="n"/>
      <ns0:c r="AF567" s="17" t="n"/>
      <ns0:c r="AG567" s="17" t="n"/>
    </ns0:row>
    <ns0:row r="568" ht="24" customHeight="1">
      <ns0:c r="D568" s="17" t="n"/>
      <ns0:c r="E568" s="17" t="n"/>
      <ns0:c r="F568" s="17" t="n"/>
      <ns0:c r="G568" s="17" t="n"/>
      <ns0:c r="H568" s="17" t="n"/>
      <ns0:c r="I568" s="17" t="n"/>
      <ns0:c r="J568" s="17" t="n"/>
      <ns0:c r="K568" s="17" t="n"/>
      <ns0:c r="L568" s="17" t="n"/>
      <ns0:c r="M568" s="17" t="n"/>
      <ns0:c r="N568" s="17" t="n"/>
      <ns0:c r="O568" s="17" t="n"/>
      <ns0:c r="P568" s="17" t="n"/>
      <ns0:c r="Q568" s="17" t="n"/>
      <ns0:c r="R568" s="17" t="n"/>
      <ns0:c r="S568" s="17" t="n"/>
      <ns0:c r="T568" s="17" t="n"/>
      <ns0:c r="U568" s="17" t="n"/>
      <ns0:c r="V568" s="17" t="n"/>
      <ns0:c r="W568" s="17" t="n"/>
      <ns0:c r="X568" s="17" t="n"/>
      <ns0:c r="Y568" s="17" t="n"/>
      <ns0:c r="Z568" s="17" t="n"/>
      <ns0:c r="AA568" s="17" t="n"/>
      <ns0:c r="AB568" s="17" t="n"/>
      <ns0:c r="AC568" s="17" t="n"/>
      <ns0:c r="AD568" s="17" t="n"/>
      <ns0:c r="AE568" s="17" t="n"/>
      <ns0:c r="AF568" s="17" t="n"/>
      <ns0:c r="AG568" s="17" t="n"/>
    </ns0:row>
    <ns0:row r="569" ht="24" customHeight="1">
      <ns0:c r="D569" s="17" t="n"/>
      <ns0:c r="E569" s="17" t="n"/>
      <ns0:c r="F569" s="17" t="n"/>
      <ns0:c r="G569" s="17" t="n"/>
      <ns0:c r="H569" s="17" t="n"/>
      <ns0:c r="I569" s="17" t="n"/>
      <ns0:c r="J569" s="17" t="n"/>
      <ns0:c r="K569" s="17" t="n"/>
      <ns0:c r="L569" s="17" t="n"/>
      <ns0:c r="M569" s="17" t="n"/>
      <ns0:c r="N569" s="17" t="n"/>
      <ns0:c r="O569" s="17" t="n"/>
      <ns0:c r="P569" s="17" t="n"/>
      <ns0:c r="Q569" s="17" t="n"/>
      <ns0:c r="R569" s="17" t="n"/>
      <ns0:c r="S569" s="17" t="n"/>
      <ns0:c r="T569" s="17" t="n"/>
      <ns0:c r="U569" s="17" t="n"/>
      <ns0:c r="V569" s="17" t="n"/>
      <ns0:c r="W569" s="17" t="n"/>
      <ns0:c r="X569" s="17" t="n"/>
      <ns0:c r="Y569" s="17" t="n"/>
      <ns0:c r="Z569" s="17" t="n"/>
      <ns0:c r="AA569" s="17" t="n"/>
      <ns0:c r="AB569" s="17" t="n"/>
      <ns0:c r="AC569" s="17" t="n"/>
      <ns0:c r="AD569" s="17" t="n"/>
      <ns0:c r="AE569" s="17" t="n"/>
      <ns0:c r="AF569" s="17" t="n"/>
      <ns0:c r="AG569" s="17" t="n"/>
    </ns0:row>
    <ns0:row r="570" ht="24" customHeight="1">
      <ns0:c r="D570" s="17" t="n"/>
      <ns0:c r="E570" s="17" t="n"/>
      <ns0:c r="F570" s="17" t="n"/>
      <ns0:c r="G570" s="17" t="n"/>
      <ns0:c r="H570" s="17" t="n"/>
      <ns0:c r="I570" s="17" t="n"/>
      <ns0:c r="J570" s="17" t="n"/>
      <ns0:c r="K570" s="17" t="n"/>
      <ns0:c r="L570" s="17" t="n"/>
      <ns0:c r="M570" s="17" t="n"/>
      <ns0:c r="N570" s="17" t="n"/>
      <ns0:c r="O570" s="17" t="n"/>
      <ns0:c r="P570" s="17" t="n"/>
      <ns0:c r="Q570" s="17" t="n"/>
      <ns0:c r="R570" s="17" t="n"/>
      <ns0:c r="S570" s="17" t="n"/>
      <ns0:c r="T570" s="17" t="n"/>
      <ns0:c r="U570" s="17" t="n"/>
      <ns0:c r="V570" s="17" t="n"/>
      <ns0:c r="W570" s="17" t="n"/>
      <ns0:c r="X570" s="17" t="n"/>
      <ns0:c r="Y570" s="17" t="n"/>
      <ns0:c r="Z570" s="17" t="n"/>
      <ns0:c r="AA570" s="17" t="n"/>
      <ns0:c r="AB570" s="17" t="n"/>
      <ns0:c r="AC570" s="17" t="n"/>
      <ns0:c r="AD570" s="17" t="n"/>
      <ns0:c r="AE570" s="17" t="n"/>
      <ns0:c r="AF570" s="17" t="n"/>
      <ns0:c r="AG570" s="17" t="n"/>
    </ns0:row>
    <ns0:row r="571" ht="24" customHeight="1">
      <ns0:c r="D571" s="17" t="n"/>
      <ns0:c r="E571" s="17" t="n"/>
      <ns0:c r="F571" s="17" t="n"/>
      <ns0:c r="G571" s="17" t="n"/>
      <ns0:c r="H571" s="17" t="n"/>
      <ns0:c r="I571" s="17" t="n"/>
      <ns0:c r="J571" s="17" t="n"/>
      <ns0:c r="K571" s="17" t="n"/>
      <ns0:c r="L571" s="17" t="n"/>
      <ns0:c r="M571" s="17" t="n"/>
      <ns0:c r="N571" s="17" t="n"/>
      <ns0:c r="O571" s="17" t="n"/>
      <ns0:c r="P571" s="17" t="n"/>
      <ns0:c r="Q571" s="17" t="n"/>
      <ns0:c r="R571" s="17" t="n"/>
      <ns0:c r="S571" s="17" t="n"/>
      <ns0:c r="T571" s="17" t="n"/>
      <ns0:c r="U571" s="17" t="n"/>
      <ns0:c r="V571" s="17" t="n"/>
      <ns0:c r="W571" s="17" t="n"/>
      <ns0:c r="X571" s="17" t="n"/>
      <ns0:c r="Y571" s="17" t="n"/>
      <ns0:c r="Z571" s="17" t="n"/>
      <ns0:c r="AA571" s="17" t="n"/>
      <ns0:c r="AB571" s="17" t="n"/>
      <ns0:c r="AC571" s="17" t="n"/>
      <ns0:c r="AD571" s="17" t="n"/>
      <ns0:c r="AE571" s="17" t="n"/>
      <ns0:c r="AF571" s="17" t="n"/>
      <ns0:c r="AG571" s="17" t="n"/>
    </ns0:row>
    <ns0:row r="572" ht="24" customHeight="1">
      <ns0:c r="D572" s="17" t="n"/>
      <ns0:c r="E572" s="17" t="n"/>
      <ns0:c r="F572" s="17" t="n"/>
      <ns0:c r="G572" s="17" t="n"/>
      <ns0:c r="H572" s="17" t="n"/>
      <ns0:c r="I572" s="17" t="n"/>
      <ns0:c r="J572" s="17" t="n"/>
      <ns0:c r="K572" s="17" t="n"/>
      <ns0:c r="L572" s="17" t="n"/>
      <ns0:c r="M572" s="17" t="n"/>
      <ns0:c r="N572" s="17" t="n"/>
      <ns0:c r="O572" s="17" t="n"/>
      <ns0:c r="P572" s="17" t="n"/>
      <ns0:c r="Q572" s="17" t="n"/>
      <ns0:c r="R572" s="17" t="n"/>
      <ns0:c r="S572" s="17" t="n"/>
      <ns0:c r="T572" s="17" t="n"/>
      <ns0:c r="U572" s="17" t="n"/>
      <ns0:c r="V572" s="17" t="n"/>
      <ns0:c r="W572" s="17" t="n"/>
      <ns0:c r="X572" s="17" t="n"/>
      <ns0:c r="Y572" s="17" t="n"/>
      <ns0:c r="Z572" s="17" t="n"/>
      <ns0:c r="AA572" s="17" t="n"/>
      <ns0:c r="AB572" s="17" t="n"/>
      <ns0:c r="AC572" s="17" t="n"/>
      <ns0:c r="AD572" s="17" t="n"/>
      <ns0:c r="AE572" s="17" t="n"/>
      <ns0:c r="AF572" s="17" t="n"/>
      <ns0:c r="AG572" s="17" t="n"/>
    </ns0:row>
    <ns0:row r="573" ht="24" customHeight="1">
      <ns0:c r="D573" s="17" t="n"/>
      <ns0:c r="E573" s="17" t="n"/>
      <ns0:c r="F573" s="17" t="n"/>
      <ns0:c r="G573" s="17" t="n"/>
      <ns0:c r="H573" s="17" t="n"/>
      <ns0:c r="I573" s="17" t="n"/>
      <ns0:c r="J573" s="17" t="n"/>
      <ns0:c r="K573" s="17" t="n"/>
      <ns0:c r="L573" s="17" t="n"/>
      <ns0:c r="M573" s="17" t="n"/>
      <ns0:c r="N573" s="17" t="n"/>
      <ns0:c r="O573" s="17" t="n"/>
      <ns0:c r="P573" s="17" t="n"/>
      <ns0:c r="Q573" s="17" t="n"/>
      <ns0:c r="R573" s="17" t="n"/>
      <ns0:c r="S573" s="17" t="n"/>
      <ns0:c r="T573" s="17" t="n"/>
      <ns0:c r="U573" s="17" t="n"/>
      <ns0:c r="V573" s="17" t="n"/>
      <ns0:c r="W573" s="17" t="n"/>
      <ns0:c r="X573" s="17" t="n"/>
      <ns0:c r="Y573" s="17" t="n"/>
      <ns0:c r="Z573" s="17" t="n"/>
      <ns0:c r="AA573" s="17" t="n"/>
      <ns0:c r="AB573" s="17" t="n"/>
      <ns0:c r="AC573" s="17" t="n"/>
      <ns0:c r="AD573" s="17" t="n"/>
      <ns0:c r="AE573" s="17" t="n"/>
      <ns0:c r="AF573" s="17" t="n"/>
      <ns0:c r="AG573" s="17" t="n"/>
    </ns0:row>
    <ns0:row r="574" ht="24" customHeight="1">
      <ns0:c r="D574" s="17" t="n"/>
      <ns0:c r="E574" s="17" t="n"/>
      <ns0:c r="F574" s="17" t="n"/>
      <ns0:c r="G574" s="17" t="n"/>
      <ns0:c r="H574" s="17" t="n"/>
      <ns0:c r="I574" s="17" t="n"/>
      <ns0:c r="J574" s="17" t="n"/>
      <ns0:c r="K574" s="17" t="n"/>
      <ns0:c r="L574" s="17" t="n"/>
      <ns0:c r="M574" s="17" t="n"/>
      <ns0:c r="N574" s="17" t="n"/>
      <ns0:c r="O574" s="17" t="n"/>
      <ns0:c r="P574" s="17" t="n"/>
      <ns0:c r="Q574" s="17" t="n"/>
      <ns0:c r="R574" s="17" t="n"/>
      <ns0:c r="S574" s="17" t="n"/>
      <ns0:c r="T574" s="17" t="n"/>
      <ns0:c r="U574" s="17" t="n"/>
      <ns0:c r="V574" s="17" t="n"/>
      <ns0:c r="W574" s="17" t="n"/>
      <ns0:c r="X574" s="17" t="n"/>
      <ns0:c r="Y574" s="17" t="n"/>
      <ns0:c r="Z574" s="17" t="n"/>
      <ns0:c r="AA574" s="17" t="n"/>
      <ns0:c r="AB574" s="17" t="n"/>
      <ns0:c r="AC574" s="17" t="n"/>
      <ns0:c r="AD574" s="17" t="n"/>
      <ns0:c r="AE574" s="17" t="n"/>
      <ns0:c r="AF574" s="17" t="n"/>
      <ns0:c r="AG574" s="17" t="n"/>
    </ns0:row>
    <ns0:row r="575" ht="24" customHeight="1">
      <ns0:c r="D575" s="17" t="n"/>
      <ns0:c r="E575" s="17" t="n"/>
      <ns0:c r="F575" s="17" t="n"/>
      <ns0:c r="G575" s="17" t="n"/>
      <ns0:c r="H575" s="17" t="n"/>
      <ns0:c r="I575" s="17" t="n"/>
      <ns0:c r="J575" s="17" t="n"/>
      <ns0:c r="K575" s="17" t="n"/>
      <ns0:c r="L575" s="17" t="n"/>
      <ns0:c r="M575" s="17" t="n"/>
      <ns0:c r="N575" s="17" t="n"/>
      <ns0:c r="O575" s="17" t="n"/>
      <ns0:c r="P575" s="17" t="n"/>
      <ns0:c r="Q575" s="17" t="n"/>
      <ns0:c r="R575" s="17" t="n"/>
      <ns0:c r="S575" s="17" t="n"/>
      <ns0:c r="T575" s="17" t="n"/>
      <ns0:c r="U575" s="17" t="n"/>
      <ns0:c r="V575" s="17" t="n"/>
      <ns0:c r="W575" s="17" t="n"/>
      <ns0:c r="X575" s="17" t="n"/>
      <ns0:c r="Y575" s="17" t="n"/>
      <ns0:c r="Z575" s="17" t="n"/>
      <ns0:c r="AA575" s="17" t="n"/>
      <ns0:c r="AB575" s="17" t="n"/>
      <ns0:c r="AC575" s="17" t="n"/>
      <ns0:c r="AD575" s="17" t="n"/>
      <ns0:c r="AE575" s="17" t="n"/>
      <ns0:c r="AF575" s="17" t="n"/>
      <ns0:c r="AG575" s="17" t="n"/>
    </ns0:row>
    <ns0:row r="576" ht="24" customHeight="1">
      <ns0:c r="D576" s="17" t="n"/>
      <ns0:c r="E576" s="17" t="n"/>
      <ns0:c r="F576" s="17" t="n"/>
      <ns0:c r="G576" s="17" t="n"/>
      <ns0:c r="H576" s="17" t="n"/>
      <ns0:c r="I576" s="17" t="n"/>
      <ns0:c r="J576" s="17" t="n"/>
      <ns0:c r="K576" s="17" t="n"/>
      <ns0:c r="L576" s="17" t="n"/>
      <ns0:c r="M576" s="17" t="n"/>
      <ns0:c r="N576" s="17" t="n"/>
      <ns0:c r="O576" s="17" t="n"/>
      <ns0:c r="P576" s="17" t="n"/>
      <ns0:c r="Q576" s="17" t="n"/>
      <ns0:c r="R576" s="17" t="n"/>
      <ns0:c r="S576" s="17" t="n"/>
      <ns0:c r="T576" s="17" t="n"/>
      <ns0:c r="U576" s="17" t="n"/>
      <ns0:c r="V576" s="17" t="n"/>
      <ns0:c r="W576" s="17" t="n"/>
      <ns0:c r="X576" s="17" t="n"/>
      <ns0:c r="Y576" s="17" t="n"/>
      <ns0:c r="Z576" s="17" t="n"/>
      <ns0:c r="AA576" s="17" t="n"/>
      <ns0:c r="AB576" s="17" t="n"/>
      <ns0:c r="AC576" s="17" t="n"/>
      <ns0:c r="AD576" s="17" t="n"/>
      <ns0:c r="AE576" s="17" t="n"/>
      <ns0:c r="AF576" s="17" t="n"/>
      <ns0:c r="AG576" s="17" t="n"/>
    </ns0:row>
    <ns0:row r="577" ht="24" customHeight="1">
      <ns0:c r="D577" s="17" t="n"/>
      <ns0:c r="E577" s="17" t="n"/>
      <ns0:c r="F577" s="17" t="n"/>
      <ns0:c r="G577" s="17" t="n"/>
      <ns0:c r="H577" s="17" t="n"/>
      <ns0:c r="I577" s="17" t="n"/>
      <ns0:c r="J577" s="17" t="n"/>
      <ns0:c r="K577" s="17" t="n"/>
      <ns0:c r="L577" s="17" t="n"/>
      <ns0:c r="M577" s="17" t="n"/>
      <ns0:c r="N577" s="17" t="n"/>
      <ns0:c r="O577" s="17" t="n"/>
      <ns0:c r="P577" s="17" t="n"/>
      <ns0:c r="Q577" s="17" t="n"/>
      <ns0:c r="R577" s="17" t="n"/>
      <ns0:c r="S577" s="17" t="n"/>
      <ns0:c r="T577" s="17" t="n"/>
      <ns0:c r="U577" s="17" t="n"/>
      <ns0:c r="V577" s="17" t="n"/>
      <ns0:c r="W577" s="17" t="n"/>
      <ns0:c r="X577" s="17" t="n"/>
      <ns0:c r="Y577" s="17" t="n"/>
      <ns0:c r="Z577" s="17" t="n"/>
      <ns0:c r="AA577" s="17" t="n"/>
      <ns0:c r="AB577" s="17" t="n"/>
      <ns0:c r="AC577" s="17" t="n"/>
      <ns0:c r="AD577" s="17" t="n"/>
      <ns0:c r="AE577" s="17" t="n"/>
      <ns0:c r="AF577" s="17" t="n"/>
      <ns0:c r="AG577" s="17" t="n"/>
    </ns0:row>
    <ns0:row r="578" ht="24" customHeight="1">
      <ns0:c r="D578" s="17" t="n"/>
      <ns0:c r="E578" s="17" t="n"/>
      <ns0:c r="F578" s="17" t="n"/>
      <ns0:c r="G578" s="17" t="n"/>
      <ns0:c r="H578" s="17" t="n"/>
      <ns0:c r="I578" s="17" t="n"/>
      <ns0:c r="J578" s="17" t="n"/>
      <ns0:c r="K578" s="17" t="n"/>
      <ns0:c r="L578" s="17" t="n"/>
      <ns0:c r="M578" s="17" t="n"/>
      <ns0:c r="N578" s="17" t="n"/>
      <ns0:c r="O578" s="17" t="n"/>
      <ns0:c r="P578" s="17" t="n"/>
      <ns0:c r="Q578" s="17" t="n"/>
      <ns0:c r="R578" s="17" t="n"/>
      <ns0:c r="S578" s="17" t="n"/>
      <ns0:c r="T578" s="17" t="n"/>
      <ns0:c r="U578" s="17" t="n"/>
      <ns0:c r="V578" s="17" t="n"/>
      <ns0:c r="W578" s="17" t="n"/>
      <ns0:c r="X578" s="17" t="n"/>
      <ns0:c r="Y578" s="17" t="n"/>
      <ns0:c r="Z578" s="17" t="n"/>
      <ns0:c r="AA578" s="17" t="n"/>
      <ns0:c r="AB578" s="17" t="n"/>
      <ns0:c r="AC578" s="17" t="n"/>
      <ns0:c r="AD578" s="17" t="n"/>
      <ns0:c r="AE578" s="17" t="n"/>
      <ns0:c r="AF578" s="17" t="n"/>
      <ns0:c r="AG578" s="17" t="n"/>
    </ns0:row>
    <ns0:row r="579" ht="24" customHeight="1">
      <ns0:c r="D579" s="17" t="n"/>
      <ns0:c r="E579" s="17" t="n"/>
      <ns0:c r="F579" s="17" t="n"/>
      <ns0:c r="G579" s="17" t="n"/>
      <ns0:c r="H579" s="17" t="n"/>
      <ns0:c r="I579" s="17" t="n"/>
      <ns0:c r="J579" s="17" t="n"/>
      <ns0:c r="K579" s="17" t="n"/>
      <ns0:c r="L579" s="17" t="n"/>
      <ns0:c r="M579" s="17" t="n"/>
      <ns0:c r="N579" s="17" t="n"/>
      <ns0:c r="O579" s="17" t="n"/>
      <ns0:c r="P579" s="17" t="n"/>
      <ns0:c r="Q579" s="17" t="n"/>
      <ns0:c r="R579" s="17" t="n"/>
      <ns0:c r="S579" s="17" t="n"/>
      <ns0:c r="T579" s="17" t="n"/>
      <ns0:c r="U579" s="17" t="n"/>
      <ns0:c r="V579" s="17" t="n"/>
      <ns0:c r="W579" s="17" t="n"/>
      <ns0:c r="X579" s="17" t="n"/>
      <ns0:c r="Y579" s="17" t="n"/>
      <ns0:c r="Z579" s="17" t="n"/>
      <ns0:c r="AA579" s="17" t="n"/>
      <ns0:c r="AB579" s="17" t="n"/>
      <ns0:c r="AC579" s="17" t="n"/>
      <ns0:c r="AD579" s="17" t="n"/>
      <ns0:c r="AE579" s="17" t="n"/>
      <ns0:c r="AF579" s="17" t="n"/>
      <ns0:c r="AG579" s="17" t="n"/>
    </ns0:row>
    <ns0:row r="580" ht="24" customHeight="1">
      <ns0:c r="D580" s="17" t="n"/>
      <ns0:c r="E580" s="17" t="n"/>
      <ns0:c r="F580" s="17" t="n"/>
      <ns0:c r="G580" s="17" t="n"/>
      <ns0:c r="H580" s="17" t="n"/>
      <ns0:c r="I580" s="17" t="n"/>
      <ns0:c r="J580" s="17" t="n"/>
      <ns0:c r="K580" s="17" t="n"/>
      <ns0:c r="L580" s="17" t="n"/>
      <ns0:c r="M580" s="17" t="n"/>
      <ns0:c r="N580" s="17" t="n"/>
      <ns0:c r="O580" s="17" t="n"/>
      <ns0:c r="P580" s="17" t="n"/>
      <ns0:c r="Q580" s="17" t="n"/>
      <ns0:c r="R580" s="17" t="n"/>
      <ns0:c r="S580" s="17" t="n"/>
      <ns0:c r="T580" s="17" t="n"/>
      <ns0:c r="U580" s="17" t="n"/>
      <ns0:c r="V580" s="17" t="n"/>
      <ns0:c r="W580" s="17" t="n"/>
      <ns0:c r="X580" s="17" t="n"/>
      <ns0:c r="Y580" s="17" t="n"/>
      <ns0:c r="Z580" s="17" t="n"/>
      <ns0:c r="AA580" s="17" t="n"/>
      <ns0:c r="AB580" s="17" t="n"/>
      <ns0:c r="AC580" s="17" t="n"/>
      <ns0:c r="AD580" s="17" t="n"/>
      <ns0:c r="AE580" s="17" t="n"/>
      <ns0:c r="AF580" s="17" t="n"/>
      <ns0:c r="AG580" s="17" t="n"/>
    </ns0:row>
    <ns0:row r="581" ht="24" customHeight="1">
      <ns0:c r="D581" s="17" t="n"/>
      <ns0:c r="E581" s="17" t="n"/>
      <ns0:c r="F581" s="17" t="n"/>
      <ns0:c r="G581" s="17" t="n"/>
      <ns0:c r="H581" s="17" t="n"/>
      <ns0:c r="I581" s="17" t="n"/>
      <ns0:c r="J581" s="17" t="n"/>
      <ns0:c r="K581" s="17" t="n"/>
      <ns0:c r="L581" s="17" t="n"/>
      <ns0:c r="M581" s="17" t="n"/>
      <ns0:c r="N581" s="17" t="n"/>
      <ns0:c r="O581" s="17" t="n"/>
      <ns0:c r="P581" s="17" t="n"/>
      <ns0:c r="Q581" s="17" t="n"/>
      <ns0:c r="R581" s="17" t="n"/>
      <ns0:c r="S581" s="17" t="n"/>
      <ns0:c r="T581" s="17" t="n"/>
      <ns0:c r="U581" s="17" t="n"/>
      <ns0:c r="V581" s="17" t="n"/>
      <ns0:c r="W581" s="17" t="n"/>
      <ns0:c r="X581" s="17" t="n"/>
      <ns0:c r="Y581" s="17" t="n"/>
      <ns0:c r="Z581" s="17" t="n"/>
      <ns0:c r="AA581" s="17" t="n"/>
      <ns0:c r="AB581" s="17" t="n"/>
      <ns0:c r="AC581" s="17" t="n"/>
      <ns0:c r="AD581" s="17" t="n"/>
      <ns0:c r="AE581" s="17" t="n"/>
      <ns0:c r="AF581" s="17" t="n"/>
      <ns0:c r="AG581" s="17" t="n"/>
    </ns0:row>
    <ns0:row r="582" ht="24" customHeight="1">
      <ns0:c r="D582" s="17" t="n"/>
      <ns0:c r="E582" s="17" t="n"/>
      <ns0:c r="F582" s="17" t="n"/>
      <ns0:c r="G582" s="17" t="n"/>
      <ns0:c r="H582" s="17" t="n"/>
      <ns0:c r="I582" s="17" t="n"/>
      <ns0:c r="J582" s="17" t="n"/>
      <ns0:c r="K582" s="17" t="n"/>
      <ns0:c r="L582" s="17" t="n"/>
      <ns0:c r="M582" s="17" t="n"/>
      <ns0:c r="N582" s="17" t="n"/>
      <ns0:c r="O582" s="17" t="n"/>
      <ns0:c r="P582" s="17" t="n"/>
      <ns0:c r="Q582" s="17" t="n"/>
      <ns0:c r="R582" s="17" t="n"/>
      <ns0:c r="S582" s="17" t="n"/>
      <ns0:c r="T582" s="17" t="n"/>
      <ns0:c r="U582" s="17" t="n"/>
      <ns0:c r="V582" s="17" t="n"/>
      <ns0:c r="W582" s="17" t="n"/>
      <ns0:c r="X582" s="17" t="n"/>
      <ns0:c r="Y582" s="17" t="n"/>
      <ns0:c r="Z582" s="17" t="n"/>
      <ns0:c r="AA582" s="17" t="n"/>
      <ns0:c r="AB582" s="17" t="n"/>
      <ns0:c r="AC582" s="17" t="n"/>
      <ns0:c r="AD582" s="17" t="n"/>
      <ns0:c r="AE582" s="17" t="n"/>
      <ns0:c r="AF582" s="17" t="n"/>
      <ns0:c r="AG582" s="17" t="n"/>
    </ns0:row>
    <ns0:row r="583" ht="24" customHeight="1">
      <ns0:c r="D583" s="17" t="n"/>
      <ns0:c r="E583" s="17" t="n"/>
      <ns0:c r="F583" s="17" t="n"/>
      <ns0:c r="G583" s="17" t="n"/>
      <ns0:c r="H583" s="17" t="n"/>
      <ns0:c r="I583" s="17" t="n"/>
      <ns0:c r="J583" s="17" t="n"/>
      <ns0:c r="K583" s="17" t="n"/>
      <ns0:c r="L583" s="17" t="n"/>
      <ns0:c r="M583" s="17" t="n"/>
      <ns0:c r="N583" s="17" t="n"/>
      <ns0:c r="O583" s="17" t="n"/>
      <ns0:c r="P583" s="17" t="n"/>
      <ns0:c r="Q583" s="17" t="n"/>
      <ns0:c r="R583" s="17" t="n"/>
      <ns0:c r="S583" s="17" t="n"/>
      <ns0:c r="T583" s="17" t="n"/>
      <ns0:c r="U583" s="17" t="n"/>
      <ns0:c r="V583" s="17" t="n"/>
      <ns0:c r="W583" s="17" t="n"/>
      <ns0:c r="X583" s="17" t="n"/>
      <ns0:c r="Y583" s="17" t="n"/>
      <ns0:c r="Z583" s="17" t="n"/>
      <ns0:c r="AA583" s="17" t="n"/>
      <ns0:c r="AB583" s="17" t="n"/>
      <ns0:c r="AC583" s="17" t="n"/>
      <ns0:c r="AD583" s="17" t="n"/>
      <ns0:c r="AE583" s="17" t="n"/>
      <ns0:c r="AF583" s="17" t="n"/>
      <ns0:c r="AG583" s="17" t="n"/>
    </ns0:row>
    <ns0:row r="584" ht="24" customHeight="1">
      <ns0:c r="D584" s="17" t="n"/>
      <ns0:c r="E584" s="17" t="n"/>
      <ns0:c r="F584" s="17" t="n"/>
      <ns0:c r="G584" s="17" t="n"/>
      <ns0:c r="H584" s="17" t="n"/>
      <ns0:c r="I584" s="17" t="n"/>
      <ns0:c r="J584" s="17" t="n"/>
      <ns0:c r="K584" s="17" t="n"/>
      <ns0:c r="L584" s="17" t="n"/>
      <ns0:c r="M584" s="17" t="n"/>
      <ns0:c r="N584" s="17" t="n"/>
      <ns0:c r="O584" s="17" t="n"/>
      <ns0:c r="P584" s="17" t="n"/>
      <ns0:c r="Q584" s="17" t="n"/>
      <ns0:c r="R584" s="17" t="n"/>
      <ns0:c r="S584" s="17" t="n"/>
      <ns0:c r="T584" s="17" t="n"/>
      <ns0:c r="U584" s="17" t="n"/>
      <ns0:c r="V584" s="17" t="n"/>
      <ns0:c r="W584" s="17" t="n"/>
      <ns0:c r="X584" s="17" t="n"/>
      <ns0:c r="Y584" s="17" t="n"/>
      <ns0:c r="Z584" s="17" t="n"/>
      <ns0:c r="AA584" s="17" t="n"/>
      <ns0:c r="AB584" s="17" t="n"/>
      <ns0:c r="AC584" s="17" t="n"/>
      <ns0:c r="AD584" s="17" t="n"/>
      <ns0:c r="AE584" s="17" t="n"/>
      <ns0:c r="AF584" s="17" t="n"/>
      <ns0:c r="AG584" s="17" t="n"/>
    </ns0:row>
    <ns0:row r="585" ht="24" customHeight="1">
      <ns0:c r="D585" s="17" t="n"/>
      <ns0:c r="E585" s="17" t="n"/>
      <ns0:c r="F585" s="17" t="n"/>
      <ns0:c r="G585" s="17" t="n"/>
      <ns0:c r="H585" s="17" t="n"/>
      <ns0:c r="I585" s="17" t="n"/>
      <ns0:c r="J585" s="17" t="n"/>
      <ns0:c r="K585" s="17" t="n"/>
      <ns0:c r="L585" s="17" t="n"/>
      <ns0:c r="M585" s="17" t="n"/>
      <ns0:c r="N585" s="17" t="n"/>
      <ns0:c r="O585" s="17" t="n"/>
      <ns0:c r="P585" s="17" t="n"/>
      <ns0:c r="Q585" s="17" t="n"/>
      <ns0:c r="R585" s="17" t="n"/>
      <ns0:c r="S585" s="17" t="n"/>
      <ns0:c r="T585" s="17" t="n"/>
      <ns0:c r="U585" s="17" t="n"/>
      <ns0:c r="V585" s="17" t="n"/>
      <ns0:c r="W585" s="17" t="n"/>
      <ns0:c r="X585" s="17" t="n"/>
      <ns0:c r="Y585" s="17" t="n"/>
      <ns0:c r="Z585" s="17" t="n"/>
      <ns0:c r="AA585" s="17" t="n"/>
      <ns0:c r="AB585" s="17" t="n"/>
      <ns0:c r="AC585" s="17" t="n"/>
      <ns0:c r="AD585" s="17" t="n"/>
      <ns0:c r="AE585" s="17" t="n"/>
      <ns0:c r="AF585" s="17" t="n"/>
      <ns0:c r="AG585" s="17" t="n"/>
    </ns0:row>
    <ns0:row r="586" ht="24" customHeight="1">
      <ns0:c r="D586" s="17" t="n"/>
      <ns0:c r="E586" s="17" t="n"/>
      <ns0:c r="F586" s="17" t="n"/>
      <ns0:c r="G586" s="17" t="n"/>
      <ns0:c r="H586" s="17" t="n"/>
      <ns0:c r="I586" s="17" t="n"/>
      <ns0:c r="J586" s="17" t="n"/>
      <ns0:c r="K586" s="17" t="n"/>
      <ns0:c r="L586" s="17" t="n"/>
      <ns0:c r="M586" s="17" t="n"/>
      <ns0:c r="N586" s="17" t="n"/>
      <ns0:c r="O586" s="17" t="n"/>
      <ns0:c r="P586" s="17" t="n"/>
      <ns0:c r="Q586" s="17" t="n"/>
      <ns0:c r="R586" s="17" t="n"/>
      <ns0:c r="S586" s="17" t="n"/>
      <ns0:c r="T586" s="17" t="n"/>
      <ns0:c r="U586" s="17" t="n"/>
      <ns0:c r="V586" s="17" t="n"/>
      <ns0:c r="W586" s="17" t="n"/>
      <ns0:c r="X586" s="17" t="n"/>
      <ns0:c r="Y586" s="17" t="n"/>
      <ns0:c r="Z586" s="17" t="n"/>
      <ns0:c r="AA586" s="17" t="n"/>
      <ns0:c r="AB586" s="17" t="n"/>
      <ns0:c r="AC586" s="17" t="n"/>
      <ns0:c r="AD586" s="17" t="n"/>
      <ns0:c r="AE586" s="17" t="n"/>
      <ns0:c r="AF586" s="17" t="n"/>
      <ns0:c r="AG586" s="17" t="n"/>
    </ns0:row>
    <ns0:row r="587" ht="24" customHeight="1">
      <ns0:c r="D587" s="17" t="n"/>
      <ns0:c r="E587" s="17" t="n"/>
      <ns0:c r="F587" s="17" t="n"/>
      <ns0:c r="G587" s="17" t="n"/>
      <ns0:c r="H587" s="17" t="n"/>
      <ns0:c r="I587" s="17" t="n"/>
      <ns0:c r="J587" s="17" t="n"/>
      <ns0:c r="K587" s="17" t="n"/>
      <ns0:c r="L587" s="17" t="n"/>
      <ns0:c r="M587" s="17" t="n"/>
      <ns0:c r="N587" s="17" t="n"/>
      <ns0:c r="O587" s="17" t="n"/>
      <ns0:c r="P587" s="17" t="n"/>
      <ns0:c r="Q587" s="17" t="n"/>
      <ns0:c r="R587" s="17" t="n"/>
      <ns0:c r="S587" s="17" t="n"/>
      <ns0:c r="T587" s="17" t="n"/>
      <ns0:c r="U587" s="17" t="n"/>
      <ns0:c r="V587" s="17" t="n"/>
      <ns0:c r="W587" s="17" t="n"/>
      <ns0:c r="X587" s="17" t="n"/>
      <ns0:c r="Y587" s="17" t="n"/>
      <ns0:c r="Z587" s="17" t="n"/>
      <ns0:c r="AA587" s="17" t="n"/>
      <ns0:c r="AB587" s="17" t="n"/>
      <ns0:c r="AC587" s="17" t="n"/>
      <ns0:c r="AD587" s="17" t="n"/>
      <ns0:c r="AE587" s="17" t="n"/>
      <ns0:c r="AF587" s="17" t="n"/>
      <ns0:c r="AG587" s="17" t="n"/>
    </ns0:row>
    <ns0:row r="588" ht="24" customHeight="1">
      <ns0:c r="D588" s="17" t="n"/>
      <ns0:c r="E588" s="17" t="n"/>
      <ns0:c r="F588" s="17" t="n"/>
      <ns0:c r="G588" s="17" t="n"/>
      <ns0:c r="H588" s="17" t="n"/>
      <ns0:c r="I588" s="17" t="n"/>
      <ns0:c r="J588" s="17" t="n"/>
      <ns0:c r="K588" s="17" t="n"/>
      <ns0:c r="L588" s="17" t="n"/>
      <ns0:c r="M588" s="17" t="n"/>
      <ns0:c r="N588" s="17" t="n"/>
      <ns0:c r="O588" s="17" t="n"/>
      <ns0:c r="P588" s="17" t="n"/>
      <ns0:c r="Q588" s="17" t="n"/>
      <ns0:c r="R588" s="17" t="n"/>
      <ns0:c r="S588" s="17" t="n"/>
      <ns0:c r="T588" s="17" t="n"/>
      <ns0:c r="U588" s="17" t="n"/>
      <ns0:c r="V588" s="17" t="n"/>
      <ns0:c r="W588" s="17" t="n"/>
      <ns0:c r="X588" s="17" t="n"/>
      <ns0:c r="Y588" s="17" t="n"/>
      <ns0:c r="Z588" s="17" t="n"/>
      <ns0:c r="AA588" s="17" t="n"/>
      <ns0:c r="AB588" s="17" t="n"/>
      <ns0:c r="AC588" s="17" t="n"/>
      <ns0:c r="AD588" s="17" t="n"/>
      <ns0:c r="AE588" s="17" t="n"/>
      <ns0:c r="AF588" s="17" t="n"/>
      <ns0:c r="AG588" s="17" t="n"/>
    </ns0:row>
    <ns0:row r="589" ht="24" customHeight="1">
      <ns0:c r="D589" s="17" t="n"/>
      <ns0:c r="E589" s="17" t="n"/>
      <ns0:c r="F589" s="17" t="n"/>
      <ns0:c r="G589" s="17" t="n"/>
      <ns0:c r="H589" s="17" t="n"/>
      <ns0:c r="I589" s="17" t="n"/>
      <ns0:c r="J589" s="17" t="n"/>
      <ns0:c r="K589" s="17" t="n"/>
      <ns0:c r="L589" s="17" t="n"/>
      <ns0:c r="M589" s="17" t="n"/>
      <ns0:c r="N589" s="17" t="n"/>
      <ns0:c r="O589" s="17" t="n"/>
      <ns0:c r="P589" s="17" t="n"/>
      <ns0:c r="Q589" s="17" t="n"/>
      <ns0:c r="R589" s="17" t="n"/>
      <ns0:c r="S589" s="17" t="n"/>
      <ns0:c r="T589" s="17" t="n"/>
      <ns0:c r="U589" s="17" t="n"/>
      <ns0:c r="V589" s="17" t="n"/>
      <ns0:c r="W589" s="17" t="n"/>
      <ns0:c r="X589" s="17" t="n"/>
      <ns0:c r="Y589" s="17" t="n"/>
      <ns0:c r="Z589" s="17" t="n"/>
      <ns0:c r="AA589" s="17" t="n"/>
      <ns0:c r="AB589" s="17" t="n"/>
      <ns0:c r="AC589" s="17" t="n"/>
      <ns0:c r="AD589" s="17" t="n"/>
      <ns0:c r="AE589" s="17" t="n"/>
      <ns0:c r="AF589" s="17" t="n"/>
      <ns0:c r="AG589" s="17" t="n"/>
    </ns0:row>
    <ns0:row r="590" ht="24" customHeight="1">
      <ns0:c r="D590" s="17" t="n"/>
      <ns0:c r="E590" s="17" t="n"/>
      <ns0:c r="F590" s="17" t="n"/>
      <ns0:c r="G590" s="17" t="n"/>
      <ns0:c r="H590" s="17" t="n"/>
      <ns0:c r="I590" s="17" t="n"/>
      <ns0:c r="J590" s="17" t="n"/>
      <ns0:c r="K590" s="17" t="n"/>
      <ns0:c r="L590" s="17" t="n"/>
      <ns0:c r="M590" s="17" t="n"/>
      <ns0:c r="N590" s="17" t="n"/>
      <ns0:c r="O590" s="17" t="n"/>
      <ns0:c r="P590" s="17" t="n"/>
      <ns0:c r="Q590" s="17" t="n"/>
      <ns0:c r="R590" s="17" t="n"/>
      <ns0:c r="S590" s="17" t="n"/>
      <ns0:c r="T590" s="17" t="n"/>
      <ns0:c r="U590" s="17" t="n"/>
      <ns0:c r="V590" s="17" t="n"/>
      <ns0:c r="W590" s="17" t="n"/>
      <ns0:c r="X590" s="17" t="n"/>
      <ns0:c r="Y590" s="17" t="n"/>
      <ns0:c r="Z590" s="17" t="n"/>
      <ns0:c r="AA590" s="17" t="n"/>
      <ns0:c r="AB590" s="17" t="n"/>
      <ns0:c r="AC590" s="17" t="n"/>
      <ns0:c r="AD590" s="17" t="n"/>
      <ns0:c r="AE590" s="17" t="n"/>
      <ns0:c r="AF590" s="17" t="n"/>
      <ns0:c r="AG590" s="17" t="n"/>
    </ns0:row>
    <ns0:row r="591" ht="24" customHeight="1">
      <ns0:c r="D591" s="17" t="n"/>
      <ns0:c r="E591" s="17" t="n"/>
      <ns0:c r="F591" s="17" t="n"/>
      <ns0:c r="G591" s="17" t="n"/>
      <ns0:c r="H591" s="17" t="n"/>
      <ns0:c r="I591" s="17" t="n"/>
      <ns0:c r="J591" s="17" t="n"/>
      <ns0:c r="K591" s="17" t="n"/>
      <ns0:c r="L591" s="17" t="n"/>
      <ns0:c r="M591" s="17" t="n"/>
      <ns0:c r="N591" s="17" t="n"/>
      <ns0:c r="O591" s="17" t="n"/>
      <ns0:c r="P591" s="17" t="n"/>
      <ns0:c r="Q591" s="17" t="n"/>
      <ns0:c r="R591" s="17" t="n"/>
      <ns0:c r="S591" s="17" t="n"/>
      <ns0:c r="T591" s="17" t="n"/>
      <ns0:c r="U591" s="17" t="n"/>
      <ns0:c r="V591" s="17" t="n"/>
      <ns0:c r="W591" s="17" t="n"/>
      <ns0:c r="X591" s="17" t="n"/>
      <ns0:c r="Y591" s="17" t="n"/>
      <ns0:c r="Z591" s="17" t="n"/>
      <ns0:c r="AA591" s="17" t="n"/>
      <ns0:c r="AB591" s="17" t="n"/>
      <ns0:c r="AC591" s="17" t="n"/>
      <ns0:c r="AD591" s="17" t="n"/>
      <ns0:c r="AE591" s="17" t="n"/>
      <ns0:c r="AF591" s="17" t="n"/>
      <ns0:c r="AG591" s="17" t="n"/>
    </ns0:row>
    <ns0:row r="592" ht="24" customHeight="1">
      <ns0:c r="D592" s="17" t="n"/>
      <ns0:c r="E592" s="17" t="n"/>
      <ns0:c r="F592" s="17" t="n"/>
      <ns0:c r="G592" s="17" t="n"/>
      <ns0:c r="H592" s="17" t="n"/>
      <ns0:c r="I592" s="17" t="n"/>
      <ns0:c r="J592" s="17" t="n"/>
      <ns0:c r="K592" s="17" t="n"/>
      <ns0:c r="L592" s="17" t="n"/>
      <ns0:c r="M592" s="17" t="n"/>
      <ns0:c r="N592" s="17" t="n"/>
      <ns0:c r="O592" s="17" t="n"/>
      <ns0:c r="P592" s="17" t="n"/>
      <ns0:c r="Q592" s="17" t="n"/>
      <ns0:c r="R592" s="17" t="n"/>
      <ns0:c r="S592" s="17" t="n"/>
      <ns0:c r="T592" s="17" t="n"/>
      <ns0:c r="U592" s="17" t="n"/>
      <ns0:c r="V592" s="17" t="n"/>
      <ns0:c r="W592" s="17" t="n"/>
      <ns0:c r="X592" s="17" t="n"/>
      <ns0:c r="Y592" s="17" t="n"/>
      <ns0:c r="Z592" s="17" t="n"/>
      <ns0:c r="AA592" s="17" t="n"/>
      <ns0:c r="AB592" s="17" t="n"/>
      <ns0:c r="AC592" s="17" t="n"/>
      <ns0:c r="AD592" s="17" t="n"/>
      <ns0:c r="AE592" s="17" t="n"/>
      <ns0:c r="AF592" s="17" t="n"/>
      <ns0:c r="AG592" s="17" t="n"/>
    </ns0:row>
    <ns0:row r="593" ht="24" customHeight="1">
      <ns0:c r="D593" s="17" t="n"/>
      <ns0:c r="E593" s="17" t="n"/>
      <ns0:c r="F593" s="17" t="n"/>
      <ns0:c r="G593" s="17" t="n"/>
      <ns0:c r="H593" s="17" t="n"/>
      <ns0:c r="I593" s="17" t="n"/>
      <ns0:c r="J593" s="17" t="n"/>
      <ns0:c r="K593" s="17" t="n"/>
      <ns0:c r="L593" s="17" t="n"/>
      <ns0:c r="M593" s="17" t="n"/>
      <ns0:c r="N593" s="17" t="n"/>
      <ns0:c r="O593" s="17" t="n"/>
      <ns0:c r="P593" s="17" t="n"/>
      <ns0:c r="Q593" s="17" t="n"/>
      <ns0:c r="R593" s="17" t="n"/>
      <ns0:c r="S593" s="17" t="n"/>
      <ns0:c r="T593" s="17" t="n"/>
      <ns0:c r="U593" s="17" t="n"/>
      <ns0:c r="V593" s="17" t="n"/>
      <ns0:c r="W593" s="17" t="n"/>
      <ns0:c r="X593" s="17" t="n"/>
      <ns0:c r="Y593" s="17" t="n"/>
      <ns0:c r="Z593" s="17" t="n"/>
      <ns0:c r="AA593" s="17" t="n"/>
      <ns0:c r="AB593" s="17" t="n"/>
      <ns0:c r="AC593" s="17" t="n"/>
      <ns0:c r="AD593" s="17" t="n"/>
      <ns0:c r="AE593" s="17" t="n"/>
      <ns0:c r="AF593" s="17" t="n"/>
      <ns0:c r="AG593" s="17" t="n"/>
    </ns0:row>
    <ns0:row r="594" ht="24" customHeight="1">
      <ns0:c r="D594" s="17" t="n"/>
      <ns0:c r="E594" s="17" t="n"/>
      <ns0:c r="F594" s="17" t="n"/>
      <ns0:c r="G594" s="17" t="n"/>
      <ns0:c r="H594" s="17" t="n"/>
      <ns0:c r="I594" s="17" t="n"/>
      <ns0:c r="J594" s="17" t="n"/>
      <ns0:c r="K594" s="17" t="n"/>
      <ns0:c r="L594" s="17" t="n"/>
      <ns0:c r="M594" s="17" t="n"/>
      <ns0:c r="N594" s="17" t="n"/>
      <ns0:c r="O594" s="17" t="n"/>
      <ns0:c r="P594" s="17" t="n"/>
      <ns0:c r="Q594" s="17" t="n"/>
      <ns0:c r="R594" s="17" t="n"/>
      <ns0:c r="S594" s="17" t="n"/>
      <ns0:c r="T594" s="17" t="n"/>
      <ns0:c r="U594" s="17" t="n"/>
      <ns0:c r="V594" s="17" t="n"/>
      <ns0:c r="W594" s="17" t="n"/>
      <ns0:c r="X594" s="17" t="n"/>
      <ns0:c r="Y594" s="17" t="n"/>
      <ns0:c r="Z594" s="17" t="n"/>
      <ns0:c r="AA594" s="17" t="n"/>
      <ns0:c r="AB594" s="17" t="n"/>
      <ns0:c r="AC594" s="17" t="n"/>
      <ns0:c r="AD594" s="17" t="n"/>
      <ns0:c r="AE594" s="17" t="n"/>
      <ns0:c r="AF594" s="17" t="n"/>
      <ns0:c r="AG594" s="17" t="n"/>
    </ns0:row>
    <ns0:row r="595" ht="24" customHeight="1">
      <ns0:c r="D595" s="17" t="n"/>
      <ns0:c r="E595" s="17" t="n"/>
      <ns0:c r="F595" s="17" t="n"/>
      <ns0:c r="G595" s="17" t="n"/>
      <ns0:c r="H595" s="17" t="n"/>
      <ns0:c r="I595" s="17" t="n"/>
      <ns0:c r="J595" s="17" t="n"/>
      <ns0:c r="K595" s="17" t="n"/>
      <ns0:c r="L595" s="17" t="n"/>
      <ns0:c r="M595" s="17" t="n"/>
      <ns0:c r="N595" s="17" t="n"/>
      <ns0:c r="O595" s="17" t="n"/>
      <ns0:c r="P595" s="17" t="n"/>
      <ns0:c r="Q595" s="17" t="n"/>
      <ns0:c r="R595" s="17" t="n"/>
      <ns0:c r="S595" s="17" t="n"/>
      <ns0:c r="T595" s="17" t="n"/>
      <ns0:c r="U595" s="17" t="n"/>
      <ns0:c r="V595" s="17" t="n"/>
      <ns0:c r="W595" s="17" t="n"/>
      <ns0:c r="X595" s="17" t="n"/>
      <ns0:c r="Y595" s="17" t="n"/>
      <ns0:c r="Z595" s="17" t="n"/>
      <ns0:c r="AA595" s="17" t="n"/>
      <ns0:c r="AB595" s="17" t="n"/>
      <ns0:c r="AC595" s="17" t="n"/>
      <ns0:c r="AD595" s="17" t="n"/>
      <ns0:c r="AE595" s="17" t="n"/>
      <ns0:c r="AF595" s="17" t="n"/>
      <ns0:c r="AG595" s="17" t="n"/>
    </ns0:row>
    <ns0:row r="596" ht="24" customHeight="1">
      <ns0:c r="D596" s="17" t="n"/>
      <ns0:c r="E596" s="17" t="n"/>
      <ns0:c r="F596" s="17" t="n"/>
      <ns0:c r="G596" s="17" t="n"/>
      <ns0:c r="H596" s="17" t="n"/>
      <ns0:c r="I596" s="17" t="n"/>
      <ns0:c r="J596" s="17" t="n"/>
      <ns0:c r="K596" s="17" t="n"/>
      <ns0:c r="L596" s="17" t="n"/>
      <ns0:c r="M596" s="17" t="n"/>
      <ns0:c r="N596" s="17" t="n"/>
      <ns0:c r="O596" s="17" t="n"/>
      <ns0:c r="P596" s="17" t="n"/>
      <ns0:c r="Q596" s="17" t="n"/>
      <ns0:c r="R596" s="17" t="n"/>
      <ns0:c r="S596" s="17" t="n"/>
      <ns0:c r="T596" s="17" t="n"/>
      <ns0:c r="U596" s="17" t="n"/>
      <ns0:c r="V596" s="17" t="n"/>
      <ns0:c r="W596" s="17" t="n"/>
      <ns0:c r="X596" s="17" t="n"/>
      <ns0:c r="Y596" s="17" t="n"/>
      <ns0:c r="Z596" s="17" t="n"/>
      <ns0:c r="AA596" s="17" t="n"/>
      <ns0:c r="AB596" s="17" t="n"/>
      <ns0:c r="AC596" s="17" t="n"/>
      <ns0:c r="AD596" s="17" t="n"/>
      <ns0:c r="AE596" s="17" t="n"/>
      <ns0:c r="AF596" s="17" t="n"/>
      <ns0:c r="AG596" s="17" t="n"/>
    </ns0:row>
    <ns0:row r="597" ht="24" customHeight="1">
      <ns0:c r="D597" s="17" t="n"/>
      <ns0:c r="E597" s="17" t="n"/>
      <ns0:c r="F597" s="17" t="n"/>
      <ns0:c r="G597" s="17" t="n"/>
      <ns0:c r="H597" s="17" t="n"/>
      <ns0:c r="I597" s="17" t="n"/>
      <ns0:c r="J597" s="17" t="n"/>
      <ns0:c r="K597" s="17" t="n"/>
      <ns0:c r="L597" s="17" t="n"/>
      <ns0:c r="M597" s="17" t="n"/>
      <ns0:c r="N597" s="17" t="n"/>
      <ns0:c r="O597" s="17" t="n"/>
      <ns0:c r="P597" s="17" t="n"/>
      <ns0:c r="Q597" s="17" t="n"/>
      <ns0:c r="R597" s="17" t="n"/>
      <ns0:c r="S597" s="17" t="n"/>
      <ns0:c r="T597" s="17" t="n"/>
      <ns0:c r="U597" s="17" t="n"/>
      <ns0:c r="V597" s="17" t="n"/>
      <ns0:c r="W597" s="17" t="n"/>
      <ns0:c r="X597" s="17" t="n"/>
      <ns0:c r="Y597" s="17" t="n"/>
      <ns0:c r="Z597" s="17" t="n"/>
      <ns0:c r="AA597" s="17" t="n"/>
      <ns0:c r="AB597" s="17" t="n"/>
      <ns0:c r="AC597" s="17" t="n"/>
      <ns0:c r="AD597" s="17" t="n"/>
      <ns0:c r="AE597" s="17" t="n"/>
      <ns0:c r="AF597" s="17" t="n"/>
      <ns0:c r="AG597" s="17" t="n"/>
    </ns0:row>
    <ns0:row r="598" ht="24" customHeight="1">
      <ns0:c r="D598" s="17" t="n"/>
      <ns0:c r="E598" s="17" t="n"/>
      <ns0:c r="F598" s="17" t="n"/>
      <ns0:c r="G598" s="17" t="n"/>
      <ns0:c r="H598" s="17" t="n"/>
      <ns0:c r="I598" s="17" t="n"/>
      <ns0:c r="J598" s="17" t="n"/>
      <ns0:c r="K598" s="17" t="n"/>
      <ns0:c r="L598" s="17" t="n"/>
      <ns0:c r="M598" s="17" t="n"/>
      <ns0:c r="N598" s="17" t="n"/>
      <ns0:c r="O598" s="17" t="n"/>
      <ns0:c r="P598" s="17" t="n"/>
      <ns0:c r="Q598" s="17" t="n"/>
      <ns0:c r="R598" s="17" t="n"/>
      <ns0:c r="S598" s="17" t="n"/>
      <ns0:c r="T598" s="17" t="n"/>
      <ns0:c r="U598" s="17" t="n"/>
      <ns0:c r="V598" s="17" t="n"/>
      <ns0:c r="W598" s="17" t="n"/>
      <ns0:c r="X598" s="17" t="n"/>
      <ns0:c r="Y598" s="17" t="n"/>
      <ns0:c r="Z598" s="17" t="n"/>
      <ns0:c r="AA598" s="17" t="n"/>
      <ns0:c r="AB598" s="17" t="n"/>
      <ns0:c r="AC598" s="17" t="n"/>
      <ns0:c r="AD598" s="17" t="n"/>
      <ns0:c r="AE598" s="17" t="n"/>
      <ns0:c r="AF598" s="17" t="n"/>
      <ns0:c r="AG598" s="17" t="n"/>
    </ns0:row>
    <ns0:row r="599" ht="24" customHeight="1">
      <ns0:c r="D599" s="17" t="n"/>
      <ns0:c r="E599" s="17" t="n"/>
      <ns0:c r="F599" s="17" t="n"/>
      <ns0:c r="G599" s="17" t="n"/>
      <ns0:c r="H599" s="17" t="n"/>
      <ns0:c r="I599" s="17" t="n"/>
      <ns0:c r="J599" s="17" t="n"/>
      <ns0:c r="K599" s="17" t="n"/>
      <ns0:c r="L599" s="17" t="n"/>
      <ns0:c r="M599" s="17" t="n"/>
      <ns0:c r="N599" s="17" t="n"/>
      <ns0:c r="O599" s="17" t="n"/>
      <ns0:c r="P599" s="17" t="n"/>
      <ns0:c r="Q599" s="17" t="n"/>
      <ns0:c r="R599" s="17" t="n"/>
      <ns0:c r="S599" s="17" t="n"/>
      <ns0:c r="T599" s="17" t="n"/>
      <ns0:c r="U599" s="17" t="n"/>
      <ns0:c r="V599" s="17" t="n"/>
      <ns0:c r="W599" s="17" t="n"/>
      <ns0:c r="X599" s="17" t="n"/>
      <ns0:c r="Y599" s="17" t="n"/>
      <ns0:c r="Z599" s="17" t="n"/>
      <ns0:c r="AA599" s="17" t="n"/>
      <ns0:c r="AB599" s="17" t="n"/>
      <ns0:c r="AC599" s="17" t="n"/>
      <ns0:c r="AD599" s="17" t="n"/>
      <ns0:c r="AE599" s="17" t="n"/>
      <ns0:c r="AF599" s="17" t="n"/>
      <ns0:c r="AG599" s="17" t="n"/>
    </ns0:row>
    <ns0:row r="600" ht="24" customHeight="1">
      <ns0:c r="D600" s="17" t="n"/>
      <ns0:c r="E600" s="17" t="n"/>
      <ns0:c r="F600" s="17" t="n"/>
      <ns0:c r="G600" s="17" t="n"/>
      <ns0:c r="H600" s="17" t="n"/>
      <ns0:c r="I600" s="17" t="n"/>
      <ns0:c r="J600" s="17" t="n"/>
      <ns0:c r="K600" s="17" t="n"/>
      <ns0:c r="L600" s="17" t="n"/>
      <ns0:c r="M600" s="17" t="n"/>
      <ns0:c r="N600" s="17" t="n"/>
      <ns0:c r="O600" s="17" t="n"/>
      <ns0:c r="P600" s="17" t="n"/>
      <ns0:c r="Q600" s="17" t="n"/>
      <ns0:c r="R600" s="17" t="n"/>
      <ns0:c r="S600" s="17" t="n"/>
      <ns0:c r="T600" s="17" t="n"/>
      <ns0:c r="U600" s="17" t="n"/>
      <ns0:c r="V600" s="17" t="n"/>
      <ns0:c r="W600" s="17" t="n"/>
      <ns0:c r="X600" s="17" t="n"/>
      <ns0:c r="Y600" s="17" t="n"/>
      <ns0:c r="Z600" s="17" t="n"/>
      <ns0:c r="AA600" s="17" t="n"/>
      <ns0:c r="AB600" s="17" t="n"/>
      <ns0:c r="AC600" s="17" t="n"/>
      <ns0:c r="AD600" s="17" t="n"/>
      <ns0:c r="AE600" s="17" t="n"/>
      <ns0:c r="AF600" s="17" t="n"/>
      <ns0:c r="AG600" s="17" t="n"/>
    </ns0:row>
    <ns0:row r="601" ht="24" customHeight="1">
      <ns0:c r="D601" s="17" t="n"/>
      <ns0:c r="E601" s="17" t="n"/>
      <ns0:c r="F601" s="17" t="n"/>
      <ns0:c r="G601" s="17" t="n"/>
      <ns0:c r="H601" s="17" t="n"/>
      <ns0:c r="I601" s="17" t="n"/>
      <ns0:c r="J601" s="17" t="n"/>
      <ns0:c r="K601" s="17" t="n"/>
      <ns0:c r="L601" s="17" t="n"/>
      <ns0:c r="M601" s="17" t="n"/>
      <ns0:c r="N601" s="17" t="n"/>
      <ns0:c r="O601" s="17" t="n"/>
      <ns0:c r="P601" s="17" t="n"/>
      <ns0:c r="Q601" s="17" t="n"/>
      <ns0:c r="R601" s="17" t="n"/>
      <ns0:c r="S601" s="17" t="n"/>
      <ns0:c r="T601" s="17" t="n"/>
      <ns0:c r="U601" s="17" t="n"/>
      <ns0:c r="V601" s="17" t="n"/>
      <ns0:c r="W601" s="17" t="n"/>
      <ns0:c r="X601" s="17" t="n"/>
      <ns0:c r="Y601" s="17" t="n"/>
      <ns0:c r="Z601" s="17" t="n"/>
      <ns0:c r="AA601" s="17" t="n"/>
      <ns0:c r="AB601" s="17" t="n"/>
      <ns0:c r="AC601" s="17" t="n"/>
      <ns0:c r="AD601" s="17" t="n"/>
      <ns0:c r="AE601" s="17" t="n"/>
      <ns0:c r="AF601" s="17" t="n"/>
      <ns0:c r="AG601" s="17" t="n"/>
    </ns0:row>
    <ns0:row r="602" ht="24" customHeight="1">
      <ns0:c r="D602" s="17" t="n"/>
      <ns0:c r="E602" s="17" t="n"/>
      <ns0:c r="F602" s="17" t="n"/>
      <ns0:c r="G602" s="17" t="n"/>
      <ns0:c r="H602" s="17" t="n"/>
      <ns0:c r="I602" s="17" t="n"/>
      <ns0:c r="J602" s="17" t="n"/>
      <ns0:c r="K602" s="17" t="n"/>
      <ns0:c r="L602" s="17" t="n"/>
      <ns0:c r="M602" s="17" t="n"/>
      <ns0:c r="N602" s="17" t="n"/>
      <ns0:c r="O602" s="17" t="n"/>
      <ns0:c r="P602" s="17" t="n"/>
      <ns0:c r="Q602" s="17" t="n"/>
      <ns0:c r="R602" s="17" t="n"/>
      <ns0:c r="S602" s="17" t="n"/>
      <ns0:c r="T602" s="17" t="n"/>
      <ns0:c r="U602" s="17" t="n"/>
      <ns0:c r="V602" s="17" t="n"/>
      <ns0:c r="W602" s="17" t="n"/>
      <ns0:c r="X602" s="17" t="n"/>
      <ns0:c r="Y602" s="17" t="n"/>
      <ns0:c r="Z602" s="17" t="n"/>
      <ns0:c r="AA602" s="17" t="n"/>
      <ns0:c r="AB602" s="17" t="n"/>
      <ns0:c r="AC602" s="17" t="n"/>
      <ns0:c r="AD602" s="17" t="n"/>
      <ns0:c r="AE602" s="17" t="n"/>
      <ns0:c r="AF602" s="17" t="n"/>
      <ns0:c r="AG602" s="17" t="n"/>
    </ns0:row>
    <ns0:row r="603" ht="24" customHeight="1">
      <ns0:c r="D603" s="17" t="n"/>
      <ns0:c r="E603" s="17" t="n"/>
      <ns0:c r="F603" s="17" t="n"/>
      <ns0:c r="G603" s="17" t="n"/>
      <ns0:c r="H603" s="17" t="n"/>
      <ns0:c r="I603" s="17" t="n"/>
      <ns0:c r="J603" s="17" t="n"/>
      <ns0:c r="K603" s="17" t="n"/>
      <ns0:c r="L603" s="17" t="n"/>
      <ns0:c r="M603" s="17" t="n"/>
      <ns0:c r="N603" s="17" t="n"/>
      <ns0:c r="O603" s="17" t="n"/>
      <ns0:c r="P603" s="17" t="n"/>
      <ns0:c r="Q603" s="17" t="n"/>
      <ns0:c r="R603" s="17" t="n"/>
      <ns0:c r="S603" s="17" t="n"/>
      <ns0:c r="T603" s="17" t="n"/>
      <ns0:c r="U603" s="17" t="n"/>
      <ns0:c r="V603" s="17" t="n"/>
      <ns0:c r="W603" s="17" t="n"/>
      <ns0:c r="X603" s="17" t="n"/>
      <ns0:c r="Y603" s="17" t="n"/>
      <ns0:c r="Z603" s="17" t="n"/>
      <ns0:c r="AA603" s="17" t="n"/>
      <ns0:c r="AB603" s="17" t="n"/>
      <ns0:c r="AC603" s="17" t="n"/>
      <ns0:c r="AD603" s="17" t="n"/>
      <ns0:c r="AE603" s="17" t="n"/>
      <ns0:c r="AF603" s="17" t="n"/>
      <ns0:c r="AG603" s="17" t="n"/>
    </ns0:row>
    <ns0:row r="604" ht="24" customHeight="1">
      <ns0:c r="D604" s="17" t="n"/>
      <ns0:c r="E604" s="17" t="n"/>
      <ns0:c r="F604" s="17" t="n"/>
      <ns0:c r="G604" s="17" t="n"/>
      <ns0:c r="H604" s="17" t="n"/>
      <ns0:c r="I604" s="17" t="n"/>
      <ns0:c r="J604" s="17" t="n"/>
      <ns0:c r="K604" s="17" t="n"/>
      <ns0:c r="L604" s="17" t="n"/>
      <ns0:c r="M604" s="17" t="n"/>
      <ns0:c r="N604" s="17" t="n"/>
      <ns0:c r="O604" s="17" t="n"/>
      <ns0:c r="P604" s="17" t="n"/>
      <ns0:c r="Q604" s="17" t="n"/>
      <ns0:c r="R604" s="17" t="n"/>
      <ns0:c r="S604" s="17" t="n"/>
      <ns0:c r="T604" s="17" t="n"/>
      <ns0:c r="U604" s="17" t="n"/>
      <ns0:c r="V604" s="17" t="n"/>
      <ns0:c r="W604" s="17" t="n"/>
      <ns0:c r="X604" s="17" t="n"/>
      <ns0:c r="Y604" s="17" t="n"/>
      <ns0:c r="Z604" s="17" t="n"/>
      <ns0:c r="AA604" s="17" t="n"/>
      <ns0:c r="AB604" s="17" t="n"/>
      <ns0:c r="AC604" s="17" t="n"/>
      <ns0:c r="AD604" s="17" t="n"/>
      <ns0:c r="AE604" s="17" t="n"/>
      <ns0:c r="AF604" s="17" t="n"/>
      <ns0:c r="AG604" s="17" t="n"/>
    </ns0:row>
    <ns0:row r="605" ht="24" customHeight="1">
      <ns0:c r="D605" s="17" t="n"/>
      <ns0:c r="E605" s="17" t="n"/>
      <ns0:c r="F605" s="17" t="n"/>
      <ns0:c r="G605" s="17" t="n"/>
      <ns0:c r="H605" s="17" t="n"/>
      <ns0:c r="I605" s="17" t="n"/>
      <ns0:c r="J605" s="17" t="n"/>
      <ns0:c r="K605" s="17" t="n"/>
      <ns0:c r="L605" s="17" t="n"/>
      <ns0:c r="M605" s="17" t="n"/>
      <ns0:c r="N605" s="17" t="n"/>
      <ns0:c r="O605" s="17" t="n"/>
      <ns0:c r="P605" s="17" t="n"/>
      <ns0:c r="Q605" s="17" t="n"/>
      <ns0:c r="R605" s="17" t="n"/>
      <ns0:c r="S605" s="17" t="n"/>
      <ns0:c r="T605" s="17" t="n"/>
      <ns0:c r="U605" s="17" t="n"/>
      <ns0:c r="V605" s="17" t="n"/>
      <ns0:c r="W605" s="17" t="n"/>
      <ns0:c r="X605" s="17" t="n"/>
      <ns0:c r="Y605" s="17" t="n"/>
      <ns0:c r="Z605" s="17" t="n"/>
      <ns0:c r="AA605" s="17" t="n"/>
      <ns0:c r="AB605" s="17" t="n"/>
      <ns0:c r="AC605" s="17" t="n"/>
      <ns0:c r="AD605" s="17" t="n"/>
      <ns0:c r="AE605" s="17" t="n"/>
      <ns0:c r="AF605" s="17" t="n"/>
      <ns0:c r="AG605" s="17" t="n"/>
    </ns0:row>
    <ns0:row r="606" ht="24" customHeight="1">
      <ns0:c r="D606" s="17" t="n"/>
      <ns0:c r="E606" s="17" t="n"/>
      <ns0:c r="F606" s="17" t="n"/>
      <ns0:c r="G606" s="17" t="n"/>
      <ns0:c r="H606" s="17" t="n"/>
      <ns0:c r="I606" s="17" t="n"/>
      <ns0:c r="J606" s="17" t="n"/>
      <ns0:c r="K606" s="17" t="n"/>
      <ns0:c r="L606" s="17" t="n"/>
      <ns0:c r="M606" s="17" t="n"/>
      <ns0:c r="N606" s="17" t="n"/>
      <ns0:c r="O606" s="17" t="n"/>
      <ns0:c r="P606" s="17" t="n"/>
      <ns0:c r="Q606" s="17" t="n"/>
      <ns0:c r="R606" s="17" t="n"/>
      <ns0:c r="S606" s="17" t="n"/>
      <ns0:c r="T606" s="17" t="n"/>
      <ns0:c r="U606" s="17" t="n"/>
      <ns0:c r="V606" s="17" t="n"/>
      <ns0:c r="W606" s="17" t="n"/>
      <ns0:c r="X606" s="17" t="n"/>
      <ns0:c r="Y606" s="17" t="n"/>
      <ns0:c r="Z606" s="17" t="n"/>
      <ns0:c r="AA606" s="17" t="n"/>
      <ns0:c r="AB606" s="17" t="n"/>
      <ns0:c r="AC606" s="17" t="n"/>
      <ns0:c r="AD606" s="17" t="n"/>
      <ns0:c r="AE606" s="17" t="n"/>
      <ns0:c r="AF606" s="17" t="n"/>
      <ns0:c r="AG606" s="17" t="n"/>
    </ns0:row>
    <ns0:row r="607" ht="24" customHeight="1">
      <ns0:c r="D607" s="17" t="n"/>
      <ns0:c r="E607" s="17" t="n"/>
      <ns0:c r="F607" s="17" t="n"/>
      <ns0:c r="G607" s="17" t="n"/>
      <ns0:c r="H607" s="17" t="n"/>
      <ns0:c r="I607" s="17" t="n"/>
      <ns0:c r="J607" s="17" t="n"/>
      <ns0:c r="K607" s="17" t="n"/>
      <ns0:c r="L607" s="17" t="n"/>
      <ns0:c r="M607" s="17" t="n"/>
      <ns0:c r="N607" s="17" t="n"/>
      <ns0:c r="O607" s="17" t="n"/>
      <ns0:c r="P607" s="17" t="n"/>
      <ns0:c r="Q607" s="17" t="n"/>
      <ns0:c r="R607" s="17" t="n"/>
      <ns0:c r="S607" s="17" t="n"/>
      <ns0:c r="T607" s="17" t="n"/>
      <ns0:c r="U607" s="17" t="n"/>
      <ns0:c r="V607" s="17" t="n"/>
      <ns0:c r="W607" s="17" t="n"/>
      <ns0:c r="X607" s="17" t="n"/>
      <ns0:c r="Y607" s="17" t="n"/>
      <ns0:c r="Z607" s="17" t="n"/>
      <ns0:c r="AA607" s="17" t="n"/>
      <ns0:c r="AB607" s="17" t="n"/>
      <ns0:c r="AC607" s="17" t="n"/>
      <ns0:c r="AD607" s="17" t="n"/>
      <ns0:c r="AE607" s="17" t="n"/>
      <ns0:c r="AF607" s="17" t="n"/>
      <ns0:c r="AG607" s="17" t="n"/>
    </ns0:row>
    <ns0:row r="608" ht="24" customHeight="1">
      <ns0:c r="D608" s="17" t="n"/>
      <ns0:c r="E608" s="17" t="n"/>
      <ns0:c r="F608" s="17" t="n"/>
      <ns0:c r="G608" s="17" t="n"/>
      <ns0:c r="H608" s="17" t="n"/>
      <ns0:c r="I608" s="17" t="n"/>
      <ns0:c r="J608" s="17" t="n"/>
      <ns0:c r="K608" s="17" t="n"/>
      <ns0:c r="L608" s="17" t="n"/>
      <ns0:c r="M608" s="17" t="n"/>
      <ns0:c r="N608" s="17" t="n"/>
      <ns0:c r="O608" s="17" t="n"/>
      <ns0:c r="P608" s="17" t="n"/>
      <ns0:c r="Q608" s="17" t="n"/>
      <ns0:c r="R608" s="17" t="n"/>
      <ns0:c r="S608" s="17" t="n"/>
      <ns0:c r="T608" s="17" t="n"/>
      <ns0:c r="U608" s="17" t="n"/>
      <ns0:c r="V608" s="17" t="n"/>
      <ns0:c r="W608" s="17" t="n"/>
      <ns0:c r="X608" s="17" t="n"/>
      <ns0:c r="Y608" s="17" t="n"/>
      <ns0:c r="Z608" s="17" t="n"/>
      <ns0:c r="AA608" s="17" t="n"/>
      <ns0:c r="AB608" s="17" t="n"/>
      <ns0:c r="AC608" s="17" t="n"/>
      <ns0:c r="AD608" s="17" t="n"/>
      <ns0:c r="AE608" s="17" t="n"/>
      <ns0:c r="AF608" s="17" t="n"/>
      <ns0:c r="AG608" s="17" t="n"/>
    </ns0:row>
    <ns0:row r="609" ht="24" customHeight="1">
      <ns0:c r="D609" s="17" t="n"/>
      <ns0:c r="E609" s="17" t="n"/>
      <ns0:c r="F609" s="17" t="n"/>
      <ns0:c r="G609" s="17" t="n"/>
      <ns0:c r="H609" s="17" t="n"/>
      <ns0:c r="I609" s="17" t="n"/>
      <ns0:c r="J609" s="17" t="n"/>
      <ns0:c r="K609" s="17" t="n"/>
      <ns0:c r="L609" s="17" t="n"/>
      <ns0:c r="M609" s="17" t="n"/>
      <ns0:c r="N609" s="17" t="n"/>
      <ns0:c r="O609" s="17" t="n"/>
      <ns0:c r="P609" s="17" t="n"/>
      <ns0:c r="Q609" s="17" t="n"/>
      <ns0:c r="R609" s="17" t="n"/>
      <ns0:c r="S609" s="17" t="n"/>
      <ns0:c r="T609" s="17" t="n"/>
      <ns0:c r="U609" s="17" t="n"/>
      <ns0:c r="V609" s="17" t="n"/>
      <ns0:c r="W609" s="17" t="n"/>
      <ns0:c r="X609" s="17" t="n"/>
      <ns0:c r="Y609" s="17" t="n"/>
      <ns0:c r="Z609" s="17" t="n"/>
      <ns0:c r="AA609" s="17" t="n"/>
      <ns0:c r="AB609" s="17" t="n"/>
      <ns0:c r="AC609" s="17" t="n"/>
      <ns0:c r="AD609" s="17" t="n"/>
      <ns0:c r="AE609" s="17" t="n"/>
      <ns0:c r="AF609" s="17" t="n"/>
      <ns0:c r="AG609" s="17" t="n"/>
    </ns0:row>
    <ns0:row r="610" ht="24" customHeight="1">
      <ns0:c r="D610" s="17" t="n"/>
      <ns0:c r="E610" s="17" t="n"/>
      <ns0:c r="F610" s="17" t="n"/>
      <ns0:c r="G610" s="17" t="n"/>
      <ns0:c r="H610" s="17" t="n"/>
      <ns0:c r="I610" s="17" t="n"/>
      <ns0:c r="J610" s="17" t="n"/>
      <ns0:c r="K610" s="17" t="n"/>
      <ns0:c r="L610" s="17" t="n"/>
      <ns0:c r="M610" s="17" t="n"/>
      <ns0:c r="N610" s="17" t="n"/>
      <ns0:c r="O610" s="17" t="n"/>
      <ns0:c r="P610" s="17" t="n"/>
      <ns0:c r="Q610" s="17" t="n"/>
      <ns0:c r="R610" s="17" t="n"/>
      <ns0:c r="S610" s="17" t="n"/>
      <ns0:c r="T610" s="17" t="n"/>
      <ns0:c r="U610" s="17" t="n"/>
      <ns0:c r="V610" s="17" t="n"/>
      <ns0:c r="W610" s="17" t="n"/>
      <ns0:c r="X610" s="17" t="n"/>
      <ns0:c r="Y610" s="17" t="n"/>
      <ns0:c r="Z610" s="17" t="n"/>
      <ns0:c r="AA610" s="17" t="n"/>
      <ns0:c r="AB610" s="17" t="n"/>
      <ns0:c r="AC610" s="17" t="n"/>
      <ns0:c r="AD610" s="17" t="n"/>
      <ns0:c r="AE610" s="17" t="n"/>
      <ns0:c r="AF610" s="17" t="n"/>
      <ns0:c r="AG610" s="17" t="n"/>
    </ns0:row>
    <ns0:row r="611" ht="24" customHeight="1">
      <ns0:c r="D611" s="17" t="n"/>
      <ns0:c r="E611" s="17" t="n"/>
      <ns0:c r="F611" s="17" t="n"/>
      <ns0:c r="G611" s="17" t="n"/>
      <ns0:c r="H611" s="17" t="n"/>
      <ns0:c r="I611" s="17" t="n"/>
      <ns0:c r="J611" s="17" t="n"/>
      <ns0:c r="K611" s="17" t="n"/>
      <ns0:c r="L611" s="17" t="n"/>
      <ns0:c r="M611" s="17" t="n"/>
      <ns0:c r="N611" s="17" t="n"/>
      <ns0:c r="O611" s="17" t="n"/>
      <ns0:c r="P611" s="17" t="n"/>
      <ns0:c r="Q611" s="17" t="n"/>
      <ns0:c r="R611" s="17" t="n"/>
      <ns0:c r="S611" s="17" t="n"/>
      <ns0:c r="T611" s="17" t="n"/>
      <ns0:c r="U611" s="17" t="n"/>
      <ns0:c r="V611" s="17" t="n"/>
      <ns0:c r="W611" s="17" t="n"/>
      <ns0:c r="X611" s="17" t="n"/>
      <ns0:c r="Y611" s="17" t="n"/>
      <ns0:c r="Z611" s="17" t="n"/>
      <ns0:c r="AA611" s="17" t="n"/>
      <ns0:c r="AB611" s="17" t="n"/>
      <ns0:c r="AC611" s="17" t="n"/>
      <ns0:c r="AD611" s="17" t="n"/>
      <ns0:c r="AE611" s="17" t="n"/>
      <ns0:c r="AF611" s="17" t="n"/>
      <ns0:c r="AG611" s="17" t="n"/>
    </ns0:row>
    <ns0:row r="612" ht="24" customHeight="1">
      <ns0:c r="D612" s="17" t="n"/>
      <ns0:c r="E612" s="17" t="n"/>
      <ns0:c r="F612" s="17" t="n"/>
      <ns0:c r="G612" s="17" t="n"/>
      <ns0:c r="H612" s="17" t="n"/>
      <ns0:c r="I612" s="17" t="n"/>
      <ns0:c r="J612" s="17" t="n"/>
      <ns0:c r="K612" s="17" t="n"/>
      <ns0:c r="L612" s="17" t="n"/>
      <ns0:c r="M612" s="17" t="n"/>
      <ns0:c r="N612" s="17" t="n"/>
      <ns0:c r="O612" s="17" t="n"/>
      <ns0:c r="P612" s="17" t="n"/>
      <ns0:c r="Q612" s="17" t="n"/>
      <ns0:c r="R612" s="17" t="n"/>
      <ns0:c r="S612" s="17" t="n"/>
      <ns0:c r="T612" s="17" t="n"/>
      <ns0:c r="U612" s="17" t="n"/>
      <ns0:c r="V612" s="17" t="n"/>
      <ns0:c r="W612" s="17" t="n"/>
      <ns0:c r="X612" s="17" t="n"/>
      <ns0:c r="Y612" s="17" t="n"/>
      <ns0:c r="Z612" s="17" t="n"/>
      <ns0:c r="AA612" s="17" t="n"/>
      <ns0:c r="AB612" s="17" t="n"/>
      <ns0:c r="AC612" s="17" t="n"/>
      <ns0:c r="AD612" s="17" t="n"/>
      <ns0:c r="AE612" s="17" t="n"/>
      <ns0:c r="AF612" s="17" t="n"/>
      <ns0:c r="AG612" s="17" t="n"/>
    </ns0:row>
    <ns0:row r="613" ht="24" customHeight="1">
      <ns0:c r="D613" s="17" t="n"/>
      <ns0:c r="E613" s="17" t="n"/>
      <ns0:c r="F613" s="17" t="n"/>
      <ns0:c r="G613" s="17" t="n"/>
      <ns0:c r="H613" s="17" t="n"/>
      <ns0:c r="I613" s="17" t="n"/>
      <ns0:c r="J613" s="17" t="n"/>
      <ns0:c r="K613" s="17" t="n"/>
      <ns0:c r="L613" s="17" t="n"/>
      <ns0:c r="M613" s="17" t="n"/>
      <ns0:c r="N613" s="17" t="n"/>
      <ns0:c r="O613" s="17" t="n"/>
      <ns0:c r="P613" s="17" t="n"/>
      <ns0:c r="Q613" s="17" t="n"/>
      <ns0:c r="R613" s="17" t="n"/>
      <ns0:c r="S613" s="17" t="n"/>
      <ns0:c r="T613" s="17" t="n"/>
      <ns0:c r="U613" s="17" t="n"/>
      <ns0:c r="V613" s="17" t="n"/>
      <ns0:c r="W613" s="17" t="n"/>
      <ns0:c r="X613" s="17" t="n"/>
      <ns0:c r="Y613" s="17" t="n"/>
      <ns0:c r="Z613" s="17" t="n"/>
      <ns0:c r="AA613" s="17" t="n"/>
      <ns0:c r="AB613" s="17" t="n"/>
      <ns0:c r="AC613" s="17" t="n"/>
      <ns0:c r="AD613" s="17" t="n"/>
      <ns0:c r="AE613" s="17" t="n"/>
      <ns0:c r="AF613" s="17" t="n"/>
      <ns0:c r="AG613" s="17" t="n"/>
    </ns0:row>
    <ns0:row r="614" ht="24" customHeight="1">
      <ns0:c r="D614" s="17" t="n"/>
      <ns0:c r="E614" s="17" t="n"/>
      <ns0:c r="F614" s="17" t="n"/>
      <ns0:c r="G614" s="17" t="n"/>
      <ns0:c r="H614" s="17" t="n"/>
      <ns0:c r="I614" s="17" t="n"/>
      <ns0:c r="J614" s="17" t="n"/>
      <ns0:c r="K614" s="17" t="n"/>
      <ns0:c r="L614" s="17" t="n"/>
      <ns0:c r="M614" s="17" t="n"/>
      <ns0:c r="N614" s="17" t="n"/>
      <ns0:c r="O614" s="17" t="n"/>
      <ns0:c r="P614" s="17" t="n"/>
      <ns0:c r="Q614" s="17" t="n"/>
      <ns0:c r="R614" s="17" t="n"/>
      <ns0:c r="S614" s="17" t="n"/>
      <ns0:c r="T614" s="17" t="n"/>
      <ns0:c r="U614" s="17" t="n"/>
      <ns0:c r="V614" s="17" t="n"/>
      <ns0:c r="W614" s="17" t="n"/>
      <ns0:c r="X614" s="17" t="n"/>
      <ns0:c r="Y614" s="17" t="n"/>
      <ns0:c r="Z614" s="17" t="n"/>
      <ns0:c r="AA614" s="17" t="n"/>
      <ns0:c r="AB614" s="17" t="n"/>
      <ns0:c r="AC614" s="17" t="n"/>
      <ns0:c r="AD614" s="17" t="n"/>
      <ns0:c r="AE614" s="17" t="n"/>
      <ns0:c r="AF614" s="17" t="n"/>
      <ns0:c r="AG614" s="17" t="n"/>
    </ns0:row>
    <ns0:row r="615" ht="24" customHeight="1">
      <ns0:c r="D615" s="17" t="n"/>
      <ns0:c r="E615" s="17" t="n"/>
      <ns0:c r="F615" s="17" t="n"/>
      <ns0:c r="G615" s="17" t="n"/>
      <ns0:c r="H615" s="17" t="n"/>
      <ns0:c r="I615" s="17" t="n"/>
      <ns0:c r="J615" s="17" t="n"/>
      <ns0:c r="K615" s="17" t="n"/>
      <ns0:c r="L615" s="17" t="n"/>
      <ns0:c r="M615" s="17" t="n"/>
      <ns0:c r="N615" s="17" t="n"/>
      <ns0:c r="O615" s="17" t="n"/>
      <ns0:c r="P615" s="17" t="n"/>
      <ns0:c r="Q615" s="17" t="n"/>
      <ns0:c r="R615" s="17" t="n"/>
      <ns0:c r="S615" s="17" t="n"/>
      <ns0:c r="T615" s="17" t="n"/>
      <ns0:c r="U615" s="17" t="n"/>
      <ns0:c r="V615" s="17" t="n"/>
      <ns0:c r="W615" s="17" t="n"/>
      <ns0:c r="X615" s="17" t="n"/>
      <ns0:c r="Y615" s="17" t="n"/>
      <ns0:c r="Z615" s="17" t="n"/>
      <ns0:c r="AA615" s="17" t="n"/>
      <ns0:c r="AB615" s="17" t="n"/>
      <ns0:c r="AC615" s="17" t="n"/>
      <ns0:c r="AD615" s="17" t="n"/>
      <ns0:c r="AE615" s="17" t="n"/>
      <ns0:c r="AF615" s="17" t="n"/>
      <ns0:c r="AG615" s="17" t="n"/>
    </ns0:row>
    <ns0:row r="616" ht="24" customHeight="1">
      <ns0:c r="D616" s="17" t="n"/>
      <ns0:c r="E616" s="17" t="n"/>
      <ns0:c r="F616" s="17" t="n"/>
      <ns0:c r="G616" s="17" t="n"/>
      <ns0:c r="H616" s="17" t="n"/>
      <ns0:c r="I616" s="17" t="n"/>
      <ns0:c r="J616" s="17" t="n"/>
      <ns0:c r="K616" s="17" t="n"/>
      <ns0:c r="L616" s="17" t="n"/>
      <ns0:c r="M616" s="17" t="n"/>
      <ns0:c r="N616" s="17" t="n"/>
      <ns0:c r="O616" s="17" t="n"/>
      <ns0:c r="P616" s="17" t="n"/>
      <ns0:c r="Q616" s="17" t="n"/>
      <ns0:c r="R616" s="17" t="n"/>
      <ns0:c r="S616" s="17" t="n"/>
      <ns0:c r="T616" s="17" t="n"/>
      <ns0:c r="U616" s="17" t="n"/>
      <ns0:c r="V616" s="17" t="n"/>
      <ns0:c r="W616" s="17" t="n"/>
      <ns0:c r="X616" s="17" t="n"/>
      <ns0:c r="Y616" s="17" t="n"/>
      <ns0:c r="Z616" s="17" t="n"/>
      <ns0:c r="AA616" s="17" t="n"/>
      <ns0:c r="AB616" s="17" t="n"/>
      <ns0:c r="AC616" s="17" t="n"/>
      <ns0:c r="AD616" s="17" t="n"/>
      <ns0:c r="AE616" s="17" t="n"/>
      <ns0:c r="AF616" s="17" t="n"/>
      <ns0:c r="AG616" s="17" t="n"/>
    </ns0:row>
    <ns0:row r="617" ht="24" customHeight="1">
      <ns0:c r="D617" s="17" t="n"/>
      <ns0:c r="E617" s="17" t="n"/>
      <ns0:c r="F617" s="17" t="n"/>
      <ns0:c r="G617" s="17" t="n"/>
      <ns0:c r="H617" s="17" t="n"/>
      <ns0:c r="I617" s="17" t="n"/>
      <ns0:c r="J617" s="17" t="n"/>
      <ns0:c r="K617" s="17" t="n"/>
      <ns0:c r="L617" s="17" t="n"/>
      <ns0:c r="M617" s="17" t="n"/>
      <ns0:c r="N617" s="17" t="n"/>
      <ns0:c r="O617" s="17" t="n"/>
      <ns0:c r="P617" s="17" t="n"/>
      <ns0:c r="Q617" s="17" t="n"/>
      <ns0:c r="R617" s="17" t="n"/>
      <ns0:c r="S617" s="17" t="n"/>
      <ns0:c r="T617" s="17" t="n"/>
      <ns0:c r="U617" s="17" t="n"/>
      <ns0:c r="V617" s="17" t="n"/>
      <ns0:c r="W617" s="17" t="n"/>
      <ns0:c r="X617" s="17" t="n"/>
      <ns0:c r="Y617" s="17" t="n"/>
      <ns0:c r="Z617" s="17" t="n"/>
      <ns0:c r="AA617" s="17" t="n"/>
      <ns0:c r="AB617" s="17" t="n"/>
      <ns0:c r="AC617" s="17" t="n"/>
      <ns0:c r="AD617" s="17" t="n"/>
      <ns0:c r="AE617" s="17" t="n"/>
      <ns0:c r="AF617" s="17" t="n"/>
      <ns0:c r="AG617" s="17" t="n"/>
    </ns0:row>
    <ns0:row r="618" ht="24" customHeight="1">
      <ns0:c r="D618" s="17" t="n"/>
      <ns0:c r="E618" s="17" t="n"/>
      <ns0:c r="F618" s="17" t="n"/>
      <ns0:c r="G618" s="17" t="n"/>
      <ns0:c r="H618" s="17" t="n"/>
      <ns0:c r="I618" s="17" t="n"/>
      <ns0:c r="J618" s="17" t="n"/>
      <ns0:c r="K618" s="17" t="n"/>
      <ns0:c r="L618" s="17" t="n"/>
      <ns0:c r="M618" s="17" t="n"/>
      <ns0:c r="N618" s="17" t="n"/>
      <ns0:c r="O618" s="17" t="n"/>
      <ns0:c r="P618" s="17" t="n"/>
      <ns0:c r="Q618" s="17" t="n"/>
      <ns0:c r="R618" s="17" t="n"/>
      <ns0:c r="S618" s="17" t="n"/>
      <ns0:c r="T618" s="17" t="n"/>
      <ns0:c r="U618" s="17" t="n"/>
      <ns0:c r="V618" s="17" t="n"/>
      <ns0:c r="W618" s="17" t="n"/>
      <ns0:c r="X618" s="17" t="n"/>
      <ns0:c r="Y618" s="17" t="n"/>
      <ns0:c r="Z618" s="17" t="n"/>
      <ns0:c r="AA618" s="17" t="n"/>
      <ns0:c r="AB618" s="17" t="n"/>
      <ns0:c r="AC618" s="17" t="n"/>
      <ns0:c r="AD618" s="17" t="n"/>
      <ns0:c r="AE618" s="17" t="n"/>
      <ns0:c r="AF618" s="17" t="n"/>
      <ns0:c r="AG618" s="17" t="n"/>
    </ns0:row>
    <ns0:row r="619" ht="24" customHeight="1">
      <ns0:c r="D619" s="17" t="n"/>
      <ns0:c r="E619" s="17" t="n"/>
      <ns0:c r="F619" s="17" t="n"/>
      <ns0:c r="G619" s="17" t="n"/>
      <ns0:c r="H619" s="17" t="n"/>
      <ns0:c r="I619" s="17" t="n"/>
      <ns0:c r="J619" s="17" t="n"/>
      <ns0:c r="K619" s="17" t="n"/>
      <ns0:c r="L619" s="17" t="n"/>
      <ns0:c r="M619" s="17" t="n"/>
      <ns0:c r="N619" s="17" t="n"/>
      <ns0:c r="O619" s="17" t="n"/>
      <ns0:c r="P619" s="17" t="n"/>
      <ns0:c r="Q619" s="17" t="n"/>
      <ns0:c r="R619" s="17" t="n"/>
      <ns0:c r="S619" s="17" t="n"/>
      <ns0:c r="T619" s="17" t="n"/>
      <ns0:c r="U619" s="17" t="n"/>
      <ns0:c r="V619" s="17" t="n"/>
      <ns0:c r="W619" s="17" t="n"/>
      <ns0:c r="X619" s="17" t="n"/>
      <ns0:c r="Y619" s="17" t="n"/>
      <ns0:c r="Z619" s="17" t="n"/>
      <ns0:c r="AA619" s="17" t="n"/>
      <ns0:c r="AB619" s="17" t="n"/>
      <ns0:c r="AC619" s="17" t="n"/>
      <ns0:c r="AD619" s="17" t="n"/>
      <ns0:c r="AE619" s="17" t="n"/>
      <ns0:c r="AF619" s="17" t="n"/>
      <ns0:c r="AG619" s="17" t="n"/>
    </ns0:row>
    <ns0:row r="620" ht="24" customHeight="1">
      <ns0:c r="D620" s="17" t="n"/>
      <ns0:c r="E620" s="17" t="n"/>
      <ns0:c r="F620" s="17" t="n"/>
      <ns0:c r="G620" s="17" t="n"/>
      <ns0:c r="H620" s="17" t="n"/>
      <ns0:c r="I620" s="17" t="n"/>
      <ns0:c r="J620" s="17" t="n"/>
      <ns0:c r="K620" s="17" t="n"/>
      <ns0:c r="L620" s="17" t="n"/>
      <ns0:c r="M620" s="17" t="n"/>
      <ns0:c r="N620" s="17" t="n"/>
      <ns0:c r="O620" s="17" t="n"/>
      <ns0:c r="P620" s="17" t="n"/>
      <ns0:c r="Q620" s="17" t="n"/>
      <ns0:c r="R620" s="17" t="n"/>
      <ns0:c r="S620" s="17" t="n"/>
      <ns0:c r="T620" s="17" t="n"/>
      <ns0:c r="U620" s="17" t="n"/>
      <ns0:c r="V620" s="17" t="n"/>
      <ns0:c r="W620" s="17" t="n"/>
      <ns0:c r="X620" s="17" t="n"/>
      <ns0:c r="Y620" s="17" t="n"/>
      <ns0:c r="Z620" s="17" t="n"/>
      <ns0:c r="AA620" s="17" t="n"/>
      <ns0:c r="AB620" s="17" t="n"/>
      <ns0:c r="AC620" s="17" t="n"/>
      <ns0:c r="AD620" s="17" t="n"/>
      <ns0:c r="AE620" s="17" t="n"/>
      <ns0:c r="AF620" s="17" t="n"/>
      <ns0:c r="AG620" s="17" t="n"/>
    </ns0:row>
    <ns0:row r="621" ht="24" customHeight="1">
      <ns0:c r="D621" s="17" t="n"/>
      <ns0:c r="E621" s="17" t="n"/>
      <ns0:c r="F621" s="17" t="n"/>
      <ns0:c r="G621" s="17" t="n"/>
      <ns0:c r="H621" s="17" t="n"/>
      <ns0:c r="I621" s="17" t="n"/>
      <ns0:c r="J621" s="17" t="n"/>
      <ns0:c r="K621" s="17" t="n"/>
      <ns0:c r="L621" s="17" t="n"/>
      <ns0:c r="M621" s="17" t="n"/>
      <ns0:c r="N621" s="17" t="n"/>
      <ns0:c r="O621" s="17" t="n"/>
      <ns0:c r="P621" s="17" t="n"/>
      <ns0:c r="Q621" s="17" t="n"/>
      <ns0:c r="R621" s="17" t="n"/>
      <ns0:c r="S621" s="17" t="n"/>
      <ns0:c r="T621" s="17" t="n"/>
      <ns0:c r="U621" s="17" t="n"/>
      <ns0:c r="V621" s="17" t="n"/>
      <ns0:c r="W621" s="17" t="n"/>
      <ns0:c r="X621" s="17" t="n"/>
      <ns0:c r="Y621" s="17" t="n"/>
      <ns0:c r="Z621" s="17" t="n"/>
      <ns0:c r="AA621" s="17" t="n"/>
      <ns0:c r="AB621" s="17" t="n"/>
      <ns0:c r="AC621" s="17" t="n"/>
      <ns0:c r="AD621" s="17" t="n"/>
      <ns0:c r="AE621" s="17" t="n"/>
      <ns0:c r="AF621" s="17" t="n"/>
      <ns0:c r="AG621" s="17" t="n"/>
    </ns0:row>
    <ns0:row r="622" ht="24" customHeight="1">
      <ns0:c r="D622" s="17" t="n"/>
      <ns0:c r="E622" s="17" t="n"/>
      <ns0:c r="F622" s="17" t="n"/>
      <ns0:c r="G622" s="17" t="n"/>
      <ns0:c r="H622" s="17" t="n"/>
      <ns0:c r="I622" s="17" t="n"/>
      <ns0:c r="J622" s="17" t="n"/>
      <ns0:c r="K622" s="17" t="n"/>
      <ns0:c r="L622" s="17" t="n"/>
      <ns0:c r="M622" s="17" t="n"/>
      <ns0:c r="N622" s="17" t="n"/>
      <ns0:c r="O622" s="17" t="n"/>
      <ns0:c r="P622" s="17" t="n"/>
      <ns0:c r="Q622" s="17" t="n"/>
      <ns0:c r="R622" s="17" t="n"/>
      <ns0:c r="S622" s="17" t="n"/>
      <ns0:c r="T622" s="17" t="n"/>
      <ns0:c r="U622" s="17" t="n"/>
      <ns0:c r="V622" s="17" t="n"/>
      <ns0:c r="W622" s="17" t="n"/>
      <ns0:c r="X622" s="17" t="n"/>
      <ns0:c r="Y622" s="17" t="n"/>
      <ns0:c r="Z622" s="17" t="n"/>
      <ns0:c r="AA622" s="17" t="n"/>
      <ns0:c r="AB622" s="17" t="n"/>
      <ns0:c r="AC622" s="17" t="n"/>
      <ns0:c r="AD622" s="17" t="n"/>
      <ns0:c r="AE622" s="17" t="n"/>
      <ns0:c r="AF622" s="17" t="n"/>
      <ns0:c r="AG622" s="17" t="n"/>
    </ns0:row>
    <ns0:row r="623" ht="24" customHeight="1">
      <ns0:c r="D623" s="17" t="n"/>
      <ns0:c r="E623" s="17" t="n"/>
      <ns0:c r="F623" s="17" t="n"/>
      <ns0:c r="G623" s="17" t="n"/>
      <ns0:c r="H623" s="17" t="n"/>
      <ns0:c r="I623" s="17" t="n"/>
      <ns0:c r="J623" s="17" t="n"/>
      <ns0:c r="K623" s="17" t="n"/>
      <ns0:c r="L623" s="17" t="n"/>
      <ns0:c r="M623" s="17" t="n"/>
      <ns0:c r="N623" s="17" t="n"/>
      <ns0:c r="O623" s="17" t="n"/>
      <ns0:c r="P623" s="17" t="n"/>
      <ns0:c r="Q623" s="17" t="n"/>
      <ns0:c r="R623" s="17" t="n"/>
      <ns0:c r="S623" s="17" t="n"/>
      <ns0:c r="T623" s="17" t="n"/>
      <ns0:c r="U623" s="17" t="n"/>
      <ns0:c r="V623" s="17" t="n"/>
      <ns0:c r="W623" s="17" t="n"/>
      <ns0:c r="X623" s="17" t="n"/>
      <ns0:c r="Y623" s="17" t="n"/>
      <ns0:c r="Z623" s="17" t="n"/>
      <ns0:c r="AA623" s="17" t="n"/>
      <ns0:c r="AB623" s="17" t="n"/>
      <ns0:c r="AC623" s="17" t="n"/>
      <ns0:c r="AD623" s="17" t="n"/>
      <ns0:c r="AE623" s="17" t="n"/>
      <ns0:c r="AF623" s="17" t="n"/>
      <ns0:c r="AG623" s="17" t="n"/>
    </ns0:row>
    <ns0:row r="624" ht="24" customHeight="1">
      <ns0:c r="D624" s="17" t="n"/>
      <ns0:c r="E624" s="17" t="n"/>
      <ns0:c r="F624" s="17" t="n"/>
      <ns0:c r="G624" s="17" t="n"/>
      <ns0:c r="H624" s="17" t="n"/>
      <ns0:c r="I624" s="17" t="n"/>
      <ns0:c r="J624" s="17" t="n"/>
      <ns0:c r="K624" s="17" t="n"/>
      <ns0:c r="L624" s="17" t="n"/>
      <ns0:c r="M624" s="17" t="n"/>
      <ns0:c r="N624" s="17" t="n"/>
      <ns0:c r="O624" s="17" t="n"/>
      <ns0:c r="P624" s="17" t="n"/>
      <ns0:c r="Q624" s="17" t="n"/>
      <ns0:c r="R624" s="17" t="n"/>
      <ns0:c r="S624" s="17" t="n"/>
      <ns0:c r="T624" s="17" t="n"/>
      <ns0:c r="U624" s="17" t="n"/>
      <ns0:c r="V624" s="17" t="n"/>
      <ns0:c r="W624" s="17" t="n"/>
      <ns0:c r="X624" s="17" t="n"/>
      <ns0:c r="Y624" s="17" t="n"/>
      <ns0:c r="Z624" s="17" t="n"/>
      <ns0:c r="AA624" s="17" t="n"/>
      <ns0:c r="AB624" s="17" t="n"/>
      <ns0:c r="AC624" s="17" t="n"/>
      <ns0:c r="AD624" s="17" t="n"/>
      <ns0:c r="AE624" s="17" t="n"/>
      <ns0:c r="AF624" s="17" t="n"/>
      <ns0:c r="AG624" s="17" t="n"/>
    </ns0:row>
    <ns0:row r="625" ht="24" customHeight="1">
      <ns0:c r="D625" s="17" t="n"/>
      <ns0:c r="E625" s="17" t="n"/>
      <ns0:c r="F625" s="17" t="n"/>
      <ns0:c r="G625" s="17" t="n"/>
      <ns0:c r="H625" s="17" t="n"/>
      <ns0:c r="I625" s="17" t="n"/>
      <ns0:c r="J625" s="17" t="n"/>
      <ns0:c r="K625" s="17" t="n"/>
      <ns0:c r="L625" s="17" t="n"/>
      <ns0:c r="M625" s="17" t="n"/>
      <ns0:c r="N625" s="17" t="n"/>
      <ns0:c r="O625" s="17" t="n"/>
      <ns0:c r="P625" s="17" t="n"/>
      <ns0:c r="Q625" s="17" t="n"/>
      <ns0:c r="R625" s="17" t="n"/>
      <ns0:c r="S625" s="17" t="n"/>
      <ns0:c r="T625" s="17" t="n"/>
      <ns0:c r="U625" s="17" t="n"/>
      <ns0:c r="V625" s="17" t="n"/>
      <ns0:c r="W625" s="17" t="n"/>
      <ns0:c r="X625" s="17" t="n"/>
      <ns0:c r="Y625" s="17" t="n"/>
      <ns0:c r="Z625" s="17" t="n"/>
      <ns0:c r="AA625" s="17" t="n"/>
      <ns0:c r="AB625" s="17" t="n"/>
      <ns0:c r="AC625" s="17" t="n"/>
      <ns0:c r="AD625" s="17" t="n"/>
      <ns0:c r="AE625" s="17" t="n"/>
      <ns0:c r="AF625" s="17" t="n"/>
      <ns0:c r="AG625" s="17" t="n"/>
    </ns0:row>
    <ns0:row r="626" ht="24" customHeight="1">
      <ns0:c r="D626" s="17" t="n"/>
      <ns0:c r="E626" s="17" t="n"/>
      <ns0:c r="F626" s="17" t="n"/>
      <ns0:c r="G626" s="17" t="n"/>
      <ns0:c r="H626" s="17" t="n"/>
      <ns0:c r="I626" s="17" t="n"/>
      <ns0:c r="J626" s="17" t="n"/>
      <ns0:c r="K626" s="17" t="n"/>
      <ns0:c r="L626" s="17" t="n"/>
      <ns0:c r="M626" s="17" t="n"/>
      <ns0:c r="N626" s="17" t="n"/>
      <ns0:c r="O626" s="17" t="n"/>
      <ns0:c r="P626" s="17" t="n"/>
      <ns0:c r="Q626" s="17" t="n"/>
      <ns0:c r="R626" s="17" t="n"/>
      <ns0:c r="S626" s="17" t="n"/>
      <ns0:c r="T626" s="17" t="n"/>
      <ns0:c r="U626" s="17" t="n"/>
      <ns0:c r="V626" s="17" t="n"/>
      <ns0:c r="W626" s="17" t="n"/>
      <ns0:c r="X626" s="17" t="n"/>
      <ns0:c r="Y626" s="17" t="n"/>
      <ns0:c r="Z626" s="17" t="n"/>
      <ns0:c r="AA626" s="17" t="n"/>
      <ns0:c r="AB626" s="17" t="n"/>
      <ns0:c r="AC626" s="17" t="n"/>
      <ns0:c r="AD626" s="17" t="n"/>
      <ns0:c r="AE626" s="17" t="n"/>
      <ns0:c r="AF626" s="17" t="n"/>
      <ns0:c r="AG626" s="17" t="n"/>
    </ns0:row>
    <ns0:row r="627" ht="24" customHeight="1">
      <ns0:c r="D627" s="17" t="n"/>
      <ns0:c r="E627" s="17" t="n"/>
      <ns0:c r="F627" s="17" t="n"/>
      <ns0:c r="G627" s="17" t="n"/>
      <ns0:c r="H627" s="17" t="n"/>
      <ns0:c r="I627" s="17" t="n"/>
      <ns0:c r="J627" s="17" t="n"/>
      <ns0:c r="K627" s="17" t="n"/>
      <ns0:c r="L627" s="17" t="n"/>
      <ns0:c r="M627" s="17" t="n"/>
      <ns0:c r="N627" s="17" t="n"/>
      <ns0:c r="O627" s="17" t="n"/>
      <ns0:c r="P627" s="17" t="n"/>
      <ns0:c r="Q627" s="17" t="n"/>
      <ns0:c r="R627" s="17" t="n"/>
      <ns0:c r="S627" s="17" t="n"/>
      <ns0:c r="T627" s="17" t="n"/>
      <ns0:c r="U627" s="17" t="n"/>
      <ns0:c r="V627" s="17" t="n"/>
      <ns0:c r="W627" s="17" t="n"/>
      <ns0:c r="X627" s="17" t="n"/>
      <ns0:c r="Y627" s="17" t="n"/>
      <ns0:c r="Z627" s="17" t="n"/>
      <ns0:c r="AA627" s="17" t="n"/>
      <ns0:c r="AB627" s="17" t="n"/>
      <ns0:c r="AC627" s="17" t="n"/>
      <ns0:c r="AD627" s="17" t="n"/>
      <ns0:c r="AE627" s="17" t="n"/>
      <ns0:c r="AF627" s="17" t="n"/>
      <ns0:c r="AG627" s="17" t="n"/>
    </ns0:row>
    <ns0:row r="628" ht="24" customHeight="1">
      <ns0:c r="D628" s="17" t="n"/>
      <ns0:c r="E628" s="17" t="n"/>
      <ns0:c r="F628" s="17" t="n"/>
      <ns0:c r="G628" s="17" t="n"/>
      <ns0:c r="H628" s="17" t="n"/>
      <ns0:c r="I628" s="17" t="n"/>
      <ns0:c r="J628" s="17" t="n"/>
      <ns0:c r="K628" s="17" t="n"/>
      <ns0:c r="L628" s="17" t="n"/>
      <ns0:c r="M628" s="17" t="n"/>
      <ns0:c r="N628" s="17" t="n"/>
      <ns0:c r="O628" s="17" t="n"/>
      <ns0:c r="P628" s="17" t="n"/>
      <ns0:c r="Q628" s="17" t="n"/>
      <ns0:c r="R628" s="17" t="n"/>
      <ns0:c r="S628" s="17" t="n"/>
      <ns0:c r="T628" s="17" t="n"/>
      <ns0:c r="U628" s="17" t="n"/>
      <ns0:c r="V628" s="17" t="n"/>
      <ns0:c r="W628" s="17" t="n"/>
      <ns0:c r="X628" s="17" t="n"/>
      <ns0:c r="Y628" s="17" t="n"/>
      <ns0:c r="Z628" s="17" t="n"/>
      <ns0:c r="AA628" s="17" t="n"/>
      <ns0:c r="AB628" s="17" t="n"/>
      <ns0:c r="AC628" s="17" t="n"/>
      <ns0:c r="AD628" s="17" t="n"/>
      <ns0:c r="AE628" s="17" t="n"/>
      <ns0:c r="AF628" s="17" t="n"/>
      <ns0:c r="AG628" s="17" t="n"/>
    </ns0:row>
    <ns0:row r="629" ht="24" customHeight="1">
      <ns0:c r="D629" s="17" t="n"/>
      <ns0:c r="E629" s="17" t="n"/>
      <ns0:c r="F629" s="17" t="n"/>
      <ns0:c r="G629" s="17" t="n"/>
      <ns0:c r="H629" s="17" t="n"/>
      <ns0:c r="I629" s="17" t="n"/>
      <ns0:c r="J629" s="17" t="n"/>
      <ns0:c r="K629" s="17" t="n"/>
      <ns0:c r="L629" s="17" t="n"/>
      <ns0:c r="M629" s="17" t="n"/>
      <ns0:c r="N629" s="17" t="n"/>
      <ns0:c r="O629" s="17" t="n"/>
      <ns0:c r="P629" s="17" t="n"/>
      <ns0:c r="Q629" s="17" t="n"/>
      <ns0:c r="R629" s="17" t="n"/>
      <ns0:c r="S629" s="17" t="n"/>
      <ns0:c r="T629" s="17" t="n"/>
      <ns0:c r="U629" s="17" t="n"/>
      <ns0:c r="V629" s="17" t="n"/>
      <ns0:c r="W629" s="17" t="n"/>
      <ns0:c r="X629" s="17" t="n"/>
      <ns0:c r="Y629" s="17" t="n"/>
      <ns0:c r="Z629" s="17" t="n"/>
      <ns0:c r="AA629" s="17" t="n"/>
      <ns0:c r="AB629" s="17" t="n"/>
      <ns0:c r="AC629" s="17" t="n"/>
      <ns0:c r="AD629" s="17" t="n"/>
      <ns0:c r="AE629" s="17" t="n"/>
      <ns0:c r="AF629" s="17" t="n"/>
      <ns0:c r="AG629" s="17" t="n"/>
    </ns0:row>
    <ns0:row r="630" ht="24" customHeight="1">
      <ns0:c r="D630" s="17" t="n"/>
      <ns0:c r="E630" s="17" t="n"/>
      <ns0:c r="F630" s="17" t="n"/>
      <ns0:c r="G630" s="17" t="n"/>
      <ns0:c r="H630" s="17" t="n"/>
      <ns0:c r="I630" s="17" t="n"/>
      <ns0:c r="J630" s="17" t="n"/>
      <ns0:c r="K630" s="17" t="n"/>
      <ns0:c r="L630" s="17" t="n"/>
      <ns0:c r="M630" s="17" t="n"/>
      <ns0:c r="N630" s="17" t="n"/>
      <ns0:c r="O630" s="17" t="n"/>
      <ns0:c r="P630" s="17" t="n"/>
      <ns0:c r="Q630" s="17" t="n"/>
      <ns0:c r="R630" s="17" t="n"/>
      <ns0:c r="S630" s="17" t="n"/>
      <ns0:c r="T630" s="17" t="n"/>
      <ns0:c r="U630" s="17" t="n"/>
      <ns0:c r="V630" s="17" t="n"/>
      <ns0:c r="W630" s="17" t="n"/>
      <ns0:c r="X630" s="17" t="n"/>
      <ns0:c r="Y630" s="17" t="n"/>
      <ns0:c r="Z630" s="17" t="n"/>
      <ns0:c r="AA630" s="17" t="n"/>
      <ns0:c r="AB630" s="17" t="n"/>
      <ns0:c r="AC630" s="17" t="n"/>
      <ns0:c r="AD630" s="17" t="n"/>
      <ns0:c r="AE630" s="17" t="n"/>
      <ns0:c r="AF630" s="17" t="n"/>
      <ns0:c r="AG630" s="17" t="n"/>
    </ns0:row>
    <ns0:row r="631" ht="24" customHeight="1">
      <ns0:c r="D631" s="17" t="n"/>
      <ns0:c r="E631" s="17" t="n"/>
      <ns0:c r="F631" s="17" t="n"/>
      <ns0:c r="G631" s="17" t="n"/>
      <ns0:c r="H631" s="17" t="n"/>
      <ns0:c r="I631" s="17" t="n"/>
      <ns0:c r="J631" s="17" t="n"/>
      <ns0:c r="K631" s="17" t="n"/>
      <ns0:c r="L631" s="17" t="n"/>
      <ns0:c r="M631" s="17" t="n"/>
      <ns0:c r="N631" s="17" t="n"/>
      <ns0:c r="O631" s="17" t="n"/>
      <ns0:c r="P631" s="17" t="n"/>
      <ns0:c r="Q631" s="17" t="n"/>
      <ns0:c r="R631" s="17" t="n"/>
      <ns0:c r="S631" s="17" t="n"/>
      <ns0:c r="T631" s="17" t="n"/>
      <ns0:c r="U631" s="17" t="n"/>
      <ns0:c r="V631" s="17" t="n"/>
      <ns0:c r="W631" s="17" t="n"/>
      <ns0:c r="X631" s="17" t="n"/>
      <ns0:c r="Y631" s="17" t="n"/>
      <ns0:c r="Z631" s="17" t="n"/>
      <ns0:c r="AA631" s="17" t="n"/>
      <ns0:c r="AB631" s="17" t="n"/>
      <ns0:c r="AC631" s="17" t="n"/>
      <ns0:c r="AD631" s="17" t="n"/>
      <ns0:c r="AE631" s="17" t="n"/>
      <ns0:c r="AF631" s="17" t="n"/>
      <ns0:c r="AG631" s="17" t="n"/>
    </ns0:row>
    <ns0:row r="632" ht="24" customHeight="1">
      <ns0:c r="D632" s="17" t="n"/>
      <ns0:c r="E632" s="17" t="n"/>
      <ns0:c r="F632" s="17" t="n"/>
      <ns0:c r="G632" s="17" t="n"/>
      <ns0:c r="H632" s="17" t="n"/>
      <ns0:c r="I632" s="17" t="n"/>
      <ns0:c r="J632" s="17" t="n"/>
      <ns0:c r="K632" s="17" t="n"/>
      <ns0:c r="L632" s="17" t="n"/>
      <ns0:c r="M632" s="17" t="n"/>
      <ns0:c r="N632" s="17" t="n"/>
      <ns0:c r="O632" s="17" t="n"/>
      <ns0:c r="P632" s="17" t="n"/>
      <ns0:c r="Q632" s="17" t="n"/>
      <ns0:c r="R632" s="17" t="n"/>
      <ns0:c r="S632" s="17" t="n"/>
      <ns0:c r="T632" s="17" t="n"/>
      <ns0:c r="U632" s="17" t="n"/>
      <ns0:c r="V632" s="17" t="n"/>
      <ns0:c r="W632" s="17" t="n"/>
      <ns0:c r="X632" s="17" t="n"/>
      <ns0:c r="Y632" s="17" t="n"/>
      <ns0:c r="Z632" s="17" t="n"/>
      <ns0:c r="AA632" s="17" t="n"/>
      <ns0:c r="AB632" s="17" t="n"/>
      <ns0:c r="AC632" s="17" t="n"/>
      <ns0:c r="AD632" s="17" t="n"/>
      <ns0:c r="AE632" s="17" t="n"/>
      <ns0:c r="AF632" s="17" t="n"/>
      <ns0:c r="AG632" s="17" t="n"/>
    </ns0:row>
    <ns0:row r="633" ht="24" customHeight="1">
      <ns0:c r="D633" s="17" t="n"/>
      <ns0:c r="E633" s="17" t="n"/>
      <ns0:c r="F633" s="17" t="n"/>
      <ns0:c r="G633" s="17" t="n"/>
      <ns0:c r="H633" s="17" t="n"/>
      <ns0:c r="I633" s="17" t="n"/>
      <ns0:c r="J633" s="17" t="n"/>
      <ns0:c r="K633" s="17" t="n"/>
      <ns0:c r="L633" s="17" t="n"/>
      <ns0:c r="M633" s="17" t="n"/>
      <ns0:c r="N633" s="17" t="n"/>
      <ns0:c r="O633" s="17" t="n"/>
      <ns0:c r="P633" s="17" t="n"/>
      <ns0:c r="Q633" s="17" t="n"/>
      <ns0:c r="R633" s="17" t="n"/>
      <ns0:c r="S633" s="17" t="n"/>
      <ns0:c r="T633" s="17" t="n"/>
      <ns0:c r="U633" s="17" t="n"/>
      <ns0:c r="V633" s="17" t="n"/>
      <ns0:c r="W633" s="17" t="n"/>
      <ns0:c r="X633" s="17" t="n"/>
      <ns0:c r="Y633" s="17" t="n"/>
      <ns0:c r="Z633" s="17" t="n"/>
      <ns0:c r="AA633" s="17" t="n"/>
      <ns0:c r="AB633" s="17" t="n"/>
      <ns0:c r="AC633" s="17" t="n"/>
      <ns0:c r="AD633" s="17" t="n"/>
      <ns0:c r="AE633" s="17" t="n"/>
      <ns0:c r="AF633" s="17" t="n"/>
      <ns0:c r="AG633" s="17" t="n"/>
    </ns0:row>
    <ns0:row r="634" ht="24" customHeight="1">
      <ns0:c r="D634" s="17" t="n"/>
      <ns0:c r="E634" s="17" t="n"/>
      <ns0:c r="F634" s="17" t="n"/>
      <ns0:c r="G634" s="17" t="n"/>
      <ns0:c r="H634" s="17" t="n"/>
      <ns0:c r="I634" s="17" t="n"/>
      <ns0:c r="J634" s="17" t="n"/>
      <ns0:c r="K634" s="17" t="n"/>
      <ns0:c r="L634" s="17" t="n"/>
      <ns0:c r="M634" s="17" t="n"/>
      <ns0:c r="N634" s="17" t="n"/>
      <ns0:c r="O634" s="17" t="n"/>
      <ns0:c r="P634" s="17" t="n"/>
      <ns0:c r="Q634" s="17" t="n"/>
      <ns0:c r="R634" s="17" t="n"/>
      <ns0:c r="S634" s="17" t="n"/>
      <ns0:c r="T634" s="17" t="n"/>
      <ns0:c r="U634" s="17" t="n"/>
      <ns0:c r="V634" s="17" t="n"/>
      <ns0:c r="W634" s="17" t="n"/>
      <ns0:c r="X634" s="17" t="n"/>
      <ns0:c r="Y634" s="17" t="n"/>
      <ns0:c r="Z634" s="17" t="n"/>
      <ns0:c r="AA634" s="17" t="n"/>
      <ns0:c r="AB634" s="17" t="n"/>
      <ns0:c r="AC634" s="17" t="n"/>
      <ns0:c r="AD634" s="17" t="n"/>
      <ns0:c r="AE634" s="17" t="n"/>
      <ns0:c r="AF634" s="17" t="n"/>
      <ns0:c r="AG634" s="17" t="n"/>
    </ns0:row>
    <ns0:row r="635" ht="24" customHeight="1">
      <ns0:c r="D635" s="17" t="n"/>
      <ns0:c r="E635" s="17" t="n"/>
      <ns0:c r="F635" s="17" t="n"/>
      <ns0:c r="G635" s="17" t="n"/>
      <ns0:c r="H635" s="17" t="n"/>
      <ns0:c r="I635" s="17" t="n"/>
      <ns0:c r="J635" s="17" t="n"/>
      <ns0:c r="K635" s="17" t="n"/>
      <ns0:c r="L635" s="17" t="n"/>
      <ns0:c r="M635" s="17" t="n"/>
      <ns0:c r="N635" s="17" t="n"/>
      <ns0:c r="O635" s="17" t="n"/>
      <ns0:c r="P635" s="17" t="n"/>
      <ns0:c r="Q635" s="17" t="n"/>
      <ns0:c r="R635" s="17" t="n"/>
      <ns0:c r="S635" s="17" t="n"/>
      <ns0:c r="T635" s="17" t="n"/>
      <ns0:c r="U635" s="17" t="n"/>
      <ns0:c r="V635" s="17" t="n"/>
      <ns0:c r="W635" s="17" t="n"/>
      <ns0:c r="X635" s="17" t="n"/>
      <ns0:c r="Y635" s="17" t="n"/>
      <ns0:c r="Z635" s="17" t="n"/>
      <ns0:c r="AA635" s="17" t="n"/>
      <ns0:c r="AB635" s="17" t="n"/>
      <ns0:c r="AC635" s="17" t="n"/>
      <ns0:c r="AD635" s="17" t="n"/>
      <ns0:c r="AE635" s="17" t="n"/>
      <ns0:c r="AF635" s="17" t="n"/>
      <ns0:c r="AG635" s="17" t="n"/>
    </ns0:row>
    <ns0:row r="636" ht="24" customHeight="1">
      <ns0:c r="D636" s="17" t="n"/>
      <ns0:c r="E636" s="17" t="n"/>
      <ns0:c r="F636" s="17" t="n"/>
      <ns0:c r="G636" s="17" t="n"/>
      <ns0:c r="H636" s="17" t="n"/>
      <ns0:c r="I636" s="17" t="n"/>
      <ns0:c r="J636" s="17" t="n"/>
      <ns0:c r="K636" s="17" t="n"/>
      <ns0:c r="L636" s="17" t="n"/>
      <ns0:c r="M636" s="17" t="n"/>
      <ns0:c r="N636" s="17" t="n"/>
      <ns0:c r="O636" s="17" t="n"/>
      <ns0:c r="P636" s="17" t="n"/>
      <ns0:c r="Q636" s="17" t="n"/>
      <ns0:c r="R636" s="17" t="n"/>
      <ns0:c r="S636" s="17" t="n"/>
      <ns0:c r="T636" s="17" t="n"/>
      <ns0:c r="U636" s="17" t="n"/>
      <ns0:c r="V636" s="17" t="n"/>
      <ns0:c r="W636" s="17" t="n"/>
      <ns0:c r="X636" s="17" t="n"/>
      <ns0:c r="Y636" s="17" t="n"/>
      <ns0:c r="Z636" s="17" t="n"/>
      <ns0:c r="AA636" s="17" t="n"/>
      <ns0:c r="AB636" s="17" t="n"/>
      <ns0:c r="AC636" s="17" t="n"/>
      <ns0:c r="AD636" s="17" t="n"/>
      <ns0:c r="AE636" s="17" t="n"/>
      <ns0:c r="AF636" s="17" t="n"/>
      <ns0:c r="AG636" s="17" t="n"/>
    </ns0:row>
    <ns0:row r="637" ht="24" customHeight="1">
      <ns0:c r="D637" s="17" t="n"/>
      <ns0:c r="E637" s="17" t="n"/>
      <ns0:c r="F637" s="17" t="n"/>
      <ns0:c r="G637" s="17" t="n"/>
      <ns0:c r="H637" s="17" t="n"/>
      <ns0:c r="I637" s="17" t="n"/>
      <ns0:c r="J637" s="17" t="n"/>
      <ns0:c r="K637" s="17" t="n"/>
      <ns0:c r="L637" s="17" t="n"/>
      <ns0:c r="M637" s="17" t="n"/>
      <ns0:c r="N637" s="17" t="n"/>
      <ns0:c r="O637" s="17" t="n"/>
      <ns0:c r="P637" s="17" t="n"/>
      <ns0:c r="Q637" s="17" t="n"/>
      <ns0:c r="R637" s="17" t="n"/>
      <ns0:c r="S637" s="17" t="n"/>
      <ns0:c r="T637" s="17" t="n"/>
      <ns0:c r="U637" s="17" t="n"/>
      <ns0:c r="V637" s="17" t="n"/>
      <ns0:c r="W637" s="17" t="n"/>
      <ns0:c r="X637" s="17" t="n"/>
      <ns0:c r="Y637" s="17" t="n"/>
      <ns0:c r="Z637" s="17" t="n"/>
      <ns0:c r="AA637" s="17" t="n"/>
      <ns0:c r="AB637" s="17" t="n"/>
      <ns0:c r="AC637" s="17" t="n"/>
      <ns0:c r="AD637" s="17" t="n"/>
      <ns0:c r="AE637" s="17" t="n"/>
      <ns0:c r="AF637" s="17" t="n"/>
      <ns0:c r="AG637" s="17" t="n"/>
    </ns0:row>
    <ns0:row r="638" ht="24" customHeight="1">
      <ns0:c r="D638" s="17" t="n"/>
      <ns0:c r="E638" s="17" t="n"/>
      <ns0:c r="F638" s="17" t="n"/>
      <ns0:c r="G638" s="17" t="n"/>
      <ns0:c r="H638" s="17" t="n"/>
      <ns0:c r="I638" s="17" t="n"/>
      <ns0:c r="J638" s="17" t="n"/>
      <ns0:c r="K638" s="17" t="n"/>
      <ns0:c r="L638" s="17" t="n"/>
      <ns0:c r="M638" s="17" t="n"/>
      <ns0:c r="N638" s="17" t="n"/>
      <ns0:c r="O638" s="17" t="n"/>
      <ns0:c r="P638" s="17" t="n"/>
      <ns0:c r="Q638" s="17" t="n"/>
      <ns0:c r="R638" s="17" t="n"/>
      <ns0:c r="S638" s="17" t="n"/>
      <ns0:c r="T638" s="17" t="n"/>
      <ns0:c r="U638" s="17" t="n"/>
      <ns0:c r="V638" s="17" t="n"/>
      <ns0:c r="W638" s="17" t="n"/>
      <ns0:c r="X638" s="17" t="n"/>
      <ns0:c r="Y638" s="17" t="n"/>
      <ns0:c r="Z638" s="17" t="n"/>
      <ns0:c r="AA638" s="17" t="n"/>
      <ns0:c r="AB638" s="17" t="n"/>
      <ns0:c r="AC638" s="17" t="n"/>
      <ns0:c r="AD638" s="17" t="n"/>
      <ns0:c r="AE638" s="17" t="n"/>
      <ns0:c r="AF638" s="17" t="n"/>
      <ns0:c r="AG638" s="17" t="n"/>
    </ns0:row>
    <ns0:row r="639" ht="24" customHeight="1">
      <ns0:c r="D639" s="17" t="n"/>
      <ns0:c r="E639" s="17" t="n"/>
      <ns0:c r="F639" s="17" t="n"/>
      <ns0:c r="G639" s="17" t="n"/>
      <ns0:c r="H639" s="17" t="n"/>
      <ns0:c r="I639" s="17" t="n"/>
      <ns0:c r="J639" s="17" t="n"/>
      <ns0:c r="K639" s="17" t="n"/>
      <ns0:c r="L639" s="17" t="n"/>
      <ns0:c r="M639" s="17" t="n"/>
      <ns0:c r="N639" s="17" t="n"/>
      <ns0:c r="O639" s="17" t="n"/>
      <ns0:c r="P639" s="17" t="n"/>
      <ns0:c r="Q639" s="17" t="n"/>
      <ns0:c r="R639" s="17" t="n"/>
      <ns0:c r="S639" s="17" t="n"/>
      <ns0:c r="T639" s="17" t="n"/>
      <ns0:c r="U639" s="17" t="n"/>
      <ns0:c r="V639" s="17" t="n"/>
      <ns0:c r="W639" s="17" t="n"/>
      <ns0:c r="X639" s="17" t="n"/>
      <ns0:c r="Y639" s="17" t="n"/>
      <ns0:c r="Z639" s="17" t="n"/>
      <ns0:c r="AA639" s="17" t="n"/>
      <ns0:c r="AB639" s="17" t="n"/>
      <ns0:c r="AC639" s="17" t="n"/>
      <ns0:c r="AD639" s="17" t="n"/>
      <ns0:c r="AE639" s="17" t="n"/>
      <ns0:c r="AF639" s="17" t="n"/>
      <ns0:c r="AG639" s="17" t="n"/>
    </ns0:row>
    <ns0:row r="640" ht="24" customHeight="1">
      <ns0:c r="D640" s="17" t="n"/>
      <ns0:c r="E640" s="17" t="n"/>
      <ns0:c r="F640" s="17" t="n"/>
      <ns0:c r="G640" s="17" t="n"/>
      <ns0:c r="H640" s="17" t="n"/>
      <ns0:c r="I640" s="17" t="n"/>
      <ns0:c r="J640" s="17" t="n"/>
      <ns0:c r="K640" s="17" t="n"/>
      <ns0:c r="L640" s="17" t="n"/>
      <ns0:c r="M640" s="17" t="n"/>
      <ns0:c r="N640" s="17" t="n"/>
      <ns0:c r="O640" s="17" t="n"/>
      <ns0:c r="P640" s="17" t="n"/>
      <ns0:c r="Q640" s="17" t="n"/>
      <ns0:c r="R640" s="17" t="n"/>
      <ns0:c r="S640" s="17" t="n"/>
      <ns0:c r="T640" s="17" t="n"/>
      <ns0:c r="U640" s="17" t="n"/>
      <ns0:c r="V640" s="17" t="n"/>
      <ns0:c r="W640" s="17" t="n"/>
      <ns0:c r="X640" s="17" t="n"/>
      <ns0:c r="Y640" s="17" t="n"/>
      <ns0:c r="Z640" s="17" t="n"/>
      <ns0:c r="AA640" s="17" t="n"/>
      <ns0:c r="AB640" s="17" t="n"/>
      <ns0:c r="AC640" s="17" t="n"/>
      <ns0:c r="AD640" s="17" t="n"/>
      <ns0:c r="AE640" s="17" t="n"/>
      <ns0:c r="AF640" s="17" t="n"/>
      <ns0:c r="AG640" s="17" t="n"/>
    </ns0:row>
    <ns0:row r="641" ht="24" customHeight="1">
      <ns0:c r="D641" s="17" t="n"/>
      <ns0:c r="E641" s="17" t="n"/>
      <ns0:c r="F641" s="17" t="n"/>
      <ns0:c r="G641" s="17" t="n"/>
      <ns0:c r="H641" s="17" t="n"/>
      <ns0:c r="I641" s="17" t="n"/>
      <ns0:c r="J641" s="17" t="n"/>
      <ns0:c r="K641" s="17" t="n"/>
      <ns0:c r="L641" s="17" t="n"/>
      <ns0:c r="M641" s="17" t="n"/>
      <ns0:c r="N641" s="17" t="n"/>
      <ns0:c r="O641" s="17" t="n"/>
      <ns0:c r="P641" s="17" t="n"/>
      <ns0:c r="Q641" s="17" t="n"/>
      <ns0:c r="R641" s="17" t="n"/>
      <ns0:c r="S641" s="17" t="n"/>
      <ns0:c r="T641" s="17" t="n"/>
      <ns0:c r="U641" s="17" t="n"/>
      <ns0:c r="V641" s="17" t="n"/>
      <ns0:c r="W641" s="17" t="n"/>
      <ns0:c r="X641" s="17" t="n"/>
      <ns0:c r="Y641" s="17" t="n"/>
      <ns0:c r="Z641" s="17" t="n"/>
      <ns0:c r="AA641" s="17" t="n"/>
      <ns0:c r="AB641" s="17" t="n"/>
      <ns0:c r="AC641" s="17" t="n"/>
      <ns0:c r="AD641" s="17" t="n"/>
      <ns0:c r="AE641" s="17" t="n"/>
      <ns0:c r="AF641" s="17" t="n"/>
      <ns0:c r="AG641" s="17" t="n"/>
    </ns0:row>
    <ns0:row r="642" ht="24" customHeight="1">
      <ns0:c r="D642" s="17" t="n"/>
      <ns0:c r="E642" s="17" t="n"/>
      <ns0:c r="F642" s="17" t="n"/>
      <ns0:c r="G642" s="17" t="n"/>
      <ns0:c r="H642" s="17" t="n"/>
      <ns0:c r="I642" s="17" t="n"/>
      <ns0:c r="J642" s="17" t="n"/>
      <ns0:c r="K642" s="17" t="n"/>
      <ns0:c r="L642" s="17" t="n"/>
      <ns0:c r="M642" s="17" t="n"/>
      <ns0:c r="N642" s="17" t="n"/>
      <ns0:c r="O642" s="17" t="n"/>
      <ns0:c r="P642" s="17" t="n"/>
      <ns0:c r="Q642" s="17" t="n"/>
      <ns0:c r="R642" s="17" t="n"/>
      <ns0:c r="S642" s="17" t="n"/>
      <ns0:c r="T642" s="17" t="n"/>
      <ns0:c r="U642" s="17" t="n"/>
      <ns0:c r="V642" s="17" t="n"/>
      <ns0:c r="W642" s="17" t="n"/>
      <ns0:c r="X642" s="17" t="n"/>
      <ns0:c r="Y642" s="17" t="n"/>
      <ns0:c r="Z642" s="17" t="n"/>
      <ns0:c r="AA642" s="17" t="n"/>
      <ns0:c r="AB642" s="17" t="n"/>
      <ns0:c r="AC642" s="17" t="n"/>
      <ns0:c r="AD642" s="17" t="n"/>
      <ns0:c r="AE642" s="17" t="n"/>
      <ns0:c r="AF642" s="17" t="n"/>
      <ns0:c r="AG642" s="17" t="n"/>
    </ns0:row>
    <ns0:row r="643" ht="24" customHeight="1">
      <ns0:c r="D643" s="17" t="n"/>
      <ns0:c r="E643" s="17" t="n"/>
      <ns0:c r="F643" s="17" t="n"/>
      <ns0:c r="G643" s="17" t="n"/>
      <ns0:c r="H643" s="17" t="n"/>
      <ns0:c r="I643" s="17" t="n"/>
      <ns0:c r="J643" s="17" t="n"/>
      <ns0:c r="K643" s="17" t="n"/>
      <ns0:c r="L643" s="17" t="n"/>
      <ns0:c r="M643" s="17" t="n"/>
      <ns0:c r="N643" s="17" t="n"/>
      <ns0:c r="O643" s="17" t="n"/>
      <ns0:c r="P643" s="17" t="n"/>
      <ns0:c r="Q643" s="17" t="n"/>
      <ns0:c r="R643" s="17" t="n"/>
      <ns0:c r="S643" s="17" t="n"/>
      <ns0:c r="T643" s="17" t="n"/>
      <ns0:c r="U643" s="17" t="n"/>
      <ns0:c r="V643" s="17" t="n"/>
      <ns0:c r="W643" s="17" t="n"/>
      <ns0:c r="X643" s="17" t="n"/>
      <ns0:c r="Y643" s="17" t="n"/>
      <ns0:c r="Z643" s="17" t="n"/>
      <ns0:c r="AA643" s="17" t="n"/>
      <ns0:c r="AB643" s="17" t="n"/>
      <ns0:c r="AC643" s="17" t="n"/>
      <ns0:c r="AD643" s="17" t="n"/>
      <ns0:c r="AE643" s="17" t="n"/>
      <ns0:c r="AF643" s="17" t="n"/>
      <ns0:c r="AG643" s="17" t="n"/>
    </ns0:row>
    <ns0:row r="644" ht="24" customHeight="1">
      <ns0:c r="D644" s="17" t="n"/>
      <ns0:c r="E644" s="17" t="n"/>
      <ns0:c r="F644" s="17" t="n"/>
      <ns0:c r="G644" s="17" t="n"/>
      <ns0:c r="H644" s="17" t="n"/>
      <ns0:c r="I644" s="17" t="n"/>
      <ns0:c r="J644" s="17" t="n"/>
      <ns0:c r="K644" s="17" t="n"/>
      <ns0:c r="L644" s="17" t="n"/>
      <ns0:c r="M644" s="17" t="n"/>
      <ns0:c r="N644" s="17" t="n"/>
      <ns0:c r="O644" s="17" t="n"/>
      <ns0:c r="P644" s="17" t="n"/>
      <ns0:c r="Q644" s="17" t="n"/>
      <ns0:c r="R644" s="17" t="n"/>
      <ns0:c r="S644" s="17" t="n"/>
      <ns0:c r="T644" s="17" t="n"/>
      <ns0:c r="U644" s="17" t="n"/>
      <ns0:c r="V644" s="17" t="n"/>
      <ns0:c r="W644" s="17" t="n"/>
      <ns0:c r="X644" s="17" t="n"/>
      <ns0:c r="Y644" s="17" t="n"/>
      <ns0:c r="Z644" s="17" t="n"/>
      <ns0:c r="AA644" s="17" t="n"/>
      <ns0:c r="AB644" s="17" t="n"/>
      <ns0:c r="AC644" s="17" t="n"/>
      <ns0:c r="AD644" s="17" t="n"/>
      <ns0:c r="AE644" s="17" t="n"/>
      <ns0:c r="AF644" s="17" t="n"/>
      <ns0:c r="AG644" s="17" t="n"/>
    </ns0:row>
    <ns0:row r="645" ht="24" customHeight="1">
      <ns0:c r="D645" s="17" t="n"/>
      <ns0:c r="E645" s="17" t="n"/>
      <ns0:c r="F645" s="17" t="n"/>
      <ns0:c r="G645" s="17" t="n"/>
      <ns0:c r="H645" s="17" t="n"/>
      <ns0:c r="I645" s="17" t="n"/>
      <ns0:c r="J645" s="17" t="n"/>
      <ns0:c r="K645" s="17" t="n"/>
      <ns0:c r="L645" s="17" t="n"/>
      <ns0:c r="M645" s="17" t="n"/>
      <ns0:c r="N645" s="17" t="n"/>
      <ns0:c r="O645" s="17" t="n"/>
      <ns0:c r="P645" s="17" t="n"/>
      <ns0:c r="Q645" s="17" t="n"/>
      <ns0:c r="R645" s="17" t="n"/>
      <ns0:c r="S645" s="17" t="n"/>
      <ns0:c r="T645" s="17" t="n"/>
      <ns0:c r="U645" s="17" t="n"/>
      <ns0:c r="V645" s="17" t="n"/>
      <ns0:c r="W645" s="17" t="n"/>
      <ns0:c r="X645" s="17" t="n"/>
      <ns0:c r="Y645" s="17" t="n"/>
      <ns0:c r="Z645" s="17" t="n"/>
      <ns0:c r="AA645" s="17" t="n"/>
      <ns0:c r="AB645" s="17" t="n"/>
      <ns0:c r="AC645" s="17" t="n"/>
      <ns0:c r="AD645" s="17" t="n"/>
      <ns0:c r="AE645" s="17" t="n"/>
      <ns0:c r="AF645" s="17" t="n"/>
      <ns0:c r="AG645" s="17" t="n"/>
    </ns0:row>
    <ns0:row r="646" ht="24" customHeight="1">
      <ns0:c r="D646" s="17" t="n"/>
      <ns0:c r="E646" s="17" t="n"/>
      <ns0:c r="F646" s="17" t="n"/>
      <ns0:c r="G646" s="17" t="n"/>
      <ns0:c r="H646" s="17" t="n"/>
      <ns0:c r="I646" s="17" t="n"/>
      <ns0:c r="J646" s="17" t="n"/>
      <ns0:c r="K646" s="17" t="n"/>
      <ns0:c r="L646" s="17" t="n"/>
      <ns0:c r="M646" s="17" t="n"/>
      <ns0:c r="N646" s="17" t="n"/>
      <ns0:c r="O646" s="17" t="n"/>
      <ns0:c r="P646" s="17" t="n"/>
      <ns0:c r="Q646" s="17" t="n"/>
      <ns0:c r="R646" s="17" t="n"/>
      <ns0:c r="S646" s="17" t="n"/>
      <ns0:c r="T646" s="17" t="n"/>
      <ns0:c r="U646" s="17" t="n"/>
      <ns0:c r="V646" s="17" t="n"/>
      <ns0:c r="W646" s="17" t="n"/>
      <ns0:c r="X646" s="17" t="n"/>
      <ns0:c r="Y646" s="17" t="n"/>
      <ns0:c r="Z646" s="17" t="n"/>
      <ns0:c r="AA646" s="17" t="n"/>
      <ns0:c r="AB646" s="17" t="n"/>
      <ns0:c r="AC646" s="17" t="n"/>
      <ns0:c r="AD646" s="17" t="n"/>
      <ns0:c r="AE646" s="17" t="n"/>
      <ns0:c r="AF646" s="17" t="n"/>
      <ns0:c r="AG646" s="17" t="n"/>
    </ns0:row>
    <ns0:row r="647" ht="24" customHeight="1">
      <ns0:c r="D647" s="17" t="n"/>
      <ns0:c r="E647" s="17" t="n"/>
      <ns0:c r="F647" s="17" t="n"/>
      <ns0:c r="G647" s="17" t="n"/>
      <ns0:c r="H647" s="17" t="n"/>
      <ns0:c r="I647" s="17" t="n"/>
      <ns0:c r="J647" s="17" t="n"/>
      <ns0:c r="K647" s="17" t="n"/>
      <ns0:c r="L647" s="17" t="n"/>
      <ns0:c r="M647" s="17" t="n"/>
      <ns0:c r="N647" s="17" t="n"/>
      <ns0:c r="O647" s="17" t="n"/>
      <ns0:c r="P647" s="17" t="n"/>
      <ns0:c r="Q647" s="17" t="n"/>
      <ns0:c r="R647" s="17" t="n"/>
      <ns0:c r="S647" s="17" t="n"/>
      <ns0:c r="T647" s="17" t="n"/>
      <ns0:c r="U647" s="17" t="n"/>
      <ns0:c r="V647" s="17" t="n"/>
      <ns0:c r="W647" s="17" t="n"/>
      <ns0:c r="X647" s="17" t="n"/>
      <ns0:c r="Y647" s="17" t="n"/>
      <ns0:c r="Z647" s="17" t="n"/>
      <ns0:c r="AA647" s="17" t="n"/>
      <ns0:c r="AB647" s="17" t="n"/>
      <ns0:c r="AC647" s="17" t="n"/>
      <ns0:c r="AD647" s="17" t="n"/>
      <ns0:c r="AE647" s="17" t="n"/>
      <ns0:c r="AF647" s="17" t="n"/>
      <ns0:c r="AG647" s="17" t="n"/>
    </ns0:row>
    <ns0:row r="648" ht="24" customHeight="1">
      <ns0:c r="D648" s="17" t="n"/>
      <ns0:c r="E648" s="17" t="n"/>
      <ns0:c r="F648" s="17" t="n"/>
      <ns0:c r="G648" s="17" t="n"/>
      <ns0:c r="H648" s="17" t="n"/>
      <ns0:c r="I648" s="17" t="n"/>
      <ns0:c r="J648" s="17" t="n"/>
      <ns0:c r="K648" s="17" t="n"/>
      <ns0:c r="L648" s="17" t="n"/>
      <ns0:c r="M648" s="17" t="n"/>
      <ns0:c r="N648" s="17" t="n"/>
      <ns0:c r="O648" s="17" t="n"/>
      <ns0:c r="P648" s="17" t="n"/>
      <ns0:c r="Q648" s="17" t="n"/>
      <ns0:c r="R648" s="17" t="n"/>
      <ns0:c r="S648" s="17" t="n"/>
      <ns0:c r="T648" s="17" t="n"/>
      <ns0:c r="U648" s="17" t="n"/>
      <ns0:c r="V648" s="17" t="n"/>
      <ns0:c r="W648" s="17" t="n"/>
      <ns0:c r="X648" s="17" t="n"/>
      <ns0:c r="Y648" s="17" t="n"/>
      <ns0:c r="Z648" s="17" t="n"/>
      <ns0:c r="AA648" s="17" t="n"/>
      <ns0:c r="AB648" s="17" t="n"/>
      <ns0:c r="AC648" s="17" t="n"/>
      <ns0:c r="AD648" s="17" t="n"/>
      <ns0:c r="AE648" s="17" t="n"/>
      <ns0:c r="AF648" s="17" t="n"/>
      <ns0:c r="AG648" s="17" t="n"/>
    </ns0:row>
    <ns0:row r="649" ht="24" customHeight="1">
      <ns0:c r="D649" s="17" t="n"/>
      <ns0:c r="E649" s="17" t="n"/>
      <ns0:c r="F649" s="17" t="n"/>
      <ns0:c r="G649" s="17" t="n"/>
      <ns0:c r="H649" s="17" t="n"/>
      <ns0:c r="I649" s="17" t="n"/>
      <ns0:c r="J649" s="17" t="n"/>
      <ns0:c r="K649" s="17" t="n"/>
      <ns0:c r="L649" s="17" t="n"/>
      <ns0:c r="M649" s="17" t="n"/>
      <ns0:c r="N649" s="17" t="n"/>
      <ns0:c r="O649" s="17" t="n"/>
      <ns0:c r="P649" s="17" t="n"/>
      <ns0:c r="Q649" s="17" t="n"/>
      <ns0:c r="R649" s="17" t="n"/>
      <ns0:c r="S649" s="17" t="n"/>
      <ns0:c r="T649" s="17" t="n"/>
      <ns0:c r="U649" s="17" t="n"/>
      <ns0:c r="V649" s="17" t="n"/>
      <ns0:c r="W649" s="17" t="n"/>
      <ns0:c r="X649" s="17" t="n"/>
      <ns0:c r="Y649" s="17" t="n"/>
      <ns0:c r="Z649" s="17" t="n"/>
      <ns0:c r="AA649" s="17" t="n"/>
      <ns0:c r="AB649" s="17" t="n"/>
      <ns0:c r="AC649" s="17" t="n"/>
      <ns0:c r="AD649" s="17" t="n"/>
      <ns0:c r="AE649" s="17" t="n"/>
      <ns0:c r="AF649" s="17" t="n"/>
      <ns0:c r="AG649" s="17" t="n"/>
    </ns0:row>
    <ns0:row r="650" ht="24" customHeight="1">
      <ns0:c r="D650" s="17" t="n"/>
      <ns0:c r="E650" s="17" t="n"/>
      <ns0:c r="F650" s="17" t="n"/>
      <ns0:c r="G650" s="17" t="n"/>
      <ns0:c r="H650" s="17" t="n"/>
      <ns0:c r="I650" s="17" t="n"/>
      <ns0:c r="J650" s="17" t="n"/>
      <ns0:c r="K650" s="17" t="n"/>
      <ns0:c r="L650" s="17" t="n"/>
      <ns0:c r="M650" s="17" t="n"/>
      <ns0:c r="N650" s="17" t="n"/>
      <ns0:c r="O650" s="17" t="n"/>
      <ns0:c r="P650" s="17" t="n"/>
      <ns0:c r="Q650" s="17" t="n"/>
      <ns0:c r="R650" s="17" t="n"/>
      <ns0:c r="S650" s="17" t="n"/>
      <ns0:c r="T650" s="17" t="n"/>
      <ns0:c r="U650" s="17" t="n"/>
      <ns0:c r="V650" s="17" t="n"/>
      <ns0:c r="W650" s="17" t="n"/>
      <ns0:c r="X650" s="17" t="n"/>
      <ns0:c r="Y650" s="17" t="n"/>
      <ns0:c r="Z650" s="17" t="n"/>
      <ns0:c r="AA650" s="17" t="n"/>
      <ns0:c r="AB650" s="17" t="n"/>
      <ns0:c r="AC650" s="17" t="n"/>
      <ns0:c r="AD650" s="17" t="n"/>
      <ns0:c r="AE650" s="17" t="n"/>
      <ns0:c r="AF650" s="17" t="n"/>
      <ns0:c r="AG650" s="17" t="n"/>
    </ns0:row>
    <ns0:row r="651" ht="24" customHeight="1">
      <ns0:c r="D651" s="17" t="n"/>
      <ns0:c r="E651" s="17" t="n"/>
      <ns0:c r="F651" s="17" t="n"/>
      <ns0:c r="G651" s="17" t="n"/>
      <ns0:c r="H651" s="17" t="n"/>
      <ns0:c r="I651" s="17" t="n"/>
      <ns0:c r="J651" s="17" t="n"/>
      <ns0:c r="K651" s="17" t="n"/>
      <ns0:c r="L651" s="17" t="n"/>
      <ns0:c r="M651" s="17" t="n"/>
      <ns0:c r="N651" s="17" t="n"/>
      <ns0:c r="O651" s="17" t="n"/>
      <ns0:c r="P651" s="17" t="n"/>
      <ns0:c r="Q651" s="17" t="n"/>
      <ns0:c r="R651" s="17" t="n"/>
      <ns0:c r="S651" s="17" t="n"/>
      <ns0:c r="T651" s="17" t="n"/>
      <ns0:c r="U651" s="17" t="n"/>
      <ns0:c r="V651" s="17" t="n"/>
      <ns0:c r="W651" s="17" t="n"/>
      <ns0:c r="X651" s="17" t="n"/>
      <ns0:c r="Y651" s="17" t="n"/>
      <ns0:c r="Z651" s="17" t="n"/>
      <ns0:c r="AA651" s="17" t="n"/>
      <ns0:c r="AB651" s="17" t="n"/>
      <ns0:c r="AC651" s="17" t="n"/>
      <ns0:c r="AD651" s="17" t="n"/>
      <ns0:c r="AE651" s="17" t="n"/>
      <ns0:c r="AF651" s="17" t="n"/>
      <ns0:c r="AG651" s="17" t="n"/>
    </ns0:row>
    <ns0:row r="652" ht="24" customHeight="1">
      <ns0:c r="D652" s="17" t="n"/>
      <ns0:c r="E652" s="17" t="n"/>
      <ns0:c r="F652" s="17" t="n"/>
      <ns0:c r="G652" s="17" t="n"/>
      <ns0:c r="H652" s="17" t="n"/>
      <ns0:c r="I652" s="17" t="n"/>
      <ns0:c r="J652" s="17" t="n"/>
      <ns0:c r="K652" s="17" t="n"/>
      <ns0:c r="L652" s="17" t="n"/>
      <ns0:c r="M652" s="17" t="n"/>
      <ns0:c r="N652" s="17" t="n"/>
      <ns0:c r="O652" s="17" t="n"/>
      <ns0:c r="P652" s="17" t="n"/>
      <ns0:c r="Q652" s="17" t="n"/>
      <ns0:c r="R652" s="17" t="n"/>
      <ns0:c r="S652" s="17" t="n"/>
      <ns0:c r="T652" s="17" t="n"/>
      <ns0:c r="U652" s="17" t="n"/>
      <ns0:c r="V652" s="17" t="n"/>
      <ns0:c r="W652" s="17" t="n"/>
      <ns0:c r="X652" s="17" t="n"/>
      <ns0:c r="Y652" s="17" t="n"/>
      <ns0:c r="Z652" s="17" t="n"/>
      <ns0:c r="AA652" s="17" t="n"/>
      <ns0:c r="AB652" s="17" t="n"/>
      <ns0:c r="AC652" s="17" t="n"/>
      <ns0:c r="AD652" s="17" t="n"/>
      <ns0:c r="AE652" s="17" t="n"/>
      <ns0:c r="AF652" s="17" t="n"/>
      <ns0:c r="AG652" s="17" t="n"/>
    </ns0:row>
    <ns0:row r="653" ht="24" customHeight="1">
      <ns0:c r="D653" s="17" t="n"/>
      <ns0:c r="E653" s="17" t="n"/>
      <ns0:c r="F653" s="17" t="n"/>
      <ns0:c r="G653" s="17" t="n"/>
      <ns0:c r="H653" s="17" t="n"/>
      <ns0:c r="I653" s="17" t="n"/>
      <ns0:c r="J653" s="17" t="n"/>
      <ns0:c r="K653" s="17" t="n"/>
      <ns0:c r="L653" s="17" t="n"/>
      <ns0:c r="M653" s="17" t="n"/>
      <ns0:c r="N653" s="17" t="n"/>
      <ns0:c r="O653" s="17" t="n"/>
      <ns0:c r="P653" s="17" t="n"/>
      <ns0:c r="Q653" s="17" t="n"/>
      <ns0:c r="R653" s="17" t="n"/>
      <ns0:c r="S653" s="17" t="n"/>
      <ns0:c r="T653" s="17" t="n"/>
      <ns0:c r="U653" s="17" t="n"/>
      <ns0:c r="V653" s="17" t="n"/>
      <ns0:c r="W653" s="17" t="n"/>
      <ns0:c r="X653" s="17" t="n"/>
      <ns0:c r="Y653" s="17" t="n"/>
      <ns0:c r="Z653" s="17" t="n"/>
      <ns0:c r="AA653" s="17" t="n"/>
      <ns0:c r="AB653" s="17" t="n"/>
      <ns0:c r="AC653" s="17" t="n"/>
      <ns0:c r="AD653" s="17" t="n"/>
      <ns0:c r="AE653" s="17" t="n"/>
      <ns0:c r="AF653" s="17" t="n"/>
      <ns0:c r="AG653" s="17" t="n"/>
    </ns0:row>
    <ns0:row r="654" ht="24" customHeight="1">
      <ns0:c r="D654" s="17" t="n"/>
      <ns0:c r="E654" s="17" t="n"/>
      <ns0:c r="F654" s="17" t="n"/>
      <ns0:c r="G654" s="17" t="n"/>
      <ns0:c r="H654" s="17" t="n"/>
      <ns0:c r="I654" s="17" t="n"/>
      <ns0:c r="J654" s="17" t="n"/>
      <ns0:c r="K654" s="17" t="n"/>
      <ns0:c r="L654" s="17" t="n"/>
      <ns0:c r="M654" s="17" t="n"/>
      <ns0:c r="N654" s="17" t="n"/>
      <ns0:c r="O654" s="17" t="n"/>
      <ns0:c r="P654" s="17" t="n"/>
      <ns0:c r="Q654" s="17" t="n"/>
      <ns0:c r="R654" s="17" t="n"/>
      <ns0:c r="S654" s="17" t="n"/>
      <ns0:c r="T654" s="17" t="n"/>
      <ns0:c r="U654" s="17" t="n"/>
      <ns0:c r="V654" s="17" t="n"/>
      <ns0:c r="W654" s="17" t="n"/>
      <ns0:c r="X654" s="17" t="n"/>
      <ns0:c r="Y654" s="17" t="n"/>
      <ns0:c r="Z654" s="17" t="n"/>
      <ns0:c r="AA654" s="17" t="n"/>
      <ns0:c r="AB654" s="17" t="n"/>
      <ns0:c r="AC654" s="17" t="n"/>
      <ns0:c r="AD654" s="17" t="n"/>
      <ns0:c r="AE654" s="17" t="n"/>
      <ns0:c r="AF654" s="17" t="n"/>
      <ns0:c r="AG654" s="17" t="n"/>
    </ns0:row>
    <ns0:row r="655" ht="24" customHeight="1">
      <ns0:c r="D655" s="17" t="n"/>
      <ns0:c r="E655" s="17" t="n"/>
      <ns0:c r="F655" s="17" t="n"/>
      <ns0:c r="G655" s="17" t="n"/>
      <ns0:c r="H655" s="17" t="n"/>
      <ns0:c r="I655" s="17" t="n"/>
      <ns0:c r="J655" s="17" t="n"/>
      <ns0:c r="K655" s="17" t="n"/>
      <ns0:c r="L655" s="17" t="n"/>
      <ns0:c r="M655" s="17" t="n"/>
      <ns0:c r="N655" s="17" t="n"/>
      <ns0:c r="O655" s="17" t="n"/>
      <ns0:c r="P655" s="17" t="n"/>
      <ns0:c r="Q655" s="17" t="n"/>
      <ns0:c r="R655" s="17" t="n"/>
      <ns0:c r="S655" s="17" t="n"/>
      <ns0:c r="T655" s="17" t="n"/>
      <ns0:c r="U655" s="17" t="n"/>
      <ns0:c r="V655" s="17" t="n"/>
      <ns0:c r="W655" s="17" t="n"/>
      <ns0:c r="X655" s="17" t="n"/>
      <ns0:c r="Y655" s="17" t="n"/>
      <ns0:c r="Z655" s="17" t="n"/>
      <ns0:c r="AA655" s="17" t="n"/>
      <ns0:c r="AB655" s="17" t="n"/>
      <ns0:c r="AC655" s="17" t="n"/>
      <ns0:c r="AD655" s="17" t="n"/>
      <ns0:c r="AE655" s="17" t="n"/>
      <ns0:c r="AF655" s="17" t="n"/>
      <ns0:c r="AG655" s="17" t="n"/>
    </ns0:row>
    <ns0:row r="656" ht="24" customHeight="1">
      <ns0:c r="D656" s="17" t="n"/>
      <ns0:c r="E656" s="17" t="n"/>
      <ns0:c r="F656" s="17" t="n"/>
      <ns0:c r="G656" s="17" t="n"/>
      <ns0:c r="H656" s="17" t="n"/>
      <ns0:c r="I656" s="17" t="n"/>
      <ns0:c r="J656" s="17" t="n"/>
      <ns0:c r="K656" s="17" t="n"/>
      <ns0:c r="L656" s="17" t="n"/>
      <ns0:c r="M656" s="17" t="n"/>
      <ns0:c r="N656" s="17" t="n"/>
      <ns0:c r="O656" s="17" t="n"/>
      <ns0:c r="P656" s="17" t="n"/>
      <ns0:c r="Q656" s="17" t="n"/>
      <ns0:c r="R656" s="17" t="n"/>
      <ns0:c r="S656" s="17" t="n"/>
      <ns0:c r="T656" s="17" t="n"/>
      <ns0:c r="U656" s="17" t="n"/>
      <ns0:c r="V656" s="17" t="n"/>
      <ns0:c r="W656" s="17" t="n"/>
      <ns0:c r="X656" s="17" t="n"/>
      <ns0:c r="Y656" s="17" t="n"/>
      <ns0:c r="Z656" s="17" t="n"/>
      <ns0:c r="AA656" s="17" t="n"/>
      <ns0:c r="AB656" s="17" t="n"/>
      <ns0:c r="AC656" s="17" t="n"/>
      <ns0:c r="AD656" s="17" t="n"/>
      <ns0:c r="AE656" s="17" t="n"/>
      <ns0:c r="AF656" s="17" t="n"/>
      <ns0:c r="AG656" s="17" t="n"/>
    </ns0:row>
    <ns0:row r="657" ht="24" customHeight="1">
      <ns0:c r="D657" s="17" t="n"/>
      <ns0:c r="E657" s="17" t="n"/>
      <ns0:c r="F657" s="17" t="n"/>
      <ns0:c r="G657" s="17" t="n"/>
      <ns0:c r="H657" s="17" t="n"/>
      <ns0:c r="I657" s="17" t="n"/>
      <ns0:c r="J657" s="17" t="n"/>
      <ns0:c r="K657" s="17" t="n"/>
      <ns0:c r="L657" s="17" t="n"/>
      <ns0:c r="M657" s="17" t="n"/>
      <ns0:c r="N657" s="17" t="n"/>
      <ns0:c r="O657" s="17" t="n"/>
      <ns0:c r="P657" s="17" t="n"/>
      <ns0:c r="Q657" s="17" t="n"/>
      <ns0:c r="R657" s="17" t="n"/>
      <ns0:c r="S657" s="17" t="n"/>
      <ns0:c r="T657" s="17" t="n"/>
      <ns0:c r="U657" s="17" t="n"/>
      <ns0:c r="V657" s="17" t="n"/>
      <ns0:c r="W657" s="17" t="n"/>
      <ns0:c r="X657" s="17" t="n"/>
      <ns0:c r="Y657" s="17" t="n"/>
      <ns0:c r="Z657" s="17" t="n"/>
      <ns0:c r="AA657" s="17" t="n"/>
      <ns0:c r="AB657" s="17" t="n"/>
      <ns0:c r="AC657" s="17" t="n"/>
      <ns0:c r="AD657" s="17" t="n"/>
      <ns0:c r="AE657" s="17" t="n"/>
      <ns0:c r="AF657" s="17" t="n"/>
      <ns0:c r="AG657" s="17" t="n"/>
    </ns0:row>
    <ns0:row r="658" ht="24" customHeight="1">
      <ns0:c r="D658" s="17" t="n"/>
      <ns0:c r="E658" s="17" t="n"/>
      <ns0:c r="F658" s="17" t="n"/>
      <ns0:c r="G658" s="17" t="n"/>
      <ns0:c r="H658" s="17" t="n"/>
      <ns0:c r="I658" s="17" t="n"/>
      <ns0:c r="J658" s="17" t="n"/>
      <ns0:c r="K658" s="17" t="n"/>
      <ns0:c r="L658" s="17" t="n"/>
      <ns0:c r="M658" s="17" t="n"/>
      <ns0:c r="N658" s="17" t="n"/>
      <ns0:c r="O658" s="17" t="n"/>
      <ns0:c r="P658" s="17" t="n"/>
      <ns0:c r="Q658" s="17" t="n"/>
      <ns0:c r="R658" s="17" t="n"/>
      <ns0:c r="S658" s="17" t="n"/>
      <ns0:c r="T658" s="17" t="n"/>
      <ns0:c r="U658" s="17" t="n"/>
      <ns0:c r="V658" s="17" t="n"/>
      <ns0:c r="W658" s="17" t="n"/>
      <ns0:c r="X658" s="17" t="n"/>
      <ns0:c r="Y658" s="17" t="n"/>
      <ns0:c r="Z658" s="17" t="n"/>
      <ns0:c r="AA658" s="17" t="n"/>
      <ns0:c r="AB658" s="17" t="n"/>
      <ns0:c r="AC658" s="17" t="n"/>
      <ns0:c r="AD658" s="17" t="n"/>
      <ns0:c r="AE658" s="17" t="n"/>
      <ns0:c r="AF658" s="17" t="n"/>
      <ns0:c r="AG658" s="17" t="n"/>
    </ns0:row>
    <ns0:row r="659" ht="24" customHeight="1">
      <ns0:c r="D659" s="17" t="n"/>
      <ns0:c r="E659" s="17" t="n"/>
      <ns0:c r="F659" s="17" t="n"/>
      <ns0:c r="G659" s="17" t="n"/>
      <ns0:c r="H659" s="17" t="n"/>
      <ns0:c r="I659" s="17" t="n"/>
      <ns0:c r="J659" s="17" t="n"/>
      <ns0:c r="K659" s="17" t="n"/>
      <ns0:c r="L659" s="17" t="n"/>
      <ns0:c r="M659" s="17" t="n"/>
      <ns0:c r="N659" s="17" t="n"/>
      <ns0:c r="O659" s="17" t="n"/>
      <ns0:c r="P659" s="17" t="n"/>
      <ns0:c r="Q659" s="17" t="n"/>
      <ns0:c r="R659" s="17" t="n"/>
      <ns0:c r="S659" s="17" t="n"/>
      <ns0:c r="T659" s="17" t="n"/>
      <ns0:c r="U659" s="17" t="n"/>
      <ns0:c r="V659" s="17" t="n"/>
      <ns0:c r="W659" s="17" t="n"/>
      <ns0:c r="X659" s="17" t="n"/>
      <ns0:c r="Y659" s="17" t="n"/>
      <ns0:c r="Z659" s="17" t="n"/>
      <ns0:c r="AA659" s="17" t="n"/>
      <ns0:c r="AB659" s="17" t="n"/>
      <ns0:c r="AC659" s="17" t="n"/>
      <ns0:c r="AD659" s="17" t="n"/>
      <ns0:c r="AE659" s="17" t="n"/>
      <ns0:c r="AF659" s="17" t="n"/>
      <ns0:c r="AG659" s="17" t="n"/>
    </ns0:row>
    <ns0:row r="660" ht="24" customHeight="1">
      <ns0:c r="D660" s="17" t="n"/>
      <ns0:c r="E660" s="17" t="n"/>
      <ns0:c r="F660" s="17" t="n"/>
      <ns0:c r="G660" s="17" t="n"/>
      <ns0:c r="H660" s="17" t="n"/>
      <ns0:c r="I660" s="17" t="n"/>
      <ns0:c r="J660" s="17" t="n"/>
      <ns0:c r="K660" s="17" t="n"/>
      <ns0:c r="L660" s="17" t="n"/>
      <ns0:c r="M660" s="17" t="n"/>
      <ns0:c r="N660" s="17" t="n"/>
      <ns0:c r="O660" s="17" t="n"/>
      <ns0:c r="P660" s="17" t="n"/>
      <ns0:c r="Q660" s="17" t="n"/>
      <ns0:c r="R660" s="17" t="n"/>
      <ns0:c r="S660" s="17" t="n"/>
      <ns0:c r="T660" s="17" t="n"/>
      <ns0:c r="U660" s="17" t="n"/>
      <ns0:c r="V660" s="17" t="n"/>
      <ns0:c r="W660" s="17" t="n"/>
      <ns0:c r="X660" s="17" t="n"/>
      <ns0:c r="Y660" s="17" t="n"/>
      <ns0:c r="Z660" s="17" t="n"/>
      <ns0:c r="AA660" s="17" t="n"/>
      <ns0:c r="AB660" s="17" t="n"/>
      <ns0:c r="AC660" s="17" t="n"/>
      <ns0:c r="AD660" s="17" t="n"/>
      <ns0:c r="AE660" s="17" t="n"/>
      <ns0:c r="AF660" s="17" t="n"/>
      <ns0:c r="AG660" s="17" t="n"/>
    </ns0:row>
    <ns0:row r="661" ht="24" customHeight="1">
      <ns0:c r="D661" s="17" t="n"/>
      <ns0:c r="E661" s="17" t="n"/>
      <ns0:c r="F661" s="17" t="n"/>
      <ns0:c r="G661" s="17" t="n"/>
      <ns0:c r="H661" s="17" t="n"/>
      <ns0:c r="I661" s="17" t="n"/>
      <ns0:c r="J661" s="17" t="n"/>
      <ns0:c r="K661" s="17" t="n"/>
      <ns0:c r="L661" s="17" t="n"/>
      <ns0:c r="M661" s="17" t="n"/>
      <ns0:c r="N661" s="17" t="n"/>
      <ns0:c r="O661" s="17" t="n"/>
      <ns0:c r="P661" s="17" t="n"/>
      <ns0:c r="Q661" s="17" t="n"/>
      <ns0:c r="R661" s="17" t="n"/>
      <ns0:c r="S661" s="17" t="n"/>
      <ns0:c r="T661" s="17" t="n"/>
      <ns0:c r="U661" s="17" t="n"/>
      <ns0:c r="V661" s="17" t="n"/>
      <ns0:c r="W661" s="17" t="n"/>
      <ns0:c r="X661" s="17" t="n"/>
      <ns0:c r="Y661" s="17" t="n"/>
      <ns0:c r="Z661" s="17" t="n"/>
      <ns0:c r="AA661" s="17" t="n"/>
      <ns0:c r="AB661" s="17" t="n"/>
      <ns0:c r="AC661" s="17" t="n"/>
      <ns0:c r="AD661" s="17" t="n"/>
      <ns0:c r="AE661" s="17" t="n"/>
      <ns0:c r="AF661" s="17" t="n"/>
      <ns0:c r="AG661" s="17" t="n"/>
    </ns0:row>
    <ns0:row r="662" ht="24" customHeight="1">
      <ns0:c r="D662" s="17" t="n"/>
      <ns0:c r="E662" s="17" t="n"/>
      <ns0:c r="F662" s="17" t="n"/>
      <ns0:c r="G662" s="17" t="n"/>
      <ns0:c r="H662" s="17" t="n"/>
      <ns0:c r="I662" s="17" t="n"/>
      <ns0:c r="J662" s="17" t="n"/>
      <ns0:c r="K662" s="17" t="n"/>
      <ns0:c r="L662" s="17" t="n"/>
      <ns0:c r="M662" s="17" t="n"/>
      <ns0:c r="N662" s="17" t="n"/>
      <ns0:c r="O662" s="17" t="n"/>
      <ns0:c r="P662" s="17" t="n"/>
      <ns0:c r="Q662" s="17" t="n"/>
      <ns0:c r="R662" s="17" t="n"/>
      <ns0:c r="S662" s="17" t="n"/>
      <ns0:c r="T662" s="17" t="n"/>
      <ns0:c r="U662" s="17" t="n"/>
      <ns0:c r="V662" s="17" t="n"/>
      <ns0:c r="W662" s="17" t="n"/>
      <ns0:c r="X662" s="17" t="n"/>
      <ns0:c r="Y662" s="17" t="n"/>
      <ns0:c r="Z662" s="17" t="n"/>
      <ns0:c r="AA662" s="17" t="n"/>
      <ns0:c r="AB662" s="17" t="n"/>
      <ns0:c r="AC662" s="17" t="n"/>
      <ns0:c r="AD662" s="17" t="n"/>
      <ns0:c r="AE662" s="17" t="n"/>
      <ns0:c r="AF662" s="17" t="n"/>
      <ns0:c r="AG662" s="17" t="n"/>
    </ns0:row>
    <ns0:row r="663" ht="24" customHeight="1">
      <ns0:c r="D663" s="17" t="n"/>
      <ns0:c r="E663" s="17" t="n"/>
      <ns0:c r="F663" s="17" t="n"/>
      <ns0:c r="G663" s="17" t="n"/>
      <ns0:c r="H663" s="17" t="n"/>
      <ns0:c r="I663" s="17" t="n"/>
      <ns0:c r="J663" s="17" t="n"/>
      <ns0:c r="K663" s="17" t="n"/>
      <ns0:c r="L663" s="17" t="n"/>
      <ns0:c r="M663" s="17" t="n"/>
      <ns0:c r="N663" s="17" t="n"/>
      <ns0:c r="O663" s="17" t="n"/>
      <ns0:c r="P663" s="17" t="n"/>
      <ns0:c r="Q663" s="17" t="n"/>
      <ns0:c r="R663" s="17" t="n"/>
      <ns0:c r="S663" s="17" t="n"/>
      <ns0:c r="T663" s="17" t="n"/>
      <ns0:c r="U663" s="17" t="n"/>
      <ns0:c r="V663" s="17" t="n"/>
      <ns0:c r="W663" s="17" t="n"/>
      <ns0:c r="X663" s="17" t="n"/>
      <ns0:c r="Y663" s="17" t="n"/>
      <ns0:c r="Z663" s="17" t="n"/>
      <ns0:c r="AA663" s="17" t="n"/>
      <ns0:c r="AB663" s="17" t="n"/>
      <ns0:c r="AC663" s="17" t="n"/>
      <ns0:c r="AD663" s="17" t="n"/>
      <ns0:c r="AE663" s="17" t="n"/>
      <ns0:c r="AF663" s="17" t="n"/>
      <ns0:c r="AG663" s="17" t="n"/>
    </ns0:row>
    <ns0:row r="664" ht="24" customHeight="1">
      <ns0:c r="D664" s="17" t="n"/>
      <ns0:c r="E664" s="17" t="n"/>
      <ns0:c r="F664" s="17" t="n"/>
      <ns0:c r="G664" s="17" t="n"/>
      <ns0:c r="H664" s="17" t="n"/>
      <ns0:c r="I664" s="17" t="n"/>
      <ns0:c r="J664" s="17" t="n"/>
      <ns0:c r="K664" s="17" t="n"/>
      <ns0:c r="L664" s="17" t="n"/>
      <ns0:c r="M664" s="17" t="n"/>
      <ns0:c r="N664" s="17" t="n"/>
      <ns0:c r="O664" s="17" t="n"/>
      <ns0:c r="P664" s="17" t="n"/>
      <ns0:c r="Q664" s="17" t="n"/>
      <ns0:c r="R664" s="17" t="n"/>
      <ns0:c r="S664" s="17" t="n"/>
      <ns0:c r="T664" s="17" t="n"/>
      <ns0:c r="U664" s="17" t="n"/>
      <ns0:c r="V664" s="17" t="n"/>
      <ns0:c r="W664" s="17" t="n"/>
      <ns0:c r="X664" s="17" t="n"/>
      <ns0:c r="Y664" s="17" t="n"/>
      <ns0:c r="Z664" s="17" t="n"/>
      <ns0:c r="AA664" s="17" t="n"/>
      <ns0:c r="AB664" s="17" t="n"/>
      <ns0:c r="AC664" s="17" t="n"/>
      <ns0:c r="AD664" s="17" t="n"/>
      <ns0:c r="AE664" s="17" t="n"/>
      <ns0:c r="AF664" s="17" t="n"/>
      <ns0:c r="AG664" s="17" t="n"/>
    </ns0:row>
    <ns0:row r="665" ht="24" customHeight="1">
      <ns0:c r="D665" s="17" t="n"/>
      <ns0:c r="E665" s="17" t="n"/>
      <ns0:c r="F665" s="17" t="n"/>
      <ns0:c r="G665" s="17" t="n"/>
      <ns0:c r="H665" s="17" t="n"/>
      <ns0:c r="I665" s="17" t="n"/>
      <ns0:c r="J665" s="17" t="n"/>
      <ns0:c r="K665" s="17" t="n"/>
      <ns0:c r="L665" s="17" t="n"/>
      <ns0:c r="M665" s="17" t="n"/>
      <ns0:c r="N665" s="17" t="n"/>
      <ns0:c r="O665" s="17" t="n"/>
      <ns0:c r="P665" s="17" t="n"/>
      <ns0:c r="Q665" s="17" t="n"/>
      <ns0:c r="R665" s="17" t="n"/>
      <ns0:c r="S665" s="17" t="n"/>
      <ns0:c r="T665" s="17" t="n"/>
      <ns0:c r="U665" s="17" t="n"/>
      <ns0:c r="V665" s="17" t="n"/>
      <ns0:c r="W665" s="17" t="n"/>
      <ns0:c r="X665" s="17" t="n"/>
      <ns0:c r="Y665" s="17" t="n"/>
      <ns0:c r="Z665" s="17" t="n"/>
      <ns0:c r="AA665" s="17" t="n"/>
      <ns0:c r="AB665" s="17" t="n"/>
      <ns0:c r="AC665" s="17" t="n"/>
      <ns0:c r="AD665" s="17" t="n"/>
      <ns0:c r="AE665" s="17" t="n"/>
      <ns0:c r="AF665" s="17" t="n"/>
      <ns0:c r="AG665" s="17" t="n"/>
    </ns0:row>
    <ns0:row r="666" ht="24" customHeight="1">
      <ns0:c r="D666" s="17" t="n"/>
      <ns0:c r="E666" s="17" t="n"/>
      <ns0:c r="F666" s="17" t="n"/>
      <ns0:c r="G666" s="17" t="n"/>
      <ns0:c r="H666" s="17" t="n"/>
      <ns0:c r="I666" s="17" t="n"/>
      <ns0:c r="J666" s="17" t="n"/>
      <ns0:c r="K666" s="17" t="n"/>
      <ns0:c r="L666" s="17" t="n"/>
      <ns0:c r="M666" s="17" t="n"/>
      <ns0:c r="N666" s="17" t="n"/>
      <ns0:c r="O666" s="17" t="n"/>
      <ns0:c r="P666" s="17" t="n"/>
      <ns0:c r="Q666" s="17" t="n"/>
      <ns0:c r="R666" s="17" t="n"/>
      <ns0:c r="S666" s="17" t="n"/>
      <ns0:c r="T666" s="17" t="n"/>
      <ns0:c r="U666" s="17" t="n"/>
      <ns0:c r="V666" s="17" t="n"/>
      <ns0:c r="W666" s="17" t="n"/>
      <ns0:c r="X666" s="17" t="n"/>
      <ns0:c r="Y666" s="17" t="n"/>
      <ns0:c r="Z666" s="17" t="n"/>
      <ns0:c r="AA666" s="17" t="n"/>
      <ns0:c r="AB666" s="17" t="n"/>
      <ns0:c r="AC666" s="17" t="n"/>
      <ns0:c r="AD666" s="17" t="n"/>
      <ns0:c r="AE666" s="17" t="n"/>
      <ns0:c r="AF666" s="17" t="n"/>
      <ns0:c r="AG666" s="17" t="n"/>
    </ns0:row>
    <ns0:row r="667" ht="24" customHeight="1">
      <ns0:c r="D667" s="17" t="n"/>
      <ns0:c r="E667" s="17" t="n"/>
      <ns0:c r="F667" s="17" t="n"/>
      <ns0:c r="G667" s="17" t="n"/>
      <ns0:c r="H667" s="17" t="n"/>
      <ns0:c r="I667" s="17" t="n"/>
      <ns0:c r="J667" s="17" t="n"/>
      <ns0:c r="K667" s="17" t="n"/>
      <ns0:c r="L667" s="17" t="n"/>
      <ns0:c r="M667" s="17" t="n"/>
      <ns0:c r="N667" s="17" t="n"/>
      <ns0:c r="O667" s="17" t="n"/>
      <ns0:c r="P667" s="17" t="n"/>
      <ns0:c r="Q667" s="17" t="n"/>
      <ns0:c r="R667" s="17" t="n"/>
      <ns0:c r="S667" s="17" t="n"/>
      <ns0:c r="T667" s="17" t="n"/>
      <ns0:c r="U667" s="17" t="n"/>
      <ns0:c r="V667" s="17" t="n"/>
      <ns0:c r="W667" s="17" t="n"/>
      <ns0:c r="X667" s="17" t="n"/>
      <ns0:c r="Y667" s="17" t="n"/>
      <ns0:c r="Z667" s="17" t="n"/>
      <ns0:c r="AA667" s="17" t="n"/>
      <ns0:c r="AB667" s="17" t="n"/>
      <ns0:c r="AC667" s="17" t="n"/>
      <ns0:c r="AD667" s="17" t="n"/>
      <ns0:c r="AE667" s="17" t="n"/>
      <ns0:c r="AF667" s="17" t="n"/>
      <ns0:c r="AG667" s="17" t="n"/>
    </ns0:row>
    <ns0:row r="668" ht="24" customHeight="1">
      <ns0:c r="D668" s="17" t="n"/>
      <ns0:c r="E668" s="17" t="n"/>
      <ns0:c r="F668" s="17" t="n"/>
      <ns0:c r="G668" s="17" t="n"/>
      <ns0:c r="H668" s="17" t="n"/>
      <ns0:c r="I668" s="17" t="n"/>
      <ns0:c r="J668" s="17" t="n"/>
      <ns0:c r="K668" s="17" t="n"/>
      <ns0:c r="L668" s="17" t="n"/>
      <ns0:c r="M668" s="17" t="n"/>
      <ns0:c r="N668" s="17" t="n"/>
      <ns0:c r="O668" s="17" t="n"/>
      <ns0:c r="P668" s="17" t="n"/>
      <ns0:c r="Q668" s="17" t="n"/>
      <ns0:c r="R668" s="17" t="n"/>
      <ns0:c r="S668" s="17" t="n"/>
      <ns0:c r="T668" s="17" t="n"/>
      <ns0:c r="U668" s="17" t="n"/>
      <ns0:c r="V668" s="17" t="n"/>
      <ns0:c r="W668" s="17" t="n"/>
      <ns0:c r="X668" s="17" t="n"/>
      <ns0:c r="Y668" s="17" t="n"/>
      <ns0:c r="Z668" s="17" t="n"/>
      <ns0:c r="AA668" s="17" t="n"/>
      <ns0:c r="AB668" s="17" t="n"/>
      <ns0:c r="AC668" s="17" t="n"/>
      <ns0:c r="AD668" s="17" t="n"/>
      <ns0:c r="AE668" s="17" t="n"/>
      <ns0:c r="AF668" s="17" t="n"/>
      <ns0:c r="AG668" s="17" t="n"/>
    </ns0:row>
    <ns0:row r="669" ht="24" customHeight="1">
      <ns0:c r="D669" s="17" t="n"/>
      <ns0:c r="E669" s="17" t="n"/>
      <ns0:c r="F669" s="17" t="n"/>
      <ns0:c r="G669" s="17" t="n"/>
      <ns0:c r="H669" s="17" t="n"/>
      <ns0:c r="I669" s="17" t="n"/>
      <ns0:c r="J669" s="17" t="n"/>
      <ns0:c r="K669" s="17" t="n"/>
      <ns0:c r="L669" s="17" t="n"/>
      <ns0:c r="M669" s="17" t="n"/>
      <ns0:c r="N669" s="17" t="n"/>
      <ns0:c r="O669" s="17" t="n"/>
      <ns0:c r="P669" s="17" t="n"/>
      <ns0:c r="Q669" s="17" t="n"/>
      <ns0:c r="R669" s="17" t="n"/>
      <ns0:c r="S669" s="17" t="n"/>
      <ns0:c r="T669" s="17" t="n"/>
      <ns0:c r="U669" s="17" t="n"/>
      <ns0:c r="V669" s="17" t="n"/>
      <ns0:c r="W669" s="17" t="n"/>
      <ns0:c r="X669" s="17" t="n"/>
      <ns0:c r="Y669" s="17" t="n"/>
      <ns0:c r="Z669" s="17" t="n"/>
      <ns0:c r="AA669" s="17" t="n"/>
      <ns0:c r="AB669" s="17" t="n"/>
      <ns0:c r="AC669" s="17" t="n"/>
      <ns0:c r="AD669" s="17" t="n"/>
      <ns0:c r="AE669" s="17" t="n"/>
      <ns0:c r="AF669" s="17" t="n"/>
      <ns0:c r="AG669" s="17" t="n"/>
    </ns0:row>
    <ns0:row r="670" ht="24" customHeight="1">
      <ns0:c r="D670" s="17" t="n"/>
      <ns0:c r="E670" s="17" t="n"/>
      <ns0:c r="F670" s="17" t="n"/>
      <ns0:c r="G670" s="17" t="n"/>
      <ns0:c r="H670" s="17" t="n"/>
      <ns0:c r="I670" s="17" t="n"/>
      <ns0:c r="J670" s="17" t="n"/>
      <ns0:c r="K670" s="17" t="n"/>
      <ns0:c r="L670" s="17" t="n"/>
      <ns0:c r="M670" s="17" t="n"/>
      <ns0:c r="N670" s="17" t="n"/>
      <ns0:c r="O670" s="17" t="n"/>
      <ns0:c r="P670" s="17" t="n"/>
      <ns0:c r="Q670" s="17" t="n"/>
      <ns0:c r="R670" s="17" t="n"/>
      <ns0:c r="S670" s="17" t="n"/>
      <ns0:c r="T670" s="17" t="n"/>
      <ns0:c r="U670" s="17" t="n"/>
      <ns0:c r="V670" s="17" t="n"/>
      <ns0:c r="W670" s="17" t="n"/>
      <ns0:c r="X670" s="17" t="n"/>
      <ns0:c r="Y670" s="17" t="n"/>
      <ns0:c r="Z670" s="17" t="n"/>
      <ns0:c r="AA670" s="17" t="n"/>
      <ns0:c r="AB670" s="17" t="n"/>
      <ns0:c r="AC670" s="17" t="n"/>
      <ns0:c r="AD670" s="17" t="n"/>
      <ns0:c r="AE670" s="17" t="n"/>
      <ns0:c r="AF670" s="17" t="n"/>
      <ns0:c r="AG670" s="17" t="n"/>
    </ns0:row>
    <ns0:row r="671" ht="24" customHeight="1">
      <ns0:c r="D671" s="17" t="n"/>
      <ns0:c r="E671" s="17" t="n"/>
      <ns0:c r="F671" s="17" t="n"/>
      <ns0:c r="G671" s="17" t="n"/>
      <ns0:c r="H671" s="17" t="n"/>
      <ns0:c r="I671" s="17" t="n"/>
      <ns0:c r="J671" s="17" t="n"/>
      <ns0:c r="K671" s="17" t="n"/>
      <ns0:c r="L671" s="17" t="n"/>
      <ns0:c r="M671" s="17" t="n"/>
      <ns0:c r="N671" s="17" t="n"/>
      <ns0:c r="O671" s="17" t="n"/>
      <ns0:c r="P671" s="17" t="n"/>
      <ns0:c r="Q671" s="17" t="n"/>
      <ns0:c r="R671" s="17" t="n"/>
      <ns0:c r="S671" s="17" t="n"/>
      <ns0:c r="T671" s="17" t="n"/>
      <ns0:c r="U671" s="17" t="n"/>
      <ns0:c r="V671" s="17" t="n"/>
      <ns0:c r="W671" s="17" t="n"/>
      <ns0:c r="X671" s="17" t="n"/>
      <ns0:c r="Y671" s="17" t="n"/>
      <ns0:c r="Z671" s="17" t="n"/>
      <ns0:c r="AA671" s="17" t="n"/>
      <ns0:c r="AB671" s="17" t="n"/>
      <ns0:c r="AC671" s="17" t="n"/>
      <ns0:c r="AD671" s="17" t="n"/>
      <ns0:c r="AE671" s="17" t="n"/>
      <ns0:c r="AF671" s="17" t="n"/>
      <ns0:c r="AG671" s="17" t="n"/>
    </ns0:row>
    <ns0:row r="672" ht="24" customHeight="1">
      <ns0:c r="D672" s="17" t="n"/>
      <ns0:c r="E672" s="17" t="n"/>
      <ns0:c r="F672" s="17" t="n"/>
      <ns0:c r="G672" s="17" t="n"/>
      <ns0:c r="H672" s="17" t="n"/>
      <ns0:c r="I672" s="17" t="n"/>
      <ns0:c r="J672" s="17" t="n"/>
      <ns0:c r="K672" s="17" t="n"/>
      <ns0:c r="L672" s="17" t="n"/>
      <ns0:c r="M672" s="17" t="n"/>
      <ns0:c r="N672" s="17" t="n"/>
      <ns0:c r="O672" s="17" t="n"/>
      <ns0:c r="P672" s="17" t="n"/>
      <ns0:c r="Q672" s="17" t="n"/>
      <ns0:c r="R672" s="17" t="n"/>
      <ns0:c r="S672" s="17" t="n"/>
      <ns0:c r="T672" s="17" t="n"/>
      <ns0:c r="U672" s="17" t="n"/>
      <ns0:c r="V672" s="17" t="n"/>
      <ns0:c r="W672" s="17" t="n"/>
      <ns0:c r="X672" s="17" t="n"/>
      <ns0:c r="Y672" s="17" t="n"/>
      <ns0:c r="Z672" s="17" t="n"/>
      <ns0:c r="AA672" s="17" t="n"/>
      <ns0:c r="AB672" s="17" t="n"/>
      <ns0:c r="AC672" s="17" t="n"/>
      <ns0:c r="AD672" s="17" t="n"/>
      <ns0:c r="AE672" s="17" t="n"/>
      <ns0:c r="AF672" s="17" t="n"/>
      <ns0:c r="AG672" s="17" t="n"/>
    </ns0:row>
    <ns0:row r="673" ht="24" customHeight="1">
      <ns0:c r="D673" s="17" t="n"/>
      <ns0:c r="E673" s="17" t="n"/>
      <ns0:c r="F673" s="17" t="n"/>
      <ns0:c r="G673" s="17" t="n"/>
      <ns0:c r="H673" s="17" t="n"/>
      <ns0:c r="I673" s="17" t="n"/>
      <ns0:c r="J673" s="17" t="n"/>
      <ns0:c r="K673" s="17" t="n"/>
      <ns0:c r="L673" s="17" t="n"/>
      <ns0:c r="M673" s="17" t="n"/>
      <ns0:c r="N673" s="17" t="n"/>
      <ns0:c r="O673" s="17" t="n"/>
      <ns0:c r="P673" s="17" t="n"/>
      <ns0:c r="Q673" s="17" t="n"/>
      <ns0:c r="R673" s="17" t="n"/>
      <ns0:c r="S673" s="17" t="n"/>
      <ns0:c r="T673" s="17" t="n"/>
      <ns0:c r="U673" s="17" t="n"/>
      <ns0:c r="V673" s="17" t="n"/>
      <ns0:c r="W673" s="17" t="n"/>
      <ns0:c r="X673" s="17" t="n"/>
      <ns0:c r="Y673" s="17" t="n"/>
      <ns0:c r="Z673" s="17" t="n"/>
      <ns0:c r="AA673" s="17" t="n"/>
      <ns0:c r="AB673" s="17" t="n"/>
      <ns0:c r="AC673" s="17" t="n"/>
      <ns0:c r="AD673" s="17" t="n"/>
      <ns0:c r="AE673" s="17" t="n"/>
      <ns0:c r="AF673" s="17" t="n"/>
      <ns0:c r="AG673" s="17" t="n"/>
    </ns0:row>
    <ns0:row r="674" ht="24" customHeight="1">
      <ns0:c r="D674" s="17" t="n"/>
      <ns0:c r="E674" s="17" t="n"/>
      <ns0:c r="F674" s="17" t="n"/>
      <ns0:c r="G674" s="17" t="n"/>
      <ns0:c r="H674" s="17" t="n"/>
      <ns0:c r="I674" s="17" t="n"/>
      <ns0:c r="J674" s="17" t="n"/>
      <ns0:c r="K674" s="17" t="n"/>
      <ns0:c r="L674" s="17" t="n"/>
      <ns0:c r="M674" s="17" t="n"/>
      <ns0:c r="N674" s="17" t="n"/>
      <ns0:c r="O674" s="17" t="n"/>
      <ns0:c r="P674" s="17" t="n"/>
      <ns0:c r="Q674" s="17" t="n"/>
      <ns0:c r="R674" s="17" t="n"/>
      <ns0:c r="S674" s="17" t="n"/>
      <ns0:c r="T674" s="17" t="n"/>
      <ns0:c r="U674" s="17" t="n"/>
      <ns0:c r="V674" s="17" t="n"/>
      <ns0:c r="W674" s="17" t="n"/>
      <ns0:c r="X674" s="17" t="n"/>
      <ns0:c r="Y674" s="17" t="n"/>
      <ns0:c r="Z674" s="17" t="n"/>
      <ns0:c r="AA674" s="17" t="n"/>
      <ns0:c r="AB674" s="17" t="n"/>
      <ns0:c r="AC674" s="17" t="n"/>
      <ns0:c r="AD674" s="17" t="n"/>
      <ns0:c r="AE674" s="17" t="n"/>
      <ns0:c r="AF674" s="17" t="n"/>
      <ns0:c r="AG674" s="17" t="n"/>
    </ns0:row>
    <ns0:row r="675" ht="24" customHeight="1">
      <ns0:c r="D675" s="17" t="n"/>
      <ns0:c r="E675" s="17" t="n"/>
      <ns0:c r="F675" s="17" t="n"/>
      <ns0:c r="G675" s="17" t="n"/>
      <ns0:c r="H675" s="17" t="n"/>
      <ns0:c r="I675" s="17" t="n"/>
      <ns0:c r="J675" s="17" t="n"/>
      <ns0:c r="K675" s="17" t="n"/>
      <ns0:c r="L675" s="17" t="n"/>
      <ns0:c r="M675" s="17" t="n"/>
      <ns0:c r="N675" s="17" t="n"/>
      <ns0:c r="O675" s="17" t="n"/>
      <ns0:c r="P675" s="17" t="n"/>
      <ns0:c r="Q675" s="17" t="n"/>
      <ns0:c r="R675" s="17" t="n"/>
      <ns0:c r="S675" s="17" t="n"/>
      <ns0:c r="T675" s="17" t="n"/>
      <ns0:c r="U675" s="17" t="n"/>
      <ns0:c r="V675" s="17" t="n"/>
      <ns0:c r="W675" s="17" t="n"/>
      <ns0:c r="X675" s="17" t="n"/>
      <ns0:c r="Y675" s="17" t="n"/>
      <ns0:c r="Z675" s="17" t="n"/>
      <ns0:c r="AA675" s="17" t="n"/>
      <ns0:c r="AB675" s="17" t="n"/>
      <ns0:c r="AC675" s="17" t="n"/>
      <ns0:c r="AD675" s="17" t="n"/>
      <ns0:c r="AE675" s="17" t="n"/>
      <ns0:c r="AF675" s="17" t="n"/>
      <ns0:c r="AG675" s="17" t="n"/>
    </ns0:row>
    <ns0:row r="676" ht="24" customHeight="1">
      <ns0:c r="D676" s="17" t="n"/>
      <ns0:c r="E676" s="17" t="n"/>
      <ns0:c r="F676" s="17" t="n"/>
      <ns0:c r="G676" s="17" t="n"/>
      <ns0:c r="H676" s="17" t="n"/>
      <ns0:c r="I676" s="17" t="n"/>
      <ns0:c r="J676" s="17" t="n"/>
      <ns0:c r="K676" s="17" t="n"/>
      <ns0:c r="L676" s="17" t="n"/>
      <ns0:c r="M676" s="17" t="n"/>
      <ns0:c r="N676" s="17" t="n"/>
      <ns0:c r="O676" s="17" t="n"/>
      <ns0:c r="P676" s="17" t="n"/>
      <ns0:c r="Q676" s="17" t="n"/>
      <ns0:c r="R676" s="17" t="n"/>
      <ns0:c r="S676" s="17" t="n"/>
      <ns0:c r="T676" s="17" t="n"/>
      <ns0:c r="U676" s="17" t="n"/>
      <ns0:c r="V676" s="17" t="n"/>
      <ns0:c r="W676" s="17" t="n"/>
      <ns0:c r="X676" s="17" t="n"/>
      <ns0:c r="Y676" s="17" t="n"/>
      <ns0:c r="Z676" s="17" t="n"/>
      <ns0:c r="AA676" s="17" t="n"/>
      <ns0:c r="AB676" s="17" t="n"/>
      <ns0:c r="AC676" s="17" t="n"/>
      <ns0:c r="AD676" s="17" t="n"/>
      <ns0:c r="AE676" s="17" t="n"/>
      <ns0:c r="AF676" s="17" t="n"/>
      <ns0:c r="AG676" s="17" t="n"/>
    </ns0:row>
    <ns0:row r="677" ht="24" customHeight="1">
      <ns0:c r="D677" s="17" t="n"/>
      <ns0:c r="E677" s="17" t="n"/>
      <ns0:c r="F677" s="17" t="n"/>
      <ns0:c r="G677" s="17" t="n"/>
      <ns0:c r="H677" s="17" t="n"/>
      <ns0:c r="I677" s="17" t="n"/>
      <ns0:c r="J677" s="17" t="n"/>
      <ns0:c r="K677" s="17" t="n"/>
      <ns0:c r="L677" s="17" t="n"/>
      <ns0:c r="M677" s="17" t="n"/>
      <ns0:c r="N677" s="17" t="n"/>
      <ns0:c r="O677" s="17" t="n"/>
      <ns0:c r="P677" s="17" t="n"/>
      <ns0:c r="Q677" s="17" t="n"/>
      <ns0:c r="R677" s="17" t="n"/>
      <ns0:c r="S677" s="17" t="n"/>
      <ns0:c r="T677" s="17" t="n"/>
      <ns0:c r="U677" s="17" t="n"/>
      <ns0:c r="V677" s="17" t="n"/>
      <ns0:c r="W677" s="17" t="n"/>
      <ns0:c r="X677" s="17" t="n"/>
      <ns0:c r="Y677" s="17" t="n"/>
      <ns0:c r="Z677" s="17" t="n"/>
      <ns0:c r="AA677" s="17" t="n"/>
      <ns0:c r="AB677" s="17" t="n"/>
      <ns0:c r="AC677" s="17" t="n"/>
      <ns0:c r="AD677" s="17" t="n"/>
      <ns0:c r="AE677" s="17" t="n"/>
      <ns0:c r="AF677" s="17" t="n"/>
      <ns0:c r="AG677" s="17" t="n"/>
    </ns0:row>
    <ns0:row r="678" ht="24" customHeight="1">
      <ns0:c r="D678" s="17" t="n"/>
      <ns0:c r="E678" s="17" t="n"/>
      <ns0:c r="F678" s="17" t="n"/>
      <ns0:c r="G678" s="17" t="n"/>
      <ns0:c r="H678" s="17" t="n"/>
      <ns0:c r="I678" s="17" t="n"/>
      <ns0:c r="J678" s="17" t="n"/>
      <ns0:c r="K678" s="17" t="n"/>
      <ns0:c r="L678" s="17" t="n"/>
      <ns0:c r="M678" s="17" t="n"/>
      <ns0:c r="N678" s="17" t="n"/>
      <ns0:c r="O678" s="17" t="n"/>
      <ns0:c r="P678" s="17" t="n"/>
      <ns0:c r="Q678" s="17" t="n"/>
      <ns0:c r="R678" s="17" t="n"/>
      <ns0:c r="S678" s="17" t="n"/>
      <ns0:c r="T678" s="17" t="n"/>
      <ns0:c r="U678" s="17" t="n"/>
      <ns0:c r="V678" s="17" t="n"/>
      <ns0:c r="W678" s="17" t="n"/>
      <ns0:c r="X678" s="17" t="n"/>
      <ns0:c r="Y678" s="17" t="n"/>
      <ns0:c r="Z678" s="17" t="n"/>
      <ns0:c r="AA678" s="17" t="n"/>
      <ns0:c r="AB678" s="17" t="n"/>
      <ns0:c r="AC678" s="17" t="n"/>
      <ns0:c r="AD678" s="17" t="n"/>
      <ns0:c r="AE678" s="17" t="n"/>
      <ns0:c r="AF678" s="17" t="n"/>
      <ns0:c r="AG678" s="17" t="n"/>
    </ns0:row>
    <ns0:row r="679" ht="24" customHeight="1">
      <ns0:c r="D679" s="17" t="n"/>
      <ns0:c r="E679" s="17" t="n"/>
      <ns0:c r="F679" s="17" t="n"/>
      <ns0:c r="G679" s="17" t="n"/>
      <ns0:c r="H679" s="17" t="n"/>
      <ns0:c r="I679" s="17" t="n"/>
      <ns0:c r="J679" s="17" t="n"/>
      <ns0:c r="K679" s="17" t="n"/>
      <ns0:c r="L679" s="17" t="n"/>
      <ns0:c r="M679" s="17" t="n"/>
      <ns0:c r="N679" s="17" t="n"/>
      <ns0:c r="O679" s="17" t="n"/>
      <ns0:c r="P679" s="17" t="n"/>
      <ns0:c r="Q679" s="17" t="n"/>
      <ns0:c r="R679" s="17" t="n"/>
      <ns0:c r="S679" s="17" t="n"/>
      <ns0:c r="T679" s="17" t="n"/>
      <ns0:c r="U679" s="17" t="n"/>
      <ns0:c r="V679" s="17" t="n"/>
      <ns0:c r="W679" s="17" t="n"/>
      <ns0:c r="X679" s="17" t="n"/>
      <ns0:c r="Y679" s="17" t="n"/>
      <ns0:c r="Z679" s="17" t="n"/>
      <ns0:c r="AA679" s="17" t="n"/>
      <ns0:c r="AB679" s="17" t="n"/>
      <ns0:c r="AC679" s="17" t="n"/>
      <ns0:c r="AD679" s="17" t="n"/>
      <ns0:c r="AE679" s="17" t="n"/>
      <ns0:c r="AF679" s="17" t="n"/>
      <ns0:c r="AG679" s="17" t="n"/>
    </ns0:row>
    <ns0:row r="680" ht="24" customHeight="1">
      <ns0:c r="D680" s="17" t="n"/>
      <ns0:c r="E680" s="17" t="n"/>
      <ns0:c r="F680" s="17" t="n"/>
      <ns0:c r="G680" s="17" t="n"/>
      <ns0:c r="H680" s="17" t="n"/>
      <ns0:c r="I680" s="17" t="n"/>
      <ns0:c r="J680" s="17" t="n"/>
      <ns0:c r="K680" s="17" t="n"/>
      <ns0:c r="L680" s="17" t="n"/>
      <ns0:c r="M680" s="17" t="n"/>
      <ns0:c r="N680" s="17" t="n"/>
      <ns0:c r="O680" s="17" t="n"/>
      <ns0:c r="P680" s="17" t="n"/>
      <ns0:c r="Q680" s="17" t="n"/>
      <ns0:c r="R680" s="17" t="n"/>
      <ns0:c r="S680" s="17" t="n"/>
      <ns0:c r="T680" s="17" t="n"/>
      <ns0:c r="U680" s="17" t="n"/>
      <ns0:c r="V680" s="17" t="n"/>
      <ns0:c r="W680" s="17" t="n"/>
      <ns0:c r="X680" s="17" t="n"/>
      <ns0:c r="Y680" s="17" t="n"/>
      <ns0:c r="Z680" s="17" t="n"/>
      <ns0:c r="AA680" s="17" t="n"/>
      <ns0:c r="AB680" s="17" t="n"/>
      <ns0:c r="AC680" s="17" t="n"/>
      <ns0:c r="AD680" s="17" t="n"/>
      <ns0:c r="AE680" s="17" t="n"/>
      <ns0:c r="AF680" s="17" t="n"/>
      <ns0:c r="AG680" s="17" t="n"/>
    </ns0:row>
    <ns0:row r="681" ht="24" customHeight="1">
      <ns0:c r="D681" s="17" t="n"/>
      <ns0:c r="E681" s="17" t="n"/>
      <ns0:c r="F681" s="17" t="n"/>
      <ns0:c r="G681" s="17" t="n"/>
      <ns0:c r="H681" s="17" t="n"/>
      <ns0:c r="I681" s="17" t="n"/>
      <ns0:c r="J681" s="17" t="n"/>
      <ns0:c r="K681" s="17" t="n"/>
      <ns0:c r="L681" s="17" t="n"/>
      <ns0:c r="M681" s="17" t="n"/>
      <ns0:c r="N681" s="17" t="n"/>
      <ns0:c r="O681" s="17" t="n"/>
      <ns0:c r="P681" s="17" t="n"/>
      <ns0:c r="Q681" s="17" t="n"/>
      <ns0:c r="R681" s="17" t="n"/>
      <ns0:c r="S681" s="17" t="n"/>
      <ns0:c r="T681" s="17" t="n"/>
      <ns0:c r="U681" s="17" t="n"/>
      <ns0:c r="V681" s="17" t="n"/>
      <ns0:c r="W681" s="17" t="n"/>
      <ns0:c r="X681" s="17" t="n"/>
      <ns0:c r="Y681" s="17" t="n"/>
      <ns0:c r="Z681" s="17" t="n"/>
      <ns0:c r="AA681" s="17" t="n"/>
      <ns0:c r="AB681" s="17" t="n"/>
      <ns0:c r="AC681" s="17" t="n"/>
      <ns0:c r="AD681" s="17" t="n"/>
      <ns0:c r="AE681" s="17" t="n"/>
      <ns0:c r="AF681" s="17" t="n"/>
      <ns0:c r="AG681" s="17" t="n"/>
    </ns0:row>
    <ns0:row r="682" ht="24" customHeight="1">
      <ns0:c r="D682" s="17" t="n"/>
      <ns0:c r="E682" s="17" t="n"/>
      <ns0:c r="F682" s="17" t="n"/>
      <ns0:c r="G682" s="17" t="n"/>
      <ns0:c r="H682" s="17" t="n"/>
      <ns0:c r="I682" s="17" t="n"/>
      <ns0:c r="J682" s="17" t="n"/>
      <ns0:c r="K682" s="17" t="n"/>
      <ns0:c r="L682" s="17" t="n"/>
      <ns0:c r="M682" s="17" t="n"/>
      <ns0:c r="N682" s="17" t="n"/>
      <ns0:c r="O682" s="17" t="n"/>
      <ns0:c r="P682" s="17" t="n"/>
      <ns0:c r="Q682" s="17" t="n"/>
      <ns0:c r="R682" s="17" t="n"/>
      <ns0:c r="S682" s="17" t="n"/>
      <ns0:c r="T682" s="17" t="n"/>
      <ns0:c r="U682" s="17" t="n"/>
      <ns0:c r="V682" s="17" t="n"/>
      <ns0:c r="W682" s="17" t="n"/>
      <ns0:c r="X682" s="17" t="n"/>
      <ns0:c r="Y682" s="17" t="n"/>
      <ns0:c r="Z682" s="17" t="n"/>
      <ns0:c r="AA682" s="17" t="n"/>
      <ns0:c r="AB682" s="17" t="n"/>
      <ns0:c r="AC682" s="17" t="n"/>
      <ns0:c r="AD682" s="17" t="n"/>
      <ns0:c r="AE682" s="17" t="n"/>
      <ns0:c r="AF682" s="17" t="n"/>
      <ns0:c r="AG682" s="17" t="n"/>
    </ns0:row>
    <ns0:row r="683" ht="24" customHeight="1">
      <ns0:c r="D683" s="17" t="n"/>
      <ns0:c r="E683" s="17" t="n"/>
      <ns0:c r="F683" s="17" t="n"/>
      <ns0:c r="G683" s="17" t="n"/>
      <ns0:c r="H683" s="17" t="n"/>
      <ns0:c r="I683" s="17" t="n"/>
      <ns0:c r="J683" s="17" t="n"/>
      <ns0:c r="K683" s="17" t="n"/>
      <ns0:c r="L683" s="17" t="n"/>
      <ns0:c r="M683" s="17" t="n"/>
      <ns0:c r="N683" s="17" t="n"/>
      <ns0:c r="O683" s="17" t="n"/>
      <ns0:c r="P683" s="17" t="n"/>
      <ns0:c r="Q683" s="17" t="n"/>
      <ns0:c r="R683" s="17" t="n"/>
      <ns0:c r="S683" s="17" t="n"/>
      <ns0:c r="T683" s="17" t="n"/>
      <ns0:c r="U683" s="17" t="n"/>
      <ns0:c r="V683" s="17" t="n"/>
      <ns0:c r="W683" s="17" t="n"/>
      <ns0:c r="X683" s="17" t="n"/>
      <ns0:c r="Y683" s="17" t="n"/>
      <ns0:c r="Z683" s="17" t="n"/>
      <ns0:c r="AA683" s="17" t="n"/>
      <ns0:c r="AB683" s="17" t="n"/>
      <ns0:c r="AC683" s="17" t="n"/>
      <ns0:c r="AD683" s="17" t="n"/>
      <ns0:c r="AE683" s="17" t="n"/>
      <ns0:c r="AF683" s="17" t="n"/>
      <ns0:c r="AG683" s="17" t="n"/>
    </ns0:row>
    <ns0:row r="684" ht="24" customHeight="1">
      <ns0:c r="D684" s="17" t="n"/>
      <ns0:c r="E684" s="17" t="n"/>
      <ns0:c r="F684" s="17" t="n"/>
      <ns0:c r="G684" s="17" t="n"/>
      <ns0:c r="H684" s="17" t="n"/>
      <ns0:c r="I684" s="17" t="n"/>
      <ns0:c r="J684" s="17" t="n"/>
      <ns0:c r="K684" s="17" t="n"/>
      <ns0:c r="L684" s="17" t="n"/>
      <ns0:c r="M684" s="17" t="n"/>
      <ns0:c r="N684" s="17" t="n"/>
      <ns0:c r="O684" s="17" t="n"/>
      <ns0:c r="P684" s="17" t="n"/>
      <ns0:c r="Q684" s="17" t="n"/>
      <ns0:c r="R684" s="17" t="n"/>
      <ns0:c r="S684" s="17" t="n"/>
      <ns0:c r="T684" s="17" t="n"/>
      <ns0:c r="U684" s="17" t="n"/>
      <ns0:c r="V684" s="17" t="n"/>
      <ns0:c r="W684" s="17" t="n"/>
      <ns0:c r="X684" s="17" t="n"/>
      <ns0:c r="Y684" s="17" t="n"/>
      <ns0:c r="Z684" s="17" t="n"/>
      <ns0:c r="AA684" s="17" t="n"/>
      <ns0:c r="AB684" s="17" t="n"/>
      <ns0:c r="AC684" s="17" t="n"/>
      <ns0:c r="AD684" s="17" t="n"/>
      <ns0:c r="AE684" s="17" t="n"/>
      <ns0:c r="AF684" s="17" t="n"/>
      <ns0:c r="AG684" s="17" t="n"/>
    </ns0:row>
    <ns0:row r="685" ht="24" customHeight="1">
      <ns0:c r="D685" s="17" t="n"/>
      <ns0:c r="E685" s="17" t="n"/>
      <ns0:c r="F685" s="17" t="n"/>
      <ns0:c r="G685" s="17" t="n"/>
      <ns0:c r="H685" s="17" t="n"/>
      <ns0:c r="I685" s="17" t="n"/>
      <ns0:c r="J685" s="17" t="n"/>
      <ns0:c r="K685" s="17" t="n"/>
      <ns0:c r="L685" s="17" t="n"/>
      <ns0:c r="M685" s="17" t="n"/>
      <ns0:c r="N685" s="17" t="n"/>
      <ns0:c r="O685" s="17" t="n"/>
      <ns0:c r="P685" s="17" t="n"/>
      <ns0:c r="Q685" s="17" t="n"/>
      <ns0:c r="R685" s="17" t="n"/>
      <ns0:c r="S685" s="17" t="n"/>
      <ns0:c r="T685" s="17" t="n"/>
      <ns0:c r="U685" s="17" t="n"/>
      <ns0:c r="V685" s="17" t="n"/>
      <ns0:c r="W685" s="17" t="n"/>
      <ns0:c r="X685" s="17" t="n"/>
      <ns0:c r="Y685" s="17" t="n"/>
      <ns0:c r="Z685" s="17" t="n"/>
      <ns0:c r="AA685" s="17" t="n"/>
      <ns0:c r="AB685" s="17" t="n"/>
      <ns0:c r="AC685" s="17" t="n"/>
      <ns0:c r="AD685" s="17" t="n"/>
      <ns0:c r="AE685" s="17" t="n"/>
      <ns0:c r="AF685" s="17" t="n"/>
      <ns0:c r="AG685" s="17" t="n"/>
    </ns0:row>
    <ns0:row r="686" ht="24" customHeight="1">
      <ns0:c r="D686" s="17" t="n"/>
      <ns0:c r="E686" s="17" t="n"/>
      <ns0:c r="F686" s="17" t="n"/>
      <ns0:c r="G686" s="17" t="n"/>
      <ns0:c r="H686" s="17" t="n"/>
      <ns0:c r="I686" s="17" t="n"/>
      <ns0:c r="J686" s="17" t="n"/>
      <ns0:c r="K686" s="17" t="n"/>
      <ns0:c r="L686" s="17" t="n"/>
      <ns0:c r="M686" s="17" t="n"/>
      <ns0:c r="N686" s="17" t="n"/>
      <ns0:c r="O686" s="17" t="n"/>
      <ns0:c r="P686" s="17" t="n"/>
      <ns0:c r="Q686" s="17" t="n"/>
      <ns0:c r="R686" s="17" t="n"/>
      <ns0:c r="S686" s="17" t="n"/>
      <ns0:c r="T686" s="17" t="n"/>
      <ns0:c r="U686" s="17" t="n"/>
      <ns0:c r="V686" s="17" t="n"/>
      <ns0:c r="W686" s="17" t="n"/>
      <ns0:c r="X686" s="17" t="n"/>
      <ns0:c r="Y686" s="17" t="n"/>
      <ns0:c r="Z686" s="17" t="n"/>
      <ns0:c r="AA686" s="17" t="n"/>
      <ns0:c r="AB686" s="17" t="n"/>
      <ns0:c r="AC686" s="17" t="n"/>
      <ns0:c r="AD686" s="17" t="n"/>
      <ns0:c r="AE686" s="17" t="n"/>
      <ns0:c r="AF686" s="17" t="n"/>
      <ns0:c r="AG686" s="17" t="n"/>
    </ns0:row>
    <ns0:row r="687" ht="24" customHeight="1">
      <ns0:c r="D687" s="17" t="n"/>
      <ns0:c r="E687" s="17" t="n"/>
      <ns0:c r="F687" s="17" t="n"/>
      <ns0:c r="G687" s="17" t="n"/>
      <ns0:c r="H687" s="17" t="n"/>
      <ns0:c r="I687" s="17" t="n"/>
      <ns0:c r="J687" s="17" t="n"/>
      <ns0:c r="K687" s="17" t="n"/>
      <ns0:c r="L687" s="17" t="n"/>
      <ns0:c r="M687" s="17" t="n"/>
      <ns0:c r="N687" s="17" t="n"/>
      <ns0:c r="O687" s="17" t="n"/>
      <ns0:c r="P687" s="17" t="n"/>
      <ns0:c r="Q687" s="17" t="n"/>
      <ns0:c r="R687" s="17" t="n"/>
      <ns0:c r="S687" s="17" t="n"/>
      <ns0:c r="T687" s="17" t="n"/>
      <ns0:c r="U687" s="17" t="n"/>
      <ns0:c r="V687" s="17" t="n"/>
      <ns0:c r="W687" s="17" t="n"/>
      <ns0:c r="X687" s="17" t="n"/>
      <ns0:c r="Y687" s="17" t="n"/>
      <ns0:c r="Z687" s="17" t="n"/>
      <ns0:c r="AA687" s="17" t="n"/>
      <ns0:c r="AB687" s="17" t="n"/>
      <ns0:c r="AC687" s="17" t="n"/>
      <ns0:c r="AD687" s="17" t="n"/>
      <ns0:c r="AE687" s="17" t="n"/>
      <ns0:c r="AF687" s="17" t="n"/>
      <ns0:c r="AG687" s="17" t="n"/>
    </ns0:row>
    <ns0:row r="688" ht="24" customHeight="1">
      <ns0:c r="D688" s="17" t="n"/>
      <ns0:c r="E688" s="17" t="n"/>
      <ns0:c r="F688" s="17" t="n"/>
      <ns0:c r="G688" s="17" t="n"/>
      <ns0:c r="H688" s="17" t="n"/>
      <ns0:c r="I688" s="17" t="n"/>
      <ns0:c r="J688" s="17" t="n"/>
      <ns0:c r="K688" s="17" t="n"/>
      <ns0:c r="L688" s="17" t="n"/>
      <ns0:c r="M688" s="17" t="n"/>
      <ns0:c r="N688" s="17" t="n"/>
      <ns0:c r="O688" s="17" t="n"/>
      <ns0:c r="P688" s="17" t="n"/>
      <ns0:c r="Q688" s="17" t="n"/>
      <ns0:c r="R688" s="17" t="n"/>
      <ns0:c r="S688" s="17" t="n"/>
      <ns0:c r="T688" s="17" t="n"/>
      <ns0:c r="U688" s="17" t="n"/>
      <ns0:c r="V688" s="17" t="n"/>
      <ns0:c r="W688" s="17" t="n"/>
      <ns0:c r="X688" s="17" t="n"/>
      <ns0:c r="Y688" s="17" t="n"/>
      <ns0:c r="Z688" s="17" t="n"/>
      <ns0:c r="AA688" s="17" t="n"/>
      <ns0:c r="AB688" s="17" t="n"/>
      <ns0:c r="AC688" s="17" t="n"/>
      <ns0:c r="AD688" s="17" t="n"/>
      <ns0:c r="AE688" s="17" t="n"/>
      <ns0:c r="AF688" s="17" t="n"/>
      <ns0:c r="AG688" s="17" t="n"/>
    </ns0:row>
    <ns0:row r="689" ht="24" customHeight="1">
      <ns0:c r="D689" s="17" t="n"/>
      <ns0:c r="E689" s="17" t="n"/>
      <ns0:c r="F689" s="17" t="n"/>
      <ns0:c r="G689" s="17" t="n"/>
      <ns0:c r="H689" s="17" t="n"/>
      <ns0:c r="I689" s="17" t="n"/>
      <ns0:c r="J689" s="17" t="n"/>
      <ns0:c r="K689" s="17" t="n"/>
      <ns0:c r="L689" s="17" t="n"/>
      <ns0:c r="M689" s="17" t="n"/>
      <ns0:c r="N689" s="17" t="n"/>
      <ns0:c r="O689" s="17" t="n"/>
      <ns0:c r="P689" s="17" t="n"/>
      <ns0:c r="Q689" s="17" t="n"/>
      <ns0:c r="R689" s="17" t="n"/>
      <ns0:c r="S689" s="17" t="n"/>
      <ns0:c r="T689" s="17" t="n"/>
      <ns0:c r="U689" s="17" t="n"/>
      <ns0:c r="V689" s="17" t="n"/>
      <ns0:c r="W689" s="17" t="n"/>
      <ns0:c r="X689" s="17" t="n"/>
      <ns0:c r="Y689" s="17" t="n"/>
      <ns0:c r="Z689" s="17" t="n"/>
      <ns0:c r="AA689" s="17" t="n"/>
      <ns0:c r="AB689" s="17" t="n"/>
      <ns0:c r="AC689" s="17" t="n"/>
      <ns0:c r="AD689" s="17" t="n"/>
      <ns0:c r="AE689" s="17" t="n"/>
      <ns0:c r="AF689" s="17" t="n"/>
      <ns0:c r="AG689" s="17" t="n"/>
    </ns0:row>
    <ns0:row r="690" ht="24" customHeight="1">
      <ns0:c r="D690" s="17" t="n"/>
      <ns0:c r="E690" s="17" t="n"/>
      <ns0:c r="F690" s="17" t="n"/>
      <ns0:c r="G690" s="17" t="n"/>
      <ns0:c r="H690" s="17" t="n"/>
      <ns0:c r="I690" s="17" t="n"/>
      <ns0:c r="J690" s="17" t="n"/>
      <ns0:c r="K690" s="17" t="n"/>
      <ns0:c r="L690" s="17" t="n"/>
      <ns0:c r="M690" s="17" t="n"/>
      <ns0:c r="N690" s="17" t="n"/>
      <ns0:c r="O690" s="17" t="n"/>
      <ns0:c r="P690" s="17" t="n"/>
      <ns0:c r="Q690" s="17" t="n"/>
      <ns0:c r="R690" s="17" t="n"/>
      <ns0:c r="S690" s="17" t="n"/>
      <ns0:c r="T690" s="17" t="n"/>
      <ns0:c r="U690" s="17" t="n"/>
      <ns0:c r="V690" s="17" t="n"/>
      <ns0:c r="W690" s="17" t="n"/>
      <ns0:c r="X690" s="17" t="n"/>
      <ns0:c r="Y690" s="17" t="n"/>
      <ns0:c r="Z690" s="17" t="n"/>
      <ns0:c r="AA690" s="17" t="n"/>
      <ns0:c r="AB690" s="17" t="n"/>
      <ns0:c r="AC690" s="17" t="n"/>
      <ns0:c r="AD690" s="17" t="n"/>
      <ns0:c r="AE690" s="17" t="n"/>
      <ns0:c r="AF690" s="17" t="n"/>
      <ns0:c r="AG690" s="17" t="n"/>
    </ns0:row>
    <ns0:row r="691" ht="24" customHeight="1">
      <ns0:c r="D691" s="17" t="n"/>
      <ns0:c r="E691" s="17" t="n"/>
      <ns0:c r="F691" s="17" t="n"/>
      <ns0:c r="G691" s="17" t="n"/>
      <ns0:c r="H691" s="17" t="n"/>
      <ns0:c r="I691" s="17" t="n"/>
      <ns0:c r="J691" s="17" t="n"/>
      <ns0:c r="K691" s="17" t="n"/>
      <ns0:c r="L691" s="17" t="n"/>
      <ns0:c r="M691" s="17" t="n"/>
      <ns0:c r="N691" s="17" t="n"/>
      <ns0:c r="O691" s="17" t="n"/>
      <ns0:c r="P691" s="17" t="n"/>
      <ns0:c r="Q691" s="17" t="n"/>
      <ns0:c r="R691" s="17" t="n"/>
      <ns0:c r="S691" s="17" t="n"/>
      <ns0:c r="T691" s="17" t="n"/>
      <ns0:c r="U691" s="17" t="n"/>
      <ns0:c r="V691" s="17" t="n"/>
      <ns0:c r="W691" s="17" t="n"/>
      <ns0:c r="X691" s="17" t="n"/>
      <ns0:c r="Y691" s="17" t="n"/>
      <ns0:c r="Z691" s="17" t="n"/>
      <ns0:c r="AA691" s="17" t="n"/>
      <ns0:c r="AB691" s="17" t="n"/>
      <ns0:c r="AC691" s="17" t="n"/>
      <ns0:c r="AD691" s="17" t="n"/>
      <ns0:c r="AE691" s="17" t="n"/>
      <ns0:c r="AF691" s="17" t="n"/>
      <ns0:c r="AG691" s="17" t="n"/>
    </ns0:row>
    <ns0:row r="692" ht="24" customHeight="1">
      <ns0:c r="D692" s="17" t="n"/>
      <ns0:c r="E692" s="17" t="n"/>
      <ns0:c r="F692" s="17" t="n"/>
      <ns0:c r="G692" s="17" t="n"/>
      <ns0:c r="H692" s="17" t="n"/>
      <ns0:c r="I692" s="17" t="n"/>
      <ns0:c r="J692" s="17" t="n"/>
      <ns0:c r="K692" s="17" t="n"/>
      <ns0:c r="L692" s="17" t="n"/>
      <ns0:c r="M692" s="17" t="n"/>
      <ns0:c r="N692" s="17" t="n"/>
      <ns0:c r="O692" s="17" t="n"/>
      <ns0:c r="P692" s="17" t="n"/>
      <ns0:c r="Q692" s="17" t="n"/>
      <ns0:c r="R692" s="17" t="n"/>
      <ns0:c r="S692" s="17" t="n"/>
      <ns0:c r="T692" s="17" t="n"/>
      <ns0:c r="U692" s="17" t="n"/>
      <ns0:c r="V692" s="17" t="n"/>
      <ns0:c r="W692" s="17" t="n"/>
      <ns0:c r="X692" s="17" t="n"/>
      <ns0:c r="Y692" s="17" t="n"/>
      <ns0:c r="Z692" s="17" t="n"/>
      <ns0:c r="AA692" s="17" t="n"/>
      <ns0:c r="AB692" s="17" t="n"/>
      <ns0:c r="AC692" s="17" t="n"/>
      <ns0:c r="AD692" s="17" t="n"/>
      <ns0:c r="AE692" s="17" t="n"/>
      <ns0:c r="AF692" s="17" t="n"/>
      <ns0:c r="AG692" s="17" t="n"/>
    </ns0:row>
    <ns0:row r="693" ht="24" customHeight="1">
      <ns0:c r="D693" s="17" t="n"/>
      <ns0:c r="E693" s="17" t="n"/>
      <ns0:c r="F693" s="17" t="n"/>
      <ns0:c r="G693" s="17" t="n"/>
      <ns0:c r="H693" s="17" t="n"/>
      <ns0:c r="I693" s="17" t="n"/>
      <ns0:c r="J693" s="17" t="n"/>
      <ns0:c r="K693" s="17" t="n"/>
      <ns0:c r="L693" s="17" t="n"/>
      <ns0:c r="M693" s="17" t="n"/>
      <ns0:c r="N693" s="17" t="n"/>
      <ns0:c r="O693" s="17" t="n"/>
      <ns0:c r="P693" s="17" t="n"/>
      <ns0:c r="Q693" s="17" t="n"/>
      <ns0:c r="R693" s="17" t="n"/>
      <ns0:c r="S693" s="17" t="n"/>
      <ns0:c r="T693" s="17" t="n"/>
      <ns0:c r="U693" s="17" t="n"/>
      <ns0:c r="V693" s="17" t="n"/>
      <ns0:c r="W693" s="17" t="n"/>
      <ns0:c r="X693" s="17" t="n"/>
      <ns0:c r="Y693" s="17" t="n"/>
      <ns0:c r="Z693" s="17" t="n"/>
      <ns0:c r="AA693" s="17" t="n"/>
      <ns0:c r="AB693" s="17" t="n"/>
      <ns0:c r="AC693" s="17" t="n"/>
      <ns0:c r="AD693" s="17" t="n"/>
      <ns0:c r="AE693" s="17" t="n"/>
      <ns0:c r="AF693" s="17" t="n"/>
      <ns0:c r="AG693" s="17" t="n"/>
    </ns0:row>
    <ns0:row r="694" ht="24" customHeight="1">
      <ns0:c r="D694" s="17" t="n"/>
      <ns0:c r="E694" s="17" t="n"/>
      <ns0:c r="F694" s="17" t="n"/>
      <ns0:c r="G694" s="17" t="n"/>
      <ns0:c r="H694" s="17" t="n"/>
      <ns0:c r="I694" s="17" t="n"/>
      <ns0:c r="J694" s="17" t="n"/>
      <ns0:c r="K694" s="17" t="n"/>
      <ns0:c r="L694" s="17" t="n"/>
      <ns0:c r="M694" s="17" t="n"/>
      <ns0:c r="N694" s="17" t="n"/>
      <ns0:c r="O694" s="17" t="n"/>
      <ns0:c r="P694" s="17" t="n"/>
      <ns0:c r="Q694" s="17" t="n"/>
      <ns0:c r="R694" s="17" t="n"/>
      <ns0:c r="S694" s="17" t="n"/>
      <ns0:c r="T694" s="17" t="n"/>
      <ns0:c r="U694" s="17" t="n"/>
      <ns0:c r="V694" s="17" t="n"/>
      <ns0:c r="W694" s="17" t="n"/>
      <ns0:c r="X694" s="17" t="n"/>
      <ns0:c r="Y694" s="17" t="n"/>
      <ns0:c r="Z694" s="17" t="n"/>
      <ns0:c r="AA694" s="17" t="n"/>
      <ns0:c r="AB694" s="17" t="n"/>
      <ns0:c r="AC694" s="17" t="n"/>
      <ns0:c r="AD694" s="17" t="n"/>
      <ns0:c r="AE694" s="17" t="n"/>
      <ns0:c r="AF694" s="17" t="n"/>
      <ns0:c r="AG694" s="17" t="n"/>
    </ns0:row>
    <ns0:row r="695" ht="24" customHeight="1">
      <ns0:c r="D695" s="17" t="n"/>
      <ns0:c r="E695" s="17" t="n"/>
      <ns0:c r="F695" s="17" t="n"/>
      <ns0:c r="G695" s="17" t="n"/>
      <ns0:c r="H695" s="17" t="n"/>
      <ns0:c r="I695" s="17" t="n"/>
      <ns0:c r="J695" s="17" t="n"/>
      <ns0:c r="K695" s="17" t="n"/>
      <ns0:c r="L695" s="17" t="n"/>
      <ns0:c r="M695" s="17" t="n"/>
      <ns0:c r="N695" s="17" t="n"/>
      <ns0:c r="O695" s="17" t="n"/>
      <ns0:c r="P695" s="17" t="n"/>
      <ns0:c r="Q695" s="17" t="n"/>
      <ns0:c r="R695" s="17" t="n"/>
      <ns0:c r="S695" s="17" t="n"/>
      <ns0:c r="T695" s="17" t="n"/>
      <ns0:c r="U695" s="17" t="n"/>
      <ns0:c r="V695" s="17" t="n"/>
      <ns0:c r="W695" s="17" t="n"/>
      <ns0:c r="X695" s="17" t="n"/>
      <ns0:c r="Y695" s="17" t="n"/>
      <ns0:c r="Z695" s="17" t="n"/>
      <ns0:c r="AA695" s="17" t="n"/>
      <ns0:c r="AB695" s="17" t="n"/>
      <ns0:c r="AC695" s="17" t="n"/>
      <ns0:c r="AD695" s="17" t="n"/>
      <ns0:c r="AE695" s="17" t="n"/>
      <ns0:c r="AF695" s="17" t="n"/>
      <ns0:c r="AG695" s="17" t="n"/>
    </ns0:row>
    <ns0:row r="696" ht="24" customHeight="1">
      <ns0:c r="D696" s="17" t="n"/>
      <ns0:c r="E696" s="17" t="n"/>
      <ns0:c r="F696" s="17" t="n"/>
      <ns0:c r="G696" s="17" t="n"/>
      <ns0:c r="H696" s="17" t="n"/>
      <ns0:c r="I696" s="17" t="n"/>
      <ns0:c r="J696" s="17" t="n"/>
      <ns0:c r="K696" s="17" t="n"/>
      <ns0:c r="L696" s="17" t="n"/>
      <ns0:c r="M696" s="17" t="n"/>
      <ns0:c r="N696" s="17" t="n"/>
      <ns0:c r="O696" s="17" t="n"/>
      <ns0:c r="P696" s="17" t="n"/>
      <ns0:c r="Q696" s="17" t="n"/>
      <ns0:c r="R696" s="17" t="n"/>
      <ns0:c r="S696" s="17" t="n"/>
      <ns0:c r="T696" s="17" t="n"/>
      <ns0:c r="U696" s="17" t="n"/>
      <ns0:c r="V696" s="17" t="n"/>
      <ns0:c r="W696" s="17" t="n"/>
      <ns0:c r="X696" s="17" t="n"/>
      <ns0:c r="Y696" s="17" t="n"/>
      <ns0:c r="Z696" s="17" t="n"/>
      <ns0:c r="AA696" s="17" t="n"/>
      <ns0:c r="AB696" s="17" t="n"/>
      <ns0:c r="AC696" s="17" t="n"/>
      <ns0:c r="AD696" s="17" t="n"/>
      <ns0:c r="AE696" s="17" t="n"/>
      <ns0:c r="AF696" s="17" t="n"/>
      <ns0:c r="AG696" s="17" t="n"/>
    </ns0:row>
    <ns0:row r="697" ht="24" customHeight="1">
      <ns0:c r="D697" s="17" t="n"/>
      <ns0:c r="E697" s="17" t="n"/>
      <ns0:c r="F697" s="17" t="n"/>
      <ns0:c r="G697" s="17" t="n"/>
      <ns0:c r="H697" s="17" t="n"/>
      <ns0:c r="I697" s="17" t="n"/>
      <ns0:c r="J697" s="17" t="n"/>
      <ns0:c r="K697" s="17" t="n"/>
      <ns0:c r="L697" s="17" t="n"/>
      <ns0:c r="M697" s="17" t="n"/>
      <ns0:c r="N697" s="17" t="n"/>
      <ns0:c r="O697" s="17" t="n"/>
      <ns0:c r="P697" s="17" t="n"/>
      <ns0:c r="Q697" s="17" t="n"/>
      <ns0:c r="R697" s="17" t="n"/>
      <ns0:c r="S697" s="17" t="n"/>
      <ns0:c r="T697" s="17" t="n"/>
      <ns0:c r="U697" s="17" t="n"/>
      <ns0:c r="V697" s="17" t="n"/>
      <ns0:c r="W697" s="17" t="n"/>
      <ns0:c r="X697" s="17" t="n"/>
      <ns0:c r="Y697" s="17" t="n"/>
      <ns0:c r="Z697" s="17" t="n"/>
      <ns0:c r="AA697" s="17" t="n"/>
      <ns0:c r="AB697" s="17" t="n"/>
      <ns0:c r="AC697" s="17" t="n"/>
      <ns0:c r="AD697" s="17" t="n"/>
      <ns0:c r="AE697" s="17" t="n"/>
      <ns0:c r="AF697" s="17" t="n"/>
      <ns0:c r="AG697" s="17" t="n"/>
    </ns0:row>
    <ns0:row r="698" ht="24" customHeight="1">
      <ns0:c r="D698" s="17" t="n"/>
      <ns0:c r="E698" s="17" t="n"/>
      <ns0:c r="F698" s="17" t="n"/>
      <ns0:c r="G698" s="17" t="n"/>
      <ns0:c r="H698" s="17" t="n"/>
      <ns0:c r="I698" s="17" t="n"/>
      <ns0:c r="J698" s="17" t="n"/>
      <ns0:c r="K698" s="17" t="n"/>
      <ns0:c r="L698" s="17" t="n"/>
      <ns0:c r="M698" s="17" t="n"/>
      <ns0:c r="N698" s="17" t="n"/>
      <ns0:c r="O698" s="17" t="n"/>
      <ns0:c r="P698" s="17" t="n"/>
      <ns0:c r="Q698" s="17" t="n"/>
      <ns0:c r="R698" s="17" t="n"/>
      <ns0:c r="S698" s="17" t="n"/>
      <ns0:c r="T698" s="17" t="n"/>
      <ns0:c r="U698" s="17" t="n"/>
      <ns0:c r="V698" s="17" t="n"/>
      <ns0:c r="W698" s="17" t="n"/>
      <ns0:c r="X698" s="17" t="n"/>
      <ns0:c r="Y698" s="17" t="n"/>
      <ns0:c r="Z698" s="17" t="n"/>
      <ns0:c r="AA698" s="17" t="n"/>
      <ns0:c r="AB698" s="17" t="n"/>
      <ns0:c r="AC698" s="17" t="n"/>
      <ns0:c r="AD698" s="17" t="n"/>
      <ns0:c r="AE698" s="17" t="n"/>
      <ns0:c r="AF698" s="17" t="n"/>
      <ns0:c r="AG698" s="17" t="n"/>
    </ns0:row>
    <ns0:row r="699" ht="24" customHeight="1">
      <ns0:c r="D699" s="17" t="n"/>
      <ns0:c r="E699" s="17" t="n"/>
      <ns0:c r="F699" s="17" t="n"/>
      <ns0:c r="G699" s="17" t="n"/>
      <ns0:c r="H699" s="17" t="n"/>
      <ns0:c r="I699" s="17" t="n"/>
      <ns0:c r="J699" s="17" t="n"/>
      <ns0:c r="K699" s="17" t="n"/>
      <ns0:c r="L699" s="17" t="n"/>
      <ns0:c r="M699" s="17" t="n"/>
      <ns0:c r="N699" s="17" t="n"/>
      <ns0:c r="O699" s="17" t="n"/>
      <ns0:c r="P699" s="17" t="n"/>
      <ns0:c r="Q699" s="17" t="n"/>
      <ns0:c r="R699" s="17" t="n"/>
      <ns0:c r="S699" s="17" t="n"/>
      <ns0:c r="T699" s="17" t="n"/>
      <ns0:c r="U699" s="17" t="n"/>
      <ns0:c r="V699" s="17" t="n"/>
      <ns0:c r="W699" s="17" t="n"/>
      <ns0:c r="X699" s="17" t="n"/>
      <ns0:c r="Y699" s="17" t="n"/>
      <ns0:c r="Z699" s="17" t="n"/>
      <ns0:c r="AA699" s="17" t="n"/>
      <ns0:c r="AB699" s="17" t="n"/>
      <ns0:c r="AC699" s="17" t="n"/>
      <ns0:c r="AD699" s="17" t="n"/>
      <ns0:c r="AE699" s="17" t="n"/>
      <ns0:c r="AF699" s="17" t="n"/>
      <ns0:c r="AG699" s="17" t="n"/>
    </ns0:row>
    <ns0:row r="700" ht="24" customHeight="1">
      <ns0:c r="D700" s="17" t="n"/>
      <ns0:c r="E700" s="17" t="n"/>
      <ns0:c r="F700" s="17" t="n"/>
      <ns0:c r="G700" s="17" t="n"/>
      <ns0:c r="H700" s="17" t="n"/>
      <ns0:c r="I700" s="17" t="n"/>
      <ns0:c r="J700" s="17" t="n"/>
      <ns0:c r="K700" s="17" t="n"/>
      <ns0:c r="L700" s="17" t="n"/>
      <ns0:c r="M700" s="17" t="n"/>
      <ns0:c r="N700" s="17" t="n"/>
      <ns0:c r="O700" s="17" t="n"/>
      <ns0:c r="P700" s="17" t="n"/>
      <ns0:c r="Q700" s="17" t="n"/>
      <ns0:c r="R700" s="17" t="n"/>
      <ns0:c r="S700" s="17" t="n"/>
      <ns0:c r="T700" s="17" t="n"/>
      <ns0:c r="U700" s="17" t="n"/>
      <ns0:c r="V700" s="17" t="n"/>
      <ns0:c r="W700" s="17" t="n"/>
      <ns0:c r="X700" s="17" t="n"/>
      <ns0:c r="Y700" s="17" t="n"/>
      <ns0:c r="Z700" s="17" t="n"/>
      <ns0:c r="AA700" s="17" t="n"/>
      <ns0:c r="AB700" s="17" t="n"/>
      <ns0:c r="AC700" s="17" t="n"/>
      <ns0:c r="AD700" s="17" t="n"/>
      <ns0:c r="AE700" s="17" t="n"/>
      <ns0:c r="AF700" s="17" t="n"/>
      <ns0:c r="AG700" s="17" t="n"/>
    </ns0:row>
    <ns0:row r="701" ht="24" customHeight="1">
      <ns0:c r="D701" s="17" t="n"/>
      <ns0:c r="E701" s="17" t="n"/>
      <ns0:c r="F701" s="17" t="n"/>
      <ns0:c r="G701" s="17" t="n"/>
      <ns0:c r="H701" s="17" t="n"/>
      <ns0:c r="I701" s="17" t="n"/>
      <ns0:c r="J701" s="17" t="n"/>
      <ns0:c r="K701" s="17" t="n"/>
      <ns0:c r="L701" s="17" t="n"/>
      <ns0:c r="M701" s="17" t="n"/>
      <ns0:c r="N701" s="17" t="n"/>
      <ns0:c r="O701" s="17" t="n"/>
      <ns0:c r="P701" s="17" t="n"/>
      <ns0:c r="Q701" s="17" t="n"/>
      <ns0:c r="R701" s="17" t="n"/>
      <ns0:c r="S701" s="17" t="n"/>
      <ns0:c r="T701" s="17" t="n"/>
      <ns0:c r="U701" s="17" t="n"/>
      <ns0:c r="V701" s="17" t="n"/>
      <ns0:c r="W701" s="17" t="n"/>
      <ns0:c r="X701" s="17" t="n"/>
      <ns0:c r="Y701" s="17" t="n"/>
      <ns0:c r="Z701" s="17" t="n"/>
      <ns0:c r="AA701" s="17" t="n"/>
      <ns0:c r="AB701" s="17" t="n"/>
      <ns0:c r="AC701" s="17" t="n"/>
      <ns0:c r="AD701" s="17" t="n"/>
      <ns0:c r="AE701" s="17" t="n"/>
      <ns0:c r="AF701" s="17" t="n"/>
      <ns0:c r="AG701" s="17" t="n"/>
    </ns0:row>
    <ns0:row r="702" ht="24" customHeight="1">
      <ns0:c r="D702" s="17" t="n"/>
      <ns0:c r="E702" s="17" t="n"/>
      <ns0:c r="F702" s="17" t="n"/>
      <ns0:c r="G702" s="17" t="n"/>
      <ns0:c r="H702" s="17" t="n"/>
      <ns0:c r="I702" s="17" t="n"/>
      <ns0:c r="J702" s="17" t="n"/>
      <ns0:c r="K702" s="17" t="n"/>
      <ns0:c r="L702" s="17" t="n"/>
      <ns0:c r="M702" s="17" t="n"/>
      <ns0:c r="N702" s="17" t="n"/>
      <ns0:c r="O702" s="17" t="n"/>
      <ns0:c r="P702" s="17" t="n"/>
      <ns0:c r="Q702" s="17" t="n"/>
      <ns0:c r="R702" s="17" t="n"/>
      <ns0:c r="S702" s="17" t="n"/>
      <ns0:c r="T702" s="17" t="n"/>
      <ns0:c r="U702" s="17" t="n"/>
      <ns0:c r="V702" s="17" t="n"/>
      <ns0:c r="W702" s="17" t="n"/>
      <ns0:c r="X702" s="17" t="n"/>
      <ns0:c r="Y702" s="17" t="n"/>
      <ns0:c r="Z702" s="17" t="n"/>
      <ns0:c r="AA702" s="17" t="n"/>
      <ns0:c r="AB702" s="17" t="n"/>
      <ns0:c r="AC702" s="17" t="n"/>
      <ns0:c r="AD702" s="17" t="n"/>
      <ns0:c r="AE702" s="17" t="n"/>
      <ns0:c r="AF702" s="17" t="n"/>
      <ns0:c r="AG702" s="17" t="n"/>
    </ns0:row>
    <ns0:row r="703" ht="24" customHeight="1">
      <ns0:c r="D703" s="17" t="n"/>
      <ns0:c r="E703" s="17" t="n"/>
      <ns0:c r="F703" s="17" t="n"/>
      <ns0:c r="G703" s="17" t="n"/>
      <ns0:c r="H703" s="17" t="n"/>
      <ns0:c r="I703" s="17" t="n"/>
      <ns0:c r="J703" s="17" t="n"/>
      <ns0:c r="K703" s="17" t="n"/>
      <ns0:c r="L703" s="17" t="n"/>
      <ns0:c r="M703" s="17" t="n"/>
      <ns0:c r="N703" s="17" t="n"/>
      <ns0:c r="O703" s="17" t="n"/>
      <ns0:c r="P703" s="17" t="n"/>
      <ns0:c r="Q703" s="17" t="n"/>
      <ns0:c r="R703" s="17" t="n"/>
      <ns0:c r="S703" s="17" t="n"/>
      <ns0:c r="T703" s="17" t="n"/>
      <ns0:c r="U703" s="17" t="n"/>
      <ns0:c r="V703" s="17" t="n"/>
      <ns0:c r="W703" s="17" t="n"/>
      <ns0:c r="X703" s="17" t="n"/>
      <ns0:c r="Y703" s="17" t="n"/>
      <ns0:c r="Z703" s="17" t="n"/>
      <ns0:c r="AA703" s="17" t="n"/>
      <ns0:c r="AB703" s="17" t="n"/>
      <ns0:c r="AC703" s="17" t="n"/>
      <ns0:c r="AD703" s="17" t="n"/>
      <ns0:c r="AE703" s="17" t="n"/>
      <ns0:c r="AF703" s="17" t="n"/>
      <ns0:c r="AG703" s="17" t="n"/>
    </ns0:row>
    <ns0:row r="704" ht="24" customHeight="1">
      <ns0:c r="D704" s="17" t="n"/>
      <ns0:c r="E704" s="17" t="n"/>
      <ns0:c r="F704" s="17" t="n"/>
      <ns0:c r="G704" s="17" t="n"/>
      <ns0:c r="H704" s="17" t="n"/>
      <ns0:c r="I704" s="17" t="n"/>
      <ns0:c r="J704" s="17" t="n"/>
      <ns0:c r="K704" s="17" t="n"/>
      <ns0:c r="L704" s="17" t="n"/>
      <ns0:c r="M704" s="17" t="n"/>
      <ns0:c r="N704" s="17" t="n"/>
      <ns0:c r="O704" s="17" t="n"/>
      <ns0:c r="P704" s="17" t="n"/>
      <ns0:c r="Q704" s="17" t="n"/>
      <ns0:c r="R704" s="17" t="n"/>
      <ns0:c r="S704" s="17" t="n"/>
      <ns0:c r="T704" s="17" t="n"/>
      <ns0:c r="U704" s="17" t="n"/>
      <ns0:c r="V704" s="17" t="n"/>
      <ns0:c r="W704" s="17" t="n"/>
      <ns0:c r="X704" s="17" t="n"/>
      <ns0:c r="Y704" s="17" t="n"/>
      <ns0:c r="Z704" s="17" t="n"/>
      <ns0:c r="AA704" s="17" t="n"/>
      <ns0:c r="AB704" s="17" t="n"/>
      <ns0:c r="AC704" s="17" t="n"/>
      <ns0:c r="AD704" s="17" t="n"/>
      <ns0:c r="AE704" s="17" t="n"/>
      <ns0:c r="AF704" s="17" t="n"/>
      <ns0:c r="AG704" s="17" t="n"/>
    </ns0:row>
    <ns0:row r="705" ht="24" customHeight="1">
      <ns0:c r="D705" s="17" t="n"/>
      <ns0:c r="E705" s="17" t="n"/>
      <ns0:c r="F705" s="17" t="n"/>
      <ns0:c r="G705" s="17" t="n"/>
      <ns0:c r="H705" s="17" t="n"/>
      <ns0:c r="I705" s="17" t="n"/>
      <ns0:c r="J705" s="17" t="n"/>
      <ns0:c r="K705" s="17" t="n"/>
      <ns0:c r="L705" s="17" t="n"/>
      <ns0:c r="M705" s="17" t="n"/>
      <ns0:c r="N705" s="17" t="n"/>
      <ns0:c r="O705" s="17" t="n"/>
      <ns0:c r="P705" s="17" t="n"/>
      <ns0:c r="Q705" s="17" t="n"/>
      <ns0:c r="R705" s="17" t="n"/>
      <ns0:c r="S705" s="17" t="n"/>
      <ns0:c r="T705" s="17" t="n"/>
      <ns0:c r="U705" s="17" t="n"/>
      <ns0:c r="V705" s="17" t="n"/>
      <ns0:c r="W705" s="17" t="n"/>
      <ns0:c r="X705" s="17" t="n"/>
      <ns0:c r="Y705" s="17" t="n"/>
      <ns0:c r="Z705" s="17" t="n"/>
      <ns0:c r="AA705" s="17" t="n"/>
      <ns0:c r="AB705" s="17" t="n"/>
      <ns0:c r="AC705" s="17" t="n"/>
      <ns0:c r="AD705" s="17" t="n"/>
      <ns0:c r="AE705" s="17" t="n"/>
      <ns0:c r="AF705" s="17" t="n"/>
      <ns0:c r="AG705" s="17" t="n"/>
    </ns0:row>
    <ns0:row r="706" ht="24" customHeight="1">
      <ns0:c r="D706" s="17" t="n"/>
      <ns0:c r="E706" s="17" t="n"/>
      <ns0:c r="F706" s="17" t="n"/>
      <ns0:c r="G706" s="17" t="n"/>
      <ns0:c r="H706" s="17" t="n"/>
      <ns0:c r="I706" s="17" t="n"/>
      <ns0:c r="J706" s="17" t="n"/>
      <ns0:c r="K706" s="17" t="n"/>
      <ns0:c r="L706" s="17" t="n"/>
      <ns0:c r="M706" s="17" t="n"/>
      <ns0:c r="N706" s="17" t="n"/>
      <ns0:c r="O706" s="17" t="n"/>
      <ns0:c r="P706" s="17" t="n"/>
      <ns0:c r="Q706" s="17" t="n"/>
      <ns0:c r="R706" s="17" t="n"/>
      <ns0:c r="S706" s="17" t="n"/>
      <ns0:c r="T706" s="17" t="n"/>
      <ns0:c r="U706" s="17" t="n"/>
      <ns0:c r="V706" s="17" t="n"/>
      <ns0:c r="W706" s="17" t="n"/>
      <ns0:c r="X706" s="17" t="n"/>
      <ns0:c r="Y706" s="17" t="n"/>
      <ns0:c r="Z706" s="17" t="n"/>
      <ns0:c r="AA706" s="17" t="n"/>
      <ns0:c r="AB706" s="17" t="n"/>
      <ns0:c r="AC706" s="17" t="n"/>
      <ns0:c r="AD706" s="17" t="n"/>
      <ns0:c r="AE706" s="17" t="n"/>
      <ns0:c r="AF706" s="17" t="n"/>
      <ns0:c r="AG706" s="17" t="n"/>
    </ns0:row>
    <ns0:row r="707" ht="24" customHeight="1">
      <ns0:c r="D707" s="17" t="n"/>
      <ns0:c r="E707" s="17" t="n"/>
      <ns0:c r="F707" s="17" t="n"/>
      <ns0:c r="G707" s="17" t="n"/>
      <ns0:c r="H707" s="17" t="n"/>
      <ns0:c r="I707" s="17" t="n"/>
      <ns0:c r="J707" s="17" t="n"/>
      <ns0:c r="K707" s="17" t="n"/>
      <ns0:c r="L707" s="17" t="n"/>
      <ns0:c r="M707" s="17" t="n"/>
      <ns0:c r="N707" s="17" t="n"/>
      <ns0:c r="O707" s="17" t="n"/>
      <ns0:c r="P707" s="17" t="n"/>
      <ns0:c r="Q707" s="17" t="n"/>
      <ns0:c r="R707" s="17" t="n"/>
      <ns0:c r="S707" s="17" t="n"/>
      <ns0:c r="T707" s="17" t="n"/>
      <ns0:c r="U707" s="17" t="n"/>
      <ns0:c r="V707" s="17" t="n"/>
      <ns0:c r="W707" s="17" t="n"/>
      <ns0:c r="X707" s="17" t="n"/>
      <ns0:c r="Y707" s="17" t="n"/>
      <ns0:c r="Z707" s="17" t="n"/>
      <ns0:c r="AA707" s="17" t="n"/>
      <ns0:c r="AB707" s="17" t="n"/>
      <ns0:c r="AC707" s="17" t="n"/>
      <ns0:c r="AD707" s="17" t="n"/>
      <ns0:c r="AE707" s="17" t="n"/>
      <ns0:c r="AF707" s="17" t="n"/>
      <ns0:c r="AG707" s="17" t="n"/>
    </ns0:row>
    <ns0:row r="708" ht="24" customHeight="1">
      <ns0:c r="D708" s="17" t="n"/>
      <ns0:c r="E708" s="17" t="n"/>
      <ns0:c r="F708" s="17" t="n"/>
      <ns0:c r="G708" s="17" t="n"/>
      <ns0:c r="H708" s="17" t="n"/>
      <ns0:c r="I708" s="17" t="n"/>
      <ns0:c r="J708" s="17" t="n"/>
      <ns0:c r="K708" s="17" t="n"/>
      <ns0:c r="L708" s="17" t="n"/>
      <ns0:c r="M708" s="17" t="n"/>
      <ns0:c r="N708" s="17" t="n"/>
      <ns0:c r="O708" s="17" t="n"/>
      <ns0:c r="P708" s="17" t="n"/>
      <ns0:c r="Q708" s="17" t="n"/>
      <ns0:c r="R708" s="17" t="n"/>
      <ns0:c r="S708" s="17" t="n"/>
      <ns0:c r="T708" s="17" t="n"/>
      <ns0:c r="U708" s="17" t="n"/>
      <ns0:c r="V708" s="17" t="n"/>
      <ns0:c r="W708" s="17" t="n"/>
      <ns0:c r="X708" s="17" t="n"/>
      <ns0:c r="Y708" s="17" t="n"/>
      <ns0:c r="Z708" s="17" t="n"/>
      <ns0:c r="AA708" s="17" t="n"/>
      <ns0:c r="AB708" s="17" t="n"/>
      <ns0:c r="AC708" s="17" t="n"/>
      <ns0:c r="AD708" s="17" t="n"/>
      <ns0:c r="AE708" s="17" t="n"/>
      <ns0:c r="AF708" s="17" t="n"/>
      <ns0:c r="AG708" s="17" t="n"/>
    </ns0:row>
    <ns0:row r="709" ht="24" customHeight="1">
      <ns0:c r="D709" s="17" t="n"/>
      <ns0:c r="E709" s="17" t="n"/>
      <ns0:c r="F709" s="17" t="n"/>
      <ns0:c r="G709" s="17" t="n"/>
      <ns0:c r="H709" s="17" t="n"/>
      <ns0:c r="I709" s="17" t="n"/>
      <ns0:c r="J709" s="17" t="n"/>
      <ns0:c r="K709" s="17" t="n"/>
      <ns0:c r="L709" s="17" t="n"/>
      <ns0:c r="M709" s="17" t="n"/>
      <ns0:c r="N709" s="17" t="n"/>
      <ns0:c r="O709" s="17" t="n"/>
      <ns0:c r="P709" s="17" t="n"/>
      <ns0:c r="Q709" s="17" t="n"/>
      <ns0:c r="R709" s="17" t="n"/>
      <ns0:c r="S709" s="17" t="n"/>
      <ns0:c r="T709" s="17" t="n"/>
      <ns0:c r="U709" s="17" t="n"/>
      <ns0:c r="V709" s="17" t="n"/>
      <ns0:c r="W709" s="17" t="n"/>
      <ns0:c r="X709" s="17" t="n"/>
      <ns0:c r="Y709" s="17" t="n"/>
      <ns0:c r="Z709" s="17" t="n"/>
      <ns0:c r="AA709" s="17" t="n"/>
      <ns0:c r="AB709" s="17" t="n"/>
      <ns0:c r="AC709" s="17" t="n"/>
      <ns0:c r="AD709" s="17" t="n"/>
      <ns0:c r="AE709" s="17" t="n"/>
      <ns0:c r="AF709" s="17" t="n"/>
      <ns0:c r="AG709" s="17" t="n"/>
    </ns0:row>
    <ns0:row r="710" ht="24" customHeight="1">
      <ns0:c r="D710" s="17" t="n"/>
      <ns0:c r="E710" s="17" t="n"/>
      <ns0:c r="F710" s="17" t="n"/>
      <ns0:c r="G710" s="17" t="n"/>
      <ns0:c r="H710" s="17" t="n"/>
      <ns0:c r="I710" s="17" t="n"/>
      <ns0:c r="J710" s="17" t="n"/>
      <ns0:c r="K710" s="17" t="n"/>
      <ns0:c r="L710" s="17" t="n"/>
      <ns0:c r="M710" s="17" t="n"/>
      <ns0:c r="N710" s="17" t="n"/>
      <ns0:c r="O710" s="17" t="n"/>
      <ns0:c r="P710" s="17" t="n"/>
      <ns0:c r="Q710" s="17" t="n"/>
      <ns0:c r="R710" s="17" t="n"/>
      <ns0:c r="S710" s="17" t="n"/>
      <ns0:c r="T710" s="17" t="n"/>
      <ns0:c r="U710" s="17" t="n"/>
      <ns0:c r="V710" s="17" t="n"/>
      <ns0:c r="W710" s="17" t="n"/>
      <ns0:c r="X710" s="17" t="n"/>
      <ns0:c r="Y710" s="17" t="n"/>
      <ns0:c r="Z710" s="17" t="n"/>
      <ns0:c r="AA710" s="17" t="n"/>
      <ns0:c r="AB710" s="17" t="n"/>
      <ns0:c r="AC710" s="17" t="n"/>
      <ns0:c r="AD710" s="17" t="n"/>
      <ns0:c r="AE710" s="17" t="n"/>
      <ns0:c r="AF710" s="17" t="n"/>
      <ns0:c r="AG710" s="17" t="n"/>
    </ns0:row>
    <ns0:row r="711" ht="24" customHeight="1">
      <ns0:c r="D711" s="17" t="n"/>
      <ns0:c r="E711" s="17" t="n"/>
      <ns0:c r="F711" s="17" t="n"/>
      <ns0:c r="G711" s="17" t="n"/>
      <ns0:c r="H711" s="17" t="n"/>
      <ns0:c r="I711" s="17" t="n"/>
      <ns0:c r="J711" s="17" t="n"/>
      <ns0:c r="K711" s="17" t="n"/>
      <ns0:c r="L711" s="17" t="n"/>
      <ns0:c r="M711" s="17" t="n"/>
      <ns0:c r="N711" s="17" t="n"/>
      <ns0:c r="O711" s="17" t="n"/>
      <ns0:c r="P711" s="17" t="n"/>
      <ns0:c r="Q711" s="17" t="n"/>
      <ns0:c r="R711" s="17" t="n"/>
      <ns0:c r="S711" s="17" t="n"/>
      <ns0:c r="T711" s="17" t="n"/>
      <ns0:c r="U711" s="17" t="n"/>
      <ns0:c r="V711" s="17" t="n"/>
      <ns0:c r="W711" s="17" t="n"/>
      <ns0:c r="X711" s="17" t="n"/>
      <ns0:c r="Y711" s="17" t="n"/>
      <ns0:c r="Z711" s="17" t="n"/>
      <ns0:c r="AA711" s="17" t="n"/>
      <ns0:c r="AB711" s="17" t="n"/>
      <ns0:c r="AC711" s="17" t="n"/>
      <ns0:c r="AD711" s="17" t="n"/>
      <ns0:c r="AE711" s="17" t="n"/>
      <ns0:c r="AF711" s="17" t="n"/>
      <ns0:c r="AG711" s="17" t="n"/>
    </ns0:row>
    <ns0:row r="712" ht="24" customHeight="1">
      <ns0:c r="D712" s="17" t="n"/>
      <ns0:c r="E712" s="17" t="n"/>
      <ns0:c r="F712" s="17" t="n"/>
      <ns0:c r="G712" s="17" t="n"/>
      <ns0:c r="H712" s="17" t="n"/>
      <ns0:c r="I712" s="17" t="n"/>
      <ns0:c r="J712" s="17" t="n"/>
      <ns0:c r="K712" s="17" t="n"/>
      <ns0:c r="L712" s="17" t="n"/>
      <ns0:c r="M712" s="17" t="n"/>
      <ns0:c r="N712" s="17" t="n"/>
      <ns0:c r="O712" s="17" t="n"/>
      <ns0:c r="P712" s="17" t="n"/>
      <ns0:c r="Q712" s="17" t="n"/>
      <ns0:c r="R712" s="17" t="n"/>
      <ns0:c r="S712" s="17" t="n"/>
      <ns0:c r="T712" s="17" t="n"/>
      <ns0:c r="U712" s="17" t="n"/>
      <ns0:c r="V712" s="17" t="n"/>
      <ns0:c r="W712" s="17" t="n"/>
      <ns0:c r="X712" s="17" t="n"/>
      <ns0:c r="Y712" s="17" t="n"/>
      <ns0:c r="Z712" s="17" t="n"/>
      <ns0:c r="AA712" s="17" t="n"/>
      <ns0:c r="AB712" s="17" t="n"/>
      <ns0:c r="AC712" s="17" t="n"/>
      <ns0:c r="AD712" s="17" t="n"/>
      <ns0:c r="AE712" s="17" t="n"/>
      <ns0:c r="AF712" s="17" t="n"/>
      <ns0:c r="AG712" s="17" t="n"/>
    </ns0:row>
    <ns0:row r="713" ht="24" customHeight="1">
      <ns0:c r="D713" s="17" t="n"/>
      <ns0:c r="E713" s="17" t="n"/>
      <ns0:c r="F713" s="17" t="n"/>
      <ns0:c r="G713" s="17" t="n"/>
      <ns0:c r="H713" s="17" t="n"/>
      <ns0:c r="I713" s="17" t="n"/>
      <ns0:c r="J713" s="17" t="n"/>
      <ns0:c r="K713" s="17" t="n"/>
      <ns0:c r="L713" s="17" t="n"/>
      <ns0:c r="M713" s="17" t="n"/>
      <ns0:c r="N713" s="17" t="n"/>
      <ns0:c r="O713" s="17" t="n"/>
      <ns0:c r="P713" s="17" t="n"/>
      <ns0:c r="Q713" s="17" t="n"/>
      <ns0:c r="R713" s="17" t="n"/>
      <ns0:c r="S713" s="17" t="n"/>
      <ns0:c r="T713" s="17" t="n"/>
      <ns0:c r="U713" s="17" t="n"/>
      <ns0:c r="V713" s="17" t="n"/>
      <ns0:c r="W713" s="17" t="n"/>
      <ns0:c r="X713" s="17" t="n"/>
      <ns0:c r="Y713" s="17" t="n"/>
      <ns0:c r="Z713" s="17" t="n"/>
      <ns0:c r="AA713" s="17" t="n"/>
      <ns0:c r="AB713" s="17" t="n"/>
      <ns0:c r="AC713" s="17" t="n"/>
      <ns0:c r="AD713" s="17" t="n"/>
      <ns0:c r="AE713" s="17" t="n"/>
      <ns0:c r="AF713" s="17" t="n"/>
      <ns0:c r="AG713" s="17" t="n"/>
    </ns0:row>
    <ns0:row r="714" ht="24" customHeight="1">
      <ns0:c r="D714" s="17" t="n"/>
      <ns0:c r="E714" s="17" t="n"/>
      <ns0:c r="F714" s="17" t="n"/>
      <ns0:c r="G714" s="17" t="n"/>
      <ns0:c r="H714" s="17" t="n"/>
      <ns0:c r="I714" s="17" t="n"/>
      <ns0:c r="J714" s="17" t="n"/>
      <ns0:c r="K714" s="17" t="n"/>
      <ns0:c r="L714" s="17" t="n"/>
      <ns0:c r="M714" s="17" t="n"/>
      <ns0:c r="N714" s="17" t="n"/>
      <ns0:c r="O714" s="17" t="n"/>
      <ns0:c r="P714" s="17" t="n"/>
      <ns0:c r="Q714" s="17" t="n"/>
      <ns0:c r="R714" s="17" t="n"/>
      <ns0:c r="S714" s="17" t="n"/>
      <ns0:c r="T714" s="17" t="n"/>
      <ns0:c r="U714" s="17" t="n"/>
      <ns0:c r="V714" s="17" t="n"/>
      <ns0:c r="W714" s="17" t="n"/>
      <ns0:c r="X714" s="17" t="n"/>
      <ns0:c r="Y714" s="17" t="n"/>
      <ns0:c r="Z714" s="17" t="n"/>
      <ns0:c r="AA714" s="17" t="n"/>
      <ns0:c r="AB714" s="17" t="n"/>
      <ns0:c r="AC714" s="17" t="n"/>
      <ns0:c r="AD714" s="17" t="n"/>
      <ns0:c r="AE714" s="17" t="n"/>
      <ns0:c r="AF714" s="17" t="n"/>
      <ns0:c r="AG714" s="17" t="n"/>
    </ns0:row>
    <ns0:row r="715" ht="24" customHeight="1">
      <ns0:c r="D715" s="17" t="n"/>
      <ns0:c r="E715" s="17" t="n"/>
      <ns0:c r="F715" s="17" t="n"/>
      <ns0:c r="G715" s="17" t="n"/>
      <ns0:c r="H715" s="17" t="n"/>
      <ns0:c r="I715" s="17" t="n"/>
      <ns0:c r="J715" s="17" t="n"/>
      <ns0:c r="K715" s="17" t="n"/>
      <ns0:c r="L715" s="17" t="n"/>
      <ns0:c r="M715" s="17" t="n"/>
      <ns0:c r="N715" s="17" t="n"/>
      <ns0:c r="O715" s="17" t="n"/>
      <ns0:c r="P715" s="17" t="n"/>
      <ns0:c r="Q715" s="17" t="n"/>
      <ns0:c r="R715" s="17" t="n"/>
      <ns0:c r="S715" s="17" t="n"/>
      <ns0:c r="T715" s="17" t="n"/>
      <ns0:c r="U715" s="17" t="n"/>
      <ns0:c r="V715" s="17" t="n"/>
      <ns0:c r="W715" s="17" t="n"/>
      <ns0:c r="X715" s="17" t="n"/>
      <ns0:c r="Y715" s="17" t="n"/>
      <ns0:c r="Z715" s="17" t="n"/>
      <ns0:c r="AA715" s="17" t="n"/>
      <ns0:c r="AB715" s="17" t="n"/>
      <ns0:c r="AC715" s="17" t="n"/>
      <ns0:c r="AD715" s="17" t="n"/>
      <ns0:c r="AE715" s="17" t="n"/>
      <ns0:c r="AF715" s="17" t="n"/>
      <ns0:c r="AG715" s="17" t="n"/>
    </ns0:row>
    <ns0:row r="716" ht="24" customHeight="1">
      <ns0:c r="D716" s="17" t="n"/>
      <ns0:c r="E716" s="17" t="n"/>
      <ns0:c r="F716" s="17" t="n"/>
      <ns0:c r="G716" s="17" t="n"/>
      <ns0:c r="H716" s="17" t="n"/>
      <ns0:c r="I716" s="17" t="n"/>
      <ns0:c r="J716" s="17" t="n"/>
      <ns0:c r="K716" s="17" t="n"/>
      <ns0:c r="L716" s="17" t="n"/>
      <ns0:c r="M716" s="17" t="n"/>
      <ns0:c r="N716" s="17" t="n"/>
      <ns0:c r="O716" s="17" t="n"/>
      <ns0:c r="P716" s="17" t="n"/>
      <ns0:c r="Q716" s="17" t="n"/>
      <ns0:c r="R716" s="17" t="n"/>
      <ns0:c r="S716" s="17" t="n"/>
      <ns0:c r="T716" s="17" t="n"/>
      <ns0:c r="U716" s="17" t="n"/>
      <ns0:c r="V716" s="17" t="n"/>
      <ns0:c r="W716" s="17" t="n"/>
      <ns0:c r="X716" s="17" t="n"/>
      <ns0:c r="Y716" s="17" t="n"/>
      <ns0:c r="Z716" s="17" t="n"/>
      <ns0:c r="AA716" s="17" t="n"/>
      <ns0:c r="AB716" s="17" t="n"/>
      <ns0:c r="AC716" s="17" t="n"/>
      <ns0:c r="AD716" s="17" t="n"/>
      <ns0:c r="AE716" s="17" t="n"/>
      <ns0:c r="AF716" s="17" t="n"/>
      <ns0:c r="AG716" s="17" t="n"/>
    </ns0:row>
    <ns0:row r="717" ht="24" customHeight="1">
      <ns0:c r="D717" s="17" t="n"/>
      <ns0:c r="E717" s="17" t="n"/>
      <ns0:c r="F717" s="17" t="n"/>
      <ns0:c r="G717" s="17" t="n"/>
      <ns0:c r="H717" s="17" t="n"/>
      <ns0:c r="I717" s="17" t="n"/>
      <ns0:c r="J717" s="17" t="n"/>
      <ns0:c r="K717" s="17" t="n"/>
      <ns0:c r="L717" s="17" t="n"/>
      <ns0:c r="M717" s="17" t="n"/>
      <ns0:c r="N717" s="17" t="n"/>
      <ns0:c r="O717" s="17" t="n"/>
      <ns0:c r="P717" s="17" t="n"/>
      <ns0:c r="Q717" s="17" t="n"/>
      <ns0:c r="R717" s="17" t="n"/>
      <ns0:c r="S717" s="17" t="n"/>
      <ns0:c r="T717" s="17" t="n"/>
      <ns0:c r="U717" s="17" t="n"/>
      <ns0:c r="V717" s="17" t="n"/>
      <ns0:c r="W717" s="17" t="n"/>
      <ns0:c r="X717" s="17" t="n"/>
      <ns0:c r="Y717" s="17" t="n"/>
      <ns0:c r="Z717" s="17" t="n"/>
      <ns0:c r="AA717" s="17" t="n"/>
      <ns0:c r="AB717" s="17" t="n"/>
      <ns0:c r="AC717" s="17" t="n"/>
      <ns0:c r="AD717" s="17" t="n"/>
      <ns0:c r="AE717" s="17" t="n"/>
      <ns0:c r="AF717" s="17" t="n"/>
      <ns0:c r="AG717" s="17" t="n"/>
    </ns0:row>
    <ns0:row r="718" ht="24" customHeight="1">
      <ns0:c r="D718" s="17" t="n"/>
      <ns0:c r="E718" s="17" t="n"/>
      <ns0:c r="F718" s="17" t="n"/>
      <ns0:c r="G718" s="17" t="n"/>
      <ns0:c r="H718" s="17" t="n"/>
      <ns0:c r="I718" s="17" t="n"/>
      <ns0:c r="J718" s="17" t="n"/>
      <ns0:c r="K718" s="17" t="n"/>
      <ns0:c r="L718" s="17" t="n"/>
      <ns0:c r="M718" s="17" t="n"/>
      <ns0:c r="N718" s="17" t="n"/>
      <ns0:c r="O718" s="17" t="n"/>
      <ns0:c r="P718" s="17" t="n"/>
      <ns0:c r="Q718" s="17" t="n"/>
      <ns0:c r="R718" s="17" t="n"/>
      <ns0:c r="S718" s="17" t="n"/>
      <ns0:c r="T718" s="17" t="n"/>
      <ns0:c r="U718" s="17" t="n"/>
      <ns0:c r="V718" s="17" t="n"/>
      <ns0:c r="W718" s="17" t="n"/>
      <ns0:c r="X718" s="17" t="n"/>
      <ns0:c r="Y718" s="17" t="n"/>
      <ns0:c r="Z718" s="17" t="n"/>
      <ns0:c r="AA718" s="17" t="n"/>
      <ns0:c r="AB718" s="17" t="n"/>
      <ns0:c r="AC718" s="17" t="n"/>
      <ns0:c r="AD718" s="17" t="n"/>
      <ns0:c r="AE718" s="17" t="n"/>
      <ns0:c r="AF718" s="17" t="n"/>
      <ns0:c r="AG718" s="17" t="n"/>
    </ns0:row>
    <ns0:row r="719" ht="24" customHeight="1">
      <ns0:c r="D719" s="17" t="n"/>
      <ns0:c r="E719" s="17" t="n"/>
      <ns0:c r="F719" s="17" t="n"/>
      <ns0:c r="G719" s="17" t="n"/>
      <ns0:c r="H719" s="17" t="n"/>
      <ns0:c r="I719" s="17" t="n"/>
      <ns0:c r="J719" s="17" t="n"/>
      <ns0:c r="K719" s="17" t="n"/>
      <ns0:c r="L719" s="17" t="n"/>
      <ns0:c r="M719" s="17" t="n"/>
      <ns0:c r="N719" s="17" t="n"/>
      <ns0:c r="O719" s="17" t="n"/>
      <ns0:c r="P719" s="17" t="n"/>
      <ns0:c r="Q719" s="17" t="n"/>
      <ns0:c r="R719" s="17" t="n"/>
      <ns0:c r="S719" s="17" t="n"/>
      <ns0:c r="T719" s="17" t="n"/>
      <ns0:c r="U719" s="17" t="n"/>
      <ns0:c r="V719" s="17" t="n"/>
      <ns0:c r="W719" s="17" t="n"/>
      <ns0:c r="X719" s="17" t="n"/>
      <ns0:c r="Y719" s="17" t="n"/>
      <ns0:c r="Z719" s="17" t="n"/>
      <ns0:c r="AA719" s="17" t="n"/>
      <ns0:c r="AB719" s="17" t="n"/>
      <ns0:c r="AC719" s="17" t="n"/>
      <ns0:c r="AD719" s="17" t="n"/>
      <ns0:c r="AE719" s="17" t="n"/>
      <ns0:c r="AF719" s="17" t="n"/>
      <ns0:c r="AG719" s="17" t="n"/>
    </ns0:row>
    <ns0:row r="720" ht="24" customHeight="1">
      <ns0:c r="D720" s="17" t="n"/>
      <ns0:c r="E720" s="17" t="n"/>
      <ns0:c r="F720" s="17" t="n"/>
      <ns0:c r="G720" s="17" t="n"/>
      <ns0:c r="H720" s="17" t="n"/>
      <ns0:c r="I720" s="17" t="n"/>
      <ns0:c r="J720" s="17" t="n"/>
      <ns0:c r="K720" s="17" t="n"/>
      <ns0:c r="L720" s="17" t="n"/>
      <ns0:c r="M720" s="17" t="n"/>
      <ns0:c r="N720" s="17" t="n"/>
      <ns0:c r="O720" s="17" t="n"/>
      <ns0:c r="P720" s="17" t="n"/>
      <ns0:c r="Q720" s="17" t="n"/>
      <ns0:c r="R720" s="17" t="n"/>
      <ns0:c r="S720" s="17" t="n"/>
      <ns0:c r="T720" s="17" t="n"/>
      <ns0:c r="U720" s="17" t="n"/>
      <ns0:c r="V720" s="17" t="n"/>
      <ns0:c r="W720" s="17" t="n"/>
      <ns0:c r="X720" s="17" t="n"/>
      <ns0:c r="Y720" s="17" t="n"/>
      <ns0:c r="Z720" s="17" t="n"/>
      <ns0:c r="AA720" s="17" t="n"/>
      <ns0:c r="AB720" s="17" t="n"/>
      <ns0:c r="AC720" s="17" t="n"/>
      <ns0:c r="AD720" s="17" t="n"/>
      <ns0:c r="AE720" s="17" t="n"/>
      <ns0:c r="AF720" s="17" t="n"/>
      <ns0:c r="AG720" s="17" t="n"/>
    </ns0:row>
    <ns0:row r="721" ht="24" customHeight="1">
      <ns0:c r="D721" s="17" t="n"/>
      <ns0:c r="E721" s="17" t="n"/>
      <ns0:c r="F721" s="17" t="n"/>
      <ns0:c r="G721" s="17" t="n"/>
      <ns0:c r="H721" s="17" t="n"/>
      <ns0:c r="I721" s="17" t="n"/>
      <ns0:c r="J721" s="17" t="n"/>
      <ns0:c r="K721" s="17" t="n"/>
      <ns0:c r="L721" s="17" t="n"/>
      <ns0:c r="M721" s="17" t="n"/>
      <ns0:c r="N721" s="17" t="n"/>
      <ns0:c r="O721" s="17" t="n"/>
      <ns0:c r="P721" s="17" t="n"/>
      <ns0:c r="Q721" s="17" t="n"/>
      <ns0:c r="R721" s="17" t="n"/>
      <ns0:c r="S721" s="17" t="n"/>
      <ns0:c r="T721" s="17" t="n"/>
      <ns0:c r="U721" s="17" t="n"/>
      <ns0:c r="V721" s="17" t="n"/>
      <ns0:c r="W721" s="17" t="n"/>
      <ns0:c r="X721" s="17" t="n"/>
      <ns0:c r="Y721" s="17" t="n"/>
      <ns0:c r="Z721" s="17" t="n"/>
      <ns0:c r="AA721" s="17" t="n"/>
      <ns0:c r="AB721" s="17" t="n"/>
      <ns0:c r="AC721" s="17" t="n"/>
      <ns0:c r="AD721" s="17" t="n"/>
      <ns0:c r="AE721" s="17" t="n"/>
      <ns0:c r="AF721" s="17" t="n"/>
      <ns0:c r="AG721" s="17" t="n"/>
    </ns0:row>
    <ns0:row r="722" ht="24" customHeight="1">
      <ns0:c r="D722" s="17" t="n"/>
      <ns0:c r="E722" s="17" t="n"/>
      <ns0:c r="F722" s="17" t="n"/>
      <ns0:c r="G722" s="17" t="n"/>
      <ns0:c r="H722" s="17" t="n"/>
      <ns0:c r="I722" s="17" t="n"/>
      <ns0:c r="J722" s="17" t="n"/>
      <ns0:c r="K722" s="17" t="n"/>
      <ns0:c r="L722" s="17" t="n"/>
      <ns0:c r="M722" s="17" t="n"/>
      <ns0:c r="N722" s="17" t="n"/>
      <ns0:c r="O722" s="17" t="n"/>
      <ns0:c r="P722" s="17" t="n"/>
      <ns0:c r="Q722" s="17" t="n"/>
      <ns0:c r="R722" s="17" t="n"/>
      <ns0:c r="S722" s="17" t="n"/>
      <ns0:c r="T722" s="17" t="n"/>
      <ns0:c r="U722" s="17" t="n"/>
      <ns0:c r="V722" s="17" t="n"/>
      <ns0:c r="W722" s="17" t="n"/>
      <ns0:c r="X722" s="17" t="n"/>
      <ns0:c r="Y722" s="17" t="n"/>
      <ns0:c r="Z722" s="17" t="n"/>
      <ns0:c r="AA722" s="17" t="n"/>
      <ns0:c r="AB722" s="17" t="n"/>
      <ns0:c r="AC722" s="17" t="n"/>
      <ns0:c r="AD722" s="17" t="n"/>
      <ns0:c r="AE722" s="17" t="n"/>
      <ns0:c r="AF722" s="17" t="n"/>
      <ns0:c r="AG722" s="17" t="n"/>
    </ns0:row>
    <ns0:row r="723" ht="24" customHeight="1">
      <ns0:c r="D723" s="17" t="n"/>
      <ns0:c r="E723" s="17" t="n"/>
      <ns0:c r="F723" s="17" t="n"/>
      <ns0:c r="G723" s="17" t="n"/>
      <ns0:c r="H723" s="17" t="n"/>
      <ns0:c r="I723" s="17" t="n"/>
      <ns0:c r="J723" s="17" t="n"/>
      <ns0:c r="K723" s="17" t="n"/>
      <ns0:c r="L723" s="17" t="n"/>
      <ns0:c r="M723" s="17" t="n"/>
      <ns0:c r="N723" s="17" t="n"/>
      <ns0:c r="O723" s="17" t="n"/>
      <ns0:c r="P723" s="17" t="n"/>
      <ns0:c r="Q723" s="17" t="n"/>
      <ns0:c r="R723" s="17" t="n"/>
      <ns0:c r="S723" s="17" t="n"/>
      <ns0:c r="T723" s="17" t="n"/>
      <ns0:c r="U723" s="17" t="n"/>
      <ns0:c r="V723" s="17" t="n"/>
      <ns0:c r="W723" s="17" t="n"/>
      <ns0:c r="X723" s="17" t="n"/>
      <ns0:c r="Y723" s="17" t="n"/>
      <ns0:c r="Z723" s="17" t="n"/>
      <ns0:c r="AA723" s="17" t="n"/>
      <ns0:c r="AB723" s="17" t="n"/>
      <ns0:c r="AC723" s="17" t="n"/>
      <ns0:c r="AD723" s="17" t="n"/>
      <ns0:c r="AE723" s="17" t="n"/>
      <ns0:c r="AF723" s="17" t="n"/>
      <ns0:c r="AG723" s="17" t="n"/>
    </ns0:row>
    <ns0:row r="724" ht="24" customHeight="1">
      <ns0:c r="D724" s="17" t="n"/>
      <ns0:c r="E724" s="17" t="n"/>
      <ns0:c r="F724" s="17" t="n"/>
      <ns0:c r="G724" s="17" t="n"/>
      <ns0:c r="H724" s="17" t="n"/>
      <ns0:c r="I724" s="17" t="n"/>
      <ns0:c r="J724" s="17" t="n"/>
      <ns0:c r="K724" s="17" t="n"/>
      <ns0:c r="L724" s="17" t="n"/>
      <ns0:c r="M724" s="17" t="n"/>
      <ns0:c r="N724" s="17" t="n"/>
      <ns0:c r="O724" s="17" t="n"/>
      <ns0:c r="P724" s="17" t="n"/>
      <ns0:c r="Q724" s="17" t="n"/>
      <ns0:c r="R724" s="17" t="n"/>
      <ns0:c r="S724" s="17" t="n"/>
      <ns0:c r="T724" s="17" t="n"/>
      <ns0:c r="U724" s="17" t="n"/>
      <ns0:c r="V724" s="17" t="n"/>
      <ns0:c r="W724" s="17" t="n"/>
      <ns0:c r="X724" s="17" t="n"/>
      <ns0:c r="Y724" s="17" t="n"/>
      <ns0:c r="Z724" s="17" t="n"/>
      <ns0:c r="AA724" s="17" t="n"/>
      <ns0:c r="AB724" s="17" t="n"/>
      <ns0:c r="AC724" s="17" t="n"/>
      <ns0:c r="AD724" s="17" t="n"/>
      <ns0:c r="AE724" s="17" t="n"/>
      <ns0:c r="AF724" s="17" t="n"/>
      <ns0:c r="AG724" s="17" t="n"/>
    </ns0:row>
    <ns0:row r="725" ht="24" customHeight="1">
      <ns0:c r="D725" s="17" t="n"/>
      <ns0:c r="E725" s="17" t="n"/>
      <ns0:c r="F725" s="17" t="n"/>
      <ns0:c r="G725" s="17" t="n"/>
      <ns0:c r="H725" s="17" t="n"/>
      <ns0:c r="I725" s="17" t="n"/>
      <ns0:c r="J725" s="17" t="n"/>
      <ns0:c r="K725" s="17" t="n"/>
      <ns0:c r="L725" s="17" t="n"/>
      <ns0:c r="M725" s="17" t="n"/>
      <ns0:c r="N725" s="17" t="n"/>
      <ns0:c r="O725" s="17" t="n"/>
      <ns0:c r="P725" s="17" t="n"/>
      <ns0:c r="Q725" s="17" t="n"/>
      <ns0:c r="R725" s="17" t="n"/>
      <ns0:c r="S725" s="17" t="n"/>
      <ns0:c r="T725" s="17" t="n"/>
      <ns0:c r="U725" s="17" t="n"/>
      <ns0:c r="V725" s="17" t="n"/>
      <ns0:c r="W725" s="17" t="n"/>
      <ns0:c r="X725" s="17" t="n"/>
      <ns0:c r="Y725" s="17" t="n"/>
      <ns0:c r="Z725" s="17" t="n"/>
      <ns0:c r="AA725" s="17" t="n"/>
      <ns0:c r="AB725" s="17" t="n"/>
      <ns0:c r="AC725" s="17" t="n"/>
      <ns0:c r="AD725" s="17" t="n"/>
      <ns0:c r="AE725" s="17" t="n"/>
      <ns0:c r="AF725" s="17" t="n"/>
      <ns0:c r="AG725" s="17" t="n"/>
    </ns0:row>
    <ns0:row r="726" ht="24" customHeight="1">
      <ns0:c r="D726" s="17" t="n"/>
      <ns0:c r="E726" s="17" t="n"/>
      <ns0:c r="F726" s="17" t="n"/>
      <ns0:c r="G726" s="17" t="n"/>
      <ns0:c r="H726" s="17" t="n"/>
      <ns0:c r="I726" s="17" t="n"/>
      <ns0:c r="J726" s="17" t="n"/>
      <ns0:c r="K726" s="17" t="n"/>
      <ns0:c r="L726" s="17" t="n"/>
      <ns0:c r="M726" s="17" t="n"/>
      <ns0:c r="N726" s="17" t="n"/>
      <ns0:c r="O726" s="17" t="n"/>
      <ns0:c r="P726" s="17" t="n"/>
      <ns0:c r="Q726" s="17" t="n"/>
      <ns0:c r="R726" s="17" t="n"/>
      <ns0:c r="S726" s="17" t="n"/>
      <ns0:c r="T726" s="17" t="n"/>
      <ns0:c r="U726" s="17" t="n"/>
      <ns0:c r="V726" s="17" t="n"/>
      <ns0:c r="W726" s="17" t="n"/>
      <ns0:c r="X726" s="17" t="n"/>
      <ns0:c r="Y726" s="17" t="n"/>
      <ns0:c r="Z726" s="17" t="n"/>
      <ns0:c r="AA726" s="17" t="n"/>
      <ns0:c r="AB726" s="17" t="n"/>
      <ns0:c r="AC726" s="17" t="n"/>
      <ns0:c r="AD726" s="17" t="n"/>
      <ns0:c r="AE726" s="17" t="n"/>
      <ns0:c r="AF726" s="17" t="n"/>
      <ns0:c r="AG726" s="17" t="n"/>
    </ns0:row>
    <ns0:row r="727" ht="24" customHeight="1">
      <ns0:c r="D727" s="17" t="n"/>
      <ns0:c r="E727" s="17" t="n"/>
      <ns0:c r="F727" s="17" t="n"/>
      <ns0:c r="G727" s="17" t="n"/>
      <ns0:c r="H727" s="17" t="n"/>
      <ns0:c r="I727" s="17" t="n"/>
      <ns0:c r="J727" s="17" t="n"/>
      <ns0:c r="K727" s="17" t="n"/>
      <ns0:c r="L727" s="17" t="n"/>
      <ns0:c r="M727" s="17" t="n"/>
      <ns0:c r="N727" s="17" t="n"/>
      <ns0:c r="O727" s="17" t="n"/>
      <ns0:c r="P727" s="17" t="n"/>
      <ns0:c r="Q727" s="17" t="n"/>
      <ns0:c r="R727" s="17" t="n"/>
      <ns0:c r="S727" s="17" t="n"/>
      <ns0:c r="T727" s="17" t="n"/>
      <ns0:c r="U727" s="17" t="n"/>
      <ns0:c r="V727" s="17" t="n"/>
      <ns0:c r="W727" s="17" t="n"/>
      <ns0:c r="X727" s="17" t="n"/>
      <ns0:c r="Y727" s="17" t="n"/>
      <ns0:c r="Z727" s="17" t="n"/>
      <ns0:c r="AA727" s="17" t="n"/>
      <ns0:c r="AB727" s="17" t="n"/>
      <ns0:c r="AC727" s="17" t="n"/>
      <ns0:c r="AD727" s="17" t="n"/>
      <ns0:c r="AE727" s="17" t="n"/>
      <ns0:c r="AF727" s="17" t="n"/>
      <ns0:c r="AG727" s="17" t="n"/>
    </ns0:row>
    <ns0:row r="728" ht="24" customHeight="1">
      <ns0:c r="D728" s="17" t="n"/>
      <ns0:c r="E728" s="17" t="n"/>
      <ns0:c r="F728" s="17" t="n"/>
      <ns0:c r="G728" s="17" t="n"/>
      <ns0:c r="H728" s="17" t="n"/>
      <ns0:c r="I728" s="17" t="n"/>
      <ns0:c r="J728" s="17" t="n"/>
      <ns0:c r="K728" s="17" t="n"/>
      <ns0:c r="L728" s="17" t="n"/>
      <ns0:c r="M728" s="17" t="n"/>
      <ns0:c r="N728" s="17" t="n"/>
      <ns0:c r="O728" s="17" t="n"/>
      <ns0:c r="P728" s="17" t="n"/>
      <ns0:c r="Q728" s="17" t="n"/>
      <ns0:c r="R728" s="17" t="n"/>
      <ns0:c r="S728" s="17" t="n"/>
      <ns0:c r="T728" s="17" t="n"/>
      <ns0:c r="U728" s="17" t="n"/>
      <ns0:c r="V728" s="17" t="n"/>
      <ns0:c r="W728" s="17" t="n"/>
      <ns0:c r="X728" s="17" t="n"/>
      <ns0:c r="Y728" s="17" t="n"/>
      <ns0:c r="Z728" s="17" t="n"/>
      <ns0:c r="AA728" s="17" t="n"/>
      <ns0:c r="AB728" s="17" t="n"/>
      <ns0:c r="AC728" s="17" t="n"/>
      <ns0:c r="AD728" s="17" t="n"/>
      <ns0:c r="AE728" s="17" t="n"/>
      <ns0:c r="AF728" s="17" t="n"/>
      <ns0:c r="AG728" s="17" t="n"/>
    </ns0:row>
    <ns0:row r="729" ht="24" customHeight="1">
      <ns0:c r="D729" s="17" t="n"/>
      <ns0:c r="E729" s="17" t="n"/>
      <ns0:c r="F729" s="17" t="n"/>
      <ns0:c r="G729" s="17" t="n"/>
      <ns0:c r="H729" s="17" t="n"/>
      <ns0:c r="I729" s="17" t="n"/>
      <ns0:c r="J729" s="17" t="n"/>
      <ns0:c r="K729" s="17" t="n"/>
      <ns0:c r="L729" s="17" t="n"/>
      <ns0:c r="M729" s="17" t="n"/>
      <ns0:c r="N729" s="17" t="n"/>
      <ns0:c r="O729" s="17" t="n"/>
      <ns0:c r="P729" s="17" t="n"/>
      <ns0:c r="Q729" s="17" t="n"/>
      <ns0:c r="R729" s="17" t="n"/>
      <ns0:c r="S729" s="17" t="n"/>
      <ns0:c r="T729" s="17" t="n"/>
      <ns0:c r="U729" s="17" t="n"/>
      <ns0:c r="V729" s="17" t="n"/>
      <ns0:c r="W729" s="17" t="n"/>
      <ns0:c r="X729" s="17" t="n"/>
      <ns0:c r="Y729" s="17" t="n"/>
      <ns0:c r="Z729" s="17" t="n"/>
      <ns0:c r="AA729" s="17" t="n"/>
      <ns0:c r="AB729" s="17" t="n"/>
      <ns0:c r="AC729" s="17" t="n"/>
      <ns0:c r="AD729" s="17" t="n"/>
      <ns0:c r="AE729" s="17" t="n"/>
      <ns0:c r="AF729" s="17" t="n"/>
      <ns0:c r="AG729" s="17" t="n"/>
    </ns0:row>
    <ns0:row r="730" ht="24" customHeight="1">
      <ns0:c r="D730" s="17" t="n"/>
      <ns0:c r="E730" s="17" t="n"/>
      <ns0:c r="F730" s="17" t="n"/>
      <ns0:c r="G730" s="17" t="n"/>
      <ns0:c r="H730" s="17" t="n"/>
      <ns0:c r="I730" s="17" t="n"/>
      <ns0:c r="J730" s="17" t="n"/>
      <ns0:c r="K730" s="17" t="n"/>
      <ns0:c r="L730" s="17" t="n"/>
      <ns0:c r="M730" s="17" t="n"/>
      <ns0:c r="N730" s="17" t="n"/>
      <ns0:c r="O730" s="17" t="n"/>
      <ns0:c r="P730" s="17" t="n"/>
      <ns0:c r="Q730" s="17" t="n"/>
      <ns0:c r="R730" s="17" t="n"/>
      <ns0:c r="S730" s="17" t="n"/>
      <ns0:c r="T730" s="17" t="n"/>
      <ns0:c r="U730" s="17" t="n"/>
      <ns0:c r="V730" s="17" t="n"/>
      <ns0:c r="W730" s="17" t="n"/>
      <ns0:c r="X730" s="17" t="n"/>
      <ns0:c r="Y730" s="17" t="n"/>
      <ns0:c r="Z730" s="17" t="n"/>
      <ns0:c r="AA730" s="17" t="n"/>
      <ns0:c r="AB730" s="17" t="n"/>
      <ns0:c r="AC730" s="17" t="n"/>
      <ns0:c r="AD730" s="17" t="n"/>
      <ns0:c r="AE730" s="17" t="n"/>
      <ns0:c r="AF730" s="17" t="n"/>
      <ns0:c r="AG730" s="17" t="n"/>
    </ns0:row>
    <ns0:row r="731" ht="24" customHeight="1">
      <ns0:c r="D731" s="17" t="n"/>
      <ns0:c r="E731" s="17" t="n"/>
      <ns0:c r="F731" s="17" t="n"/>
      <ns0:c r="G731" s="17" t="n"/>
      <ns0:c r="H731" s="17" t="n"/>
      <ns0:c r="I731" s="17" t="n"/>
      <ns0:c r="J731" s="17" t="n"/>
      <ns0:c r="K731" s="17" t="n"/>
      <ns0:c r="L731" s="17" t="n"/>
      <ns0:c r="M731" s="17" t="n"/>
      <ns0:c r="N731" s="17" t="n"/>
      <ns0:c r="O731" s="17" t="n"/>
      <ns0:c r="P731" s="17" t="n"/>
      <ns0:c r="Q731" s="17" t="n"/>
      <ns0:c r="R731" s="17" t="n"/>
      <ns0:c r="S731" s="17" t="n"/>
      <ns0:c r="T731" s="17" t="n"/>
      <ns0:c r="U731" s="17" t="n"/>
      <ns0:c r="V731" s="17" t="n"/>
      <ns0:c r="W731" s="17" t="n"/>
      <ns0:c r="X731" s="17" t="n"/>
      <ns0:c r="Y731" s="17" t="n"/>
      <ns0:c r="Z731" s="17" t="n"/>
      <ns0:c r="AA731" s="17" t="n"/>
      <ns0:c r="AB731" s="17" t="n"/>
      <ns0:c r="AC731" s="17" t="n"/>
      <ns0:c r="AD731" s="17" t="n"/>
      <ns0:c r="AE731" s="17" t="n"/>
      <ns0:c r="AF731" s="17" t="n"/>
      <ns0:c r="AG731" s="17" t="n"/>
    </ns0:row>
    <ns0:row r="732" ht="24" customHeight="1">
      <ns0:c r="D732" s="17" t="n"/>
      <ns0:c r="E732" s="17" t="n"/>
      <ns0:c r="F732" s="17" t="n"/>
      <ns0:c r="G732" s="17" t="n"/>
      <ns0:c r="H732" s="17" t="n"/>
      <ns0:c r="I732" s="17" t="n"/>
      <ns0:c r="J732" s="17" t="n"/>
      <ns0:c r="K732" s="17" t="n"/>
      <ns0:c r="L732" s="17" t="n"/>
      <ns0:c r="M732" s="17" t="n"/>
      <ns0:c r="N732" s="17" t="n"/>
      <ns0:c r="O732" s="17" t="n"/>
      <ns0:c r="P732" s="17" t="n"/>
      <ns0:c r="Q732" s="17" t="n"/>
      <ns0:c r="R732" s="17" t="n"/>
      <ns0:c r="S732" s="17" t="n"/>
      <ns0:c r="T732" s="17" t="n"/>
      <ns0:c r="U732" s="17" t="n"/>
      <ns0:c r="V732" s="17" t="n"/>
      <ns0:c r="W732" s="17" t="n"/>
      <ns0:c r="X732" s="17" t="n"/>
      <ns0:c r="Y732" s="17" t="n"/>
      <ns0:c r="Z732" s="17" t="n"/>
      <ns0:c r="AA732" s="17" t="n"/>
      <ns0:c r="AB732" s="17" t="n"/>
      <ns0:c r="AC732" s="17" t="n"/>
      <ns0:c r="AD732" s="17" t="n"/>
      <ns0:c r="AE732" s="17" t="n"/>
      <ns0:c r="AF732" s="17" t="n"/>
      <ns0:c r="AG732" s="17" t="n"/>
    </ns0:row>
    <ns0:row r="733" ht="24" customHeight="1">
      <ns0:c r="D733" s="17" t="n"/>
      <ns0:c r="E733" s="17" t="n"/>
      <ns0:c r="F733" s="17" t="n"/>
      <ns0:c r="G733" s="17" t="n"/>
      <ns0:c r="H733" s="17" t="n"/>
      <ns0:c r="I733" s="17" t="n"/>
      <ns0:c r="J733" s="17" t="n"/>
      <ns0:c r="K733" s="17" t="n"/>
      <ns0:c r="L733" s="17" t="n"/>
      <ns0:c r="M733" s="17" t="n"/>
      <ns0:c r="N733" s="17" t="n"/>
      <ns0:c r="O733" s="17" t="n"/>
      <ns0:c r="P733" s="17" t="n"/>
      <ns0:c r="Q733" s="17" t="n"/>
      <ns0:c r="R733" s="17" t="n"/>
      <ns0:c r="S733" s="17" t="n"/>
      <ns0:c r="T733" s="17" t="n"/>
      <ns0:c r="U733" s="17" t="n"/>
      <ns0:c r="V733" s="17" t="n"/>
      <ns0:c r="W733" s="17" t="n"/>
      <ns0:c r="X733" s="17" t="n"/>
      <ns0:c r="Y733" s="17" t="n"/>
      <ns0:c r="Z733" s="17" t="n"/>
      <ns0:c r="AA733" s="17" t="n"/>
      <ns0:c r="AB733" s="17" t="n"/>
      <ns0:c r="AC733" s="17" t="n"/>
      <ns0:c r="AD733" s="17" t="n"/>
      <ns0:c r="AE733" s="17" t="n"/>
      <ns0:c r="AF733" s="17" t="n"/>
      <ns0:c r="AG733" s="17" t="n"/>
    </ns0:row>
    <ns0:row r="734" ht="24" customHeight="1">
      <ns0:c r="D734" s="17" t="n"/>
      <ns0:c r="E734" s="17" t="n"/>
      <ns0:c r="F734" s="17" t="n"/>
      <ns0:c r="G734" s="17" t="n"/>
      <ns0:c r="H734" s="17" t="n"/>
      <ns0:c r="I734" s="17" t="n"/>
      <ns0:c r="J734" s="17" t="n"/>
      <ns0:c r="K734" s="17" t="n"/>
      <ns0:c r="L734" s="17" t="n"/>
      <ns0:c r="M734" s="17" t="n"/>
      <ns0:c r="N734" s="17" t="n"/>
      <ns0:c r="O734" s="17" t="n"/>
      <ns0:c r="P734" s="17" t="n"/>
      <ns0:c r="Q734" s="17" t="n"/>
      <ns0:c r="R734" s="17" t="n"/>
      <ns0:c r="S734" s="17" t="n"/>
      <ns0:c r="T734" s="17" t="n"/>
      <ns0:c r="U734" s="17" t="n"/>
      <ns0:c r="V734" s="17" t="n"/>
      <ns0:c r="W734" s="17" t="n"/>
      <ns0:c r="X734" s="17" t="n"/>
      <ns0:c r="Y734" s="17" t="n"/>
      <ns0:c r="Z734" s="17" t="n"/>
      <ns0:c r="AA734" s="17" t="n"/>
      <ns0:c r="AB734" s="17" t="n"/>
      <ns0:c r="AC734" s="17" t="n"/>
      <ns0:c r="AD734" s="17" t="n"/>
      <ns0:c r="AE734" s="17" t="n"/>
      <ns0:c r="AF734" s="17" t="n"/>
      <ns0:c r="AG734" s="17" t="n"/>
    </ns0:row>
    <ns0:row r="735" ht="24" customHeight="1">
      <ns0:c r="D735" s="17" t="n"/>
      <ns0:c r="E735" s="17" t="n"/>
      <ns0:c r="F735" s="17" t="n"/>
      <ns0:c r="G735" s="17" t="n"/>
      <ns0:c r="H735" s="17" t="n"/>
      <ns0:c r="I735" s="17" t="n"/>
      <ns0:c r="J735" s="17" t="n"/>
      <ns0:c r="K735" s="17" t="n"/>
      <ns0:c r="L735" s="17" t="n"/>
      <ns0:c r="M735" s="17" t="n"/>
      <ns0:c r="N735" s="17" t="n"/>
      <ns0:c r="O735" s="17" t="n"/>
      <ns0:c r="P735" s="17" t="n"/>
      <ns0:c r="Q735" s="17" t="n"/>
      <ns0:c r="R735" s="17" t="n"/>
      <ns0:c r="S735" s="17" t="n"/>
      <ns0:c r="T735" s="17" t="n"/>
      <ns0:c r="U735" s="17" t="n"/>
      <ns0:c r="V735" s="17" t="n"/>
      <ns0:c r="W735" s="17" t="n"/>
      <ns0:c r="X735" s="17" t="n"/>
      <ns0:c r="Y735" s="17" t="n"/>
      <ns0:c r="Z735" s="17" t="n"/>
      <ns0:c r="AA735" s="17" t="n"/>
      <ns0:c r="AB735" s="17" t="n"/>
      <ns0:c r="AC735" s="17" t="n"/>
      <ns0:c r="AD735" s="17" t="n"/>
      <ns0:c r="AE735" s="17" t="n"/>
      <ns0:c r="AF735" s="17" t="n"/>
      <ns0:c r="AG735" s="17" t="n"/>
    </ns0:row>
    <ns0:row r="736" ht="24" customHeight="1">
      <ns0:c r="D736" s="17" t="n"/>
      <ns0:c r="E736" s="17" t="n"/>
      <ns0:c r="F736" s="17" t="n"/>
      <ns0:c r="G736" s="17" t="n"/>
      <ns0:c r="H736" s="17" t="n"/>
      <ns0:c r="I736" s="17" t="n"/>
      <ns0:c r="J736" s="17" t="n"/>
      <ns0:c r="K736" s="17" t="n"/>
      <ns0:c r="L736" s="17" t="n"/>
      <ns0:c r="M736" s="17" t="n"/>
      <ns0:c r="N736" s="17" t="n"/>
      <ns0:c r="O736" s="17" t="n"/>
      <ns0:c r="P736" s="17" t="n"/>
      <ns0:c r="Q736" s="17" t="n"/>
      <ns0:c r="R736" s="17" t="n"/>
      <ns0:c r="S736" s="17" t="n"/>
      <ns0:c r="T736" s="17" t="n"/>
      <ns0:c r="U736" s="17" t="n"/>
      <ns0:c r="V736" s="17" t="n"/>
      <ns0:c r="W736" s="17" t="n"/>
      <ns0:c r="X736" s="17" t="n"/>
      <ns0:c r="Y736" s="17" t="n"/>
      <ns0:c r="Z736" s="17" t="n"/>
      <ns0:c r="AA736" s="17" t="n"/>
      <ns0:c r="AB736" s="17" t="n"/>
      <ns0:c r="AC736" s="17" t="n"/>
      <ns0:c r="AD736" s="17" t="n"/>
      <ns0:c r="AE736" s="17" t="n"/>
      <ns0:c r="AF736" s="17" t="n"/>
      <ns0:c r="AG736" s="17" t="n"/>
    </ns0:row>
    <ns0:row r="737" ht="24" customHeight="1">
      <ns0:c r="D737" s="17" t="n"/>
      <ns0:c r="E737" s="17" t="n"/>
      <ns0:c r="F737" s="17" t="n"/>
      <ns0:c r="G737" s="17" t="n"/>
      <ns0:c r="H737" s="17" t="n"/>
      <ns0:c r="I737" s="17" t="n"/>
      <ns0:c r="J737" s="17" t="n"/>
      <ns0:c r="K737" s="17" t="n"/>
      <ns0:c r="L737" s="17" t="n"/>
      <ns0:c r="M737" s="17" t="n"/>
      <ns0:c r="N737" s="17" t="n"/>
      <ns0:c r="O737" s="17" t="n"/>
      <ns0:c r="P737" s="17" t="n"/>
      <ns0:c r="Q737" s="17" t="n"/>
      <ns0:c r="R737" s="17" t="n"/>
      <ns0:c r="S737" s="17" t="n"/>
      <ns0:c r="T737" s="17" t="n"/>
      <ns0:c r="U737" s="17" t="n"/>
      <ns0:c r="V737" s="17" t="n"/>
      <ns0:c r="W737" s="17" t="n"/>
      <ns0:c r="X737" s="17" t="n"/>
      <ns0:c r="Y737" s="17" t="n"/>
      <ns0:c r="Z737" s="17" t="n"/>
      <ns0:c r="AA737" s="17" t="n"/>
      <ns0:c r="AB737" s="17" t="n"/>
      <ns0:c r="AC737" s="17" t="n"/>
      <ns0:c r="AD737" s="17" t="n"/>
      <ns0:c r="AE737" s="17" t="n"/>
      <ns0:c r="AF737" s="17" t="n"/>
      <ns0:c r="AG737" s="17" t="n"/>
    </ns0:row>
    <ns0:row r="738" ht="24" customHeight="1">
      <ns0:c r="D738" s="17" t="n"/>
      <ns0:c r="E738" s="17" t="n"/>
      <ns0:c r="F738" s="17" t="n"/>
      <ns0:c r="G738" s="17" t="n"/>
      <ns0:c r="H738" s="17" t="n"/>
      <ns0:c r="I738" s="17" t="n"/>
      <ns0:c r="J738" s="17" t="n"/>
      <ns0:c r="K738" s="17" t="n"/>
      <ns0:c r="L738" s="17" t="n"/>
      <ns0:c r="M738" s="17" t="n"/>
      <ns0:c r="N738" s="17" t="n"/>
      <ns0:c r="O738" s="17" t="n"/>
      <ns0:c r="P738" s="17" t="n"/>
      <ns0:c r="Q738" s="17" t="n"/>
      <ns0:c r="R738" s="17" t="n"/>
      <ns0:c r="S738" s="17" t="n"/>
      <ns0:c r="T738" s="17" t="n"/>
      <ns0:c r="U738" s="17" t="n"/>
      <ns0:c r="V738" s="17" t="n"/>
      <ns0:c r="W738" s="17" t="n"/>
      <ns0:c r="X738" s="17" t="n"/>
      <ns0:c r="Y738" s="17" t="n"/>
      <ns0:c r="Z738" s="17" t="n"/>
      <ns0:c r="AA738" s="17" t="n"/>
      <ns0:c r="AB738" s="17" t="n"/>
      <ns0:c r="AC738" s="17" t="n"/>
      <ns0:c r="AD738" s="17" t="n"/>
      <ns0:c r="AE738" s="17" t="n"/>
      <ns0:c r="AF738" s="17" t="n"/>
      <ns0:c r="AG738" s="17" t="n"/>
    </ns0:row>
    <ns0:row r="739" ht="24" customHeight="1">
      <ns0:c r="D739" s="17" t="n"/>
      <ns0:c r="E739" s="17" t="n"/>
      <ns0:c r="F739" s="17" t="n"/>
      <ns0:c r="G739" s="17" t="n"/>
      <ns0:c r="H739" s="17" t="n"/>
      <ns0:c r="I739" s="17" t="n"/>
      <ns0:c r="J739" s="17" t="n"/>
      <ns0:c r="K739" s="17" t="n"/>
      <ns0:c r="L739" s="17" t="n"/>
      <ns0:c r="M739" s="17" t="n"/>
      <ns0:c r="N739" s="17" t="n"/>
      <ns0:c r="O739" s="17" t="n"/>
      <ns0:c r="P739" s="17" t="n"/>
      <ns0:c r="Q739" s="17" t="n"/>
      <ns0:c r="R739" s="17" t="n"/>
      <ns0:c r="S739" s="17" t="n"/>
      <ns0:c r="T739" s="17" t="n"/>
      <ns0:c r="U739" s="17" t="n"/>
      <ns0:c r="V739" s="17" t="n"/>
      <ns0:c r="W739" s="17" t="n"/>
      <ns0:c r="X739" s="17" t="n"/>
      <ns0:c r="Y739" s="17" t="n"/>
      <ns0:c r="Z739" s="17" t="n"/>
      <ns0:c r="AA739" s="17" t="n"/>
      <ns0:c r="AB739" s="17" t="n"/>
      <ns0:c r="AC739" s="17" t="n"/>
      <ns0:c r="AD739" s="17" t="n"/>
      <ns0:c r="AE739" s="17" t="n"/>
      <ns0:c r="AF739" s="17" t="n"/>
      <ns0:c r="AG739" s="17" t="n"/>
    </ns0:row>
    <ns0:row r="740" ht="24" customHeight="1">
      <ns0:c r="D740" s="17" t="n"/>
      <ns0:c r="E740" s="17" t="n"/>
      <ns0:c r="F740" s="17" t="n"/>
      <ns0:c r="G740" s="17" t="n"/>
      <ns0:c r="H740" s="17" t="n"/>
      <ns0:c r="I740" s="17" t="n"/>
      <ns0:c r="J740" s="17" t="n"/>
      <ns0:c r="K740" s="17" t="n"/>
      <ns0:c r="L740" s="17" t="n"/>
      <ns0:c r="M740" s="17" t="n"/>
      <ns0:c r="N740" s="17" t="n"/>
      <ns0:c r="O740" s="17" t="n"/>
      <ns0:c r="P740" s="17" t="n"/>
      <ns0:c r="Q740" s="17" t="n"/>
      <ns0:c r="R740" s="17" t="n"/>
      <ns0:c r="S740" s="17" t="n"/>
      <ns0:c r="T740" s="17" t="n"/>
      <ns0:c r="U740" s="17" t="n"/>
      <ns0:c r="V740" s="17" t="n"/>
      <ns0:c r="W740" s="17" t="n"/>
      <ns0:c r="X740" s="17" t="n"/>
      <ns0:c r="Y740" s="17" t="n"/>
      <ns0:c r="Z740" s="17" t="n"/>
      <ns0:c r="AA740" s="17" t="n"/>
      <ns0:c r="AB740" s="17" t="n"/>
      <ns0:c r="AC740" s="17" t="n"/>
      <ns0:c r="AD740" s="17" t="n"/>
      <ns0:c r="AE740" s="17" t="n"/>
      <ns0:c r="AF740" s="17" t="n"/>
      <ns0:c r="AG740" s="17" t="n"/>
    </ns0:row>
    <ns0:row r="741" ht="24" customHeight="1">
      <ns0:c r="D741" s="17" t="n"/>
      <ns0:c r="E741" s="17" t="n"/>
      <ns0:c r="F741" s="17" t="n"/>
      <ns0:c r="G741" s="17" t="n"/>
      <ns0:c r="H741" s="17" t="n"/>
      <ns0:c r="I741" s="17" t="n"/>
      <ns0:c r="J741" s="17" t="n"/>
      <ns0:c r="K741" s="17" t="n"/>
      <ns0:c r="L741" s="17" t="n"/>
      <ns0:c r="M741" s="17" t="n"/>
      <ns0:c r="N741" s="17" t="n"/>
      <ns0:c r="O741" s="17" t="n"/>
      <ns0:c r="P741" s="17" t="n"/>
      <ns0:c r="Q741" s="17" t="n"/>
      <ns0:c r="R741" s="17" t="n"/>
      <ns0:c r="S741" s="17" t="n"/>
      <ns0:c r="T741" s="17" t="n"/>
      <ns0:c r="U741" s="17" t="n"/>
      <ns0:c r="V741" s="17" t="n"/>
      <ns0:c r="W741" s="17" t="n"/>
      <ns0:c r="X741" s="17" t="n"/>
      <ns0:c r="Y741" s="17" t="n"/>
      <ns0:c r="Z741" s="17" t="n"/>
      <ns0:c r="AA741" s="17" t="n"/>
      <ns0:c r="AB741" s="17" t="n"/>
      <ns0:c r="AC741" s="17" t="n"/>
      <ns0:c r="AD741" s="17" t="n"/>
      <ns0:c r="AE741" s="17" t="n"/>
      <ns0:c r="AF741" s="17" t="n"/>
      <ns0:c r="AG741" s="17" t="n"/>
    </ns0:row>
    <ns0:row r="742" ht="24" customHeight="1">
      <ns0:c r="D742" s="17" t="n"/>
      <ns0:c r="E742" s="17" t="n"/>
      <ns0:c r="F742" s="17" t="n"/>
      <ns0:c r="G742" s="17" t="n"/>
      <ns0:c r="H742" s="17" t="n"/>
      <ns0:c r="I742" s="17" t="n"/>
      <ns0:c r="J742" s="17" t="n"/>
      <ns0:c r="K742" s="17" t="n"/>
      <ns0:c r="L742" s="17" t="n"/>
      <ns0:c r="M742" s="17" t="n"/>
      <ns0:c r="N742" s="17" t="n"/>
      <ns0:c r="O742" s="17" t="n"/>
      <ns0:c r="P742" s="17" t="n"/>
      <ns0:c r="Q742" s="17" t="n"/>
      <ns0:c r="R742" s="17" t="n"/>
      <ns0:c r="S742" s="17" t="n"/>
      <ns0:c r="T742" s="17" t="n"/>
      <ns0:c r="U742" s="17" t="n"/>
      <ns0:c r="V742" s="17" t="n"/>
      <ns0:c r="W742" s="17" t="n"/>
      <ns0:c r="X742" s="17" t="n"/>
      <ns0:c r="Y742" s="17" t="n"/>
      <ns0:c r="Z742" s="17" t="n"/>
      <ns0:c r="AA742" s="17" t="n"/>
      <ns0:c r="AB742" s="17" t="n"/>
      <ns0:c r="AC742" s="17" t="n"/>
      <ns0:c r="AD742" s="17" t="n"/>
      <ns0:c r="AE742" s="17" t="n"/>
      <ns0:c r="AF742" s="17" t="n"/>
      <ns0:c r="AG742" s="17" t="n"/>
    </ns0:row>
    <ns0:row r="743" ht="24" customHeight="1">
      <ns0:c r="D743" s="17" t="n"/>
      <ns0:c r="E743" s="17" t="n"/>
      <ns0:c r="F743" s="17" t="n"/>
      <ns0:c r="G743" s="17" t="n"/>
      <ns0:c r="H743" s="17" t="n"/>
      <ns0:c r="I743" s="17" t="n"/>
      <ns0:c r="J743" s="17" t="n"/>
      <ns0:c r="K743" s="17" t="n"/>
      <ns0:c r="L743" s="17" t="n"/>
      <ns0:c r="M743" s="17" t="n"/>
      <ns0:c r="N743" s="17" t="n"/>
      <ns0:c r="O743" s="17" t="n"/>
      <ns0:c r="P743" s="17" t="n"/>
      <ns0:c r="Q743" s="17" t="n"/>
      <ns0:c r="R743" s="17" t="n"/>
      <ns0:c r="S743" s="17" t="n"/>
      <ns0:c r="T743" s="17" t="n"/>
      <ns0:c r="U743" s="17" t="n"/>
      <ns0:c r="V743" s="17" t="n"/>
      <ns0:c r="W743" s="17" t="n"/>
      <ns0:c r="X743" s="17" t="n"/>
      <ns0:c r="Y743" s="17" t="n"/>
      <ns0:c r="Z743" s="17" t="n"/>
      <ns0:c r="AA743" s="17" t="n"/>
      <ns0:c r="AB743" s="17" t="n"/>
      <ns0:c r="AC743" s="17" t="n"/>
      <ns0:c r="AD743" s="17" t="n"/>
      <ns0:c r="AE743" s="17" t="n"/>
      <ns0:c r="AF743" s="17" t="n"/>
      <ns0:c r="AG743" s="17" t="n"/>
    </ns0:row>
    <ns0:row r="744" ht="24" customHeight="1">
      <ns0:c r="D744" s="17" t="n"/>
      <ns0:c r="E744" s="17" t="n"/>
      <ns0:c r="F744" s="17" t="n"/>
      <ns0:c r="G744" s="17" t="n"/>
      <ns0:c r="H744" s="17" t="n"/>
      <ns0:c r="I744" s="17" t="n"/>
      <ns0:c r="J744" s="17" t="n"/>
      <ns0:c r="K744" s="17" t="n"/>
      <ns0:c r="L744" s="17" t="n"/>
      <ns0:c r="M744" s="17" t="n"/>
      <ns0:c r="N744" s="17" t="n"/>
      <ns0:c r="O744" s="17" t="n"/>
      <ns0:c r="P744" s="17" t="n"/>
      <ns0:c r="Q744" s="17" t="n"/>
      <ns0:c r="R744" s="17" t="n"/>
      <ns0:c r="S744" s="17" t="n"/>
      <ns0:c r="T744" s="17" t="n"/>
      <ns0:c r="U744" s="17" t="n"/>
      <ns0:c r="V744" s="17" t="n"/>
      <ns0:c r="W744" s="17" t="n"/>
      <ns0:c r="X744" s="17" t="n"/>
      <ns0:c r="Y744" s="17" t="n"/>
      <ns0:c r="Z744" s="17" t="n"/>
      <ns0:c r="AA744" s="17" t="n"/>
      <ns0:c r="AB744" s="17" t="n"/>
      <ns0:c r="AC744" s="17" t="n"/>
      <ns0:c r="AD744" s="17" t="n"/>
      <ns0:c r="AE744" s="17" t="n"/>
      <ns0:c r="AF744" s="17" t="n"/>
      <ns0:c r="AG744" s="17" t="n"/>
    </ns0:row>
    <ns0:row r="745" ht="24" customHeight="1">
      <ns0:c r="D745" s="17" t="n"/>
      <ns0:c r="E745" s="17" t="n"/>
      <ns0:c r="F745" s="17" t="n"/>
      <ns0:c r="G745" s="17" t="n"/>
      <ns0:c r="H745" s="17" t="n"/>
      <ns0:c r="I745" s="17" t="n"/>
      <ns0:c r="J745" s="17" t="n"/>
      <ns0:c r="K745" s="17" t="n"/>
      <ns0:c r="L745" s="17" t="n"/>
      <ns0:c r="M745" s="17" t="n"/>
      <ns0:c r="N745" s="17" t="n"/>
      <ns0:c r="O745" s="17" t="n"/>
      <ns0:c r="P745" s="17" t="n"/>
      <ns0:c r="Q745" s="17" t="n"/>
      <ns0:c r="R745" s="17" t="n"/>
      <ns0:c r="S745" s="17" t="n"/>
      <ns0:c r="T745" s="17" t="n"/>
      <ns0:c r="U745" s="17" t="n"/>
      <ns0:c r="V745" s="17" t="n"/>
      <ns0:c r="W745" s="17" t="n"/>
      <ns0:c r="X745" s="17" t="n"/>
      <ns0:c r="Y745" s="17" t="n"/>
      <ns0:c r="Z745" s="17" t="n"/>
      <ns0:c r="AA745" s="17" t="n"/>
      <ns0:c r="AB745" s="17" t="n"/>
      <ns0:c r="AC745" s="17" t="n"/>
      <ns0:c r="AD745" s="17" t="n"/>
      <ns0:c r="AE745" s="17" t="n"/>
      <ns0:c r="AF745" s="17" t="n"/>
      <ns0:c r="AG745" s="17" t="n"/>
    </ns0:row>
    <ns0:row r="746" ht="24" customHeight="1">
      <ns0:c r="D746" s="17" t="n"/>
      <ns0:c r="E746" s="17" t="n"/>
      <ns0:c r="F746" s="17" t="n"/>
      <ns0:c r="G746" s="17" t="n"/>
      <ns0:c r="H746" s="17" t="n"/>
      <ns0:c r="I746" s="17" t="n"/>
      <ns0:c r="J746" s="17" t="n"/>
      <ns0:c r="K746" s="17" t="n"/>
      <ns0:c r="L746" s="17" t="n"/>
      <ns0:c r="M746" s="17" t="n"/>
      <ns0:c r="N746" s="17" t="n"/>
      <ns0:c r="O746" s="17" t="n"/>
      <ns0:c r="P746" s="17" t="n"/>
      <ns0:c r="Q746" s="17" t="n"/>
      <ns0:c r="R746" s="17" t="n"/>
      <ns0:c r="S746" s="17" t="n"/>
      <ns0:c r="T746" s="17" t="n"/>
      <ns0:c r="U746" s="17" t="n"/>
      <ns0:c r="V746" s="17" t="n"/>
      <ns0:c r="W746" s="17" t="n"/>
      <ns0:c r="X746" s="17" t="n"/>
      <ns0:c r="Y746" s="17" t="n"/>
      <ns0:c r="Z746" s="17" t="n"/>
      <ns0:c r="AA746" s="17" t="n"/>
      <ns0:c r="AB746" s="17" t="n"/>
      <ns0:c r="AC746" s="17" t="n"/>
      <ns0:c r="AD746" s="17" t="n"/>
      <ns0:c r="AE746" s="17" t="n"/>
      <ns0:c r="AF746" s="17" t="n"/>
      <ns0:c r="AG746" s="17" t="n"/>
    </ns0:row>
    <ns0:row r="747" ht="24" customHeight="1">
      <ns0:c r="D747" s="17" t="n"/>
      <ns0:c r="E747" s="17" t="n"/>
      <ns0:c r="F747" s="17" t="n"/>
      <ns0:c r="G747" s="17" t="n"/>
      <ns0:c r="H747" s="17" t="n"/>
      <ns0:c r="I747" s="17" t="n"/>
      <ns0:c r="J747" s="17" t="n"/>
      <ns0:c r="K747" s="17" t="n"/>
      <ns0:c r="L747" s="17" t="n"/>
      <ns0:c r="M747" s="17" t="n"/>
      <ns0:c r="N747" s="17" t="n"/>
      <ns0:c r="O747" s="17" t="n"/>
      <ns0:c r="P747" s="17" t="n"/>
      <ns0:c r="Q747" s="17" t="n"/>
      <ns0:c r="R747" s="17" t="n"/>
      <ns0:c r="S747" s="17" t="n"/>
      <ns0:c r="T747" s="17" t="n"/>
      <ns0:c r="U747" s="17" t="n"/>
      <ns0:c r="V747" s="17" t="n"/>
      <ns0:c r="W747" s="17" t="n"/>
      <ns0:c r="X747" s="17" t="n"/>
      <ns0:c r="Y747" s="17" t="n"/>
      <ns0:c r="Z747" s="17" t="n"/>
      <ns0:c r="AA747" s="17" t="n"/>
      <ns0:c r="AB747" s="17" t="n"/>
      <ns0:c r="AC747" s="17" t="n"/>
      <ns0:c r="AD747" s="17" t="n"/>
      <ns0:c r="AE747" s="17" t="n"/>
      <ns0:c r="AF747" s="17" t="n"/>
      <ns0:c r="AG747" s="17" t="n"/>
    </ns0:row>
    <ns0:row r="748" ht="24" customHeight="1">
      <ns0:c r="D748" s="17" t="n"/>
      <ns0:c r="E748" s="17" t="n"/>
      <ns0:c r="F748" s="17" t="n"/>
      <ns0:c r="G748" s="17" t="n"/>
      <ns0:c r="H748" s="17" t="n"/>
      <ns0:c r="I748" s="17" t="n"/>
      <ns0:c r="J748" s="17" t="n"/>
      <ns0:c r="K748" s="17" t="n"/>
      <ns0:c r="L748" s="17" t="n"/>
      <ns0:c r="M748" s="17" t="n"/>
      <ns0:c r="N748" s="17" t="n"/>
      <ns0:c r="O748" s="17" t="n"/>
      <ns0:c r="P748" s="17" t="n"/>
      <ns0:c r="Q748" s="17" t="n"/>
      <ns0:c r="R748" s="17" t="n"/>
      <ns0:c r="S748" s="17" t="n"/>
      <ns0:c r="T748" s="17" t="n"/>
      <ns0:c r="U748" s="17" t="n"/>
      <ns0:c r="V748" s="17" t="n"/>
      <ns0:c r="W748" s="17" t="n"/>
      <ns0:c r="X748" s="17" t="n"/>
      <ns0:c r="Y748" s="17" t="n"/>
      <ns0:c r="Z748" s="17" t="n"/>
      <ns0:c r="AA748" s="17" t="n"/>
      <ns0:c r="AB748" s="17" t="n"/>
      <ns0:c r="AC748" s="17" t="n"/>
      <ns0:c r="AD748" s="17" t="n"/>
      <ns0:c r="AE748" s="17" t="n"/>
      <ns0:c r="AF748" s="17" t="n"/>
      <ns0:c r="AG748" s="17" t="n"/>
    </ns0:row>
    <ns0:row r="749" ht="24" customHeight="1">
      <ns0:c r="D749" s="17" t="n"/>
      <ns0:c r="E749" s="17" t="n"/>
      <ns0:c r="F749" s="17" t="n"/>
      <ns0:c r="G749" s="17" t="n"/>
      <ns0:c r="H749" s="17" t="n"/>
      <ns0:c r="I749" s="17" t="n"/>
      <ns0:c r="J749" s="17" t="n"/>
      <ns0:c r="K749" s="17" t="n"/>
      <ns0:c r="L749" s="17" t="n"/>
      <ns0:c r="M749" s="17" t="n"/>
      <ns0:c r="N749" s="17" t="n"/>
      <ns0:c r="O749" s="17" t="n"/>
      <ns0:c r="P749" s="17" t="n"/>
      <ns0:c r="Q749" s="17" t="n"/>
      <ns0:c r="R749" s="17" t="n"/>
      <ns0:c r="S749" s="17" t="n"/>
      <ns0:c r="T749" s="17" t="n"/>
      <ns0:c r="U749" s="17" t="n"/>
      <ns0:c r="V749" s="17" t="n"/>
      <ns0:c r="W749" s="17" t="n"/>
      <ns0:c r="X749" s="17" t="n"/>
      <ns0:c r="Y749" s="17" t="n"/>
      <ns0:c r="Z749" s="17" t="n"/>
      <ns0:c r="AA749" s="17" t="n"/>
      <ns0:c r="AB749" s="17" t="n"/>
      <ns0:c r="AC749" s="17" t="n"/>
      <ns0:c r="AD749" s="17" t="n"/>
      <ns0:c r="AE749" s="17" t="n"/>
      <ns0:c r="AF749" s="17" t="n"/>
      <ns0:c r="AG749" s="17" t="n"/>
    </ns0:row>
    <ns0:row r="750" ht="24" customHeight="1">
      <ns0:c r="D750" s="17" t="n"/>
      <ns0:c r="E750" s="17" t="n"/>
      <ns0:c r="F750" s="17" t="n"/>
      <ns0:c r="G750" s="17" t="n"/>
      <ns0:c r="H750" s="17" t="n"/>
      <ns0:c r="I750" s="17" t="n"/>
      <ns0:c r="J750" s="17" t="n"/>
      <ns0:c r="K750" s="17" t="n"/>
      <ns0:c r="L750" s="17" t="n"/>
      <ns0:c r="M750" s="17" t="n"/>
      <ns0:c r="N750" s="17" t="n"/>
      <ns0:c r="O750" s="17" t="n"/>
      <ns0:c r="P750" s="17" t="n"/>
      <ns0:c r="Q750" s="17" t="n"/>
      <ns0:c r="R750" s="17" t="n"/>
      <ns0:c r="S750" s="17" t="n"/>
      <ns0:c r="T750" s="17" t="n"/>
      <ns0:c r="U750" s="17" t="n"/>
      <ns0:c r="V750" s="17" t="n"/>
      <ns0:c r="W750" s="17" t="n"/>
      <ns0:c r="X750" s="17" t="n"/>
      <ns0:c r="Y750" s="17" t="n"/>
      <ns0:c r="Z750" s="17" t="n"/>
      <ns0:c r="AA750" s="17" t="n"/>
      <ns0:c r="AB750" s="17" t="n"/>
      <ns0:c r="AC750" s="17" t="n"/>
      <ns0:c r="AD750" s="17" t="n"/>
      <ns0:c r="AE750" s="17" t="n"/>
      <ns0:c r="AF750" s="17" t="n"/>
      <ns0:c r="AG750" s="17" t="n"/>
    </ns0:row>
    <ns0:row r="751" ht="24" customHeight="1">
      <ns0:c r="D751" s="17" t="n"/>
      <ns0:c r="E751" s="17" t="n"/>
      <ns0:c r="F751" s="17" t="n"/>
      <ns0:c r="G751" s="17" t="n"/>
      <ns0:c r="H751" s="17" t="n"/>
      <ns0:c r="I751" s="17" t="n"/>
      <ns0:c r="J751" s="17" t="n"/>
      <ns0:c r="K751" s="17" t="n"/>
      <ns0:c r="L751" s="17" t="n"/>
      <ns0:c r="M751" s="17" t="n"/>
      <ns0:c r="N751" s="17" t="n"/>
      <ns0:c r="O751" s="17" t="n"/>
      <ns0:c r="P751" s="17" t="n"/>
      <ns0:c r="Q751" s="17" t="n"/>
      <ns0:c r="R751" s="17" t="n"/>
      <ns0:c r="S751" s="17" t="n"/>
      <ns0:c r="T751" s="17" t="n"/>
      <ns0:c r="U751" s="17" t="n"/>
      <ns0:c r="V751" s="17" t="n"/>
      <ns0:c r="W751" s="17" t="n"/>
      <ns0:c r="X751" s="17" t="n"/>
      <ns0:c r="Y751" s="17" t="n"/>
      <ns0:c r="Z751" s="17" t="n"/>
      <ns0:c r="AA751" s="17" t="n"/>
      <ns0:c r="AB751" s="17" t="n"/>
      <ns0:c r="AC751" s="17" t="n"/>
      <ns0:c r="AD751" s="17" t="n"/>
      <ns0:c r="AE751" s="17" t="n"/>
      <ns0:c r="AF751" s="17" t="n"/>
      <ns0:c r="AG751" s="17" t="n"/>
    </ns0:row>
    <ns0:row r="752" ht="24" customHeight="1">
      <ns0:c r="D752" s="17" t="n"/>
      <ns0:c r="E752" s="17" t="n"/>
      <ns0:c r="F752" s="17" t="n"/>
      <ns0:c r="G752" s="17" t="n"/>
      <ns0:c r="H752" s="17" t="n"/>
      <ns0:c r="I752" s="17" t="n"/>
      <ns0:c r="J752" s="17" t="n"/>
      <ns0:c r="K752" s="17" t="n"/>
      <ns0:c r="L752" s="17" t="n"/>
      <ns0:c r="M752" s="17" t="n"/>
      <ns0:c r="N752" s="17" t="n"/>
      <ns0:c r="O752" s="17" t="n"/>
      <ns0:c r="P752" s="17" t="n"/>
      <ns0:c r="Q752" s="17" t="n"/>
      <ns0:c r="R752" s="17" t="n"/>
      <ns0:c r="S752" s="17" t="n"/>
      <ns0:c r="T752" s="17" t="n"/>
      <ns0:c r="U752" s="17" t="n"/>
      <ns0:c r="V752" s="17" t="n"/>
      <ns0:c r="W752" s="17" t="n"/>
      <ns0:c r="X752" s="17" t="n"/>
      <ns0:c r="Y752" s="17" t="n"/>
      <ns0:c r="Z752" s="17" t="n"/>
      <ns0:c r="AA752" s="17" t="n"/>
      <ns0:c r="AB752" s="17" t="n"/>
      <ns0:c r="AC752" s="17" t="n"/>
      <ns0:c r="AD752" s="17" t="n"/>
      <ns0:c r="AE752" s="17" t="n"/>
      <ns0:c r="AF752" s="17" t="n"/>
      <ns0:c r="AG752" s="17" t="n"/>
    </ns0:row>
    <ns0:row r="753" ht="24" customHeight="1">
      <ns0:c r="D753" s="17" t="n"/>
      <ns0:c r="E753" s="17" t="n"/>
      <ns0:c r="F753" s="17" t="n"/>
      <ns0:c r="G753" s="17" t="n"/>
      <ns0:c r="H753" s="17" t="n"/>
      <ns0:c r="I753" s="17" t="n"/>
      <ns0:c r="J753" s="17" t="n"/>
      <ns0:c r="K753" s="17" t="n"/>
      <ns0:c r="L753" s="17" t="n"/>
      <ns0:c r="M753" s="17" t="n"/>
      <ns0:c r="N753" s="17" t="n"/>
      <ns0:c r="O753" s="17" t="n"/>
      <ns0:c r="P753" s="17" t="n"/>
      <ns0:c r="Q753" s="17" t="n"/>
      <ns0:c r="R753" s="17" t="n"/>
      <ns0:c r="S753" s="17" t="n"/>
      <ns0:c r="T753" s="17" t="n"/>
      <ns0:c r="U753" s="17" t="n"/>
      <ns0:c r="V753" s="17" t="n"/>
      <ns0:c r="W753" s="17" t="n"/>
      <ns0:c r="X753" s="17" t="n"/>
      <ns0:c r="Y753" s="17" t="n"/>
      <ns0:c r="Z753" s="17" t="n"/>
      <ns0:c r="AA753" s="17" t="n"/>
      <ns0:c r="AB753" s="17" t="n"/>
      <ns0:c r="AC753" s="17" t="n"/>
      <ns0:c r="AD753" s="17" t="n"/>
      <ns0:c r="AE753" s="17" t="n"/>
      <ns0:c r="AF753" s="17" t="n"/>
      <ns0:c r="AG753" s="17" t="n"/>
    </ns0:row>
    <ns0:row r="754" ht="24" customHeight="1">
      <ns0:c r="D754" s="17" t="n"/>
      <ns0:c r="E754" s="17" t="n"/>
      <ns0:c r="F754" s="17" t="n"/>
      <ns0:c r="G754" s="17" t="n"/>
      <ns0:c r="H754" s="17" t="n"/>
      <ns0:c r="I754" s="17" t="n"/>
      <ns0:c r="J754" s="17" t="n"/>
      <ns0:c r="K754" s="17" t="n"/>
      <ns0:c r="L754" s="17" t="n"/>
      <ns0:c r="M754" s="17" t="n"/>
      <ns0:c r="N754" s="17" t="n"/>
      <ns0:c r="O754" s="17" t="n"/>
      <ns0:c r="P754" s="17" t="n"/>
      <ns0:c r="Q754" s="17" t="n"/>
      <ns0:c r="R754" s="17" t="n"/>
      <ns0:c r="S754" s="17" t="n"/>
      <ns0:c r="T754" s="17" t="n"/>
      <ns0:c r="U754" s="17" t="n"/>
      <ns0:c r="V754" s="17" t="n"/>
      <ns0:c r="W754" s="17" t="n"/>
      <ns0:c r="X754" s="17" t="n"/>
      <ns0:c r="Y754" s="17" t="n"/>
      <ns0:c r="Z754" s="17" t="n"/>
      <ns0:c r="AA754" s="17" t="n"/>
      <ns0:c r="AB754" s="17" t="n"/>
      <ns0:c r="AC754" s="17" t="n"/>
      <ns0:c r="AD754" s="17" t="n"/>
      <ns0:c r="AE754" s="17" t="n"/>
      <ns0:c r="AF754" s="17" t="n"/>
      <ns0:c r="AG754" s="17" t="n"/>
    </ns0:row>
    <ns0:row r="755" ht="24" customHeight="1">
      <ns0:c r="D755" s="17" t="n"/>
      <ns0:c r="E755" s="17" t="n"/>
      <ns0:c r="F755" s="17" t="n"/>
      <ns0:c r="G755" s="17" t="n"/>
      <ns0:c r="H755" s="17" t="n"/>
      <ns0:c r="I755" s="17" t="n"/>
      <ns0:c r="J755" s="17" t="n"/>
      <ns0:c r="K755" s="17" t="n"/>
      <ns0:c r="L755" s="17" t="n"/>
      <ns0:c r="M755" s="17" t="n"/>
      <ns0:c r="N755" s="17" t="n"/>
      <ns0:c r="O755" s="17" t="n"/>
      <ns0:c r="P755" s="17" t="n"/>
      <ns0:c r="Q755" s="17" t="n"/>
      <ns0:c r="R755" s="17" t="n"/>
      <ns0:c r="S755" s="17" t="n"/>
      <ns0:c r="T755" s="17" t="n"/>
      <ns0:c r="U755" s="17" t="n"/>
      <ns0:c r="V755" s="17" t="n"/>
      <ns0:c r="W755" s="17" t="n"/>
      <ns0:c r="X755" s="17" t="n"/>
      <ns0:c r="Y755" s="17" t="n"/>
      <ns0:c r="Z755" s="17" t="n"/>
      <ns0:c r="AA755" s="17" t="n"/>
      <ns0:c r="AB755" s="17" t="n"/>
      <ns0:c r="AC755" s="17" t="n"/>
      <ns0:c r="AD755" s="17" t="n"/>
      <ns0:c r="AE755" s="17" t="n"/>
      <ns0:c r="AF755" s="17" t="n"/>
      <ns0:c r="AG755" s="17" t="n"/>
    </ns0:row>
    <ns0:row r="756" ht="24" customHeight="1">
      <ns0:c r="D756" s="17" t="n"/>
      <ns0:c r="E756" s="17" t="n"/>
      <ns0:c r="F756" s="17" t="n"/>
      <ns0:c r="G756" s="17" t="n"/>
      <ns0:c r="H756" s="17" t="n"/>
      <ns0:c r="I756" s="17" t="n"/>
      <ns0:c r="J756" s="17" t="n"/>
      <ns0:c r="K756" s="17" t="n"/>
      <ns0:c r="L756" s="17" t="n"/>
      <ns0:c r="M756" s="17" t="n"/>
      <ns0:c r="N756" s="17" t="n"/>
      <ns0:c r="O756" s="17" t="n"/>
      <ns0:c r="P756" s="17" t="n"/>
      <ns0:c r="Q756" s="17" t="n"/>
      <ns0:c r="R756" s="17" t="n"/>
      <ns0:c r="S756" s="17" t="n"/>
      <ns0:c r="T756" s="17" t="n"/>
      <ns0:c r="U756" s="17" t="n"/>
      <ns0:c r="V756" s="17" t="n"/>
      <ns0:c r="W756" s="17" t="n"/>
      <ns0:c r="X756" s="17" t="n"/>
      <ns0:c r="Y756" s="17" t="n"/>
      <ns0:c r="Z756" s="17" t="n"/>
      <ns0:c r="AA756" s="17" t="n"/>
      <ns0:c r="AB756" s="17" t="n"/>
      <ns0:c r="AC756" s="17" t="n"/>
      <ns0:c r="AD756" s="17" t="n"/>
      <ns0:c r="AE756" s="17" t="n"/>
      <ns0:c r="AF756" s="17" t="n"/>
      <ns0:c r="AG756" s="17" t="n"/>
    </ns0:row>
    <ns0:row r="757" ht="24" customHeight="1">
      <ns0:c r="D757" s="17" t="n"/>
      <ns0:c r="E757" s="17" t="n"/>
      <ns0:c r="F757" s="17" t="n"/>
      <ns0:c r="G757" s="17" t="n"/>
      <ns0:c r="H757" s="17" t="n"/>
      <ns0:c r="I757" s="17" t="n"/>
      <ns0:c r="J757" s="17" t="n"/>
      <ns0:c r="K757" s="17" t="n"/>
      <ns0:c r="L757" s="17" t="n"/>
      <ns0:c r="M757" s="17" t="n"/>
      <ns0:c r="N757" s="17" t="n"/>
      <ns0:c r="O757" s="17" t="n"/>
      <ns0:c r="P757" s="17" t="n"/>
      <ns0:c r="Q757" s="17" t="n"/>
      <ns0:c r="R757" s="17" t="n"/>
      <ns0:c r="S757" s="17" t="n"/>
      <ns0:c r="T757" s="17" t="n"/>
      <ns0:c r="U757" s="17" t="n"/>
      <ns0:c r="V757" s="17" t="n"/>
      <ns0:c r="W757" s="17" t="n"/>
      <ns0:c r="X757" s="17" t="n"/>
      <ns0:c r="Y757" s="17" t="n"/>
      <ns0:c r="Z757" s="17" t="n"/>
      <ns0:c r="AA757" s="17" t="n"/>
      <ns0:c r="AB757" s="17" t="n"/>
      <ns0:c r="AC757" s="17" t="n"/>
      <ns0:c r="AD757" s="17" t="n"/>
      <ns0:c r="AE757" s="17" t="n"/>
      <ns0:c r="AF757" s="17" t="n"/>
      <ns0:c r="AG757" s="17" t="n"/>
    </ns0:row>
    <ns0:row r="758" ht="24" customHeight="1">
      <ns0:c r="D758" s="17" t="n"/>
      <ns0:c r="E758" s="17" t="n"/>
      <ns0:c r="F758" s="17" t="n"/>
      <ns0:c r="G758" s="17" t="n"/>
      <ns0:c r="H758" s="17" t="n"/>
      <ns0:c r="I758" s="17" t="n"/>
      <ns0:c r="J758" s="17" t="n"/>
      <ns0:c r="K758" s="17" t="n"/>
      <ns0:c r="L758" s="17" t="n"/>
      <ns0:c r="M758" s="17" t="n"/>
      <ns0:c r="N758" s="17" t="n"/>
      <ns0:c r="O758" s="17" t="n"/>
      <ns0:c r="P758" s="17" t="n"/>
      <ns0:c r="Q758" s="17" t="n"/>
      <ns0:c r="R758" s="17" t="n"/>
      <ns0:c r="S758" s="17" t="n"/>
      <ns0:c r="T758" s="17" t="n"/>
      <ns0:c r="U758" s="17" t="n"/>
      <ns0:c r="V758" s="17" t="n"/>
      <ns0:c r="W758" s="17" t="n"/>
      <ns0:c r="X758" s="17" t="n"/>
      <ns0:c r="Y758" s="17" t="n"/>
      <ns0:c r="Z758" s="17" t="n"/>
      <ns0:c r="AA758" s="17" t="n"/>
      <ns0:c r="AB758" s="17" t="n"/>
      <ns0:c r="AC758" s="17" t="n"/>
      <ns0:c r="AD758" s="17" t="n"/>
      <ns0:c r="AE758" s="17" t="n"/>
      <ns0:c r="AF758" s="17" t="n"/>
      <ns0:c r="AG758" s="17" t="n"/>
    </ns0:row>
    <ns0:row r="759" ht="24" customHeight="1">
      <ns0:c r="D759" s="17" t="n"/>
      <ns0:c r="E759" s="17" t="n"/>
      <ns0:c r="F759" s="17" t="n"/>
      <ns0:c r="G759" s="17" t="n"/>
      <ns0:c r="H759" s="17" t="n"/>
      <ns0:c r="I759" s="17" t="n"/>
      <ns0:c r="J759" s="17" t="n"/>
      <ns0:c r="K759" s="17" t="n"/>
      <ns0:c r="L759" s="17" t="n"/>
      <ns0:c r="M759" s="17" t="n"/>
      <ns0:c r="N759" s="17" t="n"/>
      <ns0:c r="O759" s="17" t="n"/>
      <ns0:c r="P759" s="17" t="n"/>
      <ns0:c r="Q759" s="17" t="n"/>
      <ns0:c r="R759" s="17" t="n"/>
      <ns0:c r="S759" s="17" t="n"/>
      <ns0:c r="T759" s="17" t="n"/>
      <ns0:c r="U759" s="17" t="n"/>
      <ns0:c r="V759" s="17" t="n"/>
      <ns0:c r="W759" s="17" t="n"/>
      <ns0:c r="X759" s="17" t="n"/>
      <ns0:c r="Y759" s="17" t="n"/>
      <ns0:c r="Z759" s="17" t="n"/>
      <ns0:c r="AA759" s="17" t="n"/>
      <ns0:c r="AB759" s="17" t="n"/>
      <ns0:c r="AC759" s="17" t="n"/>
      <ns0:c r="AD759" s="17" t="n"/>
      <ns0:c r="AE759" s="17" t="n"/>
      <ns0:c r="AF759" s="17" t="n"/>
      <ns0:c r="AG759" s="17" t="n"/>
    </ns0:row>
    <ns0:row r="760" ht="24" customHeight="1">
      <ns0:c r="D760" s="17" t="n"/>
      <ns0:c r="E760" s="17" t="n"/>
      <ns0:c r="F760" s="17" t="n"/>
      <ns0:c r="G760" s="17" t="n"/>
      <ns0:c r="H760" s="17" t="n"/>
      <ns0:c r="I760" s="17" t="n"/>
      <ns0:c r="J760" s="17" t="n"/>
      <ns0:c r="K760" s="17" t="n"/>
      <ns0:c r="L760" s="17" t="n"/>
      <ns0:c r="M760" s="17" t="n"/>
      <ns0:c r="N760" s="17" t="n"/>
      <ns0:c r="O760" s="17" t="n"/>
      <ns0:c r="P760" s="17" t="n"/>
      <ns0:c r="Q760" s="17" t="n"/>
      <ns0:c r="R760" s="17" t="n"/>
      <ns0:c r="S760" s="17" t="n"/>
      <ns0:c r="T760" s="17" t="n"/>
      <ns0:c r="U760" s="17" t="n"/>
      <ns0:c r="V760" s="17" t="n"/>
      <ns0:c r="W760" s="17" t="n"/>
      <ns0:c r="X760" s="17" t="n"/>
      <ns0:c r="Y760" s="17" t="n"/>
      <ns0:c r="Z760" s="17" t="n"/>
      <ns0:c r="AA760" s="17" t="n"/>
      <ns0:c r="AB760" s="17" t="n"/>
      <ns0:c r="AC760" s="17" t="n"/>
      <ns0:c r="AD760" s="17" t="n"/>
      <ns0:c r="AE760" s="17" t="n"/>
      <ns0:c r="AF760" s="17" t="n"/>
      <ns0:c r="AG760" s="17" t="n"/>
    </ns0:row>
    <ns0:row r="761" ht="24" customHeight="1">
      <ns0:c r="D761" s="17" t="n"/>
      <ns0:c r="E761" s="17" t="n"/>
      <ns0:c r="F761" s="17" t="n"/>
      <ns0:c r="G761" s="17" t="n"/>
      <ns0:c r="H761" s="17" t="n"/>
      <ns0:c r="I761" s="17" t="n"/>
      <ns0:c r="J761" s="17" t="n"/>
      <ns0:c r="K761" s="17" t="n"/>
      <ns0:c r="L761" s="17" t="n"/>
      <ns0:c r="M761" s="17" t="n"/>
      <ns0:c r="N761" s="17" t="n"/>
      <ns0:c r="O761" s="17" t="n"/>
      <ns0:c r="P761" s="17" t="n"/>
      <ns0:c r="Q761" s="17" t="n"/>
      <ns0:c r="R761" s="17" t="n"/>
      <ns0:c r="S761" s="17" t="n"/>
      <ns0:c r="T761" s="17" t="n"/>
      <ns0:c r="U761" s="17" t="n"/>
      <ns0:c r="V761" s="17" t="n"/>
      <ns0:c r="W761" s="17" t="n"/>
      <ns0:c r="X761" s="17" t="n"/>
      <ns0:c r="Y761" s="17" t="n"/>
      <ns0:c r="Z761" s="17" t="n"/>
      <ns0:c r="AA761" s="17" t="n"/>
      <ns0:c r="AB761" s="17" t="n"/>
      <ns0:c r="AC761" s="17" t="n"/>
      <ns0:c r="AD761" s="17" t="n"/>
      <ns0:c r="AE761" s="17" t="n"/>
      <ns0:c r="AF761" s="17" t="n"/>
      <ns0:c r="AG761" s="17" t="n"/>
    </ns0:row>
    <ns0:row r="762" ht="24" customHeight="1">
      <ns0:c r="D762" s="17" t="n"/>
      <ns0:c r="E762" s="17" t="n"/>
      <ns0:c r="F762" s="17" t="n"/>
      <ns0:c r="G762" s="17" t="n"/>
      <ns0:c r="H762" s="17" t="n"/>
      <ns0:c r="I762" s="17" t="n"/>
      <ns0:c r="J762" s="17" t="n"/>
      <ns0:c r="K762" s="17" t="n"/>
      <ns0:c r="L762" s="17" t="n"/>
      <ns0:c r="M762" s="17" t="n"/>
      <ns0:c r="N762" s="17" t="n"/>
      <ns0:c r="O762" s="17" t="n"/>
      <ns0:c r="P762" s="17" t="n"/>
      <ns0:c r="Q762" s="17" t="n"/>
      <ns0:c r="R762" s="17" t="n"/>
      <ns0:c r="S762" s="17" t="n"/>
      <ns0:c r="T762" s="17" t="n"/>
      <ns0:c r="U762" s="17" t="n"/>
      <ns0:c r="V762" s="17" t="n"/>
      <ns0:c r="W762" s="17" t="n"/>
      <ns0:c r="X762" s="17" t="n"/>
      <ns0:c r="Y762" s="17" t="n"/>
      <ns0:c r="Z762" s="17" t="n"/>
      <ns0:c r="AA762" s="17" t="n"/>
      <ns0:c r="AB762" s="17" t="n"/>
      <ns0:c r="AC762" s="17" t="n"/>
      <ns0:c r="AD762" s="17" t="n"/>
      <ns0:c r="AE762" s="17" t="n"/>
      <ns0:c r="AF762" s="17" t="n"/>
      <ns0:c r="AG762" s="17" t="n"/>
    </ns0:row>
    <ns0:row r="763" ht="24" customHeight="1">
      <ns0:c r="D763" s="17" t="n"/>
      <ns0:c r="E763" s="17" t="n"/>
      <ns0:c r="F763" s="17" t="n"/>
      <ns0:c r="G763" s="17" t="n"/>
      <ns0:c r="H763" s="17" t="n"/>
      <ns0:c r="I763" s="17" t="n"/>
      <ns0:c r="J763" s="17" t="n"/>
      <ns0:c r="K763" s="17" t="n"/>
      <ns0:c r="L763" s="17" t="n"/>
      <ns0:c r="M763" s="17" t="n"/>
      <ns0:c r="N763" s="17" t="n"/>
      <ns0:c r="O763" s="17" t="n"/>
      <ns0:c r="P763" s="17" t="n"/>
      <ns0:c r="Q763" s="17" t="n"/>
      <ns0:c r="R763" s="17" t="n"/>
      <ns0:c r="S763" s="17" t="n"/>
      <ns0:c r="T763" s="17" t="n"/>
      <ns0:c r="U763" s="17" t="n"/>
      <ns0:c r="V763" s="17" t="n"/>
      <ns0:c r="W763" s="17" t="n"/>
      <ns0:c r="X763" s="17" t="n"/>
      <ns0:c r="Y763" s="17" t="n"/>
      <ns0:c r="Z763" s="17" t="n"/>
      <ns0:c r="AA763" s="17" t="n"/>
      <ns0:c r="AB763" s="17" t="n"/>
      <ns0:c r="AC763" s="17" t="n"/>
      <ns0:c r="AD763" s="17" t="n"/>
      <ns0:c r="AE763" s="17" t="n"/>
      <ns0:c r="AF763" s="17" t="n"/>
      <ns0:c r="AG763" s="17" t="n"/>
    </ns0:row>
    <ns0:row r="764" ht="24" customHeight="1">
      <ns0:c r="D764" s="17" t="n"/>
      <ns0:c r="E764" s="17" t="n"/>
      <ns0:c r="F764" s="17" t="n"/>
      <ns0:c r="G764" s="17" t="n"/>
      <ns0:c r="H764" s="17" t="n"/>
      <ns0:c r="I764" s="17" t="n"/>
      <ns0:c r="J764" s="17" t="n"/>
      <ns0:c r="K764" s="17" t="n"/>
      <ns0:c r="L764" s="17" t="n"/>
      <ns0:c r="M764" s="17" t="n"/>
      <ns0:c r="N764" s="17" t="n"/>
      <ns0:c r="O764" s="17" t="n"/>
      <ns0:c r="P764" s="17" t="n"/>
      <ns0:c r="Q764" s="17" t="n"/>
      <ns0:c r="R764" s="17" t="n"/>
      <ns0:c r="S764" s="17" t="n"/>
      <ns0:c r="T764" s="17" t="n"/>
      <ns0:c r="U764" s="17" t="n"/>
      <ns0:c r="V764" s="17" t="n"/>
      <ns0:c r="W764" s="17" t="n"/>
      <ns0:c r="X764" s="17" t="n"/>
      <ns0:c r="Y764" s="17" t="n"/>
      <ns0:c r="Z764" s="17" t="n"/>
      <ns0:c r="AA764" s="17" t="n"/>
      <ns0:c r="AB764" s="17" t="n"/>
      <ns0:c r="AC764" s="17" t="n"/>
      <ns0:c r="AD764" s="17" t="n"/>
      <ns0:c r="AE764" s="17" t="n"/>
      <ns0:c r="AF764" s="17" t="n"/>
      <ns0:c r="AG764" s="17" t="n"/>
    </ns0:row>
    <ns0:row r="765" ht="24" customHeight="1">
      <ns0:c r="D765" s="17" t="n"/>
      <ns0:c r="E765" s="17" t="n"/>
      <ns0:c r="F765" s="17" t="n"/>
      <ns0:c r="G765" s="17" t="n"/>
      <ns0:c r="H765" s="17" t="n"/>
      <ns0:c r="I765" s="17" t="n"/>
      <ns0:c r="J765" s="17" t="n"/>
      <ns0:c r="K765" s="17" t="n"/>
      <ns0:c r="L765" s="17" t="n"/>
      <ns0:c r="M765" s="17" t="n"/>
      <ns0:c r="N765" s="17" t="n"/>
      <ns0:c r="O765" s="17" t="n"/>
      <ns0:c r="P765" s="17" t="n"/>
      <ns0:c r="Q765" s="17" t="n"/>
      <ns0:c r="R765" s="17" t="n"/>
      <ns0:c r="S765" s="17" t="n"/>
      <ns0:c r="T765" s="17" t="n"/>
      <ns0:c r="U765" s="17" t="n"/>
      <ns0:c r="V765" s="17" t="n"/>
      <ns0:c r="W765" s="17" t="n"/>
      <ns0:c r="X765" s="17" t="n"/>
      <ns0:c r="Y765" s="17" t="n"/>
      <ns0:c r="Z765" s="17" t="n"/>
      <ns0:c r="AA765" s="17" t="n"/>
      <ns0:c r="AB765" s="17" t="n"/>
      <ns0:c r="AC765" s="17" t="n"/>
      <ns0:c r="AD765" s="17" t="n"/>
      <ns0:c r="AE765" s="17" t="n"/>
      <ns0:c r="AF765" s="17" t="n"/>
      <ns0:c r="AG765" s="17" t="n"/>
    </ns0:row>
    <ns0:row r="766" ht="24" customHeight="1">
      <ns0:c r="D766" s="17" t="n"/>
      <ns0:c r="E766" s="17" t="n"/>
      <ns0:c r="F766" s="17" t="n"/>
      <ns0:c r="G766" s="17" t="n"/>
      <ns0:c r="H766" s="17" t="n"/>
      <ns0:c r="I766" s="17" t="n"/>
      <ns0:c r="J766" s="17" t="n"/>
      <ns0:c r="K766" s="17" t="n"/>
      <ns0:c r="L766" s="17" t="n"/>
      <ns0:c r="M766" s="17" t="n"/>
      <ns0:c r="N766" s="17" t="n"/>
      <ns0:c r="O766" s="17" t="n"/>
      <ns0:c r="P766" s="17" t="n"/>
      <ns0:c r="Q766" s="17" t="n"/>
      <ns0:c r="R766" s="17" t="n"/>
      <ns0:c r="S766" s="17" t="n"/>
      <ns0:c r="T766" s="17" t="n"/>
      <ns0:c r="U766" s="17" t="n"/>
      <ns0:c r="V766" s="17" t="n"/>
      <ns0:c r="W766" s="17" t="n"/>
      <ns0:c r="X766" s="17" t="n"/>
      <ns0:c r="Y766" s="17" t="n"/>
      <ns0:c r="Z766" s="17" t="n"/>
      <ns0:c r="AA766" s="17" t="n"/>
      <ns0:c r="AB766" s="17" t="n"/>
      <ns0:c r="AC766" s="17" t="n"/>
      <ns0:c r="AD766" s="17" t="n"/>
      <ns0:c r="AE766" s="17" t="n"/>
      <ns0:c r="AF766" s="17" t="n"/>
      <ns0:c r="AG766" s="17" t="n"/>
    </ns0:row>
    <ns0:row r="767" ht="24" customHeight="1">
      <ns0:c r="D767" s="17" t="n"/>
      <ns0:c r="E767" s="17" t="n"/>
      <ns0:c r="F767" s="17" t="n"/>
      <ns0:c r="G767" s="17" t="n"/>
      <ns0:c r="H767" s="17" t="n"/>
      <ns0:c r="I767" s="17" t="n"/>
      <ns0:c r="J767" s="17" t="n"/>
      <ns0:c r="K767" s="17" t="n"/>
      <ns0:c r="L767" s="17" t="n"/>
      <ns0:c r="M767" s="17" t="n"/>
      <ns0:c r="N767" s="17" t="n"/>
      <ns0:c r="O767" s="17" t="n"/>
      <ns0:c r="P767" s="17" t="n"/>
      <ns0:c r="Q767" s="17" t="n"/>
      <ns0:c r="R767" s="17" t="n"/>
      <ns0:c r="S767" s="17" t="n"/>
      <ns0:c r="T767" s="17" t="n"/>
      <ns0:c r="U767" s="17" t="n"/>
      <ns0:c r="V767" s="17" t="n"/>
      <ns0:c r="W767" s="17" t="n"/>
      <ns0:c r="X767" s="17" t="n"/>
      <ns0:c r="Y767" s="17" t="n"/>
      <ns0:c r="Z767" s="17" t="n"/>
      <ns0:c r="AA767" s="17" t="n"/>
      <ns0:c r="AB767" s="17" t="n"/>
      <ns0:c r="AC767" s="17" t="n"/>
      <ns0:c r="AD767" s="17" t="n"/>
      <ns0:c r="AE767" s="17" t="n"/>
      <ns0:c r="AF767" s="17" t="n"/>
      <ns0:c r="AG767" s="17" t="n"/>
    </ns0:row>
    <ns0:row r="768" ht="24" customHeight="1">
      <ns0:c r="D768" s="17" t="n"/>
      <ns0:c r="E768" s="17" t="n"/>
      <ns0:c r="F768" s="17" t="n"/>
      <ns0:c r="G768" s="17" t="n"/>
      <ns0:c r="H768" s="17" t="n"/>
      <ns0:c r="I768" s="17" t="n"/>
      <ns0:c r="J768" s="17" t="n"/>
      <ns0:c r="K768" s="17" t="n"/>
      <ns0:c r="L768" s="17" t="n"/>
      <ns0:c r="M768" s="17" t="n"/>
      <ns0:c r="N768" s="17" t="n"/>
      <ns0:c r="O768" s="17" t="n"/>
      <ns0:c r="P768" s="17" t="n"/>
      <ns0:c r="Q768" s="17" t="n"/>
      <ns0:c r="R768" s="17" t="n"/>
      <ns0:c r="S768" s="17" t="n"/>
      <ns0:c r="T768" s="17" t="n"/>
      <ns0:c r="U768" s="17" t="n"/>
      <ns0:c r="V768" s="17" t="n"/>
      <ns0:c r="W768" s="17" t="n"/>
      <ns0:c r="X768" s="17" t="n"/>
      <ns0:c r="Y768" s="17" t="n"/>
      <ns0:c r="Z768" s="17" t="n"/>
      <ns0:c r="AA768" s="17" t="n"/>
      <ns0:c r="AB768" s="17" t="n"/>
      <ns0:c r="AC768" s="17" t="n"/>
      <ns0:c r="AD768" s="17" t="n"/>
      <ns0:c r="AE768" s="17" t="n"/>
      <ns0:c r="AF768" s="17" t="n"/>
      <ns0:c r="AG768" s="17" t="n"/>
    </ns0:row>
    <ns0:row r="769" ht="24" customHeight="1">
      <ns0:c r="D769" s="17" t="n"/>
      <ns0:c r="E769" s="17" t="n"/>
      <ns0:c r="F769" s="17" t="n"/>
      <ns0:c r="G769" s="17" t="n"/>
      <ns0:c r="H769" s="17" t="n"/>
      <ns0:c r="I769" s="17" t="n"/>
      <ns0:c r="J769" s="17" t="n"/>
      <ns0:c r="K769" s="17" t="n"/>
      <ns0:c r="L769" s="17" t="n"/>
      <ns0:c r="M769" s="17" t="n"/>
      <ns0:c r="N769" s="17" t="n"/>
      <ns0:c r="O769" s="17" t="n"/>
      <ns0:c r="P769" s="17" t="n"/>
      <ns0:c r="Q769" s="17" t="n"/>
      <ns0:c r="R769" s="17" t="n"/>
      <ns0:c r="S769" s="17" t="n"/>
      <ns0:c r="T769" s="17" t="n"/>
      <ns0:c r="U769" s="17" t="n"/>
      <ns0:c r="V769" s="17" t="n"/>
      <ns0:c r="W769" s="17" t="n"/>
      <ns0:c r="X769" s="17" t="n"/>
      <ns0:c r="Y769" s="17" t="n"/>
      <ns0:c r="Z769" s="17" t="n"/>
      <ns0:c r="AA769" s="17" t="n"/>
      <ns0:c r="AB769" s="17" t="n"/>
      <ns0:c r="AC769" s="17" t="n"/>
      <ns0:c r="AD769" s="17" t="n"/>
      <ns0:c r="AE769" s="17" t="n"/>
      <ns0:c r="AF769" s="17" t="n"/>
      <ns0:c r="AG769" s="17" t="n"/>
    </ns0:row>
    <ns0:row r="770" ht="24" customHeight="1">
      <ns0:c r="D770" s="17" t="n"/>
      <ns0:c r="E770" s="17" t="n"/>
      <ns0:c r="F770" s="17" t="n"/>
      <ns0:c r="G770" s="17" t="n"/>
      <ns0:c r="H770" s="17" t="n"/>
      <ns0:c r="I770" s="17" t="n"/>
      <ns0:c r="J770" s="17" t="n"/>
      <ns0:c r="K770" s="17" t="n"/>
      <ns0:c r="L770" s="17" t="n"/>
      <ns0:c r="M770" s="17" t="n"/>
      <ns0:c r="N770" s="17" t="n"/>
      <ns0:c r="O770" s="17" t="n"/>
      <ns0:c r="P770" s="17" t="n"/>
      <ns0:c r="Q770" s="17" t="n"/>
      <ns0:c r="R770" s="17" t="n"/>
      <ns0:c r="S770" s="17" t="n"/>
      <ns0:c r="T770" s="17" t="n"/>
      <ns0:c r="U770" s="17" t="n"/>
      <ns0:c r="V770" s="17" t="n"/>
      <ns0:c r="W770" s="17" t="n"/>
      <ns0:c r="X770" s="17" t="n"/>
      <ns0:c r="Y770" s="17" t="n"/>
      <ns0:c r="Z770" s="17" t="n"/>
      <ns0:c r="AA770" s="17" t="n"/>
      <ns0:c r="AB770" s="17" t="n"/>
      <ns0:c r="AC770" s="17" t="n"/>
      <ns0:c r="AD770" s="17" t="n"/>
      <ns0:c r="AE770" s="17" t="n"/>
      <ns0:c r="AF770" s="17" t="n"/>
      <ns0:c r="AG770" s="17" t="n"/>
    </ns0:row>
    <ns0:row r="771" ht="24" customHeight="1">
      <ns0:c r="D771" s="17" t="n"/>
      <ns0:c r="E771" s="17" t="n"/>
      <ns0:c r="F771" s="17" t="n"/>
      <ns0:c r="G771" s="17" t="n"/>
      <ns0:c r="H771" s="17" t="n"/>
      <ns0:c r="I771" s="17" t="n"/>
      <ns0:c r="J771" s="17" t="n"/>
      <ns0:c r="K771" s="17" t="n"/>
      <ns0:c r="L771" s="17" t="n"/>
      <ns0:c r="M771" s="17" t="n"/>
      <ns0:c r="N771" s="17" t="n"/>
      <ns0:c r="O771" s="17" t="n"/>
      <ns0:c r="P771" s="17" t="n"/>
      <ns0:c r="Q771" s="17" t="n"/>
      <ns0:c r="R771" s="17" t="n"/>
      <ns0:c r="S771" s="17" t="n"/>
      <ns0:c r="T771" s="17" t="n"/>
      <ns0:c r="U771" s="17" t="n"/>
      <ns0:c r="V771" s="17" t="n"/>
      <ns0:c r="W771" s="17" t="n"/>
      <ns0:c r="X771" s="17" t="n"/>
      <ns0:c r="Y771" s="17" t="n"/>
      <ns0:c r="Z771" s="17" t="n"/>
      <ns0:c r="AA771" s="17" t="n"/>
      <ns0:c r="AB771" s="17" t="n"/>
      <ns0:c r="AC771" s="17" t="n"/>
      <ns0:c r="AD771" s="17" t="n"/>
      <ns0:c r="AE771" s="17" t="n"/>
      <ns0:c r="AF771" s="17" t="n"/>
      <ns0:c r="AG771" s="17" t="n"/>
    </ns0:row>
    <ns0:row r="772" ht="24" customHeight="1">
      <ns0:c r="D772" s="17" t="n"/>
      <ns0:c r="E772" s="17" t="n"/>
      <ns0:c r="F772" s="17" t="n"/>
      <ns0:c r="G772" s="17" t="n"/>
      <ns0:c r="H772" s="17" t="n"/>
      <ns0:c r="I772" s="17" t="n"/>
      <ns0:c r="J772" s="17" t="n"/>
      <ns0:c r="K772" s="17" t="n"/>
      <ns0:c r="L772" s="17" t="n"/>
      <ns0:c r="M772" s="17" t="n"/>
      <ns0:c r="N772" s="17" t="n"/>
      <ns0:c r="O772" s="17" t="n"/>
      <ns0:c r="P772" s="17" t="n"/>
      <ns0:c r="Q772" s="17" t="n"/>
      <ns0:c r="R772" s="17" t="n"/>
      <ns0:c r="S772" s="17" t="n"/>
      <ns0:c r="T772" s="17" t="n"/>
      <ns0:c r="U772" s="17" t="n"/>
      <ns0:c r="V772" s="17" t="n"/>
      <ns0:c r="W772" s="17" t="n"/>
      <ns0:c r="X772" s="17" t="n"/>
      <ns0:c r="Y772" s="17" t="n"/>
      <ns0:c r="Z772" s="17" t="n"/>
      <ns0:c r="AA772" s="17" t="n"/>
      <ns0:c r="AB772" s="17" t="n"/>
      <ns0:c r="AC772" s="17" t="n"/>
      <ns0:c r="AD772" s="17" t="n"/>
      <ns0:c r="AE772" s="17" t="n"/>
      <ns0:c r="AF772" s="17" t="n"/>
      <ns0:c r="AG772" s="17" t="n"/>
    </ns0:row>
    <ns0:row r="773" ht="24" customHeight="1">
      <ns0:c r="D773" s="17" t="n"/>
      <ns0:c r="E773" s="17" t="n"/>
      <ns0:c r="F773" s="17" t="n"/>
      <ns0:c r="G773" s="17" t="n"/>
      <ns0:c r="H773" s="17" t="n"/>
      <ns0:c r="I773" s="17" t="n"/>
      <ns0:c r="J773" s="17" t="n"/>
      <ns0:c r="K773" s="17" t="n"/>
      <ns0:c r="L773" s="17" t="n"/>
      <ns0:c r="M773" s="17" t="n"/>
      <ns0:c r="N773" s="17" t="n"/>
      <ns0:c r="O773" s="17" t="n"/>
      <ns0:c r="P773" s="17" t="n"/>
      <ns0:c r="Q773" s="17" t="n"/>
      <ns0:c r="R773" s="17" t="n"/>
      <ns0:c r="S773" s="17" t="n"/>
      <ns0:c r="T773" s="17" t="n"/>
      <ns0:c r="U773" s="17" t="n"/>
      <ns0:c r="V773" s="17" t="n"/>
      <ns0:c r="W773" s="17" t="n"/>
      <ns0:c r="X773" s="17" t="n"/>
      <ns0:c r="Y773" s="17" t="n"/>
      <ns0:c r="Z773" s="17" t="n"/>
      <ns0:c r="AA773" s="17" t="n"/>
      <ns0:c r="AB773" s="17" t="n"/>
      <ns0:c r="AC773" s="17" t="n"/>
      <ns0:c r="AD773" s="17" t="n"/>
      <ns0:c r="AE773" s="17" t="n"/>
      <ns0:c r="AF773" s="17" t="n"/>
      <ns0:c r="AG773" s="17" t="n"/>
    </ns0:row>
    <ns0:row r="774" ht="24" customHeight="1">
      <ns0:c r="D774" s="17" t="n"/>
      <ns0:c r="E774" s="17" t="n"/>
      <ns0:c r="F774" s="17" t="n"/>
      <ns0:c r="G774" s="17" t="n"/>
      <ns0:c r="H774" s="17" t="n"/>
      <ns0:c r="I774" s="17" t="n"/>
      <ns0:c r="J774" s="17" t="n"/>
      <ns0:c r="K774" s="17" t="n"/>
      <ns0:c r="L774" s="17" t="n"/>
      <ns0:c r="M774" s="17" t="n"/>
      <ns0:c r="N774" s="17" t="n"/>
      <ns0:c r="O774" s="17" t="n"/>
      <ns0:c r="P774" s="17" t="n"/>
      <ns0:c r="Q774" s="17" t="n"/>
      <ns0:c r="R774" s="17" t="n"/>
      <ns0:c r="S774" s="17" t="n"/>
      <ns0:c r="T774" s="17" t="n"/>
      <ns0:c r="U774" s="17" t="n"/>
      <ns0:c r="V774" s="17" t="n"/>
      <ns0:c r="W774" s="17" t="n"/>
      <ns0:c r="X774" s="17" t="n"/>
      <ns0:c r="Y774" s="17" t="n"/>
      <ns0:c r="Z774" s="17" t="n"/>
      <ns0:c r="AA774" s="17" t="n"/>
      <ns0:c r="AB774" s="17" t="n"/>
      <ns0:c r="AC774" s="17" t="n"/>
      <ns0:c r="AD774" s="17" t="n"/>
      <ns0:c r="AE774" s="17" t="n"/>
      <ns0:c r="AF774" s="17" t="n"/>
      <ns0:c r="AG774" s="17" t="n"/>
    </ns0:row>
    <ns0:row r="775" ht="24" customHeight="1">
      <ns0:c r="D775" s="17" t="n"/>
      <ns0:c r="E775" s="17" t="n"/>
      <ns0:c r="F775" s="17" t="n"/>
      <ns0:c r="G775" s="17" t="n"/>
      <ns0:c r="H775" s="17" t="n"/>
      <ns0:c r="I775" s="17" t="n"/>
      <ns0:c r="J775" s="17" t="n"/>
      <ns0:c r="K775" s="17" t="n"/>
      <ns0:c r="L775" s="17" t="n"/>
      <ns0:c r="M775" s="17" t="n"/>
      <ns0:c r="N775" s="17" t="n"/>
      <ns0:c r="O775" s="17" t="n"/>
      <ns0:c r="P775" s="17" t="n"/>
      <ns0:c r="Q775" s="17" t="n"/>
      <ns0:c r="R775" s="17" t="n"/>
      <ns0:c r="S775" s="17" t="n"/>
      <ns0:c r="T775" s="17" t="n"/>
      <ns0:c r="U775" s="17" t="n"/>
      <ns0:c r="V775" s="17" t="n"/>
      <ns0:c r="W775" s="17" t="n"/>
      <ns0:c r="X775" s="17" t="n"/>
      <ns0:c r="Y775" s="17" t="n"/>
      <ns0:c r="Z775" s="17" t="n"/>
      <ns0:c r="AA775" s="17" t="n"/>
      <ns0:c r="AB775" s="17" t="n"/>
      <ns0:c r="AC775" s="17" t="n"/>
      <ns0:c r="AD775" s="17" t="n"/>
      <ns0:c r="AE775" s="17" t="n"/>
      <ns0:c r="AF775" s="17" t="n"/>
      <ns0:c r="AG775" s="17" t="n"/>
    </ns0:row>
    <ns0:row r="776" ht="24" customHeight="1">
      <ns0:c r="D776" s="17" t="n"/>
      <ns0:c r="E776" s="17" t="n"/>
      <ns0:c r="F776" s="17" t="n"/>
      <ns0:c r="G776" s="17" t="n"/>
      <ns0:c r="H776" s="17" t="n"/>
      <ns0:c r="I776" s="17" t="n"/>
      <ns0:c r="J776" s="17" t="n"/>
      <ns0:c r="K776" s="17" t="n"/>
      <ns0:c r="L776" s="17" t="n"/>
      <ns0:c r="M776" s="17" t="n"/>
      <ns0:c r="N776" s="17" t="n"/>
      <ns0:c r="O776" s="17" t="n"/>
      <ns0:c r="P776" s="17" t="n"/>
      <ns0:c r="Q776" s="17" t="n"/>
      <ns0:c r="R776" s="17" t="n"/>
      <ns0:c r="S776" s="17" t="n"/>
      <ns0:c r="T776" s="17" t="n"/>
      <ns0:c r="U776" s="17" t="n"/>
      <ns0:c r="V776" s="17" t="n"/>
      <ns0:c r="W776" s="17" t="n"/>
      <ns0:c r="X776" s="17" t="n"/>
      <ns0:c r="Y776" s="17" t="n"/>
      <ns0:c r="Z776" s="17" t="n"/>
      <ns0:c r="AA776" s="17" t="n"/>
      <ns0:c r="AB776" s="17" t="n"/>
      <ns0:c r="AC776" s="17" t="n"/>
      <ns0:c r="AD776" s="17" t="n"/>
      <ns0:c r="AE776" s="17" t="n"/>
      <ns0:c r="AF776" s="17" t="n"/>
      <ns0:c r="AG776" s="17" t="n"/>
    </ns0:row>
    <ns0:row r="777" ht="24" customHeight="1">
      <ns0:c r="D777" s="17" t="n"/>
      <ns0:c r="E777" s="17" t="n"/>
      <ns0:c r="F777" s="17" t="n"/>
      <ns0:c r="G777" s="17" t="n"/>
      <ns0:c r="H777" s="17" t="n"/>
      <ns0:c r="I777" s="17" t="n"/>
      <ns0:c r="J777" s="17" t="n"/>
      <ns0:c r="K777" s="17" t="n"/>
      <ns0:c r="L777" s="17" t="n"/>
      <ns0:c r="M777" s="17" t="n"/>
      <ns0:c r="N777" s="17" t="n"/>
      <ns0:c r="O777" s="17" t="n"/>
      <ns0:c r="P777" s="17" t="n"/>
      <ns0:c r="Q777" s="17" t="n"/>
      <ns0:c r="R777" s="17" t="n"/>
      <ns0:c r="S777" s="17" t="n"/>
      <ns0:c r="T777" s="17" t="n"/>
      <ns0:c r="U777" s="17" t="n"/>
      <ns0:c r="V777" s="17" t="n"/>
      <ns0:c r="W777" s="17" t="n"/>
      <ns0:c r="X777" s="17" t="n"/>
      <ns0:c r="Y777" s="17" t="n"/>
      <ns0:c r="Z777" s="17" t="n"/>
      <ns0:c r="AA777" s="17" t="n"/>
      <ns0:c r="AB777" s="17" t="n"/>
      <ns0:c r="AC777" s="17" t="n"/>
      <ns0:c r="AD777" s="17" t="n"/>
      <ns0:c r="AE777" s="17" t="n"/>
      <ns0:c r="AF777" s="17" t="n"/>
      <ns0:c r="AG777" s="17" t="n"/>
    </ns0:row>
    <ns0:row r="778" ht="24" customHeight="1">
      <ns0:c r="D778" s="17" t="n"/>
      <ns0:c r="E778" s="17" t="n"/>
      <ns0:c r="F778" s="17" t="n"/>
      <ns0:c r="G778" s="17" t="n"/>
      <ns0:c r="H778" s="17" t="n"/>
      <ns0:c r="I778" s="17" t="n"/>
      <ns0:c r="J778" s="17" t="n"/>
      <ns0:c r="K778" s="17" t="n"/>
      <ns0:c r="L778" s="17" t="n"/>
      <ns0:c r="M778" s="17" t="n"/>
      <ns0:c r="N778" s="17" t="n"/>
      <ns0:c r="O778" s="17" t="n"/>
      <ns0:c r="P778" s="17" t="n"/>
      <ns0:c r="Q778" s="17" t="n"/>
      <ns0:c r="R778" s="17" t="n"/>
      <ns0:c r="S778" s="17" t="n"/>
      <ns0:c r="T778" s="17" t="n"/>
      <ns0:c r="U778" s="17" t="n"/>
      <ns0:c r="V778" s="17" t="n"/>
      <ns0:c r="W778" s="17" t="n"/>
      <ns0:c r="X778" s="17" t="n"/>
      <ns0:c r="Y778" s="17" t="n"/>
      <ns0:c r="Z778" s="17" t="n"/>
      <ns0:c r="AA778" s="17" t="n"/>
      <ns0:c r="AB778" s="17" t="n"/>
      <ns0:c r="AC778" s="17" t="n"/>
      <ns0:c r="AD778" s="17" t="n"/>
      <ns0:c r="AE778" s="17" t="n"/>
      <ns0:c r="AF778" s="17" t="n"/>
      <ns0:c r="AG778" s="17" t="n"/>
    </ns0:row>
    <ns0:row r="779" ht="24" customHeight="1">
      <ns0:c r="D779" s="17" t="n"/>
      <ns0:c r="E779" s="17" t="n"/>
      <ns0:c r="F779" s="17" t="n"/>
      <ns0:c r="G779" s="17" t="n"/>
      <ns0:c r="H779" s="17" t="n"/>
      <ns0:c r="I779" s="17" t="n"/>
      <ns0:c r="J779" s="17" t="n"/>
      <ns0:c r="K779" s="17" t="n"/>
      <ns0:c r="L779" s="17" t="n"/>
      <ns0:c r="M779" s="17" t="n"/>
      <ns0:c r="N779" s="17" t="n"/>
      <ns0:c r="O779" s="17" t="n"/>
      <ns0:c r="P779" s="17" t="n"/>
      <ns0:c r="Q779" s="17" t="n"/>
      <ns0:c r="R779" s="17" t="n"/>
      <ns0:c r="S779" s="17" t="n"/>
      <ns0:c r="T779" s="17" t="n"/>
      <ns0:c r="U779" s="17" t="n"/>
      <ns0:c r="V779" s="17" t="n"/>
      <ns0:c r="W779" s="17" t="n"/>
      <ns0:c r="X779" s="17" t="n"/>
      <ns0:c r="Y779" s="17" t="n"/>
      <ns0:c r="Z779" s="17" t="n"/>
      <ns0:c r="AA779" s="17" t="n"/>
      <ns0:c r="AB779" s="17" t="n"/>
      <ns0:c r="AC779" s="17" t="n"/>
      <ns0:c r="AD779" s="17" t="n"/>
      <ns0:c r="AE779" s="17" t="n"/>
      <ns0:c r="AF779" s="17" t="n"/>
      <ns0:c r="AG779" s="17" t="n"/>
    </ns0:row>
    <ns0:row r="780" ht="24" customHeight="1">
      <ns0:c r="D780" s="17" t="n"/>
      <ns0:c r="E780" s="17" t="n"/>
      <ns0:c r="F780" s="17" t="n"/>
      <ns0:c r="G780" s="17" t="n"/>
      <ns0:c r="H780" s="17" t="n"/>
      <ns0:c r="I780" s="17" t="n"/>
      <ns0:c r="J780" s="17" t="n"/>
      <ns0:c r="K780" s="17" t="n"/>
      <ns0:c r="L780" s="17" t="n"/>
      <ns0:c r="M780" s="17" t="n"/>
      <ns0:c r="N780" s="17" t="n"/>
      <ns0:c r="O780" s="17" t="n"/>
      <ns0:c r="P780" s="17" t="n"/>
      <ns0:c r="Q780" s="17" t="n"/>
      <ns0:c r="R780" s="17" t="n"/>
      <ns0:c r="S780" s="17" t="n"/>
      <ns0:c r="T780" s="17" t="n"/>
      <ns0:c r="U780" s="17" t="n"/>
      <ns0:c r="V780" s="17" t="n"/>
      <ns0:c r="W780" s="17" t="n"/>
      <ns0:c r="X780" s="17" t="n"/>
      <ns0:c r="Y780" s="17" t="n"/>
      <ns0:c r="Z780" s="17" t="n"/>
      <ns0:c r="AA780" s="17" t="n"/>
      <ns0:c r="AB780" s="17" t="n"/>
      <ns0:c r="AC780" s="17" t="n"/>
      <ns0:c r="AD780" s="17" t="n"/>
      <ns0:c r="AE780" s="17" t="n"/>
      <ns0:c r="AF780" s="17" t="n"/>
      <ns0:c r="AG780" s="17" t="n"/>
    </ns0:row>
    <ns0:row r="781" ht="24" customHeight="1">
      <ns0:c r="D781" s="17" t="n"/>
      <ns0:c r="E781" s="17" t="n"/>
      <ns0:c r="F781" s="17" t="n"/>
      <ns0:c r="G781" s="17" t="n"/>
      <ns0:c r="H781" s="17" t="n"/>
      <ns0:c r="I781" s="17" t="n"/>
      <ns0:c r="J781" s="17" t="n"/>
      <ns0:c r="K781" s="17" t="n"/>
      <ns0:c r="L781" s="17" t="n"/>
      <ns0:c r="M781" s="17" t="n"/>
      <ns0:c r="N781" s="17" t="n"/>
      <ns0:c r="O781" s="17" t="n"/>
      <ns0:c r="P781" s="17" t="n"/>
      <ns0:c r="Q781" s="17" t="n"/>
      <ns0:c r="R781" s="17" t="n"/>
      <ns0:c r="S781" s="17" t="n"/>
      <ns0:c r="T781" s="17" t="n"/>
      <ns0:c r="U781" s="17" t="n"/>
      <ns0:c r="V781" s="17" t="n"/>
      <ns0:c r="W781" s="17" t="n"/>
      <ns0:c r="X781" s="17" t="n"/>
      <ns0:c r="Y781" s="17" t="n"/>
      <ns0:c r="Z781" s="17" t="n"/>
      <ns0:c r="AA781" s="17" t="n"/>
      <ns0:c r="AB781" s="17" t="n"/>
      <ns0:c r="AC781" s="17" t="n"/>
      <ns0:c r="AD781" s="17" t="n"/>
      <ns0:c r="AE781" s="17" t="n"/>
      <ns0:c r="AF781" s="17" t="n"/>
      <ns0:c r="AG781" s="17" t="n"/>
    </ns0:row>
    <ns0:row r="782" ht="24" customHeight="1">
      <ns0:c r="D782" s="17" t="n"/>
      <ns0:c r="E782" s="17" t="n"/>
      <ns0:c r="F782" s="17" t="n"/>
      <ns0:c r="G782" s="17" t="n"/>
      <ns0:c r="H782" s="17" t="n"/>
      <ns0:c r="I782" s="17" t="n"/>
      <ns0:c r="J782" s="17" t="n"/>
      <ns0:c r="K782" s="17" t="n"/>
      <ns0:c r="L782" s="17" t="n"/>
      <ns0:c r="M782" s="17" t="n"/>
      <ns0:c r="N782" s="17" t="n"/>
      <ns0:c r="O782" s="17" t="n"/>
      <ns0:c r="P782" s="17" t="n"/>
      <ns0:c r="Q782" s="17" t="n"/>
      <ns0:c r="R782" s="17" t="n"/>
      <ns0:c r="S782" s="17" t="n"/>
      <ns0:c r="T782" s="17" t="n"/>
      <ns0:c r="U782" s="17" t="n"/>
      <ns0:c r="V782" s="17" t="n"/>
      <ns0:c r="W782" s="17" t="n"/>
      <ns0:c r="X782" s="17" t="n"/>
      <ns0:c r="Y782" s="17" t="n"/>
      <ns0:c r="Z782" s="17" t="n"/>
      <ns0:c r="AA782" s="17" t="n"/>
      <ns0:c r="AB782" s="17" t="n"/>
      <ns0:c r="AC782" s="17" t="n"/>
      <ns0:c r="AD782" s="17" t="n"/>
      <ns0:c r="AE782" s="17" t="n"/>
      <ns0:c r="AF782" s="17" t="n"/>
      <ns0:c r="AG782" s="17" t="n"/>
    </ns0:row>
    <ns0:row r="783" ht="24" customHeight="1">
      <ns0:c r="D783" s="17" t="n"/>
      <ns0:c r="E783" s="17" t="n"/>
      <ns0:c r="F783" s="17" t="n"/>
      <ns0:c r="G783" s="17" t="n"/>
      <ns0:c r="H783" s="17" t="n"/>
      <ns0:c r="I783" s="17" t="n"/>
      <ns0:c r="J783" s="17" t="n"/>
      <ns0:c r="K783" s="17" t="n"/>
      <ns0:c r="L783" s="17" t="n"/>
      <ns0:c r="M783" s="17" t="n"/>
      <ns0:c r="N783" s="17" t="n"/>
      <ns0:c r="O783" s="17" t="n"/>
      <ns0:c r="P783" s="17" t="n"/>
      <ns0:c r="Q783" s="17" t="n"/>
      <ns0:c r="R783" s="17" t="n"/>
      <ns0:c r="S783" s="17" t="n"/>
      <ns0:c r="T783" s="17" t="n"/>
      <ns0:c r="U783" s="17" t="n"/>
      <ns0:c r="V783" s="17" t="n"/>
      <ns0:c r="W783" s="17" t="n"/>
      <ns0:c r="X783" s="17" t="n"/>
      <ns0:c r="Y783" s="17" t="n"/>
      <ns0:c r="Z783" s="17" t="n"/>
      <ns0:c r="AA783" s="17" t="n"/>
      <ns0:c r="AB783" s="17" t="n"/>
      <ns0:c r="AC783" s="17" t="n"/>
      <ns0:c r="AD783" s="17" t="n"/>
      <ns0:c r="AE783" s="17" t="n"/>
      <ns0:c r="AF783" s="17" t="n"/>
      <ns0:c r="AG783" s="17" t="n"/>
    </ns0:row>
    <ns0:row r="784" ht="24" customHeight="1">
      <ns0:c r="D784" s="17" t="n"/>
      <ns0:c r="E784" s="17" t="n"/>
      <ns0:c r="F784" s="17" t="n"/>
      <ns0:c r="G784" s="17" t="n"/>
      <ns0:c r="H784" s="17" t="n"/>
      <ns0:c r="I784" s="17" t="n"/>
      <ns0:c r="J784" s="17" t="n"/>
      <ns0:c r="K784" s="17" t="n"/>
      <ns0:c r="L784" s="17" t="n"/>
      <ns0:c r="M784" s="17" t="n"/>
      <ns0:c r="N784" s="17" t="n"/>
      <ns0:c r="O784" s="17" t="n"/>
      <ns0:c r="P784" s="17" t="n"/>
      <ns0:c r="Q784" s="17" t="n"/>
      <ns0:c r="R784" s="17" t="n"/>
      <ns0:c r="S784" s="17" t="n"/>
      <ns0:c r="T784" s="17" t="n"/>
      <ns0:c r="U784" s="17" t="n"/>
      <ns0:c r="V784" s="17" t="n"/>
      <ns0:c r="W784" s="17" t="n"/>
      <ns0:c r="X784" s="17" t="n"/>
      <ns0:c r="Y784" s="17" t="n"/>
      <ns0:c r="Z784" s="17" t="n"/>
      <ns0:c r="AA784" s="17" t="n"/>
      <ns0:c r="AB784" s="17" t="n"/>
      <ns0:c r="AC784" s="17" t="n"/>
      <ns0:c r="AD784" s="17" t="n"/>
      <ns0:c r="AE784" s="17" t="n"/>
      <ns0:c r="AF784" s="17" t="n"/>
      <ns0:c r="AG784" s="17" t="n"/>
    </ns0:row>
    <ns0:row r="785" ht="24" customHeight="1">
      <ns0:c r="D785" s="17" t="n"/>
      <ns0:c r="E785" s="17" t="n"/>
      <ns0:c r="F785" s="17" t="n"/>
      <ns0:c r="G785" s="17" t="n"/>
      <ns0:c r="H785" s="17" t="n"/>
      <ns0:c r="I785" s="17" t="n"/>
      <ns0:c r="J785" s="17" t="n"/>
      <ns0:c r="K785" s="17" t="n"/>
      <ns0:c r="L785" s="17" t="n"/>
      <ns0:c r="M785" s="17" t="n"/>
      <ns0:c r="N785" s="17" t="n"/>
      <ns0:c r="O785" s="17" t="n"/>
      <ns0:c r="P785" s="17" t="n"/>
      <ns0:c r="Q785" s="17" t="n"/>
      <ns0:c r="R785" s="17" t="n"/>
      <ns0:c r="S785" s="17" t="n"/>
      <ns0:c r="T785" s="17" t="n"/>
      <ns0:c r="U785" s="17" t="n"/>
      <ns0:c r="V785" s="17" t="n"/>
      <ns0:c r="W785" s="17" t="n"/>
      <ns0:c r="X785" s="17" t="n"/>
      <ns0:c r="Y785" s="17" t="n"/>
      <ns0:c r="Z785" s="17" t="n"/>
      <ns0:c r="AA785" s="17" t="n"/>
      <ns0:c r="AB785" s="17" t="n"/>
      <ns0:c r="AC785" s="17" t="n"/>
      <ns0:c r="AD785" s="17" t="n"/>
      <ns0:c r="AE785" s="17" t="n"/>
      <ns0:c r="AF785" s="17" t="n"/>
      <ns0:c r="AG785" s="17" t="n"/>
    </ns0:row>
    <ns0:row r="786" ht="24" customHeight="1">
      <ns0:c r="D786" s="17" t="n"/>
      <ns0:c r="E786" s="17" t="n"/>
      <ns0:c r="F786" s="17" t="n"/>
      <ns0:c r="G786" s="17" t="n"/>
      <ns0:c r="H786" s="17" t="n"/>
      <ns0:c r="I786" s="17" t="n"/>
      <ns0:c r="J786" s="17" t="n"/>
      <ns0:c r="K786" s="17" t="n"/>
      <ns0:c r="L786" s="17" t="n"/>
      <ns0:c r="M786" s="17" t="n"/>
      <ns0:c r="N786" s="17" t="n"/>
      <ns0:c r="O786" s="17" t="n"/>
      <ns0:c r="P786" s="17" t="n"/>
      <ns0:c r="Q786" s="17" t="n"/>
      <ns0:c r="R786" s="17" t="n"/>
      <ns0:c r="S786" s="17" t="n"/>
      <ns0:c r="T786" s="17" t="n"/>
      <ns0:c r="U786" s="17" t="n"/>
      <ns0:c r="V786" s="17" t="n"/>
      <ns0:c r="W786" s="17" t="n"/>
      <ns0:c r="X786" s="17" t="n"/>
      <ns0:c r="Y786" s="17" t="n"/>
      <ns0:c r="Z786" s="17" t="n"/>
      <ns0:c r="AA786" s="17" t="n"/>
      <ns0:c r="AB786" s="17" t="n"/>
      <ns0:c r="AC786" s="17" t="n"/>
      <ns0:c r="AD786" s="17" t="n"/>
      <ns0:c r="AE786" s="17" t="n"/>
      <ns0:c r="AF786" s="17" t="n"/>
      <ns0:c r="AG786" s="17" t="n"/>
    </ns0:row>
    <ns0:row r="787" ht="24" customHeight="1">
      <ns0:c r="D787" s="17" t="n"/>
      <ns0:c r="E787" s="17" t="n"/>
      <ns0:c r="F787" s="17" t="n"/>
      <ns0:c r="G787" s="17" t="n"/>
      <ns0:c r="H787" s="17" t="n"/>
      <ns0:c r="I787" s="17" t="n"/>
      <ns0:c r="J787" s="17" t="n"/>
      <ns0:c r="K787" s="17" t="n"/>
      <ns0:c r="L787" s="17" t="n"/>
      <ns0:c r="M787" s="17" t="n"/>
      <ns0:c r="N787" s="17" t="n"/>
      <ns0:c r="O787" s="17" t="n"/>
      <ns0:c r="P787" s="17" t="n"/>
      <ns0:c r="Q787" s="17" t="n"/>
      <ns0:c r="R787" s="17" t="n"/>
      <ns0:c r="S787" s="17" t="n"/>
      <ns0:c r="T787" s="17" t="n"/>
      <ns0:c r="U787" s="17" t="n"/>
      <ns0:c r="V787" s="17" t="n"/>
      <ns0:c r="W787" s="17" t="n"/>
      <ns0:c r="X787" s="17" t="n"/>
      <ns0:c r="Y787" s="17" t="n"/>
      <ns0:c r="Z787" s="17" t="n"/>
      <ns0:c r="AA787" s="17" t="n"/>
      <ns0:c r="AB787" s="17" t="n"/>
      <ns0:c r="AC787" s="17" t="n"/>
      <ns0:c r="AD787" s="17" t="n"/>
      <ns0:c r="AE787" s="17" t="n"/>
      <ns0:c r="AF787" s="17" t="n"/>
      <ns0:c r="AG787" s="17" t="n"/>
    </ns0:row>
    <ns0:row r="788" ht="24" customHeight="1">
      <ns0:c r="D788" s="17" t="n"/>
      <ns0:c r="E788" s="17" t="n"/>
      <ns0:c r="F788" s="17" t="n"/>
      <ns0:c r="G788" s="17" t="n"/>
      <ns0:c r="H788" s="17" t="n"/>
      <ns0:c r="I788" s="17" t="n"/>
      <ns0:c r="J788" s="17" t="n"/>
      <ns0:c r="K788" s="17" t="n"/>
      <ns0:c r="L788" s="17" t="n"/>
      <ns0:c r="M788" s="17" t="n"/>
      <ns0:c r="N788" s="17" t="n"/>
      <ns0:c r="O788" s="17" t="n"/>
      <ns0:c r="P788" s="17" t="n"/>
      <ns0:c r="Q788" s="17" t="n"/>
      <ns0:c r="R788" s="17" t="n"/>
      <ns0:c r="S788" s="17" t="n"/>
      <ns0:c r="T788" s="17" t="n"/>
      <ns0:c r="U788" s="17" t="n"/>
      <ns0:c r="V788" s="17" t="n"/>
      <ns0:c r="W788" s="17" t="n"/>
      <ns0:c r="X788" s="17" t="n"/>
      <ns0:c r="Y788" s="17" t="n"/>
      <ns0:c r="Z788" s="17" t="n"/>
      <ns0:c r="AA788" s="17" t="n"/>
      <ns0:c r="AB788" s="17" t="n"/>
      <ns0:c r="AC788" s="17" t="n"/>
      <ns0:c r="AD788" s="17" t="n"/>
      <ns0:c r="AE788" s="17" t="n"/>
      <ns0:c r="AF788" s="17" t="n"/>
      <ns0:c r="AG788" s="17" t="n"/>
    </ns0:row>
    <ns0:row r="789" ht="24" customHeight="1">
      <ns0:c r="D789" s="17" t="n"/>
      <ns0:c r="E789" s="17" t="n"/>
      <ns0:c r="F789" s="17" t="n"/>
      <ns0:c r="G789" s="17" t="n"/>
      <ns0:c r="H789" s="17" t="n"/>
      <ns0:c r="I789" s="17" t="n"/>
      <ns0:c r="J789" s="17" t="n"/>
      <ns0:c r="K789" s="17" t="n"/>
      <ns0:c r="L789" s="17" t="n"/>
      <ns0:c r="M789" s="17" t="n"/>
      <ns0:c r="N789" s="17" t="n"/>
      <ns0:c r="O789" s="17" t="n"/>
      <ns0:c r="P789" s="17" t="n"/>
      <ns0:c r="Q789" s="17" t="n"/>
      <ns0:c r="R789" s="17" t="n"/>
      <ns0:c r="S789" s="17" t="n"/>
      <ns0:c r="T789" s="17" t="n"/>
      <ns0:c r="U789" s="17" t="n"/>
      <ns0:c r="V789" s="17" t="n"/>
      <ns0:c r="W789" s="17" t="n"/>
      <ns0:c r="X789" s="17" t="n"/>
      <ns0:c r="Y789" s="17" t="n"/>
      <ns0:c r="Z789" s="17" t="n"/>
      <ns0:c r="AA789" s="17" t="n"/>
      <ns0:c r="AB789" s="17" t="n"/>
      <ns0:c r="AC789" s="17" t="n"/>
      <ns0:c r="AD789" s="17" t="n"/>
      <ns0:c r="AE789" s="17" t="n"/>
      <ns0:c r="AF789" s="17" t="n"/>
      <ns0:c r="AG789" s="17" t="n"/>
    </ns0:row>
    <ns0:row r="790" ht="24" customHeight="1">
      <ns0:c r="D790" s="17" t="n"/>
      <ns0:c r="E790" s="17" t="n"/>
      <ns0:c r="F790" s="17" t="n"/>
      <ns0:c r="G790" s="17" t="n"/>
      <ns0:c r="H790" s="17" t="n"/>
      <ns0:c r="I790" s="17" t="n"/>
      <ns0:c r="J790" s="17" t="n"/>
      <ns0:c r="K790" s="17" t="n"/>
      <ns0:c r="L790" s="17" t="n"/>
      <ns0:c r="M790" s="17" t="n"/>
      <ns0:c r="N790" s="17" t="n"/>
      <ns0:c r="O790" s="17" t="n"/>
      <ns0:c r="P790" s="17" t="n"/>
      <ns0:c r="Q790" s="17" t="n"/>
      <ns0:c r="R790" s="17" t="n"/>
      <ns0:c r="S790" s="17" t="n"/>
      <ns0:c r="T790" s="17" t="n"/>
      <ns0:c r="U790" s="17" t="n"/>
      <ns0:c r="V790" s="17" t="n"/>
      <ns0:c r="W790" s="17" t="n"/>
      <ns0:c r="X790" s="17" t="n"/>
      <ns0:c r="Y790" s="17" t="n"/>
      <ns0:c r="Z790" s="17" t="n"/>
      <ns0:c r="AA790" s="17" t="n"/>
      <ns0:c r="AB790" s="17" t="n"/>
      <ns0:c r="AC790" s="17" t="n"/>
      <ns0:c r="AD790" s="17" t="n"/>
      <ns0:c r="AE790" s="17" t="n"/>
      <ns0:c r="AF790" s="17" t="n"/>
      <ns0:c r="AG790" s="17" t="n"/>
    </ns0:row>
    <ns0:row r="791" ht="24" customHeight="1">
      <ns0:c r="D791" s="17" t="n"/>
      <ns0:c r="E791" s="17" t="n"/>
      <ns0:c r="F791" s="17" t="n"/>
      <ns0:c r="G791" s="17" t="n"/>
      <ns0:c r="H791" s="17" t="n"/>
      <ns0:c r="I791" s="17" t="n"/>
      <ns0:c r="J791" s="17" t="n"/>
      <ns0:c r="K791" s="17" t="n"/>
      <ns0:c r="L791" s="17" t="n"/>
      <ns0:c r="M791" s="17" t="n"/>
      <ns0:c r="N791" s="17" t="n"/>
      <ns0:c r="O791" s="17" t="n"/>
      <ns0:c r="P791" s="17" t="n"/>
      <ns0:c r="Q791" s="17" t="n"/>
      <ns0:c r="R791" s="17" t="n"/>
      <ns0:c r="S791" s="17" t="n"/>
      <ns0:c r="T791" s="17" t="n"/>
      <ns0:c r="U791" s="17" t="n"/>
      <ns0:c r="V791" s="17" t="n"/>
      <ns0:c r="W791" s="17" t="n"/>
      <ns0:c r="X791" s="17" t="n"/>
      <ns0:c r="Y791" s="17" t="n"/>
      <ns0:c r="Z791" s="17" t="n"/>
      <ns0:c r="AA791" s="17" t="n"/>
      <ns0:c r="AB791" s="17" t="n"/>
      <ns0:c r="AC791" s="17" t="n"/>
      <ns0:c r="AD791" s="17" t="n"/>
      <ns0:c r="AE791" s="17" t="n"/>
      <ns0:c r="AF791" s="17" t="n"/>
      <ns0:c r="AG791" s="17" t="n"/>
    </ns0:row>
    <ns0:row r="792" ht="24" customHeight="1">
      <ns0:c r="D792" s="17" t="n"/>
      <ns0:c r="E792" s="17" t="n"/>
      <ns0:c r="F792" s="17" t="n"/>
      <ns0:c r="G792" s="17" t="n"/>
      <ns0:c r="H792" s="17" t="n"/>
      <ns0:c r="I792" s="17" t="n"/>
      <ns0:c r="J792" s="17" t="n"/>
      <ns0:c r="K792" s="17" t="n"/>
      <ns0:c r="L792" s="17" t="n"/>
      <ns0:c r="M792" s="17" t="n"/>
      <ns0:c r="N792" s="17" t="n"/>
      <ns0:c r="O792" s="17" t="n"/>
      <ns0:c r="P792" s="17" t="n"/>
      <ns0:c r="Q792" s="17" t="n"/>
      <ns0:c r="R792" s="17" t="n"/>
      <ns0:c r="S792" s="17" t="n"/>
      <ns0:c r="T792" s="17" t="n"/>
      <ns0:c r="U792" s="17" t="n"/>
      <ns0:c r="V792" s="17" t="n"/>
      <ns0:c r="W792" s="17" t="n"/>
      <ns0:c r="X792" s="17" t="n"/>
      <ns0:c r="Y792" s="17" t="n"/>
      <ns0:c r="Z792" s="17" t="n"/>
      <ns0:c r="AA792" s="17" t="n"/>
      <ns0:c r="AB792" s="17" t="n"/>
      <ns0:c r="AC792" s="17" t="n"/>
      <ns0:c r="AD792" s="17" t="n"/>
      <ns0:c r="AE792" s="17" t="n"/>
      <ns0:c r="AF792" s="17" t="n"/>
      <ns0:c r="AG792" s="17" t="n"/>
    </ns0:row>
    <ns0:row r="793" ht="24" customHeight="1">
      <ns0:c r="D793" s="17" t="n"/>
      <ns0:c r="E793" s="17" t="n"/>
      <ns0:c r="F793" s="17" t="n"/>
      <ns0:c r="G793" s="17" t="n"/>
      <ns0:c r="H793" s="17" t="n"/>
      <ns0:c r="I793" s="17" t="n"/>
      <ns0:c r="J793" s="17" t="n"/>
      <ns0:c r="K793" s="17" t="n"/>
      <ns0:c r="L793" s="17" t="n"/>
      <ns0:c r="M793" s="17" t="n"/>
      <ns0:c r="N793" s="17" t="n"/>
      <ns0:c r="O793" s="17" t="n"/>
      <ns0:c r="P793" s="17" t="n"/>
      <ns0:c r="Q793" s="17" t="n"/>
      <ns0:c r="R793" s="17" t="n"/>
      <ns0:c r="S793" s="17" t="n"/>
      <ns0:c r="T793" s="17" t="n"/>
      <ns0:c r="U793" s="17" t="n"/>
      <ns0:c r="V793" s="17" t="n"/>
      <ns0:c r="W793" s="17" t="n"/>
      <ns0:c r="X793" s="17" t="n"/>
      <ns0:c r="Y793" s="17" t="n"/>
      <ns0:c r="Z793" s="17" t="n"/>
      <ns0:c r="AA793" s="17" t="n"/>
      <ns0:c r="AB793" s="17" t="n"/>
      <ns0:c r="AC793" s="17" t="n"/>
      <ns0:c r="AD793" s="17" t="n"/>
      <ns0:c r="AE793" s="17" t="n"/>
      <ns0:c r="AF793" s="17" t="n"/>
      <ns0:c r="AG793" s="17" t="n"/>
    </ns0:row>
    <ns0:row r="794" ht="24" customHeight="1">
      <ns0:c r="D794" s="17" t="n"/>
      <ns0:c r="E794" s="17" t="n"/>
      <ns0:c r="F794" s="17" t="n"/>
      <ns0:c r="G794" s="17" t="n"/>
      <ns0:c r="H794" s="17" t="n"/>
      <ns0:c r="I794" s="17" t="n"/>
      <ns0:c r="J794" s="17" t="n"/>
      <ns0:c r="K794" s="17" t="n"/>
      <ns0:c r="L794" s="17" t="n"/>
      <ns0:c r="M794" s="17" t="n"/>
      <ns0:c r="N794" s="17" t="n"/>
      <ns0:c r="O794" s="17" t="n"/>
      <ns0:c r="P794" s="17" t="n"/>
      <ns0:c r="Q794" s="17" t="n"/>
      <ns0:c r="R794" s="17" t="n"/>
      <ns0:c r="S794" s="17" t="n"/>
      <ns0:c r="T794" s="17" t="n"/>
      <ns0:c r="U794" s="17" t="n"/>
      <ns0:c r="V794" s="17" t="n"/>
      <ns0:c r="W794" s="17" t="n"/>
      <ns0:c r="X794" s="17" t="n"/>
      <ns0:c r="Y794" s="17" t="n"/>
      <ns0:c r="Z794" s="17" t="n"/>
      <ns0:c r="AA794" s="17" t="n"/>
      <ns0:c r="AB794" s="17" t="n"/>
      <ns0:c r="AC794" s="17" t="n"/>
      <ns0:c r="AD794" s="17" t="n"/>
      <ns0:c r="AE794" s="17" t="n"/>
      <ns0:c r="AF794" s="17" t="n"/>
      <ns0:c r="AG794" s="17" t="n"/>
    </ns0:row>
    <ns0:row r="795" ht="24" customHeight="1">
      <ns0:c r="D795" s="17" t="n"/>
      <ns0:c r="E795" s="17" t="n"/>
      <ns0:c r="F795" s="17" t="n"/>
      <ns0:c r="G795" s="17" t="n"/>
      <ns0:c r="H795" s="17" t="n"/>
      <ns0:c r="I795" s="17" t="n"/>
      <ns0:c r="J795" s="17" t="n"/>
      <ns0:c r="K795" s="17" t="n"/>
      <ns0:c r="L795" s="17" t="n"/>
      <ns0:c r="M795" s="17" t="n"/>
      <ns0:c r="N795" s="17" t="n"/>
      <ns0:c r="O795" s="17" t="n"/>
      <ns0:c r="P795" s="17" t="n"/>
      <ns0:c r="Q795" s="17" t="n"/>
      <ns0:c r="R795" s="17" t="n"/>
      <ns0:c r="S795" s="17" t="n"/>
      <ns0:c r="T795" s="17" t="n"/>
      <ns0:c r="U795" s="17" t="n"/>
      <ns0:c r="V795" s="17" t="n"/>
      <ns0:c r="W795" s="17" t="n"/>
      <ns0:c r="X795" s="17" t="n"/>
      <ns0:c r="Y795" s="17" t="n"/>
      <ns0:c r="Z795" s="17" t="n"/>
      <ns0:c r="AA795" s="17" t="n"/>
      <ns0:c r="AB795" s="17" t="n"/>
      <ns0:c r="AC795" s="17" t="n"/>
      <ns0:c r="AD795" s="17" t="n"/>
      <ns0:c r="AE795" s="17" t="n"/>
      <ns0:c r="AF795" s="17" t="n"/>
      <ns0:c r="AG795" s="17" t="n"/>
    </ns0:row>
    <ns0:row r="796" ht="24" customHeight="1">
      <ns0:c r="D796" s="17" t="n"/>
      <ns0:c r="E796" s="17" t="n"/>
      <ns0:c r="F796" s="17" t="n"/>
      <ns0:c r="G796" s="17" t="n"/>
      <ns0:c r="H796" s="17" t="n"/>
      <ns0:c r="I796" s="17" t="n"/>
      <ns0:c r="J796" s="17" t="n"/>
      <ns0:c r="K796" s="17" t="n"/>
      <ns0:c r="L796" s="17" t="n"/>
      <ns0:c r="M796" s="17" t="n"/>
      <ns0:c r="N796" s="17" t="n"/>
      <ns0:c r="O796" s="17" t="n"/>
      <ns0:c r="P796" s="17" t="n"/>
      <ns0:c r="Q796" s="17" t="n"/>
      <ns0:c r="R796" s="17" t="n"/>
      <ns0:c r="S796" s="17" t="n"/>
      <ns0:c r="T796" s="17" t="n"/>
      <ns0:c r="U796" s="17" t="n"/>
      <ns0:c r="V796" s="17" t="n"/>
      <ns0:c r="W796" s="17" t="n"/>
      <ns0:c r="X796" s="17" t="n"/>
      <ns0:c r="Y796" s="17" t="n"/>
      <ns0:c r="Z796" s="17" t="n"/>
      <ns0:c r="AA796" s="17" t="n"/>
      <ns0:c r="AB796" s="17" t="n"/>
      <ns0:c r="AC796" s="17" t="n"/>
      <ns0:c r="AD796" s="17" t="n"/>
      <ns0:c r="AE796" s="17" t="n"/>
      <ns0:c r="AF796" s="17" t="n"/>
      <ns0:c r="AG796" s="17" t="n"/>
    </ns0:row>
    <ns0:row r="797" ht="24" customHeight="1">
      <ns0:c r="D797" s="17" t="n"/>
      <ns0:c r="E797" s="17" t="n"/>
      <ns0:c r="F797" s="17" t="n"/>
      <ns0:c r="G797" s="17" t="n"/>
      <ns0:c r="H797" s="17" t="n"/>
      <ns0:c r="I797" s="17" t="n"/>
      <ns0:c r="J797" s="17" t="n"/>
      <ns0:c r="K797" s="17" t="n"/>
      <ns0:c r="L797" s="17" t="n"/>
      <ns0:c r="M797" s="17" t="n"/>
      <ns0:c r="N797" s="17" t="n"/>
      <ns0:c r="O797" s="17" t="n"/>
      <ns0:c r="P797" s="17" t="n"/>
      <ns0:c r="Q797" s="17" t="n"/>
      <ns0:c r="R797" s="17" t="n"/>
      <ns0:c r="S797" s="17" t="n"/>
      <ns0:c r="T797" s="17" t="n"/>
      <ns0:c r="U797" s="17" t="n"/>
      <ns0:c r="V797" s="17" t="n"/>
      <ns0:c r="W797" s="17" t="n"/>
      <ns0:c r="X797" s="17" t="n"/>
      <ns0:c r="Y797" s="17" t="n"/>
      <ns0:c r="Z797" s="17" t="n"/>
      <ns0:c r="AA797" s="17" t="n"/>
      <ns0:c r="AB797" s="17" t="n"/>
      <ns0:c r="AC797" s="17" t="n"/>
      <ns0:c r="AD797" s="17" t="n"/>
      <ns0:c r="AE797" s="17" t="n"/>
      <ns0:c r="AF797" s="17" t="n"/>
      <ns0:c r="AG797" s="17" t="n"/>
    </ns0:row>
    <ns0:row r="798" ht="24" customHeight="1">
      <ns0:c r="D798" s="17" t="n"/>
      <ns0:c r="E798" s="17" t="n"/>
      <ns0:c r="F798" s="17" t="n"/>
      <ns0:c r="G798" s="17" t="n"/>
      <ns0:c r="H798" s="17" t="n"/>
      <ns0:c r="I798" s="17" t="n"/>
      <ns0:c r="J798" s="17" t="n"/>
      <ns0:c r="K798" s="17" t="n"/>
      <ns0:c r="L798" s="17" t="n"/>
      <ns0:c r="M798" s="17" t="n"/>
      <ns0:c r="N798" s="17" t="n"/>
      <ns0:c r="O798" s="17" t="n"/>
      <ns0:c r="P798" s="17" t="n"/>
      <ns0:c r="Q798" s="17" t="n"/>
      <ns0:c r="R798" s="17" t="n"/>
      <ns0:c r="S798" s="17" t="n"/>
      <ns0:c r="T798" s="17" t="n"/>
      <ns0:c r="U798" s="17" t="n"/>
      <ns0:c r="V798" s="17" t="n"/>
      <ns0:c r="W798" s="17" t="n"/>
      <ns0:c r="X798" s="17" t="n"/>
      <ns0:c r="Y798" s="17" t="n"/>
      <ns0:c r="Z798" s="17" t="n"/>
      <ns0:c r="AA798" s="17" t="n"/>
      <ns0:c r="AB798" s="17" t="n"/>
      <ns0:c r="AC798" s="17" t="n"/>
      <ns0:c r="AD798" s="17" t="n"/>
      <ns0:c r="AE798" s="17" t="n"/>
      <ns0:c r="AF798" s="17" t="n"/>
      <ns0:c r="AG798" s="17" t="n"/>
    </ns0:row>
    <ns0:row r="799" ht="24" customHeight="1">
      <ns0:c r="D799" s="17" t="n"/>
      <ns0:c r="E799" s="17" t="n"/>
      <ns0:c r="F799" s="17" t="n"/>
      <ns0:c r="G799" s="17" t="n"/>
      <ns0:c r="H799" s="17" t="n"/>
      <ns0:c r="I799" s="17" t="n"/>
      <ns0:c r="J799" s="17" t="n"/>
      <ns0:c r="K799" s="17" t="n"/>
      <ns0:c r="L799" s="17" t="n"/>
      <ns0:c r="M799" s="17" t="n"/>
      <ns0:c r="N799" s="17" t="n"/>
      <ns0:c r="O799" s="17" t="n"/>
      <ns0:c r="P799" s="17" t="n"/>
      <ns0:c r="Q799" s="17" t="n"/>
      <ns0:c r="R799" s="17" t="n"/>
      <ns0:c r="S799" s="17" t="n"/>
      <ns0:c r="T799" s="17" t="n"/>
      <ns0:c r="U799" s="17" t="n"/>
      <ns0:c r="V799" s="17" t="n"/>
      <ns0:c r="W799" s="17" t="n"/>
      <ns0:c r="X799" s="17" t="n"/>
      <ns0:c r="Y799" s="17" t="n"/>
      <ns0:c r="Z799" s="17" t="n"/>
      <ns0:c r="AA799" s="17" t="n"/>
      <ns0:c r="AB799" s="17" t="n"/>
      <ns0:c r="AC799" s="17" t="n"/>
      <ns0:c r="AD799" s="17" t="n"/>
      <ns0:c r="AE799" s="17" t="n"/>
      <ns0:c r="AF799" s="17" t="n"/>
      <ns0:c r="AG799" s="17" t="n"/>
    </ns0:row>
    <ns0:row r="800" ht="24" customHeight="1">
      <ns0:c r="D800" s="17" t="n"/>
      <ns0:c r="E800" s="17" t="n"/>
      <ns0:c r="F800" s="17" t="n"/>
      <ns0:c r="G800" s="17" t="n"/>
      <ns0:c r="H800" s="17" t="n"/>
      <ns0:c r="I800" s="17" t="n"/>
      <ns0:c r="J800" s="17" t="n"/>
      <ns0:c r="K800" s="17" t="n"/>
      <ns0:c r="L800" s="17" t="n"/>
      <ns0:c r="M800" s="17" t="n"/>
      <ns0:c r="N800" s="17" t="n"/>
      <ns0:c r="O800" s="17" t="n"/>
      <ns0:c r="P800" s="17" t="n"/>
      <ns0:c r="Q800" s="17" t="n"/>
      <ns0:c r="R800" s="17" t="n"/>
      <ns0:c r="S800" s="17" t="n"/>
      <ns0:c r="T800" s="17" t="n"/>
      <ns0:c r="U800" s="17" t="n"/>
      <ns0:c r="V800" s="17" t="n"/>
      <ns0:c r="W800" s="17" t="n"/>
      <ns0:c r="X800" s="17" t="n"/>
      <ns0:c r="Y800" s="17" t="n"/>
      <ns0:c r="Z800" s="17" t="n"/>
      <ns0:c r="AA800" s="17" t="n"/>
      <ns0:c r="AB800" s="17" t="n"/>
      <ns0:c r="AC800" s="17" t="n"/>
      <ns0:c r="AD800" s="17" t="n"/>
      <ns0:c r="AE800" s="17" t="n"/>
      <ns0:c r="AF800" s="17" t="n"/>
      <ns0:c r="AG800" s="17" t="n"/>
    </ns0:row>
    <ns0:row r="801" ht="24" customHeight="1">
      <ns0:c r="D801" s="17" t="n"/>
      <ns0:c r="E801" s="17" t="n"/>
      <ns0:c r="F801" s="17" t="n"/>
      <ns0:c r="G801" s="17" t="n"/>
      <ns0:c r="H801" s="17" t="n"/>
      <ns0:c r="I801" s="17" t="n"/>
      <ns0:c r="J801" s="17" t="n"/>
      <ns0:c r="K801" s="17" t="n"/>
      <ns0:c r="L801" s="17" t="n"/>
      <ns0:c r="M801" s="17" t="n"/>
      <ns0:c r="N801" s="17" t="n"/>
      <ns0:c r="O801" s="17" t="n"/>
      <ns0:c r="P801" s="17" t="n"/>
      <ns0:c r="Q801" s="17" t="n"/>
      <ns0:c r="R801" s="17" t="n"/>
      <ns0:c r="S801" s="17" t="n"/>
      <ns0:c r="T801" s="17" t="n"/>
      <ns0:c r="U801" s="17" t="n"/>
      <ns0:c r="V801" s="17" t="n"/>
      <ns0:c r="W801" s="17" t="n"/>
      <ns0:c r="X801" s="17" t="n"/>
      <ns0:c r="Y801" s="17" t="n"/>
      <ns0:c r="Z801" s="17" t="n"/>
      <ns0:c r="AA801" s="17" t="n"/>
      <ns0:c r="AB801" s="17" t="n"/>
      <ns0:c r="AC801" s="17" t="n"/>
      <ns0:c r="AD801" s="17" t="n"/>
      <ns0:c r="AE801" s="17" t="n"/>
      <ns0:c r="AF801" s="17" t="n"/>
      <ns0:c r="AG801" s="17" t="n"/>
    </ns0:row>
    <ns0:row r="802" ht="24" customHeight="1">
      <ns0:c r="D802" s="17" t="n"/>
      <ns0:c r="E802" s="17" t="n"/>
      <ns0:c r="F802" s="17" t="n"/>
      <ns0:c r="G802" s="17" t="n"/>
      <ns0:c r="H802" s="17" t="n"/>
      <ns0:c r="I802" s="17" t="n"/>
      <ns0:c r="J802" s="17" t="n"/>
      <ns0:c r="K802" s="17" t="n"/>
      <ns0:c r="L802" s="17" t="n"/>
      <ns0:c r="M802" s="17" t="n"/>
      <ns0:c r="N802" s="17" t="n"/>
      <ns0:c r="O802" s="17" t="n"/>
      <ns0:c r="P802" s="17" t="n"/>
      <ns0:c r="Q802" s="17" t="n"/>
      <ns0:c r="R802" s="17" t="n"/>
      <ns0:c r="S802" s="17" t="n"/>
      <ns0:c r="T802" s="17" t="n"/>
      <ns0:c r="U802" s="17" t="n"/>
      <ns0:c r="V802" s="17" t="n"/>
      <ns0:c r="W802" s="17" t="n"/>
      <ns0:c r="X802" s="17" t="n"/>
      <ns0:c r="Y802" s="17" t="n"/>
      <ns0:c r="Z802" s="17" t="n"/>
      <ns0:c r="AA802" s="17" t="n"/>
      <ns0:c r="AB802" s="17" t="n"/>
      <ns0:c r="AC802" s="17" t="n"/>
      <ns0:c r="AD802" s="17" t="n"/>
      <ns0:c r="AE802" s="17" t="n"/>
      <ns0:c r="AF802" s="17" t="n"/>
      <ns0:c r="AG802" s="17" t="n"/>
    </ns0:row>
    <ns0:row r="803" ht="24" customHeight="1">
      <ns0:c r="D803" s="17" t="n"/>
      <ns0:c r="E803" s="17" t="n"/>
      <ns0:c r="F803" s="17" t="n"/>
      <ns0:c r="G803" s="17" t="n"/>
      <ns0:c r="H803" s="17" t="n"/>
      <ns0:c r="I803" s="17" t="n"/>
      <ns0:c r="J803" s="17" t="n"/>
      <ns0:c r="K803" s="17" t="n"/>
      <ns0:c r="L803" s="17" t="n"/>
      <ns0:c r="M803" s="17" t="n"/>
      <ns0:c r="N803" s="17" t="n"/>
      <ns0:c r="O803" s="17" t="n"/>
      <ns0:c r="P803" s="17" t="n"/>
      <ns0:c r="Q803" s="17" t="n"/>
      <ns0:c r="R803" s="17" t="n"/>
      <ns0:c r="S803" s="17" t="n"/>
      <ns0:c r="T803" s="17" t="n"/>
      <ns0:c r="U803" s="17" t="n"/>
      <ns0:c r="V803" s="17" t="n"/>
      <ns0:c r="W803" s="17" t="n"/>
      <ns0:c r="X803" s="17" t="n"/>
      <ns0:c r="Y803" s="17" t="n"/>
      <ns0:c r="Z803" s="17" t="n"/>
      <ns0:c r="AA803" s="17" t="n"/>
      <ns0:c r="AB803" s="17" t="n"/>
      <ns0:c r="AC803" s="17" t="n"/>
      <ns0:c r="AD803" s="17" t="n"/>
      <ns0:c r="AE803" s="17" t="n"/>
      <ns0:c r="AF803" s="17" t="n"/>
      <ns0:c r="AG803" s="17" t="n"/>
    </ns0:row>
    <ns0:row r="804" ht="24" customHeight="1">
      <ns0:c r="D804" s="17" t="n"/>
      <ns0:c r="E804" s="17" t="n"/>
      <ns0:c r="F804" s="17" t="n"/>
      <ns0:c r="G804" s="17" t="n"/>
      <ns0:c r="H804" s="17" t="n"/>
      <ns0:c r="I804" s="17" t="n"/>
      <ns0:c r="J804" s="17" t="n"/>
      <ns0:c r="K804" s="17" t="n"/>
      <ns0:c r="L804" s="17" t="n"/>
      <ns0:c r="M804" s="17" t="n"/>
      <ns0:c r="N804" s="17" t="n"/>
      <ns0:c r="O804" s="17" t="n"/>
      <ns0:c r="P804" s="17" t="n"/>
      <ns0:c r="Q804" s="17" t="n"/>
      <ns0:c r="R804" s="17" t="n"/>
      <ns0:c r="S804" s="17" t="n"/>
      <ns0:c r="T804" s="17" t="n"/>
      <ns0:c r="U804" s="17" t="n"/>
      <ns0:c r="V804" s="17" t="n"/>
      <ns0:c r="W804" s="17" t="n"/>
      <ns0:c r="X804" s="17" t="n"/>
      <ns0:c r="Y804" s="17" t="n"/>
      <ns0:c r="Z804" s="17" t="n"/>
      <ns0:c r="AA804" s="17" t="n"/>
      <ns0:c r="AB804" s="17" t="n"/>
      <ns0:c r="AC804" s="17" t="n"/>
      <ns0:c r="AD804" s="17" t="n"/>
      <ns0:c r="AE804" s="17" t="n"/>
      <ns0:c r="AF804" s="17" t="n"/>
      <ns0:c r="AG804" s="17" t="n"/>
    </ns0:row>
    <ns0:row r="805" ht="24" customHeight="1">
      <ns0:c r="D805" s="17" t="n"/>
      <ns0:c r="E805" s="17" t="n"/>
      <ns0:c r="F805" s="17" t="n"/>
      <ns0:c r="G805" s="17" t="n"/>
      <ns0:c r="H805" s="17" t="n"/>
      <ns0:c r="I805" s="17" t="n"/>
      <ns0:c r="J805" s="17" t="n"/>
      <ns0:c r="K805" s="17" t="n"/>
      <ns0:c r="L805" s="17" t="n"/>
      <ns0:c r="M805" s="17" t="n"/>
      <ns0:c r="N805" s="17" t="n"/>
      <ns0:c r="O805" s="17" t="n"/>
      <ns0:c r="P805" s="17" t="n"/>
      <ns0:c r="Q805" s="17" t="n"/>
      <ns0:c r="R805" s="17" t="n"/>
      <ns0:c r="S805" s="17" t="n"/>
      <ns0:c r="T805" s="17" t="n"/>
      <ns0:c r="U805" s="17" t="n"/>
      <ns0:c r="V805" s="17" t="n"/>
      <ns0:c r="W805" s="17" t="n"/>
      <ns0:c r="X805" s="17" t="n"/>
      <ns0:c r="Y805" s="17" t="n"/>
      <ns0:c r="Z805" s="17" t="n"/>
      <ns0:c r="AA805" s="17" t="n"/>
      <ns0:c r="AB805" s="17" t="n"/>
      <ns0:c r="AC805" s="17" t="n"/>
      <ns0:c r="AD805" s="17" t="n"/>
      <ns0:c r="AE805" s="17" t="n"/>
      <ns0:c r="AF805" s="17" t="n"/>
      <ns0:c r="AG805" s="17" t="n"/>
    </ns0:row>
    <ns0:row r="806" ht="24" customHeight="1">
      <ns0:c r="D806" s="17" t="n"/>
      <ns0:c r="E806" s="17" t="n"/>
      <ns0:c r="F806" s="17" t="n"/>
      <ns0:c r="G806" s="17" t="n"/>
      <ns0:c r="H806" s="17" t="n"/>
      <ns0:c r="I806" s="17" t="n"/>
      <ns0:c r="J806" s="17" t="n"/>
      <ns0:c r="K806" s="17" t="n"/>
      <ns0:c r="L806" s="17" t="n"/>
      <ns0:c r="M806" s="17" t="n"/>
      <ns0:c r="N806" s="17" t="n"/>
      <ns0:c r="O806" s="17" t="n"/>
      <ns0:c r="P806" s="17" t="n"/>
      <ns0:c r="Q806" s="17" t="n"/>
      <ns0:c r="R806" s="17" t="n"/>
      <ns0:c r="S806" s="17" t="n"/>
      <ns0:c r="T806" s="17" t="n"/>
      <ns0:c r="U806" s="17" t="n"/>
      <ns0:c r="V806" s="17" t="n"/>
      <ns0:c r="W806" s="17" t="n"/>
      <ns0:c r="X806" s="17" t="n"/>
      <ns0:c r="Y806" s="17" t="n"/>
      <ns0:c r="Z806" s="17" t="n"/>
      <ns0:c r="AA806" s="17" t="n"/>
      <ns0:c r="AB806" s="17" t="n"/>
      <ns0:c r="AC806" s="17" t="n"/>
      <ns0:c r="AD806" s="17" t="n"/>
      <ns0:c r="AE806" s="17" t="n"/>
      <ns0:c r="AF806" s="17" t="n"/>
      <ns0:c r="AG806" s="17" t="n"/>
    </ns0:row>
    <ns0:row r="807" ht="24" customHeight="1">
      <ns0:c r="D807" s="17" t="n"/>
      <ns0:c r="E807" s="17" t="n"/>
      <ns0:c r="F807" s="17" t="n"/>
      <ns0:c r="G807" s="17" t="n"/>
      <ns0:c r="H807" s="17" t="n"/>
      <ns0:c r="I807" s="17" t="n"/>
      <ns0:c r="J807" s="17" t="n"/>
      <ns0:c r="K807" s="17" t="n"/>
      <ns0:c r="L807" s="17" t="n"/>
      <ns0:c r="M807" s="17" t="n"/>
      <ns0:c r="N807" s="17" t="n"/>
      <ns0:c r="O807" s="17" t="n"/>
      <ns0:c r="P807" s="17" t="n"/>
      <ns0:c r="Q807" s="17" t="n"/>
      <ns0:c r="R807" s="17" t="n"/>
      <ns0:c r="S807" s="17" t="n"/>
      <ns0:c r="T807" s="17" t="n"/>
      <ns0:c r="U807" s="17" t="n"/>
      <ns0:c r="V807" s="17" t="n"/>
      <ns0:c r="W807" s="17" t="n"/>
      <ns0:c r="X807" s="17" t="n"/>
      <ns0:c r="Y807" s="17" t="n"/>
      <ns0:c r="Z807" s="17" t="n"/>
      <ns0:c r="AA807" s="17" t="n"/>
      <ns0:c r="AB807" s="17" t="n"/>
      <ns0:c r="AC807" s="17" t="n"/>
      <ns0:c r="AD807" s="17" t="n"/>
      <ns0:c r="AE807" s="17" t="n"/>
      <ns0:c r="AF807" s="17" t="n"/>
      <ns0:c r="AG807" s="17" t="n"/>
    </ns0:row>
    <ns0:row r="808" ht="24" customHeight="1">
      <ns0:c r="D808" s="17" t="n"/>
      <ns0:c r="E808" s="17" t="n"/>
      <ns0:c r="F808" s="17" t="n"/>
      <ns0:c r="G808" s="17" t="n"/>
      <ns0:c r="H808" s="17" t="n"/>
      <ns0:c r="I808" s="17" t="n"/>
      <ns0:c r="J808" s="17" t="n"/>
      <ns0:c r="K808" s="17" t="n"/>
      <ns0:c r="L808" s="17" t="n"/>
      <ns0:c r="M808" s="17" t="n"/>
      <ns0:c r="N808" s="17" t="n"/>
      <ns0:c r="O808" s="17" t="n"/>
      <ns0:c r="P808" s="17" t="n"/>
      <ns0:c r="Q808" s="17" t="n"/>
      <ns0:c r="R808" s="17" t="n"/>
      <ns0:c r="S808" s="17" t="n"/>
      <ns0:c r="T808" s="17" t="n"/>
      <ns0:c r="U808" s="17" t="n"/>
      <ns0:c r="V808" s="17" t="n"/>
      <ns0:c r="W808" s="17" t="n"/>
      <ns0:c r="X808" s="17" t="n"/>
      <ns0:c r="Y808" s="17" t="n"/>
      <ns0:c r="Z808" s="17" t="n"/>
      <ns0:c r="AA808" s="17" t="n"/>
      <ns0:c r="AB808" s="17" t="n"/>
      <ns0:c r="AC808" s="17" t="n"/>
      <ns0:c r="AD808" s="17" t="n"/>
      <ns0:c r="AE808" s="17" t="n"/>
      <ns0:c r="AF808" s="17" t="n"/>
      <ns0:c r="AG808" s="17" t="n"/>
    </ns0:row>
    <ns0:row r="809" ht="24" customHeight="1">
      <ns0:c r="D809" s="17" t="n"/>
      <ns0:c r="E809" s="17" t="n"/>
      <ns0:c r="F809" s="17" t="n"/>
      <ns0:c r="G809" s="17" t="n"/>
      <ns0:c r="H809" s="17" t="n"/>
      <ns0:c r="I809" s="17" t="n"/>
      <ns0:c r="J809" s="17" t="n"/>
      <ns0:c r="K809" s="17" t="n"/>
      <ns0:c r="L809" s="17" t="n"/>
      <ns0:c r="M809" s="17" t="n"/>
      <ns0:c r="N809" s="17" t="n"/>
      <ns0:c r="O809" s="17" t="n"/>
      <ns0:c r="P809" s="17" t="n"/>
      <ns0:c r="Q809" s="17" t="n"/>
      <ns0:c r="R809" s="17" t="n"/>
      <ns0:c r="S809" s="17" t="n"/>
      <ns0:c r="T809" s="17" t="n"/>
      <ns0:c r="U809" s="17" t="n"/>
      <ns0:c r="V809" s="17" t="n"/>
      <ns0:c r="W809" s="17" t="n"/>
      <ns0:c r="X809" s="17" t="n"/>
      <ns0:c r="Y809" s="17" t="n"/>
      <ns0:c r="Z809" s="17" t="n"/>
      <ns0:c r="AA809" s="17" t="n"/>
      <ns0:c r="AB809" s="17" t="n"/>
      <ns0:c r="AC809" s="17" t="n"/>
      <ns0:c r="AD809" s="17" t="n"/>
      <ns0:c r="AE809" s="17" t="n"/>
      <ns0:c r="AF809" s="17" t="n"/>
      <ns0:c r="AG809" s="17" t="n"/>
    </ns0:row>
    <ns0:row r="810" ht="24" customHeight="1">
      <ns0:c r="D810" s="17" t="n"/>
      <ns0:c r="E810" s="17" t="n"/>
      <ns0:c r="F810" s="17" t="n"/>
      <ns0:c r="G810" s="17" t="n"/>
      <ns0:c r="H810" s="17" t="n"/>
      <ns0:c r="I810" s="17" t="n"/>
      <ns0:c r="J810" s="17" t="n"/>
      <ns0:c r="K810" s="17" t="n"/>
      <ns0:c r="L810" s="17" t="n"/>
      <ns0:c r="M810" s="17" t="n"/>
      <ns0:c r="N810" s="17" t="n"/>
      <ns0:c r="O810" s="17" t="n"/>
      <ns0:c r="P810" s="17" t="n"/>
      <ns0:c r="Q810" s="17" t="n"/>
      <ns0:c r="R810" s="17" t="n"/>
      <ns0:c r="S810" s="17" t="n"/>
      <ns0:c r="T810" s="17" t="n"/>
      <ns0:c r="U810" s="17" t="n"/>
      <ns0:c r="V810" s="17" t="n"/>
      <ns0:c r="W810" s="17" t="n"/>
      <ns0:c r="X810" s="17" t="n"/>
      <ns0:c r="Y810" s="17" t="n"/>
      <ns0:c r="Z810" s="17" t="n"/>
      <ns0:c r="AA810" s="17" t="n"/>
      <ns0:c r="AB810" s="17" t="n"/>
      <ns0:c r="AC810" s="17" t="n"/>
      <ns0:c r="AD810" s="17" t="n"/>
      <ns0:c r="AE810" s="17" t="n"/>
      <ns0:c r="AF810" s="17" t="n"/>
      <ns0:c r="AG810" s="17" t="n"/>
    </ns0:row>
    <ns0:row r="811" ht="24" customHeight="1">
      <ns0:c r="D811" s="17" t="n"/>
      <ns0:c r="E811" s="17" t="n"/>
      <ns0:c r="F811" s="17" t="n"/>
      <ns0:c r="G811" s="17" t="n"/>
      <ns0:c r="H811" s="17" t="n"/>
      <ns0:c r="I811" s="17" t="n"/>
      <ns0:c r="J811" s="17" t="n"/>
      <ns0:c r="K811" s="17" t="n"/>
      <ns0:c r="L811" s="17" t="n"/>
      <ns0:c r="M811" s="17" t="n"/>
      <ns0:c r="N811" s="17" t="n"/>
      <ns0:c r="O811" s="17" t="n"/>
      <ns0:c r="P811" s="17" t="n"/>
      <ns0:c r="Q811" s="17" t="n"/>
      <ns0:c r="R811" s="17" t="n"/>
      <ns0:c r="S811" s="17" t="n"/>
      <ns0:c r="T811" s="17" t="n"/>
      <ns0:c r="U811" s="17" t="n"/>
      <ns0:c r="V811" s="17" t="n"/>
      <ns0:c r="W811" s="17" t="n"/>
      <ns0:c r="X811" s="17" t="n"/>
      <ns0:c r="Y811" s="17" t="n"/>
      <ns0:c r="Z811" s="17" t="n"/>
      <ns0:c r="AA811" s="17" t="n"/>
      <ns0:c r="AB811" s="17" t="n"/>
      <ns0:c r="AC811" s="17" t="n"/>
      <ns0:c r="AD811" s="17" t="n"/>
      <ns0:c r="AE811" s="17" t="n"/>
      <ns0:c r="AF811" s="17" t="n"/>
      <ns0:c r="AG811" s="17" t="n"/>
    </ns0:row>
    <ns0:row r="812" ht="24" customHeight="1">
      <ns0:c r="D812" s="17" t="n"/>
      <ns0:c r="E812" s="17" t="n"/>
      <ns0:c r="F812" s="17" t="n"/>
      <ns0:c r="G812" s="17" t="n"/>
      <ns0:c r="H812" s="17" t="n"/>
      <ns0:c r="I812" s="17" t="n"/>
      <ns0:c r="J812" s="17" t="n"/>
      <ns0:c r="K812" s="17" t="n"/>
      <ns0:c r="L812" s="17" t="n"/>
      <ns0:c r="M812" s="17" t="n"/>
      <ns0:c r="N812" s="17" t="n"/>
      <ns0:c r="O812" s="17" t="n"/>
      <ns0:c r="P812" s="17" t="n"/>
      <ns0:c r="Q812" s="17" t="n"/>
      <ns0:c r="R812" s="17" t="n"/>
      <ns0:c r="S812" s="17" t="n"/>
      <ns0:c r="T812" s="17" t="n"/>
      <ns0:c r="U812" s="17" t="n"/>
      <ns0:c r="V812" s="17" t="n"/>
      <ns0:c r="W812" s="17" t="n"/>
      <ns0:c r="X812" s="17" t="n"/>
      <ns0:c r="Y812" s="17" t="n"/>
      <ns0:c r="Z812" s="17" t="n"/>
      <ns0:c r="AA812" s="17" t="n"/>
      <ns0:c r="AB812" s="17" t="n"/>
      <ns0:c r="AC812" s="17" t="n"/>
      <ns0:c r="AD812" s="17" t="n"/>
      <ns0:c r="AE812" s="17" t="n"/>
      <ns0:c r="AF812" s="17" t="n"/>
      <ns0:c r="AG812" s="17" t="n"/>
    </ns0:row>
    <ns0:row r="813" ht="24" customHeight="1">
      <ns0:c r="D813" s="17" t="n"/>
      <ns0:c r="E813" s="17" t="n"/>
      <ns0:c r="F813" s="17" t="n"/>
      <ns0:c r="G813" s="17" t="n"/>
      <ns0:c r="H813" s="17" t="n"/>
      <ns0:c r="I813" s="17" t="n"/>
      <ns0:c r="J813" s="17" t="n"/>
      <ns0:c r="K813" s="17" t="n"/>
      <ns0:c r="L813" s="17" t="n"/>
      <ns0:c r="M813" s="17" t="n"/>
      <ns0:c r="N813" s="17" t="n"/>
      <ns0:c r="O813" s="17" t="n"/>
      <ns0:c r="P813" s="17" t="n"/>
      <ns0:c r="Q813" s="17" t="n"/>
      <ns0:c r="R813" s="17" t="n"/>
      <ns0:c r="S813" s="17" t="n"/>
      <ns0:c r="T813" s="17" t="n"/>
      <ns0:c r="U813" s="17" t="n"/>
      <ns0:c r="V813" s="17" t="n"/>
      <ns0:c r="W813" s="17" t="n"/>
      <ns0:c r="X813" s="17" t="n"/>
      <ns0:c r="Y813" s="17" t="n"/>
      <ns0:c r="Z813" s="17" t="n"/>
      <ns0:c r="AA813" s="17" t="n"/>
      <ns0:c r="AB813" s="17" t="n"/>
      <ns0:c r="AC813" s="17" t="n"/>
      <ns0:c r="AD813" s="17" t="n"/>
      <ns0:c r="AE813" s="17" t="n"/>
      <ns0:c r="AF813" s="17" t="n"/>
      <ns0:c r="AG813" s="17" t="n"/>
    </ns0:row>
    <ns0:row r="814" ht="24" customHeight="1">
      <ns0:c r="D814" s="17" t="n"/>
      <ns0:c r="E814" s="17" t="n"/>
      <ns0:c r="F814" s="17" t="n"/>
      <ns0:c r="G814" s="17" t="n"/>
      <ns0:c r="H814" s="17" t="n"/>
      <ns0:c r="I814" s="17" t="n"/>
      <ns0:c r="J814" s="17" t="n"/>
      <ns0:c r="K814" s="17" t="n"/>
      <ns0:c r="L814" s="17" t="n"/>
      <ns0:c r="M814" s="17" t="n"/>
      <ns0:c r="N814" s="17" t="n"/>
      <ns0:c r="O814" s="17" t="n"/>
      <ns0:c r="P814" s="17" t="n"/>
      <ns0:c r="Q814" s="17" t="n"/>
      <ns0:c r="R814" s="17" t="n"/>
      <ns0:c r="S814" s="17" t="n"/>
      <ns0:c r="T814" s="17" t="n"/>
      <ns0:c r="U814" s="17" t="n"/>
      <ns0:c r="V814" s="17" t="n"/>
      <ns0:c r="W814" s="17" t="n"/>
      <ns0:c r="X814" s="17" t="n"/>
      <ns0:c r="Y814" s="17" t="n"/>
      <ns0:c r="Z814" s="17" t="n"/>
      <ns0:c r="AA814" s="17" t="n"/>
      <ns0:c r="AB814" s="17" t="n"/>
      <ns0:c r="AC814" s="17" t="n"/>
      <ns0:c r="AD814" s="17" t="n"/>
      <ns0:c r="AE814" s="17" t="n"/>
      <ns0:c r="AF814" s="17" t="n"/>
      <ns0:c r="AG814" s="17" t="n"/>
    </ns0:row>
    <ns0:row r="815" ht="24" customHeight="1">
      <ns0:c r="D815" s="17" t="n"/>
      <ns0:c r="E815" s="17" t="n"/>
      <ns0:c r="F815" s="17" t="n"/>
      <ns0:c r="G815" s="17" t="n"/>
      <ns0:c r="H815" s="17" t="n"/>
      <ns0:c r="I815" s="17" t="n"/>
      <ns0:c r="J815" s="17" t="n"/>
      <ns0:c r="K815" s="17" t="n"/>
      <ns0:c r="L815" s="17" t="n"/>
      <ns0:c r="M815" s="17" t="n"/>
      <ns0:c r="N815" s="17" t="n"/>
      <ns0:c r="O815" s="17" t="n"/>
      <ns0:c r="P815" s="17" t="n"/>
      <ns0:c r="Q815" s="17" t="n"/>
      <ns0:c r="R815" s="17" t="n"/>
      <ns0:c r="S815" s="17" t="n"/>
      <ns0:c r="T815" s="17" t="n"/>
      <ns0:c r="U815" s="17" t="n"/>
      <ns0:c r="V815" s="17" t="n"/>
      <ns0:c r="W815" s="17" t="n"/>
      <ns0:c r="X815" s="17" t="n"/>
      <ns0:c r="Y815" s="17" t="n"/>
      <ns0:c r="Z815" s="17" t="n"/>
      <ns0:c r="AA815" s="17" t="n"/>
      <ns0:c r="AB815" s="17" t="n"/>
      <ns0:c r="AC815" s="17" t="n"/>
      <ns0:c r="AD815" s="17" t="n"/>
      <ns0:c r="AE815" s="17" t="n"/>
      <ns0:c r="AF815" s="17" t="n"/>
      <ns0:c r="AG815" s="17" t="n"/>
    </ns0:row>
    <ns0:row r="816" ht="24" customHeight="1">
      <ns0:c r="D816" s="17" t="n"/>
      <ns0:c r="E816" s="17" t="n"/>
      <ns0:c r="F816" s="17" t="n"/>
      <ns0:c r="G816" s="17" t="n"/>
      <ns0:c r="H816" s="17" t="n"/>
      <ns0:c r="I816" s="17" t="n"/>
      <ns0:c r="J816" s="17" t="n"/>
      <ns0:c r="K816" s="17" t="n"/>
      <ns0:c r="L816" s="17" t="n"/>
      <ns0:c r="M816" s="17" t="n"/>
      <ns0:c r="N816" s="17" t="n"/>
      <ns0:c r="O816" s="17" t="n"/>
      <ns0:c r="P816" s="17" t="n"/>
      <ns0:c r="Q816" s="17" t="n"/>
      <ns0:c r="R816" s="17" t="n"/>
      <ns0:c r="S816" s="17" t="n"/>
      <ns0:c r="T816" s="17" t="n"/>
      <ns0:c r="U816" s="17" t="n"/>
      <ns0:c r="V816" s="17" t="n"/>
      <ns0:c r="W816" s="17" t="n"/>
      <ns0:c r="X816" s="17" t="n"/>
      <ns0:c r="Y816" s="17" t="n"/>
      <ns0:c r="Z816" s="17" t="n"/>
      <ns0:c r="AA816" s="17" t="n"/>
      <ns0:c r="AB816" s="17" t="n"/>
      <ns0:c r="AC816" s="17" t="n"/>
      <ns0:c r="AD816" s="17" t="n"/>
      <ns0:c r="AE816" s="17" t="n"/>
      <ns0:c r="AF816" s="17" t="n"/>
      <ns0:c r="AG816" s="17" t="n"/>
    </ns0:row>
    <ns0:row r="817" ht="24" customHeight="1">
      <ns0:c r="D817" s="17" t="n"/>
      <ns0:c r="E817" s="17" t="n"/>
      <ns0:c r="F817" s="17" t="n"/>
      <ns0:c r="G817" s="17" t="n"/>
      <ns0:c r="H817" s="17" t="n"/>
      <ns0:c r="I817" s="17" t="n"/>
      <ns0:c r="J817" s="17" t="n"/>
      <ns0:c r="K817" s="17" t="n"/>
      <ns0:c r="L817" s="17" t="n"/>
      <ns0:c r="M817" s="17" t="n"/>
      <ns0:c r="N817" s="17" t="n"/>
      <ns0:c r="O817" s="17" t="n"/>
      <ns0:c r="P817" s="17" t="n"/>
      <ns0:c r="Q817" s="17" t="n"/>
      <ns0:c r="R817" s="17" t="n"/>
      <ns0:c r="S817" s="17" t="n"/>
      <ns0:c r="T817" s="17" t="n"/>
      <ns0:c r="U817" s="17" t="n"/>
      <ns0:c r="V817" s="17" t="n"/>
      <ns0:c r="W817" s="17" t="n"/>
      <ns0:c r="X817" s="17" t="n"/>
      <ns0:c r="Y817" s="17" t="n"/>
      <ns0:c r="Z817" s="17" t="n"/>
      <ns0:c r="AA817" s="17" t="n"/>
      <ns0:c r="AB817" s="17" t="n"/>
      <ns0:c r="AC817" s="17" t="n"/>
      <ns0:c r="AD817" s="17" t="n"/>
      <ns0:c r="AE817" s="17" t="n"/>
      <ns0:c r="AF817" s="17" t="n"/>
      <ns0:c r="AG817" s="17" t="n"/>
    </ns0:row>
    <ns0:row r="818" ht="24" customHeight="1">
      <ns0:c r="D818" s="17" t="n"/>
      <ns0:c r="E818" s="17" t="n"/>
      <ns0:c r="F818" s="17" t="n"/>
      <ns0:c r="G818" s="17" t="n"/>
      <ns0:c r="H818" s="17" t="n"/>
      <ns0:c r="I818" s="17" t="n"/>
      <ns0:c r="J818" s="17" t="n"/>
      <ns0:c r="K818" s="17" t="n"/>
      <ns0:c r="L818" s="17" t="n"/>
      <ns0:c r="M818" s="17" t="n"/>
      <ns0:c r="N818" s="17" t="n"/>
      <ns0:c r="O818" s="17" t="n"/>
      <ns0:c r="P818" s="17" t="n"/>
      <ns0:c r="Q818" s="17" t="n"/>
      <ns0:c r="R818" s="17" t="n"/>
      <ns0:c r="S818" s="17" t="n"/>
      <ns0:c r="T818" s="17" t="n"/>
      <ns0:c r="U818" s="17" t="n"/>
      <ns0:c r="V818" s="17" t="n"/>
      <ns0:c r="W818" s="17" t="n"/>
      <ns0:c r="X818" s="17" t="n"/>
      <ns0:c r="Y818" s="17" t="n"/>
      <ns0:c r="Z818" s="17" t="n"/>
      <ns0:c r="AA818" s="17" t="n"/>
      <ns0:c r="AB818" s="17" t="n"/>
      <ns0:c r="AC818" s="17" t="n"/>
      <ns0:c r="AD818" s="17" t="n"/>
      <ns0:c r="AE818" s="17" t="n"/>
      <ns0:c r="AF818" s="17" t="n"/>
      <ns0:c r="AG818" s="17" t="n"/>
    </ns0:row>
    <ns0:row r="819" ht="24" customHeight="1">
      <ns0:c r="D819" s="17" t="n"/>
      <ns0:c r="E819" s="17" t="n"/>
      <ns0:c r="F819" s="17" t="n"/>
      <ns0:c r="G819" s="17" t="n"/>
      <ns0:c r="H819" s="17" t="n"/>
      <ns0:c r="I819" s="17" t="n"/>
      <ns0:c r="J819" s="17" t="n"/>
      <ns0:c r="K819" s="17" t="n"/>
      <ns0:c r="L819" s="17" t="n"/>
      <ns0:c r="M819" s="17" t="n"/>
      <ns0:c r="N819" s="17" t="n"/>
      <ns0:c r="O819" s="17" t="n"/>
      <ns0:c r="P819" s="17" t="n"/>
      <ns0:c r="Q819" s="17" t="n"/>
      <ns0:c r="R819" s="17" t="n"/>
      <ns0:c r="S819" s="17" t="n"/>
      <ns0:c r="T819" s="17" t="n"/>
      <ns0:c r="U819" s="17" t="n"/>
      <ns0:c r="V819" s="17" t="n"/>
      <ns0:c r="W819" s="17" t="n"/>
      <ns0:c r="X819" s="17" t="n"/>
      <ns0:c r="Y819" s="17" t="n"/>
      <ns0:c r="Z819" s="17" t="n"/>
      <ns0:c r="AA819" s="17" t="n"/>
      <ns0:c r="AB819" s="17" t="n"/>
      <ns0:c r="AC819" s="17" t="n"/>
      <ns0:c r="AD819" s="17" t="n"/>
      <ns0:c r="AE819" s="17" t="n"/>
      <ns0:c r="AF819" s="17" t="n"/>
      <ns0:c r="AG819" s="17" t="n"/>
    </ns0:row>
    <ns0:row r="820" ht="24" customHeight="1">
      <ns0:c r="D820" s="17" t="n"/>
      <ns0:c r="E820" s="17" t="n"/>
      <ns0:c r="F820" s="17" t="n"/>
      <ns0:c r="G820" s="17" t="n"/>
      <ns0:c r="H820" s="17" t="n"/>
      <ns0:c r="I820" s="17" t="n"/>
      <ns0:c r="J820" s="17" t="n"/>
      <ns0:c r="K820" s="17" t="n"/>
      <ns0:c r="L820" s="17" t="n"/>
      <ns0:c r="M820" s="17" t="n"/>
      <ns0:c r="N820" s="17" t="n"/>
      <ns0:c r="O820" s="17" t="n"/>
      <ns0:c r="P820" s="17" t="n"/>
      <ns0:c r="Q820" s="17" t="n"/>
      <ns0:c r="R820" s="17" t="n"/>
      <ns0:c r="S820" s="17" t="n"/>
      <ns0:c r="T820" s="17" t="n"/>
      <ns0:c r="U820" s="17" t="n"/>
      <ns0:c r="V820" s="17" t="n"/>
      <ns0:c r="W820" s="17" t="n"/>
      <ns0:c r="X820" s="17" t="n"/>
      <ns0:c r="Y820" s="17" t="n"/>
      <ns0:c r="Z820" s="17" t="n"/>
      <ns0:c r="AA820" s="17" t="n"/>
      <ns0:c r="AB820" s="17" t="n"/>
      <ns0:c r="AC820" s="17" t="n"/>
      <ns0:c r="AD820" s="17" t="n"/>
      <ns0:c r="AE820" s="17" t="n"/>
      <ns0:c r="AF820" s="17" t="n"/>
      <ns0:c r="AG820" s="17" t="n"/>
    </ns0:row>
    <ns0:row r="821" ht="24" customHeight="1">
      <ns0:c r="D821" s="17" t="n"/>
      <ns0:c r="E821" s="17" t="n"/>
      <ns0:c r="F821" s="17" t="n"/>
      <ns0:c r="G821" s="17" t="n"/>
      <ns0:c r="H821" s="17" t="n"/>
      <ns0:c r="I821" s="17" t="n"/>
      <ns0:c r="J821" s="17" t="n"/>
      <ns0:c r="K821" s="17" t="n"/>
      <ns0:c r="L821" s="17" t="n"/>
      <ns0:c r="M821" s="17" t="n"/>
      <ns0:c r="N821" s="17" t="n"/>
      <ns0:c r="O821" s="17" t="n"/>
      <ns0:c r="P821" s="17" t="n"/>
      <ns0:c r="Q821" s="17" t="n"/>
      <ns0:c r="R821" s="17" t="n"/>
      <ns0:c r="S821" s="17" t="n"/>
      <ns0:c r="T821" s="17" t="n"/>
      <ns0:c r="U821" s="17" t="n"/>
      <ns0:c r="V821" s="17" t="n"/>
      <ns0:c r="W821" s="17" t="n"/>
      <ns0:c r="X821" s="17" t="n"/>
      <ns0:c r="Y821" s="17" t="n"/>
      <ns0:c r="Z821" s="17" t="n"/>
      <ns0:c r="AA821" s="17" t="n"/>
      <ns0:c r="AB821" s="17" t="n"/>
      <ns0:c r="AC821" s="17" t="n"/>
      <ns0:c r="AD821" s="17" t="n"/>
      <ns0:c r="AE821" s="17" t="n"/>
      <ns0:c r="AF821" s="17" t="n"/>
      <ns0:c r="AG821" s="17" t="n"/>
    </ns0:row>
    <ns0:row r="822" ht="24" customHeight="1">
      <ns0:c r="D822" s="17" t="n"/>
      <ns0:c r="E822" s="17" t="n"/>
      <ns0:c r="F822" s="17" t="n"/>
      <ns0:c r="G822" s="17" t="n"/>
      <ns0:c r="H822" s="17" t="n"/>
      <ns0:c r="I822" s="17" t="n"/>
      <ns0:c r="J822" s="17" t="n"/>
      <ns0:c r="K822" s="17" t="n"/>
      <ns0:c r="L822" s="17" t="n"/>
      <ns0:c r="M822" s="17" t="n"/>
      <ns0:c r="N822" s="17" t="n"/>
      <ns0:c r="O822" s="17" t="n"/>
      <ns0:c r="P822" s="17" t="n"/>
      <ns0:c r="Q822" s="17" t="n"/>
      <ns0:c r="R822" s="17" t="n"/>
      <ns0:c r="S822" s="17" t="n"/>
      <ns0:c r="T822" s="17" t="n"/>
      <ns0:c r="U822" s="17" t="n"/>
      <ns0:c r="V822" s="17" t="n"/>
      <ns0:c r="W822" s="17" t="n"/>
      <ns0:c r="X822" s="17" t="n"/>
      <ns0:c r="Y822" s="17" t="n"/>
      <ns0:c r="Z822" s="17" t="n"/>
      <ns0:c r="AA822" s="17" t="n"/>
      <ns0:c r="AB822" s="17" t="n"/>
      <ns0:c r="AC822" s="17" t="n"/>
      <ns0:c r="AD822" s="17" t="n"/>
      <ns0:c r="AE822" s="17" t="n"/>
      <ns0:c r="AF822" s="17" t="n"/>
      <ns0:c r="AG822" s="17" t="n"/>
    </ns0:row>
    <ns0:row r="823" ht="24" customHeight="1">
      <ns0:c r="D823" s="17" t="n"/>
      <ns0:c r="E823" s="17" t="n"/>
      <ns0:c r="F823" s="17" t="n"/>
      <ns0:c r="G823" s="17" t="n"/>
      <ns0:c r="H823" s="17" t="n"/>
      <ns0:c r="I823" s="17" t="n"/>
      <ns0:c r="J823" s="17" t="n"/>
      <ns0:c r="K823" s="17" t="n"/>
      <ns0:c r="L823" s="17" t="n"/>
      <ns0:c r="M823" s="17" t="n"/>
      <ns0:c r="N823" s="17" t="n"/>
      <ns0:c r="O823" s="17" t="n"/>
      <ns0:c r="P823" s="17" t="n"/>
      <ns0:c r="Q823" s="17" t="n"/>
      <ns0:c r="R823" s="17" t="n"/>
      <ns0:c r="S823" s="17" t="n"/>
      <ns0:c r="T823" s="17" t="n"/>
      <ns0:c r="U823" s="17" t="n"/>
      <ns0:c r="V823" s="17" t="n"/>
      <ns0:c r="W823" s="17" t="n"/>
      <ns0:c r="X823" s="17" t="n"/>
      <ns0:c r="Y823" s="17" t="n"/>
      <ns0:c r="Z823" s="17" t="n"/>
      <ns0:c r="AA823" s="17" t="n"/>
      <ns0:c r="AB823" s="17" t="n"/>
      <ns0:c r="AC823" s="17" t="n"/>
      <ns0:c r="AD823" s="17" t="n"/>
      <ns0:c r="AE823" s="17" t="n"/>
      <ns0:c r="AF823" s="17" t="n"/>
      <ns0:c r="AG823" s="17" t="n"/>
    </ns0:row>
    <ns0:row r="824" ht="24" customHeight="1">
      <ns0:c r="D824" s="17" t="n"/>
      <ns0:c r="E824" s="17" t="n"/>
      <ns0:c r="F824" s="17" t="n"/>
      <ns0:c r="G824" s="17" t="n"/>
      <ns0:c r="H824" s="17" t="n"/>
      <ns0:c r="I824" s="17" t="n"/>
      <ns0:c r="J824" s="17" t="n"/>
      <ns0:c r="K824" s="17" t="n"/>
      <ns0:c r="L824" s="17" t="n"/>
      <ns0:c r="M824" s="17" t="n"/>
      <ns0:c r="N824" s="17" t="n"/>
      <ns0:c r="O824" s="17" t="n"/>
      <ns0:c r="P824" s="17" t="n"/>
      <ns0:c r="Q824" s="17" t="n"/>
      <ns0:c r="R824" s="17" t="n"/>
      <ns0:c r="S824" s="17" t="n"/>
      <ns0:c r="T824" s="17" t="n"/>
      <ns0:c r="U824" s="17" t="n"/>
      <ns0:c r="V824" s="17" t="n"/>
      <ns0:c r="W824" s="17" t="n"/>
      <ns0:c r="X824" s="17" t="n"/>
      <ns0:c r="Y824" s="17" t="n"/>
      <ns0:c r="Z824" s="17" t="n"/>
      <ns0:c r="AA824" s="17" t="n"/>
      <ns0:c r="AB824" s="17" t="n"/>
      <ns0:c r="AC824" s="17" t="n"/>
      <ns0:c r="AD824" s="17" t="n"/>
      <ns0:c r="AE824" s="17" t="n"/>
      <ns0:c r="AF824" s="17" t="n"/>
      <ns0:c r="AG824" s="17" t="n"/>
    </ns0:row>
    <ns0:row r="825" ht="24" customHeight="1">
      <ns0:c r="D825" s="17" t="n"/>
      <ns0:c r="E825" s="17" t="n"/>
      <ns0:c r="F825" s="17" t="n"/>
      <ns0:c r="G825" s="17" t="n"/>
      <ns0:c r="H825" s="17" t="n"/>
      <ns0:c r="I825" s="17" t="n"/>
      <ns0:c r="J825" s="17" t="n"/>
      <ns0:c r="K825" s="17" t="n"/>
      <ns0:c r="L825" s="17" t="n"/>
      <ns0:c r="M825" s="17" t="n"/>
      <ns0:c r="N825" s="17" t="n"/>
      <ns0:c r="O825" s="17" t="n"/>
      <ns0:c r="P825" s="17" t="n"/>
      <ns0:c r="Q825" s="17" t="n"/>
      <ns0:c r="R825" s="17" t="n"/>
      <ns0:c r="S825" s="17" t="n"/>
      <ns0:c r="T825" s="17" t="n"/>
      <ns0:c r="U825" s="17" t="n"/>
      <ns0:c r="V825" s="17" t="n"/>
      <ns0:c r="W825" s="17" t="n"/>
      <ns0:c r="X825" s="17" t="n"/>
      <ns0:c r="Y825" s="17" t="n"/>
      <ns0:c r="Z825" s="17" t="n"/>
      <ns0:c r="AA825" s="17" t="n"/>
      <ns0:c r="AB825" s="17" t="n"/>
      <ns0:c r="AC825" s="17" t="n"/>
      <ns0:c r="AD825" s="17" t="n"/>
      <ns0:c r="AE825" s="17" t="n"/>
      <ns0:c r="AF825" s="17" t="n"/>
      <ns0:c r="AG825" s="17" t="n"/>
    </ns0:row>
    <ns0:row r="826" ht="24" customHeight="1">
      <ns0:c r="D826" s="17" t="n"/>
      <ns0:c r="E826" s="17" t="n"/>
      <ns0:c r="F826" s="17" t="n"/>
      <ns0:c r="G826" s="17" t="n"/>
      <ns0:c r="H826" s="17" t="n"/>
      <ns0:c r="I826" s="17" t="n"/>
      <ns0:c r="J826" s="17" t="n"/>
      <ns0:c r="K826" s="17" t="n"/>
      <ns0:c r="L826" s="17" t="n"/>
      <ns0:c r="M826" s="17" t="n"/>
      <ns0:c r="N826" s="17" t="n"/>
      <ns0:c r="O826" s="17" t="n"/>
      <ns0:c r="P826" s="17" t="n"/>
      <ns0:c r="Q826" s="17" t="n"/>
      <ns0:c r="R826" s="17" t="n"/>
      <ns0:c r="S826" s="17" t="n"/>
      <ns0:c r="T826" s="17" t="n"/>
      <ns0:c r="U826" s="17" t="n"/>
      <ns0:c r="V826" s="17" t="n"/>
      <ns0:c r="W826" s="17" t="n"/>
      <ns0:c r="X826" s="17" t="n"/>
      <ns0:c r="Y826" s="17" t="n"/>
      <ns0:c r="Z826" s="17" t="n"/>
      <ns0:c r="AA826" s="17" t="n"/>
      <ns0:c r="AB826" s="17" t="n"/>
      <ns0:c r="AC826" s="17" t="n"/>
      <ns0:c r="AD826" s="17" t="n"/>
      <ns0:c r="AE826" s="17" t="n"/>
      <ns0:c r="AF826" s="17" t="n"/>
      <ns0:c r="AG826" s="17" t="n"/>
    </ns0:row>
    <ns0:row r="827" ht="24" customHeight="1">
      <ns0:c r="D827" s="17" t="n"/>
      <ns0:c r="E827" s="17" t="n"/>
      <ns0:c r="F827" s="17" t="n"/>
      <ns0:c r="G827" s="17" t="n"/>
      <ns0:c r="H827" s="17" t="n"/>
      <ns0:c r="I827" s="17" t="n"/>
      <ns0:c r="J827" s="17" t="n"/>
      <ns0:c r="K827" s="17" t="n"/>
      <ns0:c r="L827" s="17" t="n"/>
      <ns0:c r="M827" s="17" t="n"/>
      <ns0:c r="N827" s="17" t="n"/>
      <ns0:c r="O827" s="17" t="n"/>
      <ns0:c r="P827" s="17" t="n"/>
      <ns0:c r="Q827" s="17" t="n"/>
      <ns0:c r="R827" s="17" t="n"/>
      <ns0:c r="S827" s="17" t="n"/>
      <ns0:c r="T827" s="17" t="n"/>
      <ns0:c r="U827" s="17" t="n"/>
      <ns0:c r="V827" s="17" t="n"/>
      <ns0:c r="W827" s="17" t="n"/>
      <ns0:c r="X827" s="17" t="n"/>
      <ns0:c r="Y827" s="17" t="n"/>
      <ns0:c r="Z827" s="17" t="n"/>
      <ns0:c r="AA827" s="17" t="n"/>
      <ns0:c r="AB827" s="17" t="n"/>
      <ns0:c r="AC827" s="17" t="n"/>
      <ns0:c r="AD827" s="17" t="n"/>
      <ns0:c r="AE827" s="17" t="n"/>
      <ns0:c r="AF827" s="17" t="n"/>
      <ns0:c r="AG827" s="17" t="n"/>
    </ns0:row>
    <ns0:row r="828" ht="24" customHeight="1">
      <ns0:c r="D828" s="17" t="n"/>
      <ns0:c r="E828" s="17" t="n"/>
      <ns0:c r="F828" s="17" t="n"/>
      <ns0:c r="G828" s="17" t="n"/>
      <ns0:c r="H828" s="17" t="n"/>
      <ns0:c r="I828" s="17" t="n"/>
      <ns0:c r="J828" s="17" t="n"/>
      <ns0:c r="K828" s="17" t="n"/>
      <ns0:c r="L828" s="17" t="n"/>
      <ns0:c r="M828" s="17" t="n"/>
      <ns0:c r="N828" s="17" t="n"/>
      <ns0:c r="O828" s="17" t="n"/>
      <ns0:c r="P828" s="17" t="n"/>
      <ns0:c r="Q828" s="17" t="n"/>
      <ns0:c r="R828" s="17" t="n"/>
      <ns0:c r="S828" s="17" t="n"/>
      <ns0:c r="T828" s="17" t="n"/>
      <ns0:c r="U828" s="17" t="n"/>
      <ns0:c r="V828" s="17" t="n"/>
      <ns0:c r="W828" s="17" t="n"/>
      <ns0:c r="X828" s="17" t="n"/>
      <ns0:c r="Y828" s="17" t="n"/>
      <ns0:c r="Z828" s="17" t="n"/>
      <ns0:c r="AA828" s="17" t="n"/>
      <ns0:c r="AB828" s="17" t="n"/>
      <ns0:c r="AC828" s="17" t="n"/>
      <ns0:c r="AD828" s="17" t="n"/>
      <ns0:c r="AE828" s="17" t="n"/>
      <ns0:c r="AF828" s="17" t="n"/>
      <ns0:c r="AG828" s="17" t="n"/>
    </ns0:row>
    <ns0:row r="829" ht="24" customHeight="1">
      <ns0:c r="D829" s="17" t="n"/>
      <ns0:c r="E829" s="17" t="n"/>
      <ns0:c r="F829" s="17" t="n"/>
      <ns0:c r="G829" s="17" t="n"/>
      <ns0:c r="H829" s="17" t="n"/>
      <ns0:c r="I829" s="17" t="n"/>
      <ns0:c r="J829" s="17" t="n"/>
      <ns0:c r="K829" s="17" t="n"/>
      <ns0:c r="L829" s="17" t="n"/>
      <ns0:c r="M829" s="17" t="n"/>
      <ns0:c r="N829" s="17" t="n"/>
      <ns0:c r="O829" s="17" t="n"/>
      <ns0:c r="P829" s="17" t="n"/>
      <ns0:c r="Q829" s="17" t="n"/>
      <ns0:c r="R829" s="17" t="n"/>
      <ns0:c r="S829" s="17" t="n"/>
      <ns0:c r="T829" s="17" t="n"/>
      <ns0:c r="U829" s="17" t="n"/>
      <ns0:c r="V829" s="17" t="n"/>
      <ns0:c r="W829" s="17" t="n"/>
      <ns0:c r="X829" s="17" t="n"/>
      <ns0:c r="Y829" s="17" t="n"/>
      <ns0:c r="Z829" s="17" t="n"/>
      <ns0:c r="AA829" s="17" t="n"/>
      <ns0:c r="AB829" s="17" t="n"/>
      <ns0:c r="AC829" s="17" t="n"/>
      <ns0:c r="AD829" s="17" t="n"/>
      <ns0:c r="AE829" s="17" t="n"/>
      <ns0:c r="AF829" s="17" t="n"/>
      <ns0:c r="AG829" s="17" t="n"/>
    </ns0:row>
    <ns0:row r="830" ht="24" customHeight="1">
      <ns0:c r="D830" s="17" t="n"/>
      <ns0:c r="E830" s="17" t="n"/>
      <ns0:c r="F830" s="17" t="n"/>
      <ns0:c r="G830" s="17" t="n"/>
      <ns0:c r="H830" s="17" t="n"/>
      <ns0:c r="I830" s="17" t="n"/>
      <ns0:c r="J830" s="17" t="n"/>
      <ns0:c r="K830" s="17" t="n"/>
      <ns0:c r="L830" s="17" t="n"/>
      <ns0:c r="M830" s="17" t="n"/>
      <ns0:c r="N830" s="17" t="n"/>
      <ns0:c r="O830" s="17" t="n"/>
      <ns0:c r="P830" s="17" t="n"/>
      <ns0:c r="Q830" s="17" t="n"/>
      <ns0:c r="R830" s="17" t="n"/>
      <ns0:c r="S830" s="17" t="n"/>
      <ns0:c r="T830" s="17" t="n"/>
      <ns0:c r="U830" s="17" t="n"/>
      <ns0:c r="V830" s="17" t="n"/>
      <ns0:c r="W830" s="17" t="n"/>
      <ns0:c r="X830" s="17" t="n"/>
      <ns0:c r="Y830" s="17" t="n"/>
      <ns0:c r="Z830" s="17" t="n"/>
      <ns0:c r="AA830" s="17" t="n"/>
      <ns0:c r="AB830" s="17" t="n"/>
      <ns0:c r="AC830" s="17" t="n"/>
      <ns0:c r="AD830" s="17" t="n"/>
      <ns0:c r="AE830" s="17" t="n"/>
      <ns0:c r="AF830" s="17" t="n"/>
      <ns0:c r="AG830" s="17" t="n"/>
    </ns0:row>
    <ns0:row r="831" ht="24" customHeight="1">
      <ns0:c r="D831" s="17" t="n"/>
      <ns0:c r="E831" s="17" t="n"/>
      <ns0:c r="F831" s="17" t="n"/>
      <ns0:c r="G831" s="17" t="n"/>
      <ns0:c r="H831" s="17" t="n"/>
      <ns0:c r="I831" s="17" t="n"/>
      <ns0:c r="J831" s="17" t="n"/>
      <ns0:c r="K831" s="17" t="n"/>
      <ns0:c r="L831" s="17" t="n"/>
      <ns0:c r="M831" s="17" t="n"/>
      <ns0:c r="N831" s="17" t="n"/>
      <ns0:c r="O831" s="17" t="n"/>
      <ns0:c r="P831" s="17" t="n"/>
      <ns0:c r="Q831" s="17" t="n"/>
      <ns0:c r="R831" s="17" t="n"/>
      <ns0:c r="S831" s="17" t="n"/>
      <ns0:c r="T831" s="17" t="n"/>
      <ns0:c r="U831" s="17" t="n"/>
      <ns0:c r="V831" s="17" t="n"/>
      <ns0:c r="W831" s="17" t="n"/>
      <ns0:c r="X831" s="17" t="n"/>
      <ns0:c r="Y831" s="17" t="n"/>
      <ns0:c r="Z831" s="17" t="n"/>
      <ns0:c r="AA831" s="17" t="n"/>
      <ns0:c r="AB831" s="17" t="n"/>
      <ns0:c r="AC831" s="17" t="n"/>
      <ns0:c r="AD831" s="17" t="n"/>
      <ns0:c r="AE831" s="17" t="n"/>
      <ns0:c r="AF831" s="17" t="n"/>
      <ns0:c r="AG831" s="17" t="n"/>
    </ns0:row>
    <ns0:row r="832" ht="24" customHeight="1">
      <ns0:c r="D832" s="17" t="n"/>
      <ns0:c r="E832" s="17" t="n"/>
      <ns0:c r="F832" s="17" t="n"/>
      <ns0:c r="G832" s="17" t="n"/>
      <ns0:c r="H832" s="17" t="n"/>
      <ns0:c r="I832" s="17" t="n"/>
      <ns0:c r="J832" s="17" t="n"/>
      <ns0:c r="K832" s="17" t="n"/>
      <ns0:c r="L832" s="17" t="n"/>
      <ns0:c r="M832" s="17" t="n"/>
      <ns0:c r="N832" s="17" t="n"/>
      <ns0:c r="O832" s="17" t="n"/>
      <ns0:c r="P832" s="17" t="n"/>
      <ns0:c r="Q832" s="17" t="n"/>
      <ns0:c r="R832" s="17" t="n"/>
      <ns0:c r="S832" s="17" t="n"/>
      <ns0:c r="T832" s="17" t="n"/>
      <ns0:c r="U832" s="17" t="n"/>
      <ns0:c r="V832" s="17" t="n"/>
      <ns0:c r="W832" s="17" t="n"/>
      <ns0:c r="X832" s="17" t="n"/>
      <ns0:c r="Y832" s="17" t="n"/>
      <ns0:c r="Z832" s="17" t="n"/>
      <ns0:c r="AA832" s="17" t="n"/>
      <ns0:c r="AB832" s="17" t="n"/>
      <ns0:c r="AC832" s="17" t="n"/>
      <ns0:c r="AD832" s="17" t="n"/>
      <ns0:c r="AE832" s="17" t="n"/>
      <ns0:c r="AF832" s="17" t="n"/>
      <ns0:c r="AG832" s="17" t="n"/>
    </ns0:row>
    <ns0:row r="833" ht="24" customHeight="1">
      <ns0:c r="D833" s="17" t="n"/>
      <ns0:c r="E833" s="17" t="n"/>
      <ns0:c r="F833" s="17" t="n"/>
      <ns0:c r="G833" s="17" t="n"/>
      <ns0:c r="H833" s="17" t="n"/>
      <ns0:c r="I833" s="17" t="n"/>
      <ns0:c r="J833" s="17" t="n"/>
      <ns0:c r="K833" s="17" t="n"/>
      <ns0:c r="L833" s="17" t="n"/>
      <ns0:c r="M833" s="17" t="n"/>
      <ns0:c r="N833" s="17" t="n"/>
      <ns0:c r="O833" s="17" t="n"/>
      <ns0:c r="P833" s="17" t="n"/>
      <ns0:c r="Q833" s="17" t="n"/>
      <ns0:c r="R833" s="17" t="n"/>
      <ns0:c r="S833" s="17" t="n"/>
      <ns0:c r="T833" s="17" t="n"/>
      <ns0:c r="U833" s="17" t="n"/>
      <ns0:c r="V833" s="17" t="n"/>
      <ns0:c r="W833" s="17" t="n"/>
      <ns0:c r="X833" s="17" t="n"/>
      <ns0:c r="Y833" s="17" t="n"/>
      <ns0:c r="Z833" s="17" t="n"/>
      <ns0:c r="AA833" s="17" t="n"/>
      <ns0:c r="AB833" s="17" t="n"/>
      <ns0:c r="AC833" s="17" t="n"/>
      <ns0:c r="AD833" s="17" t="n"/>
      <ns0:c r="AE833" s="17" t="n"/>
      <ns0:c r="AF833" s="17" t="n"/>
      <ns0:c r="AG833" s="17" t="n"/>
    </ns0:row>
    <ns0:row r="834" ht="24" customHeight="1">
      <ns0:c r="D834" s="17" t="n"/>
      <ns0:c r="E834" s="17" t="n"/>
      <ns0:c r="F834" s="17" t="n"/>
      <ns0:c r="G834" s="17" t="n"/>
      <ns0:c r="H834" s="17" t="n"/>
      <ns0:c r="I834" s="17" t="n"/>
      <ns0:c r="J834" s="17" t="n"/>
      <ns0:c r="K834" s="17" t="n"/>
      <ns0:c r="L834" s="17" t="n"/>
      <ns0:c r="M834" s="17" t="n"/>
      <ns0:c r="N834" s="17" t="n"/>
      <ns0:c r="O834" s="17" t="n"/>
      <ns0:c r="P834" s="17" t="n"/>
      <ns0:c r="Q834" s="17" t="n"/>
      <ns0:c r="R834" s="17" t="n"/>
      <ns0:c r="S834" s="17" t="n"/>
      <ns0:c r="T834" s="17" t="n"/>
      <ns0:c r="U834" s="17" t="n"/>
      <ns0:c r="V834" s="17" t="n"/>
      <ns0:c r="W834" s="17" t="n"/>
      <ns0:c r="X834" s="17" t="n"/>
      <ns0:c r="Y834" s="17" t="n"/>
      <ns0:c r="Z834" s="17" t="n"/>
      <ns0:c r="AA834" s="17" t="n"/>
      <ns0:c r="AB834" s="17" t="n"/>
      <ns0:c r="AC834" s="17" t="n"/>
      <ns0:c r="AD834" s="17" t="n"/>
      <ns0:c r="AE834" s="17" t="n"/>
      <ns0:c r="AF834" s="17" t="n"/>
      <ns0:c r="AG834" s="17" t="n"/>
    </ns0:row>
    <ns0:row r="835" ht="24" customHeight="1">
      <ns0:c r="D835" s="17" t="n"/>
      <ns0:c r="E835" s="17" t="n"/>
      <ns0:c r="F835" s="17" t="n"/>
      <ns0:c r="G835" s="17" t="n"/>
      <ns0:c r="H835" s="17" t="n"/>
      <ns0:c r="I835" s="17" t="n"/>
      <ns0:c r="J835" s="17" t="n"/>
      <ns0:c r="K835" s="17" t="n"/>
      <ns0:c r="L835" s="17" t="n"/>
      <ns0:c r="M835" s="17" t="n"/>
      <ns0:c r="N835" s="17" t="n"/>
      <ns0:c r="O835" s="17" t="n"/>
      <ns0:c r="P835" s="17" t="n"/>
      <ns0:c r="Q835" s="17" t="n"/>
      <ns0:c r="R835" s="17" t="n"/>
      <ns0:c r="S835" s="17" t="n"/>
      <ns0:c r="T835" s="17" t="n"/>
      <ns0:c r="U835" s="17" t="n"/>
      <ns0:c r="V835" s="17" t="n"/>
      <ns0:c r="W835" s="17" t="n"/>
      <ns0:c r="X835" s="17" t="n"/>
      <ns0:c r="Y835" s="17" t="n"/>
      <ns0:c r="Z835" s="17" t="n"/>
      <ns0:c r="AA835" s="17" t="n"/>
      <ns0:c r="AB835" s="17" t="n"/>
      <ns0:c r="AC835" s="17" t="n"/>
      <ns0:c r="AD835" s="17" t="n"/>
      <ns0:c r="AE835" s="17" t="n"/>
      <ns0:c r="AF835" s="17" t="n"/>
      <ns0:c r="AG835" s="17" t="n"/>
    </ns0:row>
    <ns0:row r="836" ht="24" customHeight="1">
      <ns0:c r="D836" s="17" t="n"/>
      <ns0:c r="E836" s="17" t="n"/>
      <ns0:c r="F836" s="17" t="n"/>
      <ns0:c r="G836" s="17" t="n"/>
      <ns0:c r="H836" s="17" t="n"/>
      <ns0:c r="I836" s="17" t="n"/>
      <ns0:c r="J836" s="17" t="n"/>
      <ns0:c r="K836" s="17" t="n"/>
      <ns0:c r="L836" s="17" t="n"/>
      <ns0:c r="M836" s="17" t="n"/>
      <ns0:c r="N836" s="17" t="n"/>
      <ns0:c r="O836" s="17" t="n"/>
      <ns0:c r="P836" s="17" t="n"/>
      <ns0:c r="Q836" s="17" t="n"/>
      <ns0:c r="R836" s="17" t="n"/>
      <ns0:c r="S836" s="17" t="n"/>
      <ns0:c r="T836" s="17" t="n"/>
      <ns0:c r="U836" s="17" t="n"/>
      <ns0:c r="V836" s="17" t="n"/>
      <ns0:c r="W836" s="17" t="n"/>
      <ns0:c r="X836" s="17" t="n"/>
      <ns0:c r="Y836" s="17" t="n"/>
      <ns0:c r="Z836" s="17" t="n"/>
      <ns0:c r="AA836" s="17" t="n"/>
      <ns0:c r="AB836" s="17" t="n"/>
      <ns0:c r="AC836" s="17" t="n"/>
      <ns0:c r="AD836" s="17" t="n"/>
      <ns0:c r="AE836" s="17" t="n"/>
      <ns0:c r="AF836" s="17" t="n"/>
      <ns0:c r="AG836" s="17" t="n"/>
    </ns0:row>
    <ns0:row r="837" ht="24" customHeight="1">
      <ns0:c r="D837" s="17" t="n"/>
      <ns0:c r="E837" s="17" t="n"/>
      <ns0:c r="F837" s="17" t="n"/>
      <ns0:c r="G837" s="17" t="n"/>
      <ns0:c r="H837" s="17" t="n"/>
      <ns0:c r="I837" s="17" t="n"/>
      <ns0:c r="J837" s="17" t="n"/>
      <ns0:c r="K837" s="17" t="n"/>
      <ns0:c r="L837" s="17" t="n"/>
      <ns0:c r="M837" s="17" t="n"/>
      <ns0:c r="N837" s="17" t="n"/>
      <ns0:c r="O837" s="17" t="n"/>
      <ns0:c r="P837" s="17" t="n"/>
      <ns0:c r="Q837" s="17" t="n"/>
      <ns0:c r="R837" s="17" t="n"/>
      <ns0:c r="S837" s="17" t="n"/>
      <ns0:c r="T837" s="17" t="n"/>
      <ns0:c r="U837" s="17" t="n"/>
      <ns0:c r="V837" s="17" t="n"/>
      <ns0:c r="W837" s="17" t="n"/>
      <ns0:c r="X837" s="17" t="n"/>
      <ns0:c r="Y837" s="17" t="n"/>
      <ns0:c r="Z837" s="17" t="n"/>
      <ns0:c r="AA837" s="17" t="n"/>
      <ns0:c r="AB837" s="17" t="n"/>
      <ns0:c r="AC837" s="17" t="n"/>
      <ns0:c r="AD837" s="17" t="n"/>
      <ns0:c r="AE837" s="17" t="n"/>
      <ns0:c r="AF837" s="17" t="n"/>
      <ns0:c r="AG837" s="17" t="n"/>
    </ns0:row>
    <ns0:row r="838" ht="24" customHeight="1">
      <ns0:c r="D838" s="17" t="n"/>
      <ns0:c r="E838" s="17" t="n"/>
      <ns0:c r="F838" s="17" t="n"/>
      <ns0:c r="G838" s="17" t="n"/>
      <ns0:c r="H838" s="17" t="n"/>
      <ns0:c r="I838" s="17" t="n"/>
      <ns0:c r="J838" s="17" t="n"/>
      <ns0:c r="K838" s="17" t="n"/>
      <ns0:c r="L838" s="17" t="n"/>
      <ns0:c r="M838" s="17" t="n"/>
      <ns0:c r="N838" s="17" t="n"/>
      <ns0:c r="O838" s="17" t="n"/>
      <ns0:c r="P838" s="17" t="n"/>
      <ns0:c r="Q838" s="17" t="n"/>
      <ns0:c r="R838" s="17" t="n"/>
      <ns0:c r="S838" s="17" t="n"/>
      <ns0:c r="T838" s="17" t="n"/>
      <ns0:c r="U838" s="17" t="n"/>
      <ns0:c r="V838" s="17" t="n"/>
      <ns0:c r="W838" s="17" t="n"/>
      <ns0:c r="X838" s="17" t="n"/>
      <ns0:c r="Y838" s="17" t="n"/>
      <ns0:c r="Z838" s="17" t="n"/>
      <ns0:c r="AA838" s="17" t="n"/>
      <ns0:c r="AB838" s="17" t="n"/>
      <ns0:c r="AC838" s="17" t="n"/>
      <ns0:c r="AD838" s="17" t="n"/>
      <ns0:c r="AE838" s="17" t="n"/>
      <ns0:c r="AF838" s="17" t="n"/>
      <ns0:c r="AG838" s="17" t="n"/>
    </ns0:row>
    <ns0:row r="839" ht="24" customHeight="1">
      <ns0:c r="D839" s="17" t="n"/>
      <ns0:c r="E839" s="17" t="n"/>
      <ns0:c r="F839" s="17" t="n"/>
      <ns0:c r="G839" s="17" t="n"/>
      <ns0:c r="H839" s="17" t="n"/>
      <ns0:c r="I839" s="17" t="n"/>
      <ns0:c r="J839" s="17" t="n"/>
      <ns0:c r="K839" s="17" t="n"/>
      <ns0:c r="L839" s="17" t="n"/>
      <ns0:c r="M839" s="17" t="n"/>
      <ns0:c r="N839" s="17" t="n"/>
      <ns0:c r="O839" s="17" t="n"/>
      <ns0:c r="P839" s="17" t="n"/>
      <ns0:c r="Q839" s="17" t="n"/>
      <ns0:c r="R839" s="17" t="n"/>
      <ns0:c r="S839" s="17" t="n"/>
      <ns0:c r="T839" s="17" t="n"/>
      <ns0:c r="U839" s="17" t="n"/>
      <ns0:c r="V839" s="17" t="n"/>
      <ns0:c r="W839" s="17" t="n"/>
      <ns0:c r="X839" s="17" t="n"/>
      <ns0:c r="Y839" s="17" t="n"/>
      <ns0:c r="Z839" s="17" t="n"/>
      <ns0:c r="AA839" s="17" t="n"/>
      <ns0:c r="AB839" s="17" t="n"/>
      <ns0:c r="AC839" s="17" t="n"/>
      <ns0:c r="AD839" s="17" t="n"/>
      <ns0:c r="AE839" s="17" t="n"/>
      <ns0:c r="AF839" s="17" t="n"/>
      <ns0:c r="AG839" s="17" t="n"/>
    </ns0:row>
    <ns0:row r="840" ht="24" customHeight="1">
      <ns0:c r="D840" s="17" t="n"/>
      <ns0:c r="E840" s="17" t="n"/>
      <ns0:c r="F840" s="17" t="n"/>
      <ns0:c r="G840" s="17" t="n"/>
      <ns0:c r="H840" s="17" t="n"/>
      <ns0:c r="I840" s="17" t="n"/>
      <ns0:c r="J840" s="17" t="n"/>
      <ns0:c r="K840" s="17" t="n"/>
      <ns0:c r="L840" s="17" t="n"/>
      <ns0:c r="M840" s="17" t="n"/>
      <ns0:c r="N840" s="17" t="n"/>
      <ns0:c r="O840" s="17" t="n"/>
      <ns0:c r="P840" s="17" t="n"/>
      <ns0:c r="Q840" s="17" t="n"/>
      <ns0:c r="R840" s="17" t="n"/>
      <ns0:c r="S840" s="17" t="n"/>
      <ns0:c r="T840" s="17" t="n"/>
      <ns0:c r="U840" s="17" t="n"/>
      <ns0:c r="V840" s="17" t="n"/>
      <ns0:c r="W840" s="17" t="n"/>
      <ns0:c r="X840" s="17" t="n"/>
      <ns0:c r="Y840" s="17" t="n"/>
      <ns0:c r="Z840" s="17" t="n"/>
      <ns0:c r="AA840" s="17" t="n"/>
      <ns0:c r="AB840" s="17" t="n"/>
      <ns0:c r="AC840" s="17" t="n"/>
      <ns0:c r="AD840" s="17" t="n"/>
      <ns0:c r="AE840" s="17" t="n"/>
      <ns0:c r="AF840" s="17" t="n"/>
      <ns0:c r="AG840" s="17" t="n"/>
    </ns0:row>
    <ns0:row r="841" ht="24" customHeight="1">
      <ns0:c r="D841" s="17" t="n"/>
      <ns0:c r="E841" s="17" t="n"/>
      <ns0:c r="F841" s="17" t="n"/>
      <ns0:c r="G841" s="17" t="n"/>
      <ns0:c r="H841" s="17" t="n"/>
      <ns0:c r="I841" s="17" t="n"/>
      <ns0:c r="J841" s="17" t="n"/>
      <ns0:c r="K841" s="17" t="n"/>
      <ns0:c r="L841" s="17" t="n"/>
      <ns0:c r="M841" s="17" t="n"/>
      <ns0:c r="N841" s="17" t="n"/>
      <ns0:c r="O841" s="17" t="n"/>
      <ns0:c r="P841" s="17" t="n"/>
      <ns0:c r="Q841" s="17" t="n"/>
      <ns0:c r="R841" s="17" t="n"/>
      <ns0:c r="S841" s="17" t="n"/>
      <ns0:c r="T841" s="17" t="n"/>
      <ns0:c r="U841" s="17" t="n"/>
      <ns0:c r="V841" s="17" t="n"/>
      <ns0:c r="W841" s="17" t="n"/>
      <ns0:c r="X841" s="17" t="n"/>
      <ns0:c r="Y841" s="17" t="n"/>
      <ns0:c r="Z841" s="17" t="n"/>
      <ns0:c r="AA841" s="17" t="n"/>
      <ns0:c r="AB841" s="17" t="n"/>
      <ns0:c r="AC841" s="17" t="n"/>
      <ns0:c r="AD841" s="17" t="n"/>
      <ns0:c r="AE841" s="17" t="n"/>
      <ns0:c r="AF841" s="17" t="n"/>
      <ns0:c r="AG841" s="17" t="n"/>
    </ns0:row>
    <ns0:row r="842" ht="24" customHeight="1">
      <ns0:c r="D842" s="17" t="n"/>
      <ns0:c r="E842" s="17" t="n"/>
      <ns0:c r="F842" s="17" t="n"/>
      <ns0:c r="G842" s="17" t="n"/>
      <ns0:c r="H842" s="17" t="n"/>
      <ns0:c r="I842" s="17" t="n"/>
      <ns0:c r="J842" s="17" t="n"/>
      <ns0:c r="K842" s="17" t="n"/>
      <ns0:c r="L842" s="17" t="n"/>
      <ns0:c r="M842" s="17" t="n"/>
      <ns0:c r="N842" s="17" t="n"/>
      <ns0:c r="O842" s="17" t="n"/>
      <ns0:c r="P842" s="17" t="n"/>
      <ns0:c r="Q842" s="17" t="n"/>
      <ns0:c r="R842" s="17" t="n"/>
      <ns0:c r="S842" s="17" t="n"/>
      <ns0:c r="T842" s="17" t="n"/>
      <ns0:c r="U842" s="17" t="n"/>
      <ns0:c r="V842" s="17" t="n"/>
      <ns0:c r="W842" s="17" t="n"/>
      <ns0:c r="X842" s="17" t="n"/>
      <ns0:c r="Y842" s="17" t="n"/>
      <ns0:c r="Z842" s="17" t="n"/>
      <ns0:c r="AA842" s="17" t="n"/>
      <ns0:c r="AB842" s="17" t="n"/>
      <ns0:c r="AC842" s="17" t="n"/>
      <ns0:c r="AD842" s="17" t="n"/>
      <ns0:c r="AE842" s="17" t="n"/>
      <ns0:c r="AF842" s="17" t="n"/>
      <ns0:c r="AG842" s="17" t="n"/>
    </ns0:row>
    <ns0:row r="843" ht="24" customHeight="1">
      <ns0:c r="D843" s="17" t="n"/>
      <ns0:c r="E843" s="17" t="n"/>
      <ns0:c r="F843" s="17" t="n"/>
      <ns0:c r="G843" s="17" t="n"/>
      <ns0:c r="H843" s="17" t="n"/>
      <ns0:c r="I843" s="17" t="n"/>
      <ns0:c r="J843" s="17" t="n"/>
      <ns0:c r="K843" s="17" t="n"/>
      <ns0:c r="L843" s="17" t="n"/>
      <ns0:c r="M843" s="17" t="n"/>
      <ns0:c r="N843" s="17" t="n"/>
      <ns0:c r="O843" s="17" t="n"/>
      <ns0:c r="P843" s="17" t="n"/>
      <ns0:c r="Q843" s="17" t="n"/>
      <ns0:c r="R843" s="17" t="n"/>
      <ns0:c r="S843" s="17" t="n"/>
      <ns0:c r="T843" s="17" t="n"/>
      <ns0:c r="U843" s="17" t="n"/>
      <ns0:c r="V843" s="17" t="n"/>
      <ns0:c r="W843" s="17" t="n"/>
      <ns0:c r="X843" s="17" t="n"/>
      <ns0:c r="Y843" s="17" t="n"/>
      <ns0:c r="Z843" s="17" t="n"/>
      <ns0:c r="AA843" s="17" t="n"/>
      <ns0:c r="AB843" s="17" t="n"/>
      <ns0:c r="AC843" s="17" t="n"/>
      <ns0:c r="AD843" s="17" t="n"/>
      <ns0:c r="AE843" s="17" t="n"/>
      <ns0:c r="AF843" s="17" t="n"/>
      <ns0:c r="AG843" s="17" t="n"/>
    </ns0:row>
    <ns0:row r="844" ht="24" customHeight="1">
      <ns0:c r="D844" s="17" t="n"/>
      <ns0:c r="E844" s="17" t="n"/>
      <ns0:c r="F844" s="17" t="n"/>
      <ns0:c r="G844" s="17" t="n"/>
      <ns0:c r="H844" s="17" t="n"/>
      <ns0:c r="I844" s="17" t="n"/>
      <ns0:c r="J844" s="17" t="n"/>
      <ns0:c r="K844" s="17" t="n"/>
      <ns0:c r="L844" s="17" t="n"/>
      <ns0:c r="M844" s="17" t="n"/>
      <ns0:c r="N844" s="17" t="n"/>
      <ns0:c r="O844" s="17" t="n"/>
      <ns0:c r="P844" s="17" t="n"/>
      <ns0:c r="Q844" s="17" t="n"/>
      <ns0:c r="R844" s="17" t="n"/>
      <ns0:c r="S844" s="17" t="n"/>
      <ns0:c r="T844" s="17" t="n"/>
      <ns0:c r="U844" s="17" t="n"/>
      <ns0:c r="V844" s="17" t="n"/>
      <ns0:c r="W844" s="17" t="n"/>
      <ns0:c r="X844" s="17" t="n"/>
      <ns0:c r="Y844" s="17" t="n"/>
      <ns0:c r="Z844" s="17" t="n"/>
      <ns0:c r="AA844" s="17" t="n"/>
      <ns0:c r="AB844" s="17" t="n"/>
      <ns0:c r="AC844" s="17" t="n"/>
      <ns0:c r="AD844" s="17" t="n"/>
      <ns0:c r="AE844" s="17" t="n"/>
      <ns0:c r="AF844" s="17" t="n"/>
      <ns0:c r="AG844" s="17" t="n"/>
    </ns0:row>
    <ns0:row r="845" ht="24" customHeight="1">
      <ns0:c r="D845" s="17" t="n"/>
      <ns0:c r="E845" s="17" t="n"/>
      <ns0:c r="F845" s="17" t="n"/>
      <ns0:c r="G845" s="17" t="n"/>
      <ns0:c r="H845" s="17" t="n"/>
      <ns0:c r="I845" s="17" t="n"/>
      <ns0:c r="J845" s="17" t="n"/>
      <ns0:c r="K845" s="17" t="n"/>
      <ns0:c r="L845" s="17" t="n"/>
      <ns0:c r="M845" s="17" t="n"/>
      <ns0:c r="N845" s="17" t="n"/>
      <ns0:c r="O845" s="17" t="n"/>
      <ns0:c r="P845" s="17" t="n"/>
      <ns0:c r="Q845" s="17" t="n"/>
      <ns0:c r="R845" s="17" t="n"/>
      <ns0:c r="S845" s="17" t="n"/>
      <ns0:c r="T845" s="17" t="n"/>
      <ns0:c r="U845" s="17" t="n"/>
      <ns0:c r="V845" s="17" t="n"/>
      <ns0:c r="W845" s="17" t="n"/>
      <ns0:c r="X845" s="17" t="n"/>
      <ns0:c r="Y845" s="17" t="n"/>
      <ns0:c r="Z845" s="17" t="n"/>
      <ns0:c r="AA845" s="17" t="n"/>
      <ns0:c r="AB845" s="17" t="n"/>
      <ns0:c r="AC845" s="17" t="n"/>
      <ns0:c r="AD845" s="17" t="n"/>
      <ns0:c r="AE845" s="17" t="n"/>
      <ns0:c r="AF845" s="17" t="n"/>
      <ns0:c r="AG845" s="17" t="n"/>
    </ns0:row>
    <ns0:row r="846" ht="24" customHeight="1">
      <ns0:c r="D846" s="17" t="n"/>
      <ns0:c r="E846" s="17" t="n"/>
      <ns0:c r="F846" s="17" t="n"/>
      <ns0:c r="G846" s="17" t="n"/>
      <ns0:c r="H846" s="17" t="n"/>
      <ns0:c r="I846" s="17" t="n"/>
      <ns0:c r="J846" s="17" t="n"/>
      <ns0:c r="K846" s="17" t="n"/>
      <ns0:c r="L846" s="17" t="n"/>
      <ns0:c r="M846" s="17" t="n"/>
      <ns0:c r="N846" s="17" t="n"/>
      <ns0:c r="O846" s="17" t="n"/>
      <ns0:c r="P846" s="17" t="n"/>
      <ns0:c r="Q846" s="17" t="n"/>
      <ns0:c r="R846" s="17" t="n"/>
      <ns0:c r="S846" s="17" t="n"/>
      <ns0:c r="T846" s="17" t="n"/>
      <ns0:c r="U846" s="17" t="n"/>
      <ns0:c r="V846" s="17" t="n"/>
      <ns0:c r="W846" s="17" t="n"/>
      <ns0:c r="X846" s="17" t="n"/>
      <ns0:c r="Y846" s="17" t="n"/>
      <ns0:c r="Z846" s="17" t="n"/>
      <ns0:c r="AA846" s="17" t="n"/>
      <ns0:c r="AB846" s="17" t="n"/>
      <ns0:c r="AC846" s="17" t="n"/>
      <ns0:c r="AD846" s="17" t="n"/>
      <ns0:c r="AE846" s="17" t="n"/>
      <ns0:c r="AF846" s="17" t="n"/>
      <ns0:c r="AG846" s="17" t="n"/>
    </ns0:row>
    <ns0:row r="847" ht="24" customHeight="1">
      <ns0:c r="D847" s="17" t="n"/>
      <ns0:c r="E847" s="17" t="n"/>
      <ns0:c r="F847" s="17" t="n"/>
      <ns0:c r="G847" s="17" t="n"/>
      <ns0:c r="H847" s="17" t="n"/>
      <ns0:c r="I847" s="17" t="n"/>
      <ns0:c r="J847" s="17" t="n"/>
      <ns0:c r="K847" s="17" t="n"/>
      <ns0:c r="L847" s="17" t="n"/>
      <ns0:c r="M847" s="17" t="n"/>
      <ns0:c r="N847" s="17" t="n"/>
      <ns0:c r="O847" s="17" t="n"/>
      <ns0:c r="P847" s="17" t="n"/>
      <ns0:c r="Q847" s="17" t="n"/>
      <ns0:c r="R847" s="17" t="n"/>
      <ns0:c r="S847" s="17" t="n"/>
      <ns0:c r="T847" s="17" t="n"/>
      <ns0:c r="U847" s="17" t="n"/>
      <ns0:c r="V847" s="17" t="n"/>
      <ns0:c r="W847" s="17" t="n"/>
      <ns0:c r="X847" s="17" t="n"/>
      <ns0:c r="Y847" s="17" t="n"/>
      <ns0:c r="Z847" s="17" t="n"/>
      <ns0:c r="AA847" s="17" t="n"/>
      <ns0:c r="AB847" s="17" t="n"/>
      <ns0:c r="AC847" s="17" t="n"/>
      <ns0:c r="AD847" s="17" t="n"/>
      <ns0:c r="AE847" s="17" t="n"/>
      <ns0:c r="AF847" s="17" t="n"/>
      <ns0:c r="AG847" s="17" t="n"/>
    </ns0:row>
    <ns0:row r="848" ht="24" customHeight="1">
      <ns0:c r="D848" s="17" t="n"/>
      <ns0:c r="E848" s="17" t="n"/>
      <ns0:c r="F848" s="17" t="n"/>
      <ns0:c r="G848" s="17" t="n"/>
      <ns0:c r="H848" s="17" t="n"/>
      <ns0:c r="I848" s="17" t="n"/>
      <ns0:c r="J848" s="17" t="n"/>
      <ns0:c r="K848" s="17" t="n"/>
      <ns0:c r="L848" s="17" t="n"/>
      <ns0:c r="M848" s="17" t="n"/>
      <ns0:c r="N848" s="17" t="n"/>
      <ns0:c r="O848" s="17" t="n"/>
      <ns0:c r="P848" s="17" t="n"/>
      <ns0:c r="Q848" s="17" t="n"/>
      <ns0:c r="R848" s="17" t="n"/>
      <ns0:c r="S848" s="17" t="n"/>
      <ns0:c r="T848" s="17" t="n"/>
      <ns0:c r="U848" s="17" t="n"/>
      <ns0:c r="V848" s="17" t="n"/>
      <ns0:c r="W848" s="17" t="n"/>
      <ns0:c r="X848" s="17" t="n"/>
      <ns0:c r="Y848" s="17" t="n"/>
      <ns0:c r="Z848" s="17" t="n"/>
      <ns0:c r="AA848" s="17" t="n"/>
      <ns0:c r="AB848" s="17" t="n"/>
      <ns0:c r="AC848" s="17" t="n"/>
      <ns0:c r="AD848" s="17" t="n"/>
      <ns0:c r="AE848" s="17" t="n"/>
      <ns0:c r="AF848" s="17" t="n"/>
      <ns0:c r="AG848" s="17" t="n"/>
    </ns0:row>
    <ns0:row r="849" ht="24" customHeight="1">
      <ns0:c r="D849" s="17" t="n"/>
      <ns0:c r="E849" s="17" t="n"/>
      <ns0:c r="F849" s="17" t="n"/>
      <ns0:c r="G849" s="17" t="n"/>
      <ns0:c r="H849" s="17" t="n"/>
      <ns0:c r="I849" s="17" t="n"/>
      <ns0:c r="J849" s="17" t="n"/>
      <ns0:c r="K849" s="17" t="n"/>
      <ns0:c r="L849" s="17" t="n"/>
      <ns0:c r="M849" s="17" t="n"/>
      <ns0:c r="N849" s="17" t="n"/>
      <ns0:c r="O849" s="17" t="n"/>
      <ns0:c r="P849" s="17" t="n"/>
      <ns0:c r="Q849" s="17" t="n"/>
      <ns0:c r="R849" s="17" t="n"/>
      <ns0:c r="S849" s="17" t="n"/>
      <ns0:c r="T849" s="17" t="n"/>
      <ns0:c r="U849" s="17" t="n"/>
      <ns0:c r="V849" s="17" t="n"/>
      <ns0:c r="W849" s="17" t="n"/>
      <ns0:c r="X849" s="17" t="n"/>
      <ns0:c r="Y849" s="17" t="n"/>
      <ns0:c r="Z849" s="17" t="n"/>
      <ns0:c r="AA849" s="17" t="n"/>
      <ns0:c r="AB849" s="17" t="n"/>
      <ns0:c r="AC849" s="17" t="n"/>
      <ns0:c r="AD849" s="17" t="n"/>
      <ns0:c r="AE849" s="17" t="n"/>
      <ns0:c r="AF849" s="17" t="n"/>
      <ns0:c r="AG849" s="17" t="n"/>
    </ns0:row>
    <ns0:row r="850" ht="24" customHeight="1">
      <ns0:c r="D850" s="17" t="n"/>
      <ns0:c r="E850" s="17" t="n"/>
      <ns0:c r="F850" s="17" t="n"/>
      <ns0:c r="G850" s="17" t="n"/>
      <ns0:c r="H850" s="17" t="n"/>
      <ns0:c r="I850" s="17" t="n"/>
      <ns0:c r="J850" s="17" t="n"/>
      <ns0:c r="K850" s="17" t="n"/>
      <ns0:c r="L850" s="17" t="n"/>
      <ns0:c r="M850" s="17" t="n"/>
      <ns0:c r="N850" s="17" t="n"/>
      <ns0:c r="O850" s="17" t="n"/>
      <ns0:c r="P850" s="17" t="n"/>
      <ns0:c r="Q850" s="17" t="n"/>
      <ns0:c r="R850" s="17" t="n"/>
      <ns0:c r="S850" s="17" t="n"/>
      <ns0:c r="T850" s="17" t="n"/>
      <ns0:c r="U850" s="17" t="n"/>
      <ns0:c r="V850" s="17" t="n"/>
      <ns0:c r="W850" s="17" t="n"/>
      <ns0:c r="X850" s="17" t="n"/>
      <ns0:c r="Y850" s="17" t="n"/>
      <ns0:c r="Z850" s="17" t="n"/>
      <ns0:c r="AA850" s="17" t="n"/>
      <ns0:c r="AB850" s="17" t="n"/>
      <ns0:c r="AC850" s="17" t="n"/>
      <ns0:c r="AD850" s="17" t="n"/>
      <ns0:c r="AE850" s="17" t="n"/>
      <ns0:c r="AF850" s="17" t="n"/>
      <ns0:c r="AG850" s="17" t="n"/>
    </ns0:row>
    <ns0:row r="851" ht="24" customHeight="1">
      <ns0:c r="D851" s="17" t="n"/>
      <ns0:c r="E851" s="17" t="n"/>
      <ns0:c r="F851" s="17" t="n"/>
      <ns0:c r="G851" s="17" t="n"/>
      <ns0:c r="H851" s="17" t="n"/>
      <ns0:c r="I851" s="17" t="n"/>
      <ns0:c r="J851" s="17" t="n"/>
      <ns0:c r="K851" s="17" t="n"/>
      <ns0:c r="L851" s="17" t="n"/>
      <ns0:c r="M851" s="17" t="n"/>
      <ns0:c r="N851" s="17" t="n"/>
      <ns0:c r="O851" s="17" t="n"/>
      <ns0:c r="P851" s="17" t="n"/>
      <ns0:c r="Q851" s="17" t="n"/>
      <ns0:c r="R851" s="17" t="n"/>
      <ns0:c r="S851" s="17" t="n"/>
      <ns0:c r="T851" s="17" t="n"/>
      <ns0:c r="U851" s="17" t="n"/>
      <ns0:c r="V851" s="17" t="n"/>
      <ns0:c r="W851" s="17" t="n"/>
      <ns0:c r="X851" s="17" t="n"/>
      <ns0:c r="Y851" s="17" t="n"/>
      <ns0:c r="Z851" s="17" t="n"/>
      <ns0:c r="AA851" s="17" t="n"/>
      <ns0:c r="AB851" s="17" t="n"/>
      <ns0:c r="AC851" s="17" t="n"/>
      <ns0:c r="AD851" s="17" t="n"/>
      <ns0:c r="AE851" s="17" t="n"/>
      <ns0:c r="AF851" s="17" t="n"/>
      <ns0:c r="AG851" s="17" t="n"/>
    </ns0:row>
    <ns0:row r="852" ht="24" customHeight="1">
      <ns0:c r="D852" s="17" t="n"/>
      <ns0:c r="E852" s="17" t="n"/>
      <ns0:c r="F852" s="17" t="n"/>
      <ns0:c r="G852" s="17" t="n"/>
      <ns0:c r="H852" s="17" t="n"/>
      <ns0:c r="I852" s="17" t="n"/>
      <ns0:c r="J852" s="17" t="n"/>
      <ns0:c r="K852" s="17" t="n"/>
      <ns0:c r="L852" s="17" t="n"/>
      <ns0:c r="M852" s="17" t="n"/>
      <ns0:c r="N852" s="17" t="n"/>
      <ns0:c r="O852" s="17" t="n"/>
      <ns0:c r="P852" s="17" t="n"/>
      <ns0:c r="Q852" s="17" t="n"/>
      <ns0:c r="R852" s="17" t="n"/>
      <ns0:c r="S852" s="17" t="n"/>
      <ns0:c r="T852" s="17" t="n"/>
      <ns0:c r="U852" s="17" t="n"/>
      <ns0:c r="V852" s="17" t="n"/>
      <ns0:c r="W852" s="17" t="n"/>
      <ns0:c r="X852" s="17" t="n"/>
      <ns0:c r="Y852" s="17" t="n"/>
      <ns0:c r="Z852" s="17" t="n"/>
      <ns0:c r="AA852" s="17" t="n"/>
      <ns0:c r="AB852" s="17" t="n"/>
      <ns0:c r="AC852" s="17" t="n"/>
      <ns0:c r="AD852" s="17" t="n"/>
      <ns0:c r="AE852" s="17" t="n"/>
      <ns0:c r="AF852" s="17" t="n"/>
      <ns0:c r="AG852" s="17" t="n"/>
    </ns0:row>
    <ns0:row r="853" ht="24" customHeight="1">
      <ns0:c r="D853" s="17" t="n"/>
      <ns0:c r="E853" s="17" t="n"/>
      <ns0:c r="F853" s="17" t="n"/>
      <ns0:c r="G853" s="17" t="n"/>
      <ns0:c r="H853" s="17" t="n"/>
      <ns0:c r="I853" s="17" t="n"/>
      <ns0:c r="J853" s="17" t="n"/>
      <ns0:c r="K853" s="17" t="n"/>
      <ns0:c r="L853" s="17" t="n"/>
      <ns0:c r="M853" s="17" t="n"/>
      <ns0:c r="N853" s="17" t="n"/>
      <ns0:c r="O853" s="17" t="n"/>
      <ns0:c r="P853" s="17" t="n"/>
      <ns0:c r="Q853" s="17" t="n"/>
      <ns0:c r="R853" s="17" t="n"/>
      <ns0:c r="S853" s="17" t="n"/>
      <ns0:c r="T853" s="17" t="n"/>
      <ns0:c r="U853" s="17" t="n"/>
      <ns0:c r="V853" s="17" t="n"/>
      <ns0:c r="W853" s="17" t="n"/>
      <ns0:c r="X853" s="17" t="n"/>
      <ns0:c r="Y853" s="17" t="n"/>
      <ns0:c r="Z853" s="17" t="n"/>
      <ns0:c r="AA853" s="17" t="n"/>
      <ns0:c r="AB853" s="17" t="n"/>
      <ns0:c r="AC853" s="17" t="n"/>
      <ns0:c r="AD853" s="17" t="n"/>
      <ns0:c r="AE853" s="17" t="n"/>
      <ns0:c r="AF853" s="17" t="n"/>
      <ns0:c r="AG853" s="17" t="n"/>
    </ns0:row>
    <ns0:row r="854" ht="24" customHeight="1">
      <ns0:c r="D854" s="17" t="n"/>
      <ns0:c r="E854" s="17" t="n"/>
      <ns0:c r="F854" s="17" t="n"/>
      <ns0:c r="G854" s="17" t="n"/>
      <ns0:c r="H854" s="17" t="n"/>
      <ns0:c r="I854" s="17" t="n"/>
      <ns0:c r="J854" s="17" t="n"/>
      <ns0:c r="K854" s="17" t="n"/>
      <ns0:c r="L854" s="17" t="n"/>
      <ns0:c r="M854" s="17" t="n"/>
      <ns0:c r="N854" s="17" t="n"/>
      <ns0:c r="O854" s="17" t="n"/>
      <ns0:c r="P854" s="17" t="n"/>
      <ns0:c r="Q854" s="17" t="n"/>
      <ns0:c r="R854" s="17" t="n"/>
      <ns0:c r="S854" s="17" t="n"/>
      <ns0:c r="T854" s="17" t="n"/>
      <ns0:c r="U854" s="17" t="n"/>
      <ns0:c r="V854" s="17" t="n"/>
      <ns0:c r="W854" s="17" t="n"/>
      <ns0:c r="X854" s="17" t="n"/>
      <ns0:c r="Y854" s="17" t="n"/>
      <ns0:c r="Z854" s="17" t="n"/>
      <ns0:c r="AA854" s="17" t="n"/>
      <ns0:c r="AB854" s="17" t="n"/>
      <ns0:c r="AC854" s="17" t="n"/>
      <ns0:c r="AD854" s="17" t="n"/>
      <ns0:c r="AE854" s="17" t="n"/>
      <ns0:c r="AF854" s="17" t="n"/>
      <ns0:c r="AG854" s="17" t="n"/>
    </ns0:row>
    <ns0:row r="855" ht="24" customHeight="1">
      <ns0:c r="D855" s="17" t="n"/>
      <ns0:c r="E855" s="17" t="n"/>
      <ns0:c r="F855" s="17" t="n"/>
      <ns0:c r="G855" s="17" t="n"/>
      <ns0:c r="H855" s="17" t="n"/>
      <ns0:c r="I855" s="17" t="n"/>
      <ns0:c r="J855" s="17" t="n"/>
      <ns0:c r="K855" s="17" t="n"/>
      <ns0:c r="L855" s="17" t="n"/>
      <ns0:c r="M855" s="17" t="n"/>
      <ns0:c r="N855" s="17" t="n"/>
      <ns0:c r="O855" s="17" t="n"/>
      <ns0:c r="P855" s="17" t="n"/>
      <ns0:c r="Q855" s="17" t="n"/>
      <ns0:c r="R855" s="17" t="n"/>
      <ns0:c r="S855" s="17" t="n"/>
      <ns0:c r="T855" s="17" t="n"/>
      <ns0:c r="U855" s="17" t="n"/>
      <ns0:c r="V855" s="17" t="n"/>
      <ns0:c r="W855" s="17" t="n"/>
      <ns0:c r="X855" s="17" t="n"/>
      <ns0:c r="Y855" s="17" t="n"/>
      <ns0:c r="Z855" s="17" t="n"/>
      <ns0:c r="AA855" s="17" t="n"/>
      <ns0:c r="AB855" s="17" t="n"/>
      <ns0:c r="AC855" s="17" t="n"/>
      <ns0:c r="AD855" s="17" t="n"/>
      <ns0:c r="AE855" s="17" t="n"/>
      <ns0:c r="AF855" s="17" t="n"/>
      <ns0:c r="AG855" s="17" t="n"/>
    </ns0:row>
    <ns0:row r="856" ht="24" customHeight="1">
      <ns0:c r="D856" s="17" t="n"/>
      <ns0:c r="E856" s="17" t="n"/>
      <ns0:c r="F856" s="17" t="n"/>
      <ns0:c r="G856" s="17" t="n"/>
      <ns0:c r="H856" s="17" t="n"/>
      <ns0:c r="I856" s="17" t="n"/>
      <ns0:c r="J856" s="17" t="n"/>
      <ns0:c r="K856" s="17" t="n"/>
      <ns0:c r="L856" s="17" t="n"/>
      <ns0:c r="M856" s="17" t="n"/>
      <ns0:c r="N856" s="17" t="n"/>
      <ns0:c r="O856" s="17" t="n"/>
      <ns0:c r="P856" s="17" t="n"/>
      <ns0:c r="Q856" s="17" t="n"/>
      <ns0:c r="R856" s="17" t="n"/>
      <ns0:c r="S856" s="17" t="n"/>
      <ns0:c r="T856" s="17" t="n"/>
      <ns0:c r="U856" s="17" t="n"/>
      <ns0:c r="V856" s="17" t="n"/>
      <ns0:c r="W856" s="17" t="n"/>
      <ns0:c r="X856" s="17" t="n"/>
      <ns0:c r="Y856" s="17" t="n"/>
      <ns0:c r="Z856" s="17" t="n"/>
      <ns0:c r="AA856" s="17" t="n"/>
      <ns0:c r="AB856" s="17" t="n"/>
      <ns0:c r="AC856" s="17" t="n"/>
      <ns0:c r="AD856" s="17" t="n"/>
      <ns0:c r="AE856" s="17" t="n"/>
      <ns0:c r="AF856" s="17" t="n"/>
      <ns0:c r="AG856" s="17" t="n"/>
    </ns0:row>
    <ns0:row r="857" ht="24" customHeight="1">
      <ns0:c r="D857" s="17" t="n"/>
      <ns0:c r="E857" s="17" t="n"/>
      <ns0:c r="F857" s="17" t="n"/>
      <ns0:c r="G857" s="17" t="n"/>
      <ns0:c r="H857" s="17" t="n"/>
      <ns0:c r="I857" s="17" t="n"/>
      <ns0:c r="J857" s="17" t="n"/>
      <ns0:c r="K857" s="17" t="n"/>
      <ns0:c r="L857" s="17" t="n"/>
      <ns0:c r="M857" s="17" t="n"/>
      <ns0:c r="N857" s="17" t="n"/>
      <ns0:c r="O857" s="17" t="n"/>
      <ns0:c r="P857" s="17" t="n"/>
      <ns0:c r="Q857" s="17" t="n"/>
      <ns0:c r="R857" s="17" t="n"/>
      <ns0:c r="S857" s="17" t="n"/>
      <ns0:c r="T857" s="17" t="n"/>
      <ns0:c r="U857" s="17" t="n"/>
      <ns0:c r="V857" s="17" t="n"/>
      <ns0:c r="W857" s="17" t="n"/>
      <ns0:c r="X857" s="17" t="n"/>
      <ns0:c r="Y857" s="17" t="n"/>
      <ns0:c r="Z857" s="17" t="n"/>
      <ns0:c r="AA857" s="17" t="n"/>
      <ns0:c r="AB857" s="17" t="n"/>
      <ns0:c r="AC857" s="17" t="n"/>
      <ns0:c r="AD857" s="17" t="n"/>
      <ns0:c r="AE857" s="17" t="n"/>
      <ns0:c r="AF857" s="17" t="n"/>
      <ns0:c r="AG857" s="17" t="n"/>
    </ns0:row>
    <ns0:row r="858" ht="24" customHeight="1">
      <ns0:c r="D858" s="17" t="n"/>
      <ns0:c r="E858" s="17" t="n"/>
      <ns0:c r="F858" s="17" t="n"/>
      <ns0:c r="G858" s="17" t="n"/>
      <ns0:c r="H858" s="17" t="n"/>
      <ns0:c r="I858" s="17" t="n"/>
      <ns0:c r="J858" s="17" t="n"/>
      <ns0:c r="K858" s="17" t="n"/>
      <ns0:c r="L858" s="17" t="n"/>
      <ns0:c r="M858" s="17" t="n"/>
      <ns0:c r="N858" s="17" t="n"/>
      <ns0:c r="O858" s="17" t="n"/>
      <ns0:c r="P858" s="17" t="n"/>
      <ns0:c r="Q858" s="17" t="n"/>
      <ns0:c r="R858" s="17" t="n"/>
      <ns0:c r="S858" s="17" t="n"/>
      <ns0:c r="T858" s="17" t="n"/>
      <ns0:c r="U858" s="17" t="n"/>
      <ns0:c r="V858" s="17" t="n"/>
      <ns0:c r="W858" s="17" t="n"/>
      <ns0:c r="X858" s="17" t="n"/>
      <ns0:c r="Y858" s="17" t="n"/>
      <ns0:c r="Z858" s="17" t="n"/>
      <ns0:c r="AA858" s="17" t="n"/>
      <ns0:c r="AB858" s="17" t="n"/>
      <ns0:c r="AC858" s="17" t="n"/>
      <ns0:c r="AD858" s="17" t="n"/>
      <ns0:c r="AE858" s="17" t="n"/>
      <ns0:c r="AF858" s="17" t="n"/>
      <ns0:c r="AG858" s="17" t="n"/>
    </ns0:row>
    <ns0:row r="859" ht="24" customHeight="1">
      <ns0:c r="D859" s="17" t="n"/>
      <ns0:c r="E859" s="17" t="n"/>
      <ns0:c r="F859" s="17" t="n"/>
      <ns0:c r="G859" s="17" t="n"/>
      <ns0:c r="H859" s="17" t="n"/>
      <ns0:c r="I859" s="17" t="n"/>
      <ns0:c r="J859" s="17" t="n"/>
      <ns0:c r="K859" s="17" t="n"/>
      <ns0:c r="L859" s="17" t="n"/>
      <ns0:c r="M859" s="17" t="n"/>
      <ns0:c r="N859" s="17" t="n"/>
      <ns0:c r="O859" s="17" t="n"/>
      <ns0:c r="P859" s="17" t="n"/>
      <ns0:c r="Q859" s="17" t="n"/>
      <ns0:c r="R859" s="17" t="n"/>
      <ns0:c r="S859" s="17" t="n"/>
      <ns0:c r="T859" s="17" t="n"/>
      <ns0:c r="U859" s="17" t="n"/>
      <ns0:c r="V859" s="17" t="n"/>
      <ns0:c r="W859" s="17" t="n"/>
      <ns0:c r="X859" s="17" t="n"/>
      <ns0:c r="Y859" s="17" t="n"/>
      <ns0:c r="Z859" s="17" t="n"/>
      <ns0:c r="AA859" s="17" t="n"/>
      <ns0:c r="AB859" s="17" t="n"/>
      <ns0:c r="AC859" s="17" t="n"/>
      <ns0:c r="AD859" s="17" t="n"/>
      <ns0:c r="AE859" s="17" t="n"/>
      <ns0:c r="AF859" s="17" t="n"/>
      <ns0:c r="AG859" s="17" t="n"/>
    </ns0:row>
    <ns0:row r="860" ht="24" customHeight="1">
      <ns0:c r="D860" s="17" t="n"/>
      <ns0:c r="E860" s="17" t="n"/>
      <ns0:c r="F860" s="17" t="n"/>
      <ns0:c r="G860" s="17" t="n"/>
      <ns0:c r="H860" s="17" t="n"/>
      <ns0:c r="I860" s="17" t="n"/>
      <ns0:c r="J860" s="17" t="n"/>
      <ns0:c r="K860" s="17" t="n"/>
      <ns0:c r="L860" s="17" t="n"/>
      <ns0:c r="M860" s="17" t="n"/>
      <ns0:c r="N860" s="17" t="n"/>
      <ns0:c r="O860" s="17" t="n"/>
      <ns0:c r="P860" s="17" t="n"/>
      <ns0:c r="Q860" s="17" t="n"/>
      <ns0:c r="R860" s="17" t="n"/>
      <ns0:c r="S860" s="17" t="n"/>
      <ns0:c r="T860" s="17" t="n"/>
      <ns0:c r="U860" s="17" t="n"/>
      <ns0:c r="V860" s="17" t="n"/>
      <ns0:c r="W860" s="17" t="n"/>
      <ns0:c r="X860" s="17" t="n"/>
      <ns0:c r="Y860" s="17" t="n"/>
      <ns0:c r="Z860" s="17" t="n"/>
      <ns0:c r="AA860" s="17" t="n"/>
      <ns0:c r="AB860" s="17" t="n"/>
      <ns0:c r="AC860" s="17" t="n"/>
      <ns0:c r="AD860" s="17" t="n"/>
      <ns0:c r="AE860" s="17" t="n"/>
      <ns0:c r="AF860" s="17" t="n"/>
      <ns0:c r="AG860" s="17" t="n"/>
    </ns0:row>
    <ns0:row r="861" ht="24" customHeight="1">
      <ns0:c r="D861" s="17" t="n"/>
      <ns0:c r="E861" s="17" t="n"/>
      <ns0:c r="F861" s="17" t="n"/>
      <ns0:c r="G861" s="17" t="n"/>
      <ns0:c r="H861" s="17" t="n"/>
      <ns0:c r="I861" s="17" t="n"/>
      <ns0:c r="J861" s="17" t="n"/>
      <ns0:c r="K861" s="17" t="n"/>
      <ns0:c r="L861" s="17" t="n"/>
      <ns0:c r="M861" s="17" t="n"/>
      <ns0:c r="N861" s="17" t="n"/>
      <ns0:c r="O861" s="17" t="n"/>
      <ns0:c r="P861" s="17" t="n"/>
      <ns0:c r="Q861" s="17" t="n"/>
      <ns0:c r="R861" s="17" t="n"/>
      <ns0:c r="S861" s="17" t="n"/>
      <ns0:c r="T861" s="17" t="n"/>
      <ns0:c r="U861" s="17" t="n"/>
      <ns0:c r="V861" s="17" t="n"/>
      <ns0:c r="W861" s="17" t="n"/>
      <ns0:c r="X861" s="17" t="n"/>
      <ns0:c r="Y861" s="17" t="n"/>
      <ns0:c r="Z861" s="17" t="n"/>
      <ns0:c r="AA861" s="17" t="n"/>
      <ns0:c r="AB861" s="17" t="n"/>
      <ns0:c r="AC861" s="17" t="n"/>
      <ns0:c r="AD861" s="17" t="n"/>
      <ns0:c r="AE861" s="17" t="n"/>
      <ns0:c r="AF861" s="17" t="n"/>
      <ns0:c r="AG861" s="17" t="n"/>
    </ns0:row>
    <ns0:row r="862" ht="24" customHeight="1">
      <ns0:c r="D862" s="17" t="n"/>
      <ns0:c r="E862" s="17" t="n"/>
      <ns0:c r="F862" s="17" t="n"/>
      <ns0:c r="G862" s="17" t="n"/>
      <ns0:c r="H862" s="17" t="n"/>
      <ns0:c r="I862" s="17" t="n"/>
      <ns0:c r="J862" s="17" t="n"/>
      <ns0:c r="K862" s="17" t="n"/>
      <ns0:c r="L862" s="17" t="n"/>
      <ns0:c r="M862" s="17" t="n"/>
      <ns0:c r="N862" s="17" t="n"/>
      <ns0:c r="O862" s="17" t="n"/>
      <ns0:c r="P862" s="17" t="n"/>
      <ns0:c r="Q862" s="17" t="n"/>
      <ns0:c r="R862" s="17" t="n"/>
      <ns0:c r="S862" s="17" t="n"/>
      <ns0:c r="T862" s="17" t="n"/>
      <ns0:c r="U862" s="17" t="n"/>
      <ns0:c r="V862" s="17" t="n"/>
      <ns0:c r="W862" s="17" t="n"/>
      <ns0:c r="X862" s="17" t="n"/>
      <ns0:c r="Y862" s="17" t="n"/>
      <ns0:c r="Z862" s="17" t="n"/>
      <ns0:c r="AA862" s="17" t="n"/>
      <ns0:c r="AB862" s="17" t="n"/>
      <ns0:c r="AC862" s="17" t="n"/>
      <ns0:c r="AD862" s="17" t="n"/>
      <ns0:c r="AE862" s="17" t="n"/>
      <ns0:c r="AF862" s="17" t="n"/>
      <ns0:c r="AG862" s="17" t="n"/>
    </ns0:row>
    <ns0:row r="863" ht="24" customHeight="1">
      <ns0:c r="D863" s="17" t="n"/>
      <ns0:c r="E863" s="17" t="n"/>
      <ns0:c r="F863" s="17" t="n"/>
      <ns0:c r="G863" s="17" t="n"/>
      <ns0:c r="H863" s="17" t="n"/>
      <ns0:c r="I863" s="17" t="n"/>
      <ns0:c r="J863" s="17" t="n"/>
      <ns0:c r="K863" s="17" t="n"/>
      <ns0:c r="L863" s="17" t="n"/>
      <ns0:c r="M863" s="17" t="n"/>
      <ns0:c r="N863" s="17" t="n"/>
      <ns0:c r="O863" s="17" t="n"/>
      <ns0:c r="P863" s="17" t="n"/>
      <ns0:c r="Q863" s="17" t="n"/>
      <ns0:c r="R863" s="17" t="n"/>
      <ns0:c r="S863" s="17" t="n"/>
      <ns0:c r="T863" s="17" t="n"/>
      <ns0:c r="U863" s="17" t="n"/>
      <ns0:c r="V863" s="17" t="n"/>
      <ns0:c r="W863" s="17" t="n"/>
      <ns0:c r="X863" s="17" t="n"/>
      <ns0:c r="Y863" s="17" t="n"/>
      <ns0:c r="Z863" s="17" t="n"/>
      <ns0:c r="AA863" s="17" t="n"/>
      <ns0:c r="AB863" s="17" t="n"/>
      <ns0:c r="AC863" s="17" t="n"/>
      <ns0:c r="AD863" s="17" t="n"/>
      <ns0:c r="AE863" s="17" t="n"/>
      <ns0:c r="AF863" s="17" t="n"/>
      <ns0:c r="AG863" s="17" t="n"/>
    </ns0:row>
    <ns0:row r="864" ht="24" customHeight="1">
      <ns0:c r="D864" s="17" t="n"/>
      <ns0:c r="E864" s="17" t="n"/>
      <ns0:c r="F864" s="17" t="n"/>
      <ns0:c r="G864" s="17" t="n"/>
      <ns0:c r="H864" s="17" t="n"/>
      <ns0:c r="I864" s="17" t="n"/>
      <ns0:c r="J864" s="17" t="n"/>
      <ns0:c r="K864" s="17" t="n"/>
      <ns0:c r="L864" s="17" t="n"/>
      <ns0:c r="M864" s="17" t="n"/>
      <ns0:c r="N864" s="17" t="n"/>
      <ns0:c r="O864" s="17" t="n"/>
      <ns0:c r="P864" s="17" t="n"/>
      <ns0:c r="Q864" s="17" t="n"/>
      <ns0:c r="R864" s="17" t="n"/>
      <ns0:c r="S864" s="17" t="n"/>
      <ns0:c r="T864" s="17" t="n"/>
      <ns0:c r="U864" s="17" t="n"/>
      <ns0:c r="V864" s="17" t="n"/>
      <ns0:c r="W864" s="17" t="n"/>
      <ns0:c r="X864" s="17" t="n"/>
      <ns0:c r="Y864" s="17" t="n"/>
      <ns0:c r="Z864" s="17" t="n"/>
      <ns0:c r="AA864" s="17" t="n"/>
      <ns0:c r="AB864" s="17" t="n"/>
      <ns0:c r="AC864" s="17" t="n"/>
      <ns0:c r="AD864" s="17" t="n"/>
      <ns0:c r="AE864" s="17" t="n"/>
      <ns0:c r="AF864" s="17" t="n"/>
      <ns0:c r="AG864" s="17" t="n"/>
    </ns0:row>
    <ns0:row r="865" ht="24" customHeight="1">
      <ns0:c r="D865" s="17" t="n"/>
      <ns0:c r="E865" s="17" t="n"/>
      <ns0:c r="F865" s="17" t="n"/>
      <ns0:c r="G865" s="17" t="n"/>
      <ns0:c r="H865" s="17" t="n"/>
      <ns0:c r="I865" s="17" t="n"/>
      <ns0:c r="J865" s="17" t="n"/>
      <ns0:c r="K865" s="17" t="n"/>
      <ns0:c r="L865" s="17" t="n"/>
      <ns0:c r="M865" s="17" t="n"/>
      <ns0:c r="N865" s="17" t="n"/>
      <ns0:c r="O865" s="17" t="n"/>
      <ns0:c r="P865" s="17" t="n"/>
      <ns0:c r="Q865" s="17" t="n"/>
      <ns0:c r="R865" s="17" t="n"/>
      <ns0:c r="S865" s="17" t="n"/>
      <ns0:c r="T865" s="17" t="n"/>
      <ns0:c r="U865" s="17" t="n"/>
      <ns0:c r="V865" s="17" t="n"/>
      <ns0:c r="W865" s="17" t="n"/>
      <ns0:c r="X865" s="17" t="n"/>
      <ns0:c r="Y865" s="17" t="n"/>
      <ns0:c r="Z865" s="17" t="n"/>
      <ns0:c r="AA865" s="17" t="n"/>
      <ns0:c r="AB865" s="17" t="n"/>
      <ns0:c r="AC865" s="17" t="n"/>
      <ns0:c r="AD865" s="17" t="n"/>
      <ns0:c r="AE865" s="17" t="n"/>
      <ns0:c r="AF865" s="17" t="n"/>
      <ns0:c r="AG865" s="17" t="n"/>
    </ns0:row>
    <ns0:row r="866" ht="24" customHeight="1">
      <ns0:c r="D866" s="17" t="n"/>
      <ns0:c r="E866" s="17" t="n"/>
      <ns0:c r="F866" s="17" t="n"/>
      <ns0:c r="G866" s="17" t="n"/>
      <ns0:c r="H866" s="17" t="n"/>
      <ns0:c r="I866" s="17" t="n"/>
      <ns0:c r="J866" s="17" t="n"/>
      <ns0:c r="K866" s="17" t="n"/>
      <ns0:c r="L866" s="17" t="n"/>
      <ns0:c r="M866" s="17" t="n"/>
      <ns0:c r="N866" s="17" t="n"/>
      <ns0:c r="O866" s="17" t="n"/>
      <ns0:c r="P866" s="17" t="n"/>
      <ns0:c r="Q866" s="17" t="n"/>
      <ns0:c r="R866" s="17" t="n"/>
      <ns0:c r="S866" s="17" t="n"/>
      <ns0:c r="T866" s="17" t="n"/>
      <ns0:c r="U866" s="17" t="n"/>
      <ns0:c r="V866" s="17" t="n"/>
      <ns0:c r="W866" s="17" t="n"/>
      <ns0:c r="X866" s="17" t="n"/>
      <ns0:c r="Y866" s="17" t="n"/>
      <ns0:c r="Z866" s="17" t="n"/>
      <ns0:c r="AA866" s="17" t="n"/>
      <ns0:c r="AB866" s="17" t="n"/>
      <ns0:c r="AC866" s="17" t="n"/>
      <ns0:c r="AD866" s="17" t="n"/>
      <ns0:c r="AE866" s="17" t="n"/>
      <ns0:c r="AF866" s="17" t="n"/>
      <ns0:c r="AG866" s="17" t="n"/>
    </ns0:row>
    <ns0:row r="867" ht="24" customHeight="1">
      <ns0:c r="D867" s="17" t="n"/>
      <ns0:c r="E867" s="17" t="n"/>
      <ns0:c r="F867" s="17" t="n"/>
      <ns0:c r="G867" s="17" t="n"/>
      <ns0:c r="H867" s="17" t="n"/>
      <ns0:c r="I867" s="17" t="n"/>
      <ns0:c r="J867" s="17" t="n"/>
      <ns0:c r="K867" s="17" t="n"/>
      <ns0:c r="L867" s="17" t="n"/>
      <ns0:c r="M867" s="17" t="n"/>
      <ns0:c r="N867" s="17" t="n"/>
      <ns0:c r="O867" s="17" t="n"/>
      <ns0:c r="P867" s="17" t="n"/>
      <ns0:c r="Q867" s="17" t="n"/>
      <ns0:c r="R867" s="17" t="n"/>
      <ns0:c r="S867" s="17" t="n"/>
      <ns0:c r="T867" s="17" t="n"/>
      <ns0:c r="U867" s="17" t="n"/>
      <ns0:c r="V867" s="17" t="n"/>
      <ns0:c r="W867" s="17" t="n"/>
      <ns0:c r="X867" s="17" t="n"/>
      <ns0:c r="Y867" s="17" t="n"/>
      <ns0:c r="Z867" s="17" t="n"/>
      <ns0:c r="AA867" s="17" t="n"/>
      <ns0:c r="AB867" s="17" t="n"/>
      <ns0:c r="AC867" s="17" t="n"/>
      <ns0:c r="AD867" s="17" t="n"/>
      <ns0:c r="AE867" s="17" t="n"/>
      <ns0:c r="AF867" s="17" t="n"/>
      <ns0:c r="AG867" s="17" t="n"/>
    </ns0:row>
    <ns0:row r="868" ht="24" customHeight="1">
      <ns0:c r="D868" s="17" t="n"/>
      <ns0:c r="E868" s="17" t="n"/>
      <ns0:c r="F868" s="17" t="n"/>
      <ns0:c r="G868" s="17" t="n"/>
      <ns0:c r="H868" s="17" t="n"/>
      <ns0:c r="I868" s="17" t="n"/>
      <ns0:c r="J868" s="17" t="n"/>
      <ns0:c r="K868" s="17" t="n"/>
      <ns0:c r="L868" s="17" t="n"/>
      <ns0:c r="M868" s="17" t="n"/>
      <ns0:c r="N868" s="17" t="n"/>
      <ns0:c r="O868" s="17" t="n"/>
      <ns0:c r="P868" s="17" t="n"/>
      <ns0:c r="Q868" s="17" t="n"/>
      <ns0:c r="R868" s="17" t="n"/>
      <ns0:c r="S868" s="17" t="n"/>
      <ns0:c r="T868" s="17" t="n"/>
      <ns0:c r="U868" s="17" t="n"/>
      <ns0:c r="V868" s="17" t="n"/>
      <ns0:c r="W868" s="17" t="n"/>
      <ns0:c r="X868" s="17" t="n"/>
      <ns0:c r="Y868" s="17" t="n"/>
      <ns0:c r="Z868" s="17" t="n"/>
      <ns0:c r="AA868" s="17" t="n"/>
      <ns0:c r="AB868" s="17" t="n"/>
      <ns0:c r="AC868" s="17" t="n"/>
      <ns0:c r="AD868" s="17" t="n"/>
      <ns0:c r="AE868" s="17" t="n"/>
      <ns0:c r="AF868" s="17" t="n"/>
      <ns0:c r="AG868" s="17" t="n"/>
    </ns0:row>
    <ns0:row r="869" ht="24" customHeight="1">
      <ns0:c r="D869" s="17" t="n"/>
      <ns0:c r="E869" s="17" t="n"/>
      <ns0:c r="F869" s="17" t="n"/>
      <ns0:c r="G869" s="17" t="n"/>
      <ns0:c r="H869" s="17" t="n"/>
      <ns0:c r="I869" s="17" t="n"/>
      <ns0:c r="J869" s="17" t="n"/>
      <ns0:c r="K869" s="17" t="n"/>
      <ns0:c r="L869" s="17" t="n"/>
      <ns0:c r="M869" s="17" t="n"/>
      <ns0:c r="N869" s="17" t="n"/>
      <ns0:c r="O869" s="17" t="n"/>
      <ns0:c r="P869" s="17" t="n"/>
      <ns0:c r="Q869" s="17" t="n"/>
      <ns0:c r="R869" s="17" t="n"/>
      <ns0:c r="S869" s="17" t="n"/>
      <ns0:c r="T869" s="17" t="n"/>
      <ns0:c r="U869" s="17" t="n"/>
      <ns0:c r="V869" s="17" t="n"/>
      <ns0:c r="W869" s="17" t="n"/>
      <ns0:c r="X869" s="17" t="n"/>
      <ns0:c r="Y869" s="17" t="n"/>
      <ns0:c r="Z869" s="17" t="n"/>
      <ns0:c r="AA869" s="17" t="n"/>
      <ns0:c r="AB869" s="17" t="n"/>
      <ns0:c r="AC869" s="17" t="n"/>
      <ns0:c r="AD869" s="17" t="n"/>
      <ns0:c r="AE869" s="17" t="n"/>
      <ns0:c r="AF869" s="17" t="n"/>
      <ns0:c r="AG869" s="17" t="n"/>
    </ns0:row>
    <ns0:row r="870" ht="24" customHeight="1">
      <ns0:c r="D870" s="17" t="n"/>
      <ns0:c r="E870" s="17" t="n"/>
      <ns0:c r="F870" s="17" t="n"/>
      <ns0:c r="G870" s="17" t="n"/>
      <ns0:c r="H870" s="17" t="n"/>
      <ns0:c r="I870" s="17" t="n"/>
      <ns0:c r="J870" s="17" t="n"/>
      <ns0:c r="K870" s="17" t="n"/>
      <ns0:c r="L870" s="17" t="n"/>
      <ns0:c r="M870" s="17" t="n"/>
      <ns0:c r="N870" s="17" t="n"/>
      <ns0:c r="O870" s="17" t="n"/>
      <ns0:c r="P870" s="17" t="n"/>
      <ns0:c r="Q870" s="17" t="n"/>
      <ns0:c r="R870" s="17" t="n"/>
      <ns0:c r="S870" s="17" t="n"/>
      <ns0:c r="T870" s="17" t="n"/>
      <ns0:c r="U870" s="17" t="n"/>
      <ns0:c r="V870" s="17" t="n"/>
      <ns0:c r="W870" s="17" t="n"/>
      <ns0:c r="X870" s="17" t="n"/>
      <ns0:c r="Y870" s="17" t="n"/>
      <ns0:c r="Z870" s="17" t="n"/>
      <ns0:c r="AA870" s="17" t="n"/>
      <ns0:c r="AB870" s="17" t="n"/>
      <ns0:c r="AC870" s="17" t="n"/>
      <ns0:c r="AD870" s="17" t="n"/>
      <ns0:c r="AE870" s="17" t="n"/>
      <ns0:c r="AF870" s="17" t="n"/>
      <ns0:c r="AG870" s="17" t="n"/>
    </ns0:row>
    <ns0:row r="871" ht="24" customHeight="1">
      <ns0:c r="D871" s="17" t="n"/>
      <ns0:c r="E871" s="17" t="n"/>
      <ns0:c r="F871" s="17" t="n"/>
      <ns0:c r="G871" s="17" t="n"/>
      <ns0:c r="H871" s="17" t="n"/>
      <ns0:c r="I871" s="17" t="n"/>
      <ns0:c r="J871" s="17" t="n"/>
      <ns0:c r="K871" s="17" t="n"/>
      <ns0:c r="L871" s="17" t="n"/>
      <ns0:c r="M871" s="17" t="n"/>
      <ns0:c r="N871" s="17" t="n"/>
      <ns0:c r="O871" s="17" t="n"/>
      <ns0:c r="P871" s="17" t="n"/>
      <ns0:c r="Q871" s="17" t="n"/>
      <ns0:c r="R871" s="17" t="n"/>
      <ns0:c r="S871" s="17" t="n"/>
      <ns0:c r="T871" s="17" t="n"/>
      <ns0:c r="U871" s="17" t="n"/>
      <ns0:c r="V871" s="17" t="n"/>
      <ns0:c r="W871" s="17" t="n"/>
      <ns0:c r="X871" s="17" t="n"/>
      <ns0:c r="Y871" s="17" t="n"/>
      <ns0:c r="Z871" s="17" t="n"/>
      <ns0:c r="AA871" s="17" t="n"/>
      <ns0:c r="AB871" s="17" t="n"/>
      <ns0:c r="AC871" s="17" t="n"/>
      <ns0:c r="AD871" s="17" t="n"/>
      <ns0:c r="AE871" s="17" t="n"/>
      <ns0:c r="AF871" s="17" t="n"/>
      <ns0:c r="AG871" s="17" t="n"/>
    </ns0:row>
    <ns0:row r="872" ht="24" customHeight="1">
      <ns0:c r="D872" s="17" t="n"/>
      <ns0:c r="E872" s="17" t="n"/>
      <ns0:c r="F872" s="17" t="n"/>
      <ns0:c r="G872" s="17" t="n"/>
      <ns0:c r="H872" s="17" t="n"/>
      <ns0:c r="I872" s="17" t="n"/>
      <ns0:c r="J872" s="17" t="n"/>
      <ns0:c r="K872" s="17" t="n"/>
      <ns0:c r="L872" s="17" t="n"/>
      <ns0:c r="M872" s="17" t="n"/>
      <ns0:c r="N872" s="17" t="n"/>
      <ns0:c r="O872" s="17" t="n"/>
      <ns0:c r="P872" s="17" t="n"/>
      <ns0:c r="Q872" s="17" t="n"/>
      <ns0:c r="R872" s="17" t="n"/>
      <ns0:c r="S872" s="17" t="n"/>
      <ns0:c r="T872" s="17" t="n"/>
      <ns0:c r="U872" s="17" t="n"/>
      <ns0:c r="V872" s="17" t="n"/>
      <ns0:c r="W872" s="17" t="n"/>
      <ns0:c r="X872" s="17" t="n"/>
      <ns0:c r="Y872" s="17" t="n"/>
      <ns0:c r="Z872" s="17" t="n"/>
      <ns0:c r="AA872" s="17" t="n"/>
      <ns0:c r="AB872" s="17" t="n"/>
      <ns0:c r="AC872" s="17" t="n"/>
      <ns0:c r="AD872" s="17" t="n"/>
      <ns0:c r="AE872" s="17" t="n"/>
      <ns0:c r="AF872" s="17" t="n"/>
      <ns0:c r="AG872" s="17" t="n"/>
    </ns0:row>
    <ns0:row r="873" ht="24" customHeight="1">
      <ns0:c r="D873" s="17" t="n"/>
      <ns0:c r="E873" s="17" t="n"/>
      <ns0:c r="F873" s="17" t="n"/>
      <ns0:c r="G873" s="17" t="n"/>
      <ns0:c r="H873" s="17" t="n"/>
      <ns0:c r="I873" s="17" t="n"/>
      <ns0:c r="J873" s="17" t="n"/>
      <ns0:c r="K873" s="17" t="n"/>
      <ns0:c r="L873" s="17" t="n"/>
      <ns0:c r="M873" s="17" t="n"/>
      <ns0:c r="N873" s="17" t="n"/>
      <ns0:c r="O873" s="17" t="n"/>
      <ns0:c r="P873" s="17" t="n"/>
      <ns0:c r="Q873" s="17" t="n"/>
      <ns0:c r="R873" s="17" t="n"/>
      <ns0:c r="S873" s="17" t="n"/>
      <ns0:c r="T873" s="17" t="n"/>
      <ns0:c r="U873" s="17" t="n"/>
      <ns0:c r="V873" s="17" t="n"/>
      <ns0:c r="W873" s="17" t="n"/>
      <ns0:c r="X873" s="17" t="n"/>
      <ns0:c r="Y873" s="17" t="n"/>
      <ns0:c r="Z873" s="17" t="n"/>
      <ns0:c r="AA873" s="17" t="n"/>
      <ns0:c r="AB873" s="17" t="n"/>
      <ns0:c r="AC873" s="17" t="n"/>
      <ns0:c r="AD873" s="17" t="n"/>
      <ns0:c r="AE873" s="17" t="n"/>
      <ns0:c r="AF873" s="17" t="n"/>
      <ns0:c r="AG873" s="17" t="n"/>
    </ns0:row>
    <ns0:row r="874" ht="24" customHeight="1">
      <ns0:c r="D874" s="17" t="n"/>
      <ns0:c r="E874" s="17" t="n"/>
      <ns0:c r="F874" s="17" t="n"/>
      <ns0:c r="G874" s="17" t="n"/>
      <ns0:c r="H874" s="17" t="n"/>
      <ns0:c r="I874" s="17" t="n"/>
      <ns0:c r="J874" s="17" t="n"/>
      <ns0:c r="K874" s="17" t="n"/>
      <ns0:c r="L874" s="17" t="n"/>
      <ns0:c r="M874" s="17" t="n"/>
      <ns0:c r="N874" s="17" t="n"/>
      <ns0:c r="O874" s="17" t="n"/>
      <ns0:c r="P874" s="17" t="n"/>
      <ns0:c r="Q874" s="17" t="n"/>
      <ns0:c r="R874" s="17" t="n"/>
      <ns0:c r="S874" s="17" t="n"/>
      <ns0:c r="T874" s="17" t="n"/>
      <ns0:c r="U874" s="17" t="n"/>
      <ns0:c r="V874" s="17" t="n"/>
      <ns0:c r="W874" s="17" t="n"/>
      <ns0:c r="X874" s="17" t="n"/>
      <ns0:c r="Y874" s="17" t="n"/>
      <ns0:c r="Z874" s="17" t="n"/>
      <ns0:c r="AA874" s="17" t="n"/>
      <ns0:c r="AB874" s="17" t="n"/>
      <ns0:c r="AC874" s="17" t="n"/>
      <ns0:c r="AD874" s="17" t="n"/>
      <ns0:c r="AE874" s="17" t="n"/>
      <ns0:c r="AF874" s="17" t="n"/>
      <ns0:c r="AG874" s="17" t="n"/>
    </ns0:row>
    <ns0:row r="875" ht="24" customHeight="1">
      <ns0:c r="D875" s="17" t="n"/>
      <ns0:c r="E875" s="17" t="n"/>
      <ns0:c r="F875" s="17" t="n"/>
      <ns0:c r="G875" s="17" t="n"/>
      <ns0:c r="H875" s="17" t="n"/>
      <ns0:c r="I875" s="17" t="n"/>
      <ns0:c r="J875" s="17" t="n"/>
      <ns0:c r="K875" s="17" t="n"/>
      <ns0:c r="L875" s="17" t="n"/>
      <ns0:c r="M875" s="17" t="n"/>
      <ns0:c r="N875" s="17" t="n"/>
      <ns0:c r="O875" s="17" t="n"/>
      <ns0:c r="P875" s="17" t="n"/>
      <ns0:c r="Q875" s="17" t="n"/>
      <ns0:c r="R875" s="17" t="n"/>
      <ns0:c r="S875" s="17" t="n"/>
      <ns0:c r="T875" s="17" t="n"/>
      <ns0:c r="U875" s="17" t="n"/>
      <ns0:c r="V875" s="17" t="n"/>
      <ns0:c r="W875" s="17" t="n"/>
      <ns0:c r="X875" s="17" t="n"/>
      <ns0:c r="Y875" s="17" t="n"/>
      <ns0:c r="Z875" s="17" t="n"/>
      <ns0:c r="AA875" s="17" t="n"/>
      <ns0:c r="AB875" s="17" t="n"/>
      <ns0:c r="AC875" s="17" t="n"/>
      <ns0:c r="AD875" s="17" t="n"/>
      <ns0:c r="AE875" s="17" t="n"/>
      <ns0:c r="AF875" s="17" t="n"/>
      <ns0:c r="AG875" s="17" t="n"/>
    </ns0:row>
    <ns0:row r="876" ht="24" customHeight="1">
      <ns0:c r="D876" s="17" t="n"/>
      <ns0:c r="E876" s="17" t="n"/>
      <ns0:c r="F876" s="17" t="n"/>
      <ns0:c r="G876" s="17" t="n"/>
      <ns0:c r="H876" s="17" t="n"/>
      <ns0:c r="I876" s="17" t="n"/>
      <ns0:c r="J876" s="17" t="n"/>
      <ns0:c r="K876" s="17" t="n"/>
      <ns0:c r="L876" s="17" t="n"/>
      <ns0:c r="M876" s="17" t="n"/>
      <ns0:c r="N876" s="17" t="n"/>
      <ns0:c r="O876" s="17" t="n"/>
      <ns0:c r="P876" s="17" t="n"/>
      <ns0:c r="Q876" s="17" t="n"/>
      <ns0:c r="R876" s="17" t="n"/>
      <ns0:c r="S876" s="17" t="n"/>
      <ns0:c r="T876" s="17" t="n"/>
      <ns0:c r="U876" s="17" t="n"/>
      <ns0:c r="V876" s="17" t="n"/>
      <ns0:c r="W876" s="17" t="n"/>
      <ns0:c r="X876" s="17" t="n"/>
      <ns0:c r="Y876" s="17" t="n"/>
      <ns0:c r="Z876" s="17" t="n"/>
      <ns0:c r="AA876" s="17" t="n"/>
      <ns0:c r="AB876" s="17" t="n"/>
      <ns0:c r="AC876" s="17" t="n"/>
      <ns0:c r="AD876" s="17" t="n"/>
      <ns0:c r="AE876" s="17" t="n"/>
      <ns0:c r="AF876" s="17" t="n"/>
      <ns0:c r="AG876" s="17" t="n"/>
    </ns0:row>
    <ns0:row r="877" ht="24" customHeight="1">
      <ns0:c r="D877" s="17" t="n"/>
      <ns0:c r="E877" s="17" t="n"/>
      <ns0:c r="F877" s="17" t="n"/>
      <ns0:c r="G877" s="17" t="n"/>
      <ns0:c r="H877" s="17" t="n"/>
      <ns0:c r="I877" s="17" t="n"/>
      <ns0:c r="J877" s="17" t="n"/>
      <ns0:c r="K877" s="17" t="n"/>
      <ns0:c r="L877" s="17" t="n"/>
      <ns0:c r="M877" s="17" t="n"/>
      <ns0:c r="N877" s="17" t="n"/>
      <ns0:c r="O877" s="17" t="n"/>
      <ns0:c r="P877" s="17" t="n"/>
      <ns0:c r="Q877" s="17" t="n"/>
      <ns0:c r="R877" s="17" t="n"/>
      <ns0:c r="S877" s="17" t="n"/>
      <ns0:c r="T877" s="17" t="n"/>
      <ns0:c r="U877" s="17" t="n"/>
      <ns0:c r="V877" s="17" t="n"/>
      <ns0:c r="W877" s="17" t="n"/>
      <ns0:c r="X877" s="17" t="n"/>
      <ns0:c r="Y877" s="17" t="n"/>
      <ns0:c r="Z877" s="17" t="n"/>
      <ns0:c r="AA877" s="17" t="n"/>
      <ns0:c r="AB877" s="17" t="n"/>
      <ns0:c r="AC877" s="17" t="n"/>
      <ns0:c r="AD877" s="17" t="n"/>
      <ns0:c r="AE877" s="17" t="n"/>
      <ns0:c r="AF877" s="17" t="n"/>
      <ns0:c r="AG877" s="17" t="n"/>
    </ns0:row>
    <ns0:row r="878" ht="24" customHeight="1">
      <ns0:c r="D878" s="17" t="n"/>
      <ns0:c r="E878" s="17" t="n"/>
      <ns0:c r="F878" s="17" t="n"/>
      <ns0:c r="G878" s="17" t="n"/>
      <ns0:c r="H878" s="17" t="n"/>
      <ns0:c r="I878" s="17" t="n"/>
      <ns0:c r="J878" s="17" t="n"/>
      <ns0:c r="K878" s="17" t="n"/>
      <ns0:c r="L878" s="17" t="n"/>
      <ns0:c r="M878" s="17" t="n"/>
      <ns0:c r="N878" s="17" t="n"/>
      <ns0:c r="O878" s="17" t="n"/>
      <ns0:c r="P878" s="17" t="n"/>
      <ns0:c r="Q878" s="17" t="n"/>
      <ns0:c r="R878" s="17" t="n"/>
      <ns0:c r="S878" s="17" t="n"/>
      <ns0:c r="T878" s="17" t="n"/>
      <ns0:c r="U878" s="17" t="n"/>
      <ns0:c r="V878" s="17" t="n"/>
      <ns0:c r="W878" s="17" t="n"/>
      <ns0:c r="X878" s="17" t="n"/>
      <ns0:c r="Y878" s="17" t="n"/>
      <ns0:c r="Z878" s="17" t="n"/>
      <ns0:c r="AA878" s="17" t="n"/>
      <ns0:c r="AB878" s="17" t="n"/>
      <ns0:c r="AC878" s="17" t="n"/>
      <ns0:c r="AD878" s="17" t="n"/>
      <ns0:c r="AE878" s="17" t="n"/>
      <ns0:c r="AF878" s="17" t="n"/>
      <ns0:c r="AG878" s="17" t="n"/>
    </ns0:row>
    <ns0:row r="879" ht="24" customHeight="1">
      <ns0:c r="D879" s="17" t="n"/>
      <ns0:c r="E879" s="17" t="n"/>
      <ns0:c r="F879" s="17" t="n"/>
      <ns0:c r="G879" s="17" t="n"/>
      <ns0:c r="H879" s="17" t="n"/>
      <ns0:c r="I879" s="17" t="n"/>
      <ns0:c r="J879" s="17" t="n"/>
      <ns0:c r="K879" s="17" t="n"/>
      <ns0:c r="L879" s="17" t="n"/>
      <ns0:c r="M879" s="17" t="n"/>
      <ns0:c r="N879" s="17" t="n"/>
      <ns0:c r="O879" s="17" t="n"/>
      <ns0:c r="P879" s="17" t="n"/>
      <ns0:c r="Q879" s="17" t="n"/>
      <ns0:c r="R879" s="17" t="n"/>
      <ns0:c r="S879" s="17" t="n"/>
      <ns0:c r="T879" s="17" t="n"/>
      <ns0:c r="U879" s="17" t="n"/>
      <ns0:c r="V879" s="17" t="n"/>
      <ns0:c r="W879" s="17" t="n"/>
      <ns0:c r="X879" s="17" t="n"/>
      <ns0:c r="Y879" s="17" t="n"/>
      <ns0:c r="Z879" s="17" t="n"/>
      <ns0:c r="AA879" s="17" t="n"/>
      <ns0:c r="AB879" s="17" t="n"/>
      <ns0:c r="AC879" s="17" t="n"/>
      <ns0:c r="AD879" s="17" t="n"/>
      <ns0:c r="AE879" s="17" t="n"/>
      <ns0:c r="AF879" s="17" t="n"/>
      <ns0:c r="AG879" s="17" t="n"/>
    </ns0:row>
    <ns0:row r="880" ht="24" customHeight="1">
      <ns0:c r="D880" s="17" t="n"/>
      <ns0:c r="E880" s="17" t="n"/>
      <ns0:c r="F880" s="17" t="n"/>
      <ns0:c r="G880" s="17" t="n"/>
      <ns0:c r="H880" s="17" t="n"/>
      <ns0:c r="I880" s="17" t="n"/>
      <ns0:c r="J880" s="17" t="n"/>
      <ns0:c r="K880" s="17" t="n"/>
      <ns0:c r="L880" s="17" t="n"/>
      <ns0:c r="M880" s="17" t="n"/>
      <ns0:c r="N880" s="17" t="n"/>
      <ns0:c r="O880" s="17" t="n"/>
      <ns0:c r="P880" s="17" t="n"/>
      <ns0:c r="Q880" s="17" t="n"/>
      <ns0:c r="R880" s="17" t="n"/>
      <ns0:c r="S880" s="17" t="n"/>
      <ns0:c r="T880" s="17" t="n"/>
      <ns0:c r="U880" s="17" t="n"/>
      <ns0:c r="V880" s="17" t="n"/>
      <ns0:c r="W880" s="17" t="n"/>
      <ns0:c r="X880" s="17" t="n"/>
      <ns0:c r="Y880" s="17" t="n"/>
      <ns0:c r="Z880" s="17" t="n"/>
      <ns0:c r="AA880" s="17" t="n"/>
      <ns0:c r="AB880" s="17" t="n"/>
      <ns0:c r="AC880" s="17" t="n"/>
      <ns0:c r="AD880" s="17" t="n"/>
      <ns0:c r="AE880" s="17" t="n"/>
      <ns0:c r="AF880" s="17" t="n"/>
      <ns0:c r="AG880" s="17" t="n"/>
    </ns0:row>
    <ns0:row r="881" ht="24" customHeight="1">
      <ns0:c r="D881" s="17" t="n"/>
      <ns0:c r="E881" s="17" t="n"/>
      <ns0:c r="F881" s="17" t="n"/>
      <ns0:c r="G881" s="17" t="n"/>
      <ns0:c r="H881" s="17" t="n"/>
      <ns0:c r="I881" s="17" t="n"/>
      <ns0:c r="J881" s="17" t="n"/>
      <ns0:c r="K881" s="17" t="n"/>
      <ns0:c r="L881" s="17" t="n"/>
      <ns0:c r="M881" s="17" t="n"/>
      <ns0:c r="N881" s="17" t="n"/>
      <ns0:c r="O881" s="17" t="n"/>
      <ns0:c r="P881" s="17" t="n"/>
      <ns0:c r="Q881" s="17" t="n"/>
      <ns0:c r="R881" s="17" t="n"/>
      <ns0:c r="S881" s="17" t="n"/>
      <ns0:c r="T881" s="17" t="n"/>
      <ns0:c r="U881" s="17" t="n"/>
      <ns0:c r="V881" s="17" t="n"/>
      <ns0:c r="W881" s="17" t="n"/>
      <ns0:c r="X881" s="17" t="n"/>
      <ns0:c r="Y881" s="17" t="n"/>
      <ns0:c r="Z881" s="17" t="n"/>
      <ns0:c r="AA881" s="17" t="n"/>
      <ns0:c r="AB881" s="17" t="n"/>
      <ns0:c r="AC881" s="17" t="n"/>
      <ns0:c r="AD881" s="17" t="n"/>
      <ns0:c r="AE881" s="17" t="n"/>
      <ns0:c r="AF881" s="17" t="n"/>
      <ns0:c r="AG881" s="17" t="n"/>
    </ns0:row>
    <ns0:row r="882" ht="24" customHeight="1">
      <ns0:c r="D882" s="17" t="n"/>
      <ns0:c r="E882" s="17" t="n"/>
      <ns0:c r="F882" s="17" t="n"/>
      <ns0:c r="G882" s="17" t="n"/>
      <ns0:c r="H882" s="17" t="n"/>
      <ns0:c r="I882" s="17" t="n"/>
      <ns0:c r="J882" s="17" t="n"/>
      <ns0:c r="K882" s="17" t="n"/>
      <ns0:c r="L882" s="17" t="n"/>
      <ns0:c r="M882" s="17" t="n"/>
      <ns0:c r="N882" s="17" t="n"/>
      <ns0:c r="O882" s="17" t="n"/>
      <ns0:c r="P882" s="17" t="n"/>
      <ns0:c r="Q882" s="17" t="n"/>
      <ns0:c r="R882" s="17" t="n"/>
      <ns0:c r="S882" s="17" t="n"/>
      <ns0:c r="T882" s="17" t="n"/>
      <ns0:c r="U882" s="17" t="n"/>
      <ns0:c r="V882" s="17" t="n"/>
      <ns0:c r="W882" s="17" t="n"/>
      <ns0:c r="X882" s="17" t="n"/>
      <ns0:c r="Y882" s="17" t="n"/>
      <ns0:c r="Z882" s="17" t="n"/>
      <ns0:c r="AA882" s="17" t="n"/>
      <ns0:c r="AB882" s="17" t="n"/>
      <ns0:c r="AC882" s="17" t="n"/>
      <ns0:c r="AD882" s="17" t="n"/>
      <ns0:c r="AE882" s="17" t="n"/>
      <ns0:c r="AF882" s="17" t="n"/>
      <ns0:c r="AG882" s="17" t="n"/>
    </ns0:row>
    <ns0:row r="883" ht="24" customHeight="1">
      <ns0:c r="D883" s="17" t="n"/>
      <ns0:c r="E883" s="17" t="n"/>
      <ns0:c r="F883" s="17" t="n"/>
      <ns0:c r="G883" s="17" t="n"/>
      <ns0:c r="H883" s="17" t="n"/>
      <ns0:c r="I883" s="17" t="n"/>
      <ns0:c r="J883" s="17" t="n"/>
      <ns0:c r="K883" s="17" t="n"/>
      <ns0:c r="L883" s="17" t="n"/>
      <ns0:c r="M883" s="17" t="n"/>
      <ns0:c r="N883" s="17" t="n"/>
      <ns0:c r="O883" s="17" t="n"/>
      <ns0:c r="P883" s="17" t="n"/>
      <ns0:c r="Q883" s="17" t="n"/>
      <ns0:c r="R883" s="17" t="n"/>
      <ns0:c r="S883" s="17" t="n"/>
      <ns0:c r="T883" s="17" t="n"/>
      <ns0:c r="U883" s="17" t="n"/>
      <ns0:c r="V883" s="17" t="n"/>
      <ns0:c r="W883" s="17" t="n"/>
      <ns0:c r="X883" s="17" t="n"/>
      <ns0:c r="Y883" s="17" t="n"/>
      <ns0:c r="Z883" s="17" t="n"/>
      <ns0:c r="AA883" s="17" t="n"/>
      <ns0:c r="AB883" s="17" t="n"/>
      <ns0:c r="AC883" s="17" t="n"/>
      <ns0:c r="AD883" s="17" t="n"/>
      <ns0:c r="AE883" s="17" t="n"/>
      <ns0:c r="AF883" s="17" t="n"/>
      <ns0:c r="AG883" s="17" t="n"/>
    </ns0:row>
    <ns0:row r="884" ht="24" customHeight="1">
      <ns0:c r="D884" s="17" t="n"/>
      <ns0:c r="E884" s="17" t="n"/>
      <ns0:c r="F884" s="17" t="n"/>
      <ns0:c r="G884" s="17" t="n"/>
      <ns0:c r="H884" s="17" t="n"/>
      <ns0:c r="I884" s="17" t="n"/>
      <ns0:c r="J884" s="17" t="n"/>
      <ns0:c r="K884" s="17" t="n"/>
      <ns0:c r="L884" s="17" t="n"/>
      <ns0:c r="M884" s="17" t="n"/>
      <ns0:c r="N884" s="17" t="n"/>
      <ns0:c r="O884" s="17" t="n"/>
      <ns0:c r="P884" s="17" t="n"/>
      <ns0:c r="Q884" s="17" t="n"/>
      <ns0:c r="R884" s="17" t="n"/>
      <ns0:c r="S884" s="17" t="n"/>
      <ns0:c r="T884" s="17" t="n"/>
      <ns0:c r="U884" s="17" t="n"/>
      <ns0:c r="V884" s="17" t="n"/>
      <ns0:c r="W884" s="17" t="n"/>
      <ns0:c r="X884" s="17" t="n"/>
      <ns0:c r="Y884" s="17" t="n"/>
      <ns0:c r="Z884" s="17" t="n"/>
      <ns0:c r="AA884" s="17" t="n"/>
      <ns0:c r="AB884" s="17" t="n"/>
      <ns0:c r="AC884" s="17" t="n"/>
      <ns0:c r="AD884" s="17" t="n"/>
      <ns0:c r="AE884" s="17" t="n"/>
      <ns0:c r="AF884" s="17" t="n"/>
      <ns0:c r="AG884" s="17" t="n"/>
    </ns0:row>
    <ns0:row r="885" ht="24" customHeight="1">
      <ns0:c r="D885" s="17" t="n"/>
      <ns0:c r="E885" s="17" t="n"/>
      <ns0:c r="F885" s="17" t="n"/>
      <ns0:c r="G885" s="17" t="n"/>
      <ns0:c r="H885" s="17" t="n"/>
      <ns0:c r="I885" s="17" t="n"/>
      <ns0:c r="J885" s="17" t="n"/>
      <ns0:c r="K885" s="17" t="n"/>
      <ns0:c r="L885" s="17" t="n"/>
      <ns0:c r="M885" s="17" t="n"/>
      <ns0:c r="N885" s="17" t="n"/>
      <ns0:c r="O885" s="17" t="n"/>
      <ns0:c r="P885" s="17" t="n"/>
      <ns0:c r="Q885" s="17" t="n"/>
      <ns0:c r="R885" s="17" t="n"/>
      <ns0:c r="S885" s="17" t="n"/>
      <ns0:c r="T885" s="17" t="n"/>
      <ns0:c r="U885" s="17" t="n"/>
      <ns0:c r="V885" s="17" t="n"/>
      <ns0:c r="W885" s="17" t="n"/>
      <ns0:c r="X885" s="17" t="n"/>
      <ns0:c r="Y885" s="17" t="n"/>
      <ns0:c r="Z885" s="17" t="n"/>
      <ns0:c r="AA885" s="17" t="n"/>
      <ns0:c r="AB885" s="17" t="n"/>
      <ns0:c r="AC885" s="17" t="n"/>
      <ns0:c r="AD885" s="17" t="n"/>
      <ns0:c r="AE885" s="17" t="n"/>
      <ns0:c r="AF885" s="17" t="n"/>
      <ns0:c r="AG885" s="17" t="n"/>
    </ns0:row>
    <ns0:row r="886" ht="24" customHeight="1">
      <ns0:c r="D886" s="17" t="n"/>
      <ns0:c r="E886" s="17" t="n"/>
      <ns0:c r="F886" s="17" t="n"/>
      <ns0:c r="G886" s="17" t="n"/>
      <ns0:c r="H886" s="17" t="n"/>
      <ns0:c r="I886" s="17" t="n"/>
      <ns0:c r="J886" s="17" t="n"/>
      <ns0:c r="K886" s="17" t="n"/>
      <ns0:c r="L886" s="17" t="n"/>
      <ns0:c r="M886" s="17" t="n"/>
      <ns0:c r="N886" s="17" t="n"/>
      <ns0:c r="O886" s="17" t="n"/>
      <ns0:c r="P886" s="17" t="n"/>
      <ns0:c r="Q886" s="17" t="n"/>
      <ns0:c r="R886" s="17" t="n"/>
      <ns0:c r="S886" s="17" t="n"/>
      <ns0:c r="T886" s="17" t="n"/>
      <ns0:c r="U886" s="17" t="n"/>
      <ns0:c r="V886" s="17" t="n"/>
      <ns0:c r="W886" s="17" t="n"/>
      <ns0:c r="X886" s="17" t="n"/>
      <ns0:c r="Y886" s="17" t="n"/>
      <ns0:c r="Z886" s="17" t="n"/>
      <ns0:c r="AA886" s="17" t="n"/>
      <ns0:c r="AB886" s="17" t="n"/>
      <ns0:c r="AC886" s="17" t="n"/>
      <ns0:c r="AD886" s="17" t="n"/>
      <ns0:c r="AE886" s="17" t="n"/>
      <ns0:c r="AF886" s="17" t="n"/>
      <ns0:c r="AG886" s="17" t="n"/>
    </ns0:row>
    <ns0:row r="887" ht="24" customHeight="1">
      <ns0:c r="D887" s="17" t="n"/>
      <ns0:c r="E887" s="17" t="n"/>
      <ns0:c r="F887" s="17" t="n"/>
      <ns0:c r="G887" s="17" t="n"/>
      <ns0:c r="H887" s="17" t="n"/>
      <ns0:c r="I887" s="17" t="n"/>
      <ns0:c r="J887" s="17" t="n"/>
      <ns0:c r="K887" s="17" t="n"/>
      <ns0:c r="L887" s="17" t="n"/>
      <ns0:c r="M887" s="17" t="n"/>
      <ns0:c r="N887" s="17" t="n"/>
      <ns0:c r="O887" s="17" t="n"/>
      <ns0:c r="P887" s="17" t="n"/>
      <ns0:c r="Q887" s="17" t="n"/>
      <ns0:c r="R887" s="17" t="n"/>
      <ns0:c r="S887" s="17" t="n"/>
      <ns0:c r="T887" s="17" t="n"/>
      <ns0:c r="U887" s="17" t="n"/>
      <ns0:c r="V887" s="17" t="n"/>
      <ns0:c r="W887" s="17" t="n"/>
      <ns0:c r="X887" s="17" t="n"/>
      <ns0:c r="Y887" s="17" t="n"/>
      <ns0:c r="Z887" s="17" t="n"/>
      <ns0:c r="AA887" s="17" t="n"/>
      <ns0:c r="AB887" s="17" t="n"/>
      <ns0:c r="AC887" s="17" t="n"/>
      <ns0:c r="AD887" s="17" t="n"/>
      <ns0:c r="AE887" s="17" t="n"/>
      <ns0:c r="AF887" s="17" t="n"/>
      <ns0:c r="AG887" s="17" t="n"/>
    </ns0:row>
    <ns0:row r="888" ht="24" customHeight="1">
      <ns0:c r="D888" s="17" t="n"/>
      <ns0:c r="E888" s="17" t="n"/>
      <ns0:c r="F888" s="17" t="n"/>
      <ns0:c r="G888" s="17" t="n"/>
      <ns0:c r="H888" s="17" t="n"/>
      <ns0:c r="I888" s="17" t="n"/>
      <ns0:c r="J888" s="17" t="n"/>
      <ns0:c r="K888" s="17" t="n"/>
      <ns0:c r="L888" s="17" t="n"/>
      <ns0:c r="M888" s="17" t="n"/>
      <ns0:c r="N888" s="17" t="n"/>
      <ns0:c r="O888" s="17" t="n"/>
      <ns0:c r="P888" s="17" t="n"/>
      <ns0:c r="Q888" s="17" t="n"/>
      <ns0:c r="R888" s="17" t="n"/>
      <ns0:c r="S888" s="17" t="n"/>
      <ns0:c r="T888" s="17" t="n"/>
      <ns0:c r="U888" s="17" t="n"/>
      <ns0:c r="V888" s="17" t="n"/>
      <ns0:c r="W888" s="17" t="n"/>
      <ns0:c r="X888" s="17" t="n"/>
      <ns0:c r="Y888" s="17" t="n"/>
      <ns0:c r="Z888" s="17" t="n"/>
      <ns0:c r="AA888" s="17" t="n"/>
      <ns0:c r="AB888" s="17" t="n"/>
      <ns0:c r="AC888" s="17" t="n"/>
      <ns0:c r="AD888" s="17" t="n"/>
      <ns0:c r="AE888" s="17" t="n"/>
      <ns0:c r="AF888" s="17" t="n"/>
      <ns0:c r="AG888" s="17" t="n"/>
    </ns0:row>
    <ns0:row r="889" ht="24" customHeight="1">
      <ns0:c r="D889" s="17" t="n"/>
      <ns0:c r="E889" s="17" t="n"/>
      <ns0:c r="F889" s="17" t="n"/>
      <ns0:c r="G889" s="17" t="n"/>
      <ns0:c r="H889" s="17" t="n"/>
      <ns0:c r="I889" s="17" t="n"/>
      <ns0:c r="J889" s="17" t="n"/>
      <ns0:c r="K889" s="17" t="n"/>
      <ns0:c r="L889" s="17" t="n"/>
      <ns0:c r="M889" s="17" t="n"/>
      <ns0:c r="N889" s="17" t="n"/>
      <ns0:c r="O889" s="17" t="n"/>
      <ns0:c r="P889" s="17" t="n"/>
      <ns0:c r="Q889" s="17" t="n"/>
      <ns0:c r="R889" s="17" t="n"/>
      <ns0:c r="S889" s="17" t="n"/>
      <ns0:c r="T889" s="17" t="n"/>
      <ns0:c r="U889" s="17" t="n"/>
      <ns0:c r="V889" s="17" t="n"/>
      <ns0:c r="W889" s="17" t="n"/>
      <ns0:c r="X889" s="17" t="n"/>
      <ns0:c r="Y889" s="17" t="n"/>
      <ns0:c r="Z889" s="17" t="n"/>
      <ns0:c r="AA889" s="17" t="n"/>
      <ns0:c r="AB889" s="17" t="n"/>
      <ns0:c r="AC889" s="17" t="n"/>
      <ns0:c r="AD889" s="17" t="n"/>
      <ns0:c r="AE889" s="17" t="n"/>
      <ns0:c r="AF889" s="17" t="n"/>
      <ns0:c r="AG889" s="17" t="n"/>
    </ns0:row>
    <ns0:row r="890" ht="24" customHeight="1">
      <ns0:c r="D890" s="17" t="n"/>
      <ns0:c r="E890" s="17" t="n"/>
      <ns0:c r="F890" s="17" t="n"/>
      <ns0:c r="G890" s="17" t="n"/>
      <ns0:c r="H890" s="17" t="n"/>
      <ns0:c r="I890" s="17" t="n"/>
      <ns0:c r="J890" s="17" t="n"/>
      <ns0:c r="K890" s="17" t="n"/>
      <ns0:c r="L890" s="17" t="n"/>
      <ns0:c r="M890" s="17" t="n"/>
      <ns0:c r="N890" s="17" t="n"/>
      <ns0:c r="O890" s="17" t="n"/>
      <ns0:c r="P890" s="17" t="n"/>
      <ns0:c r="Q890" s="17" t="n"/>
      <ns0:c r="R890" s="17" t="n"/>
      <ns0:c r="S890" s="17" t="n"/>
      <ns0:c r="T890" s="17" t="n"/>
      <ns0:c r="U890" s="17" t="n"/>
      <ns0:c r="V890" s="17" t="n"/>
      <ns0:c r="W890" s="17" t="n"/>
      <ns0:c r="X890" s="17" t="n"/>
      <ns0:c r="Y890" s="17" t="n"/>
      <ns0:c r="Z890" s="17" t="n"/>
      <ns0:c r="AA890" s="17" t="n"/>
      <ns0:c r="AB890" s="17" t="n"/>
      <ns0:c r="AC890" s="17" t="n"/>
      <ns0:c r="AD890" s="17" t="n"/>
      <ns0:c r="AE890" s="17" t="n"/>
      <ns0:c r="AF890" s="17" t="n"/>
      <ns0:c r="AG890" s="17" t="n"/>
    </ns0:row>
    <ns0:row r="891" ht="24" customHeight="1">
      <ns0:c r="D891" s="17" t="n"/>
      <ns0:c r="E891" s="17" t="n"/>
      <ns0:c r="F891" s="17" t="n"/>
      <ns0:c r="G891" s="17" t="n"/>
      <ns0:c r="H891" s="17" t="n"/>
      <ns0:c r="I891" s="17" t="n"/>
      <ns0:c r="J891" s="17" t="n"/>
      <ns0:c r="K891" s="17" t="n"/>
      <ns0:c r="L891" s="17" t="n"/>
      <ns0:c r="M891" s="17" t="n"/>
      <ns0:c r="N891" s="17" t="n"/>
      <ns0:c r="O891" s="17" t="n"/>
      <ns0:c r="P891" s="17" t="n"/>
      <ns0:c r="Q891" s="17" t="n"/>
      <ns0:c r="R891" s="17" t="n"/>
      <ns0:c r="S891" s="17" t="n"/>
      <ns0:c r="T891" s="17" t="n"/>
      <ns0:c r="U891" s="17" t="n"/>
      <ns0:c r="V891" s="17" t="n"/>
      <ns0:c r="W891" s="17" t="n"/>
      <ns0:c r="X891" s="17" t="n"/>
      <ns0:c r="Y891" s="17" t="n"/>
      <ns0:c r="Z891" s="17" t="n"/>
      <ns0:c r="AA891" s="17" t="n"/>
      <ns0:c r="AB891" s="17" t="n"/>
      <ns0:c r="AC891" s="17" t="n"/>
      <ns0:c r="AD891" s="17" t="n"/>
      <ns0:c r="AE891" s="17" t="n"/>
      <ns0:c r="AF891" s="17" t="n"/>
      <ns0:c r="AG891" s="17" t="n"/>
    </ns0:row>
    <ns0:row r="892" ht="24" customHeight="1">
      <ns0:c r="D892" s="17" t="n"/>
      <ns0:c r="E892" s="17" t="n"/>
      <ns0:c r="F892" s="17" t="n"/>
      <ns0:c r="G892" s="17" t="n"/>
      <ns0:c r="H892" s="17" t="n"/>
      <ns0:c r="I892" s="17" t="n"/>
      <ns0:c r="J892" s="17" t="n"/>
      <ns0:c r="K892" s="17" t="n"/>
      <ns0:c r="L892" s="17" t="n"/>
      <ns0:c r="M892" s="17" t="n"/>
      <ns0:c r="N892" s="17" t="n"/>
      <ns0:c r="O892" s="17" t="n"/>
      <ns0:c r="P892" s="17" t="n"/>
      <ns0:c r="Q892" s="17" t="n"/>
      <ns0:c r="R892" s="17" t="n"/>
      <ns0:c r="S892" s="17" t="n"/>
      <ns0:c r="T892" s="17" t="n"/>
      <ns0:c r="U892" s="17" t="n"/>
      <ns0:c r="V892" s="17" t="n"/>
      <ns0:c r="W892" s="17" t="n"/>
      <ns0:c r="X892" s="17" t="n"/>
      <ns0:c r="Y892" s="17" t="n"/>
      <ns0:c r="Z892" s="17" t="n"/>
      <ns0:c r="AA892" s="17" t="n"/>
      <ns0:c r="AB892" s="17" t="n"/>
      <ns0:c r="AC892" s="17" t="n"/>
      <ns0:c r="AD892" s="17" t="n"/>
      <ns0:c r="AE892" s="17" t="n"/>
      <ns0:c r="AF892" s="17" t="n"/>
      <ns0:c r="AG892" s="17" t="n"/>
    </ns0:row>
    <ns0:row r="893" ht="24" customHeight="1">
      <ns0:c r="D893" s="17" t="n"/>
      <ns0:c r="E893" s="17" t="n"/>
      <ns0:c r="F893" s="17" t="n"/>
      <ns0:c r="G893" s="17" t="n"/>
      <ns0:c r="H893" s="17" t="n"/>
      <ns0:c r="I893" s="17" t="n"/>
      <ns0:c r="J893" s="17" t="n"/>
      <ns0:c r="K893" s="17" t="n"/>
      <ns0:c r="L893" s="17" t="n"/>
      <ns0:c r="M893" s="17" t="n"/>
      <ns0:c r="N893" s="17" t="n"/>
      <ns0:c r="O893" s="17" t="n"/>
      <ns0:c r="P893" s="17" t="n"/>
      <ns0:c r="Q893" s="17" t="n"/>
      <ns0:c r="R893" s="17" t="n"/>
      <ns0:c r="S893" s="17" t="n"/>
      <ns0:c r="T893" s="17" t="n"/>
      <ns0:c r="U893" s="17" t="n"/>
      <ns0:c r="V893" s="17" t="n"/>
      <ns0:c r="W893" s="17" t="n"/>
      <ns0:c r="X893" s="17" t="n"/>
      <ns0:c r="Y893" s="17" t="n"/>
      <ns0:c r="Z893" s="17" t="n"/>
      <ns0:c r="AA893" s="17" t="n"/>
      <ns0:c r="AB893" s="17" t="n"/>
      <ns0:c r="AC893" s="17" t="n"/>
      <ns0:c r="AD893" s="17" t="n"/>
      <ns0:c r="AE893" s="17" t="n"/>
      <ns0:c r="AF893" s="17" t="n"/>
      <ns0:c r="AG893" s="17" t="n"/>
    </ns0:row>
    <ns0:row r="894" ht="24" customHeight="1">
      <ns0:c r="D894" s="17" t="n"/>
      <ns0:c r="E894" s="17" t="n"/>
      <ns0:c r="F894" s="17" t="n"/>
      <ns0:c r="G894" s="17" t="n"/>
      <ns0:c r="H894" s="17" t="n"/>
      <ns0:c r="I894" s="17" t="n"/>
      <ns0:c r="J894" s="17" t="n"/>
      <ns0:c r="K894" s="17" t="n"/>
      <ns0:c r="L894" s="17" t="n"/>
      <ns0:c r="M894" s="17" t="n"/>
      <ns0:c r="N894" s="17" t="n"/>
      <ns0:c r="O894" s="17" t="n"/>
      <ns0:c r="P894" s="17" t="n"/>
      <ns0:c r="Q894" s="17" t="n"/>
      <ns0:c r="R894" s="17" t="n"/>
      <ns0:c r="S894" s="17" t="n"/>
      <ns0:c r="T894" s="17" t="n"/>
      <ns0:c r="U894" s="17" t="n"/>
      <ns0:c r="V894" s="17" t="n"/>
      <ns0:c r="W894" s="17" t="n"/>
      <ns0:c r="X894" s="17" t="n"/>
      <ns0:c r="Y894" s="17" t="n"/>
      <ns0:c r="Z894" s="17" t="n"/>
      <ns0:c r="AA894" s="17" t="n"/>
      <ns0:c r="AB894" s="17" t="n"/>
      <ns0:c r="AC894" s="17" t="n"/>
      <ns0:c r="AD894" s="17" t="n"/>
      <ns0:c r="AE894" s="17" t="n"/>
      <ns0:c r="AF894" s="17" t="n"/>
      <ns0:c r="AG894" s="17" t="n"/>
    </ns0:row>
    <ns0:row r="895" ht="24" customHeight="1">
      <ns0:c r="D895" s="17" t="n"/>
      <ns0:c r="E895" s="17" t="n"/>
      <ns0:c r="F895" s="17" t="n"/>
      <ns0:c r="G895" s="17" t="n"/>
      <ns0:c r="H895" s="17" t="n"/>
      <ns0:c r="I895" s="17" t="n"/>
      <ns0:c r="J895" s="17" t="n"/>
      <ns0:c r="K895" s="17" t="n"/>
      <ns0:c r="L895" s="17" t="n"/>
      <ns0:c r="M895" s="17" t="n"/>
      <ns0:c r="N895" s="17" t="n"/>
      <ns0:c r="O895" s="17" t="n"/>
      <ns0:c r="P895" s="17" t="n"/>
      <ns0:c r="Q895" s="17" t="n"/>
      <ns0:c r="R895" s="17" t="n"/>
      <ns0:c r="S895" s="17" t="n"/>
      <ns0:c r="T895" s="17" t="n"/>
      <ns0:c r="U895" s="17" t="n"/>
      <ns0:c r="V895" s="17" t="n"/>
      <ns0:c r="W895" s="17" t="n"/>
      <ns0:c r="X895" s="17" t="n"/>
      <ns0:c r="Y895" s="17" t="n"/>
      <ns0:c r="Z895" s="17" t="n"/>
      <ns0:c r="AA895" s="17" t="n"/>
      <ns0:c r="AB895" s="17" t="n"/>
      <ns0:c r="AC895" s="17" t="n"/>
      <ns0:c r="AD895" s="17" t="n"/>
      <ns0:c r="AE895" s="17" t="n"/>
      <ns0:c r="AF895" s="17" t="n"/>
      <ns0:c r="AG895" s="17" t="n"/>
    </ns0:row>
    <ns0:row r="896" ht="24" customHeight="1">
      <ns0:c r="D896" s="17" t="n"/>
      <ns0:c r="E896" s="17" t="n"/>
      <ns0:c r="F896" s="17" t="n"/>
      <ns0:c r="G896" s="17" t="n"/>
      <ns0:c r="H896" s="17" t="n"/>
      <ns0:c r="I896" s="17" t="n"/>
      <ns0:c r="J896" s="17" t="n"/>
      <ns0:c r="K896" s="17" t="n"/>
      <ns0:c r="L896" s="17" t="n"/>
      <ns0:c r="M896" s="17" t="n"/>
      <ns0:c r="N896" s="17" t="n"/>
      <ns0:c r="O896" s="17" t="n"/>
      <ns0:c r="P896" s="17" t="n"/>
      <ns0:c r="Q896" s="17" t="n"/>
      <ns0:c r="R896" s="17" t="n"/>
      <ns0:c r="S896" s="17" t="n"/>
      <ns0:c r="T896" s="17" t="n"/>
      <ns0:c r="U896" s="17" t="n"/>
      <ns0:c r="V896" s="17" t="n"/>
      <ns0:c r="W896" s="17" t="n"/>
      <ns0:c r="X896" s="17" t="n"/>
      <ns0:c r="Y896" s="17" t="n"/>
      <ns0:c r="Z896" s="17" t="n"/>
      <ns0:c r="AA896" s="17" t="n"/>
      <ns0:c r="AB896" s="17" t="n"/>
      <ns0:c r="AC896" s="17" t="n"/>
      <ns0:c r="AD896" s="17" t="n"/>
      <ns0:c r="AE896" s="17" t="n"/>
      <ns0:c r="AF896" s="17" t="n"/>
      <ns0:c r="AG896" s="17" t="n"/>
    </ns0:row>
    <ns0:row r="897" ht="24" customHeight="1">
      <ns0:c r="D897" s="17" t="n"/>
      <ns0:c r="E897" s="17" t="n"/>
      <ns0:c r="F897" s="17" t="n"/>
      <ns0:c r="G897" s="17" t="n"/>
      <ns0:c r="H897" s="17" t="n"/>
      <ns0:c r="I897" s="17" t="n"/>
      <ns0:c r="J897" s="17" t="n"/>
      <ns0:c r="K897" s="17" t="n"/>
      <ns0:c r="L897" s="17" t="n"/>
      <ns0:c r="M897" s="17" t="n"/>
      <ns0:c r="N897" s="17" t="n"/>
      <ns0:c r="O897" s="17" t="n"/>
      <ns0:c r="P897" s="17" t="n"/>
      <ns0:c r="Q897" s="17" t="n"/>
      <ns0:c r="R897" s="17" t="n"/>
      <ns0:c r="S897" s="17" t="n"/>
      <ns0:c r="T897" s="17" t="n"/>
      <ns0:c r="U897" s="17" t="n"/>
      <ns0:c r="V897" s="17" t="n"/>
      <ns0:c r="W897" s="17" t="n"/>
      <ns0:c r="X897" s="17" t="n"/>
      <ns0:c r="Y897" s="17" t="n"/>
      <ns0:c r="Z897" s="17" t="n"/>
      <ns0:c r="AA897" s="17" t="n"/>
      <ns0:c r="AB897" s="17" t="n"/>
      <ns0:c r="AC897" s="17" t="n"/>
      <ns0:c r="AD897" s="17" t="n"/>
      <ns0:c r="AE897" s="17" t="n"/>
      <ns0:c r="AF897" s="17" t="n"/>
      <ns0:c r="AG897" s="17" t="n"/>
    </ns0:row>
    <ns0:row r="898" ht="24" customHeight="1">
      <ns0:c r="D898" s="17" t="n"/>
      <ns0:c r="E898" s="17" t="n"/>
      <ns0:c r="F898" s="17" t="n"/>
      <ns0:c r="G898" s="17" t="n"/>
      <ns0:c r="H898" s="17" t="n"/>
      <ns0:c r="I898" s="17" t="n"/>
      <ns0:c r="J898" s="17" t="n"/>
      <ns0:c r="K898" s="17" t="n"/>
      <ns0:c r="L898" s="17" t="n"/>
      <ns0:c r="M898" s="17" t="n"/>
      <ns0:c r="N898" s="17" t="n"/>
      <ns0:c r="O898" s="17" t="n"/>
      <ns0:c r="P898" s="17" t="n"/>
      <ns0:c r="Q898" s="17" t="n"/>
      <ns0:c r="R898" s="17" t="n"/>
      <ns0:c r="S898" s="17" t="n"/>
      <ns0:c r="T898" s="17" t="n"/>
      <ns0:c r="U898" s="17" t="n"/>
      <ns0:c r="V898" s="17" t="n"/>
      <ns0:c r="W898" s="17" t="n"/>
      <ns0:c r="X898" s="17" t="n"/>
      <ns0:c r="Y898" s="17" t="n"/>
      <ns0:c r="Z898" s="17" t="n"/>
      <ns0:c r="AA898" s="17" t="n"/>
      <ns0:c r="AB898" s="17" t="n"/>
      <ns0:c r="AC898" s="17" t="n"/>
      <ns0:c r="AD898" s="17" t="n"/>
      <ns0:c r="AE898" s="17" t="n"/>
      <ns0:c r="AF898" s="17" t="n"/>
      <ns0:c r="AG898" s="17" t="n"/>
    </ns0:row>
    <ns0:row r="899" ht="24" customHeight="1">
      <ns0:c r="D899" s="17" t="n"/>
      <ns0:c r="E899" s="17" t="n"/>
      <ns0:c r="F899" s="17" t="n"/>
      <ns0:c r="G899" s="17" t="n"/>
      <ns0:c r="H899" s="17" t="n"/>
      <ns0:c r="I899" s="17" t="n"/>
      <ns0:c r="J899" s="17" t="n"/>
      <ns0:c r="K899" s="17" t="n"/>
      <ns0:c r="L899" s="17" t="n"/>
      <ns0:c r="M899" s="17" t="n"/>
      <ns0:c r="N899" s="17" t="n"/>
      <ns0:c r="O899" s="17" t="n"/>
      <ns0:c r="P899" s="17" t="n"/>
      <ns0:c r="Q899" s="17" t="n"/>
      <ns0:c r="R899" s="17" t="n"/>
      <ns0:c r="S899" s="17" t="n"/>
      <ns0:c r="T899" s="17" t="n"/>
      <ns0:c r="U899" s="17" t="n"/>
      <ns0:c r="V899" s="17" t="n"/>
      <ns0:c r="W899" s="17" t="n"/>
      <ns0:c r="X899" s="17" t="n"/>
      <ns0:c r="Y899" s="17" t="n"/>
      <ns0:c r="Z899" s="17" t="n"/>
      <ns0:c r="AA899" s="17" t="n"/>
      <ns0:c r="AB899" s="17" t="n"/>
      <ns0:c r="AC899" s="17" t="n"/>
      <ns0:c r="AD899" s="17" t="n"/>
      <ns0:c r="AE899" s="17" t="n"/>
      <ns0:c r="AF899" s="17" t="n"/>
      <ns0:c r="AG899" s="17" t="n"/>
    </ns0:row>
    <ns0:row r="900" ht="24" customHeight="1">
      <ns0:c r="D900" s="17" t="n"/>
      <ns0:c r="E900" s="17" t="n"/>
      <ns0:c r="F900" s="17" t="n"/>
      <ns0:c r="G900" s="17" t="n"/>
      <ns0:c r="H900" s="17" t="n"/>
      <ns0:c r="I900" s="17" t="n"/>
      <ns0:c r="J900" s="17" t="n"/>
      <ns0:c r="K900" s="17" t="n"/>
      <ns0:c r="L900" s="17" t="n"/>
      <ns0:c r="M900" s="17" t="n"/>
      <ns0:c r="N900" s="17" t="n"/>
      <ns0:c r="O900" s="17" t="n"/>
      <ns0:c r="P900" s="17" t="n"/>
      <ns0:c r="Q900" s="17" t="n"/>
      <ns0:c r="R900" s="17" t="n"/>
      <ns0:c r="S900" s="17" t="n"/>
      <ns0:c r="T900" s="17" t="n"/>
      <ns0:c r="U900" s="17" t="n"/>
      <ns0:c r="V900" s="17" t="n"/>
      <ns0:c r="W900" s="17" t="n"/>
      <ns0:c r="X900" s="17" t="n"/>
      <ns0:c r="Y900" s="17" t="n"/>
      <ns0:c r="Z900" s="17" t="n"/>
      <ns0:c r="AA900" s="17" t="n"/>
      <ns0:c r="AB900" s="17" t="n"/>
      <ns0:c r="AC900" s="17" t="n"/>
      <ns0:c r="AD900" s="17" t="n"/>
      <ns0:c r="AE900" s="17" t="n"/>
      <ns0:c r="AF900" s="17" t="n"/>
      <ns0:c r="AG900" s="17" t="n"/>
    </ns0:row>
    <ns0:row r="901" ht="24" customHeight="1">
      <ns0:c r="D901" s="17" t="n"/>
      <ns0:c r="E901" s="17" t="n"/>
      <ns0:c r="F901" s="17" t="n"/>
      <ns0:c r="G901" s="17" t="n"/>
      <ns0:c r="H901" s="17" t="n"/>
      <ns0:c r="I901" s="17" t="n"/>
      <ns0:c r="J901" s="17" t="n"/>
      <ns0:c r="K901" s="17" t="n"/>
      <ns0:c r="L901" s="17" t="n"/>
      <ns0:c r="M901" s="17" t="n"/>
      <ns0:c r="N901" s="17" t="n"/>
      <ns0:c r="O901" s="17" t="n"/>
      <ns0:c r="P901" s="17" t="n"/>
      <ns0:c r="Q901" s="17" t="n"/>
      <ns0:c r="R901" s="17" t="n"/>
      <ns0:c r="S901" s="17" t="n"/>
      <ns0:c r="T901" s="17" t="n"/>
      <ns0:c r="U901" s="17" t="n"/>
      <ns0:c r="V901" s="17" t="n"/>
      <ns0:c r="W901" s="17" t="n"/>
      <ns0:c r="X901" s="17" t="n"/>
      <ns0:c r="Y901" s="17" t="n"/>
      <ns0:c r="Z901" s="17" t="n"/>
      <ns0:c r="AA901" s="17" t="n"/>
      <ns0:c r="AB901" s="17" t="n"/>
      <ns0:c r="AC901" s="17" t="n"/>
      <ns0:c r="AD901" s="17" t="n"/>
      <ns0:c r="AE901" s="17" t="n"/>
      <ns0:c r="AF901" s="17" t="n"/>
      <ns0:c r="AG901" s="17" t="n"/>
    </ns0:row>
    <ns0:row r="902" ht="24" customHeight="1">
      <ns0:c r="D902" s="17" t="n"/>
      <ns0:c r="E902" s="17" t="n"/>
      <ns0:c r="F902" s="17" t="n"/>
      <ns0:c r="G902" s="17" t="n"/>
      <ns0:c r="H902" s="17" t="n"/>
      <ns0:c r="I902" s="17" t="n"/>
      <ns0:c r="J902" s="17" t="n"/>
      <ns0:c r="K902" s="17" t="n"/>
      <ns0:c r="L902" s="17" t="n"/>
      <ns0:c r="M902" s="17" t="n"/>
      <ns0:c r="N902" s="17" t="n"/>
      <ns0:c r="O902" s="17" t="n"/>
      <ns0:c r="P902" s="17" t="n"/>
      <ns0:c r="Q902" s="17" t="n"/>
      <ns0:c r="R902" s="17" t="n"/>
      <ns0:c r="S902" s="17" t="n"/>
      <ns0:c r="T902" s="17" t="n"/>
      <ns0:c r="U902" s="17" t="n"/>
      <ns0:c r="V902" s="17" t="n"/>
      <ns0:c r="W902" s="17" t="n"/>
      <ns0:c r="X902" s="17" t="n"/>
      <ns0:c r="Y902" s="17" t="n"/>
      <ns0:c r="Z902" s="17" t="n"/>
      <ns0:c r="AA902" s="17" t="n"/>
      <ns0:c r="AB902" s="17" t="n"/>
      <ns0:c r="AC902" s="17" t="n"/>
      <ns0:c r="AD902" s="17" t="n"/>
      <ns0:c r="AE902" s="17" t="n"/>
      <ns0:c r="AF902" s="17" t="n"/>
      <ns0:c r="AG902" s="17" t="n"/>
    </ns0:row>
    <ns0:row r="903" ht="24" customHeight="1">
      <ns0:c r="D903" s="17" t="n"/>
      <ns0:c r="E903" s="17" t="n"/>
      <ns0:c r="F903" s="17" t="n"/>
      <ns0:c r="G903" s="17" t="n"/>
      <ns0:c r="H903" s="17" t="n"/>
      <ns0:c r="I903" s="17" t="n"/>
      <ns0:c r="J903" s="17" t="n"/>
      <ns0:c r="K903" s="17" t="n"/>
      <ns0:c r="L903" s="17" t="n"/>
      <ns0:c r="M903" s="17" t="n"/>
      <ns0:c r="N903" s="17" t="n"/>
      <ns0:c r="O903" s="17" t="n"/>
      <ns0:c r="P903" s="17" t="n"/>
      <ns0:c r="Q903" s="17" t="n"/>
      <ns0:c r="R903" s="17" t="n"/>
      <ns0:c r="S903" s="17" t="n"/>
      <ns0:c r="T903" s="17" t="n"/>
      <ns0:c r="U903" s="17" t="n"/>
      <ns0:c r="V903" s="17" t="n"/>
      <ns0:c r="W903" s="17" t="n"/>
      <ns0:c r="X903" s="17" t="n"/>
      <ns0:c r="Y903" s="17" t="n"/>
      <ns0:c r="Z903" s="17" t="n"/>
      <ns0:c r="AA903" s="17" t="n"/>
      <ns0:c r="AB903" s="17" t="n"/>
      <ns0:c r="AC903" s="17" t="n"/>
      <ns0:c r="AD903" s="17" t="n"/>
      <ns0:c r="AE903" s="17" t="n"/>
      <ns0:c r="AF903" s="17" t="n"/>
      <ns0:c r="AG903" s="17" t="n"/>
    </ns0:row>
    <ns0:row r="904" ht="24" customHeight="1">
      <ns0:c r="D904" s="17" t="n"/>
      <ns0:c r="E904" s="17" t="n"/>
      <ns0:c r="F904" s="17" t="n"/>
      <ns0:c r="G904" s="17" t="n"/>
      <ns0:c r="H904" s="17" t="n"/>
      <ns0:c r="I904" s="17" t="n"/>
      <ns0:c r="J904" s="17" t="n"/>
      <ns0:c r="K904" s="17" t="n"/>
      <ns0:c r="L904" s="17" t="n"/>
      <ns0:c r="M904" s="17" t="n"/>
      <ns0:c r="N904" s="17" t="n"/>
      <ns0:c r="O904" s="17" t="n"/>
      <ns0:c r="P904" s="17" t="n"/>
      <ns0:c r="Q904" s="17" t="n"/>
      <ns0:c r="R904" s="17" t="n"/>
      <ns0:c r="S904" s="17" t="n"/>
      <ns0:c r="T904" s="17" t="n"/>
      <ns0:c r="U904" s="17" t="n"/>
      <ns0:c r="V904" s="17" t="n"/>
      <ns0:c r="W904" s="17" t="n"/>
      <ns0:c r="X904" s="17" t="n"/>
      <ns0:c r="Y904" s="17" t="n"/>
      <ns0:c r="Z904" s="17" t="n"/>
      <ns0:c r="AA904" s="17" t="n"/>
      <ns0:c r="AB904" s="17" t="n"/>
      <ns0:c r="AC904" s="17" t="n"/>
      <ns0:c r="AD904" s="17" t="n"/>
      <ns0:c r="AE904" s="17" t="n"/>
      <ns0:c r="AF904" s="17" t="n"/>
      <ns0:c r="AG904" s="17" t="n"/>
    </ns0:row>
    <ns0:row r="905" ht="24" customHeight="1">
      <ns0:c r="D905" s="17" t="n"/>
      <ns0:c r="E905" s="17" t="n"/>
      <ns0:c r="F905" s="17" t="n"/>
      <ns0:c r="G905" s="17" t="n"/>
      <ns0:c r="H905" s="17" t="n"/>
      <ns0:c r="I905" s="17" t="n"/>
      <ns0:c r="J905" s="17" t="n"/>
      <ns0:c r="K905" s="17" t="n"/>
      <ns0:c r="L905" s="17" t="n"/>
      <ns0:c r="M905" s="17" t="n"/>
      <ns0:c r="N905" s="17" t="n"/>
      <ns0:c r="O905" s="17" t="n"/>
      <ns0:c r="P905" s="17" t="n"/>
      <ns0:c r="Q905" s="17" t="n"/>
      <ns0:c r="R905" s="17" t="n"/>
      <ns0:c r="S905" s="17" t="n"/>
      <ns0:c r="T905" s="17" t="n"/>
      <ns0:c r="U905" s="17" t="n"/>
      <ns0:c r="V905" s="17" t="n"/>
      <ns0:c r="W905" s="17" t="n"/>
      <ns0:c r="X905" s="17" t="n"/>
      <ns0:c r="Y905" s="17" t="n"/>
      <ns0:c r="Z905" s="17" t="n"/>
      <ns0:c r="AA905" s="17" t="n"/>
      <ns0:c r="AB905" s="17" t="n"/>
      <ns0:c r="AC905" s="17" t="n"/>
      <ns0:c r="AD905" s="17" t="n"/>
      <ns0:c r="AE905" s="17" t="n"/>
      <ns0:c r="AF905" s="17" t="n"/>
      <ns0:c r="AG905" s="17" t="n"/>
    </ns0:row>
    <ns0:row r="906" ht="24" customHeight="1">
      <ns0:c r="D906" s="17" t="n"/>
      <ns0:c r="E906" s="17" t="n"/>
      <ns0:c r="F906" s="17" t="n"/>
      <ns0:c r="G906" s="17" t="n"/>
      <ns0:c r="H906" s="17" t="n"/>
      <ns0:c r="I906" s="17" t="n"/>
      <ns0:c r="J906" s="17" t="n"/>
      <ns0:c r="K906" s="17" t="n"/>
      <ns0:c r="L906" s="17" t="n"/>
      <ns0:c r="M906" s="17" t="n"/>
      <ns0:c r="N906" s="17" t="n"/>
      <ns0:c r="O906" s="17" t="n"/>
      <ns0:c r="P906" s="17" t="n"/>
      <ns0:c r="Q906" s="17" t="n"/>
      <ns0:c r="R906" s="17" t="n"/>
      <ns0:c r="S906" s="17" t="n"/>
      <ns0:c r="T906" s="17" t="n"/>
      <ns0:c r="U906" s="17" t="n"/>
      <ns0:c r="V906" s="17" t="n"/>
      <ns0:c r="W906" s="17" t="n"/>
      <ns0:c r="X906" s="17" t="n"/>
      <ns0:c r="Y906" s="17" t="n"/>
      <ns0:c r="Z906" s="17" t="n"/>
      <ns0:c r="AA906" s="17" t="n"/>
      <ns0:c r="AB906" s="17" t="n"/>
      <ns0:c r="AC906" s="17" t="n"/>
      <ns0:c r="AD906" s="17" t="n"/>
      <ns0:c r="AE906" s="17" t="n"/>
      <ns0:c r="AF906" s="17" t="n"/>
      <ns0:c r="AG906" s="17" t="n"/>
    </ns0:row>
    <ns0:row r="907" ht="24" customHeight="1">
      <ns0:c r="D907" s="17" t="n"/>
      <ns0:c r="E907" s="17" t="n"/>
      <ns0:c r="F907" s="17" t="n"/>
      <ns0:c r="G907" s="17" t="n"/>
      <ns0:c r="H907" s="17" t="n"/>
      <ns0:c r="I907" s="17" t="n"/>
      <ns0:c r="J907" s="17" t="n"/>
      <ns0:c r="K907" s="17" t="n"/>
      <ns0:c r="L907" s="17" t="n"/>
      <ns0:c r="M907" s="17" t="n"/>
      <ns0:c r="N907" s="17" t="n"/>
      <ns0:c r="O907" s="17" t="n"/>
      <ns0:c r="P907" s="17" t="n"/>
      <ns0:c r="Q907" s="17" t="n"/>
      <ns0:c r="R907" s="17" t="n"/>
      <ns0:c r="S907" s="17" t="n"/>
      <ns0:c r="T907" s="17" t="n"/>
      <ns0:c r="U907" s="17" t="n"/>
      <ns0:c r="V907" s="17" t="n"/>
      <ns0:c r="W907" s="17" t="n"/>
      <ns0:c r="X907" s="17" t="n"/>
      <ns0:c r="Y907" s="17" t="n"/>
      <ns0:c r="Z907" s="17" t="n"/>
      <ns0:c r="AA907" s="17" t="n"/>
      <ns0:c r="AB907" s="17" t="n"/>
      <ns0:c r="AC907" s="17" t="n"/>
      <ns0:c r="AD907" s="17" t="n"/>
      <ns0:c r="AE907" s="17" t="n"/>
      <ns0:c r="AF907" s="17" t="n"/>
      <ns0:c r="AG907" s="17" t="n"/>
    </ns0:row>
    <ns0:row r="908" ht="24" customHeight="1">
      <ns0:c r="D908" s="17" t="n"/>
      <ns0:c r="E908" s="17" t="n"/>
      <ns0:c r="F908" s="17" t="n"/>
      <ns0:c r="G908" s="17" t="n"/>
      <ns0:c r="H908" s="17" t="n"/>
      <ns0:c r="I908" s="17" t="n"/>
      <ns0:c r="J908" s="17" t="n"/>
      <ns0:c r="K908" s="17" t="n"/>
      <ns0:c r="L908" s="17" t="n"/>
      <ns0:c r="M908" s="17" t="n"/>
      <ns0:c r="N908" s="17" t="n"/>
      <ns0:c r="O908" s="17" t="n"/>
      <ns0:c r="P908" s="17" t="n"/>
      <ns0:c r="Q908" s="17" t="n"/>
      <ns0:c r="R908" s="17" t="n"/>
      <ns0:c r="S908" s="17" t="n"/>
      <ns0:c r="T908" s="17" t="n"/>
      <ns0:c r="U908" s="17" t="n"/>
      <ns0:c r="V908" s="17" t="n"/>
      <ns0:c r="W908" s="17" t="n"/>
      <ns0:c r="X908" s="17" t="n"/>
      <ns0:c r="Y908" s="17" t="n"/>
      <ns0:c r="Z908" s="17" t="n"/>
      <ns0:c r="AA908" s="17" t="n"/>
      <ns0:c r="AB908" s="17" t="n"/>
      <ns0:c r="AC908" s="17" t="n"/>
      <ns0:c r="AD908" s="17" t="n"/>
      <ns0:c r="AE908" s="17" t="n"/>
      <ns0:c r="AF908" s="17" t="n"/>
      <ns0:c r="AG908" s="17" t="n"/>
    </ns0:row>
    <ns0:row r="909" ht="24" customHeight="1">
      <ns0:c r="D909" s="17" t="n"/>
      <ns0:c r="E909" s="17" t="n"/>
      <ns0:c r="F909" s="17" t="n"/>
      <ns0:c r="G909" s="17" t="n"/>
      <ns0:c r="H909" s="17" t="n"/>
      <ns0:c r="I909" s="17" t="n"/>
      <ns0:c r="J909" s="17" t="n"/>
      <ns0:c r="K909" s="17" t="n"/>
      <ns0:c r="L909" s="17" t="n"/>
      <ns0:c r="M909" s="17" t="n"/>
      <ns0:c r="N909" s="17" t="n"/>
      <ns0:c r="O909" s="17" t="n"/>
      <ns0:c r="P909" s="17" t="n"/>
      <ns0:c r="Q909" s="17" t="n"/>
      <ns0:c r="R909" s="17" t="n"/>
      <ns0:c r="S909" s="17" t="n"/>
      <ns0:c r="T909" s="17" t="n"/>
      <ns0:c r="U909" s="17" t="n"/>
      <ns0:c r="V909" s="17" t="n"/>
      <ns0:c r="W909" s="17" t="n"/>
      <ns0:c r="X909" s="17" t="n"/>
      <ns0:c r="Y909" s="17" t="n"/>
      <ns0:c r="Z909" s="17" t="n"/>
      <ns0:c r="AA909" s="17" t="n"/>
      <ns0:c r="AB909" s="17" t="n"/>
      <ns0:c r="AC909" s="17" t="n"/>
      <ns0:c r="AD909" s="17" t="n"/>
      <ns0:c r="AE909" s="17" t="n"/>
      <ns0:c r="AF909" s="17" t="n"/>
      <ns0:c r="AG909" s="17" t="n"/>
    </ns0:row>
    <ns0:row r="910" ht="24" customHeight="1">
      <ns0:c r="D910" s="17" t="n"/>
      <ns0:c r="E910" s="17" t="n"/>
      <ns0:c r="F910" s="17" t="n"/>
      <ns0:c r="G910" s="17" t="n"/>
      <ns0:c r="H910" s="17" t="n"/>
      <ns0:c r="I910" s="17" t="n"/>
      <ns0:c r="J910" s="17" t="n"/>
      <ns0:c r="K910" s="17" t="n"/>
      <ns0:c r="L910" s="17" t="n"/>
      <ns0:c r="M910" s="17" t="n"/>
      <ns0:c r="N910" s="17" t="n"/>
      <ns0:c r="O910" s="17" t="n"/>
      <ns0:c r="P910" s="17" t="n"/>
      <ns0:c r="Q910" s="17" t="n"/>
      <ns0:c r="R910" s="17" t="n"/>
      <ns0:c r="S910" s="17" t="n"/>
      <ns0:c r="T910" s="17" t="n"/>
      <ns0:c r="U910" s="17" t="n"/>
      <ns0:c r="V910" s="17" t="n"/>
      <ns0:c r="W910" s="17" t="n"/>
      <ns0:c r="X910" s="17" t="n"/>
      <ns0:c r="Y910" s="17" t="n"/>
      <ns0:c r="Z910" s="17" t="n"/>
      <ns0:c r="AA910" s="17" t="n"/>
      <ns0:c r="AB910" s="17" t="n"/>
      <ns0:c r="AC910" s="17" t="n"/>
      <ns0:c r="AD910" s="17" t="n"/>
      <ns0:c r="AE910" s="17" t="n"/>
      <ns0:c r="AF910" s="17" t="n"/>
      <ns0:c r="AG910" s="17" t="n"/>
    </ns0:row>
    <ns0:row r="911" ht="24" customHeight="1">
      <ns0:c r="D911" s="17" t="n"/>
      <ns0:c r="E911" s="17" t="n"/>
      <ns0:c r="F911" s="17" t="n"/>
      <ns0:c r="G911" s="17" t="n"/>
      <ns0:c r="H911" s="17" t="n"/>
      <ns0:c r="I911" s="17" t="n"/>
      <ns0:c r="J911" s="17" t="n"/>
      <ns0:c r="K911" s="17" t="n"/>
      <ns0:c r="L911" s="17" t="n"/>
      <ns0:c r="M911" s="17" t="n"/>
      <ns0:c r="N911" s="17" t="n"/>
      <ns0:c r="O911" s="17" t="n"/>
      <ns0:c r="P911" s="17" t="n"/>
      <ns0:c r="Q911" s="17" t="n"/>
      <ns0:c r="R911" s="17" t="n"/>
      <ns0:c r="S911" s="17" t="n"/>
      <ns0:c r="T911" s="17" t="n"/>
      <ns0:c r="U911" s="17" t="n"/>
      <ns0:c r="V911" s="17" t="n"/>
      <ns0:c r="W911" s="17" t="n"/>
      <ns0:c r="X911" s="17" t="n"/>
      <ns0:c r="Y911" s="17" t="n"/>
      <ns0:c r="Z911" s="17" t="n"/>
      <ns0:c r="AA911" s="17" t="n"/>
      <ns0:c r="AB911" s="17" t="n"/>
      <ns0:c r="AC911" s="17" t="n"/>
      <ns0:c r="AD911" s="17" t="n"/>
      <ns0:c r="AE911" s="17" t="n"/>
      <ns0:c r="AF911" s="17" t="n"/>
      <ns0:c r="AG911" s="17" t="n"/>
    </ns0:row>
    <ns0:row r="912" ht="24" customHeight="1">
      <ns0:c r="D912" s="17" t="n"/>
      <ns0:c r="E912" s="17" t="n"/>
      <ns0:c r="F912" s="17" t="n"/>
      <ns0:c r="G912" s="17" t="n"/>
      <ns0:c r="H912" s="17" t="n"/>
      <ns0:c r="I912" s="17" t="n"/>
      <ns0:c r="J912" s="17" t="n"/>
      <ns0:c r="K912" s="17" t="n"/>
      <ns0:c r="L912" s="17" t="n"/>
      <ns0:c r="M912" s="17" t="n"/>
      <ns0:c r="N912" s="17" t="n"/>
      <ns0:c r="O912" s="17" t="n"/>
      <ns0:c r="P912" s="17" t="n"/>
      <ns0:c r="Q912" s="17" t="n"/>
      <ns0:c r="R912" s="17" t="n"/>
      <ns0:c r="S912" s="17" t="n"/>
      <ns0:c r="T912" s="17" t="n"/>
      <ns0:c r="U912" s="17" t="n"/>
      <ns0:c r="V912" s="17" t="n"/>
      <ns0:c r="W912" s="17" t="n"/>
      <ns0:c r="X912" s="17" t="n"/>
      <ns0:c r="Y912" s="17" t="n"/>
      <ns0:c r="Z912" s="17" t="n"/>
      <ns0:c r="AA912" s="17" t="n"/>
      <ns0:c r="AB912" s="17" t="n"/>
      <ns0:c r="AC912" s="17" t="n"/>
      <ns0:c r="AD912" s="17" t="n"/>
      <ns0:c r="AE912" s="17" t="n"/>
      <ns0:c r="AF912" s="17" t="n"/>
      <ns0:c r="AG912" s="17" t="n"/>
    </ns0:row>
    <ns0:row r="913" ht="24" customHeight="1">
      <ns0:c r="D913" s="17" t="n"/>
      <ns0:c r="E913" s="17" t="n"/>
      <ns0:c r="F913" s="17" t="n"/>
      <ns0:c r="G913" s="17" t="n"/>
      <ns0:c r="H913" s="17" t="n"/>
      <ns0:c r="I913" s="17" t="n"/>
      <ns0:c r="J913" s="17" t="n"/>
      <ns0:c r="K913" s="17" t="n"/>
      <ns0:c r="L913" s="17" t="n"/>
      <ns0:c r="M913" s="17" t="n"/>
      <ns0:c r="N913" s="17" t="n"/>
      <ns0:c r="O913" s="17" t="n"/>
      <ns0:c r="P913" s="17" t="n"/>
      <ns0:c r="Q913" s="17" t="n"/>
      <ns0:c r="R913" s="17" t="n"/>
      <ns0:c r="S913" s="17" t="n"/>
      <ns0:c r="T913" s="17" t="n"/>
      <ns0:c r="U913" s="17" t="n"/>
      <ns0:c r="V913" s="17" t="n"/>
      <ns0:c r="W913" s="17" t="n"/>
      <ns0:c r="X913" s="17" t="n"/>
      <ns0:c r="Y913" s="17" t="n"/>
      <ns0:c r="Z913" s="17" t="n"/>
      <ns0:c r="AA913" s="17" t="n"/>
      <ns0:c r="AB913" s="17" t="n"/>
      <ns0:c r="AC913" s="17" t="n"/>
      <ns0:c r="AD913" s="17" t="n"/>
      <ns0:c r="AE913" s="17" t="n"/>
      <ns0:c r="AF913" s="17" t="n"/>
      <ns0:c r="AG913" s="17" t="n"/>
    </ns0:row>
    <ns0:row r="914" ht="24" customHeight="1">
      <ns0:c r="D914" s="17" t="n"/>
      <ns0:c r="E914" s="17" t="n"/>
      <ns0:c r="F914" s="17" t="n"/>
      <ns0:c r="G914" s="17" t="n"/>
      <ns0:c r="H914" s="17" t="n"/>
      <ns0:c r="I914" s="17" t="n"/>
      <ns0:c r="J914" s="17" t="n"/>
      <ns0:c r="K914" s="17" t="n"/>
      <ns0:c r="L914" s="17" t="n"/>
      <ns0:c r="M914" s="17" t="n"/>
      <ns0:c r="N914" s="17" t="n"/>
      <ns0:c r="O914" s="17" t="n"/>
      <ns0:c r="P914" s="17" t="n"/>
      <ns0:c r="Q914" s="17" t="n"/>
      <ns0:c r="R914" s="17" t="n"/>
      <ns0:c r="S914" s="17" t="n"/>
      <ns0:c r="T914" s="17" t="n"/>
      <ns0:c r="U914" s="17" t="n"/>
      <ns0:c r="V914" s="17" t="n"/>
      <ns0:c r="W914" s="17" t="n"/>
      <ns0:c r="X914" s="17" t="n"/>
      <ns0:c r="Y914" s="17" t="n"/>
      <ns0:c r="Z914" s="17" t="n"/>
      <ns0:c r="AA914" s="17" t="n"/>
      <ns0:c r="AB914" s="17" t="n"/>
      <ns0:c r="AC914" s="17" t="n"/>
      <ns0:c r="AD914" s="17" t="n"/>
      <ns0:c r="AE914" s="17" t="n"/>
      <ns0:c r="AF914" s="17" t="n"/>
      <ns0:c r="AG914" s="17" t="n"/>
    </ns0:row>
    <ns0:row r="915" ht="24" customHeight="1">
      <ns0:c r="D915" s="17" t="n"/>
      <ns0:c r="E915" s="17" t="n"/>
      <ns0:c r="F915" s="17" t="n"/>
      <ns0:c r="G915" s="17" t="n"/>
      <ns0:c r="H915" s="17" t="n"/>
      <ns0:c r="I915" s="17" t="n"/>
      <ns0:c r="J915" s="17" t="n"/>
      <ns0:c r="K915" s="17" t="n"/>
      <ns0:c r="L915" s="17" t="n"/>
      <ns0:c r="M915" s="17" t="n"/>
      <ns0:c r="N915" s="17" t="n"/>
      <ns0:c r="O915" s="17" t="n"/>
      <ns0:c r="P915" s="17" t="n"/>
      <ns0:c r="Q915" s="17" t="n"/>
      <ns0:c r="R915" s="17" t="n"/>
      <ns0:c r="S915" s="17" t="n"/>
      <ns0:c r="T915" s="17" t="n"/>
      <ns0:c r="U915" s="17" t="n"/>
      <ns0:c r="V915" s="17" t="n"/>
      <ns0:c r="W915" s="17" t="n"/>
      <ns0:c r="X915" s="17" t="n"/>
      <ns0:c r="Y915" s="17" t="n"/>
      <ns0:c r="Z915" s="17" t="n"/>
      <ns0:c r="AA915" s="17" t="n"/>
      <ns0:c r="AB915" s="17" t="n"/>
      <ns0:c r="AC915" s="17" t="n"/>
      <ns0:c r="AD915" s="17" t="n"/>
      <ns0:c r="AE915" s="17" t="n"/>
      <ns0:c r="AF915" s="17" t="n"/>
      <ns0:c r="AG915" s="17" t="n"/>
    </ns0:row>
    <ns0:row r="916" ht="24" customHeight="1">
      <ns0:c r="D916" s="17" t="n"/>
      <ns0:c r="E916" s="17" t="n"/>
      <ns0:c r="F916" s="17" t="n"/>
      <ns0:c r="G916" s="17" t="n"/>
      <ns0:c r="H916" s="17" t="n"/>
      <ns0:c r="I916" s="17" t="n"/>
      <ns0:c r="J916" s="17" t="n"/>
      <ns0:c r="K916" s="17" t="n"/>
      <ns0:c r="L916" s="17" t="n"/>
      <ns0:c r="M916" s="17" t="n"/>
      <ns0:c r="N916" s="17" t="n"/>
      <ns0:c r="O916" s="17" t="n"/>
      <ns0:c r="P916" s="17" t="n"/>
      <ns0:c r="Q916" s="17" t="n"/>
      <ns0:c r="R916" s="17" t="n"/>
      <ns0:c r="S916" s="17" t="n"/>
      <ns0:c r="T916" s="17" t="n"/>
      <ns0:c r="U916" s="17" t="n"/>
      <ns0:c r="V916" s="17" t="n"/>
      <ns0:c r="W916" s="17" t="n"/>
      <ns0:c r="X916" s="17" t="n"/>
      <ns0:c r="Y916" s="17" t="n"/>
      <ns0:c r="Z916" s="17" t="n"/>
      <ns0:c r="AA916" s="17" t="n"/>
      <ns0:c r="AB916" s="17" t="n"/>
      <ns0:c r="AC916" s="17" t="n"/>
      <ns0:c r="AD916" s="17" t="n"/>
      <ns0:c r="AE916" s="17" t="n"/>
      <ns0:c r="AF916" s="17" t="n"/>
      <ns0:c r="AG916" s="17" t="n"/>
    </ns0:row>
    <ns0:row r="917" ht="24" customHeight="1">
      <ns0:c r="D917" s="17" t="n"/>
      <ns0:c r="E917" s="17" t="n"/>
      <ns0:c r="F917" s="17" t="n"/>
      <ns0:c r="G917" s="17" t="n"/>
      <ns0:c r="H917" s="17" t="n"/>
      <ns0:c r="I917" s="17" t="n"/>
      <ns0:c r="J917" s="17" t="n"/>
      <ns0:c r="K917" s="17" t="n"/>
      <ns0:c r="L917" s="17" t="n"/>
      <ns0:c r="M917" s="17" t="n"/>
      <ns0:c r="N917" s="17" t="n"/>
      <ns0:c r="O917" s="17" t="n"/>
      <ns0:c r="P917" s="17" t="n"/>
      <ns0:c r="Q917" s="17" t="n"/>
      <ns0:c r="R917" s="17" t="n"/>
      <ns0:c r="S917" s="17" t="n"/>
      <ns0:c r="T917" s="17" t="n"/>
      <ns0:c r="U917" s="17" t="n"/>
      <ns0:c r="V917" s="17" t="n"/>
      <ns0:c r="W917" s="17" t="n"/>
      <ns0:c r="X917" s="17" t="n"/>
      <ns0:c r="Y917" s="17" t="n"/>
      <ns0:c r="Z917" s="17" t="n"/>
      <ns0:c r="AA917" s="17" t="n"/>
      <ns0:c r="AB917" s="17" t="n"/>
      <ns0:c r="AC917" s="17" t="n"/>
      <ns0:c r="AD917" s="17" t="n"/>
      <ns0:c r="AE917" s="17" t="n"/>
      <ns0:c r="AF917" s="17" t="n"/>
      <ns0:c r="AG917" s="17" t="n"/>
    </ns0:row>
    <ns0:row r="918" ht="24" customHeight="1">
      <ns0:c r="D918" s="17" t="n"/>
      <ns0:c r="E918" s="17" t="n"/>
      <ns0:c r="F918" s="17" t="n"/>
      <ns0:c r="G918" s="17" t="n"/>
      <ns0:c r="H918" s="17" t="n"/>
      <ns0:c r="I918" s="17" t="n"/>
      <ns0:c r="J918" s="17" t="n"/>
      <ns0:c r="K918" s="17" t="n"/>
      <ns0:c r="L918" s="17" t="n"/>
      <ns0:c r="M918" s="17" t="n"/>
      <ns0:c r="N918" s="17" t="n"/>
      <ns0:c r="O918" s="17" t="n"/>
      <ns0:c r="P918" s="17" t="n"/>
      <ns0:c r="Q918" s="17" t="n"/>
      <ns0:c r="R918" s="17" t="n"/>
      <ns0:c r="S918" s="17" t="n"/>
      <ns0:c r="T918" s="17" t="n"/>
      <ns0:c r="U918" s="17" t="n"/>
      <ns0:c r="V918" s="17" t="n"/>
      <ns0:c r="W918" s="17" t="n"/>
      <ns0:c r="X918" s="17" t="n"/>
      <ns0:c r="Y918" s="17" t="n"/>
      <ns0:c r="Z918" s="17" t="n"/>
      <ns0:c r="AA918" s="17" t="n"/>
      <ns0:c r="AB918" s="17" t="n"/>
      <ns0:c r="AC918" s="17" t="n"/>
      <ns0:c r="AD918" s="17" t="n"/>
      <ns0:c r="AE918" s="17" t="n"/>
      <ns0:c r="AF918" s="17" t="n"/>
      <ns0:c r="AG918" s="17" t="n"/>
    </ns0:row>
    <ns0:row r="919" ht="24" customHeight="1">
      <ns0:c r="D919" s="17" t="n"/>
      <ns0:c r="E919" s="17" t="n"/>
      <ns0:c r="F919" s="17" t="n"/>
      <ns0:c r="G919" s="17" t="n"/>
      <ns0:c r="H919" s="17" t="n"/>
      <ns0:c r="I919" s="17" t="n"/>
      <ns0:c r="J919" s="17" t="n"/>
      <ns0:c r="K919" s="17" t="n"/>
      <ns0:c r="L919" s="17" t="n"/>
      <ns0:c r="M919" s="17" t="n"/>
      <ns0:c r="N919" s="17" t="n"/>
      <ns0:c r="O919" s="17" t="n"/>
      <ns0:c r="P919" s="17" t="n"/>
      <ns0:c r="Q919" s="17" t="n"/>
      <ns0:c r="R919" s="17" t="n"/>
      <ns0:c r="S919" s="17" t="n"/>
      <ns0:c r="T919" s="17" t="n"/>
      <ns0:c r="U919" s="17" t="n"/>
      <ns0:c r="V919" s="17" t="n"/>
      <ns0:c r="W919" s="17" t="n"/>
      <ns0:c r="X919" s="17" t="n"/>
      <ns0:c r="Y919" s="17" t="n"/>
      <ns0:c r="Z919" s="17" t="n"/>
      <ns0:c r="AA919" s="17" t="n"/>
      <ns0:c r="AB919" s="17" t="n"/>
      <ns0:c r="AC919" s="17" t="n"/>
      <ns0:c r="AD919" s="17" t="n"/>
      <ns0:c r="AE919" s="17" t="n"/>
      <ns0:c r="AF919" s="17" t="n"/>
      <ns0:c r="AG919" s="17" t="n"/>
    </ns0:row>
    <ns0:row r="920" ht="24" customHeight="1">
      <ns0:c r="D920" s="17" t="n"/>
      <ns0:c r="E920" s="17" t="n"/>
      <ns0:c r="F920" s="17" t="n"/>
      <ns0:c r="G920" s="17" t="n"/>
      <ns0:c r="H920" s="17" t="n"/>
      <ns0:c r="I920" s="17" t="n"/>
      <ns0:c r="J920" s="17" t="n"/>
      <ns0:c r="K920" s="17" t="n"/>
      <ns0:c r="L920" s="17" t="n"/>
      <ns0:c r="M920" s="17" t="n"/>
      <ns0:c r="N920" s="17" t="n"/>
      <ns0:c r="O920" s="17" t="n"/>
      <ns0:c r="P920" s="17" t="n"/>
      <ns0:c r="Q920" s="17" t="n"/>
      <ns0:c r="R920" s="17" t="n"/>
      <ns0:c r="S920" s="17" t="n"/>
      <ns0:c r="T920" s="17" t="n"/>
      <ns0:c r="U920" s="17" t="n"/>
      <ns0:c r="V920" s="17" t="n"/>
      <ns0:c r="W920" s="17" t="n"/>
      <ns0:c r="X920" s="17" t="n"/>
      <ns0:c r="Y920" s="17" t="n"/>
      <ns0:c r="Z920" s="17" t="n"/>
      <ns0:c r="AA920" s="17" t="n"/>
      <ns0:c r="AB920" s="17" t="n"/>
      <ns0:c r="AC920" s="17" t="n"/>
      <ns0:c r="AD920" s="17" t="n"/>
      <ns0:c r="AE920" s="17" t="n"/>
      <ns0:c r="AF920" s="17" t="n"/>
      <ns0:c r="AG920" s="17" t="n"/>
    </ns0:row>
    <ns0:row r="921" ht="24" customHeight="1">
      <ns0:c r="D921" s="17" t="n"/>
      <ns0:c r="E921" s="17" t="n"/>
      <ns0:c r="F921" s="17" t="n"/>
      <ns0:c r="G921" s="17" t="n"/>
      <ns0:c r="H921" s="17" t="n"/>
      <ns0:c r="I921" s="17" t="n"/>
      <ns0:c r="J921" s="17" t="n"/>
      <ns0:c r="K921" s="17" t="n"/>
      <ns0:c r="L921" s="17" t="n"/>
      <ns0:c r="M921" s="17" t="n"/>
      <ns0:c r="N921" s="17" t="n"/>
      <ns0:c r="O921" s="17" t="n"/>
      <ns0:c r="P921" s="17" t="n"/>
      <ns0:c r="Q921" s="17" t="n"/>
      <ns0:c r="R921" s="17" t="n"/>
      <ns0:c r="S921" s="17" t="n"/>
      <ns0:c r="T921" s="17" t="n"/>
      <ns0:c r="U921" s="17" t="n"/>
      <ns0:c r="V921" s="17" t="n"/>
      <ns0:c r="W921" s="17" t="n"/>
      <ns0:c r="X921" s="17" t="n"/>
      <ns0:c r="Y921" s="17" t="n"/>
      <ns0:c r="Z921" s="17" t="n"/>
      <ns0:c r="AA921" s="17" t="n"/>
      <ns0:c r="AB921" s="17" t="n"/>
      <ns0:c r="AC921" s="17" t="n"/>
      <ns0:c r="AD921" s="17" t="n"/>
      <ns0:c r="AE921" s="17" t="n"/>
      <ns0:c r="AF921" s="17" t="n"/>
      <ns0:c r="AG921" s="17" t="n"/>
    </ns0:row>
    <ns0:row r="922" ht="24" customHeight="1">
      <ns0:c r="D922" s="17" t="n"/>
      <ns0:c r="E922" s="17" t="n"/>
      <ns0:c r="F922" s="17" t="n"/>
      <ns0:c r="G922" s="17" t="n"/>
      <ns0:c r="H922" s="17" t="n"/>
      <ns0:c r="I922" s="17" t="n"/>
      <ns0:c r="J922" s="17" t="n"/>
      <ns0:c r="K922" s="17" t="n"/>
      <ns0:c r="L922" s="17" t="n"/>
      <ns0:c r="M922" s="17" t="n"/>
      <ns0:c r="N922" s="17" t="n"/>
      <ns0:c r="O922" s="17" t="n"/>
      <ns0:c r="P922" s="17" t="n"/>
      <ns0:c r="Q922" s="17" t="n"/>
      <ns0:c r="R922" s="17" t="n"/>
      <ns0:c r="S922" s="17" t="n"/>
      <ns0:c r="T922" s="17" t="n"/>
      <ns0:c r="U922" s="17" t="n"/>
      <ns0:c r="V922" s="17" t="n"/>
      <ns0:c r="W922" s="17" t="n"/>
      <ns0:c r="X922" s="17" t="n"/>
      <ns0:c r="Y922" s="17" t="n"/>
      <ns0:c r="Z922" s="17" t="n"/>
      <ns0:c r="AA922" s="17" t="n"/>
      <ns0:c r="AB922" s="17" t="n"/>
      <ns0:c r="AC922" s="17" t="n"/>
      <ns0:c r="AD922" s="17" t="n"/>
      <ns0:c r="AE922" s="17" t="n"/>
      <ns0:c r="AF922" s="17" t="n"/>
      <ns0:c r="AG922" s="17" t="n"/>
    </ns0:row>
    <ns0:row r="923" ht="24" customHeight="1">
      <ns0:c r="D923" s="17" t="n"/>
      <ns0:c r="E923" s="17" t="n"/>
      <ns0:c r="F923" s="17" t="n"/>
      <ns0:c r="G923" s="17" t="n"/>
      <ns0:c r="H923" s="17" t="n"/>
      <ns0:c r="I923" s="17" t="n"/>
      <ns0:c r="J923" s="17" t="n"/>
      <ns0:c r="K923" s="17" t="n"/>
      <ns0:c r="L923" s="17" t="n"/>
      <ns0:c r="M923" s="17" t="n"/>
      <ns0:c r="N923" s="17" t="n"/>
      <ns0:c r="O923" s="17" t="n"/>
      <ns0:c r="P923" s="17" t="n"/>
      <ns0:c r="Q923" s="17" t="n"/>
      <ns0:c r="R923" s="17" t="n"/>
      <ns0:c r="S923" s="17" t="n"/>
      <ns0:c r="T923" s="17" t="n"/>
      <ns0:c r="U923" s="17" t="n"/>
      <ns0:c r="V923" s="17" t="n"/>
      <ns0:c r="W923" s="17" t="n"/>
      <ns0:c r="X923" s="17" t="n"/>
      <ns0:c r="Y923" s="17" t="n"/>
      <ns0:c r="Z923" s="17" t="n"/>
      <ns0:c r="AA923" s="17" t="n"/>
      <ns0:c r="AB923" s="17" t="n"/>
      <ns0:c r="AC923" s="17" t="n"/>
      <ns0:c r="AD923" s="17" t="n"/>
      <ns0:c r="AE923" s="17" t="n"/>
      <ns0:c r="AF923" s="17" t="n"/>
      <ns0:c r="AG923" s="17" t="n"/>
    </ns0:row>
    <ns0:row r="924" ht="24" customHeight="1">
      <ns0:c r="D924" s="17" t="n"/>
      <ns0:c r="E924" s="17" t="n"/>
      <ns0:c r="F924" s="17" t="n"/>
      <ns0:c r="G924" s="17" t="n"/>
      <ns0:c r="H924" s="17" t="n"/>
      <ns0:c r="I924" s="17" t="n"/>
      <ns0:c r="J924" s="17" t="n"/>
      <ns0:c r="K924" s="17" t="n"/>
      <ns0:c r="L924" s="17" t="n"/>
      <ns0:c r="M924" s="17" t="n"/>
      <ns0:c r="N924" s="17" t="n"/>
      <ns0:c r="O924" s="17" t="n"/>
      <ns0:c r="P924" s="17" t="n"/>
      <ns0:c r="Q924" s="17" t="n"/>
      <ns0:c r="R924" s="17" t="n"/>
      <ns0:c r="S924" s="17" t="n"/>
      <ns0:c r="T924" s="17" t="n"/>
      <ns0:c r="U924" s="17" t="n"/>
      <ns0:c r="V924" s="17" t="n"/>
      <ns0:c r="W924" s="17" t="n"/>
      <ns0:c r="X924" s="17" t="n"/>
      <ns0:c r="Y924" s="17" t="n"/>
      <ns0:c r="Z924" s="17" t="n"/>
      <ns0:c r="AA924" s="17" t="n"/>
      <ns0:c r="AB924" s="17" t="n"/>
      <ns0:c r="AC924" s="17" t="n"/>
      <ns0:c r="AD924" s="17" t="n"/>
      <ns0:c r="AE924" s="17" t="n"/>
      <ns0:c r="AF924" s="17" t="n"/>
      <ns0:c r="AG924" s="17" t="n"/>
    </ns0:row>
    <ns0:row r="925" ht="24" customHeight="1">
      <ns0:c r="D925" s="17" t="n"/>
      <ns0:c r="E925" s="17" t="n"/>
      <ns0:c r="F925" s="17" t="n"/>
      <ns0:c r="G925" s="17" t="n"/>
      <ns0:c r="H925" s="17" t="n"/>
      <ns0:c r="I925" s="17" t="n"/>
      <ns0:c r="J925" s="17" t="n"/>
      <ns0:c r="K925" s="17" t="n"/>
      <ns0:c r="L925" s="17" t="n"/>
      <ns0:c r="M925" s="17" t="n"/>
      <ns0:c r="N925" s="17" t="n"/>
      <ns0:c r="O925" s="17" t="n"/>
      <ns0:c r="P925" s="17" t="n"/>
      <ns0:c r="Q925" s="17" t="n"/>
      <ns0:c r="R925" s="17" t="n"/>
      <ns0:c r="S925" s="17" t="n"/>
      <ns0:c r="T925" s="17" t="n"/>
      <ns0:c r="U925" s="17" t="n"/>
      <ns0:c r="V925" s="17" t="n"/>
      <ns0:c r="W925" s="17" t="n"/>
      <ns0:c r="X925" s="17" t="n"/>
      <ns0:c r="Y925" s="17" t="n"/>
      <ns0:c r="Z925" s="17" t="n"/>
      <ns0:c r="AA925" s="17" t="n"/>
      <ns0:c r="AB925" s="17" t="n"/>
      <ns0:c r="AC925" s="17" t="n"/>
      <ns0:c r="AD925" s="17" t="n"/>
      <ns0:c r="AE925" s="17" t="n"/>
      <ns0:c r="AF925" s="17" t="n"/>
      <ns0:c r="AG925" s="17" t="n"/>
    </ns0:row>
    <ns0:row r="926" ht="24" customHeight="1">
      <ns0:c r="D926" s="17" t="n"/>
      <ns0:c r="E926" s="17" t="n"/>
      <ns0:c r="F926" s="17" t="n"/>
      <ns0:c r="G926" s="17" t="n"/>
      <ns0:c r="H926" s="17" t="n"/>
      <ns0:c r="I926" s="17" t="n"/>
      <ns0:c r="J926" s="17" t="n"/>
      <ns0:c r="K926" s="17" t="n"/>
      <ns0:c r="L926" s="17" t="n"/>
      <ns0:c r="M926" s="17" t="n"/>
      <ns0:c r="N926" s="17" t="n"/>
      <ns0:c r="O926" s="17" t="n"/>
      <ns0:c r="P926" s="17" t="n"/>
      <ns0:c r="Q926" s="17" t="n"/>
      <ns0:c r="R926" s="17" t="n"/>
      <ns0:c r="S926" s="17" t="n"/>
      <ns0:c r="T926" s="17" t="n"/>
      <ns0:c r="U926" s="17" t="n"/>
      <ns0:c r="V926" s="17" t="n"/>
      <ns0:c r="W926" s="17" t="n"/>
      <ns0:c r="X926" s="17" t="n"/>
      <ns0:c r="Y926" s="17" t="n"/>
      <ns0:c r="Z926" s="17" t="n"/>
      <ns0:c r="AA926" s="17" t="n"/>
      <ns0:c r="AB926" s="17" t="n"/>
      <ns0:c r="AC926" s="17" t="n"/>
      <ns0:c r="AD926" s="17" t="n"/>
      <ns0:c r="AE926" s="17" t="n"/>
      <ns0:c r="AF926" s="17" t="n"/>
      <ns0:c r="AG926" s="17" t="n"/>
    </ns0:row>
    <ns0:row r="927" ht="24" customHeight="1">
      <ns0:c r="D927" s="17" t="n"/>
      <ns0:c r="E927" s="17" t="n"/>
      <ns0:c r="F927" s="17" t="n"/>
      <ns0:c r="G927" s="17" t="n"/>
      <ns0:c r="H927" s="17" t="n"/>
      <ns0:c r="I927" s="17" t="n"/>
      <ns0:c r="J927" s="17" t="n"/>
      <ns0:c r="K927" s="17" t="n"/>
      <ns0:c r="L927" s="17" t="n"/>
      <ns0:c r="M927" s="17" t="n"/>
      <ns0:c r="N927" s="17" t="n"/>
      <ns0:c r="O927" s="17" t="n"/>
      <ns0:c r="P927" s="17" t="n"/>
      <ns0:c r="Q927" s="17" t="n"/>
      <ns0:c r="R927" s="17" t="n"/>
      <ns0:c r="S927" s="17" t="n"/>
      <ns0:c r="T927" s="17" t="n"/>
      <ns0:c r="U927" s="17" t="n"/>
      <ns0:c r="V927" s="17" t="n"/>
      <ns0:c r="W927" s="17" t="n"/>
      <ns0:c r="X927" s="17" t="n"/>
      <ns0:c r="Y927" s="17" t="n"/>
      <ns0:c r="Z927" s="17" t="n"/>
      <ns0:c r="AA927" s="17" t="n"/>
      <ns0:c r="AB927" s="17" t="n"/>
      <ns0:c r="AC927" s="17" t="n"/>
      <ns0:c r="AD927" s="17" t="n"/>
      <ns0:c r="AE927" s="17" t="n"/>
      <ns0:c r="AF927" s="17" t="n"/>
      <ns0:c r="AG927" s="17" t="n"/>
    </ns0:row>
    <ns0:row r="928" ht="24" customHeight="1">
      <ns0:c r="D928" s="17" t="n"/>
      <ns0:c r="E928" s="17" t="n"/>
      <ns0:c r="F928" s="17" t="n"/>
      <ns0:c r="G928" s="17" t="n"/>
      <ns0:c r="H928" s="17" t="n"/>
      <ns0:c r="I928" s="17" t="n"/>
      <ns0:c r="J928" s="17" t="n"/>
      <ns0:c r="K928" s="17" t="n"/>
      <ns0:c r="L928" s="17" t="n"/>
      <ns0:c r="M928" s="17" t="n"/>
      <ns0:c r="N928" s="17" t="n"/>
      <ns0:c r="O928" s="17" t="n"/>
      <ns0:c r="P928" s="17" t="n"/>
      <ns0:c r="Q928" s="17" t="n"/>
      <ns0:c r="R928" s="17" t="n"/>
      <ns0:c r="S928" s="17" t="n"/>
      <ns0:c r="T928" s="17" t="n"/>
      <ns0:c r="U928" s="17" t="n"/>
      <ns0:c r="V928" s="17" t="n"/>
      <ns0:c r="W928" s="17" t="n"/>
      <ns0:c r="X928" s="17" t="n"/>
      <ns0:c r="Y928" s="17" t="n"/>
      <ns0:c r="Z928" s="17" t="n"/>
      <ns0:c r="AA928" s="17" t="n"/>
      <ns0:c r="AB928" s="17" t="n"/>
      <ns0:c r="AC928" s="17" t="n"/>
      <ns0:c r="AD928" s="17" t="n"/>
      <ns0:c r="AE928" s="17" t="n"/>
      <ns0:c r="AF928" s="17" t="n"/>
      <ns0:c r="AG928" s="17" t="n"/>
    </ns0:row>
    <ns0:row r="929" ht="24" customHeight="1">
      <ns0:c r="D929" s="17" t="n"/>
      <ns0:c r="E929" s="17" t="n"/>
      <ns0:c r="F929" s="17" t="n"/>
      <ns0:c r="G929" s="17" t="n"/>
      <ns0:c r="H929" s="17" t="n"/>
      <ns0:c r="I929" s="17" t="n"/>
      <ns0:c r="J929" s="17" t="n"/>
      <ns0:c r="K929" s="17" t="n"/>
      <ns0:c r="L929" s="17" t="n"/>
      <ns0:c r="M929" s="17" t="n"/>
      <ns0:c r="N929" s="17" t="n"/>
      <ns0:c r="O929" s="17" t="n"/>
      <ns0:c r="P929" s="17" t="n"/>
      <ns0:c r="Q929" s="17" t="n"/>
      <ns0:c r="R929" s="17" t="n"/>
      <ns0:c r="S929" s="17" t="n"/>
      <ns0:c r="T929" s="17" t="n"/>
      <ns0:c r="U929" s="17" t="n"/>
      <ns0:c r="V929" s="17" t="n"/>
      <ns0:c r="W929" s="17" t="n"/>
      <ns0:c r="X929" s="17" t="n"/>
      <ns0:c r="Y929" s="17" t="n"/>
      <ns0:c r="Z929" s="17" t="n"/>
      <ns0:c r="AA929" s="17" t="n"/>
      <ns0:c r="AB929" s="17" t="n"/>
      <ns0:c r="AC929" s="17" t="n"/>
      <ns0:c r="AD929" s="17" t="n"/>
      <ns0:c r="AE929" s="17" t="n"/>
      <ns0:c r="AF929" s="17" t="n"/>
      <ns0:c r="AG929" s="17" t="n"/>
    </ns0:row>
    <ns0:row r="930" ht="24" customHeight="1">
      <ns0:c r="D930" s="17" t="n"/>
      <ns0:c r="E930" s="17" t="n"/>
      <ns0:c r="F930" s="17" t="n"/>
      <ns0:c r="G930" s="17" t="n"/>
      <ns0:c r="H930" s="17" t="n"/>
      <ns0:c r="I930" s="17" t="n"/>
      <ns0:c r="J930" s="17" t="n"/>
      <ns0:c r="K930" s="17" t="n"/>
      <ns0:c r="L930" s="17" t="n"/>
      <ns0:c r="M930" s="17" t="n"/>
      <ns0:c r="N930" s="17" t="n"/>
      <ns0:c r="O930" s="17" t="n"/>
      <ns0:c r="P930" s="17" t="n"/>
      <ns0:c r="Q930" s="17" t="n"/>
      <ns0:c r="R930" s="17" t="n"/>
      <ns0:c r="S930" s="17" t="n"/>
      <ns0:c r="T930" s="17" t="n"/>
      <ns0:c r="U930" s="17" t="n"/>
      <ns0:c r="V930" s="17" t="n"/>
      <ns0:c r="W930" s="17" t="n"/>
      <ns0:c r="X930" s="17" t="n"/>
      <ns0:c r="Y930" s="17" t="n"/>
      <ns0:c r="Z930" s="17" t="n"/>
      <ns0:c r="AA930" s="17" t="n"/>
      <ns0:c r="AB930" s="17" t="n"/>
      <ns0:c r="AC930" s="17" t="n"/>
      <ns0:c r="AD930" s="17" t="n"/>
      <ns0:c r="AE930" s="17" t="n"/>
      <ns0:c r="AF930" s="17" t="n"/>
      <ns0:c r="AG930" s="17" t="n"/>
    </ns0:row>
    <ns0:row r="931" ht="24" customHeight="1">
      <ns0:c r="D931" s="17" t="n"/>
      <ns0:c r="E931" s="17" t="n"/>
      <ns0:c r="F931" s="17" t="n"/>
      <ns0:c r="G931" s="17" t="n"/>
      <ns0:c r="H931" s="17" t="n"/>
      <ns0:c r="I931" s="17" t="n"/>
      <ns0:c r="J931" s="17" t="n"/>
      <ns0:c r="K931" s="17" t="n"/>
      <ns0:c r="L931" s="17" t="n"/>
      <ns0:c r="M931" s="17" t="n"/>
      <ns0:c r="N931" s="17" t="n"/>
      <ns0:c r="O931" s="17" t="n"/>
      <ns0:c r="P931" s="17" t="n"/>
      <ns0:c r="Q931" s="17" t="n"/>
      <ns0:c r="R931" s="17" t="n"/>
      <ns0:c r="S931" s="17" t="n"/>
      <ns0:c r="T931" s="17" t="n"/>
      <ns0:c r="U931" s="17" t="n"/>
      <ns0:c r="V931" s="17" t="n"/>
      <ns0:c r="W931" s="17" t="n"/>
      <ns0:c r="X931" s="17" t="n"/>
      <ns0:c r="Y931" s="17" t="n"/>
      <ns0:c r="Z931" s="17" t="n"/>
      <ns0:c r="AA931" s="17" t="n"/>
      <ns0:c r="AB931" s="17" t="n"/>
      <ns0:c r="AC931" s="17" t="n"/>
      <ns0:c r="AD931" s="17" t="n"/>
      <ns0:c r="AE931" s="17" t="n"/>
      <ns0:c r="AF931" s="17" t="n"/>
      <ns0:c r="AG931" s="17" t="n"/>
    </ns0:row>
    <ns0:row r="932" ht="24" customHeight="1">
      <ns0:c r="D932" s="17" t="n"/>
      <ns0:c r="E932" s="17" t="n"/>
      <ns0:c r="F932" s="17" t="n"/>
      <ns0:c r="G932" s="17" t="n"/>
      <ns0:c r="H932" s="17" t="n"/>
      <ns0:c r="I932" s="17" t="n"/>
      <ns0:c r="J932" s="17" t="n"/>
      <ns0:c r="K932" s="17" t="n"/>
      <ns0:c r="L932" s="17" t="n"/>
      <ns0:c r="M932" s="17" t="n"/>
      <ns0:c r="N932" s="17" t="n"/>
      <ns0:c r="O932" s="17" t="n"/>
      <ns0:c r="P932" s="17" t="n"/>
      <ns0:c r="Q932" s="17" t="n"/>
      <ns0:c r="R932" s="17" t="n"/>
      <ns0:c r="S932" s="17" t="n"/>
      <ns0:c r="T932" s="17" t="n"/>
      <ns0:c r="U932" s="17" t="n"/>
      <ns0:c r="V932" s="17" t="n"/>
      <ns0:c r="W932" s="17" t="n"/>
      <ns0:c r="X932" s="17" t="n"/>
      <ns0:c r="Y932" s="17" t="n"/>
      <ns0:c r="Z932" s="17" t="n"/>
      <ns0:c r="AA932" s="17" t="n"/>
      <ns0:c r="AB932" s="17" t="n"/>
      <ns0:c r="AC932" s="17" t="n"/>
      <ns0:c r="AD932" s="17" t="n"/>
      <ns0:c r="AE932" s="17" t="n"/>
      <ns0:c r="AF932" s="17" t="n"/>
      <ns0:c r="AG932" s="17" t="n"/>
    </ns0:row>
    <ns0:row r="933" ht="24" customHeight="1">
      <ns0:c r="D933" s="17" t="n"/>
      <ns0:c r="E933" s="17" t="n"/>
      <ns0:c r="F933" s="17" t="n"/>
      <ns0:c r="G933" s="17" t="n"/>
      <ns0:c r="H933" s="17" t="n"/>
      <ns0:c r="I933" s="17" t="n"/>
      <ns0:c r="J933" s="17" t="n"/>
      <ns0:c r="K933" s="17" t="n"/>
      <ns0:c r="L933" s="17" t="n"/>
      <ns0:c r="M933" s="17" t="n"/>
      <ns0:c r="N933" s="17" t="n"/>
      <ns0:c r="O933" s="17" t="n"/>
      <ns0:c r="P933" s="17" t="n"/>
      <ns0:c r="Q933" s="17" t="n"/>
      <ns0:c r="R933" s="17" t="n"/>
      <ns0:c r="S933" s="17" t="n"/>
      <ns0:c r="T933" s="17" t="n"/>
      <ns0:c r="U933" s="17" t="n"/>
      <ns0:c r="V933" s="17" t="n"/>
      <ns0:c r="W933" s="17" t="n"/>
      <ns0:c r="X933" s="17" t="n"/>
      <ns0:c r="Y933" s="17" t="n"/>
      <ns0:c r="Z933" s="17" t="n"/>
      <ns0:c r="AA933" s="17" t="n"/>
      <ns0:c r="AB933" s="17" t="n"/>
      <ns0:c r="AC933" s="17" t="n"/>
      <ns0:c r="AD933" s="17" t="n"/>
      <ns0:c r="AE933" s="17" t="n"/>
      <ns0:c r="AF933" s="17" t="n"/>
      <ns0:c r="AG933" s="17" t="n"/>
    </ns0:row>
    <ns0:row r="934" ht="24" customHeight="1">
      <ns0:c r="D934" s="17" t="n"/>
      <ns0:c r="E934" s="17" t="n"/>
      <ns0:c r="F934" s="17" t="n"/>
      <ns0:c r="G934" s="17" t="n"/>
      <ns0:c r="H934" s="17" t="n"/>
      <ns0:c r="I934" s="17" t="n"/>
      <ns0:c r="J934" s="17" t="n"/>
      <ns0:c r="K934" s="17" t="n"/>
      <ns0:c r="L934" s="17" t="n"/>
      <ns0:c r="M934" s="17" t="n"/>
      <ns0:c r="N934" s="17" t="n"/>
      <ns0:c r="O934" s="17" t="n"/>
      <ns0:c r="P934" s="17" t="n"/>
      <ns0:c r="Q934" s="17" t="n"/>
      <ns0:c r="R934" s="17" t="n"/>
      <ns0:c r="S934" s="17" t="n"/>
      <ns0:c r="T934" s="17" t="n"/>
      <ns0:c r="U934" s="17" t="n"/>
      <ns0:c r="V934" s="17" t="n"/>
      <ns0:c r="W934" s="17" t="n"/>
      <ns0:c r="X934" s="17" t="n"/>
      <ns0:c r="Y934" s="17" t="n"/>
      <ns0:c r="Z934" s="17" t="n"/>
      <ns0:c r="AA934" s="17" t="n"/>
      <ns0:c r="AB934" s="17" t="n"/>
      <ns0:c r="AC934" s="17" t="n"/>
      <ns0:c r="AD934" s="17" t="n"/>
      <ns0:c r="AE934" s="17" t="n"/>
      <ns0:c r="AF934" s="17" t="n"/>
      <ns0:c r="AG934" s="17" t="n"/>
    </ns0:row>
    <ns0:row r="935" ht="24" customHeight="1">
      <ns0:c r="D935" s="17" t="n"/>
      <ns0:c r="E935" s="17" t="n"/>
      <ns0:c r="F935" s="17" t="n"/>
      <ns0:c r="G935" s="17" t="n"/>
      <ns0:c r="H935" s="17" t="n"/>
      <ns0:c r="I935" s="17" t="n"/>
      <ns0:c r="J935" s="17" t="n"/>
      <ns0:c r="K935" s="17" t="n"/>
      <ns0:c r="L935" s="17" t="n"/>
      <ns0:c r="M935" s="17" t="n"/>
      <ns0:c r="N935" s="17" t="n"/>
      <ns0:c r="O935" s="17" t="n"/>
      <ns0:c r="P935" s="17" t="n"/>
      <ns0:c r="Q935" s="17" t="n"/>
      <ns0:c r="R935" s="17" t="n"/>
      <ns0:c r="S935" s="17" t="n"/>
      <ns0:c r="T935" s="17" t="n"/>
      <ns0:c r="U935" s="17" t="n"/>
      <ns0:c r="V935" s="17" t="n"/>
      <ns0:c r="W935" s="17" t="n"/>
      <ns0:c r="X935" s="17" t="n"/>
      <ns0:c r="Y935" s="17" t="n"/>
      <ns0:c r="Z935" s="17" t="n"/>
      <ns0:c r="AA935" s="17" t="n"/>
      <ns0:c r="AB935" s="17" t="n"/>
      <ns0:c r="AC935" s="17" t="n"/>
      <ns0:c r="AD935" s="17" t="n"/>
      <ns0:c r="AE935" s="17" t="n"/>
      <ns0:c r="AF935" s="17" t="n"/>
      <ns0:c r="AG935" s="17" t="n"/>
    </ns0:row>
    <ns0:row r="936" ht="24" customHeight="1">
      <ns0:c r="D936" s="17" t="n"/>
      <ns0:c r="E936" s="17" t="n"/>
      <ns0:c r="F936" s="17" t="n"/>
      <ns0:c r="G936" s="17" t="n"/>
      <ns0:c r="H936" s="17" t="n"/>
      <ns0:c r="I936" s="17" t="n"/>
      <ns0:c r="J936" s="17" t="n"/>
      <ns0:c r="K936" s="17" t="n"/>
      <ns0:c r="L936" s="17" t="n"/>
      <ns0:c r="M936" s="17" t="n"/>
      <ns0:c r="N936" s="17" t="n"/>
      <ns0:c r="O936" s="17" t="n"/>
      <ns0:c r="P936" s="17" t="n"/>
      <ns0:c r="Q936" s="17" t="n"/>
      <ns0:c r="R936" s="17" t="n"/>
      <ns0:c r="S936" s="17" t="n"/>
      <ns0:c r="T936" s="17" t="n"/>
      <ns0:c r="U936" s="17" t="n"/>
      <ns0:c r="V936" s="17" t="n"/>
      <ns0:c r="W936" s="17" t="n"/>
      <ns0:c r="X936" s="17" t="n"/>
      <ns0:c r="Y936" s="17" t="n"/>
      <ns0:c r="Z936" s="17" t="n"/>
      <ns0:c r="AA936" s="17" t="n"/>
      <ns0:c r="AB936" s="17" t="n"/>
      <ns0:c r="AC936" s="17" t="n"/>
      <ns0:c r="AD936" s="17" t="n"/>
      <ns0:c r="AE936" s="17" t="n"/>
      <ns0:c r="AF936" s="17" t="n"/>
      <ns0:c r="AG936" s="17" t="n"/>
    </ns0:row>
    <ns0:row r="937" ht="24" customHeight="1">
      <ns0:c r="D937" s="17" t="n"/>
      <ns0:c r="E937" s="17" t="n"/>
      <ns0:c r="F937" s="17" t="n"/>
      <ns0:c r="G937" s="17" t="n"/>
      <ns0:c r="H937" s="17" t="n"/>
      <ns0:c r="I937" s="17" t="n"/>
      <ns0:c r="J937" s="17" t="n"/>
      <ns0:c r="K937" s="17" t="n"/>
      <ns0:c r="L937" s="17" t="n"/>
      <ns0:c r="M937" s="17" t="n"/>
      <ns0:c r="N937" s="17" t="n"/>
      <ns0:c r="O937" s="17" t="n"/>
      <ns0:c r="P937" s="17" t="n"/>
      <ns0:c r="Q937" s="17" t="n"/>
      <ns0:c r="R937" s="17" t="n"/>
      <ns0:c r="S937" s="17" t="n"/>
      <ns0:c r="T937" s="17" t="n"/>
      <ns0:c r="U937" s="17" t="n"/>
      <ns0:c r="V937" s="17" t="n"/>
      <ns0:c r="W937" s="17" t="n"/>
      <ns0:c r="X937" s="17" t="n"/>
      <ns0:c r="Y937" s="17" t="n"/>
      <ns0:c r="Z937" s="17" t="n"/>
      <ns0:c r="AA937" s="17" t="n"/>
      <ns0:c r="AB937" s="17" t="n"/>
      <ns0:c r="AC937" s="17" t="n"/>
      <ns0:c r="AD937" s="17" t="n"/>
      <ns0:c r="AE937" s="17" t="n"/>
      <ns0:c r="AF937" s="17" t="n"/>
      <ns0:c r="AG937" s="17" t="n"/>
    </ns0:row>
    <ns0:row r="938" ht="24" customHeight="1">
      <ns0:c r="D938" s="17" t="n"/>
      <ns0:c r="E938" s="17" t="n"/>
      <ns0:c r="F938" s="17" t="n"/>
      <ns0:c r="G938" s="17" t="n"/>
      <ns0:c r="H938" s="17" t="n"/>
      <ns0:c r="I938" s="17" t="n"/>
      <ns0:c r="J938" s="17" t="n"/>
      <ns0:c r="K938" s="17" t="n"/>
      <ns0:c r="L938" s="17" t="n"/>
      <ns0:c r="M938" s="17" t="n"/>
      <ns0:c r="N938" s="17" t="n"/>
      <ns0:c r="O938" s="17" t="n"/>
      <ns0:c r="P938" s="17" t="n"/>
      <ns0:c r="Q938" s="17" t="n"/>
      <ns0:c r="R938" s="17" t="n"/>
      <ns0:c r="S938" s="17" t="n"/>
      <ns0:c r="T938" s="17" t="n"/>
      <ns0:c r="U938" s="17" t="n"/>
      <ns0:c r="V938" s="17" t="n"/>
      <ns0:c r="W938" s="17" t="n"/>
      <ns0:c r="X938" s="17" t="n"/>
      <ns0:c r="Y938" s="17" t="n"/>
      <ns0:c r="Z938" s="17" t="n"/>
      <ns0:c r="AA938" s="17" t="n"/>
      <ns0:c r="AB938" s="17" t="n"/>
      <ns0:c r="AC938" s="17" t="n"/>
      <ns0:c r="AD938" s="17" t="n"/>
      <ns0:c r="AE938" s="17" t="n"/>
      <ns0:c r="AF938" s="17" t="n"/>
      <ns0:c r="AG938" s="17" t="n"/>
    </ns0:row>
    <ns0:row r="939" ht="24" customHeight="1">
      <ns0:c r="D939" s="17" t="n"/>
      <ns0:c r="E939" s="17" t="n"/>
      <ns0:c r="F939" s="17" t="n"/>
      <ns0:c r="G939" s="17" t="n"/>
      <ns0:c r="H939" s="17" t="n"/>
      <ns0:c r="I939" s="17" t="n"/>
      <ns0:c r="J939" s="17" t="n"/>
      <ns0:c r="K939" s="17" t="n"/>
      <ns0:c r="L939" s="17" t="n"/>
      <ns0:c r="M939" s="17" t="n"/>
      <ns0:c r="N939" s="17" t="n"/>
      <ns0:c r="O939" s="17" t="n"/>
      <ns0:c r="P939" s="17" t="n"/>
      <ns0:c r="Q939" s="17" t="n"/>
      <ns0:c r="R939" s="17" t="n"/>
      <ns0:c r="S939" s="17" t="n"/>
      <ns0:c r="T939" s="17" t="n"/>
      <ns0:c r="U939" s="17" t="n"/>
      <ns0:c r="V939" s="17" t="n"/>
      <ns0:c r="W939" s="17" t="n"/>
      <ns0:c r="X939" s="17" t="n"/>
      <ns0:c r="Y939" s="17" t="n"/>
      <ns0:c r="Z939" s="17" t="n"/>
      <ns0:c r="AA939" s="17" t="n"/>
      <ns0:c r="AB939" s="17" t="n"/>
      <ns0:c r="AC939" s="17" t="n"/>
      <ns0:c r="AD939" s="17" t="n"/>
      <ns0:c r="AE939" s="17" t="n"/>
      <ns0:c r="AF939" s="17" t="n"/>
      <ns0:c r="AG939" s="17" t="n"/>
    </ns0:row>
    <ns0:row r="940" ht="24" customHeight="1">
      <ns0:c r="D940" s="17" t="n"/>
      <ns0:c r="E940" s="17" t="n"/>
      <ns0:c r="F940" s="17" t="n"/>
      <ns0:c r="G940" s="17" t="n"/>
      <ns0:c r="H940" s="17" t="n"/>
      <ns0:c r="I940" s="17" t="n"/>
      <ns0:c r="J940" s="17" t="n"/>
      <ns0:c r="K940" s="17" t="n"/>
      <ns0:c r="L940" s="17" t="n"/>
      <ns0:c r="M940" s="17" t="n"/>
      <ns0:c r="N940" s="17" t="n"/>
      <ns0:c r="O940" s="17" t="n"/>
      <ns0:c r="P940" s="17" t="n"/>
      <ns0:c r="Q940" s="17" t="n"/>
      <ns0:c r="R940" s="17" t="n"/>
      <ns0:c r="S940" s="17" t="n"/>
      <ns0:c r="T940" s="17" t="n"/>
      <ns0:c r="U940" s="17" t="n"/>
      <ns0:c r="V940" s="17" t="n"/>
      <ns0:c r="W940" s="17" t="n"/>
      <ns0:c r="X940" s="17" t="n"/>
      <ns0:c r="Y940" s="17" t="n"/>
      <ns0:c r="Z940" s="17" t="n"/>
      <ns0:c r="AA940" s="17" t="n"/>
      <ns0:c r="AB940" s="17" t="n"/>
      <ns0:c r="AC940" s="17" t="n"/>
      <ns0:c r="AD940" s="17" t="n"/>
      <ns0:c r="AE940" s="17" t="n"/>
      <ns0:c r="AF940" s="17" t="n"/>
      <ns0:c r="AG940" s="17" t="n"/>
    </ns0:row>
    <ns0:row r="941" ht="24" customHeight="1">
      <ns0:c r="D941" s="17" t="n"/>
      <ns0:c r="E941" s="17" t="n"/>
      <ns0:c r="F941" s="17" t="n"/>
      <ns0:c r="G941" s="17" t="n"/>
      <ns0:c r="H941" s="17" t="n"/>
      <ns0:c r="I941" s="17" t="n"/>
      <ns0:c r="J941" s="17" t="n"/>
      <ns0:c r="K941" s="17" t="n"/>
      <ns0:c r="L941" s="17" t="n"/>
      <ns0:c r="M941" s="17" t="n"/>
      <ns0:c r="N941" s="17" t="n"/>
      <ns0:c r="O941" s="17" t="n"/>
      <ns0:c r="P941" s="17" t="n"/>
      <ns0:c r="Q941" s="17" t="n"/>
      <ns0:c r="R941" s="17" t="n"/>
      <ns0:c r="S941" s="17" t="n"/>
      <ns0:c r="T941" s="17" t="n"/>
      <ns0:c r="U941" s="17" t="n"/>
      <ns0:c r="V941" s="17" t="n"/>
      <ns0:c r="W941" s="17" t="n"/>
      <ns0:c r="X941" s="17" t="n"/>
      <ns0:c r="Y941" s="17" t="n"/>
      <ns0:c r="Z941" s="17" t="n"/>
      <ns0:c r="AA941" s="17" t="n"/>
      <ns0:c r="AB941" s="17" t="n"/>
      <ns0:c r="AC941" s="17" t="n"/>
      <ns0:c r="AD941" s="17" t="n"/>
      <ns0:c r="AE941" s="17" t="n"/>
      <ns0:c r="AF941" s="17" t="n"/>
      <ns0:c r="AG941" s="17" t="n"/>
    </ns0:row>
    <ns0:row r="942" ht="24" customHeight="1">
      <ns0:c r="D942" s="17" t="n"/>
      <ns0:c r="E942" s="17" t="n"/>
      <ns0:c r="F942" s="17" t="n"/>
      <ns0:c r="G942" s="17" t="n"/>
      <ns0:c r="H942" s="17" t="n"/>
      <ns0:c r="I942" s="17" t="n"/>
      <ns0:c r="J942" s="17" t="n"/>
      <ns0:c r="K942" s="17" t="n"/>
      <ns0:c r="L942" s="17" t="n"/>
      <ns0:c r="M942" s="17" t="n"/>
      <ns0:c r="N942" s="17" t="n"/>
      <ns0:c r="O942" s="17" t="n"/>
      <ns0:c r="P942" s="17" t="n"/>
      <ns0:c r="Q942" s="17" t="n"/>
      <ns0:c r="R942" s="17" t="n"/>
      <ns0:c r="S942" s="17" t="n"/>
      <ns0:c r="T942" s="17" t="n"/>
      <ns0:c r="U942" s="17" t="n"/>
      <ns0:c r="V942" s="17" t="n"/>
      <ns0:c r="W942" s="17" t="n"/>
      <ns0:c r="X942" s="17" t="n"/>
      <ns0:c r="Y942" s="17" t="n"/>
      <ns0:c r="Z942" s="17" t="n"/>
      <ns0:c r="AA942" s="17" t="n"/>
      <ns0:c r="AB942" s="17" t="n"/>
      <ns0:c r="AC942" s="17" t="n"/>
      <ns0:c r="AD942" s="17" t="n"/>
      <ns0:c r="AE942" s="17" t="n"/>
      <ns0:c r="AF942" s="17" t="n"/>
      <ns0:c r="AG942" s="17" t="n"/>
    </ns0:row>
    <ns0:row r="943" ht="24" customHeight="1">
      <ns0:c r="D943" s="17" t="n"/>
      <ns0:c r="E943" s="17" t="n"/>
      <ns0:c r="F943" s="17" t="n"/>
      <ns0:c r="G943" s="17" t="n"/>
      <ns0:c r="H943" s="17" t="n"/>
      <ns0:c r="I943" s="17" t="n"/>
      <ns0:c r="J943" s="17" t="n"/>
      <ns0:c r="K943" s="17" t="n"/>
      <ns0:c r="L943" s="17" t="n"/>
      <ns0:c r="M943" s="17" t="n"/>
      <ns0:c r="N943" s="17" t="n"/>
      <ns0:c r="O943" s="17" t="n"/>
      <ns0:c r="P943" s="17" t="n"/>
      <ns0:c r="Q943" s="17" t="n"/>
      <ns0:c r="R943" s="17" t="n"/>
      <ns0:c r="S943" s="17" t="n"/>
      <ns0:c r="T943" s="17" t="n"/>
      <ns0:c r="U943" s="17" t="n"/>
      <ns0:c r="V943" s="17" t="n"/>
      <ns0:c r="W943" s="17" t="n"/>
      <ns0:c r="X943" s="17" t="n"/>
      <ns0:c r="Y943" s="17" t="n"/>
      <ns0:c r="Z943" s="17" t="n"/>
      <ns0:c r="AA943" s="17" t="n"/>
      <ns0:c r="AB943" s="17" t="n"/>
      <ns0:c r="AC943" s="17" t="n"/>
      <ns0:c r="AD943" s="17" t="n"/>
      <ns0:c r="AE943" s="17" t="n"/>
      <ns0:c r="AF943" s="17" t="n"/>
      <ns0:c r="AG943" s="17" t="n"/>
    </ns0:row>
    <ns0:row r="944" ht="24" customHeight="1">
      <ns0:c r="D944" s="17" t="n"/>
      <ns0:c r="E944" s="17" t="n"/>
      <ns0:c r="F944" s="17" t="n"/>
      <ns0:c r="G944" s="17" t="n"/>
      <ns0:c r="H944" s="17" t="n"/>
      <ns0:c r="I944" s="17" t="n"/>
      <ns0:c r="J944" s="17" t="n"/>
      <ns0:c r="K944" s="17" t="n"/>
      <ns0:c r="L944" s="17" t="n"/>
      <ns0:c r="M944" s="17" t="n"/>
      <ns0:c r="N944" s="17" t="n"/>
      <ns0:c r="O944" s="17" t="n"/>
      <ns0:c r="P944" s="17" t="n"/>
      <ns0:c r="Q944" s="17" t="n"/>
      <ns0:c r="R944" s="17" t="n"/>
      <ns0:c r="S944" s="17" t="n"/>
      <ns0:c r="T944" s="17" t="n"/>
      <ns0:c r="U944" s="17" t="n"/>
      <ns0:c r="V944" s="17" t="n"/>
      <ns0:c r="W944" s="17" t="n"/>
      <ns0:c r="X944" s="17" t="n"/>
      <ns0:c r="Y944" s="17" t="n"/>
      <ns0:c r="Z944" s="17" t="n"/>
      <ns0:c r="AA944" s="17" t="n"/>
      <ns0:c r="AB944" s="17" t="n"/>
      <ns0:c r="AC944" s="17" t="n"/>
      <ns0:c r="AD944" s="17" t="n"/>
      <ns0:c r="AE944" s="17" t="n"/>
      <ns0:c r="AF944" s="17" t="n"/>
      <ns0:c r="AG944" s="17" t="n"/>
    </ns0:row>
    <ns0:row r="945" ht="24" customHeight="1">
      <ns0:c r="D945" s="17" t="n"/>
      <ns0:c r="E945" s="17" t="n"/>
      <ns0:c r="F945" s="17" t="n"/>
      <ns0:c r="G945" s="17" t="n"/>
      <ns0:c r="H945" s="17" t="n"/>
      <ns0:c r="I945" s="17" t="n"/>
      <ns0:c r="J945" s="17" t="n"/>
      <ns0:c r="K945" s="17" t="n"/>
      <ns0:c r="L945" s="17" t="n"/>
      <ns0:c r="M945" s="17" t="n"/>
      <ns0:c r="N945" s="17" t="n"/>
      <ns0:c r="O945" s="17" t="n"/>
      <ns0:c r="P945" s="17" t="n"/>
      <ns0:c r="Q945" s="17" t="n"/>
      <ns0:c r="R945" s="17" t="n"/>
      <ns0:c r="S945" s="17" t="n"/>
      <ns0:c r="T945" s="17" t="n"/>
      <ns0:c r="U945" s="17" t="n"/>
      <ns0:c r="V945" s="17" t="n"/>
      <ns0:c r="W945" s="17" t="n"/>
      <ns0:c r="X945" s="17" t="n"/>
      <ns0:c r="Y945" s="17" t="n"/>
      <ns0:c r="Z945" s="17" t="n"/>
      <ns0:c r="AA945" s="17" t="n"/>
      <ns0:c r="AB945" s="17" t="n"/>
      <ns0:c r="AC945" s="17" t="n"/>
      <ns0:c r="AD945" s="17" t="n"/>
      <ns0:c r="AE945" s="17" t="n"/>
      <ns0:c r="AF945" s="17" t="n"/>
      <ns0:c r="AG945" s="17" t="n"/>
    </ns0:row>
    <ns0:row r="946" ht="24" customHeight="1">
      <ns0:c r="D946" s="17" t="n"/>
      <ns0:c r="E946" s="17" t="n"/>
      <ns0:c r="F946" s="17" t="n"/>
      <ns0:c r="G946" s="17" t="n"/>
      <ns0:c r="H946" s="17" t="n"/>
      <ns0:c r="I946" s="17" t="n"/>
      <ns0:c r="J946" s="17" t="n"/>
      <ns0:c r="K946" s="17" t="n"/>
      <ns0:c r="L946" s="17" t="n"/>
      <ns0:c r="M946" s="17" t="n"/>
      <ns0:c r="N946" s="17" t="n"/>
      <ns0:c r="O946" s="17" t="n"/>
      <ns0:c r="P946" s="17" t="n"/>
      <ns0:c r="Q946" s="17" t="n"/>
      <ns0:c r="R946" s="17" t="n"/>
      <ns0:c r="S946" s="17" t="n"/>
      <ns0:c r="T946" s="17" t="n"/>
      <ns0:c r="U946" s="17" t="n"/>
      <ns0:c r="V946" s="17" t="n"/>
      <ns0:c r="W946" s="17" t="n"/>
      <ns0:c r="X946" s="17" t="n"/>
      <ns0:c r="Y946" s="17" t="n"/>
      <ns0:c r="Z946" s="17" t="n"/>
      <ns0:c r="AA946" s="17" t="n"/>
      <ns0:c r="AB946" s="17" t="n"/>
      <ns0:c r="AC946" s="17" t="n"/>
      <ns0:c r="AD946" s="17" t="n"/>
      <ns0:c r="AE946" s="17" t="n"/>
      <ns0:c r="AF946" s="17" t="n"/>
      <ns0:c r="AG946" s="17" t="n"/>
    </ns0:row>
    <ns0:row r="947" ht="24" customHeight="1">
      <ns0:c r="D947" s="17" t="n"/>
      <ns0:c r="E947" s="17" t="n"/>
      <ns0:c r="F947" s="17" t="n"/>
      <ns0:c r="G947" s="17" t="n"/>
      <ns0:c r="H947" s="17" t="n"/>
      <ns0:c r="I947" s="17" t="n"/>
      <ns0:c r="J947" s="17" t="n"/>
      <ns0:c r="K947" s="17" t="n"/>
      <ns0:c r="L947" s="17" t="n"/>
      <ns0:c r="M947" s="17" t="n"/>
      <ns0:c r="N947" s="17" t="n"/>
      <ns0:c r="O947" s="17" t="n"/>
      <ns0:c r="P947" s="17" t="n"/>
      <ns0:c r="Q947" s="17" t="n"/>
      <ns0:c r="R947" s="17" t="n"/>
      <ns0:c r="S947" s="17" t="n"/>
      <ns0:c r="T947" s="17" t="n"/>
      <ns0:c r="U947" s="17" t="n"/>
      <ns0:c r="V947" s="17" t="n"/>
      <ns0:c r="W947" s="17" t="n"/>
      <ns0:c r="X947" s="17" t="n"/>
      <ns0:c r="Y947" s="17" t="n"/>
      <ns0:c r="Z947" s="17" t="n"/>
      <ns0:c r="AA947" s="17" t="n"/>
      <ns0:c r="AB947" s="17" t="n"/>
      <ns0:c r="AC947" s="17" t="n"/>
      <ns0:c r="AD947" s="17" t="n"/>
      <ns0:c r="AE947" s="17" t="n"/>
      <ns0:c r="AF947" s="17" t="n"/>
      <ns0:c r="AG947" s="17" t="n"/>
    </ns0:row>
    <ns0:row r="948" ht="24" customHeight="1">
      <ns0:c r="D948" s="17" t="n"/>
      <ns0:c r="E948" s="17" t="n"/>
      <ns0:c r="F948" s="17" t="n"/>
      <ns0:c r="G948" s="17" t="n"/>
      <ns0:c r="H948" s="17" t="n"/>
      <ns0:c r="I948" s="17" t="n"/>
      <ns0:c r="J948" s="17" t="n"/>
      <ns0:c r="K948" s="17" t="n"/>
      <ns0:c r="L948" s="17" t="n"/>
      <ns0:c r="M948" s="17" t="n"/>
      <ns0:c r="N948" s="17" t="n"/>
      <ns0:c r="O948" s="17" t="n"/>
      <ns0:c r="P948" s="17" t="n"/>
      <ns0:c r="Q948" s="17" t="n"/>
      <ns0:c r="R948" s="17" t="n"/>
      <ns0:c r="S948" s="17" t="n"/>
      <ns0:c r="T948" s="17" t="n"/>
      <ns0:c r="U948" s="17" t="n"/>
      <ns0:c r="V948" s="17" t="n"/>
      <ns0:c r="W948" s="17" t="n"/>
      <ns0:c r="X948" s="17" t="n"/>
      <ns0:c r="Y948" s="17" t="n"/>
      <ns0:c r="Z948" s="17" t="n"/>
      <ns0:c r="AA948" s="17" t="n"/>
      <ns0:c r="AB948" s="17" t="n"/>
      <ns0:c r="AC948" s="17" t="n"/>
      <ns0:c r="AD948" s="17" t="n"/>
      <ns0:c r="AE948" s="17" t="n"/>
      <ns0:c r="AF948" s="17" t="n"/>
      <ns0:c r="AG948" s="17" t="n"/>
    </ns0:row>
    <ns0:row r="949" ht="24" customHeight="1">
      <ns0:c r="D949" s="17" t="n"/>
      <ns0:c r="E949" s="17" t="n"/>
      <ns0:c r="F949" s="17" t="n"/>
      <ns0:c r="G949" s="17" t="n"/>
      <ns0:c r="H949" s="17" t="n"/>
      <ns0:c r="I949" s="17" t="n"/>
      <ns0:c r="J949" s="17" t="n"/>
      <ns0:c r="K949" s="17" t="n"/>
      <ns0:c r="L949" s="17" t="n"/>
      <ns0:c r="M949" s="17" t="n"/>
      <ns0:c r="N949" s="17" t="n"/>
      <ns0:c r="O949" s="17" t="n"/>
      <ns0:c r="P949" s="17" t="n"/>
      <ns0:c r="Q949" s="17" t="n"/>
      <ns0:c r="R949" s="17" t="n"/>
      <ns0:c r="S949" s="17" t="n"/>
      <ns0:c r="T949" s="17" t="n"/>
      <ns0:c r="U949" s="17" t="n"/>
      <ns0:c r="V949" s="17" t="n"/>
      <ns0:c r="W949" s="17" t="n"/>
      <ns0:c r="X949" s="17" t="n"/>
      <ns0:c r="Y949" s="17" t="n"/>
      <ns0:c r="Z949" s="17" t="n"/>
      <ns0:c r="AA949" s="17" t="n"/>
      <ns0:c r="AB949" s="17" t="n"/>
      <ns0:c r="AC949" s="17" t="n"/>
      <ns0:c r="AD949" s="17" t="n"/>
      <ns0:c r="AE949" s="17" t="n"/>
      <ns0:c r="AF949" s="17" t="n"/>
      <ns0:c r="AG949" s="17" t="n"/>
    </ns0:row>
    <ns0:row r="950" ht="24" customHeight="1">
      <ns0:c r="D950" s="17" t="n"/>
      <ns0:c r="E950" s="17" t="n"/>
      <ns0:c r="F950" s="17" t="n"/>
      <ns0:c r="G950" s="17" t="n"/>
      <ns0:c r="H950" s="17" t="n"/>
      <ns0:c r="I950" s="17" t="n"/>
      <ns0:c r="J950" s="17" t="n"/>
      <ns0:c r="K950" s="17" t="n"/>
      <ns0:c r="L950" s="17" t="n"/>
      <ns0:c r="M950" s="17" t="n"/>
      <ns0:c r="N950" s="17" t="n"/>
      <ns0:c r="O950" s="17" t="n"/>
      <ns0:c r="P950" s="17" t="n"/>
      <ns0:c r="Q950" s="17" t="n"/>
      <ns0:c r="R950" s="17" t="n"/>
      <ns0:c r="S950" s="17" t="n"/>
      <ns0:c r="T950" s="17" t="n"/>
      <ns0:c r="U950" s="17" t="n"/>
      <ns0:c r="V950" s="17" t="n"/>
      <ns0:c r="W950" s="17" t="n"/>
      <ns0:c r="X950" s="17" t="n"/>
      <ns0:c r="Y950" s="17" t="n"/>
      <ns0:c r="Z950" s="17" t="n"/>
      <ns0:c r="AA950" s="17" t="n"/>
      <ns0:c r="AB950" s="17" t="n"/>
      <ns0:c r="AC950" s="17" t="n"/>
      <ns0:c r="AD950" s="17" t="n"/>
      <ns0:c r="AE950" s="17" t="n"/>
      <ns0:c r="AF950" s="17" t="n"/>
      <ns0:c r="AG950" s="17" t="n"/>
    </ns0:row>
    <ns0:row r="951" ht="24" customHeight="1">
      <ns0:c r="D951" s="17" t="n"/>
      <ns0:c r="E951" s="17" t="n"/>
      <ns0:c r="F951" s="17" t="n"/>
      <ns0:c r="G951" s="17" t="n"/>
      <ns0:c r="H951" s="17" t="n"/>
      <ns0:c r="I951" s="17" t="n"/>
      <ns0:c r="J951" s="17" t="n"/>
      <ns0:c r="K951" s="17" t="n"/>
      <ns0:c r="L951" s="17" t="n"/>
      <ns0:c r="M951" s="17" t="n"/>
      <ns0:c r="N951" s="17" t="n"/>
      <ns0:c r="O951" s="17" t="n"/>
      <ns0:c r="P951" s="17" t="n"/>
      <ns0:c r="Q951" s="17" t="n"/>
      <ns0:c r="R951" s="17" t="n"/>
      <ns0:c r="S951" s="17" t="n"/>
      <ns0:c r="T951" s="17" t="n"/>
      <ns0:c r="U951" s="17" t="n"/>
      <ns0:c r="V951" s="17" t="n"/>
      <ns0:c r="W951" s="17" t="n"/>
      <ns0:c r="X951" s="17" t="n"/>
      <ns0:c r="Y951" s="17" t="n"/>
      <ns0:c r="Z951" s="17" t="n"/>
      <ns0:c r="AA951" s="17" t="n"/>
      <ns0:c r="AB951" s="17" t="n"/>
      <ns0:c r="AC951" s="17" t="n"/>
      <ns0:c r="AD951" s="17" t="n"/>
      <ns0:c r="AE951" s="17" t="n"/>
      <ns0:c r="AF951" s="17" t="n"/>
      <ns0:c r="AG951" s="17" t="n"/>
    </ns0:row>
    <ns0:row r="952" ht="24" customHeight="1">
      <ns0:c r="D952" s="17" t="n"/>
      <ns0:c r="E952" s="17" t="n"/>
      <ns0:c r="F952" s="17" t="n"/>
      <ns0:c r="G952" s="17" t="n"/>
      <ns0:c r="H952" s="17" t="n"/>
      <ns0:c r="I952" s="17" t="n"/>
      <ns0:c r="J952" s="17" t="n"/>
      <ns0:c r="K952" s="17" t="n"/>
      <ns0:c r="L952" s="17" t="n"/>
      <ns0:c r="M952" s="17" t="n"/>
      <ns0:c r="N952" s="17" t="n"/>
      <ns0:c r="O952" s="17" t="n"/>
      <ns0:c r="P952" s="17" t="n"/>
      <ns0:c r="Q952" s="17" t="n"/>
      <ns0:c r="R952" s="17" t="n"/>
      <ns0:c r="S952" s="17" t="n"/>
      <ns0:c r="T952" s="17" t="n"/>
      <ns0:c r="U952" s="17" t="n"/>
      <ns0:c r="V952" s="17" t="n"/>
      <ns0:c r="W952" s="17" t="n"/>
      <ns0:c r="X952" s="17" t="n"/>
      <ns0:c r="Y952" s="17" t="n"/>
      <ns0:c r="Z952" s="17" t="n"/>
      <ns0:c r="AA952" s="17" t="n"/>
      <ns0:c r="AB952" s="17" t="n"/>
      <ns0:c r="AC952" s="17" t="n"/>
      <ns0:c r="AD952" s="17" t="n"/>
      <ns0:c r="AE952" s="17" t="n"/>
      <ns0:c r="AF952" s="17" t="n"/>
      <ns0:c r="AG952" s="17" t="n"/>
    </ns0:row>
    <ns0:row r="953" ht="24" customHeight="1">
      <ns0:c r="D953" s="17" t="n"/>
      <ns0:c r="E953" s="17" t="n"/>
      <ns0:c r="F953" s="17" t="n"/>
      <ns0:c r="G953" s="17" t="n"/>
      <ns0:c r="H953" s="17" t="n"/>
      <ns0:c r="I953" s="17" t="n"/>
      <ns0:c r="J953" s="17" t="n"/>
      <ns0:c r="K953" s="17" t="n"/>
      <ns0:c r="L953" s="17" t="n"/>
      <ns0:c r="M953" s="17" t="n"/>
      <ns0:c r="N953" s="17" t="n"/>
      <ns0:c r="O953" s="17" t="n"/>
      <ns0:c r="P953" s="17" t="n"/>
      <ns0:c r="Q953" s="17" t="n"/>
      <ns0:c r="R953" s="17" t="n"/>
      <ns0:c r="S953" s="17" t="n"/>
      <ns0:c r="T953" s="17" t="n"/>
      <ns0:c r="U953" s="17" t="n"/>
      <ns0:c r="V953" s="17" t="n"/>
      <ns0:c r="W953" s="17" t="n"/>
      <ns0:c r="X953" s="17" t="n"/>
      <ns0:c r="Y953" s="17" t="n"/>
      <ns0:c r="Z953" s="17" t="n"/>
      <ns0:c r="AA953" s="17" t="n"/>
      <ns0:c r="AB953" s="17" t="n"/>
      <ns0:c r="AC953" s="17" t="n"/>
      <ns0:c r="AD953" s="17" t="n"/>
      <ns0:c r="AE953" s="17" t="n"/>
      <ns0:c r="AF953" s="17" t="n"/>
      <ns0:c r="AG953" s="17" t="n"/>
    </ns0:row>
    <ns0:row r="954" ht="24" customHeight="1">
      <ns0:c r="D954" s="17" t="n"/>
      <ns0:c r="E954" s="17" t="n"/>
      <ns0:c r="F954" s="17" t="n"/>
      <ns0:c r="G954" s="17" t="n"/>
      <ns0:c r="H954" s="17" t="n"/>
      <ns0:c r="I954" s="17" t="n"/>
      <ns0:c r="J954" s="17" t="n"/>
      <ns0:c r="K954" s="17" t="n"/>
      <ns0:c r="L954" s="17" t="n"/>
      <ns0:c r="M954" s="17" t="n"/>
      <ns0:c r="N954" s="17" t="n"/>
      <ns0:c r="O954" s="17" t="n"/>
      <ns0:c r="P954" s="17" t="n"/>
      <ns0:c r="Q954" s="17" t="n"/>
      <ns0:c r="R954" s="17" t="n"/>
      <ns0:c r="S954" s="17" t="n"/>
      <ns0:c r="T954" s="17" t="n"/>
      <ns0:c r="U954" s="17" t="n"/>
      <ns0:c r="V954" s="17" t="n"/>
      <ns0:c r="W954" s="17" t="n"/>
      <ns0:c r="X954" s="17" t="n"/>
      <ns0:c r="Y954" s="17" t="n"/>
      <ns0:c r="Z954" s="17" t="n"/>
      <ns0:c r="AA954" s="17" t="n"/>
      <ns0:c r="AB954" s="17" t="n"/>
      <ns0:c r="AC954" s="17" t="n"/>
      <ns0:c r="AD954" s="17" t="n"/>
      <ns0:c r="AE954" s="17" t="n"/>
      <ns0:c r="AF954" s="17" t="n"/>
      <ns0:c r="AG954" s="17" t="n"/>
    </ns0:row>
    <ns0:row r="955" ht="24" customHeight="1">
      <ns0:c r="D955" s="17" t="n"/>
      <ns0:c r="E955" s="17" t="n"/>
      <ns0:c r="F955" s="17" t="n"/>
      <ns0:c r="G955" s="17" t="n"/>
      <ns0:c r="H955" s="17" t="n"/>
      <ns0:c r="I955" s="17" t="n"/>
      <ns0:c r="J955" s="17" t="n"/>
      <ns0:c r="K955" s="17" t="n"/>
      <ns0:c r="L955" s="17" t="n"/>
      <ns0:c r="M955" s="17" t="n"/>
      <ns0:c r="N955" s="17" t="n"/>
      <ns0:c r="O955" s="17" t="n"/>
      <ns0:c r="P955" s="17" t="n"/>
      <ns0:c r="Q955" s="17" t="n"/>
      <ns0:c r="R955" s="17" t="n"/>
      <ns0:c r="S955" s="17" t="n"/>
      <ns0:c r="T955" s="17" t="n"/>
      <ns0:c r="U955" s="17" t="n"/>
      <ns0:c r="V955" s="17" t="n"/>
      <ns0:c r="W955" s="17" t="n"/>
      <ns0:c r="X955" s="17" t="n"/>
      <ns0:c r="Y955" s="17" t="n"/>
      <ns0:c r="Z955" s="17" t="n"/>
      <ns0:c r="AA955" s="17" t="n"/>
      <ns0:c r="AB955" s="17" t="n"/>
      <ns0:c r="AC955" s="17" t="n"/>
      <ns0:c r="AD955" s="17" t="n"/>
      <ns0:c r="AE955" s="17" t="n"/>
      <ns0:c r="AF955" s="17" t="n"/>
      <ns0:c r="AG955" s="17" t="n"/>
    </ns0:row>
    <ns0:row r="956" ht="24" customHeight="1">
      <ns0:c r="D956" s="17" t="n"/>
      <ns0:c r="E956" s="17" t="n"/>
      <ns0:c r="F956" s="17" t="n"/>
      <ns0:c r="G956" s="17" t="n"/>
      <ns0:c r="H956" s="17" t="n"/>
      <ns0:c r="I956" s="17" t="n"/>
      <ns0:c r="J956" s="17" t="n"/>
      <ns0:c r="K956" s="17" t="n"/>
      <ns0:c r="L956" s="17" t="n"/>
      <ns0:c r="M956" s="17" t="n"/>
      <ns0:c r="N956" s="17" t="n"/>
      <ns0:c r="O956" s="17" t="n"/>
      <ns0:c r="P956" s="17" t="n"/>
      <ns0:c r="Q956" s="17" t="n"/>
      <ns0:c r="R956" s="17" t="n"/>
      <ns0:c r="S956" s="17" t="n"/>
      <ns0:c r="T956" s="17" t="n"/>
      <ns0:c r="U956" s="17" t="n"/>
      <ns0:c r="V956" s="17" t="n"/>
      <ns0:c r="W956" s="17" t="n"/>
      <ns0:c r="X956" s="17" t="n"/>
      <ns0:c r="Y956" s="17" t="n"/>
      <ns0:c r="Z956" s="17" t="n"/>
      <ns0:c r="AA956" s="17" t="n"/>
      <ns0:c r="AB956" s="17" t="n"/>
      <ns0:c r="AC956" s="17" t="n"/>
      <ns0:c r="AD956" s="17" t="n"/>
      <ns0:c r="AE956" s="17" t="n"/>
      <ns0:c r="AF956" s="17" t="n"/>
      <ns0:c r="AG956" s="17" t="n"/>
    </ns0:row>
    <ns0:row r="957" ht="24" customHeight="1">
      <ns0:c r="D957" s="17" t="n"/>
      <ns0:c r="E957" s="17" t="n"/>
      <ns0:c r="F957" s="17" t="n"/>
      <ns0:c r="G957" s="17" t="n"/>
      <ns0:c r="H957" s="17" t="n"/>
      <ns0:c r="I957" s="17" t="n"/>
      <ns0:c r="J957" s="17" t="n"/>
      <ns0:c r="K957" s="17" t="n"/>
      <ns0:c r="L957" s="17" t="n"/>
      <ns0:c r="M957" s="17" t="n"/>
      <ns0:c r="N957" s="17" t="n"/>
      <ns0:c r="O957" s="17" t="n"/>
      <ns0:c r="P957" s="17" t="n"/>
      <ns0:c r="Q957" s="17" t="n"/>
      <ns0:c r="R957" s="17" t="n"/>
      <ns0:c r="S957" s="17" t="n"/>
      <ns0:c r="T957" s="17" t="n"/>
      <ns0:c r="U957" s="17" t="n"/>
      <ns0:c r="V957" s="17" t="n"/>
      <ns0:c r="W957" s="17" t="n"/>
      <ns0:c r="X957" s="17" t="n"/>
      <ns0:c r="Y957" s="17" t="n"/>
      <ns0:c r="Z957" s="17" t="n"/>
      <ns0:c r="AA957" s="17" t="n"/>
      <ns0:c r="AB957" s="17" t="n"/>
      <ns0:c r="AC957" s="17" t="n"/>
      <ns0:c r="AD957" s="17" t="n"/>
      <ns0:c r="AE957" s="17" t="n"/>
      <ns0:c r="AF957" s="17" t="n"/>
      <ns0:c r="AG957" s="17" t="n"/>
    </ns0:row>
    <ns0:row r="958" ht="24" customHeight="1">
      <ns0:c r="D958" s="17" t="n"/>
      <ns0:c r="E958" s="17" t="n"/>
      <ns0:c r="F958" s="17" t="n"/>
      <ns0:c r="G958" s="17" t="n"/>
      <ns0:c r="H958" s="17" t="n"/>
      <ns0:c r="I958" s="17" t="n"/>
      <ns0:c r="J958" s="17" t="n"/>
      <ns0:c r="K958" s="17" t="n"/>
      <ns0:c r="L958" s="17" t="n"/>
      <ns0:c r="M958" s="17" t="n"/>
      <ns0:c r="N958" s="17" t="n"/>
      <ns0:c r="O958" s="17" t="n"/>
      <ns0:c r="P958" s="17" t="n"/>
      <ns0:c r="Q958" s="17" t="n"/>
      <ns0:c r="R958" s="17" t="n"/>
      <ns0:c r="S958" s="17" t="n"/>
      <ns0:c r="T958" s="17" t="n"/>
      <ns0:c r="U958" s="17" t="n"/>
      <ns0:c r="V958" s="17" t="n"/>
      <ns0:c r="W958" s="17" t="n"/>
      <ns0:c r="X958" s="17" t="n"/>
      <ns0:c r="Y958" s="17" t="n"/>
      <ns0:c r="Z958" s="17" t="n"/>
      <ns0:c r="AA958" s="17" t="n"/>
      <ns0:c r="AB958" s="17" t="n"/>
      <ns0:c r="AC958" s="17" t="n"/>
      <ns0:c r="AD958" s="17" t="n"/>
      <ns0:c r="AE958" s="17" t="n"/>
      <ns0:c r="AF958" s="17" t="n"/>
      <ns0:c r="AG958" s="17" t="n"/>
    </ns0:row>
    <ns0:row r="959" ht="24" customHeight="1">
      <ns0:c r="D959" s="17" t="n"/>
      <ns0:c r="E959" s="17" t="n"/>
      <ns0:c r="F959" s="17" t="n"/>
      <ns0:c r="G959" s="17" t="n"/>
      <ns0:c r="H959" s="17" t="n"/>
      <ns0:c r="I959" s="17" t="n"/>
      <ns0:c r="J959" s="17" t="n"/>
      <ns0:c r="K959" s="17" t="n"/>
      <ns0:c r="L959" s="17" t="n"/>
      <ns0:c r="M959" s="17" t="n"/>
      <ns0:c r="N959" s="17" t="n"/>
      <ns0:c r="O959" s="17" t="n"/>
      <ns0:c r="P959" s="17" t="n"/>
      <ns0:c r="Q959" s="17" t="n"/>
      <ns0:c r="R959" s="17" t="n"/>
      <ns0:c r="S959" s="17" t="n"/>
      <ns0:c r="T959" s="17" t="n"/>
      <ns0:c r="U959" s="17" t="n"/>
      <ns0:c r="V959" s="17" t="n"/>
      <ns0:c r="W959" s="17" t="n"/>
      <ns0:c r="X959" s="17" t="n"/>
      <ns0:c r="Y959" s="17" t="n"/>
      <ns0:c r="Z959" s="17" t="n"/>
      <ns0:c r="AA959" s="17" t="n"/>
      <ns0:c r="AB959" s="17" t="n"/>
      <ns0:c r="AC959" s="17" t="n"/>
      <ns0:c r="AD959" s="17" t="n"/>
      <ns0:c r="AE959" s="17" t="n"/>
      <ns0:c r="AF959" s="17" t="n"/>
      <ns0:c r="AG959" s="17" t="n"/>
    </ns0:row>
    <ns0:row r="960" ht="24" customHeight="1">
      <ns0:c r="D960" s="17" t="n"/>
      <ns0:c r="E960" s="17" t="n"/>
      <ns0:c r="F960" s="17" t="n"/>
      <ns0:c r="G960" s="17" t="n"/>
      <ns0:c r="H960" s="17" t="n"/>
      <ns0:c r="I960" s="17" t="n"/>
      <ns0:c r="J960" s="17" t="n"/>
      <ns0:c r="K960" s="17" t="n"/>
      <ns0:c r="L960" s="17" t="n"/>
      <ns0:c r="M960" s="17" t="n"/>
      <ns0:c r="N960" s="17" t="n"/>
      <ns0:c r="O960" s="17" t="n"/>
      <ns0:c r="P960" s="17" t="n"/>
      <ns0:c r="Q960" s="17" t="n"/>
      <ns0:c r="R960" s="17" t="n"/>
      <ns0:c r="S960" s="17" t="n"/>
      <ns0:c r="T960" s="17" t="n"/>
      <ns0:c r="U960" s="17" t="n"/>
      <ns0:c r="V960" s="17" t="n"/>
      <ns0:c r="W960" s="17" t="n"/>
      <ns0:c r="X960" s="17" t="n"/>
      <ns0:c r="Y960" s="17" t="n"/>
      <ns0:c r="Z960" s="17" t="n"/>
      <ns0:c r="AA960" s="17" t="n"/>
      <ns0:c r="AB960" s="17" t="n"/>
      <ns0:c r="AC960" s="17" t="n"/>
      <ns0:c r="AD960" s="17" t="n"/>
      <ns0:c r="AE960" s="17" t="n"/>
      <ns0:c r="AF960" s="17" t="n"/>
      <ns0:c r="AG960" s="17" t="n"/>
    </ns0:row>
    <ns0:row r="961" ht="24" customHeight="1">
      <ns0:c r="D961" s="17" t="n"/>
      <ns0:c r="E961" s="17" t="n"/>
      <ns0:c r="F961" s="17" t="n"/>
      <ns0:c r="G961" s="17" t="n"/>
      <ns0:c r="H961" s="17" t="n"/>
      <ns0:c r="I961" s="17" t="n"/>
      <ns0:c r="J961" s="17" t="n"/>
      <ns0:c r="K961" s="17" t="n"/>
      <ns0:c r="L961" s="17" t="n"/>
      <ns0:c r="M961" s="17" t="n"/>
      <ns0:c r="N961" s="17" t="n"/>
      <ns0:c r="O961" s="17" t="n"/>
      <ns0:c r="P961" s="17" t="n"/>
      <ns0:c r="Q961" s="17" t="n"/>
      <ns0:c r="R961" s="17" t="n"/>
      <ns0:c r="S961" s="17" t="n"/>
      <ns0:c r="T961" s="17" t="n"/>
      <ns0:c r="U961" s="17" t="n"/>
      <ns0:c r="V961" s="17" t="n"/>
      <ns0:c r="W961" s="17" t="n"/>
      <ns0:c r="X961" s="17" t="n"/>
      <ns0:c r="Y961" s="17" t="n"/>
      <ns0:c r="Z961" s="17" t="n"/>
      <ns0:c r="AA961" s="17" t="n"/>
      <ns0:c r="AB961" s="17" t="n"/>
      <ns0:c r="AC961" s="17" t="n"/>
      <ns0:c r="AD961" s="17" t="n"/>
      <ns0:c r="AE961" s="17" t="n"/>
      <ns0:c r="AF961" s="17" t="n"/>
      <ns0:c r="AG961" s="17" t="n"/>
    </ns0:row>
    <ns0:row r="962" ht="24" customHeight="1">
      <ns0:c r="D962" s="17" t="n"/>
      <ns0:c r="E962" s="17" t="n"/>
      <ns0:c r="F962" s="17" t="n"/>
      <ns0:c r="G962" s="17" t="n"/>
      <ns0:c r="H962" s="17" t="n"/>
      <ns0:c r="I962" s="17" t="n"/>
      <ns0:c r="J962" s="17" t="n"/>
      <ns0:c r="K962" s="17" t="n"/>
      <ns0:c r="L962" s="17" t="n"/>
      <ns0:c r="M962" s="17" t="n"/>
      <ns0:c r="N962" s="17" t="n"/>
      <ns0:c r="O962" s="17" t="n"/>
      <ns0:c r="P962" s="17" t="n"/>
      <ns0:c r="Q962" s="17" t="n"/>
      <ns0:c r="R962" s="17" t="n"/>
      <ns0:c r="S962" s="17" t="n"/>
      <ns0:c r="T962" s="17" t="n"/>
      <ns0:c r="U962" s="17" t="n"/>
      <ns0:c r="V962" s="17" t="n"/>
      <ns0:c r="W962" s="17" t="n"/>
      <ns0:c r="X962" s="17" t="n"/>
      <ns0:c r="Y962" s="17" t="n"/>
      <ns0:c r="Z962" s="17" t="n"/>
      <ns0:c r="AA962" s="17" t="n"/>
      <ns0:c r="AB962" s="17" t="n"/>
      <ns0:c r="AC962" s="17" t="n"/>
      <ns0:c r="AD962" s="17" t="n"/>
      <ns0:c r="AE962" s="17" t="n"/>
      <ns0:c r="AF962" s="17" t="n"/>
      <ns0:c r="AG962" s="17" t="n"/>
    </ns0:row>
    <ns0:row r="963" ht="24" customHeight="1">
      <ns0:c r="D963" s="17" t="n"/>
      <ns0:c r="E963" s="17" t="n"/>
      <ns0:c r="F963" s="17" t="n"/>
      <ns0:c r="G963" s="17" t="n"/>
      <ns0:c r="H963" s="17" t="n"/>
      <ns0:c r="I963" s="17" t="n"/>
      <ns0:c r="J963" s="17" t="n"/>
      <ns0:c r="K963" s="17" t="n"/>
      <ns0:c r="L963" s="17" t="n"/>
      <ns0:c r="M963" s="17" t="n"/>
      <ns0:c r="N963" s="17" t="n"/>
      <ns0:c r="O963" s="17" t="n"/>
      <ns0:c r="P963" s="17" t="n"/>
      <ns0:c r="Q963" s="17" t="n"/>
      <ns0:c r="R963" s="17" t="n"/>
      <ns0:c r="S963" s="17" t="n"/>
      <ns0:c r="T963" s="17" t="n"/>
      <ns0:c r="U963" s="17" t="n"/>
      <ns0:c r="V963" s="17" t="n"/>
      <ns0:c r="W963" s="17" t="n"/>
      <ns0:c r="X963" s="17" t="n"/>
      <ns0:c r="Y963" s="17" t="n"/>
      <ns0:c r="Z963" s="17" t="n"/>
      <ns0:c r="AA963" s="17" t="n"/>
      <ns0:c r="AB963" s="17" t="n"/>
      <ns0:c r="AC963" s="17" t="n"/>
      <ns0:c r="AD963" s="17" t="n"/>
      <ns0:c r="AE963" s="17" t="n"/>
      <ns0:c r="AF963" s="17" t="n"/>
      <ns0:c r="AG963" s="17" t="n"/>
    </ns0:row>
    <ns0:row r="964" ht="24" customHeight="1">
      <ns0:c r="D964" s="17" t="n"/>
      <ns0:c r="E964" s="17" t="n"/>
      <ns0:c r="F964" s="17" t="n"/>
      <ns0:c r="G964" s="17" t="n"/>
      <ns0:c r="H964" s="17" t="n"/>
      <ns0:c r="I964" s="17" t="n"/>
      <ns0:c r="J964" s="17" t="n"/>
      <ns0:c r="K964" s="17" t="n"/>
      <ns0:c r="L964" s="17" t="n"/>
      <ns0:c r="M964" s="17" t="n"/>
      <ns0:c r="N964" s="17" t="n"/>
      <ns0:c r="O964" s="17" t="n"/>
      <ns0:c r="P964" s="17" t="n"/>
      <ns0:c r="Q964" s="17" t="n"/>
      <ns0:c r="R964" s="17" t="n"/>
      <ns0:c r="S964" s="17" t="n"/>
      <ns0:c r="T964" s="17" t="n"/>
      <ns0:c r="U964" s="17" t="n"/>
      <ns0:c r="V964" s="17" t="n"/>
      <ns0:c r="W964" s="17" t="n"/>
      <ns0:c r="X964" s="17" t="n"/>
      <ns0:c r="Y964" s="17" t="n"/>
      <ns0:c r="Z964" s="17" t="n"/>
      <ns0:c r="AA964" s="17" t="n"/>
      <ns0:c r="AB964" s="17" t="n"/>
      <ns0:c r="AC964" s="17" t="n"/>
      <ns0:c r="AD964" s="17" t="n"/>
      <ns0:c r="AE964" s="17" t="n"/>
      <ns0:c r="AF964" s="17" t="n"/>
      <ns0:c r="AG964" s="17" t="n"/>
    </ns0:row>
    <ns0:row r="965" ht="24" customHeight="1">
      <ns0:c r="D965" s="17" t="n"/>
      <ns0:c r="E965" s="17" t="n"/>
      <ns0:c r="F965" s="17" t="n"/>
      <ns0:c r="G965" s="17" t="n"/>
      <ns0:c r="H965" s="17" t="n"/>
      <ns0:c r="I965" s="17" t="n"/>
      <ns0:c r="J965" s="17" t="n"/>
      <ns0:c r="K965" s="17" t="n"/>
      <ns0:c r="L965" s="17" t="n"/>
      <ns0:c r="M965" s="17" t="n"/>
      <ns0:c r="N965" s="17" t="n"/>
      <ns0:c r="O965" s="17" t="n"/>
      <ns0:c r="P965" s="17" t="n"/>
      <ns0:c r="Q965" s="17" t="n"/>
      <ns0:c r="R965" s="17" t="n"/>
      <ns0:c r="S965" s="17" t="n"/>
      <ns0:c r="T965" s="17" t="n"/>
      <ns0:c r="U965" s="17" t="n"/>
      <ns0:c r="V965" s="17" t="n"/>
      <ns0:c r="W965" s="17" t="n"/>
      <ns0:c r="X965" s="17" t="n"/>
      <ns0:c r="Y965" s="17" t="n"/>
      <ns0:c r="Z965" s="17" t="n"/>
      <ns0:c r="AA965" s="17" t="n"/>
      <ns0:c r="AB965" s="17" t="n"/>
      <ns0:c r="AC965" s="17" t="n"/>
      <ns0:c r="AD965" s="17" t="n"/>
      <ns0:c r="AE965" s="17" t="n"/>
      <ns0:c r="AF965" s="17" t="n"/>
      <ns0:c r="AG965" s="17" t="n"/>
    </ns0:row>
    <ns0:row r="966" ht="24" customHeight="1">
      <ns0:c r="D966" s="17" t="n"/>
      <ns0:c r="E966" s="17" t="n"/>
      <ns0:c r="F966" s="17" t="n"/>
      <ns0:c r="G966" s="17" t="n"/>
      <ns0:c r="H966" s="17" t="n"/>
      <ns0:c r="I966" s="17" t="n"/>
      <ns0:c r="J966" s="17" t="n"/>
      <ns0:c r="K966" s="17" t="n"/>
      <ns0:c r="L966" s="17" t="n"/>
      <ns0:c r="M966" s="17" t="n"/>
      <ns0:c r="N966" s="17" t="n"/>
      <ns0:c r="O966" s="17" t="n"/>
      <ns0:c r="P966" s="17" t="n"/>
      <ns0:c r="Q966" s="17" t="n"/>
      <ns0:c r="R966" s="17" t="n"/>
      <ns0:c r="S966" s="17" t="n"/>
      <ns0:c r="T966" s="17" t="n"/>
      <ns0:c r="U966" s="17" t="n"/>
      <ns0:c r="V966" s="17" t="n"/>
      <ns0:c r="W966" s="17" t="n"/>
      <ns0:c r="X966" s="17" t="n"/>
      <ns0:c r="Y966" s="17" t="n"/>
      <ns0:c r="Z966" s="17" t="n"/>
      <ns0:c r="AA966" s="17" t="n"/>
      <ns0:c r="AB966" s="17" t="n"/>
      <ns0:c r="AC966" s="17" t="n"/>
      <ns0:c r="AD966" s="17" t="n"/>
      <ns0:c r="AE966" s="17" t="n"/>
      <ns0:c r="AF966" s="17" t="n"/>
      <ns0:c r="AG966" s="17" t="n"/>
    </ns0:row>
    <ns0:row r="967" ht="24" customHeight="1">
      <ns0:c r="D967" s="17" t="n"/>
      <ns0:c r="E967" s="17" t="n"/>
      <ns0:c r="F967" s="17" t="n"/>
      <ns0:c r="G967" s="17" t="n"/>
      <ns0:c r="H967" s="17" t="n"/>
      <ns0:c r="I967" s="17" t="n"/>
      <ns0:c r="J967" s="17" t="n"/>
      <ns0:c r="K967" s="17" t="n"/>
      <ns0:c r="L967" s="17" t="n"/>
      <ns0:c r="M967" s="17" t="n"/>
      <ns0:c r="N967" s="17" t="n"/>
      <ns0:c r="O967" s="17" t="n"/>
      <ns0:c r="P967" s="17" t="n"/>
      <ns0:c r="Q967" s="17" t="n"/>
      <ns0:c r="R967" s="17" t="n"/>
      <ns0:c r="S967" s="17" t="n"/>
      <ns0:c r="T967" s="17" t="n"/>
      <ns0:c r="U967" s="17" t="n"/>
      <ns0:c r="V967" s="17" t="n"/>
      <ns0:c r="W967" s="17" t="n"/>
      <ns0:c r="X967" s="17" t="n"/>
      <ns0:c r="Y967" s="17" t="n"/>
      <ns0:c r="Z967" s="17" t="n"/>
      <ns0:c r="AA967" s="17" t="n"/>
      <ns0:c r="AB967" s="17" t="n"/>
      <ns0:c r="AC967" s="17" t="n"/>
      <ns0:c r="AD967" s="17" t="n"/>
      <ns0:c r="AE967" s="17" t="n"/>
      <ns0:c r="AF967" s="17" t="n"/>
      <ns0:c r="AG967" s="17" t="n"/>
    </ns0:row>
    <ns0:row r="968" ht="24" customHeight="1">
      <ns0:c r="D968" s="17" t="n"/>
      <ns0:c r="E968" s="17" t="n"/>
      <ns0:c r="F968" s="17" t="n"/>
      <ns0:c r="G968" s="17" t="n"/>
      <ns0:c r="H968" s="17" t="n"/>
      <ns0:c r="I968" s="17" t="n"/>
      <ns0:c r="J968" s="17" t="n"/>
      <ns0:c r="K968" s="17" t="n"/>
      <ns0:c r="L968" s="17" t="n"/>
      <ns0:c r="M968" s="17" t="n"/>
      <ns0:c r="N968" s="17" t="n"/>
      <ns0:c r="O968" s="17" t="n"/>
      <ns0:c r="P968" s="17" t="n"/>
      <ns0:c r="Q968" s="17" t="n"/>
      <ns0:c r="R968" s="17" t="n"/>
      <ns0:c r="S968" s="17" t="n"/>
      <ns0:c r="T968" s="17" t="n"/>
      <ns0:c r="U968" s="17" t="n"/>
      <ns0:c r="V968" s="17" t="n"/>
      <ns0:c r="W968" s="17" t="n"/>
      <ns0:c r="X968" s="17" t="n"/>
      <ns0:c r="Y968" s="17" t="n"/>
      <ns0:c r="Z968" s="17" t="n"/>
      <ns0:c r="AA968" s="17" t="n"/>
      <ns0:c r="AB968" s="17" t="n"/>
      <ns0:c r="AC968" s="17" t="n"/>
      <ns0:c r="AD968" s="17" t="n"/>
      <ns0:c r="AE968" s="17" t="n"/>
      <ns0:c r="AF968" s="17" t="n"/>
      <ns0:c r="AG968" s="17" t="n"/>
    </ns0:row>
    <ns0:row r="969" ht="24" customHeight="1">
      <ns0:c r="D969" s="17" t="n"/>
      <ns0:c r="E969" s="17" t="n"/>
      <ns0:c r="F969" s="17" t="n"/>
      <ns0:c r="G969" s="17" t="n"/>
      <ns0:c r="H969" s="17" t="n"/>
      <ns0:c r="I969" s="17" t="n"/>
      <ns0:c r="J969" s="17" t="n"/>
      <ns0:c r="K969" s="17" t="n"/>
      <ns0:c r="L969" s="17" t="n"/>
      <ns0:c r="M969" s="17" t="n"/>
      <ns0:c r="N969" s="17" t="n"/>
      <ns0:c r="O969" s="17" t="n"/>
      <ns0:c r="P969" s="17" t="n"/>
      <ns0:c r="Q969" s="17" t="n"/>
      <ns0:c r="R969" s="17" t="n"/>
      <ns0:c r="S969" s="17" t="n"/>
      <ns0:c r="T969" s="17" t="n"/>
      <ns0:c r="U969" s="17" t="n"/>
      <ns0:c r="V969" s="17" t="n"/>
      <ns0:c r="W969" s="17" t="n"/>
      <ns0:c r="X969" s="17" t="n"/>
      <ns0:c r="Y969" s="17" t="n"/>
      <ns0:c r="Z969" s="17" t="n"/>
      <ns0:c r="AA969" s="17" t="n"/>
      <ns0:c r="AB969" s="17" t="n"/>
      <ns0:c r="AC969" s="17" t="n"/>
      <ns0:c r="AD969" s="17" t="n"/>
      <ns0:c r="AE969" s="17" t="n"/>
      <ns0:c r="AF969" s="17" t="n"/>
      <ns0:c r="AG969" s="17" t="n"/>
    </ns0:row>
    <ns0:row r="970" ht="24" customHeight="1">
      <ns0:c r="D970" s="17" t="n"/>
      <ns0:c r="E970" s="17" t="n"/>
      <ns0:c r="F970" s="17" t="n"/>
      <ns0:c r="G970" s="17" t="n"/>
      <ns0:c r="H970" s="17" t="n"/>
      <ns0:c r="I970" s="17" t="n"/>
      <ns0:c r="J970" s="17" t="n"/>
      <ns0:c r="K970" s="17" t="n"/>
      <ns0:c r="L970" s="17" t="n"/>
      <ns0:c r="M970" s="17" t="n"/>
      <ns0:c r="N970" s="17" t="n"/>
      <ns0:c r="O970" s="17" t="n"/>
      <ns0:c r="P970" s="17" t="n"/>
      <ns0:c r="Q970" s="17" t="n"/>
      <ns0:c r="R970" s="17" t="n"/>
      <ns0:c r="S970" s="17" t="n"/>
      <ns0:c r="T970" s="17" t="n"/>
      <ns0:c r="U970" s="17" t="n"/>
      <ns0:c r="V970" s="17" t="n"/>
      <ns0:c r="W970" s="17" t="n"/>
      <ns0:c r="X970" s="17" t="n"/>
      <ns0:c r="Y970" s="17" t="n"/>
      <ns0:c r="Z970" s="17" t="n"/>
      <ns0:c r="AA970" s="17" t="n"/>
      <ns0:c r="AB970" s="17" t="n"/>
      <ns0:c r="AC970" s="17" t="n"/>
      <ns0:c r="AD970" s="17" t="n"/>
      <ns0:c r="AE970" s="17" t="n"/>
      <ns0:c r="AF970" s="17" t="n"/>
      <ns0:c r="AG970" s="17" t="n"/>
    </ns0:row>
    <ns0:row r="971" ht="24" customHeight="1">
      <ns0:c r="D971" s="17" t="n"/>
      <ns0:c r="E971" s="17" t="n"/>
      <ns0:c r="F971" s="17" t="n"/>
      <ns0:c r="G971" s="17" t="n"/>
      <ns0:c r="H971" s="17" t="n"/>
      <ns0:c r="I971" s="17" t="n"/>
      <ns0:c r="J971" s="17" t="n"/>
      <ns0:c r="K971" s="17" t="n"/>
      <ns0:c r="L971" s="17" t="n"/>
      <ns0:c r="M971" s="17" t="n"/>
      <ns0:c r="N971" s="17" t="n"/>
      <ns0:c r="O971" s="17" t="n"/>
      <ns0:c r="P971" s="17" t="n"/>
      <ns0:c r="Q971" s="17" t="n"/>
      <ns0:c r="R971" s="17" t="n"/>
      <ns0:c r="S971" s="17" t="n"/>
      <ns0:c r="T971" s="17" t="n"/>
      <ns0:c r="U971" s="17" t="n"/>
      <ns0:c r="V971" s="17" t="n"/>
      <ns0:c r="W971" s="17" t="n"/>
      <ns0:c r="X971" s="17" t="n"/>
      <ns0:c r="Y971" s="17" t="n"/>
      <ns0:c r="Z971" s="17" t="n"/>
      <ns0:c r="AA971" s="17" t="n"/>
      <ns0:c r="AB971" s="17" t="n"/>
      <ns0:c r="AC971" s="17" t="n"/>
      <ns0:c r="AD971" s="17" t="n"/>
      <ns0:c r="AE971" s="17" t="n"/>
      <ns0:c r="AF971" s="17" t="n"/>
      <ns0:c r="AG971" s="17" t="n"/>
    </ns0:row>
    <ns0:row r="972" ht="24" customHeight="1">
      <ns0:c r="D972" s="17" t="n"/>
      <ns0:c r="E972" s="17" t="n"/>
      <ns0:c r="F972" s="17" t="n"/>
      <ns0:c r="G972" s="17" t="n"/>
      <ns0:c r="H972" s="17" t="n"/>
      <ns0:c r="I972" s="17" t="n"/>
      <ns0:c r="J972" s="17" t="n"/>
      <ns0:c r="K972" s="17" t="n"/>
      <ns0:c r="L972" s="17" t="n"/>
      <ns0:c r="M972" s="17" t="n"/>
      <ns0:c r="N972" s="17" t="n"/>
      <ns0:c r="O972" s="17" t="n"/>
      <ns0:c r="P972" s="17" t="n"/>
      <ns0:c r="Q972" s="17" t="n"/>
      <ns0:c r="R972" s="17" t="n"/>
      <ns0:c r="S972" s="17" t="n"/>
      <ns0:c r="T972" s="17" t="n"/>
      <ns0:c r="U972" s="17" t="n"/>
      <ns0:c r="V972" s="17" t="n"/>
      <ns0:c r="W972" s="17" t="n"/>
      <ns0:c r="X972" s="17" t="n"/>
      <ns0:c r="Y972" s="17" t="n"/>
      <ns0:c r="Z972" s="17" t="n"/>
      <ns0:c r="AA972" s="17" t="n"/>
      <ns0:c r="AB972" s="17" t="n"/>
      <ns0:c r="AC972" s="17" t="n"/>
      <ns0:c r="AD972" s="17" t="n"/>
      <ns0:c r="AE972" s="17" t="n"/>
      <ns0:c r="AF972" s="17" t="n"/>
      <ns0:c r="AG972" s="17" t="n"/>
    </ns0:row>
    <ns0:row r="973" ht="24" customHeight="1">
      <ns0:c r="D973" s="17" t="n"/>
      <ns0:c r="E973" s="17" t="n"/>
      <ns0:c r="F973" s="17" t="n"/>
      <ns0:c r="G973" s="17" t="n"/>
      <ns0:c r="H973" s="17" t="n"/>
      <ns0:c r="I973" s="17" t="n"/>
      <ns0:c r="J973" s="17" t="n"/>
      <ns0:c r="K973" s="17" t="n"/>
      <ns0:c r="L973" s="17" t="n"/>
      <ns0:c r="M973" s="17" t="n"/>
      <ns0:c r="N973" s="17" t="n"/>
      <ns0:c r="O973" s="17" t="n"/>
      <ns0:c r="P973" s="17" t="n"/>
      <ns0:c r="Q973" s="17" t="n"/>
      <ns0:c r="R973" s="17" t="n"/>
      <ns0:c r="S973" s="17" t="n"/>
      <ns0:c r="T973" s="17" t="n"/>
      <ns0:c r="U973" s="17" t="n"/>
      <ns0:c r="V973" s="17" t="n"/>
      <ns0:c r="W973" s="17" t="n"/>
      <ns0:c r="X973" s="17" t="n"/>
      <ns0:c r="Y973" s="17" t="n"/>
      <ns0:c r="Z973" s="17" t="n"/>
      <ns0:c r="AA973" s="17" t="n"/>
      <ns0:c r="AB973" s="17" t="n"/>
      <ns0:c r="AC973" s="17" t="n"/>
      <ns0:c r="AD973" s="17" t="n"/>
      <ns0:c r="AE973" s="17" t="n"/>
      <ns0:c r="AF973" s="17" t="n"/>
      <ns0:c r="AG973" s="17" t="n"/>
    </ns0:row>
    <ns0:row r="974" ht="24" customHeight="1">
      <ns0:c r="D974" s="17" t="n"/>
      <ns0:c r="E974" s="17" t="n"/>
      <ns0:c r="F974" s="17" t="n"/>
      <ns0:c r="G974" s="17" t="n"/>
      <ns0:c r="H974" s="17" t="n"/>
      <ns0:c r="I974" s="17" t="n"/>
      <ns0:c r="J974" s="17" t="n"/>
      <ns0:c r="K974" s="17" t="n"/>
      <ns0:c r="L974" s="17" t="n"/>
      <ns0:c r="M974" s="17" t="n"/>
      <ns0:c r="N974" s="17" t="n"/>
      <ns0:c r="O974" s="17" t="n"/>
      <ns0:c r="P974" s="17" t="n"/>
      <ns0:c r="Q974" s="17" t="n"/>
      <ns0:c r="R974" s="17" t="n"/>
      <ns0:c r="S974" s="17" t="n"/>
      <ns0:c r="T974" s="17" t="n"/>
      <ns0:c r="U974" s="17" t="n"/>
      <ns0:c r="V974" s="17" t="n"/>
      <ns0:c r="W974" s="17" t="n"/>
      <ns0:c r="X974" s="17" t="n"/>
      <ns0:c r="Y974" s="17" t="n"/>
      <ns0:c r="Z974" s="17" t="n"/>
      <ns0:c r="AA974" s="17" t="n"/>
      <ns0:c r="AB974" s="17" t="n"/>
      <ns0:c r="AC974" s="17" t="n"/>
      <ns0:c r="AD974" s="17" t="n"/>
      <ns0:c r="AE974" s="17" t="n"/>
      <ns0:c r="AF974" s="17" t="n"/>
      <ns0:c r="AG974" s="17" t="n"/>
    </ns0:row>
    <ns0:row r="975" ht="24" customHeight="1">
      <ns0:c r="D975" s="17" t="n"/>
      <ns0:c r="E975" s="17" t="n"/>
      <ns0:c r="F975" s="17" t="n"/>
      <ns0:c r="G975" s="17" t="n"/>
      <ns0:c r="H975" s="17" t="n"/>
      <ns0:c r="I975" s="17" t="n"/>
      <ns0:c r="J975" s="17" t="n"/>
      <ns0:c r="K975" s="17" t="n"/>
      <ns0:c r="L975" s="17" t="n"/>
      <ns0:c r="M975" s="17" t="n"/>
      <ns0:c r="N975" s="17" t="n"/>
      <ns0:c r="O975" s="17" t="n"/>
      <ns0:c r="P975" s="17" t="n"/>
      <ns0:c r="Q975" s="17" t="n"/>
      <ns0:c r="R975" s="17" t="n"/>
      <ns0:c r="S975" s="17" t="n"/>
      <ns0:c r="T975" s="17" t="n"/>
      <ns0:c r="U975" s="17" t="n"/>
      <ns0:c r="V975" s="17" t="n"/>
      <ns0:c r="W975" s="17" t="n"/>
      <ns0:c r="X975" s="17" t="n"/>
      <ns0:c r="Y975" s="17" t="n"/>
      <ns0:c r="Z975" s="17" t="n"/>
      <ns0:c r="AA975" s="17" t="n"/>
      <ns0:c r="AB975" s="17" t="n"/>
      <ns0:c r="AC975" s="17" t="n"/>
      <ns0:c r="AD975" s="17" t="n"/>
      <ns0:c r="AE975" s="17" t="n"/>
      <ns0:c r="AF975" s="17" t="n"/>
      <ns0:c r="AG975" s="17" t="n"/>
    </ns0:row>
    <ns0:row r="976" ht="24" customHeight="1">
      <ns0:c r="D976" s="17" t="n"/>
      <ns0:c r="E976" s="17" t="n"/>
      <ns0:c r="F976" s="17" t="n"/>
      <ns0:c r="G976" s="17" t="n"/>
      <ns0:c r="H976" s="17" t="n"/>
      <ns0:c r="I976" s="17" t="n"/>
      <ns0:c r="J976" s="17" t="n"/>
      <ns0:c r="K976" s="17" t="n"/>
      <ns0:c r="L976" s="17" t="n"/>
      <ns0:c r="M976" s="17" t="n"/>
      <ns0:c r="N976" s="17" t="n"/>
      <ns0:c r="O976" s="17" t="n"/>
      <ns0:c r="P976" s="17" t="n"/>
      <ns0:c r="Q976" s="17" t="n"/>
      <ns0:c r="R976" s="17" t="n"/>
      <ns0:c r="S976" s="17" t="n"/>
      <ns0:c r="T976" s="17" t="n"/>
      <ns0:c r="U976" s="17" t="n"/>
      <ns0:c r="V976" s="17" t="n"/>
      <ns0:c r="W976" s="17" t="n"/>
      <ns0:c r="X976" s="17" t="n"/>
      <ns0:c r="Y976" s="17" t="n"/>
      <ns0:c r="Z976" s="17" t="n"/>
      <ns0:c r="AA976" s="17" t="n"/>
      <ns0:c r="AB976" s="17" t="n"/>
      <ns0:c r="AC976" s="17" t="n"/>
      <ns0:c r="AD976" s="17" t="n"/>
      <ns0:c r="AE976" s="17" t="n"/>
      <ns0:c r="AF976" s="17" t="n"/>
      <ns0:c r="AG976" s="17" t="n"/>
    </ns0:row>
    <ns0:row r="977" ht="24" customHeight="1">
      <ns0:c r="D977" s="17" t="n"/>
      <ns0:c r="E977" s="17" t="n"/>
      <ns0:c r="F977" s="17" t="n"/>
      <ns0:c r="G977" s="17" t="n"/>
      <ns0:c r="H977" s="17" t="n"/>
      <ns0:c r="I977" s="17" t="n"/>
      <ns0:c r="J977" s="17" t="n"/>
      <ns0:c r="K977" s="17" t="n"/>
      <ns0:c r="L977" s="17" t="n"/>
      <ns0:c r="M977" s="17" t="n"/>
      <ns0:c r="N977" s="17" t="n"/>
      <ns0:c r="O977" s="17" t="n"/>
      <ns0:c r="P977" s="17" t="n"/>
      <ns0:c r="Q977" s="17" t="n"/>
      <ns0:c r="R977" s="17" t="n"/>
      <ns0:c r="S977" s="17" t="n"/>
      <ns0:c r="T977" s="17" t="n"/>
      <ns0:c r="U977" s="17" t="n"/>
      <ns0:c r="V977" s="17" t="n"/>
      <ns0:c r="W977" s="17" t="n"/>
      <ns0:c r="X977" s="17" t="n"/>
      <ns0:c r="Y977" s="17" t="n"/>
      <ns0:c r="Z977" s="17" t="n"/>
      <ns0:c r="AA977" s="17" t="n"/>
      <ns0:c r="AB977" s="17" t="n"/>
      <ns0:c r="AC977" s="17" t="n"/>
      <ns0:c r="AD977" s="17" t="n"/>
      <ns0:c r="AE977" s="17" t="n"/>
      <ns0:c r="AF977" s="17" t="n"/>
      <ns0:c r="AG977" s="17" t="n"/>
    </ns0:row>
    <ns0:row r="978" ht="24" customHeight="1">
      <ns0:c r="D978" s="17" t="n"/>
      <ns0:c r="E978" s="17" t="n"/>
      <ns0:c r="F978" s="17" t="n"/>
      <ns0:c r="G978" s="17" t="n"/>
      <ns0:c r="H978" s="17" t="n"/>
      <ns0:c r="I978" s="17" t="n"/>
      <ns0:c r="J978" s="17" t="n"/>
      <ns0:c r="K978" s="17" t="n"/>
      <ns0:c r="L978" s="17" t="n"/>
      <ns0:c r="M978" s="17" t="n"/>
      <ns0:c r="N978" s="17" t="n"/>
      <ns0:c r="O978" s="17" t="n"/>
      <ns0:c r="P978" s="17" t="n"/>
      <ns0:c r="Q978" s="17" t="n"/>
      <ns0:c r="R978" s="17" t="n"/>
      <ns0:c r="S978" s="17" t="n"/>
      <ns0:c r="T978" s="17" t="n"/>
      <ns0:c r="U978" s="17" t="n"/>
      <ns0:c r="V978" s="17" t="n"/>
      <ns0:c r="W978" s="17" t="n"/>
      <ns0:c r="X978" s="17" t="n"/>
      <ns0:c r="Y978" s="17" t="n"/>
      <ns0:c r="Z978" s="17" t="n"/>
      <ns0:c r="AA978" s="17" t="n"/>
      <ns0:c r="AB978" s="17" t="n"/>
      <ns0:c r="AC978" s="17" t="n"/>
      <ns0:c r="AD978" s="17" t="n"/>
      <ns0:c r="AE978" s="17" t="n"/>
      <ns0:c r="AF978" s="17" t="n"/>
      <ns0:c r="AG978" s="17" t="n"/>
    </ns0:row>
    <ns0:row r="979" ht="24" customHeight="1">
      <ns0:c r="D979" s="17" t="n"/>
      <ns0:c r="E979" s="17" t="n"/>
      <ns0:c r="F979" s="17" t="n"/>
      <ns0:c r="G979" s="17" t="n"/>
      <ns0:c r="H979" s="17" t="n"/>
      <ns0:c r="I979" s="17" t="n"/>
      <ns0:c r="J979" s="17" t="n"/>
      <ns0:c r="K979" s="17" t="n"/>
      <ns0:c r="L979" s="17" t="n"/>
      <ns0:c r="M979" s="17" t="n"/>
      <ns0:c r="N979" s="17" t="n"/>
      <ns0:c r="O979" s="17" t="n"/>
      <ns0:c r="P979" s="17" t="n"/>
      <ns0:c r="Q979" s="17" t="n"/>
      <ns0:c r="R979" s="17" t="n"/>
      <ns0:c r="S979" s="17" t="n"/>
      <ns0:c r="T979" s="17" t="n"/>
      <ns0:c r="U979" s="17" t="n"/>
      <ns0:c r="V979" s="17" t="n"/>
      <ns0:c r="W979" s="17" t="n"/>
      <ns0:c r="X979" s="17" t="n"/>
      <ns0:c r="Y979" s="17" t="n"/>
      <ns0:c r="Z979" s="17" t="n"/>
      <ns0:c r="AA979" s="17" t="n"/>
      <ns0:c r="AB979" s="17" t="n"/>
      <ns0:c r="AC979" s="17" t="n"/>
      <ns0:c r="AD979" s="17" t="n"/>
      <ns0:c r="AE979" s="17" t="n"/>
      <ns0:c r="AF979" s="17" t="n"/>
      <ns0:c r="AG979" s="17" t="n"/>
    </ns0:row>
    <ns0:row r="980" ht="24" customHeight="1">
      <ns0:c r="D980" s="17" t="n"/>
      <ns0:c r="E980" s="17" t="n"/>
      <ns0:c r="F980" s="17" t="n"/>
      <ns0:c r="G980" s="17" t="n"/>
      <ns0:c r="H980" s="17" t="n"/>
      <ns0:c r="I980" s="17" t="n"/>
      <ns0:c r="J980" s="17" t="n"/>
      <ns0:c r="K980" s="17" t="n"/>
      <ns0:c r="L980" s="17" t="n"/>
      <ns0:c r="M980" s="17" t="n"/>
      <ns0:c r="N980" s="17" t="n"/>
      <ns0:c r="O980" s="17" t="n"/>
      <ns0:c r="P980" s="17" t="n"/>
      <ns0:c r="Q980" s="17" t="n"/>
      <ns0:c r="R980" s="17" t="n"/>
      <ns0:c r="S980" s="17" t="n"/>
      <ns0:c r="T980" s="17" t="n"/>
      <ns0:c r="U980" s="17" t="n"/>
      <ns0:c r="V980" s="17" t="n"/>
      <ns0:c r="W980" s="17" t="n"/>
      <ns0:c r="X980" s="17" t="n"/>
      <ns0:c r="Y980" s="17" t="n"/>
      <ns0:c r="Z980" s="17" t="n"/>
      <ns0:c r="AA980" s="17" t="n"/>
      <ns0:c r="AB980" s="17" t="n"/>
      <ns0:c r="AC980" s="17" t="n"/>
      <ns0:c r="AD980" s="17" t="n"/>
      <ns0:c r="AE980" s="17" t="n"/>
      <ns0:c r="AF980" s="17" t="n"/>
      <ns0:c r="AG980" s="17" t="n"/>
    </ns0:row>
    <ns0:row r="981" ht="24" customHeight="1">
      <ns0:c r="D981" s="17" t="n"/>
      <ns0:c r="E981" s="17" t="n"/>
      <ns0:c r="F981" s="17" t="n"/>
      <ns0:c r="G981" s="17" t="n"/>
      <ns0:c r="H981" s="17" t="n"/>
      <ns0:c r="I981" s="17" t="n"/>
      <ns0:c r="J981" s="17" t="n"/>
      <ns0:c r="K981" s="17" t="n"/>
      <ns0:c r="L981" s="17" t="n"/>
      <ns0:c r="M981" s="17" t="n"/>
      <ns0:c r="N981" s="17" t="n"/>
      <ns0:c r="O981" s="17" t="n"/>
      <ns0:c r="P981" s="17" t="n"/>
      <ns0:c r="Q981" s="17" t="n"/>
      <ns0:c r="R981" s="17" t="n"/>
      <ns0:c r="S981" s="17" t="n"/>
      <ns0:c r="T981" s="17" t="n"/>
      <ns0:c r="U981" s="17" t="n"/>
      <ns0:c r="V981" s="17" t="n"/>
      <ns0:c r="W981" s="17" t="n"/>
      <ns0:c r="X981" s="17" t="n"/>
      <ns0:c r="Y981" s="17" t="n"/>
      <ns0:c r="Z981" s="17" t="n"/>
      <ns0:c r="AA981" s="17" t="n"/>
      <ns0:c r="AB981" s="17" t="n"/>
      <ns0:c r="AC981" s="17" t="n"/>
      <ns0:c r="AD981" s="17" t="n"/>
      <ns0:c r="AE981" s="17" t="n"/>
      <ns0:c r="AF981" s="17" t="n"/>
      <ns0:c r="AG981" s="17" t="n"/>
    </ns0:row>
    <ns0:row r="982" ht="24" customHeight="1">
      <ns0:c r="D982" s="17" t="n"/>
      <ns0:c r="E982" s="17" t="n"/>
      <ns0:c r="F982" s="17" t="n"/>
      <ns0:c r="G982" s="17" t="n"/>
      <ns0:c r="H982" s="17" t="n"/>
      <ns0:c r="I982" s="17" t="n"/>
      <ns0:c r="J982" s="17" t="n"/>
      <ns0:c r="K982" s="17" t="n"/>
      <ns0:c r="L982" s="17" t="n"/>
      <ns0:c r="M982" s="17" t="n"/>
      <ns0:c r="N982" s="17" t="n"/>
      <ns0:c r="O982" s="17" t="n"/>
      <ns0:c r="P982" s="17" t="n"/>
      <ns0:c r="Q982" s="17" t="n"/>
      <ns0:c r="R982" s="17" t="n"/>
      <ns0:c r="S982" s="17" t="n"/>
      <ns0:c r="T982" s="17" t="n"/>
      <ns0:c r="U982" s="17" t="n"/>
      <ns0:c r="V982" s="17" t="n"/>
      <ns0:c r="W982" s="17" t="n"/>
      <ns0:c r="X982" s="17" t="n"/>
      <ns0:c r="Y982" s="17" t="n"/>
      <ns0:c r="Z982" s="17" t="n"/>
      <ns0:c r="AA982" s="17" t="n"/>
      <ns0:c r="AB982" s="17" t="n"/>
      <ns0:c r="AC982" s="17" t="n"/>
      <ns0:c r="AD982" s="17" t="n"/>
      <ns0:c r="AE982" s="17" t="n"/>
      <ns0:c r="AF982" s="17" t="n"/>
      <ns0:c r="AG982" s="17" t="n"/>
    </ns0:row>
    <ns0:row r="983" ht="24" customHeight="1">
      <ns0:c r="D983" s="17" t="n"/>
      <ns0:c r="E983" s="17" t="n"/>
      <ns0:c r="F983" s="17" t="n"/>
      <ns0:c r="G983" s="17" t="n"/>
      <ns0:c r="H983" s="17" t="n"/>
      <ns0:c r="I983" s="17" t="n"/>
      <ns0:c r="J983" s="17" t="n"/>
      <ns0:c r="K983" s="17" t="n"/>
      <ns0:c r="L983" s="17" t="n"/>
      <ns0:c r="M983" s="17" t="n"/>
      <ns0:c r="N983" s="17" t="n"/>
      <ns0:c r="O983" s="17" t="n"/>
      <ns0:c r="P983" s="17" t="n"/>
      <ns0:c r="Q983" s="17" t="n"/>
      <ns0:c r="R983" s="17" t="n"/>
      <ns0:c r="S983" s="17" t="n"/>
      <ns0:c r="T983" s="17" t="n"/>
      <ns0:c r="U983" s="17" t="n"/>
      <ns0:c r="V983" s="17" t="n"/>
      <ns0:c r="W983" s="17" t="n"/>
      <ns0:c r="X983" s="17" t="n"/>
      <ns0:c r="Y983" s="17" t="n"/>
      <ns0:c r="Z983" s="17" t="n"/>
      <ns0:c r="AA983" s="17" t="n"/>
      <ns0:c r="AB983" s="17" t="n"/>
      <ns0:c r="AC983" s="17" t="n"/>
      <ns0:c r="AD983" s="17" t="n"/>
      <ns0:c r="AE983" s="17" t="n"/>
      <ns0:c r="AF983" s="17" t="n"/>
      <ns0:c r="AG983" s="17" t="n"/>
    </ns0:row>
    <ns0:row r="984" ht="24" customHeight="1">
      <ns0:c r="D984" s="17" t="n"/>
      <ns0:c r="E984" s="17" t="n"/>
      <ns0:c r="F984" s="17" t="n"/>
      <ns0:c r="G984" s="17" t="n"/>
      <ns0:c r="H984" s="17" t="n"/>
      <ns0:c r="I984" s="17" t="n"/>
      <ns0:c r="J984" s="17" t="n"/>
      <ns0:c r="K984" s="17" t="n"/>
      <ns0:c r="L984" s="17" t="n"/>
      <ns0:c r="M984" s="17" t="n"/>
      <ns0:c r="N984" s="17" t="n"/>
      <ns0:c r="O984" s="17" t="n"/>
      <ns0:c r="P984" s="17" t="n"/>
      <ns0:c r="Q984" s="17" t="n"/>
      <ns0:c r="R984" s="17" t="n"/>
      <ns0:c r="S984" s="17" t="n"/>
      <ns0:c r="T984" s="17" t="n"/>
      <ns0:c r="U984" s="17" t="n"/>
      <ns0:c r="V984" s="17" t="n"/>
      <ns0:c r="W984" s="17" t="n"/>
      <ns0:c r="X984" s="17" t="n"/>
      <ns0:c r="Y984" s="17" t="n"/>
      <ns0:c r="Z984" s="17" t="n"/>
      <ns0:c r="AA984" s="17" t="n"/>
      <ns0:c r="AB984" s="17" t="n"/>
      <ns0:c r="AC984" s="17" t="n"/>
      <ns0:c r="AD984" s="17" t="n"/>
      <ns0:c r="AE984" s="17" t="n"/>
      <ns0:c r="AF984" s="17" t="n"/>
      <ns0:c r="AG984" s="17" t="n"/>
    </ns0:row>
    <ns0:row r="985" ht="24" customHeight="1">
      <ns0:c r="D985" s="17" t="n"/>
      <ns0:c r="E985" s="17" t="n"/>
      <ns0:c r="F985" s="17" t="n"/>
      <ns0:c r="G985" s="17" t="n"/>
      <ns0:c r="H985" s="17" t="n"/>
      <ns0:c r="I985" s="17" t="n"/>
      <ns0:c r="J985" s="17" t="n"/>
      <ns0:c r="K985" s="17" t="n"/>
      <ns0:c r="L985" s="17" t="n"/>
      <ns0:c r="M985" s="17" t="n"/>
      <ns0:c r="N985" s="17" t="n"/>
      <ns0:c r="O985" s="17" t="n"/>
      <ns0:c r="P985" s="17" t="n"/>
      <ns0:c r="Q985" s="17" t="n"/>
      <ns0:c r="R985" s="17" t="n"/>
      <ns0:c r="S985" s="17" t="n"/>
      <ns0:c r="T985" s="17" t="n"/>
      <ns0:c r="U985" s="17" t="n"/>
      <ns0:c r="V985" s="17" t="n"/>
      <ns0:c r="W985" s="17" t="n"/>
      <ns0:c r="X985" s="17" t="n"/>
      <ns0:c r="Y985" s="17" t="n"/>
      <ns0:c r="Z985" s="17" t="n"/>
      <ns0:c r="AA985" s="17" t="n"/>
      <ns0:c r="AB985" s="17" t="n"/>
      <ns0:c r="AC985" s="17" t="n"/>
      <ns0:c r="AD985" s="17" t="n"/>
      <ns0:c r="AE985" s="17" t="n"/>
      <ns0:c r="AF985" s="17" t="n"/>
      <ns0:c r="AG985" s="17" t="n"/>
    </ns0:row>
    <ns0:row r="986" ht="24" customHeight="1">
      <ns0:c r="D986" s="17" t="n"/>
      <ns0:c r="E986" s="17" t="n"/>
      <ns0:c r="F986" s="17" t="n"/>
      <ns0:c r="G986" s="17" t="n"/>
      <ns0:c r="H986" s="17" t="n"/>
      <ns0:c r="I986" s="17" t="n"/>
      <ns0:c r="J986" s="17" t="n"/>
      <ns0:c r="K986" s="17" t="n"/>
      <ns0:c r="L986" s="17" t="n"/>
      <ns0:c r="M986" s="17" t="n"/>
      <ns0:c r="N986" s="17" t="n"/>
      <ns0:c r="O986" s="17" t="n"/>
      <ns0:c r="P986" s="17" t="n"/>
      <ns0:c r="Q986" s="17" t="n"/>
      <ns0:c r="R986" s="17" t="n"/>
      <ns0:c r="S986" s="17" t="n"/>
      <ns0:c r="T986" s="17" t="n"/>
      <ns0:c r="U986" s="17" t="n"/>
      <ns0:c r="V986" s="17" t="n"/>
      <ns0:c r="W986" s="17" t="n"/>
      <ns0:c r="X986" s="17" t="n"/>
      <ns0:c r="Y986" s="17" t="n"/>
      <ns0:c r="Z986" s="17" t="n"/>
      <ns0:c r="AA986" s="17" t="n"/>
      <ns0:c r="AB986" s="17" t="n"/>
      <ns0:c r="AC986" s="17" t="n"/>
      <ns0:c r="AD986" s="17" t="n"/>
      <ns0:c r="AE986" s="17" t="n"/>
      <ns0:c r="AF986" s="17" t="n"/>
      <ns0:c r="AG986" s="17" t="n"/>
    </ns0:row>
    <ns0:row r="987" ht="24" customHeight="1">
      <ns0:c r="D987" s="17" t="n"/>
      <ns0:c r="E987" s="17" t="n"/>
      <ns0:c r="F987" s="17" t="n"/>
      <ns0:c r="G987" s="17" t="n"/>
      <ns0:c r="H987" s="17" t="n"/>
      <ns0:c r="I987" s="17" t="n"/>
      <ns0:c r="J987" s="17" t="n"/>
      <ns0:c r="K987" s="17" t="n"/>
      <ns0:c r="L987" s="17" t="n"/>
      <ns0:c r="M987" s="17" t="n"/>
      <ns0:c r="N987" s="17" t="n"/>
      <ns0:c r="O987" s="17" t="n"/>
      <ns0:c r="P987" s="17" t="n"/>
      <ns0:c r="Q987" s="17" t="n"/>
      <ns0:c r="R987" s="17" t="n"/>
      <ns0:c r="S987" s="17" t="n"/>
      <ns0:c r="T987" s="17" t="n"/>
      <ns0:c r="U987" s="17" t="n"/>
      <ns0:c r="V987" s="17" t="n"/>
      <ns0:c r="W987" s="17" t="n"/>
      <ns0:c r="X987" s="17" t="n"/>
      <ns0:c r="Y987" s="17" t="n"/>
      <ns0:c r="Z987" s="17" t="n"/>
      <ns0:c r="AA987" s="17" t="n"/>
      <ns0:c r="AB987" s="17" t="n"/>
      <ns0:c r="AC987" s="17" t="n"/>
      <ns0:c r="AD987" s="17" t="n"/>
      <ns0:c r="AE987" s="17" t="n"/>
      <ns0:c r="AF987" s="17" t="n"/>
      <ns0:c r="AG987" s="17" t="n"/>
    </ns0:row>
    <ns0:row r="988" ht="24" customHeight="1">
      <ns0:c r="D988" s="17" t="n"/>
      <ns0:c r="E988" s="17" t="n"/>
      <ns0:c r="F988" s="17" t="n"/>
      <ns0:c r="G988" s="17" t="n"/>
      <ns0:c r="H988" s="17" t="n"/>
      <ns0:c r="I988" s="17" t="n"/>
      <ns0:c r="J988" s="17" t="n"/>
      <ns0:c r="K988" s="17" t="n"/>
      <ns0:c r="L988" s="17" t="n"/>
      <ns0:c r="M988" s="17" t="n"/>
      <ns0:c r="N988" s="17" t="n"/>
      <ns0:c r="O988" s="17" t="n"/>
      <ns0:c r="P988" s="17" t="n"/>
      <ns0:c r="Q988" s="17" t="n"/>
      <ns0:c r="R988" s="17" t="n"/>
      <ns0:c r="S988" s="17" t="n"/>
      <ns0:c r="T988" s="17" t="n"/>
      <ns0:c r="U988" s="17" t="n"/>
      <ns0:c r="V988" s="17" t="n"/>
      <ns0:c r="W988" s="17" t="n"/>
      <ns0:c r="X988" s="17" t="n"/>
      <ns0:c r="Y988" s="17" t="n"/>
      <ns0:c r="Z988" s="17" t="n"/>
      <ns0:c r="AA988" s="17" t="n"/>
      <ns0:c r="AB988" s="17" t="n"/>
      <ns0:c r="AC988" s="17" t="n"/>
      <ns0:c r="AD988" s="17" t="n"/>
      <ns0:c r="AE988" s="17" t="n"/>
      <ns0:c r="AF988" s="17" t="n"/>
      <ns0:c r="AG988" s="17" t="n"/>
    </ns0:row>
    <ns0:row r="989" ht="24" customHeight="1">
      <ns0:c r="D989" s="17" t="n"/>
      <ns0:c r="E989" s="17" t="n"/>
      <ns0:c r="F989" s="17" t="n"/>
      <ns0:c r="G989" s="17" t="n"/>
      <ns0:c r="H989" s="17" t="n"/>
      <ns0:c r="I989" s="17" t="n"/>
      <ns0:c r="J989" s="17" t="n"/>
      <ns0:c r="K989" s="17" t="n"/>
      <ns0:c r="L989" s="17" t="n"/>
      <ns0:c r="M989" s="17" t="n"/>
      <ns0:c r="N989" s="17" t="n"/>
      <ns0:c r="O989" s="17" t="n"/>
      <ns0:c r="P989" s="17" t="n"/>
      <ns0:c r="Q989" s="17" t="n"/>
      <ns0:c r="R989" s="17" t="n"/>
      <ns0:c r="S989" s="17" t="n"/>
      <ns0:c r="T989" s="17" t="n"/>
      <ns0:c r="U989" s="17" t="n"/>
      <ns0:c r="V989" s="17" t="n"/>
      <ns0:c r="W989" s="17" t="n"/>
      <ns0:c r="X989" s="17" t="n"/>
      <ns0:c r="Y989" s="17" t="n"/>
      <ns0:c r="Z989" s="17" t="n"/>
      <ns0:c r="AA989" s="17" t="n"/>
      <ns0:c r="AB989" s="17" t="n"/>
      <ns0:c r="AC989" s="17" t="n"/>
      <ns0:c r="AD989" s="17" t="n"/>
      <ns0:c r="AE989" s="17" t="n"/>
      <ns0:c r="AF989" s="17" t="n"/>
      <ns0:c r="AG989" s="17" t="n"/>
    </ns0:row>
    <ns0:row r="990" ht="24" customHeight="1">
      <ns0:c r="D990" s="17" t="n"/>
      <ns0:c r="E990" s="17" t="n"/>
      <ns0:c r="F990" s="17" t="n"/>
      <ns0:c r="G990" s="17" t="n"/>
      <ns0:c r="H990" s="17" t="n"/>
      <ns0:c r="I990" s="17" t="n"/>
      <ns0:c r="J990" s="17" t="n"/>
      <ns0:c r="K990" s="17" t="n"/>
      <ns0:c r="L990" s="17" t="n"/>
      <ns0:c r="M990" s="17" t="n"/>
      <ns0:c r="N990" s="17" t="n"/>
      <ns0:c r="O990" s="17" t="n"/>
      <ns0:c r="P990" s="17" t="n"/>
      <ns0:c r="Q990" s="17" t="n"/>
      <ns0:c r="R990" s="17" t="n"/>
      <ns0:c r="S990" s="17" t="n"/>
      <ns0:c r="T990" s="17" t="n"/>
      <ns0:c r="U990" s="17" t="n"/>
      <ns0:c r="V990" s="17" t="n"/>
      <ns0:c r="W990" s="17" t="n"/>
      <ns0:c r="X990" s="17" t="n"/>
      <ns0:c r="Y990" s="17" t="n"/>
      <ns0:c r="Z990" s="17" t="n"/>
      <ns0:c r="AA990" s="17" t="n"/>
      <ns0:c r="AB990" s="17" t="n"/>
      <ns0:c r="AC990" s="17" t="n"/>
      <ns0:c r="AD990" s="17" t="n"/>
      <ns0:c r="AE990" s="17" t="n"/>
      <ns0:c r="AF990" s="17" t="n"/>
      <ns0:c r="AG990" s="17" t="n"/>
    </ns0:row>
    <ns0:row r="991" ht="24" customHeight="1">
      <ns0:c r="D991" s="17" t="n"/>
      <ns0:c r="E991" s="17" t="n"/>
      <ns0:c r="F991" s="17" t="n"/>
      <ns0:c r="G991" s="17" t="n"/>
      <ns0:c r="H991" s="17" t="n"/>
      <ns0:c r="I991" s="17" t="n"/>
      <ns0:c r="J991" s="17" t="n"/>
      <ns0:c r="K991" s="17" t="n"/>
      <ns0:c r="L991" s="17" t="n"/>
      <ns0:c r="M991" s="17" t="n"/>
      <ns0:c r="N991" s="17" t="n"/>
      <ns0:c r="O991" s="17" t="n"/>
      <ns0:c r="P991" s="17" t="n"/>
      <ns0:c r="Q991" s="17" t="n"/>
      <ns0:c r="R991" s="17" t="n"/>
      <ns0:c r="S991" s="17" t="n"/>
      <ns0:c r="T991" s="17" t="n"/>
      <ns0:c r="U991" s="17" t="n"/>
      <ns0:c r="V991" s="17" t="n"/>
      <ns0:c r="W991" s="17" t="n"/>
      <ns0:c r="X991" s="17" t="n"/>
      <ns0:c r="Y991" s="17" t="n"/>
      <ns0:c r="Z991" s="17" t="n"/>
      <ns0:c r="AA991" s="17" t="n"/>
      <ns0:c r="AB991" s="17" t="n"/>
      <ns0:c r="AC991" s="17" t="n"/>
      <ns0:c r="AD991" s="17" t="n"/>
      <ns0:c r="AE991" s="17" t="n"/>
      <ns0:c r="AF991" s="17" t="n"/>
      <ns0:c r="AG991" s="17" t="n"/>
    </ns0:row>
    <ns0:row r="992" ht="24" customHeight="1">
      <ns0:c r="D992" s="17" t="n"/>
      <ns0:c r="E992" s="17" t="n"/>
      <ns0:c r="F992" s="17" t="n"/>
      <ns0:c r="G992" s="17" t="n"/>
      <ns0:c r="H992" s="17" t="n"/>
      <ns0:c r="I992" s="17" t="n"/>
      <ns0:c r="J992" s="17" t="n"/>
      <ns0:c r="K992" s="17" t="n"/>
      <ns0:c r="L992" s="17" t="n"/>
      <ns0:c r="M992" s="17" t="n"/>
      <ns0:c r="N992" s="17" t="n"/>
      <ns0:c r="O992" s="17" t="n"/>
      <ns0:c r="P992" s="17" t="n"/>
      <ns0:c r="Q992" s="17" t="n"/>
      <ns0:c r="R992" s="17" t="n"/>
      <ns0:c r="S992" s="17" t="n"/>
      <ns0:c r="T992" s="17" t="n"/>
      <ns0:c r="U992" s="17" t="n"/>
      <ns0:c r="V992" s="17" t="n"/>
      <ns0:c r="W992" s="17" t="n"/>
      <ns0:c r="X992" s="17" t="n"/>
      <ns0:c r="Y992" s="17" t="n"/>
      <ns0:c r="Z992" s="17" t="n"/>
      <ns0:c r="AA992" s="17" t="n"/>
      <ns0:c r="AB992" s="17" t="n"/>
      <ns0:c r="AC992" s="17" t="n"/>
      <ns0:c r="AD992" s="17" t="n"/>
      <ns0:c r="AE992" s="17" t="n"/>
      <ns0:c r="AF992" s="17" t="n"/>
      <ns0:c r="AG992" s="17" t="n"/>
    </ns0:row>
    <ns0:row r="993" ht="24" customHeight="1">
      <ns0:c r="D993" s="17" t="n"/>
      <ns0:c r="E993" s="17" t="n"/>
      <ns0:c r="F993" s="17" t="n"/>
      <ns0:c r="G993" s="17" t="n"/>
      <ns0:c r="H993" s="17" t="n"/>
      <ns0:c r="I993" s="17" t="n"/>
      <ns0:c r="J993" s="17" t="n"/>
      <ns0:c r="K993" s="17" t="n"/>
      <ns0:c r="L993" s="17" t="n"/>
      <ns0:c r="M993" s="17" t="n"/>
      <ns0:c r="N993" s="17" t="n"/>
      <ns0:c r="O993" s="17" t="n"/>
      <ns0:c r="P993" s="17" t="n"/>
      <ns0:c r="Q993" s="17" t="n"/>
      <ns0:c r="R993" s="17" t="n"/>
      <ns0:c r="S993" s="17" t="n"/>
      <ns0:c r="T993" s="17" t="n"/>
      <ns0:c r="U993" s="17" t="n"/>
      <ns0:c r="V993" s="17" t="n"/>
      <ns0:c r="W993" s="17" t="n"/>
      <ns0:c r="X993" s="17" t="n"/>
      <ns0:c r="Y993" s="17" t="n"/>
      <ns0:c r="Z993" s="17" t="n"/>
      <ns0:c r="AA993" s="17" t="n"/>
      <ns0:c r="AB993" s="17" t="n"/>
      <ns0:c r="AC993" s="17" t="n"/>
      <ns0:c r="AD993" s="17" t="n"/>
      <ns0:c r="AE993" s="17" t="n"/>
      <ns0:c r="AF993" s="17" t="n"/>
      <ns0:c r="AG993" s="17" t="n"/>
    </ns0:row>
    <ns0:row r="994" ht="24" customHeight="1">
      <ns0:c r="D994" s="17" t="n"/>
      <ns0:c r="E994" s="17" t="n"/>
      <ns0:c r="F994" s="17" t="n"/>
      <ns0:c r="G994" s="17" t="n"/>
      <ns0:c r="H994" s="17" t="n"/>
      <ns0:c r="I994" s="17" t="n"/>
      <ns0:c r="J994" s="17" t="n"/>
      <ns0:c r="K994" s="17" t="n"/>
      <ns0:c r="L994" s="17" t="n"/>
      <ns0:c r="M994" s="17" t="n"/>
      <ns0:c r="N994" s="17" t="n"/>
      <ns0:c r="O994" s="17" t="n"/>
      <ns0:c r="P994" s="17" t="n"/>
      <ns0:c r="Q994" s="17" t="n"/>
      <ns0:c r="R994" s="17" t="n"/>
      <ns0:c r="S994" s="17" t="n"/>
      <ns0:c r="T994" s="17" t="n"/>
      <ns0:c r="U994" s="17" t="n"/>
      <ns0:c r="V994" s="17" t="n"/>
      <ns0:c r="W994" s="17" t="n"/>
      <ns0:c r="X994" s="17" t="n"/>
      <ns0:c r="Y994" s="17" t="n"/>
      <ns0:c r="Z994" s="17" t="n"/>
      <ns0:c r="AA994" s="17" t="n"/>
      <ns0:c r="AB994" s="17" t="n"/>
      <ns0:c r="AC994" s="17" t="n"/>
      <ns0:c r="AD994" s="17" t="n"/>
      <ns0:c r="AE994" s="17" t="n"/>
      <ns0:c r="AF994" s="17" t="n"/>
      <ns0:c r="AG994" s="17" t="n"/>
    </ns0:row>
    <ns0:row r="995" ht="24" customHeight="1">
      <ns0:c r="D995" s="17" t="n"/>
      <ns0:c r="E995" s="17" t="n"/>
      <ns0:c r="F995" s="17" t="n"/>
      <ns0:c r="G995" s="17" t="n"/>
      <ns0:c r="H995" s="17" t="n"/>
      <ns0:c r="I995" s="17" t="n"/>
      <ns0:c r="J995" s="17" t="n"/>
      <ns0:c r="K995" s="17" t="n"/>
      <ns0:c r="L995" s="17" t="n"/>
      <ns0:c r="M995" s="17" t="n"/>
      <ns0:c r="N995" s="17" t="n"/>
      <ns0:c r="O995" s="17" t="n"/>
      <ns0:c r="P995" s="17" t="n"/>
      <ns0:c r="Q995" s="17" t="n"/>
      <ns0:c r="R995" s="17" t="n"/>
      <ns0:c r="S995" s="17" t="n"/>
      <ns0:c r="T995" s="17" t="n"/>
      <ns0:c r="U995" s="17" t="n"/>
      <ns0:c r="V995" s="17" t="n"/>
      <ns0:c r="W995" s="17" t="n"/>
      <ns0:c r="X995" s="17" t="n"/>
      <ns0:c r="Y995" s="17" t="n"/>
      <ns0:c r="Z995" s="17" t="n"/>
      <ns0:c r="AA995" s="17" t="n"/>
      <ns0:c r="AB995" s="17" t="n"/>
      <ns0:c r="AC995" s="17" t="n"/>
      <ns0:c r="AD995" s="17" t="n"/>
      <ns0:c r="AE995" s="17" t="n"/>
      <ns0:c r="AF995" s="17" t="n"/>
      <ns0:c r="AG995" s="17" t="n"/>
    </ns0:row>
    <ns0:row r="996" ht="24" customHeight="1">
      <ns0:c r="D996" s="17" t="n"/>
      <ns0:c r="E996" s="17" t="n"/>
      <ns0:c r="F996" s="17" t="n"/>
      <ns0:c r="G996" s="17" t="n"/>
      <ns0:c r="H996" s="17" t="n"/>
      <ns0:c r="I996" s="17" t="n"/>
      <ns0:c r="J996" s="17" t="n"/>
      <ns0:c r="K996" s="17" t="n"/>
      <ns0:c r="L996" s="17" t="n"/>
      <ns0:c r="M996" s="17" t="n"/>
      <ns0:c r="N996" s="17" t="n"/>
      <ns0:c r="O996" s="17" t="n"/>
      <ns0:c r="P996" s="17" t="n"/>
      <ns0:c r="Q996" s="17" t="n"/>
      <ns0:c r="R996" s="17" t="n"/>
      <ns0:c r="S996" s="17" t="n"/>
      <ns0:c r="T996" s="17" t="n"/>
      <ns0:c r="U996" s="17" t="n"/>
      <ns0:c r="V996" s="17" t="n"/>
      <ns0:c r="W996" s="17" t="n"/>
      <ns0:c r="X996" s="17" t="n"/>
      <ns0:c r="Y996" s="17" t="n"/>
      <ns0:c r="Z996" s="17" t="n"/>
      <ns0:c r="AA996" s="17" t="n"/>
      <ns0:c r="AB996" s="17" t="n"/>
      <ns0:c r="AC996" s="17" t="n"/>
      <ns0:c r="AD996" s="17" t="n"/>
      <ns0:c r="AE996" s="17" t="n"/>
      <ns0:c r="AF996" s="17" t="n"/>
      <ns0:c r="AG996" s="17" t="n"/>
    </ns0:row>
    <ns0:row r="997" ht="24" customHeight="1">
      <ns0:c r="D997" s="17" t="n"/>
      <ns0:c r="E997" s="17" t="n"/>
      <ns0:c r="F997" s="17" t="n"/>
      <ns0:c r="G997" s="17" t="n"/>
      <ns0:c r="H997" s="17" t="n"/>
      <ns0:c r="I997" s="17" t="n"/>
      <ns0:c r="J997" s="17" t="n"/>
      <ns0:c r="K997" s="17" t="n"/>
      <ns0:c r="L997" s="17" t="n"/>
      <ns0:c r="M997" s="17" t="n"/>
      <ns0:c r="N997" s="17" t="n"/>
      <ns0:c r="O997" s="17" t="n"/>
      <ns0:c r="P997" s="17" t="n"/>
      <ns0:c r="Q997" s="17" t="n"/>
      <ns0:c r="R997" s="17" t="n"/>
      <ns0:c r="S997" s="17" t="n"/>
      <ns0:c r="T997" s="17" t="n"/>
      <ns0:c r="U997" s="17" t="n"/>
      <ns0:c r="V997" s="17" t="n"/>
      <ns0:c r="W997" s="17" t="n"/>
      <ns0:c r="X997" s="17" t="n"/>
      <ns0:c r="Y997" s="17" t="n"/>
      <ns0:c r="Z997" s="17" t="n"/>
      <ns0:c r="AA997" s="17" t="n"/>
      <ns0:c r="AB997" s="17" t="n"/>
      <ns0:c r="AC997" s="17" t="n"/>
      <ns0:c r="AD997" s="17" t="n"/>
      <ns0:c r="AE997" s="17" t="n"/>
      <ns0:c r="AF997" s="17" t="n"/>
      <ns0:c r="AG997" s="17" t="n"/>
    </ns0:row>
    <ns0:row r="998" ht="24" customHeight="1">
      <ns0:c r="D998" s="17" t="n"/>
      <ns0:c r="E998" s="17" t="n"/>
      <ns0:c r="F998" s="17" t="n"/>
      <ns0:c r="G998" s="17" t="n"/>
      <ns0:c r="H998" s="17" t="n"/>
      <ns0:c r="I998" s="17" t="n"/>
      <ns0:c r="J998" s="17" t="n"/>
      <ns0:c r="K998" s="17" t="n"/>
      <ns0:c r="L998" s="17" t="n"/>
      <ns0:c r="M998" s="17" t="n"/>
      <ns0:c r="N998" s="17" t="n"/>
      <ns0:c r="O998" s="17" t="n"/>
      <ns0:c r="P998" s="17" t="n"/>
      <ns0:c r="Q998" s="17" t="n"/>
      <ns0:c r="R998" s="17" t="n"/>
      <ns0:c r="S998" s="17" t="n"/>
      <ns0:c r="T998" s="17" t="n"/>
      <ns0:c r="U998" s="17" t="n"/>
      <ns0:c r="V998" s="17" t="n"/>
      <ns0:c r="W998" s="17" t="n"/>
      <ns0:c r="X998" s="17" t="n"/>
      <ns0:c r="Y998" s="17" t="n"/>
      <ns0:c r="Z998" s="17" t="n"/>
      <ns0:c r="AA998" s="17" t="n"/>
      <ns0:c r="AB998" s="17" t="n"/>
      <ns0:c r="AC998" s="17" t="n"/>
      <ns0:c r="AD998" s="17" t="n"/>
      <ns0:c r="AE998" s="17" t="n"/>
      <ns0:c r="AF998" s="17" t="n"/>
      <ns0:c r="AG998" s="17" t="n"/>
    </ns0:row>
    <ns0:row r="999" ht="24" customHeight="1">
      <ns0:c r="D999" s="17" t="n"/>
      <ns0:c r="E999" s="17" t="n"/>
      <ns0:c r="F999" s="17" t="n"/>
      <ns0:c r="G999" s="17" t="n"/>
      <ns0:c r="H999" s="17" t="n"/>
      <ns0:c r="I999" s="17" t="n"/>
      <ns0:c r="J999" s="17" t="n"/>
      <ns0:c r="K999" s="17" t="n"/>
      <ns0:c r="L999" s="17" t="n"/>
      <ns0:c r="M999" s="17" t="n"/>
      <ns0:c r="N999" s="17" t="n"/>
      <ns0:c r="O999" s="17" t="n"/>
      <ns0:c r="P999" s="17" t="n"/>
      <ns0:c r="Q999" s="17" t="n"/>
      <ns0:c r="R999" s="17" t="n"/>
      <ns0:c r="S999" s="17" t="n"/>
      <ns0:c r="T999" s="17" t="n"/>
      <ns0:c r="U999" s="17" t="n"/>
      <ns0:c r="V999" s="17" t="n"/>
      <ns0:c r="W999" s="17" t="n"/>
      <ns0:c r="X999" s="17" t="n"/>
      <ns0:c r="Y999" s="17" t="n"/>
      <ns0:c r="Z999" s="17" t="n"/>
      <ns0:c r="AA999" s="17" t="n"/>
      <ns0:c r="AB999" s="17" t="n"/>
      <ns0:c r="AC999" s="17" t="n"/>
      <ns0:c r="AD999" s="17" t="n"/>
      <ns0:c r="AE999" s="17" t="n"/>
      <ns0:c r="AF999" s="17" t="n"/>
      <ns0:c r="AG999" s="17" t="n"/>
    </ns0:row>
    <ns0:row r="1000" ht="24" customHeight="1">
      <ns0:c r="D1000" s="17" t="n"/>
      <ns0:c r="E1000" s="17" t="n"/>
      <ns0:c r="F1000" s="17" t="n"/>
      <ns0:c r="G1000" s="17" t="n"/>
      <ns0:c r="H1000" s="17" t="n"/>
      <ns0:c r="I1000" s="17" t="n"/>
      <ns0:c r="J1000" s="17" t="n"/>
      <ns0:c r="K1000" s="17" t="n"/>
      <ns0:c r="L1000" s="17" t="n"/>
      <ns0:c r="M1000" s="17" t="n"/>
      <ns0:c r="N1000" s="17" t="n"/>
      <ns0:c r="O1000" s="17" t="n"/>
      <ns0:c r="P1000" s="17" t="n"/>
      <ns0:c r="Q1000" s="17" t="n"/>
      <ns0:c r="R1000" s="17" t="n"/>
      <ns0:c r="S1000" s="17" t="n"/>
      <ns0:c r="T1000" s="17" t="n"/>
      <ns0:c r="U1000" s="17" t="n"/>
      <ns0:c r="V1000" s="17" t="n"/>
      <ns0:c r="W1000" s="17" t="n"/>
      <ns0:c r="X1000" s="17" t="n"/>
      <ns0:c r="Y1000" s="17" t="n"/>
      <ns0:c r="Z1000" s="17" t="n"/>
      <ns0:c r="AA1000" s="17" t="n"/>
      <ns0:c r="AB1000" s="17" t="n"/>
      <ns0:c r="AC1000" s="17" t="n"/>
      <ns0:c r="AD1000" s="17" t="n"/>
      <ns0:c r="AE1000" s="17" t="n"/>
      <ns0:c r="AF1000" s="17" t="n"/>
      <ns0:c r="AG1000" s="17" t="n"/>
    </ns0:row>
    <ns0:row r="1001" ht="24" customHeight="1">
      <ns0:c r="D1001" s="17" t="n"/>
      <ns0:c r="E1001" s="17" t="n"/>
      <ns0:c r="F1001" s="17" t="n"/>
      <ns0:c r="G1001" s="17" t="n"/>
      <ns0:c r="H1001" s="17" t="n"/>
      <ns0:c r="I1001" s="17" t="n"/>
      <ns0:c r="J1001" s="17" t="n"/>
      <ns0:c r="K1001" s="17" t="n"/>
      <ns0:c r="L1001" s="17" t="n"/>
      <ns0:c r="M1001" s="17" t="n"/>
      <ns0:c r="N1001" s="17" t="n"/>
      <ns0:c r="O1001" s="17" t="n"/>
      <ns0:c r="P1001" s="17" t="n"/>
      <ns0:c r="Q1001" s="17" t="n"/>
      <ns0:c r="R1001" s="17" t="n"/>
      <ns0:c r="S1001" s="17" t="n"/>
      <ns0:c r="T1001" s="17" t="n"/>
      <ns0:c r="U1001" s="17" t="n"/>
      <ns0:c r="V1001" s="17" t="n"/>
      <ns0:c r="W1001" s="17" t="n"/>
      <ns0:c r="X1001" s="17" t="n"/>
      <ns0:c r="Y1001" s="17" t="n"/>
      <ns0:c r="Z1001" s="17" t="n"/>
      <ns0:c r="AA1001" s="17" t="n"/>
      <ns0:c r="AB1001" s="17" t="n"/>
      <ns0:c r="AC1001" s="17" t="n"/>
      <ns0:c r="AD1001" s="17" t="n"/>
      <ns0:c r="AE1001" s="17" t="n"/>
      <ns0:c r="AF1001" s="17" t="n"/>
      <ns0:c r="AG1001" s="17" t="n"/>
    </ns0:row>
    <ns0:row r="1002" ht="24" customHeight="1">
      <ns0:c r="D1002" s="17" t="n"/>
      <ns0:c r="E1002" s="17" t="n"/>
      <ns0:c r="F1002" s="17" t="n"/>
      <ns0:c r="G1002" s="17" t="n"/>
      <ns0:c r="H1002" s="17" t="n"/>
      <ns0:c r="I1002" s="17" t="n"/>
      <ns0:c r="J1002" s="17" t="n"/>
      <ns0:c r="K1002" s="17" t="n"/>
      <ns0:c r="L1002" s="17" t="n"/>
      <ns0:c r="M1002" s="17" t="n"/>
      <ns0:c r="N1002" s="17" t="n"/>
      <ns0:c r="O1002" s="17" t="n"/>
      <ns0:c r="P1002" s="17" t="n"/>
      <ns0:c r="Q1002" s="17" t="n"/>
      <ns0:c r="R1002" s="17" t="n"/>
      <ns0:c r="S1002" s="17" t="n"/>
      <ns0:c r="T1002" s="17" t="n"/>
      <ns0:c r="U1002" s="17" t="n"/>
      <ns0:c r="V1002" s="17" t="n"/>
      <ns0:c r="W1002" s="17" t="n"/>
      <ns0:c r="X1002" s="17" t="n"/>
      <ns0:c r="Y1002" s="17" t="n"/>
      <ns0:c r="Z1002" s="17" t="n"/>
      <ns0:c r="AA1002" s="17" t="n"/>
      <ns0:c r="AB1002" s="17" t="n"/>
      <ns0:c r="AC1002" s="17" t="n"/>
      <ns0:c r="AD1002" s="17" t="n"/>
      <ns0:c r="AE1002" s="17" t="n"/>
      <ns0:c r="AF1002" s="17" t="n"/>
      <ns0:c r="AG1002" s="17" t="n"/>
    </ns0:row>
    <ns0:row r="1003" ht="24" customHeight="1">
      <ns0:c r="D1003" s="17" t="n"/>
      <ns0:c r="E1003" s="17" t="n"/>
      <ns0:c r="F1003" s="17" t="n"/>
      <ns0:c r="G1003" s="17" t="n"/>
      <ns0:c r="H1003" s="17" t="n"/>
      <ns0:c r="I1003" s="17" t="n"/>
      <ns0:c r="J1003" s="17" t="n"/>
      <ns0:c r="K1003" s="17" t="n"/>
      <ns0:c r="L1003" s="17" t="n"/>
      <ns0:c r="M1003" s="17" t="n"/>
      <ns0:c r="N1003" s="17" t="n"/>
      <ns0:c r="O1003" s="17" t="n"/>
      <ns0:c r="P1003" s="17" t="n"/>
      <ns0:c r="Q1003" s="17" t="n"/>
      <ns0:c r="R1003" s="17" t="n"/>
      <ns0:c r="S1003" s="17" t="n"/>
      <ns0:c r="T1003" s="17" t="n"/>
      <ns0:c r="U1003" s="17" t="n"/>
      <ns0:c r="V1003" s="17" t="n"/>
      <ns0:c r="W1003" s="17" t="n"/>
      <ns0:c r="X1003" s="17" t="n"/>
      <ns0:c r="Y1003" s="17" t="n"/>
      <ns0:c r="Z1003" s="17" t="n"/>
      <ns0:c r="AA1003" s="17" t="n"/>
      <ns0:c r="AB1003" s="17" t="n"/>
      <ns0:c r="AC1003" s="17" t="n"/>
      <ns0:c r="AD1003" s="17" t="n"/>
      <ns0:c r="AE1003" s="17" t="n"/>
      <ns0:c r="AF1003" s="17" t="n"/>
      <ns0:c r="AG1003" s="17" t="n"/>
    </ns0:row>
    <ns0:row r="1004" ht="24" customHeight="1">
      <ns0:c r="D1004" s="17" t="n"/>
      <ns0:c r="E1004" s="17" t="n"/>
      <ns0:c r="F1004" s="17" t="n"/>
      <ns0:c r="G1004" s="17" t="n"/>
      <ns0:c r="H1004" s="17" t="n"/>
      <ns0:c r="I1004" s="17" t="n"/>
      <ns0:c r="J1004" s="17" t="n"/>
      <ns0:c r="K1004" s="17" t="n"/>
      <ns0:c r="L1004" s="17" t="n"/>
      <ns0:c r="M1004" s="17" t="n"/>
      <ns0:c r="N1004" s="17" t="n"/>
      <ns0:c r="O1004" s="17" t="n"/>
      <ns0:c r="P1004" s="17" t="n"/>
      <ns0:c r="Q1004" s="17" t="n"/>
      <ns0:c r="R1004" s="17" t="n"/>
      <ns0:c r="S1004" s="17" t="n"/>
      <ns0:c r="T1004" s="17" t="n"/>
      <ns0:c r="U1004" s="17" t="n"/>
      <ns0:c r="V1004" s="17" t="n"/>
      <ns0:c r="W1004" s="17" t="n"/>
      <ns0:c r="X1004" s="17" t="n"/>
      <ns0:c r="Y1004" s="17" t="n"/>
      <ns0:c r="Z1004" s="17" t="n"/>
      <ns0:c r="AA1004" s="17" t="n"/>
      <ns0:c r="AB1004" s="17" t="n"/>
      <ns0:c r="AC1004" s="17" t="n"/>
      <ns0:c r="AD1004" s="17" t="n"/>
      <ns0:c r="AE1004" s="17" t="n"/>
      <ns0:c r="AF1004" s="17" t="n"/>
      <ns0:c r="AG1004" s="17" t="n"/>
    </ns0:row>
    <ns0:row r="1005" ht="24" customHeight="1">
      <ns0:c r="D1005" s="17" t="n"/>
      <ns0:c r="E1005" s="17" t="n"/>
      <ns0:c r="F1005" s="17" t="n"/>
      <ns0:c r="G1005" s="17" t="n"/>
      <ns0:c r="H1005" s="17" t="n"/>
      <ns0:c r="I1005" s="17" t="n"/>
      <ns0:c r="J1005" s="17" t="n"/>
      <ns0:c r="K1005" s="17" t="n"/>
      <ns0:c r="L1005" s="17" t="n"/>
      <ns0:c r="M1005" s="17" t="n"/>
      <ns0:c r="N1005" s="17" t="n"/>
      <ns0:c r="O1005" s="17" t="n"/>
      <ns0:c r="P1005" s="17" t="n"/>
      <ns0:c r="Q1005" s="17" t="n"/>
      <ns0:c r="R1005" s="17" t="n"/>
      <ns0:c r="S1005" s="17" t="n"/>
      <ns0:c r="T1005" s="17" t="n"/>
      <ns0:c r="U1005" s="17" t="n"/>
      <ns0:c r="V1005" s="17" t="n"/>
      <ns0:c r="W1005" s="17" t="n"/>
      <ns0:c r="X1005" s="17" t="n"/>
      <ns0:c r="Y1005" s="17" t="n"/>
      <ns0:c r="Z1005" s="17" t="n"/>
      <ns0:c r="AA1005" s="17" t="n"/>
      <ns0:c r="AB1005" s="17" t="n"/>
      <ns0:c r="AC1005" s="17" t="n"/>
      <ns0:c r="AD1005" s="17" t="n"/>
      <ns0:c r="AE1005" s="17" t="n"/>
      <ns0:c r="AF1005" s="17" t="n"/>
      <ns0:c r="AG1005" s="17" t="n"/>
    </ns0:row>
    <ns0:row r="1006" ht="24" customHeight="1">
      <ns0:c r="D1006" s="17" t="n"/>
      <ns0:c r="E1006" s="17" t="n"/>
      <ns0:c r="F1006" s="17" t="n"/>
      <ns0:c r="G1006" s="17" t="n"/>
      <ns0:c r="H1006" s="17" t="n"/>
      <ns0:c r="I1006" s="17" t="n"/>
      <ns0:c r="J1006" s="17" t="n"/>
      <ns0:c r="K1006" s="17" t="n"/>
      <ns0:c r="L1006" s="17" t="n"/>
      <ns0:c r="M1006" s="17" t="n"/>
      <ns0:c r="N1006" s="17" t="n"/>
      <ns0:c r="O1006" s="17" t="n"/>
      <ns0:c r="P1006" s="17" t="n"/>
      <ns0:c r="Q1006" s="17" t="n"/>
      <ns0:c r="R1006" s="17" t="n"/>
      <ns0:c r="S1006" s="17" t="n"/>
      <ns0:c r="T1006" s="17" t="n"/>
      <ns0:c r="U1006" s="17" t="n"/>
      <ns0:c r="V1006" s="17" t="n"/>
      <ns0:c r="W1006" s="17" t="n"/>
      <ns0:c r="X1006" s="17" t="n"/>
      <ns0:c r="Y1006" s="17" t="n"/>
      <ns0:c r="Z1006" s="17" t="n"/>
      <ns0:c r="AA1006" s="17" t="n"/>
      <ns0:c r="AB1006" s="17" t="n"/>
      <ns0:c r="AC1006" s="17" t="n"/>
      <ns0:c r="AD1006" s="17" t="n"/>
      <ns0:c r="AE1006" s="17" t="n"/>
      <ns0:c r="AF1006" s="17" t="n"/>
      <ns0:c r="AG1006" s="17" t="n"/>
    </ns0:row>
    <ns0:row r="1007" ht="24" customHeight="1">
      <ns0:c r="D1007" s="17" t="n"/>
      <ns0:c r="E1007" s="17" t="n"/>
      <ns0:c r="F1007" s="17" t="n"/>
      <ns0:c r="G1007" s="17" t="n"/>
      <ns0:c r="H1007" s="17" t="n"/>
      <ns0:c r="I1007" s="17" t="n"/>
      <ns0:c r="J1007" s="17" t="n"/>
      <ns0:c r="K1007" s="17" t="n"/>
      <ns0:c r="L1007" s="17" t="n"/>
      <ns0:c r="M1007" s="17" t="n"/>
      <ns0:c r="N1007" s="17" t="n"/>
      <ns0:c r="O1007" s="17" t="n"/>
      <ns0:c r="P1007" s="17" t="n"/>
      <ns0:c r="Q1007" s="17" t="n"/>
      <ns0:c r="R1007" s="17" t="n"/>
      <ns0:c r="S1007" s="17" t="n"/>
      <ns0:c r="T1007" s="17" t="n"/>
      <ns0:c r="U1007" s="17" t="n"/>
      <ns0:c r="V1007" s="17" t="n"/>
      <ns0:c r="W1007" s="17" t="n"/>
      <ns0:c r="X1007" s="17" t="n"/>
      <ns0:c r="Y1007" s="17" t="n"/>
      <ns0:c r="Z1007" s="17" t="n"/>
      <ns0:c r="AA1007" s="17" t="n"/>
      <ns0:c r="AB1007" s="17" t="n"/>
      <ns0:c r="AC1007" s="17" t="n"/>
      <ns0:c r="AD1007" s="17" t="n"/>
      <ns0:c r="AE1007" s="17" t="n"/>
      <ns0:c r="AF1007" s="17" t="n"/>
      <ns0:c r="AG1007" s="17" t="n"/>
    </ns0:row>
    <ns0:row r="1008" ht="24" customHeight="1">
      <ns0:c r="D1008" s="17" t="n"/>
      <ns0:c r="E1008" s="17" t="n"/>
      <ns0:c r="F1008" s="17" t="n"/>
      <ns0:c r="G1008" s="17" t="n"/>
      <ns0:c r="H1008" s="17" t="n"/>
      <ns0:c r="I1008" s="17" t="n"/>
      <ns0:c r="J1008" s="17" t="n"/>
      <ns0:c r="K1008" s="17" t="n"/>
      <ns0:c r="L1008" s="17" t="n"/>
      <ns0:c r="M1008" s="17" t="n"/>
      <ns0:c r="N1008" s="17" t="n"/>
      <ns0:c r="O1008" s="17" t="n"/>
      <ns0:c r="P1008" s="17" t="n"/>
      <ns0:c r="Q1008" s="17" t="n"/>
      <ns0:c r="R1008" s="17" t="n"/>
      <ns0:c r="S1008" s="17" t="n"/>
      <ns0:c r="T1008" s="17" t="n"/>
      <ns0:c r="U1008" s="17" t="n"/>
      <ns0:c r="V1008" s="17" t="n"/>
      <ns0:c r="W1008" s="17" t="n"/>
      <ns0:c r="X1008" s="17" t="n"/>
      <ns0:c r="Y1008" s="17" t="n"/>
      <ns0:c r="Z1008" s="17" t="n"/>
      <ns0:c r="AA1008" s="17" t="n"/>
      <ns0:c r="AB1008" s="17" t="n"/>
      <ns0:c r="AC1008" s="17" t="n"/>
      <ns0:c r="AD1008" s="17" t="n"/>
      <ns0:c r="AE1008" s="17" t="n"/>
      <ns0:c r="AF1008" s="17" t="n"/>
      <ns0:c r="AG1008" s="17" t="n"/>
    </ns0:row>
    <ns0:row r="1009" ht="24" customHeight="1">
      <ns0:c r="D1009" s="17" t="n"/>
      <ns0:c r="E1009" s="17" t="n"/>
      <ns0:c r="F1009" s="17" t="n"/>
      <ns0:c r="G1009" s="17" t="n"/>
      <ns0:c r="H1009" s="17" t="n"/>
      <ns0:c r="I1009" s="17" t="n"/>
      <ns0:c r="J1009" s="17" t="n"/>
      <ns0:c r="K1009" s="17" t="n"/>
      <ns0:c r="L1009" s="17" t="n"/>
      <ns0:c r="M1009" s="17" t="n"/>
      <ns0:c r="N1009" s="17" t="n"/>
      <ns0:c r="O1009" s="17" t="n"/>
      <ns0:c r="P1009" s="17" t="n"/>
      <ns0:c r="Q1009" s="17" t="n"/>
      <ns0:c r="R1009" s="17" t="n"/>
      <ns0:c r="S1009" s="17" t="n"/>
      <ns0:c r="T1009" s="17" t="n"/>
      <ns0:c r="U1009" s="17" t="n"/>
      <ns0:c r="V1009" s="17" t="n"/>
      <ns0:c r="W1009" s="17" t="n"/>
      <ns0:c r="X1009" s="17" t="n"/>
      <ns0:c r="Y1009" s="17" t="n"/>
      <ns0:c r="Z1009" s="17" t="n"/>
      <ns0:c r="AA1009" s="17" t="n"/>
      <ns0:c r="AB1009" s="17" t="n"/>
      <ns0:c r="AC1009" s="17" t="n"/>
      <ns0:c r="AD1009" s="17" t="n"/>
      <ns0:c r="AE1009" s="17" t="n"/>
      <ns0:c r="AF1009" s="17" t="n"/>
      <ns0:c r="AG1009" s="17" t="n"/>
    </ns0:row>
    <ns0:row r="1010" ht="24" customHeight="1">
      <ns0:c r="D1010" s="17" t="n"/>
      <ns0:c r="E1010" s="17" t="n"/>
      <ns0:c r="F1010" s="17" t="n"/>
      <ns0:c r="G1010" s="17" t="n"/>
      <ns0:c r="H1010" s="17" t="n"/>
      <ns0:c r="I1010" s="17" t="n"/>
      <ns0:c r="J1010" s="17" t="n"/>
      <ns0:c r="K1010" s="17" t="n"/>
      <ns0:c r="L1010" s="17" t="n"/>
      <ns0:c r="M1010" s="17" t="n"/>
      <ns0:c r="N1010" s="17" t="n"/>
      <ns0:c r="O1010" s="17" t="n"/>
      <ns0:c r="P1010" s="17" t="n"/>
      <ns0:c r="Q1010" s="17" t="n"/>
      <ns0:c r="R1010" s="17" t="n"/>
      <ns0:c r="S1010" s="17" t="n"/>
      <ns0:c r="T1010" s="17" t="n"/>
      <ns0:c r="U1010" s="17" t="n"/>
      <ns0:c r="V1010" s="17" t="n"/>
      <ns0:c r="W1010" s="17" t="n"/>
      <ns0:c r="X1010" s="17" t="n"/>
      <ns0:c r="Y1010" s="17" t="n"/>
      <ns0:c r="Z1010" s="17" t="n"/>
      <ns0:c r="AA1010" s="17" t="n"/>
      <ns0:c r="AB1010" s="17" t="n"/>
      <ns0:c r="AC1010" s="17" t="n"/>
      <ns0:c r="AD1010" s="17" t="n"/>
      <ns0:c r="AE1010" s="17" t="n"/>
      <ns0:c r="AF1010" s="17" t="n"/>
      <ns0:c r="AG1010" s="17" t="n"/>
    </ns0:row>
    <ns0:row r="1011" ht="24" customHeight="1">
      <ns0:c r="D1011" s="17" t="n"/>
      <ns0:c r="E1011" s="17" t="n"/>
      <ns0:c r="F1011" s="17" t="n"/>
      <ns0:c r="G1011" s="17" t="n"/>
      <ns0:c r="H1011" s="17" t="n"/>
      <ns0:c r="I1011" s="17" t="n"/>
      <ns0:c r="J1011" s="17" t="n"/>
      <ns0:c r="K1011" s="17" t="n"/>
      <ns0:c r="L1011" s="17" t="n"/>
      <ns0:c r="M1011" s="17" t="n"/>
      <ns0:c r="N1011" s="17" t="n"/>
      <ns0:c r="O1011" s="17" t="n"/>
      <ns0:c r="P1011" s="17" t="n"/>
      <ns0:c r="Q1011" s="17" t="n"/>
      <ns0:c r="R1011" s="17" t="n"/>
      <ns0:c r="S1011" s="17" t="n"/>
      <ns0:c r="T1011" s="17" t="n"/>
      <ns0:c r="U1011" s="17" t="n"/>
      <ns0:c r="V1011" s="17" t="n"/>
      <ns0:c r="W1011" s="17" t="n"/>
      <ns0:c r="X1011" s="17" t="n"/>
      <ns0:c r="Y1011" s="17" t="n"/>
      <ns0:c r="Z1011" s="17" t="n"/>
      <ns0:c r="AA1011" s="17" t="n"/>
      <ns0:c r="AB1011" s="17" t="n"/>
      <ns0:c r="AC1011" s="17" t="n"/>
      <ns0:c r="AD1011" s="17" t="n"/>
      <ns0:c r="AE1011" s="17" t="n"/>
      <ns0:c r="AF1011" s="17" t="n"/>
      <ns0:c r="AG1011" s="17" t="n"/>
    </ns0:row>
    <ns0:row r="1012" ht="24" customHeight="1">
      <ns0:c r="D1012" s="17" t="n"/>
      <ns0:c r="E1012" s="17" t="n"/>
      <ns0:c r="F1012" s="17" t="n"/>
      <ns0:c r="G1012" s="17" t="n"/>
      <ns0:c r="H1012" s="17" t="n"/>
      <ns0:c r="I1012" s="17" t="n"/>
      <ns0:c r="J1012" s="17" t="n"/>
      <ns0:c r="K1012" s="17" t="n"/>
      <ns0:c r="L1012" s="17" t="n"/>
      <ns0:c r="M1012" s="17" t="n"/>
      <ns0:c r="N1012" s="17" t="n"/>
      <ns0:c r="O1012" s="17" t="n"/>
      <ns0:c r="P1012" s="17" t="n"/>
      <ns0:c r="Q1012" s="17" t="n"/>
      <ns0:c r="R1012" s="17" t="n"/>
      <ns0:c r="S1012" s="17" t="n"/>
      <ns0:c r="T1012" s="17" t="n"/>
      <ns0:c r="U1012" s="17" t="n"/>
      <ns0:c r="V1012" s="17" t="n"/>
      <ns0:c r="W1012" s="17" t="n"/>
      <ns0:c r="X1012" s="17" t="n"/>
      <ns0:c r="Y1012" s="17" t="n"/>
      <ns0:c r="Z1012" s="17" t="n"/>
      <ns0:c r="AA1012" s="17" t="n"/>
      <ns0:c r="AB1012" s="17" t="n"/>
      <ns0:c r="AC1012" s="17" t="n"/>
      <ns0:c r="AD1012" s="17" t="n"/>
      <ns0:c r="AE1012" s="17" t="n"/>
      <ns0:c r="AF1012" s="17" t="n"/>
      <ns0:c r="AG1012" s="17" t="n"/>
    </ns0:row>
    <ns0:row r="1013" ht="24" customHeight="1">
      <ns0:c r="D1013" s="17" t="n"/>
      <ns0:c r="E1013" s="17" t="n"/>
      <ns0:c r="F1013" s="17" t="n"/>
      <ns0:c r="G1013" s="17" t="n"/>
      <ns0:c r="H1013" s="17" t="n"/>
      <ns0:c r="I1013" s="17" t="n"/>
      <ns0:c r="J1013" s="17" t="n"/>
      <ns0:c r="K1013" s="17" t="n"/>
      <ns0:c r="L1013" s="17" t="n"/>
      <ns0:c r="M1013" s="17" t="n"/>
      <ns0:c r="N1013" s="17" t="n"/>
      <ns0:c r="O1013" s="17" t="n"/>
      <ns0:c r="P1013" s="17" t="n"/>
      <ns0:c r="Q1013" s="17" t="n"/>
      <ns0:c r="R1013" s="17" t="n"/>
      <ns0:c r="S1013" s="17" t="n"/>
      <ns0:c r="T1013" s="17" t="n"/>
      <ns0:c r="U1013" s="17" t="n"/>
      <ns0:c r="V1013" s="17" t="n"/>
      <ns0:c r="W1013" s="17" t="n"/>
      <ns0:c r="X1013" s="17" t="n"/>
      <ns0:c r="Y1013" s="17" t="n"/>
      <ns0:c r="Z1013" s="17" t="n"/>
      <ns0:c r="AA1013" s="17" t="n"/>
      <ns0:c r="AB1013" s="17" t="n"/>
      <ns0:c r="AC1013" s="17" t="n"/>
      <ns0:c r="AD1013" s="17" t="n"/>
      <ns0:c r="AE1013" s="17" t="n"/>
      <ns0:c r="AF1013" s="17" t="n"/>
      <ns0:c r="AG1013" s="17" t="n"/>
    </ns0:row>
    <ns0:row r="1014" ht="24" customHeight="1">
      <ns0:c r="D1014" s="17" t="n"/>
      <ns0:c r="E1014" s="17" t="n"/>
      <ns0:c r="F1014" s="17" t="n"/>
      <ns0:c r="G1014" s="17" t="n"/>
      <ns0:c r="H1014" s="17" t="n"/>
      <ns0:c r="I1014" s="17" t="n"/>
      <ns0:c r="J1014" s="17" t="n"/>
      <ns0:c r="K1014" s="17" t="n"/>
      <ns0:c r="L1014" s="17" t="n"/>
      <ns0:c r="M1014" s="17" t="n"/>
      <ns0:c r="N1014" s="17" t="n"/>
      <ns0:c r="O1014" s="17" t="n"/>
      <ns0:c r="P1014" s="17" t="n"/>
      <ns0:c r="Q1014" s="17" t="n"/>
      <ns0:c r="R1014" s="17" t="n"/>
      <ns0:c r="S1014" s="17" t="n"/>
      <ns0:c r="T1014" s="17" t="n"/>
      <ns0:c r="U1014" s="17" t="n"/>
      <ns0:c r="V1014" s="17" t="n"/>
      <ns0:c r="W1014" s="17" t="n"/>
      <ns0:c r="X1014" s="17" t="n"/>
      <ns0:c r="Y1014" s="17" t="n"/>
      <ns0:c r="Z1014" s="17" t="n"/>
      <ns0:c r="AA1014" s="17" t="n"/>
      <ns0:c r="AB1014" s="17" t="n"/>
      <ns0:c r="AC1014" s="17" t="n"/>
      <ns0:c r="AD1014" s="17" t="n"/>
      <ns0:c r="AE1014" s="17" t="n"/>
      <ns0:c r="AF1014" s="17" t="n"/>
      <ns0:c r="AG1014" s="17" t="n"/>
    </ns0:row>
    <ns0:row r="1015" ht="24" customHeight="1">
      <ns0:c r="D1015" s="17" t="n"/>
      <ns0:c r="E1015" s="17" t="n"/>
      <ns0:c r="F1015" s="17" t="n"/>
      <ns0:c r="G1015" s="17" t="n"/>
      <ns0:c r="H1015" s="17" t="n"/>
      <ns0:c r="I1015" s="17" t="n"/>
      <ns0:c r="J1015" s="17" t="n"/>
      <ns0:c r="K1015" s="17" t="n"/>
      <ns0:c r="L1015" s="17" t="n"/>
      <ns0:c r="M1015" s="17" t="n"/>
      <ns0:c r="N1015" s="17" t="n"/>
      <ns0:c r="O1015" s="17" t="n"/>
      <ns0:c r="P1015" s="17" t="n"/>
      <ns0:c r="Q1015" s="17" t="n"/>
      <ns0:c r="R1015" s="17" t="n"/>
      <ns0:c r="S1015" s="17" t="n"/>
      <ns0:c r="T1015" s="17" t="n"/>
      <ns0:c r="U1015" s="17" t="n"/>
      <ns0:c r="V1015" s="17" t="n"/>
      <ns0:c r="W1015" s="17" t="n"/>
      <ns0:c r="X1015" s="17" t="n"/>
      <ns0:c r="Y1015" s="17" t="n"/>
      <ns0:c r="Z1015" s="17" t="n"/>
      <ns0:c r="AA1015" s="17" t="n"/>
      <ns0:c r="AB1015" s="17" t="n"/>
      <ns0:c r="AC1015" s="17" t="n"/>
      <ns0:c r="AD1015" s="17" t="n"/>
      <ns0:c r="AE1015" s="17" t="n"/>
      <ns0:c r="AF1015" s="17" t="n"/>
      <ns0:c r="AG1015" s="17" t="n"/>
    </ns0:row>
    <ns0:row r="1016" ht="24" customHeight="1">
      <ns0:c r="D1016" s="17" t="n"/>
      <ns0:c r="E1016" s="17" t="n"/>
      <ns0:c r="F1016" s="17" t="n"/>
      <ns0:c r="G1016" s="17" t="n"/>
      <ns0:c r="H1016" s="17" t="n"/>
      <ns0:c r="I1016" s="17" t="n"/>
      <ns0:c r="J1016" s="17" t="n"/>
      <ns0:c r="K1016" s="17" t="n"/>
      <ns0:c r="L1016" s="17" t="n"/>
      <ns0:c r="M1016" s="17" t="n"/>
      <ns0:c r="N1016" s="17" t="n"/>
      <ns0:c r="O1016" s="17" t="n"/>
      <ns0:c r="P1016" s="17" t="n"/>
      <ns0:c r="Q1016" s="17" t="n"/>
      <ns0:c r="R1016" s="17" t="n"/>
      <ns0:c r="S1016" s="17" t="n"/>
      <ns0:c r="T1016" s="17" t="n"/>
      <ns0:c r="U1016" s="17" t="n"/>
      <ns0:c r="V1016" s="17" t="n"/>
      <ns0:c r="W1016" s="17" t="n"/>
      <ns0:c r="X1016" s="17" t="n"/>
      <ns0:c r="Y1016" s="17" t="n"/>
      <ns0:c r="Z1016" s="17" t="n"/>
      <ns0:c r="AA1016" s="17" t="n"/>
      <ns0:c r="AB1016" s="17" t="n"/>
      <ns0:c r="AC1016" s="17" t="n"/>
      <ns0:c r="AD1016" s="17" t="n"/>
      <ns0:c r="AE1016" s="17" t="n"/>
      <ns0:c r="AF1016" s="17" t="n"/>
      <ns0:c r="AG1016" s="17" t="n"/>
    </ns0:row>
    <ns0:row r="1017" ht="24" customHeight="1">
      <ns0:c r="D1017" s="17" t="n"/>
      <ns0:c r="E1017" s="17" t="n"/>
      <ns0:c r="F1017" s="17" t="n"/>
      <ns0:c r="G1017" s="17" t="n"/>
      <ns0:c r="H1017" s="17" t="n"/>
      <ns0:c r="I1017" s="17" t="n"/>
      <ns0:c r="J1017" s="17" t="n"/>
      <ns0:c r="K1017" s="17" t="n"/>
      <ns0:c r="L1017" s="17" t="n"/>
      <ns0:c r="M1017" s="17" t="n"/>
      <ns0:c r="N1017" s="17" t="n"/>
      <ns0:c r="O1017" s="17" t="n"/>
      <ns0:c r="P1017" s="17" t="n"/>
      <ns0:c r="Q1017" s="17" t="n"/>
      <ns0:c r="R1017" s="17" t="n"/>
      <ns0:c r="S1017" s="17" t="n"/>
      <ns0:c r="T1017" s="17" t="n"/>
      <ns0:c r="U1017" s="17" t="n"/>
      <ns0:c r="V1017" s="17" t="n"/>
      <ns0:c r="W1017" s="17" t="n"/>
      <ns0:c r="X1017" s="17" t="n"/>
      <ns0:c r="Y1017" s="17" t="n"/>
      <ns0:c r="Z1017" s="17" t="n"/>
      <ns0:c r="AA1017" s="17" t="n"/>
      <ns0:c r="AB1017" s="17" t="n"/>
      <ns0:c r="AC1017" s="17" t="n"/>
      <ns0:c r="AD1017" s="17" t="n"/>
      <ns0:c r="AE1017" s="17" t="n"/>
      <ns0:c r="AF1017" s="17" t="n"/>
      <ns0:c r="AG1017" s="17" t="n"/>
    </ns0:row>
    <ns0:row r="1018" ht="24" customHeight="1">
      <ns0:c r="D1018" s="17" t="n"/>
      <ns0:c r="E1018" s="17" t="n"/>
      <ns0:c r="F1018" s="17" t="n"/>
      <ns0:c r="G1018" s="17" t="n"/>
      <ns0:c r="H1018" s="17" t="n"/>
      <ns0:c r="I1018" s="17" t="n"/>
      <ns0:c r="J1018" s="17" t="n"/>
      <ns0:c r="K1018" s="17" t="n"/>
      <ns0:c r="L1018" s="17" t="n"/>
      <ns0:c r="M1018" s="17" t="n"/>
      <ns0:c r="N1018" s="17" t="n"/>
      <ns0:c r="O1018" s="17" t="n"/>
      <ns0:c r="P1018" s="17" t="n"/>
      <ns0:c r="Q1018" s="17" t="n"/>
      <ns0:c r="R1018" s="17" t="n"/>
      <ns0:c r="S1018" s="17" t="n"/>
      <ns0:c r="T1018" s="17" t="n"/>
      <ns0:c r="U1018" s="17" t="n"/>
      <ns0:c r="V1018" s="17" t="n"/>
      <ns0:c r="W1018" s="17" t="n"/>
      <ns0:c r="X1018" s="17" t="n"/>
      <ns0:c r="Y1018" s="17" t="n"/>
      <ns0:c r="Z1018" s="17" t="n"/>
      <ns0:c r="AA1018" s="17" t="n"/>
      <ns0:c r="AB1018" s="17" t="n"/>
      <ns0:c r="AC1018" s="17" t="n"/>
      <ns0:c r="AD1018" s="17" t="n"/>
      <ns0:c r="AE1018" s="17" t="n"/>
      <ns0:c r="AF1018" s="17" t="n"/>
      <ns0:c r="AG1018" s="17" t="n"/>
    </ns0:row>
    <ns0:row r="1019" ht="24" customHeight="1">
      <ns0:c r="D1019" s="17" t="n"/>
      <ns0:c r="E1019" s="17" t="n"/>
      <ns0:c r="F1019" s="17" t="n"/>
      <ns0:c r="G1019" s="17" t="n"/>
      <ns0:c r="H1019" s="17" t="n"/>
      <ns0:c r="I1019" s="17" t="n"/>
      <ns0:c r="J1019" s="17" t="n"/>
      <ns0:c r="K1019" s="17" t="n"/>
      <ns0:c r="L1019" s="17" t="n"/>
      <ns0:c r="M1019" s="17" t="n"/>
      <ns0:c r="N1019" s="17" t="n"/>
      <ns0:c r="O1019" s="17" t="n"/>
      <ns0:c r="P1019" s="17" t="n"/>
      <ns0:c r="Q1019" s="17" t="n"/>
      <ns0:c r="R1019" s="17" t="n"/>
      <ns0:c r="S1019" s="17" t="n"/>
      <ns0:c r="T1019" s="17" t="n"/>
      <ns0:c r="U1019" s="17" t="n"/>
      <ns0:c r="V1019" s="17" t="n"/>
      <ns0:c r="W1019" s="17" t="n"/>
      <ns0:c r="X1019" s="17" t="n"/>
      <ns0:c r="Y1019" s="17" t="n"/>
      <ns0:c r="Z1019" s="17" t="n"/>
      <ns0:c r="AA1019" s="17" t="n"/>
      <ns0:c r="AB1019" s="17" t="n"/>
      <ns0:c r="AC1019" s="17" t="n"/>
      <ns0:c r="AD1019" s="17" t="n"/>
      <ns0:c r="AE1019" s="17" t="n"/>
      <ns0:c r="AF1019" s="17" t="n"/>
      <ns0:c r="AG1019" s="17" t="n"/>
    </ns0:row>
    <ns0:row r="1020" ht="24" customHeight="1">
      <ns0:c r="D1020" s="17" t="n"/>
      <ns0:c r="E1020" s="17" t="n"/>
      <ns0:c r="F1020" s="17" t="n"/>
      <ns0:c r="G1020" s="17" t="n"/>
      <ns0:c r="H1020" s="17" t="n"/>
      <ns0:c r="I1020" s="17" t="n"/>
      <ns0:c r="J1020" s="17" t="n"/>
      <ns0:c r="K1020" s="17" t="n"/>
      <ns0:c r="L1020" s="17" t="n"/>
      <ns0:c r="M1020" s="17" t="n"/>
      <ns0:c r="N1020" s="17" t="n"/>
      <ns0:c r="O1020" s="17" t="n"/>
      <ns0:c r="P1020" s="17" t="n"/>
      <ns0:c r="Q1020" s="17" t="n"/>
      <ns0:c r="R1020" s="17" t="n"/>
      <ns0:c r="S1020" s="17" t="n"/>
      <ns0:c r="T1020" s="17" t="n"/>
      <ns0:c r="U1020" s="17" t="n"/>
      <ns0:c r="V1020" s="17" t="n"/>
      <ns0:c r="W1020" s="17" t="n"/>
      <ns0:c r="X1020" s="17" t="n"/>
      <ns0:c r="Y1020" s="17" t="n"/>
      <ns0:c r="Z1020" s="17" t="n"/>
      <ns0:c r="AA1020" s="17" t="n"/>
      <ns0:c r="AB1020" s="17" t="n"/>
      <ns0:c r="AC1020" s="17" t="n"/>
      <ns0:c r="AD1020" s="17" t="n"/>
      <ns0:c r="AE1020" s="17" t="n"/>
      <ns0:c r="AF1020" s="17" t="n"/>
      <ns0:c r="AG1020" s="17" t="n"/>
    </ns0:row>
    <ns0:row r="1021" ht="24" customHeight="1">
      <ns0:c r="D1021" s="17" t="n"/>
      <ns0:c r="E1021" s="17" t="n"/>
      <ns0:c r="F1021" s="17" t="n"/>
      <ns0:c r="G1021" s="17" t="n"/>
      <ns0:c r="H1021" s="17" t="n"/>
      <ns0:c r="I1021" s="17" t="n"/>
      <ns0:c r="J1021" s="17" t="n"/>
      <ns0:c r="K1021" s="17" t="n"/>
      <ns0:c r="L1021" s="17" t="n"/>
      <ns0:c r="M1021" s="17" t="n"/>
      <ns0:c r="N1021" s="17" t="n"/>
      <ns0:c r="O1021" s="17" t="n"/>
      <ns0:c r="P1021" s="17" t="n"/>
      <ns0:c r="Q1021" s="17" t="n"/>
      <ns0:c r="R1021" s="17" t="n"/>
      <ns0:c r="S1021" s="17" t="n"/>
      <ns0:c r="T1021" s="17" t="n"/>
      <ns0:c r="U1021" s="17" t="n"/>
      <ns0:c r="V1021" s="17" t="n"/>
      <ns0:c r="W1021" s="17" t="n"/>
      <ns0:c r="X1021" s="17" t="n"/>
      <ns0:c r="Y1021" s="17" t="n"/>
      <ns0:c r="Z1021" s="17" t="n"/>
      <ns0:c r="AA1021" s="17" t="n"/>
      <ns0:c r="AB1021" s="17" t="n"/>
      <ns0:c r="AC1021" s="17" t="n"/>
      <ns0:c r="AD1021" s="17" t="n"/>
      <ns0:c r="AE1021" s="17" t="n"/>
      <ns0:c r="AF1021" s="17" t="n"/>
      <ns0:c r="AG1021" s="17" t="n"/>
    </ns0:row>
    <ns0:row r="1022" ht="24" customHeight="1">
      <ns0:c r="D1022" s="17" t="n"/>
      <ns0:c r="E1022" s="17" t="n"/>
      <ns0:c r="F1022" s="17" t="n"/>
      <ns0:c r="G1022" s="17" t="n"/>
      <ns0:c r="H1022" s="17" t="n"/>
      <ns0:c r="I1022" s="17" t="n"/>
      <ns0:c r="J1022" s="17" t="n"/>
      <ns0:c r="K1022" s="17" t="n"/>
      <ns0:c r="L1022" s="17" t="n"/>
      <ns0:c r="M1022" s="17" t="n"/>
      <ns0:c r="N1022" s="17" t="n"/>
      <ns0:c r="O1022" s="17" t="n"/>
      <ns0:c r="P1022" s="17" t="n"/>
      <ns0:c r="Q1022" s="17" t="n"/>
      <ns0:c r="R1022" s="17" t="n"/>
      <ns0:c r="S1022" s="17" t="n"/>
      <ns0:c r="T1022" s="17" t="n"/>
      <ns0:c r="U1022" s="17" t="n"/>
      <ns0:c r="V1022" s="17" t="n"/>
      <ns0:c r="W1022" s="17" t="n"/>
      <ns0:c r="X1022" s="17" t="n"/>
      <ns0:c r="Y1022" s="17" t="n"/>
      <ns0:c r="Z1022" s="17" t="n"/>
      <ns0:c r="AA1022" s="17" t="n"/>
      <ns0:c r="AB1022" s="17" t="n"/>
      <ns0:c r="AC1022" s="17" t="n"/>
      <ns0:c r="AD1022" s="17" t="n"/>
      <ns0:c r="AE1022" s="17" t="n"/>
      <ns0:c r="AF1022" s="17" t="n"/>
      <ns0:c r="AG1022" s="17" t="n"/>
    </ns0:row>
    <ns0:row r="1023" ht="24" customHeight="1">
      <ns0:c r="D1023" s="17" t="n"/>
      <ns0:c r="E1023" s="17" t="n"/>
      <ns0:c r="F1023" s="17" t="n"/>
      <ns0:c r="G1023" s="17" t="n"/>
      <ns0:c r="H1023" s="17" t="n"/>
      <ns0:c r="I1023" s="17" t="n"/>
      <ns0:c r="J1023" s="17" t="n"/>
      <ns0:c r="K1023" s="17" t="n"/>
      <ns0:c r="L1023" s="17" t="n"/>
      <ns0:c r="M1023" s="17" t="n"/>
      <ns0:c r="N1023" s="17" t="n"/>
      <ns0:c r="O1023" s="17" t="n"/>
      <ns0:c r="P1023" s="17" t="n"/>
      <ns0:c r="Q1023" s="17" t="n"/>
      <ns0:c r="R1023" s="17" t="n"/>
      <ns0:c r="S1023" s="17" t="n"/>
      <ns0:c r="T1023" s="17" t="n"/>
      <ns0:c r="U1023" s="17" t="n"/>
      <ns0:c r="V1023" s="17" t="n"/>
      <ns0:c r="W1023" s="17" t="n"/>
      <ns0:c r="X1023" s="17" t="n"/>
      <ns0:c r="Y1023" s="17" t="n"/>
      <ns0:c r="Z1023" s="17" t="n"/>
      <ns0:c r="AA1023" s="17" t="n"/>
      <ns0:c r="AB1023" s="17" t="n"/>
      <ns0:c r="AC1023" s="17" t="n"/>
      <ns0:c r="AD1023" s="17" t="n"/>
      <ns0:c r="AE1023" s="17" t="n"/>
      <ns0:c r="AF1023" s="17" t="n"/>
      <ns0:c r="AG1023" s="17" t="n"/>
    </ns0:row>
    <ns0:row r="1024" ht="24" customHeight="1">
      <ns0:c r="D1024" s="17" t="n"/>
      <ns0:c r="E1024" s="17" t="n"/>
      <ns0:c r="F1024" s="17" t="n"/>
      <ns0:c r="G1024" s="17" t="n"/>
      <ns0:c r="H1024" s="17" t="n"/>
      <ns0:c r="I1024" s="17" t="n"/>
      <ns0:c r="J1024" s="17" t="n"/>
      <ns0:c r="K1024" s="17" t="n"/>
      <ns0:c r="L1024" s="17" t="n"/>
      <ns0:c r="M1024" s="17" t="n"/>
      <ns0:c r="N1024" s="17" t="n"/>
      <ns0:c r="O1024" s="17" t="n"/>
      <ns0:c r="P1024" s="17" t="n"/>
      <ns0:c r="Q1024" s="17" t="n"/>
      <ns0:c r="R1024" s="17" t="n"/>
      <ns0:c r="S1024" s="17" t="n"/>
      <ns0:c r="T1024" s="17" t="n"/>
      <ns0:c r="U1024" s="17" t="n"/>
      <ns0:c r="V1024" s="17" t="n"/>
      <ns0:c r="W1024" s="17" t="n"/>
      <ns0:c r="X1024" s="17" t="n"/>
      <ns0:c r="Y1024" s="17" t="n"/>
      <ns0:c r="Z1024" s="17" t="n"/>
      <ns0:c r="AA1024" s="17" t="n"/>
      <ns0:c r="AB1024" s="17" t="n"/>
      <ns0:c r="AC1024" s="17" t="n"/>
      <ns0:c r="AD1024" s="17" t="n"/>
      <ns0:c r="AE1024" s="17" t="n"/>
      <ns0:c r="AF1024" s="17" t="n"/>
      <ns0:c r="AG1024" s="17" t="n"/>
    </ns0:row>
    <ns0:row r="1025" ht="24" customHeight="1">
      <ns0:c r="D1025" s="17" t="n"/>
      <ns0:c r="E1025" s="17" t="n"/>
      <ns0:c r="F1025" s="17" t="n"/>
      <ns0:c r="G1025" s="17" t="n"/>
      <ns0:c r="H1025" s="17" t="n"/>
      <ns0:c r="I1025" s="17" t="n"/>
      <ns0:c r="J1025" s="17" t="n"/>
      <ns0:c r="K1025" s="17" t="n"/>
      <ns0:c r="L1025" s="17" t="n"/>
      <ns0:c r="M1025" s="17" t="n"/>
      <ns0:c r="N1025" s="17" t="n"/>
      <ns0:c r="O1025" s="17" t="n"/>
      <ns0:c r="P1025" s="17" t="n"/>
      <ns0:c r="Q1025" s="17" t="n"/>
      <ns0:c r="R1025" s="17" t="n"/>
      <ns0:c r="S1025" s="17" t="n"/>
      <ns0:c r="T1025" s="17" t="n"/>
      <ns0:c r="U1025" s="17" t="n"/>
      <ns0:c r="V1025" s="17" t="n"/>
      <ns0:c r="W1025" s="17" t="n"/>
      <ns0:c r="X1025" s="17" t="n"/>
      <ns0:c r="Y1025" s="17" t="n"/>
      <ns0:c r="Z1025" s="17" t="n"/>
      <ns0:c r="AA1025" s="17" t="n"/>
      <ns0:c r="AB1025" s="17" t="n"/>
      <ns0:c r="AC1025" s="17" t="n"/>
      <ns0:c r="AD1025" s="17" t="n"/>
      <ns0:c r="AE1025" s="17" t="n"/>
      <ns0:c r="AF1025" s="17" t="n"/>
      <ns0:c r="AG1025" s="17" t="n"/>
    </ns0:row>
    <ns0:row r="1026" ht="24" customHeight="1">
      <ns0:c r="D1026" s="17" t="n"/>
      <ns0:c r="E1026" s="17" t="n"/>
      <ns0:c r="F1026" s="17" t="n"/>
      <ns0:c r="G1026" s="17" t="n"/>
      <ns0:c r="H1026" s="17" t="n"/>
      <ns0:c r="I1026" s="17" t="n"/>
      <ns0:c r="J1026" s="17" t="n"/>
      <ns0:c r="K1026" s="17" t="n"/>
      <ns0:c r="L1026" s="17" t="n"/>
      <ns0:c r="M1026" s="17" t="n"/>
      <ns0:c r="N1026" s="17" t="n"/>
      <ns0:c r="O1026" s="17" t="n"/>
      <ns0:c r="P1026" s="17" t="n"/>
      <ns0:c r="Q1026" s="17" t="n"/>
      <ns0:c r="R1026" s="17" t="n"/>
      <ns0:c r="S1026" s="17" t="n"/>
      <ns0:c r="T1026" s="17" t="n"/>
      <ns0:c r="U1026" s="17" t="n"/>
      <ns0:c r="V1026" s="17" t="n"/>
      <ns0:c r="W1026" s="17" t="n"/>
      <ns0:c r="X1026" s="17" t="n"/>
      <ns0:c r="Y1026" s="17" t="n"/>
      <ns0:c r="Z1026" s="17" t="n"/>
      <ns0:c r="AA1026" s="17" t="n"/>
      <ns0:c r="AB1026" s="17" t="n"/>
      <ns0:c r="AC1026" s="17" t="n"/>
      <ns0:c r="AD1026" s="17" t="n"/>
      <ns0:c r="AE1026" s="17" t="n"/>
      <ns0:c r="AF1026" s="17" t="n"/>
      <ns0:c r="AG1026" s="17" t="n"/>
    </ns0:row>
    <ns0:row r="1027" ht="24" customHeight="1">
      <ns0:c r="D1027" s="17" t="n"/>
      <ns0:c r="E1027" s="17" t="n"/>
      <ns0:c r="F1027" s="17" t="n"/>
      <ns0:c r="G1027" s="17" t="n"/>
      <ns0:c r="H1027" s="17" t="n"/>
      <ns0:c r="I1027" s="17" t="n"/>
      <ns0:c r="J1027" s="17" t="n"/>
      <ns0:c r="K1027" s="17" t="n"/>
      <ns0:c r="L1027" s="17" t="n"/>
      <ns0:c r="M1027" s="17" t="n"/>
      <ns0:c r="N1027" s="17" t="n"/>
      <ns0:c r="O1027" s="17" t="n"/>
      <ns0:c r="P1027" s="17" t="n"/>
      <ns0:c r="Q1027" s="17" t="n"/>
      <ns0:c r="R1027" s="17" t="n"/>
      <ns0:c r="S1027" s="17" t="n"/>
      <ns0:c r="T1027" s="17" t="n"/>
      <ns0:c r="U1027" s="17" t="n"/>
      <ns0:c r="V1027" s="17" t="n"/>
      <ns0:c r="W1027" s="17" t="n"/>
      <ns0:c r="X1027" s="17" t="n"/>
      <ns0:c r="Y1027" s="17" t="n"/>
      <ns0:c r="Z1027" s="17" t="n"/>
      <ns0:c r="AA1027" s="17" t="n"/>
      <ns0:c r="AB1027" s="17" t="n"/>
      <ns0:c r="AC1027" s="17" t="n"/>
      <ns0:c r="AD1027" s="17" t="n"/>
      <ns0:c r="AE1027" s="17" t="n"/>
      <ns0:c r="AF1027" s="17" t="n"/>
      <ns0:c r="AG1027" s="17" t="n"/>
    </ns0:row>
    <ns0:row r="1028" ht="24" customHeight="1">
      <ns0:c r="D1028" s="17" t="n"/>
      <ns0:c r="E1028" s="17" t="n"/>
      <ns0:c r="F1028" s="17" t="n"/>
      <ns0:c r="G1028" s="17" t="n"/>
      <ns0:c r="H1028" s="17" t="n"/>
      <ns0:c r="I1028" s="17" t="n"/>
      <ns0:c r="J1028" s="17" t="n"/>
      <ns0:c r="K1028" s="17" t="n"/>
      <ns0:c r="L1028" s="17" t="n"/>
      <ns0:c r="M1028" s="17" t="n"/>
      <ns0:c r="N1028" s="17" t="n"/>
      <ns0:c r="O1028" s="17" t="n"/>
      <ns0:c r="P1028" s="17" t="n"/>
      <ns0:c r="Q1028" s="17" t="n"/>
      <ns0:c r="R1028" s="17" t="n"/>
      <ns0:c r="S1028" s="17" t="n"/>
      <ns0:c r="T1028" s="17" t="n"/>
      <ns0:c r="U1028" s="17" t="n"/>
      <ns0:c r="V1028" s="17" t="n"/>
      <ns0:c r="W1028" s="17" t="n"/>
      <ns0:c r="X1028" s="17" t="n"/>
      <ns0:c r="Y1028" s="17" t="n"/>
      <ns0:c r="Z1028" s="17" t="n"/>
      <ns0:c r="AA1028" s="17" t="n"/>
      <ns0:c r="AB1028" s="17" t="n"/>
      <ns0:c r="AC1028" s="17" t="n"/>
      <ns0:c r="AD1028" s="17" t="n"/>
      <ns0:c r="AE1028" s="17" t="n"/>
      <ns0:c r="AF1028" s="17" t="n"/>
      <ns0:c r="AG1028" s="17" t="n"/>
    </ns0:row>
    <ns0:row r="1029" ht="24" customHeight="1">
      <ns0:c r="D1029" s="17" t="n"/>
      <ns0:c r="E1029" s="17" t="n"/>
      <ns0:c r="F1029" s="17" t="n"/>
      <ns0:c r="G1029" s="17" t="n"/>
      <ns0:c r="H1029" s="17" t="n"/>
      <ns0:c r="I1029" s="17" t="n"/>
      <ns0:c r="J1029" s="17" t="n"/>
      <ns0:c r="K1029" s="17" t="n"/>
      <ns0:c r="L1029" s="17" t="n"/>
      <ns0:c r="M1029" s="17" t="n"/>
      <ns0:c r="N1029" s="17" t="n"/>
      <ns0:c r="O1029" s="17" t="n"/>
      <ns0:c r="P1029" s="17" t="n"/>
      <ns0:c r="Q1029" s="17" t="n"/>
      <ns0:c r="R1029" s="17" t="n"/>
      <ns0:c r="S1029" s="17" t="n"/>
      <ns0:c r="T1029" s="17" t="n"/>
      <ns0:c r="U1029" s="17" t="n"/>
      <ns0:c r="V1029" s="17" t="n"/>
      <ns0:c r="W1029" s="17" t="n"/>
      <ns0:c r="X1029" s="17" t="n"/>
      <ns0:c r="Y1029" s="17" t="n"/>
      <ns0:c r="Z1029" s="17" t="n"/>
      <ns0:c r="AA1029" s="17" t="n"/>
      <ns0:c r="AB1029" s="17" t="n"/>
      <ns0:c r="AC1029" s="17" t="n"/>
      <ns0:c r="AD1029" s="17" t="n"/>
      <ns0:c r="AE1029" s="17" t="n"/>
      <ns0:c r="AF1029" s="17" t="n"/>
      <ns0:c r="AG1029" s="17" t="n"/>
    </ns0:row>
    <ns0:row r="1030" ht="24" customHeight="1">
      <ns0:c r="D1030" s="17" t="n"/>
      <ns0:c r="E1030" s="17" t="n"/>
      <ns0:c r="F1030" s="17" t="n"/>
      <ns0:c r="G1030" s="17" t="n"/>
      <ns0:c r="H1030" s="17" t="n"/>
      <ns0:c r="I1030" s="17" t="n"/>
      <ns0:c r="J1030" s="17" t="n"/>
      <ns0:c r="K1030" s="17" t="n"/>
      <ns0:c r="L1030" s="17" t="n"/>
      <ns0:c r="M1030" s="17" t="n"/>
      <ns0:c r="N1030" s="17" t="n"/>
      <ns0:c r="O1030" s="17" t="n"/>
      <ns0:c r="P1030" s="17" t="n"/>
      <ns0:c r="Q1030" s="17" t="n"/>
      <ns0:c r="R1030" s="17" t="n"/>
      <ns0:c r="S1030" s="17" t="n"/>
      <ns0:c r="T1030" s="17" t="n"/>
      <ns0:c r="U1030" s="17" t="n"/>
      <ns0:c r="V1030" s="17" t="n"/>
      <ns0:c r="W1030" s="17" t="n"/>
      <ns0:c r="X1030" s="17" t="n"/>
      <ns0:c r="Y1030" s="17" t="n"/>
      <ns0:c r="Z1030" s="17" t="n"/>
      <ns0:c r="AA1030" s="17" t="n"/>
      <ns0:c r="AB1030" s="17" t="n"/>
      <ns0:c r="AC1030" s="17" t="n"/>
      <ns0:c r="AD1030" s="17" t="n"/>
      <ns0:c r="AE1030" s="17" t="n"/>
      <ns0:c r="AF1030" s="17" t="n"/>
      <ns0:c r="AG1030" s="17" t="n"/>
    </ns0:row>
    <ns0:row r="1031" ht="24" customHeight="1">
      <ns0:c r="D1031" s="17" t="n"/>
      <ns0:c r="E1031" s="17" t="n"/>
      <ns0:c r="F1031" s="17" t="n"/>
      <ns0:c r="G1031" s="17" t="n"/>
      <ns0:c r="H1031" s="17" t="n"/>
      <ns0:c r="I1031" s="17" t="n"/>
      <ns0:c r="J1031" s="17" t="n"/>
      <ns0:c r="K1031" s="17" t="n"/>
      <ns0:c r="L1031" s="17" t="n"/>
      <ns0:c r="M1031" s="17" t="n"/>
      <ns0:c r="N1031" s="17" t="n"/>
      <ns0:c r="O1031" s="17" t="n"/>
      <ns0:c r="P1031" s="17" t="n"/>
      <ns0:c r="Q1031" s="17" t="n"/>
      <ns0:c r="R1031" s="17" t="n"/>
      <ns0:c r="S1031" s="17" t="n"/>
      <ns0:c r="T1031" s="17" t="n"/>
      <ns0:c r="U1031" s="17" t="n"/>
      <ns0:c r="V1031" s="17" t="n"/>
      <ns0:c r="W1031" s="17" t="n"/>
      <ns0:c r="X1031" s="17" t="n"/>
      <ns0:c r="Y1031" s="17" t="n"/>
      <ns0:c r="Z1031" s="17" t="n"/>
      <ns0:c r="AA1031" s="17" t="n"/>
      <ns0:c r="AB1031" s="17" t="n"/>
      <ns0:c r="AC1031" s="17" t="n"/>
      <ns0:c r="AD1031" s="17" t="n"/>
      <ns0:c r="AE1031" s="17" t="n"/>
      <ns0:c r="AF1031" s="17" t="n"/>
      <ns0:c r="AG1031" s="17" t="n"/>
    </ns0:row>
    <ns0:row r="1032" ht="24" customHeight="1">
      <ns0:c r="D1032" s="17" t="n"/>
      <ns0:c r="E1032" s="17" t="n"/>
      <ns0:c r="F1032" s="17" t="n"/>
      <ns0:c r="G1032" s="17" t="n"/>
      <ns0:c r="H1032" s="17" t="n"/>
      <ns0:c r="I1032" s="17" t="n"/>
      <ns0:c r="J1032" s="17" t="n"/>
      <ns0:c r="K1032" s="17" t="n"/>
      <ns0:c r="L1032" s="17" t="n"/>
      <ns0:c r="M1032" s="17" t="n"/>
      <ns0:c r="N1032" s="17" t="n"/>
      <ns0:c r="O1032" s="17" t="n"/>
      <ns0:c r="P1032" s="17" t="n"/>
      <ns0:c r="Q1032" s="17" t="n"/>
      <ns0:c r="R1032" s="17" t="n"/>
      <ns0:c r="S1032" s="17" t="n"/>
      <ns0:c r="T1032" s="17" t="n"/>
      <ns0:c r="U1032" s="17" t="n"/>
      <ns0:c r="V1032" s="17" t="n"/>
      <ns0:c r="W1032" s="17" t="n"/>
      <ns0:c r="X1032" s="17" t="n"/>
      <ns0:c r="Y1032" s="17" t="n"/>
      <ns0:c r="Z1032" s="17" t="n"/>
      <ns0:c r="AA1032" s="17" t="n"/>
      <ns0:c r="AB1032" s="17" t="n"/>
      <ns0:c r="AC1032" s="17" t="n"/>
      <ns0:c r="AD1032" s="17" t="n"/>
      <ns0:c r="AE1032" s="17" t="n"/>
      <ns0:c r="AF1032" s="17" t="n"/>
      <ns0:c r="AG1032" s="17" t="n"/>
    </ns0:row>
    <ns0:row r="1033" ht="24" customHeight="1">
      <ns0:c r="D1033" s="17" t="n"/>
      <ns0:c r="E1033" s="17" t="n"/>
      <ns0:c r="F1033" s="17" t="n"/>
      <ns0:c r="G1033" s="17" t="n"/>
      <ns0:c r="H1033" s="17" t="n"/>
      <ns0:c r="I1033" s="17" t="n"/>
      <ns0:c r="J1033" s="17" t="n"/>
      <ns0:c r="K1033" s="17" t="n"/>
      <ns0:c r="L1033" s="17" t="n"/>
      <ns0:c r="M1033" s="17" t="n"/>
      <ns0:c r="N1033" s="17" t="n"/>
      <ns0:c r="O1033" s="17" t="n"/>
      <ns0:c r="P1033" s="17" t="n"/>
      <ns0:c r="Q1033" s="17" t="n"/>
      <ns0:c r="R1033" s="17" t="n"/>
      <ns0:c r="S1033" s="17" t="n"/>
      <ns0:c r="T1033" s="17" t="n"/>
      <ns0:c r="U1033" s="17" t="n"/>
      <ns0:c r="V1033" s="17" t="n"/>
      <ns0:c r="W1033" s="17" t="n"/>
      <ns0:c r="X1033" s="17" t="n"/>
      <ns0:c r="Y1033" s="17" t="n"/>
      <ns0:c r="Z1033" s="17" t="n"/>
      <ns0:c r="AA1033" s="17" t="n"/>
      <ns0:c r="AB1033" s="17" t="n"/>
      <ns0:c r="AC1033" s="17" t="n"/>
      <ns0:c r="AD1033" s="17" t="n"/>
      <ns0:c r="AE1033" s="17" t="n"/>
      <ns0:c r="AF1033" s="17" t="n"/>
      <ns0:c r="AG1033" s="17" t="n"/>
    </ns0:row>
    <ns0:row r="1034" ht="24" customHeight="1">
      <ns0:c r="D1034" s="17" t="n"/>
      <ns0:c r="E1034" s="17" t="n"/>
      <ns0:c r="F1034" s="17" t="n"/>
      <ns0:c r="G1034" s="17" t="n"/>
      <ns0:c r="H1034" s="17" t="n"/>
      <ns0:c r="I1034" s="17" t="n"/>
      <ns0:c r="J1034" s="17" t="n"/>
      <ns0:c r="K1034" s="17" t="n"/>
      <ns0:c r="L1034" s="17" t="n"/>
      <ns0:c r="M1034" s="17" t="n"/>
      <ns0:c r="N1034" s="17" t="n"/>
      <ns0:c r="O1034" s="17" t="n"/>
      <ns0:c r="P1034" s="17" t="n"/>
      <ns0:c r="Q1034" s="17" t="n"/>
      <ns0:c r="R1034" s="17" t="n"/>
      <ns0:c r="S1034" s="17" t="n"/>
      <ns0:c r="T1034" s="17" t="n"/>
      <ns0:c r="U1034" s="17" t="n"/>
      <ns0:c r="V1034" s="17" t="n"/>
      <ns0:c r="W1034" s="17" t="n"/>
      <ns0:c r="X1034" s="17" t="n"/>
      <ns0:c r="Y1034" s="17" t="n"/>
      <ns0:c r="Z1034" s="17" t="n"/>
      <ns0:c r="AA1034" s="17" t="n"/>
      <ns0:c r="AB1034" s="17" t="n"/>
      <ns0:c r="AC1034" s="17" t="n"/>
      <ns0:c r="AD1034" s="17" t="n"/>
      <ns0:c r="AE1034" s="17" t="n"/>
      <ns0:c r="AF1034" s="17" t="n"/>
      <ns0:c r="AG1034" s="17" t="n"/>
    </ns0:row>
    <ns0:row r="1035" ht="24" customHeight="1">
      <ns0:c r="D1035" s="17" t="n"/>
      <ns0:c r="E1035" s="17" t="n"/>
      <ns0:c r="F1035" s="17" t="n"/>
      <ns0:c r="G1035" s="17" t="n"/>
      <ns0:c r="H1035" s="17" t="n"/>
      <ns0:c r="I1035" s="17" t="n"/>
      <ns0:c r="J1035" s="17" t="n"/>
      <ns0:c r="K1035" s="17" t="n"/>
      <ns0:c r="L1035" s="17" t="n"/>
      <ns0:c r="M1035" s="17" t="n"/>
      <ns0:c r="N1035" s="17" t="n"/>
      <ns0:c r="O1035" s="17" t="n"/>
      <ns0:c r="P1035" s="17" t="n"/>
      <ns0:c r="Q1035" s="17" t="n"/>
      <ns0:c r="R1035" s="17" t="n"/>
      <ns0:c r="S1035" s="17" t="n"/>
      <ns0:c r="T1035" s="17" t="n"/>
      <ns0:c r="U1035" s="17" t="n"/>
      <ns0:c r="V1035" s="17" t="n"/>
      <ns0:c r="W1035" s="17" t="n"/>
      <ns0:c r="X1035" s="17" t="n"/>
      <ns0:c r="Y1035" s="17" t="n"/>
      <ns0:c r="Z1035" s="17" t="n"/>
      <ns0:c r="AA1035" s="17" t="n"/>
      <ns0:c r="AB1035" s="17" t="n"/>
      <ns0:c r="AC1035" s="17" t="n"/>
      <ns0:c r="AD1035" s="17" t="n"/>
      <ns0:c r="AE1035" s="17" t="n"/>
      <ns0:c r="AF1035" s="17" t="n"/>
      <ns0:c r="AG1035" s="17" t="n"/>
    </ns0:row>
    <ns0:row r="1036" ht="24" customHeight="1">
      <ns0:c r="D1036" s="17" t="n"/>
      <ns0:c r="E1036" s="17" t="n"/>
      <ns0:c r="F1036" s="17" t="n"/>
      <ns0:c r="G1036" s="17" t="n"/>
      <ns0:c r="H1036" s="17" t="n"/>
      <ns0:c r="I1036" s="17" t="n"/>
      <ns0:c r="J1036" s="17" t="n"/>
      <ns0:c r="K1036" s="17" t="n"/>
      <ns0:c r="L1036" s="17" t="n"/>
      <ns0:c r="M1036" s="17" t="n"/>
      <ns0:c r="N1036" s="17" t="n"/>
      <ns0:c r="O1036" s="17" t="n"/>
      <ns0:c r="P1036" s="17" t="n"/>
      <ns0:c r="Q1036" s="17" t="n"/>
      <ns0:c r="R1036" s="17" t="n"/>
      <ns0:c r="S1036" s="17" t="n"/>
      <ns0:c r="T1036" s="17" t="n"/>
      <ns0:c r="U1036" s="17" t="n"/>
      <ns0:c r="V1036" s="17" t="n"/>
      <ns0:c r="W1036" s="17" t="n"/>
      <ns0:c r="X1036" s="17" t="n"/>
      <ns0:c r="Y1036" s="17" t="n"/>
      <ns0:c r="Z1036" s="17" t="n"/>
      <ns0:c r="AA1036" s="17" t="n"/>
      <ns0:c r="AB1036" s="17" t="n"/>
      <ns0:c r="AC1036" s="17" t="n"/>
      <ns0:c r="AD1036" s="17" t="n"/>
      <ns0:c r="AE1036" s="17" t="n"/>
      <ns0:c r="AF1036" s="17" t="n"/>
      <ns0:c r="AG1036" s="17" t="n"/>
    </ns0:row>
    <ns0:row r="1037" ht="24" customHeight="1">
      <ns0:c r="D1037" s="17" t="n"/>
      <ns0:c r="E1037" s="17" t="n"/>
      <ns0:c r="F1037" s="17" t="n"/>
      <ns0:c r="G1037" s="17" t="n"/>
      <ns0:c r="H1037" s="17" t="n"/>
      <ns0:c r="I1037" s="17" t="n"/>
      <ns0:c r="J1037" s="17" t="n"/>
      <ns0:c r="K1037" s="17" t="n"/>
      <ns0:c r="L1037" s="17" t="n"/>
      <ns0:c r="M1037" s="17" t="n"/>
      <ns0:c r="N1037" s="17" t="n"/>
      <ns0:c r="O1037" s="17" t="n"/>
      <ns0:c r="P1037" s="17" t="n"/>
      <ns0:c r="Q1037" s="17" t="n"/>
      <ns0:c r="R1037" s="17" t="n"/>
      <ns0:c r="S1037" s="17" t="n"/>
      <ns0:c r="T1037" s="17" t="n"/>
      <ns0:c r="U1037" s="17" t="n"/>
      <ns0:c r="V1037" s="17" t="n"/>
      <ns0:c r="W1037" s="17" t="n"/>
      <ns0:c r="X1037" s="17" t="n"/>
      <ns0:c r="Y1037" s="17" t="n"/>
      <ns0:c r="Z1037" s="17" t="n"/>
      <ns0:c r="AA1037" s="17" t="n"/>
      <ns0:c r="AB1037" s="17" t="n"/>
      <ns0:c r="AC1037" s="17" t="n"/>
      <ns0:c r="AD1037" s="17" t="n"/>
      <ns0:c r="AE1037" s="17" t="n"/>
      <ns0:c r="AF1037" s="17" t="n"/>
      <ns0:c r="AG1037" s="17" t="n"/>
    </ns0:row>
    <ns0:row r="1038" ht="24" customHeight="1">
      <ns0:c r="D1038" s="17" t="n"/>
      <ns0:c r="E1038" s="17" t="n"/>
      <ns0:c r="F1038" s="17" t="n"/>
      <ns0:c r="G1038" s="17" t="n"/>
      <ns0:c r="H1038" s="17" t="n"/>
      <ns0:c r="I1038" s="17" t="n"/>
      <ns0:c r="J1038" s="17" t="n"/>
      <ns0:c r="K1038" s="17" t="n"/>
      <ns0:c r="L1038" s="17" t="n"/>
      <ns0:c r="M1038" s="17" t="n"/>
      <ns0:c r="N1038" s="17" t="n"/>
      <ns0:c r="O1038" s="17" t="n"/>
      <ns0:c r="P1038" s="17" t="n"/>
      <ns0:c r="Q1038" s="17" t="n"/>
      <ns0:c r="R1038" s="17" t="n"/>
      <ns0:c r="S1038" s="17" t="n"/>
      <ns0:c r="T1038" s="17" t="n"/>
      <ns0:c r="U1038" s="17" t="n"/>
      <ns0:c r="V1038" s="17" t="n"/>
      <ns0:c r="W1038" s="17" t="n"/>
      <ns0:c r="X1038" s="17" t="n"/>
      <ns0:c r="Y1038" s="17" t="n"/>
      <ns0:c r="Z1038" s="17" t="n"/>
      <ns0:c r="AA1038" s="17" t="n"/>
      <ns0:c r="AB1038" s="17" t="n"/>
      <ns0:c r="AC1038" s="17" t="n"/>
      <ns0:c r="AD1038" s="17" t="n"/>
      <ns0:c r="AE1038" s="17" t="n"/>
      <ns0:c r="AF1038" s="17" t="n"/>
      <ns0:c r="AG1038" s="17" t="n"/>
    </ns0:row>
    <ns0:row r="1039" ht="24" customHeight="1">
      <ns0:c r="D1039" s="17" t="n"/>
      <ns0:c r="E1039" s="17" t="n"/>
      <ns0:c r="F1039" s="17" t="n"/>
      <ns0:c r="G1039" s="17" t="n"/>
      <ns0:c r="H1039" s="17" t="n"/>
      <ns0:c r="I1039" s="17" t="n"/>
      <ns0:c r="J1039" s="17" t="n"/>
      <ns0:c r="K1039" s="17" t="n"/>
      <ns0:c r="L1039" s="17" t="n"/>
      <ns0:c r="M1039" s="17" t="n"/>
      <ns0:c r="N1039" s="17" t="n"/>
      <ns0:c r="O1039" s="17" t="n"/>
      <ns0:c r="P1039" s="17" t="n"/>
      <ns0:c r="Q1039" s="17" t="n"/>
      <ns0:c r="R1039" s="17" t="n"/>
      <ns0:c r="S1039" s="17" t="n"/>
      <ns0:c r="T1039" s="17" t="n"/>
      <ns0:c r="U1039" s="17" t="n"/>
      <ns0:c r="V1039" s="17" t="n"/>
      <ns0:c r="W1039" s="17" t="n"/>
      <ns0:c r="X1039" s="17" t="n"/>
      <ns0:c r="Y1039" s="17" t="n"/>
      <ns0:c r="Z1039" s="17" t="n"/>
      <ns0:c r="AA1039" s="17" t="n"/>
      <ns0:c r="AB1039" s="17" t="n"/>
      <ns0:c r="AC1039" s="17" t="n"/>
      <ns0:c r="AD1039" s="17" t="n"/>
      <ns0:c r="AE1039" s="17" t="n"/>
      <ns0:c r="AF1039" s="17" t="n"/>
      <ns0:c r="AG1039" s="17" t="n"/>
    </ns0:row>
    <ns0:row r="1040" ht="24" customHeight="1">
      <ns0:c r="D1040" s="17" t="n"/>
      <ns0:c r="E1040" s="17" t="n"/>
      <ns0:c r="F1040" s="17" t="n"/>
      <ns0:c r="G1040" s="17" t="n"/>
      <ns0:c r="H1040" s="17" t="n"/>
      <ns0:c r="I1040" s="17" t="n"/>
      <ns0:c r="J1040" s="17" t="n"/>
      <ns0:c r="K1040" s="17" t="n"/>
      <ns0:c r="L1040" s="17" t="n"/>
      <ns0:c r="M1040" s="17" t="n"/>
      <ns0:c r="N1040" s="17" t="n"/>
      <ns0:c r="O1040" s="17" t="n"/>
      <ns0:c r="P1040" s="17" t="n"/>
      <ns0:c r="Q1040" s="17" t="n"/>
      <ns0:c r="R1040" s="17" t="n"/>
      <ns0:c r="S1040" s="17" t="n"/>
      <ns0:c r="T1040" s="17" t="n"/>
      <ns0:c r="U1040" s="17" t="n"/>
      <ns0:c r="V1040" s="17" t="n"/>
      <ns0:c r="W1040" s="17" t="n"/>
      <ns0:c r="X1040" s="17" t="n"/>
      <ns0:c r="Y1040" s="17" t="n"/>
      <ns0:c r="Z1040" s="17" t="n"/>
      <ns0:c r="AA1040" s="17" t="n"/>
      <ns0:c r="AB1040" s="17" t="n"/>
      <ns0:c r="AC1040" s="17" t="n"/>
      <ns0:c r="AD1040" s="17" t="n"/>
      <ns0:c r="AE1040" s="17" t="n"/>
      <ns0:c r="AF1040" s="17" t="n"/>
      <ns0:c r="AG1040" s="17" t="n"/>
    </ns0:row>
    <ns0:row r="1041" ht="24" customHeight="1">
      <ns0:c r="D1041" s="17" t="n"/>
      <ns0:c r="E1041" s="17" t="n"/>
      <ns0:c r="F1041" s="17" t="n"/>
      <ns0:c r="G1041" s="17" t="n"/>
      <ns0:c r="H1041" s="17" t="n"/>
      <ns0:c r="I1041" s="17" t="n"/>
      <ns0:c r="J1041" s="17" t="n"/>
      <ns0:c r="K1041" s="17" t="n"/>
      <ns0:c r="L1041" s="17" t="n"/>
      <ns0:c r="M1041" s="17" t="n"/>
      <ns0:c r="N1041" s="17" t="n"/>
      <ns0:c r="O1041" s="17" t="n"/>
      <ns0:c r="P1041" s="17" t="n"/>
      <ns0:c r="Q1041" s="17" t="n"/>
      <ns0:c r="R1041" s="17" t="n"/>
      <ns0:c r="S1041" s="17" t="n"/>
      <ns0:c r="T1041" s="17" t="n"/>
      <ns0:c r="U1041" s="17" t="n"/>
      <ns0:c r="V1041" s="17" t="n"/>
      <ns0:c r="W1041" s="17" t="n"/>
      <ns0:c r="X1041" s="17" t="n"/>
      <ns0:c r="Y1041" s="17" t="n"/>
      <ns0:c r="Z1041" s="17" t="n"/>
      <ns0:c r="AA1041" s="17" t="n"/>
      <ns0:c r="AB1041" s="17" t="n"/>
      <ns0:c r="AC1041" s="17" t="n"/>
      <ns0:c r="AD1041" s="17" t="n"/>
      <ns0:c r="AE1041" s="17" t="n"/>
      <ns0:c r="AF1041" s="17" t="n"/>
      <ns0:c r="AG1041" s="17" t="n"/>
    </ns0:row>
    <ns0:row r="1042" ht="24" customHeight="1">
      <ns0:c r="D1042" s="17" t="n"/>
      <ns0:c r="E1042" s="17" t="n"/>
      <ns0:c r="F1042" s="17" t="n"/>
      <ns0:c r="G1042" s="17" t="n"/>
      <ns0:c r="H1042" s="17" t="n"/>
      <ns0:c r="I1042" s="17" t="n"/>
      <ns0:c r="J1042" s="17" t="n"/>
      <ns0:c r="K1042" s="17" t="n"/>
      <ns0:c r="L1042" s="17" t="n"/>
      <ns0:c r="M1042" s="17" t="n"/>
      <ns0:c r="N1042" s="17" t="n"/>
      <ns0:c r="O1042" s="17" t="n"/>
      <ns0:c r="P1042" s="17" t="n"/>
      <ns0:c r="Q1042" s="17" t="n"/>
      <ns0:c r="R1042" s="17" t="n"/>
      <ns0:c r="S1042" s="17" t="n"/>
      <ns0:c r="T1042" s="17" t="n"/>
      <ns0:c r="U1042" s="17" t="n"/>
      <ns0:c r="V1042" s="17" t="n"/>
      <ns0:c r="W1042" s="17" t="n"/>
      <ns0:c r="X1042" s="17" t="n"/>
      <ns0:c r="Y1042" s="17" t="n"/>
      <ns0:c r="Z1042" s="17" t="n"/>
      <ns0:c r="AA1042" s="17" t="n"/>
      <ns0:c r="AB1042" s="17" t="n"/>
      <ns0:c r="AC1042" s="17" t="n"/>
      <ns0:c r="AD1042" s="17" t="n"/>
      <ns0:c r="AE1042" s="17" t="n"/>
      <ns0:c r="AF1042" s="17" t="n"/>
      <ns0:c r="AG1042" s="17" t="n"/>
    </ns0:row>
    <ns0:row r="1043" ht="24" customHeight="1">
      <ns0:c r="D1043" s="17" t="n"/>
      <ns0:c r="E1043" s="17" t="n"/>
      <ns0:c r="F1043" s="17" t="n"/>
      <ns0:c r="G1043" s="17" t="n"/>
      <ns0:c r="H1043" s="17" t="n"/>
      <ns0:c r="I1043" s="17" t="n"/>
      <ns0:c r="J1043" s="17" t="n"/>
      <ns0:c r="K1043" s="17" t="n"/>
      <ns0:c r="L1043" s="17" t="n"/>
      <ns0:c r="M1043" s="17" t="n"/>
      <ns0:c r="N1043" s="17" t="n"/>
      <ns0:c r="O1043" s="17" t="n"/>
      <ns0:c r="P1043" s="17" t="n"/>
      <ns0:c r="Q1043" s="17" t="n"/>
      <ns0:c r="R1043" s="17" t="n"/>
      <ns0:c r="S1043" s="17" t="n"/>
      <ns0:c r="T1043" s="17" t="n"/>
      <ns0:c r="U1043" s="17" t="n"/>
      <ns0:c r="V1043" s="17" t="n"/>
      <ns0:c r="W1043" s="17" t="n"/>
      <ns0:c r="X1043" s="17" t="n"/>
      <ns0:c r="Y1043" s="17" t="n"/>
      <ns0:c r="Z1043" s="17" t="n"/>
      <ns0:c r="AA1043" s="17" t="n"/>
      <ns0:c r="AB1043" s="17" t="n"/>
      <ns0:c r="AC1043" s="17" t="n"/>
      <ns0:c r="AD1043" s="17" t="n"/>
      <ns0:c r="AE1043" s="17" t="n"/>
      <ns0:c r="AF1043" s="17" t="n"/>
      <ns0:c r="AG1043" s="17" t="n"/>
    </ns0:row>
    <ns0:row r="1044" ht="24" customHeight="1">
      <ns0:c r="D1044" s="17" t="n"/>
      <ns0:c r="E1044" s="17" t="n"/>
      <ns0:c r="F1044" s="17" t="n"/>
      <ns0:c r="G1044" s="17" t="n"/>
      <ns0:c r="H1044" s="17" t="n"/>
      <ns0:c r="I1044" s="17" t="n"/>
      <ns0:c r="J1044" s="17" t="n"/>
      <ns0:c r="K1044" s="17" t="n"/>
      <ns0:c r="L1044" s="17" t="n"/>
      <ns0:c r="M1044" s="17" t="n"/>
      <ns0:c r="N1044" s="17" t="n"/>
      <ns0:c r="O1044" s="17" t="n"/>
      <ns0:c r="P1044" s="17" t="n"/>
      <ns0:c r="Q1044" s="17" t="n"/>
      <ns0:c r="R1044" s="17" t="n"/>
      <ns0:c r="S1044" s="17" t="n"/>
      <ns0:c r="T1044" s="17" t="n"/>
      <ns0:c r="U1044" s="17" t="n"/>
      <ns0:c r="V1044" s="17" t="n"/>
      <ns0:c r="W1044" s="17" t="n"/>
      <ns0:c r="X1044" s="17" t="n"/>
      <ns0:c r="Y1044" s="17" t="n"/>
      <ns0:c r="Z1044" s="17" t="n"/>
      <ns0:c r="AA1044" s="17" t="n"/>
      <ns0:c r="AB1044" s="17" t="n"/>
      <ns0:c r="AC1044" s="17" t="n"/>
      <ns0:c r="AD1044" s="17" t="n"/>
      <ns0:c r="AE1044" s="17" t="n"/>
      <ns0:c r="AF1044" s="17" t="n"/>
      <ns0:c r="AG1044" s="17" t="n"/>
    </ns0:row>
    <ns0:row r="1045" ht="24" customHeight="1">
      <ns0:c r="D1045" s="17" t="n"/>
      <ns0:c r="E1045" s="17" t="n"/>
      <ns0:c r="F1045" s="17" t="n"/>
      <ns0:c r="G1045" s="17" t="n"/>
      <ns0:c r="H1045" s="17" t="n"/>
      <ns0:c r="I1045" s="17" t="n"/>
      <ns0:c r="J1045" s="17" t="n"/>
      <ns0:c r="K1045" s="17" t="n"/>
      <ns0:c r="L1045" s="17" t="n"/>
      <ns0:c r="M1045" s="17" t="n"/>
      <ns0:c r="N1045" s="17" t="n"/>
      <ns0:c r="O1045" s="17" t="n"/>
      <ns0:c r="P1045" s="17" t="n"/>
      <ns0:c r="Q1045" s="17" t="n"/>
      <ns0:c r="R1045" s="17" t="n"/>
      <ns0:c r="S1045" s="17" t="n"/>
      <ns0:c r="T1045" s="17" t="n"/>
      <ns0:c r="U1045" s="17" t="n"/>
      <ns0:c r="V1045" s="17" t="n"/>
      <ns0:c r="W1045" s="17" t="n"/>
      <ns0:c r="X1045" s="17" t="n"/>
      <ns0:c r="Y1045" s="17" t="n"/>
      <ns0:c r="Z1045" s="17" t="n"/>
      <ns0:c r="AA1045" s="17" t="n"/>
      <ns0:c r="AB1045" s="17" t="n"/>
      <ns0:c r="AC1045" s="17" t="n"/>
      <ns0:c r="AD1045" s="17" t="n"/>
      <ns0:c r="AE1045" s="17" t="n"/>
      <ns0:c r="AF1045" s="17" t="n"/>
      <ns0:c r="AG1045" s="17" t="n"/>
    </ns0:row>
    <ns0:row r="1046" ht="24" customHeight="1">
      <ns0:c r="D1046" s="17" t="n"/>
      <ns0:c r="E1046" s="17" t="n"/>
      <ns0:c r="F1046" s="17" t="n"/>
      <ns0:c r="G1046" s="17" t="n"/>
      <ns0:c r="H1046" s="17" t="n"/>
      <ns0:c r="I1046" s="17" t="n"/>
      <ns0:c r="J1046" s="17" t="n"/>
      <ns0:c r="K1046" s="17" t="n"/>
      <ns0:c r="L1046" s="17" t="n"/>
      <ns0:c r="M1046" s="17" t="n"/>
      <ns0:c r="N1046" s="17" t="n"/>
      <ns0:c r="O1046" s="17" t="n"/>
      <ns0:c r="P1046" s="17" t="n"/>
      <ns0:c r="Q1046" s="17" t="n"/>
      <ns0:c r="R1046" s="17" t="n"/>
      <ns0:c r="S1046" s="17" t="n"/>
      <ns0:c r="T1046" s="17" t="n"/>
      <ns0:c r="U1046" s="17" t="n"/>
      <ns0:c r="V1046" s="17" t="n"/>
      <ns0:c r="W1046" s="17" t="n"/>
      <ns0:c r="X1046" s="17" t="n"/>
      <ns0:c r="Y1046" s="17" t="n"/>
      <ns0:c r="Z1046" s="17" t="n"/>
      <ns0:c r="AA1046" s="17" t="n"/>
      <ns0:c r="AB1046" s="17" t="n"/>
      <ns0:c r="AC1046" s="17" t="n"/>
      <ns0:c r="AD1046" s="17" t="n"/>
      <ns0:c r="AE1046" s="17" t="n"/>
      <ns0:c r="AF1046" s="17" t="n"/>
      <ns0:c r="AG1046" s="17" t="n"/>
    </ns0:row>
    <ns0:row r="1047" ht="24" customHeight="1">
      <ns0:c r="D1047" s="17" t="n"/>
      <ns0:c r="E1047" s="17" t="n"/>
      <ns0:c r="F1047" s="17" t="n"/>
      <ns0:c r="G1047" s="17" t="n"/>
      <ns0:c r="H1047" s="17" t="n"/>
      <ns0:c r="I1047" s="17" t="n"/>
      <ns0:c r="J1047" s="17" t="n"/>
      <ns0:c r="K1047" s="17" t="n"/>
      <ns0:c r="L1047" s="17" t="n"/>
      <ns0:c r="M1047" s="17" t="n"/>
      <ns0:c r="N1047" s="17" t="n"/>
      <ns0:c r="O1047" s="17" t="n"/>
      <ns0:c r="P1047" s="17" t="n"/>
      <ns0:c r="Q1047" s="17" t="n"/>
      <ns0:c r="R1047" s="17" t="n"/>
      <ns0:c r="S1047" s="17" t="n"/>
      <ns0:c r="T1047" s="17" t="n"/>
      <ns0:c r="U1047" s="17" t="n"/>
      <ns0:c r="V1047" s="17" t="n"/>
      <ns0:c r="W1047" s="17" t="n"/>
      <ns0:c r="X1047" s="17" t="n"/>
      <ns0:c r="Y1047" s="17" t="n"/>
      <ns0:c r="Z1047" s="17" t="n"/>
      <ns0:c r="AA1047" s="17" t="n"/>
      <ns0:c r="AB1047" s="17" t="n"/>
      <ns0:c r="AC1047" s="17" t="n"/>
      <ns0:c r="AD1047" s="17" t="n"/>
      <ns0:c r="AE1047" s="17" t="n"/>
      <ns0:c r="AF1047" s="17" t="n"/>
      <ns0:c r="AG1047" s="17" t="n"/>
    </ns0:row>
    <ns0:row r="1048" ht="24" customHeight="1">
      <ns0:c r="D1048" s="17" t="n"/>
      <ns0:c r="E1048" s="17" t="n"/>
      <ns0:c r="F1048" s="17" t="n"/>
      <ns0:c r="G1048" s="17" t="n"/>
      <ns0:c r="H1048" s="17" t="n"/>
      <ns0:c r="I1048" s="17" t="n"/>
      <ns0:c r="J1048" s="17" t="n"/>
      <ns0:c r="K1048" s="17" t="n"/>
      <ns0:c r="L1048" s="17" t="n"/>
      <ns0:c r="M1048" s="17" t="n"/>
      <ns0:c r="N1048" s="17" t="n"/>
      <ns0:c r="O1048" s="17" t="n"/>
      <ns0:c r="P1048" s="17" t="n"/>
      <ns0:c r="Q1048" s="17" t="n"/>
      <ns0:c r="R1048" s="17" t="n"/>
      <ns0:c r="S1048" s="17" t="n"/>
      <ns0:c r="T1048" s="17" t="n"/>
      <ns0:c r="U1048" s="17" t="n"/>
      <ns0:c r="V1048" s="17" t="n"/>
      <ns0:c r="W1048" s="17" t="n"/>
      <ns0:c r="X1048" s="17" t="n"/>
      <ns0:c r="Y1048" s="17" t="n"/>
      <ns0:c r="Z1048" s="17" t="n"/>
      <ns0:c r="AA1048" s="17" t="n"/>
      <ns0:c r="AB1048" s="17" t="n"/>
      <ns0:c r="AC1048" s="17" t="n"/>
      <ns0:c r="AD1048" s="17" t="n"/>
      <ns0:c r="AE1048" s="17" t="n"/>
      <ns0:c r="AF1048" s="17" t="n"/>
      <ns0:c r="AG1048" s="17" t="n"/>
    </ns0:row>
    <ns0:row r="1049" ht="24" customHeight="1">
      <ns0:c r="D1049" s="17" t="n"/>
      <ns0:c r="E1049" s="17" t="n"/>
      <ns0:c r="F1049" s="17" t="n"/>
      <ns0:c r="G1049" s="17" t="n"/>
      <ns0:c r="H1049" s="17" t="n"/>
      <ns0:c r="I1049" s="17" t="n"/>
      <ns0:c r="J1049" s="17" t="n"/>
      <ns0:c r="K1049" s="17" t="n"/>
      <ns0:c r="L1049" s="17" t="n"/>
      <ns0:c r="M1049" s="17" t="n"/>
      <ns0:c r="N1049" s="17" t="n"/>
      <ns0:c r="O1049" s="17" t="n"/>
      <ns0:c r="P1049" s="17" t="n"/>
      <ns0:c r="Q1049" s="17" t="n"/>
      <ns0:c r="R1049" s="17" t="n"/>
      <ns0:c r="S1049" s="17" t="n"/>
      <ns0:c r="T1049" s="17" t="n"/>
      <ns0:c r="U1049" s="17" t="n"/>
      <ns0:c r="V1049" s="17" t="n"/>
      <ns0:c r="W1049" s="17" t="n"/>
      <ns0:c r="X1049" s="17" t="n"/>
      <ns0:c r="Y1049" s="17" t="n"/>
      <ns0:c r="Z1049" s="17" t="n"/>
      <ns0:c r="AA1049" s="17" t="n"/>
      <ns0:c r="AB1049" s="17" t="n"/>
      <ns0:c r="AC1049" s="17" t="n"/>
      <ns0:c r="AD1049" s="17" t="n"/>
      <ns0:c r="AE1049" s="17" t="n"/>
      <ns0:c r="AF1049" s="17" t="n"/>
      <ns0:c r="AG1049" s="17" t="n"/>
    </ns0:row>
    <ns0:row r="1050" ht="24" customHeight="1">
      <ns0:c r="D1050" s="17" t="n"/>
      <ns0:c r="E1050" s="17" t="n"/>
      <ns0:c r="F1050" s="17" t="n"/>
      <ns0:c r="G1050" s="17" t="n"/>
      <ns0:c r="H1050" s="17" t="n"/>
      <ns0:c r="I1050" s="17" t="n"/>
      <ns0:c r="J1050" s="17" t="n"/>
      <ns0:c r="K1050" s="17" t="n"/>
      <ns0:c r="L1050" s="17" t="n"/>
      <ns0:c r="M1050" s="17" t="n"/>
      <ns0:c r="N1050" s="17" t="n"/>
      <ns0:c r="O1050" s="17" t="n"/>
      <ns0:c r="P1050" s="17" t="n"/>
      <ns0:c r="Q1050" s="17" t="n"/>
      <ns0:c r="R1050" s="17" t="n"/>
      <ns0:c r="S1050" s="17" t="n"/>
      <ns0:c r="T1050" s="17" t="n"/>
      <ns0:c r="U1050" s="17" t="n"/>
      <ns0:c r="V1050" s="17" t="n"/>
      <ns0:c r="W1050" s="17" t="n"/>
      <ns0:c r="X1050" s="17" t="n"/>
      <ns0:c r="Y1050" s="17" t="n"/>
      <ns0:c r="Z1050" s="17" t="n"/>
      <ns0:c r="AA1050" s="17" t="n"/>
      <ns0:c r="AB1050" s="17" t="n"/>
      <ns0:c r="AC1050" s="17" t="n"/>
      <ns0:c r="AD1050" s="17" t="n"/>
      <ns0:c r="AE1050" s="17" t="n"/>
      <ns0:c r="AF1050" s="17" t="n"/>
      <ns0:c r="AG1050" s="17" t="n"/>
    </ns0:row>
    <ns0:row r="1051" ht="24" customHeight="1">
      <ns0:c r="D1051" s="17" t="n"/>
      <ns0:c r="E1051" s="17" t="n"/>
      <ns0:c r="F1051" s="17" t="n"/>
      <ns0:c r="G1051" s="17" t="n"/>
      <ns0:c r="H1051" s="17" t="n"/>
      <ns0:c r="I1051" s="17" t="n"/>
      <ns0:c r="J1051" s="17" t="n"/>
      <ns0:c r="K1051" s="17" t="n"/>
      <ns0:c r="L1051" s="17" t="n"/>
      <ns0:c r="M1051" s="17" t="n"/>
      <ns0:c r="N1051" s="17" t="n"/>
      <ns0:c r="O1051" s="17" t="n"/>
      <ns0:c r="P1051" s="17" t="n"/>
      <ns0:c r="Q1051" s="17" t="n"/>
      <ns0:c r="R1051" s="17" t="n"/>
      <ns0:c r="S1051" s="17" t="n"/>
      <ns0:c r="T1051" s="17" t="n"/>
      <ns0:c r="U1051" s="17" t="n"/>
      <ns0:c r="V1051" s="17" t="n"/>
      <ns0:c r="W1051" s="17" t="n"/>
      <ns0:c r="X1051" s="17" t="n"/>
      <ns0:c r="Y1051" s="17" t="n"/>
      <ns0:c r="Z1051" s="17" t="n"/>
      <ns0:c r="AA1051" s="17" t="n"/>
      <ns0:c r="AB1051" s="17" t="n"/>
      <ns0:c r="AC1051" s="17" t="n"/>
      <ns0:c r="AD1051" s="17" t="n"/>
      <ns0:c r="AE1051" s="17" t="n"/>
      <ns0:c r="AF1051" s="17" t="n"/>
      <ns0:c r="AG1051" s="17" t="n"/>
    </ns0:row>
    <ns0:row r="1052" ht="24" customHeight="1">
      <ns0:c r="D1052" s="17" t="n"/>
      <ns0:c r="E1052" s="17" t="n"/>
      <ns0:c r="F1052" s="17" t="n"/>
      <ns0:c r="G1052" s="17" t="n"/>
      <ns0:c r="H1052" s="17" t="n"/>
      <ns0:c r="I1052" s="17" t="n"/>
      <ns0:c r="J1052" s="17" t="n"/>
      <ns0:c r="K1052" s="17" t="n"/>
      <ns0:c r="L1052" s="17" t="n"/>
      <ns0:c r="M1052" s="17" t="n"/>
      <ns0:c r="N1052" s="17" t="n"/>
      <ns0:c r="O1052" s="17" t="n"/>
      <ns0:c r="P1052" s="17" t="n"/>
      <ns0:c r="Q1052" s="17" t="n"/>
      <ns0:c r="R1052" s="17" t="n"/>
      <ns0:c r="S1052" s="17" t="n"/>
      <ns0:c r="T1052" s="17" t="n"/>
      <ns0:c r="U1052" s="17" t="n"/>
      <ns0:c r="V1052" s="17" t="n"/>
      <ns0:c r="W1052" s="17" t="n"/>
      <ns0:c r="X1052" s="17" t="n"/>
      <ns0:c r="Y1052" s="17" t="n"/>
      <ns0:c r="Z1052" s="17" t="n"/>
      <ns0:c r="AA1052" s="17" t="n"/>
      <ns0:c r="AB1052" s="17" t="n"/>
      <ns0:c r="AC1052" s="17" t="n"/>
      <ns0:c r="AD1052" s="17" t="n"/>
      <ns0:c r="AE1052" s="17" t="n"/>
      <ns0:c r="AF1052" s="17" t="n"/>
      <ns0:c r="AG1052" s="17" t="n"/>
    </ns0:row>
    <ns0:row r="1053" ht="24" customHeight="1">
      <ns0:c r="D1053" s="17" t="n"/>
      <ns0:c r="E1053" s="17" t="n"/>
      <ns0:c r="F1053" s="17" t="n"/>
      <ns0:c r="G1053" s="17" t="n"/>
      <ns0:c r="H1053" s="17" t="n"/>
      <ns0:c r="I1053" s="17" t="n"/>
      <ns0:c r="J1053" s="17" t="n"/>
      <ns0:c r="K1053" s="17" t="n"/>
      <ns0:c r="L1053" s="17" t="n"/>
      <ns0:c r="M1053" s="17" t="n"/>
      <ns0:c r="N1053" s="17" t="n"/>
      <ns0:c r="O1053" s="17" t="n"/>
      <ns0:c r="P1053" s="17" t="n"/>
      <ns0:c r="Q1053" s="17" t="n"/>
      <ns0:c r="R1053" s="17" t="n"/>
      <ns0:c r="S1053" s="17" t="n"/>
      <ns0:c r="T1053" s="17" t="n"/>
      <ns0:c r="U1053" s="17" t="n"/>
      <ns0:c r="V1053" s="17" t="n"/>
      <ns0:c r="W1053" s="17" t="n"/>
      <ns0:c r="X1053" s="17" t="n"/>
      <ns0:c r="Y1053" s="17" t="n"/>
      <ns0:c r="Z1053" s="17" t="n"/>
      <ns0:c r="AA1053" s="17" t="n"/>
      <ns0:c r="AB1053" s="17" t="n"/>
      <ns0:c r="AC1053" s="17" t="n"/>
      <ns0:c r="AD1053" s="17" t="n"/>
      <ns0:c r="AE1053" s="17" t="n"/>
      <ns0:c r="AF1053" s="17" t="n"/>
      <ns0:c r="AG1053" s="17" t="n"/>
    </ns0:row>
    <ns0:row r="1054" ht="24" customHeight="1">
      <ns0:c r="D1054" s="17" t="n"/>
      <ns0:c r="E1054" s="17" t="n"/>
      <ns0:c r="F1054" s="17" t="n"/>
      <ns0:c r="G1054" s="17" t="n"/>
      <ns0:c r="H1054" s="17" t="n"/>
      <ns0:c r="I1054" s="17" t="n"/>
      <ns0:c r="J1054" s="17" t="n"/>
      <ns0:c r="K1054" s="17" t="n"/>
      <ns0:c r="L1054" s="17" t="n"/>
      <ns0:c r="M1054" s="17" t="n"/>
      <ns0:c r="N1054" s="17" t="n"/>
      <ns0:c r="O1054" s="17" t="n"/>
      <ns0:c r="P1054" s="17" t="n"/>
      <ns0:c r="Q1054" s="17" t="n"/>
      <ns0:c r="R1054" s="17" t="n"/>
      <ns0:c r="S1054" s="17" t="n"/>
      <ns0:c r="T1054" s="17" t="n"/>
      <ns0:c r="U1054" s="17" t="n"/>
      <ns0:c r="V1054" s="17" t="n"/>
      <ns0:c r="W1054" s="17" t="n"/>
      <ns0:c r="X1054" s="17" t="n"/>
      <ns0:c r="Y1054" s="17" t="n"/>
      <ns0:c r="Z1054" s="17" t="n"/>
      <ns0:c r="AA1054" s="17" t="n"/>
      <ns0:c r="AB1054" s="17" t="n"/>
      <ns0:c r="AC1054" s="17" t="n"/>
      <ns0:c r="AD1054" s="17" t="n"/>
      <ns0:c r="AE1054" s="17" t="n"/>
      <ns0:c r="AF1054" s="17" t="n"/>
      <ns0:c r="AG1054" s="17" t="n"/>
    </ns0:row>
    <ns0:row r="1055" ht="24" customHeight="1">
      <ns0:c r="D1055" s="17" t="n"/>
      <ns0:c r="E1055" s="17" t="n"/>
      <ns0:c r="F1055" s="17" t="n"/>
      <ns0:c r="G1055" s="17" t="n"/>
      <ns0:c r="H1055" s="17" t="n"/>
      <ns0:c r="I1055" s="17" t="n"/>
      <ns0:c r="J1055" s="17" t="n"/>
      <ns0:c r="K1055" s="17" t="n"/>
      <ns0:c r="L1055" s="17" t="n"/>
      <ns0:c r="M1055" s="17" t="n"/>
      <ns0:c r="N1055" s="17" t="n"/>
      <ns0:c r="O1055" s="17" t="n"/>
      <ns0:c r="P1055" s="17" t="n"/>
      <ns0:c r="Q1055" s="17" t="n"/>
      <ns0:c r="R1055" s="17" t="n"/>
      <ns0:c r="S1055" s="17" t="n"/>
      <ns0:c r="T1055" s="17" t="n"/>
      <ns0:c r="U1055" s="17" t="n"/>
      <ns0:c r="V1055" s="17" t="n"/>
      <ns0:c r="W1055" s="17" t="n"/>
      <ns0:c r="X1055" s="17" t="n"/>
      <ns0:c r="Y1055" s="17" t="n"/>
      <ns0:c r="Z1055" s="17" t="n"/>
      <ns0:c r="AA1055" s="17" t="n"/>
      <ns0:c r="AB1055" s="17" t="n"/>
      <ns0:c r="AC1055" s="17" t="n"/>
      <ns0:c r="AD1055" s="17" t="n"/>
      <ns0:c r="AE1055" s="17" t="n"/>
      <ns0:c r="AF1055" s="17" t="n"/>
      <ns0:c r="AG1055" s="17" t="n"/>
    </ns0:row>
    <ns0:row r="1056" ht="24" customHeight="1">
      <ns0:c r="D1056" s="17" t="n"/>
      <ns0:c r="E1056" s="17" t="n"/>
      <ns0:c r="F1056" s="17" t="n"/>
      <ns0:c r="G1056" s="17" t="n"/>
      <ns0:c r="H1056" s="17" t="n"/>
      <ns0:c r="I1056" s="17" t="n"/>
      <ns0:c r="J1056" s="17" t="n"/>
      <ns0:c r="K1056" s="17" t="n"/>
      <ns0:c r="L1056" s="17" t="n"/>
      <ns0:c r="M1056" s="17" t="n"/>
      <ns0:c r="N1056" s="17" t="n"/>
      <ns0:c r="O1056" s="17" t="n"/>
      <ns0:c r="P1056" s="17" t="n"/>
      <ns0:c r="Q1056" s="17" t="n"/>
      <ns0:c r="R1056" s="17" t="n"/>
      <ns0:c r="S1056" s="17" t="n"/>
      <ns0:c r="T1056" s="17" t="n"/>
      <ns0:c r="U1056" s="17" t="n"/>
      <ns0:c r="V1056" s="17" t="n"/>
      <ns0:c r="W1056" s="17" t="n"/>
      <ns0:c r="X1056" s="17" t="n"/>
      <ns0:c r="Y1056" s="17" t="n"/>
      <ns0:c r="Z1056" s="17" t="n"/>
      <ns0:c r="AA1056" s="17" t="n"/>
      <ns0:c r="AB1056" s="17" t="n"/>
      <ns0:c r="AC1056" s="17" t="n"/>
      <ns0:c r="AD1056" s="17" t="n"/>
      <ns0:c r="AE1056" s="17" t="n"/>
      <ns0:c r="AF1056" s="17" t="n"/>
      <ns0:c r="AG1056" s="17" t="n"/>
    </ns0:row>
    <ns0:row r="1057" ht="24" customHeight="1">
      <ns0:c r="D1057" s="17" t="n"/>
      <ns0:c r="E1057" s="17" t="n"/>
      <ns0:c r="F1057" s="17" t="n"/>
      <ns0:c r="G1057" s="17" t="n"/>
      <ns0:c r="H1057" s="17" t="n"/>
      <ns0:c r="I1057" s="17" t="n"/>
      <ns0:c r="J1057" s="17" t="n"/>
      <ns0:c r="K1057" s="17" t="n"/>
      <ns0:c r="L1057" s="17" t="n"/>
      <ns0:c r="M1057" s="17" t="n"/>
      <ns0:c r="N1057" s="17" t="n"/>
      <ns0:c r="O1057" s="17" t="n"/>
      <ns0:c r="P1057" s="17" t="n"/>
      <ns0:c r="Q1057" s="17" t="n"/>
      <ns0:c r="R1057" s="17" t="n"/>
      <ns0:c r="S1057" s="17" t="n"/>
      <ns0:c r="T1057" s="17" t="n"/>
      <ns0:c r="U1057" s="17" t="n"/>
      <ns0:c r="V1057" s="17" t="n"/>
      <ns0:c r="W1057" s="17" t="n"/>
      <ns0:c r="X1057" s="17" t="n"/>
      <ns0:c r="Y1057" s="17" t="n"/>
      <ns0:c r="Z1057" s="17" t="n"/>
      <ns0:c r="AA1057" s="17" t="n"/>
      <ns0:c r="AB1057" s="17" t="n"/>
      <ns0:c r="AC1057" s="17" t="n"/>
      <ns0:c r="AD1057" s="17" t="n"/>
      <ns0:c r="AE1057" s="17" t="n"/>
      <ns0:c r="AF1057" s="17" t="n"/>
      <ns0:c r="AG1057" s="17" t="n"/>
    </ns0:row>
    <ns0:row r="1058" ht="24" customHeight="1">
      <ns0:c r="D1058" s="17" t="n"/>
      <ns0:c r="E1058" s="17" t="n"/>
      <ns0:c r="F1058" s="17" t="n"/>
      <ns0:c r="G1058" s="17" t="n"/>
      <ns0:c r="H1058" s="17" t="n"/>
      <ns0:c r="I1058" s="17" t="n"/>
      <ns0:c r="J1058" s="17" t="n"/>
      <ns0:c r="K1058" s="17" t="n"/>
      <ns0:c r="L1058" s="17" t="n"/>
      <ns0:c r="M1058" s="17" t="n"/>
      <ns0:c r="N1058" s="17" t="n"/>
      <ns0:c r="O1058" s="17" t="n"/>
      <ns0:c r="P1058" s="17" t="n"/>
      <ns0:c r="Q1058" s="17" t="n"/>
      <ns0:c r="R1058" s="17" t="n"/>
      <ns0:c r="S1058" s="17" t="n"/>
      <ns0:c r="T1058" s="17" t="n"/>
      <ns0:c r="U1058" s="17" t="n"/>
      <ns0:c r="V1058" s="17" t="n"/>
      <ns0:c r="W1058" s="17" t="n"/>
      <ns0:c r="X1058" s="17" t="n"/>
      <ns0:c r="Y1058" s="17" t="n"/>
      <ns0:c r="Z1058" s="17" t="n"/>
      <ns0:c r="AA1058" s="17" t="n"/>
      <ns0:c r="AB1058" s="17" t="n"/>
      <ns0:c r="AC1058" s="17" t="n"/>
      <ns0:c r="AD1058" s="17" t="n"/>
      <ns0:c r="AE1058" s="17" t="n"/>
      <ns0:c r="AF1058" s="17" t="n"/>
      <ns0:c r="AG1058" s="17" t="n"/>
    </ns0:row>
    <ns0:row r="1059" ht="24" customHeight="1">
      <ns0:c r="D1059" s="17" t="n"/>
      <ns0:c r="E1059" s="17" t="n"/>
      <ns0:c r="F1059" s="17" t="n"/>
      <ns0:c r="G1059" s="17" t="n"/>
      <ns0:c r="H1059" s="17" t="n"/>
      <ns0:c r="I1059" s="17" t="n"/>
      <ns0:c r="J1059" s="17" t="n"/>
      <ns0:c r="K1059" s="17" t="n"/>
      <ns0:c r="L1059" s="17" t="n"/>
      <ns0:c r="M1059" s="17" t="n"/>
      <ns0:c r="N1059" s="17" t="n"/>
      <ns0:c r="O1059" s="17" t="n"/>
      <ns0:c r="P1059" s="17" t="n"/>
      <ns0:c r="Q1059" s="17" t="n"/>
      <ns0:c r="R1059" s="17" t="n"/>
      <ns0:c r="S1059" s="17" t="n"/>
      <ns0:c r="T1059" s="17" t="n"/>
      <ns0:c r="U1059" s="17" t="n"/>
      <ns0:c r="V1059" s="17" t="n"/>
      <ns0:c r="W1059" s="17" t="n"/>
      <ns0:c r="X1059" s="17" t="n"/>
      <ns0:c r="Y1059" s="17" t="n"/>
      <ns0:c r="Z1059" s="17" t="n"/>
      <ns0:c r="AA1059" s="17" t="n"/>
      <ns0:c r="AB1059" s="17" t="n"/>
      <ns0:c r="AC1059" s="17" t="n"/>
      <ns0:c r="AD1059" s="17" t="n"/>
      <ns0:c r="AE1059" s="17" t="n"/>
      <ns0:c r="AF1059" s="17" t="n"/>
      <ns0:c r="AG1059" s="17" t="n"/>
    </ns0:row>
    <ns0:row r="1060" ht="24" customHeight="1">
      <ns0:c r="D1060" s="17" t="n"/>
      <ns0:c r="E1060" s="17" t="n"/>
      <ns0:c r="F1060" s="17" t="n"/>
      <ns0:c r="G1060" s="17" t="n"/>
      <ns0:c r="H1060" s="17" t="n"/>
      <ns0:c r="I1060" s="17" t="n"/>
      <ns0:c r="J1060" s="17" t="n"/>
      <ns0:c r="K1060" s="17" t="n"/>
      <ns0:c r="L1060" s="17" t="n"/>
      <ns0:c r="M1060" s="17" t="n"/>
      <ns0:c r="N1060" s="17" t="n"/>
      <ns0:c r="O1060" s="17" t="n"/>
      <ns0:c r="P1060" s="17" t="n"/>
      <ns0:c r="Q1060" s="17" t="n"/>
      <ns0:c r="R1060" s="17" t="n"/>
      <ns0:c r="S1060" s="17" t="n"/>
      <ns0:c r="T1060" s="17" t="n"/>
      <ns0:c r="U1060" s="17" t="n"/>
      <ns0:c r="V1060" s="17" t="n"/>
      <ns0:c r="W1060" s="17" t="n"/>
      <ns0:c r="X1060" s="17" t="n"/>
      <ns0:c r="Y1060" s="17" t="n"/>
      <ns0:c r="Z1060" s="17" t="n"/>
      <ns0:c r="AA1060" s="17" t="n"/>
      <ns0:c r="AB1060" s="17" t="n"/>
      <ns0:c r="AC1060" s="17" t="n"/>
      <ns0:c r="AD1060" s="17" t="n"/>
      <ns0:c r="AE1060" s="17" t="n"/>
      <ns0:c r="AF1060" s="17" t="n"/>
      <ns0:c r="AG1060" s="17" t="n"/>
    </ns0:row>
    <ns0:row r="1061" ht="24" customHeight="1">
      <ns0:c r="D1061" s="17" t="n"/>
      <ns0:c r="E1061" s="17" t="n"/>
      <ns0:c r="F1061" s="17" t="n"/>
      <ns0:c r="G1061" s="17" t="n"/>
      <ns0:c r="H1061" s="17" t="n"/>
      <ns0:c r="I1061" s="17" t="n"/>
      <ns0:c r="J1061" s="17" t="n"/>
      <ns0:c r="K1061" s="17" t="n"/>
      <ns0:c r="L1061" s="17" t="n"/>
      <ns0:c r="M1061" s="17" t="n"/>
      <ns0:c r="N1061" s="17" t="n"/>
      <ns0:c r="O1061" s="17" t="n"/>
      <ns0:c r="P1061" s="17" t="n"/>
      <ns0:c r="Q1061" s="17" t="n"/>
      <ns0:c r="R1061" s="17" t="n"/>
      <ns0:c r="S1061" s="17" t="n"/>
      <ns0:c r="T1061" s="17" t="n"/>
      <ns0:c r="U1061" s="17" t="n"/>
      <ns0:c r="V1061" s="17" t="n"/>
      <ns0:c r="W1061" s="17" t="n"/>
      <ns0:c r="X1061" s="17" t="n"/>
      <ns0:c r="Y1061" s="17" t="n"/>
      <ns0:c r="Z1061" s="17" t="n"/>
      <ns0:c r="AA1061" s="17" t="n"/>
      <ns0:c r="AB1061" s="17" t="n"/>
      <ns0:c r="AC1061" s="17" t="n"/>
      <ns0:c r="AD1061" s="17" t="n"/>
      <ns0:c r="AE1061" s="17" t="n"/>
      <ns0:c r="AF1061" s="17" t="n"/>
      <ns0:c r="AG1061" s="17" t="n"/>
    </ns0:row>
    <ns0:row r="1062" ht="24" customHeight="1">
      <ns0:c r="D1062" s="17" t="n"/>
      <ns0:c r="E1062" s="17" t="n"/>
      <ns0:c r="F1062" s="17" t="n"/>
      <ns0:c r="G1062" s="17" t="n"/>
      <ns0:c r="H1062" s="17" t="n"/>
      <ns0:c r="I1062" s="17" t="n"/>
      <ns0:c r="J1062" s="17" t="n"/>
      <ns0:c r="K1062" s="17" t="n"/>
      <ns0:c r="L1062" s="17" t="n"/>
      <ns0:c r="M1062" s="17" t="n"/>
      <ns0:c r="N1062" s="17" t="n"/>
      <ns0:c r="O1062" s="17" t="n"/>
      <ns0:c r="P1062" s="17" t="n"/>
      <ns0:c r="Q1062" s="17" t="n"/>
      <ns0:c r="R1062" s="17" t="n"/>
      <ns0:c r="S1062" s="17" t="n"/>
      <ns0:c r="T1062" s="17" t="n"/>
      <ns0:c r="U1062" s="17" t="n"/>
      <ns0:c r="V1062" s="17" t="n"/>
      <ns0:c r="W1062" s="17" t="n"/>
      <ns0:c r="X1062" s="17" t="n"/>
      <ns0:c r="Y1062" s="17" t="n"/>
      <ns0:c r="Z1062" s="17" t="n"/>
      <ns0:c r="AA1062" s="17" t="n"/>
      <ns0:c r="AB1062" s="17" t="n"/>
      <ns0:c r="AC1062" s="17" t="n"/>
      <ns0:c r="AD1062" s="17" t="n"/>
      <ns0:c r="AE1062" s="17" t="n"/>
      <ns0:c r="AF1062" s="17" t="n"/>
      <ns0:c r="AG1062" s="17" t="n"/>
    </ns0:row>
    <ns0:row r="1063" ht="24" customHeight="1">
      <ns0:c r="D1063" s="17" t="n"/>
      <ns0:c r="E1063" s="17" t="n"/>
      <ns0:c r="F1063" s="17" t="n"/>
      <ns0:c r="G1063" s="17" t="n"/>
      <ns0:c r="H1063" s="17" t="n"/>
      <ns0:c r="I1063" s="17" t="n"/>
      <ns0:c r="J1063" s="17" t="n"/>
      <ns0:c r="K1063" s="17" t="n"/>
      <ns0:c r="L1063" s="17" t="n"/>
      <ns0:c r="M1063" s="17" t="n"/>
      <ns0:c r="N1063" s="17" t="n"/>
      <ns0:c r="O1063" s="17" t="n"/>
      <ns0:c r="P1063" s="17" t="n"/>
      <ns0:c r="Q1063" s="17" t="n"/>
      <ns0:c r="R1063" s="17" t="n"/>
      <ns0:c r="S1063" s="17" t="n"/>
      <ns0:c r="T1063" s="17" t="n"/>
      <ns0:c r="U1063" s="17" t="n"/>
      <ns0:c r="V1063" s="17" t="n"/>
      <ns0:c r="W1063" s="17" t="n"/>
      <ns0:c r="X1063" s="17" t="n"/>
      <ns0:c r="Y1063" s="17" t="n"/>
      <ns0:c r="Z1063" s="17" t="n"/>
      <ns0:c r="AA1063" s="17" t="n"/>
      <ns0:c r="AB1063" s="17" t="n"/>
      <ns0:c r="AC1063" s="17" t="n"/>
      <ns0:c r="AD1063" s="17" t="n"/>
      <ns0:c r="AE1063" s="17" t="n"/>
      <ns0:c r="AF1063" s="17" t="n"/>
      <ns0:c r="AG1063" s="17" t="n"/>
    </ns0:row>
    <ns0:row r="1064" ht="24" customHeight="1">
      <ns0:c r="D1064" s="17" t="n"/>
      <ns0:c r="E1064" s="17" t="n"/>
      <ns0:c r="F1064" s="17" t="n"/>
      <ns0:c r="G1064" s="17" t="n"/>
      <ns0:c r="H1064" s="17" t="n"/>
      <ns0:c r="I1064" s="17" t="n"/>
      <ns0:c r="J1064" s="17" t="n"/>
      <ns0:c r="K1064" s="17" t="n"/>
      <ns0:c r="L1064" s="17" t="n"/>
      <ns0:c r="M1064" s="17" t="n"/>
      <ns0:c r="N1064" s="17" t="n"/>
      <ns0:c r="O1064" s="17" t="n"/>
      <ns0:c r="P1064" s="17" t="n"/>
      <ns0:c r="Q1064" s="17" t="n"/>
      <ns0:c r="R1064" s="17" t="n"/>
      <ns0:c r="S1064" s="17" t="n"/>
      <ns0:c r="T1064" s="17" t="n"/>
      <ns0:c r="U1064" s="17" t="n"/>
      <ns0:c r="V1064" s="17" t="n"/>
      <ns0:c r="W1064" s="17" t="n"/>
      <ns0:c r="X1064" s="17" t="n"/>
      <ns0:c r="Y1064" s="17" t="n"/>
      <ns0:c r="Z1064" s="17" t="n"/>
      <ns0:c r="AA1064" s="17" t="n"/>
      <ns0:c r="AB1064" s="17" t="n"/>
      <ns0:c r="AC1064" s="17" t="n"/>
      <ns0:c r="AD1064" s="17" t="n"/>
      <ns0:c r="AE1064" s="17" t="n"/>
      <ns0:c r="AF1064" s="17" t="n"/>
      <ns0:c r="AG1064" s="17" t="n"/>
    </ns0:row>
    <ns0:row r="1065" ht="24" customHeight="1">
      <ns0:c r="D1065" s="17" t="n"/>
      <ns0:c r="E1065" s="17" t="n"/>
      <ns0:c r="F1065" s="17" t="n"/>
      <ns0:c r="G1065" s="17" t="n"/>
      <ns0:c r="H1065" s="17" t="n"/>
      <ns0:c r="I1065" s="17" t="n"/>
      <ns0:c r="J1065" s="17" t="n"/>
      <ns0:c r="K1065" s="17" t="n"/>
      <ns0:c r="L1065" s="17" t="n"/>
      <ns0:c r="M1065" s="17" t="n"/>
      <ns0:c r="N1065" s="17" t="n"/>
      <ns0:c r="O1065" s="17" t="n"/>
      <ns0:c r="P1065" s="17" t="n"/>
      <ns0:c r="Q1065" s="17" t="n"/>
      <ns0:c r="R1065" s="17" t="n"/>
      <ns0:c r="S1065" s="17" t="n"/>
      <ns0:c r="T1065" s="17" t="n"/>
      <ns0:c r="U1065" s="17" t="n"/>
      <ns0:c r="V1065" s="17" t="n"/>
      <ns0:c r="W1065" s="17" t="n"/>
      <ns0:c r="X1065" s="17" t="n"/>
      <ns0:c r="Y1065" s="17" t="n"/>
      <ns0:c r="Z1065" s="17" t="n"/>
      <ns0:c r="AA1065" s="17" t="n"/>
      <ns0:c r="AB1065" s="17" t="n"/>
      <ns0:c r="AC1065" s="17" t="n"/>
      <ns0:c r="AD1065" s="17" t="n"/>
      <ns0:c r="AE1065" s="17" t="n"/>
      <ns0:c r="AF1065" s="17" t="n"/>
      <ns0:c r="AG1065" s="17" t="n"/>
    </ns0:row>
    <ns0:row r="1066" ht="24" customHeight="1">
      <ns0:c r="D1066" s="17" t="n"/>
      <ns0:c r="E1066" s="17" t="n"/>
      <ns0:c r="F1066" s="17" t="n"/>
      <ns0:c r="G1066" s="17" t="n"/>
      <ns0:c r="H1066" s="17" t="n"/>
      <ns0:c r="I1066" s="17" t="n"/>
      <ns0:c r="J1066" s="17" t="n"/>
      <ns0:c r="K1066" s="17" t="n"/>
      <ns0:c r="L1066" s="17" t="n"/>
      <ns0:c r="M1066" s="17" t="n"/>
      <ns0:c r="N1066" s="17" t="n"/>
      <ns0:c r="O1066" s="17" t="n"/>
      <ns0:c r="P1066" s="17" t="n"/>
      <ns0:c r="Q1066" s="17" t="n"/>
      <ns0:c r="R1066" s="17" t="n"/>
      <ns0:c r="S1066" s="17" t="n"/>
      <ns0:c r="T1066" s="17" t="n"/>
      <ns0:c r="U1066" s="17" t="n"/>
      <ns0:c r="V1066" s="17" t="n"/>
      <ns0:c r="W1066" s="17" t="n"/>
      <ns0:c r="X1066" s="17" t="n"/>
      <ns0:c r="Y1066" s="17" t="n"/>
      <ns0:c r="Z1066" s="17" t="n"/>
      <ns0:c r="AA1066" s="17" t="n"/>
      <ns0:c r="AB1066" s="17" t="n"/>
      <ns0:c r="AC1066" s="17" t="n"/>
      <ns0:c r="AD1066" s="17" t="n"/>
      <ns0:c r="AE1066" s="17" t="n"/>
      <ns0:c r="AF1066" s="17" t="n"/>
      <ns0:c r="AG1066" s="17" t="n"/>
    </ns0:row>
    <ns0:row r="1067" ht="24" customHeight="1">
      <ns0:c r="D1067" s="17" t="n"/>
      <ns0:c r="E1067" s="17" t="n"/>
      <ns0:c r="F1067" s="17" t="n"/>
      <ns0:c r="G1067" s="17" t="n"/>
      <ns0:c r="H1067" s="17" t="n"/>
      <ns0:c r="I1067" s="17" t="n"/>
      <ns0:c r="J1067" s="17" t="n"/>
      <ns0:c r="K1067" s="17" t="n"/>
      <ns0:c r="L1067" s="17" t="n"/>
      <ns0:c r="M1067" s="17" t="n"/>
      <ns0:c r="N1067" s="17" t="n"/>
      <ns0:c r="O1067" s="17" t="n"/>
      <ns0:c r="P1067" s="17" t="n"/>
      <ns0:c r="Q1067" s="17" t="n"/>
      <ns0:c r="R1067" s="17" t="n"/>
      <ns0:c r="S1067" s="17" t="n"/>
      <ns0:c r="T1067" s="17" t="n"/>
      <ns0:c r="U1067" s="17" t="n"/>
      <ns0:c r="V1067" s="17" t="n"/>
      <ns0:c r="W1067" s="17" t="n"/>
      <ns0:c r="X1067" s="17" t="n"/>
      <ns0:c r="Y1067" s="17" t="n"/>
      <ns0:c r="Z1067" s="17" t="n"/>
      <ns0:c r="AA1067" s="17" t="n"/>
      <ns0:c r="AB1067" s="17" t="n"/>
      <ns0:c r="AC1067" s="17" t="n"/>
      <ns0:c r="AD1067" s="17" t="n"/>
      <ns0:c r="AE1067" s="17" t="n"/>
      <ns0:c r="AF1067" s="17" t="n"/>
      <ns0:c r="AG1067" s="17" t="n"/>
    </ns0:row>
    <ns0:row r="1068" ht="24" customHeight="1">
      <ns0:c r="D1068" s="17" t="n"/>
      <ns0:c r="E1068" s="17" t="n"/>
      <ns0:c r="F1068" s="17" t="n"/>
      <ns0:c r="G1068" s="17" t="n"/>
      <ns0:c r="H1068" s="17" t="n"/>
      <ns0:c r="I1068" s="17" t="n"/>
      <ns0:c r="J1068" s="17" t="n"/>
      <ns0:c r="K1068" s="17" t="n"/>
      <ns0:c r="L1068" s="17" t="n"/>
      <ns0:c r="M1068" s="17" t="n"/>
      <ns0:c r="N1068" s="17" t="n"/>
      <ns0:c r="O1068" s="17" t="n"/>
      <ns0:c r="P1068" s="17" t="n"/>
      <ns0:c r="Q1068" s="17" t="n"/>
      <ns0:c r="R1068" s="17" t="n"/>
      <ns0:c r="S1068" s="17" t="n"/>
      <ns0:c r="T1068" s="17" t="n"/>
      <ns0:c r="U1068" s="17" t="n"/>
      <ns0:c r="V1068" s="17" t="n"/>
      <ns0:c r="W1068" s="17" t="n"/>
      <ns0:c r="X1068" s="17" t="n"/>
      <ns0:c r="Y1068" s="17" t="n"/>
      <ns0:c r="Z1068" s="17" t="n"/>
      <ns0:c r="AA1068" s="17" t="n"/>
      <ns0:c r="AB1068" s="17" t="n"/>
      <ns0:c r="AC1068" s="17" t="n"/>
      <ns0:c r="AD1068" s="17" t="n"/>
      <ns0:c r="AE1068" s="17" t="n"/>
      <ns0:c r="AF1068" s="17" t="n"/>
      <ns0:c r="AG1068" s="17" t="n"/>
    </ns0:row>
    <ns0:row r="1069" ht="24" customHeight="1">
      <ns0:c r="D1069" s="17" t="n"/>
      <ns0:c r="E1069" s="17" t="n"/>
      <ns0:c r="F1069" s="17" t="n"/>
      <ns0:c r="G1069" s="17" t="n"/>
      <ns0:c r="H1069" s="17" t="n"/>
      <ns0:c r="I1069" s="17" t="n"/>
      <ns0:c r="J1069" s="17" t="n"/>
      <ns0:c r="K1069" s="17" t="n"/>
      <ns0:c r="L1069" s="17" t="n"/>
      <ns0:c r="M1069" s="17" t="n"/>
      <ns0:c r="N1069" s="17" t="n"/>
      <ns0:c r="O1069" s="17" t="n"/>
      <ns0:c r="P1069" s="17" t="n"/>
      <ns0:c r="Q1069" s="17" t="n"/>
      <ns0:c r="R1069" s="17" t="n"/>
      <ns0:c r="S1069" s="17" t="n"/>
      <ns0:c r="T1069" s="17" t="n"/>
      <ns0:c r="U1069" s="17" t="n"/>
      <ns0:c r="V1069" s="17" t="n"/>
      <ns0:c r="W1069" s="17" t="n"/>
      <ns0:c r="X1069" s="17" t="n"/>
      <ns0:c r="Y1069" s="17" t="n"/>
      <ns0:c r="Z1069" s="17" t="n"/>
      <ns0:c r="AA1069" s="17" t="n"/>
      <ns0:c r="AB1069" s="17" t="n"/>
      <ns0:c r="AC1069" s="17" t="n"/>
      <ns0:c r="AD1069" s="17" t="n"/>
      <ns0:c r="AE1069" s="17" t="n"/>
      <ns0:c r="AF1069" s="17" t="n"/>
      <ns0:c r="AG1069" s="17" t="n"/>
    </ns0:row>
    <ns0:row r="1070" ht="24" customHeight="1">
      <ns0:c r="D1070" s="17" t="n"/>
      <ns0:c r="E1070" s="17" t="n"/>
      <ns0:c r="F1070" s="17" t="n"/>
      <ns0:c r="G1070" s="17" t="n"/>
      <ns0:c r="H1070" s="17" t="n"/>
      <ns0:c r="I1070" s="17" t="n"/>
      <ns0:c r="J1070" s="17" t="n"/>
      <ns0:c r="K1070" s="17" t="n"/>
      <ns0:c r="L1070" s="17" t="n"/>
      <ns0:c r="M1070" s="17" t="n"/>
      <ns0:c r="N1070" s="17" t="n"/>
      <ns0:c r="O1070" s="17" t="n"/>
      <ns0:c r="P1070" s="17" t="n"/>
      <ns0:c r="Q1070" s="17" t="n"/>
      <ns0:c r="R1070" s="17" t="n"/>
      <ns0:c r="S1070" s="17" t="n"/>
      <ns0:c r="T1070" s="17" t="n"/>
      <ns0:c r="U1070" s="17" t="n"/>
      <ns0:c r="V1070" s="17" t="n"/>
      <ns0:c r="W1070" s="17" t="n"/>
      <ns0:c r="X1070" s="17" t="n"/>
      <ns0:c r="Y1070" s="17" t="n"/>
      <ns0:c r="Z1070" s="17" t="n"/>
      <ns0:c r="AA1070" s="17" t="n"/>
      <ns0:c r="AB1070" s="17" t="n"/>
      <ns0:c r="AC1070" s="17" t="n"/>
      <ns0:c r="AD1070" s="17" t="n"/>
      <ns0:c r="AE1070" s="17" t="n"/>
      <ns0:c r="AF1070" s="17" t="n"/>
      <ns0:c r="AG1070" s="17" t="n"/>
    </ns0:row>
    <ns0:row r="1071" ht="24" customHeight="1">
      <ns0:c r="D1071" s="17" t="n"/>
      <ns0:c r="E1071" s="17" t="n"/>
      <ns0:c r="F1071" s="17" t="n"/>
      <ns0:c r="G1071" s="17" t="n"/>
      <ns0:c r="H1071" s="17" t="n"/>
      <ns0:c r="I1071" s="17" t="n"/>
      <ns0:c r="J1071" s="17" t="n"/>
      <ns0:c r="K1071" s="17" t="n"/>
      <ns0:c r="L1071" s="17" t="n"/>
      <ns0:c r="M1071" s="17" t="n"/>
      <ns0:c r="N1071" s="17" t="n"/>
      <ns0:c r="O1071" s="17" t="n"/>
      <ns0:c r="P1071" s="17" t="n"/>
      <ns0:c r="Q1071" s="17" t="n"/>
      <ns0:c r="R1071" s="17" t="n"/>
      <ns0:c r="S1071" s="17" t="n"/>
      <ns0:c r="T1071" s="17" t="n"/>
      <ns0:c r="U1071" s="17" t="n"/>
      <ns0:c r="V1071" s="17" t="n"/>
      <ns0:c r="W1071" s="17" t="n"/>
      <ns0:c r="X1071" s="17" t="n"/>
      <ns0:c r="Y1071" s="17" t="n"/>
      <ns0:c r="Z1071" s="17" t="n"/>
      <ns0:c r="AA1071" s="17" t="n"/>
      <ns0:c r="AB1071" s="17" t="n"/>
      <ns0:c r="AC1071" s="17" t="n"/>
      <ns0:c r="AD1071" s="17" t="n"/>
      <ns0:c r="AE1071" s="17" t="n"/>
      <ns0:c r="AF1071" s="17" t="n"/>
      <ns0:c r="AG1071" s="17" t="n"/>
    </ns0:row>
    <ns0:row r="1072" ht="24" customHeight="1">
      <ns0:c r="D1072" s="17" t="n"/>
      <ns0:c r="E1072" s="17" t="n"/>
      <ns0:c r="F1072" s="17" t="n"/>
      <ns0:c r="G1072" s="17" t="n"/>
      <ns0:c r="H1072" s="17" t="n"/>
      <ns0:c r="I1072" s="17" t="n"/>
      <ns0:c r="J1072" s="17" t="n"/>
      <ns0:c r="K1072" s="17" t="n"/>
      <ns0:c r="L1072" s="17" t="n"/>
      <ns0:c r="M1072" s="17" t="n"/>
      <ns0:c r="N1072" s="17" t="n"/>
      <ns0:c r="O1072" s="17" t="n"/>
      <ns0:c r="P1072" s="17" t="n"/>
      <ns0:c r="Q1072" s="17" t="n"/>
      <ns0:c r="R1072" s="17" t="n"/>
      <ns0:c r="S1072" s="17" t="n"/>
      <ns0:c r="T1072" s="17" t="n"/>
      <ns0:c r="U1072" s="17" t="n"/>
      <ns0:c r="V1072" s="17" t="n"/>
      <ns0:c r="W1072" s="17" t="n"/>
      <ns0:c r="X1072" s="17" t="n"/>
      <ns0:c r="Y1072" s="17" t="n"/>
      <ns0:c r="Z1072" s="17" t="n"/>
      <ns0:c r="AA1072" s="17" t="n"/>
      <ns0:c r="AB1072" s="17" t="n"/>
      <ns0:c r="AC1072" s="17" t="n"/>
      <ns0:c r="AD1072" s="17" t="n"/>
      <ns0:c r="AE1072" s="17" t="n"/>
      <ns0:c r="AF1072" s="17" t="n"/>
      <ns0:c r="AG1072" s="17" t="n"/>
    </ns0:row>
    <ns0:row r="1073" ht="24" customHeight="1">
      <ns0:c r="D1073" s="17" t="n"/>
      <ns0:c r="E1073" s="17" t="n"/>
      <ns0:c r="F1073" s="17" t="n"/>
      <ns0:c r="G1073" s="17" t="n"/>
      <ns0:c r="H1073" s="17" t="n"/>
      <ns0:c r="I1073" s="17" t="n"/>
      <ns0:c r="J1073" s="17" t="n"/>
      <ns0:c r="K1073" s="17" t="n"/>
      <ns0:c r="L1073" s="17" t="n"/>
      <ns0:c r="M1073" s="17" t="n"/>
      <ns0:c r="N1073" s="17" t="n"/>
      <ns0:c r="O1073" s="17" t="n"/>
      <ns0:c r="P1073" s="17" t="n"/>
      <ns0:c r="Q1073" s="17" t="n"/>
      <ns0:c r="R1073" s="17" t="n"/>
      <ns0:c r="S1073" s="17" t="n"/>
      <ns0:c r="T1073" s="17" t="n"/>
      <ns0:c r="U1073" s="17" t="n"/>
      <ns0:c r="V1073" s="17" t="n"/>
      <ns0:c r="W1073" s="17" t="n"/>
      <ns0:c r="X1073" s="17" t="n"/>
      <ns0:c r="Y1073" s="17" t="n"/>
      <ns0:c r="Z1073" s="17" t="n"/>
      <ns0:c r="AA1073" s="17" t="n"/>
      <ns0:c r="AB1073" s="17" t="n"/>
      <ns0:c r="AC1073" s="17" t="n"/>
      <ns0:c r="AD1073" s="17" t="n"/>
      <ns0:c r="AE1073" s="17" t="n"/>
      <ns0:c r="AF1073" s="17" t="n"/>
      <ns0:c r="AG1073" s="17" t="n"/>
    </ns0:row>
    <ns0:row r="1074" ht="24" customHeight="1">
      <ns0:c r="D1074" s="17" t="n"/>
      <ns0:c r="E1074" s="17" t="n"/>
      <ns0:c r="F1074" s="17" t="n"/>
      <ns0:c r="G1074" s="17" t="n"/>
      <ns0:c r="H1074" s="17" t="n"/>
      <ns0:c r="I1074" s="17" t="n"/>
      <ns0:c r="J1074" s="17" t="n"/>
      <ns0:c r="K1074" s="17" t="n"/>
      <ns0:c r="L1074" s="17" t="n"/>
      <ns0:c r="M1074" s="17" t="n"/>
      <ns0:c r="N1074" s="17" t="n"/>
      <ns0:c r="O1074" s="17" t="n"/>
      <ns0:c r="P1074" s="17" t="n"/>
      <ns0:c r="Q1074" s="17" t="n"/>
      <ns0:c r="R1074" s="17" t="n"/>
      <ns0:c r="S1074" s="17" t="n"/>
      <ns0:c r="T1074" s="17" t="n"/>
      <ns0:c r="U1074" s="17" t="n"/>
      <ns0:c r="V1074" s="17" t="n"/>
      <ns0:c r="W1074" s="17" t="n"/>
      <ns0:c r="X1074" s="17" t="n"/>
      <ns0:c r="Y1074" s="17" t="n"/>
      <ns0:c r="Z1074" s="17" t="n"/>
      <ns0:c r="AA1074" s="17" t="n"/>
      <ns0:c r="AB1074" s="17" t="n"/>
      <ns0:c r="AC1074" s="17" t="n"/>
      <ns0:c r="AD1074" s="17" t="n"/>
      <ns0:c r="AE1074" s="17" t="n"/>
      <ns0:c r="AF1074" s="17" t="n"/>
      <ns0:c r="AG1074" s="17" t="n"/>
    </ns0:row>
    <ns0:row r="1075" ht="24" customHeight="1">
      <ns0:c r="D1075" s="17" t="n"/>
      <ns0:c r="E1075" s="17" t="n"/>
      <ns0:c r="F1075" s="17" t="n"/>
      <ns0:c r="G1075" s="17" t="n"/>
      <ns0:c r="H1075" s="17" t="n"/>
      <ns0:c r="I1075" s="17" t="n"/>
      <ns0:c r="J1075" s="17" t="n"/>
      <ns0:c r="K1075" s="17" t="n"/>
      <ns0:c r="L1075" s="17" t="n"/>
      <ns0:c r="M1075" s="17" t="n"/>
      <ns0:c r="N1075" s="17" t="n"/>
      <ns0:c r="O1075" s="17" t="n"/>
      <ns0:c r="P1075" s="17" t="n"/>
      <ns0:c r="Q1075" s="17" t="n"/>
      <ns0:c r="R1075" s="17" t="n"/>
      <ns0:c r="S1075" s="17" t="n"/>
      <ns0:c r="T1075" s="17" t="n"/>
      <ns0:c r="U1075" s="17" t="n"/>
      <ns0:c r="V1075" s="17" t="n"/>
      <ns0:c r="W1075" s="17" t="n"/>
      <ns0:c r="X1075" s="17" t="n"/>
      <ns0:c r="Y1075" s="17" t="n"/>
      <ns0:c r="Z1075" s="17" t="n"/>
      <ns0:c r="AA1075" s="17" t="n"/>
      <ns0:c r="AB1075" s="17" t="n"/>
      <ns0:c r="AC1075" s="17" t="n"/>
      <ns0:c r="AD1075" s="17" t="n"/>
      <ns0:c r="AE1075" s="17" t="n"/>
      <ns0:c r="AF1075" s="17" t="n"/>
      <ns0:c r="AG1075" s="17" t="n"/>
    </ns0:row>
    <ns0:row r="1076" ht="24" customHeight="1">
      <ns0:c r="D1076" s="17" t="n"/>
      <ns0:c r="E1076" s="17" t="n"/>
      <ns0:c r="F1076" s="17" t="n"/>
      <ns0:c r="G1076" s="17" t="n"/>
      <ns0:c r="H1076" s="17" t="n"/>
      <ns0:c r="I1076" s="17" t="n"/>
      <ns0:c r="J1076" s="17" t="n"/>
      <ns0:c r="K1076" s="17" t="n"/>
      <ns0:c r="L1076" s="17" t="n"/>
      <ns0:c r="M1076" s="17" t="n"/>
      <ns0:c r="N1076" s="17" t="n"/>
      <ns0:c r="O1076" s="17" t="n"/>
      <ns0:c r="P1076" s="17" t="n"/>
      <ns0:c r="Q1076" s="17" t="n"/>
      <ns0:c r="R1076" s="17" t="n"/>
      <ns0:c r="S1076" s="17" t="n"/>
      <ns0:c r="T1076" s="17" t="n"/>
      <ns0:c r="U1076" s="17" t="n"/>
      <ns0:c r="V1076" s="17" t="n"/>
      <ns0:c r="W1076" s="17" t="n"/>
      <ns0:c r="X1076" s="17" t="n"/>
      <ns0:c r="Y1076" s="17" t="n"/>
      <ns0:c r="Z1076" s="17" t="n"/>
      <ns0:c r="AA1076" s="17" t="n"/>
      <ns0:c r="AB1076" s="17" t="n"/>
      <ns0:c r="AC1076" s="17" t="n"/>
      <ns0:c r="AD1076" s="17" t="n"/>
      <ns0:c r="AE1076" s="17" t="n"/>
      <ns0:c r="AF1076" s="17" t="n"/>
      <ns0:c r="AG1076" s="17" t="n"/>
    </ns0:row>
    <ns0:row r="1077" ht="24" customHeight="1">
      <ns0:c r="D1077" s="17" t="n"/>
      <ns0:c r="E1077" s="17" t="n"/>
      <ns0:c r="F1077" s="17" t="n"/>
      <ns0:c r="G1077" s="17" t="n"/>
      <ns0:c r="H1077" s="17" t="n"/>
      <ns0:c r="I1077" s="17" t="n"/>
      <ns0:c r="J1077" s="17" t="n"/>
      <ns0:c r="K1077" s="17" t="n"/>
      <ns0:c r="L1077" s="17" t="n"/>
      <ns0:c r="M1077" s="17" t="n"/>
      <ns0:c r="N1077" s="17" t="n"/>
      <ns0:c r="O1077" s="17" t="n"/>
      <ns0:c r="P1077" s="17" t="n"/>
      <ns0:c r="Q1077" s="17" t="n"/>
      <ns0:c r="R1077" s="17" t="n"/>
      <ns0:c r="S1077" s="17" t="n"/>
      <ns0:c r="T1077" s="17" t="n"/>
      <ns0:c r="U1077" s="17" t="n"/>
      <ns0:c r="V1077" s="17" t="n"/>
      <ns0:c r="W1077" s="17" t="n"/>
      <ns0:c r="X1077" s="17" t="n"/>
      <ns0:c r="Y1077" s="17" t="n"/>
      <ns0:c r="Z1077" s="17" t="n"/>
      <ns0:c r="AA1077" s="17" t="n"/>
      <ns0:c r="AB1077" s="17" t="n"/>
      <ns0:c r="AC1077" s="17" t="n"/>
      <ns0:c r="AD1077" s="17" t="n"/>
      <ns0:c r="AE1077" s="17" t="n"/>
      <ns0:c r="AF1077" s="17" t="n"/>
      <ns0:c r="AG1077" s="17" t="n"/>
    </ns0:row>
    <ns0:row r="1078" ht="24" customHeight="1">
      <ns0:c r="D1078" s="17" t="n"/>
      <ns0:c r="E1078" s="17" t="n"/>
      <ns0:c r="F1078" s="17" t="n"/>
      <ns0:c r="G1078" s="17" t="n"/>
      <ns0:c r="H1078" s="17" t="n"/>
      <ns0:c r="I1078" s="17" t="n"/>
      <ns0:c r="J1078" s="17" t="n"/>
      <ns0:c r="K1078" s="17" t="n"/>
      <ns0:c r="L1078" s="17" t="n"/>
      <ns0:c r="M1078" s="17" t="n"/>
      <ns0:c r="N1078" s="17" t="n"/>
      <ns0:c r="O1078" s="17" t="n"/>
      <ns0:c r="P1078" s="17" t="n"/>
      <ns0:c r="Q1078" s="17" t="n"/>
      <ns0:c r="R1078" s="17" t="n"/>
      <ns0:c r="S1078" s="17" t="n"/>
      <ns0:c r="T1078" s="17" t="n"/>
      <ns0:c r="U1078" s="17" t="n"/>
      <ns0:c r="V1078" s="17" t="n"/>
      <ns0:c r="W1078" s="17" t="n"/>
      <ns0:c r="X1078" s="17" t="n"/>
      <ns0:c r="Y1078" s="17" t="n"/>
      <ns0:c r="Z1078" s="17" t="n"/>
      <ns0:c r="AA1078" s="17" t="n"/>
      <ns0:c r="AB1078" s="17" t="n"/>
      <ns0:c r="AC1078" s="17" t="n"/>
      <ns0:c r="AD1078" s="17" t="n"/>
      <ns0:c r="AE1078" s="17" t="n"/>
      <ns0:c r="AF1078" s="17" t="n"/>
      <ns0:c r="AG1078" s="17" t="n"/>
    </ns0:row>
    <ns0:row r="1079" ht="24" customHeight="1">
      <ns0:c r="D1079" s="17" t="n"/>
      <ns0:c r="E1079" s="17" t="n"/>
      <ns0:c r="F1079" s="17" t="n"/>
      <ns0:c r="G1079" s="17" t="n"/>
      <ns0:c r="H1079" s="17" t="n"/>
      <ns0:c r="I1079" s="17" t="n"/>
      <ns0:c r="J1079" s="17" t="n"/>
      <ns0:c r="K1079" s="17" t="n"/>
      <ns0:c r="L1079" s="17" t="n"/>
      <ns0:c r="M1079" s="17" t="n"/>
      <ns0:c r="N1079" s="17" t="n"/>
      <ns0:c r="O1079" s="17" t="n"/>
      <ns0:c r="P1079" s="17" t="n"/>
      <ns0:c r="Q1079" s="17" t="n"/>
      <ns0:c r="R1079" s="17" t="n"/>
      <ns0:c r="S1079" s="17" t="n"/>
      <ns0:c r="T1079" s="17" t="n"/>
      <ns0:c r="U1079" s="17" t="n"/>
      <ns0:c r="V1079" s="17" t="n"/>
      <ns0:c r="W1079" s="17" t="n"/>
      <ns0:c r="X1079" s="17" t="n"/>
      <ns0:c r="Y1079" s="17" t="n"/>
      <ns0:c r="Z1079" s="17" t="n"/>
      <ns0:c r="AA1079" s="17" t="n"/>
      <ns0:c r="AB1079" s="17" t="n"/>
      <ns0:c r="AC1079" s="17" t="n"/>
      <ns0:c r="AD1079" s="17" t="n"/>
      <ns0:c r="AE1079" s="17" t="n"/>
      <ns0:c r="AF1079" s="17" t="n"/>
      <ns0:c r="AG1079" s="17" t="n"/>
    </ns0:row>
    <ns0:row r="1080" ht="24" customHeight="1">
      <ns0:c r="D1080" s="17" t="n"/>
      <ns0:c r="E1080" s="17" t="n"/>
      <ns0:c r="F1080" s="17" t="n"/>
      <ns0:c r="G1080" s="17" t="n"/>
      <ns0:c r="H1080" s="17" t="n"/>
      <ns0:c r="I1080" s="17" t="n"/>
      <ns0:c r="J1080" s="17" t="n"/>
      <ns0:c r="K1080" s="17" t="n"/>
      <ns0:c r="L1080" s="17" t="n"/>
      <ns0:c r="M1080" s="17" t="n"/>
      <ns0:c r="N1080" s="17" t="n"/>
      <ns0:c r="O1080" s="17" t="n"/>
      <ns0:c r="P1080" s="17" t="n"/>
      <ns0:c r="Q1080" s="17" t="n"/>
      <ns0:c r="R1080" s="17" t="n"/>
      <ns0:c r="S1080" s="17" t="n"/>
      <ns0:c r="T1080" s="17" t="n"/>
      <ns0:c r="U1080" s="17" t="n"/>
      <ns0:c r="V1080" s="17" t="n"/>
      <ns0:c r="W1080" s="17" t="n"/>
      <ns0:c r="X1080" s="17" t="n"/>
      <ns0:c r="Y1080" s="17" t="n"/>
      <ns0:c r="Z1080" s="17" t="n"/>
      <ns0:c r="AA1080" s="17" t="n"/>
      <ns0:c r="AB1080" s="17" t="n"/>
      <ns0:c r="AC1080" s="17" t="n"/>
      <ns0:c r="AD1080" s="17" t="n"/>
      <ns0:c r="AE1080" s="17" t="n"/>
      <ns0:c r="AF1080" s="17" t="n"/>
      <ns0:c r="AG1080" s="17" t="n"/>
    </ns0:row>
    <ns0:row r="1081" ht="24" customHeight="1">
      <ns0:c r="D1081" s="17" t="n"/>
      <ns0:c r="E1081" s="17" t="n"/>
      <ns0:c r="F1081" s="17" t="n"/>
      <ns0:c r="G1081" s="17" t="n"/>
      <ns0:c r="H1081" s="17" t="n"/>
      <ns0:c r="I1081" s="17" t="n"/>
      <ns0:c r="J1081" s="17" t="n"/>
      <ns0:c r="K1081" s="17" t="n"/>
      <ns0:c r="L1081" s="17" t="n"/>
      <ns0:c r="M1081" s="17" t="n"/>
      <ns0:c r="N1081" s="17" t="n"/>
      <ns0:c r="O1081" s="17" t="n"/>
      <ns0:c r="P1081" s="17" t="n"/>
      <ns0:c r="Q1081" s="17" t="n"/>
      <ns0:c r="R1081" s="17" t="n"/>
      <ns0:c r="S1081" s="17" t="n"/>
      <ns0:c r="T1081" s="17" t="n"/>
      <ns0:c r="U1081" s="17" t="n"/>
      <ns0:c r="V1081" s="17" t="n"/>
      <ns0:c r="W1081" s="17" t="n"/>
      <ns0:c r="X1081" s="17" t="n"/>
      <ns0:c r="Y1081" s="17" t="n"/>
      <ns0:c r="Z1081" s="17" t="n"/>
      <ns0:c r="AA1081" s="17" t="n"/>
      <ns0:c r="AB1081" s="17" t="n"/>
      <ns0:c r="AC1081" s="17" t="n"/>
      <ns0:c r="AD1081" s="17" t="n"/>
      <ns0:c r="AE1081" s="17" t="n"/>
      <ns0:c r="AF1081" s="17" t="n"/>
      <ns0:c r="AG1081" s="17" t="n"/>
    </ns0:row>
    <ns0:row r="1082" ht="24" customHeight="1">
      <ns0:c r="D1082" s="17" t="n"/>
      <ns0:c r="E1082" s="17" t="n"/>
      <ns0:c r="F1082" s="17" t="n"/>
      <ns0:c r="G1082" s="17" t="n"/>
      <ns0:c r="H1082" s="17" t="n"/>
      <ns0:c r="I1082" s="17" t="n"/>
      <ns0:c r="J1082" s="17" t="n"/>
      <ns0:c r="K1082" s="17" t="n"/>
      <ns0:c r="L1082" s="17" t="n"/>
      <ns0:c r="M1082" s="17" t="n"/>
      <ns0:c r="N1082" s="17" t="n"/>
      <ns0:c r="O1082" s="17" t="n"/>
      <ns0:c r="P1082" s="17" t="n"/>
      <ns0:c r="Q1082" s="17" t="n"/>
      <ns0:c r="R1082" s="17" t="n"/>
      <ns0:c r="S1082" s="17" t="n"/>
      <ns0:c r="T1082" s="17" t="n"/>
      <ns0:c r="U1082" s="17" t="n"/>
      <ns0:c r="V1082" s="17" t="n"/>
      <ns0:c r="W1082" s="17" t="n"/>
      <ns0:c r="X1082" s="17" t="n"/>
      <ns0:c r="Y1082" s="17" t="n"/>
      <ns0:c r="Z1082" s="17" t="n"/>
      <ns0:c r="AA1082" s="17" t="n"/>
      <ns0:c r="AB1082" s="17" t="n"/>
      <ns0:c r="AC1082" s="17" t="n"/>
      <ns0:c r="AD1082" s="17" t="n"/>
      <ns0:c r="AE1082" s="17" t="n"/>
      <ns0:c r="AF1082" s="17" t="n"/>
      <ns0:c r="AG1082" s="17" t="n"/>
    </ns0:row>
    <ns0:row r="1083" ht="24" customHeight="1">
      <ns0:c r="D1083" s="17" t="n"/>
      <ns0:c r="E1083" s="17" t="n"/>
      <ns0:c r="F1083" s="17" t="n"/>
      <ns0:c r="G1083" s="17" t="n"/>
      <ns0:c r="H1083" s="17" t="n"/>
      <ns0:c r="I1083" s="17" t="n"/>
      <ns0:c r="J1083" s="17" t="n"/>
      <ns0:c r="K1083" s="17" t="n"/>
      <ns0:c r="L1083" s="17" t="n"/>
      <ns0:c r="M1083" s="17" t="n"/>
      <ns0:c r="N1083" s="17" t="n"/>
      <ns0:c r="O1083" s="17" t="n"/>
      <ns0:c r="P1083" s="17" t="n"/>
      <ns0:c r="Q1083" s="17" t="n"/>
      <ns0:c r="R1083" s="17" t="n"/>
      <ns0:c r="S1083" s="17" t="n"/>
      <ns0:c r="T1083" s="17" t="n"/>
      <ns0:c r="U1083" s="17" t="n"/>
      <ns0:c r="V1083" s="17" t="n"/>
      <ns0:c r="W1083" s="17" t="n"/>
      <ns0:c r="X1083" s="17" t="n"/>
      <ns0:c r="Y1083" s="17" t="n"/>
      <ns0:c r="Z1083" s="17" t="n"/>
      <ns0:c r="AA1083" s="17" t="n"/>
      <ns0:c r="AB1083" s="17" t="n"/>
      <ns0:c r="AC1083" s="17" t="n"/>
      <ns0:c r="AD1083" s="17" t="n"/>
      <ns0:c r="AE1083" s="17" t="n"/>
      <ns0:c r="AF1083" s="17" t="n"/>
      <ns0:c r="AG1083" s="17" t="n"/>
    </ns0:row>
    <ns0:row r="1084" ht="24" customHeight="1">
      <ns0:c r="D1084" s="17" t="n"/>
      <ns0:c r="E1084" s="17" t="n"/>
      <ns0:c r="F1084" s="17" t="n"/>
      <ns0:c r="G1084" s="17" t="n"/>
      <ns0:c r="H1084" s="17" t="n"/>
      <ns0:c r="I1084" s="17" t="n"/>
      <ns0:c r="J1084" s="17" t="n"/>
      <ns0:c r="K1084" s="17" t="n"/>
      <ns0:c r="L1084" s="17" t="n"/>
      <ns0:c r="M1084" s="17" t="n"/>
      <ns0:c r="N1084" s="17" t="n"/>
      <ns0:c r="O1084" s="17" t="n"/>
      <ns0:c r="P1084" s="17" t="n"/>
      <ns0:c r="Q1084" s="17" t="n"/>
      <ns0:c r="R1084" s="17" t="n"/>
      <ns0:c r="S1084" s="17" t="n"/>
      <ns0:c r="T1084" s="17" t="n"/>
      <ns0:c r="U1084" s="17" t="n"/>
      <ns0:c r="V1084" s="17" t="n"/>
      <ns0:c r="W1084" s="17" t="n"/>
      <ns0:c r="X1084" s="17" t="n"/>
      <ns0:c r="Y1084" s="17" t="n"/>
      <ns0:c r="Z1084" s="17" t="n"/>
      <ns0:c r="AA1084" s="17" t="n"/>
      <ns0:c r="AB1084" s="17" t="n"/>
      <ns0:c r="AC1084" s="17" t="n"/>
      <ns0:c r="AD1084" s="17" t="n"/>
      <ns0:c r="AE1084" s="17" t="n"/>
      <ns0:c r="AF1084" s="17" t="n"/>
      <ns0:c r="AG1084" s="17" t="n"/>
    </ns0:row>
    <ns0:row r="1085" ht="24" customHeight="1">
      <ns0:c r="D1085" s="17" t="n"/>
      <ns0:c r="E1085" s="17" t="n"/>
      <ns0:c r="F1085" s="17" t="n"/>
      <ns0:c r="G1085" s="17" t="n"/>
      <ns0:c r="H1085" s="17" t="n"/>
      <ns0:c r="I1085" s="17" t="n"/>
      <ns0:c r="J1085" s="17" t="n"/>
      <ns0:c r="K1085" s="17" t="n"/>
      <ns0:c r="L1085" s="17" t="n"/>
      <ns0:c r="M1085" s="17" t="n"/>
      <ns0:c r="N1085" s="17" t="n"/>
      <ns0:c r="O1085" s="17" t="n"/>
      <ns0:c r="P1085" s="17" t="n"/>
      <ns0:c r="Q1085" s="17" t="n"/>
      <ns0:c r="R1085" s="17" t="n"/>
      <ns0:c r="S1085" s="17" t="n"/>
      <ns0:c r="T1085" s="17" t="n"/>
      <ns0:c r="U1085" s="17" t="n"/>
      <ns0:c r="V1085" s="17" t="n"/>
      <ns0:c r="W1085" s="17" t="n"/>
      <ns0:c r="X1085" s="17" t="n"/>
      <ns0:c r="Y1085" s="17" t="n"/>
      <ns0:c r="Z1085" s="17" t="n"/>
      <ns0:c r="AA1085" s="17" t="n"/>
      <ns0:c r="AB1085" s="17" t="n"/>
      <ns0:c r="AC1085" s="17" t="n"/>
      <ns0:c r="AD1085" s="17" t="n"/>
      <ns0:c r="AE1085" s="17" t="n"/>
      <ns0:c r="AF1085" s="17" t="n"/>
      <ns0:c r="AG1085" s="17" t="n"/>
    </ns0:row>
    <ns0:row r="1086" ht="24" customHeight="1">
      <ns0:c r="D1086" s="17" t="n"/>
      <ns0:c r="E1086" s="17" t="n"/>
      <ns0:c r="F1086" s="17" t="n"/>
      <ns0:c r="G1086" s="17" t="n"/>
      <ns0:c r="H1086" s="17" t="n"/>
      <ns0:c r="I1086" s="17" t="n"/>
      <ns0:c r="J1086" s="17" t="n"/>
      <ns0:c r="K1086" s="17" t="n"/>
      <ns0:c r="L1086" s="17" t="n"/>
      <ns0:c r="M1086" s="17" t="n"/>
      <ns0:c r="N1086" s="17" t="n"/>
      <ns0:c r="O1086" s="17" t="n"/>
      <ns0:c r="P1086" s="17" t="n"/>
      <ns0:c r="Q1086" s="17" t="n"/>
      <ns0:c r="R1086" s="17" t="n"/>
      <ns0:c r="S1086" s="17" t="n"/>
      <ns0:c r="T1086" s="17" t="n"/>
      <ns0:c r="U1086" s="17" t="n"/>
      <ns0:c r="V1086" s="17" t="n"/>
      <ns0:c r="W1086" s="17" t="n"/>
      <ns0:c r="X1086" s="17" t="n"/>
      <ns0:c r="Y1086" s="17" t="n"/>
      <ns0:c r="Z1086" s="17" t="n"/>
      <ns0:c r="AA1086" s="17" t="n"/>
      <ns0:c r="AB1086" s="17" t="n"/>
      <ns0:c r="AC1086" s="17" t="n"/>
      <ns0:c r="AD1086" s="17" t="n"/>
      <ns0:c r="AE1086" s="17" t="n"/>
      <ns0:c r="AF1086" s="17" t="n"/>
      <ns0:c r="AG1086" s="17" t="n"/>
    </ns0:row>
    <ns0:row r="1087" ht="24" customHeight="1">
      <ns0:c r="D1087" s="17" t="n"/>
      <ns0:c r="E1087" s="17" t="n"/>
      <ns0:c r="F1087" s="17" t="n"/>
      <ns0:c r="G1087" s="17" t="n"/>
      <ns0:c r="H1087" s="17" t="n"/>
      <ns0:c r="I1087" s="17" t="n"/>
      <ns0:c r="J1087" s="17" t="n"/>
      <ns0:c r="K1087" s="17" t="n"/>
      <ns0:c r="L1087" s="17" t="n"/>
      <ns0:c r="M1087" s="17" t="n"/>
      <ns0:c r="N1087" s="17" t="n"/>
      <ns0:c r="O1087" s="17" t="n"/>
      <ns0:c r="P1087" s="17" t="n"/>
      <ns0:c r="Q1087" s="17" t="n"/>
      <ns0:c r="R1087" s="17" t="n"/>
      <ns0:c r="S1087" s="17" t="n"/>
      <ns0:c r="T1087" s="17" t="n"/>
      <ns0:c r="U1087" s="17" t="n"/>
      <ns0:c r="V1087" s="17" t="n"/>
      <ns0:c r="W1087" s="17" t="n"/>
      <ns0:c r="X1087" s="17" t="n"/>
      <ns0:c r="Y1087" s="17" t="n"/>
      <ns0:c r="Z1087" s="17" t="n"/>
      <ns0:c r="AA1087" s="17" t="n"/>
      <ns0:c r="AB1087" s="17" t="n"/>
      <ns0:c r="AC1087" s="17" t="n"/>
      <ns0:c r="AD1087" s="17" t="n"/>
      <ns0:c r="AE1087" s="17" t="n"/>
      <ns0:c r="AF1087" s="17" t="n"/>
      <ns0:c r="AG1087" s="17" t="n"/>
    </ns0:row>
    <ns0:row r="1088" ht="24" customHeight="1">
      <ns0:c r="D1088" s="17" t="n"/>
      <ns0:c r="E1088" s="17" t="n"/>
      <ns0:c r="F1088" s="17" t="n"/>
      <ns0:c r="G1088" s="17" t="n"/>
      <ns0:c r="H1088" s="17" t="n"/>
      <ns0:c r="I1088" s="17" t="n"/>
      <ns0:c r="J1088" s="17" t="n"/>
      <ns0:c r="K1088" s="17" t="n"/>
      <ns0:c r="L1088" s="17" t="n"/>
      <ns0:c r="M1088" s="17" t="n"/>
      <ns0:c r="N1088" s="17" t="n"/>
      <ns0:c r="O1088" s="17" t="n"/>
      <ns0:c r="P1088" s="17" t="n"/>
      <ns0:c r="Q1088" s="17" t="n"/>
      <ns0:c r="R1088" s="17" t="n"/>
      <ns0:c r="S1088" s="17" t="n"/>
      <ns0:c r="T1088" s="17" t="n"/>
      <ns0:c r="U1088" s="17" t="n"/>
      <ns0:c r="V1088" s="17" t="n"/>
      <ns0:c r="W1088" s="17" t="n"/>
      <ns0:c r="X1088" s="17" t="n"/>
      <ns0:c r="Y1088" s="17" t="n"/>
      <ns0:c r="Z1088" s="17" t="n"/>
      <ns0:c r="AA1088" s="17" t="n"/>
      <ns0:c r="AB1088" s="17" t="n"/>
      <ns0:c r="AC1088" s="17" t="n"/>
      <ns0:c r="AD1088" s="17" t="n"/>
      <ns0:c r="AE1088" s="17" t="n"/>
      <ns0:c r="AF1088" s="17" t="n"/>
      <ns0:c r="AG1088" s="17" t="n"/>
    </ns0:row>
    <ns0:row r="1089" ht="24" customHeight="1">
      <ns0:c r="D1089" s="17" t="n"/>
      <ns0:c r="E1089" s="17" t="n"/>
      <ns0:c r="F1089" s="17" t="n"/>
      <ns0:c r="G1089" s="17" t="n"/>
      <ns0:c r="H1089" s="17" t="n"/>
      <ns0:c r="I1089" s="17" t="n"/>
      <ns0:c r="J1089" s="17" t="n"/>
      <ns0:c r="K1089" s="17" t="n"/>
      <ns0:c r="L1089" s="17" t="n"/>
      <ns0:c r="M1089" s="17" t="n"/>
      <ns0:c r="N1089" s="17" t="n"/>
      <ns0:c r="O1089" s="17" t="n"/>
      <ns0:c r="P1089" s="17" t="n"/>
      <ns0:c r="Q1089" s="17" t="n"/>
      <ns0:c r="R1089" s="17" t="n"/>
      <ns0:c r="S1089" s="17" t="n"/>
      <ns0:c r="T1089" s="17" t="n"/>
      <ns0:c r="U1089" s="17" t="n"/>
      <ns0:c r="V1089" s="17" t="n"/>
      <ns0:c r="W1089" s="17" t="n"/>
      <ns0:c r="X1089" s="17" t="n"/>
      <ns0:c r="Y1089" s="17" t="n"/>
      <ns0:c r="Z1089" s="17" t="n"/>
      <ns0:c r="AA1089" s="17" t="n"/>
      <ns0:c r="AB1089" s="17" t="n"/>
      <ns0:c r="AC1089" s="17" t="n"/>
      <ns0:c r="AD1089" s="17" t="n"/>
      <ns0:c r="AE1089" s="17" t="n"/>
      <ns0:c r="AF1089" s="17" t="n"/>
      <ns0:c r="AG1089" s="17" t="n"/>
    </ns0:row>
    <ns0:row r="1090" ht="24" customHeight="1">
      <ns0:c r="D1090" s="17" t="n"/>
      <ns0:c r="E1090" s="17" t="n"/>
      <ns0:c r="F1090" s="17" t="n"/>
      <ns0:c r="G1090" s="17" t="n"/>
      <ns0:c r="H1090" s="17" t="n"/>
      <ns0:c r="I1090" s="17" t="n"/>
      <ns0:c r="J1090" s="17" t="n"/>
      <ns0:c r="K1090" s="17" t="n"/>
      <ns0:c r="L1090" s="17" t="n"/>
      <ns0:c r="M1090" s="17" t="n"/>
      <ns0:c r="N1090" s="17" t="n"/>
      <ns0:c r="O1090" s="17" t="n"/>
      <ns0:c r="P1090" s="17" t="n"/>
      <ns0:c r="Q1090" s="17" t="n"/>
      <ns0:c r="R1090" s="17" t="n"/>
      <ns0:c r="S1090" s="17" t="n"/>
      <ns0:c r="T1090" s="17" t="n"/>
      <ns0:c r="U1090" s="17" t="n"/>
      <ns0:c r="V1090" s="17" t="n"/>
      <ns0:c r="W1090" s="17" t="n"/>
      <ns0:c r="X1090" s="17" t="n"/>
      <ns0:c r="Y1090" s="17" t="n"/>
      <ns0:c r="Z1090" s="17" t="n"/>
      <ns0:c r="AA1090" s="17" t="n"/>
      <ns0:c r="AB1090" s="17" t="n"/>
      <ns0:c r="AC1090" s="17" t="n"/>
      <ns0:c r="AD1090" s="17" t="n"/>
      <ns0:c r="AE1090" s="17" t="n"/>
      <ns0:c r="AF1090" s="17" t="n"/>
      <ns0:c r="AG1090" s="17" t="n"/>
    </ns0:row>
    <ns0:row r="1091" ht="24" customHeight="1">
      <ns0:c r="D1091" s="17" t="n"/>
      <ns0:c r="E1091" s="17" t="n"/>
      <ns0:c r="F1091" s="17" t="n"/>
      <ns0:c r="G1091" s="17" t="n"/>
      <ns0:c r="H1091" s="17" t="n"/>
      <ns0:c r="I1091" s="17" t="n"/>
      <ns0:c r="J1091" s="17" t="n"/>
      <ns0:c r="K1091" s="17" t="n"/>
      <ns0:c r="L1091" s="17" t="n"/>
      <ns0:c r="M1091" s="17" t="n"/>
      <ns0:c r="N1091" s="17" t="n"/>
      <ns0:c r="O1091" s="17" t="n"/>
      <ns0:c r="P1091" s="17" t="n"/>
      <ns0:c r="Q1091" s="17" t="n"/>
      <ns0:c r="R1091" s="17" t="n"/>
      <ns0:c r="S1091" s="17" t="n"/>
      <ns0:c r="T1091" s="17" t="n"/>
      <ns0:c r="U1091" s="17" t="n"/>
      <ns0:c r="V1091" s="17" t="n"/>
      <ns0:c r="W1091" s="17" t="n"/>
      <ns0:c r="X1091" s="17" t="n"/>
      <ns0:c r="Y1091" s="17" t="n"/>
      <ns0:c r="Z1091" s="17" t="n"/>
      <ns0:c r="AA1091" s="17" t="n"/>
      <ns0:c r="AB1091" s="17" t="n"/>
      <ns0:c r="AC1091" s="17" t="n"/>
      <ns0:c r="AD1091" s="17" t="n"/>
      <ns0:c r="AE1091" s="17" t="n"/>
      <ns0:c r="AF1091" s="17" t="n"/>
      <ns0:c r="AG1091" s="17" t="n"/>
    </ns0:row>
    <ns0:row r="1092" ht="24" customHeight="1">
      <ns0:c r="D1092" s="17" t="n"/>
      <ns0:c r="E1092" s="17" t="n"/>
      <ns0:c r="F1092" s="17" t="n"/>
      <ns0:c r="G1092" s="17" t="n"/>
      <ns0:c r="H1092" s="17" t="n"/>
      <ns0:c r="I1092" s="17" t="n"/>
      <ns0:c r="J1092" s="17" t="n"/>
      <ns0:c r="K1092" s="17" t="n"/>
      <ns0:c r="L1092" s="17" t="n"/>
      <ns0:c r="M1092" s="17" t="n"/>
      <ns0:c r="N1092" s="17" t="n"/>
      <ns0:c r="O1092" s="17" t="n"/>
      <ns0:c r="P1092" s="17" t="n"/>
      <ns0:c r="Q1092" s="17" t="n"/>
      <ns0:c r="R1092" s="17" t="n"/>
      <ns0:c r="S1092" s="17" t="n"/>
      <ns0:c r="T1092" s="17" t="n"/>
      <ns0:c r="U1092" s="17" t="n"/>
      <ns0:c r="V1092" s="17" t="n"/>
      <ns0:c r="W1092" s="17" t="n"/>
      <ns0:c r="X1092" s="17" t="n"/>
      <ns0:c r="Y1092" s="17" t="n"/>
      <ns0:c r="Z1092" s="17" t="n"/>
      <ns0:c r="AA1092" s="17" t="n"/>
      <ns0:c r="AB1092" s="17" t="n"/>
      <ns0:c r="AC1092" s="17" t="n"/>
      <ns0:c r="AD1092" s="17" t="n"/>
      <ns0:c r="AE1092" s="17" t="n"/>
      <ns0:c r="AF1092" s="17" t="n"/>
      <ns0:c r="AG1092" s="17" t="n"/>
    </ns0:row>
    <ns0:row r="1093" ht="24" customHeight="1">
      <ns0:c r="D1093" s="17" t="n"/>
      <ns0:c r="E1093" s="17" t="n"/>
      <ns0:c r="F1093" s="17" t="n"/>
      <ns0:c r="G1093" s="17" t="n"/>
      <ns0:c r="H1093" s="17" t="n"/>
      <ns0:c r="I1093" s="17" t="n"/>
      <ns0:c r="J1093" s="17" t="n"/>
      <ns0:c r="K1093" s="17" t="n"/>
      <ns0:c r="L1093" s="17" t="n"/>
      <ns0:c r="M1093" s="17" t="n"/>
      <ns0:c r="N1093" s="17" t="n"/>
      <ns0:c r="O1093" s="17" t="n"/>
      <ns0:c r="P1093" s="17" t="n"/>
      <ns0:c r="Q1093" s="17" t="n"/>
      <ns0:c r="R1093" s="17" t="n"/>
      <ns0:c r="S1093" s="17" t="n"/>
      <ns0:c r="T1093" s="17" t="n"/>
      <ns0:c r="U1093" s="17" t="n"/>
      <ns0:c r="V1093" s="17" t="n"/>
      <ns0:c r="W1093" s="17" t="n"/>
      <ns0:c r="X1093" s="17" t="n"/>
      <ns0:c r="Y1093" s="17" t="n"/>
      <ns0:c r="Z1093" s="17" t="n"/>
      <ns0:c r="AA1093" s="17" t="n"/>
      <ns0:c r="AB1093" s="17" t="n"/>
      <ns0:c r="AC1093" s="17" t="n"/>
      <ns0:c r="AD1093" s="17" t="n"/>
      <ns0:c r="AE1093" s="17" t="n"/>
      <ns0:c r="AF1093" s="17" t="n"/>
      <ns0:c r="AG1093" s="17" t="n"/>
    </ns0:row>
    <ns0:row r="1094" ht="24" customHeight="1">
      <ns0:c r="D1094" s="17" t="n"/>
      <ns0:c r="E1094" s="17" t="n"/>
      <ns0:c r="F1094" s="17" t="n"/>
      <ns0:c r="G1094" s="17" t="n"/>
      <ns0:c r="H1094" s="17" t="n"/>
      <ns0:c r="I1094" s="17" t="n"/>
      <ns0:c r="J1094" s="17" t="n"/>
      <ns0:c r="K1094" s="17" t="n"/>
      <ns0:c r="L1094" s="17" t="n"/>
      <ns0:c r="M1094" s="17" t="n"/>
      <ns0:c r="N1094" s="17" t="n"/>
      <ns0:c r="O1094" s="17" t="n"/>
      <ns0:c r="P1094" s="17" t="n"/>
      <ns0:c r="Q1094" s="17" t="n"/>
      <ns0:c r="R1094" s="17" t="n"/>
      <ns0:c r="S1094" s="17" t="n"/>
      <ns0:c r="T1094" s="17" t="n"/>
      <ns0:c r="U1094" s="17" t="n"/>
      <ns0:c r="V1094" s="17" t="n"/>
      <ns0:c r="W1094" s="17" t="n"/>
      <ns0:c r="X1094" s="17" t="n"/>
      <ns0:c r="Y1094" s="17" t="n"/>
      <ns0:c r="Z1094" s="17" t="n"/>
      <ns0:c r="AA1094" s="17" t="n"/>
      <ns0:c r="AB1094" s="17" t="n"/>
      <ns0:c r="AC1094" s="17" t="n"/>
      <ns0:c r="AD1094" s="17" t="n"/>
      <ns0:c r="AE1094" s="17" t="n"/>
      <ns0:c r="AF1094" s="17" t="n"/>
      <ns0:c r="AG1094" s="17" t="n"/>
    </ns0:row>
    <ns0:row r="1095" ht="24" customHeight="1">
      <ns0:c r="D1095" s="17" t="n"/>
      <ns0:c r="E1095" s="17" t="n"/>
      <ns0:c r="F1095" s="17" t="n"/>
      <ns0:c r="G1095" s="17" t="n"/>
      <ns0:c r="H1095" s="17" t="n"/>
      <ns0:c r="I1095" s="17" t="n"/>
      <ns0:c r="J1095" s="17" t="n"/>
      <ns0:c r="K1095" s="17" t="n"/>
      <ns0:c r="L1095" s="17" t="n"/>
      <ns0:c r="M1095" s="17" t="n"/>
      <ns0:c r="N1095" s="17" t="n"/>
      <ns0:c r="O1095" s="17" t="n"/>
      <ns0:c r="P1095" s="17" t="n"/>
      <ns0:c r="Q1095" s="17" t="n"/>
      <ns0:c r="R1095" s="17" t="n"/>
      <ns0:c r="S1095" s="17" t="n"/>
      <ns0:c r="T1095" s="17" t="n"/>
      <ns0:c r="U1095" s="17" t="n"/>
      <ns0:c r="V1095" s="17" t="n"/>
      <ns0:c r="W1095" s="17" t="n"/>
      <ns0:c r="X1095" s="17" t="n"/>
      <ns0:c r="Y1095" s="17" t="n"/>
      <ns0:c r="Z1095" s="17" t="n"/>
      <ns0:c r="AA1095" s="17" t="n"/>
      <ns0:c r="AB1095" s="17" t="n"/>
      <ns0:c r="AC1095" s="17" t="n"/>
      <ns0:c r="AD1095" s="17" t="n"/>
      <ns0:c r="AE1095" s="17" t="n"/>
      <ns0:c r="AF1095" s="17" t="n"/>
      <ns0:c r="AG1095" s="17" t="n"/>
    </ns0:row>
    <ns0:row r="1096" ht="24" customHeight="1">
      <ns0:c r="D1096" s="17" t="n"/>
      <ns0:c r="E1096" s="17" t="n"/>
      <ns0:c r="F1096" s="17" t="n"/>
      <ns0:c r="G1096" s="17" t="n"/>
      <ns0:c r="H1096" s="17" t="n"/>
      <ns0:c r="I1096" s="17" t="n"/>
      <ns0:c r="J1096" s="17" t="n"/>
      <ns0:c r="K1096" s="17" t="n"/>
      <ns0:c r="L1096" s="17" t="n"/>
      <ns0:c r="M1096" s="17" t="n"/>
      <ns0:c r="N1096" s="17" t="n"/>
      <ns0:c r="O1096" s="17" t="n"/>
      <ns0:c r="P1096" s="17" t="n"/>
      <ns0:c r="Q1096" s="17" t="n"/>
      <ns0:c r="R1096" s="17" t="n"/>
      <ns0:c r="S1096" s="17" t="n"/>
      <ns0:c r="T1096" s="17" t="n"/>
      <ns0:c r="U1096" s="17" t="n"/>
      <ns0:c r="V1096" s="17" t="n"/>
      <ns0:c r="W1096" s="17" t="n"/>
      <ns0:c r="X1096" s="17" t="n"/>
      <ns0:c r="Y1096" s="17" t="n"/>
      <ns0:c r="Z1096" s="17" t="n"/>
      <ns0:c r="AA1096" s="17" t="n"/>
      <ns0:c r="AB1096" s="17" t="n"/>
      <ns0:c r="AC1096" s="17" t="n"/>
      <ns0:c r="AD1096" s="17" t="n"/>
      <ns0:c r="AE1096" s="17" t="n"/>
      <ns0:c r="AF1096" s="17" t="n"/>
      <ns0:c r="AG1096" s="17" t="n"/>
    </ns0:row>
    <ns0:row r="1097" ht="24" customHeight="1">
      <ns0:c r="D1097" s="17" t="n"/>
      <ns0:c r="E1097" s="17" t="n"/>
      <ns0:c r="F1097" s="17" t="n"/>
      <ns0:c r="G1097" s="17" t="n"/>
      <ns0:c r="H1097" s="17" t="n"/>
      <ns0:c r="I1097" s="17" t="n"/>
      <ns0:c r="J1097" s="17" t="n"/>
      <ns0:c r="K1097" s="17" t="n"/>
      <ns0:c r="L1097" s="17" t="n"/>
      <ns0:c r="M1097" s="17" t="n"/>
      <ns0:c r="N1097" s="17" t="n"/>
      <ns0:c r="O1097" s="17" t="n"/>
      <ns0:c r="P1097" s="17" t="n"/>
      <ns0:c r="Q1097" s="17" t="n"/>
      <ns0:c r="R1097" s="17" t="n"/>
      <ns0:c r="S1097" s="17" t="n"/>
      <ns0:c r="T1097" s="17" t="n"/>
      <ns0:c r="U1097" s="17" t="n"/>
      <ns0:c r="V1097" s="17" t="n"/>
      <ns0:c r="W1097" s="17" t="n"/>
      <ns0:c r="X1097" s="17" t="n"/>
      <ns0:c r="Y1097" s="17" t="n"/>
      <ns0:c r="Z1097" s="17" t="n"/>
      <ns0:c r="AA1097" s="17" t="n"/>
      <ns0:c r="AB1097" s="17" t="n"/>
      <ns0:c r="AC1097" s="17" t="n"/>
      <ns0:c r="AD1097" s="17" t="n"/>
      <ns0:c r="AE1097" s="17" t="n"/>
      <ns0:c r="AF1097" s="17" t="n"/>
      <ns0:c r="AG1097" s="17" t="n"/>
    </ns0:row>
    <ns0:row r="1098" ht="24" customHeight="1">
      <ns0:c r="D1098" s="17" t="n"/>
      <ns0:c r="E1098" s="17" t="n"/>
      <ns0:c r="F1098" s="17" t="n"/>
      <ns0:c r="G1098" s="17" t="n"/>
      <ns0:c r="H1098" s="17" t="n"/>
      <ns0:c r="I1098" s="17" t="n"/>
      <ns0:c r="J1098" s="17" t="n"/>
      <ns0:c r="K1098" s="17" t="n"/>
      <ns0:c r="L1098" s="17" t="n"/>
      <ns0:c r="M1098" s="17" t="n"/>
      <ns0:c r="N1098" s="17" t="n"/>
      <ns0:c r="O1098" s="17" t="n"/>
      <ns0:c r="P1098" s="17" t="n"/>
      <ns0:c r="Q1098" s="17" t="n"/>
      <ns0:c r="R1098" s="17" t="n"/>
      <ns0:c r="S1098" s="17" t="n"/>
      <ns0:c r="T1098" s="17" t="n"/>
      <ns0:c r="U1098" s="17" t="n"/>
      <ns0:c r="V1098" s="17" t="n"/>
      <ns0:c r="W1098" s="17" t="n"/>
      <ns0:c r="X1098" s="17" t="n"/>
      <ns0:c r="Y1098" s="17" t="n"/>
      <ns0:c r="Z1098" s="17" t="n"/>
      <ns0:c r="AA1098" s="17" t="n"/>
      <ns0:c r="AB1098" s="17" t="n"/>
      <ns0:c r="AC1098" s="17" t="n"/>
      <ns0:c r="AD1098" s="17" t="n"/>
      <ns0:c r="AE1098" s="17" t="n"/>
      <ns0:c r="AF1098" s="17" t="n"/>
      <ns0:c r="AG1098" s="17" t="n"/>
    </ns0:row>
    <ns0:row r="1099" ht="24" customHeight="1">
      <ns0:c r="D1099" s="17" t="n"/>
      <ns0:c r="E1099" s="17" t="n"/>
      <ns0:c r="F1099" s="17" t="n"/>
      <ns0:c r="G1099" s="17" t="n"/>
      <ns0:c r="H1099" s="17" t="n"/>
      <ns0:c r="I1099" s="17" t="n"/>
      <ns0:c r="J1099" s="17" t="n"/>
      <ns0:c r="K1099" s="17" t="n"/>
      <ns0:c r="L1099" s="17" t="n"/>
      <ns0:c r="M1099" s="17" t="n"/>
      <ns0:c r="N1099" s="17" t="n"/>
      <ns0:c r="O1099" s="17" t="n"/>
      <ns0:c r="P1099" s="17" t="n"/>
      <ns0:c r="Q1099" s="17" t="n"/>
      <ns0:c r="R1099" s="17" t="n"/>
      <ns0:c r="S1099" s="17" t="n"/>
      <ns0:c r="T1099" s="17" t="n"/>
      <ns0:c r="U1099" s="17" t="n"/>
      <ns0:c r="V1099" s="17" t="n"/>
      <ns0:c r="W1099" s="17" t="n"/>
      <ns0:c r="X1099" s="17" t="n"/>
      <ns0:c r="Y1099" s="17" t="n"/>
      <ns0:c r="Z1099" s="17" t="n"/>
      <ns0:c r="AA1099" s="17" t="n"/>
      <ns0:c r="AB1099" s="17" t="n"/>
      <ns0:c r="AC1099" s="17" t="n"/>
      <ns0:c r="AD1099" s="17" t="n"/>
      <ns0:c r="AE1099" s="17" t="n"/>
      <ns0:c r="AF1099" s="17" t="n"/>
      <ns0:c r="AG1099" s="17" t="n"/>
    </ns0:row>
    <ns0:row r="1100" ht="24" customHeight="1">
      <ns0:c r="D1100" s="17" t="n"/>
      <ns0:c r="E1100" s="17" t="n"/>
      <ns0:c r="F1100" s="17" t="n"/>
      <ns0:c r="G1100" s="17" t="n"/>
      <ns0:c r="H1100" s="17" t="n"/>
      <ns0:c r="I1100" s="17" t="n"/>
      <ns0:c r="J1100" s="17" t="n"/>
      <ns0:c r="K1100" s="17" t="n"/>
      <ns0:c r="L1100" s="17" t="n"/>
      <ns0:c r="M1100" s="17" t="n"/>
      <ns0:c r="N1100" s="17" t="n"/>
      <ns0:c r="O1100" s="17" t="n"/>
      <ns0:c r="P1100" s="17" t="n"/>
      <ns0:c r="Q1100" s="17" t="n"/>
      <ns0:c r="R1100" s="17" t="n"/>
      <ns0:c r="S1100" s="17" t="n"/>
      <ns0:c r="T1100" s="17" t="n"/>
      <ns0:c r="U1100" s="17" t="n"/>
      <ns0:c r="V1100" s="17" t="n"/>
      <ns0:c r="W1100" s="17" t="n"/>
      <ns0:c r="X1100" s="17" t="n"/>
      <ns0:c r="Y1100" s="17" t="n"/>
      <ns0:c r="Z1100" s="17" t="n"/>
      <ns0:c r="AA1100" s="17" t="n"/>
      <ns0:c r="AB1100" s="17" t="n"/>
      <ns0:c r="AC1100" s="17" t="n"/>
      <ns0:c r="AD1100" s="17" t="n"/>
      <ns0:c r="AE1100" s="17" t="n"/>
      <ns0:c r="AF1100" s="17" t="n"/>
      <ns0:c r="AG1100" s="17" t="n"/>
    </ns0:row>
  </ns0:sheetData>
  <ns0:mergeCells count="2">
    <ns0:mergeCell ref="A1:I1"/>
    <ns0:mergeCell ref="A2:I2"/>
  </ns0:mergeCells>
  <ns0:conditionalFormatting sqref="S5:AG40">
    <ns0:cfRule type="cellIs" priority="1" operator="lessThan" dxfId="0">
      <ns0:formula>0</ns0:formula>
    </ns0:cfRule>
  </ns0:conditionalFormatting>
  <ns0:pageMargins left="0.75" right="0.75" top="1" bottom="1" header="0.5" footer="0.5"/>
</ns0:worksheet>
</file>

<file path=xl/worksheets/sheet7.xml><?xml version="1.0" encoding="utf-8"?>
<ns0:worksheet xmlns:ns0="http://schemas.openxmlformats.org/spreadsheetml/2006/main">
  <ns0:sheetPr>
    <ns0:outlinePr summaryBelow="1" summaryRight="1"/>
    <ns0:pageSetUpPr/>
  </ns0:sheetPr>
  <ns0:dimension ref="A1:Q292"/>
  <ns0:sheetViews>
    <ns0:sheetView showGridLines="0" workbookViewId="0">
      <ns0:pane xSplit="1" ySplit="4" topLeftCell="B5" activePane="bottomRight" state="frozen"/>
      <ns0:selection pane="topRight"/>
      <ns0:selection pane="bottomLeft"/>
      <ns0:selection pane="bottomRight" activeCell="A1" sqref="A1"/>
    </ns0:sheetView>
  </ns0:sheetViews>
  <ns0:sheetFormatPr baseColWidth="8" defaultRowHeight="15"/>
  <ns0:cols>
    <ns0:col width="19" customWidth="1" min="1" max="1"/>
    <ns0:col width="19" customWidth="1" min="2" max="2"/>
    <ns0:col width="19" customWidth="1" min="3" max="3"/>
    <ns0:col width="19" customWidth="1" min="4" max="4"/>
    <ns0:col width="19" customWidth="1" min="5" max="5"/>
    <ns0:col width="19" customWidth="1" min="6" max="6"/>
    <ns0:col width="19" customWidth="1" min="7" max="7"/>
    <ns0:col width="19" customWidth="1" min="8" max="8"/>
    <ns0:col width="19" customWidth="1" min="9" max="9"/>
    <ns0:col width="19" customWidth="1" min="10" max="10"/>
    <ns0:col width="19" customWidth="1" min="11" max="11"/>
    <ns0:col width="19" customWidth="1" min="12" max="12"/>
    <ns0:col width="19" customWidth="1" min="13" max="13"/>
    <ns0:col width="19" customWidth="1" min="14" max="14"/>
    <ns0:col width="19" customWidth="1" min="15" max="15"/>
    <ns0:col width="19" customWidth="1" min="16" max="16"/>
    <ns0:col width="19" customWidth="1" min="17" max="17"/>
  </ns0:cols>
  <ns0:sheetData>
    <ns0:row r="1" ht="32" customHeight="1">
      <ns0:c r="A1" s="1" t="inlineStr">
        <ns0:is>
          <ns0:t>C-40 / C-50 全144ケース（作成時固定表）</ns0:t>
        </ns0:is>
      </ns0:c>
    </ns0:row>
    <ns0:row r="2" ht="48" customHeight="1">
      <ns0:c r="A2" s="2" t="inlineStr">
        <ns0:is>
          <ns0:t>入力変更には連動しない。動的再計算は経営比較・利益曲線・累積回収。感度詳細は別CSV/JSON。</ns0:t>
        </ns0:is>
      </ns0:c>
    </ns0:row>
    <ns0:row r="3" ht="24" customHeight="1"/>
    <ns0:row r="4" ht="42" customHeight="1">
      <ns0:c r="A4" s="5" t="inlineStr">
        <ns0:is>
          <ns0:t>契約構成</ns0:t>
        </ns0:is>
      </ns0:c>
      <ns0:c r="B4" s="5" t="inlineStr">
        <ns0:is>
          <ns0:t>市場規模0低1基準2高</ns0:t>
        </ns0:is>
      </ns0:c>
      <ns0:c r="C4" s="5" t="inlineStr">
        <ns0:is>
          <ns0:t>利用0低1標準2高3高上限</ns0:t>
        </ns0:is>
      </ns0:c>
      <ns0:c r="D4" s="5" t="inlineStr">
        <ns0:is>
          <ns0:t>シェア率</ns0:t>
        </ns0:is>
      </ns0:c>
      <ns0:c r="E4" s="5" t="inlineStr">
        <ns0:is>
          <ns0:t>売上/社</ns0:t>
        </ns0:is>
      </ns0:c>
      <ns0:c r="F4" s="5" t="inlineStr">
        <ns0:is>
          <ns0:t>基本/社</ns0:t>
        </ns0:is>
      </ns0:c>
      <ns0:c r="G4" s="5" t="inlineStr">
        <ns0:is>
          <ns0:t>従量/社</ns0:t>
        </ns0:is>
      </ns0:c>
      <ns0:c r="H4" s="5" t="inlineStr">
        <ns0:is>
          <ns0:t>配分/社</ns0:t>
        </ns0:is>
      </ns0:c>
      <ns0:c r="I4" s="5" t="inlineStr">
        <ns0:is>
          <ns0:t>初回黒字</ns0:t>
        </ns0:is>
      </ns0:c>
      <ns0:c r="J4" s="5" t="inlineStr">
        <ns0:is>
          <ns0:t>継続黒字</ns0:t>
        </ns0:is>
      </ns0:c>
      <ns0:c r="K4" s="5" t="inlineStr">
        <ns0:is>
          <ns0:t>両サービス黒字</ns0:t>
        </ns0:is>
      </ns0:c>
      <ns0:c r="L4" s="5" t="inlineStr">
        <ns0:is>
          <ns0:t>10社</ns0:t>
        </ns0:is>
      </ns0:c>
      <ns0:c r="M4" s="5" t="inlineStr">
        <ns0:is>
          <ns0:t>30社</ns0:t>
        </ns0:is>
      </ns0:c>
      <ns0:c r="N4" s="5" t="inlineStr">
        <ns0:is>
          <ns0:t>50社</ns0:t>
        </ns0:is>
      </ns0:c>
      <ns0:c r="O4" s="5" t="inlineStr">
        <ns0:is>
          <ns0:t>100社</ns0:t>
        </ns0:is>
      </ns0:c>
      <ns0:c r="P4" s="5" t="inlineStr">
        <ns0:is>
          <ns0:t>300社</ns0:t>
        </ns0:is>
      </ns0:c>
      <ns0:c r="Q4" s="5" t="inlineStr">
        <ns0:is>
          <ns0:t>1000社</ns0:t>
        </ns0:is>
      </ns0:c>
    </ns0:row>
    <ns0:row r="5" ht="24" customHeight="1">
      <ns0:c r="A5" s="3" t="inlineStr">
        <ns0:is>
          <ns0:t>Guard単独</ns0:t>
        </ns0:is>
      </ns0:c>
      <ns0:c r="B5" s="4" t="n">
        <ns0:v>0</ns0:v>
      </ns0:c>
      <ns0:c r="C5" s="4" t="n">
        <ns0:v>0</ns0:v>
      </ns0:c>
      <ns0:c r="D5" s="6" t="n">
        <ns0:v>0.4</ns0:v>
      </ns0:c>
      <ns0:c r="E5" s="7" t="n">
        <ns0:v>5763.454317897371</ns0:v>
      </ns0:c>
      <ns0:c r="F5" s="7" t="n">
        <ns0:v>3704.630788485606</ns0:v>
      </ns0:c>
      <ns0:c r="G5" s="7" t="n">
        <ns0:v>2058.823529411764</ns0:v>
      </ns0:c>
      <ns0:c r="H5" s="7" t="n">
        <ns0:v>1481.852315394242</ns0:v>
      </ns0:c>
      <ns0:c r="I5" s="7" t="n">
        <ns0:v>10</ns0:v>
      </ns0:c>
      <ns0:c r="J5" s="7" t="n">
        <ns0:v>13</ns0:v>
      </ns0:c>
      <ns0:c r="K5" s="7" t="n">
        <ns0:v>13</ns0:v>
      </ns0:c>
      <ns0:c r="L5" s="7" t="n">
        <ns0:v>1854.192740926141</ns0:v>
      </ns0:c>
      <ns0:c r="M5" s="7" t="n">
        <ns0:v>53165.45682102627</ns0:v>
      </ns0:c>
      <ns0:c r="N5" s="7" t="n">
        <ns0:v>101942.4280350438</ns0:v>
      </ns0:c>
      <ns0:c r="O5" s="7" t="n">
        <ns0:v>223884.8560700876</ns0:v>
      </ns0:c>
      <ns0:c r="P5" s="7" t="n">
        <ns0:v>691654.5682102626</ns0:v>
      </ns0:c>
      <ns0:c r="Q5" s="7" t="n">
        <ns0:v>2358848.560700876</ns0:v>
      </ns0:c>
    </ns0:row>
    <ns0:row r="6" ht="24" customHeight="1">
      <ns0:c r="A6" s="3" t="inlineStr">
        <ns0:is>
          <ns0:t>Guard単独</ns0:t>
        </ns0:is>
      </ns0:c>
      <ns0:c r="B6" s="4" t="n">
        <ns0:v>0</ns0:v>
      </ns0:c>
      <ns0:c r="C6" s="4" t="n">
        <ns0:v>0</ns0:v>
      </ns0:c>
      <ns0:c r="D6" s="6" t="n">
        <ns0:v>0.5</ns0:v>
      </ns0:c>
      <ns0:c r="E6" s="7" t="n">
        <ns0:v>5763.454317897371</ns0:v>
      </ns0:c>
      <ns0:c r="F6" s="7" t="n">
        <ns0:v>3704.630788485606</ns0:v>
      </ns0:c>
      <ns0:c r="G6" s="7" t="n">
        <ns0:v>2058.823529411764</ns0:v>
      </ns0:c>
      <ns0:c r="H6" s="7" t="n">
        <ns0:v>1852.315394242803</ns0:v>
      </ns0:c>
      <ns0:c r="I6" s="7" t="n">
        <ns0:v>14</ns0:v>
      </ns0:c>
      <ns0:c r="J6" s="7" t="n">
        <ns0:v>14</ns0:v>
      </ns0:c>
      <ns0:c r="K6" s="7" t="n">
        <ns0:v>14</ns0:v>
      </ns0:c>
      <ns0:c r="L6" s="7" t="n">
        <ns0:v>-1850.438047559463</ns0:v>
      </ns0:c>
      <ns0:c r="M6" s="7" t="n">
        <ns0:v>42051.56445556945</ns0:v>
      </ns0:c>
      <ns0:c r="N6" s="7" t="n">
        <ns0:v>83419.27409261579</ns0:v>
      </ns0:c>
      <ns0:c r="O6" s="7" t="n">
        <ns0:v>186838.5481852316</ns0:v>
      </ns0:c>
      <ns0:c r="P6" s="7" t="n">
        <ns0:v>580515.6445556944</ns0:v>
      </ns0:c>
      <ns0:c r="Q6" s="7" t="n">
        <ns0:v>1988385.481852315</ns0:v>
      </ns0:c>
    </ns0:row>
    <ns0:row r="7" ht="24" customHeight="1">
      <ns0:c r="A7" s="3" t="inlineStr">
        <ns0:is>
          <ns0:t>Send単独</ns0:t>
        </ns0:is>
      </ns0:c>
      <ns0:c r="B7" s="4" t="n">
        <ns0:v>0</ns0:v>
      </ns0:c>
      <ns0:c r="C7" s="4" t="n">
        <ns0:v>0</ns0:v>
      </ns0:c>
      <ns0:c r="D7" s="6" t="n">
        <ns0:v>0.4</ns0:v>
      </ns0:c>
      <ns0:c r="E7" s="7" t="n">
        <ns0:v>1632.87</ns0:v>
      </ns0:c>
      <ns0:c r="F7" s="7" t="n">
        <ns0:v>1212.35</ns0:v>
      </ns0:c>
      <ns0:c r="G7" s="7" t="n">
        <ns0:v>420.5199999999999</ns0:v>
      </ns0:c>
      <ns0:c r="H7" s="7" t="n">
        <ns0:v>484.94</ns0:v>
      </ns0:c>
      <ns0:c r="I7" s="7" t="n">
        <ns0:v>43</ns0:v>
      </ns0:c>
      <ns0:c r="J7" s="7" t="n">
        <ns0:v>43</ns0:v>
      </ns0:c>
      <ns0:c r="K7" s="7" t="n">
        <ns0:v>43</ns0:v>
      </ns0:c>
      <ns0:c r="L7" s="7" t="n">
        <ns0:v>-21828.84108675874</ns0:v>
      </ns0:c>
      <ns0:c r="M7" s="7" t="n">
        <ns0:v>-9964.654007660632</ns0:v>
      </ns0:c>
      <ns0:c r="N7" s="7" t="n">
        <ns0:v>6399.53307143748</ns0:v>
      </ns0:c>
      <ns0:c r="O7" s="7" t="n">
        <ns0:v>47310.00076918276</ns0:v>
      </ns0:c>
      <ns0:c r="P7" s="7" t="n">
        <ns0:v>188951.8715601639</ns0:v>
      </ns0:c>
      <ns0:c r="Q7" s="7" t="n">
        <ns0:v>731698.4193285978</ns0:v>
      </ns0:c>
    </ns0:row>
    <ns0:row r="8" ht="24" customHeight="1">
      <ns0:c r="A8" s="3" t="inlineStr">
        <ns0:is>
          <ns0:t>Send単独</ns0:t>
        </ns0:is>
      </ns0:c>
      <ns0:c r="B8" s="4" t="n">
        <ns0:v>0</ns0:v>
      </ns0:c>
      <ns0:c r="C8" s="4" t="n">
        <ns0:v>0</ns0:v>
      </ns0:c>
      <ns0:c r="D8" s="6" t="n">
        <ns0:v>0.5</ns0:v>
      </ns0:c>
      <ns0:c r="E8" s="7" t="n">
        <ns0:v>1632.87</ns0:v>
      </ns0:c>
      <ns0:c r="F8" s="7" t="n">
        <ns0:v>1212.35</ns0:v>
      </ns0:c>
      <ns0:c r="G8" s="7" t="n">
        <ns0:v>420.5199999999999</ns0:v>
      </ns0:c>
      <ns0:c r="H8" s="7" t="n">
        <ns0:v>606.175</ns0:v>
      </ns0:c>
      <ns0:c r="I8" s="7" t="n">
        <ns0:v>50</ns0:v>
      </ns0:c>
      <ns0:c r="J8" s="7" t="n">
        <ns0:v>50</ns0:v>
      </ns0:c>
      <ns0:c r="K8" s="7" t="n">
        <ns0:v>50</ns0:v>
      </ns0:c>
      <ns0:c r="L8" s="7" t="n">
        <ns0:v>-23041.19108675874</ns0:v>
      </ns0:c>
      <ns0:c r="M8" s="7" t="n">
        <ns0:v>-13601.70400766063</ns0:v>
      </ns0:c>
      <ns0:c r="N8" s="7" t="n">
        <ns0:v>337.7830714374795</ns0:v>
      </ns0:c>
      <ns0:c r="O8" s="7" t="n">
        <ns0:v>35186.50076918276</ns0:v>
      </ns0:c>
      <ns0:c r="P8" s="7" t="n">
        <ns0:v>152581.3715601639</ns0:v>
      </ns0:c>
      <ns0:c r="Q8" s="7" t="n">
        <ns0:v>610463.4193285981</ns0:v>
      </ns0:c>
    </ns0:row>
    <ns0:row r="9" ht="24" customHeight="1">
      <ns0:c r="A9" s="3" t="inlineStr">
        <ns0:is>
          <ns0:t>パック単独</ns0:t>
        </ns0:is>
      </ns0:c>
      <ns0:c r="B9" s="4" t="n">
        <ns0:v>0</ns0:v>
      </ns0:c>
      <ns0:c r="C9" s="4" t="n">
        <ns0:v>0</ns0:v>
      </ns0:c>
      <ns0:c r="D9" s="6" t="n">
        <ns0:v>0.4</ns0:v>
      </ns0:c>
      <ns0:c r="E9" s="7" t="n">
        <ns0:v>6444.893617021276</ns0:v>
      </ns0:c>
      <ns0:c r="F9" s="7" t="n">
        <ns0:v>3918.46057571965</ns0:v>
      </ns0:c>
      <ns0:c r="G9" s="7" t="n">
        <ns0:v>2526.433041301627</ns0:v>
      </ns0:c>
      <ns0:c r="H9" s="7" t="n">
        <ns0:v>1567.38423028786</ns0:v>
      </ns0:c>
      <ns0:c r="I9" s="7" t="n">
        <ns0:v>21</ns0:v>
      </ns0:c>
      <ns0:c r="J9" s="7" t="n">
        <ns0:v>21</ns0:v>
      </ns0:c>
      <ns0:c r="K9" s="7" t="n">
        <ns0:v>48</ns0:v>
      </ns0:c>
      <ns0:c r="L9" s="7" t="n">
        <ns0:v>-25175.80491073449</ns0:v>
      </ns0:c>
      <ns0:c r="M9" s="7" t="n">
        <ns0:v>27597.33311865993</ns0:v>
      </ns0:c>
      <ns0:c r="N9" s="7" t="n">
        <ns0:v>82336.17828197178</ns0:v>
      </ns0:c>
      <ns0:c r="O9" s="7" t="n">
        <ns0:v>219183.2911902513</ns0:v>
      </ns0:c>
      <ns0:c r="P9" s="7" t="n">
        <ns0:v>724571.7428233696</ns0:v>
      </ns0:c>
      <ns0:c r="Q9" s="7" t="n">
        <ns0:v>2570431.323539284</ns0:v>
      </ns0:c>
    </ns0:row>
    <ns0:row r="10" ht="24" customHeight="1">
      <ns0:c r="A10" s="3" t="inlineStr">
        <ns0:is>
          <ns0:t>パック単独</ns0:t>
        </ns0:is>
      </ns0:c>
      <ns0:c r="B10" s="4" t="n">
        <ns0:v>0</ns0:v>
      </ns0:c>
      <ns0:c r="C10" s="4" t="n">
        <ns0:v>0</ns0:v>
      </ns0:c>
      <ns0:c r="D10" s="6" t="n">
        <ns0:v>0.5</ns0:v>
      </ns0:c>
      <ns0:c r="E10" s="7" t="n">
        <ns0:v>6444.893617021276</ns0:v>
      </ns0:c>
      <ns0:c r="F10" s="7" t="n">
        <ns0:v>3918.46057571965</ns0:v>
      </ns0:c>
      <ns0:c r="G10" s="7" t="n">
        <ns0:v>2526.433041301627</ns0:v>
      </ns0:c>
      <ns0:c r="H10" s="7" t="n">
        <ns0:v>1959.230287859825</ns0:v>
      </ns0:c>
      <ns0:c r="I10" s="7" t="n">
        <ns0:v>24</ns0:v>
      </ns0:c>
      <ns0:c r="J10" s="7" t="n">
        <ns0:v>24</ns0:v>
      </ns0:c>
      <ns0:c r="K10" s="7" t="n">
        <ns0:v>56</ns0:v>
      </ns0:c>
      <ns0:c r="L10" s="7" t="n">
        <ns0:v>-29094.26548645414</ns0:v>
      </ns0:c>
      <ns0:c r="M10" s="7" t="n">
        <ns0:v>15841.95139150099</ns0:v>
      </ns0:c>
      <ns0:c r="N10" s="7" t="n">
        <ns0:v>62743.87540337355</ns0:v>
      </ns0:c>
      <ns0:c r="O10" s="7" t="n">
        <ns0:v>179998.6854330549</ns0:v>
      </ns0:c>
      <ns0:c r="P10" s="7" t="n">
        <ns0:v>607017.92555178</ns0:v>
      </ns0:c>
      <ns0:c r="Q10" s="7" t="n">
        <ns0:v>2178585.265967319</ns0:v>
      </ns0:c>
    </ns0:row>
    <ns0:row r="11" ht="24" customHeight="1">
      <ns0:c r="A11" s="3" t="inlineStr">
        <ns0:is>
          <ns0:t>混在・パック30%</ns0:t>
        </ns0:is>
      </ns0:c>
      <ns0:c r="B11" s="4" t="n">
        <ns0:v>0</ns0:v>
      </ns0:c>
      <ns0:c r="C11" s="4" t="n">
        <ns0:v>0</ns0:v>
      </ns0:c>
      <ns0:c r="D11" s="6" t="n">
        <ns0:v>0.4</ns0:v>
      </ns0:c>
      <ns0:c r="E11" s="7" t="n">
        <ns0:v>4728.710812265332</ns0:v>
      </ns0:c>
      <ns0:c r="F11" s="7" t="n">
        <ns0:v>3021.095488110137</ns0:v>
      </ns0:c>
      <ns0:c r="G11" s="7" t="n">
        <ns0:v>1707.615324155194</ns0:v>
      </ns0:c>
      <ns0:c r="H11" s="7" t="n">
        <ns0:v>1208.438195244055</ns0:v>
      </ns0:c>
      <ns0:c r="I11" s="7" t="n">
        <ns0:v>29</ns0:v>
      </ns0:c>
      <ns0:c r="J11" s="7" t="n">
        <ns0:v>29</ns0:v>
      </ns0:c>
      <ns0:c r="K11" s="7" t="n">
        <ns0:v>75</ns0:v>
      </ns0:c>
      <ns0:c r="L11" s="7" t="n">
        <ns0:v>-35114.09055340063</ns0:v>
      </ns0:c>
      <ns0:c r="M11" s="7" t="n">
        <ns0:v>5179.597592413702</ns0:v>
      </ns0:c>
      <ns0:c r="N11" s="7" t="n">
        <ns0:v>47593.31076951716</ns0:v>
      </ns0:c>
      <ns0:c r="O11" s="7" t="n">
        <ns0:v>149697.5561653421</ns0:v>
      </ns0:c>
      <ns0:c r="P11" s="7" t="n">
        <ns0:v>516114.5377486422</ns0:v>
      </ns0:c>
      <ns0:c r="Q11" s="7" t="n">
        <ns0:v>1875573.973290192</ns0:v>
      </ns0:c>
    </ns0:row>
    <ns0:row r="12" ht="24" customHeight="1">
      <ns0:c r="A12" s="3" t="inlineStr">
        <ns0:is>
          <ns0:t>混在・パック30%</ns0:t>
        </ns0:is>
      </ns0:c>
      <ns0:c r="B12" s="4" t="n">
        <ns0:v>0</ns0:v>
      </ns0:c>
      <ns0:c r="C12" s="4" t="n">
        <ns0:v>0</ns0:v>
      </ns0:c>
      <ns0:c r="D12" s="6" t="n">
        <ns0:v>0.5</ns0:v>
      </ns0:c>
      <ns0:c r="E12" s="7" t="n">
        <ns0:v>4728.710812265332</ns0:v>
      </ns0:c>
      <ns0:c r="F12" s="7" t="n">
        <ns0:v>3021.095488110137</ns0:v>
      </ns0:c>
      <ns0:c r="G12" s="7" t="n">
        <ns0:v>1707.615324155194</ns0:v>
      </ns0:c>
      <ns0:c r="H12" s="7" t="n">
        <ns0:v>1510.547744055069</ns0:v>
      </ns0:c>
      <ns0:c r="I12" s="7" t="n">
        <ns0:v>32</ns0:v>
      </ns0:c>
      <ns0:c r="J12" s="7" t="n">
        <ns0:v>32</ns0:v>
      </ns0:c>
      <ns0:c r="K12" s="7" t="n">
        <ns0:v>87</ns0:v>
      </ns0:c>
      <ns0:c r="L12" s="7" t="n">
        <ns0:v>-38135.18604151077</ns0:v>
      </ns0:c>
      <ns0:c r="M12" s="7" t="n">
        <ns0:v>-3883.688871916696</ns0:v>
      </ns0:c>
      <ns0:c r="N12" s="7" t="n">
        <ns0:v>32487.8333289665</ns0:v>
      </ns0:c>
      <ns0:c r="O12" s="7" t="n">
        <ns0:v>119486.6012842408</ns0:v>
      </ns0:c>
      <ns0:c r="P12" s="7" t="n">
        <ns0:v>425481.6731053379</ns0:v>
      </ns0:c>
      <ns0:c r="Q12" s="7" t="n">
        <ns0:v>1573464.424479178</ns0:v>
      </ns0:c>
    </ns0:row>
    <ns0:row r="13" ht="24" customHeight="1">
      <ns0:c r="A13" s="3" t="inlineStr">
        <ns0:is>
          <ns0:t>混在・パック50%</ns0:t>
        </ns0:is>
      </ns0:c>
      <ns0:c r="B13" s="4" t="n">
        <ns0:v>0</ns0:v>
      </ns0:c>
      <ns0:c r="C13" s="4" t="n">
        <ns0:v>0</ns0:v>
      </ns0:c>
      <ns0:c r="D13" s="6" t="n">
        <ns0:v>0.4</ns0:v>
      </ns0:c>
      <ns0:c r="E13" s="7" t="n">
        <ns0:v>5219.048756481316</ns0:v>
      </ns0:c>
      <ns0:c r="F13" s="7" t="n">
        <ns0:v>3277.485513141427</ns0:v>
      </ns0:c>
      <ns0:c r="G13" s="7" t="n">
        <ns0:v>1941.563243339889</ns0:v>
      </ns0:c>
      <ns0:c r="H13" s="7" t="n">
        <ns0:v>1310.994205256571</ns0:v>
      </ns0:c>
      <ns0:c r="I13" s="7" t="n">
        <ns0:v>26</ns0:v>
      </ns0:c>
      <ns0:c r="J13" s="7" t="n">
        <ns0:v>26</ns0:v>
      </ns0:c>
      <ns0:c r="K13" s="7" t="n">
        <ns0:v>65</ns0:v>
      </ns0:c>
      <ns0:c r="L13" s="7" t="n">
        <ns0:v>-32274.58036978173</ns0:v>
      </ns0:c>
      <ns0:c r="M13" s="7" t="n">
        <ns0:v>12707.53275617943</ns0:v>
      </ns0:c>
      <ns0:c r="N13" s="7" t="n">
        <ns0:v>57519.84434450417</ns0:v>
      </ns0:c>
      <ns0:c r="O13" s="7" t="n">
        <ns0:v>169550.6233153161</ns0:v>
      </ns0:c>
      <ns0:c r="P13" s="7" t="n">
        <ns0:v>575673.7391985642</ns0:v>
      </ns0:c>
      <ns0:c r="Q13" s="7" t="n">
        <ns0:v>2074104.644789932</ns0:v>
      </ns0:c>
    </ns0:row>
    <ns0:row r="14" ht="24" customHeight="1">
      <ns0:c r="A14" s="3" t="inlineStr">
        <ns0:is>
          <ns0:t>混在・パック50%</ns0:t>
        </ns0:is>
      </ns0:c>
      <ns0:c r="B14" s="4" t="n">
        <ns0:v>0</ns0:v>
      </ns0:c>
      <ns0:c r="C14" s="4" t="n">
        <ns0:v>0</ns0:v>
      </ns0:c>
      <ns0:c r="D14" s="6" t="n">
        <ns0:v>0.5</ns0:v>
      </ns0:c>
      <ns0:c r="E14" s="7" t="n">
        <ns0:v>5219.048756481316</ns0:v>
      </ns0:c>
      <ns0:c r="F14" s="7" t="n">
        <ns0:v>3277.485513141427</ns0:v>
      </ns0:c>
      <ns0:c r="G14" s="7" t="n">
        <ns0:v>1941.563243339889</ns0:v>
      </ns0:c>
      <ns0:c r="H14" s="7" t="n">
        <ns0:v>1638.742756570713</ns0:v>
      </ns0:c>
      <ns0:c r="I14" s="7" t="n">
        <ns0:v>29</ns0:v>
      </ns0:c>
      <ns0:c r="J14" s="7" t="n">
        <ns0:v>29</ns0:v>
      </ns0:c>
      <ns0:c r="K14" s="7" t="n">
        <ns0:v>75</ns0:v>
      </ns0:c>
      <ns0:c r="L14" s="7" t="n">
        <ns0:v>-35552.06588292315</ns0:v>
      </ns0:c>
      <ns0:c r="M14" s="7" t="n">
        <ns0:v>2875.07621675514</ns0:v>
      </ns0:c>
      <ns0:c r="N14" s="7" t="n">
        <ns0:v>41132.41677879704</ns0:v>
      </ns0:c>
      <ns0:c r="O14" s="7" t="n">
        <ns0:v>136775.7681839019</ns0:v>
      </ns0:c>
      <ns0:c r="P14" s="7" t="n">
        <ns0:v>477349.1738043214</ns0:v>
      </ns0:c>
      <ns0:c r="Q14" s="7" t="n">
        <ns0:v>1746356.09347579</ns0:v>
      </ns0:c>
    </ns0:row>
    <ns0:row r="15" ht="24" customHeight="1">
      <ns0:c r="A15" s="3" t="inlineStr">
        <ns0:is>
          <ns0:t>混在・パック70%</ns0:t>
        </ns0:is>
      </ns0:c>
      <ns0:c r="B15" s="4" t="n">
        <ns0:v>0</ns0:v>
      </ns0:c>
      <ns0:c r="C15" s="4" t="n">
        <ns0:v>0</ns0:v>
      </ns0:c>
      <ns0:c r="D15" s="6" t="n">
        <ns0:v>0.4</ns0:v>
      </ns0:c>
      <ns0:c r="E15" s="7" t="n">
        <ns0:v>5709.386700697299</ns0:v>
      </ns0:c>
      <ns0:c r="F15" s="7" t="n">
        <ns0:v>3533.875538172716</ns0:v>
      </ns0:c>
      <ns0:c r="G15" s="7" t="n">
        <ns0:v>2175.511162524584</ns0:v>
      </ns0:c>
      <ns0:c r="H15" s="7" t="n">
        <ns0:v>1413.550215269086</ns0:v>
      </ns0:c>
      <ns0:c r="I15" s="7" t="n">
        <ns0:v>24</ns0:v>
      </ns0:c>
      <ns0:c r="J15" s="7" t="n">
        <ns0:v>24</ns0:v>
      </ns0:c>
      <ns0:c r="K15" s="7" t="n">
        <ns0:v>57</ns0:v>
      </ns0:c>
      <ns0:c r="L15" s="7" t="n">
        <ns0:v>-29435.07018616284</ns0:v>
      </ns0:c>
      <ns0:c r="M15" s="7" t="n">
        <ns0:v>18663.45290117162</ns0:v>
      </ns0:c>
      <ns0:c r="N15" s="7" t="n">
        <ns0:v>67446.37791949122</ns0:v>
      </ns0:c>
      <ns0:c r="O15" s="7" t="n">
        <ns0:v>189403.6904652902</ns0:v>
      </ns0:c>
      <ns0:c r="P15" s="7" t="n">
        <ns0:v>635232.9406484861</ns0:v>
      </ns0:c>
      <ns0:c r="Q15" s="7" t="n">
        <ns0:v>2272635.316289673</ns0:v>
      </ns0:c>
    </ns0:row>
    <ns0:row r="16" ht="24" customHeight="1">
      <ns0:c r="A16" s="3" t="inlineStr">
        <ns0:is>
          <ns0:t>混在・パック70%</ns0:t>
        </ns0:is>
      </ns0:c>
      <ns0:c r="B16" s="4" t="n">
        <ns0:v>0</ns0:v>
      </ns0:c>
      <ns0:c r="C16" s="4" t="n">
        <ns0:v>0</ns0:v>
      </ns0:c>
      <ns0:c r="D16" s="6" t="n">
        <ns0:v>0.5</ns0:v>
      </ns0:c>
      <ns0:c r="E16" s="7" t="n">
        <ns0:v>5709.386700697299</ns0:v>
      </ns0:c>
      <ns0:c r="F16" s="7" t="n">
        <ns0:v>3533.875538172716</ns0:v>
      </ns0:c>
      <ns0:c r="G16" s="7" t="n">
        <ns0:v>2175.511162524584</ns0:v>
      </ns0:c>
      <ns0:c r="H16" s="7" t="n">
        <ns0:v>1766.937769086358</ns0:v>
      </ns0:c>
      <ns0:c r="I16" s="7" t="n">
        <ns0:v>27</ns0:v>
      </ns0:c>
      <ns0:c r="J16" s="7" t="n">
        <ns0:v>27</ns0:v>
      </ns0:c>
      <ns0:c r="K16" s="7" t="n">
        <ns0:v>66</ns0:v>
      </ns0:c>
      <ns0:c r="L16" s="7" t="n">
        <ns0:v>-32968.94572433556</ns0:v>
      </ns0:c>
      <ns0:c r="M16" s="7" t="n">
        <ns0:v>8061.826286653471</ns0:v>
      </ns0:c>
      <ns0:c r="N16" s="7" t="n">
        <ns0:v>49777.00022862763</ns0:v>
      </ns0:c>
      <ns0:c r="O16" s="7" t="n">
        <ns0:v>154064.9350835631</ns0:v>
      </ns0:c>
      <ns0:c r="P16" s="7" t="n">
        <ns0:v>529216.6745033048</ns0:v>
      </ns0:c>
      <ns0:c r="Q16" s="7" t="n">
        <ns0:v>1919247.762472401</ns0:v>
      </ns0:c>
    </ns0:row>
    <ns0:row r="17" ht="24" customHeight="1">
      <ns0:c r="A17" s="3" t="inlineStr">
        <ns0:is>
          <ns0:t>Guard単独</ns0:t>
        </ns0:is>
      </ns0:c>
      <ns0:c r="B17" s="4" t="n">
        <ns0:v>0</ns0:v>
      </ns0:c>
      <ns0:c r="C17" s="4" t="n">
        <ns0:v>1</ns0:v>
      </ns0:c>
      <ns0:c r="D17" s="6" t="n">
        <ns0:v>0.4</ns0:v>
      </ns0:c>
      <ns0:c r="E17" s="7" t="n">
        <ns0:v>5763.454317897371</ns0:v>
      </ns0:c>
      <ns0:c r="F17" s="7" t="n">
        <ns0:v>3704.630788485606</ns0:v>
      </ns0:c>
      <ns0:c r="G17" s="7" t="n">
        <ns0:v>2058.823529411764</ns0:v>
      </ns0:c>
      <ns0:c r="H17" s="7" t="n">
        <ns0:v>1481.852315394242</ns0:v>
      </ns0:c>
      <ns0:c r="I17" s="7" t="n">
        <ns0:v>10</ns0:v>
      </ns0:c>
      <ns0:c r="J17" s="7" t="n">
        <ns0:v>13</ns0:v>
      </ns0:c>
      <ns0:c r="K17" s="7" t="n">
        <ns0:v>13</ns0:v>
      </ns0:c>
      <ns0:c r="L17" s="7" t="n">
        <ns0:v>1854.192740926141</ns0:v>
      </ns0:c>
      <ns0:c r="M17" s="7" t="n">
        <ns0:v>53165.45682102627</ns0:v>
      </ns0:c>
      <ns0:c r="N17" s="7" t="n">
        <ns0:v>101942.4280350438</ns0:v>
      </ns0:c>
      <ns0:c r="O17" s="7" t="n">
        <ns0:v>223884.8560700876</ns0:v>
      </ns0:c>
      <ns0:c r="P17" s="7" t="n">
        <ns0:v>691654.5682102626</ns0:v>
      </ns0:c>
      <ns0:c r="Q17" s="7" t="n">
        <ns0:v>2358848.560700876</ns0:v>
      </ns0:c>
    </ns0:row>
    <ns0:row r="18" ht="24" customHeight="1">
      <ns0:c r="A18" s="3" t="inlineStr">
        <ns0:is>
          <ns0:t>Guard単独</ns0:t>
        </ns0:is>
      </ns0:c>
      <ns0:c r="B18" s="4" t="n">
        <ns0:v>0</ns0:v>
      </ns0:c>
      <ns0:c r="C18" s="4" t="n">
        <ns0:v>1</ns0:v>
      </ns0:c>
      <ns0:c r="D18" s="6" t="n">
        <ns0:v>0.5</ns0:v>
      </ns0:c>
      <ns0:c r="E18" s="7" t="n">
        <ns0:v>5763.454317897371</ns0:v>
      </ns0:c>
      <ns0:c r="F18" s="7" t="n">
        <ns0:v>3704.630788485606</ns0:v>
      </ns0:c>
      <ns0:c r="G18" s="7" t="n">
        <ns0:v>2058.823529411764</ns0:v>
      </ns0:c>
      <ns0:c r="H18" s="7" t="n">
        <ns0:v>1852.315394242803</ns0:v>
      </ns0:c>
      <ns0:c r="I18" s="7" t="n">
        <ns0:v>14</ns0:v>
      </ns0:c>
      <ns0:c r="J18" s="7" t="n">
        <ns0:v>14</ns0:v>
      </ns0:c>
      <ns0:c r="K18" s="7" t="n">
        <ns0:v>14</ns0:v>
      </ns0:c>
      <ns0:c r="L18" s="7" t="n">
        <ns0:v>-1850.438047559463</ns0:v>
      </ns0:c>
      <ns0:c r="M18" s="7" t="n">
        <ns0:v>42051.56445556945</ns0:v>
      </ns0:c>
      <ns0:c r="N18" s="7" t="n">
        <ns0:v>83419.27409261579</ns0:v>
      </ns0:c>
      <ns0:c r="O18" s="7" t="n">
        <ns0:v>186838.5481852316</ns0:v>
      </ns0:c>
      <ns0:c r="P18" s="7" t="n">
        <ns0:v>580515.6445556944</ns0:v>
      </ns0:c>
      <ns0:c r="Q18" s="7" t="n">
        <ns0:v>1988385.481852315</ns0:v>
      </ns0:c>
    </ns0:row>
    <ns0:row r="19" ht="24" customHeight="1">
      <ns0:c r="A19" s="3" t="inlineStr">
        <ns0:is>
          <ns0:t>Send単独</ns0:t>
        </ns0:is>
      </ns0:c>
      <ns0:c r="B19" s="4" t="n">
        <ns0:v>0</ns0:v>
      </ns0:c>
      <ns0:c r="C19" s="4" t="n">
        <ns0:v>1</ns0:v>
      </ns0:c>
      <ns0:c r="D19" s="6" t="n">
        <ns0:v>0.4</ns0:v>
      </ns0:c>
      <ns0:c r="E19" s="7" t="n">
        <ns0:v>1632.87</ns0:v>
      </ns0:c>
      <ns0:c r="F19" s="7" t="n">
        <ns0:v>1212.35</ns0:v>
      </ns0:c>
      <ns0:c r="G19" s="7" t="n">
        <ns0:v>420.5199999999999</ns0:v>
      </ns0:c>
      <ns0:c r="H19" s="7" t="n">
        <ns0:v>484.94</ns0:v>
      </ns0:c>
      <ns0:c r="I19" s="7" t="n">
        <ns0:v>77</ns0:v>
      </ns0:c>
      <ns0:c r="J19" s="7" t="n">
        <ns0:v>126</ns0:v>
      </ns0:c>
      <ns0:c r="K19" s="7" t="n">
        <ns0:v>126</ns0:v>
      </ns0:c>
      <ns0:c r="L19" s="7" t="n">
        <ns0:v>-25508.68005367227</ns0:v>
      </ns0:c>
      <ns0:c r="M19" s="7" t="n">
        <ns0:v>-21004.17090840123</ns0:v>
      </ns0:c>
      <ns0:c r="N19" s="7" t="n">
        <ns0:v>-11999.66176313019</ns0:v>
      </ns0:c>
      <ns0:c r="O19" s="7" t="n">
        <ns0:v>10511.61110004742</ns0:v>
      </ns0:c>
      <ns0:c r="P19" s="7" t="n">
        <ns0:v>78556.7025527579</ns0:v>
      </ns0:c>
      <ns0:c r="Q19" s="7" t="n">
        <ns0:v>363714.5226372444</ns0:v>
      </ns0:c>
    </ns0:row>
    <ns0:row r="20" ht="24" customHeight="1">
      <ns0:c r="A20" s="3" t="inlineStr">
        <ns0:is>
          <ns0:t>Send単独</ns0:t>
        </ns0:is>
      </ns0:c>
      <ns0:c r="B20" s="4" t="n">
        <ns0:v>0</ns0:v>
      </ns0:c>
      <ns0:c r="C20" s="4" t="n">
        <ns0:v>1</ns0:v>
      </ns0:c>
      <ns0:c r="D20" s="6" t="n">
        <ns0:v>0.5</ns0:v>
      </ns0:c>
      <ns0:c r="E20" s="7" t="n">
        <ns0:v>1632.87</ns0:v>
      </ns0:c>
      <ns0:c r="F20" s="7" t="n">
        <ns0:v>1212.35</ns0:v>
      </ns0:c>
      <ns0:c r="G20" s="7" t="n">
        <ns0:v>420.5199999999999</ns0:v>
      </ns0:c>
      <ns0:c r="H20" s="7" t="n">
        <ns0:v>606.175</ns0:v>
      </ns0:c>
      <ns0:c r="I20" s="7" t="n">
        <ns0:v>172</ns0:v>
      </ns0:c>
      <ns0:c r="J20" s="7" t="n">
        <ns0:v>172</ns0:v>
      </ns0:c>
      <ns0:c r="K20" s="7" t="n">
        <ns0:v>172</ns0:v>
      </ns0:c>
      <ns0:c r="L20" s="7" t="n">
        <ns0:v>-26721.03005367227</ns0:v>
      </ns0:c>
      <ns0:c r="M20" s="7" t="n">
        <ns0:v>-24641.22090840122</ns0:v>
      </ns0:c>
      <ns0:c r="N20" s="7" t="n">
        <ns0:v>-18061.41176313019</ns0:v>
      </ns0:c>
      <ns0:c r="O20" s="7" t="n">
        <ns0:v>-1611.888899952581</ns0:v>
      </ns0:c>
      <ns0:c r="P20" s="7" t="n">
        <ns0:v>42186.2025527579</ns0:v>
      </ns0:c>
      <ns0:c r="Q20" s="7" t="n">
        <ns0:v>242479.5226372445</ns0:v>
      </ns0:c>
    </ns0:row>
    <ns0:row r="21" ht="24" customHeight="1">
      <ns0:c r="A21" s="3" t="inlineStr">
        <ns0:is>
          <ns0:t>パック単独</ns0:t>
        </ns0:is>
      </ns0:c>
      <ns0:c r="B21" s="4" t="n">
        <ns0:v>0</ns0:v>
      </ns0:c>
      <ns0:c r="C21" s="4" t="n">
        <ns0:v>1</ns0:v>
      </ns0:c>
      <ns0:c r="D21" s="6" t="n">
        <ns0:v>0.4</ns0:v>
      </ns0:c>
      <ns0:c r="E21" s="7" t="n">
        <ns0:v>6444.893617021276</ns0:v>
      </ns0:c>
      <ns0:c r="F21" s="7" t="n">
        <ns0:v>3918.46057571965</ns0:v>
      </ns0:c>
      <ns0:c r="G21" s="7" t="n">
        <ns0:v>2526.433041301627</ns0:v>
      </ns0:c>
      <ns0:c r="H21" s="7" t="n">
        <ns0:v>1567.38423028786</ns0:v>
      </ns0:c>
      <ns0:c r="I21" s="7" t="n">
        <ns0:v>24</ns0:v>
      </ns0:c>
      <ns0:c r="J21" s="7" t="n">
        <ns0:v>24</ns0:v>
      </ns0:c>
      <ns0:c r="K21" s="7" t="n">
        <ns0:v>162</ns0:v>
      </ns0:c>
      <ns0:c r="L21" s="7" t="n">
        <ns0:v>-28894.44531670533</ns0:v>
      </ns0:c>
      <ns0:c r="M21" s="7" t="n">
        <ns0:v>16441.4119007474</ns0:v>
      </ns0:c>
      <ns0:c r="N21" s="7" t="n">
        <ns0:v>63742.97625211757</ns0:v>
      </ns0:c>
      <ns0:c r="O21" s="7" t="n">
        <ns0:v>181996.8871305429</ns0:v>
      </ns0:c>
      <ns0:c r="P21" s="7" t="n">
        <ns0:v>613012.5306442444</ns0:v>
      </ns0:c>
      <ns0:c r="Q21" s="7" t="n">
        <ns0:v>2198567.2829422</ns0:v>
      </ns0:c>
    </ns0:row>
    <ns0:row r="22" ht="24" customHeight="1">
      <ns0:c r="A22" s="3" t="inlineStr">
        <ns0:is>
          <ns0:t>パック単独</ns0:t>
        </ns0:is>
      </ns0:c>
      <ns0:c r="B22" s="4" t="n">
        <ns0:v>0</ns0:v>
      </ns0:c>
      <ns0:c r="C22" s="4" t="n">
        <ns0:v>1</ns0:v>
      </ns0:c>
      <ns0:c r="D22" s="6" t="n">
        <ns0:v>0.5</ns0:v>
      </ns0:c>
      <ns0:c r="E22" s="7" t="n">
        <ns0:v>6444.893617021276</ns0:v>
      </ns0:c>
      <ns0:c r="F22" s="7" t="n">
        <ns0:v>3918.46057571965</ns0:v>
      </ns0:c>
      <ns0:c r="G22" s="7" t="n">
        <ns0:v>2526.433041301627</ns0:v>
      </ns0:c>
      <ns0:c r="H22" s="7" t="n">
        <ns0:v>1959.230287859825</ns0:v>
      </ns0:c>
      <ns0:c r="I22" s="7" t="n">
        <ns0:v>28</ns0:v>
      </ns0:c>
      <ns0:c r="J22" s="7" t="n">
        <ns0:v>28</ns0:v>
      </ns0:c>
      <ns0:c r="K22" s="7" t="n">
        <ns0:v>223</ns0:v>
      </ns0:c>
      <ns0:c r="L22" s="7" t="n">
        <ns0:v>-32812.90589242498</ns0:v>
      </ns0:c>
      <ns0:c r="M22" s="7" t="n">
        <ns0:v>4686.030173588464</ns0:v>
      </ns0:c>
      <ns0:c r="N22" s="7" t="n">
        <ns0:v>44150.67337351933</ns0:v>
      </ns0:c>
      <ns0:c r="O22" s="7" t="n">
        <ns0:v>142812.2813733465</ns0:v>
      </ns0:c>
      <ns0:c r="P22" s="7" t="n">
        <ns0:v>495458.7133726549</ns0:v>
      </ns0:c>
      <ns0:c r="Q22" s="7" t="n">
        <ns0:v>1806721.225370235</ns0:v>
      </ns0:c>
    </ns0:row>
    <ns0:row r="23" ht="24" customHeight="1">
      <ns0:c r="A23" s="3" t="inlineStr">
        <ns0:is>
          <ns0:t>混在・パック30%</ns0:t>
        </ns0:is>
      </ns0:c>
      <ns0:c r="B23" s="4" t="n">
        <ns0:v>0</ns0:v>
      </ns0:c>
      <ns0:c r="C23" s="4" t="n">
        <ns0:v>1</ns0:v>
      </ns0:c>
      <ns0:c r="D23" s="6" t="n">
        <ns0:v>0.4</ns0:v>
      </ns0:c>
      <ns0:c r="E23" s="7" t="n">
        <ns0:v>4728.710812265332</ns0:v>
      </ns0:c>
      <ns0:c r="F23" s="7" t="n">
        <ns0:v>3021.095488110137</ns0:v>
      </ns0:c>
      <ns0:c r="G23" s="7" t="n">
        <ns0:v>1707.615324155194</ns0:v>
      </ns0:c>
      <ns0:c r="H23" s="7" t="n">
        <ns0:v>1208.438195244055</ns0:v>
      </ns0:c>
      <ns0:c r="I23" s="7" t="n">
        <ns0:v>31</ns0:v>
      </ns0:c>
      <ns0:c r="J23" s="7" t="n">
        <ns0:v>31</ns0:v>
      </ns0:c>
      <ns0:c r="K23" s="7" t="n">
        <ns0:v>236</ns0:v>
      </ns0:c>
      <ns0:c r="L23" s="7" t="n">
        <ns0:v>-37333.63436526594</ns0:v>
      </ns0:c>
      <ns0:c r="M23" s="7" t="n">
        <ns0:v>-1479.033843182238</ns0:v>
      </ns0:c>
      <ns0:c r="N23" s="7" t="n">
        <ns0:v>36495.59171019059</ns0:v>
      </ns0:c>
      <ns0:c r="O23" s="7" t="n">
        <ns0:v>127502.118046689</ns0:v>
      </ns0:c>
      <ns0:c r="P23" s="7" t="n">
        <ns0:v>449528.2233926828</ns0:v>
      </ns0:c>
      <ns0:c r="Q23" s="7" t="n">
        <ns0:v>1653619.592103661</ns0:v>
      </ns0:c>
    </ns0:row>
    <ns0:row r="24" ht="24" customHeight="1">
      <ns0:c r="A24" s="3" t="inlineStr">
        <ns0:is>
          <ns0:t>混在・パック30%</ns0:t>
        </ns0:is>
      </ns0:c>
      <ns0:c r="B24" s="4" t="n">
        <ns0:v>0</ns0:v>
      </ns0:c>
      <ns0:c r="C24" s="4" t="n">
        <ns0:v>1</ns0:v>
      </ns0:c>
      <ns0:c r="D24" s="6" t="n">
        <ns0:v>0.5</ns0:v>
      </ns0:c>
      <ns0:c r="E24" s="7" t="n">
        <ns0:v>4728.710812265332</ns0:v>
      </ns0:c>
      <ns0:c r="F24" s="7" t="n">
        <ns0:v>3021.095488110137</ns0:v>
      </ns0:c>
      <ns0:c r="G24" s="7" t="n">
        <ns0:v>1707.615324155194</ns0:v>
      </ns0:c>
      <ns0:c r="H24" s="7" t="n">
        <ns0:v>1510.547744055069</ns0:v>
      </ns0:c>
      <ns0:c r="I24" s="7" t="n">
        <ns0:v>36</ns0:v>
      </ns0:c>
      <ns0:c r="J24" s="7" t="n">
        <ns0:v>36</ns0:v>
      </ns0:c>
      <ns0:c r="K24" s="7" t="n">
        <ns0:v>324</ns0:v>
      </ns0:c>
      <ns0:c r="L24" s="7" t="n">
        <ns0:v>-40354.72985337608</ns0:v>
      </ns0:c>
      <ns0:c r="M24" s="7" t="n">
        <ns0:v>-10542.32030751264</ns0:v>
      </ns0:c>
      <ns0:c r="N24" s="7" t="n">
        <ns0:v>21390.11426963994</ns0:v>
      </ns0:c>
      <ns0:c r="O24" s="7" t="n">
        <ns0:v>97291.16316558767</ns0:v>
      </ns0:c>
      <ns0:c r="P24" s="7" t="n">
        <ns0:v>358895.3587493785</ns0:v>
      </ns0:c>
      <ns0:c r="Q24" s="7" t="n">
        <ns0:v>1351510.043292647</ns0:v>
      </ns0:c>
    </ns0:row>
    <ns0:row r="25" ht="24" customHeight="1">
      <ns0:c r="A25" s="3" t="inlineStr">
        <ns0:is>
          <ns0:t>混在・パック50%</ns0:t>
        </ns0:is>
      </ns0:c>
      <ns0:c r="B25" s="4" t="n">
        <ns0:v>0</ns0:v>
      </ns0:c>
      <ns0:c r="C25" s="4" t="n">
        <ns0:v>1</ns0:v>
      </ns0:c>
      <ns0:c r="D25" s="6" t="n">
        <ns0:v>0.4</ns0:v>
      </ns0:c>
      <ns0:c r="E25" s="7" t="n">
        <ns0:v>5219.048756481316</ns0:v>
      </ns0:c>
      <ns0:c r="F25" s="7" t="n">
        <ns0:v>3277.485513141427</ns0:v>
      </ns0:c>
      <ns0:c r="G25" s="7" t="n">
        <ns0:v>1941.563243339889</ns0:v>
      </ns0:c>
      <ns0:c r="H25" s="7" t="n">
        <ns0:v>1310.994205256571</ns0:v>
      </ns0:c>
      <ns0:c r="I25" s="7" t="n">
        <ns0:v>28</ns0:v>
      </ns0:c>
      <ns0:c r="J25" s="7" t="n">
        <ns0:v>28</ns0:v>
      </ns0:c>
      <ns0:c r="K25" s="7" t="n">
        <ns0:v>209</ns0:v>
      </ns0:c>
      <ns0:c r="L25" s="7" t="n">
        <ns0:v>-34922.43749424862</ns0:v>
      </ns0:c>
      <ns0:c r="M25" s="7" t="n">
        <ns0:v>4763.961382778747</ns0:v>
      </ns0:c>
      <ns0:c r="N25" s="7" t="n">
        <ns0:v>44280.55872216971</ns0:v>
      </ns0:c>
      <ns0:c r="O25" s="7" t="n">
        <ns0:v>143072.0520706472</ns0:v>
      </ns0:c>
      <ns0:c r="P25" s="7" t="n">
        <ns0:v>496238.0254645574</ns0:v>
      </ns0:c>
      <ns0:c r="Q25" s="7" t="n">
        <ns0:v>1809318.932343243</ns0:v>
      </ns0:c>
    </ns0:row>
    <ns0:row r="26" ht="24" customHeight="1">
      <ns0:c r="A26" s="3" t="inlineStr">
        <ns0:is>
          <ns0:t>混在・パック50%</ns0:t>
        </ns0:is>
      </ns0:c>
      <ns0:c r="B26" s="4" t="n">
        <ns0:v>0</ns0:v>
      </ns0:c>
      <ns0:c r="C26" s="4" t="n">
        <ns0:v>1</ns0:v>
      </ns0:c>
      <ns0:c r="D26" s="6" t="n">
        <ns0:v>0.5</ns0:v>
      </ns0:c>
      <ns0:c r="E26" s="7" t="n">
        <ns0:v>5219.048756481316</ns0:v>
      </ns0:c>
      <ns0:c r="F26" s="7" t="n">
        <ns0:v>3277.485513141427</ns0:v>
      </ns0:c>
      <ns0:c r="G26" s="7" t="n">
        <ns0:v>1941.563243339889</ns0:v>
      </ns0:c>
      <ns0:c r="H26" s="7" t="n">
        <ns0:v>1638.742756570713</ns0:v>
      </ns0:c>
      <ns0:c r="I26" s="7" t="n">
        <ns0:v>34</ns0:v>
      </ns0:c>
      <ns0:c r="J26" s="7" t="n">
        <ns0:v>34</ns0:v>
      </ns0:c>
      <ns0:c r="K26" s="7" t="n">
        <ns0:v>287</ns0:v>
      </ns0:c>
      <ns0:c r="L26" s="7" t="n">
        <ns0:v>-38199.92300739005</ns0:v>
      </ns0:c>
      <ns0:c r="M26" s="7" t="n">
        <ns0:v>-5068.495156645542</ns0:v>
      </ns0:c>
      <ns0:c r="N26" s="7" t="n">
        <ns0:v>27893.13115646258</ns0:v>
      </ns0:c>
      <ns0:c r="O26" s="7" t="n">
        <ns0:v>110297.1969392329</ns0:v>
      </ns0:c>
      <ns0:c r="P26" s="7" t="n">
        <ns0:v>397913.4600703147</ns0:v>
      </ns0:c>
      <ns0:c r="Q26" s="7" t="n">
        <ns0:v>1481570.3810291</ns0:v>
      </ns0:c>
    </ns0:row>
    <ns0:row r="27" ht="24" customHeight="1">
      <ns0:c r="A27" s="3" t="inlineStr">
        <ns0:is>
          <ns0:t>混在・パック70%</ns0:t>
        </ns0:is>
      </ns0:c>
      <ns0:c r="B27" s="4" t="n">
        <ns0:v>0</ns0:v>
      </ns0:c>
      <ns0:c r="C27" s="4" t="n">
        <ns0:v>1</ns0:v>
      </ns0:c>
      <ns0:c r="D27" s="6" t="n">
        <ns0:v>0.4</ns0:v>
      </ns0:c>
      <ns0:c r="E27" s="7" t="n">
        <ns0:v>5709.386700697299</ns0:v>
      </ns0:c>
      <ns0:c r="F27" s="7" t="n">
        <ns0:v>3533.875538172716</ns0:v>
      </ns0:c>
      <ns0:c r="G27" s="7" t="n">
        <ns0:v>2175.511162524584</ns0:v>
      </ns0:c>
      <ns0:c r="H27" s="7" t="n">
        <ns0:v>1413.550215269086</ns0:v>
      </ns0:c>
      <ns0:c r="I27" s="7" t="n">
        <ns0:v>26</ns0:v>
      </ns0:c>
      <ns0:c r="J27" s="7" t="n">
        <ns0:v>26</ns0:v>
      </ns0:c>
      <ns0:c r="K27" s="7" t="n">
        <ns0:v>187</ns0:v>
      </ns0:c>
      <ns0:c r="L27" s="7" t="n">
        <ns0:v>-32511.24062323131</ns0:v>
      </ns0:c>
      <ns0:c r="M27" s="7" t="n">
        <ns0:v>9434.941589966205</ns0:v>
      </ns0:c>
      <ns0:c r="N27" s="7" t="n">
        <ns0:v>52065.52573414886</ns0:v>
      </ns0:c>
      <ns0:c r="O27" s="7" t="n">
        <ns0:v>158641.9860946055</ns0:v>
      </ns0:c>
      <ns0:c r="P27" s="7" t="n">
        <ns0:v>542947.8275364321</ns0:v>
      </ns0:c>
      <ns0:c r="Q27" s="7" t="n">
        <ns0:v>1965018.272582826</ns0:v>
      </ns0:c>
    </ns0:row>
    <ns0:row r="28" ht="24" customHeight="1">
      <ns0:c r="A28" s="3" t="inlineStr">
        <ns0:is>
          <ns0:t>混在・パック70%</ns0:t>
        </ns0:is>
      </ns0:c>
      <ns0:c r="B28" s="4" t="n">
        <ns0:v>0</ns0:v>
      </ns0:c>
      <ns0:c r="C28" s="4" t="n">
        <ns0:v>1</ns0:v>
      </ns0:c>
      <ns0:c r="D28" s="6" t="n">
        <ns0:v>0.5</ns0:v>
      </ns0:c>
      <ns0:c r="E28" s="7" t="n">
        <ns0:v>5709.386700697299</ns0:v>
      </ns0:c>
      <ns0:c r="F28" s="7" t="n">
        <ns0:v>3533.875538172716</ns0:v>
      </ns0:c>
      <ns0:c r="G28" s="7" t="n">
        <ns0:v>2175.511162524584</ns0:v>
      </ns0:c>
      <ns0:c r="H28" s="7" t="n">
        <ns0:v>1766.937769086358</ns0:v>
      </ns0:c>
      <ns0:c r="I28" s="7" t="n">
        <ns0:v>31</ns0:v>
      </ns0:c>
      <ns0:c r="J28" s="7" t="n">
        <ns0:v>31</ns0:v>
      </ns0:c>
      <ns0:c r="K28" s="7" t="n">
        <ns0:v>258</ns0:v>
      </ns0:c>
      <ns0:c r="L28" s="7" t="n">
        <ns0:v>-36045.11616140403</ns0:v>
      </ns0:c>
      <ns0:c r="M28" s="7" t="n">
        <ns0:v>-1166.685024551945</ns0:v>
      </ns0:c>
      <ns0:c r="N28" s="7" t="n">
        <ns0:v>34396.14804328527</ns0:v>
      </ns0:c>
      <ns0:c r="O28" s="7" t="n">
        <ns0:v>123303.2307128783</ns0:v>
      </ns0:c>
      <ns0:c r="P28" s="7" t="n">
        <ns0:v>436931.5613912506</ns0:v>
      </ns0:c>
      <ns0:c r="Q28" s="7" t="n">
        <ns0:v>1611630.718765554</ns0:v>
      </ns0:c>
    </ns0:row>
    <ns0:row r="29" ht="24" customHeight="1">
      <ns0:c r="A29" s="3" t="inlineStr">
        <ns0:is>
          <ns0:t>Guard単独</ns0:t>
        </ns0:is>
      </ns0:c>
      <ns0:c r="B29" s="4" t="n">
        <ns0:v>0</ns0:v>
      </ns0:c>
      <ns0:c r="C29" s="4" t="n">
        <ns0:v>2</ns0:v>
      </ns0:c>
      <ns0:c r="D29" s="6" t="n">
        <ns0:v>0.4</ns0:v>
      </ns0:c>
      <ns0:c r="E29" s="7" t="n">
        <ns0:v>5763.454317897371</ns0:v>
      </ns0:c>
      <ns0:c r="F29" s="7" t="n">
        <ns0:v>3704.630788485606</ns0:v>
      </ns0:c>
      <ns0:c r="G29" s="7" t="n">
        <ns0:v>2058.823529411764</ns0:v>
      </ns0:c>
      <ns0:c r="H29" s="7" t="n">
        <ns0:v>1481.852315394242</ns0:v>
      </ns0:c>
      <ns0:c r="I29" s="7" t="n">
        <ns0:v>10</ns0:v>
      </ns0:c>
      <ns0:c r="J29" s="7" t="n">
        <ns0:v>13</ns0:v>
      </ns0:c>
      <ns0:c r="K29" s="7" t="n">
        <ns0:v>13</ns0:v>
      </ns0:c>
      <ns0:c r="L29" s="7" t="n">
        <ns0:v>1854.192740926141</ns0:v>
      </ns0:c>
      <ns0:c r="M29" s="7" t="n">
        <ns0:v>53165.45682102627</ns0:v>
      </ns0:c>
      <ns0:c r="N29" s="7" t="n">
        <ns0:v>101942.4280350438</ns0:v>
      </ns0:c>
      <ns0:c r="O29" s="7" t="n">
        <ns0:v>223884.8560700876</ns0:v>
      </ns0:c>
      <ns0:c r="P29" s="7" t="n">
        <ns0:v>691654.5682102626</ns0:v>
      </ns0:c>
      <ns0:c r="Q29" s="7" t="n">
        <ns0:v>2358848.560700876</ns0:v>
      </ns0:c>
    </ns0:row>
    <ns0:row r="30" ht="24" customHeight="1">
      <ns0:c r="A30" s="3" t="inlineStr">
        <ns0:is>
          <ns0:t>Guard単独</ns0:t>
        </ns0:is>
      </ns0:c>
      <ns0:c r="B30" s="4" t="n">
        <ns0:v>0</ns0:v>
      </ns0:c>
      <ns0:c r="C30" s="4" t="n">
        <ns0:v>2</ns0:v>
      </ns0:c>
      <ns0:c r="D30" s="6" t="n">
        <ns0:v>0.5</ns0:v>
      </ns0:c>
      <ns0:c r="E30" s="7" t="n">
        <ns0:v>5763.454317897371</ns0:v>
      </ns0:c>
      <ns0:c r="F30" s="7" t="n">
        <ns0:v>3704.630788485606</ns0:v>
      </ns0:c>
      <ns0:c r="G30" s="7" t="n">
        <ns0:v>2058.823529411764</ns0:v>
      </ns0:c>
      <ns0:c r="H30" s="7" t="n">
        <ns0:v>1852.315394242803</ns0:v>
      </ns0:c>
      <ns0:c r="I30" s="7" t="n">
        <ns0:v>14</ns0:v>
      </ns0:c>
      <ns0:c r="J30" s="7" t="n">
        <ns0:v>14</ns0:v>
      </ns0:c>
      <ns0:c r="K30" s="7" t="n">
        <ns0:v>14</ns0:v>
      </ns0:c>
      <ns0:c r="L30" s="7" t="n">
        <ns0:v>-1850.438047559463</ns0:v>
      </ns0:c>
      <ns0:c r="M30" s="7" t="n">
        <ns0:v>42051.56445556945</ns0:v>
      </ns0:c>
      <ns0:c r="N30" s="7" t="n">
        <ns0:v>83419.27409261579</ns0:v>
      </ns0:c>
      <ns0:c r="O30" s="7" t="n">
        <ns0:v>186838.5481852316</ns0:v>
      </ns0:c>
      <ns0:c r="P30" s="7" t="n">
        <ns0:v>580515.6445556944</ns0:v>
      </ns0:c>
      <ns0:c r="Q30" s="7" t="n">
        <ns0:v>1988385.481852315</ns0:v>
      </ns0:c>
    </ns0:row>
    <ns0:row r="31" ht="24" customHeight="1">
      <ns0:c r="A31" s="3" t="inlineStr">
        <ns0:is>
          <ns0:t>Send単独</ns0:t>
        </ns0:is>
      </ns0:c>
      <ns0:c r="B31" s="4" t="n">
        <ns0:v>0</ns0:v>
      </ns0:c>
      <ns0:c r="C31" s="4" t="n">
        <ns0:v>2</ns0:v>
      </ns0:c>
      <ns0:c r="D31" s="6" t="n">
        <ns0:v>0.4</ns0:v>
      </ns0:c>
      <ns0:c r="E31" s="7" t="n">
        <ns0:v>1632.87</ns0:v>
      </ns0:c>
      <ns0:c r="F31" s="7" t="n">
        <ns0:v>1212.35</ns0:v>
      </ns0:c>
      <ns0:c r="G31" s="7" t="n">
        <ns0:v>420.5199999999999</ns0:v>
      </ns0:c>
      <ns0:c r="H31" s="7" t="n">
        <ns0:v>484.94</ns0:v>
      </ns0:c>
      <ns0:c r="I31" s="18" t="inlineStr">
        <ns0:is>
          <ns0:t>範囲内なし</ns0:t>
        </ns0:is>
      </ns0:c>
      <ns0:c r="J31" s="18" t="inlineStr">
        <ns0:is>
          <ns0:t>範囲内なし</ns0:t>
        </ns0:is>
      </ns0:c>
      <ns0:c r="K31" s="18" t="inlineStr">
        <ns0:is>
          <ns0:t>範囲内なし</ns0:t>
        </ns0:is>
      </ns0:c>
      <ns0:c r="L31" s="7" t="n">
        <ns0:v>-43511.39244393898</ns0:v>
      </ns0:c>
      <ns0:c r="M31" s="7" t="n">
        <ns0:v>-75012.30807920135</ns0:v>
      </ns0:c>
      <ns0:c r="N31" s="7" t="n">
        <ns0:v>-102013.2237144637</ns0:v>
      </ns0:c>
      <ns0:c r="O31" s="7" t="n">
        <ns0:v>-169515.5128026196</ns0:v>
      </ns0:c>
      <ns0:c r="P31" s="7" t="n">
        <ns0:v>-461524.6691552433</ns0:v>
      </ns0:c>
      <ns0:c r="Q31" s="7" t="n">
        <ns0:v>-1436556.716389426</ns0:v>
      </ns0:c>
    </ns0:row>
    <ns0:row r="32" ht="24" customHeight="1">
      <ns0:c r="A32" s="3" t="inlineStr">
        <ns0:is>
          <ns0:t>Send単独</ns0:t>
        </ns0:is>
      </ns0:c>
      <ns0:c r="B32" s="4" t="n">
        <ns0:v>0</ns0:v>
      </ns0:c>
      <ns0:c r="C32" s="4" t="n">
        <ns0:v>2</ns0:v>
      </ns0:c>
      <ns0:c r="D32" s="6" t="n">
        <ns0:v>0.5</ns0:v>
      </ns0:c>
      <ns0:c r="E32" s="7" t="n">
        <ns0:v>1632.87</ns0:v>
      </ns0:c>
      <ns0:c r="F32" s="7" t="n">
        <ns0:v>1212.35</ns0:v>
      </ns0:c>
      <ns0:c r="G32" s="7" t="n">
        <ns0:v>420.5199999999999</ns0:v>
      </ns0:c>
      <ns0:c r="H32" s="7" t="n">
        <ns0:v>606.175</ns0:v>
      </ns0:c>
      <ns0:c r="I32" s="18" t="inlineStr">
        <ns0:is>
          <ns0:t>範囲内なし</ns0:t>
        </ns0:is>
      </ns0:c>
      <ns0:c r="J32" s="18" t="inlineStr">
        <ns0:is>
          <ns0:t>範囲内なし</ns0:t>
        </ns0:is>
      </ns0:c>
      <ns0:c r="K32" s="18" t="inlineStr">
        <ns0:is>
          <ns0:t>範囲内なし</ns0:t>
        </ns0:is>
      </ns0:c>
      <ns0:c r="L32" s="7" t="n">
        <ns0:v>-44723.74244393898</ns0:v>
      </ns0:c>
      <ns0:c r="M32" s="7" t="n">
        <ns0:v>-78649.35807920134</ns0:v>
      </ns0:c>
      <ns0:c r="N32" s="7" t="n">
        <ns0:v>-108074.9737144637</ns0:v>
      </ns0:c>
      <ns0:c r="O32" s="7" t="n">
        <ns0:v>-181639.0128026196</ns0:v>
      </ns0:c>
      <ns0:c r="P32" s="7" t="n">
        <ns0:v>-497895.1691552433</ns0:v>
      </ns0:c>
      <ns0:c r="Q32" s="7" t="n">
        <ns0:v>-1557791.716389426</ns0:v>
      </ns0:c>
    </ns0:row>
    <ns0:row r="33" ht="24" customHeight="1">
      <ns0:c r="A33" s="3" t="inlineStr">
        <ns0:is>
          <ns0:t>パック単独</ns0:t>
        </ns0:is>
      </ns0:c>
      <ns0:c r="B33" s="4" t="n">
        <ns0:v>0</ns0:v>
      </ns0:c>
      <ns0:c r="C33" s="4" t="n">
        <ns0:v>2</ns0:v>
      </ns0:c>
      <ns0:c r="D33" s="6" t="n">
        <ns0:v>0.4</ns0:v>
      </ns0:c>
      <ns0:c r="E33" s="7" t="n">
        <ns0:v>6444.893617021276</ns0:v>
      </ns0:c>
      <ns0:c r="F33" s="7" t="n">
        <ns0:v>3918.46057571965</ns0:v>
      </ns0:c>
      <ns0:c r="G33" s="7" t="n">
        <ns0:v>2526.433041301627</ns0:v>
      </ns0:c>
      <ns0:c r="H33" s="7" t="n">
        <ns0:v>1567.38423028786</ns0:v>
      </ns0:c>
      <ns0:c r="I33" s="7" t="n">
        <ns0:v>214</ns0:v>
      </ns0:c>
      <ns0:c r="J33" s="7" t="n">
        <ns0:v>214</ns0:v>
      </ns0:c>
      <ns0:c r="K33" s="18" t="inlineStr">
        <ns0:is>
          <ns0:t>範囲内なし</ns0:t>
        </ns0:is>
      </ns0:c>
      <ns0:c r="L33" s="7" t="n">
        <ns0:v>-48017.25388321177</ns0:v>
      </ns0:c>
      <ns0:c r="M33" s="7" t="n">
        <ns0:v>-40927.01379877194</ns0:v>
      </ns0:c>
      <ns0:c r="N33" s="7" t="n">
        <ns0:v>-31871.06658041466</ns0:v>
      </ns0:c>
      <ns0:c r="O33" s="7" t="n">
        <ns0:v>-9231.198534521507</ns0:v>
      </ns0:c>
      <ns0:c r="P33" s="7" t="n">
        <ns0:v>39328.27364905109</ns0:v>
      </ns0:c>
      <ns0:c r="Q33" s="7" t="n">
        <ns0:v>286286.4262915552</ns0:v>
      </ns0:c>
    </ns0:row>
    <ns0:row r="34" ht="24" customHeight="1">
      <ns0:c r="A34" s="3" t="inlineStr">
        <ns0:is>
          <ns0:t>パック単独</ns0:t>
        </ns0:is>
      </ns0:c>
      <ns0:c r="B34" s="4" t="n">
        <ns0:v>0</ns0:v>
      </ns0:c>
      <ns0:c r="C34" s="4" t="n">
        <ns0:v>2</ns0:v>
      </ns0:c>
      <ns0:c r="D34" s="6" t="n">
        <ns0:v>0.5</ns0:v>
      </ns0:c>
      <ns0:c r="E34" s="7" t="n">
        <ns0:v>6444.893617021276</ns0:v>
      </ns0:c>
      <ns0:c r="F34" s="7" t="n">
        <ns0:v>3918.46057571965</ns0:v>
      </ns0:c>
      <ns0:c r="G34" s="7" t="n">
        <ns0:v>2526.433041301627</ns0:v>
      </ns0:c>
      <ns0:c r="H34" s="7" t="n">
        <ns0:v>1959.230287859825</ns0:v>
      </ns0:c>
      <ns0:c r="I34" s="18" t="inlineStr">
        <ns0:is>
          <ns0:t>範囲内なし</ns0:t>
        </ns0:is>
      </ns0:c>
      <ns0:c r="J34" s="18" t="inlineStr">
        <ns0:is>
          <ns0:t>範囲内なし</ns0:t>
        </ns0:is>
      </ns0:c>
      <ns0:c r="K34" s="18" t="inlineStr">
        <ns0:is>
          <ns0:t>範囲内なし</ns0:t>
        </ns0:is>
      </ns0:c>
      <ns0:c r="L34" s="7" t="n">
        <ns0:v>-51935.71445893143</ns0:v>
      </ns0:c>
      <ns0:c r="M34" s="7" t="n">
        <ns0:v>-52682.39552593087</ns0:v>
      </ns0:c>
      <ns0:c r="N34" s="7" t="n">
        <ns0:v>-51463.36945901287</ns0:v>
      </ns0:c>
      <ns0:c r="O34" s="7" t="n">
        <ns0:v>-48415.80429171794</ns0:v>
      </ns0:c>
      <ns0:c r="P34" s="7" t="n">
        <ns0:v>-78225.54362253839</ns0:v>
      </ns0:c>
      <ns0:c r="Q34" s="7" t="n">
        <ns0:v>-105559.6312804096</ns0:v>
      </ns0:c>
    </ns0:row>
    <ns0:row r="35" ht="24" customHeight="1">
      <ns0:c r="A35" s="3" t="inlineStr">
        <ns0:is>
          <ns0:t>混在・パック30%</ns0:t>
        </ns0:is>
      </ns0:c>
      <ns0:c r="B35" s="4" t="n">
        <ns0:v>0</ns0:v>
      </ns0:c>
      <ns0:c r="C35" s="4" t="n">
        <ns0:v>2</ns0:v>
      </ns0:c>
      <ns0:c r="D35" s="6" t="n">
        <ns0:v>0.4</ns0:v>
      </ns0:c>
      <ns0:c r="E35" s="7" t="n">
        <ns0:v>4728.710812265332</ns0:v>
      </ns0:c>
      <ns0:c r="F35" s="7" t="n">
        <ns0:v>3021.095488110137</ns0:v>
      </ns0:c>
      <ns0:c r="G35" s="7" t="n">
        <ns0:v>1707.615324155194</ns0:v>
      </ns0:c>
      <ns0:c r="H35" s="7" t="n">
        <ns0:v>1208.438195244055</ns0:v>
      </ns0:c>
      <ns0:c r="I35" s="7" t="n">
        <ns0:v>78</ns0:v>
      </ns0:c>
      <ns0:c r="J35" s="7" t="n">
        <ns0:v>78</ns0:v>
      </ns0:c>
      <ns0:c r="K35" s="18" t="inlineStr">
        <ns0:is>
          <ns0:t>範囲内なし</ns0:t>
        </ns0:is>
      </ns0:c>
      <ns0:c r="L35" s="7" t="n">
        <ns0:v>-48471.29065229787</ns0:v>
      </ns0:c>
      <ns0:c r="M35" s="7" t="n">
        <ns0:v>-34892.00270427807</ns0:v>
      </ns0:c>
      <ns0:c r="N35" s="7" t="n">
        <ns0:v>-19192.68972496911</ns0:v>
      </ns0:c>
      <ns0:c r="O35" s="7" t="n">
        <ns0:v>16125.55517636955</ns0:v>
      </ns0:c>
      <ns0:c r="P35" s="7" t="n">
        <ns0:v>115398.5347817245</ns0:v>
      </ns0:c>
      <ns0:c r="Q35" s="7" t="n">
        <ns0:v>539853.9634004663</ns0:v>
      </ns0:c>
    </ns0:row>
    <ns0:row r="36" ht="24" customHeight="1">
      <ns0:c r="A36" s="3" t="inlineStr">
        <ns0:is>
          <ns0:t>混在・パック30%</ns0:t>
        </ns0:is>
      </ns0:c>
      <ns0:c r="B36" s="4" t="n">
        <ns0:v>0</ns0:v>
      </ns0:c>
      <ns0:c r="C36" s="4" t="n">
        <ns0:v>2</ns0:v>
      </ns0:c>
      <ns0:c r="D36" s="6" t="n">
        <ns0:v>0.5</ns0:v>
      </ns0:c>
      <ns0:c r="E36" s="7" t="n">
        <ns0:v>4728.710812265332</ns0:v>
      </ns0:c>
      <ns0:c r="F36" s="7" t="n">
        <ns0:v>3021.095488110137</ns0:v>
      </ns0:c>
      <ns0:c r="G36" s="7" t="n">
        <ns0:v>1707.615324155194</ns0:v>
      </ns0:c>
      <ns0:c r="H36" s="7" t="n">
        <ns0:v>1510.547744055069</ns0:v>
      </ns0:c>
      <ns0:c r="I36" s="7" t="n">
        <ns0:v>135</ns0:v>
      </ns0:c>
      <ns0:c r="J36" s="7" t="n">
        <ns0:v>239</ns0:v>
      </ns0:c>
      <ns0:c r="K36" s="18" t="inlineStr">
        <ns0:is>
          <ns0:t>範囲内なし</ns0:t>
        </ns0:is>
      </ns0:c>
      <ns0:c r="L36" s="7" t="n">
        <ns0:v>-51492.38614040802</ns0:v>
      </ns0:c>
      <ns0:c r="M36" s="7" t="n">
        <ns0:v>-43955.28916860847</ns0:v>
      </ns0:c>
      <ns0:c r="N36" s="7" t="n">
        <ns0:v>-34298.16716551977</ns0:v>
      </ns0:c>
      <ns0:c r="O36" s="7" t="n">
        <ns0:v>-14085.39970473174</ns0:v>
      </ns0:c>
      <ns0:c r="P36" s="7" t="n">
        <ns0:v>24765.67013842025</ns0:v>
      </ns0:c>
      <ns0:c r="Q36" s="7" t="n">
        <ns0:v>237744.4145894523</ns0:v>
      </ns0:c>
    </ns0:row>
    <ns0:row r="37" ht="24" customHeight="1">
      <ns0:c r="A37" s="3" t="inlineStr">
        <ns0:is>
          <ns0:t>混在・パック50%</ns0:t>
        </ns0:is>
      </ns0:c>
      <ns0:c r="B37" s="4" t="n">
        <ns0:v>0</ns0:v>
      </ns0:c>
      <ns0:c r="C37" s="4" t="n">
        <ns0:v>2</ns0:v>
      </ns0:c>
      <ns0:c r="D37" s="6" t="n">
        <ns0:v>0.4</ns0:v>
      </ns0:c>
      <ns0:c r="E37" s="7" t="n">
        <ns0:v>5219.048756481316</ns0:v>
      </ns0:c>
      <ns0:c r="F37" s="7" t="n">
        <ns0:v>3277.485513141427</ns0:v>
      </ns0:c>
      <ns0:c r="G37" s="7" t="n">
        <ns0:v>1941.563243339889</ns0:v>
      </ns0:c>
      <ns0:c r="H37" s="7" t="n">
        <ns0:v>1310.994205256571</ns0:v>
      </ns0:c>
      <ns0:c r="I37" s="7" t="n">
        <ns0:v>86</ns0:v>
      </ns0:c>
      <ns0:c r="J37" s="7" t="n">
        <ns0:v>153</ns0:v>
      </ns0:c>
      <ns0:c r="K37" s="18" t="inlineStr">
        <ns0:is>
          <ns0:t>範囲内なし</ns0:t>
        </ns0:is>
      </ns0:c>
      <ns0:c r="L37" s="7" t="n">
        <ns0:v>-48341.56586113042</ns0:v>
      </ns0:c>
      <ns0:c r="M37" s="7" t="n">
        <ns0:v>-35493.42371786665</ns0:v>
      </ns0:c>
      <ns0:c r="N37" s="7" t="n">
        <ns0:v>-22815.0831122393</ns0:v>
      </ns0:c>
      <ns0:c r="O37" s="7" t="n">
        <ns0:v>8880.768401829206</ns0:v>
      </ns0:c>
      <ns0:c r="P37" s="7" t="n">
        <ns0:v>93664.17445810337</ns0:v>
      </ns0:c>
      <ns0:c r="Q37" s="7" t="n">
        <ns0:v>467406.0956550629</ns0:v>
      </ns0:c>
    </ns0:row>
    <ns0:row r="38" ht="24" customHeight="1">
      <ns0:c r="A38" s="3" t="inlineStr">
        <ns0:is>
          <ns0:t>混在・パック50%</ns0:t>
        </ns0:is>
      </ns0:c>
      <ns0:c r="B38" s="4" t="n">
        <ns0:v>0</ns0:v>
      </ns0:c>
      <ns0:c r="C38" s="4" t="n">
        <ns0:v>2</ns0:v>
      </ns0:c>
      <ns0:c r="D38" s="6" t="n">
        <ns0:v>0.5</ns0:v>
      </ns0:c>
      <ns0:c r="E38" s="7" t="n">
        <ns0:v>5219.048756481316</ns0:v>
      </ns0:c>
      <ns0:c r="F38" s="7" t="n">
        <ns0:v>3277.485513141427</ns0:v>
      </ns0:c>
      <ns0:c r="G38" s="7" t="n">
        <ns0:v>1941.563243339889</ns0:v>
      </ns0:c>
      <ns0:c r="H38" s="7" t="n">
        <ns0:v>1638.742756570713</ns0:v>
      </ns0:c>
      <ns0:c r="I38" s="7" t="n">
        <ns0:v>316</ns0:v>
      </ns0:c>
      <ns0:c r="J38" s="7" t="n">
        <ns0:v>316</ns0:v>
      </ns0:c>
      <ns0:c r="K38" s="18" t="inlineStr">
        <ns0:is>
          <ns0:t>範囲内なし</ns0:t>
        </ns0:is>
      </ns0:c>
      <ns0:c r="L38" s="7" t="n">
        <ns0:v>-51619.05137427185</ns0:v>
      </ns0:c>
      <ns0:c r="M38" s="7" t="n">
        <ns0:v>-45325.88025729093</ns0:v>
      </ns0:c>
      <ns0:c r="N38" s="7" t="n">
        <ns0:v>-39202.51067794643</ns0:v>
      </ns0:c>
      <ns0:c r="O38" s="7" t="n">
        <ns0:v>-23894.08672958505</ns0:v>
      </ns0:c>
      <ns0:c r="P38" s="7" t="n">
        <ns0:v>-4660.390936139273</ns0:v>
      </ns0:c>
      <ns0:c r="Q38" s="7" t="n">
        <ns0:v>139657.5443409202</ns0:v>
      </ns0:c>
    </ns0:row>
    <ns0:row r="39" ht="24" customHeight="1">
      <ns0:c r="A39" s="3" t="inlineStr">
        <ns0:is>
          <ns0:t>混在・パック70%</ns0:t>
        </ns0:is>
      </ns0:c>
      <ns0:c r="B39" s="4" t="n">
        <ns0:v>0</ns0:v>
      </ns0:c>
      <ns0:c r="C39" s="4" t="n">
        <ns0:v>2</ns0:v>
      </ns0:c>
      <ns0:c r="D39" s="6" t="n">
        <ns0:v>0.4</ns0:v>
      </ns0:c>
      <ns0:c r="E39" s="7" t="n">
        <ns0:v>5709.386700697299</ns0:v>
      </ns0:c>
      <ns0:c r="F39" s="7" t="n">
        <ns0:v>3533.875538172716</ns0:v>
      </ns0:c>
      <ns0:c r="G39" s="7" t="n">
        <ns0:v>2175.511162524584</ns0:v>
      </ns0:c>
      <ns0:c r="H39" s="7" t="n">
        <ns0:v>1413.550215269086</ns0:v>
      </ns0:c>
      <ns0:c r="I39" s="7" t="n">
        <ns0:v>98</ns0:v>
      </ns0:c>
      <ns0:c r="J39" s="7" t="n">
        <ns0:v>172</ns0:v>
      </ns0:c>
      <ns0:c r="K39" s="18" t="inlineStr">
        <ns0:is>
          <ns0:t>範囲内なし</ns0:t>
        </ns0:is>
      </ns0:c>
      <ns0:c r="L39" s="7" t="n">
        <ns0:v>-48211.84106996297</ns0:v>
      </ns0:c>
      <ns0:c r="M39" s="7" t="n">
        <ns0:v>-37666.85975022877</ns0:v>
      </ns0:c>
      <ns0:c r="N39" s="7" t="n">
        <ns0:v>-26437.47649950943</ns0:v>
      </ns0:c>
      <ns0:c r="O39" s="7" t="n">
        <ns0:v>1635.981627288944</ns0:v>
      </ns0:c>
      <ns0:c r="P39" s="7" t="n">
        <ns0:v>71929.81413448229</ns0:v>
      </ns0:c>
      <ns0:c r="Q39" s="7" t="n">
        <ns0:v>394958.22790966</ns0:v>
      </ns0:c>
    </ns0:row>
    <ns0:row r="40" ht="24" customHeight="1">
      <ns0:c r="A40" s="3" t="inlineStr">
        <ns0:is>
          <ns0:t>混在・パック70%</ns0:t>
        </ns0:is>
      </ns0:c>
      <ns0:c r="B40" s="4" t="n">
        <ns0:v>0</ns0:v>
      </ns0:c>
      <ns0:c r="C40" s="4" t="n">
        <ns0:v>2</ns0:v>
      </ns0:c>
      <ns0:c r="D40" s="6" t="n">
        <ns0:v>0.5</ns0:v>
      </ns0:c>
      <ns0:c r="E40" s="7" t="n">
        <ns0:v>5709.386700697299</ns0:v>
      </ns0:c>
      <ns0:c r="F40" s="7" t="n">
        <ns0:v>3533.875538172716</ns0:v>
      </ns0:c>
      <ns0:c r="G40" s="7" t="n">
        <ns0:v>2175.511162524584</ns0:v>
      </ns0:c>
      <ns0:c r="H40" s="7" t="n">
        <ns0:v>1766.937769086358</ns0:v>
      </ns0:c>
      <ns0:c r="I40" s="7" t="n">
        <ns0:v>464</ns0:v>
      </ns0:c>
      <ns0:c r="J40" s="7" t="n">
        <ns0:v>801</ns0:v>
      </ns0:c>
      <ns0:c r="K40" s="18" t="inlineStr">
        <ns0:is>
          <ns0:t>範囲内なし</ns0:t>
        </ns0:is>
      </ns0:c>
      <ns0:c r="L40" s="7" t="n">
        <ns0:v>-51745.71660813568</ns0:v>
      </ns0:c>
      <ns0:c r="M40" s="7" t="n">
        <ns0:v>-48268.48636474692</ns0:v>
      </ns0:c>
      <ns0:c r="N40" s="7" t="n">
        <ns0:v>-44106.85419037304</ns0:v>
      </ns0:c>
      <ns0:c r="O40" s="7" t="n">
        <ns0:v>-33702.77375443827</ns0:v>
      </ns0:c>
      <ns0:c r="P40" s="7" t="n">
        <ns0:v>-34086.45201069908</ns0:v>
      </ns0:c>
      <ns0:c r="Q40" s="7" t="n">
        <ns0:v>41570.67409238825</ns0:v>
      </ns0:c>
    </ns0:row>
    <ns0:row r="41" ht="24" customHeight="1">
      <ns0:c r="A41" s="3" t="inlineStr">
        <ns0:is>
          <ns0:t>Guard単独</ns0:t>
        </ns0:is>
      </ns0:c>
      <ns0:c r="B41" s="4" t="n">
        <ns0:v>0</ns0:v>
      </ns0:c>
      <ns0:c r="C41" s="4" t="n">
        <ns0:v>3</ns0:v>
      </ns0:c>
      <ns0:c r="D41" s="6" t="n">
        <ns0:v>0.4</ns0:v>
      </ns0:c>
      <ns0:c r="E41" s="7" t="n">
        <ns0:v>5763.454317897371</ns0:v>
      </ns0:c>
      <ns0:c r="F41" s="7" t="n">
        <ns0:v>3704.630788485606</ns0:v>
      </ns0:c>
      <ns0:c r="G41" s="7" t="n">
        <ns0:v>2058.823529411764</ns0:v>
      </ns0:c>
      <ns0:c r="H41" s="7" t="n">
        <ns0:v>1481.852315394242</ns0:v>
      </ns0:c>
      <ns0:c r="I41" s="7" t="n">
        <ns0:v>10</ns0:v>
      </ns0:c>
      <ns0:c r="J41" s="7" t="n">
        <ns0:v>13</ns0:v>
      </ns0:c>
      <ns0:c r="K41" s="7" t="n">
        <ns0:v>13</ns0:v>
      </ns0:c>
      <ns0:c r="L41" s="7" t="n">
        <ns0:v>1854.192740926141</ns0:v>
      </ns0:c>
      <ns0:c r="M41" s="7" t="n">
        <ns0:v>53165.45682102627</ns0:v>
      </ns0:c>
      <ns0:c r="N41" s="7" t="n">
        <ns0:v>101942.4280350438</ns0:v>
      </ns0:c>
      <ns0:c r="O41" s="7" t="n">
        <ns0:v>223884.8560700876</ns0:v>
      </ns0:c>
      <ns0:c r="P41" s="7" t="n">
        <ns0:v>691654.5682102626</ns0:v>
      </ns0:c>
      <ns0:c r="Q41" s="7" t="n">
        <ns0:v>2358848.560700876</ns0:v>
      </ns0:c>
    </ns0:row>
    <ns0:row r="42" ht="24" customHeight="1">
      <ns0:c r="A42" s="3" t="inlineStr">
        <ns0:is>
          <ns0:t>Guard単独</ns0:t>
        </ns0:is>
      </ns0:c>
      <ns0:c r="B42" s="4" t="n">
        <ns0:v>0</ns0:v>
      </ns0:c>
      <ns0:c r="C42" s="4" t="n">
        <ns0:v>3</ns0:v>
      </ns0:c>
      <ns0:c r="D42" s="6" t="n">
        <ns0:v>0.5</ns0:v>
      </ns0:c>
      <ns0:c r="E42" s="7" t="n">
        <ns0:v>5763.454317897371</ns0:v>
      </ns0:c>
      <ns0:c r="F42" s="7" t="n">
        <ns0:v>3704.630788485606</ns0:v>
      </ns0:c>
      <ns0:c r="G42" s="7" t="n">
        <ns0:v>2058.823529411764</ns0:v>
      </ns0:c>
      <ns0:c r="H42" s="7" t="n">
        <ns0:v>1852.315394242803</ns0:v>
      </ns0:c>
      <ns0:c r="I42" s="7" t="n">
        <ns0:v>14</ns0:v>
      </ns0:c>
      <ns0:c r="J42" s="7" t="n">
        <ns0:v>14</ns0:v>
      </ns0:c>
      <ns0:c r="K42" s="7" t="n">
        <ns0:v>14</ns0:v>
      </ns0:c>
      <ns0:c r="L42" s="7" t="n">
        <ns0:v>-1850.438047559463</ns0:v>
      </ns0:c>
      <ns0:c r="M42" s="7" t="n">
        <ns0:v>42051.56445556945</ns0:v>
      </ns0:c>
      <ns0:c r="N42" s="7" t="n">
        <ns0:v>83419.27409261579</ns0:v>
      </ns0:c>
      <ns0:c r="O42" s="7" t="n">
        <ns0:v>186838.5481852316</ns0:v>
      </ns0:c>
      <ns0:c r="P42" s="7" t="n">
        <ns0:v>580515.6445556944</ns0:v>
      </ns0:c>
      <ns0:c r="Q42" s="7" t="n">
        <ns0:v>1988385.481852315</ns0:v>
      </ns0:c>
    </ns0:row>
    <ns0:row r="43" ht="24" customHeight="1">
      <ns0:c r="A43" s="3" t="inlineStr">
        <ns0:is>
          <ns0:t>Send単独</ns0:t>
        </ns0:is>
      </ns0:c>
      <ns0:c r="B43" s="4" t="n">
        <ns0:v>0</ns0:v>
      </ns0:c>
      <ns0:c r="C43" s="4" t="n">
        <ns0:v>3</ns0:v>
      </ns0:c>
      <ns0:c r="D43" s="6" t="n">
        <ns0:v>0.4</ns0:v>
      </ns0:c>
      <ns0:c r="E43" s="7" t="n">
        <ns0:v>1632.87</ns0:v>
      </ns0:c>
      <ns0:c r="F43" s="7" t="n">
        <ns0:v>1212.35</ns0:v>
      </ns0:c>
      <ns0:c r="G43" s="7" t="n">
        <ns0:v>420.5199999999999</ns0:v>
      </ns0:c>
      <ns0:c r="H43" s="7" t="n">
        <ns0:v>484.94</ns0:v>
      </ns0:c>
      <ns0:c r="I43" s="18" t="inlineStr">
        <ns0:is>
          <ns0:t>範囲内なし</ns0:t>
        </ns0:is>
      </ns0:c>
      <ns0:c r="J43" s="18" t="inlineStr">
        <ns0:is>
          <ns0:t>範囲内なし</ns0:t>
        </ns0:is>
      </ns0:c>
      <ns0:c r="K43" s="18" t="inlineStr">
        <ns0:is>
          <ns0:t>範囲内なし</ns0:t>
        </ns0:is>
      </ns0:c>
      <ns0:c r="L43" s="7" t="n">
        <ns0:v>-34020.47638745677</ns0:v>
      </ns0:c>
      <ns0:c r="M43" s="7" t="n">
        <ns0:v>-46539.55990975472</ns0:v>
      </ns0:c>
      <ns0:c r="N43" s="7" t="n">
        <ns0:v>-54558.64343205268</ns0:v>
      </ns0:c>
      <ns0:c r="O43" s="7" t="n">
        <ns0:v>-74606.35223779755</ns0:v>
      </ns0:c>
      <ns0:c r="P43" s="7" t="n">
        <ns0:v>-176797.187460777</ns0:v>
      </ns0:c>
      <ns0:c r="Q43" s="7" t="n">
        <ns0:v>-487465.1107412054</ns0:v>
      </ns0:c>
    </ns0:row>
    <ns0:row r="44" ht="24" customHeight="1">
      <ns0:c r="A44" s="3" t="inlineStr">
        <ns0:is>
          <ns0:t>Send単独</ns0:t>
        </ns0:is>
      </ns0:c>
      <ns0:c r="B44" s="4" t="n">
        <ns0:v>0</ns0:v>
      </ns0:c>
      <ns0:c r="C44" s="4" t="n">
        <ns0:v>3</ns0:v>
      </ns0:c>
      <ns0:c r="D44" s="6" t="n">
        <ns0:v>0.5</ns0:v>
      </ns0:c>
      <ns0:c r="E44" s="7" t="n">
        <ns0:v>1632.87</ns0:v>
      </ns0:c>
      <ns0:c r="F44" s="7" t="n">
        <ns0:v>1212.35</ns0:v>
      </ns0:c>
      <ns0:c r="G44" s="7" t="n">
        <ns0:v>420.5199999999999</ns0:v>
      </ns0:c>
      <ns0:c r="H44" s="7" t="n">
        <ns0:v>606.175</ns0:v>
      </ns0:c>
      <ns0:c r="I44" s="18" t="inlineStr">
        <ns0:is>
          <ns0:t>範囲内なし</ns0:t>
        </ns0:is>
      </ns0:c>
      <ns0:c r="J44" s="18" t="inlineStr">
        <ns0:is>
          <ns0:t>範囲内なし</ns0:t>
        </ns0:is>
      </ns0:c>
      <ns0:c r="K44" s="18" t="inlineStr">
        <ns0:is>
          <ns0:t>範囲内なし</ns0:t>
        </ns0:is>
      </ns0:c>
      <ns0:c r="L44" s="7" t="n">
        <ns0:v>-35232.82638745677</ns0:v>
      </ns0:c>
      <ns0:c r="M44" s="7" t="n">
        <ns0:v>-50176.60990975473</ns0:v>
      </ns0:c>
      <ns0:c r="N44" s="7" t="n">
        <ns0:v>-60620.39343205268</ns0:v>
      </ns0:c>
      <ns0:c r="O44" s="7" t="n">
        <ns0:v>-86729.85223779755</ns0:v>
      </ns0:c>
      <ns0:c r="P44" s="7" t="n">
        <ns0:v>-213167.687460777</ns0:v>
      </ns0:c>
      <ns0:c r="Q44" s="7" t="n">
        <ns0:v>-608700.1107412053</ns0:v>
      </ns0:c>
    </ns0:row>
    <ns0:row r="45" ht="24" customHeight="1">
      <ns0:c r="A45" s="3" t="inlineStr">
        <ns0:is>
          <ns0:t>パック単独</ns0:t>
        </ns0:is>
      </ns0:c>
      <ns0:c r="B45" s="4" t="n">
        <ns0:v>0</ns0:v>
      </ns0:c>
      <ns0:c r="C45" s="4" t="n">
        <ns0:v>3</ns0:v>
      </ns0:c>
      <ns0:c r="D45" s="6" t="n">
        <ns0:v>0.4</ns0:v>
      </ns0:c>
      <ns0:c r="E45" s="7" t="n">
        <ns0:v>6444.893617021276</ns0:v>
      </ns0:c>
      <ns0:c r="F45" s="7" t="n">
        <ns0:v>3918.46057571965</ns0:v>
      </ns0:c>
      <ns0:c r="G45" s="7" t="n">
        <ns0:v>2526.433041301627</ns0:v>
      </ns0:c>
      <ns0:c r="H45" s="7" t="n">
        <ns0:v>1567.38423028786</ns0:v>
      </ns0:c>
      <ns0:c r="I45" s="7" t="n">
        <ns0:v>37</ns0:v>
      </ns0:c>
      <ns0:c r="J45" s="7" t="n">
        <ns0:v>37</ns0:v>
      </ns0:c>
      <ns0:c r="K45" s="18" t="inlineStr">
        <ns0:is>
          <ns0:t>範囲内なし</ns0:t>
        </ns0:is>
      </ns0:c>
      <ns0:c r="L45" s="7" t="n">
        <ns0:v>-37463.55221727602</ns0:v>
      </ns0:c>
      <ns0:c r="M45" s="7" t="n">
        <ns0:v>-9265.90880096468</ns0:v>
      </ns0:c>
      <ns0:c r="N45" s="7" t="n">
        <ns0:v>20897.44174926411</ns0:v>
      </ns0:c>
      <ns0:c r="O45" s="7" t="n">
        <ns0:v>96305.81812483602</ns0:v>
      </ns0:c>
      <ns0:c r="P45" s="7" t="n">
        <ns0:v>355939.3236271236</ns0:v>
      </ns0:c>
      <ns0:c r="Q45" s="7" t="n">
        <ns0:v>1341656.59288513</ns0:v>
      </ns0:c>
    </ns0:row>
    <ns0:row r="46" ht="24" customHeight="1">
      <ns0:c r="A46" s="3" t="inlineStr">
        <ns0:is>
          <ns0:t>パック単独</ns0:t>
        </ns0:is>
      </ns0:c>
      <ns0:c r="B46" s="4" t="n">
        <ns0:v>0</ns0:v>
      </ns0:c>
      <ns0:c r="C46" s="4" t="n">
        <ns0:v>3</ns0:v>
      </ns0:c>
      <ns0:c r="D46" s="6" t="n">
        <ns0:v>0.5</ns0:v>
      </ns0:c>
      <ns0:c r="E46" s="7" t="n">
        <ns0:v>6444.893617021276</ns0:v>
      </ns0:c>
      <ns0:c r="F46" s="7" t="n">
        <ns0:v>3918.46057571965</ns0:v>
      </ns0:c>
      <ns0:c r="G46" s="7" t="n">
        <ns0:v>2526.433041301627</ns0:v>
      </ns0:c>
      <ns0:c r="H46" s="7" t="n">
        <ns0:v>1959.230287859825</ns0:v>
      </ns0:c>
      <ns0:c r="I46" s="7" t="n">
        <ns0:v>49</ns0:v>
      </ns0:c>
      <ns0:c r="J46" s="7" t="n">
        <ns0:v>49</ns0:v>
      </ns0:c>
      <ns0:c r="K46" s="18" t="inlineStr">
        <ns0:is>
          <ns0:t>範囲内なし</ns0:t>
        </ns0:is>
      </ns0:c>
      <ns0:c r="L46" s="7" t="n">
        <ns0:v>-41382.01279299568</ns0:v>
      </ns0:c>
      <ns0:c r="M46" s="7" t="n">
        <ns0:v>-21021.29052812362</ns0:v>
      </ns0:c>
      <ns0:c r="N46" s="7" t="n">
        <ns0:v>1305.138870665876</ns0:v>
      </ns0:c>
      <ns0:c r="O46" s="7" t="n">
        <ns0:v>57121.21236763956</ns0:v>
      </ns0:c>
      <ns0:c r="P46" s="7" t="n">
        <ns0:v>238385.506355534</ns0:v>
      </ns0:c>
      <ns0:c r="Q46" s="7" t="n">
        <ns0:v>949810.5353131654</ns0:v>
      </ns0:c>
    </ns0:row>
    <ns0:row r="47" ht="24" customHeight="1">
      <ns0:c r="A47" s="3" t="inlineStr">
        <ns0:is>
          <ns0:t>混在・パック30%</ns0:t>
        </ns0:is>
      </ns0:c>
      <ns0:c r="B47" s="4" t="n">
        <ns0:v>0</ns0:v>
      </ns0:c>
      <ns0:c r="C47" s="4" t="n">
        <ns0:v>3</ns0:v>
      </ns0:c>
      <ns0:c r="D47" s="6" t="n">
        <ns0:v>0.4</ns0:v>
      </ns0:c>
      <ns0:c r="E47" s="7" t="n">
        <ns0:v>4728.710812265332</ns0:v>
      </ns0:c>
      <ns0:c r="F47" s="7" t="n">
        <ns0:v>3021.095488110137</ns0:v>
      </ns0:c>
      <ns0:c r="G47" s="7" t="n">
        <ns0:v>1707.615324155194</ns0:v>
      </ns0:c>
      <ns0:c r="H47" s="7" t="n">
        <ns0:v>1208.438195244055</ns0:v>
      </ns0:c>
      <ns0:c r="I47" s="7" t="n">
        <ns0:v>42</ns0:v>
      </ns0:c>
      <ns0:c r="J47" s="7" t="n">
        <ns0:v>42</ns0:v>
      </ns0:c>
      <ns0:c r="K47" s="18" t="inlineStr">
        <ns0:is>
          <ns0:t>範囲内なし</ns0:t>
        </ns0:is>
      </ns0:c>
      <ns0:c r="L47" s="7" t="n">
        <ns0:v>-42457.90533557249</ns0:v>
      </ns0:c>
      <ns0:c r="M47" s="7" t="n">
        <ns0:v>-16851.84675410191</ns0:v>
      </ns0:c>
      <ns0:c r="N47" s="7" t="n">
        <ns0:v>10874.23685865781</ns0:v>
      </ns0:c>
      <ns0:c r="O47" s="7" t="n">
        <ns0:v>76259.40834362342</ns0:v>
      </ns0:c>
      <ns0:c r="P47" s="7" t="n">
        <ns0:v>295800.0942834861</ns0:v>
      </ns0:c>
      <ns0:c r="Q47" s="7" t="n">
        <ns0:v>1141192.495073005</ns0:v>
      </ns0:c>
    </ns0:row>
    <ns0:row r="48" ht="24" customHeight="1">
      <ns0:c r="A48" s="3" t="inlineStr">
        <ns0:is>
          <ns0:t>混在・パック30%</ns0:t>
        </ns0:is>
      </ns0:c>
      <ns0:c r="B48" s="4" t="n">
        <ns0:v>0</ns0:v>
      </ns0:c>
      <ns0:c r="C48" s="4" t="n">
        <ns0:v>3</ns0:v>
      </ns0:c>
      <ns0:c r="D48" s="6" t="n">
        <ns0:v>0.5</ns0:v>
      </ns0:c>
      <ns0:c r="E48" s="7" t="n">
        <ns0:v>4728.710812265332</ns0:v>
      </ns0:c>
      <ns0:c r="F48" s="7" t="n">
        <ns0:v>3021.095488110137</ns0:v>
      </ns0:c>
      <ns0:c r="G48" s="7" t="n">
        <ns0:v>1707.615324155194</ns0:v>
      </ns0:c>
      <ns0:c r="H48" s="7" t="n">
        <ns0:v>1510.547744055069</ns0:v>
      </ns0:c>
      <ns0:c r="I48" s="7" t="n">
        <ns0:v>55</ns0:v>
      </ns0:c>
      <ns0:c r="J48" s="7" t="n">
        <ns0:v>55</ns0:v>
      </ns0:c>
      <ns0:c r="K48" s="18" t="inlineStr">
        <ns0:is>
          <ns0:t>範囲内なし</ns0:t>
        </ns0:is>
      </ns0:c>
      <ns0:c r="L48" s="7" t="n">
        <ns0:v>-45479.00082368264</ns0:v>
      </ns0:c>
      <ns0:c r="M48" s="7" t="n">
        <ns0:v>-25915.1332184323</ns0:v>
      </ns0:c>
      <ns0:c r="N48" s="7" t="n">
        <ns0:v>-4231.240581892838</ns0:v>
      </ns0:c>
      <ns0:c r="O48" s="7" t="n">
        <ns0:v>46048.45346252211</ns0:v>
      </ns0:c>
      <ns0:c r="P48" s="7" t="n">
        <ns0:v>205167.2296401818</ns0:v>
      </ns0:c>
      <ns0:c r="Q48" s="7" t="n">
        <ns0:v>839082.946261991</ns0:v>
      </ns0:c>
    </ns0:row>
    <ns0:row r="49" ht="24" customHeight="1">
      <ns0:c r="A49" s="3" t="inlineStr">
        <ns0:is>
          <ns0:t>混在・パック50%</ns0:t>
        </ns0:is>
      </ns0:c>
      <ns0:c r="B49" s="4" t="n">
        <ns0:v>0</ns0:v>
      </ns0:c>
      <ns0:c r="C49" s="4" t="n">
        <ns0:v>3</ns0:v>
      </ns0:c>
      <ns0:c r="D49" s="6" t="n">
        <ns0:v>0.4</ns0:v>
      </ns0:c>
      <ns0:c r="E49" s="7" t="n">
        <ns0:v>5219.048756481316</ns0:v>
      </ns0:c>
      <ns0:c r="F49" s="7" t="n">
        <ns0:v>3277.485513141427</ns0:v>
      </ns0:c>
      <ns0:c r="G49" s="7" t="n">
        <ns0:v>1941.563243339889</ns0:v>
      </ns0:c>
      <ns0:c r="H49" s="7" t="n">
        <ns0:v>1310.994205256571</ns0:v>
      </ns0:c>
      <ns0:c r="I49" s="7" t="n">
        <ns0:v>40</ns0:v>
      </ns0:c>
      <ns0:c r="J49" s="7" t="n">
        <ns0:v>40</ns0:v>
      </ns0:c>
      <ns0:c r="K49" s="18" t="inlineStr">
        <ns0:is>
          <ns0:t>範囲内なし</ns0:t>
        </ns0:is>
      </ns0:c>
      <ns0:c r="L49" s="7" t="n">
        <ns0:v>-41030.94730177351</ns0:v>
      </ns0:c>
      <ns0:c r="M49" s="7" t="n">
        <ns0:v>-13561.56803979589</ns0:v>
      </ns0:c>
      <ns0:c r="N49" s="7" t="n">
        <ns0:v>13738.00968454529</ns0:v>
      </ns0:c>
      <ns0:c r="O49" s="7" t="n">
        <ns0:v>81986.95399539838</ns0:v>
      </ns0:c>
      <ns0:c r="P49" s="7" t="n">
        <ns0:v>312982.7312388109</ns0:v>
      </ns0:c>
      <ns0:c r="Q49" s="7" t="n">
        <ns0:v>1198467.951590755</ns0:v>
      </ns0:c>
    </ns0:row>
    <ns0:row r="50" ht="24" customHeight="1">
      <ns0:c r="A50" s="3" t="inlineStr">
        <ns0:is>
          <ns0:t>混在・パック50%</ns0:t>
        </ns0:is>
      </ns0:c>
      <ns0:c r="B50" s="4" t="n">
        <ns0:v>0</ns0:v>
      </ns0:c>
      <ns0:c r="C50" s="4" t="n">
        <ns0:v>3</ns0:v>
      </ns0:c>
      <ns0:c r="D50" s="6" t="n">
        <ns0:v>0.5</ns0:v>
      </ns0:c>
      <ns0:c r="E50" s="7" t="n">
        <ns0:v>5219.048756481316</ns0:v>
      </ns0:c>
      <ns0:c r="F50" s="7" t="n">
        <ns0:v>3277.485513141427</ns0:v>
      </ns0:c>
      <ns0:c r="G50" s="7" t="n">
        <ns0:v>1941.563243339889</ns0:v>
      </ns0:c>
      <ns0:c r="H50" s="7" t="n">
        <ns0:v>1638.742756570713</ns0:v>
      </ns0:c>
      <ns0:c r="I50" s="7" t="n">
        <ns0:v>53</ns0:v>
      </ns0:c>
      <ns0:c r="J50" s="7" t="n">
        <ns0:v>53</ns0:v>
      </ns0:c>
      <ns0:c r="K50" s="18" t="inlineStr">
        <ns0:is>
          <ns0:t>範囲内なし</ns0:t>
        </ns0:is>
      </ns0:c>
      <ns0:c r="L50" s="7" t="n">
        <ns0:v>-44308.43281491493</ns0:v>
      </ns0:c>
      <ns0:c r="M50" s="7" t="n">
        <ns0:v>-23394.02457922019</ns0:v>
      </ns0:c>
      <ns0:c r="N50" s="7" t="n">
        <ns0:v>-2649.417881161833</ns0:v>
      </ns0:c>
      <ns0:c r="O50" s="7" t="n">
        <ns0:v>49212.09886398412</ns0:v>
      </ns0:c>
      <ns0:c r="P50" s="7" t="n">
        <ns0:v>214658.1658445683</ns0:v>
      </ns0:c>
      <ns0:c r="Q50" s="7" t="n">
        <ns0:v>870719.400276612</ns0:v>
      </ns0:c>
    </ns0:row>
    <ns0:row r="51" ht="24" customHeight="1">
      <ns0:c r="A51" s="3" t="inlineStr">
        <ns0:is>
          <ns0:t>混在・パック70%</ns0:t>
        </ns0:is>
      </ns0:c>
      <ns0:c r="B51" s="4" t="n">
        <ns0:v>0</ns0:v>
      </ns0:c>
      <ns0:c r="C51" s="4" t="n">
        <ns0:v>3</ns0:v>
      </ns0:c>
      <ns0:c r="D51" s="6" t="n">
        <ns0:v>0.4</ns0:v>
      </ns0:c>
      <ns0:c r="E51" s="7" t="n">
        <ns0:v>5709.386700697299</ns0:v>
      </ns0:c>
      <ns0:c r="F51" s="7" t="n">
        <ns0:v>3533.875538172716</ns0:v>
      </ns0:c>
      <ns0:c r="G51" s="7" t="n">
        <ns0:v>2175.511162524584</ns0:v>
      </ns0:c>
      <ns0:c r="H51" s="7" t="n">
        <ns0:v>1413.550215269086</ns0:v>
      </ns0:c>
      <ns0:c r="I51" s="7" t="n">
        <ns0:v>39</ns0:v>
      </ns0:c>
      <ns0:c r="J51" s="7" t="n">
        <ns0:v>39</ns0:v>
      </ns0:c>
      <ns0:c r="K51" s="18" t="inlineStr">
        <ns0:is>
          <ns0:t>範囲内なし</ns0:t>
        </ns0:is>
      </ns0:c>
      <ns0:c r="L51" s="7" t="n">
        <ns0:v>-39603.98926797452</ns0:v>
      </ns0:c>
      <ns0:c r="M51" s="7" t="n">
        <ns0:v>-11843.30434426341</ns0:v>
      </ns0:c>
      <ns0:c r="N51" s="7" t="n">
        <ns0:v>16601.78251043283</ns0:v>
      </ns0:c>
      <ns0:c r="O51" s="7" t="n">
        <ns0:v>87714.49964717345</ns0:v>
      </ns0:c>
      <ns0:c r="P51" s="7" t="n">
        <ns0:v>330165.3681941358</ns0:v>
      </ns0:c>
      <ns0:c r="Q51" s="7" t="n">
        <ns0:v>1255743.408108505</ns0:v>
      </ns0:c>
    </ns0:row>
    <ns0:row r="52" ht="24" customHeight="1">
      <ns0:c r="A52" s="3" t="inlineStr">
        <ns0:is>
          <ns0:t>混在・パック70%</ns0:t>
        </ns0:is>
      </ns0:c>
      <ns0:c r="B52" s="4" t="n">
        <ns0:v>0</ns0:v>
      </ns0:c>
      <ns0:c r="C52" s="4" t="n">
        <ns0:v>3</ns0:v>
      </ns0:c>
      <ns0:c r="D52" s="6" t="n">
        <ns0:v>0.5</ns0:v>
      </ns0:c>
      <ns0:c r="E52" s="7" t="n">
        <ns0:v>5709.386700697299</ns0:v>
      </ns0:c>
      <ns0:c r="F52" s="7" t="n">
        <ns0:v>3533.875538172716</ns0:v>
      </ns0:c>
      <ns0:c r="G52" s="7" t="n">
        <ns0:v>2175.511162524584</ns0:v>
      </ns0:c>
      <ns0:c r="H52" s="7" t="n">
        <ns0:v>1766.937769086358</ns0:v>
      </ns0:c>
      <ns0:c r="I52" s="7" t="n">
        <ns0:v>51</ns0:v>
      </ns0:c>
      <ns0:c r="J52" s="7" t="n">
        <ns0:v>51</ns0:v>
      </ns0:c>
      <ns0:c r="K52" s="18" t="inlineStr">
        <ns0:is>
          <ns0:t>範囲内なし</ns0:t>
        </ns0:is>
      </ns0:c>
      <ns0:c r="L52" s="7" t="n">
        <ns0:v>-43137.86480614723</ns0:v>
      </ns0:c>
      <ns0:c r="M52" s="7" t="n">
        <ns0:v>-22444.93095878156</ns0:v>
      </ns0:c>
      <ns0:c r="N52" s="7" t="n">
        <ns0:v>-1067.59518043077</ns0:v>
      </ns0:c>
      <ns0:c r="O52" s="7" t="n">
        <ns0:v>52375.74426544626</ns0:v>
      </ns0:c>
      <ns0:c r="P52" s="7" t="n">
        <ns0:v>224149.1020489544</ns0:v>
      </ns0:c>
      <ns0:c r="Q52" s="7" t="n">
        <ns0:v>902355.8542912335</ns0:v>
      </ns0:c>
    </ns0:row>
    <ns0:row r="53" ht="24" customHeight="1">
      <ns0:c r="A53" s="3" t="inlineStr">
        <ns0:is>
          <ns0:t>Guard単独</ns0:t>
        </ns0:is>
      </ns0:c>
      <ns0:c r="B53" s="4" t="n">
        <ns0:v>1</ns0:v>
      </ns0:c>
      <ns0:c r="C53" s="4" t="n">
        <ns0:v>0</ns0:v>
      </ns0:c>
      <ns0:c r="D53" s="6" t="n">
        <ns0:v>0.4</ns0:v>
      </ns0:c>
      <ns0:c r="E53" s="7" t="n">
        <ns0:v>6754.189944134077</ns0:v>
      </ns0:c>
      <ns0:c r="F53" s="7" t="n">
        <ns0:v>3910.614525139664</ns0:v>
      </ns0:c>
      <ns0:c r="G53" s="7" t="n">
        <ns0:v>2843.575418994413</ns0:v>
      </ns0:c>
      <ns0:c r="H53" s="7" t="n">
        <ns0:v>1564.245810055865</ns0:v>
      </ns0:c>
      <ns0:c r="I53" s="7" t="n">
        <ns0:v>8</ns0:v>
      </ns0:c>
      <ns0:c r="J53" s="7" t="n">
        <ns0:v>8</ns0:v>
      </ns0:c>
      <ns0:c r="K53" s="7" t="n">
        <ns0:v>8</ns0:v>
      </ns0:c>
      <ns0:c r="L53" s="7" t="n">
        <ns0:v>10346.51769087522</ns0:v>
      </ns0:c>
      <ns0:c r="M53" s="7" t="n">
        <ns0:v>65983.12849162007</ns0:v>
      </ns0:c>
      <ns0:c r="N53" s="7" t="n">
        <ns0:v>123305.2141527002</ns0:v>
      </ns0:c>
      <ns0:c r="O53" s="7" t="n">
        <ns0:v>266610.4283054004</ns0:v>
      </ns0:c>
      <ns0:c r="P53" s="7" t="n">
        <ns0:v>819831.2849162007</ns0:v>
      </ns0:c>
      <ns0:c r="Q53" s="7" t="n">
        <ns0:v>2786104.283054003</ns0:v>
      </ns0:c>
    </ns0:row>
    <ns0:row r="54" ht="24" customHeight="1">
      <ns0:c r="A54" s="3" t="inlineStr">
        <ns0:is>
          <ns0:t>Guard単独</ns0:t>
        </ns0:is>
      </ns0:c>
      <ns0:c r="B54" s="4" t="n">
        <ns0:v>1</ns0:v>
      </ns0:c>
      <ns0:c r="C54" s="4" t="n">
        <ns0:v>0</ns0:v>
      </ns0:c>
      <ns0:c r="D54" s="6" t="n">
        <ns0:v>0.5</ns0:v>
      </ns0:c>
      <ns0:c r="E54" s="7" t="n">
        <ns0:v>6754.189944134077</ns0:v>
      </ns0:c>
      <ns0:c r="F54" s="7" t="n">
        <ns0:v>3910.614525139664</ns0:v>
      </ns0:c>
      <ns0:c r="G54" s="7" t="n">
        <ns0:v>2843.575418994413</ns0:v>
      </ns0:c>
      <ns0:c r="H54" s="7" t="n">
        <ns0:v>1955.307262569832</ns0:v>
      </ns0:c>
      <ns0:c r="I54" s="7" t="n">
        <ns0:v>9</ns0:v>
      </ns0:c>
      <ns0:c r="J54" s="7" t="n">
        <ns0:v>9</ns0:v>
      </ns0:c>
      <ns0:c r="K54" s="7" t="n">
        <ns0:v>9</ns0:v>
      </ns0:c>
      <ns0:c r="L54" s="7" t="n">
        <ns0:v>6435.903165735552</ns0:v>
      </ns0:c>
      <ns0:c r="M54" s="7" t="n">
        <ns0:v>54251.28491620109</ns0:v>
      </ns0:c>
      <ns0:c r="N54" s="7" t="n">
        <ns0:v>103752.1415270019</ns0:v>
      </ns0:c>
      <ns0:c r="O54" s="7" t="n">
        <ns0:v>227504.2830540038</ns0:v>
      </ns0:c>
      <ns0:c r="P54" s="7" t="n">
        <ns0:v>702512.8491620107</ns0:v>
      </ns0:c>
      <ns0:c r="Q54" s="7" t="n">
        <ns0:v>2395042.830540037</ns0:v>
      </ns0:c>
    </ns0:row>
    <ns0:row r="55" ht="24" customHeight="1">
      <ns0:c r="A55" s="3" t="inlineStr">
        <ns0:is>
          <ns0:t>Send単独</ns0:t>
        </ns0:is>
      </ns0:c>
      <ns0:c r="B55" s="4" t="n">
        <ns0:v>1</ns0:v>
      </ns0:c>
      <ns0:c r="C55" s="4" t="n">
        <ns0:v>0</ns0:v>
      </ns0:c>
      <ns0:c r="D55" s="6" t="n">
        <ns0:v>0.4</ns0:v>
      </ns0:c>
      <ns0:c r="E55" s="7" t="n">
        <ns0:v>2438.19095477387</ns0:v>
      </ns0:c>
      <ns0:c r="F55" s="7" t="n">
        <ns0:v>1337.185929648241</ns0:v>
      </ns0:c>
      <ns0:c r="G55" s="7" t="n">
        <ns0:v>1101.005025125628</ns0:v>
      </ns0:c>
      <ns0:c r="H55" s="7" t="n">
        <ns0:v>534.8743718592966</ns0:v>
      </ns0:c>
      <ns0:c r="I55" s="7" t="n">
        <ns0:v>23</ns0:v>
      </ns0:c>
      <ns0:c r="J55" s="7" t="n">
        <ns0:v>23</ns0:v>
      </ns0:c>
      <ns0:c r="K55" s="7" t="n">
        <ns0:v>23</ns0:v>
      </ns0:c>
      <ns0:c r="L55" s="7" t="n">
        <ns0:v>-14903.69839288158</ns0:v>
      </ns0:c>
      <ns0:c r="M55" s="7" t="n">
        <ns0:v>10810.77407397086</ns0:v>
      </ns0:c>
      <ns0:c r="N55" s="7" t="n">
        <ns0:v>41025.24654082332</ns0:v>
      </ns0:c>
      <ns0:c r="O55" s="7" t="n">
        <ns0:v>116561.4277079544</ns0:v>
      </ns0:c>
      <ns0:c r="P55" s="7" t="n">
        <ns0:v>396706.1523764788</ns0:v>
      </ns0:c>
      <ns0:c r="Q55" s="7" t="n">
        <ns0:v>1424212.688716314</ns0:v>
      </ns0:c>
    </ns0:row>
    <ns0:row r="56" ht="24" customHeight="1">
      <ns0:c r="A56" s="3" t="inlineStr">
        <ns0:is>
          <ns0:t>Send単独</ns0:t>
        </ns0:is>
      </ns0:c>
      <ns0:c r="B56" s="4" t="n">
        <ns0:v>1</ns0:v>
      </ns0:c>
      <ns0:c r="C56" s="4" t="n">
        <ns0:v>0</ns0:v>
      </ns0:c>
      <ns0:c r="D56" s="6" t="n">
        <ns0:v>0.5</ns0:v>
      </ns0:c>
      <ns0:c r="E56" s="7" t="n">
        <ns0:v>2438.19095477387</ns0:v>
      </ns0:c>
      <ns0:c r="F56" s="7" t="n">
        <ns0:v>1337.185929648241</ns0:v>
      </ns0:c>
      <ns0:c r="G56" s="7" t="n">
        <ns0:v>1101.005025125628</ns0:v>
      </ns0:c>
      <ns0:c r="H56" s="7" t="n">
        <ns0:v>668.5929648241207</ns0:v>
      </ns0:c>
      <ns0:c r="I56" s="7" t="n">
        <ns0:v>26</ns0:v>
      </ns0:c>
      <ns0:c r="J56" s="7" t="n">
        <ns0:v>26</ns0:v>
      </ns0:c>
      <ns0:c r="K56" s="7" t="n">
        <ns0:v>26</ns0:v>
      </ns0:c>
      <ns0:c r="L56" s="7" t="n">
        <ns0:v>-16240.88432252982</ns0:v>
      </ns0:c>
      <ns0:c r="M56" s="7" t="n">
        <ns0:v>6799.216285026145</ns0:v>
      </ns0:c>
      <ns0:c r="N56" s="7" t="n">
        <ns0:v>34339.3168925821</ns0:v>
      </ns0:c>
      <ns0:c r="O56" s="7" t="n">
        <ns0:v>103189.568411472</ns0:v>
      </ns0:c>
      <ns0:c r="P56" s="7" t="n">
        <ns0:v>356590.5744870316</ns0:v>
      </ns0:c>
      <ns0:c r="Q56" s="7" t="n">
        <ns0:v>1290494.09575149</ns0:v>
      </ns0:c>
    </ns0:row>
    <ns0:row r="57" ht="24" customHeight="1">
      <ns0:c r="A57" s="3" t="inlineStr">
        <ns0:is>
          <ns0:t>パック単独</ns0:t>
        </ns0:is>
      </ns0:c>
      <ns0:c r="B57" s="4" t="n">
        <ns0:v>1</ns0:v>
      </ns0:c>
      <ns0:c r="C57" s="4" t="n">
        <ns0:v>0</ns0:v>
      </ns0:c>
      <ns0:c r="D57" s="6" t="n">
        <ns0:v>0.4</ns0:v>
      </ns0:c>
      <ns0:c r="E57" s="7" t="n">
        <ns0:v>8308.379888268155</ns0:v>
      </ns0:c>
      <ns0:c r="F57" s="7" t="n">
        <ns0:v>4263.128491620111</ns0:v>
      </ns0:c>
      <ns0:c r="G57" s="7" t="n">
        <ns0:v>4045.251396648044</ns0:v>
      </ns0:c>
      <ns0:c r="H57" s="7" t="n">
        <ns0:v>1705.251396648044</ns0:v>
      </ns0:c>
      <ns0:c r="I57" s="7" t="n">
        <ns0:v>15</ns0:v>
      </ns0:c>
      <ns0:c r="J57" s="7" t="n">
        <ns0:v>15</ns0:v>
      </ns0:c>
      <ns0:c r="K57" s="7" t="n">
        <ns0:v>24</ns0:v>
      </ns0:c>
      <ns0:c r="L57" s="7" t="n">
        <ns0:v>-9190.385785956536</ns0:v>
      </ns0:c>
      <ns0:c r="M57" s="7" t="n">
        <ns0:v>62894.28731374042</ns0:v>
      </ns0:c>
      <ns0:c r="N57" s="7" t="n">
        <ns0:v>141164.4352737726</ns0:v>
      </ns0:c>
      <ns0:c r="O57" s="7" t="n">
        <ns0:v>336839.8051738529</ns0:v>
      </ns0:c>
      <ns0:c r="P57" s="7" t="n">
        <ns0:v>1077541.284774174</ns0:v>
      </ns0:c>
      <ns0:c r="Q57" s="7" t="n">
        <ns0:v>3746996.4633753</ns0:v>
      </ns0:c>
    </ns0:row>
    <ns0:row r="58" ht="24" customHeight="1">
      <ns0:c r="A58" s="3" t="inlineStr">
        <ns0:is>
          <ns0:t>パック単独</ns0:t>
        </ns0:is>
      </ns0:c>
      <ns0:c r="B58" s="4" t="n">
        <ns0:v>1</ns0:v>
      </ns0:c>
      <ns0:c r="C58" s="4" t="n">
        <ns0:v>0</ns0:v>
      </ns0:c>
      <ns0:c r="D58" s="6" t="n">
        <ns0:v>0.5</ns0:v>
      </ns0:c>
      <ns0:c r="E58" s="7" t="n">
        <ns0:v>8308.379888268155</ns0:v>
      </ns0:c>
      <ns0:c r="F58" s="7" t="n">
        <ns0:v>4263.128491620111</ns0:v>
      </ns0:c>
      <ns0:c r="G58" s="7" t="n">
        <ns0:v>4045.251396648044</ns0:v>
      </ns0:c>
      <ns0:c r="H58" s="7" t="n">
        <ns0:v>2131.564245810056</ns0:v>
      </ns0:c>
      <ns0:c r="I58" s="7" t="n">
        <ns0:v>16</ns0:v>
      </ns0:c>
      <ns0:c r="J58" s="7" t="n">
        <ns0:v>16</ns0:v>
      </ns0:c>
      <ns0:c r="K58" s="7" t="n">
        <ns0:v>26</ns0:v>
      </ns0:c>
      <ns0:c r="L58" s="7" t="n">
        <ns0:v>-13453.51427757665</ns0:v>
      </ns0:c>
      <ns0:c r="M58" s="7" t="n">
        <ns0:v>50104.90183888008</ns0:v>
      </ns0:c>
      <ns0:c r="N58" s="7" t="n">
        <ns0:v>119848.792815672</ns0:v>
      </ns0:c>
      <ns0:c r="O58" s="7" t="n">
        <ns0:v>294208.5202576519</ns0:v>
      </ns0:c>
      <ns0:c r="P58" s="7" t="n">
        <ns0:v>949647.430025571</ns0:v>
      </ns0:c>
      <ns0:c r="Q58" s="7" t="n">
        <ns0:v>3320683.614213288</ns0:v>
      </ns0:c>
    </ns0:row>
    <ns0:row r="59" ht="24" customHeight="1">
      <ns0:c r="A59" s="3" t="inlineStr">
        <ns0:is>
          <ns0:t>混在・パック30%</ns0:t>
        </ns0:is>
      </ns0:c>
      <ns0:c r="B59" s="4" t="n">
        <ns0:v>1</ns0:v>
      </ns0:c>
      <ns0:c r="C59" s="4" t="n">
        <ns0:v>0</ns0:v>
      </ns0:c>
      <ns0:c r="D59" s="6" t="n">
        <ns0:v>0.4</ns0:v>
      </ns0:c>
      <ns0:c r="E59" s="7" t="n">
        <ns0:v>5925.647230566237</ns0:v>
      </ns0:c>
      <ns0:c r="F59" s="7" t="n">
        <ns0:v>3244.340136436371</ns0:v>
      </ns0:c>
      <ns0:c r="G59" s="7" t="n">
        <ns0:v>2681.307094129867</ns0:v>
      </ns0:c>
      <ns0:c r="H59" s="7" t="n">
        <ns0:v>1297.736054574549</ns0:v>
      </ns0:c>
      <ns0:c r="I59" s="7" t="n">
        <ns0:v>21</ns0:v>
      </ns0:c>
      <ns0:c r="J59" s="7" t="n">
        <ns0:v>21</ns0:v>
      </ns0:c>
      <ns0:c r="K59" s="7" t="n">
        <ns0:v>39</ns0:v>
      </ns0:c>
      <ns0:c r="L59" s="7" t="n">
        <ns0:v>-24843.99202782446</ns0:v>
      </ns0:c>
      <ns0:c r="M59" s="7" t="n">
        <ns0:v>28700.3959624383</ns0:v>
      </ns0:c>
      <ns0:c r="N59" s="7" t="n">
        <ns0:v>84174.61635493569</ns0:v>
      </ns0:c>
      <ns0:c r="O59" s="7" t="n">
        <ns0:v>222860.1673361792</ns0:v>
      </ns0:c>
      <ns0:c r="P59" s="7" t="n">
        <ns0:v>735602.3712611534</ns0:v>
      </ns0:c>
      <ns0:c r="Q59" s="7" t="n">
        <ns0:v>2607200.084998562</ns0:v>
      </ns0:c>
    </ns0:row>
    <ns0:row r="60" ht="24" customHeight="1">
      <ns0:c r="A60" s="3" t="inlineStr">
        <ns0:is>
          <ns0:t>混在・パック30%</ns0:t>
        </ns0:is>
      </ns0:c>
      <ns0:c r="B60" s="4" t="n">
        <ns0:v>1</ns0:v>
      </ns0:c>
      <ns0:c r="C60" s="4" t="n">
        <ns0:v>0</ns0:v>
      </ns0:c>
      <ns0:c r="D60" s="6" t="n">
        <ns0:v>0.5</ns0:v>
      </ns0:c>
      <ns0:c r="E60" s="7" t="n">
        <ns0:v>5925.647230566237</ns0:v>
      </ns0:c>
      <ns0:c r="F60" s="7" t="n">
        <ns0:v>3244.340136436371</ns0:v>
      </ns0:c>
      <ns0:c r="G60" s="7" t="n">
        <ns0:v>2681.307094129867</ns0:v>
      </ns0:c>
      <ns0:c r="H60" s="7" t="n">
        <ns0:v>1622.170068218186</ns0:v>
      </ns0:c>
      <ns0:c r="I60" s="7" t="n">
        <ns0:v>23</ns0:v>
      </ns0:c>
      <ns0:c r="J60" s="7" t="n">
        <ns0:v>23</ns0:v>
      </ns0:c>
      <ns0:c r="K60" s="7" t="n">
        <ns0:v>43</ns0:v>
      </ns0:c>
      <ns0:c r="L60" s="7" t="n">
        <ns0:v>-28088.33216426083</ns0:v>
      </ns0:c>
      <ns0:c r="M60" s="7" t="n">
        <ns0:v>18967.37555312918</ns0:v>
      </ns0:c>
      <ns0:c r="N60" s="7" t="n">
        <ns0:v>67952.91567275382</ns0:v>
      </ns0:c>
      <ns0:c r="O60" s="7" t="n">
        <ns0:v>190416.7659718154</ns0:v>
      </ns0:c>
      <ns0:c r="P60" s="7" t="n">
        <ns0:v>638272.1671680622</ns0:v>
      </ns0:c>
      <ns0:c r="Q60" s="7" t="n">
        <ns0:v>2282766.071354926</ns0:v>
      </ns0:c>
    </ns0:row>
    <ns0:row r="61" ht="24" customHeight="1">
      <ns0:c r="A61" s="3" t="inlineStr">
        <ns0:is>
          <ns0:t>混在・パック50%</ns0:t>
        </ns0:is>
      </ns0:c>
      <ns0:c r="B61" s="4" t="n">
        <ns0:v>1</ns0:v>
      </ns0:c>
      <ns0:c r="C61" s="4" t="n">
        <ns0:v>0</ns0:v>
      </ns0:c>
      <ns0:c r="D61" s="6" t="n">
        <ns0:v>0.4</ns0:v>
      </ns0:c>
      <ns0:c r="E61" s="7" t="n">
        <ns0:v>6606.427989909643</ns0:v>
      </ns0:c>
      <ns0:c r="F61" s="7" t="n">
        <ns0:v>3535.422523631725</ns0:v>
      </ns0:c>
      <ns0:c r="G61" s="7" t="n">
        <ns0:v>3071.005466277918</ns0:v>
      </ns0:c>
      <ns0:c r="H61" s="7" t="n">
        <ns0:v>1414.16900945269</ns0:v>
      </ns0:c>
      <ns0:c r="I61" s="7" t="n">
        <ns0:v>19</ns0:v>
      </ns0:c>
      <ns0:c r="J61" s="7" t="n">
        <ns0:v>19</ns0:v>
      </ns0:c>
      <ns0:c r="K61" s="7" t="n">
        <ns0:v>33</ns0:v>
      </ns0:c>
      <ns0:c r="L61" s="7" t="n">
        <ns0:v>-20371.53310157648</ns0:v>
      </ns0:c>
      <ns0:c r="M61" s="7" t="n">
        <ns0:v>38470.07920566747</ns0:v>
      </ns0:c>
      <ns0:c r="N61" s="7" t="n">
        <ns0:v>100457.4217603177</ns0:v>
      </ns0:c>
      <ns0:c r="O61" s="7" t="n">
        <ns0:v>255425.7781469432</ns0:v>
      </ns0:c>
      <ns0:c r="P61" s="7" t="n">
        <ns0:v>833299.203693445</ns0:v>
      </ns0:c>
      <ns0:c r="Q61" s="7" t="n">
        <ns0:v>2932856.193106201</ns0:v>
      </ns0:c>
    </ns0:row>
    <ns0:row r="62" ht="24" customHeight="1">
      <ns0:c r="A62" s="3" t="inlineStr">
        <ns0:is>
          <ns0:t>混在・パック50%</ns0:t>
        </ns0:is>
      </ns0:c>
      <ns0:c r="B62" s="4" t="n">
        <ns0:v>1</ns0:v>
      </ns0:c>
      <ns0:c r="C62" s="4" t="n">
        <ns0:v>0</ns0:v>
      </ns0:c>
      <ns0:c r="D62" s="6" t="n">
        <ns0:v>0.5</ns0:v>
      </ns0:c>
      <ns0:c r="E62" s="7" t="n">
        <ns0:v>6606.427989909643</ns0:v>
      </ns0:c>
      <ns0:c r="F62" s="7" t="n">
        <ns0:v>3535.422523631725</ns0:v>
      </ns0:c>
      <ns0:c r="G62" s="7" t="n">
        <ns0:v>3071.005466277918</ns0:v>
      </ns0:c>
      <ns0:c r="H62" s="7" t="n">
        <ns0:v>1767.711261815863</ns0:v>
      </ns0:c>
      <ns0:c r="I62" s="7" t="n">
        <ns0:v>20</ns0:v>
      </ns0:c>
      <ns0:c r="J62" s="7" t="n">
        <ns0:v>20</ns0:v>
      </ns0:c>
      <ns0:c r="K62" s="7" t="n">
        <ns0:v>36</ns0:v>
      </ns0:c>
      <ns0:c r="L62" s="7" t="n">
        <ns0:v>-23906.9556252082</ns0:v>
      </ns0:c>
      <ns0:c r="M62" s="7" t="n">
        <ns0:v>27863.81163477229</ns0:v>
      </ns0:c>
      <ns0:c r="N62" s="7" t="n">
        <ns0:v>82780.30914215905</ns0:v>
      </ns0:c>
      <ns0:c r="O62" s="7" t="n">
        <ns0:v>220071.5529106259</ns0:v>
      </ns0:c>
      <ns0:c r="P62" s="7" t="n">
        <ns0:v>727236.5279844931</ns0:v>
      </ns0:c>
      <ns0:c r="Q62" s="7" t="n">
        <ns0:v>2579313.940743029</ns0:v>
      </ns0:c>
    </ns0:row>
    <ns0:row r="63" ht="24" customHeight="1">
      <ns0:c r="A63" s="3" t="inlineStr">
        <ns0:is>
          <ns0:t>混在・パック70%</ns0:t>
        </ns0:is>
      </ns0:c>
      <ns0:c r="B63" s="4" t="n">
        <ns0:v>1</ns0:v>
      </ns0:c>
      <ns0:c r="C63" s="4" t="n">
        <ns0:v>0</ns0:v>
      </ns0:c>
      <ns0:c r="D63" s="6" t="n">
        <ns0:v>0.4</ns0:v>
      </ns0:c>
      <ns0:c r="E63" s="7" t="n">
        <ns0:v>7287.208749253048</ns0:v>
      </ns0:c>
      <ns0:c r="F63" s="7" t="n">
        <ns0:v>3826.50491082708</ns0:v>
      </ns0:c>
      <ns0:c r="G63" s="7" t="n">
        <ns0:v>3460.703838425968</ns0:v>
      </ns0:c>
      <ns0:c r="H63" s="7" t="n">
        <ns0:v>1530.601964330832</ns0:v>
      </ns0:c>
      <ns0:c r="I63" s="7" t="n">
        <ns0:v>17</ns0:v>
      </ns0:c>
      <ns0:c r="J63" s="7" t="n">
        <ns0:v>17</ns0:v>
      </ns0:c>
      <ns0:c r="K63" s="7" t="n">
        <ns0:v>29</ns0:v>
      </ns0:c>
      <ns0:c r="L63" s="7" t="n">
        <ns0:v>-15899.07417532851</ns0:v>
      </ns0:c>
      <ns0:c r="M63" s="7" t="n">
        <ns0:v>48239.76244889666</ns0:v>
      </ns0:c>
      <ns0:c r="N63" s="7" t="n">
        <ns0:v>116740.2271656996</ns0:v>
      </ns0:c>
      <ns0:c r="O63" s="7" t="n">
        <ns0:v>287991.388957707</ns0:v>
      </ns0:c>
      <ns0:c r="P63" s="7" t="n">
        <ns0:v>930996.036125737</ns0:v>
      </ns0:c>
      <ns0:c r="Q63" s="7" t="n">
        <ns0:v>3258512.301213841</ns0:v>
      </ns0:c>
    </ns0:row>
    <ns0:row r="64" ht="24" customHeight="1">
      <ns0:c r="A64" s="3" t="inlineStr">
        <ns0:is>
          <ns0:t>混在・パック70%</ns0:t>
        </ns0:is>
      </ns0:c>
      <ns0:c r="B64" s="4" t="n">
        <ns0:v>1</ns0:v>
      </ns0:c>
      <ns0:c r="C64" s="4" t="n">
        <ns0:v>0</ns0:v>
      </ns0:c>
      <ns0:c r="D64" s="6" t="n">
        <ns0:v>0.5</ns0:v>
      </ns0:c>
      <ns0:c r="E64" s="7" t="n">
        <ns0:v>7287.208749253048</ns0:v>
      </ns0:c>
      <ns0:c r="F64" s="7" t="n">
        <ns0:v>3826.50491082708</ns0:v>
      </ns0:c>
      <ns0:c r="G64" s="7" t="n">
        <ns0:v>3460.703838425968</ns0:v>
      </ns0:c>
      <ns0:c r="H64" s="7" t="n">
        <ns0:v>1913.25245541354</ns0:v>
      </ns0:c>
      <ns0:c r="I64" s="7" t="n">
        <ns0:v>18</ns0:v>
      </ns0:c>
      <ns0:c r="J64" s="7" t="n">
        <ns0:v>18</ns0:v>
      </ns0:c>
      <ns0:c r="K64" s="7" t="n">
        <ns0:v>31</ns0:v>
      </ns0:c>
      <ns0:c r="L64" s="7" t="n">
        <ns0:v>-19725.57908615559</ns0:v>
      </ns0:c>
      <ns0:c r="M64" s="7" t="n">
        <ns0:v>36760.24771641543</ns0:v>
      </ns0:c>
      <ns0:c r="N64" s="7" t="n">
        <ns0:v>97607.70261156422</ns0:v>
      </ns0:c>
      <ns0:c r="O64" s="7" t="n">
        <ns0:v>249726.3398494362</ns0:v>
      </ns0:c>
      <ns0:c r="P64" s="7" t="n">
        <ns0:v>816200.8888009244</ns0:v>
      </ns0:c>
      <ns0:c r="Q64" s="7" t="n">
        <ns0:v>2875861.810131134</ns0:v>
      </ns0:c>
    </ns0:row>
    <ns0:row r="65" ht="24" customHeight="1">
      <ns0:c r="A65" s="3" t="inlineStr">
        <ns0:is>
          <ns0:t>Guard単独</ns0:t>
        </ns0:is>
      </ns0:c>
      <ns0:c r="B65" s="4" t="n">
        <ns0:v>1</ns0:v>
      </ns0:c>
      <ns0:c r="C65" s="4" t="n">
        <ns0:v>1</ns0:v>
      </ns0:c>
      <ns0:c r="D65" s="6" t="n">
        <ns0:v>0.4</ns0:v>
      </ns0:c>
      <ns0:c r="E65" s="7" t="n">
        <ns0:v>6754.189944134077</ns0:v>
      </ns0:c>
      <ns0:c r="F65" s="7" t="n">
        <ns0:v>3910.614525139664</ns0:v>
      </ns0:c>
      <ns0:c r="G65" s="7" t="n">
        <ns0:v>2843.575418994413</ns0:v>
      </ns0:c>
      <ns0:c r="H65" s="7" t="n">
        <ns0:v>1564.245810055865</ns0:v>
      </ns0:c>
      <ns0:c r="I65" s="7" t="n">
        <ns0:v>8</ns0:v>
      </ns0:c>
      <ns0:c r="J65" s="7" t="n">
        <ns0:v>8</ns0:v>
      </ns0:c>
      <ns0:c r="K65" s="7" t="n">
        <ns0:v>8</ns0:v>
      </ns0:c>
      <ns0:c r="L65" s="7" t="n">
        <ns0:v>10346.51769087522</ns0:v>
      </ns0:c>
      <ns0:c r="M65" s="7" t="n">
        <ns0:v>65983.12849162007</ns0:v>
      </ns0:c>
      <ns0:c r="N65" s="7" t="n">
        <ns0:v>123305.2141527002</ns0:v>
      </ns0:c>
      <ns0:c r="O65" s="7" t="n">
        <ns0:v>266610.4283054004</ns0:v>
      </ns0:c>
      <ns0:c r="P65" s="7" t="n">
        <ns0:v>819831.2849162007</ns0:v>
      </ns0:c>
      <ns0:c r="Q65" s="7" t="n">
        <ns0:v>2786104.283054003</ns0:v>
      </ns0:c>
    </ns0:row>
    <ns0:row r="66" ht="24" customHeight="1">
      <ns0:c r="A66" s="3" t="inlineStr">
        <ns0:is>
          <ns0:t>Guard単独</ns0:t>
        </ns0:is>
      </ns0:c>
      <ns0:c r="B66" s="4" t="n">
        <ns0:v>1</ns0:v>
      </ns0:c>
      <ns0:c r="C66" s="4" t="n">
        <ns0:v>1</ns0:v>
      </ns0:c>
      <ns0:c r="D66" s="6" t="n">
        <ns0:v>0.5</ns0:v>
      </ns0:c>
      <ns0:c r="E66" s="7" t="n">
        <ns0:v>6754.189944134077</ns0:v>
      </ns0:c>
      <ns0:c r="F66" s="7" t="n">
        <ns0:v>3910.614525139664</ns0:v>
      </ns0:c>
      <ns0:c r="G66" s="7" t="n">
        <ns0:v>2843.575418994413</ns0:v>
      </ns0:c>
      <ns0:c r="H66" s="7" t="n">
        <ns0:v>1955.307262569832</ns0:v>
      </ns0:c>
      <ns0:c r="I66" s="7" t="n">
        <ns0:v>9</ns0:v>
      </ns0:c>
      <ns0:c r="J66" s="7" t="n">
        <ns0:v>9</ns0:v>
      </ns0:c>
      <ns0:c r="K66" s="7" t="n">
        <ns0:v>9</ns0:v>
      </ns0:c>
      <ns0:c r="L66" s="7" t="n">
        <ns0:v>6435.903165735552</ns0:v>
      </ns0:c>
      <ns0:c r="M66" s="7" t="n">
        <ns0:v>54251.28491620109</ns0:v>
      </ns0:c>
      <ns0:c r="N66" s="7" t="n">
        <ns0:v>103752.1415270019</ns0:v>
      </ns0:c>
      <ns0:c r="O66" s="7" t="n">
        <ns0:v>227504.2830540038</ns0:v>
      </ns0:c>
      <ns0:c r="P66" s="7" t="n">
        <ns0:v>702512.8491620107</ns0:v>
      </ns0:c>
      <ns0:c r="Q66" s="7" t="n">
        <ns0:v>2395042.830540037</ns0:v>
      </ns0:c>
    </ns0:row>
    <ns0:row r="67" ht="24" customHeight="1">
      <ns0:c r="A67" s="3" t="inlineStr">
        <ns0:is>
          <ns0:t>Send単独</ns0:t>
        </ns0:is>
      </ns0:c>
      <ns0:c r="B67" s="4" t="n">
        <ns0:v>1</ns0:v>
      </ns0:c>
      <ns0:c r="C67" s="4" t="n">
        <ns0:v>1</ns0:v>
      </ns0:c>
      <ns0:c r="D67" s="6" t="n">
        <ns0:v>0.4</ns0:v>
      </ns0:c>
      <ns0:c r="E67" s="7" t="n">
        <ns0:v>2438.19095477387</ns0:v>
      </ns0:c>
      <ns0:c r="F67" s="7" t="n">
        <ns0:v>1337.185929648241</ns0:v>
      </ns0:c>
      <ns0:c r="G67" s="7" t="n">
        <ns0:v>1101.005025125628</ns0:v>
      </ns0:c>
      <ns0:c r="H67" s="7" t="n">
        <ns0:v>534.8743718592966</ns0:v>
      </ns0:c>
      <ns0:c r="I67" s="7" t="n">
        <ns0:v>32</ns0:v>
      </ns0:c>
      <ns0:c r="J67" s="7" t="n">
        <ns0:v>32</ns0:v>
      </ns0:c>
      <ns0:c r="K67" s="7" t="n">
        <ns0:v>32</ns0:v>
      </ns0:c>
      <ns0:c r="L67" s="7" t="n">
        <ns0:v>-19144.25241442508</ns0:v>
      </ns0:c>
      <ns0:c r="M67" s="7" t="n">
        <ns0:v>-1910.887990659645</ns0:v>
      </ns0:c>
      <ns0:c r="N67" s="7" t="n">
        <ns0:v>19822.4764331058</ns0:v>
      </ns0:c>
      <ns0:c r="O67" s="7" t="n">
        <ns0:v>74155.8874925194</ns0:v>
      </ns0:c>
      <ns0:c r="P67" s="7" t="n">
        <ns0:v>269489.5317301737</ns0:v>
      </ns0:c>
      <ns0:c r="Q67" s="7" t="n">
        <ns0:v>1000157.286561964</ns0:v>
      </ns0:c>
    </ns0:row>
    <ns0:row r="68" ht="24" customHeight="1">
      <ns0:c r="A68" s="3" t="inlineStr">
        <ns0:is>
          <ns0:t>Send単独</ns0:t>
        </ns0:is>
      </ns0:c>
      <ns0:c r="B68" s="4" t="n">
        <ns0:v>1</ns0:v>
      </ns0:c>
      <ns0:c r="C68" s="4" t="n">
        <ns0:v>1</ns0:v>
      </ns0:c>
      <ns0:c r="D68" s="6" t="n">
        <ns0:v>0.5</ns0:v>
      </ns0:c>
      <ns0:c r="E68" s="7" t="n">
        <ns0:v>2438.19095477387</ns0:v>
      </ns0:c>
      <ns0:c r="F68" s="7" t="n">
        <ns0:v>1337.185929648241</ns0:v>
      </ns0:c>
      <ns0:c r="G68" s="7" t="n">
        <ns0:v>1101.005025125628</ns0:v>
      </ns0:c>
      <ns0:c r="H68" s="7" t="n">
        <ns0:v>668.5929648241207</ns0:v>
      </ns0:c>
      <ns0:c r="I68" s="7" t="n">
        <ns0:v>37</ns0:v>
      </ns0:c>
      <ns0:c r="J68" s="7" t="n">
        <ns0:v>37</ns0:v>
      </ns0:c>
      <ns0:c r="K68" s="7" t="n">
        <ns0:v>37</ns0:v>
      </ns0:c>
      <ns0:c r="L68" s="7" t="n">
        <ns0:v>-20481.43834407332</ns0:v>
      </ns0:c>
      <ns0:c r="M68" s="7" t="n">
        <ns0:v>-5922.445779604361</ns0:v>
      </ns0:c>
      <ns0:c r="N68" s="7" t="n">
        <ns0:v>13136.54678486459</ns0:v>
      </ns0:c>
      <ns0:c r="O68" s="7" t="n">
        <ns0:v>60784.02819603697</ns0:v>
      </ns0:c>
      <ns0:c r="P68" s="7" t="n">
        <ns0:v>229373.9538407265</ns0:v>
      </ns0:c>
      <ns0:c r="Q68" s="7" t="n">
        <ns0:v>866438.6935971398</ns0:v>
      </ns0:c>
    </ns0:row>
    <ns0:row r="69" ht="24" customHeight="1">
      <ns0:c r="A69" s="3" t="inlineStr">
        <ns0:is>
          <ns0:t>パック単独</ns0:t>
        </ns0:is>
      </ns0:c>
      <ns0:c r="B69" s="4" t="n">
        <ns0:v>1</ns0:v>
      </ns0:c>
      <ns0:c r="C69" s="4" t="n">
        <ns0:v>1</ns0:v>
      </ns0:c>
      <ns0:c r="D69" s="6" t="n">
        <ns0:v>0.4</ns0:v>
      </ns0:c>
      <ns0:c r="E69" s="7" t="n">
        <ns0:v>8308.379888268155</ns0:v>
      </ns0:c>
      <ns0:c r="F69" s="7" t="n">
        <ns0:v>4263.128491620111</ns0:v>
      </ns0:c>
      <ns0:c r="G69" s="7" t="n">
        <ns0:v>4045.251396648044</ns0:v>
      </ns0:c>
      <ns0:c r="H69" s="7" t="n">
        <ns0:v>1705.251396648044</ns0:v>
      </ns0:c>
      <ns0:c r="I69" s="7" t="n">
        <ns0:v>16</ns0:v>
      </ns0:c>
      <ns0:c r="J69" s="7" t="n">
        <ns0:v>16</ns0:v>
      </ns0:c>
      <ns0:c r="K69" s="7" t="n">
        <ns0:v>34</ns0:v>
      </ns0:c>
      <ns0:c r="L69" s="7" t="n">
        <ns0:v>-13513.8919909606</ns0:v>
      </ns0:c>
      <ns0:c r="M69" s="7" t="n">
        <ns0:v>49923.76869872821</ns0:v>
      </ns0:c>
      <ns0:c r="N69" s="7" t="n">
        <ns0:v>119546.9042487522</ns0:v>
      </ns0:c>
      <ns0:c r="O69" s="7" t="n">
        <ns0:v>293604.7431238123</ns0:v>
      </ns0:c>
      <ns0:c r="P69" s="7" t="n">
        <ns0:v>947836.098624052</ns0:v>
      </ns0:c>
      <ns0:c r="Q69" s="7" t="n">
        <ns0:v>3314645.842874893</ns0:v>
      </ns0:c>
    </ns0:row>
    <ns0:row r="70" ht="24" customHeight="1">
      <ns0:c r="A70" s="3" t="inlineStr">
        <ns0:is>
          <ns0:t>パック単独</ns0:t>
        </ns0:is>
      </ns0:c>
      <ns0:c r="B70" s="4" t="n">
        <ns0:v>1</ns0:v>
      </ns0:c>
      <ns0:c r="C70" s="4" t="n">
        <ns0:v>1</ns0:v>
      </ns0:c>
      <ns0:c r="D70" s="6" t="n">
        <ns0:v>0.5</ns0:v>
      </ns0:c>
      <ns0:c r="E70" s="7" t="n">
        <ns0:v>8308.379888268155</ns0:v>
      </ns0:c>
      <ns0:c r="F70" s="7" t="n">
        <ns0:v>4263.128491620111</ns0:v>
      </ns0:c>
      <ns0:c r="G70" s="7" t="n">
        <ns0:v>4045.251396648044</ns0:v>
      </ns0:c>
      <ns0:c r="H70" s="7" t="n">
        <ns0:v>2131.564245810056</ns0:v>
      </ns0:c>
      <ns0:c r="I70" s="7" t="n">
        <ns0:v>18</ns0:v>
      </ns0:c>
      <ns0:c r="J70" s="7" t="n">
        <ns0:v>18</ns0:v>
      </ns0:c>
      <ns0:c r="K70" s="7" t="n">
        <ns0:v>38</ns0:v>
      </ns0:c>
      <ns0:c r="L70" s="7" t="n">
        <ns0:v>-17777.02048258072</ns0:v>
      </ns0:c>
      <ns0:c r="M70" s="7" t="n">
        <ns0:v>37134.38322386787</ns0:v>
      </ns0:c>
      <ns0:c r="N70" s="7" t="n">
        <ns0:v>98231.26179065168</ns0:v>
      </ns0:c>
      <ns0:c r="O70" s="7" t="n">
        <ns0:v>250973.4582076111</ns0:v>
      </ns0:c>
      <ns0:c r="P70" s="7" t="n">
        <ns0:v>819942.2438754488</ns0:v>
      </ns0:c>
      <ns0:c r="Q70" s="7" t="n">
        <ns0:v>2888332.993712881</ns0:v>
      </ns0:c>
    </ns0:row>
    <ns0:row r="71" ht="24" customHeight="1">
      <ns0:c r="A71" s="3" t="inlineStr">
        <ns0:is>
          <ns0:t>混在・パック30%</ns0:t>
        </ns0:is>
      </ns0:c>
      <ns0:c r="B71" s="4" t="n">
        <ns0:v>1</ns0:v>
      </ns0:c>
      <ns0:c r="C71" s="4" t="n">
        <ns0:v>1</ns0:v>
      </ns0:c>
      <ns0:c r="D71" s="6" t="n">
        <ns0:v>0.4</ns0:v>
      </ns0:c>
      <ns0:c r="E71" s="7" t="n">
        <ns0:v>5925.647230566237</ns0:v>
      </ns0:c>
      <ns0:c r="F71" s="7" t="n">
        <ns0:v>3244.340136436371</ns0:v>
      </ns0:c>
      <ns0:c r="G71" s="7" t="n">
        <ns0:v>2681.307094129867</ns0:v>
      </ns0:c>
      <ns0:c r="H71" s="7" t="n">
        <ns0:v>1297.736054574549</ns0:v>
      </ns0:c>
      <ns0:c r="I71" s="7" t="n">
        <ns0:v>22</ns0:v>
      </ns0:c>
      <ns0:c r="J71" s="7" t="n">
        <ns0:v>22</ns0:v>
      </ns0:c>
      <ns0:c r="K71" s="7" t="n">
        <ns0:v>55</ns0:v>
      </ns0:c>
      <ns0:c r="L71" s="7" t="n">
        <ns0:v>-27413.21009578873</ns0:v>
      </ns0:c>
      <ns0:c r="M71" s="7" t="n">
        <ns0:v>20992.74175854548</ns0:v>
      </ns0:c>
      <ns0:c r="N71" s="7" t="n">
        <ns0:v>71328.52601511433</ns0:v>
      </ns0:c>
      <ns0:c r="O71" s="7" t="n">
        <ns0:v>197167.9866565365</ns0:v>
      </ns0:c>
      <ns0:c r="P71" s="7" t="n">
        <ns0:v>658525.8292222251</ns0:v>
      </ns0:c>
      <ns0:c r="Q71" s="7" t="n">
        <ns0:v>2350278.278202135</ns0:v>
      </ns0:c>
    </ns0:row>
    <ns0:row r="72" ht="24" customHeight="1">
      <ns0:c r="A72" s="3" t="inlineStr">
        <ns0:is>
          <ns0:t>混在・パック30%</ns0:t>
        </ns0:is>
      </ns0:c>
      <ns0:c r="B72" s="4" t="n">
        <ns0:v>1</ns0:v>
      </ns0:c>
      <ns0:c r="C72" s="4" t="n">
        <ns0:v>1</ns0:v>
      </ns0:c>
      <ns0:c r="D72" s="6" t="n">
        <ns0:v>0.5</ns0:v>
      </ns0:c>
      <ns0:c r="E72" s="7" t="n">
        <ns0:v>5925.647230566237</ns0:v>
      </ns0:c>
      <ns0:c r="F72" s="7" t="n">
        <ns0:v>3244.340136436371</ns0:v>
      </ns0:c>
      <ns0:c r="G72" s="7" t="n">
        <ns0:v>2681.307094129867</ns0:v>
      </ns0:c>
      <ns0:c r="H72" s="7" t="n">
        <ns0:v>1622.170068218186</ns0:v>
      </ns0:c>
      <ns0:c r="I72" s="7" t="n">
        <ns0:v>25</ns0:v>
      </ns0:c>
      <ns0:c r="J72" s="7" t="n">
        <ns0:v>25</ns0:v>
      </ns0:c>
      <ns0:c r="K72" s="7" t="n">
        <ns0:v>62</ns0:v>
      </ns0:c>
      <ns0:c r="L72" s="7" t="n">
        <ns0:v>-30657.5502322251</ns0:v>
      </ns0:c>
      <ns0:c r="M72" s="7" t="n">
        <ns0:v>11259.72134923637</ns0:v>
      </ns0:c>
      <ns0:c r="N72" s="7" t="n">
        <ns0:v>55106.82533293245</ns0:v>
      </ns0:c>
      <ns0:c r="O72" s="7" t="n">
        <ns0:v>164724.5852921727</ns0:v>
      </ns0:c>
      <ns0:c r="P72" s="7" t="n">
        <ns0:v>561195.625129134</ns0:v>
      </ns0:c>
      <ns0:c r="Q72" s="7" t="n">
        <ns0:v>2025844.264558498</ns0:v>
      </ns0:c>
    </ns0:row>
    <ns0:row r="73" ht="24" customHeight="1">
      <ns0:c r="A73" s="3" t="inlineStr">
        <ns0:is>
          <ns0:t>混在・パック50%</ns0:t>
        </ns0:is>
      </ns0:c>
      <ns0:c r="B73" s="4" t="n">
        <ns0:v>1</ns0:v>
      </ns0:c>
      <ns0:c r="C73" s="4" t="n">
        <ns0:v>1</ns0:v>
      </ns0:c>
      <ns0:c r="D73" s="6" t="n">
        <ns0:v>0.4</ns0:v>
      </ns0:c>
      <ns0:c r="E73" s="7" t="n">
        <ns0:v>6606.427989909643</ns0:v>
      </ns0:c>
      <ns0:c r="F73" s="7" t="n">
        <ns0:v>3535.422523631725</ns0:v>
      </ns0:c>
      <ns0:c r="G73" s="7" t="n">
        <ns0:v>3071.005466277918</ns0:v>
      </ns0:c>
      <ns0:c r="H73" s="7" t="n">
        <ns0:v>1414.16900945269</ns0:v>
      </ns0:c>
      <ns0:c r="I73" s="7" t="n">
        <ns0:v>20</ns0:v>
      </ns0:c>
      <ns0:c r="J73" s="7" t="n">
        <ns0:v>20</ns0:v>
      </ns0:c>
      <ns0:c r="K73" s="7" t="n">
        <ns0:v>46</ns0:v>
      </ns0:c>
      <ns0:c r="L73" s="7" t="n">
        <ns0:v>-23441.97635155212</ns0:v>
      </ns0:c>
      <ns0:c r="M73" s="7" t="n">
        <ns0:v>29258.74945574053</ns0:v>
      </ns0:c>
      <ns0:c r="N73" s="7" t="n">
        <ns0:v>85105.20551043947</ns0:v>
      </ns0:c>
      <ns0:c r="O73" s="7" t="n">
        <ns0:v>224721.3456471867</ns0:v>
      </ns0:c>
      <ns0:c r="P73" s="7" t="n">
        <ns0:v>741185.9061941756</ns0:v>
      </ns0:c>
      <ns0:c r="Q73" s="7" t="n">
        <ns0:v>2625811.868108638</ns0:v>
      </ns0:c>
    </ns0:row>
    <ns0:row r="74" ht="24" customHeight="1">
      <ns0:c r="A74" s="3" t="inlineStr">
        <ns0:is>
          <ns0:t>混在・パック50%</ns0:t>
        </ns0:is>
      </ns0:c>
      <ns0:c r="B74" s="4" t="n">
        <ns0:v>1</ns0:v>
      </ns0:c>
      <ns0:c r="C74" s="4" t="n">
        <ns0:v>1</ns0:v>
      </ns0:c>
      <ns0:c r="D74" s="6" t="n">
        <ns0:v>0.5</ns0:v>
      </ns0:c>
      <ns0:c r="E74" s="7" t="n">
        <ns0:v>6606.427989909643</ns0:v>
      </ns0:c>
      <ns0:c r="F74" s="7" t="n">
        <ns0:v>3535.422523631725</ns0:v>
      </ns0:c>
      <ns0:c r="G74" s="7" t="n">
        <ns0:v>3071.005466277918</ns0:v>
      </ns0:c>
      <ns0:c r="H74" s="7" t="n">
        <ns0:v>1767.711261815863</ns0:v>
      </ns0:c>
      <ns0:c r="I74" s="7" t="n">
        <ns0:v>23</ns0:v>
      </ns0:c>
      <ns0:c r="J74" s="7" t="n">
        <ns0:v>23</ns0:v>
      </ns0:c>
      <ns0:c r="K74" s="7" t="n">
        <ns0:v>52</ns0:v>
      </ns0:c>
      <ns0:c r="L74" s="7" t="n">
        <ns0:v>-26977.39887518385</ns0:v>
      </ns0:c>
      <ns0:c r="M74" s="7" t="n">
        <ns0:v>18652.48188484536</ns0:v>
      </ns0:c>
      <ns0:c r="N74" s="7" t="n">
        <ns0:v>67428.09289228084</ns0:v>
      </ns0:c>
      <ns0:c r="O74" s="7" t="n">
        <ns0:v>189367.1204108695</ns0:v>
      </ns0:c>
      <ns0:c r="P74" s="7" t="n">
        <ns0:v>635123.2304852238</ns0:v>
      </ns0:c>
      <ns0:c r="Q74" s="7" t="n">
        <ns0:v>2272269.615745465</ns0:v>
      </ns0:c>
    </ns0:row>
    <ns0:row r="75" ht="24" customHeight="1">
      <ns0:c r="A75" s="3" t="inlineStr">
        <ns0:is>
          <ns0:t>混在・パック70%</ns0:t>
        </ns0:is>
      </ns0:c>
      <ns0:c r="B75" s="4" t="n">
        <ns0:v>1</ns0:v>
      </ns0:c>
      <ns0:c r="C75" s="4" t="n">
        <ns0:v>1</ns0:v>
      </ns0:c>
      <ns0:c r="D75" s="6" t="n">
        <ns0:v>0.4</ns0:v>
      </ns0:c>
      <ns0:c r="E75" s="7" t="n">
        <ns0:v>7287.208749253048</ns0:v>
      </ns0:c>
      <ns0:c r="F75" s="7" t="n">
        <ns0:v>3826.50491082708</ns0:v>
      </ns0:c>
      <ns0:c r="G75" s="7" t="n">
        <ns0:v>3460.703838425968</ns0:v>
      </ns0:c>
      <ns0:c r="H75" s="7" t="n">
        <ns0:v>1530.601964330832</ns0:v>
      </ns0:c>
      <ns0:c r="I75" s="7" t="n">
        <ns0:v>18</ns0:v>
      </ns0:c>
      <ns0:c r="J75" s="7" t="n">
        <ns0:v>18</ns0:v>
      </ns0:c>
      <ns0:c r="K75" s="7" t="n">
        <ns0:v>40</ns0:v>
      </ns0:c>
      <ns0:c r="L75" s="7" t="n">
        <ns0:v>-19470.74260731552</ns0:v>
      </ns0:c>
      <ns0:c r="M75" s="7" t="n">
        <ns0:v>37524.75715293561</ns0:v>
      </ns0:c>
      <ns0:c r="N75" s="7" t="n">
        <ns0:v>98881.88500576453</ns0:v>
      </ns0:c>
      <ns0:c r="O75" s="7" t="n">
        <ns0:v>252274.7046378369</ns0:v>
      </ns0:c>
      <ns0:c r="P75" s="7" t="n">
        <ns0:v>823845.9831661267</ns0:v>
      </ns0:c>
      <ns0:c r="Q75" s="7" t="n">
        <ns0:v>2901345.458015139</ns0:v>
      </ns0:c>
    </ns0:row>
    <ns0:row r="76" ht="24" customHeight="1">
      <ns0:c r="A76" s="3" t="inlineStr">
        <ns0:is>
          <ns0:t>混在・パック70%</ns0:t>
        </ns0:is>
      </ns0:c>
      <ns0:c r="B76" s="4" t="n">
        <ns0:v>1</ns0:v>
      </ns0:c>
      <ns0:c r="C76" s="4" t="n">
        <ns0:v>1</ns0:v>
      </ns0:c>
      <ns0:c r="D76" s="6" t="n">
        <ns0:v>0.5</ns0:v>
      </ns0:c>
      <ns0:c r="E76" s="7" t="n">
        <ns0:v>7287.208749253048</ns0:v>
      </ns0:c>
      <ns0:c r="F76" s="7" t="n">
        <ns0:v>3826.50491082708</ns0:v>
      </ns0:c>
      <ns0:c r="G76" s="7" t="n">
        <ns0:v>3460.703838425968</ns0:v>
      </ns0:c>
      <ns0:c r="H76" s="7" t="n">
        <ns0:v>1913.25245541354</ns0:v>
      </ns0:c>
      <ns0:c r="I76" s="7" t="n">
        <ns0:v>21</ns0:v>
      </ns0:c>
      <ns0:c r="J76" s="7" t="n">
        <ns0:v>21</ns0:v>
      </ns0:c>
      <ns0:c r="K76" s="7" t="n">
        <ns0:v>45</ns0:v>
      </ns0:c>
      <ns0:c r="L76" s="7" t="n">
        <ns0:v>-23297.24751814261</ns0:v>
      </ns0:c>
      <ns0:c r="M76" s="7" t="n">
        <ns0:v>26045.24242045438</ns0:v>
      </ns0:c>
      <ns0:c r="N76" s="7" t="n">
        <ns0:v>79749.36045162915</ns0:v>
      </ns0:c>
      <ns0:c r="O76" s="7" t="n">
        <ns0:v>214009.6555295661</ns0:v>
      </ns0:c>
      <ns0:c r="P76" s="7" t="n">
        <ns0:v>709050.8358413141</ns0:v>
      </ns0:c>
      <ns0:c r="Q76" s="7" t="n">
        <ns0:v>2518694.966932432</ns0:v>
      </ns0:c>
    </ns0:row>
    <ns0:row r="77" ht="24" customHeight="1">
      <ns0:c r="A77" s="3" t="inlineStr">
        <ns0:is>
          <ns0:t>Guard単独</ns0:t>
        </ns0:is>
      </ns0:c>
      <ns0:c r="B77" s="4" t="n">
        <ns0:v>1</ns0:v>
      </ns0:c>
      <ns0:c r="C77" s="4" t="n">
        <ns0:v>2</ns0:v>
      </ns0:c>
      <ns0:c r="D77" s="6" t="n">
        <ns0:v>0.4</ns0:v>
      </ns0:c>
      <ns0:c r="E77" s="7" t="n">
        <ns0:v>6754.189944134077</ns0:v>
      </ns0:c>
      <ns0:c r="F77" s="7" t="n">
        <ns0:v>3910.614525139664</ns0:v>
      </ns0:c>
      <ns0:c r="G77" s="7" t="n">
        <ns0:v>2843.575418994413</ns0:v>
      </ns0:c>
      <ns0:c r="H77" s="7" t="n">
        <ns0:v>1564.245810055865</ns0:v>
      </ns0:c>
      <ns0:c r="I77" s="7" t="n">
        <ns0:v>8</ns0:v>
      </ns0:c>
      <ns0:c r="J77" s="7" t="n">
        <ns0:v>8</ns0:v>
      </ns0:c>
      <ns0:c r="K77" s="7" t="n">
        <ns0:v>8</ns0:v>
      </ns0:c>
      <ns0:c r="L77" s="7" t="n">
        <ns0:v>10346.51769087522</ns0:v>
      </ns0:c>
      <ns0:c r="M77" s="7" t="n">
        <ns0:v>65983.12849162007</ns0:v>
      </ns0:c>
      <ns0:c r="N77" s="7" t="n">
        <ns0:v>123305.2141527002</ns0:v>
      </ns0:c>
      <ns0:c r="O77" s="7" t="n">
        <ns0:v>266610.4283054004</ns0:v>
      </ns0:c>
      <ns0:c r="P77" s="7" t="n">
        <ns0:v>819831.2849162007</ns0:v>
      </ns0:c>
      <ns0:c r="Q77" s="7" t="n">
        <ns0:v>2786104.283054003</ns0:v>
      </ns0:c>
    </ns0:row>
    <ns0:row r="78" ht="24" customHeight="1">
      <ns0:c r="A78" s="3" t="inlineStr">
        <ns0:is>
          <ns0:t>Guard単独</ns0:t>
        </ns0:is>
      </ns0:c>
      <ns0:c r="B78" s="4" t="n">
        <ns0:v>1</ns0:v>
      </ns0:c>
      <ns0:c r="C78" s="4" t="n">
        <ns0:v>2</ns0:v>
      </ns0:c>
      <ns0:c r="D78" s="6" t="n">
        <ns0:v>0.5</ns0:v>
      </ns0:c>
      <ns0:c r="E78" s="7" t="n">
        <ns0:v>6754.189944134077</ns0:v>
      </ns0:c>
      <ns0:c r="F78" s="7" t="n">
        <ns0:v>3910.614525139664</ns0:v>
      </ns0:c>
      <ns0:c r="G78" s="7" t="n">
        <ns0:v>2843.575418994413</ns0:v>
      </ns0:c>
      <ns0:c r="H78" s="7" t="n">
        <ns0:v>1955.307262569832</ns0:v>
      </ns0:c>
      <ns0:c r="I78" s="7" t="n">
        <ns0:v>9</ns0:v>
      </ns0:c>
      <ns0:c r="J78" s="7" t="n">
        <ns0:v>9</ns0:v>
      </ns0:c>
      <ns0:c r="K78" s="7" t="n">
        <ns0:v>9</ns0:v>
      </ns0:c>
      <ns0:c r="L78" s="7" t="n">
        <ns0:v>6435.903165735552</ns0:v>
      </ns0:c>
      <ns0:c r="M78" s="7" t="n">
        <ns0:v>54251.28491620109</ns0:v>
      </ns0:c>
      <ns0:c r="N78" s="7" t="n">
        <ns0:v>103752.1415270019</ns0:v>
      </ns0:c>
      <ns0:c r="O78" s="7" t="n">
        <ns0:v>227504.2830540038</ns0:v>
      </ns0:c>
      <ns0:c r="P78" s="7" t="n">
        <ns0:v>702512.8491620107</ns0:v>
      </ns0:c>
      <ns0:c r="Q78" s="7" t="n">
        <ns0:v>2395042.830540037</ns0:v>
      </ns0:c>
    </ns0:row>
    <ns0:row r="79" ht="24" customHeight="1">
      <ns0:c r="A79" s="3" t="inlineStr">
        <ns0:is>
          <ns0:t>Send単独</ns0:t>
        </ns0:is>
      </ns0:c>
      <ns0:c r="B79" s="4" t="n">
        <ns0:v>1</ns0:v>
      </ns0:c>
      <ns0:c r="C79" s="4" t="n">
        <ns0:v>2</ns0:v>
      </ns0:c>
      <ns0:c r="D79" s="6" t="n">
        <ns0:v>0.4</ns0:v>
      </ns0:c>
      <ns0:c r="E79" s="7" t="n">
        <ns0:v>2438.19095477387</ns0:v>
      </ns0:c>
      <ns0:c r="F79" s="7" t="n">
        <ns0:v>1337.185929648241</ns0:v>
      </ns0:c>
      <ns0:c r="G79" s="7" t="n">
        <ns0:v>1101.005025125628</ns0:v>
      </ns0:c>
      <ns0:c r="H79" s="7" t="n">
        <ns0:v>534.8743718592966</ns0:v>
      </ns0:c>
      <ns0:c r="I79" s="18" t="inlineStr">
        <ns0:is>
          <ns0:t>範囲内なし</ns0:t>
        </ns0:is>
      </ns0:c>
      <ns0:c r="J79" s="18" t="inlineStr">
        <ns0:is>
          <ns0:t>範囲内なし</ns0:t>
        </ns0:is>
      </ns0:c>
      <ns0:c r="K79" s="18" t="inlineStr">
        <ns0:is>
          <ns0:t>範囲内なし</ns0:t>
        </ns0:is>
      </ns0:c>
      <ns0:c r="L79" s="7" t="n">
        <ns0:v>-53333.34355532211</ns0:v>
      </ns0:c>
      <ns0:c r="M79" s="7" t="n">
        <ns0:v>-104478.1614133507</ns0:v>
      </ns0:c>
      <ns0:c r="N79" s="7" t="n">
        <ns0:v>-151122.9792713794</ns0:v>
      </ns0:c>
      <ns0:c r="O79" s="7" t="n">
        <ns0:v>-267735.0239164509</ns0:v>
      </ns0:c>
      <ns0:c r="P79" s="7" t="n">
        <ns0:v>-756183.2024967372</ns0:v>
      </ns0:c>
      <ns0:c r="Q79" s="7" t="n">
        <ns0:v>-2418751.82752774</ns0:v>
      </ns0:c>
    </ns0:row>
    <ns0:row r="80" ht="24" customHeight="1">
      <ns0:c r="A80" s="3" t="inlineStr">
        <ns0:is>
          <ns0:t>Send単独</ns0:t>
        </ns0:is>
      </ns0:c>
      <ns0:c r="B80" s="4" t="n">
        <ns0:v>1</ns0:v>
      </ns0:c>
      <ns0:c r="C80" s="4" t="n">
        <ns0:v>2</ns0:v>
      </ns0:c>
      <ns0:c r="D80" s="6" t="n">
        <ns0:v>0.5</ns0:v>
      </ns0:c>
      <ns0:c r="E80" s="7" t="n">
        <ns0:v>2438.19095477387</ns0:v>
      </ns0:c>
      <ns0:c r="F80" s="7" t="n">
        <ns0:v>1337.185929648241</ns0:v>
      </ns0:c>
      <ns0:c r="G80" s="7" t="n">
        <ns0:v>1101.005025125628</ns0:v>
      </ns0:c>
      <ns0:c r="H80" s="7" t="n">
        <ns0:v>668.5929648241207</ns0:v>
      </ns0:c>
      <ns0:c r="I80" s="18" t="inlineStr">
        <ns0:is>
          <ns0:t>範囲内なし</ns0:t>
        </ns0:is>
      </ns0:c>
      <ns0:c r="J80" s="18" t="inlineStr">
        <ns0:is>
          <ns0:t>範囲内なし</ns0:t>
        </ns0:is>
      </ns0:c>
      <ns0:c r="K80" s="18" t="inlineStr">
        <ns0:is>
          <ns0:t>範囲内なし</ns0:t>
        </ns0:is>
      </ns0:c>
      <ns0:c r="L80" s="7" t="n">
        <ns0:v>-54670.52948497035</ns0:v>
      </ns0:c>
      <ns0:c r="M80" s="7" t="n">
        <ns0:v>-108489.7192022954</ns0:v>
      </ns0:c>
      <ns0:c r="N80" s="7" t="n">
        <ns0:v>-157808.9089196206</ns0:v>
      </ns0:c>
      <ns0:c r="O80" s="7" t="n">
        <ns0:v>-281106.8832129333</ns0:v>
      </ns0:c>
      <ns0:c r="P80" s="7" t="n">
        <ns0:v>-796298.7803861843</ns0:v>
      </ns0:c>
      <ns0:c r="Q80" s="7" t="n">
        <ns0:v>-2552470.420492564</ns0:v>
      </ns0:c>
    </ns0:row>
    <ns0:row r="81" ht="24" customHeight="1">
      <ns0:c r="A81" s="3" t="inlineStr">
        <ns0:is>
          <ns0:t>パック単独</ns0:t>
        </ns0:is>
      </ns0:c>
      <ns0:c r="B81" s="4" t="n">
        <ns0:v>1</ns0:v>
      </ns0:c>
      <ns0:c r="C81" s="4" t="n">
        <ns0:v>2</ns0:v>
      </ns0:c>
      <ns0:c r="D81" s="6" t="n">
        <ns0:v>0.4</ns0:v>
      </ns0:c>
      <ns0:c r="E81" s="7" t="n">
        <ns0:v>8308.379888268155</ns0:v>
      </ns0:c>
      <ns0:c r="F81" s="7" t="n">
        <ns0:v>4263.128491620111</ns0:v>
      </ns0:c>
      <ns0:c r="G81" s="7" t="n">
        <ns0:v>4045.251396648044</ns0:v>
      </ns0:c>
      <ns0:c r="H81" s="7" t="n">
        <ns0:v>1705.251396648044</ns0:v>
      </ns0:c>
      <ns0:c r="I81" s="18" t="inlineStr">
        <ns0:is>
          <ns0:t>範囲内なし</ns0:t>
        </ns0:is>
      </ns0:c>
      <ns0:c r="J81" s="18" t="inlineStr">
        <ns0:is>
          <ns0:t>範囲内なし</ns0:t>
        </ns0:is>
      </ns0:c>
      <ns0:c r="K81" s="18" t="inlineStr">
        <ns0:is>
          <ns0:t>範囲内なし</ns0:t>
        </ns0:is>
      </ns0:c>
      <ns0:c r="L81" s="7" t="n">
        <ns0:v>-50097.59595453386</ns0:v>
      </ns0:c>
      <ns0:c r="M81" s="7" t="n">
        <ns0:v>-59827.34319199158</ns0:v>
      </ns0:c>
      <ns0:c r="N81" s="7" t="n">
        <ns0:v>-63371.61556911406</ns0:v>
      </ns0:c>
      <ns0:c r="O81" s="7" t="n">
        <ns0:v>-72232.29651192031</ns0:v>
      </ns0:c>
      <ns0:c r="P81" s="7" t="n">
        <ns0:v>-149675.0202831458</ns0:v>
      </ns0:c>
      <ns0:c r="Q81" s="7" t="n">
        <ns0:v>-343724.5534824328</ns0:v>
      </ns0:c>
    </ns0:row>
    <ns0:row r="82" ht="24" customHeight="1">
      <ns0:c r="A82" s="3" t="inlineStr">
        <ns0:is>
          <ns0:t>パック単独</ns0:t>
        </ns0:is>
      </ns0:c>
      <ns0:c r="B82" s="4" t="n">
        <ns0:v>1</ns0:v>
      </ns0:c>
      <ns0:c r="C82" s="4" t="n">
        <ns0:v>2</ns0:v>
      </ns0:c>
      <ns0:c r="D82" s="6" t="n">
        <ns0:v>0.5</ns0:v>
      </ns0:c>
      <ns0:c r="E82" s="7" t="n">
        <ns0:v>8308.379888268155</ns0:v>
      </ns0:c>
      <ns0:c r="F82" s="7" t="n">
        <ns0:v>4263.128491620111</ns0:v>
      </ns0:c>
      <ns0:c r="G82" s="7" t="n">
        <ns0:v>4045.251396648044</ns0:v>
      </ns0:c>
      <ns0:c r="H82" s="7" t="n">
        <ns0:v>2131.564245810056</ns0:v>
      </ns0:c>
      <ns0:c r="I82" s="18" t="inlineStr">
        <ns0:is>
          <ns0:t>範囲内なし</ns0:t>
        </ns0:is>
      </ns0:c>
      <ns0:c r="J82" s="18" t="inlineStr">
        <ns0:is>
          <ns0:t>範囲内なし</ns0:t>
        </ns0:is>
      </ns0:c>
      <ns0:c r="K82" s="18" t="inlineStr">
        <ns0:is>
          <ns0:t>範囲内なし</ns0:t>
        </ns0:is>
      </ns0:c>
      <ns0:c r="L82" s="7" t="n">
        <ns0:v>-54360.72444615397</ns0:v>
      </ns0:c>
      <ns0:c r="M82" s="7" t="n">
        <ns0:v>-72616.72866685194</ns0:v>
      </ns0:c>
      <ns0:c r="N82" s="7" t="n">
        <ns0:v>-84687.2580272146</ns0:v>
      </ns0:c>
      <ns0:c r="O82" s="7" t="n">
        <ns0:v>-114863.5814281214</ns0:v>
      </ns0:c>
      <ns0:c r="P82" s="7" t="n">
        <ns0:v>-277568.8750317488</ns0:v>
      </ns0:c>
      <ns0:c r="Q82" s="7" t="n">
        <ns0:v>-770037.4026444443</ns0:v>
      </ns0:c>
    </ns0:row>
    <ns0:row r="83" ht="24" customHeight="1">
      <ns0:c r="A83" s="3" t="inlineStr">
        <ns0:is>
          <ns0:t>混在・パック30%</ns0:t>
        </ns0:is>
      </ns0:c>
      <ns0:c r="B83" s="4" t="n">
        <ns0:v>1</ns0:v>
      </ns0:c>
      <ns0:c r="C83" s="4" t="n">
        <ns0:v>2</ns0:v>
      </ns0:c>
      <ns0:c r="D83" s="6" t="n">
        <ns0:v>0.4</ns0:v>
      </ns0:c>
      <ns0:c r="E83" s="7" t="n">
        <ns0:v>5925.647230566237</ns0:v>
      </ns0:c>
      <ns0:c r="F83" s="7" t="n">
        <ns0:v>3244.340136436371</ns0:v>
      </ns0:c>
      <ns0:c r="G83" s="7" t="n">
        <ns0:v>2681.307094129867</ns0:v>
      </ns0:c>
      <ns0:c r="H83" s="7" t="n">
        <ns0:v>1297.736054574549</ns0:v>
      </ns0:c>
      <ns0:c r="I83" s="7" t="n">
        <ns0:v>139</ns0:v>
      </ns0:c>
      <ns0:c r="J83" s="7" t="n">
        <ns0:v>246</ns0:v>
      </ns0:c>
      <ns0:c r="K83" s="18" t="inlineStr">
        <ns0:is>
          <ns0:t>範囲内なし</ns0:t>
        </ns0:is>
      </ns0:c>
      <ns0:c r="L83" s="7" t="n">
        <ns0:v>-48645.04862712982</ns0:v>
      </ns0:c>
      <ns0:c r="M83" s="7" t="n">
        <ns0:v>-42702.77383547778</ns0:v>
      </ns0:c>
      <ns0:c r="N83" s="7" t="n">
        <ns0:v>-34830.66664159112</ns0:v>
      </ns0:c>
      <ns0:c r="O83" s="7" t="n">
        <ns0:v>-15150.39865687443</ns0:v>
      </ns0:c>
      <ns0:c r="P83" s="7" t="n">
        <ns0:v>21570.67328199249</ns0:v>
      </ns0:c>
      <ns0:c r="Q83" s="7" t="n">
        <ns0:v>227094.4250680266</ns0:v>
      </ns0:c>
    </ns0:row>
    <ns0:row r="84" ht="24" customHeight="1">
      <ns0:c r="A84" s="3" t="inlineStr">
        <ns0:is>
          <ns0:t>混在・パック30%</ns0:t>
        </ns0:is>
      </ns0:c>
      <ns0:c r="B84" s="4" t="n">
        <ns0:v>1</ns0:v>
      </ns0:c>
      <ns0:c r="C84" s="4" t="n">
        <ns0:v>2</ns0:v>
      </ns0:c>
      <ns0:c r="D84" s="6" t="n">
        <ns0:v>0.5</ns0:v>
      </ns0:c>
      <ns0:c r="E84" s="7" t="n">
        <ns0:v>5925.647230566237</ns0:v>
      </ns0:c>
      <ns0:c r="F84" s="7" t="n">
        <ns0:v>3244.340136436371</ns0:v>
      </ns0:c>
      <ns0:c r="G84" s="7" t="n">
        <ns0:v>2681.307094129867</ns0:v>
      </ns0:c>
      <ns0:c r="H84" s="7" t="n">
        <ns0:v>1622.170068218186</ns0:v>
      </ns0:c>
      <ns0:c r="I84" s="18" t="inlineStr">
        <ns0:is>
          <ns0:t>範囲内なし</ns0:t>
        </ns0:is>
      </ns0:c>
      <ns0:c r="J84" s="18" t="inlineStr">
        <ns0:is>
          <ns0:t>範囲内なし</ns0:t>
        </ns0:is>
      </ns0:c>
      <ns0:c r="K84" s="18" t="inlineStr">
        <ns0:is>
          <ns0:t>範囲内なし</ns0:t>
        </ns0:is>
      </ns0:c>
      <ns0:c r="L84" s="7" t="n">
        <ns0:v>-51889.3887635662</ns0:v>
      </ns0:c>
      <ns0:c r="M84" s="7" t="n">
        <ns0:v>-52435.79424478689</ns0:v>
      </ns0:c>
      <ns0:c r="N84" s="7" t="n">
        <ns0:v>-51052.36732377299</ns0:v>
      </ns0:c>
      <ns0:c r="O84" s="7" t="n">
        <ns0:v>-47593.80002123816</ns0:v>
      </ns0:c>
      <ns0:c r="P84" s="7" t="n">
        <ns0:v>-75759.53081109864</ns0:v>
      </ns0:c>
      <ns0:c r="Q84" s="7" t="n">
        <ns0:v>-97339.58857561043</ns0:v>
      </ns0:c>
    </ns0:row>
    <ns0:row r="85" ht="24" customHeight="1">
      <ns0:c r="A85" s="3" t="inlineStr">
        <ns0:is>
          <ns0:t>混在・パック50%</ns0:t>
        </ns0:is>
      </ns0:c>
      <ns0:c r="B85" s="4" t="n">
        <ns0:v>1</ns0:v>
      </ns0:c>
      <ns0:c r="C85" s="4" t="n">
        <ns0:v>2</ns0:v>
      </ns0:c>
      <ns0:c r="D85" s="6" t="n">
        <ns0:v>0.4</ns0:v>
      </ns0:c>
      <ns0:c r="E85" s="7" t="n">
        <ns0:v>6606.427989909643</ns0:v>
      </ns0:c>
      <ns0:c r="F85" s="7" t="n">
        <ns0:v>3535.422523631725</ns0:v>
      </ns0:c>
      <ns0:c r="G85" s="7" t="n">
        <ns0:v>3071.005466277918</ns0:v>
      </ns0:c>
      <ns0:c r="H85" s="7" t="n">
        <ns0:v>1414.16900945269</ns0:v>
      </ns0:c>
      <ns0:c r="I85" s="7" t="n">
        <ns0:v>419</ns0:v>
      </ns0:c>
      <ns0:c r="J85" s="7" t="n">
        <ns0:v>723</ns0:v>
      </ns0:c>
      <ns0:c r="K85" s="18" t="inlineStr">
        <ns0:is>
          <ns0:t>範囲内なし</ns0:t>
        </ns0:is>
      </ns0:c>
      <ns0:c r="L85" s="7" t="n">
        <ns0:v>-49060.06214924526</ns0:v>
      </ns0:c>
      <ns0:c r="M85" s="7" t="n">
        <ns0:v>-47595.50793733887</ns0:v>
      </ns0:c>
      <ns0:c r="N85" s="7" t="n">
        <ns0:v>-42985.22347802621</ns0:v>
      </ns0:c>
      <ns0:c r="O85" s="7" t="n">
        <ns0:v>-31459.51232974461</ns0:v>
      </ns0:c>
      <ns0:c r="P85" s="7" t="n">
        <ns0:v>-27356.66773661843</ns0:v>
      </ns0:c>
      <ns0:c r="Q85" s="7" t="n">
        <ns0:v>64003.28833932383</ns0:v>
      </ns0:c>
    </ns0:row>
    <ns0:row r="86" ht="24" customHeight="1">
      <ns0:c r="A86" s="3" t="inlineStr">
        <ns0:is>
          <ns0:t>混在・パック50%</ns0:t>
        </ns0:is>
      </ns0:c>
      <ns0:c r="B86" s="4" t="n">
        <ns0:v>1</ns0:v>
      </ns0:c>
      <ns0:c r="C86" s="4" t="n">
        <ns0:v>2</ns0:v>
      </ns0:c>
      <ns0:c r="D86" s="6" t="n">
        <ns0:v>0.5</ns0:v>
      </ns0:c>
      <ns0:c r="E86" s="7" t="n">
        <ns0:v>6606.427989909643</ns0:v>
      </ns0:c>
      <ns0:c r="F86" s="7" t="n">
        <ns0:v>3535.422523631725</ns0:v>
      </ns0:c>
      <ns0:c r="G86" s="7" t="n">
        <ns0:v>3071.005466277918</ns0:v>
      </ns0:c>
      <ns0:c r="H86" s="7" t="n">
        <ns0:v>1767.711261815863</ns0:v>
      </ns0:c>
      <ns0:c r="I86" s="18" t="inlineStr">
        <ns0:is>
          <ns0:t>範囲内なし</ns0:t>
        </ns0:is>
      </ns0:c>
      <ns0:c r="J86" s="18" t="inlineStr">
        <ns0:is>
          <ns0:t>範囲内なし</ns0:t>
        </ns0:is>
      </ns0:c>
      <ns0:c r="K86" s="18" t="inlineStr">
        <ns0:is>
          <ns0:t>範囲内なし</ns0:t>
        </ns0:is>
      </ns0:c>
      <ns0:c r="L86" s="7" t="n">
        <ns0:v>-52595.48467287698</ns0:v>
      </ns0:c>
      <ns0:c r="M86" s="7" t="n">
        <ns0:v>-58201.77550823404</ns0:v>
      </ns0:c>
      <ns0:c r="N86" s="7" t="n">
        <ns0:v>-60662.33609618484</ns0:v>
      </ns0:c>
      <ns0:c r="O86" s="7" t="n">
        <ns0:v>-66813.73756606187</ns0:v>
      </ns0:c>
      <ns0:c r="P86" s="7" t="n">
        <ns0:v>-133419.3434455702</ns0:v>
      </ns0:c>
      <ns0:c r="Q86" s="7" t="n">
        <ns0:v>-289538.9640238485</ns0:v>
      </ns0:c>
    </ns0:row>
    <ns0:row r="87" ht="24" customHeight="1">
      <ns0:c r="A87" s="3" t="inlineStr">
        <ns0:is>
          <ns0:t>混在・パック70%</ns0:t>
        </ns0:is>
      </ns0:c>
      <ns0:c r="B87" s="4" t="n">
        <ns0:v>1</ns0:v>
      </ns0:c>
      <ns0:c r="C87" s="4" t="n">
        <ns0:v>2</ns0:v>
      </ns0:c>
      <ns0:c r="D87" s="6" t="n">
        <ns0:v>0.4</ns0:v>
      </ns0:c>
      <ns0:c r="E87" s="7" t="n">
        <ns0:v>7287.208749253048</ns0:v>
      </ns0:c>
      <ns0:c r="F87" s="7" t="n">
        <ns0:v>3826.50491082708</ns0:v>
      </ns0:c>
      <ns0:c r="G87" s="7" t="n">
        <ns0:v>3460.703838425968</ns0:v>
      </ns0:c>
      <ns0:c r="H87" s="7" t="n">
        <ns0:v>1530.601964330832</ns0:v>
      </ns0:c>
      <ns0:c r="I87" s="18" t="inlineStr">
        <ns0:is>
          <ns0:t>範囲内なし</ns0:t>
        </ns0:is>
      </ns0:c>
      <ns0:c r="J87" s="18" t="inlineStr">
        <ns0:is>
          <ns0:t>範囲内なし</ns0:t>
        </ns0:is>
      </ns0:c>
      <ns0:c r="K87" s="18" t="inlineStr">
        <ns0:is>
          <ns0:t>範囲内なし</ns0:t>
        </ns0:is>
      </ns0:c>
      <ns0:c r="L87" s="7" t="n">
        <ns0:v>-49475.0756713607</ns0:v>
      </ns0:c>
      <ns0:c r="M87" s="7" t="n">
        <ns0:v>-52488.24203919993</ns0:v>
      </ns0:c>
      <ns0:c r="N87" s="7" t="n">
        <ns0:v>-51139.78031446139</ns0:v>
      </ns0:c>
      <ns0:c r="O87" s="7" t="n">
        <ns0:v>-47768.62600261497</ns0:v>
      </ns0:c>
      <ns0:c r="P87" s="7" t="n">
        <ns0:v>-76284.00875522895</ns0:v>
      </ns0:c>
      <ns0:c r="Q87" s="7" t="n">
        <ns0:v>-99087.84838937921</ns0:v>
      </ns0:c>
    </ns0:row>
    <ns0:row r="88" ht="24" customHeight="1">
      <ns0:c r="A88" s="3" t="inlineStr">
        <ns0:is>
          <ns0:t>混在・パック70%</ns0:t>
        </ns0:is>
      </ns0:c>
      <ns0:c r="B88" s="4" t="n">
        <ns0:v>1</ns0:v>
      </ns0:c>
      <ns0:c r="C88" s="4" t="n">
        <ns0:v>2</ns0:v>
      </ns0:c>
      <ns0:c r="D88" s="6" t="n">
        <ns0:v>0.5</ns0:v>
      </ns0:c>
      <ns0:c r="E88" s="7" t="n">
        <ns0:v>7287.208749253048</ns0:v>
      </ns0:c>
      <ns0:c r="F88" s="7" t="n">
        <ns0:v>3826.50491082708</ns0:v>
      </ns0:c>
      <ns0:c r="G88" s="7" t="n">
        <ns0:v>3460.703838425968</ns0:v>
      </ns0:c>
      <ns0:c r="H88" s="7" t="n">
        <ns0:v>1913.25245541354</ns0:v>
      </ns0:c>
      <ns0:c r="I88" s="18" t="inlineStr">
        <ns0:is>
          <ns0:t>範囲内なし</ns0:t>
        </ns0:is>
      </ns0:c>
      <ns0:c r="J88" s="18" t="inlineStr">
        <ns0:is>
          <ns0:t>範囲内なし</ns0:t>
        </ns0:is>
      </ns0:c>
      <ns0:c r="K88" s="18" t="inlineStr">
        <ns0:is>
          <ns0:t>範囲内なし</ns0:t>
        </ns0:is>
      </ns0:c>
      <ns0:c r="L88" s="7" t="n">
        <ns0:v>-53301.58058218779</ns0:v>
      </ns0:c>
      <ns0:c r="M88" s="7" t="n">
        <ns0:v>-63967.75677168118</ns0:v>
      </ns0:c>
      <ns0:c r="N88" s="7" t="n">
        <ns0:v>-70272.30486859678</ns0:v>
      </ns0:c>
      <ns0:c r="O88" s="7" t="n">
        <ns0:v>-86033.67511088576</ns0:v>
      </ns0:c>
      <ns0:c r="P88" s="7" t="n">
        <ns0:v>-191079.1560800415</ns0:v>
      </ns0:c>
      <ns0:c r="Q88" s="7" t="n">
        <ns0:v>-481738.3394720869</ns0:v>
      </ns0:c>
    </ns0:row>
    <ns0:row r="89" ht="24" customHeight="1">
      <ns0:c r="A89" s="3" t="inlineStr">
        <ns0:is>
          <ns0:t>Guard単独</ns0:t>
        </ns0:is>
      </ns0:c>
      <ns0:c r="B89" s="4" t="n">
        <ns0:v>1</ns0:v>
      </ns0:c>
      <ns0:c r="C89" s="4" t="n">
        <ns0:v>3</ns0:v>
      </ns0:c>
      <ns0:c r="D89" s="6" t="n">
        <ns0:v>0.4</ns0:v>
      </ns0:c>
      <ns0:c r="E89" s="7" t="n">
        <ns0:v>6754.189944134077</ns0:v>
      </ns0:c>
      <ns0:c r="F89" s="7" t="n">
        <ns0:v>3910.614525139664</ns0:v>
      </ns0:c>
      <ns0:c r="G89" s="7" t="n">
        <ns0:v>2843.575418994413</ns0:v>
      </ns0:c>
      <ns0:c r="H89" s="7" t="n">
        <ns0:v>1564.245810055865</ns0:v>
      </ns0:c>
      <ns0:c r="I89" s="7" t="n">
        <ns0:v>8</ns0:v>
      </ns0:c>
      <ns0:c r="J89" s="7" t="n">
        <ns0:v>8</ns0:v>
      </ns0:c>
      <ns0:c r="K89" s="7" t="n">
        <ns0:v>8</ns0:v>
      </ns0:c>
      <ns0:c r="L89" s="7" t="n">
        <ns0:v>10346.51769087522</ns0:v>
      </ns0:c>
      <ns0:c r="M89" s="7" t="n">
        <ns0:v>65983.12849162007</ns0:v>
      </ns0:c>
      <ns0:c r="N89" s="7" t="n">
        <ns0:v>123305.2141527002</ns0:v>
      </ns0:c>
      <ns0:c r="O89" s="7" t="n">
        <ns0:v>266610.4283054004</ns0:v>
      </ns0:c>
      <ns0:c r="P89" s="7" t="n">
        <ns0:v>819831.2849162007</ns0:v>
      </ns0:c>
      <ns0:c r="Q89" s="7" t="n">
        <ns0:v>2786104.283054003</ns0:v>
      </ns0:c>
    </ns0:row>
    <ns0:row r="90" ht="24" customHeight="1">
      <ns0:c r="A90" s="3" t="inlineStr">
        <ns0:is>
          <ns0:t>Guard単独</ns0:t>
        </ns0:is>
      </ns0:c>
      <ns0:c r="B90" s="4" t="n">
        <ns0:v>1</ns0:v>
      </ns0:c>
      <ns0:c r="C90" s="4" t="n">
        <ns0:v>3</ns0:v>
      </ns0:c>
      <ns0:c r="D90" s="6" t="n">
        <ns0:v>0.5</ns0:v>
      </ns0:c>
      <ns0:c r="E90" s="7" t="n">
        <ns0:v>6754.189944134077</ns0:v>
      </ns0:c>
      <ns0:c r="F90" s="7" t="n">
        <ns0:v>3910.614525139664</ns0:v>
      </ns0:c>
      <ns0:c r="G90" s="7" t="n">
        <ns0:v>2843.575418994413</ns0:v>
      </ns0:c>
      <ns0:c r="H90" s="7" t="n">
        <ns0:v>1955.307262569832</ns0:v>
      </ns0:c>
      <ns0:c r="I90" s="7" t="n">
        <ns0:v>9</ns0:v>
      </ns0:c>
      <ns0:c r="J90" s="7" t="n">
        <ns0:v>9</ns0:v>
      </ns0:c>
      <ns0:c r="K90" s="7" t="n">
        <ns0:v>9</ns0:v>
      </ns0:c>
      <ns0:c r="L90" s="7" t="n">
        <ns0:v>6435.903165735552</ns0:v>
      </ns0:c>
      <ns0:c r="M90" s="7" t="n">
        <ns0:v>54251.28491620109</ns0:v>
      </ns0:c>
      <ns0:c r="N90" s="7" t="n">
        <ns0:v>103752.1415270019</ns0:v>
      </ns0:c>
      <ns0:c r="O90" s="7" t="n">
        <ns0:v>227504.2830540038</ns0:v>
      </ns0:c>
      <ns0:c r="P90" s="7" t="n">
        <ns0:v>702512.8491620107</ns0:v>
      </ns0:c>
      <ns0:c r="Q90" s="7" t="n">
        <ns0:v>2395042.830540037</ns0:v>
      </ns0:c>
    </ns0:row>
    <ns0:row r="91" ht="24" customHeight="1">
      <ns0:c r="A91" s="3" t="inlineStr">
        <ns0:is>
          <ns0:t>Send単独</ns0:t>
        </ns0:is>
      </ns0:c>
      <ns0:c r="B91" s="4" t="n">
        <ns0:v>1</ns0:v>
      </ns0:c>
      <ns0:c r="C91" s="4" t="n">
        <ns0:v>3</ns0:v>
      </ns0:c>
      <ns0:c r="D91" s="6" t="n">
        <ns0:v>0.4</ns0:v>
      </ns0:c>
      <ns0:c r="E91" s="7" t="n">
        <ns0:v>2438.19095477387</ns0:v>
      </ns0:c>
      <ns0:c r="F91" s="7" t="n">
        <ns0:v>1337.185929648241</ns0:v>
      </ns0:c>
      <ns0:c r="G91" s="7" t="n">
        <ns0:v>1101.005025125628</ns0:v>
      </ns0:c>
      <ns0:c r="H91" s="7" t="n">
        <ns0:v>534.8743718592966</ns0:v>
      </ns0:c>
      <ns0:c r="I91" s="7" t="n">
        <ns0:v>371</ns0:v>
      </ns0:c>
      <ns0:c r="J91" s="7" t="n">
        <ns0:v>567</ns0:v>
      </ns0:c>
      <ns0:c r="K91" s="7" t="n">
        <ns0:v>567</ns0:v>
      </ns0:c>
      <ns0:c r="L91" s="7" t="n">
        <ns0:v>-28484.23704140501</ns0:v>
      </ns0:c>
      <ns0:c r="M91" s="7" t="n">
        <ns0:v>-29930.84187159944</ns0:v>
      </ns0:c>
      <ns0:c r="N91" s="7" t="n">
        <ns0:v>-26877.44670179385</ns0:v>
      </ns0:c>
      <ns0:c r="O91" s="7" t="n">
        <ns0:v>-19243.95877727991</ns0:v>
      </ns0:c>
      <ns0:c r="P91" s="7" t="n">
        <ns0:v>-10710.00707922427</ns0:v>
      </ns0:c>
      <ns0:c r="Q91" s="7" t="n">
        <ns0:v>66158.82386397058</ns0:v>
      </ns0:c>
    </ns0:row>
    <ns0:row r="92" ht="24" customHeight="1">
      <ns0:c r="A92" s="3" t="inlineStr">
        <ns0:is>
          <ns0:t>Send単独</ns0:t>
        </ns0:is>
      </ns0:c>
      <ns0:c r="B92" s="4" t="n">
        <ns0:v>1</ns0:v>
      </ns0:c>
      <ns0:c r="C92" s="4" t="n">
        <ns0:v>3</ns0:v>
      </ns0:c>
      <ns0:c r="D92" s="6" t="n">
        <ns0:v>0.5</ns0:v>
      </ns0:c>
      <ns0:c r="E92" s="7" t="n">
        <ns0:v>2438.19095477387</ns0:v>
      </ns0:c>
      <ns0:c r="F92" s="7" t="n">
        <ns0:v>1337.185929648241</ns0:v>
      </ns0:c>
      <ns0:c r="G92" s="7" t="n">
        <ns0:v>1101.005025125628</ns0:v>
      </ns0:c>
      <ns0:c r="H92" s="7" t="n">
        <ns0:v>668.5929648241207</ns0:v>
      </ns0:c>
      <ns0:c r="I92" s="18" t="inlineStr">
        <ns0:is>
          <ns0:t>範囲内なし</ns0:t>
        </ns0:is>
      </ns0:c>
      <ns0:c r="J92" s="18" t="inlineStr">
        <ns0:is>
          <ns0:t>範囲内なし</ns0:t>
        </ns0:is>
      </ns0:c>
      <ns0:c r="K92" s="18" t="inlineStr">
        <ns0:is>
          <ns0:t>範囲内なし</ns0:t>
        </ns0:is>
      </ns0:c>
      <ns0:c r="L92" s="7" t="n">
        <ns0:v>-29821.42297105325</ns0:v>
      </ns0:c>
      <ns0:c r="M92" s="7" t="n">
        <ns0:v>-33942.39966054416</ns0:v>
      </ns0:c>
      <ns0:c r="N92" s="7" t="n">
        <ns0:v>-33563.37635003507</ns0:v>
      </ns0:c>
      <ns0:c r="O92" s="7" t="n">
        <ns0:v>-32615.81807376234</ns0:v>
      </ns0:c>
      <ns0:c r="P92" s="7" t="n">
        <ns0:v>-50825.58496867143</ns0:v>
      </ns0:c>
      <ns0:c r="Q92" s="7" t="n">
        <ns0:v>-67559.76910085347</ns0:v>
      </ns0:c>
    </ns0:row>
    <ns0:row r="93" ht="24" customHeight="1">
      <ns0:c r="A93" s="3" t="inlineStr">
        <ns0:is>
          <ns0:t>パック単独</ns0:t>
        </ns0:is>
      </ns0:c>
      <ns0:c r="B93" s="4" t="n">
        <ns0:v>1</ns0:v>
      </ns0:c>
      <ns0:c r="C93" s="4" t="n">
        <ns0:v>3</ns0:v>
      </ns0:c>
      <ns0:c r="D93" s="6" t="n">
        <ns0:v>0.4</ns0:v>
      </ns0:c>
      <ns0:c r="E93" s="7" t="n">
        <ns0:v>8308.379888268155</ns0:v>
      </ns0:c>
      <ns0:c r="F93" s="7" t="n">
        <ns0:v>4263.128491620111</ns0:v>
      </ns0:c>
      <ns0:c r="G93" s="7" t="n">
        <ns0:v>4045.251396648044</ns0:v>
      </ns0:c>
      <ns0:c r="H93" s="7" t="n">
        <ns0:v>1705.251396648044</ns0:v>
      </ns0:c>
      <ns0:c r="I93" s="7" t="n">
        <ns0:v>22</ns0:v>
      </ns0:c>
      <ns0:c r="J93" s="7" t="n">
        <ns0:v>22</ns0:v>
      </ns0:c>
      <ns0:c r="K93" s="7" t="n">
        <ns0:v>972</ns0:v>
      </ns0:c>
      <ns0:c r="L93" s="7" t="n">
        <ns0:v>-22976.39879149334</ns0:v>
      </ns0:c>
      <ns0:c r="M93" s="7" t="n">
        <ns0:v>21536.24829713001</ns0:v>
      </ns0:c>
      <ns0:c r="N93" s="7" t="n">
        <ns0:v>72234.37024608854</ns0:v>
      </ns0:c>
      <ns0:c r="O93" s="7" t="n">
        <ns0:v>198979.6751184849</ns0:v>
      </ns0:c>
      <ns0:c r="P93" s="7" t="n">
        <ns0:v>663960.89460807</ns0:v>
      </ns0:c>
      <ns0:c r="Q93" s="7" t="n">
        <ns0:v>2368395.162821619</ns0:v>
      </ns0:c>
    </ns0:row>
    <ns0:row r="94" ht="24" customHeight="1">
      <ns0:c r="A94" s="3" t="inlineStr">
        <ns0:is>
          <ns0:t>パック単独</ns0:t>
        </ns0:is>
      </ns0:c>
      <ns0:c r="B94" s="4" t="n">
        <ns0:v>1</ns0:v>
      </ns0:c>
      <ns0:c r="C94" s="4" t="n">
        <ns0:v>3</ns0:v>
      </ns0:c>
      <ns0:c r="D94" s="6" t="n">
        <ns0:v>0.5</ns0:v>
      </ns0:c>
      <ns0:c r="E94" s="7" t="n">
        <ns0:v>8308.379888268155</ns0:v>
      </ns0:c>
      <ns0:c r="F94" s="7" t="n">
        <ns0:v>4263.128491620111</ns0:v>
      </ns0:c>
      <ns0:c r="G94" s="7" t="n">
        <ns0:v>4045.251396648044</ns0:v>
      </ns0:c>
      <ns0:c r="H94" s="7" t="n">
        <ns0:v>2131.564245810056</ns0:v>
      </ns0:c>
      <ns0:c r="I94" s="7" t="n">
        <ns0:v>26</ns0:v>
      </ns0:c>
      <ns0:c r="J94" s="7" t="n">
        <ns0:v>26</ns0:v>
      </ns0:c>
      <ns0:c r="K94" s="18" t="inlineStr">
        <ns0:is>
          <ns0:t>範囲内なし</ns0:t>
        </ns0:is>
      </ns0:c>
      <ns0:c r="L94" s="7" t="n">
        <ns0:v>-27239.52728311345</ns0:v>
      </ns0:c>
      <ns0:c r="M94" s="7" t="n">
        <ns0:v>8746.862822269672</ns0:v>
      </ns0:c>
      <ns0:c r="N94" s="7" t="n">
        <ns0:v>50918.72778798801</ns0:v>
      </ns0:c>
      <ns0:c r="O94" s="7" t="n">
        <ns0:v>156348.3902022838</ns0:v>
      </ns0:c>
      <ns0:c r="P94" s="7" t="n">
        <ns0:v>536067.039859467</ns0:v>
      </ns0:c>
      <ns0:c r="Q94" s="7" t="n">
        <ns0:v>1942082.313659608</ns0:v>
      </ns0:c>
    </ns0:row>
    <ns0:row r="95" ht="24" customHeight="1">
      <ns0:c r="A95" s="3" t="inlineStr">
        <ns0:is>
          <ns0:t>混在・パック30%</ns0:t>
        </ns0:is>
      </ns0:c>
      <ns0:c r="B95" s="4" t="n">
        <ns0:v>1</ns0:v>
      </ns0:c>
      <ns0:c r="C95" s="4" t="n">
        <ns0:v>3</ns0:v>
      </ns0:c>
      <ns0:c r="D95" s="6" t="n">
        <ns0:v>0.4</ns0:v>
      </ns0:c>
      <ns0:c r="E95" s="7" t="n">
        <ns0:v>5925.647230566237</ns0:v>
      </ns0:c>
      <ns0:c r="F95" s="7" t="n">
        <ns0:v>3244.340136436371</ns0:v>
      </ns0:c>
      <ns0:c r="G95" s="7" t="n">
        <ns0:v>2681.307094129867</ns0:v>
      </ns0:c>
      <ns0:c r="H95" s="7" t="n">
        <ns0:v>1297.736054574549</ns0:v>
      </ns0:c>
      <ns0:c r="I95" s="7" t="n">
        <ns0:v>28</ns0:v>
      </ns0:c>
      <ns0:c r="J95" s="7" t="n">
        <ns0:v>28</ns0:v>
      </ns0:c>
      <ns0:c r="K95" s="18" t="inlineStr">
        <ns0:is>
          <ns0:t>範囲内なし</ns0:t>
        </ns0:is>
      </ns0:c>
      <ns0:c r="L95" s="7" t="n">
        <ns0:v>-33053.95752404253</ns0:v>
      </ns0:c>
      <ns0:c r="M95" s="7" t="n">
        <ns0:v>4070.499473784083</ns0:v>
      </ns0:c>
      <ns0:c r="N95" s="7" t="n">
        <ns0:v>43124.78887384533</ns0:v>
      </ns0:c>
      <ns0:c r="O95" s="7" t="n">
        <ns0:v>140760.5123739985</ns0:v>
      </ns0:c>
      <ns0:c r="P95" s="7" t="n">
        <ns0:v>489303.4063746112</ns0:v>
      </ns0:c>
      <ns0:c r="Q95" s="7" t="n">
        <ns0:v>1786203.535376756</ns0:v>
      </ns0:c>
    </ns0:row>
    <ns0:row r="96" ht="24" customHeight="1">
      <ns0:c r="A96" s="3" t="inlineStr">
        <ns0:is>
          <ns0:t>混在・パック30%</ns0:t>
        </ns0:is>
      </ns0:c>
      <ns0:c r="B96" s="4" t="n">
        <ns0:v>1</ns0:v>
      </ns0:c>
      <ns0:c r="C96" s="4" t="n">
        <ns0:v>3</ns0:v>
      </ns0:c>
      <ns0:c r="D96" s="6" t="n">
        <ns0:v>0.5</ns0:v>
      </ns0:c>
      <ns0:c r="E96" s="7" t="n">
        <ns0:v>5925.647230566237</ns0:v>
      </ns0:c>
      <ns0:c r="F96" s="7" t="n">
        <ns0:v>3244.340136436371</ns0:v>
      </ns0:c>
      <ns0:c r="G96" s="7" t="n">
        <ns0:v>2681.307094129867</ns0:v>
      </ns0:c>
      <ns0:c r="H96" s="7" t="n">
        <ns0:v>1622.170068218186</ns0:v>
      </ns0:c>
      <ns0:c r="I96" s="7" t="n">
        <ns0:v>34</ns0:v>
      </ns0:c>
      <ns0:c r="J96" s="7" t="n">
        <ns0:v>34</ns0:v>
      </ns0:c>
      <ns0:c r="K96" s="18" t="inlineStr">
        <ns0:is>
          <ns0:t>範囲内なし</ns0:t>
        </ns0:is>
      </ns0:c>
      <ns0:c r="L96" s="7" t="n">
        <ns0:v>-36298.2976604789</ns0:v>
      </ns0:c>
      <ns0:c r="M96" s="7" t="n">
        <ns0:v>-5662.520935525034</ns0:v>
      </ns0:c>
      <ns0:c r="N96" s="7" t="n">
        <ns0:v>26903.08819166346</ns0:v>
      </ns0:c>
      <ns0:c r="O96" s="7" t="n">
        <ns0:v>108317.1110096347</ns0:v>
      </ns0:c>
      <ns0:c r="P96" s="7" t="n">
        <ns0:v>391973.2022815201</ns0:v>
      </ns0:c>
      <ns0:c r="Q96" s="7" t="n">
        <ns0:v>1461769.521733118</ns0:v>
      </ns0:c>
    </ns0:row>
    <ns0:row r="97" ht="24" customHeight="1">
      <ns0:c r="A97" s="3" t="inlineStr">
        <ns0:is>
          <ns0:t>混在・パック50%</ns0:t>
        </ns0:is>
      </ns0:c>
      <ns0:c r="B97" s="4" t="n">
        <ns0:v>1</ns0:v>
      </ns0:c>
      <ns0:c r="C97" s="4" t="n">
        <ns0:v>3</ns0:v>
      </ns0:c>
      <ns0:c r="D97" s="6" t="n">
        <ns0:v>0.4</ns0:v>
      </ns0:c>
      <ns0:c r="E97" s="7" t="n">
        <ns0:v>6606.427989909643</ns0:v>
      </ns0:c>
      <ns0:c r="F97" s="7" t="n">
        <ns0:v>3535.422523631725</ns0:v>
      </ns0:c>
      <ns0:c r="G97" s="7" t="n">
        <ns0:v>3071.005466277918</ns0:v>
      </ns0:c>
      <ns0:c r="H97" s="7" t="n">
        <ns0:v>1414.16900945269</ns0:v>
      </ns0:c>
      <ns0:c r="I97" s="7" t="n">
        <ns0:v>26</ns0:v>
      </ns0:c>
      <ns0:c r="J97" s="7" t="n">
        <ns0:v>26</ns0:v>
      </ns0:c>
      <ns0:c r="K97" s="18" t="inlineStr">
        <ns0:is>
          <ns0:t>範囲内なし</ns0:t>
        </ns0:is>
      </ns0:c>
      <ns0:c r="L97" s="7" t="n">
        <ns0:v>-30174.65502902847</ns0:v>
      </ns0:c>
      <ns0:c r="M97" s="7" t="n">
        <ns0:v>9060.713423311481</ns0:v>
      </ns0:c>
      <ns0:c r="N97" s="7" t="n">
        <ns0:v>51441.8121230577</ns0:v>
      </ns0:c>
      <ns0:c r="O97" s="7" t="n">
        <ns0:v>157394.5588724232</ns0:v>
      </ns0:c>
      <ns0:c r="P97" s="7" t="n">
        <ns0:v>539205.545869885</ns0:v>
      </ns0:c>
      <ns0:c r="Q97" s="7" t="n">
        <ns0:v>1952544.000361002</ns0:v>
      </ns0:c>
    </ns0:row>
    <ns0:row r="98" ht="24" customHeight="1">
      <ns0:c r="A98" s="3" t="inlineStr">
        <ns0:is>
          <ns0:t>混在・パック50%</ns0:t>
        </ns0:is>
      </ns0:c>
      <ns0:c r="B98" s="4" t="n">
        <ns0:v>1</ns0:v>
      </ns0:c>
      <ns0:c r="C98" s="4" t="n">
        <ns0:v>3</ns0:v>
      </ns0:c>
      <ns0:c r="D98" s="6" t="n">
        <ns0:v>0.5</ns0:v>
      </ns0:c>
      <ns0:c r="E98" s="7" t="n">
        <ns0:v>6606.427989909643</ns0:v>
      </ns0:c>
      <ns0:c r="F98" s="7" t="n">
        <ns0:v>3535.422523631725</ns0:v>
      </ns0:c>
      <ns0:c r="G98" s="7" t="n">
        <ns0:v>3071.005466277918</ns0:v>
      </ns0:c>
      <ns0:c r="H98" s="7" t="n">
        <ns0:v>1767.711261815863</ns0:v>
      </ns0:c>
      <ns0:c r="I98" s="7" t="n">
        <ns0:v>31</ns0:v>
      </ns0:c>
      <ns0:c r="J98" s="7" t="n">
        <ns0:v>31</ns0:v>
      </ns0:c>
      <ns0:c r="K98" s="18" t="inlineStr">
        <ns0:is>
          <ns0:t>範囲内なし</ns0:t>
        </ns0:is>
      </ns0:c>
      <ns0:c r="L98" s="7" t="n">
        <ns0:v>-33710.0775526602</ns0:v>
      </ns0:c>
      <ns0:c r="M98" s="7" t="n">
        <ns0:v>-1545.554147583687</ns0:v>
      </ns0:c>
      <ns0:c r="N98" s="7" t="n">
        <ns0:v>33764.69950489907</ns0:v>
      </ns0:c>
      <ns0:c r="O98" s="7" t="n">
        <ns0:v>122040.3336361059</ns0:v>
      </ns0:c>
      <ns0:c r="P98" s="7" t="n">
        <ns0:v>433142.8701609332</ns0:v>
      </ns0:c>
      <ns0:c r="Q98" s="7" t="n">
        <ns0:v>1599001.747997829</ns0:v>
      </ns0:c>
    </ns0:row>
    <ns0:row r="99" ht="24" customHeight="1">
      <ns0:c r="A99" s="3" t="inlineStr">
        <ns0:is>
          <ns0:t>混在・パック70%</ns0:t>
        </ns0:is>
      </ns0:c>
      <ns0:c r="B99" s="4" t="n">
        <ns0:v>1</ns0:v>
      </ns0:c>
      <ns0:c r="C99" s="4" t="n">
        <ns0:v>3</ns0:v>
      </ns0:c>
      <ns0:c r="D99" s="6" t="n">
        <ns0:v>0.4</ns0:v>
      </ns0:c>
      <ns0:c r="E99" s="7" t="n">
        <ns0:v>7287.208749253048</ns0:v>
      </ns0:c>
      <ns0:c r="F99" s="7" t="n">
        <ns0:v>3826.50491082708</ns0:v>
      </ns0:c>
      <ns0:c r="G99" s="7" t="n">
        <ns0:v>3460.703838425968</ns0:v>
      </ns0:c>
      <ns0:c r="H99" s="7" t="n">
        <ns0:v>1530.601964330832</ns0:v>
      </ns0:c>
      <ns0:c r="I99" s="7" t="n">
        <ns0:v>24</ns0:v>
      </ns0:c>
      <ns0:c r="J99" s="7" t="n">
        <ns0:v>24</ns0:v>
      </ns0:c>
      <ns0:c r="K99" s="18" t="inlineStr">
        <ns0:is>
          <ns0:t>範囲内なし</ns0:t>
        </ns0:is>
      </ns0:c>
      <ns0:c r="L99" s="7" t="n">
        <ns0:v>-27295.35253401443</ns0:v>
      </ns0:c>
      <ns0:c r="M99" s="7" t="n">
        <ns0:v>14050.9273728389</ns0:v>
      </ns0:c>
      <ns0:c r="N99" s="7" t="n">
        <ns0:v>59758.83537227001</ns0:v>
      </ns0:c>
      <ns0:c r="O99" s="7" t="n">
        <ns0:v>174028.6053708478</ns0:v>
      </ns0:c>
      <ns0:c r="P99" s="7" t="n">
        <ns0:v>589107.6853651595</ns0:v>
      </ns0:c>
      <ns0:c r="Q99" s="7" t="n">
        <ns0:v>2118884.465345249</ns0:v>
      </ns0:c>
    </ns0:row>
    <ns0:row r="100" ht="24" customHeight="1">
      <ns0:c r="A100" s="3" t="inlineStr">
        <ns0:is>
          <ns0:t>混在・パック70%</ns0:t>
        </ns0:is>
      </ns0:c>
      <ns0:c r="B100" s="4" t="n">
        <ns0:v>1</ns0:v>
      </ns0:c>
      <ns0:c r="C100" s="4" t="n">
        <ns0:v>3</ns0:v>
      </ns0:c>
      <ns0:c r="D100" s="6" t="n">
        <ns0:v>0.5</ns0:v>
      </ns0:c>
      <ns0:c r="E100" s="7" t="n">
        <ns0:v>7287.208749253048</ns0:v>
      </ns0:c>
      <ns0:c r="F100" s="7" t="n">
        <ns0:v>3826.50491082708</ns0:v>
      </ns0:c>
      <ns0:c r="G100" s="7" t="n">
        <ns0:v>3460.703838425968</ns0:v>
      </ns0:c>
      <ns0:c r="H100" s="7" t="n">
        <ns0:v>1913.25245541354</ns0:v>
      </ns0:c>
      <ns0:c r="I100" s="7" t="n">
        <ns0:v>29</ns0:v>
      </ns0:c>
      <ns0:c r="J100" s="7" t="n">
        <ns0:v>29</ns0:v>
      </ns0:c>
      <ns0:c r="K100" s="18" t="inlineStr">
        <ns0:is>
          <ns0:t>範囲内なし</ns0:t>
        </ns0:is>
      </ns0:c>
      <ns0:c r="L100" s="7" t="n">
        <ns0:v>-31121.85744484151</ns0:v>
      </ns0:c>
      <ns0:c r="M100" s="7" t="n">
        <ns0:v>2571.412640357667</ns0:v>
      </ns0:c>
      <ns0:c r="N100" s="7" t="n">
        <ns0:v>40626.31081813463</ns0:v>
      </ns0:c>
      <ns0:c r="O100" s="7" t="n">
        <ns0:v>135763.5562625771</ns0:v>
      </ns0:c>
      <ns0:c r="P100" s="7" t="n">
        <ns0:v>474312.5380403469</ns0:v>
      </ns0:c>
      <ns0:c r="Q100" s="7" t="n">
        <ns0:v>1736233.974262541</ns0:v>
      </ns0:c>
    </ns0:row>
    <ns0:row r="101" ht="24" customHeight="1">
      <ns0:c r="A101" s="3" t="inlineStr">
        <ns0:is>
          <ns0:t>Guard単独</ns0:t>
        </ns0:is>
      </ns0:c>
      <ns0:c r="B101" s="4" t="n">
        <ns0:v>2</ns0:v>
      </ns0:c>
      <ns0:c r="C101" s="4" t="n">
        <ns0:v>0</ns0:v>
      </ns0:c>
      <ns0:c r="D101" s="6" t="n">
        <ns0:v>0.4</ns0:v>
      </ns0:c>
      <ns0:c r="E101" s="7" t="n">
        <ns0:v>8349.462365591398</ns0:v>
      </ns0:c>
      <ns0:c r="F101" s="7" t="n">
        <ns0:v>4193.548387096774</ns0:v>
      </ns0:c>
      <ns0:c r="G101" s="7" t="n">
        <ns0:v>4155.913978494624</ns0:v>
      </ns0:c>
      <ns0:c r="H101" s="7" t="n">
        <ns0:v>1677.41935483871</ns0:v>
      </ns0:c>
      <ns0:c r="I101" s="7" t="n">
        <ns0:v>6</ns0:v>
      </ns0:c>
      <ns0:c r="J101" s="7" t="n">
        <ns0:v>6</ns0:v>
      </ns0:c>
      <ns0:c r="K101" s="7" t="n">
        <ns0:v>6</ns0:v>
      </ns0:c>
      <ns0:c r="L101" s="7" t="n">
        <ns0:v>24181.82795698925</ns0:v>
      </ns0:c>
      <ns0:c r="M101" s="7" t="n">
        <ns0:v>85274.5161290323</ns0:v>
      </ns0:c>
      <ns0:c r="N101" s="7" t="n">
        <ns0:v>155457.5268817204</ns0:v>
      </ns0:c>
      <ns0:c r="O101" s="7" t="n">
        <ns0:v>330915.0537634408</ns0:v>
      </ns0:c>
      <ns0:c r="P101" s="7" t="n">
        <ns0:v>1012745.161290323</ns0:v>
      </ns0:c>
      <ns0:c r="Q101" s="7" t="n">
        <ns0:v>3429150.537634408</ns0:v>
      </ns0:c>
    </ns0:row>
    <ns0:row r="102" ht="24" customHeight="1">
      <ns0:c r="A102" s="3" t="inlineStr">
        <ns0:is>
          <ns0:t>Guard単独</ns0:t>
        </ns0:is>
      </ns0:c>
      <ns0:c r="B102" s="4" t="n">
        <ns0:v>2</ns0:v>
      </ns0:c>
      <ns0:c r="C102" s="4" t="n">
        <ns0:v>0</ns0:v>
      </ns0:c>
      <ns0:c r="D102" s="6" t="n">
        <ns0:v>0.5</ns0:v>
      </ns0:c>
      <ns0:c r="E102" s="7" t="n">
        <ns0:v>8349.462365591398</ns0:v>
      </ns0:c>
      <ns0:c r="F102" s="7" t="n">
        <ns0:v>4193.548387096774</ns0:v>
      </ns0:c>
      <ns0:c r="G102" s="7" t="n">
        <ns0:v>4155.913978494624</ns0:v>
      </ns0:c>
      <ns0:c r="H102" s="7" t="n">
        <ns0:v>2096.774193548387</ns0:v>
      </ns0:c>
      <ns0:c r="I102" s="7" t="n">
        <ns0:v>7</ns0:v>
      </ns0:c>
      <ns0:c r="J102" s="7" t="n">
        <ns0:v>7</ns0:v>
      </ns0:c>
      <ns0:c r="K102" s="7" t="n">
        <ns0:v>7</ns0:v>
      </ns0:c>
      <ns0:c r="L102" s="7" t="n">
        <ns0:v>19988.27956989248</ns0:v>
      </ns0:c>
      <ns0:c r="M102" s="7" t="n">
        <ns0:v>72693.87096774197</ns0:v>
      </ns0:c>
      <ns0:c r="N102" s="7" t="n">
        <ns0:v>134489.7849462365</ns0:v>
      </ns0:c>
      <ns0:c r="O102" s="7" t="n">
        <ns0:v>288979.5698924731</ns0:v>
      </ns0:c>
      <ns0:c r="P102" s="7" t="n">
        <ns0:v>886938.7096774195</ns0:v>
      </ns0:c>
      <ns0:c r="Q102" s="7" t="n">
        <ns0:v>3009795.698924731</ns0:v>
      </ns0:c>
    </ns0:row>
    <ns0:row r="103" ht="24" customHeight="1">
      <ns0:c r="A103" s="3" t="inlineStr">
        <ns0:is>
          <ns0:t>Send単独</ns0:t>
        </ns0:is>
      </ns0:c>
      <ns0:c r="B103" s="4" t="n">
        <ns0:v>2</ns0:v>
      </ns0:c>
      <ns0:c r="C103" s="4" t="n">
        <ns0:v>0</ns0:v>
      </ns0:c>
      <ns0:c r="D103" s="6" t="n">
        <ns0:v>0.4</ns0:v>
      </ns0:c>
      <ns0:c r="E103" s="7" t="n">
        <ns0:v>4140.082644628099</ns0:v>
      </ns0:c>
      <ns0:c r="F103" s="7" t="n">
        <ns0:v>1761.363636363636</ns0:v>
      </ns0:c>
      <ns0:c r="G103" s="7" t="n">
        <ns0:v>2378.719008264462</ns0:v>
      </ns0:c>
      <ns0:c r="H103" s="7" t="n">
        <ns0:v>704.5454545454545</ns0:v>
      </ns0:c>
      <ns0:c r="I103" s="7" t="n">
        <ns0:v>12</ns0:v>
      </ns0:c>
      <ns0:c r="J103" s="7" t="n">
        <ns0:v>12</ns0:v>
      </ns0:c>
      <ns0:c r="K103" s="7" t="n">
        <ns0:v>12</ns0:v>
      </ns0:c>
      <ns0:c r="L103" s="7" t="n">
        <ns0:v>-830.3360389879745</ns0:v>
      </ns0:c>
      <ns0:c r="M103" s="7" t="n">
        <ns0:v>53030.86113565166</ns0:v>
      </ns0:c>
      <ns0:c r="N103" s="7" t="n">
        <ns0:v>111392.0583102913</ns0:v>
      </ns0:c>
      <ns0:c r="O103" s="7" t="n">
        <ns0:v>257295.0512468904</ns0:v>
      </ns0:c>
      <ns0:c r="P103" s="7" t="n">
        <ns0:v>818907.0229932867</ns0:v>
      </ns0:c>
      <ns0:c r="Q103" s="7" t="n">
        <ns0:v>2831548.924105674</ns0:v>
      </ns0:c>
    </ns0:row>
    <ns0:row r="104" ht="24" customHeight="1">
      <ns0:c r="A104" s="3" t="inlineStr">
        <ns0:is>
          <ns0:t>Send単独</ns0:t>
        </ns0:is>
      </ns0:c>
      <ns0:c r="B104" s="4" t="n">
        <ns0:v>2</ns0:v>
      </ns0:c>
      <ns0:c r="C104" s="4" t="n">
        <ns0:v>0</ns0:v>
      </ns0:c>
      <ns0:c r="D104" s="6" t="n">
        <ns0:v>0.5</ns0:v>
      </ns0:c>
      <ns0:c r="E104" s="7" t="n">
        <ns0:v>4140.082644628099</ns0:v>
      </ns0:c>
      <ns0:c r="F104" s="7" t="n">
        <ns0:v>1761.363636363636</ns0:v>
      </ns0:c>
      <ns0:c r="G104" s="7" t="n">
        <ns0:v>2378.719008264462</ns0:v>
      </ns0:c>
      <ns0:c r="H104" s="7" t="n">
        <ns0:v>880.6818181818181</ns0:v>
      </ns0:c>
      <ns0:c r="I104" s="7" t="n">
        <ns0:v>13</ns0:v>
      </ns0:c>
      <ns0:c r="J104" s="7" t="n">
        <ns0:v>13</ns0:v>
      </ns0:c>
      <ns0:c r="K104" s="7" t="n">
        <ns0:v>13</ns0:v>
      </ns0:c>
      <ns0:c r="L104" s="7" t="n">
        <ns0:v>-2591.699675351621</ns0:v>
      </ns0:c>
      <ns0:c r="M104" s="7" t="n">
        <ns0:v>47746.77022656074</ns0:v>
      </ns0:c>
      <ns0:c r="N104" s="7" t="n">
        <ns0:v>102585.2401284731</ns0:v>
      </ns0:c>
      <ns0:c r="O104" s="7" t="n">
        <ns0:v>239681.414883254</ns0:v>
      </ns0:c>
      <ns0:c r="P104" s="7" t="n">
        <ns0:v>766066.1139023777</ns0:v>
      </ns0:c>
      <ns0:c r="Q104" s="7" t="n">
        <ns0:v>2655412.56046931</ns0:v>
      </ns0:c>
    </ns0:row>
    <ns0:row r="105" ht="24" customHeight="1">
      <ns0:c r="A105" s="3" t="inlineStr">
        <ns0:is>
          <ns0:t>パック単独</ns0:t>
        </ns0:is>
      </ns0:c>
      <ns0:c r="B105" s="4" t="n">
        <ns0:v>2</ns0:v>
      </ns0:c>
      <ns0:c r="C105" s="4" t="n">
        <ns0:v>0</ns0:v>
      </ns0:c>
      <ns0:c r="D105" s="6" t="n">
        <ns0:v>0.4</ns0:v>
      </ns0:c>
      <ns0:c r="E105" s="7" t="n">
        <ns0:v>11470.15250544662</ns0:v>
      </ns0:c>
      <ns0:c r="F105" s="7" t="n">
        <ns0:v>4974.945533769063</ns0:v>
      </ns0:c>
      <ns0:c r="G105" s="7" t="n">
        <ns0:v>6495.20697167756</ns0:v>
      </ns0:c>
      <ns0:c r="H105" s="7" t="n">
        <ns0:v>1989.978213507625</ns0:v>
      </ns0:c>
      <ns0:c r="I105" s="7" t="n">
        <ns0:v>8</ns0:v>
      </ns0:c>
      <ns0:c r="J105" s="7" t="n">
        <ns0:v>8</ns0:v>
      </ns0:c>
      <ns0:c r="K105" s="7" t="n">
        <ns0:v>12</ns0:v>
      </ns0:c>
      <ns0:c r="L105" s="7" t="n">
        <ns0:v>17441.43140829444</ns0:v>
      </ns0:c>
      <ns0:c r="M105" s="7" t="n">
        <ns0:v>123516.751712793</ns0:v>
      </ns0:c>
      <ns0:c r="N105" s="7" t="n">
        <ns0:v>242201.8759388603</ns0:v>
      </ns0:c>
      <ns0:c r="O105" s="7" t="n">
        <ns0:v>538914.6865040284</ns0:v>
      </ns0:c>
      <ns0:c r="P105" s="7" t="n">
        <ns0:v>1683765.9287647</ns0:v>
      </ns0:c>
      <ns0:c r="Q105" s="7" t="n">
        <ns0:v>5767745.276677053</ns0:v>
      </ns0:c>
    </ns0:row>
    <ns0:row r="106" ht="24" customHeight="1">
      <ns0:c r="A106" s="3" t="inlineStr">
        <ns0:is>
          <ns0:t>パック単独</ns0:t>
        </ns0:is>
      </ns0:c>
      <ns0:c r="B106" s="4" t="n">
        <ns0:v>2</ns0:v>
      </ns0:c>
      <ns0:c r="C106" s="4" t="n">
        <ns0:v>0</ns0:v>
      </ns0:c>
      <ns0:c r="D106" s="6" t="n">
        <ns0:v>0.5</ns0:v>
      </ns0:c>
      <ns0:c r="E106" s="7" t="n">
        <ns0:v>11470.15250544662</ns0:v>
      </ns0:c>
      <ns0:c r="F106" s="7" t="n">
        <ns0:v>4974.945533769063</ns0:v>
      </ns0:c>
      <ns0:c r="G106" s="7" t="n">
        <ns0:v>6495.20697167756</ns0:v>
      </ns0:c>
      <ns0:c r="H106" s="7" t="n">
        <ns0:v>2487.472766884532</ns0:v>
      </ns0:c>
      <ns0:c r="I106" s="7" t="n">
        <ns0:v>9</ns0:v>
      </ns0:c>
      <ns0:c r="J106" s="7" t="n">
        <ns0:v>9</ns0:v>
      </ns0:c>
      <ns0:c r="K106" s="7" t="n">
        <ns0:v>13</ns0:v>
      </ns0:c>
      <ns0:c r="L106" s="7" t="n">
        <ns0:v>12466.48587452538</ns0:v>
      </ns0:c>
      <ns0:c r="M106" s="7" t="n">
        <ns0:v>108591.9151114858</ns0:v>
      </ns0:c>
      <ns0:c r="N106" s="7" t="n">
        <ns0:v>217327.148270015</ns0:v>
      </ns0:c>
      <ns0:c r="O106" s="7" t="n">
        <ns0:v>489165.2311663377</ns0:v>
      </ns0:c>
      <ns0:c r="P106" s="7" t="n">
        <ns0:v>1534517.562751628</ns0:v>
      </ns0:c>
      <ns0:c r="Q106" s="7" t="n">
        <ns0:v>5270250.723300148</ns0:v>
      </ns0:c>
    </ns0:row>
    <ns0:row r="107" ht="24" customHeight="1">
      <ns0:c r="A107" s="3" t="inlineStr">
        <ns0:is>
          <ns0:t>混在・パック30%</ns0:t>
        </ns0:is>
      </ns0:c>
      <ns0:c r="B107" s="4" t="n">
        <ns0:v>2</ns0:v>
      </ns0:c>
      <ns0:c r="C107" s="4" t="n">
        <ns0:v>0</ns0:v>
      </ns0:c>
      <ns0:c r="D107" s="6" t="n">
        <ns0:v>0.4</ns0:v>
      </ns0:c>
      <ns0:c r="E107" s="7" t="n">
        <ns0:v>8022.855491258974</ns0:v>
      </ns0:c>
      <ns0:c r="F107" s="7" t="n">
        <ns0:v>3698.31210587852</ns0:v>
      </ns0:c>
      <ns0:c r="G107" s="7" t="n">
        <ns0:v>4324.543385380455</ns0:v>
      </ns0:c>
      <ns0:c r="H107" s="7" t="n">
        <ns0:v>1479.324842351408</ns0:v>
      </ns0:c>
      <ns0:c r="I107" s="7" t="n">
        <ns0:v>12</ns0:v>
      </ns0:c>
      <ns0:c r="J107" s="7" t="n">
        <ns0:v>12</ns0:v>
      </ns0:c>
      <ns0:c r="K107" s="7" t="n">
        <ns0:v>20</ns0:v>
      </ns0:c>
      <ns0:c r="L107" s="7" t="n">
        <ns0:v>-7098.31405693548</ns0:v>
      </ns0:c>
      <ns0:c r="M107" s="7" t="n">
        <ns0:v>67269.71645562316</ns0:v>
      </ns0:c>
      <ns0:c r="N107" s="7" t="n">
        <ns0:v>148456.8171769105</ns0:v>
      </ns0:c>
      <ns0:c r="O107" s="7" t="n">
        <ns0:v>351424.5689801287</ns0:v>
      </ns0:c>
      <ns0:c r="P107" s="7" t="n">
        <ns0:v>1121295.576193002</ns0:v>
      </ns0:c>
      <ns0:c r="Q107" s="7" t="n">
        <ns0:v>3892844.101438058</ns0:v>
      </ns0:c>
    </ns0:row>
    <ns0:row r="108" ht="24" customHeight="1">
      <ns0:c r="A108" s="3" t="inlineStr">
        <ns0:is>
          <ns0:t>混在・パック30%</ns0:t>
        </ns0:is>
      </ns0:c>
      <ns0:c r="B108" s="4" t="n">
        <ns0:v>2</ns0:v>
      </ns0:c>
      <ns0:c r="C108" s="4" t="n">
        <ns0:v>0</ns0:v>
      </ns0:c>
      <ns0:c r="D108" s="6" t="n">
        <ns0:v>0.5</ns0:v>
      </ns0:c>
      <ns0:c r="E108" s="7" t="n">
        <ns0:v>8022.855491258974</ns0:v>
      </ns0:c>
      <ns0:c r="F108" s="7" t="n">
        <ns0:v>3698.31210587852</ns0:v>
      </ns0:c>
      <ns0:c r="G108" s="7" t="n">
        <ns0:v>4324.543385380455</ns0:v>
      </ns0:c>
      <ns0:c r="H108" s="7" t="n">
        <ns0:v>1849.15605293926</ns0:v>
      </ns0:c>
      <ns0:c r="I108" s="7" t="n">
        <ns0:v>13</ns0:v>
      </ns0:c>
      <ns0:c r="J108" s="7" t="n">
        <ns0:v>13</ns0:v>
      </ns0:c>
      <ns0:c r="K108" s="7" t="n">
        <ns0:v>22</ns0:v>
      </ns0:c>
      <ns0:c r="L108" s="7" t="n">
        <ns0:v>-10796.62616281401</ns0:v>
      </ns0:c>
      <ns0:c r="M108" s="7" t="n">
        <ns0:v>56174.78013798763</ns0:v>
      </ns0:c>
      <ns0:c r="N108" s="7" t="n">
        <ns0:v>129965.2566475179</ns0:v>
      </ns0:c>
      <ns0:c r="O108" s="7" t="n">
        <ns0:v>314441.4479213436</ns0:v>
      </ns0:c>
      <ns0:c r="P108" s="7" t="n">
        <ns0:v>1010346.213016646</ns0:v>
      </ns0:c>
      <ns0:c r="Q108" s="7" t="n">
        <ns0:v>3523012.890850207</ns0:v>
      </ns0:c>
    </ns0:row>
    <ns0:row r="109" ht="24" customHeight="1">
      <ns0:c r="A109" s="3" t="inlineStr">
        <ns0:is>
          <ns0:t>混在・パック50%</ns0:t>
        </ns0:is>
      </ns0:c>
      <ns0:c r="B109" s="4" t="n">
        <ns0:v>2</ns0:v>
      </ns0:c>
      <ns0:c r="C109" s="4" t="n">
        <ns0:v>0</ns0:v>
      </ns0:c>
      <ns0:c r="D109" s="6" t="n">
        <ns0:v>0.4</ns0:v>
      </ns0:c>
      <ns0:c r="E109" s="7" t="n">
        <ns0:v>9007.797495312589</ns0:v>
      </ns0:c>
      <ns0:c r="F109" s="7" t="n">
        <ns0:v>4063.064513847246</ns0:v>
      </ns0:c>
      <ns0:c r="G109" s="7" t="n">
        <ns0:v>4944.732981465342</ns0:v>
      </ns0:c>
      <ns0:c r="H109" s="7" t="n">
        <ns0:v>1625.225805538898</ns0:v>
      </ns0:c>
      <ns0:c r="I109" s="7" t="n">
        <ns0:v>11</ns0:v>
      </ns0:c>
      <ns0:c r="J109" s="7" t="n">
        <ns0:v>11</ns0:v>
      </ns0:c>
      <ns0:c r="K109" s="7" t="n">
        <ns0:v>17</ns0:v>
      </ns0:c>
      <ns0:c r="L109" s="7" t="n">
        <ns0:v>-86.958209726934</ns0:v>
      </ns0:c>
      <ns0:c r="M109" s="7" t="n">
        <ns0:v>83340.29795767172</ns0:v>
      </ns0:c>
      <ns0:c r="N109" s="7" t="n">
        <ns0:v>175241.1196803247</ns0:v>
      </ns0:c>
      <ns0:c r="O109" s="7" t="n">
        <ns0:v>404993.1739869572</ns0:v>
      </ns0:c>
      <ns0:c r="P109" s="7" t="n">
        <ns0:v>1282001.391213488</ns0:v>
      </ns0:c>
      <ns0:c r="Q109" s="7" t="n">
        <ns0:v>4428530.151506342</ns0:v>
      </ns0:c>
    </ns0:row>
    <ns0:row r="110" ht="24" customHeight="1">
      <ns0:c r="A110" s="3" t="inlineStr">
        <ns0:is>
          <ns0:t>混在・パック50%</ns0:t>
        </ns0:is>
      </ns0:c>
      <ns0:c r="B110" s="4" t="n">
        <ns0:v>2</ns0:v>
      </ns0:c>
      <ns0:c r="C110" s="4" t="n">
        <ns0:v>0</ns0:v>
      </ns0:c>
      <ns0:c r="D110" s="6" t="n">
        <ns0:v>0.5</ns0:v>
      </ns0:c>
      <ns0:c r="E110" s="7" t="n">
        <ns0:v>9007.797495312589</ns0:v>
      </ns0:c>
      <ns0:c r="F110" s="7" t="n">
        <ns0:v>4063.064513847246</ns0:v>
      </ns0:c>
      <ns0:c r="G110" s="7" t="n">
        <ns0:v>4944.732981465342</ns0:v>
      </ns0:c>
      <ns0:c r="H110" s="7" t="n">
        <ns0:v>2031.532256923623</ns0:v>
      </ns0:c>
      <ns0:c r="I110" s="7" t="n">
        <ns0:v>11</ns0:v>
      </ns0:c>
      <ns0:c r="J110" s="7" t="n">
        <ns0:v>11</ns0:v>
      </ns0:c>
      <ns0:c r="K110" s="7" t="n">
        <ns0:v>18</ns0:v>
      </ns0:c>
      <ns0:c r="L110" s="7" t="n">
        <ns0:v>-4150.02272357418</ns0:v>
      </ns0:c>
      <ns0:c r="M110" s="7" t="n">
        <ns0:v>71151.10441612999</ns0:v>
      </ns0:c>
      <ns0:c r="N110" s="7" t="n">
        <ns0:v>154925.7971110884</ns0:v>
      </ns0:c>
      <ns0:c r="O110" s="7" t="n">
        <ns0:v>364362.5288484847</ns0:v>
      </ns0:c>
      <ns0:c r="P110" s="7" t="n">
        <ns0:v>1160109.45579807</ns0:v>
      </ns0:c>
      <ns0:c r="Q110" s="7" t="n">
        <ns0:v>4022223.700121618</ns0:v>
      </ns0:c>
    </ns0:row>
    <ns0:row r="111" ht="24" customHeight="1">
      <ns0:c r="A111" s="3" t="inlineStr">
        <ns0:is>
          <ns0:t>混在・パック70%</ns0:t>
        </ns0:is>
      </ns0:c>
      <ns0:c r="B111" s="4" t="n">
        <ns0:v>2</ns0:v>
      </ns0:c>
      <ns0:c r="C111" s="4" t="n">
        <ns0:v>0</ns0:v>
      </ns0:c>
      <ns0:c r="D111" s="6" t="n">
        <ns0:v>0.4</ns0:v>
      </ns0:c>
      <ns0:c r="E111" s="7" t="n">
        <ns0:v>9992.739499366202</ns0:v>
      </ns0:c>
      <ns0:c r="F111" s="7" t="n">
        <ns0:v>4427.816921815973</ns0:v>
      </ns0:c>
      <ns0:c r="G111" s="7" t="n">
        <ns0:v>5564.922577550228</ns0:v>
      </ns0:c>
      <ns0:c r="H111" s="7" t="n">
        <ns0:v>1771.126768726389</ns0:v>
      </ns0:c>
      <ns0:c r="I111" s="7" t="n">
        <ns0:v>10</ns0:v>
      </ns0:c>
      <ns0:c r="J111" s="7" t="n">
        <ns0:v>10</ns0:v>
      </ns0:c>
      <ns0:c r="K111" s="7" t="n">
        <ns0:v>15</ns0:v>
      </ns0:c>
      <ns0:c r="L111" s="7" t="n">
        <ns0:v>6924.397637481619</ns0:v>
      </ns0:c>
      <ns0:c r="M111" s="7" t="n">
        <ns0:v>99410.87945972025</ns0:v>
      </ns0:c>
      <ns0:c r="N111" s="7" t="n">
        <ns0:v>202025.4221837389</ns0:v>
      </ns0:c>
      <ns0:c r="O111" s="7" t="n">
        <ns0:v>458561.7789937856</ns0:v>
      </ns0:c>
      <ns0:c r="P111" s="7" t="n">
        <ns0:v>1442707.206233973</ns0:v>
      </ns0:c>
      <ns0:c r="Q111" s="7" t="n">
        <ns0:v>4964216.201574627</ns0:v>
      </ns0:c>
    </ns0:row>
    <ns0:row r="112" ht="24" customHeight="1">
      <ns0:c r="A112" s="3" t="inlineStr">
        <ns0:is>
          <ns0:t>混在・パック70%</ns0:t>
        </ns0:is>
      </ns0:c>
      <ns0:c r="B112" s="4" t="n">
        <ns0:v>2</ns0:v>
      </ns0:c>
      <ns0:c r="C112" s="4" t="n">
        <ns0:v>0</ns0:v>
      </ns0:c>
      <ns0:c r="D112" s="6" t="n">
        <ns0:v>0.5</ns0:v>
      </ns0:c>
      <ns0:c r="E112" s="7" t="n">
        <ns0:v>9992.739499366202</ns0:v>
      </ns0:c>
      <ns0:c r="F112" s="7" t="n">
        <ns0:v>4427.816921815973</ns0:v>
      </ns0:c>
      <ns0:c r="G112" s="7" t="n">
        <ns0:v>5564.922577550228</ns0:v>
      </ns0:c>
      <ns0:c r="H112" s="7" t="n">
        <ns0:v>2213.908460907986</ns0:v>
      </ns0:c>
      <ns0:c r="I112" s="7" t="n">
        <ns0:v>10</ns0:v>
      </ns0:c>
      <ns0:c r="J112" s="7" t="n">
        <ns0:v>10</ns0:v>
      </ns0:c>
      <ns0:c r="K112" s="7" t="n">
        <ns0:v>16</ns0:v>
      </ns0:c>
      <ns0:c r="L112" s="7" t="n">
        <ns0:v>2496.580715665645</ns0:v>
      </ns0:c>
      <ns0:c r="M112" s="7" t="n">
        <ns0:v>86127.42869427233</ns0:v>
      </ns0:c>
      <ns0:c r="N112" s="7" t="n">
        <ns0:v>179886.3375746591</ns0:v>
      </ns0:c>
      <ns0:c r="O112" s="7" t="n">
        <ns0:v>414283.609775626</ns0:v>
      </ns0:c>
      <ns0:c r="P112" s="7" t="n">
        <ns0:v>1309872.698579493</ns0:v>
      </ns0:c>
      <ns0:c r="Q112" s="7" t="n">
        <ns0:v>4521434.509393029</ns0:v>
      </ns0:c>
    </ns0:row>
    <ns0:row r="113" ht="24" customHeight="1">
      <ns0:c r="A113" s="3" t="inlineStr">
        <ns0:is>
          <ns0:t>Guard単独</ns0:t>
        </ns0:is>
      </ns0:c>
      <ns0:c r="B113" s="4" t="n">
        <ns0:v>2</ns0:v>
      </ns0:c>
      <ns0:c r="C113" s="4" t="n">
        <ns0:v>1</ns0:v>
      </ns0:c>
      <ns0:c r="D113" s="6" t="n">
        <ns0:v>0.4</ns0:v>
      </ns0:c>
      <ns0:c r="E113" s="7" t="n">
        <ns0:v>8349.462365591398</ns0:v>
      </ns0:c>
      <ns0:c r="F113" s="7" t="n">
        <ns0:v>4193.548387096774</ns0:v>
      </ns0:c>
      <ns0:c r="G113" s="7" t="n">
        <ns0:v>4155.913978494624</ns0:v>
      </ns0:c>
      <ns0:c r="H113" s="7" t="n">
        <ns0:v>1677.41935483871</ns0:v>
      </ns0:c>
      <ns0:c r="I113" s="7" t="n">
        <ns0:v>6</ns0:v>
      </ns0:c>
      <ns0:c r="J113" s="7" t="n">
        <ns0:v>6</ns0:v>
      </ns0:c>
      <ns0:c r="K113" s="7" t="n">
        <ns0:v>6</ns0:v>
      </ns0:c>
      <ns0:c r="L113" s="7" t="n">
        <ns0:v>24181.82795698925</ns0:v>
      </ns0:c>
      <ns0:c r="M113" s="7" t="n">
        <ns0:v>85274.5161290323</ns0:v>
      </ns0:c>
      <ns0:c r="N113" s="7" t="n">
        <ns0:v>155457.5268817204</ns0:v>
      </ns0:c>
      <ns0:c r="O113" s="7" t="n">
        <ns0:v>330915.0537634408</ns0:v>
      </ns0:c>
      <ns0:c r="P113" s="7" t="n">
        <ns0:v>1012745.161290323</ns0:v>
      </ns0:c>
      <ns0:c r="Q113" s="7" t="n">
        <ns0:v>3429150.537634408</ns0:v>
      </ns0:c>
    </ns0:row>
    <ns0:row r="114" ht="24" customHeight="1">
      <ns0:c r="A114" s="3" t="inlineStr">
        <ns0:is>
          <ns0:t>Guard単独</ns0:t>
        </ns0:is>
      </ns0:c>
      <ns0:c r="B114" s="4" t="n">
        <ns0:v>2</ns0:v>
      </ns0:c>
      <ns0:c r="C114" s="4" t="n">
        <ns0:v>1</ns0:v>
      </ns0:c>
      <ns0:c r="D114" s="6" t="n">
        <ns0:v>0.5</ns0:v>
      </ns0:c>
      <ns0:c r="E114" s="7" t="n">
        <ns0:v>8349.462365591398</ns0:v>
      </ns0:c>
      <ns0:c r="F114" s="7" t="n">
        <ns0:v>4193.548387096774</ns0:v>
      </ns0:c>
      <ns0:c r="G114" s="7" t="n">
        <ns0:v>4155.913978494624</ns0:v>
      </ns0:c>
      <ns0:c r="H114" s="7" t="n">
        <ns0:v>2096.774193548387</ns0:v>
      </ns0:c>
      <ns0:c r="I114" s="7" t="n">
        <ns0:v>7</ns0:v>
      </ns0:c>
      <ns0:c r="J114" s="7" t="n">
        <ns0:v>7</ns0:v>
      </ns0:c>
      <ns0:c r="K114" s="7" t="n">
        <ns0:v>7</ns0:v>
      </ns0:c>
      <ns0:c r="L114" s="7" t="n">
        <ns0:v>19988.27956989248</ns0:v>
      </ns0:c>
      <ns0:c r="M114" s="7" t="n">
        <ns0:v>72693.87096774197</ns0:v>
      </ns0:c>
      <ns0:c r="N114" s="7" t="n">
        <ns0:v>134489.7849462365</ns0:v>
      </ns0:c>
      <ns0:c r="O114" s="7" t="n">
        <ns0:v>288979.5698924731</ns0:v>
      </ns0:c>
      <ns0:c r="P114" s="7" t="n">
        <ns0:v>886938.7096774195</ns0:v>
      </ns0:c>
      <ns0:c r="Q114" s="7" t="n">
        <ns0:v>3009795.698924731</ns0:v>
      </ns0:c>
    </ns0:row>
    <ns0:row r="115" ht="24" customHeight="1">
      <ns0:c r="A115" s="3" t="inlineStr">
        <ns0:is>
          <ns0:t>Send単独</ns0:t>
        </ns0:is>
      </ns0:c>
      <ns0:c r="B115" s="4" t="n">
        <ns0:v>2</ns0:v>
      </ns0:c>
      <ns0:c r="C115" s="4" t="n">
        <ns0:v>1</ns0:v>
      </ns0:c>
      <ns0:c r="D115" s="6" t="n">
        <ns0:v>0.4</ns0:v>
      </ns0:c>
      <ns0:c r="E115" s="7" t="n">
        <ns0:v>4140.082644628099</ns0:v>
      </ns0:c>
      <ns0:c r="F115" s="7" t="n">
        <ns0:v>1761.363636363636</ns0:v>
      </ns0:c>
      <ns0:c r="G115" s="7" t="n">
        <ns0:v>2378.719008264462</ns0:v>
      </ns0:c>
      <ns0:c r="H115" s="7" t="n">
        <ns0:v>704.5454545454545</ns0:v>
      </ns0:c>
      <ns0:c r="I115" s="7" t="n">
        <ns0:v>15</ns0:v>
      </ns0:c>
      <ns0:c r="J115" s="7" t="n">
        <ns0:v>15</ns0:v>
      </ns0:c>
      <ns0:c r="K115" s="7" t="n">
        <ns0:v>15</ns0:v>
      </ns0:c>
      <ns0:c r="L115" s="7" t="n">
        <ns0:v>-6123.717734035246</ns0:v>
      </ns0:c>
      <ns0:c r="M115" s="7" t="n">
        <ns0:v>37150.71605050985</ns0:v>
      </ns0:c>
      <ns0:c r="N115" s="7" t="n">
        <ns0:v>84925.14983505497</ns0:v>
      </ns0:c>
      <ns0:c r="O115" s="7" t="n">
        <ns0:v>204361.2342964177</ns0:v>
      </ns0:c>
      <ns0:c r="P115" s="7" t="n">
        <ns0:v>660105.5721418685</ns0:v>
      </ns0:c>
      <ns0:c r="Q115" s="7" t="n">
        <ns0:v>2302210.754600947</ns0:v>
      </ns0:c>
    </ns0:row>
    <ns0:row r="116" ht="24" customHeight="1">
      <ns0:c r="A116" s="3" t="inlineStr">
        <ns0:is>
          <ns0:t>Send単独</ns0:t>
        </ns0:is>
      </ns0:c>
      <ns0:c r="B116" s="4" t="n">
        <ns0:v>2</ns0:v>
      </ns0:c>
      <ns0:c r="C116" s="4" t="n">
        <ns0:v>1</ns0:v>
      </ns0:c>
      <ns0:c r="D116" s="6" t="n">
        <ns0:v>0.5</ns0:v>
      </ns0:c>
      <ns0:c r="E116" s="7" t="n">
        <ns0:v>4140.082644628099</ns0:v>
      </ns0:c>
      <ns0:c r="F116" s="7" t="n">
        <ns0:v>1761.363636363636</ns0:v>
      </ns0:c>
      <ns0:c r="G116" s="7" t="n">
        <ns0:v>2378.719008264462</ns0:v>
      </ns0:c>
      <ns0:c r="H116" s="7" t="n">
        <ns0:v>880.6818181818181</ns0:v>
      </ns0:c>
      <ns0:c r="I116" s="7" t="n">
        <ns0:v>16</ns0:v>
      </ns0:c>
      <ns0:c r="J116" s="7" t="n">
        <ns0:v>16</ns0:v>
      </ns0:c>
      <ns0:c r="K116" s="7" t="n">
        <ns0:v>16</ns0:v>
      </ns0:c>
      <ns0:c r="L116" s="7" t="n">
        <ns0:v>-7885.08137039889</ns0:v>
      </ns0:c>
      <ns0:c r="M116" s="7" t="n">
        <ns0:v>31866.62514141894</ns0:v>
      </ns0:c>
      <ns0:c r="N116" s="7" t="n">
        <ns0:v>76118.33165323679</ns0:v>
      </ns0:c>
      <ns0:c r="O116" s="7" t="n">
        <ns0:v>186747.5979327814</ns0:v>
      </ns0:c>
      <ns0:c r="P116" s="7" t="n">
        <ns0:v>607264.6630509596</ns0:v>
      </ns0:c>
      <ns0:c r="Q116" s="7" t="n">
        <ns0:v>2126074.390964583</ns0:v>
      </ns0:c>
    </ns0:row>
    <ns0:row r="117" ht="24" customHeight="1">
      <ns0:c r="A117" s="3" t="inlineStr">
        <ns0:is>
          <ns0:t>パック単独</ns0:t>
        </ns0:is>
      </ns0:c>
      <ns0:c r="B117" s="4" t="n">
        <ns0:v>2</ns0:v>
      </ns0:c>
      <ns0:c r="C117" s="4" t="n">
        <ns0:v>1</ns0:v>
      </ns0:c>
      <ns0:c r="D117" s="6" t="n">
        <ns0:v>0.4</ns0:v>
      </ns0:c>
      <ns0:c r="E117" s="7" t="n">
        <ns0:v>11470.15250544662</ns0:v>
      </ns0:c>
      <ns0:c r="F117" s="7" t="n">
        <ns0:v>4974.945533769063</ns0:v>
      </ns0:c>
      <ns0:c r="G117" s="7" t="n">
        <ns0:v>6495.20697167756</ns0:v>
      </ns0:c>
      <ns0:c r="H117" s="7" t="n">
        <ns0:v>1989.978213507625</ns0:v>
      </ns0:c>
      <ns0:c r="I117" s="7" t="n">
        <ns0:v>9</ns0:v>
      </ns0:c>
      <ns0:c r="J117" s="7" t="n">
        <ns0:v>9</ns0:v>
      </ns0:c>
      <ns0:c r="K117" s="7" t="n">
        <ns0:v>15</ns0:v>
      </ns0:c>
      <ns0:c r="L117" s="7" t="n">
        <ns0:v>12052.96201599203</ns0:v>
      </ns0:c>
      <ns0:c r="M117" s="7" t="n">
        <ns0:v>107351.3435358858</ns0:v>
      </ns0:c>
      <ns0:c r="N117" s="7" t="n">
        <ns0:v>215259.5289773483</ns0:v>
      </ns0:c>
      <ns0:c r="O117" s="7" t="n">
        <ns0:v>485029.9925810043</ns0:v>
      </ns0:c>
      <ns0:c r="P117" s="7" t="n">
        <ns0:v>1522111.846995628</ns0:v>
      </ns0:c>
      <ns0:c r="Q117" s="7" t="n">
        <ns0:v>5228898.337446813</ns0:v>
      </ns0:c>
    </ns0:row>
    <ns0:row r="118" ht="24" customHeight="1">
      <ns0:c r="A118" s="3" t="inlineStr">
        <ns0:is>
          <ns0:t>パック単独</ns0:t>
        </ns0:is>
      </ns0:c>
      <ns0:c r="B118" s="4" t="n">
        <ns0:v>2</ns0:v>
      </ns0:c>
      <ns0:c r="C118" s="4" t="n">
        <ns0:v>1</ns0:v>
      </ns0:c>
      <ns0:c r="D118" s="6" t="n">
        <ns0:v>0.5</ns0:v>
      </ns0:c>
      <ns0:c r="E118" s="7" t="n">
        <ns0:v>11470.15250544662</ns0:v>
      </ns0:c>
      <ns0:c r="F118" s="7" t="n">
        <ns0:v>4974.945533769063</ns0:v>
      </ns0:c>
      <ns0:c r="G118" s="7" t="n">
        <ns0:v>6495.20697167756</ns0:v>
      </ns0:c>
      <ns0:c r="H118" s="7" t="n">
        <ns0:v>2487.472766884532</ns0:v>
      </ns0:c>
      <ns0:c r="I118" s="7" t="n">
        <ns0:v>9</ns0:v>
      </ns0:c>
      <ns0:c r="J118" s="7" t="n">
        <ns0:v>12</ns0:v>
      </ns0:c>
      <ns0:c r="K118" s="7" t="n">
        <ns0:v>16</ns0:v>
      </ns0:c>
      <ns0:c r="L118" s="7" t="n">
        <ns0:v>7078.016482222967</ns0:v>
      </ns0:c>
      <ns0:c r="M118" s="7" t="n">
        <ns0:v>92426.50693457862</ns0:v>
      </ns0:c>
      <ns0:c r="N118" s="7" t="n">
        <ns0:v>190384.801308503</ns0:v>
      </ns0:c>
      <ns0:c r="O118" s="7" t="n">
        <ns0:v>435280.5372433137</ns0:v>
      </ns0:c>
      <ns0:c r="P118" s="7" t="n">
        <ns0:v>1372863.480982556</ns0:v>
      </ns0:c>
      <ns0:c r="Q118" s="7" t="n">
        <ns0:v>4731403.784069907</ns0:v>
      </ns0:c>
    </ns0:row>
    <ns0:row r="119" ht="24" customHeight="1">
      <ns0:c r="A119" s="3" t="inlineStr">
        <ns0:is>
          <ns0:t>混在・パック30%</ns0:t>
        </ns0:is>
      </ns0:c>
      <ns0:c r="B119" s="4" t="n">
        <ns0:v>2</ns0:v>
      </ns0:c>
      <ns0:c r="C119" s="4" t="n">
        <ns0:v>1</ns0:v>
      </ns0:c>
      <ns0:c r="D119" s="6" t="n">
        <ns0:v>0.4</ns0:v>
      </ns0:c>
      <ns0:c r="E119" s="7" t="n">
        <ns0:v>8022.855491258974</ns0:v>
      </ns0:c>
      <ns0:c r="F119" s="7" t="n">
        <ns0:v>3698.31210587852</ns0:v>
      </ns0:c>
      <ns0:c r="G119" s="7" t="n">
        <ns0:v>4324.543385380455</ns0:v>
      </ns0:c>
      <ns0:c r="H119" s="7" t="n">
        <ns0:v>1479.324842351408</ns0:v>
      </ns0:c>
      <ns0:c r="I119" s="7" t="n">
        <ns0:v>12</ns0:v>
      </ns0:c>
      <ns0:c r="J119" s="7" t="n">
        <ns0:v>12</ns0:v>
      </ns0:c>
      <ns0:c r="K119" s="7" t="n">
        <ns0:v>25</ns0:v>
      </ns0:c>
      <ns0:c r="L119" s="7" t="n">
        <ns0:v>-10302.86938314038</ns0:v>
      </ns0:c>
      <ns0:c r="M119" s="7" t="n">
        <ns0:v>57656.05047700845</ns0:v>
      </ns0:c>
      <ns0:c r="N119" s="7" t="n">
        <ns0:v>132434.0405458859</ns0:v>
      </ns0:c>
      <ns0:c r="O119" s="7" t="n">
        <ns0:v>319379.0157180796</ns0:v>
      </ns0:c>
      <ns0:c r="P119" s="7" t="n">
        <ns0:v>1025158.916406855</ns0:v>
      </ns0:c>
      <ns0:c r="Q119" s="7" t="n">
        <ns0:v>3572388.568817568</ns0:v>
      </ns0:c>
    </ns0:row>
    <ns0:row r="120" ht="24" customHeight="1">
      <ns0:c r="A120" s="3" t="inlineStr">
        <ns0:is>
          <ns0:t>混在・パック30%</ns0:t>
        </ns0:is>
      </ns0:c>
      <ns0:c r="B120" s="4" t="n">
        <ns0:v>2</ns0:v>
      </ns0:c>
      <ns0:c r="C120" s="4" t="n">
        <ns0:v>1</ns0:v>
      </ns0:c>
      <ns0:c r="D120" s="6" t="n">
        <ns0:v>0.5</ns0:v>
      </ns0:c>
      <ns0:c r="E120" s="7" t="n">
        <ns0:v>8022.855491258974</ns0:v>
      </ns0:c>
      <ns0:c r="F120" s="7" t="n">
        <ns0:v>3698.31210587852</ns0:v>
      </ns0:c>
      <ns0:c r="G120" s="7" t="n">
        <ns0:v>4324.543385380455</ns0:v>
      </ns0:c>
      <ns0:c r="H120" s="7" t="n">
        <ns0:v>1849.15605293926</ns0:v>
      </ns0:c>
      <ns0:c r="I120" s="7" t="n">
        <ns0:v>13</ns0:v>
      </ns0:c>
      <ns0:c r="J120" s="7" t="n">
        <ns0:v>13</ns0:v>
      </ns0:c>
      <ns0:c r="K120" s="7" t="n">
        <ns0:v>27</ns0:v>
      </ns0:c>
      <ns0:c r="L120" s="7" t="n">
        <ns0:v>-14001.18148901891</ns0:v>
      </ns0:c>
      <ns0:c r="M120" s="7" t="n">
        <ns0:v>46561.11415937292</ns0:v>
      </ns0:c>
      <ns0:c r="N120" s="7" t="n">
        <ns0:v>113942.4800164934</ns0:v>
      </ns0:c>
      <ns0:c r="O120" s="7" t="n">
        <ns0:v>282395.8946592946</ns0:v>
      </ns0:c>
      <ns0:c r="P120" s="7" t="n">
        <ns0:v>914209.5532304994</ns0:v>
      </ns0:c>
      <ns0:c r="Q120" s="7" t="n">
        <ns0:v>3202557.358229716</ns0:v>
      </ns0:c>
    </ns0:row>
    <ns0:row r="121" ht="24" customHeight="1">
      <ns0:c r="A121" s="3" t="inlineStr">
        <ns0:is>
          <ns0:t>混在・パック50%</ns0:t>
        </ns0:is>
      </ns0:c>
      <ns0:c r="B121" s="4" t="n">
        <ns0:v>2</ns0:v>
      </ns0:c>
      <ns0:c r="C121" s="4" t="n">
        <ns0:v>1</ns0:v>
      </ns0:c>
      <ns0:c r="D121" s="6" t="n">
        <ns0:v>0.4</ns0:v>
      </ns0:c>
      <ns0:c r="E121" s="7" t="n">
        <ns0:v>9007.797495312589</ns0:v>
      </ns0:c>
      <ns0:c r="F121" s="7" t="n">
        <ns0:v>4063.064513847246</ns0:v>
      </ns0:c>
      <ns0:c r="G121" s="7" t="n">
        <ns0:v>4944.732981465342</ns0:v>
      </ns0:c>
      <ns0:c r="H121" s="7" t="n">
        <ns0:v>1625.225805538898</ns0:v>
      </ns0:c>
      <ns0:c r="I121" s="7" t="n">
        <ns0:v>11</ns0:v>
      </ns0:c>
      <ns0:c r="J121" s="7" t="n">
        <ns0:v>11</ns0:v>
      </ns0:c>
      <ns0:c r="K121" s="7" t="n">
        <ns0:v>21</ns0:v>
      </ns0:c>
      <ns0:c r="L121" s="7" t="n">
        <ns0:v>-3915.48898338827</ns0:v>
      </ns0:c>
      <ns0:c r="M121" s="7" t="n">
        <ns0:v>71854.70563668772</ns0:v>
      </ns0:c>
      <ns0:c r="N121" s="7" t="n">
        <ns0:v>156098.465812018</ns0:v>
      </ns0:c>
      <ns0:c r="O121" s="7" t="n">
        <ns0:v>366707.8662503439</ns0:v>
      </ns0:c>
      <ns0:c r="P121" s="7" t="n">
        <ns0:v>1167145.468003647</ns0:v>
      </ns0:c>
      <ns0:c r="Q121" s="7" t="n">
        <ns0:v>4045677.074140208</ns0:v>
      </ns0:c>
    </ns0:row>
    <ns0:row r="122" ht="24" customHeight="1">
      <ns0:c r="A122" s="3" t="inlineStr">
        <ns0:is>
          <ns0:t>混在・パック50%</ns0:t>
        </ns0:is>
      </ns0:c>
      <ns0:c r="B122" s="4" t="n">
        <ns0:v>2</ns0:v>
      </ns0:c>
      <ns0:c r="C122" s="4" t="n">
        <ns0:v>1</ns0:v>
      </ns0:c>
      <ns0:c r="D122" s="6" t="n">
        <ns0:v>0.5</ns0:v>
      </ns0:c>
      <ns0:c r="E122" s="7" t="n">
        <ns0:v>9007.797495312589</ns0:v>
      </ns0:c>
      <ns0:c r="F122" s="7" t="n">
        <ns0:v>4063.064513847246</ns0:v>
      </ns0:c>
      <ns0:c r="G122" s="7" t="n">
        <ns0:v>4944.732981465342</ns0:v>
      </ns0:c>
      <ns0:c r="H122" s="7" t="n">
        <ns0:v>2031.532256923623</ns0:v>
      </ns0:c>
      <ns0:c r="I122" s="7" t="n">
        <ns0:v>12</ns0:v>
      </ns0:c>
      <ns0:c r="J122" s="7" t="n">
        <ns0:v>14</ns0:v>
      </ns0:c>
      <ns0:c r="K122" s="7" t="n">
        <ns0:v>23</ns0:v>
      </ns0:c>
      <ns0:c r="L122" s="7" t="n">
        <ns0:v>-7978.553497235516</ns0:v>
      </ns0:c>
      <ns0:c r="M122" s="7" t="n">
        <ns0:v>59665.512095146</ns0:v>
      </ns0:c>
      <ns0:c r="N122" s="7" t="n">
        <ns0:v>135783.1432427818</ns0:v>
      </ns0:c>
      <ns0:c r="O122" s="7" t="n">
        <ns0:v>326077.2211118713</ns0:v>
      </ns0:c>
      <ns0:c r="P122" s="7" t="n">
        <ns0:v>1045253.53258823</ns0:v>
      </ns0:c>
      <ns0:c r="Q122" s="7" t="n">
        <ns0:v>3639370.622755484</ns0:v>
      </ns0:c>
    </ns0:row>
    <ns0:row r="123" ht="24" customHeight="1">
      <ns0:c r="A123" s="3" t="inlineStr">
        <ns0:is>
          <ns0:t>混在・パック70%</ns0:t>
        </ns0:is>
      </ns0:c>
      <ns0:c r="B123" s="4" t="n">
        <ns0:v>2</ns0:v>
      </ns0:c>
      <ns0:c r="C123" s="4" t="n">
        <ns0:v>1</ns0:v>
      </ns0:c>
      <ns0:c r="D123" s="6" t="n">
        <ns0:v>0.4</ns0:v>
      </ns0:c>
      <ns0:c r="E123" s="7" t="n">
        <ns0:v>9992.739499366202</ns0:v>
      </ns0:c>
      <ns0:c r="F123" s="7" t="n">
        <ns0:v>4427.816921815973</ns0:v>
      </ns0:c>
      <ns0:c r="G123" s="7" t="n">
        <ns0:v>5564.922577550228</ns0:v>
      </ns0:c>
      <ns0:c r="H123" s="7" t="n">
        <ns0:v>1771.126768726389</ns0:v>
      </ns0:c>
      <ns0:c r="I123" s="7" t="n">
        <ns0:v>10</ns0:v>
      </ns0:c>
      <ns0:c r="J123" s="7" t="n">
        <ns0:v>10</ns0:v>
      </ns0:c>
      <ns0:c r="K123" s="7" t="n">
        <ns0:v>18</ns0:v>
      </ns0:c>
      <ns0:c r="L123" s="7" t="n">
        <ns0:v>2471.891416363851</ns0:v>
      </ns0:c>
      <ns0:c r="M123" s="7" t="n">
        <ns0:v>86053.36079636695</ns0:v>
      </ns0:c>
      <ns0:c r="N123" s="7" t="n">
        <ns0:v>179762.8910781501</ns0:v>
      </ns0:c>
      <ns0:c r="O123" s="7" t="n">
        <ns0:v>414036.716782608</ns0:v>
      </ns0:c>
      <ns0:c r="P123" s="7" t="n">
        <ns0:v>1309132.01960044</ns0:v>
      </ns0:c>
      <ns0:c r="Q123" s="7" t="n">
        <ns0:v>4518965.57946285</ns0:v>
      </ns0:c>
    </ns0:row>
    <ns0:row r="124" ht="24" customHeight="1">
      <ns0:c r="A124" s="3" t="inlineStr">
        <ns0:is>
          <ns0:t>混在・パック70%</ns0:t>
        </ns0:is>
      </ns0:c>
      <ns0:c r="B124" s="4" t="n">
        <ns0:v>2</ns0:v>
      </ns0:c>
      <ns0:c r="C124" s="4" t="n">
        <ns0:v>1</ns0:v>
      </ns0:c>
      <ns0:c r="D124" s="6" t="n">
        <ns0:v>0.5</ns0:v>
      </ns0:c>
      <ns0:c r="E124" s="7" t="n">
        <ns0:v>9992.739499366202</ns0:v>
      </ns0:c>
      <ns0:c r="F124" s="7" t="n">
        <ns0:v>4427.816921815973</ns0:v>
      </ns0:c>
      <ns0:c r="G124" s="7" t="n">
        <ns0:v>5564.922577550228</ns0:v>
      </ns0:c>
      <ns0:c r="H124" s="7" t="n">
        <ns0:v>2213.908460907986</ns0:v>
      </ns0:c>
      <ns0:c r="I124" s="7" t="n">
        <ns0:v>11</ns0:v>
      </ns0:c>
      <ns0:c r="J124" s="7" t="n">
        <ns0:v>11</ns0:v>
      </ns0:c>
      <ns0:c r="K124" s="7" t="n">
        <ns0:v>20</ns0:v>
      </ns0:c>
      <ns0:c r="L124" s="7" t="n">
        <ns0:v>-1955.925505452124</ns0:v>
      </ns0:c>
      <ns0:c r="M124" s="7" t="n">
        <ns0:v>72769.91003091903</ns0:v>
      </ns0:c>
      <ns0:c r="N124" s="7" t="n">
        <ns0:v>157623.8064690703</ns0:v>
      </ns0:c>
      <ns0:c r="O124" s="7" t="n">
        <ns0:v>369758.5475644483</ns0:v>
      </ns0:c>
      <ns0:c r="P124" s="7" t="n">
        <ns0:v>1176297.511945961</ns0:v>
      </ns0:c>
      <ns0:c r="Q124" s="7" t="n">
        <ns0:v>4076183.887281253</ns0:v>
      </ns0:c>
    </ns0:row>
    <ns0:row r="125" ht="24" customHeight="1">
      <ns0:c r="A125" s="3" t="inlineStr">
        <ns0:is>
          <ns0:t>Guard単独</ns0:t>
        </ns0:is>
      </ns0:c>
      <ns0:c r="B125" s="4" t="n">
        <ns0:v>2</ns0:v>
      </ns0:c>
      <ns0:c r="C125" s="4" t="n">
        <ns0:v>2</ns0:v>
      </ns0:c>
      <ns0:c r="D125" s="6" t="n">
        <ns0:v>0.4</ns0:v>
      </ns0:c>
      <ns0:c r="E125" s="7" t="n">
        <ns0:v>8349.462365591398</ns0:v>
      </ns0:c>
      <ns0:c r="F125" s="7" t="n">
        <ns0:v>4193.548387096774</ns0:v>
      </ns0:c>
      <ns0:c r="G125" s="7" t="n">
        <ns0:v>4155.913978494624</ns0:v>
      </ns0:c>
      <ns0:c r="H125" s="7" t="n">
        <ns0:v>1677.41935483871</ns0:v>
      </ns0:c>
      <ns0:c r="I125" s="7" t="n">
        <ns0:v>6</ns0:v>
      </ns0:c>
      <ns0:c r="J125" s="7" t="n">
        <ns0:v>6</ns0:v>
      </ns0:c>
      <ns0:c r="K125" s="7" t="n">
        <ns0:v>6</ns0:v>
      </ns0:c>
      <ns0:c r="L125" s="7" t="n">
        <ns0:v>24181.82795698925</ns0:v>
      </ns0:c>
      <ns0:c r="M125" s="7" t="n">
        <ns0:v>85274.5161290323</ns0:v>
      </ns0:c>
      <ns0:c r="N125" s="7" t="n">
        <ns0:v>155457.5268817204</ns0:v>
      </ns0:c>
      <ns0:c r="O125" s="7" t="n">
        <ns0:v>330915.0537634408</ns0:v>
      </ns0:c>
      <ns0:c r="P125" s="7" t="n">
        <ns0:v>1012745.161290323</ns0:v>
      </ns0:c>
      <ns0:c r="Q125" s="7" t="n">
        <ns0:v>3429150.537634408</ns0:v>
      </ns0:c>
    </ns0:row>
    <ns0:row r="126" ht="24" customHeight="1">
      <ns0:c r="A126" s="3" t="inlineStr">
        <ns0:is>
          <ns0:t>Guard単独</ns0:t>
        </ns0:is>
      </ns0:c>
      <ns0:c r="B126" s="4" t="n">
        <ns0:v>2</ns0:v>
      </ns0:c>
      <ns0:c r="C126" s="4" t="n">
        <ns0:v>2</ns0:v>
      </ns0:c>
      <ns0:c r="D126" s="6" t="n">
        <ns0:v>0.5</ns0:v>
      </ns0:c>
      <ns0:c r="E126" s="7" t="n">
        <ns0:v>8349.462365591398</ns0:v>
      </ns0:c>
      <ns0:c r="F126" s="7" t="n">
        <ns0:v>4193.548387096774</ns0:v>
      </ns0:c>
      <ns0:c r="G126" s="7" t="n">
        <ns0:v>4155.913978494624</ns0:v>
      </ns0:c>
      <ns0:c r="H126" s="7" t="n">
        <ns0:v>2096.774193548387</ns0:v>
      </ns0:c>
      <ns0:c r="I126" s="7" t="n">
        <ns0:v>7</ns0:v>
      </ns0:c>
      <ns0:c r="J126" s="7" t="n">
        <ns0:v>7</ns0:v>
      </ns0:c>
      <ns0:c r="K126" s="7" t="n">
        <ns0:v>7</ns0:v>
      </ns0:c>
      <ns0:c r="L126" s="7" t="n">
        <ns0:v>19988.27956989248</ns0:v>
      </ns0:c>
      <ns0:c r="M126" s="7" t="n">
        <ns0:v>72693.87096774197</ns0:v>
      </ns0:c>
      <ns0:c r="N126" s="7" t="n">
        <ns0:v>134489.7849462365</ns0:v>
      </ns0:c>
      <ns0:c r="O126" s="7" t="n">
        <ns0:v>288979.5698924731</ns0:v>
      </ns0:c>
      <ns0:c r="P126" s="7" t="n">
        <ns0:v>886938.7096774195</ns0:v>
      </ns0:c>
      <ns0:c r="Q126" s="7" t="n">
        <ns0:v>3009795.698924731</ns0:v>
      </ns0:c>
    </ns0:row>
    <ns0:row r="127" ht="24" customHeight="1">
      <ns0:c r="A127" s="3" t="inlineStr">
        <ns0:is>
          <ns0:t>Send単独</ns0:t>
        </ns0:is>
      </ns0:c>
      <ns0:c r="B127" s="4" t="n">
        <ns0:v>2</ns0:v>
      </ns0:c>
      <ns0:c r="C127" s="4" t="n">
        <ns0:v>2</ns0:v>
      </ns0:c>
      <ns0:c r="D127" s="6" t="n">
        <ns0:v>0.4</ns0:v>
      </ns0:c>
      <ns0:c r="E127" s="7" t="n">
        <ns0:v>4140.082644628099</ns0:v>
      </ns0:c>
      <ns0:c r="F127" s="7" t="n">
        <ns0:v>1761.363636363636</ns0:v>
      </ns0:c>
      <ns0:c r="G127" s="7" t="n">
        <ns0:v>2378.719008264462</ns0:v>
      </ns0:c>
      <ns0:c r="H127" s="7" t="n">
        <ns0:v>704.5454545454545</ns0:v>
      </ns0:c>
      <ns0:c r="I127" s="18" t="inlineStr">
        <ns0:is>
          <ns0:t>範囲内なし</ns0:t>
        </ns0:is>
      </ns0:c>
      <ns0:c r="J127" s="18" t="inlineStr">
        <ns0:is>
          <ns0:t>範囲内なし</ns0:t>
        </ns0:is>
      </ns0:c>
      <ns0:c r="K127" s="18" t="inlineStr">
        <ns0:is>
          <ns0:t>範囲内なし</ns0:t>
        </ns0:is>
      </ns0:c>
      <ns0:c r="L127" s="7" t="n">
        <ns0:v>-70705.19328081033</ns0:v>
      </ns0:c>
      <ns0:c r="M127" s="7" t="n">
        <ns0:v>-156593.7105898154</ns0:v>
      </ns0:c>
      <ns0:c r="N127" s="7" t="n">
        <ns0:v>-237982.2278988205</ns0:v>
      </ns0:c>
      <ns0:c r="O127" s="7" t="n">
        <ns0:v>-441453.5211713332</ns0:v>
      </ns0:c>
      <ns0:c r="P127" s="7" t="n">
        <ns0:v>-1277338.694261384</ns0:v>
      </ns0:c>
      <ns0:c r="Q127" s="7" t="n">
        <ns0:v>-4155936.800076562</ns0:v>
      </ns0:c>
    </ns0:row>
    <ns0:row r="128" ht="24" customHeight="1">
      <ns0:c r="A128" s="3" t="inlineStr">
        <ns0:is>
          <ns0:t>Send単独</ns0:t>
        </ns0:is>
      </ns0:c>
      <ns0:c r="B128" s="4" t="n">
        <ns0:v>2</ns0:v>
      </ns0:c>
      <ns0:c r="C128" s="4" t="n">
        <ns0:v>2</ns0:v>
      </ns0:c>
      <ns0:c r="D128" s="6" t="n">
        <ns0:v>0.5</ns0:v>
      </ns0:c>
      <ns0:c r="E128" s="7" t="n">
        <ns0:v>4140.082644628099</ns0:v>
      </ns0:c>
      <ns0:c r="F128" s="7" t="n">
        <ns0:v>1761.363636363636</ns0:v>
      </ns0:c>
      <ns0:c r="G128" s="7" t="n">
        <ns0:v>2378.719008264462</ns0:v>
      </ns0:c>
      <ns0:c r="H128" s="7" t="n">
        <ns0:v>880.6818181818181</ns0:v>
      </ns0:c>
      <ns0:c r="I128" s="18" t="inlineStr">
        <ns0:is>
          <ns0:t>範囲内なし</ns0:t>
        </ns0:is>
      </ns0:c>
      <ns0:c r="J128" s="18" t="inlineStr">
        <ns0:is>
          <ns0:t>範囲内なし</ns0:t>
        </ns0:is>
      </ns0:c>
      <ns0:c r="K128" s="18" t="inlineStr">
        <ns0:is>
          <ns0:t>範囲内なし</ns0:t>
        </ns0:is>
      </ns0:c>
      <ns0:c r="L128" s="7" t="n">
        <ns0:v>-72466.55691717398</ns0:v>
      </ns0:c>
      <ns0:c r="M128" s="7" t="n">
        <ns0:v>-161877.8014989063</ns0:v>
      </ns0:c>
      <ns0:c r="N128" s="7" t="n">
        <ns0:v>-246789.0460806387</ns0:v>
      </ns0:c>
      <ns0:c r="O128" s="7" t="n">
        <ns0:v>-459067.1575349695</ns0:v>
      </ns0:c>
      <ns0:c r="P128" s="7" t="n">
        <ns0:v>-1330179.603352293</ns0:v>
      </ns0:c>
      <ns0:c r="Q128" s="7" t="n">
        <ns0:v>-4332073.163712924</ns0:v>
      </ns0:c>
    </ns0:row>
    <ns0:row r="129" ht="24" customHeight="1">
      <ns0:c r="A129" s="3" t="inlineStr">
        <ns0:is>
          <ns0:t>パック単独</ns0:t>
        </ns0:is>
      </ns0:c>
      <ns0:c r="B129" s="4" t="n">
        <ns0:v>2</ns0:v>
      </ns0:c>
      <ns0:c r="C129" s="4" t="n">
        <ns0:v>2</ns0:v>
      </ns0:c>
      <ns0:c r="D129" s="6" t="n">
        <ns0:v>0.4</ns0:v>
      </ns0:c>
      <ns0:c r="E129" s="7" t="n">
        <ns0:v>11470.15250544662</ns0:v>
      </ns0:c>
      <ns0:c r="F129" s="7" t="n">
        <ns0:v>4974.945533769063</ns0:v>
      </ns0:c>
      <ns0:c r="G129" s="7" t="n">
        <ns0:v>6495.20697167756</ns0:v>
      </ns0:c>
      <ns0:c r="H129" s="7" t="n">
        <ns0:v>1989.978213507625</ns0:v>
      </ns0:c>
      <ns0:c r="I129" s="18" t="inlineStr">
        <ns0:is>
          <ns0:t>範囲内なし</ns0:t>
        </ns0:is>
      </ns0:c>
      <ns0:c r="J129" s="18" t="inlineStr">
        <ns0:is>
          <ns0:t>範囲内なし</ns0:t>
        </ns0:is>
      </ns0:c>
      <ns0:c r="K129" s="18" t="inlineStr">
        <ns0:is>
          <ns0:t>範囲内なし</ns0:t>
        </ns0:is>
      </ns0:c>
      <ns0:c r="L129" s="7" t="n">
        <ns0:v>-55273.44693249586</ns0:v>
      </ns0:c>
      <ns0:c r="M129" s="7" t="n">
        <ns0:v>-94627.88330957782</ns0:v>
      </ns0:c>
      <ns0:c r="N129" s="7" t="n">
        <ns0:v>-121372.5157650911</ns0:v>
      </ns0:c>
      <ns0:c r="O129" s="7" t="n">
        <ns0:v>-188234.0969038744</ns0:v>
      </ns0:c>
      <ns0:c r="P129" s="7" t="n">
        <ns0:v>-497680.4214590081</ns0:v>
      </ns0:c>
      <ns0:c r="Q129" s="7" t="n">
        <ns0:v>-1503742.557401976</ns0:v>
      </ns0:c>
    </ns0:row>
    <ns0:row r="130" ht="24" customHeight="1">
      <ns0:c r="A130" s="3" t="inlineStr">
        <ns0:is>
          <ns0:t>パック単独</ns0:t>
        </ns0:is>
      </ns0:c>
      <ns0:c r="B130" s="4" t="n">
        <ns0:v>2</ns0:v>
      </ns0:c>
      <ns0:c r="C130" s="4" t="n">
        <ns0:v>2</ns0:v>
      </ns0:c>
      <ns0:c r="D130" s="6" t="n">
        <ns0:v>0.5</ns0:v>
      </ns0:c>
      <ns0:c r="E130" s="7" t="n">
        <ns0:v>11470.15250544662</ns0:v>
      </ns0:c>
      <ns0:c r="F130" s="7" t="n">
        <ns0:v>4974.945533769063</ns0:v>
      </ns0:c>
      <ns0:c r="G130" s="7" t="n">
        <ns0:v>6495.20697167756</ns0:v>
      </ns0:c>
      <ns0:c r="H130" s="7" t="n">
        <ns0:v>2487.472766884532</ns0:v>
      </ns0:c>
      <ns0:c r="I130" s="18" t="inlineStr">
        <ns0:is>
          <ns0:t>範囲内なし</ns0:t>
        </ns0:is>
      </ns0:c>
      <ns0:c r="J130" s="18" t="inlineStr">
        <ns0:is>
          <ns0:t>範囲内なし</ns0:t>
        </ns0:is>
      </ns0:c>
      <ns0:c r="K130" s="18" t="inlineStr">
        <ns0:is>
          <ns0:t>範囲内なし</ns0:t>
        </ns0:is>
      </ns0:c>
      <ns0:c r="L130" s="7" t="n">
        <ns0:v>-60248.39246626491</ns0:v>
      </ns0:c>
      <ns0:c r="M130" s="7" t="n">
        <ns0:v>-109552.719910885</ns0:v>
      </ns0:c>
      <ns0:c r="N130" s="7" t="n">
        <ns0:v>-146247.2434339364</ns0:v>
      </ns0:c>
      <ns0:c r="O130" s="7" t="n">
        <ns0:v>-237983.5522415651</ns0:v>
      </ns0:c>
      <ns0:c r="P130" s="7" t="n">
        <ns0:v>-646928.7874720801</ns0:v>
      </ns0:c>
      <ns0:c r="Q130" s="7" t="n">
        <ns0:v>-2001237.110778882</ns0:v>
      </ns0:c>
    </ns0:row>
    <ns0:row r="131" ht="24" customHeight="1">
      <ns0:c r="A131" s="3" t="inlineStr">
        <ns0:is>
          <ns0:t>混在・パック30%</ns0:t>
        </ns0:is>
      </ns0:c>
      <ns0:c r="B131" s="4" t="n">
        <ns0:v>2</ns0:v>
      </ns0:c>
      <ns0:c r="C131" s="4" t="n">
        <ns0:v>2</ns0:v>
      </ns0:c>
      <ns0:c r="D131" s="6" t="n">
        <ns0:v>0.4</ns0:v>
      </ns0:c>
      <ns0:c r="E131" s="7" t="n">
        <ns0:v>8022.855491258974</ns0:v>
      </ns0:c>
      <ns0:c r="F131" s="7" t="n">
        <ns0:v>3698.31210587852</ns0:v>
      </ns0:c>
      <ns0:c r="G131" s="7" t="n">
        <ns0:v>4324.543385380455</ns0:v>
      </ns0:c>
      <ns0:c r="H131" s="7" t="n">
        <ns0:v>1479.324842351408</ns0:v>
      </ns0:c>
      <ns0:c r="I131" s="18" t="inlineStr">
        <ns0:is>
          <ns0:t>範囲内なし</ns0:t>
        </ns0:is>
      </ns0:c>
      <ns0:c r="J131" s="18" t="inlineStr">
        <ns0:is>
          <ns0:t>範囲内なし</ns0:t>
        </ns0:is>
      </ns0:c>
      <ns0:c r="K131" s="18" t="inlineStr">
        <ns0:is>
          <ns0:t>範囲内なし</ns0:t>
        </ns0:is>
      </ns0:c>
      <ns0:c r="L131" s="7" t="n">
        <ns0:v>-49875.23473171927</ns0:v>
      </ns0:c>
      <ns0:c r="M131" s="7" t="n">
        <ns0:v>-61061.04556872821</ns0:v>
      </ns0:c>
      <ns0:c r="N131" s="7" t="n">
        <ns0:v>-65427.78619700848</ns0:v>
      </ns0:c>
      <ns0:c r="O131" s="7" t="n">
        <ns0:v>-76344.63776770915</ns0:v>
      </ns0:c>
      <ns0:c r="P131" s="7" t="n">
        <ns0:v>-162012.0440505116</ns0:v>
      </ns0:c>
      <ns0:c r="Q131" s="7" t="n">
        <ns0:v>-384847.9660403212</ns0:v>
      </ns0:c>
    </ns0:row>
    <ns0:row r="132" ht="24" customHeight="1">
      <ns0:c r="A132" s="3" t="inlineStr">
        <ns0:is>
          <ns0:t>混在・パック30%</ns0:t>
        </ns0:is>
      </ns0:c>
      <ns0:c r="B132" s="4" t="n">
        <ns0:v>2</ns0:v>
      </ns0:c>
      <ns0:c r="C132" s="4" t="n">
        <ns0:v>2</ns0:v>
      </ns0:c>
      <ns0:c r="D132" s="6" t="n">
        <ns0:v>0.5</ns0:v>
      </ns0:c>
      <ns0:c r="E132" s="7" t="n">
        <ns0:v>8022.855491258974</ns0:v>
      </ns0:c>
      <ns0:c r="F132" s="7" t="n">
        <ns0:v>3698.31210587852</ns0:v>
      </ns0:c>
      <ns0:c r="G132" s="7" t="n">
        <ns0:v>4324.543385380455</ns0:v>
      </ns0:c>
      <ns0:c r="H132" s="7" t="n">
        <ns0:v>1849.15605293926</ns0:v>
      </ns0:c>
      <ns0:c r="I132" s="18" t="inlineStr">
        <ns0:is>
          <ns0:t>範囲内なし</ns0:t>
        </ns0:is>
      </ns0:c>
      <ns0:c r="J132" s="18" t="inlineStr">
        <ns0:is>
          <ns0:t>範囲内なし</ns0:t>
        </ns0:is>
      </ns0:c>
      <ns0:c r="K132" s="18" t="inlineStr">
        <ns0:is>
          <ns0:t>範囲内なし</ns0:t>
        </ns0:is>
      </ns0:c>
      <ns0:c r="L132" s="7" t="n">
        <ns0:v>-53573.54683759779</ns0:v>
      </ns0:c>
      <ns0:c r="M132" s="7" t="n">
        <ns0:v>-72155.98188636373</ns0:v>
      </ns0:c>
      <ns0:c r="N132" s="7" t="n">
        <ns0:v>-83919.34672640104</ns0:v>
      </ns0:c>
      <ns0:c r="O132" s="7" t="n">
        <ns0:v>-113327.7588264943</ns0:v>
      </ns0:c>
      <ns0:c r="P132" s="7" t="n">
        <ns0:v>-272961.4072268672</ns0:v>
      </ns0:c>
      <ns0:c r="Q132" s="7" t="n">
        <ns0:v>-754679.1766281724</ns0:v>
      </ns0:c>
    </ns0:row>
    <ns0:row r="133" ht="24" customHeight="1">
      <ns0:c r="A133" s="3" t="inlineStr">
        <ns0:is>
          <ns0:t>混在・パック50%</ns0:t>
        </ns0:is>
      </ns0:c>
      <ns0:c r="B133" s="4" t="n">
        <ns0:v>2</ns0:v>
      </ns0:c>
      <ns0:c r="C133" s="4" t="n">
        <ns0:v>2</ns0:v>
      </ns0:c>
      <ns0:c r="D133" s="6" t="n">
        <ns0:v>0.4</ns0:v>
      </ns0:c>
      <ns0:c r="E133" s="7" t="n">
        <ns0:v>9007.797495312589</ns0:v>
      </ns0:c>
      <ns0:c r="F133" s="7" t="n">
        <ns0:v>4063.064513847246</ns0:v>
      </ns0:c>
      <ns0:c r="G133" s="7" t="n">
        <ns0:v>4944.732981465342</ns0:v>
      </ns0:c>
      <ns0:c r="H133" s="7" t="n">
        <ns0:v>1625.225805538898</ns0:v>
      </ns0:c>
      <ns0:c r="I133" s="18" t="inlineStr">
        <ns0:is>
          <ns0:t>範囲内なし</ns0:t>
        </ns0:is>
      </ns0:c>
      <ns0:c r="J133" s="18" t="inlineStr">
        <ns0:is>
          <ns0:t>範囲内なし</ns0:t>
        </ns0:is>
      </ns0:c>
      <ns0:c r="K133" s="18" t="inlineStr">
        <ns0:is>
          <ns0:t>範囲内なし</ns0:t>
        </ns0:is>
      </ns0:c>
      <ns0:c r="L133" s="7" t="n">
        <ns0:v>-51417.5810747983</ns0:v>
      </ns0:c>
      <ns0:c r="M133" s="7" t="n">
        <ns0:v>-70651.57063754236</ns0:v>
      </ns0:c>
      <ns0:c r="N133" s="7" t="n">
        <ns0:v>-81411.99464503214</ns0:v>
      </ns0:c>
      <ns0:c r="O133" s="7" t="n">
        <ns0:v>-108313.0546637565</ns0:v>
      </ns0:c>
      <ns0:c r="P133" s="7" t="n">
        <ns0:v>-257917.2947386533</ns0:v>
      </ns0:c>
      <ns0:c r="Q133" s="7" t="n">
        <ns0:v>-704532.1350007947</ns0:v>
      </ns0:c>
    </ns0:row>
    <ns0:row r="134" ht="24" customHeight="1">
      <ns0:c r="A134" s="3" t="inlineStr">
        <ns0:is>
          <ns0:t>混在・パック50%</ns0:t>
        </ns0:is>
      </ns0:c>
      <ns0:c r="B134" s="4" t="n">
        <ns0:v>2</ns0:v>
      </ns0:c>
      <ns0:c r="C134" s="4" t="n">
        <ns0:v>2</ns0:v>
      </ns0:c>
      <ns0:c r="D134" s="6" t="n">
        <ns0:v>0.5</ns0:v>
      </ns0:c>
      <ns0:c r="E134" s="7" t="n">
        <ns0:v>9007.797495312589</ns0:v>
      </ns0:c>
      <ns0:c r="F134" s="7" t="n">
        <ns0:v>4063.064513847246</ns0:v>
      </ns0:c>
      <ns0:c r="G134" s="7" t="n">
        <ns0:v>4944.732981465342</ns0:v>
      </ns0:c>
      <ns0:c r="H134" s="7" t="n">
        <ns0:v>2031.532256923623</ns0:v>
      </ns0:c>
      <ns0:c r="I134" s="18" t="inlineStr">
        <ns0:is>
          <ns0:t>範囲内なし</ns0:t>
        </ns0:is>
      </ns0:c>
      <ns0:c r="J134" s="18" t="inlineStr">
        <ns0:is>
          <ns0:t>範囲内なし</ns0:t>
        </ns0:is>
      </ns0:c>
      <ns0:c r="K134" s="18" t="inlineStr">
        <ns0:is>
          <ns0:t>範囲内なし</ns0:t>
        </ns0:is>
      </ns0:c>
      <ns0:c r="L134" s="7" t="n">
        <ns0:v>-55480.64558864554</ns0:v>
      </ns0:c>
      <ns0:c r="M134" s="7" t="n">
        <ns0:v>-82840.76417908409</ns0:v>
      </ns0:c>
      <ns0:c r="N134" s="7" t="n">
        <ns0:v>-101727.3172142684</ns0:v>
      </ns0:c>
      <ns0:c r="O134" s="7" t="n">
        <ns0:v>-148943.699802229</ns0:v>
      </ns0:c>
      <ns0:c r="P134" s="7" t="n">
        <ns0:v>-379809.2301540705</ns0:v>
      </ns0:c>
      <ns0:c r="Q134" s="7" t="n">
        <ns0:v>-1110838.586385519</ns0:v>
      </ns0:c>
    </ns0:row>
    <ns0:row r="135" ht="24" customHeight="1">
      <ns0:c r="A135" s="3" t="inlineStr">
        <ns0:is>
          <ns0:t>混在・パック70%</ns0:t>
        </ns0:is>
      </ns0:c>
      <ns0:c r="B135" s="4" t="n">
        <ns0:v>2</ns0:v>
      </ns0:c>
      <ns0:c r="C135" s="4" t="n">
        <ns0:v>2</ns0:v>
      </ns0:c>
      <ns0:c r="D135" s="6" t="n">
        <ns0:v>0.4</ns0:v>
      </ns0:c>
      <ns0:c r="E135" s="7" t="n">
        <ns0:v>9992.739499366202</ns0:v>
      </ns0:c>
      <ns0:c r="F135" s="7" t="n">
        <ns0:v>4427.816921815973</ns0:v>
      </ns0:c>
      <ns0:c r="G135" s="7" t="n">
        <ns0:v>5564.922577550228</ns0:v>
      </ns0:c>
      <ns0:c r="H135" s="7" t="n">
        <ns0:v>1771.126768726389</ns0:v>
      </ns0:c>
      <ns0:c r="I135" s="18" t="inlineStr">
        <ns0:is>
          <ns0:t>範囲内なし</ns0:t>
        </ns0:is>
      </ns0:c>
      <ns0:c r="J135" s="18" t="inlineStr">
        <ns0:is>
          <ns0:t>範囲内なし</ns0:t>
        </ns0:is>
      </ns0:c>
      <ns0:c r="K135" s="18" t="inlineStr">
        <ns0:is>
          <ns0:t>範囲内なし</ns0:t>
        </ns0:is>
      </ns0:c>
      <ns0:c r="L135" s="7" t="n">
        <ns0:v>-52959.9274178773</ns0:v>
      </ns0:c>
      <ns0:c r="M135" s="7" t="n">
        <ns0:v>-80242.09570635653</ns0:v>
      </ns0:c>
      <ns0:c r="N135" s="7" t="n">
        <ns0:v>-97396.20309305577</ns0:v>
      </ns0:c>
      <ns0:c r="O135" s="7" t="n">
        <ns0:v>-140281.4715598037</ns0:v>
      </ns0:c>
      <ns0:c r="P135" s="7" t="n">
        <ns0:v>-353822.5454267953</ns0:v>
      </ns0:c>
      <ns0:c r="Q135" s="7" t="n">
        <ns0:v>-1024216.303961266</ns0:v>
      </ns0:c>
    </ns0:row>
    <ns0:row r="136" ht="24" customHeight="1">
      <ns0:c r="A136" s="3" t="inlineStr">
        <ns0:is>
          <ns0:t>混在・パック70%</ns0:t>
        </ns0:is>
      </ns0:c>
      <ns0:c r="B136" s="4" t="n">
        <ns0:v>2</ns0:v>
      </ns0:c>
      <ns0:c r="C136" s="4" t="n">
        <ns0:v>2</ns0:v>
      </ns0:c>
      <ns0:c r="D136" s="6" t="n">
        <ns0:v>0.5</ns0:v>
      </ns0:c>
      <ns0:c r="E136" s="7" t="n">
        <ns0:v>9992.739499366202</ns0:v>
      </ns0:c>
      <ns0:c r="F136" s="7" t="n">
        <ns0:v>4427.816921815973</ns0:v>
      </ns0:c>
      <ns0:c r="G136" s="7" t="n">
        <ns0:v>5564.922577550228</ns0:v>
      </ns0:c>
      <ns0:c r="H136" s="7" t="n">
        <ns0:v>2213.908460907986</ns0:v>
      </ns0:c>
      <ns0:c r="I136" s="18" t="inlineStr">
        <ns0:is>
          <ns0:t>範囲内なし</ns0:t>
        </ns0:is>
      </ns0:c>
      <ns0:c r="J136" s="18" t="inlineStr">
        <ns0:is>
          <ns0:t>範囲内なし</ns0:t>
        </ns0:is>
      </ns0:c>
      <ns0:c r="K136" s="18" t="inlineStr">
        <ns0:is>
          <ns0:t>範囲内なし</ns0:t>
        </ns0:is>
      </ns0:c>
      <ns0:c r="L136" s="7" t="n">
        <ns0:v>-57387.74433969329</ns0:v>
      </ns0:c>
      <ns0:c r="M136" s="7" t="n">
        <ns0:v>-93525.54647180447</ns0:v>
      </ns0:c>
      <ns0:c r="N136" s="7" t="n">
        <ns0:v>-119535.2877021356</ns0:v>
      </ns0:c>
      <ns0:c r="O136" s="7" t="n">
        <ns0:v>-184559.6407779634</ns0:v>
      </ns0:c>
      <ns0:c r="P136" s="7" t="n">
        <ns0:v>-486657.0530812745</ns0:v>
      </ns0:c>
      <ns0:c r="Q136" s="7" t="n">
        <ns0:v>-1466997.996142864</ns0:v>
      </ns0:c>
    </ns0:row>
    <ns0:row r="137" ht="24" customHeight="1">
      <ns0:c r="A137" s="3" t="inlineStr">
        <ns0:is>
          <ns0:t>Guard単独</ns0:t>
        </ns0:is>
      </ns0:c>
      <ns0:c r="B137" s="4" t="n">
        <ns0:v>2</ns0:v>
      </ns0:c>
      <ns0:c r="C137" s="4" t="n">
        <ns0:v>3</ns0:v>
      </ns0:c>
      <ns0:c r="D137" s="6" t="n">
        <ns0:v>0.4</ns0:v>
      </ns0:c>
      <ns0:c r="E137" s="7" t="n">
        <ns0:v>8349.462365591398</ns0:v>
      </ns0:c>
      <ns0:c r="F137" s="7" t="n">
        <ns0:v>4193.548387096774</ns0:v>
      </ns0:c>
      <ns0:c r="G137" s="7" t="n">
        <ns0:v>4155.913978494624</ns0:v>
      </ns0:c>
      <ns0:c r="H137" s="7" t="n">
        <ns0:v>1677.41935483871</ns0:v>
      </ns0:c>
      <ns0:c r="I137" s="7" t="n">
        <ns0:v>6</ns0:v>
      </ns0:c>
      <ns0:c r="J137" s="7" t="n">
        <ns0:v>6</ns0:v>
      </ns0:c>
      <ns0:c r="K137" s="7" t="n">
        <ns0:v>6</ns0:v>
      </ns0:c>
      <ns0:c r="L137" s="7" t="n">
        <ns0:v>24181.82795698925</ns0:v>
      </ns0:c>
      <ns0:c r="M137" s="7" t="n">
        <ns0:v>85274.5161290323</ns0:v>
      </ns0:c>
      <ns0:c r="N137" s="7" t="n">
        <ns0:v>155457.5268817204</ns0:v>
      </ns0:c>
      <ns0:c r="O137" s="7" t="n">
        <ns0:v>330915.0537634408</ns0:v>
      </ns0:c>
      <ns0:c r="P137" s="7" t="n">
        <ns0:v>1012745.161290323</ns0:v>
      </ns0:c>
      <ns0:c r="Q137" s="7" t="n">
        <ns0:v>3429150.537634408</ns0:v>
      </ns0:c>
    </ns0:row>
    <ns0:row r="138" ht="24" customHeight="1">
      <ns0:c r="A138" s="3" t="inlineStr">
        <ns0:is>
          <ns0:t>Guard単独</ns0:t>
        </ns0:is>
      </ns0:c>
      <ns0:c r="B138" s="4" t="n">
        <ns0:v>2</ns0:v>
      </ns0:c>
      <ns0:c r="C138" s="4" t="n">
        <ns0:v>3</ns0:v>
      </ns0:c>
      <ns0:c r="D138" s="6" t="n">
        <ns0:v>0.5</ns0:v>
      </ns0:c>
      <ns0:c r="E138" s="7" t="n">
        <ns0:v>8349.462365591398</ns0:v>
      </ns0:c>
      <ns0:c r="F138" s="7" t="n">
        <ns0:v>4193.548387096774</ns0:v>
      </ns0:c>
      <ns0:c r="G138" s="7" t="n">
        <ns0:v>4155.913978494624</ns0:v>
      </ns0:c>
      <ns0:c r="H138" s="7" t="n">
        <ns0:v>2096.774193548387</ns0:v>
      </ns0:c>
      <ns0:c r="I138" s="7" t="n">
        <ns0:v>7</ns0:v>
      </ns0:c>
      <ns0:c r="J138" s="7" t="n">
        <ns0:v>7</ns0:v>
      </ns0:c>
      <ns0:c r="K138" s="7" t="n">
        <ns0:v>7</ns0:v>
      </ns0:c>
      <ns0:c r="L138" s="7" t="n">
        <ns0:v>19988.27956989248</ns0:v>
      </ns0:c>
      <ns0:c r="M138" s="7" t="n">
        <ns0:v>72693.87096774197</ns0:v>
      </ns0:c>
      <ns0:c r="N138" s="7" t="n">
        <ns0:v>134489.7849462365</ns0:v>
      </ns0:c>
      <ns0:c r="O138" s="7" t="n">
        <ns0:v>288979.5698924731</ns0:v>
      </ns0:c>
      <ns0:c r="P138" s="7" t="n">
        <ns0:v>886938.7096774195</ns0:v>
      </ns0:c>
      <ns0:c r="Q138" s="7" t="n">
        <ns0:v>3009795.698924731</ns0:v>
      </ns0:c>
    </ns0:row>
    <ns0:row r="139" ht="24" customHeight="1">
      <ns0:c r="A139" s="3" t="inlineStr">
        <ns0:is>
          <ns0:t>Send単独</ns0:t>
        </ns0:is>
      </ns0:c>
      <ns0:c r="B139" s="4" t="n">
        <ns0:v>2</ns0:v>
      </ns0:c>
      <ns0:c r="C139" s="4" t="n">
        <ns0:v>3</ns0:v>
      </ns0:c>
      <ns0:c r="D139" s="6" t="n">
        <ns0:v>0.4</ns0:v>
      </ns0:c>
      <ns0:c r="E139" s="7" t="n">
        <ns0:v>4140.082644628099</ns0:v>
      </ns0:c>
      <ns0:c r="F139" s="7" t="n">
        <ns0:v>1761.363636363636</ns0:v>
      </ns0:c>
      <ns0:c r="G139" s="7" t="n">
        <ns0:v>2378.719008264462</ns0:v>
      </ns0:c>
      <ns0:c r="H139" s="7" t="n">
        <ns0:v>704.5454545454545</ns0:v>
      </ns0:c>
      <ns0:c r="I139" s="7" t="n">
        <ns0:v>27</ns0:v>
      </ns0:c>
      <ns0:c r="J139" s="7" t="n">
        <ns0:v>27</ns0:v>
      </ns0:c>
      <ns0:c r="K139" s="7" t="n">
        <ns0:v>27</ns0:v>
      </ns0:c>
      <ns0:c r="L139" s="7" t="n">
        <ns0:v>-17018.751662346</ns0:v>
      </ns0:c>
      <ns0:c r="M139" s="7" t="n">
        <ns0:v>4465.614265577577</ns0:v>
      </ns0:c>
      <ns0:c r="N139" s="7" t="n">
        <ns0:v>30449.98019350116</ns0:v>
      </ns0:c>
      <ns0:c r="O139" s="7" t="n">
        <ns0:v>95410.8950133101</ns0:v>
      </ns0:c>
      <ns0:c r="P139" s="7" t="n">
        <ns0:v>333254.5542925459</ns0:v>
      </ns0:c>
      <ns0:c r="Q139" s="7" t="n">
        <ns0:v>1212707.361769871</ns0:v>
      </ns0:c>
    </ns0:row>
    <ns0:row r="140" ht="24" customHeight="1">
      <ns0:c r="A140" s="3" t="inlineStr">
        <ns0:is>
          <ns0:t>Send単独</ns0:t>
        </ns0:is>
      </ns0:c>
      <ns0:c r="B140" s="4" t="n">
        <ns0:v>2</ns0:v>
      </ns0:c>
      <ns0:c r="C140" s="4" t="n">
        <ns0:v>3</ns0:v>
      </ns0:c>
      <ns0:c r="D140" s="6" t="n">
        <ns0:v>0.5</ns0:v>
      </ns0:c>
      <ns0:c r="E140" s="7" t="n">
        <ns0:v>4140.082644628099</ns0:v>
      </ns0:c>
      <ns0:c r="F140" s="7" t="n">
        <ns0:v>1761.363636363636</ns0:v>
      </ns0:c>
      <ns0:c r="G140" s="7" t="n">
        <ns0:v>2378.719008264462</ns0:v>
      </ns0:c>
      <ns0:c r="H140" s="7" t="n">
        <ns0:v>880.6818181818181</ns0:v>
      </ns0:c>
      <ns0:c r="I140" s="7" t="n">
        <ns0:v>31</ns0:v>
      </ns0:c>
      <ns0:c r="J140" s="7" t="n">
        <ns0:v>31</ns0:v>
      </ns0:c>
      <ns0:c r="K140" s="7" t="n">
        <ns0:v>31</ns0:v>
      </ns0:c>
      <ns0:c r="L140" s="7" t="n">
        <ns0:v>-18780.11529870964</ns0:v>
      </ns0:c>
      <ns0:c r="M140" s="7" t="n">
        <ns0:v>-818.4766435133351</ns0:v>
      </ns0:c>
      <ns0:c r="N140" s="7" t="n">
        <ns0:v>21643.16201168298</ns0:v>
      </ns0:c>
      <ns0:c r="O140" s="7" t="n">
        <ns0:v>77797.25864967375</ns0:v>
      </ns0:c>
      <ns0:c r="P140" s="7" t="n">
        <ns0:v>280413.6452016368</ns0:v>
      </ns0:c>
      <ns0:c r="Q140" s="7" t="n">
        <ns0:v>1036570.998133508</ns0:v>
      </ns0:c>
    </ns0:row>
    <ns0:row r="141" ht="24" customHeight="1">
      <ns0:c r="A141" s="3" t="inlineStr">
        <ns0:is>
          <ns0:t>パック単独</ns0:t>
        </ns0:is>
      </ns0:c>
      <ns0:c r="B141" s="4" t="n">
        <ns0:v>2</ns0:v>
      </ns0:c>
      <ns0:c r="C141" s="4" t="n">
        <ns0:v>3</ns0:v>
      </ns0:c>
      <ns0:c r="D141" s="6" t="n">
        <ns0:v>0.4</ns0:v>
      </ns0:c>
      <ns0:c r="E141" s="7" t="n">
        <ns0:v>11470.15250544662</ns0:v>
      </ns0:c>
      <ns0:c r="F141" s="7" t="n">
        <ns0:v>4974.945533769063</ns0:v>
      </ns0:c>
      <ns0:c r="G141" s="7" t="n">
        <ns0:v>6495.20697167756</ns0:v>
      </ns0:c>
      <ns0:c r="H141" s="7" t="n">
        <ns0:v>1989.978213507625</ns0:v>
      </ns0:c>
      <ns0:c r="I141" s="7" t="n">
        <ns0:v>10</ns0:v>
      </ns0:c>
      <ns0:c r="J141" s="7" t="n">
        <ns0:v>13</ns0:v>
      </ns0:c>
      <ns0:c r="K141" s="7" t="n">
        <ns0:v>28</ns0:v>
      </ns0:c>
      <ns0:c r="L141" s="7" t="n">
        <ns0:v>1017.481497129866</ns0:v>
      </ns0:c>
      <ns0:c r="M141" s="7" t="n">
        <ns0:v>74244.90197929932</ns0:v>
      </ns0:c>
      <ns0:c r="N141" s="7" t="n">
        <ns0:v>160082.1263830375</ns0:v>
      </ns0:c>
      <ns0:c r="O141" s="7" t="n">
        <ns0:v>374675.1873923826</ns0:v>
      </ns0:c>
      <ns0:c r="P141" s="7" t="n">
        <ns0:v>1191047.431429763</ns0:v>
      </ns0:c>
      <ns0:c r="Q141" s="7" t="n">
        <ns0:v>4125350.285560597</ns0:v>
      </ns0:c>
    </ns0:row>
    <ns0:row r="142" ht="24" customHeight="1">
      <ns0:c r="A142" s="3" t="inlineStr">
        <ns0:is>
          <ns0:t>パック単独</ns0:t>
        </ns0:is>
      </ns0:c>
      <ns0:c r="B142" s="4" t="n">
        <ns0:v>2</ns0:v>
      </ns0:c>
      <ns0:c r="C142" s="4" t="n">
        <ns0:v>3</ns0:v>
      </ns0:c>
      <ns0:c r="D142" s="6" t="n">
        <ns0:v>0.5</ns0:v>
      </ns0:c>
      <ns0:c r="E142" s="7" t="n">
        <ns0:v>11470.15250544662</ns0:v>
      </ns0:c>
      <ns0:c r="F142" s="7" t="n">
        <ns0:v>4974.945533769063</ns0:v>
      </ns0:c>
      <ns0:c r="G142" s="7" t="n">
        <ns0:v>6495.20697167756</ns0:v>
      </ns0:c>
      <ns0:c r="H142" s="7" t="n">
        <ns0:v>2487.472766884532</ns0:v>
      </ns0:c>
      <ns0:c r="I142" s="7" t="n">
        <ns0:v>15</ns0:v>
      </ns0:c>
      <ns0:c r="J142" s="7" t="n">
        <ns0:v>15</ns0:v>
      </ns0:c>
      <ns0:c r="K142" s="7" t="n">
        <ns0:v>32</ns0:v>
      </ns0:c>
      <ns0:c r="L142" s="7" t="n">
        <ns0:v>-3957.464036639194</ns0:v>
      </ns0:c>
      <ns0:c r="M142" s="7" t="n">
        <ns0:v>59320.06537799212</ns0:v>
      </ns0:c>
      <ns0:c r="N142" s="7" t="n">
        <ns0:v>135207.3987141921</ns0:v>
      </ns0:c>
      <ns0:c r="O142" s="7" t="n">
        <ns0:v>324925.7320546921</ns0:v>
      </ns0:c>
      <ns0:c r="P142" s="7" t="n">
        <ns0:v>1041799.065416691</ns0:v>
      </ns0:c>
      <ns0:c r="Q142" s="7" t="n">
        <ns0:v>3627855.73218369</ns0:v>
      </ns0:c>
    </ns0:row>
    <ns0:row r="143" ht="24" customHeight="1">
      <ns0:c r="A143" s="3" t="inlineStr">
        <ns0:is>
          <ns0:t>混在・パック30%</ns0:t>
        </ns0:is>
      </ns0:c>
      <ns0:c r="B143" s="4" t="n">
        <ns0:v>2</ns0:v>
      </ns0:c>
      <ns0:c r="C143" s="4" t="n">
        <ns0:v>3</ns0:v>
      </ns0:c>
      <ns0:c r="D143" s="6" t="n">
        <ns0:v>0.4</ns0:v>
      </ns0:c>
      <ns0:c r="E143" s="7" t="n">
        <ns0:v>8022.855491258974</ns0:v>
      </ns0:c>
      <ns0:c r="F143" s="7" t="n">
        <ns0:v>3698.31210587852</ns0:v>
      </ns0:c>
      <ns0:c r="G143" s="7" t="n">
        <ns0:v>4324.543385380455</ns0:v>
      </ns0:c>
      <ns0:c r="H143" s="7" t="n">
        <ns0:v>1479.324842351408</ns0:v>
      </ns0:c>
      <ns0:c r="I143" s="7" t="n">
        <ns0:v>14</ns0:v>
      </ns0:c>
      <ns0:c r="J143" s="7" t="n">
        <ns0:v>18</ns0:v>
      </ns0:c>
      <ns0:c r="K143" s="7" t="n">
        <ns0:v>46</ns0:v>
      </ns0:c>
      <ns0:c r="L143" s="7" t="n">
        <ns0:v>-16882.02371729226</ns0:v>
      </ns0:c>
      <ns0:c r="M143" s="7" t="n">
        <ns0:v>37918.58747455283</ns0:v>
      </ns0:c>
      <ns0:c r="N143" s="7" t="n">
        <ns0:v>99538.26887512655</ns0:v>
      </ns0:c>
      <ns0:c r="O143" s="7" t="n">
        <ns0:v>253587.4723765609</ns0:v>
      </ns0:c>
      <ns0:c r="P143" s="7" t="n">
        <ns0:v>827784.2863822986</ns0:v>
      </ns0:c>
      <ns0:c r="Q143" s="7" t="n">
        <ns0:v>2914473.13540238</ns0:v>
      </ns0:c>
    </ns0:row>
    <ns0:row r="144" ht="24" customHeight="1">
      <ns0:c r="A144" s="3" t="inlineStr">
        <ns0:is>
          <ns0:t>混在・パック30%</ns0:t>
        </ns0:is>
      </ns0:c>
      <ns0:c r="B144" s="4" t="n">
        <ns0:v>2</ns0:v>
      </ns0:c>
      <ns0:c r="C144" s="4" t="n">
        <ns0:v>3</ns0:v>
      </ns0:c>
      <ns0:c r="D144" s="6" t="n">
        <ns0:v>0.5</ns0:v>
      </ns0:c>
      <ns0:c r="E144" s="7" t="n">
        <ns0:v>8022.855491258974</ns0:v>
      </ns0:c>
      <ns0:c r="F144" s="7" t="n">
        <ns0:v>3698.31210587852</ns0:v>
      </ns0:c>
      <ns0:c r="G144" s="7" t="n">
        <ns0:v>4324.543385380455</ns0:v>
      </ns0:c>
      <ns0:c r="H144" s="7" t="n">
        <ns0:v>1849.15605293926</ns0:v>
      </ns0:c>
      <ns0:c r="I144" s="7" t="n">
        <ns0:v>21</ns0:v>
      </ns0:c>
      <ns0:c r="J144" s="7" t="n">
        <ns0:v>21</ns0:v>
      </ns0:c>
      <ns0:c r="K144" s="7" t="n">
        <ns0:v>53</ns0:v>
      </ns0:c>
      <ns0:c r="L144" s="7" t="n">
        <ns0:v>-20580.33582317078</ns0:v>
      </ns0:c>
      <ns0:c r="M144" s="7" t="n">
        <ns0:v>26823.65115691729</ns0:v>
      </ns0:c>
      <ns0:c r="N144" s="7" t="n">
        <ns0:v>81046.70834573402</ns0:v>
      </ns0:c>
      <ns0:c r="O144" s="7" t="n">
        <ns0:v>216604.3513177758</ns0:v>
      </ns0:c>
      <ns0:c r="P144" s="7" t="n">
        <ns0:v>716834.923205943</ns0:v>
      </ns0:c>
      <ns0:c r="Q144" s="7" t="n">
        <ns0:v>2544641.924814529</ns0:v>
      </ns0:c>
    </ns0:row>
    <ns0:row r="145" ht="24" customHeight="1">
      <ns0:c r="A145" s="3" t="inlineStr">
        <ns0:is>
          <ns0:t>混在・パック50%</ns0:t>
        </ns0:is>
      </ns0:c>
      <ns0:c r="B145" s="4" t="n">
        <ns0:v>2</ns0:v>
      </ns0:c>
      <ns0:c r="C145" s="4" t="n">
        <ns0:v>3</ns0:v>
      </ns0:c>
      <ns0:c r="D145" s="6" t="n">
        <ns0:v>0.4</ns0:v>
      </ns0:c>
      <ns0:c r="E145" s="7" t="n">
        <ns0:v>9007.797495312589</ns0:v>
      </ns0:c>
      <ns0:c r="F145" s="7" t="n">
        <ns0:v>4063.064513847246</ns0:v>
      </ns0:c>
      <ns0:c r="G145" s="7" t="n">
        <ns0:v>4944.732981465342</ns0:v>
      </ns0:c>
      <ns0:c r="H145" s="7" t="n">
        <ns0:v>1625.225805538898</ns0:v>
      </ns0:c>
      <ns0:c r="I145" s="7" t="n">
        <ns0:v>16</ns0:v>
      </ns0:c>
      <ns0:c r="J145" s="7" t="n">
        <ns0:v>16</ns0:v>
      </ns0:c>
      <ns0:c r="K145" s="7" t="n">
        <ns0:v>39</ns0:v>
      </ns0:c>
      <ns0:c r="L145" s="7" t="n">
        <ns0:v>-11767.87937031451</ns0:v>
      </ns0:c>
      <ns0:c r="M145" s="7" t="n">
        <ns0:v>48297.53447590899</ns0:v>
      </ns0:c>
      <ns0:c r="N145" s="7" t="n">
        <ns0:v>116836.5138773868</ns0:v>
      </ns0:c>
      <ns0:c r="O145" s="7" t="n">
        <ns0:v>288183.9623810814</ns0:v>
      </ns0:c>
      <ns0:c r="P145" s="7" t="n">
        <ns0:v>931573.7563958603</ns0:v>
      </ns0:c>
      <ns0:c r="Q145" s="7" t="n">
        <ns0:v>3260438.035447584</ns0:v>
      </ns0:c>
    </ns0:row>
    <ns0:row r="146" ht="24" customHeight="1">
      <ns0:c r="A146" s="3" t="inlineStr">
        <ns0:is>
          <ns0:t>混在・パック50%</ns0:t>
        </ns0:is>
      </ns0:c>
      <ns0:c r="B146" s="4" t="n">
        <ns0:v>2</ns0:v>
      </ns0:c>
      <ns0:c r="C146" s="4" t="n">
        <ns0:v>3</ns0:v>
      </ns0:c>
      <ns0:c r="D146" s="6" t="n">
        <ns0:v>0.5</ns0:v>
      </ns0:c>
      <ns0:c r="E146" s="7" t="n">
        <ns0:v>9007.797495312589</ns0:v>
      </ns0:c>
      <ns0:c r="F146" s="7" t="n">
        <ns0:v>4063.064513847246</ns0:v>
      </ns0:c>
      <ns0:c r="G146" s="7" t="n">
        <ns0:v>4944.732981465342</ns0:v>
      </ns0:c>
      <ns0:c r="H146" s="7" t="n">
        <ns0:v>2031.532256923623</ns0:v>
      </ns0:c>
      <ns0:c r="I146" s="7" t="n">
        <ns0:v>19</ns0:v>
      </ns0:c>
      <ns0:c r="J146" s="7" t="n">
        <ns0:v>19</ns0:v>
      </ns0:c>
      <ns0:c r="K146" s="7" t="n">
        <ns0:v>45</ns0:v>
      </ns0:c>
      <ns0:c r="L146" s="7" t="n">
        <ns0:v>-15830.94388416176</ns0:v>
      </ns0:c>
      <ns0:c r="M146" s="7" t="n">
        <ns0:v>36108.34093436727</ns0:v>
      </ns0:c>
      <ns0:c r="N146" s="7" t="n">
        <ns0:v>96521.19130815056</ns0:v>
      </ns0:c>
      <ns0:c r="O146" s="7" t="n">
        <ns0:v>247553.3172426089</ns0:v>
      </ns0:c>
      <ns0:c r="P146" s="7" t="n">
        <ns0:v>809681.8209804432</ns0:v>
      </ns0:c>
      <ns0:c r="Q146" s="7" t="n">
        <ns0:v>2854131.584062859</ns0:v>
      </ns0:c>
    </ns0:row>
    <ns0:row r="147" ht="24" customHeight="1">
      <ns0:c r="A147" s="3" t="inlineStr">
        <ns0:is>
          <ns0:t>混在・パック70%</ns0:t>
        </ns0:is>
      </ns0:c>
      <ns0:c r="B147" s="4" t="n">
        <ns0:v>2</ns0:v>
      </ns0:c>
      <ns0:c r="C147" s="4" t="n">
        <ns0:v>3</ns0:v>
      </ns0:c>
      <ns0:c r="D147" s="6" t="n">
        <ns0:v>0.4</ns0:v>
      </ns0:c>
      <ns0:c r="E147" s="7" t="n">
        <ns0:v>9992.739499366202</ns0:v>
      </ns0:c>
      <ns0:c r="F147" s="7" t="n">
        <ns0:v>4427.816921815973</ns0:v>
      </ns0:c>
      <ns0:c r="G147" s="7" t="n">
        <ns0:v>5564.922577550228</ns0:v>
      </ns0:c>
      <ns0:c r="H147" s="7" t="n">
        <ns0:v>1771.126768726389</ns0:v>
      </ns0:c>
      <ns0:c r="I147" s="7" t="n">
        <ns0:v>15</ns0:v>
      </ns0:c>
      <ns0:c r="J147" s="7" t="n">
        <ns0:v>15</ns0:v>
      </ns0:c>
      <ns0:c r="K147" s="7" t="n">
        <ns0:v>34</ns0:v>
      </ns0:c>
      <ns0:c r="L147" s="7" t="n">
        <ns0:v>-6653.735023336758</ns0:v>
      </ns0:c>
      <ns0:c r="M147" s="7" t="n">
        <ns0:v>58676.48147726512</ns0:v>
      </ns0:c>
      <ns0:c r="N147" s="7" t="n">
        <ns0:v>134134.758879647</ns0:v>
      </ns0:c>
      <ns0:c r="O147" s="7" t="n">
        <ns0:v>322780.4523856018</ns0:v>
      </ns0:c>
      <ns0:c r="P147" s="7" t="n">
        <ns0:v>1035363.226409422</ns0:v>
      </ns0:c>
      <ns0:c r="Q147" s="7" t="n">
        <ns0:v>3606402.935492789</ns0:v>
      </ns0:c>
    </ns0:row>
    <ns0:row r="148" ht="24" customHeight="1">
      <ns0:c r="A148" s="3" t="inlineStr">
        <ns0:is>
          <ns0:t>混在・パック70%</ns0:t>
        </ns0:is>
      </ns0:c>
      <ns0:c r="B148" s="4" t="n">
        <ns0:v>2</ns0:v>
      </ns0:c>
      <ns0:c r="C148" s="4" t="n">
        <ns0:v>3</ns0:v>
      </ns0:c>
      <ns0:c r="D148" s="6" t="n">
        <ns0:v>0.5</ns0:v>
      </ns0:c>
      <ns0:c r="E148" s="7" t="n">
        <ns0:v>9992.739499366202</ns0:v>
      </ns0:c>
      <ns0:c r="F148" s="7" t="n">
        <ns0:v>4427.816921815973</ns0:v>
      </ns0:c>
      <ns0:c r="G148" s="7" t="n">
        <ns0:v>5564.922577550228</ns0:v>
      </ns0:c>
      <ns0:c r="H148" s="7" t="n">
        <ns0:v>2213.908460907986</ns0:v>
      </ns0:c>
      <ns0:c r="I148" s="7" t="n">
        <ns0:v>17</ns0:v>
      </ns0:c>
      <ns0:c r="J148" s="7" t="n">
        <ns0:v>17</ns0:v>
      </ns0:c>
      <ns0:c r="K148" s="7" t="n">
        <ns0:v>39</ns0:v>
      </ns0:c>
      <ns0:c r="L148" s="7" t="n">
        <ns0:v>-11081.55194515273</ns0:v>
      </ns0:c>
      <ns0:c r="M148" s="7" t="n">
        <ns0:v>45393.0307118172</ns0:v>
      </ns0:c>
      <ns0:c r="N148" s="7" t="n">
        <ns0:v>111995.6742705672</ns0:v>
      </ns0:c>
      <ns0:c r="O148" s="7" t="n">
        <ns0:v>278502.2831674422</ns0:v>
      </ns0:c>
      <ns0:c r="P148" s="7" t="n">
        <ns0:v>902528.7187549423</ns0:v>
      </ns0:c>
      <ns0:c r="Q148" s="7" t="n">
        <ns0:v>3163621.243311192</ns0:v>
      </ns0:c>
    </ns0:row>
    <ns0:row r="149" ht="24" customHeight="1">
      <ns0:c r="D149" s="19" t="n"/>
    </ns0:row>
    <ns0:row r="150" ht="24" customHeight="1">
      <ns0:c r="D150" s="19" t="n"/>
    </ns0:row>
    <ns0:row r="151" ht="24" customHeight="1">
      <ns0:c r="D151" s="19" t="n"/>
    </ns0:row>
    <ns0:row r="152" ht="24" customHeight="1">
      <ns0:c r="D152" s="19" t="n"/>
    </ns0:row>
    <ns0:row r="153" ht="24" customHeight="1">
      <ns0:c r="D153" s="19" t="n"/>
    </ns0:row>
    <ns0:row r="154" ht="24" customHeight="1">
      <ns0:c r="D154" s="19" t="n"/>
    </ns0:row>
    <ns0:row r="155" ht="24" customHeight="1">
      <ns0:c r="D155" s="19" t="n"/>
    </ns0:row>
    <ns0:row r="156" ht="24" customHeight="1">
      <ns0:c r="D156" s="19" t="n"/>
    </ns0:row>
    <ns0:row r="157" ht="24" customHeight="1">
      <ns0:c r="D157" s="19" t="n"/>
    </ns0:row>
    <ns0:row r="158" ht="24" customHeight="1">
      <ns0:c r="D158" s="19" t="n"/>
    </ns0:row>
    <ns0:row r="159" ht="24" customHeight="1">
      <ns0:c r="D159" s="19" t="n"/>
    </ns0:row>
    <ns0:row r="160" ht="24" customHeight="1">
      <ns0:c r="D160" s="19" t="n"/>
    </ns0:row>
    <ns0:row r="161" ht="24" customHeight="1">
      <ns0:c r="D161" s="19" t="n"/>
    </ns0:row>
    <ns0:row r="162" ht="24" customHeight="1">
      <ns0:c r="D162" s="19" t="n"/>
    </ns0:row>
    <ns0:row r="163" ht="24" customHeight="1">
      <ns0:c r="D163" s="19" t="n"/>
    </ns0:row>
    <ns0:row r="164" ht="24" customHeight="1">
      <ns0:c r="D164" s="19" t="n"/>
    </ns0:row>
    <ns0:row r="165" ht="24" customHeight="1">
      <ns0:c r="D165" s="19" t="n"/>
    </ns0:row>
    <ns0:row r="166" ht="24" customHeight="1">
      <ns0:c r="D166" s="19" t="n"/>
    </ns0:row>
    <ns0:row r="167" ht="24" customHeight="1">
      <ns0:c r="D167" s="19" t="n"/>
    </ns0:row>
    <ns0:row r="168" ht="24" customHeight="1">
      <ns0:c r="D168" s="19" t="n"/>
    </ns0:row>
    <ns0:row r="169" ht="24" customHeight="1">
      <ns0:c r="D169" s="19" t="n"/>
    </ns0:row>
    <ns0:row r="170" ht="24" customHeight="1">
      <ns0:c r="D170" s="19" t="n"/>
    </ns0:row>
    <ns0:row r="171" ht="24" customHeight="1">
      <ns0:c r="D171" s="19" t="n"/>
    </ns0:row>
    <ns0:row r="172" ht="24" customHeight="1">
      <ns0:c r="D172" s="19" t="n"/>
    </ns0:row>
    <ns0:row r="173" ht="24" customHeight="1">
      <ns0:c r="D173" s="19" t="n"/>
    </ns0:row>
    <ns0:row r="174" ht="24" customHeight="1">
      <ns0:c r="D174" s="19" t="n"/>
    </ns0:row>
    <ns0:row r="175" ht="24" customHeight="1">
      <ns0:c r="D175" s="19" t="n"/>
    </ns0:row>
    <ns0:row r="176" ht="24" customHeight="1">
      <ns0:c r="D176" s="19" t="n"/>
    </ns0:row>
    <ns0:row r="177" ht="24" customHeight="1">
      <ns0:c r="D177" s="19" t="n"/>
    </ns0:row>
    <ns0:row r="178" ht="24" customHeight="1">
      <ns0:c r="D178" s="19" t="n"/>
    </ns0:row>
    <ns0:row r="179" ht="24" customHeight="1">
      <ns0:c r="D179" s="19" t="n"/>
    </ns0:row>
    <ns0:row r="180" ht="24" customHeight="1">
      <ns0:c r="D180" s="19" t="n"/>
    </ns0:row>
    <ns0:row r="181" ht="24" customHeight="1">
      <ns0:c r="D181" s="19" t="n"/>
    </ns0:row>
    <ns0:row r="182" ht="24" customHeight="1">
      <ns0:c r="D182" s="19" t="n"/>
    </ns0:row>
    <ns0:row r="183" ht="24" customHeight="1">
      <ns0:c r="D183" s="19" t="n"/>
    </ns0:row>
    <ns0:row r="184" ht="24" customHeight="1">
      <ns0:c r="D184" s="19" t="n"/>
    </ns0:row>
    <ns0:row r="185" ht="24" customHeight="1">
      <ns0:c r="D185" s="19" t="n"/>
    </ns0:row>
    <ns0:row r="186" ht="24" customHeight="1">
      <ns0:c r="D186" s="19" t="n"/>
    </ns0:row>
    <ns0:row r="187" ht="24" customHeight="1">
      <ns0:c r="D187" s="19" t="n"/>
    </ns0:row>
    <ns0:row r="188" ht="24" customHeight="1">
      <ns0:c r="D188" s="19" t="n"/>
    </ns0:row>
    <ns0:row r="189" ht="24" customHeight="1">
      <ns0:c r="D189" s="19" t="n"/>
    </ns0:row>
    <ns0:row r="190" ht="24" customHeight="1">
      <ns0:c r="D190" s="19" t="n"/>
    </ns0:row>
    <ns0:row r="191" ht="24" customHeight="1">
      <ns0:c r="D191" s="19" t="n"/>
    </ns0:row>
    <ns0:row r="192" ht="24" customHeight="1">
      <ns0:c r="D192" s="19" t="n"/>
    </ns0:row>
    <ns0:row r="193" ht="24" customHeight="1">
      <ns0:c r="D193" s="19" t="n"/>
    </ns0:row>
    <ns0:row r="194" ht="24" customHeight="1">
      <ns0:c r="D194" s="19" t="n"/>
    </ns0:row>
    <ns0:row r="195" ht="24" customHeight="1">
      <ns0:c r="D195" s="19" t="n"/>
    </ns0:row>
    <ns0:row r="196" ht="24" customHeight="1">
      <ns0:c r="D196" s="19" t="n"/>
    </ns0:row>
    <ns0:row r="197" ht="24" customHeight="1">
      <ns0:c r="D197" s="19" t="n"/>
    </ns0:row>
    <ns0:row r="198" ht="24" customHeight="1">
      <ns0:c r="D198" s="19" t="n"/>
    </ns0:row>
    <ns0:row r="199" ht="24" customHeight="1">
      <ns0:c r="D199" s="19" t="n"/>
    </ns0:row>
    <ns0:row r="200" ht="24" customHeight="1">
      <ns0:c r="D200" s="19" t="n"/>
    </ns0:row>
    <ns0:row r="201" ht="24" customHeight="1">
      <ns0:c r="D201" s="19" t="n"/>
    </ns0:row>
    <ns0:row r="202" ht="24" customHeight="1">
      <ns0:c r="D202" s="19" t="n"/>
    </ns0:row>
    <ns0:row r="203" ht="24" customHeight="1">
      <ns0:c r="D203" s="19" t="n"/>
    </ns0:row>
    <ns0:row r="204" ht="24" customHeight="1">
      <ns0:c r="D204" s="19" t="n"/>
    </ns0:row>
    <ns0:row r="205" ht="24" customHeight="1">
      <ns0:c r="D205" s="19" t="n"/>
    </ns0:row>
    <ns0:row r="206" ht="24" customHeight="1">
      <ns0:c r="D206" s="19" t="n"/>
    </ns0:row>
    <ns0:row r="207" ht="24" customHeight="1">
      <ns0:c r="D207" s="19" t="n"/>
    </ns0:row>
    <ns0:row r="208" ht="24" customHeight="1">
      <ns0:c r="D208" s="19" t="n"/>
    </ns0:row>
    <ns0:row r="209" ht="24" customHeight="1">
      <ns0:c r="D209" s="19" t="n"/>
    </ns0:row>
    <ns0:row r="210" ht="24" customHeight="1">
      <ns0:c r="D210" s="19" t="n"/>
    </ns0:row>
    <ns0:row r="211" ht="24" customHeight="1">
      <ns0:c r="D211" s="19" t="n"/>
    </ns0:row>
    <ns0:row r="212" ht="24" customHeight="1">
      <ns0:c r="D212" s="19" t="n"/>
    </ns0:row>
    <ns0:row r="213" ht="24" customHeight="1">
      <ns0:c r="D213" s="19" t="n"/>
    </ns0:row>
    <ns0:row r="214" ht="24" customHeight="1">
      <ns0:c r="D214" s="19" t="n"/>
    </ns0:row>
    <ns0:row r="215" ht="24" customHeight="1">
      <ns0:c r="D215" s="19" t="n"/>
    </ns0:row>
    <ns0:row r="216" ht="24" customHeight="1">
      <ns0:c r="D216" s="19" t="n"/>
    </ns0:row>
    <ns0:row r="217" ht="24" customHeight="1">
      <ns0:c r="D217" s="19" t="n"/>
    </ns0:row>
    <ns0:row r="218" ht="24" customHeight="1">
      <ns0:c r="D218" s="19" t="n"/>
    </ns0:row>
    <ns0:row r="219" ht="24" customHeight="1">
      <ns0:c r="D219" s="19" t="n"/>
    </ns0:row>
    <ns0:row r="220" ht="24" customHeight="1">
      <ns0:c r="D220" s="19" t="n"/>
    </ns0:row>
    <ns0:row r="221" ht="24" customHeight="1">
      <ns0:c r="D221" s="19" t="n"/>
    </ns0:row>
    <ns0:row r="222" ht="24" customHeight="1">
      <ns0:c r="D222" s="19" t="n"/>
    </ns0:row>
    <ns0:row r="223" ht="24" customHeight="1">
      <ns0:c r="D223" s="19" t="n"/>
    </ns0:row>
    <ns0:row r="224" ht="24" customHeight="1">
      <ns0:c r="D224" s="19" t="n"/>
    </ns0:row>
    <ns0:row r="225" ht="24" customHeight="1">
      <ns0:c r="D225" s="19" t="n"/>
    </ns0:row>
    <ns0:row r="226" ht="24" customHeight="1">
      <ns0:c r="D226" s="19" t="n"/>
    </ns0:row>
    <ns0:row r="227" ht="24" customHeight="1">
      <ns0:c r="D227" s="19" t="n"/>
    </ns0:row>
    <ns0:row r="228" ht="24" customHeight="1">
      <ns0:c r="D228" s="19" t="n"/>
    </ns0:row>
    <ns0:row r="229" ht="24" customHeight="1">
      <ns0:c r="D229" s="19" t="n"/>
    </ns0:row>
    <ns0:row r="230" ht="24" customHeight="1">
      <ns0:c r="D230" s="19" t="n"/>
    </ns0:row>
    <ns0:row r="231" ht="24" customHeight="1">
      <ns0:c r="D231" s="19" t="n"/>
    </ns0:row>
    <ns0:row r="232" ht="24" customHeight="1">
      <ns0:c r="D232" s="19" t="n"/>
    </ns0:row>
    <ns0:row r="233" ht="24" customHeight="1">
      <ns0:c r="D233" s="19" t="n"/>
    </ns0:row>
    <ns0:row r="234" ht="24" customHeight="1">
      <ns0:c r="D234" s="19" t="n"/>
    </ns0:row>
    <ns0:row r="235" ht="24" customHeight="1">
      <ns0:c r="D235" s="19" t="n"/>
    </ns0:row>
    <ns0:row r="236" ht="24" customHeight="1">
      <ns0:c r="D236" s="19" t="n"/>
    </ns0:row>
    <ns0:row r="237" ht="24" customHeight="1">
      <ns0:c r="D237" s="19" t="n"/>
    </ns0:row>
    <ns0:row r="238" ht="24" customHeight="1">
      <ns0:c r="D238" s="19" t="n"/>
    </ns0:row>
    <ns0:row r="239" ht="24" customHeight="1">
      <ns0:c r="D239" s="19" t="n"/>
    </ns0:row>
    <ns0:row r="240" ht="24" customHeight="1">
      <ns0:c r="D240" s="19" t="n"/>
    </ns0:row>
    <ns0:row r="241" ht="24" customHeight="1">
      <ns0:c r="D241" s="19" t="n"/>
    </ns0:row>
    <ns0:row r="242" ht="24" customHeight="1">
      <ns0:c r="D242" s="19" t="n"/>
    </ns0:row>
    <ns0:row r="243" ht="24" customHeight="1">
      <ns0:c r="D243" s="19" t="n"/>
    </ns0:row>
    <ns0:row r="244" ht="24" customHeight="1">
      <ns0:c r="D244" s="19" t="n"/>
    </ns0:row>
    <ns0:row r="245" ht="24" customHeight="1">
      <ns0:c r="D245" s="19" t="n"/>
    </ns0:row>
    <ns0:row r="246" ht="24" customHeight="1">
      <ns0:c r="D246" s="19" t="n"/>
    </ns0:row>
    <ns0:row r="247" ht="24" customHeight="1">
      <ns0:c r="D247" s="19" t="n"/>
    </ns0:row>
    <ns0:row r="248" ht="24" customHeight="1">
      <ns0:c r="D248" s="19" t="n"/>
    </ns0:row>
    <ns0:row r="249" ht="24" customHeight="1">
      <ns0:c r="D249" s="19" t="n"/>
    </ns0:row>
    <ns0:row r="250" ht="24" customHeight="1">
      <ns0:c r="D250" s="19" t="n"/>
    </ns0:row>
    <ns0:row r="251" ht="24" customHeight="1">
      <ns0:c r="D251" s="19" t="n"/>
    </ns0:row>
    <ns0:row r="252" ht="24" customHeight="1">
      <ns0:c r="D252" s="19" t="n"/>
    </ns0:row>
    <ns0:row r="253" ht="24" customHeight="1">
      <ns0:c r="D253" s="19" t="n"/>
    </ns0:row>
    <ns0:row r="254" ht="24" customHeight="1">
      <ns0:c r="D254" s="19" t="n"/>
    </ns0:row>
    <ns0:row r="255" ht="24" customHeight="1">
      <ns0:c r="D255" s="19" t="n"/>
    </ns0:row>
    <ns0:row r="256" ht="24" customHeight="1">
      <ns0:c r="D256" s="19" t="n"/>
    </ns0:row>
    <ns0:row r="257" ht="24" customHeight="1">
      <ns0:c r="D257" s="19" t="n"/>
    </ns0:row>
    <ns0:row r="258" ht="24" customHeight="1">
      <ns0:c r="D258" s="19" t="n"/>
    </ns0:row>
    <ns0:row r="259" ht="24" customHeight="1">
      <ns0:c r="D259" s="19" t="n"/>
    </ns0:row>
    <ns0:row r="260" ht="24" customHeight="1">
      <ns0:c r="D260" s="19" t="n"/>
    </ns0:row>
    <ns0:row r="261" ht="24" customHeight="1">
      <ns0:c r="D261" s="19" t="n"/>
    </ns0:row>
    <ns0:row r="262" ht="24" customHeight="1">
      <ns0:c r="D262" s="19" t="n"/>
    </ns0:row>
    <ns0:row r="263" ht="24" customHeight="1">
      <ns0:c r="D263" s="19" t="n"/>
    </ns0:row>
    <ns0:row r="264" ht="24" customHeight="1">
      <ns0:c r="D264" s="19" t="n"/>
    </ns0:row>
    <ns0:row r="265" ht="24" customHeight="1">
      <ns0:c r="D265" s="19" t="n"/>
    </ns0:row>
    <ns0:row r="266" ht="24" customHeight="1">
      <ns0:c r="D266" s="19" t="n"/>
    </ns0:row>
    <ns0:row r="267" ht="24" customHeight="1">
      <ns0:c r="D267" s="19" t="n"/>
    </ns0:row>
    <ns0:row r="268" ht="24" customHeight="1">
      <ns0:c r="D268" s="19" t="n"/>
    </ns0:row>
    <ns0:row r="269" ht="24" customHeight="1">
      <ns0:c r="D269" s="19" t="n"/>
    </ns0:row>
    <ns0:row r="270" ht="24" customHeight="1">
      <ns0:c r="D270" s="19" t="n"/>
    </ns0:row>
    <ns0:row r="271" ht="24" customHeight="1">
      <ns0:c r="D271" s="19" t="n"/>
    </ns0:row>
    <ns0:row r="272" ht="24" customHeight="1">
      <ns0:c r="D272" s="19" t="n"/>
    </ns0:row>
    <ns0:row r="273" ht="24" customHeight="1">
      <ns0:c r="D273" s="19" t="n"/>
    </ns0:row>
    <ns0:row r="274" ht="24" customHeight="1">
      <ns0:c r="D274" s="19" t="n"/>
    </ns0:row>
    <ns0:row r="275" ht="24" customHeight="1">
      <ns0:c r="D275" s="19" t="n"/>
    </ns0:row>
    <ns0:row r="276" ht="24" customHeight="1">
      <ns0:c r="D276" s="19" t="n"/>
    </ns0:row>
    <ns0:row r="277" ht="24" customHeight="1">
      <ns0:c r="D277" s="19" t="n"/>
    </ns0:row>
    <ns0:row r="278" ht="24" customHeight="1">
      <ns0:c r="D278" s="19" t="n"/>
    </ns0:row>
    <ns0:row r="279" ht="24" customHeight="1">
      <ns0:c r="D279" s="19" t="n"/>
    </ns0:row>
    <ns0:row r="280" ht="24" customHeight="1">
      <ns0:c r="D280" s="19" t="n"/>
    </ns0:row>
    <ns0:row r="281" ht="24" customHeight="1">
      <ns0:c r="D281" s="19" t="n"/>
    </ns0:row>
    <ns0:row r="282" ht="24" customHeight="1">
      <ns0:c r="D282" s="19" t="n"/>
    </ns0:row>
    <ns0:row r="283" ht="24" customHeight="1">
      <ns0:c r="D283" s="19" t="n"/>
    </ns0:row>
    <ns0:row r="284" ht="24" customHeight="1">
      <ns0:c r="D284" s="19" t="n"/>
    </ns0:row>
    <ns0:row r="285" ht="24" customHeight="1">
      <ns0:c r="D285" s="19" t="n"/>
    </ns0:row>
    <ns0:row r="286" ht="24" customHeight="1">
      <ns0:c r="D286" s="19" t="n"/>
    </ns0:row>
    <ns0:row r="287" ht="24" customHeight="1">
      <ns0:c r="D287" s="19" t="n"/>
    </ns0:row>
    <ns0:row r="288" ht="24" customHeight="1">
      <ns0:c r="D288" s="19" t="n"/>
    </ns0:row>
    <ns0:row r="289" ht="24" customHeight="1">
      <ns0:c r="D289" s="19" t="n"/>
    </ns0:row>
    <ns0:row r="290" ht="24" customHeight="1">
      <ns0:c r="D290" s="19" t="n"/>
    </ns0:row>
    <ns0:row r="291" ht="24" customHeight="1">
      <ns0:c r="D291" s="19" t="n"/>
    </ns0:row>
    <ns0:row r="292" ht="24" customHeight="1">
      <ns0:c r="D292" s="19" t="n"/>
    </ns0:row>
  </ns0:sheetData>
  <ns0:mergeCells count="2">
    <ns0:mergeCell ref="A1:I1"/>
    <ns0:mergeCell ref="A2:I2"/>
  </ns0:mergeCells>
  <ns0:pageMargins left="0.75" right="0.75" top="1" bottom="1" header="0.5" footer="0.5"/>
</ns0:worksheet>
</file>

<file path=xl/worksheets/sheet8.xml><?xml version="1.0" encoding="utf-8"?>
<ns0:worksheet xmlns:ns0="http://schemas.openxmlformats.org/spreadsheetml/2006/main">
  <ns0:sheetPr>
    <ns0:outlinePr summaryBelow="1" summaryRight="1"/>
    <ns0:pageSetUpPr/>
  </ns0:sheetPr>
  <ns0:dimension ref="A1:S388"/>
  <ns0:sheetViews>
    <ns0:sheetView showGridLines="0" workbookViewId="0">
      <ns0:pane xSplit="1" ySplit="4" topLeftCell="B5" activePane="bottomRight" state="frozen"/>
      <ns0:selection pane="topRight"/>
      <ns0:selection pane="bottomLeft"/>
      <ns0:selection pane="bottomRight" activeCell="A1" sqref="A1"/>
    </ns0:sheetView>
  </ns0:sheetViews>
  <ns0:sheetFormatPr baseColWidth="8" defaultRowHeight="15"/>
  <ns0:cols>
    <ns0:col width="22" customWidth="1" min="1" max="1"/>
    <ns0:col width="18" customWidth="1" min="2" max="2"/>
    <ns0:col width="18" customWidth="1" min="3" max="3"/>
    <ns0:col width="18" customWidth="1" min="4" max="4"/>
    <ns0:col width="22" customWidth="1" min="5" max="5"/>
    <ns0:col width="18" customWidth="1" min="6" max="6"/>
    <ns0:col width="18" customWidth="1" min="7" max="7"/>
    <ns0:col width="18" customWidth="1" min="8" max="8"/>
    <ns0:col width="18" customWidth="1" min="9" max="9"/>
    <ns0:col width="18" customWidth="1" min="10" max="10"/>
    <ns0:col width="18" customWidth="1" min="11" max="11"/>
    <ns0:col width="18" customWidth="1" min="12" max="12"/>
    <ns0:col width="18" customWidth="1" min="13" max="13"/>
    <ns0:col width="18" customWidth="1" min="14" max="14"/>
    <ns0:col width="18" customWidth="1" min="15" max="15"/>
    <ns0:col width="18" customWidth="1" min="16" max="16"/>
    <ns0:col width="18" customWidth="1" min="17" max="17"/>
    <ns0:col width="18" customWidth="1" min="18" max="18"/>
    <ns0:col width="18" customWidth="1" min="19" max="19"/>
  </ns0:cols>
  <ns0:sheetData>
    <ns0:row r="1" ht="32" customHeight="1">
      <ns0:c r="A1" s="20" t="inlineStr">
        <ns0:is>
          <ns0:t>価格と高利用感度（作成時固定表）</ns0:t>
        </ns0:is>
      </ns0:c>
      <ns0:c r="B1" s="20" t="n"/>
      <ns0:c r="C1" s="20" t="n"/>
      <ns0:c r="D1" s="20" t="n"/>
      <ns0:c r="E1" s="20" t="n"/>
      <ns0:c r="F1" s="20" t="n"/>
      <ns0:c r="G1" s="20" t="n"/>
      <ns0:c r="H1" s="20" t="n"/>
      <ns0:c r="I1" s="20" t="n"/>
      <ns0:c r="J1" s="20" t="n"/>
      <ns0:c r="K1" s="20" t="n"/>
      <ns0:c r="L1" s="20" t="n"/>
      <ns0:c r="M1" s="20" t="n"/>
      <ns0:c r="N1" s="20" t="n"/>
      <ns0:c r="O1" s="20" t="n"/>
      <ns0:c r="P1" s="20" t="n"/>
      <ns0:c r="Q1" s="20" t="n"/>
      <ns0:c r="R1" s="20" t="n"/>
      <ns0:c r="S1" s="20" t="n"/>
    </ns0:row>
    <ns0:row r="2" ht="65" customHeight="1">
      <ns0:c r="A2" s="20" t="inlineStr">
        <ns0:is>
          <ns0:t>入力変更に連動しない。round=元価格 / service20=各サービス基本20円減 / product20=パックを含む各商品20円減。floor=MAX / add=最低額加算。運用費含む0は固定運用とサポートを除外。</ns0:t>
        </ns0:is>
      </ns0:c>
      <ns0:c r="B2" s="20" t="n"/>
      <ns0:c r="C2" s="20" t="n"/>
      <ns0:c r="D2" s="20" t="n"/>
      <ns0:c r="E2" s="20" t="n"/>
      <ns0:c r="F2" s="20" t="n"/>
      <ns0:c r="G2" s="20" t="n"/>
      <ns0:c r="H2" s="20" t="n"/>
      <ns0:c r="I2" s="20" t="n"/>
      <ns0:c r="J2" s="20" t="n"/>
      <ns0:c r="K2" s="20" t="n"/>
      <ns0:c r="L2" s="20" t="n"/>
      <ns0:c r="M2" s="20" t="n"/>
      <ns0:c r="N2" s="20" t="n"/>
      <ns0:c r="O2" s="20" t="n"/>
      <ns0:c r="P2" s="20" t="n"/>
      <ns0:c r="Q2" s="20" t="n"/>
      <ns0:c r="R2" s="20" t="n"/>
      <ns0:c r="S2" s="20" t="n"/>
    </ns0:row>
    <ns0:row r="3">
      <ns0:c r="A3" s="20" t="n"/>
      <ns0:c r="B3" s="20" t="n"/>
      <ns0:c r="C3" s="20" t="n"/>
      <ns0:c r="D3" s="20" t="n"/>
      <ns0:c r="E3" s="20" t="n"/>
      <ns0:c r="F3" s="20" t="n"/>
      <ns0:c r="G3" s="20" t="n"/>
      <ns0:c r="H3" s="20" t="n"/>
      <ns0:c r="I3" s="20" t="n"/>
      <ns0:c r="J3" s="20" t="n"/>
      <ns0:c r="K3" s="20" t="n"/>
      <ns0:c r="L3" s="20" t="n"/>
      <ns0:c r="M3" s="20" t="n"/>
      <ns0:c r="N3" s="20" t="n"/>
      <ns0:c r="O3" s="20" t="n"/>
      <ns0:c r="P3" s="20" t="n"/>
      <ns0:c r="Q3" s="20" t="n"/>
      <ns0:c r="R3" s="20" t="n"/>
      <ns0:c r="S3" s="20" t="n"/>
    </ns0:row>
    <ns0:row r="4" ht="50" customHeight="1">
      <ns0:c r="A4" s="21" t="inlineStr">
        <ns0:is>
          <ns0:t>価格定義</ns0:t>
        </ns0:is>
      </ns0:c>
      <ns0:c r="B4" s="21" t="inlineStr">
        <ns0:is>
          <ns0:t>高利用率</ns0:t>
        </ns0:is>
      </ns0:c>
      <ns0:c r="C4" s="21" t="inlineStr">
        <ns0:is>
          <ns0:t>運用費含む</ns0:t>
        </ns0:is>
      </ns0:c>
      <ns0:c r="D4" s="21" t="inlineStr">
        <ns0:is>
          <ns0:t>DNS最低額</ns0:t>
        </ns0:is>
      </ns0:c>
      <ns0:c r="E4" s="21" t="inlineStr">
        <ns0:is>
          <ns0:t>構成</ns0:t>
        </ns0:is>
      </ns0:c>
      <ns0:c r="F4" s="21" t="inlineStr">
        <ns0:is>
          <ns0:t>配分率</ns0:t>
        </ns0:is>
      </ns0:c>
      <ns0:c r="G4" s="21" t="inlineStr">
        <ns0:is>
          <ns0:t>初回黒字社</ns0:t>
        </ns0:is>
      </ns0:c>
      <ns0:c r="H4" s="21" t="inlineStr">
        <ns0:is>
          <ns0:t>継続黒字社</ns0:t>
        </ns0:is>
      </ns0:c>
      <ns0:c r="I4" s="21" t="inlineStr">
        <ns0:is>
          <ns0:t>両サービス黒字社</ns0:t>
        </ns0:is>
      </ns0:c>
      <ns0:c r="J4" s="21" t="inlineStr">
        <ns0:is>
          <ns0:t>平均売上</ns0:t>
        </ns0:is>
      </ns0:c>
      <ns0:c r="K4" s="21" t="inlineStr">
        <ns0:is>
          <ns0:t>平均配分</ns0:t>
        </ns0:is>
      </ns0:c>
      <ns0:c r="L4" s="21" t="inlineStr">
        <ns0:is>
          <ns0:t>100社G差引</ns0:t>
        </ns0:is>
      </ns0:c>
      <ns0:c r="M4" s="21" t="inlineStr">
        <ns0:is>
          <ns0:t>100社S差引</ns0:t>
        </ns0:is>
      </ns0:c>
      <ns0:c r="N4" s="21" t="inlineStr">
        <ns0:is>
          <ns0:t>10社合計</ns0:t>
        </ns0:is>
      </ns0:c>
      <ns0:c r="O4" s="21" t="inlineStr">
        <ns0:is>
          <ns0:t>30社</ns0:t>
        </ns0:is>
      </ns0:c>
      <ns0:c r="P4" s="21" t="inlineStr">
        <ns0:is>
          <ns0:t>50社</ns0:t>
        </ns0:is>
      </ns0:c>
      <ns0:c r="Q4" s="21" t="inlineStr">
        <ns0:is>
          <ns0:t>100社</ns0:t>
        </ns0:is>
      </ns0:c>
      <ns0:c r="R4" s="21" t="inlineStr">
        <ns0:is>
          <ns0:t>300社</ns0:t>
        </ns0:is>
      </ns0:c>
      <ns0:c r="S4" s="21" t="inlineStr">
        <ns0:is>
          <ns0:t>1000社</ns0:t>
        </ns0:is>
      </ns0:c>
    </ns0:row>
    <ns0:row r="5" ht="32" customHeight="1">
      <ns0:c r="A5" s="20" t="inlineStr">
        <ns0:is>
          <ns0:t>round</ns0:t>
        </ns0:is>
      </ns0:c>
      <ns0:c r="B5" s="22" t="n">
        <ns0:v>0</ns0:v>
      </ns0:c>
      <ns0:c r="C5" s="20" t="n">
        <ns0:v>1</ns0:v>
      </ns0:c>
      <ns0:c r="D5" s="20" t="inlineStr">
        <ns0:is>
          <ns0:t>floor</ns0:t>
        </ns0:is>
      </ns0:c>
      <ns0:c r="E5" s="20" t="inlineStr">
        <ns0:is>
          <ns0:t>パック単独</ns0:t>
        </ns0:is>
      </ns0:c>
      <ns0:c r="F5" s="22" t="n">
        <ns0:v>0.4</ns0:v>
      </ns0:c>
      <ns0:c r="G5" s="20" t="n">
        <ns0:v>16</ns0:v>
      </ns0:c>
      <ns0:c r="H5" s="20" t="n">
        <ns0:v>16</ns0:v>
      </ns0:c>
      <ns0:c r="I5" s="20" t="n">
        <ns0:v>34</ns0:v>
      </ns0:c>
      <ns0:c r="J5" s="20" t="n">
        <ns0:v>8308.379888268155</ns0:v>
      </ns0:c>
      <ns0:c r="K5" s="20" t="n">
        <ns0:v>1705.251396648044</ns0:v>
      </ns0:c>
      <ns0:c r="L5" s="20" t="n">
        <ns0:v>224581.6663663123</ns0:v>
      </ns0:c>
      <ns0:c r="M5" s="20" t="n">
        <ns0:v>69023.07675749995</ns0:v>
      </ns0:c>
      <ns0:c r="N5" s="20" t="n">
        <ns0:v>-13513.8919909606</ns0:v>
      </ns0:c>
      <ns0:c r="O5" s="20" t="n">
        <ns0:v>49923.76869872821</ns0:v>
      </ns0:c>
      <ns0:c r="P5" s="20" t="n">
        <ns0:v>119546.9042487522</ns0:v>
      </ns0:c>
      <ns0:c r="Q5" s="20" t="n">
        <ns0:v>293604.7431238123</ns0:v>
      </ns0:c>
      <ns0:c r="R5" s="20" t="n">
        <ns0:v>947836.098624052</ns0:v>
      </ns0:c>
      <ns0:c r="S5" s="20" t="n">
        <ns0:v>3314645.842874893</ns0:v>
      </ns0:c>
    </ns0:row>
    <ns0:row r="6" ht="32" customHeight="1">
      <ns0:c r="A6" s="20" t="inlineStr">
        <ns0:is>
          <ns0:t>round</ns0:t>
        </ns0:is>
      </ns0:c>
      <ns0:c r="B6" s="22" t="n">
        <ns0:v>0</ns0:v>
      </ns0:c>
      <ns0:c r="C6" s="20" t="n">
        <ns0:v>1</ns0:v>
      </ns0:c>
      <ns0:c r="D6" s="20" t="inlineStr">
        <ns0:is>
          <ns0:t>floor</ns0:t>
        </ns0:is>
      </ns0:c>
      <ns0:c r="E6" s="20" t="inlineStr">
        <ns0:is>
          <ns0:t>パック単独</ns0:t>
        </ns0:is>
      </ns0:c>
      <ns0:c r="F6" s="22" t="n">
        <ns0:v>0.5</ns0:v>
      </ns0:c>
      <ns0:c r="G6" s="20" t="n">
        <ns0:v>18</ns0:v>
      </ns0:c>
      <ns0:c r="H6" s="20" t="n">
        <ns0:v>18</ns0:v>
      </ns0:c>
      <ns0:c r="I6" s="20" t="n">
        <ns0:v>38</ns0:v>
      </ns0:c>
      <ns0:c r="J6" s="20" t="n">
        <ns0:v>8308.379888268155</ns0:v>
      </ns0:c>
      <ns0:c r="K6" s="20" t="n">
        <ns0:v>2131.564245810056</ns0:v>
      </ns0:c>
      <ns0:c r="L6" s="20" t="n">
        <ns0:v>192927.429260144</ns0:v>
      </ns0:c>
      <ns0:c r="M6" s="20" t="n">
        <ns0:v>58046.02894746711</ns0:v>
      </ns0:c>
      <ns0:c r="N6" s="20" t="n">
        <ns0:v>-17777.02048258072</ns0:v>
      </ns0:c>
      <ns0:c r="O6" s="20" t="n">
        <ns0:v>37134.38322386787</ns0:v>
      </ns0:c>
      <ns0:c r="P6" s="20" t="n">
        <ns0:v>98231.26179065168</ns0:v>
      </ns0:c>
      <ns0:c r="Q6" s="20" t="n">
        <ns0:v>250973.4582076111</ns0:v>
      </ns0:c>
      <ns0:c r="R6" s="20" t="n">
        <ns0:v>819942.2438754488</ns0:v>
      </ns0:c>
      <ns0:c r="S6" s="20" t="n">
        <ns0:v>2888332.993712881</ns0:v>
      </ns0:c>
    </ns0:row>
    <ns0:row r="7" ht="32" customHeight="1">
      <ns0:c r="A7" s="20" t="inlineStr">
        <ns0:is>
          <ns0:t>round</ns0:t>
        </ns0:is>
      </ns0:c>
      <ns0:c r="B7" s="22" t="n">
        <ns0:v>0</ns0:v>
      </ns0:c>
      <ns0:c r="C7" s="20" t="n">
        <ns0:v>1</ns0:v>
      </ns0:c>
      <ns0:c r="D7" s="20" t="inlineStr">
        <ns0:is>
          <ns0:t>floor</ns0:t>
        </ns0:is>
      </ns0:c>
      <ns0:c r="E7" s="20" t="inlineStr">
        <ns0:is>
          <ns0:t>混在・パック30%</ns0:t>
        </ns0:is>
      </ns0:c>
      <ns0:c r="F7" s="22" t="n">
        <ns0:v>0.4</ns0:v>
      </ns0:c>
      <ns0:c r="G7" s="20" t="n">
        <ns0:v>22</ns0:v>
      </ns0:c>
      <ns0:c r="H7" s="20" t="n">
        <ns0:v>22</ns0:v>
      </ns0:c>
      <ns0:c r="I7" s="20" t="n">
        <ns0:v>55</ns0:v>
      </ns0:c>
      <ns0:c r="J7" s="20" t="n">
        <ns0:v>5925.647230566237</ns0:v>
      </ns0:c>
      <ns0:c r="K7" s="20" t="n">
        <ns0:v>1297.736054574549</ns0:v>
      </ns0:c>
      <ns0:c r="L7" s="20" t="n">
        <ns0:v>168018.6712320538</ns0:v>
      </ns0:c>
      <ns0:c r="M7" s="20" t="n">
        <ns0:v>29149.31542448267</ns0:v>
      </ns0:c>
      <ns0:c r="N7" s="20" t="n">
        <ns0:v>-27413.21009578873</ns0:v>
      </ns0:c>
      <ns0:c r="O7" s="20" t="n">
        <ns0:v>20992.74175854548</ns0:v>
      </ns0:c>
      <ns0:c r="P7" s="20" t="n">
        <ns0:v>71328.52601511433</ns0:v>
      </ns0:c>
      <ns0:c r="Q7" s="20" t="n">
        <ns0:v>197167.9866565365</ns0:v>
      </ns0:c>
      <ns0:c r="R7" s="20" t="n">
        <ns0:v>658525.8292222251</ns0:v>
      </ns0:c>
      <ns0:c r="S7" s="20" t="n">
        <ns0:v>2350278.278202135</ns0:v>
      </ns0:c>
    </ns0:row>
    <ns0:row r="8" ht="32" customHeight="1">
      <ns0:c r="A8" s="20" t="inlineStr">
        <ns0:is>
          <ns0:t>round</ns0:t>
        </ns0:is>
      </ns0:c>
      <ns0:c r="B8" s="22" t="n">
        <ns0:v>0</ns0:v>
      </ns0:c>
      <ns0:c r="C8" s="20" t="n">
        <ns0:v>1</ns0:v>
      </ns0:c>
      <ns0:c r="D8" s="20" t="inlineStr">
        <ns0:is>
          <ns0:t>floor</ns0:t>
        </ns0:is>
      </ns0:c>
      <ns0:c r="E8" s="20" t="inlineStr">
        <ns0:is>
          <ns0:t>混在・パック30%</ns0:t>
        </ns0:is>
      </ns0:c>
      <ns0:c r="F8" s="22" t="n">
        <ns0:v>0.5</ns0:v>
      </ns0:c>
      <ns0:c r="G8" s="20" t="n">
        <ns0:v>25</ns0:v>
      </ns0:c>
      <ns0:c r="H8" s="20" t="n">
        <ns0:v>25</ns0:v>
      </ns0:c>
      <ns0:c r="I8" s="20" t="n">
        <ns0:v>62</ns0:v>
      </ns0:c>
      <ns0:c r="J8" s="20" t="n">
        <ns0:v>5925.647230566237</ns0:v>
      </ns0:c>
      <ns0:c r="K8" s="20" t="n">
        <ns0:v>1622.170068218186</ns0:v>
      </ns0:c>
      <ns0:c r="L8" s="20" t="n">
        <ns0:v>142879.9419996446</ns0:v>
      </ns0:c>
      <ns0:c r="M8" s="20" t="n">
        <ns0:v>21844.6432925281</ns0:v>
      </ns0:c>
      <ns0:c r="N8" s="20" t="n">
        <ns0:v>-30657.5502322251</ns0:v>
      </ns0:c>
      <ns0:c r="O8" s="20" t="n">
        <ns0:v>11259.72134923637</ns0:v>
      </ns0:c>
      <ns0:c r="P8" s="20" t="n">
        <ns0:v>55106.82533293245</ns0:v>
      </ns0:c>
      <ns0:c r="Q8" s="20" t="n">
        <ns0:v>164724.5852921727</ns0:v>
      </ns0:c>
      <ns0:c r="R8" s="20" t="n">
        <ns0:v>561195.625129134</ns0:v>
      </ns0:c>
      <ns0:c r="S8" s="20" t="n">
        <ns0:v>2025844.264558498</ns0:v>
      </ns0:c>
    </ns0:row>
    <ns0:row r="9" ht="32" customHeight="1">
      <ns0:c r="A9" s="20" t="inlineStr">
        <ns0:is>
          <ns0:t>round</ns0:t>
        </ns0:is>
      </ns0:c>
      <ns0:c r="B9" s="22" t="n">
        <ns0:v>0</ns0:v>
      </ns0:c>
      <ns0:c r="C9" s="20" t="n">
        <ns0:v>1</ns0:v>
      </ns0:c>
      <ns0:c r="D9" s="20" t="inlineStr">
        <ns0:is>
          <ns0:t>floor</ns0:t>
        </ns0:is>
      </ns0:c>
      <ns0:c r="E9" s="20" t="inlineStr">
        <ns0:is>
          <ns0:t>混在・パック50%</ns0:t>
        </ns0:is>
      </ns0:c>
      <ns0:c r="F9" s="22" t="n">
        <ns0:v>0.4</ns0:v>
      </ns0:c>
      <ns0:c r="G9" s="20" t="n">
        <ns0:v>20</ns0:v>
      </ns0:c>
      <ns0:c r="H9" s="20" t="n">
        <ns0:v>20</ns0:v>
      </ns0:c>
      <ns0:c r="I9" s="20" t="n">
        <ns0:v>46</ns0:v>
      </ns0:c>
      <ns0:c r="J9" s="20" t="n">
        <ns0:v>6606.427989909643</ns0:v>
      </ns0:c>
      <ns0:c r="K9" s="20" t="n">
        <ns0:v>1414.16900945269</ns0:v>
      </ns0:c>
      <ns0:c r="L9" s="20" t="n">
        <ns0:v>184179.5269846991</ns0:v>
      </ns0:c>
      <ns0:c r="M9" s="20" t="n">
        <ns0:v>40541.81866248765</ns0:v>
      </ns0:c>
      <ns0:c r="N9" s="20" t="n">
        <ns0:v>-23441.97635155212</ns0:v>
      </ns0:c>
      <ns0:c r="O9" s="20" t="n">
        <ns0:v>29258.74945574053</ns0:v>
      </ns0:c>
      <ns0:c r="P9" s="20" t="n">
        <ns0:v>85105.20551043947</ns0:v>
      </ns0:c>
      <ns0:c r="Q9" s="20" t="n">
        <ns0:v>224721.3456471867</ns0:v>
      </ns0:c>
      <ns0:c r="R9" s="20" t="n">
        <ns0:v>741185.9061941756</ns0:v>
      </ns0:c>
      <ns0:c r="S9" s="20" t="n">
        <ns0:v>2625811.868108638</ns0:v>
      </ns0:c>
    </ns0:row>
    <ns0:row r="10" ht="32" customHeight="1">
      <ns0:c r="A10" s="20" t="inlineStr">
        <ns0:is>
          <ns0:t>round</ns0:t>
        </ns0:is>
      </ns0:c>
      <ns0:c r="B10" s="22" t="n">
        <ns0:v>0</ns0:v>
      </ns0:c>
      <ns0:c r="C10" s="20" t="n">
        <ns0:v>1</ns0:v>
      </ns0:c>
      <ns0:c r="D10" s="20" t="inlineStr">
        <ns0:is>
          <ns0:t>floor</ns0:t>
        </ns0:is>
      </ns0:c>
      <ns0:c r="E10" s="20" t="inlineStr">
        <ns0:is>
          <ns0:t>混在・パック50%</ns0:t>
        </ns0:is>
      </ns0:c>
      <ns0:c r="F10" s="22" t="n">
        <ns0:v>0.5</ns0:v>
      </ns0:c>
      <ns0:c r="G10" s="20" t="n">
        <ns0:v>23</ns0:v>
      </ns0:c>
      <ns0:c r="H10" s="20" t="n">
        <ns0:v>23</ns0:v>
      </ns0:c>
      <ns0:c r="I10" s="20" t="n">
        <ns0:v>52</ns0:v>
      </ns0:c>
      <ns0:c r="J10" s="20" t="n">
        <ns0:v>6606.427989909643</ns0:v>
      </ns0:c>
      <ns0:c r="K10" s="20" t="n">
        <ns0:v>1767.711261815863</ns0:v>
      </ns0:c>
      <ns0:c r="L10" s="20" t="n">
        <ns0:v>157179.224074073</ns0:v>
      </ns0:c>
      <ns0:c r="M10" s="20" t="n">
        <ns0:v>32187.89633679644</ns0:v>
      </ns0:c>
      <ns0:c r="N10" s="20" t="n">
        <ns0:v>-26977.39887518385</ns0:v>
      </ns0:c>
      <ns0:c r="O10" s="20" t="n">
        <ns0:v>18652.48188484536</ns0:v>
      </ns0:c>
      <ns0:c r="P10" s="20" t="n">
        <ns0:v>67428.09289228084</ns0:v>
      </ns0:c>
      <ns0:c r="Q10" s="20" t="n">
        <ns0:v>189367.1204108695</ns0:v>
      </ns0:c>
      <ns0:c r="R10" s="20" t="n">
        <ns0:v>635123.2304852238</ns0:v>
      </ns0:c>
      <ns0:c r="S10" s="20" t="n">
        <ns0:v>2272269.615745465</ns0:v>
      </ns0:c>
    </ns0:row>
    <ns0:row r="11" ht="32" customHeight="1">
      <ns0:c r="A11" s="20" t="inlineStr">
        <ns0:is>
          <ns0:t>round</ns0:t>
        </ns0:is>
      </ns0:c>
      <ns0:c r="B11" s="22" t="n">
        <ns0:v>0</ns0:v>
      </ns0:c>
      <ns0:c r="C11" s="20" t="n">
        <ns0:v>1</ns0:v>
      </ns0:c>
      <ns0:c r="D11" s="20" t="inlineStr">
        <ns0:is>
          <ns0:t>floor</ns0:t>
        </ns0:is>
      </ns0:c>
      <ns0:c r="E11" s="20" t="inlineStr">
        <ns0:is>
          <ns0:t>混在・パック70%</ns0:t>
        </ns0:is>
      </ns0:c>
      <ns0:c r="F11" s="22" t="n">
        <ns0:v>0.4</ns0:v>
      </ns0:c>
      <ns0:c r="G11" s="20" t="n">
        <ns0:v>18</ns0:v>
      </ns0:c>
      <ns0:c r="H11" s="20" t="n">
        <ns0:v>18</ns0:v>
      </ns0:c>
      <ns0:c r="I11" s="20" t="n">
        <ns0:v>40</ns0:v>
      </ns0:c>
      <ns0:c r="J11" s="20" t="n">
        <ns0:v>7287.208749253048</ns0:v>
      </ns0:c>
      <ns0:c r="K11" s="20" t="n">
        <ns0:v>1530.601964330832</ns0:v>
      </ns0:c>
      <ns0:c r="L11" s="20" t="n">
        <ns0:v>200340.3827373443</ns0:v>
      </ns0:c>
      <ns0:c r="M11" s="20" t="n">
        <ns0:v>51934.32190049256</ns0:v>
      </ns0:c>
      <ns0:c r="N11" s="20" t="n">
        <ns0:v>-19470.74260731552</ns0:v>
      </ns0:c>
      <ns0:c r="O11" s="20" t="n">
        <ns0:v>37524.75715293561</ns0:v>
      </ns0:c>
      <ns0:c r="P11" s="20" t="n">
        <ns0:v>98881.88500576453</ns0:v>
      </ns0:c>
      <ns0:c r="Q11" s="20" t="n">
        <ns0:v>252274.7046378369</ns0:v>
      </ns0:c>
      <ns0:c r="R11" s="20" t="n">
        <ns0:v>823845.9831661267</ns0:v>
      </ns0:c>
      <ns0:c r="S11" s="20" t="n">
        <ns0:v>2901345.458015139</ns0:v>
      </ns0:c>
    </ns0:row>
    <ns0:row r="12" ht="32" customHeight="1">
      <ns0:c r="A12" s="20" t="inlineStr">
        <ns0:is>
          <ns0:t>round</ns0:t>
        </ns0:is>
      </ns0:c>
      <ns0:c r="B12" s="22" t="n">
        <ns0:v>0</ns0:v>
      </ns0:c>
      <ns0:c r="C12" s="20" t="n">
        <ns0:v>1</ns0:v>
      </ns0:c>
      <ns0:c r="D12" s="20" t="inlineStr">
        <ns0:is>
          <ns0:t>floor</ns0:t>
        </ns0:is>
      </ns0:c>
      <ns0:c r="E12" s="20" t="inlineStr">
        <ns0:is>
          <ns0:t>混在・パック70%</ns0:t>
        </ns0:is>
      </ns0:c>
      <ns0:c r="F12" s="22" t="n">
        <ns0:v>0.5</ns0:v>
      </ns0:c>
      <ns0:c r="G12" s="20" t="n">
        <ns0:v>21</ns0:v>
      </ns0:c>
      <ns0:c r="H12" s="20" t="n">
        <ns0:v>21</ns0:v>
      </ns0:c>
      <ns0:c r="I12" s="20" t="n">
        <ns0:v>45</ns0:v>
      </ns0:c>
      <ns0:c r="J12" s="20" t="n">
        <ns0:v>7287.208749253048</ns0:v>
      </ns0:c>
      <ns0:c r="K12" s="20" t="n">
        <ns0:v>1913.25245541354</ns0:v>
      </ns0:c>
      <ns0:c r="L12" s="20" t="n">
        <ns0:v>171478.5061485014</ns0:v>
      </ns0:c>
      <ns0:c r="M12" s="20" t="n">
        <ns0:v>42531.14938106469</ns0:v>
      </ns0:c>
      <ns0:c r="N12" s="20" t="n">
        <ns0:v>-23297.24751814261</ns0:v>
      </ns0:c>
      <ns0:c r="O12" s="20" t="n">
        <ns0:v>26045.24242045438</ns0:v>
      </ns0:c>
      <ns0:c r="P12" s="20" t="n">
        <ns0:v>79749.36045162915</ns0:v>
      </ns0:c>
      <ns0:c r="Q12" s="20" t="n">
        <ns0:v>214009.6555295661</ns0:v>
      </ns0:c>
      <ns0:c r="R12" s="20" t="n">
        <ns0:v>709050.8358413141</ns0:v>
      </ns0:c>
      <ns0:c r="S12" s="20" t="n">
        <ns0:v>2518694.966932432</ns0:v>
      </ns0:c>
    </ns0:row>
    <ns0:row r="13" ht="32" customHeight="1">
      <ns0:c r="A13" s="20" t="inlineStr">
        <ns0:is>
          <ns0:t>round</ns0:t>
        </ns0:is>
      </ns0:c>
      <ns0:c r="B13" s="22" t="n">
        <ns0:v>0</ns0:v>
      </ns0:c>
      <ns0:c r="C13" s="20" t="n">
        <ns0:v>1</ns0:v>
      </ns0:c>
      <ns0:c r="D13" s="20" t="inlineStr">
        <ns0:is>
          <ns0:t>add</ns0:t>
        </ns0:is>
      </ns0:c>
      <ns0:c r="E13" s="20" t="inlineStr">
        <ns0:is>
          <ns0:t>パック単独</ns0:t>
        </ns0:is>
      </ns0:c>
      <ns0:c r="F13" s="22" t="n">
        <ns0:v>0.4</ns0:v>
      </ns0:c>
      <ns0:c r="G13" s="20" t="n">
        <ns0:v>23</ns0:v>
      </ns0:c>
      <ns0:c r="H13" s="20" t="n">
        <ns0:v>23</ns0:v>
      </ns0:c>
      <ns0:c r="I13" s="20" t="n">
        <ns0:v>34</ns0:v>
      </ns0:c>
      <ns0:c r="J13" s="20" t="n">
        <ns0:v>8308.379888268155</ns0:v>
      </ns0:c>
      <ns0:c r="K13" s="20" t="n">
        <ns0:v>1705.251396648044</ns0:v>
      </ns0:c>
      <ns0:c r="L13" s="20" t="n">
        <ns0:v>202081.6663663123</ns0:v>
      </ns0:c>
      <ns0:c r="M13" s="20" t="n">
        <ns0:v>69023.07675749995</ns0:v>
      </ns0:c>
      <ns0:c r="N13" s="20" t="n">
        <ns0:v>-27699.3668512958</ns0:v>
      </ns0:c>
      <ns0:c r="O13" s="20" t="n">
        <ns0:v>27423.76869872821</ns0:v>
      </ns0:c>
      <ns0:c r="P13" s="20" t="n">
        <ns0:v>97046.90424875222</ns0:v>
      </ns0:c>
      <ns0:c r="Q13" s="20" t="n">
        <ns0:v>271104.7431238123</ns0:v>
      </ns0:c>
      <ns0:c r="R13" s="20" t="n">
        <ns0:v>925336.098624052</ns0:v>
      </ns0:c>
      <ns0:c r="S13" s="20" t="n">
        <ns0:v>3292145.842874893</ns0:v>
      </ns0:c>
    </ns0:row>
    <ns0:row r="14" ht="32" customHeight="1">
      <ns0:c r="A14" s="20" t="inlineStr">
        <ns0:is>
          <ns0:t>round</ns0:t>
        </ns0:is>
      </ns0:c>
      <ns0:c r="B14" s="22" t="n">
        <ns0:v>0</ns0:v>
      </ns0:c>
      <ns0:c r="C14" s="20" t="n">
        <ns0:v>1</ns0:v>
      </ns0:c>
      <ns0:c r="D14" s="20" t="inlineStr">
        <ns0:is>
          <ns0:t>add</ns0:t>
        </ns0:is>
      </ns0:c>
      <ns0:c r="E14" s="20" t="inlineStr">
        <ns0:is>
          <ns0:t>パック単独</ns0:t>
        </ns0:is>
      </ns0:c>
      <ns0:c r="F14" s="22" t="n">
        <ns0:v>0.5</ns0:v>
      </ns0:c>
      <ns0:c r="G14" s="20" t="n">
        <ns0:v>26</ns0:v>
      </ns0:c>
      <ns0:c r="H14" s="20" t="n">
        <ns0:v>26</ns0:v>
      </ns0:c>
      <ns0:c r="I14" s="20" t="n">
        <ns0:v>38</ns0:v>
      </ns0:c>
      <ns0:c r="J14" s="20" t="n">
        <ns0:v>8308.379888268155</ns0:v>
      </ns0:c>
      <ns0:c r="K14" s="20" t="n">
        <ns0:v>2131.564245810056</ns0:v>
      </ns0:c>
      <ns0:c r="L14" s="20" t="n">
        <ns0:v>170427.4292601441</ns0:v>
      </ns0:c>
      <ns0:c r="M14" s="20" t="n">
        <ns0:v>58046.02894746711</ns0:v>
      </ns0:c>
      <ns0:c r="N14" s="20" t="n">
        <ns0:v>-31962.49534291591</ns0:v>
      </ns0:c>
      <ns0:c r="O14" s="20" t="n">
        <ns0:v>14634.38322386787</ns0:v>
      </ns0:c>
      <ns0:c r="P14" s="20" t="n">
        <ns0:v>75731.26179065168</ns0:v>
      </ns0:c>
      <ns0:c r="Q14" s="20" t="n">
        <ns0:v>228473.4582076112</ns0:v>
      </ns0:c>
      <ns0:c r="R14" s="20" t="n">
        <ns0:v>797442.2438754488</ns0:v>
      </ns0:c>
      <ns0:c r="S14" s="20" t="n">
        <ns0:v>2865832.993712881</ns0:v>
      </ns0:c>
    </ns0:row>
    <ns0:row r="15" ht="32" customHeight="1">
      <ns0:c r="A15" s="20" t="inlineStr">
        <ns0:is>
          <ns0:t>round</ns0:t>
        </ns0:is>
      </ns0:c>
      <ns0:c r="B15" s="22" t="n">
        <ns0:v>0</ns0:v>
      </ns0:c>
      <ns0:c r="C15" s="20" t="n">
        <ns0:v>1</ns0:v>
      </ns0:c>
      <ns0:c r="D15" s="20" t="inlineStr">
        <ns0:is>
          <ns0:t>add</ns0:t>
        </ns0:is>
      </ns0:c>
      <ns0:c r="E15" s="20" t="inlineStr">
        <ns0:is>
          <ns0:t>混在・パック30%</ns0:t>
        </ns0:is>
      </ns0:c>
      <ns0:c r="F15" s="22" t="n">
        <ns0:v>0.4</ns0:v>
      </ns0:c>
      <ns0:c r="G15" s="20" t="n">
        <ns0:v>31</ns0:v>
      </ns0:c>
      <ns0:c r="H15" s="20" t="n">
        <ns0:v>31</ns0:v>
      </ns0:c>
      <ns0:c r="I15" s="20" t="n">
        <ns0:v>55</ns0:v>
      </ns0:c>
      <ns0:c r="J15" s="20" t="n">
        <ns0:v>5925.647230566237</ns0:v>
      </ns0:c>
      <ns0:c r="K15" s="20" t="n">
        <ns0:v>1297.736054574549</ns0:v>
      </ns0:c>
      <ns0:c r="L15" s="20" t="n">
        <ns0:v>145518.6712320538</ns0:v>
      </ns0:c>
      <ns0:c r="M15" s="20" t="n">
        <ns0:v>29149.31542448267</ns0:v>
      </ns0:c>
      <ns0:c r="N15" s="20" t="n">
        <ns0:v>-37343.04249802337</ns0:v>
      </ns0:c>
      <ns0:c r="O15" s="20" t="n">
        <ns0:v>-1507.258241454518</ns0:v>
      </ns0:c>
      <ns0:c r="P15" s="20" t="n">
        <ns0:v>48828.52601511432</ns0:v>
      </ns0:c>
      <ns0:c r="Q15" s="20" t="n">
        <ns0:v>174667.9866565365</ns0:v>
      </ns0:c>
      <ns0:c r="R15" s="20" t="n">
        <ns0:v>636025.8292222251</ns0:v>
      </ns0:c>
      <ns0:c r="S15" s="20" t="n">
        <ns0:v>2327778.278202135</ns0:v>
      </ns0:c>
    </ns0:row>
    <ns0:row r="16" ht="32" customHeight="1">
      <ns0:c r="A16" s="20" t="inlineStr">
        <ns0:is>
          <ns0:t>round</ns0:t>
        </ns0:is>
      </ns0:c>
      <ns0:c r="B16" s="22" t="n">
        <ns0:v>0</ns0:v>
      </ns0:c>
      <ns0:c r="C16" s="20" t="n">
        <ns0:v>1</ns0:v>
      </ns0:c>
      <ns0:c r="D16" s="20" t="inlineStr">
        <ns0:is>
          <ns0:t>add</ns0:t>
        </ns0:is>
      </ns0:c>
      <ns0:c r="E16" s="20" t="inlineStr">
        <ns0:is>
          <ns0:t>混在・パック30%</ns0:t>
        </ns0:is>
      </ns0:c>
      <ns0:c r="F16" s="22" t="n">
        <ns0:v>0.5</ns0:v>
      </ns0:c>
      <ns0:c r="G16" s="20" t="n">
        <ns0:v>36</ns0:v>
      </ns0:c>
      <ns0:c r="H16" s="20" t="n">
        <ns0:v>36</ns0:v>
      </ns0:c>
      <ns0:c r="I16" s="20" t="n">
        <ns0:v>62</ns0:v>
      </ns0:c>
      <ns0:c r="J16" s="20" t="n">
        <ns0:v>5925.647230566237</ns0:v>
      </ns0:c>
      <ns0:c r="K16" s="20" t="n">
        <ns0:v>1622.170068218186</ns0:v>
      </ns0:c>
      <ns0:c r="L16" s="20" t="n">
        <ns0:v>120379.9419996446</ns0:v>
      </ns0:c>
      <ns0:c r="M16" s="20" t="n">
        <ns0:v>21844.6432925281</ns0:v>
      </ns0:c>
      <ns0:c r="N16" s="20" t="n">
        <ns0:v>-40587.38263445973</ns0:v>
      </ns0:c>
      <ns0:c r="O16" s="20" t="n">
        <ns0:v>-11240.27865076363</ns0:v>
      </ns0:c>
      <ns0:c r="P16" s="20" t="n">
        <ns0:v>32606.82533293245</ns0:v>
      </ns0:c>
      <ns0:c r="Q16" s="20" t="n">
        <ns0:v>142224.5852921727</ns0:v>
      </ns0:c>
      <ns0:c r="R16" s="20" t="n">
        <ns0:v>538695.625129134</ns0:v>
      </ns0:c>
      <ns0:c r="S16" s="20" t="n">
        <ns0:v>2003344.264558498</ns0:v>
      </ns0:c>
    </ns0:row>
    <ns0:row r="17" ht="32" customHeight="1">
      <ns0:c r="A17" s="20" t="inlineStr">
        <ns0:is>
          <ns0:t>round</ns0:t>
        </ns0:is>
      </ns0:c>
      <ns0:c r="B17" s="22" t="n">
        <ns0:v>0</ns0:v>
      </ns0:c>
      <ns0:c r="C17" s="20" t="n">
        <ns0:v>1</ns0:v>
      </ns0:c>
      <ns0:c r="D17" s="20" t="inlineStr">
        <ns0:is>
          <ns0:t>add</ns0:t>
        </ns0:is>
      </ns0:c>
      <ns0:c r="E17" s="20" t="inlineStr">
        <ns0:is>
          <ns0:t>混在・パック50%</ns0:t>
        </ns0:is>
      </ns0:c>
      <ns0:c r="F17" s="22" t="n">
        <ns0:v>0.4</ns0:v>
      </ns0:c>
      <ns0:c r="G17" s="20" t="n">
        <ns0:v>28</ns0:v>
      </ns0:c>
      <ns0:c r="H17" s="20" t="n">
        <ns0:v>28</ns0:v>
      </ns0:c>
      <ns0:c r="I17" s="20" t="n">
        <ns0:v>46</ns0:v>
      </ns0:c>
      <ns0:c r="J17" s="20" t="n">
        <ns0:v>6606.427989909643</ns0:v>
      </ns0:c>
      <ns0:c r="K17" s="20" t="n">
        <ns0:v>1414.16900945269</ns0:v>
      </ns0:c>
      <ns0:c r="L17" s="20" t="n">
        <ns0:v>161679.5269846991</ns0:v>
      </ns0:c>
      <ns0:c r="M17" s="20" t="n">
        <ns0:v>40541.81866248765</ns0:v>
      </ns0:c>
      <ns0:c r="N17" s="20" t="n">
        <ns0:v>-34587.70659895834</ns0:v>
      </ns0:c>
      <ns0:c r="O17" s="20" t="n">
        <ns0:v>6758.749455740526</ns0:v>
      </ns0:c>
      <ns0:c r="P17" s="20" t="n">
        <ns0:v>62605.20551043947</ns0:v>
      </ns0:c>
      <ns0:c r="Q17" s="20" t="n">
        <ns0:v>202221.3456471867</ns0:v>
      </ns0:c>
      <ns0:c r="R17" s="20" t="n">
        <ns0:v>718685.9061941756</ns0:v>
      </ns0:c>
      <ns0:c r="S17" s="20" t="n">
        <ns0:v>2603311.868108638</ns0:v>
      </ns0:c>
    </ns0:row>
    <ns0:row r="18" ht="32" customHeight="1">
      <ns0:c r="A18" s="20" t="inlineStr">
        <ns0:is>
          <ns0:t>round</ns0:t>
        </ns0:is>
      </ns0:c>
      <ns0:c r="B18" s="22" t="n">
        <ns0:v>0</ns0:v>
      </ns0:c>
      <ns0:c r="C18" s="20" t="n">
        <ns0:v>1</ns0:v>
      </ns0:c>
      <ns0:c r="D18" s="20" t="inlineStr">
        <ns0:is>
          <ns0:t>add</ns0:t>
        </ns0:is>
      </ns0:c>
      <ns0:c r="E18" s="20" t="inlineStr">
        <ns0:is>
          <ns0:t>混在・パック50%</ns0:t>
        </ns0:is>
      </ns0:c>
      <ns0:c r="F18" s="22" t="n">
        <ns0:v>0.5</ns0:v>
      </ns0:c>
      <ns0:c r="G18" s="20" t="n">
        <ns0:v>32</ns0:v>
      </ns0:c>
      <ns0:c r="H18" s="20" t="n">
        <ns0:v>32</ns0:v>
      </ns0:c>
      <ns0:c r="I18" s="20" t="n">
        <ns0:v>52</ns0:v>
      </ns0:c>
      <ns0:c r="J18" s="20" t="n">
        <ns0:v>6606.427989909643</ns0:v>
      </ns0:c>
      <ns0:c r="K18" s="20" t="n">
        <ns0:v>1767.711261815863</ns0:v>
      </ns0:c>
      <ns0:c r="L18" s="20" t="n">
        <ns0:v>134679.224074073</ns0:v>
      </ns0:c>
      <ns0:c r="M18" s="20" t="n">
        <ns0:v>32187.89633679644</ns0:v>
      </ns0:c>
      <ns0:c r="N18" s="20" t="n">
        <ns0:v>-38123.12912259007</ns0:v>
      </ns0:c>
      <ns0:c r="O18" s="20" t="n">
        <ns0:v>-3847.518115154646</ns0:v>
      </ns0:c>
      <ns0:c r="P18" s="20" t="n">
        <ns0:v>44928.09289228085</ns0:v>
      </ns0:c>
      <ns0:c r="Q18" s="20" t="n">
        <ns0:v>166867.1204108695</ns0:v>
      </ns0:c>
      <ns0:c r="R18" s="20" t="n">
        <ns0:v>612623.2304852238</ns0:v>
      </ns0:c>
      <ns0:c r="S18" s="20" t="n">
        <ns0:v>2249769.615745465</ns0:v>
      </ns0:c>
    </ns0:row>
    <ns0:row r="19" ht="32" customHeight="1">
      <ns0:c r="A19" s="20" t="inlineStr">
        <ns0:is>
          <ns0:t>round</ns0:t>
        </ns0:is>
      </ns0:c>
      <ns0:c r="B19" s="22" t="n">
        <ns0:v>0</ns0:v>
      </ns0:c>
      <ns0:c r="C19" s="20" t="n">
        <ns0:v>1</ns0:v>
      </ns0:c>
      <ns0:c r="D19" s="20" t="inlineStr">
        <ns0:is>
          <ns0:t>add</ns0:t>
        </ns0:is>
      </ns0:c>
      <ns0:c r="E19" s="20" t="inlineStr">
        <ns0:is>
          <ns0:t>混在・パック70%</ns0:t>
        </ns0:is>
      </ns0:c>
      <ns0:c r="F19" s="22" t="n">
        <ns0:v>0.4</ns0:v>
      </ns0:c>
      <ns0:c r="G19" s="20" t="n">
        <ns0:v>26</ns0:v>
      </ns0:c>
      <ns0:c r="H19" s="20" t="n">
        <ns0:v>26</ns0:v>
      </ns0:c>
      <ns0:c r="I19" s="20" t="n">
        <ns0:v>40</ns0:v>
      </ns0:c>
      <ns0:c r="J19" s="20" t="n">
        <ns0:v>7287.208749253048</ns0:v>
      </ns0:c>
      <ns0:c r="K19" s="20" t="n">
        <ns0:v>1530.601964330832</ns0:v>
      </ns0:c>
      <ns0:c r="L19" s="20" t="n">
        <ns0:v>177840.3827373443</ns0:v>
      </ns0:c>
      <ns0:c r="M19" s="20" t="n">
        <ns0:v>51934.32190049256</ns0:v>
      </ns0:c>
      <ns0:c r="N19" s="20" t="n">
        <ns0:v>-31832.37069989333</ns0:v>
      </ns0:c>
      <ns0:c r="O19" s="20" t="n">
        <ns0:v>15024.75715293561</ns0:v>
      </ns0:c>
      <ns0:c r="P19" s="20" t="n">
        <ns0:v>76381.88500576455</ns0:v>
      </ns0:c>
      <ns0:c r="Q19" s="20" t="n">
        <ns0:v>229774.7046378369</ns0:v>
      </ns0:c>
      <ns0:c r="R19" s="20" t="n">
        <ns0:v>801345.9831661267</ns0:v>
      </ns0:c>
      <ns0:c r="S19" s="20" t="n">
        <ns0:v>2878845.458015139</ns0:v>
      </ns0:c>
    </ns0:row>
    <ns0:row r="20" ht="32" customHeight="1">
      <ns0:c r="A20" s="20" t="inlineStr">
        <ns0:is>
          <ns0:t>round</ns0:t>
        </ns0:is>
      </ns0:c>
      <ns0:c r="B20" s="22" t="n">
        <ns0:v>0</ns0:v>
      </ns0:c>
      <ns0:c r="C20" s="20" t="n">
        <ns0:v>1</ns0:v>
      </ns0:c>
      <ns0:c r="D20" s="20" t="inlineStr">
        <ns0:is>
          <ns0:t>add</ns0:t>
        </ns0:is>
      </ns0:c>
      <ns0:c r="E20" s="20" t="inlineStr">
        <ns0:is>
          <ns0:t>混在・パック70%</ns0:t>
        </ns0:is>
      </ns0:c>
      <ns0:c r="F20" s="22" t="n">
        <ns0:v>0.5</ns0:v>
      </ns0:c>
      <ns0:c r="G20" s="20" t="n">
        <ns0:v>29</ns0:v>
      </ns0:c>
      <ns0:c r="H20" s="20" t="n">
        <ns0:v>29</ns0:v>
      </ns0:c>
      <ns0:c r="I20" s="20" t="n">
        <ns0:v>45</ns0:v>
      </ns0:c>
      <ns0:c r="J20" s="20" t="n">
        <ns0:v>7287.208749253048</ns0:v>
      </ns0:c>
      <ns0:c r="K20" s="20" t="n">
        <ns0:v>1913.25245541354</ns0:v>
      </ns0:c>
      <ns0:c r="L20" s="20" t="n">
        <ns0:v>148978.5061485014</ns0:v>
      </ns0:c>
      <ns0:c r="M20" s="20" t="n">
        <ns0:v>42531.14938106469</ns0:v>
      </ns0:c>
      <ns0:c r="N20" s="20" t="n">
        <ns0:v>-35658.87561072042</ns0:v>
      </ns0:c>
      <ns0:c r="O20" s="20" t="n">
        <ns0:v>3545.242420454371</ns0:v>
      </ns0:c>
      <ns0:c r="P20" s="20" t="n">
        <ns0:v>57249.36045162917</ns0:v>
      </ns0:c>
      <ns0:c r="Q20" s="20" t="n">
        <ns0:v>191509.6555295661</ns0:v>
      </ns0:c>
      <ns0:c r="R20" s="20" t="n">
        <ns0:v>686550.8358413141</ns0:v>
      </ns0:c>
      <ns0:c r="S20" s="20" t="n">
        <ns0:v>2496194.966932432</ns0:v>
      </ns0:c>
    </ns0:row>
    <ns0:row r="21" ht="32" customHeight="1">
      <ns0:c r="A21" s="20" t="inlineStr">
        <ns0:is>
          <ns0:t>round</ns0:t>
        </ns0:is>
      </ns0:c>
      <ns0:c r="B21" s="22" t="n">
        <ns0:v>0</ns0:v>
      </ns0:c>
      <ns0:c r="C21" s="20" t="n">
        <ns0:v>0</ns0:v>
      </ns0:c>
      <ns0:c r="D21" s="20" t="inlineStr">
        <ns0:is>
          <ns0:t>floor</ns0:t>
        </ns0:is>
      </ns0:c>
      <ns0:c r="E21" s="20" t="inlineStr">
        <ns0:is>
          <ns0:t>パック単独</ns0:t>
        </ns0:is>
      </ns0:c>
      <ns0:c r="F21" s="22" t="n">
        <ns0:v>0.4</ns0:v>
      </ns0:c>
      <ns0:c r="G21" s="20" t="n">
        <ns0:v>8</ns0:v>
      </ns0:c>
      <ns0:c r="H21" s="20" t="n">
        <ns0:v>8</ns0:v>
      </ns0:c>
      <ns0:c r="I21" s="20" t="n">
        <ns0:v>17</ns0:v>
      </ns0:c>
      <ns0:c r="J21" s="20" t="n">
        <ns0:v>8308.379888268155</ns0:v>
      </ns0:c>
      <ns0:c r="K21" s="20" t="n">
        <ns0:v>1705.251396648044</ns0:v>
      </ns0:c>
      <ns0:c r="L21" s="20" t="n">
        <ns0:v>300767.8861056046</ns0:v>
      </ns0:c>
      <ns0:c r="M21" s="20" t="n">
        <ns0:v>134361.9966830121</ns0:v>
      </ns0:c>
      <ns0:c r="N21" s="20" t="n">
        <ns0:v>14238.62197551984</ns0:v>
      </ns0:c>
      <ns0:c r="O21" s="20" t="n">
        <ns0:v>109181.3105981695</ns0:v>
      </ns0:c>
      <ns0:c r="P21" s="20" t="n">
        <ns0:v>202309.4740811544</ns0:v>
      </ns0:c>
      <ns0:c r="Q21" s="20" t="n">
        <ns0:v>435129.8827886166</ns0:v>
      </ns0:c>
      <ns0:c r="R21" s="20" t="n">
        <ns0:v>1340411.517618465</ns0:v>
      </ns0:c>
      <ns0:c r="S21" s="20" t="n">
        <ns0:v>4561897.239522938</ns0:v>
      </ns0:c>
    </ns0:row>
    <ns0:row r="22" ht="32" customHeight="1">
      <ns0:c r="A22" s="20" t="inlineStr">
        <ns0:is>
          <ns0:t>round</ns0:t>
        </ns0:is>
      </ns0:c>
      <ns0:c r="B22" s="22" t="n">
        <ns0:v>0</ns0:v>
      </ns0:c>
      <ns0:c r="C22" s="20" t="n">
        <ns0:v>0</ns0:v>
      </ns0:c>
      <ns0:c r="D22" s="20" t="inlineStr">
        <ns0:is>
          <ns0:t>floor</ns0:t>
        </ns0:is>
      </ns0:c>
      <ns0:c r="E22" s="20" t="inlineStr">
        <ns0:is>
          <ns0:t>パック単独</ns0:t>
        </ns0:is>
      </ns0:c>
      <ns0:c r="F22" s="22" t="n">
        <ns0:v>0.5</ns0:v>
      </ns0:c>
      <ns0:c r="G22" s="20" t="n">
        <ns0:v>9</ns0:v>
      </ns0:c>
      <ns0:c r="H22" s="20" t="n">
        <ns0:v>9</ns0:v>
      </ns0:c>
      <ns0:c r="I22" s="20" t="n">
        <ns0:v>18</ns0:v>
      </ns0:c>
      <ns0:c r="J22" s="20" t="n">
        <ns0:v>8308.379888268155</ns0:v>
      </ns0:c>
      <ns0:c r="K22" s="20" t="n">
        <ns0:v>2131.564245810056</ns0:v>
      </ns0:c>
      <ns0:c r="L22" s="20" t="n">
        <ns0:v>269113.6489994364</ns0:v>
      </ns0:c>
      <ns0:c r="M22" s="20" t="n">
        <ns0:v>123384.9488729792</ns0:v>
      </ns0:c>
      <ns0:c r="N22" s="20" t="n">
        <ns0:v>9975.493483899729</ns0:v>
      </ns0:c>
      <ns0:c r="O22" s="20" t="n">
        <ns0:v>96391.92512330921</ns0:v>
      </ns0:c>
      <ns0:c r="P22" s="20" t="n">
        <ns0:v>180993.8316230539</ns0:v>
      </ns0:c>
      <ns0:c r="Q22" s="20" t="n">
        <ns0:v>392498.5978724156</ns0:v>
      </ns0:c>
      <ns0:c r="R22" s="20" t="n">
        <ns0:v>1212517.662869862</ns0:v>
      </ns0:c>
      <ns0:c r="S22" s="20" t="n">
        <ns0:v>4135584.390360926</ns0:v>
      </ns0:c>
    </ns0:row>
    <ns0:row r="23" ht="32" customHeight="1">
      <ns0:c r="A23" s="20" t="inlineStr">
        <ns0:is>
          <ns0:t>round</ns0:t>
        </ns0:is>
      </ns0:c>
      <ns0:c r="B23" s="22" t="n">
        <ns0:v>0</ns0:v>
      </ns0:c>
      <ns0:c r="C23" s="20" t="n">
        <ns0:v>0</ns0:v>
      </ns0:c>
      <ns0:c r="D23" s="20" t="inlineStr">
        <ns0:is>
          <ns0:t>floor</ns0:t>
        </ns0:is>
      </ns0:c>
      <ns0:c r="E23" s="20" t="inlineStr">
        <ns0:is>
          <ns0:t>混在・パック30%</ns0:t>
        </ns0:is>
      </ns0:c>
      <ns0:c r="F23" s="22" t="n">
        <ns0:v>0.4</ns0:v>
      </ns0:c>
      <ns0:c r="G23" s="20" t="n">
        <ns0:v>11</ns0:v>
      </ns0:c>
      <ns0:c r="H23" s="20" t="n">
        <ns0:v>11</ns0:v>
      </ns0:c>
      <ns0:c r="I23" s="20" t="n">
        <ns0:v>28</ns0:v>
      </ns0:c>
      <ns0:c r="J23" s="20" t="n">
        <ns0:v>5925.647230566237</ns0:v>
      </ns0:c>
      <ns0:c r="K23" s="20" t="n">
        <ns0:v>1297.736054574549</ns0:v>
      </ns0:c>
      <ns0:c r="L23" s="20" t="n">
        <ns0:v>226149.0250495584</ns0:v>
      </ns0:c>
      <ns0:c r="M23" s="20" t="n">
        <ns0:v>71451.99642726194</ns0:v>
      </ns0:c>
      <ns0:c r="N23" s="20" t="n">
        <ns0:v>-3769.906613760337</ns0:v>
      </ns0:c>
      <ns0:c r="O23" s="20" t="n">
        <ns0:v>67922.65220463066</ns0:v>
      </ns0:c>
      <ns0:c r="P23" s="20" t="n">
        <ns0:v>133545.0434252563</ns0:v>
      </ns0:c>
      <ns0:c r="Q23" s="20" t="n">
        <ns0:v>297601.0214768203</ns0:v>
      </ns0:c>
      <ns0:c r="R23" s="20" t="n">
        <ns0:v>927824.9336830769</ns0:v>
      </ns0:c>
      <ns0:c r="S23" s="20" t="n">
        <ns0:v>3186608.626404975</ns0:v>
      </ns0:c>
    </ns0:row>
    <ns0:row r="24" ht="32" customHeight="1">
      <ns0:c r="A24" s="20" t="inlineStr">
        <ns0:is>
          <ns0:t>round</ns0:t>
        </ns0:is>
      </ns0:c>
      <ns0:c r="B24" s="22" t="n">
        <ns0:v>0</ns0:v>
      </ns0:c>
      <ns0:c r="C24" s="20" t="n">
        <ns0:v>0</ns0:v>
      </ns0:c>
      <ns0:c r="D24" s="20" t="inlineStr">
        <ns0:is>
          <ns0:t>floor</ns0:t>
        </ns0:is>
      </ns0:c>
      <ns0:c r="E24" s="20" t="inlineStr">
        <ns0:is>
          <ns0:t>混在・パック30%</ns0:t>
        </ns0:is>
      </ns0:c>
      <ns0:c r="F24" s="22" t="n">
        <ns0:v>0.5</ns0:v>
      </ns0:c>
      <ns0:c r="G24" s="20" t="n">
        <ns0:v>12</ns0:v>
      </ns0:c>
      <ns0:c r="H24" s="20" t="n">
        <ns0:v>12</ns0:v>
      </ns0:c>
      <ns0:c r="I24" s="20" t="n">
        <ns0:v>30</ns0:v>
      </ns0:c>
      <ns0:c r="J24" s="20" t="n">
        <ns0:v>5925.647230566237</ns0:v>
      </ns0:c>
      <ns0:c r="K24" s="20" t="n">
        <ns0:v>1622.170068218186</ns0:v>
      </ns0:c>
      <ns0:c r="L24" s="20" t="n">
        <ns0:v>201010.2958171493</ns0:v>
      </ns0:c>
      <ns0:c r="M24" s="20" t="n">
        <ns0:v>64147.32429530736</ns0:v>
      </ns0:c>
      <ns0:c r="N24" s="20" t="n">
        <ns0:v>-7014.246750196709</ns0:v>
      </ns0:c>
      <ns0:c r="O24" s="20" t="n">
        <ns0:v>58189.63179532154</ns0:v>
      </ns0:c>
      <ns0:c r="P24" s="20" t="n">
        <ns0:v>117323.3427430744</ns0:v>
      </ns0:c>
      <ns0:c r="Q24" s="20" t="n">
        <ns0:v>265157.6201124566</ns0:v>
      </ns0:c>
      <ns0:c r="R24" s="20" t="n">
        <ns0:v>830494.7295899857</ns0:v>
      </ns0:c>
      <ns0:c r="S24" s="20" t="n">
        <ns0:v>2862174.612761337</ns0:v>
      </ns0:c>
    </ns0:row>
    <ns0:row r="25" ht="32" customHeight="1">
      <ns0:c r="A25" s="20" t="inlineStr">
        <ns0:is>
          <ns0:t>round</ns0:t>
        </ns0:is>
      </ns0:c>
      <ns0:c r="B25" s="22" t="n">
        <ns0:v>0</ns0:v>
      </ns0:c>
      <ns0:c r="C25" s="20" t="n">
        <ns0:v>0</ns0:v>
      </ns0:c>
      <ns0:c r="D25" s="20" t="inlineStr">
        <ns0:is>
          <ns0:t>floor</ns0:t>
        </ns0:is>
      </ns0:c>
      <ns0:c r="E25" s="20" t="inlineStr">
        <ns0:is>
          <ns0:t>混在・パック50%</ns0:t>
        </ns0:is>
      </ns0:c>
      <ns0:c r="F25" s="22" t="n">
        <ns0:v>0.4</ns0:v>
      </ns0:c>
      <ns0:c r="G25" s="20" t="n">
        <ns0:v>10</ns0:v>
      </ns0:c>
      <ns0:c r="H25" s="20" t="n">
        <ns0:v>10</ns0:v>
      </ns0:c>
      <ns0:c r="I25" s="20" t="n">
        <ns0:v>23</ns0:v>
      </ns0:c>
      <ns0:c r="J25" s="20" t="n">
        <ns0:v>6606.427989909643</ns0:v>
      </ns0:c>
      <ns0:c r="K25" s="20" t="n">
        <ns0:v>1414.16900945269</ns0:v>
      </ns0:c>
      <ns0:c r="L25" s="20" t="n">
        <ns0:v>247468.6996370002</ns0:v>
      </ns0:c>
      <ns0:c r="M25" s="20" t="n">
        <ns0:v>89426.28221461913</ns0:v>
      </ns0:c>
      <ns0:c r="N25" s="20" t="n">
        <ns0:v>1375.387268891145</ns0:v>
      </ns0:c>
      <ns0:c r="O25" s="20" t="n">
        <ns0:v>79710.84031707034</ns0:v>
      </ns0:c>
      <ns0:c r="P25" s="20" t="n">
        <ns0:v>153192.0236126558</ns0:v>
      </ns0:c>
      <ns0:c r="Q25" s="20" t="n">
        <ns0:v>336894.9818516194</ns0:v>
      </ns0:c>
      <ns0:c r="R25" s="20" t="n">
        <ns0:v>1045706.814807474</ns0:v>
      </ns0:c>
      <ns0:c r="S25" s="20" t="n">
        <ns0:v>3579548.230152964</ns0:v>
      </ns0:c>
    </ns0:row>
    <ns0:row r="26" ht="32" customHeight="1">
      <ns0:c r="A26" s="20" t="inlineStr">
        <ns0:is>
          <ns0:t>round</ns0:t>
        </ns0:is>
      </ns0:c>
      <ns0:c r="B26" s="22" t="n">
        <ns0:v>0</ns0:v>
      </ns0:c>
      <ns0:c r="C26" s="20" t="n">
        <ns0:v>0</ns0:v>
      </ns0:c>
      <ns0:c r="D26" s="20" t="inlineStr">
        <ns0:is>
          <ns0:t>floor</ns0:t>
        </ns0:is>
      </ns0:c>
      <ns0:c r="E26" s="20" t="inlineStr">
        <ns0:is>
          <ns0:t>混在・パック50%</ns0:t>
        </ns0:is>
      </ns0:c>
      <ns0:c r="F26" s="22" t="n">
        <ns0:v>0.5</ns0:v>
      </ns0:c>
      <ns0:c r="G26" s="20" t="n">
        <ns0:v>11</ns0:v>
      </ns0:c>
      <ns0:c r="H26" s="20" t="n">
        <ns0:v>11</ns0:v>
      </ns0:c>
      <ns0:c r="I26" s="20" t="n">
        <ns0:v>25</ns0:v>
      </ns0:c>
      <ns0:c r="J26" s="20" t="n">
        <ns0:v>6606.427989909643</ns0:v>
      </ns0:c>
      <ns0:c r="K26" s="20" t="n">
        <ns0:v>1767.711261815863</ns0:v>
      </ns0:c>
      <ns0:c r="L26" s="20" t="n">
        <ns0:v>220468.3967263742</ns0:v>
      </ns0:c>
      <ns0:c r="M26" s="20" t="n">
        <ns0:v>81072.35988892792</ns0:v>
      </ns0:c>
      <ns0:c r="N26" s="20" t="n">
        <ns0:v>-2160.035254740584</ns0:v>
      </ns0:c>
      <ns0:c r="O26" s="20" t="n">
        <ns0:v>69104.57274617517</ns0:v>
      </ns0:c>
      <ns0:c r="P26" s="20" t="n">
        <ns0:v>135514.9109944972</ns0:v>
      </ns0:c>
      <ns0:c r="Q26" s="20" t="n">
        <ns0:v>301540.7566153021</ns0:v>
      </ns0:c>
      <ns0:c r="R26" s="20" t="n">
        <ns0:v>939644.1390985218</ns0:v>
      </ns0:c>
      <ns0:c r="S26" s="20" t="n">
        <ns0:v>3226005.977789791</ns0:v>
      </ns0:c>
    </ns0:row>
    <ns0:row r="27" ht="32" customHeight="1">
      <ns0:c r="A27" s="20" t="inlineStr">
        <ns0:is>
          <ns0:t>round</ns0:t>
        </ns0:is>
      </ns0:c>
      <ns0:c r="B27" s="22" t="n">
        <ns0:v>0</ns0:v>
      </ns0:c>
      <ns0:c r="C27" s="20" t="n">
        <ns0:v>0</ns0:v>
      </ns0:c>
      <ns0:c r="D27" s="20" t="inlineStr">
        <ns0:is>
          <ns0:t>floor</ns0:t>
        </ns0:is>
      </ns0:c>
      <ns0:c r="E27" s="20" t="inlineStr">
        <ns0:is>
          <ns0:t>混在・パック70%</ns0:t>
        </ns0:is>
      </ns0:c>
      <ns0:c r="F27" s="22" t="n">
        <ns0:v>0.4</ns0:v>
      </ns0:c>
      <ns0:c r="G27" s="20" t="n">
        <ns0:v>9</ns0:v>
      </ns0:c>
      <ns0:c r="H27" s="20" t="n">
        <ns0:v>9</ns0:v>
      </ns0:c>
      <ns0:c r="I27" s="20" t="n">
        <ns0:v>20</ns0:v>
      </ns0:c>
      <ns0:c r="J27" s="20" t="n">
        <ns0:v>7287.208749253048</ns0:v>
      </ns0:c>
      <ns0:c r="K27" s="20" t="n">
        <ns0:v>1530.601964330832</ns0:v>
      </ns0:c>
      <ns0:c r="L27" s="20" t="n">
        <ns0:v>268788.3742244419</ns0:v>
      </ns0:c>
      <ns0:c r="M27" s="20" t="n">
        <ns0:v>107400.5680019763</ns0:v>
      </ns0:c>
      <ns0:c r="N27" s="20" t="n">
        <ns0:v>6520.681151542614</ns0:v>
      </ns0:c>
      <ns0:c r="O27" s="20" t="n">
        <ns0:v>91499.02842951001</ns0:v>
      </ns0:c>
      <ns0:c r="P27" s="20" t="n">
        <ns0:v>172839.0038000552</ns0:v>
      </ns0:c>
      <ns0:c r="Q27" s="20" t="n">
        <ns0:v>376188.9422264182</ns0:v>
      </ns0:c>
      <ns0:c r="R27" s="20" t="n">
        <ns0:v>1163588.695931871</ns0:v>
      </ns0:c>
      <ns0:c r="S27" s="20" t="n">
        <ns0:v>3972487.833900953</ns0:v>
      </ns0:c>
    </ns0:row>
    <ns0:row r="28" ht="32" customHeight="1">
      <ns0:c r="A28" s="20" t="inlineStr">
        <ns0:is>
          <ns0:t>round</ns0:t>
        </ns0:is>
      </ns0:c>
      <ns0:c r="B28" s="22" t="n">
        <ns0:v>0</ns0:v>
      </ns0:c>
      <ns0:c r="C28" s="20" t="n">
        <ns0:v>0</ns0:v>
      </ns0:c>
      <ns0:c r="D28" s="20" t="inlineStr">
        <ns0:is>
          <ns0:t>floor</ns0:t>
        </ns0:is>
      </ns0:c>
      <ns0:c r="E28" s="20" t="inlineStr">
        <ns0:is>
          <ns0:t>混在・パック70%</ns0:t>
        </ns0:is>
      </ns0:c>
      <ns0:c r="F28" s="22" t="n">
        <ns0:v>0.5</ns0:v>
      </ns0:c>
      <ns0:c r="G28" s="20" t="n">
        <ns0:v>10</ns0:v>
      </ns0:c>
      <ns0:c r="H28" s="20" t="n">
        <ns0:v>10</ns0:v>
      </ns0:c>
      <ns0:c r="I28" s="20" t="n">
        <ns0:v>22</ns0:v>
      </ns0:c>
      <ns0:c r="J28" s="20" t="n">
        <ns0:v>7287.208749253048</ns0:v>
      </ns0:c>
      <ns0:c r="K28" s="20" t="n">
        <ns0:v>1913.25245541354</ns0:v>
      </ns0:c>
      <ns0:c r="L28" s="20" t="n">
        <ns0:v>239926.4976355991</ns0:v>
      </ns0:c>
      <ns0:c r="M28" s="20" t="n">
        <ns0:v>97997.39548254843</ns0:v>
      </ns0:c>
      <ns0:c r="N28" s="20" t="n">
        <ns0:v>2694.176240715531</ns0:v>
      </ns0:c>
      <ns0:c r="O28" s="20" t="n">
        <ns0:v>80019.51369702879</ns0:v>
      </ns0:c>
      <ns0:c r="P28" s="20" t="n">
        <ns0:v>153706.4792459199</ns0:v>
      </ns0:c>
      <ns0:c r="Q28" s="20" t="n">
        <ns0:v>337923.8931181475</ns0:v>
      </ns0:c>
      <ns0:c r="R28" s="20" t="n">
        <ns0:v>1048793.548607058</ns0:v>
      </ns0:c>
      <ns0:c r="S28" s="20" t="n">
        <ns0:v>3589837.342818245</ns0:v>
      </ns0:c>
    </ns0:row>
    <ns0:row r="29" ht="32" customHeight="1">
      <ns0:c r="A29" s="20" t="inlineStr">
        <ns0:is>
          <ns0:t>round</ns0:t>
        </ns0:is>
      </ns0:c>
      <ns0:c r="B29" s="22" t="n">
        <ns0:v>0</ns0:v>
      </ns0:c>
      <ns0:c r="C29" s="20" t="n">
        <ns0:v>0</ns0:v>
      </ns0:c>
      <ns0:c r="D29" s="20" t="inlineStr">
        <ns0:is>
          <ns0:t>add</ns0:t>
        </ns0:is>
      </ns0:c>
      <ns0:c r="E29" s="20" t="inlineStr">
        <ns0:is>
          <ns0:t>パック単独</ns0:t>
        </ns0:is>
      </ns0:c>
      <ns0:c r="F29" s="22" t="n">
        <ns0:v>0.4</ns0:v>
      </ns0:c>
      <ns0:c r="G29" s="20" t="n">
        <ns0:v>10</ns0:v>
      </ns0:c>
      <ns0:c r="H29" s="20" t="n">
        <ns0:v>12</ns0:v>
      </ns0:c>
      <ns0:c r="I29" s="20" t="n">
        <ns0:v>17</ns0:v>
      </ns0:c>
      <ns0:c r="J29" s="20" t="n">
        <ns0:v>8308.379888268155</ns0:v>
      </ns0:c>
      <ns0:c r="K29" s="20" t="n">
        <ns0:v>1705.251396648044</ns0:v>
      </ns0:c>
      <ns0:c r="L29" s="20" t="n">
        <ns0:v>278267.8861056046</ns0:v>
      </ns0:c>
      <ns0:c r="M29" s="20" t="n">
        <ns0:v>134361.9966830121</ns0:v>
      </ns0:c>
      <ns0:c r="N29" s="20" t="n">
        <ns0:v>53.14711518464901</ns0:v>
      </ns0:c>
      <ns0:c r="O29" s="20" t="n">
        <ns0:v>86681.31059816956</ns0:v>
      </ns0:c>
      <ns0:c r="P29" s="20" t="n">
        <ns0:v>179809.4740811544</ns0:v>
      </ns0:c>
      <ns0:c r="Q29" s="20" t="n">
        <ns0:v>412629.8827886167</ns0:v>
      </ns0:c>
      <ns0:c r="R29" s="20" t="n">
        <ns0:v>1317911.517618465</ns0:v>
      </ns0:c>
      <ns0:c r="S29" s="20" t="n">
        <ns0:v>4539397.239522938</ns0:v>
      </ns0:c>
    </ns0:row>
    <ns0:row r="30" ht="32" customHeight="1">
      <ns0:c r="A30" s="20" t="inlineStr">
        <ns0:is>
          <ns0:t>round</ns0:t>
        </ns0:is>
      </ns0:c>
      <ns0:c r="B30" s="22" t="n">
        <ns0:v>0</ns0:v>
      </ns0:c>
      <ns0:c r="C30" s="20" t="n">
        <ns0:v>0</ns0:v>
      </ns0:c>
      <ns0:c r="D30" s="20" t="inlineStr">
        <ns0:is>
          <ns0:t>add</ns0:t>
        </ns0:is>
      </ns0:c>
      <ns0:c r="E30" s="20" t="inlineStr">
        <ns0:is>
          <ns0:t>パック単独</ns0:t>
        </ns0:is>
      </ns0:c>
      <ns0:c r="F30" s="22" t="n">
        <ns0:v>0.5</ns0:v>
      </ns0:c>
      <ns0:c r="G30" s="20" t="n">
        <ns0:v>13</ns0:v>
      </ns0:c>
      <ns0:c r="H30" s="20" t="n">
        <ns0:v>13</ns0:v>
      </ns0:c>
      <ns0:c r="I30" s="20" t="n">
        <ns0:v>18</ns0:v>
      </ns0:c>
      <ns0:c r="J30" s="20" t="n">
        <ns0:v>8308.379888268155</ns0:v>
      </ns0:c>
      <ns0:c r="K30" s="20" t="n">
        <ns0:v>2131.564245810056</ns0:v>
      </ns0:c>
      <ns0:c r="L30" s="20" t="n">
        <ns0:v>246613.6489994364</ns0:v>
      </ns0:c>
      <ns0:c r="M30" s="20" t="n">
        <ns0:v>123384.9488729792</ns0:v>
      </ns0:c>
      <ns0:c r="N30" s="20" t="n">
        <ns0:v>-4209.981376435462</ns0:v>
      </ns0:c>
      <ns0:c r="O30" s="20" t="n">
        <ns0:v>73891.92512330919</ns0:v>
      </ns0:c>
      <ns0:c r="P30" s="20" t="n">
        <ns0:v>158493.8316230539</ns0:v>
      </ns0:c>
      <ns0:c r="Q30" s="20" t="n">
        <ns0:v>369998.5978724156</ns0:v>
      </ns0:c>
      <ns0:c r="R30" s="20" t="n">
        <ns0:v>1190017.662869862</ns0:v>
      </ns0:c>
      <ns0:c r="S30" s="20" t="n">
        <ns0:v>4113084.390360926</ns0:v>
      </ns0:c>
    </ns0:row>
    <ns0:row r="31" ht="32" customHeight="1">
      <ns0:c r="A31" s="20" t="inlineStr">
        <ns0:is>
          <ns0:t>round</ns0:t>
        </ns0:is>
      </ns0:c>
      <ns0:c r="B31" s="22" t="n">
        <ns0:v>0</ns0:v>
      </ns0:c>
      <ns0:c r="C31" s="20" t="n">
        <ns0:v>0</ns0:v>
      </ns0:c>
      <ns0:c r="D31" s="20" t="inlineStr">
        <ns0:is>
          <ns0:t>add</ns0:t>
        </ns0:is>
      </ns0:c>
      <ns0:c r="E31" s="20" t="inlineStr">
        <ns0:is>
          <ns0:t>混在・パック30%</ns0:t>
        </ns0:is>
      </ns0:c>
      <ns0:c r="F31" s="22" t="n">
        <ns0:v>0.4</ns0:v>
      </ns0:c>
      <ns0:c r="G31" s="20" t="n">
        <ns0:v>15</ns0:v>
      </ns0:c>
      <ns0:c r="H31" s="20" t="n">
        <ns0:v>15</ns0:v>
      </ns0:c>
      <ns0:c r="I31" s="20" t="n">
        <ns0:v>28</ns0:v>
      </ns0:c>
      <ns0:c r="J31" s="20" t="n">
        <ns0:v>5925.647230566237</ns0:v>
      </ns0:c>
      <ns0:c r="K31" s="20" t="n">
        <ns0:v>1297.736054574549</ns0:v>
      </ns0:c>
      <ns0:c r="L31" s="20" t="n">
        <ns0:v>203649.0250495584</ns0:v>
      </ns0:c>
      <ns0:c r="M31" s="20" t="n">
        <ns0:v>71451.99642726194</ns0:v>
      </ns0:c>
      <ns0:c r="N31" s="20" t="n">
        <ns0:v>-13699.73901599497</ns0:v>
      </ns0:c>
      <ns0:c r="O31" s="20" t="n">
        <ns0:v>45422.65220463066</ns0:v>
      </ns0:c>
      <ns0:c r="P31" s="20" t="n">
        <ns0:v>111045.0434252563</ns0:v>
      </ns0:c>
      <ns0:c r="Q31" s="20" t="n">
        <ns0:v>275101.0214768203</ns0:v>
      </ns0:c>
      <ns0:c r="R31" s="20" t="n">
        <ns0:v>905324.9336830769</ns0:v>
      </ns0:c>
      <ns0:c r="S31" s="20" t="n">
        <ns0:v>3164108.626404975</ns0:v>
      </ns0:c>
    </ns0:row>
    <ns0:row r="32" ht="32" customHeight="1">
      <ns0:c r="A32" s="20" t="inlineStr">
        <ns0:is>
          <ns0:t>round</ns0:t>
        </ns0:is>
      </ns0:c>
      <ns0:c r="B32" s="22" t="n">
        <ns0:v>0</ns0:v>
      </ns0:c>
      <ns0:c r="C32" s="20" t="n">
        <ns0:v>0</ns0:v>
      </ns0:c>
      <ns0:c r="D32" s="20" t="inlineStr">
        <ns0:is>
          <ns0:t>add</ns0:t>
        </ns0:is>
      </ns0:c>
      <ns0:c r="E32" s="20" t="inlineStr">
        <ns0:is>
          <ns0:t>混在・パック30%</ns0:t>
        </ns0:is>
      </ns0:c>
      <ns0:c r="F32" s="22" t="n">
        <ns0:v>0.5</ns0:v>
      </ns0:c>
      <ns0:c r="G32" s="20" t="n">
        <ns0:v>18</ns0:v>
      </ns0:c>
      <ns0:c r="H32" s="20" t="n">
        <ns0:v>18</ns0:v>
      </ns0:c>
      <ns0:c r="I32" s="20" t="n">
        <ns0:v>30</ns0:v>
      </ns0:c>
      <ns0:c r="J32" s="20" t="n">
        <ns0:v>5925.647230566237</ns0:v>
      </ns0:c>
      <ns0:c r="K32" s="20" t="n">
        <ns0:v>1622.170068218186</ns0:v>
      </ns0:c>
      <ns0:c r="L32" s="20" t="n">
        <ns0:v>178510.2958171493</ns0:v>
      </ns0:c>
      <ns0:c r="M32" s="20" t="n">
        <ns0:v>64147.32429530736</ns0:v>
      </ns0:c>
      <ns0:c r="N32" s="20" t="n">
        <ns0:v>-16944.07915243135</ns0:v>
      </ns0:c>
      <ns0:c r="O32" s="20" t="n">
        <ns0:v>35689.63179532154</ns0:v>
      </ns0:c>
      <ns0:c r="P32" s="20" t="n">
        <ns0:v>94823.34274307441</ns0:v>
      </ns0:c>
      <ns0:c r="Q32" s="20" t="n">
        <ns0:v>242657.6201124566</ns0:v>
      </ns0:c>
      <ns0:c r="R32" s="20" t="n">
        <ns0:v>807994.7295899857</ns0:v>
      </ns0:c>
      <ns0:c r="S32" s="20" t="n">
        <ns0:v>2839674.612761337</ns0:v>
      </ns0:c>
    </ns0:row>
    <ns0:row r="33" ht="32" customHeight="1">
      <ns0:c r="A33" s="20" t="inlineStr">
        <ns0:is>
          <ns0:t>round</ns0:t>
        </ns0:is>
      </ns0:c>
      <ns0:c r="B33" s="22" t="n">
        <ns0:v>0</ns0:v>
      </ns0:c>
      <ns0:c r="C33" s="20" t="n">
        <ns0:v>0</ns0:v>
      </ns0:c>
      <ns0:c r="D33" s="20" t="inlineStr">
        <ns0:is>
          <ns0:t>add</ns0:t>
        </ns0:is>
      </ns0:c>
      <ns0:c r="E33" s="20" t="inlineStr">
        <ns0:is>
          <ns0:t>混在・パック50%</ns0:t>
        </ns0:is>
      </ns0:c>
      <ns0:c r="F33" s="22" t="n">
        <ns0:v>0.4</ns0:v>
      </ns0:c>
      <ns0:c r="G33" s="20" t="n">
        <ns0:v>14</ns0:v>
      </ns0:c>
      <ns0:c r="H33" s="20" t="n">
        <ns0:v>14</ns0:v>
      </ns0:c>
      <ns0:c r="I33" s="20" t="n">
        <ns0:v>23</ns0:v>
      </ns0:c>
      <ns0:c r="J33" s="20" t="n">
        <ns0:v>6606.427989909643</ns0:v>
      </ns0:c>
      <ns0:c r="K33" s="20" t="n">
        <ns0:v>1414.16900945269</ns0:v>
      </ns0:c>
      <ns0:c r="L33" s="20" t="n">
        <ns0:v>224968.6996370002</ns0:v>
      </ns0:c>
      <ns0:c r="M33" s="20" t="n">
        <ns0:v>89426.28221461913</ns0:v>
      </ns0:c>
      <ns0:c r="N33" s="20" t="n">
        <ns0:v>-9770.342978515078</ns0:v>
      </ns0:c>
      <ns0:c r="O33" s="20" t="n">
        <ns0:v>57210.84031707032</ns0:v>
      </ns0:c>
      <ns0:c r="P33" s="20" t="n">
        <ns0:v>130692.0236126558</ns0:v>
      </ns0:c>
      <ns0:c r="Q33" s="20" t="n">
        <ns0:v>314394.9818516194</ns0:v>
      </ns0:c>
      <ns0:c r="R33" s="20" t="n">
        <ns0:v>1023206.814807474</ns0:v>
      </ns0:c>
      <ns0:c r="S33" s="20" t="n">
        <ns0:v>3557048.230152964</ns0:v>
      </ns0:c>
    </ns0:row>
    <ns0:row r="34" ht="32" customHeight="1">
      <ns0:c r="A34" s="20" t="inlineStr">
        <ns0:is>
          <ns0:t>round</ns0:t>
        </ns0:is>
      </ns0:c>
      <ns0:c r="B34" s="22" t="n">
        <ns0:v>0</ns0:v>
      </ns0:c>
      <ns0:c r="C34" s="20" t="n">
        <ns0:v>0</ns0:v>
      </ns0:c>
      <ns0:c r="D34" s="20" t="inlineStr">
        <ns0:is>
          <ns0:t>add</ns0:t>
        </ns0:is>
      </ns0:c>
      <ns0:c r="E34" s="20" t="inlineStr">
        <ns0:is>
          <ns0:t>混在・パック50%</ns0:t>
        </ns0:is>
      </ns0:c>
      <ns0:c r="F34" s="22" t="n">
        <ns0:v>0.5</ns0:v>
      </ns0:c>
      <ns0:c r="G34" s="20" t="n">
        <ns0:v>16</ns0:v>
      </ns0:c>
      <ns0:c r="H34" s="20" t="n">
        <ns0:v>16</ns0:v>
      </ns0:c>
      <ns0:c r="I34" s="20" t="n">
        <ns0:v>25</ns0:v>
      </ns0:c>
      <ns0:c r="J34" s="20" t="n">
        <ns0:v>6606.427989909643</ns0:v>
      </ns0:c>
      <ns0:c r="K34" s="20" t="n">
        <ns0:v>1767.711261815863</ns0:v>
      </ns0:c>
      <ns0:c r="L34" s="20" t="n">
        <ns0:v>197968.3967263742</ns0:v>
      </ns0:c>
      <ns0:c r="M34" s="20" t="n">
        <ns0:v>81072.35988892792</ns0:v>
      </ns0:c>
      <ns0:c r="N34" s="20" t="n">
        <ns0:v>-13305.76550214681</ns0:v>
      </ns0:c>
      <ns0:c r="O34" s="20" t="n">
        <ns0:v>46604.57274617515</ns0:v>
      </ns0:c>
      <ns0:c r="P34" s="20" t="n">
        <ns0:v>113014.9109944972</ns0:v>
      </ns0:c>
      <ns0:c r="Q34" s="20" t="n">
        <ns0:v>279040.7566153021</ns0:v>
      </ns0:c>
      <ns0:c r="R34" s="20" t="n">
        <ns0:v>917144.1390985218</ns0:v>
      </ns0:c>
      <ns0:c r="S34" s="20" t="n">
        <ns0:v>3203505.977789791</ns0:v>
      </ns0:c>
    </ns0:row>
    <ns0:row r="35" ht="32" customHeight="1">
      <ns0:c r="A35" s="20" t="inlineStr">
        <ns0:is>
          <ns0:t>round</ns0:t>
        </ns0:is>
      </ns0:c>
      <ns0:c r="B35" s="22" t="n">
        <ns0:v>0</ns0:v>
      </ns0:c>
      <ns0:c r="C35" s="20" t="n">
        <ns0:v>0</ns0:v>
      </ns0:c>
      <ns0:c r="D35" s="20" t="inlineStr">
        <ns0:is>
          <ns0:t>add</ns0:t>
        </ns0:is>
      </ns0:c>
      <ns0:c r="E35" s="20" t="inlineStr">
        <ns0:is>
          <ns0:t>混在・パック70%</ns0:t>
        </ns0:is>
      </ns0:c>
      <ns0:c r="F35" s="22" t="n">
        <ns0:v>0.4</ns0:v>
      </ns0:c>
      <ns0:c r="G35" s="20" t="n">
        <ns0:v>12</ns0:v>
      </ns0:c>
      <ns0:c r="H35" s="20" t="n">
        <ns0:v>14</ns0:v>
      </ns0:c>
      <ns0:c r="I35" s="20" t="n">
        <ns0:v>20</ns0:v>
      </ns0:c>
      <ns0:c r="J35" s="20" t="n">
        <ns0:v>7287.208749253048</ns0:v>
      </ns0:c>
      <ns0:c r="K35" s="20" t="n">
        <ns0:v>1530.601964330832</ns0:v>
      </ns0:c>
      <ns0:c r="L35" s="20" t="n">
        <ns0:v>246288.374224442</ns0:v>
      </ns0:c>
      <ns0:c r="M35" s="20" t="n">
        <ns0:v>107400.5680019763</ns0:v>
      </ns0:c>
      <ns0:c r="N35" s="20" t="n">
        <ns0:v>-5840.946941035198</ns0:v>
      </ns0:c>
      <ns0:c r="O35" s="20" t="n">
        <ns0:v>68999.02842951001</ns0:v>
      </ns0:c>
      <ns0:c r="P35" s="20" t="n">
        <ns0:v>150339.0038000552</ns0:v>
      </ns0:c>
      <ns0:c r="Q35" s="20" t="n">
        <ns0:v>353688.9422264183</ns0:v>
      </ns0:c>
      <ns0:c r="R35" s="20" t="n">
        <ns0:v>1141088.695931871</ns0:v>
      </ns0:c>
      <ns0:c r="S35" s="20" t="n">
        <ns0:v>3949987.833900953</ns0:v>
      </ns0:c>
    </ns0:row>
    <ns0:row r="36" ht="32" customHeight="1">
      <ns0:c r="A36" s="20" t="inlineStr">
        <ns0:is>
          <ns0:t>round</ns0:t>
        </ns0:is>
      </ns0:c>
      <ns0:c r="B36" s="22" t="n">
        <ns0:v>0</ns0:v>
      </ns0:c>
      <ns0:c r="C36" s="20" t="n">
        <ns0:v>0</ns0:v>
      </ns0:c>
      <ns0:c r="D36" s="20" t="inlineStr">
        <ns0:is>
          <ns0:t>add</ns0:t>
        </ns0:is>
      </ns0:c>
      <ns0:c r="E36" s="20" t="inlineStr">
        <ns0:is>
          <ns0:t>混在・パック70%</ns0:t>
        </ns0:is>
      </ns0:c>
      <ns0:c r="F36" s="22" t="n">
        <ns0:v>0.5</ns0:v>
      </ns0:c>
      <ns0:c r="G36" s="20" t="n">
        <ns0:v>15</ns0:v>
      </ns0:c>
      <ns0:c r="H36" s="20" t="n">
        <ns0:v>15</ns0:v>
      </ns0:c>
      <ns0:c r="I36" s="20" t="n">
        <ns0:v>22</ns0:v>
      </ns0:c>
      <ns0:c r="J36" s="20" t="n">
        <ns0:v>7287.208749253048</ns0:v>
      </ns0:c>
      <ns0:c r="K36" s="20" t="n">
        <ns0:v>1913.25245541354</ns0:v>
      </ns0:c>
      <ns0:c r="L36" s="20" t="n">
        <ns0:v>217426.4976355991</ns0:v>
      </ns0:c>
      <ns0:c r="M36" s="20" t="n">
        <ns0:v>97997.39548254843</ns0:v>
      </ns0:c>
      <ns0:c r="N36" s="20" t="n">
        <ns0:v>-9667.451851862281</ns0:v>
      </ns0:c>
      <ns0:c r="O36" s="20" t="n">
        <ns0:v>57519.51369702878</ns0:v>
      </ns0:c>
      <ns0:c r="P36" s="20" t="n">
        <ns0:v>131206.4792459199</ns0:v>
      </ns0:c>
      <ns0:c r="Q36" s="20" t="n">
        <ns0:v>315423.8931181475</ns0:v>
      </ns0:c>
      <ns0:c r="R36" s="20" t="n">
        <ns0:v>1026293.548607058</ns0:v>
      </ns0:c>
      <ns0:c r="S36" s="20" t="n">
        <ns0:v>3567337.342818245</ns0:v>
      </ns0:c>
    </ns0:row>
    <ns0:row r="37" ht="32" customHeight="1">
      <ns0:c r="A37" s="20" t="inlineStr">
        <ns0:is>
          <ns0:t>round</ns0:t>
        </ns0:is>
      </ns0:c>
      <ns0:c r="B37" s="22" t="n">
        <ns0:v>0.1</ns0:v>
      </ns0:c>
      <ns0:c r="C37" s="20" t="n">
        <ns0:v>1</ns0:v>
      </ns0:c>
      <ns0:c r="D37" s="20" t="inlineStr">
        <ns0:is>
          <ns0:t>floor</ns0:t>
        </ns0:is>
      </ns0:c>
      <ns0:c r="E37" s="20" t="inlineStr">
        <ns0:is>
          <ns0:t>パック単独</ns0:t>
        </ns0:is>
      </ns0:c>
      <ns0:c r="F37" s="22" t="n">
        <ns0:v>0.4</ns0:v>
      </ns0:c>
      <ns0:c r="G37" s="20" t="n">
        <ns0:v>18</ns0:v>
      </ns0:c>
      <ns0:c r="H37" s="20" t="n">
        <ns0:v>18</ns0:v>
      </ns0:c>
      <ns0:c r="I37" s="20" t="n">
        <ns0:v>52</ns0:v>
      </ns0:c>
      <ns0:c r="J37" s="20" t="n">
        <ns0:v>8308.379888268155</ns0:v>
      </ns0:c>
      <ns0:c r="K37" s="20" t="n">
        <ns0:v>1705.251396648044</ns0:v>
      </ns0:c>
      <ns0:c r="L37" s="20" t="n">
        <ns0:v>224581.6663663123</ns0:v>
      </ns0:c>
      <ns0:c r="M37" s="20" t="n">
        <ns0:v>32439.37279392669</ns0:v>
      </ns0:c>
      <ns0:c r="N37" s="20" t="n">
        <ns0:v>-17172.26238731793</ns0:v>
      </ns0:c>
      <ns0:c r="O37" s="20" t="n">
        <ns0:v>38948.65750965623</ns0:v>
      </ns0:c>
      <ns0:c r="P37" s="20" t="n">
        <ns0:v>101255.0522669656</ns0:v>
      </ns0:c>
      <ns0:c r="Q37" s="20" t="n">
        <ns0:v>257021.039160239</ns0:v>
      </ns0:c>
      <ns0:c r="R37" s="20" t="n">
        <ns0:v>838084.986733332</ns0:v>
      </ns0:c>
      <ns0:c r="S37" s="20" t="n">
        <ns0:v>2948808.80323916</ns0:v>
      </ns0:c>
    </ns0:row>
    <ns0:row r="38" ht="32" customHeight="1">
      <ns0:c r="A38" s="20" t="inlineStr">
        <ns0:is>
          <ns0:t>round</ns0:t>
        </ns0:is>
      </ns0:c>
      <ns0:c r="B38" s="22" t="n">
        <ns0:v>0.1</ns0:v>
      </ns0:c>
      <ns0:c r="C38" s="20" t="n">
        <ns0:v>1</ns0:v>
      </ns0:c>
      <ns0:c r="D38" s="20" t="inlineStr">
        <ns0:is>
          <ns0:t>floor</ns0:t>
        </ns0:is>
      </ns0:c>
      <ns0:c r="E38" s="20" t="inlineStr">
        <ns0:is>
          <ns0:t>パック単独</ns0:t>
        </ns0:is>
      </ns0:c>
      <ns0:c r="F38" s="22" t="n">
        <ns0:v>0.5</ns0:v>
      </ns0:c>
      <ns0:c r="G38" s="20" t="n">
        <ns0:v>21</ns0:v>
      </ns0:c>
      <ns0:c r="H38" s="20" t="n">
        <ns0:v>21</ns0:v>
      </ns0:c>
      <ns0:c r="I38" s="20" t="n">
        <ns0:v>62</ns0:v>
      </ns0:c>
      <ns0:c r="J38" s="20" t="n">
        <ns0:v>8308.379888268155</ns0:v>
      </ns0:c>
      <ns0:c r="K38" s="20" t="n">
        <ns0:v>2131.564245810056</ns0:v>
      </ns0:c>
      <ns0:c r="L38" s="20" t="n">
        <ns0:v>192927.429260144</ns0:v>
      </ns0:c>
      <ns0:c r="M38" s="20" t="n">
        <ns0:v>21462.32498389386</ns0:v>
      </ns0:c>
      <ns0:c r="N38" s="20" t="n">
        <ns0:v>-21435.39087893804</ns0:v>
      </ns0:c>
      <ns0:c r="O38" s="20" t="n">
        <ns0:v>26159.27203479589</ns0:v>
      </ns0:c>
      <ns0:c r="P38" s="20" t="n">
        <ns0:v>79939.40980886505</ns0:v>
      </ns0:c>
      <ns0:c r="Q38" s="20" t="n">
        <ns0:v>214389.7542440379</ns0:v>
      </ns0:c>
      <ns0:c r="R38" s="20" t="n">
        <ns0:v>710191.1319847291</ns0:v>
      </ns0:c>
      <ns0:c r="S38" s="20" t="n">
        <ns0:v>2522495.954077149</ns0:v>
      </ns0:c>
    </ns0:row>
    <ns0:row r="39" ht="32" customHeight="1">
      <ns0:c r="A39" s="20" t="inlineStr">
        <ns0:is>
          <ns0:t>round</ns0:t>
        </ns0:is>
      </ns0:c>
      <ns0:c r="B39" s="22" t="n">
        <ns0:v>0.1</ns0:v>
      </ns0:c>
      <ns0:c r="C39" s="20" t="n">
        <ns0:v>1</ns0:v>
      </ns0:c>
      <ns0:c r="D39" s="20" t="inlineStr">
        <ns0:is>
          <ns0:t>floor</ns0:t>
        </ns0:is>
      </ns0:c>
      <ns0:c r="E39" s="20" t="inlineStr">
        <ns0:is>
          <ns0:t>混在・パック30%</ns0:t>
        </ns0:is>
      </ns0:c>
      <ns0:c r="F39" s="22" t="n">
        <ns0:v>0.4</ns0:v>
      </ns0:c>
      <ns0:c r="G39" s="20" t="n">
        <ns0:v>24</ns0:v>
      </ns0:c>
      <ns0:c r="H39" s="20" t="n">
        <ns0:v>24</ns0:v>
      </ns0:c>
      <ns0:c r="I39" s="20" t="n">
        <ns0:v>82</ns0:v>
      </ns0:c>
      <ns0:c r="J39" s="20" t="n">
        <ns0:v>5925.647230566237</ns0:v>
      </ns0:c>
      <ns0:c r="K39" s="20" t="n">
        <ns0:v>1297.736054574549</ns0:v>
      </ns0:c>
      <ns0:c r="L39" s="20" t="n">
        <ns0:v>168018.6712320538</ns0:v>
      </ns0:c>
      <ns0:c r="M39" s="20" t="n">
        <ns0:v>7917.476893141575</ns0:v>
      </ns0:c>
      <ns0:c r="N39" s="20" t="n">
        <ns0:v>-29536.39394892284</ns0:v>
      </ns0:c>
      <ns0:c r="O39" s="20" t="n">
        <ns0:v>14623.19019914316</ns0:v>
      </ns0:c>
      <ns0:c r="P39" s="20" t="n">
        <ns0:v>60712.60674944377</ns0:v>
      </ns0:c>
      <ns0:c r="Q39" s="20" t="n">
        <ns0:v>175936.1481251954</ns0:v>
      </ns0:c>
      <ns0:c r="R39" s="20" t="n">
        <ns0:v>594830.313628202</ns0:v>
      </ns0:c>
      <ns0:c r="S39" s="20" t="n">
        <ns0:v>2137959.892888724</ns0:v>
      </ns0:c>
    </ns0:row>
    <ns0:row r="40" ht="32" customHeight="1">
      <ns0:c r="A40" s="20" t="inlineStr">
        <ns0:is>
          <ns0:t>round</ns0:t>
        </ns0:is>
      </ns0:c>
      <ns0:c r="B40" s="22" t="n">
        <ns0:v>0.1</ns0:v>
      </ns0:c>
      <ns0:c r="C40" s="20" t="n">
        <ns0:v>1</ns0:v>
      </ns0:c>
      <ns0:c r="D40" s="20" t="inlineStr">
        <ns0:is>
          <ns0:t>floor</ns0:t>
        </ns0:is>
      </ns0:c>
      <ns0:c r="E40" s="20" t="inlineStr">
        <ns0:is>
          <ns0:t>混在・パック30%</ns0:t>
        </ns0:is>
      </ns0:c>
      <ns0:c r="F40" s="22" t="n">
        <ns0:v>0.5</ns0:v>
      </ns0:c>
      <ns0:c r="G40" s="20" t="n">
        <ns0:v>28</ns0:v>
      </ns0:c>
      <ns0:c r="H40" s="20" t="n">
        <ns0:v>28</ns0:v>
      </ns0:c>
      <ns0:c r="I40" s="20" t="n">
        <ns0:v>99</ns0:v>
      </ns0:c>
      <ns0:c r="J40" s="20" t="n">
        <ns0:v>5925.647230566237</ns0:v>
      </ns0:c>
      <ns0:c r="K40" s="20" t="n">
        <ns0:v>1622.170068218186</ns0:v>
      </ns0:c>
      <ns0:c r="L40" s="20" t="n">
        <ns0:v>142879.9419996446</ns0:v>
      </ns0:c>
      <ns0:c r="M40" s="20" t="n">
        <ns0:v>612.8047611869988</ns0:v>
      </ns0:c>
      <ns0:c r="N40" s="20" t="n">
        <ns0:v>-32780.73408535921</ns0:v>
      </ns0:c>
      <ns0:c r="O40" s="20" t="n">
        <ns0:v>4890.169789834039</ns0:v>
      </ns0:c>
      <ns0:c r="P40" s="20" t="n">
        <ns0:v>44490.90606726191</ns0:v>
      </ns0:c>
      <ns0:c r="Q40" s="20" t="n">
        <ns0:v>143492.7467608316</ns0:v>
      </ns0:c>
      <ns0:c r="R40" s="20" t="n">
        <ns0:v>497500.1095351108</ns0:v>
      </ns0:c>
      <ns0:c r="S40" s="20" t="n">
        <ns0:v>1813525.879245088</ns0:v>
      </ns0:c>
    </ns0:row>
    <ns0:row r="41" ht="32" customHeight="1">
      <ns0:c r="A41" s="20" t="inlineStr">
        <ns0:is>
          <ns0:t>round</ns0:t>
        </ns0:is>
      </ns0:c>
      <ns0:c r="B41" s="22" t="n">
        <ns0:v>0.1</ns0:v>
      </ns0:c>
      <ns0:c r="C41" s="20" t="n">
        <ns0:v>1</ns0:v>
      </ns0:c>
      <ns0:c r="D41" s="20" t="inlineStr">
        <ns0:is>
          <ns0:t>floor</ns0:t>
        </ns0:is>
      </ns0:c>
      <ns0:c r="E41" s="20" t="inlineStr">
        <ns0:is>
          <ns0:t>混在・パック50%</ns0:t>
        </ns0:is>
      </ns0:c>
      <ns0:c r="F41" s="22" t="n">
        <ns0:v>0.4</ns0:v>
      </ns0:c>
      <ns0:c r="G41" s="20" t="n">
        <ns0:v>22</ns0:v>
      </ns0:c>
      <ns0:c r="H41" s="20" t="n">
        <ns0:v>22</ns0:v>
      </ns0:c>
      <ns0:c r="I41" s="20" t="n">
        <ns0:v>70</ns0:v>
      </ns0:c>
      <ns0:c r="J41" s="20" t="n">
        <ns0:v>6606.427989909643</ns0:v>
      </ns0:c>
      <ns0:c r="K41" s="20" t="n">
        <ns0:v>1414.16900945269</ns0:v>
      </ns0:c>
      <ns0:c r="L41" s="20" t="n">
        <ns0:v>184179.5269846991</ns0:v>
      </ns0:c>
      <ns0:c r="M41" s="20" t="n">
        <ns0:v>14923.7328647945</ns0:v>
      </ns0:c>
      <ns0:c r="N41" s="20" t="n">
        <ns0:v>-26003.78493132143</ns0:v>
      </ns0:c>
      <ns0:c r="O41" s="20" t="n">
        <ns0:v>21573.32371643259</ns0:v>
      </ns0:c>
      <ns0:c r="P41" s="20" t="n">
        <ns0:v>72296.1626115929</ns0:v>
      </ns0:c>
      <ns0:c r="Q41" s="20" t="n">
        <ns0:v>199103.2598494936</ns0:v>
      </ns0:c>
      <ns0:c r="R41" s="20" t="n">
        <ns0:v>664331.6488010962</ns0:v>
      </ns0:c>
      <ns0:c r="S41" s="20" t="n">
        <ns0:v>2369631.010131706</ns0:v>
      </ns0:c>
    </ns0:row>
    <ns0:row r="42" ht="32" customHeight="1">
      <ns0:c r="A42" s="20" t="inlineStr">
        <ns0:is>
          <ns0:t>round</ns0:t>
        </ns0:is>
      </ns0:c>
      <ns0:c r="B42" s="22" t="n">
        <ns0:v>0.1</ns0:v>
      </ns0:c>
      <ns0:c r="C42" s="20" t="n">
        <ns0:v>1</ns0:v>
      </ns0:c>
      <ns0:c r="D42" s="20" t="inlineStr">
        <ns0:is>
          <ns0:t>floor</ns0:t>
        </ns0:is>
      </ns0:c>
      <ns0:c r="E42" s="20" t="inlineStr">
        <ns0:is>
          <ns0:t>混在・パック50%</ns0:t>
        </ns0:is>
      </ns0:c>
      <ns0:c r="F42" s="22" t="n">
        <ns0:v>0.5</ns0:v>
      </ns0:c>
      <ns0:c r="G42" s="20" t="n">
        <ns0:v>25</ns0:v>
      </ns0:c>
      <ns0:c r="H42" s="20" t="n">
        <ns0:v>25</ns0:v>
      </ns0:c>
      <ns0:c r="I42" s="20" t="n">
        <ns0:v>85</ns0:v>
      </ns0:c>
      <ns0:c r="J42" s="20" t="n">
        <ns0:v>6606.427989909643</ns0:v>
      </ns0:c>
      <ns0:c r="K42" s="20" t="n">
        <ns0:v>1767.711261815863</ns0:v>
      </ns0:c>
      <ns0:c r="L42" s="20" t="n">
        <ns0:v>157179.224074073</ns0:v>
      </ns0:c>
      <ns0:c r="M42" s="20" t="n">
        <ns0:v>6569.810539103288</ns0:v>
      </ns0:c>
      <ns0:c r="N42" s="20" t="n">
        <ns0:v>-29539.20745495316</ns0:v>
      </ns0:c>
      <ns0:c r="O42" s="20" t="n">
        <ns0:v>10967.05614553742</ns0:v>
      </ns0:c>
      <ns0:c r="P42" s="20" t="n">
        <ns0:v>54619.04999343427</ns0:v>
      </ns0:c>
      <ns0:c r="Q42" s="20" t="n">
        <ns0:v>163749.0346131763</ns0:v>
      </ns0:c>
      <ns0:c r="R42" s="20" t="n">
        <ns0:v>558268.9730921444</ns0:v>
      </ns0:c>
      <ns0:c r="S42" s="20" t="n">
        <ns0:v>2016088.757768533</ns0:v>
      </ns0:c>
    </ns0:row>
    <ns0:row r="43" ht="32" customHeight="1">
      <ns0:c r="A43" s="20" t="inlineStr">
        <ns0:is>
          <ns0:t>round</ns0:t>
        </ns0:is>
      </ns0:c>
      <ns0:c r="B43" s="22" t="n">
        <ns0:v>0.1</ns0:v>
      </ns0:c>
      <ns0:c r="C43" s="20" t="n">
        <ns0:v>1</ns0:v>
      </ns0:c>
      <ns0:c r="D43" s="20" t="inlineStr">
        <ns0:is>
          <ns0:t>floor</ns0:t>
        </ns0:is>
      </ns0:c>
      <ns0:c r="E43" s="20" t="inlineStr">
        <ns0:is>
          <ns0:t>混在・パック70%</ns0:t>
        </ns0:is>
      </ns0:c>
      <ns0:c r="F43" s="22" t="n">
        <ns0:v>0.4</ns0:v>
      </ns0:c>
      <ns0:c r="G43" s="20" t="n">
        <ns0:v>20</ns0:v>
      </ns0:c>
      <ns0:c r="H43" s="20" t="n">
        <ns0:v>20</ns0:v>
      </ns0:c>
      <ns0:c r="I43" s="20" t="n">
        <ns0:v>62</ns0:v>
      </ns0:c>
      <ns0:c r="J43" s="20" t="n">
        <ns0:v>7287.208749253048</ns0:v>
      </ns0:c>
      <ns0:c r="K43" s="20" t="n">
        <ns0:v>1530.601964330832</ns0:v>
      </ns0:c>
      <ns0:c r="L43" s="20" t="n">
        <ns0:v>200340.3827373443</ns0:v>
      </ns0:c>
      <ns0:c r="M43" s="20" t="n">
        <ns0:v>21929.98883644737</ns0:v>
      </ns0:c>
      <ns0:c r="N43" s="20" t="n">
        <ns0:v>-22471.17591372004</ns0:v>
      </ns0:c>
      <ns0:c r="O43" s="20" t="n">
        <ns0:v>28523.45723372206</ns0:v>
      </ns0:c>
      <ns0:c r="P43" s="20" t="n">
        <ns0:v>83879.71847374194</ns0:v>
      </ns0:c>
      <ns0:c r="Q43" s="20" t="n">
        <ns0:v>222270.3715737917</ns0:v>
      </ns0:c>
      <ns0:c r="R43" s="20" t="n">
        <ns0:v>733832.9839739911</ns0:v>
      </ns0:c>
      <ns0:c r="S43" s="20" t="n">
        <ns0:v>2601302.127374688</ns0:v>
      </ns0:c>
    </ns0:row>
    <ns0:row r="44" ht="32" customHeight="1">
      <ns0:c r="A44" s="20" t="inlineStr">
        <ns0:is>
          <ns0:t>round</ns0:t>
        </ns0:is>
      </ns0:c>
      <ns0:c r="B44" s="22" t="n">
        <ns0:v>0.1</ns0:v>
      </ns0:c>
      <ns0:c r="C44" s="20" t="n">
        <ns0:v>1</ns0:v>
      </ns0:c>
      <ns0:c r="D44" s="20" t="inlineStr">
        <ns0:is>
          <ns0:t>floor</ns0:t>
        </ns0:is>
      </ns0:c>
      <ns0:c r="E44" s="20" t="inlineStr">
        <ns0:is>
          <ns0:t>混在・パック70%</ns0:t>
        </ns0:is>
      </ns0:c>
      <ns0:c r="F44" s="22" t="n">
        <ns0:v>0.5</ns0:v>
      </ns0:c>
      <ns0:c r="G44" s="20" t="n">
        <ns0:v>23</ns0:v>
      </ns0:c>
      <ns0:c r="H44" s="20" t="n">
        <ns0:v>23</ns0:v>
      </ns0:c>
      <ns0:c r="I44" s="20" t="n">
        <ns0:v>74</ns0:v>
      </ns0:c>
      <ns0:c r="J44" s="20" t="n">
        <ns0:v>7287.208749253048</ns0:v>
      </ns0:c>
      <ns0:c r="K44" s="20" t="n">
        <ns0:v>1913.25245541354</ns0:v>
      </ns0:c>
      <ns0:c r="L44" s="20" t="n">
        <ns0:v>171478.5061485014</ns0:v>
      </ns0:c>
      <ns0:c r="M44" s="20" t="n">
        <ns0:v>12526.8163170195</ns0:v>
      </ns0:c>
      <ns0:c r="N44" s="20" t="n">
        <ns0:v>-26297.68082454712</ns0:v>
      </ns0:c>
      <ns0:c r="O44" s="20" t="n">
        <ns0:v>17043.94250124082</ns0:v>
      </ns0:c>
      <ns0:c r="P44" s="20" t="n">
        <ns0:v>64747.19391960657</ns0:v>
      </ns0:c>
      <ns0:c r="Q44" s="20" t="n">
        <ns0:v>184005.3224655209</ns0:v>
      </ns0:c>
      <ns0:c r="R44" s="20" t="n">
        <ns0:v>619037.8366491785</ns0:v>
      </ns0:c>
      <ns0:c r="S44" s="20" t="n">
        <ns0:v>2218651.63629198</ns0:v>
      </ns0:c>
    </ns0:row>
    <ns0:row r="45" ht="32" customHeight="1">
      <ns0:c r="A45" s="20" t="inlineStr">
        <ns0:is>
          <ns0:t>round</ns0:t>
        </ns0:is>
      </ns0:c>
      <ns0:c r="B45" s="22" t="n">
        <ns0:v>0.1</ns0:v>
      </ns0:c>
      <ns0:c r="C45" s="20" t="n">
        <ns0:v>1</ns0:v>
      </ns0:c>
      <ns0:c r="D45" s="20" t="inlineStr">
        <ns0:is>
          <ns0:t>add</ns0:t>
        </ns0:is>
      </ns0:c>
      <ns0:c r="E45" s="20" t="inlineStr">
        <ns0:is>
          <ns0:t>パック単独</ns0:t>
        </ns0:is>
      </ns0:c>
      <ns0:c r="F45" s="22" t="n">
        <ns0:v>0.4</ns0:v>
      </ns0:c>
      <ns0:c r="G45" s="20" t="n">
        <ns0:v>25</ns0:v>
      </ns0:c>
      <ns0:c r="H45" s="20" t="n">
        <ns0:v>25</ns0:v>
      </ns0:c>
      <ns0:c r="I45" s="20" t="n">
        <ns0:v>52</ns0:v>
      </ns0:c>
      <ns0:c r="J45" s="20" t="n">
        <ns0:v>8308.379888268155</ns0:v>
      </ns0:c>
      <ns0:c r="K45" s="20" t="n">
        <ns0:v>1705.251396648044</ns0:v>
      </ns0:c>
      <ns0:c r="L45" s="20" t="n">
        <ns0:v>202081.6663663123</ns0:v>
      </ns0:c>
      <ns0:c r="M45" s="20" t="n">
        <ns0:v>32439.37279392669</ns0:v>
      </ns0:c>
      <ns0:c r="N45" s="20" t="n">
        <ns0:v>-31357.73724765312</ns0:v>
      </ns0:c>
      <ns0:c r="O45" s="20" t="n">
        <ns0:v>16448.65750965623</ns0:v>
      </ns0:c>
      <ns0:c r="P45" s="20" t="n">
        <ns0:v>78755.05226696559</ns0:v>
      </ns0:c>
      <ns0:c r="Q45" s="20" t="n">
        <ns0:v>234521.039160239</ns0:v>
      </ns0:c>
      <ns0:c r="R45" s="20" t="n">
        <ns0:v>815584.986733332</ns0:v>
      </ns0:c>
      <ns0:c r="S45" s="20" t="n">
        <ns0:v>2926308.80323916</ns0:v>
      </ns0:c>
    </ns0:row>
    <ns0:row r="46" ht="32" customHeight="1">
      <ns0:c r="A46" s="20" t="inlineStr">
        <ns0:is>
          <ns0:t>round</ns0:t>
        </ns0:is>
      </ns0:c>
      <ns0:c r="B46" s="22" t="n">
        <ns0:v>0.1</ns0:v>
      </ns0:c>
      <ns0:c r="C46" s="20" t="n">
        <ns0:v>1</ns0:v>
      </ns0:c>
      <ns0:c r="D46" s="20" t="inlineStr">
        <ns0:is>
          <ns0:t>add</ns0:t>
        </ns0:is>
      </ns0:c>
      <ns0:c r="E46" s="20" t="inlineStr">
        <ns0:is>
          <ns0:t>パック単独</ns0:t>
        </ns0:is>
      </ns0:c>
      <ns0:c r="F46" s="22" t="n">
        <ns0:v>0.5</ns0:v>
      </ns0:c>
      <ns0:c r="G46" s="20" t="n">
        <ns0:v>29</ns0:v>
      </ns0:c>
      <ns0:c r="H46" s="20" t="n">
        <ns0:v>29</ns0:v>
      </ns0:c>
      <ns0:c r="I46" s="20" t="n">
        <ns0:v>62</ns0:v>
      </ns0:c>
      <ns0:c r="J46" s="20" t="n">
        <ns0:v>8308.379888268155</ns0:v>
      </ns0:c>
      <ns0:c r="K46" s="20" t="n">
        <ns0:v>2131.564245810056</ns0:v>
      </ns0:c>
      <ns0:c r="L46" s="20" t="n">
        <ns0:v>170427.4292601441</ns0:v>
      </ns0:c>
      <ns0:c r="M46" s="20" t="n">
        <ns0:v>21462.32498389386</ns0:v>
      </ns0:c>
      <ns0:c r="N46" s="20" t="n">
        <ns0:v>-35620.86573927323</ns0:v>
      </ns0:c>
      <ns0:c r="O46" s="20" t="n">
        <ns0:v>3659.272034795886</ns0:v>
      </ns0:c>
      <ns0:c r="P46" s="20" t="n">
        <ns0:v>57439.40980886506</ns0:v>
      </ns0:c>
      <ns0:c r="Q46" s="20" t="n">
        <ns0:v>191889.7542440379</ns0:v>
      </ns0:c>
      <ns0:c r="R46" s="20" t="n">
        <ns0:v>687691.1319847291</ns0:v>
      </ns0:c>
      <ns0:c r="S46" s="20" t="n">
        <ns0:v>2499995.954077149</ns0:v>
      </ns0:c>
    </ns0:row>
    <ns0:row r="47" ht="32" customHeight="1">
      <ns0:c r="A47" s="20" t="inlineStr">
        <ns0:is>
          <ns0:t>round</ns0:t>
        </ns0:is>
      </ns0:c>
      <ns0:c r="B47" s="22" t="n">
        <ns0:v>0.1</ns0:v>
      </ns0:c>
      <ns0:c r="C47" s="20" t="n">
        <ns0:v>1</ns0:v>
      </ns0:c>
      <ns0:c r="D47" s="20" t="inlineStr">
        <ns0:is>
          <ns0:t>add</ns0:t>
        </ns0:is>
      </ns0:c>
      <ns0:c r="E47" s="20" t="inlineStr">
        <ns0:is>
          <ns0:t>混在・パック30%</ns0:t>
        </ns0:is>
      </ns0:c>
      <ns0:c r="F47" s="22" t="n">
        <ns0:v>0.4</ns0:v>
      </ns0:c>
      <ns0:c r="G47" s="20" t="n">
        <ns0:v>34</ns0:v>
      </ns0:c>
      <ns0:c r="H47" s="20" t="n">
        <ns0:v>34</ns0:v>
      </ns0:c>
      <ns0:c r="I47" s="20" t="n">
        <ns0:v>82</ns0:v>
      </ns0:c>
      <ns0:c r="J47" s="20" t="n">
        <ns0:v>5925.647230566237</ns0:v>
      </ns0:c>
      <ns0:c r="K47" s="20" t="n">
        <ns0:v>1297.736054574549</ns0:v>
      </ns0:c>
      <ns0:c r="L47" s="20" t="n">
        <ns0:v>145518.6712320538</ns0:v>
      </ns0:c>
      <ns0:c r="M47" s="20" t="n">
        <ns0:v>7917.476893141575</ns0:v>
      </ns0:c>
      <ns0:c r="N47" s="20" t="n">
        <ns0:v>-39466.22635115747</ns0:v>
      </ns0:c>
      <ns0:c r="O47" s="20" t="n">
        <ns0:v>-7876.809800856845</ns0:v>
      </ns0:c>
      <ns0:c r="P47" s="20" t="n">
        <ns0:v>38212.60674944376</ns0:v>
      </ns0:c>
      <ns0:c r="Q47" s="20" t="n">
        <ns0:v>153436.1481251954</ns0:v>
      </ns0:c>
      <ns0:c r="R47" s="20" t="n">
        <ns0:v>572330.313628202</ns0:v>
      </ns0:c>
      <ns0:c r="S47" s="20" t="n">
        <ns0:v>2115459.892888724</ns0:v>
      </ns0:c>
    </ns0:row>
    <ns0:row r="48" ht="32" customHeight="1">
      <ns0:c r="A48" s="20" t="inlineStr">
        <ns0:is>
          <ns0:t>round</ns0:t>
        </ns0:is>
      </ns0:c>
      <ns0:c r="B48" s="22" t="n">
        <ns0:v>0.1</ns0:v>
      </ns0:c>
      <ns0:c r="C48" s="20" t="n">
        <ns0:v>1</ns0:v>
      </ns0:c>
      <ns0:c r="D48" s="20" t="inlineStr">
        <ns0:is>
          <ns0:t>add</ns0:t>
        </ns0:is>
      </ns0:c>
      <ns0:c r="E48" s="20" t="inlineStr">
        <ns0:is>
          <ns0:t>混在・パック30%</ns0:t>
        </ns0:is>
      </ns0:c>
      <ns0:c r="F48" s="22" t="n">
        <ns0:v>0.5</ns0:v>
      </ns0:c>
      <ns0:c r="G48" s="20" t="n">
        <ns0:v>39</ns0:v>
      </ns0:c>
      <ns0:c r="H48" s="20" t="n">
        <ns0:v>39</ns0:v>
      </ns0:c>
      <ns0:c r="I48" s="20" t="n">
        <ns0:v>99</ns0:v>
      </ns0:c>
      <ns0:c r="J48" s="20" t="n">
        <ns0:v>5925.647230566237</ns0:v>
      </ns0:c>
      <ns0:c r="K48" s="20" t="n">
        <ns0:v>1622.170068218186</ns0:v>
      </ns0:c>
      <ns0:c r="L48" s="20" t="n">
        <ns0:v>120379.9419996446</ns0:v>
      </ns0:c>
      <ns0:c r="M48" s="20" t="n">
        <ns0:v>612.8047611869988</ns0:v>
      </ns0:c>
      <ns0:c r="N48" s="20" t="n">
        <ns0:v>-42710.56648759385</ns0:v>
      </ns0:c>
      <ns0:c r="O48" s="20" t="n">
        <ns0:v>-17609.83021016596</ns0:v>
      </ns0:c>
      <ns0:c r="P48" s="20" t="n">
        <ns0:v>21990.9060672619</ns0:v>
      </ns0:c>
      <ns0:c r="Q48" s="20" t="n">
        <ns0:v>120992.7467608316</ns0:v>
      </ns0:c>
      <ns0:c r="R48" s="20" t="n">
        <ns0:v>475000.1095351108</ns0:v>
      </ns0:c>
      <ns0:c r="S48" s="20" t="n">
        <ns0:v>1791025.879245088</ns0:v>
      </ns0:c>
    </ns0:row>
    <ns0:row r="49" ht="32" customHeight="1">
      <ns0:c r="A49" s="20" t="inlineStr">
        <ns0:is>
          <ns0:t>round</ns0:t>
        </ns0:is>
      </ns0:c>
      <ns0:c r="B49" s="22" t="n">
        <ns0:v>0.1</ns0:v>
      </ns0:c>
      <ns0:c r="C49" s="20" t="n">
        <ns0:v>1</ns0:v>
      </ns0:c>
      <ns0:c r="D49" s="20" t="inlineStr">
        <ns0:is>
          <ns0:t>add</ns0:t>
        </ns0:is>
      </ns0:c>
      <ns0:c r="E49" s="20" t="inlineStr">
        <ns0:is>
          <ns0:t>混在・パック50%</ns0:t>
        </ns0:is>
      </ns0:c>
      <ns0:c r="F49" s="22" t="n">
        <ns0:v>0.4</ns0:v>
      </ns0:c>
      <ns0:c r="G49" s="20" t="n">
        <ns0:v>31</ns0:v>
      </ns0:c>
      <ns0:c r="H49" s="20" t="n">
        <ns0:v>31</ns0:v>
      </ns0:c>
      <ns0:c r="I49" s="20" t="n">
        <ns0:v>70</ns0:v>
      </ns0:c>
      <ns0:c r="J49" s="20" t="n">
        <ns0:v>6606.427989909643</ns0:v>
      </ns0:c>
      <ns0:c r="K49" s="20" t="n">
        <ns0:v>1414.16900945269</ns0:v>
      </ns0:c>
      <ns0:c r="L49" s="20" t="n">
        <ns0:v>161679.5269846991</ns0:v>
      </ns0:c>
      <ns0:c r="M49" s="20" t="n">
        <ns0:v>14923.7328647945</ns0:v>
      </ns0:c>
      <ns0:c r="N49" s="20" t="n">
        <ns0:v>-37149.51517872766</ns0:v>
      </ns0:c>
      <ns0:c r="O49" s="20" t="n">
        <ns0:v>-926.6762835674162</ns0:v>
      </ns0:c>
      <ns0:c r="P49" s="20" t="n">
        <ns0:v>49796.1626115929</ns0:v>
      </ns0:c>
      <ns0:c r="Q49" s="20" t="n">
        <ns0:v>176603.2598494936</ns0:v>
      </ns0:c>
      <ns0:c r="R49" s="20" t="n">
        <ns0:v>641831.6488010962</ns0:v>
      </ns0:c>
      <ns0:c r="S49" s="20" t="n">
        <ns0:v>2347131.010131706</ns0:v>
      </ns0:c>
    </ns0:row>
    <ns0:row r="50" ht="32" customHeight="1">
      <ns0:c r="A50" s="20" t="inlineStr">
        <ns0:is>
          <ns0:t>round</ns0:t>
        </ns0:is>
      </ns0:c>
      <ns0:c r="B50" s="22" t="n">
        <ns0:v>0.1</ns0:v>
      </ns0:c>
      <ns0:c r="C50" s="20" t="n">
        <ns0:v>1</ns0:v>
      </ns0:c>
      <ns0:c r="D50" s="20" t="inlineStr">
        <ns0:is>
          <ns0:t>add</ns0:t>
        </ns0:is>
      </ns0:c>
      <ns0:c r="E50" s="20" t="inlineStr">
        <ns0:is>
          <ns0:t>混在・パック50%</ns0:t>
        </ns0:is>
      </ns0:c>
      <ns0:c r="F50" s="22" t="n">
        <ns0:v>0.5</ns0:v>
      </ns0:c>
      <ns0:c r="G50" s="20" t="n">
        <ns0:v>36</ns0:v>
      </ns0:c>
      <ns0:c r="H50" s="20" t="n">
        <ns0:v>36</ns0:v>
      </ns0:c>
      <ns0:c r="I50" s="20" t="n">
        <ns0:v>85</ns0:v>
      </ns0:c>
      <ns0:c r="J50" s="20" t="n">
        <ns0:v>6606.427989909643</ns0:v>
      </ns0:c>
      <ns0:c r="K50" s="20" t="n">
        <ns0:v>1767.711261815863</ns0:v>
      </ns0:c>
      <ns0:c r="L50" s="20" t="n">
        <ns0:v>134679.224074073</ns0:v>
      </ns0:c>
      <ns0:c r="M50" s="20" t="n">
        <ns0:v>6569.810539103288</ns0:v>
      </ns0:c>
      <ns0:c r="N50" s="20" t="n">
        <ns0:v>-40684.93770235938</ns0:v>
      </ns0:c>
      <ns0:c r="O50" s="20" t="n">
        <ns0:v>-11532.94385446259</ns0:v>
      </ns0:c>
      <ns0:c r="P50" s="20" t="n">
        <ns0:v>32119.04999343427</ns0:v>
      </ns0:c>
      <ns0:c r="Q50" s="20" t="n">
        <ns0:v>141249.0346131763</ns0:v>
      </ns0:c>
      <ns0:c r="R50" s="20" t="n">
        <ns0:v>535768.9730921444</ns0:v>
      </ns0:c>
      <ns0:c r="S50" s="20" t="n">
        <ns0:v>1993588.757768533</ns0:v>
      </ns0:c>
    </ns0:row>
    <ns0:row r="51" ht="32" customHeight="1">
      <ns0:c r="A51" s="20" t="inlineStr">
        <ns0:is>
          <ns0:t>round</ns0:t>
        </ns0:is>
      </ns0:c>
      <ns0:c r="B51" s="22" t="n">
        <ns0:v>0.1</ns0:v>
      </ns0:c>
      <ns0:c r="C51" s="20" t="n">
        <ns0:v>1</ns0:v>
      </ns0:c>
      <ns0:c r="D51" s="20" t="inlineStr">
        <ns0:is>
          <ns0:t>add</ns0:t>
        </ns0:is>
      </ns0:c>
      <ns0:c r="E51" s="20" t="inlineStr">
        <ns0:is>
          <ns0:t>混在・パック70%</ns0:t>
        </ns0:is>
      </ns0:c>
      <ns0:c r="F51" s="22" t="n">
        <ns0:v>0.4</ns0:v>
      </ns0:c>
      <ns0:c r="G51" s="20" t="n">
        <ns0:v>28</ns0:v>
      </ns0:c>
      <ns0:c r="H51" s="20" t="n">
        <ns0:v>28</ns0:v>
      </ns0:c>
      <ns0:c r="I51" s="20" t="n">
        <ns0:v>62</ns0:v>
      </ns0:c>
      <ns0:c r="J51" s="20" t="n">
        <ns0:v>7287.208749253048</ns0:v>
      </ns0:c>
      <ns0:c r="K51" s="20" t="n">
        <ns0:v>1530.601964330832</ns0:v>
      </ns0:c>
      <ns0:c r="L51" s="20" t="n">
        <ns0:v>177840.3827373443</ns0:v>
      </ns0:c>
      <ns0:c r="M51" s="20" t="n">
        <ns0:v>21929.98883644737</ns0:v>
      </ns0:c>
      <ns0:c r="N51" s="20" t="n">
        <ns0:v>-34832.80400629785</ns0:v>
      </ns0:c>
      <ns0:c r="O51" s="20" t="n">
        <ns0:v>6023.457233722052</ns0:v>
      </ns0:c>
      <ns0:c r="P51" s="20" t="n">
        <ns0:v>61379.71847374196</ns0:v>
      </ns0:c>
      <ns0:c r="Q51" s="20" t="n">
        <ns0:v>199770.3715737917</ns0:v>
      </ns0:c>
      <ns0:c r="R51" s="20" t="n">
        <ns0:v>711332.9839739911</ns0:v>
      </ns0:c>
      <ns0:c r="S51" s="20" t="n">
        <ns0:v>2578802.127374688</ns0:v>
      </ns0:c>
    </ns0:row>
    <ns0:row r="52" ht="32" customHeight="1">
      <ns0:c r="A52" s="20" t="inlineStr">
        <ns0:is>
          <ns0:t>round</ns0:t>
        </ns0:is>
      </ns0:c>
      <ns0:c r="B52" s="22" t="n">
        <ns0:v>0.1</ns0:v>
      </ns0:c>
      <ns0:c r="C52" s="20" t="n">
        <ns0:v>1</ns0:v>
      </ns0:c>
      <ns0:c r="D52" s="20" t="inlineStr">
        <ns0:is>
          <ns0:t>add</ns0:t>
        </ns0:is>
      </ns0:c>
      <ns0:c r="E52" s="20" t="inlineStr">
        <ns0:is>
          <ns0:t>混在・パック70%</ns0:t>
        </ns0:is>
      </ns0:c>
      <ns0:c r="F52" s="22" t="n">
        <ns0:v>0.5</ns0:v>
      </ns0:c>
      <ns0:c r="G52" s="20" t="n">
        <ns0:v>33</ns0:v>
      </ns0:c>
      <ns0:c r="H52" s="20" t="n">
        <ns0:v>33</ns0:v>
      </ns0:c>
      <ns0:c r="I52" s="20" t="n">
        <ns0:v>74</ns0:v>
      </ns0:c>
      <ns0:c r="J52" s="20" t="n">
        <ns0:v>7287.208749253048</ns0:v>
      </ns0:c>
      <ns0:c r="K52" s="20" t="n">
        <ns0:v>1913.25245541354</ns0:v>
      </ns0:c>
      <ns0:c r="L52" s="20" t="n">
        <ns0:v>148978.5061485014</ns0:v>
      </ns0:c>
      <ns0:c r="M52" s="20" t="n">
        <ns0:v>12526.8163170195</ns0:v>
      </ns0:c>
      <ns0:c r="N52" s="20" t="n">
        <ns0:v>-38659.30891712493</ns0:v>
      </ns0:c>
      <ns0:c r="O52" s="20" t="n">
        <ns0:v>-5456.057498759183</ns0:v>
      </ns0:c>
      <ns0:c r="P52" s="20" t="n">
        <ns0:v>42247.19391960658</ns0:v>
      </ns0:c>
      <ns0:c r="Q52" s="20" t="n">
        <ns0:v>161505.3224655209</ns0:v>
      </ns0:c>
      <ns0:c r="R52" s="20" t="n">
        <ns0:v>596537.8366491785</ns0:v>
      </ns0:c>
      <ns0:c r="S52" s="20" t="n">
        <ns0:v>2196151.63629198</ns0:v>
      </ns0:c>
    </ns0:row>
    <ns0:row r="53" ht="32" customHeight="1">
      <ns0:c r="A53" s="20" t="inlineStr">
        <ns0:is>
          <ns0:t>round</ns0:t>
        </ns0:is>
      </ns0:c>
      <ns0:c r="B53" s="22" t="n">
        <ns0:v>0.1</ns0:v>
      </ns0:c>
      <ns0:c r="C53" s="20" t="n">
        <ns0:v>0</ns0:v>
      </ns0:c>
      <ns0:c r="D53" s="20" t="inlineStr">
        <ns0:is>
          <ns0:t>floor</ns0:t>
        </ns0:is>
      </ns0:c>
      <ns0:c r="E53" s="20" t="inlineStr">
        <ns0:is>
          <ns0:t>パック単独</ns0:t>
        </ns0:is>
      </ns0:c>
      <ns0:c r="F53" s="22" t="n">
        <ns0:v>0.4</ns0:v>
      </ns0:c>
      <ns0:c r="G53" s="20" t="n">
        <ns0:v>9</ns0:v>
      </ns0:c>
      <ns0:c r="H53" s="20" t="n">
        <ns0:v>9</ns0:v>
      </ns0:c>
      <ns0:c r="I53" s="20" t="n">
        <ns0:v>21</ns0:v>
      </ns0:c>
      <ns0:c r="J53" s="20" t="n">
        <ns0:v>8308.379888268155</ns0:v>
      </ns0:c>
      <ns0:c r="K53" s="20" t="n">
        <ns0:v>1705.251396648044</ns0:v>
      </ns0:c>
      <ns0:c r="L53" s="20" t="n">
        <ns0:v>300767.8861056046</ns0:v>
      </ns0:c>
      <ns0:c r="M53" s="20" t="n">
        <ns0:v>105778.2927194388</ns0:v>
      </ns0:c>
      <ns0:c r="N53" s="20" t="n">
        <ns0:v>11380.25157916251</ns0:v>
      </ns0:c>
      <ns0:c r="O53" s="20" t="n">
        <ns0:v>100606.1994090976</ns0:v>
      </ns0:c>
      <ns0:c r="P53" s="20" t="n">
        <ns0:v>188017.6220993678</ns0:v>
      </ns0:c>
      <ns0:c r="Q53" s="20" t="n">
        <ns0:v>406546.1788250434</ns0:v>
      </ns0:c>
      <ns0:c r="R53" s="20" t="n">
        <ns0:v>1254660.405727745</ns0:v>
      </ns0:c>
      <ns0:c r="S53" s="20" t="n">
        <ns0:v>4276060.199887205</ns0:v>
      </ns0:c>
    </ns0:row>
    <ns0:row r="54" ht="32" customHeight="1">
      <ns0:c r="A54" s="20" t="inlineStr">
        <ns0:is>
          <ns0:t>round</ns0:t>
        </ns0:is>
      </ns0:c>
      <ns0:c r="B54" s="22" t="n">
        <ns0:v>0.1</ns0:v>
      </ns0:c>
      <ns0:c r="C54" s="20" t="n">
        <ns0:v>0</ns0:v>
      </ns0:c>
      <ns0:c r="D54" s="20" t="inlineStr">
        <ns0:is>
          <ns0:t>floor</ns0:t>
        </ns0:is>
      </ns0:c>
      <ns0:c r="E54" s="20" t="inlineStr">
        <ns0:is>
          <ns0:t>パック単独</ns0:t>
        </ns0:is>
      </ns0:c>
      <ns0:c r="F54" s="22" t="n">
        <ns0:v>0.5</ns0:v>
      </ns0:c>
      <ns0:c r="G54" s="20" t="n">
        <ns0:v>9</ns0:v>
      </ns0:c>
      <ns0:c r="H54" s="20" t="n">
        <ns0:v>9</ns0:v>
      </ns0:c>
      <ns0:c r="I54" s="20" t="n">
        <ns0:v>22</ns0:v>
      </ns0:c>
      <ns0:c r="J54" s="20" t="n">
        <ns0:v>8308.379888268155</ns0:v>
      </ns0:c>
      <ns0:c r="K54" s="20" t="n">
        <ns0:v>2131.564245810056</ns0:v>
      </ns0:c>
      <ns0:c r="L54" s="20" t="n">
        <ns0:v>269113.6489994364</ns0:v>
      </ns0:c>
      <ns0:c r="M54" s="20" t="n">
        <ns0:v>94801.24490940597</ns0:v>
      </ns0:c>
      <ns0:c r="N54" s="20" t="n">
        <ns0:v>7117.123087542403</ns0:v>
      </ns0:c>
      <ns0:c r="O54" s="20" t="n">
        <ns0:v>87816.81393423723</ns0:v>
      </ns0:c>
      <ns0:c r="P54" s="20" t="n">
        <ns0:v>166701.9796412673</ns0:v>
      </ns0:c>
      <ns0:c r="Q54" s="20" t="n">
        <ns0:v>363914.8939088424</ns0:v>
      </ns0:c>
      <ns0:c r="R54" s="20" t="n">
        <ns0:v>1126766.550979143</ns0:v>
      </ns0:c>
      <ns0:c r="S54" s="20" t="n">
        <ns0:v>3849747.350725194</ns0:v>
      </ns0:c>
    </ns0:row>
    <ns0:row r="55" ht="32" customHeight="1">
      <ns0:c r="A55" s="20" t="inlineStr">
        <ns0:is>
          <ns0:t>round</ns0:t>
        </ns0:is>
      </ns0:c>
      <ns0:c r="B55" s="22" t="n">
        <ns0:v>0.1</ns0:v>
      </ns0:c>
      <ns0:c r="C55" s="20" t="n">
        <ns0:v>0</ns0:v>
      </ns0:c>
      <ns0:c r="D55" s="20" t="inlineStr">
        <ns0:is>
          <ns0:t>floor</ns0:t>
        </ns0:is>
      </ns0:c>
      <ns0:c r="E55" s="20" t="inlineStr">
        <ns0:is>
          <ns0:t>混在・パック30%</ns0:t>
        </ns0:is>
      </ns0:c>
      <ns0:c r="F55" s="22" t="n">
        <ns0:v>0.4</ns0:v>
      </ns0:c>
      <ns0:c r="G55" s="20" t="n">
        <ns0:v>12</ns0:v>
      </ns0:c>
      <ns0:c r="H55" s="20" t="n">
        <ns0:v>12</ns0:v>
      </ns0:c>
      <ns0:c r="I55" s="20" t="n">
        <ns0:v>33</ns0:v>
      </ns0:c>
      <ns0:c r="J55" s="20" t="n">
        <ns0:v>5925.647230566237</ns0:v>
      </ns0:c>
      <ns0:c r="K55" s="20" t="n">
        <ns0:v>1297.736054574549</ns0:v>
      </ns0:c>
      <ns0:c r="L55" s="20" t="n">
        <ns0:v>226149.0250495584</ns0:v>
      </ns0:c>
      <ns0:c r="M55" s="20" t="n">
        <ns0:v>55020.15789592083</ns0:v>
      </ns0:c>
      <ns0:c r="N55" s="20" t="n">
        <ns0:v>-5413.090466894446</ns0:v>
      </ns0:c>
      <ns0:c r="O55" s="20" t="n">
        <ns0:v>62993.10064522833</ns0:v>
      </ns0:c>
      <ns0:c r="P55" s="20" t="n">
        <ns0:v>125329.1241595857</ns0:v>
      </ns0:c>
      <ns0:c r="Q55" s="20" t="n">
        <ns0:v>281169.1829454793</ns0:v>
      </ns0:c>
      <ns0:c r="R55" s="20" t="n">
        <ns0:v>878529.4180890536</ns0:v>
      </ns0:c>
      <ns0:c r="S55" s="20" t="n">
        <ns0:v>3022290.241091563</ns0:v>
      </ns0:c>
    </ns0:row>
    <ns0:row r="56" ht="32" customHeight="1">
      <ns0:c r="A56" s="20" t="inlineStr">
        <ns0:is>
          <ns0:t>round</ns0:t>
        </ns0:is>
      </ns0:c>
      <ns0:c r="B56" s="22" t="n">
        <ns0:v>0.1</ns0:v>
      </ns0:c>
      <ns0:c r="C56" s="20" t="n">
        <ns0:v>0</ns0:v>
      </ns0:c>
      <ns0:c r="D56" s="20" t="inlineStr">
        <ns0:is>
          <ns0:t>floor</ns0:t>
        </ns0:is>
      </ns0:c>
      <ns0:c r="E56" s="20" t="inlineStr">
        <ns0:is>
          <ns0:t>混在・パック30%</ns0:t>
        </ns0:is>
      </ns0:c>
      <ns0:c r="F56" s="22" t="n">
        <ns0:v>0.5</ns0:v>
      </ns0:c>
      <ns0:c r="G56" s="20" t="n">
        <ns0:v>13</ns0:v>
      </ns0:c>
      <ns0:c r="H56" s="20" t="n">
        <ns0:v>13</ns0:v>
      </ns0:c>
      <ns0:c r="I56" s="20" t="n">
        <ns0:v>36</ns0:v>
      </ns0:c>
      <ns0:c r="J56" s="20" t="n">
        <ns0:v>5925.647230566237</ns0:v>
      </ns0:c>
      <ns0:c r="K56" s="20" t="n">
        <ns0:v>1622.170068218186</ns0:v>
      </ns0:c>
      <ns0:c r="L56" s="20" t="n">
        <ns0:v>201010.2958171493</ns0:v>
      </ns0:c>
      <ns0:c r="M56" s="20" t="n">
        <ns0:v>47715.48576396626</ns0:v>
      </ns0:c>
      <ns0:c r="N56" s="20" t="n">
        <ns0:v>-8657.430603330818</ns0:v>
      </ns0:c>
      <ns0:c r="O56" s="20" t="n">
        <ns0:v>53260.08023591922</ns0:v>
      </ns0:c>
      <ns0:c r="P56" s="20" t="n">
        <ns0:v>109107.4234774039</ns0:v>
      </ns0:c>
      <ns0:c r="Q56" s="20" t="n">
        <ns0:v>248725.7815811155</ns0:v>
      </ns0:c>
      <ns0:c r="R56" s="20" t="n">
        <ns0:v>781199.2139959624</ns0:v>
      </ns0:c>
      <ns0:c r="S56" s="20" t="n">
        <ns0:v>2697856.227447927</ns0:v>
      </ns0:c>
    </ns0:row>
    <ns0:row r="57" ht="32" customHeight="1">
      <ns0:c r="A57" s="20" t="inlineStr">
        <ns0:is>
          <ns0:t>round</ns0:t>
        </ns0:is>
      </ns0:c>
      <ns0:c r="B57" s="22" t="n">
        <ns0:v>0.1</ns0:v>
      </ns0:c>
      <ns0:c r="C57" s="20" t="n">
        <ns0:v>0</ns0:v>
      </ns0:c>
      <ns0:c r="D57" s="20" t="inlineStr">
        <ns0:is>
          <ns0:t>floor</ns0:t>
        </ns0:is>
      </ns0:c>
      <ns0:c r="E57" s="20" t="inlineStr">
        <ns0:is>
          <ns0:t>混在・パック50%</ns0:t>
        </ns0:is>
      </ns0:c>
      <ns0:c r="F57" s="22" t="n">
        <ns0:v>0.4</ns0:v>
      </ns0:c>
      <ns0:c r="G57" s="20" t="n">
        <ns0:v>11</ns0:v>
      </ns0:c>
      <ns0:c r="H57" s="20" t="n">
        <ns0:v>11</ns0:v>
      </ns0:c>
      <ns0:c r="I57" s="20" t="n">
        <ns0:v>28</ns0:v>
      </ns0:c>
      <ns0:c r="J57" s="20" t="n">
        <ns0:v>6606.427989909643</ns0:v>
      </ns0:c>
      <ns0:c r="K57" s="20" t="n">
        <ns0:v>1414.16900945269</ns0:v>
      </ns0:c>
      <ns0:c r="L57" s="20" t="n">
        <ns0:v>247468.6996370002</ns0:v>
      </ns0:c>
      <ns0:c r="M57" s="20" t="n">
        <ns0:v>69522.4821312117</ns0:v>
      </ns0:c>
      <ns0:c r="N57" s="20" t="n">
        <ns0:v>-614.9927394495971</ns0:v>
      </ns0:c>
      <ns0:c r="O57" s="20" t="n">
        <ns0:v>73739.7002920481</ns0:v>
      </ns0:c>
      <ns0:c r="P57" s="20" t="n">
        <ns0:v>143240.1235709521</ns0:v>
      </ns0:c>
      <ns0:c r="Q57" s="20" t="n">
        <ns0:v>316991.1817682119</ns0:v>
      </ns0:c>
      <ns0:c r="R57" s="20" t="n">
        <ns0:v>985995.4145572513</ns0:v>
      </ns0:c>
      <ns0:c r="S57" s="20" t="n">
        <ns0:v>3380510.22931889</ns0:v>
      </ns0:c>
    </ns0:row>
    <ns0:row r="58" ht="32" customHeight="1">
      <ns0:c r="A58" s="20" t="inlineStr">
        <ns0:is>
          <ns0:t>round</ns0:t>
        </ns0:is>
      </ns0:c>
      <ns0:c r="B58" s="22" t="n">
        <ns0:v>0.1</ns0:v>
      </ns0:c>
      <ns0:c r="C58" s="20" t="n">
        <ns0:v>0</ns0:v>
      </ns0:c>
      <ns0:c r="D58" s="20" t="inlineStr">
        <ns0:is>
          <ns0:t>floor</ns0:t>
        </ns0:is>
      </ns0:c>
      <ns0:c r="E58" s="20" t="inlineStr">
        <ns0:is>
          <ns0:t>混在・パック50%</ns0:t>
        </ns0:is>
      </ns0:c>
      <ns0:c r="F58" s="22" t="n">
        <ns0:v>0.5</ns0:v>
      </ns0:c>
      <ns0:c r="G58" s="20" t="n">
        <ns0:v>11</ns0:v>
      </ns0:c>
      <ns0:c r="H58" s="20" t="n">
        <ns0:v>11</ns0:v>
      </ns0:c>
      <ns0:c r="I58" s="20" t="n">
        <ns0:v>31</ns0:v>
      </ns0:c>
      <ns0:c r="J58" s="20" t="n">
        <ns0:v>6606.427989909643</ns0:v>
      </ns0:c>
      <ns0:c r="K58" s="20" t="n">
        <ns0:v>1767.711261815863</ns0:v>
      </ns0:c>
      <ns0:c r="L58" s="20" t="n">
        <ns0:v>220468.3967263742</ns0:v>
      </ns0:c>
      <ns0:c r="M58" s="20" t="n">
        <ns0:v>61168.5598055205</ns0:v>
      </ns0:c>
      <ns0:c r="N58" s="20" t="n">
        <ns0:v>-4150.415263081326</ns0:v>
      </ns0:c>
      <ns0:c r="O58" s="20" t="n">
        <ns0:v>63133.43272115293</ns0:v>
      </ns0:c>
      <ns0:c r="P58" s="20" t="n">
        <ns0:v>125563.0109527934</ns0:v>
      </ns0:c>
      <ns0:c r="Q58" s="20" t="n">
        <ns0:v>281636.9565318947</ns0:v>
      </ns0:c>
      <ns0:c r="R58" s="20" t="n">
        <ns0:v>879932.7388482995</ns0:v>
      </ns0:c>
      <ns0:c r="S58" s="20" t="n">
        <ns0:v>3026967.976955717</ns0:v>
      </ns0:c>
    </ns0:row>
    <ns0:row r="59" ht="32" customHeight="1">
      <ns0:c r="A59" s="20" t="inlineStr">
        <ns0:is>
          <ns0:t>round</ns0:t>
        </ns0:is>
      </ns0:c>
      <ns0:c r="B59" s="22" t="n">
        <ns0:v>0.1</ns0:v>
      </ns0:c>
      <ns0:c r="C59" s="20" t="n">
        <ns0:v>0</ns0:v>
      </ns0:c>
      <ns0:c r="D59" s="20" t="inlineStr">
        <ns0:is>
          <ns0:t>floor</ns0:t>
        </ns0:is>
      </ns0:c>
      <ns0:c r="E59" s="20" t="inlineStr">
        <ns0:is>
          <ns0:t>混在・パック70%</ns0:t>
        </ns0:is>
      </ns0:c>
      <ns0:c r="F59" s="22" t="n">
        <ns0:v>0.4</ns0:v>
      </ns0:c>
      <ns0:c r="G59" s="20" t="n">
        <ns0:v>10</ns0:v>
      </ns0:c>
      <ns0:c r="H59" s="20" t="n">
        <ns0:v>10</ns0:v>
      </ns0:c>
      <ns0:c r="I59" s="20" t="n">
        <ns0:v>24</ns0:v>
      </ns0:c>
      <ns0:c r="J59" s="20" t="n">
        <ns0:v>7287.208749253048</ns0:v>
      </ns0:c>
      <ns0:c r="K59" s="20" t="n">
        <ns0:v>1530.601964330832</ns0:v>
      </ns0:c>
      <ns0:c r="L59" s="20" t="n">
        <ns0:v>268788.3742244419</ns0:v>
      </ns0:c>
      <ns0:c r="M59" s="20" t="n">
        <ns0:v>84024.80636650254</ns0:v>
      </ns0:c>
      <ns0:c r="N59" s="20" t="n">
        <ns0:v>4183.104987995239</ns0:v>
      </ns0:c>
      <ns0:c r="O59" s="20" t="n">
        <ns0:v>84486.29993886789</ns0:v>
      </ns0:c>
      <ns0:c r="P59" s="20" t="n">
        <ns0:v>161151.1229823183</ns0:v>
      </ns0:c>
      <ns0:c r="Q59" s="20" t="n">
        <ns0:v>352813.1805909445</ns0:v>
      </ns0:c>
      <ns0:c r="R59" s="20" t="n">
        <ns0:v>1093461.411025449</ns0:v>
      </ns0:c>
      <ns0:c r="S59" s="20" t="n">
        <ns0:v>3738730.217546216</ns0:v>
      </ns0:c>
    </ns0:row>
    <ns0:row r="60" ht="32" customHeight="1">
      <ns0:c r="A60" s="20" t="inlineStr">
        <ns0:is>
          <ns0:t>round</ns0:t>
        </ns0:is>
      </ns0:c>
      <ns0:c r="B60" s="22" t="n">
        <ns0:v>0.1</ns0:v>
      </ns0:c>
      <ns0:c r="C60" s="20" t="n">
        <ns0:v>0</ns0:v>
      </ns0:c>
      <ns0:c r="D60" s="20" t="inlineStr">
        <ns0:is>
          <ns0:t>floor</ns0:t>
        </ns0:is>
      </ns0:c>
      <ns0:c r="E60" s="20" t="inlineStr">
        <ns0:is>
          <ns0:t>混在・パック70%</ns0:t>
        </ns0:is>
      </ns0:c>
      <ns0:c r="F60" s="22" t="n">
        <ns0:v>0.5</ns0:v>
      </ns0:c>
      <ns0:c r="G60" s="20" t="n">
        <ns0:v>10</ns0:v>
      </ns0:c>
      <ns0:c r="H60" s="20" t="n">
        <ns0:v>10</ns0:v>
      </ns0:c>
      <ns0:c r="I60" s="20" t="n">
        <ns0:v>27</ns0:v>
      </ns0:c>
      <ns0:c r="J60" s="20" t="n">
        <ns0:v>7287.208749253048</ns0:v>
      </ns0:c>
      <ns0:c r="K60" s="20" t="n">
        <ns0:v>1913.25245541354</ns0:v>
      </ns0:c>
      <ns0:c r="L60" s="20" t="n">
        <ns0:v>239926.4976355991</ns0:v>
      </ns0:c>
      <ns0:c r="M60" s="20" t="n">
        <ns0:v>74621.63384707467</ns0:v>
      </ns0:c>
      <ns0:c r="N60" s="20" t="n">
        <ns0:v>356.6000771681556</ns0:v>
      </ns0:c>
      <ns0:c r="O60" s="20" t="n">
        <ns0:v>73006.78520638666</ns0:v>
      </ns0:c>
      <ns0:c r="P60" s="20" t="n">
        <ns0:v>142018.598428183</ns0:v>
      </ns0:c>
      <ns0:c r="Q60" s="20" t="n">
        <ns0:v>314548.1314826737</ns0:v>
      </ns0:c>
      <ns0:c r="R60" s="20" t="n">
        <ns0:v>978666.2637006368</ns0:v>
      </ns0:c>
      <ns0:c r="S60" s="20" t="n">
        <ns0:v>3356079.726463507</ns0:v>
      </ns0:c>
    </ns0:row>
    <ns0:row r="61" ht="32" customHeight="1">
      <ns0:c r="A61" s="20" t="inlineStr">
        <ns0:is>
          <ns0:t>round</ns0:t>
        </ns0:is>
      </ns0:c>
      <ns0:c r="B61" s="22" t="n">
        <ns0:v>0.1</ns0:v>
      </ns0:c>
      <ns0:c r="C61" s="20" t="n">
        <ns0:v>0</ns0:v>
      </ns0:c>
      <ns0:c r="D61" s="20" t="inlineStr">
        <ns0:is>
          <ns0:t>add</ns0:t>
        </ns0:is>
      </ns0:c>
      <ns0:c r="E61" s="20" t="inlineStr">
        <ns0:is>
          <ns0:t>パック単独</ns0:t>
        </ns0:is>
      </ns0:c>
      <ns0:c r="F61" s="22" t="n">
        <ns0:v>0.4</ns0:v>
      </ns0:c>
      <ns0:c r="G61" s="20" t="n">
        <ns0:v>13</ns0:v>
      </ns0:c>
      <ns0:c r="H61" s="20" t="n">
        <ns0:v>13</ns0:v>
      </ns0:c>
      <ns0:c r="I61" s="20" t="n">
        <ns0:v>21</ns0:v>
      </ns0:c>
      <ns0:c r="J61" s="20" t="n">
        <ns0:v>8308.379888268155</ns0:v>
      </ns0:c>
      <ns0:c r="K61" s="20" t="n">
        <ns0:v>1705.251396648044</ns0:v>
      </ns0:c>
      <ns0:c r="L61" s="20" t="n">
        <ns0:v>278267.8861056046</ns0:v>
      </ns0:c>
      <ns0:c r="M61" s="20" t="n">
        <ns0:v>105778.2927194388</ns0:v>
      </ns0:c>
      <ns0:c r="N61" s="20" t="n">
        <ns0:v>-2805.223281172677</ns0:v>
      </ns0:c>
      <ns0:c r="O61" s="20" t="n">
        <ns0:v>78106.19940909758</ns0:v>
      </ns0:c>
      <ns0:c r="P61" s="20" t="n">
        <ns0:v>165517.6220993678</ns0:v>
      </ns0:c>
      <ns0:c r="Q61" s="20" t="n">
        <ns0:v>384046.1788250434</ns0:v>
      </ns0:c>
      <ns0:c r="R61" s="20" t="n">
        <ns0:v>1232160.405727745</ns0:v>
      </ns0:c>
      <ns0:c r="S61" s="20" t="n">
        <ns0:v>4253560.199887205</ns0:v>
      </ns0:c>
    </ns0:row>
    <ns0:row r="62" ht="32" customHeight="1">
      <ns0:c r="A62" s="20" t="inlineStr">
        <ns0:is>
          <ns0:t>round</ns0:t>
        </ns0:is>
      </ns0:c>
      <ns0:c r="B62" s="22" t="n">
        <ns0:v>0.1</ns0:v>
      </ns0:c>
      <ns0:c r="C62" s="20" t="n">
        <ns0:v>0</ns0:v>
      </ns0:c>
      <ns0:c r="D62" s="20" t="inlineStr">
        <ns0:is>
          <ns0:t>add</ns0:t>
        </ns0:is>
      </ns0:c>
      <ns0:c r="E62" s="20" t="inlineStr">
        <ns0:is>
          <ns0:t>パック単独</ns0:t>
        </ns0:is>
      </ns0:c>
      <ns0:c r="F62" s="22" t="n">
        <ns0:v>0.5</ns0:v>
      </ns0:c>
      <ns0:c r="G62" s="20" t="n">
        <ns0:v>14</ns0:v>
      </ns0:c>
      <ns0:c r="H62" s="20" t="n">
        <ns0:v>14</ns0:v>
      </ns0:c>
      <ns0:c r="I62" s="20" t="n">
        <ns0:v>22</ns0:v>
      </ns0:c>
      <ns0:c r="J62" s="20" t="n">
        <ns0:v>8308.379888268155</ns0:v>
      </ns0:c>
      <ns0:c r="K62" s="20" t="n">
        <ns0:v>2131.564245810056</ns0:v>
      </ns0:c>
      <ns0:c r="L62" s="20" t="n">
        <ns0:v>246613.6489994364</ns0:v>
      </ns0:c>
      <ns0:c r="M62" s="20" t="n">
        <ns0:v>94801.24490940597</ns0:v>
      </ns0:c>
      <ns0:c r="N62" s="20" t="n">
        <ns0:v>-7068.351772792788</ns0:v>
      </ns0:c>
      <ns0:c r="O62" s="20" t="n">
        <ns0:v>65316.81393423722</ns0:v>
      </ns0:c>
      <ns0:c r="P62" s="20" t="n">
        <ns0:v>144201.9796412673</ns0:v>
      </ns0:c>
      <ns0:c r="Q62" s="20" t="n">
        <ns0:v>341414.8939088424</ns0:v>
      </ns0:c>
      <ns0:c r="R62" s="20" t="n">
        <ns0:v>1104266.550979143</ns0:v>
      </ns0:c>
      <ns0:c r="S62" s="20" t="n">
        <ns0:v>3827247.350725194</ns0:v>
      </ns0:c>
    </ns0:row>
    <ns0:row r="63" ht="32" customHeight="1">
      <ns0:c r="A63" s="20" t="inlineStr">
        <ns0:is>
          <ns0:t>round</ns0:t>
        </ns0:is>
      </ns0:c>
      <ns0:c r="B63" s="22" t="n">
        <ns0:v>0.1</ns0:v>
      </ns0:c>
      <ns0:c r="C63" s="20" t="n">
        <ns0:v>0</ns0:v>
      </ns0:c>
      <ns0:c r="D63" s="20" t="inlineStr">
        <ns0:is>
          <ns0:t>add</ns0:t>
        </ns0:is>
      </ns0:c>
      <ns0:c r="E63" s="20" t="inlineStr">
        <ns0:is>
          <ns0:t>混在・パック30%</ns0:t>
        </ns0:is>
      </ns0:c>
      <ns0:c r="F63" s="22" t="n">
        <ns0:v>0.4</ns0:v>
      </ns0:c>
      <ns0:c r="G63" s="20" t="n">
        <ns0:v>16</ns0:v>
      </ns0:c>
      <ns0:c r="H63" s="20" t="n">
        <ns0:v>18</ns0:v>
      </ns0:c>
      <ns0:c r="I63" s="20" t="n">
        <ns0:v>33</ns0:v>
      </ns0:c>
      <ns0:c r="J63" s="20" t="n">
        <ns0:v>5925.647230566237</ns0:v>
      </ns0:c>
      <ns0:c r="K63" s="20" t="n">
        <ns0:v>1297.736054574549</ns0:v>
      </ns0:c>
      <ns0:c r="L63" s="20" t="n">
        <ns0:v>203649.0250495584</ns0:v>
      </ns0:c>
      <ns0:c r="M63" s="20" t="n">
        <ns0:v>55020.15789592083</ns0:v>
      </ns0:c>
      <ns0:c r="N63" s="20" t="n">
        <ns0:v>-15342.92286912908</ns0:v>
      </ns0:c>
      <ns0:c r="O63" s="20" t="n">
        <ns0:v>40493.10064522833</ns0:v>
      </ns0:c>
      <ns0:c r="P63" s="20" t="n">
        <ns0:v>102829.1241595857</ns0:v>
      </ns0:c>
      <ns0:c r="Q63" s="20" t="n">
        <ns0:v>258669.1829454793</ns0:v>
      </ns0:c>
      <ns0:c r="R63" s="20" t="n">
        <ns0:v>856029.4180890536</ns0:v>
      </ns0:c>
      <ns0:c r="S63" s="20" t="n">
        <ns0:v>2999790.241091563</ns0:v>
      </ns0:c>
    </ns0:row>
    <ns0:row r="64" ht="32" customHeight="1">
      <ns0:c r="A64" s="20" t="inlineStr">
        <ns0:is>
          <ns0:t>round</ns0:t>
        </ns0:is>
      </ns0:c>
      <ns0:c r="B64" s="22" t="n">
        <ns0:v>0.1</ns0:v>
      </ns0:c>
      <ns0:c r="C64" s="20" t="n">
        <ns0:v>0</ns0:v>
      </ns0:c>
      <ns0:c r="D64" s="20" t="inlineStr">
        <ns0:is>
          <ns0:t>add</ns0:t>
        </ns0:is>
      </ns0:c>
      <ns0:c r="E64" s="20" t="inlineStr">
        <ns0:is>
          <ns0:t>混在・パック30%</ns0:t>
        </ns0:is>
      </ns0:c>
      <ns0:c r="F64" s="22" t="n">
        <ns0:v>0.5</ns0:v>
      </ns0:c>
      <ns0:c r="G64" s="20" t="n">
        <ns0:v>19</ns0:v>
      </ns0:c>
      <ns0:c r="H64" s="20" t="n">
        <ns0:v>19</ns0:v>
      </ns0:c>
      <ns0:c r="I64" s="20" t="n">
        <ns0:v>36</ns0:v>
      </ns0:c>
      <ns0:c r="J64" s="20" t="n">
        <ns0:v>5925.647230566237</ns0:v>
      </ns0:c>
      <ns0:c r="K64" s="20" t="n">
        <ns0:v>1622.170068218186</ns0:v>
      </ns0:c>
      <ns0:c r="L64" s="20" t="n">
        <ns0:v>178510.2958171493</ns0:v>
      </ns0:c>
      <ns0:c r="M64" s="20" t="n">
        <ns0:v>47715.48576396626</ns0:v>
      </ns0:c>
      <ns0:c r="N64" s="20" t="n">
        <ns0:v>-18587.26300556545</ns0:v>
      </ns0:c>
      <ns0:c r="O64" s="20" t="n">
        <ns0:v>30760.08023591921</ns0:v>
      </ns0:c>
      <ns0:c r="P64" s="20" t="n">
        <ns0:v>86607.42347740385</ns0:v>
      </ns0:c>
      <ns0:c r="Q64" s="20" t="n">
        <ns0:v>226225.7815811155</ns0:v>
      </ns0:c>
      <ns0:c r="R64" s="20" t="n">
        <ns0:v>758699.2139959624</ns0:v>
      </ns0:c>
      <ns0:c r="S64" s="20" t="n">
        <ns0:v>2675356.227447927</ns0:v>
      </ns0:c>
    </ns0:row>
    <ns0:row r="65" ht="32" customHeight="1">
      <ns0:c r="A65" s="20" t="inlineStr">
        <ns0:is>
          <ns0:t>round</ns0:t>
        </ns0:is>
      </ns0:c>
      <ns0:c r="B65" s="22" t="n">
        <ns0:v>0.1</ns0:v>
      </ns0:c>
      <ns0:c r="C65" s="20" t="n">
        <ns0:v>0</ns0:v>
      </ns0:c>
      <ns0:c r="D65" s="20" t="inlineStr">
        <ns0:is>
          <ns0:t>add</ns0:t>
        </ns0:is>
      </ns0:c>
      <ns0:c r="E65" s="20" t="inlineStr">
        <ns0:is>
          <ns0:t>混在・パック50%</ns0:t>
        </ns0:is>
      </ns0:c>
      <ns0:c r="F65" s="22" t="n">
        <ns0:v>0.4</ns0:v>
      </ns0:c>
      <ns0:c r="G65" s="20" t="n">
        <ns0:v>14</ns0:v>
      </ns0:c>
      <ns0:c r="H65" s="20" t="n">
        <ns0:v>16</ns0:v>
      </ns0:c>
      <ns0:c r="I65" s="20" t="n">
        <ns0:v>28</ns0:v>
      </ns0:c>
      <ns0:c r="J65" s="20" t="n">
        <ns0:v>6606.427989909643</ns0:v>
      </ns0:c>
      <ns0:c r="K65" s="20" t="n">
        <ns0:v>1414.16900945269</ns0:v>
      </ns0:c>
      <ns0:c r="L65" s="20" t="n">
        <ns0:v>224968.6996370002</ns0:v>
      </ns0:c>
      <ns0:c r="M65" s="20" t="n">
        <ns0:v>69522.4821312117</ns0:v>
      </ns0:c>
      <ns0:c r="N65" s="20" t="n">
        <ns0:v>-11760.72298685582</ns0:v>
      </ns0:c>
      <ns0:c r="O65" s="20" t="n">
        <ns0:v>51239.7002920481</ns0:v>
      </ns0:c>
      <ns0:c r="P65" s="20" t="n">
        <ns0:v>120740.1235709521</ns0:v>
      </ns0:c>
      <ns0:c r="Q65" s="20" t="n">
        <ns0:v>294491.1817682119</ns0:v>
      </ns0:c>
      <ns0:c r="R65" s="20" t="n">
        <ns0:v>963495.4145572513</ns0:v>
      </ns0:c>
      <ns0:c r="S65" s="20" t="n">
        <ns0:v>3358010.22931889</ns0:v>
      </ns0:c>
    </ns0:row>
    <ns0:row r="66" ht="32" customHeight="1">
      <ns0:c r="A66" s="20" t="inlineStr">
        <ns0:is>
          <ns0:t>round</ns0:t>
        </ns0:is>
      </ns0:c>
      <ns0:c r="B66" s="22" t="n">
        <ns0:v>0.1</ns0:v>
      </ns0:c>
      <ns0:c r="C66" s="20" t="n">
        <ns0:v>0</ns0:v>
      </ns0:c>
      <ns0:c r="D66" s="20" t="inlineStr">
        <ns0:is>
          <ns0:t>add</ns0:t>
        </ns0:is>
      </ns0:c>
      <ns0:c r="E66" s="20" t="inlineStr">
        <ns0:is>
          <ns0:t>混在・パック50%</ns0:t>
        </ns0:is>
      </ns0:c>
      <ns0:c r="F66" s="22" t="n">
        <ns0:v>0.5</ns0:v>
      </ns0:c>
      <ns0:c r="G66" s="20" t="n">
        <ns0:v>17</ns0:v>
      </ns0:c>
      <ns0:c r="H66" s="20" t="n">
        <ns0:v>17</ns0:v>
      </ns0:c>
      <ns0:c r="I66" s="20" t="n">
        <ns0:v>31</ns0:v>
      </ns0:c>
      <ns0:c r="J66" s="20" t="n">
        <ns0:v>6606.427989909643</ns0:v>
      </ns0:c>
      <ns0:c r="K66" s="20" t="n">
        <ns0:v>1767.711261815863</ns0:v>
      </ns0:c>
      <ns0:c r="L66" s="20" t="n">
        <ns0:v>197968.3967263742</ns0:v>
      </ns0:c>
      <ns0:c r="M66" s="20" t="n">
        <ns0:v>61168.5598055205</ns0:v>
      </ns0:c>
      <ns0:c r="N66" s="20" t="n">
        <ns0:v>-15296.14551048755</ns0:v>
      </ns0:c>
      <ns0:c r="O66" s="20" t="n">
        <ns0:v>40633.43272115292</ns0:v>
      </ns0:c>
      <ns0:c r="P66" s="20" t="n">
        <ns0:v>103063.0109527934</ns0:v>
      </ns0:c>
      <ns0:c r="Q66" s="20" t="n">
        <ns0:v>259136.9565318947</ns0:v>
      </ns0:c>
      <ns0:c r="R66" s="20" t="n">
        <ns0:v>857432.7388482995</ns0:v>
      </ns0:c>
      <ns0:c r="S66" s="20" t="n">
        <ns0:v>3004467.976955717</ns0:v>
      </ns0:c>
    </ns0:row>
    <ns0:row r="67" ht="32" customHeight="1">
      <ns0:c r="A67" s="20" t="inlineStr">
        <ns0:is>
          <ns0:t>round</ns0:t>
        </ns0:is>
      </ns0:c>
      <ns0:c r="B67" s="22" t="n">
        <ns0:v>0.1</ns0:v>
      </ns0:c>
      <ns0:c r="C67" s="20" t="n">
        <ns0:v>0</ns0:v>
      </ns0:c>
      <ns0:c r="D67" s="20" t="inlineStr">
        <ns0:is>
          <ns0:t>add</ns0:t>
        </ns0:is>
      </ns0:c>
      <ns0:c r="E67" s="20" t="inlineStr">
        <ns0:is>
          <ns0:t>混在・パック70%</ns0:t>
        </ns0:is>
      </ns0:c>
      <ns0:c r="F67" s="22" t="n">
        <ns0:v>0.4</ns0:v>
      </ns0:c>
      <ns0:c r="G67" s="20" t="n">
        <ns0:v>14</ns0:v>
      </ns0:c>
      <ns0:c r="H67" s="20" t="n">
        <ns0:v>14</ns0:v>
      </ns0:c>
      <ns0:c r="I67" s="20" t="n">
        <ns0:v>24</ns0:v>
      </ns0:c>
      <ns0:c r="J67" s="20" t="n">
        <ns0:v>7287.208749253048</ns0:v>
      </ns0:c>
      <ns0:c r="K67" s="20" t="n">
        <ns0:v>1530.601964330832</ns0:v>
      </ns0:c>
      <ns0:c r="L67" s="20" t="n">
        <ns0:v>246288.374224442</ns0:v>
      </ns0:c>
      <ns0:c r="M67" s="20" t="n">
        <ns0:v>84024.80636650254</ns0:v>
      </ns0:c>
      <ns0:c r="N67" s="20" t="n">
        <ns0:v>-8178.523104582573</ns0:v>
      </ns0:c>
      <ns0:c r="O67" s="20" t="n">
        <ns0:v>61986.29993886789</ns0:v>
      </ns0:c>
      <ns0:c r="P67" s="20" t="n">
        <ns0:v>138651.1229823184</ns0:v>
      </ns0:c>
      <ns0:c r="Q67" s="20" t="n">
        <ns0:v>330313.1805909445</ns0:v>
      </ns0:c>
      <ns0:c r="R67" s="20" t="n">
        <ns0:v>1070961.411025449</ns0:v>
      </ns0:c>
      <ns0:c r="S67" s="20" t="n">
        <ns0:v>3716230.217546216</ns0:v>
      </ns0:c>
    </ns0:row>
    <ns0:row r="68" ht="32" customHeight="1">
      <ns0:c r="A68" s="20" t="inlineStr">
        <ns0:is>
          <ns0:t>round</ns0:t>
        </ns0:is>
      </ns0:c>
      <ns0:c r="B68" s="22" t="n">
        <ns0:v>0.1</ns0:v>
      </ns0:c>
      <ns0:c r="C68" s="20" t="n">
        <ns0:v>0</ns0:v>
      </ns0:c>
      <ns0:c r="D68" s="20" t="inlineStr">
        <ns0:is>
          <ns0:t>add</ns0:t>
        </ns0:is>
      </ns0:c>
      <ns0:c r="E68" s="20" t="inlineStr">
        <ns0:is>
          <ns0:t>混在・パック70%</ns0:t>
        </ns0:is>
      </ns0:c>
      <ns0:c r="F68" s="22" t="n">
        <ns0:v>0.5</ns0:v>
      </ns0:c>
      <ns0:c r="G68" s="20" t="n">
        <ns0:v>16</ns0:v>
      </ns0:c>
      <ns0:c r="H68" s="20" t="n">
        <ns0:v>16</ns0:v>
      </ns0:c>
      <ns0:c r="I68" s="20" t="n">
        <ns0:v>27</ns0:v>
      </ns0:c>
      <ns0:c r="J68" s="20" t="n">
        <ns0:v>7287.208749253048</ns0:v>
      </ns0:c>
      <ns0:c r="K68" s="20" t="n">
        <ns0:v>1913.25245541354</ns0:v>
      </ns0:c>
      <ns0:c r="L68" s="20" t="n">
        <ns0:v>217426.4976355991</ns0:v>
      </ns0:c>
      <ns0:c r="M68" s="20" t="n">
        <ns0:v>74621.63384707467</ns0:v>
      </ns0:c>
      <ns0:c r="N68" s="20" t="n">
        <ns0:v>-12005.02801540966</ns0:v>
      </ns0:c>
      <ns0:c r="O68" s="20" t="n">
        <ns0:v>50506.78520638664</ns0:v>
      </ns0:c>
      <ns0:c r="P68" s="20" t="n">
        <ns0:v>119518.598428183</ns0:v>
      </ns0:c>
      <ns0:c r="Q68" s="20" t="n">
        <ns0:v>292048.1314826738</ns0:v>
      </ns0:c>
      <ns0:c r="R68" s="20" t="n">
        <ns0:v>956166.2637006368</ns0:v>
      </ns0:c>
      <ns0:c r="S68" s="20" t="n">
        <ns0:v>3333579.726463507</ns0:v>
      </ns0:c>
    </ns0:row>
    <ns0:row r="69" ht="32" customHeight="1">
      <ns0:c r="A69" s="20" t="inlineStr">
        <ns0:is>
          <ns0:t>round</ns0:t>
        </ns0:is>
      </ns0:c>
      <ns0:c r="B69" s="22" t="n">
        <ns0:v>0.2</ns0:v>
      </ns0:c>
      <ns0:c r="C69" s="20" t="n">
        <ns0:v>1</ns0:v>
      </ns0:c>
      <ns0:c r="D69" s="20" t="inlineStr">
        <ns0:is>
          <ns0:t>floor</ns0:t>
        </ns0:is>
      </ns0:c>
      <ns0:c r="E69" s="20" t="inlineStr">
        <ns0:is>
          <ns0:t>パック単独</ns0:t>
        </ns0:is>
      </ns0:c>
      <ns0:c r="F69" s="22" t="n">
        <ns0:v>0.4</ns0:v>
      </ns0:c>
      <ns0:c r="G69" s="20" t="n">
        <ns0:v>20</ns0:v>
      </ns0:c>
      <ns0:c r="H69" s="20" t="n">
        <ns0:v>20</ns0:v>
      </ns0:c>
      <ns0:c r="I69" s="20" t="n">
        <ns0:v>187</ns0:v>
      </ns0:c>
      <ns0:c r="J69" s="20" t="n">
        <ns0:v>8308.379888268157</ns0:v>
      </ns0:c>
      <ns0:c r="K69" s="20" t="n">
        <ns0:v>1705.251396648045</ns0:v>
      </ns0:c>
      <ns0:c r="L69" s="20" t="n">
        <ns0:v>224581.6663663123</ns0:v>
      </ns0:c>
      <ns0:c r="M69" s="20" t="n">
        <ns0:v>-4144.331169646546</ns0:v>
      </ns0:c>
      <ns0:c r="N69" s="20" t="n">
        <ns0:v>-20830.63278367525</ns0:v>
      </ns0:c>
      <ns0:c r="O69" s="20" t="n">
        <ns0:v>27973.54632058425</ns0:v>
      </ns0:c>
      <ns0:c r="P69" s="20" t="n">
        <ns0:v>82963.20028517899</ns0:v>
      </ns0:c>
      <ns0:c r="Q69" s="20" t="n">
        <ns0:v>220437.3351966658</ns0:v>
      </ns0:c>
      <ns0:c r="R69" s="20" t="n">
        <ns0:v>728333.8748426129</ns0:v>
      </ns0:c>
      <ns0:c r="S69" s="20" t="n">
        <ns0:v>2582971.763603426</ns0:v>
      </ns0:c>
    </ns0:row>
    <ns0:row r="70" ht="32" customHeight="1">
      <ns0:c r="A70" s="20" t="inlineStr">
        <ns0:is>
          <ns0:t>round</ns0:t>
        </ns0:is>
      </ns0:c>
      <ns0:c r="B70" s="22" t="n">
        <ns0:v>0.2</ns0:v>
      </ns0:c>
      <ns0:c r="C70" s="20" t="n">
        <ns0:v>1</ns0:v>
      </ns0:c>
      <ns0:c r="D70" s="20" t="inlineStr">
        <ns0:is>
          <ns0:t>floor</ns0:t>
        </ns0:is>
      </ns0:c>
      <ns0:c r="E70" s="20" t="inlineStr">
        <ns0:is>
          <ns0:t>パック単独</ns0:t>
        </ns0:is>
      </ns0:c>
      <ns0:c r="F70" s="22" t="n">
        <ns0:v>0.5</ns0:v>
      </ns0:c>
      <ns0:c r="G70" s="20" t="n">
        <ns0:v>24</ns0:v>
      </ns0:c>
      <ns0:c r="H70" s="20" t="n">
        <ns0:v>24</ns0:v>
      </ns0:c>
      <ns0:c r="I70" s="20" t="n">
        <ns0:v>292</ns0:v>
      </ns0:c>
      <ns0:c r="J70" s="20" t="n">
        <ns0:v>8308.379888268157</ns0:v>
      </ns0:c>
      <ns0:c r="K70" s="20" t="n">
        <ns0:v>2131.564245810056</ns0:v>
      </ns0:c>
      <ns0:c r="L70" s="20" t="n">
        <ns0:v>192927.4292601441</ns0:v>
      </ns0:c>
      <ns0:c r="M70" s="20" t="n">
        <ns0:v>-15121.37897967939</ns0:v>
      </ns0:c>
      <ns0:c r="N70" s="20" t="n">
        <ns0:v>-25093.76127529537</ns0:v>
      </ns0:c>
      <ns0:c r="O70" s="20" t="n">
        <ns0:v>15184.16084572393</ns0:v>
      </ns0:c>
      <ns0:c r="P70" s="20" t="n">
        <ns0:v>61647.55782707844</ns0:v>
      </ns0:c>
      <ns0:c r="Q70" s="20" t="n">
        <ns0:v>177806.0502804647</ns0:v>
      </ns0:c>
      <ns0:c r="R70" s="20" t="n">
        <ns0:v>600440.0200940096</ns0:v>
      </ns0:c>
      <ns0:c r="S70" s="20" t="n">
        <ns0:v>2156658.914441416</ns0:v>
      </ns0:c>
    </ns0:row>
    <ns0:row r="71" ht="32" customHeight="1">
      <ns0:c r="A71" s="20" t="inlineStr">
        <ns0:is>
          <ns0:t>round</ns0:t>
        </ns0:is>
      </ns0:c>
      <ns0:c r="B71" s="22" t="n">
        <ns0:v>0.2</ns0:v>
      </ns0:c>
      <ns0:c r="C71" s="20" t="n">
        <ns0:v>1</ns0:v>
      </ns0:c>
      <ns0:c r="D71" s="20" t="inlineStr">
        <ns0:is>
          <ns0:t>floor</ns0:t>
        </ns0:is>
      </ns0:c>
      <ns0:c r="E71" s="20" t="inlineStr">
        <ns0:is>
          <ns0:t>混在・パック30%</ns0:t>
        </ns0:is>
      </ns0:c>
      <ns0:c r="F71" s="22" t="n">
        <ns0:v>0.4</ns0:v>
      </ns0:c>
      <ns0:c r="G71" s="20" t="n">
        <ns0:v>27</ns0:v>
      </ns0:c>
      <ns0:c r="H71" s="20" t="n">
        <ns0:v>27</ns0:v>
      </ns0:c>
      <ns0:c r="I71" s="20" t="n">
        <ns0:v>267</ns0:v>
      </ns0:c>
      <ns0:c r="J71" s="20" t="n">
        <ns0:v>5925.647230566239</ns0:v>
      </ns0:c>
      <ns0:c r="K71" s="20" t="n">
        <ns0:v>1297.736054574549</ns0:v>
      </ns0:c>
      <ns0:c r="L71" s="20" t="n">
        <ns0:v>168018.6712320539</ns0:v>
      </ns0:c>
      <ns0:c r="M71" s="20" t="n">
        <ns0:v>-13314.36163819947</ns0:v>
      </ns0:c>
      <ns0:c r="N71" s="20" t="n">
        <ns0:v>-31659.57780205695</ns0:v>
      </ns0:c>
      <ns0:c r="O71" s="20" t="n">
        <ns0:v>8253.638639740864</ns0:v>
      </ns0:c>
      <ns0:c r="P71" s="20" t="n">
        <ns0:v>50096.68748377331</ns0:v>
      </ns0:c>
      <ns0:c r="Q71" s="20" t="n">
        <ns0:v>154704.3095938544</ns0:v>
      </ns0:c>
      <ns0:c r="R71" s="20" t="n">
        <ns0:v>531134.7980341786</ns0:v>
      </ns0:c>
      <ns0:c r="S71" s="20" t="n">
        <ns0:v>1925641.507575314</ns0:v>
      </ns0:c>
    </ns0:row>
    <ns0:row r="72" ht="32" customHeight="1">
      <ns0:c r="A72" s="20" t="inlineStr">
        <ns0:is>
          <ns0:t>round</ns0:t>
        </ns0:is>
      </ns0:c>
      <ns0:c r="B72" s="22" t="n">
        <ns0:v>0.2</ns0:v>
      </ns0:c>
      <ns0:c r="C72" s="20" t="n">
        <ns0:v>1</ns0:v>
      </ns0:c>
      <ns0:c r="D72" s="20" t="inlineStr">
        <ns0:is>
          <ns0:t>floor</ns0:t>
        </ns0:is>
      </ns0:c>
      <ns0:c r="E72" s="20" t="inlineStr">
        <ns0:is>
          <ns0:t>混在・パック30%</ns0:t>
        </ns0:is>
      </ns0:c>
      <ns0:c r="F72" s="22" t="n">
        <ns0:v>0.5</ns0:v>
      </ns0:c>
      <ns0:c r="G72" s="20" t="n">
        <ns0:v>31</ns0:v>
      </ns0:c>
      <ns0:c r="H72" s="20" t="n">
        <ns0:v>31</ns0:v>
      </ns0:c>
      <ns0:c r="I72" s="20" t="n">
        <ns0:v>407</ns0:v>
      </ns0:c>
      <ns0:c r="J72" s="20" t="n">
        <ns0:v>5925.647230566239</ns0:v>
      </ns0:c>
      <ns0:c r="K72" s="20" t="n">
        <ns0:v>1622.170068218186</ns0:v>
      </ns0:c>
      <ns0:c r="L72" s="20" t="n">
        <ns0:v>142879.9419996447</ns0:v>
      </ns0:c>
      <ns0:c r="M72" s="20" t="n">
        <ns0:v>-20619.03377015405</ns0:v>
      </ns0:c>
      <ns0:c r="N72" s="20" t="n">
        <ns0:v>-34903.91793849332</ns0:v>
      </ns0:c>
      <ns0:c r="O72" s="20" t="n">
        <ns0:v>-1479.381769568252</ns0:v>
      </ns0:c>
      <ns0:c r="P72" s="20" t="n">
        <ns0:v>33874.98680159144</ns0:v>
      </ns0:c>
      <ns0:c r="Q72" s="20" t="n">
        <ns0:v>122260.9082294907</ns0:v>
      </ns0:c>
      <ns0:c r="R72" s="20" t="n">
        <ns0:v>433804.5939410875</ns0:v>
      </ns0:c>
      <ns0:c r="S72" s="20" t="n">
        <ns0:v>1601207.493931677</ns0:v>
      </ns0:c>
    </ns0:row>
    <ns0:row r="73" ht="32" customHeight="1">
      <ns0:c r="A73" s="20" t="inlineStr">
        <ns0:is>
          <ns0:t>round</ns0:t>
        </ns0:is>
      </ns0:c>
      <ns0:c r="B73" s="22" t="n">
        <ns0:v>0.2</ns0:v>
      </ns0:c>
      <ns0:c r="C73" s="20" t="n">
        <ns0:v>1</ns0:v>
      </ns0:c>
      <ns0:c r="D73" s="20" t="inlineStr">
        <ns0:is>
          <ns0:t>floor</ns0:t>
        </ns0:is>
      </ns0:c>
      <ns0:c r="E73" s="20" t="inlineStr">
        <ns0:is>
          <ns0:t>混在・パック50%</ns0:t>
        </ns0:is>
      </ns0:c>
      <ns0:c r="F73" s="22" t="n">
        <ns0:v>0.4</ns0:v>
      </ns0:c>
      <ns0:c r="G73" s="20" t="n">
        <ns0:v>24</ns0:v>
      </ns0:c>
      <ns0:c r="H73" s="20" t="n">
        <ns0:v>24</ns0:v>
      </ns0:c>
      <ns0:c r="I73" s="20" t="n">
        <ns0:v>238</ns0:v>
      </ns0:c>
      <ns0:c r="J73" s="20" t="n">
        <ns0:v>6606.427989909643</ns0:v>
      </ns0:c>
      <ns0:c r="K73" s="20" t="n">
        <ns0:v>1414.16900945269</ns0:v>
      </ns0:c>
      <ns0:c r="L73" s="20" t="n">
        <ns0:v>184179.5269846991</ns0:v>
      </ns0:c>
      <ns0:c r="M73" s="20" t="n">
        <ns0:v>-10694.35293289864</ns0:v>
      </ns0:c>
      <ns0:c r="N73" s="20" t="n">
        <ns0:v>-28565.59351109074</ns0:v>
      </ns0:c>
      <ns0:c r="O73" s="20" t="n">
        <ns0:v>13887.89797712465</ns0:v>
      </ns0:c>
      <ns0:c r="P73" s="20" t="n">
        <ns0:v>59487.11971274632</ns0:v>
      </ns0:c>
      <ns0:c r="Q73" s="20" t="n">
        <ns0:v>173485.1740518004</ns0:v>
      </ns0:c>
      <ns0:c r="R73" s="20" t="n">
        <ns0:v>587477.3914080169</ns0:v>
      </ns0:c>
      <ns0:c r="S73" s="20" t="n">
        <ns0:v>2113450.152154774</ns0:v>
      </ns0:c>
    </ns0:row>
    <ns0:row r="74" ht="32" customHeight="1">
      <ns0:c r="A74" s="20" t="inlineStr">
        <ns0:is>
          <ns0:t>round</ns0:t>
        </ns0:is>
      </ns0:c>
      <ns0:c r="B74" s="22" t="n">
        <ns0:v>0.2</ns0:v>
      </ns0:c>
      <ns0:c r="C74" s="20" t="n">
        <ns0:v>1</ns0:v>
      </ns0:c>
      <ns0:c r="D74" s="20" t="inlineStr">
        <ns0:is>
          <ns0:t>floor</ns0:t>
        </ns0:is>
      </ns0:c>
      <ns0:c r="E74" s="20" t="inlineStr">
        <ns0:is>
          <ns0:t>混在・パック50%</ns0:t>
        </ns0:is>
      </ns0:c>
      <ns0:c r="F74" s="22" t="n">
        <ns0:v>0.5</ns0:v>
      </ns0:c>
      <ns0:c r="G74" s="20" t="n">
        <ns0:v>29</ns0:v>
      </ns0:c>
      <ns0:c r="H74" s="20" t="n">
        <ns0:v>29</ns0:v>
      </ns0:c>
      <ns0:c r="I74" s="20" t="n">
        <ns0:v>366</ns0:v>
      </ns0:c>
      <ns0:c r="J74" s="20" t="n">
        <ns0:v>6606.427989909643</ns0:v>
      </ns0:c>
      <ns0:c r="K74" s="20" t="n">
        <ns0:v>1767.711261815863</ns0:v>
      </ns0:c>
      <ns0:c r="L74" s="20" t="n">
        <ns0:v>157179.224074073</ns0:v>
      </ns0:c>
      <ns0:c r="M74" s="20" t="n">
        <ns0:v>-19048.27525858985</ns0:v>
      </ns0:c>
      <ns0:c r="N74" s="20" t="n">
        <ns0:v>-32101.01603472247</ns0:v>
      </ns0:c>
      <ns0:c r="O74" s="20" t="n">
        <ns0:v>3281.63040622948</ns0:v>
      </ns0:c>
      <ns0:c r="P74" s="20" t="n">
        <ns0:v>41810.00709458769</ns0:v>
      </ns0:c>
      <ns0:c r="Q74" s="20" t="n">
        <ns0:v>138130.9488154832</ns0:v>
      </ns0:c>
      <ns0:c r="R74" s="20" t="n">
        <ns0:v>481414.7156990652</ns0:v>
      </ns0:c>
      <ns0:c r="S74" s="20" t="n">
        <ns0:v>1759907.899791602</ns0:v>
      </ns0:c>
    </ns0:row>
    <ns0:row r="75" ht="32" customHeight="1">
      <ns0:c r="A75" s="20" t="inlineStr">
        <ns0:is>
          <ns0:t>round</ns0:t>
        </ns0:is>
      </ns0:c>
      <ns0:c r="B75" s="22" t="n">
        <ns0:v>0.2</ns0:v>
      </ns0:c>
      <ns0:c r="C75" s="20" t="n">
        <ns0:v>1</ns0:v>
      </ns0:c>
      <ns0:c r="D75" s="20" t="inlineStr">
        <ns0:is>
          <ns0:t>floor</ns0:t>
        </ns0:is>
      </ns0:c>
      <ns0:c r="E75" s="20" t="inlineStr">
        <ns0:is>
          <ns0:t>混在・パック70%</ns0:t>
        </ns0:is>
      </ns0:c>
      <ns0:c r="F75" s="22" t="n">
        <ns0:v>0.4</ns0:v>
      </ns0:c>
      <ns0:c r="G75" s="20" t="n">
        <ns0:v>23</ns0:v>
      </ns0:c>
      <ns0:c r="H75" s="20" t="n">
        <ns0:v>23</ns0:v>
      </ns0:c>
      <ns0:c r="I75" s="20" t="n">
        <ns0:v>214</ns0:v>
      </ns0:c>
      <ns0:c r="J75" s="20" t="n">
        <ns0:v>7287.208749253048</ns0:v>
      </ns0:c>
      <ns0:c r="K75" s="20" t="n">
        <ns0:v>1530.601964330832</ns0:v>
      </ns0:c>
      <ns0:c r="L75" s="20" t="n">
        <ns0:v>200340.3827373443</ns0:v>
      </ns0:c>
      <ns0:c r="M75" s="20" t="n">
        <ns0:v>-8074.344227597801</ns0:v>
      </ns0:c>
      <ns0:c r="N75" s="20" t="n">
        <ns0:v>-25471.60922012454</ns0:v>
      </ns0:c>
      <ns0:c r="O75" s="20" t="n">
        <ns0:v>19522.15731450851</ns0:v>
      </ns0:c>
      <ns0:c r="P75" s="20" t="n">
        <ns0:v>68877.55194171936</ns0:v>
      </ns0:c>
      <ns0:c r="Q75" s="20" t="n">
        <ns0:v>192266.0385097465</ns0:v>
      </ns0:c>
      <ns0:c r="R75" s="20" t="n">
        <ns0:v>643819.9847818556</ns0:v>
      </ns0:c>
      <ns0:c r="S75" s="20" t="n">
        <ns0:v>2301258.796734236</ns0:v>
      </ns0:c>
    </ns0:row>
    <ns0:row r="76" ht="32" customHeight="1">
      <ns0:c r="A76" s="20" t="inlineStr">
        <ns0:is>
          <ns0:t>round</ns0:t>
        </ns0:is>
      </ns0:c>
      <ns0:c r="B76" s="22" t="n">
        <ns0:v>0.2</ns0:v>
      </ns0:c>
      <ns0:c r="C76" s="20" t="n">
        <ns0:v>1</ns0:v>
      </ns0:c>
      <ns0:c r="D76" s="20" t="inlineStr">
        <ns0:is>
          <ns0:t>floor</ns0:t>
        </ns0:is>
      </ns0:c>
      <ns0:c r="E76" s="20" t="inlineStr">
        <ns0:is>
          <ns0:t>混在・パック70%</ns0:t>
        </ns0:is>
      </ns0:c>
      <ns0:c r="F76" s="22" t="n">
        <ns0:v>0.5</ns0:v>
      </ns0:c>
      <ns0:c r="G76" s="20" t="n">
        <ns0:v>27</ns0:v>
      </ns0:c>
      <ns0:c r="H76" s="20" t="n">
        <ns0:v>27</ns0:v>
      </ns0:c>
      <ns0:c r="I76" s="20" t="n">
        <ns0:v>332</ns0:v>
      </ns0:c>
      <ns0:c r="J76" s="20" t="n">
        <ns0:v>7287.208749253048</ns0:v>
      </ns0:c>
      <ns0:c r="K76" s="20" t="n">
        <ns0:v>1913.25245541354</ns0:v>
      </ns0:c>
      <ns0:c r="L76" s="20" t="n">
        <ns0:v>171478.5061485014</ns0:v>
      </ns0:c>
      <ns0:c r="M76" s="20" t="n">
        <ns0:v>-17477.51674702567</ns0:v>
      </ns0:c>
      <ns0:c r="N76" s="20" t="n">
        <ns0:v>-29298.11413095162</ns0:v>
      </ns0:c>
      <ns0:c r="O76" s="20" t="n">
        <ns0:v>8042.642582027271</ns0:v>
      </ns0:c>
      <ns0:c r="P76" s="20" t="n">
        <ns0:v>49745.02738758398</ns0:v>
      </ns0:c>
      <ns0:c r="Q76" s="20" t="n">
        <ns0:v>154000.9894014758</ns0:v>
      </ns0:c>
      <ns0:c r="R76" s="20" t="n">
        <ns0:v>529024.837457043</ns0:v>
      </ns0:c>
      <ns0:c r="S76" s="20" t="n">
        <ns0:v>1918608.305651528</ns0:v>
      </ns0:c>
    </ns0:row>
    <ns0:row r="77" ht="32" customHeight="1">
      <ns0:c r="A77" s="20" t="inlineStr">
        <ns0:is>
          <ns0:t>round</ns0:t>
        </ns0:is>
      </ns0:c>
      <ns0:c r="B77" s="22" t="n">
        <ns0:v>0.2</ns0:v>
      </ns0:c>
      <ns0:c r="C77" s="20" t="n">
        <ns0:v>1</ns0:v>
      </ns0:c>
      <ns0:c r="D77" s="20" t="inlineStr">
        <ns0:is>
          <ns0:t>add</ns0:t>
        </ns0:is>
      </ns0:c>
      <ns0:c r="E77" s="20" t="inlineStr">
        <ns0:is>
          <ns0:t>パック単独</ns0:t>
        </ns0:is>
      </ns0:c>
      <ns0:c r="F77" s="22" t="n">
        <ns0:v>0.4</ns0:v>
      </ns0:c>
      <ns0:c r="G77" s="20" t="n">
        <ns0:v>29</ns0:v>
      </ns0:c>
      <ns0:c r="H77" s="20" t="n">
        <ns0:v>29</ns0:v>
      </ns0:c>
      <ns0:c r="I77" s="20" t="n">
        <ns0:v>187</ns0:v>
      </ns0:c>
      <ns0:c r="J77" s="20" t="n">
        <ns0:v>8308.379888268157</ns0:v>
      </ns0:c>
      <ns0:c r="K77" s="20" t="n">
        <ns0:v>1705.251396648045</ns0:v>
      </ns0:c>
      <ns0:c r="L77" s="20" t="n">
        <ns0:v>202081.6663663123</ns0:v>
      </ns0:c>
      <ns0:c r="M77" s="20" t="n">
        <ns0:v>-4144.331169646546</ns0:v>
      </ns0:c>
      <ns0:c r="N77" s="20" t="n">
        <ns0:v>-35016.10764401044</ns0:v>
      </ns0:c>
      <ns0:c r="O77" s="20" t="n">
        <ns0:v>5473.546320584246</ns0:v>
      </ns0:c>
      <ns0:c r="P77" s="20" t="n">
        <ns0:v>60463.20028517898</ns0:v>
      </ns0:c>
      <ns0:c r="Q77" s="20" t="n">
        <ns0:v>197937.3351966658</ns0:v>
      </ns0:c>
      <ns0:c r="R77" s="20" t="n">
        <ns0:v>705833.8748426129</ns0:v>
      </ns0:c>
      <ns0:c r="S77" s="20" t="n">
        <ns0:v>2560471.763603426</ns0:v>
      </ns0:c>
    </ns0:row>
    <ns0:row r="78" ht="32" customHeight="1">
      <ns0:c r="A78" s="20" t="inlineStr">
        <ns0:is>
          <ns0:t>round</ns0:t>
        </ns0:is>
      </ns0:c>
      <ns0:c r="B78" s="22" t="n">
        <ns0:v>0.2</ns0:v>
      </ns0:c>
      <ns0:c r="C78" s="20" t="n">
        <ns0:v>1</ns0:v>
      </ns0:c>
      <ns0:c r="D78" s="20" t="inlineStr">
        <ns0:is>
          <ns0:t>add</ns0:t>
        </ns0:is>
      </ns0:c>
      <ns0:c r="E78" s="20" t="inlineStr">
        <ns0:is>
          <ns0:t>パック単独</ns0:t>
        </ns0:is>
      </ns0:c>
      <ns0:c r="F78" s="22" t="n">
        <ns0:v>0.5</ns0:v>
      </ns0:c>
      <ns0:c r="G78" s="20" t="n">
        <ns0:v>34</ns0:v>
      </ns0:c>
      <ns0:c r="H78" s="20" t="n">
        <ns0:v>34</ns0:v>
      </ns0:c>
      <ns0:c r="I78" s="20" t="n">
        <ns0:v>292</ns0:v>
      </ns0:c>
      <ns0:c r="J78" s="20" t="n">
        <ns0:v>8308.379888268157</ns0:v>
      </ns0:c>
      <ns0:c r="K78" s="20" t="n">
        <ns0:v>2131.564245810056</ns0:v>
      </ns0:c>
      <ns0:c r="L78" s="20" t="n">
        <ns0:v>170427.4292601441</ns0:v>
      </ns0:c>
      <ns0:c r="M78" s="20" t="n">
        <ns0:v>-15121.37897967939</ns0:v>
      </ns0:c>
      <ns0:c r="N78" s="20" t="n">
        <ns0:v>-39279.23613563056</ns0:v>
      </ns0:c>
      <ns0:c r="O78" s="20" t="n">
        <ns0:v>-7315.839154276066</ns0:v>
      </ns0:c>
      <ns0:c r="P78" s="20" t="n">
        <ns0:v>39147.55782707844</ns0:v>
      </ns0:c>
      <ns0:c r="Q78" s="20" t="n">
        <ns0:v>155306.0502804647</ns0:v>
      </ns0:c>
      <ns0:c r="R78" s="20" t="n">
        <ns0:v>577940.0200940096</ns0:v>
      </ns0:c>
      <ns0:c r="S78" s="20" t="n">
        <ns0:v>2134158.914441416</ns0:v>
      </ns0:c>
    </ns0:row>
    <ns0:row r="79" ht="32" customHeight="1">
      <ns0:c r="A79" s="20" t="inlineStr">
        <ns0:is>
          <ns0:t>round</ns0:t>
        </ns0:is>
      </ns0:c>
      <ns0:c r="B79" s="22" t="n">
        <ns0:v>0.2</ns0:v>
      </ns0:c>
      <ns0:c r="C79" s="20" t="n">
        <ns0:v>1</ns0:v>
      </ns0:c>
      <ns0:c r="D79" s="20" t="inlineStr">
        <ns0:is>
          <ns0:t>add</ns0:t>
        </ns0:is>
      </ns0:c>
      <ns0:c r="E79" s="20" t="inlineStr">
        <ns0:is>
          <ns0:t>混在・パック30%</ns0:t>
        </ns0:is>
      </ns0:c>
      <ns0:c r="F79" s="22" t="n">
        <ns0:v>0.4</ns0:v>
      </ns0:c>
      <ns0:c r="G79" s="20" t="n">
        <ns0:v>37</ns0:v>
      </ns0:c>
      <ns0:c r="H79" s="20" t="n">
        <ns0:v>37</ns0:v>
      </ns0:c>
      <ns0:c r="I79" s="20" t="n">
        <ns0:v>267</ns0:v>
      </ns0:c>
      <ns0:c r="J79" s="20" t="n">
        <ns0:v>5925.647230566239</ns0:v>
      </ns0:c>
      <ns0:c r="K79" s="20" t="n">
        <ns0:v>1297.736054574549</ns0:v>
      </ns0:c>
      <ns0:c r="L79" s="20" t="n">
        <ns0:v>145518.6712320539</ns0:v>
      </ns0:c>
      <ns0:c r="M79" s="20" t="n">
        <ns0:v>-13314.36163819947</ns0:v>
      </ns0:c>
      <ns0:c r="N79" s="20" t="n">
        <ns0:v>-41589.41020429158</ns0:v>
      </ns0:c>
      <ns0:c r="O79" s="20" t="n">
        <ns0:v>-14246.36136025914</ns0:v>
      </ns0:c>
      <ns0:c r="P79" s="20" t="n">
        <ns0:v>27596.6874837733</ns0:v>
      </ns0:c>
      <ns0:c r="Q79" s="20" t="n">
        <ns0:v>132204.3095938544</ns0:v>
      </ns0:c>
      <ns0:c r="R79" s="20" t="n">
        <ns0:v>508634.7980341786</ns0:v>
      </ns0:c>
      <ns0:c r="S79" s="20" t="n">
        <ns0:v>1903141.507575314</ns0:v>
      </ns0:c>
    </ns0:row>
    <ns0:row r="80" ht="32" customHeight="1">
      <ns0:c r="A80" s="20" t="inlineStr">
        <ns0:is>
          <ns0:t>round</ns0:t>
        </ns0:is>
      </ns0:c>
      <ns0:c r="B80" s="22" t="n">
        <ns0:v>0.2</ns0:v>
      </ns0:c>
      <ns0:c r="C80" s="20" t="n">
        <ns0:v>1</ns0:v>
      </ns0:c>
      <ns0:c r="D80" s="20" t="inlineStr">
        <ns0:is>
          <ns0:t>add</ns0:t>
        </ns0:is>
      </ns0:c>
      <ns0:c r="E80" s="20" t="inlineStr">
        <ns0:is>
          <ns0:t>混在・パック30%</ns0:t>
        </ns0:is>
      </ns0:c>
      <ns0:c r="F80" s="22" t="n">
        <ns0:v>0.5</ns0:v>
      </ns0:c>
      <ns0:c r="G80" s="20" t="n">
        <ns0:v>44</ns0:v>
      </ns0:c>
      <ns0:c r="H80" s="20" t="n">
        <ns0:v>44</ns0:v>
      </ns0:c>
      <ns0:c r="I80" s="20" t="n">
        <ns0:v>407</ns0:v>
      </ns0:c>
      <ns0:c r="J80" s="20" t="n">
        <ns0:v>5925.647230566239</ns0:v>
      </ns0:c>
      <ns0:c r="K80" s="20" t="n">
        <ns0:v>1622.170068218186</ns0:v>
      </ns0:c>
      <ns0:c r="L80" s="20" t="n">
        <ns0:v>120379.9419996447</ns0:v>
      </ns0:c>
      <ns0:c r="M80" s="20" t="n">
        <ns0:v>-20619.03377015405</ns0:v>
      </ns0:c>
      <ns0:c r="N80" s="20" t="n">
        <ns0:v>-44833.75034072796</ns0:v>
      </ns0:c>
      <ns0:c r="O80" s="20" t="n">
        <ns0:v>-23979.38176956825</ns0:v>
      </ns0:c>
      <ns0:c r="P80" s="20" t="n">
        <ns0:v>11374.98680159143</ns0:v>
      </ns0:c>
      <ns0:c r="Q80" s="20" t="n">
        <ns0:v>99760.90822949068</ns0:v>
      </ns0:c>
      <ns0:c r="R80" s="20" t="n">
        <ns0:v>411304.5939410875</ns0:v>
      </ns0:c>
      <ns0:c r="S80" s="20" t="n">
        <ns0:v>1578707.493931677</ns0:v>
      </ns0:c>
    </ns0:row>
    <ns0:row r="81" ht="32" customHeight="1">
      <ns0:c r="A81" s="20" t="inlineStr">
        <ns0:is>
          <ns0:t>round</ns0:t>
        </ns0:is>
      </ns0:c>
      <ns0:c r="B81" s="22" t="n">
        <ns0:v>0.2</ns0:v>
      </ns0:c>
      <ns0:c r="C81" s="20" t="n">
        <ns0:v>1</ns0:v>
      </ns0:c>
      <ns0:c r="D81" s="20" t="inlineStr">
        <ns0:is>
          <ns0:t>add</ns0:t>
        </ns0:is>
      </ns0:c>
      <ns0:c r="E81" s="20" t="inlineStr">
        <ns0:is>
          <ns0:t>混在・パック50%</ns0:t>
        </ns0:is>
      </ns0:c>
      <ns0:c r="F81" s="22" t="n">
        <ns0:v>0.4</ns0:v>
      </ns0:c>
      <ns0:c r="G81" s="20" t="n">
        <ns0:v>34</ns0:v>
      </ns0:c>
      <ns0:c r="H81" s="20" t="n">
        <ns0:v>34</ns0:v>
      </ns0:c>
      <ns0:c r="I81" s="20" t="n">
        <ns0:v>238</ns0:v>
      </ns0:c>
      <ns0:c r="J81" s="20" t="n">
        <ns0:v>6606.427989909643</ns0:v>
      </ns0:c>
      <ns0:c r="K81" s="20" t="n">
        <ns0:v>1414.16900945269</ns0:v>
      </ns0:c>
      <ns0:c r="L81" s="20" t="n">
        <ns0:v>161679.5269846991</ns0:v>
      </ns0:c>
      <ns0:c r="M81" s="20" t="n">
        <ns0:v>-10694.35293289864</ns0:v>
      </ns0:c>
      <ns0:c r="N81" s="20" t="n">
        <ns0:v>-39711.32375849697</ns0:v>
      </ns0:c>
      <ns0:c r="O81" s="20" t="n">
        <ns0:v>-8612.102022875348</ns0:v>
      </ns0:c>
      <ns0:c r="P81" s="20" t="n">
        <ns0:v>36987.11971274632</ns0:v>
      </ns0:c>
      <ns0:c r="Q81" s="20" t="n">
        <ns0:v>150985.1740518004</ns0:v>
      </ns0:c>
      <ns0:c r="R81" s="20" t="n">
        <ns0:v>564977.3914080169</ns0:v>
      </ns0:c>
      <ns0:c r="S81" s="20" t="n">
        <ns0:v>2090950.152154774</ns0:v>
      </ns0:c>
    </ns0:row>
    <ns0:row r="82" ht="32" customHeight="1">
      <ns0:c r="A82" s="20" t="inlineStr">
        <ns0:is>
          <ns0:t>round</ns0:t>
        </ns0:is>
      </ns0:c>
      <ns0:c r="B82" s="22" t="n">
        <ns0:v>0.2</ns0:v>
      </ns0:c>
      <ns0:c r="C82" s="20" t="n">
        <ns0:v>1</ns0:v>
      </ns0:c>
      <ns0:c r="D82" s="20" t="inlineStr">
        <ns0:is>
          <ns0:t>add</ns0:t>
        </ns0:is>
      </ns0:c>
      <ns0:c r="E82" s="20" t="inlineStr">
        <ns0:is>
          <ns0:t>混在・パック50%</ns0:t>
        </ns0:is>
      </ns0:c>
      <ns0:c r="F82" s="22" t="n">
        <ns0:v>0.5</ns0:v>
      </ns0:c>
      <ns0:c r="G82" s="20" t="n">
        <ns0:v>40</ns0:v>
      </ns0:c>
      <ns0:c r="H82" s="20" t="n">
        <ns0:v>40</ns0:v>
      </ns0:c>
      <ns0:c r="I82" s="20" t="n">
        <ns0:v>366</ns0:v>
      </ns0:c>
      <ns0:c r="J82" s="20" t="n">
        <ns0:v>6606.427989909643</ns0:v>
      </ns0:c>
      <ns0:c r="K82" s="20" t="n">
        <ns0:v>1767.711261815863</ns0:v>
      </ns0:c>
      <ns0:c r="L82" s="20" t="n">
        <ns0:v>134679.224074073</ns0:v>
      </ns0:c>
      <ns0:c r="M82" s="20" t="n">
        <ns0:v>-19048.27525858985</ns0:v>
      </ns0:c>
      <ns0:c r="N82" s="20" t="n">
        <ns0:v>-43246.7462821287</ns0:v>
      </ns0:c>
      <ns0:c r="O82" s="20" t="n">
        <ns0:v>-19218.36959377052</ns0:v>
      </ns0:c>
      <ns0:c r="P82" s="20" t="n">
        <ns0:v>19310.00709458769</ns0:v>
      </ns0:c>
      <ns0:c r="Q82" s="20" t="n">
        <ns0:v>115630.9488154832</ns0:v>
      </ns0:c>
      <ns0:c r="R82" s="20" t="n">
        <ns0:v>458914.7156990652</ns0:v>
      </ns0:c>
      <ns0:c r="S82" s="20" t="n">
        <ns0:v>1737407.899791602</ns0:v>
      </ns0:c>
    </ns0:row>
    <ns0:row r="83" ht="32" customHeight="1">
      <ns0:c r="A83" s="20" t="inlineStr">
        <ns0:is>
          <ns0:t>round</ns0:t>
        </ns0:is>
      </ns0:c>
      <ns0:c r="B83" s="22" t="n">
        <ns0:v>0.2</ns0:v>
      </ns0:c>
      <ns0:c r="C83" s="20" t="n">
        <ns0:v>1</ns0:v>
      </ns0:c>
      <ns0:c r="D83" s="20" t="inlineStr">
        <ns0:is>
          <ns0:t>add</ns0:t>
        </ns0:is>
      </ns0:c>
      <ns0:c r="E83" s="20" t="inlineStr">
        <ns0:is>
          <ns0:t>混在・パック70%</ns0:t>
        </ns0:is>
      </ns0:c>
      <ns0:c r="F83" s="22" t="n">
        <ns0:v>0.4</ns0:v>
      </ns0:c>
      <ns0:c r="G83" s="20" t="n">
        <ns0:v>32</ns0:v>
      </ns0:c>
      <ns0:c r="H83" s="20" t="n">
        <ns0:v>32</ns0:v>
      </ns0:c>
      <ns0:c r="I83" s="20" t="n">
        <ns0:v>214</ns0:v>
      </ns0:c>
      <ns0:c r="J83" s="20" t="n">
        <ns0:v>7287.208749253048</ns0:v>
      </ns0:c>
      <ns0:c r="K83" s="20" t="n">
        <ns0:v>1530.601964330832</ns0:v>
      </ns0:c>
      <ns0:c r="L83" s="20" t="n">
        <ns0:v>177840.3827373443</ns0:v>
      </ns0:c>
      <ns0:c r="M83" s="20" t="n">
        <ns0:v>-8074.344227597801</ns0:v>
      </ns0:c>
      <ns0:c r="N83" s="20" t="n">
        <ns0:v>-37833.23731270236</ns0:v>
      </ns0:c>
      <ns0:c r="O83" s="20" t="n">
        <ns0:v>-2977.842685491501</ns0:v>
      </ns0:c>
      <ns0:c r="P83" s="20" t="n">
        <ns0:v>46377.55194171937</ns0:v>
      </ns0:c>
      <ns0:c r="Q83" s="20" t="n">
        <ns0:v>169766.0385097465</ns0:v>
      </ns0:c>
      <ns0:c r="R83" s="20" t="n">
        <ns0:v>621319.9847818556</ns0:v>
      </ns0:c>
      <ns0:c r="S83" s="20" t="n">
        <ns0:v>2278758.796734236</ns0:v>
      </ns0:c>
    </ns0:row>
    <ns0:row r="84" ht="32" customHeight="1">
      <ns0:c r="A84" s="20" t="inlineStr">
        <ns0:is>
          <ns0:t>round</ns0:t>
        </ns0:is>
      </ns0:c>
      <ns0:c r="B84" s="22" t="n">
        <ns0:v>0.2</ns0:v>
      </ns0:c>
      <ns0:c r="C84" s="20" t="n">
        <ns0:v>1</ns0:v>
      </ns0:c>
      <ns0:c r="D84" s="20" t="inlineStr">
        <ns0:is>
          <ns0:t>add</ns0:t>
        </ns0:is>
      </ns0:c>
      <ns0:c r="E84" s="20" t="inlineStr">
        <ns0:is>
          <ns0:t>混在・パック70%</ns0:t>
        </ns0:is>
      </ns0:c>
      <ns0:c r="F84" s="22" t="n">
        <ns0:v>0.5</ns0:v>
      </ns0:c>
      <ns0:c r="G84" s="20" t="n">
        <ns0:v>37</ns0:v>
      </ns0:c>
      <ns0:c r="H84" s="20" t="n">
        <ns0:v>37</ns0:v>
      </ns0:c>
      <ns0:c r="I84" s="20" t="n">
        <ns0:v>332</ns0:v>
      </ns0:c>
      <ns0:c r="J84" s="20" t="n">
        <ns0:v>7287.208749253048</ns0:v>
      </ns0:c>
      <ns0:c r="K84" s="20" t="n">
        <ns0:v>1913.25245541354</ns0:v>
      </ns0:c>
      <ns0:c r="L84" s="20" t="n">
        <ns0:v>148978.5061485014</ns0:v>
      </ns0:c>
      <ns0:c r="M84" s="20" t="n">
        <ns0:v>-17477.51674702567</ns0:v>
      </ns0:c>
      <ns0:c r="N84" s="20" t="n">
        <ns0:v>-41659.74222352944</ns0:v>
      </ns0:c>
      <ns0:c r="O84" s="20" t="n">
        <ns0:v>-14457.35741797274</ns0:v>
      </ns0:c>
      <ns0:c r="P84" s="20" t="n">
        <ns0:v>27245.02738758399</ns0:v>
      </ns0:c>
      <ns0:c r="Q84" s="20" t="n">
        <ns0:v>131500.9894014758</ns0:v>
      </ns0:c>
      <ns0:c r="R84" s="20" t="n">
        <ns0:v>506524.8374570429</ns0:v>
      </ns0:c>
      <ns0:c r="S84" s="20" t="n">
        <ns0:v>1896108.305651528</ns0:v>
      </ns0:c>
    </ns0:row>
    <ns0:row r="85" ht="32" customHeight="1">
      <ns0:c r="A85" s="20" t="inlineStr">
        <ns0:is>
          <ns0:t>round</ns0:t>
        </ns0:is>
      </ns0:c>
      <ns0:c r="B85" s="22" t="n">
        <ns0:v>0.2</ns0:v>
      </ns0:c>
      <ns0:c r="C85" s="20" t="n">
        <ns0:v>0</ns0:v>
      </ns0:c>
      <ns0:c r="D85" s="20" t="inlineStr">
        <ns0:is>
          <ns0:t>floor</ns0:t>
        </ns0:is>
      </ns0:c>
      <ns0:c r="E85" s="20" t="inlineStr">
        <ns0:is>
          <ns0:t>パック単独</ns0:t>
        </ns0:is>
      </ns0:c>
      <ns0:c r="F85" s="22" t="n">
        <ns0:v>0.4</ns0:v>
      </ns0:c>
      <ns0:c r="G85" s="20" t="n">
        <ns0:v>9</ns0:v>
      </ns0:c>
      <ns0:c r="H85" s="20" t="n">
        <ns0:v>9</ns0:v>
      </ns0:c>
      <ns0:c r="I85" s="20" t="n">
        <ns0:v>26</ns0:v>
      </ns0:c>
      <ns0:c r="J85" s="20" t="n">
        <ns0:v>8308.379888268157</ns0:v>
      </ns0:c>
      <ns0:c r="K85" s="20" t="n">
        <ns0:v>1705.251396648045</ns0:v>
      </ns0:c>
      <ns0:c r="L85" s="20" t="n">
        <ns0:v>300767.8861056046</ns0:v>
      </ns0:c>
      <ns0:c r="M85" s="20" t="n">
        <ns0:v>77194.58875586555</ns0:v>
      </ns0:c>
      <ns0:c r="N85" s="20" t="n">
        <ns0:v>8521.881182805195</ns0:v>
      </ns0:c>
      <ns0:c r="O85" s="20" t="n">
        <ns0:v>92031.08822002559</ns0:v>
      </ns0:c>
      <ns0:c r="P85" s="20" t="n">
        <ns0:v>173725.7701175812</ns0:v>
      </ns0:c>
      <ns0:c r="Q85" s="20" t="n">
        <ns0:v>377962.4748614702</ns0:v>
      </ns0:c>
      <ns0:c r="R85" s="20" t="n">
        <ns0:v>1168909.293837026</ns0:v>
      </ns0:c>
      <ns0:c r="S85" s="20" t="n">
        <ns0:v>3990223.160251471</ns0:v>
      </ns0:c>
    </ns0:row>
    <ns0:row r="86" ht="32" customHeight="1">
      <ns0:c r="A86" s="20" t="inlineStr">
        <ns0:is>
          <ns0:t>round</ns0:t>
        </ns0:is>
      </ns0:c>
      <ns0:c r="B86" s="22" t="n">
        <ns0:v>0.2</ns0:v>
      </ns0:c>
      <ns0:c r="C86" s="20" t="n">
        <ns0:v>0</ns0:v>
      </ns0:c>
      <ns0:c r="D86" s="20" t="inlineStr">
        <ns0:is>
          <ns0:t>floor</ns0:t>
        </ns0:is>
      </ns0:c>
      <ns0:c r="E86" s="20" t="inlineStr">
        <ns0:is>
          <ns0:t>パック単独</ns0:t>
        </ns0:is>
      </ns0:c>
      <ns0:c r="F86" s="22" t="n">
        <ns0:v>0.5</ns0:v>
      </ns0:c>
      <ns0:c r="G86" s="20" t="n">
        <ns0:v>10</ns0:v>
      </ns0:c>
      <ns0:c r="H86" s="20" t="n">
        <ns0:v>10</ns0:v>
      </ns0:c>
      <ns0:c r="I86" s="20" t="n">
        <ns0:v>29</ns0:v>
      </ns0:c>
      <ns0:c r="J86" s="20" t="n">
        <ns0:v>8308.379888268157</ns0:v>
      </ns0:c>
      <ns0:c r="K86" s="20" t="n">
        <ns0:v>2131.564245810056</ns0:v>
      </ns0:c>
      <ns0:c r="L86" s="20" t="n">
        <ns0:v>269113.6489994364</ns0:v>
      </ns0:c>
      <ns0:c r="M86" s="20" t="n">
        <ns0:v>66217.5409458327</ns0:v>
      </ns0:c>
      <ns0:c r="N86" s="20" t="n">
        <ns0:v>4258.752691185076</ns0:v>
      </ns0:c>
      <ns0:c r="O86" s="20" t="n">
        <ns0:v>79241.70274516527</ns0:v>
      </ns0:c>
      <ns0:c r="P86" s="20" t="n">
        <ns0:v>152410.1276594807</ns0:v>
      </ns0:c>
      <ns0:c r="Q86" s="20" t="n">
        <ns0:v>335331.1899452691</ns0:v>
      </ns0:c>
      <ns0:c r="R86" s="20" t="n">
        <ns0:v>1041015.439088423</ns0:v>
      </ns0:c>
      <ns0:c r="S86" s="20" t="n">
        <ns0:v>3563910.31108946</ns0:v>
      </ns0:c>
    </ns0:row>
    <ns0:row r="87" ht="32" customHeight="1">
      <ns0:c r="A87" s="20" t="inlineStr">
        <ns0:is>
          <ns0:t>round</ns0:t>
        </ns0:is>
      </ns0:c>
      <ns0:c r="B87" s="22" t="n">
        <ns0:v>0.2</ns0:v>
      </ns0:c>
      <ns0:c r="C87" s="20" t="n">
        <ns0:v>0</ns0:v>
      </ns0:c>
      <ns0:c r="D87" s="20" t="inlineStr">
        <ns0:is>
          <ns0:t>floor</ns0:t>
        </ns0:is>
      </ns0:c>
      <ns0:c r="E87" s="20" t="inlineStr">
        <ns0:is>
          <ns0:t>混在・パック30%</ns0:t>
        </ns0:is>
      </ns0:c>
      <ns0:c r="F87" s="22" t="n">
        <ns0:v>0.4</ns0:v>
      </ns0:c>
      <ns0:c r="G87" s="20" t="n">
        <ns0:v>12</ns0:v>
      </ns0:c>
      <ns0:c r="H87" s="20" t="n">
        <ns0:v>12</ns0:v>
      </ns0:c>
      <ns0:c r="I87" s="20" t="n">
        <ns0:v>41</ns0:v>
      </ns0:c>
      <ns0:c r="J87" s="20" t="n">
        <ns0:v>5925.647230566239</ns0:v>
      </ns0:c>
      <ns0:c r="K87" s="20" t="n">
        <ns0:v>1297.736054574549</ns0:v>
      </ns0:c>
      <ns0:c r="L87" s="20" t="n">
        <ns0:v>226149.0250495585</ns0:v>
      </ns0:c>
      <ns0:c r="M87" s="20" t="n">
        <ns0:v>38588.31936457978</ns0:v>
      </ns0:c>
      <ns0:c r="N87" s="20" t="n">
        <ns0:v>-7056.274320028557</ns0:v>
      </ns0:c>
      <ns0:c r="O87" s="20" t="n">
        <ns0:v>58063.54908582604</ns0:v>
      </ns0:c>
      <ns0:c r="P87" s="20" t="n">
        <ns0:v>117113.2048939153</ns0:v>
      </ns0:c>
      <ns0:c r="Q87" s="20" t="n">
        <ns0:v>264737.3444141384</ns0:v>
      </ns0:c>
      <ns0:c r="R87" s="20" t="n">
        <ns0:v>829233.9024950303</ns0:v>
      </ns0:c>
      <ns0:c r="S87" s="20" t="n">
        <ns0:v>2857971.855778153</ns0:v>
      </ns0:c>
    </ns0:row>
    <ns0:row r="88" ht="32" customHeight="1">
      <ns0:c r="A88" s="20" t="inlineStr">
        <ns0:is>
          <ns0:t>round</ns0:t>
        </ns0:is>
      </ns0:c>
      <ns0:c r="B88" s="22" t="n">
        <ns0:v>0.2</ns0:v>
      </ns0:c>
      <ns0:c r="C88" s="20" t="n">
        <ns0:v>0</ns0:v>
      </ns0:c>
      <ns0:c r="D88" s="20" t="inlineStr">
        <ns0:is>
          <ns0:t>floor</ns0:t>
        </ns0:is>
      </ns0:c>
      <ns0:c r="E88" s="20" t="inlineStr">
        <ns0:is>
          <ns0:t>混在・パック30%</ns0:t>
        </ns0:is>
      </ns0:c>
      <ns0:c r="F88" s="22" t="n">
        <ns0:v>0.5</ns0:v>
      </ns0:c>
      <ns0:c r="G88" s="20" t="n">
        <ns0:v>13</ns0:v>
      </ns0:c>
      <ns0:c r="H88" s="20" t="n">
        <ns0:v>13</ns0:v>
      </ns0:c>
      <ns0:c r="I88" s="20" t="n">
        <ns0:v>46</ns0:v>
      </ns0:c>
      <ns0:c r="J88" s="20" t="n">
        <ns0:v>5925.647230566239</ns0:v>
      </ns0:c>
      <ns0:c r="K88" s="20" t="n">
        <ns0:v>1622.170068218186</ns0:v>
      </ns0:c>
      <ns0:c r="L88" s="20" t="n">
        <ns0:v>201010.2958171494</ns0:v>
      </ns0:c>
      <ns0:c r="M88" s="20" t="n">
        <ns0:v>31283.6472326252</ns0:v>
      </ns0:c>
      <ns0:c r="N88" s="20" t="n">
        <ns0:v>-10300.61445646493</ns0:v>
      </ns0:c>
      <ns0:c r="O88" s="20" t="n">
        <ns0:v>48330.52867651692</ns0:v>
      </ns0:c>
      <ns0:c r="P88" s="20" t="n">
        <ns0:v>100891.5042117334</ns0:v>
      </ns0:c>
      <ns0:c r="Q88" s="20" t="n">
        <ns0:v>232293.9430497746</ns0:v>
      </ns0:c>
      <ns0:c r="R88" s="20" t="n">
        <ns0:v>731903.6984019391</ns0:v>
      </ns0:c>
      <ns0:c r="S88" s="20" t="n">
        <ns0:v>2533537.842134516</ns0:v>
      </ns0:c>
    </ns0:row>
    <ns0:row r="89" ht="32" customHeight="1">
      <ns0:c r="A89" s="20" t="inlineStr">
        <ns0:is>
          <ns0:t>round</ns0:t>
        </ns0:is>
      </ns0:c>
      <ns0:c r="B89" s="22" t="n">
        <ns0:v>0.2</ns0:v>
      </ns0:c>
      <ns0:c r="C89" s="20" t="n">
        <ns0:v>0</ns0:v>
      </ns0:c>
      <ns0:c r="D89" s="20" t="inlineStr">
        <ns0:is>
          <ns0:t>floor</ns0:t>
        </ns0:is>
      </ns0:c>
      <ns0:c r="E89" s="20" t="inlineStr">
        <ns0:is>
          <ns0:t>混在・パック50%</ns0:t>
        </ns0:is>
      </ns0:c>
      <ns0:c r="F89" s="22" t="n">
        <ns0:v>0.4</ns0:v>
      </ns0:c>
      <ns0:c r="G89" s="20" t="n">
        <ns0:v>11</ns0:v>
      </ns0:c>
      <ns0:c r="H89" s="20" t="n">
        <ns0:v>11</ns0:v>
      </ns0:c>
      <ns0:c r="I89" s="20" t="n">
        <ns0:v>35</ns0:v>
      </ns0:c>
      <ns0:c r="J89" s="20" t="n">
        <ns0:v>6606.427989909643</ns0:v>
      </ns0:c>
      <ns0:c r="K89" s="20" t="n">
        <ns0:v>1414.16900945269</ns0:v>
      </ns0:c>
      <ns0:c r="L89" s="20" t="n">
        <ns0:v>247468.6996370002</ns0:v>
      </ns0:c>
      <ns0:c r="M89" s="20" t="n">
        <ns0:v>49618.68204780429</ns0:v>
      </ns0:c>
      <ns0:c r="N89" s="20" t="n">
        <ns0:v>-2605.372747790339</ns0:v>
      </ns0:c>
      <ns0:c r="O89" s="20" t="n">
        <ns0:v>67768.56026702587</ns0:v>
      </ns0:c>
      <ns0:c r="P89" s="20" t="n">
        <ns0:v>133288.2235292484</ns0:v>
      </ns0:c>
      <ns0:c r="Q89" s="20" t="n">
        <ns0:v>297087.3816848045</ns0:v>
      </ns0:c>
      <ns0:c r="R89" s="20" t="n">
        <ns0:v>926284.0143070291</ns0:v>
      </ns0:c>
      <ns0:c r="S89" s="20" t="n">
        <ns0:v>3181472.228484815</ns0:v>
      </ns0:c>
    </ns0:row>
    <ns0:row r="90" ht="32" customHeight="1">
      <ns0:c r="A90" s="20" t="inlineStr">
        <ns0:is>
          <ns0:t>round</ns0:t>
        </ns0:is>
      </ns0:c>
      <ns0:c r="B90" s="22" t="n">
        <ns0:v>0.2</ns0:v>
      </ns0:c>
      <ns0:c r="C90" s="20" t="n">
        <ns0:v>0</ns0:v>
      </ns0:c>
      <ns0:c r="D90" s="20" t="inlineStr">
        <ns0:is>
          <ns0:t>floor</ns0:t>
        </ns0:is>
      </ns0:c>
      <ns0:c r="E90" s="20" t="inlineStr">
        <ns0:is>
          <ns0:t>混在・パック50%</ns0:t>
        </ns0:is>
      </ns0:c>
      <ns0:c r="F90" s="22" t="n">
        <ns0:v>0.5</ns0:v>
      </ns0:c>
      <ns0:c r="G90" s="20" t="n">
        <ns0:v>12</ns0:v>
      </ns0:c>
      <ns0:c r="H90" s="20" t="n">
        <ns0:v>12</ns0:v>
      </ns0:c>
      <ns0:c r="I90" s="20" t="n">
        <ns0:v>40</ns0:v>
      </ns0:c>
      <ns0:c r="J90" s="20" t="n">
        <ns0:v>6606.427989909643</ns0:v>
      </ns0:c>
      <ns0:c r="K90" s="20" t="n">
        <ns0:v>1767.711261815863</ns0:v>
      </ns0:c>
      <ns0:c r="L90" s="20" t="n">
        <ns0:v>220468.3967263742</ns0:v>
      </ns0:c>
      <ns0:c r="M90" s="20" t="n">
        <ns0:v>41264.75972211308</ns0:v>
      </ns0:c>
      <ns0:c r="N90" s="20" t="n">
        <ns0:v>-6140.795271422068</ns0:v>
      </ns0:c>
      <ns0:c r="O90" s="20" t="n">
        <ns0:v>57162.2926961307</ns0:v>
      </ns0:c>
      <ns0:c r="P90" s="20" t="n">
        <ns0:v>115611.1109110897</ns0:v>
      </ns0:c>
      <ns0:c r="Q90" s="20" t="n">
        <ns0:v>261733.1564484873</ns0:v>
      </ns0:c>
      <ns0:c r="R90" s="20" t="n">
        <ns0:v>820221.3385980774</ns0:v>
      </ns0:c>
      <ns0:c r="S90" s="20" t="n">
        <ns0:v>2827929.976121642</ns0:v>
      </ns0:c>
    </ns0:row>
    <ns0:row r="91" ht="32" customHeight="1">
      <ns0:c r="A91" s="20" t="inlineStr">
        <ns0:is>
          <ns0:t>round</ns0:t>
        </ns0:is>
      </ns0:c>
      <ns0:c r="B91" s="22" t="n">
        <ns0:v>0.2</ns0:v>
      </ns0:c>
      <ns0:c r="C91" s="20" t="n">
        <ns0:v>0</ns0:v>
      </ns0:c>
      <ns0:c r="D91" s="20" t="inlineStr">
        <ns0:is>
          <ns0:t>floor</ns0:t>
        </ns0:is>
      </ns0:c>
      <ns0:c r="E91" s="20" t="inlineStr">
        <ns0:is>
          <ns0:t>混在・パック70%</ns0:t>
        </ns0:is>
      </ns0:c>
      <ns0:c r="F91" s="22" t="n">
        <ns0:v>0.4</ns0:v>
      </ns0:c>
      <ns0:c r="G91" s="20" t="n">
        <ns0:v>10</ns0:v>
      </ns0:c>
      <ns0:c r="H91" s="20" t="n">
        <ns0:v>10</ns0:v>
      </ns0:c>
      <ns0:c r="I91" s="20" t="n">
        <ns0:v>31</ns0:v>
      </ns0:c>
      <ns0:c r="J91" s="20" t="n">
        <ns0:v>7287.208749253048</ns0:v>
      </ns0:c>
      <ns0:c r="K91" s="20" t="n">
        <ns0:v>1530.601964330832</ns0:v>
      </ns0:c>
      <ns0:c r="L91" s="20" t="n">
        <ns0:v>268788.3742244419</ns0:v>
      </ns0:c>
      <ns0:c r="M91" s="20" t="n">
        <ns0:v>60649.04473102879</ns0:v>
      </ns0:c>
      <ns0:c r="N91" s="20" t="n">
        <ns0:v>1845.528824447876</ns0:v>
      </ns0:c>
      <ns0:c r="O91" s="20" t="n">
        <ns0:v>77473.57144822576</ns0:v>
      </ns0:c>
      <ns0:c r="P91" s="20" t="n">
        <ns0:v>149463.2421645815</ns0:v>
      </ns0:c>
      <ns0:c r="Q91" s="20" t="n">
        <ns0:v>329437.4189554707</ns0:v>
      </ns0:c>
      <ns0:c r="R91" s="20" t="n">
        <ns0:v>1023334.126119028</ns0:v>
      </ns0:c>
      <ns0:c r="S91" s="20" t="n">
        <ns0:v>3504972.601191478</ns0:v>
      </ns0:c>
    </ns0:row>
    <ns0:row r="92" ht="32" customHeight="1">
      <ns0:c r="A92" s="20" t="inlineStr">
        <ns0:is>
          <ns0:t>round</ns0:t>
        </ns0:is>
      </ns0:c>
      <ns0:c r="B92" s="22" t="n">
        <ns0:v>0.2</ns0:v>
      </ns0:c>
      <ns0:c r="C92" s="20" t="n">
        <ns0:v>0</ns0:v>
      </ns0:c>
      <ns0:c r="D92" s="20" t="inlineStr">
        <ns0:is>
          <ns0:t>floor</ns0:t>
        </ns0:is>
      </ns0:c>
      <ns0:c r="E92" s="20" t="inlineStr">
        <ns0:is>
          <ns0:t>混在・パック70%</ns0:t>
        </ns0:is>
      </ns0:c>
      <ns0:c r="F92" s="22" t="n">
        <ns0:v>0.5</ns0:v>
      </ns0:c>
      <ns0:c r="G92" s="20" t="n">
        <ns0:v>11</ns0:v>
      </ns0:c>
      <ns0:c r="H92" s="20" t="n">
        <ns0:v>11</ns0:v>
      </ns0:c>
      <ns0:c r="I92" s="20" t="n">
        <ns0:v>35</ns0:v>
      </ns0:c>
      <ns0:c r="J92" s="20" t="n">
        <ns0:v>7287.208749253048</ns0:v>
      </ns0:c>
      <ns0:c r="K92" s="20" t="n">
        <ns0:v>1913.25245541354</ns0:v>
      </ns0:c>
      <ns0:c r="L92" s="20" t="n">
        <ns0:v>239926.4976355991</ns0:v>
      </ns0:c>
      <ns0:c r="M92" s="20" t="n">
        <ns0:v>51245.87221160092</ns0:v>
      </ns0:c>
      <ns0:c r="N92" s="20" t="n">
        <ns0:v>-1980.976086379207</ns0:v>
      </ns0:c>
      <ns0:c r="O92" s="20" t="n">
        <ns0:v>65994.05671574453</ns0:v>
      </ns0:c>
      <ns0:c r="P92" s="20" t="n">
        <ns0:v>130330.7176104461</ns0:v>
      </ns0:c>
      <ns0:c r="Q92" s="20" t="n">
        <ns0:v>291172.3698472</ns0:v>
      </ns0:c>
      <ns0:c r="R92" s="20" t="n">
        <ns0:v>908538.9787942156</ns0:v>
      </ns0:c>
      <ns0:c r="S92" s="20" t="n">
        <ns0:v>3122322.11010877</ns0:v>
      </ns0:c>
    </ns0:row>
    <ns0:row r="93" ht="32" customHeight="1">
      <ns0:c r="A93" s="20" t="inlineStr">
        <ns0:is>
          <ns0:t>round</ns0:t>
        </ns0:is>
      </ns0:c>
      <ns0:c r="B93" s="22" t="n">
        <ns0:v>0.2</ns0:v>
      </ns0:c>
      <ns0:c r="C93" s="20" t="n">
        <ns0:v>0</ns0:v>
      </ns0:c>
      <ns0:c r="D93" s="20" t="inlineStr">
        <ns0:is>
          <ns0:t>add</ns0:t>
        </ns0:is>
      </ns0:c>
      <ns0:c r="E93" s="20" t="inlineStr">
        <ns0:is>
          <ns0:t>パック単独</ns0:t>
        </ns0:is>
      </ns0:c>
      <ns0:c r="F93" s="22" t="n">
        <ns0:v>0.4</ns0:v>
      </ns0:c>
      <ns0:c r="G93" s="20" t="n">
        <ns0:v>13</ns0:v>
      </ns0:c>
      <ns0:c r="H93" s="20" t="n">
        <ns0:v>13</ns0:v>
      </ns0:c>
      <ns0:c r="I93" s="20" t="n">
        <ns0:v>26</ns0:v>
      </ns0:c>
      <ns0:c r="J93" s="20" t="n">
        <ns0:v>8308.379888268157</ns0:v>
      </ns0:c>
      <ns0:c r="K93" s="20" t="n">
        <ns0:v>1705.251396648045</ns0:v>
      </ns0:c>
      <ns0:c r="L93" s="20" t="n">
        <ns0:v>278267.8861056046</ns0:v>
      </ns0:c>
      <ns0:c r="M93" s="20" t="n">
        <ns0:v>77194.58875586555</ns0:v>
      </ns0:c>
      <ns0:c r="N93" s="20" t="n">
        <ns0:v>-5663.593677529996</ns0:v>
      </ns0:c>
      <ns0:c r="O93" s="20" t="n">
        <ns0:v>69531.08822002559</ns0:v>
      </ns0:c>
      <ns0:c r="P93" s="20" t="n">
        <ns0:v>151225.7701175812</ns0:v>
      </ns0:c>
      <ns0:c r="Q93" s="20" t="n">
        <ns0:v>355462.4748614702</ns0:v>
      </ns0:c>
      <ns0:c r="R93" s="20" t="n">
        <ns0:v>1146409.293837026</ns0:v>
      </ns0:c>
      <ns0:c r="S93" s="20" t="n">
        <ns0:v>3967723.160251471</ns0:v>
      </ns0:c>
    </ns0:row>
    <ns0:row r="94" ht="32" customHeight="1">
      <ns0:c r="A94" s="20" t="inlineStr">
        <ns0:is>
          <ns0:t>round</ns0:t>
        </ns0:is>
      </ns0:c>
      <ns0:c r="B94" s="22" t="n">
        <ns0:v>0.2</ns0:v>
      </ns0:c>
      <ns0:c r="C94" s="20" t="n">
        <ns0:v>0</ns0:v>
      </ns0:c>
      <ns0:c r="D94" s="20" t="inlineStr">
        <ns0:is>
          <ns0:t>add</ns0:t>
        </ns0:is>
      </ns0:c>
      <ns0:c r="E94" s="20" t="inlineStr">
        <ns0:is>
          <ns0:t>パック単独</ns0:t>
        </ns0:is>
      </ns0:c>
      <ns0:c r="F94" s="22" t="n">
        <ns0:v>0.5</ns0:v>
      </ns0:c>
      <ns0:c r="G94" s="20" t="n">
        <ns0:v>15</ns0:v>
      </ns0:c>
      <ns0:c r="H94" s="20" t="n">
        <ns0:v>15</ns0:v>
      </ns0:c>
      <ns0:c r="I94" s="20" t="n">
        <ns0:v>29</ns0:v>
      </ns0:c>
      <ns0:c r="J94" s="20" t="n">
        <ns0:v>8308.379888268157</ns0:v>
      </ns0:c>
      <ns0:c r="K94" s="20" t="n">
        <ns0:v>2131.564245810056</ns0:v>
      </ns0:c>
      <ns0:c r="L94" s="20" t="n">
        <ns0:v>246613.6489994364</ns0:v>
      </ns0:c>
      <ns0:c r="M94" s="20" t="n">
        <ns0:v>66217.5409458327</ns0:v>
      </ns0:c>
      <ns0:c r="N94" s="20" t="n">
        <ns0:v>-9926.722169150114</ns0:v>
      </ns0:c>
      <ns0:c r="O94" s="20" t="n">
        <ns0:v>56741.70274516526</ns0:v>
      </ns0:c>
      <ns0:c r="P94" s="20" t="n">
        <ns0:v>129910.1276594807</ns0:v>
      </ns0:c>
      <ns0:c r="Q94" s="20" t="n">
        <ns0:v>312831.1899452691</ns0:v>
      </ns0:c>
      <ns0:c r="R94" s="20" t="n">
        <ns0:v>1018515.439088423</ns0:v>
      </ns0:c>
      <ns0:c r="S94" s="20" t="n">
        <ns0:v>3541410.31108946</ns0:v>
      </ns0:c>
    </ns0:row>
    <ns0:row r="95" ht="32" customHeight="1">
      <ns0:c r="A95" s="20" t="inlineStr">
        <ns0:is>
          <ns0:t>round</ns0:t>
        </ns0:is>
      </ns0:c>
      <ns0:c r="B95" s="22" t="n">
        <ns0:v>0.2</ns0:v>
      </ns0:c>
      <ns0:c r="C95" s="20" t="n">
        <ns0:v>0</ns0:v>
      </ns0:c>
      <ns0:c r="D95" s="20" t="inlineStr">
        <ns0:is>
          <ns0:t>add</ns0:t>
        </ns0:is>
      </ns0:c>
      <ns0:c r="E95" s="20" t="inlineStr">
        <ns0:is>
          <ns0:t>混在・パック30%</ns0:t>
        </ns0:is>
      </ns0:c>
      <ns0:c r="F95" s="22" t="n">
        <ns0:v>0.4</ns0:v>
      </ns0:c>
      <ns0:c r="G95" s="20" t="n">
        <ns0:v>18</ns0:v>
      </ns0:c>
      <ns0:c r="H95" s="20" t="n">
        <ns0:v>18</ns0:v>
      </ns0:c>
      <ns0:c r="I95" s="20" t="n">
        <ns0:v>41</ns0:v>
      </ns0:c>
      <ns0:c r="J95" s="20" t="n">
        <ns0:v>5925.647230566239</ns0:v>
      </ns0:c>
      <ns0:c r="K95" s="20" t="n">
        <ns0:v>1297.736054574549</ns0:v>
      </ns0:c>
      <ns0:c r="L95" s="20" t="n">
        <ns0:v>203649.0250495585</ns0:v>
      </ns0:c>
      <ns0:c r="M95" s="20" t="n">
        <ns0:v>38588.31936457978</ns0:v>
      </ns0:c>
      <ns0:c r="N95" s="20" t="n">
        <ns0:v>-16986.10672226319</ns0:v>
      </ns0:c>
      <ns0:c r="O95" s="20" t="n">
        <ns0:v>35563.54908582604</ns0:v>
      </ns0:c>
      <ns0:c r="P95" s="20" t="n">
        <ns0:v>94613.20489391524</ns0:v>
      </ns0:c>
      <ns0:c r="Q95" s="20" t="n">
        <ns0:v>242237.3444141383</ns0:v>
      </ns0:c>
      <ns0:c r="R95" s="20" t="n">
        <ns0:v>806733.9024950303</ns0:v>
      </ns0:c>
      <ns0:c r="S95" s="20" t="n">
        <ns0:v>2835471.855778153</ns0:v>
      </ns0:c>
    </ns0:row>
    <ns0:row r="96" ht="32" customHeight="1">
      <ns0:c r="A96" s="20" t="inlineStr">
        <ns0:is>
          <ns0:t>round</ns0:t>
        </ns0:is>
      </ns0:c>
      <ns0:c r="B96" s="22" t="n">
        <ns0:v>0.2</ns0:v>
      </ns0:c>
      <ns0:c r="C96" s="20" t="n">
        <ns0:v>0</ns0:v>
      </ns0:c>
      <ns0:c r="D96" s="20" t="inlineStr">
        <ns0:is>
          <ns0:t>add</ns0:t>
        </ns0:is>
      </ns0:c>
      <ns0:c r="E96" s="20" t="inlineStr">
        <ns0:is>
          <ns0:t>混在・パック30%</ns0:t>
        </ns0:is>
      </ns0:c>
      <ns0:c r="F96" s="22" t="n">
        <ns0:v>0.5</ns0:v>
      </ns0:c>
      <ns0:c r="G96" s="20" t="n">
        <ns0:v>21</ns0:v>
      </ns0:c>
      <ns0:c r="H96" s="20" t="n">
        <ns0:v>21</ns0:v>
      </ns0:c>
      <ns0:c r="I96" s="20" t="n">
        <ns0:v>46</ns0:v>
      </ns0:c>
      <ns0:c r="J96" s="20" t="n">
        <ns0:v>5925.647230566239</ns0:v>
      </ns0:c>
      <ns0:c r="K96" s="20" t="n">
        <ns0:v>1622.170068218186</ns0:v>
      </ns0:c>
      <ns0:c r="L96" s="20" t="n">
        <ns0:v>178510.2958171494</ns0:v>
      </ns0:c>
      <ns0:c r="M96" s="20" t="n">
        <ns0:v>31283.6472326252</ns0:v>
      </ns0:c>
      <ns0:c r="N96" s="20" t="n">
        <ns0:v>-20230.44685869956</ns0:v>
      </ns0:c>
      <ns0:c r="O96" s="20" t="n">
        <ns0:v>25830.52867651692</ns0:v>
      </ns0:c>
      <ns0:c r="P96" s="20" t="n">
        <ns0:v>78391.50421173338</ns0:v>
      </ns0:c>
      <ns0:c r="Q96" s="20" t="n">
        <ns0:v>209793.9430497746</ns0:v>
      </ns0:c>
      <ns0:c r="R96" s="20" t="n">
        <ns0:v>709403.6984019391</ns0:v>
      </ns0:c>
      <ns0:c r="S96" s="20" t="n">
        <ns0:v>2511037.842134516</ns0:v>
      </ns0:c>
    </ns0:row>
    <ns0:row r="97" ht="32" customHeight="1">
      <ns0:c r="A97" s="20" t="inlineStr">
        <ns0:is>
          <ns0:t>round</ns0:t>
        </ns0:is>
      </ns0:c>
      <ns0:c r="B97" s="22" t="n">
        <ns0:v>0.2</ns0:v>
      </ns0:c>
      <ns0:c r="C97" s="20" t="n">
        <ns0:v>0</ns0:v>
      </ns0:c>
      <ns0:c r="D97" s="20" t="inlineStr">
        <ns0:is>
          <ns0:t>add</ns0:t>
        </ns0:is>
      </ns0:c>
      <ns0:c r="E97" s="20" t="inlineStr">
        <ns0:is>
          <ns0:t>混在・パック50%</ns0:t>
        </ns0:is>
      </ns0:c>
      <ns0:c r="F97" s="22" t="n">
        <ns0:v>0.4</ns0:v>
      </ns0:c>
      <ns0:c r="G97" s="20" t="n">
        <ns0:v>17</ns0:v>
      </ns0:c>
      <ns0:c r="H97" s="20" t="n">
        <ns0:v>17</ns0:v>
      </ns0:c>
      <ns0:c r="I97" s="20" t="n">
        <ns0:v>35</ns0:v>
      </ns0:c>
      <ns0:c r="J97" s="20" t="n">
        <ns0:v>6606.427989909643</ns0:v>
      </ns0:c>
      <ns0:c r="K97" s="20" t="n">
        <ns0:v>1414.16900945269</ns0:v>
      </ns0:c>
      <ns0:c r="L97" s="20" t="n">
        <ns0:v>224968.6996370002</ns0:v>
      </ns0:c>
      <ns0:c r="M97" s="20" t="n">
        <ns0:v>49618.68204780429</ns0:v>
      </ns0:c>
      <ns0:c r="N97" s="20" t="n">
        <ns0:v>-13751.10299519656</ns0:v>
      </ns0:c>
      <ns0:c r="O97" s="20" t="n">
        <ns0:v>45268.56026702587</ns0:v>
      </ns0:c>
      <ns0:c r="P97" s="20" t="n">
        <ns0:v>110788.2235292484</ns0:v>
      </ns0:c>
      <ns0:c r="Q97" s="20" t="n">
        <ns0:v>274587.3816848045</ns0:v>
      </ns0:c>
      <ns0:c r="R97" s="20" t="n">
        <ns0:v>903784.0143070291</ns0:v>
      </ns0:c>
      <ns0:c r="S97" s="20" t="n">
        <ns0:v>3158972.228484815</ns0:v>
      </ns0:c>
    </ns0:row>
    <ns0:row r="98" ht="32" customHeight="1">
      <ns0:c r="A98" s="20" t="inlineStr">
        <ns0:is>
          <ns0:t>round</ns0:t>
        </ns0:is>
      </ns0:c>
      <ns0:c r="B98" s="22" t="n">
        <ns0:v>0.2</ns0:v>
      </ns0:c>
      <ns0:c r="C98" s="20" t="n">
        <ns0:v>0</ns0:v>
      </ns0:c>
      <ns0:c r="D98" s="20" t="inlineStr">
        <ns0:is>
          <ns0:t>add</ns0:t>
        </ns0:is>
      </ns0:c>
      <ns0:c r="E98" s="20" t="inlineStr">
        <ns0:is>
          <ns0:t>混在・パック50%</ns0:t>
        </ns0:is>
      </ns0:c>
      <ns0:c r="F98" s="22" t="n">
        <ns0:v>0.5</ns0:v>
      </ns0:c>
      <ns0:c r="G98" s="20" t="n">
        <ns0:v>19</ns0:v>
      </ns0:c>
      <ns0:c r="H98" s="20" t="n">
        <ns0:v>19</ns0:v>
      </ns0:c>
      <ns0:c r="I98" s="20" t="n">
        <ns0:v>40</ns0:v>
      </ns0:c>
      <ns0:c r="J98" s="20" t="n">
        <ns0:v>6606.427989909643</ns0:v>
      </ns0:c>
      <ns0:c r="K98" s="20" t="n">
        <ns0:v>1767.711261815863</ns0:v>
      </ns0:c>
      <ns0:c r="L98" s="20" t="n">
        <ns0:v>197968.3967263742</ns0:v>
      </ns0:c>
      <ns0:c r="M98" s="20" t="n">
        <ns0:v>41264.75972211308</ns0:v>
      </ns0:c>
      <ns0:c r="N98" s="20" t="n">
        <ns0:v>-17286.52551882829</ns0:v>
      </ns0:c>
      <ns0:c r="O98" s="20" t="n">
        <ns0:v>34662.2926961307</ns0:v>
      </ns0:c>
      <ns0:c r="P98" s="20" t="n">
        <ns0:v>93111.11091108972</ns0:v>
      </ns0:c>
      <ns0:c r="Q98" s="20" t="n">
        <ns0:v>239233.1564484873</ns0:v>
      </ns0:c>
      <ns0:c r="R98" s="20" t="n">
        <ns0:v>797721.3385980774</ns0:v>
      </ns0:c>
      <ns0:c r="S98" s="20" t="n">
        <ns0:v>2805429.976121642</ns0:v>
      </ns0:c>
    </ns0:row>
    <ns0:row r="99" ht="32" customHeight="1">
      <ns0:c r="A99" s="20" t="inlineStr">
        <ns0:is>
          <ns0:t>round</ns0:t>
        </ns0:is>
      </ns0:c>
      <ns0:c r="B99" s="22" t="n">
        <ns0:v>0.2</ns0:v>
      </ns0:c>
      <ns0:c r="C99" s="20" t="n">
        <ns0:v>0</ns0:v>
      </ns0:c>
      <ns0:c r="D99" s="20" t="inlineStr">
        <ns0:is>
          <ns0:t>add</ns0:t>
        </ns0:is>
      </ns0:c>
      <ns0:c r="E99" s="20" t="inlineStr">
        <ns0:is>
          <ns0:t>混在・パック70%</ns0:t>
        </ns0:is>
      </ns0:c>
      <ns0:c r="F99" s="22" t="n">
        <ns0:v>0.4</ns0:v>
      </ns0:c>
      <ns0:c r="G99" s="20" t="n">
        <ns0:v>15</ns0:v>
      </ns0:c>
      <ns0:c r="H99" s="20" t="n">
        <ns0:v>15</ns0:v>
      </ns0:c>
      <ns0:c r="I99" s="20" t="n">
        <ns0:v>31</ns0:v>
      </ns0:c>
      <ns0:c r="J99" s="20" t="n">
        <ns0:v>7287.208749253048</ns0:v>
      </ns0:c>
      <ns0:c r="K99" s="20" t="n">
        <ns0:v>1530.601964330832</ns0:v>
      </ns0:c>
      <ns0:c r="L99" s="20" t="n">
        <ns0:v>246288.374224442</ns0:v>
      </ns0:c>
      <ns0:c r="M99" s="20" t="n">
        <ns0:v>60649.04473102879</ns0:v>
      </ns0:c>
      <ns0:c r="N99" s="20" t="n">
        <ns0:v>-10516.09926812994</ns0:v>
      </ns0:c>
      <ns0:c r="O99" s="20" t="n">
        <ns0:v>54973.57144822576</ns0:v>
      </ns0:c>
      <ns0:c r="P99" s="20" t="n">
        <ns0:v>126963.2421645815</ns0:v>
      </ns0:c>
      <ns0:c r="Q99" s="20" t="n">
        <ns0:v>306937.4189554708</ns0:v>
      </ns0:c>
      <ns0:c r="R99" s="20" t="n">
        <ns0:v>1000834.126119028</ns0:v>
      </ns0:c>
      <ns0:c r="S99" s="20" t="n">
        <ns0:v>3482472.601191478</ns0:v>
      </ns0:c>
    </ns0:row>
    <ns0:row r="100" ht="32" customHeight="1">
      <ns0:c r="A100" s="20" t="inlineStr">
        <ns0:is>
          <ns0:t>round</ns0:t>
        </ns0:is>
      </ns0:c>
      <ns0:c r="B100" s="22" t="n">
        <ns0:v>0.2</ns0:v>
      </ns0:c>
      <ns0:c r="C100" s="20" t="n">
        <ns0:v>0</ns0:v>
      </ns0:c>
      <ns0:c r="D100" s="20" t="inlineStr">
        <ns0:is>
          <ns0:t>add</ns0:t>
        </ns0:is>
      </ns0:c>
      <ns0:c r="E100" s="20" t="inlineStr">
        <ns0:is>
          <ns0:t>混在・パック70%</ns0:t>
        </ns0:is>
      </ns0:c>
      <ns0:c r="F100" s="22" t="n">
        <ns0:v>0.5</ns0:v>
      </ns0:c>
      <ns0:c r="G100" s="20" t="n">
        <ns0:v>17</ns0:v>
      </ns0:c>
      <ns0:c r="H100" s="20" t="n">
        <ns0:v>17</ns0:v>
      </ns0:c>
      <ns0:c r="I100" s="20" t="n">
        <ns0:v>35</ns0:v>
      </ns0:c>
      <ns0:c r="J100" s="20" t="n">
        <ns0:v>7287.208749253048</ns0:v>
      </ns0:c>
      <ns0:c r="K100" s="20" t="n">
        <ns0:v>1913.25245541354</ns0:v>
      </ns0:c>
      <ns0:c r="L100" s="20" t="n">
        <ns0:v>217426.4976355991</ns0:v>
      </ns0:c>
      <ns0:c r="M100" s="20" t="n">
        <ns0:v>51245.87221160092</ns0:v>
      </ns0:c>
      <ns0:c r="N100" s="20" t="n">
        <ns0:v>-14342.60417895702</ns0:v>
      </ns0:c>
      <ns0:c r="O100" s="20" t="n">
        <ns0:v>43494.05671574452</ns0:v>
      </ns0:c>
      <ns0:c r="P100" s="20" t="n">
        <ns0:v>107830.7176104461</ns0:v>
      </ns0:c>
      <ns0:c r="Q100" s="20" t="n">
        <ns0:v>268672.3698472</ns0:v>
      </ns0:c>
      <ns0:c r="R100" s="20" t="n">
        <ns0:v>886038.9787942156</ns0:v>
      </ns0:c>
      <ns0:c r="S100" s="20" t="n">
        <ns0:v>3099822.11010877</ns0:v>
      </ns0:c>
    </ns0:row>
    <ns0:row r="101" ht="32" customHeight="1">
      <ns0:c r="A101" s="20" t="inlineStr">
        <ns0:is>
          <ns0:t>round</ns0:t>
        </ns0:is>
      </ns0:c>
      <ns0:c r="B101" s="22" t="n">
        <ns0:v>0.3</ns0:v>
      </ns0:c>
      <ns0:c r="C101" s="20" t="n">
        <ns0:v>1</ns0:v>
      </ns0:c>
      <ns0:c r="D101" s="20" t="inlineStr">
        <ns0:is>
          <ns0:t>floor</ns0:t>
        </ns0:is>
      </ns0:c>
      <ns0:c r="E101" s="20" t="inlineStr">
        <ns0:is>
          <ns0:t>パック単独</ns0:t>
        </ns0:is>
      </ns0:c>
      <ns0:c r="F101" s="22" t="n">
        <ns0:v>0.4</ns0:v>
      </ns0:c>
      <ns0:c r="G101" s="20" t="n">
        <ns0:v>23</ns0:v>
      </ns0:c>
      <ns0:c r="H101" s="20" t="n">
        <ns0:v>23</ns0:v>
      </ns0:c>
      <ns0:c r="I101" s="20" t="inlineStr">
        <ns0:is>
          <ns0:t>範囲内なし</ns0:t>
        </ns0:is>
      </ns0:c>
      <ns0:c r="J101" s="20" t="n">
        <ns0:v>8308.379888268153</ns0:v>
      </ns0:c>
      <ns0:c r="K101" s="20" t="n">
        <ns0:v>1705.251396648044</ns0:v>
      </ns0:c>
      <ns0:c r="L101" s="20" t="n">
        <ns0:v>224581.6663663122</ns0:v>
      </ns0:c>
      <ns0:c r="M101" s="20" t="n">
        <ns0:v>-40728.03513321981</ns0:v>
      </ns0:c>
      <ns0:c r="N101" s="20" t="n">
        <ns0:v>-24489.00318003259</ns0:v>
      </ns0:c>
      <ns0:c r="O101" s="20" t="n">
        <ns0:v>16998.43513151227</ns0:v>
      </ns0:c>
      <ns0:c r="P101" s="20" t="n">
        <ns0:v>64671.34830339227</ns0:v>
      </ns0:c>
      <ns0:c r="Q101" s="20" t="n">
        <ns0:v>183853.6312330923</ns0:v>
      </ns0:c>
      <ns0:c r="R101" s="20" t="n">
        <ns0:v>618582.7629518926</ns0:v>
      </ns0:c>
      <ns0:c r="S101" s="20" t="n">
        <ns0:v>2217134.723967694</ns0:v>
      </ns0:c>
    </ns0:row>
    <ns0:row r="102" ht="32" customHeight="1">
      <ns0:c r="A102" s="20" t="inlineStr">
        <ns0:is>
          <ns0:t>round</ns0:t>
        </ns0:is>
      </ns0:c>
      <ns0:c r="B102" s="22" t="n">
        <ns0:v>0.3</ns0:v>
      </ns0:c>
      <ns0:c r="C102" s="20" t="n">
        <ns0:v>1</ns0:v>
      </ns0:c>
      <ns0:c r="D102" s="20" t="inlineStr">
        <ns0:is>
          <ns0:t>floor</ns0:t>
        </ns0:is>
      </ns0:c>
      <ns0:c r="E102" s="20" t="inlineStr">
        <ns0:is>
          <ns0:t>パック単独</ns0:t>
        </ns0:is>
      </ns0:c>
      <ns0:c r="F102" s="22" t="n">
        <ns0:v>0.5</ns0:v>
      </ns0:c>
      <ns0:c r="G102" s="20" t="n">
        <ns0:v>28</ns0:v>
      </ns0:c>
      <ns0:c r="H102" s="20" t="n">
        <ns0:v>28</ns0:v>
      </ns0:c>
      <ns0:c r="I102" s="20" t="inlineStr">
        <ns0:is>
          <ns0:t>範囲内なし</ns0:t>
        </ns0:is>
      </ns0:c>
      <ns0:c r="J102" s="20" t="n">
        <ns0:v>8308.379888268153</ns0:v>
      </ns0:c>
      <ns0:c r="K102" s="20" t="n">
        <ns0:v>2131.564245810056</ns0:v>
      </ns0:c>
      <ns0:c r="L102" s="20" t="n">
        <ns0:v>192927.4292601439</ns0:v>
      </ns0:c>
      <ns0:c r="M102" s="20" t="n">
        <ns0:v>-51705.08294325266</ns0:v>
      </ns0:c>
      <ns0:c r="N102" s="20" t="n">
        <ns0:v>-28752.1316716527</ns0:v>
      </ns0:c>
      <ns0:c r="O102" s="20" t="n">
        <ns0:v>4209.049656651936</ns0:v>
      </ns0:c>
      <ns0:c r="P102" s="20" t="n">
        <ns0:v>43355.70584529173</ns0:v>
      </ns0:c>
      <ns0:c r="Q102" s="20" t="n">
        <ns0:v>141222.3463168913</ns0:v>
      </ns0:c>
      <ns0:c r="R102" s="20" t="n">
        <ns0:v>490688.9082032896</ns0:v>
      </ns0:c>
      <ns0:c r="S102" s="20" t="n">
        <ns0:v>1790821.874805682</ns0:v>
      </ns0:c>
    </ns0:row>
    <ns0:row r="103" ht="32" customHeight="1">
      <ns0:c r="A103" s="20" t="inlineStr">
        <ns0:is>
          <ns0:t>round</ns0:t>
        </ns0:is>
      </ns0:c>
      <ns0:c r="B103" s="22" t="n">
        <ns0:v>0.3</ns0:v>
      </ns0:c>
      <ns0:c r="C103" s="20" t="n">
        <ns0:v>1</ns0:v>
      </ns0:c>
      <ns0:c r="D103" s="20" t="inlineStr">
        <ns0:is>
          <ns0:t>floor</ns0:t>
        </ns0:is>
      </ns0:c>
      <ns0:c r="E103" s="20" t="inlineStr">
        <ns0:is>
          <ns0:t>混在・パック30%</ns0:t>
        </ns0:is>
      </ns0:c>
      <ns0:c r="F103" s="22" t="n">
        <ns0:v>0.4</ns0:v>
      </ns0:c>
      <ns0:c r="G103" s="20" t="n">
        <ns0:v>29</ns0:v>
      </ns0:c>
      <ns0:c r="H103" s="20" t="n">
        <ns0:v>29</ns0:v>
      </ns0:c>
      <ns0:c r="I103" s="20" t="inlineStr">
        <ns0:is>
          <ns0:t>範囲内なし</ns0:t>
        </ns0:is>
      </ns0:c>
      <ns0:c r="J103" s="20" t="n">
        <ns0:v>5925.647230566237</ns0:v>
      </ns0:c>
      <ns0:c r="K103" s="20" t="n">
        <ns0:v>1297.736054574548</ns0:v>
      </ns0:c>
      <ns0:c r="L103" s="20" t="n">
        <ns0:v>168018.6712320538</ns0:v>
      </ns0:c>
      <ns0:c r="M103" s="20" t="n">
        <ns0:v>-34546.20016954058</ns0:v>
      </ns0:c>
      <ns0:c r="N103" s="20" t="n">
        <ns0:v>-33782.76165519106</ns0:v>
      </ns0:c>
      <ns0:c r="O103" s="20" t="n">
        <ns0:v>1884.087080338504</ns0:v>
      </ns0:c>
      <ns0:c r="P103" s="20" t="n">
        <ns0:v>39480.7682181027</ns0:v>
      </ns0:c>
      <ns0:c r="Q103" s="20" t="n">
        <ns0:v>133472.4710625132</ns0:v>
      </ns0:c>
      <ns0:c r="R103" s="20" t="n">
        <ns0:v>467439.2824401552</ns0:v>
      </ns0:c>
      <ns0:c r="S103" s="20" t="n">
        <ns0:v>1713323.122261903</ns0:v>
      </ns0:c>
    </ns0:row>
    <ns0:row r="104" ht="32" customHeight="1">
      <ns0:c r="A104" s="20" t="inlineStr">
        <ns0:is>
          <ns0:t>round</ns0:t>
        </ns0:is>
      </ns0:c>
      <ns0:c r="B104" s="22" t="n">
        <ns0:v>0.3</ns0:v>
      </ns0:c>
      <ns0:c r="C104" s="20" t="n">
        <ns0:v>1</ns0:v>
      </ns0:c>
      <ns0:c r="D104" s="20" t="inlineStr">
        <ns0:is>
          <ns0:t>floor</ns0:t>
        </ns0:is>
      </ns0:c>
      <ns0:c r="E104" s="20" t="inlineStr">
        <ns0:is>
          <ns0:t>混在・パック30%</ns0:t>
        </ns0:is>
      </ns0:c>
      <ns0:c r="F104" s="22" t="n">
        <ns0:v>0.5</ns0:v>
      </ns0:c>
      <ns0:c r="G104" s="20" t="n">
        <ns0:v>36</ns0:v>
      </ns0:c>
      <ns0:c r="H104" s="20" t="n">
        <ns0:v>36</ns0:v>
      </ns0:c>
      <ns0:c r="I104" s="20" t="inlineStr">
        <ns0:is>
          <ns0:t>範囲内なし</ns0:t>
        </ns0:is>
      </ns0:c>
      <ns0:c r="J104" s="20" t="n">
        <ns0:v>5925.647230566237</ns0:v>
      </ns0:c>
      <ns0:c r="K104" s="20" t="n">
        <ns0:v>1622.170068218186</ns0:v>
      </ns0:c>
      <ns0:c r="L104" s="20" t="n">
        <ns0:v>142879.9419996446</ns0:v>
      </ns0:c>
      <ns0:c r="M104" s="20" t="n">
        <ns0:v>-41850.87230149517</ns0:v>
      </ns0:c>
      <ns0:c r="N104" s="20" t="n">
        <ns0:v>-37027.10179162744</ns0:v>
      </ns0:c>
      <ns0:c r="O104" s="20" t="n">
        <ns0:v>-7848.933328970612</ns0:v>
      </ns0:c>
      <ns0:c r="P104" s="20" t="n">
        <ns0:v>23259.06753592082</ns0:v>
      </ns0:c>
      <ns0:c r="Q104" s="20" t="n">
        <ns0:v>101029.0696981495</ns0:v>
      </ns0:c>
      <ns0:c r="R104" s="20" t="n">
        <ns0:v>370109.0783470641</ns0:v>
      </ns0:c>
      <ns0:c r="S104" s="20" t="n">
        <ns0:v>1388889.108618265</ns0:v>
      </ns0:c>
    </ns0:row>
    <ns0:row r="105" ht="32" customHeight="1">
      <ns0:c r="A105" s="20" t="inlineStr">
        <ns0:is>
          <ns0:t>round</ns0:t>
        </ns0:is>
      </ns0:c>
      <ns0:c r="B105" s="22" t="n">
        <ns0:v>0.3</ns0:v>
      </ns0:c>
      <ns0:c r="C105" s="20" t="n">
        <ns0:v>1</ns0:v>
      </ns0:c>
      <ns0:c r="D105" s="20" t="inlineStr">
        <ns0:is>
          <ns0:t>floor</ns0:t>
        </ns0:is>
      </ns0:c>
      <ns0:c r="E105" s="20" t="inlineStr">
        <ns0:is>
          <ns0:t>混在・パック50%</ns0:t>
        </ns0:is>
      </ns0:c>
      <ns0:c r="F105" s="22" t="n">
        <ns0:v>0.4</ns0:v>
      </ns0:c>
      <ns0:c r="G105" s="20" t="n">
        <ns0:v>27</ns0:v>
      </ns0:c>
      <ns0:c r="H105" s="20" t="n">
        <ns0:v>27</ns0:v>
      </ns0:c>
      <ns0:c r="I105" s="20" t="inlineStr">
        <ns0:is>
          <ns0:t>範囲内なし</ns0:t>
        </ns0:is>
      </ns0:c>
      <ns0:c r="J105" s="20" t="n">
        <ns0:v>6606.427989909642</ns0:v>
      </ns0:c>
      <ns0:c r="K105" s="20" t="n">
        <ns0:v>1414.16900945269</ns0:v>
      </ns0:c>
      <ns0:c r="L105" s="20" t="n">
        <ns0:v>184179.526984699</ns0:v>
      </ns0:c>
      <ns0:c r="M105" s="20" t="n">
        <ns0:v>-36312.43873059178</ns0:v>
      </ns0:c>
      <ns0:c r="N105" s="20" t="n">
        <ns0:v>-31127.40209086007</ns0:v>
      </ns0:c>
      <ns0:c r="O105" s="20" t="n">
        <ns0:v>6202.472237816713</ns0:v>
      </ns0:c>
      <ns0:c r="P105" s="20" t="n">
        <ns0:v>46678.07681389973</ns0:v>
      </ns0:c>
      <ns0:c r="Q105" s="20" t="n">
        <ns0:v>147867.0882541072</ns0:v>
      </ns0:c>
      <ns0:c r="R105" s="20" t="n">
        <ns0:v>510623.1340149374</ns0:v>
      </ns0:c>
      <ns0:c r="S105" s="20" t="n">
        <ns0:v>1857269.294177843</ns0:v>
      </ns0:c>
    </ns0:row>
    <ns0:row r="106" ht="32" customHeight="1">
      <ns0:c r="A106" s="20" t="inlineStr">
        <ns0:is>
          <ns0:t>round</ns0:t>
        </ns0:is>
      </ns0:c>
      <ns0:c r="B106" s="22" t="n">
        <ns0:v>0.3</ns0:v>
      </ns0:c>
      <ns0:c r="C106" s="20" t="n">
        <ns0:v>1</ns0:v>
      </ns0:c>
      <ns0:c r="D106" s="20" t="inlineStr">
        <ns0:is>
          <ns0:t>floor</ns0:t>
        </ns0:is>
      </ns0:c>
      <ns0:c r="E106" s="20" t="inlineStr">
        <ns0:is>
          <ns0:t>混在・パック50%</ns0:t>
        </ns0:is>
      </ns0:c>
      <ns0:c r="F106" s="22" t="n">
        <ns0:v>0.5</ns0:v>
      </ns0:c>
      <ns0:c r="G106" s="20" t="n">
        <ns0:v>33</ns0:v>
      </ns0:c>
      <ns0:c r="H106" s="20" t="n">
        <ns0:v>33</ns0:v>
      </ns0:c>
      <ns0:c r="I106" s="20" t="inlineStr">
        <ns0:is>
          <ns0:t>範囲内なし</ns0:t>
        </ns0:is>
      </ns0:c>
      <ns0:c r="J106" s="20" t="n">
        <ns0:v>6606.427989909642</ns0:v>
      </ns0:c>
      <ns0:c r="K106" s="20" t="n">
        <ns0:v>1767.711261815863</ns0:v>
      </ns0:c>
      <ns0:c r="L106" s="20" t="n">
        <ns0:v>157179.224074073</ns0:v>
      </ns0:c>
      <ns0:c r="M106" s="20" t="n">
        <ns0:v>-44666.36105628299</ns0:v>
      </ns0:c>
      <ns0:c r="N106" s="20" t="n">
        <ns0:v>-34662.82461449179</ns0:v>
      </ns0:c>
      <ns0:c r="O106" s="20" t="n">
        <ns0:v>-4403.795333078458</ns0:v>
      </ns0:c>
      <ns0:c r="P106" s="20" t="n">
        <ns0:v>29000.96419574113</ns0:v>
      </ns0:c>
      <ns0:c r="Q106" s="20" t="n">
        <ns0:v>112512.86301779</ns0:v>
      </ns0:c>
      <ns0:c r="R106" s="20" t="n">
        <ns0:v>404560.4583059856</ns0:v>
      </ns0:c>
      <ns0:c r="S106" s="20" t="n">
        <ns0:v>1503727.04181467</ns0:v>
      </ns0:c>
    </ns0:row>
    <ns0:row r="107" ht="32" customHeight="1">
      <ns0:c r="A107" s="20" t="inlineStr">
        <ns0:is>
          <ns0:t>round</ns0:t>
        </ns0:is>
      </ns0:c>
      <ns0:c r="B107" s="22" t="n">
        <ns0:v>0.3</ns0:v>
      </ns0:c>
      <ns0:c r="C107" s="20" t="n">
        <ns0:v>1</ns0:v>
      </ns0:c>
      <ns0:c r="D107" s="20" t="inlineStr">
        <ns0:is>
          <ns0:t>floor</ns0:t>
        </ns0:is>
      </ns0:c>
      <ns0:c r="E107" s="20" t="inlineStr">
        <ns0:is>
          <ns0:t>混在・パック70%</ns0:t>
        </ns0:is>
      </ns0:c>
      <ns0:c r="F107" s="22" t="n">
        <ns0:v>0.4</ns0:v>
      </ns0:c>
      <ns0:c r="G107" s="20" t="n">
        <ns0:v>26</ns0:v>
      </ns0:c>
      <ns0:c r="H107" s="20" t="n">
        <ns0:v>26</ns0:v>
      </ns0:c>
      <ns0:c r="I107" s="20" t="inlineStr">
        <ns0:is>
          <ns0:t>範囲内なし</ns0:t>
        </ns0:is>
      </ns0:c>
      <ns0:c r="J107" s="20" t="n">
        <ns0:v>7287.208749253046</ns0:v>
      </ns0:c>
      <ns0:c r="K107" s="20" t="n">
        <ns0:v>1530.601964330832</ns0:v>
      </ns0:c>
      <ns0:c r="L107" s="20" t="n">
        <ns0:v>200340.3827373442</ns0:v>
      </ns0:c>
      <ns0:c r="M107" s="20" t="n">
        <ns0:v>-38078.677291643</ns0:v>
      </ns0:c>
      <ns0:c r="N107" s="20" t="n">
        <ns0:v>-28472.04252652908</ns0:v>
      </ns0:c>
      <ns0:c r="O107" s="20" t="n">
        <ns0:v>10520.85739529495</ns0:v>
      </ns0:c>
      <ns0:c r="P107" s="20" t="n">
        <ns0:v>53875.3854096967</ns0:v>
      </ns0:c>
      <ns0:c r="Q107" s="20" t="n">
        <ns0:v>162261.7054457012</ns0:v>
      </ns0:c>
      <ns0:c r="R107" s="20" t="n">
        <ns0:v>553806.9855897196</ns0:v>
      </ns0:c>
      <ns0:c r="S107" s="20" t="n">
        <ns0:v>2001215.466093783</ns0:v>
      </ns0:c>
    </ns0:row>
    <ns0:row r="108" ht="32" customHeight="1">
      <ns0:c r="A108" s="20" t="inlineStr">
        <ns0:is>
          <ns0:t>round</ns0:t>
        </ns0:is>
      </ns0:c>
      <ns0:c r="B108" s="22" t="n">
        <ns0:v>0.3</ns0:v>
      </ns0:c>
      <ns0:c r="C108" s="20" t="n">
        <ns0:v>1</ns0:v>
      </ns0:c>
      <ns0:c r="D108" s="20" t="inlineStr">
        <ns0:is>
          <ns0:t>floor</ns0:t>
        </ns0:is>
      </ns0:c>
      <ns0:c r="E108" s="20" t="inlineStr">
        <ns0:is>
          <ns0:t>混在・パック70%</ns0:t>
        </ns0:is>
      </ns0:c>
      <ns0:c r="F108" s="22" t="n">
        <ns0:v>0.5</ns0:v>
      </ns0:c>
      <ns0:c r="G108" s="20" t="n">
        <ns0:v>31</ns0:v>
      </ns0:c>
      <ns0:c r="H108" s="20" t="n">
        <ns0:v>31</ns0:v>
      </ns0:c>
      <ns0:c r="I108" s="20" t="inlineStr">
        <ns0:is>
          <ns0:t>範囲内なし</ns0:t>
        </ns0:is>
      </ns0:c>
      <ns0:c r="J108" s="20" t="n">
        <ns0:v>7287.208749253046</ns0:v>
      </ns0:c>
      <ns0:c r="K108" s="20" t="n">
        <ns0:v>1913.25245541354</ns0:v>
      </ns0:c>
      <ns0:c r="L108" s="20" t="n">
        <ns0:v>171478.5061485013</ns0:v>
      </ns0:c>
      <ns0:c r="M108" s="20" t="n">
        <ns0:v>-47481.84981107087</ns0:v>
      </ns0:c>
      <ns0:c r="N108" s="20" t="n">
        <ns0:v>-32298.54743735616</ns0:v>
      </ns0:c>
      <ns0:c r="O108" s="20" t="n">
        <ns0:v>-958.6573371862905</ns0:v>
      </ns0:c>
      <ns0:c r="P108" s="20" t="n">
        <ns0:v>34742.86085556132</ns0:v>
      </ns0:c>
      <ns0:c r="Q108" s="20" t="n">
        <ns0:v>123996.6563374304</ns0:v>
      </ns0:c>
      <ns0:c r="R108" s="20" t="n">
        <ns0:v>439011.8382649074</ns0:v>
      </ns0:c>
      <ns0:c r="S108" s="20" t="n">
        <ns0:v>1618564.975011075</ns0:v>
      </ns0:c>
    </ns0:row>
    <ns0:row r="109" ht="32" customHeight="1">
      <ns0:c r="A109" s="20" t="inlineStr">
        <ns0:is>
          <ns0:t>round</ns0:t>
        </ns0:is>
      </ns0:c>
      <ns0:c r="B109" s="22" t="n">
        <ns0:v>0.3</ns0:v>
      </ns0:c>
      <ns0:c r="C109" s="20" t="n">
        <ns0:v>1</ns0:v>
      </ns0:c>
      <ns0:c r="D109" s="20" t="inlineStr">
        <ns0:is>
          <ns0:t>add</ns0:t>
        </ns0:is>
      </ns0:c>
      <ns0:c r="E109" s="20" t="inlineStr">
        <ns0:is>
          <ns0:t>パック単独</ns0:t>
        </ns0:is>
      </ns0:c>
      <ns0:c r="F109" s="22" t="n">
        <ns0:v>0.4</ns0:v>
      </ns0:c>
      <ns0:c r="G109" s="20" t="n">
        <ns0:v>33</ns0:v>
      </ns0:c>
      <ns0:c r="H109" s="20" t="n">
        <ns0:v>33</ns0:v>
      </ns0:c>
      <ns0:c r="I109" s="20" t="inlineStr">
        <ns0:is>
          <ns0:t>範囲内なし</ns0:t>
        </ns0:is>
      </ns0:c>
      <ns0:c r="J109" s="20" t="n">
        <ns0:v>8308.379888268153</ns0:v>
      </ns0:c>
      <ns0:c r="K109" s="20" t="n">
        <ns0:v>1705.251396648044</ns0:v>
      </ns0:c>
      <ns0:c r="L109" s="20" t="n">
        <ns0:v>202081.6663663122</ns0:v>
      </ns0:c>
      <ns0:c r="M109" s="20" t="n">
        <ns0:v>-40728.03513321981</ns0:v>
      </ns0:c>
      <ns0:c r="N109" s="20" t="n">
        <ns0:v>-38674.47804036778</ns0:v>
      </ns0:c>
      <ns0:c r="O109" s="20" t="n">
        <ns0:v>-5501.564868487731</ns0:v>
      </ns0:c>
      <ns0:c r="P109" s="20" t="n">
        <ns0:v>42171.34830339229</ns0:v>
      </ns0:c>
      <ns0:c r="Q109" s="20" t="n">
        <ns0:v>161353.6312330924</ns0:v>
      </ns0:c>
      <ns0:c r="R109" s="20" t="n">
        <ns0:v>596082.7629518926</ns0:v>
      </ns0:c>
      <ns0:c r="S109" s="20" t="n">
        <ns0:v>2194634.723967694</ns0:v>
      </ns0:c>
    </ns0:row>
    <ns0:row r="110" ht="32" customHeight="1">
      <ns0:c r="A110" s="20" t="inlineStr">
        <ns0:is>
          <ns0:t>round</ns0:t>
        </ns0:is>
      </ns0:c>
      <ns0:c r="B110" s="22" t="n">
        <ns0:v>0.3</ns0:v>
      </ns0:c>
      <ns0:c r="C110" s="20" t="n">
        <ns0:v>1</ns0:v>
      </ns0:c>
      <ns0:c r="D110" s="20" t="inlineStr">
        <ns0:is>
          <ns0:t>add</ns0:t>
        </ns0:is>
      </ns0:c>
      <ns0:c r="E110" s="20" t="inlineStr">
        <ns0:is>
          <ns0:t>パック単独</ns0:t>
        </ns0:is>
      </ns0:c>
      <ns0:c r="F110" s="22" t="n">
        <ns0:v>0.5</ns0:v>
      </ns0:c>
      <ns0:c r="G110" s="20" t="n">
        <ns0:v>40</ns0:v>
      </ns0:c>
      <ns0:c r="H110" s="20" t="n">
        <ns0:v>40</ns0:v>
      </ns0:c>
      <ns0:c r="I110" s="20" t="inlineStr">
        <ns0:is>
          <ns0:t>範囲内なし</ns0:t>
        </ns0:is>
      </ns0:c>
      <ns0:c r="J110" s="20" t="n">
        <ns0:v>8308.379888268153</ns0:v>
      </ns0:c>
      <ns0:c r="K110" s="20" t="n">
        <ns0:v>2131.564245810056</ns0:v>
      </ns0:c>
      <ns0:c r="L110" s="20" t="n">
        <ns0:v>170427.429260144</ns0:v>
      </ns0:c>
      <ns0:c r="M110" s="20" t="n">
        <ns0:v>-51705.08294325266</ns0:v>
      </ns0:c>
      <ns0:c r="N110" s="20" t="n">
        <ns0:v>-42937.60653198789</ns0:v>
      </ns0:c>
      <ns0:c r="O110" s="20" t="n">
        <ns0:v>-18290.95034334806</ns0:v>
      </ns0:c>
      <ns0:c r="P110" s="20" t="n">
        <ns0:v>20855.70584529175</ns0:v>
      </ns0:c>
      <ns0:c r="Q110" s="20" t="n">
        <ns0:v>118722.3463168913</ns0:v>
      </ns0:c>
      <ns0:c r="R110" s="20" t="n">
        <ns0:v>468188.9082032896</ns0:v>
      </ns0:c>
      <ns0:c r="S110" s="20" t="n">
        <ns0:v>1768321.874805682</ns0:v>
      </ns0:c>
    </ns0:row>
    <ns0:row r="111" ht="32" customHeight="1">
      <ns0:c r="A111" s="20" t="inlineStr">
        <ns0:is>
          <ns0:t>round</ns0:t>
        </ns0:is>
      </ns0:c>
      <ns0:c r="B111" s="22" t="n">
        <ns0:v>0.3</ns0:v>
      </ns0:c>
      <ns0:c r="C111" s="20" t="n">
        <ns0:v>1</ns0:v>
      </ns0:c>
      <ns0:c r="D111" s="20" t="inlineStr">
        <ns0:is>
          <ns0:t>add</ns0:t>
        </ns0:is>
      </ns0:c>
      <ns0:c r="E111" s="20" t="inlineStr">
        <ns0:is>
          <ns0:t>混在・パック30%</ns0:t>
        </ns0:is>
      </ns0:c>
      <ns0:c r="F111" s="22" t="n">
        <ns0:v>0.4</ns0:v>
      </ns0:c>
      <ns0:c r="G111" s="20" t="n">
        <ns0:v>41</ns0:v>
      </ns0:c>
      <ns0:c r="H111" s="20" t="n">
        <ns0:v>41</ns0:v>
      </ns0:c>
      <ns0:c r="I111" s="20" t="inlineStr">
        <ns0:is>
          <ns0:t>範囲内なし</ns0:t>
        </ns0:is>
      </ns0:c>
      <ns0:c r="J111" s="20" t="n">
        <ns0:v>5925.647230566237</ns0:v>
      </ns0:c>
      <ns0:c r="K111" s="20" t="n">
        <ns0:v>1297.736054574548</ns0:v>
      </ns0:c>
      <ns0:c r="L111" s="20" t="n">
        <ns0:v>145518.6712320538</ns0:v>
      </ns0:c>
      <ns0:c r="M111" s="20" t="n">
        <ns0:v>-34546.20016954058</ns0:v>
      </ns0:c>
      <ns0:c r="N111" s="20" t="n">
        <ns0:v>-43712.5940574257</ns0:v>
      </ns0:c>
      <ns0:c r="O111" s="20" t="n">
        <ns0:v>-20615.9129196615</ns0:v>
      </ns0:c>
      <ns0:c r="P111" s="20" t="n">
        <ns0:v>16980.76821810269</ns0:v>
      </ns0:c>
      <ns0:c r="Q111" s="20" t="n">
        <ns0:v>110972.4710625132</ns0:v>
      </ns0:c>
      <ns0:c r="R111" s="20" t="n">
        <ns0:v>444939.2824401552</ns0:v>
      </ns0:c>
      <ns0:c r="S111" s="20" t="n">
        <ns0:v>1690823.122261903</ns0:v>
      </ns0:c>
    </ns0:row>
    <ns0:row r="112" ht="32" customHeight="1">
      <ns0:c r="A112" s="20" t="inlineStr">
        <ns0:is>
          <ns0:t>round</ns0:t>
        </ns0:is>
      </ns0:c>
      <ns0:c r="B112" s="22" t="n">
        <ns0:v>0.3</ns0:v>
      </ns0:c>
      <ns0:c r="C112" s="20" t="n">
        <ns0:v>1</ns0:v>
      </ns0:c>
      <ns0:c r="D112" s="20" t="inlineStr">
        <ns0:is>
          <ns0:t>add</ns0:t>
        </ns0:is>
      </ns0:c>
      <ns0:c r="E112" s="20" t="inlineStr">
        <ns0:is>
          <ns0:t>混在・パック30%</ns0:t>
        </ns0:is>
      </ns0:c>
      <ns0:c r="F112" s="22" t="n">
        <ns0:v>0.5</ns0:v>
      </ns0:c>
      <ns0:c r="G112" s="20" t="n">
        <ns0:v>50</ns0:v>
      </ns0:c>
      <ns0:c r="H112" s="20" t="n">
        <ns0:v>50</ns0:v>
      </ns0:c>
      <ns0:c r="I112" s="20" t="inlineStr">
        <ns0:is>
          <ns0:t>範囲内なし</ns0:t>
        </ns0:is>
      </ns0:c>
      <ns0:c r="J112" s="20" t="n">
        <ns0:v>5925.647230566237</ns0:v>
      </ns0:c>
      <ns0:c r="K112" s="20" t="n">
        <ns0:v>1622.170068218186</ns0:v>
      </ns0:c>
      <ns0:c r="L112" s="20" t="n">
        <ns0:v>120379.9419996446</ns0:v>
      </ns0:c>
      <ns0:c r="M112" s="20" t="n">
        <ns0:v>-41850.87230149517</ns0:v>
      </ns0:c>
      <ns0:c r="N112" s="20" t="n">
        <ns0:v>-46956.93419386207</ns0:v>
      </ns0:c>
      <ns0:c r="O112" s="20" t="n">
        <ns0:v>-30348.93332897061</ns0:v>
      </ns0:c>
      <ns0:c r="P112" s="20" t="n">
        <ns0:v>759.0675359208108</ns0:v>
      </ns0:c>
      <ns0:c r="Q112" s="20" t="n">
        <ns0:v>78529.06969814944</ns0:v>
      </ns0:c>
      <ns0:c r="R112" s="20" t="n">
        <ns0:v>347609.0783470641</ns0:v>
      </ns0:c>
      <ns0:c r="S112" s="20" t="n">
        <ns0:v>1366389.108618265</ns0:v>
      </ns0:c>
    </ns0:row>
    <ns0:row r="113" ht="32" customHeight="1">
      <ns0:c r="A113" s="20" t="inlineStr">
        <ns0:is>
          <ns0:t>round</ns0:t>
        </ns0:is>
      </ns0:c>
      <ns0:c r="B113" s="22" t="n">
        <ns0:v>0.3</ns0:v>
      </ns0:c>
      <ns0:c r="C113" s="20" t="n">
        <ns0:v>1</ns0:v>
      </ns0:c>
      <ns0:c r="D113" s="20" t="inlineStr">
        <ns0:is>
          <ns0:t>add</ns0:t>
        </ns0:is>
      </ns0:c>
      <ns0:c r="E113" s="20" t="inlineStr">
        <ns0:is>
          <ns0:t>混在・パック50%</ns0:t>
        </ns0:is>
      </ns0:c>
      <ns0:c r="F113" s="22" t="n">
        <ns0:v>0.4</ns0:v>
      </ns0:c>
      <ns0:c r="G113" s="20" t="n">
        <ns0:v>39</ns0:v>
      </ns0:c>
      <ns0:c r="H113" s="20" t="n">
        <ns0:v>39</ns0:v>
      </ns0:c>
      <ns0:c r="I113" s="20" t="inlineStr">
        <ns0:is>
          <ns0:t>範囲内なし</ns0:t>
        </ns0:is>
      </ns0:c>
      <ns0:c r="J113" s="20" t="n">
        <ns0:v>6606.427989909642</ns0:v>
      </ns0:c>
      <ns0:c r="K113" s="20" t="n">
        <ns0:v>1414.16900945269</ns0:v>
      </ns0:c>
      <ns0:c r="L113" s="20" t="n">
        <ns0:v>161679.526984699</ns0:v>
      </ns0:c>
      <ns0:c r="M113" s="20" t="n">
        <ns0:v>-36312.43873059178</ns0:v>
      </ns0:c>
      <ns0:c r="N113" s="20" t="n">
        <ns0:v>-42273.1323382663</ns0:v>
      </ns0:c>
      <ns0:c r="O113" s="20" t="n">
        <ns0:v>-16297.52776218329</ns0:v>
      </ns0:c>
      <ns0:c r="P113" s="20" t="n">
        <ns0:v>24178.07681389973</ns0:v>
      </ns0:c>
      <ns0:c r="Q113" s="20" t="n">
        <ns0:v>125367.0882541072</ns0:v>
      </ns0:c>
      <ns0:c r="R113" s="20" t="n">
        <ns0:v>488123.1340149374</ns0:v>
      </ns0:c>
      <ns0:c r="S113" s="20" t="n">
        <ns0:v>1834769.294177843</ns0:v>
      </ns0:c>
    </ns0:row>
    <ns0:row r="114" ht="32" customHeight="1">
      <ns0:c r="A114" s="20" t="inlineStr">
        <ns0:is>
          <ns0:t>round</ns0:t>
        </ns0:is>
      </ns0:c>
      <ns0:c r="B114" s="22" t="n">
        <ns0:v>0.3</ns0:v>
      </ns0:c>
      <ns0:c r="C114" s="20" t="n">
        <ns0:v>1</ns0:v>
      </ns0:c>
      <ns0:c r="D114" s="20" t="inlineStr">
        <ns0:is>
          <ns0:t>add</ns0:t>
        </ns0:is>
      </ns0:c>
      <ns0:c r="E114" s="20" t="inlineStr">
        <ns0:is>
          <ns0:t>混在・パック50%</ns0:t>
        </ns0:is>
      </ns0:c>
      <ns0:c r="F114" s="22" t="n">
        <ns0:v>0.5</ns0:v>
      </ns0:c>
      <ns0:c r="G114" s="20" t="n">
        <ns0:v>47</ns0:v>
      </ns0:c>
      <ns0:c r="H114" s="20" t="n">
        <ns0:v>47</ns0:v>
      </ns0:c>
      <ns0:c r="I114" s="20" t="inlineStr">
        <ns0:is>
          <ns0:t>範囲内なし</ns0:t>
        </ns0:is>
      </ns0:c>
      <ns0:c r="J114" s="20" t="n">
        <ns0:v>6606.427989909642</ns0:v>
      </ns0:c>
      <ns0:c r="K114" s="20" t="n">
        <ns0:v>1767.711261815863</ns0:v>
      </ns0:c>
      <ns0:c r="L114" s="20" t="n">
        <ns0:v>134679.224074073</ns0:v>
      </ns0:c>
      <ns0:c r="M114" s="20" t="n">
        <ns0:v>-44666.36105628299</ns0:v>
      </ns0:c>
      <ns0:c r="N114" s="20" t="n">
        <ns0:v>-45808.55486189802</ns0:v>
      </ns0:c>
      <ns0:c r="O114" s="20" t="n">
        <ns0:v>-26903.79533307847</ns0:v>
      </ns0:c>
      <ns0:c r="P114" s="20" t="n">
        <ns0:v>6500.96419574113</ns0:v>
      </ns0:c>
      <ns0:c r="Q114" s="20" t="n">
        <ns0:v>90012.86301779005</ns0:v>
      </ns0:c>
      <ns0:c r="R114" s="20" t="n">
        <ns0:v>382060.4583059856</ns0:v>
      </ns0:c>
      <ns0:c r="S114" s="20" t="n">
        <ns0:v>1481227.04181467</ns0:v>
      </ns0:c>
    </ns0:row>
    <ns0:row r="115" ht="32" customHeight="1">
      <ns0:c r="A115" s="20" t="inlineStr">
        <ns0:is>
          <ns0:t>round</ns0:t>
        </ns0:is>
      </ns0:c>
      <ns0:c r="B115" s="22" t="n">
        <ns0:v>0.3</ns0:v>
      </ns0:c>
      <ns0:c r="C115" s="20" t="n">
        <ns0:v>1</ns0:v>
      </ns0:c>
      <ns0:c r="D115" s="20" t="inlineStr">
        <ns0:is>
          <ns0:t>add</ns0:t>
        </ns0:is>
      </ns0:c>
      <ns0:c r="E115" s="20" t="inlineStr">
        <ns0:is>
          <ns0:t>混在・パック70%</ns0:t>
        </ns0:is>
      </ns0:c>
      <ns0:c r="F115" s="22" t="n">
        <ns0:v>0.4</ns0:v>
      </ns0:c>
      <ns0:c r="G115" s="20" t="n">
        <ns0:v>36</ns0:v>
      </ns0:c>
      <ns0:c r="H115" s="20" t="n">
        <ns0:v>36</ns0:v>
      </ns0:c>
      <ns0:c r="I115" s="20" t="inlineStr">
        <ns0:is>
          <ns0:t>範囲内なし</ns0:t>
        </ns0:is>
      </ns0:c>
      <ns0:c r="J115" s="20" t="n">
        <ns0:v>7287.208749253046</ns0:v>
      </ns0:c>
      <ns0:c r="K115" s="20" t="n">
        <ns0:v>1530.601964330832</ns0:v>
      </ns0:c>
      <ns0:c r="L115" s="20" t="n">
        <ns0:v>177840.3827373442</ns0:v>
      </ns0:c>
      <ns0:c r="M115" s="20" t="n">
        <ns0:v>-38078.677291643</ns0:v>
      </ns0:c>
      <ns0:c r="N115" s="20" t="n">
        <ns0:v>-40833.67061910689</ns0:v>
      </ns0:c>
      <ns0:c r="O115" s="20" t="n">
        <ns0:v>-11979.14260470506</ns0:v>
      </ns0:c>
      <ns0:c r="P115" s="20" t="n">
        <ns0:v>31375.38540969671</ns0:v>
      </ns0:c>
      <ns0:c r="Q115" s="20" t="n">
        <ns0:v>139761.7054457012</ns0:v>
      </ns0:c>
      <ns0:c r="R115" s="20" t="n">
        <ns0:v>531306.9855897196</ns0:v>
      </ns0:c>
      <ns0:c r="S115" s="20" t="n">
        <ns0:v>1978715.466093783</ns0:v>
      </ns0:c>
    </ns0:row>
    <ns0:row r="116" ht="32" customHeight="1">
      <ns0:c r="A116" s="20" t="inlineStr">
        <ns0:is>
          <ns0:t>round</ns0:t>
        </ns0:is>
      </ns0:c>
      <ns0:c r="B116" s="22" t="n">
        <ns0:v>0.3</ns0:v>
      </ns0:c>
      <ns0:c r="C116" s="20" t="n">
        <ns0:v>1</ns0:v>
      </ns0:c>
      <ns0:c r="D116" s="20" t="inlineStr">
        <ns0:is>
          <ns0:t>add</ns0:t>
        </ns0:is>
      </ns0:c>
      <ns0:c r="E116" s="20" t="inlineStr">
        <ns0:is>
          <ns0:t>混在・パック70%</ns0:t>
        </ns0:is>
      </ns0:c>
      <ns0:c r="F116" s="22" t="n">
        <ns0:v>0.5</ns0:v>
      </ns0:c>
      <ns0:c r="G116" s="20" t="n">
        <ns0:v>44</ns0:v>
      </ns0:c>
      <ns0:c r="H116" s="20" t="n">
        <ns0:v>44</ns0:v>
      </ns0:c>
      <ns0:c r="I116" s="20" t="inlineStr">
        <ns0:is>
          <ns0:t>範囲内なし</ns0:t>
        </ns0:is>
      </ns0:c>
      <ns0:c r="J116" s="20" t="n">
        <ns0:v>7287.208749253046</ns0:v>
      </ns0:c>
      <ns0:c r="K116" s="20" t="n">
        <ns0:v>1913.25245541354</ns0:v>
      </ns0:c>
      <ns0:c r="L116" s="20" t="n">
        <ns0:v>148978.5061485013</ns0:v>
      </ns0:c>
      <ns0:c r="M116" s="20" t="n">
        <ns0:v>-47481.84981107087</ns0:v>
      </ns0:c>
      <ns0:c r="N116" s="20" t="n">
        <ns0:v>-44660.17552993397</ns0:v>
      </ns0:c>
      <ns0:c r="O116" s="20" t="n">
        <ns0:v>-23458.6573371863</ns0:v>
      </ns0:c>
      <ns0:c r="P116" s="20" t="n">
        <ns0:v>12242.86085556133</ns0:v>
      </ns0:c>
      <ns0:c r="Q116" s="20" t="n">
        <ns0:v>101496.6563374305</ns0:v>
      </ns0:c>
      <ns0:c r="R116" s="20" t="n">
        <ns0:v>416511.8382649074</ns0:v>
      </ns0:c>
      <ns0:c r="S116" s="20" t="n">
        <ns0:v>1596064.975011075</ns0:v>
      </ns0:c>
    </ns0:row>
    <ns0:row r="117" ht="32" customHeight="1">
      <ns0:c r="A117" s="20" t="inlineStr">
        <ns0:is>
          <ns0:t>round</ns0:t>
        </ns0:is>
      </ns0:c>
      <ns0:c r="B117" s="22" t="n">
        <ns0:v>0.3</ns0:v>
      </ns0:c>
      <ns0:c r="C117" s="20" t="n">
        <ns0:v>0</ns0:v>
      </ns0:c>
      <ns0:c r="D117" s="20" t="inlineStr">
        <ns0:is>
          <ns0:t>floor</ns0:t>
        </ns0:is>
      </ns0:c>
      <ns0:c r="E117" s="20" t="inlineStr">
        <ns0:is>
          <ns0:t>パック単独</ns0:t>
        </ns0:is>
      </ns0:c>
      <ns0:c r="F117" s="22" t="n">
        <ns0:v>0.4</ns0:v>
      </ns0:c>
      <ns0:c r="G117" s="20" t="n">
        <ns0:v>9</ns0:v>
      </ns0:c>
      <ns0:c r="H117" s="20" t="n">
        <ns0:v>9</ns0:v>
      </ns0:c>
      <ns0:c r="I117" s="20" t="n">
        <ns0:v>36</ns0:v>
      </ns0:c>
      <ns0:c r="J117" s="20" t="n">
        <ns0:v>8308.379888268153</ns0:v>
      </ns0:c>
      <ns0:c r="K117" s="20" t="n">
        <ns0:v>1705.251396648044</ns0:v>
      </ns0:c>
      <ns0:c r="L117" s="20" t="n">
        <ns0:v>300767.8861056045</ns0:v>
      </ns0:c>
      <ns0:c r="M117" s="20" t="n">
        <ns0:v>48610.88479229228</ns0:v>
      </ns0:c>
      <ns0:c r="N117" s="20" t="n">
        <ns0:v>5663.510786447854</ns0:v>
      </ns0:c>
      <ns0:c r="O117" s="20" t="n">
        <ns0:v>83455.97703095361</ns0:v>
      </ns0:c>
      <ns0:c r="P117" s="20" t="n">
        <ns0:v>159433.9181357945</ns0:v>
      </ns0:c>
      <ns0:c r="Q117" s="20" t="n">
        <ns0:v>349378.7708978967</ns0:v>
      </ns0:c>
      <ns0:c r="R117" s="20" t="n">
        <ns0:v>1083158.181946306</ns0:v>
      </ns0:c>
      <ns0:c r="S117" s="20" t="n">
        <ns0:v>3704386.120615738</ns0:v>
      </ns0:c>
    </ns0:row>
    <ns0:row r="118" ht="32" customHeight="1">
      <ns0:c r="A118" s="20" t="inlineStr">
        <ns0:is>
          <ns0:t>round</ns0:t>
        </ns0:is>
      </ns0:c>
      <ns0:c r="B118" s="22" t="n">
        <ns0:v>0.3</ns0:v>
      </ns0:c>
      <ns0:c r="C118" s="20" t="n">
        <ns0:v>0</ns0:v>
      </ns0:c>
      <ns0:c r="D118" s="20" t="inlineStr">
        <ns0:is>
          <ns0:t>floor</ns0:t>
        </ns0:is>
      </ns0:c>
      <ns0:c r="E118" s="20" t="inlineStr">
        <ns0:is>
          <ns0:t>パック単独</ns0:t>
        </ns0:is>
      </ns0:c>
      <ns0:c r="F118" s="22" t="n">
        <ns0:v>0.5</ns0:v>
      </ns0:c>
      <ns0:c r="G118" s="20" t="n">
        <ns0:v>10</ns0:v>
      </ns0:c>
      <ns0:c r="H118" s="20" t="n">
        <ns0:v>12</ns0:v>
      </ns0:c>
      <ns0:c r="I118" s="20" t="n">
        <ns0:v>42</ns0:v>
      </ns0:c>
      <ns0:c r="J118" s="20" t="n">
        <ns0:v>8308.379888268153</ns0:v>
      </ns0:c>
      <ns0:c r="K118" s="20" t="n">
        <ns0:v>2131.564245810056</ns0:v>
      </ns0:c>
      <ns0:c r="L118" s="20" t="n">
        <ns0:v>269113.6489994363</ns0:v>
      </ns0:c>
      <ns0:c r="M118" s="20" t="n">
        <ns0:v>37633.83698225943</ns0:v>
      </ns0:c>
      <ns0:c r="N118" s="20" t="n">
        <ns0:v>1400.382294827743</ns0:v>
      </ns0:c>
      <ns0:c r="O118" s="20" t="n">
        <ns0:v>70666.59155609326</ns0:v>
      </ns0:c>
      <ns0:c r="P118" s="20" t="n">
        <ns0:v>138118.2756776939</ns0:v>
      </ns0:c>
      <ns0:c r="Q118" s="20" t="n">
        <ns0:v>306747.4859816957</ns0:v>
      </ns0:c>
      <ns0:c r="R118" s="20" t="n">
        <ns0:v>955264.327197703</ns0:v>
      </ns0:c>
      <ns0:c r="S118" s="20" t="n">
        <ns0:v>3278073.271453727</ns0:v>
      </ns0:c>
    </ns0:row>
    <ns0:row r="119" ht="32" customHeight="1">
      <ns0:c r="A119" s="20" t="inlineStr">
        <ns0:is>
          <ns0:t>round</ns0:t>
        </ns0:is>
      </ns0:c>
      <ns0:c r="B119" s="22" t="n">
        <ns0:v>0.3</ns0:v>
      </ns0:c>
      <ns0:c r="C119" s="20" t="n">
        <ns0:v>0</ns0:v>
      </ns0:c>
      <ns0:c r="D119" s="20" t="inlineStr">
        <ns0:is>
          <ns0:t>floor</ns0:t>
        </ns0:is>
      </ns0:c>
      <ns0:c r="E119" s="20" t="inlineStr">
        <ns0:is>
          <ns0:t>混在・パック30%</ns0:t>
        </ns0:is>
      </ns0:c>
      <ns0:c r="F119" s="22" t="n">
        <ns0:v>0.4</ns0:v>
      </ns0:c>
      <ns0:c r="G119" s="20" t="n">
        <ns0:v>13</ns0:v>
      </ns0:c>
      <ns0:c r="H119" s="20" t="n">
        <ns0:v>13</ns0:v>
      </ns0:c>
      <ns0:c r="I119" s="20" t="n">
        <ns0:v>55</ns0:v>
      </ns0:c>
      <ns0:c r="J119" s="20" t="n">
        <ns0:v>5925.647230566237</ns0:v>
      </ns0:c>
      <ns0:c r="K119" s="20" t="n">
        <ns0:v>1297.736054574548</ns0:v>
      </ns0:c>
      <ns0:c r="L119" s="20" t="n">
        <ns0:v>226149.0250495584</ns0:v>
      </ns0:c>
      <ns0:c r="M119" s="20" t="n">
        <ns0:v>22156.48083323867</ns0:v>
      </ns0:c>
      <ns0:c r="N119" s="20" t="n">
        <ns0:v>-8699.458173162675</ns0:v>
      </ns0:c>
      <ns0:c r="O119" s="20" t="n">
        <ns0:v>53133.99752642367</ns0:v>
      </ns0:c>
      <ns0:c r="P119" s="20" t="n">
        <ns0:v>108897.2856282447</ns0:v>
      </ns0:c>
      <ns0:c r="Q119" s="20" t="n">
        <ns0:v>248305.5058827971</ns0:v>
      </ns0:c>
      <ns0:c r="R119" s="20" t="n">
        <ns0:v>779938.3869010068</ns0:v>
      </ns0:c>
      <ns0:c r="S119" s="20" t="n">
        <ns0:v>2693653.470464741</ns0:v>
      </ns0:c>
    </ns0:row>
    <ns0:row r="120" ht="32" customHeight="1">
      <ns0:c r="A120" s="20" t="inlineStr">
        <ns0:is>
          <ns0:t>round</ns0:t>
        </ns0:is>
      </ns0:c>
      <ns0:c r="B120" s="22" t="n">
        <ns0:v>0.3</ns0:v>
      </ns0:c>
      <ns0:c r="C120" s="20" t="n">
        <ns0:v>0</ns0:v>
      </ns0:c>
      <ns0:c r="D120" s="20" t="inlineStr">
        <ns0:is>
          <ns0:t>floor</ns0:t>
        </ns0:is>
      </ns0:c>
      <ns0:c r="E120" s="20" t="inlineStr">
        <ns0:is>
          <ns0:t>混在・パック30%</ns0:t>
        </ns0:is>
      </ns0:c>
      <ns0:c r="F120" s="22" t="n">
        <ns0:v>0.5</ns0:v>
      </ns0:c>
      <ns0:c r="G120" s="20" t="n">
        <ns0:v>14</ns0:v>
      </ns0:c>
      <ns0:c r="H120" s="20" t="n">
        <ns0:v>14</ns0:v>
      </ns0:c>
      <ns0:c r="I120" s="20" t="n">
        <ns0:v>65</ns0:v>
      </ns0:c>
      <ns0:c r="J120" s="20" t="n">
        <ns0:v>5925.647230566237</ns0:v>
      </ns0:c>
      <ns0:c r="K120" s="20" t="n">
        <ns0:v>1622.170068218186</ns0:v>
      </ns0:c>
      <ns0:c r="L120" s="20" t="n">
        <ns0:v>201010.2958171493</ns0:v>
      </ns0:c>
      <ns0:c r="M120" s="20" t="n">
        <ns0:v>14851.80870128408</ns0:v>
      </ns0:c>
      <ns0:c r="N120" s="20" t="n">
        <ns0:v>-11943.79830959905</ns0:v>
      </ns0:c>
      <ns0:c r="O120" s="20" t="n">
        <ns0:v>43400.97711711455</ns0:v>
      </ns0:c>
      <ns0:c r="P120" s="20" t="n">
        <ns0:v>92675.58494606278</ns0:v>
      </ns0:c>
      <ns0:c r="Q120" s="20" t="n">
        <ns0:v>215862.1045184334</ns0:v>
      </ns0:c>
      <ns0:c r="R120" s="20" t="n">
        <ns0:v>682608.1828079157</ns0:v>
      </ns0:c>
      <ns0:c r="S120" s="20" t="n">
        <ns0:v>2369219.456821105</ns0:v>
      </ns0:c>
    </ns0:row>
    <ns0:row r="121" ht="32" customHeight="1">
      <ns0:c r="A121" s="20" t="inlineStr">
        <ns0:is>
          <ns0:t>round</ns0:t>
        </ns0:is>
      </ns0:c>
      <ns0:c r="B121" s="22" t="n">
        <ns0:v>0.3</ns0:v>
      </ns0:c>
      <ns0:c r="C121" s="20" t="n">
        <ns0:v>0</ns0:v>
      </ns0:c>
      <ns0:c r="D121" s="20" t="inlineStr">
        <ns0:is>
          <ns0:t>floor</ns0:t>
        </ns0:is>
      </ns0:c>
      <ns0:c r="E121" s="20" t="inlineStr">
        <ns0:is>
          <ns0:t>混在・パック50%</ns0:t>
        </ns0:is>
      </ns0:c>
      <ns0:c r="F121" s="22" t="n">
        <ns0:v>0.4</ns0:v>
      </ns0:c>
      <ns0:c r="G121" s="20" t="n">
        <ns0:v>12</ns0:v>
      </ns0:c>
      <ns0:c r="H121" s="20" t="n">
        <ns0:v>12</ns0:v>
      </ns0:c>
      <ns0:c r="I121" s="20" t="n">
        <ns0:v>48</ns0:v>
      </ns0:c>
      <ns0:c r="J121" s="20" t="n">
        <ns0:v>6606.427989909642</ns0:v>
      </ns0:c>
      <ns0:c r="K121" s="20" t="n">
        <ns0:v>1414.16900945269</ns0:v>
      </ns0:c>
      <ns0:c r="L121" s="20" t="n">
        <ns0:v>247468.6996370002</ns0:v>
      </ns0:c>
      <ns0:c r="M121" s="20" t="n">
        <ns0:v>29714.88196439685</ns0:v>
      </ns0:c>
      <ns0:c r="N121" s="20" t="n">
        <ns0:v>-4595.752756131096</ns0:v>
      </ns0:c>
      <ns0:c r="O121" s="20" t="n">
        <ns0:v>61797.42024200366</ns0:v>
      </ns0:c>
      <ns0:c r="P121" s="20" t="n">
        <ns0:v>123336.3234875446</ns0:v>
      </ns0:c>
      <ns0:c r="Q121" s="20" t="n">
        <ns0:v>277183.581601397</ns0:v>
      </ns0:c>
      <ns0:c r="R121" s="20" t="n">
        <ns0:v>866572.6140568068</ns0:v>
      </ns0:c>
      <ns0:c r="S121" s="20" t="n">
        <ns0:v>2982434.227650741</ns0:v>
      </ns0:c>
    </ns0:row>
    <ns0:row r="122" ht="32" customHeight="1">
      <ns0:c r="A122" s="20" t="inlineStr">
        <ns0:is>
          <ns0:t>round</ns0:t>
        </ns0:is>
      </ns0:c>
      <ns0:c r="B122" s="22" t="n">
        <ns0:v>0.3</ns0:v>
      </ns0:c>
      <ns0:c r="C122" s="20" t="n">
        <ns0:v>0</ns0:v>
      </ns0:c>
      <ns0:c r="D122" s="20" t="inlineStr">
        <ns0:is>
          <ns0:t>floor</ns0:t>
        </ns0:is>
      </ns0:c>
      <ns0:c r="E122" s="20" t="inlineStr">
        <ns0:is>
          <ns0:t>混在・パック50%</ns0:t>
        </ns0:is>
      </ns0:c>
      <ns0:c r="F122" s="22" t="n">
        <ns0:v>0.5</ns0:v>
      </ns0:c>
      <ns0:c r="G122" s="20" t="n">
        <ns0:v>13</ns0:v>
      </ns0:c>
      <ns0:c r="H122" s="20" t="n">
        <ns0:v>13</ns0:v>
      </ns0:c>
      <ns0:c r="I122" s="20" t="n">
        <ns0:v>56</ns0:v>
      </ns0:c>
      <ns0:c r="J122" s="20" t="n">
        <ns0:v>6606.427989909642</ns0:v>
      </ns0:c>
      <ns0:c r="K122" s="20" t="n">
        <ns0:v>1767.711261815863</ns0:v>
      </ns0:c>
      <ns0:c r="L122" s="20" t="n">
        <ns0:v>220468.3967263742</ns0:v>
      </ns0:c>
      <ns0:c r="M122" s="20" t="n">
        <ns0:v>21360.95963870564</ns0:v>
      </ns0:c>
      <ns0:c r="N122" s="20" t="n">
        <ns0:v>-8131.175279762818</ns0:v>
      </ns0:c>
      <ns0:c r="O122" s="20" t="n">
        <ns0:v>51191.15267110847</ns0:v>
      </ns0:c>
      <ns0:c r="P122" s="20" t="n">
        <ns0:v>105659.210869386</ns0:v>
      </ns0:c>
      <ns0:c r="Q122" s="20" t="n">
        <ns0:v>241829.3563650798</ns0:v>
      </ns0:c>
      <ns0:c r="R122" s="20" t="n">
        <ns0:v>760509.9383478549</ns0:v>
      </ns0:c>
      <ns0:c r="S122" s="20" t="n">
        <ns0:v>2628891.975287568</ns0:v>
      </ns0:c>
    </ns0:row>
    <ns0:row r="123" ht="32" customHeight="1">
      <ns0:c r="A123" s="20" t="inlineStr">
        <ns0:is>
          <ns0:t>round</ns0:t>
        </ns0:is>
      </ns0:c>
      <ns0:c r="B123" s="22" t="n">
        <ns0:v>0.3</ns0:v>
      </ns0:c>
      <ns0:c r="C123" s="20" t="n">
        <ns0:v>0</ns0:v>
      </ns0:c>
      <ns0:c r="D123" s="20" t="inlineStr">
        <ns0:is>
          <ns0:t>floor</ns0:t>
        </ns0:is>
      </ns0:c>
      <ns0:c r="E123" s="20" t="inlineStr">
        <ns0:is>
          <ns0:t>混在・パック70%</ns0:t>
        </ns0:is>
      </ns0:c>
      <ns0:c r="F123" s="22" t="n">
        <ns0:v>0.4</ns0:v>
      </ns0:c>
      <ns0:c r="G123" s="20" t="n">
        <ns0:v>11</ns0:v>
      </ns0:c>
      <ns0:c r="H123" s="20" t="n">
        <ns0:v>11</ns0:v>
      </ns0:c>
      <ns0:c r="I123" s="20" t="n">
        <ns0:v>42</ns0:v>
      </ns0:c>
      <ns0:c r="J123" s="20" t="n">
        <ns0:v>7287.208749253046</ns0:v>
      </ns0:c>
      <ns0:c r="K123" s="20" t="n">
        <ns0:v>1530.601964330832</ns0:v>
      </ns0:c>
      <ns0:c r="L123" s="20" t="n">
        <ns0:v>268788.3742244418</ns0:v>
      </ns0:c>
      <ns0:c r="M123" s="20" t="n">
        <ns0:v>37273.28309555502</ns0:v>
      </ns0:c>
      <ns0:c r="N123" s="20" t="n">
        <ns0:v>-492.0473390995139</ns0:v>
      </ns0:c>
      <ns0:c r="O123" s="20" t="n">
        <ns0:v>70460.84295758363</ns0:v>
      </ns0:c>
      <ns0:c r="P123" s="20" t="n">
        <ns0:v>137775.3613468445</ns0:v>
      </ns0:c>
      <ns0:c r="Q123" s="20" t="n">
        <ns0:v>306061.6573199969</ns0:v>
      </ns0:c>
      <ns0:c r="R123" s="20" t="n">
        <ns0:v>953206.8412126064</ns0:v>
      </ns0:c>
      <ns0:c r="S123" s="20" t="n">
        <ns0:v>3271214.984836739</ns0:v>
      </ns0:c>
    </ns0:row>
    <ns0:row r="124" ht="32" customHeight="1">
      <ns0:c r="A124" s="20" t="inlineStr">
        <ns0:is>
          <ns0:t>round</ns0:t>
        </ns0:is>
      </ns0:c>
      <ns0:c r="B124" s="22" t="n">
        <ns0:v>0.3</ns0:v>
      </ns0:c>
      <ns0:c r="C124" s="20" t="n">
        <ns0:v>0</ns0:v>
      </ns0:c>
      <ns0:c r="D124" s="20" t="inlineStr">
        <ns0:is>
          <ns0:t>floor</ns0:t>
        </ns0:is>
      </ns0:c>
      <ns0:c r="E124" s="20" t="inlineStr">
        <ns0:is>
          <ns0:t>混在・パック70%</ns0:t>
        </ns0:is>
      </ns0:c>
      <ns0:c r="F124" s="22" t="n">
        <ns0:v>0.5</ns0:v>
      </ns0:c>
      <ns0:c r="G124" s="20" t="n">
        <ns0:v>12</ns0:v>
      </ns0:c>
      <ns0:c r="H124" s="20" t="n">
        <ns0:v>12</ns0:v>
      </ns0:c>
      <ns0:c r="I124" s="20" t="n">
        <ns0:v>49</ns0:v>
      </ns0:c>
      <ns0:c r="J124" s="20" t="n">
        <ns0:v>7287.208749253046</ns0:v>
      </ns0:c>
      <ns0:c r="K124" s="20" t="n">
        <ns0:v>1913.25245541354</ns0:v>
      </ns0:c>
      <ns0:c r="L124" s="20" t="n">
        <ns0:v>239926.4976355989</ns0:v>
      </ns0:c>
      <ns0:c r="M124" s="20" t="n">
        <ns0:v>27870.11057612715</ns0:v>
      </ns0:c>
      <ns0:c r="N124" s="20" t="n">
        <ns0:v>-4318.552249926597</ns0:v>
      </ns0:c>
      <ns0:c r="O124" s="20" t="n">
        <ns0:v>58981.3282251024</ns0:v>
      </ns0:c>
      <ns0:c r="P124" s="20" t="n">
        <ns0:v>118642.8367927091</ns0:v>
      </ns0:c>
      <ns0:c r="Q124" s="20" t="n">
        <ns0:v>267796.6082117261</ns0:v>
      </ns0:c>
      <ns0:c r="R124" s="20" t="n">
        <ns0:v>838411.6938877943</ns0:v>
      </ns0:c>
      <ns0:c r="S124" s="20" t="n">
        <ns0:v>2888564.493754031</ns0:v>
      </ns0:c>
    </ns0:row>
    <ns0:row r="125" ht="32" customHeight="1">
      <ns0:c r="A125" s="20" t="inlineStr">
        <ns0:is>
          <ns0:t>round</ns0:t>
        </ns0:is>
      </ns0:c>
      <ns0:c r="B125" s="22" t="n">
        <ns0:v>0.3</ns0:v>
      </ns0:c>
      <ns0:c r="C125" s="20" t="n">
        <ns0:v>0</ns0:v>
      </ns0:c>
      <ns0:c r="D125" s="20" t="inlineStr">
        <ns0:is>
          <ns0:t>add</ns0:t>
        </ns0:is>
      </ns0:c>
      <ns0:c r="E125" s="20" t="inlineStr">
        <ns0:is>
          <ns0:t>パック単独</ns0:t>
        </ns0:is>
      </ns0:c>
      <ns0:c r="F125" s="22" t="n">
        <ns0:v>0.4</ns0:v>
      </ns0:c>
      <ns0:c r="G125" s="20" t="n">
        <ns0:v>14</ns0:v>
      </ns0:c>
      <ns0:c r="H125" s="20" t="n">
        <ns0:v>14</ns0:v>
      </ns0:c>
      <ns0:c r="I125" s="20" t="n">
        <ns0:v>36</ns0:v>
      </ns0:c>
      <ns0:c r="J125" s="20" t="n">
        <ns0:v>8308.379888268153</ns0:v>
      </ns0:c>
      <ns0:c r="K125" s="20" t="n">
        <ns0:v>1705.251396648044</ns0:v>
      </ns0:c>
      <ns0:c r="L125" s="20" t="n">
        <ns0:v>278267.8861056045</ns0:v>
      </ns0:c>
      <ns0:c r="M125" s="20" t="n">
        <ns0:v>48610.88479229228</ns0:v>
      </ns0:c>
      <ns0:c r="N125" s="20" t="n">
        <ns0:v>-8521.964073887337</ns0:v>
      </ns0:c>
      <ns0:c r="O125" s="20" t="n">
        <ns0:v>60955.97703095361</ns0:v>
      </ns0:c>
      <ns0:c r="P125" s="20" t="n">
        <ns0:v>136933.9181357945</ns0:v>
      </ns0:c>
      <ns0:c r="Q125" s="20" t="n">
        <ns0:v>326878.7708978968</ns0:v>
      </ns0:c>
      <ns0:c r="R125" s="20" t="n">
        <ns0:v>1060658.181946306</ns0:v>
      </ns0:c>
      <ns0:c r="S125" s="20" t="n">
        <ns0:v>3681886.120615738</ns0:v>
      </ns0:c>
    </ns0:row>
    <ns0:row r="126" ht="32" customHeight="1">
      <ns0:c r="A126" s="20" t="inlineStr">
        <ns0:is>
          <ns0:t>round</ns0:t>
        </ns0:is>
      </ns0:c>
      <ns0:c r="B126" s="22" t="n">
        <ns0:v>0.3</ns0:v>
      </ns0:c>
      <ns0:c r="C126" s="20" t="n">
        <ns0:v>0</ns0:v>
      </ns0:c>
      <ns0:c r="D126" s="20" t="inlineStr">
        <ns0:is>
          <ns0:t>add</ns0:t>
        </ns0:is>
      </ns0:c>
      <ns0:c r="E126" s="20" t="inlineStr">
        <ns0:is>
          <ns0:t>パック単独</ns0:t>
        </ns0:is>
      </ns0:c>
      <ns0:c r="F126" s="22" t="n">
        <ns0:v>0.5</ns0:v>
      </ns0:c>
      <ns0:c r="G126" s="20" t="n">
        <ns0:v>16</ns0:v>
      </ns0:c>
      <ns0:c r="H126" s="20" t="n">
        <ns0:v>16</ns0:v>
      </ns0:c>
      <ns0:c r="I126" s="20" t="n">
        <ns0:v>42</ns0:v>
      </ns0:c>
      <ns0:c r="J126" s="20" t="n">
        <ns0:v>8308.379888268153</ns0:v>
      </ns0:c>
      <ns0:c r="K126" s="20" t="n">
        <ns0:v>2131.564245810056</ns0:v>
      </ns0:c>
      <ns0:c r="L126" s="20" t="n">
        <ns0:v>246613.6489994363</ns0:v>
      </ns0:c>
      <ns0:c r="M126" s="20" t="n">
        <ns0:v>37633.83698225943</ns0:v>
      </ns0:c>
      <ns0:c r="N126" s="20" t="n">
        <ns0:v>-12785.09256550745</ns0:v>
      </ns0:c>
      <ns0:c r="O126" s="20" t="n">
        <ns0:v>48166.59155609326</ns0:v>
      </ns0:c>
      <ns0:c r="P126" s="20" t="n">
        <ns0:v>115618.275677694</ns0:v>
      </ns0:c>
      <ns0:c r="Q126" s="20" t="n">
        <ns0:v>284247.4859816957</ns0:v>
      </ns0:c>
      <ns0:c r="R126" s="20" t="n">
        <ns0:v>932764.327197703</ns0:v>
      </ns0:c>
      <ns0:c r="S126" s="20" t="n">
        <ns0:v>3255573.271453727</ns0:v>
      </ns0:c>
    </ns0:row>
    <ns0:row r="127" ht="32" customHeight="1">
      <ns0:c r="A127" s="20" t="inlineStr">
        <ns0:is>
          <ns0:t>round</ns0:t>
        </ns0:is>
      </ns0:c>
      <ns0:c r="B127" s="22" t="n">
        <ns0:v>0.3</ns0:v>
      </ns0:c>
      <ns0:c r="C127" s="20" t="n">
        <ns0:v>0</ns0:v>
      </ns0:c>
      <ns0:c r="D127" s="20" t="inlineStr">
        <ns0:is>
          <ns0:t>add</ns0:t>
        </ns0:is>
      </ns0:c>
      <ns0:c r="E127" s="20" t="inlineStr">
        <ns0:is>
          <ns0:t>混在・パック30%</ns0:t>
        </ns0:is>
      </ns0:c>
      <ns0:c r="F127" s="22" t="n">
        <ns0:v>0.4</ns0:v>
      </ns0:c>
      <ns0:c r="G127" s="20" t="n">
        <ns0:v>20</ns0:v>
      </ns0:c>
      <ns0:c r="H127" s="20" t="n">
        <ns0:v>20</ns0:v>
      </ns0:c>
      <ns0:c r="I127" s="20" t="n">
        <ns0:v>55</ns0:v>
      </ns0:c>
      <ns0:c r="J127" s="20" t="n">
        <ns0:v>5925.647230566237</ns0:v>
      </ns0:c>
      <ns0:c r="K127" s="20" t="n">
        <ns0:v>1297.736054574548</ns0:v>
      </ns0:c>
      <ns0:c r="L127" s="20" t="n">
        <ns0:v>203649.0250495584</ns0:v>
      </ns0:c>
      <ns0:c r="M127" s="20" t="n">
        <ns0:v>22156.48083323867</ns0:v>
      </ns0:c>
      <ns0:c r="N127" s="20" t="n">
        <ns0:v>-18629.29057539731</ns0:v>
      </ns0:c>
      <ns0:c r="O127" s="20" t="n">
        <ns0:v>30633.99752642367</ns0:v>
      </ns0:c>
      <ns0:c r="P127" s="20" t="n">
        <ns0:v>86397.28562824464</ns0:v>
      </ns0:c>
      <ns0:c r="Q127" s="20" t="n">
        <ns0:v>225805.5058827971</ns0:v>
      </ns0:c>
      <ns0:c r="R127" s="20" t="n">
        <ns0:v>757438.3869010068</ns0:v>
      </ns0:c>
      <ns0:c r="S127" s="20" t="n">
        <ns0:v>2671153.470464741</ns0:v>
      </ns0:c>
    </ns0:row>
    <ns0:row r="128" ht="32" customHeight="1">
      <ns0:c r="A128" s="20" t="inlineStr">
        <ns0:is>
          <ns0:t>round</ns0:t>
        </ns0:is>
      </ns0:c>
      <ns0:c r="B128" s="22" t="n">
        <ns0:v>0.3</ns0:v>
      </ns0:c>
      <ns0:c r="C128" s="20" t="n">
        <ns0:v>0</ns0:v>
      </ns0:c>
      <ns0:c r="D128" s="20" t="inlineStr">
        <ns0:is>
          <ns0:t>add</ns0:t>
        </ns0:is>
      </ns0:c>
      <ns0:c r="E128" s="20" t="inlineStr">
        <ns0:is>
          <ns0:t>混在・パック30%</ns0:t>
        </ns0:is>
      </ns0:c>
      <ns0:c r="F128" s="22" t="n">
        <ns0:v>0.5</ns0:v>
      </ns0:c>
      <ns0:c r="G128" s="20" t="n">
        <ns0:v>22</ns0:v>
      </ns0:c>
      <ns0:c r="H128" s="20" t="n">
        <ns0:v>22</ns0:v>
      </ns0:c>
      <ns0:c r="I128" s="20" t="n">
        <ns0:v>65</ns0:v>
      </ns0:c>
      <ns0:c r="J128" s="20" t="n">
        <ns0:v>5925.647230566237</ns0:v>
      </ns0:c>
      <ns0:c r="K128" s="20" t="n">
        <ns0:v>1622.170068218186</ns0:v>
      </ns0:c>
      <ns0:c r="L128" s="20" t="n">
        <ns0:v>178510.2958171493</ns0:v>
      </ns0:c>
      <ns0:c r="M128" s="20" t="n">
        <ns0:v>14851.80870128408</ns0:v>
      </ns0:c>
      <ns0:c r="N128" s="20" t="n">
        <ns0:v>-21873.63071183368</ns0:v>
      </ns0:c>
      <ns0:c r="O128" s="20" t="n">
        <ns0:v>20900.97711711456</ns0:v>
      </ns0:c>
      <ns0:c r="P128" s="20" t="n">
        <ns0:v>70175.58494606277</ns0:v>
      </ns0:c>
      <ns0:c r="Q128" s="20" t="n">
        <ns0:v>193362.1045184334</ns0:v>
      </ns0:c>
      <ns0:c r="R128" s="20" t="n">
        <ns0:v>660108.1828079157</ns0:v>
      </ns0:c>
      <ns0:c r="S128" s="20" t="n">
        <ns0:v>2346719.456821105</ns0:v>
      </ns0:c>
    </ns0:row>
    <ns0:row r="129" ht="32" customHeight="1">
      <ns0:c r="A129" s="20" t="inlineStr">
        <ns0:is>
          <ns0:t>round</ns0:t>
        </ns0:is>
      </ns0:c>
      <ns0:c r="B129" s="22" t="n">
        <ns0:v>0.3</ns0:v>
      </ns0:c>
      <ns0:c r="C129" s="20" t="n">
        <ns0:v>0</ns0:v>
      </ns0:c>
      <ns0:c r="D129" s="20" t="inlineStr">
        <ns0:is>
          <ns0:t>add</ns0:t>
        </ns0:is>
      </ns0:c>
      <ns0:c r="E129" s="20" t="inlineStr">
        <ns0:is>
          <ns0:t>混在・パック50%</ns0:t>
        </ns0:is>
      </ns0:c>
      <ns0:c r="F129" s="22" t="n">
        <ns0:v>0.4</ns0:v>
      </ns0:c>
      <ns0:c r="G129" s="20" t="n">
        <ns0:v>18</ns0:v>
      </ns0:c>
      <ns0:c r="H129" s="20" t="n">
        <ns0:v>18</ns0:v>
      </ns0:c>
      <ns0:c r="I129" s="20" t="n">
        <ns0:v>48</ns0:v>
      </ns0:c>
      <ns0:c r="J129" s="20" t="n">
        <ns0:v>6606.427989909642</ns0:v>
      </ns0:c>
      <ns0:c r="K129" s="20" t="n">
        <ns0:v>1414.16900945269</ns0:v>
      </ns0:c>
      <ns0:c r="L129" s="20" t="n">
        <ns0:v>224968.6996370002</ns0:v>
      </ns0:c>
      <ns0:c r="M129" s="20" t="n">
        <ns0:v>29714.88196439685</ns0:v>
      </ns0:c>
      <ns0:c r="N129" s="20" t="n">
        <ns0:v>-15741.48300353732</ns0:v>
      </ns0:c>
      <ns0:c r="O129" s="20" t="n">
        <ns0:v>39297.42024200365</ns0:v>
      </ns0:c>
      <ns0:c r="P129" s="20" t="n">
        <ns0:v>100836.3234875446</ns0:v>
      </ns0:c>
      <ns0:c r="Q129" s="20" t="n">
        <ns0:v>254683.581601397</ns0:v>
      </ns0:c>
      <ns0:c r="R129" s="20" t="n">
        <ns0:v>844072.6140568068</ns0:v>
      </ns0:c>
      <ns0:c r="S129" s="20" t="n">
        <ns0:v>2959934.227650741</ns0:v>
      </ns0:c>
    </ns0:row>
    <ns0:row r="130" ht="32" customHeight="1">
      <ns0:c r="A130" s="20" t="inlineStr">
        <ns0:is>
          <ns0:t>round</ns0:t>
        </ns0:is>
      </ns0:c>
      <ns0:c r="B130" s="22" t="n">
        <ns0:v>0.3</ns0:v>
      </ns0:c>
      <ns0:c r="C130" s="20" t="n">
        <ns0:v>0</ns0:v>
      </ns0:c>
      <ns0:c r="D130" s="20" t="inlineStr">
        <ns0:is>
          <ns0:t>add</ns0:t>
        </ns0:is>
      </ns0:c>
      <ns0:c r="E130" s="20" t="inlineStr">
        <ns0:is>
          <ns0:t>混在・パック50%</ns0:t>
        </ns0:is>
      </ns0:c>
      <ns0:c r="F130" s="22" t="n">
        <ns0:v>0.5</ns0:v>
      </ns0:c>
      <ns0:c r="G130" s="20" t="n">
        <ns0:v>20</ns0:v>
      </ns0:c>
      <ns0:c r="H130" s="20" t="n">
        <ns0:v>20</ns0:v>
      </ns0:c>
      <ns0:c r="I130" s="20" t="n">
        <ns0:v>56</ns0:v>
      </ns0:c>
      <ns0:c r="J130" s="20" t="n">
        <ns0:v>6606.427989909642</ns0:v>
      </ns0:c>
      <ns0:c r="K130" s="20" t="n">
        <ns0:v>1767.711261815863</ns0:v>
      </ns0:c>
      <ns0:c r="L130" s="20" t="n">
        <ns0:v>197968.3967263742</ns0:v>
      </ns0:c>
      <ns0:c r="M130" s="20" t="n">
        <ns0:v>21360.95963870564</ns0:v>
      </ns0:c>
      <ns0:c r="N130" s="20" t="n">
        <ns0:v>-19276.90552716904</ns0:v>
      </ns0:c>
      <ns0:c r="O130" s="20" t="n">
        <ns0:v>28691.15267110847</ns0:v>
      </ns0:c>
      <ns0:c r="P130" s="20" t="n">
        <ns0:v>83159.21086938602</ns0:v>
      </ns0:c>
      <ns0:c r="Q130" s="20" t="n">
        <ns0:v>219329.3563650798</ns0:v>
      </ns0:c>
      <ns0:c r="R130" s="20" t="n">
        <ns0:v>738009.9383478549</ns0:v>
      </ns0:c>
      <ns0:c r="S130" s="20" t="n">
        <ns0:v>2606391.975287568</ns0:v>
      </ns0:c>
    </ns0:row>
    <ns0:row r="131" ht="32" customHeight="1">
      <ns0:c r="A131" s="20" t="inlineStr">
        <ns0:is>
          <ns0:t>round</ns0:t>
        </ns0:is>
      </ns0:c>
      <ns0:c r="B131" s="22" t="n">
        <ns0:v>0.3</ns0:v>
      </ns0:c>
      <ns0:c r="C131" s="20" t="n">
        <ns0:v>0</ns0:v>
      </ns0:c>
      <ns0:c r="D131" s="20" t="inlineStr">
        <ns0:is>
          <ns0:t>add</ns0:t>
        </ns0:is>
      </ns0:c>
      <ns0:c r="E131" s="20" t="inlineStr">
        <ns0:is>
          <ns0:t>混在・パック70%</ns0:t>
        </ns0:is>
      </ns0:c>
      <ns0:c r="F131" s="22" t="n">
        <ns0:v>0.4</ns0:v>
      </ns0:c>
      <ns0:c r="G131" s="20" t="n">
        <ns0:v>16</ns0:v>
      </ns0:c>
      <ns0:c r="H131" s="20" t="n">
        <ns0:v>16</ns0:v>
      </ns0:c>
      <ns0:c r="I131" s="20" t="n">
        <ns0:v>42</ns0:v>
      </ns0:c>
      <ns0:c r="J131" s="20" t="n">
        <ns0:v>7287.208749253046</ns0:v>
      </ns0:c>
      <ns0:c r="K131" s="20" t="n">
        <ns0:v>1530.601964330832</ns0:v>
      </ns0:c>
      <ns0:c r="L131" s="20" t="n">
        <ns0:v>246288.3742244419</ns0:v>
      </ns0:c>
      <ns0:c r="M131" s="20" t="n">
        <ns0:v>37273.28309555502</ns0:v>
      </ns0:c>
      <ns0:c r="N131" s="20" t="n">
        <ns0:v>-12853.67543167733</ns0:v>
      </ns0:c>
      <ns0:c r="O131" s="20" t="n">
        <ns0:v>47960.84295758363</ns0:v>
      </ns0:c>
      <ns0:c r="P131" s="20" t="n">
        <ns0:v>115275.3613468445</ns0:v>
      </ns0:c>
      <ns0:c r="Q131" s="20" t="n">
        <ns0:v>283561.6573199969</ns0:v>
      </ns0:c>
      <ns0:c r="R131" s="20" t="n">
        <ns0:v>930706.8412126064</ns0:v>
      </ns0:c>
      <ns0:c r="S131" s="20" t="n">
        <ns0:v>3248714.984836739</ns0:v>
      </ns0:c>
    </ns0:row>
    <ns0:row r="132" ht="32" customHeight="1">
      <ns0:c r="A132" s="20" t="inlineStr">
        <ns0:is>
          <ns0:t>round</ns0:t>
        </ns0:is>
      </ns0:c>
      <ns0:c r="B132" s="22" t="n">
        <ns0:v>0.3</ns0:v>
      </ns0:c>
      <ns0:c r="C132" s="20" t="n">
        <ns0:v>0</ns0:v>
      </ns0:c>
      <ns0:c r="D132" s="20" t="inlineStr">
        <ns0:is>
          <ns0:t>add</ns0:t>
        </ns0:is>
      </ns0:c>
      <ns0:c r="E132" s="20" t="inlineStr">
        <ns0:is>
          <ns0:t>混在・パック70%</ns0:t>
        </ns0:is>
      </ns0:c>
      <ns0:c r="F132" s="22" t="n">
        <ns0:v>0.5</ns0:v>
      </ns0:c>
      <ns0:c r="G132" s="20" t="n">
        <ns0:v>18</ns0:v>
      </ns0:c>
      <ns0:c r="H132" s="20" t="n">
        <ns0:v>18</ns0:v>
      </ns0:c>
      <ns0:c r="I132" s="20" t="n">
        <ns0:v>49</ns0:v>
      </ns0:c>
      <ns0:c r="J132" s="20" t="n">
        <ns0:v>7287.208749253046</ns0:v>
      </ns0:c>
      <ns0:c r="K132" s="20" t="n">
        <ns0:v>1913.25245541354</ns0:v>
      </ns0:c>
      <ns0:c r="L132" s="20" t="n">
        <ns0:v>217426.497635599</ns0:v>
      </ns0:c>
      <ns0:c r="M132" s="20" t="n">
        <ns0:v>27870.11057612715</ns0:v>
      </ns0:c>
      <ns0:c r="N132" s="20" t="n">
        <ns0:v>-16680.18034250441</ns0:v>
      </ns0:c>
      <ns0:c r="O132" s="20" t="n">
        <ns0:v>36481.32822510239</ns0:v>
      </ns0:c>
      <ns0:c r="P132" s="20" t="n">
        <ns0:v>96142.83679270916</ns0:v>
      </ns0:c>
      <ns0:c r="Q132" s="20" t="n">
        <ns0:v>245296.6082117261</ns0:v>
      </ns0:c>
      <ns0:c r="R132" s="20" t="n">
        <ns0:v>815911.6938877943</ns0:v>
      </ns0:c>
      <ns0:c r="S132" s="20" t="n">
        <ns0:v>2866064.493754031</ns0:v>
      </ns0:c>
    </ns0:row>
    <ns0:row r="133" ht="32" customHeight="1">
      <ns0:c r="A133" s="20" t="inlineStr">
        <ns0:is>
          <ns0:t>service20</ns0:t>
        </ns0:is>
      </ns0:c>
      <ns0:c r="B133" s="22" t="n">
        <ns0:v>0</ns0:v>
      </ns0:c>
      <ns0:c r="C133" s="20" t="n">
        <ns0:v>1</ns0:v>
      </ns0:c>
      <ns0:c r="D133" s="20" t="inlineStr">
        <ns0:is>
          <ns0:t>floor</ns0:t>
        </ns0:is>
      </ns0:c>
      <ns0:c r="E133" s="20" t="inlineStr">
        <ns0:is>
          <ns0:t>パック単独</ns0:t>
        </ns0:is>
      </ns0:c>
      <ns0:c r="F133" s="22" t="n">
        <ns0:v>0.4</ns0:v>
      </ns0:c>
      <ns0:c r="G133" s="20" t="n">
        <ns0:v>16</ns0:v>
      </ns0:c>
      <ns0:c r="H133" s="20" t="n">
        <ns0:v>16</ns0:v>
      </ns0:c>
      <ns0:c r="I133" s="20" t="n">
        <ns0:v>34</ns0:v>
      </ns0:c>
      <ns0:c r="J133" s="20" t="n">
        <ns0:v>8268.379888268157</ns0:v>
      </ns0:c>
      <ns0:c r="K133" s="20" t="n">
        <ns0:v>1689.251396648045</ns0:v>
      </ns0:c>
      <ns0:c r="L133" s="20" t="n">
        <ns0:v>223344.1685525399</ns0:v>
      </ns0:c>
      <ns0:c r="M133" s="20" t="n">
        <ns0:v>68004.57457127236</ns0:v>
      </ns0:c>
      <ns0:c r="N133" s="20" t="n">
        <ns0:v>-13739.4919909606</ns0:v>
      </ns0:c>
      <ns0:c r="O133" s="20" t="n">
        <ns0:v>49246.96869872822</ns0:v>
      </ns0:c>
      <ns0:c r="P133" s="20" t="n">
        <ns0:v>118418.9042487523</ns0:v>
      </ns0:c>
      <ns0:c r="Q133" s="20" t="n">
        <ns0:v>291348.7431238123</ns0:v>
      </ns0:c>
      <ns0:c r="R133" s="20" t="n">
        <ns0:v>941068.0986240522</ns0:v>
      </ns0:c>
      <ns0:c r="S133" s="20" t="n">
        <ns0:v>3292085.842874892</ns0:v>
      </ns0:c>
    </ns0:row>
    <ns0:row r="134" ht="32" customHeight="1">
      <ns0:c r="A134" s="20" t="inlineStr">
        <ns0:is>
          <ns0:t>service20</ns0:t>
        </ns0:is>
      </ns0:c>
      <ns0:c r="B134" s="22" t="n">
        <ns0:v>0</ns0:v>
      </ns0:c>
      <ns0:c r="C134" s="20" t="n">
        <ns0:v>1</ns0:v>
      </ns0:c>
      <ns0:c r="D134" s="20" t="inlineStr">
        <ns0:is>
          <ns0:t>floor</ns0:t>
        </ns0:is>
      </ns0:c>
      <ns0:c r="E134" s="20" t="inlineStr">
        <ns0:is>
          <ns0:t>パック単独</ns0:t>
        </ns0:is>
      </ns0:c>
      <ns0:c r="F134" s="22" t="n">
        <ns0:v>0.5</ns0:v>
      </ns0:c>
      <ns0:c r="G134" s="20" t="n">
        <ns0:v>18</ns0:v>
      </ns0:c>
      <ns0:c r="H134" s="20" t="n">
        <ns0:v>18</ns0:v>
      </ns0:c>
      <ns0:c r="I134" s="20" t="n">
        <ns0:v>38</ns0:v>
      </ns0:c>
      <ns0:c r="J134" s="20" t="n">
        <ns0:v>8268.379888268157</ns0:v>
      </ns0:c>
      <ns0:c r="K134" s="20" t="n">
        <ns0:v>2111.564245810056</ns0:v>
      </ns0:c>
      <ns0:c r="L134" s="20" t="n">
        <ns0:v>191909.3459523597</ns0:v>
      </ns0:c>
      <ns0:c r="M134" s="20" t="n">
        <ns0:v>57208.11225525148</ns0:v>
      </ns0:c>
      <ns0:c r="N134" s="20" t="n">
        <ns0:v>-17962.62048258071</ns0:v>
      </ns0:c>
      <ns0:c r="O134" s="20" t="n">
        <ns0:v>36577.58322386788</ns0:v>
      </ns0:c>
      <ns0:c r="P134" s="20" t="n">
        <ns0:v>97303.26179065168</ns0:v>
      </ns0:c>
      <ns0:c r="Q134" s="20" t="n">
        <ns0:v>249117.4582076112</ns0:v>
      </ns0:c>
      <ns0:c r="R134" s="20" t="n">
        <ns0:v>814374.2438754486</ns0:v>
      </ns0:c>
      <ns0:c r="S134" s="20" t="n">
        <ns0:v>2869772.993712882</ns0:v>
      </ns0:c>
    </ns0:row>
    <ns0:row r="135" ht="32" customHeight="1">
      <ns0:c r="A135" s="20" t="inlineStr">
        <ns0:is>
          <ns0:t>service20</ns0:t>
        </ns0:is>
      </ns0:c>
      <ns0:c r="B135" s="22" t="n">
        <ns0:v>0</ns0:v>
      </ns0:c>
      <ns0:c r="C135" s="20" t="n">
        <ns0:v>1</ns0:v>
      </ns0:c>
      <ns0:c r="D135" s="20" t="inlineStr">
        <ns0:is>
          <ns0:t>floor</ns0:t>
        </ns0:is>
      </ns0:c>
      <ns0:c r="E135" s="20" t="inlineStr">
        <ns0:is>
          <ns0:t>混在・パック30%</ns0:t>
        </ns0:is>
      </ns0:c>
      <ns0:c r="F135" s="22" t="n">
        <ns0:v>0.4</ns0:v>
      </ns0:c>
      <ns0:c r="G135" s="20" t="n">
        <ns0:v>23</ns0:v>
      </ns0:c>
      <ns0:c r="H135" s="20" t="n">
        <ns0:v>23</ns0:v>
      </ns0:c>
      <ns0:c r="I135" s="20" t="n">
        <ns0:v>55</ns0:v>
      </ns0:c>
      <ns0:c r="J135" s="20" t="n">
        <ns0:v>5899.647230566239</ns0:v>
      </ns0:c>
      <ns0:c r="K135" s="20" t="n">
        <ns0:v>1287.336054574549</ns0:v>
      </ns0:c>
      <ns0:c r="L135" s="20" t="n">
        <ns0:v>167196.2218879221</ns0:v>
      </ns0:c>
      <ns0:c r="M135" s="20" t="n">
        <ns0:v>28505.36476861441</ns0:v>
      </ns0:c>
      <ns0:c r="N135" s="20" t="n">
        <ns0:v>-27559.85009578873</ns0:v>
      </ns0:c>
      <ns0:c r="O135" s="20" t="n">
        <ns0:v>20552.8217585455</ns0:v>
      </ns0:c>
      <ns0:c r="P135" s="20" t="n">
        <ns0:v>70595.32601511435</ns0:v>
      </ns0:c>
      <ns0:c r="Q135" s="20" t="n">
        <ns0:v>195701.5866565365</ns0:v>
      </ns0:c>
      <ns0:c r="R135" s="20" t="n">
        <ns0:v>654126.6292222252</ns0:v>
      </ns0:c>
      <ns0:c r="S135" s="20" t="n">
        <ns0:v>2335614.278202136</ns0:v>
      </ns0:c>
    </ns0:row>
    <ns0:row r="136" ht="32" customHeight="1">
      <ns0:c r="A136" s="20" t="inlineStr">
        <ns0:is>
          <ns0:t>service20</ns0:t>
        </ns0:is>
      </ns0:c>
      <ns0:c r="B136" s="22" t="n">
        <ns0:v>0</ns0:v>
      </ns0:c>
      <ns0:c r="C136" s="20" t="n">
        <ns0:v>1</ns0:v>
      </ns0:c>
      <ns0:c r="D136" s="20" t="inlineStr">
        <ns0:is>
          <ns0:t>floor</ns0:t>
        </ns0:is>
      </ns0:c>
      <ns0:c r="E136" s="20" t="inlineStr">
        <ns0:is>
          <ns0:t>混在・パック30%</ns0:t>
        </ns0:is>
      </ns0:c>
      <ns0:c r="F136" s="22" t="n">
        <ns0:v>0.5</ns0:v>
      </ns0:c>
      <ns0:c r="G136" s="20" t="n">
        <ns0:v>26</ns0:v>
      </ns0:c>
      <ns0:c r="H136" s="20" t="n">
        <ns0:v>26</ns0:v>
      </ns0:c>
      <ns0:c r="I136" s="20" t="n">
        <ns0:v>62</ns0:v>
      </ns0:c>
      <ns0:c r="J136" s="20" t="n">
        <ns0:v>5899.647230566239</ns0:v>
      </ns0:c>
      <ns0:c r="K136" s="20" t="n">
        <ns0:v>1609.170068218186</ns0:v>
      </ns0:c>
      <ns0:c r="L136" s="20" t="n">
        <ns0:v>142203.3170073093</ns0:v>
      </ns0:c>
      <ns0:c r="M136" s="20" t="n">
        <ns0:v>21314.86828486342</ns0:v>
      </ns0:c>
      <ns0:c r="N136" s="20" t="n">
        <ns0:v>-30778.1902322251</ns0:v>
      </ns0:c>
      <ns0:c r="O136" s="20" t="n">
        <ns0:v>10897.80134923639</ns0:v>
      </ns0:c>
      <ns0:c r="P136" s="20" t="n">
        <ns0:v>54503.62533293248</ns0:v>
      </ns0:c>
      <ns0:c r="Q136" s="20" t="n">
        <ns0:v>163518.1852921728</ns0:v>
      </ns0:c>
      <ns0:c r="R136" s="20" t="n">
        <ns0:v>557576.4251291341</ns0:v>
      </ns0:c>
      <ns0:c r="S136" s="20" t="n">
        <ns0:v>2013780.264558499</ns0:v>
      </ns0:c>
    </ns0:row>
    <ns0:row r="137" ht="32" customHeight="1">
      <ns0:c r="A137" s="20" t="inlineStr">
        <ns0:is>
          <ns0:t>service20</ns0:t>
        </ns0:is>
      </ns0:c>
      <ns0:c r="B137" s="22" t="n">
        <ns0:v>0</ns0:v>
      </ns0:c>
      <ns0:c r="C137" s="20" t="n">
        <ns0:v>1</ns0:v>
      </ns0:c>
      <ns0:c r="D137" s="20" t="inlineStr">
        <ns0:is>
          <ns0:t>floor</ns0:t>
        </ns0:is>
      </ns0:c>
      <ns0:c r="E137" s="20" t="inlineStr">
        <ns0:is>
          <ns0:t>混在・パック50%</ns0:t>
        </ns0:is>
      </ns0:c>
      <ns0:c r="F137" s="22" t="n">
        <ns0:v>0.4</ns0:v>
      </ns0:c>
      <ns0:c r="G137" s="20" t="n">
        <ns0:v>20</ns0:v>
      </ns0:c>
      <ns0:c r="H137" s="20" t="n">
        <ns0:v>20</ns0:v>
      </ns0:c>
      <ns0:c r="I137" s="20" t="n">
        <ns0:v>47</ns0:v>
      </ns0:c>
      <ns0:c r="J137" s="20" t="n">
        <ns0:v>6576.427989909643</ns0:v>
      </ns0:c>
      <ns0:c r="K137" s="20" t="n">
        <ns0:v>1402.16900945269</ns0:v>
      </ns0:c>
      <ns0:c r="L137" s="20" t="n">
        <ns0:v>183238.4923635272</ns0:v>
      </ns0:c>
      <ns0:c r="M137" s="20" t="n">
        <ns0:v>39790.85328365956</ns0:v>
      </ns0:c>
      <ns0:c r="N137" s="20" t="n">
        <ns0:v>-23611.17635155212</ns0:v>
      </ns0:c>
      <ns0:c r="O137" s="20" t="n">
        <ns0:v>28751.14945574056</ns0:v>
      </ns0:c>
      <ns0:c r="P137" s="20" t="n">
        <ns0:v>84259.2055104395</ns0:v>
      </ns0:c>
      <ns0:c r="Q137" s="20" t="n">
        <ns0:v>223029.3456471868</ns0:v>
      </ns0:c>
      <ns0:c r="R137" s="20" t="n">
        <ns0:v>736109.9061941756</ns0:v>
      </ns0:c>
      <ns0:c r="S137" s="20" t="n">
        <ns0:v>2608891.868108637</ns0:v>
      </ns0:c>
    </ns0:row>
    <ns0:row r="138" ht="32" customHeight="1">
      <ns0:c r="A138" s="20" t="inlineStr">
        <ns0:is>
          <ns0:t>service20</ns0:t>
        </ns0:is>
      </ns0:c>
      <ns0:c r="B138" s="22" t="n">
        <ns0:v>0</ns0:v>
      </ns0:c>
      <ns0:c r="C138" s="20" t="n">
        <ns0:v>1</ns0:v>
      </ns0:c>
      <ns0:c r="D138" s="20" t="inlineStr">
        <ns0:is>
          <ns0:t>floor</ns0:t>
        </ns0:is>
      </ns0:c>
      <ns0:c r="E138" s="20" t="inlineStr">
        <ns0:is>
          <ns0:t>混在・パック50%</ns0:t>
        </ns0:is>
      </ns0:c>
      <ns0:c r="F138" s="22" t="n">
        <ns0:v>0.5</ns0:v>
      </ns0:c>
      <ns0:c r="G138" s="20" t="n">
        <ns0:v>23</ns0:v>
      </ns0:c>
      <ns0:c r="H138" s="20" t="n">
        <ns0:v>23</ns0:v>
      </ns0:c>
      <ns0:c r="I138" s="20" t="n">
        <ns0:v>53</ns0:v>
      </ns0:c>
      <ns0:c r="J138" s="20" t="n">
        <ns0:v>6576.427989909643</ns0:v>
      </ns0:c>
      <ns0:c r="K138" s="20" t="n">
        <ns0:v>1752.711261815863</ns0:v>
      </ns0:c>
      <ns0:c r="L138" s="20" t="n">
        <ns0:v>156405.039563038</ns0:v>
      </ns0:c>
      <ns0:c r="M138" s="20" t="n">
        <ns0:v>31570.08084783145</ns0:v>
      </ns0:c>
      <ns0:c r="N138" s="20" t="n">
        <ns0:v>-27116.59887518383</ns0:v>
      </ns0:c>
      <ns0:c r="O138" s="20" t="n">
        <ns0:v>18234.88188484538</ns0:v>
      </ns0:c>
      <ns0:c r="P138" s="20" t="n">
        <ns0:v>66732.09289228084</ns0:v>
      </ns0:c>
      <ns0:c r="Q138" s="20" t="n">
        <ns0:v>187975.1204108695</ns0:v>
      </ns0:c>
      <ns0:c r="R138" s="20" t="n">
        <ns0:v>630947.2304852238</ns0:v>
      </ns0:c>
      <ns0:c r="S138" s="20" t="n">
        <ns0:v>2258349.615745465</ns0:v>
      </ns0:c>
    </ns0:row>
    <ns0:row r="139" ht="32" customHeight="1">
      <ns0:c r="A139" s="20" t="inlineStr">
        <ns0:is>
          <ns0:t>service20</ns0:t>
        </ns0:is>
      </ns0:c>
      <ns0:c r="B139" s="22" t="n">
        <ns0:v>0</ns0:v>
      </ns0:c>
      <ns0:c r="C139" s="20" t="n">
        <ns0:v>1</ns0:v>
      </ns0:c>
      <ns0:c r="D139" s="20" t="inlineStr">
        <ns0:is>
          <ns0:t>floor</ns0:t>
        </ns0:is>
      </ns0:c>
      <ns0:c r="E139" s="20" t="inlineStr">
        <ns0:is>
          <ns0:t>混在・パック70%</ns0:t>
        </ns0:is>
      </ns0:c>
      <ns0:c r="F139" s="22" t="n">
        <ns0:v>0.4</ns0:v>
      </ns0:c>
      <ns0:c r="G139" s="20" t="n">
        <ns0:v>18</ns0:v>
      </ns0:c>
      <ns0:c r="H139" s="20" t="n">
        <ns0:v>18</ns0:v>
      </ns0:c>
      <ns0:c r="I139" s="20" t="n">
        <ns0:v>41</ns0:v>
      </ns0:c>
      <ns0:c r="J139" s="20" t="n">
        <ns0:v>7253.208749253048</ns0:v>
      </ns0:c>
      <ns0:c r="K139" s="20" t="n">
        <ns0:v>1517.001964330832</ns0:v>
      </ns0:c>
      <ns0:c r="L139" s="20" t="n">
        <ns0:v>199280.7628391322</ns0:v>
      </ns0:c>
      <ns0:c r="M139" s="20" t="n">
        <ns0:v>51076.34179870466</ns0:v>
      </ns0:c>
      <ns0:c r="N139" s="20" t="n">
        <ns0:v>-19662.50260731552</ns0:v>
      </ns0:c>
      <ns0:c r="O139" s="20" t="n">
        <ns0:v>36949.47715293561</ns0:v>
      </ns0:c>
      <ns0:c r="P139" s="20" t="n">
        <ns0:v>97923.08500576451</ns0:v>
      </ns0:c>
      <ns0:c r="Q139" s="20" t="n">
        <ns0:v>250357.1046378368</ns0:v>
      </ns0:c>
      <ns0:c r="R139" s="20" t="n">
        <ns0:v>818093.1831661266</ns0:v>
      </ns0:c>
      <ns0:c r="S139" s="20" t="n">
        <ns0:v>2882169.458015139</ns0:v>
      </ns0:c>
    </ns0:row>
    <ns0:row r="140" ht="32" customHeight="1">
      <ns0:c r="A140" s="20" t="inlineStr">
        <ns0:is>
          <ns0:t>service20</ns0:t>
        </ns0:is>
      </ns0:c>
      <ns0:c r="B140" s="22" t="n">
        <ns0:v>0</ns0:v>
      </ns0:c>
      <ns0:c r="C140" s="20" t="n">
        <ns0:v>1</ns0:v>
      </ns0:c>
      <ns0:c r="D140" s="20" t="inlineStr">
        <ns0:is>
          <ns0:t>floor</ns0:t>
        </ns0:is>
      </ns0:c>
      <ns0:c r="E140" s="20" t="inlineStr">
        <ns0:is>
          <ns0:t>混在・パック70%</ns0:t>
        </ns0:is>
      </ns0:c>
      <ns0:c r="F140" s="22" t="n">
        <ns0:v>0.5</ns0:v>
      </ns0:c>
      <ns0:c r="G140" s="20" t="n">
        <ns0:v>21</ns0:v>
      </ns0:c>
      <ns0:c r="H140" s="20" t="n">
        <ns0:v>21</ns0:v>
      </ns0:c>
      <ns0:c r="I140" s="20" t="n">
        <ns0:v>46</ns0:v>
      </ns0:c>
      <ns0:c r="J140" s="20" t="n">
        <ns0:v>7253.208749253048</ns0:v>
      </ns0:c>
      <ns0:c r="K140" s="20" t="n">
        <ns0:v>1896.25245541354</ns0:v>
      </ns0:c>
      <ns0:c r="L140" s="20" t="n">
        <ns0:v>170606.7621187665</ns0:v>
      </ns0:c>
      <ns0:c r="M140" s="20" t="n">
        <ns0:v>41825.29341079946</ns0:v>
      </ns0:c>
      <ns0:c r="N140" s="20" t="n">
        <ns0:v>-23455.0075181426</ns0:v>
      </ns0:c>
      <ns0:c r="O140" s="20" t="n">
        <ns0:v>25571.96242045439</ns0:v>
      </ns0:c>
      <ns0:c r="P140" s="20" t="n">
        <ns0:v>78960.56045162911</ns0:v>
      </ns0:c>
      <ns0:c r="Q140" s="20" t="n">
        <ns0:v>212432.055529566</ns0:v>
      </ns0:c>
      <ns0:c r="R140" s="20" t="n">
        <ns0:v>704318.0358413142</ns0:v>
      </ns0:c>
      <ns0:c r="S140" s="20" t="n">
        <ns0:v>2502918.966932432</ns0:v>
      </ns0:c>
    </ns0:row>
    <ns0:row r="141" ht="32" customHeight="1">
      <ns0:c r="A141" s="20" t="inlineStr">
        <ns0:is>
          <ns0:t>service20</ns0:t>
        </ns0:is>
      </ns0:c>
      <ns0:c r="B141" s="22" t="n">
        <ns0:v>0</ns0:v>
      </ns0:c>
      <ns0:c r="C141" s="20" t="n">
        <ns0:v>1</ns0:v>
      </ns0:c>
      <ns0:c r="D141" s="20" t="inlineStr">
        <ns0:is>
          <ns0:t>add</ns0:t>
        </ns0:is>
      </ns0:c>
      <ns0:c r="E141" s="20" t="inlineStr">
        <ns0:is>
          <ns0:t>パック単独</ns0:t>
        </ns0:is>
      </ns0:c>
      <ns0:c r="F141" s="22" t="n">
        <ns0:v>0.4</ns0:v>
      </ns0:c>
      <ns0:c r="G141" s="20" t="n">
        <ns0:v>23</ns0:v>
      </ns0:c>
      <ns0:c r="H141" s="20" t="n">
        <ns0:v>23</ns0:v>
      </ns0:c>
      <ns0:c r="I141" s="20" t="n">
        <ns0:v>34</ns0:v>
      </ns0:c>
      <ns0:c r="J141" s="20" t="n">
        <ns0:v>8268.379888268157</ns0:v>
      </ns0:c>
      <ns0:c r="K141" s="20" t="n">
        <ns0:v>1689.251396648045</ns0:v>
      </ns0:c>
      <ns0:c r="L141" s="20" t="n">
        <ns0:v>200844.16855254</ns0:v>
      </ns0:c>
      <ns0:c r="M141" s="20" t="n">
        <ns0:v>68004.57457127236</ns0:v>
      </ns0:c>
      <ns0:c r="N141" s="20" t="n">
        <ns0:v>-27924.96685129579</ns0:v>
      </ns0:c>
      <ns0:c r="O141" s="20" t="n">
        <ns0:v>26746.96869872822</ns0:v>
      </ns0:c>
      <ns0:c r="P141" s="20" t="n">
        <ns0:v>95918.90424875225</ns0:v>
      </ns0:c>
      <ns0:c r="Q141" s="20" t="n">
        <ns0:v>268848.7431238123</ns0:v>
      </ns0:c>
      <ns0:c r="R141" s="20" t="n">
        <ns0:v>918568.0986240522</ns0:v>
      </ns0:c>
      <ns0:c r="S141" s="20" t="n">
        <ns0:v>3269585.842874892</ns0:v>
      </ns0:c>
    </ns0:row>
    <ns0:row r="142" ht="32" customHeight="1">
      <ns0:c r="A142" s="20" t="inlineStr">
        <ns0:is>
          <ns0:t>service20</ns0:t>
        </ns0:is>
      </ns0:c>
      <ns0:c r="B142" s="22" t="n">
        <ns0:v>0</ns0:v>
      </ns0:c>
      <ns0:c r="C142" s="20" t="n">
        <ns0:v>1</ns0:v>
      </ns0:c>
      <ns0:c r="D142" s="20" t="inlineStr">
        <ns0:is>
          <ns0:t>add</ns0:t>
        </ns0:is>
      </ns0:c>
      <ns0:c r="E142" s="20" t="inlineStr">
        <ns0:is>
          <ns0:t>パック単独</ns0:t>
        </ns0:is>
      </ns0:c>
      <ns0:c r="F142" s="22" t="n">
        <ns0:v>0.5</ns0:v>
      </ns0:c>
      <ns0:c r="G142" s="20" t="n">
        <ns0:v>26</ns0:v>
      </ns0:c>
      <ns0:c r="H142" s="20" t="n">
        <ns0:v>26</ns0:v>
      </ns0:c>
      <ns0:c r="I142" s="20" t="n">
        <ns0:v>38</ns0:v>
      </ns0:c>
      <ns0:c r="J142" s="20" t="n">
        <ns0:v>8268.379888268157</ns0:v>
      </ns0:c>
      <ns0:c r="K142" s="20" t="n">
        <ns0:v>2111.564245810056</ns0:v>
      </ns0:c>
      <ns0:c r="L142" s="20" t="n">
        <ns0:v>169409.3459523597</ns0:v>
      </ns0:c>
      <ns0:c r="M142" s="20" t="n">
        <ns0:v>57208.11225525148</ns0:v>
      </ns0:c>
      <ns0:c r="N142" s="20" t="n">
        <ns0:v>-32148.0953429159</ns0:v>
      </ns0:c>
      <ns0:c r="O142" s="20" t="n">
        <ns0:v>14077.58322386789</ns0:v>
      </ns0:c>
      <ns0:c r="P142" s="20" t="n">
        <ns0:v>74803.26179065171</ns0:v>
      </ns0:c>
      <ns0:c r="Q142" s="20" t="n">
        <ns0:v>226617.4582076112</ns0:v>
      </ns0:c>
      <ns0:c r="R142" s="20" t="n">
        <ns0:v>791874.2438754486</ns0:v>
      </ns0:c>
      <ns0:c r="S142" s="20" t="n">
        <ns0:v>2847272.993712882</ns0:v>
      </ns0:c>
    </ns0:row>
    <ns0:row r="143" ht="32" customHeight="1">
      <ns0:c r="A143" s="20" t="inlineStr">
        <ns0:is>
          <ns0:t>service20</ns0:t>
        </ns0:is>
      </ns0:c>
      <ns0:c r="B143" s="22" t="n">
        <ns0:v>0</ns0:v>
      </ns0:c>
      <ns0:c r="C143" s="20" t="n">
        <ns0:v>1</ns0:v>
      </ns0:c>
      <ns0:c r="D143" s="20" t="inlineStr">
        <ns0:is>
          <ns0:t>add</ns0:t>
        </ns0:is>
      </ns0:c>
      <ns0:c r="E143" s="20" t="inlineStr">
        <ns0:is>
          <ns0:t>混在・パック30%</ns0:t>
        </ns0:is>
      </ns0:c>
      <ns0:c r="F143" s="22" t="n">
        <ns0:v>0.4</ns0:v>
      </ns0:c>
      <ns0:c r="G143" s="20" t="n">
        <ns0:v>31</ns0:v>
      </ns0:c>
      <ns0:c r="H143" s="20" t="n">
        <ns0:v>31</ns0:v>
      </ns0:c>
      <ns0:c r="I143" s="20" t="n">
        <ns0:v>55</ns0:v>
      </ns0:c>
      <ns0:c r="J143" s="20" t="n">
        <ns0:v>5899.647230566239</ns0:v>
      </ns0:c>
      <ns0:c r="K143" s="20" t="n">
        <ns0:v>1287.336054574549</ns0:v>
      </ns0:c>
      <ns0:c r="L143" s="20" t="n">
        <ns0:v>144696.2218879221</ns0:v>
      </ns0:c>
      <ns0:c r="M143" s="20" t="n">
        <ns0:v>28505.36476861441</ns0:v>
      </ns0:c>
      <ns0:c r="N143" s="20" t="n">
        <ns0:v>-37489.68249802337</ns0:v>
      </ns0:c>
      <ns0:c r="O143" s="20" t="n">
        <ns0:v>-1947.178241454498</ns0:v>
      </ns0:c>
      <ns0:c r="P143" s="20" t="n">
        <ns0:v>48095.32601511433</ns0:v>
      </ns0:c>
      <ns0:c r="Q143" s="20" t="n">
        <ns0:v>173201.5866565365</ns0:v>
      </ns0:c>
      <ns0:c r="R143" s="20" t="n">
        <ns0:v>631626.6292222252</ns0:v>
      </ns0:c>
      <ns0:c r="S143" s="20" t="n">
        <ns0:v>2313114.278202136</ns0:v>
      </ns0:c>
    </ns0:row>
    <ns0:row r="144" ht="32" customHeight="1">
      <ns0:c r="A144" s="20" t="inlineStr">
        <ns0:is>
          <ns0:t>service20</ns0:t>
        </ns0:is>
      </ns0:c>
      <ns0:c r="B144" s="22" t="n">
        <ns0:v>0</ns0:v>
      </ns0:c>
      <ns0:c r="C144" s="20" t="n">
        <ns0:v>1</ns0:v>
      </ns0:c>
      <ns0:c r="D144" s="20" t="inlineStr">
        <ns0:is>
          <ns0:t>add</ns0:t>
        </ns0:is>
      </ns0:c>
      <ns0:c r="E144" s="20" t="inlineStr">
        <ns0:is>
          <ns0:t>混在・パック30%</ns0:t>
        </ns0:is>
      </ns0:c>
      <ns0:c r="F144" s="22" t="n">
        <ns0:v>0.5</ns0:v>
      </ns0:c>
      <ns0:c r="G144" s="20" t="n">
        <ns0:v>36</ns0:v>
      </ns0:c>
      <ns0:c r="H144" s="20" t="n">
        <ns0:v>36</ns0:v>
      </ns0:c>
      <ns0:c r="I144" s="20" t="n">
        <ns0:v>62</ns0:v>
      </ns0:c>
      <ns0:c r="J144" s="20" t="n">
        <ns0:v>5899.647230566239</ns0:v>
      </ns0:c>
      <ns0:c r="K144" s="20" t="n">
        <ns0:v>1609.170068218186</ns0:v>
      </ns0:c>
      <ns0:c r="L144" s="20" t="n">
        <ns0:v>119703.3170073093</ns0:v>
      </ns0:c>
      <ns0:c r="M144" s="20" t="n">
        <ns0:v>21314.86828486342</ns0:v>
      </ns0:c>
      <ns0:c r="N144" s="20" t="n">
        <ns0:v>-40708.02263445973</ns0:v>
      </ns0:c>
      <ns0:c r="O144" s="20" t="n">
        <ns0:v>-11602.19865076361</ns0:v>
      </ns0:c>
      <ns0:c r="P144" s="20" t="n">
        <ns0:v>32003.62533293247</ns0:v>
      </ns0:c>
      <ns0:c r="Q144" s="20" t="n">
        <ns0:v>141018.1852921728</ns0:v>
      </ns0:c>
      <ns0:c r="R144" s="20" t="n">
        <ns0:v>535076.4251291341</ns0:v>
      </ns0:c>
      <ns0:c r="S144" s="20" t="n">
        <ns0:v>1991280.264558499</ns0:v>
      </ns0:c>
    </ns0:row>
    <ns0:row r="145" ht="32" customHeight="1">
      <ns0:c r="A145" s="20" t="inlineStr">
        <ns0:is>
          <ns0:t>service20</ns0:t>
        </ns0:is>
      </ns0:c>
      <ns0:c r="B145" s="22" t="n">
        <ns0:v>0</ns0:v>
      </ns0:c>
      <ns0:c r="C145" s="20" t="n">
        <ns0:v>1</ns0:v>
      </ns0:c>
      <ns0:c r="D145" s="20" t="inlineStr">
        <ns0:is>
          <ns0:t>add</ns0:t>
        </ns0:is>
      </ns0:c>
      <ns0:c r="E145" s="20" t="inlineStr">
        <ns0:is>
          <ns0:t>混在・パック50%</ns0:t>
        </ns0:is>
      </ns0:c>
      <ns0:c r="F145" s="22" t="n">
        <ns0:v>0.4</ns0:v>
      </ns0:c>
      <ns0:c r="G145" s="20" t="n">
        <ns0:v>28</ns0:v>
      </ns0:c>
      <ns0:c r="H145" s="20" t="n">
        <ns0:v>28</ns0:v>
      </ns0:c>
      <ns0:c r="I145" s="20" t="n">
        <ns0:v>47</ns0:v>
      </ns0:c>
      <ns0:c r="J145" s="20" t="n">
        <ns0:v>6576.427989909643</ns0:v>
      </ns0:c>
      <ns0:c r="K145" s="20" t="n">
        <ns0:v>1402.16900945269</ns0:v>
      </ns0:c>
      <ns0:c r="L145" s="20" t="n">
        <ns0:v>160738.4923635272</ns0:v>
      </ns0:c>
      <ns0:c r="M145" s="20" t="n">
        <ns0:v>39790.85328365956</ns0:v>
      </ns0:c>
      <ns0:c r="N145" s="20" t="n">
        <ns0:v>-34756.90659895834</ns0:v>
      </ns0:c>
      <ns0:c r="O145" s="20" t="n">
        <ns0:v>6251.149455740549</ns0:v>
      </ns0:c>
      <ns0:c r="P145" s="20" t="n">
        <ns0:v>61759.20551043949</ns0:v>
      </ns0:c>
      <ns0:c r="Q145" s="20" t="n">
        <ns0:v>200529.3456471868</ns0:v>
      </ns0:c>
      <ns0:c r="R145" s="20" t="n">
        <ns0:v>713609.9061941756</ns0:v>
      </ns0:c>
      <ns0:c r="S145" s="20" t="n">
        <ns0:v>2586391.868108637</ns0:v>
      </ns0:c>
    </ns0:row>
    <ns0:row r="146" ht="32" customHeight="1">
      <ns0:c r="A146" s="20" t="inlineStr">
        <ns0:is>
          <ns0:t>service20</ns0:t>
        </ns0:is>
      </ns0:c>
      <ns0:c r="B146" s="22" t="n">
        <ns0:v>0</ns0:v>
      </ns0:c>
      <ns0:c r="C146" s="20" t="n">
        <ns0:v>1</ns0:v>
      </ns0:c>
      <ns0:c r="D146" s="20" t="inlineStr">
        <ns0:is>
          <ns0:t>add</ns0:t>
        </ns0:is>
      </ns0:c>
      <ns0:c r="E146" s="20" t="inlineStr">
        <ns0:is>
          <ns0:t>混在・パック50%</ns0:t>
        </ns0:is>
      </ns0:c>
      <ns0:c r="F146" s="22" t="n">
        <ns0:v>0.5</ns0:v>
      </ns0:c>
      <ns0:c r="G146" s="20" t="n">
        <ns0:v>32</ns0:v>
      </ns0:c>
      <ns0:c r="H146" s="20" t="n">
        <ns0:v>32</ns0:v>
      </ns0:c>
      <ns0:c r="I146" s="20" t="n">
        <ns0:v>53</ns0:v>
      </ns0:c>
      <ns0:c r="J146" s="20" t="n">
        <ns0:v>6576.427989909643</ns0:v>
      </ns0:c>
      <ns0:c r="K146" s="20" t="n">
        <ns0:v>1752.711261815863</ns0:v>
      </ns0:c>
      <ns0:c r="L146" s="20" t="n">
        <ns0:v>133905.039563038</ns0:v>
      </ns0:c>
      <ns0:c r="M146" s="20" t="n">
        <ns0:v>31570.08084783145</ns0:v>
      </ns0:c>
      <ns0:c r="N146" s="20" t="n">
        <ns0:v>-38262.32912259006</ns0:v>
      </ns0:c>
      <ns0:c r="O146" s="20" t="n">
        <ns0:v>-4265.11811515463</ns0:v>
      </ns0:c>
      <ns0:c r="P146" s="20" t="n">
        <ns0:v>44232.09289228083</ns0:v>
      </ns0:c>
      <ns0:c r="Q146" s="20" t="n">
        <ns0:v>165475.1204108695</ns0:v>
      </ns0:c>
      <ns0:c r="R146" s="20" t="n">
        <ns0:v>608447.2304852238</ns0:v>
      </ns0:c>
      <ns0:c r="S146" s="20" t="n">
        <ns0:v>2235849.615745465</ns0:v>
      </ns0:c>
    </ns0:row>
    <ns0:row r="147" ht="32" customHeight="1">
      <ns0:c r="A147" s="20" t="inlineStr">
        <ns0:is>
          <ns0:t>service20</ns0:t>
        </ns0:is>
      </ns0:c>
      <ns0:c r="B147" s="22" t="n">
        <ns0:v>0</ns0:v>
      </ns0:c>
      <ns0:c r="C147" s="20" t="n">
        <ns0:v>1</ns0:v>
      </ns0:c>
      <ns0:c r="D147" s="20" t="inlineStr">
        <ns0:is>
          <ns0:t>add</ns0:t>
        </ns0:is>
      </ns0:c>
      <ns0:c r="E147" s="20" t="inlineStr">
        <ns0:is>
          <ns0:t>混在・パック70%</ns0:t>
        </ns0:is>
      </ns0:c>
      <ns0:c r="F147" s="22" t="n">
        <ns0:v>0.4</ns0:v>
      </ns0:c>
      <ns0:c r="G147" s="20" t="n">
        <ns0:v>26</ns0:v>
      </ns0:c>
      <ns0:c r="H147" s="20" t="n">
        <ns0:v>26</ns0:v>
      </ns0:c>
      <ns0:c r="I147" s="20" t="n">
        <ns0:v>41</ns0:v>
      </ns0:c>
      <ns0:c r="J147" s="20" t="n">
        <ns0:v>7253.208749253048</ns0:v>
      </ns0:c>
      <ns0:c r="K147" s="20" t="n">
        <ns0:v>1517.001964330832</ns0:v>
      </ns0:c>
      <ns0:c r="L147" s="20" t="n">
        <ns0:v>176780.7628391322</ns0:v>
      </ns0:c>
      <ns0:c r="M147" s="20" t="n">
        <ns0:v>51076.34179870466</ns0:v>
      </ns0:c>
      <ns0:c r="N147" s="20" t="n">
        <ns0:v>-32024.13069989333</ns0:v>
      </ns0:c>
      <ns0:c r="O147" s="20" t="n">
        <ns0:v>14449.47715293561</ns0:v>
      </ns0:c>
      <ns0:c r="P147" s="20" t="n">
        <ns0:v>75423.08500576453</ns0:v>
      </ns0:c>
      <ns0:c r="Q147" s="20" t="n">
        <ns0:v>227857.1046378369</ns0:v>
      </ns0:c>
      <ns0:c r="R147" s="20" t="n">
        <ns0:v>795593.1831661266</ns0:v>
      </ns0:c>
      <ns0:c r="S147" s="20" t="n">
        <ns0:v>2859669.458015139</ns0:v>
      </ns0:c>
    </ns0:row>
    <ns0:row r="148" ht="32" customHeight="1">
      <ns0:c r="A148" s="20" t="inlineStr">
        <ns0:is>
          <ns0:t>service20</ns0:t>
        </ns0:is>
      </ns0:c>
      <ns0:c r="B148" s="22" t="n">
        <ns0:v>0</ns0:v>
      </ns0:c>
      <ns0:c r="C148" s="20" t="n">
        <ns0:v>1</ns0:v>
      </ns0:c>
      <ns0:c r="D148" s="20" t="inlineStr">
        <ns0:is>
          <ns0:t>add</ns0:t>
        </ns0:is>
      </ns0:c>
      <ns0:c r="E148" s="20" t="inlineStr">
        <ns0:is>
          <ns0:t>混在・パック70%</ns0:t>
        </ns0:is>
      </ns0:c>
      <ns0:c r="F148" s="22" t="n">
        <ns0:v>0.5</ns0:v>
      </ns0:c>
      <ns0:c r="G148" s="20" t="n">
        <ns0:v>29</ns0:v>
      </ns0:c>
      <ns0:c r="H148" s="20" t="n">
        <ns0:v>29</ns0:v>
      </ns0:c>
      <ns0:c r="I148" s="20" t="n">
        <ns0:v>46</ns0:v>
      </ns0:c>
      <ns0:c r="J148" s="20" t="n">
        <ns0:v>7253.208749253048</ns0:v>
      </ns0:c>
      <ns0:c r="K148" s="20" t="n">
        <ns0:v>1896.25245541354</ns0:v>
      </ns0:c>
      <ns0:c r="L148" s="20" t="n">
        <ns0:v>148106.7621187666</ns0:v>
      </ns0:c>
      <ns0:c r="M148" s="20" t="n">
        <ns0:v>41825.29341079946</ns0:v>
      </ns0:c>
      <ns0:c r="N148" s="20" t="n">
        <ns0:v>-35816.6356107204</ns0:v>
      </ns0:c>
      <ns0:c r="O148" s="20" t="n">
        <ns0:v>3071.96242045438</ns0:v>
      </ns0:c>
      <ns0:c r="P148" s="20" t="n">
        <ns0:v>56460.56045162912</ns0:v>
      </ns0:c>
      <ns0:c r="Q148" s="20" t="n">
        <ns0:v>189932.055529566</ns0:v>
      </ns0:c>
      <ns0:c r="R148" s="20" t="n">
        <ns0:v>681818.0358413142</ns0:v>
      </ns0:c>
      <ns0:c r="S148" s="20" t="n">
        <ns0:v>2480418.966932432</ns0:v>
      </ns0:c>
    </ns0:row>
    <ns0:row r="149" ht="32" customHeight="1">
      <ns0:c r="A149" s="20" t="inlineStr">
        <ns0:is>
          <ns0:t>service20</ns0:t>
        </ns0:is>
      </ns0:c>
      <ns0:c r="B149" s="22" t="n">
        <ns0:v>0</ns0:v>
      </ns0:c>
      <ns0:c r="C149" s="20" t="n">
        <ns0:v>0</ns0:v>
      </ns0:c>
      <ns0:c r="D149" s="20" t="inlineStr">
        <ns0:is>
          <ns0:t>floor</ns0:t>
        </ns0:is>
      </ns0:c>
      <ns0:c r="E149" s="20" t="inlineStr">
        <ns0:is>
          <ns0:t>パック単独</ns0:t>
        </ns0:is>
      </ns0:c>
      <ns0:c r="F149" s="22" t="n">
        <ns0:v>0.4</ns0:v>
      </ns0:c>
      <ns0:c r="G149" s="20" t="n">
        <ns0:v>8</ns0:v>
      </ns0:c>
      <ns0:c r="H149" s="20" t="n">
        <ns0:v>8</ns0:v>
      </ns0:c>
      <ns0:c r="I149" s="20" t="n">
        <ns0:v>17</ns0:v>
      </ns0:c>
      <ns0:c r="J149" s="20" t="n">
        <ns0:v>8268.379888268157</ns0:v>
      </ns0:c>
      <ns0:c r="K149" s="20" t="n">
        <ns0:v>1689.251396648045</ns0:v>
      </ns0:c>
      <ns0:c r="L149" s="20" t="n">
        <ns0:v>299530.3882918323</ns0:v>
      </ns0:c>
      <ns0:c r="M149" s="20" t="n">
        <ns0:v>133343.4944967845</ns0:v>
      </ns0:c>
      <ns0:c r="N149" s="20" t="n">
        <ns0:v>14013.02197551985</ns0:v>
      </ns0:c>
      <ns0:c r="O149" s="20" t="n">
        <ns0:v>108504.5105981696</ns0:v>
      </ns0:c>
      <ns0:c r="P149" s="20" t="n">
        <ns0:v>201181.4740811545</ns0:v>
      </ns0:c>
      <ns0:c r="Q149" s="20" t="n">
        <ns0:v>432873.8827886168</ns0:v>
      </ns0:c>
      <ns0:c r="R149" s="20" t="n">
        <ns0:v>1333643.517618466</ns0:v>
      </ns0:c>
      <ns0:c r="S149" s="20" t="n">
        <ns0:v>4539337.239522937</ns0:v>
      </ns0:c>
    </ns0:row>
    <ns0:row r="150" ht="32" customHeight="1">
      <ns0:c r="A150" s="20" t="inlineStr">
        <ns0:is>
          <ns0:t>service20</ns0:t>
        </ns0:is>
      </ns0:c>
      <ns0:c r="B150" s="22" t="n">
        <ns0:v>0</ns0:v>
      </ns0:c>
      <ns0:c r="C150" s="20" t="n">
        <ns0:v>0</ns0:v>
      </ns0:c>
      <ns0:c r="D150" s="20" t="inlineStr">
        <ns0:is>
          <ns0:t>floor</ns0:t>
        </ns0:is>
      </ns0:c>
      <ns0:c r="E150" s="20" t="inlineStr">
        <ns0:is>
          <ns0:t>パック単独</ns0:t>
        </ns0:is>
      </ns0:c>
      <ns0:c r="F150" s="22" t="n">
        <ns0:v>0.5</ns0:v>
      </ns0:c>
      <ns0:c r="G150" s="20" t="n">
        <ns0:v>9</ns0:v>
      </ns0:c>
      <ns0:c r="H150" s="20" t="n">
        <ns0:v>9</ns0:v>
      </ns0:c>
      <ns0:c r="I150" s="20" t="n">
        <ns0:v>18</ns0:v>
      </ns0:c>
      <ns0:c r="J150" s="20" t="n">
        <ns0:v>8268.379888268157</ns0:v>
      </ns0:c>
      <ns0:c r="K150" s="20" t="n">
        <ns0:v>2111.564245810056</ns0:v>
      </ns0:c>
      <ns0:c r="L150" s="20" t="n">
        <ns0:v>268095.565691652</ns0:v>
      </ns0:c>
      <ns0:c r="M150" s="20" t="n">
        <ns0:v>122547.0321807636</ns0:v>
      </ns0:c>
      <ns0:c r="N150" s="20" t="n">
        <ns0:v>9789.893483899737</ns0:v>
      </ns0:c>
      <ns0:c r="O150" s="20" t="n">
        <ns0:v>95835.12512330923</ns0:v>
      </ns0:c>
      <ns0:c r="P150" s="20" t="n">
        <ns0:v>180065.8316230539</ns0:v>
      </ns0:c>
      <ns0:c r="Q150" s="20" t="n">
        <ns0:v>390642.5978724156</ns0:v>
      </ns0:c>
      <ns0:c r="R150" s="20" t="n">
        <ns0:v>1206949.662869862</ns0:v>
      </ns0:c>
      <ns0:c r="S150" s="20" t="n">
        <ns0:v>4117024.390360926</ns0:v>
      </ns0:c>
    </ns0:row>
    <ns0:row r="151" ht="32" customHeight="1">
      <ns0:c r="A151" s="20" t="inlineStr">
        <ns0:is>
          <ns0:t>service20</ns0:t>
        </ns0:is>
      </ns0:c>
      <ns0:c r="B151" s="22" t="n">
        <ns0:v>0</ns0:v>
      </ns0:c>
      <ns0:c r="C151" s="20" t="n">
        <ns0:v>0</ns0:v>
      </ns0:c>
      <ns0:c r="D151" s="20" t="inlineStr">
        <ns0:is>
          <ns0:t>floor</ns0:t>
        </ns0:is>
      </ns0:c>
      <ns0:c r="E151" s="20" t="inlineStr">
        <ns0:is>
          <ns0:t>混在・パック30%</ns0:t>
        </ns0:is>
      </ns0:c>
      <ns0:c r="F151" s="22" t="n">
        <ns0:v>0.4</ns0:v>
      </ns0:c>
      <ns0:c r="G151" s="20" t="n">
        <ns0:v>11</ns0:v>
      </ns0:c>
      <ns0:c r="H151" s="20" t="n">
        <ns0:v>11</ns0:v>
      </ns0:c>
      <ns0:c r="I151" s="20" t="n">
        <ns0:v>28</ns0:v>
      </ns0:c>
      <ns0:c r="J151" s="20" t="n">
        <ns0:v>5899.647230566239</ns0:v>
      </ns0:c>
      <ns0:c r="K151" s="20" t="n">
        <ns0:v>1287.336054574549</ns0:v>
      </ns0:c>
      <ns0:c r="L151" s="20" t="n">
        <ns0:v>225326.5757054267</ns0:v>
      </ns0:c>
      <ns0:c r="M151" s="20" t="n">
        <ns0:v>70808.04577139366</ns0:v>
      </ns0:c>
      <ns0:c r="N151" s="20" t="n">
        <ns0:v>-3916.546613760336</ns0:v>
      </ns0:c>
      <ns0:c r="O151" s="20" t="n">
        <ns0:v>67482.73220463068</ns0:v>
      </ns0:c>
      <ns0:c r="P151" s="20" t="n">
        <ns0:v>132811.8434252563</ns0:v>
      </ns0:c>
      <ns0:c r="Q151" s="20" t="n">
        <ns0:v>296134.6214768204</ns0:v>
      </ns0:c>
      <ns0:c r="R151" s="20" t="n">
        <ns0:v>923425.7336830768</ns0:v>
      </ns0:c>
      <ns0:c r="S151" s="20" t="n">
        <ns0:v>3171944.626404975</ns0:v>
      </ns0:c>
    </ns0:row>
    <ns0:row r="152" ht="32" customHeight="1">
      <ns0:c r="A152" s="20" t="inlineStr">
        <ns0:is>
          <ns0:t>service20</ns0:t>
        </ns0:is>
      </ns0:c>
      <ns0:c r="B152" s="22" t="n">
        <ns0:v>0</ns0:v>
      </ns0:c>
      <ns0:c r="C152" s="20" t="n">
        <ns0:v>0</ns0:v>
      </ns0:c>
      <ns0:c r="D152" s="20" t="inlineStr">
        <ns0:is>
          <ns0:t>floor</ns0:t>
        </ns0:is>
      </ns0:c>
      <ns0:c r="E152" s="20" t="inlineStr">
        <ns0:is>
          <ns0:t>混在・パック30%</ns0:t>
        </ns0:is>
      </ns0:c>
      <ns0:c r="F152" s="22" t="n">
        <ns0:v>0.5</ns0:v>
      </ns0:c>
      <ns0:c r="G152" s="20" t="n">
        <ns0:v>12</ns0:v>
      </ns0:c>
      <ns0:c r="H152" s="20" t="n">
        <ns0:v>12</ns0:v>
      </ns0:c>
      <ns0:c r="I152" s="20" t="n">
        <ns0:v>30</ns0:v>
      </ns0:c>
      <ns0:c r="J152" s="20" t="n">
        <ns0:v>5899.647230566239</ns0:v>
      </ns0:c>
      <ns0:c r="K152" s="20" t="n">
        <ns0:v>1609.170068218186</ns0:v>
      </ns0:c>
      <ns0:c r="L152" s="20" t="n">
        <ns0:v>200333.670824814</ns0:v>
      </ns0:c>
      <ns0:c r="M152" s="20" t="n">
        <ns0:v>63617.54928764268</ns0:v>
      </ns0:c>
      <ns0:c r="N152" s="20" t="n">
        <ns0:v>-7134.886750196707</ns0:v>
      </ns0:c>
      <ns0:c r="O152" s="20" t="n">
        <ns0:v>57827.71179532156</ns0:v>
      </ns0:c>
      <ns0:c r="P152" s="20" t="n">
        <ns0:v>116720.1427430745</ns0:v>
      </ns0:c>
      <ns0:c r="Q152" s="20" t="n">
        <ns0:v>263951.2201124567</ns0:v>
      </ns0:c>
      <ns0:c r="R152" s="20" t="n">
        <ns0:v>826875.5295899857</ns0:v>
      </ns0:c>
      <ns0:c r="S152" s="20" t="n">
        <ns0:v>2850110.612761338</ns0:v>
      </ns0:c>
    </ns0:row>
    <ns0:row r="153" ht="32" customHeight="1">
      <ns0:c r="A153" s="20" t="inlineStr">
        <ns0:is>
          <ns0:t>service20</ns0:t>
        </ns0:is>
      </ns0:c>
      <ns0:c r="B153" s="22" t="n">
        <ns0:v>0</ns0:v>
      </ns0:c>
      <ns0:c r="C153" s="20" t="n">
        <ns0:v>0</ns0:v>
      </ns0:c>
      <ns0:c r="D153" s="20" t="inlineStr">
        <ns0:is>
          <ns0:t>floor</ns0:t>
        </ns0:is>
      </ns0:c>
      <ns0:c r="E153" s="20" t="inlineStr">
        <ns0:is>
          <ns0:t>混在・パック50%</ns0:t>
        </ns0:is>
      </ns0:c>
      <ns0:c r="F153" s="22" t="n">
        <ns0:v>0.4</ns0:v>
      </ns0:c>
      <ns0:c r="G153" s="20" t="n">
        <ns0:v>10</ns0:v>
      </ns0:c>
      <ns0:c r="H153" s="20" t="n">
        <ns0:v>10</ns0:v>
      </ns0:c>
      <ns0:c r="I153" s="20" t="n">
        <ns0:v>24</ns0:v>
      </ns0:c>
      <ns0:c r="J153" s="20" t="n">
        <ns0:v>6576.427989909643</ns0:v>
      </ns0:c>
      <ns0:c r="K153" s="20" t="n">
        <ns0:v>1402.16900945269</ns0:v>
      </ns0:c>
      <ns0:c r="L153" s="20" t="n">
        <ns0:v>246527.6650158284</ns0:v>
      </ns0:c>
      <ns0:c r="M153" s="20" t="n">
        <ns0:v>88675.31683579105</ns0:v>
      </ns0:c>
      <ns0:c r="N153" s="20" t="n">
        <ns0:v>1206.187268891148</ns0:v>
      </ns0:c>
      <ns0:c r="O153" s="20" t="n">
        <ns0:v>79203.24031707036</ns0:v>
      </ns0:c>
      <ns0:c r="P153" s="20" t="n">
        <ns0:v>152346.0236126558</ns0:v>
      </ns0:c>
      <ns0:c r="Q153" s="20" t="n">
        <ns0:v>335202.9818516194</ns0:v>
      </ns0:c>
      <ns0:c r="R153" s="20" t="n">
        <ns0:v>1040630.814807474</ns0:v>
      </ns0:c>
      <ns0:c r="S153" s="20" t="n">
        <ns0:v>3562628.230152964</ns0:v>
      </ns0:c>
    </ns0:row>
    <ns0:row r="154" ht="32" customHeight="1">
      <ns0:c r="A154" s="20" t="inlineStr">
        <ns0:is>
          <ns0:t>service20</ns0:t>
        </ns0:is>
      </ns0:c>
      <ns0:c r="B154" s="22" t="n">
        <ns0:v>0</ns0:v>
      </ns0:c>
      <ns0:c r="C154" s="20" t="n">
        <ns0:v>0</ns0:v>
      </ns0:c>
      <ns0:c r="D154" s="20" t="inlineStr">
        <ns0:is>
          <ns0:t>floor</ns0:t>
        </ns0:is>
      </ns0:c>
      <ns0:c r="E154" s="20" t="inlineStr">
        <ns0:is>
          <ns0:t>混在・パック50%</ns0:t>
        </ns0:is>
      </ns0:c>
      <ns0:c r="F154" s="22" t="n">
        <ns0:v>0.5</ns0:v>
      </ns0:c>
      <ns0:c r="G154" s="20" t="n">
        <ns0:v>11</ns0:v>
      </ns0:c>
      <ns0:c r="H154" s="20" t="n">
        <ns0:v>11</ns0:v>
      </ns0:c>
      <ns0:c r="I154" s="20" t="n">
        <ns0:v>25</ns0:v>
      </ns0:c>
      <ns0:c r="J154" s="20" t="n">
        <ns0:v>6576.427989909643</ns0:v>
      </ns0:c>
      <ns0:c r="K154" s="20" t="n">
        <ns0:v>1752.711261815863</ns0:v>
      </ns0:c>
      <ns0:c r="L154" s="20" t="n">
        <ns0:v>219694.2122153392</ns0:v>
      </ns0:c>
      <ns0:c r="M154" s="20" t="n">
        <ns0:v>80454.54439996294</ns0:v>
      </ns0:c>
      <ns0:c r="N154" s="20" t="n">
        <ns0:v>-2299.23525474057</ns0:v>
      </ns0:c>
      <ns0:c r="O154" s="20" t="n">
        <ns0:v>68686.97274617518</ns0:v>
      </ns0:c>
      <ns0:c r="P154" s="20" t="n">
        <ns0:v>134818.9109944972</ns0:v>
      </ns0:c>
      <ns0:c r="Q154" s="20" t="n">
        <ns0:v>300148.7566153021</ns0:v>
      </ns0:c>
      <ns0:c r="R154" s="20" t="n">
        <ns0:v>935468.1390985218</ns0:v>
      </ns0:c>
      <ns0:c r="S154" s="20" t="n">
        <ns0:v>3212085.977789791</ns0:v>
      </ns0:c>
    </ns0:row>
    <ns0:row r="155" ht="32" customHeight="1">
      <ns0:c r="A155" s="20" t="inlineStr">
        <ns0:is>
          <ns0:t>service20</ns0:t>
        </ns0:is>
      </ns0:c>
      <ns0:c r="B155" s="22" t="n">
        <ns0:v>0</ns0:v>
      </ns0:c>
      <ns0:c r="C155" s="20" t="n">
        <ns0:v>0</ns0:v>
      </ns0:c>
      <ns0:c r="D155" s="20" t="inlineStr">
        <ns0:is>
          <ns0:t>floor</ns0:t>
        </ns0:is>
      </ns0:c>
      <ns0:c r="E155" s="20" t="inlineStr">
        <ns0:is>
          <ns0:t>混在・パック70%</ns0:t>
        </ns0:is>
      </ns0:c>
      <ns0:c r="F155" s="22" t="n">
        <ns0:v>0.4</ns0:v>
      </ns0:c>
      <ns0:c r="G155" s="20" t="n">
        <ns0:v>9</ns0:v>
      </ns0:c>
      <ns0:c r="H155" s="20" t="n">
        <ns0:v>9</ns0:v>
      </ns0:c>
      <ns0:c r="I155" s="20" t="n">
        <ns0:v>20</ns0:v>
      </ns0:c>
      <ns0:c r="J155" s="20" t="n">
        <ns0:v>7253.208749253048</ns0:v>
      </ns0:c>
      <ns0:c r="K155" s="20" t="n">
        <ns0:v>1517.001964330832</ns0:v>
      </ns0:c>
      <ns0:c r="L155" s="20" t="n">
        <ns0:v>267728.7543262298</ns0:v>
      </ns0:c>
      <ns0:c r="M155" s="20" t="n">
        <ns0:v>106542.5879001884</ns0:v>
      </ns0:c>
      <ns0:c r="N155" s="20" t="n">
        <ns0:v>6328.921151542618</ns0:v>
      </ns0:c>
      <ns0:c r="O155" s="20" t="n">
        <ns0:v>90923.74842951001</ns0:v>
      </ns0:c>
      <ns0:c r="P155" s="20" t="n">
        <ns0:v>171880.2038000552</ns0:v>
      </ns0:c>
      <ns0:c r="Q155" s="20" t="n">
        <ns0:v>374271.3422264182</ns0:v>
      </ns0:c>
      <ns0:c r="R155" s="20" t="n">
        <ns0:v>1157835.895931871</ns0:v>
      </ns0:c>
      <ns0:c r="S155" s="20" t="n">
        <ns0:v>3953311.833900953</ns0:v>
      </ns0:c>
    </ns0:row>
    <ns0:row r="156" ht="32" customHeight="1">
      <ns0:c r="A156" s="20" t="inlineStr">
        <ns0:is>
          <ns0:t>service20</ns0:t>
        </ns0:is>
      </ns0:c>
      <ns0:c r="B156" s="22" t="n">
        <ns0:v>0</ns0:v>
      </ns0:c>
      <ns0:c r="C156" s="20" t="n">
        <ns0:v>0</ns0:v>
      </ns0:c>
      <ns0:c r="D156" s="20" t="inlineStr">
        <ns0:is>
          <ns0:t>floor</ns0:t>
        </ns0:is>
      </ns0:c>
      <ns0:c r="E156" s="20" t="inlineStr">
        <ns0:is>
          <ns0:t>混在・パック70%</ns0:t>
        </ns0:is>
      </ns0:c>
      <ns0:c r="F156" s="22" t="n">
        <ns0:v>0.5</ns0:v>
      </ns0:c>
      <ns0:c r="G156" s="20" t="n">
        <ns0:v>10</ns0:v>
      </ns0:c>
      <ns0:c r="H156" s="20" t="n">
        <ns0:v>10</ns0:v>
      </ns0:c>
      <ns0:c r="I156" s="20" t="n">
        <ns0:v>22</ns0:v>
      </ns0:c>
      <ns0:c r="J156" s="20" t="n">
        <ns0:v>7253.208749253048</ns0:v>
      </ns0:c>
      <ns0:c r="K156" s="20" t="n">
        <ns0:v>1896.25245541354</ns0:v>
      </ns0:c>
      <ns0:c r="L156" s="20" t="n">
        <ns0:v>239054.7536058642</ns0:v>
      </ns0:c>
      <ns0:c r="M156" s="20" t="n">
        <ns0:v>97291.5395122832</ns0:v>
      </ns0:c>
      <ns0:c r="N156" s="20" t="n">
        <ns0:v>2536.416240715538</ns0:v>
      </ns0:c>
      <ns0:c r="O156" s="20" t="n">
        <ns0:v>79546.2336970288</ns0:v>
      </ns0:c>
      <ns0:c r="P156" s="20" t="n">
        <ns0:v>152917.6792459198</ns0:v>
      </ns0:c>
      <ns0:c r="Q156" s="20" t="n">
        <ns0:v>336346.2931181474</ns0:v>
      </ns0:c>
      <ns0:c r="R156" s="20" t="n">
        <ns0:v>1044060.748607058</ns0:v>
      </ns0:c>
      <ns0:c r="S156" s="20" t="n">
        <ns0:v>3574061.342818245</ns0:v>
      </ns0:c>
    </ns0:row>
    <ns0:row r="157" ht="32" customHeight="1">
      <ns0:c r="A157" s="20" t="inlineStr">
        <ns0:is>
          <ns0:t>service20</ns0:t>
        </ns0:is>
      </ns0:c>
      <ns0:c r="B157" s="22" t="n">
        <ns0:v>0</ns0:v>
      </ns0:c>
      <ns0:c r="C157" s="20" t="n">
        <ns0:v>0</ns0:v>
      </ns0:c>
      <ns0:c r="D157" s="20" t="inlineStr">
        <ns0:is>
          <ns0:t>add</ns0:t>
        </ns0:is>
      </ns0:c>
      <ns0:c r="E157" s="20" t="inlineStr">
        <ns0:is>
          <ns0:t>パック単独</ns0:t>
        </ns0:is>
      </ns0:c>
      <ns0:c r="F157" s="22" t="n">
        <ns0:v>0.4</ns0:v>
      </ns0:c>
      <ns0:c r="G157" s="20" t="n">
        <ns0:v>12</ns0:v>
      </ns0:c>
      <ns0:c r="H157" s="20" t="n">
        <ns0:v>12</ns0:v>
      </ns0:c>
      <ns0:c r="I157" s="20" t="n">
        <ns0:v>17</ns0:v>
      </ns0:c>
      <ns0:c r="J157" s="20" t="n">
        <ns0:v>8268.379888268157</ns0:v>
      </ns0:c>
      <ns0:c r="K157" s="20" t="n">
        <ns0:v>1689.251396648045</ns0:v>
      </ns0:c>
      <ns0:c r="L157" s="20" t="n">
        <ns0:v>277030.3882918323</ns0:v>
      </ns0:c>
      <ns0:c r="M157" s="20" t="n">
        <ns0:v>133343.4944967845</ns0:v>
      </ns0:c>
      <ns0:c r="N157" s="20" t="n">
        <ns0:v>-172.4528848153386</ns0:v>
      </ns0:c>
      <ns0:c r="O157" s="20" t="n">
        <ns0:v>86004.51059816957</ns0:v>
      </ns0:c>
      <ns0:c r="P157" s="20" t="n">
        <ns0:v>178681.4740811545</ns0:v>
      </ns0:c>
      <ns0:c r="Q157" s="20" t="n">
        <ns0:v>410373.8827886168</ns0:v>
      </ns0:c>
      <ns0:c r="R157" s="20" t="n">
        <ns0:v>1311143.517618466</ns0:v>
      </ns0:c>
      <ns0:c r="S157" s="20" t="n">
        <ns0:v>4516837.239522937</ns0:v>
      </ns0:c>
    </ns0:row>
    <ns0:row r="158" ht="32" customHeight="1">
      <ns0:c r="A158" s="20" t="inlineStr">
        <ns0:is>
          <ns0:t>service20</ns0:t>
        </ns0:is>
      </ns0:c>
      <ns0:c r="B158" s="22" t="n">
        <ns0:v>0</ns0:v>
      </ns0:c>
      <ns0:c r="C158" s="20" t="n">
        <ns0:v>0</ns0:v>
      </ns0:c>
      <ns0:c r="D158" s="20" t="inlineStr">
        <ns0:is>
          <ns0:t>add</ns0:t>
        </ns0:is>
      </ns0:c>
      <ns0:c r="E158" s="20" t="inlineStr">
        <ns0:is>
          <ns0:t>パック単独</ns0:t>
        </ns0:is>
      </ns0:c>
      <ns0:c r="F158" s="22" t="n">
        <ns0:v>0.5</ns0:v>
      </ns0:c>
      <ns0:c r="G158" s="20" t="n">
        <ns0:v>13</ns0:v>
      </ns0:c>
      <ns0:c r="H158" s="20" t="n">
        <ns0:v>13</ns0:v>
      </ns0:c>
      <ns0:c r="I158" s="20" t="n">
        <ns0:v>18</ns0:v>
      </ns0:c>
      <ns0:c r="J158" s="20" t="n">
        <ns0:v>8268.379888268157</ns0:v>
      </ns0:c>
      <ns0:c r="K158" s="20" t="n">
        <ns0:v>2111.564245810056</ns0:v>
      </ns0:c>
      <ns0:c r="L158" s="20" t="n">
        <ns0:v>245595.5656916521</ns0:v>
      </ns0:c>
      <ns0:c r="M158" s="20" t="n">
        <ns0:v>122547.0321807636</ns0:v>
      </ns0:c>
      <ns0:c r="N158" s="20" t="n">
        <ns0:v>-4395.581376435453</ns0:v>
      </ns0:c>
      <ns0:c r="O158" s="20" t="n">
        <ns0:v>73335.12512330923</ns0:v>
      </ns0:c>
      <ns0:c r="P158" s="20" t="n">
        <ns0:v>157565.8316230539</ns0:v>
      </ns0:c>
      <ns0:c r="Q158" s="20" t="n">
        <ns0:v>368142.5978724157</ns0:v>
      </ns0:c>
      <ns0:c r="R158" s="20" t="n">
        <ns0:v>1184449.662869862</ns0:v>
      </ns0:c>
      <ns0:c r="S158" s="20" t="n">
        <ns0:v>4094524.390360926</ns0:v>
      </ns0:c>
    </ns0:row>
    <ns0:row r="159" ht="32" customHeight="1">
      <ns0:c r="A159" s="20" t="inlineStr">
        <ns0:is>
          <ns0:t>service20</ns0:t>
        </ns0:is>
      </ns0:c>
      <ns0:c r="B159" s="22" t="n">
        <ns0:v>0</ns0:v>
      </ns0:c>
      <ns0:c r="C159" s="20" t="n">
        <ns0:v>0</ns0:v>
      </ns0:c>
      <ns0:c r="D159" s="20" t="inlineStr">
        <ns0:is>
          <ns0:t>add</ns0:t>
        </ns0:is>
      </ns0:c>
      <ns0:c r="E159" s="20" t="inlineStr">
        <ns0:is>
          <ns0:t>混在・パック30%</ns0:t>
        </ns0:is>
      </ns0:c>
      <ns0:c r="F159" s="22" t="n">
        <ns0:v>0.4</ns0:v>
      </ns0:c>
      <ns0:c r="G159" s="20" t="n">
        <ns0:v>15</ns0:v>
      </ns0:c>
      <ns0:c r="H159" s="20" t="n">
        <ns0:v>15</ns0:v>
      </ns0:c>
      <ns0:c r="I159" s="20" t="n">
        <ns0:v>28</ns0:v>
      </ns0:c>
      <ns0:c r="J159" s="20" t="n">
        <ns0:v>5899.647230566239</ns0:v>
      </ns0:c>
      <ns0:c r="K159" s="20" t="n">
        <ns0:v>1287.336054574549</ns0:v>
      </ns0:c>
      <ns0:c r="L159" s="20" t="n">
        <ns0:v>202826.5757054267</ns0:v>
      </ns0:c>
      <ns0:c r="M159" s="20" t="n">
        <ns0:v>70808.04577139366</ns0:v>
      </ns0:c>
      <ns0:c r="N159" s="20" t="n">
        <ns0:v>-13846.37901599497</ns0:v>
      </ns0:c>
      <ns0:c r="O159" s="20" t="n">
        <ns0:v>44982.73220463068</ns0:v>
      </ns0:c>
      <ns0:c r="P159" s="20" t="n">
        <ns0:v>110311.8434252563</ns0:v>
      </ns0:c>
      <ns0:c r="Q159" s="20" t="n">
        <ns0:v>273634.6214768204</ns0:v>
      </ns0:c>
      <ns0:c r="R159" s="20" t="n">
        <ns0:v>900925.7336830768</ns0:v>
      </ns0:c>
      <ns0:c r="S159" s="20" t="n">
        <ns0:v>3149444.626404975</ns0:v>
      </ns0:c>
    </ns0:row>
    <ns0:row r="160" ht="32" customHeight="1">
      <ns0:c r="A160" s="20" t="inlineStr">
        <ns0:is>
          <ns0:t>service20</ns0:t>
        </ns0:is>
      </ns0:c>
      <ns0:c r="B160" s="22" t="n">
        <ns0:v>0</ns0:v>
      </ns0:c>
      <ns0:c r="C160" s="20" t="n">
        <ns0:v>0</ns0:v>
      </ns0:c>
      <ns0:c r="D160" s="20" t="inlineStr">
        <ns0:is>
          <ns0:t>add</ns0:t>
        </ns0:is>
      </ns0:c>
      <ns0:c r="E160" s="20" t="inlineStr">
        <ns0:is>
          <ns0:t>混在・パック30%</ns0:t>
        </ns0:is>
      </ns0:c>
      <ns0:c r="F160" s="22" t="n">
        <ns0:v>0.5</ns0:v>
      </ns0:c>
      <ns0:c r="G160" s="20" t="n">
        <ns0:v>19</ns0:v>
      </ns0:c>
      <ns0:c r="H160" s="20" t="n">
        <ns0:v>19</ns0:v>
      </ns0:c>
      <ns0:c r="I160" s="20" t="n">
        <ns0:v>30</ns0:v>
      </ns0:c>
      <ns0:c r="J160" s="20" t="n">
        <ns0:v>5899.647230566239</ns0:v>
      </ns0:c>
      <ns0:c r="K160" s="20" t="n">
        <ns0:v>1609.170068218186</ns0:v>
      </ns0:c>
      <ns0:c r="L160" s="20" t="n">
        <ns0:v>177833.670824814</ns0:v>
      </ns0:c>
      <ns0:c r="M160" s="20" t="n">
        <ns0:v>63617.54928764268</ns0:v>
      </ns0:c>
      <ns0:c r="N160" s="20" t="n">
        <ns0:v>-17064.71915243134</ns0:v>
      </ns0:c>
      <ns0:c r="O160" s="20" t="n">
        <ns0:v>35327.71179532156</ns0:v>
      </ns0:c>
      <ns0:c r="P160" s="20" t="n">
        <ns0:v>94220.14274307442</ns0:v>
      </ns0:c>
      <ns0:c r="Q160" s="20" t="n">
        <ns0:v>241451.2201124567</ns0:v>
      </ns0:c>
      <ns0:c r="R160" s="20" t="n">
        <ns0:v>804375.5295899857</ns0:v>
      </ns0:c>
      <ns0:c r="S160" s="20" t="n">
        <ns0:v>2827610.612761338</ns0:v>
      </ns0:c>
    </ns0:row>
    <ns0:row r="161" ht="32" customHeight="1">
      <ns0:c r="A161" s="20" t="inlineStr">
        <ns0:is>
          <ns0:t>service20</ns0:t>
        </ns0:is>
      </ns0:c>
      <ns0:c r="B161" s="22" t="n">
        <ns0:v>0</ns0:v>
      </ns0:c>
      <ns0:c r="C161" s="20" t="n">
        <ns0:v>0</ns0:v>
      </ns0:c>
      <ns0:c r="D161" s="20" t="inlineStr">
        <ns0:is>
          <ns0:t>add</ns0:t>
        </ns0:is>
      </ns0:c>
      <ns0:c r="E161" s="20" t="inlineStr">
        <ns0:is>
          <ns0:t>混在・パック50%</ns0:t>
        </ns0:is>
      </ns0:c>
      <ns0:c r="F161" s="22" t="n">
        <ns0:v>0.4</ns0:v>
      </ns0:c>
      <ns0:c r="G161" s="20" t="n">
        <ns0:v>14</ns0:v>
      </ns0:c>
      <ns0:c r="H161" s="20" t="n">
        <ns0:v>14</ns0:v>
      </ns0:c>
      <ns0:c r="I161" s="20" t="n">
        <ns0:v>24</ns0:v>
      </ns0:c>
      <ns0:c r="J161" s="20" t="n">
        <ns0:v>6576.427989909643</ns0:v>
      </ns0:c>
      <ns0:c r="K161" s="20" t="n">
        <ns0:v>1402.16900945269</ns0:v>
      </ns0:c>
      <ns0:c r="L161" s="20" t="n">
        <ns0:v>224027.6650158284</ns0:v>
      </ns0:c>
      <ns0:c r="M161" s="20" t="n">
        <ns0:v>88675.31683579105</ns0:v>
      </ns0:c>
      <ns0:c r="N161" s="20" t="n">
        <ns0:v>-9939.542978515075</ns0:v>
      </ns0:c>
      <ns0:c r="O161" s="20" t="n">
        <ns0:v>56703.24031707035</ns0:v>
      </ns0:c>
      <ns0:c r="P161" s="20" t="n">
        <ns0:v>129846.0236126558</ns0:v>
      </ns0:c>
      <ns0:c r="Q161" s="20" t="n">
        <ns0:v>312702.9818516194</ns0:v>
      </ns0:c>
      <ns0:c r="R161" s="20" t="n">
        <ns0:v>1018130.814807474</ns0:v>
      </ns0:c>
      <ns0:c r="S161" s="20" t="n">
        <ns0:v>3540128.230152964</ns0:v>
      </ns0:c>
    </ns0:row>
    <ns0:row r="162" ht="32" customHeight="1">
      <ns0:c r="A162" s="20" t="inlineStr">
        <ns0:is>
          <ns0:t>service20</ns0:t>
        </ns0:is>
      </ns0:c>
      <ns0:c r="B162" s="22" t="n">
        <ns0:v>0</ns0:v>
      </ns0:c>
      <ns0:c r="C162" s="20" t="n">
        <ns0:v>0</ns0:v>
      </ns0:c>
      <ns0:c r="D162" s="20" t="inlineStr">
        <ns0:is>
          <ns0:t>add</ns0:t>
        </ns0:is>
      </ns0:c>
      <ns0:c r="E162" s="20" t="inlineStr">
        <ns0:is>
          <ns0:t>混在・パック50%</ns0:t>
        </ns0:is>
      </ns0:c>
      <ns0:c r="F162" s="22" t="n">
        <ns0:v>0.5</ns0:v>
      </ns0:c>
      <ns0:c r="G162" s="20" t="n">
        <ns0:v>17</ns0:v>
      </ns0:c>
      <ns0:c r="H162" s="20" t="n">
        <ns0:v>17</ns0:v>
      </ns0:c>
      <ns0:c r="I162" s="20" t="n">
        <ns0:v>25</ns0:v>
      </ns0:c>
      <ns0:c r="J162" s="20" t="n">
        <ns0:v>6576.427989909643</ns0:v>
      </ns0:c>
      <ns0:c r="K162" s="20" t="n">
        <ns0:v>1752.711261815863</ns0:v>
      </ns0:c>
      <ns0:c r="L162" s="20" t="n">
        <ns0:v>197194.2122153392</ns0:v>
      </ns0:c>
      <ns0:c r="M162" s="20" t="n">
        <ns0:v>80454.54439996294</ns0:v>
      </ns0:c>
      <ns0:c r="N162" s="20" t="n">
        <ns0:v>-13444.96550214679</ns0:v>
      </ns0:c>
      <ns0:c r="O162" s="20" t="n">
        <ns0:v>46186.97274617517</ns0:v>
      </ns0:c>
      <ns0:c r="P162" s="20" t="n">
        <ns0:v>112318.9109944972</ns0:v>
      </ns0:c>
      <ns0:c r="Q162" s="20" t="n">
        <ns0:v>277648.7566153021</ns0:v>
      </ns0:c>
      <ns0:c r="R162" s="20" t="n">
        <ns0:v>912968.1390985218</ns0:v>
      </ns0:c>
      <ns0:c r="S162" s="20" t="n">
        <ns0:v>3189585.977789791</ns0:v>
      </ns0:c>
    </ns0:row>
    <ns0:row r="163" ht="32" customHeight="1">
      <ns0:c r="A163" s="20" t="inlineStr">
        <ns0:is>
          <ns0:t>service20</ns0:t>
        </ns0:is>
      </ns0:c>
      <ns0:c r="B163" s="22" t="n">
        <ns0:v>0</ns0:v>
      </ns0:c>
      <ns0:c r="C163" s="20" t="n">
        <ns0:v>0</ns0:v>
      </ns0:c>
      <ns0:c r="D163" s="20" t="inlineStr">
        <ns0:is>
          <ns0:t>add</ns0:t>
        </ns0:is>
      </ns0:c>
      <ns0:c r="E163" s="20" t="inlineStr">
        <ns0:is>
          <ns0:t>混在・パック70%</ns0:t>
        </ns0:is>
      </ns0:c>
      <ns0:c r="F163" s="22" t="n">
        <ns0:v>0.4</ns0:v>
      </ns0:c>
      <ns0:c r="G163" s="20" t="n">
        <ns0:v>12</ns0:v>
      </ns0:c>
      <ns0:c r="H163" s="20" t="n">
        <ns0:v>14</ns0:v>
      </ns0:c>
      <ns0:c r="I163" s="20" t="n">
        <ns0:v>20</ns0:v>
      </ns0:c>
      <ns0:c r="J163" s="20" t="n">
        <ns0:v>7253.208749253048</ns0:v>
      </ns0:c>
      <ns0:c r="K163" s="20" t="n">
        <ns0:v>1517.001964330832</ns0:v>
      </ns0:c>
      <ns0:c r="L163" s="20" t="n">
        <ns0:v>245228.7543262298</ns0:v>
      </ns0:c>
      <ns0:c r="M163" s="20" t="n">
        <ns0:v>106542.5879001884</ns0:v>
      </ns0:c>
      <ns0:c r="N163" s="20" t="n">
        <ns0:v>-6032.706941035194</ns0:v>
      </ns0:c>
      <ns0:c r="O163" s="20" t="n">
        <ns0:v>68423.74842951001</ns0:v>
      </ns0:c>
      <ns0:c r="P163" s="20" t="n">
        <ns0:v>149380.2038000552</ns0:v>
      </ns0:c>
      <ns0:c r="Q163" s="20" t="n">
        <ns0:v>351771.3422264182</ns0:v>
      </ns0:c>
      <ns0:c r="R163" s="20" t="n">
        <ns0:v>1135335.895931871</ns0:v>
      </ns0:c>
      <ns0:c r="S163" s="20" t="n">
        <ns0:v>3930811.833900953</ns0:v>
      </ns0:c>
    </ns0:row>
    <ns0:row r="164" ht="32" customHeight="1">
      <ns0:c r="A164" s="20" t="inlineStr">
        <ns0:is>
          <ns0:t>service20</ns0:t>
        </ns0:is>
      </ns0:c>
      <ns0:c r="B164" s="22" t="n">
        <ns0:v>0</ns0:v>
      </ns0:c>
      <ns0:c r="C164" s="20" t="n">
        <ns0:v>0</ns0:v>
      </ns0:c>
      <ns0:c r="D164" s="20" t="inlineStr">
        <ns0:is>
          <ns0:t>add</ns0:t>
        </ns0:is>
      </ns0:c>
      <ns0:c r="E164" s="20" t="inlineStr">
        <ns0:is>
          <ns0:t>混在・パック70%</ns0:t>
        </ns0:is>
      </ns0:c>
      <ns0:c r="F164" s="22" t="n">
        <ns0:v>0.5</ns0:v>
      </ns0:c>
      <ns0:c r="G164" s="20" t="n">
        <ns0:v>15</ns0:v>
      </ns0:c>
      <ns0:c r="H164" s="20" t="n">
        <ns0:v>15</ns0:v>
      </ns0:c>
      <ns0:c r="I164" s="20" t="n">
        <ns0:v>22</ns0:v>
      </ns0:c>
      <ns0:c r="J164" s="20" t="n">
        <ns0:v>7253.208749253048</ns0:v>
      </ns0:c>
      <ns0:c r="K164" s="20" t="n">
        <ns0:v>1896.25245541354</ns0:v>
      </ns0:c>
      <ns0:c r="L164" s="20" t="n">
        <ns0:v>216554.7536058642</ns0:v>
      </ns0:c>
      <ns0:c r="M164" s="20" t="n">
        <ns0:v>97291.5395122832</ns0:v>
      </ns0:c>
      <ns0:c r="N164" s="20" t="n">
        <ns0:v>-9825.211851862274</ns0:v>
      </ns0:c>
      <ns0:c r="O164" s="20" t="n">
        <ns0:v>57046.23369702879</ns0:v>
      </ns0:c>
      <ns0:c r="P164" s="20" t="n">
        <ns0:v>130417.6792459198</ns0:v>
      </ns0:c>
      <ns0:c r="Q164" s="20" t="n">
        <ns0:v>313846.2931181474</ns0:v>
      </ns0:c>
      <ns0:c r="R164" s="20" t="n">
        <ns0:v>1021560.748607058</ns0:v>
      </ns0:c>
      <ns0:c r="S164" s="20" t="n">
        <ns0:v>3551561.342818245</ns0:v>
      </ns0:c>
    </ns0:row>
    <ns0:row r="165" ht="32" customHeight="1">
      <ns0:c r="A165" s="20" t="inlineStr">
        <ns0:is>
          <ns0:t>service20</ns0:t>
        </ns0:is>
      </ns0:c>
      <ns0:c r="B165" s="22" t="n">
        <ns0:v>0.1</ns0:v>
      </ns0:c>
      <ns0:c r="C165" s="20" t="n">
        <ns0:v>1</ns0:v>
      </ns0:c>
      <ns0:c r="D165" s="20" t="inlineStr">
        <ns0:is>
          <ns0:t>floor</ns0:t>
        </ns0:is>
      </ns0:c>
      <ns0:c r="E165" s="20" t="inlineStr">
        <ns0:is>
          <ns0:t>パック単独</ns0:t>
        </ns0:is>
      </ns0:c>
      <ns0:c r="F165" s="22" t="n">
        <ns0:v>0.4</ns0:v>
      </ns0:c>
      <ns0:c r="G165" s="20" t="n">
        <ns0:v>18</ns0:v>
      </ns0:c>
      <ns0:c r="H165" s="20" t="n">
        <ns0:v>18</ns0:v>
      </ns0:c>
      <ns0:c r="I165" s="20" t="n">
        <ns0:v>53</ns0:v>
      </ns0:c>
      <ns0:c r="J165" s="20" t="n">
        <ns0:v>8268.379888268157</ns0:v>
      </ns0:c>
      <ns0:c r="K165" s="20" t="n">
        <ns0:v>1689.251396648045</ns0:v>
      </ns0:c>
      <ns0:c r="L165" s="20" t="n">
        <ns0:v>223344.1685525399</ns0:v>
      </ns0:c>
      <ns0:c r="M165" s="20" t="n">
        <ns0:v>31420.8706076991</ns0:v>
      </ns0:c>
      <ns0:c r="N165" s="20" t="n">
        <ns0:v>-17397.86238731792</ns0:v>
      </ns0:c>
      <ns0:c r="O165" s="20" t="n">
        <ns0:v>38271.85750965627</ns0:v>
      </ns0:c>
      <ns0:c r="P165" s="20" t="n">
        <ns0:v>100127.0522669656</ns0:v>
      </ns0:c>
      <ns0:c r="Q165" s="20" t="n">
        <ns0:v>254765.039160239</ns0:v>
      </ns0:c>
      <ns0:c r="R165" s="20" t="n">
        <ns0:v>831316.9867333323</ns0:v>
      </ns0:c>
      <ns0:c r="S165" s="20" t="n">
        <ns0:v>2926248.80323916</ns0:v>
      </ns0:c>
    </ns0:row>
    <ns0:row r="166" ht="32" customHeight="1">
      <ns0:c r="A166" s="20" t="inlineStr">
        <ns0:is>
          <ns0:t>service20</ns0:t>
        </ns0:is>
      </ns0:c>
      <ns0:c r="B166" s="22" t="n">
        <ns0:v>0.1</ns0:v>
      </ns0:c>
      <ns0:c r="C166" s="20" t="n">
        <ns0:v>1</ns0:v>
      </ns0:c>
      <ns0:c r="D166" s="20" t="inlineStr">
        <ns0:is>
          <ns0:t>floor</ns0:t>
        </ns0:is>
      </ns0:c>
      <ns0:c r="E166" s="20" t="inlineStr">
        <ns0:is>
          <ns0:t>パック単独</ns0:t>
        </ns0:is>
      </ns0:c>
      <ns0:c r="F166" s="22" t="n">
        <ns0:v>0.5</ns0:v>
      </ns0:c>
      <ns0:c r="G166" s="20" t="n">
        <ns0:v>21</ns0:v>
      </ns0:c>
      <ns0:c r="H166" s="20" t="n">
        <ns0:v>21</ns0:v>
      </ns0:c>
      <ns0:c r="I166" s="20" t="n">
        <ns0:v>103</ns0:v>
      </ns0:c>
      <ns0:c r="J166" s="20" t="n">
        <ns0:v>8268.379888268157</ns0:v>
      </ns0:c>
      <ns0:c r="K166" s="20" t="n">
        <ns0:v>2111.564245810056</ns0:v>
      </ns0:c>
      <ns0:c r="L166" s="20" t="n">
        <ns0:v>191909.3459523596</ns0:v>
      </ns0:c>
      <ns0:c r="M166" s="20" t="n">
        <ns0:v>20624.40829167823</ns0:v>
      </ns0:c>
      <ns0:c r="N166" s="20" t="n">
        <ns0:v>-21620.99087893804</ns0:v>
      </ns0:c>
      <ns0:c r="O166" s="20" t="n">
        <ns0:v>25602.47203479593</ns0:v>
      </ns0:c>
      <ns0:c r="P166" s="20" t="n">
        <ns0:v>79011.40980886504</ns0:v>
      </ns0:c>
      <ns0:c r="Q166" s="20" t="n">
        <ns0:v>212533.7542440379</ns0:v>
      </ns0:c>
      <ns0:c r="R166" s="20" t="n">
        <ns0:v>704623.1319847291</ns0:v>
      </ns0:c>
      <ns0:c r="S166" s="20" t="n">
        <ns0:v>2503935.954077149</ns0:v>
      </ns0:c>
    </ns0:row>
    <ns0:row r="167" ht="32" customHeight="1">
      <ns0:c r="A167" s="20" t="inlineStr">
        <ns0:is>
          <ns0:t>service20</ns0:t>
        </ns0:is>
      </ns0:c>
      <ns0:c r="B167" s="22" t="n">
        <ns0:v>0.1</ns0:v>
      </ns0:c>
      <ns0:c r="C167" s="20" t="n">
        <ns0:v>1</ns0:v>
      </ns0:c>
      <ns0:c r="D167" s="20" t="inlineStr">
        <ns0:is>
          <ns0:t>floor</ns0:t>
        </ns0:is>
      </ns0:c>
      <ns0:c r="E167" s="20" t="inlineStr">
        <ns0:is>
          <ns0:t>混在・パック30%</ns0:t>
        </ns0:is>
      </ns0:c>
      <ns0:c r="F167" s="22" t="n">
        <ns0:v>0.4</ns0:v>
      </ns0:c>
      <ns0:c r="G167" s="20" t="n">
        <ns0:v>24</ns0:v>
      </ns0:c>
      <ns0:c r="H167" s="20" t="n">
        <ns0:v>24</ns0:v>
      </ns0:c>
      <ns0:c r="I167" s="20" t="n">
        <ns0:v>83</ns0:v>
      </ns0:c>
      <ns0:c r="J167" s="20" t="n">
        <ns0:v>5899.647230566239</ns0:v>
      </ns0:c>
      <ns0:c r="K167" s="20" t="n">
        <ns0:v>1287.336054574549</ns0:v>
      </ns0:c>
      <ns0:c r="L167" s="20" t="n">
        <ns0:v>167196.2218879221</ns0:v>
      </ns0:c>
      <ns0:c r="M167" s="20" t="n">
        <ns0:v>7273.526237273327</ns0:v>
      </ns0:c>
      <ns0:c r="N167" s="20" t="n">
        <ns0:v>-29683.03394892284</ns0:v>
      </ns0:c>
      <ns0:c r="O167" s="20" t="n">
        <ns0:v>14183.27019914317</ns0:v>
      </ns0:c>
      <ns0:c r="P167" s="20" t="n">
        <ns0:v>59979.40674944381</ns0:v>
      </ns0:c>
      <ns0:c r="Q167" s="20" t="n">
        <ns0:v>174469.7481251954</ns0:v>
      </ns0:c>
      <ns0:c r="R167" s="20" t="n">
        <ns0:v>590431.1136282019</ns0:v>
      </ns0:c>
      <ns0:c r="S167" s="20" t="n">
        <ns0:v>2123295.892888725</ns0:v>
      </ns0:c>
    </ns0:row>
    <ns0:row r="168" ht="32" customHeight="1">
      <ns0:c r="A168" s="20" t="inlineStr">
        <ns0:is>
          <ns0:t>service20</ns0:t>
        </ns0:is>
      </ns0:c>
      <ns0:c r="B168" s="22" t="n">
        <ns0:v>0.1</ns0:v>
      </ns0:c>
      <ns0:c r="C168" s="20" t="n">
        <ns0:v>1</ns0:v>
      </ns0:c>
      <ns0:c r="D168" s="20" t="inlineStr">
        <ns0:is>
          <ns0:t>floor</ns0:t>
        </ns0:is>
      </ns0:c>
      <ns0:c r="E168" s="20" t="inlineStr">
        <ns0:is>
          <ns0:t>混在・パック30%</ns0:t>
        </ns0:is>
      </ns0:c>
      <ns0:c r="F168" s="22" t="n">
        <ns0:v>0.5</ns0:v>
      </ns0:c>
      <ns0:c r="G168" s="20" t="n">
        <ns0:v>28</ns0:v>
      </ns0:c>
      <ns0:c r="H168" s="20" t="n">
        <ns0:v>28</ns0:v>
      </ns0:c>
      <ns0:c r="I168" s="20" t="n">
        <ns0:v>100</ns0:v>
      </ns0:c>
      <ns0:c r="J168" s="20" t="n">
        <ns0:v>5899.647230566239</ns0:v>
      </ns0:c>
      <ns0:c r="K168" s="20" t="n">
        <ns0:v>1609.170068218186</ns0:v>
      </ns0:c>
      <ns0:c r="L168" s="20" t="n">
        <ns0:v>142203.3170073093</ns0:v>
      </ns0:c>
      <ns0:c r="M168" s="20" t="n">
        <ns0:v>83.02975352233625</ns0:v>
      </ns0:c>
      <ns0:c r="N168" s="20" t="n">
        <ns0:v>-32901.3740853592</ns0:v>
      </ns0:c>
      <ns0:c r="O168" s="20" t="n">
        <ns0:v>4528.249789834063</ns0:v>
      </ns0:c>
      <ns0:c r="P168" s="20" t="n">
        <ns0:v>43887.70606726194</ns0:v>
      </ns0:c>
      <ns0:c r="Q168" s="20" t="n">
        <ns0:v>142286.3467608317</ns0:v>
      </ns0:c>
      <ns0:c r="R168" s="20" t="n">
        <ns0:v>493880.9095351108</ns0:v>
      </ns0:c>
      <ns0:c r="S168" s="20" t="n">
        <ns0:v>1801461.879245088</ns0:v>
      </ns0:c>
    </ns0:row>
    <ns0:row r="169" ht="32" customHeight="1">
      <ns0:c r="A169" s="20" t="inlineStr">
        <ns0:is>
          <ns0:t>service20</ns0:t>
        </ns0:is>
      </ns0:c>
      <ns0:c r="B169" s="22" t="n">
        <ns0:v>0.1</ns0:v>
      </ns0:c>
      <ns0:c r="C169" s="20" t="n">
        <ns0:v>1</ns0:v>
      </ns0:c>
      <ns0:c r="D169" s="20" t="inlineStr">
        <ns0:is>
          <ns0:t>floor</ns0:t>
        </ns0:is>
      </ns0:c>
      <ns0:c r="E169" s="20" t="inlineStr">
        <ns0:is>
          <ns0:t>混在・パック50%</ns0:t>
        </ns0:is>
      </ns0:c>
      <ns0:c r="F169" s="22" t="n">
        <ns0:v>0.4</ns0:v>
      </ns0:c>
      <ns0:c r="G169" s="20" t="n">
        <ns0:v>22</ns0:v>
      </ns0:c>
      <ns0:c r="H169" s="20" t="n">
        <ns0:v>22</ns0:v>
      </ns0:c>
      <ns0:c r="I169" s="20" t="n">
        <ns0:v>71</ns0:v>
      </ns0:c>
      <ns0:c r="J169" s="20" t="n">
        <ns0:v>6576.427989909643</ns0:v>
      </ns0:c>
      <ns0:c r="K169" s="20" t="n">
        <ns0:v>1402.16900945269</ns0:v>
      </ns0:c>
      <ns0:c r="L169" s="20" t="n">
        <ns0:v>183238.4923635272</ns0:v>
      </ns0:c>
      <ns0:c r="M169" s="20" t="n">
        <ns0:v>14172.76748596641</ns0:v>
      </ns0:c>
      <ns0:c r="N169" s="20" t="n">
        <ns0:v>-26172.98493132143</ns0:v>
      </ns0:c>
      <ns0:c r="O169" s="20" t="n">
        <ns0:v>21065.72371643261</ns0:v>
      </ns0:c>
      <ns0:c r="P169" s="20" t="n">
        <ns0:v>71450.16261159291</ns0:v>
      </ns0:c>
      <ns0:c r="Q169" s="20" t="n">
        <ns0:v>197411.2598494936</ns0:v>
      </ns0:c>
      <ns0:c r="R169" s="20" t="n">
        <ns0:v>659255.6488010962</ns0:v>
      </ns0:c>
      <ns0:c r="S169" s="20" t="n">
        <ns0:v>2352711.010131706</ns0:v>
      </ns0:c>
    </ns0:row>
    <ns0:row r="170" ht="32" customHeight="1">
      <ns0:c r="A170" s="20" t="inlineStr">
        <ns0:is>
          <ns0:t>service20</ns0:t>
        </ns0:is>
      </ns0:c>
      <ns0:c r="B170" s="22" t="n">
        <ns0:v>0.1</ns0:v>
      </ns0:c>
      <ns0:c r="C170" s="20" t="n">
        <ns0:v>1</ns0:v>
      </ns0:c>
      <ns0:c r="D170" s="20" t="inlineStr">
        <ns0:is>
          <ns0:t>floor</ns0:t>
        </ns0:is>
      </ns0:c>
      <ns0:c r="E170" s="20" t="inlineStr">
        <ns0:is>
          <ns0:t>混在・パック50%</ns0:t>
        </ns0:is>
      </ns0:c>
      <ns0:c r="F170" s="22" t="n">
        <ns0:v>0.5</ns0:v>
      </ns0:c>
      <ns0:c r="G170" s="20" t="n">
        <ns0:v>26</ns0:v>
      </ns0:c>
      <ns0:c r="H170" s="20" t="n">
        <ns0:v>26</ns0:v>
      </ns0:c>
      <ns0:c r="I170" s="20" t="n">
        <ns0:v>86</ns0:v>
      </ns0:c>
      <ns0:c r="J170" s="20" t="n">
        <ns0:v>6576.427989909643</ns0:v>
      </ns0:c>
      <ns0:c r="K170" s="20" t="n">
        <ns0:v>1752.711261815863</ns0:v>
      </ns0:c>
      <ns0:c r="L170" s="20" t="n">
        <ns0:v>156405.039563038</ns0:v>
      </ns0:c>
      <ns0:c r="M170" s="20" t="n">
        <ns0:v>5951.995050138299</ns0:v>
      </ns0:c>
      <ns0:c r="N170" s="20" t="n">
        <ns0:v>-29678.40745495315</ns0:v>
      </ns0:c>
      <ns0:c r="O170" s="20" t="n">
        <ns0:v>10549.45614553744</ns0:v>
      </ns0:c>
      <ns0:c r="P170" s="20" t="n">
        <ns0:v>53923.04999343425</ns0:v>
      </ns0:c>
      <ns0:c r="Q170" s="20" t="n">
        <ns0:v>162357.0346131763</ns0:v>
      </ns0:c>
      <ns0:c r="R170" s="20" t="n">
        <ns0:v>554092.9730921444</ns0:v>
      </ns0:c>
      <ns0:c r="S170" s="20" t="n">
        <ns0:v>2002168.757768534</ns0:v>
      </ns0:c>
    </ns0:row>
    <ns0:row r="171" ht="32" customHeight="1">
      <ns0:c r="A171" s="20" t="inlineStr">
        <ns0:is>
          <ns0:t>service20</ns0:t>
        </ns0:is>
      </ns0:c>
      <ns0:c r="B171" s="22" t="n">
        <ns0:v>0.1</ns0:v>
      </ns0:c>
      <ns0:c r="C171" s="20" t="n">
        <ns0:v>1</ns0:v>
      </ns0:c>
      <ns0:c r="D171" s="20" t="inlineStr">
        <ns0:is>
          <ns0:t>floor</ns0:t>
        </ns0:is>
      </ns0:c>
      <ns0:c r="E171" s="20" t="inlineStr">
        <ns0:is>
          <ns0:t>混在・パック70%</ns0:t>
        </ns0:is>
      </ns0:c>
      <ns0:c r="F171" s="22" t="n">
        <ns0:v>0.4</ns0:v>
      </ns0:c>
      <ns0:c r="G171" s="20" t="n">
        <ns0:v>20</ns0:v>
      </ns0:c>
      <ns0:c r="H171" s="20" t="n">
        <ns0:v>20</ns0:v>
      </ns0:c>
      <ns0:c r="I171" s="20" t="n">
        <ns0:v>63</ns0:v>
      </ns0:c>
      <ns0:c r="J171" s="20" t="n">
        <ns0:v>7253.208749253048</ns0:v>
      </ns0:c>
      <ns0:c r="K171" s="20" t="n">
        <ns0:v>1517.001964330832</ns0:v>
      </ns0:c>
      <ns0:c r="L171" s="20" t="n">
        <ns0:v>199280.7628391322</ns0:v>
      </ns0:c>
      <ns0:c r="M171" s="20" t="n">
        <ns0:v>21072.00873465948</ns0:v>
      </ns0:c>
      <ns0:c r="N171" s="20" t="n">
        <ns0:v>-22662.93591372003</ns0:v>
      </ns0:c>
      <ns0:c r="O171" s="20" t="n">
        <ns0:v>27948.17723372206</ns0:v>
      </ns0:c>
      <ns0:c r="P171" s="20" t="n">
        <ns0:v>82920.91847374193</ns0:v>
      </ns0:c>
      <ns0:c r="Q171" s="20" t="n">
        <ns0:v>220352.7715737916</ns0:v>
      </ns0:c>
      <ns0:c r="R171" s="20" t="n">
        <ns0:v>728080.1839739911</ns0:v>
      </ns0:c>
      <ns0:c r="S171" s="20" t="n">
        <ns0:v>2582126.127374688</ns0:v>
      </ns0:c>
    </ns0:row>
    <ns0:row r="172" ht="32" customHeight="1">
      <ns0:c r="A172" s="20" t="inlineStr">
        <ns0:is>
          <ns0:t>service20</ns0:t>
        </ns0:is>
      </ns0:c>
      <ns0:c r="B172" s="22" t="n">
        <ns0:v>0.1</ns0:v>
      </ns0:c>
      <ns0:c r="C172" s="20" t="n">
        <ns0:v>1</ns0:v>
      </ns0:c>
      <ns0:c r="D172" s="20" t="inlineStr">
        <ns0:is>
          <ns0:t>floor</ns0:t>
        </ns0:is>
      </ns0:c>
      <ns0:c r="E172" s="20" t="inlineStr">
        <ns0:is>
          <ns0:t>混在・パック70%</ns0:t>
        </ns0:is>
      </ns0:c>
      <ns0:c r="F172" s="22" t="n">
        <ns0:v>0.5</ns0:v>
      </ns0:c>
      <ns0:c r="G172" s="20" t="n">
        <ns0:v>24</ns0:v>
      </ns0:c>
      <ns0:c r="H172" s="20" t="n">
        <ns0:v>24</ns0:v>
      </ns0:c>
      <ns0:c r="I172" s="20" t="n">
        <ns0:v>122</ns0:v>
      </ns0:c>
      <ns0:c r="J172" s="20" t="n">
        <ns0:v>7253.208749253048</ns0:v>
      </ns0:c>
      <ns0:c r="K172" s="20" t="n">
        <ns0:v>1896.25245541354</ns0:v>
      </ns0:c>
      <ns0:c r="L172" s="20" t="n">
        <ns0:v>170606.7621187665</ns0:v>
      </ns0:c>
      <ns0:c r="M172" s="20" t="n">
        <ns0:v>11820.96034675428</ns0:v>
      </ns0:c>
      <ns0:c r="N172" s="20" t="n">
        <ns0:v>-26455.44082454711</ns0:v>
      </ns0:c>
      <ns0:c r="O172" s="20" t="n">
        <ns0:v>16570.66250124082</ns0:v>
      </ns0:c>
      <ns0:c r="P172" s="20" t="n">
        <ns0:v>63958.39391960652</ns0:v>
      </ns0:c>
      <ns0:c r="Q172" s="20" t="n">
        <ns0:v>182427.7224655208</ns0:v>
      </ns0:c>
      <ns0:c r="R172" s="20" t="n">
        <ns0:v>614305.0366491787</ns0:v>
      </ns0:c>
      <ns0:c r="S172" s="20" t="n">
        <ns0:v>2202875.636291979</ns0:v>
      </ns0:c>
    </ns0:row>
    <ns0:row r="173" ht="32" customHeight="1">
      <ns0:c r="A173" s="20" t="inlineStr">
        <ns0:is>
          <ns0:t>service20</ns0:t>
        </ns0:is>
      </ns0:c>
      <ns0:c r="B173" s="22" t="n">
        <ns0:v>0.1</ns0:v>
      </ns0:c>
      <ns0:c r="C173" s="20" t="n">
        <ns0:v>1</ns0:v>
      </ns0:c>
      <ns0:c r="D173" s="20" t="inlineStr">
        <ns0:is>
          <ns0:t>add</ns0:t>
        </ns0:is>
      </ns0:c>
      <ns0:c r="E173" s="20" t="inlineStr">
        <ns0:is>
          <ns0:t>パック単独</ns0:t>
        </ns0:is>
      </ns0:c>
      <ns0:c r="F173" s="22" t="n">
        <ns0:v>0.4</ns0:v>
      </ns0:c>
      <ns0:c r="G173" s="20" t="n">
        <ns0:v>25</ns0:v>
      </ns0:c>
      <ns0:c r="H173" s="20" t="n">
        <ns0:v>25</ns0:v>
      </ns0:c>
      <ns0:c r="I173" s="20" t="n">
        <ns0:v>53</ns0:v>
      </ns0:c>
      <ns0:c r="J173" s="20" t="n">
        <ns0:v>8268.379888268157</ns0:v>
      </ns0:c>
      <ns0:c r="K173" s="20" t="n">
        <ns0:v>1689.251396648045</ns0:v>
      </ns0:c>
      <ns0:c r="L173" s="20" t="n">
        <ns0:v>200844.16855254</ns0:v>
      </ns0:c>
      <ns0:c r="M173" s="20" t="n">
        <ns0:v>31420.8706076991</ns0:v>
      </ns0:c>
      <ns0:c r="N173" s="20" t="n">
        <ns0:v>-31583.33724765311</ns0:v>
      </ns0:c>
      <ns0:c r="O173" s="20" t="n">
        <ns0:v>15771.85750965627</ns0:v>
      </ns0:c>
      <ns0:c r="P173" s="20" t="n">
        <ns0:v>77627.05226696562</ns0:v>
      </ns0:c>
      <ns0:c r="Q173" s="20" t="n">
        <ns0:v>232265.039160239</ns0:v>
      </ns0:c>
      <ns0:c r="R173" s="20" t="n">
        <ns0:v>808816.9867333323</ns0:v>
      </ns0:c>
      <ns0:c r="S173" s="20" t="n">
        <ns0:v>2903748.80323916</ns0:v>
      </ns0:c>
    </ns0:row>
    <ns0:row r="174" ht="32" customHeight="1">
      <ns0:c r="A174" s="20" t="inlineStr">
        <ns0:is>
          <ns0:t>service20</ns0:t>
        </ns0:is>
      </ns0:c>
      <ns0:c r="B174" s="22" t="n">
        <ns0:v>0.1</ns0:v>
      </ns0:c>
      <ns0:c r="C174" s="20" t="n">
        <ns0:v>1</ns0:v>
      </ns0:c>
      <ns0:c r="D174" s="20" t="inlineStr">
        <ns0:is>
          <ns0:t>add</ns0:t>
        </ns0:is>
      </ns0:c>
      <ns0:c r="E174" s="20" t="inlineStr">
        <ns0:is>
          <ns0:t>パック単独</ns0:t>
        </ns0:is>
      </ns0:c>
      <ns0:c r="F174" s="22" t="n">
        <ns0:v>0.5</ns0:v>
      </ns0:c>
      <ns0:c r="G174" s="20" t="n">
        <ns0:v>29</ns0:v>
      </ns0:c>
      <ns0:c r="H174" s="20" t="n">
        <ns0:v>29</ns0:v>
      </ns0:c>
      <ns0:c r="I174" s="20" t="n">
        <ns0:v>103</ns0:v>
      </ns0:c>
      <ns0:c r="J174" s="20" t="n">
        <ns0:v>8268.379888268157</ns0:v>
      </ns0:c>
      <ns0:c r="K174" s="20" t="n">
        <ns0:v>2111.564245810056</ns0:v>
      </ns0:c>
      <ns0:c r="L174" s="20" t="n">
        <ns0:v>169409.3459523597</ns0:v>
      </ns0:c>
      <ns0:c r="M174" s="20" t="n">
        <ns0:v>20624.40829167823</ns0:v>
      </ns0:c>
      <ns0:c r="N174" s="20" t="n">
        <ns0:v>-35806.46573927323</ns0:v>
      </ns0:c>
      <ns0:c r="O174" s="20" t="n">
        <ns0:v>3102.472034795934</ns0:v>
      </ns0:c>
      <ns0:c r="P174" s="20" t="n">
        <ns0:v>56511.40980886505</ns0:v>
      </ns0:c>
      <ns0:c r="Q174" s="20" t="n">
        <ns0:v>190033.7542440379</ns0:v>
      </ns0:c>
      <ns0:c r="R174" s="20" t="n">
        <ns0:v>682123.1319847291</ns0:v>
      </ns0:c>
      <ns0:c r="S174" s="20" t="n">
        <ns0:v>2481435.954077149</ns0:v>
      </ns0:c>
    </ns0:row>
    <ns0:row r="175" ht="32" customHeight="1">
      <ns0:c r="A175" s="20" t="inlineStr">
        <ns0:is>
          <ns0:t>service20</ns0:t>
        </ns0:is>
      </ns0:c>
      <ns0:c r="B175" s="22" t="n">
        <ns0:v>0.1</ns0:v>
      </ns0:c>
      <ns0:c r="C175" s="20" t="n">
        <ns0:v>1</ns0:v>
      </ns0:c>
      <ns0:c r="D175" s="20" t="inlineStr">
        <ns0:is>
          <ns0:t>add</ns0:t>
        </ns0:is>
      </ns0:c>
      <ns0:c r="E175" s="20" t="inlineStr">
        <ns0:is>
          <ns0:t>混在・パック30%</ns0:t>
        </ns0:is>
      </ns0:c>
      <ns0:c r="F175" s="22" t="n">
        <ns0:v>0.4</ns0:v>
      </ns0:c>
      <ns0:c r="G175" s="20" t="n">
        <ns0:v>34</ns0:v>
      </ns0:c>
      <ns0:c r="H175" s="20" t="n">
        <ns0:v>34</ns0:v>
      </ns0:c>
      <ns0:c r="I175" s="20" t="n">
        <ns0:v>83</ns0:v>
      </ns0:c>
      <ns0:c r="J175" s="20" t="n">
        <ns0:v>5899.647230566239</ns0:v>
      </ns0:c>
      <ns0:c r="K175" s="20" t="n">
        <ns0:v>1287.336054574549</ns0:v>
      </ns0:c>
      <ns0:c r="L175" s="20" t="n">
        <ns0:v>144696.2218879221</ns0:v>
      </ns0:c>
      <ns0:c r="M175" s="20" t="n">
        <ns0:v>7273.526237273327</ns0:v>
      </ns0:c>
      <ns0:c r="N175" s="20" t="n">
        <ns0:v>-39612.86635115747</ns0:v>
      </ns0:c>
      <ns0:c r="O175" s="20" t="n">
        <ns0:v>-8316.729800856825</ns0:v>
      </ns0:c>
      <ns0:c r="P175" s="20" t="n">
        <ns0:v>37479.40674944379</ns0:v>
      </ns0:c>
      <ns0:c r="Q175" s="20" t="n">
        <ns0:v>151969.7481251954</ns0:v>
      </ns0:c>
      <ns0:c r="R175" s="20" t="n">
        <ns0:v>567931.1136282019</ns0:v>
      </ns0:c>
      <ns0:c r="S175" s="20" t="n">
        <ns0:v>2100795.892888725</ns0:v>
      </ns0:c>
    </ns0:row>
    <ns0:row r="176" ht="32" customHeight="1">
      <ns0:c r="A176" s="20" t="inlineStr">
        <ns0:is>
          <ns0:t>service20</ns0:t>
        </ns0:is>
      </ns0:c>
      <ns0:c r="B176" s="22" t="n">
        <ns0:v>0.1</ns0:v>
      </ns0:c>
      <ns0:c r="C176" s="20" t="n">
        <ns0:v>1</ns0:v>
      </ns0:c>
      <ns0:c r="D176" s="20" t="inlineStr">
        <ns0:is>
          <ns0:t>add</ns0:t>
        </ns0:is>
      </ns0:c>
      <ns0:c r="E176" s="20" t="inlineStr">
        <ns0:is>
          <ns0:t>混在・パック30%</ns0:t>
        </ns0:is>
      </ns0:c>
      <ns0:c r="F176" s="22" t="n">
        <ns0:v>0.5</ns0:v>
      </ns0:c>
      <ns0:c r="G176" s="20" t="n">
        <ns0:v>40</ns0:v>
      </ns0:c>
      <ns0:c r="H176" s="20" t="n">
        <ns0:v>40</ns0:v>
      </ns0:c>
      <ns0:c r="I176" s="20" t="n">
        <ns0:v>100</ns0:v>
      </ns0:c>
      <ns0:c r="J176" s="20" t="n">
        <ns0:v>5899.647230566239</ns0:v>
      </ns0:c>
      <ns0:c r="K176" s="20" t="n">
        <ns0:v>1609.170068218186</ns0:v>
      </ns0:c>
      <ns0:c r="L176" s="20" t="n">
        <ns0:v>119703.3170073093</ns0:v>
      </ns0:c>
      <ns0:c r="M176" s="20" t="n">
        <ns0:v>83.02975352233625</ns0:v>
      </ns0:c>
      <ns0:c r="N176" s="20" t="n">
        <ns0:v>-42831.20648759384</ns0:v>
      </ns0:c>
      <ns0:c r="O176" s="20" t="n">
        <ns0:v>-17971.75021016594</ns0:v>
      </ns0:c>
      <ns0:c r="P176" s="20" t="n">
        <ns0:v>21387.70606726193</ns0:v>
      </ns0:c>
      <ns0:c r="Q176" s="20" t="n">
        <ns0:v>119786.3467608317</ns0:v>
      </ns0:c>
      <ns0:c r="R176" s="20" t="n">
        <ns0:v>471380.9095351108</ns0:v>
      </ns0:c>
      <ns0:c r="S176" s="20" t="n">
        <ns0:v>1778961.879245088</ns0:v>
      </ns0:c>
    </ns0:row>
    <ns0:row r="177" ht="32" customHeight="1">
      <ns0:c r="A177" s="20" t="inlineStr">
        <ns0:is>
          <ns0:t>service20</ns0:t>
        </ns0:is>
      </ns0:c>
      <ns0:c r="B177" s="22" t="n">
        <ns0:v>0.1</ns0:v>
      </ns0:c>
      <ns0:c r="C177" s="20" t="n">
        <ns0:v>1</ns0:v>
      </ns0:c>
      <ns0:c r="D177" s="20" t="inlineStr">
        <ns0:is>
          <ns0:t>add</ns0:t>
        </ns0:is>
      </ns0:c>
      <ns0:c r="E177" s="20" t="inlineStr">
        <ns0:is>
          <ns0:t>混在・パック50%</ns0:t>
        </ns0:is>
      </ns0:c>
      <ns0:c r="F177" s="22" t="n">
        <ns0:v>0.4</ns0:v>
      </ns0:c>
      <ns0:c r="G177" s="20" t="n">
        <ns0:v>31</ns0:v>
      </ns0:c>
      <ns0:c r="H177" s="20" t="n">
        <ns0:v>31</ns0:v>
      </ns0:c>
      <ns0:c r="I177" s="20" t="n">
        <ns0:v>71</ns0:v>
      </ns0:c>
      <ns0:c r="J177" s="20" t="n">
        <ns0:v>6576.427989909643</ns0:v>
      </ns0:c>
      <ns0:c r="K177" s="20" t="n">
        <ns0:v>1402.16900945269</ns0:v>
      </ns0:c>
      <ns0:c r="L177" s="20" t="n">
        <ns0:v>160738.4923635272</ns0:v>
      </ns0:c>
      <ns0:c r="M177" s="20" t="n">
        <ns0:v>14172.76748596641</ns0:v>
      </ns0:c>
      <ns0:c r="N177" s="20" t="n">
        <ns0:v>-37318.71517872765</ns0:v>
      </ns0:c>
      <ns0:c r="O177" s="20" t="n">
        <ns0:v>-1434.276283567393</ns0:v>
      </ns0:c>
      <ns0:c r="P177" s="20" t="n">
        <ns0:v>48950.16261159291</ns0:v>
      </ns0:c>
      <ns0:c r="Q177" s="20" t="n">
        <ns0:v>174911.2598494936</ns0:v>
      </ns0:c>
      <ns0:c r="R177" s="20" t="n">
        <ns0:v>636755.6488010962</ns0:v>
      </ns0:c>
      <ns0:c r="S177" s="20" t="n">
        <ns0:v>2330211.010131706</ns0:v>
      </ns0:c>
    </ns0:row>
    <ns0:row r="178" ht="32" customHeight="1">
      <ns0:c r="A178" s="20" t="inlineStr">
        <ns0:is>
          <ns0:t>service20</ns0:t>
        </ns0:is>
      </ns0:c>
      <ns0:c r="B178" s="22" t="n">
        <ns0:v>0.1</ns0:v>
      </ns0:c>
      <ns0:c r="C178" s="20" t="n">
        <ns0:v>1</ns0:v>
      </ns0:c>
      <ns0:c r="D178" s="20" t="inlineStr">
        <ns0:is>
          <ns0:t>add</ns0:t>
        </ns0:is>
      </ns0:c>
      <ns0:c r="E178" s="20" t="inlineStr">
        <ns0:is>
          <ns0:t>混在・パック50%</ns0:t>
        </ns0:is>
      </ns0:c>
      <ns0:c r="F178" s="22" t="n">
        <ns0:v>0.5</ns0:v>
      </ns0:c>
      <ns0:c r="G178" s="20" t="n">
        <ns0:v>36</ns0:v>
      </ns0:c>
      <ns0:c r="H178" s="20" t="n">
        <ns0:v>36</ns0:v>
      </ns0:c>
      <ns0:c r="I178" s="20" t="n">
        <ns0:v>86</ns0:v>
      </ns0:c>
      <ns0:c r="J178" s="20" t="n">
        <ns0:v>6576.427989909643</ns0:v>
      </ns0:c>
      <ns0:c r="K178" s="20" t="n">
        <ns0:v>1752.711261815863</ns0:v>
      </ns0:c>
      <ns0:c r="L178" s="20" t="n">
        <ns0:v>133905.039563038</ns0:v>
      </ns0:c>
      <ns0:c r="M178" s="20" t="n">
        <ns0:v>5951.995050138299</ns0:v>
      </ns0:c>
      <ns0:c r="N178" s="20" t="n">
        <ns0:v>-40824.13770235937</ns0:v>
      </ns0:c>
      <ns0:c r="O178" s="20" t="n">
        <ns0:v>-11950.54385446257</ns0:v>
      </ns0:c>
      <ns0:c r="P178" s="20" t="n">
        <ns0:v>31423.04999343426</ns0:v>
      </ns0:c>
      <ns0:c r="Q178" s="20" t="n">
        <ns0:v>139857.0346131763</ns0:v>
      </ns0:c>
      <ns0:c r="R178" s="20" t="n">
        <ns0:v>531592.9730921444</ns0:v>
      </ns0:c>
      <ns0:c r="S178" s="20" t="n">
        <ns0:v>1979668.757768534</ns0:v>
      </ns0:c>
    </ns0:row>
    <ns0:row r="179" ht="32" customHeight="1">
      <ns0:c r="A179" s="20" t="inlineStr">
        <ns0:is>
          <ns0:t>service20</ns0:t>
        </ns0:is>
      </ns0:c>
      <ns0:c r="B179" s="22" t="n">
        <ns0:v>0.1</ns0:v>
      </ns0:c>
      <ns0:c r="C179" s="20" t="n">
        <ns0:v>1</ns0:v>
      </ns0:c>
      <ns0:c r="D179" s="20" t="inlineStr">
        <ns0:is>
          <ns0:t>add</ns0:t>
        </ns0:is>
      </ns0:c>
      <ns0:c r="E179" s="20" t="inlineStr">
        <ns0:is>
          <ns0:t>混在・パック70%</ns0:t>
        </ns0:is>
      </ns0:c>
      <ns0:c r="F179" s="22" t="n">
        <ns0:v>0.4</ns0:v>
      </ns0:c>
      <ns0:c r="G179" s="20" t="n">
        <ns0:v>29</ns0:v>
      </ns0:c>
      <ns0:c r="H179" s="20" t="n">
        <ns0:v>29</ns0:v>
      </ns0:c>
      <ns0:c r="I179" s="20" t="n">
        <ns0:v>63</ns0:v>
      </ns0:c>
      <ns0:c r="J179" s="20" t="n">
        <ns0:v>7253.208749253048</ns0:v>
      </ns0:c>
      <ns0:c r="K179" s="20" t="n">
        <ns0:v>1517.001964330832</ns0:v>
      </ns0:c>
      <ns0:c r="L179" s="20" t="n">
        <ns0:v>176780.7628391322</ns0:v>
      </ns0:c>
      <ns0:c r="M179" s="20" t="n">
        <ns0:v>21072.00873465948</ns0:v>
      </ns0:c>
      <ns0:c r="N179" s="20" t="n">
        <ns0:v>-35024.56400629784</ns0:v>
      </ns0:c>
      <ns0:c r="O179" s="20" t="n">
        <ns0:v>5448.177233722054</ns0:v>
      </ns0:c>
      <ns0:c r="P179" s="20" t="n">
        <ns0:v>60420.91847374194</ns0:v>
      </ns0:c>
      <ns0:c r="Q179" s="20" t="n">
        <ns0:v>197852.7715737917</ns0:v>
      </ns0:c>
      <ns0:c r="R179" s="20" t="n">
        <ns0:v>705580.1839739911</ns0:v>
      </ns0:c>
      <ns0:c r="S179" s="20" t="n">
        <ns0:v>2559626.127374687</ns0:v>
      </ns0:c>
    </ns0:row>
    <ns0:row r="180" ht="32" customHeight="1">
      <ns0:c r="A180" s="20" t="inlineStr">
        <ns0:is>
          <ns0:t>service20</ns0:t>
        </ns0:is>
      </ns0:c>
      <ns0:c r="B180" s="22" t="n">
        <ns0:v>0.1</ns0:v>
      </ns0:c>
      <ns0:c r="C180" s="20" t="n">
        <ns0:v>1</ns0:v>
      </ns0:c>
      <ns0:c r="D180" s="20" t="inlineStr">
        <ns0:is>
          <ns0:t>add</ns0:t>
        </ns0:is>
      </ns0:c>
      <ns0:c r="E180" s="20" t="inlineStr">
        <ns0:is>
          <ns0:t>混在・パック70%</ns0:t>
        </ns0:is>
      </ns0:c>
      <ns0:c r="F180" s="22" t="n">
        <ns0:v>0.5</ns0:v>
      </ns0:c>
      <ns0:c r="G180" s="20" t="n">
        <ns0:v>33</ns0:v>
      </ns0:c>
      <ns0:c r="H180" s="20" t="n">
        <ns0:v>33</ns0:v>
      </ns0:c>
      <ns0:c r="I180" s="20" t="n">
        <ns0:v>122</ns0:v>
      </ns0:c>
      <ns0:c r="J180" s="20" t="n">
        <ns0:v>7253.208749253048</ns0:v>
      </ns0:c>
      <ns0:c r="K180" s="20" t="n">
        <ns0:v>1896.25245541354</ns0:v>
      </ns0:c>
      <ns0:c r="L180" s="20" t="n">
        <ns0:v>148106.7621187666</ns0:v>
      </ns0:c>
      <ns0:c r="M180" s="20" t="n">
        <ns0:v>11820.96034675428</ns0:v>
      </ns0:c>
      <ns0:c r="N180" s="20" t="n">
        <ns0:v>-38817.06891712492</ns0:v>
      </ns0:c>
      <ns0:c r="O180" s="20" t="n">
        <ns0:v>-5929.337498759189</ns0:v>
      </ns0:c>
      <ns0:c r="P180" s="20" t="n">
        <ns0:v>41458.39391960653</ns0:v>
      </ns0:c>
      <ns0:c r="Q180" s="20" t="n">
        <ns0:v>159927.7224655208</ns0:v>
      </ns0:c>
      <ns0:c r="R180" s="20" t="n">
        <ns0:v>591805.0366491787</ns0:v>
      </ns0:c>
      <ns0:c r="S180" s="20" t="n">
        <ns0:v>2180375.636291979</ns0:v>
      </ns0:c>
    </ns0:row>
    <ns0:row r="181" ht="32" customHeight="1">
      <ns0:c r="A181" s="20" t="inlineStr">
        <ns0:is>
          <ns0:t>service20</ns0:t>
        </ns0:is>
      </ns0:c>
      <ns0:c r="B181" s="22" t="n">
        <ns0:v>0.1</ns0:v>
      </ns0:c>
      <ns0:c r="C181" s="20" t="n">
        <ns0:v>0</ns0:v>
      </ns0:c>
      <ns0:c r="D181" s="20" t="inlineStr">
        <ns0:is>
          <ns0:t>floor</ns0:t>
        </ns0:is>
      </ns0:c>
      <ns0:c r="E181" s="20" t="inlineStr">
        <ns0:is>
          <ns0:t>パック単独</ns0:t>
        </ns0:is>
      </ns0:c>
      <ns0:c r="F181" s="22" t="n">
        <ns0:v>0.4</ns0:v>
      </ns0:c>
      <ns0:c r="G181" s="20" t="n">
        <ns0:v>9</ns0:v>
      </ns0:c>
      <ns0:c r="H181" s="20" t="n">
        <ns0:v>9</ns0:v>
      </ns0:c>
      <ns0:c r="I181" s="20" t="n">
        <ns0:v>21</ns0:v>
      </ns0:c>
      <ns0:c r="J181" s="20" t="n">
        <ns0:v>8268.379888268157</ns0:v>
      </ns0:c>
      <ns0:c r="K181" s="20" t="n">
        <ns0:v>1689.251396648045</ns0:v>
      </ns0:c>
      <ns0:c r="L181" s="20" t="n">
        <ns0:v>299530.3882918323</ns0:v>
      </ns0:c>
      <ns0:c r="M181" s="20" t="n">
        <ns0:v>104759.7905332112</ns0:v>
      </ns0:c>
      <ns0:c r="N181" s="20" t="n">
        <ns0:v>11154.65157916253</ns0:v>
      </ns0:c>
      <ns0:c r="O181" s="20" t="n">
        <ns0:v>99929.3994090976</ns0:v>
      </ns0:c>
      <ns0:c r="P181" s="20" t="n">
        <ns0:v>186889.6220993678</ns0:v>
      </ns0:c>
      <ns0:c r="Q181" s="20" t="n">
        <ns0:v>404290.1788250435</ns0:v>
      </ns0:c>
      <ns0:c r="R181" s="20" t="n">
        <ns0:v>1247892.405727746</ns0:v>
      </ns0:c>
      <ns0:c r="S181" s="20" t="n">
        <ns0:v>4253500.199887205</ns0:v>
      </ns0:c>
    </ns0:row>
    <ns0:row r="182" ht="32" customHeight="1">
      <ns0:c r="A182" s="20" t="inlineStr">
        <ns0:is>
          <ns0:t>service20</ns0:t>
        </ns0:is>
      </ns0:c>
      <ns0:c r="B182" s="22" t="n">
        <ns0:v>0.1</ns0:v>
      </ns0:c>
      <ns0:c r="C182" s="20" t="n">
        <ns0:v>0</ns0:v>
      </ns0:c>
      <ns0:c r="D182" s="20" t="inlineStr">
        <ns0:is>
          <ns0:t>floor</ns0:t>
        </ns0:is>
      </ns0:c>
      <ns0:c r="E182" s="20" t="inlineStr">
        <ns0:is>
          <ns0:t>パック単独</ns0:t>
        </ns0:is>
      </ns0:c>
      <ns0:c r="F182" s="22" t="n">
        <ns0:v>0.5</ns0:v>
      </ns0:c>
      <ns0:c r="G182" s="20" t="n">
        <ns0:v>9</ns0:v>
      </ns0:c>
      <ns0:c r="H182" s="20" t="n">
        <ns0:v>9</ns0:v>
      </ns0:c>
      <ns0:c r="I182" s="20" t="n">
        <ns0:v>23</ns0:v>
      </ns0:c>
      <ns0:c r="J182" s="20" t="n">
        <ns0:v>8268.379888268157</ns0:v>
      </ns0:c>
      <ns0:c r="K182" s="20" t="n">
        <ns0:v>2111.564245810056</ns0:v>
      </ns0:c>
      <ns0:c r="L182" s="20" t="n">
        <ns0:v>268095.565691652</ns0:v>
      </ns0:c>
      <ns0:c r="M182" s="20" t="n">
        <ns0:v>93963.32821719034</ns0:v>
      </ns0:c>
      <ns0:c r="N182" s="20" t="n">
        <ns0:v>6931.523087542411</ns0:v>
      </ns0:c>
      <ns0:c r="O182" s="20" t="n">
        <ns0:v>87260.01393423727</ns0:v>
      </ns0:c>
      <ns0:c r="P182" s="20" t="n">
        <ns0:v>165773.9796412673</ns0:v>
      </ns0:c>
      <ns0:c r="Q182" s="20" t="n">
        <ns0:v>362058.8939088424</ns0:v>
      </ns0:c>
      <ns0:c r="R182" s="20" t="n">
        <ns0:v>1121198.550979143</ns0:v>
      </ns0:c>
      <ns0:c r="S182" s="20" t="n">
        <ns0:v>3831187.350725194</ns0:v>
      </ns0:c>
    </ns0:row>
    <ns0:row r="183" ht="32" customHeight="1">
      <ns0:c r="A183" s="20" t="inlineStr">
        <ns0:is>
          <ns0:t>service20</ns0:t>
        </ns0:is>
      </ns0:c>
      <ns0:c r="B183" s="22" t="n">
        <ns0:v>0.1</ns0:v>
      </ns0:c>
      <ns0:c r="C183" s="20" t="n">
        <ns0:v>0</ns0:v>
      </ns0:c>
      <ns0:c r="D183" s="20" t="inlineStr">
        <ns0:is>
          <ns0:t>floor</ns0:t>
        </ns0:is>
      </ns0:c>
      <ns0:c r="E183" s="20" t="inlineStr">
        <ns0:is>
          <ns0:t>混在・パック30%</ns0:t>
        </ns0:is>
      </ns0:c>
      <ns0:c r="F183" s="22" t="n">
        <ns0:v>0.4</ns0:v>
      </ns0:c>
      <ns0:c r="G183" s="20" t="n">
        <ns0:v>12</ns0:v>
      </ns0:c>
      <ns0:c r="H183" s="20" t="n">
        <ns0:v>12</ns0:v>
      </ns0:c>
      <ns0:c r="I183" s="20" t="n">
        <ns0:v>33</ns0:v>
      </ns0:c>
      <ns0:c r="J183" s="20" t="n">
        <ns0:v>5899.647230566239</ns0:v>
      </ns0:c>
      <ns0:c r="K183" s="20" t="n">
        <ns0:v>1287.336054574549</ns0:v>
      </ns0:c>
      <ns0:c r="L183" s="20" t="n">
        <ns0:v>225326.5757054267</ns0:v>
      </ns0:c>
      <ns0:c r="M183" s="20" t="n">
        <ns0:v>54376.20724005259</ns0:v>
      </ns0:c>
      <ns0:c r="N183" s="20" t="n">
        <ns0:v>-5559.730466894445</ns0:v>
      </ns0:c>
      <ns0:c r="O183" s="20" t="n">
        <ns0:v>62553.18064522835</ns0:v>
      </ns0:c>
      <ns0:c r="P183" s="20" t="n">
        <ns0:v>124595.9241595858</ns0:v>
      </ns0:c>
      <ns0:c r="Q183" s="20" t="n">
        <ns0:v>279702.7829454793</ns0:v>
      </ns0:c>
      <ns0:c r="R183" s="20" t="n">
        <ns0:v>874130.2180890535</ns0:v>
      </ns0:c>
      <ns0:c r="S183" s="20" t="n">
        <ns0:v>3007626.241091564</ns0:v>
      </ns0:c>
    </ns0:row>
    <ns0:row r="184" ht="32" customHeight="1">
      <ns0:c r="A184" s="20" t="inlineStr">
        <ns0:is>
          <ns0:t>service20</ns0:t>
        </ns0:is>
      </ns0:c>
      <ns0:c r="B184" s="22" t="n">
        <ns0:v>0.1</ns0:v>
      </ns0:c>
      <ns0:c r="C184" s="20" t="n">
        <ns0:v>0</ns0:v>
      </ns0:c>
      <ns0:c r="D184" s="20" t="inlineStr">
        <ns0:is>
          <ns0:t>floor</ns0:t>
        </ns0:is>
      </ns0:c>
      <ns0:c r="E184" s="20" t="inlineStr">
        <ns0:is>
          <ns0:t>混在・パック30%</ns0:t>
        </ns0:is>
      </ns0:c>
      <ns0:c r="F184" s="22" t="n">
        <ns0:v>0.5</ns0:v>
      </ns0:c>
      <ns0:c r="G184" s="20" t="n">
        <ns0:v>13</ns0:v>
      </ns0:c>
      <ns0:c r="H184" s="20" t="n">
        <ns0:v>13</ns0:v>
      </ns0:c>
      <ns0:c r="I184" s="20" t="n">
        <ns0:v>36</ns0:v>
      </ns0:c>
      <ns0:c r="J184" s="20" t="n">
        <ns0:v>5899.647230566239</ns0:v>
      </ns0:c>
      <ns0:c r="K184" s="20" t="n">
        <ns0:v>1609.170068218186</ns0:v>
      </ns0:c>
      <ns0:c r="L184" s="20" t="n">
        <ns0:v>200333.670824814</ns0:v>
      </ns0:c>
      <ns0:c r="M184" s="20" t="n">
        <ns0:v>47185.7107563016</ns0:v>
      </ns0:c>
      <ns0:c r="N184" s="20" t="n">
        <ns0:v>-8778.070603330816</ns0:v>
      </ns0:c>
      <ns0:c r="O184" s="20" t="n">
        <ns0:v>52898.16023591923</ns0:v>
      </ns0:c>
      <ns0:c r="P184" s="20" t="n">
        <ns0:v>108504.2234774039</ns0:v>
      </ns0:c>
      <ns0:c r="Q184" s="20" t="n">
        <ns0:v>247519.3815811156</ns0:v>
      </ns0:c>
      <ns0:c r="R184" s="20" t="n">
        <ns0:v>777580.0139959625</ns0:v>
      </ns0:c>
      <ns0:c r="S184" s="20" t="n">
        <ns0:v>2685792.227447927</ns0:v>
      </ns0:c>
    </ns0:row>
    <ns0:row r="185" ht="32" customHeight="1">
      <ns0:c r="A185" s="20" t="inlineStr">
        <ns0:is>
          <ns0:t>service20</ns0:t>
        </ns0:is>
      </ns0:c>
      <ns0:c r="B185" s="22" t="n">
        <ns0:v>0.1</ns0:v>
      </ns0:c>
      <ns0:c r="C185" s="20" t="n">
        <ns0:v>0</ns0:v>
      </ns0:c>
      <ns0:c r="D185" s="20" t="inlineStr">
        <ns0:is>
          <ns0:t>floor</ns0:t>
        </ns0:is>
      </ns0:c>
      <ns0:c r="E185" s="20" t="inlineStr">
        <ns0:is>
          <ns0:t>混在・パック50%</ns0:t>
        </ns0:is>
      </ns0:c>
      <ns0:c r="F185" s="22" t="n">
        <ns0:v>0.4</ns0:v>
      </ns0:c>
      <ns0:c r="G185" s="20" t="n">
        <ns0:v>11</ns0:v>
      </ns0:c>
      <ns0:c r="H185" s="20" t="n">
        <ns0:v>11</ns0:v>
      </ns0:c>
      <ns0:c r="I185" s="20" t="n">
        <ns0:v>28</ns0:v>
      </ns0:c>
      <ns0:c r="J185" s="20" t="n">
        <ns0:v>6576.427989909643</ns0:v>
      </ns0:c>
      <ns0:c r="K185" s="20" t="n">
        <ns0:v>1402.16900945269</ns0:v>
      </ns0:c>
      <ns0:c r="L185" s="20" t="n">
        <ns0:v>246527.6650158284</ns0:v>
      </ns0:c>
      <ns0:c r="M185" s="20" t="n">
        <ns0:v>68771.51675238361</ns0:v>
      </ns0:c>
      <ns0:c r="N185" s="20" t="n">
        <ns0:v>-784.1927394495942</ns0:v>
      </ns0:c>
      <ns0:c r="O185" s="20" t="n">
        <ns0:v>73232.10029204813</ns0:v>
      </ns0:c>
      <ns0:c r="P185" s="20" t="n">
        <ns0:v>142394.1235709521</ns0:v>
      </ns0:c>
      <ns0:c r="Q185" s="20" t="n">
        <ns0:v>315299.181768212</ns0:v>
      </ns0:c>
      <ns0:c r="R185" s="20" t="n">
        <ns0:v>980919.4145572513</ns0:v>
      </ns0:c>
      <ns0:c r="S185" s="20" t="n">
        <ns0:v>3363590.229318889</ns0:v>
      </ns0:c>
    </ns0:row>
    <ns0:row r="186" ht="32" customHeight="1">
      <ns0:c r="A186" s="20" t="inlineStr">
        <ns0:is>
          <ns0:t>service20</ns0:t>
        </ns0:is>
      </ns0:c>
      <ns0:c r="B186" s="22" t="n">
        <ns0:v>0.1</ns0:v>
      </ns0:c>
      <ns0:c r="C186" s="20" t="n">
        <ns0:v>0</ns0:v>
      </ns0:c>
      <ns0:c r="D186" s="20" t="inlineStr">
        <ns0:is>
          <ns0:t>floor</ns0:t>
        </ns0:is>
      </ns0:c>
      <ns0:c r="E186" s="20" t="inlineStr">
        <ns0:is>
          <ns0:t>混在・パック50%</ns0:t>
        </ns0:is>
      </ns0:c>
      <ns0:c r="F186" s="22" t="n">
        <ns0:v>0.5</ns0:v>
      </ns0:c>
      <ns0:c r="G186" s="20" t="n">
        <ns0:v>12</ns0:v>
      </ns0:c>
      <ns0:c r="H186" s="20" t="n">
        <ns0:v>12</ns0:v>
      </ns0:c>
      <ns0:c r="I186" s="20" t="n">
        <ns0:v>31</ns0:v>
      </ns0:c>
      <ns0:c r="J186" s="20" t="n">
        <ns0:v>6576.427989909643</ns0:v>
      </ns0:c>
      <ns0:c r="K186" s="20" t="n">
        <ns0:v>1752.711261815863</ns0:v>
      </ns0:c>
      <ns0:c r="L186" s="20" t="n">
        <ns0:v>219694.2122153392</ns0:v>
      </ns0:c>
      <ns0:c r="M186" s="20" t="n">
        <ns0:v>60550.74431655551</ns0:v>
      </ns0:c>
      <ns0:c r="N186" s="20" t="n">
        <ns0:v>-4289.615263081312</ns0:v>
      </ns0:c>
      <ns0:c r="O186" s="20" t="n">
        <ns0:v>62715.83272115295</ns0:v>
      </ns0:c>
      <ns0:c r="P186" s="20" t="n">
        <ns0:v>124867.0109527934</ns0:v>
      </ns0:c>
      <ns0:c r="Q186" s="20" t="n">
        <ns0:v>280244.9565318947</ns0:v>
      </ns0:c>
      <ns0:c r="R186" s="20" t="n">
        <ns0:v>875756.7388482995</ns0:v>
      </ns0:c>
      <ns0:c r="S186" s="20" t="n">
        <ns0:v>3013047.976955717</ns0:v>
      </ns0:c>
    </ns0:row>
    <ns0:row r="187" ht="32" customHeight="1">
      <ns0:c r="A187" s="20" t="inlineStr">
        <ns0:is>
          <ns0:t>service20</ns0:t>
        </ns0:is>
      </ns0:c>
      <ns0:c r="B187" s="22" t="n">
        <ns0:v>0.1</ns0:v>
      </ns0:c>
      <ns0:c r="C187" s="20" t="n">
        <ns0:v>0</ns0:v>
      </ns0:c>
      <ns0:c r="D187" s="20" t="inlineStr">
        <ns0:is>
          <ns0:t>floor</ns0:t>
        </ns0:is>
      </ns0:c>
      <ns0:c r="E187" s="20" t="inlineStr">
        <ns0:is>
          <ns0:t>混在・パック70%</ns0:t>
        </ns0:is>
      </ns0:c>
      <ns0:c r="F187" s="22" t="n">
        <ns0:v>0.4</ns0:v>
      </ns0:c>
      <ns0:c r="G187" s="20" t="n">
        <ns0:v>10</ns0:v>
      </ns0:c>
      <ns0:c r="H187" s="20" t="n">
        <ns0:v>10</ns0:v>
      </ns0:c>
      <ns0:c r="I187" s="20" t="n">
        <ns0:v>25</ns0:v>
      </ns0:c>
      <ns0:c r="J187" s="20" t="n">
        <ns0:v>7253.208749253048</ns0:v>
      </ns0:c>
      <ns0:c r="K187" s="20" t="n">
        <ns0:v>1517.001964330832</ns0:v>
      </ns0:c>
      <ns0:c r="L187" s="20" t="n">
        <ns0:v>267728.7543262298</ns0:v>
      </ns0:c>
      <ns0:c r="M187" s="20" t="n">
        <ns0:v>83166.82626471465</ns0:v>
      </ns0:c>
      <ns0:c r="N187" s="20" t="n">
        <ns0:v>3991.34498799525</ns0:v>
      </ns0:c>
      <ns0:c r="O187" s="20" t="n">
        <ns0:v>83911.01993886789</ns0:v>
      </ns0:c>
      <ns0:c r="P187" s="20" t="n">
        <ns0:v>160192.3229823183</ns0:v>
      </ns0:c>
      <ns0:c r="Q187" s="20" t="n">
        <ns0:v>350895.5805909444</ns0:v>
      </ns0:c>
      <ns0:c r="R187" s="20" t="n">
        <ns0:v>1087708.611025449</ns0:v>
      </ns0:c>
      <ns0:c r="S187" s="20" t="n">
        <ns0:v>3719554.217546216</ns0:v>
      </ns0:c>
    </ns0:row>
    <ns0:row r="188" ht="32" customHeight="1">
      <ns0:c r="A188" s="20" t="inlineStr">
        <ns0:is>
          <ns0:t>service20</ns0:t>
        </ns0:is>
      </ns0:c>
      <ns0:c r="B188" s="22" t="n">
        <ns0:v>0.1</ns0:v>
      </ns0:c>
      <ns0:c r="C188" s="20" t="n">
        <ns0:v>0</ns0:v>
      </ns0:c>
      <ns0:c r="D188" s="20" t="inlineStr">
        <ns0:is>
          <ns0:t>floor</ns0:t>
        </ns0:is>
      </ns0:c>
      <ns0:c r="E188" s="20" t="inlineStr">
        <ns0:is>
          <ns0:t>混在・パック70%</ns0:t>
        </ns0:is>
      </ns0:c>
      <ns0:c r="F188" s="22" t="n">
        <ns0:v>0.5</ns0:v>
      </ns0:c>
      <ns0:c r="G188" s="20" t="n">
        <ns0:v>10</ns0:v>
      </ns0:c>
      <ns0:c r="H188" s="20" t="n">
        <ns0:v>10</ns0:v>
      </ns0:c>
      <ns0:c r="I188" s="20" t="n">
        <ns0:v>27</ns0:v>
      </ns0:c>
      <ns0:c r="J188" s="20" t="n">
        <ns0:v>7253.208749253048</ns0:v>
      </ns0:c>
      <ns0:c r="K188" s="20" t="n">
        <ns0:v>1896.25245541354</ns0:v>
      </ns0:c>
      <ns0:c r="L188" s="20" t="n">
        <ns0:v>239054.7536058642</ns0:v>
      </ns0:c>
      <ns0:c r="M188" s="20" t="n">
        <ns0:v>73915.77787680944</ns0:v>
      </ns0:c>
      <ns0:c r="N188" s="20" t="n">
        <ns0:v>198.84007716817</ns0:v>
      </ns0:c>
      <ns0:c r="O188" s="20" t="n">
        <ns0:v>72533.50520638665</ns0:v>
      </ns0:c>
      <ns0:c r="P188" s="20" t="n">
        <ns0:v>141229.7984281829</ns0:v>
      </ns0:c>
      <ns0:c r="Q188" s="20" t="n">
        <ns0:v>312970.5314826736</ns0:v>
      </ns0:c>
      <ns0:c r="R188" s="20" t="n">
        <ns0:v>973933.463700637</ns0:v>
      </ns0:c>
      <ns0:c r="S188" s="20" t="n">
        <ns0:v>3340303.726463507</ns0:v>
      </ns0:c>
    </ns0:row>
    <ns0:row r="189" ht="32" customHeight="1">
      <ns0:c r="A189" s="20" t="inlineStr">
        <ns0:is>
          <ns0:t>service20</ns0:t>
        </ns0:is>
      </ns0:c>
      <ns0:c r="B189" s="22" t="n">
        <ns0:v>0.1</ns0:v>
      </ns0:c>
      <ns0:c r="C189" s="20" t="n">
        <ns0:v>0</ns0:v>
      </ns0:c>
      <ns0:c r="D189" s="20" t="inlineStr">
        <ns0:is>
          <ns0:t>add</ns0:t>
        </ns0:is>
      </ns0:c>
      <ns0:c r="E189" s="20" t="inlineStr">
        <ns0:is>
          <ns0:t>パック単独</ns0:t>
        </ns0:is>
      </ns0:c>
      <ns0:c r="F189" s="22" t="n">
        <ns0:v>0.4</ns0:v>
      </ns0:c>
      <ns0:c r="G189" s="20" t="n">
        <ns0:v>13</ns0:v>
      </ns0:c>
      <ns0:c r="H189" s="20" t="n">
        <ns0:v>13</ns0:v>
      </ns0:c>
      <ns0:c r="I189" s="20" t="n">
        <ns0:v>21</ns0:v>
      </ns0:c>
      <ns0:c r="J189" s="20" t="n">
        <ns0:v>8268.379888268157</ns0:v>
      </ns0:c>
      <ns0:c r="K189" s="20" t="n">
        <ns0:v>1689.251396648045</ns0:v>
      </ns0:c>
      <ns0:c r="L189" s="20" t="n">
        <ns0:v>277030.3882918323</ns0:v>
      </ns0:c>
      <ns0:c r="M189" s="20" t="n">
        <ns0:v>104759.7905332112</ns0:v>
      </ns0:c>
      <ns0:c r="N189" s="20" t="n">
        <ns0:v>-3030.823281172665</ns0:v>
      </ns0:c>
      <ns0:c r="O189" s="20" t="n">
        <ns0:v>77429.39940909762</ns0:v>
      </ns0:c>
      <ns0:c r="P189" s="20" t="n">
        <ns0:v>164389.6220993678</ns0:v>
      </ns0:c>
      <ns0:c r="Q189" s="20" t="n">
        <ns0:v>381790.1788250435</ns0:v>
      </ns0:c>
      <ns0:c r="R189" s="20" t="n">
        <ns0:v>1225392.405727746</ns0:v>
      </ns0:c>
      <ns0:c r="S189" s="20" t="n">
        <ns0:v>4231000.199887205</ns0:v>
      </ns0:c>
    </ns0:row>
    <ns0:row r="190" ht="32" customHeight="1">
      <ns0:c r="A190" s="20" t="inlineStr">
        <ns0:is>
          <ns0:t>service20</ns0:t>
        </ns0:is>
      </ns0:c>
      <ns0:c r="B190" s="22" t="n">
        <ns0:v>0.1</ns0:v>
      </ns0:c>
      <ns0:c r="C190" s="20" t="n">
        <ns0:v>0</ns0:v>
      </ns0:c>
      <ns0:c r="D190" s="20" t="inlineStr">
        <ns0:is>
          <ns0:t>add</ns0:t>
        </ns0:is>
      </ns0:c>
      <ns0:c r="E190" s="20" t="inlineStr">
        <ns0:is>
          <ns0:t>パック単独</ns0:t>
        </ns0:is>
      </ns0:c>
      <ns0:c r="F190" s="22" t="n">
        <ns0:v>0.5</ns0:v>
      </ns0:c>
      <ns0:c r="G190" s="20" t="n">
        <ns0:v>14</ns0:v>
      </ns0:c>
      <ns0:c r="H190" s="20" t="n">
        <ns0:v>14</ns0:v>
      </ns0:c>
      <ns0:c r="I190" s="20" t="n">
        <ns0:v>23</ns0:v>
      </ns0:c>
      <ns0:c r="J190" s="20" t="n">
        <ns0:v>8268.379888268157</ns0:v>
      </ns0:c>
      <ns0:c r="K190" s="20" t="n">
        <ns0:v>2111.564245810056</ns0:v>
      </ns0:c>
      <ns0:c r="L190" s="20" t="n">
        <ns0:v>245595.565691652</ns0:v>
      </ns0:c>
      <ns0:c r="M190" s="20" t="n">
        <ns0:v>93963.32821719034</ns0:v>
      </ns0:c>
      <ns0:c r="N190" s="20" t="n">
        <ns0:v>-7253.95177279278</ns0:v>
      </ns0:c>
      <ns0:c r="O190" s="20" t="n">
        <ns0:v>64760.01393423728</ns0:v>
      </ns0:c>
      <ns0:c r="P190" s="20" t="n">
        <ns0:v>143273.9796412673</ns0:v>
      </ns0:c>
      <ns0:c r="Q190" s="20" t="n">
        <ns0:v>339558.8939088424</ns0:v>
      </ns0:c>
      <ns0:c r="R190" s="20" t="n">
        <ns0:v>1098698.550979143</ns0:v>
      </ns0:c>
      <ns0:c r="S190" s="20" t="n">
        <ns0:v>3808687.350725194</ns0:v>
      </ns0:c>
    </ns0:row>
    <ns0:row r="191" ht="32" customHeight="1">
      <ns0:c r="A191" s="20" t="inlineStr">
        <ns0:is>
          <ns0:t>service20</ns0:t>
        </ns0:is>
      </ns0:c>
      <ns0:c r="B191" s="22" t="n">
        <ns0:v>0.1</ns0:v>
      </ns0:c>
      <ns0:c r="C191" s="20" t="n">
        <ns0:v>0</ns0:v>
      </ns0:c>
      <ns0:c r="D191" s="20" t="inlineStr">
        <ns0:is>
          <ns0:t>add</ns0:t>
        </ns0:is>
      </ns0:c>
      <ns0:c r="E191" s="20" t="inlineStr">
        <ns0:is>
          <ns0:t>混在・パック30%</ns0:t>
        </ns0:is>
      </ns0:c>
      <ns0:c r="F191" s="22" t="n">
        <ns0:v>0.4</ns0:v>
      </ns0:c>
      <ns0:c r="G191" s="20" t="n">
        <ns0:v>16</ns0:v>
      </ns0:c>
      <ns0:c r="H191" s="20" t="n">
        <ns0:v>18</ns0:v>
      </ns0:c>
      <ns0:c r="I191" s="20" t="n">
        <ns0:v>33</ns0:v>
      </ns0:c>
      <ns0:c r="J191" s="20" t="n">
        <ns0:v>5899.647230566239</ns0:v>
      </ns0:c>
      <ns0:c r="K191" s="20" t="n">
        <ns0:v>1287.336054574549</ns0:v>
      </ns0:c>
      <ns0:c r="L191" s="20" t="n">
        <ns0:v>202826.5757054267</ns0:v>
      </ns0:c>
      <ns0:c r="M191" s="20" t="n">
        <ns0:v>54376.20724005259</ns0:v>
      </ns0:c>
      <ns0:c r="N191" s="20" t="n">
        <ns0:v>-15489.56286912908</ns0:v>
      </ns0:c>
      <ns0:c r="O191" s="20" t="n">
        <ns0:v>40053.18064522835</ns0:v>
      </ns0:c>
      <ns0:c r="P191" s="20" t="n">
        <ns0:v>102095.9241595858</ns0:v>
      </ns0:c>
      <ns0:c r="Q191" s="20" t="n">
        <ns0:v>257202.7829454793</ns0:v>
      </ns0:c>
      <ns0:c r="R191" s="20" t="n">
        <ns0:v>851630.2180890535</ns0:v>
      </ns0:c>
      <ns0:c r="S191" s="20" t="n">
        <ns0:v>2985126.241091564</ns0:v>
      </ns0:c>
    </ns0:row>
    <ns0:row r="192" ht="32" customHeight="1">
      <ns0:c r="A192" s="20" t="inlineStr">
        <ns0:is>
          <ns0:t>service20</ns0:t>
        </ns0:is>
      </ns0:c>
      <ns0:c r="B192" s="22" t="n">
        <ns0:v>0.1</ns0:v>
      </ns0:c>
      <ns0:c r="C192" s="20" t="n">
        <ns0:v>0</ns0:v>
      </ns0:c>
      <ns0:c r="D192" s="20" t="inlineStr">
        <ns0:is>
          <ns0:t>add</ns0:t>
        </ns0:is>
      </ns0:c>
      <ns0:c r="E192" s="20" t="inlineStr">
        <ns0:is>
          <ns0:t>混在・パック30%</ns0:t>
        </ns0:is>
      </ns0:c>
      <ns0:c r="F192" s="22" t="n">
        <ns0:v>0.5</ns0:v>
      </ns0:c>
      <ns0:c r="G192" s="20" t="n">
        <ns0:v>20</ns0:v>
      </ns0:c>
      <ns0:c r="H192" s="20" t="n">
        <ns0:v>20</ns0:v>
      </ns0:c>
      <ns0:c r="I192" s="20" t="n">
        <ns0:v>36</ns0:v>
      </ns0:c>
      <ns0:c r="J192" s="20" t="n">
        <ns0:v>5899.647230566239</ns0:v>
      </ns0:c>
      <ns0:c r="K192" s="20" t="n">
        <ns0:v>1609.170068218186</ns0:v>
      </ns0:c>
      <ns0:c r="L192" s="20" t="n">
        <ns0:v>177833.670824814</ns0:v>
      </ns0:c>
      <ns0:c r="M192" s="20" t="n">
        <ns0:v>47185.7107563016</ns0:v>
      </ns0:c>
      <ns0:c r="N192" s="20" t="n">
        <ns0:v>-18707.90300556545</ns0:v>
      </ns0:c>
      <ns0:c r="O192" s="20" t="n">
        <ns0:v>30398.16023591924</ns0:v>
      </ns0:c>
      <ns0:c r="P192" s="20" t="n">
        <ns0:v>86004.2234774039</ns0:v>
      </ns0:c>
      <ns0:c r="Q192" s="20" t="n">
        <ns0:v>225019.3815811156</ns0:v>
      </ns0:c>
      <ns0:c r="R192" s="20" t="n">
        <ns0:v>755080.0139959625</ns0:v>
      </ns0:c>
      <ns0:c r="S192" s="20" t="n">
        <ns0:v>2663292.227447927</ns0:v>
      </ns0:c>
    </ns0:row>
    <ns0:row r="193" ht="32" customHeight="1">
      <ns0:c r="A193" s="20" t="inlineStr">
        <ns0:is>
          <ns0:t>service20</ns0:t>
        </ns0:is>
      </ns0:c>
      <ns0:c r="B193" s="22" t="n">
        <ns0:v>0.1</ns0:v>
      </ns0:c>
      <ns0:c r="C193" s="20" t="n">
        <ns0:v>0</ns0:v>
      </ns0:c>
      <ns0:c r="D193" s="20" t="inlineStr">
        <ns0:is>
          <ns0:t>add</ns0:t>
        </ns0:is>
      </ns0:c>
      <ns0:c r="E193" s="20" t="inlineStr">
        <ns0:is>
          <ns0:t>混在・パック50%</ns0:t>
        </ns0:is>
      </ns0:c>
      <ns0:c r="F193" s="22" t="n">
        <ns0:v>0.4</ns0:v>
      </ns0:c>
      <ns0:c r="G193" s="20" t="n">
        <ns0:v>16</ns0:v>
      </ns0:c>
      <ns0:c r="H193" s="20" t="n">
        <ns0:v>16</ns0:v>
      </ns0:c>
      <ns0:c r="I193" s="20" t="n">
        <ns0:v>28</ns0:v>
      </ns0:c>
      <ns0:c r="J193" s="20" t="n">
        <ns0:v>6576.427989909643</ns0:v>
      </ns0:c>
      <ns0:c r="K193" s="20" t="n">
        <ns0:v>1402.16900945269</ns0:v>
      </ns0:c>
      <ns0:c r="L193" s="20" t="n">
        <ns0:v>224027.6650158284</ns0:v>
      </ns0:c>
      <ns0:c r="M193" s="20" t="n">
        <ns0:v>68771.51675238361</ns0:v>
      </ns0:c>
      <ns0:c r="N193" s="20" t="n">
        <ns0:v>-11929.92298685582</ns0:v>
      </ns0:c>
      <ns0:c r="O193" s="20" t="n">
        <ns0:v>50732.10029204812</ns0:v>
      </ns0:c>
      <ns0:c r="P193" s="20" t="n">
        <ns0:v>119894.1235709521</ns0:v>
      </ns0:c>
      <ns0:c r="Q193" s="20" t="n">
        <ns0:v>292799.181768212</ns0:v>
      </ns0:c>
      <ns0:c r="R193" s="20" t="n">
        <ns0:v>958419.4145572513</ns0:v>
      </ns0:c>
      <ns0:c r="S193" s="20" t="n">
        <ns0:v>3341090.229318889</ns0:v>
      </ns0:c>
    </ns0:row>
    <ns0:row r="194" ht="32" customHeight="1">
      <ns0:c r="A194" s="20" t="inlineStr">
        <ns0:is>
          <ns0:t>service20</ns0:t>
        </ns0:is>
      </ns0:c>
      <ns0:c r="B194" s="22" t="n">
        <ns0:v>0.1</ns0:v>
      </ns0:c>
      <ns0:c r="C194" s="20" t="n">
        <ns0:v>0</ns0:v>
      </ns0:c>
      <ns0:c r="D194" s="20" t="inlineStr">
        <ns0:is>
          <ns0:t>add</ns0:t>
        </ns0:is>
      </ns0:c>
      <ns0:c r="E194" s="20" t="inlineStr">
        <ns0:is>
          <ns0:t>混在・パック50%</ns0:t>
        </ns0:is>
      </ns0:c>
      <ns0:c r="F194" s="22" t="n">
        <ns0:v>0.5</ns0:v>
      </ns0:c>
      <ns0:c r="G194" s="20" t="n">
        <ns0:v>18</ns0:v>
      </ns0:c>
      <ns0:c r="H194" s="20" t="n">
        <ns0:v>18</ns0:v>
      </ns0:c>
      <ns0:c r="I194" s="20" t="n">
        <ns0:v>31</ns0:v>
      </ns0:c>
      <ns0:c r="J194" s="20" t="n">
        <ns0:v>6576.427989909643</ns0:v>
      </ns0:c>
      <ns0:c r="K194" s="20" t="n">
        <ns0:v>1752.711261815863</ns0:v>
      </ns0:c>
      <ns0:c r="L194" s="20" t="n">
        <ns0:v>197194.2122153392</ns0:v>
      </ns0:c>
      <ns0:c r="M194" s="20" t="n">
        <ns0:v>60550.74431655551</ns0:v>
      </ns0:c>
      <ns0:c r="N194" s="20" t="n">
        <ns0:v>-15435.34551048754</ns0:v>
      </ns0:c>
      <ns0:c r="O194" s="20" t="n">
        <ns0:v>40215.83272115294</ns0:v>
      </ns0:c>
      <ns0:c r="P194" s="20" t="n">
        <ns0:v>102367.0109527934</ns0:v>
      </ns0:c>
      <ns0:c r="Q194" s="20" t="n">
        <ns0:v>257744.9565318947</ns0:v>
      </ns0:c>
      <ns0:c r="R194" s="20" t="n">
        <ns0:v>853256.7388482995</ns0:v>
      </ns0:c>
      <ns0:c r="S194" s="20" t="n">
        <ns0:v>2990547.976955717</ns0:v>
      </ns0:c>
    </ns0:row>
    <ns0:row r="195" ht="32" customHeight="1">
      <ns0:c r="A195" s="20" t="inlineStr">
        <ns0:is>
          <ns0:t>service20</ns0:t>
        </ns0:is>
      </ns0:c>
      <ns0:c r="B195" s="22" t="n">
        <ns0:v>0.1</ns0:v>
      </ns0:c>
      <ns0:c r="C195" s="20" t="n">
        <ns0:v>0</ns0:v>
      </ns0:c>
      <ns0:c r="D195" s="20" t="inlineStr">
        <ns0:is>
          <ns0:t>add</ns0:t>
        </ns0:is>
      </ns0:c>
      <ns0:c r="E195" s="20" t="inlineStr">
        <ns0:is>
          <ns0:t>混在・パック70%</ns0:t>
        </ns0:is>
      </ns0:c>
      <ns0:c r="F195" s="22" t="n">
        <ns0:v>0.4</ns0:v>
      </ns0:c>
      <ns0:c r="G195" s="20" t="n">
        <ns0:v>14</ns0:v>
      </ns0:c>
      <ns0:c r="H195" s="20" t="n">
        <ns0:v>14</ns0:v>
      </ns0:c>
      <ns0:c r="I195" s="20" t="n">
        <ns0:v>25</ns0:v>
      </ns0:c>
      <ns0:c r="J195" s="20" t="n">
        <ns0:v>7253.208749253048</ns0:v>
      </ns0:c>
      <ns0:c r="K195" s="20" t="n">
        <ns0:v>1517.001964330832</ns0:v>
      </ns0:c>
      <ns0:c r="L195" s="20" t="n">
        <ns0:v>245228.7543262298</ns0:v>
      </ns0:c>
      <ns0:c r="M195" s="20" t="n">
        <ns0:v>83166.82626471465</ns0:v>
      </ns0:c>
      <ns0:c r="N195" s="20" t="n">
        <ns0:v>-8370.283104582562</ns0:v>
      </ns0:c>
      <ns0:c r="O195" s="20" t="n">
        <ns0:v>61411.01993886789</ns0:v>
      </ns0:c>
      <ns0:c r="P195" s="20" t="n">
        <ns0:v>137692.3229823184</ns0:v>
      </ns0:c>
      <ns0:c r="Q195" s="20" t="n">
        <ns0:v>328395.5805909445</ns0:v>
      </ns0:c>
      <ns0:c r="R195" s="20" t="n">
        <ns0:v>1065208.611025449</ns0:v>
      </ns0:c>
      <ns0:c r="S195" s="20" t="n">
        <ns0:v>3697054.217546216</ns0:v>
      </ns0:c>
    </ns0:row>
    <ns0:row r="196" ht="32" customHeight="1">
      <ns0:c r="A196" s="20" t="inlineStr">
        <ns0:is>
          <ns0:t>service20</ns0:t>
        </ns0:is>
      </ns0:c>
      <ns0:c r="B196" s="22" t="n">
        <ns0:v>0.1</ns0:v>
      </ns0:c>
      <ns0:c r="C196" s="20" t="n">
        <ns0:v>0</ns0:v>
      </ns0:c>
      <ns0:c r="D196" s="20" t="inlineStr">
        <ns0:is>
          <ns0:t>add</ns0:t>
        </ns0:is>
      </ns0:c>
      <ns0:c r="E196" s="20" t="inlineStr">
        <ns0:is>
          <ns0:t>混在・パック70%</ns0:t>
        </ns0:is>
      </ns0:c>
      <ns0:c r="F196" s="22" t="n">
        <ns0:v>0.5</ns0:v>
      </ns0:c>
      <ns0:c r="G196" s="20" t="n">
        <ns0:v>16</ns0:v>
      </ns0:c>
      <ns0:c r="H196" s="20" t="n">
        <ns0:v>16</ns0:v>
      </ns0:c>
      <ns0:c r="I196" s="20" t="n">
        <ns0:v>27</ns0:v>
      </ns0:c>
      <ns0:c r="J196" s="20" t="n">
        <ns0:v>7253.208749253048</ns0:v>
      </ns0:c>
      <ns0:c r="K196" s="20" t="n">
        <ns0:v>1896.25245541354</ns0:v>
      </ns0:c>
      <ns0:c r="L196" s="20" t="n">
        <ns0:v>216554.7536058642</ns0:v>
      </ns0:c>
      <ns0:c r="M196" s="20" t="n">
        <ns0:v>73915.77787680944</ns0:v>
      </ns0:c>
      <ns0:c r="N196" s="20" t="n">
        <ns0:v>-12162.78801540964</ns0:v>
      </ns0:c>
      <ns0:c r="O196" s="20" t="n">
        <ns0:v>50033.50520638665</ns0:v>
      </ns0:c>
      <ns0:c r="P196" s="20" t="n">
        <ns0:v>118729.7984281829</ns0:v>
      </ns0:c>
      <ns0:c r="Q196" s="20" t="n">
        <ns0:v>290470.5314826737</ns0:v>
      </ns0:c>
      <ns0:c r="R196" s="20" t="n">
        <ns0:v>951433.463700637</ns0:v>
      </ns0:c>
      <ns0:c r="S196" s="20" t="n">
        <ns0:v>3317803.726463507</ns0:v>
      </ns0:c>
    </ns0:row>
    <ns0:row r="197" ht="32" customHeight="1">
      <ns0:c r="A197" s="20" t="inlineStr">
        <ns0:is>
          <ns0:t>service20</ns0:t>
        </ns0:is>
      </ns0:c>
      <ns0:c r="B197" s="22" t="n">
        <ns0:v>0.2</ns0:v>
      </ns0:c>
      <ns0:c r="C197" s="20" t="n">
        <ns0:v>1</ns0:v>
      </ns0:c>
      <ns0:c r="D197" s="20" t="inlineStr">
        <ns0:is>
          <ns0:t>floor</ns0:t>
        </ns0:is>
      </ns0:c>
      <ns0:c r="E197" s="20" t="inlineStr">
        <ns0:is>
          <ns0:t>パック単独</ns0:t>
        </ns0:is>
      </ns0:c>
      <ns0:c r="F197" s="22" t="n">
        <ns0:v>0.4</ns0:v>
      </ns0:c>
      <ns0:c r="G197" s="20" t="n">
        <ns0:v>20</ns0:v>
      </ns0:c>
      <ns0:c r="H197" s="20" t="n">
        <ns0:v>20</ns0:v>
      </ns0:c>
      <ns0:c r="I197" s="20" t="n">
        <ns0:v>193</ns0:v>
      </ns0:c>
      <ns0:c r="J197" s="20" t="n">
        <ns0:v>8268.379888268157</ns0:v>
      </ns0:c>
      <ns0:c r="K197" s="20" t="n">
        <ns0:v>1689.251396648045</ns0:v>
      </ns0:c>
      <ns0:c r="L197" s="20" t="n">
        <ns0:v>223344.1685525399</ns0:v>
      </ns0:c>
      <ns0:c r="M197" s="20" t="n">
        <ns0:v>-5162.833355874136</ns0:v>
      </ns0:c>
      <ns0:c r="N197" s="20" t="n">
        <ns0:v>-21056.23278367524</ns0:v>
      </ns0:c>
      <ns0:c r="O197" s="20" t="n">
        <ns0:v>27296.74632058429</ns0:v>
      </ns0:c>
      <ns0:c r="P197" s="20" t="n">
        <ns0:v>81835.20028517899</ns0:v>
      </ns0:c>
      <ns0:c r="Q197" s="20" t="n">
        <ns0:v>218181.3351966658</ns0:v>
      </ns0:c>
      <ns0:c r="R197" s="20" t="n">
        <ns0:v>721565.8748426127</ns0:v>
      </ns0:c>
      <ns0:c r="S197" s="20" t="n">
        <ns0:v>2560411.763603427</ns0:v>
      </ns0:c>
    </ns0:row>
    <ns0:row r="198" ht="32" customHeight="1">
      <ns0:c r="A198" s="20" t="inlineStr">
        <ns0:is>
          <ns0:t>service20</ns0:t>
        </ns0:is>
      </ns0:c>
      <ns0:c r="B198" s="22" t="n">
        <ns0:v>0.2</ns0:v>
      </ns0:c>
      <ns0:c r="C198" s="20" t="n">
        <ns0:v>1</ns0:v>
      </ns0:c>
      <ns0:c r="D198" s="20" t="inlineStr">
        <ns0:is>
          <ns0:t>floor</ns0:t>
        </ns0:is>
      </ns0:c>
      <ns0:c r="E198" s="20" t="inlineStr">
        <ns0:is>
          <ns0:t>パック単独</ns0:t>
        </ns0:is>
      </ns0:c>
      <ns0:c r="F198" s="22" t="n">
        <ns0:v>0.5</ns0:v>
      </ns0:c>
      <ns0:c r="G198" s="20" t="n">
        <ns0:v>24</ns0:v>
      </ns0:c>
      <ns0:c r="H198" s="20" t="n">
        <ns0:v>24</ns0:v>
      </ns0:c>
      <ns0:c r="I198" s="20" t="n">
        <ns0:v>305</ns0:v>
      </ns0:c>
      <ns0:c r="J198" s="20" t="n">
        <ns0:v>8268.379888268157</ns0:v>
      </ns0:c>
      <ns0:c r="K198" s="20" t="n">
        <ns0:v>2111.564245810056</ns0:v>
      </ns0:c>
      <ns0:c r="L198" s="20" t="n">
        <ns0:v>191909.3459523597</ns0:v>
      </ns0:c>
      <ns0:c r="M198" s="20" t="n">
        <ns0:v>-15959.29567189502</ns0:v>
      </ns0:c>
      <ns0:c r="N198" s="20" t="n">
        <ns0:v>-25279.36127529536</ns0:v>
      </ns0:c>
      <ns0:c r="O198" s="20" t="n">
        <ns0:v>14627.36084572395</ns0:v>
      </ns0:c>
      <ns0:c r="P198" s="20" t="n">
        <ns0:v>60719.55782707842</ns0:v>
      </ns0:c>
      <ns0:c r="Q198" s="20" t="n">
        <ns0:v>175950.0502804646</ns0:v>
      </ns0:c>
      <ns0:c r="R198" s="20" t="n">
        <ns0:v>594872.0200940093</ns0:v>
      </ns0:c>
      <ns0:c r="S198" s="20" t="n">
        <ns0:v>2138098.914441416</ns0:v>
      </ns0:c>
    </ns0:row>
    <ns0:row r="199" ht="32" customHeight="1">
      <ns0:c r="A199" s="20" t="inlineStr">
        <ns0:is>
          <ns0:t>service20</ns0:t>
        </ns0:is>
      </ns0:c>
      <ns0:c r="B199" s="22" t="n">
        <ns0:v>0.2</ns0:v>
      </ns0:c>
      <ns0:c r="C199" s="20" t="n">
        <ns0:v>1</ns0:v>
      </ns0:c>
      <ns0:c r="D199" s="20" t="inlineStr">
        <ns0:is>
          <ns0:t>floor</ns0:t>
        </ns0:is>
      </ns0:c>
      <ns0:c r="E199" s="20" t="inlineStr">
        <ns0:is>
          <ns0:t>混在・パック30%</ns0:t>
        </ns0:is>
      </ns0:c>
      <ns0:c r="F199" s="22" t="n">
        <ns0:v>0.4</ns0:v>
      </ns0:c>
      <ns0:c r="G199" s="20" t="n">
        <ns0:v>27</ns0:v>
      </ns0:c>
      <ns0:c r="H199" s="20" t="n">
        <ns0:v>27</ns0:v>
      </ns0:c>
      <ns0:c r="I199" s="20" t="n">
        <ns0:v>275</ns0:v>
      </ns0:c>
      <ns0:c r="J199" s="20" t="n">
        <ns0:v>5899.647230566239</ns0:v>
      </ns0:c>
      <ns0:c r="K199" s="20" t="n">
        <ns0:v>1287.336054574549</ns0:v>
      </ns0:c>
      <ns0:c r="L199" s="20" t="n">
        <ns0:v>167196.2218879221</ns0:v>
      </ns0:c>
      <ns0:c r="M199" s="20" t="n">
        <ns0:v>-13958.31229406776</ns0:v>
      </ns0:c>
      <ns0:c r="N199" s="20" t="n">
        <ns0:v>-31806.21780205694</ns0:v>
      </ns0:c>
      <ns0:c r="O199" s="20" t="n">
        <ns0:v>7813.718639740851</ns0:v>
      </ns0:c>
      <ns0:c r="P199" s="20" t="n">
        <ns0:v>49363.48748377329</ns0:v>
      </ns0:c>
      <ns0:c r="Q199" s="20" t="n">
        <ns0:v>153237.9095938544</ns0:v>
      </ns0:c>
      <ns0:c r="R199" s="20" t="n">
        <ns0:v>526735.5980341786</ns0:v>
      </ns0:c>
      <ns0:c r="S199" s="20" t="n">
        <ns0:v>1910977.507575314</ns0:v>
      </ns0:c>
    </ns0:row>
    <ns0:row r="200" ht="32" customHeight="1">
      <ns0:c r="A200" s="20" t="inlineStr">
        <ns0:is>
          <ns0:t>service20</ns0:t>
        </ns0:is>
      </ns0:c>
      <ns0:c r="B200" s="22" t="n">
        <ns0:v>0.2</ns0:v>
      </ns0:c>
      <ns0:c r="C200" s="20" t="n">
        <ns0:v>1</ns0:v>
      </ns0:c>
      <ns0:c r="D200" s="20" t="inlineStr">
        <ns0:is>
          <ns0:t>floor</ns0:t>
        </ns0:is>
      </ns0:c>
      <ns0:c r="E200" s="20" t="inlineStr">
        <ns0:is>
          <ns0:t>混在・パック30%</ns0:t>
        </ns0:is>
      </ns0:c>
      <ns0:c r="F200" s="22" t="n">
        <ns0:v>0.5</ns0:v>
      </ns0:c>
      <ns0:c r="G200" s="20" t="n">
        <ns0:v>32</ns0:v>
      </ns0:c>
      <ns0:c r="H200" s="20" t="n">
        <ns0:v>32</ns0:v>
      </ns0:c>
      <ns0:c r="I200" s="20" t="n">
        <ns0:v>423</ns0:v>
      </ns0:c>
      <ns0:c r="J200" s="20" t="n">
        <ns0:v>5899.647230566239</ns0:v>
      </ns0:c>
      <ns0:c r="K200" s="20" t="n">
        <ns0:v>1609.170068218186</ns0:v>
      </ns0:c>
      <ns0:c r="L200" s="20" t="n">
        <ns0:v>142203.3170073094</ns0:v>
      </ns0:c>
      <ns0:c r="M200" s="20" t="n">
        <ns0:v>-21148.80877781875</ns0:v>
      </ns0:c>
      <ns0:c r="N200" s="20" t="n">
        <ns0:v>-35024.55793849332</ns0:v>
      </ns0:c>
      <ns0:c r="O200" s="20" t="n">
        <ns0:v>-1841.301769568272</ns0:v>
      </ns0:c>
      <ns0:c r="P200" s="20" t="n">
        <ns0:v>33271.78680159142</ns0:v>
      </ns0:c>
      <ns0:c r="Q200" s="20" t="n">
        <ns0:v>121054.5082294907</ns0:v>
      </ns0:c>
      <ns0:c r="R200" s="20" t="n">
        <ns0:v>430185.3939410876</ns0:v>
      </ns0:c>
      <ns0:c r="S200" s="20" t="n">
        <ns0:v>1589143.493931677</ns0:v>
      </ns0:c>
    </ns0:row>
    <ns0:row r="201" ht="32" customHeight="1">
      <ns0:c r="A201" s="20" t="inlineStr">
        <ns0:is>
          <ns0:t>service20</ns0:t>
        </ns0:is>
      </ns0:c>
      <ns0:c r="B201" s="22" t="n">
        <ns0:v>0.2</ns0:v>
      </ns0:c>
      <ns0:c r="C201" s="20" t="n">
        <ns0:v>1</ns0:v>
      </ns0:c>
      <ns0:c r="D201" s="20" t="inlineStr">
        <ns0:is>
          <ns0:t>floor</ns0:t>
        </ns0:is>
      </ns0:c>
      <ns0:c r="E201" s="20" t="inlineStr">
        <ns0:is>
          <ns0:t>混在・パック50%</ns0:t>
        </ns0:is>
      </ns0:c>
      <ns0:c r="F201" s="22" t="n">
        <ns0:v>0.4</ns0:v>
      </ns0:c>
      <ns0:c r="G201" s="20" t="n">
        <ns0:v>25</ns0:v>
      </ns0:c>
      <ns0:c r="H201" s="20" t="n">
        <ns0:v>25</ns0:v>
      </ns0:c>
      <ns0:c r="I201" s="20" t="n">
        <ns0:v>246</ns0:v>
      </ns0:c>
      <ns0:c r="J201" s="20" t="n">
        <ns0:v>6576.427989909645</ns0:v>
      </ns0:c>
      <ns0:c r="K201" s="20" t="n">
        <ns0:v>1402.16900945269</ns0:v>
      </ns0:c>
      <ns0:c r="L201" s="20" t="n">
        <ns0:v>183238.4923635272</ns0:v>
      </ns0:c>
      <ns0:c r="M201" s="20" t="n">
        <ns0:v>-11445.31831172673</ns0:v>
      </ns0:c>
      <ns0:c r="N201" s="20" t="n">
        <ns0:v>-28734.79351109073</ns0:v>
      </ns0:c>
      <ns0:c r="O201" s="20" t="n">
        <ns0:v>13380.29797712471</ns0:v>
      </ns0:c>
      <ns0:c r="P201" s="20" t="n">
        <ns0:v>58641.11971274633</ns0:v>
      </ns0:c>
      <ns0:c r="Q201" s="20" t="n">
        <ns0:v>171793.1740518005</ns0:v>
      </ns0:c>
      <ns0:c r="R201" s="20" t="n">
        <ns0:v>582401.391408017</ns0:v>
      </ns0:c>
      <ns0:c r="S201" s="20" t="n">
        <ns0:v>2096530.152154775</ns0:v>
      </ns0:c>
    </ns0:row>
    <ns0:row r="202" ht="32" customHeight="1">
      <ns0:c r="A202" s="20" t="inlineStr">
        <ns0:is>
          <ns0:t>service20</ns0:t>
        </ns0:is>
      </ns0:c>
      <ns0:c r="B202" s="22" t="n">
        <ns0:v>0.2</ns0:v>
      </ns0:c>
      <ns0:c r="C202" s="20" t="n">
        <ns0:v>1</ns0:v>
      </ns0:c>
      <ns0:c r="D202" s="20" t="inlineStr">
        <ns0:is>
          <ns0:t>floor</ns0:t>
        </ns0:is>
      </ns0:c>
      <ns0:c r="E202" s="20" t="inlineStr">
        <ns0:is>
          <ns0:t>混在・パック50%</ns0:t>
        </ns0:is>
      </ns0:c>
      <ns0:c r="F202" s="22" t="n">
        <ns0:v>0.5</ns0:v>
      </ns0:c>
      <ns0:c r="G202" s="20" t="n">
        <ns0:v>29</ns0:v>
      </ns0:c>
      <ns0:c r="H202" s="20" t="n">
        <ns0:v>29</ns0:v>
      </ns0:c>
      <ns0:c r="I202" s="20" t="n">
        <ns0:v>381</ns0:v>
      </ns0:c>
      <ns0:c r="J202" s="20" t="n">
        <ns0:v>6576.427989909645</ns0:v>
      </ns0:c>
      <ns0:c r="K202" s="20" t="n">
        <ns0:v>1752.711261815863</ns0:v>
      </ns0:c>
      <ns0:c r="L202" s="20" t="n">
        <ns0:v>156405.039563038</ns0:v>
      </ns0:c>
      <ns0:c r="M202" s="20" t="n">
        <ns0:v>-19666.09074755481</ns0:v>
      </ns0:c>
      <ns0:c r="N202" s="20" t="n">
        <ns0:v>-32240.21603472246</ns0:v>
      </ns0:c>
      <ns0:c r="O202" s="20" t="n">
        <ns0:v>2864.030406229533</ns0:v>
      </ns0:c>
      <ns0:c r="P202" s="20" t="n">
        <ns0:v>41114.00709458769</ns0:v>
      </ns0:c>
      <ns0:c r="Q202" s="20" t="n">
        <ns0:v>136738.9488154832</ns0:v>
      </ns0:c>
      <ns0:c r="R202" s="20" t="n">
        <ns0:v>477238.7156990652</ns0:v>
      </ns0:c>
      <ns0:c r="S202" s="20" t="n">
        <ns0:v>1745987.899791603</ns0:v>
      </ns0:c>
    </ns0:row>
    <ns0:row r="203" ht="32" customHeight="1">
      <ns0:c r="A203" s="20" t="inlineStr">
        <ns0:is>
          <ns0:t>service20</ns0:t>
        </ns0:is>
      </ns0:c>
      <ns0:c r="B203" s="22" t="n">
        <ns0:v>0.2</ns0:v>
      </ns0:c>
      <ns0:c r="C203" s="20" t="n">
        <ns0:v>1</ns0:v>
      </ns0:c>
      <ns0:c r="D203" s="20" t="inlineStr">
        <ns0:is>
          <ns0:t>floor</ns0:t>
        </ns0:is>
      </ns0:c>
      <ns0:c r="E203" s="20" t="inlineStr">
        <ns0:is>
          <ns0:t>混在・パック70%</ns0:t>
        </ns0:is>
      </ns0:c>
      <ns0:c r="F203" s="22" t="n">
        <ns0:v>0.4</ns0:v>
      </ns0:c>
      <ns0:c r="G203" s="20" t="n">
        <ns0:v>23</ns0:v>
      </ns0:c>
      <ns0:c r="H203" s="20" t="n">
        <ns0:v>23</ns0:v>
      </ns0:c>
      <ns0:c r="I203" s="20" t="n">
        <ns0:v>221</ns0:v>
      </ns0:c>
      <ns0:c r="J203" s="20" t="n">
        <ns0:v>7253.208749253049</ns0:v>
      </ns0:c>
      <ns0:c r="K203" s="20" t="n">
        <ns0:v>1517.001964330832</ns0:v>
      </ns0:c>
      <ns0:c r="L203" s="20" t="n">
        <ns0:v>199280.7628391323</ns0:v>
      </ns0:c>
      <ns0:c r="M203" s="20" t="n">
        <ns0:v>-8932.324329385694</ns0:v>
      </ns0:c>
      <ns0:c r="N203" s="20" t="n">
        <ns0:v>-25663.36922012455</ns0:v>
      </ns0:c>
      <ns0:c r="O203" s="20" t="n">
        <ns0:v>18946.87731450854</ns0:v>
      </ns0:c>
      <ns0:c r="P203" s="20" t="n">
        <ns0:v>67918.7519417194</ns0:v>
      </ns0:c>
      <ns0:c r="Q203" s="20" t="n">
        <ns0:v>190348.4385097466</ns0:v>
      </ns0:c>
      <ns0:c r="R203" s="20" t="n">
        <ns0:v>638067.1847818556</ns0:v>
      </ns0:c>
      <ns0:c r="S203" s="20" t="n">
        <ns0:v>2282082.796734236</ns0:v>
      </ns0:c>
    </ns0:row>
    <ns0:row r="204" ht="32" customHeight="1">
      <ns0:c r="A204" s="20" t="inlineStr">
        <ns0:is>
          <ns0:t>service20</ns0:t>
        </ns0:is>
      </ns0:c>
      <ns0:c r="B204" s="22" t="n">
        <ns0:v>0.2</ns0:v>
      </ns0:c>
      <ns0:c r="C204" s="20" t="n">
        <ns0:v>1</ns0:v>
      </ns0:c>
      <ns0:c r="D204" s="20" t="inlineStr">
        <ns0:is>
          <ns0:t>floor</ns0:t>
        </ns0:is>
      </ns0:c>
      <ns0:c r="E204" s="20" t="inlineStr">
        <ns0:is>
          <ns0:t>混在・パック70%</ns0:t>
        </ns0:is>
      </ns0:c>
      <ns0:c r="F204" s="22" t="n">
        <ns0:v>0.5</ns0:v>
      </ns0:c>
      <ns0:c r="G204" s="20" t="n">
        <ns0:v>27</ns0:v>
      </ns0:c>
      <ns0:c r="H204" s="20" t="n">
        <ns0:v>27</ns0:v>
      </ns0:c>
      <ns0:c r="I204" s="20" t="n">
        <ns0:v>347</ns0:v>
      </ns0:c>
      <ns0:c r="J204" s="20" t="n">
        <ns0:v>7253.208749253049</ns0:v>
      </ns0:c>
      <ns0:c r="K204" s="20" t="n">
        <ns0:v>1896.25245541354</ns0:v>
      </ns0:c>
      <ns0:c r="L204" s="20" t="n">
        <ns0:v>170606.7621187667</ns0:v>
      </ns0:c>
      <ns0:c r="M204" s="20" t="n">
        <ns0:v>-18183.3727172909</ns0:v>
      </ns0:c>
      <ns0:c r="N204" s="20" t="n">
        <ns0:v>-29455.87413095163</ns0:v>
      </ns0:c>
      <ns0:c r="O204" s="20" t="n">
        <ns0:v>7569.362582027294</ns0:v>
      </ns0:c>
      <ns0:c r="P204" s="20" t="n">
        <ns0:v>48956.22738758399</ns0:v>
      </ns0:c>
      <ns0:c r="Q204" s="20" t="n">
        <ns0:v>152423.3894014758</ns0:v>
      </ns0:c>
      <ns0:c r="R204" s="20" t="n">
        <ns0:v>524292.0374570432</ns0:v>
      </ns0:c>
      <ns0:c r="S204" s="20" t="n">
        <ns0:v>1902832.305651527</ns0:v>
      </ns0:c>
    </ns0:row>
    <ns0:row r="205" ht="32" customHeight="1">
      <ns0:c r="A205" s="20" t="inlineStr">
        <ns0:is>
          <ns0:t>service20</ns0:t>
        </ns0:is>
      </ns0:c>
      <ns0:c r="B205" s="22" t="n">
        <ns0:v>0.2</ns0:v>
      </ns0:c>
      <ns0:c r="C205" s="20" t="n">
        <ns0:v>1</ns0:v>
      </ns0:c>
      <ns0:c r="D205" s="20" t="inlineStr">
        <ns0:is>
          <ns0:t>add</ns0:t>
        </ns0:is>
      </ns0:c>
      <ns0:c r="E205" s="20" t="inlineStr">
        <ns0:is>
          <ns0:t>パック単独</ns0:t>
        </ns0:is>
      </ns0:c>
      <ns0:c r="F205" s="22" t="n">
        <ns0:v>0.4</ns0:v>
      </ns0:c>
      <ns0:c r="G205" s="20" t="n">
        <ns0:v>29</ns0:v>
      </ns0:c>
      <ns0:c r="H205" s="20" t="n">
        <ns0:v>29</ns0:v>
      </ns0:c>
      <ns0:c r="I205" s="20" t="n">
        <ns0:v>193</ns0:v>
      </ns0:c>
      <ns0:c r="J205" s="20" t="n">
        <ns0:v>8268.379888268157</ns0:v>
      </ns0:c>
      <ns0:c r="K205" s="20" t="n">
        <ns0:v>1689.251396648045</ns0:v>
      </ns0:c>
      <ns0:c r="L205" s="20" t="n">
        <ns0:v>200844.1685525399</ns0:v>
      </ns0:c>
      <ns0:c r="M205" s="20" t="n">
        <ns0:v>-5162.833355874136</ns0:v>
      </ns0:c>
      <ns0:c r="N205" s="20" t="n">
        <ns0:v>-35241.70764401044</ns0:v>
      </ns0:c>
      <ns0:c r="O205" s="20" t="n">
        <ns0:v>4796.746320584287</ns0:v>
      </ns0:c>
      <ns0:c r="P205" s="20" t="n">
        <ns0:v>59335.20028517898</ns0:v>
      </ns0:c>
      <ns0:c r="Q205" s="20" t="n">
        <ns0:v>195681.3351966658</ns0:v>
      </ns0:c>
      <ns0:c r="R205" s="20" t="n">
        <ns0:v>699065.8748426127</ns0:v>
      </ns0:c>
      <ns0:c r="S205" s="20" t="n">
        <ns0:v>2537911.763603427</ns0:v>
      </ns0:c>
    </ns0:row>
    <ns0:row r="206" ht="32" customHeight="1">
      <ns0:c r="A206" s="20" t="inlineStr">
        <ns0:is>
          <ns0:t>service20</ns0:t>
        </ns0:is>
      </ns0:c>
      <ns0:c r="B206" s="22" t="n">
        <ns0:v>0.2</ns0:v>
      </ns0:c>
      <ns0:c r="C206" s="20" t="n">
        <ns0:v>1</ns0:v>
      </ns0:c>
      <ns0:c r="D206" s="20" t="inlineStr">
        <ns0:is>
          <ns0:t>add</ns0:t>
        </ns0:is>
      </ns0:c>
      <ns0:c r="E206" s="20" t="inlineStr">
        <ns0:is>
          <ns0:t>パック単独</ns0:t>
        </ns0:is>
      </ns0:c>
      <ns0:c r="F206" s="22" t="n">
        <ns0:v>0.5</ns0:v>
      </ns0:c>
      <ns0:c r="G206" s="20" t="n">
        <ns0:v>34</ns0:v>
      </ns0:c>
      <ns0:c r="H206" s="20" t="n">
        <ns0:v>34</ns0:v>
      </ns0:c>
      <ns0:c r="I206" s="20" t="n">
        <ns0:v>305</ns0:v>
      </ns0:c>
      <ns0:c r="J206" s="20" t="n">
        <ns0:v>8268.379888268157</ns0:v>
      </ns0:c>
      <ns0:c r="K206" s="20" t="n">
        <ns0:v>2111.564245810056</ns0:v>
      </ns0:c>
      <ns0:c r="L206" s="20" t="n">
        <ns0:v>169409.3459523597</ns0:v>
      </ns0:c>
      <ns0:c r="M206" s="20" t="n">
        <ns0:v>-15959.29567189502</ns0:v>
      </ns0:c>
      <ns0:c r="N206" s="20" t="n">
        <ns0:v>-39464.83613563055</ns0:v>
      </ns0:c>
      <ns0:c r="O206" s="20" t="n">
        <ns0:v>-7872.639154276047</ns0:v>
      </ns0:c>
      <ns0:c r="P206" s="20" t="n">
        <ns0:v>38219.55782707842</ns0:v>
      </ns0:c>
      <ns0:c r="Q206" s="20" t="n">
        <ns0:v>153450.0502804646</ns0:v>
      </ns0:c>
      <ns0:c r="R206" s="20" t="n">
        <ns0:v>572372.0200940093</ns0:v>
      </ns0:c>
      <ns0:c r="S206" s="20" t="n">
        <ns0:v>2115598.914441416</ns0:v>
      </ns0:c>
    </ns0:row>
    <ns0:row r="207" ht="32" customHeight="1">
      <ns0:c r="A207" s="20" t="inlineStr">
        <ns0:is>
          <ns0:t>service20</ns0:t>
        </ns0:is>
      </ns0:c>
      <ns0:c r="B207" s="22" t="n">
        <ns0:v>0.2</ns0:v>
      </ns0:c>
      <ns0:c r="C207" s="20" t="n">
        <ns0:v>1</ns0:v>
      </ns0:c>
      <ns0:c r="D207" s="20" t="inlineStr">
        <ns0:is>
          <ns0:t>add</ns0:t>
        </ns0:is>
      </ns0:c>
      <ns0:c r="E207" s="20" t="inlineStr">
        <ns0:is>
          <ns0:t>混在・パック30%</ns0:t>
        </ns0:is>
      </ns0:c>
      <ns0:c r="F207" s="22" t="n">
        <ns0:v>0.4</ns0:v>
      </ns0:c>
      <ns0:c r="G207" s="20" t="n">
        <ns0:v>38</ns0:v>
      </ns0:c>
      <ns0:c r="H207" s="20" t="n">
        <ns0:v>38</ns0:v>
      </ns0:c>
      <ns0:c r="I207" s="20" t="n">
        <ns0:v>275</ns0:v>
      </ns0:c>
      <ns0:c r="J207" s="20" t="n">
        <ns0:v>5899.647230566239</ns0:v>
      </ns0:c>
      <ns0:c r="K207" s="20" t="n">
        <ns0:v>1287.336054574549</ns0:v>
      </ns0:c>
      <ns0:c r="L207" s="20" t="n">
        <ns0:v>144696.2218879221</ns0:v>
      </ns0:c>
      <ns0:c r="M207" s="20" t="n">
        <ns0:v>-13958.31229406776</ns0:v>
      </ns0:c>
      <ns0:c r="N207" s="20" t="n">
        <ns0:v>-41736.05020429158</ns0:v>
      </ns0:c>
      <ns0:c r="O207" s="20" t="n">
        <ns0:v>-14686.28136025915</ns0:v>
      </ns0:c>
      <ns0:c r="P207" s="20" t="n">
        <ns0:v>26863.48748377328</ns0:v>
      </ns0:c>
      <ns0:c r="Q207" s="20" t="n">
        <ns0:v>130737.9095938544</ns0:v>
      </ns0:c>
      <ns0:c r="R207" s="20" t="n">
        <ns0:v>504235.5980341787</ns0:v>
      </ns0:c>
      <ns0:c r="S207" s="20" t="n">
        <ns0:v>1888477.507575314</ns0:v>
      </ns0:c>
    </ns0:row>
    <ns0:row r="208" ht="32" customHeight="1">
      <ns0:c r="A208" s="20" t="inlineStr">
        <ns0:is>
          <ns0:t>service20</ns0:t>
        </ns0:is>
      </ns0:c>
      <ns0:c r="B208" s="22" t="n">
        <ns0:v>0.2</ns0:v>
      </ns0:c>
      <ns0:c r="C208" s="20" t="n">
        <ns0:v>1</ns0:v>
      </ns0:c>
      <ns0:c r="D208" s="20" t="inlineStr">
        <ns0:is>
          <ns0:t>add</ns0:t>
        </ns0:is>
      </ns0:c>
      <ns0:c r="E208" s="20" t="inlineStr">
        <ns0:is>
          <ns0:t>混在・パック30%</ns0:t>
        </ns0:is>
      </ns0:c>
      <ns0:c r="F208" s="22" t="n">
        <ns0:v>0.5</ns0:v>
      </ns0:c>
      <ns0:c r="G208" s="20" t="n">
        <ns0:v>44</ns0:v>
      </ns0:c>
      <ns0:c r="H208" s="20" t="n">
        <ns0:v>44</ns0:v>
      </ns0:c>
      <ns0:c r="I208" s="20" t="n">
        <ns0:v>423</ns0:v>
      </ns0:c>
      <ns0:c r="J208" s="20" t="n">
        <ns0:v>5899.647230566239</ns0:v>
      </ns0:c>
      <ns0:c r="K208" s="20" t="n">
        <ns0:v>1609.170068218186</ns0:v>
      </ns0:c>
      <ns0:c r="L208" s="20" t="n">
        <ns0:v>119703.3170073094</ns0:v>
      </ns0:c>
      <ns0:c r="M208" s="20" t="n">
        <ns0:v>-21148.80877781875</ns0:v>
      </ns0:c>
      <ns0:c r="N208" s="20" t="n">
        <ns0:v>-44954.39034072796</ns0:v>
      </ns0:c>
      <ns0:c r="O208" s="20" t="n">
        <ns0:v>-24341.30176956827</ns0:v>
      </ns0:c>
      <ns0:c r="P208" s="20" t="n">
        <ns0:v>10771.78680159141</ns0:v>
      </ns0:c>
      <ns0:c r="Q208" s="20" t="n">
        <ns0:v>98554.50822949063</ns0:v>
      </ns0:c>
      <ns0:c r="R208" s="20" t="n">
        <ns0:v>407685.3939410876</ns0:v>
      </ns0:c>
      <ns0:c r="S208" s="20" t="n">
        <ns0:v>1566643.493931677</ns0:v>
      </ns0:c>
    </ns0:row>
    <ns0:row r="209" ht="32" customHeight="1">
      <ns0:c r="A209" s="20" t="inlineStr">
        <ns0:is>
          <ns0:t>service20</ns0:t>
        </ns0:is>
      </ns0:c>
      <ns0:c r="B209" s="22" t="n">
        <ns0:v>0.2</ns0:v>
      </ns0:c>
      <ns0:c r="C209" s="20" t="n">
        <ns0:v>1</ns0:v>
      </ns0:c>
      <ns0:c r="D209" s="20" t="inlineStr">
        <ns0:is>
          <ns0:t>add</ns0:t>
        </ns0:is>
      </ns0:c>
      <ns0:c r="E209" s="20" t="inlineStr">
        <ns0:is>
          <ns0:t>混在・パック50%</ns0:t>
        </ns0:is>
      </ns0:c>
      <ns0:c r="F209" s="22" t="n">
        <ns0:v>0.4</ns0:v>
      </ns0:c>
      <ns0:c r="G209" s="20" t="n">
        <ns0:v>35</ns0:v>
      </ns0:c>
      <ns0:c r="H209" s="20" t="n">
        <ns0:v>35</ns0:v>
      </ns0:c>
      <ns0:c r="I209" s="20" t="n">
        <ns0:v>246</ns0:v>
      </ns0:c>
      <ns0:c r="J209" s="20" t="n">
        <ns0:v>6576.427989909645</ns0:v>
      </ns0:c>
      <ns0:c r="K209" s="20" t="n">
        <ns0:v>1402.16900945269</ns0:v>
      </ns0:c>
      <ns0:c r="L209" s="20" t="n">
        <ns0:v>160738.4923635272</ns0:v>
      </ns0:c>
      <ns0:c r="M209" s="20" t="n">
        <ns0:v>-11445.31831172673</ns0:v>
      </ns0:c>
      <ns0:c r="N209" s="20" t="n">
        <ns0:v>-39880.52375849696</ns0:v>
      </ns0:c>
      <ns0:c r="O209" s="20" t="n">
        <ns0:v>-9119.702022875288</ns0:v>
      </ns0:c>
      <ns0:c r="P209" s="20" t="n">
        <ns0:v>36141.11971274633</ns0:v>
      </ns0:c>
      <ns0:c r="Q209" s="20" t="n">
        <ns0:v>149293.1740518005</ns0:v>
      </ns0:c>
      <ns0:c r="R209" s="20" t="n">
        <ns0:v>559901.391408017</ns0:v>
      </ns0:c>
      <ns0:c r="S209" s="20" t="n">
        <ns0:v>2074030.152154775</ns0:v>
      </ns0:c>
    </ns0:row>
    <ns0:row r="210" ht="32" customHeight="1">
      <ns0:c r="A210" s="20" t="inlineStr">
        <ns0:is>
          <ns0:t>service20</ns0:t>
        </ns0:is>
      </ns0:c>
      <ns0:c r="B210" s="22" t="n">
        <ns0:v>0.2</ns0:v>
      </ns0:c>
      <ns0:c r="C210" s="20" t="n">
        <ns0:v>1</ns0:v>
      </ns0:c>
      <ns0:c r="D210" s="20" t="inlineStr">
        <ns0:is>
          <ns0:t>add</ns0:t>
        </ns0:is>
      </ns0:c>
      <ns0:c r="E210" s="20" t="inlineStr">
        <ns0:is>
          <ns0:t>混在・パック50%</ns0:t>
        </ns0:is>
      </ns0:c>
      <ns0:c r="F210" s="22" t="n">
        <ns0:v>0.5</ns0:v>
      </ns0:c>
      <ns0:c r="G210" s="20" t="n">
        <ns0:v>41</ns0:v>
      </ns0:c>
      <ns0:c r="H210" s="20" t="n">
        <ns0:v>41</ns0:v>
      </ns0:c>
      <ns0:c r="I210" s="20" t="n">
        <ns0:v>381</ns0:v>
      </ns0:c>
      <ns0:c r="J210" s="20" t="n">
        <ns0:v>6576.427989909645</ns0:v>
      </ns0:c>
      <ns0:c r="K210" s="20" t="n">
        <ns0:v>1752.711261815863</ns0:v>
      </ns0:c>
      <ns0:c r="L210" s="20" t="n">
        <ns0:v>133905.039563038</ns0:v>
      </ns0:c>
      <ns0:c r="M210" s="20" t="n">
        <ns0:v>-19666.09074755481</ns0:v>
      </ns0:c>
      <ns0:c r="N210" s="20" t="n">
        <ns0:v>-43385.94628212869</ns0:v>
      </ns0:c>
      <ns0:c r="O210" s="20" t="n">
        <ns0:v>-19635.96959377047</ns0:v>
      </ns0:c>
      <ns0:c r="P210" s="20" t="n">
        <ns0:v>18614.00709458769</ns0:v>
      </ns0:c>
      <ns0:c r="Q210" s="20" t="n">
        <ns0:v>114238.9488154832</ns0:v>
      </ns0:c>
      <ns0:c r="R210" s="20" t="n">
        <ns0:v>454738.7156990652</ns0:v>
      </ns0:c>
      <ns0:c r="S210" s="20" t="n">
        <ns0:v>1723487.899791603</ns0:v>
      </ns0:c>
    </ns0:row>
    <ns0:row r="211" ht="32" customHeight="1">
      <ns0:c r="A211" s="20" t="inlineStr">
        <ns0:is>
          <ns0:t>service20</ns0:t>
        </ns0:is>
      </ns0:c>
      <ns0:c r="B211" s="22" t="n">
        <ns0:v>0.2</ns0:v>
      </ns0:c>
      <ns0:c r="C211" s="20" t="n">
        <ns0:v>1</ns0:v>
      </ns0:c>
      <ns0:c r="D211" s="20" t="inlineStr">
        <ns0:is>
          <ns0:t>add</ns0:t>
        </ns0:is>
      </ns0:c>
      <ns0:c r="E211" s="20" t="inlineStr">
        <ns0:is>
          <ns0:t>混在・パック70%</ns0:t>
        </ns0:is>
      </ns0:c>
      <ns0:c r="F211" s="22" t="n">
        <ns0:v>0.4</ns0:v>
      </ns0:c>
      <ns0:c r="G211" s="20" t="n">
        <ns0:v>32</ns0:v>
      </ns0:c>
      <ns0:c r="H211" s="20" t="n">
        <ns0:v>32</ns0:v>
      </ns0:c>
      <ns0:c r="I211" s="20" t="n">
        <ns0:v>221</ns0:v>
      </ns0:c>
      <ns0:c r="J211" s="20" t="n">
        <ns0:v>7253.208749253049</ns0:v>
      </ns0:c>
      <ns0:c r="K211" s="20" t="n">
        <ns0:v>1517.001964330832</ns0:v>
      </ns0:c>
      <ns0:c r="L211" s="20" t="n">
        <ns0:v>176780.7628391323</ns0:v>
      </ns0:c>
      <ns0:c r="M211" s="20" t="n">
        <ns0:v>-8932.324329385694</ns0:v>
      </ns0:c>
      <ns0:c r="N211" s="20" t="n">
        <ns0:v>-38024.99731270235</ns0:v>
      </ns0:c>
      <ns0:c r="O211" s="20" t="n">
        <ns0:v>-3553.122685491471</ns0:v>
      </ns0:c>
      <ns0:c r="P211" s="20" t="n">
        <ns0:v>45418.75194171941</ns0:v>
      </ns0:c>
      <ns0:c r="Q211" s="20" t="n">
        <ns0:v>167848.4385097466</ns0:v>
      </ns0:c>
      <ns0:c r="R211" s="20" t="n">
        <ns0:v>615567.1847818556</ns0:v>
      </ns0:c>
      <ns0:c r="S211" s="20" t="n">
        <ns0:v>2259582.796734235</ns0:v>
      </ns0:c>
    </ns0:row>
    <ns0:row r="212" ht="32" customHeight="1">
      <ns0:c r="A212" s="20" t="inlineStr">
        <ns0:is>
          <ns0:t>service20</ns0:t>
        </ns0:is>
      </ns0:c>
      <ns0:c r="B212" s="22" t="n">
        <ns0:v>0.2</ns0:v>
      </ns0:c>
      <ns0:c r="C212" s="20" t="n">
        <ns0:v>1</ns0:v>
      </ns0:c>
      <ns0:c r="D212" s="20" t="inlineStr">
        <ns0:is>
          <ns0:t>add</ns0:t>
        </ns0:is>
      </ns0:c>
      <ns0:c r="E212" s="20" t="inlineStr">
        <ns0:is>
          <ns0:t>混在・パック70%</ns0:t>
        </ns0:is>
      </ns0:c>
      <ns0:c r="F212" s="22" t="n">
        <ns0:v>0.5</ns0:v>
      </ns0:c>
      <ns0:c r="G212" s="20" t="n">
        <ns0:v>38</ns0:v>
      </ns0:c>
      <ns0:c r="H212" s="20" t="n">
        <ns0:v>38</ns0:v>
      </ns0:c>
      <ns0:c r="I212" s="20" t="n">
        <ns0:v>347</ns0:v>
      </ns0:c>
      <ns0:c r="J212" s="20" t="n">
        <ns0:v>7253.208749253049</ns0:v>
      </ns0:c>
      <ns0:c r="K212" s="20" t="n">
        <ns0:v>1896.25245541354</ns0:v>
      </ns0:c>
      <ns0:c r="L212" s="20" t="n">
        <ns0:v>148106.7621187667</ns0:v>
      </ns0:c>
      <ns0:c r="M212" s="20" t="n">
        <ns0:v>-18183.3727172909</ns0:v>
      </ns0:c>
      <ns0:c r="N212" s="20" t="n">
        <ns0:v>-41817.50222352944</ns0:v>
      </ns0:c>
      <ns0:c r="O212" s="20" t="n">
        <ns0:v>-14930.63741797271</ns0:v>
      </ns0:c>
      <ns0:c r="P212" s="20" t="n">
        <ns0:v>26456.227387584</ns0:v>
      </ns0:c>
      <ns0:c r="Q212" s="20" t="n">
        <ns0:v>129923.3894014758</ns0:v>
      </ns0:c>
      <ns0:c r="R212" s="20" t="n">
        <ns0:v>501792.0374570431</ns0:v>
      </ns0:c>
      <ns0:c r="S212" s="20" t="n">
        <ns0:v>1880332.305651527</ns0:v>
      </ns0:c>
    </ns0:row>
    <ns0:row r="213" ht="32" customHeight="1">
      <ns0:c r="A213" s="20" t="inlineStr">
        <ns0:is>
          <ns0:t>service20</ns0:t>
        </ns0:is>
      </ns0:c>
      <ns0:c r="B213" s="22" t="n">
        <ns0:v>0.2</ns0:v>
      </ns0:c>
      <ns0:c r="C213" s="20" t="n">
        <ns0:v>0</ns0:v>
      </ns0:c>
      <ns0:c r="D213" s="20" t="inlineStr">
        <ns0:is>
          <ns0:t>floor</ns0:t>
        </ns0:is>
      </ns0:c>
      <ns0:c r="E213" s="20" t="inlineStr">
        <ns0:is>
          <ns0:t>パック単独</ns0:t>
        </ns0:is>
      </ns0:c>
      <ns0:c r="F213" s="22" t="n">
        <ns0:v>0.4</ns0:v>
      </ns0:c>
      <ns0:c r="G213" s="20" t="n">
        <ns0:v>9</ns0:v>
      </ns0:c>
      <ns0:c r="H213" s="20" t="n">
        <ns0:v>9</ns0:v>
      </ns0:c>
      <ns0:c r="I213" s="20" t="n">
        <ns0:v>26</ns0:v>
      </ns0:c>
      <ns0:c r="J213" s="20" t="n">
        <ns0:v>8268.379888268157</ns0:v>
      </ns0:c>
      <ns0:c r="K213" s="20" t="n">
        <ns0:v>1689.251396648045</ns0:v>
      </ns0:c>
      <ns0:c r="L213" s="20" t="n">
        <ns0:v>299530.3882918322</ns0:v>
      </ns0:c>
      <ns0:c r="M213" s="20" t="n">
        <ns0:v>76176.08656963796</ns0:v>
      </ns0:c>
      <ns0:c r="N213" s="20" t="n">
        <ns0:v>8296.2811828052</ns0:v>
      </ns0:c>
      <ns0:c r="O213" s="20" t="n">
        <ns0:v>91354.28822002563</ns0:v>
      </ns0:c>
      <ns0:c r="P213" s="20" t="n">
        <ns0:v>172597.7701175812</ns0:v>
      </ns0:c>
      <ns0:c r="Q213" s="20" t="n">
        <ns0:v>375706.4748614702</ns0:v>
      </ns0:c>
      <ns0:c r="R213" s="20" t="n">
        <ns0:v>1162141.293837026</ns0:v>
      </ns0:c>
      <ns0:c r="S213" s="20" t="n">
        <ns0:v>3967663.160251471</ns0:v>
      </ns0:c>
    </ns0:row>
    <ns0:row r="214" ht="32" customHeight="1">
      <ns0:c r="A214" s="20" t="inlineStr">
        <ns0:is>
          <ns0:t>service20</ns0:t>
        </ns0:is>
      </ns0:c>
      <ns0:c r="B214" s="22" t="n">
        <ns0:v>0.2</ns0:v>
      </ns0:c>
      <ns0:c r="C214" s="20" t="n">
        <ns0:v>0</ns0:v>
      </ns0:c>
      <ns0:c r="D214" s="20" t="inlineStr">
        <ns0:is>
          <ns0:t>floor</ns0:t>
        </ns0:is>
      </ns0:c>
      <ns0:c r="E214" s="20" t="inlineStr">
        <ns0:is>
          <ns0:t>パック単独</ns0:t>
        </ns0:is>
      </ns0:c>
      <ns0:c r="F214" s="22" t="n">
        <ns0:v>0.5</ns0:v>
      </ns0:c>
      <ns0:c r="G214" s="20" t="n">
        <ns0:v>10</ns0:v>
      </ns0:c>
      <ns0:c r="H214" s="20" t="n">
        <ns0:v>10</ns0:v>
      </ns0:c>
      <ns0:c r="I214" s="20" t="n">
        <ns0:v>29</ns0:v>
      </ns0:c>
      <ns0:c r="J214" s="20" t="n">
        <ns0:v>8268.379888268157</ns0:v>
      </ns0:c>
      <ns0:c r="K214" s="20" t="n">
        <ns0:v>2111.564245810056</ns0:v>
      </ns0:c>
      <ns0:c r="L214" s="20" t="n">
        <ns0:v>268095.565691652</ns0:v>
      </ns0:c>
      <ns0:c r="M214" s="20" t="n">
        <ns0:v>65379.62425361707</ns0:v>
      </ns0:c>
      <ns0:c r="N214" s="20" t="n">
        <ns0:v>4073.152691185085</ns0:v>
      </ns0:c>
      <ns0:c r="O214" s="20" t="n">
        <ns0:v>78684.90274516529</ns0:v>
      </ns0:c>
      <ns0:c r="P214" s="20" t="n">
        <ns0:v>151482.1276594806</ns0:v>
      </ns0:c>
      <ns0:c r="Q214" s="20" t="n">
        <ns0:v>333475.1899452691</ns0:v>
      </ns0:c>
      <ns0:c r="R214" s="20" t="n">
        <ns0:v>1035447.439088423</ns0:v>
      </ns0:c>
      <ns0:c r="S214" s="20" t="n">
        <ns0:v>3545350.311089461</ns0:v>
      </ns0:c>
    </ns0:row>
    <ns0:row r="215" ht="32" customHeight="1">
      <ns0:c r="A215" s="20" t="inlineStr">
        <ns0:is>
          <ns0:t>service20</ns0:t>
        </ns0:is>
      </ns0:c>
      <ns0:c r="B215" s="22" t="n">
        <ns0:v>0.2</ns0:v>
      </ns0:c>
      <ns0:c r="C215" s="20" t="n">
        <ns0:v>0</ns0:v>
      </ns0:c>
      <ns0:c r="D215" s="20" t="inlineStr">
        <ns0:is>
          <ns0:t>floor</ns0:t>
        </ns0:is>
      </ns0:c>
      <ns0:c r="E215" s="20" t="inlineStr">
        <ns0:is>
          <ns0:t>混在・パック30%</ns0:t>
        </ns0:is>
      </ns0:c>
      <ns0:c r="F215" s="22" t="n">
        <ns0:v>0.4</ns0:v>
      </ns0:c>
      <ns0:c r="G215" s="20" t="n">
        <ns0:v>12</ns0:v>
      </ns0:c>
      <ns0:c r="H215" s="20" t="n">
        <ns0:v>12</ns0:v>
      </ns0:c>
      <ns0:c r="I215" s="20" t="n">
        <ns0:v>42</ns0:v>
      </ns0:c>
      <ns0:c r="J215" s="20" t="n">
        <ns0:v>5899.647230566239</ns0:v>
      </ns0:c>
      <ns0:c r="K215" s="20" t="n">
        <ns0:v>1287.336054574549</ns0:v>
      </ns0:c>
      <ns0:c r="L215" s="20" t="n">
        <ns0:v>225326.5757054268</ns0:v>
      </ns0:c>
      <ns0:c r="M215" s="20" t="n">
        <ns0:v>37944.36870871149</ns0:v>
      </ns0:c>
      <ns0:c r="N215" s="20" t="n">
        <ns0:v>-7202.914320028553</ns0:v>
      </ns0:c>
      <ns0:c r="O215" s="20" t="n">
        <ns0:v>57623.62908582603</ns0:v>
      </ns0:c>
      <ns0:c r="P215" s="20" t="n">
        <ns0:v>116380.0048939152</ns0:v>
      </ns0:c>
      <ns0:c r="Q215" s="20" t="n">
        <ns0:v>263270.9444141383</ns0:v>
      </ns0:c>
      <ns0:c r="R215" s="20" t="n">
        <ns0:v>824834.7024950304</ns0:v>
      </ns0:c>
      <ns0:c r="S215" s="20" t="n">
        <ns0:v>2843307.855778153</ns0:v>
      </ns0:c>
    </ns0:row>
    <ns0:row r="216" ht="32" customHeight="1">
      <ns0:c r="A216" s="20" t="inlineStr">
        <ns0:is>
          <ns0:t>service20</ns0:t>
        </ns0:is>
      </ns0:c>
      <ns0:c r="B216" s="22" t="n">
        <ns0:v>0.2</ns0:v>
      </ns0:c>
      <ns0:c r="C216" s="20" t="n">
        <ns0:v>0</ns0:v>
      </ns0:c>
      <ns0:c r="D216" s="20" t="inlineStr">
        <ns0:is>
          <ns0:t>floor</ns0:t>
        </ns0:is>
      </ns0:c>
      <ns0:c r="E216" s="20" t="inlineStr">
        <ns0:is>
          <ns0:t>混在・パック30%</ns0:t>
        </ns0:is>
      </ns0:c>
      <ns0:c r="F216" s="22" t="n">
        <ns0:v>0.5</ns0:v>
      </ns0:c>
      <ns0:c r="G216" s="20" t="n">
        <ns0:v>13</ns0:v>
      </ns0:c>
      <ns0:c r="H216" s="20" t="n">
        <ns0:v>13</ns0:v>
      </ns0:c>
      <ns0:c r="I216" s="20" t="n">
        <ns0:v>47</ns0:v>
      </ns0:c>
      <ns0:c r="J216" s="20" t="n">
        <ns0:v>5899.647230566239</ns0:v>
      </ns0:c>
      <ns0:c r="K216" s="20" t="n">
        <ns0:v>1609.170068218186</ns0:v>
      </ns0:c>
      <ns0:c r="L216" s="20" t="n">
        <ns0:v>200333.6708248141</ns0:v>
      </ns0:c>
      <ns0:c r="M216" s="20" t="n">
        <ns0:v>30753.8722249605</ns0:v>
      </ns0:c>
      <ns0:c r="N216" s="20" t="n">
        <ns0:v>-10421.25445646493</ns0:v>
      </ns0:c>
      <ns0:c r="O216" s="20" t="n">
        <ns0:v>47968.6086765169</ns0:v>
      </ns0:c>
      <ns0:c r="P216" s="20" t="n">
        <ns0:v>100288.3042117334</ns0:v>
      </ns0:c>
      <ns0:c r="Q216" s="20" t="n">
        <ns0:v>231087.5430497746</ns0:v>
      </ns0:c>
      <ns0:c r="R216" s="20" t="n">
        <ns0:v>728284.4984019393</ns0:v>
      </ns0:c>
      <ns0:c r="S216" s="20" t="n">
        <ns0:v>2521473.842134516</ns0:v>
      </ns0:c>
    </ns0:row>
    <ns0:row r="217" ht="32" customHeight="1">
      <ns0:c r="A217" s="20" t="inlineStr">
        <ns0:is>
          <ns0:t>service20</ns0:t>
        </ns0:is>
      </ns0:c>
      <ns0:c r="B217" s="22" t="n">
        <ns0:v>0.2</ns0:v>
      </ns0:c>
      <ns0:c r="C217" s="20" t="n">
        <ns0:v>0</ns0:v>
      </ns0:c>
      <ns0:c r="D217" s="20" t="inlineStr">
        <ns0:is>
          <ns0:t>floor</ns0:t>
        </ns0:is>
      </ns0:c>
      <ns0:c r="E217" s="20" t="inlineStr">
        <ns0:is>
          <ns0:t>混在・パック50%</ns0:t>
        </ns0:is>
      </ns0:c>
      <ns0:c r="F217" s="22" t="n">
        <ns0:v>0.4</ns0:v>
      </ns0:c>
      <ns0:c r="G217" s="20" t="n">
        <ns0:v>11</ns0:v>
      </ns0:c>
      <ns0:c r="H217" s="20" t="n">
        <ns0:v>11</ns0:v>
      </ns0:c>
      <ns0:c r="I217" s="20" t="n">
        <ns0:v>36</ns0:v>
      </ns0:c>
      <ns0:c r="J217" s="20" t="n">
        <ns0:v>6576.427989909645</ns0:v>
      </ns0:c>
      <ns0:c r="K217" s="20" t="n">
        <ns0:v>1402.16900945269</ns0:v>
      </ns0:c>
      <ns0:c r="L217" s="20" t="n">
        <ns0:v>246527.6650158283</ns0:v>
      </ns0:c>
      <ns0:c r="M217" s="20" t="n">
        <ns0:v>48867.7166689762</ns0:v>
      </ns0:c>
      <ns0:c r="N217" s="20" t="n">
        <ns0:v>-2774.572747790329</ns0:v>
      </ns0:c>
      <ns0:c r="O217" s="20" t="n">
        <ns0:v>67260.96026702593</ns0:v>
      </ns0:c>
      <ns0:c r="P217" s="20" t="n">
        <ns0:v>132442.2235292484</ns0:v>
      </ns0:c>
      <ns0:c r="Q217" s="20" t="n">
        <ns0:v>295395.3816848045</ns0:v>
      </ns0:c>
      <ns0:c r="R217" s="20" t="n">
        <ns0:v>921208.0143070292</ns0:v>
      </ns0:c>
      <ns0:c r="S217" s="20" t="n">
        <ns0:v>3164552.228484816</ns0:v>
      </ns0:c>
    </ns0:row>
    <ns0:row r="218" ht="32" customHeight="1">
      <ns0:c r="A218" s="20" t="inlineStr">
        <ns0:is>
          <ns0:t>service20</ns0:t>
        </ns0:is>
      </ns0:c>
      <ns0:c r="B218" s="22" t="n">
        <ns0:v>0.2</ns0:v>
      </ns0:c>
      <ns0:c r="C218" s="20" t="n">
        <ns0:v>0</ns0:v>
      </ns0:c>
      <ns0:c r="D218" s="20" t="inlineStr">
        <ns0:is>
          <ns0:t>floor</ns0:t>
        </ns0:is>
      </ns0:c>
      <ns0:c r="E218" s="20" t="inlineStr">
        <ns0:is>
          <ns0:t>混在・パック50%</ns0:t>
        </ns0:is>
      </ns0:c>
      <ns0:c r="F218" s="22" t="n">
        <ns0:v>0.5</ns0:v>
      </ns0:c>
      <ns0:c r="G218" s="20" t="n">
        <ns0:v>12</ns0:v>
      </ns0:c>
      <ns0:c r="H218" s="20" t="n">
        <ns0:v>12</ns0:v>
      </ns0:c>
      <ns0:c r="I218" s="20" t="n">
        <ns0:v>40</ns0:v>
      </ns0:c>
      <ns0:c r="J218" s="20" t="n">
        <ns0:v>6576.427989909645</ns0:v>
      </ns0:c>
      <ns0:c r="K218" s="20" t="n">
        <ns0:v>1752.711261815863</ns0:v>
      </ns0:c>
      <ns0:c r="L218" s="20" t="n">
        <ns0:v>219694.2122153391</ns0:v>
      </ns0:c>
      <ns0:c r="M218" s="20" t="n">
        <ns0:v>40646.94423314812</ns0:v>
      </ns0:c>
      <ns0:c r="N218" s="20" t="n">
        <ns0:v>-6279.995271422056</ns0:v>
      </ns0:c>
      <ns0:c r="O218" s="20" t="n">
        <ns0:v>56744.69269613075</ns0:v>
      </ns0:c>
      <ns0:c r="P218" s="20" t="n">
        <ns0:v>114915.1109110897</ns0:v>
      </ns0:c>
      <ns0:c r="Q218" s="20" t="n">
        <ns0:v>260341.1564484873</ns0:v>
      </ns0:c>
      <ns0:c r="R218" s="20" t="n">
        <ns0:v>816045.3385980774</ns0:v>
      </ns0:c>
      <ns0:c r="S218" s="20" t="n">
        <ns0:v>2814009.976121644</ns0:v>
      </ns0:c>
    </ns0:row>
    <ns0:row r="219" ht="32" customHeight="1">
      <ns0:c r="A219" s="20" t="inlineStr">
        <ns0:is>
          <ns0:t>service20</ns0:t>
        </ns0:is>
      </ns0:c>
      <ns0:c r="B219" s="22" t="n">
        <ns0:v>0.2</ns0:v>
      </ns0:c>
      <ns0:c r="C219" s="20" t="n">
        <ns0:v>0</ns0:v>
      </ns0:c>
      <ns0:c r="D219" s="20" t="inlineStr">
        <ns0:is>
          <ns0:t>floor</ns0:t>
        </ns0:is>
      </ns0:c>
      <ns0:c r="E219" s="20" t="inlineStr">
        <ns0:is>
          <ns0:t>混在・パック70%</ns0:t>
        </ns0:is>
      </ns0:c>
      <ns0:c r="F219" s="22" t="n">
        <ns0:v>0.4</ns0:v>
      </ns0:c>
      <ns0:c r="G219" s="20" t="n">
        <ns0:v>10</ns0:v>
      </ns0:c>
      <ns0:c r="H219" s="20" t="n">
        <ns0:v>10</ns0:v>
      </ns0:c>
      <ns0:c r="I219" s="20" t="n">
        <ns0:v>31</ns0:v>
      </ns0:c>
      <ns0:c r="J219" s="20" t="n">
        <ns0:v>7253.208749253049</ns0:v>
      </ns0:c>
      <ns0:c r="K219" s="20" t="n">
        <ns0:v>1517.001964330832</ns0:v>
      </ns0:c>
      <ns0:c r="L219" s="20" t="n">
        <ns0:v>267728.7543262299</ns0:v>
      </ns0:c>
      <ns0:c r="M219" s="20" t="n">
        <ns0:v>59791.0646292409</ns0:v>
      </ns0:c>
      <ns0:c r="N219" s="20" t="n">
        <ns0:v>1653.768824447874</ns0:v>
      </ns0:c>
      <ns0:c r="O219" s="20" t="n">
        <ns0:v>76898.29144822579</ns0:v>
      </ns0:c>
      <ns0:c r="P219" s="20" t="n">
        <ns0:v>148504.4421645815</ns0:v>
      </ns0:c>
      <ns0:c r="Q219" s="20" t="n">
        <ns0:v>327519.8189554708</ns0:v>
      </ns0:c>
      <ns0:c r="R219" s="20" t="n">
        <ns0:v>1017581.326119028</ns0:v>
      </ns0:c>
      <ns0:c r="S219" s="20" t="n">
        <ns0:v>3485796.601191478</ns0:v>
      </ns0:c>
    </ns0:row>
    <ns0:row r="220" ht="32" customHeight="1">
      <ns0:c r="A220" s="20" t="inlineStr">
        <ns0:is>
          <ns0:t>service20</ns0:t>
        </ns0:is>
      </ns0:c>
      <ns0:c r="B220" s="22" t="n">
        <ns0:v>0.2</ns0:v>
      </ns0:c>
      <ns0:c r="C220" s="20" t="n">
        <ns0:v>0</ns0:v>
      </ns0:c>
      <ns0:c r="D220" s="20" t="inlineStr">
        <ns0:is>
          <ns0:t>floor</ns0:t>
        </ns0:is>
      </ns0:c>
      <ns0:c r="E220" s="20" t="inlineStr">
        <ns0:is>
          <ns0:t>混在・パック70%</ns0:t>
        </ns0:is>
      </ns0:c>
      <ns0:c r="F220" s="22" t="n">
        <ns0:v>0.5</ns0:v>
      </ns0:c>
      <ns0:c r="G220" s="20" t="n">
        <ns0:v>11</ns0:v>
      </ns0:c>
      <ns0:c r="H220" s="20" t="n">
        <ns0:v>11</ns0:v>
      </ns0:c>
      <ns0:c r="I220" s="20" t="n">
        <ns0:v>35</ns0:v>
      </ns0:c>
      <ns0:c r="J220" s="20" t="n">
        <ns0:v>7253.208749253049</ns0:v>
      </ns0:c>
      <ns0:c r="K220" s="20" t="n">
        <ns0:v>1896.25245541354</ns0:v>
      </ns0:c>
      <ns0:c r="L220" s="20" t="n">
        <ns0:v>239054.7536058643</ns0:v>
      </ns0:c>
      <ns0:c r="M220" s="20" t="n">
        <ns0:v>50540.0162413357</ns0:v>
      </ns0:c>
      <ns0:c r="N220" s="20" t="n">
        <ns0:v>-2138.736086379206</ns0:v>
      </ns0:c>
      <ns0:c r="O220" s="20" t="n">
        <ns0:v>65520.77671574455</ns0:v>
      </ns0:c>
      <ns0:c r="P220" s="20" t="n">
        <ns0:v>129541.9176104461</ns0:v>
      </ns0:c>
      <ns0:c r="Q220" s="20" t="n">
        <ns0:v>289594.7698472</ns0:v>
      </ns0:c>
      <ns0:c r="R220" s="20" t="n">
        <ns0:v>903806.1787942158</ns0:v>
      </ns0:c>
      <ns0:c r="S220" s="20" t="n">
        <ns0:v>3106546.11010877</ns0:v>
      </ns0:c>
    </ns0:row>
    <ns0:row r="221" ht="32" customHeight="1">
      <ns0:c r="A221" s="20" t="inlineStr">
        <ns0:is>
          <ns0:t>service20</ns0:t>
        </ns0:is>
      </ns0:c>
      <ns0:c r="B221" s="22" t="n">
        <ns0:v>0.2</ns0:v>
      </ns0:c>
      <ns0:c r="C221" s="20" t="n">
        <ns0:v>0</ns0:v>
      </ns0:c>
      <ns0:c r="D221" s="20" t="inlineStr">
        <ns0:is>
          <ns0:t>add</ns0:t>
        </ns0:is>
      </ns0:c>
      <ns0:c r="E221" s="20" t="inlineStr">
        <ns0:is>
          <ns0:t>パック単独</ns0:t>
        </ns0:is>
      </ns0:c>
      <ns0:c r="F221" s="22" t="n">
        <ns0:v>0.4</ns0:v>
      </ns0:c>
      <ns0:c r="G221" s="20" t="n">
        <ns0:v>14</ns0:v>
      </ns0:c>
      <ns0:c r="H221" s="20" t="n">
        <ns0:v>14</ns0:v>
      </ns0:c>
      <ns0:c r="I221" s="20" t="n">
        <ns0:v>26</ns0:v>
      </ns0:c>
      <ns0:c r="J221" s="20" t="n">
        <ns0:v>8268.379888268157</ns0:v>
      </ns0:c>
      <ns0:c r="K221" s="20" t="n">
        <ns0:v>1689.251396648045</ns0:v>
      </ns0:c>
      <ns0:c r="L221" s="20" t="n">
        <ns0:v>277030.3882918322</ns0:v>
      </ns0:c>
      <ns0:c r="M221" s="20" t="n">
        <ns0:v>76176.08656963796</ns0:v>
      </ns0:c>
      <ns0:c r="N221" s="20" t="n">
        <ns0:v>-5889.193677529991</ns0:v>
      </ns0:c>
      <ns0:c r="O221" s="20" t="n">
        <ns0:v>68854.28822002563</ns0:v>
      </ns0:c>
      <ns0:c r="P221" s="20" t="n">
        <ns0:v>150097.7701175812</ns0:v>
      </ns0:c>
      <ns0:c r="Q221" s="20" t="n">
        <ns0:v>353206.4748614702</ns0:v>
      </ns0:c>
      <ns0:c r="R221" s="20" t="n">
        <ns0:v>1139641.293837026</ns0:v>
      </ns0:c>
      <ns0:c r="S221" s="20" t="n">
        <ns0:v>3945163.160251471</ns0:v>
      </ns0:c>
    </ns0:row>
    <ns0:row r="222" ht="32" customHeight="1">
      <ns0:c r="A222" s="20" t="inlineStr">
        <ns0:is>
          <ns0:t>service20</ns0:t>
        </ns0:is>
      </ns0:c>
      <ns0:c r="B222" s="22" t="n">
        <ns0:v>0.2</ns0:v>
      </ns0:c>
      <ns0:c r="C222" s="20" t="n">
        <ns0:v>0</ns0:v>
      </ns0:c>
      <ns0:c r="D222" s="20" t="inlineStr">
        <ns0:is>
          <ns0:t>add</ns0:t>
        </ns0:is>
      </ns0:c>
      <ns0:c r="E222" s="20" t="inlineStr">
        <ns0:is>
          <ns0:t>パック単独</ns0:t>
        </ns0:is>
      </ns0:c>
      <ns0:c r="F222" s="22" t="n">
        <ns0:v>0.5</ns0:v>
      </ns0:c>
      <ns0:c r="G222" s="20" t="n">
        <ns0:v>15</ns0:v>
      </ns0:c>
      <ns0:c r="H222" s="20" t="n">
        <ns0:v>15</ns0:v>
      </ns0:c>
      <ns0:c r="I222" s="20" t="n">
        <ns0:v>29</ns0:v>
      </ns0:c>
      <ns0:c r="J222" s="20" t="n">
        <ns0:v>8268.379888268157</ns0:v>
      </ns0:c>
      <ns0:c r="K222" s="20" t="n">
        <ns0:v>2111.564245810056</ns0:v>
      </ns0:c>
      <ns0:c r="L222" s="20" t="n">
        <ns0:v>245595.565691652</ns0:v>
      </ns0:c>
      <ns0:c r="M222" s="20" t="n">
        <ns0:v>65379.62425361707</ns0:v>
      </ns0:c>
      <ns0:c r="N222" s="20" t="n">
        <ns0:v>-10112.32216915011</ns0:v>
      </ns0:c>
      <ns0:c r="O222" s="20" t="n">
        <ns0:v>56184.90274516529</ns0:v>
      </ns0:c>
      <ns0:c r="P222" s="20" t="n">
        <ns0:v>128982.1276594806</ns0:v>
      </ns0:c>
      <ns0:c r="Q222" s="20" t="n">
        <ns0:v>310975.1899452691</ns0:v>
      </ns0:c>
      <ns0:c r="R222" s="20" t="n">
        <ns0:v>1012947.439088423</ns0:v>
      </ns0:c>
      <ns0:c r="S222" s="20" t="n">
        <ns0:v>3522850.311089461</ns0:v>
      </ns0:c>
    </ns0:row>
    <ns0:row r="223" ht="32" customHeight="1">
      <ns0:c r="A223" s="20" t="inlineStr">
        <ns0:is>
          <ns0:t>service20</ns0:t>
        </ns0:is>
      </ns0:c>
      <ns0:c r="B223" s="22" t="n">
        <ns0:v>0.2</ns0:v>
      </ns0:c>
      <ns0:c r="C223" s="20" t="n">
        <ns0:v>0</ns0:v>
      </ns0:c>
      <ns0:c r="D223" s="20" t="inlineStr">
        <ns0:is>
          <ns0:t>add</ns0:t>
        </ns0:is>
      </ns0:c>
      <ns0:c r="E223" s="20" t="inlineStr">
        <ns0:is>
          <ns0:t>混在・パック30%</ns0:t>
        </ns0:is>
      </ns0:c>
      <ns0:c r="F223" s="22" t="n">
        <ns0:v>0.4</ns0:v>
      </ns0:c>
      <ns0:c r="G223" s="20" t="n">
        <ns0:v>19</ns0:v>
      </ns0:c>
      <ns0:c r="H223" s="20" t="n">
        <ns0:v>19</ns0:v>
      </ns0:c>
      <ns0:c r="I223" s="20" t="n">
        <ns0:v>42</ns0:v>
      </ns0:c>
      <ns0:c r="J223" s="20" t="n">
        <ns0:v>5899.647230566239</ns0:v>
      </ns0:c>
      <ns0:c r="K223" s="20" t="n">
        <ns0:v>1287.336054574549</ns0:v>
      </ns0:c>
      <ns0:c r="L223" s="20" t="n">
        <ns0:v>202826.5757054268</ns0:v>
      </ns0:c>
      <ns0:c r="M223" s="20" t="n">
        <ns0:v>37944.36870871149</ns0:v>
      </ns0:c>
      <ns0:c r="N223" s="20" t="n">
        <ns0:v>-17132.74672226319</ns0:v>
      </ns0:c>
      <ns0:c r="O223" s="20" t="n">
        <ns0:v>35123.62908582603</ns0:v>
      </ns0:c>
      <ns0:c r="P223" s="20" t="n">
        <ns0:v>93880.00489391523</ns0:v>
      </ns0:c>
      <ns0:c r="Q223" s="20" t="n">
        <ns0:v>240770.9444141383</ns0:v>
      </ns0:c>
      <ns0:c r="R223" s="20" t="n">
        <ns0:v>802334.7024950304</ns0:v>
      </ns0:c>
      <ns0:c r="S223" s="20" t="n">
        <ns0:v>2820807.855778153</ns0:v>
      </ns0:c>
    </ns0:row>
    <ns0:row r="224" ht="32" customHeight="1">
      <ns0:c r="A224" s="20" t="inlineStr">
        <ns0:is>
          <ns0:t>service20</ns0:t>
        </ns0:is>
      </ns0:c>
      <ns0:c r="B224" s="22" t="n">
        <ns0:v>0.2</ns0:v>
      </ns0:c>
      <ns0:c r="C224" s="20" t="n">
        <ns0:v>0</ns0:v>
      </ns0:c>
      <ns0:c r="D224" s="20" t="inlineStr">
        <ns0:is>
          <ns0:t>add</ns0:t>
        </ns0:is>
      </ns0:c>
      <ns0:c r="E224" s="20" t="inlineStr">
        <ns0:is>
          <ns0:t>混在・パック30%</ns0:t>
        </ns0:is>
      </ns0:c>
      <ns0:c r="F224" s="22" t="n">
        <ns0:v>0.5</ns0:v>
      </ns0:c>
      <ns0:c r="G224" s="20" t="n">
        <ns0:v>21</ns0:v>
      </ns0:c>
      <ns0:c r="H224" s="20" t="n">
        <ns0:v>21</ns0:v>
      </ns0:c>
      <ns0:c r="I224" s="20" t="n">
        <ns0:v>47</ns0:v>
      </ns0:c>
      <ns0:c r="J224" s="20" t="n">
        <ns0:v>5899.647230566239</ns0:v>
      </ns0:c>
      <ns0:c r="K224" s="20" t="n">
        <ns0:v>1609.170068218186</ns0:v>
      </ns0:c>
      <ns0:c r="L224" s="20" t="n">
        <ns0:v>177833.6708248141</ns0:v>
      </ns0:c>
      <ns0:c r="M224" s="20" t="n">
        <ns0:v>30753.8722249605</ns0:v>
      </ns0:c>
      <ns0:c r="N224" s="20" t="n">
        <ns0:v>-20351.08685869956</ns0:v>
      </ns0:c>
      <ns0:c r="O224" s="20" t="n">
        <ns0:v>25468.6086765169</ns0:v>
      </ns0:c>
      <ns0:c r="P224" s="20" t="n">
        <ns0:v>77788.30421173337</ns0:v>
      </ns0:c>
      <ns0:c r="Q224" s="20" t="n">
        <ns0:v>208587.5430497746</ns0:v>
      </ns0:c>
      <ns0:c r="R224" s="20" t="n">
        <ns0:v>705784.4984019393</ns0:v>
      </ns0:c>
      <ns0:c r="S224" s="20" t="n">
        <ns0:v>2498973.842134516</ns0:v>
      </ns0:c>
    </ns0:row>
    <ns0:row r="225" ht="32" customHeight="1">
      <ns0:c r="A225" s="20" t="inlineStr">
        <ns0:is>
          <ns0:t>service20</ns0:t>
        </ns0:is>
      </ns0:c>
      <ns0:c r="B225" s="22" t="n">
        <ns0:v>0.2</ns0:v>
      </ns0:c>
      <ns0:c r="C225" s="20" t="n">
        <ns0:v>0</ns0:v>
      </ns0:c>
      <ns0:c r="D225" s="20" t="inlineStr">
        <ns0:is>
          <ns0:t>add</ns0:t>
        </ns0:is>
      </ns0:c>
      <ns0:c r="E225" s="20" t="inlineStr">
        <ns0:is>
          <ns0:t>混在・パック50%</ns0:t>
        </ns0:is>
      </ns0:c>
      <ns0:c r="F225" s="22" t="n">
        <ns0:v>0.4</ns0:v>
      </ns0:c>
      <ns0:c r="G225" s="20" t="n">
        <ns0:v>17</ns0:v>
      </ns0:c>
      <ns0:c r="H225" s="20" t="n">
        <ns0:v>17</ns0:v>
      </ns0:c>
      <ns0:c r="I225" s="20" t="n">
        <ns0:v>36</ns0:v>
      </ns0:c>
      <ns0:c r="J225" s="20" t="n">
        <ns0:v>6576.427989909645</ns0:v>
      </ns0:c>
      <ns0:c r="K225" s="20" t="n">
        <ns0:v>1402.16900945269</ns0:v>
      </ns0:c>
      <ns0:c r="L225" s="20" t="n">
        <ns0:v>224027.6650158283</ns0:v>
      </ns0:c>
      <ns0:c r="M225" s="20" t="n">
        <ns0:v>48867.7166689762</ns0:v>
      </ns0:c>
      <ns0:c r="N225" s="20" t="n">
        <ns0:v>-13920.30299519655</ns0:v>
      </ns0:c>
      <ns0:c r="O225" s="20" t="n">
        <ns0:v>44760.96026702593</ns0:v>
      </ns0:c>
      <ns0:c r="P225" s="20" t="n">
        <ns0:v>109942.2235292484</ns0:v>
      </ns0:c>
      <ns0:c r="Q225" s="20" t="n">
        <ns0:v>272895.3816848045</ns0:v>
      </ns0:c>
      <ns0:c r="R225" s="20" t="n">
        <ns0:v>898708.0143070292</ns0:v>
      </ns0:c>
      <ns0:c r="S225" s="20" t="n">
        <ns0:v>3142052.228484816</ns0:v>
      </ns0:c>
    </ns0:row>
    <ns0:row r="226" ht="32" customHeight="1">
      <ns0:c r="A226" s="20" t="inlineStr">
        <ns0:is>
          <ns0:t>service20</ns0:t>
        </ns0:is>
      </ns0:c>
      <ns0:c r="B226" s="22" t="n">
        <ns0:v>0.2</ns0:v>
      </ns0:c>
      <ns0:c r="C226" s="20" t="n">
        <ns0:v>0</ns0:v>
      </ns0:c>
      <ns0:c r="D226" s="20" t="inlineStr">
        <ns0:is>
          <ns0:t>add</ns0:t>
        </ns0:is>
      </ns0:c>
      <ns0:c r="E226" s="20" t="inlineStr">
        <ns0:is>
          <ns0:t>混在・パック50%</ns0:t>
        </ns0:is>
      </ns0:c>
      <ns0:c r="F226" s="22" t="n">
        <ns0:v>0.5</ns0:v>
      </ns0:c>
      <ns0:c r="G226" s="20" t="n">
        <ns0:v>19</ns0:v>
      </ns0:c>
      <ns0:c r="H226" s="20" t="n">
        <ns0:v>19</ns0:v>
      </ns0:c>
      <ns0:c r="I226" s="20" t="n">
        <ns0:v>40</ns0:v>
      </ns0:c>
      <ns0:c r="J226" s="20" t="n">
        <ns0:v>6576.427989909645</ns0:v>
      </ns0:c>
      <ns0:c r="K226" s="20" t="n">
        <ns0:v>1752.711261815863</ns0:v>
      </ns0:c>
      <ns0:c r="L226" s="20" t="n">
        <ns0:v>197194.2122153391</ns0:v>
      </ns0:c>
      <ns0:c r="M226" s="20" t="n">
        <ns0:v>40646.94423314812</ns0:v>
      </ns0:c>
      <ns0:c r="N226" s="20" t="n">
        <ns0:v>-17425.72551882828</ns0:v>
      </ns0:c>
      <ns0:c r="O226" s="20" t="n">
        <ns0:v>34244.69269613075</ns0:v>
      </ns0:c>
      <ns0:c r="P226" s="20" t="n">
        <ns0:v>92415.11091108972</ns0:v>
      </ns0:c>
      <ns0:c r="Q226" s="20" t="n">
        <ns0:v>237841.1564484873</ns0:v>
      </ns0:c>
      <ns0:c r="R226" s="20" t="n">
        <ns0:v>793545.3385980774</ns0:v>
      </ns0:c>
      <ns0:c r="S226" s="20" t="n">
        <ns0:v>2791509.976121644</ns0:v>
      </ns0:c>
    </ns0:row>
    <ns0:row r="227" ht="32" customHeight="1">
      <ns0:c r="A227" s="20" t="inlineStr">
        <ns0:is>
          <ns0:t>service20</ns0:t>
        </ns0:is>
      </ns0:c>
      <ns0:c r="B227" s="22" t="n">
        <ns0:v>0.2</ns0:v>
      </ns0:c>
      <ns0:c r="C227" s="20" t="n">
        <ns0:v>0</ns0:v>
      </ns0:c>
      <ns0:c r="D227" s="20" t="inlineStr">
        <ns0:is>
          <ns0:t>add</ns0:t>
        </ns0:is>
      </ns0:c>
      <ns0:c r="E227" s="20" t="inlineStr">
        <ns0:is>
          <ns0:t>混在・パック70%</ns0:t>
        </ns0:is>
      </ns0:c>
      <ns0:c r="F227" s="22" t="n">
        <ns0:v>0.4</ns0:v>
      </ns0:c>
      <ns0:c r="G227" s="20" t="n">
        <ns0:v>15</ns0:v>
      </ns0:c>
      <ns0:c r="H227" s="20" t="n">
        <ns0:v>15</ns0:v>
      </ns0:c>
      <ns0:c r="I227" s="20" t="n">
        <ns0:v>31</ns0:v>
      </ns0:c>
      <ns0:c r="J227" s="20" t="n">
        <ns0:v>7253.208749253049</ns0:v>
      </ns0:c>
      <ns0:c r="K227" s="20" t="n">
        <ns0:v>1517.001964330832</ns0:v>
      </ns0:c>
      <ns0:c r="L227" s="20" t="n">
        <ns0:v>245228.7543262299</ns0:v>
      </ns0:c>
      <ns0:c r="M227" s="20" t="n">
        <ns0:v>59791.0646292409</ns0:v>
      </ns0:c>
      <ns0:c r="N227" s="20" t="n">
        <ns0:v>-10707.85926812994</ns0:v>
      </ns0:c>
      <ns0:c r="O227" s="20" t="n">
        <ns0:v>54398.29144822579</ns0:v>
      </ns0:c>
      <ns0:c r="P227" s="20" t="n">
        <ns0:v>126004.4421645815</ns0:v>
      </ns0:c>
      <ns0:c r="Q227" s="20" t="n">
        <ns0:v>305019.8189554709</ns0:v>
      </ns0:c>
      <ns0:c r="R227" s="20" t="n">
        <ns0:v>995081.3261190281</ns0:v>
      </ns0:c>
      <ns0:c r="S227" s="20" t="n">
        <ns0:v>3463296.601191478</ns0:v>
      </ns0:c>
    </ns0:row>
    <ns0:row r="228" ht="32" customHeight="1">
      <ns0:c r="A228" s="20" t="inlineStr">
        <ns0:is>
          <ns0:t>service20</ns0:t>
        </ns0:is>
      </ns0:c>
      <ns0:c r="B228" s="22" t="n">
        <ns0:v>0.2</ns0:v>
      </ns0:c>
      <ns0:c r="C228" s="20" t="n">
        <ns0:v>0</ns0:v>
      </ns0:c>
      <ns0:c r="D228" s="20" t="inlineStr">
        <ns0:is>
          <ns0:t>add</ns0:t>
        </ns0:is>
      </ns0:c>
      <ns0:c r="E228" s="20" t="inlineStr">
        <ns0:is>
          <ns0:t>混在・パック70%</ns0:t>
        </ns0:is>
      </ns0:c>
      <ns0:c r="F228" s="22" t="n">
        <ns0:v>0.5</ns0:v>
      </ns0:c>
      <ns0:c r="G228" s="20" t="n">
        <ns0:v>17</ns0:v>
      </ns0:c>
      <ns0:c r="H228" s="20" t="n">
        <ns0:v>17</ns0:v>
      </ns0:c>
      <ns0:c r="I228" s="20" t="n">
        <ns0:v>35</ns0:v>
      </ns0:c>
      <ns0:c r="J228" s="20" t="n">
        <ns0:v>7253.208749253049</ns0:v>
      </ns0:c>
      <ns0:c r="K228" s="20" t="n">
        <ns0:v>1896.25245541354</ns0:v>
      </ns0:c>
      <ns0:c r="L228" s="20" t="n">
        <ns0:v>216554.7536058643</ns0:v>
      </ns0:c>
      <ns0:c r="M228" s="20" t="n">
        <ns0:v>50540.0162413357</ns0:v>
      </ns0:c>
      <ns0:c r="N228" s="20" t="n">
        <ns0:v>-14500.36417895702</ns0:v>
      </ns0:c>
      <ns0:c r="O228" s="20" t="n">
        <ns0:v>43020.77671574455</ns0:v>
      </ns0:c>
      <ns0:c r="P228" s="20" t="n">
        <ns0:v>107041.9176104461</ns0:v>
      </ns0:c>
      <ns0:c r="Q228" s="20" t="n">
        <ns0:v>267094.7698472</ns0:v>
      </ns0:c>
      <ns0:c r="R228" s="20" t="n">
        <ns0:v>881306.1787942158</ns0:v>
      </ns0:c>
      <ns0:c r="S228" s="20" t="n">
        <ns0:v>3084046.11010877</ns0:v>
      </ns0:c>
    </ns0:row>
    <ns0:row r="229" ht="32" customHeight="1">
      <ns0:c r="A229" s="20" t="inlineStr">
        <ns0:is>
          <ns0:t>service20</ns0:t>
        </ns0:is>
      </ns0:c>
      <ns0:c r="B229" s="22" t="n">
        <ns0:v>0.3</ns0:v>
      </ns0:c>
      <ns0:c r="C229" s="20" t="n">
        <ns0:v>1</ns0:v>
      </ns0:c>
      <ns0:c r="D229" s="20" t="inlineStr">
        <ns0:is>
          <ns0:t>floor</ns0:t>
        </ns0:is>
      </ns0:c>
      <ns0:c r="E229" s="20" t="inlineStr">
        <ns0:is>
          <ns0:t>パック単独</ns0:t>
        </ns0:is>
      </ns0:c>
      <ns0:c r="F229" s="22" t="n">
        <ns0:v>0.4</ns0:v>
      </ns0:c>
      <ns0:c r="G229" s="20" t="n">
        <ns0:v>24</ns0:v>
      </ns0:c>
      <ns0:c r="H229" s="20" t="n">
        <ns0:v>24</ns0:v>
      </ns0:c>
      <ns0:c r="I229" s="20" t="inlineStr">
        <ns0:is>
          <ns0:t>範囲内なし</ns0:t>
        </ns0:is>
      </ns0:c>
      <ns0:c r="J229" s="20" t="n">
        <ns0:v>8268.379888268155</ns0:v>
      </ns0:c>
      <ns0:c r="K229" s="20" t="n">
        <ns0:v>1689.251396648045</ns0:v>
      </ns0:c>
      <ns0:c r="L229" s="20" t="n">
        <ns0:v>223344.1685525398</ns0:v>
      </ns0:c>
      <ns0:c r="M229" s="20" t="n">
        <ns0:v>-41746.5373194474</ns0:v>
      </ns0:c>
      <ns0:c r="N229" s="20" t="n">
        <ns0:v>-24714.60318003257</ns0:v>
      </ns0:c>
      <ns0:c r="O229" s="20" t="n">
        <ns0:v>16321.63513151225</ns0:v>
      </ns0:c>
      <ns0:c r="P229" s="20" t="n">
        <ns0:v>63543.3483033923</ns0:v>
      </ns0:c>
      <ns0:c r="Q229" s="20" t="n">
        <ns0:v>181597.6312330924</ns0:v>
      </ns0:c>
      <ns0:c r="R229" s="20" t="n">
        <ns0:v>611814.7629518928</ns0:v>
      </ns0:c>
      <ns0:c r="S229" s="20" t="n">
        <ns0:v>2194574.723967694</ns0:v>
      </ns0:c>
    </ns0:row>
    <ns0:row r="230" ht="32" customHeight="1">
      <ns0:c r="A230" s="20" t="inlineStr">
        <ns0:is>
          <ns0:t>service20</ns0:t>
        </ns0:is>
      </ns0:c>
      <ns0:c r="B230" s="22" t="n">
        <ns0:v>0.3</ns0:v>
      </ns0:c>
      <ns0:c r="C230" s="20" t="n">
        <ns0:v>1</ns0:v>
      </ns0:c>
      <ns0:c r="D230" s="20" t="inlineStr">
        <ns0:is>
          <ns0:t>floor</ns0:t>
        </ns0:is>
      </ns0:c>
      <ns0:c r="E230" s="20" t="inlineStr">
        <ns0:is>
          <ns0:t>パック単独</ns0:t>
        </ns0:is>
      </ns0:c>
      <ns0:c r="F230" s="22" t="n">
        <ns0:v>0.5</ns0:v>
      </ns0:c>
      <ns0:c r="G230" s="20" t="n">
        <ns0:v>29</ns0:v>
      </ns0:c>
      <ns0:c r="H230" s="20" t="n">
        <ns0:v>29</ns0:v>
      </ns0:c>
      <ns0:c r="I230" s="20" t="inlineStr">
        <ns0:is>
          <ns0:t>範囲内なし</ns0:t>
        </ns0:is>
      </ns0:c>
      <ns0:c r="J230" s="20" t="n">
        <ns0:v>8268.379888268155</ns0:v>
      </ns0:c>
      <ns0:c r="K230" s="20" t="n">
        <ns0:v>2111.564245810056</ns0:v>
      </ns0:c>
      <ns0:c r="L230" s="20" t="n">
        <ns0:v>191909.3459523596</ns0:v>
      </ns0:c>
      <ns0:c r="M230" s="20" t="n">
        <ns0:v>-52542.99963546829</ns0:v>
      </ns0:c>
      <ns0:c r="N230" s="20" t="n">
        <ns0:v>-28937.73167165268</ns0:v>
      </ns0:c>
      <ns0:c r="O230" s="20" t="n">
        <ns0:v>3652.249656651918</ns0:v>
      </ns0:c>
      <ns0:c r="P230" s="20" t="n">
        <ns0:v>42427.70584529175</ns0:v>
      </ns0:c>
      <ns0:c r="Q230" s="20" t="n">
        <ns0:v>139366.3463168913</ns0:v>
      </ns0:c>
      <ns0:c r="R230" s="20" t="n">
        <ns0:v>485120.9082032894</ns0:v>
      </ns0:c>
      <ns0:c r="S230" s="20" t="n">
        <ns0:v>1772261.874805684</ns0:v>
      </ns0:c>
    </ns0:row>
    <ns0:row r="231" ht="32" customHeight="1">
      <ns0:c r="A231" s="20" t="inlineStr">
        <ns0:is>
          <ns0:t>service20</ns0:t>
        </ns0:is>
      </ns0:c>
      <ns0:c r="B231" s="22" t="n">
        <ns0:v>0.3</ns0:v>
      </ns0:c>
      <ns0:c r="C231" s="20" t="n">
        <ns0:v>1</ns0:v>
      </ns0:c>
      <ns0:c r="D231" s="20" t="inlineStr">
        <ns0:is>
          <ns0:t>floor</ns0:t>
        </ns0:is>
      </ns0:c>
      <ns0:c r="E231" s="20" t="inlineStr">
        <ns0:is>
          <ns0:t>混在・パック30%</ns0:t>
        </ns0:is>
      </ns0:c>
      <ns0:c r="F231" s="22" t="n">
        <ns0:v>0.4</ns0:v>
      </ns0:c>
      <ns0:c r="G231" s="20" t="n">
        <ns0:v>30</ns0:v>
      </ns0:c>
      <ns0:c r="H231" s="20" t="n">
        <ns0:v>30</ns0:v>
      </ns0:c>
      <ns0:c r="I231" s="20" t="inlineStr">
        <ns0:is>
          <ns0:t>範囲内なし</ns0:t>
        </ns0:is>
      </ns0:c>
      <ns0:c r="J231" s="20" t="n">
        <ns0:v>5899.647230566238</ns0:v>
      </ns0:c>
      <ns0:c r="K231" s="20" t="n">
        <ns0:v>1287.336054574549</ns0:v>
      </ns0:c>
      <ns0:c r="L231" s="20" t="n">
        <ns0:v>167196.221887922</ns0:v>
      </ns0:c>
      <ns0:c r="M231" s="20" t="n">
        <ns0:v>-35190.15082540885</ns0:v>
      </ns0:c>
      <ns0:c r="N231" s="20" t="n">
        <ns0:v>-33929.40165519106</ns0:v>
      </ns0:c>
      <ns0:c r="O231" s="20" t="n">
        <ns0:v>1444.167080338491</ns0:v>
      </ns0:c>
      <ns0:c r="P231" s="20" t="n">
        <ns0:v>38747.56821810269</ns0:v>
      </ns0:c>
      <ns0:c r="Q231" s="20" t="n">
        <ns0:v>132006.0710625132</ns0:v>
      </ns0:c>
      <ns0:c r="R231" s="20" t="n">
        <ns0:v>463040.0824401551</ns0:v>
      </ns0:c>
      <ns0:c r="S231" s="20" t="n">
        <ns0:v>1698659.122261903</ns0:v>
      </ns0:c>
    </ns0:row>
    <ns0:row r="232" ht="32" customHeight="1">
      <ns0:c r="A232" s="20" t="inlineStr">
        <ns0:is>
          <ns0:t>service20</ns0:t>
        </ns0:is>
      </ns0:c>
      <ns0:c r="B232" s="22" t="n">
        <ns0:v>0.3</ns0:v>
      </ns0:c>
      <ns0:c r="C232" s="20" t="n">
        <ns0:v>1</ns0:v>
      </ns0:c>
      <ns0:c r="D232" s="20" t="inlineStr">
        <ns0:is>
          <ns0:t>floor</ns0:t>
        </ns0:is>
      </ns0:c>
      <ns0:c r="E232" s="20" t="inlineStr">
        <ns0:is>
          <ns0:t>混在・パック30%</ns0:t>
        </ns0:is>
      </ns0:c>
      <ns0:c r="F232" s="22" t="n">
        <ns0:v>0.5</ns0:v>
      </ns0:c>
      <ns0:c r="G232" s="20" t="n">
        <ns0:v>36</ns0:v>
      </ns0:c>
      <ns0:c r="H232" s="20" t="n">
        <ns0:v>36</ns0:v>
      </ns0:c>
      <ns0:c r="I232" s="20" t="inlineStr">
        <ns0:is>
          <ns0:t>範囲内なし</ns0:t>
        </ns0:is>
      </ns0:c>
      <ns0:c r="J232" s="20" t="n">
        <ns0:v>5899.647230566238</ns0:v>
      </ns0:c>
      <ns0:c r="K232" s="20" t="n">
        <ns0:v>1609.170068218186</ns0:v>
      </ns0:c>
      <ns0:c r="L232" s="20" t="n">
        <ns0:v>142203.3170073093</ns0:v>
      </ns0:c>
      <ns0:c r="M232" s="20" t="n">
        <ns0:v>-42380.64730915985</ns0:v>
      </ns0:c>
      <ns0:c r="N232" s="20" t="n">
        <ns0:v>-37147.74179162743</ns0:v>
      </ns0:c>
      <ns0:c r="O232" s="20" t="n">
        <ns0:v>-8210.853328970617</ns0:v>
      </ns0:c>
      <ns0:c r="P232" s="20" t="n">
        <ns0:v>22655.86753592085</ns0:v>
      </ns0:c>
      <ns0:c r="Q232" s="20" t="n">
        <ns0:v>99822.6696981495</ns0:v>
      </ns0:c>
      <ns0:c r="R232" s="20" t="n">
        <ns0:v>366489.878347064</ns0:v>
      </ns0:c>
      <ns0:c r="S232" s="20" t="n">
        <ns0:v>1376825.108618265</ns0:v>
      </ns0:c>
    </ns0:row>
    <ns0:row r="233" ht="32" customHeight="1">
      <ns0:c r="A233" s="20" t="inlineStr">
        <ns0:is>
          <ns0:t>service20</ns0:t>
        </ns0:is>
      </ns0:c>
      <ns0:c r="B233" s="22" t="n">
        <ns0:v>0.3</ns0:v>
      </ns0:c>
      <ns0:c r="C233" s="20" t="n">
        <ns0:v>1</ns0:v>
      </ns0:c>
      <ns0:c r="D233" s="20" t="inlineStr">
        <ns0:is>
          <ns0:t>floor</ns0:t>
        </ns0:is>
      </ns0:c>
      <ns0:c r="E233" s="20" t="inlineStr">
        <ns0:is>
          <ns0:t>混在・パック50%</ns0:t>
        </ns0:is>
      </ns0:c>
      <ns0:c r="F233" s="22" t="n">
        <ns0:v>0.4</ns0:v>
      </ns0:c>
      <ns0:c r="G233" s="20" t="n">
        <ns0:v>28</ns0:v>
      </ns0:c>
      <ns0:c r="H233" s="20" t="n">
        <ns0:v>28</ns0:v>
      </ns0:c>
      <ns0:c r="I233" s="20" t="inlineStr">
        <ns0:is>
          <ns0:t>範囲内なし</ns0:t>
        </ns0:is>
      </ns0:c>
      <ns0:c r="J233" s="20" t="n">
        <ns0:v>6576.427989909642</ns0:v>
      </ns0:c>
      <ns0:c r="K233" s="20" t="n">
        <ns0:v>1402.16900945269</ns0:v>
      </ns0:c>
      <ns0:c r="L233" s="20" t="n">
        <ns0:v>183238.4923635272</ns0:v>
      </ns0:c>
      <ns0:c r="M233" s="20" t="n">
        <ns0:v>-37063.4041094199</ns0:v>
      </ns0:c>
      <ns0:c r="N233" s="20" t="n">
        <ns0:v>-31296.60209086006</ns0:v>
      </ns0:c>
      <ns0:c r="O233" s="20" t="n">
        <ns0:v>5694.8722378167</ns0:v>
      </ns0:c>
      <ns0:c r="P233" s="20" t="n">
        <ns0:v>45832.07681389973</ns0:v>
      </ns0:c>
      <ns0:c r="Q233" s="20" t="n">
        <ns0:v>146175.0882541072</ns0:v>
      </ns0:c>
      <ns0:c r="R233" s="20" t="n">
        <ns0:v>505547.1340149374</ns0:v>
      </ns0:c>
      <ns0:c r="S233" s="20" t="n">
        <ns0:v>1840349.294177842</ns0:v>
      </ns0:c>
    </ns0:row>
    <ns0:row r="234" ht="32" customHeight="1">
      <ns0:c r="A234" s="20" t="inlineStr">
        <ns0:is>
          <ns0:t>service20</ns0:t>
        </ns0:is>
      </ns0:c>
      <ns0:c r="B234" s="22" t="n">
        <ns0:v>0.3</ns0:v>
      </ns0:c>
      <ns0:c r="C234" s="20" t="n">
        <ns0:v>1</ns0:v>
      </ns0:c>
      <ns0:c r="D234" s="20" t="inlineStr">
        <ns0:is>
          <ns0:t>floor</ns0:t>
        </ns0:is>
      </ns0:c>
      <ns0:c r="E234" s="20" t="inlineStr">
        <ns0:is>
          <ns0:t>混在・パック50%</ns0:t>
        </ns0:is>
      </ns0:c>
      <ns0:c r="F234" s="22" t="n">
        <ns0:v>0.5</ns0:v>
      </ns0:c>
      <ns0:c r="G234" s="20" t="n">
        <ns0:v>33</ns0:v>
      </ns0:c>
      <ns0:c r="H234" s="20" t="n">
        <ns0:v>33</ns0:v>
      </ns0:c>
      <ns0:c r="I234" s="20" t="inlineStr">
        <ns0:is>
          <ns0:t>範囲内なし</ns0:t>
        </ns0:is>
      </ns0:c>
      <ns0:c r="J234" s="20" t="n">
        <ns0:v>6576.427989909642</ns0:v>
      </ns0:c>
      <ns0:c r="K234" s="20" t="n">
        <ns0:v>1752.711261815863</ns0:v>
      </ns0:c>
      <ns0:c r="L234" s="20" t="n">
        <ns0:v>156405.039563038</ns0:v>
      </ns0:c>
      <ns0:c r="M234" s="20" t="n">
        <ns0:v>-45284.176545248</ns0:v>
      </ns0:c>
      <ns0:c r="N234" s="20" t="n">
        <ns0:v>-34802.02461449179</ns0:v>
      </ns0:c>
      <ns0:c r="O234" s="20" t="n">
        <ns0:v>-4821.395333078479</ns0:v>
      </ns0:c>
      <ns0:c r="P234" s="20" t="n">
        <ns0:v>28304.96419574111</ns0:v>
      </ns0:c>
      <ns0:c r="Q234" s="20" t="n">
        <ns0:v>111120.86301779</ns0:v>
      </ns0:c>
      <ns0:c r="R234" s="20" t="n">
        <ns0:v>400384.4583059856</ns0:v>
      </ns0:c>
      <ns0:c r="S234" s="20" t="n">
        <ns0:v>1489807.04181467</ns0:v>
      </ns0:c>
    </ns0:row>
    <ns0:row r="235" ht="32" customHeight="1">
      <ns0:c r="A235" s="20" t="inlineStr">
        <ns0:is>
          <ns0:t>service20</ns0:t>
        </ns0:is>
      </ns0:c>
      <ns0:c r="B235" s="22" t="n">
        <ns0:v>0.3</ns0:v>
      </ns0:c>
      <ns0:c r="C235" s="20" t="n">
        <ns0:v>1</ns0:v>
      </ns0:c>
      <ns0:c r="D235" s="20" t="inlineStr">
        <ns0:is>
          <ns0:t>floor</ns0:t>
        </ns0:is>
      </ns0:c>
      <ns0:c r="E235" s="20" t="inlineStr">
        <ns0:is>
          <ns0:t>混在・パック70%</ns0:t>
        </ns0:is>
      </ns0:c>
      <ns0:c r="F235" s="22" t="n">
        <ns0:v>0.4</ns0:v>
      </ns0:c>
      <ns0:c r="G235" s="20" t="n">
        <ns0:v>26</ns0:v>
      </ns0:c>
      <ns0:c r="H235" s="20" t="n">
        <ns0:v>26</ns0:v>
      </ns0:c>
      <ns0:c r="I235" s="20" t="inlineStr">
        <ns0:is>
          <ns0:t>範囲内なし</ns0:t>
        </ns0:is>
      </ns0:c>
      <ns0:c r="J235" s="20" t="n">
        <ns0:v>7253.208749253048</ns0:v>
      </ns0:c>
      <ns0:c r="K235" s="20" t="n">
        <ns0:v>1517.001964330832</ns0:v>
      </ns0:c>
      <ns0:c r="L235" s="20" t="n">
        <ns0:v>199280.7628391322</ns0:v>
      </ns0:c>
      <ns0:c r="M235" s="20" t="n">
        <ns0:v>-38936.65739343092</ns0:v>
      </ns0:c>
      <ns0:c r="N235" s="20" t="n">
        <ns0:v>-28663.80252652909</ns0:v>
      </ns0:c>
      <ns0:c r="O235" s="20" t="n">
        <ns0:v>9945.577395294953</ns0:v>
      </ns0:c>
      <ns0:c r="P235" s="20" t="n">
        <ns0:v>52916.58540969672</ns0:v>
      </ns0:c>
      <ns0:c r="Q235" s="20" t="n">
        <ns0:v>160344.1054457013</ns0:v>
      </ns0:c>
      <ns0:c r="R235" s="20" t="n">
        <ns0:v>548054.1855897196</ns0:v>
      </ns0:c>
      <ns0:c r="S235" s="20" t="n">
        <ns0:v>1982039.466093783</ns0:v>
      </ns0:c>
    </ns0:row>
    <ns0:row r="236" ht="32" customHeight="1">
      <ns0:c r="A236" s="20" t="inlineStr">
        <ns0:is>
          <ns0:t>service20</ns0:t>
        </ns0:is>
      </ns0:c>
      <ns0:c r="B236" s="22" t="n">
        <ns0:v>0.3</ns0:v>
      </ns0:c>
      <ns0:c r="C236" s="20" t="n">
        <ns0:v>1</ns0:v>
      </ns0:c>
      <ns0:c r="D236" s="20" t="inlineStr">
        <ns0:is>
          <ns0:t>floor</ns0:t>
        </ns0:is>
      </ns0:c>
      <ns0:c r="E236" s="20" t="inlineStr">
        <ns0:is>
          <ns0:t>混在・パック70%</ns0:t>
        </ns0:is>
      </ns0:c>
      <ns0:c r="F236" s="22" t="n">
        <ns0:v>0.5</ns0:v>
      </ns0:c>
      <ns0:c r="G236" s="20" t="n">
        <ns0:v>31</ns0:v>
      </ns0:c>
      <ns0:c r="H236" s="20" t="n">
        <ns0:v>31</ns0:v>
      </ns0:c>
      <ns0:c r="I236" s="20" t="inlineStr">
        <ns0:is>
          <ns0:t>範囲内なし</ns0:t>
        </ns0:is>
      </ns0:c>
      <ns0:c r="J236" s="20" t="n">
        <ns0:v>7253.208749253048</ns0:v>
      </ns0:c>
      <ns0:c r="K236" s="20" t="n">
        <ns0:v>1896.25245541354</ns0:v>
      </ns0:c>
      <ns0:c r="L236" s="20" t="n">
        <ns0:v>170606.7621187665</ns0:v>
      </ns0:c>
      <ns0:c r="M236" s="20" t="n">
        <ns0:v>-48187.70578133612</ns0:v>
      </ns0:c>
      <ns0:c r="N236" s="20" t="n">
        <ns0:v>-32456.30743735616</ns0:v>
      </ns0:c>
      <ns0:c r="O236" s="20" t="n">
        <ns0:v>-1431.937337186275</ns0:v>
      </ns0:c>
      <ns0:c r="P236" s="20" t="n">
        <ns0:v>33954.06085556131</ns0:v>
      </ns0:c>
      <ns0:c r="Q236" s="20" t="n">
        <ns0:v>122419.0563374304</ns0:v>
      </ns0:c>
      <ns0:c r="R236" s="20" t="n">
        <ns0:v>434279.0382649071</ns0:v>
      </ns0:c>
      <ns0:c r="S236" s="20" t="n">
        <ns0:v>1602788.975011075</ns0:v>
      </ns0:c>
    </ns0:row>
    <ns0:row r="237" ht="32" customHeight="1">
      <ns0:c r="A237" s="20" t="inlineStr">
        <ns0:is>
          <ns0:t>service20</ns0:t>
        </ns0:is>
      </ns0:c>
      <ns0:c r="B237" s="22" t="n">
        <ns0:v>0.3</ns0:v>
      </ns0:c>
      <ns0:c r="C237" s="20" t="n">
        <ns0:v>1</ns0:v>
      </ns0:c>
      <ns0:c r="D237" s="20" t="inlineStr">
        <ns0:is>
          <ns0:t>add</ns0:t>
        </ns0:is>
      </ns0:c>
      <ns0:c r="E237" s="20" t="inlineStr">
        <ns0:is>
          <ns0:t>パック単独</ns0:t>
        </ns0:is>
      </ns0:c>
      <ns0:c r="F237" s="22" t="n">
        <ns0:v>0.4</ns0:v>
      </ns0:c>
      <ns0:c r="G237" s="20" t="n">
        <ns0:v>33</ns0:v>
      </ns0:c>
      <ns0:c r="H237" s="20" t="n">
        <ns0:v>33</ns0:v>
      </ns0:c>
      <ns0:c r="I237" s="20" t="inlineStr">
        <ns0:is>
          <ns0:t>範囲内なし</ns0:t>
        </ns0:is>
      </ns0:c>
      <ns0:c r="J237" s="20" t="n">
        <ns0:v>8268.379888268155</ns0:v>
      </ns0:c>
      <ns0:c r="K237" s="20" t="n">
        <ns0:v>1689.251396648045</ns0:v>
      </ns0:c>
      <ns0:c r="L237" s="20" t="n">
        <ns0:v>200844.1685525398</ns0:v>
      </ns0:c>
      <ns0:c r="M237" s="20" t="n">
        <ns0:v>-41746.5373194474</ns0:v>
      </ns0:c>
      <ns0:c r="N237" s="20" t="n">
        <ns0:v>-38900.07804036776</ns0:v>
      </ns0:c>
      <ns0:c r="O237" s="20" t="n">
        <ns0:v>-6178.364868487748</ns0:v>
      </ns0:c>
      <ns0:c r="P237" s="20" t="n">
        <ns0:v>41043.34830339232</ns0:v>
      </ns0:c>
      <ns0:c r="Q237" s="20" t="n">
        <ns0:v>159097.6312330924</ns0:v>
      </ns0:c>
      <ns0:c r="R237" s="20" t="n">
        <ns0:v>589314.7629518928</ns0:v>
      </ns0:c>
      <ns0:c r="S237" s="20" t="n">
        <ns0:v>2172074.723967694</ns0:v>
      </ns0:c>
    </ns0:row>
    <ns0:row r="238" ht="32" customHeight="1">
      <ns0:c r="A238" s="20" t="inlineStr">
        <ns0:is>
          <ns0:t>service20</ns0:t>
        </ns0:is>
      </ns0:c>
      <ns0:c r="B238" s="22" t="n">
        <ns0:v>0.3</ns0:v>
      </ns0:c>
      <ns0:c r="C238" s="20" t="n">
        <ns0:v>1</ns0:v>
      </ns0:c>
      <ns0:c r="D238" s="20" t="inlineStr">
        <ns0:is>
          <ns0:t>add</ns0:t>
        </ns0:is>
      </ns0:c>
      <ns0:c r="E238" s="20" t="inlineStr">
        <ns0:is>
          <ns0:t>パック単独</ns0:t>
        </ns0:is>
      </ns0:c>
      <ns0:c r="F238" s="22" t="n">
        <ns0:v>0.5</ns0:v>
      </ns0:c>
      <ns0:c r="G238" s="20" t="n">
        <ns0:v>40</ns0:v>
      </ns0:c>
      <ns0:c r="H238" s="20" t="n">
        <ns0:v>40</ns0:v>
      </ns0:c>
      <ns0:c r="I238" s="20" t="inlineStr">
        <ns0:is>
          <ns0:t>範囲内なし</ns0:t>
        </ns0:is>
      </ns0:c>
      <ns0:c r="J238" s="20" t="n">
        <ns0:v>8268.379888268155</ns0:v>
      </ns0:c>
      <ns0:c r="K238" s="20" t="n">
        <ns0:v>2111.564245810056</ns0:v>
      </ns0:c>
      <ns0:c r="L238" s="20" t="n">
        <ns0:v>169409.3459523596</ns0:v>
      </ns0:c>
      <ns0:c r="M238" s="20" t="n">
        <ns0:v>-52542.99963546829</ns0:v>
      </ns0:c>
      <ns0:c r="N238" s="20" t="n">
        <ns0:v>-43123.20653198787</ns0:v>
      </ns0:c>
      <ns0:c r="O238" s="20" t="n">
        <ns0:v>-18847.75034334808</ns0:v>
      </ns0:c>
      <ns0:c r="P238" s="20" t="n">
        <ns0:v>19927.70584529176</ns0:v>
      </ns0:c>
      <ns0:c r="Q238" s="20" t="n">
        <ns0:v>116866.3463168913</ns0:v>
      </ns0:c>
      <ns0:c r="R238" s="20" t="n">
        <ns0:v>462620.9082032894</ns0:v>
      </ns0:c>
      <ns0:c r="S238" s="20" t="n">
        <ns0:v>1749761.874805684</ns0:v>
      </ns0:c>
    </ns0:row>
    <ns0:row r="239" ht="32" customHeight="1">
      <ns0:c r="A239" s="20" t="inlineStr">
        <ns0:is>
          <ns0:t>service20</ns0:t>
        </ns0:is>
      </ns0:c>
      <ns0:c r="B239" s="22" t="n">
        <ns0:v>0.3</ns0:v>
      </ns0:c>
      <ns0:c r="C239" s="20" t="n">
        <ns0:v>1</ns0:v>
      </ns0:c>
      <ns0:c r="D239" s="20" t="inlineStr">
        <ns0:is>
          <ns0:t>add</ns0:t>
        </ns0:is>
      </ns0:c>
      <ns0:c r="E239" s="20" t="inlineStr">
        <ns0:is>
          <ns0:t>混在・パック30%</ns0:t>
        </ns0:is>
      </ns0:c>
      <ns0:c r="F239" s="22" t="n">
        <ns0:v>0.4</ns0:v>
      </ns0:c>
      <ns0:c r="G239" s="20" t="n">
        <ns0:v>42</ns0:v>
      </ns0:c>
      <ns0:c r="H239" s="20" t="n">
        <ns0:v>42</ns0:v>
      </ns0:c>
      <ns0:c r="I239" s="20" t="inlineStr">
        <ns0:is>
          <ns0:t>範囲内なし</ns0:t>
        </ns0:is>
      </ns0:c>
      <ns0:c r="J239" s="20" t="n">
        <ns0:v>5899.647230566238</ns0:v>
      </ns0:c>
      <ns0:c r="K239" s="20" t="n">
        <ns0:v>1287.336054574549</ns0:v>
      </ns0:c>
      <ns0:c r="L239" s="20" t="n">
        <ns0:v>144696.221887922</ns0:v>
      </ns0:c>
      <ns0:c r="M239" s="20" t="n">
        <ns0:v>-35190.15082540885</ns0:v>
      </ns0:c>
      <ns0:c r="N239" s="20" t="n">
        <ns0:v>-43859.2340574257</ns0:v>
      </ns0:c>
      <ns0:c r="O239" s="20" t="n">
        <ns0:v>-21055.83291966151</ns0:v>
      </ns0:c>
      <ns0:c r="P239" s="20" t="n">
        <ns0:v>16247.56821810268</ns0:v>
      </ns0:c>
      <ns0:c r="Q239" s="20" t="n">
        <ns0:v>109506.0710625132</ns0:v>
      </ns0:c>
      <ns0:c r="R239" s="20" t="n">
        <ns0:v>440540.0824401551</ns0:v>
      </ns0:c>
      <ns0:c r="S239" s="20" t="n">
        <ns0:v>1676159.122261903</ns0:v>
      </ns0:c>
    </ns0:row>
    <ns0:row r="240" ht="32" customHeight="1">
      <ns0:c r="A240" s="20" t="inlineStr">
        <ns0:is>
          <ns0:t>service20</ns0:t>
        </ns0:is>
      </ns0:c>
      <ns0:c r="B240" s="22" t="n">
        <ns0:v>0.3</ns0:v>
      </ns0:c>
      <ns0:c r="C240" s="20" t="n">
        <ns0:v>1</ns0:v>
      </ns0:c>
      <ns0:c r="D240" s="20" t="inlineStr">
        <ns0:is>
          <ns0:t>add</ns0:t>
        </ns0:is>
      </ns0:c>
      <ns0:c r="E240" s="20" t="inlineStr">
        <ns0:is>
          <ns0:t>混在・パック30%</ns0:t>
        </ns0:is>
      </ns0:c>
      <ns0:c r="F240" s="22" t="n">
        <ns0:v>0.5</ns0:v>
      </ns0:c>
      <ns0:c r="G240" s="20" t="n">
        <ns0:v>50</ns0:v>
      </ns0:c>
      <ns0:c r="H240" s="20" t="n">
        <ns0:v>50</ns0:v>
      </ns0:c>
      <ns0:c r="I240" s="20" t="inlineStr">
        <ns0:is>
          <ns0:t>範囲内なし</ns0:t>
        </ns0:is>
      </ns0:c>
      <ns0:c r="J240" s="20" t="n">
        <ns0:v>5899.647230566238</ns0:v>
      </ns0:c>
      <ns0:c r="K240" s="20" t="n">
        <ns0:v>1609.170068218186</ns0:v>
      </ns0:c>
      <ns0:c r="L240" s="20" t="n">
        <ns0:v>119703.3170073093</ns0:v>
      </ns0:c>
      <ns0:c r="M240" s="20" t="n">
        <ns0:v>-42380.64730915985</ns0:v>
      </ns0:c>
      <ns0:c r="N240" s="20" t="n">
        <ns0:v>-47077.57419386206</ns0:v>
      </ns0:c>
      <ns0:c r="O240" s="20" t="n">
        <ns0:v>-30710.85332897062</ns0:v>
      </ns0:c>
      <ns0:c r="P240" s="20" t="n">
        <ns0:v>155.8675359208428</ns0:v>
      </ns0:c>
      <ns0:c r="Q240" s="20" t="n">
        <ns0:v>77322.66969814949</ns0:v>
      </ns0:c>
      <ns0:c r="R240" s="20" t="n">
        <ns0:v>343989.878347064</ns0:v>
      </ns0:c>
      <ns0:c r="S240" s="20" t="n">
        <ns0:v>1354325.108618265</ns0:v>
      </ns0:c>
    </ns0:row>
    <ns0:row r="241" ht="32" customHeight="1">
      <ns0:c r="A241" s="20" t="inlineStr">
        <ns0:is>
          <ns0:t>service20</ns0:t>
        </ns0:is>
      </ns0:c>
      <ns0:c r="B241" s="22" t="n">
        <ns0:v>0.3</ns0:v>
      </ns0:c>
      <ns0:c r="C241" s="20" t="n">
        <ns0:v>1</ns0:v>
      </ns0:c>
      <ns0:c r="D241" s="20" t="inlineStr">
        <ns0:is>
          <ns0:t>add</ns0:t>
        </ns0:is>
      </ns0:c>
      <ns0:c r="E241" s="20" t="inlineStr">
        <ns0:is>
          <ns0:t>混在・パック50%</ns0:t>
        </ns0:is>
      </ns0:c>
      <ns0:c r="F241" s="22" t="n">
        <ns0:v>0.4</ns0:v>
      </ns0:c>
      <ns0:c r="G241" s="20" t="n">
        <ns0:v>39</ns0:v>
      </ns0:c>
      <ns0:c r="H241" s="20" t="n">
        <ns0:v>39</ns0:v>
      </ns0:c>
      <ns0:c r="I241" s="20" t="inlineStr">
        <ns0:is>
          <ns0:t>範囲内なし</ns0:t>
        </ns0:is>
      </ns0:c>
      <ns0:c r="J241" s="20" t="n">
        <ns0:v>6576.427989909642</ns0:v>
      </ns0:c>
      <ns0:c r="K241" s="20" t="n">
        <ns0:v>1402.16900945269</ns0:v>
      </ns0:c>
      <ns0:c r="L241" s="20" t="n">
        <ns0:v>160738.4923635272</ns0:v>
      </ns0:c>
      <ns0:c r="M241" s="20" t="n">
        <ns0:v>-37063.4041094199</ns0:v>
      </ns0:c>
      <ns0:c r="N241" s="20" t="n">
        <ns0:v>-42442.33233826629</ns0:v>
      </ns0:c>
      <ns0:c r="O241" s="20" t="n">
        <ns0:v>-16805.12776218331</ns0:v>
      </ns0:c>
      <ns0:c r="P241" s="20" t="n">
        <ns0:v>23332.07681389973</ns0:v>
      </ns0:c>
      <ns0:c r="Q241" s="20" t="n">
        <ns0:v>123675.0882541072</ns0:v>
      </ns0:c>
      <ns0:c r="R241" s="20" t="n">
        <ns0:v>483047.1340149374</ns0:v>
      </ns0:c>
      <ns0:c r="S241" s="20" t="n">
        <ns0:v>1817849.294177842</ns0:v>
      </ns0:c>
    </ns0:row>
    <ns0:row r="242" ht="32" customHeight="1">
      <ns0:c r="A242" s="20" t="inlineStr">
        <ns0:is>
          <ns0:t>service20</ns0:t>
        </ns0:is>
      </ns0:c>
      <ns0:c r="B242" s="22" t="n">
        <ns0:v>0.3</ns0:v>
      </ns0:c>
      <ns0:c r="C242" s="20" t="n">
        <ns0:v>1</ns0:v>
      </ns0:c>
      <ns0:c r="D242" s="20" t="inlineStr">
        <ns0:is>
          <ns0:t>add</ns0:t>
        </ns0:is>
      </ns0:c>
      <ns0:c r="E242" s="20" t="inlineStr">
        <ns0:is>
          <ns0:t>混在・パック50%</ns0:t>
        </ns0:is>
      </ns0:c>
      <ns0:c r="F242" s="22" t="n">
        <ns0:v>0.5</ns0:v>
      </ns0:c>
      <ns0:c r="G242" s="20" t="n">
        <ns0:v>47</ns0:v>
      </ns0:c>
      <ns0:c r="H242" s="20" t="n">
        <ns0:v>47</ns0:v>
      </ns0:c>
      <ns0:c r="I242" s="20" t="inlineStr">
        <ns0:is>
          <ns0:t>範囲内なし</ns0:t>
        </ns0:is>
      </ns0:c>
      <ns0:c r="J242" s="20" t="n">
        <ns0:v>6576.427989909642</ns0:v>
      </ns0:c>
      <ns0:c r="K242" s="20" t="n">
        <ns0:v>1752.711261815863</ns0:v>
      </ns0:c>
      <ns0:c r="L242" s="20" t="n">
        <ns0:v>133905.039563038</ns0:v>
      </ns0:c>
      <ns0:c r="M242" s="20" t="n">
        <ns0:v>-45284.176545248</ns0:v>
      </ns0:c>
      <ns0:c r="N242" s="20" t="n">
        <ns0:v>-45947.75486189801</ns0:v>
      </ns0:c>
      <ns0:c r="O242" s="20" t="n">
        <ns0:v>-27321.39533307849</ns0:v>
      </ns0:c>
      <ns0:c r="P242" s="20" t="n">
        <ns0:v>5804.964195741108</ns0:v>
      </ns0:c>
      <ns0:c r="Q242" s="20" t="n">
        <ns0:v>88620.86301779002</ns0:v>
      </ns0:c>
      <ns0:c r="R242" s="20" t="n">
        <ns0:v>377884.4583059856</ns0:v>
      </ns0:c>
      <ns0:c r="S242" s="20" t="n">
        <ns0:v>1467307.04181467</ns0:v>
      </ns0:c>
    </ns0:row>
    <ns0:row r="243" ht="32" customHeight="1">
      <ns0:c r="A243" s="20" t="inlineStr">
        <ns0:is>
          <ns0:t>service20</ns0:t>
        </ns0:is>
      </ns0:c>
      <ns0:c r="B243" s="22" t="n">
        <ns0:v>0.3</ns0:v>
      </ns0:c>
      <ns0:c r="C243" s="20" t="n">
        <ns0:v>1</ns0:v>
      </ns0:c>
      <ns0:c r="D243" s="20" t="inlineStr">
        <ns0:is>
          <ns0:t>add</ns0:t>
        </ns0:is>
      </ns0:c>
      <ns0:c r="E243" s="20" t="inlineStr">
        <ns0:is>
          <ns0:t>混在・パック70%</ns0:t>
        </ns0:is>
      </ns0:c>
      <ns0:c r="F243" s="22" t="n">
        <ns0:v>0.4</ns0:v>
      </ns0:c>
      <ns0:c r="G243" s="20" t="n">
        <ns0:v>36</ns0:v>
      </ns0:c>
      <ns0:c r="H243" s="20" t="n">
        <ns0:v>36</ns0:v>
      </ns0:c>
      <ns0:c r="I243" s="20" t="inlineStr">
        <ns0:is>
          <ns0:t>範囲内なし</ns0:t>
        </ns0:is>
      </ns0:c>
      <ns0:c r="J243" s="20" t="n">
        <ns0:v>7253.208749253048</ns0:v>
      </ns0:c>
      <ns0:c r="K243" s="20" t="n">
        <ns0:v>1517.001964330832</ns0:v>
      </ns0:c>
      <ns0:c r="L243" s="20" t="n">
        <ns0:v>176780.7628391322</ns0:v>
      </ns0:c>
      <ns0:c r="M243" s="20" t="n">
        <ns0:v>-38936.65739343092</ns0:v>
      </ns0:c>
      <ns0:c r="N243" s="20" t="n">
        <ns0:v>-41025.4306191069</ns0:v>
      </ns0:c>
      <ns0:c r="O243" s="20" t="n">
        <ns0:v>-12554.42260470505</ns0:v>
      </ns0:c>
      <ns0:c r="P243" s="20" t="n">
        <ns0:v>30416.58540969674</ns0:v>
      </ns0:c>
      <ns0:c r="Q243" s="20" t="n">
        <ns0:v>137844.1054457013</ns0:v>
      </ns0:c>
      <ns0:c r="R243" s="20" t="n">
        <ns0:v>525554.1855897196</ns0:v>
      </ns0:c>
      <ns0:c r="S243" s="20" t="n">
        <ns0:v>1959539.466093783</ns0:v>
      </ns0:c>
    </ns0:row>
    <ns0:row r="244" ht="32" customHeight="1">
      <ns0:c r="A244" s="20" t="inlineStr">
        <ns0:is>
          <ns0:t>service20</ns0:t>
        </ns0:is>
      </ns0:c>
      <ns0:c r="B244" s="22" t="n">
        <ns0:v>0.3</ns0:v>
      </ns0:c>
      <ns0:c r="C244" s="20" t="n">
        <ns0:v>1</ns0:v>
      </ns0:c>
      <ns0:c r="D244" s="20" t="inlineStr">
        <ns0:is>
          <ns0:t>add</ns0:t>
        </ns0:is>
      </ns0:c>
      <ns0:c r="E244" s="20" t="inlineStr">
        <ns0:is>
          <ns0:t>混在・パック70%</ns0:t>
        </ns0:is>
      </ns0:c>
      <ns0:c r="F244" s="22" t="n">
        <ns0:v>0.5</ns0:v>
      </ns0:c>
      <ns0:c r="G244" s="20" t="n">
        <ns0:v>44</ns0:v>
      </ns0:c>
      <ns0:c r="H244" s="20" t="n">
        <ns0:v>44</ns0:v>
      </ns0:c>
      <ns0:c r="I244" s="20" t="inlineStr">
        <ns0:is>
          <ns0:t>範囲内なし</ns0:t>
        </ns0:is>
      </ns0:c>
      <ns0:c r="J244" s="20" t="n">
        <ns0:v>7253.208749253048</ns0:v>
      </ns0:c>
      <ns0:c r="K244" s="20" t="n">
        <ns0:v>1896.25245541354</ns0:v>
      </ns0:c>
      <ns0:c r="L244" s="20" t="n">
        <ns0:v>148106.7621187666</ns0:v>
      </ns0:c>
      <ns0:c r="M244" s="20" t="n">
        <ns0:v>-48187.70578133612</ns0:v>
      </ns0:c>
      <ns0:c r="N244" s="20" t="n">
        <ns0:v>-44817.93552993397</ns0:v>
      </ns0:c>
      <ns0:c r="O244" s="20" t="n">
        <ns0:v>-23931.93733718628</ns0:v>
      </ns0:c>
      <ns0:c r="P244" s="20" t="n">
        <ns0:v>11454.06085556133</ns0:v>
      </ns0:c>
      <ns0:c r="Q244" s="20" t="n">
        <ns0:v>99919.05633743046</ns0:v>
      </ns0:c>
      <ns0:c r="R244" s="20" t="n">
        <ns0:v>411779.0382649071</ns0:v>
      </ns0:c>
      <ns0:c r="S244" s="20" t="n">
        <ns0:v>1580288.975011075</ns0:v>
      </ns0:c>
    </ns0:row>
    <ns0:row r="245" ht="32" customHeight="1">
      <ns0:c r="A245" s="20" t="inlineStr">
        <ns0:is>
          <ns0:t>service20</ns0:t>
        </ns0:is>
      </ns0:c>
      <ns0:c r="B245" s="22" t="n">
        <ns0:v>0.3</ns0:v>
      </ns0:c>
      <ns0:c r="C245" s="20" t="n">
        <ns0:v>0</ns0:v>
      </ns0:c>
      <ns0:c r="D245" s="20" t="inlineStr">
        <ns0:is>
          <ns0:t>floor</ns0:t>
        </ns0:is>
      </ns0:c>
      <ns0:c r="E245" s="20" t="inlineStr">
        <ns0:is>
          <ns0:t>パック単独</ns0:t>
        </ns0:is>
      </ns0:c>
      <ns0:c r="F245" s="22" t="n">
        <ns0:v>0.4</ns0:v>
      </ns0:c>
      <ns0:c r="G245" s="20" t="n">
        <ns0:v>9</ns0:v>
      </ns0:c>
      <ns0:c r="H245" s="20" t="n">
        <ns0:v>9</ns0:v>
      </ns0:c>
      <ns0:c r="I245" s="20" t="n">
        <ns0:v>36</ns0:v>
      </ns0:c>
      <ns0:c r="J245" s="20" t="n">
        <ns0:v>8268.379888268155</ns0:v>
      </ns0:c>
      <ns0:c r="K245" s="20" t="n">
        <ns0:v>1689.251396648045</ns0:v>
      </ns0:c>
      <ns0:c r="L245" s="20" t="n">
        <ns0:v>299530.3882918322</ns0:v>
      </ns0:c>
      <ns0:c r="M245" s="20" t="n">
        <ns0:v>47592.38260606469</ns0:v>
      </ns0:c>
      <ns0:c r="N245" s="20" t="n">
        <ns0:v>5437.910786447874</ns0:v>
      </ns0:c>
      <ns0:c r="O245" s="20" t="n">
        <ns0:v>82779.17703095359</ns0:v>
      </ns0:c>
      <ns0:c r="P245" s="20" t="n">
        <ns0:v>158305.9181357945</ns0:v>
      </ns0:c>
      <ns0:c r="Q245" s="20" t="n">
        <ns0:v>347122.7708978968</ns0:v>
      </ns0:c>
      <ns0:c r="R245" s="20" t="n">
        <ns0:v>1076390.181946306</ns0:v>
      </ns0:c>
      <ns0:c r="S245" s="20" t="n">
        <ns0:v>3681826.120615739</ns0:v>
      </ns0:c>
    </ns0:row>
    <ns0:row r="246" ht="32" customHeight="1">
      <ns0:c r="A246" s="20" t="inlineStr">
        <ns0:is>
          <ns0:t>service20</ns0:t>
        </ns0:is>
      </ns0:c>
      <ns0:c r="B246" s="22" t="n">
        <ns0:v>0.3</ns0:v>
      </ns0:c>
      <ns0:c r="C246" s="20" t="n">
        <ns0:v>0</ns0:v>
      </ns0:c>
      <ns0:c r="D246" s="20" t="inlineStr">
        <ns0:is>
          <ns0:t>floor</ns0:t>
        </ns0:is>
      </ns0:c>
      <ns0:c r="E246" s="20" t="inlineStr">
        <ns0:is>
          <ns0:t>パック単独</ns0:t>
        </ns0:is>
      </ns0:c>
      <ns0:c r="F246" s="22" t="n">
        <ns0:v>0.5</ns0:v>
      </ns0:c>
      <ns0:c r="G246" s="20" t="n">
        <ns0:v>10</ns0:v>
      </ns0:c>
      <ns0:c r="H246" s="20" t="n">
        <ns0:v>12</ns0:v>
      </ns0:c>
      <ns0:c r="I246" s="20" t="n">
        <ns0:v>42</ns0:v>
      </ns0:c>
      <ns0:c r="J246" s="20" t="n">
        <ns0:v>8268.379888268155</ns0:v>
      </ns0:c>
      <ns0:c r="K246" s="20" t="n">
        <ns0:v>2111.564245810056</ns0:v>
      </ns0:c>
      <ns0:c r="L246" s="20" t="n">
        <ns0:v>268095.5656916519</ns0:v>
      </ns0:c>
      <ns0:c r="M246" s="20" t="n">
        <ns0:v>36795.9202900438</ns0:v>
      </ns0:c>
      <ns0:c r="N246" s="20" t="n">
        <ns0:v>1214.782294827759</ns0:v>
      </ns0:c>
      <ns0:c r="O246" s="20" t="n">
        <ns0:v>70109.79155609326</ns0:v>
      </ns0:c>
      <ns0:c r="P246" s="20" t="n">
        <ns0:v>137190.2756776939</ns0:v>
      </ns0:c>
      <ns0:c r="Q246" s="20" t="n">
        <ns0:v>304891.4859816957</ns0:v>
      </ns0:c>
      <ns0:c r="R246" s="20" t="n">
        <ns0:v>949696.3271977027</ns0:v>
      </ns0:c>
      <ns0:c r="S246" s="20" t="n">
        <ns0:v>3259513.271453728</ns0:v>
      </ns0:c>
    </ns0:row>
    <ns0:row r="247" ht="32" customHeight="1">
      <ns0:c r="A247" s="20" t="inlineStr">
        <ns0:is>
          <ns0:t>service20</ns0:t>
        </ns0:is>
      </ns0:c>
      <ns0:c r="B247" s="22" t="n">
        <ns0:v>0.3</ns0:v>
      </ns0:c>
      <ns0:c r="C247" s="20" t="n">
        <ns0:v>0</ns0:v>
      </ns0:c>
      <ns0:c r="D247" s="20" t="inlineStr">
        <ns0:is>
          <ns0:t>floor</ns0:t>
        </ns0:is>
      </ns0:c>
      <ns0:c r="E247" s="20" t="inlineStr">
        <ns0:is>
          <ns0:t>混在・パック30%</ns0:t>
        </ns0:is>
      </ns0:c>
      <ns0:c r="F247" s="22" t="n">
        <ns0:v>0.4</ns0:v>
      </ns0:c>
      <ns0:c r="G247" s="20" t="n">
        <ns0:v>13</ns0:v>
      </ns0:c>
      <ns0:c r="H247" s="20" t="n">
        <ns0:v>13</ns0:v>
      </ns0:c>
      <ns0:c r="I247" s="20" t="n">
        <ns0:v>56</ns0:v>
      </ns0:c>
      <ns0:c r="J247" s="20" t="n">
        <ns0:v>5899.647230566238</ns0:v>
      </ns0:c>
      <ns0:c r="K247" s="20" t="n">
        <ns0:v>1287.336054574549</ns0:v>
      </ns0:c>
      <ns0:c r="L247" s="20" t="n">
        <ns0:v>225326.5757054267</ns0:v>
      </ns0:c>
      <ns0:c r="M247" s="20" t="n">
        <ns0:v>21512.5301773704</ns0:v>
      </ns0:c>
      <ns0:c r="N247" s="20" t="n">
        <ns0:v>-8846.098173162671</ns0:v>
      </ns0:c>
      <ns0:c r="O247" s="20" t="n">
        <ns0:v>52694.07752642367</ns0:v>
      </ns0:c>
      <ns0:c r="P247" s="20" t="n">
        <ns0:v>108164.0856282446</ns0:v>
      </ns0:c>
      <ns0:c r="Q247" s="20" t="n">
        <ns0:v>246839.1058827971</ns0:v>
      </ns0:c>
      <ns0:c r="R247" s="20" t="n">
        <ns0:v>775539.1869010067</ns0:v>
      </ns0:c>
      <ns0:c r="S247" s="20" t="n">
        <ns0:v>2678989.470464741</ns0:v>
      </ns0:c>
    </ns0:row>
    <ns0:row r="248" ht="32" customHeight="1">
      <ns0:c r="A248" s="20" t="inlineStr">
        <ns0:is>
          <ns0:t>service20</ns0:t>
        </ns0:is>
      </ns0:c>
      <ns0:c r="B248" s="22" t="n">
        <ns0:v>0.3</ns0:v>
      </ns0:c>
      <ns0:c r="C248" s="20" t="n">
        <ns0:v>0</ns0:v>
      </ns0:c>
      <ns0:c r="D248" s="20" t="inlineStr">
        <ns0:is>
          <ns0:t>floor</ns0:t>
        </ns0:is>
      </ns0:c>
      <ns0:c r="E248" s="20" t="inlineStr">
        <ns0:is>
          <ns0:t>混在・パック30%</ns0:t>
        </ns0:is>
      </ns0:c>
      <ns0:c r="F248" s="22" t="n">
        <ns0:v>0.5</ns0:v>
      </ns0:c>
      <ns0:c r="G248" s="20" t="n">
        <ns0:v>14</ns0:v>
      </ns0:c>
      <ns0:c r="H248" s="20" t="n">
        <ns0:v>14</ns0:v>
      </ns0:c>
      <ns0:c r="I248" s="20" t="n">
        <ns0:v>65</ns0:v>
      </ns0:c>
      <ns0:c r="J248" s="20" t="n">
        <ns0:v>5899.647230566238</ns0:v>
      </ns0:c>
      <ns0:c r="K248" s="20" t="n">
        <ns0:v>1609.170068218186</ns0:v>
      </ns0:c>
      <ns0:c r="L248" s="20" t="n">
        <ns0:v>200333.670824814</ns0:v>
      </ns0:c>
      <ns0:c r="M248" s="20" t="n">
        <ns0:v>14322.03369361941</ns0:v>
      </ns0:c>
      <ns0:c r="N248" s="20" t="n">
        <ns0:v>-12064.43830959904</ns0:v>
      </ns0:c>
      <ns0:c r="O248" s="20" t="n">
        <ns0:v>43039.05711711456</ns0:v>
      </ns0:c>
      <ns0:c r="P248" s="20" t="n">
        <ns0:v>92072.38494606281</ns0:v>
      </ns0:c>
      <ns0:c r="Q248" s="20" t="n">
        <ns0:v>214655.7045184334</ns0:v>
      </ns0:c>
      <ns0:c r="R248" s="20" t="n">
        <ns0:v>678988.9828079157</ns0:v>
      </ns0:c>
      <ns0:c r="S248" s="20" t="n">
        <ns0:v>2357155.456821104</ns0:v>
      </ns0:c>
    </ns0:row>
    <ns0:row r="249" ht="32" customHeight="1">
      <ns0:c r="A249" s="20" t="inlineStr">
        <ns0:is>
          <ns0:t>service20</ns0:t>
        </ns0:is>
      </ns0:c>
      <ns0:c r="B249" s="22" t="n">
        <ns0:v>0.3</ns0:v>
      </ns0:c>
      <ns0:c r="C249" s="20" t="n">
        <ns0:v>0</ns0:v>
      </ns0:c>
      <ns0:c r="D249" s="20" t="inlineStr">
        <ns0:is>
          <ns0:t>floor</ns0:t>
        </ns0:is>
      </ns0:c>
      <ns0:c r="E249" s="20" t="inlineStr">
        <ns0:is>
          <ns0:t>混在・パック50%</ns0:t>
        </ns0:is>
      </ns0:c>
      <ns0:c r="F249" s="22" t="n">
        <ns0:v>0.4</ns0:v>
      </ns0:c>
      <ns0:c r="G249" s="20" t="n">
        <ns0:v>12</ns0:v>
      </ns0:c>
      <ns0:c r="H249" s="20" t="n">
        <ns0:v>12</ns0:v>
      </ns0:c>
      <ns0:c r="I249" s="20" t="n">
        <ns0:v>48</ns0:v>
      </ns0:c>
      <ns0:c r="J249" s="20" t="n">
        <ns0:v>6576.427989909642</ns0:v>
      </ns0:c>
      <ns0:c r="K249" s="20" t="n">
        <ns0:v>1402.16900945269</ns0:v>
      </ns0:c>
      <ns0:c r="L249" s="20" t="n">
        <ns0:v>246527.6650158283</ns0:v>
      </ns0:c>
      <ns0:c r="M249" s="20" t="n">
        <ns0:v>28963.91658556874</ns0:v>
      </ns0:c>
      <ns0:c r="N249" s="20" t="n">
        <ns0:v>-4764.952756131086</ns0:v>
      </ns0:c>
      <ns0:c r="O249" s="20" t="n">
        <ns0:v>61289.82024200364</ns0:v>
      </ns0:c>
      <ns0:c r="P249" s="20" t="n">
        <ns0:v>122490.3234875446</ns0:v>
      </ns0:c>
      <ns0:c r="Q249" s="20" t="n">
        <ns0:v>275491.581601397</ns0:v>
      </ns0:c>
      <ns0:c r="R249" s="20" t="n">
        <ns0:v>861496.6140568067</ns0:v>
      </ns0:c>
      <ns0:c r="S249" s="20" t="n">
        <ns0:v>2965514.22765074</ns0:v>
      </ns0:c>
    </ns0:row>
    <ns0:row r="250" ht="32" customHeight="1">
      <ns0:c r="A250" s="20" t="inlineStr">
        <ns0:is>
          <ns0:t>service20</ns0:t>
        </ns0:is>
      </ns0:c>
      <ns0:c r="B250" s="22" t="n">
        <ns0:v>0.3</ns0:v>
      </ns0:c>
      <ns0:c r="C250" s="20" t="n">
        <ns0:v>0</ns0:v>
      </ns0:c>
      <ns0:c r="D250" s="20" t="inlineStr">
        <ns0:is>
          <ns0:t>floor</ns0:t>
        </ns0:is>
      </ns0:c>
      <ns0:c r="E250" s="20" t="inlineStr">
        <ns0:is>
          <ns0:t>混在・パック50%</ns0:t>
        </ns0:is>
      </ns0:c>
      <ns0:c r="F250" s="22" t="n">
        <ns0:v>0.5</ns0:v>
      </ns0:c>
      <ns0:c r="G250" s="20" t="n">
        <ns0:v>13</ns0:v>
      </ns0:c>
      <ns0:c r="H250" s="20" t="n">
        <ns0:v>13</ns0:v>
      </ns0:c>
      <ns0:c r="I250" s="20" t="n">
        <ns0:v>57</ns0:v>
      </ns0:c>
      <ns0:c r="J250" s="20" t="n">
        <ns0:v>6576.427989909642</ns0:v>
      </ns0:c>
      <ns0:c r="K250" s="20" t="n">
        <ns0:v>1752.711261815863</ns0:v>
      </ns0:c>
      <ns0:c r="L250" s="20" t="n">
        <ns0:v>219694.2122153392</ns0:v>
      </ns0:c>
      <ns0:c r="M250" s="20" t="n">
        <ns0:v>20743.14414974064</ns0:v>
      </ns0:c>
      <ns0:c r="N250" s="20" t="n">
        <ns0:v>-8270.375279762811</ns0:v>
      </ns0:c>
      <ns0:c r="O250" s="20" t="n">
        <ns0:v>50773.55267110845</ns0:v>
      </ns0:c>
      <ns0:c r="P250" s="20" t="n">
        <ns0:v>104963.210869386</ns0:v>
      </ns0:c>
      <ns0:c r="Q250" s="20" t="n">
        <ns0:v>240437.3563650798</ns0:v>
      </ns0:c>
      <ns0:c r="R250" s="20" t="n">
        <ns0:v>756333.9383478549</ns0:v>
      </ns0:c>
      <ns0:c r="S250" s="20" t="n">
        <ns0:v>2614971.975287568</ns0:v>
      </ns0:c>
    </ns0:row>
    <ns0:row r="251" ht="32" customHeight="1">
      <ns0:c r="A251" s="20" t="inlineStr">
        <ns0:is>
          <ns0:t>service20</ns0:t>
        </ns0:is>
      </ns0:c>
      <ns0:c r="B251" s="22" t="n">
        <ns0:v>0.3</ns0:v>
      </ns0:c>
      <ns0:c r="C251" s="20" t="n">
        <ns0:v>0</ns0:v>
      </ns0:c>
      <ns0:c r="D251" s="20" t="inlineStr">
        <ns0:is>
          <ns0:t>floor</ns0:t>
        </ns0:is>
      </ns0:c>
      <ns0:c r="E251" s="20" t="inlineStr">
        <ns0:is>
          <ns0:t>混在・パック70%</ns0:t>
        </ns0:is>
      </ns0:c>
      <ns0:c r="F251" s="22" t="n">
        <ns0:v>0.4</ns0:v>
      </ns0:c>
      <ns0:c r="G251" s="20" t="n">
        <ns0:v>11</ns0:v>
      </ns0:c>
      <ns0:c r="H251" s="20" t="n">
        <ns0:v>11</ns0:v>
      </ns0:c>
      <ns0:c r="I251" s="20" t="n">
        <ns0:v>43</ns0:v>
      </ns0:c>
      <ns0:c r="J251" s="20" t="n">
        <ns0:v>7253.208749253048</ns0:v>
      </ns0:c>
      <ns0:c r="K251" s="20" t="n">
        <ns0:v>1517.001964330832</ns0:v>
      </ns0:c>
      <ns0:c r="L251" s="20" t="n">
        <ns0:v>267728.7543262298</ns0:v>
      </ns0:c>
      <ns0:c r="M251" s="20" t="n">
        <ns0:v>36415.3029937671</ns0:v>
      </ns0:c>
      <ns0:c r="N251" s="20" t="n">
        <ns0:v>-683.8073390995214</ns0:v>
      </ns0:c>
      <ns0:c r="O251" s="20" t="n">
        <ns0:v>69885.56295758364</ns0:v>
      </ns0:c>
      <ns0:c r="P251" s="20" t="n">
        <ns0:v>136816.5613468445</ns0:v>
      </ns0:c>
      <ns0:c r="Q251" s="20" t="n">
        <ns0:v>304144.0573199969</ns0:v>
      </ns0:c>
      <ns0:c r="R251" s="20" t="n">
        <ns0:v>947454.0412126065</ns0:v>
      </ns0:c>
      <ns0:c r="S251" s="20" t="n">
        <ns0:v>3252038.984836739</ns0:v>
      </ns0:c>
    </ns0:row>
    <ns0:row r="252" ht="32" customHeight="1">
      <ns0:c r="A252" s="20" t="inlineStr">
        <ns0:is>
          <ns0:t>service20</ns0:t>
        </ns0:is>
      </ns0:c>
      <ns0:c r="B252" s="22" t="n">
        <ns0:v>0.3</ns0:v>
      </ns0:c>
      <ns0:c r="C252" s="20" t="n">
        <ns0:v>0</ns0:v>
      </ns0:c>
      <ns0:c r="D252" s="20" t="inlineStr">
        <ns0:is>
          <ns0:t>floor</ns0:t>
        </ns0:is>
      </ns0:c>
      <ns0:c r="E252" s="20" t="inlineStr">
        <ns0:is>
          <ns0:t>混在・パック70%</ns0:t>
        </ns0:is>
      </ns0:c>
      <ns0:c r="F252" s="22" t="n">
        <ns0:v>0.5</ns0:v>
      </ns0:c>
      <ns0:c r="G252" s="20" t="n">
        <ns0:v>12</ns0:v>
      </ns0:c>
      <ns0:c r="H252" s="20" t="n">
        <ns0:v>12</ns0:v>
      </ns0:c>
      <ns0:c r="I252" s="20" t="n">
        <ns0:v>50</ns0:v>
      </ns0:c>
      <ns0:c r="J252" s="20" t="n">
        <ns0:v>7253.208749253048</ns0:v>
      </ns0:c>
      <ns0:c r="K252" s="20" t="n">
        <ns0:v>1896.25245541354</ns0:v>
      </ns0:c>
      <ns0:c r="L252" s="20" t="n">
        <ns0:v>239054.7536058642</ns0:v>
      </ns0:c>
      <ns0:c r="M252" s="20" t="n">
        <ns0:v>27164.2546058619</ns0:v>
      </ns0:c>
      <ns0:c r="N252" s="20" t="n">
        <ns0:v>-4476.312249926599</ns0:v>
      </ns0:c>
      <ns0:c r="O252" s="20" t="n">
        <ns0:v>58508.04822510241</ns0:v>
      </ns0:c>
      <ns0:c r="P252" s="20" t="n">
        <ns0:v>117854.0367927091</ns0:v>
      </ns0:c>
      <ns0:c r="Q252" s="20" t="n">
        <ns0:v>266219.0082117261</ns0:v>
      </ns0:c>
      <ns0:c r="R252" s="20" t="n">
        <ns0:v>833678.893887794</ns0:v>
      </ns0:c>
      <ns0:c r="S252" s="20" t="n">
        <ns0:v>2872788.493754031</ns0:v>
      </ns0:c>
    </ns0:row>
    <ns0:row r="253" ht="32" customHeight="1">
      <ns0:c r="A253" s="20" t="inlineStr">
        <ns0:is>
          <ns0:t>service20</ns0:t>
        </ns0:is>
      </ns0:c>
      <ns0:c r="B253" s="22" t="n">
        <ns0:v>0.3</ns0:v>
      </ns0:c>
      <ns0:c r="C253" s="20" t="n">
        <ns0:v>0</ns0:v>
      </ns0:c>
      <ns0:c r="D253" s="20" t="inlineStr">
        <ns0:is>
          <ns0:t>add</ns0:t>
        </ns0:is>
      </ns0:c>
      <ns0:c r="E253" s="20" t="inlineStr">
        <ns0:is>
          <ns0:t>パック単独</ns0:t>
        </ns0:is>
      </ns0:c>
      <ns0:c r="F253" s="22" t="n">
        <ns0:v>0.4</ns0:v>
      </ns0:c>
      <ns0:c r="G253" s="20" t="n">
        <ns0:v>15</ns0:v>
      </ns0:c>
      <ns0:c r="H253" s="20" t="n">
        <ns0:v>15</ns0:v>
      </ns0:c>
      <ns0:c r="I253" s="20" t="n">
        <ns0:v>36</ns0:v>
      </ns0:c>
      <ns0:c r="J253" s="20" t="n">
        <ns0:v>8268.379888268155</ns0:v>
      </ns0:c>
      <ns0:c r="K253" s="20" t="n">
        <ns0:v>1689.251396648045</ns0:v>
      </ns0:c>
      <ns0:c r="L253" s="20" t="n">
        <ns0:v>277030.3882918322</ns0:v>
      </ns0:c>
      <ns0:c r="M253" s="20" t="n">
        <ns0:v>47592.38260606469</ns0:v>
      </ns0:c>
      <ns0:c r="N253" s="20" t="n">
        <ns0:v>-8747.564073887317</ns0:v>
      </ns0:c>
      <ns0:c r="O253" s="20" t="n">
        <ns0:v>60279.17703095359</ns0:v>
      </ns0:c>
      <ns0:c r="P253" s="20" t="n">
        <ns0:v>135805.9181357945</ns0:v>
      </ns0:c>
      <ns0:c r="Q253" s="20" t="n">
        <ns0:v>324622.7708978968</ns0:v>
      </ns0:c>
      <ns0:c r="R253" s="20" t="n">
        <ns0:v>1053890.181946306</ns0:v>
      </ns0:c>
      <ns0:c r="S253" s="20" t="n">
        <ns0:v>3659326.120615739</ns0:v>
      </ns0:c>
    </ns0:row>
    <ns0:row r="254" ht="32" customHeight="1">
      <ns0:c r="A254" s="20" t="inlineStr">
        <ns0:is>
          <ns0:t>service20</ns0:t>
        </ns0:is>
      </ns0:c>
      <ns0:c r="B254" s="22" t="n">
        <ns0:v>0.3</ns0:v>
      </ns0:c>
      <ns0:c r="C254" s="20" t="n">
        <ns0:v>0</ns0:v>
      </ns0:c>
      <ns0:c r="D254" s="20" t="inlineStr">
        <ns0:is>
          <ns0:t>add</ns0:t>
        </ns0:is>
      </ns0:c>
      <ns0:c r="E254" s="20" t="inlineStr">
        <ns0:is>
          <ns0:t>パック単独</ns0:t>
        </ns0:is>
      </ns0:c>
      <ns0:c r="F254" s="22" t="n">
        <ns0:v>0.5</ns0:v>
      </ns0:c>
      <ns0:c r="G254" s="20" t="n">
        <ns0:v>16</ns0:v>
      </ns0:c>
      <ns0:c r="H254" s="20" t="n">
        <ns0:v>16</ns0:v>
      </ns0:c>
      <ns0:c r="I254" s="20" t="n">
        <ns0:v>42</ns0:v>
      </ns0:c>
      <ns0:c r="J254" s="20" t="n">
        <ns0:v>8268.379888268155</ns0:v>
      </ns0:c>
      <ns0:c r="K254" s="20" t="n">
        <ns0:v>2111.564245810056</ns0:v>
      </ns0:c>
      <ns0:c r="L254" s="20" t="n">
        <ns0:v>245595.565691652</ns0:v>
      </ns0:c>
      <ns0:c r="M254" s="20" t="n">
        <ns0:v>36795.9202900438</ns0:v>
      </ns0:c>
      <ns0:c r="N254" s="20" t="n">
        <ns0:v>-12970.69256550743</ns0:v>
      </ns0:c>
      <ns0:c r="O254" s="20" t="n">
        <ns0:v>47609.79155609326</ns0:v>
      </ns0:c>
      <ns0:c r="P254" s="20" t="n">
        <ns0:v>114690.275677694</ns0:v>
      </ns0:c>
      <ns0:c r="Q254" s="20" t="n">
        <ns0:v>282391.4859816958</ns0:v>
      </ns0:c>
      <ns0:c r="R254" s="20" t="n">
        <ns0:v>927196.3271977027</ns0:v>
      </ns0:c>
      <ns0:c r="S254" s="20" t="n">
        <ns0:v>3237013.271453728</ns0:v>
      </ns0:c>
    </ns0:row>
    <ns0:row r="255" ht="32" customHeight="1">
      <ns0:c r="A255" s="20" t="inlineStr">
        <ns0:is>
          <ns0:t>service20</ns0:t>
        </ns0:is>
      </ns0:c>
      <ns0:c r="B255" s="22" t="n">
        <ns0:v>0.3</ns0:v>
      </ns0:c>
      <ns0:c r="C255" s="20" t="n">
        <ns0:v>0</ns0:v>
      </ns0:c>
      <ns0:c r="D255" s="20" t="inlineStr">
        <ns0:is>
          <ns0:t>add</ns0:t>
        </ns0:is>
      </ns0:c>
      <ns0:c r="E255" s="20" t="inlineStr">
        <ns0:is>
          <ns0:t>混在・パック30%</ns0:t>
        </ns0:is>
      </ns0:c>
      <ns0:c r="F255" s="22" t="n">
        <ns0:v>0.4</ns0:v>
      </ns0:c>
      <ns0:c r="G255" s="20" t="n">
        <ns0:v>20</ns0:v>
      </ns0:c>
      <ns0:c r="H255" s="20" t="n">
        <ns0:v>20</ns0:v>
      </ns0:c>
      <ns0:c r="I255" s="20" t="n">
        <ns0:v>56</ns0:v>
      </ns0:c>
      <ns0:c r="J255" s="20" t="n">
        <ns0:v>5899.647230566238</ns0:v>
      </ns0:c>
      <ns0:c r="K255" s="20" t="n">
        <ns0:v>1287.336054574549</ns0:v>
      </ns0:c>
      <ns0:c r="L255" s="20" t="n">
        <ns0:v>202826.5757054267</ns0:v>
      </ns0:c>
      <ns0:c r="M255" s="20" t="n">
        <ns0:v>21512.5301773704</ns0:v>
      </ns0:c>
      <ns0:c r="N255" s="20" t="n">
        <ns0:v>-18775.93057539731</ns0:v>
      </ns0:c>
      <ns0:c r="O255" s="20" t="n">
        <ns0:v>30194.07752642367</ns0:v>
      </ns0:c>
      <ns0:c r="P255" s="20" t="n">
        <ns0:v>85664.08562824463</ns0:v>
      </ns0:c>
      <ns0:c r="Q255" s="20" t="n">
        <ns0:v>224339.1058827971</ns0:v>
      </ns0:c>
      <ns0:c r="R255" s="20" t="n">
        <ns0:v>753039.1869010067</ns0:v>
      </ns0:c>
      <ns0:c r="S255" s="20" t="n">
        <ns0:v>2656489.470464741</ns0:v>
      </ns0:c>
    </ns0:row>
    <ns0:row r="256" ht="32" customHeight="1">
      <ns0:c r="A256" s="20" t="inlineStr">
        <ns0:is>
          <ns0:t>service20</ns0:t>
        </ns0:is>
      </ns0:c>
      <ns0:c r="B256" s="22" t="n">
        <ns0:v>0.3</ns0:v>
      </ns0:c>
      <ns0:c r="C256" s="20" t="n">
        <ns0:v>0</ns0:v>
      </ns0:c>
      <ns0:c r="D256" s="20" t="inlineStr">
        <ns0:is>
          <ns0:t>add</ns0:t>
        </ns0:is>
      </ns0:c>
      <ns0:c r="E256" s="20" t="inlineStr">
        <ns0:is>
          <ns0:t>混在・パック30%</ns0:t>
        </ns0:is>
      </ns0:c>
      <ns0:c r="F256" s="22" t="n">
        <ns0:v>0.5</ns0:v>
      </ns0:c>
      <ns0:c r="G256" s="20" t="n">
        <ns0:v>22</ns0:v>
      </ns0:c>
      <ns0:c r="H256" s="20" t="n">
        <ns0:v>22</ns0:v>
      </ns0:c>
      <ns0:c r="I256" s="20" t="n">
        <ns0:v>65</ns0:v>
      </ns0:c>
      <ns0:c r="J256" s="20" t="n">
        <ns0:v>5899.647230566238</ns0:v>
      </ns0:c>
      <ns0:c r="K256" s="20" t="n">
        <ns0:v>1609.170068218186</ns0:v>
      </ns0:c>
      <ns0:c r="L256" s="20" t="n">
        <ns0:v>177833.670824814</ns0:v>
      </ns0:c>
      <ns0:c r="M256" s="20" t="n">
        <ns0:v>14322.03369361941</ns0:v>
      </ns0:c>
      <ns0:c r="N256" s="20" t="n">
        <ns0:v>-21994.27071183368</ns0:v>
      </ns0:c>
      <ns0:c r="O256" s="20" t="n">
        <ns0:v>20539.05711711455</ns0:v>
      </ns0:c>
      <ns0:c r="P256" s="20" t="n">
        <ns0:v>69572.3849460628</ns0:v>
      </ns0:c>
      <ns0:c r="Q256" s="20" t="n">
        <ns0:v>192155.7045184334</ns0:v>
      </ns0:c>
      <ns0:c r="R256" s="20" t="n">
        <ns0:v>656488.9828079157</ns0:v>
      </ns0:c>
      <ns0:c r="S256" s="20" t="n">
        <ns0:v>2334655.456821104</ns0:v>
      </ns0:c>
    </ns0:row>
    <ns0:row r="257" ht="32" customHeight="1">
      <ns0:c r="A257" s="20" t="inlineStr">
        <ns0:is>
          <ns0:t>service20</ns0:t>
        </ns0:is>
      </ns0:c>
      <ns0:c r="B257" s="22" t="n">
        <ns0:v>0.3</ns0:v>
      </ns0:c>
      <ns0:c r="C257" s="20" t="n">
        <ns0:v>0</ns0:v>
      </ns0:c>
      <ns0:c r="D257" s="20" t="inlineStr">
        <ns0:is>
          <ns0:t>add</ns0:t>
        </ns0:is>
      </ns0:c>
      <ns0:c r="E257" s="20" t="inlineStr">
        <ns0:is>
          <ns0:t>混在・パック50%</ns0:t>
        </ns0:is>
      </ns0:c>
      <ns0:c r="F257" s="22" t="n">
        <ns0:v>0.4</ns0:v>
      </ns0:c>
      <ns0:c r="G257" s="20" t="n">
        <ns0:v>18</ns0:v>
      </ns0:c>
      <ns0:c r="H257" s="20" t="n">
        <ns0:v>18</ns0:v>
      </ns0:c>
      <ns0:c r="I257" s="20" t="n">
        <ns0:v>48</ns0:v>
      </ns0:c>
      <ns0:c r="J257" s="20" t="n">
        <ns0:v>6576.427989909642</ns0:v>
      </ns0:c>
      <ns0:c r="K257" s="20" t="n">
        <ns0:v>1402.16900945269</ns0:v>
      </ns0:c>
      <ns0:c r="L257" s="20" t="n">
        <ns0:v>224027.6650158283</ns0:v>
      </ns0:c>
      <ns0:c r="M257" s="20" t="n">
        <ns0:v>28963.91658556874</ns0:v>
      </ns0:c>
      <ns0:c r="N257" s="20" t="n">
        <ns0:v>-15910.68300353731</ns0:v>
      </ns0:c>
      <ns0:c r="O257" s="20" t="n">
        <ns0:v>38789.82024200363</ns0:v>
      </ns0:c>
      <ns0:c r="P257" s="20" t="n">
        <ns0:v>99990.32348754462</ns0:v>
      </ns0:c>
      <ns0:c r="Q257" s="20" t="n">
        <ns0:v>252991.581601397</ns0:v>
      </ns0:c>
      <ns0:c r="R257" s="20" t="n">
        <ns0:v>838996.6140568067</ns0:v>
      </ns0:c>
      <ns0:c r="S257" s="20" t="n">
        <ns0:v>2943014.22765074</ns0:v>
      </ns0:c>
    </ns0:row>
    <ns0:row r="258" ht="32" customHeight="1">
      <ns0:c r="A258" s="20" t="inlineStr">
        <ns0:is>
          <ns0:t>service20</ns0:t>
        </ns0:is>
      </ns0:c>
      <ns0:c r="B258" s="22" t="n">
        <ns0:v>0.3</ns0:v>
      </ns0:c>
      <ns0:c r="C258" s="20" t="n">
        <ns0:v>0</ns0:v>
      </ns0:c>
      <ns0:c r="D258" s="20" t="inlineStr">
        <ns0:is>
          <ns0:t>add</ns0:t>
        </ns0:is>
      </ns0:c>
      <ns0:c r="E258" s="20" t="inlineStr">
        <ns0:is>
          <ns0:t>混在・パック50%</ns0:t>
        </ns0:is>
      </ns0:c>
      <ns0:c r="F258" s="22" t="n">
        <ns0:v>0.5</ns0:v>
      </ns0:c>
      <ns0:c r="G258" s="20" t="n">
        <ns0:v>20</ns0:v>
      </ns0:c>
      <ns0:c r="H258" s="20" t="n">
        <ns0:v>20</ns0:v>
      </ns0:c>
      <ns0:c r="I258" s="20" t="n">
        <ns0:v>57</ns0:v>
      </ns0:c>
      <ns0:c r="J258" s="20" t="n">
        <ns0:v>6576.427989909642</ns0:v>
      </ns0:c>
      <ns0:c r="K258" s="20" t="n">
        <ns0:v>1752.711261815863</ns0:v>
      </ns0:c>
      <ns0:c r="L258" s="20" t="n">
        <ns0:v>197194.2122153392</ns0:v>
      </ns0:c>
      <ns0:c r="M258" s="20" t="n">
        <ns0:v>20743.14414974064</ns0:v>
      </ns0:c>
      <ns0:c r="N258" s="20" t="n">
        <ns0:v>-19416.10552716903</ns0:v>
      </ns0:c>
      <ns0:c r="O258" s="20" t="n">
        <ns0:v>28273.55267110845</ns0:v>
      </ns0:c>
      <ns0:c r="P258" s="20" t="n">
        <ns0:v>82463.21086938601</ns0:v>
      </ns0:c>
      <ns0:c r="Q258" s="20" t="n">
        <ns0:v>217937.3563650798</ns0:v>
      </ns0:c>
      <ns0:c r="R258" s="20" t="n">
        <ns0:v>733833.9383478549</ns0:v>
      </ns0:c>
      <ns0:c r="S258" s="20" t="n">
        <ns0:v>2592471.975287568</ns0:v>
      </ns0:c>
    </ns0:row>
    <ns0:row r="259" ht="32" customHeight="1">
      <ns0:c r="A259" s="20" t="inlineStr">
        <ns0:is>
          <ns0:t>service20</ns0:t>
        </ns0:is>
      </ns0:c>
      <ns0:c r="B259" s="22" t="n">
        <ns0:v>0.3</ns0:v>
      </ns0:c>
      <ns0:c r="C259" s="20" t="n">
        <ns0:v>0</ns0:v>
      </ns0:c>
      <ns0:c r="D259" s="20" t="inlineStr">
        <ns0:is>
          <ns0:t>add</ns0:t>
        </ns0:is>
      </ns0:c>
      <ns0:c r="E259" s="20" t="inlineStr">
        <ns0:is>
          <ns0:t>混在・パック70%</ns0:t>
        </ns0:is>
      </ns0:c>
      <ns0:c r="F259" s="22" t="n">
        <ns0:v>0.4</ns0:v>
      </ns0:c>
      <ns0:c r="G259" s="20" t="n">
        <ns0:v>16</ns0:v>
      </ns0:c>
      <ns0:c r="H259" s="20" t="n">
        <ns0:v>16</ns0:v>
      </ns0:c>
      <ns0:c r="I259" s="20" t="n">
        <ns0:v>43</ns0:v>
      </ns0:c>
      <ns0:c r="J259" s="20" t="n">
        <ns0:v>7253.208749253048</ns0:v>
      </ns0:c>
      <ns0:c r="K259" s="20" t="n">
        <ns0:v>1517.001964330832</ns0:v>
      </ns0:c>
      <ns0:c r="L259" s="20" t="n">
        <ns0:v>245228.7543262298</ns0:v>
      </ns0:c>
      <ns0:c r="M259" s="20" t="n">
        <ns0:v>36415.3029937671</ns0:v>
      </ns0:c>
      <ns0:c r="N259" s="20" t="n">
        <ns0:v>-13045.43543167733</ns0:v>
      </ns0:c>
      <ns0:c r="O259" s="20" t="n">
        <ns0:v>47385.56295758363</ns0:v>
      </ns0:c>
      <ns0:c r="P259" s="20" t="n">
        <ns0:v>114316.5613468446</ns0:v>
      </ns0:c>
      <ns0:c r="Q259" s="20" t="n">
        <ns0:v>281644.0573199969</ns0:v>
      </ns0:c>
      <ns0:c r="R259" s="20" t="n">
        <ns0:v>924954.0412126065</ns0:v>
      </ns0:c>
      <ns0:c r="S259" s="20" t="n">
        <ns0:v>3229538.984836739</ns0:v>
      </ns0:c>
    </ns0:row>
    <ns0:row r="260" ht="32" customHeight="1">
      <ns0:c r="A260" s="20" t="inlineStr">
        <ns0:is>
          <ns0:t>service20</ns0:t>
        </ns0:is>
      </ns0:c>
      <ns0:c r="B260" s="22" t="n">
        <ns0:v>0.3</ns0:v>
      </ns0:c>
      <ns0:c r="C260" s="20" t="n">
        <ns0:v>0</ns0:v>
      </ns0:c>
      <ns0:c r="D260" s="20" t="inlineStr">
        <ns0:is>
          <ns0:t>add</ns0:t>
        </ns0:is>
      </ns0:c>
      <ns0:c r="E260" s="20" t="inlineStr">
        <ns0:is>
          <ns0:t>混在・パック70%</ns0:t>
        </ns0:is>
      </ns0:c>
      <ns0:c r="F260" s="22" t="n">
        <ns0:v>0.5</ns0:v>
      </ns0:c>
      <ns0:c r="G260" s="20" t="n">
        <ns0:v>18</ns0:v>
      </ns0:c>
      <ns0:c r="H260" s="20" t="n">
        <ns0:v>18</ns0:v>
      </ns0:c>
      <ns0:c r="I260" s="20" t="n">
        <ns0:v>50</ns0:v>
      </ns0:c>
      <ns0:c r="J260" s="20" t="n">
        <ns0:v>7253.208749253048</ns0:v>
      </ns0:c>
      <ns0:c r="K260" s="20" t="n">
        <ns0:v>1896.25245541354</ns0:v>
      </ns0:c>
      <ns0:c r="L260" s="20" t="n">
        <ns0:v>216554.7536058642</ns0:v>
      </ns0:c>
      <ns0:c r="M260" s="20" t="n">
        <ns0:v>27164.2546058619</ns0:v>
      </ns0:c>
      <ns0:c r="N260" s="20" t="n">
        <ns0:v>-16837.94034250441</ns0:v>
      </ns0:c>
      <ns0:c r="O260" s="20" t="n">
        <ns0:v>36008.0482251024</ns0:v>
      </ns0:c>
      <ns0:c r="P260" s="20" t="n">
        <ns0:v>95354.03679270916</ns0:v>
      </ns0:c>
      <ns0:c r="Q260" s="20" t="n">
        <ns0:v>243719.0082117261</ns0:v>
      </ns0:c>
      <ns0:c r="R260" s="20" t="n">
        <ns0:v>811178.893887794</ns0:v>
      </ns0:c>
      <ns0:c r="S260" s="20" t="n">
        <ns0:v>2850288.493754031</ns0:v>
      </ns0:c>
    </ns0:row>
    <ns0:row r="261" ht="32" customHeight="1">
      <ns0:c r="A261" s="20" t="inlineStr">
        <ns0:is>
          <ns0:t>product20</ns0:t>
        </ns0:is>
      </ns0:c>
      <ns0:c r="B261" s="22" t="n">
        <ns0:v>0</ns0:v>
      </ns0:c>
      <ns0:c r="C261" s="20" t="n">
        <ns0:v>1</ns0:v>
      </ns0:c>
      <ns0:c r="D261" s="20" t="inlineStr">
        <ns0:is>
          <ns0:t>floor</ns0:t>
        </ns0:is>
      </ns0:c>
      <ns0:c r="E261" s="20" t="inlineStr">
        <ns0:is>
          <ns0:t>パック単独</ns0:t>
        </ns0:is>
      </ns0:c>
      <ns0:c r="F261" s="22" t="n">
        <ns0:v>0.4</ns0:v>
      </ns0:c>
      <ns0:c r="G261" s="20" t="n">
        <ns0:v>16</ns0:v>
      </ns0:c>
      <ns0:c r="H261" s="20" t="n">
        <ns0:v>16</ns0:v>
      </ns0:c>
      <ns0:c r="I261" s="20" t="n">
        <ns0:v>34</ns0:v>
      </ns0:c>
      <ns0:c r="J261" s="20" t="n">
        <ns0:v>8288.379888268153</ns0:v>
      </ns0:c>
      <ns0:c r="K261" s="20" t="n">
        <ns0:v>1697.251396648044</ns0:v>
      </ns0:c>
      <ns0:c r="L261" s="20" t="n">
        <ns0:v>224186.933747597</ns0:v>
      </ns0:c>
      <ns0:c r="M261" s="20" t="n">
        <ns0:v>68289.80937621513</ns0:v>
      </ns0:c>
      <ns0:c r="N261" s="20" t="n">
        <ns0:v>-13626.69199096061</ns0:v>
      </ns0:c>
      <ns0:c r="O261" s="20" t="n">
        <ns0:v>49585.36869872818</ns0:v>
      </ns0:c>
      <ns0:c r="P261" s="20" t="n">
        <ns0:v>118982.9042487522</ns0:v>
      </ns0:c>
      <ns0:c r="Q261" s="20" t="n">
        <ns0:v>292476.7431238121</ns0:v>
      </ns0:c>
      <ns0:c r="R261" s="20" t="n">
        <ns0:v>944452.098624052</ns0:v>
      </ns0:c>
      <ns0:c r="S261" s="20" t="n">
        <ns0:v>3303365.842874892</ns0:v>
      </ns0:c>
    </ns0:row>
    <ns0:row r="262" ht="32" customHeight="1">
      <ns0:c r="A262" s="20" t="inlineStr">
        <ns0:is>
          <ns0:t>product20</ns0:t>
        </ns0:is>
      </ns0:c>
      <ns0:c r="B262" s="22" t="n">
        <ns0:v>0</ns0:v>
      </ns0:c>
      <ns0:c r="C262" s="20" t="n">
        <ns0:v>1</ns0:v>
      </ns0:c>
      <ns0:c r="D262" s="20" t="inlineStr">
        <ns0:is>
          <ns0:t>floor</ns0:t>
        </ns0:is>
      </ns0:c>
      <ns0:c r="E262" s="20" t="inlineStr">
        <ns0:is>
          <ns0:t>パック単独</ns0:t>
        </ns0:is>
      </ns0:c>
      <ns0:c r="F262" s="22" t="n">
        <ns0:v>0.5</ns0:v>
      </ns0:c>
      <ns0:c r="G262" s="20" t="n">
        <ns0:v>18</ns0:v>
      </ns0:c>
      <ns0:c r="H262" s="20" t="n">
        <ns0:v>18</ns0:v>
      </ns0:c>
      <ns0:c r="I262" s="20" t="n">
        <ns0:v>38</ns0:v>
      </ns0:c>
      <ns0:c r="J262" s="20" t="n">
        <ns0:v>8288.379888268153</ns0:v>
      </ns0:c>
      <ns0:c r="K262" s="20" t="n">
        <ns0:v>2121.564245810055</ns0:v>
      </ns0:c>
      <ns0:c r="L262" s="20" t="n">
        <ns0:v>192602.6846943925</ns0:v>
      </ns0:c>
      <ns0:c r="M262" s="20" t="n">
        <ns0:v>57442.7735132186</ns0:v>
      </ns0:c>
      <ns0:c r="N262" s="20" t="n">
        <ns0:v>-17869.82048258071</ns0:v>
      </ns0:c>
      <ns0:c r="O262" s="20" t="n">
        <ns0:v>36855.98322386786</ns0:v>
      </ns0:c>
      <ns0:c r="P262" s="20" t="n">
        <ns0:v>97767.26179065162</ns0:v>
      </ns0:c>
      <ns0:c r="Q262" s="20" t="n">
        <ns0:v>250045.4582076111</ns0:v>
      </ns0:c>
      <ns0:c r="R262" s="20" t="n">
        <ns0:v>817158.2438754484</ns0:v>
      </ns0:c>
      <ns0:c r="S262" s="20" t="n">
        <ns0:v>2879052.99371288</ns0:v>
      </ns0:c>
    </ns0:row>
    <ns0:row r="263" ht="32" customHeight="1">
      <ns0:c r="A263" s="20" t="inlineStr">
        <ns0:is>
          <ns0:t>product20</ns0:t>
        </ns0:is>
      </ns0:c>
      <ns0:c r="B263" s="22" t="n">
        <ns0:v>0</ns0:v>
      </ns0:c>
      <ns0:c r="C263" s="20" t="n">
        <ns0:v>1</ns0:v>
      </ns0:c>
      <ns0:c r="D263" s="20" t="inlineStr">
        <ns0:is>
          <ns0:t>floor</ns0:t>
        </ns0:is>
      </ns0:c>
      <ns0:c r="E263" s="20" t="inlineStr">
        <ns0:is>
          <ns0:t>混在・パック30%</ns0:t>
        </ns0:is>
      </ns0:c>
      <ns0:c r="F263" s="22" t="n">
        <ns0:v>0.4</ns0:v>
      </ns0:c>
      <ns0:c r="G263" s="20" t="n">
        <ns0:v>23</ns0:v>
      </ns0:c>
      <ns0:c r="H263" s="20" t="n">
        <ns0:v>23</ns0:v>
      </ns0:c>
      <ns0:c r="I263" s="20" t="n">
        <ns0:v>55</ns0:v>
      </ns0:c>
      <ns0:c r="J263" s="20" t="n">
        <ns0:v>5905.647230566238</ns0:v>
      </ns0:c>
      <ns0:c r="K263" s="20" t="n">
        <ns0:v>1289.736054574549</ns0:v>
      </ns0:c>
      <ns0:c r="L263" s="20" t="n">
        <ns0:v>167449.0514464392</ns0:v>
      </ns0:c>
      <ns0:c r="M263" s="20" t="n">
        <ns0:v>28590.93521009723</ns0:v>
      </ns0:c>
      <ns0:c r="N263" s="20" t="n">
        <ns0:v>-27526.01009578874</ns0:v>
      </ns0:c>
      <ns0:c r="O263" s="20" t="n">
        <ns0:v>20654.34175854549</ns0:v>
      </ns0:c>
      <ns0:c r="P263" s="20" t="n">
        <ns0:v>70764.52601511433</ns0:v>
      </ns0:c>
      <ns0:c r="Q263" s="20" t="n">
        <ns0:v>196039.9866565365</ns0:v>
      </ns0:c>
      <ns0:c r="R263" s="20" t="n">
        <ns0:v>655141.829222225</ns0:v>
      </ns0:c>
      <ns0:c r="S263" s="20" t="n">
        <ns0:v>2338998.278202136</ns0:v>
      </ns0:c>
    </ns0:row>
    <ns0:row r="264" ht="32" customHeight="1">
      <ns0:c r="A264" s="20" t="inlineStr">
        <ns0:is>
          <ns0:t>product20</ns0:t>
        </ns0:is>
      </ns0:c>
      <ns0:c r="B264" s="22" t="n">
        <ns0:v>0</ns0:v>
      </ns0:c>
      <ns0:c r="C264" s="20" t="n">
        <ns0:v>1</ns0:v>
      </ns0:c>
      <ns0:c r="D264" s="20" t="inlineStr">
        <ns0:is>
          <ns0:t>floor</ns0:t>
        </ns0:is>
      </ns0:c>
      <ns0:c r="E264" s="20" t="inlineStr">
        <ns0:is>
          <ns0:t>混在・パック30%</ns0:t>
        </ns0:is>
      </ns0:c>
      <ns0:c r="F264" s="22" t="n">
        <ns0:v>0.5</ns0:v>
      </ns0:c>
      <ns0:c r="G264" s="20" t="n">
        <ns0:v>25</ns0:v>
      </ns0:c>
      <ns0:c r="H264" s="20" t="n">
        <ns0:v>25</ns0:v>
      </ns0:c>
      <ns0:c r="I264" s="20" t="n">
        <ns0:v>62</ns0:v>
      </ns0:c>
      <ns0:c r="J264" s="20" t="n">
        <ns0:v>5905.647230566238</ns0:v>
      </ns0:c>
      <ns0:c r="K264" s="20" t="n">
        <ns0:v>1612.170068218186</ns0:v>
      </ns0:c>
      <ns0:c r="L264" s="20" t="n">
        <ns0:v>142411.3186299192</ns0:v>
      </ns0:c>
      <ns0:c r="M264" s="20" t="n">
        <ns0:v>21385.26666225356</ns0:v>
      </ns0:c>
      <ns0:c r="N264" s="20" t="n">
        <ns0:v>-30750.35023222511</ns0:v>
      </ns0:c>
      <ns0:c r="O264" s="20" t="n">
        <ns0:v>10981.32134923636</ns0:v>
      </ns0:c>
      <ns0:c r="P264" s="20" t="n">
        <ns0:v>54642.82533293248</ns0:v>
      </ns0:c>
      <ns0:c r="Q264" s="20" t="n">
        <ns0:v>163796.5852921728</ns0:v>
      </ns0:c>
      <ns0:c r="R264" s="20" t="n">
        <ns0:v>558411.6251291339</ns0:v>
      </ns0:c>
      <ns0:c r="S264" s="20" t="n">
        <ns0:v>2016564.264558499</ns0:v>
      </ns0:c>
    </ns0:row>
    <ns0:row r="265" ht="32" customHeight="1">
      <ns0:c r="A265" s="20" t="inlineStr">
        <ns0:is>
          <ns0:t>product20</ns0:t>
        </ns0:is>
      </ns0:c>
      <ns0:c r="B265" s="22" t="n">
        <ns0:v>0</ns0:v>
      </ns0:c>
      <ns0:c r="C265" s="20" t="n">
        <ns0:v>1</ns0:v>
      </ns0:c>
      <ns0:c r="D265" s="20" t="inlineStr">
        <ns0:is>
          <ns0:t>floor</ns0:t>
        </ns0:is>
      </ns0:c>
      <ns0:c r="E265" s="20" t="inlineStr">
        <ns0:is>
          <ns0:t>混在・パック50%</ns0:t>
        </ns0:is>
      </ns0:c>
      <ns0:c r="F265" s="22" t="n">
        <ns0:v>0.4</ns0:v>
      </ns0:c>
      <ns0:c r="G265" s="20" t="n">
        <ns0:v>20</ns0:v>
      </ns0:c>
      <ns0:c r="H265" s="20" t="n">
        <ns0:v>20</ns0:v>
      </ns0:c>
      <ns0:c r="I265" s="20" t="n">
        <ns0:v>47</ns0:v>
      </ns0:c>
      <ns0:c r="J265" s="20" t="n">
        <ns0:v>6586.427989909643</ns0:v>
      </ns0:c>
      <ns0:c r="K265" s="20" t="n">
        <ns0:v>1406.16900945269</ns0:v>
      </ns0:c>
      <ns0:c r="L265" s="20" t="n">
        <ns0:v>183659.8749610558</ns0:v>
      </ns0:c>
      <ns0:c r="M265" s="20" t="n">
        <ns0:v>39933.47068613093</ns0:v>
      </ns0:c>
      <ns0:c r="N265" s="20" t="n">
        <ns0:v>-23554.77635155211</ns0:v>
      </ns0:c>
      <ns0:c r="O265" s="20" t="n">
        <ns0:v>28920.34945574055</ns0:v>
      </ns0:c>
      <ns0:c r="P265" s="20" t="n">
        <ns0:v>84541.2055104395</ns0:v>
      </ns0:c>
      <ns0:c r="Q265" s="20" t="n">
        <ns0:v>223593.3456471868</ns0:v>
      </ns0:c>
      <ns0:c r="R265" s="20" t="n">
        <ns0:v>737801.9061941756</ns0:v>
      </ns0:c>
      <ns0:c r="S265" s="20" t="n">
        <ns0:v>2614531.868108637</ns0:v>
      </ns0:c>
    </ns0:row>
    <ns0:row r="266" ht="32" customHeight="1">
      <ns0:c r="A266" s="20" t="inlineStr">
        <ns0:is>
          <ns0:t>product20</ns0:t>
        </ns0:is>
      </ns0:c>
      <ns0:c r="B266" s="22" t="n">
        <ns0:v>0</ns0:v>
      </ns0:c>
      <ns0:c r="C266" s="20" t="n">
        <ns0:v>1</ns0:v>
      </ns0:c>
      <ns0:c r="D266" s="20" t="inlineStr">
        <ns0:is>
          <ns0:t>floor</ns0:t>
        </ns0:is>
      </ns0:c>
      <ns0:c r="E266" s="20" t="inlineStr">
        <ns0:is>
          <ns0:t>混在・パック50%</ns0:t>
        </ns0:is>
      </ns0:c>
      <ns0:c r="F266" s="22" t="n">
        <ns0:v>0.5</ns0:v>
      </ns0:c>
      <ns0:c r="G266" s="20" t="n">
        <ns0:v>23</ns0:v>
      </ns0:c>
      <ns0:c r="H266" s="20" t="n">
        <ns0:v>23</ns0:v>
      </ns0:c>
      <ns0:c r="I266" s="20" t="n">
        <ns0:v>53</ns0:v>
      </ns0:c>
      <ns0:c r="J266" s="20" t="n">
        <ns0:v>6586.427989909643</ns0:v>
      </ns0:c>
      <ns0:c r="K266" s="20" t="n">
        <ns0:v>1757.711261815863</ns0:v>
      </ns0:c>
      <ns0:c r="L266" s="20" t="n">
        <ns0:v>156751.7089340545</ns0:v>
      </ns0:c>
      <ns0:c r="M266" s="20" t="n">
        <ns0:v>31687.41147681501</ns0:v>
      </ns0:c>
      <ns0:c r="N266" s="20" t="n">
        <ns0:v>-27070.19887518384</ns0:v>
      </ns0:c>
      <ns0:c r="O266" s="20" t="n">
        <ns0:v>18374.08188484539</ns0:v>
      </ns0:c>
      <ns0:c r="P266" s="20" t="n">
        <ns0:v>66964.09289228087</ns0:v>
      </ns0:c>
      <ns0:c r="Q266" s="20" t="n">
        <ns0:v>188439.1204108695</ns0:v>
      </ns0:c>
      <ns0:c r="R266" s="20" t="n">
        <ns0:v>632339.230485224</ns0:v>
      </ns0:c>
      <ns0:c r="S266" s="20" t="n">
        <ns0:v>2262989.615745464</ns0:v>
      </ns0:c>
    </ns0:row>
    <ns0:row r="267" ht="32" customHeight="1">
      <ns0:c r="A267" s="20" t="inlineStr">
        <ns0:is>
          <ns0:t>product20</ns0:t>
        </ns0:is>
      </ns0:c>
      <ns0:c r="B267" s="22" t="n">
        <ns0:v>0</ns0:v>
      </ns0:c>
      <ns0:c r="C267" s="20" t="n">
        <ns0:v>1</ns0:v>
      </ns0:c>
      <ns0:c r="D267" s="20" t="inlineStr">
        <ns0:is>
          <ns0:t>floor</ns0:t>
        </ns0:is>
      </ns0:c>
      <ns0:c r="E267" s="20" t="inlineStr">
        <ns0:is>
          <ns0:t>混在・パック70%</ns0:t>
        </ns0:is>
      </ns0:c>
      <ns0:c r="F267" s="22" t="n">
        <ns0:v>0.4</ns0:v>
      </ns0:c>
      <ns0:c r="G267" s="20" t="n">
        <ns0:v>18</ns0:v>
      </ns0:c>
      <ns0:c r="H267" s="20" t="n">
        <ns0:v>18</ns0:v>
      </ns0:c>
      <ns0:c r="I267" s="20" t="n">
        <ns0:v>41</ns0:v>
      </ns0:c>
      <ns0:c r="J267" s="20" t="n">
        <ns0:v>7267.208749253046</ns0:v>
      </ns0:c>
      <ns0:c r="K267" s="20" t="n">
        <ns0:v>1522.601964330832</ns0:v>
      </ns0:c>
      <ns0:c r="L267" s="20" t="n">
        <ns0:v>199870.6984756722</ns0:v>
      </ns0:c>
      <ns0:c r="M267" s="20" t="n">
        <ns0:v>51276.00616216461</ns0:v>
      </ns0:c>
      <ns0:c r="N267" s="20" t="n">
        <ns0:v>-19583.54260731552</ns0:v>
      </ns0:c>
      <ns0:c r="O267" s="20" t="n">
        <ns0:v>37186.3571529356</ns0:v>
      </ns0:c>
      <ns0:c r="P267" s="20" t="n">
        <ns0:v>98317.88500576449</ns0:v>
      </ns0:c>
      <ns0:c r="Q267" s="20" t="n">
        <ns0:v>251146.7046378368</ns0:v>
      </ns0:c>
      <ns0:c r="R267" s="20" t="n">
        <ns0:v>820461.9831661263</ns0:v>
      </ns0:c>
      <ns0:c r="S267" s="20" t="n">
        <ns0:v>2890065.458015138</ns0:v>
      </ns0:c>
    </ns0:row>
    <ns0:row r="268" ht="32" customHeight="1">
      <ns0:c r="A268" s="20" t="inlineStr">
        <ns0:is>
          <ns0:t>product20</ns0:t>
        </ns0:is>
      </ns0:c>
      <ns0:c r="B268" s="22" t="n">
        <ns0:v>0</ns0:v>
      </ns0:c>
      <ns0:c r="C268" s="20" t="n">
        <ns0:v>1</ns0:v>
      </ns0:c>
      <ns0:c r="D268" s="20" t="inlineStr">
        <ns0:is>
          <ns0:t>floor</ns0:t>
        </ns0:is>
      </ns0:c>
      <ns0:c r="E268" s="20" t="inlineStr">
        <ns0:is>
          <ns0:t>混在・パック70%</ns0:t>
        </ns0:is>
      </ns0:c>
      <ns0:c r="F268" s="22" t="n">
        <ns0:v>0.5</ns0:v>
      </ns0:c>
      <ns0:c r="G268" s="20" t="n">
        <ns0:v>21</ns0:v>
      </ns0:c>
      <ns0:c r="H268" s="20" t="n">
        <ns0:v>21</ns0:v>
      </ns0:c>
      <ns0:c r="I268" s="20" t="n">
        <ns0:v>46</ns0:v>
      </ns0:c>
      <ns0:c r="J268" s="20" t="n">
        <ns0:v>7267.208749253046</ns0:v>
      </ns0:c>
      <ns0:c r="K268" s="20" t="n">
        <ns0:v>1903.25245541354</ns0:v>
      </ns0:c>
      <ns0:c r="L268" s="20" t="n">
        <ns0:v>171092.0992381895</ns0:v>
      </ns0:c>
      <ns0:c r="M268" s="20" t="n">
        <ns0:v>41989.55629137644</ns0:v>
      </ns0:c>
      <ns0:c r="N268" s="20" t="n">
        <ns0:v>-23390.04751814259</ns0:v>
      </ns0:c>
      <ns0:c r="O268" s="20" t="n">
        <ns0:v>25766.84242045436</ns0:v>
      </ns0:c>
      <ns0:c r="P268" s="20" t="n">
        <ns0:v>79285.36045162908</ns0:v>
      </ns0:c>
      <ns0:c r="Q268" s="20" t="n">
        <ns0:v>213081.655529566</ns0:v>
      </ns0:c>
      <ns0:c r="R268" s="20" t="n">
        <ns0:v>706266.8358413139</ns0:v>
      </ns0:c>
      <ns0:c r="S268" s="20" t="n">
        <ns0:v>2509414.96693243</ns0:v>
      </ns0:c>
    </ns0:row>
    <ns0:row r="269" ht="32" customHeight="1">
      <ns0:c r="A269" s="20" t="inlineStr">
        <ns0:is>
          <ns0:t>product20</ns0:t>
        </ns0:is>
      </ns0:c>
      <ns0:c r="B269" s="22" t="n">
        <ns0:v>0</ns0:v>
      </ns0:c>
      <ns0:c r="C269" s="20" t="n">
        <ns0:v>1</ns0:v>
      </ns0:c>
      <ns0:c r="D269" s="20" t="inlineStr">
        <ns0:is>
          <ns0:t>add</ns0:t>
        </ns0:is>
      </ns0:c>
      <ns0:c r="E269" s="20" t="inlineStr">
        <ns0:is>
          <ns0:t>パック単独</ns0:t>
        </ns0:is>
      </ns0:c>
      <ns0:c r="F269" s="22" t="n">
        <ns0:v>0.4</ns0:v>
      </ns0:c>
      <ns0:c r="G269" s="20" t="n">
        <ns0:v>23</ns0:v>
      </ns0:c>
      <ns0:c r="H269" s="20" t="n">
        <ns0:v>23</ns0:v>
      </ns0:c>
      <ns0:c r="I269" s="20" t="n">
        <ns0:v>34</ns0:v>
      </ns0:c>
      <ns0:c r="J269" s="20" t="n">
        <ns0:v>8288.379888268153</ns0:v>
      </ns0:c>
      <ns0:c r="K269" s="20" t="n">
        <ns0:v>1697.251396648044</ns0:v>
      </ns0:c>
      <ns0:c r="L269" s="20" t="n">
        <ns0:v>201686.933747597</ns0:v>
      </ns0:c>
      <ns0:c r="M269" s="20" t="n">
        <ns0:v>68289.80937621513</ns0:v>
      </ns0:c>
      <ns0:c r="N269" s="20" t="n">
        <ns0:v>-27812.1668512958</ns0:v>
      </ns0:c>
      <ns0:c r="O269" s="20" t="n">
        <ns0:v>27085.36869872819</ns0:v>
      </ns0:c>
      <ns0:c r="P269" s="20" t="n">
        <ns0:v>96482.90424875219</ns0:v>
      </ns0:c>
      <ns0:c r="Q269" s="20" t="n">
        <ns0:v>269976.7431238121</ns0:v>
      </ns0:c>
      <ns0:c r="R269" s="20" t="n">
        <ns0:v>921952.098624052</ns0:v>
      </ns0:c>
      <ns0:c r="S269" s="20" t="n">
        <ns0:v>3280865.842874892</ns0:v>
      </ns0:c>
    </ns0:row>
    <ns0:row r="270" ht="32" customHeight="1">
      <ns0:c r="A270" s="20" t="inlineStr">
        <ns0:is>
          <ns0:t>product20</ns0:t>
        </ns0:is>
      </ns0:c>
      <ns0:c r="B270" s="22" t="n">
        <ns0:v>0</ns0:v>
      </ns0:c>
      <ns0:c r="C270" s="20" t="n">
        <ns0:v>1</ns0:v>
      </ns0:c>
      <ns0:c r="D270" s="20" t="inlineStr">
        <ns0:is>
          <ns0:t>add</ns0:t>
        </ns0:is>
      </ns0:c>
      <ns0:c r="E270" s="20" t="inlineStr">
        <ns0:is>
          <ns0:t>パック単独</ns0:t>
        </ns0:is>
      </ns0:c>
      <ns0:c r="F270" s="22" t="n">
        <ns0:v>0.5</ns0:v>
      </ns0:c>
      <ns0:c r="G270" s="20" t="n">
        <ns0:v>26</ns0:v>
      </ns0:c>
      <ns0:c r="H270" s="20" t="n">
        <ns0:v>26</ns0:v>
      </ns0:c>
      <ns0:c r="I270" s="20" t="n">
        <ns0:v>38</ns0:v>
      </ns0:c>
      <ns0:c r="J270" s="20" t="n">
        <ns0:v>8288.379888268153</ns0:v>
      </ns0:c>
      <ns0:c r="K270" s="20" t="n">
        <ns0:v>2121.564245810055</ns0:v>
      </ns0:c>
      <ns0:c r="L270" s="20" t="n">
        <ns0:v>170102.6846943925</ns0:v>
      </ns0:c>
      <ns0:c r="M270" s="20" t="n">
        <ns0:v>57442.7735132186</ns0:v>
      </ns0:c>
      <ns0:c r="N270" s="20" t="n">
        <ns0:v>-32055.2953429159</ns0:v>
      </ns0:c>
      <ns0:c r="O270" s="20" t="n">
        <ns0:v>14355.98322386787</ns0:v>
      </ns0:c>
      <ns0:c r="P270" s="20" t="n">
        <ns0:v>75267.26179065165</ns0:v>
      </ns0:c>
      <ns0:c r="Q270" s="20" t="n">
        <ns0:v>227545.4582076111</ns0:v>
      </ns0:c>
      <ns0:c r="R270" s="20" t="n">
        <ns0:v>794658.2438754484</ns0:v>
      </ns0:c>
      <ns0:c r="S270" s="20" t="n">
        <ns0:v>2856552.99371288</ns0:v>
      </ns0:c>
    </ns0:row>
    <ns0:row r="271" ht="32" customHeight="1">
      <ns0:c r="A271" s="20" t="inlineStr">
        <ns0:is>
          <ns0:t>product20</ns0:t>
        </ns0:is>
      </ns0:c>
      <ns0:c r="B271" s="22" t="n">
        <ns0:v>0</ns0:v>
      </ns0:c>
      <ns0:c r="C271" s="20" t="n">
        <ns0:v>1</ns0:v>
      </ns0:c>
      <ns0:c r="D271" s="20" t="inlineStr">
        <ns0:is>
          <ns0:t>add</ns0:t>
        </ns0:is>
      </ns0:c>
      <ns0:c r="E271" s="20" t="inlineStr">
        <ns0:is>
          <ns0:t>混在・パック30%</ns0:t>
        </ns0:is>
      </ns0:c>
      <ns0:c r="F271" s="22" t="n">
        <ns0:v>0.4</ns0:v>
      </ns0:c>
      <ns0:c r="G271" s="20" t="n">
        <ns0:v>31</ns0:v>
      </ns0:c>
      <ns0:c r="H271" s="20" t="n">
        <ns0:v>31</ns0:v>
      </ns0:c>
      <ns0:c r="I271" s="20" t="n">
        <ns0:v>55</ns0:v>
      </ns0:c>
      <ns0:c r="J271" s="20" t="n">
        <ns0:v>5905.647230566238</ns0:v>
      </ns0:c>
      <ns0:c r="K271" s="20" t="n">
        <ns0:v>1289.736054574549</ns0:v>
      </ns0:c>
      <ns0:c r="L271" s="20" t="n">
        <ns0:v>144949.0514464392</ns0:v>
      </ns0:c>
      <ns0:c r="M271" s="20" t="n">
        <ns0:v>28590.93521009723</ns0:v>
      </ns0:c>
      <ns0:c r="N271" s="20" t="n">
        <ns0:v>-37455.84249802338</ns0:v>
      </ns0:c>
      <ns0:c r="O271" s="20" t="n">
        <ns0:v>-1845.658241454512</ns0:v>
      </ns0:c>
      <ns0:c r="P271" s="20" t="n">
        <ns0:v>48264.52601511432</ns0:v>
      </ns0:c>
      <ns0:c r="Q271" s="20" t="n">
        <ns0:v>173539.9866565365</ns0:v>
      </ns0:c>
      <ns0:c r="R271" s="20" t="n">
        <ns0:v>632641.829222225</ns0:v>
      </ns0:c>
      <ns0:c r="S271" s="20" t="n">
        <ns0:v>2316498.278202136</ns0:v>
      </ns0:c>
    </ns0:row>
    <ns0:row r="272" ht="32" customHeight="1">
      <ns0:c r="A272" s="20" t="inlineStr">
        <ns0:is>
          <ns0:t>product20</ns0:t>
        </ns0:is>
      </ns0:c>
      <ns0:c r="B272" s="22" t="n">
        <ns0:v>0</ns0:v>
      </ns0:c>
      <ns0:c r="C272" s="20" t="n">
        <ns0:v>1</ns0:v>
      </ns0:c>
      <ns0:c r="D272" s="20" t="inlineStr">
        <ns0:is>
          <ns0:t>add</ns0:t>
        </ns0:is>
      </ns0:c>
      <ns0:c r="E272" s="20" t="inlineStr">
        <ns0:is>
          <ns0:t>混在・パック30%</ns0:t>
        </ns0:is>
      </ns0:c>
      <ns0:c r="F272" s="22" t="n">
        <ns0:v>0.5</ns0:v>
      </ns0:c>
      <ns0:c r="G272" s="20" t="n">
        <ns0:v>36</ns0:v>
      </ns0:c>
      <ns0:c r="H272" s="20" t="n">
        <ns0:v>36</ns0:v>
      </ns0:c>
      <ns0:c r="I272" s="20" t="n">
        <ns0:v>62</ns0:v>
      </ns0:c>
      <ns0:c r="J272" s="20" t="n">
        <ns0:v>5905.647230566238</ns0:v>
      </ns0:c>
      <ns0:c r="K272" s="20" t="n">
        <ns0:v>1612.170068218186</ns0:v>
      </ns0:c>
      <ns0:c r="L272" s="20" t="n">
        <ns0:v>119911.3186299192</ns0:v>
      </ns0:c>
      <ns0:c r="M272" s="20" t="n">
        <ns0:v>21385.26666225356</ns0:v>
      </ns0:c>
      <ns0:c r="N272" s="20" t="n">
        <ns0:v>-40680.18263445974</ns0:v>
      </ns0:c>
      <ns0:c r="O272" s="20" t="n">
        <ns0:v>-11518.67865076364</ns0:v>
      </ns0:c>
      <ns0:c r="P272" s="20" t="n">
        <ns0:v>32142.82533293247</ns0:v>
      </ns0:c>
      <ns0:c r="Q272" s="20" t="n">
        <ns0:v>141296.5852921727</ns0:v>
      </ns0:c>
      <ns0:c r="R272" s="20" t="n">
        <ns0:v>535911.6251291339</ns0:v>
      </ns0:c>
      <ns0:c r="S272" s="20" t="n">
        <ns0:v>1994064.264558499</ns0:v>
      </ns0:c>
    </ns0:row>
    <ns0:row r="273" ht="32" customHeight="1">
      <ns0:c r="A273" s="20" t="inlineStr">
        <ns0:is>
          <ns0:t>product20</ns0:t>
        </ns0:is>
      </ns0:c>
      <ns0:c r="B273" s="22" t="n">
        <ns0:v>0</ns0:v>
      </ns0:c>
      <ns0:c r="C273" s="20" t="n">
        <ns0:v>1</ns0:v>
      </ns0:c>
      <ns0:c r="D273" s="20" t="inlineStr">
        <ns0:is>
          <ns0:t>add</ns0:t>
        </ns0:is>
      </ns0:c>
      <ns0:c r="E273" s="20" t="inlineStr">
        <ns0:is>
          <ns0:t>混在・パック50%</ns0:t>
        </ns0:is>
      </ns0:c>
      <ns0:c r="F273" s="22" t="n">
        <ns0:v>0.4</ns0:v>
      </ns0:c>
      <ns0:c r="G273" s="20" t="n">
        <ns0:v>28</ns0:v>
      </ns0:c>
      <ns0:c r="H273" s="20" t="n">
        <ns0:v>28</ns0:v>
      </ns0:c>
      <ns0:c r="I273" s="20" t="n">
        <ns0:v>47</ns0:v>
      </ns0:c>
      <ns0:c r="J273" s="20" t="n">
        <ns0:v>6586.427989909643</ns0:v>
      </ns0:c>
      <ns0:c r="K273" s="20" t="n">
        <ns0:v>1406.16900945269</ns0:v>
      </ns0:c>
      <ns0:c r="L273" s="20" t="n">
        <ns0:v>161159.8749610558</ns0:v>
      </ns0:c>
      <ns0:c r="M273" s="20" t="n">
        <ns0:v>39933.47068613093</ns0:v>
      </ns0:c>
      <ns0:c r="N273" s="20" t="n">
        <ns0:v>-34700.50659895834</ns0:v>
      </ns0:c>
      <ns0:c r="O273" s="20" t="n">
        <ns0:v>6420.349455740539</ns0:v>
      </ns0:c>
      <ns0:c r="P273" s="20" t="n">
        <ns0:v>62041.20551043949</ns0:v>
      </ns0:c>
      <ns0:c r="Q273" s="20" t="n">
        <ns0:v>201093.3456471868</ns0:v>
      </ns0:c>
      <ns0:c r="R273" s="20" t="n">
        <ns0:v>715301.9061941756</ns0:v>
      </ns0:c>
      <ns0:c r="S273" s="20" t="n">
        <ns0:v>2592031.868108637</ns0:v>
      </ns0:c>
    </ns0:row>
    <ns0:row r="274" ht="32" customHeight="1">
      <ns0:c r="A274" s="20" t="inlineStr">
        <ns0:is>
          <ns0:t>product20</ns0:t>
        </ns0:is>
      </ns0:c>
      <ns0:c r="B274" s="22" t="n">
        <ns0:v>0</ns0:v>
      </ns0:c>
      <ns0:c r="C274" s="20" t="n">
        <ns0:v>1</ns0:v>
      </ns0:c>
      <ns0:c r="D274" s="20" t="inlineStr">
        <ns0:is>
          <ns0:t>add</ns0:t>
        </ns0:is>
      </ns0:c>
      <ns0:c r="E274" s="20" t="inlineStr">
        <ns0:is>
          <ns0:t>混在・パック50%</ns0:t>
        </ns0:is>
      </ns0:c>
      <ns0:c r="F274" s="22" t="n">
        <ns0:v>0.5</ns0:v>
      </ns0:c>
      <ns0:c r="G274" s="20" t="n">
        <ns0:v>32</ns0:v>
      </ns0:c>
      <ns0:c r="H274" s="20" t="n">
        <ns0:v>32</ns0:v>
      </ns0:c>
      <ns0:c r="I274" s="20" t="n">
        <ns0:v>53</ns0:v>
      </ns0:c>
      <ns0:c r="J274" s="20" t="n">
        <ns0:v>6586.427989909643</ns0:v>
      </ns0:c>
      <ns0:c r="K274" s="20" t="n">
        <ns0:v>1757.711261815863</ns0:v>
      </ns0:c>
      <ns0:c r="L274" s="20" t="n">
        <ns0:v>134251.7089340545</ns0:v>
      </ns0:c>
      <ns0:c r="M274" s="20" t="n">
        <ns0:v>31687.41147681501</ns0:v>
      </ns0:c>
      <ns0:c r="N274" s="20" t="n">
        <ns0:v>-38215.92912259007</ns0:v>
      </ns0:c>
      <ns0:c r="O274" s="20" t="n">
        <ns0:v>-4125.918115154618</ns0:v>
      </ns0:c>
      <ns0:c r="P274" s="20" t="n">
        <ns0:v>44464.09289228086</ns0:v>
      </ns0:c>
      <ns0:c r="Q274" s="20" t="n">
        <ns0:v>165939.1204108695</ns0:v>
      </ns0:c>
      <ns0:c r="R274" s="20" t="n">
        <ns0:v>609839.230485224</ns0:v>
      </ns0:c>
      <ns0:c r="S274" s="20" t="n">
        <ns0:v>2240489.615745464</ns0:v>
      </ns0:c>
    </ns0:row>
    <ns0:row r="275" ht="32" customHeight="1">
      <ns0:c r="A275" s="20" t="inlineStr">
        <ns0:is>
          <ns0:t>product20</ns0:t>
        </ns0:is>
      </ns0:c>
      <ns0:c r="B275" s="22" t="n">
        <ns0:v>0</ns0:v>
      </ns0:c>
      <ns0:c r="C275" s="20" t="n">
        <ns0:v>1</ns0:v>
      </ns0:c>
      <ns0:c r="D275" s="20" t="inlineStr">
        <ns0:is>
          <ns0:t>add</ns0:t>
        </ns0:is>
      </ns0:c>
      <ns0:c r="E275" s="20" t="inlineStr">
        <ns0:is>
          <ns0:t>混在・パック70%</ns0:t>
        </ns0:is>
      </ns0:c>
      <ns0:c r="F275" s="22" t="n">
        <ns0:v>0.4</ns0:v>
      </ns0:c>
      <ns0:c r="G275" s="20" t="n">
        <ns0:v>26</ns0:v>
      </ns0:c>
      <ns0:c r="H275" s="20" t="n">
        <ns0:v>26</ns0:v>
      </ns0:c>
      <ns0:c r="I275" s="20" t="n">
        <ns0:v>41</ns0:v>
      </ns0:c>
      <ns0:c r="J275" s="20" t="n">
        <ns0:v>7267.208749253046</ns0:v>
      </ns0:c>
      <ns0:c r="K275" s="20" t="n">
        <ns0:v>1522.601964330832</ns0:v>
      </ns0:c>
      <ns0:c r="L275" s="20" t="n">
        <ns0:v>177370.6984756722</ns0:v>
      </ns0:c>
      <ns0:c r="M275" s="20" t="n">
        <ns0:v>51276.00616216461</ns0:v>
      </ns0:c>
      <ns0:c r="N275" s="20" t="n">
        <ns0:v>-31945.17069989333</ns0:v>
      </ns0:c>
      <ns0:c r="O275" s="20" t="n">
        <ns0:v>14686.35715293559</ns0:v>
      </ns0:c>
      <ns0:c r="P275" s="20" t="n">
        <ns0:v>75817.8850057645</ns0:v>
      </ns0:c>
      <ns0:c r="Q275" s="20" t="n">
        <ns0:v>228646.7046378368</ns0:v>
      </ns0:c>
      <ns0:c r="R275" s="20" t="n">
        <ns0:v>797961.9831661263</ns0:v>
      </ns0:c>
      <ns0:c r="S275" s="20" t="n">
        <ns0:v>2867565.458015138</ns0:v>
      </ns0:c>
    </ns0:row>
    <ns0:row r="276" ht="32" customHeight="1">
      <ns0:c r="A276" s="20" t="inlineStr">
        <ns0:is>
          <ns0:t>product20</ns0:t>
        </ns0:is>
      </ns0:c>
      <ns0:c r="B276" s="22" t="n">
        <ns0:v>0</ns0:v>
      </ns0:c>
      <ns0:c r="C276" s="20" t="n">
        <ns0:v>1</ns0:v>
      </ns0:c>
      <ns0:c r="D276" s="20" t="inlineStr">
        <ns0:is>
          <ns0:t>add</ns0:t>
        </ns0:is>
      </ns0:c>
      <ns0:c r="E276" s="20" t="inlineStr">
        <ns0:is>
          <ns0:t>混在・パック70%</ns0:t>
        </ns0:is>
      </ns0:c>
      <ns0:c r="F276" s="22" t="n">
        <ns0:v>0.5</ns0:v>
      </ns0:c>
      <ns0:c r="G276" s="20" t="n">
        <ns0:v>29</ns0:v>
      </ns0:c>
      <ns0:c r="H276" s="20" t="n">
        <ns0:v>29</ns0:v>
      </ns0:c>
      <ns0:c r="I276" s="20" t="n">
        <ns0:v>46</ns0:v>
      </ns0:c>
      <ns0:c r="J276" s="20" t="n">
        <ns0:v>7267.208749253046</ns0:v>
      </ns0:c>
      <ns0:c r="K276" s="20" t="n">
        <ns0:v>1903.25245541354</ns0:v>
      </ns0:c>
      <ns0:c r="L276" s="20" t="n">
        <ns0:v>148592.0992381895</ns0:v>
      </ns0:c>
      <ns0:c r="M276" s="20" t="n">
        <ns0:v>41989.55629137644</ns0:v>
      </ns0:c>
      <ns0:c r="N276" s="20" t="n">
        <ns0:v>-35751.6756107204</ns0:v>
      </ns0:c>
      <ns0:c r="O276" s="20" t="n">
        <ns0:v>3266.842420454355</ns0:v>
      </ns0:c>
      <ns0:c r="P276" s="20" t="n">
        <ns0:v>56785.36045162909</ns0:v>
      </ns0:c>
      <ns0:c r="Q276" s="20" t="n">
        <ns0:v>190581.655529566</ns0:v>
      </ns0:c>
      <ns0:c r="R276" s="20" t="n">
        <ns0:v>683766.8358413139</ns0:v>
      </ns0:c>
      <ns0:c r="S276" s="20" t="n">
        <ns0:v>2486914.96693243</ns0:v>
      </ns0:c>
    </ns0:row>
    <ns0:row r="277" ht="32" customHeight="1">
      <ns0:c r="A277" s="20" t="inlineStr">
        <ns0:is>
          <ns0:t>product20</ns0:t>
        </ns0:is>
      </ns0:c>
      <ns0:c r="B277" s="22" t="n">
        <ns0:v>0</ns0:v>
      </ns0:c>
      <ns0:c r="C277" s="20" t="n">
        <ns0:v>0</ns0:v>
      </ns0:c>
      <ns0:c r="D277" s="20" t="inlineStr">
        <ns0:is>
          <ns0:t>floor</ns0:t>
        </ns0:is>
      </ns0:c>
      <ns0:c r="E277" s="20" t="inlineStr">
        <ns0:is>
          <ns0:t>パック単独</ns0:t>
        </ns0:is>
      </ns0:c>
      <ns0:c r="F277" s="22" t="n">
        <ns0:v>0.4</ns0:v>
      </ns0:c>
      <ns0:c r="G277" s="20" t="n">
        <ns0:v>8</ns0:v>
      </ns0:c>
      <ns0:c r="H277" s="20" t="n">
        <ns0:v>8</ns0:v>
      </ns0:c>
      <ns0:c r="I277" s="20" t="n">
        <ns0:v>17</ns0:v>
      </ns0:c>
      <ns0:c r="J277" s="20" t="n">
        <ns0:v>8288.379888268153</ns0:v>
      </ns0:c>
      <ns0:c r="K277" s="20" t="n">
        <ns0:v>1697.251396648044</ns0:v>
      </ns0:c>
      <ns0:c r="L277" s="20" t="n">
        <ns0:v>300373.1534868893</ns0:v>
      </ns0:c>
      <ns0:c r="M277" s="20" t="n">
        <ns0:v>133628.7293017272</ns0:v>
      </ns0:c>
      <ns0:c r="N277" s="20" t="n">
        <ns0:v>14125.82197551984</ns0:v>
      </ns0:c>
      <ns0:c r="O277" s="20" t="n">
        <ns0:v>108842.9105981695</ns0:v>
      </ns0:c>
      <ns0:c r="P277" s="20" t="n">
        <ns0:v>201745.4740811544</ns0:v>
      </ns0:c>
      <ns0:c r="Q277" s="20" t="n">
        <ns0:v>434001.8827886166</ns0:v>
      </ns0:c>
      <ns0:c r="R277" s="20" t="n">
        <ns0:v>1337027.517618465</ns0:v>
      </ns0:c>
      <ns0:c r="S277" s="20" t="n">
        <ns0:v>4550617.239522936</ns0:v>
      </ns0:c>
    </ns0:row>
    <ns0:row r="278" ht="32" customHeight="1">
      <ns0:c r="A278" s="20" t="inlineStr">
        <ns0:is>
          <ns0:t>product20</ns0:t>
        </ns0:is>
      </ns0:c>
      <ns0:c r="B278" s="22" t="n">
        <ns0:v>0</ns0:v>
      </ns0:c>
      <ns0:c r="C278" s="20" t="n">
        <ns0:v>0</ns0:v>
      </ns0:c>
      <ns0:c r="D278" s="20" t="inlineStr">
        <ns0:is>
          <ns0:t>floor</ns0:t>
        </ns0:is>
      </ns0:c>
      <ns0:c r="E278" s="20" t="inlineStr">
        <ns0:is>
          <ns0:t>パック単独</ns0:t>
        </ns0:is>
      </ns0:c>
      <ns0:c r="F278" s="22" t="n">
        <ns0:v>0.5</ns0:v>
      </ns0:c>
      <ns0:c r="G278" s="20" t="n">
        <ns0:v>9</ns0:v>
      </ns0:c>
      <ns0:c r="H278" s="20" t="n">
        <ns0:v>9</ns0:v>
      </ns0:c>
      <ns0:c r="I278" s="20" t="n">
        <ns0:v>18</ns0:v>
      </ns0:c>
      <ns0:c r="J278" s="20" t="n">
        <ns0:v>8288.379888268153</ns0:v>
      </ns0:c>
      <ns0:c r="K278" s="20" t="n">
        <ns0:v>2121.564245810055</ns0:v>
      </ns0:c>
      <ns0:c r="L278" s="20" t="n">
        <ns0:v>268788.9044336848</ns0:v>
      </ns0:c>
      <ns0:c r="M278" s="20" t="n">
        <ns0:v>122781.6934387307</ns0:v>
      </ns0:c>
      <ns0:c r="N278" s="20" t="n">
        <ns0:v>9882.693483899733</ns0:v>
      </ns0:c>
      <ns0:c r="O278" s="20" t="n">
        <ns0:v>96113.5251233092</ns0:v>
      </ns0:c>
      <ns0:c r="P278" s="20" t="n">
        <ns0:v>180529.8316230538</ns0:v>
      </ns0:c>
      <ns0:c r="Q278" s="20" t="n">
        <ns0:v>391570.5978724154</ns0:v>
      </ns0:c>
      <ns0:c r="R278" s="20" t="n">
        <ns0:v>1209733.662869862</ns0:v>
      </ns0:c>
      <ns0:c r="S278" s="20" t="n">
        <ns0:v>4126304.390360924</ns0:v>
      </ns0:c>
    </ns0:row>
    <ns0:row r="279" ht="32" customHeight="1">
      <ns0:c r="A279" s="20" t="inlineStr">
        <ns0:is>
          <ns0:t>product20</ns0:t>
        </ns0:is>
      </ns0:c>
      <ns0:c r="B279" s="22" t="n">
        <ns0:v>0</ns0:v>
      </ns0:c>
      <ns0:c r="C279" s="20" t="n">
        <ns0:v>0</ns0:v>
      </ns0:c>
      <ns0:c r="D279" s="20" t="inlineStr">
        <ns0:is>
          <ns0:t>floor</ns0:t>
        </ns0:is>
      </ns0:c>
      <ns0:c r="E279" s="20" t="inlineStr">
        <ns0:is>
          <ns0:t>混在・パック30%</ns0:t>
        </ns0:is>
      </ns0:c>
      <ns0:c r="F279" s="22" t="n">
        <ns0:v>0.4</ns0:v>
      </ns0:c>
      <ns0:c r="G279" s="20" t="n">
        <ns0:v>11</ns0:v>
      </ns0:c>
      <ns0:c r="H279" s="20" t="n">
        <ns0:v>11</ns0:v>
      </ns0:c>
      <ns0:c r="I279" s="20" t="n">
        <ns0:v>28</ns0:v>
      </ns0:c>
      <ns0:c r="J279" s="20" t="n">
        <ns0:v>5905.647230566238</ns0:v>
      </ns0:c>
      <ns0:c r="K279" s="20" t="n">
        <ns0:v>1289.736054574549</ns0:v>
      </ns0:c>
      <ns0:c r="L279" s="20" t="n">
        <ns0:v>225579.4052639439</ns0:v>
      </ns0:c>
      <ns0:c r="M279" s="20" t="n">
        <ns0:v>70893.61621287648</ns0:v>
      </ns0:c>
      <ns0:c r="N279" s="20" t="n">
        <ns0:v>-3882.706613760347</ns0:v>
      </ns0:c>
      <ns0:c r="O279" s="20" t="n">
        <ns0:v>67584.25220463067</ns0:v>
      </ns0:c>
      <ns0:c r="P279" s="20" t="n">
        <ns0:v>132981.0434252563</ns0:v>
      </ns0:c>
      <ns0:c r="Q279" s="20" t="n">
        <ns0:v>296473.0214768203</ns0:v>
      </ns0:c>
      <ns0:c r="R279" s="20" t="n">
        <ns0:v>924440.9336830766</ns0:v>
      </ns0:c>
      <ns0:c r="S279" s="20" t="n">
        <ns0:v>3175328.626404975</ns0:v>
      </ns0:c>
    </ns0:row>
    <ns0:row r="280" ht="32" customHeight="1">
      <ns0:c r="A280" s="20" t="inlineStr">
        <ns0:is>
          <ns0:t>product20</ns0:t>
        </ns0:is>
      </ns0:c>
      <ns0:c r="B280" s="22" t="n">
        <ns0:v>0</ns0:v>
      </ns0:c>
      <ns0:c r="C280" s="20" t="n">
        <ns0:v>0</ns0:v>
      </ns0:c>
      <ns0:c r="D280" s="20" t="inlineStr">
        <ns0:is>
          <ns0:t>floor</ns0:t>
        </ns0:is>
      </ns0:c>
      <ns0:c r="E280" s="20" t="inlineStr">
        <ns0:is>
          <ns0:t>混在・パック30%</ns0:t>
        </ns0:is>
      </ns0:c>
      <ns0:c r="F280" s="22" t="n">
        <ns0:v>0.5</ns0:v>
      </ns0:c>
      <ns0:c r="G280" s="20" t="n">
        <ns0:v>12</ns0:v>
      </ns0:c>
      <ns0:c r="H280" s="20" t="n">
        <ns0:v>12</ns0:v>
      </ns0:c>
      <ns0:c r="I280" s="20" t="n">
        <ns0:v>30</ns0:v>
      </ns0:c>
      <ns0:c r="J280" s="20" t="n">
        <ns0:v>5905.647230566238</ns0:v>
      </ns0:c>
      <ns0:c r="K280" s="20" t="n">
        <ns0:v>1612.170068218186</ns0:v>
      </ns0:c>
      <ns0:c r="L280" s="20" t="n">
        <ns0:v>200541.6724474239</ns0:v>
      </ns0:c>
      <ns0:c r="M280" s="20" t="n">
        <ns0:v>63687.94766503282</ns0:v>
      </ns0:c>
      <ns0:c r="N280" s="20" t="n">
        <ns0:v>-7107.046750196716</ns0:v>
      </ns0:c>
      <ns0:c r="O280" s="20" t="n">
        <ns0:v>57911.23179532154</ns0:v>
      </ns0:c>
      <ns0:c r="P280" s="20" t="n">
        <ns0:v>116859.3427430744</ns0:v>
      </ns0:c>
      <ns0:c r="Q280" s="20" t="n">
        <ns0:v>264229.6201124567</ns0:v>
      </ns0:c>
      <ns0:c r="R280" s="20" t="n">
        <ns0:v>827710.7295899856</ns0:v>
      </ns0:c>
      <ns0:c r="S280" s="20" t="n">
        <ns0:v>2852894.612761338</ns0:v>
      </ns0:c>
    </ns0:row>
    <ns0:row r="281" ht="32" customHeight="1">
      <ns0:c r="A281" s="20" t="inlineStr">
        <ns0:is>
          <ns0:t>product20</ns0:t>
        </ns0:is>
      </ns0:c>
      <ns0:c r="B281" s="22" t="n">
        <ns0:v>0</ns0:v>
      </ns0:c>
      <ns0:c r="C281" s="20" t="n">
        <ns0:v>0</ns0:v>
      </ns0:c>
      <ns0:c r="D281" s="20" t="inlineStr">
        <ns0:is>
          <ns0:t>floor</ns0:t>
        </ns0:is>
      </ns0:c>
      <ns0:c r="E281" s="20" t="inlineStr">
        <ns0:is>
          <ns0:t>混在・パック50%</ns0:t>
        </ns0:is>
      </ns0:c>
      <ns0:c r="F281" s="22" t="n">
        <ns0:v>0.4</ns0:v>
      </ns0:c>
      <ns0:c r="G281" s="20" t="n">
        <ns0:v>10</ns0:v>
      </ns0:c>
      <ns0:c r="H281" s="20" t="n">
        <ns0:v>10</ns0:v>
      </ns0:c>
      <ns0:c r="I281" s="20" t="n">
        <ns0:v>23</ns0:v>
      </ns0:c>
      <ns0:c r="J281" s="20" t="n">
        <ns0:v>6586.427989909643</ns0:v>
      </ns0:c>
      <ns0:c r="K281" s="20" t="n">
        <ns0:v>1406.16900945269</ns0:v>
      </ns0:c>
      <ns0:c r="L281" s="20" t="n">
        <ns0:v>246949.047613357</ns0:v>
      </ns0:c>
      <ns0:c r="M281" s="20" t="n">
        <ns0:v>88817.93423826242</ns0:v>
      </ns0:c>
      <ns0:c r="N281" s="20" t="n">
        <ns0:v>1262.587268891148</ns0:v>
      </ns0:c>
      <ns0:c r="O281" s="20" t="n">
        <ns0:v>79372.44031707034</ns0:v>
      </ns0:c>
      <ns0:c r="P281" s="20" t="n">
        <ns0:v>152628.0236126558</ns0:v>
      </ns0:c>
      <ns0:c r="Q281" s="20" t="n">
        <ns0:v>335766.9818516194</ns0:v>
      </ns0:c>
      <ns0:c r="R281" s="20" t="n">
        <ns0:v>1042322.814807474</ns0:v>
      </ns0:c>
      <ns0:c r="S281" s="20" t="n">
        <ns0:v>3568268.230152964</ns0:v>
      </ns0:c>
    </ns0:row>
    <ns0:row r="282" ht="32" customHeight="1">
      <ns0:c r="A282" s="20" t="inlineStr">
        <ns0:is>
          <ns0:t>product20</ns0:t>
        </ns0:is>
      </ns0:c>
      <ns0:c r="B282" s="22" t="n">
        <ns0:v>0</ns0:v>
      </ns0:c>
      <ns0:c r="C282" s="20" t="n">
        <ns0:v>0</ns0:v>
      </ns0:c>
      <ns0:c r="D282" s="20" t="inlineStr">
        <ns0:is>
          <ns0:t>floor</ns0:t>
        </ns0:is>
      </ns0:c>
      <ns0:c r="E282" s="20" t="inlineStr">
        <ns0:is>
          <ns0:t>混在・パック50%</ns0:t>
        </ns0:is>
      </ns0:c>
      <ns0:c r="F282" s="22" t="n">
        <ns0:v>0.5</ns0:v>
      </ns0:c>
      <ns0:c r="G282" s="20" t="n">
        <ns0:v>11</ns0:v>
      </ns0:c>
      <ns0:c r="H282" s="20" t="n">
        <ns0:v>11</ns0:v>
      </ns0:c>
      <ns0:c r="I282" s="20" t="n">
        <ns0:v>25</ns0:v>
      </ns0:c>
      <ns0:c r="J282" s="20" t="n">
        <ns0:v>6586.427989909643</ns0:v>
      </ns0:c>
      <ns0:c r="K282" s="20" t="n">
        <ns0:v>1757.711261815863</ns0:v>
      </ns0:c>
      <ns0:c r="L282" s="20" t="n">
        <ns0:v>220040.8815863557</ns0:v>
      </ns0:c>
      <ns0:c r="M282" s="20" t="n">
        <ns0:v>80571.8750289465</ns0:v>
      </ns0:c>
      <ns0:c r="N282" s="20" t="n">
        <ns0:v>-2252.835254740581</ns0:v>
      </ns0:c>
      <ns0:c r="O282" s="20" t="n">
        <ns0:v>68826.17274617519</ns0:v>
      </ns0:c>
      <ns0:c r="P282" s="20" t="n">
        <ns0:v>135050.9109944972</ns0:v>
      </ns0:c>
      <ns0:c r="Q282" s="20" t="n">
        <ns0:v>300612.7566153022</ns0:v>
      </ns0:c>
      <ns0:c r="R282" s="20" t="n">
        <ns0:v>936860.139098522</ns0:v>
      </ns0:c>
      <ns0:c r="S282" s="20" t="n">
        <ns0:v>3216725.977789791</ns0:v>
      </ns0:c>
    </ns0:row>
    <ns0:row r="283" ht="32" customHeight="1">
      <ns0:c r="A283" s="20" t="inlineStr">
        <ns0:is>
          <ns0:t>product20</ns0:t>
        </ns0:is>
      </ns0:c>
      <ns0:c r="B283" s="22" t="n">
        <ns0:v>0</ns0:v>
      </ns0:c>
      <ns0:c r="C283" s="20" t="n">
        <ns0:v>0</ns0:v>
      </ns0:c>
      <ns0:c r="D283" s="20" t="inlineStr">
        <ns0:is>
          <ns0:t>floor</ns0:t>
        </ns0:is>
      </ns0:c>
      <ns0:c r="E283" s="20" t="inlineStr">
        <ns0:is>
          <ns0:t>混在・パック70%</ns0:t>
        </ns0:is>
      </ns0:c>
      <ns0:c r="F283" s="22" t="n">
        <ns0:v>0.4</ns0:v>
      </ns0:c>
      <ns0:c r="G283" s="20" t="n">
        <ns0:v>9</ns0:v>
      </ns0:c>
      <ns0:c r="H283" s="20" t="n">
        <ns0:v>9</ns0:v>
      </ns0:c>
      <ns0:c r="I283" s="20" t="n">
        <ns0:v>20</ns0:v>
      </ns0:c>
      <ns0:c r="J283" s="20" t="n">
        <ns0:v>7267.208749253046</ns0:v>
      </ns0:c>
      <ns0:c r="K283" s="20" t="n">
        <ns0:v>1522.601964330832</ns0:v>
      </ns0:c>
      <ns0:c r="L283" s="20" t="n">
        <ns0:v>268318.6899627698</ns0:v>
      </ns0:c>
      <ns0:c r="M283" s="20" t="n">
        <ns0:v>106742.2522636483</ns0:v>
      </ns0:c>
      <ns0:c r="N283" s="20" t="n">
        <ns0:v>6407.881151542617</ns0:v>
      </ns0:c>
      <ns0:c r="O283" s="20" t="n">
        <ns0:v>91160.62842951</ns0:v>
      </ns0:c>
      <ns0:c r="P283" s="20" t="n">
        <ns0:v>172275.0038000552</ns0:v>
      </ns0:c>
      <ns0:c r="Q283" s="20" t="n">
        <ns0:v>375060.9422264182</ns0:v>
      </ns0:c>
      <ns0:c r="R283" s="20" t="n">
        <ns0:v>1160204.69593187</ns0:v>
      </ns0:c>
      <ns0:c r="S283" s="20" t="n">
        <ns0:v>3961207.833900952</ns0:v>
      </ns0:c>
    </ns0:row>
    <ns0:row r="284" ht="32" customHeight="1">
      <ns0:c r="A284" s="20" t="inlineStr">
        <ns0:is>
          <ns0:t>product20</ns0:t>
        </ns0:is>
      </ns0:c>
      <ns0:c r="B284" s="22" t="n">
        <ns0:v>0</ns0:v>
      </ns0:c>
      <ns0:c r="C284" s="20" t="n">
        <ns0:v>0</ns0:v>
      </ns0:c>
      <ns0:c r="D284" s="20" t="inlineStr">
        <ns0:is>
          <ns0:t>floor</ns0:t>
        </ns0:is>
      </ns0:c>
      <ns0:c r="E284" s="20" t="inlineStr">
        <ns0:is>
          <ns0:t>混在・パック70%</ns0:t>
        </ns0:is>
      </ns0:c>
      <ns0:c r="F284" s="22" t="n">
        <ns0:v>0.5</ns0:v>
      </ns0:c>
      <ns0:c r="G284" s="20" t="n">
        <ns0:v>10</ns0:v>
      </ns0:c>
      <ns0:c r="H284" s="20" t="n">
        <ns0:v>10</ns0:v>
      </ns0:c>
      <ns0:c r="I284" s="20" t="n">
        <ns0:v>22</ns0:v>
      </ns0:c>
      <ns0:c r="J284" s="20" t="n">
        <ns0:v>7267.208749253046</ns0:v>
      </ns0:c>
      <ns0:c r="K284" s="20" t="n">
        <ns0:v>1903.25245541354</ns0:v>
      </ns0:c>
      <ns0:c r="L284" s="20" t="n">
        <ns0:v>239540.0907252872</ns0:v>
      </ns0:c>
      <ns0:c r="M284" s="20" t="n">
        <ns0:v>97455.80239286018</ns0:v>
      </ns0:c>
      <ns0:c r="N284" s="20" t="n">
        <ns0:v>2601.376240715545</ns0:v>
      </ns0:c>
      <ns0:c r="O284" s="20" t="n">
        <ns0:v>79741.11369702878</ns0:v>
      </ns0:c>
      <ns0:c r="P284" s="20" t="n">
        <ns0:v>153242.4792459198</ns0:v>
      </ns0:c>
      <ns0:c r="Q284" s="20" t="n">
        <ns0:v>336995.8931181473</ns0:v>
      </ns0:c>
      <ns0:c r="R284" s="20" t="n">
        <ns0:v>1046009.548607058</ns0:v>
      </ns0:c>
      <ns0:c r="S284" s="20" t="n">
        <ns0:v>3580557.342818244</ns0:v>
      </ns0:c>
    </ns0:row>
    <ns0:row r="285" ht="32" customHeight="1">
      <ns0:c r="A285" s="20" t="inlineStr">
        <ns0:is>
          <ns0:t>product20</ns0:t>
        </ns0:is>
      </ns0:c>
      <ns0:c r="B285" s="22" t="n">
        <ns0:v>0</ns0:v>
      </ns0:c>
      <ns0:c r="C285" s="20" t="n">
        <ns0:v>0</ns0:v>
      </ns0:c>
      <ns0:c r="D285" s="20" t="inlineStr">
        <ns0:is>
          <ns0:t>add</ns0:t>
        </ns0:is>
      </ns0:c>
      <ns0:c r="E285" s="20" t="inlineStr">
        <ns0:is>
          <ns0:t>パック単独</ns0:t>
        </ns0:is>
      </ns0:c>
      <ns0:c r="F285" s="22" t="n">
        <ns0:v>0.4</ns0:v>
      </ns0:c>
      <ns0:c r="G285" s="20" t="n">
        <ns0:v>12</ns0:v>
      </ns0:c>
      <ns0:c r="H285" s="20" t="n">
        <ns0:v>12</ns0:v>
      </ns0:c>
      <ns0:c r="I285" s="20" t="n">
        <ns0:v>17</ns0:v>
      </ns0:c>
      <ns0:c r="J285" s="20" t="n">
        <ns0:v>8288.379888268153</ns0:v>
      </ns0:c>
      <ns0:c r="K285" s="20" t="n">
        <ns0:v>1697.251396648044</ns0:v>
      </ns0:c>
      <ns0:c r="L285" s="20" t="n">
        <ns0:v>277873.1534868894</ns0:v>
      </ns0:c>
      <ns0:c r="M285" s="20" t="n">
        <ns0:v>133628.7293017272</ns0:v>
      </ns0:c>
      <ns0:c r="N285" s="20" t="n">
        <ns0:v>-59.65288481535026</ns0:v>
      </ns0:c>
      <ns0:c r="O285" s="20" t="n">
        <ns0:v>86342.91059816953</ns0:v>
      </ns0:c>
      <ns0:c r="P285" s="20" t="n">
        <ns0:v>179245.4740811544</ns0:v>
      </ns0:c>
      <ns0:c r="Q285" s="20" t="n">
        <ns0:v>411501.8827886166</ns0:v>
      </ns0:c>
      <ns0:c r="R285" s="20" t="n">
        <ns0:v>1314527.517618465</ns0:v>
      </ns0:c>
      <ns0:c r="S285" s="20" t="n">
        <ns0:v>4528117.239522936</ns0:v>
      </ns0:c>
    </ns0:row>
    <ns0:row r="286" ht="32" customHeight="1">
      <ns0:c r="A286" s="20" t="inlineStr">
        <ns0:is>
          <ns0:t>product20</ns0:t>
        </ns0:is>
      </ns0:c>
      <ns0:c r="B286" s="22" t="n">
        <ns0:v>0</ns0:v>
      </ns0:c>
      <ns0:c r="C286" s="20" t="n">
        <ns0:v>0</ns0:v>
      </ns0:c>
      <ns0:c r="D286" s="20" t="inlineStr">
        <ns0:is>
          <ns0:t>add</ns0:t>
        </ns0:is>
      </ns0:c>
      <ns0:c r="E286" s="20" t="inlineStr">
        <ns0:is>
          <ns0:t>パック単独</ns0:t>
        </ns0:is>
      </ns0:c>
      <ns0:c r="F286" s="22" t="n">
        <ns0:v>0.5</ns0:v>
      </ns0:c>
      <ns0:c r="G286" s="20" t="n">
        <ns0:v>13</ns0:v>
      </ns0:c>
      <ns0:c r="H286" s="20" t="n">
        <ns0:v>13</ns0:v>
      </ns0:c>
      <ns0:c r="I286" s="20" t="n">
        <ns0:v>18</ns0:v>
      </ns0:c>
      <ns0:c r="J286" s="20" t="n">
        <ns0:v>8288.379888268153</ns0:v>
      </ns0:c>
      <ns0:c r="K286" s="20" t="n">
        <ns0:v>2121.564245810055</ns0:v>
      </ns0:c>
      <ns0:c r="L286" s="20" t="n">
        <ns0:v>246288.9044336848</ns0:v>
      </ns0:c>
      <ns0:c r="M286" s="20" t="n">
        <ns0:v>122781.6934387307</ns0:v>
      </ns0:c>
      <ns0:c r="N286" s="20" t="n">
        <ns0:v>-4302.781376435458</ns0:v>
      </ns0:c>
      <ns0:c r="O286" s="20" t="n">
        <ns0:v>73613.52512330921</ns0:v>
      </ns0:c>
      <ns0:c r="P286" s="20" t="n">
        <ns0:v>158029.8316230539</ns0:v>
      </ns0:c>
      <ns0:c r="Q286" s="20" t="n">
        <ns0:v>369070.5978724156</ns0:v>
      </ns0:c>
      <ns0:c r="R286" s="20" t="n">
        <ns0:v>1187233.662869862</ns0:v>
      </ns0:c>
      <ns0:c r="S286" s="20" t="n">
        <ns0:v>4103804.390360924</ns0:v>
      </ns0:c>
    </ns0:row>
    <ns0:row r="287" ht="32" customHeight="1">
      <ns0:c r="A287" s="20" t="inlineStr">
        <ns0:is>
          <ns0:t>product20</ns0:t>
        </ns0:is>
      </ns0:c>
      <ns0:c r="B287" s="22" t="n">
        <ns0:v>0</ns0:v>
      </ns0:c>
      <ns0:c r="C287" s="20" t="n">
        <ns0:v>0</ns0:v>
      </ns0:c>
      <ns0:c r="D287" s="20" t="inlineStr">
        <ns0:is>
          <ns0:t>add</ns0:t>
        </ns0:is>
      </ns0:c>
      <ns0:c r="E287" s="20" t="inlineStr">
        <ns0:is>
          <ns0:t>混在・パック30%</ns0:t>
        </ns0:is>
      </ns0:c>
      <ns0:c r="F287" s="22" t="n">
        <ns0:v>0.4</ns0:v>
      </ns0:c>
      <ns0:c r="G287" s="20" t="n">
        <ns0:v>15</ns0:v>
      </ns0:c>
      <ns0:c r="H287" s="20" t="n">
        <ns0:v>15</ns0:v>
      </ns0:c>
      <ns0:c r="I287" s="20" t="n">
        <ns0:v>28</ns0:v>
      </ns0:c>
      <ns0:c r="J287" s="20" t="n">
        <ns0:v>5905.647230566238</ns0:v>
      </ns0:c>
      <ns0:c r="K287" s="20" t="n">
        <ns0:v>1289.736054574549</ns0:v>
      </ns0:c>
      <ns0:c r="L287" s="20" t="n">
        <ns0:v>203079.4052639439</ns0:v>
      </ns0:c>
      <ns0:c r="M287" s="20" t="n">
        <ns0:v>70893.61621287648</ns0:v>
      </ns0:c>
      <ns0:c r="N287" s="20" t="n">
        <ns0:v>-13812.53901599498</ns0:v>
      </ns0:c>
      <ns0:c r="O287" s="20" t="n">
        <ns0:v>45084.25220463066</ns0:v>
      </ns0:c>
      <ns0:c r="P287" s="20" t="n">
        <ns0:v>110481.0434252563</ns0:v>
      </ns0:c>
      <ns0:c r="Q287" s="20" t="n">
        <ns0:v>273973.0214768203</ns0:v>
      </ns0:c>
      <ns0:c r="R287" s="20" t="n">
        <ns0:v>901940.9336830766</ns0:v>
      </ns0:c>
      <ns0:c r="S287" s="20" t="n">
        <ns0:v>3152828.626404975</ns0:v>
      </ns0:c>
    </ns0:row>
    <ns0:row r="288" ht="32" customHeight="1">
      <ns0:c r="A288" s="20" t="inlineStr">
        <ns0:is>
          <ns0:t>product20</ns0:t>
        </ns0:is>
      </ns0:c>
      <ns0:c r="B288" s="22" t="n">
        <ns0:v>0</ns0:v>
      </ns0:c>
      <ns0:c r="C288" s="20" t="n">
        <ns0:v>0</ns0:v>
      </ns0:c>
      <ns0:c r="D288" s="20" t="inlineStr">
        <ns0:is>
          <ns0:t>add</ns0:t>
        </ns0:is>
      </ns0:c>
      <ns0:c r="E288" s="20" t="inlineStr">
        <ns0:is>
          <ns0:t>混在・パック30%</ns0:t>
        </ns0:is>
      </ns0:c>
      <ns0:c r="F288" s="22" t="n">
        <ns0:v>0.5</ns0:v>
      </ns0:c>
      <ns0:c r="G288" s="20" t="n">
        <ns0:v>18</ns0:v>
      </ns0:c>
      <ns0:c r="H288" s="20" t="n">
        <ns0:v>18</ns0:v>
      </ns0:c>
      <ns0:c r="I288" s="20" t="n">
        <ns0:v>30</ns0:v>
      </ns0:c>
      <ns0:c r="J288" s="20" t="n">
        <ns0:v>5905.647230566238</ns0:v>
      </ns0:c>
      <ns0:c r="K288" s="20" t="n">
        <ns0:v>1612.170068218186</ns0:v>
      </ns0:c>
      <ns0:c r="L288" s="20" t="n">
        <ns0:v>178041.6724474239</ns0:v>
      </ns0:c>
      <ns0:c r="M288" s="20" t="n">
        <ns0:v>63687.94766503282</ns0:v>
      </ns0:c>
      <ns0:c r="N288" s="20" t="n">
        <ns0:v>-17036.87915243135</ns0:v>
      </ns0:c>
      <ns0:c r="O288" s="20" t="n">
        <ns0:v>35411.23179532154</ns0:v>
      </ns0:c>
      <ns0:c r="P288" s="20" t="n">
        <ns0:v>94359.34274307443</ns0:v>
      </ns0:c>
      <ns0:c r="Q288" s="20" t="n">
        <ns0:v>241729.6201124567</ns0:v>
      </ns0:c>
      <ns0:c r="R288" s="20" t="n">
        <ns0:v>805210.7295899856</ns0:v>
      </ns0:c>
      <ns0:c r="S288" s="20" t="n">
        <ns0:v>2830394.612761338</ns0:v>
      </ns0:c>
    </ns0:row>
    <ns0:row r="289" ht="32" customHeight="1">
      <ns0:c r="A289" s="20" t="inlineStr">
        <ns0:is>
          <ns0:t>product20</ns0:t>
        </ns0:is>
      </ns0:c>
      <ns0:c r="B289" s="22" t="n">
        <ns0:v>0</ns0:v>
      </ns0:c>
      <ns0:c r="C289" s="20" t="n">
        <ns0:v>0</ns0:v>
      </ns0:c>
      <ns0:c r="D289" s="20" t="inlineStr">
        <ns0:is>
          <ns0:t>add</ns0:t>
        </ns0:is>
      </ns0:c>
      <ns0:c r="E289" s="20" t="inlineStr">
        <ns0:is>
          <ns0:t>混在・パック50%</ns0:t>
        </ns0:is>
      </ns0:c>
      <ns0:c r="F289" s="22" t="n">
        <ns0:v>0.4</ns0:v>
      </ns0:c>
      <ns0:c r="G289" s="20" t="n">
        <ns0:v>14</ns0:v>
      </ns0:c>
      <ns0:c r="H289" s="20" t="n">
        <ns0:v>14</ns0:v>
      </ns0:c>
      <ns0:c r="I289" s="20" t="n">
        <ns0:v>23</ns0:v>
      </ns0:c>
      <ns0:c r="J289" s="20" t="n">
        <ns0:v>6586.427989909643</ns0:v>
      </ns0:c>
      <ns0:c r="K289" s="20" t="n">
        <ns0:v>1406.16900945269</ns0:v>
      </ns0:c>
      <ns0:c r="L289" s="20" t="n">
        <ns0:v>224449.047613357</ns0:v>
      </ns0:c>
      <ns0:c r="M289" s="20" t="n">
        <ns0:v>88817.93423826242</ns0:v>
      </ns0:c>
      <ns0:c r="N289" s="20" t="n">
        <ns0:v>-9883.142978515076</ns0:v>
      </ns0:c>
      <ns0:c r="O289" s="20" t="n">
        <ns0:v>56872.44031707034</ns0:v>
      </ns0:c>
      <ns0:c r="P289" s="20" t="n">
        <ns0:v>130128.0236126558</ns0:v>
      </ns0:c>
      <ns0:c r="Q289" s="20" t="n">
        <ns0:v>313266.9818516194</ns0:v>
      </ns0:c>
      <ns0:c r="R289" s="20" t="n">
        <ns0:v>1019822.814807474</ns0:v>
      </ns0:c>
      <ns0:c r="S289" s="20" t="n">
        <ns0:v>3545768.230152964</ns0:v>
      </ns0:c>
    </ns0:row>
    <ns0:row r="290" ht="32" customHeight="1">
      <ns0:c r="A290" s="20" t="inlineStr">
        <ns0:is>
          <ns0:t>product20</ns0:t>
        </ns0:is>
      </ns0:c>
      <ns0:c r="B290" s="22" t="n">
        <ns0:v>0</ns0:v>
      </ns0:c>
      <ns0:c r="C290" s="20" t="n">
        <ns0:v>0</ns0:v>
      </ns0:c>
      <ns0:c r="D290" s="20" t="inlineStr">
        <ns0:is>
          <ns0:t>add</ns0:t>
        </ns0:is>
      </ns0:c>
      <ns0:c r="E290" s="20" t="inlineStr">
        <ns0:is>
          <ns0:t>混在・パック50%</ns0:t>
        </ns0:is>
      </ns0:c>
      <ns0:c r="F290" s="22" t="n">
        <ns0:v>0.5</ns0:v>
      </ns0:c>
      <ns0:c r="G290" s="20" t="n">
        <ns0:v>17</ns0:v>
      </ns0:c>
      <ns0:c r="H290" s="20" t="n">
        <ns0:v>17</ns0:v>
      </ns0:c>
      <ns0:c r="I290" s="20" t="n">
        <ns0:v>25</ns0:v>
      </ns0:c>
      <ns0:c r="J290" s="20" t="n">
        <ns0:v>6586.427989909643</ns0:v>
      </ns0:c>
      <ns0:c r="K290" s="20" t="n">
        <ns0:v>1757.711261815863</ns0:v>
      </ns0:c>
      <ns0:c r="L290" s="20" t="n">
        <ns0:v>197540.8815863557</ns0:v>
      </ns0:c>
      <ns0:c r="M290" s="20" t="n">
        <ns0:v>80571.8750289465</ns0:v>
      </ns0:c>
      <ns0:c r="N290" s="20" t="n">
        <ns0:v>-13398.5655021468</ns0:v>
      </ns0:c>
      <ns0:c r="O290" s="20" t="n">
        <ns0:v>46326.17274617518</ns0:v>
      </ns0:c>
      <ns0:c r="P290" s="20" t="n">
        <ns0:v>112550.9109944972</ns0:v>
      </ns0:c>
      <ns0:c r="Q290" s="20" t="n">
        <ns0:v>278112.7566153022</ns0:v>
      </ns0:c>
      <ns0:c r="R290" s="20" t="n">
        <ns0:v>914360.139098522</ns0:v>
      </ns0:c>
      <ns0:c r="S290" s="20" t="n">
        <ns0:v>3194225.977789791</ns0:v>
      </ns0:c>
    </ns0:row>
    <ns0:row r="291" ht="32" customHeight="1">
      <ns0:c r="A291" s="20" t="inlineStr">
        <ns0:is>
          <ns0:t>product20</ns0:t>
        </ns0:is>
      </ns0:c>
      <ns0:c r="B291" s="22" t="n">
        <ns0:v>0</ns0:v>
      </ns0:c>
      <ns0:c r="C291" s="20" t="n">
        <ns0:v>0</ns0:v>
      </ns0:c>
      <ns0:c r="D291" s="20" t="inlineStr">
        <ns0:is>
          <ns0:t>add</ns0:t>
        </ns0:is>
      </ns0:c>
      <ns0:c r="E291" s="20" t="inlineStr">
        <ns0:is>
          <ns0:t>混在・パック70%</ns0:t>
        </ns0:is>
      </ns0:c>
      <ns0:c r="F291" s="22" t="n">
        <ns0:v>0.4</ns0:v>
      </ns0:c>
      <ns0:c r="G291" s="20" t="n">
        <ns0:v>12</ns0:v>
      </ns0:c>
      <ns0:c r="H291" s="20" t="n">
        <ns0:v>14</ns0:v>
      </ns0:c>
      <ns0:c r="I291" s="20" t="n">
        <ns0:v>20</ns0:v>
      </ns0:c>
      <ns0:c r="J291" s="20" t="n">
        <ns0:v>7267.208749253046</ns0:v>
      </ns0:c>
      <ns0:c r="K291" s="20" t="n">
        <ns0:v>1522.601964330832</ns0:v>
      </ns0:c>
      <ns0:c r="L291" s="20" t="n">
        <ns0:v>245818.6899627698</ns0:v>
      </ns0:c>
      <ns0:c r="M291" s="20" t="n">
        <ns0:v>106742.2522636483</ns0:v>
      </ns0:c>
      <ns0:c r="N291" s="20" t="n">
        <ns0:v>-5953.746941035195</ns0:v>
      </ns0:c>
      <ns0:c r="O291" s="20" t="n">
        <ns0:v>68660.62842950999</ns0:v>
      </ns0:c>
      <ns0:c r="P291" s="20" t="n">
        <ns0:v>149775.0038000552</ns0:v>
      </ns0:c>
      <ns0:c r="Q291" s="20" t="n">
        <ns0:v>352560.9422264182</ns0:v>
      </ns0:c>
      <ns0:c r="R291" s="20" t="n">
        <ns0:v>1137704.69593187</ns0:v>
      </ns0:c>
      <ns0:c r="S291" s="20" t="n">
        <ns0:v>3938707.833900952</ns0:v>
      </ns0:c>
    </ns0:row>
    <ns0:row r="292" ht="32" customHeight="1">
      <ns0:c r="A292" s="20" t="inlineStr">
        <ns0:is>
          <ns0:t>product20</ns0:t>
        </ns0:is>
      </ns0:c>
      <ns0:c r="B292" s="22" t="n">
        <ns0:v>0</ns0:v>
      </ns0:c>
      <ns0:c r="C292" s="20" t="n">
        <ns0:v>0</ns0:v>
      </ns0:c>
      <ns0:c r="D292" s="20" t="inlineStr">
        <ns0:is>
          <ns0:t>add</ns0:t>
        </ns0:is>
      </ns0:c>
      <ns0:c r="E292" s="20" t="inlineStr">
        <ns0:is>
          <ns0:t>混在・パック70%</ns0:t>
        </ns0:is>
      </ns0:c>
      <ns0:c r="F292" s="22" t="n">
        <ns0:v>0.5</ns0:v>
      </ns0:c>
      <ns0:c r="G292" s="20" t="n">
        <ns0:v>15</ns0:v>
      </ns0:c>
      <ns0:c r="H292" s="20" t="n">
        <ns0:v>15</ns0:v>
      </ns0:c>
      <ns0:c r="I292" s="20" t="n">
        <ns0:v>22</ns0:v>
      </ns0:c>
      <ns0:c r="J292" s="20" t="n">
        <ns0:v>7267.208749253046</ns0:v>
      </ns0:c>
      <ns0:c r="K292" s="20" t="n">
        <ns0:v>1903.25245541354</ns0:v>
      </ns0:c>
      <ns0:c r="L292" s="20" t="n">
        <ns0:v>217040.0907252872</ns0:v>
      </ns0:c>
      <ns0:c r="M292" s="20" t="n">
        <ns0:v>97455.80239286018</ns0:v>
      </ns0:c>
      <ns0:c r="N292" s="20" t="n">
        <ns0:v>-9760.251851862267</ns0:v>
      </ns0:c>
      <ns0:c r="O292" s="20" t="n">
        <ns0:v>57241.11369702876</ns0:v>
      </ns0:c>
      <ns0:c r="P292" s="20" t="n">
        <ns0:v>130742.4792459198</ns0:v>
      </ns0:c>
      <ns0:c r="Q292" s="20" t="n">
        <ns0:v>314495.8931181474</ns0:v>
      </ns0:c>
      <ns0:c r="R292" s="20" t="n">
        <ns0:v>1023509.548607058</ns0:v>
      </ns0:c>
      <ns0:c r="S292" s="20" t="n">
        <ns0:v>3558057.342818244</ns0:v>
      </ns0:c>
    </ns0:row>
    <ns0:row r="293" ht="32" customHeight="1">
      <ns0:c r="A293" s="20" t="inlineStr">
        <ns0:is>
          <ns0:t>product20</ns0:t>
        </ns0:is>
      </ns0:c>
      <ns0:c r="B293" s="22" t="n">
        <ns0:v>0.1</ns0:v>
      </ns0:c>
      <ns0:c r="C293" s="20" t="n">
        <ns0:v>1</ns0:v>
      </ns0:c>
      <ns0:c r="D293" s="20" t="inlineStr">
        <ns0:is>
          <ns0:t>floor</ns0:t>
        </ns0:is>
      </ns0:c>
      <ns0:c r="E293" s="20" t="inlineStr">
        <ns0:is>
          <ns0:t>パック単独</ns0:t>
        </ns0:is>
      </ns0:c>
      <ns0:c r="F293" s="22" t="n">
        <ns0:v>0.4</ns0:v>
      </ns0:c>
      <ns0:c r="G293" s="20" t="n">
        <ns0:v>18</ns0:v>
      </ns0:c>
      <ns0:c r="H293" s="20" t="n">
        <ns0:v>18</ns0:v>
      </ns0:c>
      <ns0:c r="I293" s="20" t="n">
        <ns0:v>53</ns0:v>
      </ns0:c>
      <ns0:c r="J293" s="20" t="n">
        <ns0:v>8288.379888268153</ns0:v>
      </ns0:c>
      <ns0:c r="K293" s="20" t="n">
        <ns0:v>1697.251396648044</ns0:v>
      </ns0:c>
      <ns0:c r="L293" s="20" t="n">
        <ns0:v>224186.933747597</ns0:v>
      </ns0:c>
      <ns0:c r="M293" s="20" t="n">
        <ns0:v>31706.1054126419</ns0:v>
      </ns0:c>
      <ns0:c r="N293" s="20" t="n">
        <ns0:v>-17285.06238731793</ns0:v>
      </ns0:c>
      <ns0:c r="O293" s="20" t="n">
        <ns0:v>38610.25750965621</ns0:v>
      </ns0:c>
      <ns0:c r="P293" s="20" t="n">
        <ns0:v>100691.0522669656</ns0:v>
      </ns0:c>
      <ns0:c r="Q293" s="20" t="n">
        <ns0:v>255893.0391602389</ns0:v>
      </ns0:c>
      <ns0:c r="R293" s="20" t="n">
        <ns0:v>834700.986733332</ns0:v>
      </ns0:c>
      <ns0:c r="S293" s="20" t="n">
        <ns0:v>2937528.803239159</ns0:v>
      </ns0:c>
    </ns0:row>
    <ns0:row r="294" ht="32" customHeight="1">
      <ns0:c r="A294" s="20" t="inlineStr">
        <ns0:is>
          <ns0:t>product20</ns0:t>
        </ns0:is>
      </ns0:c>
      <ns0:c r="B294" s="22" t="n">
        <ns0:v>0.1</ns0:v>
      </ns0:c>
      <ns0:c r="C294" s="20" t="n">
        <ns0:v>1</ns0:v>
      </ns0:c>
      <ns0:c r="D294" s="20" t="inlineStr">
        <ns0:is>
          <ns0:t>floor</ns0:t>
        </ns0:is>
      </ns0:c>
      <ns0:c r="E294" s="20" t="inlineStr">
        <ns0:is>
          <ns0:t>パック単独</ns0:t>
        </ns0:is>
      </ns0:c>
      <ns0:c r="F294" s="22" t="n">
        <ns0:v>0.5</ns0:v>
      </ns0:c>
      <ns0:c r="G294" s="20" t="n">
        <ns0:v>21</ns0:v>
      </ns0:c>
      <ns0:c r="H294" s="20" t="n">
        <ns0:v>21</ns0:v>
      </ns0:c>
      <ns0:c r="I294" s="20" t="n">
        <ns0:v>103</ns0:v>
      </ns0:c>
      <ns0:c r="J294" s="20" t="n">
        <ns0:v>8288.379888268153</ns0:v>
      </ns0:c>
      <ns0:c r="K294" s="20" t="n">
        <ns0:v>2121.564245810055</ns0:v>
      </ns0:c>
      <ns0:c r="L294" s="20" t="n">
        <ns0:v>192602.6846943925</ns0:v>
      </ns0:c>
      <ns0:c r="M294" s="20" t="n">
        <ns0:v>20859.06954964535</ns0:v>
      </ns0:c>
      <ns0:c r="N294" s="20" t="n">
        <ns0:v>-21528.19087893804</ns0:v>
      </ns0:c>
      <ns0:c r="O294" s="20" t="n">
        <ns0:v>25880.87203479588</ns0:v>
      </ns0:c>
      <ns0:c r="P294" s="20" t="n">
        <ns0:v>79475.40980886501</ns0:v>
      </ns0:c>
      <ns0:c r="Q294" s="20" t="n">
        <ns0:v>213461.7542440378</ns0:v>
      </ns0:c>
      <ns0:c r="R294" s="20" t="n">
        <ns0:v>707407.1319847286</ns0:v>
      </ns0:c>
      <ns0:c r="S294" s="20" t="n">
        <ns0:v>2513215.954077147</ns0:v>
      </ns0:c>
    </ns0:row>
    <ns0:row r="295" ht="32" customHeight="1">
      <ns0:c r="A295" s="20" t="inlineStr">
        <ns0:is>
          <ns0:t>product20</ns0:t>
        </ns0:is>
      </ns0:c>
      <ns0:c r="B295" s="22" t="n">
        <ns0:v>0.1</ns0:v>
      </ns0:c>
      <ns0:c r="C295" s="20" t="n">
        <ns0:v>1</ns0:v>
      </ns0:c>
      <ns0:c r="D295" s="20" t="inlineStr">
        <ns0:is>
          <ns0:t>floor</ns0:t>
        </ns0:is>
      </ns0:c>
      <ns0:c r="E295" s="20" t="inlineStr">
        <ns0:is>
          <ns0:t>混在・パック30%</ns0:t>
        </ns0:is>
      </ns0:c>
      <ns0:c r="F295" s="22" t="n">
        <ns0:v>0.4</ns0:v>
      </ns0:c>
      <ns0:c r="G295" s="20" t="n">
        <ns0:v>24</ns0:v>
      </ns0:c>
      <ns0:c r="H295" s="20" t="n">
        <ns0:v>24</ns0:v>
      </ns0:c>
      <ns0:c r="I295" s="20" t="n">
        <ns0:v>83</ns0:v>
      </ns0:c>
      <ns0:c r="J295" s="20" t="n">
        <ns0:v>5905.647230566238</ns0:v>
      </ns0:c>
      <ns0:c r="K295" s="20" t="n">
        <ns0:v>1289.736054574549</ns0:v>
      </ns0:c>
      <ns0:c r="L295" s="20" t="n">
        <ns0:v>167449.0514464392</ns0:v>
      </ns0:c>
      <ns0:c r="M295" s="20" t="n">
        <ns0:v>7359.096678756148</ns0:v>
      </ns0:c>
      <ns0:c r="N295" s="20" t="n">
        <ns0:v>-29649.19394892285</ns0:v>
      </ns0:c>
      <ns0:c r="O295" s="20" t="n">
        <ns0:v>14284.79019914316</ns0:v>
      </ns0:c>
      <ns0:c r="P295" s="20" t="n">
        <ns0:v>60148.60674944379</ns0:v>
      </ns0:c>
      <ns0:c r="Q295" s="20" t="n">
        <ns0:v>174808.1481251954</ns0:v>
      </ns0:c>
      <ns0:c r="R295" s="20" t="n">
        <ns0:v>591446.3136282017</ns0:v>
      </ns0:c>
      <ns0:c r="S295" s="20" t="n">
        <ns0:v>2126679.892888725</ns0:v>
      </ns0:c>
    </ns0:row>
    <ns0:row r="296" ht="32" customHeight="1">
      <ns0:c r="A296" s="20" t="inlineStr">
        <ns0:is>
          <ns0:t>product20</ns0:t>
        </ns0:is>
      </ns0:c>
      <ns0:c r="B296" s="22" t="n">
        <ns0:v>0.1</ns0:v>
      </ns0:c>
      <ns0:c r="C296" s="20" t="n">
        <ns0:v>1</ns0:v>
      </ns0:c>
      <ns0:c r="D296" s="20" t="inlineStr">
        <ns0:is>
          <ns0:t>floor</ns0:t>
        </ns0:is>
      </ns0:c>
      <ns0:c r="E296" s="20" t="inlineStr">
        <ns0:is>
          <ns0:t>混在・パック30%</ns0:t>
        </ns0:is>
      </ns0:c>
      <ns0:c r="F296" s="22" t="n">
        <ns0:v>0.5</ns0:v>
      </ns0:c>
      <ns0:c r="G296" s="20" t="n">
        <ns0:v>28</ns0:v>
      </ns0:c>
      <ns0:c r="H296" s="20" t="n">
        <ns0:v>28</ns0:v>
      </ns0:c>
      <ns0:c r="I296" s="20" t="n">
        <ns0:v>100</ns0:v>
      </ns0:c>
      <ns0:c r="J296" s="20" t="n">
        <ns0:v>5905.647230566238</ns0:v>
      </ns0:c>
      <ns0:c r="K296" s="20" t="n">
        <ns0:v>1612.170068218186</ns0:v>
      </ns0:c>
      <ns0:c r="L296" s="20" t="n">
        <ns0:v>142411.3186299192</ns0:v>
      </ns0:c>
      <ns0:c r="M296" s="20" t="n">
        <ns0:v>153.4281309124781</ns0:v>
      </ns0:c>
      <ns0:c r="N296" s="20" t="n">
        <ns0:v>-32873.53408535922</ns0:v>
      </ns0:c>
      <ns0:c r="O296" s="20" t="n">
        <ns0:v>4611.769789834038</ns0:v>
      </ns0:c>
      <ns0:c r="P296" s="20" t="n">
        <ns0:v>44026.90606726194</ns0:v>
      </ns0:c>
      <ns0:c r="Q296" s="20" t="n">
        <ns0:v>142564.7467608317</ns0:v>
      </ns0:c>
      <ns0:c r="R296" s="20" t="n">
        <ns0:v>494716.1095351106</ns0:v>
      </ns0:c>
      <ns0:c r="S296" s="20" t="n">
        <ns0:v>1804245.879245088</ns0:v>
      </ns0:c>
    </ns0:row>
    <ns0:row r="297" ht="32" customHeight="1">
      <ns0:c r="A297" s="20" t="inlineStr">
        <ns0:is>
          <ns0:t>product20</ns0:t>
        </ns0:is>
      </ns0:c>
      <ns0:c r="B297" s="22" t="n">
        <ns0:v>0.1</ns0:v>
      </ns0:c>
      <ns0:c r="C297" s="20" t="n">
        <ns0:v>1</ns0:v>
      </ns0:c>
      <ns0:c r="D297" s="20" t="inlineStr">
        <ns0:is>
          <ns0:t>floor</ns0:t>
        </ns0:is>
      </ns0:c>
      <ns0:c r="E297" s="20" t="inlineStr">
        <ns0:is>
          <ns0:t>混在・パック50%</ns0:t>
        </ns0:is>
      </ns0:c>
      <ns0:c r="F297" s="22" t="n">
        <ns0:v>0.4</ns0:v>
      </ns0:c>
      <ns0:c r="G297" s="20" t="n">
        <ns0:v>22</ns0:v>
      </ns0:c>
      <ns0:c r="H297" s="20" t="n">
        <ns0:v>22</ns0:v>
      </ns0:c>
      <ns0:c r="I297" s="20" t="n">
        <ns0:v>71</ns0:v>
      </ns0:c>
      <ns0:c r="J297" s="20" t="n">
        <ns0:v>6586.427989909643</ns0:v>
      </ns0:c>
      <ns0:c r="K297" s="20" t="n">
        <ns0:v>1406.16900945269</ns0:v>
      </ns0:c>
      <ns0:c r="L297" s="20" t="n">
        <ns0:v>183659.8749610558</ns0:v>
      </ns0:c>
      <ns0:c r="M297" s="20" t="n">
        <ns0:v>14315.38488843779</ns0:v>
      </ns0:c>
      <ns0:c r="N297" s="20" t="n">
        <ns0:v>-26116.58493132143</ns0:v>
      </ns0:c>
      <ns0:c r="O297" s="20" t="n">
        <ns0:v>21234.9237164326</ns0:v>
      </ns0:c>
      <ns0:c r="P297" s="20" t="n">
        <ns0:v>71732.16261159292</ns0:v>
      </ns0:c>
      <ns0:c r="Q297" s="20" t="n">
        <ns0:v>197975.2598494936</ns0:v>
      </ns0:c>
      <ns0:c r="R297" s="20" t="n">
        <ns0:v>660947.6488010962</ns0:v>
      </ns0:c>
      <ns0:c r="S297" s="20" t="n">
        <ns0:v>2358351.010131706</ns0:v>
      </ns0:c>
    </ns0:row>
    <ns0:row r="298" ht="32" customHeight="1">
      <ns0:c r="A298" s="20" t="inlineStr">
        <ns0:is>
          <ns0:t>product20</ns0:t>
        </ns0:is>
      </ns0:c>
      <ns0:c r="B298" s="22" t="n">
        <ns0:v>0.1</ns0:v>
      </ns0:c>
      <ns0:c r="C298" s="20" t="n">
        <ns0:v>1</ns0:v>
      </ns0:c>
      <ns0:c r="D298" s="20" t="inlineStr">
        <ns0:is>
          <ns0:t>floor</ns0:t>
        </ns0:is>
      </ns0:c>
      <ns0:c r="E298" s="20" t="inlineStr">
        <ns0:is>
          <ns0:t>混在・パック50%</ns0:t>
        </ns0:is>
      </ns0:c>
      <ns0:c r="F298" s="22" t="n">
        <ns0:v>0.5</ns0:v>
      </ns0:c>
      <ns0:c r="G298" s="20" t="n">
        <ns0:v>26</ns0:v>
      </ns0:c>
      <ns0:c r="H298" s="20" t="n">
        <ns0:v>26</ns0:v>
      </ns0:c>
      <ns0:c r="I298" s="20" t="n">
        <ns0:v>86</ns0:v>
      </ns0:c>
      <ns0:c r="J298" s="20" t="n">
        <ns0:v>6586.427989909643</ns0:v>
      </ns0:c>
      <ns0:c r="K298" s="20" t="n">
        <ns0:v>1757.711261815863</ns0:v>
      </ns0:c>
      <ns0:c r="L298" s="20" t="n">
        <ns0:v>156751.7089340545</ns0:v>
      </ns0:c>
      <ns0:c r="M298" s="20" t="n">
        <ns0:v>6069.325679121874</ns0:v>
      </ns0:c>
      <ns0:c r="N298" s="20" t="n">
        <ns0:v>-29632.00745495316</ns0:v>
      </ns0:c>
      <ns0:c r="O298" s="20" t="n">
        <ns0:v>10688.65614553745</ns0:v>
      </ns0:c>
      <ns0:c r="P298" s="20" t="n">
        <ns0:v>54155.0499934343</ns0:v>
      </ns0:c>
      <ns0:c r="Q298" s="20" t="n">
        <ns0:v>162821.0346131764</ns0:v>
      </ns0:c>
      <ns0:c r="R298" s="20" t="n">
        <ns0:v>555484.9730921447</ns0:v>
      </ns0:c>
      <ns0:c r="S298" s="20" t="n">
        <ns0:v>2006808.757768533</ns0:v>
      </ns0:c>
    </ns0:row>
    <ns0:row r="299" ht="32" customHeight="1">
      <ns0:c r="A299" s="20" t="inlineStr">
        <ns0:is>
          <ns0:t>product20</ns0:t>
        </ns0:is>
      </ns0:c>
      <ns0:c r="B299" s="22" t="n">
        <ns0:v>0.1</ns0:v>
      </ns0:c>
      <ns0:c r="C299" s="20" t="n">
        <ns0:v>1</ns0:v>
      </ns0:c>
      <ns0:c r="D299" s="20" t="inlineStr">
        <ns0:is>
          <ns0:t>floor</ns0:t>
        </ns0:is>
      </ns0:c>
      <ns0:c r="E299" s="20" t="inlineStr">
        <ns0:is>
          <ns0:t>混在・パック70%</ns0:t>
        </ns0:is>
      </ns0:c>
      <ns0:c r="F299" s="22" t="n">
        <ns0:v>0.4</ns0:v>
      </ns0:c>
      <ns0:c r="G299" s="20" t="n">
        <ns0:v>20</ns0:v>
      </ns0:c>
      <ns0:c r="H299" s="20" t="n">
        <ns0:v>20</ns0:v>
      </ns0:c>
      <ns0:c r="I299" s="20" t="n">
        <ns0:v>62</ns0:v>
      </ns0:c>
      <ns0:c r="J299" s="20" t="n">
        <ns0:v>7267.208749253046</ns0:v>
      </ns0:c>
      <ns0:c r="K299" s="20" t="n">
        <ns0:v>1522.601964330832</ns0:v>
      </ns0:c>
      <ns0:c r="L299" s="20" t="n">
        <ns0:v>199870.6984756722</ns0:v>
      </ns0:c>
      <ns0:c r="M299" s="20" t="n">
        <ns0:v>21271.67309811943</ns0:v>
      </ns0:c>
      <ns0:c r="N299" s="20" t="n">
        <ns0:v>-22583.97591372004</ns0:v>
      </ns0:c>
      <ns0:c r="O299" s="20" t="n">
        <ns0:v>28185.05723372204</ns0:v>
      </ns0:c>
      <ns0:c r="P299" s="20" t="n">
        <ns0:v>83315.7184737419</ns0:v>
      </ns0:c>
      <ns0:c r="Q299" s="20" t="n">
        <ns0:v>221142.3715737916</ns0:v>
      </ns0:c>
      <ns0:c r="R299" s="20" t="n">
        <ns0:v>730448.9839739908</ns0:v>
      </ns0:c>
      <ns0:c r="S299" s="20" t="n">
        <ns0:v>2590022.127374687</ns0:v>
      </ns0:c>
    </ns0:row>
    <ns0:row r="300" ht="32" customHeight="1">
      <ns0:c r="A300" s="20" t="inlineStr">
        <ns0:is>
          <ns0:t>product20</ns0:t>
        </ns0:is>
      </ns0:c>
      <ns0:c r="B300" s="22" t="n">
        <ns0:v>0.1</ns0:v>
      </ns0:c>
      <ns0:c r="C300" s="20" t="n">
        <ns0:v>1</ns0:v>
      </ns0:c>
      <ns0:c r="D300" s="20" t="inlineStr">
        <ns0:is>
          <ns0:t>floor</ns0:t>
        </ns0:is>
      </ns0:c>
      <ns0:c r="E300" s="20" t="inlineStr">
        <ns0:is>
          <ns0:t>混在・パック70%</ns0:t>
        </ns0:is>
      </ns0:c>
      <ns0:c r="F300" s="22" t="n">
        <ns0:v>0.5</ns0:v>
      </ns0:c>
      <ns0:c r="G300" s="20" t="n">
        <ns0:v>23</ns0:v>
      </ns0:c>
      <ns0:c r="H300" s="20" t="n">
        <ns0:v>23</ns0:v>
      </ns0:c>
      <ns0:c r="I300" s="20" t="n">
        <ns0:v>122</ns0:v>
      </ns0:c>
      <ns0:c r="J300" s="20" t="n">
        <ns0:v>7267.208749253046</ns0:v>
      </ns0:c>
      <ns0:c r="K300" s="20" t="n">
        <ns0:v>1903.25245541354</ns0:v>
      </ns0:c>
      <ns0:c r="L300" s="20" t="n">
        <ns0:v>171092.0992381895</ns0:v>
      </ns0:c>
      <ns0:c r="M300" s="20" t="n">
        <ns0:v>11985.22322733125</ns0:v>
      </ns0:c>
      <ns0:c r="N300" s="20" t="n">
        <ns0:v>-26390.48082454711</ns0:v>
      </ns0:c>
      <ns0:c r="O300" s="20" t="n">
        <ns0:v>16765.54250124081</ns0:v>
      </ns0:c>
      <ns0:c r="P300" s="20" t="n">
        <ns0:v>64283.19391960649</ns0:v>
      </ns0:c>
      <ns0:c r="Q300" s="20" t="n">
        <ns0:v>183077.3224655208</ns0:v>
      </ns0:c>
      <ns0:c r="R300" s="20" t="n">
        <ns0:v>616253.8366491784</ns0:v>
      </ns0:c>
      <ns0:c r="S300" s="20" t="n">
        <ns0:v>2209371.636291978</ns0:v>
      </ns0:c>
    </ns0:row>
    <ns0:row r="301" ht="32" customHeight="1">
      <ns0:c r="A301" s="20" t="inlineStr">
        <ns0:is>
          <ns0:t>product20</ns0:t>
        </ns0:is>
      </ns0:c>
      <ns0:c r="B301" s="22" t="n">
        <ns0:v>0.1</ns0:v>
      </ns0:c>
      <ns0:c r="C301" s="20" t="n">
        <ns0:v>1</ns0:v>
      </ns0:c>
      <ns0:c r="D301" s="20" t="inlineStr">
        <ns0:is>
          <ns0:t>add</ns0:t>
        </ns0:is>
      </ns0:c>
      <ns0:c r="E301" s="20" t="inlineStr">
        <ns0:is>
          <ns0:t>パック単独</ns0:t>
        </ns0:is>
      </ns0:c>
      <ns0:c r="F301" s="22" t="n">
        <ns0:v>0.4</ns0:v>
      </ns0:c>
      <ns0:c r="G301" s="20" t="n">
        <ns0:v>25</ns0:v>
      </ns0:c>
      <ns0:c r="H301" s="20" t="n">
        <ns0:v>25</ns0:v>
      </ns0:c>
      <ns0:c r="I301" s="20" t="n">
        <ns0:v>53</ns0:v>
      </ns0:c>
      <ns0:c r="J301" s="20" t="n">
        <ns0:v>8288.379888268153</ns0:v>
      </ns0:c>
      <ns0:c r="K301" s="20" t="n">
        <ns0:v>1697.251396648044</ns0:v>
      </ns0:c>
      <ns0:c r="L301" s="20" t="n">
        <ns0:v>201686.933747597</ns0:v>
      </ns0:c>
      <ns0:c r="M301" s="20" t="n">
        <ns0:v>31706.1054126419</ns0:v>
      </ns0:c>
      <ns0:c r="N301" s="20" t="n">
        <ns0:v>-31470.53724765312</ns0:v>
      </ns0:c>
      <ns0:c r="O301" s="20" t="n">
        <ns0:v>16110.2575096562</ns0:v>
      </ns0:c>
      <ns0:c r="P301" s="20" t="n">
        <ns0:v>78191.05226696556</ns0:v>
      </ns0:c>
      <ns0:c r="Q301" s="20" t="n">
        <ns0:v>233393.0391602389</ns0:v>
      </ns0:c>
      <ns0:c r="R301" s="20" t="n">
        <ns0:v>812200.986733332</ns0:v>
      </ns0:c>
      <ns0:c r="S301" s="20" t="n">
        <ns0:v>2915028.803239159</ns0:v>
      </ns0:c>
    </ns0:row>
    <ns0:row r="302" ht="32" customHeight="1">
      <ns0:c r="A302" s="20" t="inlineStr">
        <ns0:is>
          <ns0:t>product20</ns0:t>
        </ns0:is>
      </ns0:c>
      <ns0:c r="B302" s="22" t="n">
        <ns0:v>0.1</ns0:v>
      </ns0:c>
      <ns0:c r="C302" s="20" t="n">
        <ns0:v>1</ns0:v>
      </ns0:c>
      <ns0:c r="D302" s="20" t="inlineStr">
        <ns0:is>
          <ns0:t>add</ns0:t>
        </ns0:is>
      </ns0:c>
      <ns0:c r="E302" s="20" t="inlineStr">
        <ns0:is>
          <ns0:t>パック単独</ns0:t>
        </ns0:is>
      </ns0:c>
      <ns0:c r="F302" s="22" t="n">
        <ns0:v>0.5</ns0:v>
      </ns0:c>
      <ns0:c r="G302" s="20" t="n">
        <ns0:v>29</ns0:v>
      </ns0:c>
      <ns0:c r="H302" s="20" t="n">
        <ns0:v>29</ns0:v>
      </ns0:c>
      <ns0:c r="I302" s="20" t="n">
        <ns0:v>103</ns0:v>
      </ns0:c>
      <ns0:c r="J302" s="20" t="n">
        <ns0:v>8288.379888268153</ns0:v>
      </ns0:c>
      <ns0:c r="K302" s="20" t="n">
        <ns0:v>2121.564245810055</ns0:v>
      </ns0:c>
      <ns0:c r="L302" s="20" t="n">
        <ns0:v>170102.6846943925</ns0:v>
      </ns0:c>
      <ns0:c r="M302" s="20" t="n">
        <ns0:v>20859.06954964535</ns0:v>
      </ns0:c>
      <ns0:c r="N302" s="20" t="n">
        <ns0:v>-35713.66573927323</ns0:v>
      </ns0:c>
      <ns0:c r="O302" s="20" t="n">
        <ns0:v>3380.872034795884</ns0:v>
      </ns0:c>
      <ns0:c r="P302" s="20" t="n">
        <ns0:v>56975.40980886502</ns0:v>
      </ns0:c>
      <ns0:c r="Q302" s="20" t="n">
        <ns0:v>190961.7542440378</ns0:v>
      </ns0:c>
      <ns0:c r="R302" s="20" t="n">
        <ns0:v>684907.1319847286</ns0:v>
      </ns0:c>
      <ns0:c r="S302" s="20" t="n">
        <ns0:v>2490715.954077147</ns0:v>
      </ns0:c>
    </ns0:row>
    <ns0:row r="303" ht="32" customHeight="1">
      <ns0:c r="A303" s="20" t="inlineStr">
        <ns0:is>
          <ns0:t>product20</ns0:t>
        </ns0:is>
      </ns0:c>
      <ns0:c r="B303" s="22" t="n">
        <ns0:v>0.1</ns0:v>
      </ns0:c>
      <ns0:c r="C303" s="20" t="n">
        <ns0:v>1</ns0:v>
      </ns0:c>
      <ns0:c r="D303" s="20" t="inlineStr">
        <ns0:is>
          <ns0:t>add</ns0:t>
        </ns0:is>
      </ns0:c>
      <ns0:c r="E303" s="20" t="inlineStr">
        <ns0:is>
          <ns0:t>混在・パック30%</ns0:t>
        </ns0:is>
      </ns0:c>
      <ns0:c r="F303" s="22" t="n">
        <ns0:v>0.4</ns0:v>
      </ns0:c>
      <ns0:c r="G303" s="20" t="n">
        <ns0:v>34</ns0:v>
      </ns0:c>
      <ns0:c r="H303" s="20" t="n">
        <ns0:v>34</ns0:v>
      </ns0:c>
      <ns0:c r="I303" s="20" t="n">
        <ns0:v>83</ns0:v>
      </ns0:c>
      <ns0:c r="J303" s="20" t="n">
        <ns0:v>5905.647230566238</ns0:v>
      </ns0:c>
      <ns0:c r="K303" s="20" t="n">
        <ns0:v>1289.736054574549</ns0:v>
      </ns0:c>
      <ns0:c r="L303" s="20" t="n">
        <ns0:v>144949.0514464392</ns0:v>
      </ns0:c>
      <ns0:c r="M303" s="20" t="n">
        <ns0:v>7359.096678756148</ns0:v>
      </ns0:c>
      <ns0:c r="N303" s="20" t="n">
        <ns0:v>-39579.02635115748</ns0:v>
      </ns0:c>
      <ns0:c r="O303" s="20" t="n">
        <ns0:v>-8215.209800856839</ns0:v>
      </ns0:c>
      <ns0:c r="P303" s="20" t="n">
        <ns0:v>37648.60674944377</ns0:v>
      </ns0:c>
      <ns0:c r="Q303" s="20" t="n">
        <ns0:v>152308.1481251954</ns0:v>
      </ns0:c>
      <ns0:c r="R303" s="20" t="n">
        <ns0:v>568946.3136282017</ns0:v>
      </ns0:c>
      <ns0:c r="S303" s="20" t="n">
        <ns0:v>2104179.892888725</ns0:v>
      </ns0:c>
    </ns0:row>
    <ns0:row r="304" ht="32" customHeight="1">
      <ns0:c r="A304" s="20" t="inlineStr">
        <ns0:is>
          <ns0:t>product20</ns0:t>
        </ns0:is>
      </ns0:c>
      <ns0:c r="B304" s="22" t="n">
        <ns0:v>0.1</ns0:v>
      </ns0:c>
      <ns0:c r="C304" s="20" t="n">
        <ns0:v>1</ns0:v>
      </ns0:c>
      <ns0:c r="D304" s="20" t="inlineStr">
        <ns0:is>
          <ns0:t>add</ns0:t>
        </ns0:is>
      </ns0:c>
      <ns0:c r="E304" s="20" t="inlineStr">
        <ns0:is>
          <ns0:t>混在・パック30%</ns0:t>
        </ns0:is>
      </ns0:c>
      <ns0:c r="F304" s="22" t="n">
        <ns0:v>0.5</ns0:v>
      </ns0:c>
      <ns0:c r="G304" s="20" t="n">
        <ns0:v>40</ns0:v>
      </ns0:c>
      <ns0:c r="H304" s="20" t="n">
        <ns0:v>40</ns0:v>
      </ns0:c>
      <ns0:c r="I304" s="20" t="n">
        <ns0:v>100</ns0:v>
      </ns0:c>
      <ns0:c r="J304" s="20" t="n">
        <ns0:v>5905.647230566238</ns0:v>
      </ns0:c>
      <ns0:c r="K304" s="20" t="n">
        <ns0:v>1612.170068218186</ns0:v>
      </ns0:c>
      <ns0:c r="L304" s="20" t="n">
        <ns0:v>119911.3186299192</ns0:v>
      </ns0:c>
      <ns0:c r="M304" s="20" t="n">
        <ns0:v>153.4281309124781</ns0:v>
      </ns0:c>
      <ns0:c r="N304" s="20" t="n">
        <ns0:v>-42803.36648759386</ns0:v>
      </ns0:c>
      <ns0:c r="O304" s="20" t="n">
        <ns0:v>-17888.23021016596</ns0:v>
      </ns0:c>
      <ns0:c r="P304" s="20" t="n">
        <ns0:v>21526.90606726193</ns0:v>
      </ns0:c>
      <ns0:c r="Q304" s="20" t="n">
        <ns0:v>120064.7467608317</ns0:v>
      </ns0:c>
      <ns0:c r="R304" s="20" t="n">
        <ns0:v>472216.1095351106</ns0:v>
      </ns0:c>
      <ns0:c r="S304" s="20" t="n">
        <ns0:v>1781745.879245088</ns0:v>
      </ns0:c>
    </ns0:row>
    <ns0:row r="305" ht="32" customHeight="1">
      <ns0:c r="A305" s="20" t="inlineStr">
        <ns0:is>
          <ns0:t>product20</ns0:t>
        </ns0:is>
      </ns0:c>
      <ns0:c r="B305" s="22" t="n">
        <ns0:v>0.1</ns0:v>
      </ns0:c>
      <ns0:c r="C305" s="20" t="n">
        <ns0:v>1</ns0:v>
      </ns0:c>
      <ns0:c r="D305" s="20" t="inlineStr">
        <ns0:is>
          <ns0:t>add</ns0:t>
        </ns0:is>
      </ns0:c>
      <ns0:c r="E305" s="20" t="inlineStr">
        <ns0:is>
          <ns0:t>混在・パック50%</ns0:t>
        </ns0:is>
      </ns0:c>
      <ns0:c r="F305" s="22" t="n">
        <ns0:v>0.4</ns0:v>
      </ns0:c>
      <ns0:c r="G305" s="20" t="n">
        <ns0:v>31</ns0:v>
      </ns0:c>
      <ns0:c r="H305" s="20" t="n">
        <ns0:v>31</ns0:v>
      </ns0:c>
      <ns0:c r="I305" s="20" t="n">
        <ns0:v>71</ns0:v>
      </ns0:c>
      <ns0:c r="J305" s="20" t="n">
        <ns0:v>6586.427989909643</ns0:v>
      </ns0:c>
      <ns0:c r="K305" s="20" t="n">
        <ns0:v>1406.16900945269</ns0:v>
      </ns0:c>
      <ns0:c r="L305" s="20" t="n">
        <ns0:v>161159.8749610558</ns0:v>
      </ns0:c>
      <ns0:c r="M305" s="20" t="n">
        <ns0:v>14315.38488843779</ns0:v>
      </ns0:c>
      <ns0:c r="N305" s="20" t="n">
        <ns0:v>-37262.31517872766</ns0:v>
      </ns0:c>
      <ns0:c r="O305" s="20" t="n">
        <ns0:v>-1265.076283567403</ns0:v>
      </ns0:c>
      <ns0:c r="P305" s="20" t="n">
        <ns0:v>49232.16261159292</ns0:v>
      </ns0:c>
      <ns0:c r="Q305" s="20" t="n">
        <ns0:v>175475.2598494936</ns0:v>
      </ns0:c>
      <ns0:c r="R305" s="20" t="n">
        <ns0:v>638447.6488010962</ns0:v>
      </ns0:c>
      <ns0:c r="S305" s="20" t="n">
        <ns0:v>2335851.010131706</ns0:v>
      </ns0:c>
    </ns0:row>
    <ns0:row r="306" ht="32" customHeight="1">
      <ns0:c r="A306" s="20" t="inlineStr">
        <ns0:is>
          <ns0:t>product20</ns0:t>
        </ns0:is>
      </ns0:c>
      <ns0:c r="B306" s="22" t="n">
        <ns0:v>0.1</ns0:v>
      </ns0:c>
      <ns0:c r="C306" s="20" t="n">
        <ns0:v>1</ns0:v>
      </ns0:c>
      <ns0:c r="D306" s="20" t="inlineStr">
        <ns0:is>
          <ns0:t>add</ns0:t>
        </ns0:is>
      </ns0:c>
      <ns0:c r="E306" s="20" t="inlineStr">
        <ns0:is>
          <ns0:t>混在・パック50%</ns0:t>
        </ns0:is>
      </ns0:c>
      <ns0:c r="F306" s="22" t="n">
        <ns0:v>0.5</ns0:v>
      </ns0:c>
      <ns0:c r="G306" s="20" t="n">
        <ns0:v>36</ns0:v>
      </ns0:c>
      <ns0:c r="H306" s="20" t="n">
        <ns0:v>36</ns0:v>
      </ns0:c>
      <ns0:c r="I306" s="20" t="n">
        <ns0:v>86</ns0:v>
      </ns0:c>
      <ns0:c r="J306" s="20" t="n">
        <ns0:v>6586.427989909643</ns0:v>
      </ns0:c>
      <ns0:c r="K306" s="20" t="n">
        <ns0:v>1757.711261815863</ns0:v>
      </ns0:c>
      <ns0:c r="L306" s="20" t="n">
        <ns0:v>134251.7089340545</ns0:v>
      </ns0:c>
      <ns0:c r="M306" s="20" t="n">
        <ns0:v>6069.325679121874</ns0:v>
      </ns0:c>
      <ns0:c r="N306" s="20" t="n">
        <ns0:v>-40777.73770235939</ns0:v>
      </ns0:c>
      <ns0:c r="O306" s="20" t="n">
        <ns0:v>-11811.34385446256</ns0:v>
      </ns0:c>
      <ns0:c r="P306" s="20" t="n">
        <ns0:v>31655.04999343429</ns0:v>
      </ns0:c>
      <ns0:c r="Q306" s="20" t="n">
        <ns0:v>140321.0346131764</ns0:v>
      </ns0:c>
      <ns0:c r="R306" s="20" t="n">
        <ns0:v>532984.9730921447</ns0:v>
      </ns0:c>
      <ns0:c r="S306" s="20" t="n">
        <ns0:v>1984308.757768533</ns0:v>
      </ns0:c>
    </ns0:row>
    <ns0:row r="307" ht="32" customHeight="1">
      <ns0:c r="A307" s="20" t="inlineStr">
        <ns0:is>
          <ns0:t>product20</ns0:t>
        </ns0:is>
      </ns0:c>
      <ns0:c r="B307" s="22" t="n">
        <ns0:v>0.1</ns0:v>
      </ns0:c>
      <ns0:c r="C307" s="20" t="n">
        <ns0:v>1</ns0:v>
      </ns0:c>
      <ns0:c r="D307" s="20" t="inlineStr">
        <ns0:is>
          <ns0:t>add</ns0:t>
        </ns0:is>
      </ns0:c>
      <ns0:c r="E307" s="20" t="inlineStr">
        <ns0:is>
          <ns0:t>混在・パック70%</ns0:t>
        </ns0:is>
      </ns0:c>
      <ns0:c r="F307" s="22" t="n">
        <ns0:v>0.4</ns0:v>
      </ns0:c>
      <ns0:c r="G307" s="20" t="n">
        <ns0:v>28</ns0:v>
      </ns0:c>
      <ns0:c r="H307" s="20" t="n">
        <ns0:v>28</ns0:v>
      </ns0:c>
      <ns0:c r="I307" s="20" t="n">
        <ns0:v>62</ns0:v>
      </ns0:c>
      <ns0:c r="J307" s="20" t="n">
        <ns0:v>7267.208749253046</ns0:v>
      </ns0:c>
      <ns0:c r="K307" s="20" t="n">
        <ns0:v>1522.601964330832</ns0:v>
      </ns0:c>
      <ns0:c r="L307" s="20" t="n">
        <ns0:v>177370.6984756722</ns0:v>
      </ns0:c>
      <ns0:c r="M307" s="20" t="n">
        <ns0:v>21271.67309811943</ns0:v>
      </ns0:c>
      <ns0:c r="N307" s="20" t="n">
        <ns0:v>-34945.60400629785</ns0:v>
      </ns0:c>
      <ns0:c r="O307" s="20" t="n">
        <ns0:v>5685.057233722029</ns0:v>
      </ns0:c>
      <ns0:c r="P307" s="20" t="n">
        <ns0:v>60815.71847374192</ns0:v>
      </ns0:c>
      <ns0:c r="Q307" s="20" t="n">
        <ns0:v>198642.3715737916</ns0:v>
      </ns0:c>
      <ns0:c r="R307" s="20" t="n">
        <ns0:v>707948.9839739908</ns0:v>
      </ns0:c>
      <ns0:c r="S307" s="20" t="n">
        <ns0:v>2567522.127374686</ns0:v>
      </ns0:c>
    </ns0:row>
    <ns0:row r="308" ht="32" customHeight="1">
      <ns0:c r="A308" s="20" t="inlineStr">
        <ns0:is>
          <ns0:t>product20</ns0:t>
        </ns0:is>
      </ns0:c>
      <ns0:c r="B308" s="22" t="n">
        <ns0:v>0.1</ns0:v>
      </ns0:c>
      <ns0:c r="C308" s="20" t="n">
        <ns0:v>1</ns0:v>
      </ns0:c>
      <ns0:c r="D308" s="20" t="inlineStr">
        <ns0:is>
          <ns0:t>add</ns0:t>
        </ns0:is>
      </ns0:c>
      <ns0:c r="E308" s="20" t="inlineStr">
        <ns0:is>
          <ns0:t>混在・パック70%</ns0:t>
        </ns0:is>
      </ns0:c>
      <ns0:c r="F308" s="22" t="n">
        <ns0:v>0.5</ns0:v>
      </ns0:c>
      <ns0:c r="G308" s="20" t="n">
        <ns0:v>33</ns0:v>
      </ns0:c>
      <ns0:c r="H308" s="20" t="n">
        <ns0:v>33</ns0:v>
      </ns0:c>
      <ns0:c r="I308" s="20" t="n">
        <ns0:v>122</ns0:v>
      </ns0:c>
      <ns0:c r="J308" s="20" t="n">
        <ns0:v>7267.208749253046</ns0:v>
      </ns0:c>
      <ns0:c r="K308" s="20" t="n">
        <ns0:v>1903.25245541354</ns0:v>
      </ns0:c>
      <ns0:c r="L308" s="20" t="n">
        <ns0:v>148592.0992381895</ns0:v>
      </ns0:c>
      <ns0:c r="M308" s="20" t="n">
        <ns0:v>11985.22322733125</ns0:v>
      </ns0:c>
      <ns0:c r="N308" s="20" t="n">
        <ns0:v>-38752.10891712492</ns0:v>
      </ns0:c>
      <ns0:c r="O308" s="20" t="n">
        <ns0:v>-5734.457498759199</ns0:v>
      </ns0:c>
      <ns0:c r="P308" s="20" t="n">
        <ns0:v>41783.19391960651</ns0:v>
      </ns0:c>
      <ns0:c r="Q308" s="20" t="n">
        <ns0:v>160577.3224655208</ns0:v>
      </ns0:c>
      <ns0:c r="R308" s="20" t="n">
        <ns0:v>593753.8366491784</ns0:v>
      </ns0:c>
      <ns0:c r="S308" s="20" t="n">
        <ns0:v>2186871.636291978</ns0:v>
      </ns0:c>
    </ns0:row>
    <ns0:row r="309" ht="32" customHeight="1">
      <ns0:c r="A309" s="20" t="inlineStr">
        <ns0:is>
          <ns0:t>product20</ns0:t>
        </ns0:is>
      </ns0:c>
      <ns0:c r="B309" s="22" t="n">
        <ns0:v>0.1</ns0:v>
      </ns0:c>
      <ns0:c r="C309" s="20" t="n">
        <ns0:v>0</ns0:v>
      </ns0:c>
      <ns0:c r="D309" s="20" t="inlineStr">
        <ns0:is>
          <ns0:t>floor</ns0:t>
        </ns0:is>
      </ns0:c>
      <ns0:c r="E309" s="20" t="inlineStr">
        <ns0:is>
          <ns0:t>パック単独</ns0:t>
        </ns0:is>
      </ns0:c>
      <ns0:c r="F309" s="22" t="n">
        <ns0:v>0.4</ns0:v>
      </ns0:c>
      <ns0:c r="G309" s="20" t="n">
        <ns0:v>9</ns0:v>
      </ns0:c>
      <ns0:c r="H309" s="20" t="n">
        <ns0:v>9</ns0:v>
      </ns0:c>
      <ns0:c r="I309" s="20" t="n">
        <ns0:v>21</ns0:v>
      </ns0:c>
      <ns0:c r="J309" s="20" t="n">
        <ns0:v>8288.379888268153</ns0:v>
      </ns0:c>
      <ns0:c r="K309" s="20" t="n">
        <ns0:v>1697.251396648044</ns0:v>
      </ns0:c>
      <ns0:c r="L309" s="20" t="n">
        <ns0:v>300373.1534868893</ns0:v>
      </ns0:c>
      <ns0:c r="M309" s="20" t="n">
        <ns0:v>105045.025338154</ns0:v>
      </ns0:c>
      <ns0:c r="N309" s="20" t="n">
        <ns0:v>11267.45157916251</ns0:v>
      </ns0:c>
      <ns0:c r="O309" s="20" t="n">
        <ns0:v>100267.7994090975</ns0:v>
      </ns0:c>
      <ns0:c r="P309" s="20" t="n">
        <ns0:v>187453.6220993678</ns0:v>
      </ns0:c>
      <ns0:c r="Q309" s="20" t="n">
        <ns0:v>405418.1788250433</ns0:v>
      </ns0:c>
      <ns0:c r="R309" s="20" t="n">
        <ns0:v>1251276.405727745</ns0:v>
      </ns0:c>
      <ns0:c r="S309" s="20" t="n">
        <ns0:v>4264780.199887203</ns0:v>
      </ns0:c>
    </ns0:row>
    <ns0:row r="310" ht="32" customHeight="1">
      <ns0:c r="A310" s="20" t="inlineStr">
        <ns0:is>
          <ns0:t>product20</ns0:t>
        </ns0:is>
      </ns0:c>
      <ns0:c r="B310" s="22" t="n">
        <ns0:v>0.1</ns0:v>
      </ns0:c>
      <ns0:c r="C310" s="20" t="n">
        <ns0:v>0</ns0:v>
      </ns0:c>
      <ns0:c r="D310" s="20" t="inlineStr">
        <ns0:is>
          <ns0:t>floor</ns0:t>
        </ns0:is>
      </ns0:c>
      <ns0:c r="E310" s="20" t="inlineStr">
        <ns0:is>
          <ns0:t>パック単独</ns0:t>
        </ns0:is>
      </ns0:c>
      <ns0:c r="F310" s="22" t="n">
        <ns0:v>0.5</ns0:v>
      </ns0:c>
      <ns0:c r="G310" s="20" t="n">
        <ns0:v>9</ns0:v>
      </ns0:c>
      <ns0:c r="H310" s="20" t="n">
        <ns0:v>9</ns0:v>
      </ns0:c>
      <ns0:c r="I310" s="20" t="n">
        <ns0:v>22</ns0:v>
      </ns0:c>
      <ns0:c r="J310" s="20" t="n">
        <ns0:v>8288.379888268153</ns0:v>
      </ns0:c>
      <ns0:c r="K310" s="20" t="n">
        <ns0:v>2121.564245810055</ns0:v>
      </ns0:c>
      <ns0:c r="L310" s="20" t="n">
        <ns0:v>268788.9044336848</ns0:v>
      </ns0:c>
      <ns0:c r="M310" s="20" t="n">
        <ns0:v>94197.98947515746</ns0:v>
      </ns0:c>
      <ns0:c r="N310" s="20" t="n">
        <ns0:v>7024.323087542407</ns0:v>
      </ns0:c>
      <ns0:c r="O310" s="20" t="n">
        <ns0:v>87538.41393423722</ns0:v>
      </ns0:c>
      <ns0:c r="P310" s="20" t="n">
        <ns0:v>166237.9796412672</ns0:v>
      </ns0:c>
      <ns0:c r="Q310" s="20" t="n">
        <ns0:v>362986.8939088422</ns0:v>
      </ns0:c>
      <ns0:c r="R310" s="20" t="n">
        <ns0:v>1123982.550979142</ns0:v>
      </ns0:c>
      <ns0:c r="S310" s="20" t="n">
        <ns0:v>3840467.350725192</ns0:v>
      </ns0:c>
    </ns0:row>
    <ns0:row r="311" ht="32" customHeight="1">
      <ns0:c r="A311" s="20" t="inlineStr">
        <ns0:is>
          <ns0:t>product20</ns0:t>
        </ns0:is>
      </ns0:c>
      <ns0:c r="B311" s="22" t="n">
        <ns0:v>0.1</ns0:v>
      </ns0:c>
      <ns0:c r="C311" s="20" t="n">
        <ns0:v>0</ns0:v>
      </ns0:c>
      <ns0:c r="D311" s="20" t="inlineStr">
        <ns0:is>
          <ns0:t>floor</ns0:t>
        </ns0:is>
      </ns0:c>
      <ns0:c r="E311" s="20" t="inlineStr">
        <ns0:is>
          <ns0:t>混在・パック30%</ns0:t>
        </ns0:is>
      </ns0:c>
      <ns0:c r="F311" s="22" t="n">
        <ns0:v>0.4</ns0:v>
      </ns0:c>
      <ns0:c r="G311" s="20" t="n">
        <ns0:v>12</ns0:v>
      </ns0:c>
      <ns0:c r="H311" s="20" t="n">
        <ns0:v>12</ns0:v>
      </ns0:c>
      <ns0:c r="I311" s="20" t="n">
        <ns0:v>33</ns0:v>
      </ns0:c>
      <ns0:c r="J311" s="20" t="n">
        <ns0:v>5905.647230566238</ns0:v>
      </ns0:c>
      <ns0:c r="K311" s="20" t="n">
        <ns0:v>1289.736054574549</ns0:v>
      </ns0:c>
      <ns0:c r="L311" s="20" t="n">
        <ns0:v>225579.4052639439</ns0:v>
      </ns0:c>
      <ns0:c r="M311" s="20" t="n">
        <ns0:v>54461.77768153541</ns0:v>
      </ns0:c>
      <ns0:c r="N311" s="20" t="n">
        <ns0:v>-5525.890466894456</ns0:v>
      </ns0:c>
      <ns0:c r="O311" s="20" t="n">
        <ns0:v>62654.70064522834</ns0:v>
      </ns0:c>
      <ns0:c r="P311" s="20" t="n">
        <ns0:v>124765.1241595857</ns0:v>
      </ns0:c>
      <ns0:c r="Q311" s="20" t="n">
        <ns0:v>280041.1829454793</ns0:v>
      </ns0:c>
      <ns0:c r="R311" s="20" t="n">
        <ns0:v>875145.4180890534</ns0:v>
      </ns0:c>
      <ns0:c r="S311" s="20" t="n">
        <ns0:v>3011010.241091564</ns0:v>
      </ns0:c>
    </ns0:row>
    <ns0:row r="312" ht="32" customHeight="1">
      <ns0:c r="A312" s="20" t="inlineStr">
        <ns0:is>
          <ns0:t>product20</ns0:t>
        </ns0:is>
      </ns0:c>
      <ns0:c r="B312" s="22" t="n">
        <ns0:v>0.1</ns0:v>
      </ns0:c>
      <ns0:c r="C312" s="20" t="n">
        <ns0:v>0</ns0:v>
      </ns0:c>
      <ns0:c r="D312" s="20" t="inlineStr">
        <ns0:is>
          <ns0:t>floor</ns0:t>
        </ns0:is>
      </ns0:c>
      <ns0:c r="E312" s="20" t="inlineStr">
        <ns0:is>
          <ns0:t>混在・パック30%</ns0:t>
        </ns0:is>
      </ns0:c>
      <ns0:c r="F312" s="22" t="n">
        <ns0:v>0.5</ns0:v>
      </ns0:c>
      <ns0:c r="G312" s="20" t="n">
        <ns0:v>13</ns0:v>
      </ns0:c>
      <ns0:c r="H312" s="20" t="n">
        <ns0:v>13</ns0:v>
      </ns0:c>
      <ns0:c r="I312" s="20" t="n">
        <ns0:v>36</ns0:v>
      </ns0:c>
      <ns0:c r="J312" s="20" t="n">
        <ns0:v>5905.647230566238</ns0:v>
      </ns0:c>
      <ns0:c r="K312" s="20" t="n">
        <ns0:v>1612.170068218186</ns0:v>
      </ns0:c>
      <ns0:c r="L312" s="20" t="n">
        <ns0:v>200541.6724474239</ns0:v>
      </ns0:c>
      <ns0:c r="M312" s="20" t="n">
        <ns0:v>47256.10913369174</ns0:v>
      </ns0:c>
      <ns0:c r="N312" s="20" t="n">
        <ns0:v>-8750.230603330825</ns0:v>
      </ns0:c>
      <ns0:c r="O312" s="20" t="n">
        <ns0:v>52981.68023591921</ns0:v>
      </ns0:c>
      <ns0:c r="P312" s="20" t="n">
        <ns0:v>108643.4234774039</ns0:v>
      </ns0:c>
      <ns0:c r="Q312" s="20" t="n">
        <ns0:v>247797.7815811156</ns0:v>
      </ns0:c>
      <ns0:c r="R312" s="20" t="n">
        <ns0:v>778415.2139959623</ns0:v>
      </ns0:c>
      <ns0:c r="S312" s="20" t="n">
        <ns0:v>2688576.227447927</ns0:v>
      </ns0:c>
    </ns0:row>
    <ns0:row r="313" ht="32" customHeight="1">
      <ns0:c r="A313" s="20" t="inlineStr">
        <ns0:is>
          <ns0:t>product20</ns0:t>
        </ns0:is>
      </ns0:c>
      <ns0:c r="B313" s="22" t="n">
        <ns0:v>0.1</ns0:v>
      </ns0:c>
      <ns0:c r="C313" s="20" t="n">
        <ns0:v>0</ns0:v>
      </ns0:c>
      <ns0:c r="D313" s="20" t="inlineStr">
        <ns0:is>
          <ns0:t>floor</ns0:t>
        </ns0:is>
      </ns0:c>
      <ns0:c r="E313" s="20" t="inlineStr">
        <ns0:is>
          <ns0:t>混在・パック50%</ns0:t>
        </ns0:is>
      </ns0:c>
      <ns0:c r="F313" s="22" t="n">
        <ns0:v>0.4</ns0:v>
      </ns0:c>
      <ns0:c r="G313" s="20" t="n">
        <ns0:v>11</ns0:v>
      </ns0:c>
      <ns0:c r="H313" s="20" t="n">
        <ns0:v>11</ns0:v>
      </ns0:c>
      <ns0:c r="I313" s="20" t="n">
        <ns0:v>28</ns0:v>
      </ns0:c>
      <ns0:c r="J313" s="20" t="n">
        <ns0:v>6586.427989909643</ns0:v>
      </ns0:c>
      <ns0:c r="K313" s="20" t="n">
        <ns0:v>1406.16900945269</ns0:v>
      </ns0:c>
      <ns0:c r="L313" s="20" t="n">
        <ns0:v>246949.047613357</ns0:v>
      </ns0:c>
      <ns0:c r="M313" s="20" t="n">
        <ns0:v>68914.13415485501</ns0:v>
      </ns0:c>
      <ns0:c r="N313" s="20" t="n">
        <ns0:v>-727.7927394495964</ns0:v>
      </ns0:c>
      <ns0:c r="O313" s="20" t="n">
        <ns0:v>73401.30029204812</ns0:v>
      </ns0:c>
      <ns0:c r="P313" s="20" t="n">
        <ns0:v>142676.1235709521</ns0:v>
      </ns0:c>
      <ns0:c r="Q313" s="20" t="n">
        <ns0:v>315863.181768212</ns0:v>
      </ns0:c>
      <ns0:c r="R313" s="20" t="n">
        <ns0:v>982611.4145572513</ns0:v>
      </ns0:c>
      <ns0:c r="S313" s="20" t="n">
        <ns0:v>3369230.229318889</ns0:v>
      </ns0:c>
    </ns0:row>
    <ns0:row r="314" ht="32" customHeight="1">
      <ns0:c r="A314" s="20" t="inlineStr">
        <ns0:is>
          <ns0:t>product20</ns0:t>
        </ns0:is>
      </ns0:c>
      <ns0:c r="B314" s="22" t="n">
        <ns0:v>0.1</ns0:v>
      </ns0:c>
      <ns0:c r="C314" s="20" t="n">
        <ns0:v>0</ns0:v>
      </ns0:c>
      <ns0:c r="D314" s="20" t="inlineStr">
        <ns0:is>
          <ns0:t>floor</ns0:t>
        </ns0:is>
      </ns0:c>
      <ns0:c r="E314" s="20" t="inlineStr">
        <ns0:is>
          <ns0:t>混在・パック50%</ns0:t>
        </ns0:is>
      </ns0:c>
      <ns0:c r="F314" s="22" t="n">
        <ns0:v>0.5</ns0:v>
      </ns0:c>
      <ns0:c r="G314" s="20" t="n">
        <ns0:v>12</ns0:v>
      </ns0:c>
      <ns0:c r="H314" s="20" t="n">
        <ns0:v>12</ns0:v>
      </ns0:c>
      <ns0:c r="I314" s="20" t="n">
        <ns0:v>31</ns0:v>
      </ns0:c>
      <ns0:c r="J314" s="20" t="n">
        <ns0:v>6586.427989909643</ns0:v>
      </ns0:c>
      <ns0:c r="K314" s="20" t="n">
        <ns0:v>1757.711261815863</ns0:v>
      </ns0:c>
      <ns0:c r="L314" s="20" t="n">
        <ns0:v>220040.8815863557</ns0:v>
      </ns0:c>
      <ns0:c r="M314" s="20" t="n">
        <ns0:v>60668.07494553908</ns0:v>
      </ns0:c>
      <ns0:c r="N314" s="20" t="n">
        <ns0:v>-4243.215263081325</ns0:v>
      </ns0:c>
      <ns0:c r="O314" s="20" t="n">
        <ns0:v>62855.03272115296</ns0:v>
      </ns0:c>
      <ns0:c r="P314" s="20" t="n">
        <ns0:v>125099.0109527935</ns0:v>
      </ns0:c>
      <ns0:c r="Q314" s="20" t="n">
        <ns0:v>280708.9565318947</ns0:v>
      </ns0:c>
      <ns0:c r="R314" s="20" t="n">
        <ns0:v>877148.7388482997</ns0:v>
      </ns0:c>
      <ns0:c r="S314" s="20" t="n">
        <ns0:v>3017687.976955716</ns0:v>
      </ns0:c>
    </ns0:row>
    <ns0:row r="315" ht="32" customHeight="1">
      <ns0:c r="A315" s="20" t="inlineStr">
        <ns0:is>
          <ns0:t>product20</ns0:t>
        </ns0:is>
      </ns0:c>
      <ns0:c r="B315" s="22" t="n">
        <ns0:v>0.1</ns0:v>
      </ns0:c>
      <ns0:c r="C315" s="20" t="n">
        <ns0:v>0</ns0:v>
      </ns0:c>
      <ns0:c r="D315" s="20" t="inlineStr">
        <ns0:is>
          <ns0:t>floor</ns0:t>
        </ns0:is>
      </ns0:c>
      <ns0:c r="E315" s="20" t="inlineStr">
        <ns0:is>
          <ns0:t>混在・パック70%</ns0:t>
        </ns0:is>
      </ns0:c>
      <ns0:c r="F315" s="22" t="n">
        <ns0:v>0.4</ns0:v>
      </ns0:c>
      <ns0:c r="G315" s="20" t="n">
        <ns0:v>10</ns0:v>
      </ns0:c>
      <ns0:c r="H315" s="20" t="n">
        <ns0:v>10</ns0:v>
      </ns0:c>
      <ns0:c r="I315" s="20" t="n">
        <ns0:v>25</ns0:v>
      </ns0:c>
      <ns0:c r="J315" s="20" t="n">
        <ns0:v>7267.208749253046</ns0:v>
      </ns0:c>
      <ns0:c r="K315" s="20" t="n">
        <ns0:v>1522.601964330832</ns0:v>
      </ns0:c>
      <ns0:c r="L315" s="20" t="n">
        <ns0:v>268318.6899627698</ns0:v>
      </ns0:c>
      <ns0:c r="M315" s="20" t="n">
        <ns0:v>83366.49062817459</ns0:v>
      </ns0:c>
      <ns0:c r="N315" s="20" t="n">
        <ns0:v>4070.304987995241</ns0:v>
      </ns0:c>
      <ns0:c r="O315" s="20" t="n">
        <ns0:v>84147.89993886786</ns0:v>
      </ns0:c>
      <ns0:c r="P315" s="20" t="n">
        <ns0:v>160587.1229823183</ns0:v>
      </ns0:c>
      <ns0:c r="Q315" s="20" t="n">
        <ns0:v>351685.1805909444</ns0:v>
      </ns0:c>
      <ns0:c r="R315" s="20" t="n">
        <ns0:v>1090077.411025449</ns0:v>
      </ns0:c>
      <ns0:c r="S315" s="20" t="n">
        <ns0:v>3727450.217546215</ns0:v>
      </ns0:c>
    </ns0:row>
    <ns0:row r="316" ht="32" customHeight="1">
      <ns0:c r="A316" s="20" t="inlineStr">
        <ns0:is>
          <ns0:t>product20</ns0:t>
        </ns0:is>
      </ns0:c>
      <ns0:c r="B316" s="22" t="n">
        <ns0:v>0.1</ns0:v>
      </ns0:c>
      <ns0:c r="C316" s="20" t="n">
        <ns0:v>0</ns0:v>
      </ns0:c>
      <ns0:c r="D316" s="20" t="inlineStr">
        <ns0:is>
          <ns0:t>floor</ns0:t>
        </ns0:is>
      </ns0:c>
      <ns0:c r="E316" s="20" t="inlineStr">
        <ns0:is>
          <ns0:t>混在・パック70%</ns0:t>
        </ns0:is>
      </ns0:c>
      <ns0:c r="F316" s="22" t="n">
        <ns0:v>0.5</ns0:v>
      </ns0:c>
      <ns0:c r="G316" s="20" t="n">
        <ns0:v>10</ns0:v>
      </ns0:c>
      <ns0:c r="H316" s="20" t="n">
        <ns0:v>10</ns0:v>
      </ns0:c>
      <ns0:c r="I316" s="20" t="n">
        <ns0:v>27</ns0:v>
      </ns0:c>
      <ns0:c r="J316" s="20" t="n">
        <ns0:v>7267.208749253046</ns0:v>
      </ns0:c>
      <ns0:c r="K316" s="20" t="n">
        <ns0:v>1903.25245541354</ns0:v>
      </ns0:c>
      <ns0:c r="L316" s="20" t="n">
        <ns0:v>239540.0907252872</ns0:v>
      </ns0:c>
      <ns0:c r="M316" s="20" t="n">
        <ns0:v>74080.04075738642</ns0:v>
      </ns0:c>
      <ns0:c r="N316" s="20" t="n">
        <ns0:v>263.8000771681691</ns0:v>
      </ns0:c>
      <ns0:c r="O316" s="20" t="n">
        <ns0:v>72728.38520638664</ns0:v>
      </ns0:c>
      <ns0:c r="P316" s="20" t="n">
        <ns0:v>141554.5984281829</ns0:v>
      </ns0:c>
      <ns0:c r="Q316" s="20" t="n">
        <ns0:v>313620.1314826736</ns0:v>
      </ns0:c>
      <ns0:c r="R316" s="20" t="n">
        <ns0:v>975882.2637006368</ns0:v>
      </ns0:c>
      <ns0:c r="S316" s="20" t="n">
        <ns0:v>3346799.726463507</ns0:v>
      </ns0:c>
    </ns0:row>
    <ns0:row r="317" ht="32" customHeight="1">
      <ns0:c r="A317" s="20" t="inlineStr">
        <ns0:is>
          <ns0:t>product20</ns0:t>
        </ns0:is>
      </ns0:c>
      <ns0:c r="B317" s="22" t="n">
        <ns0:v>0.1</ns0:v>
      </ns0:c>
      <ns0:c r="C317" s="20" t="n">
        <ns0:v>0</ns0:v>
      </ns0:c>
      <ns0:c r="D317" s="20" t="inlineStr">
        <ns0:is>
          <ns0:t>add</ns0:t>
        </ns0:is>
      </ns0:c>
      <ns0:c r="E317" s="20" t="inlineStr">
        <ns0:is>
          <ns0:t>パック単独</ns0:t>
        </ns0:is>
      </ns0:c>
      <ns0:c r="F317" s="22" t="n">
        <ns0:v>0.4</ns0:v>
      </ns0:c>
      <ns0:c r="G317" s="20" t="n">
        <ns0:v>13</ns0:v>
      </ns0:c>
      <ns0:c r="H317" s="20" t="n">
        <ns0:v>13</ns0:v>
      </ns0:c>
      <ns0:c r="I317" s="20" t="n">
        <ns0:v>21</ns0:v>
      </ns0:c>
      <ns0:c r="J317" s="20" t="n">
        <ns0:v>8288.379888268153</ns0:v>
      </ns0:c>
      <ns0:c r="K317" s="20" t="n">
        <ns0:v>1697.251396648044</ns0:v>
      </ns0:c>
      <ns0:c r="L317" s="20" t="n">
        <ns0:v>277873.1534868894</ns0:v>
      </ns0:c>
      <ns0:c r="M317" s="20" t="n">
        <ns0:v>105045.025338154</ns0:v>
      </ns0:c>
      <ns0:c r="N317" s="20" t="n">
        <ns0:v>-2918.023281172676</ns0:v>
      </ns0:c>
      <ns0:c r="O317" s="20" t="n">
        <ns0:v>77767.79940909756</ns0:v>
      </ns0:c>
      <ns0:c r="P317" s="20" t="n">
        <ns0:v>164953.6220993678</ns0:v>
      </ns0:c>
      <ns0:c r="Q317" s="20" t="n">
        <ns0:v>382918.1788250434</ns0:v>
      </ns0:c>
      <ns0:c r="R317" s="20" t="n">
        <ns0:v>1228776.405727745</ns0:v>
      </ns0:c>
      <ns0:c r="S317" s="20" t="n">
        <ns0:v>4242280.199887203</ns0:v>
      </ns0:c>
    </ns0:row>
    <ns0:row r="318" ht="32" customHeight="1">
      <ns0:c r="A318" s="20" t="inlineStr">
        <ns0:is>
          <ns0:t>product20</ns0:t>
        </ns0:is>
      </ns0:c>
      <ns0:c r="B318" s="22" t="n">
        <ns0:v>0.1</ns0:v>
      </ns0:c>
      <ns0:c r="C318" s="20" t="n">
        <ns0:v>0</ns0:v>
      </ns0:c>
      <ns0:c r="D318" s="20" t="inlineStr">
        <ns0:is>
          <ns0:t>add</ns0:t>
        </ns0:is>
      </ns0:c>
      <ns0:c r="E318" s="20" t="inlineStr">
        <ns0:is>
          <ns0:t>パック単独</ns0:t>
        </ns0:is>
      </ns0:c>
      <ns0:c r="F318" s="22" t="n">
        <ns0:v>0.5</ns0:v>
      </ns0:c>
      <ns0:c r="G318" s="20" t="n">
        <ns0:v>14</ns0:v>
      </ns0:c>
      <ns0:c r="H318" s="20" t="n">
        <ns0:v>14</ns0:v>
      </ns0:c>
      <ns0:c r="I318" s="20" t="n">
        <ns0:v>22</ns0:v>
      </ns0:c>
      <ns0:c r="J318" s="20" t="n">
        <ns0:v>8288.379888268153</ns0:v>
      </ns0:c>
      <ns0:c r="K318" s="20" t="n">
        <ns0:v>2121.564245810055</ns0:v>
      </ns0:c>
      <ns0:c r="L318" s="20" t="n">
        <ns0:v>246288.9044336848</ns0:v>
      </ns0:c>
      <ns0:c r="M318" s="20" t="n">
        <ns0:v>94197.98947515746</ns0:v>
      </ns0:c>
      <ns0:c r="N318" s="20" t="n">
        <ns0:v>-7161.151772792784</ns0:v>
      </ns0:c>
      <ns0:c r="O318" s="20" t="n">
        <ns0:v>65038.41393423723</ns0:v>
      </ns0:c>
      <ns0:c r="P318" s="20" t="n">
        <ns0:v>143737.9796412672</ns0:v>
      </ns0:c>
      <ns0:c r="Q318" s="20" t="n">
        <ns0:v>340486.8939088423</ns0:v>
      </ns0:c>
      <ns0:c r="R318" s="20" t="n">
        <ns0:v>1101482.550979142</ns0:v>
      </ns0:c>
      <ns0:c r="S318" s="20" t="n">
        <ns0:v>3817967.350725192</ns0:v>
      </ns0:c>
    </ns0:row>
    <ns0:row r="319" ht="32" customHeight="1">
      <ns0:c r="A319" s="20" t="inlineStr">
        <ns0:is>
          <ns0:t>product20</ns0:t>
        </ns0:is>
      </ns0:c>
      <ns0:c r="B319" s="22" t="n">
        <ns0:v>0.1</ns0:v>
      </ns0:c>
      <ns0:c r="C319" s="20" t="n">
        <ns0:v>0</ns0:v>
      </ns0:c>
      <ns0:c r="D319" s="20" t="inlineStr">
        <ns0:is>
          <ns0:t>add</ns0:t>
        </ns0:is>
      </ns0:c>
      <ns0:c r="E319" s="20" t="inlineStr">
        <ns0:is>
          <ns0:t>混在・パック30%</ns0:t>
        </ns0:is>
      </ns0:c>
      <ns0:c r="F319" s="22" t="n">
        <ns0:v>0.4</ns0:v>
      </ns0:c>
      <ns0:c r="G319" s="20" t="n">
        <ns0:v>16</ns0:v>
      </ns0:c>
      <ns0:c r="H319" s="20" t="n">
        <ns0:v>18</ns0:v>
      </ns0:c>
      <ns0:c r="I319" s="20" t="n">
        <ns0:v>33</ns0:v>
      </ns0:c>
      <ns0:c r="J319" s="20" t="n">
        <ns0:v>5905.647230566238</ns0:v>
      </ns0:c>
      <ns0:c r="K319" s="20" t="n">
        <ns0:v>1289.736054574549</ns0:v>
      </ns0:c>
      <ns0:c r="L319" s="20" t="n">
        <ns0:v>203079.4052639439</ns0:v>
      </ns0:c>
      <ns0:c r="M319" s="20" t="n">
        <ns0:v>54461.77768153541</ns0:v>
      </ns0:c>
      <ns0:c r="N319" s="20" t="n">
        <ns0:v>-15455.72286912909</ns0:v>
      </ns0:c>
      <ns0:c r="O319" s="20" t="n">
        <ns0:v>40154.70064522834</ns0:v>
      </ns0:c>
      <ns0:c r="P319" s="20" t="n">
        <ns0:v>102265.1241595857</ns0:v>
      </ns0:c>
      <ns0:c r="Q319" s="20" t="n">
        <ns0:v>257541.1829454793</ns0:v>
      </ns0:c>
      <ns0:c r="R319" s="20" t="n">
        <ns0:v>852645.4180890534</ns0:v>
      </ns0:c>
      <ns0:c r="S319" s="20" t="n">
        <ns0:v>2988510.241091564</ns0:v>
      </ns0:c>
    </ns0:row>
    <ns0:row r="320" ht="32" customHeight="1">
      <ns0:c r="A320" s="20" t="inlineStr">
        <ns0:is>
          <ns0:t>product20</ns0:t>
        </ns0:is>
      </ns0:c>
      <ns0:c r="B320" s="22" t="n">
        <ns0:v>0.1</ns0:v>
      </ns0:c>
      <ns0:c r="C320" s="20" t="n">
        <ns0:v>0</ns0:v>
      </ns0:c>
      <ns0:c r="D320" s="20" t="inlineStr">
        <ns0:is>
          <ns0:t>add</ns0:t>
        </ns0:is>
      </ns0:c>
      <ns0:c r="E320" s="20" t="inlineStr">
        <ns0:is>
          <ns0:t>混在・パック30%</ns0:t>
        </ns0:is>
      </ns0:c>
      <ns0:c r="F320" s="22" t="n">
        <ns0:v>0.5</ns0:v>
      </ns0:c>
      <ns0:c r="G320" s="20" t="n">
        <ns0:v>20</ns0:v>
      </ns0:c>
      <ns0:c r="H320" s="20" t="n">
        <ns0:v>20</ns0:v>
      </ns0:c>
      <ns0:c r="I320" s="20" t="n">
        <ns0:v>36</ns0:v>
      </ns0:c>
      <ns0:c r="J320" s="20" t="n">
        <ns0:v>5905.647230566238</ns0:v>
      </ns0:c>
      <ns0:c r="K320" s="20" t="n">
        <ns0:v>1612.170068218186</ns0:v>
      </ns0:c>
      <ns0:c r="L320" s="20" t="n">
        <ns0:v>178041.6724474239</ns0:v>
      </ns0:c>
      <ns0:c r="M320" s="20" t="n">
        <ns0:v>47256.10913369174</ns0:v>
      </ns0:c>
      <ns0:c r="N320" s="20" t="n">
        <ns0:v>-18680.06300556546</ns0:v>
      </ns0:c>
      <ns0:c r="O320" s="20" t="n">
        <ns0:v>30481.68023591921</ns0:v>
      </ns0:c>
      <ns0:c r="P320" s="20" t="n">
        <ns0:v>86143.42347740388</ns0:v>
      </ns0:c>
      <ns0:c r="Q320" s="20" t="n">
        <ns0:v>225297.7815811156</ns0:v>
      </ns0:c>
      <ns0:c r="R320" s="20" t="n">
        <ns0:v>755915.2139959623</ns0:v>
      </ns0:c>
      <ns0:c r="S320" s="20" t="n">
        <ns0:v>2666076.227447927</ns0:v>
      </ns0:c>
    </ns0:row>
    <ns0:row r="321" ht="32" customHeight="1">
      <ns0:c r="A321" s="20" t="inlineStr">
        <ns0:is>
          <ns0:t>product20</ns0:t>
        </ns0:is>
      </ns0:c>
      <ns0:c r="B321" s="22" t="n">
        <ns0:v>0.1</ns0:v>
      </ns0:c>
      <ns0:c r="C321" s="20" t="n">
        <ns0:v>0</ns0:v>
      </ns0:c>
      <ns0:c r="D321" s="20" t="inlineStr">
        <ns0:is>
          <ns0:t>add</ns0:t>
        </ns0:is>
      </ns0:c>
      <ns0:c r="E321" s="20" t="inlineStr">
        <ns0:is>
          <ns0:t>混在・パック50%</ns0:t>
        </ns0:is>
      </ns0:c>
      <ns0:c r="F321" s="22" t="n">
        <ns0:v>0.4</ns0:v>
      </ns0:c>
      <ns0:c r="G321" s="20" t="n">
        <ns0:v>16</ns0:v>
      </ns0:c>
      <ns0:c r="H321" s="20" t="n">
        <ns0:v>16</ns0:v>
      </ns0:c>
      <ns0:c r="I321" s="20" t="n">
        <ns0:v>28</ns0:v>
      </ns0:c>
      <ns0:c r="J321" s="20" t="n">
        <ns0:v>6586.427989909643</ns0:v>
      </ns0:c>
      <ns0:c r="K321" s="20" t="n">
        <ns0:v>1406.16900945269</ns0:v>
      </ns0:c>
      <ns0:c r="L321" s="20" t="n">
        <ns0:v>224449.047613357</ns0:v>
      </ns0:c>
      <ns0:c r="M321" s="20" t="n">
        <ns0:v>68914.13415485501</ns0:v>
      </ns0:c>
      <ns0:c r="N321" s="20" t="n">
        <ns0:v>-11873.52298685582</ns0:v>
      </ns0:c>
      <ns0:c r="O321" s="20" t="n">
        <ns0:v>50901.30029204811</ns0:v>
      </ns0:c>
      <ns0:c r="P321" s="20" t="n">
        <ns0:v>120176.1235709521</ns0:v>
      </ns0:c>
      <ns0:c r="Q321" s="20" t="n">
        <ns0:v>293363.181768212</ns0:v>
      </ns0:c>
      <ns0:c r="R321" s="20" t="n">
        <ns0:v>960111.4145572513</ns0:v>
      </ns0:c>
      <ns0:c r="S321" s="20" t="n">
        <ns0:v>3346730.229318889</ns0:v>
      </ns0:c>
    </ns0:row>
    <ns0:row r="322" ht="32" customHeight="1">
      <ns0:c r="A322" s="20" t="inlineStr">
        <ns0:is>
          <ns0:t>product20</ns0:t>
        </ns0:is>
      </ns0:c>
      <ns0:c r="B322" s="22" t="n">
        <ns0:v>0.1</ns0:v>
      </ns0:c>
      <ns0:c r="C322" s="20" t="n">
        <ns0:v>0</ns0:v>
      </ns0:c>
      <ns0:c r="D322" s="20" t="inlineStr">
        <ns0:is>
          <ns0:t>add</ns0:t>
        </ns0:is>
      </ns0:c>
      <ns0:c r="E322" s="20" t="inlineStr">
        <ns0:is>
          <ns0:t>混在・パック50%</ns0:t>
        </ns0:is>
      </ns0:c>
      <ns0:c r="F322" s="22" t="n">
        <ns0:v>0.5</ns0:v>
      </ns0:c>
      <ns0:c r="G322" s="20" t="n">
        <ns0:v>18</ns0:v>
      </ns0:c>
      <ns0:c r="H322" s="20" t="n">
        <ns0:v>18</ns0:v>
      </ns0:c>
      <ns0:c r="I322" s="20" t="n">
        <ns0:v>31</ns0:v>
      </ns0:c>
      <ns0:c r="J322" s="20" t="n">
        <ns0:v>6586.427989909643</ns0:v>
      </ns0:c>
      <ns0:c r="K322" s="20" t="n">
        <ns0:v>1757.711261815863</ns0:v>
      </ns0:c>
      <ns0:c r="L322" s="20" t="n">
        <ns0:v>197540.8815863557</ns0:v>
      </ns0:c>
      <ns0:c r="M322" s="20" t="n">
        <ns0:v>60668.07494553908</ns0:v>
      </ns0:c>
      <ns0:c r="N322" s="20" t="n">
        <ns0:v>-15388.94551048755</ns0:v>
      </ns0:c>
      <ns0:c r="O322" s="20" t="n">
        <ns0:v>40355.03272115295</ns0:v>
      </ns0:c>
      <ns0:c r="P322" s="20" t="n">
        <ns0:v>102599.0109527935</ns0:v>
      </ns0:c>
      <ns0:c r="Q322" s="20" t="n">
        <ns0:v>258208.9565318947</ns0:v>
      </ns0:c>
      <ns0:c r="R322" s="20" t="n">
        <ns0:v>854648.7388482997</ns0:v>
      </ns0:c>
      <ns0:c r="S322" s="20" t="n">
        <ns0:v>2995187.976955716</ns0:v>
      </ns0:c>
    </ns0:row>
    <ns0:row r="323" ht="32" customHeight="1">
      <ns0:c r="A323" s="20" t="inlineStr">
        <ns0:is>
          <ns0:t>product20</ns0:t>
        </ns0:is>
      </ns0:c>
      <ns0:c r="B323" s="22" t="n">
        <ns0:v>0.1</ns0:v>
      </ns0:c>
      <ns0:c r="C323" s="20" t="n">
        <ns0:v>0</ns0:v>
      </ns0:c>
      <ns0:c r="D323" s="20" t="inlineStr">
        <ns0:is>
          <ns0:t>add</ns0:t>
        </ns0:is>
      </ns0:c>
      <ns0:c r="E323" s="20" t="inlineStr">
        <ns0:is>
          <ns0:t>混在・パック70%</ns0:t>
        </ns0:is>
      </ns0:c>
      <ns0:c r="F323" s="22" t="n">
        <ns0:v>0.4</ns0:v>
      </ns0:c>
      <ns0:c r="G323" s="20" t="n">
        <ns0:v>14</ns0:v>
      </ns0:c>
      <ns0:c r="H323" s="20" t="n">
        <ns0:v>14</ns0:v>
      </ns0:c>
      <ns0:c r="I323" s="20" t="n">
        <ns0:v>25</ns0:v>
      </ns0:c>
      <ns0:c r="J323" s="20" t="n">
        <ns0:v>7267.208749253046</ns0:v>
      </ns0:c>
      <ns0:c r="K323" s="20" t="n">
        <ns0:v>1522.601964330832</ns0:v>
      </ns0:c>
      <ns0:c r="L323" s="20" t="n">
        <ns0:v>245818.6899627698</ns0:v>
      </ns0:c>
      <ns0:c r="M323" s="20" t="n">
        <ns0:v>83366.49062817459</ns0:v>
      </ns0:c>
      <ns0:c r="N323" s="20" t="n">
        <ns0:v>-8291.323104582571</ns0:v>
      </ns0:c>
      <ns0:c r="O323" s="20" t="n">
        <ns0:v>61647.89993886786</ns0:v>
      </ns0:c>
      <ns0:c r="P323" s="20" t="n">
        <ns0:v>138087.1229823183</ns0:v>
      </ns0:c>
      <ns0:c r="Q323" s="20" t="n">
        <ns0:v>329185.1805909444</ns0:v>
      </ns0:c>
      <ns0:c r="R323" s="20" t="n">
        <ns0:v>1067577.411025449</ns0:v>
      </ns0:c>
      <ns0:c r="S323" s="20" t="n">
        <ns0:v>3704950.217546215</ns0:v>
      </ns0:c>
    </ns0:row>
    <ns0:row r="324" ht="32" customHeight="1">
      <ns0:c r="A324" s="20" t="inlineStr">
        <ns0:is>
          <ns0:t>product20</ns0:t>
        </ns0:is>
      </ns0:c>
      <ns0:c r="B324" s="22" t="n">
        <ns0:v>0.1</ns0:v>
      </ns0:c>
      <ns0:c r="C324" s="20" t="n">
        <ns0:v>0</ns0:v>
      </ns0:c>
      <ns0:c r="D324" s="20" t="inlineStr">
        <ns0:is>
          <ns0:t>add</ns0:t>
        </ns0:is>
      </ns0:c>
      <ns0:c r="E324" s="20" t="inlineStr">
        <ns0:is>
          <ns0:t>混在・パック70%</ns0:t>
        </ns0:is>
      </ns0:c>
      <ns0:c r="F324" s="22" t="n">
        <ns0:v>0.5</ns0:v>
      </ns0:c>
      <ns0:c r="G324" s="20" t="n">
        <ns0:v>16</ns0:v>
      </ns0:c>
      <ns0:c r="H324" s="20" t="n">
        <ns0:v>16</ns0:v>
      </ns0:c>
      <ns0:c r="I324" s="20" t="n">
        <ns0:v>27</ns0:v>
      </ns0:c>
      <ns0:c r="J324" s="20" t="n">
        <ns0:v>7267.208749253046</ns0:v>
      </ns0:c>
      <ns0:c r="K324" s="20" t="n">
        <ns0:v>1903.25245541354</ns0:v>
      </ns0:c>
      <ns0:c r="L324" s="20" t="n">
        <ns0:v>217040.0907252872</ns0:v>
      </ns0:c>
      <ns0:c r="M324" s="20" t="n">
        <ns0:v>74080.04075738642</ns0:v>
      </ns0:c>
      <ns0:c r="N324" s="20" t="n">
        <ns0:v>-12097.82801540964</ns0:v>
      </ns0:c>
      <ns0:c r="O324" s="20" t="n">
        <ns0:v>50228.38520638664</ns0:v>
      </ns0:c>
      <ns0:c r="P324" s="20" t="n">
        <ns0:v>119054.5984281829</ns0:v>
      </ns0:c>
      <ns0:c r="Q324" s="20" t="n">
        <ns0:v>291120.1314826736</ns0:v>
      </ns0:c>
      <ns0:c r="R324" s="20" t="n">
        <ns0:v>953382.2637006368</ns0:v>
      </ns0:c>
      <ns0:c r="S324" s="20" t="n">
        <ns0:v>3324299.726463507</ns0:v>
      </ns0:c>
    </ns0:row>
    <ns0:row r="325" ht="32" customHeight="1">
      <ns0:c r="A325" s="20" t="inlineStr">
        <ns0:is>
          <ns0:t>product20</ns0:t>
        </ns0:is>
      </ns0:c>
      <ns0:c r="B325" s="22" t="n">
        <ns0:v>0.2</ns0:v>
      </ns0:c>
      <ns0:c r="C325" s="20" t="n">
        <ns0:v>1</ns0:v>
      </ns0:c>
      <ns0:c r="D325" s="20" t="inlineStr">
        <ns0:is>
          <ns0:t>floor</ns0:t>
        </ns0:is>
      </ns0:c>
      <ns0:c r="E325" s="20" t="inlineStr">
        <ns0:is>
          <ns0:t>パック単独</ns0:t>
        </ns0:is>
      </ns0:c>
      <ns0:c r="F325" s="22" t="n">
        <ns0:v>0.4</ns0:v>
      </ns0:c>
      <ns0:c r="G325" s="20" t="n">
        <ns0:v>20</ns0:v>
      </ns0:c>
      <ns0:c r="H325" s="20" t="n">
        <ns0:v>20</ns0:v>
      </ns0:c>
      <ns0:c r="I325" s="20" t="n">
        <ns0:v>191</ns0:v>
      </ns0:c>
      <ns0:c r="J325" s="20" t="n">
        <ns0:v>8288.379888268157</ns0:v>
      </ns0:c>
      <ns0:c r="K325" s="20" t="n">
        <ns0:v>1697.251396648044</ns0:v>
      </ns0:c>
      <ns0:c r="L325" s="20" t="n">
        <ns0:v>224186.9337475972</ns0:v>
      </ns0:c>
      <ns0:c r="M325" s="20" t="n">
        <ns0:v>-4877.598550931369</ns0:v>
      </ns0:c>
      <ns0:c r="N325" s="20" t="n">
        <ns0:v>-20943.43278367526</ns0:v>
      </ns0:c>
      <ns0:c r="O325" s="20" t="n">
        <ns0:v>27635.14632058425</ns0:v>
      </ns0:c>
      <ns0:c r="P325" s="20" t="n">
        <ns0:v>82399.20028517902</ns0:v>
      </ns0:c>
      <ns0:c r="Q325" s="20" t="n">
        <ns0:v>219309.3351966658</ns0:v>
      </ns0:c>
      <ns0:c r="R325" s="20" t="n">
        <ns0:v>724949.8748426127</ns0:v>
      </ns0:c>
      <ns0:c r="S325" s="20" t="n">
        <ns0:v>2571691.763603428</ns0:v>
      </ns0:c>
    </ns0:row>
    <ns0:row r="326" ht="32" customHeight="1">
      <ns0:c r="A326" s="20" t="inlineStr">
        <ns0:is>
          <ns0:t>product20</ns0:t>
        </ns0:is>
      </ns0:c>
      <ns0:c r="B326" s="22" t="n">
        <ns0:v>0.2</ns0:v>
      </ns0:c>
      <ns0:c r="C326" s="20" t="n">
        <ns0:v>1</ns0:v>
      </ns0:c>
      <ns0:c r="D326" s="20" t="inlineStr">
        <ns0:is>
          <ns0:t>floor</ns0:t>
        </ns0:is>
      </ns0:c>
      <ns0:c r="E326" s="20" t="inlineStr">
        <ns0:is>
          <ns0:t>パック単独</ns0:t>
        </ns0:is>
      </ns0:c>
      <ns0:c r="F326" s="22" t="n">
        <ns0:v>0.5</ns0:v>
      </ns0:c>
      <ns0:c r="G326" s="20" t="n">
        <ns0:v>24</ns0:v>
      </ns0:c>
      <ns0:c r="H326" s="20" t="n">
        <ns0:v>24</ns0:v>
      </ns0:c>
      <ns0:c r="I326" s="20" t="n">
        <ns0:v>301</ns0:v>
      </ns0:c>
      <ns0:c r="J326" s="20" t="n">
        <ns0:v>8288.379888268157</ns0:v>
      </ns0:c>
      <ns0:c r="K326" s="20" t="n">
        <ns0:v>2121.564245810056</ns0:v>
      </ns0:c>
      <ns0:c r="L326" s="20" t="n">
        <ns0:v>192602.6846943927</ns0:v>
      </ns0:c>
      <ns0:c r="M326" s="20" t="n">
        <ns0:v>-15724.6344139279</ns0:v>
      </ns0:c>
      <ns0:c r="N326" s="20" t="n">
        <ns0:v>-25186.56127529536</ns0:v>
      </ns0:c>
      <ns0:c r="O326" s="20" t="n">
        <ns0:v>14905.7608457239</ns0:v>
      </ns0:c>
      <ns0:c r="P326" s="20" t="n">
        <ns0:v>61183.55782707848</ns0:v>
      </ns0:c>
      <ns0:c r="Q326" s="20" t="n">
        <ns0:v>176878.0502804648</ns0:v>
      </ns0:c>
      <ns0:c r="R326" s="20" t="n">
        <ns0:v>597656.0200940093</ns0:v>
      </ns0:c>
      <ns0:c r="S326" s="20" t="n">
        <ns0:v>2147378.914441416</ns0:v>
      </ns0:c>
    </ns0:row>
    <ns0:row r="327" ht="32" customHeight="1">
      <ns0:c r="A327" s="20" t="inlineStr">
        <ns0:is>
          <ns0:t>product20</ns0:t>
        </ns0:is>
      </ns0:c>
      <ns0:c r="B327" s="22" t="n">
        <ns0:v>0.2</ns0:v>
      </ns0:c>
      <ns0:c r="C327" s="20" t="n">
        <ns0:v>1</ns0:v>
      </ns0:c>
      <ns0:c r="D327" s="20" t="inlineStr">
        <ns0:is>
          <ns0:t>floor</ns0:t>
        </ns0:is>
      </ns0:c>
      <ns0:c r="E327" s="20" t="inlineStr">
        <ns0:is>
          <ns0:t>混在・パック30%</ns0:t>
        </ns0:is>
      </ns0:c>
      <ns0:c r="F327" s="22" t="n">
        <ns0:v>0.4</ns0:v>
      </ns0:c>
      <ns0:c r="G327" s="20" t="n">
        <ns0:v>27</ns0:v>
      </ns0:c>
      <ns0:c r="H327" s="20" t="n">
        <ns0:v>27</ns0:v>
      </ns0:c>
      <ns0:c r="I327" s="20" t="n">
        <ns0:v>274</ns0:v>
      </ns0:c>
      <ns0:c r="J327" s="20" t="n">
        <ns0:v>5905.647230566239</ns0:v>
      </ns0:c>
      <ns0:c r="K327" s="20" t="n">
        <ns0:v>1289.736054574549</ns0:v>
      </ns0:c>
      <ns0:c r="L327" s="20" t="n">
        <ns0:v>167449.0514464393</ns0:v>
      </ns0:c>
      <ns0:c r="M327" s="20" t="n">
        <ns0:v>-13872.74185258493</ns0:v>
      </ns0:c>
      <ns0:c r="N327" s="20" t="n">
        <ns0:v>-31772.37780205694</ns0:v>
      </ns0:c>
      <ns0:c r="O327" s="20" t="n">
        <ns0:v>7915.238639740848</ns0:v>
      </ns0:c>
      <ns0:c r="P327" s="20" t="n">
        <ns0:v>49532.68748377331</ns0:v>
      </ns0:c>
      <ns0:c r="Q327" s="20" t="n">
        <ns0:v>153576.3095938544</ns0:v>
      </ns0:c>
      <ns0:c r="R327" s="20" t="n">
        <ns0:v>527750.798034179</ns0:v>
      </ns0:c>
      <ns0:c r="S327" s="20" t="n">
        <ns0:v>1914361.507575314</ns0:v>
      </ns0:c>
    </ns0:row>
    <ns0:row r="328" ht="32" customHeight="1">
      <ns0:c r="A328" s="20" t="inlineStr">
        <ns0:is>
          <ns0:t>product20</ns0:t>
        </ns0:is>
      </ns0:c>
      <ns0:c r="B328" s="22" t="n">
        <ns0:v>0.2</ns0:v>
      </ns0:c>
      <ns0:c r="C328" s="20" t="n">
        <ns0:v>1</ns0:v>
      </ns0:c>
      <ns0:c r="D328" s="20" t="inlineStr">
        <ns0:is>
          <ns0:t>floor</ns0:t>
        </ns0:is>
      </ns0:c>
      <ns0:c r="E328" s="20" t="inlineStr">
        <ns0:is>
          <ns0:t>混在・パック30%</ns0:t>
        </ns0:is>
      </ns0:c>
      <ns0:c r="F328" s="22" t="n">
        <ns0:v>0.5</ns0:v>
      </ns0:c>
      <ns0:c r="G328" s="20" t="n">
        <ns0:v>31</ns0:v>
      </ns0:c>
      <ns0:c r="H328" s="20" t="n">
        <ns0:v>31</ns0:v>
      </ns0:c>
      <ns0:c r="I328" s="20" t="n">
        <ns0:v>421</ns0:v>
      </ns0:c>
      <ns0:c r="J328" s="20" t="n">
        <ns0:v>5905.647230566239</ns0:v>
      </ns0:c>
      <ns0:c r="K328" s="20" t="n">
        <ns0:v>1612.170068218186</ns0:v>
      </ns0:c>
      <ns0:c r="L328" s="20" t="n">
        <ns0:v>142411.3186299193</ns0:v>
      </ns0:c>
      <ns0:c r="M328" s="20" t="n">
        <ns0:v>-21078.4104004286</ns0:v>
      </ns0:c>
      <ns0:c r="N328" s="20" t="n">
        <ns0:v>-34996.71793849331</ns0:v>
      </ns0:c>
      <ns0:c r="O328" s="20" t="n">
        <ns0:v>-1757.781769568261</ns0:v>
      </ns0:c>
      <ns0:c r="P328" s="20" t="n">
        <ns0:v>33410.98680159145</ns0:v>
      </ns0:c>
      <ns0:c r="Q328" s="20" t="n">
        <ns0:v>121332.9082294907</ns0:v>
      </ns0:c>
      <ns0:c r="R328" s="20" t="n">
        <ns0:v>431020.5939410878</ns0:v>
      </ns0:c>
      <ns0:c r="S328" s="20" t="n">
        <ns0:v>1591927.493931677</ns0:v>
      </ns0:c>
    </ns0:row>
    <ns0:row r="329" ht="32" customHeight="1">
      <ns0:c r="A329" s="20" t="inlineStr">
        <ns0:is>
          <ns0:t>product20</ns0:t>
        </ns0:is>
      </ns0:c>
      <ns0:c r="B329" s="22" t="n">
        <ns0:v>0.2</ns0:v>
      </ns0:c>
      <ns0:c r="C329" s="20" t="n">
        <ns0:v>1</ns0:v>
      </ns0:c>
      <ns0:c r="D329" s="20" t="inlineStr">
        <ns0:is>
          <ns0:t>floor</ns0:t>
        </ns0:is>
      </ns0:c>
      <ns0:c r="E329" s="20" t="inlineStr">
        <ns0:is>
          <ns0:t>混在・パック50%</ns0:t>
        </ns0:is>
      </ns0:c>
      <ns0:c r="F329" s="22" t="n">
        <ns0:v>0.4</ns0:v>
      </ns0:c>
      <ns0:c r="G329" s="20" t="n">
        <ns0:v>25</ns0:v>
      </ns0:c>
      <ns0:c r="H329" s="20" t="n">
        <ns0:v>25</ns0:v>
      </ns0:c>
      <ns0:c r="I329" s="20" t="n">
        <ns0:v>244</ns0:v>
      </ns0:c>
      <ns0:c r="J329" s="20" t="n">
        <ns0:v>6586.427989909645</ns0:v>
      </ns0:c>
      <ns0:c r="K329" s="20" t="n">
        <ns0:v>1406.16900945269</ns0:v>
      </ns0:c>
      <ns0:c r="L329" s="20" t="n">
        <ns0:v>183659.8749610558</ns0:v>
      </ns0:c>
      <ns0:c r="M329" s="20" t="n">
        <ns0:v>-11302.70090925534</ns0:v>
      </ns0:c>
      <ns0:c r="N329" s="20" t="n">
        <ns0:v>-28678.39351109073</ns0:v>
      </ns0:c>
      <ns0:c r="O329" s="20" t="n">
        <ns0:v>13549.49797712467</ns0:v>
      </ns0:c>
      <ns0:c r="P329" s="20" t="n">
        <ns0:v>58923.11971274634</ns0:v>
      </ns0:c>
      <ns0:c r="Q329" s="20" t="n">
        <ns0:v>172357.1740518005</ns0:v>
      </ns0:c>
      <ns0:c r="R329" s="20" t="n">
        <ns0:v>584093.3914080168</ns0:v>
      </ns0:c>
      <ns0:c r="S329" s="20" t="n">
        <ns0:v>2102170.152154774</ns0:v>
      </ns0:c>
    </ns0:row>
    <ns0:row r="330" ht="32" customHeight="1">
      <ns0:c r="A330" s="20" t="inlineStr">
        <ns0:is>
          <ns0:t>product20</ns0:t>
        </ns0:is>
      </ns0:c>
      <ns0:c r="B330" s="22" t="n">
        <ns0:v>0.2</ns0:v>
      </ns0:c>
      <ns0:c r="C330" s="20" t="n">
        <ns0:v>1</ns0:v>
      </ns0:c>
      <ns0:c r="D330" s="20" t="inlineStr">
        <ns0:is>
          <ns0:t>floor</ns0:t>
        </ns0:is>
      </ns0:c>
      <ns0:c r="E330" s="20" t="inlineStr">
        <ns0:is>
          <ns0:t>混在・パック50%</ns0:t>
        </ns0:is>
      </ns0:c>
      <ns0:c r="F330" s="22" t="n">
        <ns0:v>0.5</ns0:v>
      </ns0:c>
      <ns0:c r="G330" s="20" t="n">
        <ns0:v>29</ns0:v>
      </ns0:c>
      <ns0:c r="H330" s="20" t="n">
        <ns0:v>29</ns0:v>
      </ns0:c>
      <ns0:c r="I330" s="20" t="n">
        <ns0:v>378</ns0:v>
      </ns0:c>
      <ns0:c r="J330" s="20" t="n">
        <ns0:v>6586.427989909645</ns0:v>
      </ns0:c>
      <ns0:c r="K330" s="20" t="n">
        <ns0:v>1757.711261815863</ns0:v>
      </ns0:c>
      <ns0:c r="L330" s="20" t="n">
        <ns0:v>156751.7089340545</ns0:v>
      </ns0:c>
      <ns0:c r="M330" s="20" t="n">
        <ns0:v>-19548.76011857126</ns0:v>
      </ns0:c>
      <ns0:c r="N330" s="20" t="n">
        <ns0:v>-32193.81603472246</ns0:v>
      </ns0:c>
      <ns0:c r="O330" s="20" t="n">
        <ns0:v>3003.230406229486</ns0:v>
      </ns0:c>
      <ns0:c r="P330" s="20" t="n">
        <ns0:v>41346.00709458771</ns0:v>
      </ns0:c>
      <ns0:c r="Q330" s="20" t="n">
        <ns0:v>137202.9488154832</ns0:v>
      </ns0:c>
      <ns0:c r="R330" s="20" t="n">
        <ns0:v>478630.7156990653</ns0:v>
      </ns0:c>
      <ns0:c r="S330" s="20" t="n">
        <ns0:v>1750627.899791602</ns0:v>
      </ns0:c>
    </ns0:row>
    <ns0:row r="331" ht="32" customHeight="1">
      <ns0:c r="A331" s="20" t="inlineStr">
        <ns0:is>
          <ns0:t>product20</ns0:t>
        </ns0:is>
      </ns0:c>
      <ns0:c r="B331" s="22" t="n">
        <ns0:v>0.2</ns0:v>
      </ns0:c>
      <ns0:c r="C331" s="20" t="n">
        <ns0:v>1</ns0:v>
      </ns0:c>
      <ns0:c r="D331" s="20" t="inlineStr">
        <ns0:is>
          <ns0:t>floor</ns0:t>
        </ns0:is>
      </ns0:c>
      <ns0:c r="E331" s="20" t="inlineStr">
        <ns0:is>
          <ns0:t>混在・パック70%</ns0:t>
        </ns0:is>
      </ns0:c>
      <ns0:c r="F331" s="22" t="n">
        <ns0:v>0.4</ns0:v>
      </ns0:c>
      <ns0:c r="G331" s="20" t="n">
        <ns0:v>23</ns0:v>
      </ns0:c>
      <ns0:c r="H331" s="20" t="n">
        <ns0:v>23</ns0:v>
      </ns0:c>
      <ns0:c r="I331" s="20" t="n">
        <ns0:v>220</ns0:v>
      </ns0:c>
      <ns0:c r="J331" s="20" t="n">
        <ns0:v>7267.208749253049</ns0:v>
      </ns0:c>
      <ns0:c r="K331" s="20" t="n">
        <ns0:v>1522.601964330832</ns0:v>
      </ns0:c>
      <ns0:c r="L331" s="20" t="n">
        <ns0:v>199870.6984756723</ns0:v>
      </ns0:c>
      <ns0:c r="M331" s="20" t="n">
        <ns0:v>-8732.659965925748</ns0:v>
      </ns0:c>
      <ns0:c r="N331" s="20" t="n">
        <ns0:v>-25584.40922012454</ns0:v>
      </ns0:c>
      <ns0:c r="O331" s="20" t="n">
        <ns0:v>19183.75731450852</ns0:v>
      </ns0:c>
      <ns0:c r="P331" s="20" t="n">
        <ns0:v>68313.5519417194</ns0:v>
      </ns0:c>
      <ns0:c r="Q331" s="20" t="n">
        <ns0:v>191138.0385097466</ns0:v>
      </ns0:c>
      <ns0:c r="R331" s="20" t="n">
        <ns0:v>640435.9847818555</ns0:v>
      </ns0:c>
      <ns0:c r="S331" s="20" t="n">
        <ns0:v>2289978.796734237</ns0:v>
      </ns0:c>
    </ns0:row>
    <ns0:row r="332" ht="32" customHeight="1">
      <ns0:c r="A332" s="20" t="inlineStr">
        <ns0:is>
          <ns0:t>product20</ns0:t>
        </ns0:is>
      </ns0:c>
      <ns0:c r="B332" s="22" t="n">
        <ns0:v>0.2</ns0:v>
      </ns0:c>
      <ns0:c r="C332" s="20" t="n">
        <ns0:v>1</ns0:v>
      </ns0:c>
      <ns0:c r="D332" s="20" t="inlineStr">
        <ns0:is>
          <ns0:t>floor</ns0:t>
        </ns0:is>
      </ns0:c>
      <ns0:c r="E332" s="20" t="inlineStr">
        <ns0:is>
          <ns0:t>混在・パック70%</ns0:t>
        </ns0:is>
      </ns0:c>
      <ns0:c r="F332" s="22" t="n">
        <ns0:v>0.5</ns0:v>
      </ns0:c>
      <ns0:c r="G332" s="20" t="n">
        <ns0:v>27</ns0:v>
      </ns0:c>
      <ns0:c r="H332" s="20" t="n">
        <ns0:v>27</ns0:v>
      </ns0:c>
      <ns0:c r="I332" s="20" t="n">
        <ns0:v>343</ns0:v>
      </ns0:c>
      <ns0:c r="J332" s="20" t="n">
        <ns0:v>7267.208749253049</ns0:v>
      </ns0:c>
      <ns0:c r="K332" s="20" t="n">
        <ns0:v>1903.25245541354</ns0:v>
      </ns0:c>
      <ns0:c r="L332" s="20" t="n">
        <ns0:v>171092.0992381897</ns0:v>
      </ns0:c>
      <ns0:c r="M332" s="20" t="n">
        <ns0:v>-18019.10983671392</ns0:v>
      </ns0:c>
      <ns0:c r="N332" s="20" t="n">
        <ns0:v>-29390.91413095162</ns0:v>
      </ns0:c>
      <ns0:c r="O332" s="20" t="n">
        <ns0:v>7764.242582027284</ns0:v>
      </ns0:c>
      <ns0:c r="P332" s="20" t="n">
        <ns0:v>49281.02738758399</ns0:v>
      </ns0:c>
      <ns0:c r="Q332" s="20" t="n">
        <ns0:v>153072.9894014758</ns0:v>
      </ns0:c>
      <ns0:c r="R332" s="20" t="n">
        <ns0:v>526240.8374570431</ns0:v>
      </ns0:c>
      <ns0:c r="S332" s="20" t="n">
        <ns0:v>1909328.305651529</ns0:v>
      </ns0:c>
    </ns0:row>
    <ns0:row r="333" ht="32" customHeight="1">
      <ns0:c r="A333" s="20" t="inlineStr">
        <ns0:is>
          <ns0:t>product20</ns0:t>
        </ns0:is>
      </ns0:c>
      <ns0:c r="B333" s="22" t="n">
        <ns0:v>0.2</ns0:v>
      </ns0:c>
      <ns0:c r="C333" s="20" t="n">
        <ns0:v>1</ns0:v>
      </ns0:c>
      <ns0:c r="D333" s="20" t="inlineStr">
        <ns0:is>
          <ns0:t>add</ns0:t>
        </ns0:is>
      </ns0:c>
      <ns0:c r="E333" s="20" t="inlineStr">
        <ns0:is>
          <ns0:t>パック単独</ns0:t>
        </ns0:is>
      </ns0:c>
      <ns0:c r="F333" s="22" t="n">
        <ns0:v>0.4</ns0:v>
      </ns0:c>
      <ns0:c r="G333" s="20" t="n">
        <ns0:v>29</ns0:v>
      </ns0:c>
      <ns0:c r="H333" s="20" t="n">
        <ns0:v>29</ns0:v>
      </ns0:c>
      <ns0:c r="I333" s="20" t="n">
        <ns0:v>191</ns0:v>
      </ns0:c>
      <ns0:c r="J333" s="20" t="n">
        <ns0:v>8288.379888268157</ns0:v>
      </ns0:c>
      <ns0:c r="K333" s="20" t="n">
        <ns0:v>1697.251396648044</ns0:v>
      </ns0:c>
      <ns0:c r="L333" s="20" t="n">
        <ns0:v>201686.9337475972</ns0:v>
      </ns0:c>
      <ns0:c r="M333" s="20" t="n">
        <ns0:v>-4877.598550931369</ns0:v>
      </ns0:c>
      <ns0:c r="N333" s="20" t="n">
        <ns0:v>-35128.90764401045</ns0:v>
      </ns0:c>
      <ns0:c r="O333" s="20" t="n">
        <ns0:v>5135.146320584252</ns0:v>
      </ns0:c>
      <ns0:c r="P333" s="20" t="n">
        <ns0:v>59899.20028517902</ns0:v>
      </ns0:c>
      <ns0:c r="Q333" s="20" t="n">
        <ns0:v>196809.3351966658</ns0:v>
      </ns0:c>
      <ns0:c r="R333" s="20" t="n">
        <ns0:v>702449.8748426127</ns0:v>
      </ns0:c>
      <ns0:c r="S333" s="20" t="n">
        <ns0:v>2549191.763603428</ns0:v>
      </ns0:c>
    </ns0:row>
    <ns0:row r="334" ht="32" customHeight="1">
      <ns0:c r="A334" s="20" t="inlineStr">
        <ns0:is>
          <ns0:t>product20</ns0:t>
        </ns0:is>
      </ns0:c>
      <ns0:c r="B334" s="22" t="n">
        <ns0:v>0.2</ns0:v>
      </ns0:c>
      <ns0:c r="C334" s="20" t="n">
        <ns0:v>1</ns0:v>
      </ns0:c>
      <ns0:c r="D334" s="20" t="inlineStr">
        <ns0:is>
          <ns0:t>add</ns0:t>
        </ns0:is>
      </ns0:c>
      <ns0:c r="E334" s="20" t="inlineStr">
        <ns0:is>
          <ns0:t>パック単独</ns0:t>
        </ns0:is>
      </ns0:c>
      <ns0:c r="F334" s="22" t="n">
        <ns0:v>0.5</ns0:v>
      </ns0:c>
      <ns0:c r="G334" s="20" t="n">
        <ns0:v>34</ns0:v>
      </ns0:c>
      <ns0:c r="H334" s="20" t="n">
        <ns0:v>34</ns0:v>
      </ns0:c>
      <ns0:c r="I334" s="20" t="n">
        <ns0:v>301</ns0:v>
      </ns0:c>
      <ns0:c r="J334" s="20" t="n">
        <ns0:v>8288.379888268157</ns0:v>
      </ns0:c>
      <ns0:c r="K334" s="20" t="n">
        <ns0:v>2121.564245810056</ns0:v>
      </ns0:c>
      <ns0:c r="L334" s="20" t="n">
        <ns0:v>170102.6846943927</ns0:v>
      </ns0:c>
      <ns0:c r="M334" s="20" t="n">
        <ns0:v>-15724.6344139279</ns0:v>
      </ns0:c>
      <ns0:c r="N334" s="20" t="n">
        <ns0:v>-39372.03613563055</ns0:v>
      </ns0:c>
      <ns0:c r="O334" s="20" t="n">
        <ns0:v>-7594.239154276096</ns0:v>
      </ns0:c>
      <ns0:c r="P334" s="20" t="n">
        <ns0:v>38683.55782707848</ns0:v>
      </ns0:c>
      <ns0:c r="Q334" s="20" t="n">
        <ns0:v>154378.0502804648</ns0:v>
      </ns0:c>
      <ns0:c r="R334" s="20" t="n">
        <ns0:v>575156.0200940093</ns0:v>
      </ns0:c>
      <ns0:c r="S334" s="20" t="n">
        <ns0:v>2124878.914441416</ns0:v>
      </ns0:c>
    </ns0:row>
    <ns0:row r="335" ht="32" customHeight="1">
      <ns0:c r="A335" s="20" t="inlineStr">
        <ns0:is>
          <ns0:t>product20</ns0:t>
        </ns0:is>
      </ns0:c>
      <ns0:c r="B335" s="22" t="n">
        <ns0:v>0.2</ns0:v>
      </ns0:c>
      <ns0:c r="C335" s="20" t="n">
        <ns0:v>1</ns0:v>
      </ns0:c>
      <ns0:c r="D335" s="20" t="inlineStr">
        <ns0:is>
          <ns0:t>add</ns0:t>
        </ns0:is>
      </ns0:c>
      <ns0:c r="E335" s="20" t="inlineStr">
        <ns0:is>
          <ns0:t>混在・パック30%</ns0:t>
        </ns0:is>
      </ns0:c>
      <ns0:c r="F335" s="22" t="n">
        <ns0:v>0.4</ns0:v>
      </ns0:c>
      <ns0:c r="G335" s="20" t="n">
        <ns0:v>38</ns0:v>
      </ns0:c>
      <ns0:c r="H335" s="20" t="n">
        <ns0:v>38</ns0:v>
      </ns0:c>
      <ns0:c r="I335" s="20" t="n">
        <ns0:v>274</ns0:v>
      </ns0:c>
      <ns0:c r="J335" s="20" t="n">
        <ns0:v>5905.647230566239</ns0:v>
      </ns0:c>
      <ns0:c r="K335" s="20" t="n">
        <ns0:v>1289.736054574549</ns0:v>
      </ns0:c>
      <ns0:c r="L335" s="20" t="n">
        <ns0:v>144949.0514464393</ns0:v>
      </ns0:c>
      <ns0:c r="M335" s="20" t="n">
        <ns0:v>-13872.74185258493</ns0:v>
      </ns0:c>
      <ns0:c r="N335" s="20" t="n">
        <ns0:v>-41702.21020429158</ns0:v>
      </ns0:c>
      <ns0:c r="O335" s="20" t="n">
        <ns0:v>-14584.76136025915</ns0:v>
      </ns0:c>
      <ns0:c r="P335" s="20" t="n">
        <ns0:v>27032.6874837733</ns0:v>
      </ns0:c>
      <ns0:c r="Q335" s="20" t="n">
        <ns0:v>131076.3095938544</ns0:v>
      </ns0:c>
      <ns0:c r="R335" s="20" t="n">
        <ns0:v>505250.798034179</ns0:v>
      </ns0:c>
      <ns0:c r="S335" s="20" t="n">
        <ns0:v>1891861.507575314</ns0:v>
      </ns0:c>
    </ns0:row>
    <ns0:row r="336" ht="32" customHeight="1">
      <ns0:c r="A336" s="20" t="inlineStr">
        <ns0:is>
          <ns0:t>product20</ns0:t>
        </ns0:is>
      </ns0:c>
      <ns0:c r="B336" s="22" t="n">
        <ns0:v>0.2</ns0:v>
      </ns0:c>
      <ns0:c r="C336" s="20" t="n">
        <ns0:v>1</ns0:v>
      </ns0:c>
      <ns0:c r="D336" s="20" t="inlineStr">
        <ns0:is>
          <ns0:t>add</ns0:t>
        </ns0:is>
      </ns0:c>
      <ns0:c r="E336" s="20" t="inlineStr">
        <ns0:is>
          <ns0:t>混在・パック30%</ns0:t>
        </ns0:is>
      </ns0:c>
      <ns0:c r="F336" s="22" t="n">
        <ns0:v>0.5</ns0:v>
      </ns0:c>
      <ns0:c r="G336" s="20" t="n">
        <ns0:v>44</ns0:v>
      </ns0:c>
      <ns0:c r="H336" s="20" t="n">
        <ns0:v>44</ns0:v>
      </ns0:c>
      <ns0:c r="I336" s="20" t="n">
        <ns0:v>421</ns0:v>
      </ns0:c>
      <ns0:c r="J336" s="20" t="n">
        <ns0:v>5905.647230566239</ns0:v>
      </ns0:c>
      <ns0:c r="K336" s="20" t="n">
        <ns0:v>1612.170068218186</ns0:v>
      </ns0:c>
      <ns0:c r="L336" s="20" t="n">
        <ns0:v>119911.3186299193</ns0:v>
      </ns0:c>
      <ns0:c r="M336" s="20" t="n">
        <ns0:v>-21078.4104004286</ns0:v>
      </ns0:c>
      <ns0:c r="N336" s="20" t="n">
        <ns0:v>-44926.55034072795</ns0:v>
      </ns0:c>
      <ns0:c r="O336" s="20" t="n">
        <ns0:v>-24257.78176956826</ns0:v>
      </ns0:c>
      <ns0:c r="P336" s="20" t="n">
        <ns0:v>10910.98680159145</ns0:v>
      </ns0:c>
      <ns0:c r="Q336" s="20" t="n">
        <ns0:v>98832.90822949071</ns0:v>
      </ns0:c>
      <ns0:c r="R336" s="20" t="n">
        <ns0:v>408520.5939410878</ns0:v>
      </ns0:c>
      <ns0:c r="S336" s="20" t="n">
        <ns0:v>1569427.493931677</ns0:v>
      </ns0:c>
    </ns0:row>
    <ns0:row r="337" ht="32" customHeight="1">
      <ns0:c r="A337" s="20" t="inlineStr">
        <ns0:is>
          <ns0:t>product20</ns0:t>
        </ns0:is>
      </ns0:c>
      <ns0:c r="B337" s="22" t="n">
        <ns0:v>0.2</ns0:v>
      </ns0:c>
      <ns0:c r="C337" s="20" t="n">
        <ns0:v>1</ns0:v>
      </ns0:c>
      <ns0:c r="D337" s="20" t="inlineStr">
        <ns0:is>
          <ns0:t>add</ns0:t>
        </ns0:is>
      </ns0:c>
      <ns0:c r="E337" s="20" t="inlineStr">
        <ns0:is>
          <ns0:t>混在・パック50%</ns0:t>
        </ns0:is>
      </ns0:c>
      <ns0:c r="F337" s="22" t="n">
        <ns0:v>0.4</ns0:v>
      </ns0:c>
      <ns0:c r="G337" s="20" t="n">
        <ns0:v>34</ns0:v>
      </ns0:c>
      <ns0:c r="H337" s="20" t="n">
        <ns0:v>34</ns0:v>
      </ns0:c>
      <ns0:c r="I337" s="20" t="n">
        <ns0:v>244</ns0:v>
      </ns0:c>
      <ns0:c r="J337" s="20" t="n">
        <ns0:v>6586.427989909645</ns0:v>
      </ns0:c>
      <ns0:c r="K337" s="20" t="n">
        <ns0:v>1406.16900945269</ns0:v>
      </ns0:c>
      <ns0:c r="L337" s="20" t="n">
        <ns0:v>161159.8749610558</ns0:v>
      </ns0:c>
      <ns0:c r="M337" s="20" t="n">
        <ns0:v>-11302.70090925534</ns0:v>
      </ns0:c>
      <ns0:c r="N337" s="20" t="n">
        <ns0:v>-39824.12375849696</ns0:v>
      </ns0:c>
      <ns0:c r="O337" s="20" t="n">
        <ns0:v>-8950.502022875335</ns0:v>
      </ns0:c>
      <ns0:c r="P337" s="20" t="n">
        <ns0:v>36423.11971274634</ns0:v>
      </ns0:c>
      <ns0:c r="Q337" s="20" t="n">
        <ns0:v>149857.1740518005</ns0:v>
      </ns0:c>
      <ns0:c r="R337" s="20" t="n">
        <ns0:v>561593.3914080168</ns0:v>
      </ns0:c>
      <ns0:c r="S337" s="20" t="n">
        <ns0:v>2079670.152154774</ns0:v>
      </ns0:c>
    </ns0:row>
    <ns0:row r="338" ht="32" customHeight="1">
      <ns0:c r="A338" s="20" t="inlineStr">
        <ns0:is>
          <ns0:t>product20</ns0:t>
        </ns0:is>
      </ns0:c>
      <ns0:c r="B338" s="22" t="n">
        <ns0:v>0.2</ns0:v>
      </ns0:c>
      <ns0:c r="C338" s="20" t="n">
        <ns0:v>1</ns0:v>
      </ns0:c>
      <ns0:c r="D338" s="20" t="inlineStr">
        <ns0:is>
          <ns0:t>add</ns0:t>
        </ns0:is>
      </ns0:c>
      <ns0:c r="E338" s="20" t="inlineStr">
        <ns0:is>
          <ns0:t>混在・パック50%</ns0:t>
        </ns0:is>
      </ns0:c>
      <ns0:c r="F338" s="22" t="n">
        <ns0:v>0.5</ns0:v>
      </ns0:c>
      <ns0:c r="G338" s="20" t="n">
        <ns0:v>41</ns0:v>
      </ns0:c>
      <ns0:c r="H338" s="20" t="n">
        <ns0:v>41</ns0:v>
      </ns0:c>
      <ns0:c r="I338" s="20" t="n">
        <ns0:v>378</ns0:v>
      </ns0:c>
      <ns0:c r="J338" s="20" t="n">
        <ns0:v>6586.427989909645</ns0:v>
      </ns0:c>
      <ns0:c r="K338" s="20" t="n">
        <ns0:v>1757.711261815863</ns0:v>
      </ns0:c>
      <ns0:c r="L338" s="20" t="n">
        <ns0:v>134251.7089340545</ns0:v>
      </ns0:c>
      <ns0:c r="M338" s="20" t="n">
        <ns0:v>-19548.76011857126</ns0:v>
      </ns0:c>
      <ns0:c r="N338" s="20" t="n">
        <ns0:v>-43339.54628212869</ns0:v>
      </ns0:c>
      <ns0:c r="O338" s="20" t="n">
        <ns0:v>-19496.76959377051</ns0:v>
      </ns0:c>
      <ns0:c r="P338" s="20" t="n">
        <ns0:v>18846.00709458771</ns0:v>
      </ns0:c>
      <ns0:c r="Q338" s="20" t="n">
        <ns0:v>114702.9488154832</ns0:v>
      </ns0:c>
      <ns0:c r="R338" s="20" t="n">
        <ns0:v>456130.7156990653</ns0:v>
      </ns0:c>
      <ns0:c r="S338" s="20" t="n">
        <ns0:v>1728127.899791602</ns0:v>
      </ns0:c>
    </ns0:row>
    <ns0:row r="339" ht="32" customHeight="1">
      <ns0:c r="A339" s="20" t="inlineStr">
        <ns0:is>
          <ns0:t>product20</ns0:t>
        </ns0:is>
      </ns0:c>
      <ns0:c r="B339" s="22" t="n">
        <ns0:v>0.2</ns0:v>
      </ns0:c>
      <ns0:c r="C339" s="20" t="n">
        <ns0:v>1</ns0:v>
      </ns0:c>
      <ns0:c r="D339" s="20" t="inlineStr">
        <ns0:is>
          <ns0:t>add</ns0:t>
        </ns0:is>
      </ns0:c>
      <ns0:c r="E339" s="20" t="inlineStr">
        <ns0:is>
          <ns0:t>混在・パック70%</ns0:t>
        </ns0:is>
      </ns0:c>
      <ns0:c r="F339" s="22" t="n">
        <ns0:v>0.4</ns0:v>
      </ns0:c>
      <ns0:c r="G339" s="20" t="n">
        <ns0:v>32</ns0:v>
      </ns0:c>
      <ns0:c r="H339" s="20" t="n">
        <ns0:v>32</ns0:v>
      </ns0:c>
      <ns0:c r="I339" s="20" t="n">
        <ns0:v>220</ns0:v>
      </ns0:c>
      <ns0:c r="J339" s="20" t="n">
        <ns0:v>7267.208749253049</ns0:v>
      </ns0:c>
      <ns0:c r="K339" s="20" t="n">
        <ns0:v>1522.601964330832</ns0:v>
      </ns0:c>
      <ns0:c r="L339" s="20" t="n">
        <ns0:v>177370.6984756724</ns0:v>
      </ns0:c>
      <ns0:c r="M339" s="20" t="n">
        <ns0:v>-8732.659965925748</ns0:v>
      </ns0:c>
      <ns0:c r="N339" s="20" t="n">
        <ns0:v>-37946.03731270235</ns0:v>
      </ns0:c>
      <ns0:c r="O339" s="20" t="n">
        <ns0:v>-3316.242685491488</ns0:v>
      </ns0:c>
      <ns0:c r="P339" s="20" t="n">
        <ns0:v>45813.55194171942</ns0:v>
      </ns0:c>
      <ns0:c r="Q339" s="20" t="n">
        <ns0:v>168638.0385097466</ns0:v>
      </ns0:c>
      <ns0:c r="R339" s="20" t="n">
        <ns0:v>617935.9847818555</ns0:v>
      </ns0:c>
      <ns0:c r="S339" s="20" t="n">
        <ns0:v>2267478.796734236</ns0:v>
      </ns0:c>
    </ns0:row>
    <ns0:row r="340" ht="32" customHeight="1">
      <ns0:c r="A340" s="20" t="inlineStr">
        <ns0:is>
          <ns0:t>product20</ns0:t>
        </ns0:is>
      </ns0:c>
      <ns0:c r="B340" s="22" t="n">
        <ns0:v>0.2</ns0:v>
      </ns0:c>
      <ns0:c r="C340" s="20" t="n">
        <ns0:v>1</ns0:v>
      </ns0:c>
      <ns0:c r="D340" s="20" t="inlineStr">
        <ns0:is>
          <ns0:t>add</ns0:t>
        </ns0:is>
      </ns0:c>
      <ns0:c r="E340" s="20" t="inlineStr">
        <ns0:is>
          <ns0:t>混在・パック70%</ns0:t>
        </ns0:is>
      </ns0:c>
      <ns0:c r="F340" s="22" t="n">
        <ns0:v>0.5</ns0:v>
      </ns0:c>
      <ns0:c r="G340" s="20" t="n">
        <ns0:v>38</ns0:v>
      </ns0:c>
      <ns0:c r="H340" s="20" t="n">
        <ns0:v>38</ns0:v>
      </ns0:c>
      <ns0:c r="I340" s="20" t="n">
        <ns0:v>343</ns0:v>
      </ns0:c>
      <ns0:c r="J340" s="20" t="n">
        <ns0:v>7267.208749253049</ns0:v>
      </ns0:c>
      <ns0:c r="K340" s="20" t="n">
        <ns0:v>1903.25245541354</ns0:v>
      </ns0:c>
      <ns0:c r="L340" s="20" t="n">
        <ns0:v>148592.0992381897</ns0:v>
      </ns0:c>
      <ns0:c r="M340" s="20" t="n">
        <ns0:v>-18019.10983671392</ns0:v>
      </ns0:c>
      <ns0:c r="N340" s="20" t="n">
        <ns0:v>-41752.54222352943</ns0:v>
      </ns0:c>
      <ns0:c r="O340" s="20" t="n">
        <ns0:v>-14735.75741797272</ns0:v>
      </ns0:c>
      <ns0:c r="P340" s="20" t="n">
        <ns0:v>26781.027387584</ns0:v>
      </ns0:c>
      <ns0:c r="Q340" s="20" t="n">
        <ns0:v>130572.9894014758</ns0:v>
      </ns0:c>
      <ns0:c r="R340" s="20" t="n">
        <ns0:v>503740.8374570431</ns0:v>
      </ns0:c>
      <ns0:c r="S340" s="20" t="n">
        <ns0:v>1886828.305651529</ns0:v>
      </ns0:c>
    </ns0:row>
    <ns0:row r="341" ht="32" customHeight="1">
      <ns0:c r="A341" s="20" t="inlineStr">
        <ns0:is>
          <ns0:t>product20</ns0:t>
        </ns0:is>
      </ns0:c>
      <ns0:c r="B341" s="22" t="n">
        <ns0:v>0.2</ns0:v>
      </ns0:c>
      <ns0:c r="C341" s="20" t="n">
        <ns0:v>0</ns0:v>
      </ns0:c>
      <ns0:c r="D341" s="20" t="inlineStr">
        <ns0:is>
          <ns0:t>floor</ns0:t>
        </ns0:is>
      </ns0:c>
      <ns0:c r="E341" s="20" t="inlineStr">
        <ns0:is>
          <ns0:t>パック単独</ns0:t>
        </ns0:is>
      </ns0:c>
      <ns0:c r="F341" s="22" t="n">
        <ns0:v>0.4</ns0:v>
      </ns0:c>
      <ns0:c r="G341" s="20" t="n">
        <ns0:v>9</ns0:v>
      </ns0:c>
      <ns0:c r="H341" s="20" t="n">
        <ns0:v>9</ns0:v>
      </ns0:c>
      <ns0:c r="I341" s="20" t="n">
        <ns0:v>26</ns0:v>
      </ns0:c>
      <ns0:c r="J341" s="20" t="n">
        <ns0:v>8288.379888268157</ns0:v>
      </ns0:c>
      <ns0:c r="K341" s="20" t="n">
        <ns0:v>1697.251396648044</ns0:v>
      </ns0:c>
      <ns0:c r="L341" s="20" t="n">
        <ns0:v>300373.1534868896</ns0:v>
      </ns0:c>
      <ns0:c r="M341" s="20" t="n">
        <ns0:v>76461.32137458073</ns0:v>
      </ns0:c>
      <ns0:c r="N341" s="20" t="n">
        <ns0:v>8409.081182805188</ns0:v>
      </ns0:c>
      <ns0:c r="O341" s="20" t="n">
        <ns0:v>91692.68822002559</ns0:v>
      </ns0:c>
      <ns0:c r="P341" s="20" t="n">
        <ns0:v>173161.7701175812</ns0:v>
      </ns0:c>
      <ns0:c r="Q341" s="20" t="n">
        <ns0:v>376834.4748614703</ns0:v>
      </ns0:c>
      <ns0:c r="R341" s="20" t="n">
        <ns0:v>1165525.293837026</ns0:v>
      </ns0:c>
      <ns0:c r="S341" s="20" t="n">
        <ns0:v>3978943.160251473</ns0:v>
      </ns0:c>
    </ns0:row>
    <ns0:row r="342" ht="32" customHeight="1">
      <ns0:c r="A342" s="20" t="inlineStr">
        <ns0:is>
          <ns0:t>product20</ns0:t>
        </ns0:is>
      </ns0:c>
      <ns0:c r="B342" s="22" t="n">
        <ns0:v>0.2</ns0:v>
      </ns0:c>
      <ns0:c r="C342" s="20" t="n">
        <ns0:v>0</ns0:v>
      </ns0:c>
      <ns0:c r="D342" s="20" t="inlineStr">
        <ns0:is>
          <ns0:t>floor</ns0:t>
        </ns0:is>
      </ns0:c>
      <ns0:c r="E342" s="20" t="inlineStr">
        <ns0:is>
          <ns0:t>パック単独</ns0:t>
        </ns0:is>
      </ns0:c>
      <ns0:c r="F342" s="22" t="n">
        <ns0:v>0.5</ns0:v>
      </ns0:c>
      <ns0:c r="G342" s="20" t="n">
        <ns0:v>10</ns0:v>
      </ns0:c>
      <ns0:c r="H342" s="20" t="n">
        <ns0:v>10</ns0:v>
      </ns0:c>
      <ns0:c r="I342" s="20" t="n">
        <ns0:v>29</ns0:v>
      </ns0:c>
      <ns0:c r="J342" s="20" t="n">
        <ns0:v>8288.379888268157</ns0:v>
      </ns0:c>
      <ns0:c r="K342" s="20" t="n">
        <ns0:v>2121.564245810056</ns0:v>
      </ns0:c>
      <ns0:c r="L342" s="20" t="n">
        <ns0:v>268788.904433685</ns0:v>
      </ns0:c>
      <ns0:c r="M342" s="20" t="n">
        <ns0:v>65614.2855115842</ns0:v>
      </ns0:c>
      <ns0:c r="N342" s="20" t="n">
        <ns0:v>4165.952691185081</ns0:v>
      </ns0:c>
      <ns0:c r="O342" s="20" t="n">
        <ns0:v>78963.30274516525</ns0:v>
      </ns0:c>
      <ns0:c r="P342" s="20" t="n">
        <ns0:v>151946.1276594807</ns0:v>
      </ns0:c>
      <ns0:c r="Q342" s="20" t="n">
        <ns0:v>334403.1899452692</ns0:v>
      </ns0:c>
      <ns0:c r="R342" s="20" t="n">
        <ns0:v>1038231.439088423</ns0:v>
      </ns0:c>
      <ns0:c r="S342" s="20" t="n">
        <ns0:v>3554630.311089461</ns0:v>
      </ns0:c>
    </ns0:row>
    <ns0:row r="343" ht="32" customHeight="1">
      <ns0:c r="A343" s="20" t="inlineStr">
        <ns0:is>
          <ns0:t>product20</ns0:t>
        </ns0:is>
      </ns0:c>
      <ns0:c r="B343" s="22" t="n">
        <ns0:v>0.2</ns0:v>
      </ns0:c>
      <ns0:c r="C343" s="20" t="n">
        <ns0:v>0</ns0:v>
      </ns0:c>
      <ns0:c r="D343" s="20" t="inlineStr">
        <ns0:is>
          <ns0:t>floor</ns0:t>
        </ns0:is>
      </ns0:c>
      <ns0:c r="E343" s="20" t="inlineStr">
        <ns0:is>
          <ns0:t>混在・パック30%</ns0:t>
        </ns0:is>
      </ns0:c>
      <ns0:c r="F343" s="22" t="n">
        <ns0:v>0.4</ns0:v>
      </ns0:c>
      <ns0:c r="G343" s="20" t="n">
        <ns0:v>12</ns0:v>
      </ns0:c>
      <ns0:c r="H343" s="20" t="n">
        <ns0:v>12</ns0:v>
      </ns0:c>
      <ns0:c r="I343" s="20" t="n">
        <ns0:v>42</ns0:v>
      </ns0:c>
      <ns0:c r="J343" s="20" t="n">
        <ns0:v>5905.647230566239</ns0:v>
      </ns0:c>
      <ns0:c r="K343" s="20" t="n">
        <ns0:v>1289.736054574549</ns0:v>
      </ns0:c>
      <ns0:c r="L343" s="20" t="n">
        <ns0:v>225579.405263944</ns0:v>
      </ns0:c>
      <ns0:c r="M343" s="20" t="n">
        <ns0:v>38029.93915019432</ns0:v>
      </ns0:c>
      <ns0:c r="N343" s="20" t="n">
        <ns0:v>-7169.074320028551</ns0:v>
      </ns0:c>
      <ns0:c r="O343" s="20" t="n">
        <ns0:v>57725.14908582602</ns0:v>
      </ns0:c>
      <ns0:c r="P343" s="20" t="n">
        <ns0:v>116549.2048939153</ns0:v>
      </ns0:c>
      <ns0:c r="Q343" s="20" t="n">
        <ns0:v>263609.3444141384</ns0:v>
      </ns0:c>
      <ns0:c r="R343" s="20" t="n">
        <ns0:v>825849.9024950307</ns0:v>
      </ns0:c>
      <ns0:c r="S343" s="20" t="n">
        <ns0:v>2846691.855778153</ns0:v>
      </ns0:c>
    </ns0:row>
    <ns0:row r="344" ht="32" customHeight="1">
      <ns0:c r="A344" s="20" t="inlineStr">
        <ns0:is>
          <ns0:t>product20</ns0:t>
        </ns0:is>
      </ns0:c>
      <ns0:c r="B344" s="22" t="n">
        <ns0:v>0.2</ns0:v>
      </ns0:c>
      <ns0:c r="C344" s="20" t="n">
        <ns0:v>0</ns0:v>
      </ns0:c>
      <ns0:c r="D344" s="20" t="inlineStr">
        <ns0:is>
          <ns0:t>floor</ns0:t>
        </ns0:is>
      </ns0:c>
      <ns0:c r="E344" s="20" t="inlineStr">
        <ns0:is>
          <ns0:t>混在・パック30%</ns0:t>
        </ns0:is>
      </ns0:c>
      <ns0:c r="F344" s="22" t="n">
        <ns0:v>0.5</ns0:v>
      </ns0:c>
      <ns0:c r="G344" s="20" t="n">
        <ns0:v>13</ns0:v>
      </ns0:c>
      <ns0:c r="H344" s="20" t="n">
        <ns0:v>13</ns0:v>
      </ns0:c>
      <ns0:c r="I344" s="20" t="n">
        <ns0:v>47</ns0:v>
      </ns0:c>
      <ns0:c r="J344" s="20" t="n">
        <ns0:v>5905.647230566239</ns0:v>
      </ns0:c>
      <ns0:c r="K344" s="20" t="n">
        <ns0:v>1612.170068218186</ns0:v>
      </ns0:c>
      <ns0:c r="L344" s="20" t="n">
        <ns0:v>200541.672447424</ns0:v>
      </ns0:c>
      <ns0:c r="M344" s="20" t="n">
        <ns0:v>30824.27060235065</ns0:v>
      </ns0:c>
      <ns0:c r="N344" s="20" t="n">
        <ns0:v>-10393.41445646492</ns0:v>
      </ns0:c>
      <ns0:c r="O344" s="20" t="n">
        <ns0:v>48052.12867651691</ns0:v>
      </ns0:c>
      <ns0:c r="P344" s="20" t="n">
        <ns0:v>100427.5042117334</ns0:v>
      </ns0:c>
      <ns0:c r="Q344" s="20" t="n">
        <ns0:v>231365.9430497746</ns0:v>
      </ns0:c>
      <ns0:c r="R344" s="20" t="n">
        <ns0:v>729119.6984019394</ns0:v>
      </ns0:c>
      <ns0:c r="S344" s="20" t="n">
        <ns0:v>2524257.842134516</ns0:v>
      </ns0:c>
    </ns0:row>
    <ns0:row r="345" ht="32" customHeight="1">
      <ns0:c r="A345" s="20" t="inlineStr">
        <ns0:is>
          <ns0:t>product20</ns0:t>
        </ns0:is>
      </ns0:c>
      <ns0:c r="B345" s="22" t="n">
        <ns0:v>0.2</ns0:v>
      </ns0:c>
      <ns0:c r="C345" s="20" t="n">
        <ns0:v>0</ns0:v>
      </ns0:c>
      <ns0:c r="D345" s="20" t="inlineStr">
        <ns0:is>
          <ns0:t>floor</ns0:t>
        </ns0:is>
      </ns0:c>
      <ns0:c r="E345" s="20" t="inlineStr">
        <ns0:is>
          <ns0:t>混在・パック50%</ns0:t>
        </ns0:is>
      </ns0:c>
      <ns0:c r="F345" s="22" t="n">
        <ns0:v>0.4</ns0:v>
      </ns0:c>
      <ns0:c r="G345" s="20" t="n">
        <ns0:v>11</ns0:v>
      </ns0:c>
      <ns0:c r="H345" s="20" t="n">
        <ns0:v>11</ns0:v>
      </ns0:c>
      <ns0:c r="I345" s="20" t="n">
        <ns0:v>36</ns0:v>
      </ns0:c>
      <ns0:c r="J345" s="20" t="n">
        <ns0:v>6586.427989909645</ns0:v>
      </ns0:c>
      <ns0:c r="K345" s="20" t="n">
        <ns0:v>1406.16900945269</ns0:v>
      </ns0:c>
      <ns0:c r="L345" s="20" t="n">
        <ns0:v>246949.047613357</ns0:v>
      </ns0:c>
      <ns0:c r="M345" s="20" t="n">
        <ns0:v>49010.33407144759</ns0:v>
      </ns0:c>
      <ns0:c r="N345" s="20" t="n">
        <ns0:v>-2718.17274779033</ns0:v>
      </ns0:c>
      <ns0:c r="O345" s="20" t="n">
        <ns0:v>67430.16026702589</ns0:v>
      </ns0:c>
      <ns0:c r="P345" s="20" t="n">
        <ns0:v>132724.2235292484</ns0:v>
      </ns0:c>
      <ns0:c r="Q345" s="20" t="n">
        <ns0:v>295959.3816848046</ns0:v>
      </ns0:c>
      <ns0:c r="R345" s="20" t="n">
        <ns0:v>922900.014307029</ns0:v>
      </ns0:c>
      <ns0:c r="S345" s="20" t="n">
        <ns0:v>3170192.228484815</ns0:v>
      </ns0:c>
    </ns0:row>
    <ns0:row r="346" ht="32" customHeight="1">
      <ns0:c r="A346" s="20" t="inlineStr">
        <ns0:is>
          <ns0:t>product20</ns0:t>
        </ns0:is>
      </ns0:c>
      <ns0:c r="B346" s="22" t="n">
        <ns0:v>0.2</ns0:v>
      </ns0:c>
      <ns0:c r="C346" s="20" t="n">
        <ns0:v>0</ns0:v>
      </ns0:c>
      <ns0:c r="D346" s="20" t="inlineStr">
        <ns0:is>
          <ns0:t>floor</ns0:t>
        </ns0:is>
      </ns0:c>
      <ns0:c r="E346" s="20" t="inlineStr">
        <ns0:is>
          <ns0:t>混在・パック50%</ns0:t>
        </ns0:is>
      </ns0:c>
      <ns0:c r="F346" s="22" t="n">
        <ns0:v>0.5</ns0:v>
      </ns0:c>
      <ns0:c r="G346" s="20" t="n">
        <ns0:v>12</ns0:v>
      </ns0:c>
      <ns0:c r="H346" s="20" t="n">
        <ns0:v>12</ns0:v>
      </ns0:c>
      <ns0:c r="I346" s="20" t="n">
        <ns0:v>40</ns0:v>
      </ns0:c>
      <ns0:c r="J346" s="20" t="n">
        <ns0:v>6586.427989909645</ns0:v>
      </ns0:c>
      <ns0:c r="K346" s="20" t="n">
        <ns0:v>1757.711261815863</ns0:v>
      </ns0:c>
      <ns0:c r="L346" s="20" t="n">
        <ns0:v>220040.8815863556</ns0:v>
      </ns0:c>
      <ns0:c r="M346" s="20" t="n">
        <ns0:v>40764.27486213166</ns0:v>
      </ns0:c>
      <ns0:c r="N346" s="20" t="n">
        <ns0:v>-6233.595271422058</ns0:v>
      </ns0:c>
      <ns0:c r="O346" s="20" t="n">
        <ns0:v>56883.89269613071</ns0:v>
      </ns0:c>
      <ns0:c r="P346" s="20" t="n">
        <ns0:v>115147.1109110898</ns0:v>
      </ns0:c>
      <ns0:c r="Q346" s="20" t="n">
        <ns0:v>260805.1564484873</ns0:v>
      </ns0:c>
      <ns0:c r="R346" s="20" t="n">
        <ns0:v>817437.3385980774</ns0:v>
      </ns0:c>
      <ns0:c r="S346" s="20" t="n">
        <ns0:v>2818649.976121643</ns0:v>
      </ns0:c>
    </ns0:row>
    <ns0:row r="347" ht="32" customHeight="1">
      <ns0:c r="A347" s="20" t="inlineStr">
        <ns0:is>
          <ns0:t>product20</ns0:t>
        </ns0:is>
      </ns0:c>
      <ns0:c r="B347" s="22" t="n">
        <ns0:v>0.2</ns0:v>
      </ns0:c>
      <ns0:c r="C347" s="20" t="n">
        <ns0:v>0</ns0:v>
      </ns0:c>
      <ns0:c r="D347" s="20" t="inlineStr">
        <ns0:is>
          <ns0:t>floor</ns0:t>
        </ns0:is>
      </ns0:c>
      <ns0:c r="E347" s="20" t="inlineStr">
        <ns0:is>
          <ns0:t>混在・パック70%</ns0:t>
        </ns0:is>
      </ns0:c>
      <ns0:c r="F347" s="22" t="n">
        <ns0:v>0.4</ns0:v>
      </ns0:c>
      <ns0:c r="G347" s="20" t="n">
        <ns0:v>10</ns0:v>
      </ns0:c>
      <ns0:c r="H347" s="20" t="n">
        <ns0:v>10</ns0:v>
      </ns0:c>
      <ns0:c r="I347" s="20" t="n">
        <ns0:v>31</ns0:v>
      </ns0:c>
      <ns0:c r="J347" s="20" t="n">
        <ns0:v>7267.208749253049</ns0:v>
      </ns0:c>
      <ns0:c r="K347" s="20" t="n">
        <ns0:v>1522.601964330832</ns0:v>
      </ns0:c>
      <ns0:c r="L347" s="20" t="n">
        <ns0:v>268318.68996277</ns0:v>
      </ns0:c>
      <ns0:c r="M347" s="20" t="n">
        <ns0:v>59990.72899270085</ns0:v>
      </ns0:c>
      <ns0:c r="N347" s="20" t="n">
        <ns0:v>1732.72882444788</ns0:v>
      </ns0:c>
      <ns0:c r="O347" s="20" t="n">
        <ns0:v>77135.17144822578</ns0:v>
      </ns0:c>
      <ns0:c r="P347" s="20" t="n">
        <ns0:v>148899.2421645815</ns0:v>
      </ns0:c>
      <ns0:c r="Q347" s="20" t="n">
        <ns0:v>328309.4189554708</ns0:v>
      </ns0:c>
      <ns0:c r="R347" s="20" t="n">
        <ns0:v>1019950.126119028</ns0:v>
      </ns0:c>
      <ns0:c r="S347" s="20" t="n">
        <ns0:v>3493692.601191479</ns0:v>
      </ns0:c>
    </ns0:row>
    <ns0:row r="348" ht="32" customHeight="1">
      <ns0:c r="A348" s="20" t="inlineStr">
        <ns0:is>
          <ns0:t>product20</ns0:t>
        </ns0:is>
      </ns0:c>
      <ns0:c r="B348" s="22" t="n">
        <ns0:v>0.2</ns0:v>
      </ns0:c>
      <ns0:c r="C348" s="20" t="n">
        <ns0:v>0</ns0:v>
      </ns0:c>
      <ns0:c r="D348" s="20" t="inlineStr">
        <ns0:is>
          <ns0:t>floor</ns0:t>
        </ns0:is>
      </ns0:c>
      <ns0:c r="E348" s="20" t="inlineStr">
        <ns0:is>
          <ns0:t>混在・パック70%</ns0:t>
        </ns0:is>
      </ns0:c>
      <ns0:c r="F348" s="22" t="n">
        <ns0:v>0.5</ns0:v>
      </ns0:c>
      <ns0:c r="G348" s="20" t="n">
        <ns0:v>11</ns0:v>
      </ns0:c>
      <ns0:c r="H348" s="20" t="n">
        <ns0:v>11</ns0:v>
      </ns0:c>
      <ns0:c r="I348" s="20" t="n">
        <ns0:v>35</ns0:v>
      </ns0:c>
      <ns0:c r="J348" s="20" t="n">
        <ns0:v>7267.208749253049</ns0:v>
      </ns0:c>
      <ns0:c r="K348" s="20" t="n">
        <ns0:v>1903.25245541354</ns0:v>
      </ns0:c>
      <ns0:c r="L348" s="20" t="n">
        <ns0:v>239540.0907252873</ns0:v>
      </ns0:c>
      <ns0:c r="M348" s="20" t="n">
        <ns0:v>50704.27912191267</ns0:v>
      </ns0:c>
      <ns0:c r="N348" s="20" t="n">
        <ns0:v>-2073.776086379199</ns0:v>
      </ns0:c>
      <ns0:c r="O348" s="20" t="n">
        <ns0:v>65715.65671574454</ns0:v>
      </ns0:c>
      <ns0:c r="P348" s="20" t="n">
        <ns0:v>129866.7176104461</ns0:v>
      </ns0:c>
      <ns0:c r="Q348" s="20" t="n">
        <ns0:v>290244.3698472</ns0:v>
      </ns0:c>
      <ns0:c r="R348" s="20" t="n">
        <ns0:v>905754.9787942157</ns0:v>
      </ns0:c>
      <ns0:c r="S348" s="20" t="n">
        <ns0:v>3113042.11010877</ns0:v>
      </ns0:c>
    </ns0:row>
    <ns0:row r="349" ht="32" customHeight="1">
      <ns0:c r="A349" s="20" t="inlineStr">
        <ns0:is>
          <ns0:t>product20</ns0:t>
        </ns0:is>
      </ns0:c>
      <ns0:c r="B349" s="22" t="n">
        <ns0:v>0.2</ns0:v>
      </ns0:c>
      <ns0:c r="C349" s="20" t="n">
        <ns0:v>0</ns0:v>
      </ns0:c>
      <ns0:c r="D349" s="20" t="inlineStr">
        <ns0:is>
          <ns0:t>add</ns0:t>
        </ns0:is>
      </ns0:c>
      <ns0:c r="E349" s="20" t="inlineStr">
        <ns0:is>
          <ns0:t>パック単独</ns0:t>
        </ns0:is>
      </ns0:c>
      <ns0:c r="F349" s="22" t="n">
        <ns0:v>0.4</ns0:v>
      </ns0:c>
      <ns0:c r="G349" s="20" t="n">
        <ns0:v>14</ns0:v>
      </ns0:c>
      <ns0:c r="H349" s="20" t="n">
        <ns0:v>14</ns0:v>
      </ns0:c>
      <ns0:c r="I349" s="20" t="n">
        <ns0:v>26</ns0:v>
      </ns0:c>
      <ns0:c r="J349" s="20" t="n">
        <ns0:v>8288.379888268157</ns0:v>
      </ns0:c>
      <ns0:c r="K349" s="20" t="n">
        <ns0:v>1697.251396648044</ns0:v>
      </ns0:c>
      <ns0:c r="L349" s="20" t="n">
        <ns0:v>277873.1534868896</ns0:v>
      </ns0:c>
      <ns0:c r="M349" s="20" t="n">
        <ns0:v>76461.32137458073</ns0:v>
      </ns0:c>
      <ns0:c r="N349" s="20" t="n">
        <ns0:v>-5776.393677530003</ns0:v>
      </ns0:c>
      <ns0:c r="O349" s="20" t="n">
        <ns0:v>69192.68822002559</ns0:v>
      </ns0:c>
      <ns0:c r="P349" s="20" t="n">
        <ns0:v>150661.7701175812</ns0:v>
      </ns0:c>
      <ns0:c r="Q349" s="20" t="n">
        <ns0:v>354334.4748614703</ns0:v>
      </ns0:c>
      <ns0:c r="R349" s="20" t="n">
        <ns0:v>1143025.293837026</ns0:v>
      </ns0:c>
      <ns0:c r="S349" s="20" t="n">
        <ns0:v>3956443.160251473</ns0:v>
      </ns0:c>
    </ns0:row>
    <ns0:row r="350" ht="32" customHeight="1">
      <ns0:c r="A350" s="20" t="inlineStr">
        <ns0:is>
          <ns0:t>product20</ns0:t>
        </ns0:is>
      </ns0:c>
      <ns0:c r="B350" s="22" t="n">
        <ns0:v>0.2</ns0:v>
      </ns0:c>
      <ns0:c r="C350" s="20" t="n">
        <ns0:v>0</ns0:v>
      </ns0:c>
      <ns0:c r="D350" s="20" t="inlineStr">
        <ns0:is>
          <ns0:t>add</ns0:t>
        </ns0:is>
      </ns0:c>
      <ns0:c r="E350" s="20" t="inlineStr">
        <ns0:is>
          <ns0:t>パック単独</ns0:t>
        </ns0:is>
      </ns0:c>
      <ns0:c r="F350" s="22" t="n">
        <ns0:v>0.5</ns0:v>
      </ns0:c>
      <ns0:c r="G350" s="20" t="n">
        <ns0:v>15</ns0:v>
      </ns0:c>
      <ns0:c r="H350" s="20" t="n">
        <ns0:v>15</ns0:v>
      </ns0:c>
      <ns0:c r="I350" s="20" t="n">
        <ns0:v>29</ns0:v>
      </ns0:c>
      <ns0:c r="J350" s="20" t="n">
        <ns0:v>8288.379888268157</ns0:v>
      </ns0:c>
      <ns0:c r="K350" s="20" t="n">
        <ns0:v>2121.564245810056</ns0:v>
      </ns0:c>
      <ns0:c r="L350" s="20" t="n">
        <ns0:v>246288.904433685</ns0:v>
      </ns0:c>
      <ns0:c r="M350" s="20" t="n">
        <ns0:v>65614.2855115842</ns0:v>
      </ns0:c>
      <ns0:c r="N350" s="20" t="n">
        <ns0:v>-10019.52216915011</ns0:v>
      </ns0:c>
      <ns0:c r="O350" s="20" t="n">
        <ns0:v>56463.30274516525</ns0:v>
      </ns0:c>
      <ns0:c r="P350" s="20" t="n">
        <ns0:v>129446.1276594807</ns0:v>
      </ns0:c>
      <ns0:c r="Q350" s="20" t="n">
        <ns0:v>311903.1899452692</ns0:v>
      </ns0:c>
      <ns0:c r="R350" s="20" t="n">
        <ns0:v>1015731.439088423</ns0:v>
      </ns0:c>
      <ns0:c r="S350" s="20" t="n">
        <ns0:v>3532130.311089461</ns0:v>
      </ns0:c>
    </ns0:row>
    <ns0:row r="351" ht="32" customHeight="1">
      <ns0:c r="A351" s="20" t="inlineStr">
        <ns0:is>
          <ns0:t>product20</ns0:t>
        </ns0:is>
      </ns0:c>
      <ns0:c r="B351" s="22" t="n">
        <ns0:v>0.2</ns0:v>
      </ns0:c>
      <ns0:c r="C351" s="20" t="n">
        <ns0:v>0</ns0:v>
      </ns0:c>
      <ns0:c r="D351" s="20" t="inlineStr">
        <ns0:is>
          <ns0:t>add</ns0:t>
        </ns0:is>
      </ns0:c>
      <ns0:c r="E351" s="20" t="inlineStr">
        <ns0:is>
          <ns0:t>混在・パック30%</ns0:t>
        </ns0:is>
      </ns0:c>
      <ns0:c r="F351" s="22" t="n">
        <ns0:v>0.4</ns0:v>
      </ns0:c>
      <ns0:c r="G351" s="20" t="n">
        <ns0:v>19</ns0:v>
      </ns0:c>
      <ns0:c r="H351" s="20" t="n">
        <ns0:v>19</ns0:v>
      </ns0:c>
      <ns0:c r="I351" s="20" t="n">
        <ns0:v>42</ns0:v>
      </ns0:c>
      <ns0:c r="J351" s="20" t="n">
        <ns0:v>5905.647230566239</ns0:v>
      </ns0:c>
      <ns0:c r="K351" s="20" t="n">
        <ns0:v>1289.736054574549</ns0:v>
      </ns0:c>
      <ns0:c r="L351" s="20" t="n">
        <ns0:v>203079.405263944</ns0:v>
      </ns0:c>
      <ns0:c r="M351" s="20" t="n">
        <ns0:v>38029.93915019432</ns0:v>
      </ns0:c>
      <ns0:c r="N351" s="20" t="n">
        <ns0:v>-17098.90672226319</ns0:v>
      </ns0:c>
      <ns0:c r="O351" s="20" t="n">
        <ns0:v>35225.14908582602</ns0:v>
      </ns0:c>
      <ns0:c r="P351" s="20" t="n">
        <ns0:v>94049.20489391524</ns0:v>
      </ns0:c>
      <ns0:c r="Q351" s="20" t="n">
        <ns0:v>241109.3444141383</ns0:v>
      </ns0:c>
      <ns0:c r="R351" s="20" t="n">
        <ns0:v>803349.9024950307</ns0:v>
      </ns0:c>
      <ns0:c r="S351" s="20" t="n">
        <ns0:v>2824191.855778153</ns0:v>
      </ns0:c>
    </ns0:row>
    <ns0:row r="352" ht="32" customHeight="1">
      <ns0:c r="A352" s="20" t="inlineStr">
        <ns0:is>
          <ns0:t>product20</ns0:t>
        </ns0:is>
      </ns0:c>
      <ns0:c r="B352" s="22" t="n">
        <ns0:v>0.2</ns0:v>
      </ns0:c>
      <ns0:c r="C352" s="20" t="n">
        <ns0:v>0</ns0:v>
      </ns0:c>
      <ns0:c r="D352" s="20" t="inlineStr">
        <ns0:is>
          <ns0:t>add</ns0:t>
        </ns0:is>
      </ns0:c>
      <ns0:c r="E352" s="20" t="inlineStr">
        <ns0:is>
          <ns0:t>混在・パック30%</ns0:t>
        </ns0:is>
      </ns0:c>
      <ns0:c r="F352" s="22" t="n">
        <ns0:v>0.5</ns0:v>
      </ns0:c>
      <ns0:c r="G352" s="20" t="n">
        <ns0:v>21</ns0:v>
      </ns0:c>
      <ns0:c r="H352" s="20" t="n">
        <ns0:v>21</ns0:v>
      </ns0:c>
      <ns0:c r="I352" s="20" t="n">
        <ns0:v>47</ns0:v>
      </ns0:c>
      <ns0:c r="J352" s="20" t="n">
        <ns0:v>5905.647230566239</ns0:v>
      </ns0:c>
      <ns0:c r="K352" s="20" t="n">
        <ns0:v>1612.170068218186</ns0:v>
      </ns0:c>
      <ns0:c r="L352" s="20" t="n">
        <ns0:v>178041.672447424</ns0:v>
      </ns0:c>
      <ns0:c r="M352" s="20" t="n">
        <ns0:v>30824.27060235065</ns0:v>
      </ns0:c>
      <ns0:c r="N352" s="20" t="n">
        <ns0:v>-20323.24685869955</ns0:v>
      </ns0:c>
      <ns0:c r="O352" s="20" t="n">
        <ns0:v>25552.12867651691</ns0:v>
      </ns0:c>
      <ns0:c r="P352" s="20" t="n">
        <ns0:v>77927.50421173341</ns0:v>
      </ns0:c>
      <ns0:c r="Q352" s="20" t="n">
        <ns0:v>208865.9430497746</ns0:v>
      </ns0:c>
      <ns0:c r="R352" s="20" t="n">
        <ns0:v>706619.6984019394</ns0:v>
      </ns0:c>
      <ns0:c r="S352" s="20" t="n">
        <ns0:v>2501757.842134516</ns0:v>
      </ns0:c>
    </ns0:row>
    <ns0:row r="353" ht="32" customHeight="1">
      <ns0:c r="A353" s="20" t="inlineStr">
        <ns0:is>
          <ns0:t>product20</ns0:t>
        </ns0:is>
      </ns0:c>
      <ns0:c r="B353" s="22" t="n">
        <ns0:v>0.2</ns0:v>
      </ns0:c>
      <ns0:c r="C353" s="20" t="n">
        <ns0:v>0</ns0:v>
      </ns0:c>
      <ns0:c r="D353" s="20" t="inlineStr">
        <ns0:is>
          <ns0:t>add</ns0:t>
        </ns0:is>
      </ns0:c>
      <ns0:c r="E353" s="20" t="inlineStr">
        <ns0:is>
          <ns0:t>混在・パック50%</ns0:t>
        </ns0:is>
      </ns0:c>
      <ns0:c r="F353" s="22" t="n">
        <ns0:v>0.4</ns0:v>
      </ns0:c>
      <ns0:c r="G353" s="20" t="n">
        <ns0:v>17</ns0:v>
      </ns0:c>
      <ns0:c r="H353" s="20" t="n">
        <ns0:v>17</ns0:v>
      </ns0:c>
      <ns0:c r="I353" s="20" t="n">
        <ns0:v>36</ns0:v>
      </ns0:c>
      <ns0:c r="J353" s="20" t="n">
        <ns0:v>6586.427989909645</ns0:v>
      </ns0:c>
      <ns0:c r="K353" s="20" t="n">
        <ns0:v>1406.16900945269</ns0:v>
      </ns0:c>
      <ns0:c r="L353" s="20" t="n">
        <ns0:v>224449.047613357</ns0:v>
      </ns0:c>
      <ns0:c r="M353" s="20" t="n">
        <ns0:v>49010.33407144759</ns0:v>
      </ns0:c>
      <ns0:c r="N353" s="20" t="n">
        <ns0:v>-13863.90299519655</ns0:v>
      </ns0:c>
      <ns0:c r="O353" s="20" t="n">
        <ns0:v>44930.16026702589</ns0:v>
      </ns0:c>
      <ns0:c r="P353" s="20" t="n">
        <ns0:v>110224.2235292484</ns0:v>
      </ns0:c>
      <ns0:c r="Q353" s="20" t="n">
        <ns0:v>273459.3816848046</ns0:v>
      </ns0:c>
      <ns0:c r="R353" s="20" t="n">
        <ns0:v>900400.014307029</ns0:v>
      </ns0:c>
      <ns0:c r="S353" s="20" t="n">
        <ns0:v>3147692.228484815</ns0:v>
      </ns0:c>
    </ns0:row>
    <ns0:row r="354" ht="32" customHeight="1">
      <ns0:c r="A354" s="20" t="inlineStr">
        <ns0:is>
          <ns0:t>product20</ns0:t>
        </ns0:is>
      </ns0:c>
      <ns0:c r="B354" s="22" t="n">
        <ns0:v>0.2</ns0:v>
      </ns0:c>
      <ns0:c r="C354" s="20" t="n">
        <ns0:v>0</ns0:v>
      </ns0:c>
      <ns0:c r="D354" s="20" t="inlineStr">
        <ns0:is>
          <ns0:t>add</ns0:t>
        </ns0:is>
      </ns0:c>
      <ns0:c r="E354" s="20" t="inlineStr">
        <ns0:is>
          <ns0:t>混在・パック50%</ns0:t>
        </ns0:is>
      </ns0:c>
      <ns0:c r="F354" s="22" t="n">
        <ns0:v>0.5</ns0:v>
      </ns0:c>
      <ns0:c r="G354" s="20" t="n">
        <ns0:v>19</ns0:v>
      </ns0:c>
      <ns0:c r="H354" s="20" t="n">
        <ns0:v>19</ns0:v>
      </ns0:c>
      <ns0:c r="I354" s="20" t="n">
        <ns0:v>40</ns0:v>
      </ns0:c>
      <ns0:c r="J354" s="20" t="n">
        <ns0:v>6586.427989909645</ns0:v>
      </ns0:c>
      <ns0:c r="K354" s="20" t="n">
        <ns0:v>1757.711261815863</ns0:v>
      </ns0:c>
      <ns0:c r="L354" s="20" t="n">
        <ns0:v>197540.8815863556</ns0:v>
      </ns0:c>
      <ns0:c r="M354" s="20" t="n">
        <ns0:v>40764.27486213166</ns0:v>
      </ns0:c>
      <ns0:c r="N354" s="20" t="n">
        <ns0:v>-17379.32551882828</ns0:v>
      </ns0:c>
      <ns0:c r="O354" s="20" t="n">
        <ns0:v>34383.89269613071</ns0:v>
      </ns0:c>
      <ns0:c r="P354" s="20" t="n">
        <ns0:v>92647.11091108975</ns0:v>
      </ns0:c>
      <ns0:c r="Q354" s="20" t="n">
        <ns0:v>238305.1564484873</ns0:v>
      </ns0:c>
      <ns0:c r="R354" s="20" t="n">
        <ns0:v>794937.3385980774</ns0:v>
      </ns0:c>
      <ns0:c r="S354" s="20" t="n">
        <ns0:v>2796149.976121643</ns0:v>
      </ns0:c>
    </ns0:row>
    <ns0:row r="355" ht="32" customHeight="1">
      <ns0:c r="A355" s="20" t="inlineStr">
        <ns0:is>
          <ns0:t>product20</ns0:t>
        </ns0:is>
      </ns0:c>
      <ns0:c r="B355" s="22" t="n">
        <ns0:v>0.2</ns0:v>
      </ns0:c>
      <ns0:c r="C355" s="20" t="n">
        <ns0:v>0</ns0:v>
      </ns0:c>
      <ns0:c r="D355" s="20" t="inlineStr">
        <ns0:is>
          <ns0:t>add</ns0:t>
        </ns0:is>
      </ns0:c>
      <ns0:c r="E355" s="20" t="inlineStr">
        <ns0:is>
          <ns0:t>混在・パック70%</ns0:t>
        </ns0:is>
      </ns0:c>
      <ns0:c r="F355" s="22" t="n">
        <ns0:v>0.4</ns0:v>
      </ns0:c>
      <ns0:c r="G355" s="20" t="n">
        <ns0:v>15</ns0:v>
      </ns0:c>
      <ns0:c r="H355" s="20" t="n">
        <ns0:v>15</ns0:v>
      </ns0:c>
      <ns0:c r="I355" s="20" t="n">
        <ns0:v>31</ns0:v>
      </ns0:c>
      <ns0:c r="J355" s="20" t="n">
        <ns0:v>7267.208749253049</ns0:v>
      </ns0:c>
      <ns0:c r="K355" s="20" t="n">
        <ns0:v>1522.601964330832</ns0:v>
      </ns0:c>
      <ns0:c r="L355" s="20" t="n">
        <ns0:v>245818.68996277</ns0:v>
      </ns0:c>
      <ns0:c r="M355" s="20" t="n">
        <ns0:v>59990.72899270085</ns0:v>
      </ns0:c>
      <ns0:c r="N355" s="20" t="n">
        <ns0:v>-10628.89926812993</ns0:v>
      </ns0:c>
      <ns0:c r="O355" s="20" t="n">
        <ns0:v>54635.17144822577</ns0:v>
      </ns0:c>
      <ns0:c r="P355" s="20" t="n">
        <ns0:v>126399.2421645815</ns0:v>
      </ns0:c>
      <ns0:c r="Q355" s="20" t="n">
        <ns0:v>305809.4189554708</ns0:v>
      </ns0:c>
      <ns0:c r="R355" s="20" t="n">
        <ns0:v>997450.1261190281</ns0:v>
      </ns0:c>
      <ns0:c r="S355" s="20" t="n">
        <ns0:v>3471192.601191479</ns0:v>
      </ns0:c>
    </ns0:row>
    <ns0:row r="356" ht="32" customHeight="1">
      <ns0:c r="A356" s="20" t="inlineStr">
        <ns0:is>
          <ns0:t>product20</ns0:t>
        </ns0:is>
      </ns0:c>
      <ns0:c r="B356" s="22" t="n">
        <ns0:v>0.2</ns0:v>
      </ns0:c>
      <ns0:c r="C356" s="20" t="n">
        <ns0:v>0</ns0:v>
      </ns0:c>
      <ns0:c r="D356" s="20" t="inlineStr">
        <ns0:is>
          <ns0:t>add</ns0:t>
        </ns0:is>
      </ns0:c>
      <ns0:c r="E356" s="20" t="inlineStr">
        <ns0:is>
          <ns0:t>混在・パック70%</ns0:t>
        </ns0:is>
      </ns0:c>
      <ns0:c r="F356" s="22" t="n">
        <ns0:v>0.5</ns0:v>
      </ns0:c>
      <ns0:c r="G356" s="20" t="n">
        <ns0:v>17</ns0:v>
      </ns0:c>
      <ns0:c r="H356" s="20" t="n">
        <ns0:v>17</ns0:v>
      </ns0:c>
      <ns0:c r="I356" s="20" t="n">
        <ns0:v>35</ns0:v>
      </ns0:c>
      <ns0:c r="J356" s="20" t="n">
        <ns0:v>7267.208749253049</ns0:v>
      </ns0:c>
      <ns0:c r="K356" s="20" t="n">
        <ns0:v>1903.25245541354</ns0:v>
      </ns0:c>
      <ns0:c r="L356" s="20" t="n">
        <ns0:v>217040.0907252874</ns0:v>
      </ns0:c>
      <ns0:c r="M356" s="20" t="n">
        <ns0:v>50704.27912191267</ns0:v>
      </ns0:c>
      <ns0:c r="N356" s="20" t="n">
        <ns0:v>-14435.40417895701</ns0:v>
      </ns0:c>
      <ns0:c r="O356" s="20" t="n">
        <ns0:v>43215.65671574454</ns0:v>
      </ns0:c>
      <ns0:c r="P356" s="20" t="n">
        <ns0:v>107366.7176104461</ns0:v>
      </ns0:c>
      <ns0:c r="Q356" s="20" t="n">
        <ns0:v>267744.3698472001</ns0:v>
      </ns0:c>
      <ns0:c r="R356" s="20" t="n">
        <ns0:v>883254.9787942157</ns0:v>
      </ns0:c>
      <ns0:c r="S356" s="20" t="n">
        <ns0:v>3090542.11010877</ns0:v>
      </ns0:c>
    </ns0:row>
    <ns0:row r="357" ht="32" customHeight="1">
      <ns0:c r="A357" s="20" t="inlineStr">
        <ns0:is>
          <ns0:t>product20</ns0:t>
        </ns0:is>
      </ns0:c>
      <ns0:c r="B357" s="22" t="n">
        <ns0:v>0.3</ns0:v>
      </ns0:c>
      <ns0:c r="C357" s="20" t="n">
        <ns0:v>1</ns0:v>
      </ns0:c>
      <ns0:c r="D357" s="20" t="inlineStr">
        <ns0:is>
          <ns0:t>floor</ns0:t>
        </ns0:is>
      </ns0:c>
      <ns0:c r="E357" s="20" t="inlineStr">
        <ns0:is>
          <ns0:t>パック単独</ns0:t>
        </ns0:is>
      </ns0:c>
      <ns0:c r="F357" s="22" t="n">
        <ns0:v>0.4</ns0:v>
      </ns0:c>
      <ns0:c r="G357" s="20" t="n">
        <ns0:v>23</ns0:v>
      </ns0:c>
      <ns0:c r="H357" s="20" t="n">
        <ns0:v>23</ns0:v>
      </ns0:c>
      <ns0:c r="I357" s="20" t="inlineStr">
        <ns0:is>
          <ns0:t>範囲内なし</ns0:t>
        </ns0:is>
      </ns0:c>
      <ns0:c r="J357" s="20" t="n">
        <ns0:v>8288.379888268153</ns0:v>
      </ns0:c>
      <ns0:c r="K357" s="20" t="n">
        <ns0:v>1697.251396648044</ns0:v>
      </ns0:c>
      <ns0:c r="L357" s="20" t="n">
        <ns0:v>224186.9337475971</ns0:v>
      </ns0:c>
      <ns0:c r="M357" s="20" t="n">
        <ns0:v>-41461.30251450463</ns0:v>
      </ns0:c>
      <ns0:c r="N357" s="20" t="n">
        <ns0:v>-24601.80318003259</ns0:v>
      </ns0:c>
      <ns0:c r="O357" s="20" t="n">
        <ns0:v>16660.03513151222</ns0:v>
      </ns0:c>
      <ns0:c r="P357" s="20" t="n">
        <ns0:v>64107.34830339232</ns0:v>
      </ns0:c>
      <ns0:c r="Q357" s="20" t="n">
        <ns0:v>182725.6312330924</ns0:v>
      </ns0:c>
      <ns0:c r="R357" s="20" t="n">
        <ns0:v>615198.7629518926</ns0:v>
      </ns0:c>
      <ns0:c r="S357" s="20" t="n">
        <ns0:v>2205854.723967694</ns0:v>
      </ns0:c>
    </ns0:row>
    <ns0:row r="358" ht="32" customHeight="1">
      <ns0:c r="A358" s="20" t="inlineStr">
        <ns0:is>
          <ns0:t>product20</ns0:t>
        </ns0:is>
      </ns0:c>
      <ns0:c r="B358" s="22" t="n">
        <ns0:v>0.3</ns0:v>
      </ns0:c>
      <ns0:c r="C358" s="20" t="n">
        <ns0:v>1</ns0:v>
      </ns0:c>
      <ns0:c r="D358" s="20" t="inlineStr">
        <ns0:is>
          <ns0:t>floor</ns0:t>
        </ns0:is>
      </ns0:c>
      <ns0:c r="E358" s="20" t="inlineStr">
        <ns0:is>
          <ns0:t>パック単独</ns0:t>
        </ns0:is>
      </ns0:c>
      <ns0:c r="F358" s="22" t="n">
        <ns0:v>0.5</ns0:v>
      </ns0:c>
      <ns0:c r="G358" s="20" t="n">
        <ns0:v>28</ns0:v>
      </ns0:c>
      <ns0:c r="H358" s="20" t="n">
        <ns0:v>28</ns0:v>
      </ns0:c>
      <ns0:c r="I358" s="20" t="inlineStr">
        <ns0:is>
          <ns0:t>範囲内なし</ns0:t>
        </ns0:is>
      </ns0:c>
      <ns0:c r="J358" s="20" t="n">
        <ns0:v>8288.379888268153</ns0:v>
      </ns0:c>
      <ns0:c r="K358" s="20" t="n">
        <ns0:v>2121.564245810055</ns0:v>
      </ns0:c>
      <ns0:c r="L358" s="20" t="n">
        <ns0:v>192602.6846943925</ns0:v>
      </ns0:c>
      <ns0:c r="M358" s="20" t="n">
        <ns0:v>-52308.33837750117</ns0:v>
      </ns0:c>
      <ns0:c r="N358" s="20" t="n">
        <ns0:v>-28844.9316716527</ns0:v>
      </ns0:c>
      <ns0:c r="O358" s="20" t="n">
        <ns0:v>3930.649656651898</ns0:v>
      </ns0:c>
      <ns0:c r="P358" s="20" t="n">
        <ns0:v>42891.70584529175</ns0:v>
      </ns0:c>
      <ns0:c r="Q358" s="20" t="n">
        <ns0:v>140294.3463168913</ns0:v>
      </ns0:c>
      <ns0:c r="R358" s="20" t="n">
        <ns0:v>487904.9082032891</ns0:v>
      </ns0:c>
      <ns0:c r="S358" s="20" t="n">
        <ns0:v>1781541.874805683</ns0:v>
      </ns0:c>
    </ns0:row>
    <ns0:row r="359" ht="32" customHeight="1">
      <ns0:c r="A359" s="20" t="inlineStr">
        <ns0:is>
          <ns0:t>product20</ns0:t>
        </ns0:is>
      </ns0:c>
      <ns0:c r="B359" s="22" t="n">
        <ns0:v>0.3</ns0:v>
      </ns0:c>
      <ns0:c r="C359" s="20" t="n">
        <ns0:v>1</ns0:v>
      </ns0:c>
      <ns0:c r="D359" s="20" t="inlineStr">
        <ns0:is>
          <ns0:t>floor</ns0:t>
        </ns0:is>
      </ns0:c>
      <ns0:c r="E359" s="20" t="inlineStr">
        <ns0:is>
          <ns0:t>混在・パック30%</ns0:t>
        </ns0:is>
      </ns0:c>
      <ns0:c r="F359" s="22" t="n">
        <ns0:v>0.4</ns0:v>
      </ns0:c>
      <ns0:c r="G359" s="20" t="n">
        <ns0:v>30</ns0:v>
      </ns0:c>
      <ns0:c r="H359" s="20" t="n">
        <ns0:v>30</ns0:v>
      </ns0:c>
      <ns0:c r="I359" s="20" t="inlineStr">
        <ns0:is>
          <ns0:t>範囲内なし</ns0:t>
        </ns0:is>
      </ns0:c>
      <ns0:c r="J359" s="20" t="n">
        <ns0:v>5905.647230566238</ns0:v>
      </ns0:c>
      <ns0:c r="K359" s="20" t="n">
        <ns0:v>1289.736054574549</ns0:v>
      </ns0:c>
      <ns0:c r="L359" s="20" t="n">
        <ns0:v>167449.0514464392</ns0:v>
      </ns0:c>
      <ns0:c r="M359" s="20" t="n">
        <ns0:v>-35104.58038392603</ns0:v>
      </ns0:c>
      <ns0:c r="N359" s="20" t="n">
        <ns0:v>-33895.56165519106</ns0:v>
      </ns0:c>
      <ns0:c r="O359" s="20" t="n">
        <ns0:v>1545.68708033851</ns0:v>
      </ns0:c>
      <ns0:c r="P359" s="20" t="n">
        <ns0:v>38916.7682181027</ns0:v>
      </ns0:c>
      <ns0:c r="Q359" s="20" t="n">
        <ns0:v>132344.4710625132</ns0:v>
      </ns0:c>
      <ns0:c r="R359" s="20" t="n">
        <ns0:v>464055.2824401552</ns0:v>
      </ns0:c>
      <ns0:c r="S359" s="20" t="n">
        <ns0:v>1702043.122261903</ns0:v>
      </ns0:c>
    </ns0:row>
    <ns0:row r="360" ht="32" customHeight="1">
      <ns0:c r="A360" s="20" t="inlineStr">
        <ns0:is>
          <ns0:t>product20</ns0:t>
        </ns0:is>
      </ns0:c>
      <ns0:c r="B360" s="22" t="n">
        <ns0:v>0.3</ns0:v>
      </ns0:c>
      <ns0:c r="C360" s="20" t="n">
        <ns0:v>1</ns0:v>
      </ns0:c>
      <ns0:c r="D360" s="20" t="inlineStr">
        <ns0:is>
          <ns0:t>floor</ns0:t>
        </ns0:is>
      </ns0:c>
      <ns0:c r="E360" s="20" t="inlineStr">
        <ns0:is>
          <ns0:t>混在・パック30%</ns0:t>
        </ns0:is>
      </ns0:c>
      <ns0:c r="F360" s="22" t="n">
        <ns0:v>0.5</ns0:v>
      </ns0:c>
      <ns0:c r="G360" s="20" t="n">
        <ns0:v>36</ns0:v>
      </ns0:c>
      <ns0:c r="H360" s="20" t="n">
        <ns0:v>36</ns0:v>
      </ns0:c>
      <ns0:c r="I360" s="20" t="inlineStr">
        <ns0:is>
          <ns0:t>範囲内なし</ns0:t>
        </ns0:is>
      </ns0:c>
      <ns0:c r="J360" s="20" t="n">
        <ns0:v>5905.647230566238</ns0:v>
      </ns0:c>
      <ns0:c r="K360" s="20" t="n">
        <ns0:v>1612.170068218186</ns0:v>
      </ns0:c>
      <ns0:c r="L360" s="20" t="n">
        <ns0:v>142411.3186299192</ns0:v>
      </ns0:c>
      <ns0:c r="M360" s="20" t="n">
        <ns0:v>-42310.2489317697</ns0:v>
      </ns0:c>
      <ns0:c r="N360" s="20" t="n">
        <ns0:v>-37119.90179162743</ns0:v>
      </ns0:c>
      <ns0:c r="O360" s="20" t="n">
        <ns0:v>-8127.333328970613</ns0:v>
      </ns0:c>
      <ns0:c r="P360" s="20" t="n">
        <ns0:v>22795.06753592085</ns0:v>
      </ns0:c>
      <ns0:c r="Q360" s="20" t="n">
        <ns0:v>100101.0696981495</ns0:v>
      </ns0:c>
      <ns0:c r="R360" s="20" t="n">
        <ns0:v>367325.0783470641</ns0:v>
      </ns0:c>
      <ns0:c r="S360" s="20" t="n">
        <ns0:v>1379609.108618265</ns0:v>
      </ns0:c>
    </ns0:row>
    <ns0:row r="361" ht="32" customHeight="1">
      <ns0:c r="A361" s="20" t="inlineStr">
        <ns0:is>
          <ns0:t>product20</ns0:t>
        </ns0:is>
      </ns0:c>
      <ns0:c r="B361" s="22" t="n">
        <ns0:v>0.3</ns0:v>
      </ns0:c>
      <ns0:c r="C361" s="20" t="n">
        <ns0:v>1</ns0:v>
      </ns0:c>
      <ns0:c r="D361" s="20" t="inlineStr">
        <ns0:is>
          <ns0:t>floor</ns0:t>
        </ns0:is>
      </ns0:c>
      <ns0:c r="E361" s="20" t="inlineStr">
        <ns0:is>
          <ns0:t>混在・パック50%</ns0:t>
        </ns0:is>
      </ns0:c>
      <ns0:c r="F361" s="22" t="n">
        <ns0:v>0.4</ns0:v>
      </ns0:c>
      <ns0:c r="G361" s="20" t="n">
        <ns0:v>28</ns0:v>
      </ns0:c>
      <ns0:c r="H361" s="20" t="n">
        <ns0:v>28</ns0:v>
      </ns0:c>
      <ns0:c r="I361" s="20" t="inlineStr">
        <ns0:is>
          <ns0:t>範囲内なし</ns0:t>
        </ns0:is>
      </ns0:c>
      <ns0:c r="J361" s="20" t="n">
        <ns0:v>6586.427989909642</ns0:v>
      </ns0:c>
      <ns0:c r="K361" s="20" t="n">
        <ns0:v>1406.16900945269</ns0:v>
      </ns0:c>
      <ns0:c r="L361" s="20" t="n">
        <ns0:v>183659.8749610558</ns0:v>
      </ns0:c>
      <ns0:c r="M361" s="20" t="n">
        <ns0:v>-36920.78670694849</ns0:v>
      </ns0:c>
      <ns0:c r="N361" s="20" t="n">
        <ns0:v>-31240.20209086008</ns0:v>
      </ns0:c>
      <ns0:c r="O361" s="20" t="n">
        <ns0:v>5864.07223781669</ns0:v>
      </ns0:c>
      <ns0:c r="P361" s="20" t="n">
        <ns0:v>46114.07681389975</ns0:v>
      </ns0:c>
      <ns0:c r="Q361" s="20" t="n">
        <ns0:v>146739.0882541073</ns0:v>
      </ns0:c>
      <ns0:c r="R361" s="20" t="n">
        <ns0:v>507239.1340149375</ns0:v>
      </ns0:c>
      <ns0:c r="S361" s="20" t="n">
        <ns0:v>1845989.294177843</ns0:v>
      </ns0:c>
    </ns0:row>
    <ns0:row r="362" ht="32" customHeight="1">
      <ns0:c r="A362" s="20" t="inlineStr">
        <ns0:is>
          <ns0:t>product20</ns0:t>
        </ns0:is>
      </ns0:c>
      <ns0:c r="B362" s="22" t="n">
        <ns0:v>0.3</ns0:v>
      </ns0:c>
      <ns0:c r="C362" s="20" t="n">
        <ns0:v>1</ns0:v>
      </ns0:c>
      <ns0:c r="D362" s="20" t="inlineStr">
        <ns0:is>
          <ns0:t>floor</ns0:t>
        </ns0:is>
      </ns0:c>
      <ns0:c r="E362" s="20" t="inlineStr">
        <ns0:is>
          <ns0:t>混在・パック50%</ns0:t>
        </ns0:is>
      </ns0:c>
      <ns0:c r="F362" s="22" t="n">
        <ns0:v>0.5</ns0:v>
      </ns0:c>
      <ns0:c r="G362" s="20" t="n">
        <ns0:v>33</ns0:v>
      </ns0:c>
      <ns0:c r="H362" s="20" t="n">
        <ns0:v>33</ns0:v>
      </ns0:c>
      <ns0:c r="I362" s="20" t="inlineStr">
        <ns0:is>
          <ns0:t>範囲内なし</ns0:t>
        </ns0:is>
      </ns0:c>
      <ns0:c r="J362" s="20" t="n">
        <ns0:v>6586.427989909642</ns0:v>
      </ns0:c>
      <ns0:c r="K362" s="20" t="n">
        <ns0:v>1757.711261815863</ns0:v>
      </ns0:c>
      <ns0:c r="L362" s="20" t="n">
        <ns0:v>156751.7089340544</ns0:v>
      </ns0:c>
      <ns0:c r="M362" s="20" t="n">
        <ns0:v>-45166.84591626441</ns0:v>
      </ns0:c>
      <ns0:c r="N362" s="20" t="n">
        <ns0:v>-34755.6246144918</ns0:v>
      </ns0:c>
      <ns0:c r="O362" s="20" t="n">
        <ns0:v>-4682.195333078467</ns0:v>
      </ns0:c>
      <ns0:c r="P362" s="20" t="n">
        <ns0:v>28536.96419574112</ns0:v>
      </ns0:c>
      <ns0:c r="Q362" s="20" t="n">
        <ns0:v>111584.86301779</ns0:v>
      </ns0:c>
      <ns0:c r="R362" s="20" t="n">
        <ns0:v>401776.4583059857</ns0:v>
      </ns0:c>
      <ns0:c r="S362" s="20" t="n">
        <ns0:v>1494447.04181467</ns0:v>
      </ns0:c>
    </ns0:row>
    <ns0:row r="363" ht="32" customHeight="1">
      <ns0:c r="A363" s="20" t="inlineStr">
        <ns0:is>
          <ns0:t>product20</ns0:t>
        </ns0:is>
      </ns0:c>
      <ns0:c r="B363" s="22" t="n">
        <ns0:v>0.3</ns0:v>
      </ns0:c>
      <ns0:c r="C363" s="20" t="n">
        <ns0:v>1</ns0:v>
      </ns0:c>
      <ns0:c r="D363" s="20" t="inlineStr">
        <ns0:is>
          <ns0:t>floor</ns0:t>
        </ns0:is>
      </ns0:c>
      <ns0:c r="E363" s="20" t="inlineStr">
        <ns0:is>
          <ns0:t>混在・パック70%</ns0:t>
        </ns0:is>
      </ns0:c>
      <ns0:c r="F363" s="22" t="n">
        <ns0:v>0.4</ns0:v>
      </ns0:c>
      <ns0:c r="G363" s="20" t="n">
        <ns0:v>26</ns0:v>
      </ns0:c>
      <ns0:c r="H363" s="20" t="n">
        <ns0:v>26</ns0:v>
      </ns0:c>
      <ns0:c r="I363" s="20" t="inlineStr">
        <ns0:is>
          <ns0:t>範囲内なし</ns0:t>
        </ns0:is>
      </ns0:c>
      <ns0:c r="J363" s="20" t="n">
        <ns0:v>7267.208749253046</ns0:v>
      </ns0:c>
      <ns0:c r="K363" s="20" t="n">
        <ns0:v>1522.601964330832</ns0:v>
      </ns0:c>
      <ns0:c r="L363" s="20" t="n">
        <ns0:v>199870.6984756722</ns0:v>
      </ns0:c>
      <ns0:c r="M363" s="20" t="n">
        <ns0:v>-38736.99302997094</ns0:v>
      </ns0:c>
      <ns0:c r="N363" s="20" t="n">
        <ns0:v>-28584.84252652908</ns0:v>
      </ns0:c>
      <ns0:c r="O363" s="20" t="n">
        <ns0:v>10182.45739529491</ns0:v>
      </ns0:c>
      <ns0:c r="P363" s="20" t="n">
        <ns0:v>53311.38540969671</ns0:v>
      </ns0:c>
      <ns0:c r="Q363" s="20" t="n">
        <ns0:v>161133.7054457012</ns0:v>
      </ns0:c>
      <ns0:c r="R363" s="20" t="n">
        <ns0:v>550422.9855897195</ns0:v>
      </ns0:c>
      <ns0:c r="S363" s="20" t="n">
        <ns0:v>1989935.466093783</ns0:v>
      </ns0:c>
    </ns0:row>
    <ns0:row r="364" ht="32" customHeight="1">
      <ns0:c r="A364" s="20" t="inlineStr">
        <ns0:is>
          <ns0:t>product20</ns0:t>
        </ns0:is>
      </ns0:c>
      <ns0:c r="B364" s="22" t="n">
        <ns0:v>0.3</ns0:v>
      </ns0:c>
      <ns0:c r="C364" s="20" t="n">
        <ns0:v>1</ns0:v>
      </ns0:c>
      <ns0:c r="D364" s="20" t="inlineStr">
        <ns0:is>
          <ns0:t>floor</ns0:t>
        </ns0:is>
      </ns0:c>
      <ns0:c r="E364" s="20" t="inlineStr">
        <ns0:is>
          <ns0:t>混在・パック70%</ns0:t>
        </ns0:is>
      </ns0:c>
      <ns0:c r="F364" s="22" t="n">
        <ns0:v>0.5</ns0:v>
      </ns0:c>
      <ns0:c r="G364" s="20" t="n">
        <ns0:v>31</ns0:v>
      </ns0:c>
      <ns0:c r="H364" s="20" t="n">
        <ns0:v>31</ns0:v>
      </ns0:c>
      <ns0:c r="I364" s="20" t="inlineStr">
        <ns0:is>
          <ns0:t>範囲内なし</ns0:t>
        </ns0:is>
      </ns0:c>
      <ns0:c r="J364" s="20" t="n">
        <ns0:v>7267.208749253046</ns0:v>
      </ns0:c>
      <ns0:c r="K364" s="20" t="n">
        <ns0:v>1903.252455413539</ns0:v>
      </ns0:c>
      <ns0:c r="L364" s="20" t="n">
        <ns0:v>171092.0992381895</ns0:v>
      </ns0:c>
      <ns0:c r="M364" s="20" t="n">
        <ns0:v>-48023.44290075912</ns0:v>
      </ns0:c>
      <ns0:c r="N364" s="20" t="n">
        <ns0:v>-32391.34743735616</ns0:v>
      </ns0:c>
      <ns0:c r="O364" s="20" t="n">
        <ns0:v>-1237.057337186314</ns0:v>
      </ns0:c>
      <ns0:c r="P364" s="20" t="n">
        <ns0:v>34278.8608555613</ns0:v>
      </ns0:c>
      <ns0:c r="Q364" s="20" t="n">
        <ns0:v>123068.6563374304</ns0:v>
      </ns0:c>
      <ns0:c r="R364" s="20" t="n">
        <ns0:v>436227.8382649072</ns0:v>
      </ns0:c>
      <ns0:c r="S364" s="20" t="n">
        <ns0:v>1609284.975011075</ns0:v>
      </ns0:c>
    </ns0:row>
    <ns0:row r="365" ht="32" customHeight="1">
      <ns0:c r="A365" s="20" t="inlineStr">
        <ns0:is>
          <ns0:t>product20</ns0:t>
        </ns0:is>
      </ns0:c>
      <ns0:c r="B365" s="22" t="n">
        <ns0:v>0.3</ns0:v>
      </ns0:c>
      <ns0:c r="C365" s="20" t="n">
        <ns0:v>1</ns0:v>
      </ns0:c>
      <ns0:c r="D365" s="20" t="inlineStr">
        <ns0:is>
          <ns0:t>add</ns0:t>
        </ns0:is>
      </ns0:c>
      <ns0:c r="E365" s="20" t="inlineStr">
        <ns0:is>
          <ns0:t>パック単独</ns0:t>
        </ns0:is>
      </ns0:c>
      <ns0:c r="F365" s="22" t="n">
        <ns0:v>0.4</ns0:v>
      </ns0:c>
      <ns0:c r="G365" s="20" t="n">
        <ns0:v>33</ns0:v>
      </ns0:c>
      <ns0:c r="H365" s="20" t="n">
        <ns0:v>33</ns0:v>
      </ns0:c>
      <ns0:c r="I365" s="20" t="inlineStr">
        <ns0:is>
          <ns0:t>範囲内なし</ns0:t>
        </ns0:is>
      </ns0:c>
      <ns0:c r="J365" s="20" t="n">
        <ns0:v>8288.379888268153</ns0:v>
      </ns0:c>
      <ns0:c r="K365" s="20" t="n">
        <ns0:v>1697.251396648044</ns0:v>
      </ns0:c>
      <ns0:c r="L365" s="20" t="n">
        <ns0:v>201686.9337475971</ns0:v>
      </ns0:c>
      <ns0:c r="M365" s="20" t="n">
        <ns0:v>-41461.30251450463</ns0:v>
      </ns0:c>
      <ns0:c r="N365" s="20" t="n">
        <ns0:v>-38787.27804036778</ns0:v>
      </ns0:c>
      <ns0:c r="O365" s="20" t="n">
        <ns0:v>-5839.964868487783</ns0:v>
      </ns0:c>
      <ns0:c r="P365" s="20" t="n">
        <ns0:v>41607.34830339233</ns0:v>
      </ns0:c>
      <ns0:c r="Q365" s="20" t="n">
        <ns0:v>160225.6312330925</ns0:v>
      </ns0:c>
      <ns0:c r="R365" s="20" t="n">
        <ns0:v>592698.7629518926</ns0:v>
      </ns0:c>
      <ns0:c r="S365" s="20" t="n">
        <ns0:v>2183354.723967694</ns0:v>
      </ns0:c>
    </ns0:row>
    <ns0:row r="366" ht="32" customHeight="1">
      <ns0:c r="A366" s="20" t="inlineStr">
        <ns0:is>
          <ns0:t>product20</ns0:t>
        </ns0:is>
      </ns0:c>
      <ns0:c r="B366" s="22" t="n">
        <ns0:v>0.3</ns0:v>
      </ns0:c>
      <ns0:c r="C366" s="20" t="n">
        <ns0:v>1</ns0:v>
      </ns0:c>
      <ns0:c r="D366" s="20" t="inlineStr">
        <ns0:is>
          <ns0:t>add</ns0:t>
        </ns0:is>
      </ns0:c>
      <ns0:c r="E366" s="20" t="inlineStr">
        <ns0:is>
          <ns0:t>パック単独</ns0:t>
        </ns0:is>
      </ns0:c>
      <ns0:c r="F366" s="22" t="n">
        <ns0:v>0.5</ns0:v>
      </ns0:c>
      <ns0:c r="G366" s="20" t="n">
        <ns0:v>40</ns0:v>
      </ns0:c>
      <ns0:c r="H366" s="20" t="n">
        <ns0:v>40</ns0:v>
      </ns0:c>
      <ns0:c r="I366" s="20" t="inlineStr">
        <ns0:is>
          <ns0:t>範囲内なし</ns0:t>
        </ns0:is>
      </ns0:c>
      <ns0:c r="J366" s="20" t="n">
        <ns0:v>8288.379888268153</ns0:v>
      </ns0:c>
      <ns0:c r="K366" s="20" t="n">
        <ns0:v>2121.564245810055</ns0:v>
      </ns0:c>
      <ns0:c r="L366" s="20" t="n">
        <ns0:v>170102.6846943925</ns0:v>
      </ns0:c>
      <ns0:c r="M366" s="20" t="n">
        <ns0:v>-52308.33837750117</ns0:v>
      </ns0:c>
      <ns0:c r="N366" s="20" t="n">
        <ns0:v>-43030.40653198789</ns0:v>
      </ns0:c>
      <ns0:c r="O366" s="20" t="n">
        <ns0:v>-18569.3503433481</ns0:v>
      </ns0:c>
      <ns0:c r="P366" s="20" t="n">
        <ns0:v>20391.70584529176</ns0:v>
      </ns0:c>
      <ns0:c r="Q366" s="20" t="n">
        <ns0:v>117794.3463168913</ns0:v>
      </ns0:c>
      <ns0:c r="R366" s="20" t="n">
        <ns0:v>465404.9082032891</ns0:v>
      </ns0:c>
      <ns0:c r="S366" s="20" t="n">
        <ns0:v>1759041.874805683</ns0:v>
      </ns0:c>
    </ns0:row>
    <ns0:row r="367" ht="32" customHeight="1">
      <ns0:c r="A367" s="20" t="inlineStr">
        <ns0:is>
          <ns0:t>product20</ns0:t>
        </ns0:is>
      </ns0:c>
      <ns0:c r="B367" s="22" t="n">
        <ns0:v>0.3</ns0:v>
      </ns0:c>
      <ns0:c r="C367" s="20" t="n">
        <ns0:v>1</ns0:v>
      </ns0:c>
      <ns0:c r="D367" s="20" t="inlineStr">
        <ns0:is>
          <ns0:t>add</ns0:t>
        </ns0:is>
      </ns0:c>
      <ns0:c r="E367" s="20" t="inlineStr">
        <ns0:is>
          <ns0:t>混在・パック30%</ns0:t>
        </ns0:is>
      </ns0:c>
      <ns0:c r="F367" s="22" t="n">
        <ns0:v>0.4</ns0:v>
      </ns0:c>
      <ns0:c r="G367" s="20" t="n">
        <ns0:v>42</ns0:v>
      </ns0:c>
      <ns0:c r="H367" s="20" t="n">
        <ns0:v>42</ns0:v>
      </ns0:c>
      <ns0:c r="I367" s="20" t="inlineStr">
        <ns0:is>
          <ns0:t>範囲内なし</ns0:t>
        </ns0:is>
      </ns0:c>
      <ns0:c r="J367" s="20" t="n">
        <ns0:v>5905.647230566238</ns0:v>
      </ns0:c>
      <ns0:c r="K367" s="20" t="n">
        <ns0:v>1289.736054574549</ns0:v>
      </ns0:c>
      <ns0:c r="L367" s="20" t="n">
        <ns0:v>144949.0514464392</ns0:v>
      </ns0:c>
      <ns0:c r="M367" s="20" t="n">
        <ns0:v>-35104.58038392603</ns0:v>
      </ns0:c>
      <ns0:c r="N367" s="20" t="n">
        <ns0:v>-43825.3940574257</ns0:v>
      </ns0:c>
      <ns0:c r="O367" s="20" t="n">
        <ns0:v>-20954.31291966149</ns0:v>
      </ns0:c>
      <ns0:c r="P367" s="20" t="n">
        <ns0:v>16416.76821810269</ns0:v>
      </ns0:c>
      <ns0:c r="Q367" s="20" t="n">
        <ns0:v>109844.4710625132</ns0:v>
      </ns0:c>
      <ns0:c r="R367" s="20" t="n">
        <ns0:v>441555.2824401552</ns0:v>
      </ns0:c>
      <ns0:c r="S367" s="20" t="n">
        <ns0:v>1679543.122261903</ns0:v>
      </ns0:c>
    </ns0:row>
    <ns0:row r="368" ht="32" customHeight="1">
      <ns0:c r="A368" s="20" t="inlineStr">
        <ns0:is>
          <ns0:t>product20</ns0:t>
        </ns0:is>
      </ns0:c>
      <ns0:c r="B368" s="22" t="n">
        <ns0:v>0.3</ns0:v>
      </ns0:c>
      <ns0:c r="C368" s="20" t="n">
        <ns0:v>1</ns0:v>
      </ns0:c>
      <ns0:c r="D368" s="20" t="inlineStr">
        <ns0:is>
          <ns0:t>add</ns0:t>
        </ns0:is>
      </ns0:c>
      <ns0:c r="E368" s="20" t="inlineStr">
        <ns0:is>
          <ns0:t>混在・パック30%</ns0:t>
        </ns0:is>
      </ns0:c>
      <ns0:c r="F368" s="22" t="n">
        <ns0:v>0.5</ns0:v>
      </ns0:c>
      <ns0:c r="G368" s="20" t="n">
        <ns0:v>50</ns0:v>
      </ns0:c>
      <ns0:c r="H368" s="20" t="n">
        <ns0:v>50</ns0:v>
      </ns0:c>
      <ns0:c r="I368" s="20" t="inlineStr">
        <ns0:is>
          <ns0:t>範囲内なし</ns0:t>
        </ns0:is>
      </ns0:c>
      <ns0:c r="J368" s="20" t="n">
        <ns0:v>5905.647230566238</ns0:v>
      </ns0:c>
      <ns0:c r="K368" s="20" t="n">
        <ns0:v>1612.170068218186</ns0:v>
      </ns0:c>
      <ns0:c r="L368" s="20" t="n">
        <ns0:v>119911.3186299192</ns0:v>
      </ns0:c>
      <ns0:c r="M368" s="20" t="n">
        <ns0:v>-42310.2489317697</ns0:v>
      </ns0:c>
      <ns0:c r="N368" s="20" t="n">
        <ns0:v>-47049.73419386207</ns0:v>
      </ns0:c>
      <ns0:c r="O368" s="20" t="n">
        <ns0:v>-30627.33332897061</ns0:v>
      </ns0:c>
      <ns0:c r="P368" s="20" t="n">
        <ns0:v>295.0675359208399</ns0:v>
      </ns0:c>
      <ns0:c r="Q368" s="20" t="n">
        <ns0:v>77601.06969814948</ns0:v>
      </ns0:c>
      <ns0:c r="R368" s="20" t="n">
        <ns0:v>344825.0783470641</ns0:v>
      </ns0:c>
      <ns0:c r="S368" s="20" t="n">
        <ns0:v>1357109.108618265</ns0:v>
      </ns0:c>
    </ns0:row>
    <ns0:row r="369" ht="32" customHeight="1">
      <ns0:c r="A369" s="20" t="inlineStr">
        <ns0:is>
          <ns0:t>product20</ns0:t>
        </ns0:is>
      </ns0:c>
      <ns0:c r="B369" s="22" t="n">
        <ns0:v>0.3</ns0:v>
      </ns0:c>
      <ns0:c r="C369" s="20" t="n">
        <ns0:v>1</ns0:v>
      </ns0:c>
      <ns0:c r="D369" s="20" t="inlineStr">
        <ns0:is>
          <ns0:t>add</ns0:t>
        </ns0:is>
      </ns0:c>
      <ns0:c r="E369" s="20" t="inlineStr">
        <ns0:is>
          <ns0:t>混在・パック50%</ns0:t>
        </ns0:is>
      </ns0:c>
      <ns0:c r="F369" s="22" t="n">
        <ns0:v>0.4</ns0:v>
      </ns0:c>
      <ns0:c r="G369" s="20" t="n">
        <ns0:v>39</ns0:v>
      </ns0:c>
      <ns0:c r="H369" s="20" t="n">
        <ns0:v>39</ns0:v>
      </ns0:c>
      <ns0:c r="I369" s="20" t="inlineStr">
        <ns0:is>
          <ns0:t>範囲内なし</ns0:t>
        </ns0:is>
      </ns0:c>
      <ns0:c r="J369" s="20" t="n">
        <ns0:v>6586.427989909642</ns0:v>
      </ns0:c>
      <ns0:c r="K369" s="20" t="n">
        <ns0:v>1406.16900945269</ns0:v>
      </ns0:c>
      <ns0:c r="L369" s="20" t="n">
        <ns0:v>161159.8749610558</ns0:v>
      </ns0:c>
      <ns0:c r="M369" s="20" t="n">
        <ns0:v>-36920.78670694849</ns0:v>
      </ns0:c>
      <ns0:c r="N369" s="20" t="n">
        <ns0:v>-42385.9323382663</ns0:v>
      </ns0:c>
      <ns0:c r="O369" s="20" t="n">
        <ns0:v>-16635.92776218332</ns0:v>
      </ns0:c>
      <ns0:c r="P369" s="20" t="n">
        <ns0:v>23614.07681389975</ns0:v>
      </ns0:c>
      <ns0:c r="Q369" s="20" t="n">
        <ns0:v>124239.0882541073</ns0:v>
      </ns0:c>
      <ns0:c r="R369" s="20" t="n">
        <ns0:v>484739.1340149375</ns0:v>
      </ns0:c>
      <ns0:c r="S369" s="20" t="n">
        <ns0:v>1823489.294177843</ns0:v>
      </ns0:c>
    </ns0:row>
    <ns0:row r="370" ht="32" customHeight="1">
      <ns0:c r="A370" s="20" t="inlineStr">
        <ns0:is>
          <ns0:t>product20</ns0:t>
        </ns0:is>
      </ns0:c>
      <ns0:c r="B370" s="22" t="n">
        <ns0:v>0.3</ns0:v>
      </ns0:c>
      <ns0:c r="C370" s="20" t="n">
        <ns0:v>1</ns0:v>
      </ns0:c>
      <ns0:c r="D370" s="20" t="inlineStr">
        <ns0:is>
          <ns0:t>add</ns0:t>
        </ns0:is>
      </ns0:c>
      <ns0:c r="E370" s="20" t="inlineStr">
        <ns0:is>
          <ns0:t>混在・パック50%</ns0:t>
        </ns0:is>
      </ns0:c>
      <ns0:c r="F370" s="22" t="n">
        <ns0:v>0.5</ns0:v>
      </ns0:c>
      <ns0:c r="G370" s="20" t="n">
        <ns0:v>47</ns0:v>
      </ns0:c>
      <ns0:c r="H370" s="20" t="n">
        <ns0:v>47</ns0:v>
      </ns0:c>
      <ns0:c r="I370" s="20" t="inlineStr">
        <ns0:is>
          <ns0:t>範囲内なし</ns0:t>
        </ns0:is>
      </ns0:c>
      <ns0:c r="J370" s="20" t="n">
        <ns0:v>6586.427989909642</ns0:v>
      </ns0:c>
      <ns0:c r="K370" s="20" t="n">
        <ns0:v>1757.711261815863</ns0:v>
      </ns0:c>
      <ns0:c r="L370" s="20" t="n">
        <ns0:v>134251.7089340544</ns0:v>
      </ns0:c>
      <ns0:c r="M370" s="20" t="n">
        <ns0:v>-45166.84591626441</ns0:v>
      </ns0:c>
      <ns0:c r="N370" s="20" t="n">
        <ns0:v>-45901.35486189802</ns0:v>
      </ns0:c>
      <ns0:c r="O370" s="20" t="n">
        <ns0:v>-27182.19533307847</ns0:v>
      </ns0:c>
      <ns0:c r="P370" s="20" t="n">
        <ns0:v>6036.964195741122</ns0:v>
      </ns0:c>
      <ns0:c r="Q370" s="20" t="n">
        <ns0:v>89084.86301779005</ns0:v>
      </ns0:c>
      <ns0:c r="R370" s="20" t="n">
        <ns0:v>379276.4583059857</ns0:v>
      </ns0:c>
      <ns0:c r="S370" s="20" t="n">
        <ns0:v>1471947.04181467</ns0:v>
      </ns0:c>
    </ns0:row>
    <ns0:row r="371" ht="32" customHeight="1">
      <ns0:c r="A371" s="20" t="inlineStr">
        <ns0:is>
          <ns0:t>product20</ns0:t>
        </ns0:is>
      </ns0:c>
      <ns0:c r="B371" s="22" t="n">
        <ns0:v>0.3</ns0:v>
      </ns0:c>
      <ns0:c r="C371" s="20" t="n">
        <ns0:v>1</ns0:v>
      </ns0:c>
      <ns0:c r="D371" s="20" t="inlineStr">
        <ns0:is>
          <ns0:t>add</ns0:t>
        </ns0:is>
      </ns0:c>
      <ns0:c r="E371" s="20" t="inlineStr">
        <ns0:is>
          <ns0:t>混在・パック70%</ns0:t>
        </ns0:is>
      </ns0:c>
      <ns0:c r="F371" s="22" t="n">
        <ns0:v>0.4</ns0:v>
      </ns0:c>
      <ns0:c r="G371" s="20" t="n">
        <ns0:v>36</ns0:v>
      </ns0:c>
      <ns0:c r="H371" s="20" t="n">
        <ns0:v>36</ns0:v>
      </ns0:c>
      <ns0:c r="I371" s="20" t="inlineStr">
        <ns0:is>
          <ns0:t>範囲内なし</ns0:t>
        </ns0:is>
      </ns0:c>
      <ns0:c r="J371" s="20" t="n">
        <ns0:v>7267.208749253046</ns0:v>
      </ns0:c>
      <ns0:c r="K371" s="20" t="n">
        <ns0:v>1522.601964330832</ns0:v>
      </ns0:c>
      <ns0:c r="L371" s="20" t="n">
        <ns0:v>177370.6984756722</ns0:v>
      </ns0:c>
      <ns0:c r="M371" s="20" t="n">
        <ns0:v>-38736.99302997094</ns0:v>
      </ns0:c>
      <ns0:c r="N371" s="20" t="n">
        <ns0:v>-40946.4706191069</ns0:v>
      </ns0:c>
      <ns0:c r="O371" s="20" t="n">
        <ns0:v>-12317.54260470509</ns0:v>
      </ns0:c>
      <ns0:c r="P371" s="20" t="n">
        <ns0:v>30811.38540969673</ns0:v>
      </ns0:c>
      <ns0:c r="Q371" s="20" t="n">
        <ns0:v>138633.7054457013</ns0:v>
      </ns0:c>
      <ns0:c r="R371" s="20" t="n">
        <ns0:v>527922.9855897195</ns0:v>
      </ns0:c>
      <ns0:c r="S371" s="20" t="n">
        <ns0:v>1967435.466093783</ns0:v>
      </ns0:c>
    </ns0:row>
    <ns0:row r="372" ht="32" customHeight="1">
      <ns0:c r="A372" s="20" t="inlineStr">
        <ns0:is>
          <ns0:t>product20</ns0:t>
        </ns0:is>
      </ns0:c>
      <ns0:c r="B372" s="22" t="n">
        <ns0:v>0.3</ns0:v>
      </ns0:c>
      <ns0:c r="C372" s="20" t="n">
        <ns0:v>1</ns0:v>
      </ns0:c>
      <ns0:c r="D372" s="20" t="inlineStr">
        <ns0:is>
          <ns0:t>add</ns0:t>
        </ns0:is>
      </ns0:c>
      <ns0:c r="E372" s="20" t="inlineStr">
        <ns0:is>
          <ns0:t>混在・パック70%</ns0:t>
        </ns0:is>
      </ns0:c>
      <ns0:c r="F372" s="22" t="n">
        <ns0:v>0.5</ns0:v>
      </ns0:c>
      <ns0:c r="G372" s="20" t="n">
        <ns0:v>44</ns0:v>
      </ns0:c>
      <ns0:c r="H372" s="20" t="n">
        <ns0:v>44</ns0:v>
      </ns0:c>
      <ns0:c r="I372" s="20" t="inlineStr">
        <ns0:is>
          <ns0:t>範囲内なし</ns0:t>
        </ns0:is>
      </ns0:c>
      <ns0:c r="J372" s="20" t="n">
        <ns0:v>7267.208749253046</ns0:v>
      </ns0:c>
      <ns0:c r="K372" s="20" t="n">
        <ns0:v>1903.252455413539</ns0:v>
      </ns0:c>
      <ns0:c r="L372" s="20" t="n">
        <ns0:v>148592.0992381895</ns0:v>
      </ns0:c>
      <ns0:c r="M372" s="20" t="n">
        <ns0:v>-48023.44290075912</ns0:v>
      </ns0:c>
      <ns0:c r="N372" s="20" t="n">
        <ns0:v>-44752.97552993397</ns0:v>
      </ns0:c>
      <ns0:c r="O372" s="20" t="n">
        <ns0:v>-23737.05733718632</ns0:v>
      </ns0:c>
      <ns0:c r="P372" s="20" t="n">
        <ns0:v>11778.86085556132</ns0:v>
      </ns0:c>
      <ns0:c r="Q372" s="20" t="n">
        <ns0:v>100568.6563374304</ns0:v>
      </ns0:c>
      <ns0:c r="R372" s="20" t="n">
        <ns0:v>413727.8382649072</ns0:v>
      </ns0:c>
      <ns0:c r="S372" s="20" t="n">
        <ns0:v>1586784.975011075</ns0:v>
      </ns0:c>
    </ns0:row>
    <ns0:row r="373" ht="32" customHeight="1">
      <ns0:c r="A373" s="20" t="inlineStr">
        <ns0:is>
          <ns0:t>product20</ns0:t>
        </ns0:is>
      </ns0:c>
      <ns0:c r="B373" s="22" t="n">
        <ns0:v>0.3</ns0:v>
      </ns0:c>
      <ns0:c r="C373" s="20" t="n">
        <ns0:v>0</ns0:v>
      </ns0:c>
      <ns0:c r="D373" s="20" t="inlineStr">
        <ns0:is>
          <ns0:t>floor</ns0:t>
        </ns0:is>
      </ns0:c>
      <ns0:c r="E373" s="20" t="inlineStr">
        <ns0:is>
          <ns0:t>パック単独</ns0:t>
        </ns0:is>
      </ns0:c>
      <ns0:c r="F373" s="22" t="n">
        <ns0:v>0.4</ns0:v>
      </ns0:c>
      <ns0:c r="G373" s="20" t="n">
        <ns0:v>9</ns0:v>
      </ns0:c>
      <ns0:c r="H373" s="20" t="n">
        <ns0:v>9</ns0:v>
      </ns0:c>
      <ns0:c r="I373" s="20" t="n">
        <ns0:v>36</ns0:v>
      </ns0:c>
      <ns0:c r="J373" s="20" t="n">
        <ns0:v>8288.379888268153</ns0:v>
      </ns0:c>
      <ns0:c r="K373" s="20" t="n">
        <ns0:v>1697.251396648044</ns0:v>
      </ns0:c>
      <ns0:c r="L373" s="20" t="n">
        <ns0:v>300373.1534868894</ns0:v>
      </ns0:c>
      <ns0:c r="M373" s="20" t="n">
        <ns0:v>47877.61741100746</ns0:v>
      </ns0:c>
      <ns0:c r="N373" s="20" t="n">
        <ns0:v>5550.710786447855</ns0:v>
      </ns0:c>
      <ns0:c r="O373" s="20" t="n">
        <ns0:v>83117.57703095356</ns0:v>
      </ns0:c>
      <ns0:c r="P373" s="20" t="n">
        <ns0:v>158869.9181357945</ns0:v>
      </ns0:c>
      <ns0:c r="Q373" s="20" t="n">
        <ns0:v>348250.7708978969</ns0:v>
      </ns0:c>
      <ns0:c r="R373" s="20" t="n">
        <ns0:v>1079774.181946306</ns0:v>
      </ns0:c>
      <ns0:c r="S373" s="20" t="n">
        <ns0:v>3693106.120615738</ns0:v>
      </ns0:c>
    </ns0:row>
    <ns0:row r="374" ht="32" customHeight="1">
      <ns0:c r="A374" s="20" t="inlineStr">
        <ns0:is>
          <ns0:t>product20</ns0:t>
        </ns0:is>
      </ns0:c>
      <ns0:c r="B374" s="22" t="n">
        <ns0:v>0.3</ns0:v>
      </ns0:c>
      <ns0:c r="C374" s="20" t="n">
        <ns0:v>0</ns0:v>
      </ns0:c>
      <ns0:c r="D374" s="20" t="inlineStr">
        <ns0:is>
          <ns0:t>floor</ns0:t>
        </ns0:is>
      </ns0:c>
      <ns0:c r="E374" s="20" t="inlineStr">
        <ns0:is>
          <ns0:t>パック単独</ns0:t>
        </ns0:is>
      </ns0:c>
      <ns0:c r="F374" s="22" t="n">
        <ns0:v>0.5</ns0:v>
      </ns0:c>
      <ns0:c r="G374" s="20" t="n">
        <ns0:v>10</ns0:v>
      </ns0:c>
      <ns0:c r="H374" s="20" t="n">
        <ns0:v>12</ns0:v>
      </ns0:c>
      <ns0:c r="I374" s="20" t="n">
        <ns0:v>42</ns0:v>
      </ns0:c>
      <ns0:c r="J374" s="20" t="n">
        <ns0:v>8288.379888268153</ns0:v>
      </ns0:c>
      <ns0:c r="K374" s="20" t="n">
        <ns0:v>2121.564245810055</ns0:v>
      </ns0:c>
      <ns0:c r="L374" s="20" t="n">
        <ns0:v>268788.9044336848</ns0:v>
      </ns0:c>
      <ns0:c r="M374" s="20" t="n">
        <ns0:v>37030.58154801092</ns0:v>
      </ns0:c>
      <ns0:c r="N374" s="20" t="n">
        <ns0:v>1307.582294827747</ns0:v>
      </ns0:c>
      <ns0:c r="O374" s="20" t="n">
        <ns0:v>70388.19155609324</ns0:v>
      </ns0:c>
      <ns0:c r="P374" s="20" t="n">
        <ns0:v>137654.2756776939</ns0:v>
      </ns0:c>
      <ns0:c r="Q374" s="20" t="n">
        <ns0:v>305819.4859816957</ns0:v>
      </ns0:c>
      <ns0:c r="R374" s="20" t="n">
        <ns0:v>952480.3271977025</ns0:v>
      </ns0:c>
      <ns0:c r="S374" s="20" t="n">
        <ns0:v>3268793.271453728</ns0:v>
      </ns0:c>
    </ns0:row>
    <ns0:row r="375" ht="32" customHeight="1">
      <ns0:c r="A375" s="20" t="inlineStr">
        <ns0:is>
          <ns0:t>product20</ns0:t>
        </ns0:is>
      </ns0:c>
      <ns0:c r="B375" s="22" t="n">
        <ns0:v>0.3</ns0:v>
      </ns0:c>
      <ns0:c r="C375" s="20" t="n">
        <ns0:v>0</ns0:v>
      </ns0:c>
      <ns0:c r="D375" s="20" t="inlineStr">
        <ns0:is>
          <ns0:t>floor</ns0:t>
        </ns0:is>
      </ns0:c>
      <ns0:c r="E375" s="20" t="inlineStr">
        <ns0:is>
          <ns0:t>混在・パック30%</ns0:t>
        </ns0:is>
      </ns0:c>
      <ns0:c r="F375" s="22" t="n">
        <ns0:v>0.4</ns0:v>
      </ns0:c>
      <ns0:c r="G375" s="20" t="n">
        <ns0:v>13</ns0:v>
      </ns0:c>
      <ns0:c r="H375" s="20" t="n">
        <ns0:v>13</ns0:v>
      </ns0:c>
      <ns0:c r="I375" s="20" t="n">
        <ns0:v>56</ns0:v>
      </ns0:c>
      <ns0:c r="J375" s="20" t="n">
        <ns0:v>5905.647230566238</ns0:v>
      </ns0:c>
      <ns0:c r="K375" s="20" t="n">
        <ns0:v>1289.736054574549</ns0:v>
      </ns0:c>
      <ns0:c r="L375" s="20" t="n">
        <ns0:v>225579.4052639439</ns0:v>
      </ns0:c>
      <ns0:c r="M375" s="20" t="n">
        <ns0:v>21598.10061885322</ns0:v>
      </ns0:c>
      <ns0:c r="N375" s="20" t="n">
        <ns0:v>-8812.258173162674</ns0:v>
      </ns0:c>
      <ns0:c r="O375" s="20" t="n">
        <ns0:v>52795.59752642368</ns0:v>
      </ns0:c>
      <ns0:c r="P375" s="20" t="n">
        <ns0:v>108333.2856282447</ns0:v>
      </ns0:c>
      <ns0:c r="Q375" s="20" t="n">
        <ns0:v>247177.5058827971</ns0:v>
      </ns0:c>
      <ns0:c r="R375" s="20" t="n">
        <ns0:v>776554.3869010068</ns0:v>
      </ns0:c>
      <ns0:c r="S375" s="20" t="n">
        <ns0:v>2682373.470464741</ns0:v>
      </ns0:c>
    </ns0:row>
    <ns0:row r="376" ht="32" customHeight="1">
      <ns0:c r="A376" s="20" t="inlineStr">
        <ns0:is>
          <ns0:t>product20</ns0:t>
        </ns0:is>
      </ns0:c>
      <ns0:c r="B376" s="22" t="n">
        <ns0:v>0.3</ns0:v>
      </ns0:c>
      <ns0:c r="C376" s="20" t="n">
        <ns0:v>0</ns0:v>
      </ns0:c>
      <ns0:c r="D376" s="20" t="inlineStr">
        <ns0:is>
          <ns0:t>floor</ns0:t>
        </ns0:is>
      </ns0:c>
      <ns0:c r="E376" s="20" t="inlineStr">
        <ns0:is>
          <ns0:t>混在・パック30%</ns0:t>
        </ns0:is>
      </ns0:c>
      <ns0:c r="F376" s="22" t="n">
        <ns0:v>0.5</ns0:v>
      </ns0:c>
      <ns0:c r="G376" s="20" t="n">
        <ns0:v>14</ns0:v>
      </ns0:c>
      <ns0:c r="H376" s="20" t="n">
        <ns0:v>14</ns0:v>
      </ns0:c>
      <ns0:c r="I376" s="20" t="n">
        <ns0:v>65</ns0:v>
      </ns0:c>
      <ns0:c r="J376" s="20" t="n">
        <ns0:v>5905.647230566238</ns0:v>
      </ns0:c>
      <ns0:c r="K376" s="20" t="n">
        <ns0:v>1612.170068218186</ns0:v>
      </ns0:c>
      <ns0:c r="L376" s="20" t="n">
        <ns0:v>200541.6724474239</ns0:v>
      </ns0:c>
      <ns0:c r="M376" s="20" t="n">
        <ns0:v>14392.43207100955</ns0:v>
      </ns0:c>
      <ns0:c r="N376" s="20" t="n">
        <ns0:v>-12036.59830959905</ns0:v>
      </ns0:c>
      <ns0:c r="O376" s="20" t="n">
        <ns0:v>43122.57711711456</ns0:v>
      </ns0:c>
      <ns0:c r="P376" s="20" t="n">
        <ns0:v>92211.58494606281</ns0:v>
      </ns0:c>
      <ns0:c r="Q376" s="20" t="n">
        <ns0:v>214934.1045184334</ns0:v>
      </ns0:c>
      <ns0:c r="R376" s="20" t="n">
        <ns0:v>679824.1828079157</ns0:v>
      </ns0:c>
      <ns0:c r="S376" s="20" t="n">
        <ns0:v>2359939.456821104</ns0:v>
      </ns0:c>
    </ns0:row>
    <ns0:row r="377" ht="32" customHeight="1">
      <ns0:c r="A377" s="20" t="inlineStr">
        <ns0:is>
          <ns0:t>product20</ns0:t>
        </ns0:is>
      </ns0:c>
      <ns0:c r="B377" s="22" t="n">
        <ns0:v>0.3</ns0:v>
      </ns0:c>
      <ns0:c r="C377" s="20" t="n">
        <ns0:v>0</ns0:v>
      </ns0:c>
      <ns0:c r="D377" s="20" t="inlineStr">
        <ns0:is>
          <ns0:t>floor</ns0:t>
        </ns0:is>
      </ns0:c>
      <ns0:c r="E377" s="20" t="inlineStr">
        <ns0:is>
          <ns0:t>混在・パック50%</ns0:t>
        </ns0:is>
      </ns0:c>
      <ns0:c r="F377" s="22" t="n">
        <ns0:v>0.4</ns0:v>
      </ns0:c>
      <ns0:c r="G377" s="20" t="n">
        <ns0:v>12</ns0:v>
      </ns0:c>
      <ns0:c r="H377" s="20" t="n">
        <ns0:v>12</ns0:v>
      </ns0:c>
      <ns0:c r="I377" s="20" t="n">
        <ns0:v>48</ns0:v>
      </ns0:c>
      <ns0:c r="J377" s="20" t="n">
        <ns0:v>6586.427989909642</ns0:v>
      </ns0:c>
      <ns0:c r="K377" s="20" t="n">
        <ns0:v>1406.16900945269</ns0:v>
      </ns0:c>
      <ns0:c r="L377" s="20" t="n">
        <ns0:v>246949.0476133569</ns0:v>
      </ns0:c>
      <ns0:c r="M377" s="20" t="n">
        <ns0:v>29106.53398804015</ns0:v>
      </ns0:c>
      <ns0:c r="N377" s="20" t="n">
        <ns0:v>-4708.552756131099</ns0:v>
      </ns0:c>
      <ns0:c r="O377" s="20" t="n">
        <ns0:v>61459.02024200364</ns0:v>
      </ns0:c>
      <ns0:c r="P377" s="20" t="n">
        <ns0:v>122772.3234875446</ns0:v>
      </ns0:c>
      <ns0:c r="Q377" s="20" t="n">
        <ns0:v>276055.5816013971</ns0:v>
      </ns0:c>
      <ns0:c r="R377" s="20" t="n">
        <ns0:v>863188.6140568068</ns0:v>
      </ns0:c>
      <ns0:c r="S377" s="20" t="n">
        <ns0:v>2971154.227650741</ns0:v>
      </ns0:c>
    </ns0:row>
    <ns0:row r="378" ht="32" customHeight="1">
      <ns0:c r="A378" s="20" t="inlineStr">
        <ns0:is>
          <ns0:t>product20</ns0:t>
        </ns0:is>
      </ns0:c>
      <ns0:c r="B378" s="22" t="n">
        <ns0:v>0.3</ns0:v>
      </ns0:c>
      <ns0:c r="C378" s="20" t="n">
        <ns0:v>0</ns0:v>
      </ns0:c>
      <ns0:c r="D378" s="20" t="inlineStr">
        <ns0:is>
          <ns0:t>floor</ns0:t>
        </ns0:is>
      </ns0:c>
      <ns0:c r="E378" s="20" t="inlineStr">
        <ns0:is>
          <ns0:t>混在・パック50%</ns0:t>
        </ns0:is>
      </ns0:c>
      <ns0:c r="F378" s="22" t="n">
        <ns0:v>0.5</ns0:v>
      </ns0:c>
      <ns0:c r="G378" s="20" t="n">
        <ns0:v>13</ns0:v>
      </ns0:c>
      <ns0:c r="H378" s="20" t="n">
        <ns0:v>13</ns0:v>
      </ns0:c>
      <ns0:c r="I378" s="20" t="n">
        <ns0:v>56</ns0:v>
      </ns0:c>
      <ns0:c r="J378" s="20" t="n">
        <ns0:v>6586.427989909642</ns0:v>
      </ns0:c>
      <ns0:c r="K378" s="20" t="n">
        <ns0:v>1757.711261815863</ns0:v>
      </ns0:c>
      <ns0:c r="L378" s="20" t="n">
        <ns0:v>220040.8815863556</ns0:v>
      </ns0:c>
      <ns0:c r="M378" s="20" t="n">
        <ns0:v>20860.47477872423</ns0:v>
      </ns0:c>
      <ns0:c r="N378" s="20" t="n">
        <ns0:v>-8223.975279762821</ns0:v>
      </ns0:c>
      <ns0:c r="O378" s="20" t="n">
        <ns0:v>50912.75267110846</ns0:v>
      </ns0:c>
      <ns0:c r="P378" s="20" t="n">
        <ns0:v>105195.210869386</ns0:v>
      </ns0:c>
      <ns0:c r="Q378" s="20" t="n">
        <ns0:v>240901.3563650798</ns0:v>
      </ns0:c>
      <ns0:c r="R378" s="20" t="n">
        <ns0:v>757725.938347855</ns0:v>
      </ns0:c>
      <ns0:c r="S378" s="20" t="n">
        <ns0:v>2619611.975287568</ns0:v>
      </ns0:c>
    </ns0:row>
    <ns0:row r="379" ht="32" customHeight="1">
      <ns0:c r="A379" s="20" t="inlineStr">
        <ns0:is>
          <ns0:t>product20</ns0:t>
        </ns0:is>
      </ns0:c>
      <ns0:c r="B379" s="22" t="n">
        <ns0:v>0.3</ns0:v>
      </ns0:c>
      <ns0:c r="C379" s="20" t="n">
        <ns0:v>0</ns0:v>
      </ns0:c>
      <ns0:c r="D379" s="20" t="inlineStr">
        <ns0:is>
          <ns0:t>floor</ns0:t>
        </ns0:is>
      </ns0:c>
      <ns0:c r="E379" s="20" t="inlineStr">
        <ns0:is>
          <ns0:t>混在・パック70%</ns0:t>
        </ns0:is>
      </ns0:c>
      <ns0:c r="F379" s="22" t="n">
        <ns0:v>0.4</ns0:v>
      </ns0:c>
      <ns0:c r="G379" s="20" t="n">
        <ns0:v>11</ns0:v>
      </ns0:c>
      <ns0:c r="H379" s="20" t="n">
        <ns0:v>11</ns0:v>
      </ns0:c>
      <ns0:c r="I379" s="20" t="n">
        <ns0:v>42</ns0:v>
      </ns0:c>
      <ns0:c r="J379" s="20" t="n">
        <ns0:v>7267.208749253046</ns0:v>
      </ns0:c>
      <ns0:c r="K379" s="20" t="n">
        <ns0:v>1522.601964330832</ns0:v>
      </ns0:c>
      <ns0:c r="L379" s="20" t="n">
        <ns0:v>268318.6899627698</ns0:v>
      </ns0:c>
      <ns0:c r="M379" s="20" t="n">
        <ns0:v>36614.96735722708</ns0:v>
      </ns0:c>
      <ns0:c r="N379" s="20" t="n">
        <ns0:v>-604.8473390995205</ns0:v>
      </ns0:c>
      <ns0:c r="O379" s="20" t="n">
        <ns0:v>70122.44295758361</ns0:v>
      </ns0:c>
      <ns0:c r="P379" s="20" t="n">
        <ns0:v>137211.3613468445</ns0:v>
      </ns0:c>
      <ns0:c r="Q379" s="20" t="n">
        <ns0:v>304933.6573199969</ns0:v>
      </ns0:c>
      <ns0:c r="R379" s="20" t="n">
        <ns0:v>949822.8412126064</ns0:v>
      </ns0:c>
      <ns0:c r="S379" s="20" t="n">
        <ns0:v>3259934.984836739</ns0:v>
      </ns0:c>
    </ns0:row>
    <ns0:row r="380" ht="32" customHeight="1">
      <ns0:c r="A380" s="20" t="inlineStr">
        <ns0:is>
          <ns0:t>product20</ns0:t>
        </ns0:is>
      </ns0:c>
      <ns0:c r="B380" s="22" t="n">
        <ns0:v>0.3</ns0:v>
      </ns0:c>
      <ns0:c r="C380" s="20" t="n">
        <ns0:v>0</ns0:v>
      </ns0:c>
      <ns0:c r="D380" s="20" t="inlineStr">
        <ns0:is>
          <ns0:t>floor</ns0:t>
        </ns0:is>
      </ns0:c>
      <ns0:c r="E380" s="20" t="inlineStr">
        <ns0:is>
          <ns0:t>混在・パック70%</ns0:t>
        </ns0:is>
      </ns0:c>
      <ns0:c r="F380" s="22" t="n">
        <ns0:v>0.5</ns0:v>
      </ns0:c>
      <ns0:c r="G380" s="20" t="n">
        <ns0:v>12</ns0:v>
      </ns0:c>
      <ns0:c r="H380" s="20" t="n">
        <ns0:v>12</ns0:v>
      </ns0:c>
      <ns0:c r="I380" s="20" t="n">
        <ns0:v>50</ns0:v>
      </ns0:c>
      <ns0:c r="J380" s="20" t="n">
        <ns0:v>7267.208749253046</ns0:v>
      </ns0:c>
      <ns0:c r="K380" s="20" t="n">
        <ns0:v>1903.252455413539</ns0:v>
      </ns0:c>
      <ns0:c r="L380" s="20" t="n">
        <ns0:v>239540.0907252872</ns0:v>
      </ns0:c>
      <ns0:c r="M380" s="20" t="n">
        <ns0:v>27328.5174864389</ns0:v>
      </ns0:c>
      <ns0:c r="N380" s="20" t="n">
        <ns0:v>-4411.352249926604</ns0:v>
      </ns0:c>
      <ns0:c r="O380" s="20" t="n">
        <ns0:v>58702.92822510237</ns0:v>
      </ns0:c>
      <ns0:c r="P380" s="20" t="n">
        <ns0:v>118178.8367927091</ns0:v>
      </ns0:c>
      <ns0:c r="Q380" s="20" t="n">
        <ns0:v>266868.6082117261</ns0:v>
      </ns0:c>
      <ns0:c r="R380" s="20" t="n">
        <ns0:v>835627.693887794</ns0:v>
      </ns0:c>
      <ns0:c r="S380" s="20" t="n">
        <ns0:v>2879284.493754032</ns0:v>
      </ns0:c>
    </ns0:row>
    <ns0:row r="381" ht="32" customHeight="1">
      <ns0:c r="A381" s="20" t="inlineStr">
        <ns0:is>
          <ns0:t>product20</ns0:t>
        </ns0:is>
      </ns0:c>
      <ns0:c r="B381" s="22" t="n">
        <ns0:v>0.3</ns0:v>
      </ns0:c>
      <ns0:c r="C381" s="20" t="n">
        <ns0:v>0</ns0:v>
      </ns0:c>
      <ns0:c r="D381" s="20" t="inlineStr">
        <ns0:is>
          <ns0:t>add</ns0:t>
        </ns0:is>
      </ns0:c>
      <ns0:c r="E381" s="20" t="inlineStr">
        <ns0:is>
          <ns0:t>パック単独</ns0:t>
        </ns0:is>
      </ns0:c>
      <ns0:c r="F381" s="22" t="n">
        <ns0:v>0.4</ns0:v>
      </ns0:c>
      <ns0:c r="G381" s="20" t="n">
        <ns0:v>14</ns0:v>
      </ns0:c>
      <ns0:c r="H381" s="20" t="n">
        <ns0:v>14</ns0:v>
      </ns0:c>
      <ns0:c r="I381" s="20" t="n">
        <ns0:v>36</ns0:v>
      </ns0:c>
      <ns0:c r="J381" s="20" t="n">
        <ns0:v>8288.379888268153</ns0:v>
      </ns0:c>
      <ns0:c r="K381" s="20" t="n">
        <ns0:v>1697.251396648044</ns0:v>
      </ns0:c>
      <ns0:c r="L381" s="20" t="n">
        <ns0:v>277873.1534868894</ns0:v>
      </ns0:c>
      <ns0:c r="M381" s="20" t="n">
        <ns0:v>47877.61741100746</ns0:v>
      </ns0:c>
      <ns0:c r="N381" s="20" t="n">
        <ns0:v>-8634.764073887336</ns0:v>
      </ns0:c>
      <ns0:c r="O381" s="20" t="n">
        <ns0:v>60617.57703095356</ns0:v>
      </ns0:c>
      <ns0:c r="P381" s="20" t="n">
        <ns0:v>136369.9181357945</ns0:v>
      </ns0:c>
      <ns0:c r="Q381" s="20" t="n">
        <ns0:v>325750.7708978969</ns0:v>
      </ns0:c>
      <ns0:c r="R381" s="20" t="n">
        <ns0:v>1057274.181946306</ns0:v>
      </ns0:c>
      <ns0:c r="S381" s="20" t="n">
        <ns0:v>3670606.120615738</ns0:v>
      </ns0:c>
    </ns0:row>
    <ns0:row r="382" ht="32" customHeight="1">
      <ns0:c r="A382" s="20" t="inlineStr">
        <ns0:is>
          <ns0:t>product20</ns0:t>
        </ns0:is>
      </ns0:c>
      <ns0:c r="B382" s="22" t="n">
        <ns0:v>0.3</ns0:v>
      </ns0:c>
      <ns0:c r="C382" s="20" t="n">
        <ns0:v>0</ns0:v>
      </ns0:c>
      <ns0:c r="D382" s="20" t="inlineStr">
        <ns0:is>
          <ns0:t>add</ns0:t>
        </ns0:is>
      </ns0:c>
      <ns0:c r="E382" s="20" t="inlineStr">
        <ns0:is>
          <ns0:t>パック単独</ns0:t>
        </ns0:is>
      </ns0:c>
      <ns0:c r="F382" s="22" t="n">
        <ns0:v>0.5</ns0:v>
      </ns0:c>
      <ns0:c r="G382" s="20" t="n">
        <ns0:v>16</ns0:v>
      </ns0:c>
      <ns0:c r="H382" s="20" t="n">
        <ns0:v>16</ns0:v>
      </ns0:c>
      <ns0:c r="I382" s="20" t="n">
        <ns0:v>42</ns0:v>
      </ns0:c>
      <ns0:c r="J382" s="20" t="n">
        <ns0:v>8288.379888268153</ns0:v>
      </ns0:c>
      <ns0:c r="K382" s="20" t="n">
        <ns0:v>2121.564245810055</ns0:v>
      </ns0:c>
      <ns0:c r="L382" s="20" t="n">
        <ns0:v>246288.9044336848</ns0:v>
      </ns0:c>
      <ns0:c r="M382" s="20" t="n">
        <ns0:v>37030.58154801092</ns0:v>
      </ns0:c>
      <ns0:c r="N382" s="20" t="n">
        <ns0:v>-12877.89256550744</ns0:v>
      </ns0:c>
      <ns0:c r="O382" s="20" t="n">
        <ns0:v>47888.19155609324</ns0:v>
      </ns0:c>
      <ns0:c r="P382" s="20" t="n">
        <ns0:v>115154.275677694</ns0:v>
      </ns0:c>
      <ns0:c r="Q382" s="20" t="n">
        <ns0:v>283319.4859816958</ns0:v>
      </ns0:c>
      <ns0:c r="R382" s="20" t="n">
        <ns0:v>929980.3271977025</ns0:v>
      </ns0:c>
      <ns0:c r="S382" s="20" t="n">
        <ns0:v>3246293.271453728</ns0:v>
      </ns0:c>
    </ns0:row>
    <ns0:row r="383" ht="32" customHeight="1">
      <ns0:c r="A383" s="20" t="inlineStr">
        <ns0:is>
          <ns0:t>product20</ns0:t>
        </ns0:is>
      </ns0:c>
      <ns0:c r="B383" s="22" t="n">
        <ns0:v>0.3</ns0:v>
      </ns0:c>
      <ns0:c r="C383" s="20" t="n">
        <ns0:v>0</ns0:v>
      </ns0:c>
      <ns0:c r="D383" s="20" t="inlineStr">
        <ns0:is>
          <ns0:t>add</ns0:t>
        </ns0:is>
      </ns0:c>
      <ns0:c r="E383" s="20" t="inlineStr">
        <ns0:is>
          <ns0:t>混在・パック30%</ns0:t>
        </ns0:is>
      </ns0:c>
      <ns0:c r="F383" s="22" t="n">
        <ns0:v>0.4</ns0:v>
      </ns0:c>
      <ns0:c r="G383" s="20" t="n">
        <ns0:v>20</ns0:v>
      </ns0:c>
      <ns0:c r="H383" s="20" t="n">
        <ns0:v>20</ns0:v>
      </ns0:c>
      <ns0:c r="I383" s="20" t="n">
        <ns0:v>56</ns0:v>
      </ns0:c>
      <ns0:c r="J383" s="20" t="n">
        <ns0:v>5905.647230566238</ns0:v>
      </ns0:c>
      <ns0:c r="K383" s="20" t="n">
        <ns0:v>1289.736054574549</ns0:v>
      </ns0:c>
      <ns0:c r="L383" s="20" t="n">
        <ns0:v>203079.4052639439</ns0:v>
      </ns0:c>
      <ns0:c r="M383" s="20" t="n">
        <ns0:v>21598.10061885322</ns0:v>
      </ns0:c>
      <ns0:c r="N383" s="20" t="n">
        <ns0:v>-18742.09057539731</ns0:v>
      </ns0:c>
      <ns0:c r="O383" s="20" t="n">
        <ns0:v>30295.59752642368</ns0:v>
      </ns0:c>
      <ns0:c r="P383" s="20" t="n">
        <ns0:v>85833.28562824464</ns0:v>
      </ns0:c>
      <ns0:c r="Q383" s="20" t="n">
        <ns0:v>224677.5058827971</ns0:v>
      </ns0:c>
      <ns0:c r="R383" s="20" t="n">
        <ns0:v>754054.3869010068</ns0:v>
      </ns0:c>
      <ns0:c r="S383" s="20" t="n">
        <ns0:v>2659873.470464741</ns0:v>
      </ns0:c>
    </ns0:row>
    <ns0:row r="384" ht="32" customHeight="1">
      <ns0:c r="A384" s="20" t="inlineStr">
        <ns0:is>
          <ns0:t>product20</ns0:t>
        </ns0:is>
      </ns0:c>
      <ns0:c r="B384" s="22" t="n">
        <ns0:v>0.3</ns0:v>
      </ns0:c>
      <ns0:c r="C384" s="20" t="n">
        <ns0:v>0</ns0:v>
      </ns0:c>
      <ns0:c r="D384" s="20" t="inlineStr">
        <ns0:is>
          <ns0:t>add</ns0:t>
        </ns0:is>
      </ns0:c>
      <ns0:c r="E384" s="20" t="inlineStr">
        <ns0:is>
          <ns0:t>混在・パック30%</ns0:t>
        </ns0:is>
      </ns0:c>
      <ns0:c r="F384" s="22" t="n">
        <ns0:v>0.5</ns0:v>
      </ns0:c>
      <ns0:c r="G384" s="20" t="n">
        <ns0:v>22</ns0:v>
      </ns0:c>
      <ns0:c r="H384" s="20" t="n">
        <ns0:v>22</ns0:v>
      </ns0:c>
      <ns0:c r="I384" s="20" t="n">
        <ns0:v>65</ns0:v>
      </ns0:c>
      <ns0:c r="J384" s="20" t="n">
        <ns0:v>5905.647230566238</ns0:v>
      </ns0:c>
      <ns0:c r="K384" s="20" t="n">
        <ns0:v>1612.170068218186</ns0:v>
      </ns0:c>
      <ns0:c r="L384" s="20" t="n">
        <ns0:v>178041.6724474239</ns0:v>
      </ns0:c>
      <ns0:c r="M384" s="20" t="n">
        <ns0:v>14392.43207100955</ns0:v>
      </ns0:c>
      <ns0:c r="N384" s="20" t="n">
        <ns0:v>-21966.43071183368</ns0:v>
      </ns0:c>
      <ns0:c r="O384" s="20" t="n">
        <ns0:v>20622.57711711456</ns0:v>
      </ns0:c>
      <ns0:c r="P384" s="20" t="n">
        <ns0:v>69711.58494606279</ns0:v>
      </ns0:c>
      <ns0:c r="Q384" s="20" t="n">
        <ns0:v>192434.1045184334</ns0:v>
      </ns0:c>
      <ns0:c r="R384" s="20" t="n">
        <ns0:v>657324.1828079157</ns0:v>
      </ns0:c>
      <ns0:c r="S384" s="20" t="n">
        <ns0:v>2337439.456821104</ns0:v>
      </ns0:c>
    </ns0:row>
    <ns0:row r="385" ht="32" customHeight="1">
      <ns0:c r="A385" s="20" t="inlineStr">
        <ns0:is>
          <ns0:t>product20</ns0:t>
        </ns0:is>
      </ns0:c>
      <ns0:c r="B385" s="22" t="n">
        <ns0:v>0.3</ns0:v>
      </ns0:c>
      <ns0:c r="C385" s="20" t="n">
        <ns0:v>0</ns0:v>
      </ns0:c>
      <ns0:c r="D385" s="20" t="inlineStr">
        <ns0:is>
          <ns0:t>add</ns0:t>
        </ns0:is>
      </ns0:c>
      <ns0:c r="E385" s="20" t="inlineStr">
        <ns0:is>
          <ns0:t>混在・パック50%</ns0:t>
        </ns0:is>
      </ns0:c>
      <ns0:c r="F385" s="22" t="n">
        <ns0:v>0.4</ns0:v>
      </ns0:c>
      <ns0:c r="G385" s="20" t="n">
        <ns0:v>18</ns0:v>
      </ns0:c>
      <ns0:c r="H385" s="20" t="n">
        <ns0:v>18</ns0:v>
      </ns0:c>
      <ns0:c r="I385" s="20" t="n">
        <ns0:v>48</ns0:v>
      </ns0:c>
      <ns0:c r="J385" s="20" t="n">
        <ns0:v>6586.427989909642</ns0:v>
      </ns0:c>
      <ns0:c r="K385" s="20" t="n">
        <ns0:v>1406.16900945269</ns0:v>
      </ns0:c>
      <ns0:c r="L385" s="20" t="n">
        <ns0:v>224449.0476133569</ns0:v>
      </ns0:c>
      <ns0:c r="M385" s="20" t="n">
        <ns0:v>29106.53398804015</ns0:v>
      </ns0:c>
      <ns0:c r="N385" s="20" t="n">
        <ns0:v>-15854.28300353732</ns0:v>
      </ns0:c>
      <ns0:c r="O385" s="20" t="n">
        <ns0:v>38959.02024200362</ns0:v>
      </ns0:c>
      <ns0:c r="P385" s="20" t="n">
        <ns0:v>100272.3234875446</ns0:v>
      </ns0:c>
      <ns0:c r="Q385" s="20" t="n">
        <ns0:v>253555.5816013971</ns0:v>
      </ns0:c>
      <ns0:c r="R385" s="20" t="n">
        <ns0:v>840688.6140568068</ns0:v>
      </ns0:c>
      <ns0:c r="S385" s="20" t="n">
        <ns0:v>2948654.227650741</ns0:v>
      </ns0:c>
    </ns0:row>
    <ns0:row r="386" ht="32" customHeight="1">
      <ns0:c r="A386" s="20" t="inlineStr">
        <ns0:is>
          <ns0:t>product20</ns0:t>
        </ns0:is>
      </ns0:c>
      <ns0:c r="B386" s="22" t="n">
        <ns0:v>0.3</ns0:v>
      </ns0:c>
      <ns0:c r="C386" s="20" t="n">
        <ns0:v>0</ns0:v>
      </ns0:c>
      <ns0:c r="D386" s="20" t="inlineStr">
        <ns0:is>
          <ns0:t>add</ns0:t>
        </ns0:is>
      </ns0:c>
      <ns0:c r="E386" s="20" t="inlineStr">
        <ns0:is>
          <ns0:t>混在・パック50%</ns0:t>
        </ns0:is>
      </ns0:c>
      <ns0:c r="F386" s="22" t="n">
        <ns0:v>0.5</ns0:v>
      </ns0:c>
      <ns0:c r="G386" s="20" t="n">
        <ns0:v>20</ns0:v>
      </ns0:c>
      <ns0:c r="H386" s="20" t="n">
        <ns0:v>20</ns0:v>
      </ns0:c>
      <ns0:c r="I386" s="20" t="n">
        <ns0:v>56</ns0:v>
      </ns0:c>
      <ns0:c r="J386" s="20" t="n">
        <ns0:v>6586.427989909642</ns0:v>
      </ns0:c>
      <ns0:c r="K386" s="20" t="n">
        <ns0:v>1757.711261815863</ns0:v>
      </ns0:c>
      <ns0:c r="L386" s="20" t="n">
        <ns0:v>197540.8815863556</ns0:v>
      </ns0:c>
      <ns0:c r="M386" s="20" t="n">
        <ns0:v>20860.47477872423</ns0:v>
      </ns0:c>
      <ns0:c r="N386" s="20" t="n">
        <ns0:v>-19369.70552716904</ns0:v>
      </ns0:c>
      <ns0:c r="O386" s="20" t="n">
        <ns0:v>28412.75267110846</ns0:v>
      </ns0:c>
      <ns0:c r="P386" s="20" t="n">
        <ns0:v>82695.21086938601</ns0:v>
      </ns0:c>
      <ns0:c r="Q386" s="20" t="n">
        <ns0:v>218401.3563650798</ns0:v>
      </ns0:c>
      <ns0:c r="R386" s="20" t="n">
        <ns0:v>735225.938347855</ns0:v>
      </ns0:c>
      <ns0:c r="S386" s="20" t="n">
        <ns0:v>2597111.975287568</ns0:v>
      </ns0:c>
    </ns0:row>
    <ns0:row r="387" ht="32" customHeight="1">
      <ns0:c r="A387" s="20" t="inlineStr">
        <ns0:is>
          <ns0:t>product20</ns0:t>
        </ns0:is>
      </ns0:c>
      <ns0:c r="B387" s="22" t="n">
        <ns0:v>0.3</ns0:v>
      </ns0:c>
      <ns0:c r="C387" s="20" t="n">
        <ns0:v>0</ns0:v>
      </ns0:c>
      <ns0:c r="D387" s="20" t="inlineStr">
        <ns0:is>
          <ns0:t>add</ns0:t>
        </ns0:is>
      </ns0:c>
      <ns0:c r="E387" s="20" t="inlineStr">
        <ns0:is>
          <ns0:t>混在・パック70%</ns0:t>
        </ns0:is>
      </ns0:c>
      <ns0:c r="F387" s="22" t="n">
        <ns0:v>0.4</ns0:v>
      </ns0:c>
      <ns0:c r="G387" s="20" t="n">
        <ns0:v>16</ns0:v>
      </ns0:c>
      <ns0:c r="H387" s="20" t="n">
        <ns0:v>16</ns0:v>
      </ns0:c>
      <ns0:c r="I387" s="20" t="n">
        <ns0:v>42</ns0:v>
      </ns0:c>
      <ns0:c r="J387" s="20" t="n">
        <ns0:v>7267.208749253046</ns0:v>
      </ns0:c>
      <ns0:c r="K387" s="20" t="n">
        <ns0:v>1522.601964330832</ns0:v>
      </ns0:c>
      <ns0:c r="L387" s="20" t="n">
        <ns0:v>245818.6899627698</ns0:v>
      </ns0:c>
      <ns0:c r="M387" s="20" t="n">
        <ns0:v>36614.96735722708</ns0:v>
      </ns0:c>
      <ns0:c r="N387" s="20" t="n">
        <ns0:v>-12966.47543167733</ns0:v>
      </ns0:c>
      <ns0:c r="O387" s="20" t="n">
        <ns0:v>47622.4429575836</ns0:v>
      </ns0:c>
      <ns0:c r="P387" s="20" t="n">
        <ns0:v>114711.3613468446</ns0:v>
      </ns0:c>
      <ns0:c r="Q387" s="20" t="n">
        <ns0:v>282433.6573199969</ns0:v>
      </ns0:c>
      <ns0:c r="R387" s="20" t="n">
        <ns0:v>927322.8412126064</ns0:v>
      </ns0:c>
      <ns0:c r="S387" s="20" t="n">
        <ns0:v>3237434.984836739</ns0:v>
      </ns0:c>
    </ns0:row>
    <ns0:row r="388" ht="32" customHeight="1">
      <ns0:c r="A388" s="20" t="inlineStr">
        <ns0:is>
          <ns0:t>product20</ns0:t>
        </ns0:is>
      </ns0:c>
      <ns0:c r="B388" s="22" t="n">
        <ns0:v>0.3</ns0:v>
      </ns0:c>
      <ns0:c r="C388" s="20" t="n">
        <ns0:v>0</ns0:v>
      </ns0:c>
      <ns0:c r="D388" s="20" t="inlineStr">
        <ns0:is>
          <ns0:t>add</ns0:t>
        </ns0:is>
      </ns0:c>
      <ns0:c r="E388" s="20" t="inlineStr">
        <ns0:is>
          <ns0:t>混在・パック70%</ns0:t>
        </ns0:is>
      </ns0:c>
      <ns0:c r="F388" s="22" t="n">
        <ns0:v>0.5</ns0:v>
      </ns0:c>
      <ns0:c r="G388" s="20" t="n">
        <ns0:v>18</ns0:v>
      </ns0:c>
      <ns0:c r="H388" s="20" t="n">
        <ns0:v>18</ns0:v>
      </ns0:c>
      <ns0:c r="I388" s="20" t="n">
        <ns0:v>50</ns0:v>
      </ns0:c>
      <ns0:c r="J388" s="20" t="n">
        <ns0:v>7267.208749253046</ns0:v>
      </ns0:c>
      <ns0:c r="K388" s="20" t="n">
        <ns0:v>1903.252455413539</ns0:v>
      </ns0:c>
      <ns0:c r="L388" s="20" t="n">
        <ns0:v>217040.0907252872</ns0:v>
      </ns0:c>
      <ns0:c r="M388" s="20" t="n">
        <ns0:v>27328.5174864389</ns0:v>
      </ns0:c>
      <ns0:c r="N388" s="20" t="n">
        <ns0:v>-16772.98034250442</ns0:v>
      </ns0:c>
      <ns0:c r="O388" s="20" t="n">
        <ns0:v>36202.92822510236</ns0:v>
      </ns0:c>
      <ns0:c r="P388" s="20" t="n">
        <ns0:v>95678.83679270915</ns0:v>
      </ns0:c>
      <ns0:c r="Q388" s="20" t="n">
        <ns0:v>244368.6082117261</ns0:v>
      </ns0:c>
      <ns0:c r="R388" s="20" t="n">
        <ns0:v>813127.693887794</ns0:v>
      </ns0:c>
      <ns0:c r="S388" s="20" t="n">
        <ns0:v>2856784.493754032</ns0:v>
      </ns0:c>
    </ns0:row>
  </ns0:sheetData>
  <ns0:autoFilter ref="A4:S388"/>
  <ns0:mergeCells count="2">
    <ns0:mergeCell ref="A1:I1"/>
    <ns0:mergeCell ref="A2:I2"/>
  </ns0:mergeCells>
  <ns0:pageMargins left="0.75" right="0.75" top="1" bottom="1" header="0.5" footer="0.5"/>
</ns0:worksheet>
</file>

<file path=xl/worksheets/sheet9.xml><?xml version="1.0" encoding="utf-8"?>
<ns0:worksheet xmlns:ns0="http://schemas.openxmlformats.org/spreadsheetml/2006/main">
  <ns0:sheetPr>
    <ns0:outlinePr summaryBelow="1" summaryRight="1"/>
    <ns0:pageSetUpPr/>
  </ns0:sheetPr>
  <ns0:dimension ref="A1:G40"/>
  <ns0:sheetViews>
    <ns0:sheetView showGridLines="0" workbookViewId="0">
      <ns0:pane xSplit="1" ySplit="4" topLeftCell="B5" activePane="bottomRight" state="frozen"/>
      <ns0:selection pane="topRight"/>
      <ns0:selection pane="bottomLeft"/>
      <ns0:selection pane="bottomRight" activeCell="A1" sqref="A1"/>
    </ns0:sheetView>
  </ns0:sheetViews>
  <ns0:sheetFormatPr baseColWidth="8" defaultRowHeight="15"/>
  <ns0:cols>
    <ns0:col width="22" customWidth="1" min="1" max="1"/>
    <ns0:col width="18" customWidth="1" min="2" max="2"/>
    <ns0:col width="18" customWidth="1" min="3" max="3"/>
    <ns0:col width="18" customWidth="1" min="4" max="4"/>
    <ns0:col width="22" customWidth="1" min="5" max="5"/>
    <ns0:col width="18" customWidth="1" min="6" max="6"/>
    <ns0:col width="18" customWidth="1" min="7" max="7"/>
  </ns0:cols>
  <ns0:sheetData>
    <ns0:row r="1" ht="32" customHeight="1">
      <ns0:c r="A1" s="20" t="inlineStr">
        <ns0:is>
          <ns0:t>獲得速度比較（作成時固定表）</ns0:t>
        </ns0:is>
      </ns0:c>
      <ns0:c r="B1" s="20" t="n"/>
      <ns0:c r="C1" s="20" t="n"/>
      <ns0:c r="D1" s="20" t="n"/>
      <ns0:c r="E1" s="20" t="n"/>
      <ns0:c r="F1" s="20" t="n"/>
      <ns0:c r="G1" s="20" t="n"/>
    </ns0:row>
    <ns0:row r="2" ht="65" customHeight="1">
      <ns0:c r="A2" s="20" t="inlineStr">
        <ns0:is>
          <ns0:t>入力変更に連動しない。round=元価格 / service20=各サービス基本20円減 / product20=パックを含む各商品20円減。floor=MAX / add=最低額加算。運用費含む0は固定運用とサポートを除外。</ns0:t>
        </ns0:is>
      </ns0:c>
      <ns0:c r="B2" s="20" t="n"/>
      <ns0:c r="C2" s="20" t="n"/>
      <ns0:c r="D2" s="20" t="n"/>
      <ns0:c r="E2" s="20" t="n"/>
      <ns0:c r="F2" s="20" t="n"/>
      <ns0:c r="G2" s="20" t="n"/>
    </ns0:row>
    <ns0:row r="3">
      <ns0:c r="A3" s="20" t="n"/>
      <ns0:c r="B3" s="20" t="n"/>
      <ns0:c r="C3" s="20" t="n"/>
      <ns0:c r="D3" s="20" t="n"/>
      <ns0:c r="E3" s="20" t="n"/>
      <ns0:c r="F3" s="20" t="n"/>
      <ns0:c r="G3" s="20" t="n"/>
    </ns0:row>
    <ns0:row r="4" ht="50" customHeight="1">
      <ns0:c r="A4" s="21" t="inlineStr">
        <ns0:is>
          <ns0:t>構成</ns0:t>
        </ns0:is>
      </ns0:c>
      <ns0:c r="B4" s="21" t="inlineStr">
        <ns0:is>
          <ns0:t>配分率</ns0:t>
        </ns0:is>
      </ns0:c>
      <ns0:c r="C4" s="21" t="inlineStr">
        <ns0:is>
          <ns0:t>新規社/月</ns0:t>
        </ns0:is>
      </ns0:c>
      <ns0:c r="D4" s="21" t="inlineStr">
        <ns0:is>
          <ns0:t>単月初回黒字月</ns0:t>
        </ns0:is>
      </ns0:c>
      <ns0:c r="E4" s="21" t="inlineStr">
        <ns0:is>
          <ns0:t>累積回収月</ns0:t>
        </ns0:is>
      </ns0:c>
      <ns0:c r="F4" s="21" t="inlineStr">
        <ns0:is>
          <ns0:t>最大累積赤字</ns0:t>
        </ns0:is>
      </ns0:c>
      <ns0:c r="G4" s="21" t="inlineStr">
        <ns0:is>
          <ns0:t>36月累積差引</ns0:t>
        </ns0:is>
      </ns0:c>
    </ns0:row>
    <ns0:row r="5" ht="32" customHeight="1">
      <ns0:c r="A5" s="20" t="inlineStr">
        <ns0:is>
          <ns0:t>Guard単独</ns0:t>
        </ns0:is>
      </ns0:c>
      <ns0:c r="B5" s="22" t="n">
        <ns0:v>0.4</ns0:v>
      </ns0:c>
      <ns0:c r="C5" s="20" t="n">
        <ns0:v>3</ns0:v>
      </ns0:c>
      <ns0:c r="D5" s="20" t="n">
        <ns0:v>3</ns0:v>
      </ns0:c>
      <ns0:c r="E5" s="20" t="n">
        <ns0:v>5</ns0:v>
      </ns0:c>
      <ns0:c r="F5" s="20" t="n">
        <ns0:v>26438.1340782123</ns0:v>
      </ns0:c>
      <ns0:c r="G5" s="20" t="n">
        <ns0:v>4927810.994413407</ns0:v>
      </ns0:c>
    </ns0:row>
    <ns0:row r="6" ht="32" customHeight="1">
      <ns0:c r="A6" s="20" t="inlineStr">
        <ns0:is>
          <ns0:t>Guard単独</ns0:t>
        </ns0:is>
      </ns0:c>
      <ns0:c r="B6" s="22" t="n">
        <ns0:v>0.4</ns0:v>
      </ns0:c>
      <ns0:c r="C6" s="20" t="n">
        <ns0:v>5</ns0:v>
      </ns0:c>
      <ns0:c r="D6" s="20" t="n">
        <ns0:v>2</ns0:v>
      </ns0:c>
      <ns0:c r="E6" s="20" t="n">
        <ns0:v>3</ns0:v>
      </ns0:c>
      <ns0:c r="F6" s="20" t="n">
        <ns0:v>11076.74115456239</ns0:v>
      </ns0:c>
      <ns0:c r="G6" s="20" t="n">
        <ns0:v>8499183.687150836</ns0:v>
      </ns0:c>
    </ns0:row>
    <ns0:row r="7" ht="32" customHeight="1">
      <ns0:c r="A7" s="20" t="inlineStr">
        <ns0:is>
          <ns0:t>Guard単独</ns0:t>
        </ns0:is>
      </ns0:c>
      <ns0:c r="B7" s="22" t="n">
        <ns0:v>0.4</ns0:v>
      </ns0:c>
      <ns0:c r="C7" s="20" t="n">
        <ns0:v>10</ns0:v>
      </ns0:c>
      <ns0:c r="D7" s="20" t="n">
        <ns0:v>1</ns0:v>
      </ns0:c>
      <ns0:c r="E7" s="20" t="n">
        <ns0:v>1</ns0:v>
      </ns0:c>
      <ns0:c r="F7" s="20" t="n">
        <ns0:v>0</ns0:v>
      </ns0:c>
      <ns0:c r="G7" s="20" t="n">
        <ns0:v>17849940</ns0:v>
      </ns0:c>
    </ns0:row>
    <ns0:row r="8" ht="32" customHeight="1">
      <ns0:c r="A8" s="20" t="inlineStr">
        <ns0:is>
          <ns0:t>Guard単独</ns0:t>
        </ns0:is>
      </ns0:c>
      <ns0:c r="B8" s="22" t="n">
        <ns0:v>0.5</ns0:v>
      </ns0:c>
      <ns0:c r="C8" s="20" t="n">
        <ns0:v>3</ns0:v>
      </ns0:c>
      <ns0:c r="D8" s="20" t="n">
        <ns0:v>3</ns0:v>
      </ns0:c>
      <ns0:c r="E8" s="20" t="n">
        <ns0:v>6</ns0:v>
      </ns0:c>
      <ns0:c r="F8" s="20" t="n">
        <ns0:v>29957.687150838</ns0:v>
      </ns0:c>
      <ns0:c r="G8" s="20" t="n">
        <ns0:v>4146470.212290502</ns0:v>
      </ns0:c>
    </ns0:row>
    <ns0:row r="9" ht="32" customHeight="1">
      <ns0:c r="A9" s="20" t="inlineStr">
        <ns0:is>
          <ns0:t>Guard単独</ns0:t>
        </ns0:is>
      </ns0:c>
      <ns0:c r="B9" s="22" t="n">
        <ns0:v>0.5</ns0:v>
      </ns0:c>
      <ns0:c r="C9" s="20" t="n">
        <ns0:v>5</ns0:v>
      </ns0:c>
      <ns0:c r="D9" s="20" t="n">
        <ns0:v>2</ns0:v>
      </ns0:c>
      <ns0:c r="E9" s="20" t="n">
        <ns0:v>3</ns0:v>
      </ns0:c>
      <ns0:c r="F9" s="20" t="n">
        <ns0:v>13032.04841713222</ns0:v>
      </ns0:c>
      <ns0:c r="G9" s="20" t="n">
        <ns0:v>7196949.050279328</ns0:v>
      </ns0:c>
    </ns0:row>
    <ns0:row r="10" ht="32" customHeight="1">
      <ns0:c r="A10" s="20" t="inlineStr">
        <ns0:is>
          <ns0:t>Guard単独</ns0:t>
        </ns0:is>
      </ns0:c>
      <ns0:c r="B10" s="22" t="n">
        <ns0:v>0.5</ns0:v>
      </ns0:c>
      <ns0:c r="C10" s="20" t="n">
        <ns0:v>10</ns0:v>
      </ns0:c>
      <ns0:c r="D10" s="20" t="n">
        <ns0:v>1</ns0:v>
      </ns0:c>
      <ns0:c r="E10" s="20" t="n">
        <ns0:v>1</ns0:v>
      </ns0:c>
      <ns0:c r="F10" s="20" t="n">
        <ns0:v>0</ns0:v>
      </ns0:c>
      <ns0:c r="G10" s="20" t="n">
        <ns0:v>15245470.72625698</ns0:v>
      </ns0:c>
    </ns0:row>
    <ns0:row r="11" ht="32" customHeight="1">
      <ns0:c r="A11" s="20" t="inlineStr">
        <ns0:is>
          <ns0:t>Send単独</ns0:t>
        </ns0:is>
      </ns0:c>
      <ns0:c r="B11" s="22" t="n">
        <ns0:v>0.4</ns0:v>
      </ns0:c>
      <ns0:c r="C11" s="20" t="n">
        <ns0:v>3</ns0:v>
      </ns0:c>
      <ns0:c r="D11" s="20" t="n">
        <ns0:v>11</ns0:v>
      </ns0:c>
      <ns0:c r="E11" s="20" t="n">
        <ns0:v>20</ns0:v>
      </ns0:c>
      <ns0:c r="F11" s="20" t="n">
        <ns0:v>152309.0897670131</ns0:v>
      </ns0:c>
      <ns0:c r="G11" s="20" t="n">
        <ns0:v>876269.4593870864</ns0:v>
      </ns0:c>
    </ns0:row>
    <ns0:row r="12" ht="32" customHeight="1">
      <ns0:c r="A12" s="20" t="inlineStr">
        <ns0:is>
          <ns0:t>Send単独</ns0:t>
        </ns0:is>
      </ns0:c>
      <ns0:c r="B12" s="22" t="n">
        <ns0:v>0.4</ns0:v>
      </ns0:c>
      <ns0:c r="C12" s="20" t="n">
        <ns0:v>5</ns0:v>
      </ns0:c>
      <ns0:c r="D12" s="20" t="n">
        <ns0:v>7</ns0:v>
      </ns0:c>
      <ns0:c r="E12" s="20" t="n">
        <ns0:v>12</ns0:v>
      </ns0:c>
      <ns0:c r="F12" s="20" t="n">
        <ns0:v>83965.44453307825</ns0:v>
      </ns0:c>
      <ns0:c r="G12" s="20" t="n">
        <ns0:v>2033211.530009864</ns0:v>
      </ns0:c>
    </ns0:row>
    <ns0:row r="13" ht="32" customHeight="1">
      <ns0:c r="A13" s="20" t="inlineStr">
        <ns0:is>
          <ns0:t>Send単独</ns0:t>
        </ns0:is>
      </ns0:c>
      <ns0:c r="B13" s="22" t="n">
        <ns0:v>0.4</ns0:v>
      </ns0:c>
      <ns0:c r="C13" s="20" t="n">
        <ns0:v>10</ns0:v>
      </ns0:c>
      <ns0:c r="D13" s="20" t="n">
        <ns0:v>4</ns0:v>
      </ns0:c>
      <ns0:c r="E13" s="20" t="n">
        <ns0:v>6</ns0:v>
      </ns0:c>
      <ns0:c r="F13" s="20" t="n">
        <ns0:v>33832.71060762709</ns0:v>
      </ns0:c>
      <ns0:c r="G13" s="20" t="n">
        <ns0:v>5427316.70656681</ns0:v>
      </ns0:c>
    </ns0:row>
    <ns0:row r="14" ht="32" customHeight="1">
      <ns0:c r="A14" s="20" t="inlineStr">
        <ns0:is>
          <ns0:t>Send単独</ns0:t>
        </ns0:is>
      </ns0:c>
      <ns0:c r="B14" s="22" t="n">
        <ns0:v>0.5</ns0:v>
      </ns0:c>
      <ns0:c r="C14" s="20" t="n">
        <ns0:v>3</ns0:v>
      </ns0:c>
      <ns0:c r="D14" s="20" t="n">
        <ns0:v>13</ns0:v>
      </ns0:c>
      <ns0:c r="E14" s="20" t="n">
        <ns0:v>23</ns0:v>
      </ns0:c>
      <ns0:c r="F14" s="20" t="n">
        <ns0:v>177641.0025114068</ns0:v>
      </ns0:c>
      <ns0:c r="G14" s="20" t="n">
        <ns0:v>609099.7106433678</ns0:v>
      </ns0:c>
    </ns0:row>
    <ns0:row r="15" ht="32" customHeight="1">
      <ns0:c r="A15" s="20" t="inlineStr">
        <ns0:is>
          <ns0:t>Send単独</ns0:t>
        </ns0:is>
      </ns0:c>
      <ns0:c r="B15" s="22" t="n">
        <ns0:v>0.5</ns0:v>
      </ns0:c>
      <ns0:c r="C15" s="20" t="n">
        <ns0:v>5</ns0:v>
      </ns0:c>
      <ns0:c r="D15" s="20" t="n">
        <ns0:v>8</ns0:v>
      </ns0:c>
      <ns0:c r="E15" s="20" t="n">
        <ns0:v>14</ns0:v>
      </ns0:c>
      <ns0:c r="F15" s="20" t="n">
        <ns0:v>99163.59443287188</ns0:v>
      </ns0:c>
      <ns0:c r="G15" s="20" t="n">
        <ns0:v>1587928.615437</ns0:v>
      </ns0:c>
    </ns0:row>
    <ns0:row r="16" ht="32" customHeight="1">
      <ns0:c r="A16" s="20" t="inlineStr">
        <ns0:is>
          <ns0:t>Send単独</ns0:t>
        </ns0:is>
      </ns0:c>
      <ns0:c r="B16" s="22" t="n">
        <ns0:v>0.5</ns0:v>
      </ns0:c>
      <ns0:c r="C16" s="20" t="n">
        <ns0:v>10</ns0:v>
      </ns0:c>
      <ns0:c r="D16" s="20" t="n">
        <ns0:v>4</ns0:v>
      </ns0:c>
      <ns0:c r="E16" s="20" t="n">
        <ns0:v>7</ns0:v>
      </ns0:c>
      <ns0:c r="F16" s="20" t="n">
        <ns0:v>41855.82618551652</ns0:v>
      </ns0:c>
      <ns0:c r="G16" s="20" t="n">
        <ns0:v>4536750.87742108</ns0:v>
      </ns0:c>
    </ns0:row>
    <ns0:row r="17" ht="32" customHeight="1">
      <ns0:c r="A17" s="20" t="inlineStr">
        <ns0:is>
          <ns0:t>パック単独</ns0:t>
        </ns0:is>
      </ns0:c>
      <ns0:c r="B17" s="22" t="n">
        <ns0:v>0.4</ns0:v>
      </ns0:c>
      <ns0:c r="C17" s="20" t="n">
        <ns0:v>3</ns0:v>
      </ns0:c>
      <ns0:c r="D17" s="20" t="n">
        <ns0:v>6</ns0:v>
      </ns0:c>
      <ns0:c r="E17" s="20" t="n">
        <ns0:v>10</ns0:v>
      </ns0:c>
      <ns0:c r="F17" s="20" t="n">
        <ns0:v>121067.9812724766</ns0:v>
      </ns0:c>
      <ns0:c r="G17" s="20" t="n">
        <ns0:v>4861792.231771824</ns0:v>
      </ns0:c>
    </ns0:row>
    <ns0:row r="18" ht="32" customHeight="1">
      <ns0:c r="A18" s="20" t="inlineStr">
        <ns0:is>
          <ns0:t>パック単独</ns0:t>
        </ns0:is>
      </ns0:c>
      <ns0:c r="B18" s="22" t="n">
        <ns0:v>0.4</ns0:v>
      </ns0:c>
      <ns0:c r="C18" s="20" t="n">
        <ns0:v>5</ns0:v>
      </ns0:c>
      <ns0:c r="D18" s="20" t="n">
        <ns0:v>4</ns0:v>
      </ns0:c>
      <ns0:c r="E18" s="20" t="n">
        <ns0:v>6</ns0:v>
      </ns0:c>
      <ns0:c r="F18" s="20" t="n">
        <ns0:v>55041.67597288181</ns0:v>
      </ns0:c>
      <ns0:c r="G18" s="20" t="n">
        <ns0:v>8961914.84711292</ns0:v>
      </ns0:c>
    </ns0:row>
    <ns0:row r="19" ht="32" customHeight="1">
      <ns0:c r="A19" s="20" t="inlineStr">
        <ns0:is>
          <ns0:t>パック単独</ns0:t>
        </ns0:is>
      </ns0:c>
      <ns0:c r="B19" s="22" t="n">
        <ns0:v>0.4</ns0:v>
      </ns0:c>
      <ns0:c r="C19" s="20" t="n">
        <ns0:v>10</ns0:v>
      </ns0:c>
      <ns0:c r="D19" s="20" t="n">
        <ns0:v>2</ns0:v>
      </ns0:c>
      <ns0:c r="E19" s="20" t="n">
        <ns0:v>2</ns0:v>
      </ns0:c>
      <ns0:c r="F19" s="20" t="n">
        <ns0:v>13513.8919909606</ns0:v>
      </ns0:c>
      <ns0:c r="G19" s="20" t="n">
        <ns0:v>20136295.96647125</ns0:v>
      </ns0:c>
    </ns0:row>
    <ns0:row r="20" ht="32" customHeight="1">
      <ns0:c r="A20" s="20" t="inlineStr">
        <ns0:is>
          <ns0:t>パック単独</ns0:t>
        </ns0:is>
      </ns0:c>
      <ns0:c r="B20" s="22" t="n">
        <ns0:v>0.5</ns0:v>
      </ns0:c>
      <ns0:c r="C20" s="20" t="n">
        <ns0:v>3</ns0:v>
      </ns0:c>
      <ns0:c r="D20" s="20" t="n">
        <ns0:v>6</ns0:v>
      </ns0:c>
      <ns0:c r="E20" s="20" t="n">
        <ns0:v>11</ns0:v>
      </ns0:c>
      <ns0:c r="F20" s="20" t="n">
        <ns0:v>140252.0594847671</ns0:v>
      </ns0:c>
      <ns0:c r="G20" s="20" t="n">
        <ns0:v>4010019.159146127</ns0:v>
      </ns0:c>
    </ns0:row>
    <ns0:row r="21" ht="32" customHeight="1">
      <ns0:c r="A21" s="20" t="inlineStr">
        <ns0:is>
          <ns0:t>パック単独</ns0:t>
        </ns0:is>
      </ns0:c>
      <ns0:c r="B21" s="22" t="n">
        <ns0:v>0.5</ns0:v>
      </ns0:c>
      <ns0:c r="C21" s="20" t="n">
        <ns0:v>5</ns0:v>
      </ns0:c>
      <ns0:c r="D21" s="20" t="n">
        <ns0:v>4</ns0:v>
      </ns0:c>
      <ns0:c r="E21" s="20" t="n">
        <ns0:v>7</ns0:v>
      </ns0:c>
      <ns0:c r="F21" s="20" t="n">
        <ns0:v>67831.06144774213</ns0:v>
      </ns0:c>
      <ns0:c r="G21" s="20" t="n">
        <ns0:v>7542293.059403424</ns0:v>
      </ns0:c>
    </ns0:row>
    <ns0:row r="22" ht="32" customHeight="1">
      <ns0:c r="A22" s="20" t="inlineStr">
        <ns0:is>
          <ns0:t>パック単独</ns0:t>
        </ns0:is>
      </ns0:c>
      <ns0:c r="B22" s="22" t="n">
        <ns0:v>0.5</ns0:v>
      </ns0:c>
      <ns0:c r="C22" s="20" t="n">
        <ns0:v>10</ns0:v>
      </ns0:c>
      <ns0:c r="D22" s="20" t="n">
        <ns0:v>2</ns0:v>
      </ns0:c>
      <ns0:c r="E22" s="20" t="n">
        <ns0:v>3</ns0:v>
      </ns0:c>
      <ns0:c r="F22" s="20" t="n">
        <ns0:v>17777.02048258072</ns0:v>
      </ns0:c>
      <ns0:c r="G22" s="20" t="n">
        <ns0:v>17297052.39105225</ns0:v>
      </ns0:c>
    </ns0:row>
    <ns0:row r="23" ht="32" customHeight="1">
      <ns0:c r="A23" s="20" t="inlineStr">
        <ns0:is>
          <ns0:t>混在・パック30%</ns0:t>
        </ns0:is>
      </ns0:c>
      <ns0:c r="B23" s="22" t="n">
        <ns0:v>0.4</ns0:v>
      </ns0:c>
      <ns0:c r="C23" s="20" t="n">
        <ns0:v>3</ns0:v>
      </ns0:c>
      <ns0:c r="D23" s="20" t="n">
        <ns0:v>8</ns0:v>
      </ns0:c>
      <ns0:c r="E23" s="20" t="n">
        <ns0:v>14</ns0:v>
      </ns0:c>
      <ns0:c r="F23" s="20" t="n">
        <ns0:v>181755.6563277945</ns0:v>
      </ns0:c>
      <ns0:c r="G23" s="20" t="n">
        <ns0:v>3054561.792862919</ns0:v>
      </ns0:c>
    </ns0:row>
    <ns0:row r="24" ht="32" customHeight="1">
      <ns0:c r="A24" s="20" t="inlineStr">
        <ns0:is>
          <ns0:t>混在・パック30%</ns0:t>
        </ns0:is>
      </ns0:c>
      <ns0:c r="B24" s="22" t="n">
        <ns0:v>0.4</ns0:v>
      </ns0:c>
      <ns0:c r="C24" s="20" t="n">
        <ns0:v>5</ns0:v>
      </ns0:c>
      <ns0:c r="D24" s="20" t="n">
        <ns0:v>5</ns0:v>
      </ns0:c>
      <ns0:c r="E24" s="20" t="n">
        <ns0:v>8</ns0:v>
      </ns0:c>
      <ns0:c r="F24" s="20" t="n">
        <ns0:v>99055.11585263585</ns0:v>
      </ns0:c>
      <ns0:c r="G24" s="20" t="n">
        <ns0:v>6185663.594182807</ns0:v>
      </ns0:c>
    </ns0:row>
    <ns0:row r="25" ht="32" customHeight="1">
      <ns0:c r="A25" s="20" t="inlineStr">
        <ns0:is>
          <ns0:t>混在・パック30%</ns0:t>
        </ns0:is>
      </ns0:c>
      <ns0:c r="B25" s="22" t="n">
        <ns0:v>0.4</ns0:v>
      </ns0:c>
      <ns0:c r="C25" s="20" t="n">
        <ns0:v>10</ns0:v>
      </ns0:c>
      <ns0:c r="D25" s="20" t="n">
        <ns0:v>3</ns0:v>
      </ns0:c>
      <ns0:c r="E25" s="20" t="n">
        <ns0:v>4</ns0:v>
      </ns0:c>
      <ns0:c r="F25" s="20" t="n">
        <ns0:v>34228.69566105839</ns0:v>
      </ns0:c>
      <ns0:c r="G25" s="20" t="n">
        <ns0:v>13918712.00809705</ns0:v>
      </ns0:c>
    </ns0:row>
    <ns0:row r="26" ht="32" customHeight="1">
      <ns0:c r="A26" s="20" t="inlineStr">
        <ns0:is>
          <ns0:t>混在・パック30%</ns0:t>
        </ns0:is>
      </ns0:c>
      <ns0:c r="B26" s="22" t="n">
        <ns0:v>0.5</ns0:v>
      </ns0:c>
      <ns0:c r="C26" s="20" t="n">
        <ns0:v>3</ns0:v>
      </ns0:c>
      <ns0:c r="D26" s="20" t="n">
        <ns0:v>9</ns0:v>
      </ns0:c>
      <ns0:c r="E26" s="20" t="n">
        <ns0:v>16</ns0:v>
      </ns0:c>
      <ns0:c r="F26" s="20" t="n">
        <ns0:v>210902.5233197324</ns0:v>
      </ns0:c>
      <ns0:c r="G26" s="20" t="n">
        <ns0:v>2406342.633602932</ns0:v>
      </ns0:c>
    </ns0:row>
    <ns0:row r="27" ht="32" customHeight="1">
      <ns0:c r="A27" s="20" t="inlineStr">
        <ns0:is>
          <ns0:t>混在・パック30%</ns0:t>
        </ns0:is>
      </ns0:c>
      <ns0:c r="B27" s="22" t="n">
        <ns0:v>0.5</ns0:v>
      </ns0:c>
      <ns0:c r="C27" s="20" t="n">
        <ns0:v>5</ns0:v>
      </ns0:c>
      <ns0:c r="D27" s="20" t="n">
        <ns0:v>5</ns0:v>
      </ns0:c>
      <ns0:c r="E27" s="20" t="n">
        <ns0:v>10</ns0:v>
      </ns0:c>
      <ns0:c r="F27" s="20" t="n">
        <ns0:v>115276.8165348177</ns0:v>
      </ns0:c>
      <ns0:c r="G27" s="20" t="n">
        <ns0:v>5105298.328749496</ns0:v>
      </ns0:c>
    </ns0:row>
    <ns0:row r="28" ht="32" customHeight="1">
      <ns0:c r="A28" s="20" t="inlineStr">
        <ns0:is>
          <ns0:t>混在・パック30%</ns0:t>
        </ns0:is>
      </ns0:c>
      <ns0:c r="B28" s="22" t="n">
        <ns0:v>0.5</ns0:v>
      </ns0:c>
      <ns0:c r="C28" s="20" t="n">
        <ns0:v>10</ns0:v>
      </ns0:c>
      <ns0:c r="D28" s="20" t="n">
        <ns0:v>3</ns0:v>
      </ns0:c>
      <ns0:c r="E28" s="20" t="n">
        <ns0:v>4</ns0:v>
      </ns0:c>
      <ns0:c r="F28" s="20" t="n">
        <ns0:v>43961.7160703675</ns0:v>
      </ns0:c>
      <ns0:c r="G28" s="20" t="n">
        <ns0:v>11757981.47723043</ns0:v>
      </ns0:c>
    </ns0:row>
    <ns0:row r="29" ht="32" customHeight="1">
      <ns0:c r="A29" s="20" t="inlineStr">
        <ns0:is>
          <ns0:t>混在・パック50%</ns0:t>
        </ns0:is>
      </ns0:c>
      <ns0:c r="B29" s="22" t="n">
        <ns0:v>0.4</ns0:v>
      </ns0:c>
      <ns0:c r="C29" s="20" t="n">
        <ns0:v>3</ns0:v>
      </ns0:c>
      <ns0:c r="D29" s="20" t="n">
        <ns0:v>7</ns0:v>
      </ns0:c>
      <ns0:c r="E29" s="20" t="n">
        <ns0:v>13</ns0:v>
      </ns0:c>
      <ns0:c r="F29" s="20" t="n">
        <ns0:v>157931.170626886</ns0:v>
      </ns0:c>
      <ns0:c r="G29" s="20" t="n">
        <ns0:v>3609885.413875998</ns0:v>
      </ns0:c>
    </ns0:row>
    <ns0:row r="30" ht="32" customHeight="1">
      <ns0:c r="A30" s="20" t="inlineStr">
        <ns0:is>
          <ns0:t>混在・パック50%</ns0:t>
        </ns0:is>
      </ns0:c>
      <ns0:c r="B30" s="22" t="n">
        <ns0:v>0.4</ns0:v>
      </ns0:c>
      <ns0:c r="C30" s="20" t="n">
        <ns0:v>5</ns0:v>
      </ns0:c>
      <ns0:c r="D30" s="20" t="n">
        <ns0:v>4</ns0:v>
      </ns0:c>
      <ns0:c r="E30" s="20" t="n">
        <ns0:v>7</ns0:v>
      </ns0:c>
      <ns0:c r="F30" s="20" t="n">
        <ns0:v>84825.92905465639</ns0:v>
      </ns0:c>
      <ns0:c r="G30" s="20" t="n">
        <ns0:v>6934769.937797318</ns0:v>
      </ns0:c>
    </ns0:row>
    <ns0:row r="31" ht="32" customHeight="1">
      <ns0:c r="A31" s="20" t="inlineStr">
        <ns0:is>
          <ns0:t>混在・パック50%</ns0:t>
        </ns0:is>
      </ns0:c>
      <ns0:c r="B31" s="22" t="n">
        <ns0:v>0.4</ns0:v>
      </ns0:c>
      <ns0:c r="C31" s="20" t="n">
        <ns0:v>10</ns0:v>
      </ns0:c>
      <ns0:c r="D31" s="20" t="n">
        <ns0:v>2</ns0:v>
      </ns0:c>
      <ns0:c r="E31" s="20" t="n">
        <ns0:v>3</ns0:v>
      </ns0:c>
      <ns0:c r="F31" s="20" t="n">
        <ns0:v>23441.97635155212</ns0:v>
      </ns0:c>
      <ns0:c r="G31" s="20" t="n">
        <ns0:v>15673413.41040987</ns0:v>
      </ns0:c>
    </ns0:row>
    <ns0:row r="32" ht="32" customHeight="1">
      <ns0:c r="A32" s="20" t="inlineStr">
        <ns0:is>
          <ns0:t>混在・パック50%</ns0:t>
        </ns0:is>
      </ns0:c>
      <ns0:c r="B32" s="22" t="n">
        <ns0:v>0.5</ns0:v>
      </ns0:c>
      <ns0:c r="C32" s="20" t="n">
        <ns0:v>3</ns0:v>
      </ns0:c>
      <ns0:c r="D32" s="20" t="n">
        <ns0:v>8</ns0:v>
      </ns0:c>
      <ns0:c r="E32" s="20" t="n">
        <ns0:v>15</ns0:v>
      </ns0:c>
      <ns0:c r="F32" s="20" t="n">
        <ns0:v>183500.8755942665</ns0:v>
      </ns0:c>
      <ns0:c r="G32" s="20" t="n">
        <ns0:v>2903507.99365438</ns0:v>
      </ns0:c>
    </ns0:row>
    <ns0:row r="33" ht="32" customHeight="1">
      <ns0:c r="A33" s="20" t="inlineStr">
        <ns0:is>
          <ns0:t>混在・パック50%</ns0:t>
        </ns0:is>
      </ns0:c>
      <ns0:c r="B33" s="22" t="n">
        <ns0:v>0.5</ns0:v>
      </ns0:c>
      <ns0:c r="C33" s="20" t="n">
        <ns0:v>5</ns0:v>
      </ns0:c>
      <ns0:c r="D33" s="20" t="n">
        <ns0:v>5</ns0:v>
      </ns0:c>
      <ns0:c r="E33" s="20" t="n">
        <ns0:v>9</ns0:v>
      </ns0:c>
      <ns0:c r="F33" s="20" t="n">
        <ns0:v>101376.0597496114</ns0:v>
      </ns0:c>
      <ns0:c r="G33" s="20" t="n">
        <ns0:v>5757474.237427953</ns0:v>
      </ns0:c>
    </ns0:row>
    <ns0:row r="34" ht="32" customHeight="1">
      <ns0:c r="A34" s="20" t="inlineStr">
        <ns0:is>
          <ns0:t>混在・パック50%</ns0:t>
        </ns0:is>
      </ns0:c>
      <ns0:c r="B34" s="22" t="n">
        <ns0:v>0.5</ns0:v>
      </ns0:c>
      <ns0:c r="C34" s="20" t="n">
        <ns0:v>10</ns0:v>
      </ns0:c>
      <ns0:c r="D34" s="20" t="n">
        <ns0:v>3</ns0:v>
      </ns0:c>
      <ns0:c r="E34" s="20" t="n">
        <ns0:v>4</ns0:v>
      </ns0:c>
      <ns0:c r="F34" s="20" t="n">
        <ns0:v>32921.26199924375</ns0:v>
      </ns0:c>
      <ns0:c r="G34" s="20" t="n">
        <ns0:v>13318822.00967114</ns0:v>
      </ns0:c>
    </ns0:row>
    <ns0:row r="35" ht="32" customHeight="1">
      <ns0:c r="A35" s="20" t="inlineStr">
        <ns0:is>
          <ns0:t>混在・パック70%</ns0:t>
        </ns0:is>
      </ns0:c>
      <ns0:c r="B35" s="22" t="n">
        <ns0:v>0.4</ns0:v>
      </ns0:c>
      <ns0:c r="C35" s="20" t="n">
        <ns0:v>3</ns0:v>
      </ns0:c>
      <ns0:c r="D35" s="20" t="n">
        <ns0:v>6</ns0:v>
      </ns0:c>
      <ns0:c r="E35" s="20" t="n">
        <ns0:v>12</ns0:v>
      </ns0:c>
      <ns0:c r="F35" s="20" t="n">
        <ns0:v>143373.8090460737</ns0:v>
      </ns0:c>
      <ns0:c r="G35" s="20" t="n">
        <ns0:v>4158061.682933769</ns0:v>
      </ns0:c>
    </ns0:row>
    <ns0:row r="36" ht="32" customHeight="1">
      <ns0:c r="A36" s="20" t="inlineStr">
        <ns0:is>
          <ns0:t>混在・パック70%</ns0:t>
        </ns0:is>
      </ns0:c>
      <ns0:c r="B36" s="22" t="n">
        <ns0:v>0.4</ns0:v>
      </ns0:c>
      <ns0:c r="C36" s="20" t="n">
        <ns0:v>5</ns0:v>
      </ns0:c>
      <ns0:c r="D36" s="20" t="n">
        <ns0:v>4</ns0:v>
      </ns0:c>
      <ns0:c r="E36" s="20" t="n">
        <ns0:v>7</ns0:v>
      </ns0:c>
      <ns0:c r="F36" s="20" t="n">
        <ns0:v>72912.22782194655</ns0:v>
      </ns0:c>
      <ns0:c r="G36" s="20" t="n">
        <ns0:v>7708153.02522667</ns0:v>
      </ns0:c>
    </ns0:row>
    <ns0:row r="37" ht="32" customHeight="1">
      <ns0:c r="A37" s="20" t="inlineStr">
        <ns0:is>
          <ns0:t>混在・パック70%</ns0:t>
        </ns0:is>
      </ns0:c>
      <ns0:c r="B37" s="22" t="n">
        <ns0:v>0.4</ns0:v>
      </ns0:c>
      <ns0:c r="C37" s="20" t="n">
        <ns0:v>10</ns0:v>
      </ns0:c>
      <ns0:c r="D37" s="20" t="n">
        <ns0:v>2</ns0:v>
      </ns0:c>
      <ns0:c r="E37" s="20" t="n">
        <ns0:v>3</ns0:v>
      </ns0:c>
      <ns0:c r="F37" s="20" t="n">
        <ns0:v>19470.74260731552</ns0:v>
      </ns0:c>
      <ns0:c r="G37" s="20" t="n">
        <ns0:v>17445891.55653754</ns0:v>
      </ns0:c>
    </ns0:row>
    <ns0:row r="38" ht="32" customHeight="1">
      <ns0:c r="A38" s="20" t="inlineStr">
        <ns0:is>
          <ns0:t>混在・パック70%</ns0:t>
        </ns0:is>
      </ns0:c>
      <ns0:c r="B38" s="22" t="n">
        <ns0:v>0.5</ns0:v>
      </ns0:c>
      <ns0:c r="C38" s="20" t="n">
        <ns0:v>3</ns0:v>
      </ns0:c>
      <ns0:c r="D38" s="20" t="n">
        <ns0:v>7</ns0:v>
      </ns0:c>
      <ns0:c r="E38" s="20" t="n">
        <ns0:v>13</ns0:v>
      </ns0:c>
      <ns0:c r="F38" s="20" t="n">
        <ns0:v>167019.378976406</ns0:v>
      </ns0:c>
      <ns0:c r="G38" s="20" t="n">
        <ns0:v>3393526.001750519</ns0:v>
      </ns0:c>
    </ns0:row>
    <ns0:row r="39" ht="32" customHeight="1">
      <ns0:c r="A39" s="20" t="inlineStr">
        <ns0:is>
          <ns0:t>混在・パック70%</ns0:t>
        </ns0:is>
      </ns0:c>
      <ns0:c r="B39" s="22" t="n">
        <ns0:v>0.5</ns0:v>
      </ns0:c>
      <ns0:c r="C39" s="20" t="n">
        <ns0:v>5</ns0:v>
      </ns0:c>
      <ns0:c r="D39" s="20" t="n">
        <ns0:v>5</ns0:v>
      </ns0:c>
      <ns0:c r="E39" s="20" t="n">
        <ns0:v>8</ns0:v>
      </ns0:c>
      <ns0:c r="F39" s="20" t="n">
        <ns0:v>85198.55914956085</ns0:v>
      </ns0:c>
      <ns0:c r="G39" s="20" t="n">
        <ns0:v>6433926.889921252</ns0:v>
      </ns0:c>
    </ns0:row>
    <ns0:row r="40" ht="32" customHeight="1">
      <ns0:c r="A40" s="20" t="inlineStr">
        <ns0:is>
          <ns0:t>混在・パック70%</ns0:t>
        </ns0:is>
      </ns0:c>
      <ns0:c r="B40" s="22" t="n">
        <ns0:v>0.5</ns0:v>
      </ns0:c>
      <ns0:c r="C40" s="20" t="n">
        <ns0:v>10</ns0:v>
      </ns0:c>
      <ns0:c r="D40" s="20" t="n">
        <ns0:v>3</ns0:v>
      </ns0:c>
      <ns0:c r="E40" s="20" t="n">
        <ns0:v>3</ns0:v>
      </ns0:c>
      <ns0:c r="F40" s="20" t="n">
        <ns0:v>24104.06411327565</ns0:v>
      </ns0:c>
      <ns0:c r="G40" s="20" t="n">
        <ns0:v>14897439.2859267</ns0:v>
      </ns0:c>
    </ns0:row>
  </ns0:sheetData>
  <ns0:autoFilter ref="A4:G40"/>
  <ns0:mergeCells count="2">
    <ns0:mergeCell ref="A2:G2"/>
    <ns0:mergeCell ref="A1:G1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2026-10-18T00:29:52Z</dcterms:created>
  <dcterms:modified xmlns:dcterms="http://purl.org/dc/terms/" xmlns:xsi="http://www.w3.org/2001/XMLSchema-instance" xsi:type="dcterms:W3CDTF">2026-10-18T00:29:54Z</dcterms:modified>
</cp:coreProperties>
</file>